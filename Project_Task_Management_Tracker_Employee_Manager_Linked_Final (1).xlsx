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0" lockWindows="0" lockRevision="0"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_Report_Summary" sheetId="3" state="visible" r:id="rId3"/>
    <sheet xmlns:r="http://schemas.openxmlformats.org/officeDocument/2006/relationships" name="Employee_Master" sheetId="4" state="visible" r:id="rId4"/>
    <sheet xmlns:r="http://schemas.openxmlformats.org/officeDocument/2006/relationships" name="Task_Tracker" sheetId="5" state="visible" r:id="rId5"/>
    <sheet xmlns:r="http://schemas.openxmlformats.org/officeDocument/2006/relationships" name="Task_Steps" sheetId="6" state="visible" r:id="rId6"/>
    <sheet xmlns:r="http://schemas.openxmlformats.org/officeDocument/2006/relationships" name="Employee_Summary" sheetId="7" state="visible" r:id="rId7"/>
    <sheet xmlns:r="http://schemas.openxmlformats.org/officeDocument/2006/relationships" name="Employee_Report" sheetId="8" state="visible" r:id="rId8"/>
    <sheet xmlns:r="http://schemas.openxmlformats.org/officeDocument/2006/relationships" name="Manager_Report" sheetId="9" state="visible" r:id="rId9"/>
    <sheet xmlns:r="http://schemas.openxmlformats.org/officeDocument/2006/relationships" name="Action_Status_Map" sheetId="10" state="visible" r:id="rId10"/>
    <sheet xmlns:r="http://schemas.openxmlformats.org/officeDocument/2006/relationships" name="Monthly_Template" sheetId="11" state="visible" r:id="rId11"/>
    <sheet xmlns:r="http://schemas.openxmlformats.org/officeDocument/2006/relationships" name="Apr_2026" sheetId="12" state="visible" r:id="rId12"/>
    <sheet xmlns:r="http://schemas.openxmlformats.org/officeDocument/2006/relationships" name="May_2026" sheetId="13" state="visible" r:id="rId13"/>
    <sheet xmlns:r="http://schemas.openxmlformats.org/officeDocument/2006/relationships" name="Jun_2026" sheetId="14" state="visible" r:id="rId14"/>
    <sheet xmlns:r="http://schemas.openxmlformats.org/officeDocument/2006/relationships" name="Jul_2026" sheetId="15" state="visible" r:id="rId15"/>
    <sheet xmlns:r="http://schemas.openxmlformats.org/officeDocument/2006/relationships" name="Aug_2026" sheetId="16" state="visible" r:id="rId16"/>
    <sheet xmlns:r="http://schemas.openxmlformats.org/officeDocument/2006/relationships" name="Sep_2026" sheetId="17" state="visible" r:id="rId17"/>
    <sheet xmlns:r="http://schemas.openxmlformats.org/officeDocument/2006/relationships" name="Oct_2026" sheetId="18" state="visible" r:id="rId18"/>
    <sheet xmlns:r="http://schemas.openxmlformats.org/officeDocument/2006/relationships" name="Nov_2026" sheetId="19" state="visible" r:id="rId19"/>
    <sheet xmlns:r="http://schemas.openxmlformats.org/officeDocument/2006/relationships" name="Dec_2026" sheetId="20" state="visible" r:id="rId20"/>
    <sheet xmlns:r="http://schemas.openxmlformats.org/officeDocument/2006/relationships" name="Jan_2027" sheetId="21" state="visible" r:id="rId21"/>
    <sheet xmlns:r="http://schemas.openxmlformats.org/officeDocument/2006/relationships" name="Feb_2027" sheetId="22" state="visible" r:id="rId22"/>
    <sheet xmlns:r="http://schemas.openxmlformats.org/officeDocument/2006/relationships" name="Mar_2027" sheetId="23" state="visible" r:id="rId23"/>
    <sheet xmlns:r="http://schemas.openxmlformats.org/officeDocument/2006/relationships" name="Lists" sheetId="24" state="hidden" r:id="rId24"/>
    <sheet xmlns:r="http://schemas.openxmlformats.org/officeDocument/2006/relationships" name="Report_Pammi_Gaur" sheetId="25" state="visible" r:id="rId25"/>
    <sheet xmlns:r="http://schemas.openxmlformats.org/officeDocument/2006/relationships" name="Report_Pankaj_Vairagade" sheetId="26" state="visible" r:id="rId26"/>
  </sheets>
  <definedNames>
    <definedName name="EmployeeNames" hidden="0" function="0" vbProcedure="0">Lists!$C$5:INDEX(Lists!$C:$C,COUNTIF(Lists!$C:$C,"?*")+4)</definedName>
    <definedName name="EmployeeStatusList" hidden="0" function="0" vbProcedure="0">Lists!$F$2:$F$3</definedName>
    <definedName name="MonthCodes" hidden="0" function="0" vbProcedure="0">Lists!$H$2:$H$13</definedName>
    <definedName name="PriorityList" hidden="0" function="0" vbProcedure="0">Lists!$B$2:$B$5</definedName>
    <definedName name="ReportMonths" hidden="0" function="0" vbProcedure="0">Lists!$E$2:$E$14</definedName>
    <definedName name="StatusList" hidden="0" function="0" vbProcedure="0">Lists!$A$2:$A$8</definedName>
    <definedName name="TaskIDs" hidden="0" function="0" vbProcedure="0">Lists!$D$5:INDEX(Lists!$D:$D,COUNTIF(Lists!$D:$D,"?*")+4)</definedName>
    <definedName name="YesNoList" hidden="0" function="0" vbProcedure="0">Lists!$G$2:$G$3</definedName>
    <definedName name="_xlnm._FilterDatabase" localSheetId="3" hidden="1">'Employee_Master'!$A$4:$K$204</definedName>
    <definedName name="_xlnm._FilterDatabase" localSheetId="4" hidden="1">'Task_Tracker'!$A$4:$Z$1004</definedName>
    <definedName name="_xlnm._FilterDatabase" localSheetId="5" hidden="1">'Task_Steps'!$A$4:$R$2004</definedName>
    <definedName name="_xlnm._FilterDatabase" localSheetId="6" hidden="1">'Employee_Summary'!$A$4:$R$204</definedName>
  </definedNames>
  <calcPr calcId="124519" calcMode="auto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5">
    <numFmt numFmtId="164" formatCode="0.0"/>
    <numFmt numFmtId="165" formatCode="dd\-mmm\-yyyy"/>
    <numFmt numFmtId="166" formatCode="dd-mmm-yyyy"/>
    <numFmt numFmtId="167" formatCode="0.0%"/>
    <numFmt numFmtId="168" formatCode="mmmm yyyy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63A5C"/>
      <sz val="16"/>
    </font>
    <font>
      <name val="Cambria"/>
      <charset val="1"/>
      <family val="0"/>
      <color rgb="FF555555"/>
      <sz val="9"/>
    </font>
    <font>
      <name val="Cambria"/>
      <charset val="1"/>
      <family val="0"/>
      <b val="1"/>
      <color rgb="FF163A5C"/>
      <sz val="12"/>
    </font>
    <font>
      <name val="Cambria"/>
      <charset val="1"/>
      <family val="0"/>
      <color rgb="FF333333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color rgb="FF444444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163A5C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666666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color rgb="FF008000"/>
      <sz val="11"/>
    </font>
    <font>
      <name val="Arial"/>
      <family val="2"/>
      <sz val="10"/>
    </font>
    <font>
      <name val="Cambria"/>
      <charset val="1"/>
      <family val="0"/>
      <b val="1"/>
      <color rgb="FF7F6000"/>
      <sz val="11"/>
    </font>
    <font>
      <b val="1"/>
      <color rgb="00FFFFFF"/>
      <sz val="16"/>
    </font>
    <font>
      <name val="Calibri"/>
      <b val="1"/>
      <color rgb="00FFFFFF"/>
      <sz val="16"/>
    </font>
    <font>
      <name val="Calibri"/>
      <i val="1"/>
      <color rgb="001F2937"/>
      <sz val="10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color rgb="000000FF"/>
      <sz val="10"/>
    </font>
  </fonts>
  <fills count="20">
    <fill>
      <patternFill/>
    </fill>
    <fill>
      <patternFill patternType="gray125"/>
    </fill>
    <fill>
      <patternFill patternType="solid">
        <fgColor rgb="FFEAF3FF"/>
        <bgColor rgb="FFF2F2F2"/>
      </patternFill>
    </fill>
    <fill>
      <patternFill patternType="solid">
        <fgColor rgb="FFF2F2F2"/>
        <bgColor rgb="FFEAF3FF"/>
      </patternFill>
    </fill>
    <fill>
      <patternFill patternType="solid">
        <fgColor rgb="FFE2F0D9"/>
        <bgColor rgb="FFE7E6E6"/>
      </patternFill>
    </fill>
    <fill>
      <patternFill patternType="solid">
        <fgColor rgb="FFFCE4D6"/>
        <bgColor rgb="FFFDE9D9"/>
      </patternFill>
    </fill>
    <fill>
      <patternFill patternType="solid">
        <fgColor rgb="FF163A5C"/>
        <bgColor rgb="FF1F4E78"/>
      </patternFill>
    </fill>
    <fill>
      <patternFill patternType="solid">
        <fgColor rgb="FFD9EAF7"/>
        <bgColor rgb="FFE7E6E6"/>
      </patternFill>
    </fill>
    <fill>
      <patternFill patternType="solid">
        <fgColor rgb="FFEDE7F6"/>
        <bgColor rgb="FFE7E6E6"/>
      </patternFill>
    </fill>
    <fill>
      <patternFill patternType="solid">
        <fgColor rgb="FF1F4E78"/>
        <bgColor rgb="FF163A5C"/>
      </patternFill>
    </fill>
    <fill>
      <patternFill patternType="solid">
        <fgColor rgb="FFE7E6E6"/>
        <bgColor rgb="FFEDE7F6"/>
      </patternFill>
    </fill>
    <fill>
      <patternFill patternType="solid">
        <fgColor rgb="FFFFF2CC"/>
        <bgColor rgb="FFFDE9D9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3F6F9"/>
      </patternFill>
    </fill>
    <fill>
      <patternFill patternType="solid">
        <fgColor rgb="000F766E"/>
      </patternFill>
    </fill>
    <fill>
      <patternFill patternType="solid">
        <fgColor rgb="00D9F2EE"/>
      </patternFill>
    </fill>
  </fills>
  <borders count="2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bottom style="medium">
        <color rgb="00B7C0CE"/>
      </bottom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  <border>
      <left/>
      <right/>
      <top/>
      <bottom style="medium">
        <color rgb="00B7C0CE"/>
      </bottom>
      <diagonal/>
    </border>
    <border>
      <left style="thin">
        <color rgb="00B7C0CE"/>
      </left>
      <right/>
      <top/>
      <bottom/>
      <diagonal/>
    </border>
    <border>
      <left/>
      <right style="thin">
        <color rgb="00B7C0CE"/>
      </right>
      <top/>
      <bottom/>
      <diagonal/>
    </border>
    <border>
      <left style="thin">
        <color rgb="00B7C0CE"/>
      </left>
      <right/>
      <top/>
      <bottom style="thin">
        <color rgb="00B7C0CE"/>
      </bottom>
      <diagonal/>
    </border>
    <border>
      <left/>
      <right/>
      <top/>
      <bottom style="thin">
        <color rgb="00B7C0CE"/>
      </bottom>
      <diagonal/>
    </border>
    <border>
      <left/>
      <right style="thin">
        <color rgb="00B7C0CE"/>
      </right>
      <top/>
      <bottom style="thin">
        <color rgb="00B7C0CE"/>
      </bottom>
      <diagonal/>
    </border>
    <border>
      <right/>
      <bottom style="medium">
        <color rgb="00B7C0C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2" borderId="2" applyAlignment="1" applyProtection="1" pivotButton="0" quotePrefix="0" xfId="0">
      <alignment horizontal="general" vertical="bottom"/>
      <protection locked="0" hidden="0"/>
    </xf>
    <xf numFmtId="0" fontId="12" fillId="6" borderId="2" applyAlignment="1" pivotButton="0" quotePrefix="0" xfId="0">
      <alignment horizontal="center" vertical="center"/>
    </xf>
    <xf numFmtId="0" fontId="4" fillId="7" borderId="2" applyAlignment="1" applyProtection="1" pivotButton="0" quotePrefix="0" xfId="0">
      <alignment horizontal="center" vertical="center"/>
      <protection locked="1" hidden="1"/>
    </xf>
    <xf numFmtId="164" fontId="4" fillId="8" borderId="2" applyAlignment="1" applyProtection="1" pivotButton="0" quotePrefix="0" xfId="0">
      <alignment horizontal="center" vertical="center"/>
      <protection locked="1" hidden="1"/>
    </xf>
    <xf numFmtId="9" fontId="4" fillId="8" borderId="2" applyAlignment="1" applyProtection="1" pivotButton="0" quotePrefix="0" xfId="0">
      <alignment horizontal="center" vertical="center"/>
      <protection locked="1" hidden="1"/>
    </xf>
    <xf numFmtId="0" fontId="12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general" vertical="bottom"/>
    </xf>
    <xf numFmtId="0" fontId="16" fillId="3" borderId="2" applyAlignment="1" applyProtection="1" pivotButton="0" quotePrefix="0" xfId="0">
      <alignment horizontal="center" vertical="center"/>
      <protection locked="1" hidden="1"/>
    </xf>
    <xf numFmtId="164" fontId="16" fillId="3" borderId="2" applyAlignment="1" applyProtection="1" pivotButton="0" quotePrefix="0" xfId="0">
      <alignment horizontal="center" vertical="center"/>
      <protection locked="1" hidden="1"/>
    </xf>
    <xf numFmtId="0" fontId="17" fillId="4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horizontal="general" vertical="bottom"/>
    </xf>
    <xf numFmtId="0" fontId="14" fillId="2" borderId="2" applyAlignment="1" applyProtection="1" pivotButton="0" quotePrefix="0" xfId="0">
      <alignment horizontal="left" vertical="center"/>
      <protection locked="0" hidden="0"/>
    </xf>
    <xf numFmtId="165" fontId="14" fillId="2" borderId="2" applyAlignment="1" applyProtection="1" pivotButton="0" quotePrefix="0" xfId="0">
      <alignment horizontal="left" vertical="center"/>
      <protection locked="0" hidden="0"/>
    </xf>
    <xf numFmtId="164" fontId="14" fillId="2" borderId="2" applyAlignment="1" applyProtection="1" pivotButton="0" quotePrefix="0" xfId="0">
      <alignment horizontal="left" vertical="center"/>
      <protection locked="0" hidden="0"/>
    </xf>
    <xf numFmtId="0" fontId="14" fillId="2" borderId="2" applyAlignment="1" applyProtection="1" pivotButton="0" quotePrefix="0" xfId="0">
      <alignment horizontal="left" vertical="top" wrapText="1"/>
      <protection locked="0" hidden="0"/>
    </xf>
    <xf numFmtId="165" fontId="14" fillId="2" borderId="2" applyAlignment="1" applyProtection="1" pivotButton="0" quotePrefix="0" xfId="0">
      <alignment horizontal="center" vertical="center"/>
      <protection locked="0" hidden="0"/>
    </xf>
    <xf numFmtId="164" fontId="14" fillId="2" borderId="2" applyAlignment="1" applyProtection="1" pivotButton="0" quotePrefix="0" xfId="0">
      <alignment horizontal="center" vertical="center"/>
      <protection locked="0" hidden="0"/>
    </xf>
    <xf numFmtId="1" fontId="16" fillId="3" borderId="2" applyAlignment="1" applyProtection="1" pivotButton="0" quotePrefix="0" xfId="0">
      <alignment horizontal="center" vertical="center"/>
      <protection locked="1" hidden="1"/>
    </xf>
    <xf numFmtId="0" fontId="16" fillId="3" borderId="2" applyAlignment="1" applyProtection="1" pivotButton="0" quotePrefix="0" xfId="0">
      <alignment horizontal="left" vertical="center"/>
      <protection locked="1" hidden="1"/>
    </xf>
    <xf numFmtId="9" fontId="16" fillId="3" borderId="2" applyAlignment="1" applyProtection="1" pivotButton="0" quotePrefix="0" xfId="0">
      <alignment horizontal="center" vertical="center"/>
      <protection locked="1" hidden="1"/>
    </xf>
    <xf numFmtId="164" fontId="17" fillId="4" borderId="2" applyAlignment="1" applyProtection="1" pivotButton="0" quotePrefix="0" xfId="0">
      <alignment horizontal="center" vertical="center"/>
      <protection locked="1" hidden="1"/>
    </xf>
    <xf numFmtId="164" fontId="17" fillId="4" borderId="2" applyAlignment="1" applyProtection="1" pivotButton="0" quotePrefix="0" xfId="0">
      <alignment horizontal="left" vertical="center"/>
      <protection locked="1" hidden="1"/>
    </xf>
    <xf numFmtId="0" fontId="0" fillId="3" borderId="2" applyAlignment="1" applyProtection="1" pivotButton="0" quotePrefix="0" xfId="0">
      <alignment horizontal="center" vertical="center"/>
      <protection locked="1" hidden="1"/>
    </xf>
    <xf numFmtId="0" fontId="19" fillId="11" borderId="2" applyAlignment="1" pivotButton="0" quotePrefix="0" xfId="0">
      <alignment horizontal="left" vertical="top" wrapText="1"/>
    </xf>
    <xf numFmtId="9" fontId="14" fillId="2" borderId="2" applyAlignment="1" applyProtection="1" pivotButton="0" quotePrefix="0" xfId="0">
      <alignment horizontal="center" vertical="center"/>
      <protection locked="0" hidden="0"/>
    </xf>
    <xf numFmtId="164" fontId="4" fillId="7" borderId="2" applyAlignment="1" applyProtection="1" pivotButton="0" quotePrefix="0" xfId="0">
      <alignment horizontal="center" vertical="center"/>
      <protection locked="1" hidden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0" fillId="12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0" fillId="0" borderId="1" pivotButton="0" quotePrefix="0" xfId="0"/>
    <xf numFmtId="0" fontId="8" fillId="2" borderId="2" applyAlignment="1" pivotButton="0" quotePrefix="0" xfId="0">
      <alignment wrapText="1"/>
    </xf>
    <xf numFmtId="0" fontId="9" fillId="0" borderId="2" applyAlignment="1" pivotButton="0" quotePrefix="0" xfId="0">
      <alignment horizontal="left" vertical="center"/>
    </xf>
    <xf numFmtId="0" fontId="10" fillId="3" borderId="2" applyAlignment="1" pivotButton="0" quotePrefix="0" xfId="0">
      <alignment wrapText="1"/>
    </xf>
    <xf numFmtId="0" fontId="11" fillId="4" borderId="2" applyAlignment="1" pivotButton="0" quotePrefix="0" xfId="0">
      <alignment wrapText="1"/>
    </xf>
    <xf numFmtId="0" fontId="10" fillId="5" borderId="2" applyAlignment="1" pivotButton="0" quotePrefix="0" xfId="0">
      <alignment wrapText="1"/>
    </xf>
    <xf numFmtId="0" fontId="12" fillId="6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2" borderId="2" applyAlignment="1" applyProtection="1" pivotButton="0" quotePrefix="0" xfId="0">
      <alignment horizontal="general" vertical="bottom"/>
      <protection locked="0" hidden="0"/>
    </xf>
    <xf numFmtId="0" fontId="12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4" fillId="7" borderId="2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164" fontId="4" fillId="8" borderId="2" applyAlignment="1" applyProtection="1" pivotButton="0" quotePrefix="0" xfId="0">
      <alignment horizontal="center" vertical="center"/>
      <protection locked="1" hidden="1"/>
    </xf>
    <xf numFmtId="9" fontId="4" fillId="8" borderId="2" applyAlignment="1" applyProtection="1" pivotButton="0" quotePrefix="0" xfId="0">
      <alignment horizontal="center" vertical="center"/>
      <protection locked="1" hidden="1"/>
    </xf>
    <xf numFmtId="0" fontId="6" fillId="0" borderId="0" applyAlignment="1" pivotButton="0" quotePrefix="0" xfId="0">
      <alignment horizontal="general" vertical="bottom"/>
    </xf>
    <xf numFmtId="0" fontId="12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general" vertical="bottom"/>
    </xf>
    <xf numFmtId="0" fontId="16" fillId="3" borderId="2" applyAlignment="1" applyProtection="1" pivotButton="0" quotePrefix="0" xfId="0">
      <alignment horizontal="center" vertical="center"/>
      <protection locked="1" hidden="1"/>
    </xf>
    <xf numFmtId="164" fontId="16" fillId="3" borderId="2" applyAlignment="1" applyProtection="1" pivotButton="0" quotePrefix="0" xfId="0">
      <alignment horizontal="center" vertical="center"/>
      <protection locked="1" hidden="1"/>
    </xf>
    <xf numFmtId="0" fontId="17" fillId="4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horizontal="general" vertical="bottom"/>
    </xf>
    <xf numFmtId="0" fontId="21" fillId="12" borderId="10" applyAlignment="1" pivotButton="0" quotePrefix="0" xfId="0">
      <alignment horizontal="left" vertical="center"/>
    </xf>
    <xf numFmtId="0" fontId="22" fillId="13" borderId="11" applyAlignment="1" pivotButton="0" quotePrefix="0" xfId="0">
      <alignment vertical="center" wrapText="1"/>
    </xf>
    <xf numFmtId="0" fontId="23" fillId="12" borderId="11" applyAlignment="1" pivotButton="0" quotePrefix="0" xfId="0">
      <alignment horizontal="center" vertical="center" wrapText="1"/>
    </xf>
    <xf numFmtId="166" fontId="24" fillId="14" borderId="11" applyAlignment="1" pivotButton="0" quotePrefix="0" xfId="0">
      <alignment horizontal="center" vertical="center" wrapText="1"/>
    </xf>
    <xf numFmtId="0" fontId="24" fillId="14" borderId="11" applyAlignment="1" pivotButton="0" quotePrefix="0" xfId="0">
      <alignment horizontal="left" vertical="center" wrapText="1"/>
    </xf>
    <xf numFmtId="1" fontId="24" fillId="14" borderId="11" applyAlignment="1" pivotButton="0" quotePrefix="0" xfId="0">
      <alignment horizontal="center" vertical="center" wrapText="1"/>
    </xf>
    <xf numFmtId="164" fontId="24" fillId="14" borderId="11" applyAlignment="1" pivotButton="0" quotePrefix="0" xfId="0">
      <alignment horizontal="center" vertical="center" wrapText="1"/>
    </xf>
    <xf numFmtId="0" fontId="25" fillId="15" borderId="1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14" fillId="2" borderId="2" applyAlignment="1" applyProtection="1" pivotButton="0" quotePrefix="0" xfId="0">
      <alignment horizontal="left" vertical="center"/>
      <protection locked="0" hidden="0"/>
    </xf>
    <xf numFmtId="165" fontId="14" fillId="2" borderId="2" applyAlignment="1" applyProtection="1" pivotButton="0" quotePrefix="0" xfId="0">
      <alignment horizontal="left" vertical="center"/>
      <protection locked="0" hidden="0"/>
    </xf>
    <xf numFmtId="164" fontId="14" fillId="2" borderId="2" applyAlignment="1" applyProtection="1" pivotButton="0" quotePrefix="0" xfId="0">
      <alignment horizontal="left" vertical="center"/>
      <protection locked="0" hidden="0"/>
    </xf>
    <xf numFmtId="0" fontId="14" fillId="2" borderId="2" applyAlignment="1" applyProtection="1" pivotButton="0" quotePrefix="0" xfId="0">
      <alignment horizontal="left" vertical="top" wrapText="1"/>
      <protection locked="0" hidden="0"/>
    </xf>
    <xf numFmtId="165" fontId="14" fillId="2" borderId="2" applyAlignment="1" applyProtection="1" pivotButton="0" quotePrefix="0" xfId="0">
      <alignment horizontal="center" vertical="center"/>
      <protection locked="0" hidden="0"/>
    </xf>
    <xf numFmtId="164" fontId="14" fillId="2" borderId="2" applyAlignment="1" applyProtection="1" pivotButton="0" quotePrefix="0" xfId="0">
      <alignment horizontal="center" vertical="center"/>
      <protection locked="0" hidden="0"/>
    </xf>
    <xf numFmtId="1" fontId="16" fillId="3" borderId="2" applyAlignment="1" applyProtection="1" pivotButton="0" quotePrefix="0" xfId="0">
      <alignment horizontal="center" vertical="center"/>
      <protection locked="1" hidden="1"/>
    </xf>
    <xf numFmtId="0" fontId="16" fillId="3" borderId="2" applyAlignment="1" applyProtection="1" pivotButton="0" quotePrefix="0" xfId="0">
      <alignment horizontal="left" vertical="center"/>
      <protection locked="1" hidden="1"/>
    </xf>
    <xf numFmtId="9" fontId="16" fillId="3" borderId="2" applyAlignment="1" applyProtection="1" pivotButton="0" quotePrefix="0" xfId="0">
      <alignment horizontal="center" vertical="center"/>
      <protection locked="1" hidden="1"/>
    </xf>
    <xf numFmtId="164" fontId="17" fillId="4" borderId="2" applyAlignment="1" applyProtection="1" pivotButton="0" quotePrefix="0" xfId="0">
      <alignment horizontal="center" vertical="center"/>
      <protection locked="1" hidden="1"/>
    </xf>
    <xf numFmtId="0" fontId="25" fillId="13" borderId="11" applyAlignment="1" pivotButton="0" quotePrefix="0" xfId="0">
      <alignment horizontal="left" vertical="center"/>
    </xf>
    <xf numFmtId="0" fontId="25" fillId="14" borderId="11" applyAlignment="1" applyProtection="1" pivotButton="0" quotePrefix="0" xfId="0">
      <alignment horizontal="left" vertical="center" wrapText="1"/>
      <protection locked="0" hidden="0"/>
    </xf>
    <xf numFmtId="0" fontId="24" fillId="14" borderId="11" applyAlignment="1" applyProtection="1" pivotButton="0" quotePrefix="0" xfId="0">
      <alignment horizontal="left" vertical="center" wrapText="1"/>
      <protection locked="0" hidden="0"/>
    </xf>
    <xf numFmtId="0" fontId="25" fillId="16" borderId="11" applyAlignment="1" pivotButton="0" quotePrefix="0" xfId="0">
      <alignment horizontal="center" vertical="center" wrapText="1"/>
    </xf>
    <xf numFmtId="1" fontId="26" fillId="17" borderId="11" applyAlignment="1" pivotButton="0" quotePrefix="0" xfId="0">
      <alignment horizontal="center" vertical="center"/>
    </xf>
    <xf numFmtId="164" fontId="26" fillId="17" borderId="11" applyAlignment="1" pivotButton="0" quotePrefix="0" xfId="0">
      <alignment horizontal="center" vertical="center"/>
    </xf>
    <xf numFmtId="0" fontId="27" fillId="18" borderId="11" applyAlignment="1" pivotButton="0" quotePrefix="0" xfId="0">
      <alignment horizontal="left" vertical="center"/>
    </xf>
    <xf numFmtId="0" fontId="23" fillId="18" borderId="11" applyAlignment="1" pivotButton="0" quotePrefix="0" xfId="0">
      <alignment horizontal="center" vertical="center" wrapText="1"/>
    </xf>
    <xf numFmtId="0" fontId="24" fillId="14" borderId="11" applyAlignment="1" pivotButton="0" quotePrefix="0" xfId="0">
      <alignment horizontal="center" vertical="center" wrapText="1"/>
    </xf>
    <xf numFmtId="0" fontId="24" fillId="15" borderId="11" applyAlignment="1" pivotButton="0" quotePrefix="0" xfId="0">
      <alignment vertical="top" wrapText="1"/>
    </xf>
    <xf numFmtId="167" fontId="24" fillId="14" borderId="11" applyAlignment="1" pivotButton="0" quotePrefix="0" xfId="0">
      <alignment horizontal="center" vertical="center" wrapText="1"/>
    </xf>
    <xf numFmtId="9" fontId="14" fillId="2" borderId="2" applyAlignment="1" applyProtection="1" pivotButton="0" quotePrefix="0" xfId="0">
      <alignment horizontal="center" vertical="center"/>
      <protection locked="0" hidden="0"/>
    </xf>
    <xf numFmtId="168" fontId="28" fillId="14" borderId="11" applyAlignment="1" applyProtection="1" pivotButton="0" quotePrefix="0" xfId="0">
      <alignment horizontal="left" vertical="center"/>
      <protection locked="0" hidden="0"/>
    </xf>
    <xf numFmtId="49" fontId="24" fillId="14" borderId="11" applyAlignment="1" pivotButton="0" quotePrefix="0" xfId="0">
      <alignment horizontal="left" vertical="center" wrapText="1"/>
    </xf>
    <xf numFmtId="0" fontId="24" fillId="15" borderId="11" applyAlignment="1" pivotButton="0" quotePrefix="0" xfId="0">
      <alignment vertical="center" wrapText="1"/>
    </xf>
    <xf numFmtId="0" fontId="26" fillId="17" borderId="11" applyAlignment="1" pivotButton="0" quotePrefix="0" xfId="0">
      <alignment horizontal="center" vertical="center"/>
    </xf>
    <xf numFmtId="0" fontId="24" fillId="13" borderId="11" applyAlignment="1" pivotButton="0" quotePrefix="0" xfId="0">
      <alignment vertical="top" wrapText="1"/>
    </xf>
    <xf numFmtId="0" fontId="25" fillId="14" borderId="11" applyAlignment="1" pivotButton="0" quotePrefix="0" xfId="0">
      <alignment horizontal="left" vertical="center" wrapText="1"/>
    </xf>
    <xf numFmtId="0" fontId="25" fillId="19" borderId="11" applyAlignment="1" pivotButton="0" quotePrefix="0" xfId="0">
      <alignment horizontal="left" vertical="center" wrapText="1"/>
    </xf>
    <xf numFmtId="0" fontId="24" fillId="19" borderId="11" applyAlignment="1" pivotButton="0" quotePrefix="0" xfId="0">
      <alignment horizontal="left" vertical="center" wrapText="1"/>
    </xf>
    <xf numFmtId="0" fontId="25" fillId="13" borderId="11" applyAlignment="1" pivotButton="0" quotePrefix="0" xfId="0">
      <alignment horizontal="left" vertical="center" wrapText="1"/>
    </xf>
    <xf numFmtId="168" fontId="25" fillId="14" borderId="11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4" pivotButton="0" quotePrefix="0" xfId="0"/>
    <xf numFmtId="0" fontId="0" fillId="0" borderId="15" pivotButton="0" quotePrefix="0" xfId="0"/>
    <xf numFmtId="166" fontId="24" fillId="14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7" fontId="24" fillId="14" borderId="1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1" fillId="12" borderId="2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3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6C87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E7E6E6"/>
      <rgbColor rgb="FF555555"/>
      <rgbColor rgb="FF9999FF"/>
      <rgbColor rgb="FF993366"/>
      <rgbColor rgb="FFFFF2CC"/>
      <rgbColor rgb="FFD9EA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F"/>
      <rgbColor rgb="FFE2F0D9"/>
      <rgbColor rgb="FFFDE9D9"/>
      <rgbColor rgb="FFEDE7F6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63A5C"/>
      <rgbColor rgb="FF339966"/>
      <rgbColor rgb="FF003300"/>
      <rgbColor rgb="FF444444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Enter the employee name exactly as you want it to appear in task assignment dropdowns.</t>
      </text>
    </comment>
    <comment ref="H5" authorId="0" shapeId="0">
      <text>
        <t>Typical weekly working capacity in hours (for workload analysis).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39" min="1" max="1"/>
    <col width="55" customWidth="1" style="39" min="2" max="2"/>
    <col width="3" customWidth="1" style="39" min="3" max="3"/>
    <col width="18" customWidth="1" style="39" min="4" max="10"/>
  </cols>
  <sheetData>
    <row r="1" ht="20" customHeight="1" s="40">
      <c r="A1" s="41" t="inlineStr">
        <is>
          <t>Project Tracker Instructions</t>
        </is>
      </c>
    </row>
    <row r="2" ht="20" customHeight="1" s="40">
      <c r="A2" s="42" t="inlineStr">
        <is>
          <t>Use Employee_Master for employees and Task_Tracker for all task entry. Monthly tabs show due tasks by month and auto-display carry-forward open tasks from earlier months.</t>
        </is>
      </c>
    </row>
    <row r="3" ht="20" customHeight="1" s="40">
      <c r="A3" s="43" t="inlineStr">
        <is>
          <t>Workflow</t>
        </is>
      </c>
    </row>
    <row r="4" ht="20" customHeight="1" s="40">
      <c r="A4" s="44" t="inlineStr">
        <is>
          <t>1. Add or update employees in Employee_Master.</t>
        </is>
      </c>
    </row>
    <row r="5" ht="20" customHeight="1" s="40">
      <c r="A5" s="43" t="inlineStr">
        <is>
          <t>2. Add or edit tasks only in Task_Tracker.</t>
        </is>
      </c>
    </row>
    <row r="6" ht="20" customHeight="1" s="40">
      <c r="A6" s="45" t="inlineStr">
        <is>
          <t>3. Due Date controls the month-wise reporting tabs.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</row>
    <row r="7" ht="20" customHeight="1" s="40">
      <c r="A7" s="45" t="inlineStr">
        <is>
          <t>4. Any task not marked Completed or Cancelled before a later month will appear in Carry Forward for that month.</t>
        </is>
      </c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</row>
    <row r="8" ht="20" customHeight="1" s="40">
      <c r="A8" s="45" t="inlineStr">
        <is>
          <t>5. Use Monthly_Report_Summary for month-wise totals and employee report tabs for individual performance.</t>
        </is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</row>
    <row r="9" ht="20" customHeight="1" s="40">
      <c r="A9" s="45" t="inlineStr">
        <is>
          <t>Editable areas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</row>
    <row r="10" ht="20" customHeight="1" s="40">
      <c r="A10" s="45" t="inlineStr">
        <is>
          <t>Unlocked input cells are available in Employee_Master, Task_Tracker, and B4/B5 on the general Employee_Report.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</row>
    <row r="11" ht="20" customHeight="1" s="40">
      <c r="A11" s="45" t="inlineStr">
        <is>
          <t>Protection password</t>
        </is>
      </c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</row>
    <row r="12" ht="20" customHeight="1" s="40">
      <c r="A12" s="43" t="inlineStr">
        <is>
          <t>TaskLock2026!</t>
        </is>
      </c>
    </row>
    <row r="13" ht="20" customHeight="1" s="40">
      <c r="A13" s="44" t="inlineStr">
        <is>
          <t>Reporting logic</t>
        </is>
      </c>
    </row>
    <row r="14" ht="20" customHeight="1" s="40">
      <c r="A14" s="47" t="inlineStr">
        <is>
          <t>Tasks Due This Month = tasks with Due Date inside the month.</t>
        </is>
      </c>
      <c r="B14" s="48" t="inlineStr">
        <is>
          <t>User input</t>
        </is>
      </c>
    </row>
    <row r="15" ht="20" customHeight="1" s="40">
      <c r="A15" s="49" t="inlineStr">
        <is>
          <t>Completed = tasks in that month bucket with Status = Completed.</t>
        </is>
      </c>
      <c r="B15" s="48" t="inlineStr">
        <is>
          <t>Auto-calculated / locked</t>
        </is>
      </c>
    </row>
    <row r="16" ht="20" customHeight="1" s="40">
      <c r="A16" s="50" t="inlineStr">
        <is>
          <t>Carry Forward = tasks with Due Date before the month start that are still not Completed/Cancelled.</t>
        </is>
      </c>
      <c r="B16" s="48" t="inlineStr">
        <is>
          <t>Linked from another sheet</t>
        </is>
      </c>
    </row>
    <row r="17" ht="20" customHeight="1" s="40">
      <c r="A17" s="51" t="inlineStr">
        <is>
          <t>Hours are summarized from the task-level Actual Hours field.</t>
        </is>
      </c>
      <c r="B17" s="48" t="inlineStr">
        <is>
          <t>Overdue or attention needed</t>
        </is>
      </c>
    </row>
    <row r="18" ht="15" customHeight="1" s="40">
      <c r="A18" s="52" t="inlineStr">
        <is>
          <t>Dark blue bars</t>
        </is>
      </c>
      <c r="B18" s="48" t="inlineStr">
        <is>
          <t>Section headers / KPI blocks</t>
        </is>
      </c>
    </row>
    <row r="20">
      <c r="A20" s="39" t="inlineStr">
        <is>
          <t>Latest updates</t>
        </is>
      </c>
    </row>
    <row r="21">
      <c r="A21" s="39" t="inlineStr">
        <is>
          <t>- Employee names now come from Employee_Master: Pammi Gaur and Pankaj Vairagade.</t>
        </is>
      </c>
    </row>
    <row r="22">
      <c r="A22" s="39" t="inlineStr">
        <is>
          <t>- Use Task_Tracker column AA for Source. Manager, report status, and linked step IDs are auto-filled.</t>
        </is>
      </c>
    </row>
    <row r="23">
      <c r="A23" s="39" t="inlineStr">
        <is>
          <t>- Use Task_Steps Parent Task ID dropdown to map each step back to the Task_Tracker.</t>
        </is>
      </c>
    </row>
    <row r="24">
      <c r="A24" s="39" t="inlineStr">
        <is>
          <t>- Employee and manager reports now pull directly from Task_Tracker and Task_Steps.</t>
        </is>
      </c>
    </row>
  </sheetData>
  <mergeCells count="8">
    <mergeCell ref="A1:J1"/>
    <mergeCell ref="A8:J8"/>
    <mergeCell ref="A6:J6"/>
    <mergeCell ref="A9:J9"/>
    <mergeCell ref="A7:J7"/>
    <mergeCell ref="A2:J2"/>
    <mergeCell ref="A10:J10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39" min="1" max="1"/>
    <col width="14" customWidth="1" style="39" min="2" max="9"/>
    <col width="16" customWidth="1" style="39" min="10" max="14"/>
  </cols>
  <sheetData>
    <row r="1" ht="19.5" customHeight="1" s="40">
      <c r="A1" s="53" t="inlineStr">
        <is>
          <t>Dashboard</t>
        </is>
      </c>
    </row>
    <row r="2" ht="15" customHeight="1" s="40">
      <c r="A2" s="42" t="inlineStr">
        <is>
          <t>Dashboard summary of project delivery. Use Monthly_Report_Summary and month tabs for month-wise reporting.</t>
        </is>
      </c>
    </row>
    <row r="4" ht="15" customHeight="1" s="40">
      <c r="A4" s="54" t="inlineStr">
        <is>
          <t>Selected Month</t>
        </is>
      </c>
      <c r="B4" s="55" t="inlineStr">
        <is>
          <t>All</t>
        </is>
      </c>
    </row>
    <row r="6" ht="15" customHeight="1" s="40">
      <c r="A6" s="56" t="inlineStr">
        <is>
          <t>Total Tasks</t>
        </is>
      </c>
      <c r="B6" s="57" t="n"/>
      <c r="D6" s="56" t="inlineStr">
        <is>
          <t>Open Tasks</t>
        </is>
      </c>
      <c r="E6" s="57" t="n"/>
      <c r="G6" s="56" t="inlineStr">
        <is>
          <t>Completed</t>
        </is>
      </c>
      <c r="H6" s="57" t="n"/>
      <c r="J6" s="56" t="inlineStr">
        <is>
          <t>Overdue</t>
        </is>
      </c>
      <c r="K6" s="57" t="n"/>
    </row>
    <row r="7" ht="19.5" customHeight="1" s="40">
      <c r="A7" s="58">
        <f>IF($B$4="All",COUNTIF(Task_Tracker!$D$5:$D$1004,"&lt;&gt;"),COUNTIFS(Task_Tracker!$S$5:$S$1004,$B$4,Task_Tracker!$D$5:$D$1004,"&lt;&gt;"))</f>
        <v/>
      </c>
      <c r="B7" s="59" t="n"/>
      <c r="D7" s="58">
        <f>IF($B$4="All",COUNTIFS(Task_Tracker!$D$5:$D$1004,"&lt;&gt;",Task_Tracker!$I$5:$I$1004,"&lt;&gt;Completed",Task_Tracker!$I$5:$I$1004,"&lt;&gt;Cancelled"),COUNTIFS(Task_Tracker!$S$5:$S$1004,$B$4,Task_Tracker!$I$5:$I$1004,"&lt;&gt;Completed",Task_Tracker!$I$5:$I$1004,"&lt;&gt;Cancelled"))</f>
        <v/>
      </c>
      <c r="E7" s="59" t="n"/>
      <c r="G7" s="58">
        <f>IF($B$4="All",COUNTIFS(Task_Tracker!$I$5:$I$1004,"Completed"),COUNTIFS(Task_Tracker!$S$5:$S$1004,$B$4,Task_Tracker!$I$5:$I$1004,"Completed"))</f>
        <v/>
      </c>
      <c r="H7" s="59" t="n"/>
      <c r="J7" s="58">
        <f>IF($B$4="All",COUNTIFS(Task_Tracker!$R$5:$R$1004,"Overdue"),COUNTIFS(Task_Tracker!$S$5:$S$1004,$B$4,Task_Tracker!$R$5:$R$1004,"Overdue"))</f>
        <v/>
      </c>
      <c r="K7" s="59" t="n"/>
    </row>
    <row r="9" ht="15" customHeight="1" s="40">
      <c r="A9" s="56" t="inlineStr">
        <is>
          <t>Estimated Hours</t>
        </is>
      </c>
      <c r="B9" s="57" t="n"/>
      <c r="D9" s="56" t="inlineStr">
        <is>
          <t>Actual Hours</t>
        </is>
      </c>
      <c r="E9" s="57" t="n"/>
      <c r="G9" s="56" t="inlineStr">
        <is>
          <t>Hours Variance</t>
        </is>
      </c>
      <c r="H9" s="57" t="n"/>
      <c r="J9" s="56" t="inlineStr">
        <is>
          <t>Completion Rate</t>
        </is>
      </c>
      <c r="K9" s="57" t="n"/>
    </row>
    <row r="10" ht="19.5" customHeight="1" s="40">
      <c r="A10" s="60">
        <f>IF($B$4="All",SUM(Task_Tracker!$N$5:$N$1004),SUMIFS(Task_Tracker!$N$5:$N$1004,Task_Tracker!$S$5:$S$1004,$B$4))</f>
        <v/>
      </c>
      <c r="B10" s="59" t="n"/>
      <c r="D10" s="60">
        <f>IF($B$4="All",SUM(Task_Tracker!$O$5:$O$1004),SUMIFS(Task_Tracker!$O$5:$O$1004,Task_Tracker!$S$5:$S$1004,$B$4))</f>
        <v/>
      </c>
      <c r="E10" s="59" t="n"/>
      <c r="G10" s="60">
        <f>IF(OR(A10="",D10=""),"",D10-A10)</f>
        <v/>
      </c>
      <c r="H10" s="59" t="n"/>
      <c r="J10" s="61">
        <f>IFERROR(G7/A7,"")</f>
        <v/>
      </c>
      <c r="K10" s="59" t="n"/>
    </row>
    <row r="13" ht="15" customHeight="1" s="40">
      <c r="A13" s="62" t="inlineStr">
        <is>
          <t>12-month trend</t>
        </is>
      </c>
      <c r="F13" s="62" t="inlineStr">
        <is>
          <t>Status summary</t>
        </is>
      </c>
      <c r="I13" s="62" t="inlineStr">
        <is>
          <t>Employee workload snapshot</t>
        </is>
      </c>
    </row>
    <row r="14" ht="21.75" customHeight="1" s="40">
      <c r="A14" s="63" t="inlineStr">
        <is>
          <t>Month</t>
        </is>
      </c>
      <c r="B14" s="63" t="inlineStr">
        <is>
          <t>Tasks Due</t>
        </is>
      </c>
      <c r="C14" s="63" t="inlineStr">
        <is>
          <t>Completed</t>
        </is>
      </c>
      <c r="D14" s="63" t="inlineStr">
        <is>
          <t>Actual Hours</t>
        </is>
      </c>
      <c r="F14" s="63" t="inlineStr">
        <is>
          <t>Status</t>
        </is>
      </c>
      <c r="G14" s="63" t="inlineStr">
        <is>
          <t>Count</t>
        </is>
      </c>
      <c r="I14" s="63" t="inlineStr">
        <is>
          <t>Employee</t>
        </is>
      </c>
      <c r="J14" s="63" t="inlineStr">
        <is>
          <t>Tasks</t>
        </is>
      </c>
      <c r="K14" s="63" t="inlineStr">
        <is>
          <t>Actual Hrs</t>
        </is>
      </c>
      <c r="L14" s="63" t="inlineStr">
        <is>
          <t>Overdue</t>
        </is>
      </c>
    </row>
    <row r="15" ht="15" customHeight="1" s="40">
      <c r="A15" s="64" t="inlineStr">
        <is>
          <t>2026-04</t>
        </is>
      </c>
      <c r="B15" s="65">
        <f>COUNTIFS(Task_Tracker!$S$5:$S$1004,$A15,Task_Tracker!$A$5:$A$1004,"&lt;&gt;")</f>
        <v/>
      </c>
      <c r="C15" s="65">
        <f>COUNTIFS(Task_Tracker!$S$5:$S$1004,$A15,Task_Tracker!$I$5:$I$1004,"Completed")</f>
        <v/>
      </c>
      <c r="D15" s="66">
        <f>SUMIFS(Task_Tracker!$O$5:$O$1004,Task_Tracker!$S$5:$S$1004,$A15)</f>
        <v/>
      </c>
      <c r="F15" s="64" t="inlineStr">
        <is>
          <t>Not Started</t>
        </is>
      </c>
      <c r="G15" s="65">
        <f>IF($B$4="All",COUNTIFS(Task_Tracker!$I$5:$I$1004,$F15),COUNTIFS(Task_Tracker!$S$5:$S$1004,$B$4,Task_Tracker!$I$5:$I$1004,$F15))</f>
        <v/>
      </c>
      <c r="I15" s="67">
        <f>Employee_Summary!B5</f>
        <v/>
      </c>
      <c r="J15" s="65">
        <f>IF($I15="","",IF($B$4="All",COUNTIF(Task_Tracker!$F$5:$F$1004,$I15),COUNTIFS(Task_Tracker!$F$5:$F$1004,$I15,Task_Tracker!$S$5:$S$1004,$B$4)))</f>
        <v/>
      </c>
      <c r="K15" s="66">
        <f>IF($I15="","",IF($B$4="All",SUMIF(Task_Tracker!$F$5:$F$1004,$I15,Task_Tracker!$O$5:$O$1004),SUMIFS(Task_Tracker!$O$5:$O$1004,Task_Tracker!$F$5:$F$1004,$I15,Task_Tracker!$S$5:$S$1004,$B$4)))</f>
        <v/>
      </c>
      <c r="L15" s="65">
        <f>IF($I15="","",IF($B$4="All",COUNTIFS(Task_Tracker!$F$5:$F$1004,$I15,Task_Tracker!$R$5:$R$1004,"Overdue"),COUNTIFS(Task_Tracker!$F$5:$F$1004,$I15,Task_Tracker!$R$5:$R$1004,"Overdue",Task_Tracker!$S$5:$S$1004,$B$4)))</f>
        <v/>
      </c>
    </row>
    <row r="16" ht="15" customHeight="1" s="40">
      <c r="A16" s="64" t="inlineStr">
        <is>
          <t>2026-05</t>
        </is>
      </c>
      <c r="B16" s="65">
        <f>COUNTIFS(Task_Tracker!$S$5:$S$1004,$A16,Task_Tracker!$A$5:$A$1004,"&lt;&gt;")</f>
        <v/>
      </c>
      <c r="C16" s="65">
        <f>COUNTIFS(Task_Tracker!$S$5:$S$1004,$A16,Task_Tracker!$I$5:$I$1004,"Completed")</f>
        <v/>
      </c>
      <c r="D16" s="66">
        <f>SUMIFS(Task_Tracker!$O$5:$O$1004,Task_Tracker!$S$5:$S$1004,$A16)</f>
        <v/>
      </c>
      <c r="F16" s="64" t="inlineStr">
        <is>
          <t>In Progress</t>
        </is>
      </c>
      <c r="G16" s="65">
        <f>IF($B$4="All",COUNTIFS(Task_Tracker!$I$5:$I$1004,$F16),COUNTIFS(Task_Tracker!$S$5:$S$1004,$B$4,Task_Tracker!$I$5:$I$1004,$F16))</f>
        <v/>
      </c>
      <c r="I16" s="67">
        <f>Employee_Summary!B6</f>
        <v/>
      </c>
      <c r="J16" s="65">
        <f>IF($I16="","",IF($B$4="All",COUNTIF(Task_Tracker!$F$5:$F$1004,$I16),COUNTIFS(Task_Tracker!$F$5:$F$1004,$I16,Task_Tracker!$S$5:$S$1004,$B$4)))</f>
        <v/>
      </c>
      <c r="K16" s="66">
        <f>IF($I16="","",IF($B$4="All",SUMIF(Task_Tracker!$F$5:$F$1004,$I16,Task_Tracker!$O$5:$O$1004),SUMIFS(Task_Tracker!$O$5:$O$1004,Task_Tracker!$F$5:$F$1004,$I16,Task_Tracker!$S$5:$S$1004,$B$4)))</f>
        <v/>
      </c>
      <c r="L16" s="65">
        <f>IF($I16="","",IF($B$4="All",COUNTIFS(Task_Tracker!$F$5:$F$1004,$I16,Task_Tracker!$R$5:$R$1004,"Overdue"),COUNTIFS(Task_Tracker!$F$5:$F$1004,$I16,Task_Tracker!$R$5:$R$1004,"Overdue",Task_Tracker!$S$5:$S$1004,$B$4)))</f>
        <v/>
      </c>
    </row>
    <row r="17" ht="15" customHeight="1" s="40">
      <c r="A17" s="64" t="inlineStr">
        <is>
          <t>2026-06</t>
        </is>
      </c>
      <c r="B17" s="65">
        <f>COUNTIFS(Task_Tracker!$S$5:$S$1004,$A17,Task_Tracker!$A$5:$A$1004,"&lt;&gt;")</f>
        <v/>
      </c>
      <c r="C17" s="65">
        <f>COUNTIFS(Task_Tracker!$S$5:$S$1004,$A17,Task_Tracker!$I$5:$I$1004,"Completed")</f>
        <v/>
      </c>
      <c r="D17" s="66">
        <f>SUMIFS(Task_Tracker!$O$5:$O$1004,Task_Tracker!$S$5:$S$1004,$A17)</f>
        <v/>
      </c>
      <c r="F17" s="64" t="inlineStr">
        <is>
          <t>Review</t>
        </is>
      </c>
      <c r="G17" s="65">
        <f>IF($B$4="All",COUNTIFS(Task_Tracker!$I$5:$I$1004,$F17),COUNTIFS(Task_Tracker!$S$5:$S$1004,$B$4,Task_Tracker!$I$5:$I$1004,$F17))</f>
        <v/>
      </c>
      <c r="I17" s="67">
        <f>Employee_Summary!B7</f>
        <v/>
      </c>
      <c r="J17" s="65">
        <f>IF($I17="","",IF($B$4="All",COUNTIF(Task_Tracker!$F$5:$F$1004,$I17),COUNTIFS(Task_Tracker!$F$5:$F$1004,$I17,Task_Tracker!$S$5:$S$1004,$B$4)))</f>
        <v/>
      </c>
      <c r="K17" s="66">
        <f>IF($I17="","",IF($B$4="All",SUMIF(Task_Tracker!$F$5:$F$1004,$I17,Task_Tracker!$O$5:$O$1004),SUMIFS(Task_Tracker!$O$5:$O$1004,Task_Tracker!$F$5:$F$1004,$I17,Task_Tracker!$S$5:$S$1004,$B$4)))</f>
        <v/>
      </c>
      <c r="L17" s="65">
        <f>IF($I17="","",IF($B$4="All",COUNTIFS(Task_Tracker!$F$5:$F$1004,$I17,Task_Tracker!$R$5:$R$1004,"Overdue"),COUNTIFS(Task_Tracker!$F$5:$F$1004,$I17,Task_Tracker!$R$5:$R$1004,"Overdue",Task_Tracker!$S$5:$S$1004,$B$4)))</f>
        <v/>
      </c>
    </row>
    <row r="18" ht="15" customHeight="1" s="40">
      <c r="A18" s="64" t="inlineStr">
        <is>
          <t>2026-07</t>
        </is>
      </c>
      <c r="B18" s="65">
        <f>COUNTIFS(Task_Tracker!$S$5:$S$1004,$A18,Task_Tracker!$A$5:$A$1004,"&lt;&gt;")</f>
        <v/>
      </c>
      <c r="C18" s="65">
        <f>COUNTIFS(Task_Tracker!$S$5:$S$1004,$A18,Task_Tracker!$I$5:$I$1004,"Completed")</f>
        <v/>
      </c>
      <c r="D18" s="66">
        <f>SUMIFS(Task_Tracker!$O$5:$O$1004,Task_Tracker!$S$5:$S$1004,$A18)</f>
        <v/>
      </c>
      <c r="F18" s="64" t="inlineStr">
        <is>
          <t>On Hold</t>
        </is>
      </c>
      <c r="G18" s="65">
        <f>IF($B$4="All",COUNTIFS(Task_Tracker!$I$5:$I$1004,$F18),COUNTIFS(Task_Tracker!$S$5:$S$1004,$B$4,Task_Tracker!$I$5:$I$1004,$F18))</f>
        <v/>
      </c>
      <c r="I18" s="67">
        <f>Employee_Summary!B8</f>
        <v/>
      </c>
      <c r="J18" s="65">
        <f>IF($I18="","",IF($B$4="All",COUNTIF(Task_Tracker!$F$5:$F$1004,$I18),COUNTIFS(Task_Tracker!$F$5:$F$1004,$I18,Task_Tracker!$S$5:$S$1004,$B$4)))</f>
        <v/>
      </c>
      <c r="K18" s="66">
        <f>IF($I18="","",IF($B$4="All",SUMIF(Task_Tracker!$F$5:$F$1004,$I18,Task_Tracker!$O$5:$O$1004),SUMIFS(Task_Tracker!$O$5:$O$1004,Task_Tracker!$F$5:$F$1004,$I18,Task_Tracker!$S$5:$S$1004,$B$4)))</f>
        <v/>
      </c>
      <c r="L18" s="65">
        <f>IF($I18="","",IF($B$4="All",COUNTIFS(Task_Tracker!$F$5:$F$1004,$I18,Task_Tracker!$R$5:$R$1004,"Overdue"),COUNTIFS(Task_Tracker!$F$5:$F$1004,$I18,Task_Tracker!$R$5:$R$1004,"Overdue",Task_Tracker!$S$5:$S$1004,$B$4)))</f>
        <v/>
      </c>
    </row>
    <row r="19" ht="15" customHeight="1" s="40">
      <c r="A19" s="64" t="inlineStr">
        <is>
          <t>2026-08</t>
        </is>
      </c>
      <c r="B19" s="65">
        <f>COUNTIFS(Task_Tracker!$S$5:$S$1004,$A19,Task_Tracker!$A$5:$A$1004,"&lt;&gt;")</f>
        <v/>
      </c>
      <c r="C19" s="65">
        <f>COUNTIFS(Task_Tracker!$S$5:$S$1004,$A19,Task_Tracker!$I$5:$I$1004,"Completed")</f>
        <v/>
      </c>
      <c r="D19" s="66">
        <f>SUMIFS(Task_Tracker!$O$5:$O$1004,Task_Tracker!$S$5:$S$1004,$A19)</f>
        <v/>
      </c>
      <c r="F19" s="64" t="inlineStr">
        <is>
          <t>Blocked</t>
        </is>
      </c>
      <c r="G19" s="65">
        <f>IF($B$4="All",COUNTIFS(Task_Tracker!$I$5:$I$1004,$F19),COUNTIFS(Task_Tracker!$S$5:$S$1004,$B$4,Task_Tracker!$I$5:$I$1004,$F19))</f>
        <v/>
      </c>
      <c r="I19" s="67">
        <f>Employee_Summary!B9</f>
        <v/>
      </c>
      <c r="J19" s="65">
        <f>IF($I19="","",IF($B$4="All",COUNTIF(Task_Tracker!$F$5:$F$1004,$I19),COUNTIFS(Task_Tracker!$F$5:$F$1004,$I19,Task_Tracker!$S$5:$S$1004,$B$4)))</f>
        <v/>
      </c>
      <c r="K19" s="66">
        <f>IF($I19="","",IF($B$4="All",SUMIF(Task_Tracker!$F$5:$F$1004,$I19,Task_Tracker!$O$5:$O$1004),SUMIFS(Task_Tracker!$O$5:$O$1004,Task_Tracker!$F$5:$F$1004,$I19,Task_Tracker!$S$5:$S$1004,$B$4)))</f>
        <v/>
      </c>
      <c r="L19" s="65">
        <f>IF($I19="","",IF($B$4="All",COUNTIFS(Task_Tracker!$F$5:$F$1004,$I19,Task_Tracker!$R$5:$R$1004,"Overdue"),COUNTIFS(Task_Tracker!$F$5:$F$1004,$I19,Task_Tracker!$R$5:$R$1004,"Overdue",Task_Tracker!$S$5:$S$1004,$B$4)))</f>
        <v/>
      </c>
    </row>
    <row r="20" ht="15" customHeight="1" s="40">
      <c r="A20" s="64" t="inlineStr">
        <is>
          <t>2026-09</t>
        </is>
      </c>
      <c r="B20" s="65">
        <f>COUNTIFS(Task_Tracker!$S$5:$S$1004,$A20,Task_Tracker!$A$5:$A$1004,"&lt;&gt;")</f>
        <v/>
      </c>
      <c r="C20" s="65">
        <f>COUNTIFS(Task_Tracker!$S$5:$S$1004,$A20,Task_Tracker!$I$5:$I$1004,"Completed")</f>
        <v/>
      </c>
      <c r="D20" s="66">
        <f>SUMIFS(Task_Tracker!$O$5:$O$1004,Task_Tracker!$S$5:$S$1004,$A20)</f>
        <v/>
      </c>
      <c r="F20" s="64" t="inlineStr">
        <is>
          <t>Completed</t>
        </is>
      </c>
      <c r="G20" s="65">
        <f>IF($B$4="All",COUNTIFS(Task_Tracker!$I$5:$I$1004,$F20),COUNTIFS(Task_Tracker!$S$5:$S$1004,$B$4,Task_Tracker!$I$5:$I$1004,$F20))</f>
        <v/>
      </c>
      <c r="I20" s="67">
        <f>Employee_Summary!B10</f>
        <v/>
      </c>
      <c r="J20" s="65">
        <f>IF($I20="","",IF($B$4="All",COUNTIF(Task_Tracker!$F$5:$F$1004,$I20),COUNTIFS(Task_Tracker!$F$5:$F$1004,$I20,Task_Tracker!$S$5:$S$1004,$B$4)))</f>
        <v/>
      </c>
      <c r="K20" s="66">
        <f>IF($I20="","",IF($B$4="All",SUMIF(Task_Tracker!$F$5:$F$1004,$I20,Task_Tracker!$O$5:$O$1004),SUMIFS(Task_Tracker!$O$5:$O$1004,Task_Tracker!$F$5:$F$1004,$I20,Task_Tracker!$S$5:$S$1004,$B$4)))</f>
        <v/>
      </c>
      <c r="L20" s="65">
        <f>IF($I20="","",IF($B$4="All",COUNTIFS(Task_Tracker!$F$5:$F$1004,$I20,Task_Tracker!$R$5:$R$1004,"Overdue"),COUNTIFS(Task_Tracker!$F$5:$F$1004,$I20,Task_Tracker!$R$5:$R$1004,"Overdue",Task_Tracker!$S$5:$S$1004,$B$4)))</f>
        <v/>
      </c>
    </row>
    <row r="21" ht="15" customHeight="1" s="40">
      <c r="A21" s="64" t="inlineStr">
        <is>
          <t>2026-10</t>
        </is>
      </c>
      <c r="B21" s="65">
        <f>COUNTIFS(Task_Tracker!$S$5:$S$1004,$A21,Task_Tracker!$A$5:$A$1004,"&lt;&gt;")</f>
        <v/>
      </c>
      <c r="C21" s="65">
        <f>COUNTIFS(Task_Tracker!$S$5:$S$1004,$A21,Task_Tracker!$I$5:$I$1004,"Completed")</f>
        <v/>
      </c>
      <c r="D21" s="66">
        <f>SUMIFS(Task_Tracker!$O$5:$O$1004,Task_Tracker!$S$5:$S$1004,$A21)</f>
        <v/>
      </c>
      <c r="F21" s="64" t="inlineStr">
        <is>
          <t>Cancelled</t>
        </is>
      </c>
      <c r="G21" s="65">
        <f>IF($B$4="All",COUNTIFS(Task_Tracker!$I$5:$I$1004,$F21),COUNTIFS(Task_Tracker!$S$5:$S$1004,$B$4,Task_Tracker!$I$5:$I$1004,$F21))</f>
        <v/>
      </c>
      <c r="I21" s="67">
        <f>Employee_Summary!B11</f>
        <v/>
      </c>
      <c r="J21" s="65">
        <f>IF($I21="","",IF($B$4="All",COUNTIF(Task_Tracker!$F$5:$F$1004,$I21),COUNTIFS(Task_Tracker!$F$5:$F$1004,$I21,Task_Tracker!$S$5:$S$1004,$B$4)))</f>
        <v/>
      </c>
      <c r="K21" s="66">
        <f>IF($I21="","",IF($B$4="All",SUMIF(Task_Tracker!$F$5:$F$1004,$I21,Task_Tracker!$O$5:$O$1004),SUMIFS(Task_Tracker!$O$5:$O$1004,Task_Tracker!$F$5:$F$1004,$I21,Task_Tracker!$S$5:$S$1004,$B$4)))</f>
        <v/>
      </c>
      <c r="L21" s="65">
        <f>IF($I21="","",IF($B$4="All",COUNTIFS(Task_Tracker!$F$5:$F$1004,$I21,Task_Tracker!$R$5:$R$1004,"Overdue"),COUNTIFS(Task_Tracker!$F$5:$F$1004,$I21,Task_Tracker!$R$5:$R$1004,"Overdue",Task_Tracker!$S$5:$S$1004,$B$4)))</f>
        <v/>
      </c>
    </row>
    <row r="22" ht="15" customHeight="1" s="40">
      <c r="A22" s="64" t="inlineStr">
        <is>
          <t>2026-11</t>
        </is>
      </c>
      <c r="B22" s="65">
        <f>COUNTIFS(Task_Tracker!$S$5:$S$1004,$A22,Task_Tracker!$A$5:$A$1004,"&lt;&gt;")</f>
        <v/>
      </c>
      <c r="C22" s="65">
        <f>COUNTIFS(Task_Tracker!$S$5:$S$1004,$A22,Task_Tracker!$I$5:$I$1004,"Completed")</f>
        <v/>
      </c>
      <c r="D22" s="66">
        <f>SUMIFS(Task_Tracker!$O$5:$O$1004,Task_Tracker!$S$5:$S$1004,$A22)</f>
        <v/>
      </c>
      <c r="I22" s="67">
        <f>Employee_Summary!B12</f>
        <v/>
      </c>
      <c r="J22" s="65">
        <f>IF($I22="","",IF($B$4="All",COUNTIF(Task_Tracker!$F$5:$F$1004,$I22),COUNTIFS(Task_Tracker!$F$5:$F$1004,$I22,Task_Tracker!$S$5:$S$1004,$B$4)))</f>
        <v/>
      </c>
      <c r="K22" s="66">
        <f>IF($I22="","",IF($B$4="All",SUMIF(Task_Tracker!$F$5:$F$1004,$I22,Task_Tracker!$O$5:$O$1004),SUMIFS(Task_Tracker!$O$5:$O$1004,Task_Tracker!$F$5:$F$1004,$I22,Task_Tracker!$S$5:$S$1004,$B$4)))</f>
        <v/>
      </c>
      <c r="L22" s="65">
        <f>IF($I22="","",IF($B$4="All",COUNTIFS(Task_Tracker!$F$5:$F$1004,$I22,Task_Tracker!$R$5:$R$1004,"Overdue"),COUNTIFS(Task_Tracker!$F$5:$F$1004,$I22,Task_Tracker!$R$5:$R$1004,"Overdue",Task_Tracker!$S$5:$S$1004,$B$4)))</f>
        <v/>
      </c>
    </row>
    <row r="23" ht="15" customHeight="1" s="40">
      <c r="A23" s="64" t="inlineStr">
        <is>
          <t>2026-12</t>
        </is>
      </c>
      <c r="B23" s="65">
        <f>COUNTIFS(Task_Tracker!$S$5:$S$1004,$A23,Task_Tracker!$A$5:$A$1004,"&lt;&gt;")</f>
        <v/>
      </c>
      <c r="C23" s="65">
        <f>COUNTIFS(Task_Tracker!$S$5:$S$1004,$A23,Task_Tracker!$I$5:$I$1004,"Completed")</f>
        <v/>
      </c>
      <c r="D23" s="66">
        <f>SUMIFS(Task_Tracker!$O$5:$O$1004,Task_Tracker!$S$5:$S$1004,$A23)</f>
        <v/>
      </c>
      <c r="I23" s="67">
        <f>Employee_Summary!B13</f>
        <v/>
      </c>
      <c r="J23" s="65">
        <f>IF($I23="","",IF($B$4="All",COUNTIF(Task_Tracker!$F$5:$F$1004,$I23),COUNTIFS(Task_Tracker!$F$5:$F$1004,$I23,Task_Tracker!$S$5:$S$1004,$B$4)))</f>
        <v/>
      </c>
      <c r="K23" s="66">
        <f>IF($I23="","",IF($B$4="All",SUMIF(Task_Tracker!$F$5:$F$1004,$I23,Task_Tracker!$O$5:$O$1004),SUMIFS(Task_Tracker!$O$5:$O$1004,Task_Tracker!$F$5:$F$1004,$I23,Task_Tracker!$S$5:$S$1004,$B$4)))</f>
        <v/>
      </c>
      <c r="L23" s="65">
        <f>IF($I23="","",IF($B$4="All",COUNTIFS(Task_Tracker!$F$5:$F$1004,$I23,Task_Tracker!$R$5:$R$1004,"Overdue"),COUNTIFS(Task_Tracker!$F$5:$F$1004,$I23,Task_Tracker!$R$5:$R$1004,"Overdue",Task_Tracker!$S$5:$S$1004,$B$4)))</f>
        <v/>
      </c>
    </row>
    <row r="24" ht="15" customHeight="1" s="40">
      <c r="A24" s="64" t="inlineStr">
        <is>
          <t>2027-01</t>
        </is>
      </c>
      <c r="B24" s="65">
        <f>COUNTIFS(Task_Tracker!$S$5:$S$1004,$A24,Task_Tracker!$A$5:$A$1004,"&lt;&gt;")</f>
        <v/>
      </c>
      <c r="C24" s="65">
        <f>COUNTIFS(Task_Tracker!$S$5:$S$1004,$A24,Task_Tracker!$I$5:$I$1004,"Completed")</f>
        <v/>
      </c>
      <c r="D24" s="66">
        <f>SUMIFS(Task_Tracker!$O$5:$O$1004,Task_Tracker!$S$5:$S$1004,$A24)</f>
        <v/>
      </c>
      <c r="I24" s="67">
        <f>Employee_Summary!B14</f>
        <v/>
      </c>
      <c r="J24" s="65">
        <f>IF($I24="","",IF($B$4="All",COUNTIF(Task_Tracker!$F$5:$F$1004,$I24),COUNTIFS(Task_Tracker!$F$5:$F$1004,$I24,Task_Tracker!$S$5:$S$1004,$B$4)))</f>
        <v/>
      </c>
      <c r="K24" s="66">
        <f>IF($I24="","",IF($B$4="All",SUMIF(Task_Tracker!$F$5:$F$1004,$I24,Task_Tracker!$O$5:$O$1004),SUMIFS(Task_Tracker!$O$5:$O$1004,Task_Tracker!$F$5:$F$1004,$I24,Task_Tracker!$S$5:$S$1004,$B$4)))</f>
        <v/>
      </c>
      <c r="L24" s="65">
        <f>IF($I24="","",IF($B$4="All",COUNTIFS(Task_Tracker!$F$5:$F$1004,$I24,Task_Tracker!$R$5:$R$1004,"Overdue"),COUNTIFS(Task_Tracker!$F$5:$F$1004,$I24,Task_Tracker!$R$5:$R$1004,"Overdue",Task_Tracker!$S$5:$S$1004,$B$4)))</f>
        <v/>
      </c>
    </row>
    <row r="25" ht="15" customHeight="1" s="40">
      <c r="A25" s="64" t="inlineStr">
        <is>
          <t>2027-02</t>
        </is>
      </c>
      <c r="B25" s="65">
        <f>COUNTIFS(Task_Tracker!$S$5:$S$1004,$A25,Task_Tracker!$A$5:$A$1004,"&lt;&gt;")</f>
        <v/>
      </c>
      <c r="C25" s="65">
        <f>COUNTIFS(Task_Tracker!$S$5:$S$1004,$A25,Task_Tracker!$I$5:$I$1004,"Completed")</f>
        <v/>
      </c>
      <c r="D25" s="66">
        <f>SUMIFS(Task_Tracker!$O$5:$O$1004,Task_Tracker!$S$5:$S$1004,$A25)</f>
        <v/>
      </c>
    </row>
    <row r="26" ht="15" customHeight="1" s="40">
      <c r="A26" s="64" t="inlineStr">
        <is>
          <t>2027-03</t>
        </is>
      </c>
      <c r="B26" s="65">
        <f>COUNTIFS(Task_Tracker!$S$5:$S$1004,$A26,Task_Tracker!$A$5:$A$1004,"&lt;&gt;")</f>
        <v/>
      </c>
      <c r="C26" s="65">
        <f>COUNTIFS(Task_Tracker!$S$5:$S$1004,$A26,Task_Tracker!$I$5:$I$1004,"Completed")</f>
        <v/>
      </c>
      <c r="D26" s="66">
        <f>SUMIFS(Task_Tracker!$O$5:$O$1004,Task_Tracker!$S$5:$S$1004,$A26)</f>
        <v/>
      </c>
    </row>
    <row r="27" ht="15" customHeight="1" s="40">
      <c r="I27" s="68" t="inlineStr">
        <is>
          <t>See Employee_Summary for the full employee list and more detailed metrics.</t>
        </is>
      </c>
    </row>
  </sheetData>
  <mergeCells count="18">
    <mergeCell ref="A1:N1"/>
    <mergeCell ref="D6:E6"/>
    <mergeCell ref="D7:E7"/>
    <mergeCell ref="A7:B7"/>
    <mergeCell ref="G7:H7"/>
    <mergeCell ref="J6:K6"/>
    <mergeCell ref="D10:E10"/>
    <mergeCell ref="G10:H10"/>
    <mergeCell ref="A2:N2"/>
    <mergeCell ref="J7:K7"/>
    <mergeCell ref="A10:B10"/>
    <mergeCell ref="J10:K10"/>
    <mergeCell ref="G6:H6"/>
    <mergeCell ref="A9:B9"/>
    <mergeCell ref="G9:H9"/>
    <mergeCell ref="D9:E9"/>
    <mergeCell ref="A6:B6"/>
    <mergeCell ref="J9:K9"/>
  </mergeCells>
  <dataValidations count="1">
    <dataValidation sqref="B4" showDropDown="0" showInputMessage="0" showErrorMessage="0" allowBlank="0" type="list" errorStyle="stop" operator="between">
      <formula1>ReportMonths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6" customWidth="1" style="40" min="2" max="2"/>
    <col width="14" customWidth="1" style="40" min="3" max="3"/>
    <col width="14" customWidth="1" style="40" min="4" max="4"/>
    <col width="14" customWidth="1" style="40" min="5" max="5"/>
    <col width="15" customWidth="1" style="40" min="6" max="6"/>
    <col width="14" customWidth="1" style="40" min="7" max="7"/>
    <col width="16" customWidth="1" style="40" min="8" max="8"/>
    <col width="14" customWidth="1" style="40" min="9" max="9"/>
    <col width="14" customWidth="1" style="40" min="10" max="10"/>
    <col width="16" customWidth="1" style="40" min="11" max="11"/>
    <col width="14" customWidth="1" style="40" min="12" max="12"/>
    <col width="14" customWidth="1" style="40" min="13" max="13"/>
  </cols>
  <sheetData>
    <row r="1" ht="24" customHeight="1" s="40">
      <c r="A1" s="122" t="inlineStr">
        <is>
          <t>Monthly Reporting Summary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</row>
    <row r="2" ht="32" customHeight="1" s="40">
      <c r="A2" s="70" t="inlineStr">
        <is>
          <t>This sheet gives month-wise totals for all tasks and both employees. Enter or edit tasks in Task_Tracker; reports update automatically.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2" t="n"/>
    </row>
    <row r="4" ht="24" customHeight="1" s="40">
      <c r="A4" s="71" t="inlineStr">
        <is>
          <t>Month Start</t>
        </is>
      </c>
      <c r="B4" s="71" t="inlineStr">
        <is>
          <t>Month</t>
        </is>
      </c>
      <c r="C4" s="71" t="inlineStr">
        <is>
          <t>Total Due</t>
        </is>
      </c>
      <c r="D4" s="71" t="inlineStr">
        <is>
          <t>Completed</t>
        </is>
      </c>
      <c r="E4" s="71" t="inlineStr">
        <is>
          <t>Carry Forward</t>
        </is>
      </c>
      <c r="F4" s="71" t="inlineStr">
        <is>
          <t>Actual Hrs</t>
        </is>
      </c>
      <c r="G4" s="71">
        <f>Employee_Master!$B$5&amp;" Due"</f>
        <v/>
      </c>
      <c r="H4" s="71">
        <f>Employee_Master!$B$5&amp;" Completed"</f>
        <v/>
      </c>
      <c r="I4" s="71">
        <f>Employee_Master!$B$5&amp;" Hrs"</f>
        <v/>
      </c>
      <c r="J4" s="71">
        <f>Employee_Master!$B$6&amp;" Due"</f>
        <v/>
      </c>
      <c r="K4" s="71">
        <f>Employee_Master!$B$6&amp;" Completed"</f>
        <v/>
      </c>
      <c r="L4" s="71">
        <f>Employee_Master!$B$6&amp;" Hrs"</f>
        <v/>
      </c>
      <c r="M4" s="71" t="inlineStr">
        <is>
          <t>Open in Bucket</t>
        </is>
      </c>
    </row>
    <row r="5">
      <c r="A5" s="113" t="n">
        <v>46113</v>
      </c>
      <c r="B5" s="73">
        <f>TEXT(A5,"mmm yyyy")</f>
        <v/>
      </c>
      <c r="C5" s="74">
        <f>COUNTIFS(Task_Tracker!$L$5:$L$1004,"&gt;="&amp;$A5,Task_Tracker!$L$5:$L$1004,"&lt;"&amp;EDATE($A5,1),Task_Tracker!$A$5:$A$1004,"&lt;&gt;")</f>
        <v/>
      </c>
      <c r="D5" s="74">
        <f>COUNTIFS(Task_Tracker!$L$5:$L$1004,"&gt;="&amp;$A5,Task_Tracker!$L$5:$L$1004,"&lt;"&amp;EDATE($A5,1),Task_Tracker!$I$5:$I$1004,"Completed")</f>
        <v/>
      </c>
      <c r="E5" s="74">
        <f>COUNTIFS(Task_Tracker!$L$5:$L$1004,"&lt;"&amp;$A5,Task_Tracker!$I$5:$I$1004,"&lt;&gt;Completed",Task_Tracker!$I$5:$I$1004,"&lt;&gt;Cancelled",Task_Tracker!$A$5:$A$1004,"&lt;&gt;")</f>
        <v/>
      </c>
      <c r="F5" s="75">
        <f>SUMIFS(Task_Tracker!$O$5:$O$1004,Task_Tracker!$L$5:$L$1004,"&gt;="&amp;$A5,Task_Tracker!$L$5:$L$1004,"&lt;"&amp;EDATE($A5,1))</f>
        <v/>
      </c>
      <c r="G5" s="74">
        <f>COUNTIFS(Task_Tracker!$F$5:$F$1004,Employee_Master!$B$5,Task_Tracker!$L$5:$L$1004,"&gt;="&amp;$A5,Task_Tracker!$L$5:$L$1004,"&lt;"&amp;EDATE($A5,1))</f>
        <v/>
      </c>
      <c r="H5" s="74">
        <f>COUNTIFS(Task_Tracker!$F$5:$F$1004,Employee_Master!$B$5,Task_Tracker!$L$5:$L$1004,"&gt;="&amp;$A5,Task_Tracker!$L$5:$L$1004,"&lt;"&amp;EDATE($A5,1),Task_Tracker!$I$5:$I$1004,"Completed")</f>
        <v/>
      </c>
      <c r="I5" s="75">
        <f>SUMIFS(Task_Tracker!$O$5:$O$1004,Task_Tracker!$F$5:$F$1004,Employee_Master!$B$5,Task_Tracker!$L$5:$L$1004,"&gt;="&amp;$A5,Task_Tracker!$L$5:$L$1004,"&lt;"&amp;EDATE($A5,1))</f>
        <v/>
      </c>
      <c r="J5" s="74">
        <f>COUNTIFS(Task_Tracker!$F$5:$F$1004,Employee_Master!$B$6,Task_Tracker!$L$5:$L$1004,"&gt;="&amp;$A5,Task_Tracker!$L$5:$L$1004,"&lt;"&amp;EDATE($A5,1))</f>
        <v/>
      </c>
      <c r="K5" s="74">
        <f>COUNTIFS(Task_Tracker!$F$5:$F$1004,Employee_Master!$B$6,Task_Tracker!$L$5:$L$1004,"&gt;="&amp;$A5,Task_Tracker!$L$5:$L$1004,"&lt;"&amp;EDATE($A5,1),Task_Tracker!$I$5:$I$1004,"Completed")</f>
        <v/>
      </c>
      <c r="L5" s="75">
        <f>SUMIFS(Task_Tracker!$O$5:$O$1004,Task_Tracker!$F$5:$F$1004,Employee_Master!$B$6,Task_Tracker!$L$5:$L$1004,"&gt;="&amp;$A5,Task_Tracker!$L$5:$L$1004,"&lt;"&amp;EDATE($A5,1))</f>
        <v/>
      </c>
      <c r="M5" s="74">
        <f>COUNTIFS(Task_Tracker!$L$5:$L$1004,"&gt;="&amp;$A5,Task_Tracker!$L$5:$L$1004,"&lt;"&amp;EDATE($A5,1),Task_Tracker!$I$5:$I$1004,"&lt;&gt;Completed",Task_Tracker!$I$5:$I$1004,"&lt;&gt;Cancelled")</f>
        <v/>
      </c>
    </row>
    <row r="6">
      <c r="A6" s="113" t="n">
        <v>46143</v>
      </c>
      <c r="B6" s="73">
        <f>TEXT(A6,"mmm yyyy")</f>
        <v/>
      </c>
      <c r="C6" s="74">
        <f>COUNTIFS(Task_Tracker!$L$5:$L$1004,"&gt;="&amp;$A6,Task_Tracker!$L$5:$L$1004,"&lt;"&amp;EDATE($A6,1),Task_Tracker!$A$5:$A$1004,"&lt;&gt;")</f>
        <v/>
      </c>
      <c r="D6" s="74">
        <f>COUNTIFS(Task_Tracker!$L$5:$L$1004,"&gt;="&amp;$A6,Task_Tracker!$L$5:$L$1004,"&lt;"&amp;EDATE($A6,1),Task_Tracker!$I$5:$I$1004,"Completed")</f>
        <v/>
      </c>
      <c r="E6" s="74">
        <f>COUNTIFS(Task_Tracker!$L$5:$L$1004,"&lt;"&amp;$A6,Task_Tracker!$I$5:$I$1004,"&lt;&gt;Completed",Task_Tracker!$I$5:$I$1004,"&lt;&gt;Cancelled",Task_Tracker!$A$5:$A$1004,"&lt;&gt;")</f>
        <v/>
      </c>
      <c r="F6" s="75">
        <f>SUMIFS(Task_Tracker!$O$5:$O$1004,Task_Tracker!$L$5:$L$1004,"&gt;="&amp;$A6,Task_Tracker!$L$5:$L$1004,"&lt;"&amp;EDATE($A6,1))</f>
        <v/>
      </c>
      <c r="G6" s="74">
        <f>COUNTIFS(Task_Tracker!$F$5:$F$1004,Employee_Master!$B$5,Task_Tracker!$L$5:$L$1004,"&gt;="&amp;$A6,Task_Tracker!$L$5:$L$1004,"&lt;"&amp;EDATE($A6,1))</f>
        <v/>
      </c>
      <c r="H6" s="74">
        <f>COUNTIFS(Task_Tracker!$F$5:$F$1004,Employee_Master!$B$5,Task_Tracker!$L$5:$L$1004,"&gt;="&amp;$A6,Task_Tracker!$L$5:$L$1004,"&lt;"&amp;EDATE($A6,1),Task_Tracker!$I$5:$I$1004,"Completed")</f>
        <v/>
      </c>
      <c r="I6" s="75">
        <f>SUMIFS(Task_Tracker!$O$5:$O$1004,Task_Tracker!$F$5:$F$1004,Employee_Master!$B$5,Task_Tracker!$L$5:$L$1004,"&gt;="&amp;$A6,Task_Tracker!$L$5:$L$1004,"&lt;"&amp;EDATE($A6,1))</f>
        <v/>
      </c>
      <c r="J6" s="74">
        <f>COUNTIFS(Task_Tracker!$F$5:$F$1004,Employee_Master!$B$6,Task_Tracker!$L$5:$L$1004,"&gt;="&amp;$A6,Task_Tracker!$L$5:$L$1004,"&lt;"&amp;EDATE($A6,1))</f>
        <v/>
      </c>
      <c r="K6" s="74">
        <f>COUNTIFS(Task_Tracker!$F$5:$F$1004,Employee_Master!$B$6,Task_Tracker!$L$5:$L$1004,"&gt;="&amp;$A6,Task_Tracker!$L$5:$L$1004,"&lt;"&amp;EDATE($A6,1),Task_Tracker!$I$5:$I$1004,"Completed")</f>
        <v/>
      </c>
      <c r="L6" s="75">
        <f>SUMIFS(Task_Tracker!$O$5:$O$1004,Task_Tracker!$F$5:$F$1004,Employee_Master!$B$6,Task_Tracker!$L$5:$L$1004,"&gt;="&amp;$A6,Task_Tracker!$L$5:$L$1004,"&lt;"&amp;EDATE($A6,1))</f>
        <v/>
      </c>
      <c r="M6" s="74">
        <f>COUNTIFS(Task_Tracker!$L$5:$L$1004,"&gt;="&amp;$A6,Task_Tracker!$L$5:$L$1004,"&lt;"&amp;EDATE($A6,1),Task_Tracker!$I$5:$I$1004,"&lt;&gt;Completed",Task_Tracker!$I$5:$I$1004,"&lt;&gt;Cancelled")</f>
        <v/>
      </c>
    </row>
    <row r="7">
      <c r="A7" s="113" t="n">
        <v>46174</v>
      </c>
      <c r="B7" s="73">
        <f>TEXT(A7,"mmm yyyy")</f>
        <v/>
      </c>
      <c r="C7" s="74">
        <f>COUNTIFS(Task_Tracker!$L$5:$L$1004,"&gt;="&amp;$A7,Task_Tracker!$L$5:$L$1004,"&lt;"&amp;EDATE($A7,1),Task_Tracker!$A$5:$A$1004,"&lt;&gt;")</f>
        <v/>
      </c>
      <c r="D7" s="74">
        <f>COUNTIFS(Task_Tracker!$L$5:$L$1004,"&gt;="&amp;$A7,Task_Tracker!$L$5:$L$1004,"&lt;"&amp;EDATE($A7,1),Task_Tracker!$I$5:$I$1004,"Completed")</f>
        <v/>
      </c>
      <c r="E7" s="74">
        <f>COUNTIFS(Task_Tracker!$L$5:$L$1004,"&lt;"&amp;$A7,Task_Tracker!$I$5:$I$1004,"&lt;&gt;Completed",Task_Tracker!$I$5:$I$1004,"&lt;&gt;Cancelled",Task_Tracker!$A$5:$A$1004,"&lt;&gt;")</f>
        <v/>
      </c>
      <c r="F7" s="75">
        <f>SUMIFS(Task_Tracker!$O$5:$O$1004,Task_Tracker!$L$5:$L$1004,"&gt;="&amp;$A7,Task_Tracker!$L$5:$L$1004,"&lt;"&amp;EDATE($A7,1))</f>
        <v/>
      </c>
      <c r="G7" s="74">
        <f>COUNTIFS(Task_Tracker!$F$5:$F$1004,Employee_Master!$B$5,Task_Tracker!$L$5:$L$1004,"&gt;="&amp;$A7,Task_Tracker!$L$5:$L$1004,"&lt;"&amp;EDATE($A7,1))</f>
        <v/>
      </c>
      <c r="H7" s="74">
        <f>COUNTIFS(Task_Tracker!$F$5:$F$1004,Employee_Master!$B$5,Task_Tracker!$L$5:$L$1004,"&gt;="&amp;$A7,Task_Tracker!$L$5:$L$1004,"&lt;"&amp;EDATE($A7,1),Task_Tracker!$I$5:$I$1004,"Completed")</f>
        <v/>
      </c>
      <c r="I7" s="75">
        <f>SUMIFS(Task_Tracker!$O$5:$O$1004,Task_Tracker!$F$5:$F$1004,Employee_Master!$B$5,Task_Tracker!$L$5:$L$1004,"&gt;="&amp;$A7,Task_Tracker!$L$5:$L$1004,"&lt;"&amp;EDATE($A7,1))</f>
        <v/>
      </c>
      <c r="J7" s="74">
        <f>COUNTIFS(Task_Tracker!$F$5:$F$1004,Employee_Master!$B$6,Task_Tracker!$L$5:$L$1004,"&gt;="&amp;$A7,Task_Tracker!$L$5:$L$1004,"&lt;"&amp;EDATE($A7,1))</f>
        <v/>
      </c>
      <c r="K7" s="74">
        <f>COUNTIFS(Task_Tracker!$F$5:$F$1004,Employee_Master!$B$6,Task_Tracker!$L$5:$L$1004,"&gt;="&amp;$A7,Task_Tracker!$L$5:$L$1004,"&lt;"&amp;EDATE($A7,1),Task_Tracker!$I$5:$I$1004,"Completed")</f>
        <v/>
      </c>
      <c r="L7" s="75">
        <f>SUMIFS(Task_Tracker!$O$5:$O$1004,Task_Tracker!$F$5:$F$1004,Employee_Master!$B$6,Task_Tracker!$L$5:$L$1004,"&gt;="&amp;$A7,Task_Tracker!$L$5:$L$1004,"&lt;"&amp;EDATE($A7,1))</f>
        <v/>
      </c>
      <c r="M7" s="74">
        <f>COUNTIFS(Task_Tracker!$L$5:$L$1004,"&gt;="&amp;$A7,Task_Tracker!$L$5:$L$1004,"&lt;"&amp;EDATE($A7,1),Task_Tracker!$I$5:$I$1004,"&lt;&gt;Completed",Task_Tracker!$I$5:$I$1004,"&lt;&gt;Cancelled")</f>
        <v/>
      </c>
    </row>
    <row r="8">
      <c r="A8" s="113" t="n">
        <v>46204</v>
      </c>
      <c r="B8" s="73">
        <f>TEXT(A8,"mmm yyyy")</f>
        <v/>
      </c>
      <c r="C8" s="74">
        <f>COUNTIFS(Task_Tracker!$L$5:$L$1004,"&gt;="&amp;$A8,Task_Tracker!$L$5:$L$1004,"&lt;"&amp;EDATE($A8,1),Task_Tracker!$A$5:$A$1004,"&lt;&gt;")</f>
        <v/>
      </c>
      <c r="D8" s="74">
        <f>COUNTIFS(Task_Tracker!$L$5:$L$1004,"&gt;="&amp;$A8,Task_Tracker!$L$5:$L$1004,"&lt;"&amp;EDATE($A8,1),Task_Tracker!$I$5:$I$1004,"Completed")</f>
        <v/>
      </c>
      <c r="E8" s="74">
        <f>COUNTIFS(Task_Tracker!$L$5:$L$1004,"&lt;"&amp;$A8,Task_Tracker!$I$5:$I$1004,"&lt;&gt;Completed",Task_Tracker!$I$5:$I$1004,"&lt;&gt;Cancelled",Task_Tracker!$A$5:$A$1004,"&lt;&gt;")</f>
        <v/>
      </c>
      <c r="F8" s="75">
        <f>SUMIFS(Task_Tracker!$O$5:$O$1004,Task_Tracker!$L$5:$L$1004,"&gt;="&amp;$A8,Task_Tracker!$L$5:$L$1004,"&lt;"&amp;EDATE($A8,1))</f>
        <v/>
      </c>
      <c r="G8" s="74">
        <f>COUNTIFS(Task_Tracker!$F$5:$F$1004,Employee_Master!$B$5,Task_Tracker!$L$5:$L$1004,"&gt;="&amp;$A8,Task_Tracker!$L$5:$L$1004,"&lt;"&amp;EDATE($A8,1))</f>
        <v/>
      </c>
      <c r="H8" s="74">
        <f>COUNTIFS(Task_Tracker!$F$5:$F$1004,Employee_Master!$B$5,Task_Tracker!$L$5:$L$1004,"&gt;="&amp;$A8,Task_Tracker!$L$5:$L$1004,"&lt;"&amp;EDATE($A8,1),Task_Tracker!$I$5:$I$1004,"Completed")</f>
        <v/>
      </c>
      <c r="I8" s="75">
        <f>SUMIFS(Task_Tracker!$O$5:$O$1004,Task_Tracker!$F$5:$F$1004,Employee_Master!$B$5,Task_Tracker!$L$5:$L$1004,"&gt;="&amp;$A8,Task_Tracker!$L$5:$L$1004,"&lt;"&amp;EDATE($A8,1))</f>
        <v/>
      </c>
      <c r="J8" s="74">
        <f>COUNTIFS(Task_Tracker!$F$5:$F$1004,Employee_Master!$B$6,Task_Tracker!$L$5:$L$1004,"&gt;="&amp;$A8,Task_Tracker!$L$5:$L$1004,"&lt;"&amp;EDATE($A8,1))</f>
        <v/>
      </c>
      <c r="K8" s="74">
        <f>COUNTIFS(Task_Tracker!$F$5:$F$1004,Employee_Master!$B$6,Task_Tracker!$L$5:$L$1004,"&gt;="&amp;$A8,Task_Tracker!$L$5:$L$1004,"&lt;"&amp;EDATE($A8,1),Task_Tracker!$I$5:$I$1004,"Completed")</f>
        <v/>
      </c>
      <c r="L8" s="75">
        <f>SUMIFS(Task_Tracker!$O$5:$O$1004,Task_Tracker!$F$5:$F$1004,Employee_Master!$B$6,Task_Tracker!$L$5:$L$1004,"&gt;="&amp;$A8,Task_Tracker!$L$5:$L$1004,"&lt;"&amp;EDATE($A8,1))</f>
        <v/>
      </c>
      <c r="M8" s="74">
        <f>COUNTIFS(Task_Tracker!$L$5:$L$1004,"&gt;="&amp;$A8,Task_Tracker!$L$5:$L$1004,"&lt;"&amp;EDATE($A8,1),Task_Tracker!$I$5:$I$1004,"&lt;&gt;Completed",Task_Tracker!$I$5:$I$1004,"&lt;&gt;Cancelled")</f>
        <v/>
      </c>
    </row>
    <row r="9">
      <c r="A9" s="113" t="n">
        <v>46235</v>
      </c>
      <c r="B9" s="73">
        <f>TEXT(A9,"mmm yyyy")</f>
        <v/>
      </c>
      <c r="C9" s="74">
        <f>COUNTIFS(Task_Tracker!$L$5:$L$1004,"&gt;="&amp;$A9,Task_Tracker!$L$5:$L$1004,"&lt;"&amp;EDATE($A9,1),Task_Tracker!$A$5:$A$1004,"&lt;&gt;")</f>
        <v/>
      </c>
      <c r="D9" s="74">
        <f>COUNTIFS(Task_Tracker!$L$5:$L$1004,"&gt;="&amp;$A9,Task_Tracker!$L$5:$L$1004,"&lt;"&amp;EDATE($A9,1),Task_Tracker!$I$5:$I$1004,"Completed")</f>
        <v/>
      </c>
      <c r="E9" s="74">
        <f>COUNTIFS(Task_Tracker!$L$5:$L$1004,"&lt;"&amp;$A9,Task_Tracker!$I$5:$I$1004,"&lt;&gt;Completed",Task_Tracker!$I$5:$I$1004,"&lt;&gt;Cancelled",Task_Tracker!$A$5:$A$1004,"&lt;&gt;")</f>
        <v/>
      </c>
      <c r="F9" s="75">
        <f>SUMIFS(Task_Tracker!$O$5:$O$1004,Task_Tracker!$L$5:$L$1004,"&gt;="&amp;$A9,Task_Tracker!$L$5:$L$1004,"&lt;"&amp;EDATE($A9,1))</f>
        <v/>
      </c>
      <c r="G9" s="74">
        <f>COUNTIFS(Task_Tracker!$F$5:$F$1004,Employee_Master!$B$5,Task_Tracker!$L$5:$L$1004,"&gt;="&amp;$A9,Task_Tracker!$L$5:$L$1004,"&lt;"&amp;EDATE($A9,1))</f>
        <v/>
      </c>
      <c r="H9" s="74">
        <f>COUNTIFS(Task_Tracker!$F$5:$F$1004,Employee_Master!$B$5,Task_Tracker!$L$5:$L$1004,"&gt;="&amp;$A9,Task_Tracker!$L$5:$L$1004,"&lt;"&amp;EDATE($A9,1),Task_Tracker!$I$5:$I$1004,"Completed")</f>
        <v/>
      </c>
      <c r="I9" s="75">
        <f>SUMIFS(Task_Tracker!$O$5:$O$1004,Task_Tracker!$F$5:$F$1004,Employee_Master!$B$5,Task_Tracker!$L$5:$L$1004,"&gt;="&amp;$A9,Task_Tracker!$L$5:$L$1004,"&lt;"&amp;EDATE($A9,1))</f>
        <v/>
      </c>
      <c r="J9" s="74">
        <f>COUNTIFS(Task_Tracker!$F$5:$F$1004,Employee_Master!$B$6,Task_Tracker!$L$5:$L$1004,"&gt;="&amp;$A9,Task_Tracker!$L$5:$L$1004,"&lt;"&amp;EDATE($A9,1))</f>
        <v/>
      </c>
      <c r="K9" s="74">
        <f>COUNTIFS(Task_Tracker!$F$5:$F$1004,Employee_Master!$B$6,Task_Tracker!$L$5:$L$1004,"&gt;="&amp;$A9,Task_Tracker!$L$5:$L$1004,"&lt;"&amp;EDATE($A9,1),Task_Tracker!$I$5:$I$1004,"Completed")</f>
        <v/>
      </c>
      <c r="L9" s="75">
        <f>SUMIFS(Task_Tracker!$O$5:$O$1004,Task_Tracker!$F$5:$F$1004,Employee_Master!$B$6,Task_Tracker!$L$5:$L$1004,"&gt;="&amp;$A9,Task_Tracker!$L$5:$L$1004,"&lt;"&amp;EDATE($A9,1))</f>
        <v/>
      </c>
      <c r="M9" s="74">
        <f>COUNTIFS(Task_Tracker!$L$5:$L$1004,"&gt;="&amp;$A9,Task_Tracker!$L$5:$L$1004,"&lt;"&amp;EDATE($A9,1),Task_Tracker!$I$5:$I$1004,"&lt;&gt;Completed",Task_Tracker!$I$5:$I$1004,"&lt;&gt;Cancelled")</f>
        <v/>
      </c>
    </row>
    <row r="10">
      <c r="A10" s="113" t="n">
        <v>46266</v>
      </c>
      <c r="B10" s="73">
        <f>TEXT(A10,"mmm yyyy")</f>
        <v/>
      </c>
      <c r="C10" s="74">
        <f>COUNTIFS(Task_Tracker!$L$5:$L$1004,"&gt;="&amp;$A10,Task_Tracker!$L$5:$L$1004,"&lt;"&amp;EDATE($A10,1),Task_Tracker!$A$5:$A$1004,"&lt;&gt;")</f>
        <v/>
      </c>
      <c r="D10" s="74">
        <f>COUNTIFS(Task_Tracker!$L$5:$L$1004,"&gt;="&amp;$A10,Task_Tracker!$L$5:$L$1004,"&lt;"&amp;EDATE($A10,1),Task_Tracker!$I$5:$I$1004,"Completed")</f>
        <v/>
      </c>
      <c r="E10" s="74">
        <f>COUNTIFS(Task_Tracker!$L$5:$L$1004,"&lt;"&amp;$A10,Task_Tracker!$I$5:$I$1004,"&lt;&gt;Completed",Task_Tracker!$I$5:$I$1004,"&lt;&gt;Cancelled",Task_Tracker!$A$5:$A$1004,"&lt;&gt;")</f>
        <v/>
      </c>
      <c r="F10" s="75">
        <f>SUMIFS(Task_Tracker!$O$5:$O$1004,Task_Tracker!$L$5:$L$1004,"&gt;="&amp;$A10,Task_Tracker!$L$5:$L$1004,"&lt;"&amp;EDATE($A10,1))</f>
        <v/>
      </c>
      <c r="G10" s="74">
        <f>COUNTIFS(Task_Tracker!$F$5:$F$1004,Employee_Master!$B$5,Task_Tracker!$L$5:$L$1004,"&gt;="&amp;$A10,Task_Tracker!$L$5:$L$1004,"&lt;"&amp;EDATE($A10,1))</f>
        <v/>
      </c>
      <c r="H10" s="74">
        <f>COUNTIFS(Task_Tracker!$F$5:$F$1004,Employee_Master!$B$5,Task_Tracker!$L$5:$L$1004,"&gt;="&amp;$A10,Task_Tracker!$L$5:$L$1004,"&lt;"&amp;EDATE($A10,1),Task_Tracker!$I$5:$I$1004,"Completed")</f>
        <v/>
      </c>
      <c r="I10" s="75">
        <f>SUMIFS(Task_Tracker!$O$5:$O$1004,Task_Tracker!$F$5:$F$1004,Employee_Master!$B$5,Task_Tracker!$L$5:$L$1004,"&gt;="&amp;$A10,Task_Tracker!$L$5:$L$1004,"&lt;"&amp;EDATE($A10,1))</f>
        <v/>
      </c>
      <c r="J10" s="74">
        <f>COUNTIFS(Task_Tracker!$F$5:$F$1004,Employee_Master!$B$6,Task_Tracker!$L$5:$L$1004,"&gt;="&amp;$A10,Task_Tracker!$L$5:$L$1004,"&lt;"&amp;EDATE($A10,1))</f>
        <v/>
      </c>
      <c r="K10" s="74">
        <f>COUNTIFS(Task_Tracker!$F$5:$F$1004,Employee_Master!$B$6,Task_Tracker!$L$5:$L$1004,"&gt;="&amp;$A10,Task_Tracker!$L$5:$L$1004,"&lt;"&amp;EDATE($A10,1),Task_Tracker!$I$5:$I$1004,"Completed")</f>
        <v/>
      </c>
      <c r="L10" s="75">
        <f>SUMIFS(Task_Tracker!$O$5:$O$1004,Task_Tracker!$F$5:$F$1004,Employee_Master!$B$6,Task_Tracker!$L$5:$L$1004,"&gt;="&amp;$A10,Task_Tracker!$L$5:$L$1004,"&lt;"&amp;EDATE($A10,1))</f>
        <v/>
      </c>
      <c r="M10" s="74">
        <f>COUNTIFS(Task_Tracker!$L$5:$L$1004,"&gt;="&amp;$A10,Task_Tracker!$L$5:$L$1004,"&lt;"&amp;EDATE($A10,1),Task_Tracker!$I$5:$I$1004,"&lt;&gt;Completed",Task_Tracker!$I$5:$I$1004,"&lt;&gt;Cancelled")</f>
        <v/>
      </c>
    </row>
    <row r="11">
      <c r="A11" s="113" t="n">
        <v>46296</v>
      </c>
      <c r="B11" s="73">
        <f>TEXT(A11,"mmm yyyy")</f>
        <v/>
      </c>
      <c r="C11" s="74">
        <f>COUNTIFS(Task_Tracker!$L$5:$L$1004,"&gt;="&amp;$A11,Task_Tracker!$L$5:$L$1004,"&lt;"&amp;EDATE($A11,1),Task_Tracker!$A$5:$A$1004,"&lt;&gt;")</f>
        <v/>
      </c>
      <c r="D11" s="74">
        <f>COUNTIFS(Task_Tracker!$L$5:$L$1004,"&gt;="&amp;$A11,Task_Tracker!$L$5:$L$1004,"&lt;"&amp;EDATE($A11,1),Task_Tracker!$I$5:$I$1004,"Completed")</f>
        <v/>
      </c>
      <c r="E11" s="74">
        <f>COUNTIFS(Task_Tracker!$L$5:$L$1004,"&lt;"&amp;$A11,Task_Tracker!$I$5:$I$1004,"&lt;&gt;Completed",Task_Tracker!$I$5:$I$1004,"&lt;&gt;Cancelled",Task_Tracker!$A$5:$A$1004,"&lt;&gt;")</f>
        <v/>
      </c>
      <c r="F11" s="75">
        <f>SUMIFS(Task_Tracker!$O$5:$O$1004,Task_Tracker!$L$5:$L$1004,"&gt;="&amp;$A11,Task_Tracker!$L$5:$L$1004,"&lt;"&amp;EDATE($A11,1))</f>
        <v/>
      </c>
      <c r="G11" s="74">
        <f>COUNTIFS(Task_Tracker!$F$5:$F$1004,Employee_Master!$B$5,Task_Tracker!$L$5:$L$1004,"&gt;="&amp;$A11,Task_Tracker!$L$5:$L$1004,"&lt;"&amp;EDATE($A11,1))</f>
        <v/>
      </c>
      <c r="H11" s="74">
        <f>COUNTIFS(Task_Tracker!$F$5:$F$1004,Employee_Master!$B$5,Task_Tracker!$L$5:$L$1004,"&gt;="&amp;$A11,Task_Tracker!$L$5:$L$1004,"&lt;"&amp;EDATE($A11,1),Task_Tracker!$I$5:$I$1004,"Completed")</f>
        <v/>
      </c>
      <c r="I11" s="75">
        <f>SUMIFS(Task_Tracker!$O$5:$O$1004,Task_Tracker!$F$5:$F$1004,Employee_Master!$B$5,Task_Tracker!$L$5:$L$1004,"&gt;="&amp;$A11,Task_Tracker!$L$5:$L$1004,"&lt;"&amp;EDATE($A11,1))</f>
        <v/>
      </c>
      <c r="J11" s="74">
        <f>COUNTIFS(Task_Tracker!$F$5:$F$1004,Employee_Master!$B$6,Task_Tracker!$L$5:$L$1004,"&gt;="&amp;$A11,Task_Tracker!$L$5:$L$1004,"&lt;"&amp;EDATE($A11,1))</f>
        <v/>
      </c>
      <c r="K11" s="74">
        <f>COUNTIFS(Task_Tracker!$F$5:$F$1004,Employee_Master!$B$6,Task_Tracker!$L$5:$L$1004,"&gt;="&amp;$A11,Task_Tracker!$L$5:$L$1004,"&lt;"&amp;EDATE($A11,1),Task_Tracker!$I$5:$I$1004,"Completed")</f>
        <v/>
      </c>
      <c r="L11" s="75">
        <f>SUMIFS(Task_Tracker!$O$5:$O$1004,Task_Tracker!$F$5:$F$1004,Employee_Master!$B$6,Task_Tracker!$L$5:$L$1004,"&gt;="&amp;$A11,Task_Tracker!$L$5:$L$1004,"&lt;"&amp;EDATE($A11,1))</f>
        <v/>
      </c>
      <c r="M11" s="74">
        <f>COUNTIFS(Task_Tracker!$L$5:$L$1004,"&gt;="&amp;$A11,Task_Tracker!$L$5:$L$1004,"&lt;"&amp;EDATE($A11,1),Task_Tracker!$I$5:$I$1004,"&lt;&gt;Completed",Task_Tracker!$I$5:$I$1004,"&lt;&gt;Cancelled")</f>
        <v/>
      </c>
    </row>
    <row r="12">
      <c r="A12" s="113" t="n">
        <v>46327</v>
      </c>
      <c r="B12" s="73">
        <f>TEXT(A12,"mmm yyyy")</f>
        <v/>
      </c>
      <c r="C12" s="74">
        <f>COUNTIFS(Task_Tracker!$L$5:$L$1004,"&gt;="&amp;$A12,Task_Tracker!$L$5:$L$1004,"&lt;"&amp;EDATE($A12,1),Task_Tracker!$A$5:$A$1004,"&lt;&gt;")</f>
        <v/>
      </c>
      <c r="D12" s="74">
        <f>COUNTIFS(Task_Tracker!$L$5:$L$1004,"&gt;="&amp;$A12,Task_Tracker!$L$5:$L$1004,"&lt;"&amp;EDATE($A12,1),Task_Tracker!$I$5:$I$1004,"Completed")</f>
        <v/>
      </c>
      <c r="E12" s="74">
        <f>COUNTIFS(Task_Tracker!$L$5:$L$1004,"&lt;"&amp;$A12,Task_Tracker!$I$5:$I$1004,"&lt;&gt;Completed",Task_Tracker!$I$5:$I$1004,"&lt;&gt;Cancelled",Task_Tracker!$A$5:$A$1004,"&lt;&gt;")</f>
        <v/>
      </c>
      <c r="F12" s="75">
        <f>SUMIFS(Task_Tracker!$O$5:$O$1004,Task_Tracker!$L$5:$L$1004,"&gt;="&amp;$A12,Task_Tracker!$L$5:$L$1004,"&lt;"&amp;EDATE($A12,1))</f>
        <v/>
      </c>
      <c r="G12" s="74">
        <f>COUNTIFS(Task_Tracker!$F$5:$F$1004,Employee_Master!$B$5,Task_Tracker!$L$5:$L$1004,"&gt;="&amp;$A12,Task_Tracker!$L$5:$L$1004,"&lt;"&amp;EDATE($A12,1))</f>
        <v/>
      </c>
      <c r="H12" s="74">
        <f>COUNTIFS(Task_Tracker!$F$5:$F$1004,Employee_Master!$B$5,Task_Tracker!$L$5:$L$1004,"&gt;="&amp;$A12,Task_Tracker!$L$5:$L$1004,"&lt;"&amp;EDATE($A12,1),Task_Tracker!$I$5:$I$1004,"Completed")</f>
        <v/>
      </c>
      <c r="I12" s="75">
        <f>SUMIFS(Task_Tracker!$O$5:$O$1004,Task_Tracker!$F$5:$F$1004,Employee_Master!$B$5,Task_Tracker!$L$5:$L$1004,"&gt;="&amp;$A12,Task_Tracker!$L$5:$L$1004,"&lt;"&amp;EDATE($A12,1))</f>
        <v/>
      </c>
      <c r="J12" s="74">
        <f>COUNTIFS(Task_Tracker!$F$5:$F$1004,Employee_Master!$B$6,Task_Tracker!$L$5:$L$1004,"&gt;="&amp;$A12,Task_Tracker!$L$5:$L$1004,"&lt;"&amp;EDATE($A12,1))</f>
        <v/>
      </c>
      <c r="K12" s="74">
        <f>COUNTIFS(Task_Tracker!$F$5:$F$1004,Employee_Master!$B$6,Task_Tracker!$L$5:$L$1004,"&gt;="&amp;$A12,Task_Tracker!$L$5:$L$1004,"&lt;"&amp;EDATE($A12,1),Task_Tracker!$I$5:$I$1004,"Completed")</f>
        <v/>
      </c>
      <c r="L12" s="75">
        <f>SUMIFS(Task_Tracker!$O$5:$O$1004,Task_Tracker!$F$5:$F$1004,Employee_Master!$B$6,Task_Tracker!$L$5:$L$1004,"&gt;="&amp;$A12,Task_Tracker!$L$5:$L$1004,"&lt;"&amp;EDATE($A12,1))</f>
        <v/>
      </c>
      <c r="M12" s="74">
        <f>COUNTIFS(Task_Tracker!$L$5:$L$1004,"&gt;="&amp;$A12,Task_Tracker!$L$5:$L$1004,"&lt;"&amp;EDATE($A12,1),Task_Tracker!$I$5:$I$1004,"&lt;&gt;Completed",Task_Tracker!$I$5:$I$1004,"&lt;&gt;Cancelled")</f>
        <v/>
      </c>
    </row>
    <row r="13">
      <c r="A13" s="113" t="n">
        <v>46357</v>
      </c>
      <c r="B13" s="73">
        <f>TEXT(A13,"mmm yyyy")</f>
        <v/>
      </c>
      <c r="C13" s="74">
        <f>COUNTIFS(Task_Tracker!$L$5:$L$1004,"&gt;="&amp;$A13,Task_Tracker!$L$5:$L$1004,"&lt;"&amp;EDATE($A13,1),Task_Tracker!$A$5:$A$1004,"&lt;&gt;")</f>
        <v/>
      </c>
      <c r="D13" s="74">
        <f>COUNTIFS(Task_Tracker!$L$5:$L$1004,"&gt;="&amp;$A13,Task_Tracker!$L$5:$L$1004,"&lt;"&amp;EDATE($A13,1),Task_Tracker!$I$5:$I$1004,"Completed")</f>
        <v/>
      </c>
      <c r="E13" s="74">
        <f>COUNTIFS(Task_Tracker!$L$5:$L$1004,"&lt;"&amp;$A13,Task_Tracker!$I$5:$I$1004,"&lt;&gt;Completed",Task_Tracker!$I$5:$I$1004,"&lt;&gt;Cancelled",Task_Tracker!$A$5:$A$1004,"&lt;&gt;")</f>
        <v/>
      </c>
      <c r="F13" s="75">
        <f>SUMIFS(Task_Tracker!$O$5:$O$1004,Task_Tracker!$L$5:$L$1004,"&gt;="&amp;$A13,Task_Tracker!$L$5:$L$1004,"&lt;"&amp;EDATE($A13,1))</f>
        <v/>
      </c>
      <c r="G13" s="74">
        <f>COUNTIFS(Task_Tracker!$F$5:$F$1004,Employee_Master!$B$5,Task_Tracker!$L$5:$L$1004,"&gt;="&amp;$A13,Task_Tracker!$L$5:$L$1004,"&lt;"&amp;EDATE($A13,1))</f>
        <v/>
      </c>
      <c r="H13" s="74">
        <f>COUNTIFS(Task_Tracker!$F$5:$F$1004,Employee_Master!$B$5,Task_Tracker!$L$5:$L$1004,"&gt;="&amp;$A13,Task_Tracker!$L$5:$L$1004,"&lt;"&amp;EDATE($A13,1),Task_Tracker!$I$5:$I$1004,"Completed")</f>
        <v/>
      </c>
      <c r="I13" s="75">
        <f>SUMIFS(Task_Tracker!$O$5:$O$1004,Task_Tracker!$F$5:$F$1004,Employee_Master!$B$5,Task_Tracker!$L$5:$L$1004,"&gt;="&amp;$A13,Task_Tracker!$L$5:$L$1004,"&lt;"&amp;EDATE($A13,1))</f>
        <v/>
      </c>
      <c r="J13" s="74">
        <f>COUNTIFS(Task_Tracker!$F$5:$F$1004,Employee_Master!$B$6,Task_Tracker!$L$5:$L$1004,"&gt;="&amp;$A13,Task_Tracker!$L$5:$L$1004,"&lt;"&amp;EDATE($A13,1))</f>
        <v/>
      </c>
      <c r="K13" s="74">
        <f>COUNTIFS(Task_Tracker!$F$5:$F$1004,Employee_Master!$B$6,Task_Tracker!$L$5:$L$1004,"&gt;="&amp;$A13,Task_Tracker!$L$5:$L$1004,"&lt;"&amp;EDATE($A13,1),Task_Tracker!$I$5:$I$1004,"Completed")</f>
        <v/>
      </c>
      <c r="L13" s="75">
        <f>SUMIFS(Task_Tracker!$O$5:$O$1004,Task_Tracker!$F$5:$F$1004,Employee_Master!$B$6,Task_Tracker!$L$5:$L$1004,"&gt;="&amp;$A13,Task_Tracker!$L$5:$L$1004,"&lt;"&amp;EDATE($A13,1))</f>
        <v/>
      </c>
      <c r="M13" s="74">
        <f>COUNTIFS(Task_Tracker!$L$5:$L$1004,"&gt;="&amp;$A13,Task_Tracker!$L$5:$L$1004,"&lt;"&amp;EDATE($A13,1),Task_Tracker!$I$5:$I$1004,"&lt;&gt;Completed",Task_Tracker!$I$5:$I$1004,"&lt;&gt;Cancelled")</f>
        <v/>
      </c>
    </row>
    <row r="14">
      <c r="A14" s="113" t="n">
        <v>46388</v>
      </c>
      <c r="B14" s="73">
        <f>TEXT(A14,"mmm yyyy")</f>
        <v/>
      </c>
      <c r="C14" s="74">
        <f>COUNTIFS(Task_Tracker!$L$5:$L$1004,"&gt;="&amp;$A14,Task_Tracker!$L$5:$L$1004,"&lt;"&amp;EDATE($A14,1),Task_Tracker!$A$5:$A$1004,"&lt;&gt;")</f>
        <v/>
      </c>
      <c r="D14" s="74">
        <f>COUNTIFS(Task_Tracker!$L$5:$L$1004,"&gt;="&amp;$A14,Task_Tracker!$L$5:$L$1004,"&lt;"&amp;EDATE($A14,1),Task_Tracker!$I$5:$I$1004,"Completed")</f>
        <v/>
      </c>
      <c r="E14" s="74">
        <f>COUNTIFS(Task_Tracker!$L$5:$L$1004,"&lt;"&amp;$A14,Task_Tracker!$I$5:$I$1004,"&lt;&gt;Completed",Task_Tracker!$I$5:$I$1004,"&lt;&gt;Cancelled",Task_Tracker!$A$5:$A$1004,"&lt;&gt;")</f>
        <v/>
      </c>
      <c r="F14" s="75">
        <f>SUMIFS(Task_Tracker!$O$5:$O$1004,Task_Tracker!$L$5:$L$1004,"&gt;="&amp;$A14,Task_Tracker!$L$5:$L$1004,"&lt;"&amp;EDATE($A14,1))</f>
        <v/>
      </c>
      <c r="G14" s="74">
        <f>COUNTIFS(Task_Tracker!$F$5:$F$1004,Employee_Master!$B$5,Task_Tracker!$L$5:$L$1004,"&gt;="&amp;$A14,Task_Tracker!$L$5:$L$1004,"&lt;"&amp;EDATE($A14,1))</f>
        <v/>
      </c>
      <c r="H14" s="74">
        <f>COUNTIFS(Task_Tracker!$F$5:$F$1004,Employee_Master!$B$5,Task_Tracker!$L$5:$L$1004,"&gt;="&amp;$A14,Task_Tracker!$L$5:$L$1004,"&lt;"&amp;EDATE($A14,1),Task_Tracker!$I$5:$I$1004,"Completed")</f>
        <v/>
      </c>
      <c r="I14" s="75">
        <f>SUMIFS(Task_Tracker!$O$5:$O$1004,Task_Tracker!$F$5:$F$1004,Employee_Master!$B$5,Task_Tracker!$L$5:$L$1004,"&gt;="&amp;$A14,Task_Tracker!$L$5:$L$1004,"&lt;"&amp;EDATE($A14,1))</f>
        <v/>
      </c>
      <c r="J14" s="74">
        <f>COUNTIFS(Task_Tracker!$F$5:$F$1004,Employee_Master!$B$6,Task_Tracker!$L$5:$L$1004,"&gt;="&amp;$A14,Task_Tracker!$L$5:$L$1004,"&lt;"&amp;EDATE($A14,1))</f>
        <v/>
      </c>
      <c r="K14" s="74">
        <f>COUNTIFS(Task_Tracker!$F$5:$F$1004,Employee_Master!$B$6,Task_Tracker!$L$5:$L$1004,"&gt;="&amp;$A14,Task_Tracker!$L$5:$L$1004,"&lt;"&amp;EDATE($A14,1),Task_Tracker!$I$5:$I$1004,"Completed")</f>
        <v/>
      </c>
      <c r="L14" s="75">
        <f>SUMIFS(Task_Tracker!$O$5:$O$1004,Task_Tracker!$F$5:$F$1004,Employee_Master!$B$6,Task_Tracker!$L$5:$L$1004,"&gt;="&amp;$A14,Task_Tracker!$L$5:$L$1004,"&lt;"&amp;EDATE($A14,1))</f>
        <v/>
      </c>
      <c r="M14" s="74">
        <f>COUNTIFS(Task_Tracker!$L$5:$L$1004,"&gt;="&amp;$A14,Task_Tracker!$L$5:$L$1004,"&lt;"&amp;EDATE($A14,1),Task_Tracker!$I$5:$I$1004,"&lt;&gt;Completed",Task_Tracker!$I$5:$I$1004,"&lt;&gt;Cancelled")</f>
        <v/>
      </c>
    </row>
    <row r="15">
      <c r="A15" s="113" t="n">
        <v>46419</v>
      </c>
      <c r="B15" s="73">
        <f>TEXT(A15,"mmm yyyy")</f>
        <v/>
      </c>
      <c r="C15" s="74">
        <f>COUNTIFS(Task_Tracker!$L$5:$L$1004,"&gt;="&amp;$A15,Task_Tracker!$L$5:$L$1004,"&lt;"&amp;EDATE($A15,1),Task_Tracker!$A$5:$A$1004,"&lt;&gt;")</f>
        <v/>
      </c>
      <c r="D15" s="74">
        <f>COUNTIFS(Task_Tracker!$L$5:$L$1004,"&gt;="&amp;$A15,Task_Tracker!$L$5:$L$1004,"&lt;"&amp;EDATE($A15,1),Task_Tracker!$I$5:$I$1004,"Completed")</f>
        <v/>
      </c>
      <c r="E15" s="74">
        <f>COUNTIFS(Task_Tracker!$L$5:$L$1004,"&lt;"&amp;$A15,Task_Tracker!$I$5:$I$1004,"&lt;&gt;Completed",Task_Tracker!$I$5:$I$1004,"&lt;&gt;Cancelled",Task_Tracker!$A$5:$A$1004,"&lt;&gt;")</f>
        <v/>
      </c>
      <c r="F15" s="75">
        <f>SUMIFS(Task_Tracker!$O$5:$O$1004,Task_Tracker!$L$5:$L$1004,"&gt;="&amp;$A15,Task_Tracker!$L$5:$L$1004,"&lt;"&amp;EDATE($A15,1))</f>
        <v/>
      </c>
      <c r="G15" s="74">
        <f>COUNTIFS(Task_Tracker!$F$5:$F$1004,Employee_Master!$B$5,Task_Tracker!$L$5:$L$1004,"&gt;="&amp;$A15,Task_Tracker!$L$5:$L$1004,"&lt;"&amp;EDATE($A15,1))</f>
        <v/>
      </c>
      <c r="H15" s="74">
        <f>COUNTIFS(Task_Tracker!$F$5:$F$1004,Employee_Master!$B$5,Task_Tracker!$L$5:$L$1004,"&gt;="&amp;$A15,Task_Tracker!$L$5:$L$1004,"&lt;"&amp;EDATE($A15,1),Task_Tracker!$I$5:$I$1004,"Completed")</f>
        <v/>
      </c>
      <c r="I15" s="75">
        <f>SUMIFS(Task_Tracker!$O$5:$O$1004,Task_Tracker!$F$5:$F$1004,Employee_Master!$B$5,Task_Tracker!$L$5:$L$1004,"&gt;="&amp;$A15,Task_Tracker!$L$5:$L$1004,"&lt;"&amp;EDATE($A15,1))</f>
        <v/>
      </c>
      <c r="J15" s="74">
        <f>COUNTIFS(Task_Tracker!$F$5:$F$1004,Employee_Master!$B$6,Task_Tracker!$L$5:$L$1004,"&gt;="&amp;$A15,Task_Tracker!$L$5:$L$1004,"&lt;"&amp;EDATE($A15,1))</f>
        <v/>
      </c>
      <c r="K15" s="74">
        <f>COUNTIFS(Task_Tracker!$F$5:$F$1004,Employee_Master!$B$6,Task_Tracker!$L$5:$L$1004,"&gt;="&amp;$A15,Task_Tracker!$L$5:$L$1004,"&lt;"&amp;EDATE($A15,1),Task_Tracker!$I$5:$I$1004,"Completed")</f>
        <v/>
      </c>
      <c r="L15" s="75">
        <f>SUMIFS(Task_Tracker!$O$5:$O$1004,Task_Tracker!$F$5:$F$1004,Employee_Master!$B$6,Task_Tracker!$L$5:$L$1004,"&gt;="&amp;$A15,Task_Tracker!$L$5:$L$1004,"&lt;"&amp;EDATE($A15,1))</f>
        <v/>
      </c>
      <c r="M15" s="74">
        <f>COUNTIFS(Task_Tracker!$L$5:$L$1004,"&gt;="&amp;$A15,Task_Tracker!$L$5:$L$1004,"&lt;"&amp;EDATE($A15,1),Task_Tracker!$I$5:$I$1004,"&lt;&gt;Completed",Task_Tracker!$I$5:$I$1004,"&lt;&gt;Cancelled")</f>
        <v/>
      </c>
    </row>
    <row r="16">
      <c r="A16" s="113" t="n">
        <v>46447</v>
      </c>
      <c r="B16" s="73">
        <f>TEXT(A16,"mmm yyyy")</f>
        <v/>
      </c>
      <c r="C16" s="74">
        <f>COUNTIFS(Task_Tracker!$L$5:$L$1004,"&gt;="&amp;$A16,Task_Tracker!$L$5:$L$1004,"&lt;"&amp;EDATE($A16,1),Task_Tracker!$A$5:$A$1004,"&lt;&gt;")</f>
        <v/>
      </c>
      <c r="D16" s="74">
        <f>COUNTIFS(Task_Tracker!$L$5:$L$1004,"&gt;="&amp;$A16,Task_Tracker!$L$5:$L$1004,"&lt;"&amp;EDATE($A16,1),Task_Tracker!$I$5:$I$1004,"Completed")</f>
        <v/>
      </c>
      <c r="E16" s="74">
        <f>COUNTIFS(Task_Tracker!$L$5:$L$1004,"&lt;"&amp;$A16,Task_Tracker!$I$5:$I$1004,"&lt;&gt;Completed",Task_Tracker!$I$5:$I$1004,"&lt;&gt;Cancelled",Task_Tracker!$A$5:$A$1004,"&lt;&gt;")</f>
        <v/>
      </c>
      <c r="F16" s="75">
        <f>SUMIFS(Task_Tracker!$O$5:$O$1004,Task_Tracker!$L$5:$L$1004,"&gt;="&amp;$A16,Task_Tracker!$L$5:$L$1004,"&lt;"&amp;EDATE($A16,1))</f>
        <v/>
      </c>
      <c r="G16" s="74">
        <f>COUNTIFS(Task_Tracker!$F$5:$F$1004,Employee_Master!$B$5,Task_Tracker!$L$5:$L$1004,"&gt;="&amp;$A16,Task_Tracker!$L$5:$L$1004,"&lt;"&amp;EDATE($A16,1))</f>
        <v/>
      </c>
      <c r="H16" s="74">
        <f>COUNTIFS(Task_Tracker!$F$5:$F$1004,Employee_Master!$B$5,Task_Tracker!$L$5:$L$1004,"&gt;="&amp;$A16,Task_Tracker!$L$5:$L$1004,"&lt;"&amp;EDATE($A16,1),Task_Tracker!$I$5:$I$1004,"Completed")</f>
        <v/>
      </c>
      <c r="I16" s="75">
        <f>SUMIFS(Task_Tracker!$O$5:$O$1004,Task_Tracker!$F$5:$F$1004,Employee_Master!$B$5,Task_Tracker!$L$5:$L$1004,"&gt;="&amp;$A16,Task_Tracker!$L$5:$L$1004,"&lt;"&amp;EDATE($A16,1))</f>
        <v/>
      </c>
      <c r="J16" s="74">
        <f>COUNTIFS(Task_Tracker!$F$5:$F$1004,Employee_Master!$B$6,Task_Tracker!$L$5:$L$1004,"&gt;="&amp;$A16,Task_Tracker!$L$5:$L$1004,"&lt;"&amp;EDATE($A16,1))</f>
        <v/>
      </c>
      <c r="K16" s="74">
        <f>COUNTIFS(Task_Tracker!$F$5:$F$1004,Employee_Master!$B$6,Task_Tracker!$L$5:$L$1004,"&gt;="&amp;$A16,Task_Tracker!$L$5:$L$1004,"&lt;"&amp;EDATE($A16,1),Task_Tracker!$I$5:$I$1004,"Completed")</f>
        <v/>
      </c>
      <c r="L16" s="75">
        <f>SUMIFS(Task_Tracker!$O$5:$O$1004,Task_Tracker!$F$5:$F$1004,Employee_Master!$B$6,Task_Tracker!$L$5:$L$1004,"&gt;="&amp;$A16,Task_Tracker!$L$5:$L$1004,"&lt;"&amp;EDATE($A16,1))</f>
        <v/>
      </c>
      <c r="M16" s="74">
        <f>COUNTIFS(Task_Tracker!$L$5:$L$1004,"&gt;="&amp;$A16,Task_Tracker!$L$5:$L$1004,"&lt;"&amp;EDATE($A16,1),Task_Tracker!$I$5:$I$1004,"&lt;&gt;Completed",Task_Tracker!$I$5:$I$1004,"&lt;&gt;Cancelled")</f>
        <v/>
      </c>
    </row>
    <row r="19">
      <c r="A19" s="76" t="inlineStr">
        <is>
          <t>Use the monthly tabs for task-by-task detail and carry-forward lines.</t>
        </is>
      </c>
      <c r="B19" s="111" t="n"/>
      <c r="C19" s="111" t="n"/>
      <c r="D19" s="111" t="n"/>
      <c r="E19" s="111" t="n"/>
      <c r="F19" s="111" t="n"/>
      <c r="G19" s="111" t="n"/>
      <c r="H19" s="111" t="n"/>
      <c r="I19" s="111" t="n"/>
      <c r="J19" s="111" t="n"/>
      <c r="K19" s="111" t="n"/>
      <c r="L19" s="111" t="n"/>
      <c r="M19" s="112" t="n"/>
    </row>
  </sheetData>
  <mergeCells count="3">
    <mergeCell ref="A19:M19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39" min="1" max="1"/>
    <col width="24" customWidth="1" style="39" min="2" max="2"/>
    <col width="18" customWidth="1" style="39" min="3" max="4"/>
    <col width="20" customWidth="1" style="39" min="5" max="5"/>
    <col width="28" customWidth="1" style="39" min="6" max="6"/>
    <col width="14" customWidth="1" style="39" min="7" max="7"/>
    <col width="20" customWidth="1" style="39" min="8" max="8"/>
    <col width="12" customWidth="1" style="39" min="9" max="9"/>
    <col width="18" customWidth="1" style="39" min="10" max="10"/>
    <col width="28" customWidth="1" style="39" min="11" max="11"/>
  </cols>
  <sheetData>
    <row r="1" ht="19.5" customHeight="1" s="40">
      <c r="A1" s="53" t="inlineStr">
        <is>
          <t>Employee Master</t>
        </is>
      </c>
    </row>
    <row r="2" ht="15" customHeight="1" s="40">
      <c r="A2" s="77" t="inlineStr">
        <is>
          <t>Add each employee once. Task assignments and reports use this sheet as the source list.</t>
        </is>
      </c>
    </row>
    <row r="4" ht="21.75" customHeight="1" s="40">
      <c r="A4" s="63" t="inlineStr">
        <is>
          <t>Emp ID</t>
        </is>
      </c>
      <c r="B4" s="63" t="inlineStr">
        <is>
          <t>Employee Name</t>
        </is>
      </c>
      <c r="C4" s="63" t="inlineStr">
        <is>
          <t>Department</t>
        </is>
      </c>
      <c r="D4" s="63" t="inlineStr">
        <is>
          <t>Role</t>
        </is>
      </c>
      <c r="E4" s="63" t="inlineStr">
        <is>
          <t>Manager</t>
        </is>
      </c>
      <c r="F4" s="63" t="inlineStr">
        <is>
          <t>Email</t>
        </is>
      </c>
      <c r="G4" s="63" t="inlineStr">
        <is>
          <t>Join Date</t>
        </is>
      </c>
      <c r="H4" s="63" t="inlineStr">
        <is>
          <t>Weekly Capacity (hrs)</t>
        </is>
      </c>
      <c r="I4" s="63" t="inlineStr">
        <is>
          <t>Status</t>
        </is>
      </c>
      <c r="J4" s="63" t="inlineStr">
        <is>
          <t>Location</t>
        </is>
      </c>
      <c r="K4" s="63" t="inlineStr">
        <is>
          <t>Notes</t>
        </is>
      </c>
    </row>
    <row r="5" ht="15" customHeight="1" s="40">
      <c r="A5" s="65">
        <f>IF(B5="","","EMP-"&amp;TEXT(ROW()-4,"000"))</f>
        <v/>
      </c>
      <c r="B5" s="78" t="inlineStr">
        <is>
          <t>Pammi Gaur</t>
        </is>
      </c>
      <c r="C5" s="78" t="inlineStr">
        <is>
          <t>Operations</t>
        </is>
      </c>
      <c r="D5" s="78" t="inlineStr">
        <is>
          <t>Project Coordinator</t>
        </is>
      </c>
      <c r="E5" s="78" t="inlineStr">
        <is>
          <t>Sara Khan</t>
        </is>
      </c>
      <c r="F5" s="78" t="inlineStr">
        <is>
          <t>pammi.gaur@company.com</t>
        </is>
      </c>
      <c r="G5" s="79" t="n">
        <v>45853</v>
      </c>
      <c r="H5" s="80" t="n">
        <v>40</v>
      </c>
      <c r="I5" s="78" t="inlineStr">
        <is>
          <t>Active</t>
        </is>
      </c>
      <c r="J5" s="78" t="inlineStr">
        <is>
          <t>Remote</t>
        </is>
      </c>
      <c r="K5" s="78" t="inlineStr">
        <is>
          <t>Owns operations execution, follow-ups, and client coordination.</t>
        </is>
      </c>
    </row>
    <row r="6" ht="15" customHeight="1" s="40">
      <c r="A6" s="65">
        <f>IF(B6="","","EMP-"&amp;TEXT(ROW()-4,"000"))</f>
        <v/>
      </c>
      <c r="B6" s="78" t="inlineStr">
        <is>
          <t>Pankaj Vairagade</t>
        </is>
      </c>
      <c r="C6" s="78" t="inlineStr">
        <is>
          <t>Business Systems</t>
        </is>
      </c>
      <c r="D6" s="78" t="inlineStr">
        <is>
          <t>Business Analyst</t>
        </is>
      </c>
      <c r="E6" s="78" t="inlineStr">
        <is>
          <t>Sara Khan</t>
        </is>
      </c>
      <c r="F6" s="78" t="inlineStr">
        <is>
          <t>pankaj.vairagade@company.com</t>
        </is>
      </c>
      <c r="G6" s="79" t="n">
        <v>45600</v>
      </c>
      <c r="H6" s="80" t="n">
        <v>40</v>
      </c>
      <c r="I6" s="78" t="inlineStr">
        <is>
          <t>Active</t>
        </is>
      </c>
      <c r="J6" s="78" t="inlineStr">
        <is>
          <t>Bengaluru</t>
        </is>
      </c>
      <c r="K6" s="78" t="inlineStr">
        <is>
          <t>Handles reporting, audit prep, and process improvement work.</t>
        </is>
      </c>
    </row>
    <row r="7" ht="15" customHeight="1" s="40">
      <c r="A7" s="65">
        <f>IF(B7="","","EMP-"&amp;TEXT(ROW()-4,"000"))</f>
        <v/>
      </c>
      <c r="B7" s="78" t="n"/>
      <c r="C7" s="78" t="n"/>
      <c r="D7" s="78" t="n"/>
      <c r="E7" s="78" t="n"/>
      <c r="F7" s="78" t="n"/>
      <c r="G7" s="79" t="n"/>
      <c r="H7" s="80" t="n"/>
      <c r="I7" s="78" t="n"/>
      <c r="J7" s="78" t="n"/>
      <c r="K7" s="78" t="n"/>
    </row>
    <row r="8" ht="15" customHeight="1" s="40">
      <c r="A8" s="65">
        <f>IF(B8="","","EMP-"&amp;TEXT(ROW()-4,"000"))</f>
        <v/>
      </c>
      <c r="B8" s="78" t="n"/>
      <c r="C8" s="78" t="n"/>
      <c r="D8" s="78" t="n"/>
      <c r="E8" s="78" t="n"/>
      <c r="F8" s="78" t="n"/>
      <c r="G8" s="79" t="n"/>
      <c r="H8" s="80" t="n"/>
      <c r="I8" s="78" t="n"/>
      <c r="J8" s="78" t="n"/>
      <c r="K8" s="78" t="n"/>
    </row>
    <row r="9" ht="15" customHeight="1" s="40">
      <c r="A9" s="65">
        <f>IF(B9="","","EMP-"&amp;TEXT(ROW()-4,"000"))</f>
        <v/>
      </c>
      <c r="B9" s="78" t="n"/>
      <c r="C9" s="78" t="n"/>
      <c r="D9" s="78" t="n"/>
      <c r="E9" s="78" t="n"/>
      <c r="F9" s="78" t="n"/>
      <c r="G9" s="79" t="n"/>
      <c r="H9" s="80" t="n"/>
      <c r="I9" s="78" t="n"/>
      <c r="J9" s="78" t="n"/>
      <c r="K9" s="78" t="n"/>
    </row>
    <row r="10" ht="15" customHeight="1" s="40">
      <c r="A10" s="65">
        <f>IF(B10="","","EMP-"&amp;TEXT(ROW()-4,"000"))</f>
        <v/>
      </c>
      <c r="B10" s="78" t="n"/>
      <c r="C10" s="78" t="n"/>
      <c r="D10" s="78" t="n"/>
      <c r="E10" s="78" t="n"/>
      <c r="F10" s="78" t="n"/>
      <c r="G10" s="79" t="n"/>
      <c r="H10" s="80" t="n"/>
      <c r="I10" s="78" t="n"/>
      <c r="J10" s="78" t="n"/>
      <c r="K10" s="78" t="n"/>
    </row>
    <row r="11" ht="15" customHeight="1" s="40">
      <c r="A11" s="65">
        <f>IF(B11="","","EMP-"&amp;TEXT(ROW()-4,"000"))</f>
        <v/>
      </c>
      <c r="B11" s="78" t="n"/>
      <c r="C11" s="78" t="n"/>
      <c r="D11" s="78" t="n"/>
      <c r="E11" s="78" t="n"/>
      <c r="F11" s="78" t="n"/>
      <c r="G11" s="79" t="n"/>
      <c r="H11" s="80" t="n"/>
      <c r="I11" s="78" t="n"/>
      <c r="J11" s="78" t="n"/>
      <c r="K11" s="78" t="n"/>
    </row>
    <row r="12" ht="15" customHeight="1" s="40">
      <c r="A12" s="65">
        <f>IF(B12="","","EMP-"&amp;TEXT(ROW()-4,"000"))</f>
        <v/>
      </c>
      <c r="B12" s="78" t="n"/>
      <c r="C12" s="78" t="n"/>
      <c r="D12" s="78" t="n"/>
      <c r="E12" s="78" t="n"/>
      <c r="F12" s="78" t="n"/>
      <c r="G12" s="79" t="n"/>
      <c r="H12" s="80" t="n"/>
      <c r="I12" s="78" t="n"/>
      <c r="J12" s="78" t="n"/>
      <c r="K12" s="78" t="n"/>
    </row>
    <row r="13" ht="15" customHeight="1" s="40">
      <c r="A13" s="65">
        <f>IF(B13="","","EMP-"&amp;TEXT(ROW()-4,"000"))</f>
        <v/>
      </c>
      <c r="B13" s="78" t="n"/>
      <c r="C13" s="78" t="n"/>
      <c r="D13" s="78" t="n"/>
      <c r="E13" s="78" t="n"/>
      <c r="F13" s="78" t="n"/>
      <c r="G13" s="79" t="n"/>
      <c r="H13" s="80" t="n"/>
      <c r="I13" s="78" t="n"/>
      <c r="J13" s="78" t="n"/>
      <c r="K13" s="78" t="n"/>
    </row>
    <row r="14" ht="15" customHeight="1" s="40">
      <c r="A14" s="65">
        <f>IF(B14="","","EMP-"&amp;TEXT(ROW()-4,"000"))</f>
        <v/>
      </c>
      <c r="B14" s="78" t="n"/>
      <c r="C14" s="78" t="n"/>
      <c r="D14" s="78" t="n"/>
      <c r="E14" s="78" t="n"/>
      <c r="F14" s="78" t="n"/>
      <c r="G14" s="79" t="n"/>
      <c r="H14" s="80" t="n"/>
      <c r="I14" s="78" t="n"/>
      <c r="J14" s="78" t="n"/>
      <c r="K14" s="78" t="n"/>
    </row>
    <row r="15" ht="15" customHeight="1" s="40">
      <c r="A15" s="65">
        <f>IF(B15="","","EMP-"&amp;TEXT(ROW()-4,"000"))</f>
        <v/>
      </c>
      <c r="B15" s="78" t="n"/>
      <c r="C15" s="78" t="n"/>
      <c r="D15" s="78" t="n"/>
      <c r="E15" s="78" t="n"/>
      <c r="F15" s="78" t="n"/>
      <c r="G15" s="79" t="n"/>
      <c r="H15" s="80" t="n"/>
      <c r="I15" s="78" t="n"/>
      <c r="J15" s="78" t="n"/>
      <c r="K15" s="78" t="n"/>
    </row>
    <row r="16" ht="15" customHeight="1" s="40">
      <c r="A16" s="65">
        <f>IF(B16="","","EMP-"&amp;TEXT(ROW()-4,"000"))</f>
        <v/>
      </c>
      <c r="B16" s="78" t="n"/>
      <c r="C16" s="78" t="n"/>
      <c r="D16" s="78" t="n"/>
      <c r="E16" s="78" t="n"/>
      <c r="F16" s="78" t="n"/>
      <c r="G16" s="79" t="n"/>
      <c r="H16" s="80" t="n"/>
      <c r="I16" s="78" t="n"/>
      <c r="J16" s="78" t="n"/>
      <c r="K16" s="78" t="n"/>
    </row>
    <row r="17" ht="15" customHeight="1" s="40">
      <c r="A17" s="65">
        <f>IF(B17="","","EMP-"&amp;TEXT(ROW()-4,"000"))</f>
        <v/>
      </c>
      <c r="B17" s="78" t="n"/>
      <c r="C17" s="78" t="n"/>
      <c r="D17" s="78" t="n"/>
      <c r="E17" s="78" t="n"/>
      <c r="F17" s="78" t="n"/>
      <c r="G17" s="79" t="n"/>
      <c r="H17" s="80" t="n"/>
      <c r="I17" s="78" t="n"/>
      <c r="J17" s="78" t="n"/>
      <c r="K17" s="78" t="n"/>
    </row>
    <row r="18" ht="15" customHeight="1" s="40">
      <c r="A18" s="65">
        <f>IF(B18="","","EMP-"&amp;TEXT(ROW()-4,"000"))</f>
        <v/>
      </c>
      <c r="B18" s="78" t="n"/>
      <c r="C18" s="78" t="n"/>
      <c r="D18" s="78" t="n"/>
      <c r="E18" s="78" t="n"/>
      <c r="F18" s="78" t="n"/>
      <c r="G18" s="79" t="n"/>
      <c r="H18" s="80" t="n"/>
      <c r="I18" s="78" t="n"/>
      <c r="J18" s="78" t="n"/>
      <c r="K18" s="78" t="n"/>
    </row>
    <row r="19" ht="15" customHeight="1" s="40">
      <c r="A19" s="65">
        <f>IF(B19="","","EMP-"&amp;TEXT(ROW()-4,"000"))</f>
        <v/>
      </c>
      <c r="B19" s="78" t="n"/>
      <c r="C19" s="78" t="n"/>
      <c r="D19" s="78" t="n"/>
      <c r="E19" s="78" t="n"/>
      <c r="F19" s="78" t="n"/>
      <c r="G19" s="79" t="n"/>
      <c r="H19" s="80" t="n"/>
      <c r="I19" s="78" t="n"/>
      <c r="J19" s="78" t="n"/>
      <c r="K19" s="78" t="n"/>
    </row>
    <row r="20" ht="15" customHeight="1" s="40">
      <c r="A20" s="65">
        <f>IF(B20="","","EMP-"&amp;TEXT(ROW()-4,"000"))</f>
        <v/>
      </c>
      <c r="B20" s="78" t="n"/>
      <c r="C20" s="78" t="n"/>
      <c r="D20" s="78" t="n"/>
      <c r="E20" s="78" t="n"/>
      <c r="F20" s="78" t="n"/>
      <c r="G20" s="79" t="n"/>
      <c r="H20" s="80" t="n"/>
      <c r="I20" s="78" t="n"/>
      <c r="J20" s="78" t="n"/>
      <c r="K20" s="78" t="n"/>
    </row>
    <row r="21" ht="15" customHeight="1" s="40">
      <c r="A21" s="65">
        <f>IF(B21="","","EMP-"&amp;TEXT(ROW()-4,"000"))</f>
        <v/>
      </c>
      <c r="B21" s="78" t="n"/>
      <c r="C21" s="78" t="n"/>
      <c r="D21" s="78" t="n"/>
      <c r="E21" s="78" t="n"/>
      <c r="F21" s="78" t="n"/>
      <c r="G21" s="79" t="n"/>
      <c r="H21" s="80" t="n"/>
      <c r="I21" s="78" t="n"/>
      <c r="J21" s="78" t="n"/>
      <c r="K21" s="78" t="n"/>
    </row>
    <row r="22" ht="15" customHeight="1" s="40">
      <c r="A22" s="65">
        <f>IF(B22="","","EMP-"&amp;TEXT(ROW()-4,"000"))</f>
        <v/>
      </c>
      <c r="B22" s="78" t="n"/>
      <c r="C22" s="78" t="n"/>
      <c r="D22" s="78" t="n"/>
      <c r="E22" s="78" t="n"/>
      <c r="F22" s="78" t="n"/>
      <c r="G22" s="79" t="n"/>
      <c r="H22" s="80" t="n"/>
      <c r="I22" s="78" t="n"/>
      <c r="J22" s="78" t="n"/>
      <c r="K22" s="78" t="n"/>
    </row>
    <row r="23" ht="15" customHeight="1" s="40">
      <c r="A23" s="65">
        <f>IF(B23="","","EMP-"&amp;TEXT(ROW()-4,"000"))</f>
        <v/>
      </c>
      <c r="B23" s="78" t="n"/>
      <c r="C23" s="78" t="n"/>
      <c r="D23" s="78" t="n"/>
      <c r="E23" s="78" t="n"/>
      <c r="F23" s="78" t="n"/>
      <c r="G23" s="79" t="n"/>
      <c r="H23" s="80" t="n"/>
      <c r="I23" s="78" t="n"/>
      <c r="J23" s="78" t="n"/>
      <c r="K23" s="78" t="n"/>
    </row>
    <row r="24" ht="15" customHeight="1" s="40">
      <c r="A24" s="65">
        <f>IF(B24="","","EMP-"&amp;TEXT(ROW()-4,"000"))</f>
        <v/>
      </c>
      <c r="B24" s="78" t="n"/>
      <c r="C24" s="78" t="n"/>
      <c r="D24" s="78" t="n"/>
      <c r="E24" s="78" t="n"/>
      <c r="F24" s="78" t="n"/>
      <c r="G24" s="79" t="n"/>
      <c r="H24" s="80" t="n"/>
      <c r="I24" s="78" t="n"/>
      <c r="J24" s="78" t="n"/>
      <c r="K24" s="78" t="n"/>
    </row>
    <row r="25" ht="15" customHeight="1" s="40">
      <c r="A25" s="65">
        <f>IF(B25="","","EMP-"&amp;TEXT(ROW()-4,"000"))</f>
        <v/>
      </c>
      <c r="B25" s="78" t="n"/>
      <c r="C25" s="78" t="n"/>
      <c r="D25" s="78" t="n"/>
      <c r="E25" s="78" t="n"/>
      <c r="F25" s="78" t="n"/>
      <c r="G25" s="79" t="n"/>
      <c r="H25" s="80" t="n"/>
      <c r="I25" s="78" t="n"/>
      <c r="J25" s="78" t="n"/>
      <c r="K25" s="78" t="n"/>
    </row>
    <row r="26" ht="15" customHeight="1" s="40">
      <c r="A26" s="65">
        <f>IF(B26="","","EMP-"&amp;TEXT(ROW()-4,"000"))</f>
        <v/>
      </c>
      <c r="B26" s="78" t="n"/>
      <c r="C26" s="78" t="n"/>
      <c r="D26" s="78" t="n"/>
      <c r="E26" s="78" t="n"/>
      <c r="F26" s="78" t="n"/>
      <c r="G26" s="79" t="n"/>
      <c r="H26" s="80" t="n"/>
      <c r="I26" s="78" t="n"/>
      <c r="J26" s="78" t="n"/>
      <c r="K26" s="78" t="n"/>
    </row>
    <row r="27" ht="15" customHeight="1" s="40">
      <c r="A27" s="65">
        <f>IF(B27="","","EMP-"&amp;TEXT(ROW()-4,"000"))</f>
        <v/>
      </c>
      <c r="B27" s="78" t="n"/>
      <c r="C27" s="78" t="n"/>
      <c r="D27" s="78" t="n"/>
      <c r="E27" s="78" t="n"/>
      <c r="F27" s="78" t="n"/>
      <c r="G27" s="79" t="n"/>
      <c r="H27" s="80" t="n"/>
      <c r="I27" s="78" t="n"/>
      <c r="J27" s="78" t="n"/>
      <c r="K27" s="78" t="n"/>
    </row>
    <row r="28" ht="15" customHeight="1" s="40">
      <c r="A28" s="65">
        <f>IF(B28="","","EMP-"&amp;TEXT(ROW()-4,"000"))</f>
        <v/>
      </c>
      <c r="B28" s="78" t="n"/>
      <c r="C28" s="78" t="n"/>
      <c r="D28" s="78" t="n"/>
      <c r="E28" s="78" t="n"/>
      <c r="F28" s="78" t="n"/>
      <c r="G28" s="79" t="n"/>
      <c r="H28" s="80" t="n"/>
      <c r="I28" s="78" t="n"/>
      <c r="J28" s="78" t="n"/>
      <c r="K28" s="78" t="n"/>
    </row>
    <row r="29" ht="15" customHeight="1" s="40">
      <c r="A29" s="65">
        <f>IF(B29="","","EMP-"&amp;TEXT(ROW()-4,"000"))</f>
        <v/>
      </c>
      <c r="B29" s="78" t="n"/>
      <c r="C29" s="78" t="n"/>
      <c r="D29" s="78" t="n"/>
      <c r="E29" s="78" t="n"/>
      <c r="F29" s="78" t="n"/>
      <c r="G29" s="79" t="n"/>
      <c r="H29" s="80" t="n"/>
      <c r="I29" s="78" t="n"/>
      <c r="J29" s="78" t="n"/>
      <c r="K29" s="78" t="n"/>
    </row>
    <row r="30" ht="15" customHeight="1" s="40">
      <c r="A30" s="65">
        <f>IF(B30="","","EMP-"&amp;TEXT(ROW()-4,"000"))</f>
        <v/>
      </c>
      <c r="B30" s="78" t="n"/>
      <c r="C30" s="78" t="n"/>
      <c r="D30" s="78" t="n"/>
      <c r="E30" s="78" t="n"/>
      <c r="F30" s="78" t="n"/>
      <c r="G30" s="79" t="n"/>
      <c r="H30" s="80" t="n"/>
      <c r="I30" s="78" t="n"/>
      <c r="J30" s="78" t="n"/>
      <c r="K30" s="78" t="n"/>
    </row>
    <row r="31" ht="15" customHeight="1" s="40">
      <c r="A31" s="65">
        <f>IF(B31="","","EMP-"&amp;TEXT(ROW()-4,"000"))</f>
        <v/>
      </c>
      <c r="B31" s="78" t="n"/>
      <c r="C31" s="78" t="n"/>
      <c r="D31" s="78" t="n"/>
      <c r="E31" s="78" t="n"/>
      <c r="F31" s="78" t="n"/>
      <c r="G31" s="79" t="n"/>
      <c r="H31" s="80" t="n"/>
      <c r="I31" s="78" t="n"/>
      <c r="J31" s="78" t="n"/>
      <c r="K31" s="78" t="n"/>
    </row>
    <row r="32" ht="15" customHeight="1" s="40">
      <c r="A32" s="65">
        <f>IF(B32="","","EMP-"&amp;TEXT(ROW()-4,"000"))</f>
        <v/>
      </c>
      <c r="B32" s="78" t="n"/>
      <c r="C32" s="78" t="n"/>
      <c r="D32" s="78" t="n"/>
      <c r="E32" s="78" t="n"/>
      <c r="F32" s="78" t="n"/>
      <c r="G32" s="79" t="n"/>
      <c r="H32" s="80" t="n"/>
      <c r="I32" s="78" t="n"/>
      <c r="J32" s="78" t="n"/>
      <c r="K32" s="78" t="n"/>
    </row>
    <row r="33" ht="15" customHeight="1" s="40">
      <c r="A33" s="65">
        <f>IF(B33="","","EMP-"&amp;TEXT(ROW()-4,"000"))</f>
        <v/>
      </c>
      <c r="B33" s="78" t="n"/>
      <c r="C33" s="78" t="n"/>
      <c r="D33" s="78" t="n"/>
      <c r="E33" s="78" t="n"/>
      <c r="F33" s="78" t="n"/>
      <c r="G33" s="79" t="n"/>
      <c r="H33" s="80" t="n"/>
      <c r="I33" s="78" t="n"/>
      <c r="J33" s="78" t="n"/>
      <c r="K33" s="78" t="n"/>
    </row>
    <row r="34" ht="15" customHeight="1" s="40">
      <c r="A34" s="65">
        <f>IF(B34="","","EMP-"&amp;TEXT(ROW()-4,"000"))</f>
        <v/>
      </c>
      <c r="B34" s="78" t="n"/>
      <c r="C34" s="78" t="n"/>
      <c r="D34" s="78" t="n"/>
      <c r="E34" s="78" t="n"/>
      <c r="F34" s="78" t="n"/>
      <c r="G34" s="79" t="n"/>
      <c r="H34" s="80" t="n"/>
      <c r="I34" s="78" t="n"/>
      <c r="J34" s="78" t="n"/>
      <c r="K34" s="78" t="n"/>
    </row>
    <row r="35" ht="15" customHeight="1" s="40">
      <c r="A35" s="65">
        <f>IF(B35="","","EMP-"&amp;TEXT(ROW()-4,"000"))</f>
        <v/>
      </c>
      <c r="B35" s="78" t="n"/>
      <c r="C35" s="78" t="n"/>
      <c r="D35" s="78" t="n"/>
      <c r="E35" s="78" t="n"/>
      <c r="F35" s="78" t="n"/>
      <c r="G35" s="79" t="n"/>
      <c r="H35" s="80" t="n"/>
      <c r="I35" s="78" t="n"/>
      <c r="J35" s="78" t="n"/>
      <c r="K35" s="78" t="n"/>
    </row>
    <row r="36" ht="15" customHeight="1" s="40">
      <c r="A36" s="65">
        <f>IF(B36="","","EMP-"&amp;TEXT(ROW()-4,"000"))</f>
        <v/>
      </c>
      <c r="B36" s="78" t="n"/>
      <c r="C36" s="78" t="n"/>
      <c r="D36" s="78" t="n"/>
      <c r="E36" s="78" t="n"/>
      <c r="F36" s="78" t="n"/>
      <c r="G36" s="79" t="n"/>
      <c r="H36" s="80" t="n"/>
      <c r="I36" s="78" t="n"/>
      <c r="J36" s="78" t="n"/>
      <c r="K36" s="78" t="n"/>
    </row>
    <row r="37" ht="15" customHeight="1" s="40">
      <c r="A37" s="65">
        <f>IF(B37="","","EMP-"&amp;TEXT(ROW()-4,"000"))</f>
        <v/>
      </c>
      <c r="B37" s="78" t="n"/>
      <c r="C37" s="78" t="n"/>
      <c r="D37" s="78" t="n"/>
      <c r="E37" s="78" t="n"/>
      <c r="F37" s="78" t="n"/>
      <c r="G37" s="79" t="n"/>
      <c r="H37" s="80" t="n"/>
      <c r="I37" s="78" t="n"/>
      <c r="J37" s="78" t="n"/>
      <c r="K37" s="78" t="n"/>
    </row>
    <row r="38" ht="15" customHeight="1" s="40">
      <c r="A38" s="65">
        <f>IF(B38="","","EMP-"&amp;TEXT(ROW()-4,"000"))</f>
        <v/>
      </c>
      <c r="B38" s="78" t="n"/>
      <c r="C38" s="78" t="n"/>
      <c r="D38" s="78" t="n"/>
      <c r="E38" s="78" t="n"/>
      <c r="F38" s="78" t="n"/>
      <c r="G38" s="79" t="n"/>
      <c r="H38" s="80" t="n"/>
      <c r="I38" s="78" t="n"/>
      <c r="J38" s="78" t="n"/>
      <c r="K38" s="78" t="n"/>
    </row>
    <row r="39" ht="15" customHeight="1" s="40">
      <c r="A39" s="65">
        <f>IF(B39="","","EMP-"&amp;TEXT(ROW()-4,"000"))</f>
        <v/>
      </c>
      <c r="B39" s="78" t="n"/>
      <c r="C39" s="78" t="n"/>
      <c r="D39" s="78" t="n"/>
      <c r="E39" s="78" t="n"/>
      <c r="F39" s="78" t="n"/>
      <c r="G39" s="79" t="n"/>
      <c r="H39" s="80" t="n"/>
      <c r="I39" s="78" t="n"/>
      <c r="J39" s="78" t="n"/>
      <c r="K39" s="78" t="n"/>
    </row>
    <row r="40" ht="15" customHeight="1" s="40">
      <c r="A40" s="65">
        <f>IF(B40="","","EMP-"&amp;TEXT(ROW()-4,"000"))</f>
        <v/>
      </c>
      <c r="B40" s="78" t="n"/>
      <c r="C40" s="78" t="n"/>
      <c r="D40" s="78" t="n"/>
      <c r="E40" s="78" t="n"/>
      <c r="F40" s="78" t="n"/>
      <c r="G40" s="79" t="n"/>
      <c r="H40" s="80" t="n"/>
      <c r="I40" s="78" t="n"/>
      <c r="J40" s="78" t="n"/>
      <c r="K40" s="78" t="n"/>
    </row>
    <row r="41" ht="15" customHeight="1" s="40">
      <c r="A41" s="65">
        <f>IF(B41="","","EMP-"&amp;TEXT(ROW()-4,"000"))</f>
        <v/>
      </c>
      <c r="B41" s="78" t="n"/>
      <c r="C41" s="78" t="n"/>
      <c r="D41" s="78" t="n"/>
      <c r="E41" s="78" t="n"/>
      <c r="F41" s="78" t="n"/>
      <c r="G41" s="79" t="n"/>
      <c r="H41" s="80" t="n"/>
      <c r="I41" s="78" t="n"/>
      <c r="J41" s="78" t="n"/>
      <c r="K41" s="78" t="n"/>
    </row>
    <row r="42" ht="15" customHeight="1" s="40">
      <c r="A42" s="65">
        <f>IF(B42="","","EMP-"&amp;TEXT(ROW()-4,"000"))</f>
        <v/>
      </c>
      <c r="B42" s="78" t="n"/>
      <c r="C42" s="78" t="n"/>
      <c r="D42" s="78" t="n"/>
      <c r="E42" s="78" t="n"/>
      <c r="F42" s="78" t="n"/>
      <c r="G42" s="79" t="n"/>
      <c r="H42" s="80" t="n"/>
      <c r="I42" s="78" t="n"/>
      <c r="J42" s="78" t="n"/>
      <c r="K42" s="78" t="n"/>
    </row>
    <row r="43" ht="15" customHeight="1" s="40">
      <c r="A43" s="65">
        <f>IF(B43="","","EMP-"&amp;TEXT(ROW()-4,"000"))</f>
        <v/>
      </c>
      <c r="B43" s="78" t="n"/>
      <c r="C43" s="78" t="n"/>
      <c r="D43" s="78" t="n"/>
      <c r="E43" s="78" t="n"/>
      <c r="F43" s="78" t="n"/>
      <c r="G43" s="79" t="n"/>
      <c r="H43" s="80" t="n"/>
      <c r="I43" s="78" t="n"/>
      <c r="J43" s="78" t="n"/>
      <c r="K43" s="78" t="n"/>
    </row>
    <row r="44" ht="15" customHeight="1" s="40">
      <c r="A44" s="65">
        <f>IF(B44="","","EMP-"&amp;TEXT(ROW()-4,"000"))</f>
        <v/>
      </c>
      <c r="B44" s="78" t="n"/>
      <c r="C44" s="78" t="n"/>
      <c r="D44" s="78" t="n"/>
      <c r="E44" s="78" t="n"/>
      <c r="F44" s="78" t="n"/>
      <c r="G44" s="79" t="n"/>
      <c r="H44" s="80" t="n"/>
      <c r="I44" s="78" t="n"/>
      <c r="J44" s="78" t="n"/>
      <c r="K44" s="78" t="n"/>
    </row>
    <row r="45" ht="15" customHeight="1" s="40">
      <c r="A45" s="65">
        <f>IF(B45="","","EMP-"&amp;TEXT(ROW()-4,"000"))</f>
        <v/>
      </c>
      <c r="B45" s="78" t="n"/>
      <c r="C45" s="78" t="n"/>
      <c r="D45" s="78" t="n"/>
      <c r="E45" s="78" t="n"/>
      <c r="F45" s="78" t="n"/>
      <c r="G45" s="79" t="n"/>
      <c r="H45" s="80" t="n"/>
      <c r="I45" s="78" t="n"/>
      <c r="J45" s="78" t="n"/>
      <c r="K45" s="78" t="n"/>
    </row>
    <row r="46" ht="15" customHeight="1" s="40">
      <c r="A46" s="65">
        <f>IF(B46="","","EMP-"&amp;TEXT(ROW()-4,"000"))</f>
        <v/>
      </c>
      <c r="B46" s="78" t="n"/>
      <c r="C46" s="78" t="n"/>
      <c r="D46" s="78" t="n"/>
      <c r="E46" s="78" t="n"/>
      <c r="F46" s="78" t="n"/>
      <c r="G46" s="79" t="n"/>
      <c r="H46" s="80" t="n"/>
      <c r="I46" s="78" t="n"/>
      <c r="J46" s="78" t="n"/>
      <c r="K46" s="78" t="n"/>
    </row>
    <row r="47" ht="15" customHeight="1" s="40">
      <c r="A47" s="65">
        <f>IF(B47="","","EMP-"&amp;TEXT(ROW()-4,"000"))</f>
        <v/>
      </c>
      <c r="B47" s="78" t="n"/>
      <c r="C47" s="78" t="n"/>
      <c r="D47" s="78" t="n"/>
      <c r="E47" s="78" t="n"/>
      <c r="F47" s="78" t="n"/>
      <c r="G47" s="79" t="n"/>
      <c r="H47" s="80" t="n"/>
      <c r="I47" s="78" t="n"/>
      <c r="J47" s="78" t="n"/>
      <c r="K47" s="78" t="n"/>
    </row>
    <row r="48" ht="15" customHeight="1" s="40">
      <c r="A48" s="65">
        <f>IF(B48="","","EMP-"&amp;TEXT(ROW()-4,"000"))</f>
        <v/>
      </c>
      <c r="B48" s="78" t="n"/>
      <c r="C48" s="78" t="n"/>
      <c r="D48" s="78" t="n"/>
      <c r="E48" s="78" t="n"/>
      <c r="F48" s="78" t="n"/>
      <c r="G48" s="79" t="n"/>
      <c r="H48" s="80" t="n"/>
      <c r="I48" s="78" t="n"/>
      <c r="J48" s="78" t="n"/>
      <c r="K48" s="78" t="n"/>
    </row>
    <row r="49" ht="15" customHeight="1" s="40">
      <c r="A49" s="65">
        <f>IF(B49="","","EMP-"&amp;TEXT(ROW()-4,"000"))</f>
        <v/>
      </c>
      <c r="B49" s="78" t="n"/>
      <c r="C49" s="78" t="n"/>
      <c r="D49" s="78" t="n"/>
      <c r="E49" s="78" t="n"/>
      <c r="F49" s="78" t="n"/>
      <c r="G49" s="79" t="n"/>
      <c r="H49" s="80" t="n"/>
      <c r="I49" s="78" t="n"/>
      <c r="J49" s="78" t="n"/>
      <c r="K49" s="78" t="n"/>
    </row>
    <row r="50" ht="15" customHeight="1" s="40">
      <c r="A50" s="65">
        <f>IF(B50="","","EMP-"&amp;TEXT(ROW()-4,"000"))</f>
        <v/>
      </c>
      <c r="B50" s="78" t="n"/>
      <c r="C50" s="78" t="n"/>
      <c r="D50" s="78" t="n"/>
      <c r="E50" s="78" t="n"/>
      <c r="F50" s="78" t="n"/>
      <c r="G50" s="79" t="n"/>
      <c r="H50" s="80" t="n"/>
      <c r="I50" s="78" t="n"/>
      <c r="J50" s="78" t="n"/>
      <c r="K50" s="78" t="n"/>
    </row>
    <row r="51" ht="15" customHeight="1" s="40">
      <c r="A51" s="65">
        <f>IF(B51="","","EMP-"&amp;TEXT(ROW()-4,"000"))</f>
        <v/>
      </c>
      <c r="B51" s="78" t="n"/>
      <c r="C51" s="78" t="n"/>
      <c r="D51" s="78" t="n"/>
      <c r="E51" s="78" t="n"/>
      <c r="F51" s="78" t="n"/>
      <c r="G51" s="79" t="n"/>
      <c r="H51" s="80" t="n"/>
      <c r="I51" s="78" t="n"/>
      <c r="J51" s="78" t="n"/>
      <c r="K51" s="78" t="n"/>
    </row>
    <row r="52" ht="15" customHeight="1" s="40">
      <c r="A52" s="65">
        <f>IF(B52="","","EMP-"&amp;TEXT(ROW()-4,"000"))</f>
        <v/>
      </c>
      <c r="B52" s="78" t="n"/>
      <c r="C52" s="78" t="n"/>
      <c r="D52" s="78" t="n"/>
      <c r="E52" s="78" t="n"/>
      <c r="F52" s="78" t="n"/>
      <c r="G52" s="79" t="n"/>
      <c r="H52" s="80" t="n"/>
      <c r="I52" s="78" t="n"/>
      <c r="J52" s="78" t="n"/>
      <c r="K52" s="78" t="n"/>
    </row>
    <row r="53" ht="15" customHeight="1" s="40">
      <c r="A53" s="65">
        <f>IF(B53="","","EMP-"&amp;TEXT(ROW()-4,"000"))</f>
        <v/>
      </c>
      <c r="B53" s="78" t="n"/>
      <c r="C53" s="78" t="n"/>
      <c r="D53" s="78" t="n"/>
      <c r="E53" s="78" t="n"/>
      <c r="F53" s="78" t="n"/>
      <c r="G53" s="79" t="n"/>
      <c r="H53" s="80" t="n"/>
      <c r="I53" s="78" t="n"/>
      <c r="J53" s="78" t="n"/>
      <c r="K53" s="78" t="n"/>
    </row>
    <row r="54" ht="15" customHeight="1" s="40">
      <c r="A54" s="65">
        <f>IF(B54="","","EMP-"&amp;TEXT(ROW()-4,"000"))</f>
        <v/>
      </c>
      <c r="B54" s="78" t="n"/>
      <c r="C54" s="78" t="n"/>
      <c r="D54" s="78" t="n"/>
      <c r="E54" s="78" t="n"/>
      <c r="F54" s="78" t="n"/>
      <c r="G54" s="79" t="n"/>
      <c r="H54" s="80" t="n"/>
      <c r="I54" s="78" t="n"/>
      <c r="J54" s="78" t="n"/>
      <c r="K54" s="78" t="n"/>
    </row>
    <row r="55" ht="15" customHeight="1" s="40">
      <c r="A55" s="65">
        <f>IF(B55="","","EMP-"&amp;TEXT(ROW()-4,"000"))</f>
        <v/>
      </c>
      <c r="B55" s="78" t="n"/>
      <c r="C55" s="78" t="n"/>
      <c r="D55" s="78" t="n"/>
      <c r="E55" s="78" t="n"/>
      <c r="F55" s="78" t="n"/>
      <c r="G55" s="79" t="n"/>
      <c r="H55" s="80" t="n"/>
      <c r="I55" s="78" t="n"/>
      <c r="J55" s="78" t="n"/>
      <c r="K55" s="78" t="n"/>
    </row>
    <row r="56" ht="15" customHeight="1" s="40">
      <c r="A56" s="65">
        <f>IF(B56="","","EMP-"&amp;TEXT(ROW()-4,"000"))</f>
        <v/>
      </c>
      <c r="B56" s="78" t="n"/>
      <c r="C56" s="78" t="n"/>
      <c r="D56" s="78" t="n"/>
      <c r="E56" s="78" t="n"/>
      <c r="F56" s="78" t="n"/>
      <c r="G56" s="79" t="n"/>
      <c r="H56" s="80" t="n"/>
      <c r="I56" s="78" t="n"/>
      <c r="J56" s="78" t="n"/>
      <c r="K56" s="78" t="n"/>
    </row>
    <row r="57" ht="15" customHeight="1" s="40">
      <c r="A57" s="65">
        <f>IF(B57="","","EMP-"&amp;TEXT(ROW()-4,"000"))</f>
        <v/>
      </c>
      <c r="B57" s="78" t="n"/>
      <c r="C57" s="78" t="n"/>
      <c r="D57" s="78" t="n"/>
      <c r="E57" s="78" t="n"/>
      <c r="F57" s="78" t="n"/>
      <c r="G57" s="79" t="n"/>
      <c r="H57" s="80" t="n"/>
      <c r="I57" s="78" t="n"/>
      <c r="J57" s="78" t="n"/>
      <c r="K57" s="78" t="n"/>
    </row>
    <row r="58" ht="15" customHeight="1" s="40">
      <c r="A58" s="65">
        <f>IF(B58="","","EMP-"&amp;TEXT(ROW()-4,"000"))</f>
        <v/>
      </c>
      <c r="B58" s="78" t="n"/>
      <c r="C58" s="78" t="n"/>
      <c r="D58" s="78" t="n"/>
      <c r="E58" s="78" t="n"/>
      <c r="F58" s="78" t="n"/>
      <c r="G58" s="79" t="n"/>
      <c r="H58" s="80" t="n"/>
      <c r="I58" s="78" t="n"/>
      <c r="J58" s="78" t="n"/>
      <c r="K58" s="78" t="n"/>
    </row>
    <row r="59" ht="15" customHeight="1" s="40">
      <c r="A59" s="65">
        <f>IF(B59="","","EMP-"&amp;TEXT(ROW()-4,"000"))</f>
        <v/>
      </c>
      <c r="B59" s="78" t="n"/>
      <c r="C59" s="78" t="n"/>
      <c r="D59" s="78" t="n"/>
      <c r="E59" s="78" t="n"/>
      <c r="F59" s="78" t="n"/>
      <c r="G59" s="79" t="n"/>
      <c r="H59" s="80" t="n"/>
      <c r="I59" s="78" t="n"/>
      <c r="J59" s="78" t="n"/>
      <c r="K59" s="78" t="n"/>
    </row>
    <row r="60" ht="15" customHeight="1" s="40">
      <c r="A60" s="65">
        <f>IF(B60="","","EMP-"&amp;TEXT(ROW()-4,"000"))</f>
        <v/>
      </c>
      <c r="B60" s="78" t="n"/>
      <c r="C60" s="78" t="n"/>
      <c r="D60" s="78" t="n"/>
      <c r="E60" s="78" t="n"/>
      <c r="F60" s="78" t="n"/>
      <c r="G60" s="79" t="n"/>
      <c r="H60" s="80" t="n"/>
      <c r="I60" s="78" t="n"/>
      <c r="J60" s="78" t="n"/>
      <c r="K60" s="78" t="n"/>
    </row>
    <row r="61" ht="15" customHeight="1" s="40">
      <c r="A61" s="65">
        <f>IF(B61="","","EMP-"&amp;TEXT(ROW()-4,"000"))</f>
        <v/>
      </c>
      <c r="B61" s="78" t="n"/>
      <c r="C61" s="78" t="n"/>
      <c r="D61" s="78" t="n"/>
      <c r="E61" s="78" t="n"/>
      <c r="F61" s="78" t="n"/>
      <c r="G61" s="79" t="n"/>
      <c r="H61" s="80" t="n"/>
      <c r="I61" s="78" t="n"/>
      <c r="J61" s="78" t="n"/>
      <c r="K61" s="78" t="n"/>
    </row>
    <row r="62" ht="15" customHeight="1" s="40">
      <c r="A62" s="65">
        <f>IF(B62="","","EMP-"&amp;TEXT(ROW()-4,"000"))</f>
        <v/>
      </c>
      <c r="B62" s="78" t="n"/>
      <c r="C62" s="78" t="n"/>
      <c r="D62" s="78" t="n"/>
      <c r="E62" s="78" t="n"/>
      <c r="F62" s="78" t="n"/>
      <c r="G62" s="79" t="n"/>
      <c r="H62" s="80" t="n"/>
      <c r="I62" s="78" t="n"/>
      <c r="J62" s="78" t="n"/>
      <c r="K62" s="78" t="n"/>
    </row>
    <row r="63" ht="15" customHeight="1" s="40">
      <c r="A63" s="65">
        <f>IF(B63="","","EMP-"&amp;TEXT(ROW()-4,"000"))</f>
        <v/>
      </c>
      <c r="B63" s="78" t="n"/>
      <c r="C63" s="78" t="n"/>
      <c r="D63" s="78" t="n"/>
      <c r="E63" s="78" t="n"/>
      <c r="F63" s="78" t="n"/>
      <c r="G63" s="79" t="n"/>
      <c r="H63" s="80" t="n"/>
      <c r="I63" s="78" t="n"/>
      <c r="J63" s="78" t="n"/>
      <c r="K63" s="78" t="n"/>
    </row>
    <row r="64" ht="15" customHeight="1" s="40">
      <c r="A64" s="65">
        <f>IF(B64="","","EMP-"&amp;TEXT(ROW()-4,"000"))</f>
        <v/>
      </c>
      <c r="B64" s="78" t="n"/>
      <c r="C64" s="78" t="n"/>
      <c r="D64" s="78" t="n"/>
      <c r="E64" s="78" t="n"/>
      <c r="F64" s="78" t="n"/>
      <c r="G64" s="79" t="n"/>
      <c r="H64" s="80" t="n"/>
      <c r="I64" s="78" t="n"/>
      <c r="J64" s="78" t="n"/>
      <c r="K64" s="78" t="n"/>
    </row>
    <row r="65" ht="15" customHeight="1" s="40">
      <c r="A65" s="65">
        <f>IF(B65="","","EMP-"&amp;TEXT(ROW()-4,"000"))</f>
        <v/>
      </c>
      <c r="B65" s="78" t="n"/>
      <c r="C65" s="78" t="n"/>
      <c r="D65" s="78" t="n"/>
      <c r="E65" s="78" t="n"/>
      <c r="F65" s="78" t="n"/>
      <c r="G65" s="79" t="n"/>
      <c r="H65" s="80" t="n"/>
      <c r="I65" s="78" t="n"/>
      <c r="J65" s="78" t="n"/>
      <c r="K65" s="78" t="n"/>
    </row>
    <row r="66" ht="15" customHeight="1" s="40">
      <c r="A66" s="65">
        <f>IF(B66="","","EMP-"&amp;TEXT(ROW()-4,"000"))</f>
        <v/>
      </c>
      <c r="B66" s="78" t="n"/>
      <c r="C66" s="78" t="n"/>
      <c r="D66" s="78" t="n"/>
      <c r="E66" s="78" t="n"/>
      <c r="F66" s="78" t="n"/>
      <c r="G66" s="79" t="n"/>
      <c r="H66" s="80" t="n"/>
      <c r="I66" s="78" t="n"/>
      <c r="J66" s="78" t="n"/>
      <c r="K66" s="78" t="n"/>
    </row>
    <row r="67" ht="15" customHeight="1" s="40">
      <c r="A67" s="65">
        <f>IF(B67="","","EMP-"&amp;TEXT(ROW()-4,"000"))</f>
        <v/>
      </c>
      <c r="B67" s="78" t="n"/>
      <c r="C67" s="78" t="n"/>
      <c r="D67" s="78" t="n"/>
      <c r="E67" s="78" t="n"/>
      <c r="F67" s="78" t="n"/>
      <c r="G67" s="79" t="n"/>
      <c r="H67" s="80" t="n"/>
      <c r="I67" s="78" t="n"/>
      <c r="J67" s="78" t="n"/>
      <c r="K67" s="78" t="n"/>
    </row>
    <row r="68" ht="15" customHeight="1" s="40">
      <c r="A68" s="65">
        <f>IF(B68="","","EMP-"&amp;TEXT(ROW()-4,"000"))</f>
        <v/>
      </c>
      <c r="B68" s="78" t="n"/>
      <c r="C68" s="78" t="n"/>
      <c r="D68" s="78" t="n"/>
      <c r="E68" s="78" t="n"/>
      <c r="F68" s="78" t="n"/>
      <c r="G68" s="79" t="n"/>
      <c r="H68" s="80" t="n"/>
      <c r="I68" s="78" t="n"/>
      <c r="J68" s="78" t="n"/>
      <c r="K68" s="78" t="n"/>
    </row>
    <row r="69" ht="15" customHeight="1" s="40">
      <c r="A69" s="65">
        <f>IF(B69="","","EMP-"&amp;TEXT(ROW()-4,"000"))</f>
        <v/>
      </c>
      <c r="B69" s="78" t="n"/>
      <c r="C69" s="78" t="n"/>
      <c r="D69" s="78" t="n"/>
      <c r="E69" s="78" t="n"/>
      <c r="F69" s="78" t="n"/>
      <c r="G69" s="79" t="n"/>
      <c r="H69" s="80" t="n"/>
      <c r="I69" s="78" t="n"/>
      <c r="J69" s="78" t="n"/>
      <c r="K69" s="78" t="n"/>
    </row>
    <row r="70" ht="15" customHeight="1" s="40">
      <c r="A70" s="65">
        <f>IF(B70="","","EMP-"&amp;TEXT(ROW()-4,"000"))</f>
        <v/>
      </c>
      <c r="B70" s="78" t="n"/>
      <c r="C70" s="78" t="n"/>
      <c r="D70" s="78" t="n"/>
      <c r="E70" s="78" t="n"/>
      <c r="F70" s="78" t="n"/>
      <c r="G70" s="79" t="n"/>
      <c r="H70" s="80" t="n"/>
      <c r="I70" s="78" t="n"/>
      <c r="J70" s="78" t="n"/>
      <c r="K70" s="78" t="n"/>
    </row>
    <row r="71" ht="15" customHeight="1" s="40">
      <c r="A71" s="65">
        <f>IF(B71="","","EMP-"&amp;TEXT(ROW()-4,"000"))</f>
        <v/>
      </c>
      <c r="B71" s="78" t="n"/>
      <c r="C71" s="78" t="n"/>
      <c r="D71" s="78" t="n"/>
      <c r="E71" s="78" t="n"/>
      <c r="F71" s="78" t="n"/>
      <c r="G71" s="79" t="n"/>
      <c r="H71" s="80" t="n"/>
      <c r="I71" s="78" t="n"/>
      <c r="J71" s="78" t="n"/>
      <c r="K71" s="78" t="n"/>
    </row>
    <row r="72" ht="15" customHeight="1" s="40">
      <c r="A72" s="65">
        <f>IF(B72="","","EMP-"&amp;TEXT(ROW()-4,"000"))</f>
        <v/>
      </c>
      <c r="B72" s="78" t="n"/>
      <c r="C72" s="78" t="n"/>
      <c r="D72" s="78" t="n"/>
      <c r="E72" s="78" t="n"/>
      <c r="F72" s="78" t="n"/>
      <c r="G72" s="79" t="n"/>
      <c r="H72" s="80" t="n"/>
      <c r="I72" s="78" t="n"/>
      <c r="J72" s="78" t="n"/>
      <c r="K72" s="78" t="n"/>
    </row>
    <row r="73" ht="15" customHeight="1" s="40">
      <c r="A73" s="65">
        <f>IF(B73="","","EMP-"&amp;TEXT(ROW()-4,"000"))</f>
        <v/>
      </c>
      <c r="B73" s="78" t="n"/>
      <c r="C73" s="78" t="n"/>
      <c r="D73" s="78" t="n"/>
      <c r="E73" s="78" t="n"/>
      <c r="F73" s="78" t="n"/>
      <c r="G73" s="79" t="n"/>
      <c r="H73" s="80" t="n"/>
      <c r="I73" s="78" t="n"/>
      <c r="J73" s="78" t="n"/>
      <c r="K73" s="78" t="n"/>
    </row>
    <row r="74" ht="15" customHeight="1" s="40">
      <c r="A74" s="65">
        <f>IF(B74="","","EMP-"&amp;TEXT(ROW()-4,"000"))</f>
        <v/>
      </c>
      <c r="B74" s="78" t="n"/>
      <c r="C74" s="78" t="n"/>
      <c r="D74" s="78" t="n"/>
      <c r="E74" s="78" t="n"/>
      <c r="F74" s="78" t="n"/>
      <c r="G74" s="79" t="n"/>
      <c r="H74" s="80" t="n"/>
      <c r="I74" s="78" t="n"/>
      <c r="J74" s="78" t="n"/>
      <c r="K74" s="78" t="n"/>
    </row>
    <row r="75" ht="15" customHeight="1" s="40">
      <c r="A75" s="65">
        <f>IF(B75="","","EMP-"&amp;TEXT(ROW()-4,"000"))</f>
        <v/>
      </c>
      <c r="B75" s="78" t="n"/>
      <c r="C75" s="78" t="n"/>
      <c r="D75" s="78" t="n"/>
      <c r="E75" s="78" t="n"/>
      <c r="F75" s="78" t="n"/>
      <c r="G75" s="79" t="n"/>
      <c r="H75" s="80" t="n"/>
      <c r="I75" s="78" t="n"/>
      <c r="J75" s="78" t="n"/>
      <c r="K75" s="78" t="n"/>
    </row>
    <row r="76" ht="15" customHeight="1" s="40">
      <c r="A76" s="65">
        <f>IF(B76="","","EMP-"&amp;TEXT(ROW()-4,"000"))</f>
        <v/>
      </c>
      <c r="B76" s="78" t="n"/>
      <c r="C76" s="78" t="n"/>
      <c r="D76" s="78" t="n"/>
      <c r="E76" s="78" t="n"/>
      <c r="F76" s="78" t="n"/>
      <c r="G76" s="79" t="n"/>
      <c r="H76" s="80" t="n"/>
      <c r="I76" s="78" t="n"/>
      <c r="J76" s="78" t="n"/>
      <c r="K76" s="78" t="n"/>
    </row>
    <row r="77" ht="15" customHeight="1" s="40">
      <c r="A77" s="65">
        <f>IF(B77="","","EMP-"&amp;TEXT(ROW()-4,"000"))</f>
        <v/>
      </c>
      <c r="B77" s="78" t="n"/>
      <c r="C77" s="78" t="n"/>
      <c r="D77" s="78" t="n"/>
      <c r="E77" s="78" t="n"/>
      <c r="F77" s="78" t="n"/>
      <c r="G77" s="79" t="n"/>
      <c r="H77" s="80" t="n"/>
      <c r="I77" s="78" t="n"/>
      <c r="J77" s="78" t="n"/>
      <c r="K77" s="78" t="n"/>
    </row>
    <row r="78" ht="15" customHeight="1" s="40">
      <c r="A78" s="65">
        <f>IF(B78="","","EMP-"&amp;TEXT(ROW()-4,"000"))</f>
        <v/>
      </c>
      <c r="B78" s="78" t="n"/>
      <c r="C78" s="78" t="n"/>
      <c r="D78" s="78" t="n"/>
      <c r="E78" s="78" t="n"/>
      <c r="F78" s="78" t="n"/>
      <c r="G78" s="79" t="n"/>
      <c r="H78" s="80" t="n"/>
      <c r="I78" s="78" t="n"/>
      <c r="J78" s="78" t="n"/>
      <c r="K78" s="78" t="n"/>
    </row>
    <row r="79" ht="15" customHeight="1" s="40">
      <c r="A79" s="65">
        <f>IF(B79="","","EMP-"&amp;TEXT(ROW()-4,"000"))</f>
        <v/>
      </c>
      <c r="B79" s="78" t="n"/>
      <c r="C79" s="78" t="n"/>
      <c r="D79" s="78" t="n"/>
      <c r="E79" s="78" t="n"/>
      <c r="F79" s="78" t="n"/>
      <c r="G79" s="79" t="n"/>
      <c r="H79" s="80" t="n"/>
      <c r="I79" s="78" t="n"/>
      <c r="J79" s="78" t="n"/>
      <c r="K79" s="78" t="n"/>
    </row>
    <row r="80" ht="15" customHeight="1" s="40">
      <c r="A80" s="65">
        <f>IF(B80="","","EMP-"&amp;TEXT(ROW()-4,"000"))</f>
        <v/>
      </c>
      <c r="B80" s="78" t="n"/>
      <c r="C80" s="78" t="n"/>
      <c r="D80" s="78" t="n"/>
      <c r="E80" s="78" t="n"/>
      <c r="F80" s="78" t="n"/>
      <c r="G80" s="79" t="n"/>
      <c r="H80" s="80" t="n"/>
      <c r="I80" s="78" t="n"/>
      <c r="J80" s="78" t="n"/>
      <c r="K80" s="78" t="n"/>
    </row>
    <row r="81" ht="15" customHeight="1" s="40">
      <c r="A81" s="65">
        <f>IF(B81="","","EMP-"&amp;TEXT(ROW()-4,"000"))</f>
        <v/>
      </c>
      <c r="B81" s="78" t="n"/>
      <c r="C81" s="78" t="n"/>
      <c r="D81" s="78" t="n"/>
      <c r="E81" s="78" t="n"/>
      <c r="F81" s="78" t="n"/>
      <c r="G81" s="79" t="n"/>
      <c r="H81" s="80" t="n"/>
      <c r="I81" s="78" t="n"/>
      <c r="J81" s="78" t="n"/>
      <c r="K81" s="78" t="n"/>
    </row>
    <row r="82" ht="15" customHeight="1" s="40">
      <c r="A82" s="65">
        <f>IF(B82="","","EMP-"&amp;TEXT(ROW()-4,"000"))</f>
        <v/>
      </c>
      <c r="B82" s="78" t="n"/>
      <c r="C82" s="78" t="n"/>
      <c r="D82" s="78" t="n"/>
      <c r="E82" s="78" t="n"/>
      <c r="F82" s="78" t="n"/>
      <c r="G82" s="79" t="n"/>
      <c r="H82" s="80" t="n"/>
      <c r="I82" s="78" t="n"/>
      <c r="J82" s="78" t="n"/>
      <c r="K82" s="78" t="n"/>
    </row>
    <row r="83" ht="15" customHeight="1" s="40">
      <c r="A83" s="65">
        <f>IF(B83="","","EMP-"&amp;TEXT(ROW()-4,"000"))</f>
        <v/>
      </c>
      <c r="B83" s="78" t="n"/>
      <c r="C83" s="78" t="n"/>
      <c r="D83" s="78" t="n"/>
      <c r="E83" s="78" t="n"/>
      <c r="F83" s="78" t="n"/>
      <c r="G83" s="79" t="n"/>
      <c r="H83" s="80" t="n"/>
      <c r="I83" s="78" t="n"/>
      <c r="J83" s="78" t="n"/>
      <c r="K83" s="78" t="n"/>
    </row>
    <row r="84" ht="15" customHeight="1" s="40">
      <c r="A84" s="65">
        <f>IF(B84="","","EMP-"&amp;TEXT(ROW()-4,"000"))</f>
        <v/>
      </c>
      <c r="B84" s="78" t="n"/>
      <c r="C84" s="78" t="n"/>
      <c r="D84" s="78" t="n"/>
      <c r="E84" s="78" t="n"/>
      <c r="F84" s="78" t="n"/>
      <c r="G84" s="79" t="n"/>
      <c r="H84" s="80" t="n"/>
      <c r="I84" s="78" t="n"/>
      <c r="J84" s="78" t="n"/>
      <c r="K84" s="78" t="n"/>
    </row>
    <row r="85" ht="15" customHeight="1" s="40">
      <c r="A85" s="65">
        <f>IF(B85="","","EMP-"&amp;TEXT(ROW()-4,"000"))</f>
        <v/>
      </c>
      <c r="B85" s="78" t="n"/>
      <c r="C85" s="78" t="n"/>
      <c r="D85" s="78" t="n"/>
      <c r="E85" s="78" t="n"/>
      <c r="F85" s="78" t="n"/>
      <c r="G85" s="79" t="n"/>
      <c r="H85" s="80" t="n"/>
      <c r="I85" s="78" t="n"/>
      <c r="J85" s="78" t="n"/>
      <c r="K85" s="78" t="n"/>
    </row>
    <row r="86" ht="15" customHeight="1" s="40">
      <c r="A86" s="65">
        <f>IF(B86="","","EMP-"&amp;TEXT(ROW()-4,"000"))</f>
        <v/>
      </c>
      <c r="B86" s="78" t="n"/>
      <c r="C86" s="78" t="n"/>
      <c r="D86" s="78" t="n"/>
      <c r="E86" s="78" t="n"/>
      <c r="F86" s="78" t="n"/>
      <c r="G86" s="79" t="n"/>
      <c r="H86" s="80" t="n"/>
      <c r="I86" s="78" t="n"/>
      <c r="J86" s="78" t="n"/>
      <c r="K86" s="78" t="n"/>
    </row>
    <row r="87" ht="15" customHeight="1" s="40">
      <c r="A87" s="65">
        <f>IF(B87="","","EMP-"&amp;TEXT(ROW()-4,"000"))</f>
        <v/>
      </c>
      <c r="B87" s="78" t="n"/>
      <c r="C87" s="78" t="n"/>
      <c r="D87" s="78" t="n"/>
      <c r="E87" s="78" t="n"/>
      <c r="F87" s="78" t="n"/>
      <c r="G87" s="79" t="n"/>
      <c r="H87" s="80" t="n"/>
      <c r="I87" s="78" t="n"/>
      <c r="J87" s="78" t="n"/>
      <c r="K87" s="78" t="n"/>
    </row>
    <row r="88" ht="15" customHeight="1" s="40">
      <c r="A88" s="65">
        <f>IF(B88="","","EMP-"&amp;TEXT(ROW()-4,"000"))</f>
        <v/>
      </c>
      <c r="B88" s="78" t="n"/>
      <c r="C88" s="78" t="n"/>
      <c r="D88" s="78" t="n"/>
      <c r="E88" s="78" t="n"/>
      <c r="F88" s="78" t="n"/>
      <c r="G88" s="79" t="n"/>
      <c r="H88" s="80" t="n"/>
      <c r="I88" s="78" t="n"/>
      <c r="J88" s="78" t="n"/>
      <c r="K88" s="78" t="n"/>
    </row>
    <row r="89" ht="15" customHeight="1" s="40">
      <c r="A89" s="65">
        <f>IF(B89="","","EMP-"&amp;TEXT(ROW()-4,"000"))</f>
        <v/>
      </c>
      <c r="B89" s="78" t="n"/>
      <c r="C89" s="78" t="n"/>
      <c r="D89" s="78" t="n"/>
      <c r="E89" s="78" t="n"/>
      <c r="F89" s="78" t="n"/>
      <c r="G89" s="79" t="n"/>
      <c r="H89" s="80" t="n"/>
      <c r="I89" s="78" t="n"/>
      <c r="J89" s="78" t="n"/>
      <c r="K89" s="78" t="n"/>
    </row>
    <row r="90" ht="15" customHeight="1" s="40">
      <c r="A90" s="65">
        <f>IF(B90="","","EMP-"&amp;TEXT(ROW()-4,"000"))</f>
        <v/>
      </c>
      <c r="B90" s="78" t="n"/>
      <c r="C90" s="78" t="n"/>
      <c r="D90" s="78" t="n"/>
      <c r="E90" s="78" t="n"/>
      <c r="F90" s="78" t="n"/>
      <c r="G90" s="79" t="n"/>
      <c r="H90" s="80" t="n"/>
      <c r="I90" s="78" t="n"/>
      <c r="J90" s="78" t="n"/>
      <c r="K90" s="78" t="n"/>
    </row>
    <row r="91" ht="15" customHeight="1" s="40">
      <c r="A91" s="65">
        <f>IF(B91="","","EMP-"&amp;TEXT(ROW()-4,"000"))</f>
        <v/>
      </c>
      <c r="B91" s="78" t="n"/>
      <c r="C91" s="78" t="n"/>
      <c r="D91" s="78" t="n"/>
      <c r="E91" s="78" t="n"/>
      <c r="F91" s="78" t="n"/>
      <c r="G91" s="79" t="n"/>
      <c r="H91" s="80" t="n"/>
      <c r="I91" s="78" t="n"/>
      <c r="J91" s="78" t="n"/>
      <c r="K91" s="78" t="n"/>
    </row>
    <row r="92" ht="15" customHeight="1" s="40">
      <c r="A92" s="65">
        <f>IF(B92="","","EMP-"&amp;TEXT(ROW()-4,"000"))</f>
        <v/>
      </c>
      <c r="B92" s="78" t="n"/>
      <c r="C92" s="78" t="n"/>
      <c r="D92" s="78" t="n"/>
      <c r="E92" s="78" t="n"/>
      <c r="F92" s="78" t="n"/>
      <c r="G92" s="79" t="n"/>
      <c r="H92" s="80" t="n"/>
      <c r="I92" s="78" t="n"/>
      <c r="J92" s="78" t="n"/>
      <c r="K92" s="78" t="n"/>
    </row>
    <row r="93" ht="15" customHeight="1" s="40">
      <c r="A93" s="65">
        <f>IF(B93="","","EMP-"&amp;TEXT(ROW()-4,"000"))</f>
        <v/>
      </c>
      <c r="B93" s="78" t="n"/>
      <c r="C93" s="78" t="n"/>
      <c r="D93" s="78" t="n"/>
      <c r="E93" s="78" t="n"/>
      <c r="F93" s="78" t="n"/>
      <c r="G93" s="79" t="n"/>
      <c r="H93" s="80" t="n"/>
      <c r="I93" s="78" t="n"/>
      <c r="J93" s="78" t="n"/>
      <c r="K93" s="78" t="n"/>
    </row>
    <row r="94" ht="15" customHeight="1" s="40">
      <c r="A94" s="65">
        <f>IF(B94="","","EMP-"&amp;TEXT(ROW()-4,"000"))</f>
        <v/>
      </c>
      <c r="B94" s="78" t="n"/>
      <c r="C94" s="78" t="n"/>
      <c r="D94" s="78" t="n"/>
      <c r="E94" s="78" t="n"/>
      <c r="F94" s="78" t="n"/>
      <c r="G94" s="79" t="n"/>
      <c r="H94" s="80" t="n"/>
      <c r="I94" s="78" t="n"/>
      <c r="J94" s="78" t="n"/>
      <c r="K94" s="78" t="n"/>
    </row>
    <row r="95" ht="15" customHeight="1" s="40">
      <c r="A95" s="65">
        <f>IF(B95="","","EMP-"&amp;TEXT(ROW()-4,"000"))</f>
        <v/>
      </c>
      <c r="B95" s="78" t="n"/>
      <c r="C95" s="78" t="n"/>
      <c r="D95" s="78" t="n"/>
      <c r="E95" s="78" t="n"/>
      <c r="F95" s="78" t="n"/>
      <c r="G95" s="79" t="n"/>
      <c r="H95" s="80" t="n"/>
      <c r="I95" s="78" t="n"/>
      <c r="J95" s="78" t="n"/>
      <c r="K95" s="78" t="n"/>
    </row>
    <row r="96" ht="15" customHeight="1" s="40">
      <c r="A96" s="65">
        <f>IF(B96="","","EMP-"&amp;TEXT(ROW()-4,"000"))</f>
        <v/>
      </c>
      <c r="B96" s="78" t="n"/>
      <c r="C96" s="78" t="n"/>
      <c r="D96" s="78" t="n"/>
      <c r="E96" s="78" t="n"/>
      <c r="F96" s="78" t="n"/>
      <c r="G96" s="79" t="n"/>
      <c r="H96" s="80" t="n"/>
      <c r="I96" s="78" t="n"/>
      <c r="J96" s="78" t="n"/>
      <c r="K96" s="78" t="n"/>
    </row>
    <row r="97" ht="15" customHeight="1" s="40">
      <c r="A97" s="65">
        <f>IF(B97="","","EMP-"&amp;TEXT(ROW()-4,"000"))</f>
        <v/>
      </c>
      <c r="B97" s="78" t="n"/>
      <c r="C97" s="78" t="n"/>
      <c r="D97" s="78" t="n"/>
      <c r="E97" s="78" t="n"/>
      <c r="F97" s="78" t="n"/>
      <c r="G97" s="79" t="n"/>
      <c r="H97" s="80" t="n"/>
      <c r="I97" s="78" t="n"/>
      <c r="J97" s="78" t="n"/>
      <c r="K97" s="78" t="n"/>
    </row>
    <row r="98" ht="15" customHeight="1" s="40">
      <c r="A98" s="65">
        <f>IF(B98="","","EMP-"&amp;TEXT(ROW()-4,"000"))</f>
        <v/>
      </c>
      <c r="B98" s="78" t="n"/>
      <c r="C98" s="78" t="n"/>
      <c r="D98" s="78" t="n"/>
      <c r="E98" s="78" t="n"/>
      <c r="F98" s="78" t="n"/>
      <c r="G98" s="79" t="n"/>
      <c r="H98" s="80" t="n"/>
      <c r="I98" s="78" t="n"/>
      <c r="J98" s="78" t="n"/>
      <c r="K98" s="78" t="n"/>
    </row>
    <row r="99" ht="15" customHeight="1" s="40">
      <c r="A99" s="65">
        <f>IF(B99="","","EMP-"&amp;TEXT(ROW()-4,"000"))</f>
        <v/>
      </c>
      <c r="B99" s="78" t="n"/>
      <c r="C99" s="78" t="n"/>
      <c r="D99" s="78" t="n"/>
      <c r="E99" s="78" t="n"/>
      <c r="F99" s="78" t="n"/>
      <c r="G99" s="79" t="n"/>
      <c r="H99" s="80" t="n"/>
      <c r="I99" s="78" t="n"/>
      <c r="J99" s="78" t="n"/>
      <c r="K99" s="78" t="n"/>
    </row>
    <row r="100" ht="15" customHeight="1" s="40">
      <c r="A100" s="65">
        <f>IF(B100="","","EMP-"&amp;TEXT(ROW()-4,"000"))</f>
        <v/>
      </c>
      <c r="B100" s="78" t="n"/>
      <c r="C100" s="78" t="n"/>
      <c r="D100" s="78" t="n"/>
      <c r="E100" s="78" t="n"/>
      <c r="F100" s="78" t="n"/>
      <c r="G100" s="79" t="n"/>
      <c r="H100" s="80" t="n"/>
      <c r="I100" s="78" t="n"/>
      <c r="J100" s="78" t="n"/>
      <c r="K100" s="78" t="n"/>
    </row>
    <row r="101" ht="15" customHeight="1" s="40">
      <c r="A101" s="65">
        <f>IF(B101="","","EMP-"&amp;TEXT(ROW()-4,"000"))</f>
        <v/>
      </c>
      <c r="B101" s="78" t="n"/>
      <c r="C101" s="78" t="n"/>
      <c r="D101" s="78" t="n"/>
      <c r="E101" s="78" t="n"/>
      <c r="F101" s="78" t="n"/>
      <c r="G101" s="79" t="n"/>
      <c r="H101" s="80" t="n"/>
      <c r="I101" s="78" t="n"/>
      <c r="J101" s="78" t="n"/>
      <c r="K101" s="78" t="n"/>
    </row>
    <row r="102" ht="15" customHeight="1" s="40">
      <c r="A102" s="65">
        <f>IF(B102="","","EMP-"&amp;TEXT(ROW()-4,"000"))</f>
        <v/>
      </c>
      <c r="B102" s="78" t="n"/>
      <c r="C102" s="78" t="n"/>
      <c r="D102" s="78" t="n"/>
      <c r="E102" s="78" t="n"/>
      <c r="F102" s="78" t="n"/>
      <c r="G102" s="79" t="n"/>
      <c r="H102" s="80" t="n"/>
      <c r="I102" s="78" t="n"/>
      <c r="J102" s="78" t="n"/>
      <c r="K102" s="78" t="n"/>
    </row>
    <row r="103" ht="15" customHeight="1" s="40">
      <c r="A103" s="65">
        <f>IF(B103="","","EMP-"&amp;TEXT(ROW()-4,"000"))</f>
        <v/>
      </c>
      <c r="B103" s="78" t="n"/>
      <c r="C103" s="78" t="n"/>
      <c r="D103" s="78" t="n"/>
      <c r="E103" s="78" t="n"/>
      <c r="F103" s="78" t="n"/>
      <c r="G103" s="79" t="n"/>
      <c r="H103" s="80" t="n"/>
      <c r="I103" s="78" t="n"/>
      <c r="J103" s="78" t="n"/>
      <c r="K103" s="78" t="n"/>
    </row>
    <row r="104" ht="15" customHeight="1" s="40">
      <c r="A104" s="65">
        <f>IF(B104="","","EMP-"&amp;TEXT(ROW()-4,"000"))</f>
        <v/>
      </c>
      <c r="B104" s="78" t="n"/>
      <c r="C104" s="78" t="n"/>
      <c r="D104" s="78" t="n"/>
      <c r="E104" s="78" t="n"/>
      <c r="F104" s="78" t="n"/>
      <c r="G104" s="79" t="n"/>
      <c r="H104" s="80" t="n"/>
      <c r="I104" s="78" t="n"/>
      <c r="J104" s="78" t="n"/>
      <c r="K104" s="78" t="n"/>
    </row>
    <row r="105" ht="15" customHeight="1" s="40">
      <c r="A105" s="65">
        <f>IF(B105="","","EMP-"&amp;TEXT(ROW()-4,"000"))</f>
        <v/>
      </c>
      <c r="B105" s="78" t="n"/>
      <c r="C105" s="78" t="n"/>
      <c r="D105" s="78" t="n"/>
      <c r="E105" s="78" t="n"/>
      <c r="F105" s="78" t="n"/>
      <c r="G105" s="79" t="n"/>
      <c r="H105" s="80" t="n"/>
      <c r="I105" s="78" t="n"/>
      <c r="J105" s="78" t="n"/>
      <c r="K105" s="78" t="n"/>
    </row>
    <row r="106" ht="15" customHeight="1" s="40">
      <c r="A106" s="65">
        <f>IF(B106="","","EMP-"&amp;TEXT(ROW()-4,"000"))</f>
        <v/>
      </c>
      <c r="B106" s="78" t="n"/>
      <c r="C106" s="78" t="n"/>
      <c r="D106" s="78" t="n"/>
      <c r="E106" s="78" t="n"/>
      <c r="F106" s="78" t="n"/>
      <c r="G106" s="79" t="n"/>
      <c r="H106" s="80" t="n"/>
      <c r="I106" s="78" t="n"/>
      <c r="J106" s="78" t="n"/>
      <c r="K106" s="78" t="n"/>
    </row>
    <row r="107" ht="15" customHeight="1" s="40">
      <c r="A107" s="65">
        <f>IF(B107="","","EMP-"&amp;TEXT(ROW()-4,"000"))</f>
        <v/>
      </c>
      <c r="B107" s="78" t="n"/>
      <c r="C107" s="78" t="n"/>
      <c r="D107" s="78" t="n"/>
      <c r="E107" s="78" t="n"/>
      <c r="F107" s="78" t="n"/>
      <c r="G107" s="79" t="n"/>
      <c r="H107" s="80" t="n"/>
      <c r="I107" s="78" t="n"/>
      <c r="J107" s="78" t="n"/>
      <c r="K107" s="78" t="n"/>
    </row>
    <row r="108" ht="15" customHeight="1" s="40">
      <c r="A108" s="65">
        <f>IF(B108="","","EMP-"&amp;TEXT(ROW()-4,"000"))</f>
        <v/>
      </c>
      <c r="B108" s="78" t="n"/>
      <c r="C108" s="78" t="n"/>
      <c r="D108" s="78" t="n"/>
      <c r="E108" s="78" t="n"/>
      <c r="F108" s="78" t="n"/>
      <c r="G108" s="79" t="n"/>
      <c r="H108" s="80" t="n"/>
      <c r="I108" s="78" t="n"/>
      <c r="J108" s="78" t="n"/>
      <c r="K108" s="78" t="n"/>
    </row>
    <row r="109" ht="15" customHeight="1" s="40">
      <c r="A109" s="65">
        <f>IF(B109="","","EMP-"&amp;TEXT(ROW()-4,"000"))</f>
        <v/>
      </c>
      <c r="B109" s="78" t="n"/>
      <c r="C109" s="78" t="n"/>
      <c r="D109" s="78" t="n"/>
      <c r="E109" s="78" t="n"/>
      <c r="F109" s="78" t="n"/>
      <c r="G109" s="79" t="n"/>
      <c r="H109" s="80" t="n"/>
      <c r="I109" s="78" t="n"/>
      <c r="J109" s="78" t="n"/>
      <c r="K109" s="78" t="n"/>
    </row>
    <row r="110" ht="15" customHeight="1" s="40">
      <c r="A110" s="65">
        <f>IF(B110="","","EMP-"&amp;TEXT(ROW()-4,"000"))</f>
        <v/>
      </c>
      <c r="B110" s="78" t="n"/>
      <c r="C110" s="78" t="n"/>
      <c r="D110" s="78" t="n"/>
      <c r="E110" s="78" t="n"/>
      <c r="F110" s="78" t="n"/>
      <c r="G110" s="79" t="n"/>
      <c r="H110" s="80" t="n"/>
      <c r="I110" s="78" t="n"/>
      <c r="J110" s="78" t="n"/>
      <c r="K110" s="78" t="n"/>
    </row>
    <row r="111" ht="15" customHeight="1" s="40">
      <c r="A111" s="65">
        <f>IF(B111="","","EMP-"&amp;TEXT(ROW()-4,"000"))</f>
        <v/>
      </c>
      <c r="B111" s="78" t="n"/>
      <c r="C111" s="78" t="n"/>
      <c r="D111" s="78" t="n"/>
      <c r="E111" s="78" t="n"/>
      <c r="F111" s="78" t="n"/>
      <c r="G111" s="79" t="n"/>
      <c r="H111" s="80" t="n"/>
      <c r="I111" s="78" t="n"/>
      <c r="J111" s="78" t="n"/>
      <c r="K111" s="78" t="n"/>
    </row>
    <row r="112" ht="15" customHeight="1" s="40">
      <c r="A112" s="65">
        <f>IF(B112="","","EMP-"&amp;TEXT(ROW()-4,"000"))</f>
        <v/>
      </c>
      <c r="B112" s="78" t="n"/>
      <c r="C112" s="78" t="n"/>
      <c r="D112" s="78" t="n"/>
      <c r="E112" s="78" t="n"/>
      <c r="F112" s="78" t="n"/>
      <c r="G112" s="79" t="n"/>
      <c r="H112" s="80" t="n"/>
      <c r="I112" s="78" t="n"/>
      <c r="J112" s="78" t="n"/>
      <c r="K112" s="78" t="n"/>
    </row>
    <row r="113" ht="15" customHeight="1" s="40">
      <c r="A113" s="65">
        <f>IF(B113="","","EMP-"&amp;TEXT(ROW()-4,"000"))</f>
        <v/>
      </c>
      <c r="B113" s="78" t="n"/>
      <c r="C113" s="78" t="n"/>
      <c r="D113" s="78" t="n"/>
      <c r="E113" s="78" t="n"/>
      <c r="F113" s="78" t="n"/>
      <c r="G113" s="79" t="n"/>
      <c r="H113" s="80" t="n"/>
      <c r="I113" s="78" t="n"/>
      <c r="J113" s="78" t="n"/>
      <c r="K113" s="78" t="n"/>
    </row>
    <row r="114" ht="15" customHeight="1" s="40">
      <c r="A114" s="65">
        <f>IF(B114="","","EMP-"&amp;TEXT(ROW()-4,"000"))</f>
        <v/>
      </c>
      <c r="B114" s="78" t="n"/>
      <c r="C114" s="78" t="n"/>
      <c r="D114" s="78" t="n"/>
      <c r="E114" s="78" t="n"/>
      <c r="F114" s="78" t="n"/>
      <c r="G114" s="79" t="n"/>
      <c r="H114" s="80" t="n"/>
      <c r="I114" s="78" t="n"/>
      <c r="J114" s="78" t="n"/>
      <c r="K114" s="78" t="n"/>
    </row>
    <row r="115" ht="15" customHeight="1" s="40">
      <c r="A115" s="65">
        <f>IF(B115="","","EMP-"&amp;TEXT(ROW()-4,"000"))</f>
        <v/>
      </c>
      <c r="B115" s="78" t="n"/>
      <c r="C115" s="78" t="n"/>
      <c r="D115" s="78" t="n"/>
      <c r="E115" s="78" t="n"/>
      <c r="F115" s="78" t="n"/>
      <c r="G115" s="79" t="n"/>
      <c r="H115" s="80" t="n"/>
      <c r="I115" s="78" t="n"/>
      <c r="J115" s="78" t="n"/>
      <c r="K115" s="78" t="n"/>
    </row>
    <row r="116" ht="15" customHeight="1" s="40">
      <c r="A116" s="65">
        <f>IF(B116="","","EMP-"&amp;TEXT(ROW()-4,"000"))</f>
        <v/>
      </c>
      <c r="B116" s="78" t="n"/>
      <c r="C116" s="78" t="n"/>
      <c r="D116" s="78" t="n"/>
      <c r="E116" s="78" t="n"/>
      <c r="F116" s="78" t="n"/>
      <c r="G116" s="79" t="n"/>
      <c r="H116" s="80" t="n"/>
      <c r="I116" s="78" t="n"/>
      <c r="J116" s="78" t="n"/>
      <c r="K116" s="78" t="n"/>
    </row>
    <row r="117" ht="15" customHeight="1" s="40">
      <c r="A117" s="65">
        <f>IF(B117="","","EMP-"&amp;TEXT(ROW()-4,"000"))</f>
        <v/>
      </c>
      <c r="B117" s="78" t="n"/>
      <c r="C117" s="78" t="n"/>
      <c r="D117" s="78" t="n"/>
      <c r="E117" s="78" t="n"/>
      <c r="F117" s="78" t="n"/>
      <c r="G117" s="79" t="n"/>
      <c r="H117" s="80" t="n"/>
      <c r="I117" s="78" t="n"/>
      <c r="J117" s="78" t="n"/>
      <c r="K117" s="78" t="n"/>
    </row>
    <row r="118" ht="15" customHeight="1" s="40">
      <c r="A118" s="65">
        <f>IF(B118="","","EMP-"&amp;TEXT(ROW()-4,"000"))</f>
        <v/>
      </c>
      <c r="B118" s="78" t="n"/>
      <c r="C118" s="78" t="n"/>
      <c r="D118" s="78" t="n"/>
      <c r="E118" s="78" t="n"/>
      <c r="F118" s="78" t="n"/>
      <c r="G118" s="79" t="n"/>
      <c r="H118" s="80" t="n"/>
      <c r="I118" s="78" t="n"/>
      <c r="J118" s="78" t="n"/>
      <c r="K118" s="78" t="n"/>
    </row>
    <row r="119" ht="15" customHeight="1" s="40">
      <c r="A119" s="65">
        <f>IF(B119="","","EMP-"&amp;TEXT(ROW()-4,"000"))</f>
        <v/>
      </c>
      <c r="B119" s="78" t="n"/>
      <c r="C119" s="78" t="n"/>
      <c r="D119" s="78" t="n"/>
      <c r="E119" s="78" t="n"/>
      <c r="F119" s="78" t="n"/>
      <c r="G119" s="79" t="n"/>
      <c r="H119" s="80" t="n"/>
      <c r="I119" s="78" t="n"/>
      <c r="J119" s="78" t="n"/>
      <c r="K119" s="78" t="n"/>
    </row>
    <row r="120" ht="15" customHeight="1" s="40">
      <c r="A120" s="65">
        <f>IF(B120="","","EMP-"&amp;TEXT(ROW()-4,"000"))</f>
        <v/>
      </c>
      <c r="B120" s="78" t="n"/>
      <c r="C120" s="78" t="n"/>
      <c r="D120" s="78" t="n"/>
      <c r="E120" s="78" t="n"/>
      <c r="F120" s="78" t="n"/>
      <c r="G120" s="79" t="n"/>
      <c r="H120" s="80" t="n"/>
      <c r="I120" s="78" t="n"/>
      <c r="J120" s="78" t="n"/>
      <c r="K120" s="78" t="n"/>
    </row>
    <row r="121" ht="15" customHeight="1" s="40">
      <c r="A121" s="65">
        <f>IF(B121="","","EMP-"&amp;TEXT(ROW()-4,"000"))</f>
        <v/>
      </c>
      <c r="B121" s="78" t="n"/>
      <c r="C121" s="78" t="n"/>
      <c r="D121" s="78" t="n"/>
      <c r="E121" s="78" t="n"/>
      <c r="F121" s="78" t="n"/>
      <c r="G121" s="79" t="n"/>
      <c r="H121" s="80" t="n"/>
      <c r="I121" s="78" t="n"/>
      <c r="J121" s="78" t="n"/>
      <c r="K121" s="78" t="n"/>
    </row>
    <row r="122" ht="15" customHeight="1" s="40">
      <c r="A122" s="65">
        <f>IF(B122="","","EMP-"&amp;TEXT(ROW()-4,"000"))</f>
        <v/>
      </c>
      <c r="B122" s="78" t="n"/>
      <c r="C122" s="78" t="n"/>
      <c r="D122" s="78" t="n"/>
      <c r="E122" s="78" t="n"/>
      <c r="F122" s="78" t="n"/>
      <c r="G122" s="79" t="n"/>
      <c r="H122" s="80" t="n"/>
      <c r="I122" s="78" t="n"/>
      <c r="J122" s="78" t="n"/>
      <c r="K122" s="78" t="n"/>
    </row>
    <row r="123" ht="15" customHeight="1" s="40">
      <c r="A123" s="65">
        <f>IF(B123="","","EMP-"&amp;TEXT(ROW()-4,"000"))</f>
        <v/>
      </c>
      <c r="B123" s="78" t="n"/>
      <c r="C123" s="78" t="n"/>
      <c r="D123" s="78" t="n"/>
      <c r="E123" s="78" t="n"/>
      <c r="F123" s="78" t="n"/>
      <c r="G123" s="79" t="n"/>
      <c r="H123" s="80" t="n"/>
      <c r="I123" s="78" t="n"/>
      <c r="J123" s="78" t="n"/>
      <c r="K123" s="78" t="n"/>
    </row>
    <row r="124" ht="15" customHeight="1" s="40">
      <c r="A124" s="65">
        <f>IF(B124="","","EMP-"&amp;TEXT(ROW()-4,"000"))</f>
        <v/>
      </c>
      <c r="B124" s="78" t="n"/>
      <c r="C124" s="78" t="n"/>
      <c r="D124" s="78" t="n"/>
      <c r="E124" s="78" t="n"/>
      <c r="F124" s="78" t="n"/>
      <c r="G124" s="79" t="n"/>
      <c r="H124" s="80" t="n"/>
      <c r="I124" s="78" t="n"/>
      <c r="J124" s="78" t="n"/>
      <c r="K124" s="78" t="n"/>
    </row>
    <row r="125" ht="15" customHeight="1" s="40">
      <c r="A125" s="65">
        <f>IF(B125="","","EMP-"&amp;TEXT(ROW()-4,"000"))</f>
        <v/>
      </c>
      <c r="B125" s="78" t="n"/>
      <c r="C125" s="78" t="n"/>
      <c r="D125" s="78" t="n"/>
      <c r="E125" s="78" t="n"/>
      <c r="F125" s="78" t="n"/>
      <c r="G125" s="79" t="n"/>
      <c r="H125" s="80" t="n"/>
      <c r="I125" s="78" t="n"/>
      <c r="J125" s="78" t="n"/>
      <c r="K125" s="78" t="n"/>
    </row>
    <row r="126" ht="15" customHeight="1" s="40">
      <c r="A126" s="65">
        <f>IF(B126="","","EMP-"&amp;TEXT(ROW()-4,"000"))</f>
        <v/>
      </c>
      <c r="B126" s="78" t="n"/>
      <c r="C126" s="78" t="n"/>
      <c r="D126" s="78" t="n"/>
      <c r="E126" s="78" t="n"/>
      <c r="F126" s="78" t="n"/>
      <c r="G126" s="79" t="n"/>
      <c r="H126" s="80" t="n"/>
      <c r="I126" s="78" t="n"/>
      <c r="J126" s="78" t="n"/>
      <c r="K126" s="78" t="n"/>
    </row>
    <row r="127" ht="15" customHeight="1" s="40">
      <c r="A127" s="65">
        <f>IF(B127="","","EMP-"&amp;TEXT(ROW()-4,"000"))</f>
        <v/>
      </c>
      <c r="B127" s="78" t="n"/>
      <c r="C127" s="78" t="n"/>
      <c r="D127" s="78" t="n"/>
      <c r="E127" s="78" t="n"/>
      <c r="F127" s="78" t="n"/>
      <c r="G127" s="79" t="n"/>
      <c r="H127" s="80" t="n"/>
      <c r="I127" s="78" t="n"/>
      <c r="J127" s="78" t="n"/>
      <c r="K127" s="78" t="n"/>
    </row>
    <row r="128" ht="15" customHeight="1" s="40">
      <c r="A128" s="65">
        <f>IF(B128="","","EMP-"&amp;TEXT(ROW()-4,"000"))</f>
        <v/>
      </c>
      <c r="B128" s="78" t="n"/>
      <c r="C128" s="78" t="n"/>
      <c r="D128" s="78" t="n"/>
      <c r="E128" s="78" t="n"/>
      <c r="F128" s="78" t="n"/>
      <c r="G128" s="79" t="n"/>
      <c r="H128" s="80" t="n"/>
      <c r="I128" s="78" t="n"/>
      <c r="J128" s="78" t="n"/>
      <c r="K128" s="78" t="n"/>
    </row>
    <row r="129" ht="15" customHeight="1" s="40">
      <c r="A129" s="65">
        <f>IF(B129="","","EMP-"&amp;TEXT(ROW()-4,"000"))</f>
        <v/>
      </c>
      <c r="B129" s="78" t="n"/>
      <c r="C129" s="78" t="n"/>
      <c r="D129" s="78" t="n"/>
      <c r="E129" s="78" t="n"/>
      <c r="F129" s="78" t="n"/>
      <c r="G129" s="79" t="n"/>
      <c r="H129" s="80" t="n"/>
      <c r="I129" s="78" t="n"/>
      <c r="J129" s="78" t="n"/>
      <c r="K129" s="78" t="n"/>
    </row>
    <row r="130" ht="15" customHeight="1" s="40">
      <c r="A130" s="65">
        <f>IF(B130="","","EMP-"&amp;TEXT(ROW()-4,"000"))</f>
        <v/>
      </c>
      <c r="B130" s="78" t="n"/>
      <c r="C130" s="78" t="n"/>
      <c r="D130" s="78" t="n"/>
      <c r="E130" s="78" t="n"/>
      <c r="F130" s="78" t="n"/>
      <c r="G130" s="79" t="n"/>
      <c r="H130" s="80" t="n"/>
      <c r="I130" s="78" t="n"/>
      <c r="J130" s="78" t="n"/>
      <c r="K130" s="78" t="n"/>
    </row>
    <row r="131" ht="15" customHeight="1" s="40">
      <c r="A131" s="65">
        <f>IF(B131="","","EMP-"&amp;TEXT(ROW()-4,"000"))</f>
        <v/>
      </c>
      <c r="B131" s="78" t="n"/>
      <c r="C131" s="78" t="n"/>
      <c r="D131" s="78" t="n"/>
      <c r="E131" s="78" t="n"/>
      <c r="F131" s="78" t="n"/>
      <c r="G131" s="79" t="n"/>
      <c r="H131" s="80" t="n"/>
      <c r="I131" s="78" t="n"/>
      <c r="J131" s="78" t="n"/>
      <c r="K131" s="78" t="n"/>
    </row>
    <row r="132" ht="15" customHeight="1" s="40">
      <c r="A132" s="65">
        <f>IF(B132="","","EMP-"&amp;TEXT(ROW()-4,"000"))</f>
        <v/>
      </c>
      <c r="B132" s="78" t="n"/>
      <c r="C132" s="78" t="n"/>
      <c r="D132" s="78" t="n"/>
      <c r="E132" s="78" t="n"/>
      <c r="F132" s="78" t="n"/>
      <c r="G132" s="79" t="n"/>
      <c r="H132" s="80" t="n"/>
      <c r="I132" s="78" t="n"/>
      <c r="J132" s="78" t="n"/>
      <c r="K132" s="78" t="n"/>
    </row>
    <row r="133" ht="15" customHeight="1" s="40">
      <c r="A133" s="65">
        <f>IF(B133="","","EMP-"&amp;TEXT(ROW()-4,"000"))</f>
        <v/>
      </c>
      <c r="B133" s="78" t="n"/>
      <c r="C133" s="78" t="n"/>
      <c r="D133" s="78" t="n"/>
      <c r="E133" s="78" t="n"/>
      <c r="F133" s="78" t="n"/>
      <c r="G133" s="79" t="n"/>
      <c r="H133" s="80" t="n"/>
      <c r="I133" s="78" t="n"/>
      <c r="J133" s="78" t="n"/>
      <c r="K133" s="78" t="n"/>
    </row>
    <row r="134" ht="15" customHeight="1" s="40">
      <c r="A134" s="65">
        <f>IF(B134="","","EMP-"&amp;TEXT(ROW()-4,"000"))</f>
        <v/>
      </c>
      <c r="B134" s="78" t="n"/>
      <c r="C134" s="78" t="n"/>
      <c r="D134" s="78" t="n"/>
      <c r="E134" s="78" t="n"/>
      <c r="F134" s="78" t="n"/>
      <c r="G134" s="79" t="n"/>
      <c r="H134" s="80" t="n"/>
      <c r="I134" s="78" t="n"/>
      <c r="J134" s="78" t="n"/>
      <c r="K134" s="78" t="n"/>
    </row>
    <row r="135" ht="15" customHeight="1" s="40">
      <c r="A135" s="65">
        <f>IF(B135="","","EMP-"&amp;TEXT(ROW()-4,"000"))</f>
        <v/>
      </c>
      <c r="B135" s="78" t="n"/>
      <c r="C135" s="78" t="n"/>
      <c r="D135" s="78" t="n"/>
      <c r="E135" s="78" t="n"/>
      <c r="F135" s="78" t="n"/>
      <c r="G135" s="79" t="n"/>
      <c r="H135" s="80" t="n"/>
      <c r="I135" s="78" t="n"/>
      <c r="J135" s="78" t="n"/>
      <c r="K135" s="78" t="n"/>
    </row>
    <row r="136" ht="15" customHeight="1" s="40">
      <c r="A136" s="65">
        <f>IF(B136="","","EMP-"&amp;TEXT(ROW()-4,"000"))</f>
        <v/>
      </c>
      <c r="B136" s="78" t="n"/>
      <c r="C136" s="78" t="n"/>
      <c r="D136" s="78" t="n"/>
      <c r="E136" s="78" t="n"/>
      <c r="F136" s="78" t="n"/>
      <c r="G136" s="79" t="n"/>
      <c r="H136" s="80" t="n"/>
      <c r="I136" s="78" t="n"/>
      <c r="J136" s="78" t="n"/>
      <c r="K136" s="78" t="n"/>
    </row>
    <row r="137" ht="15" customHeight="1" s="40">
      <c r="A137" s="65">
        <f>IF(B137="","","EMP-"&amp;TEXT(ROW()-4,"000"))</f>
        <v/>
      </c>
      <c r="B137" s="78" t="n"/>
      <c r="C137" s="78" t="n"/>
      <c r="D137" s="78" t="n"/>
      <c r="E137" s="78" t="n"/>
      <c r="F137" s="78" t="n"/>
      <c r="G137" s="79" t="n"/>
      <c r="H137" s="80" t="n"/>
      <c r="I137" s="78" t="n"/>
      <c r="J137" s="78" t="n"/>
      <c r="K137" s="78" t="n"/>
    </row>
    <row r="138" ht="15" customHeight="1" s="40">
      <c r="A138" s="65">
        <f>IF(B138="","","EMP-"&amp;TEXT(ROW()-4,"000"))</f>
        <v/>
      </c>
      <c r="B138" s="78" t="n"/>
      <c r="C138" s="78" t="n"/>
      <c r="D138" s="78" t="n"/>
      <c r="E138" s="78" t="n"/>
      <c r="F138" s="78" t="n"/>
      <c r="G138" s="79" t="n"/>
      <c r="H138" s="80" t="n"/>
      <c r="I138" s="78" t="n"/>
      <c r="J138" s="78" t="n"/>
      <c r="K138" s="78" t="n"/>
    </row>
    <row r="139" ht="15" customHeight="1" s="40">
      <c r="A139" s="65">
        <f>IF(B139="","","EMP-"&amp;TEXT(ROW()-4,"000"))</f>
        <v/>
      </c>
      <c r="B139" s="78" t="n"/>
      <c r="C139" s="78" t="n"/>
      <c r="D139" s="78" t="n"/>
      <c r="E139" s="78" t="n"/>
      <c r="F139" s="78" t="n"/>
      <c r="G139" s="79" t="n"/>
      <c r="H139" s="80" t="n"/>
      <c r="I139" s="78" t="n"/>
      <c r="J139" s="78" t="n"/>
      <c r="K139" s="78" t="n"/>
    </row>
    <row r="140" ht="15" customHeight="1" s="40">
      <c r="A140" s="65">
        <f>IF(B140="","","EMP-"&amp;TEXT(ROW()-4,"000"))</f>
        <v/>
      </c>
      <c r="B140" s="78" t="n"/>
      <c r="C140" s="78" t="n"/>
      <c r="D140" s="78" t="n"/>
      <c r="E140" s="78" t="n"/>
      <c r="F140" s="78" t="n"/>
      <c r="G140" s="79" t="n"/>
      <c r="H140" s="80" t="n"/>
      <c r="I140" s="78" t="n"/>
      <c r="J140" s="78" t="n"/>
      <c r="K140" s="78" t="n"/>
    </row>
    <row r="141" ht="15" customHeight="1" s="40">
      <c r="A141" s="65">
        <f>IF(B141="","","EMP-"&amp;TEXT(ROW()-4,"000"))</f>
        <v/>
      </c>
      <c r="B141" s="78" t="n"/>
      <c r="C141" s="78" t="n"/>
      <c r="D141" s="78" t="n"/>
      <c r="E141" s="78" t="n"/>
      <c r="F141" s="78" t="n"/>
      <c r="G141" s="79" t="n"/>
      <c r="H141" s="80" t="n"/>
      <c r="I141" s="78" t="n"/>
      <c r="J141" s="78" t="n"/>
      <c r="K141" s="78" t="n"/>
    </row>
    <row r="142" ht="15" customHeight="1" s="40">
      <c r="A142" s="65">
        <f>IF(B142="","","EMP-"&amp;TEXT(ROW()-4,"000"))</f>
        <v/>
      </c>
      <c r="B142" s="78" t="n"/>
      <c r="C142" s="78" t="n"/>
      <c r="D142" s="78" t="n"/>
      <c r="E142" s="78" t="n"/>
      <c r="F142" s="78" t="n"/>
      <c r="G142" s="79" t="n"/>
      <c r="H142" s="80" t="n"/>
      <c r="I142" s="78" t="n"/>
      <c r="J142" s="78" t="n"/>
      <c r="K142" s="78" t="n"/>
    </row>
    <row r="143" ht="15" customHeight="1" s="40">
      <c r="A143" s="65">
        <f>IF(B143="","","EMP-"&amp;TEXT(ROW()-4,"000"))</f>
        <v/>
      </c>
      <c r="B143" s="78" t="n"/>
      <c r="C143" s="78" t="n"/>
      <c r="D143" s="78" t="n"/>
      <c r="E143" s="78" t="n"/>
      <c r="F143" s="78" t="n"/>
      <c r="G143" s="79" t="n"/>
      <c r="H143" s="80" t="n"/>
      <c r="I143" s="78" t="n"/>
      <c r="J143" s="78" t="n"/>
      <c r="K143" s="78" t="n"/>
    </row>
    <row r="144" ht="15" customHeight="1" s="40">
      <c r="A144" s="65">
        <f>IF(B144="","","EMP-"&amp;TEXT(ROW()-4,"000"))</f>
        <v/>
      </c>
      <c r="B144" s="78" t="n"/>
      <c r="C144" s="78" t="n"/>
      <c r="D144" s="78" t="n"/>
      <c r="E144" s="78" t="n"/>
      <c r="F144" s="78" t="n"/>
      <c r="G144" s="79" t="n"/>
      <c r="H144" s="80" t="n"/>
      <c r="I144" s="78" t="n"/>
      <c r="J144" s="78" t="n"/>
      <c r="K144" s="78" t="n"/>
    </row>
    <row r="145" ht="15" customHeight="1" s="40">
      <c r="A145" s="65">
        <f>IF(B145="","","EMP-"&amp;TEXT(ROW()-4,"000"))</f>
        <v/>
      </c>
      <c r="B145" s="78" t="n"/>
      <c r="C145" s="78" t="n"/>
      <c r="D145" s="78" t="n"/>
      <c r="E145" s="78" t="n"/>
      <c r="F145" s="78" t="n"/>
      <c r="G145" s="79" t="n"/>
      <c r="H145" s="80" t="n"/>
      <c r="I145" s="78" t="n"/>
      <c r="J145" s="78" t="n"/>
      <c r="K145" s="78" t="n"/>
    </row>
    <row r="146" ht="15" customHeight="1" s="40">
      <c r="A146" s="65">
        <f>IF(B146="","","EMP-"&amp;TEXT(ROW()-4,"000"))</f>
        <v/>
      </c>
      <c r="B146" s="78" t="n"/>
      <c r="C146" s="78" t="n"/>
      <c r="D146" s="78" t="n"/>
      <c r="E146" s="78" t="n"/>
      <c r="F146" s="78" t="n"/>
      <c r="G146" s="79" t="n"/>
      <c r="H146" s="80" t="n"/>
      <c r="I146" s="78" t="n"/>
      <c r="J146" s="78" t="n"/>
      <c r="K146" s="78" t="n"/>
    </row>
    <row r="147" ht="15" customHeight="1" s="40">
      <c r="A147" s="65">
        <f>IF(B147="","","EMP-"&amp;TEXT(ROW()-4,"000"))</f>
        <v/>
      </c>
      <c r="B147" s="78" t="n"/>
      <c r="C147" s="78" t="n"/>
      <c r="D147" s="78" t="n"/>
      <c r="E147" s="78" t="n"/>
      <c r="F147" s="78" t="n"/>
      <c r="G147" s="79" t="n"/>
      <c r="H147" s="80" t="n"/>
      <c r="I147" s="78" t="n"/>
      <c r="J147" s="78" t="n"/>
      <c r="K147" s="78" t="n"/>
    </row>
    <row r="148" ht="15" customHeight="1" s="40">
      <c r="A148" s="65">
        <f>IF(B148="","","EMP-"&amp;TEXT(ROW()-4,"000"))</f>
        <v/>
      </c>
      <c r="B148" s="78" t="n"/>
      <c r="C148" s="78" t="n"/>
      <c r="D148" s="78" t="n"/>
      <c r="E148" s="78" t="n"/>
      <c r="F148" s="78" t="n"/>
      <c r="G148" s="79" t="n"/>
      <c r="H148" s="80" t="n"/>
      <c r="I148" s="78" t="n"/>
      <c r="J148" s="78" t="n"/>
      <c r="K148" s="78" t="n"/>
    </row>
    <row r="149" ht="15" customHeight="1" s="40">
      <c r="A149" s="65">
        <f>IF(B149="","","EMP-"&amp;TEXT(ROW()-4,"000"))</f>
        <v/>
      </c>
      <c r="B149" s="78" t="n"/>
      <c r="C149" s="78" t="n"/>
      <c r="D149" s="78" t="n"/>
      <c r="E149" s="78" t="n"/>
      <c r="F149" s="78" t="n"/>
      <c r="G149" s="79" t="n"/>
      <c r="H149" s="80" t="n"/>
      <c r="I149" s="78" t="n"/>
      <c r="J149" s="78" t="n"/>
      <c r="K149" s="78" t="n"/>
    </row>
    <row r="150" ht="15" customHeight="1" s="40">
      <c r="A150" s="65">
        <f>IF(B150="","","EMP-"&amp;TEXT(ROW()-4,"000"))</f>
        <v/>
      </c>
      <c r="B150" s="78" t="n"/>
      <c r="C150" s="78" t="n"/>
      <c r="D150" s="78" t="n"/>
      <c r="E150" s="78" t="n"/>
      <c r="F150" s="78" t="n"/>
      <c r="G150" s="79" t="n"/>
      <c r="H150" s="80" t="n"/>
      <c r="I150" s="78" t="n"/>
      <c r="J150" s="78" t="n"/>
      <c r="K150" s="78" t="n"/>
    </row>
    <row r="151" ht="15" customHeight="1" s="40">
      <c r="A151" s="65">
        <f>IF(B151="","","EMP-"&amp;TEXT(ROW()-4,"000"))</f>
        <v/>
      </c>
      <c r="B151" s="78" t="n"/>
      <c r="C151" s="78" t="n"/>
      <c r="D151" s="78" t="n"/>
      <c r="E151" s="78" t="n"/>
      <c r="F151" s="78" t="n"/>
      <c r="G151" s="79" t="n"/>
      <c r="H151" s="80" t="n"/>
      <c r="I151" s="78" t="n"/>
      <c r="J151" s="78" t="n"/>
      <c r="K151" s="78" t="n"/>
    </row>
    <row r="152" ht="15" customHeight="1" s="40">
      <c r="A152" s="65">
        <f>IF(B152="","","EMP-"&amp;TEXT(ROW()-4,"000"))</f>
        <v/>
      </c>
      <c r="B152" s="78" t="n"/>
      <c r="C152" s="78" t="n"/>
      <c r="D152" s="78" t="n"/>
      <c r="E152" s="78" t="n"/>
      <c r="F152" s="78" t="n"/>
      <c r="G152" s="79" t="n"/>
      <c r="H152" s="80" t="n"/>
      <c r="I152" s="78" t="n"/>
      <c r="J152" s="78" t="n"/>
      <c r="K152" s="78" t="n"/>
    </row>
    <row r="153" ht="15" customHeight="1" s="40">
      <c r="A153" s="65">
        <f>IF(B153="","","EMP-"&amp;TEXT(ROW()-4,"000"))</f>
        <v/>
      </c>
      <c r="B153" s="78" t="n"/>
      <c r="C153" s="78" t="n"/>
      <c r="D153" s="78" t="n"/>
      <c r="E153" s="78" t="n"/>
      <c r="F153" s="78" t="n"/>
      <c r="G153" s="79" t="n"/>
      <c r="H153" s="80" t="n"/>
      <c r="I153" s="78" t="n"/>
      <c r="J153" s="78" t="n"/>
      <c r="K153" s="78" t="n"/>
    </row>
    <row r="154" ht="15" customHeight="1" s="40">
      <c r="A154" s="65">
        <f>IF(B154="","","EMP-"&amp;TEXT(ROW()-4,"000"))</f>
        <v/>
      </c>
      <c r="B154" s="78" t="n"/>
      <c r="C154" s="78" t="n"/>
      <c r="D154" s="78" t="n"/>
      <c r="E154" s="78" t="n"/>
      <c r="F154" s="78" t="n"/>
      <c r="G154" s="79" t="n"/>
      <c r="H154" s="80" t="n"/>
      <c r="I154" s="78" t="n"/>
      <c r="J154" s="78" t="n"/>
      <c r="K154" s="78" t="n"/>
    </row>
    <row r="155" ht="15" customHeight="1" s="40">
      <c r="A155" s="65">
        <f>IF(B155="","","EMP-"&amp;TEXT(ROW()-4,"000"))</f>
        <v/>
      </c>
      <c r="B155" s="78" t="n"/>
      <c r="C155" s="78" t="n"/>
      <c r="D155" s="78" t="n"/>
      <c r="E155" s="78" t="n"/>
      <c r="F155" s="78" t="n"/>
      <c r="G155" s="79" t="n"/>
      <c r="H155" s="80" t="n"/>
      <c r="I155" s="78" t="n"/>
      <c r="J155" s="78" t="n"/>
      <c r="K155" s="78" t="n"/>
    </row>
    <row r="156" ht="15" customHeight="1" s="40">
      <c r="A156" s="65">
        <f>IF(B156="","","EMP-"&amp;TEXT(ROW()-4,"000"))</f>
        <v/>
      </c>
      <c r="B156" s="78" t="n"/>
      <c r="C156" s="78" t="n"/>
      <c r="D156" s="78" t="n"/>
      <c r="E156" s="78" t="n"/>
      <c r="F156" s="78" t="n"/>
      <c r="G156" s="79" t="n"/>
      <c r="H156" s="80" t="n"/>
      <c r="I156" s="78" t="n"/>
      <c r="J156" s="78" t="n"/>
      <c r="K156" s="78" t="n"/>
    </row>
    <row r="157" ht="15" customHeight="1" s="40">
      <c r="A157" s="65">
        <f>IF(B157="","","EMP-"&amp;TEXT(ROW()-4,"000"))</f>
        <v/>
      </c>
      <c r="B157" s="78" t="n"/>
      <c r="C157" s="78" t="n"/>
      <c r="D157" s="78" t="n"/>
      <c r="E157" s="78" t="n"/>
      <c r="F157" s="78" t="n"/>
      <c r="G157" s="79" t="n"/>
      <c r="H157" s="80" t="n"/>
      <c r="I157" s="78" t="n"/>
      <c r="J157" s="78" t="n"/>
      <c r="K157" s="78" t="n"/>
    </row>
    <row r="158" ht="15" customHeight="1" s="40">
      <c r="A158" s="65">
        <f>IF(B158="","","EMP-"&amp;TEXT(ROW()-4,"000"))</f>
        <v/>
      </c>
      <c r="B158" s="78" t="n"/>
      <c r="C158" s="78" t="n"/>
      <c r="D158" s="78" t="n"/>
      <c r="E158" s="78" t="n"/>
      <c r="F158" s="78" t="n"/>
      <c r="G158" s="79" t="n"/>
      <c r="H158" s="80" t="n"/>
      <c r="I158" s="78" t="n"/>
      <c r="J158" s="78" t="n"/>
      <c r="K158" s="78" t="n"/>
    </row>
    <row r="159" ht="15" customHeight="1" s="40">
      <c r="A159" s="65">
        <f>IF(B159="","","EMP-"&amp;TEXT(ROW()-4,"000"))</f>
        <v/>
      </c>
      <c r="B159" s="78" t="n"/>
      <c r="C159" s="78" t="n"/>
      <c r="D159" s="78" t="n"/>
      <c r="E159" s="78" t="n"/>
      <c r="F159" s="78" t="n"/>
      <c r="G159" s="79" t="n"/>
      <c r="H159" s="80" t="n"/>
      <c r="I159" s="78" t="n"/>
      <c r="J159" s="78" t="n"/>
      <c r="K159" s="78" t="n"/>
    </row>
    <row r="160" ht="15" customHeight="1" s="40">
      <c r="A160" s="65">
        <f>IF(B160="","","EMP-"&amp;TEXT(ROW()-4,"000"))</f>
        <v/>
      </c>
      <c r="B160" s="78" t="n"/>
      <c r="C160" s="78" t="n"/>
      <c r="D160" s="78" t="n"/>
      <c r="E160" s="78" t="n"/>
      <c r="F160" s="78" t="n"/>
      <c r="G160" s="79" t="n"/>
      <c r="H160" s="80" t="n"/>
      <c r="I160" s="78" t="n"/>
      <c r="J160" s="78" t="n"/>
      <c r="K160" s="78" t="n"/>
    </row>
    <row r="161" ht="15" customHeight="1" s="40">
      <c r="A161" s="65">
        <f>IF(B161="","","EMP-"&amp;TEXT(ROW()-4,"000"))</f>
        <v/>
      </c>
      <c r="B161" s="78" t="n"/>
      <c r="C161" s="78" t="n"/>
      <c r="D161" s="78" t="n"/>
      <c r="E161" s="78" t="n"/>
      <c r="F161" s="78" t="n"/>
      <c r="G161" s="79" t="n"/>
      <c r="H161" s="80" t="n"/>
      <c r="I161" s="78" t="n"/>
      <c r="J161" s="78" t="n"/>
      <c r="K161" s="78" t="n"/>
    </row>
    <row r="162" ht="15" customHeight="1" s="40">
      <c r="A162" s="65">
        <f>IF(B162="","","EMP-"&amp;TEXT(ROW()-4,"000"))</f>
        <v/>
      </c>
      <c r="B162" s="78" t="n"/>
      <c r="C162" s="78" t="n"/>
      <c r="D162" s="78" t="n"/>
      <c r="E162" s="78" t="n"/>
      <c r="F162" s="78" t="n"/>
      <c r="G162" s="79" t="n"/>
      <c r="H162" s="80" t="n"/>
      <c r="I162" s="78" t="n"/>
      <c r="J162" s="78" t="n"/>
      <c r="K162" s="78" t="n"/>
    </row>
    <row r="163" ht="15" customHeight="1" s="40">
      <c r="A163" s="65">
        <f>IF(B163="","","EMP-"&amp;TEXT(ROW()-4,"000"))</f>
        <v/>
      </c>
      <c r="B163" s="78" t="n"/>
      <c r="C163" s="78" t="n"/>
      <c r="D163" s="78" t="n"/>
      <c r="E163" s="78" t="n"/>
      <c r="F163" s="78" t="n"/>
      <c r="G163" s="79" t="n"/>
      <c r="H163" s="80" t="n"/>
      <c r="I163" s="78" t="n"/>
      <c r="J163" s="78" t="n"/>
      <c r="K163" s="78" t="n"/>
    </row>
    <row r="164" ht="15" customHeight="1" s="40">
      <c r="A164" s="65">
        <f>IF(B164="","","EMP-"&amp;TEXT(ROW()-4,"000"))</f>
        <v/>
      </c>
      <c r="B164" s="78" t="n"/>
      <c r="C164" s="78" t="n"/>
      <c r="D164" s="78" t="n"/>
      <c r="E164" s="78" t="n"/>
      <c r="F164" s="78" t="n"/>
      <c r="G164" s="79" t="n"/>
      <c r="H164" s="80" t="n"/>
      <c r="I164" s="78" t="n"/>
      <c r="J164" s="78" t="n"/>
      <c r="K164" s="78" t="n"/>
    </row>
    <row r="165" ht="15" customHeight="1" s="40">
      <c r="A165" s="65">
        <f>IF(B165="","","EMP-"&amp;TEXT(ROW()-4,"000"))</f>
        <v/>
      </c>
      <c r="B165" s="78" t="n"/>
      <c r="C165" s="78" t="n"/>
      <c r="D165" s="78" t="n"/>
      <c r="E165" s="78" t="n"/>
      <c r="F165" s="78" t="n"/>
      <c r="G165" s="79" t="n"/>
      <c r="H165" s="80" t="n"/>
      <c r="I165" s="78" t="n"/>
      <c r="J165" s="78" t="n"/>
      <c r="K165" s="78" t="n"/>
    </row>
    <row r="166" ht="15" customHeight="1" s="40">
      <c r="A166" s="65">
        <f>IF(B166="","","EMP-"&amp;TEXT(ROW()-4,"000"))</f>
        <v/>
      </c>
      <c r="B166" s="78" t="n"/>
      <c r="C166" s="78" t="n"/>
      <c r="D166" s="78" t="n"/>
      <c r="E166" s="78" t="n"/>
      <c r="F166" s="78" t="n"/>
      <c r="G166" s="79" t="n"/>
      <c r="H166" s="80" t="n"/>
      <c r="I166" s="78" t="n"/>
      <c r="J166" s="78" t="n"/>
      <c r="K166" s="78" t="n"/>
    </row>
    <row r="167" ht="15" customHeight="1" s="40">
      <c r="A167" s="65">
        <f>IF(B167="","","EMP-"&amp;TEXT(ROW()-4,"000"))</f>
        <v/>
      </c>
      <c r="B167" s="78" t="n"/>
      <c r="C167" s="78" t="n"/>
      <c r="D167" s="78" t="n"/>
      <c r="E167" s="78" t="n"/>
      <c r="F167" s="78" t="n"/>
      <c r="G167" s="79" t="n"/>
      <c r="H167" s="80" t="n"/>
      <c r="I167" s="78" t="n"/>
      <c r="J167" s="78" t="n"/>
      <c r="K167" s="78" t="n"/>
    </row>
    <row r="168" ht="15" customHeight="1" s="40">
      <c r="A168" s="65">
        <f>IF(B168="","","EMP-"&amp;TEXT(ROW()-4,"000"))</f>
        <v/>
      </c>
      <c r="B168" s="78" t="n"/>
      <c r="C168" s="78" t="n"/>
      <c r="D168" s="78" t="n"/>
      <c r="E168" s="78" t="n"/>
      <c r="F168" s="78" t="n"/>
      <c r="G168" s="79" t="n"/>
      <c r="H168" s="80" t="n"/>
      <c r="I168" s="78" t="n"/>
      <c r="J168" s="78" t="n"/>
      <c r="K168" s="78" t="n"/>
    </row>
    <row r="169" ht="15" customHeight="1" s="40">
      <c r="A169" s="65">
        <f>IF(B169="","","EMP-"&amp;TEXT(ROW()-4,"000"))</f>
        <v/>
      </c>
      <c r="B169" s="78" t="n"/>
      <c r="C169" s="78" t="n"/>
      <c r="D169" s="78" t="n"/>
      <c r="E169" s="78" t="n"/>
      <c r="F169" s="78" t="n"/>
      <c r="G169" s="79" t="n"/>
      <c r="H169" s="80" t="n"/>
      <c r="I169" s="78" t="n"/>
      <c r="J169" s="78" t="n"/>
      <c r="K169" s="78" t="n"/>
    </row>
    <row r="170" ht="15" customHeight="1" s="40">
      <c r="A170" s="65">
        <f>IF(B170="","","EMP-"&amp;TEXT(ROW()-4,"000"))</f>
        <v/>
      </c>
      <c r="B170" s="78" t="n"/>
      <c r="C170" s="78" t="n"/>
      <c r="D170" s="78" t="n"/>
      <c r="E170" s="78" t="n"/>
      <c r="F170" s="78" t="n"/>
      <c r="G170" s="79" t="n"/>
      <c r="H170" s="80" t="n"/>
      <c r="I170" s="78" t="n"/>
      <c r="J170" s="78" t="n"/>
      <c r="K170" s="78" t="n"/>
    </row>
    <row r="171" ht="15" customHeight="1" s="40">
      <c r="A171" s="65">
        <f>IF(B171="","","EMP-"&amp;TEXT(ROW()-4,"000"))</f>
        <v/>
      </c>
      <c r="B171" s="78" t="n"/>
      <c r="C171" s="78" t="n"/>
      <c r="D171" s="78" t="n"/>
      <c r="E171" s="78" t="n"/>
      <c r="F171" s="78" t="n"/>
      <c r="G171" s="79" t="n"/>
      <c r="H171" s="80" t="n"/>
      <c r="I171" s="78" t="n"/>
      <c r="J171" s="78" t="n"/>
      <c r="K171" s="78" t="n"/>
    </row>
    <row r="172" ht="15" customHeight="1" s="40">
      <c r="A172" s="65">
        <f>IF(B172="","","EMP-"&amp;TEXT(ROW()-4,"000"))</f>
        <v/>
      </c>
      <c r="B172" s="78" t="n"/>
      <c r="C172" s="78" t="n"/>
      <c r="D172" s="78" t="n"/>
      <c r="E172" s="78" t="n"/>
      <c r="F172" s="78" t="n"/>
      <c r="G172" s="79" t="n"/>
      <c r="H172" s="80" t="n"/>
      <c r="I172" s="78" t="n"/>
      <c r="J172" s="78" t="n"/>
      <c r="K172" s="78" t="n"/>
    </row>
    <row r="173" ht="15" customHeight="1" s="40">
      <c r="A173" s="65">
        <f>IF(B173="","","EMP-"&amp;TEXT(ROW()-4,"000"))</f>
        <v/>
      </c>
      <c r="B173" s="78" t="n"/>
      <c r="C173" s="78" t="n"/>
      <c r="D173" s="78" t="n"/>
      <c r="E173" s="78" t="n"/>
      <c r="F173" s="78" t="n"/>
      <c r="G173" s="79" t="n"/>
      <c r="H173" s="80" t="n"/>
      <c r="I173" s="78" t="n"/>
      <c r="J173" s="78" t="n"/>
      <c r="K173" s="78" t="n"/>
    </row>
    <row r="174" ht="15" customHeight="1" s="40">
      <c r="A174" s="65">
        <f>IF(B174="","","EMP-"&amp;TEXT(ROW()-4,"000"))</f>
        <v/>
      </c>
      <c r="B174" s="78" t="n"/>
      <c r="C174" s="78" t="n"/>
      <c r="D174" s="78" t="n"/>
      <c r="E174" s="78" t="n"/>
      <c r="F174" s="78" t="n"/>
      <c r="G174" s="79" t="n"/>
      <c r="H174" s="80" t="n"/>
      <c r="I174" s="78" t="n"/>
      <c r="J174" s="78" t="n"/>
      <c r="K174" s="78" t="n"/>
    </row>
    <row r="175" ht="15" customHeight="1" s="40">
      <c r="A175" s="65">
        <f>IF(B175="","","EMP-"&amp;TEXT(ROW()-4,"000"))</f>
        <v/>
      </c>
      <c r="B175" s="78" t="n"/>
      <c r="C175" s="78" t="n"/>
      <c r="D175" s="78" t="n"/>
      <c r="E175" s="78" t="n"/>
      <c r="F175" s="78" t="n"/>
      <c r="G175" s="79" t="n"/>
      <c r="H175" s="80" t="n"/>
      <c r="I175" s="78" t="n"/>
      <c r="J175" s="78" t="n"/>
      <c r="K175" s="78" t="n"/>
    </row>
    <row r="176" ht="15" customHeight="1" s="40">
      <c r="A176" s="65">
        <f>IF(B176="","","EMP-"&amp;TEXT(ROW()-4,"000"))</f>
        <v/>
      </c>
      <c r="B176" s="78" t="n"/>
      <c r="C176" s="78" t="n"/>
      <c r="D176" s="78" t="n"/>
      <c r="E176" s="78" t="n"/>
      <c r="F176" s="78" t="n"/>
      <c r="G176" s="79" t="n"/>
      <c r="H176" s="80" t="n"/>
      <c r="I176" s="78" t="n"/>
      <c r="J176" s="78" t="n"/>
      <c r="K176" s="78" t="n"/>
    </row>
    <row r="177" ht="15" customHeight="1" s="40">
      <c r="A177" s="65">
        <f>IF(B177="","","EMP-"&amp;TEXT(ROW()-4,"000"))</f>
        <v/>
      </c>
      <c r="B177" s="78" t="n"/>
      <c r="C177" s="78" t="n"/>
      <c r="D177" s="78" t="n"/>
      <c r="E177" s="78" t="n"/>
      <c r="F177" s="78" t="n"/>
      <c r="G177" s="79" t="n"/>
      <c r="H177" s="80" t="n"/>
      <c r="I177" s="78" t="n"/>
      <c r="J177" s="78" t="n"/>
      <c r="K177" s="78" t="n"/>
    </row>
    <row r="178" ht="15" customHeight="1" s="40">
      <c r="A178" s="65">
        <f>IF(B178="","","EMP-"&amp;TEXT(ROW()-4,"000"))</f>
        <v/>
      </c>
      <c r="B178" s="78" t="n"/>
      <c r="C178" s="78" t="n"/>
      <c r="D178" s="78" t="n"/>
      <c r="E178" s="78" t="n"/>
      <c r="F178" s="78" t="n"/>
      <c r="G178" s="79" t="n"/>
      <c r="H178" s="80" t="n"/>
      <c r="I178" s="78" t="n"/>
      <c r="J178" s="78" t="n"/>
      <c r="K178" s="78" t="n"/>
    </row>
    <row r="179" ht="15" customHeight="1" s="40">
      <c r="A179" s="65">
        <f>IF(B179="","","EMP-"&amp;TEXT(ROW()-4,"000"))</f>
        <v/>
      </c>
      <c r="B179" s="78" t="n"/>
      <c r="C179" s="78" t="n"/>
      <c r="D179" s="78" t="n"/>
      <c r="E179" s="78" t="n"/>
      <c r="F179" s="78" t="n"/>
      <c r="G179" s="79" t="n"/>
      <c r="H179" s="80" t="n"/>
      <c r="I179" s="78" t="n"/>
      <c r="J179" s="78" t="n"/>
      <c r="K179" s="78" t="n"/>
    </row>
    <row r="180" ht="15" customHeight="1" s="40">
      <c r="A180" s="65">
        <f>IF(B180="","","EMP-"&amp;TEXT(ROW()-4,"000"))</f>
        <v/>
      </c>
      <c r="B180" s="78" t="n"/>
      <c r="C180" s="78" t="n"/>
      <c r="D180" s="78" t="n"/>
      <c r="E180" s="78" t="n"/>
      <c r="F180" s="78" t="n"/>
      <c r="G180" s="79" t="n"/>
      <c r="H180" s="80" t="n"/>
      <c r="I180" s="78" t="n"/>
      <c r="J180" s="78" t="n"/>
      <c r="K180" s="78" t="n"/>
    </row>
    <row r="181" ht="15" customHeight="1" s="40">
      <c r="A181" s="65">
        <f>IF(B181="","","EMP-"&amp;TEXT(ROW()-4,"000"))</f>
        <v/>
      </c>
      <c r="B181" s="78" t="n"/>
      <c r="C181" s="78" t="n"/>
      <c r="D181" s="78" t="n"/>
      <c r="E181" s="78" t="n"/>
      <c r="F181" s="78" t="n"/>
      <c r="G181" s="79" t="n"/>
      <c r="H181" s="80" t="n"/>
      <c r="I181" s="78" t="n"/>
      <c r="J181" s="78" t="n"/>
      <c r="K181" s="78" t="n"/>
    </row>
    <row r="182" ht="15" customHeight="1" s="40">
      <c r="A182" s="65">
        <f>IF(B182="","","EMP-"&amp;TEXT(ROW()-4,"000"))</f>
        <v/>
      </c>
      <c r="B182" s="78" t="n"/>
      <c r="C182" s="78" t="n"/>
      <c r="D182" s="78" t="n"/>
      <c r="E182" s="78" t="n"/>
      <c r="F182" s="78" t="n"/>
      <c r="G182" s="79" t="n"/>
      <c r="H182" s="80" t="n"/>
      <c r="I182" s="78" t="n"/>
      <c r="J182" s="78" t="n"/>
      <c r="K182" s="78" t="n"/>
    </row>
    <row r="183" ht="15" customHeight="1" s="40">
      <c r="A183" s="65">
        <f>IF(B183="","","EMP-"&amp;TEXT(ROW()-4,"000"))</f>
        <v/>
      </c>
      <c r="B183" s="78" t="n"/>
      <c r="C183" s="78" t="n"/>
      <c r="D183" s="78" t="n"/>
      <c r="E183" s="78" t="n"/>
      <c r="F183" s="78" t="n"/>
      <c r="G183" s="79" t="n"/>
      <c r="H183" s="80" t="n"/>
      <c r="I183" s="78" t="n"/>
      <c r="J183" s="78" t="n"/>
      <c r="K183" s="78" t="n"/>
    </row>
    <row r="184" ht="15" customHeight="1" s="40">
      <c r="A184" s="65">
        <f>IF(B184="","","EMP-"&amp;TEXT(ROW()-4,"000"))</f>
        <v/>
      </c>
      <c r="B184" s="78" t="n"/>
      <c r="C184" s="78" t="n"/>
      <c r="D184" s="78" t="n"/>
      <c r="E184" s="78" t="n"/>
      <c r="F184" s="78" t="n"/>
      <c r="G184" s="79" t="n"/>
      <c r="H184" s="80" t="n"/>
      <c r="I184" s="78" t="n"/>
      <c r="J184" s="78" t="n"/>
      <c r="K184" s="78" t="n"/>
    </row>
    <row r="185" ht="15" customHeight="1" s="40">
      <c r="A185" s="65">
        <f>IF(B185="","","EMP-"&amp;TEXT(ROW()-4,"000"))</f>
        <v/>
      </c>
      <c r="B185" s="78" t="n"/>
      <c r="C185" s="78" t="n"/>
      <c r="D185" s="78" t="n"/>
      <c r="E185" s="78" t="n"/>
      <c r="F185" s="78" t="n"/>
      <c r="G185" s="79" t="n"/>
      <c r="H185" s="80" t="n"/>
      <c r="I185" s="78" t="n"/>
      <c r="J185" s="78" t="n"/>
      <c r="K185" s="78" t="n"/>
    </row>
    <row r="186" ht="15" customHeight="1" s="40">
      <c r="A186" s="65">
        <f>IF(B186="","","EMP-"&amp;TEXT(ROW()-4,"000"))</f>
        <v/>
      </c>
      <c r="B186" s="78" t="n"/>
      <c r="C186" s="78" t="n"/>
      <c r="D186" s="78" t="n"/>
      <c r="E186" s="78" t="n"/>
      <c r="F186" s="78" t="n"/>
      <c r="G186" s="79" t="n"/>
      <c r="H186" s="80" t="n"/>
      <c r="I186" s="78" t="n"/>
      <c r="J186" s="78" t="n"/>
      <c r="K186" s="78" t="n"/>
    </row>
    <row r="187" ht="15" customHeight="1" s="40">
      <c r="A187" s="65">
        <f>IF(B187="","","EMP-"&amp;TEXT(ROW()-4,"000"))</f>
        <v/>
      </c>
      <c r="B187" s="78" t="n"/>
      <c r="C187" s="78" t="n"/>
      <c r="D187" s="78" t="n"/>
      <c r="E187" s="78" t="n"/>
      <c r="F187" s="78" t="n"/>
      <c r="G187" s="79" t="n"/>
      <c r="H187" s="80" t="n"/>
      <c r="I187" s="78" t="n"/>
      <c r="J187" s="78" t="n"/>
      <c r="K187" s="78" t="n"/>
    </row>
    <row r="188" ht="15" customHeight="1" s="40">
      <c r="A188" s="65">
        <f>IF(B188="","","EMP-"&amp;TEXT(ROW()-4,"000"))</f>
        <v/>
      </c>
      <c r="B188" s="78" t="n"/>
      <c r="C188" s="78" t="n"/>
      <c r="D188" s="78" t="n"/>
      <c r="E188" s="78" t="n"/>
      <c r="F188" s="78" t="n"/>
      <c r="G188" s="79" t="n"/>
      <c r="H188" s="80" t="n"/>
      <c r="I188" s="78" t="n"/>
      <c r="J188" s="78" t="n"/>
      <c r="K188" s="78" t="n"/>
    </row>
    <row r="189" ht="15" customHeight="1" s="40">
      <c r="A189" s="65">
        <f>IF(B189="","","EMP-"&amp;TEXT(ROW()-4,"000"))</f>
        <v/>
      </c>
      <c r="B189" s="78" t="n"/>
      <c r="C189" s="78" t="n"/>
      <c r="D189" s="78" t="n"/>
      <c r="E189" s="78" t="n"/>
      <c r="F189" s="78" t="n"/>
      <c r="G189" s="79" t="n"/>
      <c r="H189" s="80" t="n"/>
      <c r="I189" s="78" t="n"/>
      <c r="J189" s="78" t="n"/>
      <c r="K189" s="78" t="n"/>
    </row>
    <row r="190" ht="15" customHeight="1" s="40">
      <c r="A190" s="65">
        <f>IF(B190="","","EMP-"&amp;TEXT(ROW()-4,"000"))</f>
        <v/>
      </c>
      <c r="B190" s="78" t="n"/>
      <c r="C190" s="78" t="n"/>
      <c r="D190" s="78" t="n"/>
      <c r="E190" s="78" t="n"/>
      <c r="F190" s="78" t="n"/>
      <c r="G190" s="79" t="n"/>
      <c r="H190" s="80" t="n"/>
      <c r="I190" s="78" t="n"/>
      <c r="J190" s="78" t="n"/>
      <c r="K190" s="78" t="n"/>
    </row>
    <row r="191" ht="15" customHeight="1" s="40">
      <c r="A191" s="65">
        <f>IF(B191="","","EMP-"&amp;TEXT(ROW()-4,"000"))</f>
        <v/>
      </c>
      <c r="B191" s="78" t="n"/>
      <c r="C191" s="78" t="n"/>
      <c r="D191" s="78" t="n"/>
      <c r="E191" s="78" t="n"/>
      <c r="F191" s="78" t="n"/>
      <c r="G191" s="79" t="n"/>
      <c r="H191" s="80" t="n"/>
      <c r="I191" s="78" t="n"/>
      <c r="J191" s="78" t="n"/>
      <c r="K191" s="78" t="n"/>
    </row>
    <row r="192" ht="15" customHeight="1" s="40">
      <c r="A192" s="65">
        <f>IF(B192="","","EMP-"&amp;TEXT(ROW()-4,"000"))</f>
        <v/>
      </c>
      <c r="B192" s="78" t="n"/>
      <c r="C192" s="78" t="n"/>
      <c r="D192" s="78" t="n"/>
      <c r="E192" s="78" t="n"/>
      <c r="F192" s="78" t="n"/>
      <c r="G192" s="79" t="n"/>
      <c r="H192" s="80" t="n"/>
      <c r="I192" s="78" t="n"/>
      <c r="J192" s="78" t="n"/>
      <c r="K192" s="78" t="n"/>
    </row>
    <row r="193" ht="15" customHeight="1" s="40">
      <c r="A193" s="65">
        <f>IF(B193="","","EMP-"&amp;TEXT(ROW()-4,"000"))</f>
        <v/>
      </c>
      <c r="B193" s="78" t="n"/>
      <c r="C193" s="78" t="n"/>
      <c r="D193" s="78" t="n"/>
      <c r="E193" s="78" t="n"/>
      <c r="F193" s="78" t="n"/>
      <c r="G193" s="79" t="n"/>
      <c r="H193" s="80" t="n"/>
      <c r="I193" s="78" t="n"/>
      <c r="J193" s="78" t="n"/>
      <c r="K193" s="78" t="n"/>
    </row>
    <row r="194" ht="15" customHeight="1" s="40">
      <c r="A194" s="65">
        <f>IF(B194="","","EMP-"&amp;TEXT(ROW()-4,"000"))</f>
        <v/>
      </c>
      <c r="B194" s="78" t="n"/>
      <c r="C194" s="78" t="n"/>
      <c r="D194" s="78" t="n"/>
      <c r="E194" s="78" t="n"/>
      <c r="F194" s="78" t="n"/>
      <c r="G194" s="79" t="n"/>
      <c r="H194" s="80" t="n"/>
      <c r="I194" s="78" t="n"/>
      <c r="J194" s="78" t="n"/>
      <c r="K194" s="78" t="n"/>
    </row>
    <row r="195" ht="15" customHeight="1" s="40">
      <c r="A195" s="65">
        <f>IF(B195="","","EMP-"&amp;TEXT(ROW()-4,"000"))</f>
        <v/>
      </c>
      <c r="B195" s="78" t="n"/>
      <c r="C195" s="78" t="n"/>
      <c r="D195" s="78" t="n"/>
      <c r="E195" s="78" t="n"/>
      <c r="F195" s="78" t="n"/>
      <c r="G195" s="79" t="n"/>
      <c r="H195" s="80" t="n"/>
      <c r="I195" s="78" t="n"/>
      <c r="J195" s="78" t="n"/>
      <c r="K195" s="78" t="n"/>
    </row>
    <row r="196" ht="15" customHeight="1" s="40">
      <c r="A196" s="65">
        <f>IF(B196="","","EMP-"&amp;TEXT(ROW()-4,"000"))</f>
        <v/>
      </c>
      <c r="B196" s="78" t="n"/>
      <c r="C196" s="78" t="n"/>
      <c r="D196" s="78" t="n"/>
      <c r="E196" s="78" t="n"/>
      <c r="F196" s="78" t="n"/>
      <c r="G196" s="79" t="n"/>
      <c r="H196" s="80" t="n"/>
      <c r="I196" s="78" t="n"/>
      <c r="J196" s="78" t="n"/>
      <c r="K196" s="78" t="n"/>
    </row>
    <row r="197" ht="15" customHeight="1" s="40">
      <c r="A197" s="65">
        <f>IF(B197="","","EMP-"&amp;TEXT(ROW()-4,"000"))</f>
        <v/>
      </c>
      <c r="B197" s="78" t="n"/>
      <c r="C197" s="78" t="n"/>
      <c r="D197" s="78" t="n"/>
      <c r="E197" s="78" t="n"/>
      <c r="F197" s="78" t="n"/>
      <c r="G197" s="79" t="n"/>
      <c r="H197" s="80" t="n"/>
      <c r="I197" s="78" t="n"/>
      <c r="J197" s="78" t="n"/>
      <c r="K197" s="78" t="n"/>
    </row>
    <row r="198" ht="15" customHeight="1" s="40">
      <c r="A198" s="65">
        <f>IF(B198="","","EMP-"&amp;TEXT(ROW()-4,"000"))</f>
        <v/>
      </c>
      <c r="B198" s="78" t="n"/>
      <c r="C198" s="78" t="n"/>
      <c r="D198" s="78" t="n"/>
      <c r="E198" s="78" t="n"/>
      <c r="F198" s="78" t="n"/>
      <c r="G198" s="79" t="n"/>
      <c r="H198" s="80" t="n"/>
      <c r="I198" s="78" t="n"/>
      <c r="J198" s="78" t="n"/>
      <c r="K198" s="78" t="n"/>
    </row>
    <row r="199" ht="15" customHeight="1" s="40">
      <c r="A199" s="65">
        <f>IF(B199="","","EMP-"&amp;TEXT(ROW()-4,"000"))</f>
        <v/>
      </c>
      <c r="B199" s="78" t="n"/>
      <c r="C199" s="78" t="n"/>
      <c r="D199" s="78" t="n"/>
      <c r="E199" s="78" t="n"/>
      <c r="F199" s="78" t="n"/>
      <c r="G199" s="79" t="n"/>
      <c r="H199" s="80" t="n"/>
      <c r="I199" s="78" t="n"/>
      <c r="J199" s="78" t="n"/>
      <c r="K199" s="78" t="n"/>
    </row>
    <row r="200" ht="15" customHeight="1" s="40">
      <c r="A200" s="65">
        <f>IF(B200="","","EMP-"&amp;TEXT(ROW()-4,"000"))</f>
        <v/>
      </c>
      <c r="B200" s="78" t="n"/>
      <c r="C200" s="78" t="n"/>
      <c r="D200" s="78" t="n"/>
      <c r="E200" s="78" t="n"/>
      <c r="F200" s="78" t="n"/>
      <c r="G200" s="79" t="n"/>
      <c r="H200" s="80" t="n"/>
      <c r="I200" s="78" t="n"/>
      <c r="J200" s="78" t="n"/>
      <c r="K200" s="78" t="n"/>
    </row>
    <row r="201" ht="15" customHeight="1" s="40">
      <c r="A201" s="65">
        <f>IF(B201="","","EMP-"&amp;TEXT(ROW()-4,"000"))</f>
        <v/>
      </c>
      <c r="B201" s="78" t="n"/>
      <c r="C201" s="78" t="n"/>
      <c r="D201" s="78" t="n"/>
      <c r="E201" s="78" t="n"/>
      <c r="F201" s="78" t="n"/>
      <c r="G201" s="79" t="n"/>
      <c r="H201" s="80" t="n"/>
      <c r="I201" s="78" t="n"/>
      <c r="J201" s="78" t="n"/>
      <c r="K201" s="78" t="n"/>
    </row>
    <row r="202" ht="15" customHeight="1" s="40">
      <c r="A202" s="65">
        <f>IF(B202="","","EMP-"&amp;TEXT(ROW()-4,"000"))</f>
        <v/>
      </c>
      <c r="B202" s="78" t="n"/>
      <c r="C202" s="78" t="n"/>
      <c r="D202" s="78" t="n"/>
      <c r="E202" s="78" t="n"/>
      <c r="F202" s="78" t="n"/>
      <c r="G202" s="79" t="n"/>
      <c r="H202" s="80" t="n"/>
      <c r="I202" s="78" t="n"/>
      <c r="J202" s="78" t="n"/>
      <c r="K202" s="78" t="n"/>
    </row>
    <row r="203" ht="15" customHeight="1" s="40">
      <c r="A203" s="65">
        <f>IF(B203="","","EMP-"&amp;TEXT(ROW()-4,"000"))</f>
        <v/>
      </c>
      <c r="B203" s="78" t="n"/>
      <c r="C203" s="78" t="n"/>
      <c r="D203" s="78" t="n"/>
      <c r="E203" s="78" t="n"/>
      <c r="F203" s="78" t="n"/>
      <c r="G203" s="79" t="n"/>
      <c r="H203" s="80" t="n"/>
      <c r="I203" s="78" t="n"/>
      <c r="J203" s="78" t="n"/>
      <c r="K203" s="78" t="n"/>
    </row>
    <row r="204" ht="15" customHeight="1" s="40">
      <c r="A204" s="65">
        <f>IF(B204="","","EMP-"&amp;TEXT(ROW()-4,"000"))</f>
        <v/>
      </c>
      <c r="B204" s="78" t="n"/>
      <c r="C204" s="78" t="n"/>
      <c r="D204" s="78" t="n"/>
      <c r="E204" s="78" t="n"/>
      <c r="F204" s="78" t="n"/>
      <c r="G204" s="79" t="n"/>
      <c r="H204" s="80" t="n"/>
      <c r="I204" s="78" t="n"/>
      <c r="J204" s="78" t="n"/>
      <c r="K204" s="78" t="n"/>
    </row>
  </sheetData>
  <autoFilter ref="A4:K204"/>
  <mergeCells count="2">
    <mergeCell ref="A2:K2"/>
    <mergeCell ref="A1:K1"/>
  </mergeCells>
  <dataValidations count="1">
    <dataValidation sqref="I5:I204" showDropDown="0" showInputMessage="0" showErrorMessage="0" allowBlank="1" type="list" errorStyle="stop" operator="between">
      <formula1>EmployeeStatusList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39" min="1" max="1"/>
    <col width="18" customWidth="1" style="39" min="2" max="3"/>
    <col width="24" customWidth="1" style="39" min="4" max="4"/>
    <col width="28" customWidth="1" style="39" min="5" max="5"/>
    <col width="20" customWidth="1" style="39" min="6" max="6"/>
    <col width="16" customWidth="1" style="39" min="7" max="7"/>
    <col width="12" customWidth="1" style="39" min="8" max="8"/>
    <col width="14" customWidth="1" style="39" min="9" max="9"/>
    <col width="15" customWidth="1" style="39" min="10" max="10"/>
    <col width="13" customWidth="1" style="39" min="11" max="12"/>
    <col width="15" customWidth="1" style="39" min="13" max="13"/>
    <col width="11" customWidth="1" style="39" min="14" max="15"/>
    <col width="13" customWidth="1" style="39" min="16" max="16"/>
    <col width="11" customWidth="1" style="39" min="17" max="17"/>
    <col width="14" customWidth="1" style="39" min="18" max="18"/>
    <col width="12" customWidth="1" style="39" min="19" max="20"/>
    <col width="22" customWidth="1" style="39" min="21" max="21"/>
    <col width="13" customWidth="1" style="39" min="22" max="22"/>
    <col width="12" customWidth="1" style="39" min="23" max="23"/>
    <col width="10" customWidth="1" style="39" min="24" max="24"/>
    <col width="16" customWidth="1" style="39" min="25" max="25"/>
    <col width="28" customWidth="1" style="39" min="26" max="26"/>
    <col width="18" customWidth="1" style="40" min="27" max="27"/>
    <col width="18" customWidth="1" style="40" min="28" max="28"/>
    <col width="22" customWidth="1" style="40" min="29" max="29"/>
    <col width="28" customWidth="1" style="40" min="30" max="30"/>
    <col width="16" customWidth="1" style="40" min="31" max="31"/>
    <col width="22" customWidth="1" style="40" min="32" max="32"/>
  </cols>
  <sheetData>
    <row r="1" ht="19.5" customHeight="1" s="40">
      <c r="A1" s="53" t="inlineStr">
        <is>
          <t>Monthly Task Upload &amp; Master Tracker</t>
        </is>
      </c>
    </row>
    <row r="2" ht="15" customHeight="1" s="40">
      <c r="A2" s="42" t="inlineStr">
        <is>
          <t>Enter or edit all tasks here. Due Date drives the month-wise reporting tabs. Source, manager report status, and linked step IDs update automatically.</t>
        </is>
      </c>
    </row>
    <row r="4" ht="21.75" customHeight="1" s="40">
      <c r="A4" s="63" t="inlineStr">
        <is>
          <t>Task ID</t>
        </is>
      </c>
      <c r="B4" s="63" t="inlineStr">
        <is>
          <t>Project</t>
        </is>
      </c>
      <c r="C4" s="63" t="inlineStr">
        <is>
          <t>Program</t>
        </is>
      </c>
      <c r="D4" s="63" t="inlineStr">
        <is>
          <t>Task Title</t>
        </is>
      </c>
      <c r="E4" s="63" t="inlineStr">
        <is>
          <t>Task Description</t>
        </is>
      </c>
      <c r="F4" s="63" t="inlineStr">
        <is>
          <t>Assigned To</t>
        </is>
      </c>
      <c r="G4" s="63" t="inlineStr">
        <is>
          <t>Department</t>
        </is>
      </c>
      <c r="H4" s="63" t="inlineStr">
        <is>
          <t>Priority</t>
        </is>
      </c>
      <c r="I4" s="63" t="inlineStr">
        <is>
          <t>Status</t>
        </is>
      </c>
      <c r="J4" s="63" t="inlineStr">
        <is>
          <t>Action Type</t>
        </is>
      </c>
      <c r="K4" s="63" t="inlineStr">
        <is>
          <t>Planned Start</t>
        </is>
      </c>
      <c r="L4" s="63" t="inlineStr">
        <is>
          <t>Due Date</t>
        </is>
      </c>
      <c r="M4" s="63" t="inlineStr">
        <is>
          <t>Completed Date</t>
        </is>
      </c>
      <c r="N4" s="63" t="inlineStr">
        <is>
          <t>Est. Hours</t>
        </is>
      </c>
      <c r="O4" s="63" t="inlineStr">
        <is>
          <t>Actual Hours</t>
        </is>
      </c>
      <c r="P4" s="63" t="inlineStr">
        <is>
          <t>Hours Variance</t>
        </is>
      </c>
      <c r="Q4" s="63" t="inlineStr">
        <is>
          <t>Days Open</t>
        </is>
      </c>
      <c r="R4" s="63" t="inlineStr">
        <is>
          <t>Overdue Flag</t>
        </is>
      </c>
      <c r="S4" s="63" t="inlineStr">
        <is>
          <t>Month Bucket</t>
        </is>
      </c>
      <c r="T4" s="63" t="inlineStr">
        <is>
          <t>Progress %</t>
        </is>
      </c>
      <c r="U4" s="63" t="inlineStr">
        <is>
          <t>Next Step</t>
        </is>
      </c>
      <c r="V4" s="63" t="inlineStr">
        <is>
          <t>Created Date</t>
        </is>
      </c>
      <c r="W4" s="63" t="inlineStr">
        <is>
          <t>On-Time Close</t>
        </is>
      </c>
      <c r="X4" s="63" t="inlineStr">
        <is>
          <t>Step Count</t>
        </is>
      </c>
      <c r="Y4" s="63" t="inlineStr">
        <is>
          <t>Step Completion %</t>
        </is>
      </c>
      <c r="Z4" s="63" t="inlineStr">
        <is>
          <t>Task Notes</t>
        </is>
      </c>
      <c r="AA4" s="63" t="inlineStr">
        <is>
          <t>Source</t>
        </is>
      </c>
      <c r="AB4" s="63" t="inlineStr">
        <is>
          <t>Manager</t>
        </is>
      </c>
      <c r="AC4" s="63" t="inlineStr">
        <is>
          <t>Manager Report</t>
        </is>
      </c>
      <c r="AD4" s="63" t="inlineStr">
        <is>
          <t>Linked Step IDs</t>
        </is>
      </c>
      <c r="AE4" s="63" t="inlineStr">
        <is>
          <t>Open Step Count</t>
        </is>
      </c>
      <c r="AF4" s="63" t="inlineStr">
        <is>
          <t>Project Key</t>
        </is>
      </c>
    </row>
    <row r="5" ht="15" customHeight="1" s="40">
      <c r="A5" s="65">
        <f>IF(COUNTA(B5:F5)=0,"","TSK-"&amp;TEXT(ROW()-4,"0000"))</f>
        <v/>
      </c>
      <c r="B5" s="78" t="inlineStr">
        <is>
          <t>Customer Onboarding Revamp</t>
        </is>
      </c>
      <c r="C5" s="78" t="inlineStr">
        <is>
          <t>Implementation</t>
        </is>
      </c>
      <c r="D5" s="81" t="inlineStr">
        <is>
          <t>Collect client requirements</t>
        </is>
      </c>
      <c r="E5" s="81" t="inlineStr">
        <is>
          <t>Gather and confirm onboarding requirements with the client and internal operations team.</t>
        </is>
      </c>
      <c r="F5" s="78" t="inlineStr">
        <is>
          <t>Pammi Gaur</t>
        </is>
      </c>
      <c r="G5" s="67">
        <f>IF($F5="","",IFERROR(INDEX(Employee_Master!$C$5:$C$204,MATCH($F5,Employee_Master!$B$5:$B$204,0)),""))</f>
        <v/>
      </c>
      <c r="H5" s="78" t="inlineStr">
        <is>
          <t>High</t>
        </is>
      </c>
      <c r="I5" s="78" t="inlineStr">
        <is>
          <t>Completed</t>
        </is>
      </c>
      <c r="J5" s="67">
        <f>IF($I5="","",IFERROR(INDEX(Action_Status_Map!$B$5:$B$11,MATCH($I5,Action_Status_Map!$A$5:$A$11,0)),""))</f>
        <v/>
      </c>
      <c r="K5" s="82" t="n">
        <v>46113</v>
      </c>
      <c r="L5" s="82" t="n">
        <v>46117</v>
      </c>
      <c r="M5" s="82" t="n">
        <v>46116</v>
      </c>
      <c r="N5" s="83" t="n">
        <v>12</v>
      </c>
      <c r="O5" s="83" t="n">
        <v>11</v>
      </c>
      <c r="P5" s="66">
        <f>IF(OR($N5="",$O5=""),"",$O5-$N5)</f>
        <v/>
      </c>
      <c r="Q5" s="84">
        <f>IF($K5="","",IF($M5&lt;&gt;"",$M5-$K5,TODAY()-$K5))</f>
        <v/>
      </c>
      <c r="R5" s="85">
        <f>IF(OR($L5="",$I5="Completed",$I5="Cancelled"),"",IF(AND($L5&lt;TODAY(),$I5&lt;&gt;"Completed",$I5&lt;&gt;"Cancelled"),"Overdue","On Track"))</f>
        <v/>
      </c>
      <c r="S5" s="65">
        <f>IF($L5="","",TEXT($L5,"yyyy-mm"))</f>
        <v/>
      </c>
      <c r="T5" s="86">
        <f>IF($I5="","",IFERROR(INDEX(Action_Status_Map!$C$5:$C$11,MATCH($I5,Action_Status_Map!$A$5:$A$11,0)),""))</f>
        <v/>
      </c>
      <c r="U5" s="81" t="inlineStr">
        <is>
          <t>Archive signed scope and handoff to execution.</t>
        </is>
      </c>
      <c r="V5" s="82" t="n">
        <v>46112</v>
      </c>
      <c r="W5" s="65">
        <f>IF(OR($I5&lt;&gt;"Completed",$M5="",$L5=""),"",IF($M5&lt;=$L5,"Yes","No"))</f>
        <v/>
      </c>
      <c r="X5" s="84">
        <f>IF($A5="","",COUNTIF(Task_Steps!$B$5:$B$2004,$A5))</f>
        <v/>
      </c>
      <c r="Y5" s="86">
        <f>IF($X5=0,"",COUNTIFS(Task_Steps!$B$5:$B$2004,$A5,Task_Steps!$H$5:$H$2004,"Completed")/$X5)</f>
        <v/>
      </c>
      <c r="Z5" s="81" t="inlineStr">
        <is>
          <t>Closed one day before deadline.</t>
        </is>
      </c>
      <c r="AA5" s="81" t="inlineStr">
        <is>
          <t>Client Request</t>
        </is>
      </c>
      <c r="AB5" s="67">
        <f>IF($F5="","",IFERROR(INDEX(Employee_Master!$E$5:$E$204,MATCH($F5,Employee_Master!$B$5:$B$204,0)),""))</f>
        <v/>
      </c>
      <c r="AC5" s="65">
        <f>IF(OR($A5="",$AB5=""),"",IF(OR($I5="Completed",$I5="Cancelled"),"Closed - in Manager Report","Active - in Manager Report"))</f>
        <v/>
      </c>
      <c r="AD5" s="81">
        <f>IF($A5="","",IFERROR(TEXTJOIN(", ",TRUE,FILTER(Task_Steps!$A$5:$A$2004,Task_Steps!$B$5:$B$2004=$A5)),""))</f>
        <v/>
      </c>
      <c r="AE5" s="84">
        <f>IF($A5="","",COUNTIFS(Task_Steps!$B$5:$B$2004,$A5,Task_Steps!$H$5:$H$2004,"&lt;&gt;Completed",Task_Steps!$H$5:$H$2004,"&lt;&gt;Cancelled"))</f>
        <v/>
      </c>
      <c r="AF5" s="81">
        <f>IF(OR($B5="",$A5=""),"",$B5&amp;" | "&amp;$A5)</f>
        <v/>
      </c>
    </row>
    <row r="6" ht="15" customHeight="1" s="40">
      <c r="A6" s="65">
        <f>IF(COUNTA(B6:F6)=0,"","TSK-"&amp;TEXT(ROW()-4,"0000"))</f>
        <v/>
      </c>
      <c r="B6" s="78" t="inlineStr">
        <is>
          <t>Customer Onboarding Revamp</t>
        </is>
      </c>
      <c r="C6" s="78" t="inlineStr">
        <is>
          <t>Implementation</t>
        </is>
      </c>
      <c r="D6" s="81" t="inlineStr">
        <is>
          <t>Build onboarding checklist</t>
        </is>
      </c>
      <c r="E6" s="81" t="inlineStr">
        <is>
          <t>Create the master checklist used for onboarding execution and internal QA.</t>
        </is>
      </c>
      <c r="F6" s="78" t="inlineStr">
        <is>
          <t>Pammi Gaur</t>
        </is>
      </c>
      <c r="G6" s="67">
        <f>IF($F6="","",IFERROR(INDEX(Employee_Master!$C$5:$C$204,MATCH($F6,Employee_Master!$B$5:$B$204,0)),""))</f>
        <v/>
      </c>
      <c r="H6" s="78" t="inlineStr">
        <is>
          <t>High</t>
        </is>
      </c>
      <c r="I6" s="78" t="inlineStr">
        <is>
          <t>In Progress</t>
        </is>
      </c>
      <c r="J6" s="67">
        <f>IF($I6="","",IFERROR(INDEX(Action_Status_Map!$B$5:$B$11,MATCH($I6,Action_Status_Map!$A$5:$A$11,0)),""))</f>
        <v/>
      </c>
      <c r="K6" s="82" t="n">
        <v>46118</v>
      </c>
      <c r="L6" s="82" t="n">
        <v>46124</v>
      </c>
      <c r="M6" s="82" t="n"/>
      <c r="N6" s="83" t="n">
        <v>10</v>
      </c>
      <c r="O6" s="83" t="n">
        <v>6</v>
      </c>
      <c r="P6" s="66">
        <f>IF(OR($N6="",$O6=""),"",$O6-$N6)</f>
        <v/>
      </c>
      <c r="Q6" s="84">
        <f>IF($K6="","",IF($M6&lt;&gt;"",$M6-$K6,TODAY()-$K6))</f>
        <v/>
      </c>
      <c r="R6" s="85">
        <f>IF(OR($L6="",$I6="Completed",$I6="Cancelled"),"",IF(AND($L6&lt;TODAY(),$I6&lt;&gt;"Completed",$I6&lt;&gt;"Cancelled"),"Overdue","On Track"))</f>
        <v/>
      </c>
      <c r="S6" s="65">
        <f>IF($L6="","",TEXT($L6,"yyyy-mm"))</f>
        <v/>
      </c>
      <c r="T6" s="86">
        <f>IF($I6="","",IFERROR(INDEX(Action_Status_Map!$C$5:$C$11,MATCH($I6,Action_Status_Map!$A$5:$A$11,0)),""))</f>
        <v/>
      </c>
      <c r="U6" s="81" t="inlineStr">
        <is>
          <t>Finalize version 2 after operations review.</t>
        </is>
      </c>
      <c r="V6" s="82" t="n">
        <v>46117</v>
      </c>
      <c r="W6" s="65">
        <f>IF(OR($I6&lt;&gt;"Completed",$M6="",$L6=""),"",IF($M6&lt;=$L6,"Yes","No"))</f>
        <v/>
      </c>
      <c r="X6" s="84">
        <f>IF($A6="","",COUNTIF(Task_Steps!$B$5:$B$2004,$A6))</f>
        <v/>
      </c>
      <c r="Y6" s="86">
        <f>IF($X6=0,"",COUNTIFS(Task_Steps!$B$5:$B$2004,$A6,Task_Steps!$H$5:$H$2004,"Completed")/$X6)</f>
        <v/>
      </c>
      <c r="Z6" s="81" t="inlineStr">
        <is>
          <t>Core delivery task for current week.</t>
        </is>
      </c>
      <c r="AA6" s="81" t="inlineStr">
        <is>
          <t>Operations Review</t>
        </is>
      </c>
      <c r="AB6" s="67">
        <f>IF($F6="","",IFERROR(INDEX(Employee_Master!$E$5:$E$204,MATCH($F6,Employee_Master!$B$5:$B$204,0)),""))</f>
        <v/>
      </c>
      <c r="AC6" s="65">
        <f>IF(OR($A6="",$AB6=""),"",IF(OR($I6="Completed",$I6="Cancelled"),"Closed - in Manager Report","Active - in Manager Report"))</f>
        <v/>
      </c>
      <c r="AD6" s="81">
        <f>IF($A6="","",IFERROR(TEXTJOIN(", ",TRUE,FILTER(Task_Steps!$A$5:$A$2004,Task_Steps!$B$5:$B$2004=$A6)),""))</f>
        <v/>
      </c>
      <c r="AE6" s="84">
        <f>IF($A6="","",COUNTIFS(Task_Steps!$B$5:$B$2004,$A6,Task_Steps!$H$5:$H$2004,"&lt;&gt;Completed",Task_Steps!$H$5:$H$2004,"&lt;&gt;Cancelled"))</f>
        <v/>
      </c>
      <c r="AF6" s="81">
        <f>IF(OR($B6="",$A6=""),"",$B6&amp;" | "&amp;$A6)</f>
        <v/>
      </c>
    </row>
    <row r="7" ht="15" customHeight="1" s="40">
      <c r="A7" s="65">
        <f>IF(COUNTA(B7:F7)=0,"","TSK-"&amp;TEXT(ROW()-4,"0000"))</f>
        <v/>
      </c>
      <c r="B7" s="78" t="inlineStr">
        <is>
          <t>Customer Onboarding Revamp</t>
        </is>
      </c>
      <c r="C7" s="78" t="inlineStr">
        <is>
          <t>Training</t>
        </is>
      </c>
      <c r="D7" s="81" t="inlineStr">
        <is>
          <t>Schedule client training sessions</t>
        </is>
      </c>
      <c r="E7" s="81" t="inlineStr">
        <is>
          <t>Coordinate training slots, attendees, and agenda for rollout.</t>
        </is>
      </c>
      <c r="F7" s="78" t="inlineStr">
        <is>
          <t>Pammi Gaur</t>
        </is>
      </c>
      <c r="G7" s="67">
        <f>IF($F7="","",IFERROR(INDEX(Employee_Master!$C$5:$C$204,MATCH($F7,Employee_Master!$B$5:$B$204,0)),""))</f>
        <v/>
      </c>
      <c r="H7" s="78" t="inlineStr">
        <is>
          <t>Medium</t>
        </is>
      </c>
      <c r="I7" s="78" t="inlineStr">
        <is>
          <t>Review</t>
        </is>
      </c>
      <c r="J7" s="67">
        <f>IF($I7="","",IFERROR(INDEX(Action_Status_Map!$B$5:$B$11,MATCH($I7,Action_Status_Map!$A$5:$A$11,0)),""))</f>
        <v/>
      </c>
      <c r="K7" s="82" t="n">
        <v>46120</v>
      </c>
      <c r="L7" s="82" t="n">
        <v>46126</v>
      </c>
      <c r="M7" s="82" t="n"/>
      <c r="N7" s="83" t="n">
        <v>8</v>
      </c>
      <c r="O7" s="83" t="n">
        <v>7</v>
      </c>
      <c r="P7" s="66">
        <f>IF(OR($N7="",$O7=""),"",$O7-$N7)</f>
        <v/>
      </c>
      <c r="Q7" s="84">
        <f>IF($K7="","",IF($M7&lt;&gt;"",$M7-$K7,TODAY()-$K7))</f>
        <v/>
      </c>
      <c r="R7" s="85">
        <f>IF(OR($L7="",$I7="Completed",$I7="Cancelled"),"",IF(AND($L7&lt;TODAY(),$I7&lt;&gt;"Completed",$I7&lt;&gt;"Cancelled"),"Overdue","On Track"))</f>
        <v/>
      </c>
      <c r="S7" s="65">
        <f>IF($L7="","",TEXT($L7,"yyyy-mm"))</f>
        <v/>
      </c>
      <c r="T7" s="86">
        <f>IF($I7="","",IFERROR(INDEX(Action_Status_Map!$C$5:$C$11,MATCH($I7,Action_Status_Map!$A$5:$A$11,0)),""))</f>
        <v/>
      </c>
      <c r="U7" s="81" t="inlineStr">
        <is>
          <t>Await leadership approval for final schedule.</t>
        </is>
      </c>
      <c r="V7" s="82" t="n">
        <v>46119</v>
      </c>
      <c r="W7" s="65">
        <f>IF(OR($I7&lt;&gt;"Completed",$M7="",$L7=""),"",IF($M7&lt;=$L7,"Yes","No"))</f>
        <v/>
      </c>
      <c r="X7" s="84">
        <f>IF($A7="","",COUNTIF(Task_Steps!$B$5:$B$2004,$A7))</f>
        <v/>
      </c>
      <c r="Y7" s="86">
        <f>IF($X7=0,"",COUNTIFS(Task_Steps!$B$5:$B$2004,$A7,Task_Steps!$H$5:$H$2004,"Completed")/$X7)</f>
        <v/>
      </c>
      <c r="Z7" s="81" t="inlineStr">
        <is>
          <t>Content ready; waiting on confirmation.</t>
        </is>
      </c>
      <c r="AA7" s="81" t="inlineStr">
        <is>
          <t>Leadership Follow-up</t>
        </is>
      </c>
      <c r="AB7" s="67">
        <f>IF($F7="","",IFERROR(INDEX(Employee_Master!$E$5:$E$204,MATCH($F7,Employee_Master!$B$5:$B$204,0)),""))</f>
        <v/>
      </c>
      <c r="AC7" s="65">
        <f>IF(OR($A7="",$AB7=""),"",IF(OR($I7="Completed",$I7="Cancelled"),"Closed - in Manager Report","Active - in Manager Report"))</f>
        <v/>
      </c>
      <c r="AD7" s="81">
        <f>IF($A7="","",IFERROR(TEXTJOIN(", ",TRUE,FILTER(Task_Steps!$A$5:$A$2004,Task_Steps!$B$5:$B$2004=$A7)),""))</f>
        <v/>
      </c>
      <c r="AE7" s="84">
        <f>IF($A7="","",COUNTIFS(Task_Steps!$B$5:$B$2004,$A7,Task_Steps!$H$5:$H$2004,"&lt;&gt;Completed",Task_Steps!$H$5:$H$2004,"&lt;&gt;Cancelled"))</f>
        <v/>
      </c>
      <c r="AF7" s="81">
        <f>IF(OR($B7="",$A7=""),"",$B7&amp;" | "&amp;$A7)</f>
        <v/>
      </c>
    </row>
    <row r="8" ht="15" customHeight="1" s="40">
      <c r="A8" s="65">
        <f>IF(COUNTA(B8:F8)=0,"","TSK-"&amp;TEXT(ROW()-4,"0000"))</f>
        <v/>
      </c>
      <c r="B8" s="78" t="inlineStr">
        <is>
          <t>Website Migration</t>
        </is>
      </c>
      <c r="C8" s="78" t="inlineStr">
        <is>
          <t>Operations</t>
        </is>
      </c>
      <c r="D8" s="81" t="inlineStr">
        <is>
          <t>Vendor coordination for content freeze</t>
        </is>
      </c>
      <c r="E8" s="81" t="inlineStr">
        <is>
          <t>Lock the final website content set and confirm the vendor freeze date.</t>
        </is>
      </c>
      <c r="F8" s="78" t="inlineStr">
        <is>
          <t>Pammi Gaur</t>
        </is>
      </c>
      <c r="G8" s="67">
        <f>IF($F8="","",IFERROR(INDEX(Employee_Master!$C$5:$C$204,MATCH($F8,Employee_Master!$B$5:$B$204,0)),""))</f>
        <v/>
      </c>
      <c r="H8" s="78" t="inlineStr">
        <is>
          <t>Critical</t>
        </is>
      </c>
      <c r="I8" s="78" t="inlineStr">
        <is>
          <t>Blocked</t>
        </is>
      </c>
      <c r="J8" s="67">
        <f>IF($I8="","",IFERROR(INDEX(Action_Status_Map!$B$5:$B$11,MATCH($I8,Action_Status_Map!$A$5:$A$11,0)),""))</f>
        <v/>
      </c>
      <c r="K8" s="82" t="n">
        <v>46115</v>
      </c>
      <c r="L8" s="82" t="n">
        <v>46120</v>
      </c>
      <c r="M8" s="82" t="n"/>
      <c r="N8" s="83" t="n">
        <v>6</v>
      </c>
      <c r="O8" s="83" t="n">
        <v>3</v>
      </c>
      <c r="P8" s="66">
        <f>IF(OR($N8="",$O8=""),"",$O8-$N8)</f>
        <v/>
      </c>
      <c r="Q8" s="84">
        <f>IF($K8="","",IF($M8&lt;&gt;"",$M8-$K8,TODAY()-$K8))</f>
        <v/>
      </c>
      <c r="R8" s="85">
        <f>IF(OR($L8="",$I8="Completed",$I8="Cancelled"),"",IF(AND($L8&lt;TODAY(),$I8&lt;&gt;"Completed",$I8&lt;&gt;"Cancelled"),"Overdue","On Track"))</f>
        <v/>
      </c>
      <c r="S8" s="65">
        <f>IF($L8="","",TEXT($L8,"yyyy-mm"))</f>
        <v/>
      </c>
      <c r="T8" s="86">
        <f>IF($I8="","",IFERROR(INDEX(Action_Status_Map!$C$5:$C$11,MATCH($I8,Action_Status_Map!$A$5:$A$11,0)),""))</f>
        <v/>
      </c>
      <c r="U8" s="81" t="inlineStr">
        <is>
          <t>Need vendor approval to proceed.</t>
        </is>
      </c>
      <c r="V8" s="82" t="n">
        <v>46114</v>
      </c>
      <c r="W8" s="65">
        <f>IF(OR($I8&lt;&gt;"Completed",$M8="",$L8=""),"",IF($M8&lt;=$L8,"Yes","No"))</f>
        <v/>
      </c>
      <c r="X8" s="84">
        <f>IF($A8="","",COUNTIF(Task_Steps!$B$5:$B$2004,$A8))</f>
        <v/>
      </c>
      <c r="Y8" s="86">
        <f>IF($X8=0,"",COUNTIFS(Task_Steps!$B$5:$B$2004,$A8,Task_Steps!$H$5:$H$2004,"Completed")/$X8)</f>
        <v/>
      </c>
      <c r="Z8" s="81" t="inlineStr">
        <is>
          <t>Blocked by external dependency; now overdue.</t>
        </is>
      </c>
      <c r="AA8" s="81" t="inlineStr">
        <is>
          <t>Vendor Dependency</t>
        </is>
      </c>
      <c r="AB8" s="67">
        <f>IF($F8="","",IFERROR(INDEX(Employee_Master!$E$5:$E$204,MATCH($F8,Employee_Master!$B$5:$B$204,0)),""))</f>
        <v/>
      </c>
      <c r="AC8" s="65">
        <f>IF(OR($A8="",$AB8=""),"",IF(OR($I8="Completed",$I8="Cancelled"),"Closed - in Manager Report","Active - in Manager Report"))</f>
        <v/>
      </c>
      <c r="AD8" s="81">
        <f>IF($A8="","",IFERROR(TEXTJOIN(", ",TRUE,FILTER(Task_Steps!$A$5:$A$2004,Task_Steps!$B$5:$B$2004=$A8)),""))</f>
        <v/>
      </c>
      <c r="AE8" s="84">
        <f>IF($A8="","",COUNTIFS(Task_Steps!$B$5:$B$2004,$A8,Task_Steps!$H$5:$H$2004,"&lt;&gt;Completed",Task_Steps!$H$5:$H$2004,"&lt;&gt;Cancelled"))</f>
        <v/>
      </c>
      <c r="AF8" s="81">
        <f>IF(OR($B8="",$A8=""),"",$B8&amp;" | "&amp;$A8)</f>
        <v/>
      </c>
    </row>
    <row r="9" ht="15" customHeight="1" s="40">
      <c r="A9" s="65">
        <f>IF(COUNTA(B9:F9)=0,"","TSK-"&amp;TEXT(ROW()-4,"0000"))</f>
        <v/>
      </c>
      <c r="B9" s="78" t="inlineStr">
        <is>
          <t>Customer Portal Launch</t>
        </is>
      </c>
      <c r="C9" s="78" t="inlineStr">
        <is>
          <t>Go-Live</t>
        </is>
      </c>
      <c r="D9" s="81" t="inlineStr">
        <is>
          <t>Prepare launch readiness checklist</t>
        </is>
      </c>
      <c r="E9" s="81" t="inlineStr">
        <is>
          <t>Prepare pre-launch readiness checks and stakeholder signoffs.</t>
        </is>
      </c>
      <c r="F9" s="78" t="inlineStr">
        <is>
          <t>Pammi Gaur</t>
        </is>
      </c>
      <c r="G9" s="67">
        <f>IF($F9="","",IFERROR(INDEX(Employee_Master!$C$5:$C$204,MATCH($F9,Employee_Master!$B$5:$B$204,0)),""))</f>
        <v/>
      </c>
      <c r="H9" s="78" t="inlineStr">
        <is>
          <t>High</t>
        </is>
      </c>
      <c r="I9" s="78" t="inlineStr">
        <is>
          <t>Not Started</t>
        </is>
      </c>
      <c r="J9" s="67">
        <f>IF($I9="","",IFERROR(INDEX(Action_Status_Map!$B$5:$B$11,MATCH($I9,Action_Status_Map!$A$5:$A$11,0)),""))</f>
        <v/>
      </c>
      <c r="K9" s="82" t="n">
        <v>46143</v>
      </c>
      <c r="L9" s="82" t="n">
        <v>46150</v>
      </c>
      <c r="M9" s="82" t="n"/>
      <c r="N9" s="83" t="n">
        <v>7</v>
      </c>
      <c r="O9" s="83" t="n"/>
      <c r="P9" s="66">
        <f>IF(OR($N9="",$O9=""),"",$O9-$N9)</f>
        <v/>
      </c>
      <c r="Q9" s="84">
        <f>IF($K9="","",IF($M9&lt;&gt;"",$M9-$K9,TODAY()-$K9))</f>
        <v/>
      </c>
      <c r="R9" s="85">
        <f>IF(OR($L9="",$I9="Completed",$I9="Cancelled"),"",IF(AND($L9&lt;TODAY(),$I9&lt;&gt;"Completed",$I9&lt;&gt;"Cancelled"),"Overdue","On Track"))</f>
        <v/>
      </c>
      <c r="S9" s="65">
        <f>IF($L9="","",TEXT($L9,"yyyy-mm"))</f>
        <v/>
      </c>
      <c r="T9" s="86">
        <f>IF($I9="","",IFERROR(INDEX(Action_Status_Map!$C$5:$C$11,MATCH($I9,Action_Status_Map!$A$5:$A$11,0)),""))</f>
        <v/>
      </c>
      <c r="U9" s="81" t="inlineStr">
        <is>
          <t>Kick off launch checklist in May.</t>
        </is>
      </c>
      <c r="V9" s="82" t="n">
        <v>46121</v>
      </c>
      <c r="W9" s="65">
        <f>IF(OR($I9&lt;&gt;"Completed",$M9="",$L9=""),"",IF($M9&lt;=$L9,"Yes","No"))</f>
        <v/>
      </c>
      <c r="X9" s="84">
        <f>IF($A9="","",COUNTIF(Task_Steps!$B$5:$B$2004,$A9))</f>
        <v/>
      </c>
      <c r="Y9" s="86">
        <f>IF($X9=0,"",COUNTIFS(Task_Steps!$B$5:$B$2004,$A9,Task_Steps!$H$5:$H$2004,"Completed")/$X9)</f>
        <v/>
      </c>
      <c r="Z9" s="81" t="inlineStr">
        <is>
          <t>Upcoming task already planned.</t>
        </is>
      </c>
      <c r="AA9" s="81" t="inlineStr">
        <is>
          <t>Program Plan</t>
        </is>
      </c>
      <c r="AB9" s="67">
        <f>IF($F9="","",IFERROR(INDEX(Employee_Master!$E$5:$E$204,MATCH($F9,Employee_Master!$B$5:$B$204,0)),""))</f>
        <v/>
      </c>
      <c r="AC9" s="65">
        <f>IF(OR($A9="",$AB9=""),"",IF(OR($I9="Completed",$I9="Cancelled"),"Closed - in Manager Report","Active - in Manager Report"))</f>
        <v/>
      </c>
      <c r="AD9" s="81">
        <f>IF($A9="","",IFERROR(TEXTJOIN(", ",TRUE,FILTER(Task_Steps!$A$5:$A$2004,Task_Steps!$B$5:$B$2004=$A9)),""))</f>
        <v/>
      </c>
      <c r="AE9" s="84">
        <f>IF($A9="","",COUNTIFS(Task_Steps!$B$5:$B$2004,$A9,Task_Steps!$H$5:$H$2004,"&lt;&gt;Completed",Task_Steps!$H$5:$H$2004,"&lt;&gt;Cancelled"))</f>
        <v/>
      </c>
      <c r="AF9" s="81">
        <f>IF(OR($B9="",$A9=""),"",$B9&amp;" | "&amp;$A9)</f>
        <v/>
      </c>
    </row>
    <row r="10" ht="15" customHeight="1" s="40">
      <c r="A10" s="65">
        <f>IF(COUNTA(B10:F10)=0,"","TSK-"&amp;TEXT(ROW()-4,"0000"))</f>
        <v/>
      </c>
      <c r="B10" s="78" t="inlineStr">
        <is>
          <t>Website Migration</t>
        </is>
      </c>
      <c r="C10" s="78" t="inlineStr">
        <is>
          <t>Analytics</t>
        </is>
      </c>
      <c r="D10" s="81" t="inlineStr">
        <is>
          <t>Set up UAT defect log</t>
        </is>
      </c>
      <c r="E10" s="81" t="inlineStr">
        <is>
          <t>Create the testing log and owner matrix for website UAT.</t>
        </is>
      </c>
      <c r="F10" s="78" t="inlineStr">
        <is>
          <t>Pankaj Vairagade</t>
        </is>
      </c>
      <c r="G10" s="67">
        <f>IF($F10="","",IFERROR(INDEX(Employee_Master!$C$5:$C$204,MATCH($F10,Employee_Master!$B$5:$B$204,0)),""))</f>
        <v/>
      </c>
      <c r="H10" s="78" t="inlineStr">
        <is>
          <t>High</t>
        </is>
      </c>
      <c r="I10" s="78" t="inlineStr">
        <is>
          <t>Completed</t>
        </is>
      </c>
      <c r="J10" s="67">
        <f>IF($I10="","",IFERROR(INDEX(Action_Status_Map!$B$5:$B$11,MATCH($I10,Action_Status_Map!$A$5:$A$11,0)),""))</f>
        <v/>
      </c>
      <c r="K10" s="82" t="n">
        <v>46114</v>
      </c>
      <c r="L10" s="82" t="n">
        <v>46119</v>
      </c>
      <c r="M10" s="82" t="n">
        <v>46119</v>
      </c>
      <c r="N10" s="83" t="n">
        <v>9</v>
      </c>
      <c r="O10" s="83" t="n">
        <v>10</v>
      </c>
      <c r="P10" s="66">
        <f>IF(OR($N10="",$O10=""),"",$O10-$N10)</f>
        <v/>
      </c>
      <c r="Q10" s="84">
        <f>IF($K10="","",IF($M10&lt;&gt;"",$M10-$K10,TODAY()-$K10))</f>
        <v/>
      </c>
      <c r="R10" s="85">
        <f>IF(OR($L10="",$I10="Completed",$I10="Cancelled"),"",IF(AND($L10&lt;TODAY(),$I10&lt;&gt;"Completed",$I10&lt;&gt;"Cancelled"),"Overdue","On Track"))</f>
        <v/>
      </c>
      <c r="S10" s="65">
        <f>IF($L10="","",TEXT($L10,"yyyy-mm"))</f>
        <v/>
      </c>
      <c r="T10" s="86">
        <f>IF($I10="","",IFERROR(INDEX(Action_Status_Map!$C$5:$C$11,MATCH($I10,Action_Status_Map!$A$5:$A$11,0)),""))</f>
        <v/>
      </c>
      <c r="U10" s="81" t="inlineStr">
        <is>
          <t>Share closure summary with stakeholders.</t>
        </is>
      </c>
      <c r="V10" s="82" t="n">
        <v>46113</v>
      </c>
      <c r="W10" s="65">
        <f>IF(OR($I10&lt;&gt;"Completed",$M10="",$L10=""),"",IF($M10&lt;=$L10,"Yes","No"))</f>
        <v/>
      </c>
      <c r="X10" s="84">
        <f>IF($A10="","",COUNTIF(Task_Steps!$B$5:$B$2004,$A10))</f>
        <v/>
      </c>
      <c r="Y10" s="86">
        <f>IF($X10=0,"",COUNTIFS(Task_Steps!$B$5:$B$2004,$A10,Task_Steps!$H$5:$H$2004,"Completed")/$X10)</f>
        <v/>
      </c>
      <c r="Z10" s="81" t="inlineStr">
        <is>
          <t>Completed on time with slight overrun.</t>
        </is>
      </c>
      <c r="AA10" s="81" t="inlineStr">
        <is>
          <t>Audit Request</t>
        </is>
      </c>
      <c r="AB10" s="67">
        <f>IF($F10="","",IFERROR(INDEX(Employee_Master!$E$5:$E$204,MATCH($F10,Employee_Master!$B$5:$B$204,0)),""))</f>
        <v/>
      </c>
      <c r="AC10" s="65">
        <f>IF(OR($A10="",$AB10=""),"",IF(OR($I10="Completed",$I10="Cancelled"),"Closed - in Manager Report","Active - in Manager Report"))</f>
        <v/>
      </c>
      <c r="AD10" s="81">
        <f>IF($A10="","",IFERROR(TEXTJOIN(", ",TRUE,FILTER(Task_Steps!$A$5:$A$2004,Task_Steps!$B$5:$B$2004=$A10)),""))</f>
        <v/>
      </c>
      <c r="AE10" s="84">
        <f>IF($A10="","",COUNTIFS(Task_Steps!$B$5:$B$2004,$A10,Task_Steps!$H$5:$H$2004,"&lt;&gt;Completed",Task_Steps!$H$5:$H$2004,"&lt;&gt;Cancelled"))</f>
        <v/>
      </c>
      <c r="AF10" s="81">
        <f>IF(OR($B10="",$A10=""),"",$B10&amp;" | "&amp;$A10)</f>
        <v/>
      </c>
    </row>
    <row r="11" ht="15" customHeight="1" s="40">
      <c r="A11" s="65">
        <f>IF(COUNTA(B11:F11)=0,"","TSK-"&amp;TEXT(ROW()-4,"0000"))</f>
        <v/>
      </c>
      <c r="B11" s="78" t="inlineStr">
        <is>
          <t>Website Migration</t>
        </is>
      </c>
      <c r="C11" s="78" t="inlineStr">
        <is>
          <t>Reporting</t>
        </is>
      </c>
      <c r="D11" s="81" t="inlineStr">
        <is>
          <t>Create weekly progress dashboard</t>
        </is>
      </c>
      <c r="E11" s="81" t="inlineStr">
        <is>
          <t>Build the weekly dashboard showing delivery, defects, and risks.</t>
        </is>
      </c>
      <c r="F11" s="78" t="inlineStr">
        <is>
          <t>Pankaj Vairagade</t>
        </is>
      </c>
      <c r="G11" s="67">
        <f>IF($F11="","",IFERROR(INDEX(Employee_Master!$C$5:$C$204,MATCH($F11,Employee_Master!$B$5:$B$204,0)),""))</f>
        <v/>
      </c>
      <c r="H11" s="78" t="inlineStr">
        <is>
          <t>Critical</t>
        </is>
      </c>
      <c r="I11" s="78" t="inlineStr">
        <is>
          <t>In Progress</t>
        </is>
      </c>
      <c r="J11" s="67">
        <f>IF($I11="","",IFERROR(INDEX(Action_Status_Map!$B$5:$B$11,MATCH($I11,Action_Status_Map!$A$5:$A$11,0)),""))</f>
        <v/>
      </c>
      <c r="K11" s="82" t="n">
        <v>46117</v>
      </c>
      <c r="L11" s="82" t="n">
        <v>46127</v>
      </c>
      <c r="M11" s="82" t="n"/>
      <c r="N11" s="83" t="n">
        <v>14</v>
      </c>
      <c r="O11" s="83" t="n">
        <v>9</v>
      </c>
      <c r="P11" s="66">
        <f>IF(OR($N11="",$O11=""),"",$O11-$N11)</f>
        <v/>
      </c>
      <c r="Q11" s="84">
        <f>IF($K11="","",IF($M11&lt;&gt;"",$M11-$K11,TODAY()-$K11))</f>
        <v/>
      </c>
      <c r="R11" s="85">
        <f>IF(OR($L11="",$I11="Completed",$I11="Cancelled"),"",IF(AND($L11&lt;TODAY(),$I11&lt;&gt;"Completed",$I11&lt;&gt;"Cancelled"),"Overdue","On Track"))</f>
        <v/>
      </c>
      <c r="S11" s="65">
        <f>IF($L11="","",TEXT($L11,"yyyy-mm"))</f>
        <v/>
      </c>
      <c r="T11" s="86">
        <f>IF($I11="","",IFERROR(INDEX(Action_Status_Map!$C$5:$C$11,MATCH($I11,Action_Status_Map!$A$5:$A$11,0)),""))</f>
        <v/>
      </c>
      <c r="U11" s="81" t="inlineStr">
        <is>
          <t>Add leadership metrics and QA final formulas.</t>
        </is>
      </c>
      <c r="V11" s="82" t="n">
        <v>46116</v>
      </c>
      <c r="W11" s="65">
        <f>IF(OR($I11&lt;&gt;"Completed",$M11="",$L11=""),"",IF($M11&lt;=$L11,"Yes","No"))</f>
        <v/>
      </c>
      <c r="X11" s="84">
        <f>IF($A11="","",COUNTIF(Task_Steps!$B$5:$B$2004,$A11))</f>
        <v/>
      </c>
      <c r="Y11" s="86">
        <f>IF($X11=0,"",COUNTIFS(Task_Steps!$B$5:$B$2004,$A11,Task_Steps!$H$5:$H$2004,"Completed")/$X11)</f>
        <v/>
      </c>
      <c r="Z11" s="81" t="inlineStr">
        <is>
          <t>High-visibility reporting deliverable.</t>
        </is>
      </c>
      <c r="AA11" s="81" t="inlineStr">
        <is>
          <t>Internal Compliance</t>
        </is>
      </c>
      <c r="AB11" s="67">
        <f>IF($F11="","",IFERROR(INDEX(Employee_Master!$E$5:$E$204,MATCH($F11,Employee_Master!$B$5:$B$204,0)),""))</f>
        <v/>
      </c>
      <c r="AC11" s="65">
        <f>IF(OR($A11="",$AB11=""),"",IF(OR($I11="Completed",$I11="Cancelled"),"Closed - in Manager Report","Active - in Manager Report"))</f>
        <v/>
      </c>
      <c r="AD11" s="81">
        <f>IF($A11="","",IFERROR(TEXTJOIN(", ",TRUE,FILTER(Task_Steps!$A$5:$A$2004,Task_Steps!$B$5:$B$2004=$A11)),""))</f>
        <v/>
      </c>
      <c r="AE11" s="84">
        <f>IF($A11="","",COUNTIFS(Task_Steps!$B$5:$B$2004,$A11,Task_Steps!$H$5:$H$2004,"&lt;&gt;Completed",Task_Steps!$H$5:$H$2004,"&lt;&gt;Cancelled"))</f>
        <v/>
      </c>
      <c r="AF11" s="81">
        <f>IF(OR($B11="",$A11=""),"",$B11&amp;" | "&amp;$A11)</f>
        <v/>
      </c>
    </row>
    <row r="12" ht="15" customHeight="1" s="40">
      <c r="A12" s="65">
        <f>IF(COUNTA(B12:F12)=0,"","TSK-"&amp;TEXT(ROW()-4,"0000"))</f>
        <v/>
      </c>
      <c r="B12" s="78" t="inlineStr">
        <is>
          <t>Q2 Compliance Audit</t>
        </is>
      </c>
      <c r="C12" s="78" t="inlineStr">
        <is>
          <t>Documentation</t>
        </is>
      </c>
      <c r="D12" s="81" t="inlineStr">
        <is>
          <t>Compile policy evidence pack</t>
        </is>
      </c>
      <c r="E12" s="81" t="inlineStr">
        <is>
          <t>Collect policies, approvals, and evidence files for audit review.</t>
        </is>
      </c>
      <c r="F12" s="78" t="inlineStr">
        <is>
          <t>Pankaj Vairagade</t>
        </is>
      </c>
      <c r="G12" s="67">
        <f>IF($F12="","",IFERROR(INDEX(Employee_Master!$C$5:$C$204,MATCH($F12,Employee_Master!$B$5:$B$204,0)),""))</f>
        <v/>
      </c>
      <c r="H12" s="78" t="inlineStr">
        <is>
          <t>Critical</t>
        </is>
      </c>
      <c r="I12" s="78" t="inlineStr">
        <is>
          <t>On Hold</t>
        </is>
      </c>
      <c r="J12" s="67">
        <f>IF($I12="","",IFERROR(INDEX(Action_Status_Map!$B$5:$B$11,MATCH($I12,Action_Status_Map!$A$5:$A$11,0)),""))</f>
        <v/>
      </c>
      <c r="K12" s="82" t="n">
        <v>46116</v>
      </c>
      <c r="L12" s="82" t="n">
        <v>46122</v>
      </c>
      <c r="M12" s="82" t="n"/>
      <c r="N12" s="83" t="n">
        <v>16</v>
      </c>
      <c r="O12" s="83" t="n">
        <v>5</v>
      </c>
      <c r="P12" s="66">
        <f>IF(OR($N12="",$O12=""),"",$O12-$N12)</f>
        <v/>
      </c>
      <c r="Q12" s="84">
        <f>IF($K12="","",IF($M12&lt;&gt;"",$M12-$K12,TODAY()-$K12))</f>
        <v/>
      </c>
      <c r="R12" s="85">
        <f>IF(OR($L12="",$I12="Completed",$I12="Cancelled"),"",IF(AND($L12&lt;TODAY(),$I12&lt;&gt;"Completed",$I12&lt;&gt;"Cancelled"),"Overdue","On Track"))</f>
        <v/>
      </c>
      <c r="S12" s="65">
        <f>IF($L12="","",TEXT($L12,"yyyy-mm"))</f>
        <v/>
      </c>
      <c r="T12" s="86">
        <f>IF($I12="","",IFERROR(INDEX(Action_Status_Map!$C$5:$C$11,MATCH($I12,Action_Status_Map!$A$5:$A$11,0)),""))</f>
        <v/>
      </c>
      <c r="U12" s="81" t="inlineStr">
        <is>
          <t>Waiting for legal documents before pack can be completed.</t>
        </is>
      </c>
      <c r="V12" s="82" t="n">
        <v>46115</v>
      </c>
      <c r="W12" s="65">
        <f>IF(OR($I12&lt;&gt;"Completed",$M12="",$L12=""),"",IF($M12&lt;=$L12,"Yes","No"))</f>
        <v/>
      </c>
      <c r="X12" s="84">
        <f>IF($A12="","",COUNTIF(Task_Steps!$B$5:$B$2004,$A12))</f>
        <v/>
      </c>
      <c r="Y12" s="86">
        <f>IF($X12=0,"",COUNTIFS(Task_Steps!$B$5:$B$2004,$A12,Task_Steps!$H$5:$H$2004,"Completed")/$X12)</f>
        <v/>
      </c>
      <c r="Z12" s="81" t="inlineStr">
        <is>
          <t>Paused pending legal input.</t>
        </is>
      </c>
      <c r="AA12" s="81" t="inlineStr">
        <is>
          <t>System Improvement</t>
        </is>
      </c>
      <c r="AB12" s="67">
        <f>IF($F12="","",IFERROR(INDEX(Employee_Master!$E$5:$E$204,MATCH($F12,Employee_Master!$B$5:$B$204,0)),""))</f>
        <v/>
      </c>
      <c r="AC12" s="65">
        <f>IF(OR($A12="",$AB12=""),"",IF(OR($I12="Completed",$I12="Cancelled"),"Closed - in Manager Report","Active - in Manager Report"))</f>
        <v/>
      </c>
      <c r="AD12" s="81">
        <f>IF($A12="","",IFERROR(TEXTJOIN(", ",TRUE,FILTER(Task_Steps!$A$5:$A$2004,Task_Steps!$B$5:$B$2004=$A12)),""))</f>
        <v/>
      </c>
      <c r="AE12" s="84">
        <f>IF($A12="","",COUNTIFS(Task_Steps!$B$5:$B$2004,$A12,Task_Steps!$H$5:$H$2004,"&lt;&gt;Completed",Task_Steps!$H$5:$H$2004,"&lt;&gt;Cancelled"))</f>
        <v/>
      </c>
      <c r="AF12" s="81">
        <f>IF(OR($B12="",$A12=""),"",$B12&amp;" | "&amp;$A12)</f>
        <v/>
      </c>
    </row>
    <row r="13" ht="15" customHeight="1" s="40">
      <c r="A13" s="65">
        <f>IF(COUNTA(B13:F13)=0,"","TSK-"&amp;TEXT(ROW()-4,"0000"))</f>
        <v/>
      </c>
      <c r="B13" s="78" t="inlineStr">
        <is>
          <t>Q2 Compliance Audit</t>
        </is>
      </c>
      <c r="C13" s="78" t="inlineStr">
        <is>
          <t>Automation</t>
        </is>
      </c>
      <c r="D13" s="81" t="inlineStr">
        <is>
          <t>Automate control checklist</t>
        </is>
      </c>
      <c r="E13" s="81" t="inlineStr">
        <is>
          <t>Turn the manual compliance checklist into a reusable controlled template.</t>
        </is>
      </c>
      <c r="F13" s="78" t="inlineStr">
        <is>
          <t>Pankaj Vairagade</t>
        </is>
      </c>
      <c r="G13" s="67">
        <f>IF($F13="","",IFERROR(INDEX(Employee_Master!$C$5:$C$204,MATCH($F13,Employee_Master!$B$5:$B$204,0)),""))</f>
        <v/>
      </c>
      <c r="H13" s="78" t="inlineStr">
        <is>
          <t>Medium</t>
        </is>
      </c>
      <c r="I13" s="78" t="inlineStr">
        <is>
          <t>Not Started</t>
        </is>
      </c>
      <c r="J13" s="67">
        <f>IF($I13="","",IFERROR(INDEX(Action_Status_Map!$B$5:$B$11,MATCH($I13,Action_Status_Map!$A$5:$A$11,0)),""))</f>
        <v/>
      </c>
      <c r="K13" s="82" t="n">
        <v>46123</v>
      </c>
      <c r="L13" s="82" t="n">
        <v>46134</v>
      </c>
      <c r="M13" s="82" t="n"/>
      <c r="N13" s="83" t="n">
        <v>18</v>
      </c>
      <c r="O13" s="83" t="n"/>
      <c r="P13" s="66">
        <f>IF(OR($N13="",$O13=""),"",$O13-$N13)</f>
        <v/>
      </c>
      <c r="Q13" s="84">
        <f>IF($K13="","",IF($M13&lt;&gt;"",$M13-$K13,TODAY()-$K13))</f>
        <v/>
      </c>
      <c r="R13" s="85">
        <f>IF(OR($L13="",$I13="Completed",$I13="Cancelled"),"",IF(AND($L13&lt;TODAY(),$I13&lt;&gt;"Completed",$I13&lt;&gt;"Cancelled"),"Overdue","On Track"))</f>
        <v/>
      </c>
      <c r="S13" s="65">
        <f>IF($L13="","",TEXT($L13,"yyyy-mm"))</f>
        <v/>
      </c>
      <c r="T13" s="86">
        <f>IF($I13="","",IFERROR(INDEX(Action_Status_Map!$C$5:$C$11,MATCH($I13,Action_Status_Map!$A$5:$A$11,0)),""))</f>
        <v/>
      </c>
      <c r="U13" s="81" t="inlineStr">
        <is>
          <t>Kick off automation design with IT.</t>
        </is>
      </c>
      <c r="V13" s="82" t="n">
        <v>46121</v>
      </c>
      <c r="W13" s="65">
        <f>IF(OR($I13&lt;&gt;"Completed",$M13="",$L13=""),"",IF($M13&lt;=$L13,"Yes","No"))</f>
        <v/>
      </c>
      <c r="X13" s="84">
        <f>IF($A13="","",COUNTIF(Task_Steps!$B$5:$B$2004,$A13))</f>
        <v/>
      </c>
      <c r="Y13" s="86">
        <f>IF($X13=0,"",COUNTIFS(Task_Steps!$B$5:$B$2004,$A13,Task_Steps!$H$5:$H$2004,"Completed")/$X13)</f>
        <v/>
      </c>
      <c r="Z13" s="81" t="inlineStr">
        <is>
          <t>Planned for later this month.</t>
        </is>
      </c>
      <c r="AA13" s="81" t="inlineStr">
        <is>
          <t>Management Review</t>
        </is>
      </c>
      <c r="AB13" s="67">
        <f>IF($F13="","",IFERROR(INDEX(Employee_Master!$E$5:$E$204,MATCH($F13,Employee_Master!$B$5:$B$204,0)),""))</f>
        <v/>
      </c>
      <c r="AC13" s="65">
        <f>IF(OR($A13="",$AB13=""),"",IF(OR($I13="Completed",$I13="Cancelled"),"Closed - in Manager Report","Active - in Manager Report"))</f>
        <v/>
      </c>
      <c r="AD13" s="81">
        <f>IF($A13="","",IFERROR(TEXTJOIN(", ",TRUE,FILTER(Task_Steps!$A$5:$A$2004,Task_Steps!$B$5:$B$2004=$A13)),""))</f>
        <v/>
      </c>
      <c r="AE13" s="84">
        <f>IF($A13="","",COUNTIFS(Task_Steps!$B$5:$B$2004,$A13,Task_Steps!$H$5:$H$2004,"&lt;&gt;Completed",Task_Steps!$H$5:$H$2004,"&lt;&gt;Cancelled"))</f>
        <v/>
      </c>
      <c r="AF13" s="81">
        <f>IF(OR($B13="",$A13=""),"",$B13&amp;" | "&amp;$A13)</f>
        <v/>
      </c>
    </row>
    <row r="14" ht="15" customHeight="1" s="40">
      <c r="A14" s="65">
        <f>IF(COUNTA(B14:F14)=0,"","TSK-"&amp;TEXT(ROW()-4,"0000"))</f>
        <v/>
      </c>
      <c r="B14" s="78" t="inlineStr">
        <is>
          <t>Process Excellence</t>
        </is>
      </c>
      <c r="C14" s="78" t="inlineStr">
        <is>
          <t>Reporting</t>
        </is>
      </c>
      <c r="D14" s="81" t="inlineStr">
        <is>
          <t>Monthly KPI workbook cleanup</t>
        </is>
      </c>
      <c r="E14" s="81" t="inlineStr">
        <is>
          <t>Clean tabs, formulas, and broken links in the KPI workbook.</t>
        </is>
      </c>
      <c r="F14" s="78" t="inlineStr">
        <is>
          <t>Pankaj Vairagade</t>
        </is>
      </c>
      <c r="G14" s="67">
        <f>IF($F14="","",IFERROR(INDEX(Employee_Master!$C$5:$C$204,MATCH($F14,Employee_Master!$B$5:$B$204,0)),""))</f>
        <v/>
      </c>
      <c r="H14" s="78" t="inlineStr">
        <is>
          <t>Low</t>
        </is>
      </c>
      <c r="I14" s="78" t="inlineStr">
        <is>
          <t>Completed</t>
        </is>
      </c>
      <c r="J14" s="67">
        <f>IF($I14="","",IFERROR(INDEX(Action_Status_Map!$B$5:$B$11,MATCH($I14,Action_Status_Map!$A$5:$A$11,0)),""))</f>
        <v/>
      </c>
      <c r="K14" s="82" t="n">
        <v>46105</v>
      </c>
      <c r="L14" s="82" t="n">
        <v>46110</v>
      </c>
      <c r="M14" s="82" t="n">
        <v>46109</v>
      </c>
      <c r="N14" s="83" t="n">
        <v>5</v>
      </c>
      <c r="O14" s="83" t="n">
        <v>4</v>
      </c>
      <c r="P14" s="66">
        <f>IF(OR($N14="",$O14=""),"",$O14-$N14)</f>
        <v/>
      </c>
      <c r="Q14" s="84">
        <f>IF($K14="","",IF($M14&lt;&gt;"",$M14-$K14,TODAY()-$K14))</f>
        <v/>
      </c>
      <c r="R14" s="85">
        <f>IF(OR($L14="",$I14="Completed",$I14="Cancelled"),"",IF(AND($L14&lt;TODAY(),$I14&lt;&gt;"Completed",$I14&lt;&gt;"Cancelled"),"Overdue","On Track"))</f>
        <v/>
      </c>
      <c r="S14" s="65">
        <f>IF($L14="","",TEXT($L14,"yyyy-mm"))</f>
        <v/>
      </c>
      <c r="T14" s="86">
        <f>IF($I14="","",IFERROR(INDEX(Action_Status_Map!$C$5:$C$11,MATCH($I14,Action_Status_Map!$A$5:$A$11,0)),""))</f>
        <v/>
      </c>
      <c r="U14" s="81" t="inlineStr">
        <is>
          <t>Archive previous version and publish final file.</t>
        </is>
      </c>
      <c r="V14" s="82" t="n">
        <v>46104</v>
      </c>
      <c r="W14" s="65">
        <f>IF(OR($I14&lt;&gt;"Completed",$M14="",$L14=""),"",IF($M14&lt;=$L14,"Yes","No"))</f>
        <v/>
      </c>
      <c r="X14" s="84">
        <f>IF($A14="","",COUNTIF(Task_Steps!$B$5:$B$2004,$A14))</f>
        <v/>
      </c>
      <c r="Y14" s="86">
        <f>IF($X14=0,"",COUNTIFS(Task_Steps!$B$5:$B$2004,$A14,Task_Steps!$H$5:$H$2004,"Completed")/$X14)</f>
        <v/>
      </c>
      <c r="Z14" s="81" t="inlineStr">
        <is>
          <t>Closed early with clean handoff.</t>
        </is>
      </c>
      <c r="AA14" s="81" t="inlineStr">
        <is>
          <t>Recurring Reporting</t>
        </is>
      </c>
      <c r="AB14" s="67">
        <f>IF($F14="","",IFERROR(INDEX(Employee_Master!$E$5:$E$204,MATCH($F14,Employee_Master!$B$5:$B$204,0)),""))</f>
        <v/>
      </c>
      <c r="AC14" s="65">
        <f>IF(OR($A14="",$AB14=""),"",IF(OR($I14="Completed",$I14="Cancelled"),"Closed - in Manager Report","Active - in Manager Report"))</f>
        <v/>
      </c>
      <c r="AD14" s="81">
        <f>IF($A14="","",IFERROR(TEXTJOIN(", ",TRUE,FILTER(Task_Steps!$A$5:$A$2004,Task_Steps!$B$5:$B$2004=$A14)),""))</f>
        <v/>
      </c>
      <c r="AE14" s="84">
        <f>IF($A14="","",COUNTIFS(Task_Steps!$B$5:$B$2004,$A14,Task_Steps!$H$5:$H$2004,"&lt;&gt;Completed",Task_Steps!$H$5:$H$2004,"&lt;&gt;Cancelled"))</f>
        <v/>
      </c>
      <c r="AF14" s="81">
        <f>IF(OR($B14="",$A14=""),"",$B14&amp;" | "&amp;$A14)</f>
        <v/>
      </c>
    </row>
    <row r="15" ht="15" customHeight="1" s="40">
      <c r="A15" s="65">
        <f>IF(COUNTA(B15:F15)=0,"","TSK-"&amp;TEXT(ROW()-4,"0000"))</f>
        <v/>
      </c>
      <c r="B15" s="78" t="inlineStr">
        <is>
          <t>Customer Portal Launch</t>
        </is>
      </c>
      <c r="C15" s="78" t="inlineStr">
        <is>
          <t>UAT</t>
        </is>
      </c>
      <c r="D15" s="81" t="inlineStr">
        <is>
          <t>Complete UAT signoff pack</t>
        </is>
      </c>
      <c r="E15" s="81" t="inlineStr">
        <is>
          <t>Compile test evidence, approvals, and release notes for signoff.</t>
        </is>
      </c>
      <c r="F15" s="78" t="inlineStr">
        <is>
          <t>Pammi Gaur</t>
        </is>
      </c>
      <c r="G15" s="67">
        <f>IF($F15="","",IFERROR(INDEX(Employee_Master!$C$5:$C$204,MATCH($F15,Employee_Master!$B$5:$B$204,0)),""))</f>
        <v/>
      </c>
      <c r="H15" s="78" t="inlineStr">
        <is>
          <t>High</t>
        </is>
      </c>
      <c r="I15" s="78" t="inlineStr">
        <is>
          <t>Completed</t>
        </is>
      </c>
      <c r="J15" s="67">
        <f>IF($I15="","",IFERROR(INDEX(Action_Status_Map!$B$5:$B$11,MATCH($I15,Action_Status_Map!$A$5:$A$11,0)),""))</f>
        <v/>
      </c>
      <c r="K15" s="82" t="n">
        <v>46151</v>
      </c>
      <c r="L15" s="82" t="n">
        <v>46162</v>
      </c>
      <c r="M15" s="82" t="n">
        <v>46161</v>
      </c>
      <c r="N15" s="83" t="n">
        <v>8</v>
      </c>
      <c r="O15" s="83" t="n">
        <v>9</v>
      </c>
      <c r="P15" s="66">
        <f>IF(OR($N15="",$O15=""),"",$O15-$N15)</f>
        <v/>
      </c>
      <c r="Q15" s="84">
        <f>IF($K15="","",IF($M15&lt;&gt;"",$M15-$K15,TODAY()-$K15))</f>
        <v/>
      </c>
      <c r="R15" s="85">
        <f>IF(OR($L15="",$I15="Completed",$I15="Cancelled"),"",IF(AND($L15&lt;TODAY(),$I15&lt;&gt;"Completed",$I15&lt;&gt;"Cancelled"),"Overdue","On Track"))</f>
        <v/>
      </c>
      <c r="S15" s="65">
        <f>IF($L15="","",TEXT($L15,"yyyy-mm"))</f>
        <v/>
      </c>
      <c r="T15" s="86">
        <f>IF($I15="","",IFERROR(INDEX(Action_Status_Map!$C$5:$C$11,MATCH($I15,Action_Status_Map!$A$5:$A$11,0)),""))</f>
        <v/>
      </c>
      <c r="U15" s="81" t="inlineStr">
        <is>
          <t>Share the final signoff pack with the sponsor team.</t>
        </is>
      </c>
      <c r="V15" s="82" t="n">
        <v>46150</v>
      </c>
      <c r="W15" s="65">
        <f>IF(OR($I15&lt;&gt;"Completed",$M15="",$L15=""),"",IF($M15&lt;=$L15,"Yes","No"))</f>
        <v/>
      </c>
      <c r="X15" s="84">
        <f>IF($A15="","",COUNTIF(Task_Steps!$B$5:$B$2004,$A15))</f>
        <v/>
      </c>
      <c r="Y15" s="86">
        <f>IF($X15=0,"",COUNTIFS(Task_Steps!$B$5:$B$2004,$A15,Task_Steps!$H$5:$H$2004,"Completed")/$X15)</f>
        <v/>
      </c>
      <c r="Z15" s="81" t="inlineStr">
        <is>
          <t>Completed one day early with minor extra effort.</t>
        </is>
      </c>
      <c r="AA15" s="81" t="inlineStr">
        <is>
          <t>Client Escalation</t>
        </is>
      </c>
      <c r="AB15" s="67">
        <f>IF($F15="","",IFERROR(INDEX(Employee_Master!$E$5:$E$204,MATCH($F15,Employee_Master!$B$5:$B$204,0)),""))</f>
        <v/>
      </c>
      <c r="AC15" s="65">
        <f>IF(OR($A15="",$AB15=""),"",IF(OR($I15="Completed",$I15="Cancelled"),"Closed - in Manager Report","Active - in Manager Report"))</f>
        <v/>
      </c>
      <c r="AD15" s="81">
        <f>IF($A15="","",IFERROR(TEXTJOIN(", ",TRUE,FILTER(Task_Steps!$A$5:$A$2004,Task_Steps!$B$5:$B$2004=$A15)),""))</f>
        <v/>
      </c>
      <c r="AE15" s="84">
        <f>IF($A15="","",COUNTIFS(Task_Steps!$B$5:$B$2004,$A15,Task_Steps!$H$5:$H$2004,"&lt;&gt;Completed",Task_Steps!$H$5:$H$2004,"&lt;&gt;Cancelled"))</f>
        <v/>
      </c>
      <c r="AF15" s="81">
        <f>IF(OR($B15="",$A15=""),"",$B15&amp;" | "&amp;$A15)</f>
        <v/>
      </c>
    </row>
    <row r="16" ht="15" customHeight="1" s="40">
      <c r="A16" s="65">
        <f>IF(COUNTA(B16:F16)=0,"","TSK-"&amp;TEXT(ROW()-4,"0000"))</f>
        <v/>
      </c>
      <c r="B16" s="78" t="inlineStr">
        <is>
          <t>Vendor Migration</t>
        </is>
      </c>
      <c r="C16" s="78" t="inlineStr">
        <is>
          <t>Planning</t>
        </is>
      </c>
      <c r="D16" s="81" t="inlineStr">
        <is>
          <t>Finalize migration cutover checklist</t>
        </is>
      </c>
      <c r="E16" s="81" t="inlineStr">
        <is>
          <t>Prepare the final cutover checklist covering owners, timings, and rollback plan.</t>
        </is>
      </c>
      <c r="F16" s="78" t="inlineStr">
        <is>
          <t>Pammi Gaur</t>
        </is>
      </c>
      <c r="G16" s="67">
        <f>IF($F16="","",IFERROR(INDEX(Employee_Master!$C$5:$C$204,MATCH($F16,Employee_Master!$B$5:$B$204,0)),""))</f>
        <v/>
      </c>
      <c r="H16" s="78" t="inlineStr">
        <is>
          <t>Critical</t>
        </is>
      </c>
      <c r="I16" s="78" t="inlineStr">
        <is>
          <t>In Progress</t>
        </is>
      </c>
      <c r="J16" s="67">
        <f>IF($I16="","",IFERROR(INDEX(Action_Status_Map!$B$5:$B$11,MATCH($I16,Action_Status_Map!$A$5:$A$11,0)),""))</f>
        <v/>
      </c>
      <c r="K16" s="82" t="n">
        <v>46174</v>
      </c>
      <c r="L16" s="82" t="n">
        <v>46179</v>
      </c>
      <c r="M16" s="82" t="n"/>
      <c r="N16" s="83" t="n">
        <v>10</v>
      </c>
      <c r="O16" s="83" t="n">
        <v>4</v>
      </c>
      <c r="P16" s="66">
        <f>IF(OR($N16="",$O16=""),"",$O16-$N16)</f>
        <v/>
      </c>
      <c r="Q16" s="84">
        <f>IF($K16="","",IF($M16&lt;&gt;"",$M16-$K16,TODAY()-$K16))</f>
        <v/>
      </c>
      <c r="R16" s="85">
        <f>IF(OR($L16="",$I16="Completed",$I16="Cancelled"),"",IF(AND($L16&lt;TODAY(),$I16&lt;&gt;"Completed",$I16&lt;&gt;"Cancelled"),"Overdue","On Track"))</f>
        <v/>
      </c>
      <c r="S16" s="65">
        <f>IF($L16="","",TEXT($L16,"yyyy-mm"))</f>
        <v/>
      </c>
      <c r="T16" s="86">
        <f>IF($I16="","",IFERROR(INDEX(Action_Status_Map!$C$5:$C$11,MATCH($I16,Action_Status_Map!$A$5:$A$11,0)),""))</f>
        <v/>
      </c>
      <c r="U16" s="81" t="inlineStr">
        <is>
          <t>Collect final approvals from infra and vendor teams.</t>
        </is>
      </c>
      <c r="V16" s="82" t="n">
        <v>46171</v>
      </c>
      <c r="W16" s="65">
        <f>IF(OR($I16&lt;&gt;"Completed",$M16="",$L16=""),"",IF($M16&lt;=$L16,"Yes","No"))</f>
        <v/>
      </c>
      <c r="X16" s="84">
        <f>IF($A16="","",COUNTIF(Task_Steps!$B$5:$B$2004,$A16))</f>
        <v/>
      </c>
      <c r="Y16" s="86">
        <f>IF($X16=0,"",COUNTIFS(Task_Steps!$B$5:$B$2004,$A16,Task_Steps!$H$5:$H$2004,"Completed")/$X16)</f>
        <v/>
      </c>
      <c r="Z16" s="81" t="inlineStr">
        <is>
          <t>Key June deliverable now in progress.</t>
        </is>
      </c>
      <c r="AA16" s="81" t="inlineStr">
        <is>
          <t>Change Request</t>
        </is>
      </c>
      <c r="AB16" s="67">
        <f>IF($F16="","",IFERROR(INDEX(Employee_Master!$E$5:$E$204,MATCH($F16,Employee_Master!$B$5:$B$204,0)),""))</f>
        <v/>
      </c>
      <c r="AC16" s="65">
        <f>IF(OR($A16="",$AB16=""),"",IF(OR($I16="Completed",$I16="Cancelled"),"Closed - in Manager Report","Active - in Manager Report"))</f>
        <v/>
      </c>
      <c r="AD16" s="81">
        <f>IF($A16="","",IFERROR(TEXTJOIN(", ",TRUE,FILTER(Task_Steps!$A$5:$A$2004,Task_Steps!$B$5:$B$2004=$A16)),""))</f>
        <v/>
      </c>
      <c r="AE16" s="84">
        <f>IF($A16="","",COUNTIFS(Task_Steps!$B$5:$B$2004,$A16,Task_Steps!$H$5:$H$2004,"&lt;&gt;Completed",Task_Steps!$H$5:$H$2004,"&lt;&gt;Cancelled"))</f>
        <v/>
      </c>
      <c r="AF16" s="81">
        <f>IF(OR($B16="",$A16=""),"",$B16&amp;" | "&amp;$A16)</f>
        <v/>
      </c>
    </row>
    <row r="17" ht="15" customHeight="1" s="40">
      <c r="A17" s="65">
        <f>IF(COUNTA(B17:F17)=0,"","TSK-"&amp;TEXT(ROW()-4,"0000"))</f>
        <v/>
      </c>
      <c r="B17" s="78" t="inlineStr">
        <is>
          <t>Q2 Compliance Audit</t>
        </is>
      </c>
      <c r="C17" s="78" t="inlineStr">
        <is>
          <t>Reporting</t>
        </is>
      </c>
      <c r="D17" s="81" t="inlineStr">
        <is>
          <t>Prepare audit dashboard pack</t>
        </is>
      </c>
      <c r="E17" s="81" t="inlineStr">
        <is>
          <t>Create management-facing dashboard pack for the internal audit review.</t>
        </is>
      </c>
      <c r="F17" s="78" t="inlineStr">
        <is>
          <t>Pankaj Vairagade</t>
        </is>
      </c>
      <c r="G17" s="67">
        <f>IF($F17="","",IFERROR(INDEX(Employee_Master!$C$5:$C$204,MATCH($F17,Employee_Master!$B$5:$B$204,0)),""))</f>
        <v/>
      </c>
      <c r="H17" s="78" t="inlineStr">
        <is>
          <t>High</t>
        </is>
      </c>
      <c r="I17" s="78" t="inlineStr">
        <is>
          <t>Review</t>
        </is>
      </c>
      <c r="J17" s="67">
        <f>IF($I17="","",IFERROR(INDEX(Action_Status_Map!$B$5:$B$11,MATCH($I17,Action_Status_Map!$A$5:$A$11,0)),""))</f>
        <v/>
      </c>
      <c r="K17" s="82" t="n">
        <v>46156</v>
      </c>
      <c r="L17" s="82" t="n">
        <v>46167</v>
      </c>
      <c r="M17" s="82" t="n"/>
      <c r="N17" s="83" t="n">
        <v>11</v>
      </c>
      <c r="O17" s="83" t="n">
        <v>10</v>
      </c>
      <c r="P17" s="66">
        <f>IF(OR($N17="",$O17=""),"",$O17-$N17)</f>
        <v/>
      </c>
      <c r="Q17" s="84">
        <f>IF($K17="","",IF($M17&lt;&gt;"",$M17-$K17,TODAY()-$K17))</f>
        <v/>
      </c>
      <c r="R17" s="85">
        <f>IF(OR($L17="",$I17="Completed",$I17="Cancelled"),"",IF(AND($L17&lt;TODAY(),$I17&lt;&gt;"Completed",$I17&lt;&gt;"Cancelled"),"Overdue","On Track"))</f>
        <v/>
      </c>
      <c r="S17" s="65">
        <f>IF($L17="","",TEXT($L17,"yyyy-mm"))</f>
        <v/>
      </c>
      <c r="T17" s="86">
        <f>IF($I17="","",IFERROR(INDEX(Action_Status_Map!$C$5:$C$11,MATCH($I17,Action_Status_Map!$A$5:$A$11,0)),""))</f>
        <v/>
      </c>
      <c r="U17" s="81" t="inlineStr">
        <is>
          <t>Incorporate reviewer comments and freeze final charts.</t>
        </is>
      </c>
      <c r="V17" s="82" t="n">
        <v>46155</v>
      </c>
      <c r="W17" s="65">
        <f>IF(OR($I17&lt;&gt;"Completed",$M17="",$L17=""),"",IF($M17&lt;=$L17,"Yes","No"))</f>
        <v/>
      </c>
      <c r="X17" s="84">
        <f>IF($A17="","",COUNTIF(Task_Steps!$B$5:$B$2004,$A17))</f>
        <v/>
      </c>
      <c r="Y17" s="86">
        <f>IF($X17=0,"",COUNTIFS(Task_Steps!$B$5:$B$2004,$A17,Task_Steps!$H$5:$H$2004,"Completed")/$X17)</f>
        <v/>
      </c>
      <c r="Z17" s="81" t="inlineStr">
        <is>
          <t>Draft prepared and under review.</t>
        </is>
      </c>
      <c r="AA17" s="81" t="inlineStr">
        <is>
          <t>Finance Audit</t>
        </is>
      </c>
      <c r="AB17" s="67">
        <f>IF($F17="","",IFERROR(INDEX(Employee_Master!$E$5:$E$204,MATCH($F17,Employee_Master!$B$5:$B$204,0)),""))</f>
        <v/>
      </c>
      <c r="AC17" s="65">
        <f>IF(OR($A17="",$AB17=""),"",IF(OR($I17="Completed",$I17="Cancelled"),"Closed - in Manager Report","Active - in Manager Report"))</f>
        <v/>
      </c>
      <c r="AD17" s="81">
        <f>IF($A17="","",IFERROR(TEXTJOIN(", ",TRUE,FILTER(Task_Steps!$A$5:$A$2004,Task_Steps!$B$5:$B$2004=$A17)),""))</f>
        <v/>
      </c>
      <c r="AE17" s="84">
        <f>IF($A17="","",COUNTIFS(Task_Steps!$B$5:$B$2004,$A17,Task_Steps!$H$5:$H$2004,"&lt;&gt;Completed",Task_Steps!$H$5:$H$2004,"&lt;&gt;Cancelled"))</f>
        <v/>
      </c>
      <c r="AF17" s="81">
        <f>IF(OR($B17="",$A17=""),"",$B17&amp;" | "&amp;$A17)</f>
        <v/>
      </c>
    </row>
    <row r="18" ht="15" customHeight="1" s="40">
      <c r="A18" s="65">
        <f>IF(COUNTA(B18:F18)=0,"","TSK-"&amp;TEXT(ROW()-4,"0000"))</f>
        <v/>
      </c>
      <c r="B18" s="78" t="inlineStr">
        <is>
          <t>Process Excellence</t>
        </is>
      </c>
      <c r="C18" s="78" t="inlineStr">
        <is>
          <t>Documentation</t>
        </is>
      </c>
      <c r="D18" s="81" t="inlineStr">
        <is>
          <t>Publish SOP version 2</t>
        </is>
      </c>
      <c r="E18" s="81" t="inlineStr">
        <is>
          <t>Update the SOP document with revised controls, examples, and approval history.</t>
        </is>
      </c>
      <c r="F18" s="78" t="inlineStr">
        <is>
          <t>Pankaj Vairagade</t>
        </is>
      </c>
      <c r="G18" s="67">
        <f>IF($F18="","",IFERROR(INDEX(Employee_Master!$C$5:$C$204,MATCH($F18,Employee_Master!$B$5:$B$204,0)),""))</f>
        <v/>
      </c>
      <c r="H18" s="78" t="inlineStr">
        <is>
          <t>Medium</t>
        </is>
      </c>
      <c r="I18" s="78" t="inlineStr">
        <is>
          <t>Not Started</t>
        </is>
      </c>
      <c r="J18" s="67">
        <f>IF($I18="","",IFERROR(INDEX(Action_Status_Map!$B$5:$B$11,MATCH($I18,Action_Status_Map!$A$5:$A$11,0)),""))</f>
        <v/>
      </c>
      <c r="K18" s="82" t="n">
        <v>46176</v>
      </c>
      <c r="L18" s="82" t="n">
        <v>46183</v>
      </c>
      <c r="M18" s="82" t="n"/>
      <c r="N18" s="83" t="n">
        <v>12</v>
      </c>
      <c r="O18" s="83" t="n"/>
      <c r="P18" s="66">
        <f>IF(OR($N18="",$O18=""),"",$O18-$N18)</f>
        <v/>
      </c>
      <c r="Q18" s="84">
        <f>IF($K18="","",IF($M18&lt;&gt;"",$M18-$K18,TODAY()-$K18))</f>
        <v/>
      </c>
      <c r="R18" s="85">
        <f>IF(OR($L18="",$I18="Completed",$I18="Cancelled"),"",IF(AND($L18&lt;TODAY(),$I18&lt;&gt;"Completed",$I18&lt;&gt;"Cancelled"),"Overdue","On Track"))</f>
        <v/>
      </c>
      <c r="S18" s="65">
        <f>IF($L18="","",TEXT($L18,"yyyy-mm"))</f>
        <v/>
      </c>
      <c r="T18" s="86">
        <f>IF($I18="","",IFERROR(INDEX(Action_Status_Map!$C$5:$C$11,MATCH($I18,Action_Status_Map!$A$5:$A$11,0)),""))</f>
        <v/>
      </c>
      <c r="U18" s="81" t="inlineStr">
        <is>
          <t>Kick off the draft update and collect stakeholder comments.</t>
        </is>
      </c>
      <c r="V18" s="82" t="n">
        <v>46174</v>
      </c>
      <c r="W18" s="65">
        <f>IF(OR($I18&lt;&gt;"Completed",$M18="",$L18=""),"",IF($M18&lt;=$L18,"Yes","No"))</f>
        <v/>
      </c>
      <c r="X18" s="84">
        <f>IF($A18="","",COUNTIF(Task_Steps!$B$5:$B$2004,$A18))</f>
        <v/>
      </c>
      <c r="Y18" s="86">
        <f>IF($X18=0,"",COUNTIFS(Task_Steps!$B$5:$B$2004,$A18,Task_Steps!$H$5:$H$2004,"Completed")/$X18)</f>
        <v/>
      </c>
      <c r="Z18" s="81" t="inlineStr">
        <is>
          <t>Planned June documentation task.</t>
        </is>
      </c>
      <c r="AA18" s="81" t="inlineStr">
        <is>
          <t>Monthly Review</t>
        </is>
      </c>
      <c r="AB18" s="67">
        <f>IF($F18="","",IFERROR(INDEX(Employee_Master!$E$5:$E$204,MATCH($F18,Employee_Master!$B$5:$B$204,0)),""))</f>
        <v/>
      </c>
      <c r="AC18" s="65">
        <f>IF(OR($A18="",$AB18=""),"",IF(OR($I18="Completed",$I18="Cancelled"),"Closed - in Manager Report","Active - in Manager Report"))</f>
        <v/>
      </c>
      <c r="AD18" s="81">
        <f>IF($A18="","",IFERROR(TEXTJOIN(", ",TRUE,FILTER(Task_Steps!$A$5:$A$2004,Task_Steps!$B$5:$B$2004=$A18)),""))</f>
        <v/>
      </c>
      <c r="AE18" s="84">
        <f>IF($A18="","",COUNTIFS(Task_Steps!$B$5:$B$2004,$A18,Task_Steps!$H$5:$H$2004,"&lt;&gt;Completed",Task_Steps!$H$5:$H$2004,"&lt;&gt;Cancelled"))</f>
        <v/>
      </c>
      <c r="AF18" s="81">
        <f>IF(OR($B18="",$A18=""),"",$B18&amp;" | "&amp;$A18)</f>
        <v/>
      </c>
    </row>
    <row r="19" ht="15" customHeight="1" s="40">
      <c r="A19" s="65">
        <f>IF(COUNTA(B19:F19)=0,"","TSK-"&amp;TEXT(ROW()-4,"0000"))</f>
        <v/>
      </c>
      <c r="B19" s="78" t="inlineStr">
        <is>
          <t>Customer Portal Launch</t>
        </is>
      </c>
      <c r="C19" s="78" t="inlineStr">
        <is>
          <t>Go-Live</t>
        </is>
      </c>
      <c r="D19" s="81" t="inlineStr">
        <is>
          <t>Run go-live readiness review</t>
        </is>
      </c>
      <c r="E19" s="81" t="inlineStr">
        <is>
          <t>Review cutover readiness, dependencies, and final launch risk tracker.</t>
        </is>
      </c>
      <c r="F19" s="78" t="inlineStr">
        <is>
          <t>Pammi Gaur</t>
        </is>
      </c>
      <c r="G19" s="67">
        <f>IF($F19="","",IFERROR(INDEX(Employee_Master!$C$5:$C$204,MATCH($F19,Employee_Master!$B$5:$B$204,0)),""))</f>
        <v/>
      </c>
      <c r="H19" s="78" t="inlineStr">
        <is>
          <t>High</t>
        </is>
      </c>
      <c r="I19" s="78" t="inlineStr">
        <is>
          <t>Not Started</t>
        </is>
      </c>
      <c r="J19" s="67">
        <f>IF($I19="","",IFERROR(INDEX(Action_Status_Map!$B$5:$B$11,MATCH($I19,Action_Status_Map!$A$5:$A$11,0)),""))</f>
        <v/>
      </c>
      <c r="K19" s="82" t="n">
        <v>46204</v>
      </c>
      <c r="L19" s="82" t="n">
        <v>46208</v>
      </c>
      <c r="M19" s="82" t="n"/>
      <c r="N19" s="83" t="n">
        <v>7</v>
      </c>
      <c r="O19" s="83" t="n"/>
      <c r="P19" s="66">
        <f>IF(OR($N19="",$O19=""),"",$O19-$N19)</f>
        <v/>
      </c>
      <c r="Q19" s="84">
        <f>IF($K19="","",IF($M19&lt;&gt;"",$M19-$K19,TODAY()-$K19))</f>
        <v/>
      </c>
      <c r="R19" s="85">
        <f>IF(OR($L19="",$I19="Completed",$I19="Cancelled"),"",IF(AND($L19&lt;TODAY(),$I19&lt;&gt;"Completed",$I19&lt;&gt;"Cancelled"),"Overdue","On Track"))</f>
        <v/>
      </c>
      <c r="S19" s="65">
        <f>IF($L19="","",TEXT($L19,"yyyy-mm"))</f>
        <v/>
      </c>
      <c r="T19" s="86">
        <f>IF($I19="","",IFERROR(INDEX(Action_Status_Map!$C$5:$C$11,MATCH($I19,Action_Status_Map!$A$5:$A$11,0)),""))</f>
        <v/>
      </c>
      <c r="U19" s="81" t="inlineStr">
        <is>
          <t>Start the launch readiness meeting pack.</t>
        </is>
      </c>
      <c r="V19" s="82" t="n">
        <v>46200</v>
      </c>
      <c r="W19" s="65">
        <f>IF(OR($I19&lt;&gt;"Completed",$M19="",$L19=""),"",IF($M19&lt;=$L19,"Yes","No"))</f>
        <v/>
      </c>
      <c r="X19" s="84">
        <f>IF($A19="","",COUNTIF(Task_Steps!$B$5:$B$2004,$A19))</f>
        <v/>
      </c>
      <c r="Y19" s="86">
        <f>IF($X19=0,"",COUNTIFS(Task_Steps!$B$5:$B$2004,$A19,Task_Steps!$H$5:$H$2004,"Completed")/$X19)</f>
        <v/>
      </c>
      <c r="Z19" s="81" t="inlineStr">
        <is>
          <t>July go-live checkpoint.</t>
        </is>
      </c>
      <c r="AA19" s="81" t="inlineStr">
        <is>
          <t>Implementation Plan</t>
        </is>
      </c>
      <c r="AB19" s="67">
        <f>IF($F19="","",IFERROR(INDEX(Employee_Master!$E$5:$E$204,MATCH($F19,Employee_Master!$B$5:$B$204,0)),""))</f>
        <v/>
      </c>
      <c r="AC19" s="65">
        <f>IF(OR($A19="",$AB19=""),"",IF(OR($I19="Completed",$I19="Cancelled"),"Closed - in Manager Report","Active - in Manager Report"))</f>
        <v/>
      </c>
      <c r="AD19" s="81">
        <f>IF($A19="","",IFERROR(TEXTJOIN(", ",TRUE,FILTER(Task_Steps!$A$5:$A$2004,Task_Steps!$B$5:$B$2004=$A19)),""))</f>
        <v/>
      </c>
      <c r="AE19" s="84">
        <f>IF($A19="","",COUNTIFS(Task_Steps!$B$5:$B$2004,$A19,Task_Steps!$H$5:$H$2004,"&lt;&gt;Completed",Task_Steps!$H$5:$H$2004,"&lt;&gt;Cancelled"))</f>
        <v/>
      </c>
      <c r="AF19" s="81">
        <f>IF(OR($B19="",$A19=""),"",$B19&amp;" | "&amp;$A19)</f>
        <v/>
      </c>
    </row>
    <row r="20" ht="15" customHeight="1" s="40">
      <c r="A20" s="65">
        <f>IF(COUNTA(B20:F20)=0,"","TSK-"&amp;TEXT(ROW()-4,"0000"))</f>
        <v/>
      </c>
      <c r="B20" s="78" t="inlineStr">
        <is>
          <t>Board Reporting</t>
        </is>
      </c>
      <c r="C20" s="78" t="inlineStr">
        <is>
          <t>Automation</t>
        </is>
      </c>
      <c r="D20" s="81" t="inlineStr">
        <is>
          <t>Automate monthly board deck checks</t>
        </is>
      </c>
      <c r="E20" s="81" t="inlineStr">
        <is>
          <t>Automate data validations and QA checks before board deck publication.</t>
        </is>
      </c>
      <c r="F20" s="78" t="inlineStr">
        <is>
          <t>Pankaj Vairagade</t>
        </is>
      </c>
      <c r="G20" s="67">
        <f>IF($F20="","",IFERROR(INDEX(Employee_Master!$C$5:$C$204,MATCH($F20,Employee_Master!$B$5:$B$204,0)),""))</f>
        <v/>
      </c>
      <c r="H20" s="78" t="inlineStr">
        <is>
          <t>Critical</t>
        </is>
      </c>
      <c r="I20" s="78" t="inlineStr">
        <is>
          <t>On Hold</t>
        </is>
      </c>
      <c r="J20" s="67">
        <f>IF($I20="","",IFERROR(INDEX(Action_Status_Map!$B$5:$B$11,MATCH($I20,Action_Status_Map!$A$5:$A$11,0)),""))</f>
        <v/>
      </c>
      <c r="K20" s="82" t="n">
        <v>46209</v>
      </c>
      <c r="L20" s="82" t="n">
        <v>46218</v>
      </c>
      <c r="M20" s="82" t="n"/>
      <c r="N20" s="83" t="n">
        <v>15</v>
      </c>
      <c r="O20" s="83" t="n">
        <v>3</v>
      </c>
      <c r="P20" s="66">
        <f>IF(OR($N20="",$O20=""),"",$O20-$N20)</f>
        <v/>
      </c>
      <c r="Q20" s="84">
        <f>IF($K20="","",IF($M20&lt;&gt;"",$M20-$K20,TODAY()-$K20))</f>
        <v/>
      </c>
      <c r="R20" s="85">
        <f>IF(OR($L20="",$I20="Completed",$I20="Cancelled"),"",IF(AND($L20&lt;TODAY(),$I20&lt;&gt;"Completed",$I20&lt;&gt;"Cancelled"),"Overdue","On Track"))</f>
        <v/>
      </c>
      <c r="S20" s="65">
        <f>IF($L20="","",TEXT($L20,"yyyy-mm"))</f>
        <v/>
      </c>
      <c r="T20" s="86">
        <f>IF($I20="","",IFERROR(INDEX(Action_Status_Map!$C$5:$C$11,MATCH($I20,Action_Status_Map!$A$5:$A$11,0)),""))</f>
        <v/>
      </c>
      <c r="U20" s="81" t="inlineStr">
        <is>
          <t>Resume once data source mapping is approved.</t>
        </is>
      </c>
      <c r="V20" s="82" t="n">
        <v>46207</v>
      </c>
      <c r="W20" s="65">
        <f>IF(OR($I20&lt;&gt;"Completed",$M20="",$L20=""),"",IF($M20&lt;=$L20,"Yes","No"))</f>
        <v/>
      </c>
      <c r="X20" s="84">
        <f>IF($A20="","",COUNTIF(Task_Steps!$B$5:$B$2004,$A20))</f>
        <v/>
      </c>
      <c r="Y20" s="86">
        <f>IF($X20=0,"",COUNTIFS(Task_Steps!$B$5:$B$2004,$A20,Task_Steps!$H$5:$H$2004,"Completed")/$X20)</f>
        <v/>
      </c>
      <c r="Z20" s="81" t="inlineStr">
        <is>
          <t>Paused pending upstream data mapping.</t>
        </is>
      </c>
      <c r="AA20" s="81" t="inlineStr">
        <is>
          <t>Quality Check</t>
        </is>
      </c>
      <c r="AB20" s="67">
        <f>IF($F20="","",IFERROR(INDEX(Employee_Master!$E$5:$E$204,MATCH($F20,Employee_Master!$B$5:$B$204,0)),""))</f>
        <v/>
      </c>
      <c r="AC20" s="65">
        <f>IF(OR($A20="",$AB20=""),"",IF(OR($I20="Completed",$I20="Cancelled"),"Closed - in Manager Report","Active - in Manager Report"))</f>
        <v/>
      </c>
      <c r="AD20" s="81">
        <f>IF($A20="","",IFERROR(TEXTJOIN(", ",TRUE,FILTER(Task_Steps!$A$5:$A$2004,Task_Steps!$B$5:$B$2004=$A20)),""))</f>
        <v/>
      </c>
      <c r="AE20" s="84">
        <f>IF($A20="","",COUNTIFS(Task_Steps!$B$5:$B$2004,$A20,Task_Steps!$H$5:$H$2004,"&lt;&gt;Completed",Task_Steps!$H$5:$H$2004,"&lt;&gt;Cancelled"))</f>
        <v/>
      </c>
      <c r="AF20" s="81">
        <f>IF(OR($B20="",$A20=""),"",$B20&amp;" | "&amp;$A20)</f>
        <v/>
      </c>
    </row>
    <row r="21" ht="15" customHeight="1" s="40">
      <c r="A21" s="65">
        <f>IF(COUNTA(B21:F21)=0,"","TSK-"&amp;TEXT(ROW()-4,"0000"))</f>
        <v/>
      </c>
      <c r="B21" s="78" t="n"/>
      <c r="C21" s="78" t="n"/>
      <c r="D21" s="81" t="n"/>
      <c r="E21" s="81" t="n"/>
      <c r="F21" s="78" t="n"/>
      <c r="G21" s="67">
        <f>IF($F21="","",IFERROR(INDEX(Employee_Master!$C$5:$C$204,MATCH($F21,Employee_Master!$B$5:$B$204,0)),""))</f>
        <v/>
      </c>
      <c r="H21" s="78" t="n"/>
      <c r="I21" s="78" t="n"/>
      <c r="J21" s="67">
        <f>IF($I21="","",IFERROR(INDEX(Action_Status_Map!$B$5:$B$11,MATCH($I21,Action_Status_Map!$A$5:$A$11,0)),""))</f>
        <v/>
      </c>
      <c r="K21" s="82" t="n"/>
      <c r="L21" s="82" t="n"/>
      <c r="M21" s="82" t="n"/>
      <c r="N21" s="83" t="n"/>
      <c r="O21" s="83" t="n"/>
      <c r="P21" s="66">
        <f>IF(OR($N21="",$O21=""),"",$O21-$N21)</f>
        <v/>
      </c>
      <c r="Q21" s="84">
        <f>IF($K21="","",IF($M21&lt;&gt;"",$M21-$K21,TODAY()-$K21))</f>
        <v/>
      </c>
      <c r="R21" s="85">
        <f>IF(OR($L21="",$I21="Completed",$I21="Cancelled"),"",IF(AND($L21&lt;TODAY(),$I21&lt;&gt;"Completed",$I21&lt;&gt;"Cancelled"),"Overdue","On Track"))</f>
        <v/>
      </c>
      <c r="S21" s="65">
        <f>IF($L21="","",TEXT($L21,"yyyy-mm"))</f>
        <v/>
      </c>
      <c r="T21" s="86">
        <f>IF($I21="","",IFERROR(INDEX(Action_Status_Map!$C$5:$C$11,MATCH($I21,Action_Status_Map!$A$5:$A$11,0)),""))</f>
        <v/>
      </c>
      <c r="U21" s="81" t="n"/>
      <c r="V21" s="82" t="n"/>
      <c r="W21" s="65">
        <f>IF(OR($I21&lt;&gt;"Completed",$M21="",$L21=""),"",IF($M21&lt;=$L21,"Yes","No"))</f>
        <v/>
      </c>
      <c r="X21" s="84">
        <f>IF($A21="","",COUNTIF(Task_Steps!$B$5:$B$2004,$A21))</f>
        <v/>
      </c>
      <c r="Y21" s="86">
        <f>IF($X21=0,"",COUNTIFS(Task_Steps!$B$5:$B$2004,$A21,Task_Steps!$H$5:$H$2004,"Completed")/$X21)</f>
        <v/>
      </c>
      <c r="Z21" s="81" t="n"/>
      <c r="AA21" s="81" t="n"/>
      <c r="AB21" s="67">
        <f>IF($F21="","",IFERROR(INDEX(Employee_Master!$E$5:$E$204,MATCH($F21,Employee_Master!$B$5:$B$204,0)),""))</f>
        <v/>
      </c>
      <c r="AC21" s="65">
        <f>IF(OR($A21="",$AB21=""),"",IF(OR($I21="Completed",$I21="Cancelled"),"Closed - in Manager Report","Active - in Manager Report"))</f>
        <v/>
      </c>
      <c r="AD21" s="81">
        <f>IF($A21="","",IFERROR(TEXTJOIN(", ",TRUE,FILTER(Task_Steps!$A$5:$A$2004,Task_Steps!$B$5:$B$2004=$A21)),""))</f>
        <v/>
      </c>
      <c r="AE21" s="84">
        <f>IF($A21="","",COUNTIFS(Task_Steps!$B$5:$B$2004,$A21,Task_Steps!$H$5:$H$2004,"&lt;&gt;Completed",Task_Steps!$H$5:$H$2004,"&lt;&gt;Cancelled"))</f>
        <v/>
      </c>
      <c r="AF21" s="81">
        <f>IF(OR($B21="",$A21=""),"",$B21&amp;" | "&amp;$A21)</f>
        <v/>
      </c>
    </row>
    <row r="22" ht="15" customHeight="1" s="40">
      <c r="A22" s="65">
        <f>IF(COUNTA(B22:F22)=0,"","TSK-"&amp;TEXT(ROW()-4,"0000"))</f>
        <v/>
      </c>
      <c r="B22" s="78" t="n"/>
      <c r="C22" s="78" t="n"/>
      <c r="D22" s="81" t="n"/>
      <c r="E22" s="81" t="n"/>
      <c r="F22" s="78" t="n"/>
      <c r="G22" s="67">
        <f>IF($F22="","",IFERROR(INDEX(Employee_Master!$C$5:$C$204,MATCH($F22,Employee_Master!$B$5:$B$204,0)),""))</f>
        <v/>
      </c>
      <c r="H22" s="78" t="n"/>
      <c r="I22" s="78" t="n"/>
      <c r="J22" s="67">
        <f>IF($I22="","",IFERROR(INDEX(Action_Status_Map!$B$5:$B$11,MATCH($I22,Action_Status_Map!$A$5:$A$11,0)),""))</f>
        <v/>
      </c>
      <c r="K22" s="82" t="n"/>
      <c r="L22" s="82" t="n"/>
      <c r="M22" s="82" t="n"/>
      <c r="N22" s="83" t="n"/>
      <c r="O22" s="83" t="n"/>
      <c r="P22" s="66">
        <f>IF(OR($N22="",$O22=""),"",$O22-$N22)</f>
        <v/>
      </c>
      <c r="Q22" s="84">
        <f>IF($K22="","",IF($M22&lt;&gt;"",$M22-$K22,TODAY()-$K22))</f>
        <v/>
      </c>
      <c r="R22" s="85">
        <f>IF(OR($L22="",$I22="Completed",$I22="Cancelled"),"",IF(AND($L22&lt;TODAY(),$I22&lt;&gt;"Completed",$I22&lt;&gt;"Cancelled"),"Overdue","On Track"))</f>
        <v/>
      </c>
      <c r="S22" s="65">
        <f>IF($L22="","",TEXT($L22,"yyyy-mm"))</f>
        <v/>
      </c>
      <c r="T22" s="86">
        <f>IF($I22="","",IFERROR(INDEX(Action_Status_Map!$C$5:$C$11,MATCH($I22,Action_Status_Map!$A$5:$A$11,0)),""))</f>
        <v/>
      </c>
      <c r="U22" s="81" t="n"/>
      <c r="V22" s="82" t="n"/>
      <c r="W22" s="65">
        <f>IF(OR($I22&lt;&gt;"Completed",$M22="",$L22=""),"",IF($M22&lt;=$L22,"Yes","No"))</f>
        <v/>
      </c>
      <c r="X22" s="84">
        <f>IF($A22="","",COUNTIF(Task_Steps!$B$5:$B$2004,$A22))</f>
        <v/>
      </c>
      <c r="Y22" s="86">
        <f>IF($X22=0,"",COUNTIFS(Task_Steps!$B$5:$B$2004,$A22,Task_Steps!$H$5:$H$2004,"Completed")/$X22)</f>
        <v/>
      </c>
      <c r="Z22" s="81" t="n"/>
      <c r="AA22" s="81" t="n"/>
      <c r="AB22" s="67">
        <f>IF($F22="","",IFERROR(INDEX(Employee_Master!$E$5:$E$204,MATCH($F22,Employee_Master!$B$5:$B$204,0)),""))</f>
        <v/>
      </c>
      <c r="AC22" s="65">
        <f>IF(OR($A22="",$AB22=""),"",IF(OR($I22="Completed",$I22="Cancelled"),"Closed - in Manager Report","Active - in Manager Report"))</f>
        <v/>
      </c>
      <c r="AD22" s="81">
        <f>IF($A22="","",IFERROR(TEXTJOIN(", ",TRUE,FILTER(Task_Steps!$A$5:$A$2004,Task_Steps!$B$5:$B$2004=$A22)),""))</f>
        <v/>
      </c>
      <c r="AE22" s="84">
        <f>IF($A22="","",COUNTIFS(Task_Steps!$B$5:$B$2004,$A22,Task_Steps!$H$5:$H$2004,"&lt;&gt;Completed",Task_Steps!$H$5:$H$2004,"&lt;&gt;Cancelled"))</f>
        <v/>
      </c>
      <c r="AF22" s="81">
        <f>IF(OR($B22="",$A22=""),"",$B22&amp;" | "&amp;$A22)</f>
        <v/>
      </c>
    </row>
    <row r="23" ht="15" customHeight="1" s="40">
      <c r="A23" s="65">
        <f>IF(COUNTA(B23:F23)=0,"","TSK-"&amp;TEXT(ROW()-4,"0000"))</f>
        <v/>
      </c>
      <c r="B23" s="78" t="n"/>
      <c r="C23" s="78" t="n"/>
      <c r="D23" s="81" t="n"/>
      <c r="E23" s="81" t="n"/>
      <c r="F23" s="78" t="n"/>
      <c r="G23" s="67">
        <f>IF($F23="","",IFERROR(INDEX(Employee_Master!$C$5:$C$204,MATCH($F23,Employee_Master!$B$5:$B$204,0)),""))</f>
        <v/>
      </c>
      <c r="H23" s="78" t="n"/>
      <c r="I23" s="78" t="n"/>
      <c r="J23" s="67">
        <f>IF($I23="","",IFERROR(INDEX(Action_Status_Map!$B$5:$B$11,MATCH($I23,Action_Status_Map!$A$5:$A$11,0)),""))</f>
        <v/>
      </c>
      <c r="K23" s="82" t="n"/>
      <c r="L23" s="82" t="n"/>
      <c r="M23" s="82" t="n"/>
      <c r="N23" s="83" t="n"/>
      <c r="O23" s="83" t="n"/>
      <c r="P23" s="66">
        <f>IF(OR($N23="",$O23=""),"",$O23-$N23)</f>
        <v/>
      </c>
      <c r="Q23" s="84">
        <f>IF($K23="","",IF($M23&lt;&gt;"",$M23-$K23,TODAY()-$K23))</f>
        <v/>
      </c>
      <c r="R23" s="85">
        <f>IF(OR($L23="",$I23="Completed",$I23="Cancelled"),"",IF(AND($L23&lt;TODAY(),$I23&lt;&gt;"Completed",$I23&lt;&gt;"Cancelled"),"Overdue","On Track"))</f>
        <v/>
      </c>
      <c r="S23" s="65">
        <f>IF($L23="","",TEXT($L23,"yyyy-mm"))</f>
        <v/>
      </c>
      <c r="T23" s="86">
        <f>IF($I23="","",IFERROR(INDEX(Action_Status_Map!$C$5:$C$11,MATCH($I23,Action_Status_Map!$A$5:$A$11,0)),""))</f>
        <v/>
      </c>
      <c r="U23" s="81" t="n"/>
      <c r="V23" s="82" t="n"/>
      <c r="W23" s="65">
        <f>IF(OR($I23&lt;&gt;"Completed",$M23="",$L23=""),"",IF($M23&lt;=$L23,"Yes","No"))</f>
        <v/>
      </c>
      <c r="X23" s="84">
        <f>IF($A23="","",COUNTIF(Task_Steps!$B$5:$B$2004,$A23))</f>
        <v/>
      </c>
      <c r="Y23" s="86">
        <f>IF($X23=0,"",COUNTIFS(Task_Steps!$B$5:$B$2004,$A23,Task_Steps!$H$5:$H$2004,"Completed")/$X23)</f>
        <v/>
      </c>
      <c r="Z23" s="81" t="n"/>
      <c r="AA23" s="81" t="n"/>
      <c r="AB23" s="67">
        <f>IF($F23="","",IFERROR(INDEX(Employee_Master!$E$5:$E$204,MATCH($F23,Employee_Master!$B$5:$B$204,0)),""))</f>
        <v/>
      </c>
      <c r="AC23" s="65">
        <f>IF(OR($A23="",$AB23=""),"",IF(OR($I23="Completed",$I23="Cancelled"),"Closed - in Manager Report","Active - in Manager Report"))</f>
        <v/>
      </c>
      <c r="AD23" s="81">
        <f>IF($A23="","",IFERROR(TEXTJOIN(", ",TRUE,FILTER(Task_Steps!$A$5:$A$2004,Task_Steps!$B$5:$B$2004=$A23)),""))</f>
        <v/>
      </c>
      <c r="AE23" s="84">
        <f>IF($A23="","",COUNTIFS(Task_Steps!$B$5:$B$2004,$A23,Task_Steps!$H$5:$H$2004,"&lt;&gt;Completed",Task_Steps!$H$5:$H$2004,"&lt;&gt;Cancelled"))</f>
        <v/>
      </c>
      <c r="AF23" s="81">
        <f>IF(OR($B23="",$A23=""),"",$B23&amp;" | "&amp;$A23)</f>
        <v/>
      </c>
    </row>
    <row r="24" ht="15" customHeight="1" s="40">
      <c r="A24" s="65">
        <f>IF(COUNTA(B24:F24)=0,"","TSK-"&amp;TEXT(ROW()-4,"0000"))</f>
        <v/>
      </c>
      <c r="B24" s="78" t="n"/>
      <c r="C24" s="78" t="n"/>
      <c r="D24" s="81" t="n"/>
      <c r="E24" s="81" t="n"/>
      <c r="F24" s="78" t="n"/>
      <c r="G24" s="67">
        <f>IF($F24="","",IFERROR(INDEX(Employee_Master!$C$5:$C$204,MATCH($F24,Employee_Master!$B$5:$B$204,0)),""))</f>
        <v/>
      </c>
      <c r="H24" s="78" t="n"/>
      <c r="I24" s="78" t="n"/>
      <c r="J24" s="67">
        <f>IF($I24="","",IFERROR(INDEX(Action_Status_Map!$B$5:$B$11,MATCH($I24,Action_Status_Map!$A$5:$A$11,0)),""))</f>
        <v/>
      </c>
      <c r="K24" s="82" t="n"/>
      <c r="L24" s="82" t="n"/>
      <c r="M24" s="82" t="n"/>
      <c r="N24" s="83" t="n"/>
      <c r="O24" s="83" t="n"/>
      <c r="P24" s="66">
        <f>IF(OR($N24="",$O24=""),"",$O24-$N24)</f>
        <v/>
      </c>
      <c r="Q24" s="84">
        <f>IF($K24="","",IF($M24&lt;&gt;"",$M24-$K24,TODAY()-$K24))</f>
        <v/>
      </c>
      <c r="R24" s="85">
        <f>IF(OR($L24="",$I24="Completed",$I24="Cancelled"),"",IF(AND($L24&lt;TODAY(),$I24&lt;&gt;"Completed",$I24&lt;&gt;"Cancelled"),"Overdue","On Track"))</f>
        <v/>
      </c>
      <c r="S24" s="65">
        <f>IF($L24="","",TEXT($L24,"yyyy-mm"))</f>
        <v/>
      </c>
      <c r="T24" s="86">
        <f>IF($I24="","",IFERROR(INDEX(Action_Status_Map!$C$5:$C$11,MATCH($I24,Action_Status_Map!$A$5:$A$11,0)),""))</f>
        <v/>
      </c>
      <c r="U24" s="81" t="n"/>
      <c r="V24" s="82" t="n"/>
      <c r="W24" s="65">
        <f>IF(OR($I24&lt;&gt;"Completed",$M24="",$L24=""),"",IF($M24&lt;=$L24,"Yes","No"))</f>
        <v/>
      </c>
      <c r="X24" s="84">
        <f>IF($A24="","",COUNTIF(Task_Steps!$B$5:$B$2004,$A24))</f>
        <v/>
      </c>
      <c r="Y24" s="86">
        <f>IF($X24=0,"",COUNTIFS(Task_Steps!$B$5:$B$2004,$A24,Task_Steps!$H$5:$H$2004,"Completed")/$X24)</f>
        <v/>
      </c>
      <c r="Z24" s="81" t="n"/>
      <c r="AA24" s="81" t="n"/>
      <c r="AB24" s="67">
        <f>IF($F24="","",IFERROR(INDEX(Employee_Master!$E$5:$E$204,MATCH($F24,Employee_Master!$B$5:$B$204,0)),""))</f>
        <v/>
      </c>
      <c r="AC24" s="65">
        <f>IF(OR($A24="",$AB24=""),"",IF(OR($I24="Completed",$I24="Cancelled"),"Closed - in Manager Report","Active - in Manager Report"))</f>
        <v/>
      </c>
      <c r="AD24" s="81">
        <f>IF($A24="","",IFERROR(TEXTJOIN(", ",TRUE,FILTER(Task_Steps!$A$5:$A$2004,Task_Steps!$B$5:$B$2004=$A24)),""))</f>
        <v/>
      </c>
      <c r="AE24" s="84">
        <f>IF($A24="","",COUNTIFS(Task_Steps!$B$5:$B$2004,$A24,Task_Steps!$H$5:$H$2004,"&lt;&gt;Completed",Task_Steps!$H$5:$H$2004,"&lt;&gt;Cancelled"))</f>
        <v/>
      </c>
      <c r="AF24" s="81">
        <f>IF(OR($B24="",$A24=""),"",$B24&amp;" | "&amp;$A24)</f>
        <v/>
      </c>
    </row>
    <row r="25" ht="15" customHeight="1" s="40">
      <c r="A25" s="65">
        <f>IF(COUNTA(B25:F25)=0,"","TSK-"&amp;TEXT(ROW()-4,"0000"))</f>
        <v/>
      </c>
      <c r="B25" s="78" t="n"/>
      <c r="C25" s="78" t="n"/>
      <c r="D25" s="81" t="n"/>
      <c r="E25" s="81" t="n"/>
      <c r="F25" s="78" t="n"/>
      <c r="G25" s="67">
        <f>IF($F25="","",IFERROR(INDEX(Employee_Master!$C$5:$C$204,MATCH($F25,Employee_Master!$B$5:$B$204,0)),""))</f>
        <v/>
      </c>
      <c r="H25" s="78" t="n"/>
      <c r="I25" s="78" t="n"/>
      <c r="J25" s="67">
        <f>IF($I25="","",IFERROR(INDEX(Action_Status_Map!$B$5:$B$11,MATCH($I25,Action_Status_Map!$A$5:$A$11,0)),""))</f>
        <v/>
      </c>
      <c r="K25" s="82" t="n"/>
      <c r="L25" s="82" t="n"/>
      <c r="M25" s="82" t="n"/>
      <c r="N25" s="83" t="n"/>
      <c r="O25" s="83" t="n"/>
      <c r="P25" s="66">
        <f>IF(OR($N25="",$O25=""),"",$O25-$N25)</f>
        <v/>
      </c>
      <c r="Q25" s="84">
        <f>IF($K25="","",IF($M25&lt;&gt;"",$M25-$K25,TODAY()-$K25))</f>
        <v/>
      </c>
      <c r="R25" s="85">
        <f>IF(OR($L25="",$I25="Completed",$I25="Cancelled"),"",IF(AND($L25&lt;TODAY(),$I25&lt;&gt;"Completed",$I25&lt;&gt;"Cancelled"),"Overdue","On Track"))</f>
        <v/>
      </c>
      <c r="S25" s="65">
        <f>IF($L25="","",TEXT($L25,"yyyy-mm"))</f>
        <v/>
      </c>
      <c r="T25" s="86">
        <f>IF($I25="","",IFERROR(INDEX(Action_Status_Map!$C$5:$C$11,MATCH($I25,Action_Status_Map!$A$5:$A$11,0)),""))</f>
        <v/>
      </c>
      <c r="U25" s="81" t="n"/>
      <c r="V25" s="82" t="n"/>
      <c r="W25" s="65">
        <f>IF(OR($I25&lt;&gt;"Completed",$M25="",$L25=""),"",IF($M25&lt;=$L25,"Yes","No"))</f>
        <v/>
      </c>
      <c r="X25" s="84">
        <f>IF($A25="","",COUNTIF(Task_Steps!$B$5:$B$2004,$A25))</f>
        <v/>
      </c>
      <c r="Y25" s="86">
        <f>IF($X25=0,"",COUNTIFS(Task_Steps!$B$5:$B$2004,$A25,Task_Steps!$H$5:$H$2004,"Completed")/$X25)</f>
        <v/>
      </c>
      <c r="Z25" s="81" t="n"/>
      <c r="AA25" s="81" t="n"/>
      <c r="AB25" s="67">
        <f>IF($F25="","",IFERROR(INDEX(Employee_Master!$E$5:$E$204,MATCH($F25,Employee_Master!$B$5:$B$204,0)),""))</f>
        <v/>
      </c>
      <c r="AC25" s="65">
        <f>IF(OR($A25="",$AB25=""),"",IF(OR($I25="Completed",$I25="Cancelled"),"Closed - in Manager Report","Active - in Manager Report"))</f>
        <v/>
      </c>
      <c r="AD25" s="81">
        <f>IF($A25="","",IFERROR(TEXTJOIN(", ",TRUE,FILTER(Task_Steps!$A$5:$A$2004,Task_Steps!$B$5:$B$2004=$A25)),""))</f>
        <v/>
      </c>
      <c r="AE25" s="84">
        <f>IF($A25="","",COUNTIFS(Task_Steps!$B$5:$B$2004,$A25,Task_Steps!$H$5:$H$2004,"&lt;&gt;Completed",Task_Steps!$H$5:$H$2004,"&lt;&gt;Cancelled"))</f>
        <v/>
      </c>
      <c r="AF25" s="81">
        <f>IF(OR($B25="",$A25=""),"",$B25&amp;" | "&amp;$A25)</f>
        <v/>
      </c>
    </row>
    <row r="26" ht="15" customHeight="1" s="40">
      <c r="A26" s="65">
        <f>IF(COUNTA(B26:F26)=0,"","TSK-"&amp;TEXT(ROW()-4,"0000"))</f>
        <v/>
      </c>
      <c r="B26" s="78" t="n"/>
      <c r="C26" s="78" t="n"/>
      <c r="D26" s="81" t="n"/>
      <c r="E26" s="81" t="n"/>
      <c r="F26" s="78" t="n"/>
      <c r="G26" s="67">
        <f>IF($F26="","",IFERROR(INDEX(Employee_Master!$C$5:$C$204,MATCH($F26,Employee_Master!$B$5:$B$204,0)),""))</f>
        <v/>
      </c>
      <c r="H26" s="78" t="n"/>
      <c r="I26" s="78" t="n"/>
      <c r="J26" s="67">
        <f>IF($I26="","",IFERROR(INDEX(Action_Status_Map!$B$5:$B$11,MATCH($I26,Action_Status_Map!$A$5:$A$11,0)),""))</f>
        <v/>
      </c>
      <c r="K26" s="82" t="n"/>
      <c r="L26" s="82" t="n"/>
      <c r="M26" s="82" t="n"/>
      <c r="N26" s="83" t="n"/>
      <c r="O26" s="83" t="n"/>
      <c r="P26" s="66">
        <f>IF(OR($N26="",$O26=""),"",$O26-$N26)</f>
        <v/>
      </c>
      <c r="Q26" s="84">
        <f>IF($K26="","",IF($M26&lt;&gt;"",$M26-$K26,TODAY()-$K26))</f>
        <v/>
      </c>
      <c r="R26" s="85">
        <f>IF(OR($L26="",$I26="Completed",$I26="Cancelled"),"",IF(AND($L26&lt;TODAY(),$I26&lt;&gt;"Completed",$I26&lt;&gt;"Cancelled"),"Overdue","On Track"))</f>
        <v/>
      </c>
      <c r="S26" s="65">
        <f>IF($L26="","",TEXT($L26,"yyyy-mm"))</f>
        <v/>
      </c>
      <c r="T26" s="86">
        <f>IF($I26="","",IFERROR(INDEX(Action_Status_Map!$C$5:$C$11,MATCH($I26,Action_Status_Map!$A$5:$A$11,0)),""))</f>
        <v/>
      </c>
      <c r="U26" s="81" t="n"/>
      <c r="V26" s="82" t="n"/>
      <c r="W26" s="65">
        <f>IF(OR($I26&lt;&gt;"Completed",$M26="",$L26=""),"",IF($M26&lt;=$L26,"Yes","No"))</f>
        <v/>
      </c>
      <c r="X26" s="84">
        <f>IF($A26="","",COUNTIF(Task_Steps!$B$5:$B$2004,$A26))</f>
        <v/>
      </c>
      <c r="Y26" s="86">
        <f>IF($X26=0,"",COUNTIFS(Task_Steps!$B$5:$B$2004,$A26,Task_Steps!$H$5:$H$2004,"Completed")/$X26)</f>
        <v/>
      </c>
      <c r="Z26" s="81" t="n"/>
      <c r="AA26" s="81" t="n"/>
      <c r="AB26" s="67">
        <f>IF($F26="","",IFERROR(INDEX(Employee_Master!$E$5:$E$204,MATCH($F26,Employee_Master!$B$5:$B$204,0)),""))</f>
        <v/>
      </c>
      <c r="AC26" s="65">
        <f>IF(OR($A26="",$AB26=""),"",IF(OR($I26="Completed",$I26="Cancelled"),"Closed - in Manager Report","Active - in Manager Report"))</f>
        <v/>
      </c>
      <c r="AD26" s="81">
        <f>IF($A26="","",IFERROR(TEXTJOIN(", ",TRUE,FILTER(Task_Steps!$A$5:$A$2004,Task_Steps!$B$5:$B$2004=$A26)),""))</f>
        <v/>
      </c>
      <c r="AE26" s="84">
        <f>IF($A26="","",COUNTIFS(Task_Steps!$B$5:$B$2004,$A26,Task_Steps!$H$5:$H$2004,"&lt;&gt;Completed",Task_Steps!$H$5:$H$2004,"&lt;&gt;Cancelled"))</f>
        <v/>
      </c>
      <c r="AF26" s="81">
        <f>IF(OR($B26="",$A26=""),"",$B26&amp;" | "&amp;$A26)</f>
        <v/>
      </c>
    </row>
    <row r="27" ht="15" customHeight="1" s="40">
      <c r="A27" s="65">
        <f>IF(COUNTA(B27:F27)=0,"","TSK-"&amp;TEXT(ROW()-4,"0000"))</f>
        <v/>
      </c>
      <c r="B27" s="78" t="n"/>
      <c r="C27" s="78" t="n"/>
      <c r="D27" s="81" t="n"/>
      <c r="E27" s="81" t="n"/>
      <c r="F27" s="78" t="n"/>
      <c r="G27" s="67">
        <f>IF($F27="","",IFERROR(INDEX(Employee_Master!$C$5:$C$204,MATCH($F27,Employee_Master!$B$5:$B$204,0)),""))</f>
        <v/>
      </c>
      <c r="H27" s="78" t="n"/>
      <c r="I27" s="78" t="n"/>
      <c r="J27" s="67">
        <f>IF($I27="","",IFERROR(INDEX(Action_Status_Map!$B$5:$B$11,MATCH($I27,Action_Status_Map!$A$5:$A$11,0)),""))</f>
        <v/>
      </c>
      <c r="K27" s="82" t="n"/>
      <c r="L27" s="82" t="n"/>
      <c r="M27" s="82" t="n"/>
      <c r="N27" s="83" t="n"/>
      <c r="O27" s="83" t="n"/>
      <c r="P27" s="66">
        <f>IF(OR($N27="",$O27=""),"",$O27-$N27)</f>
        <v/>
      </c>
      <c r="Q27" s="84">
        <f>IF($K27="","",IF($M27&lt;&gt;"",$M27-$K27,TODAY()-$K27))</f>
        <v/>
      </c>
      <c r="R27" s="85">
        <f>IF(OR($L27="",$I27="Completed",$I27="Cancelled"),"",IF(AND($L27&lt;TODAY(),$I27&lt;&gt;"Completed",$I27&lt;&gt;"Cancelled"),"Overdue","On Track"))</f>
        <v/>
      </c>
      <c r="S27" s="65">
        <f>IF($L27="","",TEXT($L27,"yyyy-mm"))</f>
        <v/>
      </c>
      <c r="T27" s="86">
        <f>IF($I27="","",IFERROR(INDEX(Action_Status_Map!$C$5:$C$11,MATCH($I27,Action_Status_Map!$A$5:$A$11,0)),""))</f>
        <v/>
      </c>
      <c r="U27" s="81" t="n"/>
      <c r="V27" s="82" t="n"/>
      <c r="W27" s="65">
        <f>IF(OR($I27&lt;&gt;"Completed",$M27="",$L27=""),"",IF($M27&lt;=$L27,"Yes","No"))</f>
        <v/>
      </c>
      <c r="X27" s="84">
        <f>IF($A27="","",COUNTIF(Task_Steps!$B$5:$B$2004,$A27))</f>
        <v/>
      </c>
      <c r="Y27" s="86">
        <f>IF($X27=0,"",COUNTIFS(Task_Steps!$B$5:$B$2004,$A27,Task_Steps!$H$5:$H$2004,"Completed")/$X27)</f>
        <v/>
      </c>
      <c r="Z27" s="81" t="n"/>
      <c r="AA27" s="81" t="n"/>
      <c r="AB27" s="67">
        <f>IF($F27="","",IFERROR(INDEX(Employee_Master!$E$5:$E$204,MATCH($F27,Employee_Master!$B$5:$B$204,0)),""))</f>
        <v/>
      </c>
      <c r="AC27" s="65">
        <f>IF(OR($A27="",$AB27=""),"",IF(OR($I27="Completed",$I27="Cancelled"),"Closed - in Manager Report","Active - in Manager Report"))</f>
        <v/>
      </c>
      <c r="AD27" s="81">
        <f>IF($A27="","",IFERROR(TEXTJOIN(", ",TRUE,FILTER(Task_Steps!$A$5:$A$2004,Task_Steps!$B$5:$B$2004=$A27)),""))</f>
        <v/>
      </c>
      <c r="AE27" s="84">
        <f>IF($A27="","",COUNTIFS(Task_Steps!$B$5:$B$2004,$A27,Task_Steps!$H$5:$H$2004,"&lt;&gt;Completed",Task_Steps!$H$5:$H$2004,"&lt;&gt;Cancelled"))</f>
        <v/>
      </c>
      <c r="AF27" s="81">
        <f>IF(OR($B27="",$A27=""),"",$B27&amp;" | "&amp;$A27)</f>
        <v/>
      </c>
    </row>
    <row r="28" ht="15" customHeight="1" s="40">
      <c r="A28" s="65">
        <f>IF(COUNTA(B28:F28)=0,"","TSK-"&amp;TEXT(ROW()-4,"0000"))</f>
        <v/>
      </c>
      <c r="B28" s="78" t="n"/>
      <c r="C28" s="78" t="n"/>
      <c r="D28" s="81" t="n"/>
      <c r="E28" s="81" t="n"/>
      <c r="F28" s="78" t="n"/>
      <c r="G28" s="67">
        <f>IF($F28="","",IFERROR(INDEX(Employee_Master!$C$5:$C$204,MATCH($F28,Employee_Master!$B$5:$B$204,0)),""))</f>
        <v/>
      </c>
      <c r="H28" s="78" t="n"/>
      <c r="I28" s="78" t="n"/>
      <c r="J28" s="67">
        <f>IF($I28="","",IFERROR(INDEX(Action_Status_Map!$B$5:$B$11,MATCH($I28,Action_Status_Map!$A$5:$A$11,0)),""))</f>
        <v/>
      </c>
      <c r="K28" s="82" t="n"/>
      <c r="L28" s="82" t="n"/>
      <c r="M28" s="82" t="n"/>
      <c r="N28" s="83" t="n"/>
      <c r="O28" s="83" t="n"/>
      <c r="P28" s="66">
        <f>IF(OR($N28="",$O28=""),"",$O28-$N28)</f>
        <v/>
      </c>
      <c r="Q28" s="84">
        <f>IF($K28="","",IF($M28&lt;&gt;"",$M28-$K28,TODAY()-$K28))</f>
        <v/>
      </c>
      <c r="R28" s="85">
        <f>IF(OR($L28="",$I28="Completed",$I28="Cancelled"),"",IF(AND($L28&lt;TODAY(),$I28&lt;&gt;"Completed",$I28&lt;&gt;"Cancelled"),"Overdue","On Track"))</f>
        <v/>
      </c>
      <c r="S28" s="65">
        <f>IF($L28="","",TEXT($L28,"yyyy-mm"))</f>
        <v/>
      </c>
      <c r="T28" s="86">
        <f>IF($I28="","",IFERROR(INDEX(Action_Status_Map!$C$5:$C$11,MATCH($I28,Action_Status_Map!$A$5:$A$11,0)),""))</f>
        <v/>
      </c>
      <c r="U28" s="81" t="n"/>
      <c r="V28" s="82" t="n"/>
      <c r="W28" s="65">
        <f>IF(OR($I28&lt;&gt;"Completed",$M28="",$L28=""),"",IF($M28&lt;=$L28,"Yes","No"))</f>
        <v/>
      </c>
      <c r="X28" s="84">
        <f>IF($A28="","",COUNTIF(Task_Steps!$B$5:$B$2004,$A28))</f>
        <v/>
      </c>
      <c r="Y28" s="86">
        <f>IF($X28=0,"",COUNTIFS(Task_Steps!$B$5:$B$2004,$A28,Task_Steps!$H$5:$H$2004,"Completed")/$X28)</f>
        <v/>
      </c>
      <c r="Z28" s="81" t="n"/>
      <c r="AA28" s="81" t="n"/>
      <c r="AB28" s="67">
        <f>IF($F28="","",IFERROR(INDEX(Employee_Master!$E$5:$E$204,MATCH($F28,Employee_Master!$B$5:$B$204,0)),""))</f>
        <v/>
      </c>
      <c r="AC28" s="65">
        <f>IF(OR($A28="",$AB28=""),"",IF(OR($I28="Completed",$I28="Cancelled"),"Closed - in Manager Report","Active - in Manager Report"))</f>
        <v/>
      </c>
      <c r="AD28" s="81">
        <f>IF($A28="","",IFERROR(TEXTJOIN(", ",TRUE,FILTER(Task_Steps!$A$5:$A$2004,Task_Steps!$B$5:$B$2004=$A28)),""))</f>
        <v/>
      </c>
      <c r="AE28" s="84">
        <f>IF($A28="","",COUNTIFS(Task_Steps!$B$5:$B$2004,$A28,Task_Steps!$H$5:$H$2004,"&lt;&gt;Completed",Task_Steps!$H$5:$H$2004,"&lt;&gt;Cancelled"))</f>
        <v/>
      </c>
      <c r="AF28" s="81">
        <f>IF(OR($B28="",$A28=""),"",$B28&amp;" | "&amp;$A28)</f>
        <v/>
      </c>
    </row>
    <row r="29" ht="15" customHeight="1" s="40">
      <c r="A29" s="65">
        <f>IF(COUNTA(B29:F29)=0,"","TSK-"&amp;TEXT(ROW()-4,"0000"))</f>
        <v/>
      </c>
      <c r="B29" s="78" t="n"/>
      <c r="C29" s="78" t="n"/>
      <c r="D29" s="81" t="n"/>
      <c r="E29" s="81" t="n"/>
      <c r="F29" s="78" t="n"/>
      <c r="G29" s="67">
        <f>IF($F29="","",IFERROR(INDEX(Employee_Master!$C$5:$C$204,MATCH($F29,Employee_Master!$B$5:$B$204,0)),""))</f>
        <v/>
      </c>
      <c r="H29" s="78" t="n"/>
      <c r="I29" s="78" t="n"/>
      <c r="J29" s="67">
        <f>IF($I29="","",IFERROR(INDEX(Action_Status_Map!$B$5:$B$11,MATCH($I29,Action_Status_Map!$A$5:$A$11,0)),""))</f>
        <v/>
      </c>
      <c r="K29" s="82" t="n"/>
      <c r="L29" s="82" t="n"/>
      <c r="M29" s="82" t="n"/>
      <c r="N29" s="83" t="n"/>
      <c r="O29" s="83" t="n"/>
      <c r="P29" s="66">
        <f>IF(OR($N29="",$O29=""),"",$O29-$N29)</f>
        <v/>
      </c>
      <c r="Q29" s="84">
        <f>IF($K29="","",IF($M29&lt;&gt;"",$M29-$K29,TODAY()-$K29))</f>
        <v/>
      </c>
      <c r="R29" s="85">
        <f>IF(OR($L29="",$I29="Completed",$I29="Cancelled"),"",IF(AND($L29&lt;TODAY(),$I29&lt;&gt;"Completed",$I29&lt;&gt;"Cancelled"),"Overdue","On Track"))</f>
        <v/>
      </c>
      <c r="S29" s="65">
        <f>IF($L29="","",TEXT($L29,"yyyy-mm"))</f>
        <v/>
      </c>
      <c r="T29" s="86">
        <f>IF($I29="","",IFERROR(INDEX(Action_Status_Map!$C$5:$C$11,MATCH($I29,Action_Status_Map!$A$5:$A$11,0)),""))</f>
        <v/>
      </c>
      <c r="U29" s="81" t="n"/>
      <c r="V29" s="82" t="n"/>
      <c r="W29" s="65">
        <f>IF(OR($I29&lt;&gt;"Completed",$M29="",$L29=""),"",IF($M29&lt;=$L29,"Yes","No"))</f>
        <v/>
      </c>
      <c r="X29" s="84">
        <f>IF($A29="","",COUNTIF(Task_Steps!$B$5:$B$2004,$A29))</f>
        <v/>
      </c>
      <c r="Y29" s="86">
        <f>IF($X29=0,"",COUNTIFS(Task_Steps!$B$5:$B$2004,$A29,Task_Steps!$H$5:$H$2004,"Completed")/$X29)</f>
        <v/>
      </c>
      <c r="Z29" s="81" t="n"/>
      <c r="AA29" s="81" t="n"/>
      <c r="AB29" s="67">
        <f>IF($F29="","",IFERROR(INDEX(Employee_Master!$E$5:$E$204,MATCH($F29,Employee_Master!$B$5:$B$204,0)),""))</f>
        <v/>
      </c>
      <c r="AC29" s="65">
        <f>IF(OR($A29="",$AB29=""),"",IF(OR($I29="Completed",$I29="Cancelled"),"Closed - in Manager Report","Active - in Manager Report"))</f>
        <v/>
      </c>
      <c r="AD29" s="81">
        <f>IF($A29="","",IFERROR(TEXTJOIN(", ",TRUE,FILTER(Task_Steps!$A$5:$A$2004,Task_Steps!$B$5:$B$2004=$A29)),""))</f>
        <v/>
      </c>
      <c r="AE29" s="84">
        <f>IF($A29="","",COUNTIFS(Task_Steps!$B$5:$B$2004,$A29,Task_Steps!$H$5:$H$2004,"&lt;&gt;Completed",Task_Steps!$H$5:$H$2004,"&lt;&gt;Cancelled"))</f>
        <v/>
      </c>
      <c r="AF29" s="81">
        <f>IF(OR($B29="",$A29=""),"",$B29&amp;" | "&amp;$A29)</f>
        <v/>
      </c>
    </row>
    <row r="30" ht="15" customHeight="1" s="40">
      <c r="A30" s="65">
        <f>IF(COUNTA(B30:F30)=0,"","TSK-"&amp;TEXT(ROW()-4,"0000"))</f>
        <v/>
      </c>
      <c r="B30" s="78" t="n"/>
      <c r="C30" s="78" t="n"/>
      <c r="D30" s="81" t="n"/>
      <c r="E30" s="81" t="n"/>
      <c r="F30" s="78" t="n"/>
      <c r="G30" s="67">
        <f>IF($F30="","",IFERROR(INDEX(Employee_Master!$C$5:$C$204,MATCH($F30,Employee_Master!$B$5:$B$204,0)),""))</f>
        <v/>
      </c>
      <c r="H30" s="78" t="n"/>
      <c r="I30" s="78" t="n"/>
      <c r="J30" s="67">
        <f>IF($I30="","",IFERROR(INDEX(Action_Status_Map!$B$5:$B$11,MATCH($I30,Action_Status_Map!$A$5:$A$11,0)),""))</f>
        <v/>
      </c>
      <c r="K30" s="82" t="n"/>
      <c r="L30" s="82" t="n"/>
      <c r="M30" s="82" t="n"/>
      <c r="N30" s="83" t="n"/>
      <c r="O30" s="83" t="n"/>
      <c r="P30" s="66">
        <f>IF(OR($N30="",$O30=""),"",$O30-$N30)</f>
        <v/>
      </c>
      <c r="Q30" s="84">
        <f>IF($K30="","",IF($M30&lt;&gt;"",$M30-$K30,TODAY()-$K30))</f>
        <v/>
      </c>
      <c r="R30" s="85">
        <f>IF(OR($L30="",$I30="Completed",$I30="Cancelled"),"",IF(AND($L30&lt;TODAY(),$I30&lt;&gt;"Completed",$I30&lt;&gt;"Cancelled"),"Overdue","On Track"))</f>
        <v/>
      </c>
      <c r="S30" s="65">
        <f>IF($L30="","",TEXT($L30,"yyyy-mm"))</f>
        <v/>
      </c>
      <c r="T30" s="86">
        <f>IF($I30="","",IFERROR(INDEX(Action_Status_Map!$C$5:$C$11,MATCH($I30,Action_Status_Map!$A$5:$A$11,0)),""))</f>
        <v/>
      </c>
      <c r="U30" s="81" t="n"/>
      <c r="V30" s="82" t="n"/>
      <c r="W30" s="65">
        <f>IF(OR($I30&lt;&gt;"Completed",$M30="",$L30=""),"",IF($M30&lt;=$L30,"Yes","No"))</f>
        <v/>
      </c>
      <c r="X30" s="84">
        <f>IF($A30="","",COUNTIF(Task_Steps!$B$5:$B$2004,$A30))</f>
        <v/>
      </c>
      <c r="Y30" s="86">
        <f>IF($X30=0,"",COUNTIFS(Task_Steps!$B$5:$B$2004,$A30,Task_Steps!$H$5:$H$2004,"Completed")/$X30)</f>
        <v/>
      </c>
      <c r="Z30" s="81" t="n"/>
      <c r="AA30" s="81" t="n"/>
      <c r="AB30" s="67">
        <f>IF($F30="","",IFERROR(INDEX(Employee_Master!$E$5:$E$204,MATCH($F30,Employee_Master!$B$5:$B$204,0)),""))</f>
        <v/>
      </c>
      <c r="AC30" s="65">
        <f>IF(OR($A30="",$AB30=""),"",IF(OR($I30="Completed",$I30="Cancelled"),"Closed - in Manager Report","Active - in Manager Report"))</f>
        <v/>
      </c>
      <c r="AD30" s="81">
        <f>IF($A30="","",IFERROR(TEXTJOIN(", ",TRUE,FILTER(Task_Steps!$A$5:$A$2004,Task_Steps!$B$5:$B$2004=$A30)),""))</f>
        <v/>
      </c>
      <c r="AE30" s="84">
        <f>IF($A30="","",COUNTIFS(Task_Steps!$B$5:$B$2004,$A30,Task_Steps!$H$5:$H$2004,"&lt;&gt;Completed",Task_Steps!$H$5:$H$2004,"&lt;&gt;Cancelled"))</f>
        <v/>
      </c>
      <c r="AF30" s="81">
        <f>IF(OR($B30="",$A30=""),"",$B30&amp;" | "&amp;$A30)</f>
        <v/>
      </c>
    </row>
    <row r="31" ht="15" customHeight="1" s="40">
      <c r="A31" s="65">
        <f>IF(COUNTA(B31:F31)=0,"","TSK-"&amp;TEXT(ROW()-4,"0000"))</f>
        <v/>
      </c>
      <c r="B31" s="78" t="n"/>
      <c r="C31" s="78" t="n"/>
      <c r="D31" s="81" t="n"/>
      <c r="E31" s="81" t="n"/>
      <c r="F31" s="78" t="n"/>
      <c r="G31" s="67">
        <f>IF($F31="","",IFERROR(INDEX(Employee_Master!$C$5:$C$204,MATCH($F31,Employee_Master!$B$5:$B$204,0)),""))</f>
        <v/>
      </c>
      <c r="H31" s="78" t="n"/>
      <c r="I31" s="78" t="n"/>
      <c r="J31" s="67">
        <f>IF($I31="","",IFERROR(INDEX(Action_Status_Map!$B$5:$B$11,MATCH($I31,Action_Status_Map!$A$5:$A$11,0)),""))</f>
        <v/>
      </c>
      <c r="K31" s="82" t="n"/>
      <c r="L31" s="82" t="n"/>
      <c r="M31" s="82" t="n"/>
      <c r="N31" s="83" t="n"/>
      <c r="O31" s="83" t="n"/>
      <c r="P31" s="66">
        <f>IF(OR($N31="",$O31=""),"",$O31-$N31)</f>
        <v/>
      </c>
      <c r="Q31" s="84">
        <f>IF($K31="","",IF($M31&lt;&gt;"",$M31-$K31,TODAY()-$K31))</f>
        <v/>
      </c>
      <c r="R31" s="85">
        <f>IF(OR($L31="",$I31="Completed",$I31="Cancelled"),"",IF(AND($L31&lt;TODAY(),$I31&lt;&gt;"Completed",$I31&lt;&gt;"Cancelled"),"Overdue","On Track"))</f>
        <v/>
      </c>
      <c r="S31" s="65">
        <f>IF($L31="","",TEXT($L31,"yyyy-mm"))</f>
        <v/>
      </c>
      <c r="T31" s="86">
        <f>IF($I31="","",IFERROR(INDEX(Action_Status_Map!$C$5:$C$11,MATCH($I31,Action_Status_Map!$A$5:$A$11,0)),""))</f>
        <v/>
      </c>
      <c r="U31" s="81" t="n"/>
      <c r="V31" s="82" t="n"/>
      <c r="W31" s="65">
        <f>IF(OR($I31&lt;&gt;"Completed",$M31="",$L31=""),"",IF($M31&lt;=$L31,"Yes","No"))</f>
        <v/>
      </c>
      <c r="X31" s="84">
        <f>IF($A31="","",COUNTIF(Task_Steps!$B$5:$B$2004,$A31))</f>
        <v/>
      </c>
      <c r="Y31" s="86">
        <f>IF($X31=0,"",COUNTIFS(Task_Steps!$B$5:$B$2004,$A31,Task_Steps!$H$5:$H$2004,"Completed")/$X31)</f>
        <v/>
      </c>
      <c r="Z31" s="81" t="n"/>
      <c r="AA31" s="81" t="n"/>
      <c r="AB31" s="67">
        <f>IF($F31="","",IFERROR(INDEX(Employee_Master!$E$5:$E$204,MATCH($F31,Employee_Master!$B$5:$B$204,0)),""))</f>
        <v/>
      </c>
      <c r="AC31" s="65">
        <f>IF(OR($A31="",$AB31=""),"",IF(OR($I31="Completed",$I31="Cancelled"),"Closed - in Manager Report","Active - in Manager Report"))</f>
        <v/>
      </c>
      <c r="AD31" s="81">
        <f>IF($A31="","",IFERROR(TEXTJOIN(", ",TRUE,FILTER(Task_Steps!$A$5:$A$2004,Task_Steps!$B$5:$B$2004=$A31)),""))</f>
        <v/>
      </c>
      <c r="AE31" s="84">
        <f>IF($A31="","",COUNTIFS(Task_Steps!$B$5:$B$2004,$A31,Task_Steps!$H$5:$H$2004,"&lt;&gt;Completed",Task_Steps!$H$5:$H$2004,"&lt;&gt;Cancelled"))</f>
        <v/>
      </c>
      <c r="AF31" s="81">
        <f>IF(OR($B31="",$A31=""),"",$B31&amp;" | "&amp;$A31)</f>
        <v/>
      </c>
    </row>
    <row r="32" ht="15" customHeight="1" s="40">
      <c r="A32" s="65">
        <f>IF(COUNTA(B32:F32)=0,"","TSK-"&amp;TEXT(ROW()-4,"0000"))</f>
        <v/>
      </c>
      <c r="B32" s="78" t="n"/>
      <c r="C32" s="78" t="n"/>
      <c r="D32" s="81" t="n"/>
      <c r="E32" s="81" t="n"/>
      <c r="F32" s="78" t="n"/>
      <c r="G32" s="67">
        <f>IF($F32="","",IFERROR(INDEX(Employee_Master!$C$5:$C$204,MATCH($F32,Employee_Master!$B$5:$B$204,0)),""))</f>
        <v/>
      </c>
      <c r="H32" s="78" t="n"/>
      <c r="I32" s="78" t="n"/>
      <c r="J32" s="67">
        <f>IF($I32="","",IFERROR(INDEX(Action_Status_Map!$B$5:$B$11,MATCH($I32,Action_Status_Map!$A$5:$A$11,0)),""))</f>
        <v/>
      </c>
      <c r="K32" s="82" t="n"/>
      <c r="L32" s="82" t="n"/>
      <c r="M32" s="82" t="n"/>
      <c r="N32" s="83" t="n"/>
      <c r="O32" s="83" t="n"/>
      <c r="P32" s="66">
        <f>IF(OR($N32="",$O32=""),"",$O32-$N32)</f>
        <v/>
      </c>
      <c r="Q32" s="84">
        <f>IF($K32="","",IF($M32&lt;&gt;"",$M32-$K32,TODAY()-$K32))</f>
        <v/>
      </c>
      <c r="R32" s="85">
        <f>IF(OR($L32="",$I32="Completed",$I32="Cancelled"),"",IF(AND($L32&lt;TODAY(),$I32&lt;&gt;"Completed",$I32&lt;&gt;"Cancelled"),"Overdue","On Track"))</f>
        <v/>
      </c>
      <c r="S32" s="65">
        <f>IF($L32="","",TEXT($L32,"yyyy-mm"))</f>
        <v/>
      </c>
      <c r="T32" s="86">
        <f>IF($I32="","",IFERROR(INDEX(Action_Status_Map!$C$5:$C$11,MATCH($I32,Action_Status_Map!$A$5:$A$11,0)),""))</f>
        <v/>
      </c>
      <c r="U32" s="81" t="n"/>
      <c r="V32" s="82" t="n"/>
      <c r="W32" s="65">
        <f>IF(OR($I32&lt;&gt;"Completed",$M32="",$L32=""),"",IF($M32&lt;=$L32,"Yes","No"))</f>
        <v/>
      </c>
      <c r="X32" s="84">
        <f>IF($A32="","",COUNTIF(Task_Steps!$B$5:$B$2004,$A32))</f>
        <v/>
      </c>
      <c r="Y32" s="86">
        <f>IF($X32=0,"",COUNTIFS(Task_Steps!$B$5:$B$2004,$A32,Task_Steps!$H$5:$H$2004,"Completed")/$X32)</f>
        <v/>
      </c>
      <c r="Z32" s="81" t="n"/>
      <c r="AA32" s="81" t="n"/>
      <c r="AB32" s="67">
        <f>IF($F32="","",IFERROR(INDEX(Employee_Master!$E$5:$E$204,MATCH($F32,Employee_Master!$B$5:$B$204,0)),""))</f>
        <v/>
      </c>
      <c r="AC32" s="65">
        <f>IF(OR($A32="",$AB32=""),"",IF(OR($I32="Completed",$I32="Cancelled"),"Closed - in Manager Report","Active - in Manager Report"))</f>
        <v/>
      </c>
      <c r="AD32" s="81">
        <f>IF($A32="","",IFERROR(TEXTJOIN(", ",TRUE,FILTER(Task_Steps!$A$5:$A$2004,Task_Steps!$B$5:$B$2004=$A32)),""))</f>
        <v/>
      </c>
      <c r="AE32" s="84">
        <f>IF($A32="","",COUNTIFS(Task_Steps!$B$5:$B$2004,$A32,Task_Steps!$H$5:$H$2004,"&lt;&gt;Completed",Task_Steps!$H$5:$H$2004,"&lt;&gt;Cancelled"))</f>
        <v/>
      </c>
      <c r="AF32" s="81">
        <f>IF(OR($B32="",$A32=""),"",$B32&amp;" | "&amp;$A32)</f>
        <v/>
      </c>
    </row>
    <row r="33" ht="15" customHeight="1" s="40">
      <c r="A33" s="65">
        <f>IF(COUNTA(B33:F33)=0,"","TSK-"&amp;TEXT(ROW()-4,"0000"))</f>
        <v/>
      </c>
      <c r="B33" s="78" t="n"/>
      <c r="C33" s="78" t="n"/>
      <c r="D33" s="81" t="n"/>
      <c r="E33" s="81" t="n"/>
      <c r="F33" s="78" t="n"/>
      <c r="G33" s="67">
        <f>IF($F33="","",IFERROR(INDEX(Employee_Master!$C$5:$C$204,MATCH($F33,Employee_Master!$B$5:$B$204,0)),""))</f>
        <v/>
      </c>
      <c r="H33" s="78" t="n"/>
      <c r="I33" s="78" t="n"/>
      <c r="J33" s="67">
        <f>IF($I33="","",IFERROR(INDEX(Action_Status_Map!$B$5:$B$11,MATCH($I33,Action_Status_Map!$A$5:$A$11,0)),""))</f>
        <v/>
      </c>
      <c r="K33" s="82" t="n"/>
      <c r="L33" s="82" t="n"/>
      <c r="M33" s="82" t="n"/>
      <c r="N33" s="83" t="n"/>
      <c r="O33" s="83" t="n"/>
      <c r="P33" s="66">
        <f>IF(OR($N33="",$O33=""),"",$O33-$N33)</f>
        <v/>
      </c>
      <c r="Q33" s="84">
        <f>IF($K33="","",IF($M33&lt;&gt;"",$M33-$K33,TODAY()-$K33))</f>
        <v/>
      </c>
      <c r="R33" s="85">
        <f>IF(OR($L33="",$I33="Completed",$I33="Cancelled"),"",IF(AND($L33&lt;TODAY(),$I33&lt;&gt;"Completed",$I33&lt;&gt;"Cancelled"),"Overdue","On Track"))</f>
        <v/>
      </c>
      <c r="S33" s="65">
        <f>IF($L33="","",TEXT($L33,"yyyy-mm"))</f>
        <v/>
      </c>
      <c r="T33" s="86">
        <f>IF($I33="","",IFERROR(INDEX(Action_Status_Map!$C$5:$C$11,MATCH($I33,Action_Status_Map!$A$5:$A$11,0)),""))</f>
        <v/>
      </c>
      <c r="U33" s="81" t="n"/>
      <c r="V33" s="82" t="n"/>
      <c r="W33" s="65">
        <f>IF(OR($I33&lt;&gt;"Completed",$M33="",$L33=""),"",IF($M33&lt;=$L33,"Yes","No"))</f>
        <v/>
      </c>
      <c r="X33" s="84">
        <f>IF($A33="","",COUNTIF(Task_Steps!$B$5:$B$2004,$A33))</f>
        <v/>
      </c>
      <c r="Y33" s="86">
        <f>IF($X33=0,"",COUNTIFS(Task_Steps!$B$5:$B$2004,$A33,Task_Steps!$H$5:$H$2004,"Completed")/$X33)</f>
        <v/>
      </c>
      <c r="Z33" s="81" t="n"/>
      <c r="AA33" s="81" t="n"/>
      <c r="AB33" s="67">
        <f>IF($F33="","",IFERROR(INDEX(Employee_Master!$E$5:$E$204,MATCH($F33,Employee_Master!$B$5:$B$204,0)),""))</f>
        <v/>
      </c>
      <c r="AC33" s="65">
        <f>IF(OR($A33="",$AB33=""),"",IF(OR($I33="Completed",$I33="Cancelled"),"Closed - in Manager Report","Active - in Manager Report"))</f>
        <v/>
      </c>
      <c r="AD33" s="81">
        <f>IF($A33="","",IFERROR(TEXTJOIN(", ",TRUE,FILTER(Task_Steps!$A$5:$A$2004,Task_Steps!$B$5:$B$2004=$A33)),""))</f>
        <v/>
      </c>
      <c r="AE33" s="84">
        <f>IF($A33="","",COUNTIFS(Task_Steps!$B$5:$B$2004,$A33,Task_Steps!$H$5:$H$2004,"&lt;&gt;Completed",Task_Steps!$H$5:$H$2004,"&lt;&gt;Cancelled"))</f>
        <v/>
      </c>
      <c r="AF33" s="81">
        <f>IF(OR($B33="",$A33=""),"",$B33&amp;" | "&amp;$A33)</f>
        <v/>
      </c>
    </row>
    <row r="34" ht="15" customHeight="1" s="40">
      <c r="A34" s="65">
        <f>IF(COUNTA(B34:F34)=0,"","TSK-"&amp;TEXT(ROW()-4,"0000"))</f>
        <v/>
      </c>
      <c r="B34" s="78" t="n"/>
      <c r="C34" s="78" t="n"/>
      <c r="D34" s="81" t="n"/>
      <c r="E34" s="81" t="n"/>
      <c r="F34" s="78" t="n"/>
      <c r="G34" s="67">
        <f>IF($F34="","",IFERROR(INDEX(Employee_Master!$C$5:$C$204,MATCH($F34,Employee_Master!$B$5:$B$204,0)),""))</f>
        <v/>
      </c>
      <c r="H34" s="78" t="n"/>
      <c r="I34" s="78" t="n"/>
      <c r="J34" s="67">
        <f>IF($I34="","",IFERROR(INDEX(Action_Status_Map!$B$5:$B$11,MATCH($I34,Action_Status_Map!$A$5:$A$11,0)),""))</f>
        <v/>
      </c>
      <c r="K34" s="82" t="n"/>
      <c r="L34" s="82" t="n"/>
      <c r="M34" s="82" t="n"/>
      <c r="N34" s="83" t="n"/>
      <c r="O34" s="83" t="n"/>
      <c r="P34" s="66">
        <f>IF(OR($N34="",$O34=""),"",$O34-$N34)</f>
        <v/>
      </c>
      <c r="Q34" s="84">
        <f>IF($K34="","",IF($M34&lt;&gt;"",$M34-$K34,TODAY()-$K34))</f>
        <v/>
      </c>
      <c r="R34" s="85">
        <f>IF(OR($L34="",$I34="Completed",$I34="Cancelled"),"",IF(AND($L34&lt;TODAY(),$I34&lt;&gt;"Completed",$I34&lt;&gt;"Cancelled"),"Overdue","On Track"))</f>
        <v/>
      </c>
      <c r="S34" s="65">
        <f>IF($L34="","",TEXT($L34,"yyyy-mm"))</f>
        <v/>
      </c>
      <c r="T34" s="86">
        <f>IF($I34="","",IFERROR(INDEX(Action_Status_Map!$C$5:$C$11,MATCH($I34,Action_Status_Map!$A$5:$A$11,0)),""))</f>
        <v/>
      </c>
      <c r="U34" s="81" t="n"/>
      <c r="V34" s="82" t="n"/>
      <c r="W34" s="65">
        <f>IF(OR($I34&lt;&gt;"Completed",$M34="",$L34=""),"",IF($M34&lt;=$L34,"Yes","No"))</f>
        <v/>
      </c>
      <c r="X34" s="84">
        <f>IF($A34="","",COUNTIF(Task_Steps!$B$5:$B$2004,$A34))</f>
        <v/>
      </c>
      <c r="Y34" s="86">
        <f>IF($X34=0,"",COUNTIFS(Task_Steps!$B$5:$B$2004,$A34,Task_Steps!$H$5:$H$2004,"Completed")/$X34)</f>
        <v/>
      </c>
      <c r="Z34" s="81" t="n"/>
      <c r="AA34" s="81" t="n"/>
      <c r="AB34" s="67">
        <f>IF($F34="","",IFERROR(INDEX(Employee_Master!$E$5:$E$204,MATCH($F34,Employee_Master!$B$5:$B$204,0)),""))</f>
        <v/>
      </c>
      <c r="AC34" s="65">
        <f>IF(OR($A34="",$AB34=""),"",IF(OR($I34="Completed",$I34="Cancelled"),"Closed - in Manager Report","Active - in Manager Report"))</f>
        <v/>
      </c>
      <c r="AD34" s="81">
        <f>IF($A34="","",IFERROR(TEXTJOIN(", ",TRUE,FILTER(Task_Steps!$A$5:$A$2004,Task_Steps!$B$5:$B$2004=$A34)),""))</f>
        <v/>
      </c>
      <c r="AE34" s="84">
        <f>IF($A34="","",COUNTIFS(Task_Steps!$B$5:$B$2004,$A34,Task_Steps!$H$5:$H$2004,"&lt;&gt;Completed",Task_Steps!$H$5:$H$2004,"&lt;&gt;Cancelled"))</f>
        <v/>
      </c>
      <c r="AF34" s="81">
        <f>IF(OR($B34="",$A34=""),"",$B34&amp;" | "&amp;$A34)</f>
        <v/>
      </c>
    </row>
    <row r="35" ht="15" customHeight="1" s="40">
      <c r="A35" s="65">
        <f>IF(COUNTA(B35:F35)=0,"","TSK-"&amp;TEXT(ROW()-4,"0000"))</f>
        <v/>
      </c>
      <c r="B35" s="78" t="n"/>
      <c r="C35" s="78" t="n"/>
      <c r="D35" s="81" t="n"/>
      <c r="E35" s="81" t="n"/>
      <c r="F35" s="78" t="n"/>
      <c r="G35" s="67">
        <f>IF($F35="","",IFERROR(INDEX(Employee_Master!$C$5:$C$204,MATCH($F35,Employee_Master!$B$5:$B$204,0)),""))</f>
        <v/>
      </c>
      <c r="H35" s="78" t="n"/>
      <c r="I35" s="78" t="n"/>
      <c r="J35" s="67">
        <f>IF($I35="","",IFERROR(INDEX(Action_Status_Map!$B$5:$B$11,MATCH($I35,Action_Status_Map!$A$5:$A$11,0)),""))</f>
        <v/>
      </c>
      <c r="K35" s="82" t="n"/>
      <c r="L35" s="82" t="n"/>
      <c r="M35" s="82" t="n"/>
      <c r="N35" s="83" t="n"/>
      <c r="O35" s="83" t="n"/>
      <c r="P35" s="66">
        <f>IF(OR($N35="",$O35=""),"",$O35-$N35)</f>
        <v/>
      </c>
      <c r="Q35" s="84">
        <f>IF($K35="","",IF($M35&lt;&gt;"",$M35-$K35,TODAY()-$K35))</f>
        <v/>
      </c>
      <c r="R35" s="85">
        <f>IF(OR($L35="",$I35="Completed",$I35="Cancelled"),"",IF(AND($L35&lt;TODAY(),$I35&lt;&gt;"Completed",$I35&lt;&gt;"Cancelled"),"Overdue","On Track"))</f>
        <v/>
      </c>
      <c r="S35" s="65">
        <f>IF($L35="","",TEXT($L35,"yyyy-mm"))</f>
        <v/>
      </c>
      <c r="T35" s="86">
        <f>IF($I35="","",IFERROR(INDEX(Action_Status_Map!$C$5:$C$11,MATCH($I35,Action_Status_Map!$A$5:$A$11,0)),""))</f>
        <v/>
      </c>
      <c r="U35" s="81" t="n"/>
      <c r="V35" s="82" t="n"/>
      <c r="W35" s="65">
        <f>IF(OR($I35&lt;&gt;"Completed",$M35="",$L35=""),"",IF($M35&lt;=$L35,"Yes","No"))</f>
        <v/>
      </c>
      <c r="X35" s="84">
        <f>IF($A35="","",COUNTIF(Task_Steps!$B$5:$B$2004,$A35))</f>
        <v/>
      </c>
      <c r="Y35" s="86">
        <f>IF($X35=0,"",COUNTIFS(Task_Steps!$B$5:$B$2004,$A35,Task_Steps!$H$5:$H$2004,"Completed")/$X35)</f>
        <v/>
      </c>
      <c r="Z35" s="81" t="n"/>
      <c r="AA35" s="81" t="n"/>
      <c r="AB35" s="67">
        <f>IF($F35="","",IFERROR(INDEX(Employee_Master!$E$5:$E$204,MATCH($F35,Employee_Master!$B$5:$B$204,0)),""))</f>
        <v/>
      </c>
      <c r="AC35" s="65">
        <f>IF(OR($A35="",$AB35=""),"",IF(OR($I35="Completed",$I35="Cancelled"),"Closed - in Manager Report","Active - in Manager Report"))</f>
        <v/>
      </c>
      <c r="AD35" s="81">
        <f>IF($A35="","",IFERROR(TEXTJOIN(", ",TRUE,FILTER(Task_Steps!$A$5:$A$2004,Task_Steps!$B$5:$B$2004=$A35)),""))</f>
        <v/>
      </c>
      <c r="AE35" s="84">
        <f>IF($A35="","",COUNTIFS(Task_Steps!$B$5:$B$2004,$A35,Task_Steps!$H$5:$H$2004,"&lt;&gt;Completed",Task_Steps!$H$5:$H$2004,"&lt;&gt;Cancelled"))</f>
        <v/>
      </c>
      <c r="AF35" s="81">
        <f>IF(OR($B35="",$A35=""),"",$B35&amp;" | "&amp;$A35)</f>
        <v/>
      </c>
    </row>
    <row r="36" ht="15" customHeight="1" s="40">
      <c r="A36" s="65">
        <f>IF(COUNTA(B36:F36)=0,"","TSK-"&amp;TEXT(ROW()-4,"0000"))</f>
        <v/>
      </c>
      <c r="B36" s="78" t="n"/>
      <c r="C36" s="78" t="n"/>
      <c r="D36" s="81" t="n"/>
      <c r="E36" s="81" t="n"/>
      <c r="F36" s="78" t="n"/>
      <c r="G36" s="67">
        <f>IF($F36="","",IFERROR(INDEX(Employee_Master!$C$5:$C$204,MATCH($F36,Employee_Master!$B$5:$B$204,0)),""))</f>
        <v/>
      </c>
      <c r="H36" s="78" t="n"/>
      <c r="I36" s="78" t="n"/>
      <c r="J36" s="67">
        <f>IF($I36="","",IFERROR(INDEX(Action_Status_Map!$B$5:$B$11,MATCH($I36,Action_Status_Map!$A$5:$A$11,0)),""))</f>
        <v/>
      </c>
      <c r="K36" s="82" t="n"/>
      <c r="L36" s="82" t="n"/>
      <c r="M36" s="82" t="n"/>
      <c r="N36" s="83" t="n"/>
      <c r="O36" s="83" t="n"/>
      <c r="P36" s="66">
        <f>IF(OR($N36="",$O36=""),"",$O36-$N36)</f>
        <v/>
      </c>
      <c r="Q36" s="84">
        <f>IF($K36="","",IF($M36&lt;&gt;"",$M36-$K36,TODAY()-$K36))</f>
        <v/>
      </c>
      <c r="R36" s="85">
        <f>IF(OR($L36="",$I36="Completed",$I36="Cancelled"),"",IF(AND($L36&lt;TODAY(),$I36&lt;&gt;"Completed",$I36&lt;&gt;"Cancelled"),"Overdue","On Track"))</f>
        <v/>
      </c>
      <c r="S36" s="65">
        <f>IF($L36="","",TEXT($L36,"yyyy-mm"))</f>
        <v/>
      </c>
      <c r="T36" s="86">
        <f>IF($I36="","",IFERROR(INDEX(Action_Status_Map!$C$5:$C$11,MATCH($I36,Action_Status_Map!$A$5:$A$11,0)),""))</f>
        <v/>
      </c>
      <c r="U36" s="81" t="n"/>
      <c r="V36" s="82" t="n"/>
      <c r="W36" s="65">
        <f>IF(OR($I36&lt;&gt;"Completed",$M36="",$L36=""),"",IF($M36&lt;=$L36,"Yes","No"))</f>
        <v/>
      </c>
      <c r="X36" s="84">
        <f>IF($A36="","",COUNTIF(Task_Steps!$B$5:$B$2004,$A36))</f>
        <v/>
      </c>
      <c r="Y36" s="86">
        <f>IF($X36=0,"",COUNTIFS(Task_Steps!$B$5:$B$2004,$A36,Task_Steps!$H$5:$H$2004,"Completed")/$X36)</f>
        <v/>
      </c>
      <c r="Z36" s="81" t="n"/>
      <c r="AA36" s="81" t="n"/>
      <c r="AB36" s="67">
        <f>IF($F36="","",IFERROR(INDEX(Employee_Master!$E$5:$E$204,MATCH($F36,Employee_Master!$B$5:$B$204,0)),""))</f>
        <v/>
      </c>
      <c r="AC36" s="65">
        <f>IF(OR($A36="",$AB36=""),"",IF(OR($I36="Completed",$I36="Cancelled"),"Closed - in Manager Report","Active - in Manager Report"))</f>
        <v/>
      </c>
      <c r="AD36" s="81">
        <f>IF($A36="","",IFERROR(TEXTJOIN(", ",TRUE,FILTER(Task_Steps!$A$5:$A$2004,Task_Steps!$B$5:$B$2004=$A36)),""))</f>
        <v/>
      </c>
      <c r="AE36" s="84">
        <f>IF($A36="","",COUNTIFS(Task_Steps!$B$5:$B$2004,$A36,Task_Steps!$H$5:$H$2004,"&lt;&gt;Completed",Task_Steps!$H$5:$H$2004,"&lt;&gt;Cancelled"))</f>
        <v/>
      </c>
      <c r="AF36" s="81">
        <f>IF(OR($B36="",$A36=""),"",$B36&amp;" | "&amp;$A36)</f>
        <v/>
      </c>
    </row>
    <row r="37" ht="15" customHeight="1" s="40">
      <c r="A37" s="65">
        <f>IF(COUNTA(B37:F37)=0,"","TSK-"&amp;TEXT(ROW()-4,"0000"))</f>
        <v/>
      </c>
      <c r="B37" s="78" t="n"/>
      <c r="C37" s="78" t="n"/>
      <c r="D37" s="81" t="n"/>
      <c r="E37" s="81" t="n"/>
      <c r="F37" s="78" t="n"/>
      <c r="G37" s="67">
        <f>IF($F37="","",IFERROR(INDEX(Employee_Master!$C$5:$C$204,MATCH($F37,Employee_Master!$B$5:$B$204,0)),""))</f>
        <v/>
      </c>
      <c r="H37" s="78" t="n"/>
      <c r="I37" s="78" t="n"/>
      <c r="J37" s="67">
        <f>IF($I37="","",IFERROR(INDEX(Action_Status_Map!$B$5:$B$11,MATCH($I37,Action_Status_Map!$A$5:$A$11,0)),""))</f>
        <v/>
      </c>
      <c r="K37" s="82" t="n"/>
      <c r="L37" s="82" t="n"/>
      <c r="M37" s="82" t="n"/>
      <c r="N37" s="83" t="n"/>
      <c r="O37" s="83" t="n"/>
      <c r="P37" s="66">
        <f>IF(OR($N37="",$O37=""),"",$O37-$N37)</f>
        <v/>
      </c>
      <c r="Q37" s="84">
        <f>IF($K37="","",IF($M37&lt;&gt;"",$M37-$K37,TODAY()-$K37))</f>
        <v/>
      </c>
      <c r="R37" s="85">
        <f>IF(OR($L37="",$I37="Completed",$I37="Cancelled"),"",IF(AND($L37&lt;TODAY(),$I37&lt;&gt;"Completed",$I37&lt;&gt;"Cancelled"),"Overdue","On Track"))</f>
        <v/>
      </c>
      <c r="S37" s="65">
        <f>IF($L37="","",TEXT($L37,"yyyy-mm"))</f>
        <v/>
      </c>
      <c r="T37" s="86">
        <f>IF($I37="","",IFERROR(INDEX(Action_Status_Map!$C$5:$C$11,MATCH($I37,Action_Status_Map!$A$5:$A$11,0)),""))</f>
        <v/>
      </c>
      <c r="U37" s="81" t="n"/>
      <c r="V37" s="82" t="n"/>
      <c r="W37" s="65">
        <f>IF(OR($I37&lt;&gt;"Completed",$M37="",$L37=""),"",IF($M37&lt;=$L37,"Yes","No"))</f>
        <v/>
      </c>
      <c r="X37" s="84">
        <f>IF($A37="","",COUNTIF(Task_Steps!$B$5:$B$2004,$A37))</f>
        <v/>
      </c>
      <c r="Y37" s="86">
        <f>IF($X37=0,"",COUNTIFS(Task_Steps!$B$5:$B$2004,$A37,Task_Steps!$H$5:$H$2004,"Completed")/$X37)</f>
        <v/>
      </c>
      <c r="Z37" s="81" t="n"/>
      <c r="AA37" s="81" t="n"/>
      <c r="AB37" s="67">
        <f>IF($F37="","",IFERROR(INDEX(Employee_Master!$E$5:$E$204,MATCH($F37,Employee_Master!$B$5:$B$204,0)),""))</f>
        <v/>
      </c>
      <c r="AC37" s="65">
        <f>IF(OR($A37="",$AB37=""),"",IF(OR($I37="Completed",$I37="Cancelled"),"Closed - in Manager Report","Active - in Manager Report"))</f>
        <v/>
      </c>
      <c r="AD37" s="81">
        <f>IF($A37="","",IFERROR(TEXTJOIN(", ",TRUE,FILTER(Task_Steps!$A$5:$A$2004,Task_Steps!$B$5:$B$2004=$A37)),""))</f>
        <v/>
      </c>
      <c r="AE37" s="84">
        <f>IF($A37="","",COUNTIFS(Task_Steps!$B$5:$B$2004,$A37,Task_Steps!$H$5:$H$2004,"&lt;&gt;Completed",Task_Steps!$H$5:$H$2004,"&lt;&gt;Cancelled"))</f>
        <v/>
      </c>
      <c r="AF37" s="81">
        <f>IF(OR($B37="",$A37=""),"",$B37&amp;" | "&amp;$A37)</f>
        <v/>
      </c>
    </row>
    <row r="38" ht="15" customHeight="1" s="40">
      <c r="A38" s="65">
        <f>IF(COUNTA(B38:F38)=0,"","TSK-"&amp;TEXT(ROW()-4,"0000"))</f>
        <v/>
      </c>
      <c r="B38" s="78" t="n"/>
      <c r="C38" s="78" t="n"/>
      <c r="D38" s="81" t="n"/>
      <c r="E38" s="81" t="n"/>
      <c r="F38" s="78" t="n"/>
      <c r="G38" s="67">
        <f>IF($F38="","",IFERROR(INDEX(Employee_Master!$C$5:$C$204,MATCH($F38,Employee_Master!$B$5:$B$204,0)),""))</f>
        <v/>
      </c>
      <c r="H38" s="78" t="n"/>
      <c r="I38" s="78" t="n"/>
      <c r="J38" s="67">
        <f>IF($I38="","",IFERROR(INDEX(Action_Status_Map!$B$5:$B$11,MATCH($I38,Action_Status_Map!$A$5:$A$11,0)),""))</f>
        <v/>
      </c>
      <c r="K38" s="82" t="n"/>
      <c r="L38" s="82" t="n"/>
      <c r="M38" s="82" t="n"/>
      <c r="N38" s="83" t="n"/>
      <c r="O38" s="83" t="n"/>
      <c r="P38" s="66">
        <f>IF(OR($N38="",$O38=""),"",$O38-$N38)</f>
        <v/>
      </c>
      <c r="Q38" s="84">
        <f>IF($K38="","",IF($M38&lt;&gt;"",$M38-$K38,TODAY()-$K38))</f>
        <v/>
      </c>
      <c r="R38" s="85">
        <f>IF(OR($L38="",$I38="Completed",$I38="Cancelled"),"",IF(AND($L38&lt;TODAY(),$I38&lt;&gt;"Completed",$I38&lt;&gt;"Cancelled"),"Overdue","On Track"))</f>
        <v/>
      </c>
      <c r="S38" s="65">
        <f>IF($L38="","",TEXT($L38,"yyyy-mm"))</f>
        <v/>
      </c>
      <c r="T38" s="86">
        <f>IF($I38="","",IFERROR(INDEX(Action_Status_Map!$C$5:$C$11,MATCH($I38,Action_Status_Map!$A$5:$A$11,0)),""))</f>
        <v/>
      </c>
      <c r="U38" s="81" t="n"/>
      <c r="V38" s="82" t="n"/>
      <c r="W38" s="65">
        <f>IF(OR($I38&lt;&gt;"Completed",$M38="",$L38=""),"",IF($M38&lt;=$L38,"Yes","No"))</f>
        <v/>
      </c>
      <c r="X38" s="84">
        <f>IF($A38="","",COUNTIF(Task_Steps!$B$5:$B$2004,$A38))</f>
        <v/>
      </c>
      <c r="Y38" s="86">
        <f>IF($X38=0,"",COUNTIFS(Task_Steps!$B$5:$B$2004,$A38,Task_Steps!$H$5:$H$2004,"Completed")/$X38)</f>
        <v/>
      </c>
      <c r="Z38" s="81" t="n"/>
      <c r="AA38" s="81" t="n"/>
      <c r="AB38" s="67">
        <f>IF($F38="","",IFERROR(INDEX(Employee_Master!$E$5:$E$204,MATCH($F38,Employee_Master!$B$5:$B$204,0)),""))</f>
        <v/>
      </c>
      <c r="AC38" s="65">
        <f>IF(OR($A38="",$AB38=""),"",IF(OR($I38="Completed",$I38="Cancelled"),"Closed - in Manager Report","Active - in Manager Report"))</f>
        <v/>
      </c>
      <c r="AD38" s="81">
        <f>IF($A38="","",IFERROR(TEXTJOIN(", ",TRUE,FILTER(Task_Steps!$A$5:$A$2004,Task_Steps!$B$5:$B$2004=$A38)),""))</f>
        <v/>
      </c>
      <c r="AE38" s="84">
        <f>IF($A38="","",COUNTIFS(Task_Steps!$B$5:$B$2004,$A38,Task_Steps!$H$5:$H$2004,"&lt;&gt;Completed",Task_Steps!$H$5:$H$2004,"&lt;&gt;Cancelled"))</f>
        <v/>
      </c>
      <c r="AF38" s="81">
        <f>IF(OR($B38="",$A38=""),"",$B38&amp;" | "&amp;$A38)</f>
        <v/>
      </c>
    </row>
    <row r="39" ht="15" customHeight="1" s="40">
      <c r="A39" s="65">
        <f>IF(COUNTA(B39:F39)=0,"","TSK-"&amp;TEXT(ROW()-4,"0000"))</f>
        <v/>
      </c>
      <c r="B39" s="78" t="n"/>
      <c r="C39" s="78" t="n"/>
      <c r="D39" s="81" t="n"/>
      <c r="E39" s="81" t="n"/>
      <c r="F39" s="78" t="n"/>
      <c r="G39" s="67">
        <f>IF($F39="","",IFERROR(INDEX(Employee_Master!$C$5:$C$204,MATCH($F39,Employee_Master!$B$5:$B$204,0)),""))</f>
        <v/>
      </c>
      <c r="H39" s="78" t="n"/>
      <c r="I39" s="78" t="n"/>
      <c r="J39" s="67">
        <f>IF($I39="","",IFERROR(INDEX(Action_Status_Map!$B$5:$B$11,MATCH($I39,Action_Status_Map!$A$5:$A$11,0)),""))</f>
        <v/>
      </c>
      <c r="K39" s="82" t="n"/>
      <c r="L39" s="82" t="n"/>
      <c r="M39" s="82" t="n"/>
      <c r="N39" s="83" t="n"/>
      <c r="O39" s="83" t="n"/>
      <c r="P39" s="66">
        <f>IF(OR($N39="",$O39=""),"",$O39-$N39)</f>
        <v/>
      </c>
      <c r="Q39" s="84">
        <f>IF($K39="","",IF($M39&lt;&gt;"",$M39-$K39,TODAY()-$K39))</f>
        <v/>
      </c>
      <c r="R39" s="85">
        <f>IF(OR($L39="",$I39="Completed",$I39="Cancelled"),"",IF(AND($L39&lt;TODAY(),$I39&lt;&gt;"Completed",$I39&lt;&gt;"Cancelled"),"Overdue","On Track"))</f>
        <v/>
      </c>
      <c r="S39" s="65">
        <f>IF($L39="","",TEXT($L39,"yyyy-mm"))</f>
        <v/>
      </c>
      <c r="T39" s="86">
        <f>IF($I39="","",IFERROR(INDEX(Action_Status_Map!$C$5:$C$11,MATCH($I39,Action_Status_Map!$A$5:$A$11,0)),""))</f>
        <v/>
      </c>
      <c r="U39" s="81" t="n"/>
      <c r="V39" s="82" t="n"/>
      <c r="W39" s="65">
        <f>IF(OR($I39&lt;&gt;"Completed",$M39="",$L39=""),"",IF($M39&lt;=$L39,"Yes","No"))</f>
        <v/>
      </c>
      <c r="X39" s="84">
        <f>IF($A39="","",COUNTIF(Task_Steps!$B$5:$B$2004,$A39))</f>
        <v/>
      </c>
      <c r="Y39" s="86">
        <f>IF($X39=0,"",COUNTIFS(Task_Steps!$B$5:$B$2004,$A39,Task_Steps!$H$5:$H$2004,"Completed")/$X39)</f>
        <v/>
      </c>
      <c r="Z39" s="81" t="n"/>
      <c r="AA39" s="81" t="n"/>
      <c r="AB39" s="67">
        <f>IF($F39="","",IFERROR(INDEX(Employee_Master!$E$5:$E$204,MATCH($F39,Employee_Master!$B$5:$B$204,0)),""))</f>
        <v/>
      </c>
      <c r="AC39" s="65">
        <f>IF(OR($A39="",$AB39=""),"",IF(OR($I39="Completed",$I39="Cancelled"),"Closed - in Manager Report","Active - in Manager Report"))</f>
        <v/>
      </c>
      <c r="AD39" s="81">
        <f>IF($A39="","",IFERROR(TEXTJOIN(", ",TRUE,FILTER(Task_Steps!$A$5:$A$2004,Task_Steps!$B$5:$B$2004=$A39)),""))</f>
        <v/>
      </c>
      <c r="AE39" s="84">
        <f>IF($A39="","",COUNTIFS(Task_Steps!$B$5:$B$2004,$A39,Task_Steps!$H$5:$H$2004,"&lt;&gt;Completed",Task_Steps!$H$5:$H$2004,"&lt;&gt;Cancelled"))</f>
        <v/>
      </c>
      <c r="AF39" s="81">
        <f>IF(OR($B39="",$A39=""),"",$B39&amp;" | "&amp;$A39)</f>
        <v/>
      </c>
    </row>
    <row r="40" ht="15" customHeight="1" s="40">
      <c r="A40" s="65">
        <f>IF(COUNTA(B40:F40)=0,"","TSK-"&amp;TEXT(ROW()-4,"0000"))</f>
        <v/>
      </c>
      <c r="B40" s="78" t="n"/>
      <c r="C40" s="78" t="n"/>
      <c r="D40" s="81" t="n"/>
      <c r="E40" s="81" t="n"/>
      <c r="F40" s="78" t="n"/>
      <c r="G40" s="67">
        <f>IF($F40="","",IFERROR(INDEX(Employee_Master!$C$5:$C$204,MATCH($F40,Employee_Master!$B$5:$B$204,0)),""))</f>
        <v/>
      </c>
      <c r="H40" s="78" t="n"/>
      <c r="I40" s="78" t="n"/>
      <c r="J40" s="67">
        <f>IF($I40="","",IFERROR(INDEX(Action_Status_Map!$B$5:$B$11,MATCH($I40,Action_Status_Map!$A$5:$A$11,0)),""))</f>
        <v/>
      </c>
      <c r="K40" s="82" t="n"/>
      <c r="L40" s="82" t="n"/>
      <c r="M40" s="82" t="n"/>
      <c r="N40" s="83" t="n"/>
      <c r="O40" s="83" t="n"/>
      <c r="P40" s="66">
        <f>IF(OR($N40="",$O40=""),"",$O40-$N40)</f>
        <v/>
      </c>
      <c r="Q40" s="84">
        <f>IF($K40="","",IF($M40&lt;&gt;"",$M40-$K40,TODAY()-$K40))</f>
        <v/>
      </c>
      <c r="R40" s="85">
        <f>IF(OR($L40="",$I40="Completed",$I40="Cancelled"),"",IF(AND($L40&lt;TODAY(),$I40&lt;&gt;"Completed",$I40&lt;&gt;"Cancelled"),"Overdue","On Track"))</f>
        <v/>
      </c>
      <c r="S40" s="65">
        <f>IF($L40="","",TEXT($L40,"yyyy-mm"))</f>
        <v/>
      </c>
      <c r="T40" s="86">
        <f>IF($I40="","",IFERROR(INDEX(Action_Status_Map!$C$5:$C$11,MATCH($I40,Action_Status_Map!$A$5:$A$11,0)),""))</f>
        <v/>
      </c>
      <c r="U40" s="81" t="n"/>
      <c r="V40" s="82" t="n"/>
      <c r="W40" s="65">
        <f>IF(OR($I40&lt;&gt;"Completed",$M40="",$L40=""),"",IF($M40&lt;=$L40,"Yes","No"))</f>
        <v/>
      </c>
      <c r="X40" s="84">
        <f>IF($A40="","",COUNTIF(Task_Steps!$B$5:$B$2004,$A40))</f>
        <v/>
      </c>
      <c r="Y40" s="86">
        <f>IF($X40=0,"",COUNTIFS(Task_Steps!$B$5:$B$2004,$A40,Task_Steps!$H$5:$H$2004,"Completed")/$X40)</f>
        <v/>
      </c>
      <c r="Z40" s="81" t="n"/>
      <c r="AA40" s="81" t="n"/>
      <c r="AB40" s="67">
        <f>IF($F40="","",IFERROR(INDEX(Employee_Master!$E$5:$E$204,MATCH($F40,Employee_Master!$B$5:$B$204,0)),""))</f>
        <v/>
      </c>
      <c r="AC40" s="65">
        <f>IF(OR($A40="",$AB40=""),"",IF(OR($I40="Completed",$I40="Cancelled"),"Closed - in Manager Report","Active - in Manager Report"))</f>
        <v/>
      </c>
      <c r="AD40" s="81">
        <f>IF($A40="","",IFERROR(TEXTJOIN(", ",TRUE,FILTER(Task_Steps!$A$5:$A$2004,Task_Steps!$B$5:$B$2004=$A40)),""))</f>
        <v/>
      </c>
      <c r="AE40" s="84">
        <f>IF($A40="","",COUNTIFS(Task_Steps!$B$5:$B$2004,$A40,Task_Steps!$H$5:$H$2004,"&lt;&gt;Completed",Task_Steps!$H$5:$H$2004,"&lt;&gt;Cancelled"))</f>
        <v/>
      </c>
      <c r="AF40" s="81">
        <f>IF(OR($B40="",$A40=""),"",$B40&amp;" | "&amp;$A40)</f>
        <v/>
      </c>
    </row>
    <row r="41" ht="15" customHeight="1" s="40">
      <c r="A41" s="65">
        <f>IF(COUNTA(B41:F41)=0,"","TSK-"&amp;TEXT(ROW()-4,"0000"))</f>
        <v/>
      </c>
      <c r="B41" s="78" t="n"/>
      <c r="C41" s="78" t="n"/>
      <c r="D41" s="81" t="n"/>
      <c r="E41" s="81" t="n"/>
      <c r="F41" s="78" t="n"/>
      <c r="G41" s="67">
        <f>IF($F41="","",IFERROR(INDEX(Employee_Master!$C$5:$C$204,MATCH($F41,Employee_Master!$B$5:$B$204,0)),""))</f>
        <v/>
      </c>
      <c r="H41" s="78" t="n"/>
      <c r="I41" s="78" t="n"/>
      <c r="J41" s="67">
        <f>IF($I41="","",IFERROR(INDEX(Action_Status_Map!$B$5:$B$11,MATCH($I41,Action_Status_Map!$A$5:$A$11,0)),""))</f>
        <v/>
      </c>
      <c r="K41" s="82" t="n"/>
      <c r="L41" s="82" t="n"/>
      <c r="M41" s="82" t="n"/>
      <c r="N41" s="83" t="n"/>
      <c r="O41" s="83" t="n"/>
      <c r="P41" s="66">
        <f>IF(OR($N41="",$O41=""),"",$O41-$N41)</f>
        <v/>
      </c>
      <c r="Q41" s="84">
        <f>IF($K41="","",IF($M41&lt;&gt;"",$M41-$K41,TODAY()-$K41))</f>
        <v/>
      </c>
      <c r="R41" s="85">
        <f>IF(OR($L41="",$I41="Completed",$I41="Cancelled"),"",IF(AND($L41&lt;TODAY(),$I41&lt;&gt;"Completed",$I41&lt;&gt;"Cancelled"),"Overdue","On Track"))</f>
        <v/>
      </c>
      <c r="S41" s="65">
        <f>IF($L41="","",TEXT($L41,"yyyy-mm"))</f>
        <v/>
      </c>
      <c r="T41" s="86">
        <f>IF($I41="","",IFERROR(INDEX(Action_Status_Map!$C$5:$C$11,MATCH($I41,Action_Status_Map!$A$5:$A$11,0)),""))</f>
        <v/>
      </c>
      <c r="U41" s="81" t="n"/>
      <c r="V41" s="82" t="n"/>
      <c r="W41" s="65">
        <f>IF(OR($I41&lt;&gt;"Completed",$M41="",$L41=""),"",IF($M41&lt;=$L41,"Yes","No"))</f>
        <v/>
      </c>
      <c r="X41" s="84">
        <f>IF($A41="","",COUNTIF(Task_Steps!$B$5:$B$2004,$A41))</f>
        <v/>
      </c>
      <c r="Y41" s="86">
        <f>IF($X41=0,"",COUNTIFS(Task_Steps!$B$5:$B$2004,$A41,Task_Steps!$H$5:$H$2004,"Completed")/$X41)</f>
        <v/>
      </c>
      <c r="Z41" s="81" t="n"/>
      <c r="AA41" s="81" t="n"/>
      <c r="AB41" s="67">
        <f>IF($F41="","",IFERROR(INDEX(Employee_Master!$E$5:$E$204,MATCH($F41,Employee_Master!$B$5:$B$204,0)),""))</f>
        <v/>
      </c>
      <c r="AC41" s="65">
        <f>IF(OR($A41="",$AB41=""),"",IF(OR($I41="Completed",$I41="Cancelled"),"Closed - in Manager Report","Active - in Manager Report"))</f>
        <v/>
      </c>
      <c r="AD41" s="81">
        <f>IF($A41="","",IFERROR(TEXTJOIN(", ",TRUE,FILTER(Task_Steps!$A$5:$A$2004,Task_Steps!$B$5:$B$2004=$A41)),""))</f>
        <v/>
      </c>
      <c r="AE41" s="84">
        <f>IF($A41="","",COUNTIFS(Task_Steps!$B$5:$B$2004,$A41,Task_Steps!$H$5:$H$2004,"&lt;&gt;Completed",Task_Steps!$H$5:$H$2004,"&lt;&gt;Cancelled"))</f>
        <v/>
      </c>
      <c r="AF41" s="81">
        <f>IF(OR($B41="",$A41=""),"",$B41&amp;" | "&amp;$A41)</f>
        <v/>
      </c>
    </row>
    <row r="42" ht="15" customHeight="1" s="40">
      <c r="A42" s="65">
        <f>IF(COUNTA(B42:F42)=0,"","TSK-"&amp;TEXT(ROW()-4,"0000"))</f>
        <v/>
      </c>
      <c r="B42" s="78" t="n"/>
      <c r="C42" s="78" t="n"/>
      <c r="D42" s="81" t="n"/>
      <c r="E42" s="81" t="n"/>
      <c r="F42" s="78" t="n"/>
      <c r="G42" s="67">
        <f>IF($F42="","",IFERROR(INDEX(Employee_Master!$C$5:$C$204,MATCH($F42,Employee_Master!$B$5:$B$204,0)),""))</f>
        <v/>
      </c>
      <c r="H42" s="78" t="n"/>
      <c r="I42" s="78" t="n"/>
      <c r="J42" s="67">
        <f>IF($I42="","",IFERROR(INDEX(Action_Status_Map!$B$5:$B$11,MATCH($I42,Action_Status_Map!$A$5:$A$11,0)),""))</f>
        <v/>
      </c>
      <c r="K42" s="82" t="n"/>
      <c r="L42" s="82" t="n"/>
      <c r="M42" s="82" t="n"/>
      <c r="N42" s="83" t="n"/>
      <c r="O42" s="83" t="n"/>
      <c r="P42" s="66">
        <f>IF(OR($N42="",$O42=""),"",$O42-$N42)</f>
        <v/>
      </c>
      <c r="Q42" s="84">
        <f>IF($K42="","",IF($M42&lt;&gt;"",$M42-$K42,TODAY()-$K42))</f>
        <v/>
      </c>
      <c r="R42" s="85">
        <f>IF(OR($L42="",$I42="Completed",$I42="Cancelled"),"",IF(AND($L42&lt;TODAY(),$I42&lt;&gt;"Completed",$I42&lt;&gt;"Cancelled"),"Overdue","On Track"))</f>
        <v/>
      </c>
      <c r="S42" s="65">
        <f>IF($L42="","",TEXT($L42,"yyyy-mm"))</f>
        <v/>
      </c>
      <c r="T42" s="86">
        <f>IF($I42="","",IFERROR(INDEX(Action_Status_Map!$C$5:$C$11,MATCH($I42,Action_Status_Map!$A$5:$A$11,0)),""))</f>
        <v/>
      </c>
      <c r="U42" s="81" t="n"/>
      <c r="V42" s="82" t="n"/>
      <c r="W42" s="65">
        <f>IF(OR($I42&lt;&gt;"Completed",$M42="",$L42=""),"",IF($M42&lt;=$L42,"Yes","No"))</f>
        <v/>
      </c>
      <c r="X42" s="84">
        <f>IF($A42="","",COUNTIF(Task_Steps!$B$5:$B$2004,$A42))</f>
        <v/>
      </c>
      <c r="Y42" s="86">
        <f>IF($X42=0,"",COUNTIFS(Task_Steps!$B$5:$B$2004,$A42,Task_Steps!$H$5:$H$2004,"Completed")/$X42)</f>
        <v/>
      </c>
      <c r="Z42" s="81" t="n"/>
      <c r="AA42" s="81" t="n"/>
      <c r="AB42" s="67">
        <f>IF($F42="","",IFERROR(INDEX(Employee_Master!$E$5:$E$204,MATCH($F42,Employee_Master!$B$5:$B$204,0)),""))</f>
        <v/>
      </c>
      <c r="AC42" s="65">
        <f>IF(OR($A42="",$AB42=""),"",IF(OR($I42="Completed",$I42="Cancelled"),"Closed - in Manager Report","Active - in Manager Report"))</f>
        <v/>
      </c>
      <c r="AD42" s="81">
        <f>IF($A42="","",IFERROR(TEXTJOIN(", ",TRUE,FILTER(Task_Steps!$A$5:$A$2004,Task_Steps!$B$5:$B$2004=$A42)),""))</f>
        <v/>
      </c>
      <c r="AE42" s="84">
        <f>IF($A42="","",COUNTIFS(Task_Steps!$B$5:$B$2004,$A42,Task_Steps!$H$5:$H$2004,"&lt;&gt;Completed",Task_Steps!$H$5:$H$2004,"&lt;&gt;Cancelled"))</f>
        <v/>
      </c>
      <c r="AF42" s="81">
        <f>IF(OR($B42="",$A42=""),"",$B42&amp;" | "&amp;$A42)</f>
        <v/>
      </c>
    </row>
    <row r="43" ht="15" customHeight="1" s="40">
      <c r="A43" s="65">
        <f>IF(COUNTA(B43:F43)=0,"","TSK-"&amp;TEXT(ROW()-4,"0000"))</f>
        <v/>
      </c>
      <c r="B43" s="78" t="n"/>
      <c r="C43" s="78" t="n"/>
      <c r="D43" s="81" t="n"/>
      <c r="E43" s="81" t="n"/>
      <c r="F43" s="78" t="n"/>
      <c r="G43" s="67">
        <f>IF($F43="","",IFERROR(INDEX(Employee_Master!$C$5:$C$204,MATCH($F43,Employee_Master!$B$5:$B$204,0)),""))</f>
        <v/>
      </c>
      <c r="H43" s="78" t="n"/>
      <c r="I43" s="78" t="n"/>
      <c r="J43" s="67">
        <f>IF($I43="","",IFERROR(INDEX(Action_Status_Map!$B$5:$B$11,MATCH($I43,Action_Status_Map!$A$5:$A$11,0)),""))</f>
        <v/>
      </c>
      <c r="K43" s="82" t="n"/>
      <c r="L43" s="82" t="n"/>
      <c r="M43" s="82" t="n"/>
      <c r="N43" s="83" t="n"/>
      <c r="O43" s="83" t="n"/>
      <c r="P43" s="66">
        <f>IF(OR($N43="",$O43=""),"",$O43-$N43)</f>
        <v/>
      </c>
      <c r="Q43" s="84">
        <f>IF($K43="","",IF($M43&lt;&gt;"",$M43-$K43,TODAY()-$K43))</f>
        <v/>
      </c>
      <c r="R43" s="85">
        <f>IF(OR($L43="",$I43="Completed",$I43="Cancelled"),"",IF(AND($L43&lt;TODAY(),$I43&lt;&gt;"Completed",$I43&lt;&gt;"Cancelled"),"Overdue","On Track"))</f>
        <v/>
      </c>
      <c r="S43" s="65">
        <f>IF($L43="","",TEXT($L43,"yyyy-mm"))</f>
        <v/>
      </c>
      <c r="T43" s="86">
        <f>IF($I43="","",IFERROR(INDEX(Action_Status_Map!$C$5:$C$11,MATCH($I43,Action_Status_Map!$A$5:$A$11,0)),""))</f>
        <v/>
      </c>
      <c r="U43" s="81" t="n"/>
      <c r="V43" s="82" t="n"/>
      <c r="W43" s="65">
        <f>IF(OR($I43&lt;&gt;"Completed",$M43="",$L43=""),"",IF($M43&lt;=$L43,"Yes","No"))</f>
        <v/>
      </c>
      <c r="X43" s="84">
        <f>IF($A43="","",COUNTIF(Task_Steps!$B$5:$B$2004,$A43))</f>
        <v/>
      </c>
      <c r="Y43" s="86">
        <f>IF($X43=0,"",COUNTIFS(Task_Steps!$B$5:$B$2004,$A43,Task_Steps!$H$5:$H$2004,"Completed")/$X43)</f>
        <v/>
      </c>
      <c r="Z43" s="81" t="n"/>
      <c r="AA43" s="81" t="n"/>
      <c r="AB43" s="67">
        <f>IF($F43="","",IFERROR(INDEX(Employee_Master!$E$5:$E$204,MATCH($F43,Employee_Master!$B$5:$B$204,0)),""))</f>
        <v/>
      </c>
      <c r="AC43" s="65">
        <f>IF(OR($A43="",$AB43=""),"",IF(OR($I43="Completed",$I43="Cancelled"),"Closed - in Manager Report","Active - in Manager Report"))</f>
        <v/>
      </c>
      <c r="AD43" s="81">
        <f>IF($A43="","",IFERROR(TEXTJOIN(", ",TRUE,FILTER(Task_Steps!$A$5:$A$2004,Task_Steps!$B$5:$B$2004=$A43)),""))</f>
        <v/>
      </c>
      <c r="AE43" s="84">
        <f>IF($A43="","",COUNTIFS(Task_Steps!$B$5:$B$2004,$A43,Task_Steps!$H$5:$H$2004,"&lt;&gt;Completed",Task_Steps!$H$5:$H$2004,"&lt;&gt;Cancelled"))</f>
        <v/>
      </c>
      <c r="AF43" s="81">
        <f>IF(OR($B43="",$A43=""),"",$B43&amp;" | "&amp;$A43)</f>
        <v/>
      </c>
    </row>
    <row r="44" ht="15" customHeight="1" s="40">
      <c r="A44" s="65">
        <f>IF(COUNTA(B44:F44)=0,"","TSK-"&amp;TEXT(ROW()-4,"0000"))</f>
        <v/>
      </c>
      <c r="B44" s="78" t="n"/>
      <c r="C44" s="78" t="n"/>
      <c r="D44" s="81" t="n"/>
      <c r="E44" s="81" t="n"/>
      <c r="F44" s="78" t="n"/>
      <c r="G44" s="67">
        <f>IF($F44="","",IFERROR(INDEX(Employee_Master!$C$5:$C$204,MATCH($F44,Employee_Master!$B$5:$B$204,0)),""))</f>
        <v/>
      </c>
      <c r="H44" s="78" t="n"/>
      <c r="I44" s="78" t="n"/>
      <c r="J44" s="67">
        <f>IF($I44="","",IFERROR(INDEX(Action_Status_Map!$B$5:$B$11,MATCH($I44,Action_Status_Map!$A$5:$A$11,0)),""))</f>
        <v/>
      </c>
      <c r="K44" s="82" t="n"/>
      <c r="L44" s="82" t="n"/>
      <c r="M44" s="82" t="n"/>
      <c r="N44" s="83" t="n"/>
      <c r="O44" s="83" t="n"/>
      <c r="P44" s="66">
        <f>IF(OR($N44="",$O44=""),"",$O44-$N44)</f>
        <v/>
      </c>
      <c r="Q44" s="84">
        <f>IF($K44="","",IF($M44&lt;&gt;"",$M44-$K44,TODAY()-$K44))</f>
        <v/>
      </c>
      <c r="R44" s="85">
        <f>IF(OR($L44="",$I44="Completed",$I44="Cancelled"),"",IF(AND($L44&lt;TODAY(),$I44&lt;&gt;"Completed",$I44&lt;&gt;"Cancelled"),"Overdue","On Track"))</f>
        <v/>
      </c>
      <c r="S44" s="65">
        <f>IF($L44="","",TEXT($L44,"yyyy-mm"))</f>
        <v/>
      </c>
      <c r="T44" s="86">
        <f>IF($I44="","",IFERROR(INDEX(Action_Status_Map!$C$5:$C$11,MATCH($I44,Action_Status_Map!$A$5:$A$11,0)),""))</f>
        <v/>
      </c>
      <c r="U44" s="81" t="n"/>
      <c r="V44" s="82" t="n"/>
      <c r="W44" s="65">
        <f>IF(OR($I44&lt;&gt;"Completed",$M44="",$L44=""),"",IF($M44&lt;=$L44,"Yes","No"))</f>
        <v/>
      </c>
      <c r="X44" s="84">
        <f>IF($A44="","",COUNTIF(Task_Steps!$B$5:$B$2004,$A44))</f>
        <v/>
      </c>
      <c r="Y44" s="86">
        <f>IF($X44=0,"",COUNTIFS(Task_Steps!$B$5:$B$2004,$A44,Task_Steps!$H$5:$H$2004,"Completed")/$X44)</f>
        <v/>
      </c>
      <c r="Z44" s="81" t="n"/>
      <c r="AA44" s="81" t="n"/>
      <c r="AB44" s="67">
        <f>IF($F44="","",IFERROR(INDEX(Employee_Master!$E$5:$E$204,MATCH($F44,Employee_Master!$B$5:$B$204,0)),""))</f>
        <v/>
      </c>
      <c r="AC44" s="65">
        <f>IF(OR($A44="",$AB44=""),"",IF(OR($I44="Completed",$I44="Cancelled"),"Closed - in Manager Report","Active - in Manager Report"))</f>
        <v/>
      </c>
      <c r="AD44" s="81">
        <f>IF($A44="","",IFERROR(TEXTJOIN(", ",TRUE,FILTER(Task_Steps!$A$5:$A$2004,Task_Steps!$B$5:$B$2004=$A44)),""))</f>
        <v/>
      </c>
      <c r="AE44" s="84">
        <f>IF($A44="","",COUNTIFS(Task_Steps!$B$5:$B$2004,$A44,Task_Steps!$H$5:$H$2004,"&lt;&gt;Completed",Task_Steps!$H$5:$H$2004,"&lt;&gt;Cancelled"))</f>
        <v/>
      </c>
      <c r="AF44" s="81">
        <f>IF(OR($B44="",$A44=""),"",$B44&amp;" | "&amp;$A44)</f>
        <v/>
      </c>
    </row>
    <row r="45" ht="15" customHeight="1" s="40">
      <c r="A45" s="65">
        <f>IF(COUNTA(B45:F45)=0,"","TSK-"&amp;TEXT(ROW()-4,"0000"))</f>
        <v/>
      </c>
      <c r="B45" s="78" t="n"/>
      <c r="C45" s="78" t="n"/>
      <c r="D45" s="81" t="n"/>
      <c r="E45" s="81" t="n"/>
      <c r="F45" s="78" t="n"/>
      <c r="G45" s="67">
        <f>IF($F45="","",IFERROR(INDEX(Employee_Master!$C$5:$C$204,MATCH($F45,Employee_Master!$B$5:$B$204,0)),""))</f>
        <v/>
      </c>
      <c r="H45" s="78" t="n"/>
      <c r="I45" s="78" t="n"/>
      <c r="J45" s="67">
        <f>IF($I45="","",IFERROR(INDEX(Action_Status_Map!$B$5:$B$11,MATCH($I45,Action_Status_Map!$A$5:$A$11,0)),""))</f>
        <v/>
      </c>
      <c r="K45" s="82" t="n"/>
      <c r="L45" s="82" t="n"/>
      <c r="M45" s="82" t="n"/>
      <c r="N45" s="83" t="n"/>
      <c r="O45" s="83" t="n"/>
      <c r="P45" s="66">
        <f>IF(OR($N45="",$O45=""),"",$O45-$N45)</f>
        <v/>
      </c>
      <c r="Q45" s="84">
        <f>IF($K45="","",IF($M45&lt;&gt;"",$M45-$K45,TODAY()-$K45))</f>
        <v/>
      </c>
      <c r="R45" s="85">
        <f>IF(OR($L45="",$I45="Completed",$I45="Cancelled"),"",IF(AND($L45&lt;TODAY(),$I45&lt;&gt;"Completed",$I45&lt;&gt;"Cancelled"),"Overdue","On Track"))</f>
        <v/>
      </c>
      <c r="S45" s="65">
        <f>IF($L45="","",TEXT($L45,"yyyy-mm"))</f>
        <v/>
      </c>
      <c r="T45" s="86">
        <f>IF($I45="","",IFERROR(INDEX(Action_Status_Map!$C$5:$C$11,MATCH($I45,Action_Status_Map!$A$5:$A$11,0)),""))</f>
        <v/>
      </c>
      <c r="U45" s="81" t="n"/>
      <c r="V45" s="82" t="n"/>
      <c r="W45" s="65">
        <f>IF(OR($I45&lt;&gt;"Completed",$M45="",$L45=""),"",IF($M45&lt;=$L45,"Yes","No"))</f>
        <v/>
      </c>
      <c r="X45" s="84">
        <f>IF($A45="","",COUNTIF(Task_Steps!$B$5:$B$2004,$A45))</f>
        <v/>
      </c>
      <c r="Y45" s="86">
        <f>IF($X45=0,"",COUNTIFS(Task_Steps!$B$5:$B$2004,$A45,Task_Steps!$H$5:$H$2004,"Completed")/$X45)</f>
        <v/>
      </c>
      <c r="Z45" s="81" t="n"/>
      <c r="AA45" s="81" t="n"/>
      <c r="AB45" s="67">
        <f>IF($F45="","",IFERROR(INDEX(Employee_Master!$E$5:$E$204,MATCH($F45,Employee_Master!$B$5:$B$204,0)),""))</f>
        <v/>
      </c>
      <c r="AC45" s="65">
        <f>IF(OR($A45="",$AB45=""),"",IF(OR($I45="Completed",$I45="Cancelled"),"Closed - in Manager Report","Active - in Manager Report"))</f>
        <v/>
      </c>
      <c r="AD45" s="81">
        <f>IF($A45="","",IFERROR(TEXTJOIN(", ",TRUE,FILTER(Task_Steps!$A$5:$A$2004,Task_Steps!$B$5:$B$2004=$A45)),""))</f>
        <v/>
      </c>
      <c r="AE45" s="84">
        <f>IF($A45="","",COUNTIFS(Task_Steps!$B$5:$B$2004,$A45,Task_Steps!$H$5:$H$2004,"&lt;&gt;Completed",Task_Steps!$H$5:$H$2004,"&lt;&gt;Cancelled"))</f>
        <v/>
      </c>
      <c r="AF45" s="81">
        <f>IF(OR($B45="",$A45=""),"",$B45&amp;" | "&amp;$A45)</f>
        <v/>
      </c>
    </row>
    <row r="46" ht="15" customHeight="1" s="40">
      <c r="A46" s="65">
        <f>IF(COUNTA(B46:F46)=0,"","TSK-"&amp;TEXT(ROW()-4,"0000"))</f>
        <v/>
      </c>
      <c r="B46" s="78" t="n"/>
      <c r="C46" s="78" t="n"/>
      <c r="D46" s="81" t="n"/>
      <c r="E46" s="81" t="n"/>
      <c r="F46" s="78" t="n"/>
      <c r="G46" s="67">
        <f>IF($F46="","",IFERROR(INDEX(Employee_Master!$C$5:$C$204,MATCH($F46,Employee_Master!$B$5:$B$204,0)),""))</f>
        <v/>
      </c>
      <c r="H46" s="78" t="n"/>
      <c r="I46" s="78" t="n"/>
      <c r="J46" s="67">
        <f>IF($I46="","",IFERROR(INDEX(Action_Status_Map!$B$5:$B$11,MATCH($I46,Action_Status_Map!$A$5:$A$11,0)),""))</f>
        <v/>
      </c>
      <c r="K46" s="82" t="n"/>
      <c r="L46" s="82" t="n"/>
      <c r="M46" s="82" t="n"/>
      <c r="N46" s="83" t="n"/>
      <c r="O46" s="83" t="n"/>
      <c r="P46" s="66">
        <f>IF(OR($N46="",$O46=""),"",$O46-$N46)</f>
        <v/>
      </c>
      <c r="Q46" s="84">
        <f>IF($K46="","",IF($M46&lt;&gt;"",$M46-$K46,TODAY()-$K46))</f>
        <v/>
      </c>
      <c r="R46" s="85">
        <f>IF(OR($L46="",$I46="Completed",$I46="Cancelled"),"",IF(AND($L46&lt;TODAY(),$I46&lt;&gt;"Completed",$I46&lt;&gt;"Cancelled"),"Overdue","On Track"))</f>
        <v/>
      </c>
      <c r="S46" s="65">
        <f>IF($L46="","",TEXT($L46,"yyyy-mm"))</f>
        <v/>
      </c>
      <c r="T46" s="86">
        <f>IF($I46="","",IFERROR(INDEX(Action_Status_Map!$C$5:$C$11,MATCH($I46,Action_Status_Map!$A$5:$A$11,0)),""))</f>
        <v/>
      </c>
      <c r="U46" s="81" t="n"/>
      <c r="V46" s="82" t="n"/>
      <c r="W46" s="65">
        <f>IF(OR($I46&lt;&gt;"Completed",$M46="",$L46=""),"",IF($M46&lt;=$L46,"Yes","No"))</f>
        <v/>
      </c>
      <c r="X46" s="84">
        <f>IF($A46="","",COUNTIF(Task_Steps!$B$5:$B$2004,$A46))</f>
        <v/>
      </c>
      <c r="Y46" s="86">
        <f>IF($X46=0,"",COUNTIFS(Task_Steps!$B$5:$B$2004,$A46,Task_Steps!$H$5:$H$2004,"Completed")/$X46)</f>
        <v/>
      </c>
      <c r="Z46" s="81" t="n"/>
      <c r="AA46" s="81" t="n"/>
      <c r="AB46" s="67">
        <f>IF($F46="","",IFERROR(INDEX(Employee_Master!$E$5:$E$204,MATCH($F46,Employee_Master!$B$5:$B$204,0)),""))</f>
        <v/>
      </c>
      <c r="AC46" s="65">
        <f>IF(OR($A46="",$AB46=""),"",IF(OR($I46="Completed",$I46="Cancelled"),"Closed - in Manager Report","Active - in Manager Report"))</f>
        <v/>
      </c>
      <c r="AD46" s="81">
        <f>IF($A46="","",IFERROR(TEXTJOIN(", ",TRUE,FILTER(Task_Steps!$A$5:$A$2004,Task_Steps!$B$5:$B$2004=$A46)),""))</f>
        <v/>
      </c>
      <c r="AE46" s="84">
        <f>IF($A46="","",COUNTIFS(Task_Steps!$B$5:$B$2004,$A46,Task_Steps!$H$5:$H$2004,"&lt;&gt;Completed",Task_Steps!$H$5:$H$2004,"&lt;&gt;Cancelled"))</f>
        <v/>
      </c>
      <c r="AF46" s="81">
        <f>IF(OR($B46="",$A46=""),"",$B46&amp;" | "&amp;$A46)</f>
        <v/>
      </c>
    </row>
    <row r="47" ht="15" customHeight="1" s="40">
      <c r="A47" s="65">
        <f>IF(COUNTA(B47:F47)=0,"","TSK-"&amp;TEXT(ROW()-4,"0000"))</f>
        <v/>
      </c>
      <c r="B47" s="78" t="n"/>
      <c r="C47" s="78" t="n"/>
      <c r="D47" s="81" t="n"/>
      <c r="E47" s="81" t="n"/>
      <c r="F47" s="78" t="n"/>
      <c r="G47" s="67">
        <f>IF($F47="","",IFERROR(INDEX(Employee_Master!$C$5:$C$204,MATCH($F47,Employee_Master!$B$5:$B$204,0)),""))</f>
        <v/>
      </c>
      <c r="H47" s="78" t="n"/>
      <c r="I47" s="78" t="n"/>
      <c r="J47" s="67">
        <f>IF($I47="","",IFERROR(INDEX(Action_Status_Map!$B$5:$B$11,MATCH($I47,Action_Status_Map!$A$5:$A$11,0)),""))</f>
        <v/>
      </c>
      <c r="K47" s="82" t="n"/>
      <c r="L47" s="82" t="n"/>
      <c r="M47" s="82" t="n"/>
      <c r="N47" s="83" t="n"/>
      <c r="O47" s="83" t="n"/>
      <c r="P47" s="66">
        <f>IF(OR($N47="",$O47=""),"",$O47-$N47)</f>
        <v/>
      </c>
      <c r="Q47" s="84">
        <f>IF($K47="","",IF($M47&lt;&gt;"",$M47-$K47,TODAY()-$K47))</f>
        <v/>
      </c>
      <c r="R47" s="85">
        <f>IF(OR($L47="",$I47="Completed",$I47="Cancelled"),"",IF(AND($L47&lt;TODAY(),$I47&lt;&gt;"Completed",$I47&lt;&gt;"Cancelled"),"Overdue","On Track"))</f>
        <v/>
      </c>
      <c r="S47" s="65">
        <f>IF($L47="","",TEXT($L47,"yyyy-mm"))</f>
        <v/>
      </c>
      <c r="T47" s="86">
        <f>IF($I47="","",IFERROR(INDEX(Action_Status_Map!$C$5:$C$11,MATCH($I47,Action_Status_Map!$A$5:$A$11,0)),""))</f>
        <v/>
      </c>
      <c r="U47" s="81" t="n"/>
      <c r="V47" s="82" t="n"/>
      <c r="W47" s="65">
        <f>IF(OR($I47&lt;&gt;"Completed",$M47="",$L47=""),"",IF($M47&lt;=$L47,"Yes","No"))</f>
        <v/>
      </c>
      <c r="X47" s="84">
        <f>IF($A47="","",COUNTIF(Task_Steps!$B$5:$B$2004,$A47))</f>
        <v/>
      </c>
      <c r="Y47" s="86">
        <f>IF($X47=0,"",COUNTIFS(Task_Steps!$B$5:$B$2004,$A47,Task_Steps!$H$5:$H$2004,"Completed")/$X47)</f>
        <v/>
      </c>
      <c r="Z47" s="81" t="n"/>
      <c r="AA47" s="81" t="n"/>
      <c r="AB47" s="67">
        <f>IF($F47="","",IFERROR(INDEX(Employee_Master!$E$5:$E$204,MATCH($F47,Employee_Master!$B$5:$B$204,0)),""))</f>
        <v/>
      </c>
      <c r="AC47" s="65">
        <f>IF(OR($A47="",$AB47=""),"",IF(OR($I47="Completed",$I47="Cancelled"),"Closed - in Manager Report","Active - in Manager Report"))</f>
        <v/>
      </c>
      <c r="AD47" s="81">
        <f>IF($A47="","",IFERROR(TEXTJOIN(", ",TRUE,FILTER(Task_Steps!$A$5:$A$2004,Task_Steps!$B$5:$B$2004=$A47)),""))</f>
        <v/>
      </c>
      <c r="AE47" s="84">
        <f>IF($A47="","",COUNTIFS(Task_Steps!$B$5:$B$2004,$A47,Task_Steps!$H$5:$H$2004,"&lt;&gt;Completed",Task_Steps!$H$5:$H$2004,"&lt;&gt;Cancelled"))</f>
        <v/>
      </c>
      <c r="AF47" s="81">
        <f>IF(OR($B47="",$A47=""),"",$B47&amp;" | "&amp;$A47)</f>
        <v/>
      </c>
    </row>
    <row r="48" ht="15" customHeight="1" s="40">
      <c r="A48" s="65">
        <f>IF(COUNTA(B48:F48)=0,"","TSK-"&amp;TEXT(ROW()-4,"0000"))</f>
        <v/>
      </c>
      <c r="B48" s="78" t="n"/>
      <c r="C48" s="78" t="n"/>
      <c r="D48" s="81" t="n"/>
      <c r="E48" s="81" t="n"/>
      <c r="F48" s="78" t="n"/>
      <c r="G48" s="67">
        <f>IF($F48="","",IFERROR(INDEX(Employee_Master!$C$5:$C$204,MATCH($F48,Employee_Master!$B$5:$B$204,0)),""))</f>
        <v/>
      </c>
      <c r="H48" s="78" t="n"/>
      <c r="I48" s="78" t="n"/>
      <c r="J48" s="67">
        <f>IF($I48="","",IFERROR(INDEX(Action_Status_Map!$B$5:$B$11,MATCH($I48,Action_Status_Map!$A$5:$A$11,0)),""))</f>
        <v/>
      </c>
      <c r="K48" s="82" t="n"/>
      <c r="L48" s="82" t="n"/>
      <c r="M48" s="82" t="n"/>
      <c r="N48" s="83" t="n"/>
      <c r="O48" s="83" t="n"/>
      <c r="P48" s="66">
        <f>IF(OR($N48="",$O48=""),"",$O48-$N48)</f>
        <v/>
      </c>
      <c r="Q48" s="84">
        <f>IF($K48="","",IF($M48&lt;&gt;"",$M48-$K48,TODAY()-$K48))</f>
        <v/>
      </c>
      <c r="R48" s="85">
        <f>IF(OR($L48="",$I48="Completed",$I48="Cancelled"),"",IF(AND($L48&lt;TODAY(),$I48&lt;&gt;"Completed",$I48&lt;&gt;"Cancelled"),"Overdue","On Track"))</f>
        <v/>
      </c>
      <c r="S48" s="65">
        <f>IF($L48="","",TEXT($L48,"yyyy-mm"))</f>
        <v/>
      </c>
      <c r="T48" s="86">
        <f>IF($I48="","",IFERROR(INDEX(Action_Status_Map!$C$5:$C$11,MATCH($I48,Action_Status_Map!$A$5:$A$11,0)),""))</f>
        <v/>
      </c>
      <c r="U48" s="81" t="n"/>
      <c r="V48" s="82" t="n"/>
      <c r="W48" s="65">
        <f>IF(OR($I48&lt;&gt;"Completed",$M48="",$L48=""),"",IF($M48&lt;=$L48,"Yes","No"))</f>
        <v/>
      </c>
      <c r="X48" s="84">
        <f>IF($A48="","",COUNTIF(Task_Steps!$B$5:$B$2004,$A48))</f>
        <v/>
      </c>
      <c r="Y48" s="86">
        <f>IF($X48=0,"",COUNTIFS(Task_Steps!$B$5:$B$2004,$A48,Task_Steps!$H$5:$H$2004,"Completed")/$X48)</f>
        <v/>
      </c>
      <c r="Z48" s="81" t="n"/>
      <c r="AA48" s="81" t="n"/>
      <c r="AB48" s="67">
        <f>IF($F48="","",IFERROR(INDEX(Employee_Master!$E$5:$E$204,MATCH($F48,Employee_Master!$B$5:$B$204,0)),""))</f>
        <v/>
      </c>
      <c r="AC48" s="65">
        <f>IF(OR($A48="",$AB48=""),"",IF(OR($I48="Completed",$I48="Cancelled"),"Closed - in Manager Report","Active - in Manager Report"))</f>
        <v/>
      </c>
      <c r="AD48" s="81">
        <f>IF($A48="","",IFERROR(TEXTJOIN(", ",TRUE,FILTER(Task_Steps!$A$5:$A$2004,Task_Steps!$B$5:$B$2004=$A48)),""))</f>
        <v/>
      </c>
      <c r="AE48" s="84">
        <f>IF($A48="","",COUNTIFS(Task_Steps!$B$5:$B$2004,$A48,Task_Steps!$H$5:$H$2004,"&lt;&gt;Completed",Task_Steps!$H$5:$H$2004,"&lt;&gt;Cancelled"))</f>
        <v/>
      </c>
      <c r="AF48" s="81">
        <f>IF(OR($B48="",$A48=""),"",$B48&amp;" | "&amp;$A48)</f>
        <v/>
      </c>
    </row>
    <row r="49" ht="15" customHeight="1" s="40">
      <c r="A49" s="65">
        <f>IF(COUNTA(B49:F49)=0,"","TSK-"&amp;TEXT(ROW()-4,"0000"))</f>
        <v/>
      </c>
      <c r="B49" s="78" t="n"/>
      <c r="C49" s="78" t="n"/>
      <c r="D49" s="81" t="n"/>
      <c r="E49" s="81" t="n"/>
      <c r="F49" s="78" t="n"/>
      <c r="G49" s="67">
        <f>IF($F49="","",IFERROR(INDEX(Employee_Master!$C$5:$C$204,MATCH($F49,Employee_Master!$B$5:$B$204,0)),""))</f>
        <v/>
      </c>
      <c r="H49" s="78" t="n"/>
      <c r="I49" s="78" t="n"/>
      <c r="J49" s="67">
        <f>IF($I49="","",IFERROR(INDEX(Action_Status_Map!$B$5:$B$11,MATCH($I49,Action_Status_Map!$A$5:$A$11,0)),""))</f>
        <v/>
      </c>
      <c r="K49" s="82" t="n"/>
      <c r="L49" s="82" t="n"/>
      <c r="M49" s="82" t="n"/>
      <c r="N49" s="83" t="n"/>
      <c r="O49" s="83" t="n"/>
      <c r="P49" s="66">
        <f>IF(OR($N49="",$O49=""),"",$O49-$N49)</f>
        <v/>
      </c>
      <c r="Q49" s="84">
        <f>IF($K49="","",IF($M49&lt;&gt;"",$M49-$K49,TODAY()-$K49))</f>
        <v/>
      </c>
      <c r="R49" s="85">
        <f>IF(OR($L49="",$I49="Completed",$I49="Cancelled"),"",IF(AND($L49&lt;TODAY(),$I49&lt;&gt;"Completed",$I49&lt;&gt;"Cancelled"),"Overdue","On Track"))</f>
        <v/>
      </c>
      <c r="S49" s="65">
        <f>IF($L49="","",TEXT($L49,"yyyy-mm"))</f>
        <v/>
      </c>
      <c r="T49" s="86">
        <f>IF($I49="","",IFERROR(INDEX(Action_Status_Map!$C$5:$C$11,MATCH($I49,Action_Status_Map!$A$5:$A$11,0)),""))</f>
        <v/>
      </c>
      <c r="U49" s="81" t="n"/>
      <c r="V49" s="82" t="n"/>
      <c r="W49" s="65">
        <f>IF(OR($I49&lt;&gt;"Completed",$M49="",$L49=""),"",IF($M49&lt;=$L49,"Yes","No"))</f>
        <v/>
      </c>
      <c r="X49" s="84">
        <f>IF($A49="","",COUNTIF(Task_Steps!$B$5:$B$2004,$A49))</f>
        <v/>
      </c>
      <c r="Y49" s="86">
        <f>IF($X49=0,"",COUNTIFS(Task_Steps!$B$5:$B$2004,$A49,Task_Steps!$H$5:$H$2004,"Completed")/$X49)</f>
        <v/>
      </c>
      <c r="Z49" s="81" t="n"/>
      <c r="AA49" s="81" t="n"/>
      <c r="AB49" s="67">
        <f>IF($F49="","",IFERROR(INDEX(Employee_Master!$E$5:$E$204,MATCH($F49,Employee_Master!$B$5:$B$204,0)),""))</f>
        <v/>
      </c>
      <c r="AC49" s="65">
        <f>IF(OR($A49="",$AB49=""),"",IF(OR($I49="Completed",$I49="Cancelled"),"Closed - in Manager Report","Active - in Manager Report"))</f>
        <v/>
      </c>
      <c r="AD49" s="81">
        <f>IF($A49="","",IFERROR(TEXTJOIN(", ",TRUE,FILTER(Task_Steps!$A$5:$A$2004,Task_Steps!$B$5:$B$2004=$A49)),""))</f>
        <v/>
      </c>
      <c r="AE49" s="84">
        <f>IF($A49="","",COUNTIFS(Task_Steps!$B$5:$B$2004,$A49,Task_Steps!$H$5:$H$2004,"&lt;&gt;Completed",Task_Steps!$H$5:$H$2004,"&lt;&gt;Cancelled"))</f>
        <v/>
      </c>
      <c r="AF49" s="81">
        <f>IF(OR($B49="",$A49=""),"",$B49&amp;" | "&amp;$A49)</f>
        <v/>
      </c>
    </row>
    <row r="50" ht="15" customHeight="1" s="40">
      <c r="A50" s="65">
        <f>IF(COUNTA(B50:F50)=0,"","TSK-"&amp;TEXT(ROW()-4,"0000"))</f>
        <v/>
      </c>
      <c r="B50" s="78" t="n"/>
      <c r="C50" s="78" t="n"/>
      <c r="D50" s="81" t="n"/>
      <c r="E50" s="81" t="n"/>
      <c r="F50" s="78" t="n"/>
      <c r="G50" s="67">
        <f>IF($F50="","",IFERROR(INDEX(Employee_Master!$C$5:$C$204,MATCH($F50,Employee_Master!$B$5:$B$204,0)),""))</f>
        <v/>
      </c>
      <c r="H50" s="78" t="n"/>
      <c r="I50" s="78" t="n"/>
      <c r="J50" s="67">
        <f>IF($I50="","",IFERROR(INDEX(Action_Status_Map!$B$5:$B$11,MATCH($I50,Action_Status_Map!$A$5:$A$11,0)),""))</f>
        <v/>
      </c>
      <c r="K50" s="82" t="n"/>
      <c r="L50" s="82" t="n"/>
      <c r="M50" s="82" t="n"/>
      <c r="N50" s="83" t="n"/>
      <c r="O50" s="83" t="n"/>
      <c r="P50" s="66">
        <f>IF(OR($N50="",$O50=""),"",$O50-$N50)</f>
        <v/>
      </c>
      <c r="Q50" s="84">
        <f>IF($K50="","",IF($M50&lt;&gt;"",$M50-$K50,TODAY()-$K50))</f>
        <v/>
      </c>
      <c r="R50" s="85">
        <f>IF(OR($L50="",$I50="Completed",$I50="Cancelled"),"",IF(AND($L50&lt;TODAY(),$I50&lt;&gt;"Completed",$I50&lt;&gt;"Cancelled"),"Overdue","On Track"))</f>
        <v/>
      </c>
      <c r="S50" s="65">
        <f>IF($L50="","",TEXT($L50,"yyyy-mm"))</f>
        <v/>
      </c>
      <c r="T50" s="86">
        <f>IF($I50="","",IFERROR(INDEX(Action_Status_Map!$C$5:$C$11,MATCH($I50,Action_Status_Map!$A$5:$A$11,0)),""))</f>
        <v/>
      </c>
      <c r="U50" s="81" t="n"/>
      <c r="V50" s="82" t="n"/>
      <c r="W50" s="65">
        <f>IF(OR($I50&lt;&gt;"Completed",$M50="",$L50=""),"",IF($M50&lt;=$L50,"Yes","No"))</f>
        <v/>
      </c>
      <c r="X50" s="84">
        <f>IF($A50="","",COUNTIF(Task_Steps!$B$5:$B$2004,$A50))</f>
        <v/>
      </c>
      <c r="Y50" s="86">
        <f>IF($X50=0,"",COUNTIFS(Task_Steps!$B$5:$B$2004,$A50,Task_Steps!$H$5:$H$2004,"Completed")/$X50)</f>
        <v/>
      </c>
      <c r="Z50" s="81" t="n"/>
      <c r="AA50" s="81" t="n"/>
      <c r="AB50" s="67">
        <f>IF($F50="","",IFERROR(INDEX(Employee_Master!$E$5:$E$204,MATCH($F50,Employee_Master!$B$5:$B$204,0)),""))</f>
        <v/>
      </c>
      <c r="AC50" s="65">
        <f>IF(OR($A50="",$AB50=""),"",IF(OR($I50="Completed",$I50="Cancelled"),"Closed - in Manager Report","Active - in Manager Report"))</f>
        <v/>
      </c>
      <c r="AD50" s="81">
        <f>IF($A50="","",IFERROR(TEXTJOIN(", ",TRUE,FILTER(Task_Steps!$A$5:$A$2004,Task_Steps!$B$5:$B$2004=$A50)),""))</f>
        <v/>
      </c>
      <c r="AE50" s="84">
        <f>IF($A50="","",COUNTIFS(Task_Steps!$B$5:$B$2004,$A50,Task_Steps!$H$5:$H$2004,"&lt;&gt;Completed",Task_Steps!$H$5:$H$2004,"&lt;&gt;Cancelled"))</f>
        <v/>
      </c>
      <c r="AF50" s="81">
        <f>IF(OR($B50="",$A50=""),"",$B50&amp;" | "&amp;$A50)</f>
        <v/>
      </c>
    </row>
    <row r="51" ht="15" customHeight="1" s="40">
      <c r="A51" s="65">
        <f>IF(COUNTA(B51:F51)=0,"","TSK-"&amp;TEXT(ROW()-4,"0000"))</f>
        <v/>
      </c>
      <c r="B51" s="78" t="n"/>
      <c r="C51" s="78" t="n"/>
      <c r="D51" s="81" t="n"/>
      <c r="E51" s="81" t="n"/>
      <c r="F51" s="78" t="n"/>
      <c r="G51" s="67">
        <f>IF($F51="","",IFERROR(INDEX(Employee_Master!$C$5:$C$204,MATCH($F51,Employee_Master!$B$5:$B$204,0)),""))</f>
        <v/>
      </c>
      <c r="H51" s="78" t="n"/>
      <c r="I51" s="78" t="n"/>
      <c r="J51" s="67">
        <f>IF($I51="","",IFERROR(INDEX(Action_Status_Map!$B$5:$B$11,MATCH($I51,Action_Status_Map!$A$5:$A$11,0)),""))</f>
        <v/>
      </c>
      <c r="K51" s="82" t="n"/>
      <c r="L51" s="82" t="n"/>
      <c r="M51" s="82" t="n"/>
      <c r="N51" s="83" t="n"/>
      <c r="O51" s="83" t="n"/>
      <c r="P51" s="66">
        <f>IF(OR($N51="",$O51=""),"",$O51-$N51)</f>
        <v/>
      </c>
      <c r="Q51" s="84">
        <f>IF($K51="","",IF($M51&lt;&gt;"",$M51-$K51,TODAY()-$K51))</f>
        <v/>
      </c>
      <c r="R51" s="85">
        <f>IF(OR($L51="",$I51="Completed",$I51="Cancelled"),"",IF(AND($L51&lt;TODAY(),$I51&lt;&gt;"Completed",$I51&lt;&gt;"Cancelled"),"Overdue","On Track"))</f>
        <v/>
      </c>
      <c r="S51" s="65">
        <f>IF($L51="","",TEXT($L51,"yyyy-mm"))</f>
        <v/>
      </c>
      <c r="T51" s="86">
        <f>IF($I51="","",IFERROR(INDEX(Action_Status_Map!$C$5:$C$11,MATCH($I51,Action_Status_Map!$A$5:$A$11,0)),""))</f>
        <v/>
      </c>
      <c r="U51" s="81" t="n"/>
      <c r="V51" s="82" t="n"/>
      <c r="W51" s="65">
        <f>IF(OR($I51&lt;&gt;"Completed",$M51="",$L51=""),"",IF($M51&lt;=$L51,"Yes","No"))</f>
        <v/>
      </c>
      <c r="X51" s="84">
        <f>IF($A51="","",COUNTIF(Task_Steps!$B$5:$B$2004,$A51))</f>
        <v/>
      </c>
      <c r="Y51" s="86">
        <f>IF($X51=0,"",COUNTIFS(Task_Steps!$B$5:$B$2004,$A51,Task_Steps!$H$5:$H$2004,"Completed")/$X51)</f>
        <v/>
      </c>
      <c r="Z51" s="81" t="n"/>
      <c r="AA51" s="81" t="n"/>
      <c r="AB51" s="67">
        <f>IF($F51="","",IFERROR(INDEX(Employee_Master!$E$5:$E$204,MATCH($F51,Employee_Master!$B$5:$B$204,0)),""))</f>
        <v/>
      </c>
      <c r="AC51" s="65">
        <f>IF(OR($A51="",$AB51=""),"",IF(OR($I51="Completed",$I51="Cancelled"),"Closed - in Manager Report","Active - in Manager Report"))</f>
        <v/>
      </c>
      <c r="AD51" s="81">
        <f>IF($A51="","",IFERROR(TEXTJOIN(", ",TRUE,FILTER(Task_Steps!$A$5:$A$2004,Task_Steps!$B$5:$B$2004=$A51)),""))</f>
        <v/>
      </c>
      <c r="AE51" s="84">
        <f>IF($A51="","",COUNTIFS(Task_Steps!$B$5:$B$2004,$A51,Task_Steps!$H$5:$H$2004,"&lt;&gt;Completed",Task_Steps!$H$5:$H$2004,"&lt;&gt;Cancelled"))</f>
        <v/>
      </c>
      <c r="AF51" s="81">
        <f>IF(OR($B51="",$A51=""),"",$B51&amp;" | "&amp;$A51)</f>
        <v/>
      </c>
    </row>
    <row r="52" ht="15" customHeight="1" s="40">
      <c r="A52" s="65">
        <f>IF(COUNTA(B52:F52)=0,"","TSK-"&amp;TEXT(ROW()-4,"0000"))</f>
        <v/>
      </c>
      <c r="B52" s="78" t="n"/>
      <c r="C52" s="78" t="n"/>
      <c r="D52" s="81" t="n"/>
      <c r="E52" s="81" t="n"/>
      <c r="F52" s="78" t="n"/>
      <c r="G52" s="67">
        <f>IF($F52="","",IFERROR(INDEX(Employee_Master!$C$5:$C$204,MATCH($F52,Employee_Master!$B$5:$B$204,0)),""))</f>
        <v/>
      </c>
      <c r="H52" s="78" t="n"/>
      <c r="I52" s="78" t="n"/>
      <c r="J52" s="67">
        <f>IF($I52="","",IFERROR(INDEX(Action_Status_Map!$B$5:$B$11,MATCH($I52,Action_Status_Map!$A$5:$A$11,0)),""))</f>
        <v/>
      </c>
      <c r="K52" s="82" t="n"/>
      <c r="L52" s="82" t="n"/>
      <c r="M52" s="82" t="n"/>
      <c r="N52" s="83" t="n"/>
      <c r="O52" s="83" t="n"/>
      <c r="P52" s="66">
        <f>IF(OR($N52="",$O52=""),"",$O52-$N52)</f>
        <v/>
      </c>
      <c r="Q52" s="84">
        <f>IF($K52="","",IF($M52&lt;&gt;"",$M52-$K52,TODAY()-$K52))</f>
        <v/>
      </c>
      <c r="R52" s="85">
        <f>IF(OR($L52="",$I52="Completed",$I52="Cancelled"),"",IF(AND($L52&lt;TODAY(),$I52&lt;&gt;"Completed",$I52&lt;&gt;"Cancelled"),"Overdue","On Track"))</f>
        <v/>
      </c>
      <c r="S52" s="65">
        <f>IF($L52="","",TEXT($L52,"yyyy-mm"))</f>
        <v/>
      </c>
      <c r="T52" s="86">
        <f>IF($I52="","",IFERROR(INDEX(Action_Status_Map!$C$5:$C$11,MATCH($I52,Action_Status_Map!$A$5:$A$11,0)),""))</f>
        <v/>
      </c>
      <c r="U52" s="81" t="n"/>
      <c r="V52" s="82" t="n"/>
      <c r="W52" s="65">
        <f>IF(OR($I52&lt;&gt;"Completed",$M52="",$L52=""),"",IF($M52&lt;=$L52,"Yes","No"))</f>
        <v/>
      </c>
      <c r="X52" s="84">
        <f>IF($A52="","",COUNTIF(Task_Steps!$B$5:$B$2004,$A52))</f>
        <v/>
      </c>
      <c r="Y52" s="86">
        <f>IF($X52=0,"",COUNTIFS(Task_Steps!$B$5:$B$2004,$A52,Task_Steps!$H$5:$H$2004,"Completed")/$X52)</f>
        <v/>
      </c>
      <c r="Z52" s="81" t="n"/>
      <c r="AA52" s="81" t="n"/>
      <c r="AB52" s="67">
        <f>IF($F52="","",IFERROR(INDEX(Employee_Master!$E$5:$E$204,MATCH($F52,Employee_Master!$B$5:$B$204,0)),""))</f>
        <v/>
      </c>
      <c r="AC52" s="65">
        <f>IF(OR($A52="",$AB52=""),"",IF(OR($I52="Completed",$I52="Cancelled"),"Closed - in Manager Report","Active - in Manager Report"))</f>
        <v/>
      </c>
      <c r="AD52" s="81">
        <f>IF($A52="","",IFERROR(TEXTJOIN(", ",TRUE,FILTER(Task_Steps!$A$5:$A$2004,Task_Steps!$B$5:$B$2004=$A52)),""))</f>
        <v/>
      </c>
      <c r="AE52" s="84">
        <f>IF($A52="","",COUNTIFS(Task_Steps!$B$5:$B$2004,$A52,Task_Steps!$H$5:$H$2004,"&lt;&gt;Completed",Task_Steps!$H$5:$H$2004,"&lt;&gt;Cancelled"))</f>
        <v/>
      </c>
      <c r="AF52" s="81">
        <f>IF(OR($B52="",$A52=""),"",$B52&amp;" | "&amp;$A52)</f>
        <v/>
      </c>
    </row>
    <row r="53" ht="15" customHeight="1" s="40">
      <c r="A53" s="65">
        <f>IF(COUNTA(B53:F53)=0,"","TSK-"&amp;TEXT(ROW()-4,"0000"))</f>
        <v/>
      </c>
      <c r="B53" s="78" t="n"/>
      <c r="C53" s="78" t="n"/>
      <c r="D53" s="81" t="n"/>
      <c r="E53" s="81" t="n"/>
      <c r="F53" s="78" t="n"/>
      <c r="G53" s="67">
        <f>IF($F53="","",IFERROR(INDEX(Employee_Master!$C$5:$C$204,MATCH($F53,Employee_Master!$B$5:$B$204,0)),""))</f>
        <v/>
      </c>
      <c r="H53" s="78" t="n"/>
      <c r="I53" s="78" t="n"/>
      <c r="J53" s="67">
        <f>IF($I53="","",IFERROR(INDEX(Action_Status_Map!$B$5:$B$11,MATCH($I53,Action_Status_Map!$A$5:$A$11,0)),""))</f>
        <v/>
      </c>
      <c r="K53" s="82" t="n"/>
      <c r="L53" s="82" t="n"/>
      <c r="M53" s="82" t="n"/>
      <c r="N53" s="83" t="n"/>
      <c r="O53" s="83" t="n"/>
      <c r="P53" s="66">
        <f>IF(OR($N53="",$O53=""),"",$O53-$N53)</f>
        <v/>
      </c>
      <c r="Q53" s="84">
        <f>IF($K53="","",IF($M53&lt;&gt;"",$M53-$K53,TODAY()-$K53))</f>
        <v/>
      </c>
      <c r="R53" s="85">
        <f>IF(OR($L53="",$I53="Completed",$I53="Cancelled"),"",IF(AND($L53&lt;TODAY(),$I53&lt;&gt;"Completed",$I53&lt;&gt;"Cancelled"),"Overdue","On Track"))</f>
        <v/>
      </c>
      <c r="S53" s="65">
        <f>IF($L53="","",TEXT($L53,"yyyy-mm"))</f>
        <v/>
      </c>
      <c r="T53" s="86">
        <f>IF($I53="","",IFERROR(INDEX(Action_Status_Map!$C$5:$C$11,MATCH($I53,Action_Status_Map!$A$5:$A$11,0)),""))</f>
        <v/>
      </c>
      <c r="U53" s="81" t="n"/>
      <c r="V53" s="82" t="n"/>
      <c r="W53" s="65">
        <f>IF(OR($I53&lt;&gt;"Completed",$M53="",$L53=""),"",IF($M53&lt;=$L53,"Yes","No"))</f>
        <v/>
      </c>
      <c r="X53" s="84">
        <f>IF($A53="","",COUNTIF(Task_Steps!$B$5:$B$2004,$A53))</f>
        <v/>
      </c>
      <c r="Y53" s="86">
        <f>IF($X53=0,"",COUNTIFS(Task_Steps!$B$5:$B$2004,$A53,Task_Steps!$H$5:$H$2004,"Completed")/$X53)</f>
        <v/>
      </c>
      <c r="Z53" s="81" t="n"/>
      <c r="AA53" s="81" t="n"/>
      <c r="AB53" s="67">
        <f>IF($F53="","",IFERROR(INDEX(Employee_Master!$E$5:$E$204,MATCH($F53,Employee_Master!$B$5:$B$204,0)),""))</f>
        <v/>
      </c>
      <c r="AC53" s="65">
        <f>IF(OR($A53="",$AB53=""),"",IF(OR($I53="Completed",$I53="Cancelled"),"Closed - in Manager Report","Active - in Manager Report"))</f>
        <v/>
      </c>
      <c r="AD53" s="81">
        <f>IF($A53="","",IFERROR(TEXTJOIN(", ",TRUE,FILTER(Task_Steps!$A$5:$A$2004,Task_Steps!$B$5:$B$2004=$A53)),""))</f>
        <v/>
      </c>
      <c r="AE53" s="84">
        <f>IF($A53="","",COUNTIFS(Task_Steps!$B$5:$B$2004,$A53,Task_Steps!$H$5:$H$2004,"&lt;&gt;Completed",Task_Steps!$H$5:$H$2004,"&lt;&gt;Cancelled"))</f>
        <v/>
      </c>
      <c r="AF53" s="81">
        <f>IF(OR($B53="",$A53=""),"",$B53&amp;" | "&amp;$A53)</f>
        <v/>
      </c>
    </row>
    <row r="54" ht="15" customHeight="1" s="40">
      <c r="A54" s="65">
        <f>IF(COUNTA(B54:F54)=0,"","TSK-"&amp;TEXT(ROW()-4,"0000"))</f>
        <v/>
      </c>
      <c r="B54" s="78" t="n"/>
      <c r="C54" s="78" t="n"/>
      <c r="D54" s="81" t="n"/>
      <c r="E54" s="81" t="n"/>
      <c r="F54" s="78" t="n"/>
      <c r="G54" s="67">
        <f>IF($F54="","",IFERROR(INDEX(Employee_Master!$C$5:$C$204,MATCH($F54,Employee_Master!$B$5:$B$204,0)),""))</f>
        <v/>
      </c>
      <c r="H54" s="78" t="n"/>
      <c r="I54" s="78" t="n"/>
      <c r="J54" s="67">
        <f>IF($I54="","",IFERROR(INDEX(Action_Status_Map!$B$5:$B$11,MATCH($I54,Action_Status_Map!$A$5:$A$11,0)),""))</f>
        <v/>
      </c>
      <c r="K54" s="82" t="n"/>
      <c r="L54" s="82" t="n"/>
      <c r="M54" s="82" t="n"/>
      <c r="N54" s="83" t="n"/>
      <c r="O54" s="83" t="n"/>
      <c r="P54" s="66">
        <f>IF(OR($N54="",$O54=""),"",$O54-$N54)</f>
        <v/>
      </c>
      <c r="Q54" s="84">
        <f>IF($K54="","",IF($M54&lt;&gt;"",$M54-$K54,TODAY()-$K54))</f>
        <v/>
      </c>
      <c r="R54" s="85">
        <f>IF(OR($L54="",$I54="Completed",$I54="Cancelled"),"",IF(AND($L54&lt;TODAY(),$I54&lt;&gt;"Completed",$I54&lt;&gt;"Cancelled"),"Overdue","On Track"))</f>
        <v/>
      </c>
      <c r="S54" s="65">
        <f>IF($L54="","",TEXT($L54,"yyyy-mm"))</f>
        <v/>
      </c>
      <c r="T54" s="86">
        <f>IF($I54="","",IFERROR(INDEX(Action_Status_Map!$C$5:$C$11,MATCH($I54,Action_Status_Map!$A$5:$A$11,0)),""))</f>
        <v/>
      </c>
      <c r="U54" s="81" t="n"/>
      <c r="V54" s="82" t="n"/>
      <c r="W54" s="65">
        <f>IF(OR($I54&lt;&gt;"Completed",$M54="",$L54=""),"",IF($M54&lt;=$L54,"Yes","No"))</f>
        <v/>
      </c>
      <c r="X54" s="84">
        <f>IF($A54="","",COUNTIF(Task_Steps!$B$5:$B$2004,$A54))</f>
        <v/>
      </c>
      <c r="Y54" s="86">
        <f>IF($X54=0,"",COUNTIFS(Task_Steps!$B$5:$B$2004,$A54,Task_Steps!$H$5:$H$2004,"Completed")/$X54)</f>
        <v/>
      </c>
      <c r="Z54" s="81" t="n"/>
      <c r="AA54" s="81" t="n"/>
      <c r="AB54" s="67">
        <f>IF($F54="","",IFERROR(INDEX(Employee_Master!$E$5:$E$204,MATCH($F54,Employee_Master!$B$5:$B$204,0)),""))</f>
        <v/>
      </c>
      <c r="AC54" s="65">
        <f>IF(OR($A54="",$AB54=""),"",IF(OR($I54="Completed",$I54="Cancelled"),"Closed - in Manager Report","Active - in Manager Report"))</f>
        <v/>
      </c>
      <c r="AD54" s="81">
        <f>IF($A54="","",IFERROR(TEXTJOIN(", ",TRUE,FILTER(Task_Steps!$A$5:$A$2004,Task_Steps!$B$5:$B$2004=$A54)),""))</f>
        <v/>
      </c>
      <c r="AE54" s="84">
        <f>IF($A54="","",COUNTIFS(Task_Steps!$B$5:$B$2004,$A54,Task_Steps!$H$5:$H$2004,"&lt;&gt;Completed",Task_Steps!$H$5:$H$2004,"&lt;&gt;Cancelled"))</f>
        <v/>
      </c>
      <c r="AF54" s="81">
        <f>IF(OR($B54="",$A54=""),"",$B54&amp;" | "&amp;$A54)</f>
        <v/>
      </c>
    </row>
    <row r="55" ht="15" customHeight="1" s="40">
      <c r="A55" s="65">
        <f>IF(COUNTA(B55:F55)=0,"","TSK-"&amp;TEXT(ROW()-4,"0000"))</f>
        <v/>
      </c>
      <c r="B55" s="78" t="n"/>
      <c r="C55" s="78" t="n"/>
      <c r="D55" s="81" t="n"/>
      <c r="E55" s="81" t="n"/>
      <c r="F55" s="78" t="n"/>
      <c r="G55" s="67">
        <f>IF($F55="","",IFERROR(INDEX(Employee_Master!$C$5:$C$204,MATCH($F55,Employee_Master!$B$5:$B$204,0)),""))</f>
        <v/>
      </c>
      <c r="H55" s="78" t="n"/>
      <c r="I55" s="78" t="n"/>
      <c r="J55" s="67">
        <f>IF($I55="","",IFERROR(INDEX(Action_Status_Map!$B$5:$B$11,MATCH($I55,Action_Status_Map!$A$5:$A$11,0)),""))</f>
        <v/>
      </c>
      <c r="K55" s="82" t="n"/>
      <c r="L55" s="82" t="n"/>
      <c r="M55" s="82" t="n"/>
      <c r="N55" s="83" t="n"/>
      <c r="O55" s="83" t="n"/>
      <c r="P55" s="66">
        <f>IF(OR($N55="",$O55=""),"",$O55-$N55)</f>
        <v/>
      </c>
      <c r="Q55" s="84">
        <f>IF($K55="","",IF($M55&lt;&gt;"",$M55-$K55,TODAY()-$K55))</f>
        <v/>
      </c>
      <c r="R55" s="85">
        <f>IF(OR($L55="",$I55="Completed",$I55="Cancelled"),"",IF(AND($L55&lt;TODAY(),$I55&lt;&gt;"Completed",$I55&lt;&gt;"Cancelled"),"Overdue","On Track"))</f>
        <v/>
      </c>
      <c r="S55" s="65">
        <f>IF($L55="","",TEXT($L55,"yyyy-mm"))</f>
        <v/>
      </c>
      <c r="T55" s="86">
        <f>IF($I55="","",IFERROR(INDEX(Action_Status_Map!$C$5:$C$11,MATCH($I55,Action_Status_Map!$A$5:$A$11,0)),""))</f>
        <v/>
      </c>
      <c r="U55" s="81" t="n"/>
      <c r="V55" s="82" t="n"/>
      <c r="W55" s="65">
        <f>IF(OR($I55&lt;&gt;"Completed",$M55="",$L55=""),"",IF($M55&lt;=$L55,"Yes","No"))</f>
        <v/>
      </c>
      <c r="X55" s="84">
        <f>IF($A55="","",COUNTIF(Task_Steps!$B$5:$B$2004,$A55))</f>
        <v/>
      </c>
      <c r="Y55" s="86">
        <f>IF($X55=0,"",COUNTIFS(Task_Steps!$B$5:$B$2004,$A55,Task_Steps!$H$5:$H$2004,"Completed")/$X55)</f>
        <v/>
      </c>
      <c r="Z55" s="81" t="n"/>
      <c r="AA55" s="81" t="n"/>
      <c r="AB55" s="67">
        <f>IF($F55="","",IFERROR(INDEX(Employee_Master!$E$5:$E$204,MATCH($F55,Employee_Master!$B$5:$B$204,0)),""))</f>
        <v/>
      </c>
      <c r="AC55" s="65">
        <f>IF(OR($A55="",$AB55=""),"",IF(OR($I55="Completed",$I55="Cancelled"),"Closed - in Manager Report","Active - in Manager Report"))</f>
        <v/>
      </c>
      <c r="AD55" s="81">
        <f>IF($A55="","",IFERROR(TEXTJOIN(", ",TRUE,FILTER(Task_Steps!$A$5:$A$2004,Task_Steps!$B$5:$B$2004=$A55)),""))</f>
        <v/>
      </c>
      <c r="AE55" s="84">
        <f>IF($A55="","",COUNTIFS(Task_Steps!$B$5:$B$2004,$A55,Task_Steps!$H$5:$H$2004,"&lt;&gt;Completed",Task_Steps!$H$5:$H$2004,"&lt;&gt;Cancelled"))</f>
        <v/>
      </c>
      <c r="AF55" s="81">
        <f>IF(OR($B55="",$A55=""),"",$B55&amp;" | "&amp;$A55)</f>
        <v/>
      </c>
    </row>
    <row r="56" ht="15" customHeight="1" s="40">
      <c r="A56" s="65">
        <f>IF(COUNTA(B56:F56)=0,"","TSK-"&amp;TEXT(ROW()-4,"0000"))</f>
        <v/>
      </c>
      <c r="B56" s="78" t="n"/>
      <c r="C56" s="78" t="n"/>
      <c r="D56" s="81" t="n"/>
      <c r="E56" s="81" t="n"/>
      <c r="F56" s="78" t="n"/>
      <c r="G56" s="67">
        <f>IF($F56="","",IFERROR(INDEX(Employee_Master!$C$5:$C$204,MATCH($F56,Employee_Master!$B$5:$B$204,0)),""))</f>
        <v/>
      </c>
      <c r="H56" s="78" t="n"/>
      <c r="I56" s="78" t="n"/>
      <c r="J56" s="67">
        <f>IF($I56="","",IFERROR(INDEX(Action_Status_Map!$B$5:$B$11,MATCH($I56,Action_Status_Map!$A$5:$A$11,0)),""))</f>
        <v/>
      </c>
      <c r="K56" s="82" t="n"/>
      <c r="L56" s="82" t="n"/>
      <c r="M56" s="82" t="n"/>
      <c r="N56" s="83" t="n"/>
      <c r="O56" s="83" t="n"/>
      <c r="P56" s="66">
        <f>IF(OR($N56="",$O56=""),"",$O56-$N56)</f>
        <v/>
      </c>
      <c r="Q56" s="84">
        <f>IF($K56="","",IF($M56&lt;&gt;"",$M56-$K56,TODAY()-$K56))</f>
        <v/>
      </c>
      <c r="R56" s="85">
        <f>IF(OR($L56="",$I56="Completed",$I56="Cancelled"),"",IF(AND($L56&lt;TODAY(),$I56&lt;&gt;"Completed",$I56&lt;&gt;"Cancelled"),"Overdue","On Track"))</f>
        <v/>
      </c>
      <c r="S56" s="65">
        <f>IF($L56="","",TEXT($L56,"yyyy-mm"))</f>
        <v/>
      </c>
      <c r="T56" s="86">
        <f>IF($I56="","",IFERROR(INDEX(Action_Status_Map!$C$5:$C$11,MATCH($I56,Action_Status_Map!$A$5:$A$11,0)),""))</f>
        <v/>
      </c>
      <c r="U56" s="81" t="n"/>
      <c r="V56" s="82" t="n"/>
      <c r="W56" s="65">
        <f>IF(OR($I56&lt;&gt;"Completed",$M56="",$L56=""),"",IF($M56&lt;=$L56,"Yes","No"))</f>
        <v/>
      </c>
      <c r="X56" s="84">
        <f>IF($A56="","",COUNTIF(Task_Steps!$B$5:$B$2004,$A56))</f>
        <v/>
      </c>
      <c r="Y56" s="86">
        <f>IF($X56=0,"",COUNTIFS(Task_Steps!$B$5:$B$2004,$A56,Task_Steps!$H$5:$H$2004,"Completed")/$X56)</f>
        <v/>
      </c>
      <c r="Z56" s="81" t="n"/>
      <c r="AA56" s="81" t="n"/>
      <c r="AB56" s="67">
        <f>IF($F56="","",IFERROR(INDEX(Employee_Master!$E$5:$E$204,MATCH($F56,Employee_Master!$B$5:$B$204,0)),""))</f>
        <v/>
      </c>
      <c r="AC56" s="65">
        <f>IF(OR($A56="",$AB56=""),"",IF(OR($I56="Completed",$I56="Cancelled"),"Closed - in Manager Report","Active - in Manager Report"))</f>
        <v/>
      </c>
      <c r="AD56" s="81">
        <f>IF($A56="","",IFERROR(TEXTJOIN(", ",TRUE,FILTER(Task_Steps!$A$5:$A$2004,Task_Steps!$B$5:$B$2004=$A56)),""))</f>
        <v/>
      </c>
      <c r="AE56" s="84">
        <f>IF($A56="","",COUNTIFS(Task_Steps!$B$5:$B$2004,$A56,Task_Steps!$H$5:$H$2004,"&lt;&gt;Completed",Task_Steps!$H$5:$H$2004,"&lt;&gt;Cancelled"))</f>
        <v/>
      </c>
      <c r="AF56" s="81">
        <f>IF(OR($B56="",$A56=""),"",$B56&amp;" | "&amp;$A56)</f>
        <v/>
      </c>
    </row>
    <row r="57" ht="15" customHeight="1" s="40">
      <c r="A57" s="65">
        <f>IF(COUNTA(B57:F57)=0,"","TSK-"&amp;TEXT(ROW()-4,"0000"))</f>
        <v/>
      </c>
      <c r="B57" s="78" t="n"/>
      <c r="C57" s="78" t="n"/>
      <c r="D57" s="81" t="n"/>
      <c r="E57" s="81" t="n"/>
      <c r="F57" s="78" t="n"/>
      <c r="G57" s="67">
        <f>IF($F57="","",IFERROR(INDEX(Employee_Master!$C$5:$C$204,MATCH($F57,Employee_Master!$B$5:$B$204,0)),""))</f>
        <v/>
      </c>
      <c r="H57" s="78" t="n"/>
      <c r="I57" s="78" t="n"/>
      <c r="J57" s="67">
        <f>IF($I57="","",IFERROR(INDEX(Action_Status_Map!$B$5:$B$11,MATCH($I57,Action_Status_Map!$A$5:$A$11,0)),""))</f>
        <v/>
      </c>
      <c r="K57" s="82" t="n"/>
      <c r="L57" s="82" t="n"/>
      <c r="M57" s="82" t="n"/>
      <c r="N57" s="83" t="n"/>
      <c r="O57" s="83" t="n"/>
      <c r="P57" s="66">
        <f>IF(OR($N57="",$O57=""),"",$O57-$N57)</f>
        <v/>
      </c>
      <c r="Q57" s="84">
        <f>IF($K57="","",IF($M57&lt;&gt;"",$M57-$K57,TODAY()-$K57))</f>
        <v/>
      </c>
      <c r="R57" s="85">
        <f>IF(OR($L57="",$I57="Completed",$I57="Cancelled"),"",IF(AND($L57&lt;TODAY(),$I57&lt;&gt;"Completed",$I57&lt;&gt;"Cancelled"),"Overdue","On Track"))</f>
        <v/>
      </c>
      <c r="S57" s="65">
        <f>IF($L57="","",TEXT($L57,"yyyy-mm"))</f>
        <v/>
      </c>
      <c r="T57" s="86">
        <f>IF($I57="","",IFERROR(INDEX(Action_Status_Map!$C$5:$C$11,MATCH($I57,Action_Status_Map!$A$5:$A$11,0)),""))</f>
        <v/>
      </c>
      <c r="U57" s="81" t="n"/>
      <c r="V57" s="82" t="n"/>
      <c r="W57" s="65">
        <f>IF(OR($I57&lt;&gt;"Completed",$M57="",$L57=""),"",IF($M57&lt;=$L57,"Yes","No"))</f>
        <v/>
      </c>
      <c r="X57" s="84">
        <f>IF($A57="","",COUNTIF(Task_Steps!$B$5:$B$2004,$A57))</f>
        <v/>
      </c>
      <c r="Y57" s="86">
        <f>IF($X57=0,"",COUNTIFS(Task_Steps!$B$5:$B$2004,$A57,Task_Steps!$H$5:$H$2004,"Completed")/$X57)</f>
        <v/>
      </c>
      <c r="Z57" s="81" t="n"/>
      <c r="AA57" s="81" t="n"/>
      <c r="AB57" s="67">
        <f>IF($F57="","",IFERROR(INDEX(Employee_Master!$E$5:$E$204,MATCH($F57,Employee_Master!$B$5:$B$204,0)),""))</f>
        <v/>
      </c>
      <c r="AC57" s="65">
        <f>IF(OR($A57="",$AB57=""),"",IF(OR($I57="Completed",$I57="Cancelled"),"Closed - in Manager Report","Active - in Manager Report"))</f>
        <v/>
      </c>
      <c r="AD57" s="81">
        <f>IF($A57="","",IFERROR(TEXTJOIN(", ",TRUE,FILTER(Task_Steps!$A$5:$A$2004,Task_Steps!$B$5:$B$2004=$A57)),""))</f>
        <v/>
      </c>
      <c r="AE57" s="84">
        <f>IF($A57="","",COUNTIFS(Task_Steps!$B$5:$B$2004,$A57,Task_Steps!$H$5:$H$2004,"&lt;&gt;Completed",Task_Steps!$H$5:$H$2004,"&lt;&gt;Cancelled"))</f>
        <v/>
      </c>
      <c r="AF57" s="81">
        <f>IF(OR($B57="",$A57=""),"",$B57&amp;" | "&amp;$A57)</f>
        <v/>
      </c>
    </row>
    <row r="58" ht="15" customHeight="1" s="40">
      <c r="A58" s="65">
        <f>IF(COUNTA(B58:F58)=0,"","TSK-"&amp;TEXT(ROW()-4,"0000"))</f>
        <v/>
      </c>
      <c r="B58" s="78" t="n"/>
      <c r="C58" s="78" t="n"/>
      <c r="D58" s="81" t="n"/>
      <c r="E58" s="81" t="n"/>
      <c r="F58" s="78" t="n"/>
      <c r="G58" s="67">
        <f>IF($F58="","",IFERROR(INDEX(Employee_Master!$C$5:$C$204,MATCH($F58,Employee_Master!$B$5:$B$204,0)),""))</f>
        <v/>
      </c>
      <c r="H58" s="78" t="n"/>
      <c r="I58" s="78" t="n"/>
      <c r="J58" s="67">
        <f>IF($I58="","",IFERROR(INDEX(Action_Status_Map!$B$5:$B$11,MATCH($I58,Action_Status_Map!$A$5:$A$11,0)),""))</f>
        <v/>
      </c>
      <c r="K58" s="82" t="n"/>
      <c r="L58" s="82" t="n"/>
      <c r="M58" s="82" t="n"/>
      <c r="N58" s="83" t="n"/>
      <c r="O58" s="83" t="n"/>
      <c r="P58" s="66">
        <f>IF(OR($N58="",$O58=""),"",$O58-$N58)</f>
        <v/>
      </c>
      <c r="Q58" s="84">
        <f>IF($K58="","",IF($M58&lt;&gt;"",$M58-$K58,TODAY()-$K58))</f>
        <v/>
      </c>
      <c r="R58" s="85">
        <f>IF(OR($L58="",$I58="Completed",$I58="Cancelled"),"",IF(AND($L58&lt;TODAY(),$I58&lt;&gt;"Completed",$I58&lt;&gt;"Cancelled"),"Overdue","On Track"))</f>
        <v/>
      </c>
      <c r="S58" s="65">
        <f>IF($L58="","",TEXT($L58,"yyyy-mm"))</f>
        <v/>
      </c>
      <c r="T58" s="86">
        <f>IF($I58="","",IFERROR(INDEX(Action_Status_Map!$C$5:$C$11,MATCH($I58,Action_Status_Map!$A$5:$A$11,0)),""))</f>
        <v/>
      </c>
      <c r="U58" s="81" t="n"/>
      <c r="V58" s="82" t="n"/>
      <c r="W58" s="65">
        <f>IF(OR($I58&lt;&gt;"Completed",$M58="",$L58=""),"",IF($M58&lt;=$L58,"Yes","No"))</f>
        <v/>
      </c>
      <c r="X58" s="84">
        <f>IF($A58="","",COUNTIF(Task_Steps!$B$5:$B$2004,$A58))</f>
        <v/>
      </c>
      <c r="Y58" s="86">
        <f>IF($X58=0,"",COUNTIFS(Task_Steps!$B$5:$B$2004,$A58,Task_Steps!$H$5:$H$2004,"Completed")/$X58)</f>
        <v/>
      </c>
      <c r="Z58" s="81" t="n"/>
      <c r="AA58" s="81" t="n"/>
      <c r="AB58" s="67">
        <f>IF($F58="","",IFERROR(INDEX(Employee_Master!$E$5:$E$204,MATCH($F58,Employee_Master!$B$5:$B$204,0)),""))</f>
        <v/>
      </c>
      <c r="AC58" s="65">
        <f>IF(OR($A58="",$AB58=""),"",IF(OR($I58="Completed",$I58="Cancelled"),"Closed - in Manager Report","Active - in Manager Report"))</f>
        <v/>
      </c>
      <c r="AD58" s="81">
        <f>IF($A58="","",IFERROR(TEXTJOIN(", ",TRUE,FILTER(Task_Steps!$A$5:$A$2004,Task_Steps!$B$5:$B$2004=$A58)),""))</f>
        <v/>
      </c>
      <c r="AE58" s="84">
        <f>IF($A58="","",COUNTIFS(Task_Steps!$B$5:$B$2004,$A58,Task_Steps!$H$5:$H$2004,"&lt;&gt;Completed",Task_Steps!$H$5:$H$2004,"&lt;&gt;Cancelled"))</f>
        <v/>
      </c>
      <c r="AF58" s="81">
        <f>IF(OR($B58="",$A58=""),"",$B58&amp;" | "&amp;$A58)</f>
        <v/>
      </c>
    </row>
    <row r="59" ht="15" customHeight="1" s="40">
      <c r="A59" s="65">
        <f>IF(COUNTA(B59:F59)=0,"","TSK-"&amp;TEXT(ROW()-4,"0000"))</f>
        <v/>
      </c>
      <c r="B59" s="78" t="n"/>
      <c r="C59" s="78" t="n"/>
      <c r="D59" s="81" t="n"/>
      <c r="E59" s="81" t="n"/>
      <c r="F59" s="78" t="n"/>
      <c r="G59" s="67">
        <f>IF($F59="","",IFERROR(INDEX(Employee_Master!$C$5:$C$204,MATCH($F59,Employee_Master!$B$5:$B$204,0)),""))</f>
        <v/>
      </c>
      <c r="H59" s="78" t="n"/>
      <c r="I59" s="78" t="n"/>
      <c r="J59" s="67">
        <f>IF($I59="","",IFERROR(INDEX(Action_Status_Map!$B$5:$B$11,MATCH($I59,Action_Status_Map!$A$5:$A$11,0)),""))</f>
        <v/>
      </c>
      <c r="K59" s="82" t="n"/>
      <c r="L59" s="82" t="n"/>
      <c r="M59" s="82" t="n"/>
      <c r="N59" s="83" t="n"/>
      <c r="O59" s="83" t="n"/>
      <c r="P59" s="66">
        <f>IF(OR($N59="",$O59=""),"",$O59-$N59)</f>
        <v/>
      </c>
      <c r="Q59" s="84">
        <f>IF($K59="","",IF($M59&lt;&gt;"",$M59-$K59,TODAY()-$K59))</f>
        <v/>
      </c>
      <c r="R59" s="85">
        <f>IF(OR($L59="",$I59="Completed",$I59="Cancelled"),"",IF(AND($L59&lt;TODAY(),$I59&lt;&gt;"Completed",$I59&lt;&gt;"Cancelled"),"Overdue","On Track"))</f>
        <v/>
      </c>
      <c r="S59" s="65">
        <f>IF($L59="","",TEXT($L59,"yyyy-mm"))</f>
        <v/>
      </c>
      <c r="T59" s="86">
        <f>IF($I59="","",IFERROR(INDEX(Action_Status_Map!$C$5:$C$11,MATCH($I59,Action_Status_Map!$A$5:$A$11,0)),""))</f>
        <v/>
      </c>
      <c r="U59" s="81" t="n"/>
      <c r="V59" s="82" t="n"/>
      <c r="W59" s="65">
        <f>IF(OR($I59&lt;&gt;"Completed",$M59="",$L59=""),"",IF($M59&lt;=$L59,"Yes","No"))</f>
        <v/>
      </c>
      <c r="X59" s="84">
        <f>IF($A59="","",COUNTIF(Task_Steps!$B$5:$B$2004,$A59))</f>
        <v/>
      </c>
      <c r="Y59" s="86">
        <f>IF($X59=0,"",COUNTIFS(Task_Steps!$B$5:$B$2004,$A59,Task_Steps!$H$5:$H$2004,"Completed")/$X59)</f>
        <v/>
      </c>
      <c r="Z59" s="81" t="n"/>
      <c r="AA59" s="81" t="n"/>
      <c r="AB59" s="67">
        <f>IF($F59="","",IFERROR(INDEX(Employee_Master!$E$5:$E$204,MATCH($F59,Employee_Master!$B$5:$B$204,0)),""))</f>
        <v/>
      </c>
      <c r="AC59" s="65">
        <f>IF(OR($A59="",$AB59=""),"",IF(OR($I59="Completed",$I59="Cancelled"),"Closed - in Manager Report","Active - in Manager Report"))</f>
        <v/>
      </c>
      <c r="AD59" s="81">
        <f>IF($A59="","",IFERROR(TEXTJOIN(", ",TRUE,FILTER(Task_Steps!$A$5:$A$2004,Task_Steps!$B$5:$B$2004=$A59)),""))</f>
        <v/>
      </c>
      <c r="AE59" s="84">
        <f>IF($A59="","",COUNTIFS(Task_Steps!$B$5:$B$2004,$A59,Task_Steps!$H$5:$H$2004,"&lt;&gt;Completed",Task_Steps!$H$5:$H$2004,"&lt;&gt;Cancelled"))</f>
        <v/>
      </c>
      <c r="AF59" s="81">
        <f>IF(OR($B59="",$A59=""),"",$B59&amp;" | "&amp;$A59)</f>
        <v/>
      </c>
    </row>
    <row r="60" ht="15" customHeight="1" s="40">
      <c r="A60" s="65">
        <f>IF(COUNTA(B60:F60)=0,"","TSK-"&amp;TEXT(ROW()-4,"0000"))</f>
        <v/>
      </c>
      <c r="B60" s="78" t="n"/>
      <c r="C60" s="78" t="n"/>
      <c r="D60" s="81" t="n"/>
      <c r="E60" s="81" t="n"/>
      <c r="F60" s="78" t="n"/>
      <c r="G60" s="67">
        <f>IF($F60="","",IFERROR(INDEX(Employee_Master!$C$5:$C$204,MATCH($F60,Employee_Master!$B$5:$B$204,0)),""))</f>
        <v/>
      </c>
      <c r="H60" s="78" t="n"/>
      <c r="I60" s="78" t="n"/>
      <c r="J60" s="67">
        <f>IF($I60="","",IFERROR(INDEX(Action_Status_Map!$B$5:$B$11,MATCH($I60,Action_Status_Map!$A$5:$A$11,0)),""))</f>
        <v/>
      </c>
      <c r="K60" s="82" t="n"/>
      <c r="L60" s="82" t="n"/>
      <c r="M60" s="82" t="n"/>
      <c r="N60" s="83" t="n"/>
      <c r="O60" s="83" t="n"/>
      <c r="P60" s="66">
        <f>IF(OR($N60="",$O60=""),"",$O60-$N60)</f>
        <v/>
      </c>
      <c r="Q60" s="84">
        <f>IF($K60="","",IF($M60&lt;&gt;"",$M60-$K60,TODAY()-$K60))</f>
        <v/>
      </c>
      <c r="R60" s="85">
        <f>IF(OR($L60="",$I60="Completed",$I60="Cancelled"),"",IF(AND($L60&lt;TODAY(),$I60&lt;&gt;"Completed",$I60&lt;&gt;"Cancelled"),"Overdue","On Track"))</f>
        <v/>
      </c>
      <c r="S60" s="65">
        <f>IF($L60="","",TEXT($L60,"yyyy-mm"))</f>
        <v/>
      </c>
      <c r="T60" s="86">
        <f>IF($I60="","",IFERROR(INDEX(Action_Status_Map!$C$5:$C$11,MATCH($I60,Action_Status_Map!$A$5:$A$11,0)),""))</f>
        <v/>
      </c>
      <c r="U60" s="81" t="n"/>
      <c r="V60" s="82" t="n"/>
      <c r="W60" s="65">
        <f>IF(OR($I60&lt;&gt;"Completed",$M60="",$L60=""),"",IF($M60&lt;=$L60,"Yes","No"))</f>
        <v/>
      </c>
      <c r="X60" s="84">
        <f>IF($A60="","",COUNTIF(Task_Steps!$B$5:$B$2004,$A60))</f>
        <v/>
      </c>
      <c r="Y60" s="86">
        <f>IF($X60=0,"",COUNTIFS(Task_Steps!$B$5:$B$2004,$A60,Task_Steps!$H$5:$H$2004,"Completed")/$X60)</f>
        <v/>
      </c>
      <c r="Z60" s="81" t="n"/>
      <c r="AA60" s="81" t="n"/>
      <c r="AB60" s="67">
        <f>IF($F60="","",IFERROR(INDEX(Employee_Master!$E$5:$E$204,MATCH($F60,Employee_Master!$B$5:$B$204,0)),""))</f>
        <v/>
      </c>
      <c r="AC60" s="65">
        <f>IF(OR($A60="",$AB60=""),"",IF(OR($I60="Completed",$I60="Cancelled"),"Closed - in Manager Report","Active - in Manager Report"))</f>
        <v/>
      </c>
      <c r="AD60" s="81">
        <f>IF($A60="","",IFERROR(TEXTJOIN(", ",TRUE,FILTER(Task_Steps!$A$5:$A$2004,Task_Steps!$B$5:$B$2004=$A60)),""))</f>
        <v/>
      </c>
      <c r="AE60" s="84">
        <f>IF($A60="","",COUNTIFS(Task_Steps!$B$5:$B$2004,$A60,Task_Steps!$H$5:$H$2004,"&lt;&gt;Completed",Task_Steps!$H$5:$H$2004,"&lt;&gt;Cancelled"))</f>
        <v/>
      </c>
      <c r="AF60" s="81">
        <f>IF(OR($B60="",$A60=""),"",$B60&amp;" | "&amp;$A60)</f>
        <v/>
      </c>
    </row>
    <row r="61" ht="15" customHeight="1" s="40">
      <c r="A61" s="65">
        <f>IF(COUNTA(B61:F61)=0,"","TSK-"&amp;TEXT(ROW()-4,"0000"))</f>
        <v/>
      </c>
      <c r="B61" s="78" t="n"/>
      <c r="C61" s="78" t="n"/>
      <c r="D61" s="81" t="n"/>
      <c r="E61" s="81" t="n"/>
      <c r="F61" s="78" t="n"/>
      <c r="G61" s="67">
        <f>IF($F61="","",IFERROR(INDEX(Employee_Master!$C$5:$C$204,MATCH($F61,Employee_Master!$B$5:$B$204,0)),""))</f>
        <v/>
      </c>
      <c r="H61" s="78" t="n"/>
      <c r="I61" s="78" t="n"/>
      <c r="J61" s="67">
        <f>IF($I61="","",IFERROR(INDEX(Action_Status_Map!$B$5:$B$11,MATCH($I61,Action_Status_Map!$A$5:$A$11,0)),""))</f>
        <v/>
      </c>
      <c r="K61" s="82" t="n"/>
      <c r="L61" s="82" t="n"/>
      <c r="M61" s="82" t="n"/>
      <c r="N61" s="83" t="n"/>
      <c r="O61" s="83" t="n"/>
      <c r="P61" s="66">
        <f>IF(OR($N61="",$O61=""),"",$O61-$N61)</f>
        <v/>
      </c>
      <c r="Q61" s="84">
        <f>IF($K61="","",IF($M61&lt;&gt;"",$M61-$K61,TODAY()-$K61))</f>
        <v/>
      </c>
      <c r="R61" s="85">
        <f>IF(OR($L61="",$I61="Completed",$I61="Cancelled"),"",IF(AND($L61&lt;TODAY(),$I61&lt;&gt;"Completed",$I61&lt;&gt;"Cancelled"),"Overdue","On Track"))</f>
        <v/>
      </c>
      <c r="S61" s="65">
        <f>IF($L61="","",TEXT($L61,"yyyy-mm"))</f>
        <v/>
      </c>
      <c r="T61" s="86">
        <f>IF($I61="","",IFERROR(INDEX(Action_Status_Map!$C$5:$C$11,MATCH($I61,Action_Status_Map!$A$5:$A$11,0)),""))</f>
        <v/>
      </c>
      <c r="U61" s="81" t="n"/>
      <c r="V61" s="82" t="n"/>
      <c r="W61" s="65">
        <f>IF(OR($I61&lt;&gt;"Completed",$M61="",$L61=""),"",IF($M61&lt;=$L61,"Yes","No"))</f>
        <v/>
      </c>
      <c r="X61" s="84">
        <f>IF($A61="","",COUNTIF(Task_Steps!$B$5:$B$2004,$A61))</f>
        <v/>
      </c>
      <c r="Y61" s="86">
        <f>IF($X61=0,"",COUNTIFS(Task_Steps!$B$5:$B$2004,$A61,Task_Steps!$H$5:$H$2004,"Completed")/$X61)</f>
        <v/>
      </c>
      <c r="Z61" s="81" t="n"/>
      <c r="AA61" s="81" t="n"/>
      <c r="AB61" s="67">
        <f>IF($F61="","",IFERROR(INDEX(Employee_Master!$E$5:$E$204,MATCH($F61,Employee_Master!$B$5:$B$204,0)),""))</f>
        <v/>
      </c>
      <c r="AC61" s="65">
        <f>IF(OR($A61="",$AB61=""),"",IF(OR($I61="Completed",$I61="Cancelled"),"Closed - in Manager Report","Active - in Manager Report"))</f>
        <v/>
      </c>
      <c r="AD61" s="81">
        <f>IF($A61="","",IFERROR(TEXTJOIN(", ",TRUE,FILTER(Task_Steps!$A$5:$A$2004,Task_Steps!$B$5:$B$2004=$A61)),""))</f>
        <v/>
      </c>
      <c r="AE61" s="84">
        <f>IF($A61="","",COUNTIFS(Task_Steps!$B$5:$B$2004,$A61,Task_Steps!$H$5:$H$2004,"&lt;&gt;Completed",Task_Steps!$H$5:$H$2004,"&lt;&gt;Cancelled"))</f>
        <v/>
      </c>
      <c r="AF61" s="81">
        <f>IF(OR($B61="",$A61=""),"",$B61&amp;" | "&amp;$A61)</f>
        <v/>
      </c>
    </row>
    <row r="62" ht="15" customHeight="1" s="40">
      <c r="A62" s="65">
        <f>IF(COUNTA(B62:F62)=0,"","TSK-"&amp;TEXT(ROW()-4,"0000"))</f>
        <v/>
      </c>
      <c r="B62" s="78" t="n"/>
      <c r="C62" s="78" t="n"/>
      <c r="D62" s="81" t="n"/>
      <c r="E62" s="81" t="n"/>
      <c r="F62" s="78" t="n"/>
      <c r="G62" s="67">
        <f>IF($F62="","",IFERROR(INDEX(Employee_Master!$C$5:$C$204,MATCH($F62,Employee_Master!$B$5:$B$204,0)),""))</f>
        <v/>
      </c>
      <c r="H62" s="78" t="n"/>
      <c r="I62" s="78" t="n"/>
      <c r="J62" s="67">
        <f>IF($I62="","",IFERROR(INDEX(Action_Status_Map!$B$5:$B$11,MATCH($I62,Action_Status_Map!$A$5:$A$11,0)),""))</f>
        <v/>
      </c>
      <c r="K62" s="82" t="n"/>
      <c r="L62" s="82" t="n"/>
      <c r="M62" s="82" t="n"/>
      <c r="N62" s="83" t="n"/>
      <c r="O62" s="83" t="n"/>
      <c r="P62" s="66">
        <f>IF(OR($N62="",$O62=""),"",$O62-$N62)</f>
        <v/>
      </c>
      <c r="Q62" s="84">
        <f>IF($K62="","",IF($M62&lt;&gt;"",$M62-$K62,TODAY()-$K62))</f>
        <v/>
      </c>
      <c r="R62" s="85">
        <f>IF(OR($L62="",$I62="Completed",$I62="Cancelled"),"",IF(AND($L62&lt;TODAY(),$I62&lt;&gt;"Completed",$I62&lt;&gt;"Cancelled"),"Overdue","On Track"))</f>
        <v/>
      </c>
      <c r="S62" s="65">
        <f>IF($L62="","",TEXT($L62,"yyyy-mm"))</f>
        <v/>
      </c>
      <c r="T62" s="86">
        <f>IF($I62="","",IFERROR(INDEX(Action_Status_Map!$C$5:$C$11,MATCH($I62,Action_Status_Map!$A$5:$A$11,0)),""))</f>
        <v/>
      </c>
      <c r="U62" s="81" t="n"/>
      <c r="V62" s="82" t="n"/>
      <c r="W62" s="65">
        <f>IF(OR($I62&lt;&gt;"Completed",$M62="",$L62=""),"",IF($M62&lt;=$L62,"Yes","No"))</f>
        <v/>
      </c>
      <c r="X62" s="84">
        <f>IF($A62="","",COUNTIF(Task_Steps!$B$5:$B$2004,$A62))</f>
        <v/>
      </c>
      <c r="Y62" s="86">
        <f>IF($X62=0,"",COUNTIFS(Task_Steps!$B$5:$B$2004,$A62,Task_Steps!$H$5:$H$2004,"Completed")/$X62)</f>
        <v/>
      </c>
      <c r="Z62" s="81" t="n"/>
      <c r="AA62" s="81" t="n"/>
      <c r="AB62" s="67">
        <f>IF($F62="","",IFERROR(INDEX(Employee_Master!$E$5:$E$204,MATCH($F62,Employee_Master!$B$5:$B$204,0)),""))</f>
        <v/>
      </c>
      <c r="AC62" s="65">
        <f>IF(OR($A62="",$AB62=""),"",IF(OR($I62="Completed",$I62="Cancelled"),"Closed - in Manager Report","Active - in Manager Report"))</f>
        <v/>
      </c>
      <c r="AD62" s="81">
        <f>IF($A62="","",IFERROR(TEXTJOIN(", ",TRUE,FILTER(Task_Steps!$A$5:$A$2004,Task_Steps!$B$5:$B$2004=$A62)),""))</f>
        <v/>
      </c>
      <c r="AE62" s="84">
        <f>IF($A62="","",COUNTIFS(Task_Steps!$B$5:$B$2004,$A62,Task_Steps!$H$5:$H$2004,"&lt;&gt;Completed",Task_Steps!$H$5:$H$2004,"&lt;&gt;Cancelled"))</f>
        <v/>
      </c>
      <c r="AF62" s="81">
        <f>IF(OR($B62="",$A62=""),"",$B62&amp;" | "&amp;$A62)</f>
        <v/>
      </c>
    </row>
    <row r="63" ht="15" customHeight="1" s="40">
      <c r="A63" s="65">
        <f>IF(COUNTA(B63:F63)=0,"","TSK-"&amp;TEXT(ROW()-4,"0000"))</f>
        <v/>
      </c>
      <c r="B63" s="78" t="n"/>
      <c r="C63" s="78" t="n"/>
      <c r="D63" s="81" t="n"/>
      <c r="E63" s="81" t="n"/>
      <c r="F63" s="78" t="n"/>
      <c r="G63" s="67">
        <f>IF($F63="","",IFERROR(INDEX(Employee_Master!$C$5:$C$204,MATCH($F63,Employee_Master!$B$5:$B$204,0)),""))</f>
        <v/>
      </c>
      <c r="H63" s="78" t="n"/>
      <c r="I63" s="78" t="n"/>
      <c r="J63" s="67">
        <f>IF($I63="","",IFERROR(INDEX(Action_Status_Map!$B$5:$B$11,MATCH($I63,Action_Status_Map!$A$5:$A$11,0)),""))</f>
        <v/>
      </c>
      <c r="K63" s="82" t="n"/>
      <c r="L63" s="82" t="n"/>
      <c r="M63" s="82" t="n"/>
      <c r="N63" s="83" t="n"/>
      <c r="O63" s="83" t="n"/>
      <c r="P63" s="66">
        <f>IF(OR($N63="",$O63=""),"",$O63-$N63)</f>
        <v/>
      </c>
      <c r="Q63" s="84">
        <f>IF($K63="","",IF($M63&lt;&gt;"",$M63-$K63,TODAY()-$K63))</f>
        <v/>
      </c>
      <c r="R63" s="85">
        <f>IF(OR($L63="",$I63="Completed",$I63="Cancelled"),"",IF(AND($L63&lt;TODAY(),$I63&lt;&gt;"Completed",$I63&lt;&gt;"Cancelled"),"Overdue","On Track"))</f>
        <v/>
      </c>
      <c r="S63" s="65">
        <f>IF($L63="","",TEXT($L63,"yyyy-mm"))</f>
        <v/>
      </c>
      <c r="T63" s="86">
        <f>IF($I63="","",IFERROR(INDEX(Action_Status_Map!$C$5:$C$11,MATCH($I63,Action_Status_Map!$A$5:$A$11,0)),""))</f>
        <v/>
      </c>
      <c r="U63" s="81" t="n"/>
      <c r="V63" s="82" t="n"/>
      <c r="W63" s="65">
        <f>IF(OR($I63&lt;&gt;"Completed",$M63="",$L63=""),"",IF($M63&lt;=$L63,"Yes","No"))</f>
        <v/>
      </c>
      <c r="X63" s="84">
        <f>IF($A63="","",COUNTIF(Task_Steps!$B$5:$B$2004,$A63))</f>
        <v/>
      </c>
      <c r="Y63" s="86">
        <f>IF($X63=0,"",COUNTIFS(Task_Steps!$B$5:$B$2004,$A63,Task_Steps!$H$5:$H$2004,"Completed")/$X63)</f>
        <v/>
      </c>
      <c r="Z63" s="81" t="n"/>
      <c r="AA63" s="81" t="n"/>
      <c r="AB63" s="67">
        <f>IF($F63="","",IFERROR(INDEX(Employee_Master!$E$5:$E$204,MATCH($F63,Employee_Master!$B$5:$B$204,0)),""))</f>
        <v/>
      </c>
      <c r="AC63" s="65">
        <f>IF(OR($A63="",$AB63=""),"",IF(OR($I63="Completed",$I63="Cancelled"),"Closed - in Manager Report","Active - in Manager Report"))</f>
        <v/>
      </c>
      <c r="AD63" s="81">
        <f>IF($A63="","",IFERROR(TEXTJOIN(", ",TRUE,FILTER(Task_Steps!$A$5:$A$2004,Task_Steps!$B$5:$B$2004=$A63)),""))</f>
        <v/>
      </c>
      <c r="AE63" s="84">
        <f>IF($A63="","",COUNTIFS(Task_Steps!$B$5:$B$2004,$A63,Task_Steps!$H$5:$H$2004,"&lt;&gt;Completed",Task_Steps!$H$5:$H$2004,"&lt;&gt;Cancelled"))</f>
        <v/>
      </c>
      <c r="AF63" s="81">
        <f>IF(OR($B63="",$A63=""),"",$B63&amp;" | "&amp;$A63)</f>
        <v/>
      </c>
    </row>
    <row r="64" ht="15" customHeight="1" s="40">
      <c r="A64" s="65">
        <f>IF(COUNTA(B64:F64)=0,"","TSK-"&amp;TEXT(ROW()-4,"0000"))</f>
        <v/>
      </c>
      <c r="B64" s="78" t="n"/>
      <c r="C64" s="78" t="n"/>
      <c r="D64" s="81" t="n"/>
      <c r="E64" s="81" t="n"/>
      <c r="F64" s="78" t="n"/>
      <c r="G64" s="67">
        <f>IF($F64="","",IFERROR(INDEX(Employee_Master!$C$5:$C$204,MATCH($F64,Employee_Master!$B$5:$B$204,0)),""))</f>
        <v/>
      </c>
      <c r="H64" s="78" t="n"/>
      <c r="I64" s="78" t="n"/>
      <c r="J64" s="67">
        <f>IF($I64="","",IFERROR(INDEX(Action_Status_Map!$B$5:$B$11,MATCH($I64,Action_Status_Map!$A$5:$A$11,0)),""))</f>
        <v/>
      </c>
      <c r="K64" s="82" t="n"/>
      <c r="L64" s="82" t="n"/>
      <c r="M64" s="82" t="n"/>
      <c r="N64" s="83" t="n"/>
      <c r="O64" s="83" t="n"/>
      <c r="P64" s="66">
        <f>IF(OR($N64="",$O64=""),"",$O64-$N64)</f>
        <v/>
      </c>
      <c r="Q64" s="84">
        <f>IF($K64="","",IF($M64&lt;&gt;"",$M64-$K64,TODAY()-$K64))</f>
        <v/>
      </c>
      <c r="R64" s="85">
        <f>IF(OR($L64="",$I64="Completed",$I64="Cancelled"),"",IF(AND($L64&lt;TODAY(),$I64&lt;&gt;"Completed",$I64&lt;&gt;"Cancelled"),"Overdue","On Track"))</f>
        <v/>
      </c>
      <c r="S64" s="65">
        <f>IF($L64="","",TEXT($L64,"yyyy-mm"))</f>
        <v/>
      </c>
      <c r="T64" s="86">
        <f>IF($I64="","",IFERROR(INDEX(Action_Status_Map!$C$5:$C$11,MATCH($I64,Action_Status_Map!$A$5:$A$11,0)),""))</f>
        <v/>
      </c>
      <c r="U64" s="81" t="n"/>
      <c r="V64" s="82" t="n"/>
      <c r="W64" s="65">
        <f>IF(OR($I64&lt;&gt;"Completed",$M64="",$L64=""),"",IF($M64&lt;=$L64,"Yes","No"))</f>
        <v/>
      </c>
      <c r="X64" s="84">
        <f>IF($A64="","",COUNTIF(Task_Steps!$B$5:$B$2004,$A64))</f>
        <v/>
      </c>
      <c r="Y64" s="86">
        <f>IF($X64=0,"",COUNTIFS(Task_Steps!$B$5:$B$2004,$A64,Task_Steps!$H$5:$H$2004,"Completed")/$X64)</f>
        <v/>
      </c>
      <c r="Z64" s="81" t="n"/>
      <c r="AA64" s="81" t="n"/>
      <c r="AB64" s="67">
        <f>IF($F64="","",IFERROR(INDEX(Employee_Master!$E$5:$E$204,MATCH($F64,Employee_Master!$B$5:$B$204,0)),""))</f>
        <v/>
      </c>
      <c r="AC64" s="65">
        <f>IF(OR($A64="",$AB64=""),"",IF(OR($I64="Completed",$I64="Cancelled"),"Closed - in Manager Report","Active - in Manager Report"))</f>
        <v/>
      </c>
      <c r="AD64" s="81">
        <f>IF($A64="","",IFERROR(TEXTJOIN(", ",TRUE,FILTER(Task_Steps!$A$5:$A$2004,Task_Steps!$B$5:$B$2004=$A64)),""))</f>
        <v/>
      </c>
      <c r="AE64" s="84">
        <f>IF($A64="","",COUNTIFS(Task_Steps!$B$5:$B$2004,$A64,Task_Steps!$H$5:$H$2004,"&lt;&gt;Completed",Task_Steps!$H$5:$H$2004,"&lt;&gt;Cancelled"))</f>
        <v/>
      </c>
      <c r="AF64" s="81">
        <f>IF(OR($B64="",$A64=""),"",$B64&amp;" | "&amp;$A64)</f>
        <v/>
      </c>
    </row>
    <row r="65" ht="15" customHeight="1" s="40">
      <c r="A65" s="65">
        <f>IF(COUNTA(B65:F65)=0,"","TSK-"&amp;TEXT(ROW()-4,"0000"))</f>
        <v/>
      </c>
      <c r="B65" s="78" t="n"/>
      <c r="C65" s="78" t="n"/>
      <c r="D65" s="81" t="n"/>
      <c r="E65" s="81" t="n"/>
      <c r="F65" s="78" t="n"/>
      <c r="G65" s="67">
        <f>IF($F65="","",IFERROR(INDEX(Employee_Master!$C$5:$C$204,MATCH($F65,Employee_Master!$B$5:$B$204,0)),""))</f>
        <v/>
      </c>
      <c r="H65" s="78" t="n"/>
      <c r="I65" s="78" t="n"/>
      <c r="J65" s="67">
        <f>IF($I65="","",IFERROR(INDEX(Action_Status_Map!$B$5:$B$11,MATCH($I65,Action_Status_Map!$A$5:$A$11,0)),""))</f>
        <v/>
      </c>
      <c r="K65" s="82" t="n"/>
      <c r="L65" s="82" t="n"/>
      <c r="M65" s="82" t="n"/>
      <c r="N65" s="83" t="n"/>
      <c r="O65" s="83" t="n"/>
      <c r="P65" s="66">
        <f>IF(OR($N65="",$O65=""),"",$O65-$N65)</f>
        <v/>
      </c>
      <c r="Q65" s="84">
        <f>IF($K65="","",IF($M65&lt;&gt;"",$M65-$K65,TODAY()-$K65))</f>
        <v/>
      </c>
      <c r="R65" s="85">
        <f>IF(OR($L65="",$I65="Completed",$I65="Cancelled"),"",IF(AND($L65&lt;TODAY(),$I65&lt;&gt;"Completed",$I65&lt;&gt;"Cancelled"),"Overdue","On Track"))</f>
        <v/>
      </c>
      <c r="S65" s="65">
        <f>IF($L65="","",TEXT($L65,"yyyy-mm"))</f>
        <v/>
      </c>
      <c r="T65" s="86">
        <f>IF($I65="","",IFERROR(INDEX(Action_Status_Map!$C$5:$C$11,MATCH($I65,Action_Status_Map!$A$5:$A$11,0)),""))</f>
        <v/>
      </c>
      <c r="U65" s="81" t="n"/>
      <c r="V65" s="82" t="n"/>
      <c r="W65" s="65">
        <f>IF(OR($I65&lt;&gt;"Completed",$M65="",$L65=""),"",IF($M65&lt;=$L65,"Yes","No"))</f>
        <v/>
      </c>
      <c r="X65" s="84">
        <f>IF($A65="","",COUNTIF(Task_Steps!$B$5:$B$2004,$A65))</f>
        <v/>
      </c>
      <c r="Y65" s="86">
        <f>IF($X65=0,"",COUNTIFS(Task_Steps!$B$5:$B$2004,$A65,Task_Steps!$H$5:$H$2004,"Completed")/$X65)</f>
        <v/>
      </c>
      <c r="Z65" s="81" t="n"/>
      <c r="AA65" s="81" t="n"/>
      <c r="AB65" s="67">
        <f>IF($F65="","",IFERROR(INDEX(Employee_Master!$E$5:$E$204,MATCH($F65,Employee_Master!$B$5:$B$204,0)),""))</f>
        <v/>
      </c>
      <c r="AC65" s="65">
        <f>IF(OR($A65="",$AB65=""),"",IF(OR($I65="Completed",$I65="Cancelled"),"Closed - in Manager Report","Active - in Manager Report"))</f>
        <v/>
      </c>
      <c r="AD65" s="81">
        <f>IF($A65="","",IFERROR(TEXTJOIN(", ",TRUE,FILTER(Task_Steps!$A$5:$A$2004,Task_Steps!$B$5:$B$2004=$A65)),""))</f>
        <v/>
      </c>
      <c r="AE65" s="84">
        <f>IF($A65="","",COUNTIFS(Task_Steps!$B$5:$B$2004,$A65,Task_Steps!$H$5:$H$2004,"&lt;&gt;Completed",Task_Steps!$H$5:$H$2004,"&lt;&gt;Cancelled"))</f>
        <v/>
      </c>
      <c r="AF65" s="81">
        <f>IF(OR($B65="",$A65=""),"",$B65&amp;" | "&amp;$A65)</f>
        <v/>
      </c>
    </row>
    <row r="66" ht="15" customHeight="1" s="40">
      <c r="A66" s="65">
        <f>IF(COUNTA(B66:F66)=0,"","TSK-"&amp;TEXT(ROW()-4,"0000"))</f>
        <v/>
      </c>
      <c r="B66" s="78" t="n"/>
      <c r="C66" s="78" t="n"/>
      <c r="D66" s="81" t="n"/>
      <c r="E66" s="81" t="n"/>
      <c r="F66" s="78" t="n"/>
      <c r="G66" s="67">
        <f>IF($F66="","",IFERROR(INDEX(Employee_Master!$C$5:$C$204,MATCH($F66,Employee_Master!$B$5:$B$204,0)),""))</f>
        <v/>
      </c>
      <c r="H66" s="78" t="n"/>
      <c r="I66" s="78" t="n"/>
      <c r="J66" s="67">
        <f>IF($I66="","",IFERROR(INDEX(Action_Status_Map!$B$5:$B$11,MATCH($I66,Action_Status_Map!$A$5:$A$11,0)),""))</f>
        <v/>
      </c>
      <c r="K66" s="82" t="n"/>
      <c r="L66" s="82" t="n"/>
      <c r="M66" s="82" t="n"/>
      <c r="N66" s="83" t="n"/>
      <c r="O66" s="83" t="n"/>
      <c r="P66" s="66">
        <f>IF(OR($N66="",$O66=""),"",$O66-$N66)</f>
        <v/>
      </c>
      <c r="Q66" s="84">
        <f>IF($K66="","",IF($M66&lt;&gt;"",$M66-$K66,TODAY()-$K66))</f>
        <v/>
      </c>
      <c r="R66" s="85">
        <f>IF(OR($L66="",$I66="Completed",$I66="Cancelled"),"",IF(AND($L66&lt;TODAY(),$I66&lt;&gt;"Completed",$I66&lt;&gt;"Cancelled"),"Overdue","On Track"))</f>
        <v/>
      </c>
      <c r="S66" s="65">
        <f>IF($L66="","",TEXT($L66,"yyyy-mm"))</f>
        <v/>
      </c>
      <c r="T66" s="86">
        <f>IF($I66="","",IFERROR(INDEX(Action_Status_Map!$C$5:$C$11,MATCH($I66,Action_Status_Map!$A$5:$A$11,0)),""))</f>
        <v/>
      </c>
      <c r="U66" s="81" t="n"/>
      <c r="V66" s="82" t="n"/>
      <c r="W66" s="65">
        <f>IF(OR($I66&lt;&gt;"Completed",$M66="",$L66=""),"",IF($M66&lt;=$L66,"Yes","No"))</f>
        <v/>
      </c>
      <c r="X66" s="84">
        <f>IF($A66="","",COUNTIF(Task_Steps!$B$5:$B$2004,$A66))</f>
        <v/>
      </c>
      <c r="Y66" s="86">
        <f>IF($X66=0,"",COUNTIFS(Task_Steps!$B$5:$B$2004,$A66,Task_Steps!$H$5:$H$2004,"Completed")/$X66)</f>
        <v/>
      </c>
      <c r="Z66" s="81" t="n"/>
      <c r="AA66" s="81" t="n"/>
      <c r="AB66" s="67">
        <f>IF($F66="","",IFERROR(INDEX(Employee_Master!$E$5:$E$204,MATCH($F66,Employee_Master!$B$5:$B$204,0)),""))</f>
        <v/>
      </c>
      <c r="AC66" s="65">
        <f>IF(OR($A66="",$AB66=""),"",IF(OR($I66="Completed",$I66="Cancelled"),"Closed - in Manager Report","Active - in Manager Report"))</f>
        <v/>
      </c>
      <c r="AD66" s="81">
        <f>IF($A66="","",IFERROR(TEXTJOIN(", ",TRUE,FILTER(Task_Steps!$A$5:$A$2004,Task_Steps!$B$5:$B$2004=$A66)),""))</f>
        <v/>
      </c>
      <c r="AE66" s="84">
        <f>IF($A66="","",COUNTIFS(Task_Steps!$B$5:$B$2004,$A66,Task_Steps!$H$5:$H$2004,"&lt;&gt;Completed",Task_Steps!$H$5:$H$2004,"&lt;&gt;Cancelled"))</f>
        <v/>
      </c>
      <c r="AF66" s="81">
        <f>IF(OR($B66="",$A66=""),"",$B66&amp;" | "&amp;$A66)</f>
        <v/>
      </c>
    </row>
    <row r="67" ht="15" customHeight="1" s="40">
      <c r="A67" s="65">
        <f>IF(COUNTA(B67:F67)=0,"","TSK-"&amp;TEXT(ROW()-4,"0000"))</f>
        <v/>
      </c>
      <c r="B67" s="78" t="n"/>
      <c r="C67" s="78" t="n"/>
      <c r="D67" s="81" t="n"/>
      <c r="E67" s="81" t="n"/>
      <c r="F67" s="78" t="n"/>
      <c r="G67" s="67">
        <f>IF($F67="","",IFERROR(INDEX(Employee_Master!$C$5:$C$204,MATCH($F67,Employee_Master!$B$5:$B$204,0)),""))</f>
        <v/>
      </c>
      <c r="H67" s="78" t="n"/>
      <c r="I67" s="78" t="n"/>
      <c r="J67" s="67">
        <f>IF($I67="","",IFERROR(INDEX(Action_Status_Map!$B$5:$B$11,MATCH($I67,Action_Status_Map!$A$5:$A$11,0)),""))</f>
        <v/>
      </c>
      <c r="K67" s="82" t="n"/>
      <c r="L67" s="82" t="n"/>
      <c r="M67" s="82" t="n"/>
      <c r="N67" s="83" t="n"/>
      <c r="O67" s="83" t="n"/>
      <c r="P67" s="66">
        <f>IF(OR($N67="",$O67=""),"",$O67-$N67)</f>
        <v/>
      </c>
      <c r="Q67" s="84">
        <f>IF($K67="","",IF($M67&lt;&gt;"",$M67-$K67,TODAY()-$K67))</f>
        <v/>
      </c>
      <c r="R67" s="85">
        <f>IF(OR($L67="",$I67="Completed",$I67="Cancelled"),"",IF(AND($L67&lt;TODAY(),$I67&lt;&gt;"Completed",$I67&lt;&gt;"Cancelled"),"Overdue","On Track"))</f>
        <v/>
      </c>
      <c r="S67" s="65">
        <f>IF($L67="","",TEXT($L67,"yyyy-mm"))</f>
        <v/>
      </c>
      <c r="T67" s="86">
        <f>IF($I67="","",IFERROR(INDEX(Action_Status_Map!$C$5:$C$11,MATCH($I67,Action_Status_Map!$A$5:$A$11,0)),""))</f>
        <v/>
      </c>
      <c r="U67" s="81" t="n"/>
      <c r="V67" s="82" t="n"/>
      <c r="W67" s="65">
        <f>IF(OR($I67&lt;&gt;"Completed",$M67="",$L67=""),"",IF($M67&lt;=$L67,"Yes","No"))</f>
        <v/>
      </c>
      <c r="X67" s="84">
        <f>IF($A67="","",COUNTIF(Task_Steps!$B$5:$B$2004,$A67))</f>
        <v/>
      </c>
      <c r="Y67" s="86">
        <f>IF($X67=0,"",COUNTIFS(Task_Steps!$B$5:$B$2004,$A67,Task_Steps!$H$5:$H$2004,"Completed")/$X67)</f>
        <v/>
      </c>
      <c r="Z67" s="81" t="n"/>
      <c r="AA67" s="81" t="n"/>
      <c r="AB67" s="67">
        <f>IF($F67="","",IFERROR(INDEX(Employee_Master!$E$5:$E$204,MATCH($F67,Employee_Master!$B$5:$B$204,0)),""))</f>
        <v/>
      </c>
      <c r="AC67" s="65">
        <f>IF(OR($A67="",$AB67=""),"",IF(OR($I67="Completed",$I67="Cancelled"),"Closed - in Manager Report","Active - in Manager Report"))</f>
        <v/>
      </c>
      <c r="AD67" s="81">
        <f>IF($A67="","",IFERROR(TEXTJOIN(", ",TRUE,FILTER(Task_Steps!$A$5:$A$2004,Task_Steps!$B$5:$B$2004=$A67)),""))</f>
        <v/>
      </c>
      <c r="AE67" s="84">
        <f>IF($A67="","",COUNTIFS(Task_Steps!$B$5:$B$2004,$A67,Task_Steps!$H$5:$H$2004,"&lt;&gt;Completed",Task_Steps!$H$5:$H$2004,"&lt;&gt;Cancelled"))</f>
        <v/>
      </c>
      <c r="AF67" s="81">
        <f>IF(OR($B67="",$A67=""),"",$B67&amp;" | "&amp;$A67)</f>
        <v/>
      </c>
    </row>
    <row r="68" ht="15" customHeight="1" s="40">
      <c r="A68" s="65">
        <f>IF(COUNTA(B68:F68)=0,"","TSK-"&amp;TEXT(ROW()-4,"0000"))</f>
        <v/>
      </c>
      <c r="B68" s="78" t="n"/>
      <c r="C68" s="78" t="n"/>
      <c r="D68" s="81" t="n"/>
      <c r="E68" s="81" t="n"/>
      <c r="F68" s="78" t="n"/>
      <c r="G68" s="67">
        <f>IF($F68="","",IFERROR(INDEX(Employee_Master!$C$5:$C$204,MATCH($F68,Employee_Master!$B$5:$B$204,0)),""))</f>
        <v/>
      </c>
      <c r="H68" s="78" t="n"/>
      <c r="I68" s="78" t="n"/>
      <c r="J68" s="67">
        <f>IF($I68="","",IFERROR(INDEX(Action_Status_Map!$B$5:$B$11,MATCH($I68,Action_Status_Map!$A$5:$A$11,0)),""))</f>
        <v/>
      </c>
      <c r="K68" s="82" t="n"/>
      <c r="L68" s="82" t="n"/>
      <c r="M68" s="82" t="n"/>
      <c r="N68" s="83" t="n"/>
      <c r="O68" s="83" t="n"/>
      <c r="P68" s="66">
        <f>IF(OR($N68="",$O68=""),"",$O68-$N68)</f>
        <v/>
      </c>
      <c r="Q68" s="84">
        <f>IF($K68="","",IF($M68&lt;&gt;"",$M68-$K68,TODAY()-$K68))</f>
        <v/>
      </c>
      <c r="R68" s="85">
        <f>IF(OR($L68="",$I68="Completed",$I68="Cancelled"),"",IF(AND($L68&lt;TODAY(),$I68&lt;&gt;"Completed",$I68&lt;&gt;"Cancelled"),"Overdue","On Track"))</f>
        <v/>
      </c>
      <c r="S68" s="65">
        <f>IF($L68="","",TEXT($L68,"yyyy-mm"))</f>
        <v/>
      </c>
      <c r="T68" s="86">
        <f>IF($I68="","",IFERROR(INDEX(Action_Status_Map!$C$5:$C$11,MATCH($I68,Action_Status_Map!$A$5:$A$11,0)),""))</f>
        <v/>
      </c>
      <c r="U68" s="81" t="n"/>
      <c r="V68" s="82" t="n"/>
      <c r="W68" s="65">
        <f>IF(OR($I68&lt;&gt;"Completed",$M68="",$L68=""),"",IF($M68&lt;=$L68,"Yes","No"))</f>
        <v/>
      </c>
      <c r="X68" s="84">
        <f>IF($A68="","",COUNTIF(Task_Steps!$B$5:$B$2004,$A68))</f>
        <v/>
      </c>
      <c r="Y68" s="86">
        <f>IF($X68=0,"",COUNTIFS(Task_Steps!$B$5:$B$2004,$A68,Task_Steps!$H$5:$H$2004,"Completed")/$X68)</f>
        <v/>
      </c>
      <c r="Z68" s="81" t="n"/>
      <c r="AA68" s="81" t="n"/>
      <c r="AB68" s="67">
        <f>IF($F68="","",IFERROR(INDEX(Employee_Master!$E$5:$E$204,MATCH($F68,Employee_Master!$B$5:$B$204,0)),""))</f>
        <v/>
      </c>
      <c r="AC68" s="65">
        <f>IF(OR($A68="",$AB68=""),"",IF(OR($I68="Completed",$I68="Cancelled"),"Closed - in Manager Report","Active - in Manager Report"))</f>
        <v/>
      </c>
      <c r="AD68" s="81">
        <f>IF($A68="","",IFERROR(TEXTJOIN(", ",TRUE,FILTER(Task_Steps!$A$5:$A$2004,Task_Steps!$B$5:$B$2004=$A68)),""))</f>
        <v/>
      </c>
      <c r="AE68" s="84">
        <f>IF($A68="","",COUNTIFS(Task_Steps!$B$5:$B$2004,$A68,Task_Steps!$H$5:$H$2004,"&lt;&gt;Completed",Task_Steps!$H$5:$H$2004,"&lt;&gt;Cancelled"))</f>
        <v/>
      </c>
      <c r="AF68" s="81">
        <f>IF(OR($B68="",$A68=""),"",$B68&amp;" | "&amp;$A68)</f>
        <v/>
      </c>
    </row>
    <row r="69" ht="15" customHeight="1" s="40">
      <c r="A69" s="65">
        <f>IF(COUNTA(B69:F69)=0,"","TSK-"&amp;TEXT(ROW()-4,"0000"))</f>
        <v/>
      </c>
      <c r="B69" s="78" t="n"/>
      <c r="C69" s="78" t="n"/>
      <c r="D69" s="81" t="n"/>
      <c r="E69" s="81" t="n"/>
      <c r="F69" s="78" t="n"/>
      <c r="G69" s="67">
        <f>IF($F69="","",IFERROR(INDEX(Employee_Master!$C$5:$C$204,MATCH($F69,Employee_Master!$B$5:$B$204,0)),""))</f>
        <v/>
      </c>
      <c r="H69" s="78" t="n"/>
      <c r="I69" s="78" t="n"/>
      <c r="J69" s="67">
        <f>IF($I69="","",IFERROR(INDEX(Action_Status_Map!$B$5:$B$11,MATCH($I69,Action_Status_Map!$A$5:$A$11,0)),""))</f>
        <v/>
      </c>
      <c r="K69" s="82" t="n"/>
      <c r="L69" s="82" t="n"/>
      <c r="M69" s="82" t="n"/>
      <c r="N69" s="83" t="n"/>
      <c r="O69" s="83" t="n"/>
      <c r="P69" s="66">
        <f>IF(OR($N69="",$O69=""),"",$O69-$N69)</f>
        <v/>
      </c>
      <c r="Q69" s="84">
        <f>IF($K69="","",IF($M69&lt;&gt;"",$M69-$K69,TODAY()-$K69))</f>
        <v/>
      </c>
      <c r="R69" s="85">
        <f>IF(OR($L69="",$I69="Completed",$I69="Cancelled"),"",IF(AND($L69&lt;TODAY(),$I69&lt;&gt;"Completed",$I69&lt;&gt;"Cancelled"),"Overdue","On Track"))</f>
        <v/>
      </c>
      <c r="S69" s="65">
        <f>IF($L69="","",TEXT($L69,"yyyy-mm"))</f>
        <v/>
      </c>
      <c r="T69" s="86">
        <f>IF($I69="","",IFERROR(INDEX(Action_Status_Map!$C$5:$C$11,MATCH($I69,Action_Status_Map!$A$5:$A$11,0)),""))</f>
        <v/>
      </c>
      <c r="U69" s="81" t="n"/>
      <c r="V69" s="82" t="n"/>
      <c r="W69" s="65">
        <f>IF(OR($I69&lt;&gt;"Completed",$M69="",$L69=""),"",IF($M69&lt;=$L69,"Yes","No"))</f>
        <v/>
      </c>
      <c r="X69" s="84">
        <f>IF($A69="","",COUNTIF(Task_Steps!$B$5:$B$2004,$A69))</f>
        <v/>
      </c>
      <c r="Y69" s="86">
        <f>IF($X69=0,"",COUNTIFS(Task_Steps!$B$5:$B$2004,$A69,Task_Steps!$H$5:$H$2004,"Completed")/$X69)</f>
        <v/>
      </c>
      <c r="Z69" s="81" t="n"/>
      <c r="AA69" s="81" t="n"/>
      <c r="AB69" s="67">
        <f>IF($F69="","",IFERROR(INDEX(Employee_Master!$E$5:$E$204,MATCH($F69,Employee_Master!$B$5:$B$204,0)),""))</f>
        <v/>
      </c>
      <c r="AC69" s="65">
        <f>IF(OR($A69="",$AB69=""),"",IF(OR($I69="Completed",$I69="Cancelled"),"Closed - in Manager Report","Active - in Manager Report"))</f>
        <v/>
      </c>
      <c r="AD69" s="81">
        <f>IF($A69="","",IFERROR(TEXTJOIN(", ",TRUE,FILTER(Task_Steps!$A$5:$A$2004,Task_Steps!$B$5:$B$2004=$A69)),""))</f>
        <v/>
      </c>
      <c r="AE69" s="84">
        <f>IF($A69="","",COUNTIFS(Task_Steps!$B$5:$B$2004,$A69,Task_Steps!$H$5:$H$2004,"&lt;&gt;Completed",Task_Steps!$H$5:$H$2004,"&lt;&gt;Cancelled"))</f>
        <v/>
      </c>
      <c r="AF69" s="81">
        <f>IF(OR($B69="",$A69=""),"",$B69&amp;" | "&amp;$A69)</f>
        <v/>
      </c>
    </row>
    <row r="70" ht="15" customHeight="1" s="40">
      <c r="A70" s="65">
        <f>IF(COUNTA(B70:F70)=0,"","TSK-"&amp;TEXT(ROW()-4,"0000"))</f>
        <v/>
      </c>
      <c r="B70" s="78" t="n"/>
      <c r="C70" s="78" t="n"/>
      <c r="D70" s="81" t="n"/>
      <c r="E70" s="81" t="n"/>
      <c r="F70" s="78" t="n"/>
      <c r="G70" s="67">
        <f>IF($F70="","",IFERROR(INDEX(Employee_Master!$C$5:$C$204,MATCH($F70,Employee_Master!$B$5:$B$204,0)),""))</f>
        <v/>
      </c>
      <c r="H70" s="78" t="n"/>
      <c r="I70" s="78" t="n"/>
      <c r="J70" s="67">
        <f>IF($I70="","",IFERROR(INDEX(Action_Status_Map!$B$5:$B$11,MATCH($I70,Action_Status_Map!$A$5:$A$11,0)),""))</f>
        <v/>
      </c>
      <c r="K70" s="82" t="n"/>
      <c r="L70" s="82" t="n"/>
      <c r="M70" s="82" t="n"/>
      <c r="N70" s="83" t="n"/>
      <c r="O70" s="83" t="n"/>
      <c r="P70" s="66">
        <f>IF(OR($N70="",$O70=""),"",$O70-$N70)</f>
        <v/>
      </c>
      <c r="Q70" s="84">
        <f>IF($K70="","",IF($M70&lt;&gt;"",$M70-$K70,TODAY()-$K70))</f>
        <v/>
      </c>
      <c r="R70" s="85">
        <f>IF(OR($L70="",$I70="Completed",$I70="Cancelled"),"",IF(AND($L70&lt;TODAY(),$I70&lt;&gt;"Completed",$I70&lt;&gt;"Cancelled"),"Overdue","On Track"))</f>
        <v/>
      </c>
      <c r="S70" s="65">
        <f>IF($L70="","",TEXT($L70,"yyyy-mm"))</f>
        <v/>
      </c>
      <c r="T70" s="86">
        <f>IF($I70="","",IFERROR(INDEX(Action_Status_Map!$C$5:$C$11,MATCH($I70,Action_Status_Map!$A$5:$A$11,0)),""))</f>
        <v/>
      </c>
      <c r="U70" s="81" t="n"/>
      <c r="V70" s="82" t="n"/>
      <c r="W70" s="65">
        <f>IF(OR($I70&lt;&gt;"Completed",$M70="",$L70=""),"",IF($M70&lt;=$L70,"Yes","No"))</f>
        <v/>
      </c>
      <c r="X70" s="84">
        <f>IF($A70="","",COUNTIF(Task_Steps!$B$5:$B$2004,$A70))</f>
        <v/>
      </c>
      <c r="Y70" s="86">
        <f>IF($X70=0,"",COUNTIFS(Task_Steps!$B$5:$B$2004,$A70,Task_Steps!$H$5:$H$2004,"Completed")/$X70)</f>
        <v/>
      </c>
      <c r="Z70" s="81" t="n"/>
      <c r="AA70" s="81" t="n"/>
      <c r="AB70" s="67">
        <f>IF($F70="","",IFERROR(INDEX(Employee_Master!$E$5:$E$204,MATCH($F70,Employee_Master!$B$5:$B$204,0)),""))</f>
        <v/>
      </c>
      <c r="AC70" s="65">
        <f>IF(OR($A70="",$AB70=""),"",IF(OR($I70="Completed",$I70="Cancelled"),"Closed - in Manager Report","Active - in Manager Report"))</f>
        <v/>
      </c>
      <c r="AD70" s="81">
        <f>IF($A70="","",IFERROR(TEXTJOIN(", ",TRUE,FILTER(Task_Steps!$A$5:$A$2004,Task_Steps!$B$5:$B$2004=$A70)),""))</f>
        <v/>
      </c>
      <c r="AE70" s="84">
        <f>IF($A70="","",COUNTIFS(Task_Steps!$B$5:$B$2004,$A70,Task_Steps!$H$5:$H$2004,"&lt;&gt;Completed",Task_Steps!$H$5:$H$2004,"&lt;&gt;Cancelled"))</f>
        <v/>
      </c>
      <c r="AF70" s="81">
        <f>IF(OR($B70="",$A70=""),"",$B70&amp;" | "&amp;$A70)</f>
        <v/>
      </c>
    </row>
    <row r="71" ht="15" customHeight="1" s="40">
      <c r="A71" s="65">
        <f>IF(COUNTA(B71:F71)=0,"","TSK-"&amp;TEXT(ROW()-4,"0000"))</f>
        <v/>
      </c>
      <c r="B71" s="78" t="n"/>
      <c r="C71" s="78" t="n"/>
      <c r="D71" s="81" t="n"/>
      <c r="E71" s="81" t="n"/>
      <c r="F71" s="78" t="n"/>
      <c r="G71" s="67">
        <f>IF($F71="","",IFERROR(INDEX(Employee_Master!$C$5:$C$204,MATCH($F71,Employee_Master!$B$5:$B$204,0)),""))</f>
        <v/>
      </c>
      <c r="H71" s="78" t="n"/>
      <c r="I71" s="78" t="n"/>
      <c r="J71" s="67">
        <f>IF($I71="","",IFERROR(INDEX(Action_Status_Map!$B$5:$B$11,MATCH($I71,Action_Status_Map!$A$5:$A$11,0)),""))</f>
        <v/>
      </c>
      <c r="K71" s="82" t="n"/>
      <c r="L71" s="82" t="n"/>
      <c r="M71" s="82" t="n"/>
      <c r="N71" s="83" t="n"/>
      <c r="O71" s="83" t="n"/>
      <c r="P71" s="66">
        <f>IF(OR($N71="",$O71=""),"",$O71-$N71)</f>
        <v/>
      </c>
      <c r="Q71" s="84">
        <f>IF($K71="","",IF($M71&lt;&gt;"",$M71-$K71,TODAY()-$K71))</f>
        <v/>
      </c>
      <c r="R71" s="85">
        <f>IF(OR($L71="",$I71="Completed",$I71="Cancelled"),"",IF(AND($L71&lt;TODAY(),$I71&lt;&gt;"Completed",$I71&lt;&gt;"Cancelled"),"Overdue","On Track"))</f>
        <v/>
      </c>
      <c r="S71" s="65">
        <f>IF($L71="","",TEXT($L71,"yyyy-mm"))</f>
        <v/>
      </c>
      <c r="T71" s="86">
        <f>IF($I71="","",IFERROR(INDEX(Action_Status_Map!$C$5:$C$11,MATCH($I71,Action_Status_Map!$A$5:$A$11,0)),""))</f>
        <v/>
      </c>
      <c r="U71" s="81" t="n"/>
      <c r="V71" s="82" t="n"/>
      <c r="W71" s="65">
        <f>IF(OR($I71&lt;&gt;"Completed",$M71="",$L71=""),"",IF($M71&lt;=$L71,"Yes","No"))</f>
        <v/>
      </c>
      <c r="X71" s="84">
        <f>IF($A71="","",COUNTIF(Task_Steps!$B$5:$B$2004,$A71))</f>
        <v/>
      </c>
      <c r="Y71" s="86">
        <f>IF($X71=0,"",COUNTIFS(Task_Steps!$B$5:$B$2004,$A71,Task_Steps!$H$5:$H$2004,"Completed")/$X71)</f>
        <v/>
      </c>
      <c r="Z71" s="81" t="n"/>
      <c r="AA71" s="81" t="n"/>
      <c r="AB71" s="67">
        <f>IF($F71="","",IFERROR(INDEX(Employee_Master!$E$5:$E$204,MATCH($F71,Employee_Master!$B$5:$B$204,0)),""))</f>
        <v/>
      </c>
      <c r="AC71" s="65">
        <f>IF(OR($A71="",$AB71=""),"",IF(OR($I71="Completed",$I71="Cancelled"),"Closed - in Manager Report","Active - in Manager Report"))</f>
        <v/>
      </c>
      <c r="AD71" s="81">
        <f>IF($A71="","",IFERROR(TEXTJOIN(", ",TRUE,FILTER(Task_Steps!$A$5:$A$2004,Task_Steps!$B$5:$B$2004=$A71)),""))</f>
        <v/>
      </c>
      <c r="AE71" s="84">
        <f>IF($A71="","",COUNTIFS(Task_Steps!$B$5:$B$2004,$A71,Task_Steps!$H$5:$H$2004,"&lt;&gt;Completed",Task_Steps!$H$5:$H$2004,"&lt;&gt;Cancelled"))</f>
        <v/>
      </c>
      <c r="AF71" s="81">
        <f>IF(OR($B71="",$A71=""),"",$B71&amp;" | "&amp;$A71)</f>
        <v/>
      </c>
    </row>
    <row r="72" ht="15" customHeight="1" s="40">
      <c r="A72" s="65">
        <f>IF(COUNTA(B72:F72)=0,"","TSK-"&amp;TEXT(ROW()-4,"0000"))</f>
        <v/>
      </c>
      <c r="B72" s="78" t="n"/>
      <c r="C72" s="78" t="n"/>
      <c r="D72" s="81" t="n"/>
      <c r="E72" s="81" t="n"/>
      <c r="F72" s="78" t="n"/>
      <c r="G72" s="67">
        <f>IF($F72="","",IFERROR(INDEX(Employee_Master!$C$5:$C$204,MATCH($F72,Employee_Master!$B$5:$B$204,0)),""))</f>
        <v/>
      </c>
      <c r="H72" s="78" t="n"/>
      <c r="I72" s="78" t="n"/>
      <c r="J72" s="67">
        <f>IF($I72="","",IFERROR(INDEX(Action_Status_Map!$B$5:$B$11,MATCH($I72,Action_Status_Map!$A$5:$A$11,0)),""))</f>
        <v/>
      </c>
      <c r="K72" s="82" t="n"/>
      <c r="L72" s="82" t="n"/>
      <c r="M72" s="82" t="n"/>
      <c r="N72" s="83" t="n"/>
      <c r="O72" s="83" t="n"/>
      <c r="P72" s="66">
        <f>IF(OR($N72="",$O72=""),"",$O72-$N72)</f>
        <v/>
      </c>
      <c r="Q72" s="84">
        <f>IF($K72="","",IF($M72&lt;&gt;"",$M72-$K72,TODAY()-$K72))</f>
        <v/>
      </c>
      <c r="R72" s="85">
        <f>IF(OR($L72="",$I72="Completed",$I72="Cancelled"),"",IF(AND($L72&lt;TODAY(),$I72&lt;&gt;"Completed",$I72&lt;&gt;"Cancelled"),"Overdue","On Track"))</f>
        <v/>
      </c>
      <c r="S72" s="65">
        <f>IF($L72="","",TEXT($L72,"yyyy-mm"))</f>
        <v/>
      </c>
      <c r="T72" s="86">
        <f>IF($I72="","",IFERROR(INDEX(Action_Status_Map!$C$5:$C$11,MATCH($I72,Action_Status_Map!$A$5:$A$11,0)),""))</f>
        <v/>
      </c>
      <c r="U72" s="81" t="n"/>
      <c r="V72" s="82" t="n"/>
      <c r="W72" s="65">
        <f>IF(OR($I72&lt;&gt;"Completed",$M72="",$L72=""),"",IF($M72&lt;=$L72,"Yes","No"))</f>
        <v/>
      </c>
      <c r="X72" s="84">
        <f>IF($A72="","",COUNTIF(Task_Steps!$B$5:$B$2004,$A72))</f>
        <v/>
      </c>
      <c r="Y72" s="86">
        <f>IF($X72=0,"",COUNTIFS(Task_Steps!$B$5:$B$2004,$A72,Task_Steps!$H$5:$H$2004,"Completed")/$X72)</f>
        <v/>
      </c>
      <c r="Z72" s="81" t="n"/>
      <c r="AA72" s="81" t="n"/>
      <c r="AB72" s="67">
        <f>IF($F72="","",IFERROR(INDEX(Employee_Master!$E$5:$E$204,MATCH($F72,Employee_Master!$B$5:$B$204,0)),""))</f>
        <v/>
      </c>
      <c r="AC72" s="65">
        <f>IF(OR($A72="",$AB72=""),"",IF(OR($I72="Completed",$I72="Cancelled"),"Closed - in Manager Report","Active - in Manager Report"))</f>
        <v/>
      </c>
      <c r="AD72" s="81">
        <f>IF($A72="","",IFERROR(TEXTJOIN(", ",TRUE,FILTER(Task_Steps!$A$5:$A$2004,Task_Steps!$B$5:$B$2004=$A72)),""))</f>
        <v/>
      </c>
      <c r="AE72" s="84">
        <f>IF($A72="","",COUNTIFS(Task_Steps!$B$5:$B$2004,$A72,Task_Steps!$H$5:$H$2004,"&lt;&gt;Completed",Task_Steps!$H$5:$H$2004,"&lt;&gt;Cancelled"))</f>
        <v/>
      </c>
      <c r="AF72" s="81">
        <f>IF(OR($B72="",$A72=""),"",$B72&amp;" | "&amp;$A72)</f>
        <v/>
      </c>
    </row>
    <row r="73" ht="15" customHeight="1" s="40">
      <c r="A73" s="65">
        <f>IF(COUNTA(B73:F73)=0,"","TSK-"&amp;TEXT(ROW()-4,"0000"))</f>
        <v/>
      </c>
      <c r="B73" s="78" t="n"/>
      <c r="C73" s="78" t="n"/>
      <c r="D73" s="81" t="n"/>
      <c r="E73" s="81" t="n"/>
      <c r="F73" s="78" t="n"/>
      <c r="G73" s="67">
        <f>IF($F73="","",IFERROR(INDEX(Employee_Master!$C$5:$C$204,MATCH($F73,Employee_Master!$B$5:$B$204,0)),""))</f>
        <v/>
      </c>
      <c r="H73" s="78" t="n"/>
      <c r="I73" s="78" t="n"/>
      <c r="J73" s="67">
        <f>IF($I73="","",IFERROR(INDEX(Action_Status_Map!$B$5:$B$11,MATCH($I73,Action_Status_Map!$A$5:$A$11,0)),""))</f>
        <v/>
      </c>
      <c r="K73" s="82" t="n"/>
      <c r="L73" s="82" t="n"/>
      <c r="M73" s="82" t="n"/>
      <c r="N73" s="83" t="n"/>
      <c r="O73" s="83" t="n"/>
      <c r="P73" s="66">
        <f>IF(OR($N73="",$O73=""),"",$O73-$N73)</f>
        <v/>
      </c>
      <c r="Q73" s="84">
        <f>IF($K73="","",IF($M73&lt;&gt;"",$M73-$K73,TODAY()-$K73))</f>
        <v/>
      </c>
      <c r="R73" s="85">
        <f>IF(OR($L73="",$I73="Completed",$I73="Cancelled"),"",IF(AND($L73&lt;TODAY(),$I73&lt;&gt;"Completed",$I73&lt;&gt;"Cancelled"),"Overdue","On Track"))</f>
        <v/>
      </c>
      <c r="S73" s="65">
        <f>IF($L73="","",TEXT($L73,"yyyy-mm"))</f>
        <v/>
      </c>
      <c r="T73" s="86">
        <f>IF($I73="","",IFERROR(INDEX(Action_Status_Map!$C$5:$C$11,MATCH($I73,Action_Status_Map!$A$5:$A$11,0)),""))</f>
        <v/>
      </c>
      <c r="U73" s="81" t="n"/>
      <c r="V73" s="82" t="n"/>
      <c r="W73" s="65">
        <f>IF(OR($I73&lt;&gt;"Completed",$M73="",$L73=""),"",IF($M73&lt;=$L73,"Yes","No"))</f>
        <v/>
      </c>
      <c r="X73" s="84">
        <f>IF($A73="","",COUNTIF(Task_Steps!$B$5:$B$2004,$A73))</f>
        <v/>
      </c>
      <c r="Y73" s="86">
        <f>IF($X73=0,"",COUNTIFS(Task_Steps!$B$5:$B$2004,$A73,Task_Steps!$H$5:$H$2004,"Completed")/$X73)</f>
        <v/>
      </c>
      <c r="Z73" s="81" t="n"/>
      <c r="AA73" s="81" t="n"/>
      <c r="AB73" s="67">
        <f>IF($F73="","",IFERROR(INDEX(Employee_Master!$E$5:$E$204,MATCH($F73,Employee_Master!$B$5:$B$204,0)),""))</f>
        <v/>
      </c>
      <c r="AC73" s="65">
        <f>IF(OR($A73="",$AB73=""),"",IF(OR($I73="Completed",$I73="Cancelled"),"Closed - in Manager Report","Active - in Manager Report"))</f>
        <v/>
      </c>
      <c r="AD73" s="81">
        <f>IF($A73="","",IFERROR(TEXTJOIN(", ",TRUE,FILTER(Task_Steps!$A$5:$A$2004,Task_Steps!$B$5:$B$2004=$A73)),""))</f>
        <v/>
      </c>
      <c r="AE73" s="84">
        <f>IF($A73="","",COUNTIFS(Task_Steps!$B$5:$B$2004,$A73,Task_Steps!$H$5:$H$2004,"&lt;&gt;Completed",Task_Steps!$H$5:$H$2004,"&lt;&gt;Cancelled"))</f>
        <v/>
      </c>
      <c r="AF73" s="81">
        <f>IF(OR($B73="",$A73=""),"",$B73&amp;" | "&amp;$A73)</f>
        <v/>
      </c>
    </row>
    <row r="74" ht="15" customHeight="1" s="40">
      <c r="A74" s="65">
        <f>IF(COUNTA(B74:F74)=0,"","TSK-"&amp;TEXT(ROW()-4,"0000"))</f>
        <v/>
      </c>
      <c r="B74" s="78" t="n"/>
      <c r="C74" s="78" t="n"/>
      <c r="D74" s="81" t="n"/>
      <c r="E74" s="81" t="n"/>
      <c r="F74" s="78" t="n"/>
      <c r="G74" s="67">
        <f>IF($F74="","",IFERROR(INDEX(Employee_Master!$C$5:$C$204,MATCH($F74,Employee_Master!$B$5:$B$204,0)),""))</f>
        <v/>
      </c>
      <c r="H74" s="78" t="n"/>
      <c r="I74" s="78" t="n"/>
      <c r="J74" s="67">
        <f>IF($I74="","",IFERROR(INDEX(Action_Status_Map!$B$5:$B$11,MATCH($I74,Action_Status_Map!$A$5:$A$11,0)),""))</f>
        <v/>
      </c>
      <c r="K74" s="82" t="n"/>
      <c r="L74" s="82" t="n"/>
      <c r="M74" s="82" t="n"/>
      <c r="N74" s="83" t="n"/>
      <c r="O74" s="83" t="n"/>
      <c r="P74" s="66">
        <f>IF(OR($N74="",$O74=""),"",$O74-$N74)</f>
        <v/>
      </c>
      <c r="Q74" s="84">
        <f>IF($K74="","",IF($M74&lt;&gt;"",$M74-$K74,TODAY()-$K74))</f>
        <v/>
      </c>
      <c r="R74" s="85">
        <f>IF(OR($L74="",$I74="Completed",$I74="Cancelled"),"",IF(AND($L74&lt;TODAY(),$I74&lt;&gt;"Completed",$I74&lt;&gt;"Cancelled"),"Overdue","On Track"))</f>
        <v/>
      </c>
      <c r="S74" s="65">
        <f>IF($L74="","",TEXT($L74,"yyyy-mm"))</f>
        <v/>
      </c>
      <c r="T74" s="86">
        <f>IF($I74="","",IFERROR(INDEX(Action_Status_Map!$C$5:$C$11,MATCH($I74,Action_Status_Map!$A$5:$A$11,0)),""))</f>
        <v/>
      </c>
      <c r="U74" s="81" t="n"/>
      <c r="V74" s="82" t="n"/>
      <c r="W74" s="65">
        <f>IF(OR($I74&lt;&gt;"Completed",$M74="",$L74=""),"",IF($M74&lt;=$L74,"Yes","No"))</f>
        <v/>
      </c>
      <c r="X74" s="84">
        <f>IF($A74="","",COUNTIF(Task_Steps!$B$5:$B$2004,$A74))</f>
        <v/>
      </c>
      <c r="Y74" s="86">
        <f>IF($X74=0,"",COUNTIFS(Task_Steps!$B$5:$B$2004,$A74,Task_Steps!$H$5:$H$2004,"Completed")/$X74)</f>
        <v/>
      </c>
      <c r="Z74" s="81" t="n"/>
      <c r="AA74" s="81" t="n"/>
      <c r="AB74" s="67">
        <f>IF($F74="","",IFERROR(INDEX(Employee_Master!$E$5:$E$204,MATCH($F74,Employee_Master!$B$5:$B$204,0)),""))</f>
        <v/>
      </c>
      <c r="AC74" s="65">
        <f>IF(OR($A74="",$AB74=""),"",IF(OR($I74="Completed",$I74="Cancelled"),"Closed - in Manager Report","Active - in Manager Report"))</f>
        <v/>
      </c>
      <c r="AD74" s="81">
        <f>IF($A74="","",IFERROR(TEXTJOIN(", ",TRUE,FILTER(Task_Steps!$A$5:$A$2004,Task_Steps!$B$5:$B$2004=$A74)),""))</f>
        <v/>
      </c>
      <c r="AE74" s="84">
        <f>IF($A74="","",COUNTIFS(Task_Steps!$B$5:$B$2004,$A74,Task_Steps!$H$5:$H$2004,"&lt;&gt;Completed",Task_Steps!$H$5:$H$2004,"&lt;&gt;Cancelled"))</f>
        <v/>
      </c>
      <c r="AF74" s="81">
        <f>IF(OR($B74="",$A74=""),"",$B74&amp;" | "&amp;$A74)</f>
        <v/>
      </c>
    </row>
    <row r="75" ht="15" customHeight="1" s="40">
      <c r="A75" s="65">
        <f>IF(COUNTA(B75:F75)=0,"","TSK-"&amp;TEXT(ROW()-4,"0000"))</f>
        <v/>
      </c>
      <c r="B75" s="78" t="n"/>
      <c r="C75" s="78" t="n"/>
      <c r="D75" s="81" t="n"/>
      <c r="E75" s="81" t="n"/>
      <c r="F75" s="78" t="n"/>
      <c r="G75" s="67">
        <f>IF($F75="","",IFERROR(INDEX(Employee_Master!$C$5:$C$204,MATCH($F75,Employee_Master!$B$5:$B$204,0)),""))</f>
        <v/>
      </c>
      <c r="H75" s="78" t="n"/>
      <c r="I75" s="78" t="n"/>
      <c r="J75" s="67">
        <f>IF($I75="","",IFERROR(INDEX(Action_Status_Map!$B$5:$B$11,MATCH($I75,Action_Status_Map!$A$5:$A$11,0)),""))</f>
        <v/>
      </c>
      <c r="K75" s="82" t="n"/>
      <c r="L75" s="82" t="n"/>
      <c r="M75" s="82" t="n"/>
      <c r="N75" s="83" t="n"/>
      <c r="O75" s="83" t="n"/>
      <c r="P75" s="66">
        <f>IF(OR($N75="",$O75=""),"",$O75-$N75)</f>
        <v/>
      </c>
      <c r="Q75" s="84">
        <f>IF($K75="","",IF($M75&lt;&gt;"",$M75-$K75,TODAY()-$K75))</f>
        <v/>
      </c>
      <c r="R75" s="85">
        <f>IF(OR($L75="",$I75="Completed",$I75="Cancelled"),"",IF(AND($L75&lt;TODAY(),$I75&lt;&gt;"Completed",$I75&lt;&gt;"Cancelled"),"Overdue","On Track"))</f>
        <v/>
      </c>
      <c r="S75" s="65">
        <f>IF($L75="","",TEXT($L75,"yyyy-mm"))</f>
        <v/>
      </c>
      <c r="T75" s="86">
        <f>IF($I75="","",IFERROR(INDEX(Action_Status_Map!$C$5:$C$11,MATCH($I75,Action_Status_Map!$A$5:$A$11,0)),""))</f>
        <v/>
      </c>
      <c r="U75" s="81" t="n"/>
      <c r="V75" s="82" t="n"/>
      <c r="W75" s="65">
        <f>IF(OR($I75&lt;&gt;"Completed",$M75="",$L75=""),"",IF($M75&lt;=$L75,"Yes","No"))</f>
        <v/>
      </c>
      <c r="X75" s="84">
        <f>IF($A75="","",COUNTIF(Task_Steps!$B$5:$B$2004,$A75))</f>
        <v/>
      </c>
      <c r="Y75" s="86">
        <f>IF($X75=0,"",COUNTIFS(Task_Steps!$B$5:$B$2004,$A75,Task_Steps!$H$5:$H$2004,"Completed")/$X75)</f>
        <v/>
      </c>
      <c r="Z75" s="81" t="n"/>
      <c r="AA75" s="81" t="n"/>
      <c r="AB75" s="67">
        <f>IF($F75="","",IFERROR(INDEX(Employee_Master!$E$5:$E$204,MATCH($F75,Employee_Master!$B$5:$B$204,0)),""))</f>
        <v/>
      </c>
      <c r="AC75" s="65">
        <f>IF(OR($A75="",$AB75=""),"",IF(OR($I75="Completed",$I75="Cancelled"),"Closed - in Manager Report","Active - in Manager Report"))</f>
        <v/>
      </c>
      <c r="AD75" s="81">
        <f>IF($A75="","",IFERROR(TEXTJOIN(", ",TRUE,FILTER(Task_Steps!$A$5:$A$2004,Task_Steps!$B$5:$B$2004=$A75)),""))</f>
        <v/>
      </c>
      <c r="AE75" s="84">
        <f>IF($A75="","",COUNTIFS(Task_Steps!$B$5:$B$2004,$A75,Task_Steps!$H$5:$H$2004,"&lt;&gt;Completed",Task_Steps!$H$5:$H$2004,"&lt;&gt;Cancelled"))</f>
        <v/>
      </c>
      <c r="AF75" s="81">
        <f>IF(OR($B75="",$A75=""),"",$B75&amp;" | "&amp;$A75)</f>
        <v/>
      </c>
    </row>
    <row r="76" ht="15" customHeight="1" s="40">
      <c r="A76" s="65">
        <f>IF(COUNTA(B76:F76)=0,"","TSK-"&amp;TEXT(ROW()-4,"0000"))</f>
        <v/>
      </c>
      <c r="B76" s="78" t="n"/>
      <c r="C76" s="78" t="n"/>
      <c r="D76" s="81" t="n"/>
      <c r="E76" s="81" t="n"/>
      <c r="F76" s="78" t="n"/>
      <c r="G76" s="67">
        <f>IF($F76="","",IFERROR(INDEX(Employee_Master!$C$5:$C$204,MATCH($F76,Employee_Master!$B$5:$B$204,0)),""))</f>
        <v/>
      </c>
      <c r="H76" s="78" t="n"/>
      <c r="I76" s="78" t="n"/>
      <c r="J76" s="67">
        <f>IF($I76="","",IFERROR(INDEX(Action_Status_Map!$B$5:$B$11,MATCH($I76,Action_Status_Map!$A$5:$A$11,0)),""))</f>
        <v/>
      </c>
      <c r="K76" s="82" t="n"/>
      <c r="L76" s="82" t="n"/>
      <c r="M76" s="82" t="n"/>
      <c r="N76" s="83" t="n"/>
      <c r="O76" s="83" t="n"/>
      <c r="P76" s="66">
        <f>IF(OR($N76="",$O76=""),"",$O76-$N76)</f>
        <v/>
      </c>
      <c r="Q76" s="84">
        <f>IF($K76="","",IF($M76&lt;&gt;"",$M76-$K76,TODAY()-$K76))</f>
        <v/>
      </c>
      <c r="R76" s="85">
        <f>IF(OR($L76="",$I76="Completed",$I76="Cancelled"),"",IF(AND($L76&lt;TODAY(),$I76&lt;&gt;"Completed",$I76&lt;&gt;"Cancelled"),"Overdue","On Track"))</f>
        <v/>
      </c>
      <c r="S76" s="65">
        <f>IF($L76="","",TEXT($L76,"yyyy-mm"))</f>
        <v/>
      </c>
      <c r="T76" s="86">
        <f>IF($I76="","",IFERROR(INDEX(Action_Status_Map!$C$5:$C$11,MATCH($I76,Action_Status_Map!$A$5:$A$11,0)),""))</f>
        <v/>
      </c>
      <c r="U76" s="81" t="n"/>
      <c r="V76" s="82" t="n"/>
      <c r="W76" s="65">
        <f>IF(OR($I76&lt;&gt;"Completed",$M76="",$L76=""),"",IF($M76&lt;=$L76,"Yes","No"))</f>
        <v/>
      </c>
      <c r="X76" s="84">
        <f>IF($A76="","",COUNTIF(Task_Steps!$B$5:$B$2004,$A76))</f>
        <v/>
      </c>
      <c r="Y76" s="86">
        <f>IF($X76=0,"",COUNTIFS(Task_Steps!$B$5:$B$2004,$A76,Task_Steps!$H$5:$H$2004,"Completed")/$X76)</f>
        <v/>
      </c>
      <c r="Z76" s="81" t="n"/>
      <c r="AA76" s="81" t="n"/>
      <c r="AB76" s="67">
        <f>IF($F76="","",IFERROR(INDEX(Employee_Master!$E$5:$E$204,MATCH($F76,Employee_Master!$B$5:$B$204,0)),""))</f>
        <v/>
      </c>
      <c r="AC76" s="65">
        <f>IF(OR($A76="",$AB76=""),"",IF(OR($I76="Completed",$I76="Cancelled"),"Closed - in Manager Report","Active - in Manager Report"))</f>
        <v/>
      </c>
      <c r="AD76" s="81">
        <f>IF($A76="","",IFERROR(TEXTJOIN(", ",TRUE,FILTER(Task_Steps!$A$5:$A$2004,Task_Steps!$B$5:$B$2004=$A76)),""))</f>
        <v/>
      </c>
      <c r="AE76" s="84">
        <f>IF($A76="","",COUNTIFS(Task_Steps!$B$5:$B$2004,$A76,Task_Steps!$H$5:$H$2004,"&lt;&gt;Completed",Task_Steps!$H$5:$H$2004,"&lt;&gt;Cancelled"))</f>
        <v/>
      </c>
      <c r="AF76" s="81">
        <f>IF(OR($B76="",$A76=""),"",$B76&amp;" | "&amp;$A76)</f>
        <v/>
      </c>
    </row>
    <row r="77" ht="15" customHeight="1" s="40">
      <c r="A77" s="65">
        <f>IF(COUNTA(B77:F77)=0,"","TSK-"&amp;TEXT(ROW()-4,"0000"))</f>
        <v/>
      </c>
      <c r="B77" s="78" t="n"/>
      <c r="C77" s="78" t="n"/>
      <c r="D77" s="81" t="n"/>
      <c r="E77" s="81" t="n"/>
      <c r="F77" s="78" t="n"/>
      <c r="G77" s="67">
        <f>IF($F77="","",IFERROR(INDEX(Employee_Master!$C$5:$C$204,MATCH($F77,Employee_Master!$B$5:$B$204,0)),""))</f>
        <v/>
      </c>
      <c r="H77" s="78" t="n"/>
      <c r="I77" s="78" t="n"/>
      <c r="J77" s="67">
        <f>IF($I77="","",IFERROR(INDEX(Action_Status_Map!$B$5:$B$11,MATCH($I77,Action_Status_Map!$A$5:$A$11,0)),""))</f>
        <v/>
      </c>
      <c r="K77" s="82" t="n"/>
      <c r="L77" s="82" t="n"/>
      <c r="M77" s="82" t="n"/>
      <c r="N77" s="83" t="n"/>
      <c r="O77" s="83" t="n"/>
      <c r="P77" s="66">
        <f>IF(OR($N77="",$O77=""),"",$O77-$N77)</f>
        <v/>
      </c>
      <c r="Q77" s="84">
        <f>IF($K77="","",IF($M77&lt;&gt;"",$M77-$K77,TODAY()-$K77))</f>
        <v/>
      </c>
      <c r="R77" s="85">
        <f>IF(OR($L77="",$I77="Completed",$I77="Cancelled"),"",IF(AND($L77&lt;TODAY(),$I77&lt;&gt;"Completed",$I77&lt;&gt;"Cancelled"),"Overdue","On Track"))</f>
        <v/>
      </c>
      <c r="S77" s="65">
        <f>IF($L77="","",TEXT($L77,"yyyy-mm"))</f>
        <v/>
      </c>
      <c r="T77" s="86">
        <f>IF($I77="","",IFERROR(INDEX(Action_Status_Map!$C$5:$C$11,MATCH($I77,Action_Status_Map!$A$5:$A$11,0)),""))</f>
        <v/>
      </c>
      <c r="U77" s="81" t="n"/>
      <c r="V77" s="82" t="n"/>
      <c r="W77" s="65">
        <f>IF(OR($I77&lt;&gt;"Completed",$M77="",$L77=""),"",IF($M77&lt;=$L77,"Yes","No"))</f>
        <v/>
      </c>
      <c r="X77" s="84">
        <f>IF($A77="","",COUNTIF(Task_Steps!$B$5:$B$2004,$A77))</f>
        <v/>
      </c>
      <c r="Y77" s="86">
        <f>IF($X77=0,"",COUNTIFS(Task_Steps!$B$5:$B$2004,$A77,Task_Steps!$H$5:$H$2004,"Completed")/$X77)</f>
        <v/>
      </c>
      <c r="Z77" s="81" t="n"/>
      <c r="AA77" s="81" t="n"/>
      <c r="AB77" s="67">
        <f>IF($F77="","",IFERROR(INDEX(Employee_Master!$E$5:$E$204,MATCH($F77,Employee_Master!$B$5:$B$204,0)),""))</f>
        <v/>
      </c>
      <c r="AC77" s="65">
        <f>IF(OR($A77="",$AB77=""),"",IF(OR($I77="Completed",$I77="Cancelled"),"Closed - in Manager Report","Active - in Manager Report"))</f>
        <v/>
      </c>
      <c r="AD77" s="81">
        <f>IF($A77="","",IFERROR(TEXTJOIN(", ",TRUE,FILTER(Task_Steps!$A$5:$A$2004,Task_Steps!$B$5:$B$2004=$A77)),""))</f>
        <v/>
      </c>
      <c r="AE77" s="84">
        <f>IF($A77="","",COUNTIFS(Task_Steps!$B$5:$B$2004,$A77,Task_Steps!$H$5:$H$2004,"&lt;&gt;Completed",Task_Steps!$H$5:$H$2004,"&lt;&gt;Cancelled"))</f>
        <v/>
      </c>
      <c r="AF77" s="81">
        <f>IF(OR($B77="",$A77=""),"",$B77&amp;" | "&amp;$A77)</f>
        <v/>
      </c>
    </row>
    <row r="78" ht="15" customHeight="1" s="40">
      <c r="A78" s="65">
        <f>IF(COUNTA(B78:F78)=0,"","TSK-"&amp;TEXT(ROW()-4,"0000"))</f>
        <v/>
      </c>
      <c r="B78" s="78" t="n"/>
      <c r="C78" s="78" t="n"/>
      <c r="D78" s="81" t="n"/>
      <c r="E78" s="81" t="n"/>
      <c r="F78" s="78" t="n"/>
      <c r="G78" s="67">
        <f>IF($F78="","",IFERROR(INDEX(Employee_Master!$C$5:$C$204,MATCH($F78,Employee_Master!$B$5:$B$204,0)),""))</f>
        <v/>
      </c>
      <c r="H78" s="78" t="n"/>
      <c r="I78" s="78" t="n"/>
      <c r="J78" s="67">
        <f>IF($I78="","",IFERROR(INDEX(Action_Status_Map!$B$5:$B$11,MATCH($I78,Action_Status_Map!$A$5:$A$11,0)),""))</f>
        <v/>
      </c>
      <c r="K78" s="82" t="n"/>
      <c r="L78" s="82" t="n"/>
      <c r="M78" s="82" t="n"/>
      <c r="N78" s="83" t="n"/>
      <c r="O78" s="83" t="n"/>
      <c r="P78" s="66">
        <f>IF(OR($N78="",$O78=""),"",$O78-$N78)</f>
        <v/>
      </c>
      <c r="Q78" s="84">
        <f>IF($K78="","",IF($M78&lt;&gt;"",$M78-$K78,TODAY()-$K78))</f>
        <v/>
      </c>
      <c r="R78" s="85">
        <f>IF(OR($L78="",$I78="Completed",$I78="Cancelled"),"",IF(AND($L78&lt;TODAY(),$I78&lt;&gt;"Completed",$I78&lt;&gt;"Cancelled"),"Overdue","On Track"))</f>
        <v/>
      </c>
      <c r="S78" s="65">
        <f>IF($L78="","",TEXT($L78,"yyyy-mm"))</f>
        <v/>
      </c>
      <c r="T78" s="86">
        <f>IF($I78="","",IFERROR(INDEX(Action_Status_Map!$C$5:$C$11,MATCH($I78,Action_Status_Map!$A$5:$A$11,0)),""))</f>
        <v/>
      </c>
      <c r="U78" s="81" t="n"/>
      <c r="V78" s="82" t="n"/>
      <c r="W78" s="65">
        <f>IF(OR($I78&lt;&gt;"Completed",$M78="",$L78=""),"",IF($M78&lt;=$L78,"Yes","No"))</f>
        <v/>
      </c>
      <c r="X78" s="84">
        <f>IF($A78="","",COUNTIF(Task_Steps!$B$5:$B$2004,$A78))</f>
        <v/>
      </c>
      <c r="Y78" s="86">
        <f>IF($X78=0,"",COUNTIFS(Task_Steps!$B$5:$B$2004,$A78,Task_Steps!$H$5:$H$2004,"Completed")/$X78)</f>
        <v/>
      </c>
      <c r="Z78" s="81" t="n"/>
      <c r="AA78" s="81" t="n"/>
      <c r="AB78" s="67">
        <f>IF($F78="","",IFERROR(INDEX(Employee_Master!$E$5:$E$204,MATCH($F78,Employee_Master!$B$5:$B$204,0)),""))</f>
        <v/>
      </c>
      <c r="AC78" s="65">
        <f>IF(OR($A78="",$AB78=""),"",IF(OR($I78="Completed",$I78="Cancelled"),"Closed - in Manager Report","Active - in Manager Report"))</f>
        <v/>
      </c>
      <c r="AD78" s="81">
        <f>IF($A78="","",IFERROR(TEXTJOIN(", ",TRUE,FILTER(Task_Steps!$A$5:$A$2004,Task_Steps!$B$5:$B$2004=$A78)),""))</f>
        <v/>
      </c>
      <c r="AE78" s="84">
        <f>IF($A78="","",COUNTIFS(Task_Steps!$B$5:$B$2004,$A78,Task_Steps!$H$5:$H$2004,"&lt;&gt;Completed",Task_Steps!$H$5:$H$2004,"&lt;&gt;Cancelled"))</f>
        <v/>
      </c>
      <c r="AF78" s="81">
        <f>IF(OR($B78="",$A78=""),"",$B78&amp;" | "&amp;$A78)</f>
        <v/>
      </c>
    </row>
    <row r="79" ht="15" customHeight="1" s="40">
      <c r="A79" s="65">
        <f>IF(COUNTA(B79:F79)=0,"","TSK-"&amp;TEXT(ROW()-4,"0000"))</f>
        <v/>
      </c>
      <c r="B79" s="78" t="n"/>
      <c r="C79" s="78" t="n"/>
      <c r="D79" s="81" t="n"/>
      <c r="E79" s="81" t="n"/>
      <c r="F79" s="78" t="n"/>
      <c r="G79" s="67">
        <f>IF($F79="","",IFERROR(INDEX(Employee_Master!$C$5:$C$204,MATCH($F79,Employee_Master!$B$5:$B$204,0)),""))</f>
        <v/>
      </c>
      <c r="H79" s="78" t="n"/>
      <c r="I79" s="78" t="n"/>
      <c r="J79" s="67">
        <f>IF($I79="","",IFERROR(INDEX(Action_Status_Map!$B$5:$B$11,MATCH($I79,Action_Status_Map!$A$5:$A$11,0)),""))</f>
        <v/>
      </c>
      <c r="K79" s="82" t="n"/>
      <c r="L79" s="82" t="n"/>
      <c r="M79" s="82" t="n"/>
      <c r="N79" s="83" t="n"/>
      <c r="O79" s="83" t="n"/>
      <c r="P79" s="66">
        <f>IF(OR($N79="",$O79=""),"",$O79-$N79)</f>
        <v/>
      </c>
      <c r="Q79" s="84">
        <f>IF($K79="","",IF($M79&lt;&gt;"",$M79-$K79,TODAY()-$K79))</f>
        <v/>
      </c>
      <c r="R79" s="85">
        <f>IF(OR($L79="",$I79="Completed",$I79="Cancelled"),"",IF(AND($L79&lt;TODAY(),$I79&lt;&gt;"Completed",$I79&lt;&gt;"Cancelled"),"Overdue","On Track"))</f>
        <v/>
      </c>
      <c r="S79" s="65">
        <f>IF($L79="","",TEXT($L79,"yyyy-mm"))</f>
        <v/>
      </c>
      <c r="T79" s="86">
        <f>IF($I79="","",IFERROR(INDEX(Action_Status_Map!$C$5:$C$11,MATCH($I79,Action_Status_Map!$A$5:$A$11,0)),""))</f>
        <v/>
      </c>
      <c r="U79" s="81" t="n"/>
      <c r="V79" s="82" t="n"/>
      <c r="W79" s="65">
        <f>IF(OR($I79&lt;&gt;"Completed",$M79="",$L79=""),"",IF($M79&lt;=$L79,"Yes","No"))</f>
        <v/>
      </c>
      <c r="X79" s="84">
        <f>IF($A79="","",COUNTIF(Task_Steps!$B$5:$B$2004,$A79))</f>
        <v/>
      </c>
      <c r="Y79" s="86">
        <f>IF($X79=0,"",COUNTIFS(Task_Steps!$B$5:$B$2004,$A79,Task_Steps!$H$5:$H$2004,"Completed")/$X79)</f>
        <v/>
      </c>
      <c r="Z79" s="81" t="n"/>
      <c r="AA79" s="81" t="n"/>
      <c r="AB79" s="67">
        <f>IF($F79="","",IFERROR(INDEX(Employee_Master!$E$5:$E$204,MATCH($F79,Employee_Master!$B$5:$B$204,0)),""))</f>
        <v/>
      </c>
      <c r="AC79" s="65">
        <f>IF(OR($A79="",$AB79=""),"",IF(OR($I79="Completed",$I79="Cancelled"),"Closed - in Manager Report","Active - in Manager Report"))</f>
        <v/>
      </c>
      <c r="AD79" s="81">
        <f>IF($A79="","",IFERROR(TEXTJOIN(", ",TRUE,FILTER(Task_Steps!$A$5:$A$2004,Task_Steps!$B$5:$B$2004=$A79)),""))</f>
        <v/>
      </c>
      <c r="AE79" s="84">
        <f>IF($A79="","",COUNTIFS(Task_Steps!$B$5:$B$2004,$A79,Task_Steps!$H$5:$H$2004,"&lt;&gt;Completed",Task_Steps!$H$5:$H$2004,"&lt;&gt;Cancelled"))</f>
        <v/>
      </c>
      <c r="AF79" s="81">
        <f>IF(OR($B79="",$A79=""),"",$B79&amp;" | "&amp;$A79)</f>
        <v/>
      </c>
    </row>
    <row r="80" ht="15" customHeight="1" s="40">
      <c r="A80" s="65">
        <f>IF(COUNTA(B80:F80)=0,"","TSK-"&amp;TEXT(ROW()-4,"0000"))</f>
        <v/>
      </c>
      <c r="B80" s="78" t="n"/>
      <c r="C80" s="78" t="n"/>
      <c r="D80" s="81" t="n"/>
      <c r="E80" s="81" t="n"/>
      <c r="F80" s="78" t="n"/>
      <c r="G80" s="67">
        <f>IF($F80="","",IFERROR(INDEX(Employee_Master!$C$5:$C$204,MATCH($F80,Employee_Master!$B$5:$B$204,0)),""))</f>
        <v/>
      </c>
      <c r="H80" s="78" t="n"/>
      <c r="I80" s="78" t="n"/>
      <c r="J80" s="67">
        <f>IF($I80="","",IFERROR(INDEX(Action_Status_Map!$B$5:$B$11,MATCH($I80,Action_Status_Map!$A$5:$A$11,0)),""))</f>
        <v/>
      </c>
      <c r="K80" s="82" t="n"/>
      <c r="L80" s="82" t="n"/>
      <c r="M80" s="82" t="n"/>
      <c r="N80" s="83" t="n"/>
      <c r="O80" s="83" t="n"/>
      <c r="P80" s="66">
        <f>IF(OR($N80="",$O80=""),"",$O80-$N80)</f>
        <v/>
      </c>
      <c r="Q80" s="84">
        <f>IF($K80="","",IF($M80&lt;&gt;"",$M80-$K80,TODAY()-$K80))</f>
        <v/>
      </c>
      <c r="R80" s="85">
        <f>IF(OR($L80="",$I80="Completed",$I80="Cancelled"),"",IF(AND($L80&lt;TODAY(),$I80&lt;&gt;"Completed",$I80&lt;&gt;"Cancelled"),"Overdue","On Track"))</f>
        <v/>
      </c>
      <c r="S80" s="65">
        <f>IF($L80="","",TEXT($L80,"yyyy-mm"))</f>
        <v/>
      </c>
      <c r="T80" s="86">
        <f>IF($I80="","",IFERROR(INDEX(Action_Status_Map!$C$5:$C$11,MATCH($I80,Action_Status_Map!$A$5:$A$11,0)),""))</f>
        <v/>
      </c>
      <c r="U80" s="81" t="n"/>
      <c r="V80" s="82" t="n"/>
      <c r="W80" s="65">
        <f>IF(OR($I80&lt;&gt;"Completed",$M80="",$L80=""),"",IF($M80&lt;=$L80,"Yes","No"))</f>
        <v/>
      </c>
      <c r="X80" s="84">
        <f>IF($A80="","",COUNTIF(Task_Steps!$B$5:$B$2004,$A80))</f>
        <v/>
      </c>
      <c r="Y80" s="86">
        <f>IF($X80=0,"",COUNTIFS(Task_Steps!$B$5:$B$2004,$A80,Task_Steps!$H$5:$H$2004,"Completed")/$X80)</f>
        <v/>
      </c>
      <c r="Z80" s="81" t="n"/>
      <c r="AA80" s="81" t="n"/>
      <c r="AB80" s="67">
        <f>IF($F80="","",IFERROR(INDEX(Employee_Master!$E$5:$E$204,MATCH($F80,Employee_Master!$B$5:$B$204,0)),""))</f>
        <v/>
      </c>
      <c r="AC80" s="65">
        <f>IF(OR($A80="",$AB80=""),"",IF(OR($I80="Completed",$I80="Cancelled"),"Closed - in Manager Report","Active - in Manager Report"))</f>
        <v/>
      </c>
      <c r="AD80" s="81">
        <f>IF($A80="","",IFERROR(TEXTJOIN(", ",TRUE,FILTER(Task_Steps!$A$5:$A$2004,Task_Steps!$B$5:$B$2004=$A80)),""))</f>
        <v/>
      </c>
      <c r="AE80" s="84">
        <f>IF($A80="","",COUNTIFS(Task_Steps!$B$5:$B$2004,$A80,Task_Steps!$H$5:$H$2004,"&lt;&gt;Completed",Task_Steps!$H$5:$H$2004,"&lt;&gt;Cancelled"))</f>
        <v/>
      </c>
      <c r="AF80" s="81">
        <f>IF(OR($B80="",$A80=""),"",$B80&amp;" | "&amp;$A80)</f>
        <v/>
      </c>
    </row>
    <row r="81" ht="15" customHeight="1" s="40">
      <c r="A81" s="65">
        <f>IF(COUNTA(B81:F81)=0,"","TSK-"&amp;TEXT(ROW()-4,"0000"))</f>
        <v/>
      </c>
      <c r="B81" s="78" t="n"/>
      <c r="C81" s="78" t="n"/>
      <c r="D81" s="81" t="n"/>
      <c r="E81" s="81" t="n"/>
      <c r="F81" s="78" t="n"/>
      <c r="G81" s="67">
        <f>IF($F81="","",IFERROR(INDEX(Employee_Master!$C$5:$C$204,MATCH($F81,Employee_Master!$B$5:$B$204,0)),""))</f>
        <v/>
      </c>
      <c r="H81" s="78" t="n"/>
      <c r="I81" s="78" t="n"/>
      <c r="J81" s="67">
        <f>IF($I81="","",IFERROR(INDEX(Action_Status_Map!$B$5:$B$11,MATCH($I81,Action_Status_Map!$A$5:$A$11,0)),""))</f>
        <v/>
      </c>
      <c r="K81" s="82" t="n"/>
      <c r="L81" s="82" t="n"/>
      <c r="M81" s="82" t="n"/>
      <c r="N81" s="83" t="n"/>
      <c r="O81" s="83" t="n"/>
      <c r="P81" s="66">
        <f>IF(OR($N81="",$O81=""),"",$O81-$N81)</f>
        <v/>
      </c>
      <c r="Q81" s="84">
        <f>IF($K81="","",IF($M81&lt;&gt;"",$M81-$K81,TODAY()-$K81))</f>
        <v/>
      </c>
      <c r="R81" s="85">
        <f>IF(OR($L81="",$I81="Completed",$I81="Cancelled"),"",IF(AND($L81&lt;TODAY(),$I81&lt;&gt;"Completed",$I81&lt;&gt;"Cancelled"),"Overdue","On Track"))</f>
        <v/>
      </c>
      <c r="S81" s="65">
        <f>IF($L81="","",TEXT($L81,"yyyy-mm"))</f>
        <v/>
      </c>
      <c r="T81" s="86">
        <f>IF($I81="","",IFERROR(INDEX(Action_Status_Map!$C$5:$C$11,MATCH($I81,Action_Status_Map!$A$5:$A$11,0)),""))</f>
        <v/>
      </c>
      <c r="U81" s="81" t="n"/>
      <c r="V81" s="82" t="n"/>
      <c r="W81" s="65">
        <f>IF(OR($I81&lt;&gt;"Completed",$M81="",$L81=""),"",IF($M81&lt;=$L81,"Yes","No"))</f>
        <v/>
      </c>
      <c r="X81" s="84">
        <f>IF($A81="","",COUNTIF(Task_Steps!$B$5:$B$2004,$A81))</f>
        <v/>
      </c>
      <c r="Y81" s="86">
        <f>IF($X81=0,"",COUNTIFS(Task_Steps!$B$5:$B$2004,$A81,Task_Steps!$H$5:$H$2004,"Completed")/$X81)</f>
        <v/>
      </c>
      <c r="Z81" s="81" t="n"/>
      <c r="AA81" s="81" t="n"/>
      <c r="AB81" s="67">
        <f>IF($F81="","",IFERROR(INDEX(Employee_Master!$E$5:$E$204,MATCH($F81,Employee_Master!$B$5:$B$204,0)),""))</f>
        <v/>
      </c>
      <c r="AC81" s="65">
        <f>IF(OR($A81="",$AB81=""),"",IF(OR($I81="Completed",$I81="Cancelled"),"Closed - in Manager Report","Active - in Manager Report"))</f>
        <v/>
      </c>
      <c r="AD81" s="81">
        <f>IF($A81="","",IFERROR(TEXTJOIN(", ",TRUE,FILTER(Task_Steps!$A$5:$A$2004,Task_Steps!$B$5:$B$2004=$A81)),""))</f>
        <v/>
      </c>
      <c r="AE81" s="84">
        <f>IF($A81="","",COUNTIFS(Task_Steps!$B$5:$B$2004,$A81,Task_Steps!$H$5:$H$2004,"&lt;&gt;Completed",Task_Steps!$H$5:$H$2004,"&lt;&gt;Cancelled"))</f>
        <v/>
      </c>
      <c r="AF81" s="81">
        <f>IF(OR($B81="",$A81=""),"",$B81&amp;" | "&amp;$A81)</f>
        <v/>
      </c>
    </row>
    <row r="82" ht="15" customHeight="1" s="40">
      <c r="A82" s="65">
        <f>IF(COUNTA(B82:F82)=0,"","TSK-"&amp;TEXT(ROW()-4,"0000"))</f>
        <v/>
      </c>
      <c r="B82" s="78" t="n"/>
      <c r="C82" s="78" t="n"/>
      <c r="D82" s="81" t="n"/>
      <c r="E82" s="81" t="n"/>
      <c r="F82" s="78" t="n"/>
      <c r="G82" s="67">
        <f>IF($F82="","",IFERROR(INDEX(Employee_Master!$C$5:$C$204,MATCH($F82,Employee_Master!$B$5:$B$204,0)),""))</f>
        <v/>
      </c>
      <c r="H82" s="78" t="n"/>
      <c r="I82" s="78" t="n"/>
      <c r="J82" s="67">
        <f>IF($I82="","",IFERROR(INDEX(Action_Status_Map!$B$5:$B$11,MATCH($I82,Action_Status_Map!$A$5:$A$11,0)),""))</f>
        <v/>
      </c>
      <c r="K82" s="82" t="n"/>
      <c r="L82" s="82" t="n"/>
      <c r="M82" s="82" t="n"/>
      <c r="N82" s="83" t="n"/>
      <c r="O82" s="83" t="n"/>
      <c r="P82" s="66">
        <f>IF(OR($N82="",$O82=""),"",$O82-$N82)</f>
        <v/>
      </c>
      <c r="Q82" s="84">
        <f>IF($K82="","",IF($M82&lt;&gt;"",$M82-$K82,TODAY()-$K82))</f>
        <v/>
      </c>
      <c r="R82" s="85">
        <f>IF(OR($L82="",$I82="Completed",$I82="Cancelled"),"",IF(AND($L82&lt;TODAY(),$I82&lt;&gt;"Completed",$I82&lt;&gt;"Cancelled"),"Overdue","On Track"))</f>
        <v/>
      </c>
      <c r="S82" s="65">
        <f>IF($L82="","",TEXT($L82,"yyyy-mm"))</f>
        <v/>
      </c>
      <c r="T82" s="86">
        <f>IF($I82="","",IFERROR(INDEX(Action_Status_Map!$C$5:$C$11,MATCH($I82,Action_Status_Map!$A$5:$A$11,0)),""))</f>
        <v/>
      </c>
      <c r="U82" s="81" t="n"/>
      <c r="V82" s="82" t="n"/>
      <c r="W82" s="65">
        <f>IF(OR($I82&lt;&gt;"Completed",$M82="",$L82=""),"",IF($M82&lt;=$L82,"Yes","No"))</f>
        <v/>
      </c>
      <c r="X82" s="84">
        <f>IF($A82="","",COUNTIF(Task_Steps!$B$5:$B$2004,$A82))</f>
        <v/>
      </c>
      <c r="Y82" s="86">
        <f>IF($X82=0,"",COUNTIFS(Task_Steps!$B$5:$B$2004,$A82,Task_Steps!$H$5:$H$2004,"Completed")/$X82)</f>
        <v/>
      </c>
      <c r="Z82" s="81" t="n"/>
      <c r="AA82" s="81" t="n"/>
      <c r="AB82" s="67">
        <f>IF($F82="","",IFERROR(INDEX(Employee_Master!$E$5:$E$204,MATCH($F82,Employee_Master!$B$5:$B$204,0)),""))</f>
        <v/>
      </c>
      <c r="AC82" s="65">
        <f>IF(OR($A82="",$AB82=""),"",IF(OR($I82="Completed",$I82="Cancelled"),"Closed - in Manager Report","Active - in Manager Report"))</f>
        <v/>
      </c>
      <c r="AD82" s="81">
        <f>IF($A82="","",IFERROR(TEXTJOIN(", ",TRUE,FILTER(Task_Steps!$A$5:$A$2004,Task_Steps!$B$5:$B$2004=$A82)),""))</f>
        <v/>
      </c>
      <c r="AE82" s="84">
        <f>IF($A82="","",COUNTIFS(Task_Steps!$B$5:$B$2004,$A82,Task_Steps!$H$5:$H$2004,"&lt;&gt;Completed",Task_Steps!$H$5:$H$2004,"&lt;&gt;Cancelled"))</f>
        <v/>
      </c>
      <c r="AF82" s="81">
        <f>IF(OR($B82="",$A82=""),"",$B82&amp;" | "&amp;$A82)</f>
        <v/>
      </c>
    </row>
    <row r="83" ht="15" customHeight="1" s="40">
      <c r="A83" s="65">
        <f>IF(COUNTA(B83:F83)=0,"","TSK-"&amp;TEXT(ROW()-4,"0000"))</f>
        <v/>
      </c>
      <c r="B83" s="78" t="n"/>
      <c r="C83" s="78" t="n"/>
      <c r="D83" s="81" t="n"/>
      <c r="E83" s="81" t="n"/>
      <c r="F83" s="78" t="n"/>
      <c r="G83" s="67">
        <f>IF($F83="","",IFERROR(INDEX(Employee_Master!$C$5:$C$204,MATCH($F83,Employee_Master!$B$5:$B$204,0)),""))</f>
        <v/>
      </c>
      <c r="H83" s="78" t="n"/>
      <c r="I83" s="78" t="n"/>
      <c r="J83" s="67">
        <f>IF($I83="","",IFERROR(INDEX(Action_Status_Map!$B$5:$B$11,MATCH($I83,Action_Status_Map!$A$5:$A$11,0)),""))</f>
        <v/>
      </c>
      <c r="K83" s="82" t="n"/>
      <c r="L83" s="82" t="n"/>
      <c r="M83" s="82" t="n"/>
      <c r="N83" s="83" t="n"/>
      <c r="O83" s="83" t="n"/>
      <c r="P83" s="66">
        <f>IF(OR($N83="",$O83=""),"",$O83-$N83)</f>
        <v/>
      </c>
      <c r="Q83" s="84">
        <f>IF($K83="","",IF($M83&lt;&gt;"",$M83-$K83,TODAY()-$K83))</f>
        <v/>
      </c>
      <c r="R83" s="85">
        <f>IF(OR($L83="",$I83="Completed",$I83="Cancelled"),"",IF(AND($L83&lt;TODAY(),$I83&lt;&gt;"Completed",$I83&lt;&gt;"Cancelled"),"Overdue","On Track"))</f>
        <v/>
      </c>
      <c r="S83" s="65">
        <f>IF($L83="","",TEXT($L83,"yyyy-mm"))</f>
        <v/>
      </c>
      <c r="T83" s="86">
        <f>IF($I83="","",IFERROR(INDEX(Action_Status_Map!$C$5:$C$11,MATCH($I83,Action_Status_Map!$A$5:$A$11,0)),""))</f>
        <v/>
      </c>
      <c r="U83" s="81" t="n"/>
      <c r="V83" s="82" t="n"/>
      <c r="W83" s="65">
        <f>IF(OR($I83&lt;&gt;"Completed",$M83="",$L83=""),"",IF($M83&lt;=$L83,"Yes","No"))</f>
        <v/>
      </c>
      <c r="X83" s="84">
        <f>IF($A83="","",COUNTIF(Task_Steps!$B$5:$B$2004,$A83))</f>
        <v/>
      </c>
      <c r="Y83" s="86">
        <f>IF($X83=0,"",COUNTIFS(Task_Steps!$B$5:$B$2004,$A83,Task_Steps!$H$5:$H$2004,"Completed")/$X83)</f>
        <v/>
      </c>
      <c r="Z83" s="81" t="n"/>
      <c r="AA83" s="81" t="n"/>
      <c r="AB83" s="67">
        <f>IF($F83="","",IFERROR(INDEX(Employee_Master!$E$5:$E$204,MATCH($F83,Employee_Master!$B$5:$B$204,0)),""))</f>
        <v/>
      </c>
      <c r="AC83" s="65">
        <f>IF(OR($A83="",$AB83=""),"",IF(OR($I83="Completed",$I83="Cancelled"),"Closed - in Manager Report","Active - in Manager Report"))</f>
        <v/>
      </c>
      <c r="AD83" s="81">
        <f>IF($A83="","",IFERROR(TEXTJOIN(", ",TRUE,FILTER(Task_Steps!$A$5:$A$2004,Task_Steps!$B$5:$B$2004=$A83)),""))</f>
        <v/>
      </c>
      <c r="AE83" s="84">
        <f>IF($A83="","",COUNTIFS(Task_Steps!$B$5:$B$2004,$A83,Task_Steps!$H$5:$H$2004,"&lt;&gt;Completed",Task_Steps!$H$5:$H$2004,"&lt;&gt;Cancelled"))</f>
        <v/>
      </c>
      <c r="AF83" s="81">
        <f>IF(OR($B83="",$A83=""),"",$B83&amp;" | "&amp;$A83)</f>
        <v/>
      </c>
    </row>
    <row r="84" ht="15" customHeight="1" s="40">
      <c r="A84" s="65">
        <f>IF(COUNTA(B84:F84)=0,"","TSK-"&amp;TEXT(ROW()-4,"0000"))</f>
        <v/>
      </c>
      <c r="B84" s="78" t="n"/>
      <c r="C84" s="78" t="n"/>
      <c r="D84" s="81" t="n"/>
      <c r="E84" s="81" t="n"/>
      <c r="F84" s="78" t="n"/>
      <c r="G84" s="67">
        <f>IF($F84="","",IFERROR(INDEX(Employee_Master!$C$5:$C$204,MATCH($F84,Employee_Master!$B$5:$B$204,0)),""))</f>
        <v/>
      </c>
      <c r="H84" s="78" t="n"/>
      <c r="I84" s="78" t="n"/>
      <c r="J84" s="67">
        <f>IF($I84="","",IFERROR(INDEX(Action_Status_Map!$B$5:$B$11,MATCH($I84,Action_Status_Map!$A$5:$A$11,0)),""))</f>
        <v/>
      </c>
      <c r="K84" s="82" t="n"/>
      <c r="L84" s="82" t="n"/>
      <c r="M84" s="82" t="n"/>
      <c r="N84" s="83" t="n"/>
      <c r="O84" s="83" t="n"/>
      <c r="P84" s="66">
        <f>IF(OR($N84="",$O84=""),"",$O84-$N84)</f>
        <v/>
      </c>
      <c r="Q84" s="84">
        <f>IF($K84="","",IF($M84&lt;&gt;"",$M84-$K84,TODAY()-$K84))</f>
        <v/>
      </c>
      <c r="R84" s="85">
        <f>IF(OR($L84="",$I84="Completed",$I84="Cancelled"),"",IF(AND($L84&lt;TODAY(),$I84&lt;&gt;"Completed",$I84&lt;&gt;"Cancelled"),"Overdue","On Track"))</f>
        <v/>
      </c>
      <c r="S84" s="65">
        <f>IF($L84="","",TEXT($L84,"yyyy-mm"))</f>
        <v/>
      </c>
      <c r="T84" s="86">
        <f>IF($I84="","",IFERROR(INDEX(Action_Status_Map!$C$5:$C$11,MATCH($I84,Action_Status_Map!$A$5:$A$11,0)),""))</f>
        <v/>
      </c>
      <c r="U84" s="81" t="n"/>
      <c r="V84" s="82" t="n"/>
      <c r="W84" s="65">
        <f>IF(OR($I84&lt;&gt;"Completed",$M84="",$L84=""),"",IF($M84&lt;=$L84,"Yes","No"))</f>
        <v/>
      </c>
      <c r="X84" s="84">
        <f>IF($A84="","",COUNTIF(Task_Steps!$B$5:$B$2004,$A84))</f>
        <v/>
      </c>
      <c r="Y84" s="86">
        <f>IF($X84=0,"",COUNTIFS(Task_Steps!$B$5:$B$2004,$A84,Task_Steps!$H$5:$H$2004,"Completed")/$X84)</f>
        <v/>
      </c>
      <c r="Z84" s="81" t="n"/>
      <c r="AA84" s="81" t="n"/>
      <c r="AB84" s="67">
        <f>IF($F84="","",IFERROR(INDEX(Employee_Master!$E$5:$E$204,MATCH($F84,Employee_Master!$B$5:$B$204,0)),""))</f>
        <v/>
      </c>
      <c r="AC84" s="65">
        <f>IF(OR($A84="",$AB84=""),"",IF(OR($I84="Completed",$I84="Cancelled"),"Closed - in Manager Report","Active - in Manager Report"))</f>
        <v/>
      </c>
      <c r="AD84" s="81">
        <f>IF($A84="","",IFERROR(TEXTJOIN(", ",TRUE,FILTER(Task_Steps!$A$5:$A$2004,Task_Steps!$B$5:$B$2004=$A84)),""))</f>
        <v/>
      </c>
      <c r="AE84" s="84">
        <f>IF($A84="","",COUNTIFS(Task_Steps!$B$5:$B$2004,$A84,Task_Steps!$H$5:$H$2004,"&lt;&gt;Completed",Task_Steps!$H$5:$H$2004,"&lt;&gt;Cancelled"))</f>
        <v/>
      </c>
      <c r="AF84" s="81">
        <f>IF(OR($B84="",$A84=""),"",$B84&amp;" | "&amp;$A84)</f>
        <v/>
      </c>
    </row>
    <row r="85" ht="15" customHeight="1" s="40">
      <c r="A85" s="65">
        <f>IF(COUNTA(B85:F85)=0,"","TSK-"&amp;TEXT(ROW()-4,"0000"))</f>
        <v/>
      </c>
      <c r="B85" s="78" t="n"/>
      <c r="C85" s="78" t="n"/>
      <c r="D85" s="81" t="n"/>
      <c r="E85" s="81" t="n"/>
      <c r="F85" s="78" t="n"/>
      <c r="G85" s="67">
        <f>IF($F85="","",IFERROR(INDEX(Employee_Master!$C$5:$C$204,MATCH($F85,Employee_Master!$B$5:$B$204,0)),""))</f>
        <v/>
      </c>
      <c r="H85" s="78" t="n"/>
      <c r="I85" s="78" t="n"/>
      <c r="J85" s="67">
        <f>IF($I85="","",IFERROR(INDEX(Action_Status_Map!$B$5:$B$11,MATCH($I85,Action_Status_Map!$A$5:$A$11,0)),""))</f>
        <v/>
      </c>
      <c r="K85" s="82" t="n"/>
      <c r="L85" s="82" t="n"/>
      <c r="M85" s="82" t="n"/>
      <c r="N85" s="83" t="n"/>
      <c r="O85" s="83" t="n"/>
      <c r="P85" s="66">
        <f>IF(OR($N85="",$O85=""),"",$O85-$N85)</f>
        <v/>
      </c>
      <c r="Q85" s="84">
        <f>IF($K85="","",IF($M85&lt;&gt;"",$M85-$K85,TODAY()-$K85))</f>
        <v/>
      </c>
      <c r="R85" s="85">
        <f>IF(OR($L85="",$I85="Completed",$I85="Cancelled"),"",IF(AND($L85&lt;TODAY(),$I85&lt;&gt;"Completed",$I85&lt;&gt;"Cancelled"),"Overdue","On Track"))</f>
        <v/>
      </c>
      <c r="S85" s="65">
        <f>IF($L85="","",TEXT($L85,"yyyy-mm"))</f>
        <v/>
      </c>
      <c r="T85" s="86">
        <f>IF($I85="","",IFERROR(INDEX(Action_Status_Map!$C$5:$C$11,MATCH($I85,Action_Status_Map!$A$5:$A$11,0)),""))</f>
        <v/>
      </c>
      <c r="U85" s="81" t="n"/>
      <c r="V85" s="82" t="n"/>
      <c r="W85" s="65">
        <f>IF(OR($I85&lt;&gt;"Completed",$M85="",$L85=""),"",IF($M85&lt;=$L85,"Yes","No"))</f>
        <v/>
      </c>
      <c r="X85" s="84">
        <f>IF($A85="","",COUNTIF(Task_Steps!$B$5:$B$2004,$A85))</f>
        <v/>
      </c>
      <c r="Y85" s="86">
        <f>IF($X85=0,"",COUNTIFS(Task_Steps!$B$5:$B$2004,$A85,Task_Steps!$H$5:$H$2004,"Completed")/$X85)</f>
        <v/>
      </c>
      <c r="Z85" s="81" t="n"/>
      <c r="AA85" s="81" t="n"/>
      <c r="AB85" s="67">
        <f>IF($F85="","",IFERROR(INDEX(Employee_Master!$E$5:$E$204,MATCH($F85,Employee_Master!$B$5:$B$204,0)),""))</f>
        <v/>
      </c>
      <c r="AC85" s="65">
        <f>IF(OR($A85="",$AB85=""),"",IF(OR($I85="Completed",$I85="Cancelled"),"Closed - in Manager Report","Active - in Manager Report"))</f>
        <v/>
      </c>
      <c r="AD85" s="81">
        <f>IF($A85="","",IFERROR(TEXTJOIN(", ",TRUE,FILTER(Task_Steps!$A$5:$A$2004,Task_Steps!$B$5:$B$2004=$A85)),""))</f>
        <v/>
      </c>
      <c r="AE85" s="84">
        <f>IF($A85="","",COUNTIFS(Task_Steps!$B$5:$B$2004,$A85,Task_Steps!$H$5:$H$2004,"&lt;&gt;Completed",Task_Steps!$H$5:$H$2004,"&lt;&gt;Cancelled"))</f>
        <v/>
      </c>
      <c r="AF85" s="81">
        <f>IF(OR($B85="",$A85=""),"",$B85&amp;" | "&amp;$A85)</f>
        <v/>
      </c>
    </row>
    <row r="86" ht="15" customHeight="1" s="40">
      <c r="A86" s="65">
        <f>IF(COUNTA(B86:F86)=0,"","TSK-"&amp;TEXT(ROW()-4,"0000"))</f>
        <v/>
      </c>
      <c r="B86" s="78" t="n"/>
      <c r="C86" s="78" t="n"/>
      <c r="D86" s="81" t="n"/>
      <c r="E86" s="81" t="n"/>
      <c r="F86" s="78" t="n"/>
      <c r="G86" s="67">
        <f>IF($F86="","",IFERROR(INDEX(Employee_Master!$C$5:$C$204,MATCH($F86,Employee_Master!$B$5:$B$204,0)),""))</f>
        <v/>
      </c>
      <c r="H86" s="78" t="n"/>
      <c r="I86" s="78" t="n"/>
      <c r="J86" s="67">
        <f>IF($I86="","",IFERROR(INDEX(Action_Status_Map!$B$5:$B$11,MATCH($I86,Action_Status_Map!$A$5:$A$11,0)),""))</f>
        <v/>
      </c>
      <c r="K86" s="82" t="n"/>
      <c r="L86" s="82" t="n"/>
      <c r="M86" s="82" t="n"/>
      <c r="N86" s="83" t="n"/>
      <c r="O86" s="83" t="n"/>
      <c r="P86" s="66">
        <f>IF(OR($N86="",$O86=""),"",$O86-$N86)</f>
        <v/>
      </c>
      <c r="Q86" s="84">
        <f>IF($K86="","",IF($M86&lt;&gt;"",$M86-$K86,TODAY()-$K86))</f>
        <v/>
      </c>
      <c r="R86" s="85">
        <f>IF(OR($L86="",$I86="Completed",$I86="Cancelled"),"",IF(AND($L86&lt;TODAY(),$I86&lt;&gt;"Completed",$I86&lt;&gt;"Cancelled"),"Overdue","On Track"))</f>
        <v/>
      </c>
      <c r="S86" s="65">
        <f>IF($L86="","",TEXT($L86,"yyyy-mm"))</f>
        <v/>
      </c>
      <c r="T86" s="86">
        <f>IF($I86="","",IFERROR(INDEX(Action_Status_Map!$C$5:$C$11,MATCH($I86,Action_Status_Map!$A$5:$A$11,0)),""))</f>
        <v/>
      </c>
      <c r="U86" s="81" t="n"/>
      <c r="V86" s="82" t="n"/>
      <c r="W86" s="65">
        <f>IF(OR($I86&lt;&gt;"Completed",$M86="",$L86=""),"",IF($M86&lt;=$L86,"Yes","No"))</f>
        <v/>
      </c>
      <c r="X86" s="84">
        <f>IF($A86="","",COUNTIF(Task_Steps!$B$5:$B$2004,$A86))</f>
        <v/>
      </c>
      <c r="Y86" s="86">
        <f>IF($X86=0,"",COUNTIFS(Task_Steps!$B$5:$B$2004,$A86,Task_Steps!$H$5:$H$2004,"Completed")/$X86)</f>
        <v/>
      </c>
      <c r="Z86" s="81" t="n"/>
      <c r="AA86" s="81" t="n"/>
      <c r="AB86" s="67">
        <f>IF($F86="","",IFERROR(INDEX(Employee_Master!$E$5:$E$204,MATCH($F86,Employee_Master!$B$5:$B$204,0)),""))</f>
        <v/>
      </c>
      <c r="AC86" s="65">
        <f>IF(OR($A86="",$AB86=""),"",IF(OR($I86="Completed",$I86="Cancelled"),"Closed - in Manager Report","Active - in Manager Report"))</f>
        <v/>
      </c>
      <c r="AD86" s="81">
        <f>IF($A86="","",IFERROR(TEXTJOIN(", ",TRUE,FILTER(Task_Steps!$A$5:$A$2004,Task_Steps!$B$5:$B$2004=$A86)),""))</f>
        <v/>
      </c>
      <c r="AE86" s="84">
        <f>IF($A86="","",COUNTIFS(Task_Steps!$B$5:$B$2004,$A86,Task_Steps!$H$5:$H$2004,"&lt;&gt;Completed",Task_Steps!$H$5:$H$2004,"&lt;&gt;Cancelled"))</f>
        <v/>
      </c>
      <c r="AF86" s="81">
        <f>IF(OR($B86="",$A86=""),"",$B86&amp;" | "&amp;$A86)</f>
        <v/>
      </c>
    </row>
    <row r="87" ht="15" customHeight="1" s="40">
      <c r="A87" s="65">
        <f>IF(COUNTA(B87:F87)=0,"","TSK-"&amp;TEXT(ROW()-4,"0000"))</f>
        <v/>
      </c>
      <c r="B87" s="78" t="n"/>
      <c r="C87" s="78" t="n"/>
      <c r="D87" s="81" t="n"/>
      <c r="E87" s="81" t="n"/>
      <c r="F87" s="78" t="n"/>
      <c r="G87" s="67">
        <f>IF($F87="","",IFERROR(INDEX(Employee_Master!$C$5:$C$204,MATCH($F87,Employee_Master!$B$5:$B$204,0)),""))</f>
        <v/>
      </c>
      <c r="H87" s="78" t="n"/>
      <c r="I87" s="78" t="n"/>
      <c r="J87" s="67">
        <f>IF($I87="","",IFERROR(INDEX(Action_Status_Map!$B$5:$B$11,MATCH($I87,Action_Status_Map!$A$5:$A$11,0)),""))</f>
        <v/>
      </c>
      <c r="K87" s="82" t="n"/>
      <c r="L87" s="82" t="n"/>
      <c r="M87" s="82" t="n"/>
      <c r="N87" s="83" t="n"/>
      <c r="O87" s="83" t="n"/>
      <c r="P87" s="66">
        <f>IF(OR($N87="",$O87=""),"",$O87-$N87)</f>
        <v/>
      </c>
      <c r="Q87" s="84">
        <f>IF($K87="","",IF($M87&lt;&gt;"",$M87-$K87,TODAY()-$K87))</f>
        <v/>
      </c>
      <c r="R87" s="85">
        <f>IF(OR($L87="",$I87="Completed",$I87="Cancelled"),"",IF(AND($L87&lt;TODAY(),$I87&lt;&gt;"Completed",$I87&lt;&gt;"Cancelled"),"Overdue","On Track"))</f>
        <v/>
      </c>
      <c r="S87" s="65">
        <f>IF($L87="","",TEXT($L87,"yyyy-mm"))</f>
        <v/>
      </c>
      <c r="T87" s="86">
        <f>IF($I87="","",IFERROR(INDEX(Action_Status_Map!$C$5:$C$11,MATCH($I87,Action_Status_Map!$A$5:$A$11,0)),""))</f>
        <v/>
      </c>
      <c r="U87" s="81" t="n"/>
      <c r="V87" s="82" t="n"/>
      <c r="W87" s="65">
        <f>IF(OR($I87&lt;&gt;"Completed",$M87="",$L87=""),"",IF($M87&lt;=$L87,"Yes","No"))</f>
        <v/>
      </c>
      <c r="X87" s="84">
        <f>IF($A87="","",COUNTIF(Task_Steps!$B$5:$B$2004,$A87))</f>
        <v/>
      </c>
      <c r="Y87" s="86">
        <f>IF($X87=0,"",COUNTIFS(Task_Steps!$B$5:$B$2004,$A87,Task_Steps!$H$5:$H$2004,"Completed")/$X87)</f>
        <v/>
      </c>
      <c r="Z87" s="81" t="n"/>
      <c r="AA87" s="81" t="n"/>
      <c r="AB87" s="67">
        <f>IF($F87="","",IFERROR(INDEX(Employee_Master!$E$5:$E$204,MATCH($F87,Employee_Master!$B$5:$B$204,0)),""))</f>
        <v/>
      </c>
      <c r="AC87" s="65">
        <f>IF(OR($A87="",$AB87=""),"",IF(OR($I87="Completed",$I87="Cancelled"),"Closed - in Manager Report","Active - in Manager Report"))</f>
        <v/>
      </c>
      <c r="AD87" s="81">
        <f>IF($A87="","",IFERROR(TEXTJOIN(", ",TRUE,FILTER(Task_Steps!$A$5:$A$2004,Task_Steps!$B$5:$B$2004=$A87)),""))</f>
        <v/>
      </c>
      <c r="AE87" s="84">
        <f>IF($A87="","",COUNTIFS(Task_Steps!$B$5:$B$2004,$A87,Task_Steps!$H$5:$H$2004,"&lt;&gt;Completed",Task_Steps!$H$5:$H$2004,"&lt;&gt;Cancelled"))</f>
        <v/>
      </c>
      <c r="AF87" s="81">
        <f>IF(OR($B87="",$A87=""),"",$B87&amp;" | "&amp;$A87)</f>
        <v/>
      </c>
    </row>
    <row r="88" ht="15" customHeight="1" s="40">
      <c r="A88" s="65">
        <f>IF(COUNTA(B88:F88)=0,"","TSK-"&amp;TEXT(ROW()-4,"0000"))</f>
        <v/>
      </c>
      <c r="B88" s="78" t="n"/>
      <c r="C88" s="78" t="n"/>
      <c r="D88" s="81" t="n"/>
      <c r="E88" s="81" t="n"/>
      <c r="F88" s="78" t="n"/>
      <c r="G88" s="67">
        <f>IF($F88="","",IFERROR(INDEX(Employee_Master!$C$5:$C$204,MATCH($F88,Employee_Master!$B$5:$B$204,0)),""))</f>
        <v/>
      </c>
      <c r="H88" s="78" t="n"/>
      <c r="I88" s="78" t="n"/>
      <c r="J88" s="67">
        <f>IF($I88="","",IFERROR(INDEX(Action_Status_Map!$B$5:$B$11,MATCH($I88,Action_Status_Map!$A$5:$A$11,0)),""))</f>
        <v/>
      </c>
      <c r="K88" s="82" t="n"/>
      <c r="L88" s="82" t="n"/>
      <c r="M88" s="82" t="n"/>
      <c r="N88" s="83" t="n"/>
      <c r="O88" s="83" t="n"/>
      <c r="P88" s="66">
        <f>IF(OR($N88="",$O88=""),"",$O88-$N88)</f>
        <v/>
      </c>
      <c r="Q88" s="84">
        <f>IF($K88="","",IF($M88&lt;&gt;"",$M88-$K88,TODAY()-$K88))</f>
        <v/>
      </c>
      <c r="R88" s="85">
        <f>IF(OR($L88="",$I88="Completed",$I88="Cancelled"),"",IF(AND($L88&lt;TODAY(),$I88&lt;&gt;"Completed",$I88&lt;&gt;"Cancelled"),"Overdue","On Track"))</f>
        <v/>
      </c>
      <c r="S88" s="65">
        <f>IF($L88="","",TEXT($L88,"yyyy-mm"))</f>
        <v/>
      </c>
      <c r="T88" s="86">
        <f>IF($I88="","",IFERROR(INDEX(Action_Status_Map!$C$5:$C$11,MATCH($I88,Action_Status_Map!$A$5:$A$11,0)),""))</f>
        <v/>
      </c>
      <c r="U88" s="81" t="n"/>
      <c r="V88" s="82" t="n"/>
      <c r="W88" s="65">
        <f>IF(OR($I88&lt;&gt;"Completed",$M88="",$L88=""),"",IF($M88&lt;=$L88,"Yes","No"))</f>
        <v/>
      </c>
      <c r="X88" s="84">
        <f>IF($A88="","",COUNTIF(Task_Steps!$B$5:$B$2004,$A88))</f>
        <v/>
      </c>
      <c r="Y88" s="86">
        <f>IF($X88=0,"",COUNTIFS(Task_Steps!$B$5:$B$2004,$A88,Task_Steps!$H$5:$H$2004,"Completed")/$X88)</f>
        <v/>
      </c>
      <c r="Z88" s="81" t="n"/>
      <c r="AA88" s="81" t="n"/>
      <c r="AB88" s="67">
        <f>IF($F88="","",IFERROR(INDEX(Employee_Master!$E$5:$E$204,MATCH($F88,Employee_Master!$B$5:$B$204,0)),""))</f>
        <v/>
      </c>
      <c r="AC88" s="65">
        <f>IF(OR($A88="",$AB88=""),"",IF(OR($I88="Completed",$I88="Cancelled"),"Closed - in Manager Report","Active - in Manager Report"))</f>
        <v/>
      </c>
      <c r="AD88" s="81">
        <f>IF($A88="","",IFERROR(TEXTJOIN(", ",TRUE,FILTER(Task_Steps!$A$5:$A$2004,Task_Steps!$B$5:$B$2004=$A88)),""))</f>
        <v/>
      </c>
      <c r="AE88" s="84">
        <f>IF($A88="","",COUNTIFS(Task_Steps!$B$5:$B$2004,$A88,Task_Steps!$H$5:$H$2004,"&lt;&gt;Completed",Task_Steps!$H$5:$H$2004,"&lt;&gt;Cancelled"))</f>
        <v/>
      </c>
      <c r="AF88" s="81">
        <f>IF(OR($B88="",$A88=""),"",$B88&amp;" | "&amp;$A88)</f>
        <v/>
      </c>
    </row>
    <row r="89" ht="15" customHeight="1" s="40">
      <c r="A89" s="65">
        <f>IF(COUNTA(B89:F89)=0,"","TSK-"&amp;TEXT(ROW()-4,"0000"))</f>
        <v/>
      </c>
      <c r="B89" s="78" t="n"/>
      <c r="C89" s="78" t="n"/>
      <c r="D89" s="81" t="n"/>
      <c r="E89" s="81" t="n"/>
      <c r="F89" s="78" t="n"/>
      <c r="G89" s="67">
        <f>IF($F89="","",IFERROR(INDEX(Employee_Master!$C$5:$C$204,MATCH($F89,Employee_Master!$B$5:$B$204,0)),""))</f>
        <v/>
      </c>
      <c r="H89" s="78" t="n"/>
      <c r="I89" s="78" t="n"/>
      <c r="J89" s="67">
        <f>IF($I89="","",IFERROR(INDEX(Action_Status_Map!$B$5:$B$11,MATCH($I89,Action_Status_Map!$A$5:$A$11,0)),""))</f>
        <v/>
      </c>
      <c r="K89" s="82" t="n"/>
      <c r="L89" s="82" t="n"/>
      <c r="M89" s="82" t="n"/>
      <c r="N89" s="83" t="n"/>
      <c r="O89" s="83" t="n"/>
      <c r="P89" s="66">
        <f>IF(OR($N89="",$O89=""),"",$O89-$N89)</f>
        <v/>
      </c>
      <c r="Q89" s="84">
        <f>IF($K89="","",IF($M89&lt;&gt;"",$M89-$K89,TODAY()-$K89))</f>
        <v/>
      </c>
      <c r="R89" s="85">
        <f>IF(OR($L89="",$I89="Completed",$I89="Cancelled"),"",IF(AND($L89&lt;TODAY(),$I89&lt;&gt;"Completed",$I89&lt;&gt;"Cancelled"),"Overdue","On Track"))</f>
        <v/>
      </c>
      <c r="S89" s="65">
        <f>IF($L89="","",TEXT($L89,"yyyy-mm"))</f>
        <v/>
      </c>
      <c r="T89" s="86">
        <f>IF($I89="","",IFERROR(INDEX(Action_Status_Map!$C$5:$C$11,MATCH($I89,Action_Status_Map!$A$5:$A$11,0)),""))</f>
        <v/>
      </c>
      <c r="U89" s="81" t="n"/>
      <c r="V89" s="82" t="n"/>
      <c r="W89" s="65">
        <f>IF(OR($I89&lt;&gt;"Completed",$M89="",$L89=""),"",IF($M89&lt;=$L89,"Yes","No"))</f>
        <v/>
      </c>
      <c r="X89" s="84">
        <f>IF($A89="","",COUNTIF(Task_Steps!$B$5:$B$2004,$A89))</f>
        <v/>
      </c>
      <c r="Y89" s="86">
        <f>IF($X89=0,"",COUNTIFS(Task_Steps!$B$5:$B$2004,$A89,Task_Steps!$H$5:$H$2004,"Completed")/$X89)</f>
        <v/>
      </c>
      <c r="Z89" s="81" t="n"/>
      <c r="AA89" s="81" t="n"/>
      <c r="AB89" s="67">
        <f>IF($F89="","",IFERROR(INDEX(Employee_Master!$E$5:$E$204,MATCH($F89,Employee_Master!$B$5:$B$204,0)),""))</f>
        <v/>
      </c>
      <c r="AC89" s="65">
        <f>IF(OR($A89="",$AB89=""),"",IF(OR($I89="Completed",$I89="Cancelled"),"Closed - in Manager Report","Active - in Manager Report"))</f>
        <v/>
      </c>
      <c r="AD89" s="81">
        <f>IF($A89="","",IFERROR(TEXTJOIN(", ",TRUE,FILTER(Task_Steps!$A$5:$A$2004,Task_Steps!$B$5:$B$2004=$A89)),""))</f>
        <v/>
      </c>
      <c r="AE89" s="84">
        <f>IF($A89="","",COUNTIFS(Task_Steps!$B$5:$B$2004,$A89,Task_Steps!$H$5:$H$2004,"&lt;&gt;Completed",Task_Steps!$H$5:$H$2004,"&lt;&gt;Cancelled"))</f>
        <v/>
      </c>
      <c r="AF89" s="81">
        <f>IF(OR($B89="",$A89=""),"",$B89&amp;" | "&amp;$A89)</f>
        <v/>
      </c>
    </row>
    <row r="90" ht="15" customHeight="1" s="40">
      <c r="A90" s="65">
        <f>IF(COUNTA(B90:F90)=0,"","TSK-"&amp;TEXT(ROW()-4,"0000"))</f>
        <v/>
      </c>
      <c r="B90" s="78" t="n"/>
      <c r="C90" s="78" t="n"/>
      <c r="D90" s="81" t="n"/>
      <c r="E90" s="81" t="n"/>
      <c r="F90" s="78" t="n"/>
      <c r="G90" s="67">
        <f>IF($F90="","",IFERROR(INDEX(Employee_Master!$C$5:$C$204,MATCH($F90,Employee_Master!$B$5:$B$204,0)),""))</f>
        <v/>
      </c>
      <c r="H90" s="78" t="n"/>
      <c r="I90" s="78" t="n"/>
      <c r="J90" s="67">
        <f>IF($I90="","",IFERROR(INDEX(Action_Status_Map!$B$5:$B$11,MATCH($I90,Action_Status_Map!$A$5:$A$11,0)),""))</f>
        <v/>
      </c>
      <c r="K90" s="82" t="n"/>
      <c r="L90" s="82" t="n"/>
      <c r="M90" s="82" t="n"/>
      <c r="N90" s="83" t="n"/>
      <c r="O90" s="83" t="n"/>
      <c r="P90" s="66">
        <f>IF(OR($N90="",$O90=""),"",$O90-$N90)</f>
        <v/>
      </c>
      <c r="Q90" s="84">
        <f>IF($K90="","",IF($M90&lt;&gt;"",$M90-$K90,TODAY()-$K90))</f>
        <v/>
      </c>
      <c r="R90" s="85">
        <f>IF(OR($L90="",$I90="Completed",$I90="Cancelled"),"",IF(AND($L90&lt;TODAY(),$I90&lt;&gt;"Completed",$I90&lt;&gt;"Cancelled"),"Overdue","On Track"))</f>
        <v/>
      </c>
      <c r="S90" s="65">
        <f>IF($L90="","",TEXT($L90,"yyyy-mm"))</f>
        <v/>
      </c>
      <c r="T90" s="86">
        <f>IF($I90="","",IFERROR(INDEX(Action_Status_Map!$C$5:$C$11,MATCH($I90,Action_Status_Map!$A$5:$A$11,0)),""))</f>
        <v/>
      </c>
      <c r="U90" s="81" t="n"/>
      <c r="V90" s="82" t="n"/>
      <c r="W90" s="65">
        <f>IF(OR($I90&lt;&gt;"Completed",$M90="",$L90=""),"",IF($M90&lt;=$L90,"Yes","No"))</f>
        <v/>
      </c>
      <c r="X90" s="84">
        <f>IF($A90="","",COUNTIF(Task_Steps!$B$5:$B$2004,$A90))</f>
        <v/>
      </c>
      <c r="Y90" s="86">
        <f>IF($X90=0,"",COUNTIFS(Task_Steps!$B$5:$B$2004,$A90,Task_Steps!$H$5:$H$2004,"Completed")/$X90)</f>
        <v/>
      </c>
      <c r="Z90" s="81" t="n"/>
      <c r="AA90" s="81" t="n"/>
      <c r="AB90" s="67">
        <f>IF($F90="","",IFERROR(INDEX(Employee_Master!$E$5:$E$204,MATCH($F90,Employee_Master!$B$5:$B$204,0)),""))</f>
        <v/>
      </c>
      <c r="AC90" s="65">
        <f>IF(OR($A90="",$AB90=""),"",IF(OR($I90="Completed",$I90="Cancelled"),"Closed - in Manager Report","Active - in Manager Report"))</f>
        <v/>
      </c>
      <c r="AD90" s="81">
        <f>IF($A90="","",IFERROR(TEXTJOIN(", ",TRUE,FILTER(Task_Steps!$A$5:$A$2004,Task_Steps!$B$5:$B$2004=$A90)),""))</f>
        <v/>
      </c>
      <c r="AE90" s="84">
        <f>IF($A90="","",COUNTIFS(Task_Steps!$B$5:$B$2004,$A90,Task_Steps!$H$5:$H$2004,"&lt;&gt;Completed",Task_Steps!$H$5:$H$2004,"&lt;&gt;Cancelled"))</f>
        <v/>
      </c>
      <c r="AF90" s="81">
        <f>IF(OR($B90="",$A90=""),"",$B90&amp;" | "&amp;$A90)</f>
        <v/>
      </c>
    </row>
    <row r="91" ht="15" customHeight="1" s="40">
      <c r="A91" s="65">
        <f>IF(COUNTA(B91:F91)=0,"","TSK-"&amp;TEXT(ROW()-4,"0000"))</f>
        <v/>
      </c>
      <c r="B91" s="78" t="n"/>
      <c r="C91" s="78" t="n"/>
      <c r="D91" s="81" t="n"/>
      <c r="E91" s="81" t="n"/>
      <c r="F91" s="78" t="n"/>
      <c r="G91" s="67">
        <f>IF($F91="","",IFERROR(INDEX(Employee_Master!$C$5:$C$204,MATCH($F91,Employee_Master!$B$5:$B$204,0)),""))</f>
        <v/>
      </c>
      <c r="H91" s="78" t="n"/>
      <c r="I91" s="78" t="n"/>
      <c r="J91" s="67">
        <f>IF($I91="","",IFERROR(INDEX(Action_Status_Map!$B$5:$B$11,MATCH($I91,Action_Status_Map!$A$5:$A$11,0)),""))</f>
        <v/>
      </c>
      <c r="K91" s="82" t="n"/>
      <c r="L91" s="82" t="n"/>
      <c r="M91" s="82" t="n"/>
      <c r="N91" s="83" t="n"/>
      <c r="O91" s="83" t="n"/>
      <c r="P91" s="66">
        <f>IF(OR($N91="",$O91=""),"",$O91-$N91)</f>
        <v/>
      </c>
      <c r="Q91" s="84">
        <f>IF($K91="","",IF($M91&lt;&gt;"",$M91-$K91,TODAY()-$K91))</f>
        <v/>
      </c>
      <c r="R91" s="85">
        <f>IF(OR($L91="",$I91="Completed",$I91="Cancelled"),"",IF(AND($L91&lt;TODAY(),$I91&lt;&gt;"Completed",$I91&lt;&gt;"Cancelled"),"Overdue","On Track"))</f>
        <v/>
      </c>
      <c r="S91" s="65">
        <f>IF($L91="","",TEXT($L91,"yyyy-mm"))</f>
        <v/>
      </c>
      <c r="T91" s="86">
        <f>IF($I91="","",IFERROR(INDEX(Action_Status_Map!$C$5:$C$11,MATCH($I91,Action_Status_Map!$A$5:$A$11,0)),""))</f>
        <v/>
      </c>
      <c r="U91" s="81" t="n"/>
      <c r="V91" s="82" t="n"/>
      <c r="W91" s="65">
        <f>IF(OR($I91&lt;&gt;"Completed",$M91="",$L91=""),"",IF($M91&lt;=$L91,"Yes","No"))</f>
        <v/>
      </c>
      <c r="X91" s="84">
        <f>IF($A91="","",COUNTIF(Task_Steps!$B$5:$B$2004,$A91))</f>
        <v/>
      </c>
      <c r="Y91" s="86">
        <f>IF($X91=0,"",COUNTIFS(Task_Steps!$B$5:$B$2004,$A91,Task_Steps!$H$5:$H$2004,"Completed")/$X91)</f>
        <v/>
      </c>
      <c r="Z91" s="81" t="n"/>
      <c r="AA91" s="81" t="n"/>
      <c r="AB91" s="67">
        <f>IF($F91="","",IFERROR(INDEX(Employee_Master!$E$5:$E$204,MATCH($F91,Employee_Master!$B$5:$B$204,0)),""))</f>
        <v/>
      </c>
      <c r="AC91" s="65">
        <f>IF(OR($A91="",$AB91=""),"",IF(OR($I91="Completed",$I91="Cancelled"),"Closed - in Manager Report","Active - in Manager Report"))</f>
        <v/>
      </c>
      <c r="AD91" s="81">
        <f>IF($A91="","",IFERROR(TEXTJOIN(", ",TRUE,FILTER(Task_Steps!$A$5:$A$2004,Task_Steps!$B$5:$B$2004=$A91)),""))</f>
        <v/>
      </c>
      <c r="AE91" s="84">
        <f>IF($A91="","",COUNTIFS(Task_Steps!$B$5:$B$2004,$A91,Task_Steps!$H$5:$H$2004,"&lt;&gt;Completed",Task_Steps!$H$5:$H$2004,"&lt;&gt;Cancelled"))</f>
        <v/>
      </c>
      <c r="AF91" s="81">
        <f>IF(OR($B91="",$A91=""),"",$B91&amp;" | "&amp;$A91)</f>
        <v/>
      </c>
    </row>
    <row r="92" ht="15" customHeight="1" s="40">
      <c r="A92" s="65">
        <f>IF(COUNTA(B92:F92)=0,"","TSK-"&amp;TEXT(ROW()-4,"0000"))</f>
        <v/>
      </c>
      <c r="B92" s="78" t="n"/>
      <c r="C92" s="78" t="n"/>
      <c r="D92" s="81" t="n"/>
      <c r="E92" s="81" t="n"/>
      <c r="F92" s="78" t="n"/>
      <c r="G92" s="67">
        <f>IF($F92="","",IFERROR(INDEX(Employee_Master!$C$5:$C$204,MATCH($F92,Employee_Master!$B$5:$B$204,0)),""))</f>
        <v/>
      </c>
      <c r="H92" s="78" t="n"/>
      <c r="I92" s="78" t="n"/>
      <c r="J92" s="67">
        <f>IF($I92="","",IFERROR(INDEX(Action_Status_Map!$B$5:$B$11,MATCH($I92,Action_Status_Map!$A$5:$A$11,0)),""))</f>
        <v/>
      </c>
      <c r="K92" s="82" t="n"/>
      <c r="L92" s="82" t="n"/>
      <c r="M92" s="82" t="n"/>
      <c r="N92" s="83" t="n"/>
      <c r="O92" s="83" t="n"/>
      <c r="P92" s="66">
        <f>IF(OR($N92="",$O92=""),"",$O92-$N92)</f>
        <v/>
      </c>
      <c r="Q92" s="84">
        <f>IF($K92="","",IF($M92&lt;&gt;"",$M92-$K92,TODAY()-$K92))</f>
        <v/>
      </c>
      <c r="R92" s="85">
        <f>IF(OR($L92="",$I92="Completed",$I92="Cancelled"),"",IF(AND($L92&lt;TODAY(),$I92&lt;&gt;"Completed",$I92&lt;&gt;"Cancelled"),"Overdue","On Track"))</f>
        <v/>
      </c>
      <c r="S92" s="65">
        <f>IF($L92="","",TEXT($L92,"yyyy-mm"))</f>
        <v/>
      </c>
      <c r="T92" s="86">
        <f>IF($I92="","",IFERROR(INDEX(Action_Status_Map!$C$5:$C$11,MATCH($I92,Action_Status_Map!$A$5:$A$11,0)),""))</f>
        <v/>
      </c>
      <c r="U92" s="81" t="n"/>
      <c r="V92" s="82" t="n"/>
      <c r="W92" s="65">
        <f>IF(OR($I92&lt;&gt;"Completed",$M92="",$L92=""),"",IF($M92&lt;=$L92,"Yes","No"))</f>
        <v/>
      </c>
      <c r="X92" s="84">
        <f>IF($A92="","",COUNTIF(Task_Steps!$B$5:$B$2004,$A92))</f>
        <v/>
      </c>
      <c r="Y92" s="86">
        <f>IF($X92=0,"",COUNTIFS(Task_Steps!$B$5:$B$2004,$A92,Task_Steps!$H$5:$H$2004,"Completed")/$X92)</f>
        <v/>
      </c>
      <c r="Z92" s="81" t="n"/>
      <c r="AA92" s="81" t="n"/>
      <c r="AB92" s="67">
        <f>IF($F92="","",IFERROR(INDEX(Employee_Master!$E$5:$E$204,MATCH($F92,Employee_Master!$B$5:$B$204,0)),""))</f>
        <v/>
      </c>
      <c r="AC92" s="65">
        <f>IF(OR($A92="",$AB92=""),"",IF(OR($I92="Completed",$I92="Cancelled"),"Closed - in Manager Report","Active - in Manager Report"))</f>
        <v/>
      </c>
      <c r="AD92" s="81">
        <f>IF($A92="","",IFERROR(TEXTJOIN(", ",TRUE,FILTER(Task_Steps!$A$5:$A$2004,Task_Steps!$B$5:$B$2004=$A92)),""))</f>
        <v/>
      </c>
      <c r="AE92" s="84">
        <f>IF($A92="","",COUNTIFS(Task_Steps!$B$5:$B$2004,$A92,Task_Steps!$H$5:$H$2004,"&lt;&gt;Completed",Task_Steps!$H$5:$H$2004,"&lt;&gt;Cancelled"))</f>
        <v/>
      </c>
      <c r="AF92" s="81">
        <f>IF(OR($B92="",$A92=""),"",$B92&amp;" | "&amp;$A92)</f>
        <v/>
      </c>
    </row>
    <row r="93" ht="15" customHeight="1" s="40">
      <c r="A93" s="65">
        <f>IF(COUNTA(B93:F93)=0,"","TSK-"&amp;TEXT(ROW()-4,"0000"))</f>
        <v/>
      </c>
      <c r="B93" s="78" t="n"/>
      <c r="C93" s="78" t="n"/>
      <c r="D93" s="81" t="n"/>
      <c r="E93" s="81" t="n"/>
      <c r="F93" s="78" t="n"/>
      <c r="G93" s="67">
        <f>IF($F93="","",IFERROR(INDEX(Employee_Master!$C$5:$C$204,MATCH($F93,Employee_Master!$B$5:$B$204,0)),""))</f>
        <v/>
      </c>
      <c r="H93" s="78" t="n"/>
      <c r="I93" s="78" t="n"/>
      <c r="J93" s="67">
        <f>IF($I93="","",IFERROR(INDEX(Action_Status_Map!$B$5:$B$11,MATCH($I93,Action_Status_Map!$A$5:$A$11,0)),""))</f>
        <v/>
      </c>
      <c r="K93" s="82" t="n"/>
      <c r="L93" s="82" t="n"/>
      <c r="M93" s="82" t="n"/>
      <c r="N93" s="83" t="n"/>
      <c r="O93" s="83" t="n"/>
      <c r="P93" s="66">
        <f>IF(OR($N93="",$O93=""),"",$O93-$N93)</f>
        <v/>
      </c>
      <c r="Q93" s="84">
        <f>IF($K93="","",IF($M93&lt;&gt;"",$M93-$K93,TODAY()-$K93))</f>
        <v/>
      </c>
      <c r="R93" s="85">
        <f>IF(OR($L93="",$I93="Completed",$I93="Cancelled"),"",IF(AND($L93&lt;TODAY(),$I93&lt;&gt;"Completed",$I93&lt;&gt;"Cancelled"),"Overdue","On Track"))</f>
        <v/>
      </c>
      <c r="S93" s="65">
        <f>IF($L93="","",TEXT($L93,"yyyy-mm"))</f>
        <v/>
      </c>
      <c r="T93" s="86">
        <f>IF($I93="","",IFERROR(INDEX(Action_Status_Map!$C$5:$C$11,MATCH($I93,Action_Status_Map!$A$5:$A$11,0)),""))</f>
        <v/>
      </c>
      <c r="U93" s="81" t="n"/>
      <c r="V93" s="82" t="n"/>
      <c r="W93" s="65">
        <f>IF(OR($I93&lt;&gt;"Completed",$M93="",$L93=""),"",IF($M93&lt;=$L93,"Yes","No"))</f>
        <v/>
      </c>
      <c r="X93" s="84">
        <f>IF($A93="","",COUNTIF(Task_Steps!$B$5:$B$2004,$A93))</f>
        <v/>
      </c>
      <c r="Y93" s="86">
        <f>IF($X93=0,"",COUNTIFS(Task_Steps!$B$5:$B$2004,$A93,Task_Steps!$H$5:$H$2004,"Completed")/$X93)</f>
        <v/>
      </c>
      <c r="Z93" s="81" t="n"/>
      <c r="AA93" s="81" t="n"/>
      <c r="AB93" s="67">
        <f>IF($F93="","",IFERROR(INDEX(Employee_Master!$E$5:$E$204,MATCH($F93,Employee_Master!$B$5:$B$204,0)),""))</f>
        <v/>
      </c>
      <c r="AC93" s="65">
        <f>IF(OR($A93="",$AB93=""),"",IF(OR($I93="Completed",$I93="Cancelled"),"Closed - in Manager Report","Active - in Manager Report"))</f>
        <v/>
      </c>
      <c r="AD93" s="81">
        <f>IF($A93="","",IFERROR(TEXTJOIN(", ",TRUE,FILTER(Task_Steps!$A$5:$A$2004,Task_Steps!$B$5:$B$2004=$A93)),""))</f>
        <v/>
      </c>
      <c r="AE93" s="84">
        <f>IF($A93="","",COUNTIFS(Task_Steps!$B$5:$B$2004,$A93,Task_Steps!$H$5:$H$2004,"&lt;&gt;Completed",Task_Steps!$H$5:$H$2004,"&lt;&gt;Cancelled"))</f>
        <v/>
      </c>
      <c r="AF93" s="81">
        <f>IF(OR($B93="",$A93=""),"",$B93&amp;" | "&amp;$A93)</f>
        <v/>
      </c>
    </row>
    <row r="94" ht="15" customHeight="1" s="40">
      <c r="A94" s="65">
        <f>IF(COUNTA(B94:F94)=0,"","TSK-"&amp;TEXT(ROW()-4,"0000"))</f>
        <v/>
      </c>
      <c r="B94" s="78" t="n"/>
      <c r="C94" s="78" t="n"/>
      <c r="D94" s="81" t="n"/>
      <c r="E94" s="81" t="n"/>
      <c r="F94" s="78" t="n"/>
      <c r="G94" s="67">
        <f>IF($F94="","",IFERROR(INDEX(Employee_Master!$C$5:$C$204,MATCH($F94,Employee_Master!$B$5:$B$204,0)),""))</f>
        <v/>
      </c>
      <c r="H94" s="78" t="n"/>
      <c r="I94" s="78" t="n"/>
      <c r="J94" s="67">
        <f>IF($I94="","",IFERROR(INDEX(Action_Status_Map!$B$5:$B$11,MATCH($I94,Action_Status_Map!$A$5:$A$11,0)),""))</f>
        <v/>
      </c>
      <c r="K94" s="82" t="n"/>
      <c r="L94" s="82" t="n"/>
      <c r="M94" s="82" t="n"/>
      <c r="N94" s="83" t="n"/>
      <c r="O94" s="83" t="n"/>
      <c r="P94" s="66">
        <f>IF(OR($N94="",$O94=""),"",$O94-$N94)</f>
        <v/>
      </c>
      <c r="Q94" s="84">
        <f>IF($K94="","",IF($M94&lt;&gt;"",$M94-$K94,TODAY()-$K94))</f>
        <v/>
      </c>
      <c r="R94" s="85">
        <f>IF(OR($L94="",$I94="Completed",$I94="Cancelled"),"",IF(AND($L94&lt;TODAY(),$I94&lt;&gt;"Completed",$I94&lt;&gt;"Cancelled"),"Overdue","On Track"))</f>
        <v/>
      </c>
      <c r="S94" s="65">
        <f>IF($L94="","",TEXT($L94,"yyyy-mm"))</f>
        <v/>
      </c>
      <c r="T94" s="86">
        <f>IF($I94="","",IFERROR(INDEX(Action_Status_Map!$C$5:$C$11,MATCH($I94,Action_Status_Map!$A$5:$A$11,0)),""))</f>
        <v/>
      </c>
      <c r="U94" s="81" t="n"/>
      <c r="V94" s="82" t="n"/>
      <c r="W94" s="65">
        <f>IF(OR($I94&lt;&gt;"Completed",$M94="",$L94=""),"",IF($M94&lt;=$L94,"Yes","No"))</f>
        <v/>
      </c>
      <c r="X94" s="84">
        <f>IF($A94="","",COUNTIF(Task_Steps!$B$5:$B$2004,$A94))</f>
        <v/>
      </c>
      <c r="Y94" s="86">
        <f>IF($X94=0,"",COUNTIFS(Task_Steps!$B$5:$B$2004,$A94,Task_Steps!$H$5:$H$2004,"Completed")/$X94)</f>
        <v/>
      </c>
      <c r="Z94" s="81" t="n"/>
      <c r="AA94" s="81" t="n"/>
      <c r="AB94" s="67">
        <f>IF($F94="","",IFERROR(INDEX(Employee_Master!$E$5:$E$204,MATCH($F94,Employee_Master!$B$5:$B$204,0)),""))</f>
        <v/>
      </c>
      <c r="AC94" s="65">
        <f>IF(OR($A94="",$AB94=""),"",IF(OR($I94="Completed",$I94="Cancelled"),"Closed - in Manager Report","Active - in Manager Report"))</f>
        <v/>
      </c>
      <c r="AD94" s="81">
        <f>IF($A94="","",IFERROR(TEXTJOIN(", ",TRUE,FILTER(Task_Steps!$A$5:$A$2004,Task_Steps!$B$5:$B$2004=$A94)),""))</f>
        <v/>
      </c>
      <c r="AE94" s="84">
        <f>IF($A94="","",COUNTIFS(Task_Steps!$B$5:$B$2004,$A94,Task_Steps!$H$5:$H$2004,"&lt;&gt;Completed",Task_Steps!$H$5:$H$2004,"&lt;&gt;Cancelled"))</f>
        <v/>
      </c>
      <c r="AF94" s="81">
        <f>IF(OR($B94="",$A94=""),"",$B94&amp;" | "&amp;$A94)</f>
        <v/>
      </c>
    </row>
    <row r="95" ht="15" customHeight="1" s="40">
      <c r="A95" s="65">
        <f>IF(COUNTA(B95:F95)=0,"","TSK-"&amp;TEXT(ROW()-4,"0000"))</f>
        <v/>
      </c>
      <c r="B95" s="78" t="n"/>
      <c r="C95" s="78" t="n"/>
      <c r="D95" s="81" t="n"/>
      <c r="E95" s="81" t="n"/>
      <c r="F95" s="78" t="n"/>
      <c r="G95" s="67">
        <f>IF($F95="","",IFERROR(INDEX(Employee_Master!$C$5:$C$204,MATCH($F95,Employee_Master!$B$5:$B$204,0)),""))</f>
        <v/>
      </c>
      <c r="H95" s="78" t="n"/>
      <c r="I95" s="78" t="n"/>
      <c r="J95" s="67">
        <f>IF($I95="","",IFERROR(INDEX(Action_Status_Map!$B$5:$B$11,MATCH($I95,Action_Status_Map!$A$5:$A$11,0)),""))</f>
        <v/>
      </c>
      <c r="K95" s="82" t="n"/>
      <c r="L95" s="82" t="n"/>
      <c r="M95" s="82" t="n"/>
      <c r="N95" s="83" t="n"/>
      <c r="O95" s="83" t="n"/>
      <c r="P95" s="66">
        <f>IF(OR($N95="",$O95=""),"",$O95-$N95)</f>
        <v/>
      </c>
      <c r="Q95" s="84">
        <f>IF($K95="","",IF($M95&lt;&gt;"",$M95-$K95,TODAY()-$K95))</f>
        <v/>
      </c>
      <c r="R95" s="85">
        <f>IF(OR($L95="",$I95="Completed",$I95="Cancelled"),"",IF(AND($L95&lt;TODAY(),$I95&lt;&gt;"Completed",$I95&lt;&gt;"Cancelled"),"Overdue","On Track"))</f>
        <v/>
      </c>
      <c r="S95" s="65">
        <f>IF($L95="","",TEXT($L95,"yyyy-mm"))</f>
        <v/>
      </c>
      <c r="T95" s="86">
        <f>IF($I95="","",IFERROR(INDEX(Action_Status_Map!$C$5:$C$11,MATCH($I95,Action_Status_Map!$A$5:$A$11,0)),""))</f>
        <v/>
      </c>
      <c r="U95" s="81" t="n"/>
      <c r="V95" s="82" t="n"/>
      <c r="W95" s="65">
        <f>IF(OR($I95&lt;&gt;"Completed",$M95="",$L95=""),"",IF($M95&lt;=$L95,"Yes","No"))</f>
        <v/>
      </c>
      <c r="X95" s="84">
        <f>IF($A95="","",COUNTIF(Task_Steps!$B$5:$B$2004,$A95))</f>
        <v/>
      </c>
      <c r="Y95" s="86">
        <f>IF($X95=0,"",COUNTIFS(Task_Steps!$B$5:$B$2004,$A95,Task_Steps!$H$5:$H$2004,"Completed")/$X95)</f>
        <v/>
      </c>
      <c r="Z95" s="81" t="n"/>
      <c r="AA95" s="81" t="n"/>
      <c r="AB95" s="67">
        <f>IF($F95="","",IFERROR(INDEX(Employee_Master!$E$5:$E$204,MATCH($F95,Employee_Master!$B$5:$B$204,0)),""))</f>
        <v/>
      </c>
      <c r="AC95" s="65">
        <f>IF(OR($A95="",$AB95=""),"",IF(OR($I95="Completed",$I95="Cancelled"),"Closed - in Manager Report","Active - in Manager Report"))</f>
        <v/>
      </c>
      <c r="AD95" s="81">
        <f>IF($A95="","",IFERROR(TEXTJOIN(", ",TRUE,FILTER(Task_Steps!$A$5:$A$2004,Task_Steps!$B$5:$B$2004=$A95)),""))</f>
        <v/>
      </c>
      <c r="AE95" s="84">
        <f>IF($A95="","",COUNTIFS(Task_Steps!$B$5:$B$2004,$A95,Task_Steps!$H$5:$H$2004,"&lt;&gt;Completed",Task_Steps!$H$5:$H$2004,"&lt;&gt;Cancelled"))</f>
        <v/>
      </c>
      <c r="AF95" s="81">
        <f>IF(OR($B95="",$A95=""),"",$B95&amp;" | "&amp;$A95)</f>
        <v/>
      </c>
    </row>
    <row r="96" ht="15" customHeight="1" s="40">
      <c r="A96" s="65">
        <f>IF(COUNTA(B96:F96)=0,"","TSK-"&amp;TEXT(ROW()-4,"0000"))</f>
        <v/>
      </c>
      <c r="B96" s="78" t="n"/>
      <c r="C96" s="78" t="n"/>
      <c r="D96" s="81" t="n"/>
      <c r="E96" s="81" t="n"/>
      <c r="F96" s="78" t="n"/>
      <c r="G96" s="67">
        <f>IF($F96="","",IFERROR(INDEX(Employee_Master!$C$5:$C$204,MATCH($F96,Employee_Master!$B$5:$B$204,0)),""))</f>
        <v/>
      </c>
      <c r="H96" s="78" t="n"/>
      <c r="I96" s="78" t="n"/>
      <c r="J96" s="67">
        <f>IF($I96="","",IFERROR(INDEX(Action_Status_Map!$B$5:$B$11,MATCH($I96,Action_Status_Map!$A$5:$A$11,0)),""))</f>
        <v/>
      </c>
      <c r="K96" s="82" t="n"/>
      <c r="L96" s="82" t="n"/>
      <c r="M96" s="82" t="n"/>
      <c r="N96" s="83" t="n"/>
      <c r="O96" s="83" t="n"/>
      <c r="P96" s="66">
        <f>IF(OR($N96="",$O96=""),"",$O96-$N96)</f>
        <v/>
      </c>
      <c r="Q96" s="84">
        <f>IF($K96="","",IF($M96&lt;&gt;"",$M96-$K96,TODAY()-$K96))</f>
        <v/>
      </c>
      <c r="R96" s="85">
        <f>IF(OR($L96="",$I96="Completed",$I96="Cancelled"),"",IF(AND($L96&lt;TODAY(),$I96&lt;&gt;"Completed",$I96&lt;&gt;"Cancelled"),"Overdue","On Track"))</f>
        <v/>
      </c>
      <c r="S96" s="65">
        <f>IF($L96="","",TEXT($L96,"yyyy-mm"))</f>
        <v/>
      </c>
      <c r="T96" s="86">
        <f>IF($I96="","",IFERROR(INDEX(Action_Status_Map!$C$5:$C$11,MATCH($I96,Action_Status_Map!$A$5:$A$11,0)),""))</f>
        <v/>
      </c>
      <c r="U96" s="81" t="n"/>
      <c r="V96" s="82" t="n"/>
      <c r="W96" s="65">
        <f>IF(OR($I96&lt;&gt;"Completed",$M96="",$L96=""),"",IF($M96&lt;=$L96,"Yes","No"))</f>
        <v/>
      </c>
      <c r="X96" s="84">
        <f>IF($A96="","",COUNTIF(Task_Steps!$B$5:$B$2004,$A96))</f>
        <v/>
      </c>
      <c r="Y96" s="86">
        <f>IF($X96=0,"",COUNTIFS(Task_Steps!$B$5:$B$2004,$A96,Task_Steps!$H$5:$H$2004,"Completed")/$X96)</f>
        <v/>
      </c>
      <c r="Z96" s="81" t="n"/>
      <c r="AA96" s="81" t="n"/>
      <c r="AB96" s="67">
        <f>IF($F96="","",IFERROR(INDEX(Employee_Master!$E$5:$E$204,MATCH($F96,Employee_Master!$B$5:$B$204,0)),""))</f>
        <v/>
      </c>
      <c r="AC96" s="65">
        <f>IF(OR($A96="",$AB96=""),"",IF(OR($I96="Completed",$I96="Cancelled"),"Closed - in Manager Report","Active - in Manager Report"))</f>
        <v/>
      </c>
      <c r="AD96" s="81">
        <f>IF($A96="","",IFERROR(TEXTJOIN(", ",TRUE,FILTER(Task_Steps!$A$5:$A$2004,Task_Steps!$B$5:$B$2004=$A96)),""))</f>
        <v/>
      </c>
      <c r="AE96" s="84">
        <f>IF($A96="","",COUNTIFS(Task_Steps!$B$5:$B$2004,$A96,Task_Steps!$H$5:$H$2004,"&lt;&gt;Completed",Task_Steps!$H$5:$H$2004,"&lt;&gt;Cancelled"))</f>
        <v/>
      </c>
      <c r="AF96" s="81">
        <f>IF(OR($B96="",$A96=""),"",$B96&amp;" | "&amp;$A96)</f>
        <v/>
      </c>
    </row>
    <row r="97" ht="15" customHeight="1" s="40">
      <c r="A97" s="65">
        <f>IF(COUNTA(B97:F97)=0,"","TSK-"&amp;TEXT(ROW()-4,"0000"))</f>
        <v/>
      </c>
      <c r="B97" s="78" t="n"/>
      <c r="C97" s="78" t="n"/>
      <c r="D97" s="81" t="n"/>
      <c r="E97" s="81" t="n"/>
      <c r="F97" s="78" t="n"/>
      <c r="G97" s="67">
        <f>IF($F97="","",IFERROR(INDEX(Employee_Master!$C$5:$C$204,MATCH($F97,Employee_Master!$B$5:$B$204,0)),""))</f>
        <v/>
      </c>
      <c r="H97" s="78" t="n"/>
      <c r="I97" s="78" t="n"/>
      <c r="J97" s="67">
        <f>IF($I97="","",IFERROR(INDEX(Action_Status_Map!$B$5:$B$11,MATCH($I97,Action_Status_Map!$A$5:$A$11,0)),""))</f>
        <v/>
      </c>
      <c r="K97" s="82" t="n"/>
      <c r="L97" s="82" t="n"/>
      <c r="M97" s="82" t="n"/>
      <c r="N97" s="83" t="n"/>
      <c r="O97" s="83" t="n"/>
      <c r="P97" s="66">
        <f>IF(OR($N97="",$O97=""),"",$O97-$N97)</f>
        <v/>
      </c>
      <c r="Q97" s="84">
        <f>IF($K97="","",IF($M97&lt;&gt;"",$M97-$K97,TODAY()-$K97))</f>
        <v/>
      </c>
      <c r="R97" s="85">
        <f>IF(OR($L97="",$I97="Completed",$I97="Cancelled"),"",IF(AND($L97&lt;TODAY(),$I97&lt;&gt;"Completed",$I97&lt;&gt;"Cancelled"),"Overdue","On Track"))</f>
        <v/>
      </c>
      <c r="S97" s="65">
        <f>IF($L97="","",TEXT($L97,"yyyy-mm"))</f>
        <v/>
      </c>
      <c r="T97" s="86">
        <f>IF($I97="","",IFERROR(INDEX(Action_Status_Map!$C$5:$C$11,MATCH($I97,Action_Status_Map!$A$5:$A$11,0)),""))</f>
        <v/>
      </c>
      <c r="U97" s="81" t="n"/>
      <c r="V97" s="82" t="n"/>
      <c r="W97" s="65">
        <f>IF(OR($I97&lt;&gt;"Completed",$M97="",$L97=""),"",IF($M97&lt;=$L97,"Yes","No"))</f>
        <v/>
      </c>
      <c r="X97" s="84">
        <f>IF($A97="","",COUNTIF(Task_Steps!$B$5:$B$2004,$A97))</f>
        <v/>
      </c>
      <c r="Y97" s="86">
        <f>IF($X97=0,"",COUNTIFS(Task_Steps!$B$5:$B$2004,$A97,Task_Steps!$H$5:$H$2004,"Completed")/$X97)</f>
        <v/>
      </c>
      <c r="Z97" s="81" t="n"/>
      <c r="AA97" s="81" t="n"/>
      <c r="AB97" s="67">
        <f>IF($F97="","",IFERROR(INDEX(Employee_Master!$E$5:$E$204,MATCH($F97,Employee_Master!$B$5:$B$204,0)),""))</f>
        <v/>
      </c>
      <c r="AC97" s="65">
        <f>IF(OR($A97="",$AB97=""),"",IF(OR($I97="Completed",$I97="Cancelled"),"Closed - in Manager Report","Active - in Manager Report"))</f>
        <v/>
      </c>
      <c r="AD97" s="81">
        <f>IF($A97="","",IFERROR(TEXTJOIN(", ",TRUE,FILTER(Task_Steps!$A$5:$A$2004,Task_Steps!$B$5:$B$2004=$A97)),""))</f>
        <v/>
      </c>
      <c r="AE97" s="84">
        <f>IF($A97="","",COUNTIFS(Task_Steps!$B$5:$B$2004,$A97,Task_Steps!$H$5:$H$2004,"&lt;&gt;Completed",Task_Steps!$H$5:$H$2004,"&lt;&gt;Cancelled"))</f>
        <v/>
      </c>
      <c r="AF97" s="81">
        <f>IF(OR($B97="",$A97=""),"",$B97&amp;" | "&amp;$A97)</f>
        <v/>
      </c>
    </row>
    <row r="98" ht="15" customHeight="1" s="40">
      <c r="A98" s="65">
        <f>IF(COUNTA(B98:F98)=0,"","TSK-"&amp;TEXT(ROW()-4,"0000"))</f>
        <v/>
      </c>
      <c r="B98" s="78" t="n"/>
      <c r="C98" s="78" t="n"/>
      <c r="D98" s="81" t="n"/>
      <c r="E98" s="81" t="n"/>
      <c r="F98" s="78" t="n"/>
      <c r="G98" s="67">
        <f>IF($F98="","",IFERROR(INDEX(Employee_Master!$C$5:$C$204,MATCH($F98,Employee_Master!$B$5:$B$204,0)),""))</f>
        <v/>
      </c>
      <c r="H98" s="78" t="n"/>
      <c r="I98" s="78" t="n"/>
      <c r="J98" s="67">
        <f>IF($I98="","",IFERROR(INDEX(Action_Status_Map!$B$5:$B$11,MATCH($I98,Action_Status_Map!$A$5:$A$11,0)),""))</f>
        <v/>
      </c>
      <c r="K98" s="82" t="n"/>
      <c r="L98" s="82" t="n"/>
      <c r="M98" s="82" t="n"/>
      <c r="N98" s="83" t="n"/>
      <c r="O98" s="83" t="n"/>
      <c r="P98" s="66">
        <f>IF(OR($N98="",$O98=""),"",$O98-$N98)</f>
        <v/>
      </c>
      <c r="Q98" s="84">
        <f>IF($K98="","",IF($M98&lt;&gt;"",$M98-$K98,TODAY()-$K98))</f>
        <v/>
      </c>
      <c r="R98" s="85">
        <f>IF(OR($L98="",$I98="Completed",$I98="Cancelled"),"",IF(AND($L98&lt;TODAY(),$I98&lt;&gt;"Completed",$I98&lt;&gt;"Cancelled"),"Overdue","On Track"))</f>
        <v/>
      </c>
      <c r="S98" s="65">
        <f>IF($L98="","",TEXT($L98,"yyyy-mm"))</f>
        <v/>
      </c>
      <c r="T98" s="86">
        <f>IF($I98="","",IFERROR(INDEX(Action_Status_Map!$C$5:$C$11,MATCH($I98,Action_Status_Map!$A$5:$A$11,0)),""))</f>
        <v/>
      </c>
      <c r="U98" s="81" t="n"/>
      <c r="V98" s="82" t="n"/>
      <c r="W98" s="65">
        <f>IF(OR($I98&lt;&gt;"Completed",$M98="",$L98=""),"",IF($M98&lt;=$L98,"Yes","No"))</f>
        <v/>
      </c>
      <c r="X98" s="84">
        <f>IF($A98="","",COUNTIF(Task_Steps!$B$5:$B$2004,$A98))</f>
        <v/>
      </c>
      <c r="Y98" s="86">
        <f>IF($X98=0,"",COUNTIFS(Task_Steps!$B$5:$B$2004,$A98,Task_Steps!$H$5:$H$2004,"Completed")/$X98)</f>
        <v/>
      </c>
      <c r="Z98" s="81" t="n"/>
      <c r="AA98" s="81" t="n"/>
      <c r="AB98" s="67">
        <f>IF($F98="","",IFERROR(INDEX(Employee_Master!$E$5:$E$204,MATCH($F98,Employee_Master!$B$5:$B$204,0)),""))</f>
        <v/>
      </c>
      <c r="AC98" s="65">
        <f>IF(OR($A98="",$AB98=""),"",IF(OR($I98="Completed",$I98="Cancelled"),"Closed - in Manager Report","Active - in Manager Report"))</f>
        <v/>
      </c>
      <c r="AD98" s="81">
        <f>IF($A98="","",IFERROR(TEXTJOIN(", ",TRUE,FILTER(Task_Steps!$A$5:$A$2004,Task_Steps!$B$5:$B$2004=$A98)),""))</f>
        <v/>
      </c>
      <c r="AE98" s="84">
        <f>IF($A98="","",COUNTIFS(Task_Steps!$B$5:$B$2004,$A98,Task_Steps!$H$5:$H$2004,"&lt;&gt;Completed",Task_Steps!$H$5:$H$2004,"&lt;&gt;Cancelled"))</f>
        <v/>
      </c>
      <c r="AF98" s="81">
        <f>IF(OR($B98="",$A98=""),"",$B98&amp;" | "&amp;$A98)</f>
        <v/>
      </c>
    </row>
    <row r="99" ht="15" customHeight="1" s="40">
      <c r="A99" s="65">
        <f>IF(COUNTA(B99:F99)=0,"","TSK-"&amp;TEXT(ROW()-4,"0000"))</f>
        <v/>
      </c>
      <c r="B99" s="78" t="n"/>
      <c r="C99" s="78" t="n"/>
      <c r="D99" s="81" t="n"/>
      <c r="E99" s="81" t="n"/>
      <c r="F99" s="78" t="n"/>
      <c r="G99" s="67">
        <f>IF($F99="","",IFERROR(INDEX(Employee_Master!$C$5:$C$204,MATCH($F99,Employee_Master!$B$5:$B$204,0)),""))</f>
        <v/>
      </c>
      <c r="H99" s="78" t="n"/>
      <c r="I99" s="78" t="n"/>
      <c r="J99" s="67">
        <f>IF($I99="","",IFERROR(INDEX(Action_Status_Map!$B$5:$B$11,MATCH($I99,Action_Status_Map!$A$5:$A$11,0)),""))</f>
        <v/>
      </c>
      <c r="K99" s="82" t="n"/>
      <c r="L99" s="82" t="n"/>
      <c r="M99" s="82" t="n"/>
      <c r="N99" s="83" t="n"/>
      <c r="O99" s="83" t="n"/>
      <c r="P99" s="66">
        <f>IF(OR($N99="",$O99=""),"",$O99-$N99)</f>
        <v/>
      </c>
      <c r="Q99" s="84">
        <f>IF($K99="","",IF($M99&lt;&gt;"",$M99-$K99,TODAY()-$K99))</f>
        <v/>
      </c>
      <c r="R99" s="85">
        <f>IF(OR($L99="",$I99="Completed",$I99="Cancelled"),"",IF(AND($L99&lt;TODAY(),$I99&lt;&gt;"Completed",$I99&lt;&gt;"Cancelled"),"Overdue","On Track"))</f>
        <v/>
      </c>
      <c r="S99" s="65">
        <f>IF($L99="","",TEXT($L99,"yyyy-mm"))</f>
        <v/>
      </c>
      <c r="T99" s="86">
        <f>IF($I99="","",IFERROR(INDEX(Action_Status_Map!$C$5:$C$11,MATCH($I99,Action_Status_Map!$A$5:$A$11,0)),""))</f>
        <v/>
      </c>
      <c r="U99" s="81" t="n"/>
      <c r="V99" s="82" t="n"/>
      <c r="W99" s="65">
        <f>IF(OR($I99&lt;&gt;"Completed",$M99="",$L99=""),"",IF($M99&lt;=$L99,"Yes","No"))</f>
        <v/>
      </c>
      <c r="X99" s="84">
        <f>IF($A99="","",COUNTIF(Task_Steps!$B$5:$B$2004,$A99))</f>
        <v/>
      </c>
      <c r="Y99" s="86">
        <f>IF($X99=0,"",COUNTIFS(Task_Steps!$B$5:$B$2004,$A99,Task_Steps!$H$5:$H$2004,"Completed")/$X99)</f>
        <v/>
      </c>
      <c r="Z99" s="81" t="n"/>
      <c r="AA99" s="81" t="n"/>
      <c r="AB99" s="67">
        <f>IF($F99="","",IFERROR(INDEX(Employee_Master!$E$5:$E$204,MATCH($F99,Employee_Master!$B$5:$B$204,0)),""))</f>
        <v/>
      </c>
      <c r="AC99" s="65">
        <f>IF(OR($A99="",$AB99=""),"",IF(OR($I99="Completed",$I99="Cancelled"),"Closed - in Manager Report","Active - in Manager Report"))</f>
        <v/>
      </c>
      <c r="AD99" s="81">
        <f>IF($A99="","",IFERROR(TEXTJOIN(", ",TRUE,FILTER(Task_Steps!$A$5:$A$2004,Task_Steps!$B$5:$B$2004=$A99)),""))</f>
        <v/>
      </c>
      <c r="AE99" s="84">
        <f>IF($A99="","",COUNTIFS(Task_Steps!$B$5:$B$2004,$A99,Task_Steps!$H$5:$H$2004,"&lt;&gt;Completed",Task_Steps!$H$5:$H$2004,"&lt;&gt;Cancelled"))</f>
        <v/>
      </c>
      <c r="AF99" s="81">
        <f>IF(OR($B99="",$A99=""),"",$B99&amp;" | "&amp;$A99)</f>
        <v/>
      </c>
    </row>
    <row r="100" ht="15" customHeight="1" s="40">
      <c r="A100" s="65">
        <f>IF(COUNTA(B100:F100)=0,"","TSK-"&amp;TEXT(ROW()-4,"0000"))</f>
        <v/>
      </c>
      <c r="B100" s="78" t="n"/>
      <c r="C100" s="78" t="n"/>
      <c r="D100" s="81" t="n"/>
      <c r="E100" s="81" t="n"/>
      <c r="F100" s="78" t="n"/>
      <c r="G100" s="67">
        <f>IF($F100="","",IFERROR(INDEX(Employee_Master!$C$5:$C$204,MATCH($F100,Employee_Master!$B$5:$B$204,0)),""))</f>
        <v/>
      </c>
      <c r="H100" s="78" t="n"/>
      <c r="I100" s="78" t="n"/>
      <c r="J100" s="67">
        <f>IF($I100="","",IFERROR(INDEX(Action_Status_Map!$B$5:$B$11,MATCH($I100,Action_Status_Map!$A$5:$A$11,0)),""))</f>
        <v/>
      </c>
      <c r="K100" s="82" t="n"/>
      <c r="L100" s="82" t="n"/>
      <c r="M100" s="82" t="n"/>
      <c r="N100" s="83" t="n"/>
      <c r="O100" s="83" t="n"/>
      <c r="P100" s="66">
        <f>IF(OR($N100="",$O100=""),"",$O100-$N100)</f>
        <v/>
      </c>
      <c r="Q100" s="84">
        <f>IF($K100="","",IF($M100&lt;&gt;"",$M100-$K100,TODAY()-$K100))</f>
        <v/>
      </c>
      <c r="R100" s="85">
        <f>IF(OR($L100="",$I100="Completed",$I100="Cancelled"),"",IF(AND($L100&lt;TODAY(),$I100&lt;&gt;"Completed",$I100&lt;&gt;"Cancelled"),"Overdue","On Track"))</f>
        <v/>
      </c>
      <c r="S100" s="65">
        <f>IF($L100="","",TEXT($L100,"yyyy-mm"))</f>
        <v/>
      </c>
      <c r="T100" s="86">
        <f>IF($I100="","",IFERROR(INDEX(Action_Status_Map!$C$5:$C$11,MATCH($I100,Action_Status_Map!$A$5:$A$11,0)),""))</f>
        <v/>
      </c>
      <c r="U100" s="81" t="n"/>
      <c r="V100" s="82" t="n"/>
      <c r="W100" s="65">
        <f>IF(OR($I100&lt;&gt;"Completed",$M100="",$L100=""),"",IF($M100&lt;=$L100,"Yes","No"))</f>
        <v/>
      </c>
      <c r="X100" s="84">
        <f>IF($A100="","",COUNTIF(Task_Steps!$B$5:$B$2004,$A100))</f>
        <v/>
      </c>
      <c r="Y100" s="86">
        <f>IF($X100=0,"",COUNTIFS(Task_Steps!$B$5:$B$2004,$A100,Task_Steps!$H$5:$H$2004,"Completed")/$X100)</f>
        <v/>
      </c>
      <c r="Z100" s="81" t="n"/>
      <c r="AA100" s="81" t="n"/>
      <c r="AB100" s="67">
        <f>IF($F100="","",IFERROR(INDEX(Employee_Master!$E$5:$E$204,MATCH($F100,Employee_Master!$B$5:$B$204,0)),""))</f>
        <v/>
      </c>
      <c r="AC100" s="65">
        <f>IF(OR($A100="",$AB100=""),"",IF(OR($I100="Completed",$I100="Cancelled"),"Closed - in Manager Report","Active - in Manager Report"))</f>
        <v/>
      </c>
      <c r="AD100" s="81">
        <f>IF($A100="","",IFERROR(TEXTJOIN(", ",TRUE,FILTER(Task_Steps!$A$5:$A$2004,Task_Steps!$B$5:$B$2004=$A100)),""))</f>
        <v/>
      </c>
      <c r="AE100" s="84">
        <f>IF($A100="","",COUNTIFS(Task_Steps!$B$5:$B$2004,$A100,Task_Steps!$H$5:$H$2004,"&lt;&gt;Completed",Task_Steps!$H$5:$H$2004,"&lt;&gt;Cancelled"))</f>
        <v/>
      </c>
      <c r="AF100" s="81">
        <f>IF(OR($B100="",$A100=""),"",$B100&amp;" | "&amp;$A100)</f>
        <v/>
      </c>
    </row>
    <row r="101" ht="15" customHeight="1" s="40">
      <c r="A101" s="65">
        <f>IF(COUNTA(B101:F101)=0,"","TSK-"&amp;TEXT(ROW()-4,"0000"))</f>
        <v/>
      </c>
      <c r="B101" s="78" t="n"/>
      <c r="C101" s="78" t="n"/>
      <c r="D101" s="81" t="n"/>
      <c r="E101" s="81" t="n"/>
      <c r="F101" s="78" t="n"/>
      <c r="G101" s="67">
        <f>IF($F101="","",IFERROR(INDEX(Employee_Master!$C$5:$C$204,MATCH($F101,Employee_Master!$B$5:$B$204,0)),""))</f>
        <v/>
      </c>
      <c r="H101" s="78" t="n"/>
      <c r="I101" s="78" t="n"/>
      <c r="J101" s="67">
        <f>IF($I101="","",IFERROR(INDEX(Action_Status_Map!$B$5:$B$11,MATCH($I101,Action_Status_Map!$A$5:$A$11,0)),""))</f>
        <v/>
      </c>
      <c r="K101" s="82" t="n"/>
      <c r="L101" s="82" t="n"/>
      <c r="M101" s="82" t="n"/>
      <c r="N101" s="83" t="n"/>
      <c r="O101" s="83" t="n"/>
      <c r="P101" s="66">
        <f>IF(OR($N101="",$O101=""),"",$O101-$N101)</f>
        <v/>
      </c>
      <c r="Q101" s="84">
        <f>IF($K101="","",IF($M101&lt;&gt;"",$M101-$K101,TODAY()-$K101))</f>
        <v/>
      </c>
      <c r="R101" s="85">
        <f>IF(OR($L101="",$I101="Completed",$I101="Cancelled"),"",IF(AND($L101&lt;TODAY(),$I101&lt;&gt;"Completed",$I101&lt;&gt;"Cancelled"),"Overdue","On Track"))</f>
        <v/>
      </c>
      <c r="S101" s="65">
        <f>IF($L101="","",TEXT($L101,"yyyy-mm"))</f>
        <v/>
      </c>
      <c r="T101" s="86">
        <f>IF($I101="","",IFERROR(INDEX(Action_Status_Map!$C$5:$C$11,MATCH($I101,Action_Status_Map!$A$5:$A$11,0)),""))</f>
        <v/>
      </c>
      <c r="U101" s="81" t="n"/>
      <c r="V101" s="82" t="n"/>
      <c r="W101" s="65">
        <f>IF(OR($I101&lt;&gt;"Completed",$M101="",$L101=""),"",IF($M101&lt;=$L101,"Yes","No"))</f>
        <v/>
      </c>
      <c r="X101" s="84">
        <f>IF($A101="","",COUNTIF(Task_Steps!$B$5:$B$2004,$A101))</f>
        <v/>
      </c>
      <c r="Y101" s="86">
        <f>IF($X101=0,"",COUNTIFS(Task_Steps!$B$5:$B$2004,$A101,Task_Steps!$H$5:$H$2004,"Completed")/$X101)</f>
        <v/>
      </c>
      <c r="Z101" s="81" t="n"/>
      <c r="AA101" s="81" t="n"/>
      <c r="AB101" s="67">
        <f>IF($F101="","",IFERROR(INDEX(Employee_Master!$E$5:$E$204,MATCH($F101,Employee_Master!$B$5:$B$204,0)),""))</f>
        <v/>
      </c>
      <c r="AC101" s="65">
        <f>IF(OR($A101="",$AB101=""),"",IF(OR($I101="Completed",$I101="Cancelled"),"Closed - in Manager Report","Active - in Manager Report"))</f>
        <v/>
      </c>
      <c r="AD101" s="81">
        <f>IF($A101="","",IFERROR(TEXTJOIN(", ",TRUE,FILTER(Task_Steps!$A$5:$A$2004,Task_Steps!$B$5:$B$2004=$A101)),""))</f>
        <v/>
      </c>
      <c r="AE101" s="84">
        <f>IF($A101="","",COUNTIFS(Task_Steps!$B$5:$B$2004,$A101,Task_Steps!$H$5:$H$2004,"&lt;&gt;Completed",Task_Steps!$H$5:$H$2004,"&lt;&gt;Cancelled"))</f>
        <v/>
      </c>
      <c r="AF101" s="81">
        <f>IF(OR($B101="",$A101=""),"",$B101&amp;" | "&amp;$A101)</f>
        <v/>
      </c>
    </row>
    <row r="102" ht="15" customHeight="1" s="40">
      <c r="A102" s="65">
        <f>IF(COUNTA(B102:F102)=0,"","TSK-"&amp;TEXT(ROW()-4,"0000"))</f>
        <v/>
      </c>
      <c r="B102" s="78" t="n"/>
      <c r="C102" s="78" t="n"/>
      <c r="D102" s="81" t="n"/>
      <c r="E102" s="81" t="n"/>
      <c r="F102" s="78" t="n"/>
      <c r="G102" s="67">
        <f>IF($F102="","",IFERROR(INDEX(Employee_Master!$C$5:$C$204,MATCH($F102,Employee_Master!$B$5:$B$204,0)),""))</f>
        <v/>
      </c>
      <c r="H102" s="78" t="n"/>
      <c r="I102" s="78" t="n"/>
      <c r="J102" s="67">
        <f>IF($I102="","",IFERROR(INDEX(Action_Status_Map!$B$5:$B$11,MATCH($I102,Action_Status_Map!$A$5:$A$11,0)),""))</f>
        <v/>
      </c>
      <c r="K102" s="82" t="n"/>
      <c r="L102" s="82" t="n"/>
      <c r="M102" s="82" t="n"/>
      <c r="N102" s="83" t="n"/>
      <c r="O102" s="83" t="n"/>
      <c r="P102" s="66">
        <f>IF(OR($N102="",$O102=""),"",$O102-$N102)</f>
        <v/>
      </c>
      <c r="Q102" s="84">
        <f>IF($K102="","",IF($M102&lt;&gt;"",$M102-$K102,TODAY()-$K102))</f>
        <v/>
      </c>
      <c r="R102" s="85">
        <f>IF(OR($L102="",$I102="Completed",$I102="Cancelled"),"",IF(AND($L102&lt;TODAY(),$I102&lt;&gt;"Completed",$I102&lt;&gt;"Cancelled"),"Overdue","On Track"))</f>
        <v/>
      </c>
      <c r="S102" s="65">
        <f>IF($L102="","",TEXT($L102,"yyyy-mm"))</f>
        <v/>
      </c>
      <c r="T102" s="86">
        <f>IF($I102="","",IFERROR(INDEX(Action_Status_Map!$C$5:$C$11,MATCH($I102,Action_Status_Map!$A$5:$A$11,0)),""))</f>
        <v/>
      </c>
      <c r="U102" s="81" t="n"/>
      <c r="V102" s="82" t="n"/>
      <c r="W102" s="65">
        <f>IF(OR($I102&lt;&gt;"Completed",$M102="",$L102=""),"",IF($M102&lt;=$L102,"Yes","No"))</f>
        <v/>
      </c>
      <c r="X102" s="84">
        <f>IF($A102="","",COUNTIF(Task_Steps!$B$5:$B$2004,$A102))</f>
        <v/>
      </c>
      <c r="Y102" s="86">
        <f>IF($X102=0,"",COUNTIFS(Task_Steps!$B$5:$B$2004,$A102,Task_Steps!$H$5:$H$2004,"Completed")/$X102)</f>
        <v/>
      </c>
      <c r="Z102" s="81" t="n"/>
      <c r="AA102" s="81" t="n"/>
      <c r="AB102" s="67">
        <f>IF($F102="","",IFERROR(INDEX(Employee_Master!$E$5:$E$204,MATCH($F102,Employee_Master!$B$5:$B$204,0)),""))</f>
        <v/>
      </c>
      <c r="AC102" s="65">
        <f>IF(OR($A102="",$AB102=""),"",IF(OR($I102="Completed",$I102="Cancelled"),"Closed - in Manager Report","Active - in Manager Report"))</f>
        <v/>
      </c>
      <c r="AD102" s="81">
        <f>IF($A102="","",IFERROR(TEXTJOIN(", ",TRUE,FILTER(Task_Steps!$A$5:$A$2004,Task_Steps!$B$5:$B$2004=$A102)),""))</f>
        <v/>
      </c>
      <c r="AE102" s="84">
        <f>IF($A102="","",COUNTIFS(Task_Steps!$B$5:$B$2004,$A102,Task_Steps!$H$5:$H$2004,"&lt;&gt;Completed",Task_Steps!$H$5:$H$2004,"&lt;&gt;Cancelled"))</f>
        <v/>
      </c>
      <c r="AF102" s="81">
        <f>IF(OR($B102="",$A102=""),"",$B102&amp;" | "&amp;$A102)</f>
        <v/>
      </c>
    </row>
    <row r="103" ht="15" customHeight="1" s="40">
      <c r="A103" s="65">
        <f>IF(COUNTA(B103:F103)=0,"","TSK-"&amp;TEXT(ROW()-4,"0000"))</f>
        <v/>
      </c>
      <c r="B103" s="78" t="n"/>
      <c r="C103" s="78" t="n"/>
      <c r="D103" s="81" t="n"/>
      <c r="E103" s="81" t="n"/>
      <c r="F103" s="78" t="n"/>
      <c r="G103" s="67">
        <f>IF($F103="","",IFERROR(INDEX(Employee_Master!$C$5:$C$204,MATCH($F103,Employee_Master!$B$5:$B$204,0)),""))</f>
        <v/>
      </c>
      <c r="H103" s="78" t="n"/>
      <c r="I103" s="78" t="n"/>
      <c r="J103" s="67">
        <f>IF($I103="","",IFERROR(INDEX(Action_Status_Map!$B$5:$B$11,MATCH($I103,Action_Status_Map!$A$5:$A$11,0)),""))</f>
        <v/>
      </c>
      <c r="K103" s="82" t="n"/>
      <c r="L103" s="82" t="n"/>
      <c r="M103" s="82" t="n"/>
      <c r="N103" s="83" t="n"/>
      <c r="O103" s="83" t="n"/>
      <c r="P103" s="66">
        <f>IF(OR($N103="",$O103=""),"",$O103-$N103)</f>
        <v/>
      </c>
      <c r="Q103" s="84">
        <f>IF($K103="","",IF($M103&lt;&gt;"",$M103-$K103,TODAY()-$K103))</f>
        <v/>
      </c>
      <c r="R103" s="85">
        <f>IF(OR($L103="",$I103="Completed",$I103="Cancelled"),"",IF(AND($L103&lt;TODAY(),$I103&lt;&gt;"Completed",$I103&lt;&gt;"Cancelled"),"Overdue","On Track"))</f>
        <v/>
      </c>
      <c r="S103" s="65">
        <f>IF($L103="","",TEXT($L103,"yyyy-mm"))</f>
        <v/>
      </c>
      <c r="T103" s="86">
        <f>IF($I103="","",IFERROR(INDEX(Action_Status_Map!$C$5:$C$11,MATCH($I103,Action_Status_Map!$A$5:$A$11,0)),""))</f>
        <v/>
      </c>
      <c r="U103" s="81" t="n"/>
      <c r="V103" s="82" t="n"/>
      <c r="W103" s="65">
        <f>IF(OR($I103&lt;&gt;"Completed",$M103="",$L103=""),"",IF($M103&lt;=$L103,"Yes","No"))</f>
        <v/>
      </c>
      <c r="X103" s="84">
        <f>IF($A103="","",COUNTIF(Task_Steps!$B$5:$B$2004,$A103))</f>
        <v/>
      </c>
      <c r="Y103" s="86">
        <f>IF($X103=0,"",COUNTIFS(Task_Steps!$B$5:$B$2004,$A103,Task_Steps!$H$5:$H$2004,"Completed")/$X103)</f>
        <v/>
      </c>
      <c r="Z103" s="81" t="n"/>
      <c r="AA103" s="81" t="n"/>
      <c r="AB103" s="67">
        <f>IF($F103="","",IFERROR(INDEX(Employee_Master!$E$5:$E$204,MATCH($F103,Employee_Master!$B$5:$B$204,0)),""))</f>
        <v/>
      </c>
      <c r="AC103" s="65">
        <f>IF(OR($A103="",$AB103=""),"",IF(OR($I103="Completed",$I103="Cancelled"),"Closed - in Manager Report","Active - in Manager Report"))</f>
        <v/>
      </c>
      <c r="AD103" s="81">
        <f>IF($A103="","",IFERROR(TEXTJOIN(", ",TRUE,FILTER(Task_Steps!$A$5:$A$2004,Task_Steps!$B$5:$B$2004=$A103)),""))</f>
        <v/>
      </c>
      <c r="AE103" s="84">
        <f>IF($A103="","",COUNTIFS(Task_Steps!$B$5:$B$2004,$A103,Task_Steps!$H$5:$H$2004,"&lt;&gt;Completed",Task_Steps!$H$5:$H$2004,"&lt;&gt;Cancelled"))</f>
        <v/>
      </c>
      <c r="AF103" s="81">
        <f>IF(OR($B103="",$A103=""),"",$B103&amp;" | "&amp;$A103)</f>
        <v/>
      </c>
    </row>
    <row r="104" ht="15" customHeight="1" s="40">
      <c r="A104" s="65">
        <f>IF(COUNTA(B104:F104)=0,"","TSK-"&amp;TEXT(ROW()-4,"0000"))</f>
        <v/>
      </c>
      <c r="B104" s="78" t="n"/>
      <c r="C104" s="78" t="n"/>
      <c r="D104" s="81" t="n"/>
      <c r="E104" s="81" t="n"/>
      <c r="F104" s="78" t="n"/>
      <c r="G104" s="67">
        <f>IF($F104="","",IFERROR(INDEX(Employee_Master!$C$5:$C$204,MATCH($F104,Employee_Master!$B$5:$B$204,0)),""))</f>
        <v/>
      </c>
      <c r="H104" s="78" t="n"/>
      <c r="I104" s="78" t="n"/>
      <c r="J104" s="67">
        <f>IF($I104="","",IFERROR(INDEX(Action_Status_Map!$B$5:$B$11,MATCH($I104,Action_Status_Map!$A$5:$A$11,0)),""))</f>
        <v/>
      </c>
      <c r="K104" s="82" t="n"/>
      <c r="L104" s="82" t="n"/>
      <c r="M104" s="82" t="n"/>
      <c r="N104" s="83" t="n"/>
      <c r="O104" s="83" t="n"/>
      <c r="P104" s="66">
        <f>IF(OR($N104="",$O104=""),"",$O104-$N104)</f>
        <v/>
      </c>
      <c r="Q104" s="84">
        <f>IF($K104="","",IF($M104&lt;&gt;"",$M104-$K104,TODAY()-$K104))</f>
        <v/>
      </c>
      <c r="R104" s="85">
        <f>IF(OR($L104="",$I104="Completed",$I104="Cancelled"),"",IF(AND($L104&lt;TODAY(),$I104&lt;&gt;"Completed",$I104&lt;&gt;"Cancelled"),"Overdue","On Track"))</f>
        <v/>
      </c>
      <c r="S104" s="65">
        <f>IF($L104="","",TEXT($L104,"yyyy-mm"))</f>
        <v/>
      </c>
      <c r="T104" s="86">
        <f>IF($I104="","",IFERROR(INDEX(Action_Status_Map!$C$5:$C$11,MATCH($I104,Action_Status_Map!$A$5:$A$11,0)),""))</f>
        <v/>
      </c>
      <c r="U104" s="81" t="n"/>
      <c r="V104" s="82" t="n"/>
      <c r="W104" s="65">
        <f>IF(OR($I104&lt;&gt;"Completed",$M104="",$L104=""),"",IF($M104&lt;=$L104,"Yes","No"))</f>
        <v/>
      </c>
      <c r="X104" s="84">
        <f>IF($A104="","",COUNTIF(Task_Steps!$B$5:$B$2004,$A104))</f>
        <v/>
      </c>
      <c r="Y104" s="86">
        <f>IF($X104=0,"",COUNTIFS(Task_Steps!$B$5:$B$2004,$A104,Task_Steps!$H$5:$H$2004,"Completed")/$X104)</f>
        <v/>
      </c>
      <c r="Z104" s="81" t="n"/>
      <c r="AA104" s="81" t="n"/>
      <c r="AB104" s="67">
        <f>IF($F104="","",IFERROR(INDEX(Employee_Master!$E$5:$E$204,MATCH($F104,Employee_Master!$B$5:$B$204,0)),""))</f>
        <v/>
      </c>
      <c r="AC104" s="65">
        <f>IF(OR($A104="",$AB104=""),"",IF(OR($I104="Completed",$I104="Cancelled"),"Closed - in Manager Report","Active - in Manager Report"))</f>
        <v/>
      </c>
      <c r="AD104" s="81">
        <f>IF($A104="","",IFERROR(TEXTJOIN(", ",TRUE,FILTER(Task_Steps!$A$5:$A$2004,Task_Steps!$B$5:$B$2004=$A104)),""))</f>
        <v/>
      </c>
      <c r="AE104" s="84">
        <f>IF($A104="","",COUNTIFS(Task_Steps!$B$5:$B$2004,$A104,Task_Steps!$H$5:$H$2004,"&lt;&gt;Completed",Task_Steps!$H$5:$H$2004,"&lt;&gt;Cancelled"))</f>
        <v/>
      </c>
      <c r="AF104" s="81">
        <f>IF(OR($B104="",$A104=""),"",$B104&amp;" | "&amp;$A104)</f>
        <v/>
      </c>
    </row>
    <row r="105" ht="15" customHeight="1" s="40">
      <c r="A105" s="65">
        <f>IF(COUNTA(B105:F105)=0,"","TSK-"&amp;TEXT(ROW()-4,"0000"))</f>
        <v/>
      </c>
      <c r="B105" s="78" t="n"/>
      <c r="C105" s="78" t="n"/>
      <c r="D105" s="81" t="n"/>
      <c r="E105" s="81" t="n"/>
      <c r="F105" s="78" t="n"/>
      <c r="G105" s="67">
        <f>IF($F105="","",IFERROR(INDEX(Employee_Master!$C$5:$C$204,MATCH($F105,Employee_Master!$B$5:$B$204,0)),""))</f>
        <v/>
      </c>
      <c r="H105" s="78" t="n"/>
      <c r="I105" s="78" t="n"/>
      <c r="J105" s="67">
        <f>IF($I105="","",IFERROR(INDEX(Action_Status_Map!$B$5:$B$11,MATCH($I105,Action_Status_Map!$A$5:$A$11,0)),""))</f>
        <v/>
      </c>
      <c r="K105" s="82" t="n"/>
      <c r="L105" s="82" t="n"/>
      <c r="M105" s="82" t="n"/>
      <c r="N105" s="83" t="n"/>
      <c r="O105" s="83" t="n"/>
      <c r="P105" s="66">
        <f>IF(OR($N105="",$O105=""),"",$O105-$N105)</f>
        <v/>
      </c>
      <c r="Q105" s="84">
        <f>IF($K105="","",IF($M105&lt;&gt;"",$M105-$K105,TODAY()-$K105))</f>
        <v/>
      </c>
      <c r="R105" s="85">
        <f>IF(OR($L105="",$I105="Completed",$I105="Cancelled"),"",IF(AND($L105&lt;TODAY(),$I105&lt;&gt;"Completed",$I105&lt;&gt;"Cancelled"),"Overdue","On Track"))</f>
        <v/>
      </c>
      <c r="S105" s="65">
        <f>IF($L105="","",TEXT($L105,"yyyy-mm"))</f>
        <v/>
      </c>
      <c r="T105" s="86">
        <f>IF($I105="","",IFERROR(INDEX(Action_Status_Map!$C$5:$C$11,MATCH($I105,Action_Status_Map!$A$5:$A$11,0)),""))</f>
        <v/>
      </c>
      <c r="U105" s="81" t="n"/>
      <c r="V105" s="82" t="n"/>
      <c r="W105" s="65">
        <f>IF(OR($I105&lt;&gt;"Completed",$M105="",$L105=""),"",IF($M105&lt;=$L105,"Yes","No"))</f>
        <v/>
      </c>
      <c r="X105" s="84">
        <f>IF($A105="","",COUNTIF(Task_Steps!$B$5:$B$2004,$A105))</f>
        <v/>
      </c>
      <c r="Y105" s="86">
        <f>IF($X105=0,"",COUNTIFS(Task_Steps!$B$5:$B$2004,$A105,Task_Steps!$H$5:$H$2004,"Completed")/$X105)</f>
        <v/>
      </c>
      <c r="Z105" s="81" t="n"/>
      <c r="AA105" s="81" t="n"/>
      <c r="AB105" s="67">
        <f>IF($F105="","",IFERROR(INDEX(Employee_Master!$E$5:$E$204,MATCH($F105,Employee_Master!$B$5:$B$204,0)),""))</f>
        <v/>
      </c>
      <c r="AC105" s="65">
        <f>IF(OR($A105="",$AB105=""),"",IF(OR($I105="Completed",$I105="Cancelled"),"Closed - in Manager Report","Active - in Manager Report"))</f>
        <v/>
      </c>
      <c r="AD105" s="81">
        <f>IF($A105="","",IFERROR(TEXTJOIN(", ",TRUE,FILTER(Task_Steps!$A$5:$A$2004,Task_Steps!$B$5:$B$2004=$A105)),""))</f>
        <v/>
      </c>
      <c r="AE105" s="84">
        <f>IF($A105="","",COUNTIFS(Task_Steps!$B$5:$B$2004,$A105,Task_Steps!$H$5:$H$2004,"&lt;&gt;Completed",Task_Steps!$H$5:$H$2004,"&lt;&gt;Cancelled"))</f>
        <v/>
      </c>
      <c r="AF105" s="81">
        <f>IF(OR($B105="",$A105=""),"",$B105&amp;" | "&amp;$A105)</f>
        <v/>
      </c>
    </row>
    <row r="106" ht="15" customHeight="1" s="40">
      <c r="A106" s="65">
        <f>IF(COUNTA(B106:F106)=0,"","TSK-"&amp;TEXT(ROW()-4,"0000"))</f>
        <v/>
      </c>
      <c r="B106" s="78" t="n"/>
      <c r="C106" s="78" t="n"/>
      <c r="D106" s="81" t="n"/>
      <c r="E106" s="81" t="n"/>
      <c r="F106" s="78" t="n"/>
      <c r="G106" s="67">
        <f>IF($F106="","",IFERROR(INDEX(Employee_Master!$C$5:$C$204,MATCH($F106,Employee_Master!$B$5:$B$204,0)),""))</f>
        <v/>
      </c>
      <c r="H106" s="78" t="n"/>
      <c r="I106" s="78" t="n"/>
      <c r="J106" s="67">
        <f>IF($I106="","",IFERROR(INDEX(Action_Status_Map!$B$5:$B$11,MATCH($I106,Action_Status_Map!$A$5:$A$11,0)),""))</f>
        <v/>
      </c>
      <c r="K106" s="82" t="n"/>
      <c r="L106" s="82" t="n"/>
      <c r="M106" s="82" t="n"/>
      <c r="N106" s="83" t="n"/>
      <c r="O106" s="83" t="n"/>
      <c r="P106" s="66">
        <f>IF(OR($N106="",$O106=""),"",$O106-$N106)</f>
        <v/>
      </c>
      <c r="Q106" s="84">
        <f>IF($K106="","",IF($M106&lt;&gt;"",$M106-$K106,TODAY()-$K106))</f>
        <v/>
      </c>
      <c r="R106" s="85">
        <f>IF(OR($L106="",$I106="Completed",$I106="Cancelled"),"",IF(AND($L106&lt;TODAY(),$I106&lt;&gt;"Completed",$I106&lt;&gt;"Cancelled"),"Overdue","On Track"))</f>
        <v/>
      </c>
      <c r="S106" s="65">
        <f>IF($L106="","",TEXT($L106,"yyyy-mm"))</f>
        <v/>
      </c>
      <c r="T106" s="86">
        <f>IF($I106="","",IFERROR(INDEX(Action_Status_Map!$C$5:$C$11,MATCH($I106,Action_Status_Map!$A$5:$A$11,0)),""))</f>
        <v/>
      </c>
      <c r="U106" s="81" t="n"/>
      <c r="V106" s="82" t="n"/>
      <c r="W106" s="65">
        <f>IF(OR($I106&lt;&gt;"Completed",$M106="",$L106=""),"",IF($M106&lt;=$L106,"Yes","No"))</f>
        <v/>
      </c>
      <c r="X106" s="84">
        <f>IF($A106="","",COUNTIF(Task_Steps!$B$5:$B$2004,$A106))</f>
        <v/>
      </c>
      <c r="Y106" s="86">
        <f>IF($X106=0,"",COUNTIFS(Task_Steps!$B$5:$B$2004,$A106,Task_Steps!$H$5:$H$2004,"Completed")/$X106)</f>
        <v/>
      </c>
      <c r="Z106" s="81" t="n"/>
      <c r="AA106" s="81" t="n"/>
      <c r="AB106" s="67">
        <f>IF($F106="","",IFERROR(INDEX(Employee_Master!$E$5:$E$204,MATCH($F106,Employee_Master!$B$5:$B$204,0)),""))</f>
        <v/>
      </c>
      <c r="AC106" s="65">
        <f>IF(OR($A106="",$AB106=""),"",IF(OR($I106="Completed",$I106="Cancelled"),"Closed - in Manager Report","Active - in Manager Report"))</f>
        <v/>
      </c>
      <c r="AD106" s="81">
        <f>IF($A106="","",IFERROR(TEXTJOIN(", ",TRUE,FILTER(Task_Steps!$A$5:$A$2004,Task_Steps!$B$5:$B$2004=$A106)),""))</f>
        <v/>
      </c>
      <c r="AE106" s="84">
        <f>IF($A106="","",COUNTIFS(Task_Steps!$B$5:$B$2004,$A106,Task_Steps!$H$5:$H$2004,"&lt;&gt;Completed",Task_Steps!$H$5:$H$2004,"&lt;&gt;Cancelled"))</f>
        <v/>
      </c>
      <c r="AF106" s="81">
        <f>IF(OR($B106="",$A106=""),"",$B106&amp;" | "&amp;$A106)</f>
        <v/>
      </c>
    </row>
    <row r="107" ht="15" customHeight="1" s="40">
      <c r="A107" s="65">
        <f>IF(COUNTA(B107:F107)=0,"","TSK-"&amp;TEXT(ROW()-4,"0000"))</f>
        <v/>
      </c>
      <c r="B107" s="78" t="n"/>
      <c r="C107" s="78" t="n"/>
      <c r="D107" s="81" t="n"/>
      <c r="E107" s="81" t="n"/>
      <c r="F107" s="78" t="n"/>
      <c r="G107" s="67">
        <f>IF($F107="","",IFERROR(INDEX(Employee_Master!$C$5:$C$204,MATCH($F107,Employee_Master!$B$5:$B$204,0)),""))</f>
        <v/>
      </c>
      <c r="H107" s="78" t="n"/>
      <c r="I107" s="78" t="n"/>
      <c r="J107" s="67">
        <f>IF($I107="","",IFERROR(INDEX(Action_Status_Map!$B$5:$B$11,MATCH($I107,Action_Status_Map!$A$5:$A$11,0)),""))</f>
        <v/>
      </c>
      <c r="K107" s="82" t="n"/>
      <c r="L107" s="82" t="n"/>
      <c r="M107" s="82" t="n"/>
      <c r="N107" s="83" t="n"/>
      <c r="O107" s="83" t="n"/>
      <c r="P107" s="66">
        <f>IF(OR($N107="",$O107=""),"",$O107-$N107)</f>
        <v/>
      </c>
      <c r="Q107" s="84">
        <f>IF($K107="","",IF($M107&lt;&gt;"",$M107-$K107,TODAY()-$K107))</f>
        <v/>
      </c>
      <c r="R107" s="85">
        <f>IF(OR($L107="",$I107="Completed",$I107="Cancelled"),"",IF(AND($L107&lt;TODAY(),$I107&lt;&gt;"Completed",$I107&lt;&gt;"Cancelled"),"Overdue","On Track"))</f>
        <v/>
      </c>
      <c r="S107" s="65">
        <f>IF($L107="","",TEXT($L107,"yyyy-mm"))</f>
        <v/>
      </c>
      <c r="T107" s="86">
        <f>IF($I107="","",IFERROR(INDEX(Action_Status_Map!$C$5:$C$11,MATCH($I107,Action_Status_Map!$A$5:$A$11,0)),""))</f>
        <v/>
      </c>
      <c r="U107" s="81" t="n"/>
      <c r="V107" s="82" t="n"/>
      <c r="W107" s="65">
        <f>IF(OR($I107&lt;&gt;"Completed",$M107="",$L107=""),"",IF($M107&lt;=$L107,"Yes","No"))</f>
        <v/>
      </c>
      <c r="X107" s="84">
        <f>IF($A107="","",COUNTIF(Task_Steps!$B$5:$B$2004,$A107))</f>
        <v/>
      </c>
      <c r="Y107" s="86">
        <f>IF($X107=0,"",COUNTIFS(Task_Steps!$B$5:$B$2004,$A107,Task_Steps!$H$5:$H$2004,"Completed")/$X107)</f>
        <v/>
      </c>
      <c r="Z107" s="81" t="n"/>
      <c r="AA107" s="81" t="n"/>
      <c r="AB107" s="67">
        <f>IF($F107="","",IFERROR(INDEX(Employee_Master!$E$5:$E$204,MATCH($F107,Employee_Master!$B$5:$B$204,0)),""))</f>
        <v/>
      </c>
      <c r="AC107" s="65">
        <f>IF(OR($A107="",$AB107=""),"",IF(OR($I107="Completed",$I107="Cancelled"),"Closed - in Manager Report","Active - in Manager Report"))</f>
        <v/>
      </c>
      <c r="AD107" s="81">
        <f>IF($A107="","",IFERROR(TEXTJOIN(", ",TRUE,FILTER(Task_Steps!$A$5:$A$2004,Task_Steps!$B$5:$B$2004=$A107)),""))</f>
        <v/>
      </c>
      <c r="AE107" s="84">
        <f>IF($A107="","",COUNTIFS(Task_Steps!$B$5:$B$2004,$A107,Task_Steps!$H$5:$H$2004,"&lt;&gt;Completed",Task_Steps!$H$5:$H$2004,"&lt;&gt;Cancelled"))</f>
        <v/>
      </c>
      <c r="AF107" s="81">
        <f>IF(OR($B107="",$A107=""),"",$B107&amp;" | "&amp;$A107)</f>
        <v/>
      </c>
    </row>
    <row r="108" ht="15" customHeight="1" s="40">
      <c r="A108" s="65">
        <f>IF(COUNTA(B108:F108)=0,"","TSK-"&amp;TEXT(ROW()-4,"0000"))</f>
        <v/>
      </c>
      <c r="B108" s="78" t="n"/>
      <c r="C108" s="78" t="n"/>
      <c r="D108" s="81" t="n"/>
      <c r="E108" s="81" t="n"/>
      <c r="F108" s="78" t="n"/>
      <c r="G108" s="67">
        <f>IF($F108="","",IFERROR(INDEX(Employee_Master!$C$5:$C$204,MATCH($F108,Employee_Master!$B$5:$B$204,0)),""))</f>
        <v/>
      </c>
      <c r="H108" s="78" t="n"/>
      <c r="I108" s="78" t="n"/>
      <c r="J108" s="67">
        <f>IF($I108="","",IFERROR(INDEX(Action_Status_Map!$B$5:$B$11,MATCH($I108,Action_Status_Map!$A$5:$A$11,0)),""))</f>
        <v/>
      </c>
      <c r="K108" s="82" t="n"/>
      <c r="L108" s="82" t="n"/>
      <c r="M108" s="82" t="n"/>
      <c r="N108" s="83" t="n"/>
      <c r="O108" s="83" t="n"/>
      <c r="P108" s="66">
        <f>IF(OR($N108="",$O108=""),"",$O108-$N108)</f>
        <v/>
      </c>
      <c r="Q108" s="84">
        <f>IF($K108="","",IF($M108&lt;&gt;"",$M108-$K108,TODAY()-$K108))</f>
        <v/>
      </c>
      <c r="R108" s="85">
        <f>IF(OR($L108="",$I108="Completed",$I108="Cancelled"),"",IF(AND($L108&lt;TODAY(),$I108&lt;&gt;"Completed",$I108&lt;&gt;"Cancelled"),"Overdue","On Track"))</f>
        <v/>
      </c>
      <c r="S108" s="65">
        <f>IF($L108="","",TEXT($L108,"yyyy-mm"))</f>
        <v/>
      </c>
      <c r="T108" s="86">
        <f>IF($I108="","",IFERROR(INDEX(Action_Status_Map!$C$5:$C$11,MATCH($I108,Action_Status_Map!$A$5:$A$11,0)),""))</f>
        <v/>
      </c>
      <c r="U108" s="81" t="n"/>
      <c r="V108" s="82" t="n"/>
      <c r="W108" s="65">
        <f>IF(OR($I108&lt;&gt;"Completed",$M108="",$L108=""),"",IF($M108&lt;=$L108,"Yes","No"))</f>
        <v/>
      </c>
      <c r="X108" s="84">
        <f>IF($A108="","",COUNTIF(Task_Steps!$B$5:$B$2004,$A108))</f>
        <v/>
      </c>
      <c r="Y108" s="86">
        <f>IF($X108=0,"",COUNTIFS(Task_Steps!$B$5:$B$2004,$A108,Task_Steps!$H$5:$H$2004,"Completed")/$X108)</f>
        <v/>
      </c>
      <c r="Z108" s="81" t="n"/>
      <c r="AA108" s="81" t="n"/>
      <c r="AB108" s="67">
        <f>IF($F108="","",IFERROR(INDEX(Employee_Master!$E$5:$E$204,MATCH($F108,Employee_Master!$B$5:$B$204,0)),""))</f>
        <v/>
      </c>
      <c r="AC108" s="65">
        <f>IF(OR($A108="",$AB108=""),"",IF(OR($I108="Completed",$I108="Cancelled"),"Closed - in Manager Report","Active - in Manager Report"))</f>
        <v/>
      </c>
      <c r="AD108" s="81">
        <f>IF($A108="","",IFERROR(TEXTJOIN(", ",TRUE,FILTER(Task_Steps!$A$5:$A$2004,Task_Steps!$B$5:$B$2004=$A108)),""))</f>
        <v/>
      </c>
      <c r="AE108" s="84">
        <f>IF($A108="","",COUNTIFS(Task_Steps!$B$5:$B$2004,$A108,Task_Steps!$H$5:$H$2004,"&lt;&gt;Completed",Task_Steps!$H$5:$H$2004,"&lt;&gt;Cancelled"))</f>
        <v/>
      </c>
      <c r="AF108" s="81">
        <f>IF(OR($B108="",$A108=""),"",$B108&amp;" | "&amp;$A108)</f>
        <v/>
      </c>
    </row>
    <row r="109" ht="15" customHeight="1" s="40">
      <c r="A109" s="65">
        <f>IF(COUNTA(B109:F109)=0,"","TSK-"&amp;TEXT(ROW()-4,"0000"))</f>
        <v/>
      </c>
      <c r="B109" s="78" t="n"/>
      <c r="C109" s="78" t="n"/>
      <c r="D109" s="81" t="n"/>
      <c r="E109" s="81" t="n"/>
      <c r="F109" s="78" t="n"/>
      <c r="G109" s="67">
        <f>IF($F109="","",IFERROR(INDEX(Employee_Master!$C$5:$C$204,MATCH($F109,Employee_Master!$B$5:$B$204,0)),""))</f>
        <v/>
      </c>
      <c r="H109" s="78" t="n"/>
      <c r="I109" s="78" t="n"/>
      <c r="J109" s="67">
        <f>IF($I109="","",IFERROR(INDEX(Action_Status_Map!$B$5:$B$11,MATCH($I109,Action_Status_Map!$A$5:$A$11,0)),""))</f>
        <v/>
      </c>
      <c r="K109" s="82" t="n"/>
      <c r="L109" s="82" t="n"/>
      <c r="M109" s="82" t="n"/>
      <c r="N109" s="83" t="n"/>
      <c r="O109" s="83" t="n"/>
      <c r="P109" s="66">
        <f>IF(OR($N109="",$O109=""),"",$O109-$N109)</f>
        <v/>
      </c>
      <c r="Q109" s="84">
        <f>IF($K109="","",IF($M109&lt;&gt;"",$M109-$K109,TODAY()-$K109))</f>
        <v/>
      </c>
      <c r="R109" s="85">
        <f>IF(OR($L109="",$I109="Completed",$I109="Cancelled"),"",IF(AND($L109&lt;TODAY(),$I109&lt;&gt;"Completed",$I109&lt;&gt;"Cancelled"),"Overdue","On Track"))</f>
        <v/>
      </c>
      <c r="S109" s="65">
        <f>IF($L109="","",TEXT($L109,"yyyy-mm"))</f>
        <v/>
      </c>
      <c r="T109" s="86">
        <f>IF($I109="","",IFERROR(INDEX(Action_Status_Map!$C$5:$C$11,MATCH($I109,Action_Status_Map!$A$5:$A$11,0)),""))</f>
        <v/>
      </c>
      <c r="U109" s="81" t="n"/>
      <c r="V109" s="82" t="n"/>
      <c r="W109" s="65">
        <f>IF(OR($I109&lt;&gt;"Completed",$M109="",$L109=""),"",IF($M109&lt;=$L109,"Yes","No"))</f>
        <v/>
      </c>
      <c r="X109" s="84">
        <f>IF($A109="","",COUNTIF(Task_Steps!$B$5:$B$2004,$A109))</f>
        <v/>
      </c>
      <c r="Y109" s="86">
        <f>IF($X109=0,"",COUNTIFS(Task_Steps!$B$5:$B$2004,$A109,Task_Steps!$H$5:$H$2004,"Completed")/$X109)</f>
        <v/>
      </c>
      <c r="Z109" s="81" t="n"/>
      <c r="AA109" s="81" t="n"/>
      <c r="AB109" s="67">
        <f>IF($F109="","",IFERROR(INDEX(Employee_Master!$E$5:$E$204,MATCH($F109,Employee_Master!$B$5:$B$204,0)),""))</f>
        <v/>
      </c>
      <c r="AC109" s="65">
        <f>IF(OR($A109="",$AB109=""),"",IF(OR($I109="Completed",$I109="Cancelled"),"Closed - in Manager Report","Active - in Manager Report"))</f>
        <v/>
      </c>
      <c r="AD109" s="81">
        <f>IF($A109="","",IFERROR(TEXTJOIN(", ",TRUE,FILTER(Task_Steps!$A$5:$A$2004,Task_Steps!$B$5:$B$2004=$A109)),""))</f>
        <v/>
      </c>
      <c r="AE109" s="84">
        <f>IF($A109="","",COUNTIFS(Task_Steps!$B$5:$B$2004,$A109,Task_Steps!$H$5:$H$2004,"&lt;&gt;Completed",Task_Steps!$H$5:$H$2004,"&lt;&gt;Cancelled"))</f>
        <v/>
      </c>
      <c r="AF109" s="81">
        <f>IF(OR($B109="",$A109=""),"",$B109&amp;" | "&amp;$A109)</f>
        <v/>
      </c>
    </row>
    <row r="110" ht="15" customHeight="1" s="40">
      <c r="A110" s="65">
        <f>IF(COUNTA(B110:F110)=0,"","TSK-"&amp;TEXT(ROW()-4,"0000"))</f>
        <v/>
      </c>
      <c r="B110" s="78" t="n"/>
      <c r="C110" s="78" t="n"/>
      <c r="D110" s="81" t="n"/>
      <c r="E110" s="81" t="n"/>
      <c r="F110" s="78" t="n"/>
      <c r="G110" s="67">
        <f>IF($F110="","",IFERROR(INDEX(Employee_Master!$C$5:$C$204,MATCH($F110,Employee_Master!$B$5:$B$204,0)),""))</f>
        <v/>
      </c>
      <c r="H110" s="78" t="n"/>
      <c r="I110" s="78" t="n"/>
      <c r="J110" s="67">
        <f>IF($I110="","",IFERROR(INDEX(Action_Status_Map!$B$5:$B$11,MATCH($I110,Action_Status_Map!$A$5:$A$11,0)),""))</f>
        <v/>
      </c>
      <c r="K110" s="82" t="n"/>
      <c r="L110" s="82" t="n"/>
      <c r="M110" s="82" t="n"/>
      <c r="N110" s="83" t="n"/>
      <c r="O110" s="83" t="n"/>
      <c r="P110" s="66">
        <f>IF(OR($N110="",$O110=""),"",$O110-$N110)</f>
        <v/>
      </c>
      <c r="Q110" s="84">
        <f>IF($K110="","",IF($M110&lt;&gt;"",$M110-$K110,TODAY()-$K110))</f>
        <v/>
      </c>
      <c r="R110" s="85">
        <f>IF(OR($L110="",$I110="Completed",$I110="Cancelled"),"",IF(AND($L110&lt;TODAY(),$I110&lt;&gt;"Completed",$I110&lt;&gt;"Cancelled"),"Overdue","On Track"))</f>
        <v/>
      </c>
      <c r="S110" s="65">
        <f>IF($L110="","",TEXT($L110,"yyyy-mm"))</f>
        <v/>
      </c>
      <c r="T110" s="86">
        <f>IF($I110="","",IFERROR(INDEX(Action_Status_Map!$C$5:$C$11,MATCH($I110,Action_Status_Map!$A$5:$A$11,0)),""))</f>
        <v/>
      </c>
      <c r="U110" s="81" t="n"/>
      <c r="V110" s="82" t="n"/>
      <c r="W110" s="65">
        <f>IF(OR($I110&lt;&gt;"Completed",$M110="",$L110=""),"",IF($M110&lt;=$L110,"Yes","No"))</f>
        <v/>
      </c>
      <c r="X110" s="84">
        <f>IF($A110="","",COUNTIF(Task_Steps!$B$5:$B$2004,$A110))</f>
        <v/>
      </c>
      <c r="Y110" s="86">
        <f>IF($X110=0,"",COUNTIFS(Task_Steps!$B$5:$B$2004,$A110,Task_Steps!$H$5:$H$2004,"Completed")/$X110)</f>
        <v/>
      </c>
      <c r="Z110" s="81" t="n"/>
      <c r="AA110" s="81" t="n"/>
      <c r="AB110" s="67">
        <f>IF($F110="","",IFERROR(INDEX(Employee_Master!$E$5:$E$204,MATCH($F110,Employee_Master!$B$5:$B$204,0)),""))</f>
        <v/>
      </c>
      <c r="AC110" s="65">
        <f>IF(OR($A110="",$AB110=""),"",IF(OR($I110="Completed",$I110="Cancelled"),"Closed - in Manager Report","Active - in Manager Report"))</f>
        <v/>
      </c>
      <c r="AD110" s="81">
        <f>IF($A110="","",IFERROR(TEXTJOIN(", ",TRUE,FILTER(Task_Steps!$A$5:$A$2004,Task_Steps!$B$5:$B$2004=$A110)),""))</f>
        <v/>
      </c>
      <c r="AE110" s="84">
        <f>IF($A110="","",COUNTIFS(Task_Steps!$B$5:$B$2004,$A110,Task_Steps!$H$5:$H$2004,"&lt;&gt;Completed",Task_Steps!$H$5:$H$2004,"&lt;&gt;Cancelled"))</f>
        <v/>
      </c>
      <c r="AF110" s="81">
        <f>IF(OR($B110="",$A110=""),"",$B110&amp;" | "&amp;$A110)</f>
        <v/>
      </c>
    </row>
    <row r="111" ht="15" customHeight="1" s="40">
      <c r="A111" s="65">
        <f>IF(COUNTA(B111:F111)=0,"","TSK-"&amp;TEXT(ROW()-4,"0000"))</f>
        <v/>
      </c>
      <c r="B111" s="78" t="n"/>
      <c r="C111" s="78" t="n"/>
      <c r="D111" s="81" t="n"/>
      <c r="E111" s="81" t="n"/>
      <c r="F111" s="78" t="n"/>
      <c r="G111" s="67">
        <f>IF($F111="","",IFERROR(INDEX(Employee_Master!$C$5:$C$204,MATCH($F111,Employee_Master!$B$5:$B$204,0)),""))</f>
        <v/>
      </c>
      <c r="H111" s="78" t="n"/>
      <c r="I111" s="78" t="n"/>
      <c r="J111" s="67">
        <f>IF($I111="","",IFERROR(INDEX(Action_Status_Map!$B$5:$B$11,MATCH($I111,Action_Status_Map!$A$5:$A$11,0)),""))</f>
        <v/>
      </c>
      <c r="K111" s="82" t="n"/>
      <c r="L111" s="82" t="n"/>
      <c r="M111" s="82" t="n"/>
      <c r="N111" s="83" t="n"/>
      <c r="O111" s="83" t="n"/>
      <c r="P111" s="66">
        <f>IF(OR($N111="",$O111=""),"",$O111-$N111)</f>
        <v/>
      </c>
      <c r="Q111" s="84">
        <f>IF($K111="","",IF($M111&lt;&gt;"",$M111-$K111,TODAY()-$K111))</f>
        <v/>
      </c>
      <c r="R111" s="85">
        <f>IF(OR($L111="",$I111="Completed",$I111="Cancelled"),"",IF(AND($L111&lt;TODAY(),$I111&lt;&gt;"Completed",$I111&lt;&gt;"Cancelled"),"Overdue","On Track"))</f>
        <v/>
      </c>
      <c r="S111" s="65">
        <f>IF($L111="","",TEXT($L111,"yyyy-mm"))</f>
        <v/>
      </c>
      <c r="T111" s="86">
        <f>IF($I111="","",IFERROR(INDEX(Action_Status_Map!$C$5:$C$11,MATCH($I111,Action_Status_Map!$A$5:$A$11,0)),""))</f>
        <v/>
      </c>
      <c r="U111" s="81" t="n"/>
      <c r="V111" s="82" t="n"/>
      <c r="W111" s="65">
        <f>IF(OR($I111&lt;&gt;"Completed",$M111="",$L111=""),"",IF($M111&lt;=$L111,"Yes","No"))</f>
        <v/>
      </c>
      <c r="X111" s="84">
        <f>IF($A111="","",COUNTIF(Task_Steps!$B$5:$B$2004,$A111))</f>
        <v/>
      </c>
      <c r="Y111" s="86">
        <f>IF($X111=0,"",COUNTIFS(Task_Steps!$B$5:$B$2004,$A111,Task_Steps!$H$5:$H$2004,"Completed")/$X111)</f>
        <v/>
      </c>
      <c r="Z111" s="81" t="n"/>
      <c r="AA111" s="81" t="n"/>
      <c r="AB111" s="67">
        <f>IF($F111="","",IFERROR(INDEX(Employee_Master!$E$5:$E$204,MATCH($F111,Employee_Master!$B$5:$B$204,0)),""))</f>
        <v/>
      </c>
      <c r="AC111" s="65">
        <f>IF(OR($A111="",$AB111=""),"",IF(OR($I111="Completed",$I111="Cancelled"),"Closed - in Manager Report","Active - in Manager Report"))</f>
        <v/>
      </c>
      <c r="AD111" s="81">
        <f>IF($A111="","",IFERROR(TEXTJOIN(", ",TRUE,FILTER(Task_Steps!$A$5:$A$2004,Task_Steps!$B$5:$B$2004=$A111)),""))</f>
        <v/>
      </c>
      <c r="AE111" s="84">
        <f>IF($A111="","",COUNTIFS(Task_Steps!$B$5:$B$2004,$A111,Task_Steps!$H$5:$H$2004,"&lt;&gt;Completed",Task_Steps!$H$5:$H$2004,"&lt;&gt;Cancelled"))</f>
        <v/>
      </c>
      <c r="AF111" s="81">
        <f>IF(OR($B111="",$A111=""),"",$B111&amp;" | "&amp;$A111)</f>
        <v/>
      </c>
    </row>
    <row r="112" ht="15" customHeight="1" s="40">
      <c r="A112" s="65">
        <f>IF(COUNTA(B112:F112)=0,"","TSK-"&amp;TEXT(ROW()-4,"0000"))</f>
        <v/>
      </c>
      <c r="B112" s="78" t="n"/>
      <c r="C112" s="78" t="n"/>
      <c r="D112" s="81" t="n"/>
      <c r="E112" s="81" t="n"/>
      <c r="F112" s="78" t="n"/>
      <c r="G112" s="67">
        <f>IF($F112="","",IFERROR(INDEX(Employee_Master!$C$5:$C$204,MATCH($F112,Employee_Master!$B$5:$B$204,0)),""))</f>
        <v/>
      </c>
      <c r="H112" s="78" t="n"/>
      <c r="I112" s="78" t="n"/>
      <c r="J112" s="67">
        <f>IF($I112="","",IFERROR(INDEX(Action_Status_Map!$B$5:$B$11,MATCH($I112,Action_Status_Map!$A$5:$A$11,0)),""))</f>
        <v/>
      </c>
      <c r="K112" s="82" t="n"/>
      <c r="L112" s="82" t="n"/>
      <c r="M112" s="82" t="n"/>
      <c r="N112" s="83" t="n"/>
      <c r="O112" s="83" t="n"/>
      <c r="P112" s="66">
        <f>IF(OR($N112="",$O112=""),"",$O112-$N112)</f>
        <v/>
      </c>
      <c r="Q112" s="84">
        <f>IF($K112="","",IF($M112&lt;&gt;"",$M112-$K112,TODAY()-$K112))</f>
        <v/>
      </c>
      <c r="R112" s="85">
        <f>IF(OR($L112="",$I112="Completed",$I112="Cancelled"),"",IF(AND($L112&lt;TODAY(),$I112&lt;&gt;"Completed",$I112&lt;&gt;"Cancelled"),"Overdue","On Track"))</f>
        <v/>
      </c>
      <c r="S112" s="65">
        <f>IF($L112="","",TEXT($L112,"yyyy-mm"))</f>
        <v/>
      </c>
      <c r="T112" s="86">
        <f>IF($I112="","",IFERROR(INDEX(Action_Status_Map!$C$5:$C$11,MATCH($I112,Action_Status_Map!$A$5:$A$11,0)),""))</f>
        <v/>
      </c>
      <c r="U112" s="81" t="n"/>
      <c r="V112" s="82" t="n"/>
      <c r="W112" s="65">
        <f>IF(OR($I112&lt;&gt;"Completed",$M112="",$L112=""),"",IF($M112&lt;=$L112,"Yes","No"))</f>
        <v/>
      </c>
      <c r="X112" s="84">
        <f>IF($A112="","",COUNTIF(Task_Steps!$B$5:$B$2004,$A112))</f>
        <v/>
      </c>
      <c r="Y112" s="86">
        <f>IF($X112=0,"",COUNTIFS(Task_Steps!$B$5:$B$2004,$A112,Task_Steps!$H$5:$H$2004,"Completed")/$X112)</f>
        <v/>
      </c>
      <c r="Z112" s="81" t="n"/>
      <c r="AA112" s="81" t="n"/>
      <c r="AB112" s="67">
        <f>IF($F112="","",IFERROR(INDEX(Employee_Master!$E$5:$E$204,MATCH($F112,Employee_Master!$B$5:$B$204,0)),""))</f>
        <v/>
      </c>
      <c r="AC112" s="65">
        <f>IF(OR($A112="",$AB112=""),"",IF(OR($I112="Completed",$I112="Cancelled"),"Closed - in Manager Report","Active - in Manager Report"))</f>
        <v/>
      </c>
      <c r="AD112" s="81">
        <f>IF($A112="","",IFERROR(TEXTJOIN(", ",TRUE,FILTER(Task_Steps!$A$5:$A$2004,Task_Steps!$B$5:$B$2004=$A112)),""))</f>
        <v/>
      </c>
      <c r="AE112" s="84">
        <f>IF($A112="","",COUNTIFS(Task_Steps!$B$5:$B$2004,$A112,Task_Steps!$H$5:$H$2004,"&lt;&gt;Completed",Task_Steps!$H$5:$H$2004,"&lt;&gt;Cancelled"))</f>
        <v/>
      </c>
      <c r="AF112" s="81">
        <f>IF(OR($B112="",$A112=""),"",$B112&amp;" | "&amp;$A112)</f>
        <v/>
      </c>
    </row>
    <row r="113" ht="15" customHeight="1" s="40">
      <c r="A113" s="65">
        <f>IF(COUNTA(B113:F113)=0,"","TSK-"&amp;TEXT(ROW()-4,"0000"))</f>
        <v/>
      </c>
      <c r="B113" s="78" t="n"/>
      <c r="C113" s="78" t="n"/>
      <c r="D113" s="81" t="n"/>
      <c r="E113" s="81" t="n"/>
      <c r="F113" s="78" t="n"/>
      <c r="G113" s="67">
        <f>IF($F113="","",IFERROR(INDEX(Employee_Master!$C$5:$C$204,MATCH($F113,Employee_Master!$B$5:$B$204,0)),""))</f>
        <v/>
      </c>
      <c r="H113" s="78" t="n"/>
      <c r="I113" s="78" t="n"/>
      <c r="J113" s="67">
        <f>IF($I113="","",IFERROR(INDEX(Action_Status_Map!$B$5:$B$11,MATCH($I113,Action_Status_Map!$A$5:$A$11,0)),""))</f>
        <v/>
      </c>
      <c r="K113" s="82" t="n"/>
      <c r="L113" s="82" t="n"/>
      <c r="M113" s="82" t="n"/>
      <c r="N113" s="83" t="n"/>
      <c r="O113" s="83" t="n"/>
      <c r="P113" s="66">
        <f>IF(OR($N113="",$O113=""),"",$O113-$N113)</f>
        <v/>
      </c>
      <c r="Q113" s="84">
        <f>IF($K113="","",IF($M113&lt;&gt;"",$M113-$K113,TODAY()-$K113))</f>
        <v/>
      </c>
      <c r="R113" s="85">
        <f>IF(OR($L113="",$I113="Completed",$I113="Cancelled"),"",IF(AND($L113&lt;TODAY(),$I113&lt;&gt;"Completed",$I113&lt;&gt;"Cancelled"),"Overdue","On Track"))</f>
        <v/>
      </c>
      <c r="S113" s="65">
        <f>IF($L113="","",TEXT($L113,"yyyy-mm"))</f>
        <v/>
      </c>
      <c r="T113" s="86">
        <f>IF($I113="","",IFERROR(INDEX(Action_Status_Map!$C$5:$C$11,MATCH($I113,Action_Status_Map!$A$5:$A$11,0)),""))</f>
        <v/>
      </c>
      <c r="U113" s="81" t="n"/>
      <c r="V113" s="82" t="n"/>
      <c r="W113" s="65">
        <f>IF(OR($I113&lt;&gt;"Completed",$M113="",$L113=""),"",IF($M113&lt;=$L113,"Yes","No"))</f>
        <v/>
      </c>
      <c r="X113" s="84">
        <f>IF($A113="","",COUNTIF(Task_Steps!$B$5:$B$2004,$A113))</f>
        <v/>
      </c>
      <c r="Y113" s="86">
        <f>IF($X113=0,"",COUNTIFS(Task_Steps!$B$5:$B$2004,$A113,Task_Steps!$H$5:$H$2004,"Completed")/$X113)</f>
        <v/>
      </c>
      <c r="Z113" s="81" t="n"/>
      <c r="AA113" s="81" t="n"/>
      <c r="AB113" s="67">
        <f>IF($F113="","",IFERROR(INDEX(Employee_Master!$E$5:$E$204,MATCH($F113,Employee_Master!$B$5:$B$204,0)),""))</f>
        <v/>
      </c>
      <c r="AC113" s="65">
        <f>IF(OR($A113="",$AB113=""),"",IF(OR($I113="Completed",$I113="Cancelled"),"Closed - in Manager Report","Active - in Manager Report"))</f>
        <v/>
      </c>
      <c r="AD113" s="81">
        <f>IF($A113="","",IFERROR(TEXTJOIN(", ",TRUE,FILTER(Task_Steps!$A$5:$A$2004,Task_Steps!$B$5:$B$2004=$A113)),""))</f>
        <v/>
      </c>
      <c r="AE113" s="84">
        <f>IF($A113="","",COUNTIFS(Task_Steps!$B$5:$B$2004,$A113,Task_Steps!$H$5:$H$2004,"&lt;&gt;Completed",Task_Steps!$H$5:$H$2004,"&lt;&gt;Cancelled"))</f>
        <v/>
      </c>
      <c r="AF113" s="81">
        <f>IF(OR($B113="",$A113=""),"",$B113&amp;" | "&amp;$A113)</f>
        <v/>
      </c>
    </row>
    <row r="114" ht="15" customHeight="1" s="40">
      <c r="A114" s="65">
        <f>IF(COUNTA(B114:F114)=0,"","TSK-"&amp;TEXT(ROW()-4,"0000"))</f>
        <v/>
      </c>
      <c r="B114" s="78" t="n"/>
      <c r="C114" s="78" t="n"/>
      <c r="D114" s="81" t="n"/>
      <c r="E114" s="81" t="n"/>
      <c r="F114" s="78" t="n"/>
      <c r="G114" s="67">
        <f>IF($F114="","",IFERROR(INDEX(Employee_Master!$C$5:$C$204,MATCH($F114,Employee_Master!$B$5:$B$204,0)),""))</f>
        <v/>
      </c>
      <c r="H114" s="78" t="n"/>
      <c r="I114" s="78" t="n"/>
      <c r="J114" s="67">
        <f>IF($I114="","",IFERROR(INDEX(Action_Status_Map!$B$5:$B$11,MATCH($I114,Action_Status_Map!$A$5:$A$11,0)),""))</f>
        <v/>
      </c>
      <c r="K114" s="82" t="n"/>
      <c r="L114" s="82" t="n"/>
      <c r="M114" s="82" t="n"/>
      <c r="N114" s="83" t="n"/>
      <c r="O114" s="83" t="n"/>
      <c r="P114" s="66">
        <f>IF(OR($N114="",$O114=""),"",$O114-$N114)</f>
        <v/>
      </c>
      <c r="Q114" s="84">
        <f>IF($K114="","",IF($M114&lt;&gt;"",$M114-$K114,TODAY()-$K114))</f>
        <v/>
      </c>
      <c r="R114" s="85">
        <f>IF(OR($L114="",$I114="Completed",$I114="Cancelled"),"",IF(AND($L114&lt;TODAY(),$I114&lt;&gt;"Completed",$I114&lt;&gt;"Cancelled"),"Overdue","On Track"))</f>
        <v/>
      </c>
      <c r="S114" s="65">
        <f>IF($L114="","",TEXT($L114,"yyyy-mm"))</f>
        <v/>
      </c>
      <c r="T114" s="86">
        <f>IF($I114="","",IFERROR(INDEX(Action_Status_Map!$C$5:$C$11,MATCH($I114,Action_Status_Map!$A$5:$A$11,0)),""))</f>
        <v/>
      </c>
      <c r="U114" s="81" t="n"/>
      <c r="V114" s="82" t="n"/>
      <c r="W114" s="65">
        <f>IF(OR($I114&lt;&gt;"Completed",$M114="",$L114=""),"",IF($M114&lt;=$L114,"Yes","No"))</f>
        <v/>
      </c>
      <c r="X114" s="84">
        <f>IF($A114="","",COUNTIF(Task_Steps!$B$5:$B$2004,$A114))</f>
        <v/>
      </c>
      <c r="Y114" s="86">
        <f>IF($X114=0,"",COUNTIFS(Task_Steps!$B$5:$B$2004,$A114,Task_Steps!$H$5:$H$2004,"Completed")/$X114)</f>
        <v/>
      </c>
      <c r="Z114" s="81" t="n"/>
      <c r="AA114" s="81" t="n"/>
      <c r="AB114" s="67">
        <f>IF($F114="","",IFERROR(INDEX(Employee_Master!$E$5:$E$204,MATCH($F114,Employee_Master!$B$5:$B$204,0)),""))</f>
        <v/>
      </c>
      <c r="AC114" s="65">
        <f>IF(OR($A114="",$AB114=""),"",IF(OR($I114="Completed",$I114="Cancelled"),"Closed - in Manager Report","Active - in Manager Report"))</f>
        <v/>
      </c>
      <c r="AD114" s="81">
        <f>IF($A114="","",IFERROR(TEXTJOIN(", ",TRUE,FILTER(Task_Steps!$A$5:$A$2004,Task_Steps!$B$5:$B$2004=$A114)),""))</f>
        <v/>
      </c>
      <c r="AE114" s="84">
        <f>IF($A114="","",COUNTIFS(Task_Steps!$B$5:$B$2004,$A114,Task_Steps!$H$5:$H$2004,"&lt;&gt;Completed",Task_Steps!$H$5:$H$2004,"&lt;&gt;Cancelled"))</f>
        <v/>
      </c>
      <c r="AF114" s="81">
        <f>IF(OR($B114="",$A114=""),"",$B114&amp;" | "&amp;$A114)</f>
        <v/>
      </c>
    </row>
    <row r="115" ht="15" customHeight="1" s="40">
      <c r="A115" s="65">
        <f>IF(COUNTA(B115:F115)=0,"","TSK-"&amp;TEXT(ROW()-4,"0000"))</f>
        <v/>
      </c>
      <c r="B115" s="78" t="n"/>
      <c r="C115" s="78" t="n"/>
      <c r="D115" s="81" t="n"/>
      <c r="E115" s="81" t="n"/>
      <c r="F115" s="78" t="n"/>
      <c r="G115" s="67">
        <f>IF($F115="","",IFERROR(INDEX(Employee_Master!$C$5:$C$204,MATCH($F115,Employee_Master!$B$5:$B$204,0)),""))</f>
        <v/>
      </c>
      <c r="H115" s="78" t="n"/>
      <c r="I115" s="78" t="n"/>
      <c r="J115" s="67">
        <f>IF($I115="","",IFERROR(INDEX(Action_Status_Map!$B$5:$B$11,MATCH($I115,Action_Status_Map!$A$5:$A$11,0)),""))</f>
        <v/>
      </c>
      <c r="K115" s="82" t="n"/>
      <c r="L115" s="82" t="n"/>
      <c r="M115" s="82" t="n"/>
      <c r="N115" s="83" t="n"/>
      <c r="O115" s="83" t="n"/>
      <c r="P115" s="66">
        <f>IF(OR($N115="",$O115=""),"",$O115-$N115)</f>
        <v/>
      </c>
      <c r="Q115" s="84">
        <f>IF($K115="","",IF($M115&lt;&gt;"",$M115-$K115,TODAY()-$K115))</f>
        <v/>
      </c>
      <c r="R115" s="85">
        <f>IF(OR($L115="",$I115="Completed",$I115="Cancelled"),"",IF(AND($L115&lt;TODAY(),$I115&lt;&gt;"Completed",$I115&lt;&gt;"Cancelled"),"Overdue","On Track"))</f>
        <v/>
      </c>
      <c r="S115" s="65">
        <f>IF($L115="","",TEXT($L115,"yyyy-mm"))</f>
        <v/>
      </c>
      <c r="T115" s="86">
        <f>IF($I115="","",IFERROR(INDEX(Action_Status_Map!$C$5:$C$11,MATCH($I115,Action_Status_Map!$A$5:$A$11,0)),""))</f>
        <v/>
      </c>
      <c r="U115" s="81" t="n"/>
      <c r="V115" s="82" t="n"/>
      <c r="W115" s="65">
        <f>IF(OR($I115&lt;&gt;"Completed",$M115="",$L115=""),"",IF($M115&lt;=$L115,"Yes","No"))</f>
        <v/>
      </c>
      <c r="X115" s="84">
        <f>IF($A115="","",COUNTIF(Task_Steps!$B$5:$B$2004,$A115))</f>
        <v/>
      </c>
      <c r="Y115" s="86">
        <f>IF($X115=0,"",COUNTIFS(Task_Steps!$B$5:$B$2004,$A115,Task_Steps!$H$5:$H$2004,"Completed")/$X115)</f>
        <v/>
      </c>
      <c r="Z115" s="81" t="n"/>
      <c r="AA115" s="81" t="n"/>
      <c r="AB115" s="67">
        <f>IF($F115="","",IFERROR(INDEX(Employee_Master!$E$5:$E$204,MATCH($F115,Employee_Master!$B$5:$B$204,0)),""))</f>
        <v/>
      </c>
      <c r="AC115" s="65">
        <f>IF(OR($A115="",$AB115=""),"",IF(OR($I115="Completed",$I115="Cancelled"),"Closed - in Manager Report","Active - in Manager Report"))</f>
        <v/>
      </c>
      <c r="AD115" s="81">
        <f>IF($A115="","",IFERROR(TEXTJOIN(", ",TRUE,FILTER(Task_Steps!$A$5:$A$2004,Task_Steps!$B$5:$B$2004=$A115)),""))</f>
        <v/>
      </c>
      <c r="AE115" s="84">
        <f>IF($A115="","",COUNTIFS(Task_Steps!$B$5:$B$2004,$A115,Task_Steps!$H$5:$H$2004,"&lt;&gt;Completed",Task_Steps!$H$5:$H$2004,"&lt;&gt;Cancelled"))</f>
        <v/>
      </c>
      <c r="AF115" s="81">
        <f>IF(OR($B115="",$A115=""),"",$B115&amp;" | "&amp;$A115)</f>
        <v/>
      </c>
    </row>
    <row r="116" ht="15" customHeight="1" s="40">
      <c r="A116" s="65">
        <f>IF(COUNTA(B116:F116)=0,"","TSK-"&amp;TEXT(ROW()-4,"0000"))</f>
        <v/>
      </c>
      <c r="B116" s="78" t="n"/>
      <c r="C116" s="78" t="n"/>
      <c r="D116" s="81" t="n"/>
      <c r="E116" s="81" t="n"/>
      <c r="F116" s="78" t="n"/>
      <c r="G116" s="67">
        <f>IF($F116="","",IFERROR(INDEX(Employee_Master!$C$5:$C$204,MATCH($F116,Employee_Master!$B$5:$B$204,0)),""))</f>
        <v/>
      </c>
      <c r="H116" s="78" t="n"/>
      <c r="I116" s="78" t="n"/>
      <c r="J116" s="67">
        <f>IF($I116="","",IFERROR(INDEX(Action_Status_Map!$B$5:$B$11,MATCH($I116,Action_Status_Map!$A$5:$A$11,0)),""))</f>
        <v/>
      </c>
      <c r="K116" s="82" t="n"/>
      <c r="L116" s="82" t="n"/>
      <c r="M116" s="82" t="n"/>
      <c r="N116" s="83" t="n"/>
      <c r="O116" s="83" t="n"/>
      <c r="P116" s="66">
        <f>IF(OR($N116="",$O116=""),"",$O116-$N116)</f>
        <v/>
      </c>
      <c r="Q116" s="84">
        <f>IF($K116="","",IF($M116&lt;&gt;"",$M116-$K116,TODAY()-$K116))</f>
        <v/>
      </c>
      <c r="R116" s="85">
        <f>IF(OR($L116="",$I116="Completed",$I116="Cancelled"),"",IF(AND($L116&lt;TODAY(),$I116&lt;&gt;"Completed",$I116&lt;&gt;"Cancelled"),"Overdue","On Track"))</f>
        <v/>
      </c>
      <c r="S116" s="65">
        <f>IF($L116="","",TEXT($L116,"yyyy-mm"))</f>
        <v/>
      </c>
      <c r="T116" s="86">
        <f>IF($I116="","",IFERROR(INDEX(Action_Status_Map!$C$5:$C$11,MATCH($I116,Action_Status_Map!$A$5:$A$11,0)),""))</f>
        <v/>
      </c>
      <c r="U116" s="81" t="n"/>
      <c r="V116" s="82" t="n"/>
      <c r="W116" s="65">
        <f>IF(OR($I116&lt;&gt;"Completed",$M116="",$L116=""),"",IF($M116&lt;=$L116,"Yes","No"))</f>
        <v/>
      </c>
      <c r="X116" s="84">
        <f>IF($A116="","",COUNTIF(Task_Steps!$B$5:$B$2004,$A116))</f>
        <v/>
      </c>
      <c r="Y116" s="86">
        <f>IF($X116=0,"",COUNTIFS(Task_Steps!$B$5:$B$2004,$A116,Task_Steps!$H$5:$H$2004,"Completed")/$X116)</f>
        <v/>
      </c>
      <c r="Z116" s="81" t="n"/>
      <c r="AA116" s="81" t="n"/>
      <c r="AB116" s="67">
        <f>IF($F116="","",IFERROR(INDEX(Employee_Master!$E$5:$E$204,MATCH($F116,Employee_Master!$B$5:$B$204,0)),""))</f>
        <v/>
      </c>
      <c r="AC116" s="65">
        <f>IF(OR($A116="",$AB116=""),"",IF(OR($I116="Completed",$I116="Cancelled"),"Closed - in Manager Report","Active - in Manager Report"))</f>
        <v/>
      </c>
      <c r="AD116" s="81">
        <f>IF($A116="","",IFERROR(TEXTJOIN(", ",TRUE,FILTER(Task_Steps!$A$5:$A$2004,Task_Steps!$B$5:$B$2004=$A116)),""))</f>
        <v/>
      </c>
      <c r="AE116" s="84">
        <f>IF($A116="","",COUNTIFS(Task_Steps!$B$5:$B$2004,$A116,Task_Steps!$H$5:$H$2004,"&lt;&gt;Completed",Task_Steps!$H$5:$H$2004,"&lt;&gt;Cancelled"))</f>
        <v/>
      </c>
      <c r="AF116" s="81">
        <f>IF(OR($B116="",$A116=""),"",$B116&amp;" | "&amp;$A116)</f>
        <v/>
      </c>
    </row>
    <row r="117" ht="15" customHeight="1" s="40">
      <c r="A117" s="65">
        <f>IF(COUNTA(B117:F117)=0,"","TSK-"&amp;TEXT(ROW()-4,"0000"))</f>
        <v/>
      </c>
      <c r="B117" s="78" t="n"/>
      <c r="C117" s="78" t="n"/>
      <c r="D117" s="81" t="n"/>
      <c r="E117" s="81" t="n"/>
      <c r="F117" s="78" t="n"/>
      <c r="G117" s="67">
        <f>IF($F117="","",IFERROR(INDEX(Employee_Master!$C$5:$C$204,MATCH($F117,Employee_Master!$B$5:$B$204,0)),""))</f>
        <v/>
      </c>
      <c r="H117" s="78" t="n"/>
      <c r="I117" s="78" t="n"/>
      <c r="J117" s="67">
        <f>IF($I117="","",IFERROR(INDEX(Action_Status_Map!$B$5:$B$11,MATCH($I117,Action_Status_Map!$A$5:$A$11,0)),""))</f>
        <v/>
      </c>
      <c r="K117" s="82" t="n"/>
      <c r="L117" s="82" t="n"/>
      <c r="M117" s="82" t="n"/>
      <c r="N117" s="83" t="n"/>
      <c r="O117" s="83" t="n"/>
      <c r="P117" s="66">
        <f>IF(OR($N117="",$O117=""),"",$O117-$N117)</f>
        <v/>
      </c>
      <c r="Q117" s="84">
        <f>IF($K117="","",IF($M117&lt;&gt;"",$M117-$K117,TODAY()-$K117))</f>
        <v/>
      </c>
      <c r="R117" s="85">
        <f>IF(OR($L117="",$I117="Completed",$I117="Cancelled"),"",IF(AND($L117&lt;TODAY(),$I117&lt;&gt;"Completed",$I117&lt;&gt;"Cancelled"),"Overdue","On Track"))</f>
        <v/>
      </c>
      <c r="S117" s="65">
        <f>IF($L117="","",TEXT($L117,"yyyy-mm"))</f>
        <v/>
      </c>
      <c r="T117" s="86">
        <f>IF($I117="","",IFERROR(INDEX(Action_Status_Map!$C$5:$C$11,MATCH($I117,Action_Status_Map!$A$5:$A$11,0)),""))</f>
        <v/>
      </c>
      <c r="U117" s="81" t="n"/>
      <c r="V117" s="82" t="n"/>
      <c r="W117" s="65">
        <f>IF(OR($I117&lt;&gt;"Completed",$M117="",$L117=""),"",IF($M117&lt;=$L117,"Yes","No"))</f>
        <v/>
      </c>
      <c r="X117" s="84">
        <f>IF($A117="","",COUNTIF(Task_Steps!$B$5:$B$2004,$A117))</f>
        <v/>
      </c>
      <c r="Y117" s="86">
        <f>IF($X117=0,"",COUNTIFS(Task_Steps!$B$5:$B$2004,$A117,Task_Steps!$H$5:$H$2004,"Completed")/$X117)</f>
        <v/>
      </c>
      <c r="Z117" s="81" t="n"/>
      <c r="AA117" s="81" t="n"/>
      <c r="AB117" s="67">
        <f>IF($F117="","",IFERROR(INDEX(Employee_Master!$E$5:$E$204,MATCH($F117,Employee_Master!$B$5:$B$204,0)),""))</f>
        <v/>
      </c>
      <c r="AC117" s="65">
        <f>IF(OR($A117="",$AB117=""),"",IF(OR($I117="Completed",$I117="Cancelled"),"Closed - in Manager Report","Active - in Manager Report"))</f>
        <v/>
      </c>
      <c r="AD117" s="81">
        <f>IF($A117="","",IFERROR(TEXTJOIN(", ",TRUE,FILTER(Task_Steps!$A$5:$A$2004,Task_Steps!$B$5:$B$2004=$A117)),""))</f>
        <v/>
      </c>
      <c r="AE117" s="84">
        <f>IF($A117="","",COUNTIFS(Task_Steps!$B$5:$B$2004,$A117,Task_Steps!$H$5:$H$2004,"&lt;&gt;Completed",Task_Steps!$H$5:$H$2004,"&lt;&gt;Cancelled"))</f>
        <v/>
      </c>
      <c r="AF117" s="81">
        <f>IF(OR($B117="",$A117=""),"",$B117&amp;" | "&amp;$A117)</f>
        <v/>
      </c>
    </row>
    <row r="118" ht="15" customHeight="1" s="40">
      <c r="A118" s="65">
        <f>IF(COUNTA(B118:F118)=0,"","TSK-"&amp;TEXT(ROW()-4,"0000"))</f>
        <v/>
      </c>
      <c r="B118" s="78" t="n"/>
      <c r="C118" s="78" t="n"/>
      <c r="D118" s="81" t="n"/>
      <c r="E118" s="81" t="n"/>
      <c r="F118" s="78" t="n"/>
      <c r="G118" s="67">
        <f>IF($F118="","",IFERROR(INDEX(Employee_Master!$C$5:$C$204,MATCH($F118,Employee_Master!$B$5:$B$204,0)),""))</f>
        <v/>
      </c>
      <c r="H118" s="78" t="n"/>
      <c r="I118" s="78" t="n"/>
      <c r="J118" s="67">
        <f>IF($I118="","",IFERROR(INDEX(Action_Status_Map!$B$5:$B$11,MATCH($I118,Action_Status_Map!$A$5:$A$11,0)),""))</f>
        <v/>
      </c>
      <c r="K118" s="82" t="n"/>
      <c r="L118" s="82" t="n"/>
      <c r="M118" s="82" t="n"/>
      <c r="N118" s="83" t="n"/>
      <c r="O118" s="83" t="n"/>
      <c r="P118" s="66">
        <f>IF(OR($N118="",$O118=""),"",$O118-$N118)</f>
        <v/>
      </c>
      <c r="Q118" s="84">
        <f>IF($K118="","",IF($M118&lt;&gt;"",$M118-$K118,TODAY()-$K118))</f>
        <v/>
      </c>
      <c r="R118" s="85">
        <f>IF(OR($L118="",$I118="Completed",$I118="Cancelled"),"",IF(AND($L118&lt;TODAY(),$I118&lt;&gt;"Completed",$I118&lt;&gt;"Cancelled"),"Overdue","On Track"))</f>
        <v/>
      </c>
      <c r="S118" s="65">
        <f>IF($L118="","",TEXT($L118,"yyyy-mm"))</f>
        <v/>
      </c>
      <c r="T118" s="86">
        <f>IF($I118="","",IFERROR(INDEX(Action_Status_Map!$C$5:$C$11,MATCH($I118,Action_Status_Map!$A$5:$A$11,0)),""))</f>
        <v/>
      </c>
      <c r="U118" s="81" t="n"/>
      <c r="V118" s="82" t="n"/>
      <c r="W118" s="65">
        <f>IF(OR($I118&lt;&gt;"Completed",$M118="",$L118=""),"",IF($M118&lt;=$L118,"Yes","No"))</f>
        <v/>
      </c>
      <c r="X118" s="84">
        <f>IF($A118="","",COUNTIF(Task_Steps!$B$5:$B$2004,$A118))</f>
        <v/>
      </c>
      <c r="Y118" s="86">
        <f>IF($X118=0,"",COUNTIFS(Task_Steps!$B$5:$B$2004,$A118,Task_Steps!$H$5:$H$2004,"Completed")/$X118)</f>
        <v/>
      </c>
      <c r="Z118" s="81" t="n"/>
      <c r="AA118" s="81" t="n"/>
      <c r="AB118" s="67">
        <f>IF($F118="","",IFERROR(INDEX(Employee_Master!$E$5:$E$204,MATCH($F118,Employee_Master!$B$5:$B$204,0)),""))</f>
        <v/>
      </c>
      <c r="AC118" s="65">
        <f>IF(OR($A118="",$AB118=""),"",IF(OR($I118="Completed",$I118="Cancelled"),"Closed - in Manager Report","Active - in Manager Report"))</f>
        <v/>
      </c>
      <c r="AD118" s="81">
        <f>IF($A118="","",IFERROR(TEXTJOIN(", ",TRUE,FILTER(Task_Steps!$A$5:$A$2004,Task_Steps!$B$5:$B$2004=$A118)),""))</f>
        <v/>
      </c>
      <c r="AE118" s="84">
        <f>IF($A118="","",COUNTIFS(Task_Steps!$B$5:$B$2004,$A118,Task_Steps!$H$5:$H$2004,"&lt;&gt;Completed",Task_Steps!$H$5:$H$2004,"&lt;&gt;Cancelled"))</f>
        <v/>
      </c>
      <c r="AF118" s="81">
        <f>IF(OR($B118="",$A118=""),"",$B118&amp;" | "&amp;$A118)</f>
        <v/>
      </c>
    </row>
    <row r="119" ht="15" customHeight="1" s="40">
      <c r="A119" s="65">
        <f>IF(COUNTA(B119:F119)=0,"","TSK-"&amp;TEXT(ROW()-4,"0000"))</f>
        <v/>
      </c>
      <c r="B119" s="78" t="n"/>
      <c r="C119" s="78" t="n"/>
      <c r="D119" s="81" t="n"/>
      <c r="E119" s="81" t="n"/>
      <c r="F119" s="78" t="n"/>
      <c r="G119" s="67">
        <f>IF($F119="","",IFERROR(INDEX(Employee_Master!$C$5:$C$204,MATCH($F119,Employee_Master!$B$5:$B$204,0)),""))</f>
        <v/>
      </c>
      <c r="H119" s="78" t="n"/>
      <c r="I119" s="78" t="n"/>
      <c r="J119" s="67">
        <f>IF($I119="","",IFERROR(INDEX(Action_Status_Map!$B$5:$B$11,MATCH($I119,Action_Status_Map!$A$5:$A$11,0)),""))</f>
        <v/>
      </c>
      <c r="K119" s="82" t="n"/>
      <c r="L119" s="82" t="n"/>
      <c r="M119" s="82" t="n"/>
      <c r="N119" s="83" t="n"/>
      <c r="O119" s="83" t="n"/>
      <c r="P119" s="66">
        <f>IF(OR($N119="",$O119=""),"",$O119-$N119)</f>
        <v/>
      </c>
      <c r="Q119" s="84">
        <f>IF($K119="","",IF($M119&lt;&gt;"",$M119-$K119,TODAY()-$K119))</f>
        <v/>
      </c>
      <c r="R119" s="85">
        <f>IF(OR($L119="",$I119="Completed",$I119="Cancelled"),"",IF(AND($L119&lt;TODAY(),$I119&lt;&gt;"Completed",$I119&lt;&gt;"Cancelled"),"Overdue","On Track"))</f>
        <v/>
      </c>
      <c r="S119" s="65">
        <f>IF($L119="","",TEXT($L119,"yyyy-mm"))</f>
        <v/>
      </c>
      <c r="T119" s="86">
        <f>IF($I119="","",IFERROR(INDEX(Action_Status_Map!$C$5:$C$11,MATCH($I119,Action_Status_Map!$A$5:$A$11,0)),""))</f>
        <v/>
      </c>
      <c r="U119" s="81" t="n"/>
      <c r="V119" s="82" t="n"/>
      <c r="W119" s="65">
        <f>IF(OR($I119&lt;&gt;"Completed",$M119="",$L119=""),"",IF($M119&lt;=$L119,"Yes","No"))</f>
        <v/>
      </c>
      <c r="X119" s="84">
        <f>IF($A119="","",COUNTIF(Task_Steps!$B$5:$B$2004,$A119))</f>
        <v/>
      </c>
      <c r="Y119" s="86">
        <f>IF($X119=0,"",COUNTIFS(Task_Steps!$B$5:$B$2004,$A119,Task_Steps!$H$5:$H$2004,"Completed")/$X119)</f>
        <v/>
      </c>
      <c r="Z119" s="81" t="n"/>
      <c r="AA119" s="81" t="n"/>
      <c r="AB119" s="67">
        <f>IF($F119="","",IFERROR(INDEX(Employee_Master!$E$5:$E$204,MATCH($F119,Employee_Master!$B$5:$B$204,0)),""))</f>
        <v/>
      </c>
      <c r="AC119" s="65">
        <f>IF(OR($A119="",$AB119=""),"",IF(OR($I119="Completed",$I119="Cancelled"),"Closed - in Manager Report","Active - in Manager Report"))</f>
        <v/>
      </c>
      <c r="AD119" s="81">
        <f>IF($A119="","",IFERROR(TEXTJOIN(", ",TRUE,FILTER(Task_Steps!$A$5:$A$2004,Task_Steps!$B$5:$B$2004=$A119)),""))</f>
        <v/>
      </c>
      <c r="AE119" s="84">
        <f>IF($A119="","",COUNTIFS(Task_Steps!$B$5:$B$2004,$A119,Task_Steps!$H$5:$H$2004,"&lt;&gt;Completed",Task_Steps!$H$5:$H$2004,"&lt;&gt;Cancelled"))</f>
        <v/>
      </c>
      <c r="AF119" s="81">
        <f>IF(OR($B119="",$A119=""),"",$B119&amp;" | "&amp;$A119)</f>
        <v/>
      </c>
    </row>
    <row r="120" ht="15" customHeight="1" s="40">
      <c r="A120" s="65">
        <f>IF(COUNTA(B120:F120)=0,"","TSK-"&amp;TEXT(ROW()-4,"0000"))</f>
        <v/>
      </c>
      <c r="B120" s="78" t="n"/>
      <c r="C120" s="78" t="n"/>
      <c r="D120" s="81" t="n"/>
      <c r="E120" s="81" t="n"/>
      <c r="F120" s="78" t="n"/>
      <c r="G120" s="67">
        <f>IF($F120="","",IFERROR(INDEX(Employee_Master!$C$5:$C$204,MATCH($F120,Employee_Master!$B$5:$B$204,0)),""))</f>
        <v/>
      </c>
      <c r="H120" s="78" t="n"/>
      <c r="I120" s="78" t="n"/>
      <c r="J120" s="67">
        <f>IF($I120="","",IFERROR(INDEX(Action_Status_Map!$B$5:$B$11,MATCH($I120,Action_Status_Map!$A$5:$A$11,0)),""))</f>
        <v/>
      </c>
      <c r="K120" s="82" t="n"/>
      <c r="L120" s="82" t="n"/>
      <c r="M120" s="82" t="n"/>
      <c r="N120" s="83" t="n"/>
      <c r="O120" s="83" t="n"/>
      <c r="P120" s="66">
        <f>IF(OR($N120="",$O120=""),"",$O120-$N120)</f>
        <v/>
      </c>
      <c r="Q120" s="84">
        <f>IF($K120="","",IF($M120&lt;&gt;"",$M120-$K120,TODAY()-$K120))</f>
        <v/>
      </c>
      <c r="R120" s="85">
        <f>IF(OR($L120="",$I120="Completed",$I120="Cancelled"),"",IF(AND($L120&lt;TODAY(),$I120&lt;&gt;"Completed",$I120&lt;&gt;"Cancelled"),"Overdue","On Track"))</f>
        <v/>
      </c>
      <c r="S120" s="65">
        <f>IF($L120="","",TEXT($L120,"yyyy-mm"))</f>
        <v/>
      </c>
      <c r="T120" s="86">
        <f>IF($I120="","",IFERROR(INDEX(Action_Status_Map!$C$5:$C$11,MATCH($I120,Action_Status_Map!$A$5:$A$11,0)),""))</f>
        <v/>
      </c>
      <c r="U120" s="81" t="n"/>
      <c r="V120" s="82" t="n"/>
      <c r="W120" s="65">
        <f>IF(OR($I120&lt;&gt;"Completed",$M120="",$L120=""),"",IF($M120&lt;=$L120,"Yes","No"))</f>
        <v/>
      </c>
      <c r="X120" s="84">
        <f>IF($A120="","",COUNTIF(Task_Steps!$B$5:$B$2004,$A120))</f>
        <v/>
      </c>
      <c r="Y120" s="86">
        <f>IF($X120=0,"",COUNTIFS(Task_Steps!$B$5:$B$2004,$A120,Task_Steps!$H$5:$H$2004,"Completed")/$X120)</f>
        <v/>
      </c>
      <c r="Z120" s="81" t="n"/>
      <c r="AA120" s="81" t="n"/>
      <c r="AB120" s="67">
        <f>IF($F120="","",IFERROR(INDEX(Employee_Master!$E$5:$E$204,MATCH($F120,Employee_Master!$B$5:$B$204,0)),""))</f>
        <v/>
      </c>
      <c r="AC120" s="65">
        <f>IF(OR($A120="",$AB120=""),"",IF(OR($I120="Completed",$I120="Cancelled"),"Closed - in Manager Report","Active - in Manager Report"))</f>
        <v/>
      </c>
      <c r="AD120" s="81">
        <f>IF($A120="","",IFERROR(TEXTJOIN(", ",TRUE,FILTER(Task_Steps!$A$5:$A$2004,Task_Steps!$B$5:$B$2004=$A120)),""))</f>
        <v/>
      </c>
      <c r="AE120" s="84">
        <f>IF($A120="","",COUNTIFS(Task_Steps!$B$5:$B$2004,$A120,Task_Steps!$H$5:$H$2004,"&lt;&gt;Completed",Task_Steps!$H$5:$H$2004,"&lt;&gt;Cancelled"))</f>
        <v/>
      </c>
      <c r="AF120" s="81">
        <f>IF(OR($B120="",$A120=""),"",$B120&amp;" | "&amp;$A120)</f>
        <v/>
      </c>
    </row>
    <row r="121" ht="15" customHeight="1" s="40">
      <c r="A121" s="65">
        <f>IF(COUNTA(B121:F121)=0,"","TSK-"&amp;TEXT(ROW()-4,"0000"))</f>
        <v/>
      </c>
      <c r="B121" s="78" t="n"/>
      <c r="C121" s="78" t="n"/>
      <c r="D121" s="81" t="n"/>
      <c r="E121" s="81" t="n"/>
      <c r="F121" s="78" t="n"/>
      <c r="G121" s="67">
        <f>IF($F121="","",IFERROR(INDEX(Employee_Master!$C$5:$C$204,MATCH($F121,Employee_Master!$B$5:$B$204,0)),""))</f>
        <v/>
      </c>
      <c r="H121" s="78" t="n"/>
      <c r="I121" s="78" t="n"/>
      <c r="J121" s="67">
        <f>IF($I121="","",IFERROR(INDEX(Action_Status_Map!$B$5:$B$11,MATCH($I121,Action_Status_Map!$A$5:$A$11,0)),""))</f>
        <v/>
      </c>
      <c r="K121" s="82" t="n"/>
      <c r="L121" s="82" t="n"/>
      <c r="M121" s="82" t="n"/>
      <c r="N121" s="83" t="n"/>
      <c r="O121" s="83" t="n"/>
      <c r="P121" s="66">
        <f>IF(OR($N121="",$O121=""),"",$O121-$N121)</f>
        <v/>
      </c>
      <c r="Q121" s="84">
        <f>IF($K121="","",IF($M121&lt;&gt;"",$M121-$K121,TODAY()-$K121))</f>
        <v/>
      </c>
      <c r="R121" s="85">
        <f>IF(OR($L121="",$I121="Completed",$I121="Cancelled"),"",IF(AND($L121&lt;TODAY(),$I121&lt;&gt;"Completed",$I121&lt;&gt;"Cancelled"),"Overdue","On Track"))</f>
        <v/>
      </c>
      <c r="S121" s="65">
        <f>IF($L121="","",TEXT($L121,"yyyy-mm"))</f>
        <v/>
      </c>
      <c r="T121" s="86">
        <f>IF($I121="","",IFERROR(INDEX(Action_Status_Map!$C$5:$C$11,MATCH($I121,Action_Status_Map!$A$5:$A$11,0)),""))</f>
        <v/>
      </c>
      <c r="U121" s="81" t="n"/>
      <c r="V121" s="82" t="n"/>
      <c r="W121" s="65">
        <f>IF(OR($I121&lt;&gt;"Completed",$M121="",$L121=""),"",IF($M121&lt;=$L121,"Yes","No"))</f>
        <v/>
      </c>
      <c r="X121" s="84">
        <f>IF($A121="","",COUNTIF(Task_Steps!$B$5:$B$2004,$A121))</f>
        <v/>
      </c>
      <c r="Y121" s="86">
        <f>IF($X121=0,"",COUNTIFS(Task_Steps!$B$5:$B$2004,$A121,Task_Steps!$H$5:$H$2004,"Completed")/$X121)</f>
        <v/>
      </c>
      <c r="Z121" s="81" t="n"/>
      <c r="AA121" s="81" t="n"/>
      <c r="AB121" s="67">
        <f>IF($F121="","",IFERROR(INDEX(Employee_Master!$E$5:$E$204,MATCH($F121,Employee_Master!$B$5:$B$204,0)),""))</f>
        <v/>
      </c>
      <c r="AC121" s="65">
        <f>IF(OR($A121="",$AB121=""),"",IF(OR($I121="Completed",$I121="Cancelled"),"Closed - in Manager Report","Active - in Manager Report"))</f>
        <v/>
      </c>
      <c r="AD121" s="81">
        <f>IF($A121="","",IFERROR(TEXTJOIN(", ",TRUE,FILTER(Task_Steps!$A$5:$A$2004,Task_Steps!$B$5:$B$2004=$A121)),""))</f>
        <v/>
      </c>
      <c r="AE121" s="84">
        <f>IF($A121="","",COUNTIFS(Task_Steps!$B$5:$B$2004,$A121,Task_Steps!$H$5:$H$2004,"&lt;&gt;Completed",Task_Steps!$H$5:$H$2004,"&lt;&gt;Cancelled"))</f>
        <v/>
      </c>
      <c r="AF121" s="81">
        <f>IF(OR($B121="",$A121=""),"",$B121&amp;" | "&amp;$A121)</f>
        <v/>
      </c>
    </row>
    <row r="122" ht="15" customHeight="1" s="40">
      <c r="A122" s="65">
        <f>IF(COUNTA(B122:F122)=0,"","TSK-"&amp;TEXT(ROW()-4,"0000"))</f>
        <v/>
      </c>
      <c r="B122" s="78" t="n"/>
      <c r="C122" s="78" t="n"/>
      <c r="D122" s="81" t="n"/>
      <c r="E122" s="81" t="n"/>
      <c r="F122" s="78" t="n"/>
      <c r="G122" s="67">
        <f>IF($F122="","",IFERROR(INDEX(Employee_Master!$C$5:$C$204,MATCH($F122,Employee_Master!$B$5:$B$204,0)),""))</f>
        <v/>
      </c>
      <c r="H122" s="78" t="n"/>
      <c r="I122" s="78" t="n"/>
      <c r="J122" s="67">
        <f>IF($I122="","",IFERROR(INDEX(Action_Status_Map!$B$5:$B$11,MATCH($I122,Action_Status_Map!$A$5:$A$11,0)),""))</f>
        <v/>
      </c>
      <c r="K122" s="82" t="n"/>
      <c r="L122" s="82" t="n"/>
      <c r="M122" s="82" t="n"/>
      <c r="N122" s="83" t="n"/>
      <c r="O122" s="83" t="n"/>
      <c r="P122" s="66">
        <f>IF(OR($N122="",$O122=""),"",$O122-$N122)</f>
        <v/>
      </c>
      <c r="Q122" s="84">
        <f>IF($K122="","",IF($M122&lt;&gt;"",$M122-$K122,TODAY()-$K122))</f>
        <v/>
      </c>
      <c r="R122" s="85">
        <f>IF(OR($L122="",$I122="Completed",$I122="Cancelled"),"",IF(AND($L122&lt;TODAY(),$I122&lt;&gt;"Completed",$I122&lt;&gt;"Cancelled"),"Overdue","On Track"))</f>
        <v/>
      </c>
      <c r="S122" s="65">
        <f>IF($L122="","",TEXT($L122,"yyyy-mm"))</f>
        <v/>
      </c>
      <c r="T122" s="86">
        <f>IF($I122="","",IFERROR(INDEX(Action_Status_Map!$C$5:$C$11,MATCH($I122,Action_Status_Map!$A$5:$A$11,0)),""))</f>
        <v/>
      </c>
      <c r="U122" s="81" t="n"/>
      <c r="V122" s="82" t="n"/>
      <c r="W122" s="65">
        <f>IF(OR($I122&lt;&gt;"Completed",$M122="",$L122=""),"",IF($M122&lt;=$L122,"Yes","No"))</f>
        <v/>
      </c>
      <c r="X122" s="84">
        <f>IF($A122="","",COUNTIF(Task_Steps!$B$5:$B$2004,$A122))</f>
        <v/>
      </c>
      <c r="Y122" s="86">
        <f>IF($X122=0,"",COUNTIFS(Task_Steps!$B$5:$B$2004,$A122,Task_Steps!$H$5:$H$2004,"Completed")/$X122)</f>
        <v/>
      </c>
      <c r="Z122" s="81" t="n"/>
      <c r="AA122" s="81" t="n"/>
      <c r="AB122" s="67">
        <f>IF($F122="","",IFERROR(INDEX(Employee_Master!$E$5:$E$204,MATCH($F122,Employee_Master!$B$5:$B$204,0)),""))</f>
        <v/>
      </c>
      <c r="AC122" s="65">
        <f>IF(OR($A122="",$AB122=""),"",IF(OR($I122="Completed",$I122="Cancelled"),"Closed - in Manager Report","Active - in Manager Report"))</f>
        <v/>
      </c>
      <c r="AD122" s="81">
        <f>IF($A122="","",IFERROR(TEXTJOIN(", ",TRUE,FILTER(Task_Steps!$A$5:$A$2004,Task_Steps!$B$5:$B$2004=$A122)),""))</f>
        <v/>
      </c>
      <c r="AE122" s="84">
        <f>IF($A122="","",COUNTIFS(Task_Steps!$B$5:$B$2004,$A122,Task_Steps!$H$5:$H$2004,"&lt;&gt;Completed",Task_Steps!$H$5:$H$2004,"&lt;&gt;Cancelled"))</f>
        <v/>
      </c>
      <c r="AF122" s="81">
        <f>IF(OR($B122="",$A122=""),"",$B122&amp;" | "&amp;$A122)</f>
        <v/>
      </c>
    </row>
    <row r="123" ht="15" customHeight="1" s="40">
      <c r="A123" s="65">
        <f>IF(COUNTA(B123:F123)=0,"","TSK-"&amp;TEXT(ROW()-4,"0000"))</f>
        <v/>
      </c>
      <c r="B123" s="78" t="n"/>
      <c r="C123" s="78" t="n"/>
      <c r="D123" s="81" t="n"/>
      <c r="E123" s="81" t="n"/>
      <c r="F123" s="78" t="n"/>
      <c r="G123" s="67">
        <f>IF($F123="","",IFERROR(INDEX(Employee_Master!$C$5:$C$204,MATCH($F123,Employee_Master!$B$5:$B$204,0)),""))</f>
        <v/>
      </c>
      <c r="H123" s="78" t="n"/>
      <c r="I123" s="78" t="n"/>
      <c r="J123" s="67">
        <f>IF($I123="","",IFERROR(INDEX(Action_Status_Map!$B$5:$B$11,MATCH($I123,Action_Status_Map!$A$5:$A$11,0)),""))</f>
        <v/>
      </c>
      <c r="K123" s="82" t="n"/>
      <c r="L123" s="82" t="n"/>
      <c r="M123" s="82" t="n"/>
      <c r="N123" s="83" t="n"/>
      <c r="O123" s="83" t="n"/>
      <c r="P123" s="66">
        <f>IF(OR($N123="",$O123=""),"",$O123-$N123)</f>
        <v/>
      </c>
      <c r="Q123" s="84">
        <f>IF($K123="","",IF($M123&lt;&gt;"",$M123-$K123,TODAY()-$K123))</f>
        <v/>
      </c>
      <c r="R123" s="85">
        <f>IF(OR($L123="",$I123="Completed",$I123="Cancelled"),"",IF(AND($L123&lt;TODAY(),$I123&lt;&gt;"Completed",$I123&lt;&gt;"Cancelled"),"Overdue","On Track"))</f>
        <v/>
      </c>
      <c r="S123" s="65">
        <f>IF($L123="","",TEXT($L123,"yyyy-mm"))</f>
        <v/>
      </c>
      <c r="T123" s="86">
        <f>IF($I123="","",IFERROR(INDEX(Action_Status_Map!$C$5:$C$11,MATCH($I123,Action_Status_Map!$A$5:$A$11,0)),""))</f>
        <v/>
      </c>
      <c r="U123" s="81" t="n"/>
      <c r="V123" s="82" t="n"/>
      <c r="W123" s="65">
        <f>IF(OR($I123&lt;&gt;"Completed",$M123="",$L123=""),"",IF($M123&lt;=$L123,"Yes","No"))</f>
        <v/>
      </c>
      <c r="X123" s="84">
        <f>IF($A123="","",COUNTIF(Task_Steps!$B$5:$B$2004,$A123))</f>
        <v/>
      </c>
      <c r="Y123" s="86">
        <f>IF($X123=0,"",COUNTIFS(Task_Steps!$B$5:$B$2004,$A123,Task_Steps!$H$5:$H$2004,"Completed")/$X123)</f>
        <v/>
      </c>
      <c r="Z123" s="81" t="n"/>
      <c r="AA123" s="81" t="n"/>
      <c r="AB123" s="67">
        <f>IF($F123="","",IFERROR(INDEX(Employee_Master!$E$5:$E$204,MATCH($F123,Employee_Master!$B$5:$B$204,0)),""))</f>
        <v/>
      </c>
      <c r="AC123" s="65">
        <f>IF(OR($A123="",$AB123=""),"",IF(OR($I123="Completed",$I123="Cancelled"),"Closed - in Manager Report","Active - in Manager Report"))</f>
        <v/>
      </c>
      <c r="AD123" s="81">
        <f>IF($A123="","",IFERROR(TEXTJOIN(", ",TRUE,FILTER(Task_Steps!$A$5:$A$2004,Task_Steps!$B$5:$B$2004=$A123)),""))</f>
        <v/>
      </c>
      <c r="AE123" s="84">
        <f>IF($A123="","",COUNTIFS(Task_Steps!$B$5:$B$2004,$A123,Task_Steps!$H$5:$H$2004,"&lt;&gt;Completed",Task_Steps!$H$5:$H$2004,"&lt;&gt;Cancelled"))</f>
        <v/>
      </c>
      <c r="AF123" s="81">
        <f>IF(OR($B123="",$A123=""),"",$B123&amp;" | "&amp;$A123)</f>
        <v/>
      </c>
    </row>
    <row r="124" ht="15" customHeight="1" s="40">
      <c r="A124" s="65">
        <f>IF(COUNTA(B124:F124)=0,"","TSK-"&amp;TEXT(ROW()-4,"0000"))</f>
        <v/>
      </c>
      <c r="B124" s="78" t="n"/>
      <c r="C124" s="78" t="n"/>
      <c r="D124" s="81" t="n"/>
      <c r="E124" s="81" t="n"/>
      <c r="F124" s="78" t="n"/>
      <c r="G124" s="67">
        <f>IF($F124="","",IFERROR(INDEX(Employee_Master!$C$5:$C$204,MATCH($F124,Employee_Master!$B$5:$B$204,0)),""))</f>
        <v/>
      </c>
      <c r="H124" s="78" t="n"/>
      <c r="I124" s="78" t="n"/>
      <c r="J124" s="67">
        <f>IF($I124="","",IFERROR(INDEX(Action_Status_Map!$B$5:$B$11,MATCH($I124,Action_Status_Map!$A$5:$A$11,0)),""))</f>
        <v/>
      </c>
      <c r="K124" s="82" t="n"/>
      <c r="L124" s="82" t="n"/>
      <c r="M124" s="82" t="n"/>
      <c r="N124" s="83" t="n"/>
      <c r="O124" s="83" t="n"/>
      <c r="P124" s="66">
        <f>IF(OR($N124="",$O124=""),"",$O124-$N124)</f>
        <v/>
      </c>
      <c r="Q124" s="84">
        <f>IF($K124="","",IF($M124&lt;&gt;"",$M124-$K124,TODAY()-$K124))</f>
        <v/>
      </c>
      <c r="R124" s="85">
        <f>IF(OR($L124="",$I124="Completed",$I124="Cancelled"),"",IF(AND($L124&lt;TODAY(),$I124&lt;&gt;"Completed",$I124&lt;&gt;"Cancelled"),"Overdue","On Track"))</f>
        <v/>
      </c>
      <c r="S124" s="65">
        <f>IF($L124="","",TEXT($L124,"yyyy-mm"))</f>
        <v/>
      </c>
      <c r="T124" s="86">
        <f>IF($I124="","",IFERROR(INDEX(Action_Status_Map!$C$5:$C$11,MATCH($I124,Action_Status_Map!$A$5:$A$11,0)),""))</f>
        <v/>
      </c>
      <c r="U124" s="81" t="n"/>
      <c r="V124" s="82" t="n"/>
      <c r="W124" s="65">
        <f>IF(OR($I124&lt;&gt;"Completed",$M124="",$L124=""),"",IF($M124&lt;=$L124,"Yes","No"))</f>
        <v/>
      </c>
      <c r="X124" s="84">
        <f>IF($A124="","",COUNTIF(Task_Steps!$B$5:$B$2004,$A124))</f>
        <v/>
      </c>
      <c r="Y124" s="86">
        <f>IF($X124=0,"",COUNTIFS(Task_Steps!$B$5:$B$2004,$A124,Task_Steps!$H$5:$H$2004,"Completed")/$X124)</f>
        <v/>
      </c>
      <c r="Z124" s="81" t="n"/>
      <c r="AA124" s="81" t="n"/>
      <c r="AB124" s="67">
        <f>IF($F124="","",IFERROR(INDEX(Employee_Master!$E$5:$E$204,MATCH($F124,Employee_Master!$B$5:$B$204,0)),""))</f>
        <v/>
      </c>
      <c r="AC124" s="65">
        <f>IF(OR($A124="",$AB124=""),"",IF(OR($I124="Completed",$I124="Cancelled"),"Closed - in Manager Report","Active - in Manager Report"))</f>
        <v/>
      </c>
      <c r="AD124" s="81">
        <f>IF($A124="","",IFERROR(TEXTJOIN(", ",TRUE,FILTER(Task_Steps!$A$5:$A$2004,Task_Steps!$B$5:$B$2004=$A124)),""))</f>
        <v/>
      </c>
      <c r="AE124" s="84">
        <f>IF($A124="","",COUNTIFS(Task_Steps!$B$5:$B$2004,$A124,Task_Steps!$H$5:$H$2004,"&lt;&gt;Completed",Task_Steps!$H$5:$H$2004,"&lt;&gt;Cancelled"))</f>
        <v/>
      </c>
      <c r="AF124" s="81">
        <f>IF(OR($B124="",$A124=""),"",$B124&amp;" | "&amp;$A124)</f>
        <v/>
      </c>
    </row>
    <row r="125" ht="15" customHeight="1" s="40">
      <c r="A125" s="65">
        <f>IF(COUNTA(B125:F125)=0,"","TSK-"&amp;TEXT(ROW()-4,"0000"))</f>
        <v/>
      </c>
      <c r="B125" s="78" t="n"/>
      <c r="C125" s="78" t="n"/>
      <c r="D125" s="81" t="n"/>
      <c r="E125" s="81" t="n"/>
      <c r="F125" s="78" t="n"/>
      <c r="G125" s="67">
        <f>IF($F125="","",IFERROR(INDEX(Employee_Master!$C$5:$C$204,MATCH($F125,Employee_Master!$B$5:$B$204,0)),""))</f>
        <v/>
      </c>
      <c r="H125" s="78" t="n"/>
      <c r="I125" s="78" t="n"/>
      <c r="J125" s="67">
        <f>IF($I125="","",IFERROR(INDEX(Action_Status_Map!$B$5:$B$11,MATCH($I125,Action_Status_Map!$A$5:$A$11,0)),""))</f>
        <v/>
      </c>
      <c r="K125" s="82" t="n"/>
      <c r="L125" s="82" t="n"/>
      <c r="M125" s="82" t="n"/>
      <c r="N125" s="83" t="n"/>
      <c r="O125" s="83" t="n"/>
      <c r="P125" s="66">
        <f>IF(OR($N125="",$O125=""),"",$O125-$N125)</f>
        <v/>
      </c>
      <c r="Q125" s="84">
        <f>IF($K125="","",IF($M125&lt;&gt;"",$M125-$K125,TODAY()-$K125))</f>
        <v/>
      </c>
      <c r="R125" s="85">
        <f>IF(OR($L125="",$I125="Completed",$I125="Cancelled"),"",IF(AND($L125&lt;TODAY(),$I125&lt;&gt;"Completed",$I125&lt;&gt;"Cancelled"),"Overdue","On Track"))</f>
        <v/>
      </c>
      <c r="S125" s="65">
        <f>IF($L125="","",TEXT($L125,"yyyy-mm"))</f>
        <v/>
      </c>
      <c r="T125" s="86">
        <f>IF($I125="","",IFERROR(INDEX(Action_Status_Map!$C$5:$C$11,MATCH($I125,Action_Status_Map!$A$5:$A$11,0)),""))</f>
        <v/>
      </c>
      <c r="U125" s="81" t="n"/>
      <c r="V125" s="82" t="n"/>
      <c r="W125" s="65">
        <f>IF(OR($I125&lt;&gt;"Completed",$M125="",$L125=""),"",IF($M125&lt;=$L125,"Yes","No"))</f>
        <v/>
      </c>
      <c r="X125" s="84">
        <f>IF($A125="","",COUNTIF(Task_Steps!$B$5:$B$2004,$A125))</f>
        <v/>
      </c>
      <c r="Y125" s="86">
        <f>IF($X125=0,"",COUNTIFS(Task_Steps!$B$5:$B$2004,$A125,Task_Steps!$H$5:$H$2004,"Completed")/$X125)</f>
        <v/>
      </c>
      <c r="Z125" s="81" t="n"/>
      <c r="AA125" s="81" t="n"/>
      <c r="AB125" s="67">
        <f>IF($F125="","",IFERROR(INDEX(Employee_Master!$E$5:$E$204,MATCH($F125,Employee_Master!$B$5:$B$204,0)),""))</f>
        <v/>
      </c>
      <c r="AC125" s="65">
        <f>IF(OR($A125="",$AB125=""),"",IF(OR($I125="Completed",$I125="Cancelled"),"Closed - in Manager Report","Active - in Manager Report"))</f>
        <v/>
      </c>
      <c r="AD125" s="81">
        <f>IF($A125="","",IFERROR(TEXTJOIN(", ",TRUE,FILTER(Task_Steps!$A$5:$A$2004,Task_Steps!$B$5:$B$2004=$A125)),""))</f>
        <v/>
      </c>
      <c r="AE125" s="84">
        <f>IF($A125="","",COUNTIFS(Task_Steps!$B$5:$B$2004,$A125,Task_Steps!$H$5:$H$2004,"&lt;&gt;Completed",Task_Steps!$H$5:$H$2004,"&lt;&gt;Cancelled"))</f>
        <v/>
      </c>
      <c r="AF125" s="81">
        <f>IF(OR($B125="",$A125=""),"",$B125&amp;" | "&amp;$A125)</f>
        <v/>
      </c>
    </row>
    <row r="126" ht="15" customHeight="1" s="40">
      <c r="A126" s="65">
        <f>IF(COUNTA(B126:F126)=0,"","TSK-"&amp;TEXT(ROW()-4,"0000"))</f>
        <v/>
      </c>
      <c r="B126" s="78" t="n"/>
      <c r="C126" s="78" t="n"/>
      <c r="D126" s="81" t="n"/>
      <c r="E126" s="81" t="n"/>
      <c r="F126" s="78" t="n"/>
      <c r="G126" s="67">
        <f>IF($F126="","",IFERROR(INDEX(Employee_Master!$C$5:$C$204,MATCH($F126,Employee_Master!$B$5:$B$204,0)),""))</f>
        <v/>
      </c>
      <c r="H126" s="78" t="n"/>
      <c r="I126" s="78" t="n"/>
      <c r="J126" s="67">
        <f>IF($I126="","",IFERROR(INDEX(Action_Status_Map!$B$5:$B$11,MATCH($I126,Action_Status_Map!$A$5:$A$11,0)),""))</f>
        <v/>
      </c>
      <c r="K126" s="82" t="n"/>
      <c r="L126" s="82" t="n"/>
      <c r="M126" s="82" t="n"/>
      <c r="N126" s="83" t="n"/>
      <c r="O126" s="83" t="n"/>
      <c r="P126" s="66">
        <f>IF(OR($N126="",$O126=""),"",$O126-$N126)</f>
        <v/>
      </c>
      <c r="Q126" s="84">
        <f>IF($K126="","",IF($M126&lt;&gt;"",$M126-$K126,TODAY()-$K126))</f>
        <v/>
      </c>
      <c r="R126" s="85">
        <f>IF(OR($L126="",$I126="Completed",$I126="Cancelled"),"",IF(AND($L126&lt;TODAY(),$I126&lt;&gt;"Completed",$I126&lt;&gt;"Cancelled"),"Overdue","On Track"))</f>
        <v/>
      </c>
      <c r="S126" s="65">
        <f>IF($L126="","",TEXT($L126,"yyyy-mm"))</f>
        <v/>
      </c>
      <c r="T126" s="86">
        <f>IF($I126="","",IFERROR(INDEX(Action_Status_Map!$C$5:$C$11,MATCH($I126,Action_Status_Map!$A$5:$A$11,0)),""))</f>
        <v/>
      </c>
      <c r="U126" s="81" t="n"/>
      <c r="V126" s="82" t="n"/>
      <c r="W126" s="65">
        <f>IF(OR($I126&lt;&gt;"Completed",$M126="",$L126=""),"",IF($M126&lt;=$L126,"Yes","No"))</f>
        <v/>
      </c>
      <c r="X126" s="84">
        <f>IF($A126="","",COUNTIF(Task_Steps!$B$5:$B$2004,$A126))</f>
        <v/>
      </c>
      <c r="Y126" s="86">
        <f>IF($X126=0,"",COUNTIFS(Task_Steps!$B$5:$B$2004,$A126,Task_Steps!$H$5:$H$2004,"Completed")/$X126)</f>
        <v/>
      </c>
      <c r="Z126" s="81" t="n"/>
      <c r="AA126" s="81" t="n"/>
      <c r="AB126" s="67">
        <f>IF($F126="","",IFERROR(INDEX(Employee_Master!$E$5:$E$204,MATCH($F126,Employee_Master!$B$5:$B$204,0)),""))</f>
        <v/>
      </c>
      <c r="AC126" s="65">
        <f>IF(OR($A126="",$AB126=""),"",IF(OR($I126="Completed",$I126="Cancelled"),"Closed - in Manager Report","Active - in Manager Report"))</f>
        <v/>
      </c>
      <c r="AD126" s="81">
        <f>IF($A126="","",IFERROR(TEXTJOIN(", ",TRUE,FILTER(Task_Steps!$A$5:$A$2004,Task_Steps!$B$5:$B$2004=$A126)),""))</f>
        <v/>
      </c>
      <c r="AE126" s="84">
        <f>IF($A126="","",COUNTIFS(Task_Steps!$B$5:$B$2004,$A126,Task_Steps!$H$5:$H$2004,"&lt;&gt;Completed",Task_Steps!$H$5:$H$2004,"&lt;&gt;Cancelled"))</f>
        <v/>
      </c>
      <c r="AF126" s="81">
        <f>IF(OR($B126="",$A126=""),"",$B126&amp;" | "&amp;$A126)</f>
        <v/>
      </c>
    </row>
    <row r="127" ht="15" customHeight="1" s="40">
      <c r="A127" s="65">
        <f>IF(COUNTA(B127:F127)=0,"","TSK-"&amp;TEXT(ROW()-4,"0000"))</f>
        <v/>
      </c>
      <c r="B127" s="78" t="n"/>
      <c r="C127" s="78" t="n"/>
      <c r="D127" s="81" t="n"/>
      <c r="E127" s="81" t="n"/>
      <c r="F127" s="78" t="n"/>
      <c r="G127" s="67">
        <f>IF($F127="","",IFERROR(INDEX(Employee_Master!$C$5:$C$204,MATCH($F127,Employee_Master!$B$5:$B$204,0)),""))</f>
        <v/>
      </c>
      <c r="H127" s="78" t="n"/>
      <c r="I127" s="78" t="n"/>
      <c r="J127" s="67">
        <f>IF($I127="","",IFERROR(INDEX(Action_Status_Map!$B$5:$B$11,MATCH($I127,Action_Status_Map!$A$5:$A$11,0)),""))</f>
        <v/>
      </c>
      <c r="K127" s="82" t="n"/>
      <c r="L127" s="82" t="n"/>
      <c r="M127" s="82" t="n"/>
      <c r="N127" s="83" t="n"/>
      <c r="O127" s="83" t="n"/>
      <c r="P127" s="66">
        <f>IF(OR($N127="",$O127=""),"",$O127-$N127)</f>
        <v/>
      </c>
      <c r="Q127" s="84">
        <f>IF($K127="","",IF($M127&lt;&gt;"",$M127-$K127,TODAY()-$K127))</f>
        <v/>
      </c>
      <c r="R127" s="85">
        <f>IF(OR($L127="",$I127="Completed",$I127="Cancelled"),"",IF(AND($L127&lt;TODAY(),$I127&lt;&gt;"Completed",$I127&lt;&gt;"Cancelled"),"Overdue","On Track"))</f>
        <v/>
      </c>
      <c r="S127" s="65">
        <f>IF($L127="","",TEXT($L127,"yyyy-mm"))</f>
        <v/>
      </c>
      <c r="T127" s="86">
        <f>IF($I127="","",IFERROR(INDEX(Action_Status_Map!$C$5:$C$11,MATCH($I127,Action_Status_Map!$A$5:$A$11,0)),""))</f>
        <v/>
      </c>
      <c r="U127" s="81" t="n"/>
      <c r="V127" s="82" t="n"/>
      <c r="W127" s="65">
        <f>IF(OR($I127&lt;&gt;"Completed",$M127="",$L127=""),"",IF($M127&lt;=$L127,"Yes","No"))</f>
        <v/>
      </c>
      <c r="X127" s="84">
        <f>IF($A127="","",COUNTIF(Task_Steps!$B$5:$B$2004,$A127))</f>
        <v/>
      </c>
      <c r="Y127" s="86">
        <f>IF($X127=0,"",COUNTIFS(Task_Steps!$B$5:$B$2004,$A127,Task_Steps!$H$5:$H$2004,"Completed")/$X127)</f>
        <v/>
      </c>
      <c r="Z127" s="81" t="n"/>
      <c r="AA127" s="81" t="n"/>
      <c r="AB127" s="67">
        <f>IF($F127="","",IFERROR(INDEX(Employee_Master!$E$5:$E$204,MATCH($F127,Employee_Master!$B$5:$B$204,0)),""))</f>
        <v/>
      </c>
      <c r="AC127" s="65">
        <f>IF(OR($A127="",$AB127=""),"",IF(OR($I127="Completed",$I127="Cancelled"),"Closed - in Manager Report","Active - in Manager Report"))</f>
        <v/>
      </c>
      <c r="AD127" s="81">
        <f>IF($A127="","",IFERROR(TEXTJOIN(", ",TRUE,FILTER(Task_Steps!$A$5:$A$2004,Task_Steps!$B$5:$B$2004=$A127)),""))</f>
        <v/>
      </c>
      <c r="AE127" s="84">
        <f>IF($A127="","",COUNTIFS(Task_Steps!$B$5:$B$2004,$A127,Task_Steps!$H$5:$H$2004,"&lt;&gt;Completed",Task_Steps!$H$5:$H$2004,"&lt;&gt;Cancelled"))</f>
        <v/>
      </c>
      <c r="AF127" s="81">
        <f>IF(OR($B127="",$A127=""),"",$B127&amp;" | "&amp;$A127)</f>
        <v/>
      </c>
    </row>
    <row r="128" ht="15" customHeight="1" s="40">
      <c r="A128" s="65">
        <f>IF(COUNTA(B128:F128)=0,"","TSK-"&amp;TEXT(ROW()-4,"0000"))</f>
        <v/>
      </c>
      <c r="B128" s="78" t="n"/>
      <c r="C128" s="78" t="n"/>
      <c r="D128" s="81" t="n"/>
      <c r="E128" s="81" t="n"/>
      <c r="F128" s="78" t="n"/>
      <c r="G128" s="67">
        <f>IF($F128="","",IFERROR(INDEX(Employee_Master!$C$5:$C$204,MATCH($F128,Employee_Master!$B$5:$B$204,0)),""))</f>
        <v/>
      </c>
      <c r="H128" s="78" t="n"/>
      <c r="I128" s="78" t="n"/>
      <c r="J128" s="67">
        <f>IF($I128="","",IFERROR(INDEX(Action_Status_Map!$B$5:$B$11,MATCH($I128,Action_Status_Map!$A$5:$A$11,0)),""))</f>
        <v/>
      </c>
      <c r="K128" s="82" t="n"/>
      <c r="L128" s="82" t="n"/>
      <c r="M128" s="82" t="n"/>
      <c r="N128" s="83" t="n"/>
      <c r="O128" s="83" t="n"/>
      <c r="P128" s="66">
        <f>IF(OR($N128="",$O128=""),"",$O128-$N128)</f>
        <v/>
      </c>
      <c r="Q128" s="84">
        <f>IF($K128="","",IF($M128&lt;&gt;"",$M128-$K128,TODAY()-$K128))</f>
        <v/>
      </c>
      <c r="R128" s="85">
        <f>IF(OR($L128="",$I128="Completed",$I128="Cancelled"),"",IF(AND($L128&lt;TODAY(),$I128&lt;&gt;"Completed",$I128&lt;&gt;"Cancelled"),"Overdue","On Track"))</f>
        <v/>
      </c>
      <c r="S128" s="65">
        <f>IF($L128="","",TEXT($L128,"yyyy-mm"))</f>
        <v/>
      </c>
      <c r="T128" s="86">
        <f>IF($I128="","",IFERROR(INDEX(Action_Status_Map!$C$5:$C$11,MATCH($I128,Action_Status_Map!$A$5:$A$11,0)),""))</f>
        <v/>
      </c>
      <c r="U128" s="81" t="n"/>
      <c r="V128" s="82" t="n"/>
      <c r="W128" s="65">
        <f>IF(OR($I128&lt;&gt;"Completed",$M128="",$L128=""),"",IF($M128&lt;=$L128,"Yes","No"))</f>
        <v/>
      </c>
      <c r="X128" s="84">
        <f>IF($A128="","",COUNTIF(Task_Steps!$B$5:$B$2004,$A128))</f>
        <v/>
      </c>
      <c r="Y128" s="86">
        <f>IF($X128=0,"",COUNTIFS(Task_Steps!$B$5:$B$2004,$A128,Task_Steps!$H$5:$H$2004,"Completed")/$X128)</f>
        <v/>
      </c>
      <c r="Z128" s="81" t="n"/>
      <c r="AA128" s="81" t="n"/>
      <c r="AB128" s="67">
        <f>IF($F128="","",IFERROR(INDEX(Employee_Master!$E$5:$E$204,MATCH($F128,Employee_Master!$B$5:$B$204,0)),""))</f>
        <v/>
      </c>
      <c r="AC128" s="65">
        <f>IF(OR($A128="",$AB128=""),"",IF(OR($I128="Completed",$I128="Cancelled"),"Closed - in Manager Report","Active - in Manager Report"))</f>
        <v/>
      </c>
      <c r="AD128" s="81">
        <f>IF($A128="","",IFERROR(TEXTJOIN(", ",TRUE,FILTER(Task_Steps!$A$5:$A$2004,Task_Steps!$B$5:$B$2004=$A128)),""))</f>
        <v/>
      </c>
      <c r="AE128" s="84">
        <f>IF($A128="","",COUNTIFS(Task_Steps!$B$5:$B$2004,$A128,Task_Steps!$H$5:$H$2004,"&lt;&gt;Completed",Task_Steps!$H$5:$H$2004,"&lt;&gt;Cancelled"))</f>
        <v/>
      </c>
      <c r="AF128" s="81">
        <f>IF(OR($B128="",$A128=""),"",$B128&amp;" | "&amp;$A128)</f>
        <v/>
      </c>
    </row>
    <row r="129" ht="15" customHeight="1" s="40">
      <c r="A129" s="65">
        <f>IF(COUNTA(B129:F129)=0,"","TSK-"&amp;TEXT(ROW()-4,"0000"))</f>
        <v/>
      </c>
      <c r="B129" s="78" t="n"/>
      <c r="C129" s="78" t="n"/>
      <c r="D129" s="81" t="n"/>
      <c r="E129" s="81" t="n"/>
      <c r="F129" s="78" t="n"/>
      <c r="G129" s="67">
        <f>IF($F129="","",IFERROR(INDEX(Employee_Master!$C$5:$C$204,MATCH($F129,Employee_Master!$B$5:$B$204,0)),""))</f>
        <v/>
      </c>
      <c r="H129" s="78" t="n"/>
      <c r="I129" s="78" t="n"/>
      <c r="J129" s="67">
        <f>IF($I129="","",IFERROR(INDEX(Action_Status_Map!$B$5:$B$11,MATCH($I129,Action_Status_Map!$A$5:$A$11,0)),""))</f>
        <v/>
      </c>
      <c r="K129" s="82" t="n"/>
      <c r="L129" s="82" t="n"/>
      <c r="M129" s="82" t="n"/>
      <c r="N129" s="83" t="n"/>
      <c r="O129" s="83" t="n"/>
      <c r="P129" s="66">
        <f>IF(OR($N129="",$O129=""),"",$O129-$N129)</f>
        <v/>
      </c>
      <c r="Q129" s="84">
        <f>IF($K129="","",IF($M129&lt;&gt;"",$M129-$K129,TODAY()-$K129))</f>
        <v/>
      </c>
      <c r="R129" s="85">
        <f>IF(OR($L129="",$I129="Completed",$I129="Cancelled"),"",IF(AND($L129&lt;TODAY(),$I129&lt;&gt;"Completed",$I129&lt;&gt;"Cancelled"),"Overdue","On Track"))</f>
        <v/>
      </c>
      <c r="S129" s="65">
        <f>IF($L129="","",TEXT($L129,"yyyy-mm"))</f>
        <v/>
      </c>
      <c r="T129" s="86">
        <f>IF($I129="","",IFERROR(INDEX(Action_Status_Map!$C$5:$C$11,MATCH($I129,Action_Status_Map!$A$5:$A$11,0)),""))</f>
        <v/>
      </c>
      <c r="U129" s="81" t="n"/>
      <c r="V129" s="82" t="n"/>
      <c r="W129" s="65">
        <f>IF(OR($I129&lt;&gt;"Completed",$M129="",$L129=""),"",IF($M129&lt;=$L129,"Yes","No"))</f>
        <v/>
      </c>
      <c r="X129" s="84">
        <f>IF($A129="","",COUNTIF(Task_Steps!$B$5:$B$2004,$A129))</f>
        <v/>
      </c>
      <c r="Y129" s="86">
        <f>IF($X129=0,"",COUNTIFS(Task_Steps!$B$5:$B$2004,$A129,Task_Steps!$H$5:$H$2004,"Completed")/$X129)</f>
        <v/>
      </c>
      <c r="Z129" s="81" t="n"/>
      <c r="AA129" s="81" t="n"/>
      <c r="AB129" s="67">
        <f>IF($F129="","",IFERROR(INDEX(Employee_Master!$E$5:$E$204,MATCH($F129,Employee_Master!$B$5:$B$204,0)),""))</f>
        <v/>
      </c>
      <c r="AC129" s="65">
        <f>IF(OR($A129="",$AB129=""),"",IF(OR($I129="Completed",$I129="Cancelled"),"Closed - in Manager Report","Active - in Manager Report"))</f>
        <v/>
      </c>
      <c r="AD129" s="81">
        <f>IF($A129="","",IFERROR(TEXTJOIN(", ",TRUE,FILTER(Task_Steps!$A$5:$A$2004,Task_Steps!$B$5:$B$2004=$A129)),""))</f>
        <v/>
      </c>
      <c r="AE129" s="84">
        <f>IF($A129="","",COUNTIFS(Task_Steps!$B$5:$B$2004,$A129,Task_Steps!$H$5:$H$2004,"&lt;&gt;Completed",Task_Steps!$H$5:$H$2004,"&lt;&gt;Cancelled"))</f>
        <v/>
      </c>
      <c r="AF129" s="81">
        <f>IF(OR($B129="",$A129=""),"",$B129&amp;" | "&amp;$A129)</f>
        <v/>
      </c>
    </row>
    <row r="130" ht="15" customHeight="1" s="40">
      <c r="A130" s="65">
        <f>IF(COUNTA(B130:F130)=0,"","TSK-"&amp;TEXT(ROW()-4,"0000"))</f>
        <v/>
      </c>
      <c r="B130" s="78" t="n"/>
      <c r="C130" s="78" t="n"/>
      <c r="D130" s="81" t="n"/>
      <c r="E130" s="81" t="n"/>
      <c r="F130" s="78" t="n"/>
      <c r="G130" s="67">
        <f>IF($F130="","",IFERROR(INDEX(Employee_Master!$C$5:$C$204,MATCH($F130,Employee_Master!$B$5:$B$204,0)),""))</f>
        <v/>
      </c>
      <c r="H130" s="78" t="n"/>
      <c r="I130" s="78" t="n"/>
      <c r="J130" s="67">
        <f>IF($I130="","",IFERROR(INDEX(Action_Status_Map!$B$5:$B$11,MATCH($I130,Action_Status_Map!$A$5:$A$11,0)),""))</f>
        <v/>
      </c>
      <c r="K130" s="82" t="n"/>
      <c r="L130" s="82" t="n"/>
      <c r="M130" s="82" t="n"/>
      <c r="N130" s="83" t="n"/>
      <c r="O130" s="83" t="n"/>
      <c r="P130" s="66">
        <f>IF(OR($N130="",$O130=""),"",$O130-$N130)</f>
        <v/>
      </c>
      <c r="Q130" s="84">
        <f>IF($K130="","",IF($M130&lt;&gt;"",$M130-$K130,TODAY()-$K130))</f>
        <v/>
      </c>
      <c r="R130" s="85">
        <f>IF(OR($L130="",$I130="Completed",$I130="Cancelled"),"",IF(AND($L130&lt;TODAY(),$I130&lt;&gt;"Completed",$I130&lt;&gt;"Cancelled"),"Overdue","On Track"))</f>
        <v/>
      </c>
      <c r="S130" s="65">
        <f>IF($L130="","",TEXT($L130,"yyyy-mm"))</f>
        <v/>
      </c>
      <c r="T130" s="86">
        <f>IF($I130="","",IFERROR(INDEX(Action_Status_Map!$C$5:$C$11,MATCH($I130,Action_Status_Map!$A$5:$A$11,0)),""))</f>
        <v/>
      </c>
      <c r="U130" s="81" t="n"/>
      <c r="V130" s="82" t="n"/>
      <c r="W130" s="65">
        <f>IF(OR($I130&lt;&gt;"Completed",$M130="",$L130=""),"",IF($M130&lt;=$L130,"Yes","No"))</f>
        <v/>
      </c>
      <c r="X130" s="84">
        <f>IF($A130="","",COUNTIF(Task_Steps!$B$5:$B$2004,$A130))</f>
        <v/>
      </c>
      <c r="Y130" s="86">
        <f>IF($X130=0,"",COUNTIFS(Task_Steps!$B$5:$B$2004,$A130,Task_Steps!$H$5:$H$2004,"Completed")/$X130)</f>
        <v/>
      </c>
      <c r="Z130" s="81" t="n"/>
      <c r="AA130" s="81" t="n"/>
      <c r="AB130" s="67">
        <f>IF($F130="","",IFERROR(INDEX(Employee_Master!$E$5:$E$204,MATCH($F130,Employee_Master!$B$5:$B$204,0)),""))</f>
        <v/>
      </c>
      <c r="AC130" s="65">
        <f>IF(OR($A130="",$AB130=""),"",IF(OR($I130="Completed",$I130="Cancelled"),"Closed - in Manager Report","Active - in Manager Report"))</f>
        <v/>
      </c>
      <c r="AD130" s="81">
        <f>IF($A130="","",IFERROR(TEXTJOIN(", ",TRUE,FILTER(Task_Steps!$A$5:$A$2004,Task_Steps!$B$5:$B$2004=$A130)),""))</f>
        <v/>
      </c>
      <c r="AE130" s="84">
        <f>IF($A130="","",COUNTIFS(Task_Steps!$B$5:$B$2004,$A130,Task_Steps!$H$5:$H$2004,"&lt;&gt;Completed",Task_Steps!$H$5:$H$2004,"&lt;&gt;Cancelled"))</f>
        <v/>
      </c>
      <c r="AF130" s="81">
        <f>IF(OR($B130="",$A130=""),"",$B130&amp;" | "&amp;$A130)</f>
        <v/>
      </c>
    </row>
    <row r="131" ht="15" customHeight="1" s="40">
      <c r="A131" s="65">
        <f>IF(COUNTA(B131:F131)=0,"","TSK-"&amp;TEXT(ROW()-4,"0000"))</f>
        <v/>
      </c>
      <c r="B131" s="78" t="n"/>
      <c r="C131" s="78" t="n"/>
      <c r="D131" s="81" t="n"/>
      <c r="E131" s="81" t="n"/>
      <c r="F131" s="78" t="n"/>
      <c r="G131" s="67">
        <f>IF($F131="","",IFERROR(INDEX(Employee_Master!$C$5:$C$204,MATCH($F131,Employee_Master!$B$5:$B$204,0)),""))</f>
        <v/>
      </c>
      <c r="H131" s="78" t="n"/>
      <c r="I131" s="78" t="n"/>
      <c r="J131" s="67">
        <f>IF($I131="","",IFERROR(INDEX(Action_Status_Map!$B$5:$B$11,MATCH($I131,Action_Status_Map!$A$5:$A$11,0)),""))</f>
        <v/>
      </c>
      <c r="K131" s="82" t="n"/>
      <c r="L131" s="82" t="n"/>
      <c r="M131" s="82" t="n"/>
      <c r="N131" s="83" t="n"/>
      <c r="O131" s="83" t="n"/>
      <c r="P131" s="66">
        <f>IF(OR($N131="",$O131=""),"",$O131-$N131)</f>
        <v/>
      </c>
      <c r="Q131" s="84">
        <f>IF($K131="","",IF($M131&lt;&gt;"",$M131-$K131,TODAY()-$K131))</f>
        <v/>
      </c>
      <c r="R131" s="85">
        <f>IF(OR($L131="",$I131="Completed",$I131="Cancelled"),"",IF(AND($L131&lt;TODAY(),$I131&lt;&gt;"Completed",$I131&lt;&gt;"Cancelled"),"Overdue","On Track"))</f>
        <v/>
      </c>
      <c r="S131" s="65">
        <f>IF($L131="","",TEXT($L131,"yyyy-mm"))</f>
        <v/>
      </c>
      <c r="T131" s="86">
        <f>IF($I131="","",IFERROR(INDEX(Action_Status_Map!$C$5:$C$11,MATCH($I131,Action_Status_Map!$A$5:$A$11,0)),""))</f>
        <v/>
      </c>
      <c r="U131" s="81" t="n"/>
      <c r="V131" s="82" t="n"/>
      <c r="W131" s="65">
        <f>IF(OR($I131&lt;&gt;"Completed",$M131="",$L131=""),"",IF($M131&lt;=$L131,"Yes","No"))</f>
        <v/>
      </c>
      <c r="X131" s="84">
        <f>IF($A131="","",COUNTIF(Task_Steps!$B$5:$B$2004,$A131))</f>
        <v/>
      </c>
      <c r="Y131" s="86">
        <f>IF($X131=0,"",COUNTIFS(Task_Steps!$B$5:$B$2004,$A131,Task_Steps!$H$5:$H$2004,"Completed")/$X131)</f>
        <v/>
      </c>
      <c r="Z131" s="81" t="n"/>
      <c r="AA131" s="81" t="n"/>
      <c r="AB131" s="67">
        <f>IF($F131="","",IFERROR(INDEX(Employee_Master!$E$5:$E$204,MATCH($F131,Employee_Master!$B$5:$B$204,0)),""))</f>
        <v/>
      </c>
      <c r="AC131" s="65">
        <f>IF(OR($A131="",$AB131=""),"",IF(OR($I131="Completed",$I131="Cancelled"),"Closed - in Manager Report","Active - in Manager Report"))</f>
        <v/>
      </c>
      <c r="AD131" s="81">
        <f>IF($A131="","",IFERROR(TEXTJOIN(", ",TRUE,FILTER(Task_Steps!$A$5:$A$2004,Task_Steps!$B$5:$B$2004=$A131)),""))</f>
        <v/>
      </c>
      <c r="AE131" s="84">
        <f>IF($A131="","",COUNTIFS(Task_Steps!$B$5:$B$2004,$A131,Task_Steps!$H$5:$H$2004,"&lt;&gt;Completed",Task_Steps!$H$5:$H$2004,"&lt;&gt;Cancelled"))</f>
        <v/>
      </c>
      <c r="AF131" s="81">
        <f>IF(OR($B131="",$A131=""),"",$B131&amp;" | "&amp;$A131)</f>
        <v/>
      </c>
    </row>
    <row r="132" ht="15" customHeight="1" s="40">
      <c r="A132" s="65">
        <f>IF(COUNTA(B132:F132)=0,"","TSK-"&amp;TEXT(ROW()-4,"0000"))</f>
        <v/>
      </c>
      <c r="B132" s="78" t="n"/>
      <c r="C132" s="78" t="n"/>
      <c r="D132" s="81" t="n"/>
      <c r="E132" s="81" t="n"/>
      <c r="F132" s="78" t="n"/>
      <c r="G132" s="67">
        <f>IF($F132="","",IFERROR(INDEX(Employee_Master!$C$5:$C$204,MATCH($F132,Employee_Master!$B$5:$B$204,0)),""))</f>
        <v/>
      </c>
      <c r="H132" s="78" t="n"/>
      <c r="I132" s="78" t="n"/>
      <c r="J132" s="67">
        <f>IF($I132="","",IFERROR(INDEX(Action_Status_Map!$B$5:$B$11,MATCH($I132,Action_Status_Map!$A$5:$A$11,0)),""))</f>
        <v/>
      </c>
      <c r="K132" s="82" t="n"/>
      <c r="L132" s="82" t="n"/>
      <c r="M132" s="82" t="n"/>
      <c r="N132" s="83" t="n"/>
      <c r="O132" s="83" t="n"/>
      <c r="P132" s="66">
        <f>IF(OR($N132="",$O132=""),"",$O132-$N132)</f>
        <v/>
      </c>
      <c r="Q132" s="84">
        <f>IF($K132="","",IF($M132&lt;&gt;"",$M132-$K132,TODAY()-$K132))</f>
        <v/>
      </c>
      <c r="R132" s="85">
        <f>IF(OR($L132="",$I132="Completed",$I132="Cancelled"),"",IF(AND($L132&lt;TODAY(),$I132&lt;&gt;"Completed",$I132&lt;&gt;"Cancelled"),"Overdue","On Track"))</f>
        <v/>
      </c>
      <c r="S132" s="65">
        <f>IF($L132="","",TEXT($L132,"yyyy-mm"))</f>
        <v/>
      </c>
      <c r="T132" s="86">
        <f>IF($I132="","",IFERROR(INDEX(Action_Status_Map!$C$5:$C$11,MATCH($I132,Action_Status_Map!$A$5:$A$11,0)),""))</f>
        <v/>
      </c>
      <c r="U132" s="81" t="n"/>
      <c r="V132" s="82" t="n"/>
      <c r="W132" s="65">
        <f>IF(OR($I132&lt;&gt;"Completed",$M132="",$L132=""),"",IF($M132&lt;=$L132,"Yes","No"))</f>
        <v/>
      </c>
      <c r="X132" s="84">
        <f>IF($A132="","",COUNTIF(Task_Steps!$B$5:$B$2004,$A132))</f>
        <v/>
      </c>
      <c r="Y132" s="86">
        <f>IF($X132=0,"",COUNTIFS(Task_Steps!$B$5:$B$2004,$A132,Task_Steps!$H$5:$H$2004,"Completed")/$X132)</f>
        <v/>
      </c>
      <c r="Z132" s="81" t="n"/>
      <c r="AA132" s="81" t="n"/>
      <c r="AB132" s="67">
        <f>IF($F132="","",IFERROR(INDEX(Employee_Master!$E$5:$E$204,MATCH($F132,Employee_Master!$B$5:$B$204,0)),""))</f>
        <v/>
      </c>
      <c r="AC132" s="65">
        <f>IF(OR($A132="",$AB132=""),"",IF(OR($I132="Completed",$I132="Cancelled"),"Closed - in Manager Report","Active - in Manager Report"))</f>
        <v/>
      </c>
      <c r="AD132" s="81">
        <f>IF($A132="","",IFERROR(TEXTJOIN(", ",TRUE,FILTER(Task_Steps!$A$5:$A$2004,Task_Steps!$B$5:$B$2004=$A132)),""))</f>
        <v/>
      </c>
      <c r="AE132" s="84">
        <f>IF($A132="","",COUNTIFS(Task_Steps!$B$5:$B$2004,$A132,Task_Steps!$H$5:$H$2004,"&lt;&gt;Completed",Task_Steps!$H$5:$H$2004,"&lt;&gt;Cancelled"))</f>
        <v/>
      </c>
      <c r="AF132" s="81">
        <f>IF(OR($B132="",$A132=""),"",$B132&amp;" | "&amp;$A132)</f>
        <v/>
      </c>
    </row>
    <row r="133" ht="15" customHeight="1" s="40">
      <c r="A133" s="65">
        <f>IF(COUNTA(B133:F133)=0,"","TSK-"&amp;TEXT(ROW()-4,"0000"))</f>
        <v/>
      </c>
      <c r="B133" s="78" t="n"/>
      <c r="C133" s="78" t="n"/>
      <c r="D133" s="81" t="n"/>
      <c r="E133" s="81" t="n"/>
      <c r="F133" s="78" t="n"/>
      <c r="G133" s="67">
        <f>IF($F133="","",IFERROR(INDEX(Employee_Master!$C$5:$C$204,MATCH($F133,Employee_Master!$B$5:$B$204,0)),""))</f>
        <v/>
      </c>
      <c r="H133" s="78" t="n"/>
      <c r="I133" s="78" t="n"/>
      <c r="J133" s="67">
        <f>IF($I133="","",IFERROR(INDEX(Action_Status_Map!$B$5:$B$11,MATCH($I133,Action_Status_Map!$A$5:$A$11,0)),""))</f>
        <v/>
      </c>
      <c r="K133" s="82" t="n"/>
      <c r="L133" s="82" t="n"/>
      <c r="M133" s="82" t="n"/>
      <c r="N133" s="83" t="n"/>
      <c r="O133" s="83" t="n"/>
      <c r="P133" s="66">
        <f>IF(OR($N133="",$O133=""),"",$O133-$N133)</f>
        <v/>
      </c>
      <c r="Q133" s="84">
        <f>IF($K133="","",IF($M133&lt;&gt;"",$M133-$K133,TODAY()-$K133))</f>
        <v/>
      </c>
      <c r="R133" s="85">
        <f>IF(OR($L133="",$I133="Completed",$I133="Cancelled"),"",IF(AND($L133&lt;TODAY(),$I133&lt;&gt;"Completed",$I133&lt;&gt;"Cancelled"),"Overdue","On Track"))</f>
        <v/>
      </c>
      <c r="S133" s="65">
        <f>IF($L133="","",TEXT($L133,"yyyy-mm"))</f>
        <v/>
      </c>
      <c r="T133" s="86">
        <f>IF($I133="","",IFERROR(INDEX(Action_Status_Map!$C$5:$C$11,MATCH($I133,Action_Status_Map!$A$5:$A$11,0)),""))</f>
        <v/>
      </c>
      <c r="U133" s="81" t="n"/>
      <c r="V133" s="82" t="n"/>
      <c r="W133" s="65">
        <f>IF(OR($I133&lt;&gt;"Completed",$M133="",$L133=""),"",IF($M133&lt;=$L133,"Yes","No"))</f>
        <v/>
      </c>
      <c r="X133" s="84">
        <f>IF($A133="","",COUNTIF(Task_Steps!$B$5:$B$2004,$A133))</f>
        <v/>
      </c>
      <c r="Y133" s="86">
        <f>IF($X133=0,"",COUNTIFS(Task_Steps!$B$5:$B$2004,$A133,Task_Steps!$H$5:$H$2004,"Completed")/$X133)</f>
        <v/>
      </c>
      <c r="Z133" s="81" t="n"/>
      <c r="AA133" s="81" t="n"/>
      <c r="AB133" s="67">
        <f>IF($F133="","",IFERROR(INDEX(Employee_Master!$E$5:$E$204,MATCH($F133,Employee_Master!$B$5:$B$204,0)),""))</f>
        <v/>
      </c>
      <c r="AC133" s="65">
        <f>IF(OR($A133="",$AB133=""),"",IF(OR($I133="Completed",$I133="Cancelled"),"Closed - in Manager Report","Active - in Manager Report"))</f>
        <v/>
      </c>
      <c r="AD133" s="81">
        <f>IF($A133="","",IFERROR(TEXTJOIN(", ",TRUE,FILTER(Task_Steps!$A$5:$A$2004,Task_Steps!$B$5:$B$2004=$A133)),""))</f>
        <v/>
      </c>
      <c r="AE133" s="84">
        <f>IF($A133="","",COUNTIFS(Task_Steps!$B$5:$B$2004,$A133,Task_Steps!$H$5:$H$2004,"&lt;&gt;Completed",Task_Steps!$H$5:$H$2004,"&lt;&gt;Cancelled"))</f>
        <v/>
      </c>
      <c r="AF133" s="81">
        <f>IF(OR($B133="",$A133=""),"",$B133&amp;" | "&amp;$A133)</f>
        <v/>
      </c>
    </row>
    <row r="134" ht="15" customHeight="1" s="40">
      <c r="A134" s="65">
        <f>IF(COUNTA(B134:F134)=0,"","TSK-"&amp;TEXT(ROW()-4,"0000"))</f>
        <v/>
      </c>
      <c r="B134" s="78" t="n"/>
      <c r="C134" s="78" t="n"/>
      <c r="D134" s="81" t="n"/>
      <c r="E134" s="81" t="n"/>
      <c r="F134" s="78" t="n"/>
      <c r="G134" s="67">
        <f>IF($F134="","",IFERROR(INDEX(Employee_Master!$C$5:$C$204,MATCH($F134,Employee_Master!$B$5:$B$204,0)),""))</f>
        <v/>
      </c>
      <c r="H134" s="78" t="n"/>
      <c r="I134" s="78" t="n"/>
      <c r="J134" s="67">
        <f>IF($I134="","",IFERROR(INDEX(Action_Status_Map!$B$5:$B$11,MATCH($I134,Action_Status_Map!$A$5:$A$11,0)),""))</f>
        <v/>
      </c>
      <c r="K134" s="82" t="n"/>
      <c r="L134" s="82" t="n"/>
      <c r="M134" s="82" t="n"/>
      <c r="N134" s="83" t="n"/>
      <c r="O134" s="83" t="n"/>
      <c r="P134" s="66">
        <f>IF(OR($N134="",$O134=""),"",$O134-$N134)</f>
        <v/>
      </c>
      <c r="Q134" s="84">
        <f>IF($K134="","",IF($M134&lt;&gt;"",$M134-$K134,TODAY()-$K134))</f>
        <v/>
      </c>
      <c r="R134" s="85">
        <f>IF(OR($L134="",$I134="Completed",$I134="Cancelled"),"",IF(AND($L134&lt;TODAY(),$I134&lt;&gt;"Completed",$I134&lt;&gt;"Cancelled"),"Overdue","On Track"))</f>
        <v/>
      </c>
      <c r="S134" s="65">
        <f>IF($L134="","",TEXT($L134,"yyyy-mm"))</f>
        <v/>
      </c>
      <c r="T134" s="86">
        <f>IF($I134="","",IFERROR(INDEX(Action_Status_Map!$C$5:$C$11,MATCH($I134,Action_Status_Map!$A$5:$A$11,0)),""))</f>
        <v/>
      </c>
      <c r="U134" s="81" t="n"/>
      <c r="V134" s="82" t="n"/>
      <c r="W134" s="65">
        <f>IF(OR($I134&lt;&gt;"Completed",$M134="",$L134=""),"",IF($M134&lt;=$L134,"Yes","No"))</f>
        <v/>
      </c>
      <c r="X134" s="84">
        <f>IF($A134="","",COUNTIF(Task_Steps!$B$5:$B$2004,$A134))</f>
        <v/>
      </c>
      <c r="Y134" s="86">
        <f>IF($X134=0,"",COUNTIFS(Task_Steps!$B$5:$B$2004,$A134,Task_Steps!$H$5:$H$2004,"Completed")/$X134)</f>
        <v/>
      </c>
      <c r="Z134" s="81" t="n"/>
      <c r="AA134" s="81" t="n"/>
      <c r="AB134" s="67">
        <f>IF($F134="","",IFERROR(INDEX(Employee_Master!$E$5:$E$204,MATCH($F134,Employee_Master!$B$5:$B$204,0)),""))</f>
        <v/>
      </c>
      <c r="AC134" s="65">
        <f>IF(OR($A134="",$AB134=""),"",IF(OR($I134="Completed",$I134="Cancelled"),"Closed - in Manager Report","Active - in Manager Report"))</f>
        <v/>
      </c>
      <c r="AD134" s="81">
        <f>IF($A134="","",IFERROR(TEXTJOIN(", ",TRUE,FILTER(Task_Steps!$A$5:$A$2004,Task_Steps!$B$5:$B$2004=$A134)),""))</f>
        <v/>
      </c>
      <c r="AE134" s="84">
        <f>IF($A134="","",COUNTIFS(Task_Steps!$B$5:$B$2004,$A134,Task_Steps!$H$5:$H$2004,"&lt;&gt;Completed",Task_Steps!$H$5:$H$2004,"&lt;&gt;Cancelled"))</f>
        <v/>
      </c>
      <c r="AF134" s="81">
        <f>IF(OR($B134="",$A134=""),"",$B134&amp;" | "&amp;$A134)</f>
        <v/>
      </c>
    </row>
    <row r="135" ht="15" customHeight="1" s="40">
      <c r="A135" s="65">
        <f>IF(COUNTA(B135:F135)=0,"","TSK-"&amp;TEXT(ROW()-4,"0000"))</f>
        <v/>
      </c>
      <c r="B135" s="78" t="n"/>
      <c r="C135" s="78" t="n"/>
      <c r="D135" s="81" t="n"/>
      <c r="E135" s="81" t="n"/>
      <c r="F135" s="78" t="n"/>
      <c r="G135" s="67">
        <f>IF($F135="","",IFERROR(INDEX(Employee_Master!$C$5:$C$204,MATCH($F135,Employee_Master!$B$5:$B$204,0)),""))</f>
        <v/>
      </c>
      <c r="H135" s="78" t="n"/>
      <c r="I135" s="78" t="n"/>
      <c r="J135" s="67">
        <f>IF($I135="","",IFERROR(INDEX(Action_Status_Map!$B$5:$B$11,MATCH($I135,Action_Status_Map!$A$5:$A$11,0)),""))</f>
        <v/>
      </c>
      <c r="K135" s="82" t="n"/>
      <c r="L135" s="82" t="n"/>
      <c r="M135" s="82" t="n"/>
      <c r="N135" s="83" t="n"/>
      <c r="O135" s="83" t="n"/>
      <c r="P135" s="66">
        <f>IF(OR($N135="",$O135=""),"",$O135-$N135)</f>
        <v/>
      </c>
      <c r="Q135" s="84">
        <f>IF($K135="","",IF($M135&lt;&gt;"",$M135-$K135,TODAY()-$K135))</f>
        <v/>
      </c>
      <c r="R135" s="85">
        <f>IF(OR($L135="",$I135="Completed",$I135="Cancelled"),"",IF(AND($L135&lt;TODAY(),$I135&lt;&gt;"Completed",$I135&lt;&gt;"Cancelled"),"Overdue","On Track"))</f>
        <v/>
      </c>
      <c r="S135" s="65">
        <f>IF($L135="","",TEXT($L135,"yyyy-mm"))</f>
        <v/>
      </c>
      <c r="T135" s="86">
        <f>IF($I135="","",IFERROR(INDEX(Action_Status_Map!$C$5:$C$11,MATCH($I135,Action_Status_Map!$A$5:$A$11,0)),""))</f>
        <v/>
      </c>
      <c r="U135" s="81" t="n"/>
      <c r="V135" s="82" t="n"/>
      <c r="W135" s="65">
        <f>IF(OR($I135&lt;&gt;"Completed",$M135="",$L135=""),"",IF($M135&lt;=$L135,"Yes","No"))</f>
        <v/>
      </c>
      <c r="X135" s="84">
        <f>IF($A135="","",COUNTIF(Task_Steps!$B$5:$B$2004,$A135))</f>
        <v/>
      </c>
      <c r="Y135" s="86">
        <f>IF($X135=0,"",COUNTIFS(Task_Steps!$B$5:$B$2004,$A135,Task_Steps!$H$5:$H$2004,"Completed")/$X135)</f>
        <v/>
      </c>
      <c r="Z135" s="81" t="n"/>
      <c r="AA135" s="81" t="n"/>
      <c r="AB135" s="67">
        <f>IF($F135="","",IFERROR(INDEX(Employee_Master!$E$5:$E$204,MATCH($F135,Employee_Master!$B$5:$B$204,0)),""))</f>
        <v/>
      </c>
      <c r="AC135" s="65">
        <f>IF(OR($A135="",$AB135=""),"",IF(OR($I135="Completed",$I135="Cancelled"),"Closed - in Manager Report","Active - in Manager Report"))</f>
        <v/>
      </c>
      <c r="AD135" s="81">
        <f>IF($A135="","",IFERROR(TEXTJOIN(", ",TRUE,FILTER(Task_Steps!$A$5:$A$2004,Task_Steps!$B$5:$B$2004=$A135)),""))</f>
        <v/>
      </c>
      <c r="AE135" s="84">
        <f>IF($A135="","",COUNTIFS(Task_Steps!$B$5:$B$2004,$A135,Task_Steps!$H$5:$H$2004,"&lt;&gt;Completed",Task_Steps!$H$5:$H$2004,"&lt;&gt;Cancelled"))</f>
        <v/>
      </c>
      <c r="AF135" s="81">
        <f>IF(OR($B135="",$A135=""),"",$B135&amp;" | "&amp;$A135)</f>
        <v/>
      </c>
    </row>
    <row r="136" ht="15" customHeight="1" s="40">
      <c r="A136" s="65">
        <f>IF(COUNTA(B136:F136)=0,"","TSK-"&amp;TEXT(ROW()-4,"0000"))</f>
        <v/>
      </c>
      <c r="B136" s="78" t="n"/>
      <c r="C136" s="78" t="n"/>
      <c r="D136" s="81" t="n"/>
      <c r="E136" s="81" t="n"/>
      <c r="F136" s="78" t="n"/>
      <c r="G136" s="67">
        <f>IF($F136="","",IFERROR(INDEX(Employee_Master!$C$5:$C$204,MATCH($F136,Employee_Master!$B$5:$B$204,0)),""))</f>
        <v/>
      </c>
      <c r="H136" s="78" t="n"/>
      <c r="I136" s="78" t="n"/>
      <c r="J136" s="67">
        <f>IF($I136="","",IFERROR(INDEX(Action_Status_Map!$B$5:$B$11,MATCH($I136,Action_Status_Map!$A$5:$A$11,0)),""))</f>
        <v/>
      </c>
      <c r="K136" s="82" t="n"/>
      <c r="L136" s="82" t="n"/>
      <c r="M136" s="82" t="n"/>
      <c r="N136" s="83" t="n"/>
      <c r="O136" s="83" t="n"/>
      <c r="P136" s="66">
        <f>IF(OR($N136="",$O136=""),"",$O136-$N136)</f>
        <v/>
      </c>
      <c r="Q136" s="84">
        <f>IF($K136="","",IF($M136&lt;&gt;"",$M136-$K136,TODAY()-$K136))</f>
        <v/>
      </c>
      <c r="R136" s="85">
        <f>IF(OR($L136="",$I136="Completed",$I136="Cancelled"),"",IF(AND($L136&lt;TODAY(),$I136&lt;&gt;"Completed",$I136&lt;&gt;"Cancelled"),"Overdue","On Track"))</f>
        <v/>
      </c>
      <c r="S136" s="65">
        <f>IF($L136="","",TEXT($L136,"yyyy-mm"))</f>
        <v/>
      </c>
      <c r="T136" s="86">
        <f>IF($I136="","",IFERROR(INDEX(Action_Status_Map!$C$5:$C$11,MATCH($I136,Action_Status_Map!$A$5:$A$11,0)),""))</f>
        <v/>
      </c>
      <c r="U136" s="81" t="n"/>
      <c r="V136" s="82" t="n"/>
      <c r="W136" s="65">
        <f>IF(OR($I136&lt;&gt;"Completed",$M136="",$L136=""),"",IF($M136&lt;=$L136,"Yes","No"))</f>
        <v/>
      </c>
      <c r="X136" s="84">
        <f>IF($A136="","",COUNTIF(Task_Steps!$B$5:$B$2004,$A136))</f>
        <v/>
      </c>
      <c r="Y136" s="86">
        <f>IF($X136=0,"",COUNTIFS(Task_Steps!$B$5:$B$2004,$A136,Task_Steps!$H$5:$H$2004,"Completed")/$X136)</f>
        <v/>
      </c>
      <c r="Z136" s="81" t="n"/>
      <c r="AA136" s="81" t="n"/>
      <c r="AB136" s="67">
        <f>IF($F136="","",IFERROR(INDEX(Employee_Master!$E$5:$E$204,MATCH($F136,Employee_Master!$B$5:$B$204,0)),""))</f>
        <v/>
      </c>
      <c r="AC136" s="65">
        <f>IF(OR($A136="",$AB136=""),"",IF(OR($I136="Completed",$I136="Cancelled"),"Closed - in Manager Report","Active - in Manager Report"))</f>
        <v/>
      </c>
      <c r="AD136" s="81">
        <f>IF($A136="","",IFERROR(TEXTJOIN(", ",TRUE,FILTER(Task_Steps!$A$5:$A$2004,Task_Steps!$B$5:$B$2004=$A136)),""))</f>
        <v/>
      </c>
      <c r="AE136" s="84">
        <f>IF($A136="","",COUNTIFS(Task_Steps!$B$5:$B$2004,$A136,Task_Steps!$H$5:$H$2004,"&lt;&gt;Completed",Task_Steps!$H$5:$H$2004,"&lt;&gt;Cancelled"))</f>
        <v/>
      </c>
      <c r="AF136" s="81">
        <f>IF(OR($B136="",$A136=""),"",$B136&amp;" | "&amp;$A136)</f>
        <v/>
      </c>
    </row>
    <row r="137" ht="15" customHeight="1" s="40">
      <c r="A137" s="65">
        <f>IF(COUNTA(B137:F137)=0,"","TSK-"&amp;TEXT(ROW()-4,"0000"))</f>
        <v/>
      </c>
      <c r="B137" s="78" t="n"/>
      <c r="C137" s="78" t="n"/>
      <c r="D137" s="81" t="n"/>
      <c r="E137" s="81" t="n"/>
      <c r="F137" s="78" t="n"/>
      <c r="G137" s="67">
        <f>IF($F137="","",IFERROR(INDEX(Employee_Master!$C$5:$C$204,MATCH($F137,Employee_Master!$B$5:$B$204,0)),""))</f>
        <v/>
      </c>
      <c r="H137" s="78" t="n"/>
      <c r="I137" s="78" t="n"/>
      <c r="J137" s="67">
        <f>IF($I137="","",IFERROR(INDEX(Action_Status_Map!$B$5:$B$11,MATCH($I137,Action_Status_Map!$A$5:$A$11,0)),""))</f>
        <v/>
      </c>
      <c r="K137" s="82" t="n"/>
      <c r="L137" s="82" t="n"/>
      <c r="M137" s="82" t="n"/>
      <c r="N137" s="83" t="n"/>
      <c r="O137" s="83" t="n"/>
      <c r="P137" s="66">
        <f>IF(OR($N137="",$O137=""),"",$O137-$N137)</f>
        <v/>
      </c>
      <c r="Q137" s="84">
        <f>IF($K137="","",IF($M137&lt;&gt;"",$M137-$K137,TODAY()-$K137))</f>
        <v/>
      </c>
      <c r="R137" s="85">
        <f>IF(OR($L137="",$I137="Completed",$I137="Cancelled"),"",IF(AND($L137&lt;TODAY(),$I137&lt;&gt;"Completed",$I137&lt;&gt;"Cancelled"),"Overdue","On Track"))</f>
        <v/>
      </c>
      <c r="S137" s="65">
        <f>IF($L137="","",TEXT($L137,"yyyy-mm"))</f>
        <v/>
      </c>
      <c r="T137" s="86">
        <f>IF($I137="","",IFERROR(INDEX(Action_Status_Map!$C$5:$C$11,MATCH($I137,Action_Status_Map!$A$5:$A$11,0)),""))</f>
        <v/>
      </c>
      <c r="U137" s="81" t="n"/>
      <c r="V137" s="82" t="n"/>
      <c r="W137" s="65">
        <f>IF(OR($I137&lt;&gt;"Completed",$M137="",$L137=""),"",IF($M137&lt;=$L137,"Yes","No"))</f>
        <v/>
      </c>
      <c r="X137" s="84">
        <f>IF($A137="","",COUNTIF(Task_Steps!$B$5:$B$2004,$A137))</f>
        <v/>
      </c>
      <c r="Y137" s="86">
        <f>IF($X137=0,"",COUNTIFS(Task_Steps!$B$5:$B$2004,$A137,Task_Steps!$H$5:$H$2004,"Completed")/$X137)</f>
        <v/>
      </c>
      <c r="Z137" s="81" t="n"/>
      <c r="AA137" s="81" t="n"/>
      <c r="AB137" s="67">
        <f>IF($F137="","",IFERROR(INDEX(Employee_Master!$E$5:$E$204,MATCH($F137,Employee_Master!$B$5:$B$204,0)),""))</f>
        <v/>
      </c>
      <c r="AC137" s="65">
        <f>IF(OR($A137="",$AB137=""),"",IF(OR($I137="Completed",$I137="Cancelled"),"Closed - in Manager Report","Active - in Manager Report"))</f>
        <v/>
      </c>
      <c r="AD137" s="81">
        <f>IF($A137="","",IFERROR(TEXTJOIN(", ",TRUE,FILTER(Task_Steps!$A$5:$A$2004,Task_Steps!$B$5:$B$2004=$A137)),""))</f>
        <v/>
      </c>
      <c r="AE137" s="84">
        <f>IF($A137="","",COUNTIFS(Task_Steps!$B$5:$B$2004,$A137,Task_Steps!$H$5:$H$2004,"&lt;&gt;Completed",Task_Steps!$H$5:$H$2004,"&lt;&gt;Cancelled"))</f>
        <v/>
      </c>
      <c r="AF137" s="81">
        <f>IF(OR($B137="",$A137=""),"",$B137&amp;" | "&amp;$A137)</f>
        <v/>
      </c>
    </row>
    <row r="138" ht="15" customHeight="1" s="40">
      <c r="A138" s="65">
        <f>IF(COUNTA(B138:F138)=0,"","TSK-"&amp;TEXT(ROW()-4,"0000"))</f>
        <v/>
      </c>
      <c r="B138" s="78" t="n"/>
      <c r="C138" s="78" t="n"/>
      <c r="D138" s="81" t="n"/>
      <c r="E138" s="81" t="n"/>
      <c r="F138" s="78" t="n"/>
      <c r="G138" s="67">
        <f>IF($F138="","",IFERROR(INDEX(Employee_Master!$C$5:$C$204,MATCH($F138,Employee_Master!$B$5:$B$204,0)),""))</f>
        <v/>
      </c>
      <c r="H138" s="78" t="n"/>
      <c r="I138" s="78" t="n"/>
      <c r="J138" s="67">
        <f>IF($I138="","",IFERROR(INDEX(Action_Status_Map!$B$5:$B$11,MATCH($I138,Action_Status_Map!$A$5:$A$11,0)),""))</f>
        <v/>
      </c>
      <c r="K138" s="82" t="n"/>
      <c r="L138" s="82" t="n"/>
      <c r="M138" s="82" t="n"/>
      <c r="N138" s="83" t="n"/>
      <c r="O138" s="83" t="n"/>
      <c r="P138" s="66">
        <f>IF(OR($N138="",$O138=""),"",$O138-$N138)</f>
        <v/>
      </c>
      <c r="Q138" s="84">
        <f>IF($K138="","",IF($M138&lt;&gt;"",$M138-$K138,TODAY()-$K138))</f>
        <v/>
      </c>
      <c r="R138" s="85">
        <f>IF(OR($L138="",$I138="Completed",$I138="Cancelled"),"",IF(AND($L138&lt;TODAY(),$I138&lt;&gt;"Completed",$I138&lt;&gt;"Cancelled"),"Overdue","On Track"))</f>
        <v/>
      </c>
      <c r="S138" s="65">
        <f>IF($L138="","",TEXT($L138,"yyyy-mm"))</f>
        <v/>
      </c>
      <c r="T138" s="86">
        <f>IF($I138="","",IFERROR(INDEX(Action_Status_Map!$C$5:$C$11,MATCH($I138,Action_Status_Map!$A$5:$A$11,0)),""))</f>
        <v/>
      </c>
      <c r="U138" s="81" t="n"/>
      <c r="V138" s="82" t="n"/>
      <c r="W138" s="65">
        <f>IF(OR($I138&lt;&gt;"Completed",$M138="",$L138=""),"",IF($M138&lt;=$L138,"Yes","No"))</f>
        <v/>
      </c>
      <c r="X138" s="84">
        <f>IF($A138="","",COUNTIF(Task_Steps!$B$5:$B$2004,$A138))</f>
        <v/>
      </c>
      <c r="Y138" s="86">
        <f>IF($X138=0,"",COUNTIFS(Task_Steps!$B$5:$B$2004,$A138,Task_Steps!$H$5:$H$2004,"Completed")/$X138)</f>
        <v/>
      </c>
      <c r="Z138" s="81" t="n"/>
      <c r="AA138" s="81" t="n"/>
      <c r="AB138" s="67">
        <f>IF($F138="","",IFERROR(INDEX(Employee_Master!$E$5:$E$204,MATCH($F138,Employee_Master!$B$5:$B$204,0)),""))</f>
        <v/>
      </c>
      <c r="AC138" s="65">
        <f>IF(OR($A138="",$AB138=""),"",IF(OR($I138="Completed",$I138="Cancelled"),"Closed - in Manager Report","Active - in Manager Report"))</f>
        <v/>
      </c>
      <c r="AD138" s="81">
        <f>IF($A138="","",IFERROR(TEXTJOIN(", ",TRUE,FILTER(Task_Steps!$A$5:$A$2004,Task_Steps!$B$5:$B$2004=$A138)),""))</f>
        <v/>
      </c>
      <c r="AE138" s="84">
        <f>IF($A138="","",COUNTIFS(Task_Steps!$B$5:$B$2004,$A138,Task_Steps!$H$5:$H$2004,"&lt;&gt;Completed",Task_Steps!$H$5:$H$2004,"&lt;&gt;Cancelled"))</f>
        <v/>
      </c>
      <c r="AF138" s="81">
        <f>IF(OR($B138="",$A138=""),"",$B138&amp;" | "&amp;$A138)</f>
        <v/>
      </c>
    </row>
    <row r="139" ht="15" customHeight="1" s="40">
      <c r="A139" s="65">
        <f>IF(COUNTA(B139:F139)=0,"","TSK-"&amp;TEXT(ROW()-4,"0000"))</f>
        <v/>
      </c>
      <c r="B139" s="78" t="n"/>
      <c r="C139" s="78" t="n"/>
      <c r="D139" s="81" t="n"/>
      <c r="E139" s="81" t="n"/>
      <c r="F139" s="78" t="n"/>
      <c r="G139" s="67">
        <f>IF($F139="","",IFERROR(INDEX(Employee_Master!$C$5:$C$204,MATCH($F139,Employee_Master!$B$5:$B$204,0)),""))</f>
        <v/>
      </c>
      <c r="H139" s="78" t="n"/>
      <c r="I139" s="78" t="n"/>
      <c r="J139" s="67">
        <f>IF($I139="","",IFERROR(INDEX(Action_Status_Map!$B$5:$B$11,MATCH($I139,Action_Status_Map!$A$5:$A$11,0)),""))</f>
        <v/>
      </c>
      <c r="K139" s="82" t="n"/>
      <c r="L139" s="82" t="n"/>
      <c r="M139" s="82" t="n"/>
      <c r="N139" s="83" t="n"/>
      <c r="O139" s="83" t="n"/>
      <c r="P139" s="66">
        <f>IF(OR($N139="",$O139=""),"",$O139-$N139)</f>
        <v/>
      </c>
      <c r="Q139" s="84">
        <f>IF($K139="","",IF($M139&lt;&gt;"",$M139-$K139,TODAY()-$K139))</f>
        <v/>
      </c>
      <c r="R139" s="85">
        <f>IF(OR($L139="",$I139="Completed",$I139="Cancelled"),"",IF(AND($L139&lt;TODAY(),$I139&lt;&gt;"Completed",$I139&lt;&gt;"Cancelled"),"Overdue","On Track"))</f>
        <v/>
      </c>
      <c r="S139" s="65">
        <f>IF($L139="","",TEXT($L139,"yyyy-mm"))</f>
        <v/>
      </c>
      <c r="T139" s="86">
        <f>IF($I139="","",IFERROR(INDEX(Action_Status_Map!$C$5:$C$11,MATCH($I139,Action_Status_Map!$A$5:$A$11,0)),""))</f>
        <v/>
      </c>
      <c r="U139" s="81" t="n"/>
      <c r="V139" s="82" t="n"/>
      <c r="W139" s="65">
        <f>IF(OR($I139&lt;&gt;"Completed",$M139="",$L139=""),"",IF($M139&lt;=$L139,"Yes","No"))</f>
        <v/>
      </c>
      <c r="X139" s="84">
        <f>IF($A139="","",COUNTIF(Task_Steps!$B$5:$B$2004,$A139))</f>
        <v/>
      </c>
      <c r="Y139" s="86">
        <f>IF($X139=0,"",COUNTIFS(Task_Steps!$B$5:$B$2004,$A139,Task_Steps!$H$5:$H$2004,"Completed")/$X139)</f>
        <v/>
      </c>
      <c r="Z139" s="81" t="n"/>
      <c r="AA139" s="81" t="n"/>
      <c r="AB139" s="67">
        <f>IF($F139="","",IFERROR(INDEX(Employee_Master!$E$5:$E$204,MATCH($F139,Employee_Master!$B$5:$B$204,0)),""))</f>
        <v/>
      </c>
      <c r="AC139" s="65">
        <f>IF(OR($A139="",$AB139=""),"",IF(OR($I139="Completed",$I139="Cancelled"),"Closed - in Manager Report","Active - in Manager Report"))</f>
        <v/>
      </c>
      <c r="AD139" s="81">
        <f>IF($A139="","",IFERROR(TEXTJOIN(", ",TRUE,FILTER(Task_Steps!$A$5:$A$2004,Task_Steps!$B$5:$B$2004=$A139)),""))</f>
        <v/>
      </c>
      <c r="AE139" s="84">
        <f>IF($A139="","",COUNTIFS(Task_Steps!$B$5:$B$2004,$A139,Task_Steps!$H$5:$H$2004,"&lt;&gt;Completed",Task_Steps!$H$5:$H$2004,"&lt;&gt;Cancelled"))</f>
        <v/>
      </c>
      <c r="AF139" s="81">
        <f>IF(OR($B139="",$A139=""),"",$B139&amp;" | "&amp;$A139)</f>
        <v/>
      </c>
    </row>
    <row r="140" ht="15" customHeight="1" s="40">
      <c r="A140" s="65">
        <f>IF(COUNTA(B140:F140)=0,"","TSK-"&amp;TEXT(ROW()-4,"0000"))</f>
        <v/>
      </c>
      <c r="B140" s="78" t="n"/>
      <c r="C140" s="78" t="n"/>
      <c r="D140" s="81" t="n"/>
      <c r="E140" s="81" t="n"/>
      <c r="F140" s="78" t="n"/>
      <c r="G140" s="67">
        <f>IF($F140="","",IFERROR(INDEX(Employee_Master!$C$5:$C$204,MATCH($F140,Employee_Master!$B$5:$B$204,0)),""))</f>
        <v/>
      </c>
      <c r="H140" s="78" t="n"/>
      <c r="I140" s="78" t="n"/>
      <c r="J140" s="67">
        <f>IF($I140="","",IFERROR(INDEX(Action_Status_Map!$B$5:$B$11,MATCH($I140,Action_Status_Map!$A$5:$A$11,0)),""))</f>
        <v/>
      </c>
      <c r="K140" s="82" t="n"/>
      <c r="L140" s="82" t="n"/>
      <c r="M140" s="82" t="n"/>
      <c r="N140" s="83" t="n"/>
      <c r="O140" s="83" t="n"/>
      <c r="P140" s="66">
        <f>IF(OR($N140="",$O140=""),"",$O140-$N140)</f>
        <v/>
      </c>
      <c r="Q140" s="84">
        <f>IF($K140="","",IF($M140&lt;&gt;"",$M140-$K140,TODAY()-$K140))</f>
        <v/>
      </c>
      <c r="R140" s="85">
        <f>IF(OR($L140="",$I140="Completed",$I140="Cancelled"),"",IF(AND($L140&lt;TODAY(),$I140&lt;&gt;"Completed",$I140&lt;&gt;"Cancelled"),"Overdue","On Track"))</f>
        <v/>
      </c>
      <c r="S140" s="65">
        <f>IF($L140="","",TEXT($L140,"yyyy-mm"))</f>
        <v/>
      </c>
      <c r="T140" s="86">
        <f>IF($I140="","",IFERROR(INDEX(Action_Status_Map!$C$5:$C$11,MATCH($I140,Action_Status_Map!$A$5:$A$11,0)),""))</f>
        <v/>
      </c>
      <c r="U140" s="81" t="n"/>
      <c r="V140" s="82" t="n"/>
      <c r="W140" s="65">
        <f>IF(OR($I140&lt;&gt;"Completed",$M140="",$L140=""),"",IF($M140&lt;=$L140,"Yes","No"))</f>
        <v/>
      </c>
      <c r="X140" s="84">
        <f>IF($A140="","",COUNTIF(Task_Steps!$B$5:$B$2004,$A140))</f>
        <v/>
      </c>
      <c r="Y140" s="86">
        <f>IF($X140=0,"",COUNTIFS(Task_Steps!$B$5:$B$2004,$A140,Task_Steps!$H$5:$H$2004,"Completed")/$X140)</f>
        <v/>
      </c>
      <c r="Z140" s="81" t="n"/>
      <c r="AA140" s="81" t="n"/>
      <c r="AB140" s="67">
        <f>IF($F140="","",IFERROR(INDEX(Employee_Master!$E$5:$E$204,MATCH($F140,Employee_Master!$B$5:$B$204,0)),""))</f>
        <v/>
      </c>
      <c r="AC140" s="65">
        <f>IF(OR($A140="",$AB140=""),"",IF(OR($I140="Completed",$I140="Cancelled"),"Closed - in Manager Report","Active - in Manager Report"))</f>
        <v/>
      </c>
      <c r="AD140" s="81">
        <f>IF($A140="","",IFERROR(TEXTJOIN(", ",TRUE,FILTER(Task_Steps!$A$5:$A$2004,Task_Steps!$B$5:$B$2004=$A140)),""))</f>
        <v/>
      </c>
      <c r="AE140" s="84">
        <f>IF($A140="","",COUNTIFS(Task_Steps!$B$5:$B$2004,$A140,Task_Steps!$H$5:$H$2004,"&lt;&gt;Completed",Task_Steps!$H$5:$H$2004,"&lt;&gt;Cancelled"))</f>
        <v/>
      </c>
      <c r="AF140" s="81">
        <f>IF(OR($B140="",$A140=""),"",$B140&amp;" | "&amp;$A140)</f>
        <v/>
      </c>
    </row>
    <row r="141" ht="15" customHeight="1" s="40">
      <c r="A141" s="65">
        <f>IF(COUNTA(B141:F141)=0,"","TSK-"&amp;TEXT(ROW()-4,"0000"))</f>
        <v/>
      </c>
      <c r="B141" s="78" t="n"/>
      <c r="C141" s="78" t="n"/>
      <c r="D141" s="81" t="n"/>
      <c r="E141" s="81" t="n"/>
      <c r="F141" s="78" t="n"/>
      <c r="G141" s="67">
        <f>IF($F141="","",IFERROR(INDEX(Employee_Master!$C$5:$C$204,MATCH($F141,Employee_Master!$B$5:$B$204,0)),""))</f>
        <v/>
      </c>
      <c r="H141" s="78" t="n"/>
      <c r="I141" s="78" t="n"/>
      <c r="J141" s="67">
        <f>IF($I141="","",IFERROR(INDEX(Action_Status_Map!$B$5:$B$11,MATCH($I141,Action_Status_Map!$A$5:$A$11,0)),""))</f>
        <v/>
      </c>
      <c r="K141" s="82" t="n"/>
      <c r="L141" s="82" t="n"/>
      <c r="M141" s="82" t="n"/>
      <c r="N141" s="83" t="n"/>
      <c r="O141" s="83" t="n"/>
      <c r="P141" s="66">
        <f>IF(OR($N141="",$O141=""),"",$O141-$N141)</f>
        <v/>
      </c>
      <c r="Q141" s="84">
        <f>IF($K141="","",IF($M141&lt;&gt;"",$M141-$K141,TODAY()-$K141))</f>
        <v/>
      </c>
      <c r="R141" s="85">
        <f>IF(OR($L141="",$I141="Completed",$I141="Cancelled"),"",IF(AND($L141&lt;TODAY(),$I141&lt;&gt;"Completed",$I141&lt;&gt;"Cancelled"),"Overdue","On Track"))</f>
        <v/>
      </c>
      <c r="S141" s="65">
        <f>IF($L141="","",TEXT($L141,"yyyy-mm"))</f>
        <v/>
      </c>
      <c r="T141" s="86">
        <f>IF($I141="","",IFERROR(INDEX(Action_Status_Map!$C$5:$C$11,MATCH($I141,Action_Status_Map!$A$5:$A$11,0)),""))</f>
        <v/>
      </c>
      <c r="U141" s="81" t="n"/>
      <c r="V141" s="82" t="n"/>
      <c r="W141" s="65">
        <f>IF(OR($I141&lt;&gt;"Completed",$M141="",$L141=""),"",IF($M141&lt;=$L141,"Yes","No"))</f>
        <v/>
      </c>
      <c r="X141" s="84">
        <f>IF($A141="","",COUNTIF(Task_Steps!$B$5:$B$2004,$A141))</f>
        <v/>
      </c>
      <c r="Y141" s="86">
        <f>IF($X141=0,"",COUNTIFS(Task_Steps!$B$5:$B$2004,$A141,Task_Steps!$H$5:$H$2004,"Completed")/$X141)</f>
        <v/>
      </c>
      <c r="Z141" s="81" t="n"/>
      <c r="AA141" s="81" t="n"/>
      <c r="AB141" s="67">
        <f>IF($F141="","",IFERROR(INDEX(Employee_Master!$E$5:$E$204,MATCH($F141,Employee_Master!$B$5:$B$204,0)),""))</f>
        <v/>
      </c>
      <c r="AC141" s="65">
        <f>IF(OR($A141="",$AB141=""),"",IF(OR($I141="Completed",$I141="Cancelled"),"Closed - in Manager Report","Active - in Manager Report"))</f>
        <v/>
      </c>
      <c r="AD141" s="81">
        <f>IF($A141="","",IFERROR(TEXTJOIN(", ",TRUE,FILTER(Task_Steps!$A$5:$A$2004,Task_Steps!$B$5:$B$2004=$A141)),""))</f>
        <v/>
      </c>
      <c r="AE141" s="84">
        <f>IF($A141="","",COUNTIFS(Task_Steps!$B$5:$B$2004,$A141,Task_Steps!$H$5:$H$2004,"&lt;&gt;Completed",Task_Steps!$H$5:$H$2004,"&lt;&gt;Cancelled"))</f>
        <v/>
      </c>
      <c r="AF141" s="81">
        <f>IF(OR($B141="",$A141=""),"",$B141&amp;" | "&amp;$A141)</f>
        <v/>
      </c>
    </row>
    <row r="142" ht="15" customHeight="1" s="40">
      <c r="A142" s="65">
        <f>IF(COUNTA(B142:F142)=0,"","TSK-"&amp;TEXT(ROW()-4,"0000"))</f>
        <v/>
      </c>
      <c r="B142" s="78" t="n"/>
      <c r="C142" s="78" t="n"/>
      <c r="D142" s="81" t="n"/>
      <c r="E142" s="81" t="n"/>
      <c r="F142" s="78" t="n"/>
      <c r="G142" s="67">
        <f>IF($F142="","",IFERROR(INDEX(Employee_Master!$C$5:$C$204,MATCH($F142,Employee_Master!$B$5:$B$204,0)),""))</f>
        <v/>
      </c>
      <c r="H142" s="78" t="n"/>
      <c r="I142" s="78" t="n"/>
      <c r="J142" s="67">
        <f>IF($I142="","",IFERROR(INDEX(Action_Status_Map!$B$5:$B$11,MATCH($I142,Action_Status_Map!$A$5:$A$11,0)),""))</f>
        <v/>
      </c>
      <c r="K142" s="82" t="n"/>
      <c r="L142" s="82" t="n"/>
      <c r="M142" s="82" t="n"/>
      <c r="N142" s="83" t="n"/>
      <c r="O142" s="83" t="n"/>
      <c r="P142" s="66">
        <f>IF(OR($N142="",$O142=""),"",$O142-$N142)</f>
        <v/>
      </c>
      <c r="Q142" s="84">
        <f>IF($K142="","",IF($M142&lt;&gt;"",$M142-$K142,TODAY()-$K142))</f>
        <v/>
      </c>
      <c r="R142" s="85">
        <f>IF(OR($L142="",$I142="Completed",$I142="Cancelled"),"",IF(AND($L142&lt;TODAY(),$I142&lt;&gt;"Completed",$I142&lt;&gt;"Cancelled"),"Overdue","On Track"))</f>
        <v/>
      </c>
      <c r="S142" s="65">
        <f>IF($L142="","",TEXT($L142,"yyyy-mm"))</f>
        <v/>
      </c>
      <c r="T142" s="86">
        <f>IF($I142="","",IFERROR(INDEX(Action_Status_Map!$C$5:$C$11,MATCH($I142,Action_Status_Map!$A$5:$A$11,0)),""))</f>
        <v/>
      </c>
      <c r="U142" s="81" t="n"/>
      <c r="V142" s="82" t="n"/>
      <c r="W142" s="65">
        <f>IF(OR($I142&lt;&gt;"Completed",$M142="",$L142=""),"",IF($M142&lt;=$L142,"Yes","No"))</f>
        <v/>
      </c>
      <c r="X142" s="84">
        <f>IF($A142="","",COUNTIF(Task_Steps!$B$5:$B$2004,$A142))</f>
        <v/>
      </c>
      <c r="Y142" s="86">
        <f>IF($X142=0,"",COUNTIFS(Task_Steps!$B$5:$B$2004,$A142,Task_Steps!$H$5:$H$2004,"Completed")/$X142)</f>
        <v/>
      </c>
      <c r="Z142" s="81" t="n"/>
      <c r="AA142" s="81" t="n"/>
      <c r="AB142" s="67">
        <f>IF($F142="","",IFERROR(INDEX(Employee_Master!$E$5:$E$204,MATCH($F142,Employee_Master!$B$5:$B$204,0)),""))</f>
        <v/>
      </c>
      <c r="AC142" s="65">
        <f>IF(OR($A142="",$AB142=""),"",IF(OR($I142="Completed",$I142="Cancelled"),"Closed - in Manager Report","Active - in Manager Report"))</f>
        <v/>
      </c>
      <c r="AD142" s="81">
        <f>IF($A142="","",IFERROR(TEXTJOIN(", ",TRUE,FILTER(Task_Steps!$A$5:$A$2004,Task_Steps!$B$5:$B$2004=$A142)),""))</f>
        <v/>
      </c>
      <c r="AE142" s="84">
        <f>IF($A142="","",COUNTIFS(Task_Steps!$B$5:$B$2004,$A142,Task_Steps!$H$5:$H$2004,"&lt;&gt;Completed",Task_Steps!$H$5:$H$2004,"&lt;&gt;Cancelled"))</f>
        <v/>
      </c>
      <c r="AF142" s="81">
        <f>IF(OR($B142="",$A142=""),"",$B142&amp;" | "&amp;$A142)</f>
        <v/>
      </c>
    </row>
    <row r="143" ht="15" customHeight="1" s="40">
      <c r="A143" s="65">
        <f>IF(COUNTA(B143:F143)=0,"","TSK-"&amp;TEXT(ROW()-4,"0000"))</f>
        <v/>
      </c>
      <c r="B143" s="78" t="n"/>
      <c r="C143" s="78" t="n"/>
      <c r="D143" s="81" t="n"/>
      <c r="E143" s="81" t="n"/>
      <c r="F143" s="78" t="n"/>
      <c r="G143" s="67">
        <f>IF($F143="","",IFERROR(INDEX(Employee_Master!$C$5:$C$204,MATCH($F143,Employee_Master!$B$5:$B$204,0)),""))</f>
        <v/>
      </c>
      <c r="H143" s="78" t="n"/>
      <c r="I143" s="78" t="n"/>
      <c r="J143" s="67">
        <f>IF($I143="","",IFERROR(INDEX(Action_Status_Map!$B$5:$B$11,MATCH($I143,Action_Status_Map!$A$5:$A$11,0)),""))</f>
        <v/>
      </c>
      <c r="K143" s="82" t="n"/>
      <c r="L143" s="82" t="n"/>
      <c r="M143" s="82" t="n"/>
      <c r="N143" s="83" t="n"/>
      <c r="O143" s="83" t="n"/>
      <c r="P143" s="66">
        <f>IF(OR($N143="",$O143=""),"",$O143-$N143)</f>
        <v/>
      </c>
      <c r="Q143" s="84">
        <f>IF($K143="","",IF($M143&lt;&gt;"",$M143-$K143,TODAY()-$K143))</f>
        <v/>
      </c>
      <c r="R143" s="85">
        <f>IF(OR($L143="",$I143="Completed",$I143="Cancelled"),"",IF(AND($L143&lt;TODAY(),$I143&lt;&gt;"Completed",$I143&lt;&gt;"Cancelled"),"Overdue","On Track"))</f>
        <v/>
      </c>
      <c r="S143" s="65">
        <f>IF($L143="","",TEXT($L143,"yyyy-mm"))</f>
        <v/>
      </c>
      <c r="T143" s="86">
        <f>IF($I143="","",IFERROR(INDEX(Action_Status_Map!$C$5:$C$11,MATCH($I143,Action_Status_Map!$A$5:$A$11,0)),""))</f>
        <v/>
      </c>
      <c r="U143" s="81" t="n"/>
      <c r="V143" s="82" t="n"/>
      <c r="W143" s="65">
        <f>IF(OR($I143&lt;&gt;"Completed",$M143="",$L143=""),"",IF($M143&lt;=$L143,"Yes","No"))</f>
        <v/>
      </c>
      <c r="X143" s="84">
        <f>IF($A143="","",COUNTIF(Task_Steps!$B$5:$B$2004,$A143))</f>
        <v/>
      </c>
      <c r="Y143" s="86">
        <f>IF($X143=0,"",COUNTIFS(Task_Steps!$B$5:$B$2004,$A143,Task_Steps!$H$5:$H$2004,"Completed")/$X143)</f>
        <v/>
      </c>
      <c r="Z143" s="81" t="n"/>
      <c r="AA143" s="81" t="n"/>
      <c r="AB143" s="67">
        <f>IF($F143="","",IFERROR(INDEX(Employee_Master!$E$5:$E$204,MATCH($F143,Employee_Master!$B$5:$B$204,0)),""))</f>
        <v/>
      </c>
      <c r="AC143" s="65">
        <f>IF(OR($A143="",$AB143=""),"",IF(OR($I143="Completed",$I143="Cancelled"),"Closed - in Manager Report","Active - in Manager Report"))</f>
        <v/>
      </c>
      <c r="AD143" s="81">
        <f>IF($A143="","",IFERROR(TEXTJOIN(", ",TRUE,FILTER(Task_Steps!$A$5:$A$2004,Task_Steps!$B$5:$B$2004=$A143)),""))</f>
        <v/>
      </c>
      <c r="AE143" s="84">
        <f>IF($A143="","",COUNTIFS(Task_Steps!$B$5:$B$2004,$A143,Task_Steps!$H$5:$H$2004,"&lt;&gt;Completed",Task_Steps!$H$5:$H$2004,"&lt;&gt;Cancelled"))</f>
        <v/>
      </c>
      <c r="AF143" s="81">
        <f>IF(OR($B143="",$A143=""),"",$B143&amp;" | "&amp;$A143)</f>
        <v/>
      </c>
    </row>
    <row r="144" ht="15" customHeight="1" s="40">
      <c r="A144" s="65">
        <f>IF(COUNTA(B144:F144)=0,"","TSK-"&amp;TEXT(ROW()-4,"0000"))</f>
        <v/>
      </c>
      <c r="B144" s="78" t="n"/>
      <c r="C144" s="78" t="n"/>
      <c r="D144" s="81" t="n"/>
      <c r="E144" s="81" t="n"/>
      <c r="F144" s="78" t="n"/>
      <c r="G144" s="67">
        <f>IF($F144="","",IFERROR(INDEX(Employee_Master!$C$5:$C$204,MATCH($F144,Employee_Master!$B$5:$B$204,0)),""))</f>
        <v/>
      </c>
      <c r="H144" s="78" t="n"/>
      <c r="I144" s="78" t="n"/>
      <c r="J144" s="67">
        <f>IF($I144="","",IFERROR(INDEX(Action_Status_Map!$B$5:$B$11,MATCH($I144,Action_Status_Map!$A$5:$A$11,0)),""))</f>
        <v/>
      </c>
      <c r="K144" s="82" t="n"/>
      <c r="L144" s="82" t="n"/>
      <c r="M144" s="82" t="n"/>
      <c r="N144" s="83" t="n"/>
      <c r="O144" s="83" t="n"/>
      <c r="P144" s="66">
        <f>IF(OR($N144="",$O144=""),"",$O144-$N144)</f>
        <v/>
      </c>
      <c r="Q144" s="84">
        <f>IF($K144="","",IF($M144&lt;&gt;"",$M144-$K144,TODAY()-$K144))</f>
        <v/>
      </c>
      <c r="R144" s="85">
        <f>IF(OR($L144="",$I144="Completed",$I144="Cancelled"),"",IF(AND($L144&lt;TODAY(),$I144&lt;&gt;"Completed",$I144&lt;&gt;"Cancelled"),"Overdue","On Track"))</f>
        <v/>
      </c>
      <c r="S144" s="65">
        <f>IF($L144="","",TEXT($L144,"yyyy-mm"))</f>
        <v/>
      </c>
      <c r="T144" s="86">
        <f>IF($I144="","",IFERROR(INDEX(Action_Status_Map!$C$5:$C$11,MATCH($I144,Action_Status_Map!$A$5:$A$11,0)),""))</f>
        <v/>
      </c>
      <c r="U144" s="81" t="n"/>
      <c r="V144" s="82" t="n"/>
      <c r="W144" s="65">
        <f>IF(OR($I144&lt;&gt;"Completed",$M144="",$L144=""),"",IF($M144&lt;=$L144,"Yes","No"))</f>
        <v/>
      </c>
      <c r="X144" s="84">
        <f>IF($A144="","",COUNTIF(Task_Steps!$B$5:$B$2004,$A144))</f>
        <v/>
      </c>
      <c r="Y144" s="86">
        <f>IF($X144=0,"",COUNTIFS(Task_Steps!$B$5:$B$2004,$A144,Task_Steps!$H$5:$H$2004,"Completed")/$X144)</f>
        <v/>
      </c>
      <c r="Z144" s="81" t="n"/>
      <c r="AA144" s="81" t="n"/>
      <c r="AB144" s="67">
        <f>IF($F144="","",IFERROR(INDEX(Employee_Master!$E$5:$E$204,MATCH($F144,Employee_Master!$B$5:$B$204,0)),""))</f>
        <v/>
      </c>
      <c r="AC144" s="65">
        <f>IF(OR($A144="",$AB144=""),"",IF(OR($I144="Completed",$I144="Cancelled"),"Closed - in Manager Report","Active - in Manager Report"))</f>
        <v/>
      </c>
      <c r="AD144" s="81">
        <f>IF($A144="","",IFERROR(TEXTJOIN(", ",TRUE,FILTER(Task_Steps!$A$5:$A$2004,Task_Steps!$B$5:$B$2004=$A144)),""))</f>
        <v/>
      </c>
      <c r="AE144" s="84">
        <f>IF($A144="","",COUNTIFS(Task_Steps!$B$5:$B$2004,$A144,Task_Steps!$H$5:$H$2004,"&lt;&gt;Completed",Task_Steps!$H$5:$H$2004,"&lt;&gt;Cancelled"))</f>
        <v/>
      </c>
      <c r="AF144" s="81">
        <f>IF(OR($B144="",$A144=""),"",$B144&amp;" | "&amp;$A144)</f>
        <v/>
      </c>
    </row>
    <row r="145" ht="15" customHeight="1" s="40">
      <c r="A145" s="65">
        <f>IF(COUNTA(B145:F145)=0,"","TSK-"&amp;TEXT(ROW()-4,"0000"))</f>
        <v/>
      </c>
      <c r="B145" s="78" t="n"/>
      <c r="C145" s="78" t="n"/>
      <c r="D145" s="81" t="n"/>
      <c r="E145" s="81" t="n"/>
      <c r="F145" s="78" t="n"/>
      <c r="G145" s="67">
        <f>IF($F145="","",IFERROR(INDEX(Employee_Master!$C$5:$C$204,MATCH($F145,Employee_Master!$B$5:$B$204,0)),""))</f>
        <v/>
      </c>
      <c r="H145" s="78" t="n"/>
      <c r="I145" s="78" t="n"/>
      <c r="J145" s="67">
        <f>IF($I145="","",IFERROR(INDEX(Action_Status_Map!$B$5:$B$11,MATCH($I145,Action_Status_Map!$A$5:$A$11,0)),""))</f>
        <v/>
      </c>
      <c r="K145" s="82" t="n"/>
      <c r="L145" s="82" t="n"/>
      <c r="M145" s="82" t="n"/>
      <c r="N145" s="83" t="n"/>
      <c r="O145" s="83" t="n"/>
      <c r="P145" s="66">
        <f>IF(OR($N145="",$O145=""),"",$O145-$N145)</f>
        <v/>
      </c>
      <c r="Q145" s="84">
        <f>IF($K145="","",IF($M145&lt;&gt;"",$M145-$K145,TODAY()-$K145))</f>
        <v/>
      </c>
      <c r="R145" s="85">
        <f>IF(OR($L145="",$I145="Completed",$I145="Cancelled"),"",IF(AND($L145&lt;TODAY(),$I145&lt;&gt;"Completed",$I145&lt;&gt;"Cancelled"),"Overdue","On Track"))</f>
        <v/>
      </c>
      <c r="S145" s="65">
        <f>IF($L145="","",TEXT($L145,"yyyy-mm"))</f>
        <v/>
      </c>
      <c r="T145" s="86">
        <f>IF($I145="","",IFERROR(INDEX(Action_Status_Map!$C$5:$C$11,MATCH($I145,Action_Status_Map!$A$5:$A$11,0)),""))</f>
        <v/>
      </c>
      <c r="U145" s="81" t="n"/>
      <c r="V145" s="82" t="n"/>
      <c r="W145" s="65">
        <f>IF(OR($I145&lt;&gt;"Completed",$M145="",$L145=""),"",IF($M145&lt;=$L145,"Yes","No"))</f>
        <v/>
      </c>
      <c r="X145" s="84">
        <f>IF($A145="","",COUNTIF(Task_Steps!$B$5:$B$2004,$A145))</f>
        <v/>
      </c>
      <c r="Y145" s="86">
        <f>IF($X145=0,"",COUNTIFS(Task_Steps!$B$5:$B$2004,$A145,Task_Steps!$H$5:$H$2004,"Completed")/$X145)</f>
        <v/>
      </c>
      <c r="Z145" s="81" t="n"/>
      <c r="AA145" s="81" t="n"/>
      <c r="AB145" s="67">
        <f>IF($F145="","",IFERROR(INDEX(Employee_Master!$E$5:$E$204,MATCH($F145,Employee_Master!$B$5:$B$204,0)),""))</f>
        <v/>
      </c>
      <c r="AC145" s="65">
        <f>IF(OR($A145="",$AB145=""),"",IF(OR($I145="Completed",$I145="Cancelled"),"Closed - in Manager Report","Active - in Manager Report"))</f>
        <v/>
      </c>
      <c r="AD145" s="81">
        <f>IF($A145="","",IFERROR(TEXTJOIN(", ",TRUE,FILTER(Task_Steps!$A$5:$A$2004,Task_Steps!$B$5:$B$2004=$A145)),""))</f>
        <v/>
      </c>
      <c r="AE145" s="84">
        <f>IF($A145="","",COUNTIFS(Task_Steps!$B$5:$B$2004,$A145,Task_Steps!$H$5:$H$2004,"&lt;&gt;Completed",Task_Steps!$H$5:$H$2004,"&lt;&gt;Cancelled"))</f>
        <v/>
      </c>
      <c r="AF145" s="81">
        <f>IF(OR($B145="",$A145=""),"",$B145&amp;" | "&amp;$A145)</f>
        <v/>
      </c>
    </row>
    <row r="146" ht="15" customHeight="1" s="40">
      <c r="A146" s="65">
        <f>IF(COUNTA(B146:F146)=0,"","TSK-"&amp;TEXT(ROW()-4,"0000"))</f>
        <v/>
      </c>
      <c r="B146" s="78" t="n"/>
      <c r="C146" s="78" t="n"/>
      <c r="D146" s="81" t="n"/>
      <c r="E146" s="81" t="n"/>
      <c r="F146" s="78" t="n"/>
      <c r="G146" s="67">
        <f>IF($F146="","",IFERROR(INDEX(Employee_Master!$C$5:$C$204,MATCH($F146,Employee_Master!$B$5:$B$204,0)),""))</f>
        <v/>
      </c>
      <c r="H146" s="78" t="n"/>
      <c r="I146" s="78" t="n"/>
      <c r="J146" s="67">
        <f>IF($I146="","",IFERROR(INDEX(Action_Status_Map!$B$5:$B$11,MATCH($I146,Action_Status_Map!$A$5:$A$11,0)),""))</f>
        <v/>
      </c>
      <c r="K146" s="82" t="n"/>
      <c r="L146" s="82" t="n"/>
      <c r="M146" s="82" t="n"/>
      <c r="N146" s="83" t="n"/>
      <c r="O146" s="83" t="n"/>
      <c r="P146" s="66">
        <f>IF(OR($N146="",$O146=""),"",$O146-$N146)</f>
        <v/>
      </c>
      <c r="Q146" s="84">
        <f>IF($K146="","",IF($M146&lt;&gt;"",$M146-$K146,TODAY()-$K146))</f>
        <v/>
      </c>
      <c r="R146" s="85">
        <f>IF(OR($L146="",$I146="Completed",$I146="Cancelled"),"",IF(AND($L146&lt;TODAY(),$I146&lt;&gt;"Completed",$I146&lt;&gt;"Cancelled"),"Overdue","On Track"))</f>
        <v/>
      </c>
      <c r="S146" s="65">
        <f>IF($L146="","",TEXT($L146,"yyyy-mm"))</f>
        <v/>
      </c>
      <c r="T146" s="86">
        <f>IF($I146="","",IFERROR(INDEX(Action_Status_Map!$C$5:$C$11,MATCH($I146,Action_Status_Map!$A$5:$A$11,0)),""))</f>
        <v/>
      </c>
      <c r="U146" s="81" t="n"/>
      <c r="V146" s="82" t="n"/>
      <c r="W146" s="65">
        <f>IF(OR($I146&lt;&gt;"Completed",$M146="",$L146=""),"",IF($M146&lt;=$L146,"Yes","No"))</f>
        <v/>
      </c>
      <c r="X146" s="84">
        <f>IF($A146="","",COUNTIF(Task_Steps!$B$5:$B$2004,$A146))</f>
        <v/>
      </c>
      <c r="Y146" s="86">
        <f>IF($X146=0,"",COUNTIFS(Task_Steps!$B$5:$B$2004,$A146,Task_Steps!$H$5:$H$2004,"Completed")/$X146)</f>
        <v/>
      </c>
      <c r="Z146" s="81" t="n"/>
      <c r="AA146" s="81" t="n"/>
      <c r="AB146" s="67">
        <f>IF($F146="","",IFERROR(INDEX(Employee_Master!$E$5:$E$204,MATCH($F146,Employee_Master!$B$5:$B$204,0)),""))</f>
        <v/>
      </c>
      <c r="AC146" s="65">
        <f>IF(OR($A146="",$AB146=""),"",IF(OR($I146="Completed",$I146="Cancelled"),"Closed - in Manager Report","Active - in Manager Report"))</f>
        <v/>
      </c>
      <c r="AD146" s="81">
        <f>IF($A146="","",IFERROR(TEXTJOIN(", ",TRUE,FILTER(Task_Steps!$A$5:$A$2004,Task_Steps!$B$5:$B$2004=$A146)),""))</f>
        <v/>
      </c>
      <c r="AE146" s="84">
        <f>IF($A146="","",COUNTIFS(Task_Steps!$B$5:$B$2004,$A146,Task_Steps!$H$5:$H$2004,"&lt;&gt;Completed",Task_Steps!$H$5:$H$2004,"&lt;&gt;Cancelled"))</f>
        <v/>
      </c>
      <c r="AF146" s="81">
        <f>IF(OR($B146="",$A146=""),"",$B146&amp;" | "&amp;$A146)</f>
        <v/>
      </c>
    </row>
    <row r="147" ht="15" customHeight="1" s="40">
      <c r="A147" s="65">
        <f>IF(COUNTA(B147:F147)=0,"","TSK-"&amp;TEXT(ROW()-4,"0000"))</f>
        <v/>
      </c>
      <c r="B147" s="78" t="n"/>
      <c r="C147" s="78" t="n"/>
      <c r="D147" s="81" t="n"/>
      <c r="E147" s="81" t="n"/>
      <c r="F147" s="78" t="n"/>
      <c r="G147" s="67">
        <f>IF($F147="","",IFERROR(INDEX(Employee_Master!$C$5:$C$204,MATCH($F147,Employee_Master!$B$5:$B$204,0)),""))</f>
        <v/>
      </c>
      <c r="H147" s="78" t="n"/>
      <c r="I147" s="78" t="n"/>
      <c r="J147" s="67">
        <f>IF($I147="","",IFERROR(INDEX(Action_Status_Map!$B$5:$B$11,MATCH($I147,Action_Status_Map!$A$5:$A$11,0)),""))</f>
        <v/>
      </c>
      <c r="K147" s="82" t="n"/>
      <c r="L147" s="82" t="n"/>
      <c r="M147" s="82" t="n"/>
      <c r="N147" s="83" t="n"/>
      <c r="O147" s="83" t="n"/>
      <c r="P147" s="66">
        <f>IF(OR($N147="",$O147=""),"",$O147-$N147)</f>
        <v/>
      </c>
      <c r="Q147" s="84">
        <f>IF($K147="","",IF($M147&lt;&gt;"",$M147-$K147,TODAY()-$K147))</f>
        <v/>
      </c>
      <c r="R147" s="85">
        <f>IF(OR($L147="",$I147="Completed",$I147="Cancelled"),"",IF(AND($L147&lt;TODAY(),$I147&lt;&gt;"Completed",$I147&lt;&gt;"Cancelled"),"Overdue","On Track"))</f>
        <v/>
      </c>
      <c r="S147" s="65">
        <f>IF($L147="","",TEXT($L147,"yyyy-mm"))</f>
        <v/>
      </c>
      <c r="T147" s="86">
        <f>IF($I147="","",IFERROR(INDEX(Action_Status_Map!$C$5:$C$11,MATCH($I147,Action_Status_Map!$A$5:$A$11,0)),""))</f>
        <v/>
      </c>
      <c r="U147" s="81" t="n"/>
      <c r="V147" s="82" t="n"/>
      <c r="W147" s="65">
        <f>IF(OR($I147&lt;&gt;"Completed",$M147="",$L147=""),"",IF($M147&lt;=$L147,"Yes","No"))</f>
        <v/>
      </c>
      <c r="X147" s="84">
        <f>IF($A147="","",COUNTIF(Task_Steps!$B$5:$B$2004,$A147))</f>
        <v/>
      </c>
      <c r="Y147" s="86">
        <f>IF($X147=0,"",COUNTIFS(Task_Steps!$B$5:$B$2004,$A147,Task_Steps!$H$5:$H$2004,"Completed")/$X147)</f>
        <v/>
      </c>
      <c r="Z147" s="81" t="n"/>
      <c r="AA147" s="81" t="n"/>
      <c r="AB147" s="67">
        <f>IF($F147="","",IFERROR(INDEX(Employee_Master!$E$5:$E$204,MATCH($F147,Employee_Master!$B$5:$B$204,0)),""))</f>
        <v/>
      </c>
      <c r="AC147" s="65">
        <f>IF(OR($A147="",$AB147=""),"",IF(OR($I147="Completed",$I147="Cancelled"),"Closed - in Manager Report","Active - in Manager Report"))</f>
        <v/>
      </c>
      <c r="AD147" s="81">
        <f>IF($A147="","",IFERROR(TEXTJOIN(", ",TRUE,FILTER(Task_Steps!$A$5:$A$2004,Task_Steps!$B$5:$B$2004=$A147)),""))</f>
        <v/>
      </c>
      <c r="AE147" s="84">
        <f>IF($A147="","",COUNTIFS(Task_Steps!$B$5:$B$2004,$A147,Task_Steps!$H$5:$H$2004,"&lt;&gt;Completed",Task_Steps!$H$5:$H$2004,"&lt;&gt;Cancelled"))</f>
        <v/>
      </c>
      <c r="AF147" s="81">
        <f>IF(OR($B147="",$A147=""),"",$B147&amp;" | "&amp;$A147)</f>
        <v/>
      </c>
    </row>
    <row r="148" ht="15" customHeight="1" s="40">
      <c r="A148" s="65">
        <f>IF(COUNTA(B148:F148)=0,"","TSK-"&amp;TEXT(ROW()-4,"0000"))</f>
        <v/>
      </c>
      <c r="B148" s="78" t="n"/>
      <c r="C148" s="78" t="n"/>
      <c r="D148" s="81" t="n"/>
      <c r="E148" s="81" t="n"/>
      <c r="F148" s="78" t="n"/>
      <c r="G148" s="67">
        <f>IF($F148="","",IFERROR(INDEX(Employee_Master!$C$5:$C$204,MATCH($F148,Employee_Master!$B$5:$B$204,0)),""))</f>
        <v/>
      </c>
      <c r="H148" s="78" t="n"/>
      <c r="I148" s="78" t="n"/>
      <c r="J148" s="67">
        <f>IF($I148="","",IFERROR(INDEX(Action_Status_Map!$B$5:$B$11,MATCH($I148,Action_Status_Map!$A$5:$A$11,0)),""))</f>
        <v/>
      </c>
      <c r="K148" s="82" t="n"/>
      <c r="L148" s="82" t="n"/>
      <c r="M148" s="82" t="n"/>
      <c r="N148" s="83" t="n"/>
      <c r="O148" s="83" t="n"/>
      <c r="P148" s="66">
        <f>IF(OR($N148="",$O148=""),"",$O148-$N148)</f>
        <v/>
      </c>
      <c r="Q148" s="84">
        <f>IF($K148="","",IF($M148&lt;&gt;"",$M148-$K148,TODAY()-$K148))</f>
        <v/>
      </c>
      <c r="R148" s="85">
        <f>IF(OR($L148="",$I148="Completed",$I148="Cancelled"),"",IF(AND($L148&lt;TODAY(),$I148&lt;&gt;"Completed",$I148&lt;&gt;"Cancelled"),"Overdue","On Track"))</f>
        <v/>
      </c>
      <c r="S148" s="65">
        <f>IF($L148="","",TEXT($L148,"yyyy-mm"))</f>
        <v/>
      </c>
      <c r="T148" s="86">
        <f>IF($I148="","",IFERROR(INDEX(Action_Status_Map!$C$5:$C$11,MATCH($I148,Action_Status_Map!$A$5:$A$11,0)),""))</f>
        <v/>
      </c>
      <c r="U148" s="81" t="n"/>
      <c r="V148" s="82" t="n"/>
      <c r="W148" s="65">
        <f>IF(OR($I148&lt;&gt;"Completed",$M148="",$L148=""),"",IF($M148&lt;=$L148,"Yes","No"))</f>
        <v/>
      </c>
      <c r="X148" s="84">
        <f>IF($A148="","",COUNTIF(Task_Steps!$B$5:$B$2004,$A148))</f>
        <v/>
      </c>
      <c r="Y148" s="86">
        <f>IF($X148=0,"",COUNTIFS(Task_Steps!$B$5:$B$2004,$A148,Task_Steps!$H$5:$H$2004,"Completed")/$X148)</f>
        <v/>
      </c>
      <c r="Z148" s="81" t="n"/>
      <c r="AA148" s="81" t="n"/>
      <c r="AB148" s="67">
        <f>IF($F148="","",IFERROR(INDEX(Employee_Master!$E$5:$E$204,MATCH($F148,Employee_Master!$B$5:$B$204,0)),""))</f>
        <v/>
      </c>
      <c r="AC148" s="65">
        <f>IF(OR($A148="",$AB148=""),"",IF(OR($I148="Completed",$I148="Cancelled"),"Closed - in Manager Report","Active - in Manager Report"))</f>
        <v/>
      </c>
      <c r="AD148" s="81">
        <f>IF($A148="","",IFERROR(TEXTJOIN(", ",TRUE,FILTER(Task_Steps!$A$5:$A$2004,Task_Steps!$B$5:$B$2004=$A148)),""))</f>
        <v/>
      </c>
      <c r="AE148" s="84">
        <f>IF($A148="","",COUNTIFS(Task_Steps!$B$5:$B$2004,$A148,Task_Steps!$H$5:$H$2004,"&lt;&gt;Completed",Task_Steps!$H$5:$H$2004,"&lt;&gt;Cancelled"))</f>
        <v/>
      </c>
      <c r="AF148" s="81">
        <f>IF(OR($B148="",$A148=""),"",$B148&amp;" | "&amp;$A148)</f>
        <v/>
      </c>
    </row>
    <row r="149" ht="15" customHeight="1" s="40">
      <c r="A149" s="65">
        <f>IF(COUNTA(B149:F149)=0,"","TSK-"&amp;TEXT(ROW()-4,"0000"))</f>
        <v/>
      </c>
      <c r="B149" s="78" t="n"/>
      <c r="C149" s="78" t="n"/>
      <c r="D149" s="81" t="n"/>
      <c r="E149" s="81" t="n"/>
      <c r="F149" s="78" t="n"/>
      <c r="G149" s="67">
        <f>IF($F149="","",IFERROR(INDEX(Employee_Master!$C$5:$C$204,MATCH($F149,Employee_Master!$B$5:$B$204,0)),""))</f>
        <v/>
      </c>
      <c r="H149" s="78" t="n"/>
      <c r="I149" s="78" t="n"/>
      <c r="J149" s="67">
        <f>IF($I149="","",IFERROR(INDEX(Action_Status_Map!$B$5:$B$11,MATCH($I149,Action_Status_Map!$A$5:$A$11,0)),""))</f>
        <v/>
      </c>
      <c r="K149" s="82" t="n"/>
      <c r="L149" s="82" t="n"/>
      <c r="M149" s="82" t="n"/>
      <c r="N149" s="83" t="n"/>
      <c r="O149" s="83" t="n"/>
      <c r="P149" s="66">
        <f>IF(OR($N149="",$O149=""),"",$O149-$N149)</f>
        <v/>
      </c>
      <c r="Q149" s="84">
        <f>IF($K149="","",IF($M149&lt;&gt;"",$M149-$K149,TODAY()-$K149))</f>
        <v/>
      </c>
      <c r="R149" s="85">
        <f>IF(OR($L149="",$I149="Completed",$I149="Cancelled"),"",IF(AND($L149&lt;TODAY(),$I149&lt;&gt;"Completed",$I149&lt;&gt;"Cancelled"),"Overdue","On Track"))</f>
        <v/>
      </c>
      <c r="S149" s="65">
        <f>IF($L149="","",TEXT($L149,"yyyy-mm"))</f>
        <v/>
      </c>
      <c r="T149" s="86">
        <f>IF($I149="","",IFERROR(INDEX(Action_Status_Map!$C$5:$C$11,MATCH($I149,Action_Status_Map!$A$5:$A$11,0)),""))</f>
        <v/>
      </c>
      <c r="U149" s="81" t="n"/>
      <c r="V149" s="82" t="n"/>
      <c r="W149" s="65">
        <f>IF(OR($I149&lt;&gt;"Completed",$M149="",$L149=""),"",IF($M149&lt;=$L149,"Yes","No"))</f>
        <v/>
      </c>
      <c r="X149" s="84">
        <f>IF($A149="","",COUNTIF(Task_Steps!$B$5:$B$2004,$A149))</f>
        <v/>
      </c>
      <c r="Y149" s="86">
        <f>IF($X149=0,"",COUNTIFS(Task_Steps!$B$5:$B$2004,$A149,Task_Steps!$H$5:$H$2004,"Completed")/$X149)</f>
        <v/>
      </c>
      <c r="Z149" s="81" t="n"/>
      <c r="AA149" s="81" t="n"/>
      <c r="AB149" s="67">
        <f>IF($F149="","",IFERROR(INDEX(Employee_Master!$E$5:$E$204,MATCH($F149,Employee_Master!$B$5:$B$204,0)),""))</f>
        <v/>
      </c>
      <c r="AC149" s="65">
        <f>IF(OR($A149="",$AB149=""),"",IF(OR($I149="Completed",$I149="Cancelled"),"Closed - in Manager Report","Active - in Manager Report"))</f>
        <v/>
      </c>
      <c r="AD149" s="81">
        <f>IF($A149="","",IFERROR(TEXTJOIN(", ",TRUE,FILTER(Task_Steps!$A$5:$A$2004,Task_Steps!$B$5:$B$2004=$A149)),""))</f>
        <v/>
      </c>
      <c r="AE149" s="84">
        <f>IF($A149="","",COUNTIFS(Task_Steps!$B$5:$B$2004,$A149,Task_Steps!$H$5:$H$2004,"&lt;&gt;Completed",Task_Steps!$H$5:$H$2004,"&lt;&gt;Cancelled"))</f>
        <v/>
      </c>
      <c r="AF149" s="81">
        <f>IF(OR($B149="",$A149=""),"",$B149&amp;" | "&amp;$A149)</f>
        <v/>
      </c>
    </row>
    <row r="150" ht="15" customHeight="1" s="40">
      <c r="A150" s="65">
        <f>IF(COUNTA(B150:F150)=0,"","TSK-"&amp;TEXT(ROW()-4,"0000"))</f>
        <v/>
      </c>
      <c r="B150" s="78" t="n"/>
      <c r="C150" s="78" t="n"/>
      <c r="D150" s="81" t="n"/>
      <c r="E150" s="81" t="n"/>
      <c r="F150" s="78" t="n"/>
      <c r="G150" s="67">
        <f>IF($F150="","",IFERROR(INDEX(Employee_Master!$C$5:$C$204,MATCH($F150,Employee_Master!$B$5:$B$204,0)),""))</f>
        <v/>
      </c>
      <c r="H150" s="78" t="n"/>
      <c r="I150" s="78" t="n"/>
      <c r="J150" s="67">
        <f>IF($I150="","",IFERROR(INDEX(Action_Status_Map!$B$5:$B$11,MATCH($I150,Action_Status_Map!$A$5:$A$11,0)),""))</f>
        <v/>
      </c>
      <c r="K150" s="82" t="n"/>
      <c r="L150" s="82" t="n"/>
      <c r="M150" s="82" t="n"/>
      <c r="N150" s="83" t="n"/>
      <c r="O150" s="83" t="n"/>
      <c r="P150" s="66">
        <f>IF(OR($N150="",$O150=""),"",$O150-$N150)</f>
        <v/>
      </c>
      <c r="Q150" s="84">
        <f>IF($K150="","",IF($M150&lt;&gt;"",$M150-$K150,TODAY()-$K150))</f>
        <v/>
      </c>
      <c r="R150" s="85">
        <f>IF(OR($L150="",$I150="Completed",$I150="Cancelled"),"",IF(AND($L150&lt;TODAY(),$I150&lt;&gt;"Completed",$I150&lt;&gt;"Cancelled"),"Overdue","On Track"))</f>
        <v/>
      </c>
      <c r="S150" s="65">
        <f>IF($L150="","",TEXT($L150,"yyyy-mm"))</f>
        <v/>
      </c>
      <c r="T150" s="86">
        <f>IF($I150="","",IFERROR(INDEX(Action_Status_Map!$C$5:$C$11,MATCH($I150,Action_Status_Map!$A$5:$A$11,0)),""))</f>
        <v/>
      </c>
      <c r="U150" s="81" t="n"/>
      <c r="V150" s="82" t="n"/>
      <c r="W150" s="65">
        <f>IF(OR($I150&lt;&gt;"Completed",$M150="",$L150=""),"",IF($M150&lt;=$L150,"Yes","No"))</f>
        <v/>
      </c>
      <c r="X150" s="84">
        <f>IF($A150="","",COUNTIF(Task_Steps!$B$5:$B$2004,$A150))</f>
        <v/>
      </c>
      <c r="Y150" s="86">
        <f>IF($X150=0,"",COUNTIFS(Task_Steps!$B$5:$B$2004,$A150,Task_Steps!$H$5:$H$2004,"Completed")/$X150)</f>
        <v/>
      </c>
      <c r="Z150" s="81" t="n"/>
      <c r="AA150" s="81" t="n"/>
      <c r="AB150" s="67">
        <f>IF($F150="","",IFERROR(INDEX(Employee_Master!$E$5:$E$204,MATCH($F150,Employee_Master!$B$5:$B$204,0)),""))</f>
        <v/>
      </c>
      <c r="AC150" s="65">
        <f>IF(OR($A150="",$AB150=""),"",IF(OR($I150="Completed",$I150="Cancelled"),"Closed - in Manager Report","Active - in Manager Report"))</f>
        <v/>
      </c>
      <c r="AD150" s="81">
        <f>IF($A150="","",IFERROR(TEXTJOIN(", ",TRUE,FILTER(Task_Steps!$A$5:$A$2004,Task_Steps!$B$5:$B$2004=$A150)),""))</f>
        <v/>
      </c>
      <c r="AE150" s="84">
        <f>IF($A150="","",COUNTIFS(Task_Steps!$B$5:$B$2004,$A150,Task_Steps!$H$5:$H$2004,"&lt;&gt;Completed",Task_Steps!$H$5:$H$2004,"&lt;&gt;Cancelled"))</f>
        <v/>
      </c>
      <c r="AF150" s="81">
        <f>IF(OR($B150="",$A150=""),"",$B150&amp;" | "&amp;$A150)</f>
        <v/>
      </c>
    </row>
    <row r="151" ht="15" customHeight="1" s="40">
      <c r="A151" s="65">
        <f>IF(COUNTA(B151:F151)=0,"","TSK-"&amp;TEXT(ROW()-4,"0000"))</f>
        <v/>
      </c>
      <c r="B151" s="78" t="n"/>
      <c r="C151" s="78" t="n"/>
      <c r="D151" s="81" t="n"/>
      <c r="E151" s="81" t="n"/>
      <c r="F151" s="78" t="n"/>
      <c r="G151" s="67">
        <f>IF($F151="","",IFERROR(INDEX(Employee_Master!$C$5:$C$204,MATCH($F151,Employee_Master!$B$5:$B$204,0)),""))</f>
        <v/>
      </c>
      <c r="H151" s="78" t="n"/>
      <c r="I151" s="78" t="n"/>
      <c r="J151" s="67">
        <f>IF($I151="","",IFERROR(INDEX(Action_Status_Map!$B$5:$B$11,MATCH($I151,Action_Status_Map!$A$5:$A$11,0)),""))</f>
        <v/>
      </c>
      <c r="K151" s="82" t="n"/>
      <c r="L151" s="82" t="n"/>
      <c r="M151" s="82" t="n"/>
      <c r="N151" s="83" t="n"/>
      <c r="O151" s="83" t="n"/>
      <c r="P151" s="66">
        <f>IF(OR($N151="",$O151=""),"",$O151-$N151)</f>
        <v/>
      </c>
      <c r="Q151" s="84">
        <f>IF($K151="","",IF($M151&lt;&gt;"",$M151-$K151,TODAY()-$K151))</f>
        <v/>
      </c>
      <c r="R151" s="85">
        <f>IF(OR($L151="",$I151="Completed",$I151="Cancelled"),"",IF(AND($L151&lt;TODAY(),$I151&lt;&gt;"Completed",$I151&lt;&gt;"Cancelled"),"Overdue","On Track"))</f>
        <v/>
      </c>
      <c r="S151" s="65">
        <f>IF($L151="","",TEXT($L151,"yyyy-mm"))</f>
        <v/>
      </c>
      <c r="T151" s="86">
        <f>IF($I151="","",IFERROR(INDEX(Action_Status_Map!$C$5:$C$11,MATCH($I151,Action_Status_Map!$A$5:$A$11,0)),""))</f>
        <v/>
      </c>
      <c r="U151" s="81" t="n"/>
      <c r="V151" s="82" t="n"/>
      <c r="W151" s="65">
        <f>IF(OR($I151&lt;&gt;"Completed",$M151="",$L151=""),"",IF($M151&lt;=$L151,"Yes","No"))</f>
        <v/>
      </c>
      <c r="X151" s="84">
        <f>IF($A151="","",COUNTIF(Task_Steps!$B$5:$B$2004,$A151))</f>
        <v/>
      </c>
      <c r="Y151" s="86">
        <f>IF($X151=0,"",COUNTIFS(Task_Steps!$B$5:$B$2004,$A151,Task_Steps!$H$5:$H$2004,"Completed")/$X151)</f>
        <v/>
      </c>
      <c r="Z151" s="81" t="n"/>
      <c r="AA151" s="81" t="n"/>
      <c r="AB151" s="67">
        <f>IF($F151="","",IFERROR(INDEX(Employee_Master!$E$5:$E$204,MATCH($F151,Employee_Master!$B$5:$B$204,0)),""))</f>
        <v/>
      </c>
      <c r="AC151" s="65">
        <f>IF(OR($A151="",$AB151=""),"",IF(OR($I151="Completed",$I151="Cancelled"),"Closed - in Manager Report","Active - in Manager Report"))</f>
        <v/>
      </c>
      <c r="AD151" s="81">
        <f>IF($A151="","",IFERROR(TEXTJOIN(", ",TRUE,FILTER(Task_Steps!$A$5:$A$2004,Task_Steps!$B$5:$B$2004=$A151)),""))</f>
        <v/>
      </c>
      <c r="AE151" s="84">
        <f>IF($A151="","",COUNTIFS(Task_Steps!$B$5:$B$2004,$A151,Task_Steps!$H$5:$H$2004,"&lt;&gt;Completed",Task_Steps!$H$5:$H$2004,"&lt;&gt;Cancelled"))</f>
        <v/>
      </c>
      <c r="AF151" s="81">
        <f>IF(OR($B151="",$A151=""),"",$B151&amp;" | "&amp;$A151)</f>
        <v/>
      </c>
    </row>
    <row r="152" ht="15" customHeight="1" s="40">
      <c r="A152" s="65">
        <f>IF(COUNTA(B152:F152)=0,"","TSK-"&amp;TEXT(ROW()-4,"0000"))</f>
        <v/>
      </c>
      <c r="B152" s="78" t="n"/>
      <c r="C152" s="78" t="n"/>
      <c r="D152" s="81" t="n"/>
      <c r="E152" s="81" t="n"/>
      <c r="F152" s="78" t="n"/>
      <c r="G152" s="67">
        <f>IF($F152="","",IFERROR(INDEX(Employee_Master!$C$5:$C$204,MATCH($F152,Employee_Master!$B$5:$B$204,0)),""))</f>
        <v/>
      </c>
      <c r="H152" s="78" t="n"/>
      <c r="I152" s="78" t="n"/>
      <c r="J152" s="67">
        <f>IF($I152="","",IFERROR(INDEX(Action_Status_Map!$B$5:$B$11,MATCH($I152,Action_Status_Map!$A$5:$A$11,0)),""))</f>
        <v/>
      </c>
      <c r="K152" s="82" t="n"/>
      <c r="L152" s="82" t="n"/>
      <c r="M152" s="82" t="n"/>
      <c r="N152" s="83" t="n"/>
      <c r="O152" s="83" t="n"/>
      <c r="P152" s="66">
        <f>IF(OR($N152="",$O152=""),"",$O152-$N152)</f>
        <v/>
      </c>
      <c r="Q152" s="84">
        <f>IF($K152="","",IF($M152&lt;&gt;"",$M152-$K152,TODAY()-$K152))</f>
        <v/>
      </c>
      <c r="R152" s="85">
        <f>IF(OR($L152="",$I152="Completed",$I152="Cancelled"),"",IF(AND($L152&lt;TODAY(),$I152&lt;&gt;"Completed",$I152&lt;&gt;"Cancelled"),"Overdue","On Track"))</f>
        <v/>
      </c>
      <c r="S152" s="65">
        <f>IF($L152="","",TEXT($L152,"yyyy-mm"))</f>
        <v/>
      </c>
      <c r="T152" s="86">
        <f>IF($I152="","",IFERROR(INDEX(Action_Status_Map!$C$5:$C$11,MATCH($I152,Action_Status_Map!$A$5:$A$11,0)),""))</f>
        <v/>
      </c>
      <c r="U152" s="81" t="n"/>
      <c r="V152" s="82" t="n"/>
      <c r="W152" s="65">
        <f>IF(OR($I152&lt;&gt;"Completed",$M152="",$L152=""),"",IF($M152&lt;=$L152,"Yes","No"))</f>
        <v/>
      </c>
      <c r="X152" s="84">
        <f>IF($A152="","",COUNTIF(Task_Steps!$B$5:$B$2004,$A152))</f>
        <v/>
      </c>
      <c r="Y152" s="86">
        <f>IF($X152=0,"",COUNTIFS(Task_Steps!$B$5:$B$2004,$A152,Task_Steps!$H$5:$H$2004,"Completed")/$X152)</f>
        <v/>
      </c>
      <c r="Z152" s="81" t="n"/>
      <c r="AA152" s="81" t="n"/>
      <c r="AB152" s="67">
        <f>IF($F152="","",IFERROR(INDEX(Employee_Master!$E$5:$E$204,MATCH($F152,Employee_Master!$B$5:$B$204,0)),""))</f>
        <v/>
      </c>
      <c r="AC152" s="65">
        <f>IF(OR($A152="",$AB152=""),"",IF(OR($I152="Completed",$I152="Cancelled"),"Closed - in Manager Report","Active - in Manager Report"))</f>
        <v/>
      </c>
      <c r="AD152" s="81">
        <f>IF($A152="","",IFERROR(TEXTJOIN(", ",TRUE,FILTER(Task_Steps!$A$5:$A$2004,Task_Steps!$B$5:$B$2004=$A152)),""))</f>
        <v/>
      </c>
      <c r="AE152" s="84">
        <f>IF($A152="","",COUNTIFS(Task_Steps!$B$5:$B$2004,$A152,Task_Steps!$H$5:$H$2004,"&lt;&gt;Completed",Task_Steps!$H$5:$H$2004,"&lt;&gt;Cancelled"))</f>
        <v/>
      </c>
      <c r="AF152" s="81">
        <f>IF(OR($B152="",$A152=""),"",$B152&amp;" | "&amp;$A152)</f>
        <v/>
      </c>
    </row>
    <row r="153" ht="15" customHeight="1" s="40">
      <c r="A153" s="65">
        <f>IF(COUNTA(B153:F153)=0,"","TSK-"&amp;TEXT(ROW()-4,"0000"))</f>
        <v/>
      </c>
      <c r="B153" s="78" t="n"/>
      <c r="C153" s="78" t="n"/>
      <c r="D153" s="81" t="n"/>
      <c r="E153" s="81" t="n"/>
      <c r="F153" s="78" t="n"/>
      <c r="G153" s="67">
        <f>IF($F153="","",IFERROR(INDEX(Employee_Master!$C$5:$C$204,MATCH($F153,Employee_Master!$B$5:$B$204,0)),""))</f>
        <v/>
      </c>
      <c r="H153" s="78" t="n"/>
      <c r="I153" s="78" t="n"/>
      <c r="J153" s="67">
        <f>IF($I153="","",IFERROR(INDEX(Action_Status_Map!$B$5:$B$11,MATCH($I153,Action_Status_Map!$A$5:$A$11,0)),""))</f>
        <v/>
      </c>
      <c r="K153" s="82" t="n"/>
      <c r="L153" s="82" t="n"/>
      <c r="M153" s="82" t="n"/>
      <c r="N153" s="83" t="n"/>
      <c r="O153" s="83" t="n"/>
      <c r="P153" s="66">
        <f>IF(OR($N153="",$O153=""),"",$O153-$N153)</f>
        <v/>
      </c>
      <c r="Q153" s="84">
        <f>IF($K153="","",IF($M153&lt;&gt;"",$M153-$K153,TODAY()-$K153))</f>
        <v/>
      </c>
      <c r="R153" s="85">
        <f>IF(OR($L153="",$I153="Completed",$I153="Cancelled"),"",IF(AND($L153&lt;TODAY(),$I153&lt;&gt;"Completed",$I153&lt;&gt;"Cancelled"),"Overdue","On Track"))</f>
        <v/>
      </c>
      <c r="S153" s="65">
        <f>IF($L153="","",TEXT($L153,"yyyy-mm"))</f>
        <v/>
      </c>
      <c r="T153" s="86">
        <f>IF($I153="","",IFERROR(INDEX(Action_Status_Map!$C$5:$C$11,MATCH($I153,Action_Status_Map!$A$5:$A$11,0)),""))</f>
        <v/>
      </c>
      <c r="U153" s="81" t="n"/>
      <c r="V153" s="82" t="n"/>
      <c r="W153" s="65">
        <f>IF(OR($I153&lt;&gt;"Completed",$M153="",$L153=""),"",IF($M153&lt;=$L153,"Yes","No"))</f>
        <v/>
      </c>
      <c r="X153" s="84">
        <f>IF($A153="","",COUNTIF(Task_Steps!$B$5:$B$2004,$A153))</f>
        <v/>
      </c>
      <c r="Y153" s="86">
        <f>IF($X153=0,"",COUNTIFS(Task_Steps!$B$5:$B$2004,$A153,Task_Steps!$H$5:$H$2004,"Completed")/$X153)</f>
        <v/>
      </c>
      <c r="Z153" s="81" t="n"/>
      <c r="AA153" s="81" t="n"/>
      <c r="AB153" s="67">
        <f>IF($F153="","",IFERROR(INDEX(Employee_Master!$E$5:$E$204,MATCH($F153,Employee_Master!$B$5:$B$204,0)),""))</f>
        <v/>
      </c>
      <c r="AC153" s="65">
        <f>IF(OR($A153="",$AB153=""),"",IF(OR($I153="Completed",$I153="Cancelled"),"Closed - in Manager Report","Active - in Manager Report"))</f>
        <v/>
      </c>
      <c r="AD153" s="81">
        <f>IF($A153="","",IFERROR(TEXTJOIN(", ",TRUE,FILTER(Task_Steps!$A$5:$A$2004,Task_Steps!$B$5:$B$2004=$A153)),""))</f>
        <v/>
      </c>
      <c r="AE153" s="84">
        <f>IF($A153="","",COUNTIFS(Task_Steps!$B$5:$B$2004,$A153,Task_Steps!$H$5:$H$2004,"&lt;&gt;Completed",Task_Steps!$H$5:$H$2004,"&lt;&gt;Cancelled"))</f>
        <v/>
      </c>
      <c r="AF153" s="81">
        <f>IF(OR($B153="",$A153=""),"",$B153&amp;" | "&amp;$A153)</f>
        <v/>
      </c>
    </row>
    <row r="154" ht="15" customHeight="1" s="40">
      <c r="A154" s="65">
        <f>IF(COUNTA(B154:F154)=0,"","TSK-"&amp;TEXT(ROW()-4,"0000"))</f>
        <v/>
      </c>
      <c r="B154" s="78" t="n"/>
      <c r="C154" s="78" t="n"/>
      <c r="D154" s="81" t="n"/>
      <c r="E154" s="81" t="n"/>
      <c r="F154" s="78" t="n"/>
      <c r="G154" s="67">
        <f>IF($F154="","",IFERROR(INDEX(Employee_Master!$C$5:$C$204,MATCH($F154,Employee_Master!$B$5:$B$204,0)),""))</f>
        <v/>
      </c>
      <c r="H154" s="78" t="n"/>
      <c r="I154" s="78" t="n"/>
      <c r="J154" s="67">
        <f>IF($I154="","",IFERROR(INDEX(Action_Status_Map!$B$5:$B$11,MATCH($I154,Action_Status_Map!$A$5:$A$11,0)),""))</f>
        <v/>
      </c>
      <c r="K154" s="82" t="n"/>
      <c r="L154" s="82" t="n"/>
      <c r="M154" s="82" t="n"/>
      <c r="N154" s="83" t="n"/>
      <c r="O154" s="83" t="n"/>
      <c r="P154" s="66">
        <f>IF(OR($N154="",$O154=""),"",$O154-$N154)</f>
        <v/>
      </c>
      <c r="Q154" s="84">
        <f>IF($K154="","",IF($M154&lt;&gt;"",$M154-$K154,TODAY()-$K154))</f>
        <v/>
      </c>
      <c r="R154" s="85">
        <f>IF(OR($L154="",$I154="Completed",$I154="Cancelled"),"",IF(AND($L154&lt;TODAY(),$I154&lt;&gt;"Completed",$I154&lt;&gt;"Cancelled"),"Overdue","On Track"))</f>
        <v/>
      </c>
      <c r="S154" s="65">
        <f>IF($L154="","",TEXT($L154,"yyyy-mm"))</f>
        <v/>
      </c>
      <c r="T154" s="86">
        <f>IF($I154="","",IFERROR(INDEX(Action_Status_Map!$C$5:$C$11,MATCH($I154,Action_Status_Map!$A$5:$A$11,0)),""))</f>
        <v/>
      </c>
      <c r="U154" s="81" t="n"/>
      <c r="V154" s="82" t="n"/>
      <c r="W154" s="65">
        <f>IF(OR($I154&lt;&gt;"Completed",$M154="",$L154=""),"",IF($M154&lt;=$L154,"Yes","No"))</f>
        <v/>
      </c>
      <c r="X154" s="84">
        <f>IF($A154="","",COUNTIF(Task_Steps!$B$5:$B$2004,$A154))</f>
        <v/>
      </c>
      <c r="Y154" s="86">
        <f>IF($X154=0,"",COUNTIFS(Task_Steps!$B$5:$B$2004,$A154,Task_Steps!$H$5:$H$2004,"Completed")/$X154)</f>
        <v/>
      </c>
      <c r="Z154" s="81" t="n"/>
      <c r="AA154" s="81" t="n"/>
      <c r="AB154" s="67">
        <f>IF($F154="","",IFERROR(INDEX(Employee_Master!$E$5:$E$204,MATCH($F154,Employee_Master!$B$5:$B$204,0)),""))</f>
        <v/>
      </c>
      <c r="AC154" s="65">
        <f>IF(OR($A154="",$AB154=""),"",IF(OR($I154="Completed",$I154="Cancelled"),"Closed - in Manager Report","Active - in Manager Report"))</f>
        <v/>
      </c>
      <c r="AD154" s="81">
        <f>IF($A154="","",IFERROR(TEXTJOIN(", ",TRUE,FILTER(Task_Steps!$A$5:$A$2004,Task_Steps!$B$5:$B$2004=$A154)),""))</f>
        <v/>
      </c>
      <c r="AE154" s="84">
        <f>IF($A154="","",COUNTIFS(Task_Steps!$B$5:$B$2004,$A154,Task_Steps!$H$5:$H$2004,"&lt;&gt;Completed",Task_Steps!$H$5:$H$2004,"&lt;&gt;Cancelled"))</f>
        <v/>
      </c>
      <c r="AF154" s="81">
        <f>IF(OR($B154="",$A154=""),"",$B154&amp;" | "&amp;$A154)</f>
        <v/>
      </c>
    </row>
    <row r="155" ht="15" customHeight="1" s="40">
      <c r="A155" s="65">
        <f>IF(COUNTA(B155:F155)=0,"","TSK-"&amp;TEXT(ROW()-4,"0000"))</f>
        <v/>
      </c>
      <c r="B155" s="78" t="n"/>
      <c r="C155" s="78" t="n"/>
      <c r="D155" s="81" t="n"/>
      <c r="E155" s="81" t="n"/>
      <c r="F155" s="78" t="n"/>
      <c r="G155" s="67">
        <f>IF($F155="","",IFERROR(INDEX(Employee_Master!$C$5:$C$204,MATCH($F155,Employee_Master!$B$5:$B$204,0)),""))</f>
        <v/>
      </c>
      <c r="H155" s="78" t="n"/>
      <c r="I155" s="78" t="n"/>
      <c r="J155" s="67">
        <f>IF($I155="","",IFERROR(INDEX(Action_Status_Map!$B$5:$B$11,MATCH($I155,Action_Status_Map!$A$5:$A$11,0)),""))</f>
        <v/>
      </c>
      <c r="K155" s="82" t="n"/>
      <c r="L155" s="82" t="n"/>
      <c r="M155" s="82" t="n"/>
      <c r="N155" s="83" t="n"/>
      <c r="O155" s="83" t="n"/>
      <c r="P155" s="66">
        <f>IF(OR($N155="",$O155=""),"",$O155-$N155)</f>
        <v/>
      </c>
      <c r="Q155" s="84">
        <f>IF($K155="","",IF($M155&lt;&gt;"",$M155-$K155,TODAY()-$K155))</f>
        <v/>
      </c>
      <c r="R155" s="85">
        <f>IF(OR($L155="",$I155="Completed",$I155="Cancelled"),"",IF(AND($L155&lt;TODAY(),$I155&lt;&gt;"Completed",$I155&lt;&gt;"Cancelled"),"Overdue","On Track"))</f>
        <v/>
      </c>
      <c r="S155" s="65">
        <f>IF($L155="","",TEXT($L155,"yyyy-mm"))</f>
        <v/>
      </c>
      <c r="T155" s="86">
        <f>IF($I155="","",IFERROR(INDEX(Action_Status_Map!$C$5:$C$11,MATCH($I155,Action_Status_Map!$A$5:$A$11,0)),""))</f>
        <v/>
      </c>
      <c r="U155" s="81" t="n"/>
      <c r="V155" s="82" t="n"/>
      <c r="W155" s="65">
        <f>IF(OR($I155&lt;&gt;"Completed",$M155="",$L155=""),"",IF($M155&lt;=$L155,"Yes","No"))</f>
        <v/>
      </c>
      <c r="X155" s="84">
        <f>IF($A155="","",COUNTIF(Task_Steps!$B$5:$B$2004,$A155))</f>
        <v/>
      </c>
      <c r="Y155" s="86">
        <f>IF($X155=0,"",COUNTIFS(Task_Steps!$B$5:$B$2004,$A155,Task_Steps!$H$5:$H$2004,"Completed")/$X155)</f>
        <v/>
      </c>
      <c r="Z155" s="81" t="n"/>
      <c r="AA155" s="81" t="n"/>
      <c r="AB155" s="67">
        <f>IF($F155="","",IFERROR(INDEX(Employee_Master!$E$5:$E$204,MATCH($F155,Employee_Master!$B$5:$B$204,0)),""))</f>
        <v/>
      </c>
      <c r="AC155" s="65">
        <f>IF(OR($A155="",$AB155=""),"",IF(OR($I155="Completed",$I155="Cancelled"),"Closed - in Manager Report","Active - in Manager Report"))</f>
        <v/>
      </c>
      <c r="AD155" s="81">
        <f>IF($A155="","",IFERROR(TEXTJOIN(", ",TRUE,FILTER(Task_Steps!$A$5:$A$2004,Task_Steps!$B$5:$B$2004=$A155)),""))</f>
        <v/>
      </c>
      <c r="AE155" s="84">
        <f>IF($A155="","",COUNTIFS(Task_Steps!$B$5:$B$2004,$A155,Task_Steps!$H$5:$H$2004,"&lt;&gt;Completed",Task_Steps!$H$5:$H$2004,"&lt;&gt;Cancelled"))</f>
        <v/>
      </c>
      <c r="AF155" s="81">
        <f>IF(OR($B155="",$A155=""),"",$B155&amp;" | "&amp;$A155)</f>
        <v/>
      </c>
    </row>
    <row r="156" ht="15" customHeight="1" s="40">
      <c r="A156" s="65">
        <f>IF(COUNTA(B156:F156)=0,"","TSK-"&amp;TEXT(ROW()-4,"0000"))</f>
        <v/>
      </c>
      <c r="B156" s="78" t="n"/>
      <c r="C156" s="78" t="n"/>
      <c r="D156" s="81" t="n"/>
      <c r="E156" s="81" t="n"/>
      <c r="F156" s="78" t="n"/>
      <c r="G156" s="67">
        <f>IF($F156="","",IFERROR(INDEX(Employee_Master!$C$5:$C$204,MATCH($F156,Employee_Master!$B$5:$B$204,0)),""))</f>
        <v/>
      </c>
      <c r="H156" s="78" t="n"/>
      <c r="I156" s="78" t="n"/>
      <c r="J156" s="67">
        <f>IF($I156="","",IFERROR(INDEX(Action_Status_Map!$B$5:$B$11,MATCH($I156,Action_Status_Map!$A$5:$A$11,0)),""))</f>
        <v/>
      </c>
      <c r="K156" s="82" t="n"/>
      <c r="L156" s="82" t="n"/>
      <c r="M156" s="82" t="n"/>
      <c r="N156" s="83" t="n"/>
      <c r="O156" s="83" t="n"/>
      <c r="P156" s="66">
        <f>IF(OR($N156="",$O156=""),"",$O156-$N156)</f>
        <v/>
      </c>
      <c r="Q156" s="84">
        <f>IF($K156="","",IF($M156&lt;&gt;"",$M156-$K156,TODAY()-$K156))</f>
        <v/>
      </c>
      <c r="R156" s="85">
        <f>IF(OR($L156="",$I156="Completed",$I156="Cancelled"),"",IF(AND($L156&lt;TODAY(),$I156&lt;&gt;"Completed",$I156&lt;&gt;"Cancelled"),"Overdue","On Track"))</f>
        <v/>
      </c>
      <c r="S156" s="65">
        <f>IF($L156="","",TEXT($L156,"yyyy-mm"))</f>
        <v/>
      </c>
      <c r="T156" s="86">
        <f>IF($I156="","",IFERROR(INDEX(Action_Status_Map!$C$5:$C$11,MATCH($I156,Action_Status_Map!$A$5:$A$11,0)),""))</f>
        <v/>
      </c>
      <c r="U156" s="81" t="n"/>
      <c r="V156" s="82" t="n"/>
      <c r="W156" s="65">
        <f>IF(OR($I156&lt;&gt;"Completed",$M156="",$L156=""),"",IF($M156&lt;=$L156,"Yes","No"))</f>
        <v/>
      </c>
      <c r="X156" s="84">
        <f>IF($A156="","",COUNTIF(Task_Steps!$B$5:$B$2004,$A156))</f>
        <v/>
      </c>
      <c r="Y156" s="86">
        <f>IF($X156=0,"",COUNTIFS(Task_Steps!$B$5:$B$2004,$A156,Task_Steps!$H$5:$H$2004,"Completed")/$X156)</f>
        <v/>
      </c>
      <c r="Z156" s="81" t="n"/>
      <c r="AA156" s="81" t="n"/>
      <c r="AB156" s="67">
        <f>IF($F156="","",IFERROR(INDEX(Employee_Master!$E$5:$E$204,MATCH($F156,Employee_Master!$B$5:$B$204,0)),""))</f>
        <v/>
      </c>
      <c r="AC156" s="65">
        <f>IF(OR($A156="",$AB156=""),"",IF(OR($I156="Completed",$I156="Cancelled"),"Closed - in Manager Report","Active - in Manager Report"))</f>
        <v/>
      </c>
      <c r="AD156" s="81">
        <f>IF($A156="","",IFERROR(TEXTJOIN(", ",TRUE,FILTER(Task_Steps!$A$5:$A$2004,Task_Steps!$B$5:$B$2004=$A156)),""))</f>
        <v/>
      </c>
      <c r="AE156" s="84">
        <f>IF($A156="","",COUNTIFS(Task_Steps!$B$5:$B$2004,$A156,Task_Steps!$H$5:$H$2004,"&lt;&gt;Completed",Task_Steps!$H$5:$H$2004,"&lt;&gt;Cancelled"))</f>
        <v/>
      </c>
      <c r="AF156" s="81">
        <f>IF(OR($B156="",$A156=""),"",$B156&amp;" | "&amp;$A156)</f>
        <v/>
      </c>
    </row>
    <row r="157" ht="15" customHeight="1" s="40">
      <c r="A157" s="65">
        <f>IF(COUNTA(B157:F157)=0,"","TSK-"&amp;TEXT(ROW()-4,"0000"))</f>
        <v/>
      </c>
      <c r="B157" s="78" t="n"/>
      <c r="C157" s="78" t="n"/>
      <c r="D157" s="81" t="n"/>
      <c r="E157" s="81" t="n"/>
      <c r="F157" s="78" t="n"/>
      <c r="G157" s="67">
        <f>IF($F157="","",IFERROR(INDEX(Employee_Master!$C$5:$C$204,MATCH($F157,Employee_Master!$B$5:$B$204,0)),""))</f>
        <v/>
      </c>
      <c r="H157" s="78" t="n"/>
      <c r="I157" s="78" t="n"/>
      <c r="J157" s="67">
        <f>IF($I157="","",IFERROR(INDEX(Action_Status_Map!$B$5:$B$11,MATCH($I157,Action_Status_Map!$A$5:$A$11,0)),""))</f>
        <v/>
      </c>
      <c r="K157" s="82" t="n"/>
      <c r="L157" s="82" t="n"/>
      <c r="M157" s="82" t="n"/>
      <c r="N157" s="83" t="n"/>
      <c r="O157" s="83" t="n"/>
      <c r="P157" s="66">
        <f>IF(OR($N157="",$O157=""),"",$O157-$N157)</f>
        <v/>
      </c>
      <c r="Q157" s="84">
        <f>IF($K157="","",IF($M157&lt;&gt;"",$M157-$K157,TODAY()-$K157))</f>
        <v/>
      </c>
      <c r="R157" s="85">
        <f>IF(OR($L157="",$I157="Completed",$I157="Cancelled"),"",IF(AND($L157&lt;TODAY(),$I157&lt;&gt;"Completed",$I157&lt;&gt;"Cancelled"),"Overdue","On Track"))</f>
        <v/>
      </c>
      <c r="S157" s="65">
        <f>IF($L157="","",TEXT($L157,"yyyy-mm"))</f>
        <v/>
      </c>
      <c r="T157" s="86">
        <f>IF($I157="","",IFERROR(INDEX(Action_Status_Map!$C$5:$C$11,MATCH($I157,Action_Status_Map!$A$5:$A$11,0)),""))</f>
        <v/>
      </c>
      <c r="U157" s="81" t="n"/>
      <c r="V157" s="82" t="n"/>
      <c r="W157" s="65">
        <f>IF(OR($I157&lt;&gt;"Completed",$M157="",$L157=""),"",IF($M157&lt;=$L157,"Yes","No"))</f>
        <v/>
      </c>
      <c r="X157" s="84">
        <f>IF($A157="","",COUNTIF(Task_Steps!$B$5:$B$2004,$A157))</f>
        <v/>
      </c>
      <c r="Y157" s="86">
        <f>IF($X157=0,"",COUNTIFS(Task_Steps!$B$5:$B$2004,$A157,Task_Steps!$H$5:$H$2004,"Completed")/$X157)</f>
        <v/>
      </c>
      <c r="Z157" s="81" t="n"/>
      <c r="AA157" s="81" t="n"/>
      <c r="AB157" s="67">
        <f>IF($F157="","",IFERROR(INDEX(Employee_Master!$E$5:$E$204,MATCH($F157,Employee_Master!$B$5:$B$204,0)),""))</f>
        <v/>
      </c>
      <c r="AC157" s="65">
        <f>IF(OR($A157="",$AB157=""),"",IF(OR($I157="Completed",$I157="Cancelled"),"Closed - in Manager Report","Active - in Manager Report"))</f>
        <v/>
      </c>
      <c r="AD157" s="81">
        <f>IF($A157="","",IFERROR(TEXTJOIN(", ",TRUE,FILTER(Task_Steps!$A$5:$A$2004,Task_Steps!$B$5:$B$2004=$A157)),""))</f>
        <v/>
      </c>
      <c r="AE157" s="84">
        <f>IF($A157="","",COUNTIFS(Task_Steps!$B$5:$B$2004,$A157,Task_Steps!$H$5:$H$2004,"&lt;&gt;Completed",Task_Steps!$H$5:$H$2004,"&lt;&gt;Cancelled"))</f>
        <v/>
      </c>
      <c r="AF157" s="81">
        <f>IF(OR($B157="",$A157=""),"",$B157&amp;" | "&amp;$A157)</f>
        <v/>
      </c>
    </row>
    <row r="158" ht="15" customHeight="1" s="40">
      <c r="A158" s="65">
        <f>IF(COUNTA(B158:F158)=0,"","TSK-"&amp;TEXT(ROW()-4,"0000"))</f>
        <v/>
      </c>
      <c r="B158" s="78" t="n"/>
      <c r="C158" s="78" t="n"/>
      <c r="D158" s="81" t="n"/>
      <c r="E158" s="81" t="n"/>
      <c r="F158" s="78" t="n"/>
      <c r="G158" s="67">
        <f>IF($F158="","",IFERROR(INDEX(Employee_Master!$C$5:$C$204,MATCH($F158,Employee_Master!$B$5:$B$204,0)),""))</f>
        <v/>
      </c>
      <c r="H158" s="78" t="n"/>
      <c r="I158" s="78" t="n"/>
      <c r="J158" s="67">
        <f>IF($I158="","",IFERROR(INDEX(Action_Status_Map!$B$5:$B$11,MATCH($I158,Action_Status_Map!$A$5:$A$11,0)),""))</f>
        <v/>
      </c>
      <c r="K158" s="82" t="n"/>
      <c r="L158" s="82" t="n"/>
      <c r="M158" s="82" t="n"/>
      <c r="N158" s="83" t="n"/>
      <c r="O158" s="83" t="n"/>
      <c r="P158" s="66">
        <f>IF(OR($N158="",$O158=""),"",$O158-$N158)</f>
        <v/>
      </c>
      <c r="Q158" s="84">
        <f>IF($K158="","",IF($M158&lt;&gt;"",$M158-$K158,TODAY()-$K158))</f>
        <v/>
      </c>
      <c r="R158" s="85">
        <f>IF(OR($L158="",$I158="Completed",$I158="Cancelled"),"",IF(AND($L158&lt;TODAY(),$I158&lt;&gt;"Completed",$I158&lt;&gt;"Cancelled"),"Overdue","On Track"))</f>
        <v/>
      </c>
      <c r="S158" s="65">
        <f>IF($L158="","",TEXT($L158,"yyyy-mm"))</f>
        <v/>
      </c>
      <c r="T158" s="86">
        <f>IF($I158="","",IFERROR(INDEX(Action_Status_Map!$C$5:$C$11,MATCH($I158,Action_Status_Map!$A$5:$A$11,0)),""))</f>
        <v/>
      </c>
      <c r="U158" s="81" t="n"/>
      <c r="V158" s="82" t="n"/>
      <c r="W158" s="65">
        <f>IF(OR($I158&lt;&gt;"Completed",$M158="",$L158=""),"",IF($M158&lt;=$L158,"Yes","No"))</f>
        <v/>
      </c>
      <c r="X158" s="84">
        <f>IF($A158="","",COUNTIF(Task_Steps!$B$5:$B$2004,$A158))</f>
        <v/>
      </c>
      <c r="Y158" s="86">
        <f>IF($X158=0,"",COUNTIFS(Task_Steps!$B$5:$B$2004,$A158,Task_Steps!$H$5:$H$2004,"Completed")/$X158)</f>
        <v/>
      </c>
      <c r="Z158" s="81" t="n"/>
      <c r="AA158" s="81" t="n"/>
      <c r="AB158" s="67">
        <f>IF($F158="","",IFERROR(INDEX(Employee_Master!$E$5:$E$204,MATCH($F158,Employee_Master!$B$5:$B$204,0)),""))</f>
        <v/>
      </c>
      <c r="AC158" s="65">
        <f>IF(OR($A158="",$AB158=""),"",IF(OR($I158="Completed",$I158="Cancelled"),"Closed - in Manager Report","Active - in Manager Report"))</f>
        <v/>
      </c>
      <c r="AD158" s="81">
        <f>IF($A158="","",IFERROR(TEXTJOIN(", ",TRUE,FILTER(Task_Steps!$A$5:$A$2004,Task_Steps!$B$5:$B$2004=$A158)),""))</f>
        <v/>
      </c>
      <c r="AE158" s="84">
        <f>IF($A158="","",COUNTIFS(Task_Steps!$B$5:$B$2004,$A158,Task_Steps!$H$5:$H$2004,"&lt;&gt;Completed",Task_Steps!$H$5:$H$2004,"&lt;&gt;Cancelled"))</f>
        <v/>
      </c>
      <c r="AF158" s="81">
        <f>IF(OR($B158="",$A158=""),"",$B158&amp;" | "&amp;$A158)</f>
        <v/>
      </c>
    </row>
    <row r="159" ht="15" customHeight="1" s="40">
      <c r="A159" s="65">
        <f>IF(COUNTA(B159:F159)=0,"","TSK-"&amp;TEXT(ROW()-4,"0000"))</f>
        <v/>
      </c>
      <c r="B159" s="78" t="n"/>
      <c r="C159" s="78" t="n"/>
      <c r="D159" s="81" t="n"/>
      <c r="E159" s="81" t="n"/>
      <c r="F159" s="78" t="n"/>
      <c r="G159" s="67">
        <f>IF($F159="","",IFERROR(INDEX(Employee_Master!$C$5:$C$204,MATCH($F159,Employee_Master!$B$5:$B$204,0)),""))</f>
        <v/>
      </c>
      <c r="H159" s="78" t="n"/>
      <c r="I159" s="78" t="n"/>
      <c r="J159" s="67">
        <f>IF($I159="","",IFERROR(INDEX(Action_Status_Map!$B$5:$B$11,MATCH($I159,Action_Status_Map!$A$5:$A$11,0)),""))</f>
        <v/>
      </c>
      <c r="K159" s="82" t="n"/>
      <c r="L159" s="82" t="n"/>
      <c r="M159" s="82" t="n"/>
      <c r="N159" s="83" t="n"/>
      <c r="O159" s="83" t="n"/>
      <c r="P159" s="66">
        <f>IF(OR($N159="",$O159=""),"",$O159-$N159)</f>
        <v/>
      </c>
      <c r="Q159" s="84">
        <f>IF($K159="","",IF($M159&lt;&gt;"",$M159-$K159,TODAY()-$K159))</f>
        <v/>
      </c>
      <c r="R159" s="85">
        <f>IF(OR($L159="",$I159="Completed",$I159="Cancelled"),"",IF(AND($L159&lt;TODAY(),$I159&lt;&gt;"Completed",$I159&lt;&gt;"Cancelled"),"Overdue","On Track"))</f>
        <v/>
      </c>
      <c r="S159" s="65">
        <f>IF($L159="","",TEXT($L159,"yyyy-mm"))</f>
        <v/>
      </c>
      <c r="T159" s="86">
        <f>IF($I159="","",IFERROR(INDEX(Action_Status_Map!$C$5:$C$11,MATCH($I159,Action_Status_Map!$A$5:$A$11,0)),""))</f>
        <v/>
      </c>
      <c r="U159" s="81" t="n"/>
      <c r="V159" s="82" t="n"/>
      <c r="W159" s="65">
        <f>IF(OR($I159&lt;&gt;"Completed",$M159="",$L159=""),"",IF($M159&lt;=$L159,"Yes","No"))</f>
        <v/>
      </c>
      <c r="X159" s="84">
        <f>IF($A159="","",COUNTIF(Task_Steps!$B$5:$B$2004,$A159))</f>
        <v/>
      </c>
      <c r="Y159" s="86">
        <f>IF($X159=0,"",COUNTIFS(Task_Steps!$B$5:$B$2004,$A159,Task_Steps!$H$5:$H$2004,"Completed")/$X159)</f>
        <v/>
      </c>
      <c r="Z159" s="81" t="n"/>
      <c r="AA159" s="81" t="n"/>
      <c r="AB159" s="67">
        <f>IF($F159="","",IFERROR(INDEX(Employee_Master!$E$5:$E$204,MATCH($F159,Employee_Master!$B$5:$B$204,0)),""))</f>
        <v/>
      </c>
      <c r="AC159" s="65">
        <f>IF(OR($A159="",$AB159=""),"",IF(OR($I159="Completed",$I159="Cancelled"),"Closed - in Manager Report","Active - in Manager Report"))</f>
        <v/>
      </c>
      <c r="AD159" s="81">
        <f>IF($A159="","",IFERROR(TEXTJOIN(", ",TRUE,FILTER(Task_Steps!$A$5:$A$2004,Task_Steps!$B$5:$B$2004=$A159)),""))</f>
        <v/>
      </c>
      <c r="AE159" s="84">
        <f>IF($A159="","",COUNTIFS(Task_Steps!$B$5:$B$2004,$A159,Task_Steps!$H$5:$H$2004,"&lt;&gt;Completed",Task_Steps!$H$5:$H$2004,"&lt;&gt;Cancelled"))</f>
        <v/>
      </c>
      <c r="AF159" s="81">
        <f>IF(OR($B159="",$A159=""),"",$B159&amp;" | "&amp;$A159)</f>
        <v/>
      </c>
    </row>
    <row r="160" ht="15" customHeight="1" s="40">
      <c r="A160" s="65">
        <f>IF(COUNTA(B160:F160)=0,"","TSK-"&amp;TEXT(ROW()-4,"0000"))</f>
        <v/>
      </c>
      <c r="B160" s="78" t="n"/>
      <c r="C160" s="78" t="n"/>
      <c r="D160" s="81" t="n"/>
      <c r="E160" s="81" t="n"/>
      <c r="F160" s="78" t="n"/>
      <c r="G160" s="67">
        <f>IF($F160="","",IFERROR(INDEX(Employee_Master!$C$5:$C$204,MATCH($F160,Employee_Master!$B$5:$B$204,0)),""))</f>
        <v/>
      </c>
      <c r="H160" s="78" t="n"/>
      <c r="I160" s="78" t="n"/>
      <c r="J160" s="67">
        <f>IF($I160="","",IFERROR(INDEX(Action_Status_Map!$B$5:$B$11,MATCH($I160,Action_Status_Map!$A$5:$A$11,0)),""))</f>
        <v/>
      </c>
      <c r="K160" s="82" t="n"/>
      <c r="L160" s="82" t="n"/>
      <c r="M160" s="82" t="n"/>
      <c r="N160" s="83" t="n"/>
      <c r="O160" s="83" t="n"/>
      <c r="P160" s="66">
        <f>IF(OR($N160="",$O160=""),"",$O160-$N160)</f>
        <v/>
      </c>
      <c r="Q160" s="84">
        <f>IF($K160="","",IF($M160&lt;&gt;"",$M160-$K160,TODAY()-$K160))</f>
        <v/>
      </c>
      <c r="R160" s="85">
        <f>IF(OR($L160="",$I160="Completed",$I160="Cancelled"),"",IF(AND($L160&lt;TODAY(),$I160&lt;&gt;"Completed",$I160&lt;&gt;"Cancelled"),"Overdue","On Track"))</f>
        <v/>
      </c>
      <c r="S160" s="65">
        <f>IF($L160="","",TEXT($L160,"yyyy-mm"))</f>
        <v/>
      </c>
      <c r="T160" s="86">
        <f>IF($I160="","",IFERROR(INDEX(Action_Status_Map!$C$5:$C$11,MATCH($I160,Action_Status_Map!$A$5:$A$11,0)),""))</f>
        <v/>
      </c>
      <c r="U160" s="81" t="n"/>
      <c r="V160" s="82" t="n"/>
      <c r="W160" s="65">
        <f>IF(OR($I160&lt;&gt;"Completed",$M160="",$L160=""),"",IF($M160&lt;=$L160,"Yes","No"))</f>
        <v/>
      </c>
      <c r="X160" s="84">
        <f>IF($A160="","",COUNTIF(Task_Steps!$B$5:$B$2004,$A160))</f>
        <v/>
      </c>
      <c r="Y160" s="86">
        <f>IF($X160=0,"",COUNTIFS(Task_Steps!$B$5:$B$2004,$A160,Task_Steps!$H$5:$H$2004,"Completed")/$X160)</f>
        <v/>
      </c>
      <c r="Z160" s="81" t="n"/>
      <c r="AA160" s="81" t="n"/>
      <c r="AB160" s="67">
        <f>IF($F160="","",IFERROR(INDEX(Employee_Master!$E$5:$E$204,MATCH($F160,Employee_Master!$B$5:$B$204,0)),""))</f>
        <v/>
      </c>
      <c r="AC160" s="65">
        <f>IF(OR($A160="",$AB160=""),"",IF(OR($I160="Completed",$I160="Cancelled"),"Closed - in Manager Report","Active - in Manager Report"))</f>
        <v/>
      </c>
      <c r="AD160" s="81">
        <f>IF($A160="","",IFERROR(TEXTJOIN(", ",TRUE,FILTER(Task_Steps!$A$5:$A$2004,Task_Steps!$B$5:$B$2004=$A160)),""))</f>
        <v/>
      </c>
      <c r="AE160" s="84">
        <f>IF($A160="","",COUNTIFS(Task_Steps!$B$5:$B$2004,$A160,Task_Steps!$H$5:$H$2004,"&lt;&gt;Completed",Task_Steps!$H$5:$H$2004,"&lt;&gt;Cancelled"))</f>
        <v/>
      </c>
      <c r="AF160" s="81">
        <f>IF(OR($B160="",$A160=""),"",$B160&amp;" | "&amp;$A160)</f>
        <v/>
      </c>
    </row>
    <row r="161" ht="15" customHeight="1" s="40">
      <c r="A161" s="65">
        <f>IF(COUNTA(B161:F161)=0,"","TSK-"&amp;TEXT(ROW()-4,"0000"))</f>
        <v/>
      </c>
      <c r="B161" s="78" t="n"/>
      <c r="C161" s="78" t="n"/>
      <c r="D161" s="81" t="n"/>
      <c r="E161" s="81" t="n"/>
      <c r="F161" s="78" t="n"/>
      <c r="G161" s="67">
        <f>IF($F161="","",IFERROR(INDEX(Employee_Master!$C$5:$C$204,MATCH($F161,Employee_Master!$B$5:$B$204,0)),""))</f>
        <v/>
      </c>
      <c r="H161" s="78" t="n"/>
      <c r="I161" s="78" t="n"/>
      <c r="J161" s="67">
        <f>IF($I161="","",IFERROR(INDEX(Action_Status_Map!$B$5:$B$11,MATCH($I161,Action_Status_Map!$A$5:$A$11,0)),""))</f>
        <v/>
      </c>
      <c r="K161" s="82" t="n"/>
      <c r="L161" s="82" t="n"/>
      <c r="M161" s="82" t="n"/>
      <c r="N161" s="83" t="n"/>
      <c r="O161" s="83" t="n"/>
      <c r="P161" s="66">
        <f>IF(OR($N161="",$O161=""),"",$O161-$N161)</f>
        <v/>
      </c>
      <c r="Q161" s="84">
        <f>IF($K161="","",IF($M161&lt;&gt;"",$M161-$K161,TODAY()-$K161))</f>
        <v/>
      </c>
      <c r="R161" s="85">
        <f>IF(OR($L161="",$I161="Completed",$I161="Cancelled"),"",IF(AND($L161&lt;TODAY(),$I161&lt;&gt;"Completed",$I161&lt;&gt;"Cancelled"),"Overdue","On Track"))</f>
        <v/>
      </c>
      <c r="S161" s="65">
        <f>IF($L161="","",TEXT($L161,"yyyy-mm"))</f>
        <v/>
      </c>
      <c r="T161" s="86">
        <f>IF($I161="","",IFERROR(INDEX(Action_Status_Map!$C$5:$C$11,MATCH($I161,Action_Status_Map!$A$5:$A$11,0)),""))</f>
        <v/>
      </c>
      <c r="U161" s="81" t="n"/>
      <c r="V161" s="82" t="n"/>
      <c r="W161" s="65">
        <f>IF(OR($I161&lt;&gt;"Completed",$M161="",$L161=""),"",IF($M161&lt;=$L161,"Yes","No"))</f>
        <v/>
      </c>
      <c r="X161" s="84">
        <f>IF($A161="","",COUNTIF(Task_Steps!$B$5:$B$2004,$A161))</f>
        <v/>
      </c>
      <c r="Y161" s="86">
        <f>IF($X161=0,"",COUNTIFS(Task_Steps!$B$5:$B$2004,$A161,Task_Steps!$H$5:$H$2004,"Completed")/$X161)</f>
        <v/>
      </c>
      <c r="Z161" s="81" t="n"/>
      <c r="AA161" s="81" t="n"/>
      <c r="AB161" s="67">
        <f>IF($F161="","",IFERROR(INDEX(Employee_Master!$E$5:$E$204,MATCH($F161,Employee_Master!$B$5:$B$204,0)),""))</f>
        <v/>
      </c>
      <c r="AC161" s="65">
        <f>IF(OR($A161="",$AB161=""),"",IF(OR($I161="Completed",$I161="Cancelled"),"Closed - in Manager Report","Active - in Manager Report"))</f>
        <v/>
      </c>
      <c r="AD161" s="81">
        <f>IF($A161="","",IFERROR(TEXTJOIN(", ",TRUE,FILTER(Task_Steps!$A$5:$A$2004,Task_Steps!$B$5:$B$2004=$A161)),""))</f>
        <v/>
      </c>
      <c r="AE161" s="84">
        <f>IF($A161="","",COUNTIFS(Task_Steps!$B$5:$B$2004,$A161,Task_Steps!$H$5:$H$2004,"&lt;&gt;Completed",Task_Steps!$H$5:$H$2004,"&lt;&gt;Cancelled"))</f>
        <v/>
      </c>
      <c r="AF161" s="81">
        <f>IF(OR($B161="",$A161=""),"",$B161&amp;" | "&amp;$A161)</f>
        <v/>
      </c>
    </row>
    <row r="162" ht="15" customHeight="1" s="40">
      <c r="A162" s="65">
        <f>IF(COUNTA(B162:F162)=0,"","TSK-"&amp;TEXT(ROW()-4,"0000"))</f>
        <v/>
      </c>
      <c r="B162" s="78" t="n"/>
      <c r="C162" s="78" t="n"/>
      <c r="D162" s="81" t="n"/>
      <c r="E162" s="81" t="n"/>
      <c r="F162" s="78" t="n"/>
      <c r="G162" s="67">
        <f>IF($F162="","",IFERROR(INDEX(Employee_Master!$C$5:$C$204,MATCH($F162,Employee_Master!$B$5:$B$204,0)),""))</f>
        <v/>
      </c>
      <c r="H162" s="78" t="n"/>
      <c r="I162" s="78" t="n"/>
      <c r="J162" s="67">
        <f>IF($I162="","",IFERROR(INDEX(Action_Status_Map!$B$5:$B$11,MATCH($I162,Action_Status_Map!$A$5:$A$11,0)),""))</f>
        <v/>
      </c>
      <c r="K162" s="82" t="n"/>
      <c r="L162" s="82" t="n"/>
      <c r="M162" s="82" t="n"/>
      <c r="N162" s="83" t="n"/>
      <c r="O162" s="83" t="n"/>
      <c r="P162" s="66">
        <f>IF(OR($N162="",$O162=""),"",$O162-$N162)</f>
        <v/>
      </c>
      <c r="Q162" s="84">
        <f>IF($K162="","",IF($M162&lt;&gt;"",$M162-$K162,TODAY()-$K162))</f>
        <v/>
      </c>
      <c r="R162" s="85">
        <f>IF(OR($L162="",$I162="Completed",$I162="Cancelled"),"",IF(AND($L162&lt;TODAY(),$I162&lt;&gt;"Completed",$I162&lt;&gt;"Cancelled"),"Overdue","On Track"))</f>
        <v/>
      </c>
      <c r="S162" s="65">
        <f>IF($L162="","",TEXT($L162,"yyyy-mm"))</f>
        <v/>
      </c>
      <c r="T162" s="86">
        <f>IF($I162="","",IFERROR(INDEX(Action_Status_Map!$C$5:$C$11,MATCH($I162,Action_Status_Map!$A$5:$A$11,0)),""))</f>
        <v/>
      </c>
      <c r="U162" s="81" t="n"/>
      <c r="V162" s="82" t="n"/>
      <c r="W162" s="65">
        <f>IF(OR($I162&lt;&gt;"Completed",$M162="",$L162=""),"",IF($M162&lt;=$L162,"Yes","No"))</f>
        <v/>
      </c>
      <c r="X162" s="84">
        <f>IF($A162="","",COUNTIF(Task_Steps!$B$5:$B$2004,$A162))</f>
        <v/>
      </c>
      <c r="Y162" s="86">
        <f>IF($X162=0,"",COUNTIFS(Task_Steps!$B$5:$B$2004,$A162,Task_Steps!$H$5:$H$2004,"Completed")/$X162)</f>
        <v/>
      </c>
      <c r="Z162" s="81" t="n"/>
      <c r="AA162" s="81" t="n"/>
      <c r="AB162" s="67">
        <f>IF($F162="","",IFERROR(INDEX(Employee_Master!$E$5:$E$204,MATCH($F162,Employee_Master!$B$5:$B$204,0)),""))</f>
        <v/>
      </c>
      <c r="AC162" s="65">
        <f>IF(OR($A162="",$AB162=""),"",IF(OR($I162="Completed",$I162="Cancelled"),"Closed - in Manager Report","Active - in Manager Report"))</f>
        <v/>
      </c>
      <c r="AD162" s="81">
        <f>IF($A162="","",IFERROR(TEXTJOIN(", ",TRUE,FILTER(Task_Steps!$A$5:$A$2004,Task_Steps!$B$5:$B$2004=$A162)),""))</f>
        <v/>
      </c>
      <c r="AE162" s="84">
        <f>IF($A162="","",COUNTIFS(Task_Steps!$B$5:$B$2004,$A162,Task_Steps!$H$5:$H$2004,"&lt;&gt;Completed",Task_Steps!$H$5:$H$2004,"&lt;&gt;Cancelled"))</f>
        <v/>
      </c>
      <c r="AF162" s="81">
        <f>IF(OR($B162="",$A162=""),"",$B162&amp;" | "&amp;$A162)</f>
        <v/>
      </c>
    </row>
    <row r="163" ht="15" customHeight="1" s="40">
      <c r="A163" s="65">
        <f>IF(COUNTA(B163:F163)=0,"","TSK-"&amp;TEXT(ROW()-4,"0000"))</f>
        <v/>
      </c>
      <c r="B163" s="78" t="n"/>
      <c r="C163" s="78" t="n"/>
      <c r="D163" s="81" t="n"/>
      <c r="E163" s="81" t="n"/>
      <c r="F163" s="78" t="n"/>
      <c r="G163" s="67">
        <f>IF($F163="","",IFERROR(INDEX(Employee_Master!$C$5:$C$204,MATCH($F163,Employee_Master!$B$5:$B$204,0)),""))</f>
        <v/>
      </c>
      <c r="H163" s="78" t="n"/>
      <c r="I163" s="78" t="n"/>
      <c r="J163" s="67">
        <f>IF($I163="","",IFERROR(INDEX(Action_Status_Map!$B$5:$B$11,MATCH($I163,Action_Status_Map!$A$5:$A$11,0)),""))</f>
        <v/>
      </c>
      <c r="K163" s="82" t="n"/>
      <c r="L163" s="82" t="n"/>
      <c r="M163" s="82" t="n"/>
      <c r="N163" s="83" t="n"/>
      <c r="O163" s="83" t="n"/>
      <c r="P163" s="66">
        <f>IF(OR($N163="",$O163=""),"",$O163-$N163)</f>
        <v/>
      </c>
      <c r="Q163" s="84">
        <f>IF($K163="","",IF($M163&lt;&gt;"",$M163-$K163,TODAY()-$K163))</f>
        <v/>
      </c>
      <c r="R163" s="85">
        <f>IF(OR($L163="",$I163="Completed",$I163="Cancelled"),"",IF(AND($L163&lt;TODAY(),$I163&lt;&gt;"Completed",$I163&lt;&gt;"Cancelled"),"Overdue","On Track"))</f>
        <v/>
      </c>
      <c r="S163" s="65">
        <f>IF($L163="","",TEXT($L163,"yyyy-mm"))</f>
        <v/>
      </c>
      <c r="T163" s="86">
        <f>IF($I163="","",IFERROR(INDEX(Action_Status_Map!$C$5:$C$11,MATCH($I163,Action_Status_Map!$A$5:$A$11,0)),""))</f>
        <v/>
      </c>
      <c r="U163" s="81" t="n"/>
      <c r="V163" s="82" t="n"/>
      <c r="W163" s="65">
        <f>IF(OR($I163&lt;&gt;"Completed",$M163="",$L163=""),"",IF($M163&lt;=$L163,"Yes","No"))</f>
        <v/>
      </c>
      <c r="X163" s="84">
        <f>IF($A163="","",COUNTIF(Task_Steps!$B$5:$B$2004,$A163))</f>
        <v/>
      </c>
      <c r="Y163" s="86">
        <f>IF($X163=0,"",COUNTIFS(Task_Steps!$B$5:$B$2004,$A163,Task_Steps!$H$5:$H$2004,"Completed")/$X163)</f>
        <v/>
      </c>
      <c r="Z163" s="81" t="n"/>
      <c r="AA163" s="81" t="n"/>
      <c r="AB163" s="67">
        <f>IF($F163="","",IFERROR(INDEX(Employee_Master!$E$5:$E$204,MATCH($F163,Employee_Master!$B$5:$B$204,0)),""))</f>
        <v/>
      </c>
      <c r="AC163" s="65">
        <f>IF(OR($A163="",$AB163=""),"",IF(OR($I163="Completed",$I163="Cancelled"),"Closed - in Manager Report","Active - in Manager Report"))</f>
        <v/>
      </c>
      <c r="AD163" s="81">
        <f>IF($A163="","",IFERROR(TEXTJOIN(", ",TRUE,FILTER(Task_Steps!$A$5:$A$2004,Task_Steps!$B$5:$B$2004=$A163)),""))</f>
        <v/>
      </c>
      <c r="AE163" s="84">
        <f>IF($A163="","",COUNTIFS(Task_Steps!$B$5:$B$2004,$A163,Task_Steps!$H$5:$H$2004,"&lt;&gt;Completed",Task_Steps!$H$5:$H$2004,"&lt;&gt;Cancelled"))</f>
        <v/>
      </c>
      <c r="AF163" s="81">
        <f>IF(OR($B163="",$A163=""),"",$B163&amp;" | "&amp;$A163)</f>
        <v/>
      </c>
    </row>
    <row r="164" ht="15" customHeight="1" s="40">
      <c r="A164" s="65">
        <f>IF(COUNTA(B164:F164)=0,"","TSK-"&amp;TEXT(ROW()-4,"0000"))</f>
        <v/>
      </c>
      <c r="B164" s="78" t="n"/>
      <c r="C164" s="78" t="n"/>
      <c r="D164" s="81" t="n"/>
      <c r="E164" s="81" t="n"/>
      <c r="F164" s="78" t="n"/>
      <c r="G164" s="67">
        <f>IF($F164="","",IFERROR(INDEX(Employee_Master!$C$5:$C$204,MATCH($F164,Employee_Master!$B$5:$B$204,0)),""))</f>
        <v/>
      </c>
      <c r="H164" s="78" t="n"/>
      <c r="I164" s="78" t="n"/>
      <c r="J164" s="67">
        <f>IF($I164="","",IFERROR(INDEX(Action_Status_Map!$B$5:$B$11,MATCH($I164,Action_Status_Map!$A$5:$A$11,0)),""))</f>
        <v/>
      </c>
      <c r="K164" s="82" t="n"/>
      <c r="L164" s="82" t="n"/>
      <c r="M164" s="82" t="n"/>
      <c r="N164" s="83" t="n"/>
      <c r="O164" s="83" t="n"/>
      <c r="P164" s="66">
        <f>IF(OR($N164="",$O164=""),"",$O164-$N164)</f>
        <v/>
      </c>
      <c r="Q164" s="84">
        <f>IF($K164="","",IF($M164&lt;&gt;"",$M164-$K164,TODAY()-$K164))</f>
        <v/>
      </c>
      <c r="R164" s="85">
        <f>IF(OR($L164="",$I164="Completed",$I164="Cancelled"),"",IF(AND($L164&lt;TODAY(),$I164&lt;&gt;"Completed",$I164&lt;&gt;"Cancelled"),"Overdue","On Track"))</f>
        <v/>
      </c>
      <c r="S164" s="65">
        <f>IF($L164="","",TEXT($L164,"yyyy-mm"))</f>
        <v/>
      </c>
      <c r="T164" s="86">
        <f>IF($I164="","",IFERROR(INDEX(Action_Status_Map!$C$5:$C$11,MATCH($I164,Action_Status_Map!$A$5:$A$11,0)),""))</f>
        <v/>
      </c>
      <c r="U164" s="81" t="n"/>
      <c r="V164" s="82" t="n"/>
      <c r="W164" s="65">
        <f>IF(OR($I164&lt;&gt;"Completed",$M164="",$L164=""),"",IF($M164&lt;=$L164,"Yes","No"))</f>
        <v/>
      </c>
      <c r="X164" s="84">
        <f>IF($A164="","",COUNTIF(Task_Steps!$B$5:$B$2004,$A164))</f>
        <v/>
      </c>
      <c r="Y164" s="86">
        <f>IF($X164=0,"",COUNTIFS(Task_Steps!$B$5:$B$2004,$A164,Task_Steps!$H$5:$H$2004,"Completed")/$X164)</f>
        <v/>
      </c>
      <c r="Z164" s="81" t="n"/>
      <c r="AA164" s="81" t="n"/>
      <c r="AB164" s="67">
        <f>IF($F164="","",IFERROR(INDEX(Employee_Master!$E$5:$E$204,MATCH($F164,Employee_Master!$B$5:$B$204,0)),""))</f>
        <v/>
      </c>
      <c r="AC164" s="65">
        <f>IF(OR($A164="",$AB164=""),"",IF(OR($I164="Completed",$I164="Cancelled"),"Closed - in Manager Report","Active - in Manager Report"))</f>
        <v/>
      </c>
      <c r="AD164" s="81">
        <f>IF($A164="","",IFERROR(TEXTJOIN(", ",TRUE,FILTER(Task_Steps!$A$5:$A$2004,Task_Steps!$B$5:$B$2004=$A164)),""))</f>
        <v/>
      </c>
      <c r="AE164" s="84">
        <f>IF($A164="","",COUNTIFS(Task_Steps!$B$5:$B$2004,$A164,Task_Steps!$H$5:$H$2004,"&lt;&gt;Completed",Task_Steps!$H$5:$H$2004,"&lt;&gt;Cancelled"))</f>
        <v/>
      </c>
      <c r="AF164" s="81">
        <f>IF(OR($B164="",$A164=""),"",$B164&amp;" | "&amp;$A164)</f>
        <v/>
      </c>
    </row>
    <row r="165" ht="15" customHeight="1" s="40">
      <c r="A165" s="65">
        <f>IF(COUNTA(B165:F165)=0,"","TSK-"&amp;TEXT(ROW()-4,"0000"))</f>
        <v/>
      </c>
      <c r="B165" s="78" t="n"/>
      <c r="C165" s="78" t="n"/>
      <c r="D165" s="81" t="n"/>
      <c r="E165" s="81" t="n"/>
      <c r="F165" s="78" t="n"/>
      <c r="G165" s="67">
        <f>IF($F165="","",IFERROR(INDEX(Employee_Master!$C$5:$C$204,MATCH($F165,Employee_Master!$B$5:$B$204,0)),""))</f>
        <v/>
      </c>
      <c r="H165" s="78" t="n"/>
      <c r="I165" s="78" t="n"/>
      <c r="J165" s="67">
        <f>IF($I165="","",IFERROR(INDEX(Action_Status_Map!$B$5:$B$11,MATCH($I165,Action_Status_Map!$A$5:$A$11,0)),""))</f>
        <v/>
      </c>
      <c r="K165" s="82" t="n"/>
      <c r="L165" s="82" t="n"/>
      <c r="M165" s="82" t="n"/>
      <c r="N165" s="83" t="n"/>
      <c r="O165" s="83" t="n"/>
      <c r="P165" s="66">
        <f>IF(OR($N165="",$O165=""),"",$O165-$N165)</f>
        <v/>
      </c>
      <c r="Q165" s="84">
        <f>IF($K165="","",IF($M165&lt;&gt;"",$M165-$K165,TODAY()-$K165))</f>
        <v/>
      </c>
      <c r="R165" s="85">
        <f>IF(OR($L165="",$I165="Completed",$I165="Cancelled"),"",IF(AND($L165&lt;TODAY(),$I165&lt;&gt;"Completed",$I165&lt;&gt;"Cancelled"),"Overdue","On Track"))</f>
        <v/>
      </c>
      <c r="S165" s="65">
        <f>IF($L165="","",TEXT($L165,"yyyy-mm"))</f>
        <v/>
      </c>
      <c r="T165" s="86">
        <f>IF($I165="","",IFERROR(INDEX(Action_Status_Map!$C$5:$C$11,MATCH($I165,Action_Status_Map!$A$5:$A$11,0)),""))</f>
        <v/>
      </c>
      <c r="U165" s="81" t="n"/>
      <c r="V165" s="82" t="n"/>
      <c r="W165" s="65">
        <f>IF(OR($I165&lt;&gt;"Completed",$M165="",$L165=""),"",IF($M165&lt;=$L165,"Yes","No"))</f>
        <v/>
      </c>
      <c r="X165" s="84">
        <f>IF($A165="","",COUNTIF(Task_Steps!$B$5:$B$2004,$A165))</f>
        <v/>
      </c>
      <c r="Y165" s="86">
        <f>IF($X165=0,"",COUNTIFS(Task_Steps!$B$5:$B$2004,$A165,Task_Steps!$H$5:$H$2004,"Completed")/$X165)</f>
        <v/>
      </c>
      <c r="Z165" s="81" t="n"/>
      <c r="AA165" s="81" t="n"/>
      <c r="AB165" s="67">
        <f>IF($F165="","",IFERROR(INDEX(Employee_Master!$E$5:$E$204,MATCH($F165,Employee_Master!$B$5:$B$204,0)),""))</f>
        <v/>
      </c>
      <c r="AC165" s="65">
        <f>IF(OR($A165="",$AB165=""),"",IF(OR($I165="Completed",$I165="Cancelled"),"Closed - in Manager Report","Active - in Manager Report"))</f>
        <v/>
      </c>
      <c r="AD165" s="81">
        <f>IF($A165="","",IFERROR(TEXTJOIN(", ",TRUE,FILTER(Task_Steps!$A$5:$A$2004,Task_Steps!$B$5:$B$2004=$A165)),""))</f>
        <v/>
      </c>
      <c r="AE165" s="84">
        <f>IF($A165="","",COUNTIFS(Task_Steps!$B$5:$B$2004,$A165,Task_Steps!$H$5:$H$2004,"&lt;&gt;Completed",Task_Steps!$H$5:$H$2004,"&lt;&gt;Cancelled"))</f>
        <v/>
      </c>
      <c r="AF165" s="81">
        <f>IF(OR($B165="",$A165=""),"",$B165&amp;" | "&amp;$A165)</f>
        <v/>
      </c>
    </row>
    <row r="166" ht="15" customHeight="1" s="40">
      <c r="A166" s="65">
        <f>IF(COUNTA(B166:F166)=0,"","TSK-"&amp;TEXT(ROW()-4,"0000"))</f>
        <v/>
      </c>
      <c r="B166" s="78" t="n"/>
      <c r="C166" s="78" t="n"/>
      <c r="D166" s="81" t="n"/>
      <c r="E166" s="81" t="n"/>
      <c r="F166" s="78" t="n"/>
      <c r="G166" s="67">
        <f>IF($F166="","",IFERROR(INDEX(Employee_Master!$C$5:$C$204,MATCH($F166,Employee_Master!$B$5:$B$204,0)),""))</f>
        <v/>
      </c>
      <c r="H166" s="78" t="n"/>
      <c r="I166" s="78" t="n"/>
      <c r="J166" s="67">
        <f>IF($I166="","",IFERROR(INDEX(Action_Status_Map!$B$5:$B$11,MATCH($I166,Action_Status_Map!$A$5:$A$11,0)),""))</f>
        <v/>
      </c>
      <c r="K166" s="82" t="n"/>
      <c r="L166" s="82" t="n"/>
      <c r="M166" s="82" t="n"/>
      <c r="N166" s="83" t="n"/>
      <c r="O166" s="83" t="n"/>
      <c r="P166" s="66">
        <f>IF(OR($N166="",$O166=""),"",$O166-$N166)</f>
        <v/>
      </c>
      <c r="Q166" s="84">
        <f>IF($K166="","",IF($M166&lt;&gt;"",$M166-$K166,TODAY()-$K166))</f>
        <v/>
      </c>
      <c r="R166" s="85">
        <f>IF(OR($L166="",$I166="Completed",$I166="Cancelled"),"",IF(AND($L166&lt;TODAY(),$I166&lt;&gt;"Completed",$I166&lt;&gt;"Cancelled"),"Overdue","On Track"))</f>
        <v/>
      </c>
      <c r="S166" s="65">
        <f>IF($L166="","",TEXT($L166,"yyyy-mm"))</f>
        <v/>
      </c>
      <c r="T166" s="86">
        <f>IF($I166="","",IFERROR(INDEX(Action_Status_Map!$C$5:$C$11,MATCH($I166,Action_Status_Map!$A$5:$A$11,0)),""))</f>
        <v/>
      </c>
      <c r="U166" s="81" t="n"/>
      <c r="V166" s="82" t="n"/>
      <c r="W166" s="65">
        <f>IF(OR($I166&lt;&gt;"Completed",$M166="",$L166=""),"",IF($M166&lt;=$L166,"Yes","No"))</f>
        <v/>
      </c>
      <c r="X166" s="84">
        <f>IF($A166="","",COUNTIF(Task_Steps!$B$5:$B$2004,$A166))</f>
        <v/>
      </c>
      <c r="Y166" s="86">
        <f>IF($X166=0,"",COUNTIFS(Task_Steps!$B$5:$B$2004,$A166,Task_Steps!$H$5:$H$2004,"Completed")/$X166)</f>
        <v/>
      </c>
      <c r="Z166" s="81" t="n"/>
      <c r="AA166" s="81" t="n"/>
      <c r="AB166" s="67">
        <f>IF($F166="","",IFERROR(INDEX(Employee_Master!$E$5:$E$204,MATCH($F166,Employee_Master!$B$5:$B$204,0)),""))</f>
        <v/>
      </c>
      <c r="AC166" s="65">
        <f>IF(OR($A166="",$AB166=""),"",IF(OR($I166="Completed",$I166="Cancelled"),"Closed - in Manager Report","Active - in Manager Report"))</f>
        <v/>
      </c>
      <c r="AD166" s="81">
        <f>IF($A166="","",IFERROR(TEXTJOIN(", ",TRUE,FILTER(Task_Steps!$A$5:$A$2004,Task_Steps!$B$5:$B$2004=$A166)),""))</f>
        <v/>
      </c>
      <c r="AE166" s="84">
        <f>IF($A166="","",COUNTIFS(Task_Steps!$B$5:$B$2004,$A166,Task_Steps!$H$5:$H$2004,"&lt;&gt;Completed",Task_Steps!$H$5:$H$2004,"&lt;&gt;Cancelled"))</f>
        <v/>
      </c>
      <c r="AF166" s="81">
        <f>IF(OR($B166="",$A166=""),"",$B166&amp;" | "&amp;$A166)</f>
        <v/>
      </c>
    </row>
    <row r="167" ht="15" customHeight="1" s="40">
      <c r="A167" s="65">
        <f>IF(COUNTA(B167:F167)=0,"","TSK-"&amp;TEXT(ROW()-4,"0000"))</f>
        <v/>
      </c>
      <c r="B167" s="78" t="n"/>
      <c r="C167" s="78" t="n"/>
      <c r="D167" s="81" t="n"/>
      <c r="E167" s="81" t="n"/>
      <c r="F167" s="78" t="n"/>
      <c r="G167" s="67">
        <f>IF($F167="","",IFERROR(INDEX(Employee_Master!$C$5:$C$204,MATCH($F167,Employee_Master!$B$5:$B$204,0)),""))</f>
        <v/>
      </c>
      <c r="H167" s="78" t="n"/>
      <c r="I167" s="78" t="n"/>
      <c r="J167" s="67">
        <f>IF($I167="","",IFERROR(INDEX(Action_Status_Map!$B$5:$B$11,MATCH($I167,Action_Status_Map!$A$5:$A$11,0)),""))</f>
        <v/>
      </c>
      <c r="K167" s="82" t="n"/>
      <c r="L167" s="82" t="n"/>
      <c r="M167" s="82" t="n"/>
      <c r="N167" s="83" t="n"/>
      <c r="O167" s="83" t="n"/>
      <c r="P167" s="66">
        <f>IF(OR($N167="",$O167=""),"",$O167-$N167)</f>
        <v/>
      </c>
      <c r="Q167" s="84">
        <f>IF($K167="","",IF($M167&lt;&gt;"",$M167-$K167,TODAY()-$K167))</f>
        <v/>
      </c>
      <c r="R167" s="85">
        <f>IF(OR($L167="",$I167="Completed",$I167="Cancelled"),"",IF(AND($L167&lt;TODAY(),$I167&lt;&gt;"Completed",$I167&lt;&gt;"Cancelled"),"Overdue","On Track"))</f>
        <v/>
      </c>
      <c r="S167" s="65">
        <f>IF($L167="","",TEXT($L167,"yyyy-mm"))</f>
        <v/>
      </c>
      <c r="T167" s="86">
        <f>IF($I167="","",IFERROR(INDEX(Action_Status_Map!$C$5:$C$11,MATCH($I167,Action_Status_Map!$A$5:$A$11,0)),""))</f>
        <v/>
      </c>
      <c r="U167" s="81" t="n"/>
      <c r="V167" s="82" t="n"/>
      <c r="W167" s="65">
        <f>IF(OR($I167&lt;&gt;"Completed",$M167="",$L167=""),"",IF($M167&lt;=$L167,"Yes","No"))</f>
        <v/>
      </c>
      <c r="X167" s="84">
        <f>IF($A167="","",COUNTIF(Task_Steps!$B$5:$B$2004,$A167))</f>
        <v/>
      </c>
      <c r="Y167" s="86">
        <f>IF($X167=0,"",COUNTIFS(Task_Steps!$B$5:$B$2004,$A167,Task_Steps!$H$5:$H$2004,"Completed")/$X167)</f>
        <v/>
      </c>
      <c r="Z167" s="81" t="n"/>
      <c r="AA167" s="81" t="n"/>
      <c r="AB167" s="67">
        <f>IF($F167="","",IFERROR(INDEX(Employee_Master!$E$5:$E$204,MATCH($F167,Employee_Master!$B$5:$B$204,0)),""))</f>
        <v/>
      </c>
      <c r="AC167" s="65">
        <f>IF(OR($A167="",$AB167=""),"",IF(OR($I167="Completed",$I167="Cancelled"),"Closed - in Manager Report","Active - in Manager Report"))</f>
        <v/>
      </c>
      <c r="AD167" s="81">
        <f>IF($A167="","",IFERROR(TEXTJOIN(", ",TRUE,FILTER(Task_Steps!$A$5:$A$2004,Task_Steps!$B$5:$B$2004=$A167)),""))</f>
        <v/>
      </c>
      <c r="AE167" s="84">
        <f>IF($A167="","",COUNTIFS(Task_Steps!$B$5:$B$2004,$A167,Task_Steps!$H$5:$H$2004,"&lt;&gt;Completed",Task_Steps!$H$5:$H$2004,"&lt;&gt;Cancelled"))</f>
        <v/>
      </c>
      <c r="AF167" s="81">
        <f>IF(OR($B167="",$A167=""),"",$B167&amp;" | "&amp;$A167)</f>
        <v/>
      </c>
    </row>
    <row r="168" ht="15" customHeight="1" s="40">
      <c r="A168" s="65">
        <f>IF(COUNTA(B168:F168)=0,"","TSK-"&amp;TEXT(ROW()-4,"0000"))</f>
        <v/>
      </c>
      <c r="B168" s="78" t="n"/>
      <c r="C168" s="78" t="n"/>
      <c r="D168" s="81" t="n"/>
      <c r="E168" s="81" t="n"/>
      <c r="F168" s="78" t="n"/>
      <c r="G168" s="67">
        <f>IF($F168="","",IFERROR(INDEX(Employee_Master!$C$5:$C$204,MATCH($F168,Employee_Master!$B$5:$B$204,0)),""))</f>
        <v/>
      </c>
      <c r="H168" s="78" t="n"/>
      <c r="I168" s="78" t="n"/>
      <c r="J168" s="67">
        <f>IF($I168="","",IFERROR(INDEX(Action_Status_Map!$B$5:$B$11,MATCH($I168,Action_Status_Map!$A$5:$A$11,0)),""))</f>
        <v/>
      </c>
      <c r="K168" s="82" t="n"/>
      <c r="L168" s="82" t="n"/>
      <c r="M168" s="82" t="n"/>
      <c r="N168" s="83" t="n"/>
      <c r="O168" s="83" t="n"/>
      <c r="P168" s="66">
        <f>IF(OR($N168="",$O168=""),"",$O168-$N168)</f>
        <v/>
      </c>
      <c r="Q168" s="84">
        <f>IF($K168="","",IF($M168&lt;&gt;"",$M168-$K168,TODAY()-$K168))</f>
        <v/>
      </c>
      <c r="R168" s="85">
        <f>IF(OR($L168="",$I168="Completed",$I168="Cancelled"),"",IF(AND($L168&lt;TODAY(),$I168&lt;&gt;"Completed",$I168&lt;&gt;"Cancelled"),"Overdue","On Track"))</f>
        <v/>
      </c>
      <c r="S168" s="65">
        <f>IF($L168="","",TEXT($L168,"yyyy-mm"))</f>
        <v/>
      </c>
      <c r="T168" s="86">
        <f>IF($I168="","",IFERROR(INDEX(Action_Status_Map!$C$5:$C$11,MATCH($I168,Action_Status_Map!$A$5:$A$11,0)),""))</f>
        <v/>
      </c>
      <c r="U168" s="81" t="n"/>
      <c r="V168" s="82" t="n"/>
      <c r="W168" s="65">
        <f>IF(OR($I168&lt;&gt;"Completed",$M168="",$L168=""),"",IF($M168&lt;=$L168,"Yes","No"))</f>
        <v/>
      </c>
      <c r="X168" s="84">
        <f>IF($A168="","",COUNTIF(Task_Steps!$B$5:$B$2004,$A168))</f>
        <v/>
      </c>
      <c r="Y168" s="86">
        <f>IF($X168=0,"",COUNTIFS(Task_Steps!$B$5:$B$2004,$A168,Task_Steps!$H$5:$H$2004,"Completed")/$X168)</f>
        <v/>
      </c>
      <c r="Z168" s="81" t="n"/>
      <c r="AA168" s="81" t="n"/>
      <c r="AB168" s="67">
        <f>IF($F168="","",IFERROR(INDEX(Employee_Master!$E$5:$E$204,MATCH($F168,Employee_Master!$B$5:$B$204,0)),""))</f>
        <v/>
      </c>
      <c r="AC168" s="65">
        <f>IF(OR($A168="",$AB168=""),"",IF(OR($I168="Completed",$I168="Cancelled"),"Closed - in Manager Report","Active - in Manager Report"))</f>
        <v/>
      </c>
      <c r="AD168" s="81">
        <f>IF($A168="","",IFERROR(TEXTJOIN(", ",TRUE,FILTER(Task_Steps!$A$5:$A$2004,Task_Steps!$B$5:$B$2004=$A168)),""))</f>
        <v/>
      </c>
      <c r="AE168" s="84">
        <f>IF($A168="","",COUNTIFS(Task_Steps!$B$5:$B$2004,$A168,Task_Steps!$H$5:$H$2004,"&lt;&gt;Completed",Task_Steps!$H$5:$H$2004,"&lt;&gt;Cancelled"))</f>
        <v/>
      </c>
      <c r="AF168" s="81">
        <f>IF(OR($B168="",$A168=""),"",$B168&amp;" | "&amp;$A168)</f>
        <v/>
      </c>
    </row>
    <row r="169" ht="15" customHeight="1" s="40">
      <c r="A169" s="65">
        <f>IF(COUNTA(B169:F169)=0,"","TSK-"&amp;TEXT(ROW()-4,"0000"))</f>
        <v/>
      </c>
      <c r="B169" s="78" t="n"/>
      <c r="C169" s="78" t="n"/>
      <c r="D169" s="81" t="n"/>
      <c r="E169" s="81" t="n"/>
      <c r="F169" s="78" t="n"/>
      <c r="G169" s="67">
        <f>IF($F169="","",IFERROR(INDEX(Employee_Master!$C$5:$C$204,MATCH($F169,Employee_Master!$B$5:$B$204,0)),""))</f>
        <v/>
      </c>
      <c r="H169" s="78" t="n"/>
      <c r="I169" s="78" t="n"/>
      <c r="J169" s="67">
        <f>IF($I169="","",IFERROR(INDEX(Action_Status_Map!$B$5:$B$11,MATCH($I169,Action_Status_Map!$A$5:$A$11,0)),""))</f>
        <v/>
      </c>
      <c r="K169" s="82" t="n"/>
      <c r="L169" s="82" t="n"/>
      <c r="M169" s="82" t="n"/>
      <c r="N169" s="83" t="n"/>
      <c r="O169" s="83" t="n"/>
      <c r="P169" s="66">
        <f>IF(OR($N169="",$O169=""),"",$O169-$N169)</f>
        <v/>
      </c>
      <c r="Q169" s="84">
        <f>IF($K169="","",IF($M169&lt;&gt;"",$M169-$K169,TODAY()-$K169))</f>
        <v/>
      </c>
      <c r="R169" s="85">
        <f>IF(OR($L169="",$I169="Completed",$I169="Cancelled"),"",IF(AND($L169&lt;TODAY(),$I169&lt;&gt;"Completed",$I169&lt;&gt;"Cancelled"),"Overdue","On Track"))</f>
        <v/>
      </c>
      <c r="S169" s="65">
        <f>IF($L169="","",TEXT($L169,"yyyy-mm"))</f>
        <v/>
      </c>
      <c r="T169" s="86">
        <f>IF($I169="","",IFERROR(INDEX(Action_Status_Map!$C$5:$C$11,MATCH($I169,Action_Status_Map!$A$5:$A$11,0)),""))</f>
        <v/>
      </c>
      <c r="U169" s="81" t="n"/>
      <c r="V169" s="82" t="n"/>
      <c r="W169" s="65">
        <f>IF(OR($I169&lt;&gt;"Completed",$M169="",$L169=""),"",IF($M169&lt;=$L169,"Yes","No"))</f>
        <v/>
      </c>
      <c r="X169" s="84">
        <f>IF($A169="","",COUNTIF(Task_Steps!$B$5:$B$2004,$A169))</f>
        <v/>
      </c>
      <c r="Y169" s="86">
        <f>IF($X169=0,"",COUNTIFS(Task_Steps!$B$5:$B$2004,$A169,Task_Steps!$H$5:$H$2004,"Completed")/$X169)</f>
        <v/>
      </c>
      <c r="Z169" s="81" t="n"/>
      <c r="AA169" s="81" t="n"/>
      <c r="AB169" s="67">
        <f>IF($F169="","",IFERROR(INDEX(Employee_Master!$E$5:$E$204,MATCH($F169,Employee_Master!$B$5:$B$204,0)),""))</f>
        <v/>
      </c>
      <c r="AC169" s="65">
        <f>IF(OR($A169="",$AB169=""),"",IF(OR($I169="Completed",$I169="Cancelled"),"Closed - in Manager Report","Active - in Manager Report"))</f>
        <v/>
      </c>
      <c r="AD169" s="81">
        <f>IF($A169="","",IFERROR(TEXTJOIN(", ",TRUE,FILTER(Task_Steps!$A$5:$A$2004,Task_Steps!$B$5:$B$2004=$A169)),""))</f>
        <v/>
      </c>
      <c r="AE169" s="84">
        <f>IF($A169="","",COUNTIFS(Task_Steps!$B$5:$B$2004,$A169,Task_Steps!$H$5:$H$2004,"&lt;&gt;Completed",Task_Steps!$H$5:$H$2004,"&lt;&gt;Cancelled"))</f>
        <v/>
      </c>
      <c r="AF169" s="81">
        <f>IF(OR($B169="",$A169=""),"",$B169&amp;" | "&amp;$A169)</f>
        <v/>
      </c>
    </row>
    <row r="170" ht="15" customHeight="1" s="40">
      <c r="A170" s="65">
        <f>IF(COUNTA(B170:F170)=0,"","TSK-"&amp;TEXT(ROW()-4,"0000"))</f>
        <v/>
      </c>
      <c r="B170" s="78" t="n"/>
      <c r="C170" s="78" t="n"/>
      <c r="D170" s="81" t="n"/>
      <c r="E170" s="81" t="n"/>
      <c r="F170" s="78" t="n"/>
      <c r="G170" s="67">
        <f>IF($F170="","",IFERROR(INDEX(Employee_Master!$C$5:$C$204,MATCH($F170,Employee_Master!$B$5:$B$204,0)),""))</f>
        <v/>
      </c>
      <c r="H170" s="78" t="n"/>
      <c r="I170" s="78" t="n"/>
      <c r="J170" s="67">
        <f>IF($I170="","",IFERROR(INDEX(Action_Status_Map!$B$5:$B$11,MATCH($I170,Action_Status_Map!$A$5:$A$11,0)),""))</f>
        <v/>
      </c>
      <c r="K170" s="82" t="n"/>
      <c r="L170" s="82" t="n"/>
      <c r="M170" s="82" t="n"/>
      <c r="N170" s="83" t="n"/>
      <c r="O170" s="83" t="n"/>
      <c r="P170" s="66">
        <f>IF(OR($N170="",$O170=""),"",$O170-$N170)</f>
        <v/>
      </c>
      <c r="Q170" s="84">
        <f>IF($K170="","",IF($M170&lt;&gt;"",$M170-$K170,TODAY()-$K170))</f>
        <v/>
      </c>
      <c r="R170" s="85">
        <f>IF(OR($L170="",$I170="Completed",$I170="Cancelled"),"",IF(AND($L170&lt;TODAY(),$I170&lt;&gt;"Completed",$I170&lt;&gt;"Cancelled"),"Overdue","On Track"))</f>
        <v/>
      </c>
      <c r="S170" s="65">
        <f>IF($L170="","",TEXT($L170,"yyyy-mm"))</f>
        <v/>
      </c>
      <c r="T170" s="86">
        <f>IF($I170="","",IFERROR(INDEX(Action_Status_Map!$C$5:$C$11,MATCH($I170,Action_Status_Map!$A$5:$A$11,0)),""))</f>
        <v/>
      </c>
      <c r="U170" s="81" t="n"/>
      <c r="V170" s="82" t="n"/>
      <c r="W170" s="65">
        <f>IF(OR($I170&lt;&gt;"Completed",$M170="",$L170=""),"",IF($M170&lt;=$L170,"Yes","No"))</f>
        <v/>
      </c>
      <c r="X170" s="84">
        <f>IF($A170="","",COUNTIF(Task_Steps!$B$5:$B$2004,$A170))</f>
        <v/>
      </c>
      <c r="Y170" s="86">
        <f>IF($X170=0,"",COUNTIFS(Task_Steps!$B$5:$B$2004,$A170,Task_Steps!$H$5:$H$2004,"Completed")/$X170)</f>
        <v/>
      </c>
      <c r="Z170" s="81" t="n"/>
      <c r="AA170" s="81" t="n"/>
      <c r="AB170" s="67">
        <f>IF($F170="","",IFERROR(INDEX(Employee_Master!$E$5:$E$204,MATCH($F170,Employee_Master!$B$5:$B$204,0)),""))</f>
        <v/>
      </c>
      <c r="AC170" s="65">
        <f>IF(OR($A170="",$AB170=""),"",IF(OR($I170="Completed",$I170="Cancelled"),"Closed - in Manager Report","Active - in Manager Report"))</f>
        <v/>
      </c>
      <c r="AD170" s="81">
        <f>IF($A170="","",IFERROR(TEXTJOIN(", ",TRUE,FILTER(Task_Steps!$A$5:$A$2004,Task_Steps!$B$5:$B$2004=$A170)),""))</f>
        <v/>
      </c>
      <c r="AE170" s="84">
        <f>IF($A170="","",COUNTIFS(Task_Steps!$B$5:$B$2004,$A170,Task_Steps!$H$5:$H$2004,"&lt;&gt;Completed",Task_Steps!$H$5:$H$2004,"&lt;&gt;Cancelled"))</f>
        <v/>
      </c>
      <c r="AF170" s="81">
        <f>IF(OR($B170="",$A170=""),"",$B170&amp;" | "&amp;$A170)</f>
        <v/>
      </c>
    </row>
    <row r="171" ht="15" customHeight="1" s="40">
      <c r="A171" s="65">
        <f>IF(COUNTA(B171:F171)=0,"","TSK-"&amp;TEXT(ROW()-4,"0000"))</f>
        <v/>
      </c>
      <c r="B171" s="78" t="n"/>
      <c r="C171" s="78" t="n"/>
      <c r="D171" s="81" t="n"/>
      <c r="E171" s="81" t="n"/>
      <c r="F171" s="78" t="n"/>
      <c r="G171" s="67">
        <f>IF($F171="","",IFERROR(INDEX(Employee_Master!$C$5:$C$204,MATCH($F171,Employee_Master!$B$5:$B$204,0)),""))</f>
        <v/>
      </c>
      <c r="H171" s="78" t="n"/>
      <c r="I171" s="78" t="n"/>
      <c r="J171" s="67">
        <f>IF($I171="","",IFERROR(INDEX(Action_Status_Map!$B$5:$B$11,MATCH($I171,Action_Status_Map!$A$5:$A$11,0)),""))</f>
        <v/>
      </c>
      <c r="K171" s="82" t="n"/>
      <c r="L171" s="82" t="n"/>
      <c r="M171" s="82" t="n"/>
      <c r="N171" s="83" t="n"/>
      <c r="O171" s="83" t="n"/>
      <c r="P171" s="66">
        <f>IF(OR($N171="",$O171=""),"",$O171-$N171)</f>
        <v/>
      </c>
      <c r="Q171" s="84">
        <f>IF($K171="","",IF($M171&lt;&gt;"",$M171-$K171,TODAY()-$K171))</f>
        <v/>
      </c>
      <c r="R171" s="85">
        <f>IF(OR($L171="",$I171="Completed",$I171="Cancelled"),"",IF(AND($L171&lt;TODAY(),$I171&lt;&gt;"Completed",$I171&lt;&gt;"Cancelled"),"Overdue","On Track"))</f>
        <v/>
      </c>
      <c r="S171" s="65">
        <f>IF($L171="","",TEXT($L171,"yyyy-mm"))</f>
        <v/>
      </c>
      <c r="T171" s="86">
        <f>IF($I171="","",IFERROR(INDEX(Action_Status_Map!$C$5:$C$11,MATCH($I171,Action_Status_Map!$A$5:$A$11,0)),""))</f>
        <v/>
      </c>
      <c r="U171" s="81" t="n"/>
      <c r="V171" s="82" t="n"/>
      <c r="W171" s="65">
        <f>IF(OR($I171&lt;&gt;"Completed",$M171="",$L171=""),"",IF($M171&lt;=$L171,"Yes","No"))</f>
        <v/>
      </c>
      <c r="X171" s="84">
        <f>IF($A171="","",COUNTIF(Task_Steps!$B$5:$B$2004,$A171))</f>
        <v/>
      </c>
      <c r="Y171" s="86">
        <f>IF($X171=0,"",COUNTIFS(Task_Steps!$B$5:$B$2004,$A171,Task_Steps!$H$5:$H$2004,"Completed")/$X171)</f>
        <v/>
      </c>
      <c r="Z171" s="81" t="n"/>
      <c r="AA171" s="81" t="n"/>
      <c r="AB171" s="67">
        <f>IF($F171="","",IFERROR(INDEX(Employee_Master!$E$5:$E$204,MATCH($F171,Employee_Master!$B$5:$B$204,0)),""))</f>
        <v/>
      </c>
      <c r="AC171" s="65">
        <f>IF(OR($A171="",$AB171=""),"",IF(OR($I171="Completed",$I171="Cancelled"),"Closed - in Manager Report","Active - in Manager Report"))</f>
        <v/>
      </c>
      <c r="AD171" s="81">
        <f>IF($A171="","",IFERROR(TEXTJOIN(", ",TRUE,FILTER(Task_Steps!$A$5:$A$2004,Task_Steps!$B$5:$B$2004=$A171)),""))</f>
        <v/>
      </c>
      <c r="AE171" s="84">
        <f>IF($A171="","",COUNTIFS(Task_Steps!$B$5:$B$2004,$A171,Task_Steps!$H$5:$H$2004,"&lt;&gt;Completed",Task_Steps!$H$5:$H$2004,"&lt;&gt;Cancelled"))</f>
        <v/>
      </c>
      <c r="AF171" s="81">
        <f>IF(OR($B171="",$A171=""),"",$B171&amp;" | "&amp;$A171)</f>
        <v/>
      </c>
    </row>
    <row r="172" ht="15" customHeight="1" s="40">
      <c r="A172" s="65">
        <f>IF(COUNTA(B172:F172)=0,"","TSK-"&amp;TEXT(ROW()-4,"0000"))</f>
        <v/>
      </c>
      <c r="B172" s="78" t="n"/>
      <c r="C172" s="78" t="n"/>
      <c r="D172" s="81" t="n"/>
      <c r="E172" s="81" t="n"/>
      <c r="F172" s="78" t="n"/>
      <c r="G172" s="67">
        <f>IF($F172="","",IFERROR(INDEX(Employee_Master!$C$5:$C$204,MATCH($F172,Employee_Master!$B$5:$B$204,0)),""))</f>
        <v/>
      </c>
      <c r="H172" s="78" t="n"/>
      <c r="I172" s="78" t="n"/>
      <c r="J172" s="67">
        <f>IF($I172="","",IFERROR(INDEX(Action_Status_Map!$B$5:$B$11,MATCH($I172,Action_Status_Map!$A$5:$A$11,0)),""))</f>
        <v/>
      </c>
      <c r="K172" s="82" t="n"/>
      <c r="L172" s="82" t="n"/>
      <c r="M172" s="82" t="n"/>
      <c r="N172" s="83" t="n"/>
      <c r="O172" s="83" t="n"/>
      <c r="P172" s="66">
        <f>IF(OR($N172="",$O172=""),"",$O172-$N172)</f>
        <v/>
      </c>
      <c r="Q172" s="84">
        <f>IF($K172="","",IF($M172&lt;&gt;"",$M172-$K172,TODAY()-$K172))</f>
        <v/>
      </c>
      <c r="R172" s="85">
        <f>IF(OR($L172="",$I172="Completed",$I172="Cancelled"),"",IF(AND($L172&lt;TODAY(),$I172&lt;&gt;"Completed",$I172&lt;&gt;"Cancelled"),"Overdue","On Track"))</f>
        <v/>
      </c>
      <c r="S172" s="65">
        <f>IF($L172="","",TEXT($L172,"yyyy-mm"))</f>
        <v/>
      </c>
      <c r="T172" s="86">
        <f>IF($I172="","",IFERROR(INDEX(Action_Status_Map!$C$5:$C$11,MATCH($I172,Action_Status_Map!$A$5:$A$11,0)),""))</f>
        <v/>
      </c>
      <c r="U172" s="81" t="n"/>
      <c r="V172" s="82" t="n"/>
      <c r="W172" s="65">
        <f>IF(OR($I172&lt;&gt;"Completed",$M172="",$L172=""),"",IF($M172&lt;=$L172,"Yes","No"))</f>
        <v/>
      </c>
      <c r="X172" s="84">
        <f>IF($A172="","",COUNTIF(Task_Steps!$B$5:$B$2004,$A172))</f>
        <v/>
      </c>
      <c r="Y172" s="86">
        <f>IF($X172=0,"",COUNTIFS(Task_Steps!$B$5:$B$2004,$A172,Task_Steps!$H$5:$H$2004,"Completed")/$X172)</f>
        <v/>
      </c>
      <c r="Z172" s="81" t="n"/>
      <c r="AA172" s="81" t="n"/>
      <c r="AB172" s="67">
        <f>IF($F172="","",IFERROR(INDEX(Employee_Master!$E$5:$E$204,MATCH($F172,Employee_Master!$B$5:$B$204,0)),""))</f>
        <v/>
      </c>
      <c r="AC172" s="65">
        <f>IF(OR($A172="",$AB172=""),"",IF(OR($I172="Completed",$I172="Cancelled"),"Closed - in Manager Report","Active - in Manager Report"))</f>
        <v/>
      </c>
      <c r="AD172" s="81">
        <f>IF($A172="","",IFERROR(TEXTJOIN(", ",TRUE,FILTER(Task_Steps!$A$5:$A$2004,Task_Steps!$B$5:$B$2004=$A172)),""))</f>
        <v/>
      </c>
      <c r="AE172" s="84">
        <f>IF($A172="","",COUNTIFS(Task_Steps!$B$5:$B$2004,$A172,Task_Steps!$H$5:$H$2004,"&lt;&gt;Completed",Task_Steps!$H$5:$H$2004,"&lt;&gt;Cancelled"))</f>
        <v/>
      </c>
      <c r="AF172" s="81">
        <f>IF(OR($B172="",$A172=""),"",$B172&amp;" | "&amp;$A172)</f>
        <v/>
      </c>
    </row>
    <row r="173" ht="15" customHeight="1" s="40">
      <c r="A173" s="65">
        <f>IF(COUNTA(B173:F173)=0,"","TSK-"&amp;TEXT(ROW()-4,"0000"))</f>
        <v/>
      </c>
      <c r="B173" s="78" t="n"/>
      <c r="C173" s="78" t="n"/>
      <c r="D173" s="81" t="n"/>
      <c r="E173" s="81" t="n"/>
      <c r="F173" s="78" t="n"/>
      <c r="G173" s="67">
        <f>IF($F173="","",IFERROR(INDEX(Employee_Master!$C$5:$C$204,MATCH($F173,Employee_Master!$B$5:$B$204,0)),""))</f>
        <v/>
      </c>
      <c r="H173" s="78" t="n"/>
      <c r="I173" s="78" t="n"/>
      <c r="J173" s="67">
        <f>IF($I173="","",IFERROR(INDEX(Action_Status_Map!$B$5:$B$11,MATCH($I173,Action_Status_Map!$A$5:$A$11,0)),""))</f>
        <v/>
      </c>
      <c r="K173" s="82" t="n"/>
      <c r="L173" s="82" t="n"/>
      <c r="M173" s="82" t="n"/>
      <c r="N173" s="83" t="n"/>
      <c r="O173" s="83" t="n"/>
      <c r="P173" s="66">
        <f>IF(OR($N173="",$O173=""),"",$O173-$N173)</f>
        <v/>
      </c>
      <c r="Q173" s="84">
        <f>IF($K173="","",IF($M173&lt;&gt;"",$M173-$K173,TODAY()-$K173))</f>
        <v/>
      </c>
      <c r="R173" s="85">
        <f>IF(OR($L173="",$I173="Completed",$I173="Cancelled"),"",IF(AND($L173&lt;TODAY(),$I173&lt;&gt;"Completed",$I173&lt;&gt;"Cancelled"),"Overdue","On Track"))</f>
        <v/>
      </c>
      <c r="S173" s="65">
        <f>IF($L173="","",TEXT($L173,"yyyy-mm"))</f>
        <v/>
      </c>
      <c r="T173" s="86">
        <f>IF($I173="","",IFERROR(INDEX(Action_Status_Map!$C$5:$C$11,MATCH($I173,Action_Status_Map!$A$5:$A$11,0)),""))</f>
        <v/>
      </c>
      <c r="U173" s="81" t="n"/>
      <c r="V173" s="82" t="n"/>
      <c r="W173" s="65">
        <f>IF(OR($I173&lt;&gt;"Completed",$M173="",$L173=""),"",IF($M173&lt;=$L173,"Yes","No"))</f>
        <v/>
      </c>
      <c r="X173" s="84">
        <f>IF($A173="","",COUNTIF(Task_Steps!$B$5:$B$2004,$A173))</f>
        <v/>
      </c>
      <c r="Y173" s="86">
        <f>IF($X173=0,"",COUNTIFS(Task_Steps!$B$5:$B$2004,$A173,Task_Steps!$H$5:$H$2004,"Completed")/$X173)</f>
        <v/>
      </c>
      <c r="Z173" s="81" t="n"/>
      <c r="AA173" s="81" t="n"/>
      <c r="AB173" s="67">
        <f>IF($F173="","",IFERROR(INDEX(Employee_Master!$E$5:$E$204,MATCH($F173,Employee_Master!$B$5:$B$204,0)),""))</f>
        <v/>
      </c>
      <c r="AC173" s="65">
        <f>IF(OR($A173="",$AB173=""),"",IF(OR($I173="Completed",$I173="Cancelled"),"Closed - in Manager Report","Active - in Manager Report"))</f>
        <v/>
      </c>
      <c r="AD173" s="81">
        <f>IF($A173="","",IFERROR(TEXTJOIN(", ",TRUE,FILTER(Task_Steps!$A$5:$A$2004,Task_Steps!$B$5:$B$2004=$A173)),""))</f>
        <v/>
      </c>
      <c r="AE173" s="84">
        <f>IF($A173="","",COUNTIFS(Task_Steps!$B$5:$B$2004,$A173,Task_Steps!$H$5:$H$2004,"&lt;&gt;Completed",Task_Steps!$H$5:$H$2004,"&lt;&gt;Cancelled"))</f>
        <v/>
      </c>
      <c r="AF173" s="81">
        <f>IF(OR($B173="",$A173=""),"",$B173&amp;" | "&amp;$A173)</f>
        <v/>
      </c>
    </row>
    <row r="174" ht="15" customHeight="1" s="40">
      <c r="A174" s="65">
        <f>IF(COUNTA(B174:F174)=0,"","TSK-"&amp;TEXT(ROW()-4,"0000"))</f>
        <v/>
      </c>
      <c r="B174" s="78" t="n"/>
      <c r="C174" s="78" t="n"/>
      <c r="D174" s="81" t="n"/>
      <c r="E174" s="81" t="n"/>
      <c r="F174" s="78" t="n"/>
      <c r="G174" s="67">
        <f>IF($F174="","",IFERROR(INDEX(Employee_Master!$C$5:$C$204,MATCH($F174,Employee_Master!$B$5:$B$204,0)),""))</f>
        <v/>
      </c>
      <c r="H174" s="78" t="n"/>
      <c r="I174" s="78" t="n"/>
      <c r="J174" s="67">
        <f>IF($I174="","",IFERROR(INDEX(Action_Status_Map!$B$5:$B$11,MATCH($I174,Action_Status_Map!$A$5:$A$11,0)),""))</f>
        <v/>
      </c>
      <c r="K174" s="82" t="n"/>
      <c r="L174" s="82" t="n"/>
      <c r="M174" s="82" t="n"/>
      <c r="N174" s="83" t="n"/>
      <c r="O174" s="83" t="n"/>
      <c r="P174" s="66">
        <f>IF(OR($N174="",$O174=""),"",$O174-$N174)</f>
        <v/>
      </c>
      <c r="Q174" s="84">
        <f>IF($K174="","",IF($M174&lt;&gt;"",$M174-$K174,TODAY()-$K174))</f>
        <v/>
      </c>
      <c r="R174" s="85">
        <f>IF(OR($L174="",$I174="Completed",$I174="Cancelled"),"",IF(AND($L174&lt;TODAY(),$I174&lt;&gt;"Completed",$I174&lt;&gt;"Cancelled"),"Overdue","On Track"))</f>
        <v/>
      </c>
      <c r="S174" s="65">
        <f>IF($L174="","",TEXT($L174,"yyyy-mm"))</f>
        <v/>
      </c>
      <c r="T174" s="86">
        <f>IF($I174="","",IFERROR(INDEX(Action_Status_Map!$C$5:$C$11,MATCH($I174,Action_Status_Map!$A$5:$A$11,0)),""))</f>
        <v/>
      </c>
      <c r="U174" s="81" t="n"/>
      <c r="V174" s="82" t="n"/>
      <c r="W174" s="65">
        <f>IF(OR($I174&lt;&gt;"Completed",$M174="",$L174=""),"",IF($M174&lt;=$L174,"Yes","No"))</f>
        <v/>
      </c>
      <c r="X174" s="84">
        <f>IF($A174="","",COUNTIF(Task_Steps!$B$5:$B$2004,$A174))</f>
        <v/>
      </c>
      <c r="Y174" s="86">
        <f>IF($X174=0,"",COUNTIFS(Task_Steps!$B$5:$B$2004,$A174,Task_Steps!$H$5:$H$2004,"Completed")/$X174)</f>
        <v/>
      </c>
      <c r="Z174" s="81" t="n"/>
      <c r="AA174" s="81" t="n"/>
      <c r="AB174" s="67">
        <f>IF($F174="","",IFERROR(INDEX(Employee_Master!$E$5:$E$204,MATCH($F174,Employee_Master!$B$5:$B$204,0)),""))</f>
        <v/>
      </c>
      <c r="AC174" s="65">
        <f>IF(OR($A174="",$AB174=""),"",IF(OR($I174="Completed",$I174="Cancelled"),"Closed - in Manager Report","Active - in Manager Report"))</f>
        <v/>
      </c>
      <c r="AD174" s="81">
        <f>IF($A174="","",IFERROR(TEXTJOIN(", ",TRUE,FILTER(Task_Steps!$A$5:$A$2004,Task_Steps!$B$5:$B$2004=$A174)),""))</f>
        <v/>
      </c>
      <c r="AE174" s="84">
        <f>IF($A174="","",COUNTIFS(Task_Steps!$B$5:$B$2004,$A174,Task_Steps!$H$5:$H$2004,"&lt;&gt;Completed",Task_Steps!$H$5:$H$2004,"&lt;&gt;Cancelled"))</f>
        <v/>
      </c>
      <c r="AF174" s="81">
        <f>IF(OR($B174="",$A174=""),"",$B174&amp;" | "&amp;$A174)</f>
        <v/>
      </c>
    </row>
    <row r="175" ht="15" customHeight="1" s="40">
      <c r="A175" s="65">
        <f>IF(COUNTA(B175:F175)=0,"","TSK-"&amp;TEXT(ROW()-4,"0000"))</f>
        <v/>
      </c>
      <c r="B175" s="78" t="n"/>
      <c r="C175" s="78" t="n"/>
      <c r="D175" s="81" t="n"/>
      <c r="E175" s="81" t="n"/>
      <c r="F175" s="78" t="n"/>
      <c r="G175" s="67">
        <f>IF($F175="","",IFERROR(INDEX(Employee_Master!$C$5:$C$204,MATCH($F175,Employee_Master!$B$5:$B$204,0)),""))</f>
        <v/>
      </c>
      <c r="H175" s="78" t="n"/>
      <c r="I175" s="78" t="n"/>
      <c r="J175" s="67">
        <f>IF($I175="","",IFERROR(INDEX(Action_Status_Map!$B$5:$B$11,MATCH($I175,Action_Status_Map!$A$5:$A$11,0)),""))</f>
        <v/>
      </c>
      <c r="K175" s="82" t="n"/>
      <c r="L175" s="82" t="n"/>
      <c r="M175" s="82" t="n"/>
      <c r="N175" s="83" t="n"/>
      <c r="O175" s="83" t="n"/>
      <c r="P175" s="66">
        <f>IF(OR($N175="",$O175=""),"",$O175-$N175)</f>
        <v/>
      </c>
      <c r="Q175" s="84">
        <f>IF($K175="","",IF($M175&lt;&gt;"",$M175-$K175,TODAY()-$K175))</f>
        <v/>
      </c>
      <c r="R175" s="85">
        <f>IF(OR($L175="",$I175="Completed",$I175="Cancelled"),"",IF(AND($L175&lt;TODAY(),$I175&lt;&gt;"Completed",$I175&lt;&gt;"Cancelled"),"Overdue","On Track"))</f>
        <v/>
      </c>
      <c r="S175" s="65">
        <f>IF($L175="","",TEXT($L175,"yyyy-mm"))</f>
        <v/>
      </c>
      <c r="T175" s="86">
        <f>IF($I175="","",IFERROR(INDEX(Action_Status_Map!$C$5:$C$11,MATCH($I175,Action_Status_Map!$A$5:$A$11,0)),""))</f>
        <v/>
      </c>
      <c r="U175" s="81" t="n"/>
      <c r="V175" s="82" t="n"/>
      <c r="W175" s="65">
        <f>IF(OR($I175&lt;&gt;"Completed",$M175="",$L175=""),"",IF($M175&lt;=$L175,"Yes","No"))</f>
        <v/>
      </c>
      <c r="X175" s="84">
        <f>IF($A175="","",COUNTIF(Task_Steps!$B$5:$B$2004,$A175))</f>
        <v/>
      </c>
      <c r="Y175" s="86">
        <f>IF($X175=0,"",COUNTIFS(Task_Steps!$B$5:$B$2004,$A175,Task_Steps!$H$5:$H$2004,"Completed")/$X175)</f>
        <v/>
      </c>
      <c r="Z175" s="81" t="n"/>
      <c r="AA175" s="81" t="n"/>
      <c r="AB175" s="67">
        <f>IF($F175="","",IFERROR(INDEX(Employee_Master!$E$5:$E$204,MATCH($F175,Employee_Master!$B$5:$B$204,0)),""))</f>
        <v/>
      </c>
      <c r="AC175" s="65">
        <f>IF(OR($A175="",$AB175=""),"",IF(OR($I175="Completed",$I175="Cancelled"),"Closed - in Manager Report","Active - in Manager Report"))</f>
        <v/>
      </c>
      <c r="AD175" s="81">
        <f>IF($A175="","",IFERROR(TEXTJOIN(", ",TRUE,FILTER(Task_Steps!$A$5:$A$2004,Task_Steps!$B$5:$B$2004=$A175)),""))</f>
        <v/>
      </c>
      <c r="AE175" s="84">
        <f>IF($A175="","",COUNTIFS(Task_Steps!$B$5:$B$2004,$A175,Task_Steps!$H$5:$H$2004,"&lt;&gt;Completed",Task_Steps!$H$5:$H$2004,"&lt;&gt;Cancelled"))</f>
        <v/>
      </c>
      <c r="AF175" s="81">
        <f>IF(OR($B175="",$A175=""),"",$B175&amp;" | "&amp;$A175)</f>
        <v/>
      </c>
    </row>
    <row r="176" ht="15" customHeight="1" s="40">
      <c r="A176" s="65">
        <f>IF(COUNTA(B176:F176)=0,"","TSK-"&amp;TEXT(ROW()-4,"0000"))</f>
        <v/>
      </c>
      <c r="B176" s="78" t="n"/>
      <c r="C176" s="78" t="n"/>
      <c r="D176" s="81" t="n"/>
      <c r="E176" s="81" t="n"/>
      <c r="F176" s="78" t="n"/>
      <c r="G176" s="67">
        <f>IF($F176="","",IFERROR(INDEX(Employee_Master!$C$5:$C$204,MATCH($F176,Employee_Master!$B$5:$B$204,0)),""))</f>
        <v/>
      </c>
      <c r="H176" s="78" t="n"/>
      <c r="I176" s="78" t="n"/>
      <c r="J176" s="67">
        <f>IF($I176="","",IFERROR(INDEX(Action_Status_Map!$B$5:$B$11,MATCH($I176,Action_Status_Map!$A$5:$A$11,0)),""))</f>
        <v/>
      </c>
      <c r="K176" s="82" t="n"/>
      <c r="L176" s="82" t="n"/>
      <c r="M176" s="82" t="n"/>
      <c r="N176" s="83" t="n"/>
      <c r="O176" s="83" t="n"/>
      <c r="P176" s="66">
        <f>IF(OR($N176="",$O176=""),"",$O176-$N176)</f>
        <v/>
      </c>
      <c r="Q176" s="84">
        <f>IF($K176="","",IF($M176&lt;&gt;"",$M176-$K176,TODAY()-$K176))</f>
        <v/>
      </c>
      <c r="R176" s="85">
        <f>IF(OR($L176="",$I176="Completed",$I176="Cancelled"),"",IF(AND($L176&lt;TODAY(),$I176&lt;&gt;"Completed",$I176&lt;&gt;"Cancelled"),"Overdue","On Track"))</f>
        <v/>
      </c>
      <c r="S176" s="65">
        <f>IF($L176="","",TEXT($L176,"yyyy-mm"))</f>
        <v/>
      </c>
      <c r="T176" s="86">
        <f>IF($I176="","",IFERROR(INDEX(Action_Status_Map!$C$5:$C$11,MATCH($I176,Action_Status_Map!$A$5:$A$11,0)),""))</f>
        <v/>
      </c>
      <c r="U176" s="81" t="n"/>
      <c r="V176" s="82" t="n"/>
      <c r="W176" s="65">
        <f>IF(OR($I176&lt;&gt;"Completed",$M176="",$L176=""),"",IF($M176&lt;=$L176,"Yes","No"))</f>
        <v/>
      </c>
      <c r="X176" s="84">
        <f>IF($A176="","",COUNTIF(Task_Steps!$B$5:$B$2004,$A176))</f>
        <v/>
      </c>
      <c r="Y176" s="86">
        <f>IF($X176=0,"",COUNTIFS(Task_Steps!$B$5:$B$2004,$A176,Task_Steps!$H$5:$H$2004,"Completed")/$X176)</f>
        <v/>
      </c>
      <c r="Z176" s="81" t="n"/>
      <c r="AA176" s="81" t="n"/>
      <c r="AB176" s="67">
        <f>IF($F176="","",IFERROR(INDEX(Employee_Master!$E$5:$E$204,MATCH($F176,Employee_Master!$B$5:$B$204,0)),""))</f>
        <v/>
      </c>
      <c r="AC176" s="65">
        <f>IF(OR($A176="",$AB176=""),"",IF(OR($I176="Completed",$I176="Cancelled"),"Closed - in Manager Report","Active - in Manager Report"))</f>
        <v/>
      </c>
      <c r="AD176" s="81">
        <f>IF($A176="","",IFERROR(TEXTJOIN(", ",TRUE,FILTER(Task_Steps!$A$5:$A$2004,Task_Steps!$B$5:$B$2004=$A176)),""))</f>
        <v/>
      </c>
      <c r="AE176" s="84">
        <f>IF($A176="","",COUNTIFS(Task_Steps!$B$5:$B$2004,$A176,Task_Steps!$H$5:$H$2004,"&lt;&gt;Completed",Task_Steps!$H$5:$H$2004,"&lt;&gt;Cancelled"))</f>
        <v/>
      </c>
      <c r="AF176" s="81">
        <f>IF(OR($B176="",$A176=""),"",$B176&amp;" | "&amp;$A176)</f>
        <v/>
      </c>
    </row>
    <row r="177" ht="15" customHeight="1" s="40">
      <c r="A177" s="65">
        <f>IF(COUNTA(B177:F177)=0,"","TSK-"&amp;TEXT(ROW()-4,"0000"))</f>
        <v/>
      </c>
      <c r="B177" s="78" t="n"/>
      <c r="C177" s="78" t="n"/>
      <c r="D177" s="81" t="n"/>
      <c r="E177" s="81" t="n"/>
      <c r="F177" s="78" t="n"/>
      <c r="G177" s="67">
        <f>IF($F177="","",IFERROR(INDEX(Employee_Master!$C$5:$C$204,MATCH($F177,Employee_Master!$B$5:$B$204,0)),""))</f>
        <v/>
      </c>
      <c r="H177" s="78" t="n"/>
      <c r="I177" s="78" t="n"/>
      <c r="J177" s="67">
        <f>IF($I177="","",IFERROR(INDEX(Action_Status_Map!$B$5:$B$11,MATCH($I177,Action_Status_Map!$A$5:$A$11,0)),""))</f>
        <v/>
      </c>
      <c r="K177" s="82" t="n"/>
      <c r="L177" s="82" t="n"/>
      <c r="M177" s="82" t="n"/>
      <c r="N177" s="83" t="n"/>
      <c r="O177" s="83" t="n"/>
      <c r="P177" s="66">
        <f>IF(OR($N177="",$O177=""),"",$O177-$N177)</f>
        <v/>
      </c>
      <c r="Q177" s="84">
        <f>IF($K177="","",IF($M177&lt;&gt;"",$M177-$K177,TODAY()-$K177))</f>
        <v/>
      </c>
      <c r="R177" s="85">
        <f>IF(OR($L177="",$I177="Completed",$I177="Cancelled"),"",IF(AND($L177&lt;TODAY(),$I177&lt;&gt;"Completed",$I177&lt;&gt;"Cancelled"),"Overdue","On Track"))</f>
        <v/>
      </c>
      <c r="S177" s="65">
        <f>IF($L177="","",TEXT($L177,"yyyy-mm"))</f>
        <v/>
      </c>
      <c r="T177" s="86">
        <f>IF($I177="","",IFERROR(INDEX(Action_Status_Map!$C$5:$C$11,MATCH($I177,Action_Status_Map!$A$5:$A$11,0)),""))</f>
        <v/>
      </c>
      <c r="U177" s="81" t="n"/>
      <c r="V177" s="82" t="n"/>
      <c r="W177" s="65">
        <f>IF(OR($I177&lt;&gt;"Completed",$M177="",$L177=""),"",IF($M177&lt;=$L177,"Yes","No"))</f>
        <v/>
      </c>
      <c r="X177" s="84">
        <f>IF($A177="","",COUNTIF(Task_Steps!$B$5:$B$2004,$A177))</f>
        <v/>
      </c>
      <c r="Y177" s="86">
        <f>IF($X177=0,"",COUNTIFS(Task_Steps!$B$5:$B$2004,$A177,Task_Steps!$H$5:$H$2004,"Completed")/$X177)</f>
        <v/>
      </c>
      <c r="Z177" s="81" t="n"/>
      <c r="AA177" s="81" t="n"/>
      <c r="AB177" s="67">
        <f>IF($F177="","",IFERROR(INDEX(Employee_Master!$E$5:$E$204,MATCH($F177,Employee_Master!$B$5:$B$204,0)),""))</f>
        <v/>
      </c>
      <c r="AC177" s="65">
        <f>IF(OR($A177="",$AB177=""),"",IF(OR($I177="Completed",$I177="Cancelled"),"Closed - in Manager Report","Active - in Manager Report"))</f>
        <v/>
      </c>
      <c r="AD177" s="81">
        <f>IF($A177="","",IFERROR(TEXTJOIN(", ",TRUE,FILTER(Task_Steps!$A$5:$A$2004,Task_Steps!$B$5:$B$2004=$A177)),""))</f>
        <v/>
      </c>
      <c r="AE177" s="84">
        <f>IF($A177="","",COUNTIFS(Task_Steps!$B$5:$B$2004,$A177,Task_Steps!$H$5:$H$2004,"&lt;&gt;Completed",Task_Steps!$H$5:$H$2004,"&lt;&gt;Cancelled"))</f>
        <v/>
      </c>
      <c r="AF177" s="81">
        <f>IF(OR($B177="",$A177=""),"",$B177&amp;" | "&amp;$A177)</f>
        <v/>
      </c>
    </row>
    <row r="178" ht="15" customHeight="1" s="40">
      <c r="A178" s="65">
        <f>IF(COUNTA(B178:F178)=0,"","TSK-"&amp;TEXT(ROW()-4,"0000"))</f>
        <v/>
      </c>
      <c r="B178" s="78" t="n"/>
      <c r="C178" s="78" t="n"/>
      <c r="D178" s="81" t="n"/>
      <c r="E178" s="81" t="n"/>
      <c r="F178" s="78" t="n"/>
      <c r="G178" s="67">
        <f>IF($F178="","",IFERROR(INDEX(Employee_Master!$C$5:$C$204,MATCH($F178,Employee_Master!$B$5:$B$204,0)),""))</f>
        <v/>
      </c>
      <c r="H178" s="78" t="n"/>
      <c r="I178" s="78" t="n"/>
      <c r="J178" s="67">
        <f>IF($I178="","",IFERROR(INDEX(Action_Status_Map!$B$5:$B$11,MATCH($I178,Action_Status_Map!$A$5:$A$11,0)),""))</f>
        <v/>
      </c>
      <c r="K178" s="82" t="n"/>
      <c r="L178" s="82" t="n"/>
      <c r="M178" s="82" t="n"/>
      <c r="N178" s="83" t="n"/>
      <c r="O178" s="83" t="n"/>
      <c r="P178" s="66">
        <f>IF(OR($N178="",$O178=""),"",$O178-$N178)</f>
        <v/>
      </c>
      <c r="Q178" s="84">
        <f>IF($K178="","",IF($M178&lt;&gt;"",$M178-$K178,TODAY()-$K178))</f>
        <v/>
      </c>
      <c r="R178" s="85">
        <f>IF(OR($L178="",$I178="Completed",$I178="Cancelled"),"",IF(AND($L178&lt;TODAY(),$I178&lt;&gt;"Completed",$I178&lt;&gt;"Cancelled"),"Overdue","On Track"))</f>
        <v/>
      </c>
      <c r="S178" s="65">
        <f>IF($L178="","",TEXT($L178,"yyyy-mm"))</f>
        <v/>
      </c>
      <c r="T178" s="86">
        <f>IF($I178="","",IFERROR(INDEX(Action_Status_Map!$C$5:$C$11,MATCH($I178,Action_Status_Map!$A$5:$A$11,0)),""))</f>
        <v/>
      </c>
      <c r="U178" s="81" t="n"/>
      <c r="V178" s="82" t="n"/>
      <c r="W178" s="65">
        <f>IF(OR($I178&lt;&gt;"Completed",$M178="",$L178=""),"",IF($M178&lt;=$L178,"Yes","No"))</f>
        <v/>
      </c>
      <c r="X178" s="84">
        <f>IF($A178="","",COUNTIF(Task_Steps!$B$5:$B$2004,$A178))</f>
        <v/>
      </c>
      <c r="Y178" s="86">
        <f>IF($X178=0,"",COUNTIFS(Task_Steps!$B$5:$B$2004,$A178,Task_Steps!$H$5:$H$2004,"Completed")/$X178)</f>
        <v/>
      </c>
      <c r="Z178" s="81" t="n"/>
      <c r="AA178" s="81" t="n"/>
      <c r="AB178" s="67">
        <f>IF($F178="","",IFERROR(INDEX(Employee_Master!$E$5:$E$204,MATCH($F178,Employee_Master!$B$5:$B$204,0)),""))</f>
        <v/>
      </c>
      <c r="AC178" s="65">
        <f>IF(OR($A178="",$AB178=""),"",IF(OR($I178="Completed",$I178="Cancelled"),"Closed - in Manager Report","Active - in Manager Report"))</f>
        <v/>
      </c>
      <c r="AD178" s="81">
        <f>IF($A178="","",IFERROR(TEXTJOIN(", ",TRUE,FILTER(Task_Steps!$A$5:$A$2004,Task_Steps!$B$5:$B$2004=$A178)),""))</f>
        <v/>
      </c>
      <c r="AE178" s="84">
        <f>IF($A178="","",COUNTIFS(Task_Steps!$B$5:$B$2004,$A178,Task_Steps!$H$5:$H$2004,"&lt;&gt;Completed",Task_Steps!$H$5:$H$2004,"&lt;&gt;Cancelled"))</f>
        <v/>
      </c>
      <c r="AF178" s="81">
        <f>IF(OR($B178="",$A178=""),"",$B178&amp;" | "&amp;$A178)</f>
        <v/>
      </c>
    </row>
    <row r="179" ht="15" customHeight="1" s="40">
      <c r="A179" s="65">
        <f>IF(COUNTA(B179:F179)=0,"","TSK-"&amp;TEXT(ROW()-4,"0000"))</f>
        <v/>
      </c>
      <c r="B179" s="78" t="n"/>
      <c r="C179" s="78" t="n"/>
      <c r="D179" s="81" t="n"/>
      <c r="E179" s="81" t="n"/>
      <c r="F179" s="78" t="n"/>
      <c r="G179" s="67">
        <f>IF($F179="","",IFERROR(INDEX(Employee_Master!$C$5:$C$204,MATCH($F179,Employee_Master!$B$5:$B$204,0)),""))</f>
        <v/>
      </c>
      <c r="H179" s="78" t="n"/>
      <c r="I179" s="78" t="n"/>
      <c r="J179" s="67">
        <f>IF($I179="","",IFERROR(INDEX(Action_Status_Map!$B$5:$B$11,MATCH($I179,Action_Status_Map!$A$5:$A$11,0)),""))</f>
        <v/>
      </c>
      <c r="K179" s="82" t="n"/>
      <c r="L179" s="82" t="n"/>
      <c r="M179" s="82" t="n"/>
      <c r="N179" s="83" t="n"/>
      <c r="O179" s="83" t="n"/>
      <c r="P179" s="66">
        <f>IF(OR($N179="",$O179=""),"",$O179-$N179)</f>
        <v/>
      </c>
      <c r="Q179" s="84">
        <f>IF($K179="","",IF($M179&lt;&gt;"",$M179-$K179,TODAY()-$K179))</f>
        <v/>
      </c>
      <c r="R179" s="85">
        <f>IF(OR($L179="",$I179="Completed",$I179="Cancelled"),"",IF(AND($L179&lt;TODAY(),$I179&lt;&gt;"Completed",$I179&lt;&gt;"Cancelled"),"Overdue","On Track"))</f>
        <v/>
      </c>
      <c r="S179" s="65">
        <f>IF($L179="","",TEXT($L179,"yyyy-mm"))</f>
        <v/>
      </c>
      <c r="T179" s="86">
        <f>IF($I179="","",IFERROR(INDEX(Action_Status_Map!$C$5:$C$11,MATCH($I179,Action_Status_Map!$A$5:$A$11,0)),""))</f>
        <v/>
      </c>
      <c r="U179" s="81" t="n"/>
      <c r="V179" s="82" t="n"/>
      <c r="W179" s="65">
        <f>IF(OR($I179&lt;&gt;"Completed",$M179="",$L179=""),"",IF($M179&lt;=$L179,"Yes","No"))</f>
        <v/>
      </c>
      <c r="X179" s="84">
        <f>IF($A179="","",COUNTIF(Task_Steps!$B$5:$B$2004,$A179))</f>
        <v/>
      </c>
      <c r="Y179" s="86">
        <f>IF($X179=0,"",COUNTIFS(Task_Steps!$B$5:$B$2004,$A179,Task_Steps!$H$5:$H$2004,"Completed")/$X179)</f>
        <v/>
      </c>
      <c r="Z179" s="81" t="n"/>
      <c r="AA179" s="81" t="n"/>
      <c r="AB179" s="67">
        <f>IF($F179="","",IFERROR(INDEX(Employee_Master!$E$5:$E$204,MATCH($F179,Employee_Master!$B$5:$B$204,0)),""))</f>
        <v/>
      </c>
      <c r="AC179" s="65">
        <f>IF(OR($A179="",$AB179=""),"",IF(OR($I179="Completed",$I179="Cancelled"),"Closed - in Manager Report","Active - in Manager Report"))</f>
        <v/>
      </c>
      <c r="AD179" s="81">
        <f>IF($A179="","",IFERROR(TEXTJOIN(", ",TRUE,FILTER(Task_Steps!$A$5:$A$2004,Task_Steps!$B$5:$B$2004=$A179)),""))</f>
        <v/>
      </c>
      <c r="AE179" s="84">
        <f>IF($A179="","",COUNTIFS(Task_Steps!$B$5:$B$2004,$A179,Task_Steps!$H$5:$H$2004,"&lt;&gt;Completed",Task_Steps!$H$5:$H$2004,"&lt;&gt;Cancelled"))</f>
        <v/>
      </c>
      <c r="AF179" s="81">
        <f>IF(OR($B179="",$A179=""),"",$B179&amp;" | "&amp;$A179)</f>
        <v/>
      </c>
    </row>
    <row r="180" ht="15" customHeight="1" s="40">
      <c r="A180" s="65">
        <f>IF(COUNTA(B180:F180)=0,"","TSK-"&amp;TEXT(ROW()-4,"0000"))</f>
        <v/>
      </c>
      <c r="B180" s="78" t="n"/>
      <c r="C180" s="78" t="n"/>
      <c r="D180" s="81" t="n"/>
      <c r="E180" s="81" t="n"/>
      <c r="F180" s="78" t="n"/>
      <c r="G180" s="67">
        <f>IF($F180="","",IFERROR(INDEX(Employee_Master!$C$5:$C$204,MATCH($F180,Employee_Master!$B$5:$B$204,0)),""))</f>
        <v/>
      </c>
      <c r="H180" s="78" t="n"/>
      <c r="I180" s="78" t="n"/>
      <c r="J180" s="67">
        <f>IF($I180="","",IFERROR(INDEX(Action_Status_Map!$B$5:$B$11,MATCH($I180,Action_Status_Map!$A$5:$A$11,0)),""))</f>
        <v/>
      </c>
      <c r="K180" s="82" t="n"/>
      <c r="L180" s="82" t="n"/>
      <c r="M180" s="82" t="n"/>
      <c r="N180" s="83" t="n"/>
      <c r="O180" s="83" t="n"/>
      <c r="P180" s="66">
        <f>IF(OR($N180="",$O180=""),"",$O180-$N180)</f>
        <v/>
      </c>
      <c r="Q180" s="84">
        <f>IF($K180="","",IF($M180&lt;&gt;"",$M180-$K180,TODAY()-$K180))</f>
        <v/>
      </c>
      <c r="R180" s="85">
        <f>IF(OR($L180="",$I180="Completed",$I180="Cancelled"),"",IF(AND($L180&lt;TODAY(),$I180&lt;&gt;"Completed",$I180&lt;&gt;"Cancelled"),"Overdue","On Track"))</f>
        <v/>
      </c>
      <c r="S180" s="65">
        <f>IF($L180="","",TEXT($L180,"yyyy-mm"))</f>
        <v/>
      </c>
      <c r="T180" s="86">
        <f>IF($I180="","",IFERROR(INDEX(Action_Status_Map!$C$5:$C$11,MATCH($I180,Action_Status_Map!$A$5:$A$11,0)),""))</f>
        <v/>
      </c>
      <c r="U180" s="81" t="n"/>
      <c r="V180" s="82" t="n"/>
      <c r="W180" s="65">
        <f>IF(OR($I180&lt;&gt;"Completed",$M180="",$L180=""),"",IF($M180&lt;=$L180,"Yes","No"))</f>
        <v/>
      </c>
      <c r="X180" s="84">
        <f>IF($A180="","",COUNTIF(Task_Steps!$B$5:$B$2004,$A180))</f>
        <v/>
      </c>
      <c r="Y180" s="86">
        <f>IF($X180=0,"",COUNTIFS(Task_Steps!$B$5:$B$2004,$A180,Task_Steps!$H$5:$H$2004,"Completed")/$X180)</f>
        <v/>
      </c>
      <c r="Z180" s="81" t="n"/>
      <c r="AA180" s="81" t="n"/>
      <c r="AB180" s="67">
        <f>IF($F180="","",IFERROR(INDEX(Employee_Master!$E$5:$E$204,MATCH($F180,Employee_Master!$B$5:$B$204,0)),""))</f>
        <v/>
      </c>
      <c r="AC180" s="65">
        <f>IF(OR($A180="",$AB180=""),"",IF(OR($I180="Completed",$I180="Cancelled"),"Closed - in Manager Report","Active - in Manager Report"))</f>
        <v/>
      </c>
      <c r="AD180" s="81">
        <f>IF($A180="","",IFERROR(TEXTJOIN(", ",TRUE,FILTER(Task_Steps!$A$5:$A$2004,Task_Steps!$B$5:$B$2004=$A180)),""))</f>
        <v/>
      </c>
      <c r="AE180" s="84">
        <f>IF($A180="","",COUNTIFS(Task_Steps!$B$5:$B$2004,$A180,Task_Steps!$H$5:$H$2004,"&lt;&gt;Completed",Task_Steps!$H$5:$H$2004,"&lt;&gt;Cancelled"))</f>
        <v/>
      </c>
      <c r="AF180" s="81">
        <f>IF(OR($B180="",$A180=""),"",$B180&amp;" | "&amp;$A180)</f>
        <v/>
      </c>
    </row>
    <row r="181" ht="15" customHeight="1" s="40">
      <c r="A181" s="65">
        <f>IF(COUNTA(B181:F181)=0,"","TSK-"&amp;TEXT(ROW()-4,"0000"))</f>
        <v/>
      </c>
      <c r="B181" s="78" t="n"/>
      <c r="C181" s="78" t="n"/>
      <c r="D181" s="81" t="n"/>
      <c r="E181" s="81" t="n"/>
      <c r="F181" s="78" t="n"/>
      <c r="G181" s="67">
        <f>IF($F181="","",IFERROR(INDEX(Employee_Master!$C$5:$C$204,MATCH($F181,Employee_Master!$B$5:$B$204,0)),""))</f>
        <v/>
      </c>
      <c r="H181" s="78" t="n"/>
      <c r="I181" s="78" t="n"/>
      <c r="J181" s="67">
        <f>IF($I181="","",IFERROR(INDEX(Action_Status_Map!$B$5:$B$11,MATCH($I181,Action_Status_Map!$A$5:$A$11,0)),""))</f>
        <v/>
      </c>
      <c r="K181" s="82" t="n"/>
      <c r="L181" s="82" t="n"/>
      <c r="M181" s="82" t="n"/>
      <c r="N181" s="83" t="n"/>
      <c r="O181" s="83" t="n"/>
      <c r="P181" s="66">
        <f>IF(OR($N181="",$O181=""),"",$O181-$N181)</f>
        <v/>
      </c>
      <c r="Q181" s="84">
        <f>IF($K181="","",IF($M181&lt;&gt;"",$M181-$K181,TODAY()-$K181))</f>
        <v/>
      </c>
      <c r="R181" s="85">
        <f>IF(OR($L181="",$I181="Completed",$I181="Cancelled"),"",IF(AND($L181&lt;TODAY(),$I181&lt;&gt;"Completed",$I181&lt;&gt;"Cancelled"),"Overdue","On Track"))</f>
        <v/>
      </c>
      <c r="S181" s="65">
        <f>IF($L181="","",TEXT($L181,"yyyy-mm"))</f>
        <v/>
      </c>
      <c r="T181" s="86">
        <f>IF($I181="","",IFERROR(INDEX(Action_Status_Map!$C$5:$C$11,MATCH($I181,Action_Status_Map!$A$5:$A$11,0)),""))</f>
        <v/>
      </c>
      <c r="U181" s="81" t="n"/>
      <c r="V181" s="82" t="n"/>
      <c r="W181" s="65">
        <f>IF(OR($I181&lt;&gt;"Completed",$M181="",$L181=""),"",IF($M181&lt;=$L181,"Yes","No"))</f>
        <v/>
      </c>
      <c r="X181" s="84">
        <f>IF($A181="","",COUNTIF(Task_Steps!$B$5:$B$2004,$A181))</f>
        <v/>
      </c>
      <c r="Y181" s="86">
        <f>IF($X181=0,"",COUNTIFS(Task_Steps!$B$5:$B$2004,$A181,Task_Steps!$H$5:$H$2004,"Completed")/$X181)</f>
        <v/>
      </c>
      <c r="Z181" s="81" t="n"/>
      <c r="AA181" s="81" t="n"/>
      <c r="AB181" s="67">
        <f>IF($F181="","",IFERROR(INDEX(Employee_Master!$E$5:$E$204,MATCH($F181,Employee_Master!$B$5:$B$204,0)),""))</f>
        <v/>
      </c>
      <c r="AC181" s="65">
        <f>IF(OR($A181="",$AB181=""),"",IF(OR($I181="Completed",$I181="Cancelled"),"Closed - in Manager Report","Active - in Manager Report"))</f>
        <v/>
      </c>
      <c r="AD181" s="81">
        <f>IF($A181="","",IFERROR(TEXTJOIN(", ",TRUE,FILTER(Task_Steps!$A$5:$A$2004,Task_Steps!$B$5:$B$2004=$A181)),""))</f>
        <v/>
      </c>
      <c r="AE181" s="84">
        <f>IF($A181="","",COUNTIFS(Task_Steps!$B$5:$B$2004,$A181,Task_Steps!$H$5:$H$2004,"&lt;&gt;Completed",Task_Steps!$H$5:$H$2004,"&lt;&gt;Cancelled"))</f>
        <v/>
      </c>
      <c r="AF181" s="81">
        <f>IF(OR($B181="",$A181=""),"",$B181&amp;" | "&amp;$A181)</f>
        <v/>
      </c>
    </row>
    <row r="182" ht="15" customHeight="1" s="40">
      <c r="A182" s="65">
        <f>IF(COUNTA(B182:F182)=0,"","TSK-"&amp;TEXT(ROW()-4,"0000"))</f>
        <v/>
      </c>
      <c r="B182" s="78" t="n"/>
      <c r="C182" s="78" t="n"/>
      <c r="D182" s="81" t="n"/>
      <c r="E182" s="81" t="n"/>
      <c r="F182" s="78" t="n"/>
      <c r="G182" s="67">
        <f>IF($F182="","",IFERROR(INDEX(Employee_Master!$C$5:$C$204,MATCH($F182,Employee_Master!$B$5:$B$204,0)),""))</f>
        <v/>
      </c>
      <c r="H182" s="78" t="n"/>
      <c r="I182" s="78" t="n"/>
      <c r="J182" s="67">
        <f>IF($I182="","",IFERROR(INDEX(Action_Status_Map!$B$5:$B$11,MATCH($I182,Action_Status_Map!$A$5:$A$11,0)),""))</f>
        <v/>
      </c>
      <c r="K182" s="82" t="n"/>
      <c r="L182" s="82" t="n"/>
      <c r="M182" s="82" t="n"/>
      <c r="N182" s="83" t="n"/>
      <c r="O182" s="83" t="n"/>
      <c r="P182" s="66">
        <f>IF(OR($N182="",$O182=""),"",$O182-$N182)</f>
        <v/>
      </c>
      <c r="Q182" s="84">
        <f>IF($K182="","",IF($M182&lt;&gt;"",$M182-$K182,TODAY()-$K182))</f>
        <v/>
      </c>
      <c r="R182" s="85">
        <f>IF(OR($L182="",$I182="Completed",$I182="Cancelled"),"",IF(AND($L182&lt;TODAY(),$I182&lt;&gt;"Completed",$I182&lt;&gt;"Cancelled"),"Overdue","On Track"))</f>
        <v/>
      </c>
      <c r="S182" s="65">
        <f>IF($L182="","",TEXT($L182,"yyyy-mm"))</f>
        <v/>
      </c>
      <c r="T182" s="86">
        <f>IF($I182="","",IFERROR(INDEX(Action_Status_Map!$C$5:$C$11,MATCH($I182,Action_Status_Map!$A$5:$A$11,0)),""))</f>
        <v/>
      </c>
      <c r="U182" s="81" t="n"/>
      <c r="V182" s="82" t="n"/>
      <c r="W182" s="65">
        <f>IF(OR($I182&lt;&gt;"Completed",$M182="",$L182=""),"",IF($M182&lt;=$L182,"Yes","No"))</f>
        <v/>
      </c>
      <c r="X182" s="84">
        <f>IF($A182="","",COUNTIF(Task_Steps!$B$5:$B$2004,$A182))</f>
        <v/>
      </c>
      <c r="Y182" s="86">
        <f>IF($X182=0,"",COUNTIFS(Task_Steps!$B$5:$B$2004,$A182,Task_Steps!$H$5:$H$2004,"Completed")/$X182)</f>
        <v/>
      </c>
      <c r="Z182" s="81" t="n"/>
      <c r="AA182" s="81" t="n"/>
      <c r="AB182" s="67">
        <f>IF($F182="","",IFERROR(INDEX(Employee_Master!$E$5:$E$204,MATCH($F182,Employee_Master!$B$5:$B$204,0)),""))</f>
        <v/>
      </c>
      <c r="AC182" s="65">
        <f>IF(OR($A182="",$AB182=""),"",IF(OR($I182="Completed",$I182="Cancelled"),"Closed - in Manager Report","Active - in Manager Report"))</f>
        <v/>
      </c>
      <c r="AD182" s="81">
        <f>IF($A182="","",IFERROR(TEXTJOIN(", ",TRUE,FILTER(Task_Steps!$A$5:$A$2004,Task_Steps!$B$5:$B$2004=$A182)),""))</f>
        <v/>
      </c>
      <c r="AE182" s="84">
        <f>IF($A182="","",COUNTIFS(Task_Steps!$B$5:$B$2004,$A182,Task_Steps!$H$5:$H$2004,"&lt;&gt;Completed",Task_Steps!$H$5:$H$2004,"&lt;&gt;Cancelled"))</f>
        <v/>
      </c>
      <c r="AF182" s="81">
        <f>IF(OR($B182="",$A182=""),"",$B182&amp;" | "&amp;$A182)</f>
        <v/>
      </c>
    </row>
    <row r="183" ht="15" customHeight="1" s="40">
      <c r="A183" s="65">
        <f>IF(COUNTA(B183:F183)=0,"","TSK-"&amp;TEXT(ROW()-4,"0000"))</f>
        <v/>
      </c>
      <c r="B183" s="78" t="n"/>
      <c r="C183" s="78" t="n"/>
      <c r="D183" s="81" t="n"/>
      <c r="E183" s="81" t="n"/>
      <c r="F183" s="78" t="n"/>
      <c r="G183" s="67">
        <f>IF($F183="","",IFERROR(INDEX(Employee_Master!$C$5:$C$204,MATCH($F183,Employee_Master!$B$5:$B$204,0)),""))</f>
        <v/>
      </c>
      <c r="H183" s="78" t="n"/>
      <c r="I183" s="78" t="n"/>
      <c r="J183" s="67">
        <f>IF($I183="","",IFERROR(INDEX(Action_Status_Map!$B$5:$B$11,MATCH($I183,Action_Status_Map!$A$5:$A$11,0)),""))</f>
        <v/>
      </c>
      <c r="K183" s="82" t="n"/>
      <c r="L183" s="82" t="n"/>
      <c r="M183" s="82" t="n"/>
      <c r="N183" s="83" t="n"/>
      <c r="O183" s="83" t="n"/>
      <c r="P183" s="66">
        <f>IF(OR($N183="",$O183=""),"",$O183-$N183)</f>
        <v/>
      </c>
      <c r="Q183" s="84">
        <f>IF($K183="","",IF($M183&lt;&gt;"",$M183-$K183,TODAY()-$K183))</f>
        <v/>
      </c>
      <c r="R183" s="85">
        <f>IF(OR($L183="",$I183="Completed",$I183="Cancelled"),"",IF(AND($L183&lt;TODAY(),$I183&lt;&gt;"Completed",$I183&lt;&gt;"Cancelled"),"Overdue","On Track"))</f>
        <v/>
      </c>
      <c r="S183" s="65">
        <f>IF($L183="","",TEXT($L183,"yyyy-mm"))</f>
        <v/>
      </c>
      <c r="T183" s="86">
        <f>IF($I183="","",IFERROR(INDEX(Action_Status_Map!$C$5:$C$11,MATCH($I183,Action_Status_Map!$A$5:$A$11,0)),""))</f>
        <v/>
      </c>
      <c r="U183" s="81" t="n"/>
      <c r="V183" s="82" t="n"/>
      <c r="W183" s="65">
        <f>IF(OR($I183&lt;&gt;"Completed",$M183="",$L183=""),"",IF($M183&lt;=$L183,"Yes","No"))</f>
        <v/>
      </c>
      <c r="X183" s="84">
        <f>IF($A183="","",COUNTIF(Task_Steps!$B$5:$B$2004,$A183))</f>
        <v/>
      </c>
      <c r="Y183" s="86">
        <f>IF($X183=0,"",COUNTIFS(Task_Steps!$B$5:$B$2004,$A183,Task_Steps!$H$5:$H$2004,"Completed")/$X183)</f>
        <v/>
      </c>
      <c r="Z183" s="81" t="n"/>
      <c r="AA183" s="81" t="n"/>
      <c r="AB183" s="67">
        <f>IF($F183="","",IFERROR(INDEX(Employee_Master!$E$5:$E$204,MATCH($F183,Employee_Master!$B$5:$B$204,0)),""))</f>
        <v/>
      </c>
      <c r="AC183" s="65">
        <f>IF(OR($A183="",$AB183=""),"",IF(OR($I183="Completed",$I183="Cancelled"),"Closed - in Manager Report","Active - in Manager Report"))</f>
        <v/>
      </c>
      <c r="AD183" s="81">
        <f>IF($A183="","",IFERROR(TEXTJOIN(", ",TRUE,FILTER(Task_Steps!$A$5:$A$2004,Task_Steps!$B$5:$B$2004=$A183)),""))</f>
        <v/>
      </c>
      <c r="AE183" s="84">
        <f>IF($A183="","",COUNTIFS(Task_Steps!$B$5:$B$2004,$A183,Task_Steps!$H$5:$H$2004,"&lt;&gt;Completed",Task_Steps!$H$5:$H$2004,"&lt;&gt;Cancelled"))</f>
        <v/>
      </c>
      <c r="AF183" s="81">
        <f>IF(OR($B183="",$A183=""),"",$B183&amp;" | "&amp;$A183)</f>
        <v/>
      </c>
    </row>
    <row r="184" ht="15" customHeight="1" s="40">
      <c r="A184" s="65">
        <f>IF(COUNTA(B184:F184)=0,"","TSK-"&amp;TEXT(ROW()-4,"0000"))</f>
        <v/>
      </c>
      <c r="B184" s="78" t="n"/>
      <c r="C184" s="78" t="n"/>
      <c r="D184" s="81" t="n"/>
      <c r="E184" s="81" t="n"/>
      <c r="F184" s="78" t="n"/>
      <c r="G184" s="67">
        <f>IF($F184="","",IFERROR(INDEX(Employee_Master!$C$5:$C$204,MATCH($F184,Employee_Master!$B$5:$B$204,0)),""))</f>
        <v/>
      </c>
      <c r="H184" s="78" t="n"/>
      <c r="I184" s="78" t="n"/>
      <c r="J184" s="67">
        <f>IF($I184="","",IFERROR(INDEX(Action_Status_Map!$B$5:$B$11,MATCH($I184,Action_Status_Map!$A$5:$A$11,0)),""))</f>
        <v/>
      </c>
      <c r="K184" s="82" t="n"/>
      <c r="L184" s="82" t="n"/>
      <c r="M184" s="82" t="n"/>
      <c r="N184" s="83" t="n"/>
      <c r="O184" s="83" t="n"/>
      <c r="P184" s="66">
        <f>IF(OR($N184="",$O184=""),"",$O184-$N184)</f>
        <v/>
      </c>
      <c r="Q184" s="84">
        <f>IF($K184="","",IF($M184&lt;&gt;"",$M184-$K184,TODAY()-$K184))</f>
        <v/>
      </c>
      <c r="R184" s="85">
        <f>IF(OR($L184="",$I184="Completed",$I184="Cancelled"),"",IF(AND($L184&lt;TODAY(),$I184&lt;&gt;"Completed",$I184&lt;&gt;"Cancelled"),"Overdue","On Track"))</f>
        <v/>
      </c>
      <c r="S184" s="65">
        <f>IF($L184="","",TEXT($L184,"yyyy-mm"))</f>
        <v/>
      </c>
      <c r="T184" s="86">
        <f>IF($I184="","",IFERROR(INDEX(Action_Status_Map!$C$5:$C$11,MATCH($I184,Action_Status_Map!$A$5:$A$11,0)),""))</f>
        <v/>
      </c>
      <c r="U184" s="81" t="n"/>
      <c r="V184" s="82" t="n"/>
      <c r="W184" s="65">
        <f>IF(OR($I184&lt;&gt;"Completed",$M184="",$L184=""),"",IF($M184&lt;=$L184,"Yes","No"))</f>
        <v/>
      </c>
      <c r="X184" s="84">
        <f>IF($A184="","",COUNTIF(Task_Steps!$B$5:$B$2004,$A184))</f>
        <v/>
      </c>
      <c r="Y184" s="86">
        <f>IF($X184=0,"",COUNTIFS(Task_Steps!$B$5:$B$2004,$A184,Task_Steps!$H$5:$H$2004,"Completed")/$X184)</f>
        <v/>
      </c>
      <c r="Z184" s="81" t="n"/>
      <c r="AA184" s="81" t="n"/>
      <c r="AB184" s="67">
        <f>IF($F184="","",IFERROR(INDEX(Employee_Master!$E$5:$E$204,MATCH($F184,Employee_Master!$B$5:$B$204,0)),""))</f>
        <v/>
      </c>
      <c r="AC184" s="65">
        <f>IF(OR($A184="",$AB184=""),"",IF(OR($I184="Completed",$I184="Cancelled"),"Closed - in Manager Report","Active - in Manager Report"))</f>
        <v/>
      </c>
      <c r="AD184" s="81">
        <f>IF($A184="","",IFERROR(TEXTJOIN(", ",TRUE,FILTER(Task_Steps!$A$5:$A$2004,Task_Steps!$B$5:$B$2004=$A184)),""))</f>
        <v/>
      </c>
      <c r="AE184" s="84">
        <f>IF($A184="","",COUNTIFS(Task_Steps!$B$5:$B$2004,$A184,Task_Steps!$H$5:$H$2004,"&lt;&gt;Completed",Task_Steps!$H$5:$H$2004,"&lt;&gt;Cancelled"))</f>
        <v/>
      </c>
      <c r="AF184" s="81">
        <f>IF(OR($B184="",$A184=""),"",$B184&amp;" | "&amp;$A184)</f>
        <v/>
      </c>
    </row>
    <row r="185" ht="15" customHeight="1" s="40">
      <c r="A185" s="65">
        <f>IF(COUNTA(B185:F185)=0,"","TSK-"&amp;TEXT(ROW()-4,"0000"))</f>
        <v/>
      </c>
      <c r="B185" s="78" t="n"/>
      <c r="C185" s="78" t="n"/>
      <c r="D185" s="81" t="n"/>
      <c r="E185" s="81" t="n"/>
      <c r="F185" s="78" t="n"/>
      <c r="G185" s="67">
        <f>IF($F185="","",IFERROR(INDEX(Employee_Master!$C$5:$C$204,MATCH($F185,Employee_Master!$B$5:$B$204,0)),""))</f>
        <v/>
      </c>
      <c r="H185" s="78" t="n"/>
      <c r="I185" s="78" t="n"/>
      <c r="J185" s="67">
        <f>IF($I185="","",IFERROR(INDEX(Action_Status_Map!$B$5:$B$11,MATCH($I185,Action_Status_Map!$A$5:$A$11,0)),""))</f>
        <v/>
      </c>
      <c r="K185" s="82" t="n"/>
      <c r="L185" s="82" t="n"/>
      <c r="M185" s="82" t="n"/>
      <c r="N185" s="83" t="n"/>
      <c r="O185" s="83" t="n"/>
      <c r="P185" s="66">
        <f>IF(OR($N185="",$O185=""),"",$O185-$N185)</f>
        <v/>
      </c>
      <c r="Q185" s="84">
        <f>IF($K185="","",IF($M185&lt;&gt;"",$M185-$K185,TODAY()-$K185))</f>
        <v/>
      </c>
      <c r="R185" s="85">
        <f>IF(OR($L185="",$I185="Completed",$I185="Cancelled"),"",IF(AND($L185&lt;TODAY(),$I185&lt;&gt;"Completed",$I185&lt;&gt;"Cancelled"),"Overdue","On Track"))</f>
        <v/>
      </c>
      <c r="S185" s="65">
        <f>IF($L185="","",TEXT($L185,"yyyy-mm"))</f>
        <v/>
      </c>
      <c r="T185" s="86">
        <f>IF($I185="","",IFERROR(INDEX(Action_Status_Map!$C$5:$C$11,MATCH($I185,Action_Status_Map!$A$5:$A$11,0)),""))</f>
        <v/>
      </c>
      <c r="U185" s="81" t="n"/>
      <c r="V185" s="82" t="n"/>
      <c r="W185" s="65">
        <f>IF(OR($I185&lt;&gt;"Completed",$M185="",$L185=""),"",IF($M185&lt;=$L185,"Yes","No"))</f>
        <v/>
      </c>
      <c r="X185" s="84">
        <f>IF($A185="","",COUNTIF(Task_Steps!$B$5:$B$2004,$A185))</f>
        <v/>
      </c>
      <c r="Y185" s="86">
        <f>IF($X185=0,"",COUNTIFS(Task_Steps!$B$5:$B$2004,$A185,Task_Steps!$H$5:$H$2004,"Completed")/$X185)</f>
        <v/>
      </c>
      <c r="Z185" s="81" t="n"/>
      <c r="AA185" s="81" t="n"/>
      <c r="AB185" s="67">
        <f>IF($F185="","",IFERROR(INDEX(Employee_Master!$E$5:$E$204,MATCH($F185,Employee_Master!$B$5:$B$204,0)),""))</f>
        <v/>
      </c>
      <c r="AC185" s="65">
        <f>IF(OR($A185="",$AB185=""),"",IF(OR($I185="Completed",$I185="Cancelled"),"Closed - in Manager Report","Active - in Manager Report"))</f>
        <v/>
      </c>
      <c r="AD185" s="81">
        <f>IF($A185="","",IFERROR(TEXTJOIN(", ",TRUE,FILTER(Task_Steps!$A$5:$A$2004,Task_Steps!$B$5:$B$2004=$A185)),""))</f>
        <v/>
      </c>
      <c r="AE185" s="84">
        <f>IF($A185="","",COUNTIFS(Task_Steps!$B$5:$B$2004,$A185,Task_Steps!$H$5:$H$2004,"&lt;&gt;Completed",Task_Steps!$H$5:$H$2004,"&lt;&gt;Cancelled"))</f>
        <v/>
      </c>
      <c r="AF185" s="81">
        <f>IF(OR($B185="",$A185=""),"",$B185&amp;" | "&amp;$A185)</f>
        <v/>
      </c>
    </row>
    <row r="186" ht="15" customHeight="1" s="40">
      <c r="A186" s="65">
        <f>IF(COUNTA(B186:F186)=0,"","TSK-"&amp;TEXT(ROW()-4,"0000"))</f>
        <v/>
      </c>
      <c r="B186" s="78" t="n"/>
      <c r="C186" s="78" t="n"/>
      <c r="D186" s="81" t="n"/>
      <c r="E186" s="81" t="n"/>
      <c r="F186" s="78" t="n"/>
      <c r="G186" s="67">
        <f>IF($F186="","",IFERROR(INDEX(Employee_Master!$C$5:$C$204,MATCH($F186,Employee_Master!$B$5:$B$204,0)),""))</f>
        <v/>
      </c>
      <c r="H186" s="78" t="n"/>
      <c r="I186" s="78" t="n"/>
      <c r="J186" s="67">
        <f>IF($I186="","",IFERROR(INDEX(Action_Status_Map!$B$5:$B$11,MATCH($I186,Action_Status_Map!$A$5:$A$11,0)),""))</f>
        <v/>
      </c>
      <c r="K186" s="82" t="n"/>
      <c r="L186" s="82" t="n"/>
      <c r="M186" s="82" t="n"/>
      <c r="N186" s="83" t="n"/>
      <c r="O186" s="83" t="n"/>
      <c r="P186" s="66">
        <f>IF(OR($N186="",$O186=""),"",$O186-$N186)</f>
        <v/>
      </c>
      <c r="Q186" s="84">
        <f>IF($K186="","",IF($M186&lt;&gt;"",$M186-$K186,TODAY()-$K186))</f>
        <v/>
      </c>
      <c r="R186" s="85">
        <f>IF(OR($L186="",$I186="Completed",$I186="Cancelled"),"",IF(AND($L186&lt;TODAY(),$I186&lt;&gt;"Completed",$I186&lt;&gt;"Cancelled"),"Overdue","On Track"))</f>
        <v/>
      </c>
      <c r="S186" s="65">
        <f>IF($L186="","",TEXT($L186,"yyyy-mm"))</f>
        <v/>
      </c>
      <c r="T186" s="86">
        <f>IF($I186="","",IFERROR(INDEX(Action_Status_Map!$C$5:$C$11,MATCH($I186,Action_Status_Map!$A$5:$A$11,0)),""))</f>
        <v/>
      </c>
      <c r="U186" s="81" t="n"/>
      <c r="V186" s="82" t="n"/>
      <c r="W186" s="65">
        <f>IF(OR($I186&lt;&gt;"Completed",$M186="",$L186=""),"",IF($M186&lt;=$L186,"Yes","No"))</f>
        <v/>
      </c>
      <c r="X186" s="84">
        <f>IF($A186="","",COUNTIF(Task_Steps!$B$5:$B$2004,$A186))</f>
        <v/>
      </c>
      <c r="Y186" s="86">
        <f>IF($X186=0,"",COUNTIFS(Task_Steps!$B$5:$B$2004,$A186,Task_Steps!$H$5:$H$2004,"Completed")/$X186)</f>
        <v/>
      </c>
      <c r="Z186" s="81" t="n"/>
      <c r="AA186" s="81" t="n"/>
      <c r="AB186" s="67">
        <f>IF($F186="","",IFERROR(INDEX(Employee_Master!$E$5:$E$204,MATCH($F186,Employee_Master!$B$5:$B$204,0)),""))</f>
        <v/>
      </c>
      <c r="AC186" s="65">
        <f>IF(OR($A186="",$AB186=""),"",IF(OR($I186="Completed",$I186="Cancelled"),"Closed - in Manager Report","Active - in Manager Report"))</f>
        <v/>
      </c>
      <c r="AD186" s="81">
        <f>IF($A186="","",IFERROR(TEXTJOIN(", ",TRUE,FILTER(Task_Steps!$A$5:$A$2004,Task_Steps!$B$5:$B$2004=$A186)),""))</f>
        <v/>
      </c>
      <c r="AE186" s="84">
        <f>IF($A186="","",COUNTIFS(Task_Steps!$B$5:$B$2004,$A186,Task_Steps!$H$5:$H$2004,"&lt;&gt;Completed",Task_Steps!$H$5:$H$2004,"&lt;&gt;Cancelled"))</f>
        <v/>
      </c>
      <c r="AF186" s="81">
        <f>IF(OR($B186="",$A186=""),"",$B186&amp;" | "&amp;$A186)</f>
        <v/>
      </c>
    </row>
    <row r="187" ht="15" customHeight="1" s="40">
      <c r="A187" s="65">
        <f>IF(COUNTA(B187:F187)=0,"","TSK-"&amp;TEXT(ROW()-4,"0000"))</f>
        <v/>
      </c>
      <c r="B187" s="78" t="n"/>
      <c r="C187" s="78" t="n"/>
      <c r="D187" s="81" t="n"/>
      <c r="E187" s="81" t="n"/>
      <c r="F187" s="78" t="n"/>
      <c r="G187" s="67">
        <f>IF($F187="","",IFERROR(INDEX(Employee_Master!$C$5:$C$204,MATCH($F187,Employee_Master!$B$5:$B$204,0)),""))</f>
        <v/>
      </c>
      <c r="H187" s="78" t="n"/>
      <c r="I187" s="78" t="n"/>
      <c r="J187" s="67">
        <f>IF($I187="","",IFERROR(INDEX(Action_Status_Map!$B$5:$B$11,MATCH($I187,Action_Status_Map!$A$5:$A$11,0)),""))</f>
        <v/>
      </c>
      <c r="K187" s="82" t="n"/>
      <c r="L187" s="82" t="n"/>
      <c r="M187" s="82" t="n"/>
      <c r="N187" s="83" t="n"/>
      <c r="O187" s="83" t="n"/>
      <c r="P187" s="66">
        <f>IF(OR($N187="",$O187=""),"",$O187-$N187)</f>
        <v/>
      </c>
      <c r="Q187" s="84">
        <f>IF($K187="","",IF($M187&lt;&gt;"",$M187-$K187,TODAY()-$K187))</f>
        <v/>
      </c>
      <c r="R187" s="85">
        <f>IF(OR($L187="",$I187="Completed",$I187="Cancelled"),"",IF(AND($L187&lt;TODAY(),$I187&lt;&gt;"Completed",$I187&lt;&gt;"Cancelled"),"Overdue","On Track"))</f>
        <v/>
      </c>
      <c r="S187" s="65">
        <f>IF($L187="","",TEXT($L187,"yyyy-mm"))</f>
        <v/>
      </c>
      <c r="T187" s="86">
        <f>IF($I187="","",IFERROR(INDEX(Action_Status_Map!$C$5:$C$11,MATCH($I187,Action_Status_Map!$A$5:$A$11,0)),""))</f>
        <v/>
      </c>
      <c r="U187" s="81" t="n"/>
      <c r="V187" s="82" t="n"/>
      <c r="W187" s="65">
        <f>IF(OR($I187&lt;&gt;"Completed",$M187="",$L187=""),"",IF($M187&lt;=$L187,"Yes","No"))</f>
        <v/>
      </c>
      <c r="X187" s="84">
        <f>IF($A187="","",COUNTIF(Task_Steps!$B$5:$B$2004,$A187))</f>
        <v/>
      </c>
      <c r="Y187" s="86">
        <f>IF($X187=0,"",COUNTIFS(Task_Steps!$B$5:$B$2004,$A187,Task_Steps!$H$5:$H$2004,"Completed")/$X187)</f>
        <v/>
      </c>
      <c r="Z187" s="81" t="n"/>
      <c r="AA187" s="81" t="n"/>
      <c r="AB187" s="67">
        <f>IF($F187="","",IFERROR(INDEX(Employee_Master!$E$5:$E$204,MATCH($F187,Employee_Master!$B$5:$B$204,0)),""))</f>
        <v/>
      </c>
      <c r="AC187" s="65">
        <f>IF(OR($A187="",$AB187=""),"",IF(OR($I187="Completed",$I187="Cancelled"),"Closed - in Manager Report","Active - in Manager Report"))</f>
        <v/>
      </c>
      <c r="AD187" s="81">
        <f>IF($A187="","",IFERROR(TEXTJOIN(", ",TRUE,FILTER(Task_Steps!$A$5:$A$2004,Task_Steps!$B$5:$B$2004=$A187)),""))</f>
        <v/>
      </c>
      <c r="AE187" s="84">
        <f>IF($A187="","",COUNTIFS(Task_Steps!$B$5:$B$2004,$A187,Task_Steps!$H$5:$H$2004,"&lt;&gt;Completed",Task_Steps!$H$5:$H$2004,"&lt;&gt;Cancelled"))</f>
        <v/>
      </c>
      <c r="AF187" s="81">
        <f>IF(OR($B187="",$A187=""),"",$B187&amp;" | "&amp;$A187)</f>
        <v/>
      </c>
    </row>
    <row r="188" ht="15" customHeight="1" s="40">
      <c r="A188" s="65">
        <f>IF(COUNTA(B188:F188)=0,"","TSK-"&amp;TEXT(ROW()-4,"0000"))</f>
        <v/>
      </c>
      <c r="B188" s="78" t="n"/>
      <c r="C188" s="78" t="n"/>
      <c r="D188" s="81" t="n"/>
      <c r="E188" s="81" t="n"/>
      <c r="F188" s="78" t="n"/>
      <c r="G188" s="67">
        <f>IF($F188="","",IFERROR(INDEX(Employee_Master!$C$5:$C$204,MATCH($F188,Employee_Master!$B$5:$B$204,0)),""))</f>
        <v/>
      </c>
      <c r="H188" s="78" t="n"/>
      <c r="I188" s="78" t="n"/>
      <c r="J188" s="67">
        <f>IF($I188="","",IFERROR(INDEX(Action_Status_Map!$B$5:$B$11,MATCH($I188,Action_Status_Map!$A$5:$A$11,0)),""))</f>
        <v/>
      </c>
      <c r="K188" s="82" t="n"/>
      <c r="L188" s="82" t="n"/>
      <c r="M188" s="82" t="n"/>
      <c r="N188" s="83" t="n"/>
      <c r="O188" s="83" t="n"/>
      <c r="P188" s="66">
        <f>IF(OR($N188="",$O188=""),"",$O188-$N188)</f>
        <v/>
      </c>
      <c r="Q188" s="84">
        <f>IF($K188="","",IF($M188&lt;&gt;"",$M188-$K188,TODAY()-$K188))</f>
        <v/>
      </c>
      <c r="R188" s="85">
        <f>IF(OR($L188="",$I188="Completed",$I188="Cancelled"),"",IF(AND($L188&lt;TODAY(),$I188&lt;&gt;"Completed",$I188&lt;&gt;"Cancelled"),"Overdue","On Track"))</f>
        <v/>
      </c>
      <c r="S188" s="65">
        <f>IF($L188="","",TEXT($L188,"yyyy-mm"))</f>
        <v/>
      </c>
      <c r="T188" s="86">
        <f>IF($I188="","",IFERROR(INDEX(Action_Status_Map!$C$5:$C$11,MATCH($I188,Action_Status_Map!$A$5:$A$11,0)),""))</f>
        <v/>
      </c>
      <c r="U188" s="81" t="n"/>
      <c r="V188" s="82" t="n"/>
      <c r="W188" s="65">
        <f>IF(OR($I188&lt;&gt;"Completed",$M188="",$L188=""),"",IF($M188&lt;=$L188,"Yes","No"))</f>
        <v/>
      </c>
      <c r="X188" s="84">
        <f>IF($A188="","",COUNTIF(Task_Steps!$B$5:$B$2004,$A188))</f>
        <v/>
      </c>
      <c r="Y188" s="86">
        <f>IF($X188=0,"",COUNTIFS(Task_Steps!$B$5:$B$2004,$A188,Task_Steps!$H$5:$H$2004,"Completed")/$X188)</f>
        <v/>
      </c>
      <c r="Z188" s="81" t="n"/>
      <c r="AA188" s="81" t="n"/>
      <c r="AB188" s="67">
        <f>IF($F188="","",IFERROR(INDEX(Employee_Master!$E$5:$E$204,MATCH($F188,Employee_Master!$B$5:$B$204,0)),""))</f>
        <v/>
      </c>
      <c r="AC188" s="65">
        <f>IF(OR($A188="",$AB188=""),"",IF(OR($I188="Completed",$I188="Cancelled"),"Closed - in Manager Report","Active - in Manager Report"))</f>
        <v/>
      </c>
      <c r="AD188" s="81">
        <f>IF($A188="","",IFERROR(TEXTJOIN(", ",TRUE,FILTER(Task_Steps!$A$5:$A$2004,Task_Steps!$B$5:$B$2004=$A188)),""))</f>
        <v/>
      </c>
      <c r="AE188" s="84">
        <f>IF($A188="","",COUNTIFS(Task_Steps!$B$5:$B$2004,$A188,Task_Steps!$H$5:$H$2004,"&lt;&gt;Completed",Task_Steps!$H$5:$H$2004,"&lt;&gt;Cancelled"))</f>
        <v/>
      </c>
      <c r="AF188" s="81">
        <f>IF(OR($B188="",$A188=""),"",$B188&amp;" | "&amp;$A188)</f>
        <v/>
      </c>
    </row>
    <row r="189" ht="15" customHeight="1" s="40">
      <c r="A189" s="65">
        <f>IF(COUNTA(B189:F189)=0,"","TSK-"&amp;TEXT(ROW()-4,"0000"))</f>
        <v/>
      </c>
      <c r="B189" s="78" t="n"/>
      <c r="C189" s="78" t="n"/>
      <c r="D189" s="81" t="n"/>
      <c r="E189" s="81" t="n"/>
      <c r="F189" s="78" t="n"/>
      <c r="G189" s="67">
        <f>IF($F189="","",IFERROR(INDEX(Employee_Master!$C$5:$C$204,MATCH($F189,Employee_Master!$B$5:$B$204,0)),""))</f>
        <v/>
      </c>
      <c r="H189" s="78" t="n"/>
      <c r="I189" s="78" t="n"/>
      <c r="J189" s="67">
        <f>IF($I189="","",IFERROR(INDEX(Action_Status_Map!$B$5:$B$11,MATCH($I189,Action_Status_Map!$A$5:$A$11,0)),""))</f>
        <v/>
      </c>
      <c r="K189" s="82" t="n"/>
      <c r="L189" s="82" t="n"/>
      <c r="M189" s="82" t="n"/>
      <c r="N189" s="83" t="n"/>
      <c r="O189" s="83" t="n"/>
      <c r="P189" s="66">
        <f>IF(OR($N189="",$O189=""),"",$O189-$N189)</f>
        <v/>
      </c>
      <c r="Q189" s="84">
        <f>IF($K189="","",IF($M189&lt;&gt;"",$M189-$K189,TODAY()-$K189))</f>
        <v/>
      </c>
      <c r="R189" s="85">
        <f>IF(OR($L189="",$I189="Completed",$I189="Cancelled"),"",IF(AND($L189&lt;TODAY(),$I189&lt;&gt;"Completed",$I189&lt;&gt;"Cancelled"),"Overdue","On Track"))</f>
        <v/>
      </c>
      <c r="S189" s="65">
        <f>IF($L189="","",TEXT($L189,"yyyy-mm"))</f>
        <v/>
      </c>
      <c r="T189" s="86">
        <f>IF($I189="","",IFERROR(INDEX(Action_Status_Map!$C$5:$C$11,MATCH($I189,Action_Status_Map!$A$5:$A$11,0)),""))</f>
        <v/>
      </c>
      <c r="U189" s="81" t="n"/>
      <c r="V189" s="82" t="n"/>
      <c r="W189" s="65">
        <f>IF(OR($I189&lt;&gt;"Completed",$M189="",$L189=""),"",IF($M189&lt;=$L189,"Yes","No"))</f>
        <v/>
      </c>
      <c r="X189" s="84">
        <f>IF($A189="","",COUNTIF(Task_Steps!$B$5:$B$2004,$A189))</f>
        <v/>
      </c>
      <c r="Y189" s="86">
        <f>IF($X189=0,"",COUNTIFS(Task_Steps!$B$5:$B$2004,$A189,Task_Steps!$H$5:$H$2004,"Completed")/$X189)</f>
        <v/>
      </c>
      <c r="Z189" s="81" t="n"/>
      <c r="AA189" s="81" t="n"/>
      <c r="AB189" s="67">
        <f>IF($F189="","",IFERROR(INDEX(Employee_Master!$E$5:$E$204,MATCH($F189,Employee_Master!$B$5:$B$204,0)),""))</f>
        <v/>
      </c>
      <c r="AC189" s="65">
        <f>IF(OR($A189="",$AB189=""),"",IF(OR($I189="Completed",$I189="Cancelled"),"Closed - in Manager Report","Active - in Manager Report"))</f>
        <v/>
      </c>
      <c r="AD189" s="81">
        <f>IF($A189="","",IFERROR(TEXTJOIN(", ",TRUE,FILTER(Task_Steps!$A$5:$A$2004,Task_Steps!$B$5:$B$2004=$A189)),""))</f>
        <v/>
      </c>
      <c r="AE189" s="84">
        <f>IF($A189="","",COUNTIFS(Task_Steps!$B$5:$B$2004,$A189,Task_Steps!$H$5:$H$2004,"&lt;&gt;Completed",Task_Steps!$H$5:$H$2004,"&lt;&gt;Cancelled"))</f>
        <v/>
      </c>
      <c r="AF189" s="81">
        <f>IF(OR($B189="",$A189=""),"",$B189&amp;" | "&amp;$A189)</f>
        <v/>
      </c>
    </row>
    <row r="190" ht="15" customHeight="1" s="40">
      <c r="A190" s="65">
        <f>IF(COUNTA(B190:F190)=0,"","TSK-"&amp;TEXT(ROW()-4,"0000"))</f>
        <v/>
      </c>
      <c r="B190" s="78" t="n"/>
      <c r="C190" s="78" t="n"/>
      <c r="D190" s="81" t="n"/>
      <c r="E190" s="81" t="n"/>
      <c r="F190" s="78" t="n"/>
      <c r="G190" s="67">
        <f>IF($F190="","",IFERROR(INDEX(Employee_Master!$C$5:$C$204,MATCH($F190,Employee_Master!$B$5:$B$204,0)),""))</f>
        <v/>
      </c>
      <c r="H190" s="78" t="n"/>
      <c r="I190" s="78" t="n"/>
      <c r="J190" s="67">
        <f>IF($I190="","",IFERROR(INDEX(Action_Status_Map!$B$5:$B$11,MATCH($I190,Action_Status_Map!$A$5:$A$11,0)),""))</f>
        <v/>
      </c>
      <c r="K190" s="82" t="n"/>
      <c r="L190" s="82" t="n"/>
      <c r="M190" s="82" t="n"/>
      <c r="N190" s="83" t="n"/>
      <c r="O190" s="83" t="n"/>
      <c r="P190" s="66">
        <f>IF(OR($N190="",$O190=""),"",$O190-$N190)</f>
        <v/>
      </c>
      <c r="Q190" s="84">
        <f>IF($K190="","",IF($M190&lt;&gt;"",$M190-$K190,TODAY()-$K190))</f>
        <v/>
      </c>
      <c r="R190" s="85">
        <f>IF(OR($L190="",$I190="Completed",$I190="Cancelled"),"",IF(AND($L190&lt;TODAY(),$I190&lt;&gt;"Completed",$I190&lt;&gt;"Cancelled"),"Overdue","On Track"))</f>
        <v/>
      </c>
      <c r="S190" s="65">
        <f>IF($L190="","",TEXT($L190,"yyyy-mm"))</f>
        <v/>
      </c>
      <c r="T190" s="86">
        <f>IF($I190="","",IFERROR(INDEX(Action_Status_Map!$C$5:$C$11,MATCH($I190,Action_Status_Map!$A$5:$A$11,0)),""))</f>
        <v/>
      </c>
      <c r="U190" s="81" t="n"/>
      <c r="V190" s="82" t="n"/>
      <c r="W190" s="65">
        <f>IF(OR($I190&lt;&gt;"Completed",$M190="",$L190=""),"",IF($M190&lt;=$L190,"Yes","No"))</f>
        <v/>
      </c>
      <c r="X190" s="84">
        <f>IF($A190="","",COUNTIF(Task_Steps!$B$5:$B$2004,$A190))</f>
        <v/>
      </c>
      <c r="Y190" s="86">
        <f>IF($X190=0,"",COUNTIFS(Task_Steps!$B$5:$B$2004,$A190,Task_Steps!$H$5:$H$2004,"Completed")/$X190)</f>
        <v/>
      </c>
      <c r="Z190" s="81" t="n"/>
      <c r="AA190" s="81" t="n"/>
      <c r="AB190" s="67">
        <f>IF($F190="","",IFERROR(INDEX(Employee_Master!$E$5:$E$204,MATCH($F190,Employee_Master!$B$5:$B$204,0)),""))</f>
        <v/>
      </c>
      <c r="AC190" s="65">
        <f>IF(OR($A190="",$AB190=""),"",IF(OR($I190="Completed",$I190="Cancelled"),"Closed - in Manager Report","Active - in Manager Report"))</f>
        <v/>
      </c>
      <c r="AD190" s="81">
        <f>IF($A190="","",IFERROR(TEXTJOIN(", ",TRUE,FILTER(Task_Steps!$A$5:$A$2004,Task_Steps!$B$5:$B$2004=$A190)),""))</f>
        <v/>
      </c>
      <c r="AE190" s="84">
        <f>IF($A190="","",COUNTIFS(Task_Steps!$B$5:$B$2004,$A190,Task_Steps!$H$5:$H$2004,"&lt;&gt;Completed",Task_Steps!$H$5:$H$2004,"&lt;&gt;Cancelled"))</f>
        <v/>
      </c>
      <c r="AF190" s="81">
        <f>IF(OR($B190="",$A190=""),"",$B190&amp;" | "&amp;$A190)</f>
        <v/>
      </c>
    </row>
    <row r="191" ht="15" customHeight="1" s="40">
      <c r="A191" s="65">
        <f>IF(COUNTA(B191:F191)=0,"","TSK-"&amp;TEXT(ROW()-4,"0000"))</f>
        <v/>
      </c>
      <c r="B191" s="78" t="n"/>
      <c r="C191" s="78" t="n"/>
      <c r="D191" s="81" t="n"/>
      <c r="E191" s="81" t="n"/>
      <c r="F191" s="78" t="n"/>
      <c r="G191" s="67">
        <f>IF($F191="","",IFERROR(INDEX(Employee_Master!$C$5:$C$204,MATCH($F191,Employee_Master!$B$5:$B$204,0)),""))</f>
        <v/>
      </c>
      <c r="H191" s="78" t="n"/>
      <c r="I191" s="78" t="n"/>
      <c r="J191" s="67">
        <f>IF($I191="","",IFERROR(INDEX(Action_Status_Map!$B$5:$B$11,MATCH($I191,Action_Status_Map!$A$5:$A$11,0)),""))</f>
        <v/>
      </c>
      <c r="K191" s="82" t="n"/>
      <c r="L191" s="82" t="n"/>
      <c r="M191" s="82" t="n"/>
      <c r="N191" s="83" t="n"/>
      <c r="O191" s="83" t="n"/>
      <c r="P191" s="66">
        <f>IF(OR($N191="",$O191=""),"",$O191-$N191)</f>
        <v/>
      </c>
      <c r="Q191" s="84">
        <f>IF($K191="","",IF($M191&lt;&gt;"",$M191-$K191,TODAY()-$K191))</f>
        <v/>
      </c>
      <c r="R191" s="85">
        <f>IF(OR($L191="",$I191="Completed",$I191="Cancelled"),"",IF(AND($L191&lt;TODAY(),$I191&lt;&gt;"Completed",$I191&lt;&gt;"Cancelled"),"Overdue","On Track"))</f>
        <v/>
      </c>
      <c r="S191" s="65">
        <f>IF($L191="","",TEXT($L191,"yyyy-mm"))</f>
        <v/>
      </c>
      <c r="T191" s="86">
        <f>IF($I191="","",IFERROR(INDEX(Action_Status_Map!$C$5:$C$11,MATCH($I191,Action_Status_Map!$A$5:$A$11,0)),""))</f>
        <v/>
      </c>
      <c r="U191" s="81" t="n"/>
      <c r="V191" s="82" t="n"/>
      <c r="W191" s="65">
        <f>IF(OR($I191&lt;&gt;"Completed",$M191="",$L191=""),"",IF($M191&lt;=$L191,"Yes","No"))</f>
        <v/>
      </c>
      <c r="X191" s="84">
        <f>IF($A191="","",COUNTIF(Task_Steps!$B$5:$B$2004,$A191))</f>
        <v/>
      </c>
      <c r="Y191" s="86">
        <f>IF($X191=0,"",COUNTIFS(Task_Steps!$B$5:$B$2004,$A191,Task_Steps!$H$5:$H$2004,"Completed")/$X191)</f>
        <v/>
      </c>
      <c r="Z191" s="81" t="n"/>
      <c r="AA191" s="81" t="n"/>
      <c r="AB191" s="67">
        <f>IF($F191="","",IFERROR(INDEX(Employee_Master!$E$5:$E$204,MATCH($F191,Employee_Master!$B$5:$B$204,0)),""))</f>
        <v/>
      </c>
      <c r="AC191" s="65">
        <f>IF(OR($A191="",$AB191=""),"",IF(OR($I191="Completed",$I191="Cancelled"),"Closed - in Manager Report","Active - in Manager Report"))</f>
        <v/>
      </c>
      <c r="AD191" s="81">
        <f>IF($A191="","",IFERROR(TEXTJOIN(", ",TRUE,FILTER(Task_Steps!$A$5:$A$2004,Task_Steps!$B$5:$B$2004=$A191)),""))</f>
        <v/>
      </c>
      <c r="AE191" s="84">
        <f>IF($A191="","",COUNTIFS(Task_Steps!$B$5:$B$2004,$A191,Task_Steps!$H$5:$H$2004,"&lt;&gt;Completed",Task_Steps!$H$5:$H$2004,"&lt;&gt;Cancelled"))</f>
        <v/>
      </c>
      <c r="AF191" s="81">
        <f>IF(OR($B191="",$A191=""),"",$B191&amp;" | "&amp;$A191)</f>
        <v/>
      </c>
    </row>
    <row r="192" ht="15" customHeight="1" s="40">
      <c r="A192" s="65">
        <f>IF(COUNTA(B192:F192)=0,"","TSK-"&amp;TEXT(ROW()-4,"0000"))</f>
        <v/>
      </c>
      <c r="B192" s="78" t="n"/>
      <c r="C192" s="78" t="n"/>
      <c r="D192" s="81" t="n"/>
      <c r="E192" s="81" t="n"/>
      <c r="F192" s="78" t="n"/>
      <c r="G192" s="67">
        <f>IF($F192="","",IFERROR(INDEX(Employee_Master!$C$5:$C$204,MATCH($F192,Employee_Master!$B$5:$B$204,0)),""))</f>
        <v/>
      </c>
      <c r="H192" s="78" t="n"/>
      <c r="I192" s="78" t="n"/>
      <c r="J192" s="67">
        <f>IF($I192="","",IFERROR(INDEX(Action_Status_Map!$B$5:$B$11,MATCH($I192,Action_Status_Map!$A$5:$A$11,0)),""))</f>
        <v/>
      </c>
      <c r="K192" s="82" t="n"/>
      <c r="L192" s="82" t="n"/>
      <c r="M192" s="82" t="n"/>
      <c r="N192" s="83" t="n"/>
      <c r="O192" s="83" t="n"/>
      <c r="P192" s="66">
        <f>IF(OR($N192="",$O192=""),"",$O192-$N192)</f>
        <v/>
      </c>
      <c r="Q192" s="84">
        <f>IF($K192="","",IF($M192&lt;&gt;"",$M192-$K192,TODAY()-$K192))</f>
        <v/>
      </c>
      <c r="R192" s="85">
        <f>IF(OR($L192="",$I192="Completed",$I192="Cancelled"),"",IF(AND($L192&lt;TODAY(),$I192&lt;&gt;"Completed",$I192&lt;&gt;"Cancelled"),"Overdue","On Track"))</f>
        <v/>
      </c>
      <c r="S192" s="65">
        <f>IF($L192="","",TEXT($L192,"yyyy-mm"))</f>
        <v/>
      </c>
      <c r="T192" s="86">
        <f>IF($I192="","",IFERROR(INDEX(Action_Status_Map!$C$5:$C$11,MATCH($I192,Action_Status_Map!$A$5:$A$11,0)),""))</f>
        <v/>
      </c>
      <c r="U192" s="81" t="n"/>
      <c r="V192" s="82" t="n"/>
      <c r="W192" s="65">
        <f>IF(OR($I192&lt;&gt;"Completed",$M192="",$L192=""),"",IF($M192&lt;=$L192,"Yes","No"))</f>
        <v/>
      </c>
      <c r="X192" s="84">
        <f>IF($A192="","",COUNTIF(Task_Steps!$B$5:$B$2004,$A192))</f>
        <v/>
      </c>
      <c r="Y192" s="86">
        <f>IF($X192=0,"",COUNTIFS(Task_Steps!$B$5:$B$2004,$A192,Task_Steps!$H$5:$H$2004,"Completed")/$X192)</f>
        <v/>
      </c>
      <c r="Z192" s="81" t="n"/>
      <c r="AA192" s="81" t="n"/>
      <c r="AB192" s="67">
        <f>IF($F192="","",IFERROR(INDEX(Employee_Master!$E$5:$E$204,MATCH($F192,Employee_Master!$B$5:$B$204,0)),""))</f>
        <v/>
      </c>
      <c r="AC192" s="65">
        <f>IF(OR($A192="",$AB192=""),"",IF(OR($I192="Completed",$I192="Cancelled"),"Closed - in Manager Report","Active - in Manager Report"))</f>
        <v/>
      </c>
      <c r="AD192" s="81">
        <f>IF($A192="","",IFERROR(TEXTJOIN(", ",TRUE,FILTER(Task_Steps!$A$5:$A$2004,Task_Steps!$B$5:$B$2004=$A192)),""))</f>
        <v/>
      </c>
      <c r="AE192" s="84">
        <f>IF($A192="","",COUNTIFS(Task_Steps!$B$5:$B$2004,$A192,Task_Steps!$H$5:$H$2004,"&lt;&gt;Completed",Task_Steps!$H$5:$H$2004,"&lt;&gt;Cancelled"))</f>
        <v/>
      </c>
      <c r="AF192" s="81">
        <f>IF(OR($B192="",$A192=""),"",$B192&amp;" | "&amp;$A192)</f>
        <v/>
      </c>
    </row>
    <row r="193" ht="15" customHeight="1" s="40">
      <c r="A193" s="65">
        <f>IF(COUNTA(B193:F193)=0,"","TSK-"&amp;TEXT(ROW()-4,"0000"))</f>
        <v/>
      </c>
      <c r="B193" s="78" t="n"/>
      <c r="C193" s="78" t="n"/>
      <c r="D193" s="81" t="n"/>
      <c r="E193" s="81" t="n"/>
      <c r="F193" s="78" t="n"/>
      <c r="G193" s="67">
        <f>IF($F193="","",IFERROR(INDEX(Employee_Master!$C$5:$C$204,MATCH($F193,Employee_Master!$B$5:$B$204,0)),""))</f>
        <v/>
      </c>
      <c r="H193" s="78" t="n"/>
      <c r="I193" s="78" t="n"/>
      <c r="J193" s="67">
        <f>IF($I193="","",IFERROR(INDEX(Action_Status_Map!$B$5:$B$11,MATCH($I193,Action_Status_Map!$A$5:$A$11,0)),""))</f>
        <v/>
      </c>
      <c r="K193" s="82" t="n"/>
      <c r="L193" s="82" t="n"/>
      <c r="M193" s="82" t="n"/>
      <c r="N193" s="83" t="n"/>
      <c r="O193" s="83" t="n"/>
      <c r="P193" s="66">
        <f>IF(OR($N193="",$O193=""),"",$O193-$N193)</f>
        <v/>
      </c>
      <c r="Q193" s="84">
        <f>IF($K193="","",IF($M193&lt;&gt;"",$M193-$K193,TODAY()-$K193))</f>
        <v/>
      </c>
      <c r="R193" s="85">
        <f>IF(OR($L193="",$I193="Completed",$I193="Cancelled"),"",IF(AND($L193&lt;TODAY(),$I193&lt;&gt;"Completed",$I193&lt;&gt;"Cancelled"),"Overdue","On Track"))</f>
        <v/>
      </c>
      <c r="S193" s="65">
        <f>IF($L193="","",TEXT($L193,"yyyy-mm"))</f>
        <v/>
      </c>
      <c r="T193" s="86">
        <f>IF($I193="","",IFERROR(INDEX(Action_Status_Map!$C$5:$C$11,MATCH($I193,Action_Status_Map!$A$5:$A$11,0)),""))</f>
        <v/>
      </c>
      <c r="U193" s="81" t="n"/>
      <c r="V193" s="82" t="n"/>
      <c r="W193" s="65">
        <f>IF(OR($I193&lt;&gt;"Completed",$M193="",$L193=""),"",IF($M193&lt;=$L193,"Yes","No"))</f>
        <v/>
      </c>
      <c r="X193" s="84">
        <f>IF($A193="","",COUNTIF(Task_Steps!$B$5:$B$2004,$A193))</f>
        <v/>
      </c>
      <c r="Y193" s="86">
        <f>IF($X193=0,"",COUNTIFS(Task_Steps!$B$5:$B$2004,$A193,Task_Steps!$H$5:$H$2004,"Completed")/$X193)</f>
        <v/>
      </c>
      <c r="Z193" s="81" t="n"/>
      <c r="AA193" s="81" t="n"/>
      <c r="AB193" s="67">
        <f>IF($F193="","",IFERROR(INDEX(Employee_Master!$E$5:$E$204,MATCH($F193,Employee_Master!$B$5:$B$204,0)),""))</f>
        <v/>
      </c>
      <c r="AC193" s="65">
        <f>IF(OR($A193="",$AB193=""),"",IF(OR($I193="Completed",$I193="Cancelled"),"Closed - in Manager Report","Active - in Manager Report"))</f>
        <v/>
      </c>
      <c r="AD193" s="81">
        <f>IF($A193="","",IFERROR(TEXTJOIN(", ",TRUE,FILTER(Task_Steps!$A$5:$A$2004,Task_Steps!$B$5:$B$2004=$A193)),""))</f>
        <v/>
      </c>
      <c r="AE193" s="84">
        <f>IF($A193="","",COUNTIFS(Task_Steps!$B$5:$B$2004,$A193,Task_Steps!$H$5:$H$2004,"&lt;&gt;Completed",Task_Steps!$H$5:$H$2004,"&lt;&gt;Cancelled"))</f>
        <v/>
      </c>
      <c r="AF193" s="81">
        <f>IF(OR($B193="",$A193=""),"",$B193&amp;" | "&amp;$A193)</f>
        <v/>
      </c>
    </row>
    <row r="194" ht="15" customHeight="1" s="40">
      <c r="A194" s="65">
        <f>IF(COUNTA(B194:F194)=0,"","TSK-"&amp;TEXT(ROW()-4,"0000"))</f>
        <v/>
      </c>
      <c r="B194" s="78" t="n"/>
      <c r="C194" s="78" t="n"/>
      <c r="D194" s="81" t="n"/>
      <c r="E194" s="81" t="n"/>
      <c r="F194" s="78" t="n"/>
      <c r="G194" s="67">
        <f>IF($F194="","",IFERROR(INDEX(Employee_Master!$C$5:$C$204,MATCH($F194,Employee_Master!$B$5:$B$204,0)),""))</f>
        <v/>
      </c>
      <c r="H194" s="78" t="n"/>
      <c r="I194" s="78" t="n"/>
      <c r="J194" s="67">
        <f>IF($I194="","",IFERROR(INDEX(Action_Status_Map!$B$5:$B$11,MATCH($I194,Action_Status_Map!$A$5:$A$11,0)),""))</f>
        <v/>
      </c>
      <c r="K194" s="82" t="n"/>
      <c r="L194" s="82" t="n"/>
      <c r="M194" s="82" t="n"/>
      <c r="N194" s="83" t="n"/>
      <c r="O194" s="83" t="n"/>
      <c r="P194" s="66">
        <f>IF(OR($N194="",$O194=""),"",$O194-$N194)</f>
        <v/>
      </c>
      <c r="Q194" s="84">
        <f>IF($K194="","",IF($M194&lt;&gt;"",$M194-$K194,TODAY()-$K194))</f>
        <v/>
      </c>
      <c r="R194" s="85">
        <f>IF(OR($L194="",$I194="Completed",$I194="Cancelled"),"",IF(AND($L194&lt;TODAY(),$I194&lt;&gt;"Completed",$I194&lt;&gt;"Cancelled"),"Overdue","On Track"))</f>
        <v/>
      </c>
      <c r="S194" s="65">
        <f>IF($L194="","",TEXT($L194,"yyyy-mm"))</f>
        <v/>
      </c>
      <c r="T194" s="86">
        <f>IF($I194="","",IFERROR(INDEX(Action_Status_Map!$C$5:$C$11,MATCH($I194,Action_Status_Map!$A$5:$A$11,0)),""))</f>
        <v/>
      </c>
      <c r="U194" s="81" t="n"/>
      <c r="V194" s="82" t="n"/>
      <c r="W194" s="65">
        <f>IF(OR($I194&lt;&gt;"Completed",$M194="",$L194=""),"",IF($M194&lt;=$L194,"Yes","No"))</f>
        <v/>
      </c>
      <c r="X194" s="84">
        <f>IF($A194="","",COUNTIF(Task_Steps!$B$5:$B$2004,$A194))</f>
        <v/>
      </c>
      <c r="Y194" s="86">
        <f>IF($X194=0,"",COUNTIFS(Task_Steps!$B$5:$B$2004,$A194,Task_Steps!$H$5:$H$2004,"Completed")/$X194)</f>
        <v/>
      </c>
      <c r="Z194" s="81" t="n"/>
      <c r="AA194" s="81" t="n"/>
      <c r="AB194" s="67">
        <f>IF($F194="","",IFERROR(INDEX(Employee_Master!$E$5:$E$204,MATCH($F194,Employee_Master!$B$5:$B$204,0)),""))</f>
        <v/>
      </c>
      <c r="AC194" s="65">
        <f>IF(OR($A194="",$AB194=""),"",IF(OR($I194="Completed",$I194="Cancelled"),"Closed - in Manager Report","Active - in Manager Report"))</f>
        <v/>
      </c>
      <c r="AD194" s="81">
        <f>IF($A194="","",IFERROR(TEXTJOIN(", ",TRUE,FILTER(Task_Steps!$A$5:$A$2004,Task_Steps!$B$5:$B$2004=$A194)),""))</f>
        <v/>
      </c>
      <c r="AE194" s="84">
        <f>IF($A194="","",COUNTIFS(Task_Steps!$B$5:$B$2004,$A194,Task_Steps!$H$5:$H$2004,"&lt;&gt;Completed",Task_Steps!$H$5:$H$2004,"&lt;&gt;Cancelled"))</f>
        <v/>
      </c>
      <c r="AF194" s="81">
        <f>IF(OR($B194="",$A194=""),"",$B194&amp;" | "&amp;$A194)</f>
        <v/>
      </c>
    </row>
    <row r="195" ht="15" customHeight="1" s="40">
      <c r="A195" s="65">
        <f>IF(COUNTA(B195:F195)=0,"","TSK-"&amp;TEXT(ROW()-4,"0000"))</f>
        <v/>
      </c>
      <c r="B195" s="78" t="n"/>
      <c r="C195" s="78" t="n"/>
      <c r="D195" s="81" t="n"/>
      <c r="E195" s="81" t="n"/>
      <c r="F195" s="78" t="n"/>
      <c r="G195" s="67">
        <f>IF($F195="","",IFERROR(INDEX(Employee_Master!$C$5:$C$204,MATCH($F195,Employee_Master!$B$5:$B$204,0)),""))</f>
        <v/>
      </c>
      <c r="H195" s="78" t="n"/>
      <c r="I195" s="78" t="n"/>
      <c r="J195" s="67">
        <f>IF($I195="","",IFERROR(INDEX(Action_Status_Map!$B$5:$B$11,MATCH($I195,Action_Status_Map!$A$5:$A$11,0)),""))</f>
        <v/>
      </c>
      <c r="K195" s="82" t="n"/>
      <c r="L195" s="82" t="n"/>
      <c r="M195" s="82" t="n"/>
      <c r="N195" s="83" t="n"/>
      <c r="O195" s="83" t="n"/>
      <c r="P195" s="66">
        <f>IF(OR($N195="",$O195=""),"",$O195-$N195)</f>
        <v/>
      </c>
      <c r="Q195" s="84">
        <f>IF($K195="","",IF($M195&lt;&gt;"",$M195-$K195,TODAY()-$K195))</f>
        <v/>
      </c>
      <c r="R195" s="85">
        <f>IF(OR($L195="",$I195="Completed",$I195="Cancelled"),"",IF(AND($L195&lt;TODAY(),$I195&lt;&gt;"Completed",$I195&lt;&gt;"Cancelled"),"Overdue","On Track"))</f>
        <v/>
      </c>
      <c r="S195" s="65">
        <f>IF($L195="","",TEXT($L195,"yyyy-mm"))</f>
        <v/>
      </c>
      <c r="T195" s="86">
        <f>IF($I195="","",IFERROR(INDEX(Action_Status_Map!$C$5:$C$11,MATCH($I195,Action_Status_Map!$A$5:$A$11,0)),""))</f>
        <v/>
      </c>
      <c r="U195" s="81" t="n"/>
      <c r="V195" s="82" t="n"/>
      <c r="W195" s="65">
        <f>IF(OR($I195&lt;&gt;"Completed",$M195="",$L195=""),"",IF($M195&lt;=$L195,"Yes","No"))</f>
        <v/>
      </c>
      <c r="X195" s="84">
        <f>IF($A195="","",COUNTIF(Task_Steps!$B$5:$B$2004,$A195))</f>
        <v/>
      </c>
      <c r="Y195" s="86">
        <f>IF($X195=0,"",COUNTIFS(Task_Steps!$B$5:$B$2004,$A195,Task_Steps!$H$5:$H$2004,"Completed")/$X195)</f>
        <v/>
      </c>
      <c r="Z195" s="81" t="n"/>
      <c r="AA195" s="81" t="n"/>
      <c r="AB195" s="67">
        <f>IF($F195="","",IFERROR(INDEX(Employee_Master!$E$5:$E$204,MATCH($F195,Employee_Master!$B$5:$B$204,0)),""))</f>
        <v/>
      </c>
      <c r="AC195" s="65">
        <f>IF(OR($A195="",$AB195=""),"",IF(OR($I195="Completed",$I195="Cancelled"),"Closed - in Manager Report","Active - in Manager Report"))</f>
        <v/>
      </c>
      <c r="AD195" s="81">
        <f>IF($A195="","",IFERROR(TEXTJOIN(", ",TRUE,FILTER(Task_Steps!$A$5:$A$2004,Task_Steps!$B$5:$B$2004=$A195)),""))</f>
        <v/>
      </c>
      <c r="AE195" s="84">
        <f>IF($A195="","",COUNTIFS(Task_Steps!$B$5:$B$2004,$A195,Task_Steps!$H$5:$H$2004,"&lt;&gt;Completed",Task_Steps!$H$5:$H$2004,"&lt;&gt;Cancelled"))</f>
        <v/>
      </c>
      <c r="AF195" s="81">
        <f>IF(OR($B195="",$A195=""),"",$B195&amp;" | "&amp;$A195)</f>
        <v/>
      </c>
    </row>
    <row r="196" ht="15" customHeight="1" s="40">
      <c r="A196" s="65">
        <f>IF(COUNTA(B196:F196)=0,"","TSK-"&amp;TEXT(ROW()-4,"0000"))</f>
        <v/>
      </c>
      <c r="B196" s="78" t="n"/>
      <c r="C196" s="78" t="n"/>
      <c r="D196" s="81" t="n"/>
      <c r="E196" s="81" t="n"/>
      <c r="F196" s="78" t="n"/>
      <c r="G196" s="67">
        <f>IF($F196="","",IFERROR(INDEX(Employee_Master!$C$5:$C$204,MATCH($F196,Employee_Master!$B$5:$B$204,0)),""))</f>
        <v/>
      </c>
      <c r="H196" s="78" t="n"/>
      <c r="I196" s="78" t="n"/>
      <c r="J196" s="67">
        <f>IF($I196="","",IFERROR(INDEX(Action_Status_Map!$B$5:$B$11,MATCH($I196,Action_Status_Map!$A$5:$A$11,0)),""))</f>
        <v/>
      </c>
      <c r="K196" s="82" t="n"/>
      <c r="L196" s="82" t="n"/>
      <c r="M196" s="82" t="n"/>
      <c r="N196" s="83" t="n"/>
      <c r="O196" s="83" t="n"/>
      <c r="P196" s="66">
        <f>IF(OR($N196="",$O196=""),"",$O196-$N196)</f>
        <v/>
      </c>
      <c r="Q196" s="84">
        <f>IF($K196="","",IF($M196&lt;&gt;"",$M196-$K196,TODAY()-$K196))</f>
        <v/>
      </c>
      <c r="R196" s="85">
        <f>IF(OR($L196="",$I196="Completed",$I196="Cancelled"),"",IF(AND($L196&lt;TODAY(),$I196&lt;&gt;"Completed",$I196&lt;&gt;"Cancelled"),"Overdue","On Track"))</f>
        <v/>
      </c>
      <c r="S196" s="65">
        <f>IF($L196="","",TEXT($L196,"yyyy-mm"))</f>
        <v/>
      </c>
      <c r="T196" s="86">
        <f>IF($I196="","",IFERROR(INDEX(Action_Status_Map!$C$5:$C$11,MATCH($I196,Action_Status_Map!$A$5:$A$11,0)),""))</f>
        <v/>
      </c>
      <c r="U196" s="81" t="n"/>
      <c r="V196" s="82" t="n"/>
      <c r="W196" s="65">
        <f>IF(OR($I196&lt;&gt;"Completed",$M196="",$L196=""),"",IF($M196&lt;=$L196,"Yes","No"))</f>
        <v/>
      </c>
      <c r="X196" s="84">
        <f>IF($A196="","",COUNTIF(Task_Steps!$B$5:$B$2004,$A196))</f>
        <v/>
      </c>
      <c r="Y196" s="86">
        <f>IF($X196=0,"",COUNTIFS(Task_Steps!$B$5:$B$2004,$A196,Task_Steps!$H$5:$H$2004,"Completed")/$X196)</f>
        <v/>
      </c>
      <c r="Z196" s="81" t="n"/>
      <c r="AA196" s="81" t="n"/>
      <c r="AB196" s="67">
        <f>IF($F196="","",IFERROR(INDEX(Employee_Master!$E$5:$E$204,MATCH($F196,Employee_Master!$B$5:$B$204,0)),""))</f>
        <v/>
      </c>
      <c r="AC196" s="65">
        <f>IF(OR($A196="",$AB196=""),"",IF(OR($I196="Completed",$I196="Cancelled"),"Closed - in Manager Report","Active - in Manager Report"))</f>
        <v/>
      </c>
      <c r="AD196" s="81">
        <f>IF($A196="","",IFERROR(TEXTJOIN(", ",TRUE,FILTER(Task_Steps!$A$5:$A$2004,Task_Steps!$B$5:$B$2004=$A196)),""))</f>
        <v/>
      </c>
      <c r="AE196" s="84">
        <f>IF($A196="","",COUNTIFS(Task_Steps!$B$5:$B$2004,$A196,Task_Steps!$H$5:$H$2004,"&lt;&gt;Completed",Task_Steps!$H$5:$H$2004,"&lt;&gt;Cancelled"))</f>
        <v/>
      </c>
      <c r="AF196" s="81">
        <f>IF(OR($B196="",$A196=""),"",$B196&amp;" | "&amp;$A196)</f>
        <v/>
      </c>
    </row>
    <row r="197" ht="15" customHeight="1" s="40">
      <c r="A197" s="65">
        <f>IF(COUNTA(B197:F197)=0,"","TSK-"&amp;TEXT(ROW()-4,"0000"))</f>
        <v/>
      </c>
      <c r="B197" s="78" t="n"/>
      <c r="C197" s="78" t="n"/>
      <c r="D197" s="81" t="n"/>
      <c r="E197" s="81" t="n"/>
      <c r="F197" s="78" t="n"/>
      <c r="G197" s="67">
        <f>IF($F197="","",IFERROR(INDEX(Employee_Master!$C$5:$C$204,MATCH($F197,Employee_Master!$B$5:$B$204,0)),""))</f>
        <v/>
      </c>
      <c r="H197" s="78" t="n"/>
      <c r="I197" s="78" t="n"/>
      <c r="J197" s="67">
        <f>IF($I197="","",IFERROR(INDEX(Action_Status_Map!$B$5:$B$11,MATCH($I197,Action_Status_Map!$A$5:$A$11,0)),""))</f>
        <v/>
      </c>
      <c r="K197" s="82" t="n"/>
      <c r="L197" s="82" t="n"/>
      <c r="M197" s="82" t="n"/>
      <c r="N197" s="83" t="n"/>
      <c r="O197" s="83" t="n"/>
      <c r="P197" s="66">
        <f>IF(OR($N197="",$O197=""),"",$O197-$N197)</f>
        <v/>
      </c>
      <c r="Q197" s="84">
        <f>IF($K197="","",IF($M197&lt;&gt;"",$M197-$K197,TODAY()-$K197))</f>
        <v/>
      </c>
      <c r="R197" s="85">
        <f>IF(OR($L197="",$I197="Completed",$I197="Cancelled"),"",IF(AND($L197&lt;TODAY(),$I197&lt;&gt;"Completed",$I197&lt;&gt;"Cancelled"),"Overdue","On Track"))</f>
        <v/>
      </c>
      <c r="S197" s="65">
        <f>IF($L197="","",TEXT($L197,"yyyy-mm"))</f>
        <v/>
      </c>
      <c r="T197" s="86">
        <f>IF($I197="","",IFERROR(INDEX(Action_Status_Map!$C$5:$C$11,MATCH($I197,Action_Status_Map!$A$5:$A$11,0)),""))</f>
        <v/>
      </c>
      <c r="U197" s="81" t="n"/>
      <c r="V197" s="82" t="n"/>
      <c r="W197" s="65">
        <f>IF(OR($I197&lt;&gt;"Completed",$M197="",$L197=""),"",IF($M197&lt;=$L197,"Yes","No"))</f>
        <v/>
      </c>
      <c r="X197" s="84">
        <f>IF($A197="","",COUNTIF(Task_Steps!$B$5:$B$2004,$A197))</f>
        <v/>
      </c>
      <c r="Y197" s="86">
        <f>IF($X197=0,"",COUNTIFS(Task_Steps!$B$5:$B$2004,$A197,Task_Steps!$H$5:$H$2004,"Completed")/$X197)</f>
        <v/>
      </c>
      <c r="Z197" s="81" t="n"/>
      <c r="AA197" s="81" t="n"/>
      <c r="AB197" s="67">
        <f>IF($F197="","",IFERROR(INDEX(Employee_Master!$E$5:$E$204,MATCH($F197,Employee_Master!$B$5:$B$204,0)),""))</f>
        <v/>
      </c>
      <c r="AC197" s="65">
        <f>IF(OR($A197="",$AB197=""),"",IF(OR($I197="Completed",$I197="Cancelled"),"Closed - in Manager Report","Active - in Manager Report"))</f>
        <v/>
      </c>
      <c r="AD197" s="81">
        <f>IF($A197="","",IFERROR(TEXTJOIN(", ",TRUE,FILTER(Task_Steps!$A$5:$A$2004,Task_Steps!$B$5:$B$2004=$A197)),""))</f>
        <v/>
      </c>
      <c r="AE197" s="84">
        <f>IF($A197="","",COUNTIFS(Task_Steps!$B$5:$B$2004,$A197,Task_Steps!$H$5:$H$2004,"&lt;&gt;Completed",Task_Steps!$H$5:$H$2004,"&lt;&gt;Cancelled"))</f>
        <v/>
      </c>
      <c r="AF197" s="81">
        <f>IF(OR($B197="",$A197=""),"",$B197&amp;" | "&amp;$A197)</f>
        <v/>
      </c>
    </row>
    <row r="198" ht="15" customHeight="1" s="40">
      <c r="A198" s="65">
        <f>IF(COUNTA(B198:F198)=0,"","TSK-"&amp;TEXT(ROW()-4,"0000"))</f>
        <v/>
      </c>
      <c r="B198" s="78" t="n"/>
      <c r="C198" s="78" t="n"/>
      <c r="D198" s="81" t="n"/>
      <c r="E198" s="81" t="n"/>
      <c r="F198" s="78" t="n"/>
      <c r="G198" s="67">
        <f>IF($F198="","",IFERROR(INDEX(Employee_Master!$C$5:$C$204,MATCH($F198,Employee_Master!$B$5:$B$204,0)),""))</f>
        <v/>
      </c>
      <c r="H198" s="78" t="n"/>
      <c r="I198" s="78" t="n"/>
      <c r="J198" s="67">
        <f>IF($I198="","",IFERROR(INDEX(Action_Status_Map!$B$5:$B$11,MATCH($I198,Action_Status_Map!$A$5:$A$11,0)),""))</f>
        <v/>
      </c>
      <c r="K198" s="82" t="n"/>
      <c r="L198" s="82" t="n"/>
      <c r="M198" s="82" t="n"/>
      <c r="N198" s="83" t="n"/>
      <c r="O198" s="83" t="n"/>
      <c r="P198" s="66">
        <f>IF(OR($N198="",$O198=""),"",$O198-$N198)</f>
        <v/>
      </c>
      <c r="Q198" s="84">
        <f>IF($K198="","",IF($M198&lt;&gt;"",$M198-$K198,TODAY()-$K198))</f>
        <v/>
      </c>
      <c r="R198" s="85">
        <f>IF(OR($L198="",$I198="Completed",$I198="Cancelled"),"",IF(AND($L198&lt;TODAY(),$I198&lt;&gt;"Completed",$I198&lt;&gt;"Cancelled"),"Overdue","On Track"))</f>
        <v/>
      </c>
      <c r="S198" s="65">
        <f>IF($L198="","",TEXT($L198,"yyyy-mm"))</f>
        <v/>
      </c>
      <c r="T198" s="86">
        <f>IF($I198="","",IFERROR(INDEX(Action_Status_Map!$C$5:$C$11,MATCH($I198,Action_Status_Map!$A$5:$A$11,0)),""))</f>
        <v/>
      </c>
      <c r="U198" s="81" t="n"/>
      <c r="V198" s="82" t="n"/>
      <c r="W198" s="65">
        <f>IF(OR($I198&lt;&gt;"Completed",$M198="",$L198=""),"",IF($M198&lt;=$L198,"Yes","No"))</f>
        <v/>
      </c>
      <c r="X198" s="84">
        <f>IF($A198="","",COUNTIF(Task_Steps!$B$5:$B$2004,$A198))</f>
        <v/>
      </c>
      <c r="Y198" s="86">
        <f>IF($X198=0,"",COUNTIFS(Task_Steps!$B$5:$B$2004,$A198,Task_Steps!$H$5:$H$2004,"Completed")/$X198)</f>
        <v/>
      </c>
      <c r="Z198" s="81" t="n"/>
      <c r="AA198" s="81" t="n"/>
      <c r="AB198" s="67">
        <f>IF($F198="","",IFERROR(INDEX(Employee_Master!$E$5:$E$204,MATCH($F198,Employee_Master!$B$5:$B$204,0)),""))</f>
        <v/>
      </c>
      <c r="AC198" s="65">
        <f>IF(OR($A198="",$AB198=""),"",IF(OR($I198="Completed",$I198="Cancelled"),"Closed - in Manager Report","Active - in Manager Report"))</f>
        <v/>
      </c>
      <c r="AD198" s="81">
        <f>IF($A198="","",IFERROR(TEXTJOIN(", ",TRUE,FILTER(Task_Steps!$A$5:$A$2004,Task_Steps!$B$5:$B$2004=$A198)),""))</f>
        <v/>
      </c>
      <c r="AE198" s="84">
        <f>IF($A198="","",COUNTIFS(Task_Steps!$B$5:$B$2004,$A198,Task_Steps!$H$5:$H$2004,"&lt;&gt;Completed",Task_Steps!$H$5:$H$2004,"&lt;&gt;Cancelled"))</f>
        <v/>
      </c>
      <c r="AF198" s="81">
        <f>IF(OR($B198="",$A198=""),"",$B198&amp;" | "&amp;$A198)</f>
        <v/>
      </c>
    </row>
    <row r="199" ht="15" customHeight="1" s="40">
      <c r="A199" s="65">
        <f>IF(COUNTA(B199:F199)=0,"","TSK-"&amp;TEXT(ROW()-4,"0000"))</f>
        <v/>
      </c>
      <c r="B199" s="78" t="n"/>
      <c r="C199" s="78" t="n"/>
      <c r="D199" s="81" t="n"/>
      <c r="E199" s="81" t="n"/>
      <c r="F199" s="78" t="n"/>
      <c r="G199" s="67">
        <f>IF($F199="","",IFERROR(INDEX(Employee_Master!$C$5:$C$204,MATCH($F199,Employee_Master!$B$5:$B$204,0)),""))</f>
        <v/>
      </c>
      <c r="H199" s="78" t="n"/>
      <c r="I199" s="78" t="n"/>
      <c r="J199" s="67">
        <f>IF($I199="","",IFERROR(INDEX(Action_Status_Map!$B$5:$B$11,MATCH($I199,Action_Status_Map!$A$5:$A$11,0)),""))</f>
        <v/>
      </c>
      <c r="K199" s="82" t="n"/>
      <c r="L199" s="82" t="n"/>
      <c r="M199" s="82" t="n"/>
      <c r="N199" s="83" t="n"/>
      <c r="O199" s="83" t="n"/>
      <c r="P199" s="66">
        <f>IF(OR($N199="",$O199=""),"",$O199-$N199)</f>
        <v/>
      </c>
      <c r="Q199" s="84">
        <f>IF($K199="","",IF($M199&lt;&gt;"",$M199-$K199,TODAY()-$K199))</f>
        <v/>
      </c>
      <c r="R199" s="85">
        <f>IF(OR($L199="",$I199="Completed",$I199="Cancelled"),"",IF(AND($L199&lt;TODAY(),$I199&lt;&gt;"Completed",$I199&lt;&gt;"Cancelled"),"Overdue","On Track"))</f>
        <v/>
      </c>
      <c r="S199" s="65">
        <f>IF($L199="","",TEXT($L199,"yyyy-mm"))</f>
        <v/>
      </c>
      <c r="T199" s="86">
        <f>IF($I199="","",IFERROR(INDEX(Action_Status_Map!$C$5:$C$11,MATCH($I199,Action_Status_Map!$A$5:$A$11,0)),""))</f>
        <v/>
      </c>
      <c r="U199" s="81" t="n"/>
      <c r="V199" s="82" t="n"/>
      <c r="W199" s="65">
        <f>IF(OR($I199&lt;&gt;"Completed",$M199="",$L199=""),"",IF($M199&lt;=$L199,"Yes","No"))</f>
        <v/>
      </c>
      <c r="X199" s="84">
        <f>IF($A199="","",COUNTIF(Task_Steps!$B$5:$B$2004,$A199))</f>
        <v/>
      </c>
      <c r="Y199" s="86">
        <f>IF($X199=0,"",COUNTIFS(Task_Steps!$B$5:$B$2004,$A199,Task_Steps!$H$5:$H$2004,"Completed")/$X199)</f>
        <v/>
      </c>
      <c r="Z199" s="81" t="n"/>
      <c r="AA199" s="81" t="n"/>
      <c r="AB199" s="67">
        <f>IF($F199="","",IFERROR(INDEX(Employee_Master!$E$5:$E$204,MATCH($F199,Employee_Master!$B$5:$B$204,0)),""))</f>
        <v/>
      </c>
      <c r="AC199" s="65">
        <f>IF(OR($A199="",$AB199=""),"",IF(OR($I199="Completed",$I199="Cancelled"),"Closed - in Manager Report","Active - in Manager Report"))</f>
        <v/>
      </c>
      <c r="AD199" s="81">
        <f>IF($A199="","",IFERROR(TEXTJOIN(", ",TRUE,FILTER(Task_Steps!$A$5:$A$2004,Task_Steps!$B$5:$B$2004=$A199)),""))</f>
        <v/>
      </c>
      <c r="AE199" s="84">
        <f>IF($A199="","",COUNTIFS(Task_Steps!$B$5:$B$2004,$A199,Task_Steps!$H$5:$H$2004,"&lt;&gt;Completed",Task_Steps!$H$5:$H$2004,"&lt;&gt;Cancelled"))</f>
        <v/>
      </c>
      <c r="AF199" s="81">
        <f>IF(OR($B199="",$A199=""),"",$B199&amp;" | "&amp;$A199)</f>
        <v/>
      </c>
    </row>
    <row r="200" ht="15" customHeight="1" s="40">
      <c r="A200" s="65">
        <f>IF(COUNTA(B200:F200)=0,"","TSK-"&amp;TEXT(ROW()-4,"0000"))</f>
        <v/>
      </c>
      <c r="B200" s="78" t="n"/>
      <c r="C200" s="78" t="n"/>
      <c r="D200" s="81" t="n"/>
      <c r="E200" s="81" t="n"/>
      <c r="F200" s="78" t="n"/>
      <c r="G200" s="67">
        <f>IF($F200="","",IFERROR(INDEX(Employee_Master!$C$5:$C$204,MATCH($F200,Employee_Master!$B$5:$B$204,0)),""))</f>
        <v/>
      </c>
      <c r="H200" s="78" t="n"/>
      <c r="I200" s="78" t="n"/>
      <c r="J200" s="67">
        <f>IF($I200="","",IFERROR(INDEX(Action_Status_Map!$B$5:$B$11,MATCH($I200,Action_Status_Map!$A$5:$A$11,0)),""))</f>
        <v/>
      </c>
      <c r="K200" s="82" t="n"/>
      <c r="L200" s="82" t="n"/>
      <c r="M200" s="82" t="n"/>
      <c r="N200" s="83" t="n"/>
      <c r="O200" s="83" t="n"/>
      <c r="P200" s="66">
        <f>IF(OR($N200="",$O200=""),"",$O200-$N200)</f>
        <v/>
      </c>
      <c r="Q200" s="84">
        <f>IF($K200="","",IF($M200&lt;&gt;"",$M200-$K200,TODAY()-$K200))</f>
        <v/>
      </c>
      <c r="R200" s="85">
        <f>IF(OR($L200="",$I200="Completed",$I200="Cancelled"),"",IF(AND($L200&lt;TODAY(),$I200&lt;&gt;"Completed",$I200&lt;&gt;"Cancelled"),"Overdue","On Track"))</f>
        <v/>
      </c>
      <c r="S200" s="65">
        <f>IF($L200="","",TEXT($L200,"yyyy-mm"))</f>
        <v/>
      </c>
      <c r="T200" s="86">
        <f>IF($I200="","",IFERROR(INDEX(Action_Status_Map!$C$5:$C$11,MATCH($I200,Action_Status_Map!$A$5:$A$11,0)),""))</f>
        <v/>
      </c>
      <c r="U200" s="81" t="n"/>
      <c r="V200" s="82" t="n"/>
      <c r="W200" s="65">
        <f>IF(OR($I200&lt;&gt;"Completed",$M200="",$L200=""),"",IF($M200&lt;=$L200,"Yes","No"))</f>
        <v/>
      </c>
      <c r="X200" s="84">
        <f>IF($A200="","",COUNTIF(Task_Steps!$B$5:$B$2004,$A200))</f>
        <v/>
      </c>
      <c r="Y200" s="86">
        <f>IF($X200=0,"",COUNTIFS(Task_Steps!$B$5:$B$2004,$A200,Task_Steps!$H$5:$H$2004,"Completed")/$X200)</f>
        <v/>
      </c>
      <c r="Z200" s="81" t="n"/>
      <c r="AA200" s="81" t="n"/>
      <c r="AB200" s="67">
        <f>IF($F200="","",IFERROR(INDEX(Employee_Master!$E$5:$E$204,MATCH($F200,Employee_Master!$B$5:$B$204,0)),""))</f>
        <v/>
      </c>
      <c r="AC200" s="65">
        <f>IF(OR($A200="",$AB200=""),"",IF(OR($I200="Completed",$I200="Cancelled"),"Closed - in Manager Report","Active - in Manager Report"))</f>
        <v/>
      </c>
      <c r="AD200" s="81">
        <f>IF($A200="","",IFERROR(TEXTJOIN(", ",TRUE,FILTER(Task_Steps!$A$5:$A$2004,Task_Steps!$B$5:$B$2004=$A200)),""))</f>
        <v/>
      </c>
      <c r="AE200" s="84">
        <f>IF($A200="","",COUNTIFS(Task_Steps!$B$5:$B$2004,$A200,Task_Steps!$H$5:$H$2004,"&lt;&gt;Completed",Task_Steps!$H$5:$H$2004,"&lt;&gt;Cancelled"))</f>
        <v/>
      </c>
      <c r="AF200" s="81">
        <f>IF(OR($B200="",$A200=""),"",$B200&amp;" | "&amp;$A200)</f>
        <v/>
      </c>
    </row>
    <row r="201" ht="15" customHeight="1" s="40">
      <c r="A201" s="65">
        <f>IF(COUNTA(B201:F201)=0,"","TSK-"&amp;TEXT(ROW()-4,"0000"))</f>
        <v/>
      </c>
      <c r="B201" s="78" t="n"/>
      <c r="C201" s="78" t="n"/>
      <c r="D201" s="81" t="n"/>
      <c r="E201" s="81" t="n"/>
      <c r="F201" s="78" t="n"/>
      <c r="G201" s="67">
        <f>IF($F201="","",IFERROR(INDEX(Employee_Master!$C$5:$C$204,MATCH($F201,Employee_Master!$B$5:$B$204,0)),""))</f>
        <v/>
      </c>
      <c r="H201" s="78" t="n"/>
      <c r="I201" s="78" t="n"/>
      <c r="J201" s="67">
        <f>IF($I201="","",IFERROR(INDEX(Action_Status_Map!$B$5:$B$11,MATCH($I201,Action_Status_Map!$A$5:$A$11,0)),""))</f>
        <v/>
      </c>
      <c r="K201" s="82" t="n"/>
      <c r="L201" s="82" t="n"/>
      <c r="M201" s="82" t="n"/>
      <c r="N201" s="83" t="n"/>
      <c r="O201" s="83" t="n"/>
      <c r="P201" s="66">
        <f>IF(OR($N201="",$O201=""),"",$O201-$N201)</f>
        <v/>
      </c>
      <c r="Q201" s="84">
        <f>IF($K201="","",IF($M201&lt;&gt;"",$M201-$K201,TODAY()-$K201))</f>
        <v/>
      </c>
      <c r="R201" s="85">
        <f>IF(OR($L201="",$I201="Completed",$I201="Cancelled"),"",IF(AND($L201&lt;TODAY(),$I201&lt;&gt;"Completed",$I201&lt;&gt;"Cancelled"),"Overdue","On Track"))</f>
        <v/>
      </c>
      <c r="S201" s="65">
        <f>IF($L201="","",TEXT($L201,"yyyy-mm"))</f>
        <v/>
      </c>
      <c r="T201" s="86">
        <f>IF($I201="","",IFERROR(INDEX(Action_Status_Map!$C$5:$C$11,MATCH($I201,Action_Status_Map!$A$5:$A$11,0)),""))</f>
        <v/>
      </c>
      <c r="U201" s="81" t="n"/>
      <c r="V201" s="82" t="n"/>
      <c r="W201" s="65">
        <f>IF(OR($I201&lt;&gt;"Completed",$M201="",$L201=""),"",IF($M201&lt;=$L201,"Yes","No"))</f>
        <v/>
      </c>
      <c r="X201" s="84">
        <f>IF($A201="","",COUNTIF(Task_Steps!$B$5:$B$2004,$A201))</f>
        <v/>
      </c>
      <c r="Y201" s="86">
        <f>IF($X201=0,"",COUNTIFS(Task_Steps!$B$5:$B$2004,$A201,Task_Steps!$H$5:$H$2004,"Completed")/$X201)</f>
        <v/>
      </c>
      <c r="Z201" s="81" t="n"/>
      <c r="AA201" s="81" t="n"/>
      <c r="AB201" s="67">
        <f>IF($F201="","",IFERROR(INDEX(Employee_Master!$E$5:$E$204,MATCH($F201,Employee_Master!$B$5:$B$204,0)),""))</f>
        <v/>
      </c>
      <c r="AC201" s="65">
        <f>IF(OR($A201="",$AB201=""),"",IF(OR($I201="Completed",$I201="Cancelled"),"Closed - in Manager Report","Active - in Manager Report"))</f>
        <v/>
      </c>
      <c r="AD201" s="81">
        <f>IF($A201="","",IFERROR(TEXTJOIN(", ",TRUE,FILTER(Task_Steps!$A$5:$A$2004,Task_Steps!$B$5:$B$2004=$A201)),""))</f>
        <v/>
      </c>
      <c r="AE201" s="84">
        <f>IF($A201="","",COUNTIFS(Task_Steps!$B$5:$B$2004,$A201,Task_Steps!$H$5:$H$2004,"&lt;&gt;Completed",Task_Steps!$H$5:$H$2004,"&lt;&gt;Cancelled"))</f>
        <v/>
      </c>
      <c r="AF201" s="81">
        <f>IF(OR($B201="",$A201=""),"",$B201&amp;" | "&amp;$A201)</f>
        <v/>
      </c>
    </row>
    <row r="202" ht="15" customHeight="1" s="40">
      <c r="A202" s="65">
        <f>IF(COUNTA(B202:F202)=0,"","TSK-"&amp;TEXT(ROW()-4,"0000"))</f>
        <v/>
      </c>
      <c r="B202" s="78" t="n"/>
      <c r="C202" s="78" t="n"/>
      <c r="D202" s="81" t="n"/>
      <c r="E202" s="81" t="n"/>
      <c r="F202" s="78" t="n"/>
      <c r="G202" s="67">
        <f>IF($F202="","",IFERROR(INDEX(Employee_Master!$C$5:$C$204,MATCH($F202,Employee_Master!$B$5:$B$204,0)),""))</f>
        <v/>
      </c>
      <c r="H202" s="78" t="n"/>
      <c r="I202" s="78" t="n"/>
      <c r="J202" s="67">
        <f>IF($I202="","",IFERROR(INDEX(Action_Status_Map!$B$5:$B$11,MATCH($I202,Action_Status_Map!$A$5:$A$11,0)),""))</f>
        <v/>
      </c>
      <c r="K202" s="82" t="n"/>
      <c r="L202" s="82" t="n"/>
      <c r="M202" s="82" t="n"/>
      <c r="N202" s="83" t="n"/>
      <c r="O202" s="83" t="n"/>
      <c r="P202" s="66">
        <f>IF(OR($N202="",$O202=""),"",$O202-$N202)</f>
        <v/>
      </c>
      <c r="Q202" s="84">
        <f>IF($K202="","",IF($M202&lt;&gt;"",$M202-$K202,TODAY()-$K202))</f>
        <v/>
      </c>
      <c r="R202" s="85">
        <f>IF(OR($L202="",$I202="Completed",$I202="Cancelled"),"",IF(AND($L202&lt;TODAY(),$I202&lt;&gt;"Completed",$I202&lt;&gt;"Cancelled"),"Overdue","On Track"))</f>
        <v/>
      </c>
      <c r="S202" s="65">
        <f>IF($L202="","",TEXT($L202,"yyyy-mm"))</f>
        <v/>
      </c>
      <c r="T202" s="86">
        <f>IF($I202="","",IFERROR(INDEX(Action_Status_Map!$C$5:$C$11,MATCH($I202,Action_Status_Map!$A$5:$A$11,0)),""))</f>
        <v/>
      </c>
      <c r="U202" s="81" t="n"/>
      <c r="V202" s="82" t="n"/>
      <c r="W202" s="65">
        <f>IF(OR($I202&lt;&gt;"Completed",$M202="",$L202=""),"",IF($M202&lt;=$L202,"Yes","No"))</f>
        <v/>
      </c>
      <c r="X202" s="84">
        <f>IF($A202="","",COUNTIF(Task_Steps!$B$5:$B$2004,$A202))</f>
        <v/>
      </c>
      <c r="Y202" s="86">
        <f>IF($X202=0,"",COUNTIFS(Task_Steps!$B$5:$B$2004,$A202,Task_Steps!$H$5:$H$2004,"Completed")/$X202)</f>
        <v/>
      </c>
      <c r="Z202" s="81" t="n"/>
      <c r="AA202" s="81" t="n"/>
      <c r="AB202" s="67">
        <f>IF($F202="","",IFERROR(INDEX(Employee_Master!$E$5:$E$204,MATCH($F202,Employee_Master!$B$5:$B$204,0)),""))</f>
        <v/>
      </c>
      <c r="AC202" s="65">
        <f>IF(OR($A202="",$AB202=""),"",IF(OR($I202="Completed",$I202="Cancelled"),"Closed - in Manager Report","Active - in Manager Report"))</f>
        <v/>
      </c>
      <c r="AD202" s="81">
        <f>IF($A202="","",IFERROR(TEXTJOIN(", ",TRUE,FILTER(Task_Steps!$A$5:$A$2004,Task_Steps!$B$5:$B$2004=$A202)),""))</f>
        <v/>
      </c>
      <c r="AE202" s="84">
        <f>IF($A202="","",COUNTIFS(Task_Steps!$B$5:$B$2004,$A202,Task_Steps!$H$5:$H$2004,"&lt;&gt;Completed",Task_Steps!$H$5:$H$2004,"&lt;&gt;Cancelled"))</f>
        <v/>
      </c>
      <c r="AF202" s="81">
        <f>IF(OR($B202="",$A202=""),"",$B202&amp;" | "&amp;$A202)</f>
        <v/>
      </c>
    </row>
    <row r="203" ht="15" customHeight="1" s="40">
      <c r="A203" s="65">
        <f>IF(COUNTA(B203:F203)=0,"","TSK-"&amp;TEXT(ROW()-4,"0000"))</f>
        <v/>
      </c>
      <c r="B203" s="78" t="n"/>
      <c r="C203" s="78" t="n"/>
      <c r="D203" s="81" t="n"/>
      <c r="E203" s="81" t="n"/>
      <c r="F203" s="78" t="n"/>
      <c r="G203" s="67">
        <f>IF($F203="","",IFERROR(INDEX(Employee_Master!$C$5:$C$204,MATCH($F203,Employee_Master!$B$5:$B$204,0)),""))</f>
        <v/>
      </c>
      <c r="H203" s="78" t="n"/>
      <c r="I203" s="78" t="n"/>
      <c r="J203" s="67">
        <f>IF($I203="","",IFERROR(INDEX(Action_Status_Map!$B$5:$B$11,MATCH($I203,Action_Status_Map!$A$5:$A$11,0)),""))</f>
        <v/>
      </c>
      <c r="K203" s="82" t="n"/>
      <c r="L203" s="82" t="n"/>
      <c r="M203" s="82" t="n"/>
      <c r="N203" s="83" t="n"/>
      <c r="O203" s="83" t="n"/>
      <c r="P203" s="66">
        <f>IF(OR($N203="",$O203=""),"",$O203-$N203)</f>
        <v/>
      </c>
      <c r="Q203" s="84">
        <f>IF($K203="","",IF($M203&lt;&gt;"",$M203-$K203,TODAY()-$K203))</f>
        <v/>
      </c>
      <c r="R203" s="85">
        <f>IF(OR($L203="",$I203="Completed",$I203="Cancelled"),"",IF(AND($L203&lt;TODAY(),$I203&lt;&gt;"Completed",$I203&lt;&gt;"Cancelled"),"Overdue","On Track"))</f>
        <v/>
      </c>
      <c r="S203" s="65">
        <f>IF($L203="","",TEXT($L203,"yyyy-mm"))</f>
        <v/>
      </c>
      <c r="T203" s="86">
        <f>IF($I203="","",IFERROR(INDEX(Action_Status_Map!$C$5:$C$11,MATCH($I203,Action_Status_Map!$A$5:$A$11,0)),""))</f>
        <v/>
      </c>
      <c r="U203" s="81" t="n"/>
      <c r="V203" s="82" t="n"/>
      <c r="W203" s="65">
        <f>IF(OR($I203&lt;&gt;"Completed",$M203="",$L203=""),"",IF($M203&lt;=$L203,"Yes","No"))</f>
        <v/>
      </c>
      <c r="X203" s="84">
        <f>IF($A203="","",COUNTIF(Task_Steps!$B$5:$B$2004,$A203))</f>
        <v/>
      </c>
      <c r="Y203" s="86">
        <f>IF($X203=0,"",COUNTIFS(Task_Steps!$B$5:$B$2004,$A203,Task_Steps!$H$5:$H$2004,"Completed")/$X203)</f>
        <v/>
      </c>
      <c r="Z203" s="81" t="n"/>
      <c r="AA203" s="81" t="n"/>
      <c r="AB203" s="67">
        <f>IF($F203="","",IFERROR(INDEX(Employee_Master!$E$5:$E$204,MATCH($F203,Employee_Master!$B$5:$B$204,0)),""))</f>
        <v/>
      </c>
      <c r="AC203" s="65">
        <f>IF(OR($A203="",$AB203=""),"",IF(OR($I203="Completed",$I203="Cancelled"),"Closed - in Manager Report","Active - in Manager Report"))</f>
        <v/>
      </c>
      <c r="AD203" s="81">
        <f>IF($A203="","",IFERROR(TEXTJOIN(", ",TRUE,FILTER(Task_Steps!$A$5:$A$2004,Task_Steps!$B$5:$B$2004=$A203)),""))</f>
        <v/>
      </c>
      <c r="AE203" s="84">
        <f>IF($A203="","",COUNTIFS(Task_Steps!$B$5:$B$2004,$A203,Task_Steps!$H$5:$H$2004,"&lt;&gt;Completed",Task_Steps!$H$5:$H$2004,"&lt;&gt;Cancelled"))</f>
        <v/>
      </c>
      <c r="AF203" s="81">
        <f>IF(OR($B203="",$A203=""),"",$B203&amp;" | "&amp;$A203)</f>
        <v/>
      </c>
    </row>
    <row r="204" ht="15" customHeight="1" s="40">
      <c r="A204" s="65">
        <f>IF(COUNTA(B204:F204)=0,"","TSK-"&amp;TEXT(ROW()-4,"0000"))</f>
        <v/>
      </c>
      <c r="B204" s="78" t="n"/>
      <c r="C204" s="78" t="n"/>
      <c r="D204" s="81" t="n"/>
      <c r="E204" s="81" t="n"/>
      <c r="F204" s="78" t="n"/>
      <c r="G204" s="67">
        <f>IF($F204="","",IFERROR(INDEX(Employee_Master!$C$5:$C$204,MATCH($F204,Employee_Master!$B$5:$B$204,0)),""))</f>
        <v/>
      </c>
      <c r="H204" s="78" t="n"/>
      <c r="I204" s="78" t="n"/>
      <c r="J204" s="67">
        <f>IF($I204="","",IFERROR(INDEX(Action_Status_Map!$B$5:$B$11,MATCH($I204,Action_Status_Map!$A$5:$A$11,0)),""))</f>
        <v/>
      </c>
      <c r="K204" s="82" t="n"/>
      <c r="L204" s="82" t="n"/>
      <c r="M204" s="82" t="n"/>
      <c r="N204" s="83" t="n"/>
      <c r="O204" s="83" t="n"/>
      <c r="P204" s="66">
        <f>IF(OR($N204="",$O204=""),"",$O204-$N204)</f>
        <v/>
      </c>
      <c r="Q204" s="84">
        <f>IF($K204="","",IF($M204&lt;&gt;"",$M204-$K204,TODAY()-$K204))</f>
        <v/>
      </c>
      <c r="R204" s="85">
        <f>IF(OR($L204="",$I204="Completed",$I204="Cancelled"),"",IF(AND($L204&lt;TODAY(),$I204&lt;&gt;"Completed",$I204&lt;&gt;"Cancelled"),"Overdue","On Track"))</f>
        <v/>
      </c>
      <c r="S204" s="65">
        <f>IF($L204="","",TEXT($L204,"yyyy-mm"))</f>
        <v/>
      </c>
      <c r="T204" s="86">
        <f>IF($I204="","",IFERROR(INDEX(Action_Status_Map!$C$5:$C$11,MATCH($I204,Action_Status_Map!$A$5:$A$11,0)),""))</f>
        <v/>
      </c>
      <c r="U204" s="81" t="n"/>
      <c r="V204" s="82" t="n"/>
      <c r="W204" s="65">
        <f>IF(OR($I204&lt;&gt;"Completed",$M204="",$L204=""),"",IF($M204&lt;=$L204,"Yes","No"))</f>
        <v/>
      </c>
      <c r="X204" s="84">
        <f>IF($A204="","",COUNTIF(Task_Steps!$B$5:$B$2004,$A204))</f>
        <v/>
      </c>
      <c r="Y204" s="86">
        <f>IF($X204=0,"",COUNTIFS(Task_Steps!$B$5:$B$2004,$A204,Task_Steps!$H$5:$H$2004,"Completed")/$X204)</f>
        <v/>
      </c>
      <c r="Z204" s="81" t="n"/>
      <c r="AA204" s="81" t="n"/>
      <c r="AB204" s="67">
        <f>IF($F204="","",IFERROR(INDEX(Employee_Master!$E$5:$E$204,MATCH($F204,Employee_Master!$B$5:$B$204,0)),""))</f>
        <v/>
      </c>
      <c r="AC204" s="65">
        <f>IF(OR($A204="",$AB204=""),"",IF(OR($I204="Completed",$I204="Cancelled"),"Closed - in Manager Report","Active - in Manager Report"))</f>
        <v/>
      </c>
      <c r="AD204" s="81">
        <f>IF($A204="","",IFERROR(TEXTJOIN(", ",TRUE,FILTER(Task_Steps!$A$5:$A$2004,Task_Steps!$B$5:$B$2004=$A204)),""))</f>
        <v/>
      </c>
      <c r="AE204" s="84">
        <f>IF($A204="","",COUNTIFS(Task_Steps!$B$5:$B$2004,$A204,Task_Steps!$H$5:$H$2004,"&lt;&gt;Completed",Task_Steps!$H$5:$H$2004,"&lt;&gt;Cancelled"))</f>
        <v/>
      </c>
      <c r="AF204" s="81">
        <f>IF(OR($B204="",$A204=""),"",$B204&amp;" | "&amp;$A204)</f>
        <v/>
      </c>
    </row>
    <row r="205" ht="15" customHeight="1" s="40">
      <c r="A205" s="65">
        <f>IF(COUNTA(B205:F205)=0,"","TSK-"&amp;TEXT(ROW()-4,"0000"))</f>
        <v/>
      </c>
      <c r="B205" s="78" t="n"/>
      <c r="C205" s="78" t="n"/>
      <c r="D205" s="81" t="n"/>
      <c r="E205" s="81" t="n"/>
      <c r="F205" s="78" t="n"/>
      <c r="G205" s="67">
        <f>IF($F205="","",IFERROR(INDEX(Employee_Master!$C$5:$C$204,MATCH($F205,Employee_Master!$B$5:$B$204,0)),""))</f>
        <v/>
      </c>
      <c r="H205" s="78" t="n"/>
      <c r="I205" s="78" t="n"/>
      <c r="J205" s="67">
        <f>IF($I205="","",IFERROR(INDEX(Action_Status_Map!$B$5:$B$11,MATCH($I205,Action_Status_Map!$A$5:$A$11,0)),""))</f>
        <v/>
      </c>
      <c r="K205" s="82" t="n"/>
      <c r="L205" s="82" t="n"/>
      <c r="M205" s="82" t="n"/>
      <c r="N205" s="83" t="n"/>
      <c r="O205" s="83" t="n"/>
      <c r="P205" s="66">
        <f>IF(OR($N205="",$O205=""),"",$O205-$N205)</f>
        <v/>
      </c>
      <c r="Q205" s="84">
        <f>IF($K205="","",IF($M205&lt;&gt;"",$M205-$K205,TODAY()-$K205))</f>
        <v/>
      </c>
      <c r="R205" s="85">
        <f>IF(OR($L205="",$I205="Completed",$I205="Cancelled"),"",IF(AND($L205&lt;TODAY(),$I205&lt;&gt;"Completed",$I205&lt;&gt;"Cancelled"),"Overdue","On Track"))</f>
        <v/>
      </c>
      <c r="S205" s="65">
        <f>IF($L205="","",TEXT($L205,"yyyy-mm"))</f>
        <v/>
      </c>
      <c r="T205" s="86">
        <f>IF($I205="","",IFERROR(INDEX(Action_Status_Map!$C$5:$C$11,MATCH($I205,Action_Status_Map!$A$5:$A$11,0)),""))</f>
        <v/>
      </c>
      <c r="U205" s="81" t="n"/>
      <c r="V205" s="82" t="n"/>
      <c r="W205" s="65">
        <f>IF(OR($I205&lt;&gt;"Completed",$M205="",$L205=""),"",IF($M205&lt;=$L205,"Yes","No"))</f>
        <v/>
      </c>
      <c r="X205" s="84">
        <f>IF($A205="","",COUNTIF(Task_Steps!$B$5:$B$2004,$A205))</f>
        <v/>
      </c>
      <c r="Y205" s="86">
        <f>IF($X205=0,"",COUNTIFS(Task_Steps!$B$5:$B$2004,$A205,Task_Steps!$H$5:$H$2004,"Completed")/$X205)</f>
        <v/>
      </c>
      <c r="Z205" s="81" t="n"/>
      <c r="AA205" s="81" t="n"/>
      <c r="AB205" s="67">
        <f>IF($F205="","",IFERROR(INDEX(Employee_Master!$E$5:$E$204,MATCH($F205,Employee_Master!$B$5:$B$204,0)),""))</f>
        <v/>
      </c>
      <c r="AC205" s="65">
        <f>IF(OR($A205="",$AB205=""),"",IF(OR($I205="Completed",$I205="Cancelled"),"Closed - in Manager Report","Active - in Manager Report"))</f>
        <v/>
      </c>
      <c r="AD205" s="81">
        <f>IF($A205="","",IFERROR(TEXTJOIN(", ",TRUE,FILTER(Task_Steps!$A$5:$A$2004,Task_Steps!$B$5:$B$2004=$A205)),""))</f>
        <v/>
      </c>
      <c r="AE205" s="84">
        <f>IF($A205="","",COUNTIFS(Task_Steps!$B$5:$B$2004,$A205,Task_Steps!$H$5:$H$2004,"&lt;&gt;Completed",Task_Steps!$H$5:$H$2004,"&lt;&gt;Cancelled"))</f>
        <v/>
      </c>
      <c r="AF205" s="81">
        <f>IF(OR($B205="",$A205=""),"",$B205&amp;" | "&amp;$A205)</f>
        <v/>
      </c>
    </row>
    <row r="206" ht="15" customHeight="1" s="40">
      <c r="A206" s="65">
        <f>IF(COUNTA(B206:F206)=0,"","TSK-"&amp;TEXT(ROW()-4,"0000"))</f>
        <v/>
      </c>
      <c r="B206" s="78" t="n"/>
      <c r="C206" s="78" t="n"/>
      <c r="D206" s="81" t="n"/>
      <c r="E206" s="81" t="n"/>
      <c r="F206" s="78" t="n"/>
      <c r="G206" s="67">
        <f>IF($F206="","",IFERROR(INDEX(Employee_Master!$C$5:$C$204,MATCH($F206,Employee_Master!$B$5:$B$204,0)),""))</f>
        <v/>
      </c>
      <c r="H206" s="78" t="n"/>
      <c r="I206" s="78" t="n"/>
      <c r="J206" s="67">
        <f>IF($I206="","",IFERROR(INDEX(Action_Status_Map!$B$5:$B$11,MATCH($I206,Action_Status_Map!$A$5:$A$11,0)),""))</f>
        <v/>
      </c>
      <c r="K206" s="82" t="n"/>
      <c r="L206" s="82" t="n"/>
      <c r="M206" s="82" t="n"/>
      <c r="N206" s="83" t="n"/>
      <c r="O206" s="83" t="n"/>
      <c r="P206" s="66">
        <f>IF(OR($N206="",$O206=""),"",$O206-$N206)</f>
        <v/>
      </c>
      <c r="Q206" s="84">
        <f>IF($K206="","",IF($M206&lt;&gt;"",$M206-$K206,TODAY()-$K206))</f>
        <v/>
      </c>
      <c r="R206" s="85">
        <f>IF(OR($L206="",$I206="Completed",$I206="Cancelled"),"",IF(AND($L206&lt;TODAY(),$I206&lt;&gt;"Completed",$I206&lt;&gt;"Cancelled"),"Overdue","On Track"))</f>
        <v/>
      </c>
      <c r="S206" s="65">
        <f>IF($L206="","",TEXT($L206,"yyyy-mm"))</f>
        <v/>
      </c>
      <c r="T206" s="86">
        <f>IF($I206="","",IFERROR(INDEX(Action_Status_Map!$C$5:$C$11,MATCH($I206,Action_Status_Map!$A$5:$A$11,0)),""))</f>
        <v/>
      </c>
      <c r="U206" s="81" t="n"/>
      <c r="V206" s="82" t="n"/>
      <c r="W206" s="65">
        <f>IF(OR($I206&lt;&gt;"Completed",$M206="",$L206=""),"",IF($M206&lt;=$L206,"Yes","No"))</f>
        <v/>
      </c>
      <c r="X206" s="84">
        <f>IF($A206="","",COUNTIF(Task_Steps!$B$5:$B$2004,$A206))</f>
        <v/>
      </c>
      <c r="Y206" s="86">
        <f>IF($X206=0,"",COUNTIFS(Task_Steps!$B$5:$B$2004,$A206,Task_Steps!$H$5:$H$2004,"Completed")/$X206)</f>
        <v/>
      </c>
      <c r="Z206" s="81" t="n"/>
      <c r="AA206" s="81" t="n"/>
      <c r="AB206" s="67">
        <f>IF($F206="","",IFERROR(INDEX(Employee_Master!$E$5:$E$204,MATCH($F206,Employee_Master!$B$5:$B$204,0)),""))</f>
        <v/>
      </c>
      <c r="AC206" s="65">
        <f>IF(OR($A206="",$AB206=""),"",IF(OR($I206="Completed",$I206="Cancelled"),"Closed - in Manager Report","Active - in Manager Report"))</f>
        <v/>
      </c>
      <c r="AD206" s="81">
        <f>IF($A206="","",IFERROR(TEXTJOIN(", ",TRUE,FILTER(Task_Steps!$A$5:$A$2004,Task_Steps!$B$5:$B$2004=$A206)),""))</f>
        <v/>
      </c>
      <c r="AE206" s="84">
        <f>IF($A206="","",COUNTIFS(Task_Steps!$B$5:$B$2004,$A206,Task_Steps!$H$5:$H$2004,"&lt;&gt;Completed",Task_Steps!$H$5:$H$2004,"&lt;&gt;Cancelled"))</f>
        <v/>
      </c>
      <c r="AF206" s="81">
        <f>IF(OR($B206="",$A206=""),"",$B206&amp;" | "&amp;$A206)</f>
        <v/>
      </c>
    </row>
    <row r="207" ht="15" customHeight="1" s="40">
      <c r="A207" s="65">
        <f>IF(COUNTA(B207:F207)=0,"","TSK-"&amp;TEXT(ROW()-4,"0000"))</f>
        <v/>
      </c>
      <c r="B207" s="78" t="n"/>
      <c r="C207" s="78" t="n"/>
      <c r="D207" s="81" t="n"/>
      <c r="E207" s="81" t="n"/>
      <c r="F207" s="78" t="n"/>
      <c r="G207" s="67">
        <f>IF($F207="","",IFERROR(INDEX(Employee_Master!$C$5:$C$204,MATCH($F207,Employee_Master!$B$5:$B$204,0)),""))</f>
        <v/>
      </c>
      <c r="H207" s="78" t="n"/>
      <c r="I207" s="78" t="n"/>
      <c r="J207" s="67">
        <f>IF($I207="","",IFERROR(INDEX(Action_Status_Map!$B$5:$B$11,MATCH($I207,Action_Status_Map!$A$5:$A$11,0)),""))</f>
        <v/>
      </c>
      <c r="K207" s="82" t="n"/>
      <c r="L207" s="82" t="n"/>
      <c r="M207" s="82" t="n"/>
      <c r="N207" s="83" t="n"/>
      <c r="O207" s="83" t="n"/>
      <c r="P207" s="66">
        <f>IF(OR($N207="",$O207=""),"",$O207-$N207)</f>
        <v/>
      </c>
      <c r="Q207" s="84">
        <f>IF($K207="","",IF($M207&lt;&gt;"",$M207-$K207,TODAY()-$K207))</f>
        <v/>
      </c>
      <c r="R207" s="85">
        <f>IF(OR($L207="",$I207="Completed",$I207="Cancelled"),"",IF(AND($L207&lt;TODAY(),$I207&lt;&gt;"Completed",$I207&lt;&gt;"Cancelled"),"Overdue","On Track"))</f>
        <v/>
      </c>
      <c r="S207" s="65">
        <f>IF($L207="","",TEXT($L207,"yyyy-mm"))</f>
        <v/>
      </c>
      <c r="T207" s="86">
        <f>IF($I207="","",IFERROR(INDEX(Action_Status_Map!$C$5:$C$11,MATCH($I207,Action_Status_Map!$A$5:$A$11,0)),""))</f>
        <v/>
      </c>
      <c r="U207" s="81" t="n"/>
      <c r="V207" s="82" t="n"/>
      <c r="W207" s="65">
        <f>IF(OR($I207&lt;&gt;"Completed",$M207="",$L207=""),"",IF($M207&lt;=$L207,"Yes","No"))</f>
        <v/>
      </c>
      <c r="X207" s="84">
        <f>IF($A207="","",COUNTIF(Task_Steps!$B$5:$B$2004,$A207))</f>
        <v/>
      </c>
      <c r="Y207" s="86">
        <f>IF($X207=0,"",COUNTIFS(Task_Steps!$B$5:$B$2004,$A207,Task_Steps!$H$5:$H$2004,"Completed")/$X207)</f>
        <v/>
      </c>
      <c r="Z207" s="81" t="n"/>
      <c r="AA207" s="81" t="n"/>
      <c r="AB207" s="67">
        <f>IF($F207="","",IFERROR(INDEX(Employee_Master!$E$5:$E$204,MATCH($F207,Employee_Master!$B$5:$B$204,0)),""))</f>
        <v/>
      </c>
      <c r="AC207" s="65">
        <f>IF(OR($A207="",$AB207=""),"",IF(OR($I207="Completed",$I207="Cancelled"),"Closed - in Manager Report","Active - in Manager Report"))</f>
        <v/>
      </c>
      <c r="AD207" s="81">
        <f>IF($A207="","",IFERROR(TEXTJOIN(", ",TRUE,FILTER(Task_Steps!$A$5:$A$2004,Task_Steps!$B$5:$B$2004=$A207)),""))</f>
        <v/>
      </c>
      <c r="AE207" s="84">
        <f>IF($A207="","",COUNTIFS(Task_Steps!$B$5:$B$2004,$A207,Task_Steps!$H$5:$H$2004,"&lt;&gt;Completed",Task_Steps!$H$5:$H$2004,"&lt;&gt;Cancelled"))</f>
        <v/>
      </c>
      <c r="AF207" s="81">
        <f>IF(OR($B207="",$A207=""),"",$B207&amp;" | "&amp;$A207)</f>
        <v/>
      </c>
    </row>
    <row r="208" ht="15" customHeight="1" s="40">
      <c r="A208" s="65">
        <f>IF(COUNTA(B208:F208)=0,"","TSK-"&amp;TEXT(ROW()-4,"0000"))</f>
        <v/>
      </c>
      <c r="B208" s="78" t="n"/>
      <c r="C208" s="78" t="n"/>
      <c r="D208" s="81" t="n"/>
      <c r="E208" s="81" t="n"/>
      <c r="F208" s="78" t="n"/>
      <c r="G208" s="67">
        <f>IF($F208="","",IFERROR(INDEX(Employee_Master!$C$5:$C$204,MATCH($F208,Employee_Master!$B$5:$B$204,0)),""))</f>
        <v/>
      </c>
      <c r="H208" s="78" t="n"/>
      <c r="I208" s="78" t="n"/>
      <c r="J208" s="67">
        <f>IF($I208="","",IFERROR(INDEX(Action_Status_Map!$B$5:$B$11,MATCH($I208,Action_Status_Map!$A$5:$A$11,0)),""))</f>
        <v/>
      </c>
      <c r="K208" s="82" t="n"/>
      <c r="L208" s="82" t="n"/>
      <c r="M208" s="82" t="n"/>
      <c r="N208" s="83" t="n"/>
      <c r="O208" s="83" t="n"/>
      <c r="P208" s="66">
        <f>IF(OR($N208="",$O208=""),"",$O208-$N208)</f>
        <v/>
      </c>
      <c r="Q208" s="84">
        <f>IF($K208="","",IF($M208&lt;&gt;"",$M208-$K208,TODAY()-$K208))</f>
        <v/>
      </c>
      <c r="R208" s="85">
        <f>IF(OR($L208="",$I208="Completed",$I208="Cancelled"),"",IF(AND($L208&lt;TODAY(),$I208&lt;&gt;"Completed",$I208&lt;&gt;"Cancelled"),"Overdue","On Track"))</f>
        <v/>
      </c>
      <c r="S208" s="65">
        <f>IF($L208="","",TEXT($L208,"yyyy-mm"))</f>
        <v/>
      </c>
      <c r="T208" s="86">
        <f>IF($I208="","",IFERROR(INDEX(Action_Status_Map!$C$5:$C$11,MATCH($I208,Action_Status_Map!$A$5:$A$11,0)),""))</f>
        <v/>
      </c>
      <c r="U208" s="81" t="n"/>
      <c r="V208" s="82" t="n"/>
      <c r="W208" s="65">
        <f>IF(OR($I208&lt;&gt;"Completed",$M208="",$L208=""),"",IF($M208&lt;=$L208,"Yes","No"))</f>
        <v/>
      </c>
      <c r="X208" s="84">
        <f>IF($A208="","",COUNTIF(Task_Steps!$B$5:$B$2004,$A208))</f>
        <v/>
      </c>
      <c r="Y208" s="86">
        <f>IF($X208=0,"",COUNTIFS(Task_Steps!$B$5:$B$2004,$A208,Task_Steps!$H$5:$H$2004,"Completed")/$X208)</f>
        <v/>
      </c>
      <c r="Z208" s="81" t="n"/>
      <c r="AA208" s="81" t="n"/>
      <c r="AB208" s="67">
        <f>IF($F208="","",IFERROR(INDEX(Employee_Master!$E$5:$E$204,MATCH($F208,Employee_Master!$B$5:$B$204,0)),""))</f>
        <v/>
      </c>
      <c r="AC208" s="65">
        <f>IF(OR($A208="",$AB208=""),"",IF(OR($I208="Completed",$I208="Cancelled"),"Closed - in Manager Report","Active - in Manager Report"))</f>
        <v/>
      </c>
      <c r="AD208" s="81">
        <f>IF($A208="","",IFERROR(TEXTJOIN(", ",TRUE,FILTER(Task_Steps!$A$5:$A$2004,Task_Steps!$B$5:$B$2004=$A208)),""))</f>
        <v/>
      </c>
      <c r="AE208" s="84">
        <f>IF($A208="","",COUNTIFS(Task_Steps!$B$5:$B$2004,$A208,Task_Steps!$H$5:$H$2004,"&lt;&gt;Completed",Task_Steps!$H$5:$H$2004,"&lt;&gt;Cancelled"))</f>
        <v/>
      </c>
      <c r="AF208" s="81">
        <f>IF(OR($B208="",$A208=""),"",$B208&amp;" | "&amp;$A208)</f>
        <v/>
      </c>
    </row>
    <row r="209" ht="15" customHeight="1" s="40">
      <c r="A209" s="65">
        <f>IF(COUNTA(B209:F209)=0,"","TSK-"&amp;TEXT(ROW()-4,"0000"))</f>
        <v/>
      </c>
      <c r="B209" s="78" t="n"/>
      <c r="C209" s="78" t="n"/>
      <c r="D209" s="81" t="n"/>
      <c r="E209" s="81" t="n"/>
      <c r="F209" s="78" t="n"/>
      <c r="G209" s="67">
        <f>IF($F209="","",IFERROR(INDEX(Employee_Master!$C$5:$C$204,MATCH($F209,Employee_Master!$B$5:$B$204,0)),""))</f>
        <v/>
      </c>
      <c r="H209" s="78" t="n"/>
      <c r="I209" s="78" t="n"/>
      <c r="J209" s="67">
        <f>IF($I209="","",IFERROR(INDEX(Action_Status_Map!$B$5:$B$11,MATCH($I209,Action_Status_Map!$A$5:$A$11,0)),""))</f>
        <v/>
      </c>
      <c r="K209" s="82" t="n"/>
      <c r="L209" s="82" t="n"/>
      <c r="M209" s="82" t="n"/>
      <c r="N209" s="83" t="n"/>
      <c r="O209" s="83" t="n"/>
      <c r="P209" s="66">
        <f>IF(OR($N209="",$O209=""),"",$O209-$N209)</f>
        <v/>
      </c>
      <c r="Q209" s="84">
        <f>IF($K209="","",IF($M209&lt;&gt;"",$M209-$K209,TODAY()-$K209))</f>
        <v/>
      </c>
      <c r="R209" s="85">
        <f>IF(OR($L209="",$I209="Completed",$I209="Cancelled"),"",IF(AND($L209&lt;TODAY(),$I209&lt;&gt;"Completed",$I209&lt;&gt;"Cancelled"),"Overdue","On Track"))</f>
        <v/>
      </c>
      <c r="S209" s="65">
        <f>IF($L209="","",TEXT($L209,"yyyy-mm"))</f>
        <v/>
      </c>
      <c r="T209" s="86">
        <f>IF($I209="","",IFERROR(INDEX(Action_Status_Map!$C$5:$C$11,MATCH($I209,Action_Status_Map!$A$5:$A$11,0)),""))</f>
        <v/>
      </c>
      <c r="U209" s="81" t="n"/>
      <c r="V209" s="82" t="n"/>
      <c r="W209" s="65">
        <f>IF(OR($I209&lt;&gt;"Completed",$M209="",$L209=""),"",IF($M209&lt;=$L209,"Yes","No"))</f>
        <v/>
      </c>
      <c r="X209" s="84">
        <f>IF($A209="","",COUNTIF(Task_Steps!$B$5:$B$2004,$A209))</f>
        <v/>
      </c>
      <c r="Y209" s="86">
        <f>IF($X209=0,"",COUNTIFS(Task_Steps!$B$5:$B$2004,$A209,Task_Steps!$H$5:$H$2004,"Completed")/$X209)</f>
        <v/>
      </c>
      <c r="Z209" s="81" t="n"/>
      <c r="AA209" s="81" t="n"/>
      <c r="AB209" s="67">
        <f>IF($F209="","",IFERROR(INDEX(Employee_Master!$E$5:$E$204,MATCH($F209,Employee_Master!$B$5:$B$204,0)),""))</f>
        <v/>
      </c>
      <c r="AC209" s="65">
        <f>IF(OR($A209="",$AB209=""),"",IF(OR($I209="Completed",$I209="Cancelled"),"Closed - in Manager Report","Active - in Manager Report"))</f>
        <v/>
      </c>
      <c r="AD209" s="81">
        <f>IF($A209="","",IFERROR(TEXTJOIN(", ",TRUE,FILTER(Task_Steps!$A$5:$A$2004,Task_Steps!$B$5:$B$2004=$A209)),""))</f>
        <v/>
      </c>
      <c r="AE209" s="84">
        <f>IF($A209="","",COUNTIFS(Task_Steps!$B$5:$B$2004,$A209,Task_Steps!$H$5:$H$2004,"&lt;&gt;Completed",Task_Steps!$H$5:$H$2004,"&lt;&gt;Cancelled"))</f>
        <v/>
      </c>
      <c r="AF209" s="81">
        <f>IF(OR($B209="",$A209=""),"",$B209&amp;" | "&amp;$A209)</f>
        <v/>
      </c>
    </row>
    <row r="210" ht="15" customHeight="1" s="40">
      <c r="A210" s="65">
        <f>IF(COUNTA(B210:F210)=0,"","TSK-"&amp;TEXT(ROW()-4,"0000"))</f>
        <v/>
      </c>
      <c r="B210" s="78" t="n"/>
      <c r="C210" s="78" t="n"/>
      <c r="D210" s="81" t="n"/>
      <c r="E210" s="81" t="n"/>
      <c r="F210" s="78" t="n"/>
      <c r="G210" s="67">
        <f>IF($F210="","",IFERROR(INDEX(Employee_Master!$C$5:$C$204,MATCH($F210,Employee_Master!$B$5:$B$204,0)),""))</f>
        <v/>
      </c>
      <c r="H210" s="78" t="n"/>
      <c r="I210" s="78" t="n"/>
      <c r="J210" s="67">
        <f>IF($I210="","",IFERROR(INDEX(Action_Status_Map!$B$5:$B$11,MATCH($I210,Action_Status_Map!$A$5:$A$11,0)),""))</f>
        <v/>
      </c>
      <c r="K210" s="82" t="n"/>
      <c r="L210" s="82" t="n"/>
      <c r="M210" s="82" t="n"/>
      <c r="N210" s="83" t="n"/>
      <c r="O210" s="83" t="n"/>
      <c r="P210" s="66">
        <f>IF(OR($N210="",$O210=""),"",$O210-$N210)</f>
        <v/>
      </c>
      <c r="Q210" s="84">
        <f>IF($K210="","",IF($M210&lt;&gt;"",$M210-$K210,TODAY()-$K210))</f>
        <v/>
      </c>
      <c r="R210" s="85">
        <f>IF(OR($L210="",$I210="Completed",$I210="Cancelled"),"",IF(AND($L210&lt;TODAY(),$I210&lt;&gt;"Completed",$I210&lt;&gt;"Cancelled"),"Overdue","On Track"))</f>
        <v/>
      </c>
      <c r="S210" s="65">
        <f>IF($L210="","",TEXT($L210,"yyyy-mm"))</f>
        <v/>
      </c>
      <c r="T210" s="86">
        <f>IF($I210="","",IFERROR(INDEX(Action_Status_Map!$C$5:$C$11,MATCH($I210,Action_Status_Map!$A$5:$A$11,0)),""))</f>
        <v/>
      </c>
      <c r="U210" s="81" t="n"/>
      <c r="V210" s="82" t="n"/>
      <c r="W210" s="65">
        <f>IF(OR($I210&lt;&gt;"Completed",$M210="",$L210=""),"",IF($M210&lt;=$L210,"Yes","No"))</f>
        <v/>
      </c>
      <c r="X210" s="84">
        <f>IF($A210="","",COUNTIF(Task_Steps!$B$5:$B$2004,$A210))</f>
        <v/>
      </c>
      <c r="Y210" s="86">
        <f>IF($X210=0,"",COUNTIFS(Task_Steps!$B$5:$B$2004,$A210,Task_Steps!$H$5:$H$2004,"Completed")/$X210)</f>
        <v/>
      </c>
      <c r="Z210" s="81" t="n"/>
      <c r="AA210" s="81" t="n"/>
      <c r="AB210" s="67">
        <f>IF($F210="","",IFERROR(INDEX(Employee_Master!$E$5:$E$204,MATCH($F210,Employee_Master!$B$5:$B$204,0)),""))</f>
        <v/>
      </c>
      <c r="AC210" s="65">
        <f>IF(OR($A210="",$AB210=""),"",IF(OR($I210="Completed",$I210="Cancelled"),"Closed - in Manager Report","Active - in Manager Report"))</f>
        <v/>
      </c>
      <c r="AD210" s="81">
        <f>IF($A210="","",IFERROR(TEXTJOIN(", ",TRUE,FILTER(Task_Steps!$A$5:$A$2004,Task_Steps!$B$5:$B$2004=$A210)),""))</f>
        <v/>
      </c>
      <c r="AE210" s="84">
        <f>IF($A210="","",COUNTIFS(Task_Steps!$B$5:$B$2004,$A210,Task_Steps!$H$5:$H$2004,"&lt;&gt;Completed",Task_Steps!$H$5:$H$2004,"&lt;&gt;Cancelled"))</f>
        <v/>
      </c>
      <c r="AF210" s="81">
        <f>IF(OR($B210="",$A210=""),"",$B210&amp;" | "&amp;$A210)</f>
        <v/>
      </c>
    </row>
    <row r="211" ht="15" customHeight="1" s="40">
      <c r="A211" s="65">
        <f>IF(COUNTA(B211:F211)=0,"","TSK-"&amp;TEXT(ROW()-4,"0000"))</f>
        <v/>
      </c>
      <c r="B211" s="78" t="n"/>
      <c r="C211" s="78" t="n"/>
      <c r="D211" s="81" t="n"/>
      <c r="E211" s="81" t="n"/>
      <c r="F211" s="78" t="n"/>
      <c r="G211" s="67">
        <f>IF($F211="","",IFERROR(INDEX(Employee_Master!$C$5:$C$204,MATCH($F211,Employee_Master!$B$5:$B$204,0)),""))</f>
        <v/>
      </c>
      <c r="H211" s="78" t="n"/>
      <c r="I211" s="78" t="n"/>
      <c r="J211" s="67">
        <f>IF($I211="","",IFERROR(INDEX(Action_Status_Map!$B$5:$B$11,MATCH($I211,Action_Status_Map!$A$5:$A$11,0)),""))</f>
        <v/>
      </c>
      <c r="K211" s="82" t="n"/>
      <c r="L211" s="82" t="n"/>
      <c r="M211" s="82" t="n"/>
      <c r="N211" s="83" t="n"/>
      <c r="O211" s="83" t="n"/>
      <c r="P211" s="66">
        <f>IF(OR($N211="",$O211=""),"",$O211-$N211)</f>
        <v/>
      </c>
      <c r="Q211" s="84">
        <f>IF($K211="","",IF($M211&lt;&gt;"",$M211-$K211,TODAY()-$K211))</f>
        <v/>
      </c>
      <c r="R211" s="85">
        <f>IF(OR($L211="",$I211="Completed",$I211="Cancelled"),"",IF(AND($L211&lt;TODAY(),$I211&lt;&gt;"Completed",$I211&lt;&gt;"Cancelled"),"Overdue","On Track"))</f>
        <v/>
      </c>
      <c r="S211" s="65">
        <f>IF($L211="","",TEXT($L211,"yyyy-mm"))</f>
        <v/>
      </c>
      <c r="T211" s="86">
        <f>IF($I211="","",IFERROR(INDEX(Action_Status_Map!$C$5:$C$11,MATCH($I211,Action_Status_Map!$A$5:$A$11,0)),""))</f>
        <v/>
      </c>
      <c r="U211" s="81" t="n"/>
      <c r="V211" s="82" t="n"/>
      <c r="W211" s="65">
        <f>IF(OR($I211&lt;&gt;"Completed",$M211="",$L211=""),"",IF($M211&lt;=$L211,"Yes","No"))</f>
        <v/>
      </c>
      <c r="X211" s="84">
        <f>IF($A211="","",COUNTIF(Task_Steps!$B$5:$B$2004,$A211))</f>
        <v/>
      </c>
      <c r="Y211" s="86">
        <f>IF($X211=0,"",COUNTIFS(Task_Steps!$B$5:$B$2004,$A211,Task_Steps!$H$5:$H$2004,"Completed")/$X211)</f>
        <v/>
      </c>
      <c r="Z211" s="81" t="n"/>
      <c r="AA211" s="81" t="n"/>
      <c r="AB211" s="67">
        <f>IF($F211="","",IFERROR(INDEX(Employee_Master!$E$5:$E$204,MATCH($F211,Employee_Master!$B$5:$B$204,0)),""))</f>
        <v/>
      </c>
      <c r="AC211" s="65">
        <f>IF(OR($A211="",$AB211=""),"",IF(OR($I211="Completed",$I211="Cancelled"),"Closed - in Manager Report","Active - in Manager Report"))</f>
        <v/>
      </c>
      <c r="AD211" s="81">
        <f>IF($A211="","",IFERROR(TEXTJOIN(", ",TRUE,FILTER(Task_Steps!$A$5:$A$2004,Task_Steps!$B$5:$B$2004=$A211)),""))</f>
        <v/>
      </c>
      <c r="AE211" s="84">
        <f>IF($A211="","",COUNTIFS(Task_Steps!$B$5:$B$2004,$A211,Task_Steps!$H$5:$H$2004,"&lt;&gt;Completed",Task_Steps!$H$5:$H$2004,"&lt;&gt;Cancelled"))</f>
        <v/>
      </c>
      <c r="AF211" s="81">
        <f>IF(OR($B211="",$A211=""),"",$B211&amp;" | "&amp;$A211)</f>
        <v/>
      </c>
    </row>
    <row r="212" ht="15" customHeight="1" s="40">
      <c r="A212" s="65">
        <f>IF(COUNTA(B212:F212)=0,"","TSK-"&amp;TEXT(ROW()-4,"0000"))</f>
        <v/>
      </c>
      <c r="B212" s="78" t="n"/>
      <c r="C212" s="78" t="n"/>
      <c r="D212" s="81" t="n"/>
      <c r="E212" s="81" t="n"/>
      <c r="F212" s="78" t="n"/>
      <c r="G212" s="67">
        <f>IF($F212="","",IFERROR(INDEX(Employee_Master!$C$5:$C$204,MATCH($F212,Employee_Master!$B$5:$B$204,0)),""))</f>
        <v/>
      </c>
      <c r="H212" s="78" t="n"/>
      <c r="I212" s="78" t="n"/>
      <c r="J212" s="67">
        <f>IF($I212="","",IFERROR(INDEX(Action_Status_Map!$B$5:$B$11,MATCH($I212,Action_Status_Map!$A$5:$A$11,0)),""))</f>
        <v/>
      </c>
      <c r="K212" s="82" t="n"/>
      <c r="L212" s="82" t="n"/>
      <c r="M212" s="82" t="n"/>
      <c r="N212" s="83" t="n"/>
      <c r="O212" s="83" t="n"/>
      <c r="P212" s="66">
        <f>IF(OR($N212="",$O212=""),"",$O212-$N212)</f>
        <v/>
      </c>
      <c r="Q212" s="84">
        <f>IF($K212="","",IF($M212&lt;&gt;"",$M212-$K212,TODAY()-$K212))</f>
        <v/>
      </c>
      <c r="R212" s="85">
        <f>IF(OR($L212="",$I212="Completed",$I212="Cancelled"),"",IF(AND($L212&lt;TODAY(),$I212&lt;&gt;"Completed",$I212&lt;&gt;"Cancelled"),"Overdue","On Track"))</f>
        <v/>
      </c>
      <c r="S212" s="65">
        <f>IF($L212="","",TEXT($L212,"yyyy-mm"))</f>
        <v/>
      </c>
      <c r="T212" s="86">
        <f>IF($I212="","",IFERROR(INDEX(Action_Status_Map!$C$5:$C$11,MATCH($I212,Action_Status_Map!$A$5:$A$11,0)),""))</f>
        <v/>
      </c>
      <c r="U212" s="81" t="n"/>
      <c r="V212" s="82" t="n"/>
      <c r="W212" s="65">
        <f>IF(OR($I212&lt;&gt;"Completed",$M212="",$L212=""),"",IF($M212&lt;=$L212,"Yes","No"))</f>
        <v/>
      </c>
      <c r="X212" s="84">
        <f>IF($A212="","",COUNTIF(Task_Steps!$B$5:$B$2004,$A212))</f>
        <v/>
      </c>
      <c r="Y212" s="86">
        <f>IF($X212=0,"",COUNTIFS(Task_Steps!$B$5:$B$2004,$A212,Task_Steps!$H$5:$H$2004,"Completed")/$X212)</f>
        <v/>
      </c>
      <c r="Z212" s="81" t="n"/>
      <c r="AA212" s="81" t="n"/>
      <c r="AB212" s="67">
        <f>IF($F212="","",IFERROR(INDEX(Employee_Master!$E$5:$E$204,MATCH($F212,Employee_Master!$B$5:$B$204,0)),""))</f>
        <v/>
      </c>
      <c r="AC212" s="65">
        <f>IF(OR($A212="",$AB212=""),"",IF(OR($I212="Completed",$I212="Cancelled"),"Closed - in Manager Report","Active - in Manager Report"))</f>
        <v/>
      </c>
      <c r="AD212" s="81">
        <f>IF($A212="","",IFERROR(TEXTJOIN(", ",TRUE,FILTER(Task_Steps!$A$5:$A$2004,Task_Steps!$B$5:$B$2004=$A212)),""))</f>
        <v/>
      </c>
      <c r="AE212" s="84">
        <f>IF($A212="","",COUNTIFS(Task_Steps!$B$5:$B$2004,$A212,Task_Steps!$H$5:$H$2004,"&lt;&gt;Completed",Task_Steps!$H$5:$H$2004,"&lt;&gt;Cancelled"))</f>
        <v/>
      </c>
      <c r="AF212" s="81">
        <f>IF(OR($B212="",$A212=""),"",$B212&amp;" | "&amp;$A212)</f>
        <v/>
      </c>
    </row>
    <row r="213" ht="15" customHeight="1" s="40">
      <c r="A213" s="65">
        <f>IF(COUNTA(B213:F213)=0,"","TSK-"&amp;TEXT(ROW()-4,"0000"))</f>
        <v/>
      </c>
      <c r="B213" s="78" t="n"/>
      <c r="C213" s="78" t="n"/>
      <c r="D213" s="81" t="n"/>
      <c r="E213" s="81" t="n"/>
      <c r="F213" s="78" t="n"/>
      <c r="G213" s="67">
        <f>IF($F213="","",IFERROR(INDEX(Employee_Master!$C$5:$C$204,MATCH($F213,Employee_Master!$B$5:$B$204,0)),""))</f>
        <v/>
      </c>
      <c r="H213" s="78" t="n"/>
      <c r="I213" s="78" t="n"/>
      <c r="J213" s="67">
        <f>IF($I213="","",IFERROR(INDEX(Action_Status_Map!$B$5:$B$11,MATCH($I213,Action_Status_Map!$A$5:$A$11,0)),""))</f>
        <v/>
      </c>
      <c r="K213" s="82" t="n"/>
      <c r="L213" s="82" t="n"/>
      <c r="M213" s="82" t="n"/>
      <c r="N213" s="83" t="n"/>
      <c r="O213" s="83" t="n"/>
      <c r="P213" s="66">
        <f>IF(OR($N213="",$O213=""),"",$O213-$N213)</f>
        <v/>
      </c>
      <c r="Q213" s="84">
        <f>IF($K213="","",IF($M213&lt;&gt;"",$M213-$K213,TODAY()-$K213))</f>
        <v/>
      </c>
      <c r="R213" s="85">
        <f>IF(OR($L213="",$I213="Completed",$I213="Cancelled"),"",IF(AND($L213&lt;TODAY(),$I213&lt;&gt;"Completed",$I213&lt;&gt;"Cancelled"),"Overdue","On Track"))</f>
        <v/>
      </c>
      <c r="S213" s="65">
        <f>IF($L213="","",TEXT($L213,"yyyy-mm"))</f>
        <v/>
      </c>
      <c r="T213" s="86">
        <f>IF($I213="","",IFERROR(INDEX(Action_Status_Map!$C$5:$C$11,MATCH($I213,Action_Status_Map!$A$5:$A$11,0)),""))</f>
        <v/>
      </c>
      <c r="U213" s="81" t="n"/>
      <c r="V213" s="82" t="n"/>
      <c r="W213" s="65">
        <f>IF(OR($I213&lt;&gt;"Completed",$M213="",$L213=""),"",IF($M213&lt;=$L213,"Yes","No"))</f>
        <v/>
      </c>
      <c r="X213" s="84">
        <f>IF($A213="","",COUNTIF(Task_Steps!$B$5:$B$2004,$A213))</f>
        <v/>
      </c>
      <c r="Y213" s="86">
        <f>IF($X213=0,"",COUNTIFS(Task_Steps!$B$5:$B$2004,$A213,Task_Steps!$H$5:$H$2004,"Completed")/$X213)</f>
        <v/>
      </c>
      <c r="Z213" s="81" t="n"/>
      <c r="AA213" s="81" t="n"/>
      <c r="AB213" s="67">
        <f>IF($F213="","",IFERROR(INDEX(Employee_Master!$E$5:$E$204,MATCH($F213,Employee_Master!$B$5:$B$204,0)),""))</f>
        <v/>
      </c>
      <c r="AC213" s="65">
        <f>IF(OR($A213="",$AB213=""),"",IF(OR($I213="Completed",$I213="Cancelled"),"Closed - in Manager Report","Active - in Manager Report"))</f>
        <v/>
      </c>
      <c r="AD213" s="81">
        <f>IF($A213="","",IFERROR(TEXTJOIN(", ",TRUE,FILTER(Task_Steps!$A$5:$A$2004,Task_Steps!$B$5:$B$2004=$A213)),""))</f>
        <v/>
      </c>
      <c r="AE213" s="84">
        <f>IF($A213="","",COUNTIFS(Task_Steps!$B$5:$B$2004,$A213,Task_Steps!$H$5:$H$2004,"&lt;&gt;Completed",Task_Steps!$H$5:$H$2004,"&lt;&gt;Cancelled"))</f>
        <v/>
      </c>
      <c r="AF213" s="81">
        <f>IF(OR($B213="",$A213=""),"",$B213&amp;" | "&amp;$A213)</f>
        <v/>
      </c>
    </row>
    <row r="214" ht="15" customHeight="1" s="40">
      <c r="A214" s="65">
        <f>IF(COUNTA(B214:F214)=0,"","TSK-"&amp;TEXT(ROW()-4,"0000"))</f>
        <v/>
      </c>
      <c r="B214" s="78" t="n"/>
      <c r="C214" s="78" t="n"/>
      <c r="D214" s="81" t="n"/>
      <c r="E214" s="81" t="n"/>
      <c r="F214" s="78" t="n"/>
      <c r="G214" s="67">
        <f>IF($F214="","",IFERROR(INDEX(Employee_Master!$C$5:$C$204,MATCH($F214,Employee_Master!$B$5:$B$204,0)),""))</f>
        <v/>
      </c>
      <c r="H214" s="78" t="n"/>
      <c r="I214" s="78" t="n"/>
      <c r="J214" s="67">
        <f>IF($I214="","",IFERROR(INDEX(Action_Status_Map!$B$5:$B$11,MATCH($I214,Action_Status_Map!$A$5:$A$11,0)),""))</f>
        <v/>
      </c>
      <c r="K214" s="82" t="n"/>
      <c r="L214" s="82" t="n"/>
      <c r="M214" s="82" t="n"/>
      <c r="N214" s="83" t="n"/>
      <c r="O214" s="83" t="n"/>
      <c r="P214" s="66">
        <f>IF(OR($N214="",$O214=""),"",$O214-$N214)</f>
        <v/>
      </c>
      <c r="Q214" s="84">
        <f>IF($K214="","",IF($M214&lt;&gt;"",$M214-$K214,TODAY()-$K214))</f>
        <v/>
      </c>
      <c r="R214" s="85">
        <f>IF(OR($L214="",$I214="Completed",$I214="Cancelled"),"",IF(AND($L214&lt;TODAY(),$I214&lt;&gt;"Completed",$I214&lt;&gt;"Cancelled"),"Overdue","On Track"))</f>
        <v/>
      </c>
      <c r="S214" s="65">
        <f>IF($L214="","",TEXT($L214,"yyyy-mm"))</f>
        <v/>
      </c>
      <c r="T214" s="86">
        <f>IF($I214="","",IFERROR(INDEX(Action_Status_Map!$C$5:$C$11,MATCH($I214,Action_Status_Map!$A$5:$A$11,0)),""))</f>
        <v/>
      </c>
      <c r="U214" s="81" t="n"/>
      <c r="V214" s="82" t="n"/>
      <c r="W214" s="65">
        <f>IF(OR($I214&lt;&gt;"Completed",$M214="",$L214=""),"",IF($M214&lt;=$L214,"Yes","No"))</f>
        <v/>
      </c>
      <c r="X214" s="84">
        <f>IF($A214="","",COUNTIF(Task_Steps!$B$5:$B$2004,$A214))</f>
        <v/>
      </c>
      <c r="Y214" s="86">
        <f>IF($X214=0,"",COUNTIFS(Task_Steps!$B$5:$B$2004,$A214,Task_Steps!$H$5:$H$2004,"Completed")/$X214)</f>
        <v/>
      </c>
      <c r="Z214" s="81" t="n"/>
      <c r="AA214" s="81" t="n"/>
      <c r="AB214" s="67">
        <f>IF($F214="","",IFERROR(INDEX(Employee_Master!$E$5:$E$204,MATCH($F214,Employee_Master!$B$5:$B$204,0)),""))</f>
        <v/>
      </c>
      <c r="AC214" s="65">
        <f>IF(OR($A214="",$AB214=""),"",IF(OR($I214="Completed",$I214="Cancelled"),"Closed - in Manager Report","Active - in Manager Report"))</f>
        <v/>
      </c>
      <c r="AD214" s="81">
        <f>IF($A214="","",IFERROR(TEXTJOIN(", ",TRUE,FILTER(Task_Steps!$A$5:$A$2004,Task_Steps!$B$5:$B$2004=$A214)),""))</f>
        <v/>
      </c>
      <c r="AE214" s="84">
        <f>IF($A214="","",COUNTIFS(Task_Steps!$B$5:$B$2004,$A214,Task_Steps!$H$5:$H$2004,"&lt;&gt;Completed",Task_Steps!$H$5:$H$2004,"&lt;&gt;Cancelled"))</f>
        <v/>
      </c>
      <c r="AF214" s="81">
        <f>IF(OR($B214="",$A214=""),"",$B214&amp;" | "&amp;$A214)</f>
        <v/>
      </c>
    </row>
    <row r="215" ht="15" customHeight="1" s="40">
      <c r="A215" s="65">
        <f>IF(COUNTA(B215:F215)=0,"","TSK-"&amp;TEXT(ROW()-4,"0000"))</f>
        <v/>
      </c>
      <c r="B215" s="78" t="n"/>
      <c r="C215" s="78" t="n"/>
      <c r="D215" s="81" t="n"/>
      <c r="E215" s="81" t="n"/>
      <c r="F215" s="78" t="n"/>
      <c r="G215" s="67">
        <f>IF($F215="","",IFERROR(INDEX(Employee_Master!$C$5:$C$204,MATCH($F215,Employee_Master!$B$5:$B$204,0)),""))</f>
        <v/>
      </c>
      <c r="H215" s="78" t="n"/>
      <c r="I215" s="78" t="n"/>
      <c r="J215" s="67">
        <f>IF($I215="","",IFERROR(INDEX(Action_Status_Map!$B$5:$B$11,MATCH($I215,Action_Status_Map!$A$5:$A$11,0)),""))</f>
        <v/>
      </c>
      <c r="K215" s="82" t="n"/>
      <c r="L215" s="82" t="n"/>
      <c r="M215" s="82" t="n"/>
      <c r="N215" s="83" t="n"/>
      <c r="O215" s="83" t="n"/>
      <c r="P215" s="66">
        <f>IF(OR($N215="",$O215=""),"",$O215-$N215)</f>
        <v/>
      </c>
      <c r="Q215" s="84">
        <f>IF($K215="","",IF($M215&lt;&gt;"",$M215-$K215,TODAY()-$K215))</f>
        <v/>
      </c>
      <c r="R215" s="85">
        <f>IF(OR($L215="",$I215="Completed",$I215="Cancelled"),"",IF(AND($L215&lt;TODAY(),$I215&lt;&gt;"Completed",$I215&lt;&gt;"Cancelled"),"Overdue","On Track"))</f>
        <v/>
      </c>
      <c r="S215" s="65">
        <f>IF($L215="","",TEXT($L215,"yyyy-mm"))</f>
        <v/>
      </c>
      <c r="T215" s="86">
        <f>IF($I215="","",IFERROR(INDEX(Action_Status_Map!$C$5:$C$11,MATCH($I215,Action_Status_Map!$A$5:$A$11,0)),""))</f>
        <v/>
      </c>
      <c r="U215" s="81" t="n"/>
      <c r="V215" s="82" t="n"/>
      <c r="W215" s="65">
        <f>IF(OR($I215&lt;&gt;"Completed",$M215="",$L215=""),"",IF($M215&lt;=$L215,"Yes","No"))</f>
        <v/>
      </c>
      <c r="X215" s="84">
        <f>IF($A215="","",COUNTIF(Task_Steps!$B$5:$B$2004,$A215))</f>
        <v/>
      </c>
      <c r="Y215" s="86">
        <f>IF($X215=0,"",COUNTIFS(Task_Steps!$B$5:$B$2004,$A215,Task_Steps!$H$5:$H$2004,"Completed")/$X215)</f>
        <v/>
      </c>
      <c r="Z215" s="81" t="n"/>
      <c r="AA215" s="81" t="n"/>
      <c r="AB215" s="67">
        <f>IF($F215="","",IFERROR(INDEX(Employee_Master!$E$5:$E$204,MATCH($F215,Employee_Master!$B$5:$B$204,0)),""))</f>
        <v/>
      </c>
      <c r="AC215" s="65">
        <f>IF(OR($A215="",$AB215=""),"",IF(OR($I215="Completed",$I215="Cancelled"),"Closed - in Manager Report","Active - in Manager Report"))</f>
        <v/>
      </c>
      <c r="AD215" s="81">
        <f>IF($A215="","",IFERROR(TEXTJOIN(", ",TRUE,FILTER(Task_Steps!$A$5:$A$2004,Task_Steps!$B$5:$B$2004=$A215)),""))</f>
        <v/>
      </c>
      <c r="AE215" s="84">
        <f>IF($A215="","",COUNTIFS(Task_Steps!$B$5:$B$2004,$A215,Task_Steps!$H$5:$H$2004,"&lt;&gt;Completed",Task_Steps!$H$5:$H$2004,"&lt;&gt;Cancelled"))</f>
        <v/>
      </c>
      <c r="AF215" s="81">
        <f>IF(OR($B215="",$A215=""),"",$B215&amp;" | "&amp;$A215)</f>
        <v/>
      </c>
    </row>
    <row r="216" ht="15" customHeight="1" s="40">
      <c r="A216" s="65">
        <f>IF(COUNTA(B216:F216)=0,"","TSK-"&amp;TEXT(ROW()-4,"0000"))</f>
        <v/>
      </c>
      <c r="B216" s="78" t="n"/>
      <c r="C216" s="78" t="n"/>
      <c r="D216" s="81" t="n"/>
      <c r="E216" s="81" t="n"/>
      <c r="F216" s="78" t="n"/>
      <c r="G216" s="67">
        <f>IF($F216="","",IFERROR(INDEX(Employee_Master!$C$5:$C$204,MATCH($F216,Employee_Master!$B$5:$B$204,0)),""))</f>
        <v/>
      </c>
      <c r="H216" s="78" t="n"/>
      <c r="I216" s="78" t="n"/>
      <c r="J216" s="67">
        <f>IF($I216="","",IFERROR(INDEX(Action_Status_Map!$B$5:$B$11,MATCH($I216,Action_Status_Map!$A$5:$A$11,0)),""))</f>
        <v/>
      </c>
      <c r="K216" s="82" t="n"/>
      <c r="L216" s="82" t="n"/>
      <c r="M216" s="82" t="n"/>
      <c r="N216" s="83" t="n"/>
      <c r="O216" s="83" t="n"/>
      <c r="P216" s="66">
        <f>IF(OR($N216="",$O216=""),"",$O216-$N216)</f>
        <v/>
      </c>
      <c r="Q216" s="84">
        <f>IF($K216="","",IF($M216&lt;&gt;"",$M216-$K216,TODAY()-$K216))</f>
        <v/>
      </c>
      <c r="R216" s="85">
        <f>IF(OR($L216="",$I216="Completed",$I216="Cancelled"),"",IF(AND($L216&lt;TODAY(),$I216&lt;&gt;"Completed",$I216&lt;&gt;"Cancelled"),"Overdue","On Track"))</f>
        <v/>
      </c>
      <c r="S216" s="65">
        <f>IF($L216="","",TEXT($L216,"yyyy-mm"))</f>
        <v/>
      </c>
      <c r="T216" s="86">
        <f>IF($I216="","",IFERROR(INDEX(Action_Status_Map!$C$5:$C$11,MATCH($I216,Action_Status_Map!$A$5:$A$11,0)),""))</f>
        <v/>
      </c>
      <c r="U216" s="81" t="n"/>
      <c r="V216" s="82" t="n"/>
      <c r="W216" s="65">
        <f>IF(OR($I216&lt;&gt;"Completed",$M216="",$L216=""),"",IF($M216&lt;=$L216,"Yes","No"))</f>
        <v/>
      </c>
      <c r="X216" s="84">
        <f>IF($A216="","",COUNTIF(Task_Steps!$B$5:$B$2004,$A216))</f>
        <v/>
      </c>
      <c r="Y216" s="86">
        <f>IF($X216=0,"",COUNTIFS(Task_Steps!$B$5:$B$2004,$A216,Task_Steps!$H$5:$H$2004,"Completed")/$X216)</f>
        <v/>
      </c>
      <c r="Z216" s="81" t="n"/>
      <c r="AA216" s="81" t="n"/>
      <c r="AB216" s="67">
        <f>IF($F216="","",IFERROR(INDEX(Employee_Master!$E$5:$E$204,MATCH($F216,Employee_Master!$B$5:$B$204,0)),""))</f>
        <v/>
      </c>
      <c r="AC216" s="65">
        <f>IF(OR($A216="",$AB216=""),"",IF(OR($I216="Completed",$I216="Cancelled"),"Closed - in Manager Report","Active - in Manager Report"))</f>
        <v/>
      </c>
      <c r="AD216" s="81">
        <f>IF($A216="","",IFERROR(TEXTJOIN(", ",TRUE,FILTER(Task_Steps!$A$5:$A$2004,Task_Steps!$B$5:$B$2004=$A216)),""))</f>
        <v/>
      </c>
      <c r="AE216" s="84">
        <f>IF($A216="","",COUNTIFS(Task_Steps!$B$5:$B$2004,$A216,Task_Steps!$H$5:$H$2004,"&lt;&gt;Completed",Task_Steps!$H$5:$H$2004,"&lt;&gt;Cancelled"))</f>
        <v/>
      </c>
      <c r="AF216" s="81">
        <f>IF(OR($B216="",$A216=""),"",$B216&amp;" | "&amp;$A216)</f>
        <v/>
      </c>
    </row>
    <row r="217" ht="15" customHeight="1" s="40">
      <c r="A217" s="65">
        <f>IF(COUNTA(B217:F217)=0,"","TSK-"&amp;TEXT(ROW()-4,"0000"))</f>
        <v/>
      </c>
      <c r="B217" s="78" t="n"/>
      <c r="C217" s="78" t="n"/>
      <c r="D217" s="81" t="n"/>
      <c r="E217" s="81" t="n"/>
      <c r="F217" s="78" t="n"/>
      <c r="G217" s="67">
        <f>IF($F217="","",IFERROR(INDEX(Employee_Master!$C$5:$C$204,MATCH($F217,Employee_Master!$B$5:$B$204,0)),""))</f>
        <v/>
      </c>
      <c r="H217" s="78" t="n"/>
      <c r="I217" s="78" t="n"/>
      <c r="J217" s="67">
        <f>IF($I217="","",IFERROR(INDEX(Action_Status_Map!$B$5:$B$11,MATCH($I217,Action_Status_Map!$A$5:$A$11,0)),""))</f>
        <v/>
      </c>
      <c r="K217" s="82" t="n"/>
      <c r="L217" s="82" t="n"/>
      <c r="M217" s="82" t="n"/>
      <c r="N217" s="83" t="n"/>
      <c r="O217" s="83" t="n"/>
      <c r="P217" s="66">
        <f>IF(OR($N217="",$O217=""),"",$O217-$N217)</f>
        <v/>
      </c>
      <c r="Q217" s="84">
        <f>IF($K217="","",IF($M217&lt;&gt;"",$M217-$K217,TODAY()-$K217))</f>
        <v/>
      </c>
      <c r="R217" s="85">
        <f>IF(OR($L217="",$I217="Completed",$I217="Cancelled"),"",IF(AND($L217&lt;TODAY(),$I217&lt;&gt;"Completed",$I217&lt;&gt;"Cancelled"),"Overdue","On Track"))</f>
        <v/>
      </c>
      <c r="S217" s="65">
        <f>IF($L217="","",TEXT($L217,"yyyy-mm"))</f>
        <v/>
      </c>
      <c r="T217" s="86">
        <f>IF($I217="","",IFERROR(INDEX(Action_Status_Map!$C$5:$C$11,MATCH($I217,Action_Status_Map!$A$5:$A$11,0)),""))</f>
        <v/>
      </c>
      <c r="U217" s="81" t="n"/>
      <c r="V217" s="82" t="n"/>
      <c r="W217" s="65">
        <f>IF(OR($I217&lt;&gt;"Completed",$M217="",$L217=""),"",IF($M217&lt;=$L217,"Yes","No"))</f>
        <v/>
      </c>
      <c r="X217" s="84">
        <f>IF($A217="","",COUNTIF(Task_Steps!$B$5:$B$2004,$A217))</f>
        <v/>
      </c>
      <c r="Y217" s="86">
        <f>IF($X217=0,"",COUNTIFS(Task_Steps!$B$5:$B$2004,$A217,Task_Steps!$H$5:$H$2004,"Completed")/$X217)</f>
        <v/>
      </c>
      <c r="Z217" s="81" t="n"/>
      <c r="AA217" s="81" t="n"/>
      <c r="AB217" s="67">
        <f>IF($F217="","",IFERROR(INDEX(Employee_Master!$E$5:$E$204,MATCH($F217,Employee_Master!$B$5:$B$204,0)),""))</f>
        <v/>
      </c>
      <c r="AC217" s="65">
        <f>IF(OR($A217="",$AB217=""),"",IF(OR($I217="Completed",$I217="Cancelled"),"Closed - in Manager Report","Active - in Manager Report"))</f>
        <v/>
      </c>
      <c r="AD217" s="81">
        <f>IF($A217="","",IFERROR(TEXTJOIN(", ",TRUE,FILTER(Task_Steps!$A$5:$A$2004,Task_Steps!$B$5:$B$2004=$A217)),""))</f>
        <v/>
      </c>
      <c r="AE217" s="84">
        <f>IF($A217="","",COUNTIFS(Task_Steps!$B$5:$B$2004,$A217,Task_Steps!$H$5:$H$2004,"&lt;&gt;Completed",Task_Steps!$H$5:$H$2004,"&lt;&gt;Cancelled"))</f>
        <v/>
      </c>
      <c r="AF217" s="81">
        <f>IF(OR($B217="",$A217=""),"",$B217&amp;" | "&amp;$A217)</f>
        <v/>
      </c>
    </row>
    <row r="218" ht="15" customHeight="1" s="40">
      <c r="A218" s="65">
        <f>IF(COUNTA(B218:F218)=0,"","TSK-"&amp;TEXT(ROW()-4,"0000"))</f>
        <v/>
      </c>
      <c r="B218" s="78" t="n"/>
      <c r="C218" s="78" t="n"/>
      <c r="D218" s="81" t="n"/>
      <c r="E218" s="81" t="n"/>
      <c r="F218" s="78" t="n"/>
      <c r="G218" s="67">
        <f>IF($F218="","",IFERROR(INDEX(Employee_Master!$C$5:$C$204,MATCH($F218,Employee_Master!$B$5:$B$204,0)),""))</f>
        <v/>
      </c>
      <c r="H218" s="78" t="n"/>
      <c r="I218" s="78" t="n"/>
      <c r="J218" s="67">
        <f>IF($I218="","",IFERROR(INDEX(Action_Status_Map!$B$5:$B$11,MATCH($I218,Action_Status_Map!$A$5:$A$11,0)),""))</f>
        <v/>
      </c>
      <c r="K218" s="82" t="n"/>
      <c r="L218" s="82" t="n"/>
      <c r="M218" s="82" t="n"/>
      <c r="N218" s="83" t="n"/>
      <c r="O218" s="83" t="n"/>
      <c r="P218" s="66">
        <f>IF(OR($N218="",$O218=""),"",$O218-$N218)</f>
        <v/>
      </c>
      <c r="Q218" s="84">
        <f>IF($K218="","",IF($M218&lt;&gt;"",$M218-$K218,TODAY()-$K218))</f>
        <v/>
      </c>
      <c r="R218" s="85">
        <f>IF(OR($L218="",$I218="Completed",$I218="Cancelled"),"",IF(AND($L218&lt;TODAY(),$I218&lt;&gt;"Completed",$I218&lt;&gt;"Cancelled"),"Overdue","On Track"))</f>
        <v/>
      </c>
      <c r="S218" s="65">
        <f>IF($L218="","",TEXT($L218,"yyyy-mm"))</f>
        <v/>
      </c>
      <c r="T218" s="86">
        <f>IF($I218="","",IFERROR(INDEX(Action_Status_Map!$C$5:$C$11,MATCH($I218,Action_Status_Map!$A$5:$A$11,0)),""))</f>
        <v/>
      </c>
      <c r="U218" s="81" t="n"/>
      <c r="V218" s="82" t="n"/>
      <c r="W218" s="65">
        <f>IF(OR($I218&lt;&gt;"Completed",$M218="",$L218=""),"",IF($M218&lt;=$L218,"Yes","No"))</f>
        <v/>
      </c>
      <c r="X218" s="84">
        <f>IF($A218="","",COUNTIF(Task_Steps!$B$5:$B$2004,$A218))</f>
        <v/>
      </c>
      <c r="Y218" s="86">
        <f>IF($X218=0,"",COUNTIFS(Task_Steps!$B$5:$B$2004,$A218,Task_Steps!$H$5:$H$2004,"Completed")/$X218)</f>
        <v/>
      </c>
      <c r="Z218" s="81" t="n"/>
      <c r="AA218" s="81" t="n"/>
      <c r="AB218" s="67">
        <f>IF($F218="","",IFERROR(INDEX(Employee_Master!$E$5:$E$204,MATCH($F218,Employee_Master!$B$5:$B$204,0)),""))</f>
        <v/>
      </c>
      <c r="AC218" s="65">
        <f>IF(OR($A218="",$AB218=""),"",IF(OR($I218="Completed",$I218="Cancelled"),"Closed - in Manager Report","Active - in Manager Report"))</f>
        <v/>
      </c>
      <c r="AD218" s="81">
        <f>IF($A218="","",IFERROR(TEXTJOIN(", ",TRUE,FILTER(Task_Steps!$A$5:$A$2004,Task_Steps!$B$5:$B$2004=$A218)),""))</f>
        <v/>
      </c>
      <c r="AE218" s="84">
        <f>IF($A218="","",COUNTIFS(Task_Steps!$B$5:$B$2004,$A218,Task_Steps!$H$5:$H$2004,"&lt;&gt;Completed",Task_Steps!$H$5:$H$2004,"&lt;&gt;Cancelled"))</f>
        <v/>
      </c>
      <c r="AF218" s="81">
        <f>IF(OR($B218="",$A218=""),"",$B218&amp;" | "&amp;$A218)</f>
        <v/>
      </c>
    </row>
    <row r="219" ht="15" customHeight="1" s="40">
      <c r="A219" s="65">
        <f>IF(COUNTA(B219:F219)=0,"","TSK-"&amp;TEXT(ROW()-4,"0000"))</f>
        <v/>
      </c>
      <c r="B219" s="78" t="n"/>
      <c r="C219" s="78" t="n"/>
      <c r="D219" s="81" t="n"/>
      <c r="E219" s="81" t="n"/>
      <c r="F219" s="78" t="n"/>
      <c r="G219" s="67">
        <f>IF($F219="","",IFERROR(INDEX(Employee_Master!$C$5:$C$204,MATCH($F219,Employee_Master!$B$5:$B$204,0)),""))</f>
        <v/>
      </c>
      <c r="H219" s="78" t="n"/>
      <c r="I219" s="78" t="n"/>
      <c r="J219" s="67">
        <f>IF($I219="","",IFERROR(INDEX(Action_Status_Map!$B$5:$B$11,MATCH($I219,Action_Status_Map!$A$5:$A$11,0)),""))</f>
        <v/>
      </c>
      <c r="K219" s="82" t="n"/>
      <c r="L219" s="82" t="n"/>
      <c r="M219" s="82" t="n"/>
      <c r="N219" s="83" t="n"/>
      <c r="O219" s="83" t="n"/>
      <c r="P219" s="66">
        <f>IF(OR($N219="",$O219=""),"",$O219-$N219)</f>
        <v/>
      </c>
      <c r="Q219" s="84">
        <f>IF($K219="","",IF($M219&lt;&gt;"",$M219-$K219,TODAY()-$K219))</f>
        <v/>
      </c>
      <c r="R219" s="85">
        <f>IF(OR($L219="",$I219="Completed",$I219="Cancelled"),"",IF(AND($L219&lt;TODAY(),$I219&lt;&gt;"Completed",$I219&lt;&gt;"Cancelled"),"Overdue","On Track"))</f>
        <v/>
      </c>
      <c r="S219" s="65">
        <f>IF($L219="","",TEXT($L219,"yyyy-mm"))</f>
        <v/>
      </c>
      <c r="T219" s="86">
        <f>IF($I219="","",IFERROR(INDEX(Action_Status_Map!$C$5:$C$11,MATCH($I219,Action_Status_Map!$A$5:$A$11,0)),""))</f>
        <v/>
      </c>
      <c r="U219" s="81" t="n"/>
      <c r="V219" s="82" t="n"/>
      <c r="W219" s="65">
        <f>IF(OR($I219&lt;&gt;"Completed",$M219="",$L219=""),"",IF($M219&lt;=$L219,"Yes","No"))</f>
        <v/>
      </c>
      <c r="X219" s="84">
        <f>IF($A219="","",COUNTIF(Task_Steps!$B$5:$B$2004,$A219))</f>
        <v/>
      </c>
      <c r="Y219" s="86">
        <f>IF($X219=0,"",COUNTIFS(Task_Steps!$B$5:$B$2004,$A219,Task_Steps!$H$5:$H$2004,"Completed")/$X219)</f>
        <v/>
      </c>
      <c r="Z219" s="81" t="n"/>
      <c r="AA219" s="81" t="n"/>
      <c r="AB219" s="67">
        <f>IF($F219="","",IFERROR(INDEX(Employee_Master!$E$5:$E$204,MATCH($F219,Employee_Master!$B$5:$B$204,0)),""))</f>
        <v/>
      </c>
      <c r="AC219" s="65">
        <f>IF(OR($A219="",$AB219=""),"",IF(OR($I219="Completed",$I219="Cancelled"),"Closed - in Manager Report","Active - in Manager Report"))</f>
        <v/>
      </c>
      <c r="AD219" s="81">
        <f>IF($A219="","",IFERROR(TEXTJOIN(", ",TRUE,FILTER(Task_Steps!$A$5:$A$2004,Task_Steps!$B$5:$B$2004=$A219)),""))</f>
        <v/>
      </c>
      <c r="AE219" s="84">
        <f>IF($A219="","",COUNTIFS(Task_Steps!$B$5:$B$2004,$A219,Task_Steps!$H$5:$H$2004,"&lt;&gt;Completed",Task_Steps!$H$5:$H$2004,"&lt;&gt;Cancelled"))</f>
        <v/>
      </c>
      <c r="AF219" s="81">
        <f>IF(OR($B219="",$A219=""),"",$B219&amp;" | "&amp;$A219)</f>
        <v/>
      </c>
    </row>
    <row r="220" ht="15" customHeight="1" s="40">
      <c r="A220" s="65">
        <f>IF(COUNTA(B220:F220)=0,"","TSK-"&amp;TEXT(ROW()-4,"0000"))</f>
        <v/>
      </c>
      <c r="B220" s="78" t="n"/>
      <c r="C220" s="78" t="n"/>
      <c r="D220" s="81" t="n"/>
      <c r="E220" s="81" t="n"/>
      <c r="F220" s="78" t="n"/>
      <c r="G220" s="67">
        <f>IF($F220="","",IFERROR(INDEX(Employee_Master!$C$5:$C$204,MATCH($F220,Employee_Master!$B$5:$B$204,0)),""))</f>
        <v/>
      </c>
      <c r="H220" s="78" t="n"/>
      <c r="I220" s="78" t="n"/>
      <c r="J220" s="67">
        <f>IF($I220="","",IFERROR(INDEX(Action_Status_Map!$B$5:$B$11,MATCH($I220,Action_Status_Map!$A$5:$A$11,0)),""))</f>
        <v/>
      </c>
      <c r="K220" s="82" t="n"/>
      <c r="L220" s="82" t="n"/>
      <c r="M220" s="82" t="n"/>
      <c r="N220" s="83" t="n"/>
      <c r="O220" s="83" t="n"/>
      <c r="P220" s="66">
        <f>IF(OR($N220="",$O220=""),"",$O220-$N220)</f>
        <v/>
      </c>
      <c r="Q220" s="84">
        <f>IF($K220="","",IF($M220&lt;&gt;"",$M220-$K220,TODAY()-$K220))</f>
        <v/>
      </c>
      <c r="R220" s="85">
        <f>IF(OR($L220="",$I220="Completed",$I220="Cancelled"),"",IF(AND($L220&lt;TODAY(),$I220&lt;&gt;"Completed",$I220&lt;&gt;"Cancelled"),"Overdue","On Track"))</f>
        <v/>
      </c>
      <c r="S220" s="65">
        <f>IF($L220="","",TEXT($L220,"yyyy-mm"))</f>
        <v/>
      </c>
      <c r="T220" s="86">
        <f>IF($I220="","",IFERROR(INDEX(Action_Status_Map!$C$5:$C$11,MATCH($I220,Action_Status_Map!$A$5:$A$11,0)),""))</f>
        <v/>
      </c>
      <c r="U220" s="81" t="n"/>
      <c r="V220" s="82" t="n"/>
      <c r="W220" s="65">
        <f>IF(OR($I220&lt;&gt;"Completed",$M220="",$L220=""),"",IF($M220&lt;=$L220,"Yes","No"))</f>
        <v/>
      </c>
      <c r="X220" s="84">
        <f>IF($A220="","",COUNTIF(Task_Steps!$B$5:$B$2004,$A220))</f>
        <v/>
      </c>
      <c r="Y220" s="86">
        <f>IF($X220=0,"",COUNTIFS(Task_Steps!$B$5:$B$2004,$A220,Task_Steps!$H$5:$H$2004,"Completed")/$X220)</f>
        <v/>
      </c>
      <c r="Z220" s="81" t="n"/>
      <c r="AA220" s="81" t="n"/>
      <c r="AB220" s="67">
        <f>IF($F220="","",IFERROR(INDEX(Employee_Master!$E$5:$E$204,MATCH($F220,Employee_Master!$B$5:$B$204,0)),""))</f>
        <v/>
      </c>
      <c r="AC220" s="65">
        <f>IF(OR($A220="",$AB220=""),"",IF(OR($I220="Completed",$I220="Cancelled"),"Closed - in Manager Report","Active - in Manager Report"))</f>
        <v/>
      </c>
      <c r="AD220" s="81">
        <f>IF($A220="","",IFERROR(TEXTJOIN(", ",TRUE,FILTER(Task_Steps!$A$5:$A$2004,Task_Steps!$B$5:$B$2004=$A220)),""))</f>
        <v/>
      </c>
      <c r="AE220" s="84">
        <f>IF($A220="","",COUNTIFS(Task_Steps!$B$5:$B$2004,$A220,Task_Steps!$H$5:$H$2004,"&lt;&gt;Completed",Task_Steps!$H$5:$H$2004,"&lt;&gt;Cancelled"))</f>
        <v/>
      </c>
      <c r="AF220" s="81">
        <f>IF(OR($B220="",$A220=""),"",$B220&amp;" | "&amp;$A220)</f>
        <v/>
      </c>
    </row>
    <row r="221" ht="15" customHeight="1" s="40">
      <c r="A221" s="65">
        <f>IF(COUNTA(B221:F221)=0,"","TSK-"&amp;TEXT(ROW()-4,"0000"))</f>
        <v/>
      </c>
      <c r="B221" s="78" t="n"/>
      <c r="C221" s="78" t="n"/>
      <c r="D221" s="81" t="n"/>
      <c r="E221" s="81" t="n"/>
      <c r="F221" s="78" t="n"/>
      <c r="G221" s="67">
        <f>IF($F221="","",IFERROR(INDEX(Employee_Master!$C$5:$C$204,MATCH($F221,Employee_Master!$B$5:$B$204,0)),""))</f>
        <v/>
      </c>
      <c r="H221" s="78" t="n"/>
      <c r="I221" s="78" t="n"/>
      <c r="J221" s="67">
        <f>IF($I221="","",IFERROR(INDEX(Action_Status_Map!$B$5:$B$11,MATCH($I221,Action_Status_Map!$A$5:$A$11,0)),""))</f>
        <v/>
      </c>
      <c r="K221" s="82" t="n"/>
      <c r="L221" s="82" t="n"/>
      <c r="M221" s="82" t="n"/>
      <c r="N221" s="83" t="n"/>
      <c r="O221" s="83" t="n"/>
      <c r="P221" s="66">
        <f>IF(OR($N221="",$O221=""),"",$O221-$N221)</f>
        <v/>
      </c>
      <c r="Q221" s="84">
        <f>IF($K221="","",IF($M221&lt;&gt;"",$M221-$K221,TODAY()-$K221))</f>
        <v/>
      </c>
      <c r="R221" s="85">
        <f>IF(OR($L221="",$I221="Completed",$I221="Cancelled"),"",IF(AND($L221&lt;TODAY(),$I221&lt;&gt;"Completed",$I221&lt;&gt;"Cancelled"),"Overdue","On Track"))</f>
        <v/>
      </c>
      <c r="S221" s="65">
        <f>IF($L221="","",TEXT($L221,"yyyy-mm"))</f>
        <v/>
      </c>
      <c r="T221" s="86">
        <f>IF($I221="","",IFERROR(INDEX(Action_Status_Map!$C$5:$C$11,MATCH($I221,Action_Status_Map!$A$5:$A$11,0)),""))</f>
        <v/>
      </c>
      <c r="U221" s="81" t="n"/>
      <c r="V221" s="82" t="n"/>
      <c r="W221" s="65">
        <f>IF(OR($I221&lt;&gt;"Completed",$M221="",$L221=""),"",IF($M221&lt;=$L221,"Yes","No"))</f>
        <v/>
      </c>
      <c r="X221" s="84">
        <f>IF($A221="","",COUNTIF(Task_Steps!$B$5:$B$2004,$A221))</f>
        <v/>
      </c>
      <c r="Y221" s="86">
        <f>IF($X221=0,"",COUNTIFS(Task_Steps!$B$5:$B$2004,$A221,Task_Steps!$H$5:$H$2004,"Completed")/$X221)</f>
        <v/>
      </c>
      <c r="Z221" s="81" t="n"/>
      <c r="AA221" s="81" t="n"/>
      <c r="AB221" s="67">
        <f>IF($F221="","",IFERROR(INDEX(Employee_Master!$E$5:$E$204,MATCH($F221,Employee_Master!$B$5:$B$204,0)),""))</f>
        <v/>
      </c>
      <c r="AC221" s="65">
        <f>IF(OR($A221="",$AB221=""),"",IF(OR($I221="Completed",$I221="Cancelled"),"Closed - in Manager Report","Active - in Manager Report"))</f>
        <v/>
      </c>
      <c r="AD221" s="81">
        <f>IF($A221="","",IFERROR(TEXTJOIN(", ",TRUE,FILTER(Task_Steps!$A$5:$A$2004,Task_Steps!$B$5:$B$2004=$A221)),""))</f>
        <v/>
      </c>
      <c r="AE221" s="84">
        <f>IF($A221="","",COUNTIFS(Task_Steps!$B$5:$B$2004,$A221,Task_Steps!$H$5:$H$2004,"&lt;&gt;Completed",Task_Steps!$H$5:$H$2004,"&lt;&gt;Cancelled"))</f>
        <v/>
      </c>
      <c r="AF221" s="81">
        <f>IF(OR($B221="",$A221=""),"",$B221&amp;" | "&amp;$A221)</f>
        <v/>
      </c>
    </row>
    <row r="222" ht="15" customHeight="1" s="40">
      <c r="A222" s="65">
        <f>IF(COUNTA(B222:F222)=0,"","TSK-"&amp;TEXT(ROW()-4,"0000"))</f>
        <v/>
      </c>
      <c r="B222" s="78" t="n"/>
      <c r="C222" s="78" t="n"/>
      <c r="D222" s="81" t="n"/>
      <c r="E222" s="81" t="n"/>
      <c r="F222" s="78" t="n"/>
      <c r="G222" s="67">
        <f>IF($F222="","",IFERROR(INDEX(Employee_Master!$C$5:$C$204,MATCH($F222,Employee_Master!$B$5:$B$204,0)),""))</f>
        <v/>
      </c>
      <c r="H222" s="78" t="n"/>
      <c r="I222" s="78" t="n"/>
      <c r="J222" s="67">
        <f>IF($I222="","",IFERROR(INDEX(Action_Status_Map!$B$5:$B$11,MATCH($I222,Action_Status_Map!$A$5:$A$11,0)),""))</f>
        <v/>
      </c>
      <c r="K222" s="82" t="n"/>
      <c r="L222" s="82" t="n"/>
      <c r="M222" s="82" t="n"/>
      <c r="N222" s="83" t="n"/>
      <c r="O222" s="83" t="n"/>
      <c r="P222" s="66">
        <f>IF(OR($N222="",$O222=""),"",$O222-$N222)</f>
        <v/>
      </c>
      <c r="Q222" s="84">
        <f>IF($K222="","",IF($M222&lt;&gt;"",$M222-$K222,TODAY()-$K222))</f>
        <v/>
      </c>
      <c r="R222" s="85">
        <f>IF(OR($L222="",$I222="Completed",$I222="Cancelled"),"",IF(AND($L222&lt;TODAY(),$I222&lt;&gt;"Completed",$I222&lt;&gt;"Cancelled"),"Overdue","On Track"))</f>
        <v/>
      </c>
      <c r="S222" s="65">
        <f>IF($L222="","",TEXT($L222,"yyyy-mm"))</f>
        <v/>
      </c>
      <c r="T222" s="86">
        <f>IF($I222="","",IFERROR(INDEX(Action_Status_Map!$C$5:$C$11,MATCH($I222,Action_Status_Map!$A$5:$A$11,0)),""))</f>
        <v/>
      </c>
      <c r="U222" s="81" t="n"/>
      <c r="V222" s="82" t="n"/>
      <c r="W222" s="65">
        <f>IF(OR($I222&lt;&gt;"Completed",$M222="",$L222=""),"",IF($M222&lt;=$L222,"Yes","No"))</f>
        <v/>
      </c>
      <c r="X222" s="84">
        <f>IF($A222="","",COUNTIF(Task_Steps!$B$5:$B$2004,$A222))</f>
        <v/>
      </c>
      <c r="Y222" s="86">
        <f>IF($X222=0,"",COUNTIFS(Task_Steps!$B$5:$B$2004,$A222,Task_Steps!$H$5:$H$2004,"Completed")/$X222)</f>
        <v/>
      </c>
      <c r="Z222" s="81" t="n"/>
      <c r="AA222" s="81" t="n"/>
      <c r="AB222" s="67">
        <f>IF($F222="","",IFERROR(INDEX(Employee_Master!$E$5:$E$204,MATCH($F222,Employee_Master!$B$5:$B$204,0)),""))</f>
        <v/>
      </c>
      <c r="AC222" s="65">
        <f>IF(OR($A222="",$AB222=""),"",IF(OR($I222="Completed",$I222="Cancelled"),"Closed - in Manager Report","Active - in Manager Report"))</f>
        <v/>
      </c>
      <c r="AD222" s="81">
        <f>IF($A222="","",IFERROR(TEXTJOIN(", ",TRUE,FILTER(Task_Steps!$A$5:$A$2004,Task_Steps!$B$5:$B$2004=$A222)),""))</f>
        <v/>
      </c>
      <c r="AE222" s="84">
        <f>IF($A222="","",COUNTIFS(Task_Steps!$B$5:$B$2004,$A222,Task_Steps!$H$5:$H$2004,"&lt;&gt;Completed",Task_Steps!$H$5:$H$2004,"&lt;&gt;Cancelled"))</f>
        <v/>
      </c>
      <c r="AF222" s="81">
        <f>IF(OR($B222="",$A222=""),"",$B222&amp;" | "&amp;$A222)</f>
        <v/>
      </c>
    </row>
    <row r="223" ht="15" customHeight="1" s="40">
      <c r="A223" s="65">
        <f>IF(COUNTA(B223:F223)=0,"","TSK-"&amp;TEXT(ROW()-4,"0000"))</f>
        <v/>
      </c>
      <c r="B223" s="78" t="n"/>
      <c r="C223" s="78" t="n"/>
      <c r="D223" s="81" t="n"/>
      <c r="E223" s="81" t="n"/>
      <c r="F223" s="78" t="n"/>
      <c r="G223" s="67">
        <f>IF($F223="","",IFERROR(INDEX(Employee_Master!$C$5:$C$204,MATCH($F223,Employee_Master!$B$5:$B$204,0)),""))</f>
        <v/>
      </c>
      <c r="H223" s="78" t="n"/>
      <c r="I223" s="78" t="n"/>
      <c r="J223" s="67">
        <f>IF($I223="","",IFERROR(INDEX(Action_Status_Map!$B$5:$B$11,MATCH($I223,Action_Status_Map!$A$5:$A$11,0)),""))</f>
        <v/>
      </c>
      <c r="K223" s="82" t="n"/>
      <c r="L223" s="82" t="n"/>
      <c r="M223" s="82" t="n"/>
      <c r="N223" s="83" t="n"/>
      <c r="O223" s="83" t="n"/>
      <c r="P223" s="66">
        <f>IF(OR($N223="",$O223=""),"",$O223-$N223)</f>
        <v/>
      </c>
      <c r="Q223" s="84">
        <f>IF($K223="","",IF($M223&lt;&gt;"",$M223-$K223,TODAY()-$K223))</f>
        <v/>
      </c>
      <c r="R223" s="85">
        <f>IF(OR($L223="",$I223="Completed",$I223="Cancelled"),"",IF(AND($L223&lt;TODAY(),$I223&lt;&gt;"Completed",$I223&lt;&gt;"Cancelled"),"Overdue","On Track"))</f>
        <v/>
      </c>
      <c r="S223" s="65">
        <f>IF($L223="","",TEXT($L223,"yyyy-mm"))</f>
        <v/>
      </c>
      <c r="T223" s="86">
        <f>IF($I223="","",IFERROR(INDEX(Action_Status_Map!$C$5:$C$11,MATCH($I223,Action_Status_Map!$A$5:$A$11,0)),""))</f>
        <v/>
      </c>
      <c r="U223" s="81" t="n"/>
      <c r="V223" s="82" t="n"/>
      <c r="W223" s="65">
        <f>IF(OR($I223&lt;&gt;"Completed",$M223="",$L223=""),"",IF($M223&lt;=$L223,"Yes","No"))</f>
        <v/>
      </c>
      <c r="X223" s="84">
        <f>IF($A223="","",COUNTIF(Task_Steps!$B$5:$B$2004,$A223))</f>
        <v/>
      </c>
      <c r="Y223" s="86">
        <f>IF($X223=0,"",COUNTIFS(Task_Steps!$B$5:$B$2004,$A223,Task_Steps!$H$5:$H$2004,"Completed")/$X223)</f>
        <v/>
      </c>
      <c r="Z223" s="81" t="n"/>
      <c r="AA223" s="81" t="n"/>
      <c r="AB223" s="67">
        <f>IF($F223="","",IFERROR(INDEX(Employee_Master!$E$5:$E$204,MATCH($F223,Employee_Master!$B$5:$B$204,0)),""))</f>
        <v/>
      </c>
      <c r="AC223" s="65">
        <f>IF(OR($A223="",$AB223=""),"",IF(OR($I223="Completed",$I223="Cancelled"),"Closed - in Manager Report","Active - in Manager Report"))</f>
        <v/>
      </c>
      <c r="AD223" s="81">
        <f>IF($A223="","",IFERROR(TEXTJOIN(", ",TRUE,FILTER(Task_Steps!$A$5:$A$2004,Task_Steps!$B$5:$B$2004=$A223)),""))</f>
        <v/>
      </c>
      <c r="AE223" s="84">
        <f>IF($A223="","",COUNTIFS(Task_Steps!$B$5:$B$2004,$A223,Task_Steps!$H$5:$H$2004,"&lt;&gt;Completed",Task_Steps!$H$5:$H$2004,"&lt;&gt;Cancelled"))</f>
        <v/>
      </c>
      <c r="AF223" s="81">
        <f>IF(OR($B223="",$A223=""),"",$B223&amp;" | "&amp;$A223)</f>
        <v/>
      </c>
    </row>
    <row r="224" ht="15" customHeight="1" s="40">
      <c r="A224" s="65">
        <f>IF(COUNTA(B224:F224)=0,"","TSK-"&amp;TEXT(ROW()-4,"0000"))</f>
        <v/>
      </c>
      <c r="B224" s="78" t="n"/>
      <c r="C224" s="78" t="n"/>
      <c r="D224" s="81" t="n"/>
      <c r="E224" s="81" t="n"/>
      <c r="F224" s="78" t="n"/>
      <c r="G224" s="67">
        <f>IF($F224="","",IFERROR(INDEX(Employee_Master!$C$5:$C$204,MATCH($F224,Employee_Master!$B$5:$B$204,0)),""))</f>
        <v/>
      </c>
      <c r="H224" s="78" t="n"/>
      <c r="I224" s="78" t="n"/>
      <c r="J224" s="67">
        <f>IF($I224="","",IFERROR(INDEX(Action_Status_Map!$B$5:$B$11,MATCH($I224,Action_Status_Map!$A$5:$A$11,0)),""))</f>
        <v/>
      </c>
      <c r="K224" s="82" t="n"/>
      <c r="L224" s="82" t="n"/>
      <c r="M224" s="82" t="n"/>
      <c r="N224" s="83" t="n"/>
      <c r="O224" s="83" t="n"/>
      <c r="P224" s="66">
        <f>IF(OR($N224="",$O224=""),"",$O224-$N224)</f>
        <v/>
      </c>
      <c r="Q224" s="84">
        <f>IF($K224="","",IF($M224&lt;&gt;"",$M224-$K224,TODAY()-$K224))</f>
        <v/>
      </c>
      <c r="R224" s="85">
        <f>IF(OR($L224="",$I224="Completed",$I224="Cancelled"),"",IF(AND($L224&lt;TODAY(),$I224&lt;&gt;"Completed",$I224&lt;&gt;"Cancelled"),"Overdue","On Track"))</f>
        <v/>
      </c>
      <c r="S224" s="65">
        <f>IF($L224="","",TEXT($L224,"yyyy-mm"))</f>
        <v/>
      </c>
      <c r="T224" s="86">
        <f>IF($I224="","",IFERROR(INDEX(Action_Status_Map!$C$5:$C$11,MATCH($I224,Action_Status_Map!$A$5:$A$11,0)),""))</f>
        <v/>
      </c>
      <c r="U224" s="81" t="n"/>
      <c r="V224" s="82" t="n"/>
      <c r="W224" s="65">
        <f>IF(OR($I224&lt;&gt;"Completed",$M224="",$L224=""),"",IF($M224&lt;=$L224,"Yes","No"))</f>
        <v/>
      </c>
      <c r="X224" s="84">
        <f>IF($A224="","",COUNTIF(Task_Steps!$B$5:$B$2004,$A224))</f>
        <v/>
      </c>
      <c r="Y224" s="86">
        <f>IF($X224=0,"",COUNTIFS(Task_Steps!$B$5:$B$2004,$A224,Task_Steps!$H$5:$H$2004,"Completed")/$X224)</f>
        <v/>
      </c>
      <c r="Z224" s="81" t="n"/>
      <c r="AA224" s="81" t="n"/>
      <c r="AB224" s="67">
        <f>IF($F224="","",IFERROR(INDEX(Employee_Master!$E$5:$E$204,MATCH($F224,Employee_Master!$B$5:$B$204,0)),""))</f>
        <v/>
      </c>
      <c r="AC224" s="65">
        <f>IF(OR($A224="",$AB224=""),"",IF(OR($I224="Completed",$I224="Cancelled"),"Closed - in Manager Report","Active - in Manager Report"))</f>
        <v/>
      </c>
      <c r="AD224" s="81">
        <f>IF($A224="","",IFERROR(TEXTJOIN(", ",TRUE,FILTER(Task_Steps!$A$5:$A$2004,Task_Steps!$B$5:$B$2004=$A224)),""))</f>
        <v/>
      </c>
      <c r="AE224" s="84">
        <f>IF($A224="","",COUNTIFS(Task_Steps!$B$5:$B$2004,$A224,Task_Steps!$H$5:$H$2004,"&lt;&gt;Completed",Task_Steps!$H$5:$H$2004,"&lt;&gt;Cancelled"))</f>
        <v/>
      </c>
      <c r="AF224" s="81">
        <f>IF(OR($B224="",$A224=""),"",$B224&amp;" | "&amp;$A224)</f>
        <v/>
      </c>
    </row>
    <row r="225" ht="15" customHeight="1" s="40">
      <c r="A225" s="65">
        <f>IF(COUNTA(B225:F225)=0,"","TSK-"&amp;TEXT(ROW()-4,"0000"))</f>
        <v/>
      </c>
      <c r="B225" s="78" t="n"/>
      <c r="C225" s="78" t="n"/>
      <c r="D225" s="81" t="n"/>
      <c r="E225" s="81" t="n"/>
      <c r="F225" s="78" t="n"/>
      <c r="G225" s="67">
        <f>IF($F225="","",IFERROR(INDEX(Employee_Master!$C$5:$C$204,MATCH($F225,Employee_Master!$B$5:$B$204,0)),""))</f>
        <v/>
      </c>
      <c r="H225" s="78" t="n"/>
      <c r="I225" s="78" t="n"/>
      <c r="J225" s="67">
        <f>IF($I225="","",IFERROR(INDEX(Action_Status_Map!$B$5:$B$11,MATCH($I225,Action_Status_Map!$A$5:$A$11,0)),""))</f>
        <v/>
      </c>
      <c r="K225" s="82" t="n"/>
      <c r="L225" s="82" t="n"/>
      <c r="M225" s="82" t="n"/>
      <c r="N225" s="83" t="n"/>
      <c r="O225" s="83" t="n"/>
      <c r="P225" s="66">
        <f>IF(OR($N225="",$O225=""),"",$O225-$N225)</f>
        <v/>
      </c>
      <c r="Q225" s="84">
        <f>IF($K225="","",IF($M225&lt;&gt;"",$M225-$K225,TODAY()-$K225))</f>
        <v/>
      </c>
      <c r="R225" s="85">
        <f>IF(OR($L225="",$I225="Completed",$I225="Cancelled"),"",IF(AND($L225&lt;TODAY(),$I225&lt;&gt;"Completed",$I225&lt;&gt;"Cancelled"),"Overdue","On Track"))</f>
        <v/>
      </c>
      <c r="S225" s="65">
        <f>IF($L225="","",TEXT($L225,"yyyy-mm"))</f>
        <v/>
      </c>
      <c r="T225" s="86">
        <f>IF($I225="","",IFERROR(INDEX(Action_Status_Map!$C$5:$C$11,MATCH($I225,Action_Status_Map!$A$5:$A$11,0)),""))</f>
        <v/>
      </c>
      <c r="U225" s="81" t="n"/>
      <c r="V225" s="82" t="n"/>
      <c r="W225" s="65">
        <f>IF(OR($I225&lt;&gt;"Completed",$M225="",$L225=""),"",IF($M225&lt;=$L225,"Yes","No"))</f>
        <v/>
      </c>
      <c r="X225" s="84">
        <f>IF($A225="","",COUNTIF(Task_Steps!$B$5:$B$2004,$A225))</f>
        <v/>
      </c>
      <c r="Y225" s="86">
        <f>IF($X225=0,"",COUNTIFS(Task_Steps!$B$5:$B$2004,$A225,Task_Steps!$H$5:$H$2004,"Completed")/$X225)</f>
        <v/>
      </c>
      <c r="Z225" s="81" t="n"/>
      <c r="AA225" s="81" t="n"/>
      <c r="AB225" s="67">
        <f>IF($F225="","",IFERROR(INDEX(Employee_Master!$E$5:$E$204,MATCH($F225,Employee_Master!$B$5:$B$204,0)),""))</f>
        <v/>
      </c>
      <c r="AC225" s="65">
        <f>IF(OR($A225="",$AB225=""),"",IF(OR($I225="Completed",$I225="Cancelled"),"Closed - in Manager Report","Active - in Manager Report"))</f>
        <v/>
      </c>
      <c r="AD225" s="81">
        <f>IF($A225="","",IFERROR(TEXTJOIN(", ",TRUE,FILTER(Task_Steps!$A$5:$A$2004,Task_Steps!$B$5:$B$2004=$A225)),""))</f>
        <v/>
      </c>
      <c r="AE225" s="84">
        <f>IF($A225="","",COUNTIFS(Task_Steps!$B$5:$B$2004,$A225,Task_Steps!$H$5:$H$2004,"&lt;&gt;Completed",Task_Steps!$H$5:$H$2004,"&lt;&gt;Cancelled"))</f>
        <v/>
      </c>
      <c r="AF225" s="81">
        <f>IF(OR($B225="",$A225=""),"",$B225&amp;" | "&amp;$A225)</f>
        <v/>
      </c>
    </row>
    <row r="226" ht="15" customHeight="1" s="40">
      <c r="A226" s="65">
        <f>IF(COUNTA(B226:F226)=0,"","TSK-"&amp;TEXT(ROW()-4,"0000"))</f>
        <v/>
      </c>
      <c r="B226" s="78" t="n"/>
      <c r="C226" s="78" t="n"/>
      <c r="D226" s="81" t="n"/>
      <c r="E226" s="81" t="n"/>
      <c r="F226" s="78" t="n"/>
      <c r="G226" s="67">
        <f>IF($F226="","",IFERROR(INDEX(Employee_Master!$C$5:$C$204,MATCH($F226,Employee_Master!$B$5:$B$204,0)),""))</f>
        <v/>
      </c>
      <c r="H226" s="78" t="n"/>
      <c r="I226" s="78" t="n"/>
      <c r="J226" s="67">
        <f>IF($I226="","",IFERROR(INDEX(Action_Status_Map!$B$5:$B$11,MATCH($I226,Action_Status_Map!$A$5:$A$11,0)),""))</f>
        <v/>
      </c>
      <c r="K226" s="82" t="n"/>
      <c r="L226" s="82" t="n"/>
      <c r="M226" s="82" t="n"/>
      <c r="N226" s="83" t="n"/>
      <c r="O226" s="83" t="n"/>
      <c r="P226" s="66">
        <f>IF(OR($N226="",$O226=""),"",$O226-$N226)</f>
        <v/>
      </c>
      <c r="Q226" s="84">
        <f>IF($K226="","",IF($M226&lt;&gt;"",$M226-$K226,TODAY()-$K226))</f>
        <v/>
      </c>
      <c r="R226" s="85">
        <f>IF(OR($L226="",$I226="Completed",$I226="Cancelled"),"",IF(AND($L226&lt;TODAY(),$I226&lt;&gt;"Completed",$I226&lt;&gt;"Cancelled"),"Overdue","On Track"))</f>
        <v/>
      </c>
      <c r="S226" s="65">
        <f>IF($L226="","",TEXT($L226,"yyyy-mm"))</f>
        <v/>
      </c>
      <c r="T226" s="86">
        <f>IF($I226="","",IFERROR(INDEX(Action_Status_Map!$C$5:$C$11,MATCH($I226,Action_Status_Map!$A$5:$A$11,0)),""))</f>
        <v/>
      </c>
      <c r="U226" s="81" t="n"/>
      <c r="V226" s="82" t="n"/>
      <c r="W226" s="65">
        <f>IF(OR($I226&lt;&gt;"Completed",$M226="",$L226=""),"",IF($M226&lt;=$L226,"Yes","No"))</f>
        <v/>
      </c>
      <c r="X226" s="84">
        <f>IF($A226="","",COUNTIF(Task_Steps!$B$5:$B$2004,$A226))</f>
        <v/>
      </c>
      <c r="Y226" s="86">
        <f>IF($X226=0,"",COUNTIFS(Task_Steps!$B$5:$B$2004,$A226,Task_Steps!$H$5:$H$2004,"Completed")/$X226)</f>
        <v/>
      </c>
      <c r="Z226" s="81" t="n"/>
      <c r="AA226" s="81" t="n"/>
      <c r="AB226" s="67">
        <f>IF($F226="","",IFERROR(INDEX(Employee_Master!$E$5:$E$204,MATCH($F226,Employee_Master!$B$5:$B$204,0)),""))</f>
        <v/>
      </c>
      <c r="AC226" s="65">
        <f>IF(OR($A226="",$AB226=""),"",IF(OR($I226="Completed",$I226="Cancelled"),"Closed - in Manager Report","Active - in Manager Report"))</f>
        <v/>
      </c>
      <c r="AD226" s="81">
        <f>IF($A226="","",IFERROR(TEXTJOIN(", ",TRUE,FILTER(Task_Steps!$A$5:$A$2004,Task_Steps!$B$5:$B$2004=$A226)),""))</f>
        <v/>
      </c>
      <c r="AE226" s="84">
        <f>IF($A226="","",COUNTIFS(Task_Steps!$B$5:$B$2004,$A226,Task_Steps!$H$5:$H$2004,"&lt;&gt;Completed",Task_Steps!$H$5:$H$2004,"&lt;&gt;Cancelled"))</f>
        <v/>
      </c>
      <c r="AF226" s="81">
        <f>IF(OR($B226="",$A226=""),"",$B226&amp;" | "&amp;$A226)</f>
        <v/>
      </c>
    </row>
    <row r="227" ht="15" customHeight="1" s="40">
      <c r="A227" s="65">
        <f>IF(COUNTA(B227:F227)=0,"","TSK-"&amp;TEXT(ROW()-4,"0000"))</f>
        <v/>
      </c>
      <c r="B227" s="78" t="n"/>
      <c r="C227" s="78" t="n"/>
      <c r="D227" s="81" t="n"/>
      <c r="E227" s="81" t="n"/>
      <c r="F227" s="78" t="n"/>
      <c r="G227" s="67">
        <f>IF($F227="","",IFERROR(INDEX(Employee_Master!$C$5:$C$204,MATCH($F227,Employee_Master!$B$5:$B$204,0)),""))</f>
        <v/>
      </c>
      <c r="H227" s="78" t="n"/>
      <c r="I227" s="78" t="n"/>
      <c r="J227" s="67">
        <f>IF($I227="","",IFERROR(INDEX(Action_Status_Map!$B$5:$B$11,MATCH($I227,Action_Status_Map!$A$5:$A$11,0)),""))</f>
        <v/>
      </c>
      <c r="K227" s="82" t="n"/>
      <c r="L227" s="82" t="n"/>
      <c r="M227" s="82" t="n"/>
      <c r="N227" s="83" t="n"/>
      <c r="O227" s="83" t="n"/>
      <c r="P227" s="66">
        <f>IF(OR($N227="",$O227=""),"",$O227-$N227)</f>
        <v/>
      </c>
      <c r="Q227" s="84">
        <f>IF($K227="","",IF($M227&lt;&gt;"",$M227-$K227,TODAY()-$K227))</f>
        <v/>
      </c>
      <c r="R227" s="85">
        <f>IF(OR($L227="",$I227="Completed",$I227="Cancelled"),"",IF(AND($L227&lt;TODAY(),$I227&lt;&gt;"Completed",$I227&lt;&gt;"Cancelled"),"Overdue","On Track"))</f>
        <v/>
      </c>
      <c r="S227" s="65">
        <f>IF($L227="","",TEXT($L227,"yyyy-mm"))</f>
        <v/>
      </c>
      <c r="T227" s="86">
        <f>IF($I227="","",IFERROR(INDEX(Action_Status_Map!$C$5:$C$11,MATCH($I227,Action_Status_Map!$A$5:$A$11,0)),""))</f>
        <v/>
      </c>
      <c r="U227" s="81" t="n"/>
      <c r="V227" s="82" t="n"/>
      <c r="W227" s="65">
        <f>IF(OR($I227&lt;&gt;"Completed",$M227="",$L227=""),"",IF($M227&lt;=$L227,"Yes","No"))</f>
        <v/>
      </c>
      <c r="X227" s="84">
        <f>IF($A227="","",COUNTIF(Task_Steps!$B$5:$B$2004,$A227))</f>
        <v/>
      </c>
      <c r="Y227" s="86">
        <f>IF($X227=0,"",COUNTIFS(Task_Steps!$B$5:$B$2004,$A227,Task_Steps!$H$5:$H$2004,"Completed")/$X227)</f>
        <v/>
      </c>
      <c r="Z227" s="81" t="n"/>
      <c r="AA227" s="81" t="n"/>
      <c r="AB227" s="67">
        <f>IF($F227="","",IFERROR(INDEX(Employee_Master!$E$5:$E$204,MATCH($F227,Employee_Master!$B$5:$B$204,0)),""))</f>
        <v/>
      </c>
      <c r="AC227" s="65">
        <f>IF(OR($A227="",$AB227=""),"",IF(OR($I227="Completed",$I227="Cancelled"),"Closed - in Manager Report","Active - in Manager Report"))</f>
        <v/>
      </c>
      <c r="AD227" s="81">
        <f>IF($A227="","",IFERROR(TEXTJOIN(", ",TRUE,FILTER(Task_Steps!$A$5:$A$2004,Task_Steps!$B$5:$B$2004=$A227)),""))</f>
        <v/>
      </c>
      <c r="AE227" s="84">
        <f>IF($A227="","",COUNTIFS(Task_Steps!$B$5:$B$2004,$A227,Task_Steps!$H$5:$H$2004,"&lt;&gt;Completed",Task_Steps!$H$5:$H$2004,"&lt;&gt;Cancelled"))</f>
        <v/>
      </c>
      <c r="AF227" s="81">
        <f>IF(OR($B227="",$A227=""),"",$B227&amp;" | "&amp;$A227)</f>
        <v/>
      </c>
    </row>
    <row r="228" ht="15" customHeight="1" s="40">
      <c r="A228" s="65">
        <f>IF(COUNTA(B228:F228)=0,"","TSK-"&amp;TEXT(ROW()-4,"0000"))</f>
        <v/>
      </c>
      <c r="B228" s="78" t="n"/>
      <c r="C228" s="78" t="n"/>
      <c r="D228" s="81" t="n"/>
      <c r="E228" s="81" t="n"/>
      <c r="F228" s="78" t="n"/>
      <c r="G228" s="67">
        <f>IF($F228="","",IFERROR(INDEX(Employee_Master!$C$5:$C$204,MATCH($F228,Employee_Master!$B$5:$B$204,0)),""))</f>
        <v/>
      </c>
      <c r="H228" s="78" t="n"/>
      <c r="I228" s="78" t="n"/>
      <c r="J228" s="67">
        <f>IF($I228="","",IFERROR(INDEX(Action_Status_Map!$B$5:$B$11,MATCH($I228,Action_Status_Map!$A$5:$A$11,0)),""))</f>
        <v/>
      </c>
      <c r="K228" s="82" t="n"/>
      <c r="L228" s="82" t="n"/>
      <c r="M228" s="82" t="n"/>
      <c r="N228" s="83" t="n"/>
      <c r="O228" s="83" t="n"/>
      <c r="P228" s="66">
        <f>IF(OR($N228="",$O228=""),"",$O228-$N228)</f>
        <v/>
      </c>
      <c r="Q228" s="84">
        <f>IF($K228="","",IF($M228&lt;&gt;"",$M228-$K228,TODAY()-$K228))</f>
        <v/>
      </c>
      <c r="R228" s="85">
        <f>IF(OR($L228="",$I228="Completed",$I228="Cancelled"),"",IF(AND($L228&lt;TODAY(),$I228&lt;&gt;"Completed",$I228&lt;&gt;"Cancelled"),"Overdue","On Track"))</f>
        <v/>
      </c>
      <c r="S228" s="65">
        <f>IF($L228="","",TEXT($L228,"yyyy-mm"))</f>
        <v/>
      </c>
      <c r="T228" s="86">
        <f>IF($I228="","",IFERROR(INDEX(Action_Status_Map!$C$5:$C$11,MATCH($I228,Action_Status_Map!$A$5:$A$11,0)),""))</f>
        <v/>
      </c>
      <c r="U228" s="81" t="n"/>
      <c r="V228" s="82" t="n"/>
      <c r="W228" s="65">
        <f>IF(OR($I228&lt;&gt;"Completed",$M228="",$L228=""),"",IF($M228&lt;=$L228,"Yes","No"))</f>
        <v/>
      </c>
      <c r="X228" s="84">
        <f>IF($A228="","",COUNTIF(Task_Steps!$B$5:$B$2004,$A228))</f>
        <v/>
      </c>
      <c r="Y228" s="86">
        <f>IF($X228=0,"",COUNTIFS(Task_Steps!$B$5:$B$2004,$A228,Task_Steps!$H$5:$H$2004,"Completed")/$X228)</f>
        <v/>
      </c>
      <c r="Z228" s="81" t="n"/>
      <c r="AA228" s="81" t="n"/>
      <c r="AB228" s="67">
        <f>IF($F228="","",IFERROR(INDEX(Employee_Master!$E$5:$E$204,MATCH($F228,Employee_Master!$B$5:$B$204,0)),""))</f>
        <v/>
      </c>
      <c r="AC228" s="65">
        <f>IF(OR($A228="",$AB228=""),"",IF(OR($I228="Completed",$I228="Cancelled"),"Closed - in Manager Report","Active - in Manager Report"))</f>
        <v/>
      </c>
      <c r="AD228" s="81">
        <f>IF($A228="","",IFERROR(TEXTJOIN(", ",TRUE,FILTER(Task_Steps!$A$5:$A$2004,Task_Steps!$B$5:$B$2004=$A228)),""))</f>
        <v/>
      </c>
      <c r="AE228" s="84">
        <f>IF($A228="","",COUNTIFS(Task_Steps!$B$5:$B$2004,$A228,Task_Steps!$H$5:$H$2004,"&lt;&gt;Completed",Task_Steps!$H$5:$H$2004,"&lt;&gt;Cancelled"))</f>
        <v/>
      </c>
      <c r="AF228" s="81">
        <f>IF(OR($B228="",$A228=""),"",$B228&amp;" | "&amp;$A228)</f>
        <v/>
      </c>
    </row>
    <row r="229" ht="15" customHeight="1" s="40">
      <c r="A229" s="65">
        <f>IF(COUNTA(B229:F229)=0,"","TSK-"&amp;TEXT(ROW()-4,"0000"))</f>
        <v/>
      </c>
      <c r="B229" s="78" t="n"/>
      <c r="C229" s="78" t="n"/>
      <c r="D229" s="81" t="n"/>
      <c r="E229" s="81" t="n"/>
      <c r="F229" s="78" t="n"/>
      <c r="G229" s="67">
        <f>IF($F229="","",IFERROR(INDEX(Employee_Master!$C$5:$C$204,MATCH($F229,Employee_Master!$B$5:$B$204,0)),""))</f>
        <v/>
      </c>
      <c r="H229" s="78" t="n"/>
      <c r="I229" s="78" t="n"/>
      <c r="J229" s="67">
        <f>IF($I229="","",IFERROR(INDEX(Action_Status_Map!$B$5:$B$11,MATCH($I229,Action_Status_Map!$A$5:$A$11,0)),""))</f>
        <v/>
      </c>
      <c r="K229" s="82" t="n"/>
      <c r="L229" s="82" t="n"/>
      <c r="M229" s="82" t="n"/>
      <c r="N229" s="83" t="n"/>
      <c r="O229" s="83" t="n"/>
      <c r="P229" s="66">
        <f>IF(OR($N229="",$O229=""),"",$O229-$N229)</f>
        <v/>
      </c>
      <c r="Q229" s="84">
        <f>IF($K229="","",IF($M229&lt;&gt;"",$M229-$K229,TODAY()-$K229))</f>
        <v/>
      </c>
      <c r="R229" s="85">
        <f>IF(OR($L229="",$I229="Completed",$I229="Cancelled"),"",IF(AND($L229&lt;TODAY(),$I229&lt;&gt;"Completed",$I229&lt;&gt;"Cancelled"),"Overdue","On Track"))</f>
        <v/>
      </c>
      <c r="S229" s="65">
        <f>IF($L229="","",TEXT($L229,"yyyy-mm"))</f>
        <v/>
      </c>
      <c r="T229" s="86">
        <f>IF($I229="","",IFERROR(INDEX(Action_Status_Map!$C$5:$C$11,MATCH($I229,Action_Status_Map!$A$5:$A$11,0)),""))</f>
        <v/>
      </c>
      <c r="U229" s="81" t="n"/>
      <c r="V229" s="82" t="n"/>
      <c r="W229" s="65">
        <f>IF(OR($I229&lt;&gt;"Completed",$M229="",$L229=""),"",IF($M229&lt;=$L229,"Yes","No"))</f>
        <v/>
      </c>
      <c r="X229" s="84">
        <f>IF($A229="","",COUNTIF(Task_Steps!$B$5:$B$2004,$A229))</f>
        <v/>
      </c>
      <c r="Y229" s="86">
        <f>IF($X229=0,"",COUNTIFS(Task_Steps!$B$5:$B$2004,$A229,Task_Steps!$H$5:$H$2004,"Completed")/$X229)</f>
        <v/>
      </c>
      <c r="Z229" s="81" t="n"/>
      <c r="AA229" s="81" t="n"/>
      <c r="AB229" s="67">
        <f>IF($F229="","",IFERROR(INDEX(Employee_Master!$E$5:$E$204,MATCH($F229,Employee_Master!$B$5:$B$204,0)),""))</f>
        <v/>
      </c>
      <c r="AC229" s="65">
        <f>IF(OR($A229="",$AB229=""),"",IF(OR($I229="Completed",$I229="Cancelled"),"Closed - in Manager Report","Active - in Manager Report"))</f>
        <v/>
      </c>
      <c r="AD229" s="81">
        <f>IF($A229="","",IFERROR(TEXTJOIN(", ",TRUE,FILTER(Task_Steps!$A$5:$A$2004,Task_Steps!$B$5:$B$2004=$A229)),""))</f>
        <v/>
      </c>
      <c r="AE229" s="84">
        <f>IF($A229="","",COUNTIFS(Task_Steps!$B$5:$B$2004,$A229,Task_Steps!$H$5:$H$2004,"&lt;&gt;Completed",Task_Steps!$H$5:$H$2004,"&lt;&gt;Cancelled"))</f>
        <v/>
      </c>
      <c r="AF229" s="81">
        <f>IF(OR($B229="",$A229=""),"",$B229&amp;" | "&amp;$A229)</f>
        <v/>
      </c>
    </row>
    <row r="230" ht="15" customHeight="1" s="40">
      <c r="A230" s="65">
        <f>IF(COUNTA(B230:F230)=0,"","TSK-"&amp;TEXT(ROW()-4,"0000"))</f>
        <v/>
      </c>
      <c r="B230" s="78" t="n"/>
      <c r="C230" s="78" t="n"/>
      <c r="D230" s="81" t="n"/>
      <c r="E230" s="81" t="n"/>
      <c r="F230" s="78" t="n"/>
      <c r="G230" s="67">
        <f>IF($F230="","",IFERROR(INDEX(Employee_Master!$C$5:$C$204,MATCH($F230,Employee_Master!$B$5:$B$204,0)),""))</f>
        <v/>
      </c>
      <c r="H230" s="78" t="n"/>
      <c r="I230" s="78" t="n"/>
      <c r="J230" s="67">
        <f>IF($I230="","",IFERROR(INDEX(Action_Status_Map!$B$5:$B$11,MATCH($I230,Action_Status_Map!$A$5:$A$11,0)),""))</f>
        <v/>
      </c>
      <c r="K230" s="82" t="n"/>
      <c r="L230" s="82" t="n"/>
      <c r="M230" s="82" t="n"/>
      <c r="N230" s="83" t="n"/>
      <c r="O230" s="83" t="n"/>
      <c r="P230" s="66">
        <f>IF(OR($N230="",$O230=""),"",$O230-$N230)</f>
        <v/>
      </c>
      <c r="Q230" s="84">
        <f>IF($K230="","",IF($M230&lt;&gt;"",$M230-$K230,TODAY()-$K230))</f>
        <v/>
      </c>
      <c r="R230" s="85">
        <f>IF(OR($L230="",$I230="Completed",$I230="Cancelled"),"",IF(AND($L230&lt;TODAY(),$I230&lt;&gt;"Completed",$I230&lt;&gt;"Cancelled"),"Overdue","On Track"))</f>
        <v/>
      </c>
      <c r="S230" s="65">
        <f>IF($L230="","",TEXT($L230,"yyyy-mm"))</f>
        <v/>
      </c>
      <c r="T230" s="86">
        <f>IF($I230="","",IFERROR(INDEX(Action_Status_Map!$C$5:$C$11,MATCH($I230,Action_Status_Map!$A$5:$A$11,0)),""))</f>
        <v/>
      </c>
      <c r="U230" s="81" t="n"/>
      <c r="V230" s="82" t="n"/>
      <c r="W230" s="65">
        <f>IF(OR($I230&lt;&gt;"Completed",$M230="",$L230=""),"",IF($M230&lt;=$L230,"Yes","No"))</f>
        <v/>
      </c>
      <c r="X230" s="84">
        <f>IF($A230="","",COUNTIF(Task_Steps!$B$5:$B$2004,$A230))</f>
        <v/>
      </c>
      <c r="Y230" s="86">
        <f>IF($X230=0,"",COUNTIFS(Task_Steps!$B$5:$B$2004,$A230,Task_Steps!$H$5:$H$2004,"Completed")/$X230)</f>
        <v/>
      </c>
      <c r="Z230" s="81" t="n"/>
      <c r="AA230" s="81" t="n"/>
      <c r="AB230" s="67">
        <f>IF($F230="","",IFERROR(INDEX(Employee_Master!$E$5:$E$204,MATCH($F230,Employee_Master!$B$5:$B$204,0)),""))</f>
        <v/>
      </c>
      <c r="AC230" s="65">
        <f>IF(OR($A230="",$AB230=""),"",IF(OR($I230="Completed",$I230="Cancelled"),"Closed - in Manager Report","Active - in Manager Report"))</f>
        <v/>
      </c>
      <c r="AD230" s="81">
        <f>IF($A230="","",IFERROR(TEXTJOIN(", ",TRUE,FILTER(Task_Steps!$A$5:$A$2004,Task_Steps!$B$5:$B$2004=$A230)),""))</f>
        <v/>
      </c>
      <c r="AE230" s="84">
        <f>IF($A230="","",COUNTIFS(Task_Steps!$B$5:$B$2004,$A230,Task_Steps!$H$5:$H$2004,"&lt;&gt;Completed",Task_Steps!$H$5:$H$2004,"&lt;&gt;Cancelled"))</f>
        <v/>
      </c>
      <c r="AF230" s="81">
        <f>IF(OR($B230="",$A230=""),"",$B230&amp;" | "&amp;$A230)</f>
        <v/>
      </c>
    </row>
    <row r="231" ht="15" customHeight="1" s="40">
      <c r="A231" s="65">
        <f>IF(COUNTA(B231:F231)=0,"","TSK-"&amp;TEXT(ROW()-4,"0000"))</f>
        <v/>
      </c>
      <c r="B231" s="78" t="n"/>
      <c r="C231" s="78" t="n"/>
      <c r="D231" s="81" t="n"/>
      <c r="E231" s="81" t="n"/>
      <c r="F231" s="78" t="n"/>
      <c r="G231" s="67">
        <f>IF($F231="","",IFERROR(INDEX(Employee_Master!$C$5:$C$204,MATCH($F231,Employee_Master!$B$5:$B$204,0)),""))</f>
        <v/>
      </c>
      <c r="H231" s="78" t="n"/>
      <c r="I231" s="78" t="n"/>
      <c r="J231" s="67">
        <f>IF($I231="","",IFERROR(INDEX(Action_Status_Map!$B$5:$B$11,MATCH($I231,Action_Status_Map!$A$5:$A$11,0)),""))</f>
        <v/>
      </c>
      <c r="K231" s="82" t="n"/>
      <c r="L231" s="82" t="n"/>
      <c r="M231" s="82" t="n"/>
      <c r="N231" s="83" t="n"/>
      <c r="O231" s="83" t="n"/>
      <c r="P231" s="66">
        <f>IF(OR($N231="",$O231=""),"",$O231-$N231)</f>
        <v/>
      </c>
      <c r="Q231" s="84">
        <f>IF($K231="","",IF($M231&lt;&gt;"",$M231-$K231,TODAY()-$K231))</f>
        <v/>
      </c>
      <c r="R231" s="85">
        <f>IF(OR($L231="",$I231="Completed",$I231="Cancelled"),"",IF(AND($L231&lt;TODAY(),$I231&lt;&gt;"Completed",$I231&lt;&gt;"Cancelled"),"Overdue","On Track"))</f>
        <v/>
      </c>
      <c r="S231" s="65">
        <f>IF($L231="","",TEXT($L231,"yyyy-mm"))</f>
        <v/>
      </c>
      <c r="T231" s="86">
        <f>IF($I231="","",IFERROR(INDEX(Action_Status_Map!$C$5:$C$11,MATCH($I231,Action_Status_Map!$A$5:$A$11,0)),""))</f>
        <v/>
      </c>
      <c r="U231" s="81" t="n"/>
      <c r="V231" s="82" t="n"/>
      <c r="W231" s="65">
        <f>IF(OR($I231&lt;&gt;"Completed",$M231="",$L231=""),"",IF($M231&lt;=$L231,"Yes","No"))</f>
        <v/>
      </c>
      <c r="X231" s="84">
        <f>IF($A231="","",COUNTIF(Task_Steps!$B$5:$B$2004,$A231))</f>
        <v/>
      </c>
      <c r="Y231" s="86">
        <f>IF($X231=0,"",COUNTIFS(Task_Steps!$B$5:$B$2004,$A231,Task_Steps!$H$5:$H$2004,"Completed")/$X231)</f>
        <v/>
      </c>
      <c r="Z231" s="81" t="n"/>
      <c r="AA231" s="81" t="n"/>
      <c r="AB231" s="67">
        <f>IF($F231="","",IFERROR(INDEX(Employee_Master!$E$5:$E$204,MATCH($F231,Employee_Master!$B$5:$B$204,0)),""))</f>
        <v/>
      </c>
      <c r="AC231" s="65">
        <f>IF(OR($A231="",$AB231=""),"",IF(OR($I231="Completed",$I231="Cancelled"),"Closed - in Manager Report","Active - in Manager Report"))</f>
        <v/>
      </c>
      <c r="AD231" s="81">
        <f>IF($A231="","",IFERROR(TEXTJOIN(", ",TRUE,FILTER(Task_Steps!$A$5:$A$2004,Task_Steps!$B$5:$B$2004=$A231)),""))</f>
        <v/>
      </c>
      <c r="AE231" s="84">
        <f>IF($A231="","",COUNTIFS(Task_Steps!$B$5:$B$2004,$A231,Task_Steps!$H$5:$H$2004,"&lt;&gt;Completed",Task_Steps!$H$5:$H$2004,"&lt;&gt;Cancelled"))</f>
        <v/>
      </c>
      <c r="AF231" s="81">
        <f>IF(OR($B231="",$A231=""),"",$B231&amp;" | "&amp;$A231)</f>
        <v/>
      </c>
    </row>
    <row r="232" ht="15" customHeight="1" s="40">
      <c r="A232" s="65">
        <f>IF(COUNTA(B232:F232)=0,"","TSK-"&amp;TEXT(ROW()-4,"0000"))</f>
        <v/>
      </c>
      <c r="B232" s="78" t="n"/>
      <c r="C232" s="78" t="n"/>
      <c r="D232" s="81" t="n"/>
      <c r="E232" s="81" t="n"/>
      <c r="F232" s="78" t="n"/>
      <c r="G232" s="67">
        <f>IF($F232="","",IFERROR(INDEX(Employee_Master!$C$5:$C$204,MATCH($F232,Employee_Master!$B$5:$B$204,0)),""))</f>
        <v/>
      </c>
      <c r="H232" s="78" t="n"/>
      <c r="I232" s="78" t="n"/>
      <c r="J232" s="67">
        <f>IF($I232="","",IFERROR(INDEX(Action_Status_Map!$B$5:$B$11,MATCH($I232,Action_Status_Map!$A$5:$A$11,0)),""))</f>
        <v/>
      </c>
      <c r="K232" s="82" t="n"/>
      <c r="L232" s="82" t="n"/>
      <c r="M232" s="82" t="n"/>
      <c r="N232" s="83" t="n"/>
      <c r="O232" s="83" t="n"/>
      <c r="P232" s="66">
        <f>IF(OR($N232="",$O232=""),"",$O232-$N232)</f>
        <v/>
      </c>
      <c r="Q232" s="84">
        <f>IF($K232="","",IF($M232&lt;&gt;"",$M232-$K232,TODAY()-$K232))</f>
        <v/>
      </c>
      <c r="R232" s="85">
        <f>IF(OR($L232="",$I232="Completed",$I232="Cancelled"),"",IF(AND($L232&lt;TODAY(),$I232&lt;&gt;"Completed",$I232&lt;&gt;"Cancelled"),"Overdue","On Track"))</f>
        <v/>
      </c>
      <c r="S232" s="65">
        <f>IF($L232="","",TEXT($L232,"yyyy-mm"))</f>
        <v/>
      </c>
      <c r="T232" s="86">
        <f>IF($I232="","",IFERROR(INDEX(Action_Status_Map!$C$5:$C$11,MATCH($I232,Action_Status_Map!$A$5:$A$11,0)),""))</f>
        <v/>
      </c>
      <c r="U232" s="81" t="n"/>
      <c r="V232" s="82" t="n"/>
      <c r="W232" s="65">
        <f>IF(OR($I232&lt;&gt;"Completed",$M232="",$L232=""),"",IF($M232&lt;=$L232,"Yes","No"))</f>
        <v/>
      </c>
      <c r="X232" s="84">
        <f>IF($A232="","",COUNTIF(Task_Steps!$B$5:$B$2004,$A232))</f>
        <v/>
      </c>
      <c r="Y232" s="86">
        <f>IF($X232=0,"",COUNTIFS(Task_Steps!$B$5:$B$2004,$A232,Task_Steps!$H$5:$H$2004,"Completed")/$X232)</f>
        <v/>
      </c>
      <c r="Z232" s="81" t="n"/>
      <c r="AA232" s="81" t="n"/>
      <c r="AB232" s="67">
        <f>IF($F232="","",IFERROR(INDEX(Employee_Master!$E$5:$E$204,MATCH($F232,Employee_Master!$B$5:$B$204,0)),""))</f>
        <v/>
      </c>
      <c r="AC232" s="65">
        <f>IF(OR($A232="",$AB232=""),"",IF(OR($I232="Completed",$I232="Cancelled"),"Closed - in Manager Report","Active - in Manager Report"))</f>
        <v/>
      </c>
      <c r="AD232" s="81">
        <f>IF($A232="","",IFERROR(TEXTJOIN(", ",TRUE,FILTER(Task_Steps!$A$5:$A$2004,Task_Steps!$B$5:$B$2004=$A232)),""))</f>
        <v/>
      </c>
      <c r="AE232" s="84">
        <f>IF($A232="","",COUNTIFS(Task_Steps!$B$5:$B$2004,$A232,Task_Steps!$H$5:$H$2004,"&lt;&gt;Completed",Task_Steps!$H$5:$H$2004,"&lt;&gt;Cancelled"))</f>
        <v/>
      </c>
      <c r="AF232" s="81">
        <f>IF(OR($B232="",$A232=""),"",$B232&amp;" | "&amp;$A232)</f>
        <v/>
      </c>
    </row>
    <row r="233" ht="15" customHeight="1" s="40">
      <c r="A233" s="65">
        <f>IF(COUNTA(B233:F233)=0,"","TSK-"&amp;TEXT(ROW()-4,"0000"))</f>
        <v/>
      </c>
      <c r="B233" s="78" t="n"/>
      <c r="C233" s="78" t="n"/>
      <c r="D233" s="81" t="n"/>
      <c r="E233" s="81" t="n"/>
      <c r="F233" s="78" t="n"/>
      <c r="G233" s="67">
        <f>IF($F233="","",IFERROR(INDEX(Employee_Master!$C$5:$C$204,MATCH($F233,Employee_Master!$B$5:$B$204,0)),""))</f>
        <v/>
      </c>
      <c r="H233" s="78" t="n"/>
      <c r="I233" s="78" t="n"/>
      <c r="J233" s="67">
        <f>IF($I233="","",IFERROR(INDEX(Action_Status_Map!$B$5:$B$11,MATCH($I233,Action_Status_Map!$A$5:$A$11,0)),""))</f>
        <v/>
      </c>
      <c r="K233" s="82" t="n"/>
      <c r="L233" s="82" t="n"/>
      <c r="M233" s="82" t="n"/>
      <c r="N233" s="83" t="n"/>
      <c r="O233" s="83" t="n"/>
      <c r="P233" s="66">
        <f>IF(OR($N233="",$O233=""),"",$O233-$N233)</f>
        <v/>
      </c>
      <c r="Q233" s="84">
        <f>IF($K233="","",IF($M233&lt;&gt;"",$M233-$K233,TODAY()-$K233))</f>
        <v/>
      </c>
      <c r="R233" s="85">
        <f>IF(OR($L233="",$I233="Completed",$I233="Cancelled"),"",IF(AND($L233&lt;TODAY(),$I233&lt;&gt;"Completed",$I233&lt;&gt;"Cancelled"),"Overdue","On Track"))</f>
        <v/>
      </c>
      <c r="S233" s="65">
        <f>IF($L233="","",TEXT($L233,"yyyy-mm"))</f>
        <v/>
      </c>
      <c r="T233" s="86">
        <f>IF($I233="","",IFERROR(INDEX(Action_Status_Map!$C$5:$C$11,MATCH($I233,Action_Status_Map!$A$5:$A$11,0)),""))</f>
        <v/>
      </c>
      <c r="U233" s="81" t="n"/>
      <c r="V233" s="82" t="n"/>
      <c r="W233" s="65">
        <f>IF(OR($I233&lt;&gt;"Completed",$M233="",$L233=""),"",IF($M233&lt;=$L233,"Yes","No"))</f>
        <v/>
      </c>
      <c r="X233" s="84">
        <f>IF($A233="","",COUNTIF(Task_Steps!$B$5:$B$2004,$A233))</f>
        <v/>
      </c>
      <c r="Y233" s="86">
        <f>IF($X233=0,"",COUNTIFS(Task_Steps!$B$5:$B$2004,$A233,Task_Steps!$H$5:$H$2004,"Completed")/$X233)</f>
        <v/>
      </c>
      <c r="Z233" s="81" t="n"/>
      <c r="AA233" s="81" t="n"/>
      <c r="AB233" s="67">
        <f>IF($F233="","",IFERROR(INDEX(Employee_Master!$E$5:$E$204,MATCH($F233,Employee_Master!$B$5:$B$204,0)),""))</f>
        <v/>
      </c>
      <c r="AC233" s="65">
        <f>IF(OR($A233="",$AB233=""),"",IF(OR($I233="Completed",$I233="Cancelled"),"Closed - in Manager Report","Active - in Manager Report"))</f>
        <v/>
      </c>
      <c r="AD233" s="81">
        <f>IF($A233="","",IFERROR(TEXTJOIN(", ",TRUE,FILTER(Task_Steps!$A$5:$A$2004,Task_Steps!$B$5:$B$2004=$A233)),""))</f>
        <v/>
      </c>
      <c r="AE233" s="84">
        <f>IF($A233="","",COUNTIFS(Task_Steps!$B$5:$B$2004,$A233,Task_Steps!$H$5:$H$2004,"&lt;&gt;Completed",Task_Steps!$H$5:$H$2004,"&lt;&gt;Cancelled"))</f>
        <v/>
      </c>
      <c r="AF233" s="81">
        <f>IF(OR($B233="",$A233=""),"",$B233&amp;" | "&amp;$A233)</f>
        <v/>
      </c>
    </row>
    <row r="234" ht="15" customHeight="1" s="40">
      <c r="A234" s="65">
        <f>IF(COUNTA(B234:F234)=0,"","TSK-"&amp;TEXT(ROW()-4,"0000"))</f>
        <v/>
      </c>
      <c r="B234" s="78" t="n"/>
      <c r="C234" s="78" t="n"/>
      <c r="D234" s="81" t="n"/>
      <c r="E234" s="81" t="n"/>
      <c r="F234" s="78" t="n"/>
      <c r="G234" s="67">
        <f>IF($F234="","",IFERROR(INDEX(Employee_Master!$C$5:$C$204,MATCH($F234,Employee_Master!$B$5:$B$204,0)),""))</f>
        <v/>
      </c>
      <c r="H234" s="78" t="n"/>
      <c r="I234" s="78" t="n"/>
      <c r="J234" s="67">
        <f>IF($I234="","",IFERROR(INDEX(Action_Status_Map!$B$5:$B$11,MATCH($I234,Action_Status_Map!$A$5:$A$11,0)),""))</f>
        <v/>
      </c>
      <c r="K234" s="82" t="n"/>
      <c r="L234" s="82" t="n"/>
      <c r="M234" s="82" t="n"/>
      <c r="N234" s="83" t="n"/>
      <c r="O234" s="83" t="n"/>
      <c r="P234" s="66">
        <f>IF(OR($N234="",$O234=""),"",$O234-$N234)</f>
        <v/>
      </c>
      <c r="Q234" s="84">
        <f>IF($K234="","",IF($M234&lt;&gt;"",$M234-$K234,TODAY()-$K234))</f>
        <v/>
      </c>
      <c r="R234" s="85">
        <f>IF(OR($L234="",$I234="Completed",$I234="Cancelled"),"",IF(AND($L234&lt;TODAY(),$I234&lt;&gt;"Completed",$I234&lt;&gt;"Cancelled"),"Overdue","On Track"))</f>
        <v/>
      </c>
      <c r="S234" s="65">
        <f>IF($L234="","",TEXT($L234,"yyyy-mm"))</f>
        <v/>
      </c>
      <c r="T234" s="86">
        <f>IF($I234="","",IFERROR(INDEX(Action_Status_Map!$C$5:$C$11,MATCH($I234,Action_Status_Map!$A$5:$A$11,0)),""))</f>
        <v/>
      </c>
      <c r="U234" s="81" t="n"/>
      <c r="V234" s="82" t="n"/>
      <c r="W234" s="65">
        <f>IF(OR($I234&lt;&gt;"Completed",$M234="",$L234=""),"",IF($M234&lt;=$L234,"Yes","No"))</f>
        <v/>
      </c>
      <c r="X234" s="84">
        <f>IF($A234="","",COUNTIF(Task_Steps!$B$5:$B$2004,$A234))</f>
        <v/>
      </c>
      <c r="Y234" s="86">
        <f>IF($X234=0,"",COUNTIFS(Task_Steps!$B$5:$B$2004,$A234,Task_Steps!$H$5:$H$2004,"Completed")/$X234)</f>
        <v/>
      </c>
      <c r="Z234" s="81" t="n"/>
      <c r="AA234" s="81" t="n"/>
      <c r="AB234" s="67">
        <f>IF($F234="","",IFERROR(INDEX(Employee_Master!$E$5:$E$204,MATCH($F234,Employee_Master!$B$5:$B$204,0)),""))</f>
        <v/>
      </c>
      <c r="AC234" s="65">
        <f>IF(OR($A234="",$AB234=""),"",IF(OR($I234="Completed",$I234="Cancelled"),"Closed - in Manager Report","Active - in Manager Report"))</f>
        <v/>
      </c>
      <c r="AD234" s="81">
        <f>IF($A234="","",IFERROR(TEXTJOIN(", ",TRUE,FILTER(Task_Steps!$A$5:$A$2004,Task_Steps!$B$5:$B$2004=$A234)),""))</f>
        <v/>
      </c>
      <c r="AE234" s="84">
        <f>IF($A234="","",COUNTIFS(Task_Steps!$B$5:$B$2004,$A234,Task_Steps!$H$5:$H$2004,"&lt;&gt;Completed",Task_Steps!$H$5:$H$2004,"&lt;&gt;Cancelled"))</f>
        <v/>
      </c>
      <c r="AF234" s="81">
        <f>IF(OR($B234="",$A234=""),"",$B234&amp;" | "&amp;$A234)</f>
        <v/>
      </c>
    </row>
    <row r="235" ht="15" customHeight="1" s="40">
      <c r="A235" s="65">
        <f>IF(COUNTA(B235:F235)=0,"","TSK-"&amp;TEXT(ROW()-4,"0000"))</f>
        <v/>
      </c>
      <c r="B235" s="78" t="n"/>
      <c r="C235" s="78" t="n"/>
      <c r="D235" s="81" t="n"/>
      <c r="E235" s="81" t="n"/>
      <c r="F235" s="78" t="n"/>
      <c r="G235" s="67">
        <f>IF($F235="","",IFERROR(INDEX(Employee_Master!$C$5:$C$204,MATCH($F235,Employee_Master!$B$5:$B$204,0)),""))</f>
        <v/>
      </c>
      <c r="H235" s="78" t="n"/>
      <c r="I235" s="78" t="n"/>
      <c r="J235" s="67">
        <f>IF($I235="","",IFERROR(INDEX(Action_Status_Map!$B$5:$B$11,MATCH($I235,Action_Status_Map!$A$5:$A$11,0)),""))</f>
        <v/>
      </c>
      <c r="K235" s="82" t="n"/>
      <c r="L235" s="82" t="n"/>
      <c r="M235" s="82" t="n"/>
      <c r="N235" s="83" t="n"/>
      <c r="O235" s="83" t="n"/>
      <c r="P235" s="66">
        <f>IF(OR($N235="",$O235=""),"",$O235-$N235)</f>
        <v/>
      </c>
      <c r="Q235" s="84">
        <f>IF($K235="","",IF($M235&lt;&gt;"",$M235-$K235,TODAY()-$K235))</f>
        <v/>
      </c>
      <c r="R235" s="85">
        <f>IF(OR($L235="",$I235="Completed",$I235="Cancelled"),"",IF(AND($L235&lt;TODAY(),$I235&lt;&gt;"Completed",$I235&lt;&gt;"Cancelled"),"Overdue","On Track"))</f>
        <v/>
      </c>
      <c r="S235" s="65">
        <f>IF($L235="","",TEXT($L235,"yyyy-mm"))</f>
        <v/>
      </c>
      <c r="T235" s="86">
        <f>IF($I235="","",IFERROR(INDEX(Action_Status_Map!$C$5:$C$11,MATCH($I235,Action_Status_Map!$A$5:$A$11,0)),""))</f>
        <v/>
      </c>
      <c r="U235" s="81" t="n"/>
      <c r="V235" s="82" t="n"/>
      <c r="W235" s="65">
        <f>IF(OR($I235&lt;&gt;"Completed",$M235="",$L235=""),"",IF($M235&lt;=$L235,"Yes","No"))</f>
        <v/>
      </c>
      <c r="X235" s="84">
        <f>IF($A235="","",COUNTIF(Task_Steps!$B$5:$B$2004,$A235))</f>
        <v/>
      </c>
      <c r="Y235" s="86">
        <f>IF($X235=0,"",COUNTIFS(Task_Steps!$B$5:$B$2004,$A235,Task_Steps!$H$5:$H$2004,"Completed")/$X235)</f>
        <v/>
      </c>
      <c r="Z235" s="81" t="n"/>
      <c r="AA235" s="81" t="n"/>
      <c r="AB235" s="67">
        <f>IF($F235="","",IFERROR(INDEX(Employee_Master!$E$5:$E$204,MATCH($F235,Employee_Master!$B$5:$B$204,0)),""))</f>
        <v/>
      </c>
      <c r="AC235" s="65">
        <f>IF(OR($A235="",$AB235=""),"",IF(OR($I235="Completed",$I235="Cancelled"),"Closed - in Manager Report","Active - in Manager Report"))</f>
        <v/>
      </c>
      <c r="AD235" s="81">
        <f>IF($A235="","",IFERROR(TEXTJOIN(", ",TRUE,FILTER(Task_Steps!$A$5:$A$2004,Task_Steps!$B$5:$B$2004=$A235)),""))</f>
        <v/>
      </c>
      <c r="AE235" s="84">
        <f>IF($A235="","",COUNTIFS(Task_Steps!$B$5:$B$2004,$A235,Task_Steps!$H$5:$H$2004,"&lt;&gt;Completed",Task_Steps!$H$5:$H$2004,"&lt;&gt;Cancelled"))</f>
        <v/>
      </c>
      <c r="AF235" s="81">
        <f>IF(OR($B235="",$A235=""),"",$B235&amp;" | "&amp;$A235)</f>
        <v/>
      </c>
    </row>
    <row r="236" ht="15" customHeight="1" s="40">
      <c r="A236" s="65">
        <f>IF(COUNTA(B236:F236)=0,"","TSK-"&amp;TEXT(ROW()-4,"0000"))</f>
        <v/>
      </c>
      <c r="B236" s="78" t="n"/>
      <c r="C236" s="78" t="n"/>
      <c r="D236" s="81" t="n"/>
      <c r="E236" s="81" t="n"/>
      <c r="F236" s="78" t="n"/>
      <c r="G236" s="67">
        <f>IF($F236="","",IFERROR(INDEX(Employee_Master!$C$5:$C$204,MATCH($F236,Employee_Master!$B$5:$B$204,0)),""))</f>
        <v/>
      </c>
      <c r="H236" s="78" t="n"/>
      <c r="I236" s="78" t="n"/>
      <c r="J236" s="67">
        <f>IF($I236="","",IFERROR(INDEX(Action_Status_Map!$B$5:$B$11,MATCH($I236,Action_Status_Map!$A$5:$A$11,0)),""))</f>
        <v/>
      </c>
      <c r="K236" s="82" t="n"/>
      <c r="L236" s="82" t="n"/>
      <c r="M236" s="82" t="n"/>
      <c r="N236" s="83" t="n"/>
      <c r="O236" s="83" t="n"/>
      <c r="P236" s="66">
        <f>IF(OR($N236="",$O236=""),"",$O236-$N236)</f>
        <v/>
      </c>
      <c r="Q236" s="84">
        <f>IF($K236="","",IF($M236&lt;&gt;"",$M236-$K236,TODAY()-$K236))</f>
        <v/>
      </c>
      <c r="R236" s="85">
        <f>IF(OR($L236="",$I236="Completed",$I236="Cancelled"),"",IF(AND($L236&lt;TODAY(),$I236&lt;&gt;"Completed",$I236&lt;&gt;"Cancelled"),"Overdue","On Track"))</f>
        <v/>
      </c>
      <c r="S236" s="65">
        <f>IF($L236="","",TEXT($L236,"yyyy-mm"))</f>
        <v/>
      </c>
      <c r="T236" s="86">
        <f>IF($I236="","",IFERROR(INDEX(Action_Status_Map!$C$5:$C$11,MATCH($I236,Action_Status_Map!$A$5:$A$11,0)),""))</f>
        <v/>
      </c>
      <c r="U236" s="81" t="n"/>
      <c r="V236" s="82" t="n"/>
      <c r="W236" s="65">
        <f>IF(OR($I236&lt;&gt;"Completed",$M236="",$L236=""),"",IF($M236&lt;=$L236,"Yes","No"))</f>
        <v/>
      </c>
      <c r="X236" s="84">
        <f>IF($A236="","",COUNTIF(Task_Steps!$B$5:$B$2004,$A236))</f>
        <v/>
      </c>
      <c r="Y236" s="86">
        <f>IF($X236=0,"",COUNTIFS(Task_Steps!$B$5:$B$2004,$A236,Task_Steps!$H$5:$H$2004,"Completed")/$X236)</f>
        <v/>
      </c>
      <c r="Z236" s="81" t="n"/>
      <c r="AA236" s="81" t="n"/>
      <c r="AB236" s="67">
        <f>IF($F236="","",IFERROR(INDEX(Employee_Master!$E$5:$E$204,MATCH($F236,Employee_Master!$B$5:$B$204,0)),""))</f>
        <v/>
      </c>
      <c r="AC236" s="65">
        <f>IF(OR($A236="",$AB236=""),"",IF(OR($I236="Completed",$I236="Cancelled"),"Closed - in Manager Report","Active - in Manager Report"))</f>
        <v/>
      </c>
      <c r="AD236" s="81">
        <f>IF($A236="","",IFERROR(TEXTJOIN(", ",TRUE,FILTER(Task_Steps!$A$5:$A$2004,Task_Steps!$B$5:$B$2004=$A236)),""))</f>
        <v/>
      </c>
      <c r="AE236" s="84">
        <f>IF($A236="","",COUNTIFS(Task_Steps!$B$5:$B$2004,$A236,Task_Steps!$H$5:$H$2004,"&lt;&gt;Completed",Task_Steps!$H$5:$H$2004,"&lt;&gt;Cancelled"))</f>
        <v/>
      </c>
      <c r="AF236" s="81">
        <f>IF(OR($B236="",$A236=""),"",$B236&amp;" | "&amp;$A236)</f>
        <v/>
      </c>
    </row>
    <row r="237" ht="15" customHeight="1" s="40">
      <c r="A237" s="65">
        <f>IF(COUNTA(B237:F237)=0,"","TSK-"&amp;TEXT(ROW()-4,"0000"))</f>
        <v/>
      </c>
      <c r="B237" s="78" t="n"/>
      <c r="C237" s="78" t="n"/>
      <c r="D237" s="81" t="n"/>
      <c r="E237" s="81" t="n"/>
      <c r="F237" s="78" t="n"/>
      <c r="G237" s="67">
        <f>IF($F237="","",IFERROR(INDEX(Employee_Master!$C$5:$C$204,MATCH($F237,Employee_Master!$B$5:$B$204,0)),""))</f>
        <v/>
      </c>
      <c r="H237" s="78" t="n"/>
      <c r="I237" s="78" t="n"/>
      <c r="J237" s="67">
        <f>IF($I237="","",IFERROR(INDEX(Action_Status_Map!$B$5:$B$11,MATCH($I237,Action_Status_Map!$A$5:$A$11,0)),""))</f>
        <v/>
      </c>
      <c r="K237" s="82" t="n"/>
      <c r="L237" s="82" t="n"/>
      <c r="M237" s="82" t="n"/>
      <c r="N237" s="83" t="n"/>
      <c r="O237" s="83" t="n"/>
      <c r="P237" s="66">
        <f>IF(OR($N237="",$O237=""),"",$O237-$N237)</f>
        <v/>
      </c>
      <c r="Q237" s="84">
        <f>IF($K237="","",IF($M237&lt;&gt;"",$M237-$K237,TODAY()-$K237))</f>
        <v/>
      </c>
      <c r="R237" s="85">
        <f>IF(OR($L237="",$I237="Completed",$I237="Cancelled"),"",IF(AND($L237&lt;TODAY(),$I237&lt;&gt;"Completed",$I237&lt;&gt;"Cancelled"),"Overdue","On Track"))</f>
        <v/>
      </c>
      <c r="S237" s="65">
        <f>IF($L237="","",TEXT($L237,"yyyy-mm"))</f>
        <v/>
      </c>
      <c r="T237" s="86">
        <f>IF($I237="","",IFERROR(INDEX(Action_Status_Map!$C$5:$C$11,MATCH($I237,Action_Status_Map!$A$5:$A$11,0)),""))</f>
        <v/>
      </c>
      <c r="U237" s="81" t="n"/>
      <c r="V237" s="82" t="n"/>
      <c r="W237" s="65">
        <f>IF(OR($I237&lt;&gt;"Completed",$M237="",$L237=""),"",IF($M237&lt;=$L237,"Yes","No"))</f>
        <v/>
      </c>
      <c r="X237" s="84">
        <f>IF($A237="","",COUNTIF(Task_Steps!$B$5:$B$2004,$A237))</f>
        <v/>
      </c>
      <c r="Y237" s="86">
        <f>IF($X237=0,"",COUNTIFS(Task_Steps!$B$5:$B$2004,$A237,Task_Steps!$H$5:$H$2004,"Completed")/$X237)</f>
        <v/>
      </c>
      <c r="Z237" s="81" t="n"/>
      <c r="AA237" s="81" t="n"/>
      <c r="AB237" s="67">
        <f>IF($F237="","",IFERROR(INDEX(Employee_Master!$E$5:$E$204,MATCH($F237,Employee_Master!$B$5:$B$204,0)),""))</f>
        <v/>
      </c>
      <c r="AC237" s="65">
        <f>IF(OR($A237="",$AB237=""),"",IF(OR($I237="Completed",$I237="Cancelled"),"Closed - in Manager Report","Active - in Manager Report"))</f>
        <v/>
      </c>
      <c r="AD237" s="81">
        <f>IF($A237="","",IFERROR(TEXTJOIN(", ",TRUE,FILTER(Task_Steps!$A$5:$A$2004,Task_Steps!$B$5:$B$2004=$A237)),""))</f>
        <v/>
      </c>
      <c r="AE237" s="84">
        <f>IF($A237="","",COUNTIFS(Task_Steps!$B$5:$B$2004,$A237,Task_Steps!$H$5:$H$2004,"&lt;&gt;Completed",Task_Steps!$H$5:$H$2004,"&lt;&gt;Cancelled"))</f>
        <v/>
      </c>
      <c r="AF237" s="81">
        <f>IF(OR($B237="",$A237=""),"",$B237&amp;" | "&amp;$A237)</f>
        <v/>
      </c>
    </row>
    <row r="238" ht="15" customHeight="1" s="40">
      <c r="A238" s="65">
        <f>IF(COUNTA(B238:F238)=0,"","TSK-"&amp;TEXT(ROW()-4,"0000"))</f>
        <v/>
      </c>
      <c r="B238" s="78" t="n"/>
      <c r="C238" s="78" t="n"/>
      <c r="D238" s="81" t="n"/>
      <c r="E238" s="81" t="n"/>
      <c r="F238" s="78" t="n"/>
      <c r="G238" s="67">
        <f>IF($F238="","",IFERROR(INDEX(Employee_Master!$C$5:$C$204,MATCH($F238,Employee_Master!$B$5:$B$204,0)),""))</f>
        <v/>
      </c>
      <c r="H238" s="78" t="n"/>
      <c r="I238" s="78" t="n"/>
      <c r="J238" s="67">
        <f>IF($I238="","",IFERROR(INDEX(Action_Status_Map!$B$5:$B$11,MATCH($I238,Action_Status_Map!$A$5:$A$11,0)),""))</f>
        <v/>
      </c>
      <c r="K238" s="82" t="n"/>
      <c r="L238" s="82" t="n"/>
      <c r="M238" s="82" t="n"/>
      <c r="N238" s="83" t="n"/>
      <c r="O238" s="83" t="n"/>
      <c r="P238" s="66">
        <f>IF(OR($N238="",$O238=""),"",$O238-$N238)</f>
        <v/>
      </c>
      <c r="Q238" s="84">
        <f>IF($K238="","",IF($M238&lt;&gt;"",$M238-$K238,TODAY()-$K238))</f>
        <v/>
      </c>
      <c r="R238" s="85">
        <f>IF(OR($L238="",$I238="Completed",$I238="Cancelled"),"",IF(AND($L238&lt;TODAY(),$I238&lt;&gt;"Completed",$I238&lt;&gt;"Cancelled"),"Overdue","On Track"))</f>
        <v/>
      </c>
      <c r="S238" s="65">
        <f>IF($L238="","",TEXT($L238,"yyyy-mm"))</f>
        <v/>
      </c>
      <c r="T238" s="86">
        <f>IF($I238="","",IFERROR(INDEX(Action_Status_Map!$C$5:$C$11,MATCH($I238,Action_Status_Map!$A$5:$A$11,0)),""))</f>
        <v/>
      </c>
      <c r="U238" s="81" t="n"/>
      <c r="V238" s="82" t="n"/>
      <c r="W238" s="65">
        <f>IF(OR($I238&lt;&gt;"Completed",$M238="",$L238=""),"",IF($M238&lt;=$L238,"Yes","No"))</f>
        <v/>
      </c>
      <c r="X238" s="84">
        <f>IF($A238="","",COUNTIF(Task_Steps!$B$5:$B$2004,$A238))</f>
        <v/>
      </c>
      <c r="Y238" s="86">
        <f>IF($X238=0,"",COUNTIFS(Task_Steps!$B$5:$B$2004,$A238,Task_Steps!$H$5:$H$2004,"Completed")/$X238)</f>
        <v/>
      </c>
      <c r="Z238" s="81" t="n"/>
      <c r="AA238" s="81" t="n"/>
      <c r="AB238" s="67">
        <f>IF($F238="","",IFERROR(INDEX(Employee_Master!$E$5:$E$204,MATCH($F238,Employee_Master!$B$5:$B$204,0)),""))</f>
        <v/>
      </c>
      <c r="AC238" s="65">
        <f>IF(OR($A238="",$AB238=""),"",IF(OR($I238="Completed",$I238="Cancelled"),"Closed - in Manager Report","Active - in Manager Report"))</f>
        <v/>
      </c>
      <c r="AD238" s="81">
        <f>IF($A238="","",IFERROR(TEXTJOIN(", ",TRUE,FILTER(Task_Steps!$A$5:$A$2004,Task_Steps!$B$5:$B$2004=$A238)),""))</f>
        <v/>
      </c>
      <c r="AE238" s="84">
        <f>IF($A238="","",COUNTIFS(Task_Steps!$B$5:$B$2004,$A238,Task_Steps!$H$5:$H$2004,"&lt;&gt;Completed",Task_Steps!$H$5:$H$2004,"&lt;&gt;Cancelled"))</f>
        <v/>
      </c>
      <c r="AF238" s="81">
        <f>IF(OR($B238="",$A238=""),"",$B238&amp;" | "&amp;$A238)</f>
        <v/>
      </c>
    </row>
    <row r="239" ht="15" customHeight="1" s="40">
      <c r="A239" s="65">
        <f>IF(COUNTA(B239:F239)=0,"","TSK-"&amp;TEXT(ROW()-4,"0000"))</f>
        <v/>
      </c>
      <c r="B239" s="78" t="n"/>
      <c r="C239" s="78" t="n"/>
      <c r="D239" s="81" t="n"/>
      <c r="E239" s="81" t="n"/>
      <c r="F239" s="78" t="n"/>
      <c r="G239" s="67">
        <f>IF($F239="","",IFERROR(INDEX(Employee_Master!$C$5:$C$204,MATCH($F239,Employee_Master!$B$5:$B$204,0)),""))</f>
        <v/>
      </c>
      <c r="H239" s="78" t="n"/>
      <c r="I239" s="78" t="n"/>
      <c r="J239" s="67">
        <f>IF($I239="","",IFERROR(INDEX(Action_Status_Map!$B$5:$B$11,MATCH($I239,Action_Status_Map!$A$5:$A$11,0)),""))</f>
        <v/>
      </c>
      <c r="K239" s="82" t="n"/>
      <c r="L239" s="82" t="n"/>
      <c r="M239" s="82" t="n"/>
      <c r="N239" s="83" t="n"/>
      <c r="O239" s="83" t="n"/>
      <c r="P239" s="66">
        <f>IF(OR($N239="",$O239=""),"",$O239-$N239)</f>
        <v/>
      </c>
      <c r="Q239" s="84">
        <f>IF($K239="","",IF($M239&lt;&gt;"",$M239-$K239,TODAY()-$K239))</f>
        <v/>
      </c>
      <c r="R239" s="85">
        <f>IF(OR($L239="",$I239="Completed",$I239="Cancelled"),"",IF(AND($L239&lt;TODAY(),$I239&lt;&gt;"Completed",$I239&lt;&gt;"Cancelled"),"Overdue","On Track"))</f>
        <v/>
      </c>
      <c r="S239" s="65">
        <f>IF($L239="","",TEXT($L239,"yyyy-mm"))</f>
        <v/>
      </c>
      <c r="T239" s="86">
        <f>IF($I239="","",IFERROR(INDEX(Action_Status_Map!$C$5:$C$11,MATCH($I239,Action_Status_Map!$A$5:$A$11,0)),""))</f>
        <v/>
      </c>
      <c r="U239" s="81" t="n"/>
      <c r="V239" s="82" t="n"/>
      <c r="W239" s="65">
        <f>IF(OR($I239&lt;&gt;"Completed",$M239="",$L239=""),"",IF($M239&lt;=$L239,"Yes","No"))</f>
        <v/>
      </c>
      <c r="X239" s="84">
        <f>IF($A239="","",COUNTIF(Task_Steps!$B$5:$B$2004,$A239))</f>
        <v/>
      </c>
      <c r="Y239" s="86">
        <f>IF($X239=0,"",COUNTIFS(Task_Steps!$B$5:$B$2004,$A239,Task_Steps!$H$5:$H$2004,"Completed")/$X239)</f>
        <v/>
      </c>
      <c r="Z239" s="81" t="n"/>
      <c r="AA239" s="81" t="n"/>
      <c r="AB239" s="67">
        <f>IF($F239="","",IFERROR(INDEX(Employee_Master!$E$5:$E$204,MATCH($F239,Employee_Master!$B$5:$B$204,0)),""))</f>
        <v/>
      </c>
      <c r="AC239" s="65">
        <f>IF(OR($A239="",$AB239=""),"",IF(OR($I239="Completed",$I239="Cancelled"),"Closed - in Manager Report","Active - in Manager Report"))</f>
        <v/>
      </c>
      <c r="AD239" s="81">
        <f>IF($A239="","",IFERROR(TEXTJOIN(", ",TRUE,FILTER(Task_Steps!$A$5:$A$2004,Task_Steps!$B$5:$B$2004=$A239)),""))</f>
        <v/>
      </c>
      <c r="AE239" s="84">
        <f>IF($A239="","",COUNTIFS(Task_Steps!$B$5:$B$2004,$A239,Task_Steps!$H$5:$H$2004,"&lt;&gt;Completed",Task_Steps!$H$5:$H$2004,"&lt;&gt;Cancelled"))</f>
        <v/>
      </c>
      <c r="AF239" s="81">
        <f>IF(OR($B239="",$A239=""),"",$B239&amp;" | "&amp;$A239)</f>
        <v/>
      </c>
    </row>
    <row r="240" ht="15" customHeight="1" s="40">
      <c r="A240" s="65">
        <f>IF(COUNTA(B240:F240)=0,"","TSK-"&amp;TEXT(ROW()-4,"0000"))</f>
        <v/>
      </c>
      <c r="B240" s="78" t="n"/>
      <c r="C240" s="78" t="n"/>
      <c r="D240" s="81" t="n"/>
      <c r="E240" s="81" t="n"/>
      <c r="F240" s="78" t="n"/>
      <c r="G240" s="67">
        <f>IF($F240="","",IFERROR(INDEX(Employee_Master!$C$5:$C$204,MATCH($F240,Employee_Master!$B$5:$B$204,0)),""))</f>
        <v/>
      </c>
      <c r="H240" s="78" t="n"/>
      <c r="I240" s="78" t="n"/>
      <c r="J240" s="67">
        <f>IF($I240="","",IFERROR(INDEX(Action_Status_Map!$B$5:$B$11,MATCH($I240,Action_Status_Map!$A$5:$A$11,0)),""))</f>
        <v/>
      </c>
      <c r="K240" s="82" t="n"/>
      <c r="L240" s="82" t="n"/>
      <c r="M240" s="82" t="n"/>
      <c r="N240" s="83" t="n"/>
      <c r="O240" s="83" t="n"/>
      <c r="P240" s="66">
        <f>IF(OR($N240="",$O240=""),"",$O240-$N240)</f>
        <v/>
      </c>
      <c r="Q240" s="84">
        <f>IF($K240="","",IF($M240&lt;&gt;"",$M240-$K240,TODAY()-$K240))</f>
        <v/>
      </c>
      <c r="R240" s="85">
        <f>IF(OR($L240="",$I240="Completed",$I240="Cancelled"),"",IF(AND($L240&lt;TODAY(),$I240&lt;&gt;"Completed",$I240&lt;&gt;"Cancelled"),"Overdue","On Track"))</f>
        <v/>
      </c>
      <c r="S240" s="65">
        <f>IF($L240="","",TEXT($L240,"yyyy-mm"))</f>
        <v/>
      </c>
      <c r="T240" s="86">
        <f>IF($I240="","",IFERROR(INDEX(Action_Status_Map!$C$5:$C$11,MATCH($I240,Action_Status_Map!$A$5:$A$11,0)),""))</f>
        <v/>
      </c>
      <c r="U240" s="81" t="n"/>
      <c r="V240" s="82" t="n"/>
      <c r="W240" s="65">
        <f>IF(OR($I240&lt;&gt;"Completed",$M240="",$L240=""),"",IF($M240&lt;=$L240,"Yes","No"))</f>
        <v/>
      </c>
      <c r="X240" s="84">
        <f>IF($A240="","",COUNTIF(Task_Steps!$B$5:$B$2004,$A240))</f>
        <v/>
      </c>
      <c r="Y240" s="86">
        <f>IF($X240=0,"",COUNTIFS(Task_Steps!$B$5:$B$2004,$A240,Task_Steps!$H$5:$H$2004,"Completed")/$X240)</f>
        <v/>
      </c>
      <c r="Z240" s="81" t="n"/>
      <c r="AA240" s="81" t="n"/>
      <c r="AB240" s="67">
        <f>IF($F240="","",IFERROR(INDEX(Employee_Master!$E$5:$E$204,MATCH($F240,Employee_Master!$B$5:$B$204,0)),""))</f>
        <v/>
      </c>
      <c r="AC240" s="65">
        <f>IF(OR($A240="",$AB240=""),"",IF(OR($I240="Completed",$I240="Cancelled"),"Closed - in Manager Report","Active - in Manager Report"))</f>
        <v/>
      </c>
      <c r="AD240" s="81">
        <f>IF($A240="","",IFERROR(TEXTJOIN(", ",TRUE,FILTER(Task_Steps!$A$5:$A$2004,Task_Steps!$B$5:$B$2004=$A240)),""))</f>
        <v/>
      </c>
      <c r="AE240" s="84">
        <f>IF($A240="","",COUNTIFS(Task_Steps!$B$5:$B$2004,$A240,Task_Steps!$H$5:$H$2004,"&lt;&gt;Completed",Task_Steps!$H$5:$H$2004,"&lt;&gt;Cancelled"))</f>
        <v/>
      </c>
      <c r="AF240" s="81">
        <f>IF(OR($B240="",$A240=""),"",$B240&amp;" | "&amp;$A240)</f>
        <v/>
      </c>
    </row>
    <row r="241" ht="15" customHeight="1" s="40">
      <c r="A241" s="65">
        <f>IF(COUNTA(B241:F241)=0,"","TSK-"&amp;TEXT(ROW()-4,"0000"))</f>
        <v/>
      </c>
      <c r="B241" s="78" t="n"/>
      <c r="C241" s="78" t="n"/>
      <c r="D241" s="81" t="n"/>
      <c r="E241" s="81" t="n"/>
      <c r="F241" s="78" t="n"/>
      <c r="G241" s="67">
        <f>IF($F241="","",IFERROR(INDEX(Employee_Master!$C$5:$C$204,MATCH($F241,Employee_Master!$B$5:$B$204,0)),""))</f>
        <v/>
      </c>
      <c r="H241" s="78" t="n"/>
      <c r="I241" s="78" t="n"/>
      <c r="J241" s="67">
        <f>IF($I241="","",IFERROR(INDEX(Action_Status_Map!$B$5:$B$11,MATCH($I241,Action_Status_Map!$A$5:$A$11,0)),""))</f>
        <v/>
      </c>
      <c r="K241" s="82" t="n"/>
      <c r="L241" s="82" t="n"/>
      <c r="M241" s="82" t="n"/>
      <c r="N241" s="83" t="n"/>
      <c r="O241" s="83" t="n"/>
      <c r="P241" s="66">
        <f>IF(OR($N241="",$O241=""),"",$O241-$N241)</f>
        <v/>
      </c>
      <c r="Q241" s="84">
        <f>IF($K241="","",IF($M241&lt;&gt;"",$M241-$K241,TODAY()-$K241))</f>
        <v/>
      </c>
      <c r="R241" s="85">
        <f>IF(OR($L241="",$I241="Completed",$I241="Cancelled"),"",IF(AND($L241&lt;TODAY(),$I241&lt;&gt;"Completed",$I241&lt;&gt;"Cancelled"),"Overdue","On Track"))</f>
        <v/>
      </c>
      <c r="S241" s="65">
        <f>IF($L241="","",TEXT($L241,"yyyy-mm"))</f>
        <v/>
      </c>
      <c r="T241" s="86">
        <f>IF($I241="","",IFERROR(INDEX(Action_Status_Map!$C$5:$C$11,MATCH($I241,Action_Status_Map!$A$5:$A$11,0)),""))</f>
        <v/>
      </c>
      <c r="U241" s="81" t="n"/>
      <c r="V241" s="82" t="n"/>
      <c r="W241" s="65">
        <f>IF(OR($I241&lt;&gt;"Completed",$M241="",$L241=""),"",IF($M241&lt;=$L241,"Yes","No"))</f>
        <v/>
      </c>
      <c r="X241" s="84">
        <f>IF($A241="","",COUNTIF(Task_Steps!$B$5:$B$2004,$A241))</f>
        <v/>
      </c>
      <c r="Y241" s="86">
        <f>IF($X241=0,"",COUNTIFS(Task_Steps!$B$5:$B$2004,$A241,Task_Steps!$H$5:$H$2004,"Completed")/$X241)</f>
        <v/>
      </c>
      <c r="Z241" s="81" t="n"/>
      <c r="AA241" s="81" t="n"/>
      <c r="AB241" s="67">
        <f>IF($F241="","",IFERROR(INDEX(Employee_Master!$E$5:$E$204,MATCH($F241,Employee_Master!$B$5:$B$204,0)),""))</f>
        <v/>
      </c>
      <c r="AC241" s="65">
        <f>IF(OR($A241="",$AB241=""),"",IF(OR($I241="Completed",$I241="Cancelled"),"Closed - in Manager Report","Active - in Manager Report"))</f>
        <v/>
      </c>
      <c r="AD241" s="81">
        <f>IF($A241="","",IFERROR(TEXTJOIN(", ",TRUE,FILTER(Task_Steps!$A$5:$A$2004,Task_Steps!$B$5:$B$2004=$A241)),""))</f>
        <v/>
      </c>
      <c r="AE241" s="84">
        <f>IF($A241="","",COUNTIFS(Task_Steps!$B$5:$B$2004,$A241,Task_Steps!$H$5:$H$2004,"&lt;&gt;Completed",Task_Steps!$H$5:$H$2004,"&lt;&gt;Cancelled"))</f>
        <v/>
      </c>
      <c r="AF241" s="81">
        <f>IF(OR($B241="",$A241=""),"",$B241&amp;" | "&amp;$A241)</f>
        <v/>
      </c>
    </row>
    <row r="242" ht="15" customHeight="1" s="40">
      <c r="A242" s="65">
        <f>IF(COUNTA(B242:F242)=0,"","TSK-"&amp;TEXT(ROW()-4,"0000"))</f>
        <v/>
      </c>
      <c r="B242" s="78" t="n"/>
      <c r="C242" s="78" t="n"/>
      <c r="D242" s="81" t="n"/>
      <c r="E242" s="81" t="n"/>
      <c r="F242" s="78" t="n"/>
      <c r="G242" s="67">
        <f>IF($F242="","",IFERROR(INDEX(Employee_Master!$C$5:$C$204,MATCH($F242,Employee_Master!$B$5:$B$204,0)),""))</f>
        <v/>
      </c>
      <c r="H242" s="78" t="n"/>
      <c r="I242" s="78" t="n"/>
      <c r="J242" s="67">
        <f>IF($I242="","",IFERROR(INDEX(Action_Status_Map!$B$5:$B$11,MATCH($I242,Action_Status_Map!$A$5:$A$11,0)),""))</f>
        <v/>
      </c>
      <c r="K242" s="82" t="n"/>
      <c r="L242" s="82" t="n"/>
      <c r="M242" s="82" t="n"/>
      <c r="N242" s="83" t="n"/>
      <c r="O242" s="83" t="n"/>
      <c r="P242" s="66">
        <f>IF(OR($N242="",$O242=""),"",$O242-$N242)</f>
        <v/>
      </c>
      <c r="Q242" s="84">
        <f>IF($K242="","",IF($M242&lt;&gt;"",$M242-$K242,TODAY()-$K242))</f>
        <v/>
      </c>
      <c r="R242" s="85">
        <f>IF(OR($L242="",$I242="Completed",$I242="Cancelled"),"",IF(AND($L242&lt;TODAY(),$I242&lt;&gt;"Completed",$I242&lt;&gt;"Cancelled"),"Overdue","On Track"))</f>
        <v/>
      </c>
      <c r="S242" s="65">
        <f>IF($L242="","",TEXT($L242,"yyyy-mm"))</f>
        <v/>
      </c>
      <c r="T242" s="86">
        <f>IF($I242="","",IFERROR(INDEX(Action_Status_Map!$C$5:$C$11,MATCH($I242,Action_Status_Map!$A$5:$A$11,0)),""))</f>
        <v/>
      </c>
      <c r="U242" s="81" t="n"/>
      <c r="V242" s="82" t="n"/>
      <c r="W242" s="65">
        <f>IF(OR($I242&lt;&gt;"Completed",$M242="",$L242=""),"",IF($M242&lt;=$L242,"Yes","No"))</f>
        <v/>
      </c>
      <c r="X242" s="84">
        <f>IF($A242="","",COUNTIF(Task_Steps!$B$5:$B$2004,$A242))</f>
        <v/>
      </c>
      <c r="Y242" s="86">
        <f>IF($X242=0,"",COUNTIFS(Task_Steps!$B$5:$B$2004,$A242,Task_Steps!$H$5:$H$2004,"Completed")/$X242)</f>
        <v/>
      </c>
      <c r="Z242" s="81" t="n"/>
      <c r="AA242" s="81" t="n"/>
      <c r="AB242" s="67">
        <f>IF($F242="","",IFERROR(INDEX(Employee_Master!$E$5:$E$204,MATCH($F242,Employee_Master!$B$5:$B$204,0)),""))</f>
        <v/>
      </c>
      <c r="AC242" s="65">
        <f>IF(OR($A242="",$AB242=""),"",IF(OR($I242="Completed",$I242="Cancelled"),"Closed - in Manager Report","Active - in Manager Report"))</f>
        <v/>
      </c>
      <c r="AD242" s="81">
        <f>IF($A242="","",IFERROR(TEXTJOIN(", ",TRUE,FILTER(Task_Steps!$A$5:$A$2004,Task_Steps!$B$5:$B$2004=$A242)),""))</f>
        <v/>
      </c>
      <c r="AE242" s="84">
        <f>IF($A242="","",COUNTIFS(Task_Steps!$B$5:$B$2004,$A242,Task_Steps!$H$5:$H$2004,"&lt;&gt;Completed",Task_Steps!$H$5:$H$2004,"&lt;&gt;Cancelled"))</f>
        <v/>
      </c>
      <c r="AF242" s="81">
        <f>IF(OR($B242="",$A242=""),"",$B242&amp;" | "&amp;$A242)</f>
        <v/>
      </c>
    </row>
    <row r="243" ht="15" customHeight="1" s="40">
      <c r="A243" s="65">
        <f>IF(COUNTA(B243:F243)=0,"","TSK-"&amp;TEXT(ROW()-4,"0000"))</f>
        <v/>
      </c>
      <c r="B243" s="78" t="n"/>
      <c r="C243" s="78" t="n"/>
      <c r="D243" s="81" t="n"/>
      <c r="E243" s="81" t="n"/>
      <c r="F243" s="78" t="n"/>
      <c r="G243" s="67">
        <f>IF($F243="","",IFERROR(INDEX(Employee_Master!$C$5:$C$204,MATCH($F243,Employee_Master!$B$5:$B$204,0)),""))</f>
        <v/>
      </c>
      <c r="H243" s="78" t="n"/>
      <c r="I243" s="78" t="n"/>
      <c r="J243" s="67">
        <f>IF($I243="","",IFERROR(INDEX(Action_Status_Map!$B$5:$B$11,MATCH($I243,Action_Status_Map!$A$5:$A$11,0)),""))</f>
        <v/>
      </c>
      <c r="K243" s="82" t="n"/>
      <c r="L243" s="82" t="n"/>
      <c r="M243" s="82" t="n"/>
      <c r="N243" s="83" t="n"/>
      <c r="O243" s="83" t="n"/>
      <c r="P243" s="66">
        <f>IF(OR($N243="",$O243=""),"",$O243-$N243)</f>
        <v/>
      </c>
      <c r="Q243" s="84">
        <f>IF($K243="","",IF($M243&lt;&gt;"",$M243-$K243,TODAY()-$K243))</f>
        <v/>
      </c>
      <c r="R243" s="85">
        <f>IF(OR($L243="",$I243="Completed",$I243="Cancelled"),"",IF(AND($L243&lt;TODAY(),$I243&lt;&gt;"Completed",$I243&lt;&gt;"Cancelled"),"Overdue","On Track"))</f>
        <v/>
      </c>
      <c r="S243" s="65">
        <f>IF($L243="","",TEXT($L243,"yyyy-mm"))</f>
        <v/>
      </c>
      <c r="T243" s="86">
        <f>IF($I243="","",IFERROR(INDEX(Action_Status_Map!$C$5:$C$11,MATCH($I243,Action_Status_Map!$A$5:$A$11,0)),""))</f>
        <v/>
      </c>
      <c r="U243" s="81" t="n"/>
      <c r="V243" s="82" t="n"/>
      <c r="W243" s="65">
        <f>IF(OR($I243&lt;&gt;"Completed",$M243="",$L243=""),"",IF($M243&lt;=$L243,"Yes","No"))</f>
        <v/>
      </c>
      <c r="X243" s="84">
        <f>IF($A243="","",COUNTIF(Task_Steps!$B$5:$B$2004,$A243))</f>
        <v/>
      </c>
      <c r="Y243" s="86">
        <f>IF($X243=0,"",COUNTIFS(Task_Steps!$B$5:$B$2004,$A243,Task_Steps!$H$5:$H$2004,"Completed")/$X243)</f>
        <v/>
      </c>
      <c r="Z243" s="81" t="n"/>
      <c r="AA243" s="81" t="n"/>
      <c r="AB243" s="67">
        <f>IF($F243="","",IFERROR(INDEX(Employee_Master!$E$5:$E$204,MATCH($F243,Employee_Master!$B$5:$B$204,0)),""))</f>
        <v/>
      </c>
      <c r="AC243" s="65">
        <f>IF(OR($A243="",$AB243=""),"",IF(OR($I243="Completed",$I243="Cancelled"),"Closed - in Manager Report","Active - in Manager Report"))</f>
        <v/>
      </c>
      <c r="AD243" s="81">
        <f>IF($A243="","",IFERROR(TEXTJOIN(", ",TRUE,FILTER(Task_Steps!$A$5:$A$2004,Task_Steps!$B$5:$B$2004=$A243)),""))</f>
        <v/>
      </c>
      <c r="AE243" s="84">
        <f>IF($A243="","",COUNTIFS(Task_Steps!$B$5:$B$2004,$A243,Task_Steps!$H$5:$H$2004,"&lt;&gt;Completed",Task_Steps!$H$5:$H$2004,"&lt;&gt;Cancelled"))</f>
        <v/>
      </c>
      <c r="AF243" s="81">
        <f>IF(OR($B243="",$A243=""),"",$B243&amp;" | "&amp;$A243)</f>
        <v/>
      </c>
    </row>
    <row r="244" ht="15" customHeight="1" s="40">
      <c r="A244" s="65">
        <f>IF(COUNTA(B244:F244)=0,"","TSK-"&amp;TEXT(ROW()-4,"0000"))</f>
        <v/>
      </c>
      <c r="B244" s="78" t="n"/>
      <c r="C244" s="78" t="n"/>
      <c r="D244" s="81" t="n"/>
      <c r="E244" s="81" t="n"/>
      <c r="F244" s="78" t="n"/>
      <c r="G244" s="67">
        <f>IF($F244="","",IFERROR(INDEX(Employee_Master!$C$5:$C$204,MATCH($F244,Employee_Master!$B$5:$B$204,0)),""))</f>
        <v/>
      </c>
      <c r="H244" s="78" t="n"/>
      <c r="I244" s="78" t="n"/>
      <c r="J244" s="67">
        <f>IF($I244="","",IFERROR(INDEX(Action_Status_Map!$B$5:$B$11,MATCH($I244,Action_Status_Map!$A$5:$A$11,0)),""))</f>
        <v/>
      </c>
      <c r="K244" s="82" t="n"/>
      <c r="L244" s="82" t="n"/>
      <c r="M244" s="82" t="n"/>
      <c r="N244" s="83" t="n"/>
      <c r="O244" s="83" t="n"/>
      <c r="P244" s="66">
        <f>IF(OR($N244="",$O244=""),"",$O244-$N244)</f>
        <v/>
      </c>
      <c r="Q244" s="84">
        <f>IF($K244="","",IF($M244&lt;&gt;"",$M244-$K244,TODAY()-$K244))</f>
        <v/>
      </c>
      <c r="R244" s="85">
        <f>IF(OR($L244="",$I244="Completed",$I244="Cancelled"),"",IF(AND($L244&lt;TODAY(),$I244&lt;&gt;"Completed",$I244&lt;&gt;"Cancelled"),"Overdue","On Track"))</f>
        <v/>
      </c>
      <c r="S244" s="65">
        <f>IF($L244="","",TEXT($L244,"yyyy-mm"))</f>
        <v/>
      </c>
      <c r="T244" s="86">
        <f>IF($I244="","",IFERROR(INDEX(Action_Status_Map!$C$5:$C$11,MATCH($I244,Action_Status_Map!$A$5:$A$11,0)),""))</f>
        <v/>
      </c>
      <c r="U244" s="81" t="n"/>
      <c r="V244" s="82" t="n"/>
      <c r="W244" s="65">
        <f>IF(OR($I244&lt;&gt;"Completed",$M244="",$L244=""),"",IF($M244&lt;=$L244,"Yes","No"))</f>
        <v/>
      </c>
      <c r="X244" s="84">
        <f>IF($A244="","",COUNTIF(Task_Steps!$B$5:$B$2004,$A244))</f>
        <v/>
      </c>
      <c r="Y244" s="86">
        <f>IF($X244=0,"",COUNTIFS(Task_Steps!$B$5:$B$2004,$A244,Task_Steps!$H$5:$H$2004,"Completed")/$X244)</f>
        <v/>
      </c>
      <c r="Z244" s="81" t="n"/>
      <c r="AA244" s="81" t="n"/>
      <c r="AB244" s="67">
        <f>IF($F244="","",IFERROR(INDEX(Employee_Master!$E$5:$E$204,MATCH($F244,Employee_Master!$B$5:$B$204,0)),""))</f>
        <v/>
      </c>
      <c r="AC244" s="65">
        <f>IF(OR($A244="",$AB244=""),"",IF(OR($I244="Completed",$I244="Cancelled"),"Closed - in Manager Report","Active - in Manager Report"))</f>
        <v/>
      </c>
      <c r="AD244" s="81">
        <f>IF($A244="","",IFERROR(TEXTJOIN(", ",TRUE,FILTER(Task_Steps!$A$5:$A$2004,Task_Steps!$B$5:$B$2004=$A244)),""))</f>
        <v/>
      </c>
      <c r="AE244" s="84">
        <f>IF($A244="","",COUNTIFS(Task_Steps!$B$5:$B$2004,$A244,Task_Steps!$H$5:$H$2004,"&lt;&gt;Completed",Task_Steps!$H$5:$H$2004,"&lt;&gt;Cancelled"))</f>
        <v/>
      </c>
      <c r="AF244" s="81">
        <f>IF(OR($B244="",$A244=""),"",$B244&amp;" | "&amp;$A244)</f>
        <v/>
      </c>
    </row>
    <row r="245" ht="15" customHeight="1" s="40">
      <c r="A245" s="65">
        <f>IF(COUNTA(B245:F245)=0,"","TSK-"&amp;TEXT(ROW()-4,"0000"))</f>
        <v/>
      </c>
      <c r="B245" s="78" t="n"/>
      <c r="C245" s="78" t="n"/>
      <c r="D245" s="81" t="n"/>
      <c r="E245" s="81" t="n"/>
      <c r="F245" s="78" t="n"/>
      <c r="G245" s="67">
        <f>IF($F245="","",IFERROR(INDEX(Employee_Master!$C$5:$C$204,MATCH($F245,Employee_Master!$B$5:$B$204,0)),""))</f>
        <v/>
      </c>
      <c r="H245" s="78" t="n"/>
      <c r="I245" s="78" t="n"/>
      <c r="J245" s="67">
        <f>IF($I245="","",IFERROR(INDEX(Action_Status_Map!$B$5:$B$11,MATCH($I245,Action_Status_Map!$A$5:$A$11,0)),""))</f>
        <v/>
      </c>
      <c r="K245" s="82" t="n"/>
      <c r="L245" s="82" t="n"/>
      <c r="M245" s="82" t="n"/>
      <c r="N245" s="83" t="n"/>
      <c r="O245" s="83" t="n"/>
      <c r="P245" s="66">
        <f>IF(OR($N245="",$O245=""),"",$O245-$N245)</f>
        <v/>
      </c>
      <c r="Q245" s="84">
        <f>IF($K245="","",IF($M245&lt;&gt;"",$M245-$K245,TODAY()-$K245))</f>
        <v/>
      </c>
      <c r="R245" s="85">
        <f>IF(OR($L245="",$I245="Completed",$I245="Cancelled"),"",IF(AND($L245&lt;TODAY(),$I245&lt;&gt;"Completed",$I245&lt;&gt;"Cancelled"),"Overdue","On Track"))</f>
        <v/>
      </c>
      <c r="S245" s="65">
        <f>IF($L245="","",TEXT($L245,"yyyy-mm"))</f>
        <v/>
      </c>
      <c r="T245" s="86">
        <f>IF($I245="","",IFERROR(INDEX(Action_Status_Map!$C$5:$C$11,MATCH($I245,Action_Status_Map!$A$5:$A$11,0)),""))</f>
        <v/>
      </c>
      <c r="U245" s="81" t="n"/>
      <c r="V245" s="82" t="n"/>
      <c r="W245" s="65">
        <f>IF(OR($I245&lt;&gt;"Completed",$M245="",$L245=""),"",IF($M245&lt;=$L245,"Yes","No"))</f>
        <v/>
      </c>
      <c r="X245" s="84">
        <f>IF($A245="","",COUNTIF(Task_Steps!$B$5:$B$2004,$A245))</f>
        <v/>
      </c>
      <c r="Y245" s="86">
        <f>IF($X245=0,"",COUNTIFS(Task_Steps!$B$5:$B$2004,$A245,Task_Steps!$H$5:$H$2004,"Completed")/$X245)</f>
        <v/>
      </c>
      <c r="Z245" s="81" t="n"/>
      <c r="AA245" s="81" t="n"/>
      <c r="AB245" s="67">
        <f>IF($F245="","",IFERROR(INDEX(Employee_Master!$E$5:$E$204,MATCH($F245,Employee_Master!$B$5:$B$204,0)),""))</f>
        <v/>
      </c>
      <c r="AC245" s="65">
        <f>IF(OR($A245="",$AB245=""),"",IF(OR($I245="Completed",$I245="Cancelled"),"Closed - in Manager Report","Active - in Manager Report"))</f>
        <v/>
      </c>
      <c r="AD245" s="81">
        <f>IF($A245="","",IFERROR(TEXTJOIN(", ",TRUE,FILTER(Task_Steps!$A$5:$A$2004,Task_Steps!$B$5:$B$2004=$A245)),""))</f>
        <v/>
      </c>
      <c r="AE245" s="84">
        <f>IF($A245="","",COUNTIFS(Task_Steps!$B$5:$B$2004,$A245,Task_Steps!$H$5:$H$2004,"&lt;&gt;Completed",Task_Steps!$H$5:$H$2004,"&lt;&gt;Cancelled"))</f>
        <v/>
      </c>
      <c r="AF245" s="81">
        <f>IF(OR($B245="",$A245=""),"",$B245&amp;" | "&amp;$A245)</f>
        <v/>
      </c>
    </row>
    <row r="246" ht="15" customHeight="1" s="40">
      <c r="A246" s="65">
        <f>IF(COUNTA(B246:F246)=0,"","TSK-"&amp;TEXT(ROW()-4,"0000"))</f>
        <v/>
      </c>
      <c r="B246" s="78" t="n"/>
      <c r="C246" s="78" t="n"/>
      <c r="D246" s="81" t="n"/>
      <c r="E246" s="81" t="n"/>
      <c r="F246" s="78" t="n"/>
      <c r="G246" s="67">
        <f>IF($F246="","",IFERROR(INDEX(Employee_Master!$C$5:$C$204,MATCH($F246,Employee_Master!$B$5:$B$204,0)),""))</f>
        <v/>
      </c>
      <c r="H246" s="78" t="n"/>
      <c r="I246" s="78" t="n"/>
      <c r="J246" s="67">
        <f>IF($I246="","",IFERROR(INDEX(Action_Status_Map!$B$5:$B$11,MATCH($I246,Action_Status_Map!$A$5:$A$11,0)),""))</f>
        <v/>
      </c>
      <c r="K246" s="82" t="n"/>
      <c r="L246" s="82" t="n"/>
      <c r="M246" s="82" t="n"/>
      <c r="N246" s="83" t="n"/>
      <c r="O246" s="83" t="n"/>
      <c r="P246" s="66">
        <f>IF(OR($N246="",$O246=""),"",$O246-$N246)</f>
        <v/>
      </c>
      <c r="Q246" s="84">
        <f>IF($K246="","",IF($M246&lt;&gt;"",$M246-$K246,TODAY()-$K246))</f>
        <v/>
      </c>
      <c r="R246" s="85">
        <f>IF(OR($L246="",$I246="Completed",$I246="Cancelled"),"",IF(AND($L246&lt;TODAY(),$I246&lt;&gt;"Completed",$I246&lt;&gt;"Cancelled"),"Overdue","On Track"))</f>
        <v/>
      </c>
      <c r="S246" s="65">
        <f>IF($L246="","",TEXT($L246,"yyyy-mm"))</f>
        <v/>
      </c>
      <c r="T246" s="86">
        <f>IF($I246="","",IFERROR(INDEX(Action_Status_Map!$C$5:$C$11,MATCH($I246,Action_Status_Map!$A$5:$A$11,0)),""))</f>
        <v/>
      </c>
      <c r="U246" s="81" t="n"/>
      <c r="V246" s="82" t="n"/>
      <c r="W246" s="65">
        <f>IF(OR($I246&lt;&gt;"Completed",$M246="",$L246=""),"",IF($M246&lt;=$L246,"Yes","No"))</f>
        <v/>
      </c>
      <c r="X246" s="84">
        <f>IF($A246="","",COUNTIF(Task_Steps!$B$5:$B$2004,$A246))</f>
        <v/>
      </c>
      <c r="Y246" s="86">
        <f>IF($X246=0,"",COUNTIFS(Task_Steps!$B$5:$B$2004,$A246,Task_Steps!$H$5:$H$2004,"Completed")/$X246)</f>
        <v/>
      </c>
      <c r="Z246" s="81" t="n"/>
      <c r="AA246" s="81" t="n"/>
      <c r="AB246" s="67">
        <f>IF($F246="","",IFERROR(INDEX(Employee_Master!$E$5:$E$204,MATCH($F246,Employee_Master!$B$5:$B$204,0)),""))</f>
        <v/>
      </c>
      <c r="AC246" s="65">
        <f>IF(OR($A246="",$AB246=""),"",IF(OR($I246="Completed",$I246="Cancelled"),"Closed - in Manager Report","Active - in Manager Report"))</f>
        <v/>
      </c>
      <c r="AD246" s="81">
        <f>IF($A246="","",IFERROR(TEXTJOIN(", ",TRUE,FILTER(Task_Steps!$A$5:$A$2004,Task_Steps!$B$5:$B$2004=$A246)),""))</f>
        <v/>
      </c>
      <c r="AE246" s="84">
        <f>IF($A246="","",COUNTIFS(Task_Steps!$B$5:$B$2004,$A246,Task_Steps!$H$5:$H$2004,"&lt;&gt;Completed",Task_Steps!$H$5:$H$2004,"&lt;&gt;Cancelled"))</f>
        <v/>
      </c>
      <c r="AF246" s="81">
        <f>IF(OR($B246="",$A246=""),"",$B246&amp;" | "&amp;$A246)</f>
        <v/>
      </c>
    </row>
    <row r="247" ht="15" customHeight="1" s="40">
      <c r="A247" s="65">
        <f>IF(COUNTA(B247:F247)=0,"","TSK-"&amp;TEXT(ROW()-4,"0000"))</f>
        <v/>
      </c>
      <c r="B247" s="78" t="n"/>
      <c r="C247" s="78" t="n"/>
      <c r="D247" s="81" t="n"/>
      <c r="E247" s="81" t="n"/>
      <c r="F247" s="78" t="n"/>
      <c r="G247" s="67">
        <f>IF($F247="","",IFERROR(INDEX(Employee_Master!$C$5:$C$204,MATCH($F247,Employee_Master!$B$5:$B$204,0)),""))</f>
        <v/>
      </c>
      <c r="H247" s="78" t="n"/>
      <c r="I247" s="78" t="n"/>
      <c r="J247" s="67">
        <f>IF($I247="","",IFERROR(INDEX(Action_Status_Map!$B$5:$B$11,MATCH($I247,Action_Status_Map!$A$5:$A$11,0)),""))</f>
        <v/>
      </c>
      <c r="K247" s="82" t="n"/>
      <c r="L247" s="82" t="n"/>
      <c r="M247" s="82" t="n"/>
      <c r="N247" s="83" t="n"/>
      <c r="O247" s="83" t="n"/>
      <c r="P247" s="66">
        <f>IF(OR($N247="",$O247=""),"",$O247-$N247)</f>
        <v/>
      </c>
      <c r="Q247" s="84">
        <f>IF($K247="","",IF($M247&lt;&gt;"",$M247-$K247,TODAY()-$K247))</f>
        <v/>
      </c>
      <c r="R247" s="85">
        <f>IF(OR($L247="",$I247="Completed",$I247="Cancelled"),"",IF(AND($L247&lt;TODAY(),$I247&lt;&gt;"Completed",$I247&lt;&gt;"Cancelled"),"Overdue","On Track"))</f>
        <v/>
      </c>
      <c r="S247" s="65">
        <f>IF($L247="","",TEXT($L247,"yyyy-mm"))</f>
        <v/>
      </c>
      <c r="T247" s="86">
        <f>IF($I247="","",IFERROR(INDEX(Action_Status_Map!$C$5:$C$11,MATCH($I247,Action_Status_Map!$A$5:$A$11,0)),""))</f>
        <v/>
      </c>
      <c r="U247" s="81" t="n"/>
      <c r="V247" s="82" t="n"/>
      <c r="W247" s="65">
        <f>IF(OR($I247&lt;&gt;"Completed",$M247="",$L247=""),"",IF($M247&lt;=$L247,"Yes","No"))</f>
        <v/>
      </c>
      <c r="X247" s="84">
        <f>IF($A247="","",COUNTIF(Task_Steps!$B$5:$B$2004,$A247))</f>
        <v/>
      </c>
      <c r="Y247" s="86">
        <f>IF($X247=0,"",COUNTIFS(Task_Steps!$B$5:$B$2004,$A247,Task_Steps!$H$5:$H$2004,"Completed")/$X247)</f>
        <v/>
      </c>
      <c r="Z247" s="81" t="n"/>
      <c r="AA247" s="81" t="n"/>
      <c r="AB247" s="67">
        <f>IF($F247="","",IFERROR(INDEX(Employee_Master!$E$5:$E$204,MATCH($F247,Employee_Master!$B$5:$B$204,0)),""))</f>
        <v/>
      </c>
      <c r="AC247" s="65">
        <f>IF(OR($A247="",$AB247=""),"",IF(OR($I247="Completed",$I247="Cancelled"),"Closed - in Manager Report","Active - in Manager Report"))</f>
        <v/>
      </c>
      <c r="AD247" s="81">
        <f>IF($A247="","",IFERROR(TEXTJOIN(", ",TRUE,FILTER(Task_Steps!$A$5:$A$2004,Task_Steps!$B$5:$B$2004=$A247)),""))</f>
        <v/>
      </c>
      <c r="AE247" s="84">
        <f>IF($A247="","",COUNTIFS(Task_Steps!$B$5:$B$2004,$A247,Task_Steps!$H$5:$H$2004,"&lt;&gt;Completed",Task_Steps!$H$5:$H$2004,"&lt;&gt;Cancelled"))</f>
        <v/>
      </c>
      <c r="AF247" s="81">
        <f>IF(OR($B247="",$A247=""),"",$B247&amp;" | "&amp;$A247)</f>
        <v/>
      </c>
    </row>
    <row r="248" ht="15" customHeight="1" s="40">
      <c r="A248" s="65">
        <f>IF(COUNTA(B248:F248)=0,"","TSK-"&amp;TEXT(ROW()-4,"0000"))</f>
        <v/>
      </c>
      <c r="B248" s="78" t="n"/>
      <c r="C248" s="78" t="n"/>
      <c r="D248" s="81" t="n"/>
      <c r="E248" s="81" t="n"/>
      <c r="F248" s="78" t="n"/>
      <c r="G248" s="67">
        <f>IF($F248="","",IFERROR(INDEX(Employee_Master!$C$5:$C$204,MATCH($F248,Employee_Master!$B$5:$B$204,0)),""))</f>
        <v/>
      </c>
      <c r="H248" s="78" t="n"/>
      <c r="I248" s="78" t="n"/>
      <c r="J248" s="67">
        <f>IF($I248="","",IFERROR(INDEX(Action_Status_Map!$B$5:$B$11,MATCH($I248,Action_Status_Map!$A$5:$A$11,0)),""))</f>
        <v/>
      </c>
      <c r="K248" s="82" t="n"/>
      <c r="L248" s="82" t="n"/>
      <c r="M248" s="82" t="n"/>
      <c r="N248" s="83" t="n"/>
      <c r="O248" s="83" t="n"/>
      <c r="P248" s="66">
        <f>IF(OR($N248="",$O248=""),"",$O248-$N248)</f>
        <v/>
      </c>
      <c r="Q248" s="84">
        <f>IF($K248="","",IF($M248&lt;&gt;"",$M248-$K248,TODAY()-$K248))</f>
        <v/>
      </c>
      <c r="R248" s="85">
        <f>IF(OR($L248="",$I248="Completed",$I248="Cancelled"),"",IF(AND($L248&lt;TODAY(),$I248&lt;&gt;"Completed",$I248&lt;&gt;"Cancelled"),"Overdue","On Track"))</f>
        <v/>
      </c>
      <c r="S248" s="65">
        <f>IF($L248="","",TEXT($L248,"yyyy-mm"))</f>
        <v/>
      </c>
      <c r="T248" s="86">
        <f>IF($I248="","",IFERROR(INDEX(Action_Status_Map!$C$5:$C$11,MATCH($I248,Action_Status_Map!$A$5:$A$11,0)),""))</f>
        <v/>
      </c>
      <c r="U248" s="81" t="n"/>
      <c r="V248" s="82" t="n"/>
      <c r="W248" s="65">
        <f>IF(OR($I248&lt;&gt;"Completed",$M248="",$L248=""),"",IF($M248&lt;=$L248,"Yes","No"))</f>
        <v/>
      </c>
      <c r="X248" s="84">
        <f>IF($A248="","",COUNTIF(Task_Steps!$B$5:$B$2004,$A248))</f>
        <v/>
      </c>
      <c r="Y248" s="86">
        <f>IF($X248=0,"",COUNTIFS(Task_Steps!$B$5:$B$2004,$A248,Task_Steps!$H$5:$H$2004,"Completed")/$X248)</f>
        <v/>
      </c>
      <c r="Z248" s="81" t="n"/>
      <c r="AA248" s="81" t="n"/>
      <c r="AB248" s="67">
        <f>IF($F248="","",IFERROR(INDEX(Employee_Master!$E$5:$E$204,MATCH($F248,Employee_Master!$B$5:$B$204,0)),""))</f>
        <v/>
      </c>
      <c r="AC248" s="65">
        <f>IF(OR($A248="",$AB248=""),"",IF(OR($I248="Completed",$I248="Cancelled"),"Closed - in Manager Report","Active - in Manager Report"))</f>
        <v/>
      </c>
      <c r="AD248" s="81">
        <f>IF($A248="","",IFERROR(TEXTJOIN(", ",TRUE,FILTER(Task_Steps!$A$5:$A$2004,Task_Steps!$B$5:$B$2004=$A248)),""))</f>
        <v/>
      </c>
      <c r="AE248" s="84">
        <f>IF($A248="","",COUNTIFS(Task_Steps!$B$5:$B$2004,$A248,Task_Steps!$H$5:$H$2004,"&lt;&gt;Completed",Task_Steps!$H$5:$H$2004,"&lt;&gt;Cancelled"))</f>
        <v/>
      </c>
      <c r="AF248" s="81">
        <f>IF(OR($B248="",$A248=""),"",$B248&amp;" | "&amp;$A248)</f>
        <v/>
      </c>
    </row>
    <row r="249" ht="15" customHeight="1" s="40">
      <c r="A249" s="65">
        <f>IF(COUNTA(B249:F249)=0,"","TSK-"&amp;TEXT(ROW()-4,"0000"))</f>
        <v/>
      </c>
      <c r="B249" s="78" t="n"/>
      <c r="C249" s="78" t="n"/>
      <c r="D249" s="81" t="n"/>
      <c r="E249" s="81" t="n"/>
      <c r="F249" s="78" t="n"/>
      <c r="G249" s="67">
        <f>IF($F249="","",IFERROR(INDEX(Employee_Master!$C$5:$C$204,MATCH($F249,Employee_Master!$B$5:$B$204,0)),""))</f>
        <v/>
      </c>
      <c r="H249" s="78" t="n"/>
      <c r="I249" s="78" t="n"/>
      <c r="J249" s="67">
        <f>IF($I249="","",IFERROR(INDEX(Action_Status_Map!$B$5:$B$11,MATCH($I249,Action_Status_Map!$A$5:$A$11,0)),""))</f>
        <v/>
      </c>
      <c r="K249" s="82" t="n"/>
      <c r="L249" s="82" t="n"/>
      <c r="M249" s="82" t="n"/>
      <c r="N249" s="83" t="n"/>
      <c r="O249" s="83" t="n"/>
      <c r="P249" s="66">
        <f>IF(OR($N249="",$O249=""),"",$O249-$N249)</f>
        <v/>
      </c>
      <c r="Q249" s="84">
        <f>IF($K249="","",IF($M249&lt;&gt;"",$M249-$K249,TODAY()-$K249))</f>
        <v/>
      </c>
      <c r="R249" s="85">
        <f>IF(OR($L249="",$I249="Completed",$I249="Cancelled"),"",IF(AND($L249&lt;TODAY(),$I249&lt;&gt;"Completed",$I249&lt;&gt;"Cancelled"),"Overdue","On Track"))</f>
        <v/>
      </c>
      <c r="S249" s="65">
        <f>IF($L249="","",TEXT($L249,"yyyy-mm"))</f>
        <v/>
      </c>
      <c r="T249" s="86">
        <f>IF($I249="","",IFERROR(INDEX(Action_Status_Map!$C$5:$C$11,MATCH($I249,Action_Status_Map!$A$5:$A$11,0)),""))</f>
        <v/>
      </c>
      <c r="U249" s="81" t="n"/>
      <c r="V249" s="82" t="n"/>
      <c r="W249" s="65">
        <f>IF(OR($I249&lt;&gt;"Completed",$M249="",$L249=""),"",IF($M249&lt;=$L249,"Yes","No"))</f>
        <v/>
      </c>
      <c r="X249" s="84">
        <f>IF($A249="","",COUNTIF(Task_Steps!$B$5:$B$2004,$A249))</f>
        <v/>
      </c>
      <c r="Y249" s="86">
        <f>IF($X249=0,"",COUNTIFS(Task_Steps!$B$5:$B$2004,$A249,Task_Steps!$H$5:$H$2004,"Completed")/$X249)</f>
        <v/>
      </c>
      <c r="Z249" s="81" t="n"/>
      <c r="AA249" s="81" t="n"/>
      <c r="AB249" s="67">
        <f>IF($F249="","",IFERROR(INDEX(Employee_Master!$E$5:$E$204,MATCH($F249,Employee_Master!$B$5:$B$204,0)),""))</f>
        <v/>
      </c>
      <c r="AC249" s="65">
        <f>IF(OR($A249="",$AB249=""),"",IF(OR($I249="Completed",$I249="Cancelled"),"Closed - in Manager Report","Active - in Manager Report"))</f>
        <v/>
      </c>
      <c r="AD249" s="81">
        <f>IF($A249="","",IFERROR(TEXTJOIN(", ",TRUE,FILTER(Task_Steps!$A$5:$A$2004,Task_Steps!$B$5:$B$2004=$A249)),""))</f>
        <v/>
      </c>
      <c r="AE249" s="84">
        <f>IF($A249="","",COUNTIFS(Task_Steps!$B$5:$B$2004,$A249,Task_Steps!$H$5:$H$2004,"&lt;&gt;Completed",Task_Steps!$H$5:$H$2004,"&lt;&gt;Cancelled"))</f>
        <v/>
      </c>
      <c r="AF249" s="81">
        <f>IF(OR($B249="",$A249=""),"",$B249&amp;" | "&amp;$A249)</f>
        <v/>
      </c>
    </row>
    <row r="250" ht="15" customHeight="1" s="40">
      <c r="A250" s="65">
        <f>IF(COUNTA(B250:F250)=0,"","TSK-"&amp;TEXT(ROW()-4,"0000"))</f>
        <v/>
      </c>
      <c r="B250" s="78" t="n"/>
      <c r="C250" s="78" t="n"/>
      <c r="D250" s="81" t="n"/>
      <c r="E250" s="81" t="n"/>
      <c r="F250" s="78" t="n"/>
      <c r="G250" s="67">
        <f>IF($F250="","",IFERROR(INDEX(Employee_Master!$C$5:$C$204,MATCH($F250,Employee_Master!$B$5:$B$204,0)),""))</f>
        <v/>
      </c>
      <c r="H250" s="78" t="n"/>
      <c r="I250" s="78" t="n"/>
      <c r="J250" s="67">
        <f>IF($I250="","",IFERROR(INDEX(Action_Status_Map!$B$5:$B$11,MATCH($I250,Action_Status_Map!$A$5:$A$11,0)),""))</f>
        <v/>
      </c>
      <c r="K250" s="82" t="n"/>
      <c r="L250" s="82" t="n"/>
      <c r="M250" s="82" t="n"/>
      <c r="N250" s="83" t="n"/>
      <c r="O250" s="83" t="n"/>
      <c r="P250" s="66">
        <f>IF(OR($N250="",$O250=""),"",$O250-$N250)</f>
        <v/>
      </c>
      <c r="Q250" s="84">
        <f>IF($K250="","",IF($M250&lt;&gt;"",$M250-$K250,TODAY()-$K250))</f>
        <v/>
      </c>
      <c r="R250" s="85">
        <f>IF(OR($L250="",$I250="Completed",$I250="Cancelled"),"",IF(AND($L250&lt;TODAY(),$I250&lt;&gt;"Completed",$I250&lt;&gt;"Cancelled"),"Overdue","On Track"))</f>
        <v/>
      </c>
      <c r="S250" s="65">
        <f>IF($L250="","",TEXT($L250,"yyyy-mm"))</f>
        <v/>
      </c>
      <c r="T250" s="86">
        <f>IF($I250="","",IFERROR(INDEX(Action_Status_Map!$C$5:$C$11,MATCH($I250,Action_Status_Map!$A$5:$A$11,0)),""))</f>
        <v/>
      </c>
      <c r="U250" s="81" t="n"/>
      <c r="V250" s="82" t="n"/>
      <c r="W250" s="65">
        <f>IF(OR($I250&lt;&gt;"Completed",$M250="",$L250=""),"",IF($M250&lt;=$L250,"Yes","No"))</f>
        <v/>
      </c>
      <c r="X250" s="84">
        <f>IF($A250="","",COUNTIF(Task_Steps!$B$5:$B$2004,$A250))</f>
        <v/>
      </c>
      <c r="Y250" s="86">
        <f>IF($X250=0,"",COUNTIFS(Task_Steps!$B$5:$B$2004,$A250,Task_Steps!$H$5:$H$2004,"Completed")/$X250)</f>
        <v/>
      </c>
      <c r="Z250" s="81" t="n"/>
      <c r="AA250" s="81" t="n"/>
      <c r="AB250" s="67">
        <f>IF($F250="","",IFERROR(INDEX(Employee_Master!$E$5:$E$204,MATCH($F250,Employee_Master!$B$5:$B$204,0)),""))</f>
        <v/>
      </c>
      <c r="AC250" s="65">
        <f>IF(OR($A250="",$AB250=""),"",IF(OR($I250="Completed",$I250="Cancelled"),"Closed - in Manager Report","Active - in Manager Report"))</f>
        <v/>
      </c>
      <c r="AD250" s="81">
        <f>IF($A250="","",IFERROR(TEXTJOIN(", ",TRUE,FILTER(Task_Steps!$A$5:$A$2004,Task_Steps!$B$5:$B$2004=$A250)),""))</f>
        <v/>
      </c>
      <c r="AE250" s="84">
        <f>IF($A250="","",COUNTIFS(Task_Steps!$B$5:$B$2004,$A250,Task_Steps!$H$5:$H$2004,"&lt;&gt;Completed",Task_Steps!$H$5:$H$2004,"&lt;&gt;Cancelled"))</f>
        <v/>
      </c>
      <c r="AF250" s="81">
        <f>IF(OR($B250="",$A250=""),"",$B250&amp;" | "&amp;$A250)</f>
        <v/>
      </c>
    </row>
    <row r="251" ht="15" customHeight="1" s="40">
      <c r="A251" s="65">
        <f>IF(COUNTA(B251:F251)=0,"","TSK-"&amp;TEXT(ROW()-4,"0000"))</f>
        <v/>
      </c>
      <c r="B251" s="78" t="n"/>
      <c r="C251" s="78" t="n"/>
      <c r="D251" s="81" t="n"/>
      <c r="E251" s="81" t="n"/>
      <c r="F251" s="78" t="n"/>
      <c r="G251" s="67">
        <f>IF($F251="","",IFERROR(INDEX(Employee_Master!$C$5:$C$204,MATCH($F251,Employee_Master!$B$5:$B$204,0)),""))</f>
        <v/>
      </c>
      <c r="H251" s="78" t="n"/>
      <c r="I251" s="78" t="n"/>
      <c r="J251" s="67">
        <f>IF($I251="","",IFERROR(INDEX(Action_Status_Map!$B$5:$B$11,MATCH($I251,Action_Status_Map!$A$5:$A$11,0)),""))</f>
        <v/>
      </c>
      <c r="K251" s="82" t="n"/>
      <c r="L251" s="82" t="n"/>
      <c r="M251" s="82" t="n"/>
      <c r="N251" s="83" t="n"/>
      <c r="O251" s="83" t="n"/>
      <c r="P251" s="66">
        <f>IF(OR($N251="",$O251=""),"",$O251-$N251)</f>
        <v/>
      </c>
      <c r="Q251" s="84">
        <f>IF($K251="","",IF($M251&lt;&gt;"",$M251-$K251,TODAY()-$K251))</f>
        <v/>
      </c>
      <c r="R251" s="85">
        <f>IF(OR($L251="",$I251="Completed",$I251="Cancelled"),"",IF(AND($L251&lt;TODAY(),$I251&lt;&gt;"Completed",$I251&lt;&gt;"Cancelled"),"Overdue","On Track"))</f>
        <v/>
      </c>
      <c r="S251" s="65">
        <f>IF($L251="","",TEXT($L251,"yyyy-mm"))</f>
        <v/>
      </c>
      <c r="T251" s="86">
        <f>IF($I251="","",IFERROR(INDEX(Action_Status_Map!$C$5:$C$11,MATCH($I251,Action_Status_Map!$A$5:$A$11,0)),""))</f>
        <v/>
      </c>
      <c r="U251" s="81" t="n"/>
      <c r="V251" s="82" t="n"/>
      <c r="W251" s="65">
        <f>IF(OR($I251&lt;&gt;"Completed",$M251="",$L251=""),"",IF($M251&lt;=$L251,"Yes","No"))</f>
        <v/>
      </c>
      <c r="X251" s="84">
        <f>IF($A251="","",COUNTIF(Task_Steps!$B$5:$B$2004,$A251))</f>
        <v/>
      </c>
      <c r="Y251" s="86">
        <f>IF($X251=0,"",COUNTIFS(Task_Steps!$B$5:$B$2004,$A251,Task_Steps!$H$5:$H$2004,"Completed")/$X251)</f>
        <v/>
      </c>
      <c r="Z251" s="81" t="n"/>
      <c r="AA251" s="81" t="n"/>
      <c r="AB251" s="67">
        <f>IF($F251="","",IFERROR(INDEX(Employee_Master!$E$5:$E$204,MATCH($F251,Employee_Master!$B$5:$B$204,0)),""))</f>
        <v/>
      </c>
      <c r="AC251" s="65">
        <f>IF(OR($A251="",$AB251=""),"",IF(OR($I251="Completed",$I251="Cancelled"),"Closed - in Manager Report","Active - in Manager Report"))</f>
        <v/>
      </c>
      <c r="AD251" s="81">
        <f>IF($A251="","",IFERROR(TEXTJOIN(", ",TRUE,FILTER(Task_Steps!$A$5:$A$2004,Task_Steps!$B$5:$B$2004=$A251)),""))</f>
        <v/>
      </c>
      <c r="AE251" s="84">
        <f>IF($A251="","",COUNTIFS(Task_Steps!$B$5:$B$2004,$A251,Task_Steps!$H$5:$H$2004,"&lt;&gt;Completed",Task_Steps!$H$5:$H$2004,"&lt;&gt;Cancelled"))</f>
        <v/>
      </c>
      <c r="AF251" s="81">
        <f>IF(OR($B251="",$A251=""),"",$B251&amp;" | "&amp;$A251)</f>
        <v/>
      </c>
    </row>
    <row r="252" ht="15" customHeight="1" s="40">
      <c r="A252" s="65">
        <f>IF(COUNTA(B252:F252)=0,"","TSK-"&amp;TEXT(ROW()-4,"0000"))</f>
        <v/>
      </c>
      <c r="B252" s="78" t="n"/>
      <c r="C252" s="78" t="n"/>
      <c r="D252" s="81" t="n"/>
      <c r="E252" s="81" t="n"/>
      <c r="F252" s="78" t="n"/>
      <c r="G252" s="67">
        <f>IF($F252="","",IFERROR(INDEX(Employee_Master!$C$5:$C$204,MATCH($F252,Employee_Master!$B$5:$B$204,0)),""))</f>
        <v/>
      </c>
      <c r="H252" s="78" t="n"/>
      <c r="I252" s="78" t="n"/>
      <c r="J252" s="67">
        <f>IF($I252="","",IFERROR(INDEX(Action_Status_Map!$B$5:$B$11,MATCH($I252,Action_Status_Map!$A$5:$A$11,0)),""))</f>
        <v/>
      </c>
      <c r="K252" s="82" t="n"/>
      <c r="L252" s="82" t="n"/>
      <c r="M252" s="82" t="n"/>
      <c r="N252" s="83" t="n"/>
      <c r="O252" s="83" t="n"/>
      <c r="P252" s="66">
        <f>IF(OR($N252="",$O252=""),"",$O252-$N252)</f>
        <v/>
      </c>
      <c r="Q252" s="84">
        <f>IF($K252="","",IF($M252&lt;&gt;"",$M252-$K252,TODAY()-$K252))</f>
        <v/>
      </c>
      <c r="R252" s="85">
        <f>IF(OR($L252="",$I252="Completed",$I252="Cancelled"),"",IF(AND($L252&lt;TODAY(),$I252&lt;&gt;"Completed",$I252&lt;&gt;"Cancelled"),"Overdue","On Track"))</f>
        <v/>
      </c>
      <c r="S252" s="65">
        <f>IF($L252="","",TEXT($L252,"yyyy-mm"))</f>
        <v/>
      </c>
      <c r="T252" s="86">
        <f>IF($I252="","",IFERROR(INDEX(Action_Status_Map!$C$5:$C$11,MATCH($I252,Action_Status_Map!$A$5:$A$11,0)),""))</f>
        <v/>
      </c>
      <c r="U252" s="81" t="n"/>
      <c r="V252" s="82" t="n"/>
      <c r="W252" s="65">
        <f>IF(OR($I252&lt;&gt;"Completed",$M252="",$L252=""),"",IF($M252&lt;=$L252,"Yes","No"))</f>
        <v/>
      </c>
      <c r="X252" s="84">
        <f>IF($A252="","",COUNTIF(Task_Steps!$B$5:$B$2004,$A252))</f>
        <v/>
      </c>
      <c r="Y252" s="86">
        <f>IF($X252=0,"",COUNTIFS(Task_Steps!$B$5:$B$2004,$A252,Task_Steps!$H$5:$H$2004,"Completed")/$X252)</f>
        <v/>
      </c>
      <c r="Z252" s="81" t="n"/>
      <c r="AA252" s="81" t="n"/>
      <c r="AB252" s="67">
        <f>IF($F252="","",IFERROR(INDEX(Employee_Master!$E$5:$E$204,MATCH($F252,Employee_Master!$B$5:$B$204,0)),""))</f>
        <v/>
      </c>
      <c r="AC252" s="65">
        <f>IF(OR($A252="",$AB252=""),"",IF(OR($I252="Completed",$I252="Cancelled"),"Closed - in Manager Report","Active - in Manager Report"))</f>
        <v/>
      </c>
      <c r="AD252" s="81">
        <f>IF($A252="","",IFERROR(TEXTJOIN(", ",TRUE,FILTER(Task_Steps!$A$5:$A$2004,Task_Steps!$B$5:$B$2004=$A252)),""))</f>
        <v/>
      </c>
      <c r="AE252" s="84">
        <f>IF($A252="","",COUNTIFS(Task_Steps!$B$5:$B$2004,$A252,Task_Steps!$H$5:$H$2004,"&lt;&gt;Completed",Task_Steps!$H$5:$H$2004,"&lt;&gt;Cancelled"))</f>
        <v/>
      </c>
      <c r="AF252" s="81">
        <f>IF(OR($B252="",$A252=""),"",$B252&amp;" | "&amp;$A252)</f>
        <v/>
      </c>
    </row>
    <row r="253" ht="15" customHeight="1" s="40">
      <c r="A253" s="65">
        <f>IF(COUNTA(B253:F253)=0,"","TSK-"&amp;TEXT(ROW()-4,"0000"))</f>
        <v/>
      </c>
      <c r="B253" s="78" t="n"/>
      <c r="C253" s="78" t="n"/>
      <c r="D253" s="81" t="n"/>
      <c r="E253" s="81" t="n"/>
      <c r="F253" s="78" t="n"/>
      <c r="G253" s="67">
        <f>IF($F253="","",IFERROR(INDEX(Employee_Master!$C$5:$C$204,MATCH($F253,Employee_Master!$B$5:$B$204,0)),""))</f>
        <v/>
      </c>
      <c r="H253" s="78" t="n"/>
      <c r="I253" s="78" t="n"/>
      <c r="J253" s="67">
        <f>IF($I253="","",IFERROR(INDEX(Action_Status_Map!$B$5:$B$11,MATCH($I253,Action_Status_Map!$A$5:$A$11,0)),""))</f>
        <v/>
      </c>
      <c r="K253" s="82" t="n"/>
      <c r="L253" s="82" t="n"/>
      <c r="M253" s="82" t="n"/>
      <c r="N253" s="83" t="n"/>
      <c r="O253" s="83" t="n"/>
      <c r="P253" s="66">
        <f>IF(OR($N253="",$O253=""),"",$O253-$N253)</f>
        <v/>
      </c>
      <c r="Q253" s="84">
        <f>IF($K253="","",IF($M253&lt;&gt;"",$M253-$K253,TODAY()-$K253))</f>
        <v/>
      </c>
      <c r="R253" s="85">
        <f>IF(OR($L253="",$I253="Completed",$I253="Cancelled"),"",IF(AND($L253&lt;TODAY(),$I253&lt;&gt;"Completed",$I253&lt;&gt;"Cancelled"),"Overdue","On Track"))</f>
        <v/>
      </c>
      <c r="S253" s="65">
        <f>IF($L253="","",TEXT($L253,"yyyy-mm"))</f>
        <v/>
      </c>
      <c r="T253" s="86">
        <f>IF($I253="","",IFERROR(INDEX(Action_Status_Map!$C$5:$C$11,MATCH($I253,Action_Status_Map!$A$5:$A$11,0)),""))</f>
        <v/>
      </c>
      <c r="U253" s="81" t="n"/>
      <c r="V253" s="82" t="n"/>
      <c r="W253" s="65">
        <f>IF(OR($I253&lt;&gt;"Completed",$M253="",$L253=""),"",IF($M253&lt;=$L253,"Yes","No"))</f>
        <v/>
      </c>
      <c r="X253" s="84">
        <f>IF($A253="","",COUNTIF(Task_Steps!$B$5:$B$2004,$A253))</f>
        <v/>
      </c>
      <c r="Y253" s="86">
        <f>IF($X253=0,"",COUNTIFS(Task_Steps!$B$5:$B$2004,$A253,Task_Steps!$H$5:$H$2004,"Completed")/$X253)</f>
        <v/>
      </c>
      <c r="Z253" s="81" t="n"/>
      <c r="AA253" s="81" t="n"/>
      <c r="AB253" s="67">
        <f>IF($F253="","",IFERROR(INDEX(Employee_Master!$E$5:$E$204,MATCH($F253,Employee_Master!$B$5:$B$204,0)),""))</f>
        <v/>
      </c>
      <c r="AC253" s="65">
        <f>IF(OR($A253="",$AB253=""),"",IF(OR($I253="Completed",$I253="Cancelled"),"Closed - in Manager Report","Active - in Manager Report"))</f>
        <v/>
      </c>
      <c r="AD253" s="81">
        <f>IF($A253="","",IFERROR(TEXTJOIN(", ",TRUE,FILTER(Task_Steps!$A$5:$A$2004,Task_Steps!$B$5:$B$2004=$A253)),""))</f>
        <v/>
      </c>
      <c r="AE253" s="84">
        <f>IF($A253="","",COUNTIFS(Task_Steps!$B$5:$B$2004,$A253,Task_Steps!$H$5:$H$2004,"&lt;&gt;Completed",Task_Steps!$H$5:$H$2004,"&lt;&gt;Cancelled"))</f>
        <v/>
      </c>
      <c r="AF253" s="81">
        <f>IF(OR($B253="",$A253=""),"",$B253&amp;" | "&amp;$A253)</f>
        <v/>
      </c>
    </row>
    <row r="254" ht="15" customHeight="1" s="40">
      <c r="A254" s="65">
        <f>IF(COUNTA(B254:F254)=0,"","TSK-"&amp;TEXT(ROW()-4,"0000"))</f>
        <v/>
      </c>
      <c r="B254" s="78" t="n"/>
      <c r="C254" s="78" t="n"/>
      <c r="D254" s="81" t="n"/>
      <c r="E254" s="81" t="n"/>
      <c r="F254" s="78" t="n"/>
      <c r="G254" s="67">
        <f>IF($F254="","",IFERROR(INDEX(Employee_Master!$C$5:$C$204,MATCH($F254,Employee_Master!$B$5:$B$204,0)),""))</f>
        <v/>
      </c>
      <c r="H254" s="78" t="n"/>
      <c r="I254" s="78" t="n"/>
      <c r="J254" s="67">
        <f>IF($I254="","",IFERROR(INDEX(Action_Status_Map!$B$5:$B$11,MATCH($I254,Action_Status_Map!$A$5:$A$11,0)),""))</f>
        <v/>
      </c>
      <c r="K254" s="82" t="n"/>
      <c r="L254" s="82" t="n"/>
      <c r="M254" s="82" t="n"/>
      <c r="N254" s="83" t="n"/>
      <c r="O254" s="83" t="n"/>
      <c r="P254" s="66">
        <f>IF(OR($N254="",$O254=""),"",$O254-$N254)</f>
        <v/>
      </c>
      <c r="Q254" s="84">
        <f>IF($K254="","",IF($M254&lt;&gt;"",$M254-$K254,TODAY()-$K254))</f>
        <v/>
      </c>
      <c r="R254" s="85">
        <f>IF(OR($L254="",$I254="Completed",$I254="Cancelled"),"",IF(AND($L254&lt;TODAY(),$I254&lt;&gt;"Completed",$I254&lt;&gt;"Cancelled"),"Overdue","On Track"))</f>
        <v/>
      </c>
      <c r="S254" s="65">
        <f>IF($L254="","",TEXT($L254,"yyyy-mm"))</f>
        <v/>
      </c>
      <c r="T254" s="86">
        <f>IF($I254="","",IFERROR(INDEX(Action_Status_Map!$C$5:$C$11,MATCH($I254,Action_Status_Map!$A$5:$A$11,0)),""))</f>
        <v/>
      </c>
      <c r="U254" s="81" t="n"/>
      <c r="V254" s="82" t="n"/>
      <c r="W254" s="65">
        <f>IF(OR($I254&lt;&gt;"Completed",$M254="",$L254=""),"",IF($M254&lt;=$L254,"Yes","No"))</f>
        <v/>
      </c>
      <c r="X254" s="84">
        <f>IF($A254="","",COUNTIF(Task_Steps!$B$5:$B$2004,$A254))</f>
        <v/>
      </c>
      <c r="Y254" s="86">
        <f>IF($X254=0,"",COUNTIFS(Task_Steps!$B$5:$B$2004,$A254,Task_Steps!$H$5:$H$2004,"Completed")/$X254)</f>
        <v/>
      </c>
      <c r="Z254" s="81" t="n"/>
      <c r="AA254" s="81" t="n"/>
      <c r="AB254" s="67">
        <f>IF($F254="","",IFERROR(INDEX(Employee_Master!$E$5:$E$204,MATCH($F254,Employee_Master!$B$5:$B$204,0)),""))</f>
        <v/>
      </c>
      <c r="AC254" s="65">
        <f>IF(OR($A254="",$AB254=""),"",IF(OR($I254="Completed",$I254="Cancelled"),"Closed - in Manager Report","Active - in Manager Report"))</f>
        <v/>
      </c>
      <c r="AD254" s="81">
        <f>IF($A254="","",IFERROR(TEXTJOIN(", ",TRUE,FILTER(Task_Steps!$A$5:$A$2004,Task_Steps!$B$5:$B$2004=$A254)),""))</f>
        <v/>
      </c>
      <c r="AE254" s="84">
        <f>IF($A254="","",COUNTIFS(Task_Steps!$B$5:$B$2004,$A254,Task_Steps!$H$5:$H$2004,"&lt;&gt;Completed",Task_Steps!$H$5:$H$2004,"&lt;&gt;Cancelled"))</f>
        <v/>
      </c>
      <c r="AF254" s="81">
        <f>IF(OR($B254="",$A254=""),"",$B254&amp;" | "&amp;$A254)</f>
        <v/>
      </c>
    </row>
    <row r="255" ht="15" customHeight="1" s="40">
      <c r="A255" s="65">
        <f>IF(COUNTA(B255:F255)=0,"","TSK-"&amp;TEXT(ROW()-4,"0000"))</f>
        <v/>
      </c>
      <c r="B255" s="78" t="n"/>
      <c r="C255" s="78" t="n"/>
      <c r="D255" s="81" t="n"/>
      <c r="E255" s="81" t="n"/>
      <c r="F255" s="78" t="n"/>
      <c r="G255" s="67">
        <f>IF($F255="","",IFERROR(INDEX(Employee_Master!$C$5:$C$204,MATCH($F255,Employee_Master!$B$5:$B$204,0)),""))</f>
        <v/>
      </c>
      <c r="H255" s="78" t="n"/>
      <c r="I255" s="78" t="n"/>
      <c r="J255" s="67">
        <f>IF($I255="","",IFERROR(INDEX(Action_Status_Map!$B$5:$B$11,MATCH($I255,Action_Status_Map!$A$5:$A$11,0)),""))</f>
        <v/>
      </c>
      <c r="K255" s="82" t="n"/>
      <c r="L255" s="82" t="n"/>
      <c r="M255" s="82" t="n"/>
      <c r="N255" s="83" t="n"/>
      <c r="O255" s="83" t="n"/>
      <c r="P255" s="66">
        <f>IF(OR($N255="",$O255=""),"",$O255-$N255)</f>
        <v/>
      </c>
      <c r="Q255" s="84">
        <f>IF($K255="","",IF($M255&lt;&gt;"",$M255-$K255,TODAY()-$K255))</f>
        <v/>
      </c>
      <c r="R255" s="85">
        <f>IF(OR($L255="",$I255="Completed",$I255="Cancelled"),"",IF(AND($L255&lt;TODAY(),$I255&lt;&gt;"Completed",$I255&lt;&gt;"Cancelled"),"Overdue","On Track"))</f>
        <v/>
      </c>
      <c r="S255" s="65">
        <f>IF($L255="","",TEXT($L255,"yyyy-mm"))</f>
        <v/>
      </c>
      <c r="T255" s="86">
        <f>IF($I255="","",IFERROR(INDEX(Action_Status_Map!$C$5:$C$11,MATCH($I255,Action_Status_Map!$A$5:$A$11,0)),""))</f>
        <v/>
      </c>
      <c r="U255" s="81" t="n"/>
      <c r="V255" s="82" t="n"/>
      <c r="W255" s="65">
        <f>IF(OR($I255&lt;&gt;"Completed",$M255="",$L255=""),"",IF($M255&lt;=$L255,"Yes","No"))</f>
        <v/>
      </c>
      <c r="X255" s="84">
        <f>IF($A255="","",COUNTIF(Task_Steps!$B$5:$B$2004,$A255))</f>
        <v/>
      </c>
      <c r="Y255" s="86">
        <f>IF($X255=0,"",COUNTIFS(Task_Steps!$B$5:$B$2004,$A255,Task_Steps!$H$5:$H$2004,"Completed")/$X255)</f>
        <v/>
      </c>
      <c r="Z255" s="81" t="n"/>
      <c r="AA255" s="81" t="n"/>
      <c r="AB255" s="67">
        <f>IF($F255="","",IFERROR(INDEX(Employee_Master!$E$5:$E$204,MATCH($F255,Employee_Master!$B$5:$B$204,0)),""))</f>
        <v/>
      </c>
      <c r="AC255" s="65">
        <f>IF(OR($A255="",$AB255=""),"",IF(OR($I255="Completed",$I255="Cancelled"),"Closed - in Manager Report","Active - in Manager Report"))</f>
        <v/>
      </c>
      <c r="AD255" s="81">
        <f>IF($A255="","",IFERROR(TEXTJOIN(", ",TRUE,FILTER(Task_Steps!$A$5:$A$2004,Task_Steps!$B$5:$B$2004=$A255)),""))</f>
        <v/>
      </c>
      <c r="AE255" s="84">
        <f>IF($A255="","",COUNTIFS(Task_Steps!$B$5:$B$2004,$A255,Task_Steps!$H$5:$H$2004,"&lt;&gt;Completed",Task_Steps!$H$5:$H$2004,"&lt;&gt;Cancelled"))</f>
        <v/>
      </c>
      <c r="AF255" s="81">
        <f>IF(OR($B255="",$A255=""),"",$B255&amp;" | "&amp;$A255)</f>
        <v/>
      </c>
    </row>
    <row r="256" ht="15" customHeight="1" s="40">
      <c r="A256" s="65">
        <f>IF(COUNTA(B256:F256)=0,"","TSK-"&amp;TEXT(ROW()-4,"0000"))</f>
        <v/>
      </c>
      <c r="B256" s="78" t="n"/>
      <c r="C256" s="78" t="n"/>
      <c r="D256" s="81" t="n"/>
      <c r="E256" s="81" t="n"/>
      <c r="F256" s="78" t="n"/>
      <c r="G256" s="67">
        <f>IF($F256="","",IFERROR(INDEX(Employee_Master!$C$5:$C$204,MATCH($F256,Employee_Master!$B$5:$B$204,0)),""))</f>
        <v/>
      </c>
      <c r="H256" s="78" t="n"/>
      <c r="I256" s="78" t="n"/>
      <c r="J256" s="67">
        <f>IF($I256="","",IFERROR(INDEX(Action_Status_Map!$B$5:$B$11,MATCH($I256,Action_Status_Map!$A$5:$A$11,0)),""))</f>
        <v/>
      </c>
      <c r="K256" s="82" t="n"/>
      <c r="L256" s="82" t="n"/>
      <c r="M256" s="82" t="n"/>
      <c r="N256" s="83" t="n"/>
      <c r="O256" s="83" t="n"/>
      <c r="P256" s="66">
        <f>IF(OR($N256="",$O256=""),"",$O256-$N256)</f>
        <v/>
      </c>
      <c r="Q256" s="84">
        <f>IF($K256="","",IF($M256&lt;&gt;"",$M256-$K256,TODAY()-$K256))</f>
        <v/>
      </c>
      <c r="R256" s="85">
        <f>IF(OR($L256="",$I256="Completed",$I256="Cancelled"),"",IF(AND($L256&lt;TODAY(),$I256&lt;&gt;"Completed",$I256&lt;&gt;"Cancelled"),"Overdue","On Track"))</f>
        <v/>
      </c>
      <c r="S256" s="65">
        <f>IF($L256="","",TEXT($L256,"yyyy-mm"))</f>
        <v/>
      </c>
      <c r="T256" s="86">
        <f>IF($I256="","",IFERROR(INDEX(Action_Status_Map!$C$5:$C$11,MATCH($I256,Action_Status_Map!$A$5:$A$11,0)),""))</f>
        <v/>
      </c>
      <c r="U256" s="81" t="n"/>
      <c r="V256" s="82" t="n"/>
      <c r="W256" s="65">
        <f>IF(OR($I256&lt;&gt;"Completed",$M256="",$L256=""),"",IF($M256&lt;=$L256,"Yes","No"))</f>
        <v/>
      </c>
      <c r="X256" s="84">
        <f>IF($A256="","",COUNTIF(Task_Steps!$B$5:$B$2004,$A256))</f>
        <v/>
      </c>
      <c r="Y256" s="86">
        <f>IF($X256=0,"",COUNTIFS(Task_Steps!$B$5:$B$2004,$A256,Task_Steps!$H$5:$H$2004,"Completed")/$X256)</f>
        <v/>
      </c>
      <c r="Z256" s="81" t="n"/>
      <c r="AA256" s="81" t="n"/>
      <c r="AB256" s="67">
        <f>IF($F256="","",IFERROR(INDEX(Employee_Master!$E$5:$E$204,MATCH($F256,Employee_Master!$B$5:$B$204,0)),""))</f>
        <v/>
      </c>
      <c r="AC256" s="65">
        <f>IF(OR($A256="",$AB256=""),"",IF(OR($I256="Completed",$I256="Cancelled"),"Closed - in Manager Report","Active - in Manager Report"))</f>
        <v/>
      </c>
      <c r="AD256" s="81">
        <f>IF($A256="","",IFERROR(TEXTJOIN(", ",TRUE,FILTER(Task_Steps!$A$5:$A$2004,Task_Steps!$B$5:$B$2004=$A256)),""))</f>
        <v/>
      </c>
      <c r="AE256" s="84">
        <f>IF($A256="","",COUNTIFS(Task_Steps!$B$5:$B$2004,$A256,Task_Steps!$H$5:$H$2004,"&lt;&gt;Completed",Task_Steps!$H$5:$H$2004,"&lt;&gt;Cancelled"))</f>
        <v/>
      </c>
      <c r="AF256" s="81">
        <f>IF(OR($B256="",$A256=""),"",$B256&amp;" | "&amp;$A256)</f>
        <v/>
      </c>
    </row>
    <row r="257" ht="15" customHeight="1" s="40">
      <c r="A257" s="65">
        <f>IF(COUNTA(B257:F257)=0,"","TSK-"&amp;TEXT(ROW()-4,"0000"))</f>
        <v/>
      </c>
      <c r="B257" s="78" t="n"/>
      <c r="C257" s="78" t="n"/>
      <c r="D257" s="81" t="n"/>
      <c r="E257" s="81" t="n"/>
      <c r="F257" s="78" t="n"/>
      <c r="G257" s="67">
        <f>IF($F257="","",IFERROR(INDEX(Employee_Master!$C$5:$C$204,MATCH($F257,Employee_Master!$B$5:$B$204,0)),""))</f>
        <v/>
      </c>
      <c r="H257" s="78" t="n"/>
      <c r="I257" s="78" t="n"/>
      <c r="J257" s="67">
        <f>IF($I257="","",IFERROR(INDEX(Action_Status_Map!$B$5:$B$11,MATCH($I257,Action_Status_Map!$A$5:$A$11,0)),""))</f>
        <v/>
      </c>
      <c r="K257" s="82" t="n"/>
      <c r="L257" s="82" t="n"/>
      <c r="M257" s="82" t="n"/>
      <c r="N257" s="83" t="n"/>
      <c r="O257" s="83" t="n"/>
      <c r="P257" s="66">
        <f>IF(OR($N257="",$O257=""),"",$O257-$N257)</f>
        <v/>
      </c>
      <c r="Q257" s="84">
        <f>IF($K257="","",IF($M257&lt;&gt;"",$M257-$K257,TODAY()-$K257))</f>
        <v/>
      </c>
      <c r="R257" s="85">
        <f>IF(OR($L257="",$I257="Completed",$I257="Cancelled"),"",IF(AND($L257&lt;TODAY(),$I257&lt;&gt;"Completed",$I257&lt;&gt;"Cancelled"),"Overdue","On Track"))</f>
        <v/>
      </c>
      <c r="S257" s="65">
        <f>IF($L257="","",TEXT($L257,"yyyy-mm"))</f>
        <v/>
      </c>
      <c r="T257" s="86">
        <f>IF($I257="","",IFERROR(INDEX(Action_Status_Map!$C$5:$C$11,MATCH($I257,Action_Status_Map!$A$5:$A$11,0)),""))</f>
        <v/>
      </c>
      <c r="U257" s="81" t="n"/>
      <c r="V257" s="82" t="n"/>
      <c r="W257" s="65">
        <f>IF(OR($I257&lt;&gt;"Completed",$M257="",$L257=""),"",IF($M257&lt;=$L257,"Yes","No"))</f>
        <v/>
      </c>
      <c r="X257" s="84">
        <f>IF($A257="","",COUNTIF(Task_Steps!$B$5:$B$2004,$A257))</f>
        <v/>
      </c>
      <c r="Y257" s="86">
        <f>IF($X257=0,"",COUNTIFS(Task_Steps!$B$5:$B$2004,$A257,Task_Steps!$H$5:$H$2004,"Completed")/$X257)</f>
        <v/>
      </c>
      <c r="Z257" s="81" t="n"/>
      <c r="AA257" s="81" t="n"/>
      <c r="AB257" s="67">
        <f>IF($F257="","",IFERROR(INDEX(Employee_Master!$E$5:$E$204,MATCH($F257,Employee_Master!$B$5:$B$204,0)),""))</f>
        <v/>
      </c>
      <c r="AC257" s="65">
        <f>IF(OR($A257="",$AB257=""),"",IF(OR($I257="Completed",$I257="Cancelled"),"Closed - in Manager Report","Active - in Manager Report"))</f>
        <v/>
      </c>
      <c r="AD257" s="81">
        <f>IF($A257="","",IFERROR(TEXTJOIN(", ",TRUE,FILTER(Task_Steps!$A$5:$A$2004,Task_Steps!$B$5:$B$2004=$A257)),""))</f>
        <v/>
      </c>
      <c r="AE257" s="84">
        <f>IF($A257="","",COUNTIFS(Task_Steps!$B$5:$B$2004,$A257,Task_Steps!$H$5:$H$2004,"&lt;&gt;Completed",Task_Steps!$H$5:$H$2004,"&lt;&gt;Cancelled"))</f>
        <v/>
      </c>
      <c r="AF257" s="81">
        <f>IF(OR($B257="",$A257=""),"",$B257&amp;" | "&amp;$A257)</f>
        <v/>
      </c>
    </row>
    <row r="258" ht="15" customHeight="1" s="40">
      <c r="A258" s="65">
        <f>IF(COUNTA(B258:F258)=0,"","TSK-"&amp;TEXT(ROW()-4,"0000"))</f>
        <v/>
      </c>
      <c r="B258" s="78" t="n"/>
      <c r="C258" s="78" t="n"/>
      <c r="D258" s="81" t="n"/>
      <c r="E258" s="81" t="n"/>
      <c r="F258" s="78" t="n"/>
      <c r="G258" s="67">
        <f>IF($F258="","",IFERROR(INDEX(Employee_Master!$C$5:$C$204,MATCH($F258,Employee_Master!$B$5:$B$204,0)),""))</f>
        <v/>
      </c>
      <c r="H258" s="78" t="n"/>
      <c r="I258" s="78" t="n"/>
      <c r="J258" s="67">
        <f>IF($I258="","",IFERROR(INDEX(Action_Status_Map!$B$5:$B$11,MATCH($I258,Action_Status_Map!$A$5:$A$11,0)),""))</f>
        <v/>
      </c>
      <c r="K258" s="82" t="n"/>
      <c r="L258" s="82" t="n"/>
      <c r="M258" s="82" t="n"/>
      <c r="N258" s="83" t="n"/>
      <c r="O258" s="83" t="n"/>
      <c r="P258" s="66">
        <f>IF(OR($N258="",$O258=""),"",$O258-$N258)</f>
        <v/>
      </c>
      <c r="Q258" s="84">
        <f>IF($K258="","",IF($M258&lt;&gt;"",$M258-$K258,TODAY()-$K258))</f>
        <v/>
      </c>
      <c r="R258" s="85">
        <f>IF(OR($L258="",$I258="Completed",$I258="Cancelled"),"",IF(AND($L258&lt;TODAY(),$I258&lt;&gt;"Completed",$I258&lt;&gt;"Cancelled"),"Overdue","On Track"))</f>
        <v/>
      </c>
      <c r="S258" s="65">
        <f>IF($L258="","",TEXT($L258,"yyyy-mm"))</f>
        <v/>
      </c>
      <c r="T258" s="86">
        <f>IF($I258="","",IFERROR(INDEX(Action_Status_Map!$C$5:$C$11,MATCH($I258,Action_Status_Map!$A$5:$A$11,0)),""))</f>
        <v/>
      </c>
      <c r="U258" s="81" t="n"/>
      <c r="V258" s="82" t="n"/>
      <c r="W258" s="65">
        <f>IF(OR($I258&lt;&gt;"Completed",$M258="",$L258=""),"",IF($M258&lt;=$L258,"Yes","No"))</f>
        <v/>
      </c>
      <c r="X258" s="84">
        <f>IF($A258="","",COUNTIF(Task_Steps!$B$5:$B$2004,$A258))</f>
        <v/>
      </c>
      <c r="Y258" s="86">
        <f>IF($X258=0,"",COUNTIFS(Task_Steps!$B$5:$B$2004,$A258,Task_Steps!$H$5:$H$2004,"Completed")/$X258)</f>
        <v/>
      </c>
      <c r="Z258" s="81" t="n"/>
      <c r="AA258" s="81" t="n"/>
      <c r="AB258" s="67">
        <f>IF($F258="","",IFERROR(INDEX(Employee_Master!$E$5:$E$204,MATCH($F258,Employee_Master!$B$5:$B$204,0)),""))</f>
        <v/>
      </c>
      <c r="AC258" s="65">
        <f>IF(OR($A258="",$AB258=""),"",IF(OR($I258="Completed",$I258="Cancelled"),"Closed - in Manager Report","Active - in Manager Report"))</f>
        <v/>
      </c>
      <c r="AD258" s="81">
        <f>IF($A258="","",IFERROR(TEXTJOIN(", ",TRUE,FILTER(Task_Steps!$A$5:$A$2004,Task_Steps!$B$5:$B$2004=$A258)),""))</f>
        <v/>
      </c>
      <c r="AE258" s="84">
        <f>IF($A258="","",COUNTIFS(Task_Steps!$B$5:$B$2004,$A258,Task_Steps!$H$5:$H$2004,"&lt;&gt;Completed",Task_Steps!$H$5:$H$2004,"&lt;&gt;Cancelled"))</f>
        <v/>
      </c>
      <c r="AF258" s="81">
        <f>IF(OR($B258="",$A258=""),"",$B258&amp;" | "&amp;$A258)</f>
        <v/>
      </c>
    </row>
    <row r="259" ht="15" customHeight="1" s="40">
      <c r="A259" s="65">
        <f>IF(COUNTA(B259:F259)=0,"","TSK-"&amp;TEXT(ROW()-4,"0000"))</f>
        <v/>
      </c>
      <c r="B259" s="78" t="n"/>
      <c r="C259" s="78" t="n"/>
      <c r="D259" s="81" t="n"/>
      <c r="E259" s="81" t="n"/>
      <c r="F259" s="78" t="n"/>
      <c r="G259" s="67">
        <f>IF($F259="","",IFERROR(INDEX(Employee_Master!$C$5:$C$204,MATCH($F259,Employee_Master!$B$5:$B$204,0)),""))</f>
        <v/>
      </c>
      <c r="H259" s="78" t="n"/>
      <c r="I259" s="78" t="n"/>
      <c r="J259" s="67">
        <f>IF($I259="","",IFERROR(INDEX(Action_Status_Map!$B$5:$B$11,MATCH($I259,Action_Status_Map!$A$5:$A$11,0)),""))</f>
        <v/>
      </c>
      <c r="K259" s="82" t="n"/>
      <c r="L259" s="82" t="n"/>
      <c r="M259" s="82" t="n"/>
      <c r="N259" s="83" t="n"/>
      <c r="O259" s="83" t="n"/>
      <c r="P259" s="66">
        <f>IF(OR($N259="",$O259=""),"",$O259-$N259)</f>
        <v/>
      </c>
      <c r="Q259" s="84">
        <f>IF($K259="","",IF($M259&lt;&gt;"",$M259-$K259,TODAY()-$K259))</f>
        <v/>
      </c>
      <c r="R259" s="85">
        <f>IF(OR($L259="",$I259="Completed",$I259="Cancelled"),"",IF(AND($L259&lt;TODAY(),$I259&lt;&gt;"Completed",$I259&lt;&gt;"Cancelled"),"Overdue","On Track"))</f>
        <v/>
      </c>
      <c r="S259" s="65">
        <f>IF($L259="","",TEXT($L259,"yyyy-mm"))</f>
        <v/>
      </c>
      <c r="T259" s="86">
        <f>IF($I259="","",IFERROR(INDEX(Action_Status_Map!$C$5:$C$11,MATCH($I259,Action_Status_Map!$A$5:$A$11,0)),""))</f>
        <v/>
      </c>
      <c r="U259" s="81" t="n"/>
      <c r="V259" s="82" t="n"/>
      <c r="W259" s="65">
        <f>IF(OR($I259&lt;&gt;"Completed",$M259="",$L259=""),"",IF($M259&lt;=$L259,"Yes","No"))</f>
        <v/>
      </c>
      <c r="X259" s="84">
        <f>IF($A259="","",COUNTIF(Task_Steps!$B$5:$B$2004,$A259))</f>
        <v/>
      </c>
      <c r="Y259" s="86">
        <f>IF($X259=0,"",COUNTIFS(Task_Steps!$B$5:$B$2004,$A259,Task_Steps!$H$5:$H$2004,"Completed")/$X259)</f>
        <v/>
      </c>
      <c r="Z259" s="81" t="n"/>
      <c r="AA259" s="81" t="n"/>
      <c r="AB259" s="67">
        <f>IF($F259="","",IFERROR(INDEX(Employee_Master!$E$5:$E$204,MATCH($F259,Employee_Master!$B$5:$B$204,0)),""))</f>
        <v/>
      </c>
      <c r="AC259" s="65">
        <f>IF(OR($A259="",$AB259=""),"",IF(OR($I259="Completed",$I259="Cancelled"),"Closed - in Manager Report","Active - in Manager Report"))</f>
        <v/>
      </c>
      <c r="AD259" s="81">
        <f>IF($A259="","",IFERROR(TEXTJOIN(", ",TRUE,FILTER(Task_Steps!$A$5:$A$2004,Task_Steps!$B$5:$B$2004=$A259)),""))</f>
        <v/>
      </c>
      <c r="AE259" s="84">
        <f>IF($A259="","",COUNTIFS(Task_Steps!$B$5:$B$2004,$A259,Task_Steps!$H$5:$H$2004,"&lt;&gt;Completed",Task_Steps!$H$5:$H$2004,"&lt;&gt;Cancelled"))</f>
        <v/>
      </c>
      <c r="AF259" s="81">
        <f>IF(OR($B259="",$A259=""),"",$B259&amp;" | "&amp;$A259)</f>
        <v/>
      </c>
    </row>
    <row r="260" ht="15" customHeight="1" s="40">
      <c r="A260" s="65">
        <f>IF(COUNTA(B260:F260)=0,"","TSK-"&amp;TEXT(ROW()-4,"0000"))</f>
        <v/>
      </c>
      <c r="B260" s="78" t="n"/>
      <c r="C260" s="78" t="n"/>
      <c r="D260" s="81" t="n"/>
      <c r="E260" s="81" t="n"/>
      <c r="F260" s="78" t="n"/>
      <c r="G260" s="67">
        <f>IF($F260="","",IFERROR(INDEX(Employee_Master!$C$5:$C$204,MATCH($F260,Employee_Master!$B$5:$B$204,0)),""))</f>
        <v/>
      </c>
      <c r="H260" s="78" t="n"/>
      <c r="I260" s="78" t="n"/>
      <c r="J260" s="67">
        <f>IF($I260="","",IFERROR(INDEX(Action_Status_Map!$B$5:$B$11,MATCH($I260,Action_Status_Map!$A$5:$A$11,0)),""))</f>
        <v/>
      </c>
      <c r="K260" s="82" t="n"/>
      <c r="L260" s="82" t="n"/>
      <c r="M260" s="82" t="n"/>
      <c r="N260" s="83" t="n"/>
      <c r="O260" s="83" t="n"/>
      <c r="P260" s="66">
        <f>IF(OR($N260="",$O260=""),"",$O260-$N260)</f>
        <v/>
      </c>
      <c r="Q260" s="84">
        <f>IF($K260="","",IF($M260&lt;&gt;"",$M260-$K260,TODAY()-$K260))</f>
        <v/>
      </c>
      <c r="R260" s="85">
        <f>IF(OR($L260="",$I260="Completed",$I260="Cancelled"),"",IF(AND($L260&lt;TODAY(),$I260&lt;&gt;"Completed",$I260&lt;&gt;"Cancelled"),"Overdue","On Track"))</f>
        <v/>
      </c>
      <c r="S260" s="65">
        <f>IF($L260="","",TEXT($L260,"yyyy-mm"))</f>
        <v/>
      </c>
      <c r="T260" s="86">
        <f>IF($I260="","",IFERROR(INDEX(Action_Status_Map!$C$5:$C$11,MATCH($I260,Action_Status_Map!$A$5:$A$11,0)),""))</f>
        <v/>
      </c>
      <c r="U260" s="81" t="n"/>
      <c r="V260" s="82" t="n"/>
      <c r="W260" s="65">
        <f>IF(OR($I260&lt;&gt;"Completed",$M260="",$L260=""),"",IF($M260&lt;=$L260,"Yes","No"))</f>
        <v/>
      </c>
      <c r="X260" s="84">
        <f>IF($A260="","",COUNTIF(Task_Steps!$B$5:$B$2004,$A260))</f>
        <v/>
      </c>
      <c r="Y260" s="86">
        <f>IF($X260=0,"",COUNTIFS(Task_Steps!$B$5:$B$2004,$A260,Task_Steps!$H$5:$H$2004,"Completed")/$X260)</f>
        <v/>
      </c>
      <c r="Z260" s="81" t="n"/>
      <c r="AA260" s="81" t="n"/>
      <c r="AB260" s="67">
        <f>IF($F260="","",IFERROR(INDEX(Employee_Master!$E$5:$E$204,MATCH($F260,Employee_Master!$B$5:$B$204,0)),""))</f>
        <v/>
      </c>
      <c r="AC260" s="65">
        <f>IF(OR($A260="",$AB260=""),"",IF(OR($I260="Completed",$I260="Cancelled"),"Closed - in Manager Report","Active - in Manager Report"))</f>
        <v/>
      </c>
      <c r="AD260" s="81">
        <f>IF($A260="","",IFERROR(TEXTJOIN(", ",TRUE,FILTER(Task_Steps!$A$5:$A$2004,Task_Steps!$B$5:$B$2004=$A260)),""))</f>
        <v/>
      </c>
      <c r="AE260" s="84">
        <f>IF($A260="","",COUNTIFS(Task_Steps!$B$5:$B$2004,$A260,Task_Steps!$H$5:$H$2004,"&lt;&gt;Completed",Task_Steps!$H$5:$H$2004,"&lt;&gt;Cancelled"))</f>
        <v/>
      </c>
      <c r="AF260" s="81">
        <f>IF(OR($B260="",$A260=""),"",$B260&amp;" | "&amp;$A260)</f>
        <v/>
      </c>
    </row>
    <row r="261" ht="15" customHeight="1" s="40">
      <c r="A261" s="65">
        <f>IF(COUNTA(B261:F261)=0,"","TSK-"&amp;TEXT(ROW()-4,"0000"))</f>
        <v/>
      </c>
      <c r="B261" s="78" t="n"/>
      <c r="C261" s="78" t="n"/>
      <c r="D261" s="81" t="n"/>
      <c r="E261" s="81" t="n"/>
      <c r="F261" s="78" t="n"/>
      <c r="G261" s="67">
        <f>IF($F261="","",IFERROR(INDEX(Employee_Master!$C$5:$C$204,MATCH($F261,Employee_Master!$B$5:$B$204,0)),""))</f>
        <v/>
      </c>
      <c r="H261" s="78" t="n"/>
      <c r="I261" s="78" t="n"/>
      <c r="J261" s="67">
        <f>IF($I261="","",IFERROR(INDEX(Action_Status_Map!$B$5:$B$11,MATCH($I261,Action_Status_Map!$A$5:$A$11,0)),""))</f>
        <v/>
      </c>
      <c r="K261" s="82" t="n"/>
      <c r="L261" s="82" t="n"/>
      <c r="M261" s="82" t="n"/>
      <c r="N261" s="83" t="n"/>
      <c r="O261" s="83" t="n"/>
      <c r="P261" s="66">
        <f>IF(OR($N261="",$O261=""),"",$O261-$N261)</f>
        <v/>
      </c>
      <c r="Q261" s="84">
        <f>IF($K261="","",IF($M261&lt;&gt;"",$M261-$K261,TODAY()-$K261))</f>
        <v/>
      </c>
      <c r="R261" s="85">
        <f>IF(OR($L261="",$I261="Completed",$I261="Cancelled"),"",IF(AND($L261&lt;TODAY(),$I261&lt;&gt;"Completed",$I261&lt;&gt;"Cancelled"),"Overdue","On Track"))</f>
        <v/>
      </c>
      <c r="S261" s="65">
        <f>IF($L261="","",TEXT($L261,"yyyy-mm"))</f>
        <v/>
      </c>
      <c r="T261" s="86">
        <f>IF($I261="","",IFERROR(INDEX(Action_Status_Map!$C$5:$C$11,MATCH($I261,Action_Status_Map!$A$5:$A$11,0)),""))</f>
        <v/>
      </c>
      <c r="U261" s="81" t="n"/>
      <c r="V261" s="82" t="n"/>
      <c r="W261" s="65">
        <f>IF(OR($I261&lt;&gt;"Completed",$M261="",$L261=""),"",IF($M261&lt;=$L261,"Yes","No"))</f>
        <v/>
      </c>
      <c r="X261" s="84">
        <f>IF($A261="","",COUNTIF(Task_Steps!$B$5:$B$2004,$A261))</f>
        <v/>
      </c>
      <c r="Y261" s="86">
        <f>IF($X261=0,"",COUNTIFS(Task_Steps!$B$5:$B$2004,$A261,Task_Steps!$H$5:$H$2004,"Completed")/$X261)</f>
        <v/>
      </c>
      <c r="Z261" s="81" t="n"/>
      <c r="AA261" s="81" t="n"/>
      <c r="AB261" s="67">
        <f>IF($F261="","",IFERROR(INDEX(Employee_Master!$E$5:$E$204,MATCH($F261,Employee_Master!$B$5:$B$204,0)),""))</f>
        <v/>
      </c>
      <c r="AC261" s="65">
        <f>IF(OR($A261="",$AB261=""),"",IF(OR($I261="Completed",$I261="Cancelled"),"Closed - in Manager Report","Active - in Manager Report"))</f>
        <v/>
      </c>
      <c r="AD261" s="81">
        <f>IF($A261="","",IFERROR(TEXTJOIN(", ",TRUE,FILTER(Task_Steps!$A$5:$A$2004,Task_Steps!$B$5:$B$2004=$A261)),""))</f>
        <v/>
      </c>
      <c r="AE261" s="84">
        <f>IF($A261="","",COUNTIFS(Task_Steps!$B$5:$B$2004,$A261,Task_Steps!$H$5:$H$2004,"&lt;&gt;Completed",Task_Steps!$H$5:$H$2004,"&lt;&gt;Cancelled"))</f>
        <v/>
      </c>
      <c r="AF261" s="81">
        <f>IF(OR($B261="",$A261=""),"",$B261&amp;" | "&amp;$A261)</f>
        <v/>
      </c>
    </row>
    <row r="262" ht="15" customHeight="1" s="40">
      <c r="A262" s="65">
        <f>IF(COUNTA(B262:F262)=0,"","TSK-"&amp;TEXT(ROW()-4,"0000"))</f>
        <v/>
      </c>
      <c r="B262" s="78" t="n"/>
      <c r="C262" s="78" t="n"/>
      <c r="D262" s="81" t="n"/>
      <c r="E262" s="81" t="n"/>
      <c r="F262" s="78" t="n"/>
      <c r="G262" s="67">
        <f>IF($F262="","",IFERROR(INDEX(Employee_Master!$C$5:$C$204,MATCH($F262,Employee_Master!$B$5:$B$204,0)),""))</f>
        <v/>
      </c>
      <c r="H262" s="78" t="n"/>
      <c r="I262" s="78" t="n"/>
      <c r="J262" s="67">
        <f>IF($I262="","",IFERROR(INDEX(Action_Status_Map!$B$5:$B$11,MATCH($I262,Action_Status_Map!$A$5:$A$11,0)),""))</f>
        <v/>
      </c>
      <c r="K262" s="82" t="n"/>
      <c r="L262" s="82" t="n"/>
      <c r="M262" s="82" t="n"/>
      <c r="N262" s="83" t="n"/>
      <c r="O262" s="83" t="n"/>
      <c r="P262" s="66">
        <f>IF(OR($N262="",$O262=""),"",$O262-$N262)</f>
        <v/>
      </c>
      <c r="Q262" s="84">
        <f>IF($K262="","",IF($M262&lt;&gt;"",$M262-$K262,TODAY()-$K262))</f>
        <v/>
      </c>
      <c r="R262" s="85">
        <f>IF(OR($L262="",$I262="Completed",$I262="Cancelled"),"",IF(AND($L262&lt;TODAY(),$I262&lt;&gt;"Completed",$I262&lt;&gt;"Cancelled"),"Overdue","On Track"))</f>
        <v/>
      </c>
      <c r="S262" s="65">
        <f>IF($L262="","",TEXT($L262,"yyyy-mm"))</f>
        <v/>
      </c>
      <c r="T262" s="86">
        <f>IF($I262="","",IFERROR(INDEX(Action_Status_Map!$C$5:$C$11,MATCH($I262,Action_Status_Map!$A$5:$A$11,0)),""))</f>
        <v/>
      </c>
      <c r="U262" s="81" t="n"/>
      <c r="V262" s="82" t="n"/>
      <c r="W262" s="65">
        <f>IF(OR($I262&lt;&gt;"Completed",$M262="",$L262=""),"",IF($M262&lt;=$L262,"Yes","No"))</f>
        <v/>
      </c>
      <c r="X262" s="84">
        <f>IF($A262="","",COUNTIF(Task_Steps!$B$5:$B$2004,$A262))</f>
        <v/>
      </c>
      <c r="Y262" s="86">
        <f>IF($X262=0,"",COUNTIFS(Task_Steps!$B$5:$B$2004,$A262,Task_Steps!$H$5:$H$2004,"Completed")/$X262)</f>
        <v/>
      </c>
      <c r="Z262" s="81" t="n"/>
      <c r="AA262" s="81" t="n"/>
      <c r="AB262" s="67">
        <f>IF($F262="","",IFERROR(INDEX(Employee_Master!$E$5:$E$204,MATCH($F262,Employee_Master!$B$5:$B$204,0)),""))</f>
        <v/>
      </c>
      <c r="AC262" s="65">
        <f>IF(OR($A262="",$AB262=""),"",IF(OR($I262="Completed",$I262="Cancelled"),"Closed - in Manager Report","Active - in Manager Report"))</f>
        <v/>
      </c>
      <c r="AD262" s="81">
        <f>IF($A262="","",IFERROR(TEXTJOIN(", ",TRUE,FILTER(Task_Steps!$A$5:$A$2004,Task_Steps!$B$5:$B$2004=$A262)),""))</f>
        <v/>
      </c>
      <c r="AE262" s="84">
        <f>IF($A262="","",COUNTIFS(Task_Steps!$B$5:$B$2004,$A262,Task_Steps!$H$5:$H$2004,"&lt;&gt;Completed",Task_Steps!$H$5:$H$2004,"&lt;&gt;Cancelled"))</f>
        <v/>
      </c>
      <c r="AF262" s="81">
        <f>IF(OR($B262="",$A262=""),"",$B262&amp;" | "&amp;$A262)</f>
        <v/>
      </c>
    </row>
    <row r="263" ht="15" customHeight="1" s="40">
      <c r="A263" s="65">
        <f>IF(COUNTA(B263:F263)=0,"","TSK-"&amp;TEXT(ROW()-4,"0000"))</f>
        <v/>
      </c>
      <c r="B263" s="78" t="n"/>
      <c r="C263" s="78" t="n"/>
      <c r="D263" s="81" t="n"/>
      <c r="E263" s="81" t="n"/>
      <c r="F263" s="78" t="n"/>
      <c r="G263" s="67">
        <f>IF($F263="","",IFERROR(INDEX(Employee_Master!$C$5:$C$204,MATCH($F263,Employee_Master!$B$5:$B$204,0)),""))</f>
        <v/>
      </c>
      <c r="H263" s="78" t="n"/>
      <c r="I263" s="78" t="n"/>
      <c r="J263" s="67">
        <f>IF($I263="","",IFERROR(INDEX(Action_Status_Map!$B$5:$B$11,MATCH($I263,Action_Status_Map!$A$5:$A$11,0)),""))</f>
        <v/>
      </c>
      <c r="K263" s="82" t="n"/>
      <c r="L263" s="82" t="n"/>
      <c r="M263" s="82" t="n"/>
      <c r="N263" s="83" t="n"/>
      <c r="O263" s="83" t="n"/>
      <c r="P263" s="66">
        <f>IF(OR($N263="",$O263=""),"",$O263-$N263)</f>
        <v/>
      </c>
      <c r="Q263" s="84">
        <f>IF($K263="","",IF($M263&lt;&gt;"",$M263-$K263,TODAY()-$K263))</f>
        <v/>
      </c>
      <c r="R263" s="85">
        <f>IF(OR($L263="",$I263="Completed",$I263="Cancelled"),"",IF(AND($L263&lt;TODAY(),$I263&lt;&gt;"Completed",$I263&lt;&gt;"Cancelled"),"Overdue","On Track"))</f>
        <v/>
      </c>
      <c r="S263" s="65">
        <f>IF($L263="","",TEXT($L263,"yyyy-mm"))</f>
        <v/>
      </c>
      <c r="T263" s="86">
        <f>IF($I263="","",IFERROR(INDEX(Action_Status_Map!$C$5:$C$11,MATCH($I263,Action_Status_Map!$A$5:$A$11,0)),""))</f>
        <v/>
      </c>
      <c r="U263" s="81" t="n"/>
      <c r="V263" s="82" t="n"/>
      <c r="W263" s="65">
        <f>IF(OR($I263&lt;&gt;"Completed",$M263="",$L263=""),"",IF($M263&lt;=$L263,"Yes","No"))</f>
        <v/>
      </c>
      <c r="X263" s="84">
        <f>IF($A263="","",COUNTIF(Task_Steps!$B$5:$B$2004,$A263))</f>
        <v/>
      </c>
      <c r="Y263" s="86">
        <f>IF($X263=0,"",COUNTIFS(Task_Steps!$B$5:$B$2004,$A263,Task_Steps!$H$5:$H$2004,"Completed")/$X263)</f>
        <v/>
      </c>
      <c r="Z263" s="81" t="n"/>
      <c r="AA263" s="81" t="n"/>
      <c r="AB263" s="67">
        <f>IF($F263="","",IFERROR(INDEX(Employee_Master!$E$5:$E$204,MATCH($F263,Employee_Master!$B$5:$B$204,0)),""))</f>
        <v/>
      </c>
      <c r="AC263" s="65">
        <f>IF(OR($A263="",$AB263=""),"",IF(OR($I263="Completed",$I263="Cancelled"),"Closed - in Manager Report","Active - in Manager Report"))</f>
        <v/>
      </c>
      <c r="AD263" s="81">
        <f>IF($A263="","",IFERROR(TEXTJOIN(", ",TRUE,FILTER(Task_Steps!$A$5:$A$2004,Task_Steps!$B$5:$B$2004=$A263)),""))</f>
        <v/>
      </c>
      <c r="AE263" s="84">
        <f>IF($A263="","",COUNTIFS(Task_Steps!$B$5:$B$2004,$A263,Task_Steps!$H$5:$H$2004,"&lt;&gt;Completed",Task_Steps!$H$5:$H$2004,"&lt;&gt;Cancelled"))</f>
        <v/>
      </c>
      <c r="AF263" s="81">
        <f>IF(OR($B263="",$A263=""),"",$B263&amp;" | "&amp;$A263)</f>
        <v/>
      </c>
    </row>
    <row r="264" ht="15" customHeight="1" s="40">
      <c r="A264" s="65">
        <f>IF(COUNTA(B264:F264)=0,"","TSK-"&amp;TEXT(ROW()-4,"0000"))</f>
        <v/>
      </c>
      <c r="B264" s="78" t="n"/>
      <c r="C264" s="78" t="n"/>
      <c r="D264" s="81" t="n"/>
      <c r="E264" s="81" t="n"/>
      <c r="F264" s="78" t="n"/>
      <c r="G264" s="67">
        <f>IF($F264="","",IFERROR(INDEX(Employee_Master!$C$5:$C$204,MATCH($F264,Employee_Master!$B$5:$B$204,0)),""))</f>
        <v/>
      </c>
      <c r="H264" s="78" t="n"/>
      <c r="I264" s="78" t="n"/>
      <c r="J264" s="67">
        <f>IF($I264="","",IFERROR(INDEX(Action_Status_Map!$B$5:$B$11,MATCH($I264,Action_Status_Map!$A$5:$A$11,0)),""))</f>
        <v/>
      </c>
      <c r="K264" s="82" t="n"/>
      <c r="L264" s="82" t="n"/>
      <c r="M264" s="82" t="n"/>
      <c r="N264" s="83" t="n"/>
      <c r="O264" s="83" t="n"/>
      <c r="P264" s="66">
        <f>IF(OR($N264="",$O264=""),"",$O264-$N264)</f>
        <v/>
      </c>
      <c r="Q264" s="84">
        <f>IF($K264="","",IF($M264&lt;&gt;"",$M264-$K264,TODAY()-$K264))</f>
        <v/>
      </c>
      <c r="R264" s="85">
        <f>IF(OR($L264="",$I264="Completed",$I264="Cancelled"),"",IF(AND($L264&lt;TODAY(),$I264&lt;&gt;"Completed",$I264&lt;&gt;"Cancelled"),"Overdue","On Track"))</f>
        <v/>
      </c>
      <c r="S264" s="65">
        <f>IF($L264="","",TEXT($L264,"yyyy-mm"))</f>
        <v/>
      </c>
      <c r="T264" s="86">
        <f>IF($I264="","",IFERROR(INDEX(Action_Status_Map!$C$5:$C$11,MATCH($I264,Action_Status_Map!$A$5:$A$11,0)),""))</f>
        <v/>
      </c>
      <c r="U264" s="81" t="n"/>
      <c r="V264" s="82" t="n"/>
      <c r="W264" s="65">
        <f>IF(OR($I264&lt;&gt;"Completed",$M264="",$L264=""),"",IF($M264&lt;=$L264,"Yes","No"))</f>
        <v/>
      </c>
      <c r="X264" s="84">
        <f>IF($A264="","",COUNTIF(Task_Steps!$B$5:$B$2004,$A264))</f>
        <v/>
      </c>
      <c r="Y264" s="86">
        <f>IF($X264=0,"",COUNTIFS(Task_Steps!$B$5:$B$2004,$A264,Task_Steps!$H$5:$H$2004,"Completed")/$X264)</f>
        <v/>
      </c>
      <c r="Z264" s="81" t="n"/>
      <c r="AA264" s="81" t="n"/>
      <c r="AB264" s="67">
        <f>IF($F264="","",IFERROR(INDEX(Employee_Master!$E$5:$E$204,MATCH($F264,Employee_Master!$B$5:$B$204,0)),""))</f>
        <v/>
      </c>
      <c r="AC264" s="65">
        <f>IF(OR($A264="",$AB264=""),"",IF(OR($I264="Completed",$I264="Cancelled"),"Closed - in Manager Report","Active - in Manager Report"))</f>
        <v/>
      </c>
      <c r="AD264" s="81">
        <f>IF($A264="","",IFERROR(TEXTJOIN(", ",TRUE,FILTER(Task_Steps!$A$5:$A$2004,Task_Steps!$B$5:$B$2004=$A264)),""))</f>
        <v/>
      </c>
      <c r="AE264" s="84">
        <f>IF($A264="","",COUNTIFS(Task_Steps!$B$5:$B$2004,$A264,Task_Steps!$H$5:$H$2004,"&lt;&gt;Completed",Task_Steps!$H$5:$H$2004,"&lt;&gt;Cancelled"))</f>
        <v/>
      </c>
      <c r="AF264" s="81">
        <f>IF(OR($B264="",$A264=""),"",$B264&amp;" | "&amp;$A264)</f>
        <v/>
      </c>
    </row>
    <row r="265" ht="15" customHeight="1" s="40">
      <c r="A265" s="65">
        <f>IF(COUNTA(B265:F265)=0,"","TSK-"&amp;TEXT(ROW()-4,"0000"))</f>
        <v/>
      </c>
      <c r="B265" s="78" t="n"/>
      <c r="C265" s="78" t="n"/>
      <c r="D265" s="81" t="n"/>
      <c r="E265" s="81" t="n"/>
      <c r="F265" s="78" t="n"/>
      <c r="G265" s="67">
        <f>IF($F265="","",IFERROR(INDEX(Employee_Master!$C$5:$C$204,MATCH($F265,Employee_Master!$B$5:$B$204,0)),""))</f>
        <v/>
      </c>
      <c r="H265" s="78" t="n"/>
      <c r="I265" s="78" t="n"/>
      <c r="J265" s="67">
        <f>IF($I265="","",IFERROR(INDEX(Action_Status_Map!$B$5:$B$11,MATCH($I265,Action_Status_Map!$A$5:$A$11,0)),""))</f>
        <v/>
      </c>
      <c r="K265" s="82" t="n"/>
      <c r="L265" s="82" t="n"/>
      <c r="M265" s="82" t="n"/>
      <c r="N265" s="83" t="n"/>
      <c r="O265" s="83" t="n"/>
      <c r="P265" s="66">
        <f>IF(OR($N265="",$O265=""),"",$O265-$N265)</f>
        <v/>
      </c>
      <c r="Q265" s="84">
        <f>IF($K265="","",IF($M265&lt;&gt;"",$M265-$K265,TODAY()-$K265))</f>
        <v/>
      </c>
      <c r="R265" s="85">
        <f>IF(OR($L265="",$I265="Completed",$I265="Cancelled"),"",IF(AND($L265&lt;TODAY(),$I265&lt;&gt;"Completed",$I265&lt;&gt;"Cancelled"),"Overdue","On Track"))</f>
        <v/>
      </c>
      <c r="S265" s="65">
        <f>IF($L265="","",TEXT($L265,"yyyy-mm"))</f>
        <v/>
      </c>
      <c r="T265" s="86">
        <f>IF($I265="","",IFERROR(INDEX(Action_Status_Map!$C$5:$C$11,MATCH($I265,Action_Status_Map!$A$5:$A$11,0)),""))</f>
        <v/>
      </c>
      <c r="U265" s="81" t="n"/>
      <c r="V265" s="82" t="n"/>
      <c r="W265" s="65">
        <f>IF(OR($I265&lt;&gt;"Completed",$M265="",$L265=""),"",IF($M265&lt;=$L265,"Yes","No"))</f>
        <v/>
      </c>
      <c r="X265" s="84">
        <f>IF($A265="","",COUNTIF(Task_Steps!$B$5:$B$2004,$A265))</f>
        <v/>
      </c>
      <c r="Y265" s="86">
        <f>IF($X265=0,"",COUNTIFS(Task_Steps!$B$5:$B$2004,$A265,Task_Steps!$H$5:$H$2004,"Completed")/$X265)</f>
        <v/>
      </c>
      <c r="Z265" s="81" t="n"/>
      <c r="AA265" s="81" t="n"/>
      <c r="AB265" s="67">
        <f>IF($F265="","",IFERROR(INDEX(Employee_Master!$E$5:$E$204,MATCH($F265,Employee_Master!$B$5:$B$204,0)),""))</f>
        <v/>
      </c>
      <c r="AC265" s="65">
        <f>IF(OR($A265="",$AB265=""),"",IF(OR($I265="Completed",$I265="Cancelled"),"Closed - in Manager Report","Active - in Manager Report"))</f>
        <v/>
      </c>
      <c r="AD265" s="81">
        <f>IF($A265="","",IFERROR(TEXTJOIN(", ",TRUE,FILTER(Task_Steps!$A$5:$A$2004,Task_Steps!$B$5:$B$2004=$A265)),""))</f>
        <v/>
      </c>
      <c r="AE265" s="84">
        <f>IF($A265="","",COUNTIFS(Task_Steps!$B$5:$B$2004,$A265,Task_Steps!$H$5:$H$2004,"&lt;&gt;Completed",Task_Steps!$H$5:$H$2004,"&lt;&gt;Cancelled"))</f>
        <v/>
      </c>
      <c r="AF265" s="81">
        <f>IF(OR($B265="",$A265=""),"",$B265&amp;" | "&amp;$A265)</f>
        <v/>
      </c>
    </row>
    <row r="266" ht="15" customHeight="1" s="40">
      <c r="A266" s="65">
        <f>IF(COUNTA(B266:F266)=0,"","TSK-"&amp;TEXT(ROW()-4,"0000"))</f>
        <v/>
      </c>
      <c r="B266" s="78" t="n"/>
      <c r="C266" s="78" t="n"/>
      <c r="D266" s="81" t="n"/>
      <c r="E266" s="81" t="n"/>
      <c r="F266" s="78" t="n"/>
      <c r="G266" s="67">
        <f>IF($F266="","",IFERROR(INDEX(Employee_Master!$C$5:$C$204,MATCH($F266,Employee_Master!$B$5:$B$204,0)),""))</f>
        <v/>
      </c>
      <c r="H266" s="78" t="n"/>
      <c r="I266" s="78" t="n"/>
      <c r="J266" s="67">
        <f>IF($I266="","",IFERROR(INDEX(Action_Status_Map!$B$5:$B$11,MATCH($I266,Action_Status_Map!$A$5:$A$11,0)),""))</f>
        <v/>
      </c>
      <c r="K266" s="82" t="n"/>
      <c r="L266" s="82" t="n"/>
      <c r="M266" s="82" t="n"/>
      <c r="N266" s="83" t="n"/>
      <c r="O266" s="83" t="n"/>
      <c r="P266" s="66">
        <f>IF(OR($N266="",$O266=""),"",$O266-$N266)</f>
        <v/>
      </c>
      <c r="Q266" s="84">
        <f>IF($K266="","",IF($M266&lt;&gt;"",$M266-$K266,TODAY()-$K266))</f>
        <v/>
      </c>
      <c r="R266" s="85">
        <f>IF(OR($L266="",$I266="Completed",$I266="Cancelled"),"",IF(AND($L266&lt;TODAY(),$I266&lt;&gt;"Completed",$I266&lt;&gt;"Cancelled"),"Overdue","On Track"))</f>
        <v/>
      </c>
      <c r="S266" s="65">
        <f>IF($L266="","",TEXT($L266,"yyyy-mm"))</f>
        <v/>
      </c>
      <c r="T266" s="86">
        <f>IF($I266="","",IFERROR(INDEX(Action_Status_Map!$C$5:$C$11,MATCH($I266,Action_Status_Map!$A$5:$A$11,0)),""))</f>
        <v/>
      </c>
      <c r="U266" s="81" t="n"/>
      <c r="V266" s="82" t="n"/>
      <c r="W266" s="65">
        <f>IF(OR($I266&lt;&gt;"Completed",$M266="",$L266=""),"",IF($M266&lt;=$L266,"Yes","No"))</f>
        <v/>
      </c>
      <c r="X266" s="84">
        <f>IF($A266="","",COUNTIF(Task_Steps!$B$5:$B$2004,$A266))</f>
        <v/>
      </c>
      <c r="Y266" s="86">
        <f>IF($X266=0,"",COUNTIFS(Task_Steps!$B$5:$B$2004,$A266,Task_Steps!$H$5:$H$2004,"Completed")/$X266)</f>
        <v/>
      </c>
      <c r="Z266" s="81" t="n"/>
      <c r="AA266" s="81" t="n"/>
      <c r="AB266" s="67">
        <f>IF($F266="","",IFERROR(INDEX(Employee_Master!$E$5:$E$204,MATCH($F266,Employee_Master!$B$5:$B$204,0)),""))</f>
        <v/>
      </c>
      <c r="AC266" s="65">
        <f>IF(OR($A266="",$AB266=""),"",IF(OR($I266="Completed",$I266="Cancelled"),"Closed - in Manager Report","Active - in Manager Report"))</f>
        <v/>
      </c>
      <c r="AD266" s="81">
        <f>IF($A266="","",IFERROR(TEXTJOIN(", ",TRUE,FILTER(Task_Steps!$A$5:$A$2004,Task_Steps!$B$5:$B$2004=$A266)),""))</f>
        <v/>
      </c>
      <c r="AE266" s="84">
        <f>IF($A266="","",COUNTIFS(Task_Steps!$B$5:$B$2004,$A266,Task_Steps!$H$5:$H$2004,"&lt;&gt;Completed",Task_Steps!$H$5:$H$2004,"&lt;&gt;Cancelled"))</f>
        <v/>
      </c>
      <c r="AF266" s="81">
        <f>IF(OR($B266="",$A266=""),"",$B266&amp;" | "&amp;$A266)</f>
        <v/>
      </c>
    </row>
    <row r="267" ht="15" customHeight="1" s="40">
      <c r="A267" s="65">
        <f>IF(COUNTA(B267:F267)=0,"","TSK-"&amp;TEXT(ROW()-4,"0000"))</f>
        <v/>
      </c>
      <c r="B267" s="78" t="n"/>
      <c r="C267" s="78" t="n"/>
      <c r="D267" s="81" t="n"/>
      <c r="E267" s="81" t="n"/>
      <c r="F267" s="78" t="n"/>
      <c r="G267" s="67">
        <f>IF($F267="","",IFERROR(INDEX(Employee_Master!$C$5:$C$204,MATCH($F267,Employee_Master!$B$5:$B$204,0)),""))</f>
        <v/>
      </c>
      <c r="H267" s="78" t="n"/>
      <c r="I267" s="78" t="n"/>
      <c r="J267" s="67">
        <f>IF($I267="","",IFERROR(INDEX(Action_Status_Map!$B$5:$B$11,MATCH($I267,Action_Status_Map!$A$5:$A$11,0)),""))</f>
        <v/>
      </c>
      <c r="K267" s="82" t="n"/>
      <c r="L267" s="82" t="n"/>
      <c r="M267" s="82" t="n"/>
      <c r="N267" s="83" t="n"/>
      <c r="O267" s="83" t="n"/>
      <c r="P267" s="66">
        <f>IF(OR($N267="",$O267=""),"",$O267-$N267)</f>
        <v/>
      </c>
      <c r="Q267" s="84">
        <f>IF($K267="","",IF($M267&lt;&gt;"",$M267-$K267,TODAY()-$K267))</f>
        <v/>
      </c>
      <c r="R267" s="85">
        <f>IF(OR($L267="",$I267="Completed",$I267="Cancelled"),"",IF(AND($L267&lt;TODAY(),$I267&lt;&gt;"Completed",$I267&lt;&gt;"Cancelled"),"Overdue","On Track"))</f>
        <v/>
      </c>
      <c r="S267" s="65">
        <f>IF($L267="","",TEXT($L267,"yyyy-mm"))</f>
        <v/>
      </c>
      <c r="T267" s="86">
        <f>IF($I267="","",IFERROR(INDEX(Action_Status_Map!$C$5:$C$11,MATCH($I267,Action_Status_Map!$A$5:$A$11,0)),""))</f>
        <v/>
      </c>
      <c r="U267" s="81" t="n"/>
      <c r="V267" s="82" t="n"/>
      <c r="W267" s="65">
        <f>IF(OR($I267&lt;&gt;"Completed",$M267="",$L267=""),"",IF($M267&lt;=$L267,"Yes","No"))</f>
        <v/>
      </c>
      <c r="X267" s="84">
        <f>IF($A267="","",COUNTIF(Task_Steps!$B$5:$B$2004,$A267))</f>
        <v/>
      </c>
      <c r="Y267" s="86">
        <f>IF($X267=0,"",COUNTIFS(Task_Steps!$B$5:$B$2004,$A267,Task_Steps!$H$5:$H$2004,"Completed")/$X267)</f>
        <v/>
      </c>
      <c r="Z267" s="81" t="n"/>
      <c r="AA267" s="81" t="n"/>
      <c r="AB267" s="67">
        <f>IF($F267="","",IFERROR(INDEX(Employee_Master!$E$5:$E$204,MATCH($F267,Employee_Master!$B$5:$B$204,0)),""))</f>
        <v/>
      </c>
      <c r="AC267" s="65">
        <f>IF(OR($A267="",$AB267=""),"",IF(OR($I267="Completed",$I267="Cancelled"),"Closed - in Manager Report","Active - in Manager Report"))</f>
        <v/>
      </c>
      <c r="AD267" s="81">
        <f>IF($A267="","",IFERROR(TEXTJOIN(", ",TRUE,FILTER(Task_Steps!$A$5:$A$2004,Task_Steps!$B$5:$B$2004=$A267)),""))</f>
        <v/>
      </c>
      <c r="AE267" s="84">
        <f>IF($A267="","",COUNTIFS(Task_Steps!$B$5:$B$2004,$A267,Task_Steps!$H$5:$H$2004,"&lt;&gt;Completed",Task_Steps!$H$5:$H$2004,"&lt;&gt;Cancelled"))</f>
        <v/>
      </c>
      <c r="AF267" s="81">
        <f>IF(OR($B267="",$A267=""),"",$B267&amp;" | "&amp;$A267)</f>
        <v/>
      </c>
    </row>
    <row r="268" ht="15" customHeight="1" s="40">
      <c r="A268" s="65">
        <f>IF(COUNTA(B268:F268)=0,"","TSK-"&amp;TEXT(ROW()-4,"0000"))</f>
        <v/>
      </c>
      <c r="B268" s="78" t="n"/>
      <c r="C268" s="78" t="n"/>
      <c r="D268" s="81" t="n"/>
      <c r="E268" s="81" t="n"/>
      <c r="F268" s="78" t="n"/>
      <c r="G268" s="67">
        <f>IF($F268="","",IFERROR(INDEX(Employee_Master!$C$5:$C$204,MATCH($F268,Employee_Master!$B$5:$B$204,0)),""))</f>
        <v/>
      </c>
      <c r="H268" s="78" t="n"/>
      <c r="I268" s="78" t="n"/>
      <c r="J268" s="67">
        <f>IF($I268="","",IFERROR(INDEX(Action_Status_Map!$B$5:$B$11,MATCH($I268,Action_Status_Map!$A$5:$A$11,0)),""))</f>
        <v/>
      </c>
      <c r="K268" s="82" t="n"/>
      <c r="L268" s="82" t="n"/>
      <c r="M268" s="82" t="n"/>
      <c r="N268" s="83" t="n"/>
      <c r="O268" s="83" t="n"/>
      <c r="P268" s="66">
        <f>IF(OR($N268="",$O268=""),"",$O268-$N268)</f>
        <v/>
      </c>
      <c r="Q268" s="84">
        <f>IF($K268="","",IF($M268&lt;&gt;"",$M268-$K268,TODAY()-$K268))</f>
        <v/>
      </c>
      <c r="R268" s="85">
        <f>IF(OR($L268="",$I268="Completed",$I268="Cancelled"),"",IF(AND($L268&lt;TODAY(),$I268&lt;&gt;"Completed",$I268&lt;&gt;"Cancelled"),"Overdue","On Track"))</f>
        <v/>
      </c>
      <c r="S268" s="65">
        <f>IF($L268="","",TEXT($L268,"yyyy-mm"))</f>
        <v/>
      </c>
      <c r="T268" s="86">
        <f>IF($I268="","",IFERROR(INDEX(Action_Status_Map!$C$5:$C$11,MATCH($I268,Action_Status_Map!$A$5:$A$11,0)),""))</f>
        <v/>
      </c>
      <c r="U268" s="81" t="n"/>
      <c r="V268" s="82" t="n"/>
      <c r="W268" s="65">
        <f>IF(OR($I268&lt;&gt;"Completed",$M268="",$L268=""),"",IF($M268&lt;=$L268,"Yes","No"))</f>
        <v/>
      </c>
      <c r="X268" s="84">
        <f>IF($A268="","",COUNTIF(Task_Steps!$B$5:$B$2004,$A268))</f>
        <v/>
      </c>
      <c r="Y268" s="86">
        <f>IF($X268=0,"",COUNTIFS(Task_Steps!$B$5:$B$2004,$A268,Task_Steps!$H$5:$H$2004,"Completed")/$X268)</f>
        <v/>
      </c>
      <c r="Z268" s="81" t="n"/>
      <c r="AA268" s="81" t="n"/>
      <c r="AB268" s="67">
        <f>IF($F268="","",IFERROR(INDEX(Employee_Master!$E$5:$E$204,MATCH($F268,Employee_Master!$B$5:$B$204,0)),""))</f>
        <v/>
      </c>
      <c r="AC268" s="65">
        <f>IF(OR($A268="",$AB268=""),"",IF(OR($I268="Completed",$I268="Cancelled"),"Closed - in Manager Report","Active - in Manager Report"))</f>
        <v/>
      </c>
      <c r="AD268" s="81">
        <f>IF($A268="","",IFERROR(TEXTJOIN(", ",TRUE,FILTER(Task_Steps!$A$5:$A$2004,Task_Steps!$B$5:$B$2004=$A268)),""))</f>
        <v/>
      </c>
      <c r="AE268" s="84">
        <f>IF($A268="","",COUNTIFS(Task_Steps!$B$5:$B$2004,$A268,Task_Steps!$H$5:$H$2004,"&lt;&gt;Completed",Task_Steps!$H$5:$H$2004,"&lt;&gt;Cancelled"))</f>
        <v/>
      </c>
      <c r="AF268" s="81">
        <f>IF(OR($B268="",$A268=""),"",$B268&amp;" | "&amp;$A268)</f>
        <v/>
      </c>
    </row>
    <row r="269" ht="15" customHeight="1" s="40">
      <c r="A269" s="65">
        <f>IF(COUNTA(B269:F269)=0,"","TSK-"&amp;TEXT(ROW()-4,"0000"))</f>
        <v/>
      </c>
      <c r="B269" s="78" t="n"/>
      <c r="C269" s="78" t="n"/>
      <c r="D269" s="81" t="n"/>
      <c r="E269" s="81" t="n"/>
      <c r="F269" s="78" t="n"/>
      <c r="G269" s="67">
        <f>IF($F269="","",IFERROR(INDEX(Employee_Master!$C$5:$C$204,MATCH($F269,Employee_Master!$B$5:$B$204,0)),""))</f>
        <v/>
      </c>
      <c r="H269" s="78" t="n"/>
      <c r="I269" s="78" t="n"/>
      <c r="J269" s="67">
        <f>IF($I269="","",IFERROR(INDEX(Action_Status_Map!$B$5:$B$11,MATCH($I269,Action_Status_Map!$A$5:$A$11,0)),""))</f>
        <v/>
      </c>
      <c r="K269" s="82" t="n"/>
      <c r="L269" s="82" t="n"/>
      <c r="M269" s="82" t="n"/>
      <c r="N269" s="83" t="n"/>
      <c r="O269" s="83" t="n"/>
      <c r="P269" s="66">
        <f>IF(OR($N269="",$O269=""),"",$O269-$N269)</f>
        <v/>
      </c>
      <c r="Q269" s="84">
        <f>IF($K269="","",IF($M269&lt;&gt;"",$M269-$K269,TODAY()-$K269))</f>
        <v/>
      </c>
      <c r="R269" s="85">
        <f>IF(OR($L269="",$I269="Completed",$I269="Cancelled"),"",IF(AND($L269&lt;TODAY(),$I269&lt;&gt;"Completed",$I269&lt;&gt;"Cancelled"),"Overdue","On Track"))</f>
        <v/>
      </c>
      <c r="S269" s="65">
        <f>IF($L269="","",TEXT($L269,"yyyy-mm"))</f>
        <v/>
      </c>
      <c r="T269" s="86">
        <f>IF($I269="","",IFERROR(INDEX(Action_Status_Map!$C$5:$C$11,MATCH($I269,Action_Status_Map!$A$5:$A$11,0)),""))</f>
        <v/>
      </c>
      <c r="U269" s="81" t="n"/>
      <c r="V269" s="82" t="n"/>
      <c r="W269" s="65">
        <f>IF(OR($I269&lt;&gt;"Completed",$M269="",$L269=""),"",IF($M269&lt;=$L269,"Yes","No"))</f>
        <v/>
      </c>
      <c r="X269" s="84">
        <f>IF($A269="","",COUNTIF(Task_Steps!$B$5:$B$2004,$A269))</f>
        <v/>
      </c>
      <c r="Y269" s="86">
        <f>IF($X269=0,"",COUNTIFS(Task_Steps!$B$5:$B$2004,$A269,Task_Steps!$H$5:$H$2004,"Completed")/$X269)</f>
        <v/>
      </c>
      <c r="Z269" s="81" t="n"/>
      <c r="AA269" s="81" t="n"/>
      <c r="AB269" s="67">
        <f>IF($F269="","",IFERROR(INDEX(Employee_Master!$E$5:$E$204,MATCH($F269,Employee_Master!$B$5:$B$204,0)),""))</f>
        <v/>
      </c>
      <c r="AC269" s="65">
        <f>IF(OR($A269="",$AB269=""),"",IF(OR($I269="Completed",$I269="Cancelled"),"Closed - in Manager Report","Active - in Manager Report"))</f>
        <v/>
      </c>
      <c r="AD269" s="81">
        <f>IF($A269="","",IFERROR(TEXTJOIN(", ",TRUE,FILTER(Task_Steps!$A$5:$A$2004,Task_Steps!$B$5:$B$2004=$A269)),""))</f>
        <v/>
      </c>
      <c r="AE269" s="84">
        <f>IF($A269="","",COUNTIFS(Task_Steps!$B$5:$B$2004,$A269,Task_Steps!$H$5:$H$2004,"&lt;&gt;Completed",Task_Steps!$H$5:$H$2004,"&lt;&gt;Cancelled"))</f>
        <v/>
      </c>
      <c r="AF269" s="81">
        <f>IF(OR($B269="",$A269=""),"",$B269&amp;" | "&amp;$A269)</f>
        <v/>
      </c>
    </row>
    <row r="270" ht="15" customHeight="1" s="40">
      <c r="A270" s="65">
        <f>IF(COUNTA(B270:F270)=0,"","TSK-"&amp;TEXT(ROW()-4,"0000"))</f>
        <v/>
      </c>
      <c r="B270" s="78" t="n"/>
      <c r="C270" s="78" t="n"/>
      <c r="D270" s="81" t="n"/>
      <c r="E270" s="81" t="n"/>
      <c r="F270" s="78" t="n"/>
      <c r="G270" s="67">
        <f>IF($F270="","",IFERROR(INDEX(Employee_Master!$C$5:$C$204,MATCH($F270,Employee_Master!$B$5:$B$204,0)),""))</f>
        <v/>
      </c>
      <c r="H270" s="78" t="n"/>
      <c r="I270" s="78" t="n"/>
      <c r="J270" s="67">
        <f>IF($I270="","",IFERROR(INDEX(Action_Status_Map!$B$5:$B$11,MATCH($I270,Action_Status_Map!$A$5:$A$11,0)),""))</f>
        <v/>
      </c>
      <c r="K270" s="82" t="n"/>
      <c r="L270" s="82" t="n"/>
      <c r="M270" s="82" t="n"/>
      <c r="N270" s="83" t="n"/>
      <c r="O270" s="83" t="n"/>
      <c r="P270" s="66">
        <f>IF(OR($N270="",$O270=""),"",$O270-$N270)</f>
        <v/>
      </c>
      <c r="Q270" s="84">
        <f>IF($K270="","",IF($M270&lt;&gt;"",$M270-$K270,TODAY()-$K270))</f>
        <v/>
      </c>
      <c r="R270" s="85">
        <f>IF(OR($L270="",$I270="Completed",$I270="Cancelled"),"",IF(AND($L270&lt;TODAY(),$I270&lt;&gt;"Completed",$I270&lt;&gt;"Cancelled"),"Overdue","On Track"))</f>
        <v/>
      </c>
      <c r="S270" s="65">
        <f>IF($L270="","",TEXT($L270,"yyyy-mm"))</f>
        <v/>
      </c>
      <c r="T270" s="86">
        <f>IF($I270="","",IFERROR(INDEX(Action_Status_Map!$C$5:$C$11,MATCH($I270,Action_Status_Map!$A$5:$A$11,0)),""))</f>
        <v/>
      </c>
      <c r="U270" s="81" t="n"/>
      <c r="V270" s="82" t="n"/>
      <c r="W270" s="65">
        <f>IF(OR($I270&lt;&gt;"Completed",$M270="",$L270=""),"",IF($M270&lt;=$L270,"Yes","No"))</f>
        <v/>
      </c>
      <c r="X270" s="84">
        <f>IF($A270="","",COUNTIF(Task_Steps!$B$5:$B$2004,$A270))</f>
        <v/>
      </c>
      <c r="Y270" s="86">
        <f>IF($X270=0,"",COUNTIFS(Task_Steps!$B$5:$B$2004,$A270,Task_Steps!$H$5:$H$2004,"Completed")/$X270)</f>
        <v/>
      </c>
      <c r="Z270" s="81" t="n"/>
      <c r="AA270" s="81" t="n"/>
      <c r="AB270" s="67">
        <f>IF($F270="","",IFERROR(INDEX(Employee_Master!$E$5:$E$204,MATCH($F270,Employee_Master!$B$5:$B$204,0)),""))</f>
        <v/>
      </c>
      <c r="AC270" s="65">
        <f>IF(OR($A270="",$AB270=""),"",IF(OR($I270="Completed",$I270="Cancelled"),"Closed - in Manager Report","Active - in Manager Report"))</f>
        <v/>
      </c>
      <c r="AD270" s="81">
        <f>IF($A270="","",IFERROR(TEXTJOIN(", ",TRUE,FILTER(Task_Steps!$A$5:$A$2004,Task_Steps!$B$5:$B$2004=$A270)),""))</f>
        <v/>
      </c>
      <c r="AE270" s="84">
        <f>IF($A270="","",COUNTIFS(Task_Steps!$B$5:$B$2004,$A270,Task_Steps!$H$5:$H$2004,"&lt;&gt;Completed",Task_Steps!$H$5:$H$2004,"&lt;&gt;Cancelled"))</f>
        <v/>
      </c>
      <c r="AF270" s="81">
        <f>IF(OR($B270="",$A270=""),"",$B270&amp;" | "&amp;$A270)</f>
        <v/>
      </c>
    </row>
    <row r="271" ht="15" customHeight="1" s="40">
      <c r="A271" s="65">
        <f>IF(COUNTA(B271:F271)=0,"","TSK-"&amp;TEXT(ROW()-4,"0000"))</f>
        <v/>
      </c>
      <c r="B271" s="78" t="n"/>
      <c r="C271" s="78" t="n"/>
      <c r="D271" s="81" t="n"/>
      <c r="E271" s="81" t="n"/>
      <c r="F271" s="78" t="n"/>
      <c r="G271" s="67">
        <f>IF($F271="","",IFERROR(INDEX(Employee_Master!$C$5:$C$204,MATCH($F271,Employee_Master!$B$5:$B$204,0)),""))</f>
        <v/>
      </c>
      <c r="H271" s="78" t="n"/>
      <c r="I271" s="78" t="n"/>
      <c r="J271" s="67">
        <f>IF($I271="","",IFERROR(INDEX(Action_Status_Map!$B$5:$B$11,MATCH($I271,Action_Status_Map!$A$5:$A$11,0)),""))</f>
        <v/>
      </c>
      <c r="K271" s="82" t="n"/>
      <c r="L271" s="82" t="n"/>
      <c r="M271" s="82" t="n"/>
      <c r="N271" s="83" t="n"/>
      <c r="O271" s="83" t="n"/>
      <c r="P271" s="66">
        <f>IF(OR($N271="",$O271=""),"",$O271-$N271)</f>
        <v/>
      </c>
      <c r="Q271" s="84">
        <f>IF($K271="","",IF($M271&lt;&gt;"",$M271-$K271,TODAY()-$K271))</f>
        <v/>
      </c>
      <c r="R271" s="85">
        <f>IF(OR($L271="",$I271="Completed",$I271="Cancelled"),"",IF(AND($L271&lt;TODAY(),$I271&lt;&gt;"Completed",$I271&lt;&gt;"Cancelled"),"Overdue","On Track"))</f>
        <v/>
      </c>
      <c r="S271" s="65">
        <f>IF($L271="","",TEXT($L271,"yyyy-mm"))</f>
        <v/>
      </c>
      <c r="T271" s="86">
        <f>IF($I271="","",IFERROR(INDEX(Action_Status_Map!$C$5:$C$11,MATCH($I271,Action_Status_Map!$A$5:$A$11,0)),""))</f>
        <v/>
      </c>
      <c r="U271" s="81" t="n"/>
      <c r="V271" s="82" t="n"/>
      <c r="W271" s="65">
        <f>IF(OR($I271&lt;&gt;"Completed",$M271="",$L271=""),"",IF($M271&lt;=$L271,"Yes","No"))</f>
        <v/>
      </c>
      <c r="X271" s="84">
        <f>IF($A271="","",COUNTIF(Task_Steps!$B$5:$B$2004,$A271))</f>
        <v/>
      </c>
      <c r="Y271" s="86">
        <f>IF($X271=0,"",COUNTIFS(Task_Steps!$B$5:$B$2004,$A271,Task_Steps!$H$5:$H$2004,"Completed")/$X271)</f>
        <v/>
      </c>
      <c r="Z271" s="81" t="n"/>
      <c r="AA271" s="81" t="n"/>
      <c r="AB271" s="67">
        <f>IF($F271="","",IFERROR(INDEX(Employee_Master!$E$5:$E$204,MATCH($F271,Employee_Master!$B$5:$B$204,0)),""))</f>
        <v/>
      </c>
      <c r="AC271" s="65">
        <f>IF(OR($A271="",$AB271=""),"",IF(OR($I271="Completed",$I271="Cancelled"),"Closed - in Manager Report","Active - in Manager Report"))</f>
        <v/>
      </c>
      <c r="AD271" s="81">
        <f>IF($A271="","",IFERROR(TEXTJOIN(", ",TRUE,FILTER(Task_Steps!$A$5:$A$2004,Task_Steps!$B$5:$B$2004=$A271)),""))</f>
        <v/>
      </c>
      <c r="AE271" s="84">
        <f>IF($A271="","",COUNTIFS(Task_Steps!$B$5:$B$2004,$A271,Task_Steps!$H$5:$H$2004,"&lt;&gt;Completed",Task_Steps!$H$5:$H$2004,"&lt;&gt;Cancelled"))</f>
        <v/>
      </c>
      <c r="AF271" s="81">
        <f>IF(OR($B271="",$A271=""),"",$B271&amp;" | "&amp;$A271)</f>
        <v/>
      </c>
    </row>
    <row r="272" ht="15" customHeight="1" s="40">
      <c r="A272" s="65">
        <f>IF(COUNTA(B272:F272)=0,"","TSK-"&amp;TEXT(ROW()-4,"0000"))</f>
        <v/>
      </c>
      <c r="B272" s="78" t="n"/>
      <c r="C272" s="78" t="n"/>
      <c r="D272" s="81" t="n"/>
      <c r="E272" s="81" t="n"/>
      <c r="F272" s="78" t="n"/>
      <c r="G272" s="67">
        <f>IF($F272="","",IFERROR(INDEX(Employee_Master!$C$5:$C$204,MATCH($F272,Employee_Master!$B$5:$B$204,0)),""))</f>
        <v/>
      </c>
      <c r="H272" s="78" t="n"/>
      <c r="I272" s="78" t="n"/>
      <c r="J272" s="67">
        <f>IF($I272="","",IFERROR(INDEX(Action_Status_Map!$B$5:$B$11,MATCH($I272,Action_Status_Map!$A$5:$A$11,0)),""))</f>
        <v/>
      </c>
      <c r="K272" s="82" t="n"/>
      <c r="L272" s="82" t="n"/>
      <c r="M272" s="82" t="n"/>
      <c r="N272" s="83" t="n"/>
      <c r="O272" s="83" t="n"/>
      <c r="P272" s="66">
        <f>IF(OR($N272="",$O272=""),"",$O272-$N272)</f>
        <v/>
      </c>
      <c r="Q272" s="84">
        <f>IF($K272="","",IF($M272&lt;&gt;"",$M272-$K272,TODAY()-$K272))</f>
        <v/>
      </c>
      <c r="R272" s="85">
        <f>IF(OR($L272="",$I272="Completed",$I272="Cancelled"),"",IF(AND($L272&lt;TODAY(),$I272&lt;&gt;"Completed",$I272&lt;&gt;"Cancelled"),"Overdue","On Track"))</f>
        <v/>
      </c>
      <c r="S272" s="65">
        <f>IF($L272="","",TEXT($L272,"yyyy-mm"))</f>
        <v/>
      </c>
      <c r="T272" s="86">
        <f>IF($I272="","",IFERROR(INDEX(Action_Status_Map!$C$5:$C$11,MATCH($I272,Action_Status_Map!$A$5:$A$11,0)),""))</f>
        <v/>
      </c>
      <c r="U272" s="81" t="n"/>
      <c r="V272" s="82" t="n"/>
      <c r="W272" s="65">
        <f>IF(OR($I272&lt;&gt;"Completed",$M272="",$L272=""),"",IF($M272&lt;=$L272,"Yes","No"))</f>
        <v/>
      </c>
      <c r="X272" s="84">
        <f>IF($A272="","",COUNTIF(Task_Steps!$B$5:$B$2004,$A272))</f>
        <v/>
      </c>
      <c r="Y272" s="86">
        <f>IF($X272=0,"",COUNTIFS(Task_Steps!$B$5:$B$2004,$A272,Task_Steps!$H$5:$H$2004,"Completed")/$X272)</f>
        <v/>
      </c>
      <c r="Z272" s="81" t="n"/>
      <c r="AA272" s="81" t="n"/>
      <c r="AB272" s="67">
        <f>IF($F272="","",IFERROR(INDEX(Employee_Master!$E$5:$E$204,MATCH($F272,Employee_Master!$B$5:$B$204,0)),""))</f>
        <v/>
      </c>
      <c r="AC272" s="65">
        <f>IF(OR($A272="",$AB272=""),"",IF(OR($I272="Completed",$I272="Cancelled"),"Closed - in Manager Report","Active - in Manager Report"))</f>
        <v/>
      </c>
      <c r="AD272" s="81">
        <f>IF($A272="","",IFERROR(TEXTJOIN(", ",TRUE,FILTER(Task_Steps!$A$5:$A$2004,Task_Steps!$B$5:$B$2004=$A272)),""))</f>
        <v/>
      </c>
      <c r="AE272" s="84">
        <f>IF($A272="","",COUNTIFS(Task_Steps!$B$5:$B$2004,$A272,Task_Steps!$H$5:$H$2004,"&lt;&gt;Completed",Task_Steps!$H$5:$H$2004,"&lt;&gt;Cancelled"))</f>
        <v/>
      </c>
      <c r="AF272" s="81">
        <f>IF(OR($B272="",$A272=""),"",$B272&amp;" | "&amp;$A272)</f>
        <v/>
      </c>
    </row>
    <row r="273" ht="15" customHeight="1" s="40">
      <c r="A273" s="65">
        <f>IF(COUNTA(B273:F273)=0,"","TSK-"&amp;TEXT(ROW()-4,"0000"))</f>
        <v/>
      </c>
      <c r="B273" s="78" t="n"/>
      <c r="C273" s="78" t="n"/>
      <c r="D273" s="81" t="n"/>
      <c r="E273" s="81" t="n"/>
      <c r="F273" s="78" t="n"/>
      <c r="G273" s="67">
        <f>IF($F273="","",IFERROR(INDEX(Employee_Master!$C$5:$C$204,MATCH($F273,Employee_Master!$B$5:$B$204,0)),""))</f>
        <v/>
      </c>
      <c r="H273" s="78" t="n"/>
      <c r="I273" s="78" t="n"/>
      <c r="J273" s="67">
        <f>IF($I273="","",IFERROR(INDEX(Action_Status_Map!$B$5:$B$11,MATCH($I273,Action_Status_Map!$A$5:$A$11,0)),""))</f>
        <v/>
      </c>
      <c r="K273" s="82" t="n"/>
      <c r="L273" s="82" t="n"/>
      <c r="M273" s="82" t="n"/>
      <c r="N273" s="83" t="n"/>
      <c r="O273" s="83" t="n"/>
      <c r="P273" s="66">
        <f>IF(OR($N273="",$O273=""),"",$O273-$N273)</f>
        <v/>
      </c>
      <c r="Q273" s="84">
        <f>IF($K273="","",IF($M273&lt;&gt;"",$M273-$K273,TODAY()-$K273))</f>
        <v/>
      </c>
      <c r="R273" s="85">
        <f>IF(OR($L273="",$I273="Completed",$I273="Cancelled"),"",IF(AND($L273&lt;TODAY(),$I273&lt;&gt;"Completed",$I273&lt;&gt;"Cancelled"),"Overdue","On Track"))</f>
        <v/>
      </c>
      <c r="S273" s="65">
        <f>IF($L273="","",TEXT($L273,"yyyy-mm"))</f>
        <v/>
      </c>
      <c r="T273" s="86">
        <f>IF($I273="","",IFERROR(INDEX(Action_Status_Map!$C$5:$C$11,MATCH($I273,Action_Status_Map!$A$5:$A$11,0)),""))</f>
        <v/>
      </c>
      <c r="U273" s="81" t="n"/>
      <c r="V273" s="82" t="n"/>
      <c r="W273" s="65">
        <f>IF(OR($I273&lt;&gt;"Completed",$M273="",$L273=""),"",IF($M273&lt;=$L273,"Yes","No"))</f>
        <v/>
      </c>
      <c r="X273" s="84">
        <f>IF($A273="","",COUNTIF(Task_Steps!$B$5:$B$2004,$A273))</f>
        <v/>
      </c>
      <c r="Y273" s="86">
        <f>IF($X273=0,"",COUNTIFS(Task_Steps!$B$5:$B$2004,$A273,Task_Steps!$H$5:$H$2004,"Completed")/$X273)</f>
        <v/>
      </c>
      <c r="Z273" s="81" t="n"/>
      <c r="AA273" s="81" t="n"/>
      <c r="AB273" s="67">
        <f>IF($F273="","",IFERROR(INDEX(Employee_Master!$E$5:$E$204,MATCH($F273,Employee_Master!$B$5:$B$204,0)),""))</f>
        <v/>
      </c>
      <c r="AC273" s="65">
        <f>IF(OR($A273="",$AB273=""),"",IF(OR($I273="Completed",$I273="Cancelled"),"Closed - in Manager Report","Active - in Manager Report"))</f>
        <v/>
      </c>
      <c r="AD273" s="81">
        <f>IF($A273="","",IFERROR(TEXTJOIN(", ",TRUE,FILTER(Task_Steps!$A$5:$A$2004,Task_Steps!$B$5:$B$2004=$A273)),""))</f>
        <v/>
      </c>
      <c r="AE273" s="84">
        <f>IF($A273="","",COUNTIFS(Task_Steps!$B$5:$B$2004,$A273,Task_Steps!$H$5:$H$2004,"&lt;&gt;Completed",Task_Steps!$H$5:$H$2004,"&lt;&gt;Cancelled"))</f>
        <v/>
      </c>
      <c r="AF273" s="81">
        <f>IF(OR($B273="",$A273=""),"",$B273&amp;" | "&amp;$A273)</f>
        <v/>
      </c>
    </row>
    <row r="274" ht="15" customHeight="1" s="40">
      <c r="A274" s="65">
        <f>IF(COUNTA(B274:F274)=0,"","TSK-"&amp;TEXT(ROW()-4,"0000"))</f>
        <v/>
      </c>
      <c r="B274" s="78" t="n"/>
      <c r="C274" s="78" t="n"/>
      <c r="D274" s="81" t="n"/>
      <c r="E274" s="81" t="n"/>
      <c r="F274" s="78" t="n"/>
      <c r="G274" s="67">
        <f>IF($F274="","",IFERROR(INDEX(Employee_Master!$C$5:$C$204,MATCH($F274,Employee_Master!$B$5:$B$204,0)),""))</f>
        <v/>
      </c>
      <c r="H274" s="78" t="n"/>
      <c r="I274" s="78" t="n"/>
      <c r="J274" s="67">
        <f>IF($I274="","",IFERROR(INDEX(Action_Status_Map!$B$5:$B$11,MATCH($I274,Action_Status_Map!$A$5:$A$11,0)),""))</f>
        <v/>
      </c>
      <c r="K274" s="82" t="n"/>
      <c r="L274" s="82" t="n"/>
      <c r="M274" s="82" t="n"/>
      <c r="N274" s="83" t="n"/>
      <c r="O274" s="83" t="n"/>
      <c r="P274" s="66">
        <f>IF(OR($N274="",$O274=""),"",$O274-$N274)</f>
        <v/>
      </c>
      <c r="Q274" s="84">
        <f>IF($K274="","",IF($M274&lt;&gt;"",$M274-$K274,TODAY()-$K274))</f>
        <v/>
      </c>
      <c r="R274" s="85">
        <f>IF(OR($L274="",$I274="Completed",$I274="Cancelled"),"",IF(AND($L274&lt;TODAY(),$I274&lt;&gt;"Completed",$I274&lt;&gt;"Cancelled"),"Overdue","On Track"))</f>
        <v/>
      </c>
      <c r="S274" s="65">
        <f>IF($L274="","",TEXT($L274,"yyyy-mm"))</f>
        <v/>
      </c>
      <c r="T274" s="86">
        <f>IF($I274="","",IFERROR(INDEX(Action_Status_Map!$C$5:$C$11,MATCH($I274,Action_Status_Map!$A$5:$A$11,0)),""))</f>
        <v/>
      </c>
      <c r="U274" s="81" t="n"/>
      <c r="V274" s="82" t="n"/>
      <c r="W274" s="65">
        <f>IF(OR($I274&lt;&gt;"Completed",$M274="",$L274=""),"",IF($M274&lt;=$L274,"Yes","No"))</f>
        <v/>
      </c>
      <c r="X274" s="84">
        <f>IF($A274="","",COUNTIF(Task_Steps!$B$5:$B$2004,$A274))</f>
        <v/>
      </c>
      <c r="Y274" s="86">
        <f>IF($X274=0,"",COUNTIFS(Task_Steps!$B$5:$B$2004,$A274,Task_Steps!$H$5:$H$2004,"Completed")/$X274)</f>
        <v/>
      </c>
      <c r="Z274" s="81" t="n"/>
      <c r="AA274" s="81" t="n"/>
      <c r="AB274" s="67">
        <f>IF($F274="","",IFERROR(INDEX(Employee_Master!$E$5:$E$204,MATCH($F274,Employee_Master!$B$5:$B$204,0)),""))</f>
        <v/>
      </c>
      <c r="AC274" s="65">
        <f>IF(OR($A274="",$AB274=""),"",IF(OR($I274="Completed",$I274="Cancelled"),"Closed - in Manager Report","Active - in Manager Report"))</f>
        <v/>
      </c>
      <c r="AD274" s="81">
        <f>IF($A274="","",IFERROR(TEXTJOIN(", ",TRUE,FILTER(Task_Steps!$A$5:$A$2004,Task_Steps!$B$5:$B$2004=$A274)),""))</f>
        <v/>
      </c>
      <c r="AE274" s="84">
        <f>IF($A274="","",COUNTIFS(Task_Steps!$B$5:$B$2004,$A274,Task_Steps!$H$5:$H$2004,"&lt;&gt;Completed",Task_Steps!$H$5:$H$2004,"&lt;&gt;Cancelled"))</f>
        <v/>
      </c>
      <c r="AF274" s="81">
        <f>IF(OR($B274="",$A274=""),"",$B274&amp;" | "&amp;$A274)</f>
        <v/>
      </c>
    </row>
    <row r="275" ht="15" customHeight="1" s="40">
      <c r="A275" s="65">
        <f>IF(COUNTA(B275:F275)=0,"","TSK-"&amp;TEXT(ROW()-4,"0000"))</f>
        <v/>
      </c>
      <c r="B275" s="78" t="n"/>
      <c r="C275" s="78" t="n"/>
      <c r="D275" s="81" t="n"/>
      <c r="E275" s="81" t="n"/>
      <c r="F275" s="78" t="n"/>
      <c r="G275" s="67">
        <f>IF($F275="","",IFERROR(INDEX(Employee_Master!$C$5:$C$204,MATCH($F275,Employee_Master!$B$5:$B$204,0)),""))</f>
        <v/>
      </c>
      <c r="H275" s="78" t="n"/>
      <c r="I275" s="78" t="n"/>
      <c r="J275" s="67">
        <f>IF($I275="","",IFERROR(INDEX(Action_Status_Map!$B$5:$B$11,MATCH($I275,Action_Status_Map!$A$5:$A$11,0)),""))</f>
        <v/>
      </c>
      <c r="K275" s="82" t="n"/>
      <c r="L275" s="82" t="n"/>
      <c r="M275" s="82" t="n"/>
      <c r="N275" s="83" t="n"/>
      <c r="O275" s="83" t="n"/>
      <c r="P275" s="66">
        <f>IF(OR($N275="",$O275=""),"",$O275-$N275)</f>
        <v/>
      </c>
      <c r="Q275" s="84">
        <f>IF($K275="","",IF($M275&lt;&gt;"",$M275-$K275,TODAY()-$K275))</f>
        <v/>
      </c>
      <c r="R275" s="85">
        <f>IF(OR($L275="",$I275="Completed",$I275="Cancelled"),"",IF(AND($L275&lt;TODAY(),$I275&lt;&gt;"Completed",$I275&lt;&gt;"Cancelled"),"Overdue","On Track"))</f>
        <v/>
      </c>
      <c r="S275" s="65">
        <f>IF($L275="","",TEXT($L275,"yyyy-mm"))</f>
        <v/>
      </c>
      <c r="T275" s="86">
        <f>IF($I275="","",IFERROR(INDEX(Action_Status_Map!$C$5:$C$11,MATCH($I275,Action_Status_Map!$A$5:$A$11,0)),""))</f>
        <v/>
      </c>
      <c r="U275" s="81" t="n"/>
      <c r="V275" s="82" t="n"/>
      <c r="W275" s="65">
        <f>IF(OR($I275&lt;&gt;"Completed",$M275="",$L275=""),"",IF($M275&lt;=$L275,"Yes","No"))</f>
        <v/>
      </c>
      <c r="X275" s="84">
        <f>IF($A275="","",COUNTIF(Task_Steps!$B$5:$B$2004,$A275))</f>
        <v/>
      </c>
      <c r="Y275" s="86">
        <f>IF($X275=0,"",COUNTIFS(Task_Steps!$B$5:$B$2004,$A275,Task_Steps!$H$5:$H$2004,"Completed")/$X275)</f>
        <v/>
      </c>
      <c r="Z275" s="81" t="n"/>
      <c r="AA275" s="81" t="n"/>
      <c r="AB275" s="67">
        <f>IF($F275="","",IFERROR(INDEX(Employee_Master!$E$5:$E$204,MATCH($F275,Employee_Master!$B$5:$B$204,0)),""))</f>
        <v/>
      </c>
      <c r="AC275" s="65">
        <f>IF(OR($A275="",$AB275=""),"",IF(OR($I275="Completed",$I275="Cancelled"),"Closed - in Manager Report","Active - in Manager Report"))</f>
        <v/>
      </c>
      <c r="AD275" s="81">
        <f>IF($A275="","",IFERROR(TEXTJOIN(", ",TRUE,FILTER(Task_Steps!$A$5:$A$2004,Task_Steps!$B$5:$B$2004=$A275)),""))</f>
        <v/>
      </c>
      <c r="AE275" s="84">
        <f>IF($A275="","",COUNTIFS(Task_Steps!$B$5:$B$2004,$A275,Task_Steps!$H$5:$H$2004,"&lt;&gt;Completed",Task_Steps!$H$5:$H$2004,"&lt;&gt;Cancelled"))</f>
        <v/>
      </c>
      <c r="AF275" s="81">
        <f>IF(OR($B275="",$A275=""),"",$B275&amp;" | "&amp;$A275)</f>
        <v/>
      </c>
    </row>
    <row r="276" ht="15" customHeight="1" s="40">
      <c r="A276" s="65">
        <f>IF(COUNTA(B276:F276)=0,"","TSK-"&amp;TEXT(ROW()-4,"0000"))</f>
        <v/>
      </c>
      <c r="B276" s="78" t="n"/>
      <c r="C276" s="78" t="n"/>
      <c r="D276" s="81" t="n"/>
      <c r="E276" s="81" t="n"/>
      <c r="F276" s="78" t="n"/>
      <c r="G276" s="67">
        <f>IF($F276="","",IFERROR(INDEX(Employee_Master!$C$5:$C$204,MATCH($F276,Employee_Master!$B$5:$B$204,0)),""))</f>
        <v/>
      </c>
      <c r="H276" s="78" t="n"/>
      <c r="I276" s="78" t="n"/>
      <c r="J276" s="67">
        <f>IF($I276="","",IFERROR(INDEX(Action_Status_Map!$B$5:$B$11,MATCH($I276,Action_Status_Map!$A$5:$A$11,0)),""))</f>
        <v/>
      </c>
      <c r="K276" s="82" t="n"/>
      <c r="L276" s="82" t="n"/>
      <c r="M276" s="82" t="n"/>
      <c r="N276" s="83" t="n"/>
      <c r="O276" s="83" t="n"/>
      <c r="P276" s="66">
        <f>IF(OR($N276="",$O276=""),"",$O276-$N276)</f>
        <v/>
      </c>
      <c r="Q276" s="84">
        <f>IF($K276="","",IF($M276&lt;&gt;"",$M276-$K276,TODAY()-$K276))</f>
        <v/>
      </c>
      <c r="R276" s="85">
        <f>IF(OR($L276="",$I276="Completed",$I276="Cancelled"),"",IF(AND($L276&lt;TODAY(),$I276&lt;&gt;"Completed",$I276&lt;&gt;"Cancelled"),"Overdue","On Track"))</f>
        <v/>
      </c>
      <c r="S276" s="65">
        <f>IF($L276="","",TEXT($L276,"yyyy-mm"))</f>
        <v/>
      </c>
      <c r="T276" s="86">
        <f>IF($I276="","",IFERROR(INDEX(Action_Status_Map!$C$5:$C$11,MATCH($I276,Action_Status_Map!$A$5:$A$11,0)),""))</f>
        <v/>
      </c>
      <c r="U276" s="81" t="n"/>
      <c r="V276" s="82" t="n"/>
      <c r="W276" s="65">
        <f>IF(OR($I276&lt;&gt;"Completed",$M276="",$L276=""),"",IF($M276&lt;=$L276,"Yes","No"))</f>
        <v/>
      </c>
      <c r="X276" s="84">
        <f>IF($A276="","",COUNTIF(Task_Steps!$B$5:$B$2004,$A276))</f>
        <v/>
      </c>
      <c r="Y276" s="86">
        <f>IF($X276=0,"",COUNTIFS(Task_Steps!$B$5:$B$2004,$A276,Task_Steps!$H$5:$H$2004,"Completed")/$X276)</f>
        <v/>
      </c>
      <c r="Z276" s="81" t="n"/>
      <c r="AA276" s="81" t="n"/>
      <c r="AB276" s="67">
        <f>IF($F276="","",IFERROR(INDEX(Employee_Master!$E$5:$E$204,MATCH($F276,Employee_Master!$B$5:$B$204,0)),""))</f>
        <v/>
      </c>
      <c r="AC276" s="65">
        <f>IF(OR($A276="",$AB276=""),"",IF(OR($I276="Completed",$I276="Cancelled"),"Closed - in Manager Report","Active - in Manager Report"))</f>
        <v/>
      </c>
      <c r="AD276" s="81">
        <f>IF($A276="","",IFERROR(TEXTJOIN(", ",TRUE,FILTER(Task_Steps!$A$5:$A$2004,Task_Steps!$B$5:$B$2004=$A276)),""))</f>
        <v/>
      </c>
      <c r="AE276" s="84">
        <f>IF($A276="","",COUNTIFS(Task_Steps!$B$5:$B$2004,$A276,Task_Steps!$H$5:$H$2004,"&lt;&gt;Completed",Task_Steps!$H$5:$H$2004,"&lt;&gt;Cancelled"))</f>
        <v/>
      </c>
      <c r="AF276" s="81">
        <f>IF(OR($B276="",$A276=""),"",$B276&amp;" | "&amp;$A276)</f>
        <v/>
      </c>
    </row>
    <row r="277" ht="15" customHeight="1" s="40">
      <c r="A277" s="65">
        <f>IF(COUNTA(B277:F277)=0,"","TSK-"&amp;TEXT(ROW()-4,"0000"))</f>
        <v/>
      </c>
      <c r="B277" s="78" t="n"/>
      <c r="C277" s="78" t="n"/>
      <c r="D277" s="81" t="n"/>
      <c r="E277" s="81" t="n"/>
      <c r="F277" s="78" t="n"/>
      <c r="G277" s="67">
        <f>IF($F277="","",IFERROR(INDEX(Employee_Master!$C$5:$C$204,MATCH($F277,Employee_Master!$B$5:$B$204,0)),""))</f>
        <v/>
      </c>
      <c r="H277" s="78" t="n"/>
      <c r="I277" s="78" t="n"/>
      <c r="J277" s="67">
        <f>IF($I277="","",IFERROR(INDEX(Action_Status_Map!$B$5:$B$11,MATCH($I277,Action_Status_Map!$A$5:$A$11,0)),""))</f>
        <v/>
      </c>
      <c r="K277" s="82" t="n"/>
      <c r="L277" s="82" t="n"/>
      <c r="M277" s="82" t="n"/>
      <c r="N277" s="83" t="n"/>
      <c r="O277" s="83" t="n"/>
      <c r="P277" s="66">
        <f>IF(OR($N277="",$O277=""),"",$O277-$N277)</f>
        <v/>
      </c>
      <c r="Q277" s="84">
        <f>IF($K277="","",IF($M277&lt;&gt;"",$M277-$K277,TODAY()-$K277))</f>
        <v/>
      </c>
      <c r="R277" s="85">
        <f>IF(OR($L277="",$I277="Completed",$I277="Cancelled"),"",IF(AND($L277&lt;TODAY(),$I277&lt;&gt;"Completed",$I277&lt;&gt;"Cancelled"),"Overdue","On Track"))</f>
        <v/>
      </c>
      <c r="S277" s="65">
        <f>IF($L277="","",TEXT($L277,"yyyy-mm"))</f>
        <v/>
      </c>
      <c r="T277" s="86">
        <f>IF($I277="","",IFERROR(INDEX(Action_Status_Map!$C$5:$C$11,MATCH($I277,Action_Status_Map!$A$5:$A$11,0)),""))</f>
        <v/>
      </c>
      <c r="U277" s="81" t="n"/>
      <c r="V277" s="82" t="n"/>
      <c r="W277" s="65">
        <f>IF(OR($I277&lt;&gt;"Completed",$M277="",$L277=""),"",IF($M277&lt;=$L277,"Yes","No"))</f>
        <v/>
      </c>
      <c r="X277" s="84">
        <f>IF($A277="","",COUNTIF(Task_Steps!$B$5:$B$2004,$A277))</f>
        <v/>
      </c>
      <c r="Y277" s="86">
        <f>IF($X277=0,"",COUNTIFS(Task_Steps!$B$5:$B$2004,$A277,Task_Steps!$H$5:$H$2004,"Completed")/$X277)</f>
        <v/>
      </c>
      <c r="Z277" s="81" t="n"/>
      <c r="AA277" s="81" t="n"/>
      <c r="AB277" s="67">
        <f>IF($F277="","",IFERROR(INDEX(Employee_Master!$E$5:$E$204,MATCH($F277,Employee_Master!$B$5:$B$204,0)),""))</f>
        <v/>
      </c>
      <c r="AC277" s="65">
        <f>IF(OR($A277="",$AB277=""),"",IF(OR($I277="Completed",$I277="Cancelled"),"Closed - in Manager Report","Active - in Manager Report"))</f>
        <v/>
      </c>
      <c r="AD277" s="81">
        <f>IF($A277="","",IFERROR(TEXTJOIN(", ",TRUE,FILTER(Task_Steps!$A$5:$A$2004,Task_Steps!$B$5:$B$2004=$A277)),""))</f>
        <v/>
      </c>
      <c r="AE277" s="84">
        <f>IF($A277="","",COUNTIFS(Task_Steps!$B$5:$B$2004,$A277,Task_Steps!$H$5:$H$2004,"&lt;&gt;Completed",Task_Steps!$H$5:$H$2004,"&lt;&gt;Cancelled"))</f>
        <v/>
      </c>
      <c r="AF277" s="81">
        <f>IF(OR($B277="",$A277=""),"",$B277&amp;" | "&amp;$A277)</f>
        <v/>
      </c>
    </row>
    <row r="278" ht="15" customHeight="1" s="40">
      <c r="A278" s="65">
        <f>IF(COUNTA(B278:F278)=0,"","TSK-"&amp;TEXT(ROW()-4,"0000"))</f>
        <v/>
      </c>
      <c r="B278" s="78" t="n"/>
      <c r="C278" s="78" t="n"/>
      <c r="D278" s="81" t="n"/>
      <c r="E278" s="81" t="n"/>
      <c r="F278" s="78" t="n"/>
      <c r="G278" s="67">
        <f>IF($F278="","",IFERROR(INDEX(Employee_Master!$C$5:$C$204,MATCH($F278,Employee_Master!$B$5:$B$204,0)),""))</f>
        <v/>
      </c>
      <c r="H278" s="78" t="n"/>
      <c r="I278" s="78" t="n"/>
      <c r="J278" s="67">
        <f>IF($I278="","",IFERROR(INDEX(Action_Status_Map!$B$5:$B$11,MATCH($I278,Action_Status_Map!$A$5:$A$11,0)),""))</f>
        <v/>
      </c>
      <c r="K278" s="82" t="n"/>
      <c r="L278" s="82" t="n"/>
      <c r="M278" s="82" t="n"/>
      <c r="N278" s="83" t="n"/>
      <c r="O278" s="83" t="n"/>
      <c r="P278" s="66">
        <f>IF(OR($N278="",$O278=""),"",$O278-$N278)</f>
        <v/>
      </c>
      <c r="Q278" s="84">
        <f>IF($K278="","",IF($M278&lt;&gt;"",$M278-$K278,TODAY()-$K278))</f>
        <v/>
      </c>
      <c r="R278" s="85">
        <f>IF(OR($L278="",$I278="Completed",$I278="Cancelled"),"",IF(AND($L278&lt;TODAY(),$I278&lt;&gt;"Completed",$I278&lt;&gt;"Cancelled"),"Overdue","On Track"))</f>
        <v/>
      </c>
      <c r="S278" s="65">
        <f>IF($L278="","",TEXT($L278,"yyyy-mm"))</f>
        <v/>
      </c>
      <c r="T278" s="86">
        <f>IF($I278="","",IFERROR(INDEX(Action_Status_Map!$C$5:$C$11,MATCH($I278,Action_Status_Map!$A$5:$A$11,0)),""))</f>
        <v/>
      </c>
      <c r="U278" s="81" t="n"/>
      <c r="V278" s="82" t="n"/>
      <c r="W278" s="65">
        <f>IF(OR($I278&lt;&gt;"Completed",$M278="",$L278=""),"",IF($M278&lt;=$L278,"Yes","No"))</f>
        <v/>
      </c>
      <c r="X278" s="84">
        <f>IF($A278="","",COUNTIF(Task_Steps!$B$5:$B$2004,$A278))</f>
        <v/>
      </c>
      <c r="Y278" s="86">
        <f>IF($X278=0,"",COUNTIFS(Task_Steps!$B$5:$B$2004,$A278,Task_Steps!$H$5:$H$2004,"Completed")/$X278)</f>
        <v/>
      </c>
      <c r="Z278" s="81" t="n"/>
      <c r="AA278" s="81" t="n"/>
      <c r="AB278" s="67">
        <f>IF($F278="","",IFERROR(INDEX(Employee_Master!$E$5:$E$204,MATCH($F278,Employee_Master!$B$5:$B$204,0)),""))</f>
        <v/>
      </c>
      <c r="AC278" s="65">
        <f>IF(OR($A278="",$AB278=""),"",IF(OR($I278="Completed",$I278="Cancelled"),"Closed - in Manager Report","Active - in Manager Report"))</f>
        <v/>
      </c>
      <c r="AD278" s="81">
        <f>IF($A278="","",IFERROR(TEXTJOIN(", ",TRUE,FILTER(Task_Steps!$A$5:$A$2004,Task_Steps!$B$5:$B$2004=$A278)),""))</f>
        <v/>
      </c>
      <c r="AE278" s="84">
        <f>IF($A278="","",COUNTIFS(Task_Steps!$B$5:$B$2004,$A278,Task_Steps!$H$5:$H$2004,"&lt;&gt;Completed",Task_Steps!$H$5:$H$2004,"&lt;&gt;Cancelled"))</f>
        <v/>
      </c>
      <c r="AF278" s="81">
        <f>IF(OR($B278="",$A278=""),"",$B278&amp;" | "&amp;$A278)</f>
        <v/>
      </c>
    </row>
    <row r="279" ht="15" customHeight="1" s="40">
      <c r="A279" s="65">
        <f>IF(COUNTA(B279:F279)=0,"","TSK-"&amp;TEXT(ROW()-4,"0000"))</f>
        <v/>
      </c>
      <c r="B279" s="78" t="n"/>
      <c r="C279" s="78" t="n"/>
      <c r="D279" s="81" t="n"/>
      <c r="E279" s="81" t="n"/>
      <c r="F279" s="78" t="n"/>
      <c r="G279" s="67">
        <f>IF($F279="","",IFERROR(INDEX(Employee_Master!$C$5:$C$204,MATCH($F279,Employee_Master!$B$5:$B$204,0)),""))</f>
        <v/>
      </c>
      <c r="H279" s="78" t="n"/>
      <c r="I279" s="78" t="n"/>
      <c r="J279" s="67">
        <f>IF($I279="","",IFERROR(INDEX(Action_Status_Map!$B$5:$B$11,MATCH($I279,Action_Status_Map!$A$5:$A$11,0)),""))</f>
        <v/>
      </c>
      <c r="K279" s="82" t="n"/>
      <c r="L279" s="82" t="n"/>
      <c r="M279" s="82" t="n"/>
      <c r="N279" s="83" t="n"/>
      <c r="O279" s="83" t="n"/>
      <c r="P279" s="66">
        <f>IF(OR($N279="",$O279=""),"",$O279-$N279)</f>
        <v/>
      </c>
      <c r="Q279" s="84">
        <f>IF($K279="","",IF($M279&lt;&gt;"",$M279-$K279,TODAY()-$K279))</f>
        <v/>
      </c>
      <c r="R279" s="85">
        <f>IF(OR($L279="",$I279="Completed",$I279="Cancelled"),"",IF(AND($L279&lt;TODAY(),$I279&lt;&gt;"Completed",$I279&lt;&gt;"Cancelled"),"Overdue","On Track"))</f>
        <v/>
      </c>
      <c r="S279" s="65">
        <f>IF($L279="","",TEXT($L279,"yyyy-mm"))</f>
        <v/>
      </c>
      <c r="T279" s="86">
        <f>IF($I279="","",IFERROR(INDEX(Action_Status_Map!$C$5:$C$11,MATCH($I279,Action_Status_Map!$A$5:$A$11,0)),""))</f>
        <v/>
      </c>
      <c r="U279" s="81" t="n"/>
      <c r="V279" s="82" t="n"/>
      <c r="W279" s="65">
        <f>IF(OR($I279&lt;&gt;"Completed",$M279="",$L279=""),"",IF($M279&lt;=$L279,"Yes","No"))</f>
        <v/>
      </c>
      <c r="X279" s="84">
        <f>IF($A279="","",COUNTIF(Task_Steps!$B$5:$B$2004,$A279))</f>
        <v/>
      </c>
      <c r="Y279" s="86">
        <f>IF($X279=0,"",COUNTIFS(Task_Steps!$B$5:$B$2004,$A279,Task_Steps!$H$5:$H$2004,"Completed")/$X279)</f>
        <v/>
      </c>
      <c r="Z279" s="81" t="n"/>
      <c r="AA279" s="81" t="n"/>
      <c r="AB279" s="67">
        <f>IF($F279="","",IFERROR(INDEX(Employee_Master!$E$5:$E$204,MATCH($F279,Employee_Master!$B$5:$B$204,0)),""))</f>
        <v/>
      </c>
      <c r="AC279" s="65">
        <f>IF(OR($A279="",$AB279=""),"",IF(OR($I279="Completed",$I279="Cancelled"),"Closed - in Manager Report","Active - in Manager Report"))</f>
        <v/>
      </c>
      <c r="AD279" s="81">
        <f>IF($A279="","",IFERROR(TEXTJOIN(", ",TRUE,FILTER(Task_Steps!$A$5:$A$2004,Task_Steps!$B$5:$B$2004=$A279)),""))</f>
        <v/>
      </c>
      <c r="AE279" s="84">
        <f>IF($A279="","",COUNTIFS(Task_Steps!$B$5:$B$2004,$A279,Task_Steps!$H$5:$H$2004,"&lt;&gt;Completed",Task_Steps!$H$5:$H$2004,"&lt;&gt;Cancelled"))</f>
        <v/>
      </c>
      <c r="AF279" s="81">
        <f>IF(OR($B279="",$A279=""),"",$B279&amp;" | "&amp;$A279)</f>
        <v/>
      </c>
    </row>
    <row r="280" ht="15" customHeight="1" s="40">
      <c r="A280" s="65">
        <f>IF(COUNTA(B280:F280)=0,"","TSK-"&amp;TEXT(ROW()-4,"0000"))</f>
        <v/>
      </c>
      <c r="B280" s="78" t="n"/>
      <c r="C280" s="78" t="n"/>
      <c r="D280" s="81" t="n"/>
      <c r="E280" s="81" t="n"/>
      <c r="F280" s="78" t="n"/>
      <c r="G280" s="67">
        <f>IF($F280="","",IFERROR(INDEX(Employee_Master!$C$5:$C$204,MATCH($F280,Employee_Master!$B$5:$B$204,0)),""))</f>
        <v/>
      </c>
      <c r="H280" s="78" t="n"/>
      <c r="I280" s="78" t="n"/>
      <c r="J280" s="67">
        <f>IF($I280="","",IFERROR(INDEX(Action_Status_Map!$B$5:$B$11,MATCH($I280,Action_Status_Map!$A$5:$A$11,0)),""))</f>
        <v/>
      </c>
      <c r="K280" s="82" t="n"/>
      <c r="L280" s="82" t="n"/>
      <c r="M280" s="82" t="n"/>
      <c r="N280" s="83" t="n"/>
      <c r="O280" s="83" t="n"/>
      <c r="P280" s="66">
        <f>IF(OR($N280="",$O280=""),"",$O280-$N280)</f>
        <v/>
      </c>
      <c r="Q280" s="84">
        <f>IF($K280="","",IF($M280&lt;&gt;"",$M280-$K280,TODAY()-$K280))</f>
        <v/>
      </c>
      <c r="R280" s="85">
        <f>IF(OR($L280="",$I280="Completed",$I280="Cancelled"),"",IF(AND($L280&lt;TODAY(),$I280&lt;&gt;"Completed",$I280&lt;&gt;"Cancelled"),"Overdue","On Track"))</f>
        <v/>
      </c>
      <c r="S280" s="65">
        <f>IF($L280="","",TEXT($L280,"yyyy-mm"))</f>
        <v/>
      </c>
      <c r="T280" s="86">
        <f>IF($I280="","",IFERROR(INDEX(Action_Status_Map!$C$5:$C$11,MATCH($I280,Action_Status_Map!$A$5:$A$11,0)),""))</f>
        <v/>
      </c>
      <c r="U280" s="81" t="n"/>
      <c r="V280" s="82" t="n"/>
      <c r="W280" s="65">
        <f>IF(OR($I280&lt;&gt;"Completed",$M280="",$L280=""),"",IF($M280&lt;=$L280,"Yes","No"))</f>
        <v/>
      </c>
      <c r="X280" s="84">
        <f>IF($A280="","",COUNTIF(Task_Steps!$B$5:$B$2004,$A280))</f>
        <v/>
      </c>
      <c r="Y280" s="86">
        <f>IF($X280=0,"",COUNTIFS(Task_Steps!$B$5:$B$2004,$A280,Task_Steps!$H$5:$H$2004,"Completed")/$X280)</f>
        <v/>
      </c>
      <c r="Z280" s="81" t="n"/>
      <c r="AA280" s="81" t="n"/>
      <c r="AB280" s="67">
        <f>IF($F280="","",IFERROR(INDEX(Employee_Master!$E$5:$E$204,MATCH($F280,Employee_Master!$B$5:$B$204,0)),""))</f>
        <v/>
      </c>
      <c r="AC280" s="65">
        <f>IF(OR($A280="",$AB280=""),"",IF(OR($I280="Completed",$I280="Cancelled"),"Closed - in Manager Report","Active - in Manager Report"))</f>
        <v/>
      </c>
      <c r="AD280" s="81">
        <f>IF($A280="","",IFERROR(TEXTJOIN(", ",TRUE,FILTER(Task_Steps!$A$5:$A$2004,Task_Steps!$B$5:$B$2004=$A280)),""))</f>
        <v/>
      </c>
      <c r="AE280" s="84">
        <f>IF($A280="","",COUNTIFS(Task_Steps!$B$5:$B$2004,$A280,Task_Steps!$H$5:$H$2004,"&lt;&gt;Completed",Task_Steps!$H$5:$H$2004,"&lt;&gt;Cancelled"))</f>
        <v/>
      </c>
      <c r="AF280" s="81">
        <f>IF(OR($B280="",$A280=""),"",$B280&amp;" | "&amp;$A280)</f>
        <v/>
      </c>
    </row>
    <row r="281" ht="15" customHeight="1" s="40">
      <c r="A281" s="65">
        <f>IF(COUNTA(B281:F281)=0,"","TSK-"&amp;TEXT(ROW()-4,"0000"))</f>
        <v/>
      </c>
      <c r="B281" s="78" t="n"/>
      <c r="C281" s="78" t="n"/>
      <c r="D281" s="81" t="n"/>
      <c r="E281" s="81" t="n"/>
      <c r="F281" s="78" t="n"/>
      <c r="G281" s="67">
        <f>IF($F281="","",IFERROR(INDEX(Employee_Master!$C$5:$C$204,MATCH($F281,Employee_Master!$B$5:$B$204,0)),""))</f>
        <v/>
      </c>
      <c r="H281" s="78" t="n"/>
      <c r="I281" s="78" t="n"/>
      <c r="J281" s="67">
        <f>IF($I281="","",IFERROR(INDEX(Action_Status_Map!$B$5:$B$11,MATCH($I281,Action_Status_Map!$A$5:$A$11,0)),""))</f>
        <v/>
      </c>
      <c r="K281" s="82" t="n"/>
      <c r="L281" s="82" t="n"/>
      <c r="M281" s="82" t="n"/>
      <c r="N281" s="83" t="n"/>
      <c r="O281" s="83" t="n"/>
      <c r="P281" s="66">
        <f>IF(OR($N281="",$O281=""),"",$O281-$N281)</f>
        <v/>
      </c>
      <c r="Q281" s="84">
        <f>IF($K281="","",IF($M281&lt;&gt;"",$M281-$K281,TODAY()-$K281))</f>
        <v/>
      </c>
      <c r="R281" s="85">
        <f>IF(OR($L281="",$I281="Completed",$I281="Cancelled"),"",IF(AND($L281&lt;TODAY(),$I281&lt;&gt;"Completed",$I281&lt;&gt;"Cancelled"),"Overdue","On Track"))</f>
        <v/>
      </c>
      <c r="S281" s="65">
        <f>IF($L281="","",TEXT($L281,"yyyy-mm"))</f>
        <v/>
      </c>
      <c r="T281" s="86">
        <f>IF($I281="","",IFERROR(INDEX(Action_Status_Map!$C$5:$C$11,MATCH($I281,Action_Status_Map!$A$5:$A$11,0)),""))</f>
        <v/>
      </c>
      <c r="U281" s="81" t="n"/>
      <c r="V281" s="82" t="n"/>
      <c r="W281" s="65">
        <f>IF(OR($I281&lt;&gt;"Completed",$M281="",$L281=""),"",IF($M281&lt;=$L281,"Yes","No"))</f>
        <v/>
      </c>
      <c r="X281" s="84">
        <f>IF($A281="","",COUNTIF(Task_Steps!$B$5:$B$2004,$A281))</f>
        <v/>
      </c>
      <c r="Y281" s="86">
        <f>IF($X281=0,"",COUNTIFS(Task_Steps!$B$5:$B$2004,$A281,Task_Steps!$H$5:$H$2004,"Completed")/$X281)</f>
        <v/>
      </c>
      <c r="Z281" s="81" t="n"/>
      <c r="AA281" s="81" t="n"/>
      <c r="AB281" s="67">
        <f>IF($F281="","",IFERROR(INDEX(Employee_Master!$E$5:$E$204,MATCH($F281,Employee_Master!$B$5:$B$204,0)),""))</f>
        <v/>
      </c>
      <c r="AC281" s="65">
        <f>IF(OR($A281="",$AB281=""),"",IF(OR($I281="Completed",$I281="Cancelled"),"Closed - in Manager Report","Active - in Manager Report"))</f>
        <v/>
      </c>
      <c r="AD281" s="81">
        <f>IF($A281="","",IFERROR(TEXTJOIN(", ",TRUE,FILTER(Task_Steps!$A$5:$A$2004,Task_Steps!$B$5:$B$2004=$A281)),""))</f>
        <v/>
      </c>
      <c r="AE281" s="84">
        <f>IF($A281="","",COUNTIFS(Task_Steps!$B$5:$B$2004,$A281,Task_Steps!$H$5:$H$2004,"&lt;&gt;Completed",Task_Steps!$H$5:$H$2004,"&lt;&gt;Cancelled"))</f>
        <v/>
      </c>
      <c r="AF281" s="81">
        <f>IF(OR($B281="",$A281=""),"",$B281&amp;" | "&amp;$A281)</f>
        <v/>
      </c>
    </row>
    <row r="282" ht="15" customHeight="1" s="40">
      <c r="A282" s="65">
        <f>IF(COUNTA(B282:F282)=0,"","TSK-"&amp;TEXT(ROW()-4,"0000"))</f>
        <v/>
      </c>
      <c r="B282" s="78" t="n"/>
      <c r="C282" s="78" t="n"/>
      <c r="D282" s="81" t="n"/>
      <c r="E282" s="81" t="n"/>
      <c r="F282" s="78" t="n"/>
      <c r="G282" s="67">
        <f>IF($F282="","",IFERROR(INDEX(Employee_Master!$C$5:$C$204,MATCH($F282,Employee_Master!$B$5:$B$204,0)),""))</f>
        <v/>
      </c>
      <c r="H282" s="78" t="n"/>
      <c r="I282" s="78" t="n"/>
      <c r="J282" s="67">
        <f>IF($I282="","",IFERROR(INDEX(Action_Status_Map!$B$5:$B$11,MATCH($I282,Action_Status_Map!$A$5:$A$11,0)),""))</f>
        <v/>
      </c>
      <c r="K282" s="82" t="n"/>
      <c r="L282" s="82" t="n"/>
      <c r="M282" s="82" t="n"/>
      <c r="N282" s="83" t="n"/>
      <c r="O282" s="83" t="n"/>
      <c r="P282" s="66">
        <f>IF(OR($N282="",$O282=""),"",$O282-$N282)</f>
        <v/>
      </c>
      <c r="Q282" s="84">
        <f>IF($K282="","",IF($M282&lt;&gt;"",$M282-$K282,TODAY()-$K282))</f>
        <v/>
      </c>
      <c r="R282" s="85">
        <f>IF(OR($L282="",$I282="Completed",$I282="Cancelled"),"",IF(AND($L282&lt;TODAY(),$I282&lt;&gt;"Completed",$I282&lt;&gt;"Cancelled"),"Overdue","On Track"))</f>
        <v/>
      </c>
      <c r="S282" s="65">
        <f>IF($L282="","",TEXT($L282,"yyyy-mm"))</f>
        <v/>
      </c>
      <c r="T282" s="86">
        <f>IF($I282="","",IFERROR(INDEX(Action_Status_Map!$C$5:$C$11,MATCH($I282,Action_Status_Map!$A$5:$A$11,0)),""))</f>
        <v/>
      </c>
      <c r="U282" s="81" t="n"/>
      <c r="V282" s="82" t="n"/>
      <c r="W282" s="65">
        <f>IF(OR($I282&lt;&gt;"Completed",$M282="",$L282=""),"",IF($M282&lt;=$L282,"Yes","No"))</f>
        <v/>
      </c>
      <c r="X282" s="84">
        <f>IF($A282="","",COUNTIF(Task_Steps!$B$5:$B$2004,$A282))</f>
        <v/>
      </c>
      <c r="Y282" s="86">
        <f>IF($X282=0,"",COUNTIFS(Task_Steps!$B$5:$B$2004,$A282,Task_Steps!$H$5:$H$2004,"Completed")/$X282)</f>
        <v/>
      </c>
      <c r="Z282" s="81" t="n"/>
      <c r="AA282" s="81" t="n"/>
      <c r="AB282" s="67">
        <f>IF($F282="","",IFERROR(INDEX(Employee_Master!$E$5:$E$204,MATCH($F282,Employee_Master!$B$5:$B$204,0)),""))</f>
        <v/>
      </c>
      <c r="AC282" s="65">
        <f>IF(OR($A282="",$AB282=""),"",IF(OR($I282="Completed",$I282="Cancelled"),"Closed - in Manager Report","Active - in Manager Report"))</f>
        <v/>
      </c>
      <c r="AD282" s="81">
        <f>IF($A282="","",IFERROR(TEXTJOIN(", ",TRUE,FILTER(Task_Steps!$A$5:$A$2004,Task_Steps!$B$5:$B$2004=$A282)),""))</f>
        <v/>
      </c>
      <c r="AE282" s="84">
        <f>IF($A282="","",COUNTIFS(Task_Steps!$B$5:$B$2004,$A282,Task_Steps!$H$5:$H$2004,"&lt;&gt;Completed",Task_Steps!$H$5:$H$2004,"&lt;&gt;Cancelled"))</f>
        <v/>
      </c>
      <c r="AF282" s="81">
        <f>IF(OR($B282="",$A282=""),"",$B282&amp;" | "&amp;$A282)</f>
        <v/>
      </c>
    </row>
    <row r="283" ht="15" customHeight="1" s="40">
      <c r="A283" s="65">
        <f>IF(COUNTA(B283:F283)=0,"","TSK-"&amp;TEXT(ROW()-4,"0000"))</f>
        <v/>
      </c>
      <c r="B283" s="78" t="n"/>
      <c r="C283" s="78" t="n"/>
      <c r="D283" s="81" t="n"/>
      <c r="E283" s="81" t="n"/>
      <c r="F283" s="78" t="n"/>
      <c r="G283" s="67">
        <f>IF($F283="","",IFERROR(INDEX(Employee_Master!$C$5:$C$204,MATCH($F283,Employee_Master!$B$5:$B$204,0)),""))</f>
        <v/>
      </c>
      <c r="H283" s="78" t="n"/>
      <c r="I283" s="78" t="n"/>
      <c r="J283" s="67">
        <f>IF($I283="","",IFERROR(INDEX(Action_Status_Map!$B$5:$B$11,MATCH($I283,Action_Status_Map!$A$5:$A$11,0)),""))</f>
        <v/>
      </c>
      <c r="K283" s="82" t="n"/>
      <c r="L283" s="82" t="n"/>
      <c r="M283" s="82" t="n"/>
      <c r="N283" s="83" t="n"/>
      <c r="O283" s="83" t="n"/>
      <c r="P283" s="66">
        <f>IF(OR($N283="",$O283=""),"",$O283-$N283)</f>
        <v/>
      </c>
      <c r="Q283" s="84">
        <f>IF($K283="","",IF($M283&lt;&gt;"",$M283-$K283,TODAY()-$K283))</f>
        <v/>
      </c>
      <c r="R283" s="85">
        <f>IF(OR($L283="",$I283="Completed",$I283="Cancelled"),"",IF(AND($L283&lt;TODAY(),$I283&lt;&gt;"Completed",$I283&lt;&gt;"Cancelled"),"Overdue","On Track"))</f>
        <v/>
      </c>
      <c r="S283" s="65">
        <f>IF($L283="","",TEXT($L283,"yyyy-mm"))</f>
        <v/>
      </c>
      <c r="T283" s="86">
        <f>IF($I283="","",IFERROR(INDEX(Action_Status_Map!$C$5:$C$11,MATCH($I283,Action_Status_Map!$A$5:$A$11,0)),""))</f>
        <v/>
      </c>
      <c r="U283" s="81" t="n"/>
      <c r="V283" s="82" t="n"/>
      <c r="W283" s="65">
        <f>IF(OR($I283&lt;&gt;"Completed",$M283="",$L283=""),"",IF($M283&lt;=$L283,"Yes","No"))</f>
        <v/>
      </c>
      <c r="X283" s="84">
        <f>IF($A283="","",COUNTIF(Task_Steps!$B$5:$B$2004,$A283))</f>
        <v/>
      </c>
      <c r="Y283" s="86">
        <f>IF($X283=0,"",COUNTIFS(Task_Steps!$B$5:$B$2004,$A283,Task_Steps!$H$5:$H$2004,"Completed")/$X283)</f>
        <v/>
      </c>
      <c r="Z283" s="81" t="n"/>
      <c r="AA283" s="81" t="n"/>
      <c r="AB283" s="67">
        <f>IF($F283="","",IFERROR(INDEX(Employee_Master!$E$5:$E$204,MATCH($F283,Employee_Master!$B$5:$B$204,0)),""))</f>
        <v/>
      </c>
      <c r="AC283" s="65">
        <f>IF(OR($A283="",$AB283=""),"",IF(OR($I283="Completed",$I283="Cancelled"),"Closed - in Manager Report","Active - in Manager Report"))</f>
        <v/>
      </c>
      <c r="AD283" s="81">
        <f>IF($A283="","",IFERROR(TEXTJOIN(", ",TRUE,FILTER(Task_Steps!$A$5:$A$2004,Task_Steps!$B$5:$B$2004=$A283)),""))</f>
        <v/>
      </c>
      <c r="AE283" s="84">
        <f>IF($A283="","",COUNTIFS(Task_Steps!$B$5:$B$2004,$A283,Task_Steps!$H$5:$H$2004,"&lt;&gt;Completed",Task_Steps!$H$5:$H$2004,"&lt;&gt;Cancelled"))</f>
        <v/>
      </c>
      <c r="AF283" s="81">
        <f>IF(OR($B283="",$A283=""),"",$B283&amp;" | "&amp;$A283)</f>
        <v/>
      </c>
    </row>
    <row r="284" ht="15" customHeight="1" s="40">
      <c r="A284" s="65">
        <f>IF(COUNTA(B284:F284)=0,"","TSK-"&amp;TEXT(ROW()-4,"0000"))</f>
        <v/>
      </c>
      <c r="B284" s="78" t="n"/>
      <c r="C284" s="78" t="n"/>
      <c r="D284" s="81" t="n"/>
      <c r="E284" s="81" t="n"/>
      <c r="F284" s="78" t="n"/>
      <c r="G284" s="67">
        <f>IF($F284="","",IFERROR(INDEX(Employee_Master!$C$5:$C$204,MATCH($F284,Employee_Master!$B$5:$B$204,0)),""))</f>
        <v/>
      </c>
      <c r="H284" s="78" t="n"/>
      <c r="I284" s="78" t="n"/>
      <c r="J284" s="67">
        <f>IF($I284="","",IFERROR(INDEX(Action_Status_Map!$B$5:$B$11,MATCH($I284,Action_Status_Map!$A$5:$A$11,0)),""))</f>
        <v/>
      </c>
      <c r="K284" s="82" t="n"/>
      <c r="L284" s="82" t="n"/>
      <c r="M284" s="82" t="n"/>
      <c r="N284" s="83" t="n"/>
      <c r="O284" s="83" t="n"/>
      <c r="P284" s="66">
        <f>IF(OR($N284="",$O284=""),"",$O284-$N284)</f>
        <v/>
      </c>
      <c r="Q284" s="84">
        <f>IF($K284="","",IF($M284&lt;&gt;"",$M284-$K284,TODAY()-$K284))</f>
        <v/>
      </c>
      <c r="R284" s="85">
        <f>IF(OR($L284="",$I284="Completed",$I284="Cancelled"),"",IF(AND($L284&lt;TODAY(),$I284&lt;&gt;"Completed",$I284&lt;&gt;"Cancelled"),"Overdue","On Track"))</f>
        <v/>
      </c>
      <c r="S284" s="65">
        <f>IF($L284="","",TEXT($L284,"yyyy-mm"))</f>
        <v/>
      </c>
      <c r="T284" s="86">
        <f>IF($I284="","",IFERROR(INDEX(Action_Status_Map!$C$5:$C$11,MATCH($I284,Action_Status_Map!$A$5:$A$11,0)),""))</f>
        <v/>
      </c>
      <c r="U284" s="81" t="n"/>
      <c r="V284" s="82" t="n"/>
      <c r="W284" s="65">
        <f>IF(OR($I284&lt;&gt;"Completed",$M284="",$L284=""),"",IF($M284&lt;=$L284,"Yes","No"))</f>
        <v/>
      </c>
      <c r="X284" s="84">
        <f>IF($A284="","",COUNTIF(Task_Steps!$B$5:$B$2004,$A284))</f>
        <v/>
      </c>
      <c r="Y284" s="86">
        <f>IF($X284=0,"",COUNTIFS(Task_Steps!$B$5:$B$2004,$A284,Task_Steps!$H$5:$H$2004,"Completed")/$X284)</f>
        <v/>
      </c>
      <c r="Z284" s="81" t="n"/>
      <c r="AA284" s="81" t="n"/>
      <c r="AB284" s="67">
        <f>IF($F284="","",IFERROR(INDEX(Employee_Master!$E$5:$E$204,MATCH($F284,Employee_Master!$B$5:$B$204,0)),""))</f>
        <v/>
      </c>
      <c r="AC284" s="65">
        <f>IF(OR($A284="",$AB284=""),"",IF(OR($I284="Completed",$I284="Cancelled"),"Closed - in Manager Report","Active - in Manager Report"))</f>
        <v/>
      </c>
      <c r="AD284" s="81">
        <f>IF($A284="","",IFERROR(TEXTJOIN(", ",TRUE,FILTER(Task_Steps!$A$5:$A$2004,Task_Steps!$B$5:$B$2004=$A284)),""))</f>
        <v/>
      </c>
      <c r="AE284" s="84">
        <f>IF($A284="","",COUNTIFS(Task_Steps!$B$5:$B$2004,$A284,Task_Steps!$H$5:$H$2004,"&lt;&gt;Completed",Task_Steps!$H$5:$H$2004,"&lt;&gt;Cancelled"))</f>
        <v/>
      </c>
      <c r="AF284" s="81">
        <f>IF(OR($B284="",$A284=""),"",$B284&amp;" | "&amp;$A284)</f>
        <v/>
      </c>
    </row>
    <row r="285" ht="15" customHeight="1" s="40">
      <c r="A285" s="65">
        <f>IF(COUNTA(B285:F285)=0,"","TSK-"&amp;TEXT(ROW()-4,"0000"))</f>
        <v/>
      </c>
      <c r="B285" s="78" t="n"/>
      <c r="C285" s="78" t="n"/>
      <c r="D285" s="81" t="n"/>
      <c r="E285" s="81" t="n"/>
      <c r="F285" s="78" t="n"/>
      <c r="G285" s="67">
        <f>IF($F285="","",IFERROR(INDEX(Employee_Master!$C$5:$C$204,MATCH($F285,Employee_Master!$B$5:$B$204,0)),""))</f>
        <v/>
      </c>
      <c r="H285" s="78" t="n"/>
      <c r="I285" s="78" t="n"/>
      <c r="J285" s="67">
        <f>IF($I285="","",IFERROR(INDEX(Action_Status_Map!$B$5:$B$11,MATCH($I285,Action_Status_Map!$A$5:$A$11,0)),""))</f>
        <v/>
      </c>
      <c r="K285" s="82" t="n"/>
      <c r="L285" s="82" t="n"/>
      <c r="M285" s="82" t="n"/>
      <c r="N285" s="83" t="n"/>
      <c r="O285" s="83" t="n"/>
      <c r="P285" s="66">
        <f>IF(OR($N285="",$O285=""),"",$O285-$N285)</f>
        <v/>
      </c>
      <c r="Q285" s="84">
        <f>IF($K285="","",IF($M285&lt;&gt;"",$M285-$K285,TODAY()-$K285))</f>
        <v/>
      </c>
      <c r="R285" s="85">
        <f>IF(OR($L285="",$I285="Completed",$I285="Cancelled"),"",IF(AND($L285&lt;TODAY(),$I285&lt;&gt;"Completed",$I285&lt;&gt;"Cancelled"),"Overdue","On Track"))</f>
        <v/>
      </c>
      <c r="S285" s="65">
        <f>IF($L285="","",TEXT($L285,"yyyy-mm"))</f>
        <v/>
      </c>
      <c r="T285" s="86">
        <f>IF($I285="","",IFERROR(INDEX(Action_Status_Map!$C$5:$C$11,MATCH($I285,Action_Status_Map!$A$5:$A$11,0)),""))</f>
        <v/>
      </c>
      <c r="U285" s="81" t="n"/>
      <c r="V285" s="82" t="n"/>
      <c r="W285" s="65">
        <f>IF(OR($I285&lt;&gt;"Completed",$M285="",$L285=""),"",IF($M285&lt;=$L285,"Yes","No"))</f>
        <v/>
      </c>
      <c r="X285" s="84">
        <f>IF($A285="","",COUNTIF(Task_Steps!$B$5:$B$2004,$A285))</f>
        <v/>
      </c>
      <c r="Y285" s="86">
        <f>IF($X285=0,"",COUNTIFS(Task_Steps!$B$5:$B$2004,$A285,Task_Steps!$H$5:$H$2004,"Completed")/$X285)</f>
        <v/>
      </c>
      <c r="Z285" s="81" t="n"/>
      <c r="AA285" s="81" t="n"/>
      <c r="AB285" s="67">
        <f>IF($F285="","",IFERROR(INDEX(Employee_Master!$E$5:$E$204,MATCH($F285,Employee_Master!$B$5:$B$204,0)),""))</f>
        <v/>
      </c>
      <c r="AC285" s="65">
        <f>IF(OR($A285="",$AB285=""),"",IF(OR($I285="Completed",$I285="Cancelled"),"Closed - in Manager Report","Active - in Manager Report"))</f>
        <v/>
      </c>
      <c r="AD285" s="81">
        <f>IF($A285="","",IFERROR(TEXTJOIN(", ",TRUE,FILTER(Task_Steps!$A$5:$A$2004,Task_Steps!$B$5:$B$2004=$A285)),""))</f>
        <v/>
      </c>
      <c r="AE285" s="84">
        <f>IF($A285="","",COUNTIFS(Task_Steps!$B$5:$B$2004,$A285,Task_Steps!$H$5:$H$2004,"&lt;&gt;Completed",Task_Steps!$H$5:$H$2004,"&lt;&gt;Cancelled"))</f>
        <v/>
      </c>
      <c r="AF285" s="81">
        <f>IF(OR($B285="",$A285=""),"",$B285&amp;" | "&amp;$A285)</f>
        <v/>
      </c>
    </row>
    <row r="286" ht="15" customHeight="1" s="40">
      <c r="A286" s="65">
        <f>IF(COUNTA(B286:F286)=0,"","TSK-"&amp;TEXT(ROW()-4,"0000"))</f>
        <v/>
      </c>
      <c r="B286" s="78" t="n"/>
      <c r="C286" s="78" t="n"/>
      <c r="D286" s="81" t="n"/>
      <c r="E286" s="81" t="n"/>
      <c r="F286" s="78" t="n"/>
      <c r="G286" s="67">
        <f>IF($F286="","",IFERROR(INDEX(Employee_Master!$C$5:$C$204,MATCH($F286,Employee_Master!$B$5:$B$204,0)),""))</f>
        <v/>
      </c>
      <c r="H286" s="78" t="n"/>
      <c r="I286" s="78" t="n"/>
      <c r="J286" s="67">
        <f>IF($I286="","",IFERROR(INDEX(Action_Status_Map!$B$5:$B$11,MATCH($I286,Action_Status_Map!$A$5:$A$11,0)),""))</f>
        <v/>
      </c>
      <c r="K286" s="82" t="n"/>
      <c r="L286" s="82" t="n"/>
      <c r="M286" s="82" t="n"/>
      <c r="N286" s="83" t="n"/>
      <c r="O286" s="83" t="n"/>
      <c r="P286" s="66">
        <f>IF(OR($N286="",$O286=""),"",$O286-$N286)</f>
        <v/>
      </c>
      <c r="Q286" s="84">
        <f>IF($K286="","",IF($M286&lt;&gt;"",$M286-$K286,TODAY()-$K286))</f>
        <v/>
      </c>
      <c r="R286" s="85">
        <f>IF(OR($L286="",$I286="Completed",$I286="Cancelled"),"",IF(AND($L286&lt;TODAY(),$I286&lt;&gt;"Completed",$I286&lt;&gt;"Cancelled"),"Overdue","On Track"))</f>
        <v/>
      </c>
      <c r="S286" s="65">
        <f>IF($L286="","",TEXT($L286,"yyyy-mm"))</f>
        <v/>
      </c>
      <c r="T286" s="86">
        <f>IF($I286="","",IFERROR(INDEX(Action_Status_Map!$C$5:$C$11,MATCH($I286,Action_Status_Map!$A$5:$A$11,0)),""))</f>
        <v/>
      </c>
      <c r="U286" s="81" t="n"/>
      <c r="V286" s="82" t="n"/>
      <c r="W286" s="65">
        <f>IF(OR($I286&lt;&gt;"Completed",$M286="",$L286=""),"",IF($M286&lt;=$L286,"Yes","No"))</f>
        <v/>
      </c>
      <c r="X286" s="84">
        <f>IF($A286="","",COUNTIF(Task_Steps!$B$5:$B$2004,$A286))</f>
        <v/>
      </c>
      <c r="Y286" s="86">
        <f>IF($X286=0,"",COUNTIFS(Task_Steps!$B$5:$B$2004,$A286,Task_Steps!$H$5:$H$2004,"Completed")/$X286)</f>
        <v/>
      </c>
      <c r="Z286" s="81" t="n"/>
      <c r="AA286" s="81" t="n"/>
      <c r="AB286" s="67">
        <f>IF($F286="","",IFERROR(INDEX(Employee_Master!$E$5:$E$204,MATCH($F286,Employee_Master!$B$5:$B$204,0)),""))</f>
        <v/>
      </c>
      <c r="AC286" s="65">
        <f>IF(OR($A286="",$AB286=""),"",IF(OR($I286="Completed",$I286="Cancelled"),"Closed - in Manager Report","Active - in Manager Report"))</f>
        <v/>
      </c>
      <c r="AD286" s="81">
        <f>IF($A286="","",IFERROR(TEXTJOIN(", ",TRUE,FILTER(Task_Steps!$A$5:$A$2004,Task_Steps!$B$5:$B$2004=$A286)),""))</f>
        <v/>
      </c>
      <c r="AE286" s="84">
        <f>IF($A286="","",COUNTIFS(Task_Steps!$B$5:$B$2004,$A286,Task_Steps!$H$5:$H$2004,"&lt;&gt;Completed",Task_Steps!$H$5:$H$2004,"&lt;&gt;Cancelled"))</f>
        <v/>
      </c>
      <c r="AF286" s="81">
        <f>IF(OR($B286="",$A286=""),"",$B286&amp;" | "&amp;$A286)</f>
        <v/>
      </c>
    </row>
    <row r="287" ht="15" customHeight="1" s="40">
      <c r="A287" s="65">
        <f>IF(COUNTA(B287:F287)=0,"","TSK-"&amp;TEXT(ROW()-4,"0000"))</f>
        <v/>
      </c>
      <c r="B287" s="78" t="n"/>
      <c r="C287" s="78" t="n"/>
      <c r="D287" s="81" t="n"/>
      <c r="E287" s="81" t="n"/>
      <c r="F287" s="78" t="n"/>
      <c r="G287" s="67">
        <f>IF($F287="","",IFERROR(INDEX(Employee_Master!$C$5:$C$204,MATCH($F287,Employee_Master!$B$5:$B$204,0)),""))</f>
        <v/>
      </c>
      <c r="H287" s="78" t="n"/>
      <c r="I287" s="78" t="n"/>
      <c r="J287" s="67">
        <f>IF($I287="","",IFERROR(INDEX(Action_Status_Map!$B$5:$B$11,MATCH($I287,Action_Status_Map!$A$5:$A$11,0)),""))</f>
        <v/>
      </c>
      <c r="K287" s="82" t="n"/>
      <c r="L287" s="82" t="n"/>
      <c r="M287" s="82" t="n"/>
      <c r="N287" s="83" t="n"/>
      <c r="O287" s="83" t="n"/>
      <c r="P287" s="66">
        <f>IF(OR($N287="",$O287=""),"",$O287-$N287)</f>
        <v/>
      </c>
      <c r="Q287" s="84">
        <f>IF($K287="","",IF($M287&lt;&gt;"",$M287-$K287,TODAY()-$K287))</f>
        <v/>
      </c>
      <c r="R287" s="85">
        <f>IF(OR($L287="",$I287="Completed",$I287="Cancelled"),"",IF(AND($L287&lt;TODAY(),$I287&lt;&gt;"Completed",$I287&lt;&gt;"Cancelled"),"Overdue","On Track"))</f>
        <v/>
      </c>
      <c r="S287" s="65">
        <f>IF($L287="","",TEXT($L287,"yyyy-mm"))</f>
        <v/>
      </c>
      <c r="T287" s="86">
        <f>IF($I287="","",IFERROR(INDEX(Action_Status_Map!$C$5:$C$11,MATCH($I287,Action_Status_Map!$A$5:$A$11,0)),""))</f>
        <v/>
      </c>
      <c r="U287" s="81" t="n"/>
      <c r="V287" s="82" t="n"/>
      <c r="W287" s="65">
        <f>IF(OR($I287&lt;&gt;"Completed",$M287="",$L287=""),"",IF($M287&lt;=$L287,"Yes","No"))</f>
        <v/>
      </c>
      <c r="X287" s="84">
        <f>IF($A287="","",COUNTIF(Task_Steps!$B$5:$B$2004,$A287))</f>
        <v/>
      </c>
      <c r="Y287" s="86">
        <f>IF($X287=0,"",COUNTIFS(Task_Steps!$B$5:$B$2004,$A287,Task_Steps!$H$5:$H$2004,"Completed")/$X287)</f>
        <v/>
      </c>
      <c r="Z287" s="81" t="n"/>
      <c r="AA287" s="81" t="n"/>
      <c r="AB287" s="67">
        <f>IF($F287="","",IFERROR(INDEX(Employee_Master!$E$5:$E$204,MATCH($F287,Employee_Master!$B$5:$B$204,0)),""))</f>
        <v/>
      </c>
      <c r="AC287" s="65">
        <f>IF(OR($A287="",$AB287=""),"",IF(OR($I287="Completed",$I287="Cancelled"),"Closed - in Manager Report","Active - in Manager Report"))</f>
        <v/>
      </c>
      <c r="AD287" s="81">
        <f>IF($A287="","",IFERROR(TEXTJOIN(", ",TRUE,FILTER(Task_Steps!$A$5:$A$2004,Task_Steps!$B$5:$B$2004=$A287)),""))</f>
        <v/>
      </c>
      <c r="AE287" s="84">
        <f>IF($A287="","",COUNTIFS(Task_Steps!$B$5:$B$2004,$A287,Task_Steps!$H$5:$H$2004,"&lt;&gt;Completed",Task_Steps!$H$5:$H$2004,"&lt;&gt;Cancelled"))</f>
        <v/>
      </c>
      <c r="AF287" s="81">
        <f>IF(OR($B287="",$A287=""),"",$B287&amp;" | "&amp;$A287)</f>
        <v/>
      </c>
    </row>
    <row r="288" ht="15" customHeight="1" s="40">
      <c r="A288" s="65">
        <f>IF(COUNTA(B288:F288)=0,"","TSK-"&amp;TEXT(ROW()-4,"0000"))</f>
        <v/>
      </c>
      <c r="B288" s="78" t="n"/>
      <c r="C288" s="78" t="n"/>
      <c r="D288" s="81" t="n"/>
      <c r="E288" s="81" t="n"/>
      <c r="F288" s="78" t="n"/>
      <c r="G288" s="67">
        <f>IF($F288="","",IFERROR(INDEX(Employee_Master!$C$5:$C$204,MATCH($F288,Employee_Master!$B$5:$B$204,0)),""))</f>
        <v/>
      </c>
      <c r="H288" s="78" t="n"/>
      <c r="I288" s="78" t="n"/>
      <c r="J288" s="67">
        <f>IF($I288="","",IFERROR(INDEX(Action_Status_Map!$B$5:$B$11,MATCH($I288,Action_Status_Map!$A$5:$A$11,0)),""))</f>
        <v/>
      </c>
      <c r="K288" s="82" t="n"/>
      <c r="L288" s="82" t="n"/>
      <c r="M288" s="82" t="n"/>
      <c r="N288" s="83" t="n"/>
      <c r="O288" s="83" t="n"/>
      <c r="P288" s="66">
        <f>IF(OR($N288="",$O288=""),"",$O288-$N288)</f>
        <v/>
      </c>
      <c r="Q288" s="84">
        <f>IF($K288="","",IF($M288&lt;&gt;"",$M288-$K288,TODAY()-$K288))</f>
        <v/>
      </c>
      <c r="R288" s="85">
        <f>IF(OR($L288="",$I288="Completed",$I288="Cancelled"),"",IF(AND($L288&lt;TODAY(),$I288&lt;&gt;"Completed",$I288&lt;&gt;"Cancelled"),"Overdue","On Track"))</f>
        <v/>
      </c>
      <c r="S288" s="65">
        <f>IF($L288="","",TEXT($L288,"yyyy-mm"))</f>
        <v/>
      </c>
      <c r="T288" s="86">
        <f>IF($I288="","",IFERROR(INDEX(Action_Status_Map!$C$5:$C$11,MATCH($I288,Action_Status_Map!$A$5:$A$11,0)),""))</f>
        <v/>
      </c>
      <c r="U288" s="81" t="n"/>
      <c r="V288" s="82" t="n"/>
      <c r="W288" s="65">
        <f>IF(OR($I288&lt;&gt;"Completed",$M288="",$L288=""),"",IF($M288&lt;=$L288,"Yes","No"))</f>
        <v/>
      </c>
      <c r="X288" s="84">
        <f>IF($A288="","",COUNTIF(Task_Steps!$B$5:$B$2004,$A288))</f>
        <v/>
      </c>
      <c r="Y288" s="86">
        <f>IF($X288=0,"",COUNTIFS(Task_Steps!$B$5:$B$2004,$A288,Task_Steps!$H$5:$H$2004,"Completed")/$X288)</f>
        <v/>
      </c>
      <c r="Z288" s="81" t="n"/>
      <c r="AA288" s="81" t="n"/>
      <c r="AB288" s="67">
        <f>IF($F288="","",IFERROR(INDEX(Employee_Master!$E$5:$E$204,MATCH($F288,Employee_Master!$B$5:$B$204,0)),""))</f>
        <v/>
      </c>
      <c r="AC288" s="65">
        <f>IF(OR($A288="",$AB288=""),"",IF(OR($I288="Completed",$I288="Cancelled"),"Closed - in Manager Report","Active - in Manager Report"))</f>
        <v/>
      </c>
      <c r="AD288" s="81">
        <f>IF($A288="","",IFERROR(TEXTJOIN(", ",TRUE,FILTER(Task_Steps!$A$5:$A$2004,Task_Steps!$B$5:$B$2004=$A288)),""))</f>
        <v/>
      </c>
      <c r="AE288" s="84">
        <f>IF($A288="","",COUNTIFS(Task_Steps!$B$5:$B$2004,$A288,Task_Steps!$H$5:$H$2004,"&lt;&gt;Completed",Task_Steps!$H$5:$H$2004,"&lt;&gt;Cancelled"))</f>
        <v/>
      </c>
      <c r="AF288" s="81">
        <f>IF(OR($B288="",$A288=""),"",$B288&amp;" | "&amp;$A288)</f>
        <v/>
      </c>
    </row>
    <row r="289" ht="15" customHeight="1" s="40">
      <c r="A289" s="65">
        <f>IF(COUNTA(B289:F289)=0,"","TSK-"&amp;TEXT(ROW()-4,"0000"))</f>
        <v/>
      </c>
      <c r="B289" s="78" t="n"/>
      <c r="C289" s="78" t="n"/>
      <c r="D289" s="81" t="n"/>
      <c r="E289" s="81" t="n"/>
      <c r="F289" s="78" t="n"/>
      <c r="G289" s="67">
        <f>IF($F289="","",IFERROR(INDEX(Employee_Master!$C$5:$C$204,MATCH($F289,Employee_Master!$B$5:$B$204,0)),""))</f>
        <v/>
      </c>
      <c r="H289" s="78" t="n"/>
      <c r="I289" s="78" t="n"/>
      <c r="J289" s="67">
        <f>IF($I289="","",IFERROR(INDEX(Action_Status_Map!$B$5:$B$11,MATCH($I289,Action_Status_Map!$A$5:$A$11,0)),""))</f>
        <v/>
      </c>
      <c r="K289" s="82" t="n"/>
      <c r="L289" s="82" t="n"/>
      <c r="M289" s="82" t="n"/>
      <c r="N289" s="83" t="n"/>
      <c r="O289" s="83" t="n"/>
      <c r="P289" s="66">
        <f>IF(OR($N289="",$O289=""),"",$O289-$N289)</f>
        <v/>
      </c>
      <c r="Q289" s="84">
        <f>IF($K289="","",IF($M289&lt;&gt;"",$M289-$K289,TODAY()-$K289))</f>
        <v/>
      </c>
      <c r="R289" s="85">
        <f>IF(OR($L289="",$I289="Completed",$I289="Cancelled"),"",IF(AND($L289&lt;TODAY(),$I289&lt;&gt;"Completed",$I289&lt;&gt;"Cancelled"),"Overdue","On Track"))</f>
        <v/>
      </c>
      <c r="S289" s="65">
        <f>IF($L289="","",TEXT($L289,"yyyy-mm"))</f>
        <v/>
      </c>
      <c r="T289" s="86">
        <f>IF($I289="","",IFERROR(INDEX(Action_Status_Map!$C$5:$C$11,MATCH($I289,Action_Status_Map!$A$5:$A$11,0)),""))</f>
        <v/>
      </c>
      <c r="U289" s="81" t="n"/>
      <c r="V289" s="82" t="n"/>
      <c r="W289" s="65">
        <f>IF(OR($I289&lt;&gt;"Completed",$M289="",$L289=""),"",IF($M289&lt;=$L289,"Yes","No"))</f>
        <v/>
      </c>
      <c r="X289" s="84">
        <f>IF($A289="","",COUNTIF(Task_Steps!$B$5:$B$2004,$A289))</f>
        <v/>
      </c>
      <c r="Y289" s="86">
        <f>IF($X289=0,"",COUNTIFS(Task_Steps!$B$5:$B$2004,$A289,Task_Steps!$H$5:$H$2004,"Completed")/$X289)</f>
        <v/>
      </c>
      <c r="Z289" s="81" t="n"/>
      <c r="AA289" s="81" t="n"/>
      <c r="AB289" s="67">
        <f>IF($F289="","",IFERROR(INDEX(Employee_Master!$E$5:$E$204,MATCH($F289,Employee_Master!$B$5:$B$204,0)),""))</f>
        <v/>
      </c>
      <c r="AC289" s="65">
        <f>IF(OR($A289="",$AB289=""),"",IF(OR($I289="Completed",$I289="Cancelled"),"Closed - in Manager Report","Active - in Manager Report"))</f>
        <v/>
      </c>
      <c r="AD289" s="81">
        <f>IF($A289="","",IFERROR(TEXTJOIN(", ",TRUE,FILTER(Task_Steps!$A$5:$A$2004,Task_Steps!$B$5:$B$2004=$A289)),""))</f>
        <v/>
      </c>
      <c r="AE289" s="84">
        <f>IF($A289="","",COUNTIFS(Task_Steps!$B$5:$B$2004,$A289,Task_Steps!$H$5:$H$2004,"&lt;&gt;Completed",Task_Steps!$H$5:$H$2004,"&lt;&gt;Cancelled"))</f>
        <v/>
      </c>
      <c r="AF289" s="81">
        <f>IF(OR($B289="",$A289=""),"",$B289&amp;" | "&amp;$A289)</f>
        <v/>
      </c>
    </row>
    <row r="290" ht="15" customHeight="1" s="40">
      <c r="A290" s="65">
        <f>IF(COUNTA(B290:F290)=0,"","TSK-"&amp;TEXT(ROW()-4,"0000"))</f>
        <v/>
      </c>
      <c r="B290" s="78" t="n"/>
      <c r="C290" s="78" t="n"/>
      <c r="D290" s="81" t="n"/>
      <c r="E290" s="81" t="n"/>
      <c r="F290" s="78" t="n"/>
      <c r="G290" s="67">
        <f>IF($F290="","",IFERROR(INDEX(Employee_Master!$C$5:$C$204,MATCH($F290,Employee_Master!$B$5:$B$204,0)),""))</f>
        <v/>
      </c>
      <c r="H290" s="78" t="n"/>
      <c r="I290" s="78" t="n"/>
      <c r="J290" s="67">
        <f>IF($I290="","",IFERROR(INDEX(Action_Status_Map!$B$5:$B$11,MATCH($I290,Action_Status_Map!$A$5:$A$11,0)),""))</f>
        <v/>
      </c>
      <c r="K290" s="82" t="n"/>
      <c r="L290" s="82" t="n"/>
      <c r="M290" s="82" t="n"/>
      <c r="N290" s="83" t="n"/>
      <c r="O290" s="83" t="n"/>
      <c r="P290" s="66">
        <f>IF(OR($N290="",$O290=""),"",$O290-$N290)</f>
        <v/>
      </c>
      <c r="Q290" s="84">
        <f>IF($K290="","",IF($M290&lt;&gt;"",$M290-$K290,TODAY()-$K290))</f>
        <v/>
      </c>
      <c r="R290" s="85">
        <f>IF(OR($L290="",$I290="Completed",$I290="Cancelled"),"",IF(AND($L290&lt;TODAY(),$I290&lt;&gt;"Completed",$I290&lt;&gt;"Cancelled"),"Overdue","On Track"))</f>
        <v/>
      </c>
      <c r="S290" s="65">
        <f>IF($L290="","",TEXT($L290,"yyyy-mm"))</f>
        <v/>
      </c>
      <c r="T290" s="86">
        <f>IF($I290="","",IFERROR(INDEX(Action_Status_Map!$C$5:$C$11,MATCH($I290,Action_Status_Map!$A$5:$A$11,0)),""))</f>
        <v/>
      </c>
      <c r="U290" s="81" t="n"/>
      <c r="V290" s="82" t="n"/>
      <c r="W290" s="65">
        <f>IF(OR($I290&lt;&gt;"Completed",$M290="",$L290=""),"",IF($M290&lt;=$L290,"Yes","No"))</f>
        <v/>
      </c>
      <c r="X290" s="84">
        <f>IF($A290="","",COUNTIF(Task_Steps!$B$5:$B$2004,$A290))</f>
        <v/>
      </c>
      <c r="Y290" s="86">
        <f>IF($X290=0,"",COUNTIFS(Task_Steps!$B$5:$B$2004,$A290,Task_Steps!$H$5:$H$2004,"Completed")/$X290)</f>
        <v/>
      </c>
      <c r="Z290" s="81" t="n"/>
      <c r="AA290" s="81" t="n"/>
      <c r="AB290" s="67">
        <f>IF($F290="","",IFERROR(INDEX(Employee_Master!$E$5:$E$204,MATCH($F290,Employee_Master!$B$5:$B$204,0)),""))</f>
        <v/>
      </c>
      <c r="AC290" s="65">
        <f>IF(OR($A290="",$AB290=""),"",IF(OR($I290="Completed",$I290="Cancelled"),"Closed - in Manager Report","Active - in Manager Report"))</f>
        <v/>
      </c>
      <c r="AD290" s="81">
        <f>IF($A290="","",IFERROR(TEXTJOIN(", ",TRUE,FILTER(Task_Steps!$A$5:$A$2004,Task_Steps!$B$5:$B$2004=$A290)),""))</f>
        <v/>
      </c>
      <c r="AE290" s="84">
        <f>IF($A290="","",COUNTIFS(Task_Steps!$B$5:$B$2004,$A290,Task_Steps!$H$5:$H$2004,"&lt;&gt;Completed",Task_Steps!$H$5:$H$2004,"&lt;&gt;Cancelled"))</f>
        <v/>
      </c>
      <c r="AF290" s="81">
        <f>IF(OR($B290="",$A290=""),"",$B290&amp;" | "&amp;$A290)</f>
        <v/>
      </c>
    </row>
    <row r="291" ht="15" customHeight="1" s="40">
      <c r="A291" s="65">
        <f>IF(COUNTA(B291:F291)=0,"","TSK-"&amp;TEXT(ROW()-4,"0000"))</f>
        <v/>
      </c>
      <c r="B291" s="78" t="n"/>
      <c r="C291" s="78" t="n"/>
      <c r="D291" s="81" t="n"/>
      <c r="E291" s="81" t="n"/>
      <c r="F291" s="78" t="n"/>
      <c r="G291" s="67">
        <f>IF($F291="","",IFERROR(INDEX(Employee_Master!$C$5:$C$204,MATCH($F291,Employee_Master!$B$5:$B$204,0)),""))</f>
        <v/>
      </c>
      <c r="H291" s="78" t="n"/>
      <c r="I291" s="78" t="n"/>
      <c r="J291" s="67">
        <f>IF($I291="","",IFERROR(INDEX(Action_Status_Map!$B$5:$B$11,MATCH($I291,Action_Status_Map!$A$5:$A$11,0)),""))</f>
        <v/>
      </c>
      <c r="K291" s="82" t="n"/>
      <c r="L291" s="82" t="n"/>
      <c r="M291" s="82" t="n"/>
      <c r="N291" s="83" t="n"/>
      <c r="O291" s="83" t="n"/>
      <c r="P291" s="66">
        <f>IF(OR($N291="",$O291=""),"",$O291-$N291)</f>
        <v/>
      </c>
      <c r="Q291" s="84">
        <f>IF($K291="","",IF($M291&lt;&gt;"",$M291-$K291,TODAY()-$K291))</f>
        <v/>
      </c>
      <c r="R291" s="85">
        <f>IF(OR($L291="",$I291="Completed",$I291="Cancelled"),"",IF(AND($L291&lt;TODAY(),$I291&lt;&gt;"Completed",$I291&lt;&gt;"Cancelled"),"Overdue","On Track"))</f>
        <v/>
      </c>
      <c r="S291" s="65">
        <f>IF($L291="","",TEXT($L291,"yyyy-mm"))</f>
        <v/>
      </c>
      <c r="T291" s="86">
        <f>IF($I291="","",IFERROR(INDEX(Action_Status_Map!$C$5:$C$11,MATCH($I291,Action_Status_Map!$A$5:$A$11,0)),""))</f>
        <v/>
      </c>
      <c r="U291" s="81" t="n"/>
      <c r="V291" s="82" t="n"/>
      <c r="W291" s="65">
        <f>IF(OR($I291&lt;&gt;"Completed",$M291="",$L291=""),"",IF($M291&lt;=$L291,"Yes","No"))</f>
        <v/>
      </c>
      <c r="X291" s="84">
        <f>IF($A291="","",COUNTIF(Task_Steps!$B$5:$B$2004,$A291))</f>
        <v/>
      </c>
      <c r="Y291" s="86">
        <f>IF($X291=0,"",COUNTIFS(Task_Steps!$B$5:$B$2004,$A291,Task_Steps!$H$5:$H$2004,"Completed")/$X291)</f>
        <v/>
      </c>
      <c r="Z291" s="81" t="n"/>
      <c r="AA291" s="81" t="n"/>
      <c r="AB291" s="67">
        <f>IF($F291="","",IFERROR(INDEX(Employee_Master!$E$5:$E$204,MATCH($F291,Employee_Master!$B$5:$B$204,0)),""))</f>
        <v/>
      </c>
      <c r="AC291" s="65">
        <f>IF(OR($A291="",$AB291=""),"",IF(OR($I291="Completed",$I291="Cancelled"),"Closed - in Manager Report","Active - in Manager Report"))</f>
        <v/>
      </c>
      <c r="AD291" s="81">
        <f>IF($A291="","",IFERROR(TEXTJOIN(", ",TRUE,FILTER(Task_Steps!$A$5:$A$2004,Task_Steps!$B$5:$B$2004=$A291)),""))</f>
        <v/>
      </c>
      <c r="AE291" s="84">
        <f>IF($A291="","",COUNTIFS(Task_Steps!$B$5:$B$2004,$A291,Task_Steps!$H$5:$H$2004,"&lt;&gt;Completed",Task_Steps!$H$5:$H$2004,"&lt;&gt;Cancelled"))</f>
        <v/>
      </c>
      <c r="AF291" s="81">
        <f>IF(OR($B291="",$A291=""),"",$B291&amp;" | "&amp;$A291)</f>
        <v/>
      </c>
    </row>
    <row r="292" ht="15" customHeight="1" s="40">
      <c r="A292" s="65">
        <f>IF(COUNTA(B292:F292)=0,"","TSK-"&amp;TEXT(ROW()-4,"0000"))</f>
        <v/>
      </c>
      <c r="B292" s="78" t="n"/>
      <c r="C292" s="78" t="n"/>
      <c r="D292" s="81" t="n"/>
      <c r="E292" s="81" t="n"/>
      <c r="F292" s="78" t="n"/>
      <c r="G292" s="67">
        <f>IF($F292="","",IFERROR(INDEX(Employee_Master!$C$5:$C$204,MATCH($F292,Employee_Master!$B$5:$B$204,0)),""))</f>
        <v/>
      </c>
      <c r="H292" s="78" t="n"/>
      <c r="I292" s="78" t="n"/>
      <c r="J292" s="67">
        <f>IF($I292="","",IFERROR(INDEX(Action_Status_Map!$B$5:$B$11,MATCH($I292,Action_Status_Map!$A$5:$A$11,0)),""))</f>
        <v/>
      </c>
      <c r="K292" s="82" t="n"/>
      <c r="L292" s="82" t="n"/>
      <c r="M292" s="82" t="n"/>
      <c r="N292" s="83" t="n"/>
      <c r="O292" s="83" t="n"/>
      <c r="P292" s="66">
        <f>IF(OR($N292="",$O292=""),"",$O292-$N292)</f>
        <v/>
      </c>
      <c r="Q292" s="84">
        <f>IF($K292="","",IF($M292&lt;&gt;"",$M292-$K292,TODAY()-$K292))</f>
        <v/>
      </c>
      <c r="R292" s="85">
        <f>IF(OR($L292="",$I292="Completed",$I292="Cancelled"),"",IF(AND($L292&lt;TODAY(),$I292&lt;&gt;"Completed",$I292&lt;&gt;"Cancelled"),"Overdue","On Track"))</f>
        <v/>
      </c>
      <c r="S292" s="65">
        <f>IF($L292="","",TEXT($L292,"yyyy-mm"))</f>
        <v/>
      </c>
      <c r="T292" s="86">
        <f>IF($I292="","",IFERROR(INDEX(Action_Status_Map!$C$5:$C$11,MATCH($I292,Action_Status_Map!$A$5:$A$11,0)),""))</f>
        <v/>
      </c>
      <c r="U292" s="81" t="n"/>
      <c r="V292" s="82" t="n"/>
      <c r="W292" s="65">
        <f>IF(OR($I292&lt;&gt;"Completed",$M292="",$L292=""),"",IF($M292&lt;=$L292,"Yes","No"))</f>
        <v/>
      </c>
      <c r="X292" s="84">
        <f>IF($A292="","",COUNTIF(Task_Steps!$B$5:$B$2004,$A292))</f>
        <v/>
      </c>
      <c r="Y292" s="86">
        <f>IF($X292=0,"",COUNTIFS(Task_Steps!$B$5:$B$2004,$A292,Task_Steps!$H$5:$H$2004,"Completed")/$X292)</f>
        <v/>
      </c>
      <c r="Z292" s="81" t="n"/>
      <c r="AA292" s="81" t="n"/>
      <c r="AB292" s="67">
        <f>IF($F292="","",IFERROR(INDEX(Employee_Master!$E$5:$E$204,MATCH($F292,Employee_Master!$B$5:$B$204,0)),""))</f>
        <v/>
      </c>
      <c r="AC292" s="65">
        <f>IF(OR($A292="",$AB292=""),"",IF(OR($I292="Completed",$I292="Cancelled"),"Closed - in Manager Report","Active - in Manager Report"))</f>
        <v/>
      </c>
      <c r="AD292" s="81">
        <f>IF($A292="","",IFERROR(TEXTJOIN(", ",TRUE,FILTER(Task_Steps!$A$5:$A$2004,Task_Steps!$B$5:$B$2004=$A292)),""))</f>
        <v/>
      </c>
      <c r="AE292" s="84">
        <f>IF($A292="","",COUNTIFS(Task_Steps!$B$5:$B$2004,$A292,Task_Steps!$H$5:$H$2004,"&lt;&gt;Completed",Task_Steps!$H$5:$H$2004,"&lt;&gt;Cancelled"))</f>
        <v/>
      </c>
      <c r="AF292" s="81">
        <f>IF(OR($B292="",$A292=""),"",$B292&amp;" | "&amp;$A292)</f>
        <v/>
      </c>
    </row>
    <row r="293" ht="15" customHeight="1" s="40">
      <c r="A293" s="65">
        <f>IF(COUNTA(B293:F293)=0,"","TSK-"&amp;TEXT(ROW()-4,"0000"))</f>
        <v/>
      </c>
      <c r="B293" s="78" t="n"/>
      <c r="C293" s="78" t="n"/>
      <c r="D293" s="81" t="n"/>
      <c r="E293" s="81" t="n"/>
      <c r="F293" s="78" t="n"/>
      <c r="G293" s="67">
        <f>IF($F293="","",IFERROR(INDEX(Employee_Master!$C$5:$C$204,MATCH($F293,Employee_Master!$B$5:$B$204,0)),""))</f>
        <v/>
      </c>
      <c r="H293" s="78" t="n"/>
      <c r="I293" s="78" t="n"/>
      <c r="J293" s="67">
        <f>IF($I293="","",IFERROR(INDEX(Action_Status_Map!$B$5:$B$11,MATCH($I293,Action_Status_Map!$A$5:$A$11,0)),""))</f>
        <v/>
      </c>
      <c r="K293" s="82" t="n"/>
      <c r="L293" s="82" t="n"/>
      <c r="M293" s="82" t="n"/>
      <c r="N293" s="83" t="n"/>
      <c r="O293" s="83" t="n"/>
      <c r="P293" s="66">
        <f>IF(OR($N293="",$O293=""),"",$O293-$N293)</f>
        <v/>
      </c>
      <c r="Q293" s="84">
        <f>IF($K293="","",IF($M293&lt;&gt;"",$M293-$K293,TODAY()-$K293))</f>
        <v/>
      </c>
      <c r="R293" s="85">
        <f>IF(OR($L293="",$I293="Completed",$I293="Cancelled"),"",IF(AND($L293&lt;TODAY(),$I293&lt;&gt;"Completed",$I293&lt;&gt;"Cancelled"),"Overdue","On Track"))</f>
        <v/>
      </c>
      <c r="S293" s="65">
        <f>IF($L293="","",TEXT($L293,"yyyy-mm"))</f>
        <v/>
      </c>
      <c r="T293" s="86">
        <f>IF($I293="","",IFERROR(INDEX(Action_Status_Map!$C$5:$C$11,MATCH($I293,Action_Status_Map!$A$5:$A$11,0)),""))</f>
        <v/>
      </c>
      <c r="U293" s="81" t="n"/>
      <c r="V293" s="82" t="n"/>
      <c r="W293" s="65">
        <f>IF(OR($I293&lt;&gt;"Completed",$M293="",$L293=""),"",IF($M293&lt;=$L293,"Yes","No"))</f>
        <v/>
      </c>
      <c r="X293" s="84">
        <f>IF($A293="","",COUNTIF(Task_Steps!$B$5:$B$2004,$A293))</f>
        <v/>
      </c>
      <c r="Y293" s="86">
        <f>IF($X293=0,"",COUNTIFS(Task_Steps!$B$5:$B$2004,$A293,Task_Steps!$H$5:$H$2004,"Completed")/$X293)</f>
        <v/>
      </c>
      <c r="Z293" s="81" t="n"/>
      <c r="AA293" s="81" t="n"/>
      <c r="AB293" s="67">
        <f>IF($F293="","",IFERROR(INDEX(Employee_Master!$E$5:$E$204,MATCH($F293,Employee_Master!$B$5:$B$204,0)),""))</f>
        <v/>
      </c>
      <c r="AC293" s="65">
        <f>IF(OR($A293="",$AB293=""),"",IF(OR($I293="Completed",$I293="Cancelled"),"Closed - in Manager Report","Active - in Manager Report"))</f>
        <v/>
      </c>
      <c r="AD293" s="81">
        <f>IF($A293="","",IFERROR(TEXTJOIN(", ",TRUE,FILTER(Task_Steps!$A$5:$A$2004,Task_Steps!$B$5:$B$2004=$A293)),""))</f>
        <v/>
      </c>
      <c r="AE293" s="84">
        <f>IF($A293="","",COUNTIFS(Task_Steps!$B$5:$B$2004,$A293,Task_Steps!$H$5:$H$2004,"&lt;&gt;Completed",Task_Steps!$H$5:$H$2004,"&lt;&gt;Cancelled"))</f>
        <v/>
      </c>
      <c r="AF293" s="81">
        <f>IF(OR($B293="",$A293=""),"",$B293&amp;" | "&amp;$A293)</f>
        <v/>
      </c>
    </row>
    <row r="294" ht="15" customHeight="1" s="40">
      <c r="A294" s="65">
        <f>IF(COUNTA(B294:F294)=0,"","TSK-"&amp;TEXT(ROW()-4,"0000"))</f>
        <v/>
      </c>
      <c r="B294" s="78" t="n"/>
      <c r="C294" s="78" t="n"/>
      <c r="D294" s="81" t="n"/>
      <c r="E294" s="81" t="n"/>
      <c r="F294" s="78" t="n"/>
      <c r="G294" s="67">
        <f>IF($F294="","",IFERROR(INDEX(Employee_Master!$C$5:$C$204,MATCH($F294,Employee_Master!$B$5:$B$204,0)),""))</f>
        <v/>
      </c>
      <c r="H294" s="78" t="n"/>
      <c r="I294" s="78" t="n"/>
      <c r="J294" s="67">
        <f>IF($I294="","",IFERROR(INDEX(Action_Status_Map!$B$5:$B$11,MATCH($I294,Action_Status_Map!$A$5:$A$11,0)),""))</f>
        <v/>
      </c>
      <c r="K294" s="82" t="n"/>
      <c r="L294" s="82" t="n"/>
      <c r="M294" s="82" t="n"/>
      <c r="N294" s="83" t="n"/>
      <c r="O294" s="83" t="n"/>
      <c r="P294" s="66">
        <f>IF(OR($N294="",$O294=""),"",$O294-$N294)</f>
        <v/>
      </c>
      <c r="Q294" s="84">
        <f>IF($K294="","",IF($M294&lt;&gt;"",$M294-$K294,TODAY()-$K294))</f>
        <v/>
      </c>
      <c r="R294" s="85">
        <f>IF(OR($L294="",$I294="Completed",$I294="Cancelled"),"",IF(AND($L294&lt;TODAY(),$I294&lt;&gt;"Completed",$I294&lt;&gt;"Cancelled"),"Overdue","On Track"))</f>
        <v/>
      </c>
      <c r="S294" s="65">
        <f>IF($L294="","",TEXT($L294,"yyyy-mm"))</f>
        <v/>
      </c>
      <c r="T294" s="86">
        <f>IF($I294="","",IFERROR(INDEX(Action_Status_Map!$C$5:$C$11,MATCH($I294,Action_Status_Map!$A$5:$A$11,0)),""))</f>
        <v/>
      </c>
      <c r="U294" s="81" t="n"/>
      <c r="V294" s="82" t="n"/>
      <c r="W294" s="65">
        <f>IF(OR($I294&lt;&gt;"Completed",$M294="",$L294=""),"",IF($M294&lt;=$L294,"Yes","No"))</f>
        <v/>
      </c>
      <c r="X294" s="84">
        <f>IF($A294="","",COUNTIF(Task_Steps!$B$5:$B$2004,$A294))</f>
        <v/>
      </c>
      <c r="Y294" s="86">
        <f>IF($X294=0,"",COUNTIFS(Task_Steps!$B$5:$B$2004,$A294,Task_Steps!$H$5:$H$2004,"Completed")/$X294)</f>
        <v/>
      </c>
      <c r="Z294" s="81" t="n"/>
      <c r="AA294" s="81" t="n"/>
      <c r="AB294" s="67">
        <f>IF($F294="","",IFERROR(INDEX(Employee_Master!$E$5:$E$204,MATCH($F294,Employee_Master!$B$5:$B$204,0)),""))</f>
        <v/>
      </c>
      <c r="AC294" s="65">
        <f>IF(OR($A294="",$AB294=""),"",IF(OR($I294="Completed",$I294="Cancelled"),"Closed - in Manager Report","Active - in Manager Report"))</f>
        <v/>
      </c>
      <c r="AD294" s="81">
        <f>IF($A294="","",IFERROR(TEXTJOIN(", ",TRUE,FILTER(Task_Steps!$A$5:$A$2004,Task_Steps!$B$5:$B$2004=$A294)),""))</f>
        <v/>
      </c>
      <c r="AE294" s="84">
        <f>IF($A294="","",COUNTIFS(Task_Steps!$B$5:$B$2004,$A294,Task_Steps!$H$5:$H$2004,"&lt;&gt;Completed",Task_Steps!$H$5:$H$2004,"&lt;&gt;Cancelled"))</f>
        <v/>
      </c>
      <c r="AF294" s="81">
        <f>IF(OR($B294="",$A294=""),"",$B294&amp;" | "&amp;$A294)</f>
        <v/>
      </c>
    </row>
    <row r="295" ht="15" customHeight="1" s="40">
      <c r="A295" s="65">
        <f>IF(COUNTA(B295:F295)=0,"","TSK-"&amp;TEXT(ROW()-4,"0000"))</f>
        <v/>
      </c>
      <c r="B295" s="78" t="n"/>
      <c r="C295" s="78" t="n"/>
      <c r="D295" s="81" t="n"/>
      <c r="E295" s="81" t="n"/>
      <c r="F295" s="78" t="n"/>
      <c r="G295" s="67">
        <f>IF($F295="","",IFERROR(INDEX(Employee_Master!$C$5:$C$204,MATCH($F295,Employee_Master!$B$5:$B$204,0)),""))</f>
        <v/>
      </c>
      <c r="H295" s="78" t="n"/>
      <c r="I295" s="78" t="n"/>
      <c r="J295" s="67">
        <f>IF($I295="","",IFERROR(INDEX(Action_Status_Map!$B$5:$B$11,MATCH($I295,Action_Status_Map!$A$5:$A$11,0)),""))</f>
        <v/>
      </c>
      <c r="K295" s="82" t="n"/>
      <c r="L295" s="82" t="n"/>
      <c r="M295" s="82" t="n"/>
      <c r="N295" s="83" t="n"/>
      <c r="O295" s="83" t="n"/>
      <c r="P295" s="66">
        <f>IF(OR($N295="",$O295=""),"",$O295-$N295)</f>
        <v/>
      </c>
      <c r="Q295" s="84">
        <f>IF($K295="","",IF($M295&lt;&gt;"",$M295-$K295,TODAY()-$K295))</f>
        <v/>
      </c>
      <c r="R295" s="85">
        <f>IF(OR($L295="",$I295="Completed",$I295="Cancelled"),"",IF(AND($L295&lt;TODAY(),$I295&lt;&gt;"Completed",$I295&lt;&gt;"Cancelled"),"Overdue","On Track"))</f>
        <v/>
      </c>
      <c r="S295" s="65">
        <f>IF($L295="","",TEXT($L295,"yyyy-mm"))</f>
        <v/>
      </c>
      <c r="T295" s="86">
        <f>IF($I295="","",IFERROR(INDEX(Action_Status_Map!$C$5:$C$11,MATCH($I295,Action_Status_Map!$A$5:$A$11,0)),""))</f>
        <v/>
      </c>
      <c r="U295" s="81" t="n"/>
      <c r="V295" s="82" t="n"/>
      <c r="W295" s="65">
        <f>IF(OR($I295&lt;&gt;"Completed",$M295="",$L295=""),"",IF($M295&lt;=$L295,"Yes","No"))</f>
        <v/>
      </c>
      <c r="X295" s="84">
        <f>IF($A295="","",COUNTIF(Task_Steps!$B$5:$B$2004,$A295))</f>
        <v/>
      </c>
      <c r="Y295" s="86">
        <f>IF($X295=0,"",COUNTIFS(Task_Steps!$B$5:$B$2004,$A295,Task_Steps!$H$5:$H$2004,"Completed")/$X295)</f>
        <v/>
      </c>
      <c r="Z295" s="81" t="n"/>
      <c r="AA295" s="81" t="n"/>
      <c r="AB295" s="67">
        <f>IF($F295="","",IFERROR(INDEX(Employee_Master!$E$5:$E$204,MATCH($F295,Employee_Master!$B$5:$B$204,0)),""))</f>
        <v/>
      </c>
      <c r="AC295" s="65">
        <f>IF(OR($A295="",$AB295=""),"",IF(OR($I295="Completed",$I295="Cancelled"),"Closed - in Manager Report","Active - in Manager Report"))</f>
        <v/>
      </c>
      <c r="AD295" s="81">
        <f>IF($A295="","",IFERROR(TEXTJOIN(", ",TRUE,FILTER(Task_Steps!$A$5:$A$2004,Task_Steps!$B$5:$B$2004=$A295)),""))</f>
        <v/>
      </c>
      <c r="AE295" s="84">
        <f>IF($A295="","",COUNTIFS(Task_Steps!$B$5:$B$2004,$A295,Task_Steps!$H$5:$H$2004,"&lt;&gt;Completed",Task_Steps!$H$5:$H$2004,"&lt;&gt;Cancelled"))</f>
        <v/>
      </c>
      <c r="AF295" s="81">
        <f>IF(OR($B295="",$A295=""),"",$B295&amp;" | "&amp;$A295)</f>
        <v/>
      </c>
    </row>
    <row r="296" ht="15" customHeight="1" s="40">
      <c r="A296" s="65">
        <f>IF(COUNTA(B296:F296)=0,"","TSK-"&amp;TEXT(ROW()-4,"0000"))</f>
        <v/>
      </c>
      <c r="B296" s="78" t="n"/>
      <c r="C296" s="78" t="n"/>
      <c r="D296" s="81" t="n"/>
      <c r="E296" s="81" t="n"/>
      <c r="F296" s="78" t="n"/>
      <c r="G296" s="67">
        <f>IF($F296="","",IFERROR(INDEX(Employee_Master!$C$5:$C$204,MATCH($F296,Employee_Master!$B$5:$B$204,0)),""))</f>
        <v/>
      </c>
      <c r="H296" s="78" t="n"/>
      <c r="I296" s="78" t="n"/>
      <c r="J296" s="67">
        <f>IF($I296="","",IFERROR(INDEX(Action_Status_Map!$B$5:$B$11,MATCH($I296,Action_Status_Map!$A$5:$A$11,0)),""))</f>
        <v/>
      </c>
      <c r="K296" s="82" t="n"/>
      <c r="L296" s="82" t="n"/>
      <c r="M296" s="82" t="n"/>
      <c r="N296" s="83" t="n"/>
      <c r="O296" s="83" t="n"/>
      <c r="P296" s="66">
        <f>IF(OR($N296="",$O296=""),"",$O296-$N296)</f>
        <v/>
      </c>
      <c r="Q296" s="84">
        <f>IF($K296="","",IF($M296&lt;&gt;"",$M296-$K296,TODAY()-$K296))</f>
        <v/>
      </c>
      <c r="R296" s="85">
        <f>IF(OR($L296="",$I296="Completed",$I296="Cancelled"),"",IF(AND($L296&lt;TODAY(),$I296&lt;&gt;"Completed",$I296&lt;&gt;"Cancelled"),"Overdue","On Track"))</f>
        <v/>
      </c>
      <c r="S296" s="65">
        <f>IF($L296="","",TEXT($L296,"yyyy-mm"))</f>
        <v/>
      </c>
      <c r="T296" s="86">
        <f>IF($I296="","",IFERROR(INDEX(Action_Status_Map!$C$5:$C$11,MATCH($I296,Action_Status_Map!$A$5:$A$11,0)),""))</f>
        <v/>
      </c>
      <c r="U296" s="81" t="n"/>
      <c r="V296" s="82" t="n"/>
      <c r="W296" s="65">
        <f>IF(OR($I296&lt;&gt;"Completed",$M296="",$L296=""),"",IF($M296&lt;=$L296,"Yes","No"))</f>
        <v/>
      </c>
      <c r="X296" s="84">
        <f>IF($A296="","",COUNTIF(Task_Steps!$B$5:$B$2004,$A296))</f>
        <v/>
      </c>
      <c r="Y296" s="86">
        <f>IF($X296=0,"",COUNTIFS(Task_Steps!$B$5:$B$2004,$A296,Task_Steps!$H$5:$H$2004,"Completed")/$X296)</f>
        <v/>
      </c>
      <c r="Z296" s="81" t="n"/>
      <c r="AA296" s="81" t="n"/>
      <c r="AB296" s="67">
        <f>IF($F296="","",IFERROR(INDEX(Employee_Master!$E$5:$E$204,MATCH($F296,Employee_Master!$B$5:$B$204,0)),""))</f>
        <v/>
      </c>
      <c r="AC296" s="65">
        <f>IF(OR($A296="",$AB296=""),"",IF(OR($I296="Completed",$I296="Cancelled"),"Closed - in Manager Report","Active - in Manager Report"))</f>
        <v/>
      </c>
      <c r="AD296" s="81">
        <f>IF($A296="","",IFERROR(TEXTJOIN(", ",TRUE,FILTER(Task_Steps!$A$5:$A$2004,Task_Steps!$B$5:$B$2004=$A296)),""))</f>
        <v/>
      </c>
      <c r="AE296" s="84">
        <f>IF($A296="","",COUNTIFS(Task_Steps!$B$5:$B$2004,$A296,Task_Steps!$H$5:$H$2004,"&lt;&gt;Completed",Task_Steps!$H$5:$H$2004,"&lt;&gt;Cancelled"))</f>
        <v/>
      </c>
      <c r="AF296" s="81">
        <f>IF(OR($B296="",$A296=""),"",$B296&amp;" | "&amp;$A296)</f>
        <v/>
      </c>
    </row>
    <row r="297" ht="15" customHeight="1" s="40">
      <c r="A297" s="65">
        <f>IF(COUNTA(B297:F297)=0,"","TSK-"&amp;TEXT(ROW()-4,"0000"))</f>
        <v/>
      </c>
      <c r="B297" s="78" t="n"/>
      <c r="C297" s="78" t="n"/>
      <c r="D297" s="81" t="n"/>
      <c r="E297" s="81" t="n"/>
      <c r="F297" s="78" t="n"/>
      <c r="G297" s="67">
        <f>IF($F297="","",IFERROR(INDEX(Employee_Master!$C$5:$C$204,MATCH($F297,Employee_Master!$B$5:$B$204,0)),""))</f>
        <v/>
      </c>
      <c r="H297" s="78" t="n"/>
      <c r="I297" s="78" t="n"/>
      <c r="J297" s="67">
        <f>IF($I297="","",IFERROR(INDEX(Action_Status_Map!$B$5:$B$11,MATCH($I297,Action_Status_Map!$A$5:$A$11,0)),""))</f>
        <v/>
      </c>
      <c r="K297" s="82" t="n"/>
      <c r="L297" s="82" t="n"/>
      <c r="M297" s="82" t="n"/>
      <c r="N297" s="83" t="n"/>
      <c r="O297" s="83" t="n"/>
      <c r="P297" s="66">
        <f>IF(OR($N297="",$O297=""),"",$O297-$N297)</f>
        <v/>
      </c>
      <c r="Q297" s="84">
        <f>IF($K297="","",IF($M297&lt;&gt;"",$M297-$K297,TODAY()-$K297))</f>
        <v/>
      </c>
      <c r="R297" s="85">
        <f>IF(OR($L297="",$I297="Completed",$I297="Cancelled"),"",IF(AND($L297&lt;TODAY(),$I297&lt;&gt;"Completed",$I297&lt;&gt;"Cancelled"),"Overdue","On Track"))</f>
        <v/>
      </c>
      <c r="S297" s="65">
        <f>IF($L297="","",TEXT($L297,"yyyy-mm"))</f>
        <v/>
      </c>
      <c r="T297" s="86">
        <f>IF($I297="","",IFERROR(INDEX(Action_Status_Map!$C$5:$C$11,MATCH($I297,Action_Status_Map!$A$5:$A$11,0)),""))</f>
        <v/>
      </c>
      <c r="U297" s="81" t="n"/>
      <c r="V297" s="82" t="n"/>
      <c r="W297" s="65">
        <f>IF(OR($I297&lt;&gt;"Completed",$M297="",$L297=""),"",IF($M297&lt;=$L297,"Yes","No"))</f>
        <v/>
      </c>
      <c r="X297" s="84">
        <f>IF($A297="","",COUNTIF(Task_Steps!$B$5:$B$2004,$A297))</f>
        <v/>
      </c>
      <c r="Y297" s="86">
        <f>IF($X297=0,"",COUNTIFS(Task_Steps!$B$5:$B$2004,$A297,Task_Steps!$H$5:$H$2004,"Completed")/$X297)</f>
        <v/>
      </c>
      <c r="Z297" s="81" t="n"/>
      <c r="AA297" s="81" t="n"/>
      <c r="AB297" s="67">
        <f>IF($F297="","",IFERROR(INDEX(Employee_Master!$E$5:$E$204,MATCH($F297,Employee_Master!$B$5:$B$204,0)),""))</f>
        <v/>
      </c>
      <c r="AC297" s="65">
        <f>IF(OR($A297="",$AB297=""),"",IF(OR($I297="Completed",$I297="Cancelled"),"Closed - in Manager Report","Active - in Manager Report"))</f>
        <v/>
      </c>
      <c r="AD297" s="81">
        <f>IF($A297="","",IFERROR(TEXTJOIN(", ",TRUE,FILTER(Task_Steps!$A$5:$A$2004,Task_Steps!$B$5:$B$2004=$A297)),""))</f>
        <v/>
      </c>
      <c r="AE297" s="84">
        <f>IF($A297="","",COUNTIFS(Task_Steps!$B$5:$B$2004,$A297,Task_Steps!$H$5:$H$2004,"&lt;&gt;Completed",Task_Steps!$H$5:$H$2004,"&lt;&gt;Cancelled"))</f>
        <v/>
      </c>
      <c r="AF297" s="81">
        <f>IF(OR($B297="",$A297=""),"",$B297&amp;" | "&amp;$A297)</f>
        <v/>
      </c>
    </row>
    <row r="298" ht="15" customHeight="1" s="40">
      <c r="A298" s="65">
        <f>IF(COUNTA(B298:F298)=0,"","TSK-"&amp;TEXT(ROW()-4,"0000"))</f>
        <v/>
      </c>
      <c r="B298" s="78" t="n"/>
      <c r="C298" s="78" t="n"/>
      <c r="D298" s="81" t="n"/>
      <c r="E298" s="81" t="n"/>
      <c r="F298" s="78" t="n"/>
      <c r="G298" s="67">
        <f>IF($F298="","",IFERROR(INDEX(Employee_Master!$C$5:$C$204,MATCH($F298,Employee_Master!$B$5:$B$204,0)),""))</f>
        <v/>
      </c>
      <c r="H298" s="78" t="n"/>
      <c r="I298" s="78" t="n"/>
      <c r="J298" s="67">
        <f>IF($I298="","",IFERROR(INDEX(Action_Status_Map!$B$5:$B$11,MATCH($I298,Action_Status_Map!$A$5:$A$11,0)),""))</f>
        <v/>
      </c>
      <c r="K298" s="82" t="n"/>
      <c r="L298" s="82" t="n"/>
      <c r="M298" s="82" t="n"/>
      <c r="N298" s="83" t="n"/>
      <c r="O298" s="83" t="n"/>
      <c r="P298" s="66">
        <f>IF(OR($N298="",$O298=""),"",$O298-$N298)</f>
        <v/>
      </c>
      <c r="Q298" s="84">
        <f>IF($K298="","",IF($M298&lt;&gt;"",$M298-$K298,TODAY()-$K298))</f>
        <v/>
      </c>
      <c r="R298" s="85">
        <f>IF(OR($L298="",$I298="Completed",$I298="Cancelled"),"",IF(AND($L298&lt;TODAY(),$I298&lt;&gt;"Completed",$I298&lt;&gt;"Cancelled"),"Overdue","On Track"))</f>
        <v/>
      </c>
      <c r="S298" s="65">
        <f>IF($L298="","",TEXT($L298,"yyyy-mm"))</f>
        <v/>
      </c>
      <c r="T298" s="86">
        <f>IF($I298="","",IFERROR(INDEX(Action_Status_Map!$C$5:$C$11,MATCH($I298,Action_Status_Map!$A$5:$A$11,0)),""))</f>
        <v/>
      </c>
      <c r="U298" s="81" t="n"/>
      <c r="V298" s="82" t="n"/>
      <c r="W298" s="65">
        <f>IF(OR($I298&lt;&gt;"Completed",$M298="",$L298=""),"",IF($M298&lt;=$L298,"Yes","No"))</f>
        <v/>
      </c>
      <c r="X298" s="84">
        <f>IF($A298="","",COUNTIF(Task_Steps!$B$5:$B$2004,$A298))</f>
        <v/>
      </c>
      <c r="Y298" s="86">
        <f>IF($X298=0,"",COUNTIFS(Task_Steps!$B$5:$B$2004,$A298,Task_Steps!$H$5:$H$2004,"Completed")/$X298)</f>
        <v/>
      </c>
      <c r="Z298" s="81" t="n"/>
      <c r="AA298" s="81" t="n"/>
      <c r="AB298" s="67">
        <f>IF($F298="","",IFERROR(INDEX(Employee_Master!$E$5:$E$204,MATCH($F298,Employee_Master!$B$5:$B$204,0)),""))</f>
        <v/>
      </c>
      <c r="AC298" s="65">
        <f>IF(OR($A298="",$AB298=""),"",IF(OR($I298="Completed",$I298="Cancelled"),"Closed - in Manager Report","Active - in Manager Report"))</f>
        <v/>
      </c>
      <c r="AD298" s="81">
        <f>IF($A298="","",IFERROR(TEXTJOIN(", ",TRUE,FILTER(Task_Steps!$A$5:$A$2004,Task_Steps!$B$5:$B$2004=$A298)),""))</f>
        <v/>
      </c>
      <c r="AE298" s="84">
        <f>IF($A298="","",COUNTIFS(Task_Steps!$B$5:$B$2004,$A298,Task_Steps!$H$5:$H$2004,"&lt;&gt;Completed",Task_Steps!$H$5:$H$2004,"&lt;&gt;Cancelled"))</f>
        <v/>
      </c>
      <c r="AF298" s="81">
        <f>IF(OR($B298="",$A298=""),"",$B298&amp;" | "&amp;$A298)</f>
        <v/>
      </c>
    </row>
    <row r="299" ht="15" customHeight="1" s="40">
      <c r="A299" s="65">
        <f>IF(COUNTA(B299:F299)=0,"","TSK-"&amp;TEXT(ROW()-4,"0000"))</f>
        <v/>
      </c>
      <c r="B299" s="78" t="n"/>
      <c r="C299" s="78" t="n"/>
      <c r="D299" s="81" t="n"/>
      <c r="E299" s="81" t="n"/>
      <c r="F299" s="78" t="n"/>
      <c r="G299" s="67">
        <f>IF($F299="","",IFERROR(INDEX(Employee_Master!$C$5:$C$204,MATCH($F299,Employee_Master!$B$5:$B$204,0)),""))</f>
        <v/>
      </c>
      <c r="H299" s="78" t="n"/>
      <c r="I299" s="78" t="n"/>
      <c r="J299" s="67">
        <f>IF($I299="","",IFERROR(INDEX(Action_Status_Map!$B$5:$B$11,MATCH($I299,Action_Status_Map!$A$5:$A$11,0)),""))</f>
        <v/>
      </c>
      <c r="K299" s="82" t="n"/>
      <c r="L299" s="82" t="n"/>
      <c r="M299" s="82" t="n"/>
      <c r="N299" s="83" t="n"/>
      <c r="O299" s="83" t="n"/>
      <c r="P299" s="66">
        <f>IF(OR($N299="",$O299=""),"",$O299-$N299)</f>
        <v/>
      </c>
      <c r="Q299" s="84">
        <f>IF($K299="","",IF($M299&lt;&gt;"",$M299-$K299,TODAY()-$K299))</f>
        <v/>
      </c>
      <c r="R299" s="85">
        <f>IF(OR($L299="",$I299="Completed",$I299="Cancelled"),"",IF(AND($L299&lt;TODAY(),$I299&lt;&gt;"Completed",$I299&lt;&gt;"Cancelled"),"Overdue","On Track"))</f>
        <v/>
      </c>
      <c r="S299" s="65">
        <f>IF($L299="","",TEXT($L299,"yyyy-mm"))</f>
        <v/>
      </c>
      <c r="T299" s="86">
        <f>IF($I299="","",IFERROR(INDEX(Action_Status_Map!$C$5:$C$11,MATCH($I299,Action_Status_Map!$A$5:$A$11,0)),""))</f>
        <v/>
      </c>
      <c r="U299" s="81" t="n"/>
      <c r="V299" s="82" t="n"/>
      <c r="W299" s="65">
        <f>IF(OR($I299&lt;&gt;"Completed",$M299="",$L299=""),"",IF($M299&lt;=$L299,"Yes","No"))</f>
        <v/>
      </c>
      <c r="X299" s="84">
        <f>IF($A299="","",COUNTIF(Task_Steps!$B$5:$B$2004,$A299))</f>
        <v/>
      </c>
      <c r="Y299" s="86">
        <f>IF($X299=0,"",COUNTIFS(Task_Steps!$B$5:$B$2004,$A299,Task_Steps!$H$5:$H$2004,"Completed")/$X299)</f>
        <v/>
      </c>
      <c r="Z299" s="81" t="n"/>
      <c r="AA299" s="81" t="n"/>
      <c r="AB299" s="67">
        <f>IF($F299="","",IFERROR(INDEX(Employee_Master!$E$5:$E$204,MATCH($F299,Employee_Master!$B$5:$B$204,0)),""))</f>
        <v/>
      </c>
      <c r="AC299" s="65">
        <f>IF(OR($A299="",$AB299=""),"",IF(OR($I299="Completed",$I299="Cancelled"),"Closed - in Manager Report","Active - in Manager Report"))</f>
        <v/>
      </c>
      <c r="AD299" s="81">
        <f>IF($A299="","",IFERROR(TEXTJOIN(", ",TRUE,FILTER(Task_Steps!$A$5:$A$2004,Task_Steps!$B$5:$B$2004=$A299)),""))</f>
        <v/>
      </c>
      <c r="AE299" s="84">
        <f>IF($A299="","",COUNTIFS(Task_Steps!$B$5:$B$2004,$A299,Task_Steps!$H$5:$H$2004,"&lt;&gt;Completed",Task_Steps!$H$5:$H$2004,"&lt;&gt;Cancelled"))</f>
        <v/>
      </c>
      <c r="AF299" s="81">
        <f>IF(OR($B299="",$A299=""),"",$B299&amp;" | "&amp;$A299)</f>
        <v/>
      </c>
    </row>
    <row r="300" ht="15" customHeight="1" s="40">
      <c r="A300" s="65">
        <f>IF(COUNTA(B300:F300)=0,"","TSK-"&amp;TEXT(ROW()-4,"0000"))</f>
        <v/>
      </c>
      <c r="B300" s="78" t="n"/>
      <c r="C300" s="78" t="n"/>
      <c r="D300" s="81" t="n"/>
      <c r="E300" s="81" t="n"/>
      <c r="F300" s="78" t="n"/>
      <c r="G300" s="67">
        <f>IF($F300="","",IFERROR(INDEX(Employee_Master!$C$5:$C$204,MATCH($F300,Employee_Master!$B$5:$B$204,0)),""))</f>
        <v/>
      </c>
      <c r="H300" s="78" t="n"/>
      <c r="I300" s="78" t="n"/>
      <c r="J300" s="67">
        <f>IF($I300="","",IFERROR(INDEX(Action_Status_Map!$B$5:$B$11,MATCH($I300,Action_Status_Map!$A$5:$A$11,0)),""))</f>
        <v/>
      </c>
      <c r="K300" s="82" t="n"/>
      <c r="L300" s="82" t="n"/>
      <c r="M300" s="82" t="n"/>
      <c r="N300" s="83" t="n"/>
      <c r="O300" s="83" t="n"/>
      <c r="P300" s="66">
        <f>IF(OR($N300="",$O300=""),"",$O300-$N300)</f>
        <v/>
      </c>
      <c r="Q300" s="84">
        <f>IF($K300="","",IF($M300&lt;&gt;"",$M300-$K300,TODAY()-$K300))</f>
        <v/>
      </c>
      <c r="R300" s="85">
        <f>IF(OR($L300="",$I300="Completed",$I300="Cancelled"),"",IF(AND($L300&lt;TODAY(),$I300&lt;&gt;"Completed",$I300&lt;&gt;"Cancelled"),"Overdue","On Track"))</f>
        <v/>
      </c>
      <c r="S300" s="65">
        <f>IF($L300="","",TEXT($L300,"yyyy-mm"))</f>
        <v/>
      </c>
      <c r="T300" s="86">
        <f>IF($I300="","",IFERROR(INDEX(Action_Status_Map!$C$5:$C$11,MATCH($I300,Action_Status_Map!$A$5:$A$11,0)),""))</f>
        <v/>
      </c>
      <c r="U300" s="81" t="n"/>
      <c r="V300" s="82" t="n"/>
      <c r="W300" s="65">
        <f>IF(OR($I300&lt;&gt;"Completed",$M300="",$L300=""),"",IF($M300&lt;=$L300,"Yes","No"))</f>
        <v/>
      </c>
      <c r="X300" s="84">
        <f>IF($A300="","",COUNTIF(Task_Steps!$B$5:$B$2004,$A300))</f>
        <v/>
      </c>
      <c r="Y300" s="86">
        <f>IF($X300=0,"",COUNTIFS(Task_Steps!$B$5:$B$2004,$A300,Task_Steps!$H$5:$H$2004,"Completed")/$X300)</f>
        <v/>
      </c>
      <c r="Z300" s="81" t="n"/>
      <c r="AA300" s="81" t="n"/>
      <c r="AB300" s="67">
        <f>IF($F300="","",IFERROR(INDEX(Employee_Master!$E$5:$E$204,MATCH($F300,Employee_Master!$B$5:$B$204,0)),""))</f>
        <v/>
      </c>
      <c r="AC300" s="65">
        <f>IF(OR($A300="",$AB300=""),"",IF(OR($I300="Completed",$I300="Cancelled"),"Closed - in Manager Report","Active - in Manager Report"))</f>
        <v/>
      </c>
      <c r="AD300" s="81">
        <f>IF($A300="","",IFERROR(TEXTJOIN(", ",TRUE,FILTER(Task_Steps!$A$5:$A$2004,Task_Steps!$B$5:$B$2004=$A300)),""))</f>
        <v/>
      </c>
      <c r="AE300" s="84">
        <f>IF($A300="","",COUNTIFS(Task_Steps!$B$5:$B$2004,$A300,Task_Steps!$H$5:$H$2004,"&lt;&gt;Completed",Task_Steps!$H$5:$H$2004,"&lt;&gt;Cancelled"))</f>
        <v/>
      </c>
      <c r="AF300" s="81">
        <f>IF(OR($B300="",$A300=""),"",$B300&amp;" | "&amp;$A300)</f>
        <v/>
      </c>
    </row>
    <row r="301" ht="15" customHeight="1" s="40">
      <c r="A301" s="65">
        <f>IF(COUNTA(B301:F301)=0,"","TSK-"&amp;TEXT(ROW()-4,"0000"))</f>
        <v/>
      </c>
      <c r="B301" s="78" t="n"/>
      <c r="C301" s="78" t="n"/>
      <c r="D301" s="81" t="n"/>
      <c r="E301" s="81" t="n"/>
      <c r="F301" s="78" t="n"/>
      <c r="G301" s="67">
        <f>IF($F301="","",IFERROR(INDEX(Employee_Master!$C$5:$C$204,MATCH($F301,Employee_Master!$B$5:$B$204,0)),""))</f>
        <v/>
      </c>
      <c r="H301" s="78" t="n"/>
      <c r="I301" s="78" t="n"/>
      <c r="J301" s="67">
        <f>IF($I301="","",IFERROR(INDEX(Action_Status_Map!$B$5:$B$11,MATCH($I301,Action_Status_Map!$A$5:$A$11,0)),""))</f>
        <v/>
      </c>
      <c r="K301" s="82" t="n"/>
      <c r="L301" s="82" t="n"/>
      <c r="M301" s="82" t="n"/>
      <c r="N301" s="83" t="n"/>
      <c r="O301" s="83" t="n"/>
      <c r="P301" s="66">
        <f>IF(OR($N301="",$O301=""),"",$O301-$N301)</f>
        <v/>
      </c>
      <c r="Q301" s="84">
        <f>IF($K301="","",IF($M301&lt;&gt;"",$M301-$K301,TODAY()-$K301))</f>
        <v/>
      </c>
      <c r="R301" s="85">
        <f>IF(OR($L301="",$I301="Completed",$I301="Cancelled"),"",IF(AND($L301&lt;TODAY(),$I301&lt;&gt;"Completed",$I301&lt;&gt;"Cancelled"),"Overdue","On Track"))</f>
        <v/>
      </c>
      <c r="S301" s="65">
        <f>IF($L301="","",TEXT($L301,"yyyy-mm"))</f>
        <v/>
      </c>
      <c r="T301" s="86">
        <f>IF($I301="","",IFERROR(INDEX(Action_Status_Map!$C$5:$C$11,MATCH($I301,Action_Status_Map!$A$5:$A$11,0)),""))</f>
        <v/>
      </c>
      <c r="U301" s="81" t="n"/>
      <c r="V301" s="82" t="n"/>
      <c r="W301" s="65">
        <f>IF(OR($I301&lt;&gt;"Completed",$M301="",$L301=""),"",IF($M301&lt;=$L301,"Yes","No"))</f>
        <v/>
      </c>
      <c r="X301" s="84">
        <f>IF($A301="","",COUNTIF(Task_Steps!$B$5:$B$2004,$A301))</f>
        <v/>
      </c>
      <c r="Y301" s="86">
        <f>IF($X301=0,"",COUNTIFS(Task_Steps!$B$5:$B$2004,$A301,Task_Steps!$H$5:$H$2004,"Completed")/$X301)</f>
        <v/>
      </c>
      <c r="Z301" s="81" t="n"/>
      <c r="AA301" s="81" t="n"/>
      <c r="AB301" s="67">
        <f>IF($F301="","",IFERROR(INDEX(Employee_Master!$E$5:$E$204,MATCH($F301,Employee_Master!$B$5:$B$204,0)),""))</f>
        <v/>
      </c>
      <c r="AC301" s="65">
        <f>IF(OR($A301="",$AB301=""),"",IF(OR($I301="Completed",$I301="Cancelled"),"Closed - in Manager Report","Active - in Manager Report"))</f>
        <v/>
      </c>
      <c r="AD301" s="81">
        <f>IF($A301="","",IFERROR(TEXTJOIN(", ",TRUE,FILTER(Task_Steps!$A$5:$A$2004,Task_Steps!$B$5:$B$2004=$A301)),""))</f>
        <v/>
      </c>
      <c r="AE301" s="84">
        <f>IF($A301="","",COUNTIFS(Task_Steps!$B$5:$B$2004,$A301,Task_Steps!$H$5:$H$2004,"&lt;&gt;Completed",Task_Steps!$H$5:$H$2004,"&lt;&gt;Cancelled"))</f>
        <v/>
      </c>
      <c r="AF301" s="81">
        <f>IF(OR($B301="",$A301=""),"",$B301&amp;" | "&amp;$A301)</f>
        <v/>
      </c>
    </row>
    <row r="302" ht="15" customHeight="1" s="40">
      <c r="A302" s="65">
        <f>IF(COUNTA(B302:F302)=0,"","TSK-"&amp;TEXT(ROW()-4,"0000"))</f>
        <v/>
      </c>
      <c r="B302" s="78" t="n"/>
      <c r="C302" s="78" t="n"/>
      <c r="D302" s="81" t="n"/>
      <c r="E302" s="81" t="n"/>
      <c r="F302" s="78" t="n"/>
      <c r="G302" s="67">
        <f>IF($F302="","",IFERROR(INDEX(Employee_Master!$C$5:$C$204,MATCH($F302,Employee_Master!$B$5:$B$204,0)),""))</f>
        <v/>
      </c>
      <c r="H302" s="78" t="n"/>
      <c r="I302" s="78" t="n"/>
      <c r="J302" s="67">
        <f>IF($I302="","",IFERROR(INDEX(Action_Status_Map!$B$5:$B$11,MATCH($I302,Action_Status_Map!$A$5:$A$11,0)),""))</f>
        <v/>
      </c>
      <c r="K302" s="82" t="n"/>
      <c r="L302" s="82" t="n"/>
      <c r="M302" s="82" t="n"/>
      <c r="N302" s="83" t="n"/>
      <c r="O302" s="83" t="n"/>
      <c r="P302" s="66">
        <f>IF(OR($N302="",$O302=""),"",$O302-$N302)</f>
        <v/>
      </c>
      <c r="Q302" s="84">
        <f>IF($K302="","",IF($M302&lt;&gt;"",$M302-$K302,TODAY()-$K302))</f>
        <v/>
      </c>
      <c r="R302" s="85">
        <f>IF(OR($L302="",$I302="Completed",$I302="Cancelled"),"",IF(AND($L302&lt;TODAY(),$I302&lt;&gt;"Completed",$I302&lt;&gt;"Cancelled"),"Overdue","On Track"))</f>
        <v/>
      </c>
      <c r="S302" s="65">
        <f>IF($L302="","",TEXT($L302,"yyyy-mm"))</f>
        <v/>
      </c>
      <c r="T302" s="86">
        <f>IF($I302="","",IFERROR(INDEX(Action_Status_Map!$C$5:$C$11,MATCH($I302,Action_Status_Map!$A$5:$A$11,0)),""))</f>
        <v/>
      </c>
      <c r="U302" s="81" t="n"/>
      <c r="V302" s="82" t="n"/>
      <c r="W302" s="65">
        <f>IF(OR($I302&lt;&gt;"Completed",$M302="",$L302=""),"",IF($M302&lt;=$L302,"Yes","No"))</f>
        <v/>
      </c>
      <c r="X302" s="84">
        <f>IF($A302="","",COUNTIF(Task_Steps!$B$5:$B$2004,$A302))</f>
        <v/>
      </c>
      <c r="Y302" s="86">
        <f>IF($X302=0,"",COUNTIFS(Task_Steps!$B$5:$B$2004,$A302,Task_Steps!$H$5:$H$2004,"Completed")/$X302)</f>
        <v/>
      </c>
      <c r="Z302" s="81" t="n"/>
      <c r="AA302" s="81" t="n"/>
      <c r="AB302" s="67">
        <f>IF($F302="","",IFERROR(INDEX(Employee_Master!$E$5:$E$204,MATCH($F302,Employee_Master!$B$5:$B$204,0)),""))</f>
        <v/>
      </c>
      <c r="AC302" s="65">
        <f>IF(OR($A302="",$AB302=""),"",IF(OR($I302="Completed",$I302="Cancelled"),"Closed - in Manager Report","Active - in Manager Report"))</f>
        <v/>
      </c>
      <c r="AD302" s="81">
        <f>IF($A302="","",IFERROR(TEXTJOIN(", ",TRUE,FILTER(Task_Steps!$A$5:$A$2004,Task_Steps!$B$5:$B$2004=$A302)),""))</f>
        <v/>
      </c>
      <c r="AE302" s="84">
        <f>IF($A302="","",COUNTIFS(Task_Steps!$B$5:$B$2004,$A302,Task_Steps!$H$5:$H$2004,"&lt;&gt;Completed",Task_Steps!$H$5:$H$2004,"&lt;&gt;Cancelled"))</f>
        <v/>
      </c>
      <c r="AF302" s="81">
        <f>IF(OR($B302="",$A302=""),"",$B302&amp;" | "&amp;$A302)</f>
        <v/>
      </c>
    </row>
    <row r="303" ht="15" customHeight="1" s="40">
      <c r="A303" s="65">
        <f>IF(COUNTA(B303:F303)=0,"","TSK-"&amp;TEXT(ROW()-4,"0000"))</f>
        <v/>
      </c>
      <c r="B303" s="78" t="n"/>
      <c r="C303" s="78" t="n"/>
      <c r="D303" s="81" t="n"/>
      <c r="E303" s="81" t="n"/>
      <c r="F303" s="78" t="n"/>
      <c r="G303" s="67">
        <f>IF($F303="","",IFERROR(INDEX(Employee_Master!$C$5:$C$204,MATCH($F303,Employee_Master!$B$5:$B$204,0)),""))</f>
        <v/>
      </c>
      <c r="H303" s="78" t="n"/>
      <c r="I303" s="78" t="n"/>
      <c r="J303" s="67">
        <f>IF($I303="","",IFERROR(INDEX(Action_Status_Map!$B$5:$B$11,MATCH($I303,Action_Status_Map!$A$5:$A$11,0)),""))</f>
        <v/>
      </c>
      <c r="K303" s="82" t="n"/>
      <c r="L303" s="82" t="n"/>
      <c r="M303" s="82" t="n"/>
      <c r="N303" s="83" t="n"/>
      <c r="O303" s="83" t="n"/>
      <c r="P303" s="66">
        <f>IF(OR($N303="",$O303=""),"",$O303-$N303)</f>
        <v/>
      </c>
      <c r="Q303" s="84">
        <f>IF($K303="","",IF($M303&lt;&gt;"",$M303-$K303,TODAY()-$K303))</f>
        <v/>
      </c>
      <c r="R303" s="85">
        <f>IF(OR($L303="",$I303="Completed",$I303="Cancelled"),"",IF(AND($L303&lt;TODAY(),$I303&lt;&gt;"Completed",$I303&lt;&gt;"Cancelled"),"Overdue","On Track"))</f>
        <v/>
      </c>
      <c r="S303" s="65">
        <f>IF($L303="","",TEXT($L303,"yyyy-mm"))</f>
        <v/>
      </c>
      <c r="T303" s="86">
        <f>IF($I303="","",IFERROR(INDEX(Action_Status_Map!$C$5:$C$11,MATCH($I303,Action_Status_Map!$A$5:$A$11,0)),""))</f>
        <v/>
      </c>
      <c r="U303" s="81" t="n"/>
      <c r="V303" s="82" t="n"/>
      <c r="W303" s="65">
        <f>IF(OR($I303&lt;&gt;"Completed",$M303="",$L303=""),"",IF($M303&lt;=$L303,"Yes","No"))</f>
        <v/>
      </c>
      <c r="X303" s="84">
        <f>IF($A303="","",COUNTIF(Task_Steps!$B$5:$B$2004,$A303))</f>
        <v/>
      </c>
      <c r="Y303" s="86">
        <f>IF($X303=0,"",COUNTIFS(Task_Steps!$B$5:$B$2004,$A303,Task_Steps!$H$5:$H$2004,"Completed")/$X303)</f>
        <v/>
      </c>
      <c r="Z303" s="81" t="n"/>
      <c r="AA303" s="81" t="n"/>
      <c r="AB303" s="67">
        <f>IF($F303="","",IFERROR(INDEX(Employee_Master!$E$5:$E$204,MATCH($F303,Employee_Master!$B$5:$B$204,0)),""))</f>
        <v/>
      </c>
      <c r="AC303" s="65">
        <f>IF(OR($A303="",$AB303=""),"",IF(OR($I303="Completed",$I303="Cancelled"),"Closed - in Manager Report","Active - in Manager Report"))</f>
        <v/>
      </c>
      <c r="AD303" s="81">
        <f>IF($A303="","",IFERROR(TEXTJOIN(", ",TRUE,FILTER(Task_Steps!$A$5:$A$2004,Task_Steps!$B$5:$B$2004=$A303)),""))</f>
        <v/>
      </c>
      <c r="AE303" s="84">
        <f>IF($A303="","",COUNTIFS(Task_Steps!$B$5:$B$2004,$A303,Task_Steps!$H$5:$H$2004,"&lt;&gt;Completed",Task_Steps!$H$5:$H$2004,"&lt;&gt;Cancelled"))</f>
        <v/>
      </c>
      <c r="AF303" s="81">
        <f>IF(OR($B303="",$A303=""),"",$B303&amp;" | "&amp;$A303)</f>
        <v/>
      </c>
    </row>
    <row r="304" ht="15" customHeight="1" s="40">
      <c r="A304" s="65">
        <f>IF(COUNTA(B304:F304)=0,"","TSK-"&amp;TEXT(ROW()-4,"0000"))</f>
        <v/>
      </c>
      <c r="B304" s="78" t="n"/>
      <c r="C304" s="78" t="n"/>
      <c r="D304" s="81" t="n"/>
      <c r="E304" s="81" t="n"/>
      <c r="F304" s="78" t="n"/>
      <c r="G304" s="67">
        <f>IF($F304="","",IFERROR(INDEX(Employee_Master!$C$5:$C$204,MATCH($F304,Employee_Master!$B$5:$B$204,0)),""))</f>
        <v/>
      </c>
      <c r="H304" s="78" t="n"/>
      <c r="I304" s="78" t="n"/>
      <c r="J304" s="67">
        <f>IF($I304="","",IFERROR(INDEX(Action_Status_Map!$B$5:$B$11,MATCH($I304,Action_Status_Map!$A$5:$A$11,0)),""))</f>
        <v/>
      </c>
      <c r="K304" s="82" t="n"/>
      <c r="L304" s="82" t="n"/>
      <c r="M304" s="82" t="n"/>
      <c r="N304" s="83" t="n"/>
      <c r="O304" s="83" t="n"/>
      <c r="P304" s="66">
        <f>IF(OR($N304="",$O304=""),"",$O304-$N304)</f>
        <v/>
      </c>
      <c r="Q304" s="84">
        <f>IF($K304="","",IF($M304&lt;&gt;"",$M304-$K304,TODAY()-$K304))</f>
        <v/>
      </c>
      <c r="R304" s="85">
        <f>IF(OR($L304="",$I304="Completed",$I304="Cancelled"),"",IF(AND($L304&lt;TODAY(),$I304&lt;&gt;"Completed",$I304&lt;&gt;"Cancelled"),"Overdue","On Track"))</f>
        <v/>
      </c>
      <c r="S304" s="65">
        <f>IF($L304="","",TEXT($L304,"yyyy-mm"))</f>
        <v/>
      </c>
      <c r="T304" s="86">
        <f>IF($I304="","",IFERROR(INDEX(Action_Status_Map!$C$5:$C$11,MATCH($I304,Action_Status_Map!$A$5:$A$11,0)),""))</f>
        <v/>
      </c>
      <c r="U304" s="81" t="n"/>
      <c r="V304" s="82" t="n"/>
      <c r="W304" s="65">
        <f>IF(OR($I304&lt;&gt;"Completed",$M304="",$L304=""),"",IF($M304&lt;=$L304,"Yes","No"))</f>
        <v/>
      </c>
      <c r="X304" s="84">
        <f>IF($A304="","",COUNTIF(Task_Steps!$B$5:$B$2004,$A304))</f>
        <v/>
      </c>
      <c r="Y304" s="86">
        <f>IF($X304=0,"",COUNTIFS(Task_Steps!$B$5:$B$2004,$A304,Task_Steps!$H$5:$H$2004,"Completed")/$X304)</f>
        <v/>
      </c>
      <c r="Z304" s="81" t="n"/>
      <c r="AA304" s="81" t="n"/>
      <c r="AB304" s="67">
        <f>IF($F304="","",IFERROR(INDEX(Employee_Master!$E$5:$E$204,MATCH($F304,Employee_Master!$B$5:$B$204,0)),""))</f>
        <v/>
      </c>
      <c r="AC304" s="65">
        <f>IF(OR($A304="",$AB304=""),"",IF(OR($I304="Completed",$I304="Cancelled"),"Closed - in Manager Report","Active - in Manager Report"))</f>
        <v/>
      </c>
      <c r="AD304" s="81">
        <f>IF($A304="","",IFERROR(TEXTJOIN(", ",TRUE,FILTER(Task_Steps!$A$5:$A$2004,Task_Steps!$B$5:$B$2004=$A304)),""))</f>
        <v/>
      </c>
      <c r="AE304" s="84">
        <f>IF($A304="","",COUNTIFS(Task_Steps!$B$5:$B$2004,$A304,Task_Steps!$H$5:$H$2004,"&lt;&gt;Completed",Task_Steps!$H$5:$H$2004,"&lt;&gt;Cancelled"))</f>
        <v/>
      </c>
      <c r="AF304" s="81">
        <f>IF(OR($B304="",$A304=""),"",$B304&amp;" | "&amp;$A304)</f>
        <v/>
      </c>
    </row>
    <row r="305" ht="15" customHeight="1" s="40">
      <c r="A305" s="65">
        <f>IF(COUNTA(B305:F305)=0,"","TSK-"&amp;TEXT(ROW()-4,"0000"))</f>
        <v/>
      </c>
      <c r="B305" s="78" t="n"/>
      <c r="C305" s="78" t="n"/>
      <c r="D305" s="81" t="n"/>
      <c r="E305" s="81" t="n"/>
      <c r="F305" s="78" t="n"/>
      <c r="G305" s="67">
        <f>IF($F305="","",IFERROR(INDEX(Employee_Master!$C$5:$C$204,MATCH($F305,Employee_Master!$B$5:$B$204,0)),""))</f>
        <v/>
      </c>
      <c r="H305" s="78" t="n"/>
      <c r="I305" s="78" t="n"/>
      <c r="J305" s="67">
        <f>IF($I305="","",IFERROR(INDEX(Action_Status_Map!$B$5:$B$11,MATCH($I305,Action_Status_Map!$A$5:$A$11,0)),""))</f>
        <v/>
      </c>
      <c r="K305" s="82" t="n"/>
      <c r="L305" s="82" t="n"/>
      <c r="M305" s="82" t="n"/>
      <c r="N305" s="83" t="n"/>
      <c r="O305" s="83" t="n"/>
      <c r="P305" s="66">
        <f>IF(OR($N305="",$O305=""),"",$O305-$N305)</f>
        <v/>
      </c>
      <c r="Q305" s="84">
        <f>IF($K305="","",IF($M305&lt;&gt;"",$M305-$K305,TODAY()-$K305))</f>
        <v/>
      </c>
      <c r="R305" s="85">
        <f>IF(OR($L305="",$I305="Completed",$I305="Cancelled"),"",IF(AND($L305&lt;TODAY(),$I305&lt;&gt;"Completed",$I305&lt;&gt;"Cancelled"),"Overdue","On Track"))</f>
        <v/>
      </c>
      <c r="S305" s="65">
        <f>IF($L305="","",TEXT($L305,"yyyy-mm"))</f>
        <v/>
      </c>
      <c r="T305" s="86">
        <f>IF($I305="","",IFERROR(INDEX(Action_Status_Map!$C$5:$C$11,MATCH($I305,Action_Status_Map!$A$5:$A$11,0)),""))</f>
        <v/>
      </c>
      <c r="U305" s="81" t="n"/>
      <c r="V305" s="82" t="n"/>
      <c r="W305" s="65">
        <f>IF(OR($I305&lt;&gt;"Completed",$M305="",$L305=""),"",IF($M305&lt;=$L305,"Yes","No"))</f>
        <v/>
      </c>
      <c r="X305" s="84">
        <f>IF($A305="","",COUNTIF(Task_Steps!$B$5:$B$2004,$A305))</f>
        <v/>
      </c>
      <c r="Y305" s="86">
        <f>IF($X305=0,"",COUNTIFS(Task_Steps!$B$5:$B$2004,$A305,Task_Steps!$H$5:$H$2004,"Completed")/$X305)</f>
        <v/>
      </c>
      <c r="Z305" s="81" t="n"/>
      <c r="AA305" s="81" t="n"/>
      <c r="AB305" s="67">
        <f>IF($F305="","",IFERROR(INDEX(Employee_Master!$E$5:$E$204,MATCH($F305,Employee_Master!$B$5:$B$204,0)),""))</f>
        <v/>
      </c>
      <c r="AC305" s="65">
        <f>IF(OR($A305="",$AB305=""),"",IF(OR($I305="Completed",$I305="Cancelled"),"Closed - in Manager Report","Active - in Manager Report"))</f>
        <v/>
      </c>
      <c r="AD305" s="81">
        <f>IF($A305="","",IFERROR(TEXTJOIN(", ",TRUE,FILTER(Task_Steps!$A$5:$A$2004,Task_Steps!$B$5:$B$2004=$A305)),""))</f>
        <v/>
      </c>
      <c r="AE305" s="84">
        <f>IF($A305="","",COUNTIFS(Task_Steps!$B$5:$B$2004,$A305,Task_Steps!$H$5:$H$2004,"&lt;&gt;Completed",Task_Steps!$H$5:$H$2004,"&lt;&gt;Cancelled"))</f>
        <v/>
      </c>
      <c r="AF305" s="81">
        <f>IF(OR($B305="",$A305=""),"",$B305&amp;" | "&amp;$A305)</f>
        <v/>
      </c>
    </row>
    <row r="306" ht="15" customHeight="1" s="40">
      <c r="A306" s="65">
        <f>IF(COUNTA(B306:F306)=0,"","TSK-"&amp;TEXT(ROW()-4,"0000"))</f>
        <v/>
      </c>
      <c r="B306" s="78" t="n"/>
      <c r="C306" s="78" t="n"/>
      <c r="D306" s="81" t="n"/>
      <c r="E306" s="81" t="n"/>
      <c r="F306" s="78" t="n"/>
      <c r="G306" s="67">
        <f>IF($F306="","",IFERROR(INDEX(Employee_Master!$C$5:$C$204,MATCH($F306,Employee_Master!$B$5:$B$204,0)),""))</f>
        <v/>
      </c>
      <c r="H306" s="78" t="n"/>
      <c r="I306" s="78" t="n"/>
      <c r="J306" s="67">
        <f>IF($I306="","",IFERROR(INDEX(Action_Status_Map!$B$5:$B$11,MATCH($I306,Action_Status_Map!$A$5:$A$11,0)),""))</f>
        <v/>
      </c>
      <c r="K306" s="82" t="n"/>
      <c r="L306" s="82" t="n"/>
      <c r="M306" s="82" t="n"/>
      <c r="N306" s="83" t="n"/>
      <c r="O306" s="83" t="n"/>
      <c r="P306" s="66">
        <f>IF(OR($N306="",$O306=""),"",$O306-$N306)</f>
        <v/>
      </c>
      <c r="Q306" s="84">
        <f>IF($K306="","",IF($M306&lt;&gt;"",$M306-$K306,TODAY()-$K306))</f>
        <v/>
      </c>
      <c r="R306" s="85">
        <f>IF(OR($L306="",$I306="Completed",$I306="Cancelled"),"",IF(AND($L306&lt;TODAY(),$I306&lt;&gt;"Completed",$I306&lt;&gt;"Cancelled"),"Overdue","On Track"))</f>
        <v/>
      </c>
      <c r="S306" s="65">
        <f>IF($L306="","",TEXT($L306,"yyyy-mm"))</f>
        <v/>
      </c>
      <c r="T306" s="86">
        <f>IF($I306="","",IFERROR(INDEX(Action_Status_Map!$C$5:$C$11,MATCH($I306,Action_Status_Map!$A$5:$A$11,0)),""))</f>
        <v/>
      </c>
      <c r="U306" s="81" t="n"/>
      <c r="V306" s="82" t="n"/>
      <c r="W306" s="65">
        <f>IF(OR($I306&lt;&gt;"Completed",$M306="",$L306=""),"",IF($M306&lt;=$L306,"Yes","No"))</f>
        <v/>
      </c>
      <c r="X306" s="84">
        <f>IF($A306="","",COUNTIF(Task_Steps!$B$5:$B$2004,$A306))</f>
        <v/>
      </c>
      <c r="Y306" s="86">
        <f>IF($X306=0,"",COUNTIFS(Task_Steps!$B$5:$B$2004,$A306,Task_Steps!$H$5:$H$2004,"Completed")/$X306)</f>
        <v/>
      </c>
      <c r="Z306" s="81" t="n"/>
      <c r="AA306" s="81" t="n"/>
      <c r="AB306" s="67">
        <f>IF($F306="","",IFERROR(INDEX(Employee_Master!$E$5:$E$204,MATCH($F306,Employee_Master!$B$5:$B$204,0)),""))</f>
        <v/>
      </c>
      <c r="AC306" s="65">
        <f>IF(OR($A306="",$AB306=""),"",IF(OR($I306="Completed",$I306="Cancelled"),"Closed - in Manager Report","Active - in Manager Report"))</f>
        <v/>
      </c>
      <c r="AD306" s="81">
        <f>IF($A306="","",IFERROR(TEXTJOIN(", ",TRUE,FILTER(Task_Steps!$A$5:$A$2004,Task_Steps!$B$5:$B$2004=$A306)),""))</f>
        <v/>
      </c>
      <c r="AE306" s="84">
        <f>IF($A306="","",COUNTIFS(Task_Steps!$B$5:$B$2004,$A306,Task_Steps!$H$5:$H$2004,"&lt;&gt;Completed",Task_Steps!$H$5:$H$2004,"&lt;&gt;Cancelled"))</f>
        <v/>
      </c>
      <c r="AF306" s="81">
        <f>IF(OR($B306="",$A306=""),"",$B306&amp;" | "&amp;$A306)</f>
        <v/>
      </c>
    </row>
    <row r="307" ht="15" customHeight="1" s="40">
      <c r="A307" s="65">
        <f>IF(COUNTA(B307:F307)=0,"","TSK-"&amp;TEXT(ROW()-4,"0000"))</f>
        <v/>
      </c>
      <c r="B307" s="78" t="n"/>
      <c r="C307" s="78" t="n"/>
      <c r="D307" s="81" t="n"/>
      <c r="E307" s="81" t="n"/>
      <c r="F307" s="78" t="n"/>
      <c r="G307" s="67">
        <f>IF($F307="","",IFERROR(INDEX(Employee_Master!$C$5:$C$204,MATCH($F307,Employee_Master!$B$5:$B$204,0)),""))</f>
        <v/>
      </c>
      <c r="H307" s="78" t="n"/>
      <c r="I307" s="78" t="n"/>
      <c r="J307" s="67">
        <f>IF($I307="","",IFERROR(INDEX(Action_Status_Map!$B$5:$B$11,MATCH($I307,Action_Status_Map!$A$5:$A$11,0)),""))</f>
        <v/>
      </c>
      <c r="K307" s="82" t="n"/>
      <c r="L307" s="82" t="n"/>
      <c r="M307" s="82" t="n"/>
      <c r="N307" s="83" t="n"/>
      <c r="O307" s="83" t="n"/>
      <c r="P307" s="66">
        <f>IF(OR($N307="",$O307=""),"",$O307-$N307)</f>
        <v/>
      </c>
      <c r="Q307" s="84">
        <f>IF($K307="","",IF($M307&lt;&gt;"",$M307-$K307,TODAY()-$K307))</f>
        <v/>
      </c>
      <c r="R307" s="85">
        <f>IF(OR($L307="",$I307="Completed",$I307="Cancelled"),"",IF(AND($L307&lt;TODAY(),$I307&lt;&gt;"Completed",$I307&lt;&gt;"Cancelled"),"Overdue","On Track"))</f>
        <v/>
      </c>
      <c r="S307" s="65">
        <f>IF($L307="","",TEXT($L307,"yyyy-mm"))</f>
        <v/>
      </c>
      <c r="T307" s="86">
        <f>IF($I307="","",IFERROR(INDEX(Action_Status_Map!$C$5:$C$11,MATCH($I307,Action_Status_Map!$A$5:$A$11,0)),""))</f>
        <v/>
      </c>
      <c r="U307" s="81" t="n"/>
      <c r="V307" s="82" t="n"/>
      <c r="W307" s="65">
        <f>IF(OR($I307&lt;&gt;"Completed",$M307="",$L307=""),"",IF($M307&lt;=$L307,"Yes","No"))</f>
        <v/>
      </c>
      <c r="X307" s="84">
        <f>IF($A307="","",COUNTIF(Task_Steps!$B$5:$B$2004,$A307))</f>
        <v/>
      </c>
      <c r="Y307" s="86">
        <f>IF($X307=0,"",COUNTIFS(Task_Steps!$B$5:$B$2004,$A307,Task_Steps!$H$5:$H$2004,"Completed")/$X307)</f>
        <v/>
      </c>
      <c r="Z307" s="81" t="n"/>
      <c r="AA307" s="81" t="n"/>
      <c r="AB307" s="67">
        <f>IF($F307="","",IFERROR(INDEX(Employee_Master!$E$5:$E$204,MATCH($F307,Employee_Master!$B$5:$B$204,0)),""))</f>
        <v/>
      </c>
      <c r="AC307" s="65">
        <f>IF(OR($A307="",$AB307=""),"",IF(OR($I307="Completed",$I307="Cancelled"),"Closed - in Manager Report","Active - in Manager Report"))</f>
        <v/>
      </c>
      <c r="AD307" s="81">
        <f>IF($A307="","",IFERROR(TEXTJOIN(", ",TRUE,FILTER(Task_Steps!$A$5:$A$2004,Task_Steps!$B$5:$B$2004=$A307)),""))</f>
        <v/>
      </c>
      <c r="AE307" s="84">
        <f>IF($A307="","",COUNTIFS(Task_Steps!$B$5:$B$2004,$A307,Task_Steps!$H$5:$H$2004,"&lt;&gt;Completed",Task_Steps!$H$5:$H$2004,"&lt;&gt;Cancelled"))</f>
        <v/>
      </c>
      <c r="AF307" s="81">
        <f>IF(OR($B307="",$A307=""),"",$B307&amp;" | "&amp;$A307)</f>
        <v/>
      </c>
    </row>
    <row r="308" ht="15" customHeight="1" s="40">
      <c r="A308" s="65">
        <f>IF(COUNTA(B308:F308)=0,"","TSK-"&amp;TEXT(ROW()-4,"0000"))</f>
        <v/>
      </c>
      <c r="B308" s="78" t="n"/>
      <c r="C308" s="78" t="n"/>
      <c r="D308" s="81" t="n"/>
      <c r="E308" s="81" t="n"/>
      <c r="F308" s="78" t="n"/>
      <c r="G308" s="67">
        <f>IF($F308="","",IFERROR(INDEX(Employee_Master!$C$5:$C$204,MATCH($F308,Employee_Master!$B$5:$B$204,0)),""))</f>
        <v/>
      </c>
      <c r="H308" s="78" t="n"/>
      <c r="I308" s="78" t="n"/>
      <c r="J308" s="67">
        <f>IF($I308="","",IFERROR(INDEX(Action_Status_Map!$B$5:$B$11,MATCH($I308,Action_Status_Map!$A$5:$A$11,0)),""))</f>
        <v/>
      </c>
      <c r="K308" s="82" t="n"/>
      <c r="L308" s="82" t="n"/>
      <c r="M308" s="82" t="n"/>
      <c r="N308" s="83" t="n"/>
      <c r="O308" s="83" t="n"/>
      <c r="P308" s="66">
        <f>IF(OR($N308="",$O308=""),"",$O308-$N308)</f>
        <v/>
      </c>
      <c r="Q308" s="84">
        <f>IF($K308="","",IF($M308&lt;&gt;"",$M308-$K308,TODAY()-$K308))</f>
        <v/>
      </c>
      <c r="R308" s="85">
        <f>IF(OR($L308="",$I308="Completed",$I308="Cancelled"),"",IF(AND($L308&lt;TODAY(),$I308&lt;&gt;"Completed",$I308&lt;&gt;"Cancelled"),"Overdue","On Track"))</f>
        <v/>
      </c>
      <c r="S308" s="65">
        <f>IF($L308="","",TEXT($L308,"yyyy-mm"))</f>
        <v/>
      </c>
      <c r="T308" s="86">
        <f>IF($I308="","",IFERROR(INDEX(Action_Status_Map!$C$5:$C$11,MATCH($I308,Action_Status_Map!$A$5:$A$11,0)),""))</f>
        <v/>
      </c>
      <c r="U308" s="81" t="n"/>
      <c r="V308" s="82" t="n"/>
      <c r="W308" s="65">
        <f>IF(OR($I308&lt;&gt;"Completed",$M308="",$L308=""),"",IF($M308&lt;=$L308,"Yes","No"))</f>
        <v/>
      </c>
      <c r="X308" s="84">
        <f>IF($A308="","",COUNTIF(Task_Steps!$B$5:$B$2004,$A308))</f>
        <v/>
      </c>
      <c r="Y308" s="86">
        <f>IF($X308=0,"",COUNTIFS(Task_Steps!$B$5:$B$2004,$A308,Task_Steps!$H$5:$H$2004,"Completed")/$X308)</f>
        <v/>
      </c>
      <c r="Z308" s="81" t="n"/>
      <c r="AA308" s="81" t="n"/>
      <c r="AB308" s="67">
        <f>IF($F308="","",IFERROR(INDEX(Employee_Master!$E$5:$E$204,MATCH($F308,Employee_Master!$B$5:$B$204,0)),""))</f>
        <v/>
      </c>
      <c r="AC308" s="65">
        <f>IF(OR($A308="",$AB308=""),"",IF(OR($I308="Completed",$I308="Cancelled"),"Closed - in Manager Report","Active - in Manager Report"))</f>
        <v/>
      </c>
      <c r="AD308" s="81">
        <f>IF($A308="","",IFERROR(TEXTJOIN(", ",TRUE,FILTER(Task_Steps!$A$5:$A$2004,Task_Steps!$B$5:$B$2004=$A308)),""))</f>
        <v/>
      </c>
      <c r="AE308" s="84">
        <f>IF($A308="","",COUNTIFS(Task_Steps!$B$5:$B$2004,$A308,Task_Steps!$H$5:$H$2004,"&lt;&gt;Completed",Task_Steps!$H$5:$H$2004,"&lt;&gt;Cancelled"))</f>
        <v/>
      </c>
      <c r="AF308" s="81">
        <f>IF(OR($B308="",$A308=""),"",$B308&amp;" | "&amp;$A308)</f>
        <v/>
      </c>
    </row>
    <row r="309" ht="15" customHeight="1" s="40">
      <c r="A309" s="65">
        <f>IF(COUNTA(B309:F309)=0,"","TSK-"&amp;TEXT(ROW()-4,"0000"))</f>
        <v/>
      </c>
      <c r="B309" s="78" t="n"/>
      <c r="C309" s="78" t="n"/>
      <c r="D309" s="81" t="n"/>
      <c r="E309" s="81" t="n"/>
      <c r="F309" s="78" t="n"/>
      <c r="G309" s="67">
        <f>IF($F309="","",IFERROR(INDEX(Employee_Master!$C$5:$C$204,MATCH($F309,Employee_Master!$B$5:$B$204,0)),""))</f>
        <v/>
      </c>
      <c r="H309" s="78" t="n"/>
      <c r="I309" s="78" t="n"/>
      <c r="J309" s="67">
        <f>IF($I309="","",IFERROR(INDEX(Action_Status_Map!$B$5:$B$11,MATCH($I309,Action_Status_Map!$A$5:$A$11,0)),""))</f>
        <v/>
      </c>
      <c r="K309" s="82" t="n"/>
      <c r="L309" s="82" t="n"/>
      <c r="M309" s="82" t="n"/>
      <c r="N309" s="83" t="n"/>
      <c r="O309" s="83" t="n"/>
      <c r="P309" s="66">
        <f>IF(OR($N309="",$O309=""),"",$O309-$N309)</f>
        <v/>
      </c>
      <c r="Q309" s="84">
        <f>IF($K309="","",IF($M309&lt;&gt;"",$M309-$K309,TODAY()-$K309))</f>
        <v/>
      </c>
      <c r="R309" s="85">
        <f>IF(OR($L309="",$I309="Completed",$I309="Cancelled"),"",IF(AND($L309&lt;TODAY(),$I309&lt;&gt;"Completed",$I309&lt;&gt;"Cancelled"),"Overdue","On Track"))</f>
        <v/>
      </c>
      <c r="S309" s="65">
        <f>IF($L309="","",TEXT($L309,"yyyy-mm"))</f>
        <v/>
      </c>
      <c r="T309" s="86">
        <f>IF($I309="","",IFERROR(INDEX(Action_Status_Map!$C$5:$C$11,MATCH($I309,Action_Status_Map!$A$5:$A$11,0)),""))</f>
        <v/>
      </c>
      <c r="U309" s="81" t="n"/>
      <c r="V309" s="82" t="n"/>
      <c r="W309" s="65">
        <f>IF(OR($I309&lt;&gt;"Completed",$M309="",$L309=""),"",IF($M309&lt;=$L309,"Yes","No"))</f>
        <v/>
      </c>
      <c r="X309" s="84">
        <f>IF($A309="","",COUNTIF(Task_Steps!$B$5:$B$2004,$A309))</f>
        <v/>
      </c>
      <c r="Y309" s="86">
        <f>IF($X309=0,"",COUNTIFS(Task_Steps!$B$5:$B$2004,$A309,Task_Steps!$H$5:$H$2004,"Completed")/$X309)</f>
        <v/>
      </c>
      <c r="Z309" s="81" t="n"/>
      <c r="AA309" s="81" t="n"/>
      <c r="AB309" s="67">
        <f>IF($F309="","",IFERROR(INDEX(Employee_Master!$E$5:$E$204,MATCH($F309,Employee_Master!$B$5:$B$204,0)),""))</f>
        <v/>
      </c>
      <c r="AC309" s="65">
        <f>IF(OR($A309="",$AB309=""),"",IF(OR($I309="Completed",$I309="Cancelled"),"Closed - in Manager Report","Active - in Manager Report"))</f>
        <v/>
      </c>
      <c r="AD309" s="81">
        <f>IF($A309="","",IFERROR(TEXTJOIN(", ",TRUE,FILTER(Task_Steps!$A$5:$A$2004,Task_Steps!$B$5:$B$2004=$A309)),""))</f>
        <v/>
      </c>
      <c r="AE309" s="84">
        <f>IF($A309="","",COUNTIFS(Task_Steps!$B$5:$B$2004,$A309,Task_Steps!$H$5:$H$2004,"&lt;&gt;Completed",Task_Steps!$H$5:$H$2004,"&lt;&gt;Cancelled"))</f>
        <v/>
      </c>
      <c r="AF309" s="81">
        <f>IF(OR($B309="",$A309=""),"",$B309&amp;" | "&amp;$A309)</f>
        <v/>
      </c>
    </row>
    <row r="310" ht="15" customHeight="1" s="40">
      <c r="A310" s="65">
        <f>IF(COUNTA(B310:F310)=0,"","TSK-"&amp;TEXT(ROW()-4,"0000"))</f>
        <v/>
      </c>
      <c r="B310" s="78" t="n"/>
      <c r="C310" s="78" t="n"/>
      <c r="D310" s="81" t="n"/>
      <c r="E310" s="81" t="n"/>
      <c r="F310" s="78" t="n"/>
      <c r="G310" s="67">
        <f>IF($F310="","",IFERROR(INDEX(Employee_Master!$C$5:$C$204,MATCH($F310,Employee_Master!$B$5:$B$204,0)),""))</f>
        <v/>
      </c>
      <c r="H310" s="78" t="n"/>
      <c r="I310" s="78" t="n"/>
      <c r="J310" s="67">
        <f>IF($I310="","",IFERROR(INDEX(Action_Status_Map!$B$5:$B$11,MATCH($I310,Action_Status_Map!$A$5:$A$11,0)),""))</f>
        <v/>
      </c>
      <c r="K310" s="82" t="n"/>
      <c r="L310" s="82" t="n"/>
      <c r="M310" s="82" t="n"/>
      <c r="N310" s="83" t="n"/>
      <c r="O310" s="83" t="n"/>
      <c r="P310" s="66">
        <f>IF(OR($N310="",$O310=""),"",$O310-$N310)</f>
        <v/>
      </c>
      <c r="Q310" s="84">
        <f>IF($K310="","",IF($M310&lt;&gt;"",$M310-$K310,TODAY()-$K310))</f>
        <v/>
      </c>
      <c r="R310" s="85">
        <f>IF(OR($L310="",$I310="Completed",$I310="Cancelled"),"",IF(AND($L310&lt;TODAY(),$I310&lt;&gt;"Completed",$I310&lt;&gt;"Cancelled"),"Overdue","On Track"))</f>
        <v/>
      </c>
      <c r="S310" s="65">
        <f>IF($L310="","",TEXT($L310,"yyyy-mm"))</f>
        <v/>
      </c>
      <c r="T310" s="86">
        <f>IF($I310="","",IFERROR(INDEX(Action_Status_Map!$C$5:$C$11,MATCH($I310,Action_Status_Map!$A$5:$A$11,0)),""))</f>
        <v/>
      </c>
      <c r="U310" s="81" t="n"/>
      <c r="V310" s="82" t="n"/>
      <c r="W310" s="65">
        <f>IF(OR($I310&lt;&gt;"Completed",$M310="",$L310=""),"",IF($M310&lt;=$L310,"Yes","No"))</f>
        <v/>
      </c>
      <c r="X310" s="84">
        <f>IF($A310="","",COUNTIF(Task_Steps!$B$5:$B$2004,$A310))</f>
        <v/>
      </c>
      <c r="Y310" s="86">
        <f>IF($X310=0,"",COUNTIFS(Task_Steps!$B$5:$B$2004,$A310,Task_Steps!$H$5:$H$2004,"Completed")/$X310)</f>
        <v/>
      </c>
      <c r="Z310" s="81" t="n"/>
      <c r="AA310" s="81" t="n"/>
      <c r="AB310" s="67">
        <f>IF($F310="","",IFERROR(INDEX(Employee_Master!$E$5:$E$204,MATCH($F310,Employee_Master!$B$5:$B$204,0)),""))</f>
        <v/>
      </c>
      <c r="AC310" s="65">
        <f>IF(OR($A310="",$AB310=""),"",IF(OR($I310="Completed",$I310="Cancelled"),"Closed - in Manager Report","Active - in Manager Report"))</f>
        <v/>
      </c>
      <c r="AD310" s="81">
        <f>IF($A310="","",IFERROR(TEXTJOIN(", ",TRUE,FILTER(Task_Steps!$A$5:$A$2004,Task_Steps!$B$5:$B$2004=$A310)),""))</f>
        <v/>
      </c>
      <c r="AE310" s="84">
        <f>IF($A310="","",COUNTIFS(Task_Steps!$B$5:$B$2004,$A310,Task_Steps!$H$5:$H$2004,"&lt;&gt;Completed",Task_Steps!$H$5:$H$2004,"&lt;&gt;Cancelled"))</f>
        <v/>
      </c>
      <c r="AF310" s="81">
        <f>IF(OR($B310="",$A310=""),"",$B310&amp;" | "&amp;$A310)</f>
        <v/>
      </c>
    </row>
    <row r="311" ht="15" customHeight="1" s="40">
      <c r="A311" s="65">
        <f>IF(COUNTA(B311:F311)=0,"","TSK-"&amp;TEXT(ROW()-4,"0000"))</f>
        <v/>
      </c>
      <c r="B311" s="78" t="n"/>
      <c r="C311" s="78" t="n"/>
      <c r="D311" s="81" t="n"/>
      <c r="E311" s="81" t="n"/>
      <c r="F311" s="78" t="n"/>
      <c r="G311" s="67">
        <f>IF($F311="","",IFERROR(INDEX(Employee_Master!$C$5:$C$204,MATCH($F311,Employee_Master!$B$5:$B$204,0)),""))</f>
        <v/>
      </c>
      <c r="H311" s="78" t="n"/>
      <c r="I311" s="78" t="n"/>
      <c r="J311" s="67">
        <f>IF($I311="","",IFERROR(INDEX(Action_Status_Map!$B$5:$B$11,MATCH($I311,Action_Status_Map!$A$5:$A$11,0)),""))</f>
        <v/>
      </c>
      <c r="K311" s="82" t="n"/>
      <c r="L311" s="82" t="n"/>
      <c r="M311" s="82" t="n"/>
      <c r="N311" s="83" t="n"/>
      <c r="O311" s="83" t="n"/>
      <c r="P311" s="66">
        <f>IF(OR($N311="",$O311=""),"",$O311-$N311)</f>
        <v/>
      </c>
      <c r="Q311" s="84">
        <f>IF($K311="","",IF($M311&lt;&gt;"",$M311-$K311,TODAY()-$K311))</f>
        <v/>
      </c>
      <c r="R311" s="85">
        <f>IF(OR($L311="",$I311="Completed",$I311="Cancelled"),"",IF(AND($L311&lt;TODAY(),$I311&lt;&gt;"Completed",$I311&lt;&gt;"Cancelled"),"Overdue","On Track"))</f>
        <v/>
      </c>
      <c r="S311" s="65">
        <f>IF($L311="","",TEXT($L311,"yyyy-mm"))</f>
        <v/>
      </c>
      <c r="T311" s="86">
        <f>IF($I311="","",IFERROR(INDEX(Action_Status_Map!$C$5:$C$11,MATCH($I311,Action_Status_Map!$A$5:$A$11,0)),""))</f>
        <v/>
      </c>
      <c r="U311" s="81" t="n"/>
      <c r="V311" s="82" t="n"/>
      <c r="W311" s="65">
        <f>IF(OR($I311&lt;&gt;"Completed",$M311="",$L311=""),"",IF($M311&lt;=$L311,"Yes","No"))</f>
        <v/>
      </c>
      <c r="X311" s="84">
        <f>IF($A311="","",COUNTIF(Task_Steps!$B$5:$B$2004,$A311))</f>
        <v/>
      </c>
      <c r="Y311" s="86">
        <f>IF($X311=0,"",COUNTIFS(Task_Steps!$B$5:$B$2004,$A311,Task_Steps!$H$5:$H$2004,"Completed")/$X311)</f>
        <v/>
      </c>
      <c r="Z311" s="81" t="n"/>
      <c r="AA311" s="81" t="n"/>
      <c r="AB311" s="67">
        <f>IF($F311="","",IFERROR(INDEX(Employee_Master!$E$5:$E$204,MATCH($F311,Employee_Master!$B$5:$B$204,0)),""))</f>
        <v/>
      </c>
      <c r="AC311" s="65">
        <f>IF(OR($A311="",$AB311=""),"",IF(OR($I311="Completed",$I311="Cancelled"),"Closed - in Manager Report","Active - in Manager Report"))</f>
        <v/>
      </c>
      <c r="AD311" s="81">
        <f>IF($A311="","",IFERROR(TEXTJOIN(", ",TRUE,FILTER(Task_Steps!$A$5:$A$2004,Task_Steps!$B$5:$B$2004=$A311)),""))</f>
        <v/>
      </c>
      <c r="AE311" s="84">
        <f>IF($A311="","",COUNTIFS(Task_Steps!$B$5:$B$2004,$A311,Task_Steps!$H$5:$H$2004,"&lt;&gt;Completed",Task_Steps!$H$5:$H$2004,"&lt;&gt;Cancelled"))</f>
        <v/>
      </c>
      <c r="AF311" s="81">
        <f>IF(OR($B311="",$A311=""),"",$B311&amp;" | "&amp;$A311)</f>
        <v/>
      </c>
    </row>
    <row r="312" ht="15" customHeight="1" s="40">
      <c r="A312" s="65">
        <f>IF(COUNTA(B312:F312)=0,"","TSK-"&amp;TEXT(ROW()-4,"0000"))</f>
        <v/>
      </c>
      <c r="B312" s="78" t="n"/>
      <c r="C312" s="78" t="n"/>
      <c r="D312" s="81" t="n"/>
      <c r="E312" s="81" t="n"/>
      <c r="F312" s="78" t="n"/>
      <c r="G312" s="67">
        <f>IF($F312="","",IFERROR(INDEX(Employee_Master!$C$5:$C$204,MATCH($F312,Employee_Master!$B$5:$B$204,0)),""))</f>
        <v/>
      </c>
      <c r="H312" s="78" t="n"/>
      <c r="I312" s="78" t="n"/>
      <c r="J312" s="67">
        <f>IF($I312="","",IFERROR(INDEX(Action_Status_Map!$B$5:$B$11,MATCH($I312,Action_Status_Map!$A$5:$A$11,0)),""))</f>
        <v/>
      </c>
      <c r="K312" s="82" t="n"/>
      <c r="L312" s="82" t="n"/>
      <c r="M312" s="82" t="n"/>
      <c r="N312" s="83" t="n"/>
      <c r="O312" s="83" t="n"/>
      <c r="P312" s="66">
        <f>IF(OR($N312="",$O312=""),"",$O312-$N312)</f>
        <v/>
      </c>
      <c r="Q312" s="84">
        <f>IF($K312="","",IF($M312&lt;&gt;"",$M312-$K312,TODAY()-$K312))</f>
        <v/>
      </c>
      <c r="R312" s="85">
        <f>IF(OR($L312="",$I312="Completed",$I312="Cancelled"),"",IF(AND($L312&lt;TODAY(),$I312&lt;&gt;"Completed",$I312&lt;&gt;"Cancelled"),"Overdue","On Track"))</f>
        <v/>
      </c>
      <c r="S312" s="65">
        <f>IF($L312="","",TEXT($L312,"yyyy-mm"))</f>
        <v/>
      </c>
      <c r="T312" s="86">
        <f>IF($I312="","",IFERROR(INDEX(Action_Status_Map!$C$5:$C$11,MATCH($I312,Action_Status_Map!$A$5:$A$11,0)),""))</f>
        <v/>
      </c>
      <c r="U312" s="81" t="n"/>
      <c r="V312" s="82" t="n"/>
      <c r="W312" s="65">
        <f>IF(OR($I312&lt;&gt;"Completed",$M312="",$L312=""),"",IF($M312&lt;=$L312,"Yes","No"))</f>
        <v/>
      </c>
      <c r="X312" s="84">
        <f>IF($A312="","",COUNTIF(Task_Steps!$B$5:$B$2004,$A312))</f>
        <v/>
      </c>
      <c r="Y312" s="86">
        <f>IF($X312=0,"",COUNTIFS(Task_Steps!$B$5:$B$2004,$A312,Task_Steps!$H$5:$H$2004,"Completed")/$X312)</f>
        <v/>
      </c>
      <c r="Z312" s="81" t="n"/>
      <c r="AA312" s="81" t="n"/>
      <c r="AB312" s="67">
        <f>IF($F312="","",IFERROR(INDEX(Employee_Master!$E$5:$E$204,MATCH($F312,Employee_Master!$B$5:$B$204,0)),""))</f>
        <v/>
      </c>
      <c r="AC312" s="65">
        <f>IF(OR($A312="",$AB312=""),"",IF(OR($I312="Completed",$I312="Cancelled"),"Closed - in Manager Report","Active - in Manager Report"))</f>
        <v/>
      </c>
      <c r="AD312" s="81">
        <f>IF($A312="","",IFERROR(TEXTJOIN(", ",TRUE,FILTER(Task_Steps!$A$5:$A$2004,Task_Steps!$B$5:$B$2004=$A312)),""))</f>
        <v/>
      </c>
      <c r="AE312" s="84">
        <f>IF($A312="","",COUNTIFS(Task_Steps!$B$5:$B$2004,$A312,Task_Steps!$H$5:$H$2004,"&lt;&gt;Completed",Task_Steps!$H$5:$H$2004,"&lt;&gt;Cancelled"))</f>
        <v/>
      </c>
      <c r="AF312" s="81">
        <f>IF(OR($B312="",$A312=""),"",$B312&amp;" | "&amp;$A312)</f>
        <v/>
      </c>
    </row>
    <row r="313" ht="15" customHeight="1" s="40">
      <c r="A313" s="65">
        <f>IF(COUNTA(B313:F313)=0,"","TSK-"&amp;TEXT(ROW()-4,"0000"))</f>
        <v/>
      </c>
      <c r="B313" s="78" t="n"/>
      <c r="C313" s="78" t="n"/>
      <c r="D313" s="81" t="n"/>
      <c r="E313" s="81" t="n"/>
      <c r="F313" s="78" t="n"/>
      <c r="G313" s="67">
        <f>IF($F313="","",IFERROR(INDEX(Employee_Master!$C$5:$C$204,MATCH($F313,Employee_Master!$B$5:$B$204,0)),""))</f>
        <v/>
      </c>
      <c r="H313" s="78" t="n"/>
      <c r="I313" s="78" t="n"/>
      <c r="J313" s="67">
        <f>IF($I313="","",IFERROR(INDEX(Action_Status_Map!$B$5:$B$11,MATCH($I313,Action_Status_Map!$A$5:$A$11,0)),""))</f>
        <v/>
      </c>
      <c r="K313" s="82" t="n"/>
      <c r="L313" s="82" t="n"/>
      <c r="M313" s="82" t="n"/>
      <c r="N313" s="83" t="n"/>
      <c r="O313" s="83" t="n"/>
      <c r="P313" s="66">
        <f>IF(OR($N313="",$O313=""),"",$O313-$N313)</f>
        <v/>
      </c>
      <c r="Q313" s="84">
        <f>IF($K313="","",IF($M313&lt;&gt;"",$M313-$K313,TODAY()-$K313))</f>
        <v/>
      </c>
      <c r="R313" s="85">
        <f>IF(OR($L313="",$I313="Completed",$I313="Cancelled"),"",IF(AND($L313&lt;TODAY(),$I313&lt;&gt;"Completed",$I313&lt;&gt;"Cancelled"),"Overdue","On Track"))</f>
        <v/>
      </c>
      <c r="S313" s="65">
        <f>IF($L313="","",TEXT($L313,"yyyy-mm"))</f>
        <v/>
      </c>
      <c r="T313" s="86">
        <f>IF($I313="","",IFERROR(INDEX(Action_Status_Map!$C$5:$C$11,MATCH($I313,Action_Status_Map!$A$5:$A$11,0)),""))</f>
        <v/>
      </c>
      <c r="U313" s="81" t="n"/>
      <c r="V313" s="82" t="n"/>
      <c r="W313" s="65">
        <f>IF(OR($I313&lt;&gt;"Completed",$M313="",$L313=""),"",IF($M313&lt;=$L313,"Yes","No"))</f>
        <v/>
      </c>
      <c r="X313" s="84">
        <f>IF($A313="","",COUNTIF(Task_Steps!$B$5:$B$2004,$A313))</f>
        <v/>
      </c>
      <c r="Y313" s="86">
        <f>IF($X313=0,"",COUNTIFS(Task_Steps!$B$5:$B$2004,$A313,Task_Steps!$H$5:$H$2004,"Completed")/$X313)</f>
        <v/>
      </c>
      <c r="Z313" s="81" t="n"/>
      <c r="AA313" s="81" t="n"/>
      <c r="AB313" s="67">
        <f>IF($F313="","",IFERROR(INDEX(Employee_Master!$E$5:$E$204,MATCH($F313,Employee_Master!$B$5:$B$204,0)),""))</f>
        <v/>
      </c>
      <c r="AC313" s="65">
        <f>IF(OR($A313="",$AB313=""),"",IF(OR($I313="Completed",$I313="Cancelled"),"Closed - in Manager Report","Active - in Manager Report"))</f>
        <v/>
      </c>
      <c r="AD313" s="81">
        <f>IF($A313="","",IFERROR(TEXTJOIN(", ",TRUE,FILTER(Task_Steps!$A$5:$A$2004,Task_Steps!$B$5:$B$2004=$A313)),""))</f>
        <v/>
      </c>
      <c r="AE313" s="84">
        <f>IF($A313="","",COUNTIFS(Task_Steps!$B$5:$B$2004,$A313,Task_Steps!$H$5:$H$2004,"&lt;&gt;Completed",Task_Steps!$H$5:$H$2004,"&lt;&gt;Cancelled"))</f>
        <v/>
      </c>
      <c r="AF313" s="81">
        <f>IF(OR($B313="",$A313=""),"",$B313&amp;" | "&amp;$A313)</f>
        <v/>
      </c>
    </row>
    <row r="314" ht="15" customHeight="1" s="40">
      <c r="A314" s="65">
        <f>IF(COUNTA(B314:F314)=0,"","TSK-"&amp;TEXT(ROW()-4,"0000"))</f>
        <v/>
      </c>
      <c r="B314" s="78" t="n"/>
      <c r="C314" s="78" t="n"/>
      <c r="D314" s="81" t="n"/>
      <c r="E314" s="81" t="n"/>
      <c r="F314" s="78" t="n"/>
      <c r="G314" s="67">
        <f>IF($F314="","",IFERROR(INDEX(Employee_Master!$C$5:$C$204,MATCH($F314,Employee_Master!$B$5:$B$204,0)),""))</f>
        <v/>
      </c>
      <c r="H314" s="78" t="n"/>
      <c r="I314" s="78" t="n"/>
      <c r="J314" s="67">
        <f>IF($I314="","",IFERROR(INDEX(Action_Status_Map!$B$5:$B$11,MATCH($I314,Action_Status_Map!$A$5:$A$11,0)),""))</f>
        <v/>
      </c>
      <c r="K314" s="82" t="n"/>
      <c r="L314" s="82" t="n"/>
      <c r="M314" s="82" t="n"/>
      <c r="N314" s="83" t="n"/>
      <c r="O314" s="83" t="n"/>
      <c r="P314" s="66">
        <f>IF(OR($N314="",$O314=""),"",$O314-$N314)</f>
        <v/>
      </c>
      <c r="Q314" s="84">
        <f>IF($K314="","",IF($M314&lt;&gt;"",$M314-$K314,TODAY()-$K314))</f>
        <v/>
      </c>
      <c r="R314" s="85">
        <f>IF(OR($L314="",$I314="Completed",$I314="Cancelled"),"",IF(AND($L314&lt;TODAY(),$I314&lt;&gt;"Completed",$I314&lt;&gt;"Cancelled"),"Overdue","On Track"))</f>
        <v/>
      </c>
      <c r="S314" s="65">
        <f>IF($L314="","",TEXT($L314,"yyyy-mm"))</f>
        <v/>
      </c>
      <c r="T314" s="86">
        <f>IF($I314="","",IFERROR(INDEX(Action_Status_Map!$C$5:$C$11,MATCH($I314,Action_Status_Map!$A$5:$A$11,0)),""))</f>
        <v/>
      </c>
      <c r="U314" s="81" t="n"/>
      <c r="V314" s="82" t="n"/>
      <c r="W314" s="65">
        <f>IF(OR($I314&lt;&gt;"Completed",$M314="",$L314=""),"",IF($M314&lt;=$L314,"Yes","No"))</f>
        <v/>
      </c>
      <c r="X314" s="84">
        <f>IF($A314="","",COUNTIF(Task_Steps!$B$5:$B$2004,$A314))</f>
        <v/>
      </c>
      <c r="Y314" s="86">
        <f>IF($X314=0,"",COUNTIFS(Task_Steps!$B$5:$B$2004,$A314,Task_Steps!$H$5:$H$2004,"Completed")/$X314)</f>
        <v/>
      </c>
      <c r="Z314" s="81" t="n"/>
      <c r="AA314" s="81" t="n"/>
      <c r="AB314" s="67">
        <f>IF($F314="","",IFERROR(INDEX(Employee_Master!$E$5:$E$204,MATCH($F314,Employee_Master!$B$5:$B$204,0)),""))</f>
        <v/>
      </c>
      <c r="AC314" s="65">
        <f>IF(OR($A314="",$AB314=""),"",IF(OR($I314="Completed",$I314="Cancelled"),"Closed - in Manager Report","Active - in Manager Report"))</f>
        <v/>
      </c>
      <c r="AD314" s="81">
        <f>IF($A314="","",IFERROR(TEXTJOIN(", ",TRUE,FILTER(Task_Steps!$A$5:$A$2004,Task_Steps!$B$5:$B$2004=$A314)),""))</f>
        <v/>
      </c>
      <c r="AE314" s="84">
        <f>IF($A314="","",COUNTIFS(Task_Steps!$B$5:$B$2004,$A314,Task_Steps!$H$5:$H$2004,"&lt;&gt;Completed",Task_Steps!$H$5:$H$2004,"&lt;&gt;Cancelled"))</f>
        <v/>
      </c>
      <c r="AF314" s="81">
        <f>IF(OR($B314="",$A314=""),"",$B314&amp;" | "&amp;$A314)</f>
        <v/>
      </c>
    </row>
    <row r="315" ht="15" customHeight="1" s="40">
      <c r="A315" s="65">
        <f>IF(COUNTA(B315:F315)=0,"","TSK-"&amp;TEXT(ROW()-4,"0000"))</f>
        <v/>
      </c>
      <c r="B315" s="78" t="n"/>
      <c r="C315" s="78" t="n"/>
      <c r="D315" s="81" t="n"/>
      <c r="E315" s="81" t="n"/>
      <c r="F315" s="78" t="n"/>
      <c r="G315" s="67">
        <f>IF($F315="","",IFERROR(INDEX(Employee_Master!$C$5:$C$204,MATCH($F315,Employee_Master!$B$5:$B$204,0)),""))</f>
        <v/>
      </c>
      <c r="H315" s="78" t="n"/>
      <c r="I315" s="78" t="n"/>
      <c r="J315" s="67">
        <f>IF($I315="","",IFERROR(INDEX(Action_Status_Map!$B$5:$B$11,MATCH($I315,Action_Status_Map!$A$5:$A$11,0)),""))</f>
        <v/>
      </c>
      <c r="K315" s="82" t="n"/>
      <c r="L315" s="82" t="n"/>
      <c r="M315" s="82" t="n"/>
      <c r="N315" s="83" t="n"/>
      <c r="O315" s="83" t="n"/>
      <c r="P315" s="66">
        <f>IF(OR($N315="",$O315=""),"",$O315-$N315)</f>
        <v/>
      </c>
      <c r="Q315" s="84">
        <f>IF($K315="","",IF($M315&lt;&gt;"",$M315-$K315,TODAY()-$K315))</f>
        <v/>
      </c>
      <c r="R315" s="85">
        <f>IF(OR($L315="",$I315="Completed",$I315="Cancelled"),"",IF(AND($L315&lt;TODAY(),$I315&lt;&gt;"Completed",$I315&lt;&gt;"Cancelled"),"Overdue","On Track"))</f>
        <v/>
      </c>
      <c r="S315" s="65">
        <f>IF($L315="","",TEXT($L315,"yyyy-mm"))</f>
        <v/>
      </c>
      <c r="T315" s="86">
        <f>IF($I315="","",IFERROR(INDEX(Action_Status_Map!$C$5:$C$11,MATCH($I315,Action_Status_Map!$A$5:$A$11,0)),""))</f>
        <v/>
      </c>
      <c r="U315" s="81" t="n"/>
      <c r="V315" s="82" t="n"/>
      <c r="W315" s="65">
        <f>IF(OR($I315&lt;&gt;"Completed",$M315="",$L315=""),"",IF($M315&lt;=$L315,"Yes","No"))</f>
        <v/>
      </c>
      <c r="X315" s="84">
        <f>IF($A315="","",COUNTIF(Task_Steps!$B$5:$B$2004,$A315))</f>
        <v/>
      </c>
      <c r="Y315" s="86">
        <f>IF($X315=0,"",COUNTIFS(Task_Steps!$B$5:$B$2004,$A315,Task_Steps!$H$5:$H$2004,"Completed")/$X315)</f>
        <v/>
      </c>
      <c r="Z315" s="81" t="n"/>
      <c r="AA315" s="81" t="n"/>
      <c r="AB315" s="67">
        <f>IF($F315="","",IFERROR(INDEX(Employee_Master!$E$5:$E$204,MATCH($F315,Employee_Master!$B$5:$B$204,0)),""))</f>
        <v/>
      </c>
      <c r="AC315" s="65">
        <f>IF(OR($A315="",$AB315=""),"",IF(OR($I315="Completed",$I315="Cancelled"),"Closed - in Manager Report","Active - in Manager Report"))</f>
        <v/>
      </c>
      <c r="AD315" s="81">
        <f>IF($A315="","",IFERROR(TEXTJOIN(", ",TRUE,FILTER(Task_Steps!$A$5:$A$2004,Task_Steps!$B$5:$B$2004=$A315)),""))</f>
        <v/>
      </c>
      <c r="AE315" s="84">
        <f>IF($A315="","",COUNTIFS(Task_Steps!$B$5:$B$2004,$A315,Task_Steps!$H$5:$H$2004,"&lt;&gt;Completed",Task_Steps!$H$5:$H$2004,"&lt;&gt;Cancelled"))</f>
        <v/>
      </c>
      <c r="AF315" s="81">
        <f>IF(OR($B315="",$A315=""),"",$B315&amp;" | "&amp;$A315)</f>
        <v/>
      </c>
    </row>
    <row r="316" ht="15" customHeight="1" s="40">
      <c r="A316" s="65">
        <f>IF(COUNTA(B316:F316)=0,"","TSK-"&amp;TEXT(ROW()-4,"0000"))</f>
        <v/>
      </c>
      <c r="B316" s="78" t="n"/>
      <c r="C316" s="78" t="n"/>
      <c r="D316" s="81" t="n"/>
      <c r="E316" s="81" t="n"/>
      <c r="F316" s="78" t="n"/>
      <c r="G316" s="67">
        <f>IF($F316="","",IFERROR(INDEX(Employee_Master!$C$5:$C$204,MATCH($F316,Employee_Master!$B$5:$B$204,0)),""))</f>
        <v/>
      </c>
      <c r="H316" s="78" t="n"/>
      <c r="I316" s="78" t="n"/>
      <c r="J316" s="67">
        <f>IF($I316="","",IFERROR(INDEX(Action_Status_Map!$B$5:$B$11,MATCH($I316,Action_Status_Map!$A$5:$A$11,0)),""))</f>
        <v/>
      </c>
      <c r="K316" s="82" t="n"/>
      <c r="L316" s="82" t="n"/>
      <c r="M316" s="82" t="n"/>
      <c r="N316" s="83" t="n"/>
      <c r="O316" s="83" t="n"/>
      <c r="P316" s="66">
        <f>IF(OR($N316="",$O316=""),"",$O316-$N316)</f>
        <v/>
      </c>
      <c r="Q316" s="84">
        <f>IF($K316="","",IF($M316&lt;&gt;"",$M316-$K316,TODAY()-$K316))</f>
        <v/>
      </c>
      <c r="R316" s="85">
        <f>IF(OR($L316="",$I316="Completed",$I316="Cancelled"),"",IF(AND($L316&lt;TODAY(),$I316&lt;&gt;"Completed",$I316&lt;&gt;"Cancelled"),"Overdue","On Track"))</f>
        <v/>
      </c>
      <c r="S316" s="65">
        <f>IF($L316="","",TEXT($L316,"yyyy-mm"))</f>
        <v/>
      </c>
      <c r="T316" s="86">
        <f>IF($I316="","",IFERROR(INDEX(Action_Status_Map!$C$5:$C$11,MATCH($I316,Action_Status_Map!$A$5:$A$11,0)),""))</f>
        <v/>
      </c>
      <c r="U316" s="81" t="n"/>
      <c r="V316" s="82" t="n"/>
      <c r="W316" s="65">
        <f>IF(OR($I316&lt;&gt;"Completed",$M316="",$L316=""),"",IF($M316&lt;=$L316,"Yes","No"))</f>
        <v/>
      </c>
      <c r="X316" s="84">
        <f>IF($A316="","",COUNTIF(Task_Steps!$B$5:$B$2004,$A316))</f>
        <v/>
      </c>
      <c r="Y316" s="86">
        <f>IF($X316=0,"",COUNTIFS(Task_Steps!$B$5:$B$2004,$A316,Task_Steps!$H$5:$H$2004,"Completed")/$X316)</f>
        <v/>
      </c>
      <c r="Z316" s="81" t="n"/>
      <c r="AA316" s="81" t="n"/>
      <c r="AB316" s="67">
        <f>IF($F316="","",IFERROR(INDEX(Employee_Master!$E$5:$E$204,MATCH($F316,Employee_Master!$B$5:$B$204,0)),""))</f>
        <v/>
      </c>
      <c r="AC316" s="65">
        <f>IF(OR($A316="",$AB316=""),"",IF(OR($I316="Completed",$I316="Cancelled"),"Closed - in Manager Report","Active - in Manager Report"))</f>
        <v/>
      </c>
      <c r="AD316" s="81">
        <f>IF($A316="","",IFERROR(TEXTJOIN(", ",TRUE,FILTER(Task_Steps!$A$5:$A$2004,Task_Steps!$B$5:$B$2004=$A316)),""))</f>
        <v/>
      </c>
      <c r="AE316" s="84">
        <f>IF($A316="","",COUNTIFS(Task_Steps!$B$5:$B$2004,$A316,Task_Steps!$H$5:$H$2004,"&lt;&gt;Completed",Task_Steps!$H$5:$H$2004,"&lt;&gt;Cancelled"))</f>
        <v/>
      </c>
      <c r="AF316" s="81">
        <f>IF(OR($B316="",$A316=""),"",$B316&amp;" | "&amp;$A316)</f>
        <v/>
      </c>
    </row>
    <row r="317" ht="15" customHeight="1" s="40">
      <c r="A317" s="65">
        <f>IF(COUNTA(B317:F317)=0,"","TSK-"&amp;TEXT(ROW()-4,"0000"))</f>
        <v/>
      </c>
      <c r="B317" s="78" t="n"/>
      <c r="C317" s="78" t="n"/>
      <c r="D317" s="81" t="n"/>
      <c r="E317" s="81" t="n"/>
      <c r="F317" s="78" t="n"/>
      <c r="G317" s="67">
        <f>IF($F317="","",IFERROR(INDEX(Employee_Master!$C$5:$C$204,MATCH($F317,Employee_Master!$B$5:$B$204,0)),""))</f>
        <v/>
      </c>
      <c r="H317" s="78" t="n"/>
      <c r="I317" s="78" t="n"/>
      <c r="J317" s="67">
        <f>IF($I317="","",IFERROR(INDEX(Action_Status_Map!$B$5:$B$11,MATCH($I317,Action_Status_Map!$A$5:$A$11,0)),""))</f>
        <v/>
      </c>
      <c r="K317" s="82" t="n"/>
      <c r="L317" s="82" t="n"/>
      <c r="M317" s="82" t="n"/>
      <c r="N317" s="83" t="n"/>
      <c r="O317" s="83" t="n"/>
      <c r="P317" s="66">
        <f>IF(OR($N317="",$O317=""),"",$O317-$N317)</f>
        <v/>
      </c>
      <c r="Q317" s="84">
        <f>IF($K317="","",IF($M317&lt;&gt;"",$M317-$K317,TODAY()-$K317))</f>
        <v/>
      </c>
      <c r="R317" s="85">
        <f>IF(OR($L317="",$I317="Completed",$I317="Cancelled"),"",IF(AND($L317&lt;TODAY(),$I317&lt;&gt;"Completed",$I317&lt;&gt;"Cancelled"),"Overdue","On Track"))</f>
        <v/>
      </c>
      <c r="S317" s="65">
        <f>IF($L317="","",TEXT($L317,"yyyy-mm"))</f>
        <v/>
      </c>
      <c r="T317" s="86">
        <f>IF($I317="","",IFERROR(INDEX(Action_Status_Map!$C$5:$C$11,MATCH($I317,Action_Status_Map!$A$5:$A$11,0)),""))</f>
        <v/>
      </c>
      <c r="U317" s="81" t="n"/>
      <c r="V317" s="82" t="n"/>
      <c r="W317" s="65">
        <f>IF(OR($I317&lt;&gt;"Completed",$M317="",$L317=""),"",IF($M317&lt;=$L317,"Yes","No"))</f>
        <v/>
      </c>
      <c r="X317" s="84">
        <f>IF($A317="","",COUNTIF(Task_Steps!$B$5:$B$2004,$A317))</f>
        <v/>
      </c>
      <c r="Y317" s="86">
        <f>IF($X317=0,"",COUNTIFS(Task_Steps!$B$5:$B$2004,$A317,Task_Steps!$H$5:$H$2004,"Completed")/$X317)</f>
        <v/>
      </c>
      <c r="Z317" s="81" t="n"/>
      <c r="AA317" s="81" t="n"/>
      <c r="AB317" s="67">
        <f>IF($F317="","",IFERROR(INDEX(Employee_Master!$E$5:$E$204,MATCH($F317,Employee_Master!$B$5:$B$204,0)),""))</f>
        <v/>
      </c>
      <c r="AC317" s="65">
        <f>IF(OR($A317="",$AB317=""),"",IF(OR($I317="Completed",$I317="Cancelled"),"Closed - in Manager Report","Active - in Manager Report"))</f>
        <v/>
      </c>
      <c r="AD317" s="81">
        <f>IF($A317="","",IFERROR(TEXTJOIN(", ",TRUE,FILTER(Task_Steps!$A$5:$A$2004,Task_Steps!$B$5:$B$2004=$A317)),""))</f>
        <v/>
      </c>
      <c r="AE317" s="84">
        <f>IF($A317="","",COUNTIFS(Task_Steps!$B$5:$B$2004,$A317,Task_Steps!$H$5:$H$2004,"&lt;&gt;Completed",Task_Steps!$H$5:$H$2004,"&lt;&gt;Cancelled"))</f>
        <v/>
      </c>
      <c r="AF317" s="81">
        <f>IF(OR($B317="",$A317=""),"",$B317&amp;" | "&amp;$A317)</f>
        <v/>
      </c>
    </row>
    <row r="318" ht="15" customHeight="1" s="40">
      <c r="A318" s="65">
        <f>IF(COUNTA(B318:F318)=0,"","TSK-"&amp;TEXT(ROW()-4,"0000"))</f>
        <v/>
      </c>
      <c r="B318" s="78" t="n"/>
      <c r="C318" s="78" t="n"/>
      <c r="D318" s="81" t="n"/>
      <c r="E318" s="81" t="n"/>
      <c r="F318" s="78" t="n"/>
      <c r="G318" s="67">
        <f>IF($F318="","",IFERROR(INDEX(Employee_Master!$C$5:$C$204,MATCH($F318,Employee_Master!$B$5:$B$204,0)),""))</f>
        <v/>
      </c>
      <c r="H318" s="78" t="n"/>
      <c r="I318" s="78" t="n"/>
      <c r="J318" s="67">
        <f>IF($I318="","",IFERROR(INDEX(Action_Status_Map!$B$5:$B$11,MATCH($I318,Action_Status_Map!$A$5:$A$11,0)),""))</f>
        <v/>
      </c>
      <c r="K318" s="82" t="n"/>
      <c r="L318" s="82" t="n"/>
      <c r="M318" s="82" t="n"/>
      <c r="N318" s="83" t="n"/>
      <c r="O318" s="83" t="n"/>
      <c r="P318" s="66">
        <f>IF(OR($N318="",$O318=""),"",$O318-$N318)</f>
        <v/>
      </c>
      <c r="Q318" s="84">
        <f>IF($K318="","",IF($M318&lt;&gt;"",$M318-$K318,TODAY()-$K318))</f>
        <v/>
      </c>
      <c r="R318" s="85">
        <f>IF(OR($L318="",$I318="Completed",$I318="Cancelled"),"",IF(AND($L318&lt;TODAY(),$I318&lt;&gt;"Completed",$I318&lt;&gt;"Cancelled"),"Overdue","On Track"))</f>
        <v/>
      </c>
      <c r="S318" s="65">
        <f>IF($L318="","",TEXT($L318,"yyyy-mm"))</f>
        <v/>
      </c>
      <c r="T318" s="86">
        <f>IF($I318="","",IFERROR(INDEX(Action_Status_Map!$C$5:$C$11,MATCH($I318,Action_Status_Map!$A$5:$A$11,0)),""))</f>
        <v/>
      </c>
      <c r="U318" s="81" t="n"/>
      <c r="V318" s="82" t="n"/>
      <c r="W318" s="65">
        <f>IF(OR($I318&lt;&gt;"Completed",$M318="",$L318=""),"",IF($M318&lt;=$L318,"Yes","No"))</f>
        <v/>
      </c>
      <c r="X318" s="84">
        <f>IF($A318="","",COUNTIF(Task_Steps!$B$5:$B$2004,$A318))</f>
        <v/>
      </c>
      <c r="Y318" s="86">
        <f>IF($X318=0,"",COUNTIFS(Task_Steps!$B$5:$B$2004,$A318,Task_Steps!$H$5:$H$2004,"Completed")/$X318)</f>
        <v/>
      </c>
      <c r="Z318" s="81" t="n"/>
      <c r="AA318" s="81" t="n"/>
      <c r="AB318" s="67">
        <f>IF($F318="","",IFERROR(INDEX(Employee_Master!$E$5:$E$204,MATCH($F318,Employee_Master!$B$5:$B$204,0)),""))</f>
        <v/>
      </c>
      <c r="AC318" s="65">
        <f>IF(OR($A318="",$AB318=""),"",IF(OR($I318="Completed",$I318="Cancelled"),"Closed - in Manager Report","Active - in Manager Report"))</f>
        <v/>
      </c>
      <c r="AD318" s="81">
        <f>IF($A318="","",IFERROR(TEXTJOIN(", ",TRUE,FILTER(Task_Steps!$A$5:$A$2004,Task_Steps!$B$5:$B$2004=$A318)),""))</f>
        <v/>
      </c>
      <c r="AE318" s="84">
        <f>IF($A318="","",COUNTIFS(Task_Steps!$B$5:$B$2004,$A318,Task_Steps!$H$5:$H$2004,"&lt;&gt;Completed",Task_Steps!$H$5:$H$2004,"&lt;&gt;Cancelled"))</f>
        <v/>
      </c>
      <c r="AF318" s="81">
        <f>IF(OR($B318="",$A318=""),"",$B318&amp;" | "&amp;$A318)</f>
        <v/>
      </c>
    </row>
    <row r="319" ht="15" customHeight="1" s="40">
      <c r="A319" s="65">
        <f>IF(COUNTA(B319:F319)=0,"","TSK-"&amp;TEXT(ROW()-4,"0000"))</f>
        <v/>
      </c>
      <c r="B319" s="78" t="n"/>
      <c r="C319" s="78" t="n"/>
      <c r="D319" s="81" t="n"/>
      <c r="E319" s="81" t="n"/>
      <c r="F319" s="78" t="n"/>
      <c r="G319" s="67">
        <f>IF($F319="","",IFERROR(INDEX(Employee_Master!$C$5:$C$204,MATCH($F319,Employee_Master!$B$5:$B$204,0)),""))</f>
        <v/>
      </c>
      <c r="H319" s="78" t="n"/>
      <c r="I319" s="78" t="n"/>
      <c r="J319" s="67">
        <f>IF($I319="","",IFERROR(INDEX(Action_Status_Map!$B$5:$B$11,MATCH($I319,Action_Status_Map!$A$5:$A$11,0)),""))</f>
        <v/>
      </c>
      <c r="K319" s="82" t="n"/>
      <c r="L319" s="82" t="n"/>
      <c r="M319" s="82" t="n"/>
      <c r="N319" s="83" t="n"/>
      <c r="O319" s="83" t="n"/>
      <c r="P319" s="66">
        <f>IF(OR($N319="",$O319=""),"",$O319-$N319)</f>
        <v/>
      </c>
      <c r="Q319" s="84">
        <f>IF($K319="","",IF($M319&lt;&gt;"",$M319-$K319,TODAY()-$K319))</f>
        <v/>
      </c>
      <c r="R319" s="85">
        <f>IF(OR($L319="",$I319="Completed",$I319="Cancelled"),"",IF(AND($L319&lt;TODAY(),$I319&lt;&gt;"Completed",$I319&lt;&gt;"Cancelled"),"Overdue","On Track"))</f>
        <v/>
      </c>
      <c r="S319" s="65">
        <f>IF($L319="","",TEXT($L319,"yyyy-mm"))</f>
        <v/>
      </c>
      <c r="T319" s="86">
        <f>IF($I319="","",IFERROR(INDEX(Action_Status_Map!$C$5:$C$11,MATCH($I319,Action_Status_Map!$A$5:$A$11,0)),""))</f>
        <v/>
      </c>
      <c r="U319" s="81" t="n"/>
      <c r="V319" s="82" t="n"/>
      <c r="W319" s="65">
        <f>IF(OR($I319&lt;&gt;"Completed",$M319="",$L319=""),"",IF($M319&lt;=$L319,"Yes","No"))</f>
        <v/>
      </c>
      <c r="X319" s="84">
        <f>IF($A319="","",COUNTIF(Task_Steps!$B$5:$B$2004,$A319))</f>
        <v/>
      </c>
      <c r="Y319" s="86">
        <f>IF($X319=0,"",COUNTIFS(Task_Steps!$B$5:$B$2004,$A319,Task_Steps!$H$5:$H$2004,"Completed")/$X319)</f>
        <v/>
      </c>
      <c r="Z319" s="81" t="n"/>
      <c r="AA319" s="81" t="n"/>
      <c r="AB319" s="67">
        <f>IF($F319="","",IFERROR(INDEX(Employee_Master!$E$5:$E$204,MATCH($F319,Employee_Master!$B$5:$B$204,0)),""))</f>
        <v/>
      </c>
      <c r="AC319" s="65">
        <f>IF(OR($A319="",$AB319=""),"",IF(OR($I319="Completed",$I319="Cancelled"),"Closed - in Manager Report","Active - in Manager Report"))</f>
        <v/>
      </c>
      <c r="AD319" s="81">
        <f>IF($A319="","",IFERROR(TEXTJOIN(", ",TRUE,FILTER(Task_Steps!$A$5:$A$2004,Task_Steps!$B$5:$B$2004=$A319)),""))</f>
        <v/>
      </c>
      <c r="AE319" s="84">
        <f>IF($A319="","",COUNTIFS(Task_Steps!$B$5:$B$2004,$A319,Task_Steps!$H$5:$H$2004,"&lt;&gt;Completed",Task_Steps!$H$5:$H$2004,"&lt;&gt;Cancelled"))</f>
        <v/>
      </c>
      <c r="AF319" s="81">
        <f>IF(OR($B319="",$A319=""),"",$B319&amp;" | "&amp;$A319)</f>
        <v/>
      </c>
    </row>
    <row r="320" ht="15" customHeight="1" s="40">
      <c r="A320" s="65">
        <f>IF(COUNTA(B320:F320)=0,"","TSK-"&amp;TEXT(ROW()-4,"0000"))</f>
        <v/>
      </c>
      <c r="B320" s="78" t="n"/>
      <c r="C320" s="78" t="n"/>
      <c r="D320" s="81" t="n"/>
      <c r="E320" s="81" t="n"/>
      <c r="F320" s="78" t="n"/>
      <c r="G320" s="67">
        <f>IF($F320="","",IFERROR(INDEX(Employee_Master!$C$5:$C$204,MATCH($F320,Employee_Master!$B$5:$B$204,0)),""))</f>
        <v/>
      </c>
      <c r="H320" s="78" t="n"/>
      <c r="I320" s="78" t="n"/>
      <c r="J320" s="67">
        <f>IF($I320="","",IFERROR(INDEX(Action_Status_Map!$B$5:$B$11,MATCH($I320,Action_Status_Map!$A$5:$A$11,0)),""))</f>
        <v/>
      </c>
      <c r="K320" s="82" t="n"/>
      <c r="L320" s="82" t="n"/>
      <c r="M320" s="82" t="n"/>
      <c r="N320" s="83" t="n"/>
      <c r="O320" s="83" t="n"/>
      <c r="P320" s="66">
        <f>IF(OR($N320="",$O320=""),"",$O320-$N320)</f>
        <v/>
      </c>
      <c r="Q320" s="84">
        <f>IF($K320="","",IF($M320&lt;&gt;"",$M320-$K320,TODAY()-$K320))</f>
        <v/>
      </c>
      <c r="R320" s="85">
        <f>IF(OR($L320="",$I320="Completed",$I320="Cancelled"),"",IF(AND($L320&lt;TODAY(),$I320&lt;&gt;"Completed",$I320&lt;&gt;"Cancelled"),"Overdue","On Track"))</f>
        <v/>
      </c>
      <c r="S320" s="65">
        <f>IF($L320="","",TEXT($L320,"yyyy-mm"))</f>
        <v/>
      </c>
      <c r="T320" s="86">
        <f>IF($I320="","",IFERROR(INDEX(Action_Status_Map!$C$5:$C$11,MATCH($I320,Action_Status_Map!$A$5:$A$11,0)),""))</f>
        <v/>
      </c>
      <c r="U320" s="81" t="n"/>
      <c r="V320" s="82" t="n"/>
      <c r="W320" s="65">
        <f>IF(OR($I320&lt;&gt;"Completed",$M320="",$L320=""),"",IF($M320&lt;=$L320,"Yes","No"))</f>
        <v/>
      </c>
      <c r="X320" s="84">
        <f>IF($A320="","",COUNTIF(Task_Steps!$B$5:$B$2004,$A320))</f>
        <v/>
      </c>
      <c r="Y320" s="86">
        <f>IF($X320=0,"",COUNTIFS(Task_Steps!$B$5:$B$2004,$A320,Task_Steps!$H$5:$H$2004,"Completed")/$X320)</f>
        <v/>
      </c>
      <c r="Z320" s="81" t="n"/>
      <c r="AA320" s="81" t="n"/>
      <c r="AB320" s="67">
        <f>IF($F320="","",IFERROR(INDEX(Employee_Master!$E$5:$E$204,MATCH($F320,Employee_Master!$B$5:$B$204,0)),""))</f>
        <v/>
      </c>
      <c r="AC320" s="65">
        <f>IF(OR($A320="",$AB320=""),"",IF(OR($I320="Completed",$I320="Cancelled"),"Closed - in Manager Report","Active - in Manager Report"))</f>
        <v/>
      </c>
      <c r="AD320" s="81">
        <f>IF($A320="","",IFERROR(TEXTJOIN(", ",TRUE,FILTER(Task_Steps!$A$5:$A$2004,Task_Steps!$B$5:$B$2004=$A320)),""))</f>
        <v/>
      </c>
      <c r="AE320" s="84">
        <f>IF($A320="","",COUNTIFS(Task_Steps!$B$5:$B$2004,$A320,Task_Steps!$H$5:$H$2004,"&lt;&gt;Completed",Task_Steps!$H$5:$H$2004,"&lt;&gt;Cancelled"))</f>
        <v/>
      </c>
      <c r="AF320" s="81">
        <f>IF(OR($B320="",$A320=""),"",$B320&amp;" | "&amp;$A320)</f>
        <v/>
      </c>
    </row>
    <row r="321" ht="15" customHeight="1" s="40">
      <c r="A321" s="65">
        <f>IF(COUNTA(B321:F321)=0,"","TSK-"&amp;TEXT(ROW()-4,"0000"))</f>
        <v/>
      </c>
      <c r="B321" s="78" t="n"/>
      <c r="C321" s="78" t="n"/>
      <c r="D321" s="81" t="n"/>
      <c r="E321" s="81" t="n"/>
      <c r="F321" s="78" t="n"/>
      <c r="G321" s="67">
        <f>IF($F321="","",IFERROR(INDEX(Employee_Master!$C$5:$C$204,MATCH($F321,Employee_Master!$B$5:$B$204,0)),""))</f>
        <v/>
      </c>
      <c r="H321" s="78" t="n"/>
      <c r="I321" s="78" t="n"/>
      <c r="J321" s="67">
        <f>IF($I321="","",IFERROR(INDEX(Action_Status_Map!$B$5:$B$11,MATCH($I321,Action_Status_Map!$A$5:$A$11,0)),""))</f>
        <v/>
      </c>
      <c r="K321" s="82" t="n"/>
      <c r="L321" s="82" t="n"/>
      <c r="M321" s="82" t="n"/>
      <c r="N321" s="83" t="n"/>
      <c r="O321" s="83" t="n"/>
      <c r="P321" s="66">
        <f>IF(OR($N321="",$O321=""),"",$O321-$N321)</f>
        <v/>
      </c>
      <c r="Q321" s="84">
        <f>IF($K321="","",IF($M321&lt;&gt;"",$M321-$K321,TODAY()-$K321))</f>
        <v/>
      </c>
      <c r="R321" s="85">
        <f>IF(OR($L321="",$I321="Completed",$I321="Cancelled"),"",IF(AND($L321&lt;TODAY(),$I321&lt;&gt;"Completed",$I321&lt;&gt;"Cancelled"),"Overdue","On Track"))</f>
        <v/>
      </c>
      <c r="S321" s="65">
        <f>IF($L321="","",TEXT($L321,"yyyy-mm"))</f>
        <v/>
      </c>
      <c r="T321" s="86">
        <f>IF($I321="","",IFERROR(INDEX(Action_Status_Map!$C$5:$C$11,MATCH($I321,Action_Status_Map!$A$5:$A$11,0)),""))</f>
        <v/>
      </c>
      <c r="U321" s="81" t="n"/>
      <c r="V321" s="82" t="n"/>
      <c r="W321" s="65">
        <f>IF(OR($I321&lt;&gt;"Completed",$M321="",$L321=""),"",IF($M321&lt;=$L321,"Yes","No"))</f>
        <v/>
      </c>
      <c r="X321" s="84">
        <f>IF($A321="","",COUNTIF(Task_Steps!$B$5:$B$2004,$A321))</f>
        <v/>
      </c>
      <c r="Y321" s="86">
        <f>IF($X321=0,"",COUNTIFS(Task_Steps!$B$5:$B$2004,$A321,Task_Steps!$H$5:$H$2004,"Completed")/$X321)</f>
        <v/>
      </c>
      <c r="Z321" s="81" t="n"/>
      <c r="AA321" s="81" t="n"/>
      <c r="AB321" s="67">
        <f>IF($F321="","",IFERROR(INDEX(Employee_Master!$E$5:$E$204,MATCH($F321,Employee_Master!$B$5:$B$204,0)),""))</f>
        <v/>
      </c>
      <c r="AC321" s="65">
        <f>IF(OR($A321="",$AB321=""),"",IF(OR($I321="Completed",$I321="Cancelled"),"Closed - in Manager Report","Active - in Manager Report"))</f>
        <v/>
      </c>
      <c r="AD321" s="81">
        <f>IF($A321="","",IFERROR(TEXTJOIN(", ",TRUE,FILTER(Task_Steps!$A$5:$A$2004,Task_Steps!$B$5:$B$2004=$A321)),""))</f>
        <v/>
      </c>
      <c r="AE321" s="84">
        <f>IF($A321="","",COUNTIFS(Task_Steps!$B$5:$B$2004,$A321,Task_Steps!$H$5:$H$2004,"&lt;&gt;Completed",Task_Steps!$H$5:$H$2004,"&lt;&gt;Cancelled"))</f>
        <v/>
      </c>
      <c r="AF321" s="81">
        <f>IF(OR($B321="",$A321=""),"",$B321&amp;" | "&amp;$A321)</f>
        <v/>
      </c>
    </row>
    <row r="322" ht="15" customHeight="1" s="40">
      <c r="A322" s="65">
        <f>IF(COUNTA(B322:F322)=0,"","TSK-"&amp;TEXT(ROW()-4,"0000"))</f>
        <v/>
      </c>
      <c r="B322" s="78" t="n"/>
      <c r="C322" s="78" t="n"/>
      <c r="D322" s="81" t="n"/>
      <c r="E322" s="81" t="n"/>
      <c r="F322" s="78" t="n"/>
      <c r="G322" s="67">
        <f>IF($F322="","",IFERROR(INDEX(Employee_Master!$C$5:$C$204,MATCH($F322,Employee_Master!$B$5:$B$204,0)),""))</f>
        <v/>
      </c>
      <c r="H322" s="78" t="n"/>
      <c r="I322" s="78" t="n"/>
      <c r="J322" s="67">
        <f>IF($I322="","",IFERROR(INDEX(Action_Status_Map!$B$5:$B$11,MATCH($I322,Action_Status_Map!$A$5:$A$11,0)),""))</f>
        <v/>
      </c>
      <c r="K322" s="82" t="n"/>
      <c r="L322" s="82" t="n"/>
      <c r="M322" s="82" t="n"/>
      <c r="N322" s="83" t="n"/>
      <c r="O322" s="83" t="n"/>
      <c r="P322" s="66">
        <f>IF(OR($N322="",$O322=""),"",$O322-$N322)</f>
        <v/>
      </c>
      <c r="Q322" s="84">
        <f>IF($K322="","",IF($M322&lt;&gt;"",$M322-$K322,TODAY()-$K322))</f>
        <v/>
      </c>
      <c r="R322" s="85">
        <f>IF(OR($L322="",$I322="Completed",$I322="Cancelled"),"",IF(AND($L322&lt;TODAY(),$I322&lt;&gt;"Completed",$I322&lt;&gt;"Cancelled"),"Overdue","On Track"))</f>
        <v/>
      </c>
      <c r="S322" s="65">
        <f>IF($L322="","",TEXT($L322,"yyyy-mm"))</f>
        <v/>
      </c>
      <c r="T322" s="86">
        <f>IF($I322="","",IFERROR(INDEX(Action_Status_Map!$C$5:$C$11,MATCH($I322,Action_Status_Map!$A$5:$A$11,0)),""))</f>
        <v/>
      </c>
      <c r="U322" s="81" t="n"/>
      <c r="V322" s="82" t="n"/>
      <c r="W322" s="65">
        <f>IF(OR($I322&lt;&gt;"Completed",$M322="",$L322=""),"",IF($M322&lt;=$L322,"Yes","No"))</f>
        <v/>
      </c>
      <c r="X322" s="84">
        <f>IF($A322="","",COUNTIF(Task_Steps!$B$5:$B$2004,$A322))</f>
        <v/>
      </c>
      <c r="Y322" s="86">
        <f>IF($X322=0,"",COUNTIFS(Task_Steps!$B$5:$B$2004,$A322,Task_Steps!$H$5:$H$2004,"Completed")/$X322)</f>
        <v/>
      </c>
      <c r="Z322" s="81" t="n"/>
      <c r="AA322" s="81" t="n"/>
      <c r="AB322" s="67">
        <f>IF($F322="","",IFERROR(INDEX(Employee_Master!$E$5:$E$204,MATCH($F322,Employee_Master!$B$5:$B$204,0)),""))</f>
        <v/>
      </c>
      <c r="AC322" s="65">
        <f>IF(OR($A322="",$AB322=""),"",IF(OR($I322="Completed",$I322="Cancelled"),"Closed - in Manager Report","Active - in Manager Report"))</f>
        <v/>
      </c>
      <c r="AD322" s="81">
        <f>IF($A322="","",IFERROR(TEXTJOIN(", ",TRUE,FILTER(Task_Steps!$A$5:$A$2004,Task_Steps!$B$5:$B$2004=$A322)),""))</f>
        <v/>
      </c>
      <c r="AE322" s="84">
        <f>IF($A322="","",COUNTIFS(Task_Steps!$B$5:$B$2004,$A322,Task_Steps!$H$5:$H$2004,"&lt;&gt;Completed",Task_Steps!$H$5:$H$2004,"&lt;&gt;Cancelled"))</f>
        <v/>
      </c>
      <c r="AF322" s="81">
        <f>IF(OR($B322="",$A322=""),"",$B322&amp;" | "&amp;$A322)</f>
        <v/>
      </c>
    </row>
    <row r="323" ht="15" customHeight="1" s="40">
      <c r="A323" s="65">
        <f>IF(COUNTA(B323:F323)=0,"","TSK-"&amp;TEXT(ROW()-4,"0000"))</f>
        <v/>
      </c>
      <c r="B323" s="78" t="n"/>
      <c r="C323" s="78" t="n"/>
      <c r="D323" s="81" t="n"/>
      <c r="E323" s="81" t="n"/>
      <c r="F323" s="78" t="n"/>
      <c r="G323" s="67">
        <f>IF($F323="","",IFERROR(INDEX(Employee_Master!$C$5:$C$204,MATCH($F323,Employee_Master!$B$5:$B$204,0)),""))</f>
        <v/>
      </c>
      <c r="H323" s="78" t="n"/>
      <c r="I323" s="78" t="n"/>
      <c r="J323" s="67">
        <f>IF($I323="","",IFERROR(INDEX(Action_Status_Map!$B$5:$B$11,MATCH($I323,Action_Status_Map!$A$5:$A$11,0)),""))</f>
        <v/>
      </c>
      <c r="K323" s="82" t="n"/>
      <c r="L323" s="82" t="n"/>
      <c r="M323" s="82" t="n"/>
      <c r="N323" s="83" t="n"/>
      <c r="O323" s="83" t="n"/>
      <c r="P323" s="66">
        <f>IF(OR($N323="",$O323=""),"",$O323-$N323)</f>
        <v/>
      </c>
      <c r="Q323" s="84">
        <f>IF($K323="","",IF($M323&lt;&gt;"",$M323-$K323,TODAY()-$K323))</f>
        <v/>
      </c>
      <c r="R323" s="85">
        <f>IF(OR($L323="",$I323="Completed",$I323="Cancelled"),"",IF(AND($L323&lt;TODAY(),$I323&lt;&gt;"Completed",$I323&lt;&gt;"Cancelled"),"Overdue","On Track"))</f>
        <v/>
      </c>
      <c r="S323" s="65">
        <f>IF($L323="","",TEXT($L323,"yyyy-mm"))</f>
        <v/>
      </c>
      <c r="T323" s="86">
        <f>IF($I323="","",IFERROR(INDEX(Action_Status_Map!$C$5:$C$11,MATCH($I323,Action_Status_Map!$A$5:$A$11,0)),""))</f>
        <v/>
      </c>
      <c r="U323" s="81" t="n"/>
      <c r="V323" s="82" t="n"/>
      <c r="W323" s="65">
        <f>IF(OR($I323&lt;&gt;"Completed",$M323="",$L323=""),"",IF($M323&lt;=$L323,"Yes","No"))</f>
        <v/>
      </c>
      <c r="X323" s="84">
        <f>IF($A323="","",COUNTIF(Task_Steps!$B$5:$B$2004,$A323))</f>
        <v/>
      </c>
      <c r="Y323" s="86">
        <f>IF($X323=0,"",COUNTIFS(Task_Steps!$B$5:$B$2004,$A323,Task_Steps!$H$5:$H$2004,"Completed")/$X323)</f>
        <v/>
      </c>
      <c r="Z323" s="81" t="n"/>
      <c r="AA323" s="81" t="n"/>
      <c r="AB323" s="67">
        <f>IF($F323="","",IFERROR(INDEX(Employee_Master!$E$5:$E$204,MATCH($F323,Employee_Master!$B$5:$B$204,0)),""))</f>
        <v/>
      </c>
      <c r="AC323" s="65">
        <f>IF(OR($A323="",$AB323=""),"",IF(OR($I323="Completed",$I323="Cancelled"),"Closed - in Manager Report","Active - in Manager Report"))</f>
        <v/>
      </c>
      <c r="AD323" s="81">
        <f>IF($A323="","",IFERROR(TEXTJOIN(", ",TRUE,FILTER(Task_Steps!$A$5:$A$2004,Task_Steps!$B$5:$B$2004=$A323)),""))</f>
        <v/>
      </c>
      <c r="AE323" s="84">
        <f>IF($A323="","",COUNTIFS(Task_Steps!$B$5:$B$2004,$A323,Task_Steps!$H$5:$H$2004,"&lt;&gt;Completed",Task_Steps!$H$5:$H$2004,"&lt;&gt;Cancelled"))</f>
        <v/>
      </c>
      <c r="AF323" s="81">
        <f>IF(OR($B323="",$A323=""),"",$B323&amp;" | "&amp;$A323)</f>
        <v/>
      </c>
    </row>
    <row r="324" ht="15" customHeight="1" s="40">
      <c r="A324" s="65">
        <f>IF(COUNTA(B324:F324)=0,"","TSK-"&amp;TEXT(ROW()-4,"0000"))</f>
        <v/>
      </c>
      <c r="B324" s="78" t="n"/>
      <c r="C324" s="78" t="n"/>
      <c r="D324" s="81" t="n"/>
      <c r="E324" s="81" t="n"/>
      <c r="F324" s="78" t="n"/>
      <c r="G324" s="67">
        <f>IF($F324="","",IFERROR(INDEX(Employee_Master!$C$5:$C$204,MATCH($F324,Employee_Master!$B$5:$B$204,0)),""))</f>
        <v/>
      </c>
      <c r="H324" s="78" t="n"/>
      <c r="I324" s="78" t="n"/>
      <c r="J324" s="67">
        <f>IF($I324="","",IFERROR(INDEX(Action_Status_Map!$B$5:$B$11,MATCH($I324,Action_Status_Map!$A$5:$A$11,0)),""))</f>
        <v/>
      </c>
      <c r="K324" s="82" t="n"/>
      <c r="L324" s="82" t="n"/>
      <c r="M324" s="82" t="n"/>
      <c r="N324" s="83" t="n"/>
      <c r="O324" s="83" t="n"/>
      <c r="P324" s="66">
        <f>IF(OR($N324="",$O324=""),"",$O324-$N324)</f>
        <v/>
      </c>
      <c r="Q324" s="84">
        <f>IF($K324="","",IF($M324&lt;&gt;"",$M324-$K324,TODAY()-$K324))</f>
        <v/>
      </c>
      <c r="R324" s="85">
        <f>IF(OR($L324="",$I324="Completed",$I324="Cancelled"),"",IF(AND($L324&lt;TODAY(),$I324&lt;&gt;"Completed",$I324&lt;&gt;"Cancelled"),"Overdue","On Track"))</f>
        <v/>
      </c>
      <c r="S324" s="65">
        <f>IF($L324="","",TEXT($L324,"yyyy-mm"))</f>
        <v/>
      </c>
      <c r="T324" s="86">
        <f>IF($I324="","",IFERROR(INDEX(Action_Status_Map!$C$5:$C$11,MATCH($I324,Action_Status_Map!$A$5:$A$11,0)),""))</f>
        <v/>
      </c>
      <c r="U324" s="81" t="n"/>
      <c r="V324" s="82" t="n"/>
      <c r="W324" s="65">
        <f>IF(OR($I324&lt;&gt;"Completed",$M324="",$L324=""),"",IF($M324&lt;=$L324,"Yes","No"))</f>
        <v/>
      </c>
      <c r="X324" s="84">
        <f>IF($A324="","",COUNTIF(Task_Steps!$B$5:$B$2004,$A324))</f>
        <v/>
      </c>
      <c r="Y324" s="86">
        <f>IF($X324=0,"",COUNTIFS(Task_Steps!$B$5:$B$2004,$A324,Task_Steps!$H$5:$H$2004,"Completed")/$X324)</f>
        <v/>
      </c>
      <c r="Z324" s="81" t="n"/>
      <c r="AA324" s="81" t="n"/>
      <c r="AB324" s="67">
        <f>IF($F324="","",IFERROR(INDEX(Employee_Master!$E$5:$E$204,MATCH($F324,Employee_Master!$B$5:$B$204,0)),""))</f>
        <v/>
      </c>
      <c r="AC324" s="65">
        <f>IF(OR($A324="",$AB324=""),"",IF(OR($I324="Completed",$I324="Cancelled"),"Closed - in Manager Report","Active - in Manager Report"))</f>
        <v/>
      </c>
      <c r="AD324" s="81">
        <f>IF($A324="","",IFERROR(TEXTJOIN(", ",TRUE,FILTER(Task_Steps!$A$5:$A$2004,Task_Steps!$B$5:$B$2004=$A324)),""))</f>
        <v/>
      </c>
      <c r="AE324" s="84">
        <f>IF($A324="","",COUNTIFS(Task_Steps!$B$5:$B$2004,$A324,Task_Steps!$H$5:$H$2004,"&lt;&gt;Completed",Task_Steps!$H$5:$H$2004,"&lt;&gt;Cancelled"))</f>
        <v/>
      </c>
      <c r="AF324" s="81">
        <f>IF(OR($B324="",$A324=""),"",$B324&amp;" | "&amp;$A324)</f>
        <v/>
      </c>
    </row>
    <row r="325" ht="15" customHeight="1" s="40">
      <c r="A325" s="65">
        <f>IF(COUNTA(B325:F325)=0,"","TSK-"&amp;TEXT(ROW()-4,"0000"))</f>
        <v/>
      </c>
      <c r="B325" s="78" t="n"/>
      <c r="C325" s="78" t="n"/>
      <c r="D325" s="81" t="n"/>
      <c r="E325" s="81" t="n"/>
      <c r="F325" s="78" t="n"/>
      <c r="G325" s="67">
        <f>IF($F325="","",IFERROR(INDEX(Employee_Master!$C$5:$C$204,MATCH($F325,Employee_Master!$B$5:$B$204,0)),""))</f>
        <v/>
      </c>
      <c r="H325" s="78" t="n"/>
      <c r="I325" s="78" t="n"/>
      <c r="J325" s="67">
        <f>IF($I325="","",IFERROR(INDEX(Action_Status_Map!$B$5:$B$11,MATCH($I325,Action_Status_Map!$A$5:$A$11,0)),""))</f>
        <v/>
      </c>
      <c r="K325" s="82" t="n"/>
      <c r="L325" s="82" t="n"/>
      <c r="M325" s="82" t="n"/>
      <c r="N325" s="83" t="n"/>
      <c r="O325" s="83" t="n"/>
      <c r="P325" s="66">
        <f>IF(OR($N325="",$O325=""),"",$O325-$N325)</f>
        <v/>
      </c>
      <c r="Q325" s="84">
        <f>IF($K325="","",IF($M325&lt;&gt;"",$M325-$K325,TODAY()-$K325))</f>
        <v/>
      </c>
      <c r="R325" s="85">
        <f>IF(OR($L325="",$I325="Completed",$I325="Cancelled"),"",IF(AND($L325&lt;TODAY(),$I325&lt;&gt;"Completed",$I325&lt;&gt;"Cancelled"),"Overdue","On Track"))</f>
        <v/>
      </c>
      <c r="S325" s="65">
        <f>IF($L325="","",TEXT($L325,"yyyy-mm"))</f>
        <v/>
      </c>
      <c r="T325" s="86">
        <f>IF($I325="","",IFERROR(INDEX(Action_Status_Map!$C$5:$C$11,MATCH($I325,Action_Status_Map!$A$5:$A$11,0)),""))</f>
        <v/>
      </c>
      <c r="U325" s="81" t="n"/>
      <c r="V325" s="82" t="n"/>
      <c r="W325" s="65">
        <f>IF(OR($I325&lt;&gt;"Completed",$M325="",$L325=""),"",IF($M325&lt;=$L325,"Yes","No"))</f>
        <v/>
      </c>
      <c r="X325" s="84">
        <f>IF($A325="","",COUNTIF(Task_Steps!$B$5:$B$2004,$A325))</f>
        <v/>
      </c>
      <c r="Y325" s="86">
        <f>IF($X325=0,"",COUNTIFS(Task_Steps!$B$5:$B$2004,$A325,Task_Steps!$H$5:$H$2004,"Completed")/$X325)</f>
        <v/>
      </c>
      <c r="Z325" s="81" t="n"/>
      <c r="AA325" s="81" t="n"/>
      <c r="AB325" s="67">
        <f>IF($F325="","",IFERROR(INDEX(Employee_Master!$E$5:$E$204,MATCH($F325,Employee_Master!$B$5:$B$204,0)),""))</f>
        <v/>
      </c>
      <c r="AC325" s="65">
        <f>IF(OR($A325="",$AB325=""),"",IF(OR($I325="Completed",$I325="Cancelled"),"Closed - in Manager Report","Active - in Manager Report"))</f>
        <v/>
      </c>
      <c r="AD325" s="81">
        <f>IF($A325="","",IFERROR(TEXTJOIN(", ",TRUE,FILTER(Task_Steps!$A$5:$A$2004,Task_Steps!$B$5:$B$2004=$A325)),""))</f>
        <v/>
      </c>
      <c r="AE325" s="84">
        <f>IF($A325="","",COUNTIFS(Task_Steps!$B$5:$B$2004,$A325,Task_Steps!$H$5:$H$2004,"&lt;&gt;Completed",Task_Steps!$H$5:$H$2004,"&lt;&gt;Cancelled"))</f>
        <v/>
      </c>
      <c r="AF325" s="81">
        <f>IF(OR($B325="",$A325=""),"",$B325&amp;" | "&amp;$A325)</f>
        <v/>
      </c>
    </row>
    <row r="326" ht="15" customHeight="1" s="40">
      <c r="A326" s="65">
        <f>IF(COUNTA(B326:F326)=0,"","TSK-"&amp;TEXT(ROW()-4,"0000"))</f>
        <v/>
      </c>
      <c r="B326" s="78" t="n"/>
      <c r="C326" s="78" t="n"/>
      <c r="D326" s="81" t="n"/>
      <c r="E326" s="81" t="n"/>
      <c r="F326" s="78" t="n"/>
      <c r="G326" s="67">
        <f>IF($F326="","",IFERROR(INDEX(Employee_Master!$C$5:$C$204,MATCH($F326,Employee_Master!$B$5:$B$204,0)),""))</f>
        <v/>
      </c>
      <c r="H326" s="78" t="n"/>
      <c r="I326" s="78" t="n"/>
      <c r="J326" s="67">
        <f>IF($I326="","",IFERROR(INDEX(Action_Status_Map!$B$5:$B$11,MATCH($I326,Action_Status_Map!$A$5:$A$11,0)),""))</f>
        <v/>
      </c>
      <c r="K326" s="82" t="n"/>
      <c r="L326" s="82" t="n"/>
      <c r="M326" s="82" t="n"/>
      <c r="N326" s="83" t="n"/>
      <c r="O326" s="83" t="n"/>
      <c r="P326" s="66">
        <f>IF(OR($N326="",$O326=""),"",$O326-$N326)</f>
        <v/>
      </c>
      <c r="Q326" s="84">
        <f>IF($K326="","",IF($M326&lt;&gt;"",$M326-$K326,TODAY()-$K326))</f>
        <v/>
      </c>
      <c r="R326" s="85">
        <f>IF(OR($L326="",$I326="Completed",$I326="Cancelled"),"",IF(AND($L326&lt;TODAY(),$I326&lt;&gt;"Completed",$I326&lt;&gt;"Cancelled"),"Overdue","On Track"))</f>
        <v/>
      </c>
      <c r="S326" s="65">
        <f>IF($L326="","",TEXT($L326,"yyyy-mm"))</f>
        <v/>
      </c>
      <c r="T326" s="86">
        <f>IF($I326="","",IFERROR(INDEX(Action_Status_Map!$C$5:$C$11,MATCH($I326,Action_Status_Map!$A$5:$A$11,0)),""))</f>
        <v/>
      </c>
      <c r="U326" s="81" t="n"/>
      <c r="V326" s="82" t="n"/>
      <c r="W326" s="65">
        <f>IF(OR($I326&lt;&gt;"Completed",$M326="",$L326=""),"",IF($M326&lt;=$L326,"Yes","No"))</f>
        <v/>
      </c>
      <c r="X326" s="84">
        <f>IF($A326="","",COUNTIF(Task_Steps!$B$5:$B$2004,$A326))</f>
        <v/>
      </c>
      <c r="Y326" s="86">
        <f>IF($X326=0,"",COUNTIFS(Task_Steps!$B$5:$B$2004,$A326,Task_Steps!$H$5:$H$2004,"Completed")/$X326)</f>
        <v/>
      </c>
      <c r="Z326" s="81" t="n"/>
      <c r="AA326" s="81" t="n"/>
      <c r="AB326" s="67">
        <f>IF($F326="","",IFERROR(INDEX(Employee_Master!$E$5:$E$204,MATCH($F326,Employee_Master!$B$5:$B$204,0)),""))</f>
        <v/>
      </c>
      <c r="AC326" s="65">
        <f>IF(OR($A326="",$AB326=""),"",IF(OR($I326="Completed",$I326="Cancelled"),"Closed - in Manager Report","Active - in Manager Report"))</f>
        <v/>
      </c>
      <c r="AD326" s="81">
        <f>IF($A326="","",IFERROR(TEXTJOIN(", ",TRUE,FILTER(Task_Steps!$A$5:$A$2004,Task_Steps!$B$5:$B$2004=$A326)),""))</f>
        <v/>
      </c>
      <c r="AE326" s="84">
        <f>IF($A326="","",COUNTIFS(Task_Steps!$B$5:$B$2004,$A326,Task_Steps!$H$5:$H$2004,"&lt;&gt;Completed",Task_Steps!$H$5:$H$2004,"&lt;&gt;Cancelled"))</f>
        <v/>
      </c>
      <c r="AF326" s="81">
        <f>IF(OR($B326="",$A326=""),"",$B326&amp;" | "&amp;$A326)</f>
        <v/>
      </c>
    </row>
    <row r="327" ht="15" customHeight="1" s="40">
      <c r="A327" s="65">
        <f>IF(COUNTA(B327:F327)=0,"","TSK-"&amp;TEXT(ROW()-4,"0000"))</f>
        <v/>
      </c>
      <c r="B327" s="78" t="n"/>
      <c r="C327" s="78" t="n"/>
      <c r="D327" s="81" t="n"/>
      <c r="E327" s="81" t="n"/>
      <c r="F327" s="78" t="n"/>
      <c r="G327" s="67">
        <f>IF($F327="","",IFERROR(INDEX(Employee_Master!$C$5:$C$204,MATCH($F327,Employee_Master!$B$5:$B$204,0)),""))</f>
        <v/>
      </c>
      <c r="H327" s="78" t="n"/>
      <c r="I327" s="78" t="n"/>
      <c r="J327" s="67">
        <f>IF($I327="","",IFERROR(INDEX(Action_Status_Map!$B$5:$B$11,MATCH($I327,Action_Status_Map!$A$5:$A$11,0)),""))</f>
        <v/>
      </c>
      <c r="K327" s="82" t="n"/>
      <c r="L327" s="82" t="n"/>
      <c r="M327" s="82" t="n"/>
      <c r="N327" s="83" t="n"/>
      <c r="O327" s="83" t="n"/>
      <c r="P327" s="66">
        <f>IF(OR($N327="",$O327=""),"",$O327-$N327)</f>
        <v/>
      </c>
      <c r="Q327" s="84">
        <f>IF($K327="","",IF($M327&lt;&gt;"",$M327-$K327,TODAY()-$K327))</f>
        <v/>
      </c>
      <c r="R327" s="85">
        <f>IF(OR($L327="",$I327="Completed",$I327="Cancelled"),"",IF(AND($L327&lt;TODAY(),$I327&lt;&gt;"Completed",$I327&lt;&gt;"Cancelled"),"Overdue","On Track"))</f>
        <v/>
      </c>
      <c r="S327" s="65">
        <f>IF($L327="","",TEXT($L327,"yyyy-mm"))</f>
        <v/>
      </c>
      <c r="T327" s="86">
        <f>IF($I327="","",IFERROR(INDEX(Action_Status_Map!$C$5:$C$11,MATCH($I327,Action_Status_Map!$A$5:$A$11,0)),""))</f>
        <v/>
      </c>
      <c r="U327" s="81" t="n"/>
      <c r="V327" s="82" t="n"/>
      <c r="W327" s="65">
        <f>IF(OR($I327&lt;&gt;"Completed",$M327="",$L327=""),"",IF($M327&lt;=$L327,"Yes","No"))</f>
        <v/>
      </c>
      <c r="X327" s="84">
        <f>IF($A327="","",COUNTIF(Task_Steps!$B$5:$B$2004,$A327))</f>
        <v/>
      </c>
      <c r="Y327" s="86">
        <f>IF($X327=0,"",COUNTIFS(Task_Steps!$B$5:$B$2004,$A327,Task_Steps!$H$5:$H$2004,"Completed")/$X327)</f>
        <v/>
      </c>
      <c r="Z327" s="81" t="n"/>
      <c r="AA327" s="81" t="n"/>
      <c r="AB327" s="67">
        <f>IF($F327="","",IFERROR(INDEX(Employee_Master!$E$5:$E$204,MATCH($F327,Employee_Master!$B$5:$B$204,0)),""))</f>
        <v/>
      </c>
      <c r="AC327" s="65">
        <f>IF(OR($A327="",$AB327=""),"",IF(OR($I327="Completed",$I327="Cancelled"),"Closed - in Manager Report","Active - in Manager Report"))</f>
        <v/>
      </c>
      <c r="AD327" s="81">
        <f>IF($A327="","",IFERROR(TEXTJOIN(", ",TRUE,FILTER(Task_Steps!$A$5:$A$2004,Task_Steps!$B$5:$B$2004=$A327)),""))</f>
        <v/>
      </c>
      <c r="AE327" s="84">
        <f>IF($A327="","",COUNTIFS(Task_Steps!$B$5:$B$2004,$A327,Task_Steps!$H$5:$H$2004,"&lt;&gt;Completed",Task_Steps!$H$5:$H$2004,"&lt;&gt;Cancelled"))</f>
        <v/>
      </c>
      <c r="AF327" s="81">
        <f>IF(OR($B327="",$A327=""),"",$B327&amp;" | "&amp;$A327)</f>
        <v/>
      </c>
    </row>
    <row r="328" ht="15" customHeight="1" s="40">
      <c r="A328" s="65">
        <f>IF(COUNTA(B328:F328)=0,"","TSK-"&amp;TEXT(ROW()-4,"0000"))</f>
        <v/>
      </c>
      <c r="B328" s="78" t="n"/>
      <c r="C328" s="78" t="n"/>
      <c r="D328" s="81" t="n"/>
      <c r="E328" s="81" t="n"/>
      <c r="F328" s="78" t="n"/>
      <c r="G328" s="67">
        <f>IF($F328="","",IFERROR(INDEX(Employee_Master!$C$5:$C$204,MATCH($F328,Employee_Master!$B$5:$B$204,0)),""))</f>
        <v/>
      </c>
      <c r="H328" s="78" t="n"/>
      <c r="I328" s="78" t="n"/>
      <c r="J328" s="67">
        <f>IF($I328="","",IFERROR(INDEX(Action_Status_Map!$B$5:$B$11,MATCH($I328,Action_Status_Map!$A$5:$A$11,0)),""))</f>
        <v/>
      </c>
      <c r="K328" s="82" t="n"/>
      <c r="L328" s="82" t="n"/>
      <c r="M328" s="82" t="n"/>
      <c r="N328" s="83" t="n"/>
      <c r="O328" s="83" t="n"/>
      <c r="P328" s="66">
        <f>IF(OR($N328="",$O328=""),"",$O328-$N328)</f>
        <v/>
      </c>
      <c r="Q328" s="84">
        <f>IF($K328="","",IF($M328&lt;&gt;"",$M328-$K328,TODAY()-$K328))</f>
        <v/>
      </c>
      <c r="R328" s="85">
        <f>IF(OR($L328="",$I328="Completed",$I328="Cancelled"),"",IF(AND($L328&lt;TODAY(),$I328&lt;&gt;"Completed",$I328&lt;&gt;"Cancelled"),"Overdue","On Track"))</f>
        <v/>
      </c>
      <c r="S328" s="65">
        <f>IF($L328="","",TEXT($L328,"yyyy-mm"))</f>
        <v/>
      </c>
      <c r="T328" s="86">
        <f>IF($I328="","",IFERROR(INDEX(Action_Status_Map!$C$5:$C$11,MATCH($I328,Action_Status_Map!$A$5:$A$11,0)),""))</f>
        <v/>
      </c>
      <c r="U328" s="81" t="n"/>
      <c r="V328" s="82" t="n"/>
      <c r="W328" s="65">
        <f>IF(OR($I328&lt;&gt;"Completed",$M328="",$L328=""),"",IF($M328&lt;=$L328,"Yes","No"))</f>
        <v/>
      </c>
      <c r="X328" s="84">
        <f>IF($A328="","",COUNTIF(Task_Steps!$B$5:$B$2004,$A328))</f>
        <v/>
      </c>
      <c r="Y328" s="86">
        <f>IF($X328=0,"",COUNTIFS(Task_Steps!$B$5:$B$2004,$A328,Task_Steps!$H$5:$H$2004,"Completed")/$X328)</f>
        <v/>
      </c>
      <c r="Z328" s="81" t="n"/>
      <c r="AA328" s="81" t="n"/>
      <c r="AB328" s="67">
        <f>IF($F328="","",IFERROR(INDEX(Employee_Master!$E$5:$E$204,MATCH($F328,Employee_Master!$B$5:$B$204,0)),""))</f>
        <v/>
      </c>
      <c r="AC328" s="65">
        <f>IF(OR($A328="",$AB328=""),"",IF(OR($I328="Completed",$I328="Cancelled"),"Closed - in Manager Report","Active - in Manager Report"))</f>
        <v/>
      </c>
      <c r="AD328" s="81">
        <f>IF($A328="","",IFERROR(TEXTJOIN(", ",TRUE,FILTER(Task_Steps!$A$5:$A$2004,Task_Steps!$B$5:$B$2004=$A328)),""))</f>
        <v/>
      </c>
      <c r="AE328" s="84">
        <f>IF($A328="","",COUNTIFS(Task_Steps!$B$5:$B$2004,$A328,Task_Steps!$H$5:$H$2004,"&lt;&gt;Completed",Task_Steps!$H$5:$H$2004,"&lt;&gt;Cancelled"))</f>
        <v/>
      </c>
      <c r="AF328" s="81">
        <f>IF(OR($B328="",$A328=""),"",$B328&amp;" | "&amp;$A328)</f>
        <v/>
      </c>
    </row>
    <row r="329" ht="15" customHeight="1" s="40">
      <c r="A329" s="65">
        <f>IF(COUNTA(B329:F329)=0,"","TSK-"&amp;TEXT(ROW()-4,"0000"))</f>
        <v/>
      </c>
      <c r="B329" s="78" t="n"/>
      <c r="C329" s="78" t="n"/>
      <c r="D329" s="81" t="n"/>
      <c r="E329" s="81" t="n"/>
      <c r="F329" s="78" t="n"/>
      <c r="G329" s="67">
        <f>IF($F329="","",IFERROR(INDEX(Employee_Master!$C$5:$C$204,MATCH($F329,Employee_Master!$B$5:$B$204,0)),""))</f>
        <v/>
      </c>
      <c r="H329" s="78" t="n"/>
      <c r="I329" s="78" t="n"/>
      <c r="J329" s="67">
        <f>IF($I329="","",IFERROR(INDEX(Action_Status_Map!$B$5:$B$11,MATCH($I329,Action_Status_Map!$A$5:$A$11,0)),""))</f>
        <v/>
      </c>
      <c r="K329" s="82" t="n"/>
      <c r="L329" s="82" t="n"/>
      <c r="M329" s="82" t="n"/>
      <c r="N329" s="83" t="n"/>
      <c r="O329" s="83" t="n"/>
      <c r="P329" s="66">
        <f>IF(OR($N329="",$O329=""),"",$O329-$N329)</f>
        <v/>
      </c>
      <c r="Q329" s="84">
        <f>IF($K329="","",IF($M329&lt;&gt;"",$M329-$K329,TODAY()-$K329))</f>
        <v/>
      </c>
      <c r="R329" s="85">
        <f>IF(OR($L329="",$I329="Completed",$I329="Cancelled"),"",IF(AND($L329&lt;TODAY(),$I329&lt;&gt;"Completed",$I329&lt;&gt;"Cancelled"),"Overdue","On Track"))</f>
        <v/>
      </c>
      <c r="S329" s="65">
        <f>IF($L329="","",TEXT($L329,"yyyy-mm"))</f>
        <v/>
      </c>
      <c r="T329" s="86">
        <f>IF($I329="","",IFERROR(INDEX(Action_Status_Map!$C$5:$C$11,MATCH($I329,Action_Status_Map!$A$5:$A$11,0)),""))</f>
        <v/>
      </c>
      <c r="U329" s="81" t="n"/>
      <c r="V329" s="82" t="n"/>
      <c r="W329" s="65">
        <f>IF(OR($I329&lt;&gt;"Completed",$M329="",$L329=""),"",IF($M329&lt;=$L329,"Yes","No"))</f>
        <v/>
      </c>
      <c r="X329" s="84">
        <f>IF($A329="","",COUNTIF(Task_Steps!$B$5:$B$2004,$A329))</f>
        <v/>
      </c>
      <c r="Y329" s="86">
        <f>IF($X329=0,"",COUNTIFS(Task_Steps!$B$5:$B$2004,$A329,Task_Steps!$H$5:$H$2004,"Completed")/$X329)</f>
        <v/>
      </c>
      <c r="Z329" s="81" t="n"/>
      <c r="AA329" s="81" t="n"/>
      <c r="AB329" s="67">
        <f>IF($F329="","",IFERROR(INDEX(Employee_Master!$E$5:$E$204,MATCH($F329,Employee_Master!$B$5:$B$204,0)),""))</f>
        <v/>
      </c>
      <c r="AC329" s="65">
        <f>IF(OR($A329="",$AB329=""),"",IF(OR($I329="Completed",$I329="Cancelled"),"Closed - in Manager Report","Active - in Manager Report"))</f>
        <v/>
      </c>
      <c r="AD329" s="81">
        <f>IF($A329="","",IFERROR(TEXTJOIN(", ",TRUE,FILTER(Task_Steps!$A$5:$A$2004,Task_Steps!$B$5:$B$2004=$A329)),""))</f>
        <v/>
      </c>
      <c r="AE329" s="84">
        <f>IF($A329="","",COUNTIFS(Task_Steps!$B$5:$B$2004,$A329,Task_Steps!$H$5:$H$2004,"&lt;&gt;Completed",Task_Steps!$H$5:$H$2004,"&lt;&gt;Cancelled"))</f>
        <v/>
      </c>
      <c r="AF329" s="81">
        <f>IF(OR($B329="",$A329=""),"",$B329&amp;" | "&amp;$A329)</f>
        <v/>
      </c>
    </row>
    <row r="330" ht="15" customHeight="1" s="40">
      <c r="A330" s="65">
        <f>IF(COUNTA(B330:F330)=0,"","TSK-"&amp;TEXT(ROW()-4,"0000"))</f>
        <v/>
      </c>
      <c r="B330" s="78" t="n"/>
      <c r="C330" s="78" t="n"/>
      <c r="D330" s="81" t="n"/>
      <c r="E330" s="81" t="n"/>
      <c r="F330" s="78" t="n"/>
      <c r="G330" s="67">
        <f>IF($F330="","",IFERROR(INDEX(Employee_Master!$C$5:$C$204,MATCH($F330,Employee_Master!$B$5:$B$204,0)),""))</f>
        <v/>
      </c>
      <c r="H330" s="78" t="n"/>
      <c r="I330" s="78" t="n"/>
      <c r="J330" s="67">
        <f>IF($I330="","",IFERROR(INDEX(Action_Status_Map!$B$5:$B$11,MATCH($I330,Action_Status_Map!$A$5:$A$11,0)),""))</f>
        <v/>
      </c>
      <c r="K330" s="82" t="n"/>
      <c r="L330" s="82" t="n"/>
      <c r="M330" s="82" t="n"/>
      <c r="N330" s="83" t="n"/>
      <c r="O330" s="83" t="n"/>
      <c r="P330" s="66">
        <f>IF(OR($N330="",$O330=""),"",$O330-$N330)</f>
        <v/>
      </c>
      <c r="Q330" s="84">
        <f>IF($K330="","",IF($M330&lt;&gt;"",$M330-$K330,TODAY()-$K330))</f>
        <v/>
      </c>
      <c r="R330" s="85">
        <f>IF(OR($L330="",$I330="Completed",$I330="Cancelled"),"",IF(AND($L330&lt;TODAY(),$I330&lt;&gt;"Completed",$I330&lt;&gt;"Cancelled"),"Overdue","On Track"))</f>
        <v/>
      </c>
      <c r="S330" s="65">
        <f>IF($L330="","",TEXT($L330,"yyyy-mm"))</f>
        <v/>
      </c>
      <c r="T330" s="86">
        <f>IF($I330="","",IFERROR(INDEX(Action_Status_Map!$C$5:$C$11,MATCH($I330,Action_Status_Map!$A$5:$A$11,0)),""))</f>
        <v/>
      </c>
      <c r="U330" s="81" t="n"/>
      <c r="V330" s="82" t="n"/>
      <c r="W330" s="65">
        <f>IF(OR($I330&lt;&gt;"Completed",$M330="",$L330=""),"",IF($M330&lt;=$L330,"Yes","No"))</f>
        <v/>
      </c>
      <c r="X330" s="84">
        <f>IF($A330="","",COUNTIF(Task_Steps!$B$5:$B$2004,$A330))</f>
        <v/>
      </c>
      <c r="Y330" s="86">
        <f>IF($X330=0,"",COUNTIFS(Task_Steps!$B$5:$B$2004,$A330,Task_Steps!$H$5:$H$2004,"Completed")/$X330)</f>
        <v/>
      </c>
      <c r="Z330" s="81" t="n"/>
      <c r="AA330" s="81" t="n"/>
      <c r="AB330" s="67">
        <f>IF($F330="","",IFERROR(INDEX(Employee_Master!$E$5:$E$204,MATCH($F330,Employee_Master!$B$5:$B$204,0)),""))</f>
        <v/>
      </c>
      <c r="AC330" s="65">
        <f>IF(OR($A330="",$AB330=""),"",IF(OR($I330="Completed",$I330="Cancelled"),"Closed - in Manager Report","Active - in Manager Report"))</f>
        <v/>
      </c>
      <c r="AD330" s="81">
        <f>IF($A330="","",IFERROR(TEXTJOIN(", ",TRUE,FILTER(Task_Steps!$A$5:$A$2004,Task_Steps!$B$5:$B$2004=$A330)),""))</f>
        <v/>
      </c>
      <c r="AE330" s="84">
        <f>IF($A330="","",COUNTIFS(Task_Steps!$B$5:$B$2004,$A330,Task_Steps!$H$5:$H$2004,"&lt;&gt;Completed",Task_Steps!$H$5:$H$2004,"&lt;&gt;Cancelled"))</f>
        <v/>
      </c>
      <c r="AF330" s="81">
        <f>IF(OR($B330="",$A330=""),"",$B330&amp;" | "&amp;$A330)</f>
        <v/>
      </c>
    </row>
    <row r="331" ht="15" customHeight="1" s="40">
      <c r="A331" s="65">
        <f>IF(COUNTA(B331:F331)=0,"","TSK-"&amp;TEXT(ROW()-4,"0000"))</f>
        <v/>
      </c>
      <c r="B331" s="78" t="n"/>
      <c r="C331" s="78" t="n"/>
      <c r="D331" s="81" t="n"/>
      <c r="E331" s="81" t="n"/>
      <c r="F331" s="78" t="n"/>
      <c r="G331" s="67">
        <f>IF($F331="","",IFERROR(INDEX(Employee_Master!$C$5:$C$204,MATCH($F331,Employee_Master!$B$5:$B$204,0)),""))</f>
        <v/>
      </c>
      <c r="H331" s="78" t="n"/>
      <c r="I331" s="78" t="n"/>
      <c r="J331" s="67">
        <f>IF($I331="","",IFERROR(INDEX(Action_Status_Map!$B$5:$B$11,MATCH($I331,Action_Status_Map!$A$5:$A$11,0)),""))</f>
        <v/>
      </c>
      <c r="K331" s="82" t="n"/>
      <c r="L331" s="82" t="n"/>
      <c r="M331" s="82" t="n"/>
      <c r="N331" s="83" t="n"/>
      <c r="O331" s="83" t="n"/>
      <c r="P331" s="66">
        <f>IF(OR($N331="",$O331=""),"",$O331-$N331)</f>
        <v/>
      </c>
      <c r="Q331" s="84">
        <f>IF($K331="","",IF($M331&lt;&gt;"",$M331-$K331,TODAY()-$K331))</f>
        <v/>
      </c>
      <c r="R331" s="85">
        <f>IF(OR($L331="",$I331="Completed",$I331="Cancelled"),"",IF(AND($L331&lt;TODAY(),$I331&lt;&gt;"Completed",$I331&lt;&gt;"Cancelled"),"Overdue","On Track"))</f>
        <v/>
      </c>
      <c r="S331" s="65">
        <f>IF($L331="","",TEXT($L331,"yyyy-mm"))</f>
        <v/>
      </c>
      <c r="T331" s="86">
        <f>IF($I331="","",IFERROR(INDEX(Action_Status_Map!$C$5:$C$11,MATCH($I331,Action_Status_Map!$A$5:$A$11,0)),""))</f>
        <v/>
      </c>
      <c r="U331" s="81" t="n"/>
      <c r="V331" s="82" t="n"/>
      <c r="W331" s="65">
        <f>IF(OR($I331&lt;&gt;"Completed",$M331="",$L331=""),"",IF($M331&lt;=$L331,"Yes","No"))</f>
        <v/>
      </c>
      <c r="X331" s="84">
        <f>IF($A331="","",COUNTIF(Task_Steps!$B$5:$B$2004,$A331))</f>
        <v/>
      </c>
      <c r="Y331" s="86">
        <f>IF($X331=0,"",COUNTIFS(Task_Steps!$B$5:$B$2004,$A331,Task_Steps!$H$5:$H$2004,"Completed")/$X331)</f>
        <v/>
      </c>
      <c r="Z331" s="81" t="n"/>
      <c r="AA331" s="81" t="n"/>
      <c r="AB331" s="67">
        <f>IF($F331="","",IFERROR(INDEX(Employee_Master!$E$5:$E$204,MATCH($F331,Employee_Master!$B$5:$B$204,0)),""))</f>
        <v/>
      </c>
      <c r="AC331" s="65">
        <f>IF(OR($A331="",$AB331=""),"",IF(OR($I331="Completed",$I331="Cancelled"),"Closed - in Manager Report","Active - in Manager Report"))</f>
        <v/>
      </c>
      <c r="AD331" s="81">
        <f>IF($A331="","",IFERROR(TEXTJOIN(", ",TRUE,FILTER(Task_Steps!$A$5:$A$2004,Task_Steps!$B$5:$B$2004=$A331)),""))</f>
        <v/>
      </c>
      <c r="AE331" s="84">
        <f>IF($A331="","",COUNTIFS(Task_Steps!$B$5:$B$2004,$A331,Task_Steps!$H$5:$H$2004,"&lt;&gt;Completed",Task_Steps!$H$5:$H$2004,"&lt;&gt;Cancelled"))</f>
        <v/>
      </c>
      <c r="AF331" s="81">
        <f>IF(OR($B331="",$A331=""),"",$B331&amp;" | "&amp;$A331)</f>
        <v/>
      </c>
    </row>
    <row r="332" ht="15" customHeight="1" s="40">
      <c r="A332" s="65">
        <f>IF(COUNTA(B332:F332)=0,"","TSK-"&amp;TEXT(ROW()-4,"0000"))</f>
        <v/>
      </c>
      <c r="B332" s="78" t="n"/>
      <c r="C332" s="78" t="n"/>
      <c r="D332" s="81" t="n"/>
      <c r="E332" s="81" t="n"/>
      <c r="F332" s="78" t="n"/>
      <c r="G332" s="67">
        <f>IF($F332="","",IFERROR(INDEX(Employee_Master!$C$5:$C$204,MATCH($F332,Employee_Master!$B$5:$B$204,0)),""))</f>
        <v/>
      </c>
      <c r="H332" s="78" t="n"/>
      <c r="I332" s="78" t="n"/>
      <c r="J332" s="67">
        <f>IF($I332="","",IFERROR(INDEX(Action_Status_Map!$B$5:$B$11,MATCH($I332,Action_Status_Map!$A$5:$A$11,0)),""))</f>
        <v/>
      </c>
      <c r="K332" s="82" t="n"/>
      <c r="L332" s="82" t="n"/>
      <c r="M332" s="82" t="n"/>
      <c r="N332" s="83" t="n"/>
      <c r="O332" s="83" t="n"/>
      <c r="P332" s="66">
        <f>IF(OR($N332="",$O332=""),"",$O332-$N332)</f>
        <v/>
      </c>
      <c r="Q332" s="84">
        <f>IF($K332="","",IF($M332&lt;&gt;"",$M332-$K332,TODAY()-$K332))</f>
        <v/>
      </c>
      <c r="R332" s="85">
        <f>IF(OR($L332="",$I332="Completed",$I332="Cancelled"),"",IF(AND($L332&lt;TODAY(),$I332&lt;&gt;"Completed",$I332&lt;&gt;"Cancelled"),"Overdue","On Track"))</f>
        <v/>
      </c>
      <c r="S332" s="65">
        <f>IF($L332="","",TEXT($L332,"yyyy-mm"))</f>
        <v/>
      </c>
      <c r="T332" s="86">
        <f>IF($I332="","",IFERROR(INDEX(Action_Status_Map!$C$5:$C$11,MATCH($I332,Action_Status_Map!$A$5:$A$11,0)),""))</f>
        <v/>
      </c>
      <c r="U332" s="81" t="n"/>
      <c r="V332" s="82" t="n"/>
      <c r="W332" s="65">
        <f>IF(OR($I332&lt;&gt;"Completed",$M332="",$L332=""),"",IF($M332&lt;=$L332,"Yes","No"))</f>
        <v/>
      </c>
      <c r="X332" s="84">
        <f>IF($A332="","",COUNTIF(Task_Steps!$B$5:$B$2004,$A332))</f>
        <v/>
      </c>
      <c r="Y332" s="86">
        <f>IF($X332=0,"",COUNTIFS(Task_Steps!$B$5:$B$2004,$A332,Task_Steps!$H$5:$H$2004,"Completed")/$X332)</f>
        <v/>
      </c>
      <c r="Z332" s="81" t="n"/>
      <c r="AA332" s="81" t="n"/>
      <c r="AB332" s="67">
        <f>IF($F332="","",IFERROR(INDEX(Employee_Master!$E$5:$E$204,MATCH($F332,Employee_Master!$B$5:$B$204,0)),""))</f>
        <v/>
      </c>
      <c r="AC332" s="65">
        <f>IF(OR($A332="",$AB332=""),"",IF(OR($I332="Completed",$I332="Cancelled"),"Closed - in Manager Report","Active - in Manager Report"))</f>
        <v/>
      </c>
      <c r="AD332" s="81">
        <f>IF($A332="","",IFERROR(TEXTJOIN(", ",TRUE,FILTER(Task_Steps!$A$5:$A$2004,Task_Steps!$B$5:$B$2004=$A332)),""))</f>
        <v/>
      </c>
      <c r="AE332" s="84">
        <f>IF($A332="","",COUNTIFS(Task_Steps!$B$5:$B$2004,$A332,Task_Steps!$H$5:$H$2004,"&lt;&gt;Completed",Task_Steps!$H$5:$H$2004,"&lt;&gt;Cancelled"))</f>
        <v/>
      </c>
      <c r="AF332" s="81">
        <f>IF(OR($B332="",$A332=""),"",$B332&amp;" | "&amp;$A332)</f>
        <v/>
      </c>
    </row>
    <row r="333" ht="15" customHeight="1" s="40">
      <c r="A333" s="65">
        <f>IF(COUNTA(B333:F333)=0,"","TSK-"&amp;TEXT(ROW()-4,"0000"))</f>
        <v/>
      </c>
      <c r="B333" s="78" t="n"/>
      <c r="C333" s="78" t="n"/>
      <c r="D333" s="81" t="n"/>
      <c r="E333" s="81" t="n"/>
      <c r="F333" s="78" t="n"/>
      <c r="G333" s="67">
        <f>IF($F333="","",IFERROR(INDEX(Employee_Master!$C$5:$C$204,MATCH($F333,Employee_Master!$B$5:$B$204,0)),""))</f>
        <v/>
      </c>
      <c r="H333" s="78" t="n"/>
      <c r="I333" s="78" t="n"/>
      <c r="J333" s="67">
        <f>IF($I333="","",IFERROR(INDEX(Action_Status_Map!$B$5:$B$11,MATCH($I333,Action_Status_Map!$A$5:$A$11,0)),""))</f>
        <v/>
      </c>
      <c r="K333" s="82" t="n"/>
      <c r="L333" s="82" t="n"/>
      <c r="M333" s="82" t="n"/>
      <c r="N333" s="83" t="n"/>
      <c r="O333" s="83" t="n"/>
      <c r="P333" s="66">
        <f>IF(OR($N333="",$O333=""),"",$O333-$N333)</f>
        <v/>
      </c>
      <c r="Q333" s="84">
        <f>IF($K333="","",IF($M333&lt;&gt;"",$M333-$K333,TODAY()-$K333))</f>
        <v/>
      </c>
      <c r="R333" s="85">
        <f>IF(OR($L333="",$I333="Completed",$I333="Cancelled"),"",IF(AND($L333&lt;TODAY(),$I333&lt;&gt;"Completed",$I333&lt;&gt;"Cancelled"),"Overdue","On Track"))</f>
        <v/>
      </c>
      <c r="S333" s="65">
        <f>IF($L333="","",TEXT($L333,"yyyy-mm"))</f>
        <v/>
      </c>
      <c r="T333" s="86">
        <f>IF($I333="","",IFERROR(INDEX(Action_Status_Map!$C$5:$C$11,MATCH($I333,Action_Status_Map!$A$5:$A$11,0)),""))</f>
        <v/>
      </c>
      <c r="U333" s="81" t="n"/>
      <c r="V333" s="82" t="n"/>
      <c r="W333" s="65">
        <f>IF(OR($I333&lt;&gt;"Completed",$M333="",$L333=""),"",IF($M333&lt;=$L333,"Yes","No"))</f>
        <v/>
      </c>
      <c r="X333" s="84">
        <f>IF($A333="","",COUNTIF(Task_Steps!$B$5:$B$2004,$A333))</f>
        <v/>
      </c>
      <c r="Y333" s="86">
        <f>IF($X333=0,"",COUNTIFS(Task_Steps!$B$5:$B$2004,$A333,Task_Steps!$H$5:$H$2004,"Completed")/$X333)</f>
        <v/>
      </c>
      <c r="Z333" s="81" t="n"/>
      <c r="AA333" s="81" t="n"/>
      <c r="AB333" s="67">
        <f>IF($F333="","",IFERROR(INDEX(Employee_Master!$E$5:$E$204,MATCH($F333,Employee_Master!$B$5:$B$204,0)),""))</f>
        <v/>
      </c>
      <c r="AC333" s="65">
        <f>IF(OR($A333="",$AB333=""),"",IF(OR($I333="Completed",$I333="Cancelled"),"Closed - in Manager Report","Active - in Manager Report"))</f>
        <v/>
      </c>
      <c r="AD333" s="81">
        <f>IF($A333="","",IFERROR(TEXTJOIN(", ",TRUE,FILTER(Task_Steps!$A$5:$A$2004,Task_Steps!$B$5:$B$2004=$A333)),""))</f>
        <v/>
      </c>
      <c r="AE333" s="84">
        <f>IF($A333="","",COUNTIFS(Task_Steps!$B$5:$B$2004,$A333,Task_Steps!$H$5:$H$2004,"&lt;&gt;Completed",Task_Steps!$H$5:$H$2004,"&lt;&gt;Cancelled"))</f>
        <v/>
      </c>
      <c r="AF333" s="81">
        <f>IF(OR($B333="",$A333=""),"",$B333&amp;" | "&amp;$A333)</f>
        <v/>
      </c>
    </row>
    <row r="334" ht="15" customHeight="1" s="40">
      <c r="A334" s="65">
        <f>IF(COUNTA(B334:F334)=0,"","TSK-"&amp;TEXT(ROW()-4,"0000"))</f>
        <v/>
      </c>
      <c r="B334" s="78" t="n"/>
      <c r="C334" s="78" t="n"/>
      <c r="D334" s="81" t="n"/>
      <c r="E334" s="81" t="n"/>
      <c r="F334" s="78" t="n"/>
      <c r="G334" s="67">
        <f>IF($F334="","",IFERROR(INDEX(Employee_Master!$C$5:$C$204,MATCH($F334,Employee_Master!$B$5:$B$204,0)),""))</f>
        <v/>
      </c>
      <c r="H334" s="78" t="n"/>
      <c r="I334" s="78" t="n"/>
      <c r="J334" s="67">
        <f>IF($I334="","",IFERROR(INDEX(Action_Status_Map!$B$5:$B$11,MATCH($I334,Action_Status_Map!$A$5:$A$11,0)),""))</f>
        <v/>
      </c>
      <c r="K334" s="82" t="n"/>
      <c r="L334" s="82" t="n"/>
      <c r="M334" s="82" t="n"/>
      <c r="N334" s="83" t="n"/>
      <c r="O334" s="83" t="n"/>
      <c r="P334" s="66">
        <f>IF(OR($N334="",$O334=""),"",$O334-$N334)</f>
        <v/>
      </c>
      <c r="Q334" s="84">
        <f>IF($K334="","",IF($M334&lt;&gt;"",$M334-$K334,TODAY()-$K334))</f>
        <v/>
      </c>
      <c r="R334" s="85">
        <f>IF(OR($L334="",$I334="Completed",$I334="Cancelled"),"",IF(AND($L334&lt;TODAY(),$I334&lt;&gt;"Completed",$I334&lt;&gt;"Cancelled"),"Overdue","On Track"))</f>
        <v/>
      </c>
      <c r="S334" s="65">
        <f>IF($L334="","",TEXT($L334,"yyyy-mm"))</f>
        <v/>
      </c>
      <c r="T334" s="86">
        <f>IF($I334="","",IFERROR(INDEX(Action_Status_Map!$C$5:$C$11,MATCH($I334,Action_Status_Map!$A$5:$A$11,0)),""))</f>
        <v/>
      </c>
      <c r="U334" s="81" t="n"/>
      <c r="V334" s="82" t="n"/>
      <c r="W334" s="65">
        <f>IF(OR($I334&lt;&gt;"Completed",$M334="",$L334=""),"",IF($M334&lt;=$L334,"Yes","No"))</f>
        <v/>
      </c>
      <c r="X334" s="84">
        <f>IF($A334="","",COUNTIF(Task_Steps!$B$5:$B$2004,$A334))</f>
        <v/>
      </c>
      <c r="Y334" s="86">
        <f>IF($X334=0,"",COUNTIFS(Task_Steps!$B$5:$B$2004,$A334,Task_Steps!$H$5:$H$2004,"Completed")/$X334)</f>
        <v/>
      </c>
      <c r="Z334" s="81" t="n"/>
      <c r="AA334" s="81" t="n"/>
      <c r="AB334" s="67">
        <f>IF($F334="","",IFERROR(INDEX(Employee_Master!$E$5:$E$204,MATCH($F334,Employee_Master!$B$5:$B$204,0)),""))</f>
        <v/>
      </c>
      <c r="AC334" s="65">
        <f>IF(OR($A334="",$AB334=""),"",IF(OR($I334="Completed",$I334="Cancelled"),"Closed - in Manager Report","Active - in Manager Report"))</f>
        <v/>
      </c>
      <c r="AD334" s="81">
        <f>IF($A334="","",IFERROR(TEXTJOIN(", ",TRUE,FILTER(Task_Steps!$A$5:$A$2004,Task_Steps!$B$5:$B$2004=$A334)),""))</f>
        <v/>
      </c>
      <c r="AE334" s="84">
        <f>IF($A334="","",COUNTIFS(Task_Steps!$B$5:$B$2004,$A334,Task_Steps!$H$5:$H$2004,"&lt;&gt;Completed",Task_Steps!$H$5:$H$2004,"&lt;&gt;Cancelled"))</f>
        <v/>
      </c>
      <c r="AF334" s="81">
        <f>IF(OR($B334="",$A334=""),"",$B334&amp;" | "&amp;$A334)</f>
        <v/>
      </c>
    </row>
    <row r="335" ht="15" customHeight="1" s="40">
      <c r="A335" s="65">
        <f>IF(COUNTA(B335:F335)=0,"","TSK-"&amp;TEXT(ROW()-4,"0000"))</f>
        <v/>
      </c>
      <c r="B335" s="78" t="n"/>
      <c r="C335" s="78" t="n"/>
      <c r="D335" s="81" t="n"/>
      <c r="E335" s="81" t="n"/>
      <c r="F335" s="78" t="n"/>
      <c r="G335" s="67">
        <f>IF($F335="","",IFERROR(INDEX(Employee_Master!$C$5:$C$204,MATCH($F335,Employee_Master!$B$5:$B$204,0)),""))</f>
        <v/>
      </c>
      <c r="H335" s="78" t="n"/>
      <c r="I335" s="78" t="n"/>
      <c r="J335" s="67">
        <f>IF($I335="","",IFERROR(INDEX(Action_Status_Map!$B$5:$B$11,MATCH($I335,Action_Status_Map!$A$5:$A$11,0)),""))</f>
        <v/>
      </c>
      <c r="K335" s="82" t="n"/>
      <c r="L335" s="82" t="n"/>
      <c r="M335" s="82" t="n"/>
      <c r="N335" s="83" t="n"/>
      <c r="O335" s="83" t="n"/>
      <c r="P335" s="66">
        <f>IF(OR($N335="",$O335=""),"",$O335-$N335)</f>
        <v/>
      </c>
      <c r="Q335" s="84">
        <f>IF($K335="","",IF($M335&lt;&gt;"",$M335-$K335,TODAY()-$K335))</f>
        <v/>
      </c>
      <c r="R335" s="85">
        <f>IF(OR($L335="",$I335="Completed",$I335="Cancelled"),"",IF(AND($L335&lt;TODAY(),$I335&lt;&gt;"Completed",$I335&lt;&gt;"Cancelled"),"Overdue","On Track"))</f>
        <v/>
      </c>
      <c r="S335" s="65">
        <f>IF($L335="","",TEXT($L335,"yyyy-mm"))</f>
        <v/>
      </c>
      <c r="T335" s="86">
        <f>IF($I335="","",IFERROR(INDEX(Action_Status_Map!$C$5:$C$11,MATCH($I335,Action_Status_Map!$A$5:$A$11,0)),""))</f>
        <v/>
      </c>
      <c r="U335" s="81" t="n"/>
      <c r="V335" s="82" t="n"/>
      <c r="W335" s="65">
        <f>IF(OR($I335&lt;&gt;"Completed",$M335="",$L335=""),"",IF($M335&lt;=$L335,"Yes","No"))</f>
        <v/>
      </c>
      <c r="X335" s="84">
        <f>IF($A335="","",COUNTIF(Task_Steps!$B$5:$B$2004,$A335))</f>
        <v/>
      </c>
      <c r="Y335" s="86">
        <f>IF($X335=0,"",COUNTIFS(Task_Steps!$B$5:$B$2004,$A335,Task_Steps!$H$5:$H$2004,"Completed")/$X335)</f>
        <v/>
      </c>
      <c r="Z335" s="81" t="n"/>
      <c r="AA335" s="81" t="n"/>
      <c r="AB335" s="67">
        <f>IF($F335="","",IFERROR(INDEX(Employee_Master!$E$5:$E$204,MATCH($F335,Employee_Master!$B$5:$B$204,0)),""))</f>
        <v/>
      </c>
      <c r="AC335" s="65">
        <f>IF(OR($A335="",$AB335=""),"",IF(OR($I335="Completed",$I335="Cancelled"),"Closed - in Manager Report","Active - in Manager Report"))</f>
        <v/>
      </c>
      <c r="AD335" s="81">
        <f>IF($A335="","",IFERROR(TEXTJOIN(", ",TRUE,FILTER(Task_Steps!$A$5:$A$2004,Task_Steps!$B$5:$B$2004=$A335)),""))</f>
        <v/>
      </c>
      <c r="AE335" s="84">
        <f>IF($A335="","",COUNTIFS(Task_Steps!$B$5:$B$2004,$A335,Task_Steps!$H$5:$H$2004,"&lt;&gt;Completed",Task_Steps!$H$5:$H$2004,"&lt;&gt;Cancelled"))</f>
        <v/>
      </c>
      <c r="AF335" s="81">
        <f>IF(OR($B335="",$A335=""),"",$B335&amp;" | "&amp;$A335)</f>
        <v/>
      </c>
    </row>
    <row r="336" ht="15" customHeight="1" s="40">
      <c r="A336" s="65">
        <f>IF(COUNTA(B336:F336)=0,"","TSK-"&amp;TEXT(ROW()-4,"0000"))</f>
        <v/>
      </c>
      <c r="B336" s="78" t="n"/>
      <c r="C336" s="78" t="n"/>
      <c r="D336" s="81" t="n"/>
      <c r="E336" s="81" t="n"/>
      <c r="F336" s="78" t="n"/>
      <c r="G336" s="67">
        <f>IF($F336="","",IFERROR(INDEX(Employee_Master!$C$5:$C$204,MATCH($F336,Employee_Master!$B$5:$B$204,0)),""))</f>
        <v/>
      </c>
      <c r="H336" s="78" t="n"/>
      <c r="I336" s="78" t="n"/>
      <c r="J336" s="67">
        <f>IF($I336="","",IFERROR(INDEX(Action_Status_Map!$B$5:$B$11,MATCH($I336,Action_Status_Map!$A$5:$A$11,0)),""))</f>
        <v/>
      </c>
      <c r="K336" s="82" t="n"/>
      <c r="L336" s="82" t="n"/>
      <c r="M336" s="82" t="n"/>
      <c r="N336" s="83" t="n"/>
      <c r="O336" s="83" t="n"/>
      <c r="P336" s="66">
        <f>IF(OR($N336="",$O336=""),"",$O336-$N336)</f>
        <v/>
      </c>
      <c r="Q336" s="84">
        <f>IF($K336="","",IF($M336&lt;&gt;"",$M336-$K336,TODAY()-$K336))</f>
        <v/>
      </c>
      <c r="R336" s="85">
        <f>IF(OR($L336="",$I336="Completed",$I336="Cancelled"),"",IF(AND($L336&lt;TODAY(),$I336&lt;&gt;"Completed",$I336&lt;&gt;"Cancelled"),"Overdue","On Track"))</f>
        <v/>
      </c>
      <c r="S336" s="65">
        <f>IF($L336="","",TEXT($L336,"yyyy-mm"))</f>
        <v/>
      </c>
      <c r="T336" s="86">
        <f>IF($I336="","",IFERROR(INDEX(Action_Status_Map!$C$5:$C$11,MATCH($I336,Action_Status_Map!$A$5:$A$11,0)),""))</f>
        <v/>
      </c>
      <c r="U336" s="81" t="n"/>
      <c r="V336" s="82" t="n"/>
      <c r="W336" s="65">
        <f>IF(OR($I336&lt;&gt;"Completed",$M336="",$L336=""),"",IF($M336&lt;=$L336,"Yes","No"))</f>
        <v/>
      </c>
      <c r="X336" s="84">
        <f>IF($A336="","",COUNTIF(Task_Steps!$B$5:$B$2004,$A336))</f>
        <v/>
      </c>
      <c r="Y336" s="86">
        <f>IF($X336=0,"",COUNTIFS(Task_Steps!$B$5:$B$2004,$A336,Task_Steps!$H$5:$H$2004,"Completed")/$X336)</f>
        <v/>
      </c>
      <c r="Z336" s="81" t="n"/>
      <c r="AA336" s="81" t="n"/>
      <c r="AB336" s="67">
        <f>IF($F336="","",IFERROR(INDEX(Employee_Master!$E$5:$E$204,MATCH($F336,Employee_Master!$B$5:$B$204,0)),""))</f>
        <v/>
      </c>
      <c r="AC336" s="65">
        <f>IF(OR($A336="",$AB336=""),"",IF(OR($I336="Completed",$I336="Cancelled"),"Closed - in Manager Report","Active - in Manager Report"))</f>
        <v/>
      </c>
      <c r="AD336" s="81">
        <f>IF($A336="","",IFERROR(TEXTJOIN(", ",TRUE,FILTER(Task_Steps!$A$5:$A$2004,Task_Steps!$B$5:$B$2004=$A336)),""))</f>
        <v/>
      </c>
      <c r="AE336" s="84">
        <f>IF($A336="","",COUNTIFS(Task_Steps!$B$5:$B$2004,$A336,Task_Steps!$H$5:$H$2004,"&lt;&gt;Completed",Task_Steps!$H$5:$H$2004,"&lt;&gt;Cancelled"))</f>
        <v/>
      </c>
      <c r="AF336" s="81">
        <f>IF(OR($B336="",$A336=""),"",$B336&amp;" | "&amp;$A336)</f>
        <v/>
      </c>
    </row>
    <row r="337" ht="15" customHeight="1" s="40">
      <c r="A337" s="65">
        <f>IF(COUNTA(B337:F337)=0,"","TSK-"&amp;TEXT(ROW()-4,"0000"))</f>
        <v/>
      </c>
      <c r="B337" s="78" t="n"/>
      <c r="C337" s="78" t="n"/>
      <c r="D337" s="81" t="n"/>
      <c r="E337" s="81" t="n"/>
      <c r="F337" s="78" t="n"/>
      <c r="G337" s="67">
        <f>IF($F337="","",IFERROR(INDEX(Employee_Master!$C$5:$C$204,MATCH($F337,Employee_Master!$B$5:$B$204,0)),""))</f>
        <v/>
      </c>
      <c r="H337" s="78" t="n"/>
      <c r="I337" s="78" t="n"/>
      <c r="J337" s="67">
        <f>IF($I337="","",IFERROR(INDEX(Action_Status_Map!$B$5:$B$11,MATCH($I337,Action_Status_Map!$A$5:$A$11,0)),""))</f>
        <v/>
      </c>
      <c r="K337" s="82" t="n"/>
      <c r="L337" s="82" t="n"/>
      <c r="M337" s="82" t="n"/>
      <c r="N337" s="83" t="n"/>
      <c r="O337" s="83" t="n"/>
      <c r="P337" s="66">
        <f>IF(OR($N337="",$O337=""),"",$O337-$N337)</f>
        <v/>
      </c>
      <c r="Q337" s="84">
        <f>IF($K337="","",IF($M337&lt;&gt;"",$M337-$K337,TODAY()-$K337))</f>
        <v/>
      </c>
      <c r="R337" s="85">
        <f>IF(OR($L337="",$I337="Completed",$I337="Cancelled"),"",IF(AND($L337&lt;TODAY(),$I337&lt;&gt;"Completed",$I337&lt;&gt;"Cancelled"),"Overdue","On Track"))</f>
        <v/>
      </c>
      <c r="S337" s="65">
        <f>IF($L337="","",TEXT($L337,"yyyy-mm"))</f>
        <v/>
      </c>
      <c r="T337" s="86">
        <f>IF($I337="","",IFERROR(INDEX(Action_Status_Map!$C$5:$C$11,MATCH($I337,Action_Status_Map!$A$5:$A$11,0)),""))</f>
        <v/>
      </c>
      <c r="U337" s="81" t="n"/>
      <c r="V337" s="82" t="n"/>
      <c r="W337" s="65">
        <f>IF(OR($I337&lt;&gt;"Completed",$M337="",$L337=""),"",IF($M337&lt;=$L337,"Yes","No"))</f>
        <v/>
      </c>
      <c r="X337" s="84">
        <f>IF($A337="","",COUNTIF(Task_Steps!$B$5:$B$2004,$A337))</f>
        <v/>
      </c>
      <c r="Y337" s="86">
        <f>IF($X337=0,"",COUNTIFS(Task_Steps!$B$5:$B$2004,$A337,Task_Steps!$H$5:$H$2004,"Completed")/$X337)</f>
        <v/>
      </c>
      <c r="Z337" s="81" t="n"/>
      <c r="AA337" s="81" t="n"/>
      <c r="AB337" s="67">
        <f>IF($F337="","",IFERROR(INDEX(Employee_Master!$E$5:$E$204,MATCH($F337,Employee_Master!$B$5:$B$204,0)),""))</f>
        <v/>
      </c>
      <c r="AC337" s="65">
        <f>IF(OR($A337="",$AB337=""),"",IF(OR($I337="Completed",$I337="Cancelled"),"Closed - in Manager Report","Active - in Manager Report"))</f>
        <v/>
      </c>
      <c r="AD337" s="81">
        <f>IF($A337="","",IFERROR(TEXTJOIN(", ",TRUE,FILTER(Task_Steps!$A$5:$A$2004,Task_Steps!$B$5:$B$2004=$A337)),""))</f>
        <v/>
      </c>
      <c r="AE337" s="84">
        <f>IF($A337="","",COUNTIFS(Task_Steps!$B$5:$B$2004,$A337,Task_Steps!$H$5:$H$2004,"&lt;&gt;Completed",Task_Steps!$H$5:$H$2004,"&lt;&gt;Cancelled"))</f>
        <v/>
      </c>
      <c r="AF337" s="81">
        <f>IF(OR($B337="",$A337=""),"",$B337&amp;" | "&amp;$A337)</f>
        <v/>
      </c>
    </row>
    <row r="338" ht="15" customHeight="1" s="40">
      <c r="A338" s="65">
        <f>IF(COUNTA(B338:F338)=0,"","TSK-"&amp;TEXT(ROW()-4,"0000"))</f>
        <v/>
      </c>
      <c r="B338" s="78" t="n"/>
      <c r="C338" s="78" t="n"/>
      <c r="D338" s="81" t="n"/>
      <c r="E338" s="81" t="n"/>
      <c r="F338" s="78" t="n"/>
      <c r="G338" s="67">
        <f>IF($F338="","",IFERROR(INDEX(Employee_Master!$C$5:$C$204,MATCH($F338,Employee_Master!$B$5:$B$204,0)),""))</f>
        <v/>
      </c>
      <c r="H338" s="78" t="n"/>
      <c r="I338" s="78" t="n"/>
      <c r="J338" s="67">
        <f>IF($I338="","",IFERROR(INDEX(Action_Status_Map!$B$5:$B$11,MATCH($I338,Action_Status_Map!$A$5:$A$11,0)),""))</f>
        <v/>
      </c>
      <c r="K338" s="82" t="n"/>
      <c r="L338" s="82" t="n"/>
      <c r="M338" s="82" t="n"/>
      <c r="N338" s="83" t="n"/>
      <c r="O338" s="83" t="n"/>
      <c r="P338" s="66">
        <f>IF(OR($N338="",$O338=""),"",$O338-$N338)</f>
        <v/>
      </c>
      <c r="Q338" s="84">
        <f>IF($K338="","",IF($M338&lt;&gt;"",$M338-$K338,TODAY()-$K338))</f>
        <v/>
      </c>
      <c r="R338" s="85">
        <f>IF(OR($L338="",$I338="Completed",$I338="Cancelled"),"",IF(AND($L338&lt;TODAY(),$I338&lt;&gt;"Completed",$I338&lt;&gt;"Cancelled"),"Overdue","On Track"))</f>
        <v/>
      </c>
      <c r="S338" s="65">
        <f>IF($L338="","",TEXT($L338,"yyyy-mm"))</f>
        <v/>
      </c>
      <c r="T338" s="86">
        <f>IF($I338="","",IFERROR(INDEX(Action_Status_Map!$C$5:$C$11,MATCH($I338,Action_Status_Map!$A$5:$A$11,0)),""))</f>
        <v/>
      </c>
      <c r="U338" s="81" t="n"/>
      <c r="V338" s="82" t="n"/>
      <c r="W338" s="65">
        <f>IF(OR($I338&lt;&gt;"Completed",$M338="",$L338=""),"",IF($M338&lt;=$L338,"Yes","No"))</f>
        <v/>
      </c>
      <c r="X338" s="84">
        <f>IF($A338="","",COUNTIF(Task_Steps!$B$5:$B$2004,$A338))</f>
        <v/>
      </c>
      <c r="Y338" s="86">
        <f>IF($X338=0,"",COUNTIFS(Task_Steps!$B$5:$B$2004,$A338,Task_Steps!$H$5:$H$2004,"Completed")/$X338)</f>
        <v/>
      </c>
      <c r="Z338" s="81" t="n"/>
      <c r="AA338" s="81" t="n"/>
      <c r="AB338" s="67">
        <f>IF($F338="","",IFERROR(INDEX(Employee_Master!$E$5:$E$204,MATCH($F338,Employee_Master!$B$5:$B$204,0)),""))</f>
        <v/>
      </c>
      <c r="AC338" s="65">
        <f>IF(OR($A338="",$AB338=""),"",IF(OR($I338="Completed",$I338="Cancelled"),"Closed - in Manager Report","Active - in Manager Report"))</f>
        <v/>
      </c>
      <c r="AD338" s="81">
        <f>IF($A338="","",IFERROR(TEXTJOIN(", ",TRUE,FILTER(Task_Steps!$A$5:$A$2004,Task_Steps!$B$5:$B$2004=$A338)),""))</f>
        <v/>
      </c>
      <c r="AE338" s="84">
        <f>IF($A338="","",COUNTIFS(Task_Steps!$B$5:$B$2004,$A338,Task_Steps!$H$5:$H$2004,"&lt;&gt;Completed",Task_Steps!$H$5:$H$2004,"&lt;&gt;Cancelled"))</f>
        <v/>
      </c>
      <c r="AF338" s="81">
        <f>IF(OR($B338="",$A338=""),"",$B338&amp;" | "&amp;$A338)</f>
        <v/>
      </c>
    </row>
    <row r="339" ht="15" customHeight="1" s="40">
      <c r="A339" s="65">
        <f>IF(COUNTA(B339:F339)=0,"","TSK-"&amp;TEXT(ROW()-4,"0000"))</f>
        <v/>
      </c>
      <c r="B339" s="78" t="n"/>
      <c r="C339" s="78" t="n"/>
      <c r="D339" s="81" t="n"/>
      <c r="E339" s="81" t="n"/>
      <c r="F339" s="78" t="n"/>
      <c r="G339" s="67">
        <f>IF($F339="","",IFERROR(INDEX(Employee_Master!$C$5:$C$204,MATCH($F339,Employee_Master!$B$5:$B$204,0)),""))</f>
        <v/>
      </c>
      <c r="H339" s="78" t="n"/>
      <c r="I339" s="78" t="n"/>
      <c r="J339" s="67">
        <f>IF($I339="","",IFERROR(INDEX(Action_Status_Map!$B$5:$B$11,MATCH($I339,Action_Status_Map!$A$5:$A$11,0)),""))</f>
        <v/>
      </c>
      <c r="K339" s="82" t="n"/>
      <c r="L339" s="82" t="n"/>
      <c r="M339" s="82" t="n"/>
      <c r="N339" s="83" t="n"/>
      <c r="O339" s="83" t="n"/>
      <c r="P339" s="66">
        <f>IF(OR($N339="",$O339=""),"",$O339-$N339)</f>
        <v/>
      </c>
      <c r="Q339" s="84">
        <f>IF($K339="","",IF($M339&lt;&gt;"",$M339-$K339,TODAY()-$K339))</f>
        <v/>
      </c>
      <c r="R339" s="85">
        <f>IF(OR($L339="",$I339="Completed",$I339="Cancelled"),"",IF(AND($L339&lt;TODAY(),$I339&lt;&gt;"Completed",$I339&lt;&gt;"Cancelled"),"Overdue","On Track"))</f>
        <v/>
      </c>
      <c r="S339" s="65">
        <f>IF($L339="","",TEXT($L339,"yyyy-mm"))</f>
        <v/>
      </c>
      <c r="T339" s="86">
        <f>IF($I339="","",IFERROR(INDEX(Action_Status_Map!$C$5:$C$11,MATCH($I339,Action_Status_Map!$A$5:$A$11,0)),""))</f>
        <v/>
      </c>
      <c r="U339" s="81" t="n"/>
      <c r="V339" s="82" t="n"/>
      <c r="W339" s="65">
        <f>IF(OR($I339&lt;&gt;"Completed",$M339="",$L339=""),"",IF($M339&lt;=$L339,"Yes","No"))</f>
        <v/>
      </c>
      <c r="X339" s="84">
        <f>IF($A339="","",COUNTIF(Task_Steps!$B$5:$B$2004,$A339))</f>
        <v/>
      </c>
      <c r="Y339" s="86">
        <f>IF($X339=0,"",COUNTIFS(Task_Steps!$B$5:$B$2004,$A339,Task_Steps!$H$5:$H$2004,"Completed")/$X339)</f>
        <v/>
      </c>
      <c r="Z339" s="81" t="n"/>
      <c r="AA339" s="81" t="n"/>
      <c r="AB339" s="67">
        <f>IF($F339="","",IFERROR(INDEX(Employee_Master!$E$5:$E$204,MATCH($F339,Employee_Master!$B$5:$B$204,0)),""))</f>
        <v/>
      </c>
      <c r="AC339" s="65">
        <f>IF(OR($A339="",$AB339=""),"",IF(OR($I339="Completed",$I339="Cancelled"),"Closed - in Manager Report","Active - in Manager Report"))</f>
        <v/>
      </c>
      <c r="AD339" s="81">
        <f>IF($A339="","",IFERROR(TEXTJOIN(", ",TRUE,FILTER(Task_Steps!$A$5:$A$2004,Task_Steps!$B$5:$B$2004=$A339)),""))</f>
        <v/>
      </c>
      <c r="AE339" s="84">
        <f>IF($A339="","",COUNTIFS(Task_Steps!$B$5:$B$2004,$A339,Task_Steps!$H$5:$H$2004,"&lt;&gt;Completed",Task_Steps!$H$5:$H$2004,"&lt;&gt;Cancelled"))</f>
        <v/>
      </c>
      <c r="AF339" s="81">
        <f>IF(OR($B339="",$A339=""),"",$B339&amp;" | "&amp;$A339)</f>
        <v/>
      </c>
    </row>
    <row r="340" ht="15" customHeight="1" s="40">
      <c r="A340" s="65">
        <f>IF(COUNTA(B340:F340)=0,"","TSK-"&amp;TEXT(ROW()-4,"0000"))</f>
        <v/>
      </c>
      <c r="B340" s="78" t="n"/>
      <c r="C340" s="78" t="n"/>
      <c r="D340" s="81" t="n"/>
      <c r="E340" s="81" t="n"/>
      <c r="F340" s="78" t="n"/>
      <c r="G340" s="67">
        <f>IF($F340="","",IFERROR(INDEX(Employee_Master!$C$5:$C$204,MATCH($F340,Employee_Master!$B$5:$B$204,0)),""))</f>
        <v/>
      </c>
      <c r="H340" s="78" t="n"/>
      <c r="I340" s="78" t="n"/>
      <c r="J340" s="67">
        <f>IF($I340="","",IFERROR(INDEX(Action_Status_Map!$B$5:$B$11,MATCH($I340,Action_Status_Map!$A$5:$A$11,0)),""))</f>
        <v/>
      </c>
      <c r="K340" s="82" t="n"/>
      <c r="L340" s="82" t="n"/>
      <c r="M340" s="82" t="n"/>
      <c r="N340" s="83" t="n"/>
      <c r="O340" s="83" t="n"/>
      <c r="P340" s="66">
        <f>IF(OR($N340="",$O340=""),"",$O340-$N340)</f>
        <v/>
      </c>
      <c r="Q340" s="84">
        <f>IF($K340="","",IF($M340&lt;&gt;"",$M340-$K340,TODAY()-$K340))</f>
        <v/>
      </c>
      <c r="R340" s="85">
        <f>IF(OR($L340="",$I340="Completed",$I340="Cancelled"),"",IF(AND($L340&lt;TODAY(),$I340&lt;&gt;"Completed",$I340&lt;&gt;"Cancelled"),"Overdue","On Track"))</f>
        <v/>
      </c>
      <c r="S340" s="65">
        <f>IF($L340="","",TEXT($L340,"yyyy-mm"))</f>
        <v/>
      </c>
      <c r="T340" s="86">
        <f>IF($I340="","",IFERROR(INDEX(Action_Status_Map!$C$5:$C$11,MATCH($I340,Action_Status_Map!$A$5:$A$11,0)),""))</f>
        <v/>
      </c>
      <c r="U340" s="81" t="n"/>
      <c r="V340" s="82" t="n"/>
      <c r="W340" s="65">
        <f>IF(OR($I340&lt;&gt;"Completed",$M340="",$L340=""),"",IF($M340&lt;=$L340,"Yes","No"))</f>
        <v/>
      </c>
      <c r="X340" s="84">
        <f>IF($A340="","",COUNTIF(Task_Steps!$B$5:$B$2004,$A340))</f>
        <v/>
      </c>
      <c r="Y340" s="86">
        <f>IF($X340=0,"",COUNTIFS(Task_Steps!$B$5:$B$2004,$A340,Task_Steps!$H$5:$H$2004,"Completed")/$X340)</f>
        <v/>
      </c>
      <c r="Z340" s="81" t="n"/>
      <c r="AA340" s="81" t="n"/>
      <c r="AB340" s="67">
        <f>IF($F340="","",IFERROR(INDEX(Employee_Master!$E$5:$E$204,MATCH($F340,Employee_Master!$B$5:$B$204,0)),""))</f>
        <v/>
      </c>
      <c r="AC340" s="65">
        <f>IF(OR($A340="",$AB340=""),"",IF(OR($I340="Completed",$I340="Cancelled"),"Closed - in Manager Report","Active - in Manager Report"))</f>
        <v/>
      </c>
      <c r="AD340" s="81">
        <f>IF($A340="","",IFERROR(TEXTJOIN(", ",TRUE,FILTER(Task_Steps!$A$5:$A$2004,Task_Steps!$B$5:$B$2004=$A340)),""))</f>
        <v/>
      </c>
      <c r="AE340" s="84">
        <f>IF($A340="","",COUNTIFS(Task_Steps!$B$5:$B$2004,$A340,Task_Steps!$H$5:$H$2004,"&lt;&gt;Completed",Task_Steps!$H$5:$H$2004,"&lt;&gt;Cancelled"))</f>
        <v/>
      </c>
      <c r="AF340" s="81">
        <f>IF(OR($B340="",$A340=""),"",$B340&amp;" | "&amp;$A340)</f>
        <v/>
      </c>
    </row>
    <row r="341" ht="15" customHeight="1" s="40">
      <c r="A341" s="65">
        <f>IF(COUNTA(B341:F341)=0,"","TSK-"&amp;TEXT(ROW()-4,"0000"))</f>
        <v/>
      </c>
      <c r="B341" s="78" t="n"/>
      <c r="C341" s="78" t="n"/>
      <c r="D341" s="81" t="n"/>
      <c r="E341" s="81" t="n"/>
      <c r="F341" s="78" t="n"/>
      <c r="G341" s="67">
        <f>IF($F341="","",IFERROR(INDEX(Employee_Master!$C$5:$C$204,MATCH($F341,Employee_Master!$B$5:$B$204,0)),""))</f>
        <v/>
      </c>
      <c r="H341" s="78" t="n"/>
      <c r="I341" s="78" t="n"/>
      <c r="J341" s="67">
        <f>IF($I341="","",IFERROR(INDEX(Action_Status_Map!$B$5:$B$11,MATCH($I341,Action_Status_Map!$A$5:$A$11,0)),""))</f>
        <v/>
      </c>
      <c r="K341" s="82" t="n"/>
      <c r="L341" s="82" t="n"/>
      <c r="M341" s="82" t="n"/>
      <c r="N341" s="83" t="n"/>
      <c r="O341" s="83" t="n"/>
      <c r="P341" s="66">
        <f>IF(OR($N341="",$O341=""),"",$O341-$N341)</f>
        <v/>
      </c>
      <c r="Q341" s="84">
        <f>IF($K341="","",IF($M341&lt;&gt;"",$M341-$K341,TODAY()-$K341))</f>
        <v/>
      </c>
      <c r="R341" s="85">
        <f>IF(OR($L341="",$I341="Completed",$I341="Cancelled"),"",IF(AND($L341&lt;TODAY(),$I341&lt;&gt;"Completed",$I341&lt;&gt;"Cancelled"),"Overdue","On Track"))</f>
        <v/>
      </c>
      <c r="S341" s="65">
        <f>IF($L341="","",TEXT($L341,"yyyy-mm"))</f>
        <v/>
      </c>
      <c r="T341" s="86">
        <f>IF($I341="","",IFERROR(INDEX(Action_Status_Map!$C$5:$C$11,MATCH($I341,Action_Status_Map!$A$5:$A$11,0)),""))</f>
        <v/>
      </c>
      <c r="U341" s="81" t="n"/>
      <c r="V341" s="82" t="n"/>
      <c r="W341" s="65">
        <f>IF(OR($I341&lt;&gt;"Completed",$M341="",$L341=""),"",IF($M341&lt;=$L341,"Yes","No"))</f>
        <v/>
      </c>
      <c r="X341" s="84">
        <f>IF($A341="","",COUNTIF(Task_Steps!$B$5:$B$2004,$A341))</f>
        <v/>
      </c>
      <c r="Y341" s="86">
        <f>IF($X341=0,"",COUNTIFS(Task_Steps!$B$5:$B$2004,$A341,Task_Steps!$H$5:$H$2004,"Completed")/$X341)</f>
        <v/>
      </c>
      <c r="Z341" s="81" t="n"/>
      <c r="AA341" s="81" t="n"/>
      <c r="AB341" s="67">
        <f>IF($F341="","",IFERROR(INDEX(Employee_Master!$E$5:$E$204,MATCH($F341,Employee_Master!$B$5:$B$204,0)),""))</f>
        <v/>
      </c>
      <c r="AC341" s="65">
        <f>IF(OR($A341="",$AB341=""),"",IF(OR($I341="Completed",$I341="Cancelled"),"Closed - in Manager Report","Active - in Manager Report"))</f>
        <v/>
      </c>
      <c r="AD341" s="81">
        <f>IF($A341="","",IFERROR(TEXTJOIN(", ",TRUE,FILTER(Task_Steps!$A$5:$A$2004,Task_Steps!$B$5:$B$2004=$A341)),""))</f>
        <v/>
      </c>
      <c r="AE341" s="84">
        <f>IF($A341="","",COUNTIFS(Task_Steps!$B$5:$B$2004,$A341,Task_Steps!$H$5:$H$2004,"&lt;&gt;Completed",Task_Steps!$H$5:$H$2004,"&lt;&gt;Cancelled"))</f>
        <v/>
      </c>
      <c r="AF341" s="81">
        <f>IF(OR($B341="",$A341=""),"",$B341&amp;" | "&amp;$A341)</f>
        <v/>
      </c>
    </row>
    <row r="342" ht="15" customHeight="1" s="40">
      <c r="A342" s="65">
        <f>IF(COUNTA(B342:F342)=0,"","TSK-"&amp;TEXT(ROW()-4,"0000"))</f>
        <v/>
      </c>
      <c r="B342" s="78" t="n"/>
      <c r="C342" s="78" t="n"/>
      <c r="D342" s="81" t="n"/>
      <c r="E342" s="81" t="n"/>
      <c r="F342" s="78" t="n"/>
      <c r="G342" s="67">
        <f>IF($F342="","",IFERROR(INDEX(Employee_Master!$C$5:$C$204,MATCH($F342,Employee_Master!$B$5:$B$204,0)),""))</f>
        <v/>
      </c>
      <c r="H342" s="78" t="n"/>
      <c r="I342" s="78" t="n"/>
      <c r="J342" s="67">
        <f>IF($I342="","",IFERROR(INDEX(Action_Status_Map!$B$5:$B$11,MATCH($I342,Action_Status_Map!$A$5:$A$11,0)),""))</f>
        <v/>
      </c>
      <c r="K342" s="82" t="n"/>
      <c r="L342" s="82" t="n"/>
      <c r="M342" s="82" t="n"/>
      <c r="N342" s="83" t="n"/>
      <c r="O342" s="83" t="n"/>
      <c r="P342" s="66">
        <f>IF(OR($N342="",$O342=""),"",$O342-$N342)</f>
        <v/>
      </c>
      <c r="Q342" s="84">
        <f>IF($K342="","",IF($M342&lt;&gt;"",$M342-$K342,TODAY()-$K342))</f>
        <v/>
      </c>
      <c r="R342" s="85">
        <f>IF(OR($L342="",$I342="Completed",$I342="Cancelled"),"",IF(AND($L342&lt;TODAY(),$I342&lt;&gt;"Completed",$I342&lt;&gt;"Cancelled"),"Overdue","On Track"))</f>
        <v/>
      </c>
      <c r="S342" s="65">
        <f>IF($L342="","",TEXT($L342,"yyyy-mm"))</f>
        <v/>
      </c>
      <c r="T342" s="86">
        <f>IF($I342="","",IFERROR(INDEX(Action_Status_Map!$C$5:$C$11,MATCH($I342,Action_Status_Map!$A$5:$A$11,0)),""))</f>
        <v/>
      </c>
      <c r="U342" s="81" t="n"/>
      <c r="V342" s="82" t="n"/>
      <c r="W342" s="65">
        <f>IF(OR($I342&lt;&gt;"Completed",$M342="",$L342=""),"",IF($M342&lt;=$L342,"Yes","No"))</f>
        <v/>
      </c>
      <c r="X342" s="84">
        <f>IF($A342="","",COUNTIF(Task_Steps!$B$5:$B$2004,$A342))</f>
        <v/>
      </c>
      <c r="Y342" s="86">
        <f>IF($X342=0,"",COUNTIFS(Task_Steps!$B$5:$B$2004,$A342,Task_Steps!$H$5:$H$2004,"Completed")/$X342)</f>
        <v/>
      </c>
      <c r="Z342" s="81" t="n"/>
      <c r="AA342" s="81" t="n"/>
      <c r="AB342" s="67">
        <f>IF($F342="","",IFERROR(INDEX(Employee_Master!$E$5:$E$204,MATCH($F342,Employee_Master!$B$5:$B$204,0)),""))</f>
        <v/>
      </c>
      <c r="AC342" s="65">
        <f>IF(OR($A342="",$AB342=""),"",IF(OR($I342="Completed",$I342="Cancelled"),"Closed - in Manager Report","Active - in Manager Report"))</f>
        <v/>
      </c>
      <c r="AD342" s="81">
        <f>IF($A342="","",IFERROR(TEXTJOIN(", ",TRUE,FILTER(Task_Steps!$A$5:$A$2004,Task_Steps!$B$5:$B$2004=$A342)),""))</f>
        <v/>
      </c>
      <c r="AE342" s="84">
        <f>IF($A342="","",COUNTIFS(Task_Steps!$B$5:$B$2004,$A342,Task_Steps!$H$5:$H$2004,"&lt;&gt;Completed",Task_Steps!$H$5:$H$2004,"&lt;&gt;Cancelled"))</f>
        <v/>
      </c>
      <c r="AF342" s="81">
        <f>IF(OR($B342="",$A342=""),"",$B342&amp;" | "&amp;$A342)</f>
        <v/>
      </c>
    </row>
    <row r="343" ht="15" customHeight="1" s="40">
      <c r="A343" s="65">
        <f>IF(COUNTA(B343:F343)=0,"","TSK-"&amp;TEXT(ROW()-4,"0000"))</f>
        <v/>
      </c>
      <c r="B343" s="78" t="n"/>
      <c r="C343" s="78" t="n"/>
      <c r="D343" s="81" t="n"/>
      <c r="E343" s="81" t="n"/>
      <c r="F343" s="78" t="n"/>
      <c r="G343" s="67">
        <f>IF($F343="","",IFERROR(INDEX(Employee_Master!$C$5:$C$204,MATCH($F343,Employee_Master!$B$5:$B$204,0)),""))</f>
        <v/>
      </c>
      <c r="H343" s="78" t="n"/>
      <c r="I343" s="78" t="n"/>
      <c r="J343" s="67">
        <f>IF($I343="","",IFERROR(INDEX(Action_Status_Map!$B$5:$B$11,MATCH($I343,Action_Status_Map!$A$5:$A$11,0)),""))</f>
        <v/>
      </c>
      <c r="K343" s="82" t="n"/>
      <c r="L343" s="82" t="n"/>
      <c r="M343" s="82" t="n"/>
      <c r="N343" s="83" t="n"/>
      <c r="O343" s="83" t="n"/>
      <c r="P343" s="66">
        <f>IF(OR($N343="",$O343=""),"",$O343-$N343)</f>
        <v/>
      </c>
      <c r="Q343" s="84">
        <f>IF($K343="","",IF($M343&lt;&gt;"",$M343-$K343,TODAY()-$K343))</f>
        <v/>
      </c>
      <c r="R343" s="85">
        <f>IF(OR($L343="",$I343="Completed",$I343="Cancelled"),"",IF(AND($L343&lt;TODAY(),$I343&lt;&gt;"Completed",$I343&lt;&gt;"Cancelled"),"Overdue","On Track"))</f>
        <v/>
      </c>
      <c r="S343" s="65">
        <f>IF($L343="","",TEXT($L343,"yyyy-mm"))</f>
        <v/>
      </c>
      <c r="T343" s="86">
        <f>IF($I343="","",IFERROR(INDEX(Action_Status_Map!$C$5:$C$11,MATCH($I343,Action_Status_Map!$A$5:$A$11,0)),""))</f>
        <v/>
      </c>
      <c r="U343" s="81" t="n"/>
      <c r="V343" s="82" t="n"/>
      <c r="W343" s="65">
        <f>IF(OR($I343&lt;&gt;"Completed",$M343="",$L343=""),"",IF($M343&lt;=$L343,"Yes","No"))</f>
        <v/>
      </c>
      <c r="X343" s="84">
        <f>IF($A343="","",COUNTIF(Task_Steps!$B$5:$B$2004,$A343))</f>
        <v/>
      </c>
      <c r="Y343" s="86">
        <f>IF($X343=0,"",COUNTIFS(Task_Steps!$B$5:$B$2004,$A343,Task_Steps!$H$5:$H$2004,"Completed")/$X343)</f>
        <v/>
      </c>
      <c r="Z343" s="81" t="n"/>
      <c r="AA343" s="81" t="n"/>
      <c r="AB343" s="67">
        <f>IF($F343="","",IFERROR(INDEX(Employee_Master!$E$5:$E$204,MATCH($F343,Employee_Master!$B$5:$B$204,0)),""))</f>
        <v/>
      </c>
      <c r="AC343" s="65">
        <f>IF(OR($A343="",$AB343=""),"",IF(OR($I343="Completed",$I343="Cancelled"),"Closed - in Manager Report","Active - in Manager Report"))</f>
        <v/>
      </c>
      <c r="AD343" s="81">
        <f>IF($A343="","",IFERROR(TEXTJOIN(", ",TRUE,FILTER(Task_Steps!$A$5:$A$2004,Task_Steps!$B$5:$B$2004=$A343)),""))</f>
        <v/>
      </c>
      <c r="AE343" s="84">
        <f>IF($A343="","",COUNTIFS(Task_Steps!$B$5:$B$2004,$A343,Task_Steps!$H$5:$H$2004,"&lt;&gt;Completed",Task_Steps!$H$5:$H$2004,"&lt;&gt;Cancelled"))</f>
        <v/>
      </c>
      <c r="AF343" s="81">
        <f>IF(OR($B343="",$A343=""),"",$B343&amp;" | "&amp;$A343)</f>
        <v/>
      </c>
    </row>
    <row r="344" ht="15" customHeight="1" s="40">
      <c r="A344" s="65">
        <f>IF(COUNTA(B344:F344)=0,"","TSK-"&amp;TEXT(ROW()-4,"0000"))</f>
        <v/>
      </c>
      <c r="B344" s="78" t="n"/>
      <c r="C344" s="78" t="n"/>
      <c r="D344" s="81" t="n"/>
      <c r="E344" s="81" t="n"/>
      <c r="F344" s="78" t="n"/>
      <c r="G344" s="67">
        <f>IF($F344="","",IFERROR(INDEX(Employee_Master!$C$5:$C$204,MATCH($F344,Employee_Master!$B$5:$B$204,0)),""))</f>
        <v/>
      </c>
      <c r="H344" s="78" t="n"/>
      <c r="I344" s="78" t="n"/>
      <c r="J344" s="67">
        <f>IF($I344="","",IFERROR(INDEX(Action_Status_Map!$B$5:$B$11,MATCH($I344,Action_Status_Map!$A$5:$A$11,0)),""))</f>
        <v/>
      </c>
      <c r="K344" s="82" t="n"/>
      <c r="L344" s="82" t="n"/>
      <c r="M344" s="82" t="n"/>
      <c r="N344" s="83" t="n"/>
      <c r="O344" s="83" t="n"/>
      <c r="P344" s="66">
        <f>IF(OR($N344="",$O344=""),"",$O344-$N344)</f>
        <v/>
      </c>
      <c r="Q344" s="84">
        <f>IF($K344="","",IF($M344&lt;&gt;"",$M344-$K344,TODAY()-$K344))</f>
        <v/>
      </c>
      <c r="R344" s="85">
        <f>IF(OR($L344="",$I344="Completed",$I344="Cancelled"),"",IF(AND($L344&lt;TODAY(),$I344&lt;&gt;"Completed",$I344&lt;&gt;"Cancelled"),"Overdue","On Track"))</f>
        <v/>
      </c>
      <c r="S344" s="65">
        <f>IF($L344="","",TEXT($L344,"yyyy-mm"))</f>
        <v/>
      </c>
      <c r="T344" s="86">
        <f>IF($I344="","",IFERROR(INDEX(Action_Status_Map!$C$5:$C$11,MATCH($I344,Action_Status_Map!$A$5:$A$11,0)),""))</f>
        <v/>
      </c>
      <c r="U344" s="81" t="n"/>
      <c r="V344" s="82" t="n"/>
      <c r="W344" s="65">
        <f>IF(OR($I344&lt;&gt;"Completed",$M344="",$L344=""),"",IF($M344&lt;=$L344,"Yes","No"))</f>
        <v/>
      </c>
      <c r="X344" s="84">
        <f>IF($A344="","",COUNTIF(Task_Steps!$B$5:$B$2004,$A344))</f>
        <v/>
      </c>
      <c r="Y344" s="86">
        <f>IF($X344=0,"",COUNTIFS(Task_Steps!$B$5:$B$2004,$A344,Task_Steps!$H$5:$H$2004,"Completed")/$X344)</f>
        <v/>
      </c>
      <c r="Z344" s="81" t="n"/>
      <c r="AA344" s="81" t="n"/>
      <c r="AB344" s="67">
        <f>IF($F344="","",IFERROR(INDEX(Employee_Master!$E$5:$E$204,MATCH($F344,Employee_Master!$B$5:$B$204,0)),""))</f>
        <v/>
      </c>
      <c r="AC344" s="65">
        <f>IF(OR($A344="",$AB344=""),"",IF(OR($I344="Completed",$I344="Cancelled"),"Closed - in Manager Report","Active - in Manager Report"))</f>
        <v/>
      </c>
      <c r="AD344" s="81">
        <f>IF($A344="","",IFERROR(TEXTJOIN(", ",TRUE,FILTER(Task_Steps!$A$5:$A$2004,Task_Steps!$B$5:$B$2004=$A344)),""))</f>
        <v/>
      </c>
      <c r="AE344" s="84">
        <f>IF($A344="","",COUNTIFS(Task_Steps!$B$5:$B$2004,$A344,Task_Steps!$H$5:$H$2004,"&lt;&gt;Completed",Task_Steps!$H$5:$H$2004,"&lt;&gt;Cancelled"))</f>
        <v/>
      </c>
      <c r="AF344" s="81">
        <f>IF(OR($B344="",$A344=""),"",$B344&amp;" | "&amp;$A344)</f>
        <v/>
      </c>
    </row>
    <row r="345" ht="15" customHeight="1" s="40">
      <c r="A345" s="65">
        <f>IF(COUNTA(B345:F345)=0,"","TSK-"&amp;TEXT(ROW()-4,"0000"))</f>
        <v/>
      </c>
      <c r="B345" s="78" t="n"/>
      <c r="C345" s="78" t="n"/>
      <c r="D345" s="81" t="n"/>
      <c r="E345" s="81" t="n"/>
      <c r="F345" s="78" t="n"/>
      <c r="G345" s="67">
        <f>IF($F345="","",IFERROR(INDEX(Employee_Master!$C$5:$C$204,MATCH($F345,Employee_Master!$B$5:$B$204,0)),""))</f>
        <v/>
      </c>
      <c r="H345" s="78" t="n"/>
      <c r="I345" s="78" t="n"/>
      <c r="J345" s="67">
        <f>IF($I345="","",IFERROR(INDEX(Action_Status_Map!$B$5:$B$11,MATCH($I345,Action_Status_Map!$A$5:$A$11,0)),""))</f>
        <v/>
      </c>
      <c r="K345" s="82" t="n"/>
      <c r="L345" s="82" t="n"/>
      <c r="M345" s="82" t="n"/>
      <c r="N345" s="83" t="n"/>
      <c r="O345" s="83" t="n"/>
      <c r="P345" s="66">
        <f>IF(OR($N345="",$O345=""),"",$O345-$N345)</f>
        <v/>
      </c>
      <c r="Q345" s="84">
        <f>IF($K345="","",IF($M345&lt;&gt;"",$M345-$K345,TODAY()-$K345))</f>
        <v/>
      </c>
      <c r="R345" s="85">
        <f>IF(OR($L345="",$I345="Completed",$I345="Cancelled"),"",IF(AND($L345&lt;TODAY(),$I345&lt;&gt;"Completed",$I345&lt;&gt;"Cancelled"),"Overdue","On Track"))</f>
        <v/>
      </c>
      <c r="S345" s="65">
        <f>IF($L345="","",TEXT($L345,"yyyy-mm"))</f>
        <v/>
      </c>
      <c r="T345" s="86">
        <f>IF($I345="","",IFERROR(INDEX(Action_Status_Map!$C$5:$C$11,MATCH($I345,Action_Status_Map!$A$5:$A$11,0)),""))</f>
        <v/>
      </c>
      <c r="U345" s="81" t="n"/>
      <c r="V345" s="82" t="n"/>
      <c r="W345" s="65">
        <f>IF(OR($I345&lt;&gt;"Completed",$M345="",$L345=""),"",IF($M345&lt;=$L345,"Yes","No"))</f>
        <v/>
      </c>
      <c r="X345" s="84">
        <f>IF($A345="","",COUNTIF(Task_Steps!$B$5:$B$2004,$A345))</f>
        <v/>
      </c>
      <c r="Y345" s="86">
        <f>IF($X345=0,"",COUNTIFS(Task_Steps!$B$5:$B$2004,$A345,Task_Steps!$H$5:$H$2004,"Completed")/$X345)</f>
        <v/>
      </c>
      <c r="Z345" s="81" t="n"/>
      <c r="AA345" s="81" t="n"/>
      <c r="AB345" s="67">
        <f>IF($F345="","",IFERROR(INDEX(Employee_Master!$E$5:$E$204,MATCH($F345,Employee_Master!$B$5:$B$204,0)),""))</f>
        <v/>
      </c>
      <c r="AC345" s="65">
        <f>IF(OR($A345="",$AB345=""),"",IF(OR($I345="Completed",$I345="Cancelled"),"Closed - in Manager Report","Active - in Manager Report"))</f>
        <v/>
      </c>
      <c r="AD345" s="81">
        <f>IF($A345="","",IFERROR(TEXTJOIN(", ",TRUE,FILTER(Task_Steps!$A$5:$A$2004,Task_Steps!$B$5:$B$2004=$A345)),""))</f>
        <v/>
      </c>
      <c r="AE345" s="84">
        <f>IF($A345="","",COUNTIFS(Task_Steps!$B$5:$B$2004,$A345,Task_Steps!$H$5:$H$2004,"&lt;&gt;Completed",Task_Steps!$H$5:$H$2004,"&lt;&gt;Cancelled"))</f>
        <v/>
      </c>
      <c r="AF345" s="81">
        <f>IF(OR($B345="",$A345=""),"",$B345&amp;" | "&amp;$A345)</f>
        <v/>
      </c>
    </row>
    <row r="346" ht="15" customHeight="1" s="40">
      <c r="A346" s="65">
        <f>IF(COUNTA(B346:F346)=0,"","TSK-"&amp;TEXT(ROW()-4,"0000"))</f>
        <v/>
      </c>
      <c r="B346" s="78" t="n"/>
      <c r="C346" s="78" t="n"/>
      <c r="D346" s="81" t="n"/>
      <c r="E346" s="81" t="n"/>
      <c r="F346" s="78" t="n"/>
      <c r="G346" s="67">
        <f>IF($F346="","",IFERROR(INDEX(Employee_Master!$C$5:$C$204,MATCH($F346,Employee_Master!$B$5:$B$204,0)),""))</f>
        <v/>
      </c>
      <c r="H346" s="78" t="n"/>
      <c r="I346" s="78" t="n"/>
      <c r="J346" s="67">
        <f>IF($I346="","",IFERROR(INDEX(Action_Status_Map!$B$5:$B$11,MATCH($I346,Action_Status_Map!$A$5:$A$11,0)),""))</f>
        <v/>
      </c>
      <c r="K346" s="82" t="n"/>
      <c r="L346" s="82" t="n"/>
      <c r="M346" s="82" t="n"/>
      <c r="N346" s="83" t="n"/>
      <c r="O346" s="83" t="n"/>
      <c r="P346" s="66">
        <f>IF(OR($N346="",$O346=""),"",$O346-$N346)</f>
        <v/>
      </c>
      <c r="Q346" s="84">
        <f>IF($K346="","",IF($M346&lt;&gt;"",$M346-$K346,TODAY()-$K346))</f>
        <v/>
      </c>
      <c r="R346" s="85">
        <f>IF(OR($L346="",$I346="Completed",$I346="Cancelled"),"",IF(AND($L346&lt;TODAY(),$I346&lt;&gt;"Completed",$I346&lt;&gt;"Cancelled"),"Overdue","On Track"))</f>
        <v/>
      </c>
      <c r="S346" s="65">
        <f>IF($L346="","",TEXT($L346,"yyyy-mm"))</f>
        <v/>
      </c>
      <c r="T346" s="86">
        <f>IF($I346="","",IFERROR(INDEX(Action_Status_Map!$C$5:$C$11,MATCH($I346,Action_Status_Map!$A$5:$A$11,0)),""))</f>
        <v/>
      </c>
      <c r="U346" s="81" t="n"/>
      <c r="V346" s="82" t="n"/>
      <c r="W346" s="65">
        <f>IF(OR($I346&lt;&gt;"Completed",$M346="",$L346=""),"",IF($M346&lt;=$L346,"Yes","No"))</f>
        <v/>
      </c>
      <c r="X346" s="84">
        <f>IF($A346="","",COUNTIF(Task_Steps!$B$5:$B$2004,$A346))</f>
        <v/>
      </c>
      <c r="Y346" s="86">
        <f>IF($X346=0,"",COUNTIFS(Task_Steps!$B$5:$B$2004,$A346,Task_Steps!$H$5:$H$2004,"Completed")/$X346)</f>
        <v/>
      </c>
      <c r="Z346" s="81" t="n"/>
      <c r="AA346" s="81" t="n"/>
      <c r="AB346" s="67">
        <f>IF($F346="","",IFERROR(INDEX(Employee_Master!$E$5:$E$204,MATCH($F346,Employee_Master!$B$5:$B$204,0)),""))</f>
        <v/>
      </c>
      <c r="AC346" s="65">
        <f>IF(OR($A346="",$AB346=""),"",IF(OR($I346="Completed",$I346="Cancelled"),"Closed - in Manager Report","Active - in Manager Report"))</f>
        <v/>
      </c>
      <c r="AD346" s="81">
        <f>IF($A346="","",IFERROR(TEXTJOIN(", ",TRUE,FILTER(Task_Steps!$A$5:$A$2004,Task_Steps!$B$5:$B$2004=$A346)),""))</f>
        <v/>
      </c>
      <c r="AE346" s="84">
        <f>IF($A346="","",COUNTIFS(Task_Steps!$B$5:$B$2004,$A346,Task_Steps!$H$5:$H$2004,"&lt;&gt;Completed",Task_Steps!$H$5:$H$2004,"&lt;&gt;Cancelled"))</f>
        <v/>
      </c>
      <c r="AF346" s="81">
        <f>IF(OR($B346="",$A346=""),"",$B346&amp;" | "&amp;$A346)</f>
        <v/>
      </c>
    </row>
    <row r="347" ht="15" customHeight="1" s="40">
      <c r="A347" s="65">
        <f>IF(COUNTA(B347:F347)=0,"","TSK-"&amp;TEXT(ROW()-4,"0000"))</f>
        <v/>
      </c>
      <c r="B347" s="78" t="n"/>
      <c r="C347" s="78" t="n"/>
      <c r="D347" s="81" t="n"/>
      <c r="E347" s="81" t="n"/>
      <c r="F347" s="78" t="n"/>
      <c r="G347" s="67">
        <f>IF($F347="","",IFERROR(INDEX(Employee_Master!$C$5:$C$204,MATCH($F347,Employee_Master!$B$5:$B$204,0)),""))</f>
        <v/>
      </c>
      <c r="H347" s="78" t="n"/>
      <c r="I347" s="78" t="n"/>
      <c r="J347" s="67">
        <f>IF($I347="","",IFERROR(INDEX(Action_Status_Map!$B$5:$B$11,MATCH($I347,Action_Status_Map!$A$5:$A$11,0)),""))</f>
        <v/>
      </c>
      <c r="K347" s="82" t="n"/>
      <c r="L347" s="82" t="n"/>
      <c r="M347" s="82" t="n"/>
      <c r="N347" s="83" t="n"/>
      <c r="O347" s="83" t="n"/>
      <c r="P347" s="66">
        <f>IF(OR($N347="",$O347=""),"",$O347-$N347)</f>
        <v/>
      </c>
      <c r="Q347" s="84">
        <f>IF($K347="","",IF($M347&lt;&gt;"",$M347-$K347,TODAY()-$K347))</f>
        <v/>
      </c>
      <c r="R347" s="85">
        <f>IF(OR($L347="",$I347="Completed",$I347="Cancelled"),"",IF(AND($L347&lt;TODAY(),$I347&lt;&gt;"Completed",$I347&lt;&gt;"Cancelled"),"Overdue","On Track"))</f>
        <v/>
      </c>
      <c r="S347" s="65">
        <f>IF($L347="","",TEXT($L347,"yyyy-mm"))</f>
        <v/>
      </c>
      <c r="T347" s="86">
        <f>IF($I347="","",IFERROR(INDEX(Action_Status_Map!$C$5:$C$11,MATCH($I347,Action_Status_Map!$A$5:$A$11,0)),""))</f>
        <v/>
      </c>
      <c r="U347" s="81" t="n"/>
      <c r="V347" s="82" t="n"/>
      <c r="W347" s="65">
        <f>IF(OR($I347&lt;&gt;"Completed",$M347="",$L347=""),"",IF($M347&lt;=$L347,"Yes","No"))</f>
        <v/>
      </c>
      <c r="X347" s="84">
        <f>IF($A347="","",COUNTIF(Task_Steps!$B$5:$B$2004,$A347))</f>
        <v/>
      </c>
      <c r="Y347" s="86">
        <f>IF($X347=0,"",COUNTIFS(Task_Steps!$B$5:$B$2004,$A347,Task_Steps!$H$5:$H$2004,"Completed")/$X347)</f>
        <v/>
      </c>
      <c r="Z347" s="81" t="n"/>
      <c r="AA347" s="81" t="n"/>
      <c r="AB347" s="67">
        <f>IF($F347="","",IFERROR(INDEX(Employee_Master!$E$5:$E$204,MATCH($F347,Employee_Master!$B$5:$B$204,0)),""))</f>
        <v/>
      </c>
      <c r="AC347" s="65">
        <f>IF(OR($A347="",$AB347=""),"",IF(OR($I347="Completed",$I347="Cancelled"),"Closed - in Manager Report","Active - in Manager Report"))</f>
        <v/>
      </c>
      <c r="AD347" s="81">
        <f>IF($A347="","",IFERROR(TEXTJOIN(", ",TRUE,FILTER(Task_Steps!$A$5:$A$2004,Task_Steps!$B$5:$B$2004=$A347)),""))</f>
        <v/>
      </c>
      <c r="AE347" s="84">
        <f>IF($A347="","",COUNTIFS(Task_Steps!$B$5:$B$2004,$A347,Task_Steps!$H$5:$H$2004,"&lt;&gt;Completed",Task_Steps!$H$5:$H$2004,"&lt;&gt;Cancelled"))</f>
        <v/>
      </c>
      <c r="AF347" s="81">
        <f>IF(OR($B347="",$A347=""),"",$B347&amp;" | "&amp;$A347)</f>
        <v/>
      </c>
    </row>
    <row r="348" ht="15" customHeight="1" s="40">
      <c r="A348" s="65">
        <f>IF(COUNTA(B348:F348)=0,"","TSK-"&amp;TEXT(ROW()-4,"0000"))</f>
        <v/>
      </c>
      <c r="B348" s="78" t="n"/>
      <c r="C348" s="78" t="n"/>
      <c r="D348" s="81" t="n"/>
      <c r="E348" s="81" t="n"/>
      <c r="F348" s="78" t="n"/>
      <c r="G348" s="67">
        <f>IF($F348="","",IFERROR(INDEX(Employee_Master!$C$5:$C$204,MATCH($F348,Employee_Master!$B$5:$B$204,0)),""))</f>
        <v/>
      </c>
      <c r="H348" s="78" t="n"/>
      <c r="I348" s="78" t="n"/>
      <c r="J348" s="67">
        <f>IF($I348="","",IFERROR(INDEX(Action_Status_Map!$B$5:$B$11,MATCH($I348,Action_Status_Map!$A$5:$A$11,0)),""))</f>
        <v/>
      </c>
      <c r="K348" s="82" t="n"/>
      <c r="L348" s="82" t="n"/>
      <c r="M348" s="82" t="n"/>
      <c r="N348" s="83" t="n"/>
      <c r="O348" s="83" t="n"/>
      <c r="P348" s="66">
        <f>IF(OR($N348="",$O348=""),"",$O348-$N348)</f>
        <v/>
      </c>
      <c r="Q348" s="84">
        <f>IF($K348="","",IF($M348&lt;&gt;"",$M348-$K348,TODAY()-$K348))</f>
        <v/>
      </c>
      <c r="R348" s="85">
        <f>IF(OR($L348="",$I348="Completed",$I348="Cancelled"),"",IF(AND($L348&lt;TODAY(),$I348&lt;&gt;"Completed",$I348&lt;&gt;"Cancelled"),"Overdue","On Track"))</f>
        <v/>
      </c>
      <c r="S348" s="65">
        <f>IF($L348="","",TEXT($L348,"yyyy-mm"))</f>
        <v/>
      </c>
      <c r="T348" s="86">
        <f>IF($I348="","",IFERROR(INDEX(Action_Status_Map!$C$5:$C$11,MATCH($I348,Action_Status_Map!$A$5:$A$11,0)),""))</f>
        <v/>
      </c>
      <c r="U348" s="81" t="n"/>
      <c r="V348" s="82" t="n"/>
      <c r="W348" s="65">
        <f>IF(OR($I348&lt;&gt;"Completed",$M348="",$L348=""),"",IF($M348&lt;=$L348,"Yes","No"))</f>
        <v/>
      </c>
      <c r="X348" s="84">
        <f>IF($A348="","",COUNTIF(Task_Steps!$B$5:$B$2004,$A348))</f>
        <v/>
      </c>
      <c r="Y348" s="86">
        <f>IF($X348=0,"",COUNTIFS(Task_Steps!$B$5:$B$2004,$A348,Task_Steps!$H$5:$H$2004,"Completed")/$X348)</f>
        <v/>
      </c>
      <c r="Z348" s="81" t="n"/>
      <c r="AA348" s="81" t="n"/>
      <c r="AB348" s="67">
        <f>IF($F348="","",IFERROR(INDEX(Employee_Master!$E$5:$E$204,MATCH($F348,Employee_Master!$B$5:$B$204,0)),""))</f>
        <v/>
      </c>
      <c r="AC348" s="65">
        <f>IF(OR($A348="",$AB348=""),"",IF(OR($I348="Completed",$I348="Cancelled"),"Closed - in Manager Report","Active - in Manager Report"))</f>
        <v/>
      </c>
      <c r="AD348" s="81">
        <f>IF($A348="","",IFERROR(TEXTJOIN(", ",TRUE,FILTER(Task_Steps!$A$5:$A$2004,Task_Steps!$B$5:$B$2004=$A348)),""))</f>
        <v/>
      </c>
      <c r="AE348" s="84">
        <f>IF($A348="","",COUNTIFS(Task_Steps!$B$5:$B$2004,$A348,Task_Steps!$H$5:$H$2004,"&lt;&gt;Completed",Task_Steps!$H$5:$H$2004,"&lt;&gt;Cancelled"))</f>
        <v/>
      </c>
      <c r="AF348" s="81">
        <f>IF(OR($B348="",$A348=""),"",$B348&amp;" | "&amp;$A348)</f>
        <v/>
      </c>
    </row>
    <row r="349" ht="15" customHeight="1" s="40">
      <c r="A349" s="65">
        <f>IF(COUNTA(B349:F349)=0,"","TSK-"&amp;TEXT(ROW()-4,"0000"))</f>
        <v/>
      </c>
      <c r="B349" s="78" t="n"/>
      <c r="C349" s="78" t="n"/>
      <c r="D349" s="81" t="n"/>
      <c r="E349" s="81" t="n"/>
      <c r="F349" s="78" t="n"/>
      <c r="G349" s="67">
        <f>IF($F349="","",IFERROR(INDEX(Employee_Master!$C$5:$C$204,MATCH($F349,Employee_Master!$B$5:$B$204,0)),""))</f>
        <v/>
      </c>
      <c r="H349" s="78" t="n"/>
      <c r="I349" s="78" t="n"/>
      <c r="J349" s="67">
        <f>IF($I349="","",IFERROR(INDEX(Action_Status_Map!$B$5:$B$11,MATCH($I349,Action_Status_Map!$A$5:$A$11,0)),""))</f>
        <v/>
      </c>
      <c r="K349" s="82" t="n"/>
      <c r="L349" s="82" t="n"/>
      <c r="M349" s="82" t="n"/>
      <c r="N349" s="83" t="n"/>
      <c r="O349" s="83" t="n"/>
      <c r="P349" s="66">
        <f>IF(OR($N349="",$O349=""),"",$O349-$N349)</f>
        <v/>
      </c>
      <c r="Q349" s="84">
        <f>IF($K349="","",IF($M349&lt;&gt;"",$M349-$K349,TODAY()-$K349))</f>
        <v/>
      </c>
      <c r="R349" s="85">
        <f>IF(OR($L349="",$I349="Completed",$I349="Cancelled"),"",IF(AND($L349&lt;TODAY(),$I349&lt;&gt;"Completed",$I349&lt;&gt;"Cancelled"),"Overdue","On Track"))</f>
        <v/>
      </c>
      <c r="S349" s="65">
        <f>IF($L349="","",TEXT($L349,"yyyy-mm"))</f>
        <v/>
      </c>
      <c r="T349" s="86">
        <f>IF($I349="","",IFERROR(INDEX(Action_Status_Map!$C$5:$C$11,MATCH($I349,Action_Status_Map!$A$5:$A$11,0)),""))</f>
        <v/>
      </c>
      <c r="U349" s="81" t="n"/>
      <c r="V349" s="82" t="n"/>
      <c r="W349" s="65">
        <f>IF(OR($I349&lt;&gt;"Completed",$M349="",$L349=""),"",IF($M349&lt;=$L349,"Yes","No"))</f>
        <v/>
      </c>
      <c r="X349" s="84">
        <f>IF($A349="","",COUNTIF(Task_Steps!$B$5:$B$2004,$A349))</f>
        <v/>
      </c>
      <c r="Y349" s="86">
        <f>IF($X349=0,"",COUNTIFS(Task_Steps!$B$5:$B$2004,$A349,Task_Steps!$H$5:$H$2004,"Completed")/$X349)</f>
        <v/>
      </c>
      <c r="Z349" s="81" t="n"/>
      <c r="AA349" s="81" t="n"/>
      <c r="AB349" s="67">
        <f>IF($F349="","",IFERROR(INDEX(Employee_Master!$E$5:$E$204,MATCH($F349,Employee_Master!$B$5:$B$204,0)),""))</f>
        <v/>
      </c>
      <c r="AC349" s="65">
        <f>IF(OR($A349="",$AB349=""),"",IF(OR($I349="Completed",$I349="Cancelled"),"Closed - in Manager Report","Active - in Manager Report"))</f>
        <v/>
      </c>
      <c r="AD349" s="81">
        <f>IF($A349="","",IFERROR(TEXTJOIN(", ",TRUE,FILTER(Task_Steps!$A$5:$A$2004,Task_Steps!$B$5:$B$2004=$A349)),""))</f>
        <v/>
      </c>
      <c r="AE349" s="84">
        <f>IF($A349="","",COUNTIFS(Task_Steps!$B$5:$B$2004,$A349,Task_Steps!$H$5:$H$2004,"&lt;&gt;Completed",Task_Steps!$H$5:$H$2004,"&lt;&gt;Cancelled"))</f>
        <v/>
      </c>
      <c r="AF349" s="81">
        <f>IF(OR($B349="",$A349=""),"",$B349&amp;" | "&amp;$A349)</f>
        <v/>
      </c>
    </row>
    <row r="350" ht="15" customHeight="1" s="40">
      <c r="A350" s="65">
        <f>IF(COUNTA(B350:F350)=0,"","TSK-"&amp;TEXT(ROW()-4,"0000"))</f>
        <v/>
      </c>
      <c r="B350" s="78" t="n"/>
      <c r="C350" s="78" t="n"/>
      <c r="D350" s="81" t="n"/>
      <c r="E350" s="81" t="n"/>
      <c r="F350" s="78" t="n"/>
      <c r="G350" s="67">
        <f>IF($F350="","",IFERROR(INDEX(Employee_Master!$C$5:$C$204,MATCH($F350,Employee_Master!$B$5:$B$204,0)),""))</f>
        <v/>
      </c>
      <c r="H350" s="78" t="n"/>
      <c r="I350" s="78" t="n"/>
      <c r="J350" s="67">
        <f>IF($I350="","",IFERROR(INDEX(Action_Status_Map!$B$5:$B$11,MATCH($I350,Action_Status_Map!$A$5:$A$11,0)),""))</f>
        <v/>
      </c>
      <c r="K350" s="82" t="n"/>
      <c r="L350" s="82" t="n"/>
      <c r="M350" s="82" t="n"/>
      <c r="N350" s="83" t="n"/>
      <c r="O350" s="83" t="n"/>
      <c r="P350" s="66">
        <f>IF(OR($N350="",$O350=""),"",$O350-$N350)</f>
        <v/>
      </c>
      <c r="Q350" s="84">
        <f>IF($K350="","",IF($M350&lt;&gt;"",$M350-$K350,TODAY()-$K350))</f>
        <v/>
      </c>
      <c r="R350" s="85">
        <f>IF(OR($L350="",$I350="Completed",$I350="Cancelled"),"",IF(AND($L350&lt;TODAY(),$I350&lt;&gt;"Completed",$I350&lt;&gt;"Cancelled"),"Overdue","On Track"))</f>
        <v/>
      </c>
      <c r="S350" s="65">
        <f>IF($L350="","",TEXT($L350,"yyyy-mm"))</f>
        <v/>
      </c>
      <c r="T350" s="86">
        <f>IF($I350="","",IFERROR(INDEX(Action_Status_Map!$C$5:$C$11,MATCH($I350,Action_Status_Map!$A$5:$A$11,0)),""))</f>
        <v/>
      </c>
      <c r="U350" s="81" t="n"/>
      <c r="V350" s="82" t="n"/>
      <c r="W350" s="65">
        <f>IF(OR($I350&lt;&gt;"Completed",$M350="",$L350=""),"",IF($M350&lt;=$L350,"Yes","No"))</f>
        <v/>
      </c>
      <c r="X350" s="84">
        <f>IF($A350="","",COUNTIF(Task_Steps!$B$5:$B$2004,$A350))</f>
        <v/>
      </c>
      <c r="Y350" s="86">
        <f>IF($X350=0,"",COUNTIFS(Task_Steps!$B$5:$B$2004,$A350,Task_Steps!$H$5:$H$2004,"Completed")/$X350)</f>
        <v/>
      </c>
      <c r="Z350" s="81" t="n"/>
      <c r="AA350" s="81" t="n"/>
      <c r="AB350" s="67">
        <f>IF($F350="","",IFERROR(INDEX(Employee_Master!$E$5:$E$204,MATCH($F350,Employee_Master!$B$5:$B$204,0)),""))</f>
        <v/>
      </c>
      <c r="AC350" s="65">
        <f>IF(OR($A350="",$AB350=""),"",IF(OR($I350="Completed",$I350="Cancelled"),"Closed - in Manager Report","Active - in Manager Report"))</f>
        <v/>
      </c>
      <c r="AD350" s="81">
        <f>IF($A350="","",IFERROR(TEXTJOIN(", ",TRUE,FILTER(Task_Steps!$A$5:$A$2004,Task_Steps!$B$5:$B$2004=$A350)),""))</f>
        <v/>
      </c>
      <c r="AE350" s="84">
        <f>IF($A350="","",COUNTIFS(Task_Steps!$B$5:$B$2004,$A350,Task_Steps!$H$5:$H$2004,"&lt;&gt;Completed",Task_Steps!$H$5:$H$2004,"&lt;&gt;Cancelled"))</f>
        <v/>
      </c>
      <c r="AF350" s="81">
        <f>IF(OR($B350="",$A350=""),"",$B350&amp;" | "&amp;$A350)</f>
        <v/>
      </c>
    </row>
    <row r="351" ht="15" customHeight="1" s="40">
      <c r="A351" s="65">
        <f>IF(COUNTA(B351:F351)=0,"","TSK-"&amp;TEXT(ROW()-4,"0000"))</f>
        <v/>
      </c>
      <c r="B351" s="78" t="n"/>
      <c r="C351" s="78" t="n"/>
      <c r="D351" s="81" t="n"/>
      <c r="E351" s="81" t="n"/>
      <c r="F351" s="78" t="n"/>
      <c r="G351" s="67">
        <f>IF($F351="","",IFERROR(INDEX(Employee_Master!$C$5:$C$204,MATCH($F351,Employee_Master!$B$5:$B$204,0)),""))</f>
        <v/>
      </c>
      <c r="H351" s="78" t="n"/>
      <c r="I351" s="78" t="n"/>
      <c r="J351" s="67">
        <f>IF($I351="","",IFERROR(INDEX(Action_Status_Map!$B$5:$B$11,MATCH($I351,Action_Status_Map!$A$5:$A$11,0)),""))</f>
        <v/>
      </c>
      <c r="K351" s="82" t="n"/>
      <c r="L351" s="82" t="n"/>
      <c r="M351" s="82" t="n"/>
      <c r="N351" s="83" t="n"/>
      <c r="O351" s="83" t="n"/>
      <c r="P351" s="66">
        <f>IF(OR($N351="",$O351=""),"",$O351-$N351)</f>
        <v/>
      </c>
      <c r="Q351" s="84">
        <f>IF($K351="","",IF($M351&lt;&gt;"",$M351-$K351,TODAY()-$K351))</f>
        <v/>
      </c>
      <c r="R351" s="85">
        <f>IF(OR($L351="",$I351="Completed",$I351="Cancelled"),"",IF(AND($L351&lt;TODAY(),$I351&lt;&gt;"Completed",$I351&lt;&gt;"Cancelled"),"Overdue","On Track"))</f>
        <v/>
      </c>
      <c r="S351" s="65">
        <f>IF($L351="","",TEXT($L351,"yyyy-mm"))</f>
        <v/>
      </c>
      <c r="T351" s="86">
        <f>IF($I351="","",IFERROR(INDEX(Action_Status_Map!$C$5:$C$11,MATCH($I351,Action_Status_Map!$A$5:$A$11,0)),""))</f>
        <v/>
      </c>
      <c r="U351" s="81" t="n"/>
      <c r="V351" s="82" t="n"/>
      <c r="W351" s="65">
        <f>IF(OR($I351&lt;&gt;"Completed",$M351="",$L351=""),"",IF($M351&lt;=$L351,"Yes","No"))</f>
        <v/>
      </c>
      <c r="X351" s="84">
        <f>IF($A351="","",COUNTIF(Task_Steps!$B$5:$B$2004,$A351))</f>
        <v/>
      </c>
      <c r="Y351" s="86">
        <f>IF($X351=0,"",COUNTIFS(Task_Steps!$B$5:$B$2004,$A351,Task_Steps!$H$5:$H$2004,"Completed")/$X351)</f>
        <v/>
      </c>
      <c r="Z351" s="81" t="n"/>
      <c r="AA351" s="81" t="n"/>
      <c r="AB351" s="67">
        <f>IF($F351="","",IFERROR(INDEX(Employee_Master!$E$5:$E$204,MATCH($F351,Employee_Master!$B$5:$B$204,0)),""))</f>
        <v/>
      </c>
      <c r="AC351" s="65">
        <f>IF(OR($A351="",$AB351=""),"",IF(OR($I351="Completed",$I351="Cancelled"),"Closed - in Manager Report","Active - in Manager Report"))</f>
        <v/>
      </c>
      <c r="AD351" s="81">
        <f>IF($A351="","",IFERROR(TEXTJOIN(", ",TRUE,FILTER(Task_Steps!$A$5:$A$2004,Task_Steps!$B$5:$B$2004=$A351)),""))</f>
        <v/>
      </c>
      <c r="AE351" s="84">
        <f>IF($A351="","",COUNTIFS(Task_Steps!$B$5:$B$2004,$A351,Task_Steps!$H$5:$H$2004,"&lt;&gt;Completed",Task_Steps!$H$5:$H$2004,"&lt;&gt;Cancelled"))</f>
        <v/>
      </c>
      <c r="AF351" s="81">
        <f>IF(OR($B351="",$A351=""),"",$B351&amp;" | "&amp;$A351)</f>
        <v/>
      </c>
    </row>
    <row r="352" ht="15" customHeight="1" s="40">
      <c r="A352" s="65">
        <f>IF(COUNTA(B352:F352)=0,"","TSK-"&amp;TEXT(ROW()-4,"0000"))</f>
        <v/>
      </c>
      <c r="B352" s="78" t="n"/>
      <c r="C352" s="78" t="n"/>
      <c r="D352" s="81" t="n"/>
      <c r="E352" s="81" t="n"/>
      <c r="F352" s="78" t="n"/>
      <c r="G352" s="67">
        <f>IF($F352="","",IFERROR(INDEX(Employee_Master!$C$5:$C$204,MATCH($F352,Employee_Master!$B$5:$B$204,0)),""))</f>
        <v/>
      </c>
      <c r="H352" s="78" t="n"/>
      <c r="I352" s="78" t="n"/>
      <c r="J352" s="67">
        <f>IF($I352="","",IFERROR(INDEX(Action_Status_Map!$B$5:$B$11,MATCH($I352,Action_Status_Map!$A$5:$A$11,0)),""))</f>
        <v/>
      </c>
      <c r="K352" s="82" t="n"/>
      <c r="L352" s="82" t="n"/>
      <c r="M352" s="82" t="n"/>
      <c r="N352" s="83" t="n"/>
      <c r="O352" s="83" t="n"/>
      <c r="P352" s="66">
        <f>IF(OR($N352="",$O352=""),"",$O352-$N352)</f>
        <v/>
      </c>
      <c r="Q352" s="84">
        <f>IF($K352="","",IF($M352&lt;&gt;"",$M352-$K352,TODAY()-$K352))</f>
        <v/>
      </c>
      <c r="R352" s="85">
        <f>IF(OR($L352="",$I352="Completed",$I352="Cancelled"),"",IF(AND($L352&lt;TODAY(),$I352&lt;&gt;"Completed",$I352&lt;&gt;"Cancelled"),"Overdue","On Track"))</f>
        <v/>
      </c>
      <c r="S352" s="65">
        <f>IF($L352="","",TEXT($L352,"yyyy-mm"))</f>
        <v/>
      </c>
      <c r="T352" s="86">
        <f>IF($I352="","",IFERROR(INDEX(Action_Status_Map!$C$5:$C$11,MATCH($I352,Action_Status_Map!$A$5:$A$11,0)),""))</f>
        <v/>
      </c>
      <c r="U352" s="81" t="n"/>
      <c r="V352" s="82" t="n"/>
      <c r="W352" s="65">
        <f>IF(OR($I352&lt;&gt;"Completed",$M352="",$L352=""),"",IF($M352&lt;=$L352,"Yes","No"))</f>
        <v/>
      </c>
      <c r="X352" s="84">
        <f>IF($A352="","",COUNTIF(Task_Steps!$B$5:$B$2004,$A352))</f>
        <v/>
      </c>
      <c r="Y352" s="86">
        <f>IF($X352=0,"",COUNTIFS(Task_Steps!$B$5:$B$2004,$A352,Task_Steps!$H$5:$H$2004,"Completed")/$X352)</f>
        <v/>
      </c>
      <c r="Z352" s="81" t="n"/>
      <c r="AA352" s="81" t="n"/>
      <c r="AB352" s="67">
        <f>IF($F352="","",IFERROR(INDEX(Employee_Master!$E$5:$E$204,MATCH($F352,Employee_Master!$B$5:$B$204,0)),""))</f>
        <v/>
      </c>
      <c r="AC352" s="65">
        <f>IF(OR($A352="",$AB352=""),"",IF(OR($I352="Completed",$I352="Cancelled"),"Closed - in Manager Report","Active - in Manager Report"))</f>
        <v/>
      </c>
      <c r="AD352" s="81">
        <f>IF($A352="","",IFERROR(TEXTJOIN(", ",TRUE,FILTER(Task_Steps!$A$5:$A$2004,Task_Steps!$B$5:$B$2004=$A352)),""))</f>
        <v/>
      </c>
      <c r="AE352" s="84">
        <f>IF($A352="","",COUNTIFS(Task_Steps!$B$5:$B$2004,$A352,Task_Steps!$H$5:$H$2004,"&lt;&gt;Completed",Task_Steps!$H$5:$H$2004,"&lt;&gt;Cancelled"))</f>
        <v/>
      </c>
      <c r="AF352" s="81">
        <f>IF(OR($B352="",$A352=""),"",$B352&amp;" | "&amp;$A352)</f>
        <v/>
      </c>
    </row>
    <row r="353" ht="15" customHeight="1" s="40">
      <c r="A353" s="65">
        <f>IF(COUNTA(B353:F353)=0,"","TSK-"&amp;TEXT(ROW()-4,"0000"))</f>
        <v/>
      </c>
      <c r="B353" s="78" t="n"/>
      <c r="C353" s="78" t="n"/>
      <c r="D353" s="81" t="n"/>
      <c r="E353" s="81" t="n"/>
      <c r="F353" s="78" t="n"/>
      <c r="G353" s="67">
        <f>IF($F353="","",IFERROR(INDEX(Employee_Master!$C$5:$C$204,MATCH($F353,Employee_Master!$B$5:$B$204,0)),""))</f>
        <v/>
      </c>
      <c r="H353" s="78" t="n"/>
      <c r="I353" s="78" t="n"/>
      <c r="J353" s="67">
        <f>IF($I353="","",IFERROR(INDEX(Action_Status_Map!$B$5:$B$11,MATCH($I353,Action_Status_Map!$A$5:$A$11,0)),""))</f>
        <v/>
      </c>
      <c r="K353" s="82" t="n"/>
      <c r="L353" s="82" t="n"/>
      <c r="M353" s="82" t="n"/>
      <c r="N353" s="83" t="n"/>
      <c r="O353" s="83" t="n"/>
      <c r="P353" s="66">
        <f>IF(OR($N353="",$O353=""),"",$O353-$N353)</f>
        <v/>
      </c>
      <c r="Q353" s="84">
        <f>IF($K353="","",IF($M353&lt;&gt;"",$M353-$K353,TODAY()-$K353))</f>
        <v/>
      </c>
      <c r="R353" s="85">
        <f>IF(OR($L353="",$I353="Completed",$I353="Cancelled"),"",IF(AND($L353&lt;TODAY(),$I353&lt;&gt;"Completed",$I353&lt;&gt;"Cancelled"),"Overdue","On Track"))</f>
        <v/>
      </c>
      <c r="S353" s="65">
        <f>IF($L353="","",TEXT($L353,"yyyy-mm"))</f>
        <v/>
      </c>
      <c r="T353" s="86">
        <f>IF($I353="","",IFERROR(INDEX(Action_Status_Map!$C$5:$C$11,MATCH($I353,Action_Status_Map!$A$5:$A$11,0)),""))</f>
        <v/>
      </c>
      <c r="U353" s="81" t="n"/>
      <c r="V353" s="82" t="n"/>
      <c r="W353" s="65">
        <f>IF(OR($I353&lt;&gt;"Completed",$M353="",$L353=""),"",IF($M353&lt;=$L353,"Yes","No"))</f>
        <v/>
      </c>
      <c r="X353" s="84">
        <f>IF($A353="","",COUNTIF(Task_Steps!$B$5:$B$2004,$A353))</f>
        <v/>
      </c>
      <c r="Y353" s="86">
        <f>IF($X353=0,"",COUNTIFS(Task_Steps!$B$5:$B$2004,$A353,Task_Steps!$H$5:$H$2004,"Completed")/$X353)</f>
        <v/>
      </c>
      <c r="Z353" s="81" t="n"/>
      <c r="AA353" s="81" t="n"/>
      <c r="AB353" s="67">
        <f>IF($F353="","",IFERROR(INDEX(Employee_Master!$E$5:$E$204,MATCH($F353,Employee_Master!$B$5:$B$204,0)),""))</f>
        <v/>
      </c>
      <c r="AC353" s="65">
        <f>IF(OR($A353="",$AB353=""),"",IF(OR($I353="Completed",$I353="Cancelled"),"Closed - in Manager Report","Active - in Manager Report"))</f>
        <v/>
      </c>
      <c r="AD353" s="81">
        <f>IF($A353="","",IFERROR(TEXTJOIN(", ",TRUE,FILTER(Task_Steps!$A$5:$A$2004,Task_Steps!$B$5:$B$2004=$A353)),""))</f>
        <v/>
      </c>
      <c r="AE353" s="84">
        <f>IF($A353="","",COUNTIFS(Task_Steps!$B$5:$B$2004,$A353,Task_Steps!$H$5:$H$2004,"&lt;&gt;Completed",Task_Steps!$H$5:$H$2004,"&lt;&gt;Cancelled"))</f>
        <v/>
      </c>
      <c r="AF353" s="81">
        <f>IF(OR($B353="",$A353=""),"",$B353&amp;" | "&amp;$A353)</f>
        <v/>
      </c>
    </row>
    <row r="354" ht="15" customHeight="1" s="40">
      <c r="A354" s="65">
        <f>IF(COUNTA(B354:F354)=0,"","TSK-"&amp;TEXT(ROW()-4,"0000"))</f>
        <v/>
      </c>
      <c r="B354" s="78" t="n"/>
      <c r="C354" s="78" t="n"/>
      <c r="D354" s="81" t="n"/>
      <c r="E354" s="81" t="n"/>
      <c r="F354" s="78" t="n"/>
      <c r="G354" s="67">
        <f>IF($F354="","",IFERROR(INDEX(Employee_Master!$C$5:$C$204,MATCH($F354,Employee_Master!$B$5:$B$204,0)),""))</f>
        <v/>
      </c>
      <c r="H354" s="78" t="n"/>
      <c r="I354" s="78" t="n"/>
      <c r="J354" s="67">
        <f>IF($I354="","",IFERROR(INDEX(Action_Status_Map!$B$5:$B$11,MATCH($I354,Action_Status_Map!$A$5:$A$11,0)),""))</f>
        <v/>
      </c>
      <c r="K354" s="82" t="n"/>
      <c r="L354" s="82" t="n"/>
      <c r="M354" s="82" t="n"/>
      <c r="N354" s="83" t="n"/>
      <c r="O354" s="83" t="n"/>
      <c r="P354" s="66">
        <f>IF(OR($N354="",$O354=""),"",$O354-$N354)</f>
        <v/>
      </c>
      <c r="Q354" s="84">
        <f>IF($K354="","",IF($M354&lt;&gt;"",$M354-$K354,TODAY()-$K354))</f>
        <v/>
      </c>
      <c r="R354" s="85">
        <f>IF(OR($L354="",$I354="Completed",$I354="Cancelled"),"",IF(AND($L354&lt;TODAY(),$I354&lt;&gt;"Completed",$I354&lt;&gt;"Cancelled"),"Overdue","On Track"))</f>
        <v/>
      </c>
      <c r="S354" s="65">
        <f>IF($L354="","",TEXT($L354,"yyyy-mm"))</f>
        <v/>
      </c>
      <c r="T354" s="86">
        <f>IF($I354="","",IFERROR(INDEX(Action_Status_Map!$C$5:$C$11,MATCH($I354,Action_Status_Map!$A$5:$A$11,0)),""))</f>
        <v/>
      </c>
      <c r="U354" s="81" t="n"/>
      <c r="V354" s="82" t="n"/>
      <c r="W354" s="65">
        <f>IF(OR($I354&lt;&gt;"Completed",$M354="",$L354=""),"",IF($M354&lt;=$L354,"Yes","No"))</f>
        <v/>
      </c>
      <c r="X354" s="84">
        <f>IF($A354="","",COUNTIF(Task_Steps!$B$5:$B$2004,$A354))</f>
        <v/>
      </c>
      <c r="Y354" s="86">
        <f>IF($X354=0,"",COUNTIFS(Task_Steps!$B$5:$B$2004,$A354,Task_Steps!$H$5:$H$2004,"Completed")/$X354)</f>
        <v/>
      </c>
      <c r="Z354" s="81" t="n"/>
      <c r="AA354" s="81" t="n"/>
      <c r="AB354" s="67">
        <f>IF($F354="","",IFERROR(INDEX(Employee_Master!$E$5:$E$204,MATCH($F354,Employee_Master!$B$5:$B$204,0)),""))</f>
        <v/>
      </c>
      <c r="AC354" s="65">
        <f>IF(OR($A354="",$AB354=""),"",IF(OR($I354="Completed",$I354="Cancelled"),"Closed - in Manager Report","Active - in Manager Report"))</f>
        <v/>
      </c>
      <c r="AD354" s="81">
        <f>IF($A354="","",IFERROR(TEXTJOIN(", ",TRUE,FILTER(Task_Steps!$A$5:$A$2004,Task_Steps!$B$5:$B$2004=$A354)),""))</f>
        <v/>
      </c>
      <c r="AE354" s="84">
        <f>IF($A354="","",COUNTIFS(Task_Steps!$B$5:$B$2004,$A354,Task_Steps!$H$5:$H$2004,"&lt;&gt;Completed",Task_Steps!$H$5:$H$2004,"&lt;&gt;Cancelled"))</f>
        <v/>
      </c>
      <c r="AF354" s="81">
        <f>IF(OR($B354="",$A354=""),"",$B354&amp;" | "&amp;$A354)</f>
        <v/>
      </c>
    </row>
    <row r="355" ht="15" customHeight="1" s="40">
      <c r="A355" s="65">
        <f>IF(COUNTA(B355:F355)=0,"","TSK-"&amp;TEXT(ROW()-4,"0000"))</f>
        <v/>
      </c>
      <c r="B355" s="78" t="n"/>
      <c r="C355" s="78" t="n"/>
      <c r="D355" s="81" t="n"/>
      <c r="E355" s="81" t="n"/>
      <c r="F355" s="78" t="n"/>
      <c r="G355" s="67">
        <f>IF($F355="","",IFERROR(INDEX(Employee_Master!$C$5:$C$204,MATCH($F355,Employee_Master!$B$5:$B$204,0)),""))</f>
        <v/>
      </c>
      <c r="H355" s="78" t="n"/>
      <c r="I355" s="78" t="n"/>
      <c r="J355" s="67">
        <f>IF($I355="","",IFERROR(INDEX(Action_Status_Map!$B$5:$B$11,MATCH($I355,Action_Status_Map!$A$5:$A$11,0)),""))</f>
        <v/>
      </c>
      <c r="K355" s="82" t="n"/>
      <c r="L355" s="82" t="n"/>
      <c r="M355" s="82" t="n"/>
      <c r="N355" s="83" t="n"/>
      <c r="O355" s="83" t="n"/>
      <c r="P355" s="66">
        <f>IF(OR($N355="",$O355=""),"",$O355-$N355)</f>
        <v/>
      </c>
      <c r="Q355" s="84">
        <f>IF($K355="","",IF($M355&lt;&gt;"",$M355-$K355,TODAY()-$K355))</f>
        <v/>
      </c>
      <c r="R355" s="85">
        <f>IF(OR($L355="",$I355="Completed",$I355="Cancelled"),"",IF(AND($L355&lt;TODAY(),$I355&lt;&gt;"Completed",$I355&lt;&gt;"Cancelled"),"Overdue","On Track"))</f>
        <v/>
      </c>
      <c r="S355" s="65">
        <f>IF($L355="","",TEXT($L355,"yyyy-mm"))</f>
        <v/>
      </c>
      <c r="T355" s="86">
        <f>IF($I355="","",IFERROR(INDEX(Action_Status_Map!$C$5:$C$11,MATCH($I355,Action_Status_Map!$A$5:$A$11,0)),""))</f>
        <v/>
      </c>
      <c r="U355" s="81" t="n"/>
      <c r="V355" s="82" t="n"/>
      <c r="W355" s="65">
        <f>IF(OR($I355&lt;&gt;"Completed",$M355="",$L355=""),"",IF($M355&lt;=$L355,"Yes","No"))</f>
        <v/>
      </c>
      <c r="X355" s="84">
        <f>IF($A355="","",COUNTIF(Task_Steps!$B$5:$B$2004,$A355))</f>
        <v/>
      </c>
      <c r="Y355" s="86">
        <f>IF($X355=0,"",COUNTIFS(Task_Steps!$B$5:$B$2004,$A355,Task_Steps!$H$5:$H$2004,"Completed")/$X355)</f>
        <v/>
      </c>
      <c r="Z355" s="81" t="n"/>
      <c r="AA355" s="81" t="n"/>
      <c r="AB355" s="67">
        <f>IF($F355="","",IFERROR(INDEX(Employee_Master!$E$5:$E$204,MATCH($F355,Employee_Master!$B$5:$B$204,0)),""))</f>
        <v/>
      </c>
      <c r="AC355" s="65">
        <f>IF(OR($A355="",$AB355=""),"",IF(OR($I355="Completed",$I355="Cancelled"),"Closed - in Manager Report","Active - in Manager Report"))</f>
        <v/>
      </c>
      <c r="AD355" s="81">
        <f>IF($A355="","",IFERROR(TEXTJOIN(", ",TRUE,FILTER(Task_Steps!$A$5:$A$2004,Task_Steps!$B$5:$B$2004=$A355)),""))</f>
        <v/>
      </c>
      <c r="AE355" s="84">
        <f>IF($A355="","",COUNTIFS(Task_Steps!$B$5:$B$2004,$A355,Task_Steps!$H$5:$H$2004,"&lt;&gt;Completed",Task_Steps!$H$5:$H$2004,"&lt;&gt;Cancelled"))</f>
        <v/>
      </c>
      <c r="AF355" s="81">
        <f>IF(OR($B355="",$A355=""),"",$B355&amp;" | "&amp;$A355)</f>
        <v/>
      </c>
    </row>
    <row r="356" ht="15" customHeight="1" s="40">
      <c r="A356" s="65">
        <f>IF(COUNTA(B356:F356)=0,"","TSK-"&amp;TEXT(ROW()-4,"0000"))</f>
        <v/>
      </c>
      <c r="B356" s="78" t="n"/>
      <c r="C356" s="78" t="n"/>
      <c r="D356" s="81" t="n"/>
      <c r="E356" s="81" t="n"/>
      <c r="F356" s="78" t="n"/>
      <c r="G356" s="67">
        <f>IF($F356="","",IFERROR(INDEX(Employee_Master!$C$5:$C$204,MATCH($F356,Employee_Master!$B$5:$B$204,0)),""))</f>
        <v/>
      </c>
      <c r="H356" s="78" t="n"/>
      <c r="I356" s="78" t="n"/>
      <c r="J356" s="67">
        <f>IF($I356="","",IFERROR(INDEX(Action_Status_Map!$B$5:$B$11,MATCH($I356,Action_Status_Map!$A$5:$A$11,0)),""))</f>
        <v/>
      </c>
      <c r="K356" s="82" t="n"/>
      <c r="L356" s="82" t="n"/>
      <c r="M356" s="82" t="n"/>
      <c r="N356" s="83" t="n"/>
      <c r="O356" s="83" t="n"/>
      <c r="P356" s="66">
        <f>IF(OR($N356="",$O356=""),"",$O356-$N356)</f>
        <v/>
      </c>
      <c r="Q356" s="84">
        <f>IF($K356="","",IF($M356&lt;&gt;"",$M356-$K356,TODAY()-$K356))</f>
        <v/>
      </c>
      <c r="R356" s="85">
        <f>IF(OR($L356="",$I356="Completed",$I356="Cancelled"),"",IF(AND($L356&lt;TODAY(),$I356&lt;&gt;"Completed",$I356&lt;&gt;"Cancelled"),"Overdue","On Track"))</f>
        <v/>
      </c>
      <c r="S356" s="65">
        <f>IF($L356="","",TEXT($L356,"yyyy-mm"))</f>
        <v/>
      </c>
      <c r="T356" s="86">
        <f>IF($I356="","",IFERROR(INDEX(Action_Status_Map!$C$5:$C$11,MATCH($I356,Action_Status_Map!$A$5:$A$11,0)),""))</f>
        <v/>
      </c>
      <c r="U356" s="81" t="n"/>
      <c r="V356" s="82" t="n"/>
      <c r="W356" s="65">
        <f>IF(OR($I356&lt;&gt;"Completed",$M356="",$L356=""),"",IF($M356&lt;=$L356,"Yes","No"))</f>
        <v/>
      </c>
      <c r="X356" s="84">
        <f>IF($A356="","",COUNTIF(Task_Steps!$B$5:$B$2004,$A356))</f>
        <v/>
      </c>
      <c r="Y356" s="86">
        <f>IF($X356=0,"",COUNTIFS(Task_Steps!$B$5:$B$2004,$A356,Task_Steps!$H$5:$H$2004,"Completed")/$X356)</f>
        <v/>
      </c>
      <c r="Z356" s="81" t="n"/>
      <c r="AA356" s="81" t="n"/>
      <c r="AB356" s="67">
        <f>IF($F356="","",IFERROR(INDEX(Employee_Master!$E$5:$E$204,MATCH($F356,Employee_Master!$B$5:$B$204,0)),""))</f>
        <v/>
      </c>
      <c r="AC356" s="65">
        <f>IF(OR($A356="",$AB356=""),"",IF(OR($I356="Completed",$I356="Cancelled"),"Closed - in Manager Report","Active - in Manager Report"))</f>
        <v/>
      </c>
      <c r="AD356" s="81">
        <f>IF($A356="","",IFERROR(TEXTJOIN(", ",TRUE,FILTER(Task_Steps!$A$5:$A$2004,Task_Steps!$B$5:$B$2004=$A356)),""))</f>
        <v/>
      </c>
      <c r="AE356" s="84">
        <f>IF($A356="","",COUNTIFS(Task_Steps!$B$5:$B$2004,$A356,Task_Steps!$H$5:$H$2004,"&lt;&gt;Completed",Task_Steps!$H$5:$H$2004,"&lt;&gt;Cancelled"))</f>
        <v/>
      </c>
      <c r="AF356" s="81">
        <f>IF(OR($B356="",$A356=""),"",$B356&amp;" | "&amp;$A356)</f>
        <v/>
      </c>
    </row>
    <row r="357" ht="15" customHeight="1" s="40">
      <c r="A357" s="65">
        <f>IF(COUNTA(B357:F357)=0,"","TSK-"&amp;TEXT(ROW()-4,"0000"))</f>
        <v/>
      </c>
      <c r="B357" s="78" t="n"/>
      <c r="C357" s="78" t="n"/>
      <c r="D357" s="81" t="n"/>
      <c r="E357" s="81" t="n"/>
      <c r="F357" s="78" t="n"/>
      <c r="G357" s="67">
        <f>IF($F357="","",IFERROR(INDEX(Employee_Master!$C$5:$C$204,MATCH($F357,Employee_Master!$B$5:$B$204,0)),""))</f>
        <v/>
      </c>
      <c r="H357" s="78" t="n"/>
      <c r="I357" s="78" t="n"/>
      <c r="J357" s="67">
        <f>IF($I357="","",IFERROR(INDEX(Action_Status_Map!$B$5:$B$11,MATCH($I357,Action_Status_Map!$A$5:$A$11,0)),""))</f>
        <v/>
      </c>
      <c r="K357" s="82" t="n"/>
      <c r="L357" s="82" t="n"/>
      <c r="M357" s="82" t="n"/>
      <c r="N357" s="83" t="n"/>
      <c r="O357" s="83" t="n"/>
      <c r="P357" s="66">
        <f>IF(OR($N357="",$O357=""),"",$O357-$N357)</f>
        <v/>
      </c>
      <c r="Q357" s="84">
        <f>IF($K357="","",IF($M357&lt;&gt;"",$M357-$K357,TODAY()-$K357))</f>
        <v/>
      </c>
      <c r="R357" s="85">
        <f>IF(OR($L357="",$I357="Completed",$I357="Cancelled"),"",IF(AND($L357&lt;TODAY(),$I357&lt;&gt;"Completed",$I357&lt;&gt;"Cancelled"),"Overdue","On Track"))</f>
        <v/>
      </c>
      <c r="S357" s="65">
        <f>IF($L357="","",TEXT($L357,"yyyy-mm"))</f>
        <v/>
      </c>
      <c r="T357" s="86">
        <f>IF($I357="","",IFERROR(INDEX(Action_Status_Map!$C$5:$C$11,MATCH($I357,Action_Status_Map!$A$5:$A$11,0)),""))</f>
        <v/>
      </c>
      <c r="U357" s="81" t="n"/>
      <c r="V357" s="82" t="n"/>
      <c r="W357" s="65">
        <f>IF(OR($I357&lt;&gt;"Completed",$M357="",$L357=""),"",IF($M357&lt;=$L357,"Yes","No"))</f>
        <v/>
      </c>
      <c r="X357" s="84">
        <f>IF($A357="","",COUNTIF(Task_Steps!$B$5:$B$2004,$A357))</f>
        <v/>
      </c>
      <c r="Y357" s="86">
        <f>IF($X357=0,"",COUNTIFS(Task_Steps!$B$5:$B$2004,$A357,Task_Steps!$H$5:$H$2004,"Completed")/$X357)</f>
        <v/>
      </c>
      <c r="Z357" s="81" t="n"/>
      <c r="AA357" s="81" t="n"/>
      <c r="AB357" s="67">
        <f>IF($F357="","",IFERROR(INDEX(Employee_Master!$E$5:$E$204,MATCH($F357,Employee_Master!$B$5:$B$204,0)),""))</f>
        <v/>
      </c>
      <c r="AC357" s="65">
        <f>IF(OR($A357="",$AB357=""),"",IF(OR($I357="Completed",$I357="Cancelled"),"Closed - in Manager Report","Active - in Manager Report"))</f>
        <v/>
      </c>
      <c r="AD357" s="81">
        <f>IF($A357="","",IFERROR(TEXTJOIN(", ",TRUE,FILTER(Task_Steps!$A$5:$A$2004,Task_Steps!$B$5:$B$2004=$A357)),""))</f>
        <v/>
      </c>
      <c r="AE357" s="84">
        <f>IF($A357="","",COUNTIFS(Task_Steps!$B$5:$B$2004,$A357,Task_Steps!$H$5:$H$2004,"&lt;&gt;Completed",Task_Steps!$H$5:$H$2004,"&lt;&gt;Cancelled"))</f>
        <v/>
      </c>
      <c r="AF357" s="81">
        <f>IF(OR($B357="",$A357=""),"",$B357&amp;" | "&amp;$A357)</f>
        <v/>
      </c>
    </row>
    <row r="358" ht="15" customHeight="1" s="40">
      <c r="A358" s="65">
        <f>IF(COUNTA(B358:F358)=0,"","TSK-"&amp;TEXT(ROW()-4,"0000"))</f>
        <v/>
      </c>
      <c r="B358" s="78" t="n"/>
      <c r="C358" s="78" t="n"/>
      <c r="D358" s="81" t="n"/>
      <c r="E358" s="81" t="n"/>
      <c r="F358" s="78" t="n"/>
      <c r="G358" s="67">
        <f>IF($F358="","",IFERROR(INDEX(Employee_Master!$C$5:$C$204,MATCH($F358,Employee_Master!$B$5:$B$204,0)),""))</f>
        <v/>
      </c>
      <c r="H358" s="78" t="n"/>
      <c r="I358" s="78" t="n"/>
      <c r="J358" s="67">
        <f>IF($I358="","",IFERROR(INDEX(Action_Status_Map!$B$5:$B$11,MATCH($I358,Action_Status_Map!$A$5:$A$11,0)),""))</f>
        <v/>
      </c>
      <c r="K358" s="82" t="n"/>
      <c r="L358" s="82" t="n"/>
      <c r="M358" s="82" t="n"/>
      <c r="N358" s="83" t="n"/>
      <c r="O358" s="83" t="n"/>
      <c r="P358" s="66">
        <f>IF(OR($N358="",$O358=""),"",$O358-$N358)</f>
        <v/>
      </c>
      <c r="Q358" s="84">
        <f>IF($K358="","",IF($M358&lt;&gt;"",$M358-$K358,TODAY()-$K358))</f>
        <v/>
      </c>
      <c r="R358" s="85">
        <f>IF(OR($L358="",$I358="Completed",$I358="Cancelled"),"",IF(AND($L358&lt;TODAY(),$I358&lt;&gt;"Completed",$I358&lt;&gt;"Cancelled"),"Overdue","On Track"))</f>
        <v/>
      </c>
      <c r="S358" s="65">
        <f>IF($L358="","",TEXT($L358,"yyyy-mm"))</f>
        <v/>
      </c>
      <c r="T358" s="86">
        <f>IF($I358="","",IFERROR(INDEX(Action_Status_Map!$C$5:$C$11,MATCH($I358,Action_Status_Map!$A$5:$A$11,0)),""))</f>
        <v/>
      </c>
      <c r="U358" s="81" t="n"/>
      <c r="V358" s="82" t="n"/>
      <c r="W358" s="65">
        <f>IF(OR($I358&lt;&gt;"Completed",$M358="",$L358=""),"",IF($M358&lt;=$L358,"Yes","No"))</f>
        <v/>
      </c>
      <c r="X358" s="84">
        <f>IF($A358="","",COUNTIF(Task_Steps!$B$5:$B$2004,$A358))</f>
        <v/>
      </c>
      <c r="Y358" s="86">
        <f>IF($X358=0,"",COUNTIFS(Task_Steps!$B$5:$B$2004,$A358,Task_Steps!$H$5:$H$2004,"Completed")/$X358)</f>
        <v/>
      </c>
      <c r="Z358" s="81" t="n"/>
      <c r="AA358" s="81" t="n"/>
      <c r="AB358" s="67">
        <f>IF($F358="","",IFERROR(INDEX(Employee_Master!$E$5:$E$204,MATCH($F358,Employee_Master!$B$5:$B$204,0)),""))</f>
        <v/>
      </c>
      <c r="AC358" s="65">
        <f>IF(OR($A358="",$AB358=""),"",IF(OR($I358="Completed",$I358="Cancelled"),"Closed - in Manager Report","Active - in Manager Report"))</f>
        <v/>
      </c>
      <c r="AD358" s="81">
        <f>IF($A358="","",IFERROR(TEXTJOIN(", ",TRUE,FILTER(Task_Steps!$A$5:$A$2004,Task_Steps!$B$5:$B$2004=$A358)),""))</f>
        <v/>
      </c>
      <c r="AE358" s="84">
        <f>IF($A358="","",COUNTIFS(Task_Steps!$B$5:$B$2004,$A358,Task_Steps!$H$5:$H$2004,"&lt;&gt;Completed",Task_Steps!$H$5:$H$2004,"&lt;&gt;Cancelled"))</f>
        <v/>
      </c>
      <c r="AF358" s="81">
        <f>IF(OR($B358="",$A358=""),"",$B358&amp;" | "&amp;$A358)</f>
        <v/>
      </c>
    </row>
    <row r="359" ht="15" customHeight="1" s="40">
      <c r="A359" s="65">
        <f>IF(COUNTA(B359:F359)=0,"","TSK-"&amp;TEXT(ROW()-4,"0000"))</f>
        <v/>
      </c>
      <c r="B359" s="78" t="n"/>
      <c r="C359" s="78" t="n"/>
      <c r="D359" s="81" t="n"/>
      <c r="E359" s="81" t="n"/>
      <c r="F359" s="78" t="n"/>
      <c r="G359" s="67">
        <f>IF($F359="","",IFERROR(INDEX(Employee_Master!$C$5:$C$204,MATCH($F359,Employee_Master!$B$5:$B$204,0)),""))</f>
        <v/>
      </c>
      <c r="H359" s="78" t="n"/>
      <c r="I359" s="78" t="n"/>
      <c r="J359" s="67">
        <f>IF($I359="","",IFERROR(INDEX(Action_Status_Map!$B$5:$B$11,MATCH($I359,Action_Status_Map!$A$5:$A$11,0)),""))</f>
        <v/>
      </c>
      <c r="K359" s="82" t="n"/>
      <c r="L359" s="82" t="n"/>
      <c r="M359" s="82" t="n"/>
      <c r="N359" s="83" t="n"/>
      <c r="O359" s="83" t="n"/>
      <c r="P359" s="66">
        <f>IF(OR($N359="",$O359=""),"",$O359-$N359)</f>
        <v/>
      </c>
      <c r="Q359" s="84">
        <f>IF($K359="","",IF($M359&lt;&gt;"",$M359-$K359,TODAY()-$K359))</f>
        <v/>
      </c>
      <c r="R359" s="85">
        <f>IF(OR($L359="",$I359="Completed",$I359="Cancelled"),"",IF(AND($L359&lt;TODAY(),$I359&lt;&gt;"Completed",$I359&lt;&gt;"Cancelled"),"Overdue","On Track"))</f>
        <v/>
      </c>
      <c r="S359" s="65">
        <f>IF($L359="","",TEXT($L359,"yyyy-mm"))</f>
        <v/>
      </c>
      <c r="T359" s="86">
        <f>IF($I359="","",IFERROR(INDEX(Action_Status_Map!$C$5:$C$11,MATCH($I359,Action_Status_Map!$A$5:$A$11,0)),""))</f>
        <v/>
      </c>
      <c r="U359" s="81" t="n"/>
      <c r="V359" s="82" t="n"/>
      <c r="W359" s="65">
        <f>IF(OR($I359&lt;&gt;"Completed",$M359="",$L359=""),"",IF($M359&lt;=$L359,"Yes","No"))</f>
        <v/>
      </c>
      <c r="X359" s="84">
        <f>IF($A359="","",COUNTIF(Task_Steps!$B$5:$B$2004,$A359))</f>
        <v/>
      </c>
      <c r="Y359" s="86">
        <f>IF($X359=0,"",COUNTIFS(Task_Steps!$B$5:$B$2004,$A359,Task_Steps!$H$5:$H$2004,"Completed")/$X359)</f>
        <v/>
      </c>
      <c r="Z359" s="81" t="n"/>
      <c r="AA359" s="81" t="n"/>
      <c r="AB359" s="67">
        <f>IF($F359="","",IFERROR(INDEX(Employee_Master!$E$5:$E$204,MATCH($F359,Employee_Master!$B$5:$B$204,0)),""))</f>
        <v/>
      </c>
      <c r="AC359" s="65">
        <f>IF(OR($A359="",$AB359=""),"",IF(OR($I359="Completed",$I359="Cancelled"),"Closed - in Manager Report","Active - in Manager Report"))</f>
        <v/>
      </c>
      <c r="AD359" s="81">
        <f>IF($A359="","",IFERROR(TEXTJOIN(", ",TRUE,FILTER(Task_Steps!$A$5:$A$2004,Task_Steps!$B$5:$B$2004=$A359)),""))</f>
        <v/>
      </c>
      <c r="AE359" s="84">
        <f>IF($A359="","",COUNTIFS(Task_Steps!$B$5:$B$2004,$A359,Task_Steps!$H$5:$H$2004,"&lt;&gt;Completed",Task_Steps!$H$5:$H$2004,"&lt;&gt;Cancelled"))</f>
        <v/>
      </c>
      <c r="AF359" s="81">
        <f>IF(OR($B359="",$A359=""),"",$B359&amp;" | "&amp;$A359)</f>
        <v/>
      </c>
    </row>
    <row r="360" ht="15" customHeight="1" s="40">
      <c r="A360" s="65">
        <f>IF(COUNTA(B360:F360)=0,"","TSK-"&amp;TEXT(ROW()-4,"0000"))</f>
        <v/>
      </c>
      <c r="B360" s="78" t="n"/>
      <c r="C360" s="78" t="n"/>
      <c r="D360" s="81" t="n"/>
      <c r="E360" s="81" t="n"/>
      <c r="F360" s="78" t="n"/>
      <c r="G360" s="67">
        <f>IF($F360="","",IFERROR(INDEX(Employee_Master!$C$5:$C$204,MATCH($F360,Employee_Master!$B$5:$B$204,0)),""))</f>
        <v/>
      </c>
      <c r="H360" s="78" t="n"/>
      <c r="I360" s="78" t="n"/>
      <c r="J360" s="67">
        <f>IF($I360="","",IFERROR(INDEX(Action_Status_Map!$B$5:$B$11,MATCH($I360,Action_Status_Map!$A$5:$A$11,0)),""))</f>
        <v/>
      </c>
      <c r="K360" s="82" t="n"/>
      <c r="L360" s="82" t="n"/>
      <c r="M360" s="82" t="n"/>
      <c r="N360" s="83" t="n"/>
      <c r="O360" s="83" t="n"/>
      <c r="P360" s="66">
        <f>IF(OR($N360="",$O360=""),"",$O360-$N360)</f>
        <v/>
      </c>
      <c r="Q360" s="84">
        <f>IF($K360="","",IF($M360&lt;&gt;"",$M360-$K360,TODAY()-$K360))</f>
        <v/>
      </c>
      <c r="R360" s="85">
        <f>IF(OR($L360="",$I360="Completed",$I360="Cancelled"),"",IF(AND($L360&lt;TODAY(),$I360&lt;&gt;"Completed",$I360&lt;&gt;"Cancelled"),"Overdue","On Track"))</f>
        <v/>
      </c>
      <c r="S360" s="65">
        <f>IF($L360="","",TEXT($L360,"yyyy-mm"))</f>
        <v/>
      </c>
      <c r="T360" s="86">
        <f>IF($I360="","",IFERROR(INDEX(Action_Status_Map!$C$5:$C$11,MATCH($I360,Action_Status_Map!$A$5:$A$11,0)),""))</f>
        <v/>
      </c>
      <c r="U360" s="81" t="n"/>
      <c r="V360" s="82" t="n"/>
      <c r="W360" s="65">
        <f>IF(OR($I360&lt;&gt;"Completed",$M360="",$L360=""),"",IF($M360&lt;=$L360,"Yes","No"))</f>
        <v/>
      </c>
      <c r="X360" s="84">
        <f>IF($A360="","",COUNTIF(Task_Steps!$B$5:$B$2004,$A360))</f>
        <v/>
      </c>
      <c r="Y360" s="86">
        <f>IF($X360=0,"",COUNTIFS(Task_Steps!$B$5:$B$2004,$A360,Task_Steps!$H$5:$H$2004,"Completed")/$X360)</f>
        <v/>
      </c>
      <c r="Z360" s="81" t="n"/>
      <c r="AA360" s="81" t="n"/>
      <c r="AB360" s="67">
        <f>IF($F360="","",IFERROR(INDEX(Employee_Master!$E$5:$E$204,MATCH($F360,Employee_Master!$B$5:$B$204,0)),""))</f>
        <v/>
      </c>
      <c r="AC360" s="65">
        <f>IF(OR($A360="",$AB360=""),"",IF(OR($I360="Completed",$I360="Cancelled"),"Closed - in Manager Report","Active - in Manager Report"))</f>
        <v/>
      </c>
      <c r="AD360" s="81">
        <f>IF($A360="","",IFERROR(TEXTJOIN(", ",TRUE,FILTER(Task_Steps!$A$5:$A$2004,Task_Steps!$B$5:$B$2004=$A360)),""))</f>
        <v/>
      </c>
      <c r="AE360" s="84">
        <f>IF($A360="","",COUNTIFS(Task_Steps!$B$5:$B$2004,$A360,Task_Steps!$H$5:$H$2004,"&lt;&gt;Completed",Task_Steps!$H$5:$H$2004,"&lt;&gt;Cancelled"))</f>
        <v/>
      </c>
      <c r="AF360" s="81">
        <f>IF(OR($B360="",$A360=""),"",$B360&amp;" | "&amp;$A360)</f>
        <v/>
      </c>
    </row>
    <row r="361" ht="15" customHeight="1" s="40">
      <c r="A361" s="65">
        <f>IF(COUNTA(B361:F361)=0,"","TSK-"&amp;TEXT(ROW()-4,"0000"))</f>
        <v/>
      </c>
      <c r="B361" s="78" t="n"/>
      <c r="C361" s="78" t="n"/>
      <c r="D361" s="81" t="n"/>
      <c r="E361" s="81" t="n"/>
      <c r="F361" s="78" t="n"/>
      <c r="G361" s="67">
        <f>IF($F361="","",IFERROR(INDEX(Employee_Master!$C$5:$C$204,MATCH($F361,Employee_Master!$B$5:$B$204,0)),""))</f>
        <v/>
      </c>
      <c r="H361" s="78" t="n"/>
      <c r="I361" s="78" t="n"/>
      <c r="J361" s="67">
        <f>IF($I361="","",IFERROR(INDEX(Action_Status_Map!$B$5:$B$11,MATCH($I361,Action_Status_Map!$A$5:$A$11,0)),""))</f>
        <v/>
      </c>
      <c r="K361" s="82" t="n"/>
      <c r="L361" s="82" t="n"/>
      <c r="M361" s="82" t="n"/>
      <c r="N361" s="83" t="n"/>
      <c r="O361" s="83" t="n"/>
      <c r="P361" s="66">
        <f>IF(OR($N361="",$O361=""),"",$O361-$N361)</f>
        <v/>
      </c>
      <c r="Q361" s="84">
        <f>IF($K361="","",IF($M361&lt;&gt;"",$M361-$K361,TODAY()-$K361))</f>
        <v/>
      </c>
      <c r="R361" s="85">
        <f>IF(OR($L361="",$I361="Completed",$I361="Cancelled"),"",IF(AND($L361&lt;TODAY(),$I361&lt;&gt;"Completed",$I361&lt;&gt;"Cancelled"),"Overdue","On Track"))</f>
        <v/>
      </c>
      <c r="S361" s="65">
        <f>IF($L361="","",TEXT($L361,"yyyy-mm"))</f>
        <v/>
      </c>
      <c r="T361" s="86">
        <f>IF($I361="","",IFERROR(INDEX(Action_Status_Map!$C$5:$C$11,MATCH($I361,Action_Status_Map!$A$5:$A$11,0)),""))</f>
        <v/>
      </c>
      <c r="U361" s="81" t="n"/>
      <c r="V361" s="82" t="n"/>
      <c r="W361" s="65">
        <f>IF(OR($I361&lt;&gt;"Completed",$M361="",$L361=""),"",IF($M361&lt;=$L361,"Yes","No"))</f>
        <v/>
      </c>
      <c r="X361" s="84">
        <f>IF($A361="","",COUNTIF(Task_Steps!$B$5:$B$2004,$A361))</f>
        <v/>
      </c>
      <c r="Y361" s="86">
        <f>IF($X361=0,"",COUNTIFS(Task_Steps!$B$5:$B$2004,$A361,Task_Steps!$H$5:$H$2004,"Completed")/$X361)</f>
        <v/>
      </c>
      <c r="Z361" s="81" t="n"/>
      <c r="AA361" s="81" t="n"/>
      <c r="AB361" s="67">
        <f>IF($F361="","",IFERROR(INDEX(Employee_Master!$E$5:$E$204,MATCH($F361,Employee_Master!$B$5:$B$204,0)),""))</f>
        <v/>
      </c>
      <c r="AC361" s="65">
        <f>IF(OR($A361="",$AB361=""),"",IF(OR($I361="Completed",$I361="Cancelled"),"Closed - in Manager Report","Active - in Manager Report"))</f>
        <v/>
      </c>
      <c r="AD361" s="81">
        <f>IF($A361="","",IFERROR(TEXTJOIN(", ",TRUE,FILTER(Task_Steps!$A$5:$A$2004,Task_Steps!$B$5:$B$2004=$A361)),""))</f>
        <v/>
      </c>
      <c r="AE361" s="84">
        <f>IF($A361="","",COUNTIFS(Task_Steps!$B$5:$B$2004,$A361,Task_Steps!$H$5:$H$2004,"&lt;&gt;Completed",Task_Steps!$H$5:$H$2004,"&lt;&gt;Cancelled"))</f>
        <v/>
      </c>
      <c r="AF361" s="81">
        <f>IF(OR($B361="",$A361=""),"",$B361&amp;" | "&amp;$A361)</f>
        <v/>
      </c>
    </row>
    <row r="362" ht="15" customHeight="1" s="40">
      <c r="A362" s="65">
        <f>IF(COUNTA(B362:F362)=0,"","TSK-"&amp;TEXT(ROW()-4,"0000"))</f>
        <v/>
      </c>
      <c r="B362" s="78" t="n"/>
      <c r="C362" s="78" t="n"/>
      <c r="D362" s="81" t="n"/>
      <c r="E362" s="81" t="n"/>
      <c r="F362" s="78" t="n"/>
      <c r="G362" s="67">
        <f>IF($F362="","",IFERROR(INDEX(Employee_Master!$C$5:$C$204,MATCH($F362,Employee_Master!$B$5:$B$204,0)),""))</f>
        <v/>
      </c>
      <c r="H362" s="78" t="n"/>
      <c r="I362" s="78" t="n"/>
      <c r="J362" s="67">
        <f>IF($I362="","",IFERROR(INDEX(Action_Status_Map!$B$5:$B$11,MATCH($I362,Action_Status_Map!$A$5:$A$11,0)),""))</f>
        <v/>
      </c>
      <c r="K362" s="82" t="n"/>
      <c r="L362" s="82" t="n"/>
      <c r="M362" s="82" t="n"/>
      <c r="N362" s="83" t="n"/>
      <c r="O362" s="83" t="n"/>
      <c r="P362" s="66">
        <f>IF(OR($N362="",$O362=""),"",$O362-$N362)</f>
        <v/>
      </c>
      <c r="Q362" s="84">
        <f>IF($K362="","",IF($M362&lt;&gt;"",$M362-$K362,TODAY()-$K362))</f>
        <v/>
      </c>
      <c r="R362" s="85">
        <f>IF(OR($L362="",$I362="Completed",$I362="Cancelled"),"",IF(AND($L362&lt;TODAY(),$I362&lt;&gt;"Completed",$I362&lt;&gt;"Cancelled"),"Overdue","On Track"))</f>
        <v/>
      </c>
      <c r="S362" s="65">
        <f>IF($L362="","",TEXT($L362,"yyyy-mm"))</f>
        <v/>
      </c>
      <c r="T362" s="86">
        <f>IF($I362="","",IFERROR(INDEX(Action_Status_Map!$C$5:$C$11,MATCH($I362,Action_Status_Map!$A$5:$A$11,0)),""))</f>
        <v/>
      </c>
      <c r="U362" s="81" t="n"/>
      <c r="V362" s="82" t="n"/>
      <c r="W362" s="65">
        <f>IF(OR($I362&lt;&gt;"Completed",$M362="",$L362=""),"",IF($M362&lt;=$L362,"Yes","No"))</f>
        <v/>
      </c>
      <c r="X362" s="84">
        <f>IF($A362="","",COUNTIF(Task_Steps!$B$5:$B$2004,$A362))</f>
        <v/>
      </c>
      <c r="Y362" s="86">
        <f>IF($X362=0,"",COUNTIFS(Task_Steps!$B$5:$B$2004,$A362,Task_Steps!$H$5:$H$2004,"Completed")/$X362)</f>
        <v/>
      </c>
      <c r="Z362" s="81" t="n"/>
      <c r="AA362" s="81" t="n"/>
      <c r="AB362" s="67">
        <f>IF($F362="","",IFERROR(INDEX(Employee_Master!$E$5:$E$204,MATCH($F362,Employee_Master!$B$5:$B$204,0)),""))</f>
        <v/>
      </c>
      <c r="AC362" s="65">
        <f>IF(OR($A362="",$AB362=""),"",IF(OR($I362="Completed",$I362="Cancelled"),"Closed - in Manager Report","Active - in Manager Report"))</f>
        <v/>
      </c>
      <c r="AD362" s="81">
        <f>IF($A362="","",IFERROR(TEXTJOIN(", ",TRUE,FILTER(Task_Steps!$A$5:$A$2004,Task_Steps!$B$5:$B$2004=$A362)),""))</f>
        <v/>
      </c>
      <c r="AE362" s="84">
        <f>IF($A362="","",COUNTIFS(Task_Steps!$B$5:$B$2004,$A362,Task_Steps!$H$5:$H$2004,"&lt;&gt;Completed",Task_Steps!$H$5:$H$2004,"&lt;&gt;Cancelled"))</f>
        <v/>
      </c>
      <c r="AF362" s="81">
        <f>IF(OR($B362="",$A362=""),"",$B362&amp;" | "&amp;$A362)</f>
        <v/>
      </c>
    </row>
    <row r="363" ht="15" customHeight="1" s="40">
      <c r="A363" s="65">
        <f>IF(COUNTA(B363:F363)=0,"","TSK-"&amp;TEXT(ROW()-4,"0000"))</f>
        <v/>
      </c>
      <c r="B363" s="78" t="n"/>
      <c r="C363" s="78" t="n"/>
      <c r="D363" s="81" t="n"/>
      <c r="E363" s="81" t="n"/>
      <c r="F363" s="78" t="n"/>
      <c r="G363" s="67">
        <f>IF($F363="","",IFERROR(INDEX(Employee_Master!$C$5:$C$204,MATCH($F363,Employee_Master!$B$5:$B$204,0)),""))</f>
        <v/>
      </c>
      <c r="H363" s="78" t="n"/>
      <c r="I363" s="78" t="n"/>
      <c r="J363" s="67">
        <f>IF($I363="","",IFERROR(INDEX(Action_Status_Map!$B$5:$B$11,MATCH($I363,Action_Status_Map!$A$5:$A$11,0)),""))</f>
        <v/>
      </c>
      <c r="K363" s="82" t="n"/>
      <c r="L363" s="82" t="n"/>
      <c r="M363" s="82" t="n"/>
      <c r="N363" s="83" t="n"/>
      <c r="O363" s="83" t="n"/>
      <c r="P363" s="66">
        <f>IF(OR($N363="",$O363=""),"",$O363-$N363)</f>
        <v/>
      </c>
      <c r="Q363" s="84">
        <f>IF($K363="","",IF($M363&lt;&gt;"",$M363-$K363,TODAY()-$K363))</f>
        <v/>
      </c>
      <c r="R363" s="85">
        <f>IF(OR($L363="",$I363="Completed",$I363="Cancelled"),"",IF(AND($L363&lt;TODAY(),$I363&lt;&gt;"Completed",$I363&lt;&gt;"Cancelled"),"Overdue","On Track"))</f>
        <v/>
      </c>
      <c r="S363" s="65">
        <f>IF($L363="","",TEXT($L363,"yyyy-mm"))</f>
        <v/>
      </c>
      <c r="T363" s="86">
        <f>IF($I363="","",IFERROR(INDEX(Action_Status_Map!$C$5:$C$11,MATCH($I363,Action_Status_Map!$A$5:$A$11,0)),""))</f>
        <v/>
      </c>
      <c r="U363" s="81" t="n"/>
      <c r="V363" s="82" t="n"/>
      <c r="W363" s="65">
        <f>IF(OR($I363&lt;&gt;"Completed",$M363="",$L363=""),"",IF($M363&lt;=$L363,"Yes","No"))</f>
        <v/>
      </c>
      <c r="X363" s="84">
        <f>IF($A363="","",COUNTIF(Task_Steps!$B$5:$B$2004,$A363))</f>
        <v/>
      </c>
      <c r="Y363" s="86">
        <f>IF($X363=0,"",COUNTIFS(Task_Steps!$B$5:$B$2004,$A363,Task_Steps!$H$5:$H$2004,"Completed")/$X363)</f>
        <v/>
      </c>
      <c r="Z363" s="81" t="n"/>
      <c r="AA363" s="81" t="n"/>
      <c r="AB363" s="67">
        <f>IF($F363="","",IFERROR(INDEX(Employee_Master!$E$5:$E$204,MATCH($F363,Employee_Master!$B$5:$B$204,0)),""))</f>
        <v/>
      </c>
      <c r="AC363" s="65">
        <f>IF(OR($A363="",$AB363=""),"",IF(OR($I363="Completed",$I363="Cancelled"),"Closed - in Manager Report","Active - in Manager Report"))</f>
        <v/>
      </c>
      <c r="AD363" s="81">
        <f>IF($A363="","",IFERROR(TEXTJOIN(", ",TRUE,FILTER(Task_Steps!$A$5:$A$2004,Task_Steps!$B$5:$B$2004=$A363)),""))</f>
        <v/>
      </c>
      <c r="AE363" s="84">
        <f>IF($A363="","",COUNTIFS(Task_Steps!$B$5:$B$2004,$A363,Task_Steps!$H$5:$H$2004,"&lt;&gt;Completed",Task_Steps!$H$5:$H$2004,"&lt;&gt;Cancelled"))</f>
        <v/>
      </c>
      <c r="AF363" s="81">
        <f>IF(OR($B363="",$A363=""),"",$B363&amp;" | "&amp;$A363)</f>
        <v/>
      </c>
    </row>
    <row r="364" ht="15" customHeight="1" s="40">
      <c r="A364" s="65">
        <f>IF(COUNTA(B364:F364)=0,"","TSK-"&amp;TEXT(ROW()-4,"0000"))</f>
        <v/>
      </c>
      <c r="B364" s="78" t="n"/>
      <c r="C364" s="78" t="n"/>
      <c r="D364" s="81" t="n"/>
      <c r="E364" s="81" t="n"/>
      <c r="F364" s="78" t="n"/>
      <c r="G364" s="67">
        <f>IF($F364="","",IFERROR(INDEX(Employee_Master!$C$5:$C$204,MATCH($F364,Employee_Master!$B$5:$B$204,0)),""))</f>
        <v/>
      </c>
      <c r="H364" s="78" t="n"/>
      <c r="I364" s="78" t="n"/>
      <c r="J364" s="67">
        <f>IF($I364="","",IFERROR(INDEX(Action_Status_Map!$B$5:$B$11,MATCH($I364,Action_Status_Map!$A$5:$A$11,0)),""))</f>
        <v/>
      </c>
      <c r="K364" s="82" t="n"/>
      <c r="L364" s="82" t="n"/>
      <c r="M364" s="82" t="n"/>
      <c r="N364" s="83" t="n"/>
      <c r="O364" s="83" t="n"/>
      <c r="P364" s="66">
        <f>IF(OR($N364="",$O364=""),"",$O364-$N364)</f>
        <v/>
      </c>
      <c r="Q364" s="84">
        <f>IF($K364="","",IF($M364&lt;&gt;"",$M364-$K364,TODAY()-$K364))</f>
        <v/>
      </c>
      <c r="R364" s="85">
        <f>IF(OR($L364="",$I364="Completed",$I364="Cancelled"),"",IF(AND($L364&lt;TODAY(),$I364&lt;&gt;"Completed",$I364&lt;&gt;"Cancelled"),"Overdue","On Track"))</f>
        <v/>
      </c>
      <c r="S364" s="65">
        <f>IF($L364="","",TEXT($L364,"yyyy-mm"))</f>
        <v/>
      </c>
      <c r="T364" s="86">
        <f>IF($I364="","",IFERROR(INDEX(Action_Status_Map!$C$5:$C$11,MATCH($I364,Action_Status_Map!$A$5:$A$11,0)),""))</f>
        <v/>
      </c>
      <c r="U364" s="81" t="n"/>
      <c r="V364" s="82" t="n"/>
      <c r="W364" s="65">
        <f>IF(OR($I364&lt;&gt;"Completed",$M364="",$L364=""),"",IF($M364&lt;=$L364,"Yes","No"))</f>
        <v/>
      </c>
      <c r="X364" s="84">
        <f>IF($A364="","",COUNTIF(Task_Steps!$B$5:$B$2004,$A364))</f>
        <v/>
      </c>
      <c r="Y364" s="86">
        <f>IF($X364=0,"",COUNTIFS(Task_Steps!$B$5:$B$2004,$A364,Task_Steps!$H$5:$H$2004,"Completed")/$X364)</f>
        <v/>
      </c>
      <c r="Z364" s="81" t="n"/>
      <c r="AA364" s="81" t="n"/>
      <c r="AB364" s="67">
        <f>IF($F364="","",IFERROR(INDEX(Employee_Master!$E$5:$E$204,MATCH($F364,Employee_Master!$B$5:$B$204,0)),""))</f>
        <v/>
      </c>
      <c r="AC364" s="65">
        <f>IF(OR($A364="",$AB364=""),"",IF(OR($I364="Completed",$I364="Cancelled"),"Closed - in Manager Report","Active - in Manager Report"))</f>
        <v/>
      </c>
      <c r="AD364" s="81">
        <f>IF($A364="","",IFERROR(TEXTJOIN(", ",TRUE,FILTER(Task_Steps!$A$5:$A$2004,Task_Steps!$B$5:$B$2004=$A364)),""))</f>
        <v/>
      </c>
      <c r="AE364" s="84">
        <f>IF($A364="","",COUNTIFS(Task_Steps!$B$5:$B$2004,$A364,Task_Steps!$H$5:$H$2004,"&lt;&gt;Completed",Task_Steps!$H$5:$H$2004,"&lt;&gt;Cancelled"))</f>
        <v/>
      </c>
      <c r="AF364" s="81">
        <f>IF(OR($B364="",$A364=""),"",$B364&amp;" | "&amp;$A364)</f>
        <v/>
      </c>
    </row>
    <row r="365" ht="15" customHeight="1" s="40">
      <c r="A365" s="65">
        <f>IF(COUNTA(B365:F365)=0,"","TSK-"&amp;TEXT(ROW()-4,"0000"))</f>
        <v/>
      </c>
      <c r="B365" s="78" t="n"/>
      <c r="C365" s="78" t="n"/>
      <c r="D365" s="81" t="n"/>
      <c r="E365" s="81" t="n"/>
      <c r="F365" s="78" t="n"/>
      <c r="G365" s="67">
        <f>IF($F365="","",IFERROR(INDEX(Employee_Master!$C$5:$C$204,MATCH($F365,Employee_Master!$B$5:$B$204,0)),""))</f>
        <v/>
      </c>
      <c r="H365" s="78" t="n"/>
      <c r="I365" s="78" t="n"/>
      <c r="J365" s="67">
        <f>IF($I365="","",IFERROR(INDEX(Action_Status_Map!$B$5:$B$11,MATCH($I365,Action_Status_Map!$A$5:$A$11,0)),""))</f>
        <v/>
      </c>
      <c r="K365" s="82" t="n"/>
      <c r="L365" s="82" t="n"/>
      <c r="M365" s="82" t="n"/>
      <c r="N365" s="83" t="n"/>
      <c r="O365" s="83" t="n"/>
      <c r="P365" s="66">
        <f>IF(OR($N365="",$O365=""),"",$O365-$N365)</f>
        <v/>
      </c>
      <c r="Q365" s="84">
        <f>IF($K365="","",IF($M365&lt;&gt;"",$M365-$K365,TODAY()-$K365))</f>
        <v/>
      </c>
      <c r="R365" s="85">
        <f>IF(OR($L365="",$I365="Completed",$I365="Cancelled"),"",IF(AND($L365&lt;TODAY(),$I365&lt;&gt;"Completed",$I365&lt;&gt;"Cancelled"),"Overdue","On Track"))</f>
        <v/>
      </c>
      <c r="S365" s="65">
        <f>IF($L365="","",TEXT($L365,"yyyy-mm"))</f>
        <v/>
      </c>
      <c r="T365" s="86">
        <f>IF($I365="","",IFERROR(INDEX(Action_Status_Map!$C$5:$C$11,MATCH($I365,Action_Status_Map!$A$5:$A$11,0)),""))</f>
        <v/>
      </c>
      <c r="U365" s="81" t="n"/>
      <c r="V365" s="82" t="n"/>
      <c r="W365" s="65">
        <f>IF(OR($I365&lt;&gt;"Completed",$M365="",$L365=""),"",IF($M365&lt;=$L365,"Yes","No"))</f>
        <v/>
      </c>
      <c r="X365" s="84">
        <f>IF($A365="","",COUNTIF(Task_Steps!$B$5:$B$2004,$A365))</f>
        <v/>
      </c>
      <c r="Y365" s="86">
        <f>IF($X365=0,"",COUNTIFS(Task_Steps!$B$5:$B$2004,$A365,Task_Steps!$H$5:$H$2004,"Completed")/$X365)</f>
        <v/>
      </c>
      <c r="Z365" s="81" t="n"/>
      <c r="AA365" s="81" t="n"/>
      <c r="AB365" s="67">
        <f>IF($F365="","",IFERROR(INDEX(Employee_Master!$E$5:$E$204,MATCH($F365,Employee_Master!$B$5:$B$204,0)),""))</f>
        <v/>
      </c>
      <c r="AC365" s="65">
        <f>IF(OR($A365="",$AB365=""),"",IF(OR($I365="Completed",$I365="Cancelled"),"Closed - in Manager Report","Active - in Manager Report"))</f>
        <v/>
      </c>
      <c r="AD365" s="81">
        <f>IF($A365="","",IFERROR(TEXTJOIN(", ",TRUE,FILTER(Task_Steps!$A$5:$A$2004,Task_Steps!$B$5:$B$2004=$A365)),""))</f>
        <v/>
      </c>
      <c r="AE365" s="84">
        <f>IF($A365="","",COUNTIFS(Task_Steps!$B$5:$B$2004,$A365,Task_Steps!$H$5:$H$2004,"&lt;&gt;Completed",Task_Steps!$H$5:$H$2004,"&lt;&gt;Cancelled"))</f>
        <v/>
      </c>
      <c r="AF365" s="81">
        <f>IF(OR($B365="",$A365=""),"",$B365&amp;" | "&amp;$A365)</f>
        <v/>
      </c>
    </row>
    <row r="366" ht="15" customHeight="1" s="40">
      <c r="A366" s="65">
        <f>IF(COUNTA(B366:F366)=0,"","TSK-"&amp;TEXT(ROW()-4,"0000"))</f>
        <v/>
      </c>
      <c r="B366" s="78" t="n"/>
      <c r="C366" s="78" t="n"/>
      <c r="D366" s="81" t="n"/>
      <c r="E366" s="81" t="n"/>
      <c r="F366" s="78" t="n"/>
      <c r="G366" s="67">
        <f>IF($F366="","",IFERROR(INDEX(Employee_Master!$C$5:$C$204,MATCH($F366,Employee_Master!$B$5:$B$204,0)),""))</f>
        <v/>
      </c>
      <c r="H366" s="78" t="n"/>
      <c r="I366" s="78" t="n"/>
      <c r="J366" s="67">
        <f>IF($I366="","",IFERROR(INDEX(Action_Status_Map!$B$5:$B$11,MATCH($I366,Action_Status_Map!$A$5:$A$11,0)),""))</f>
        <v/>
      </c>
      <c r="K366" s="82" t="n"/>
      <c r="L366" s="82" t="n"/>
      <c r="M366" s="82" t="n"/>
      <c r="N366" s="83" t="n"/>
      <c r="O366" s="83" t="n"/>
      <c r="P366" s="66">
        <f>IF(OR($N366="",$O366=""),"",$O366-$N366)</f>
        <v/>
      </c>
      <c r="Q366" s="84">
        <f>IF($K366="","",IF($M366&lt;&gt;"",$M366-$K366,TODAY()-$K366))</f>
        <v/>
      </c>
      <c r="R366" s="85">
        <f>IF(OR($L366="",$I366="Completed",$I366="Cancelled"),"",IF(AND($L366&lt;TODAY(),$I366&lt;&gt;"Completed",$I366&lt;&gt;"Cancelled"),"Overdue","On Track"))</f>
        <v/>
      </c>
      <c r="S366" s="65">
        <f>IF($L366="","",TEXT($L366,"yyyy-mm"))</f>
        <v/>
      </c>
      <c r="T366" s="86">
        <f>IF($I366="","",IFERROR(INDEX(Action_Status_Map!$C$5:$C$11,MATCH($I366,Action_Status_Map!$A$5:$A$11,0)),""))</f>
        <v/>
      </c>
      <c r="U366" s="81" t="n"/>
      <c r="V366" s="82" t="n"/>
      <c r="W366" s="65">
        <f>IF(OR($I366&lt;&gt;"Completed",$M366="",$L366=""),"",IF($M366&lt;=$L366,"Yes","No"))</f>
        <v/>
      </c>
      <c r="X366" s="84">
        <f>IF($A366="","",COUNTIF(Task_Steps!$B$5:$B$2004,$A366))</f>
        <v/>
      </c>
      <c r="Y366" s="86">
        <f>IF($X366=0,"",COUNTIFS(Task_Steps!$B$5:$B$2004,$A366,Task_Steps!$H$5:$H$2004,"Completed")/$X366)</f>
        <v/>
      </c>
      <c r="Z366" s="81" t="n"/>
      <c r="AA366" s="81" t="n"/>
      <c r="AB366" s="67">
        <f>IF($F366="","",IFERROR(INDEX(Employee_Master!$E$5:$E$204,MATCH($F366,Employee_Master!$B$5:$B$204,0)),""))</f>
        <v/>
      </c>
      <c r="AC366" s="65">
        <f>IF(OR($A366="",$AB366=""),"",IF(OR($I366="Completed",$I366="Cancelled"),"Closed - in Manager Report","Active - in Manager Report"))</f>
        <v/>
      </c>
      <c r="AD366" s="81">
        <f>IF($A366="","",IFERROR(TEXTJOIN(", ",TRUE,FILTER(Task_Steps!$A$5:$A$2004,Task_Steps!$B$5:$B$2004=$A366)),""))</f>
        <v/>
      </c>
      <c r="AE366" s="84">
        <f>IF($A366="","",COUNTIFS(Task_Steps!$B$5:$B$2004,$A366,Task_Steps!$H$5:$H$2004,"&lt;&gt;Completed",Task_Steps!$H$5:$H$2004,"&lt;&gt;Cancelled"))</f>
        <v/>
      </c>
      <c r="AF366" s="81">
        <f>IF(OR($B366="",$A366=""),"",$B366&amp;" | "&amp;$A366)</f>
        <v/>
      </c>
    </row>
    <row r="367" ht="15" customHeight="1" s="40">
      <c r="A367" s="65">
        <f>IF(COUNTA(B367:F367)=0,"","TSK-"&amp;TEXT(ROW()-4,"0000"))</f>
        <v/>
      </c>
      <c r="B367" s="78" t="n"/>
      <c r="C367" s="78" t="n"/>
      <c r="D367" s="81" t="n"/>
      <c r="E367" s="81" t="n"/>
      <c r="F367" s="78" t="n"/>
      <c r="G367" s="67">
        <f>IF($F367="","",IFERROR(INDEX(Employee_Master!$C$5:$C$204,MATCH($F367,Employee_Master!$B$5:$B$204,0)),""))</f>
        <v/>
      </c>
      <c r="H367" s="78" t="n"/>
      <c r="I367" s="78" t="n"/>
      <c r="J367" s="67">
        <f>IF($I367="","",IFERROR(INDEX(Action_Status_Map!$B$5:$B$11,MATCH($I367,Action_Status_Map!$A$5:$A$11,0)),""))</f>
        <v/>
      </c>
      <c r="K367" s="82" t="n"/>
      <c r="L367" s="82" t="n"/>
      <c r="M367" s="82" t="n"/>
      <c r="N367" s="83" t="n"/>
      <c r="O367" s="83" t="n"/>
      <c r="P367" s="66">
        <f>IF(OR($N367="",$O367=""),"",$O367-$N367)</f>
        <v/>
      </c>
      <c r="Q367" s="84">
        <f>IF($K367="","",IF($M367&lt;&gt;"",$M367-$K367,TODAY()-$K367))</f>
        <v/>
      </c>
      <c r="R367" s="85">
        <f>IF(OR($L367="",$I367="Completed",$I367="Cancelled"),"",IF(AND($L367&lt;TODAY(),$I367&lt;&gt;"Completed",$I367&lt;&gt;"Cancelled"),"Overdue","On Track"))</f>
        <v/>
      </c>
      <c r="S367" s="65">
        <f>IF($L367="","",TEXT($L367,"yyyy-mm"))</f>
        <v/>
      </c>
      <c r="T367" s="86">
        <f>IF($I367="","",IFERROR(INDEX(Action_Status_Map!$C$5:$C$11,MATCH($I367,Action_Status_Map!$A$5:$A$11,0)),""))</f>
        <v/>
      </c>
      <c r="U367" s="81" t="n"/>
      <c r="V367" s="82" t="n"/>
      <c r="W367" s="65">
        <f>IF(OR($I367&lt;&gt;"Completed",$M367="",$L367=""),"",IF($M367&lt;=$L367,"Yes","No"))</f>
        <v/>
      </c>
      <c r="X367" s="84">
        <f>IF($A367="","",COUNTIF(Task_Steps!$B$5:$B$2004,$A367))</f>
        <v/>
      </c>
      <c r="Y367" s="86">
        <f>IF($X367=0,"",COUNTIFS(Task_Steps!$B$5:$B$2004,$A367,Task_Steps!$H$5:$H$2004,"Completed")/$X367)</f>
        <v/>
      </c>
      <c r="Z367" s="81" t="n"/>
      <c r="AA367" s="81" t="n"/>
      <c r="AB367" s="67">
        <f>IF($F367="","",IFERROR(INDEX(Employee_Master!$E$5:$E$204,MATCH($F367,Employee_Master!$B$5:$B$204,0)),""))</f>
        <v/>
      </c>
      <c r="AC367" s="65">
        <f>IF(OR($A367="",$AB367=""),"",IF(OR($I367="Completed",$I367="Cancelled"),"Closed - in Manager Report","Active - in Manager Report"))</f>
        <v/>
      </c>
      <c r="AD367" s="81">
        <f>IF($A367="","",IFERROR(TEXTJOIN(", ",TRUE,FILTER(Task_Steps!$A$5:$A$2004,Task_Steps!$B$5:$B$2004=$A367)),""))</f>
        <v/>
      </c>
      <c r="AE367" s="84">
        <f>IF($A367="","",COUNTIFS(Task_Steps!$B$5:$B$2004,$A367,Task_Steps!$H$5:$H$2004,"&lt;&gt;Completed",Task_Steps!$H$5:$H$2004,"&lt;&gt;Cancelled"))</f>
        <v/>
      </c>
      <c r="AF367" s="81">
        <f>IF(OR($B367="",$A367=""),"",$B367&amp;" | "&amp;$A367)</f>
        <v/>
      </c>
    </row>
    <row r="368" ht="15" customHeight="1" s="40">
      <c r="A368" s="65">
        <f>IF(COUNTA(B368:F368)=0,"","TSK-"&amp;TEXT(ROW()-4,"0000"))</f>
        <v/>
      </c>
      <c r="B368" s="78" t="n"/>
      <c r="C368" s="78" t="n"/>
      <c r="D368" s="81" t="n"/>
      <c r="E368" s="81" t="n"/>
      <c r="F368" s="78" t="n"/>
      <c r="G368" s="67">
        <f>IF($F368="","",IFERROR(INDEX(Employee_Master!$C$5:$C$204,MATCH($F368,Employee_Master!$B$5:$B$204,0)),""))</f>
        <v/>
      </c>
      <c r="H368" s="78" t="n"/>
      <c r="I368" s="78" t="n"/>
      <c r="J368" s="67">
        <f>IF($I368="","",IFERROR(INDEX(Action_Status_Map!$B$5:$B$11,MATCH($I368,Action_Status_Map!$A$5:$A$11,0)),""))</f>
        <v/>
      </c>
      <c r="K368" s="82" t="n"/>
      <c r="L368" s="82" t="n"/>
      <c r="M368" s="82" t="n"/>
      <c r="N368" s="83" t="n"/>
      <c r="O368" s="83" t="n"/>
      <c r="P368" s="66">
        <f>IF(OR($N368="",$O368=""),"",$O368-$N368)</f>
        <v/>
      </c>
      <c r="Q368" s="84">
        <f>IF($K368="","",IF($M368&lt;&gt;"",$M368-$K368,TODAY()-$K368))</f>
        <v/>
      </c>
      <c r="R368" s="85">
        <f>IF(OR($L368="",$I368="Completed",$I368="Cancelled"),"",IF(AND($L368&lt;TODAY(),$I368&lt;&gt;"Completed",$I368&lt;&gt;"Cancelled"),"Overdue","On Track"))</f>
        <v/>
      </c>
      <c r="S368" s="65">
        <f>IF($L368="","",TEXT($L368,"yyyy-mm"))</f>
        <v/>
      </c>
      <c r="T368" s="86">
        <f>IF($I368="","",IFERROR(INDEX(Action_Status_Map!$C$5:$C$11,MATCH($I368,Action_Status_Map!$A$5:$A$11,0)),""))</f>
        <v/>
      </c>
      <c r="U368" s="81" t="n"/>
      <c r="V368" s="82" t="n"/>
      <c r="W368" s="65">
        <f>IF(OR($I368&lt;&gt;"Completed",$M368="",$L368=""),"",IF($M368&lt;=$L368,"Yes","No"))</f>
        <v/>
      </c>
      <c r="X368" s="84">
        <f>IF($A368="","",COUNTIF(Task_Steps!$B$5:$B$2004,$A368))</f>
        <v/>
      </c>
      <c r="Y368" s="86">
        <f>IF($X368=0,"",COUNTIFS(Task_Steps!$B$5:$B$2004,$A368,Task_Steps!$H$5:$H$2004,"Completed")/$X368)</f>
        <v/>
      </c>
      <c r="Z368" s="81" t="n"/>
      <c r="AA368" s="81" t="n"/>
      <c r="AB368" s="67">
        <f>IF($F368="","",IFERROR(INDEX(Employee_Master!$E$5:$E$204,MATCH($F368,Employee_Master!$B$5:$B$204,0)),""))</f>
        <v/>
      </c>
      <c r="AC368" s="65">
        <f>IF(OR($A368="",$AB368=""),"",IF(OR($I368="Completed",$I368="Cancelled"),"Closed - in Manager Report","Active - in Manager Report"))</f>
        <v/>
      </c>
      <c r="AD368" s="81">
        <f>IF($A368="","",IFERROR(TEXTJOIN(", ",TRUE,FILTER(Task_Steps!$A$5:$A$2004,Task_Steps!$B$5:$B$2004=$A368)),""))</f>
        <v/>
      </c>
      <c r="AE368" s="84">
        <f>IF($A368="","",COUNTIFS(Task_Steps!$B$5:$B$2004,$A368,Task_Steps!$H$5:$H$2004,"&lt;&gt;Completed",Task_Steps!$H$5:$H$2004,"&lt;&gt;Cancelled"))</f>
        <v/>
      </c>
      <c r="AF368" s="81">
        <f>IF(OR($B368="",$A368=""),"",$B368&amp;" | "&amp;$A368)</f>
        <v/>
      </c>
    </row>
    <row r="369" ht="15" customHeight="1" s="40">
      <c r="A369" s="65">
        <f>IF(COUNTA(B369:F369)=0,"","TSK-"&amp;TEXT(ROW()-4,"0000"))</f>
        <v/>
      </c>
      <c r="B369" s="78" t="n"/>
      <c r="C369" s="78" t="n"/>
      <c r="D369" s="81" t="n"/>
      <c r="E369" s="81" t="n"/>
      <c r="F369" s="78" t="n"/>
      <c r="G369" s="67">
        <f>IF($F369="","",IFERROR(INDEX(Employee_Master!$C$5:$C$204,MATCH($F369,Employee_Master!$B$5:$B$204,0)),""))</f>
        <v/>
      </c>
      <c r="H369" s="78" t="n"/>
      <c r="I369" s="78" t="n"/>
      <c r="J369" s="67">
        <f>IF($I369="","",IFERROR(INDEX(Action_Status_Map!$B$5:$B$11,MATCH($I369,Action_Status_Map!$A$5:$A$11,0)),""))</f>
        <v/>
      </c>
      <c r="K369" s="82" t="n"/>
      <c r="L369" s="82" t="n"/>
      <c r="M369" s="82" t="n"/>
      <c r="N369" s="83" t="n"/>
      <c r="O369" s="83" t="n"/>
      <c r="P369" s="66">
        <f>IF(OR($N369="",$O369=""),"",$O369-$N369)</f>
        <v/>
      </c>
      <c r="Q369" s="84">
        <f>IF($K369="","",IF($M369&lt;&gt;"",$M369-$K369,TODAY()-$K369))</f>
        <v/>
      </c>
      <c r="R369" s="85">
        <f>IF(OR($L369="",$I369="Completed",$I369="Cancelled"),"",IF(AND($L369&lt;TODAY(),$I369&lt;&gt;"Completed",$I369&lt;&gt;"Cancelled"),"Overdue","On Track"))</f>
        <v/>
      </c>
      <c r="S369" s="65">
        <f>IF($L369="","",TEXT($L369,"yyyy-mm"))</f>
        <v/>
      </c>
      <c r="T369" s="86">
        <f>IF($I369="","",IFERROR(INDEX(Action_Status_Map!$C$5:$C$11,MATCH($I369,Action_Status_Map!$A$5:$A$11,0)),""))</f>
        <v/>
      </c>
      <c r="U369" s="81" t="n"/>
      <c r="V369" s="82" t="n"/>
      <c r="W369" s="65">
        <f>IF(OR($I369&lt;&gt;"Completed",$M369="",$L369=""),"",IF($M369&lt;=$L369,"Yes","No"))</f>
        <v/>
      </c>
      <c r="X369" s="84">
        <f>IF($A369="","",COUNTIF(Task_Steps!$B$5:$B$2004,$A369))</f>
        <v/>
      </c>
      <c r="Y369" s="86">
        <f>IF($X369=0,"",COUNTIFS(Task_Steps!$B$5:$B$2004,$A369,Task_Steps!$H$5:$H$2004,"Completed")/$X369)</f>
        <v/>
      </c>
      <c r="Z369" s="81" t="n"/>
      <c r="AA369" s="81" t="n"/>
      <c r="AB369" s="67">
        <f>IF($F369="","",IFERROR(INDEX(Employee_Master!$E$5:$E$204,MATCH($F369,Employee_Master!$B$5:$B$204,0)),""))</f>
        <v/>
      </c>
      <c r="AC369" s="65">
        <f>IF(OR($A369="",$AB369=""),"",IF(OR($I369="Completed",$I369="Cancelled"),"Closed - in Manager Report","Active - in Manager Report"))</f>
        <v/>
      </c>
      <c r="AD369" s="81">
        <f>IF($A369="","",IFERROR(TEXTJOIN(", ",TRUE,FILTER(Task_Steps!$A$5:$A$2004,Task_Steps!$B$5:$B$2004=$A369)),""))</f>
        <v/>
      </c>
      <c r="AE369" s="84">
        <f>IF($A369="","",COUNTIFS(Task_Steps!$B$5:$B$2004,$A369,Task_Steps!$H$5:$H$2004,"&lt;&gt;Completed",Task_Steps!$H$5:$H$2004,"&lt;&gt;Cancelled"))</f>
        <v/>
      </c>
      <c r="AF369" s="81">
        <f>IF(OR($B369="",$A369=""),"",$B369&amp;" | "&amp;$A369)</f>
        <v/>
      </c>
    </row>
    <row r="370" ht="15" customHeight="1" s="40">
      <c r="A370" s="65">
        <f>IF(COUNTA(B370:F370)=0,"","TSK-"&amp;TEXT(ROW()-4,"0000"))</f>
        <v/>
      </c>
      <c r="B370" s="78" t="n"/>
      <c r="C370" s="78" t="n"/>
      <c r="D370" s="81" t="n"/>
      <c r="E370" s="81" t="n"/>
      <c r="F370" s="78" t="n"/>
      <c r="G370" s="67">
        <f>IF($F370="","",IFERROR(INDEX(Employee_Master!$C$5:$C$204,MATCH($F370,Employee_Master!$B$5:$B$204,0)),""))</f>
        <v/>
      </c>
      <c r="H370" s="78" t="n"/>
      <c r="I370" s="78" t="n"/>
      <c r="J370" s="67">
        <f>IF($I370="","",IFERROR(INDEX(Action_Status_Map!$B$5:$B$11,MATCH($I370,Action_Status_Map!$A$5:$A$11,0)),""))</f>
        <v/>
      </c>
      <c r="K370" s="82" t="n"/>
      <c r="L370" s="82" t="n"/>
      <c r="M370" s="82" t="n"/>
      <c r="N370" s="83" t="n"/>
      <c r="O370" s="83" t="n"/>
      <c r="P370" s="66">
        <f>IF(OR($N370="",$O370=""),"",$O370-$N370)</f>
        <v/>
      </c>
      <c r="Q370" s="84">
        <f>IF($K370="","",IF($M370&lt;&gt;"",$M370-$K370,TODAY()-$K370))</f>
        <v/>
      </c>
      <c r="R370" s="85">
        <f>IF(OR($L370="",$I370="Completed",$I370="Cancelled"),"",IF(AND($L370&lt;TODAY(),$I370&lt;&gt;"Completed",$I370&lt;&gt;"Cancelled"),"Overdue","On Track"))</f>
        <v/>
      </c>
      <c r="S370" s="65">
        <f>IF($L370="","",TEXT($L370,"yyyy-mm"))</f>
        <v/>
      </c>
      <c r="T370" s="86">
        <f>IF($I370="","",IFERROR(INDEX(Action_Status_Map!$C$5:$C$11,MATCH($I370,Action_Status_Map!$A$5:$A$11,0)),""))</f>
        <v/>
      </c>
      <c r="U370" s="81" t="n"/>
      <c r="V370" s="82" t="n"/>
      <c r="W370" s="65">
        <f>IF(OR($I370&lt;&gt;"Completed",$M370="",$L370=""),"",IF($M370&lt;=$L370,"Yes","No"))</f>
        <v/>
      </c>
      <c r="X370" s="84">
        <f>IF($A370="","",COUNTIF(Task_Steps!$B$5:$B$2004,$A370))</f>
        <v/>
      </c>
      <c r="Y370" s="86">
        <f>IF($X370=0,"",COUNTIFS(Task_Steps!$B$5:$B$2004,$A370,Task_Steps!$H$5:$H$2004,"Completed")/$X370)</f>
        <v/>
      </c>
      <c r="Z370" s="81" t="n"/>
      <c r="AA370" s="81" t="n"/>
      <c r="AB370" s="67">
        <f>IF($F370="","",IFERROR(INDEX(Employee_Master!$E$5:$E$204,MATCH($F370,Employee_Master!$B$5:$B$204,0)),""))</f>
        <v/>
      </c>
      <c r="AC370" s="65">
        <f>IF(OR($A370="",$AB370=""),"",IF(OR($I370="Completed",$I370="Cancelled"),"Closed - in Manager Report","Active - in Manager Report"))</f>
        <v/>
      </c>
      <c r="AD370" s="81">
        <f>IF($A370="","",IFERROR(TEXTJOIN(", ",TRUE,FILTER(Task_Steps!$A$5:$A$2004,Task_Steps!$B$5:$B$2004=$A370)),""))</f>
        <v/>
      </c>
      <c r="AE370" s="84">
        <f>IF($A370="","",COUNTIFS(Task_Steps!$B$5:$B$2004,$A370,Task_Steps!$H$5:$H$2004,"&lt;&gt;Completed",Task_Steps!$H$5:$H$2004,"&lt;&gt;Cancelled"))</f>
        <v/>
      </c>
      <c r="AF370" s="81">
        <f>IF(OR($B370="",$A370=""),"",$B370&amp;" | "&amp;$A370)</f>
        <v/>
      </c>
    </row>
    <row r="371" ht="15" customHeight="1" s="40">
      <c r="A371" s="65">
        <f>IF(COUNTA(B371:F371)=0,"","TSK-"&amp;TEXT(ROW()-4,"0000"))</f>
        <v/>
      </c>
      <c r="B371" s="78" t="n"/>
      <c r="C371" s="78" t="n"/>
      <c r="D371" s="81" t="n"/>
      <c r="E371" s="81" t="n"/>
      <c r="F371" s="78" t="n"/>
      <c r="G371" s="67">
        <f>IF($F371="","",IFERROR(INDEX(Employee_Master!$C$5:$C$204,MATCH($F371,Employee_Master!$B$5:$B$204,0)),""))</f>
        <v/>
      </c>
      <c r="H371" s="78" t="n"/>
      <c r="I371" s="78" t="n"/>
      <c r="J371" s="67">
        <f>IF($I371="","",IFERROR(INDEX(Action_Status_Map!$B$5:$B$11,MATCH($I371,Action_Status_Map!$A$5:$A$11,0)),""))</f>
        <v/>
      </c>
      <c r="K371" s="82" t="n"/>
      <c r="L371" s="82" t="n"/>
      <c r="M371" s="82" t="n"/>
      <c r="N371" s="83" t="n"/>
      <c r="O371" s="83" t="n"/>
      <c r="P371" s="66">
        <f>IF(OR($N371="",$O371=""),"",$O371-$N371)</f>
        <v/>
      </c>
      <c r="Q371" s="84">
        <f>IF($K371="","",IF($M371&lt;&gt;"",$M371-$K371,TODAY()-$K371))</f>
        <v/>
      </c>
      <c r="R371" s="85">
        <f>IF(OR($L371="",$I371="Completed",$I371="Cancelled"),"",IF(AND($L371&lt;TODAY(),$I371&lt;&gt;"Completed",$I371&lt;&gt;"Cancelled"),"Overdue","On Track"))</f>
        <v/>
      </c>
      <c r="S371" s="65">
        <f>IF($L371="","",TEXT($L371,"yyyy-mm"))</f>
        <v/>
      </c>
      <c r="T371" s="86">
        <f>IF($I371="","",IFERROR(INDEX(Action_Status_Map!$C$5:$C$11,MATCH($I371,Action_Status_Map!$A$5:$A$11,0)),""))</f>
        <v/>
      </c>
      <c r="U371" s="81" t="n"/>
      <c r="V371" s="82" t="n"/>
      <c r="W371" s="65">
        <f>IF(OR($I371&lt;&gt;"Completed",$M371="",$L371=""),"",IF($M371&lt;=$L371,"Yes","No"))</f>
        <v/>
      </c>
      <c r="X371" s="84">
        <f>IF($A371="","",COUNTIF(Task_Steps!$B$5:$B$2004,$A371))</f>
        <v/>
      </c>
      <c r="Y371" s="86">
        <f>IF($X371=0,"",COUNTIFS(Task_Steps!$B$5:$B$2004,$A371,Task_Steps!$H$5:$H$2004,"Completed")/$X371)</f>
        <v/>
      </c>
      <c r="Z371" s="81" t="n"/>
      <c r="AA371" s="81" t="n"/>
      <c r="AB371" s="67">
        <f>IF($F371="","",IFERROR(INDEX(Employee_Master!$E$5:$E$204,MATCH($F371,Employee_Master!$B$5:$B$204,0)),""))</f>
        <v/>
      </c>
      <c r="AC371" s="65">
        <f>IF(OR($A371="",$AB371=""),"",IF(OR($I371="Completed",$I371="Cancelled"),"Closed - in Manager Report","Active - in Manager Report"))</f>
        <v/>
      </c>
      <c r="AD371" s="81">
        <f>IF($A371="","",IFERROR(TEXTJOIN(", ",TRUE,FILTER(Task_Steps!$A$5:$A$2004,Task_Steps!$B$5:$B$2004=$A371)),""))</f>
        <v/>
      </c>
      <c r="AE371" s="84">
        <f>IF($A371="","",COUNTIFS(Task_Steps!$B$5:$B$2004,$A371,Task_Steps!$H$5:$H$2004,"&lt;&gt;Completed",Task_Steps!$H$5:$H$2004,"&lt;&gt;Cancelled"))</f>
        <v/>
      </c>
      <c r="AF371" s="81">
        <f>IF(OR($B371="",$A371=""),"",$B371&amp;" | "&amp;$A371)</f>
        <v/>
      </c>
    </row>
    <row r="372" ht="15" customHeight="1" s="40">
      <c r="A372" s="65">
        <f>IF(COUNTA(B372:F372)=0,"","TSK-"&amp;TEXT(ROW()-4,"0000"))</f>
        <v/>
      </c>
      <c r="B372" s="78" t="n"/>
      <c r="C372" s="78" t="n"/>
      <c r="D372" s="81" t="n"/>
      <c r="E372" s="81" t="n"/>
      <c r="F372" s="78" t="n"/>
      <c r="G372" s="67">
        <f>IF($F372="","",IFERROR(INDEX(Employee_Master!$C$5:$C$204,MATCH($F372,Employee_Master!$B$5:$B$204,0)),""))</f>
        <v/>
      </c>
      <c r="H372" s="78" t="n"/>
      <c r="I372" s="78" t="n"/>
      <c r="J372" s="67">
        <f>IF($I372="","",IFERROR(INDEX(Action_Status_Map!$B$5:$B$11,MATCH($I372,Action_Status_Map!$A$5:$A$11,0)),""))</f>
        <v/>
      </c>
      <c r="K372" s="82" t="n"/>
      <c r="L372" s="82" t="n"/>
      <c r="M372" s="82" t="n"/>
      <c r="N372" s="83" t="n"/>
      <c r="O372" s="83" t="n"/>
      <c r="P372" s="66">
        <f>IF(OR($N372="",$O372=""),"",$O372-$N372)</f>
        <v/>
      </c>
      <c r="Q372" s="84">
        <f>IF($K372="","",IF($M372&lt;&gt;"",$M372-$K372,TODAY()-$K372))</f>
        <v/>
      </c>
      <c r="R372" s="85">
        <f>IF(OR($L372="",$I372="Completed",$I372="Cancelled"),"",IF(AND($L372&lt;TODAY(),$I372&lt;&gt;"Completed",$I372&lt;&gt;"Cancelled"),"Overdue","On Track"))</f>
        <v/>
      </c>
      <c r="S372" s="65">
        <f>IF($L372="","",TEXT($L372,"yyyy-mm"))</f>
        <v/>
      </c>
      <c r="T372" s="86">
        <f>IF($I372="","",IFERROR(INDEX(Action_Status_Map!$C$5:$C$11,MATCH($I372,Action_Status_Map!$A$5:$A$11,0)),""))</f>
        <v/>
      </c>
      <c r="U372" s="81" t="n"/>
      <c r="V372" s="82" t="n"/>
      <c r="W372" s="65">
        <f>IF(OR($I372&lt;&gt;"Completed",$M372="",$L372=""),"",IF($M372&lt;=$L372,"Yes","No"))</f>
        <v/>
      </c>
      <c r="X372" s="84">
        <f>IF($A372="","",COUNTIF(Task_Steps!$B$5:$B$2004,$A372))</f>
        <v/>
      </c>
      <c r="Y372" s="86">
        <f>IF($X372=0,"",COUNTIFS(Task_Steps!$B$5:$B$2004,$A372,Task_Steps!$H$5:$H$2004,"Completed")/$X372)</f>
        <v/>
      </c>
      <c r="Z372" s="81" t="n"/>
      <c r="AA372" s="81" t="n"/>
      <c r="AB372" s="67">
        <f>IF($F372="","",IFERROR(INDEX(Employee_Master!$E$5:$E$204,MATCH($F372,Employee_Master!$B$5:$B$204,0)),""))</f>
        <v/>
      </c>
      <c r="AC372" s="65">
        <f>IF(OR($A372="",$AB372=""),"",IF(OR($I372="Completed",$I372="Cancelled"),"Closed - in Manager Report","Active - in Manager Report"))</f>
        <v/>
      </c>
      <c r="AD372" s="81">
        <f>IF($A372="","",IFERROR(TEXTJOIN(", ",TRUE,FILTER(Task_Steps!$A$5:$A$2004,Task_Steps!$B$5:$B$2004=$A372)),""))</f>
        <v/>
      </c>
      <c r="AE372" s="84">
        <f>IF($A372="","",COUNTIFS(Task_Steps!$B$5:$B$2004,$A372,Task_Steps!$H$5:$H$2004,"&lt;&gt;Completed",Task_Steps!$H$5:$H$2004,"&lt;&gt;Cancelled"))</f>
        <v/>
      </c>
      <c r="AF372" s="81">
        <f>IF(OR($B372="",$A372=""),"",$B372&amp;" | "&amp;$A372)</f>
        <v/>
      </c>
    </row>
    <row r="373" ht="15" customHeight="1" s="40">
      <c r="A373" s="65">
        <f>IF(COUNTA(B373:F373)=0,"","TSK-"&amp;TEXT(ROW()-4,"0000"))</f>
        <v/>
      </c>
      <c r="B373" s="78" t="n"/>
      <c r="C373" s="78" t="n"/>
      <c r="D373" s="81" t="n"/>
      <c r="E373" s="81" t="n"/>
      <c r="F373" s="78" t="n"/>
      <c r="G373" s="67">
        <f>IF($F373="","",IFERROR(INDEX(Employee_Master!$C$5:$C$204,MATCH($F373,Employee_Master!$B$5:$B$204,0)),""))</f>
        <v/>
      </c>
      <c r="H373" s="78" t="n"/>
      <c r="I373" s="78" t="n"/>
      <c r="J373" s="67">
        <f>IF($I373="","",IFERROR(INDEX(Action_Status_Map!$B$5:$B$11,MATCH($I373,Action_Status_Map!$A$5:$A$11,0)),""))</f>
        <v/>
      </c>
      <c r="K373" s="82" t="n"/>
      <c r="L373" s="82" t="n"/>
      <c r="M373" s="82" t="n"/>
      <c r="N373" s="83" t="n"/>
      <c r="O373" s="83" t="n"/>
      <c r="P373" s="66">
        <f>IF(OR($N373="",$O373=""),"",$O373-$N373)</f>
        <v/>
      </c>
      <c r="Q373" s="84">
        <f>IF($K373="","",IF($M373&lt;&gt;"",$M373-$K373,TODAY()-$K373))</f>
        <v/>
      </c>
      <c r="R373" s="85">
        <f>IF(OR($L373="",$I373="Completed",$I373="Cancelled"),"",IF(AND($L373&lt;TODAY(),$I373&lt;&gt;"Completed",$I373&lt;&gt;"Cancelled"),"Overdue","On Track"))</f>
        <v/>
      </c>
      <c r="S373" s="65">
        <f>IF($L373="","",TEXT($L373,"yyyy-mm"))</f>
        <v/>
      </c>
      <c r="T373" s="86">
        <f>IF($I373="","",IFERROR(INDEX(Action_Status_Map!$C$5:$C$11,MATCH($I373,Action_Status_Map!$A$5:$A$11,0)),""))</f>
        <v/>
      </c>
      <c r="U373" s="81" t="n"/>
      <c r="V373" s="82" t="n"/>
      <c r="W373" s="65">
        <f>IF(OR($I373&lt;&gt;"Completed",$M373="",$L373=""),"",IF($M373&lt;=$L373,"Yes","No"))</f>
        <v/>
      </c>
      <c r="X373" s="84">
        <f>IF($A373="","",COUNTIF(Task_Steps!$B$5:$B$2004,$A373))</f>
        <v/>
      </c>
      <c r="Y373" s="86">
        <f>IF($X373=0,"",COUNTIFS(Task_Steps!$B$5:$B$2004,$A373,Task_Steps!$H$5:$H$2004,"Completed")/$X373)</f>
        <v/>
      </c>
      <c r="Z373" s="81" t="n"/>
      <c r="AA373" s="81" t="n"/>
      <c r="AB373" s="67">
        <f>IF($F373="","",IFERROR(INDEX(Employee_Master!$E$5:$E$204,MATCH($F373,Employee_Master!$B$5:$B$204,0)),""))</f>
        <v/>
      </c>
      <c r="AC373" s="65">
        <f>IF(OR($A373="",$AB373=""),"",IF(OR($I373="Completed",$I373="Cancelled"),"Closed - in Manager Report","Active - in Manager Report"))</f>
        <v/>
      </c>
      <c r="AD373" s="81">
        <f>IF($A373="","",IFERROR(TEXTJOIN(", ",TRUE,FILTER(Task_Steps!$A$5:$A$2004,Task_Steps!$B$5:$B$2004=$A373)),""))</f>
        <v/>
      </c>
      <c r="AE373" s="84">
        <f>IF($A373="","",COUNTIFS(Task_Steps!$B$5:$B$2004,$A373,Task_Steps!$H$5:$H$2004,"&lt;&gt;Completed",Task_Steps!$H$5:$H$2004,"&lt;&gt;Cancelled"))</f>
        <v/>
      </c>
      <c r="AF373" s="81">
        <f>IF(OR($B373="",$A373=""),"",$B373&amp;" | "&amp;$A373)</f>
        <v/>
      </c>
    </row>
    <row r="374" ht="15" customHeight="1" s="40">
      <c r="A374" s="65">
        <f>IF(COUNTA(B374:F374)=0,"","TSK-"&amp;TEXT(ROW()-4,"0000"))</f>
        <v/>
      </c>
      <c r="B374" s="78" t="n"/>
      <c r="C374" s="78" t="n"/>
      <c r="D374" s="81" t="n"/>
      <c r="E374" s="81" t="n"/>
      <c r="F374" s="78" t="n"/>
      <c r="G374" s="67">
        <f>IF($F374="","",IFERROR(INDEX(Employee_Master!$C$5:$C$204,MATCH($F374,Employee_Master!$B$5:$B$204,0)),""))</f>
        <v/>
      </c>
      <c r="H374" s="78" t="n"/>
      <c r="I374" s="78" t="n"/>
      <c r="J374" s="67">
        <f>IF($I374="","",IFERROR(INDEX(Action_Status_Map!$B$5:$B$11,MATCH($I374,Action_Status_Map!$A$5:$A$11,0)),""))</f>
        <v/>
      </c>
      <c r="K374" s="82" t="n"/>
      <c r="L374" s="82" t="n"/>
      <c r="M374" s="82" t="n"/>
      <c r="N374" s="83" t="n"/>
      <c r="O374" s="83" t="n"/>
      <c r="P374" s="66">
        <f>IF(OR($N374="",$O374=""),"",$O374-$N374)</f>
        <v/>
      </c>
      <c r="Q374" s="84">
        <f>IF($K374="","",IF($M374&lt;&gt;"",$M374-$K374,TODAY()-$K374))</f>
        <v/>
      </c>
      <c r="R374" s="85">
        <f>IF(OR($L374="",$I374="Completed",$I374="Cancelled"),"",IF(AND($L374&lt;TODAY(),$I374&lt;&gt;"Completed",$I374&lt;&gt;"Cancelled"),"Overdue","On Track"))</f>
        <v/>
      </c>
      <c r="S374" s="65">
        <f>IF($L374="","",TEXT($L374,"yyyy-mm"))</f>
        <v/>
      </c>
      <c r="T374" s="86">
        <f>IF($I374="","",IFERROR(INDEX(Action_Status_Map!$C$5:$C$11,MATCH($I374,Action_Status_Map!$A$5:$A$11,0)),""))</f>
        <v/>
      </c>
      <c r="U374" s="81" t="n"/>
      <c r="V374" s="82" t="n"/>
      <c r="W374" s="65">
        <f>IF(OR($I374&lt;&gt;"Completed",$M374="",$L374=""),"",IF($M374&lt;=$L374,"Yes","No"))</f>
        <v/>
      </c>
      <c r="X374" s="84">
        <f>IF($A374="","",COUNTIF(Task_Steps!$B$5:$B$2004,$A374))</f>
        <v/>
      </c>
      <c r="Y374" s="86">
        <f>IF($X374=0,"",COUNTIFS(Task_Steps!$B$5:$B$2004,$A374,Task_Steps!$H$5:$H$2004,"Completed")/$X374)</f>
        <v/>
      </c>
      <c r="Z374" s="81" t="n"/>
      <c r="AA374" s="81" t="n"/>
      <c r="AB374" s="67">
        <f>IF($F374="","",IFERROR(INDEX(Employee_Master!$E$5:$E$204,MATCH($F374,Employee_Master!$B$5:$B$204,0)),""))</f>
        <v/>
      </c>
      <c r="AC374" s="65">
        <f>IF(OR($A374="",$AB374=""),"",IF(OR($I374="Completed",$I374="Cancelled"),"Closed - in Manager Report","Active - in Manager Report"))</f>
        <v/>
      </c>
      <c r="AD374" s="81">
        <f>IF($A374="","",IFERROR(TEXTJOIN(", ",TRUE,FILTER(Task_Steps!$A$5:$A$2004,Task_Steps!$B$5:$B$2004=$A374)),""))</f>
        <v/>
      </c>
      <c r="AE374" s="84">
        <f>IF($A374="","",COUNTIFS(Task_Steps!$B$5:$B$2004,$A374,Task_Steps!$H$5:$H$2004,"&lt;&gt;Completed",Task_Steps!$H$5:$H$2004,"&lt;&gt;Cancelled"))</f>
        <v/>
      </c>
      <c r="AF374" s="81">
        <f>IF(OR($B374="",$A374=""),"",$B374&amp;" | "&amp;$A374)</f>
        <v/>
      </c>
    </row>
    <row r="375" ht="15" customHeight="1" s="40">
      <c r="A375" s="65">
        <f>IF(COUNTA(B375:F375)=0,"","TSK-"&amp;TEXT(ROW()-4,"0000"))</f>
        <v/>
      </c>
      <c r="B375" s="78" t="n"/>
      <c r="C375" s="78" t="n"/>
      <c r="D375" s="81" t="n"/>
      <c r="E375" s="81" t="n"/>
      <c r="F375" s="78" t="n"/>
      <c r="G375" s="67">
        <f>IF($F375="","",IFERROR(INDEX(Employee_Master!$C$5:$C$204,MATCH($F375,Employee_Master!$B$5:$B$204,0)),""))</f>
        <v/>
      </c>
      <c r="H375" s="78" t="n"/>
      <c r="I375" s="78" t="n"/>
      <c r="J375" s="67">
        <f>IF($I375="","",IFERROR(INDEX(Action_Status_Map!$B$5:$B$11,MATCH($I375,Action_Status_Map!$A$5:$A$11,0)),""))</f>
        <v/>
      </c>
      <c r="K375" s="82" t="n"/>
      <c r="L375" s="82" t="n"/>
      <c r="M375" s="82" t="n"/>
      <c r="N375" s="83" t="n"/>
      <c r="O375" s="83" t="n"/>
      <c r="P375" s="66">
        <f>IF(OR($N375="",$O375=""),"",$O375-$N375)</f>
        <v/>
      </c>
      <c r="Q375" s="84">
        <f>IF($K375="","",IF($M375&lt;&gt;"",$M375-$K375,TODAY()-$K375))</f>
        <v/>
      </c>
      <c r="R375" s="85">
        <f>IF(OR($L375="",$I375="Completed",$I375="Cancelled"),"",IF(AND($L375&lt;TODAY(),$I375&lt;&gt;"Completed",$I375&lt;&gt;"Cancelled"),"Overdue","On Track"))</f>
        <v/>
      </c>
      <c r="S375" s="65">
        <f>IF($L375="","",TEXT($L375,"yyyy-mm"))</f>
        <v/>
      </c>
      <c r="T375" s="86">
        <f>IF($I375="","",IFERROR(INDEX(Action_Status_Map!$C$5:$C$11,MATCH($I375,Action_Status_Map!$A$5:$A$11,0)),""))</f>
        <v/>
      </c>
      <c r="U375" s="81" t="n"/>
      <c r="V375" s="82" t="n"/>
      <c r="W375" s="65">
        <f>IF(OR($I375&lt;&gt;"Completed",$M375="",$L375=""),"",IF($M375&lt;=$L375,"Yes","No"))</f>
        <v/>
      </c>
      <c r="X375" s="84">
        <f>IF($A375="","",COUNTIF(Task_Steps!$B$5:$B$2004,$A375))</f>
        <v/>
      </c>
      <c r="Y375" s="86">
        <f>IF($X375=0,"",COUNTIFS(Task_Steps!$B$5:$B$2004,$A375,Task_Steps!$H$5:$H$2004,"Completed")/$X375)</f>
        <v/>
      </c>
      <c r="Z375" s="81" t="n"/>
      <c r="AA375" s="81" t="n"/>
      <c r="AB375" s="67">
        <f>IF($F375="","",IFERROR(INDEX(Employee_Master!$E$5:$E$204,MATCH($F375,Employee_Master!$B$5:$B$204,0)),""))</f>
        <v/>
      </c>
      <c r="AC375" s="65">
        <f>IF(OR($A375="",$AB375=""),"",IF(OR($I375="Completed",$I375="Cancelled"),"Closed - in Manager Report","Active - in Manager Report"))</f>
        <v/>
      </c>
      <c r="AD375" s="81">
        <f>IF($A375="","",IFERROR(TEXTJOIN(", ",TRUE,FILTER(Task_Steps!$A$5:$A$2004,Task_Steps!$B$5:$B$2004=$A375)),""))</f>
        <v/>
      </c>
      <c r="AE375" s="84">
        <f>IF($A375="","",COUNTIFS(Task_Steps!$B$5:$B$2004,$A375,Task_Steps!$H$5:$H$2004,"&lt;&gt;Completed",Task_Steps!$H$5:$H$2004,"&lt;&gt;Cancelled"))</f>
        <v/>
      </c>
      <c r="AF375" s="81">
        <f>IF(OR($B375="",$A375=""),"",$B375&amp;" | "&amp;$A375)</f>
        <v/>
      </c>
    </row>
    <row r="376" ht="15" customHeight="1" s="40">
      <c r="A376" s="65">
        <f>IF(COUNTA(B376:F376)=0,"","TSK-"&amp;TEXT(ROW()-4,"0000"))</f>
        <v/>
      </c>
      <c r="B376" s="78" t="n"/>
      <c r="C376" s="78" t="n"/>
      <c r="D376" s="81" t="n"/>
      <c r="E376" s="81" t="n"/>
      <c r="F376" s="78" t="n"/>
      <c r="G376" s="67">
        <f>IF($F376="","",IFERROR(INDEX(Employee_Master!$C$5:$C$204,MATCH($F376,Employee_Master!$B$5:$B$204,0)),""))</f>
        <v/>
      </c>
      <c r="H376" s="78" t="n"/>
      <c r="I376" s="78" t="n"/>
      <c r="J376" s="67">
        <f>IF($I376="","",IFERROR(INDEX(Action_Status_Map!$B$5:$B$11,MATCH($I376,Action_Status_Map!$A$5:$A$11,0)),""))</f>
        <v/>
      </c>
      <c r="K376" s="82" t="n"/>
      <c r="L376" s="82" t="n"/>
      <c r="M376" s="82" t="n"/>
      <c r="N376" s="83" t="n"/>
      <c r="O376" s="83" t="n"/>
      <c r="P376" s="66">
        <f>IF(OR($N376="",$O376=""),"",$O376-$N376)</f>
        <v/>
      </c>
      <c r="Q376" s="84">
        <f>IF($K376="","",IF($M376&lt;&gt;"",$M376-$K376,TODAY()-$K376))</f>
        <v/>
      </c>
      <c r="R376" s="85">
        <f>IF(OR($L376="",$I376="Completed",$I376="Cancelled"),"",IF(AND($L376&lt;TODAY(),$I376&lt;&gt;"Completed",$I376&lt;&gt;"Cancelled"),"Overdue","On Track"))</f>
        <v/>
      </c>
      <c r="S376" s="65">
        <f>IF($L376="","",TEXT($L376,"yyyy-mm"))</f>
        <v/>
      </c>
      <c r="T376" s="86">
        <f>IF($I376="","",IFERROR(INDEX(Action_Status_Map!$C$5:$C$11,MATCH($I376,Action_Status_Map!$A$5:$A$11,0)),""))</f>
        <v/>
      </c>
      <c r="U376" s="81" t="n"/>
      <c r="V376" s="82" t="n"/>
      <c r="W376" s="65">
        <f>IF(OR($I376&lt;&gt;"Completed",$M376="",$L376=""),"",IF($M376&lt;=$L376,"Yes","No"))</f>
        <v/>
      </c>
      <c r="X376" s="84">
        <f>IF($A376="","",COUNTIF(Task_Steps!$B$5:$B$2004,$A376))</f>
        <v/>
      </c>
      <c r="Y376" s="86">
        <f>IF($X376=0,"",COUNTIFS(Task_Steps!$B$5:$B$2004,$A376,Task_Steps!$H$5:$H$2004,"Completed")/$X376)</f>
        <v/>
      </c>
      <c r="Z376" s="81" t="n"/>
      <c r="AA376" s="81" t="n"/>
      <c r="AB376" s="67">
        <f>IF($F376="","",IFERROR(INDEX(Employee_Master!$E$5:$E$204,MATCH($F376,Employee_Master!$B$5:$B$204,0)),""))</f>
        <v/>
      </c>
      <c r="AC376" s="65">
        <f>IF(OR($A376="",$AB376=""),"",IF(OR($I376="Completed",$I376="Cancelled"),"Closed - in Manager Report","Active - in Manager Report"))</f>
        <v/>
      </c>
      <c r="AD376" s="81">
        <f>IF($A376="","",IFERROR(TEXTJOIN(", ",TRUE,FILTER(Task_Steps!$A$5:$A$2004,Task_Steps!$B$5:$B$2004=$A376)),""))</f>
        <v/>
      </c>
      <c r="AE376" s="84">
        <f>IF($A376="","",COUNTIFS(Task_Steps!$B$5:$B$2004,$A376,Task_Steps!$H$5:$H$2004,"&lt;&gt;Completed",Task_Steps!$H$5:$H$2004,"&lt;&gt;Cancelled"))</f>
        <v/>
      </c>
      <c r="AF376" s="81">
        <f>IF(OR($B376="",$A376=""),"",$B376&amp;" | "&amp;$A376)</f>
        <v/>
      </c>
    </row>
    <row r="377" ht="15" customHeight="1" s="40">
      <c r="A377" s="65">
        <f>IF(COUNTA(B377:F377)=0,"","TSK-"&amp;TEXT(ROW()-4,"0000"))</f>
        <v/>
      </c>
      <c r="B377" s="78" t="n"/>
      <c r="C377" s="78" t="n"/>
      <c r="D377" s="81" t="n"/>
      <c r="E377" s="81" t="n"/>
      <c r="F377" s="78" t="n"/>
      <c r="G377" s="67">
        <f>IF($F377="","",IFERROR(INDEX(Employee_Master!$C$5:$C$204,MATCH($F377,Employee_Master!$B$5:$B$204,0)),""))</f>
        <v/>
      </c>
      <c r="H377" s="78" t="n"/>
      <c r="I377" s="78" t="n"/>
      <c r="J377" s="67">
        <f>IF($I377="","",IFERROR(INDEX(Action_Status_Map!$B$5:$B$11,MATCH($I377,Action_Status_Map!$A$5:$A$11,0)),""))</f>
        <v/>
      </c>
      <c r="K377" s="82" t="n"/>
      <c r="L377" s="82" t="n"/>
      <c r="M377" s="82" t="n"/>
      <c r="N377" s="83" t="n"/>
      <c r="O377" s="83" t="n"/>
      <c r="P377" s="66">
        <f>IF(OR($N377="",$O377=""),"",$O377-$N377)</f>
        <v/>
      </c>
      <c r="Q377" s="84">
        <f>IF($K377="","",IF($M377&lt;&gt;"",$M377-$K377,TODAY()-$K377))</f>
        <v/>
      </c>
      <c r="R377" s="85">
        <f>IF(OR($L377="",$I377="Completed",$I377="Cancelled"),"",IF(AND($L377&lt;TODAY(),$I377&lt;&gt;"Completed",$I377&lt;&gt;"Cancelled"),"Overdue","On Track"))</f>
        <v/>
      </c>
      <c r="S377" s="65">
        <f>IF($L377="","",TEXT($L377,"yyyy-mm"))</f>
        <v/>
      </c>
      <c r="T377" s="86">
        <f>IF($I377="","",IFERROR(INDEX(Action_Status_Map!$C$5:$C$11,MATCH($I377,Action_Status_Map!$A$5:$A$11,0)),""))</f>
        <v/>
      </c>
      <c r="U377" s="81" t="n"/>
      <c r="V377" s="82" t="n"/>
      <c r="W377" s="65">
        <f>IF(OR($I377&lt;&gt;"Completed",$M377="",$L377=""),"",IF($M377&lt;=$L377,"Yes","No"))</f>
        <v/>
      </c>
      <c r="X377" s="84">
        <f>IF($A377="","",COUNTIF(Task_Steps!$B$5:$B$2004,$A377))</f>
        <v/>
      </c>
      <c r="Y377" s="86">
        <f>IF($X377=0,"",COUNTIFS(Task_Steps!$B$5:$B$2004,$A377,Task_Steps!$H$5:$H$2004,"Completed")/$X377)</f>
        <v/>
      </c>
      <c r="Z377" s="81" t="n"/>
      <c r="AA377" s="81" t="n"/>
      <c r="AB377" s="67">
        <f>IF($F377="","",IFERROR(INDEX(Employee_Master!$E$5:$E$204,MATCH($F377,Employee_Master!$B$5:$B$204,0)),""))</f>
        <v/>
      </c>
      <c r="AC377" s="65">
        <f>IF(OR($A377="",$AB377=""),"",IF(OR($I377="Completed",$I377="Cancelled"),"Closed - in Manager Report","Active - in Manager Report"))</f>
        <v/>
      </c>
      <c r="AD377" s="81">
        <f>IF($A377="","",IFERROR(TEXTJOIN(", ",TRUE,FILTER(Task_Steps!$A$5:$A$2004,Task_Steps!$B$5:$B$2004=$A377)),""))</f>
        <v/>
      </c>
      <c r="AE377" s="84">
        <f>IF($A377="","",COUNTIFS(Task_Steps!$B$5:$B$2004,$A377,Task_Steps!$H$5:$H$2004,"&lt;&gt;Completed",Task_Steps!$H$5:$H$2004,"&lt;&gt;Cancelled"))</f>
        <v/>
      </c>
      <c r="AF377" s="81">
        <f>IF(OR($B377="",$A377=""),"",$B377&amp;" | "&amp;$A377)</f>
        <v/>
      </c>
    </row>
    <row r="378" ht="15" customHeight="1" s="40">
      <c r="A378" s="65">
        <f>IF(COUNTA(B378:F378)=0,"","TSK-"&amp;TEXT(ROW()-4,"0000"))</f>
        <v/>
      </c>
      <c r="B378" s="78" t="n"/>
      <c r="C378" s="78" t="n"/>
      <c r="D378" s="81" t="n"/>
      <c r="E378" s="81" t="n"/>
      <c r="F378" s="78" t="n"/>
      <c r="G378" s="67">
        <f>IF($F378="","",IFERROR(INDEX(Employee_Master!$C$5:$C$204,MATCH($F378,Employee_Master!$B$5:$B$204,0)),""))</f>
        <v/>
      </c>
      <c r="H378" s="78" t="n"/>
      <c r="I378" s="78" t="n"/>
      <c r="J378" s="67">
        <f>IF($I378="","",IFERROR(INDEX(Action_Status_Map!$B$5:$B$11,MATCH($I378,Action_Status_Map!$A$5:$A$11,0)),""))</f>
        <v/>
      </c>
      <c r="K378" s="82" t="n"/>
      <c r="L378" s="82" t="n"/>
      <c r="M378" s="82" t="n"/>
      <c r="N378" s="83" t="n"/>
      <c r="O378" s="83" t="n"/>
      <c r="P378" s="66">
        <f>IF(OR($N378="",$O378=""),"",$O378-$N378)</f>
        <v/>
      </c>
      <c r="Q378" s="84">
        <f>IF($K378="","",IF($M378&lt;&gt;"",$M378-$K378,TODAY()-$K378))</f>
        <v/>
      </c>
      <c r="R378" s="85">
        <f>IF(OR($L378="",$I378="Completed",$I378="Cancelled"),"",IF(AND($L378&lt;TODAY(),$I378&lt;&gt;"Completed",$I378&lt;&gt;"Cancelled"),"Overdue","On Track"))</f>
        <v/>
      </c>
      <c r="S378" s="65">
        <f>IF($L378="","",TEXT($L378,"yyyy-mm"))</f>
        <v/>
      </c>
      <c r="T378" s="86">
        <f>IF($I378="","",IFERROR(INDEX(Action_Status_Map!$C$5:$C$11,MATCH($I378,Action_Status_Map!$A$5:$A$11,0)),""))</f>
        <v/>
      </c>
      <c r="U378" s="81" t="n"/>
      <c r="V378" s="82" t="n"/>
      <c r="W378" s="65">
        <f>IF(OR($I378&lt;&gt;"Completed",$M378="",$L378=""),"",IF($M378&lt;=$L378,"Yes","No"))</f>
        <v/>
      </c>
      <c r="X378" s="84">
        <f>IF($A378="","",COUNTIF(Task_Steps!$B$5:$B$2004,$A378))</f>
        <v/>
      </c>
      <c r="Y378" s="86">
        <f>IF($X378=0,"",COUNTIFS(Task_Steps!$B$5:$B$2004,$A378,Task_Steps!$H$5:$H$2004,"Completed")/$X378)</f>
        <v/>
      </c>
      <c r="Z378" s="81" t="n"/>
      <c r="AA378" s="81" t="n"/>
      <c r="AB378" s="67">
        <f>IF($F378="","",IFERROR(INDEX(Employee_Master!$E$5:$E$204,MATCH($F378,Employee_Master!$B$5:$B$204,0)),""))</f>
        <v/>
      </c>
      <c r="AC378" s="65">
        <f>IF(OR($A378="",$AB378=""),"",IF(OR($I378="Completed",$I378="Cancelled"),"Closed - in Manager Report","Active - in Manager Report"))</f>
        <v/>
      </c>
      <c r="AD378" s="81">
        <f>IF($A378="","",IFERROR(TEXTJOIN(", ",TRUE,FILTER(Task_Steps!$A$5:$A$2004,Task_Steps!$B$5:$B$2004=$A378)),""))</f>
        <v/>
      </c>
      <c r="AE378" s="84">
        <f>IF($A378="","",COUNTIFS(Task_Steps!$B$5:$B$2004,$A378,Task_Steps!$H$5:$H$2004,"&lt;&gt;Completed",Task_Steps!$H$5:$H$2004,"&lt;&gt;Cancelled"))</f>
        <v/>
      </c>
      <c r="AF378" s="81">
        <f>IF(OR($B378="",$A378=""),"",$B378&amp;" | "&amp;$A378)</f>
        <v/>
      </c>
    </row>
    <row r="379" ht="15" customHeight="1" s="40">
      <c r="A379" s="65">
        <f>IF(COUNTA(B379:F379)=0,"","TSK-"&amp;TEXT(ROW()-4,"0000"))</f>
        <v/>
      </c>
      <c r="B379" s="78" t="n"/>
      <c r="C379" s="78" t="n"/>
      <c r="D379" s="81" t="n"/>
      <c r="E379" s="81" t="n"/>
      <c r="F379" s="78" t="n"/>
      <c r="G379" s="67">
        <f>IF($F379="","",IFERROR(INDEX(Employee_Master!$C$5:$C$204,MATCH($F379,Employee_Master!$B$5:$B$204,0)),""))</f>
        <v/>
      </c>
      <c r="H379" s="78" t="n"/>
      <c r="I379" s="78" t="n"/>
      <c r="J379" s="67">
        <f>IF($I379="","",IFERROR(INDEX(Action_Status_Map!$B$5:$B$11,MATCH($I379,Action_Status_Map!$A$5:$A$11,0)),""))</f>
        <v/>
      </c>
      <c r="K379" s="82" t="n"/>
      <c r="L379" s="82" t="n"/>
      <c r="M379" s="82" t="n"/>
      <c r="N379" s="83" t="n"/>
      <c r="O379" s="83" t="n"/>
      <c r="P379" s="66">
        <f>IF(OR($N379="",$O379=""),"",$O379-$N379)</f>
        <v/>
      </c>
      <c r="Q379" s="84">
        <f>IF($K379="","",IF($M379&lt;&gt;"",$M379-$K379,TODAY()-$K379))</f>
        <v/>
      </c>
      <c r="R379" s="85">
        <f>IF(OR($L379="",$I379="Completed",$I379="Cancelled"),"",IF(AND($L379&lt;TODAY(),$I379&lt;&gt;"Completed",$I379&lt;&gt;"Cancelled"),"Overdue","On Track"))</f>
        <v/>
      </c>
      <c r="S379" s="65">
        <f>IF($L379="","",TEXT($L379,"yyyy-mm"))</f>
        <v/>
      </c>
      <c r="T379" s="86">
        <f>IF($I379="","",IFERROR(INDEX(Action_Status_Map!$C$5:$C$11,MATCH($I379,Action_Status_Map!$A$5:$A$11,0)),""))</f>
        <v/>
      </c>
      <c r="U379" s="81" t="n"/>
      <c r="V379" s="82" t="n"/>
      <c r="W379" s="65">
        <f>IF(OR($I379&lt;&gt;"Completed",$M379="",$L379=""),"",IF($M379&lt;=$L379,"Yes","No"))</f>
        <v/>
      </c>
      <c r="X379" s="84">
        <f>IF($A379="","",COUNTIF(Task_Steps!$B$5:$B$2004,$A379))</f>
        <v/>
      </c>
      <c r="Y379" s="86">
        <f>IF($X379=0,"",COUNTIFS(Task_Steps!$B$5:$B$2004,$A379,Task_Steps!$H$5:$H$2004,"Completed")/$X379)</f>
        <v/>
      </c>
      <c r="Z379" s="81" t="n"/>
      <c r="AA379" s="81" t="n"/>
      <c r="AB379" s="67">
        <f>IF($F379="","",IFERROR(INDEX(Employee_Master!$E$5:$E$204,MATCH($F379,Employee_Master!$B$5:$B$204,0)),""))</f>
        <v/>
      </c>
      <c r="AC379" s="65">
        <f>IF(OR($A379="",$AB379=""),"",IF(OR($I379="Completed",$I379="Cancelled"),"Closed - in Manager Report","Active - in Manager Report"))</f>
        <v/>
      </c>
      <c r="AD379" s="81">
        <f>IF($A379="","",IFERROR(TEXTJOIN(", ",TRUE,FILTER(Task_Steps!$A$5:$A$2004,Task_Steps!$B$5:$B$2004=$A379)),""))</f>
        <v/>
      </c>
      <c r="AE379" s="84">
        <f>IF($A379="","",COUNTIFS(Task_Steps!$B$5:$B$2004,$A379,Task_Steps!$H$5:$H$2004,"&lt;&gt;Completed",Task_Steps!$H$5:$H$2004,"&lt;&gt;Cancelled"))</f>
        <v/>
      </c>
      <c r="AF379" s="81">
        <f>IF(OR($B379="",$A379=""),"",$B379&amp;" | "&amp;$A379)</f>
        <v/>
      </c>
    </row>
    <row r="380" ht="15" customHeight="1" s="40">
      <c r="A380" s="65">
        <f>IF(COUNTA(B380:F380)=0,"","TSK-"&amp;TEXT(ROW()-4,"0000"))</f>
        <v/>
      </c>
      <c r="B380" s="78" t="n"/>
      <c r="C380" s="78" t="n"/>
      <c r="D380" s="81" t="n"/>
      <c r="E380" s="81" t="n"/>
      <c r="F380" s="78" t="n"/>
      <c r="G380" s="67">
        <f>IF($F380="","",IFERROR(INDEX(Employee_Master!$C$5:$C$204,MATCH($F380,Employee_Master!$B$5:$B$204,0)),""))</f>
        <v/>
      </c>
      <c r="H380" s="78" t="n"/>
      <c r="I380" s="78" t="n"/>
      <c r="J380" s="67">
        <f>IF($I380="","",IFERROR(INDEX(Action_Status_Map!$B$5:$B$11,MATCH($I380,Action_Status_Map!$A$5:$A$11,0)),""))</f>
        <v/>
      </c>
      <c r="K380" s="82" t="n"/>
      <c r="L380" s="82" t="n"/>
      <c r="M380" s="82" t="n"/>
      <c r="N380" s="83" t="n"/>
      <c r="O380" s="83" t="n"/>
      <c r="P380" s="66">
        <f>IF(OR($N380="",$O380=""),"",$O380-$N380)</f>
        <v/>
      </c>
      <c r="Q380" s="84">
        <f>IF($K380="","",IF($M380&lt;&gt;"",$M380-$K380,TODAY()-$K380))</f>
        <v/>
      </c>
      <c r="R380" s="85">
        <f>IF(OR($L380="",$I380="Completed",$I380="Cancelled"),"",IF(AND($L380&lt;TODAY(),$I380&lt;&gt;"Completed",$I380&lt;&gt;"Cancelled"),"Overdue","On Track"))</f>
        <v/>
      </c>
      <c r="S380" s="65">
        <f>IF($L380="","",TEXT($L380,"yyyy-mm"))</f>
        <v/>
      </c>
      <c r="T380" s="86">
        <f>IF($I380="","",IFERROR(INDEX(Action_Status_Map!$C$5:$C$11,MATCH($I380,Action_Status_Map!$A$5:$A$11,0)),""))</f>
        <v/>
      </c>
      <c r="U380" s="81" t="n"/>
      <c r="V380" s="82" t="n"/>
      <c r="W380" s="65">
        <f>IF(OR($I380&lt;&gt;"Completed",$M380="",$L380=""),"",IF($M380&lt;=$L380,"Yes","No"))</f>
        <v/>
      </c>
      <c r="X380" s="84">
        <f>IF($A380="","",COUNTIF(Task_Steps!$B$5:$B$2004,$A380))</f>
        <v/>
      </c>
      <c r="Y380" s="86">
        <f>IF($X380=0,"",COUNTIFS(Task_Steps!$B$5:$B$2004,$A380,Task_Steps!$H$5:$H$2004,"Completed")/$X380)</f>
        <v/>
      </c>
      <c r="Z380" s="81" t="n"/>
      <c r="AA380" s="81" t="n"/>
      <c r="AB380" s="67">
        <f>IF($F380="","",IFERROR(INDEX(Employee_Master!$E$5:$E$204,MATCH($F380,Employee_Master!$B$5:$B$204,0)),""))</f>
        <v/>
      </c>
      <c r="AC380" s="65">
        <f>IF(OR($A380="",$AB380=""),"",IF(OR($I380="Completed",$I380="Cancelled"),"Closed - in Manager Report","Active - in Manager Report"))</f>
        <v/>
      </c>
      <c r="AD380" s="81">
        <f>IF($A380="","",IFERROR(TEXTJOIN(", ",TRUE,FILTER(Task_Steps!$A$5:$A$2004,Task_Steps!$B$5:$B$2004=$A380)),""))</f>
        <v/>
      </c>
      <c r="AE380" s="84">
        <f>IF($A380="","",COUNTIFS(Task_Steps!$B$5:$B$2004,$A380,Task_Steps!$H$5:$H$2004,"&lt;&gt;Completed",Task_Steps!$H$5:$H$2004,"&lt;&gt;Cancelled"))</f>
        <v/>
      </c>
      <c r="AF380" s="81">
        <f>IF(OR($B380="",$A380=""),"",$B380&amp;" | "&amp;$A380)</f>
        <v/>
      </c>
    </row>
    <row r="381" ht="15" customHeight="1" s="40">
      <c r="A381" s="65">
        <f>IF(COUNTA(B381:F381)=0,"","TSK-"&amp;TEXT(ROW()-4,"0000"))</f>
        <v/>
      </c>
      <c r="B381" s="78" t="n"/>
      <c r="C381" s="78" t="n"/>
      <c r="D381" s="81" t="n"/>
      <c r="E381" s="81" t="n"/>
      <c r="F381" s="78" t="n"/>
      <c r="G381" s="67">
        <f>IF($F381="","",IFERROR(INDEX(Employee_Master!$C$5:$C$204,MATCH($F381,Employee_Master!$B$5:$B$204,0)),""))</f>
        <v/>
      </c>
      <c r="H381" s="78" t="n"/>
      <c r="I381" s="78" t="n"/>
      <c r="J381" s="67">
        <f>IF($I381="","",IFERROR(INDEX(Action_Status_Map!$B$5:$B$11,MATCH($I381,Action_Status_Map!$A$5:$A$11,0)),""))</f>
        <v/>
      </c>
      <c r="K381" s="82" t="n"/>
      <c r="L381" s="82" t="n"/>
      <c r="M381" s="82" t="n"/>
      <c r="N381" s="83" t="n"/>
      <c r="O381" s="83" t="n"/>
      <c r="P381" s="66">
        <f>IF(OR($N381="",$O381=""),"",$O381-$N381)</f>
        <v/>
      </c>
      <c r="Q381" s="84">
        <f>IF($K381="","",IF($M381&lt;&gt;"",$M381-$K381,TODAY()-$K381))</f>
        <v/>
      </c>
      <c r="R381" s="85">
        <f>IF(OR($L381="",$I381="Completed",$I381="Cancelled"),"",IF(AND($L381&lt;TODAY(),$I381&lt;&gt;"Completed",$I381&lt;&gt;"Cancelled"),"Overdue","On Track"))</f>
        <v/>
      </c>
      <c r="S381" s="65">
        <f>IF($L381="","",TEXT($L381,"yyyy-mm"))</f>
        <v/>
      </c>
      <c r="T381" s="86">
        <f>IF($I381="","",IFERROR(INDEX(Action_Status_Map!$C$5:$C$11,MATCH($I381,Action_Status_Map!$A$5:$A$11,0)),""))</f>
        <v/>
      </c>
      <c r="U381" s="81" t="n"/>
      <c r="V381" s="82" t="n"/>
      <c r="W381" s="65">
        <f>IF(OR($I381&lt;&gt;"Completed",$M381="",$L381=""),"",IF($M381&lt;=$L381,"Yes","No"))</f>
        <v/>
      </c>
      <c r="X381" s="84">
        <f>IF($A381="","",COUNTIF(Task_Steps!$B$5:$B$2004,$A381))</f>
        <v/>
      </c>
      <c r="Y381" s="86">
        <f>IF($X381=0,"",COUNTIFS(Task_Steps!$B$5:$B$2004,$A381,Task_Steps!$H$5:$H$2004,"Completed")/$X381)</f>
        <v/>
      </c>
      <c r="Z381" s="81" t="n"/>
      <c r="AA381" s="81" t="n"/>
      <c r="AB381" s="67">
        <f>IF($F381="","",IFERROR(INDEX(Employee_Master!$E$5:$E$204,MATCH($F381,Employee_Master!$B$5:$B$204,0)),""))</f>
        <v/>
      </c>
      <c r="AC381" s="65">
        <f>IF(OR($A381="",$AB381=""),"",IF(OR($I381="Completed",$I381="Cancelled"),"Closed - in Manager Report","Active - in Manager Report"))</f>
        <v/>
      </c>
      <c r="AD381" s="81">
        <f>IF($A381="","",IFERROR(TEXTJOIN(", ",TRUE,FILTER(Task_Steps!$A$5:$A$2004,Task_Steps!$B$5:$B$2004=$A381)),""))</f>
        <v/>
      </c>
      <c r="AE381" s="84">
        <f>IF($A381="","",COUNTIFS(Task_Steps!$B$5:$B$2004,$A381,Task_Steps!$H$5:$H$2004,"&lt;&gt;Completed",Task_Steps!$H$5:$H$2004,"&lt;&gt;Cancelled"))</f>
        <v/>
      </c>
      <c r="AF381" s="81">
        <f>IF(OR($B381="",$A381=""),"",$B381&amp;" | "&amp;$A381)</f>
        <v/>
      </c>
    </row>
    <row r="382" ht="15" customHeight="1" s="40">
      <c r="A382" s="65">
        <f>IF(COUNTA(B382:F382)=0,"","TSK-"&amp;TEXT(ROW()-4,"0000"))</f>
        <v/>
      </c>
      <c r="B382" s="78" t="n"/>
      <c r="C382" s="78" t="n"/>
      <c r="D382" s="81" t="n"/>
      <c r="E382" s="81" t="n"/>
      <c r="F382" s="78" t="n"/>
      <c r="G382" s="67">
        <f>IF($F382="","",IFERROR(INDEX(Employee_Master!$C$5:$C$204,MATCH($F382,Employee_Master!$B$5:$B$204,0)),""))</f>
        <v/>
      </c>
      <c r="H382" s="78" t="n"/>
      <c r="I382" s="78" t="n"/>
      <c r="J382" s="67">
        <f>IF($I382="","",IFERROR(INDEX(Action_Status_Map!$B$5:$B$11,MATCH($I382,Action_Status_Map!$A$5:$A$11,0)),""))</f>
        <v/>
      </c>
      <c r="K382" s="82" t="n"/>
      <c r="L382" s="82" t="n"/>
      <c r="M382" s="82" t="n"/>
      <c r="N382" s="83" t="n"/>
      <c r="O382" s="83" t="n"/>
      <c r="P382" s="66">
        <f>IF(OR($N382="",$O382=""),"",$O382-$N382)</f>
        <v/>
      </c>
      <c r="Q382" s="84">
        <f>IF($K382="","",IF($M382&lt;&gt;"",$M382-$K382,TODAY()-$K382))</f>
        <v/>
      </c>
      <c r="R382" s="85">
        <f>IF(OR($L382="",$I382="Completed",$I382="Cancelled"),"",IF(AND($L382&lt;TODAY(),$I382&lt;&gt;"Completed",$I382&lt;&gt;"Cancelled"),"Overdue","On Track"))</f>
        <v/>
      </c>
      <c r="S382" s="65">
        <f>IF($L382="","",TEXT($L382,"yyyy-mm"))</f>
        <v/>
      </c>
      <c r="T382" s="86">
        <f>IF($I382="","",IFERROR(INDEX(Action_Status_Map!$C$5:$C$11,MATCH($I382,Action_Status_Map!$A$5:$A$11,0)),""))</f>
        <v/>
      </c>
      <c r="U382" s="81" t="n"/>
      <c r="V382" s="82" t="n"/>
      <c r="W382" s="65">
        <f>IF(OR($I382&lt;&gt;"Completed",$M382="",$L382=""),"",IF($M382&lt;=$L382,"Yes","No"))</f>
        <v/>
      </c>
      <c r="X382" s="84">
        <f>IF($A382="","",COUNTIF(Task_Steps!$B$5:$B$2004,$A382))</f>
        <v/>
      </c>
      <c r="Y382" s="86">
        <f>IF($X382=0,"",COUNTIFS(Task_Steps!$B$5:$B$2004,$A382,Task_Steps!$H$5:$H$2004,"Completed")/$X382)</f>
        <v/>
      </c>
      <c r="Z382" s="81" t="n"/>
      <c r="AA382" s="81" t="n"/>
      <c r="AB382" s="67">
        <f>IF($F382="","",IFERROR(INDEX(Employee_Master!$E$5:$E$204,MATCH($F382,Employee_Master!$B$5:$B$204,0)),""))</f>
        <v/>
      </c>
      <c r="AC382" s="65">
        <f>IF(OR($A382="",$AB382=""),"",IF(OR($I382="Completed",$I382="Cancelled"),"Closed - in Manager Report","Active - in Manager Report"))</f>
        <v/>
      </c>
      <c r="AD382" s="81">
        <f>IF($A382="","",IFERROR(TEXTJOIN(", ",TRUE,FILTER(Task_Steps!$A$5:$A$2004,Task_Steps!$B$5:$B$2004=$A382)),""))</f>
        <v/>
      </c>
      <c r="AE382" s="84">
        <f>IF($A382="","",COUNTIFS(Task_Steps!$B$5:$B$2004,$A382,Task_Steps!$H$5:$H$2004,"&lt;&gt;Completed",Task_Steps!$H$5:$H$2004,"&lt;&gt;Cancelled"))</f>
        <v/>
      </c>
      <c r="AF382" s="81">
        <f>IF(OR($B382="",$A382=""),"",$B382&amp;" | "&amp;$A382)</f>
        <v/>
      </c>
    </row>
    <row r="383" ht="15" customHeight="1" s="40">
      <c r="A383" s="65">
        <f>IF(COUNTA(B383:F383)=0,"","TSK-"&amp;TEXT(ROW()-4,"0000"))</f>
        <v/>
      </c>
      <c r="B383" s="78" t="n"/>
      <c r="C383" s="78" t="n"/>
      <c r="D383" s="81" t="n"/>
      <c r="E383" s="81" t="n"/>
      <c r="F383" s="78" t="n"/>
      <c r="G383" s="67">
        <f>IF($F383="","",IFERROR(INDEX(Employee_Master!$C$5:$C$204,MATCH($F383,Employee_Master!$B$5:$B$204,0)),""))</f>
        <v/>
      </c>
      <c r="H383" s="78" t="n"/>
      <c r="I383" s="78" t="n"/>
      <c r="J383" s="67">
        <f>IF($I383="","",IFERROR(INDEX(Action_Status_Map!$B$5:$B$11,MATCH($I383,Action_Status_Map!$A$5:$A$11,0)),""))</f>
        <v/>
      </c>
      <c r="K383" s="82" t="n"/>
      <c r="L383" s="82" t="n"/>
      <c r="M383" s="82" t="n"/>
      <c r="N383" s="83" t="n"/>
      <c r="O383" s="83" t="n"/>
      <c r="P383" s="66">
        <f>IF(OR($N383="",$O383=""),"",$O383-$N383)</f>
        <v/>
      </c>
      <c r="Q383" s="84">
        <f>IF($K383="","",IF($M383&lt;&gt;"",$M383-$K383,TODAY()-$K383))</f>
        <v/>
      </c>
      <c r="R383" s="85">
        <f>IF(OR($L383="",$I383="Completed",$I383="Cancelled"),"",IF(AND($L383&lt;TODAY(),$I383&lt;&gt;"Completed",$I383&lt;&gt;"Cancelled"),"Overdue","On Track"))</f>
        <v/>
      </c>
      <c r="S383" s="65">
        <f>IF($L383="","",TEXT($L383,"yyyy-mm"))</f>
        <v/>
      </c>
      <c r="T383" s="86">
        <f>IF($I383="","",IFERROR(INDEX(Action_Status_Map!$C$5:$C$11,MATCH($I383,Action_Status_Map!$A$5:$A$11,0)),""))</f>
        <v/>
      </c>
      <c r="U383" s="81" t="n"/>
      <c r="V383" s="82" t="n"/>
      <c r="W383" s="65">
        <f>IF(OR($I383&lt;&gt;"Completed",$M383="",$L383=""),"",IF($M383&lt;=$L383,"Yes","No"))</f>
        <v/>
      </c>
      <c r="X383" s="84">
        <f>IF($A383="","",COUNTIF(Task_Steps!$B$5:$B$2004,$A383))</f>
        <v/>
      </c>
      <c r="Y383" s="86">
        <f>IF($X383=0,"",COUNTIFS(Task_Steps!$B$5:$B$2004,$A383,Task_Steps!$H$5:$H$2004,"Completed")/$X383)</f>
        <v/>
      </c>
      <c r="Z383" s="81" t="n"/>
      <c r="AA383" s="81" t="n"/>
      <c r="AB383" s="67">
        <f>IF($F383="","",IFERROR(INDEX(Employee_Master!$E$5:$E$204,MATCH($F383,Employee_Master!$B$5:$B$204,0)),""))</f>
        <v/>
      </c>
      <c r="AC383" s="65">
        <f>IF(OR($A383="",$AB383=""),"",IF(OR($I383="Completed",$I383="Cancelled"),"Closed - in Manager Report","Active - in Manager Report"))</f>
        <v/>
      </c>
      <c r="AD383" s="81">
        <f>IF($A383="","",IFERROR(TEXTJOIN(", ",TRUE,FILTER(Task_Steps!$A$5:$A$2004,Task_Steps!$B$5:$B$2004=$A383)),""))</f>
        <v/>
      </c>
      <c r="AE383" s="84">
        <f>IF($A383="","",COUNTIFS(Task_Steps!$B$5:$B$2004,$A383,Task_Steps!$H$5:$H$2004,"&lt;&gt;Completed",Task_Steps!$H$5:$H$2004,"&lt;&gt;Cancelled"))</f>
        <v/>
      </c>
      <c r="AF383" s="81">
        <f>IF(OR($B383="",$A383=""),"",$B383&amp;" | "&amp;$A383)</f>
        <v/>
      </c>
    </row>
    <row r="384" ht="15" customHeight="1" s="40">
      <c r="A384" s="65">
        <f>IF(COUNTA(B384:F384)=0,"","TSK-"&amp;TEXT(ROW()-4,"0000"))</f>
        <v/>
      </c>
      <c r="B384" s="78" t="n"/>
      <c r="C384" s="78" t="n"/>
      <c r="D384" s="81" t="n"/>
      <c r="E384" s="81" t="n"/>
      <c r="F384" s="78" t="n"/>
      <c r="G384" s="67">
        <f>IF($F384="","",IFERROR(INDEX(Employee_Master!$C$5:$C$204,MATCH($F384,Employee_Master!$B$5:$B$204,0)),""))</f>
        <v/>
      </c>
      <c r="H384" s="78" t="n"/>
      <c r="I384" s="78" t="n"/>
      <c r="J384" s="67">
        <f>IF($I384="","",IFERROR(INDEX(Action_Status_Map!$B$5:$B$11,MATCH($I384,Action_Status_Map!$A$5:$A$11,0)),""))</f>
        <v/>
      </c>
      <c r="K384" s="82" t="n"/>
      <c r="L384" s="82" t="n"/>
      <c r="M384" s="82" t="n"/>
      <c r="N384" s="83" t="n"/>
      <c r="O384" s="83" t="n"/>
      <c r="P384" s="66">
        <f>IF(OR($N384="",$O384=""),"",$O384-$N384)</f>
        <v/>
      </c>
      <c r="Q384" s="84">
        <f>IF($K384="","",IF($M384&lt;&gt;"",$M384-$K384,TODAY()-$K384))</f>
        <v/>
      </c>
      <c r="R384" s="85">
        <f>IF(OR($L384="",$I384="Completed",$I384="Cancelled"),"",IF(AND($L384&lt;TODAY(),$I384&lt;&gt;"Completed",$I384&lt;&gt;"Cancelled"),"Overdue","On Track"))</f>
        <v/>
      </c>
      <c r="S384" s="65">
        <f>IF($L384="","",TEXT($L384,"yyyy-mm"))</f>
        <v/>
      </c>
      <c r="T384" s="86">
        <f>IF($I384="","",IFERROR(INDEX(Action_Status_Map!$C$5:$C$11,MATCH($I384,Action_Status_Map!$A$5:$A$11,0)),""))</f>
        <v/>
      </c>
      <c r="U384" s="81" t="n"/>
      <c r="V384" s="82" t="n"/>
      <c r="W384" s="65">
        <f>IF(OR($I384&lt;&gt;"Completed",$M384="",$L384=""),"",IF($M384&lt;=$L384,"Yes","No"))</f>
        <v/>
      </c>
      <c r="X384" s="84">
        <f>IF($A384="","",COUNTIF(Task_Steps!$B$5:$B$2004,$A384))</f>
        <v/>
      </c>
      <c r="Y384" s="86">
        <f>IF($X384=0,"",COUNTIFS(Task_Steps!$B$5:$B$2004,$A384,Task_Steps!$H$5:$H$2004,"Completed")/$X384)</f>
        <v/>
      </c>
      <c r="Z384" s="81" t="n"/>
      <c r="AA384" s="81" t="n"/>
      <c r="AB384" s="67">
        <f>IF($F384="","",IFERROR(INDEX(Employee_Master!$E$5:$E$204,MATCH($F384,Employee_Master!$B$5:$B$204,0)),""))</f>
        <v/>
      </c>
      <c r="AC384" s="65">
        <f>IF(OR($A384="",$AB384=""),"",IF(OR($I384="Completed",$I384="Cancelled"),"Closed - in Manager Report","Active - in Manager Report"))</f>
        <v/>
      </c>
      <c r="AD384" s="81">
        <f>IF($A384="","",IFERROR(TEXTJOIN(", ",TRUE,FILTER(Task_Steps!$A$5:$A$2004,Task_Steps!$B$5:$B$2004=$A384)),""))</f>
        <v/>
      </c>
      <c r="AE384" s="84">
        <f>IF($A384="","",COUNTIFS(Task_Steps!$B$5:$B$2004,$A384,Task_Steps!$H$5:$H$2004,"&lt;&gt;Completed",Task_Steps!$H$5:$H$2004,"&lt;&gt;Cancelled"))</f>
        <v/>
      </c>
      <c r="AF384" s="81">
        <f>IF(OR($B384="",$A384=""),"",$B384&amp;" | "&amp;$A384)</f>
        <v/>
      </c>
    </row>
    <row r="385" ht="15" customHeight="1" s="40">
      <c r="A385" s="65">
        <f>IF(COUNTA(B385:F385)=0,"","TSK-"&amp;TEXT(ROW()-4,"0000"))</f>
        <v/>
      </c>
      <c r="B385" s="78" t="n"/>
      <c r="C385" s="78" t="n"/>
      <c r="D385" s="81" t="n"/>
      <c r="E385" s="81" t="n"/>
      <c r="F385" s="78" t="n"/>
      <c r="G385" s="67">
        <f>IF($F385="","",IFERROR(INDEX(Employee_Master!$C$5:$C$204,MATCH($F385,Employee_Master!$B$5:$B$204,0)),""))</f>
        <v/>
      </c>
      <c r="H385" s="78" t="n"/>
      <c r="I385" s="78" t="n"/>
      <c r="J385" s="67">
        <f>IF($I385="","",IFERROR(INDEX(Action_Status_Map!$B$5:$B$11,MATCH($I385,Action_Status_Map!$A$5:$A$11,0)),""))</f>
        <v/>
      </c>
      <c r="K385" s="82" t="n"/>
      <c r="L385" s="82" t="n"/>
      <c r="M385" s="82" t="n"/>
      <c r="N385" s="83" t="n"/>
      <c r="O385" s="83" t="n"/>
      <c r="P385" s="66">
        <f>IF(OR($N385="",$O385=""),"",$O385-$N385)</f>
        <v/>
      </c>
      <c r="Q385" s="84">
        <f>IF($K385="","",IF($M385&lt;&gt;"",$M385-$K385,TODAY()-$K385))</f>
        <v/>
      </c>
      <c r="R385" s="85">
        <f>IF(OR($L385="",$I385="Completed",$I385="Cancelled"),"",IF(AND($L385&lt;TODAY(),$I385&lt;&gt;"Completed",$I385&lt;&gt;"Cancelled"),"Overdue","On Track"))</f>
        <v/>
      </c>
      <c r="S385" s="65">
        <f>IF($L385="","",TEXT($L385,"yyyy-mm"))</f>
        <v/>
      </c>
      <c r="T385" s="86">
        <f>IF($I385="","",IFERROR(INDEX(Action_Status_Map!$C$5:$C$11,MATCH($I385,Action_Status_Map!$A$5:$A$11,0)),""))</f>
        <v/>
      </c>
      <c r="U385" s="81" t="n"/>
      <c r="V385" s="82" t="n"/>
      <c r="W385" s="65">
        <f>IF(OR($I385&lt;&gt;"Completed",$M385="",$L385=""),"",IF($M385&lt;=$L385,"Yes","No"))</f>
        <v/>
      </c>
      <c r="X385" s="84">
        <f>IF($A385="","",COUNTIF(Task_Steps!$B$5:$B$2004,$A385))</f>
        <v/>
      </c>
      <c r="Y385" s="86">
        <f>IF($X385=0,"",COUNTIFS(Task_Steps!$B$5:$B$2004,$A385,Task_Steps!$H$5:$H$2004,"Completed")/$X385)</f>
        <v/>
      </c>
      <c r="Z385" s="81" t="n"/>
      <c r="AA385" s="81" t="n"/>
      <c r="AB385" s="67">
        <f>IF($F385="","",IFERROR(INDEX(Employee_Master!$E$5:$E$204,MATCH($F385,Employee_Master!$B$5:$B$204,0)),""))</f>
        <v/>
      </c>
      <c r="AC385" s="65">
        <f>IF(OR($A385="",$AB385=""),"",IF(OR($I385="Completed",$I385="Cancelled"),"Closed - in Manager Report","Active - in Manager Report"))</f>
        <v/>
      </c>
      <c r="AD385" s="81">
        <f>IF($A385="","",IFERROR(TEXTJOIN(", ",TRUE,FILTER(Task_Steps!$A$5:$A$2004,Task_Steps!$B$5:$B$2004=$A385)),""))</f>
        <v/>
      </c>
      <c r="AE385" s="84">
        <f>IF($A385="","",COUNTIFS(Task_Steps!$B$5:$B$2004,$A385,Task_Steps!$H$5:$H$2004,"&lt;&gt;Completed",Task_Steps!$H$5:$H$2004,"&lt;&gt;Cancelled"))</f>
        <v/>
      </c>
      <c r="AF385" s="81">
        <f>IF(OR($B385="",$A385=""),"",$B385&amp;" | "&amp;$A385)</f>
        <v/>
      </c>
    </row>
    <row r="386" ht="15" customHeight="1" s="40">
      <c r="A386" s="65">
        <f>IF(COUNTA(B386:F386)=0,"","TSK-"&amp;TEXT(ROW()-4,"0000"))</f>
        <v/>
      </c>
      <c r="B386" s="78" t="n"/>
      <c r="C386" s="78" t="n"/>
      <c r="D386" s="81" t="n"/>
      <c r="E386" s="81" t="n"/>
      <c r="F386" s="78" t="n"/>
      <c r="G386" s="67">
        <f>IF($F386="","",IFERROR(INDEX(Employee_Master!$C$5:$C$204,MATCH($F386,Employee_Master!$B$5:$B$204,0)),""))</f>
        <v/>
      </c>
      <c r="H386" s="78" t="n"/>
      <c r="I386" s="78" t="n"/>
      <c r="J386" s="67">
        <f>IF($I386="","",IFERROR(INDEX(Action_Status_Map!$B$5:$B$11,MATCH($I386,Action_Status_Map!$A$5:$A$11,0)),""))</f>
        <v/>
      </c>
      <c r="K386" s="82" t="n"/>
      <c r="L386" s="82" t="n"/>
      <c r="M386" s="82" t="n"/>
      <c r="N386" s="83" t="n"/>
      <c r="O386" s="83" t="n"/>
      <c r="P386" s="66">
        <f>IF(OR($N386="",$O386=""),"",$O386-$N386)</f>
        <v/>
      </c>
      <c r="Q386" s="84">
        <f>IF($K386="","",IF($M386&lt;&gt;"",$M386-$K386,TODAY()-$K386))</f>
        <v/>
      </c>
      <c r="R386" s="85">
        <f>IF(OR($L386="",$I386="Completed",$I386="Cancelled"),"",IF(AND($L386&lt;TODAY(),$I386&lt;&gt;"Completed",$I386&lt;&gt;"Cancelled"),"Overdue","On Track"))</f>
        <v/>
      </c>
      <c r="S386" s="65">
        <f>IF($L386="","",TEXT($L386,"yyyy-mm"))</f>
        <v/>
      </c>
      <c r="T386" s="86">
        <f>IF($I386="","",IFERROR(INDEX(Action_Status_Map!$C$5:$C$11,MATCH($I386,Action_Status_Map!$A$5:$A$11,0)),""))</f>
        <v/>
      </c>
      <c r="U386" s="81" t="n"/>
      <c r="V386" s="82" t="n"/>
      <c r="W386" s="65">
        <f>IF(OR($I386&lt;&gt;"Completed",$M386="",$L386=""),"",IF($M386&lt;=$L386,"Yes","No"))</f>
        <v/>
      </c>
      <c r="X386" s="84">
        <f>IF($A386="","",COUNTIF(Task_Steps!$B$5:$B$2004,$A386))</f>
        <v/>
      </c>
      <c r="Y386" s="86">
        <f>IF($X386=0,"",COUNTIFS(Task_Steps!$B$5:$B$2004,$A386,Task_Steps!$H$5:$H$2004,"Completed")/$X386)</f>
        <v/>
      </c>
      <c r="Z386" s="81" t="n"/>
      <c r="AA386" s="81" t="n"/>
      <c r="AB386" s="67">
        <f>IF($F386="","",IFERROR(INDEX(Employee_Master!$E$5:$E$204,MATCH($F386,Employee_Master!$B$5:$B$204,0)),""))</f>
        <v/>
      </c>
      <c r="AC386" s="65">
        <f>IF(OR($A386="",$AB386=""),"",IF(OR($I386="Completed",$I386="Cancelled"),"Closed - in Manager Report","Active - in Manager Report"))</f>
        <v/>
      </c>
      <c r="AD386" s="81">
        <f>IF($A386="","",IFERROR(TEXTJOIN(", ",TRUE,FILTER(Task_Steps!$A$5:$A$2004,Task_Steps!$B$5:$B$2004=$A386)),""))</f>
        <v/>
      </c>
      <c r="AE386" s="84">
        <f>IF($A386="","",COUNTIFS(Task_Steps!$B$5:$B$2004,$A386,Task_Steps!$H$5:$H$2004,"&lt;&gt;Completed",Task_Steps!$H$5:$H$2004,"&lt;&gt;Cancelled"))</f>
        <v/>
      </c>
      <c r="AF386" s="81">
        <f>IF(OR($B386="",$A386=""),"",$B386&amp;" | "&amp;$A386)</f>
        <v/>
      </c>
    </row>
    <row r="387" ht="15" customHeight="1" s="40">
      <c r="A387" s="65">
        <f>IF(COUNTA(B387:F387)=0,"","TSK-"&amp;TEXT(ROW()-4,"0000"))</f>
        <v/>
      </c>
      <c r="B387" s="78" t="n"/>
      <c r="C387" s="78" t="n"/>
      <c r="D387" s="81" t="n"/>
      <c r="E387" s="81" t="n"/>
      <c r="F387" s="78" t="n"/>
      <c r="G387" s="67">
        <f>IF($F387="","",IFERROR(INDEX(Employee_Master!$C$5:$C$204,MATCH($F387,Employee_Master!$B$5:$B$204,0)),""))</f>
        <v/>
      </c>
      <c r="H387" s="78" t="n"/>
      <c r="I387" s="78" t="n"/>
      <c r="J387" s="67">
        <f>IF($I387="","",IFERROR(INDEX(Action_Status_Map!$B$5:$B$11,MATCH($I387,Action_Status_Map!$A$5:$A$11,0)),""))</f>
        <v/>
      </c>
      <c r="K387" s="82" t="n"/>
      <c r="L387" s="82" t="n"/>
      <c r="M387" s="82" t="n"/>
      <c r="N387" s="83" t="n"/>
      <c r="O387" s="83" t="n"/>
      <c r="P387" s="66">
        <f>IF(OR($N387="",$O387=""),"",$O387-$N387)</f>
        <v/>
      </c>
      <c r="Q387" s="84">
        <f>IF($K387="","",IF($M387&lt;&gt;"",$M387-$K387,TODAY()-$K387))</f>
        <v/>
      </c>
      <c r="R387" s="85">
        <f>IF(OR($L387="",$I387="Completed",$I387="Cancelled"),"",IF(AND($L387&lt;TODAY(),$I387&lt;&gt;"Completed",$I387&lt;&gt;"Cancelled"),"Overdue","On Track"))</f>
        <v/>
      </c>
      <c r="S387" s="65">
        <f>IF($L387="","",TEXT($L387,"yyyy-mm"))</f>
        <v/>
      </c>
      <c r="T387" s="86">
        <f>IF($I387="","",IFERROR(INDEX(Action_Status_Map!$C$5:$C$11,MATCH($I387,Action_Status_Map!$A$5:$A$11,0)),""))</f>
        <v/>
      </c>
      <c r="U387" s="81" t="n"/>
      <c r="V387" s="82" t="n"/>
      <c r="W387" s="65">
        <f>IF(OR($I387&lt;&gt;"Completed",$M387="",$L387=""),"",IF($M387&lt;=$L387,"Yes","No"))</f>
        <v/>
      </c>
      <c r="X387" s="84">
        <f>IF($A387="","",COUNTIF(Task_Steps!$B$5:$B$2004,$A387))</f>
        <v/>
      </c>
      <c r="Y387" s="86">
        <f>IF($X387=0,"",COUNTIFS(Task_Steps!$B$5:$B$2004,$A387,Task_Steps!$H$5:$H$2004,"Completed")/$X387)</f>
        <v/>
      </c>
      <c r="Z387" s="81" t="n"/>
      <c r="AA387" s="81" t="n"/>
      <c r="AB387" s="67">
        <f>IF($F387="","",IFERROR(INDEX(Employee_Master!$E$5:$E$204,MATCH($F387,Employee_Master!$B$5:$B$204,0)),""))</f>
        <v/>
      </c>
      <c r="AC387" s="65">
        <f>IF(OR($A387="",$AB387=""),"",IF(OR($I387="Completed",$I387="Cancelled"),"Closed - in Manager Report","Active - in Manager Report"))</f>
        <v/>
      </c>
      <c r="AD387" s="81">
        <f>IF($A387="","",IFERROR(TEXTJOIN(", ",TRUE,FILTER(Task_Steps!$A$5:$A$2004,Task_Steps!$B$5:$B$2004=$A387)),""))</f>
        <v/>
      </c>
      <c r="AE387" s="84">
        <f>IF($A387="","",COUNTIFS(Task_Steps!$B$5:$B$2004,$A387,Task_Steps!$H$5:$H$2004,"&lt;&gt;Completed",Task_Steps!$H$5:$H$2004,"&lt;&gt;Cancelled"))</f>
        <v/>
      </c>
      <c r="AF387" s="81">
        <f>IF(OR($B387="",$A387=""),"",$B387&amp;" | "&amp;$A387)</f>
        <v/>
      </c>
    </row>
    <row r="388" ht="15" customHeight="1" s="40">
      <c r="A388" s="65">
        <f>IF(COUNTA(B388:F388)=0,"","TSK-"&amp;TEXT(ROW()-4,"0000"))</f>
        <v/>
      </c>
      <c r="B388" s="78" t="n"/>
      <c r="C388" s="78" t="n"/>
      <c r="D388" s="81" t="n"/>
      <c r="E388" s="81" t="n"/>
      <c r="F388" s="78" t="n"/>
      <c r="G388" s="67">
        <f>IF($F388="","",IFERROR(INDEX(Employee_Master!$C$5:$C$204,MATCH($F388,Employee_Master!$B$5:$B$204,0)),""))</f>
        <v/>
      </c>
      <c r="H388" s="78" t="n"/>
      <c r="I388" s="78" t="n"/>
      <c r="J388" s="67">
        <f>IF($I388="","",IFERROR(INDEX(Action_Status_Map!$B$5:$B$11,MATCH($I388,Action_Status_Map!$A$5:$A$11,0)),""))</f>
        <v/>
      </c>
      <c r="K388" s="82" t="n"/>
      <c r="L388" s="82" t="n"/>
      <c r="M388" s="82" t="n"/>
      <c r="N388" s="83" t="n"/>
      <c r="O388" s="83" t="n"/>
      <c r="P388" s="66">
        <f>IF(OR($N388="",$O388=""),"",$O388-$N388)</f>
        <v/>
      </c>
      <c r="Q388" s="84">
        <f>IF($K388="","",IF($M388&lt;&gt;"",$M388-$K388,TODAY()-$K388))</f>
        <v/>
      </c>
      <c r="R388" s="85">
        <f>IF(OR($L388="",$I388="Completed",$I388="Cancelled"),"",IF(AND($L388&lt;TODAY(),$I388&lt;&gt;"Completed",$I388&lt;&gt;"Cancelled"),"Overdue","On Track"))</f>
        <v/>
      </c>
      <c r="S388" s="65">
        <f>IF($L388="","",TEXT($L388,"yyyy-mm"))</f>
        <v/>
      </c>
      <c r="T388" s="86">
        <f>IF($I388="","",IFERROR(INDEX(Action_Status_Map!$C$5:$C$11,MATCH($I388,Action_Status_Map!$A$5:$A$11,0)),""))</f>
        <v/>
      </c>
      <c r="U388" s="81" t="n"/>
      <c r="V388" s="82" t="n"/>
      <c r="W388" s="65">
        <f>IF(OR($I388&lt;&gt;"Completed",$M388="",$L388=""),"",IF($M388&lt;=$L388,"Yes","No"))</f>
        <v/>
      </c>
      <c r="X388" s="84">
        <f>IF($A388="","",COUNTIF(Task_Steps!$B$5:$B$2004,$A388))</f>
        <v/>
      </c>
      <c r="Y388" s="86">
        <f>IF($X388=0,"",COUNTIFS(Task_Steps!$B$5:$B$2004,$A388,Task_Steps!$H$5:$H$2004,"Completed")/$X388)</f>
        <v/>
      </c>
      <c r="Z388" s="81" t="n"/>
      <c r="AA388" s="81" t="n"/>
      <c r="AB388" s="67">
        <f>IF($F388="","",IFERROR(INDEX(Employee_Master!$E$5:$E$204,MATCH($F388,Employee_Master!$B$5:$B$204,0)),""))</f>
        <v/>
      </c>
      <c r="AC388" s="65">
        <f>IF(OR($A388="",$AB388=""),"",IF(OR($I388="Completed",$I388="Cancelled"),"Closed - in Manager Report","Active - in Manager Report"))</f>
        <v/>
      </c>
      <c r="AD388" s="81">
        <f>IF($A388="","",IFERROR(TEXTJOIN(", ",TRUE,FILTER(Task_Steps!$A$5:$A$2004,Task_Steps!$B$5:$B$2004=$A388)),""))</f>
        <v/>
      </c>
      <c r="AE388" s="84">
        <f>IF($A388="","",COUNTIFS(Task_Steps!$B$5:$B$2004,$A388,Task_Steps!$H$5:$H$2004,"&lt;&gt;Completed",Task_Steps!$H$5:$H$2004,"&lt;&gt;Cancelled"))</f>
        <v/>
      </c>
      <c r="AF388" s="81">
        <f>IF(OR($B388="",$A388=""),"",$B388&amp;" | "&amp;$A388)</f>
        <v/>
      </c>
    </row>
    <row r="389" ht="15" customHeight="1" s="40">
      <c r="A389" s="65">
        <f>IF(COUNTA(B389:F389)=0,"","TSK-"&amp;TEXT(ROW()-4,"0000"))</f>
        <v/>
      </c>
      <c r="B389" s="78" t="n"/>
      <c r="C389" s="78" t="n"/>
      <c r="D389" s="81" t="n"/>
      <c r="E389" s="81" t="n"/>
      <c r="F389" s="78" t="n"/>
      <c r="G389" s="67">
        <f>IF($F389="","",IFERROR(INDEX(Employee_Master!$C$5:$C$204,MATCH($F389,Employee_Master!$B$5:$B$204,0)),""))</f>
        <v/>
      </c>
      <c r="H389" s="78" t="n"/>
      <c r="I389" s="78" t="n"/>
      <c r="J389" s="67">
        <f>IF($I389="","",IFERROR(INDEX(Action_Status_Map!$B$5:$B$11,MATCH($I389,Action_Status_Map!$A$5:$A$11,0)),""))</f>
        <v/>
      </c>
      <c r="K389" s="82" t="n"/>
      <c r="L389" s="82" t="n"/>
      <c r="M389" s="82" t="n"/>
      <c r="N389" s="83" t="n"/>
      <c r="O389" s="83" t="n"/>
      <c r="P389" s="66">
        <f>IF(OR($N389="",$O389=""),"",$O389-$N389)</f>
        <v/>
      </c>
      <c r="Q389" s="84">
        <f>IF($K389="","",IF($M389&lt;&gt;"",$M389-$K389,TODAY()-$K389))</f>
        <v/>
      </c>
      <c r="R389" s="85">
        <f>IF(OR($L389="",$I389="Completed",$I389="Cancelled"),"",IF(AND($L389&lt;TODAY(),$I389&lt;&gt;"Completed",$I389&lt;&gt;"Cancelled"),"Overdue","On Track"))</f>
        <v/>
      </c>
      <c r="S389" s="65">
        <f>IF($L389="","",TEXT($L389,"yyyy-mm"))</f>
        <v/>
      </c>
      <c r="T389" s="86">
        <f>IF($I389="","",IFERROR(INDEX(Action_Status_Map!$C$5:$C$11,MATCH($I389,Action_Status_Map!$A$5:$A$11,0)),""))</f>
        <v/>
      </c>
      <c r="U389" s="81" t="n"/>
      <c r="V389" s="82" t="n"/>
      <c r="W389" s="65">
        <f>IF(OR($I389&lt;&gt;"Completed",$M389="",$L389=""),"",IF($M389&lt;=$L389,"Yes","No"))</f>
        <v/>
      </c>
      <c r="X389" s="84">
        <f>IF($A389="","",COUNTIF(Task_Steps!$B$5:$B$2004,$A389))</f>
        <v/>
      </c>
      <c r="Y389" s="86">
        <f>IF($X389=0,"",COUNTIFS(Task_Steps!$B$5:$B$2004,$A389,Task_Steps!$H$5:$H$2004,"Completed")/$X389)</f>
        <v/>
      </c>
      <c r="Z389" s="81" t="n"/>
      <c r="AA389" s="81" t="n"/>
      <c r="AB389" s="67">
        <f>IF($F389="","",IFERROR(INDEX(Employee_Master!$E$5:$E$204,MATCH($F389,Employee_Master!$B$5:$B$204,0)),""))</f>
        <v/>
      </c>
      <c r="AC389" s="65">
        <f>IF(OR($A389="",$AB389=""),"",IF(OR($I389="Completed",$I389="Cancelled"),"Closed - in Manager Report","Active - in Manager Report"))</f>
        <v/>
      </c>
      <c r="AD389" s="81">
        <f>IF($A389="","",IFERROR(TEXTJOIN(", ",TRUE,FILTER(Task_Steps!$A$5:$A$2004,Task_Steps!$B$5:$B$2004=$A389)),""))</f>
        <v/>
      </c>
      <c r="AE389" s="84">
        <f>IF($A389="","",COUNTIFS(Task_Steps!$B$5:$B$2004,$A389,Task_Steps!$H$5:$H$2004,"&lt;&gt;Completed",Task_Steps!$H$5:$H$2004,"&lt;&gt;Cancelled"))</f>
        <v/>
      </c>
      <c r="AF389" s="81">
        <f>IF(OR($B389="",$A389=""),"",$B389&amp;" | "&amp;$A389)</f>
        <v/>
      </c>
    </row>
    <row r="390" ht="15" customHeight="1" s="40">
      <c r="A390" s="65">
        <f>IF(COUNTA(B390:F390)=0,"","TSK-"&amp;TEXT(ROW()-4,"0000"))</f>
        <v/>
      </c>
      <c r="B390" s="78" t="n"/>
      <c r="C390" s="78" t="n"/>
      <c r="D390" s="81" t="n"/>
      <c r="E390" s="81" t="n"/>
      <c r="F390" s="78" t="n"/>
      <c r="G390" s="67">
        <f>IF($F390="","",IFERROR(INDEX(Employee_Master!$C$5:$C$204,MATCH($F390,Employee_Master!$B$5:$B$204,0)),""))</f>
        <v/>
      </c>
      <c r="H390" s="78" t="n"/>
      <c r="I390" s="78" t="n"/>
      <c r="J390" s="67">
        <f>IF($I390="","",IFERROR(INDEX(Action_Status_Map!$B$5:$B$11,MATCH($I390,Action_Status_Map!$A$5:$A$11,0)),""))</f>
        <v/>
      </c>
      <c r="K390" s="82" t="n"/>
      <c r="L390" s="82" t="n"/>
      <c r="M390" s="82" t="n"/>
      <c r="N390" s="83" t="n"/>
      <c r="O390" s="83" t="n"/>
      <c r="P390" s="66">
        <f>IF(OR($N390="",$O390=""),"",$O390-$N390)</f>
        <v/>
      </c>
      <c r="Q390" s="84">
        <f>IF($K390="","",IF($M390&lt;&gt;"",$M390-$K390,TODAY()-$K390))</f>
        <v/>
      </c>
      <c r="R390" s="85">
        <f>IF(OR($L390="",$I390="Completed",$I390="Cancelled"),"",IF(AND($L390&lt;TODAY(),$I390&lt;&gt;"Completed",$I390&lt;&gt;"Cancelled"),"Overdue","On Track"))</f>
        <v/>
      </c>
      <c r="S390" s="65">
        <f>IF($L390="","",TEXT($L390,"yyyy-mm"))</f>
        <v/>
      </c>
      <c r="T390" s="86">
        <f>IF($I390="","",IFERROR(INDEX(Action_Status_Map!$C$5:$C$11,MATCH($I390,Action_Status_Map!$A$5:$A$11,0)),""))</f>
        <v/>
      </c>
      <c r="U390" s="81" t="n"/>
      <c r="V390" s="82" t="n"/>
      <c r="W390" s="65">
        <f>IF(OR($I390&lt;&gt;"Completed",$M390="",$L390=""),"",IF($M390&lt;=$L390,"Yes","No"))</f>
        <v/>
      </c>
      <c r="X390" s="84">
        <f>IF($A390="","",COUNTIF(Task_Steps!$B$5:$B$2004,$A390))</f>
        <v/>
      </c>
      <c r="Y390" s="86">
        <f>IF($X390=0,"",COUNTIFS(Task_Steps!$B$5:$B$2004,$A390,Task_Steps!$H$5:$H$2004,"Completed")/$X390)</f>
        <v/>
      </c>
      <c r="Z390" s="81" t="n"/>
      <c r="AA390" s="81" t="n"/>
      <c r="AB390" s="67">
        <f>IF($F390="","",IFERROR(INDEX(Employee_Master!$E$5:$E$204,MATCH($F390,Employee_Master!$B$5:$B$204,0)),""))</f>
        <v/>
      </c>
      <c r="AC390" s="65">
        <f>IF(OR($A390="",$AB390=""),"",IF(OR($I390="Completed",$I390="Cancelled"),"Closed - in Manager Report","Active - in Manager Report"))</f>
        <v/>
      </c>
      <c r="AD390" s="81">
        <f>IF($A390="","",IFERROR(TEXTJOIN(", ",TRUE,FILTER(Task_Steps!$A$5:$A$2004,Task_Steps!$B$5:$B$2004=$A390)),""))</f>
        <v/>
      </c>
      <c r="AE390" s="84">
        <f>IF($A390="","",COUNTIFS(Task_Steps!$B$5:$B$2004,$A390,Task_Steps!$H$5:$H$2004,"&lt;&gt;Completed",Task_Steps!$H$5:$H$2004,"&lt;&gt;Cancelled"))</f>
        <v/>
      </c>
      <c r="AF390" s="81">
        <f>IF(OR($B390="",$A390=""),"",$B390&amp;" | "&amp;$A390)</f>
        <v/>
      </c>
    </row>
    <row r="391" ht="15" customHeight="1" s="40">
      <c r="A391" s="65">
        <f>IF(COUNTA(B391:F391)=0,"","TSK-"&amp;TEXT(ROW()-4,"0000"))</f>
        <v/>
      </c>
      <c r="B391" s="78" t="n"/>
      <c r="C391" s="78" t="n"/>
      <c r="D391" s="81" t="n"/>
      <c r="E391" s="81" t="n"/>
      <c r="F391" s="78" t="n"/>
      <c r="G391" s="67">
        <f>IF($F391="","",IFERROR(INDEX(Employee_Master!$C$5:$C$204,MATCH($F391,Employee_Master!$B$5:$B$204,0)),""))</f>
        <v/>
      </c>
      <c r="H391" s="78" t="n"/>
      <c r="I391" s="78" t="n"/>
      <c r="J391" s="67">
        <f>IF($I391="","",IFERROR(INDEX(Action_Status_Map!$B$5:$B$11,MATCH($I391,Action_Status_Map!$A$5:$A$11,0)),""))</f>
        <v/>
      </c>
      <c r="K391" s="82" t="n"/>
      <c r="L391" s="82" t="n"/>
      <c r="M391" s="82" t="n"/>
      <c r="N391" s="83" t="n"/>
      <c r="O391" s="83" t="n"/>
      <c r="P391" s="66">
        <f>IF(OR($N391="",$O391=""),"",$O391-$N391)</f>
        <v/>
      </c>
      <c r="Q391" s="84">
        <f>IF($K391="","",IF($M391&lt;&gt;"",$M391-$K391,TODAY()-$K391))</f>
        <v/>
      </c>
      <c r="R391" s="85">
        <f>IF(OR($L391="",$I391="Completed",$I391="Cancelled"),"",IF(AND($L391&lt;TODAY(),$I391&lt;&gt;"Completed",$I391&lt;&gt;"Cancelled"),"Overdue","On Track"))</f>
        <v/>
      </c>
      <c r="S391" s="65">
        <f>IF($L391="","",TEXT($L391,"yyyy-mm"))</f>
        <v/>
      </c>
      <c r="T391" s="86">
        <f>IF($I391="","",IFERROR(INDEX(Action_Status_Map!$C$5:$C$11,MATCH($I391,Action_Status_Map!$A$5:$A$11,0)),""))</f>
        <v/>
      </c>
      <c r="U391" s="81" t="n"/>
      <c r="V391" s="82" t="n"/>
      <c r="W391" s="65">
        <f>IF(OR($I391&lt;&gt;"Completed",$M391="",$L391=""),"",IF($M391&lt;=$L391,"Yes","No"))</f>
        <v/>
      </c>
      <c r="X391" s="84">
        <f>IF($A391="","",COUNTIF(Task_Steps!$B$5:$B$2004,$A391))</f>
        <v/>
      </c>
      <c r="Y391" s="86">
        <f>IF($X391=0,"",COUNTIFS(Task_Steps!$B$5:$B$2004,$A391,Task_Steps!$H$5:$H$2004,"Completed")/$X391)</f>
        <v/>
      </c>
      <c r="Z391" s="81" t="n"/>
      <c r="AA391" s="81" t="n"/>
      <c r="AB391" s="67">
        <f>IF($F391="","",IFERROR(INDEX(Employee_Master!$E$5:$E$204,MATCH($F391,Employee_Master!$B$5:$B$204,0)),""))</f>
        <v/>
      </c>
      <c r="AC391" s="65">
        <f>IF(OR($A391="",$AB391=""),"",IF(OR($I391="Completed",$I391="Cancelled"),"Closed - in Manager Report","Active - in Manager Report"))</f>
        <v/>
      </c>
      <c r="AD391" s="81">
        <f>IF($A391="","",IFERROR(TEXTJOIN(", ",TRUE,FILTER(Task_Steps!$A$5:$A$2004,Task_Steps!$B$5:$B$2004=$A391)),""))</f>
        <v/>
      </c>
      <c r="AE391" s="84">
        <f>IF($A391="","",COUNTIFS(Task_Steps!$B$5:$B$2004,$A391,Task_Steps!$H$5:$H$2004,"&lt;&gt;Completed",Task_Steps!$H$5:$H$2004,"&lt;&gt;Cancelled"))</f>
        <v/>
      </c>
      <c r="AF391" s="81">
        <f>IF(OR($B391="",$A391=""),"",$B391&amp;" | "&amp;$A391)</f>
        <v/>
      </c>
    </row>
    <row r="392" ht="15" customHeight="1" s="40">
      <c r="A392" s="65">
        <f>IF(COUNTA(B392:F392)=0,"","TSK-"&amp;TEXT(ROW()-4,"0000"))</f>
        <v/>
      </c>
      <c r="B392" s="78" t="n"/>
      <c r="C392" s="78" t="n"/>
      <c r="D392" s="81" t="n"/>
      <c r="E392" s="81" t="n"/>
      <c r="F392" s="78" t="n"/>
      <c r="G392" s="67">
        <f>IF($F392="","",IFERROR(INDEX(Employee_Master!$C$5:$C$204,MATCH($F392,Employee_Master!$B$5:$B$204,0)),""))</f>
        <v/>
      </c>
      <c r="H392" s="78" t="n"/>
      <c r="I392" s="78" t="n"/>
      <c r="J392" s="67">
        <f>IF($I392="","",IFERROR(INDEX(Action_Status_Map!$B$5:$B$11,MATCH($I392,Action_Status_Map!$A$5:$A$11,0)),""))</f>
        <v/>
      </c>
      <c r="K392" s="82" t="n"/>
      <c r="L392" s="82" t="n"/>
      <c r="M392" s="82" t="n"/>
      <c r="N392" s="83" t="n"/>
      <c r="O392" s="83" t="n"/>
      <c r="P392" s="66">
        <f>IF(OR($N392="",$O392=""),"",$O392-$N392)</f>
        <v/>
      </c>
      <c r="Q392" s="84">
        <f>IF($K392="","",IF($M392&lt;&gt;"",$M392-$K392,TODAY()-$K392))</f>
        <v/>
      </c>
      <c r="R392" s="85">
        <f>IF(OR($L392="",$I392="Completed",$I392="Cancelled"),"",IF(AND($L392&lt;TODAY(),$I392&lt;&gt;"Completed",$I392&lt;&gt;"Cancelled"),"Overdue","On Track"))</f>
        <v/>
      </c>
      <c r="S392" s="65">
        <f>IF($L392="","",TEXT($L392,"yyyy-mm"))</f>
        <v/>
      </c>
      <c r="T392" s="86">
        <f>IF($I392="","",IFERROR(INDEX(Action_Status_Map!$C$5:$C$11,MATCH($I392,Action_Status_Map!$A$5:$A$11,0)),""))</f>
        <v/>
      </c>
      <c r="U392" s="81" t="n"/>
      <c r="V392" s="82" t="n"/>
      <c r="W392" s="65">
        <f>IF(OR($I392&lt;&gt;"Completed",$M392="",$L392=""),"",IF($M392&lt;=$L392,"Yes","No"))</f>
        <v/>
      </c>
      <c r="X392" s="84">
        <f>IF($A392="","",COUNTIF(Task_Steps!$B$5:$B$2004,$A392))</f>
        <v/>
      </c>
      <c r="Y392" s="86">
        <f>IF($X392=0,"",COUNTIFS(Task_Steps!$B$5:$B$2004,$A392,Task_Steps!$H$5:$H$2004,"Completed")/$X392)</f>
        <v/>
      </c>
      <c r="Z392" s="81" t="n"/>
      <c r="AA392" s="81" t="n"/>
      <c r="AB392" s="67">
        <f>IF($F392="","",IFERROR(INDEX(Employee_Master!$E$5:$E$204,MATCH($F392,Employee_Master!$B$5:$B$204,0)),""))</f>
        <v/>
      </c>
      <c r="AC392" s="65">
        <f>IF(OR($A392="",$AB392=""),"",IF(OR($I392="Completed",$I392="Cancelled"),"Closed - in Manager Report","Active - in Manager Report"))</f>
        <v/>
      </c>
      <c r="AD392" s="81">
        <f>IF($A392="","",IFERROR(TEXTJOIN(", ",TRUE,FILTER(Task_Steps!$A$5:$A$2004,Task_Steps!$B$5:$B$2004=$A392)),""))</f>
        <v/>
      </c>
      <c r="AE392" s="84">
        <f>IF($A392="","",COUNTIFS(Task_Steps!$B$5:$B$2004,$A392,Task_Steps!$H$5:$H$2004,"&lt;&gt;Completed",Task_Steps!$H$5:$H$2004,"&lt;&gt;Cancelled"))</f>
        <v/>
      </c>
      <c r="AF392" s="81">
        <f>IF(OR($B392="",$A392=""),"",$B392&amp;" | "&amp;$A392)</f>
        <v/>
      </c>
    </row>
    <row r="393" ht="15" customHeight="1" s="40">
      <c r="A393" s="65">
        <f>IF(COUNTA(B393:F393)=0,"","TSK-"&amp;TEXT(ROW()-4,"0000"))</f>
        <v/>
      </c>
      <c r="B393" s="78" t="n"/>
      <c r="C393" s="78" t="n"/>
      <c r="D393" s="81" t="n"/>
      <c r="E393" s="81" t="n"/>
      <c r="F393" s="78" t="n"/>
      <c r="G393" s="67">
        <f>IF($F393="","",IFERROR(INDEX(Employee_Master!$C$5:$C$204,MATCH($F393,Employee_Master!$B$5:$B$204,0)),""))</f>
        <v/>
      </c>
      <c r="H393" s="78" t="n"/>
      <c r="I393" s="78" t="n"/>
      <c r="J393" s="67">
        <f>IF($I393="","",IFERROR(INDEX(Action_Status_Map!$B$5:$B$11,MATCH($I393,Action_Status_Map!$A$5:$A$11,0)),""))</f>
        <v/>
      </c>
      <c r="K393" s="82" t="n"/>
      <c r="L393" s="82" t="n"/>
      <c r="M393" s="82" t="n"/>
      <c r="N393" s="83" t="n"/>
      <c r="O393" s="83" t="n"/>
      <c r="P393" s="66">
        <f>IF(OR($N393="",$O393=""),"",$O393-$N393)</f>
        <v/>
      </c>
      <c r="Q393" s="84">
        <f>IF($K393="","",IF($M393&lt;&gt;"",$M393-$K393,TODAY()-$K393))</f>
        <v/>
      </c>
      <c r="R393" s="85">
        <f>IF(OR($L393="",$I393="Completed",$I393="Cancelled"),"",IF(AND($L393&lt;TODAY(),$I393&lt;&gt;"Completed",$I393&lt;&gt;"Cancelled"),"Overdue","On Track"))</f>
        <v/>
      </c>
      <c r="S393" s="65">
        <f>IF($L393="","",TEXT($L393,"yyyy-mm"))</f>
        <v/>
      </c>
      <c r="T393" s="86">
        <f>IF($I393="","",IFERROR(INDEX(Action_Status_Map!$C$5:$C$11,MATCH($I393,Action_Status_Map!$A$5:$A$11,0)),""))</f>
        <v/>
      </c>
      <c r="U393" s="81" t="n"/>
      <c r="V393" s="82" t="n"/>
      <c r="W393" s="65">
        <f>IF(OR($I393&lt;&gt;"Completed",$M393="",$L393=""),"",IF($M393&lt;=$L393,"Yes","No"))</f>
        <v/>
      </c>
      <c r="X393" s="84">
        <f>IF($A393="","",COUNTIF(Task_Steps!$B$5:$B$2004,$A393))</f>
        <v/>
      </c>
      <c r="Y393" s="86">
        <f>IF($X393=0,"",COUNTIFS(Task_Steps!$B$5:$B$2004,$A393,Task_Steps!$H$5:$H$2004,"Completed")/$X393)</f>
        <v/>
      </c>
      <c r="Z393" s="81" t="n"/>
      <c r="AA393" s="81" t="n"/>
      <c r="AB393" s="67">
        <f>IF($F393="","",IFERROR(INDEX(Employee_Master!$E$5:$E$204,MATCH($F393,Employee_Master!$B$5:$B$204,0)),""))</f>
        <v/>
      </c>
      <c r="AC393" s="65">
        <f>IF(OR($A393="",$AB393=""),"",IF(OR($I393="Completed",$I393="Cancelled"),"Closed - in Manager Report","Active - in Manager Report"))</f>
        <v/>
      </c>
      <c r="AD393" s="81">
        <f>IF($A393="","",IFERROR(TEXTJOIN(", ",TRUE,FILTER(Task_Steps!$A$5:$A$2004,Task_Steps!$B$5:$B$2004=$A393)),""))</f>
        <v/>
      </c>
      <c r="AE393" s="84">
        <f>IF($A393="","",COUNTIFS(Task_Steps!$B$5:$B$2004,$A393,Task_Steps!$H$5:$H$2004,"&lt;&gt;Completed",Task_Steps!$H$5:$H$2004,"&lt;&gt;Cancelled"))</f>
        <v/>
      </c>
      <c r="AF393" s="81">
        <f>IF(OR($B393="",$A393=""),"",$B393&amp;" | "&amp;$A393)</f>
        <v/>
      </c>
    </row>
    <row r="394" ht="15" customHeight="1" s="40">
      <c r="A394" s="65">
        <f>IF(COUNTA(B394:F394)=0,"","TSK-"&amp;TEXT(ROW()-4,"0000"))</f>
        <v/>
      </c>
      <c r="B394" s="78" t="n"/>
      <c r="C394" s="78" t="n"/>
      <c r="D394" s="81" t="n"/>
      <c r="E394" s="81" t="n"/>
      <c r="F394" s="78" t="n"/>
      <c r="G394" s="67">
        <f>IF($F394="","",IFERROR(INDEX(Employee_Master!$C$5:$C$204,MATCH($F394,Employee_Master!$B$5:$B$204,0)),""))</f>
        <v/>
      </c>
      <c r="H394" s="78" t="n"/>
      <c r="I394" s="78" t="n"/>
      <c r="J394" s="67">
        <f>IF($I394="","",IFERROR(INDEX(Action_Status_Map!$B$5:$B$11,MATCH($I394,Action_Status_Map!$A$5:$A$11,0)),""))</f>
        <v/>
      </c>
      <c r="K394" s="82" t="n"/>
      <c r="L394" s="82" t="n"/>
      <c r="M394" s="82" t="n"/>
      <c r="N394" s="83" t="n"/>
      <c r="O394" s="83" t="n"/>
      <c r="P394" s="66">
        <f>IF(OR($N394="",$O394=""),"",$O394-$N394)</f>
        <v/>
      </c>
      <c r="Q394" s="84">
        <f>IF($K394="","",IF($M394&lt;&gt;"",$M394-$K394,TODAY()-$K394))</f>
        <v/>
      </c>
      <c r="R394" s="85">
        <f>IF(OR($L394="",$I394="Completed",$I394="Cancelled"),"",IF(AND($L394&lt;TODAY(),$I394&lt;&gt;"Completed",$I394&lt;&gt;"Cancelled"),"Overdue","On Track"))</f>
        <v/>
      </c>
      <c r="S394" s="65">
        <f>IF($L394="","",TEXT($L394,"yyyy-mm"))</f>
        <v/>
      </c>
      <c r="T394" s="86">
        <f>IF($I394="","",IFERROR(INDEX(Action_Status_Map!$C$5:$C$11,MATCH($I394,Action_Status_Map!$A$5:$A$11,0)),""))</f>
        <v/>
      </c>
      <c r="U394" s="81" t="n"/>
      <c r="V394" s="82" t="n"/>
      <c r="W394" s="65">
        <f>IF(OR($I394&lt;&gt;"Completed",$M394="",$L394=""),"",IF($M394&lt;=$L394,"Yes","No"))</f>
        <v/>
      </c>
      <c r="X394" s="84">
        <f>IF($A394="","",COUNTIF(Task_Steps!$B$5:$B$2004,$A394))</f>
        <v/>
      </c>
      <c r="Y394" s="86">
        <f>IF($X394=0,"",COUNTIFS(Task_Steps!$B$5:$B$2004,$A394,Task_Steps!$H$5:$H$2004,"Completed")/$X394)</f>
        <v/>
      </c>
      <c r="Z394" s="81" t="n"/>
      <c r="AA394" s="81" t="n"/>
      <c r="AB394" s="67">
        <f>IF($F394="","",IFERROR(INDEX(Employee_Master!$E$5:$E$204,MATCH($F394,Employee_Master!$B$5:$B$204,0)),""))</f>
        <v/>
      </c>
      <c r="AC394" s="65">
        <f>IF(OR($A394="",$AB394=""),"",IF(OR($I394="Completed",$I394="Cancelled"),"Closed - in Manager Report","Active - in Manager Report"))</f>
        <v/>
      </c>
      <c r="AD394" s="81">
        <f>IF($A394="","",IFERROR(TEXTJOIN(", ",TRUE,FILTER(Task_Steps!$A$5:$A$2004,Task_Steps!$B$5:$B$2004=$A394)),""))</f>
        <v/>
      </c>
      <c r="AE394" s="84">
        <f>IF($A394="","",COUNTIFS(Task_Steps!$B$5:$B$2004,$A394,Task_Steps!$H$5:$H$2004,"&lt;&gt;Completed",Task_Steps!$H$5:$H$2004,"&lt;&gt;Cancelled"))</f>
        <v/>
      </c>
      <c r="AF394" s="81">
        <f>IF(OR($B394="",$A394=""),"",$B394&amp;" | "&amp;$A394)</f>
        <v/>
      </c>
    </row>
    <row r="395" ht="15" customHeight="1" s="40">
      <c r="A395" s="65">
        <f>IF(COUNTA(B395:F395)=0,"","TSK-"&amp;TEXT(ROW()-4,"0000"))</f>
        <v/>
      </c>
      <c r="B395" s="78" t="n"/>
      <c r="C395" s="78" t="n"/>
      <c r="D395" s="81" t="n"/>
      <c r="E395" s="81" t="n"/>
      <c r="F395" s="78" t="n"/>
      <c r="G395" s="67">
        <f>IF($F395="","",IFERROR(INDEX(Employee_Master!$C$5:$C$204,MATCH($F395,Employee_Master!$B$5:$B$204,0)),""))</f>
        <v/>
      </c>
      <c r="H395" s="78" t="n"/>
      <c r="I395" s="78" t="n"/>
      <c r="J395" s="67">
        <f>IF($I395="","",IFERROR(INDEX(Action_Status_Map!$B$5:$B$11,MATCH($I395,Action_Status_Map!$A$5:$A$11,0)),""))</f>
        <v/>
      </c>
      <c r="K395" s="82" t="n"/>
      <c r="L395" s="82" t="n"/>
      <c r="M395" s="82" t="n"/>
      <c r="N395" s="83" t="n"/>
      <c r="O395" s="83" t="n"/>
      <c r="P395" s="66">
        <f>IF(OR($N395="",$O395=""),"",$O395-$N395)</f>
        <v/>
      </c>
      <c r="Q395" s="84">
        <f>IF($K395="","",IF($M395&lt;&gt;"",$M395-$K395,TODAY()-$K395))</f>
        <v/>
      </c>
      <c r="R395" s="85">
        <f>IF(OR($L395="",$I395="Completed",$I395="Cancelled"),"",IF(AND($L395&lt;TODAY(),$I395&lt;&gt;"Completed",$I395&lt;&gt;"Cancelled"),"Overdue","On Track"))</f>
        <v/>
      </c>
      <c r="S395" s="65">
        <f>IF($L395="","",TEXT($L395,"yyyy-mm"))</f>
        <v/>
      </c>
      <c r="T395" s="86">
        <f>IF($I395="","",IFERROR(INDEX(Action_Status_Map!$C$5:$C$11,MATCH($I395,Action_Status_Map!$A$5:$A$11,0)),""))</f>
        <v/>
      </c>
      <c r="U395" s="81" t="n"/>
      <c r="V395" s="82" t="n"/>
      <c r="W395" s="65">
        <f>IF(OR($I395&lt;&gt;"Completed",$M395="",$L395=""),"",IF($M395&lt;=$L395,"Yes","No"))</f>
        <v/>
      </c>
      <c r="X395" s="84">
        <f>IF($A395="","",COUNTIF(Task_Steps!$B$5:$B$2004,$A395))</f>
        <v/>
      </c>
      <c r="Y395" s="86">
        <f>IF($X395=0,"",COUNTIFS(Task_Steps!$B$5:$B$2004,$A395,Task_Steps!$H$5:$H$2004,"Completed")/$X395)</f>
        <v/>
      </c>
      <c r="Z395" s="81" t="n"/>
      <c r="AA395" s="81" t="n"/>
      <c r="AB395" s="67">
        <f>IF($F395="","",IFERROR(INDEX(Employee_Master!$E$5:$E$204,MATCH($F395,Employee_Master!$B$5:$B$204,0)),""))</f>
        <v/>
      </c>
      <c r="AC395" s="65">
        <f>IF(OR($A395="",$AB395=""),"",IF(OR($I395="Completed",$I395="Cancelled"),"Closed - in Manager Report","Active - in Manager Report"))</f>
        <v/>
      </c>
      <c r="AD395" s="81">
        <f>IF($A395="","",IFERROR(TEXTJOIN(", ",TRUE,FILTER(Task_Steps!$A$5:$A$2004,Task_Steps!$B$5:$B$2004=$A395)),""))</f>
        <v/>
      </c>
      <c r="AE395" s="84">
        <f>IF($A395="","",COUNTIFS(Task_Steps!$B$5:$B$2004,$A395,Task_Steps!$H$5:$H$2004,"&lt;&gt;Completed",Task_Steps!$H$5:$H$2004,"&lt;&gt;Cancelled"))</f>
        <v/>
      </c>
      <c r="AF395" s="81">
        <f>IF(OR($B395="",$A395=""),"",$B395&amp;" | "&amp;$A395)</f>
        <v/>
      </c>
    </row>
    <row r="396" ht="15" customHeight="1" s="40">
      <c r="A396" s="65">
        <f>IF(COUNTA(B396:F396)=0,"","TSK-"&amp;TEXT(ROW()-4,"0000"))</f>
        <v/>
      </c>
      <c r="B396" s="78" t="n"/>
      <c r="C396" s="78" t="n"/>
      <c r="D396" s="81" t="n"/>
      <c r="E396" s="81" t="n"/>
      <c r="F396" s="78" t="n"/>
      <c r="G396" s="67">
        <f>IF($F396="","",IFERROR(INDEX(Employee_Master!$C$5:$C$204,MATCH($F396,Employee_Master!$B$5:$B$204,0)),""))</f>
        <v/>
      </c>
      <c r="H396" s="78" t="n"/>
      <c r="I396" s="78" t="n"/>
      <c r="J396" s="67">
        <f>IF($I396="","",IFERROR(INDEX(Action_Status_Map!$B$5:$B$11,MATCH($I396,Action_Status_Map!$A$5:$A$11,0)),""))</f>
        <v/>
      </c>
      <c r="K396" s="82" t="n"/>
      <c r="L396" s="82" t="n"/>
      <c r="M396" s="82" t="n"/>
      <c r="N396" s="83" t="n"/>
      <c r="O396" s="83" t="n"/>
      <c r="P396" s="66">
        <f>IF(OR($N396="",$O396=""),"",$O396-$N396)</f>
        <v/>
      </c>
      <c r="Q396" s="84">
        <f>IF($K396="","",IF($M396&lt;&gt;"",$M396-$K396,TODAY()-$K396))</f>
        <v/>
      </c>
      <c r="R396" s="85">
        <f>IF(OR($L396="",$I396="Completed",$I396="Cancelled"),"",IF(AND($L396&lt;TODAY(),$I396&lt;&gt;"Completed",$I396&lt;&gt;"Cancelled"),"Overdue","On Track"))</f>
        <v/>
      </c>
      <c r="S396" s="65">
        <f>IF($L396="","",TEXT($L396,"yyyy-mm"))</f>
        <v/>
      </c>
      <c r="T396" s="86">
        <f>IF($I396="","",IFERROR(INDEX(Action_Status_Map!$C$5:$C$11,MATCH($I396,Action_Status_Map!$A$5:$A$11,0)),""))</f>
        <v/>
      </c>
      <c r="U396" s="81" t="n"/>
      <c r="V396" s="82" t="n"/>
      <c r="W396" s="65">
        <f>IF(OR($I396&lt;&gt;"Completed",$M396="",$L396=""),"",IF($M396&lt;=$L396,"Yes","No"))</f>
        <v/>
      </c>
      <c r="X396" s="84">
        <f>IF($A396="","",COUNTIF(Task_Steps!$B$5:$B$2004,$A396))</f>
        <v/>
      </c>
      <c r="Y396" s="86">
        <f>IF($X396=0,"",COUNTIFS(Task_Steps!$B$5:$B$2004,$A396,Task_Steps!$H$5:$H$2004,"Completed")/$X396)</f>
        <v/>
      </c>
      <c r="Z396" s="81" t="n"/>
      <c r="AA396" s="81" t="n"/>
      <c r="AB396" s="67">
        <f>IF($F396="","",IFERROR(INDEX(Employee_Master!$E$5:$E$204,MATCH($F396,Employee_Master!$B$5:$B$204,0)),""))</f>
        <v/>
      </c>
      <c r="AC396" s="65">
        <f>IF(OR($A396="",$AB396=""),"",IF(OR($I396="Completed",$I396="Cancelled"),"Closed - in Manager Report","Active - in Manager Report"))</f>
        <v/>
      </c>
      <c r="AD396" s="81">
        <f>IF($A396="","",IFERROR(TEXTJOIN(", ",TRUE,FILTER(Task_Steps!$A$5:$A$2004,Task_Steps!$B$5:$B$2004=$A396)),""))</f>
        <v/>
      </c>
      <c r="AE396" s="84">
        <f>IF($A396="","",COUNTIFS(Task_Steps!$B$5:$B$2004,$A396,Task_Steps!$H$5:$H$2004,"&lt;&gt;Completed",Task_Steps!$H$5:$H$2004,"&lt;&gt;Cancelled"))</f>
        <v/>
      </c>
      <c r="AF396" s="81">
        <f>IF(OR($B396="",$A396=""),"",$B396&amp;" | "&amp;$A396)</f>
        <v/>
      </c>
    </row>
    <row r="397" ht="15" customHeight="1" s="40">
      <c r="A397" s="65">
        <f>IF(COUNTA(B397:F397)=0,"","TSK-"&amp;TEXT(ROW()-4,"0000"))</f>
        <v/>
      </c>
      <c r="B397" s="78" t="n"/>
      <c r="C397" s="78" t="n"/>
      <c r="D397" s="81" t="n"/>
      <c r="E397" s="81" t="n"/>
      <c r="F397" s="78" t="n"/>
      <c r="G397" s="67">
        <f>IF($F397="","",IFERROR(INDEX(Employee_Master!$C$5:$C$204,MATCH($F397,Employee_Master!$B$5:$B$204,0)),""))</f>
        <v/>
      </c>
      <c r="H397" s="78" t="n"/>
      <c r="I397" s="78" t="n"/>
      <c r="J397" s="67">
        <f>IF($I397="","",IFERROR(INDEX(Action_Status_Map!$B$5:$B$11,MATCH($I397,Action_Status_Map!$A$5:$A$11,0)),""))</f>
        <v/>
      </c>
      <c r="K397" s="82" t="n"/>
      <c r="L397" s="82" t="n"/>
      <c r="M397" s="82" t="n"/>
      <c r="N397" s="83" t="n"/>
      <c r="O397" s="83" t="n"/>
      <c r="P397" s="66">
        <f>IF(OR($N397="",$O397=""),"",$O397-$N397)</f>
        <v/>
      </c>
      <c r="Q397" s="84">
        <f>IF($K397="","",IF($M397&lt;&gt;"",$M397-$K397,TODAY()-$K397))</f>
        <v/>
      </c>
      <c r="R397" s="85">
        <f>IF(OR($L397="",$I397="Completed",$I397="Cancelled"),"",IF(AND($L397&lt;TODAY(),$I397&lt;&gt;"Completed",$I397&lt;&gt;"Cancelled"),"Overdue","On Track"))</f>
        <v/>
      </c>
      <c r="S397" s="65">
        <f>IF($L397="","",TEXT($L397,"yyyy-mm"))</f>
        <v/>
      </c>
      <c r="T397" s="86">
        <f>IF($I397="","",IFERROR(INDEX(Action_Status_Map!$C$5:$C$11,MATCH($I397,Action_Status_Map!$A$5:$A$11,0)),""))</f>
        <v/>
      </c>
      <c r="U397" s="81" t="n"/>
      <c r="V397" s="82" t="n"/>
      <c r="W397" s="65">
        <f>IF(OR($I397&lt;&gt;"Completed",$M397="",$L397=""),"",IF($M397&lt;=$L397,"Yes","No"))</f>
        <v/>
      </c>
      <c r="X397" s="84">
        <f>IF($A397="","",COUNTIF(Task_Steps!$B$5:$B$2004,$A397))</f>
        <v/>
      </c>
      <c r="Y397" s="86">
        <f>IF($X397=0,"",COUNTIFS(Task_Steps!$B$5:$B$2004,$A397,Task_Steps!$H$5:$H$2004,"Completed")/$X397)</f>
        <v/>
      </c>
      <c r="Z397" s="81" t="n"/>
      <c r="AA397" s="81" t="n"/>
      <c r="AB397" s="67">
        <f>IF($F397="","",IFERROR(INDEX(Employee_Master!$E$5:$E$204,MATCH($F397,Employee_Master!$B$5:$B$204,0)),""))</f>
        <v/>
      </c>
      <c r="AC397" s="65">
        <f>IF(OR($A397="",$AB397=""),"",IF(OR($I397="Completed",$I397="Cancelled"),"Closed - in Manager Report","Active - in Manager Report"))</f>
        <v/>
      </c>
      <c r="AD397" s="81">
        <f>IF($A397="","",IFERROR(TEXTJOIN(", ",TRUE,FILTER(Task_Steps!$A$5:$A$2004,Task_Steps!$B$5:$B$2004=$A397)),""))</f>
        <v/>
      </c>
      <c r="AE397" s="84">
        <f>IF($A397="","",COUNTIFS(Task_Steps!$B$5:$B$2004,$A397,Task_Steps!$H$5:$H$2004,"&lt;&gt;Completed",Task_Steps!$H$5:$H$2004,"&lt;&gt;Cancelled"))</f>
        <v/>
      </c>
      <c r="AF397" s="81">
        <f>IF(OR($B397="",$A397=""),"",$B397&amp;" | "&amp;$A397)</f>
        <v/>
      </c>
    </row>
    <row r="398" ht="15" customHeight="1" s="40">
      <c r="A398" s="65">
        <f>IF(COUNTA(B398:F398)=0,"","TSK-"&amp;TEXT(ROW()-4,"0000"))</f>
        <v/>
      </c>
      <c r="B398" s="78" t="n"/>
      <c r="C398" s="78" t="n"/>
      <c r="D398" s="81" t="n"/>
      <c r="E398" s="81" t="n"/>
      <c r="F398" s="78" t="n"/>
      <c r="G398" s="67">
        <f>IF($F398="","",IFERROR(INDEX(Employee_Master!$C$5:$C$204,MATCH($F398,Employee_Master!$B$5:$B$204,0)),""))</f>
        <v/>
      </c>
      <c r="H398" s="78" t="n"/>
      <c r="I398" s="78" t="n"/>
      <c r="J398" s="67">
        <f>IF($I398="","",IFERROR(INDEX(Action_Status_Map!$B$5:$B$11,MATCH($I398,Action_Status_Map!$A$5:$A$11,0)),""))</f>
        <v/>
      </c>
      <c r="K398" s="82" t="n"/>
      <c r="L398" s="82" t="n"/>
      <c r="M398" s="82" t="n"/>
      <c r="N398" s="83" t="n"/>
      <c r="O398" s="83" t="n"/>
      <c r="P398" s="66">
        <f>IF(OR($N398="",$O398=""),"",$O398-$N398)</f>
        <v/>
      </c>
      <c r="Q398" s="84">
        <f>IF($K398="","",IF($M398&lt;&gt;"",$M398-$K398,TODAY()-$K398))</f>
        <v/>
      </c>
      <c r="R398" s="85">
        <f>IF(OR($L398="",$I398="Completed",$I398="Cancelled"),"",IF(AND($L398&lt;TODAY(),$I398&lt;&gt;"Completed",$I398&lt;&gt;"Cancelled"),"Overdue","On Track"))</f>
        <v/>
      </c>
      <c r="S398" s="65">
        <f>IF($L398="","",TEXT($L398,"yyyy-mm"))</f>
        <v/>
      </c>
      <c r="T398" s="86">
        <f>IF($I398="","",IFERROR(INDEX(Action_Status_Map!$C$5:$C$11,MATCH($I398,Action_Status_Map!$A$5:$A$11,0)),""))</f>
        <v/>
      </c>
      <c r="U398" s="81" t="n"/>
      <c r="V398" s="82" t="n"/>
      <c r="W398" s="65">
        <f>IF(OR($I398&lt;&gt;"Completed",$M398="",$L398=""),"",IF($M398&lt;=$L398,"Yes","No"))</f>
        <v/>
      </c>
      <c r="X398" s="84">
        <f>IF($A398="","",COUNTIF(Task_Steps!$B$5:$B$2004,$A398))</f>
        <v/>
      </c>
      <c r="Y398" s="86">
        <f>IF($X398=0,"",COUNTIFS(Task_Steps!$B$5:$B$2004,$A398,Task_Steps!$H$5:$H$2004,"Completed")/$X398)</f>
        <v/>
      </c>
      <c r="Z398" s="81" t="n"/>
      <c r="AA398" s="81" t="n"/>
      <c r="AB398" s="67">
        <f>IF($F398="","",IFERROR(INDEX(Employee_Master!$E$5:$E$204,MATCH($F398,Employee_Master!$B$5:$B$204,0)),""))</f>
        <v/>
      </c>
      <c r="AC398" s="65">
        <f>IF(OR($A398="",$AB398=""),"",IF(OR($I398="Completed",$I398="Cancelled"),"Closed - in Manager Report","Active - in Manager Report"))</f>
        <v/>
      </c>
      <c r="AD398" s="81">
        <f>IF($A398="","",IFERROR(TEXTJOIN(", ",TRUE,FILTER(Task_Steps!$A$5:$A$2004,Task_Steps!$B$5:$B$2004=$A398)),""))</f>
        <v/>
      </c>
      <c r="AE398" s="84">
        <f>IF($A398="","",COUNTIFS(Task_Steps!$B$5:$B$2004,$A398,Task_Steps!$H$5:$H$2004,"&lt;&gt;Completed",Task_Steps!$H$5:$H$2004,"&lt;&gt;Cancelled"))</f>
        <v/>
      </c>
      <c r="AF398" s="81">
        <f>IF(OR($B398="",$A398=""),"",$B398&amp;" | "&amp;$A398)</f>
        <v/>
      </c>
    </row>
    <row r="399" ht="15" customHeight="1" s="40">
      <c r="A399" s="65">
        <f>IF(COUNTA(B399:F399)=0,"","TSK-"&amp;TEXT(ROW()-4,"0000"))</f>
        <v/>
      </c>
      <c r="B399" s="78" t="n"/>
      <c r="C399" s="78" t="n"/>
      <c r="D399" s="81" t="n"/>
      <c r="E399" s="81" t="n"/>
      <c r="F399" s="78" t="n"/>
      <c r="G399" s="67">
        <f>IF($F399="","",IFERROR(INDEX(Employee_Master!$C$5:$C$204,MATCH($F399,Employee_Master!$B$5:$B$204,0)),""))</f>
        <v/>
      </c>
      <c r="H399" s="78" t="n"/>
      <c r="I399" s="78" t="n"/>
      <c r="J399" s="67">
        <f>IF($I399="","",IFERROR(INDEX(Action_Status_Map!$B$5:$B$11,MATCH($I399,Action_Status_Map!$A$5:$A$11,0)),""))</f>
        <v/>
      </c>
      <c r="K399" s="82" t="n"/>
      <c r="L399" s="82" t="n"/>
      <c r="M399" s="82" t="n"/>
      <c r="N399" s="83" t="n"/>
      <c r="O399" s="83" t="n"/>
      <c r="P399" s="66">
        <f>IF(OR($N399="",$O399=""),"",$O399-$N399)</f>
        <v/>
      </c>
      <c r="Q399" s="84">
        <f>IF($K399="","",IF($M399&lt;&gt;"",$M399-$K399,TODAY()-$K399))</f>
        <v/>
      </c>
      <c r="R399" s="85">
        <f>IF(OR($L399="",$I399="Completed",$I399="Cancelled"),"",IF(AND($L399&lt;TODAY(),$I399&lt;&gt;"Completed",$I399&lt;&gt;"Cancelled"),"Overdue","On Track"))</f>
        <v/>
      </c>
      <c r="S399" s="65">
        <f>IF($L399="","",TEXT($L399,"yyyy-mm"))</f>
        <v/>
      </c>
      <c r="T399" s="86">
        <f>IF($I399="","",IFERROR(INDEX(Action_Status_Map!$C$5:$C$11,MATCH($I399,Action_Status_Map!$A$5:$A$11,0)),""))</f>
        <v/>
      </c>
      <c r="U399" s="81" t="n"/>
      <c r="V399" s="82" t="n"/>
      <c r="W399" s="65">
        <f>IF(OR($I399&lt;&gt;"Completed",$M399="",$L399=""),"",IF($M399&lt;=$L399,"Yes","No"))</f>
        <v/>
      </c>
      <c r="X399" s="84">
        <f>IF($A399="","",COUNTIF(Task_Steps!$B$5:$B$2004,$A399))</f>
        <v/>
      </c>
      <c r="Y399" s="86">
        <f>IF($X399=0,"",COUNTIFS(Task_Steps!$B$5:$B$2004,$A399,Task_Steps!$H$5:$H$2004,"Completed")/$X399)</f>
        <v/>
      </c>
      <c r="Z399" s="81" t="n"/>
      <c r="AA399" s="81" t="n"/>
      <c r="AB399" s="67">
        <f>IF($F399="","",IFERROR(INDEX(Employee_Master!$E$5:$E$204,MATCH($F399,Employee_Master!$B$5:$B$204,0)),""))</f>
        <v/>
      </c>
      <c r="AC399" s="65">
        <f>IF(OR($A399="",$AB399=""),"",IF(OR($I399="Completed",$I399="Cancelled"),"Closed - in Manager Report","Active - in Manager Report"))</f>
        <v/>
      </c>
      <c r="AD399" s="81">
        <f>IF($A399="","",IFERROR(TEXTJOIN(", ",TRUE,FILTER(Task_Steps!$A$5:$A$2004,Task_Steps!$B$5:$B$2004=$A399)),""))</f>
        <v/>
      </c>
      <c r="AE399" s="84">
        <f>IF($A399="","",COUNTIFS(Task_Steps!$B$5:$B$2004,$A399,Task_Steps!$H$5:$H$2004,"&lt;&gt;Completed",Task_Steps!$H$5:$H$2004,"&lt;&gt;Cancelled"))</f>
        <v/>
      </c>
      <c r="AF399" s="81">
        <f>IF(OR($B399="",$A399=""),"",$B399&amp;" | "&amp;$A399)</f>
        <v/>
      </c>
    </row>
    <row r="400" ht="15" customHeight="1" s="40">
      <c r="A400" s="65">
        <f>IF(COUNTA(B400:F400)=0,"","TSK-"&amp;TEXT(ROW()-4,"0000"))</f>
        <v/>
      </c>
      <c r="B400" s="78" t="n"/>
      <c r="C400" s="78" t="n"/>
      <c r="D400" s="81" t="n"/>
      <c r="E400" s="81" t="n"/>
      <c r="F400" s="78" t="n"/>
      <c r="G400" s="67">
        <f>IF($F400="","",IFERROR(INDEX(Employee_Master!$C$5:$C$204,MATCH($F400,Employee_Master!$B$5:$B$204,0)),""))</f>
        <v/>
      </c>
      <c r="H400" s="78" t="n"/>
      <c r="I400" s="78" t="n"/>
      <c r="J400" s="67">
        <f>IF($I400="","",IFERROR(INDEX(Action_Status_Map!$B$5:$B$11,MATCH($I400,Action_Status_Map!$A$5:$A$11,0)),""))</f>
        <v/>
      </c>
      <c r="K400" s="82" t="n"/>
      <c r="L400" s="82" t="n"/>
      <c r="M400" s="82" t="n"/>
      <c r="N400" s="83" t="n"/>
      <c r="O400" s="83" t="n"/>
      <c r="P400" s="66">
        <f>IF(OR($N400="",$O400=""),"",$O400-$N400)</f>
        <v/>
      </c>
      <c r="Q400" s="84">
        <f>IF($K400="","",IF($M400&lt;&gt;"",$M400-$K400,TODAY()-$K400))</f>
        <v/>
      </c>
      <c r="R400" s="85">
        <f>IF(OR($L400="",$I400="Completed",$I400="Cancelled"),"",IF(AND($L400&lt;TODAY(),$I400&lt;&gt;"Completed",$I400&lt;&gt;"Cancelled"),"Overdue","On Track"))</f>
        <v/>
      </c>
      <c r="S400" s="65">
        <f>IF($L400="","",TEXT($L400,"yyyy-mm"))</f>
        <v/>
      </c>
      <c r="T400" s="86">
        <f>IF($I400="","",IFERROR(INDEX(Action_Status_Map!$C$5:$C$11,MATCH($I400,Action_Status_Map!$A$5:$A$11,0)),""))</f>
        <v/>
      </c>
      <c r="U400" s="81" t="n"/>
      <c r="V400" s="82" t="n"/>
      <c r="W400" s="65">
        <f>IF(OR($I400&lt;&gt;"Completed",$M400="",$L400=""),"",IF($M400&lt;=$L400,"Yes","No"))</f>
        <v/>
      </c>
      <c r="X400" s="84">
        <f>IF($A400="","",COUNTIF(Task_Steps!$B$5:$B$2004,$A400))</f>
        <v/>
      </c>
      <c r="Y400" s="86">
        <f>IF($X400=0,"",COUNTIFS(Task_Steps!$B$5:$B$2004,$A400,Task_Steps!$H$5:$H$2004,"Completed")/$X400)</f>
        <v/>
      </c>
      <c r="Z400" s="81" t="n"/>
      <c r="AA400" s="81" t="n"/>
      <c r="AB400" s="67">
        <f>IF($F400="","",IFERROR(INDEX(Employee_Master!$E$5:$E$204,MATCH($F400,Employee_Master!$B$5:$B$204,0)),""))</f>
        <v/>
      </c>
      <c r="AC400" s="65">
        <f>IF(OR($A400="",$AB400=""),"",IF(OR($I400="Completed",$I400="Cancelled"),"Closed - in Manager Report","Active - in Manager Report"))</f>
        <v/>
      </c>
      <c r="AD400" s="81">
        <f>IF($A400="","",IFERROR(TEXTJOIN(", ",TRUE,FILTER(Task_Steps!$A$5:$A$2004,Task_Steps!$B$5:$B$2004=$A400)),""))</f>
        <v/>
      </c>
      <c r="AE400" s="84">
        <f>IF($A400="","",COUNTIFS(Task_Steps!$B$5:$B$2004,$A400,Task_Steps!$H$5:$H$2004,"&lt;&gt;Completed",Task_Steps!$H$5:$H$2004,"&lt;&gt;Cancelled"))</f>
        <v/>
      </c>
      <c r="AF400" s="81">
        <f>IF(OR($B400="",$A400=""),"",$B400&amp;" | "&amp;$A400)</f>
        <v/>
      </c>
    </row>
    <row r="401" ht="15" customHeight="1" s="40">
      <c r="A401" s="65">
        <f>IF(COUNTA(B401:F401)=0,"","TSK-"&amp;TEXT(ROW()-4,"0000"))</f>
        <v/>
      </c>
      <c r="B401" s="78" t="n"/>
      <c r="C401" s="78" t="n"/>
      <c r="D401" s="81" t="n"/>
      <c r="E401" s="81" t="n"/>
      <c r="F401" s="78" t="n"/>
      <c r="G401" s="67">
        <f>IF($F401="","",IFERROR(INDEX(Employee_Master!$C$5:$C$204,MATCH($F401,Employee_Master!$B$5:$B$204,0)),""))</f>
        <v/>
      </c>
      <c r="H401" s="78" t="n"/>
      <c r="I401" s="78" t="n"/>
      <c r="J401" s="67">
        <f>IF($I401="","",IFERROR(INDEX(Action_Status_Map!$B$5:$B$11,MATCH($I401,Action_Status_Map!$A$5:$A$11,0)),""))</f>
        <v/>
      </c>
      <c r="K401" s="82" t="n"/>
      <c r="L401" s="82" t="n"/>
      <c r="M401" s="82" t="n"/>
      <c r="N401" s="83" t="n"/>
      <c r="O401" s="83" t="n"/>
      <c r="P401" s="66">
        <f>IF(OR($N401="",$O401=""),"",$O401-$N401)</f>
        <v/>
      </c>
      <c r="Q401" s="84">
        <f>IF($K401="","",IF($M401&lt;&gt;"",$M401-$K401,TODAY()-$K401))</f>
        <v/>
      </c>
      <c r="R401" s="85">
        <f>IF(OR($L401="",$I401="Completed",$I401="Cancelled"),"",IF(AND($L401&lt;TODAY(),$I401&lt;&gt;"Completed",$I401&lt;&gt;"Cancelled"),"Overdue","On Track"))</f>
        <v/>
      </c>
      <c r="S401" s="65">
        <f>IF($L401="","",TEXT($L401,"yyyy-mm"))</f>
        <v/>
      </c>
      <c r="T401" s="86">
        <f>IF($I401="","",IFERROR(INDEX(Action_Status_Map!$C$5:$C$11,MATCH($I401,Action_Status_Map!$A$5:$A$11,0)),""))</f>
        <v/>
      </c>
      <c r="U401" s="81" t="n"/>
      <c r="V401" s="82" t="n"/>
      <c r="W401" s="65">
        <f>IF(OR($I401&lt;&gt;"Completed",$M401="",$L401=""),"",IF($M401&lt;=$L401,"Yes","No"))</f>
        <v/>
      </c>
      <c r="X401" s="84">
        <f>IF($A401="","",COUNTIF(Task_Steps!$B$5:$B$2004,$A401))</f>
        <v/>
      </c>
      <c r="Y401" s="86">
        <f>IF($X401=0,"",COUNTIFS(Task_Steps!$B$5:$B$2004,$A401,Task_Steps!$H$5:$H$2004,"Completed")/$X401)</f>
        <v/>
      </c>
      <c r="Z401" s="81" t="n"/>
      <c r="AA401" s="81" t="n"/>
      <c r="AB401" s="67">
        <f>IF($F401="","",IFERROR(INDEX(Employee_Master!$E$5:$E$204,MATCH($F401,Employee_Master!$B$5:$B$204,0)),""))</f>
        <v/>
      </c>
      <c r="AC401" s="65">
        <f>IF(OR($A401="",$AB401=""),"",IF(OR($I401="Completed",$I401="Cancelled"),"Closed - in Manager Report","Active - in Manager Report"))</f>
        <v/>
      </c>
      <c r="AD401" s="81">
        <f>IF($A401="","",IFERROR(TEXTJOIN(", ",TRUE,FILTER(Task_Steps!$A$5:$A$2004,Task_Steps!$B$5:$B$2004=$A401)),""))</f>
        <v/>
      </c>
      <c r="AE401" s="84">
        <f>IF($A401="","",COUNTIFS(Task_Steps!$B$5:$B$2004,$A401,Task_Steps!$H$5:$H$2004,"&lt;&gt;Completed",Task_Steps!$H$5:$H$2004,"&lt;&gt;Cancelled"))</f>
        <v/>
      </c>
      <c r="AF401" s="81">
        <f>IF(OR($B401="",$A401=""),"",$B401&amp;" | "&amp;$A401)</f>
        <v/>
      </c>
    </row>
    <row r="402" ht="15" customHeight="1" s="40">
      <c r="A402" s="65">
        <f>IF(COUNTA(B402:F402)=0,"","TSK-"&amp;TEXT(ROW()-4,"0000"))</f>
        <v/>
      </c>
      <c r="B402" s="78" t="n"/>
      <c r="C402" s="78" t="n"/>
      <c r="D402" s="81" t="n"/>
      <c r="E402" s="81" t="n"/>
      <c r="F402" s="78" t="n"/>
      <c r="G402" s="67">
        <f>IF($F402="","",IFERROR(INDEX(Employee_Master!$C$5:$C$204,MATCH($F402,Employee_Master!$B$5:$B$204,0)),""))</f>
        <v/>
      </c>
      <c r="H402" s="78" t="n"/>
      <c r="I402" s="78" t="n"/>
      <c r="J402" s="67">
        <f>IF($I402="","",IFERROR(INDEX(Action_Status_Map!$B$5:$B$11,MATCH($I402,Action_Status_Map!$A$5:$A$11,0)),""))</f>
        <v/>
      </c>
      <c r="K402" s="82" t="n"/>
      <c r="L402" s="82" t="n"/>
      <c r="M402" s="82" t="n"/>
      <c r="N402" s="83" t="n"/>
      <c r="O402" s="83" t="n"/>
      <c r="P402" s="66">
        <f>IF(OR($N402="",$O402=""),"",$O402-$N402)</f>
        <v/>
      </c>
      <c r="Q402" s="84">
        <f>IF($K402="","",IF($M402&lt;&gt;"",$M402-$K402,TODAY()-$K402))</f>
        <v/>
      </c>
      <c r="R402" s="85">
        <f>IF(OR($L402="",$I402="Completed",$I402="Cancelled"),"",IF(AND($L402&lt;TODAY(),$I402&lt;&gt;"Completed",$I402&lt;&gt;"Cancelled"),"Overdue","On Track"))</f>
        <v/>
      </c>
      <c r="S402" s="65">
        <f>IF($L402="","",TEXT($L402,"yyyy-mm"))</f>
        <v/>
      </c>
      <c r="T402" s="86">
        <f>IF($I402="","",IFERROR(INDEX(Action_Status_Map!$C$5:$C$11,MATCH($I402,Action_Status_Map!$A$5:$A$11,0)),""))</f>
        <v/>
      </c>
      <c r="U402" s="81" t="n"/>
      <c r="V402" s="82" t="n"/>
      <c r="W402" s="65">
        <f>IF(OR($I402&lt;&gt;"Completed",$M402="",$L402=""),"",IF($M402&lt;=$L402,"Yes","No"))</f>
        <v/>
      </c>
      <c r="X402" s="84">
        <f>IF($A402="","",COUNTIF(Task_Steps!$B$5:$B$2004,$A402))</f>
        <v/>
      </c>
      <c r="Y402" s="86">
        <f>IF($X402=0,"",COUNTIFS(Task_Steps!$B$5:$B$2004,$A402,Task_Steps!$H$5:$H$2004,"Completed")/$X402)</f>
        <v/>
      </c>
      <c r="Z402" s="81" t="n"/>
      <c r="AA402" s="81" t="n"/>
      <c r="AB402" s="67">
        <f>IF($F402="","",IFERROR(INDEX(Employee_Master!$E$5:$E$204,MATCH($F402,Employee_Master!$B$5:$B$204,0)),""))</f>
        <v/>
      </c>
      <c r="AC402" s="65">
        <f>IF(OR($A402="",$AB402=""),"",IF(OR($I402="Completed",$I402="Cancelled"),"Closed - in Manager Report","Active - in Manager Report"))</f>
        <v/>
      </c>
      <c r="AD402" s="81">
        <f>IF($A402="","",IFERROR(TEXTJOIN(", ",TRUE,FILTER(Task_Steps!$A$5:$A$2004,Task_Steps!$B$5:$B$2004=$A402)),""))</f>
        <v/>
      </c>
      <c r="AE402" s="84">
        <f>IF($A402="","",COUNTIFS(Task_Steps!$B$5:$B$2004,$A402,Task_Steps!$H$5:$H$2004,"&lt;&gt;Completed",Task_Steps!$H$5:$H$2004,"&lt;&gt;Cancelled"))</f>
        <v/>
      </c>
      <c r="AF402" s="81">
        <f>IF(OR($B402="",$A402=""),"",$B402&amp;" | "&amp;$A402)</f>
        <v/>
      </c>
    </row>
    <row r="403" ht="15" customHeight="1" s="40">
      <c r="A403" s="65">
        <f>IF(COUNTA(B403:F403)=0,"","TSK-"&amp;TEXT(ROW()-4,"0000"))</f>
        <v/>
      </c>
      <c r="B403" s="78" t="n"/>
      <c r="C403" s="78" t="n"/>
      <c r="D403" s="81" t="n"/>
      <c r="E403" s="81" t="n"/>
      <c r="F403" s="78" t="n"/>
      <c r="G403" s="67">
        <f>IF($F403="","",IFERROR(INDEX(Employee_Master!$C$5:$C$204,MATCH($F403,Employee_Master!$B$5:$B$204,0)),""))</f>
        <v/>
      </c>
      <c r="H403" s="78" t="n"/>
      <c r="I403" s="78" t="n"/>
      <c r="J403" s="67">
        <f>IF($I403="","",IFERROR(INDEX(Action_Status_Map!$B$5:$B$11,MATCH($I403,Action_Status_Map!$A$5:$A$11,0)),""))</f>
        <v/>
      </c>
      <c r="K403" s="82" t="n"/>
      <c r="L403" s="82" t="n"/>
      <c r="M403" s="82" t="n"/>
      <c r="N403" s="83" t="n"/>
      <c r="O403" s="83" t="n"/>
      <c r="P403" s="66">
        <f>IF(OR($N403="",$O403=""),"",$O403-$N403)</f>
        <v/>
      </c>
      <c r="Q403" s="84">
        <f>IF($K403="","",IF($M403&lt;&gt;"",$M403-$K403,TODAY()-$K403))</f>
        <v/>
      </c>
      <c r="R403" s="85">
        <f>IF(OR($L403="",$I403="Completed",$I403="Cancelled"),"",IF(AND($L403&lt;TODAY(),$I403&lt;&gt;"Completed",$I403&lt;&gt;"Cancelled"),"Overdue","On Track"))</f>
        <v/>
      </c>
      <c r="S403" s="65">
        <f>IF($L403="","",TEXT($L403,"yyyy-mm"))</f>
        <v/>
      </c>
      <c r="T403" s="86">
        <f>IF($I403="","",IFERROR(INDEX(Action_Status_Map!$C$5:$C$11,MATCH($I403,Action_Status_Map!$A$5:$A$11,0)),""))</f>
        <v/>
      </c>
      <c r="U403" s="81" t="n"/>
      <c r="V403" s="82" t="n"/>
      <c r="W403" s="65">
        <f>IF(OR($I403&lt;&gt;"Completed",$M403="",$L403=""),"",IF($M403&lt;=$L403,"Yes","No"))</f>
        <v/>
      </c>
      <c r="X403" s="84">
        <f>IF($A403="","",COUNTIF(Task_Steps!$B$5:$B$2004,$A403))</f>
        <v/>
      </c>
      <c r="Y403" s="86">
        <f>IF($X403=0,"",COUNTIFS(Task_Steps!$B$5:$B$2004,$A403,Task_Steps!$H$5:$H$2004,"Completed")/$X403)</f>
        <v/>
      </c>
      <c r="Z403" s="81" t="n"/>
      <c r="AA403" s="81" t="n"/>
      <c r="AB403" s="67">
        <f>IF($F403="","",IFERROR(INDEX(Employee_Master!$E$5:$E$204,MATCH($F403,Employee_Master!$B$5:$B$204,0)),""))</f>
        <v/>
      </c>
      <c r="AC403" s="65">
        <f>IF(OR($A403="",$AB403=""),"",IF(OR($I403="Completed",$I403="Cancelled"),"Closed - in Manager Report","Active - in Manager Report"))</f>
        <v/>
      </c>
      <c r="AD403" s="81">
        <f>IF($A403="","",IFERROR(TEXTJOIN(", ",TRUE,FILTER(Task_Steps!$A$5:$A$2004,Task_Steps!$B$5:$B$2004=$A403)),""))</f>
        <v/>
      </c>
      <c r="AE403" s="84">
        <f>IF($A403="","",COUNTIFS(Task_Steps!$B$5:$B$2004,$A403,Task_Steps!$H$5:$H$2004,"&lt;&gt;Completed",Task_Steps!$H$5:$H$2004,"&lt;&gt;Cancelled"))</f>
        <v/>
      </c>
      <c r="AF403" s="81">
        <f>IF(OR($B403="",$A403=""),"",$B403&amp;" | "&amp;$A403)</f>
        <v/>
      </c>
    </row>
    <row r="404" ht="15" customHeight="1" s="40">
      <c r="A404" s="65">
        <f>IF(COUNTA(B404:F404)=0,"","TSK-"&amp;TEXT(ROW()-4,"0000"))</f>
        <v/>
      </c>
      <c r="B404" s="78" t="n"/>
      <c r="C404" s="78" t="n"/>
      <c r="D404" s="81" t="n"/>
      <c r="E404" s="81" t="n"/>
      <c r="F404" s="78" t="n"/>
      <c r="G404" s="67">
        <f>IF($F404="","",IFERROR(INDEX(Employee_Master!$C$5:$C$204,MATCH($F404,Employee_Master!$B$5:$B$204,0)),""))</f>
        <v/>
      </c>
      <c r="H404" s="78" t="n"/>
      <c r="I404" s="78" t="n"/>
      <c r="J404" s="67">
        <f>IF($I404="","",IFERROR(INDEX(Action_Status_Map!$B$5:$B$11,MATCH($I404,Action_Status_Map!$A$5:$A$11,0)),""))</f>
        <v/>
      </c>
      <c r="K404" s="82" t="n"/>
      <c r="L404" s="82" t="n"/>
      <c r="M404" s="82" t="n"/>
      <c r="N404" s="83" t="n"/>
      <c r="O404" s="83" t="n"/>
      <c r="P404" s="66">
        <f>IF(OR($N404="",$O404=""),"",$O404-$N404)</f>
        <v/>
      </c>
      <c r="Q404" s="84">
        <f>IF($K404="","",IF($M404&lt;&gt;"",$M404-$K404,TODAY()-$K404))</f>
        <v/>
      </c>
      <c r="R404" s="85">
        <f>IF(OR($L404="",$I404="Completed",$I404="Cancelled"),"",IF(AND($L404&lt;TODAY(),$I404&lt;&gt;"Completed",$I404&lt;&gt;"Cancelled"),"Overdue","On Track"))</f>
        <v/>
      </c>
      <c r="S404" s="65">
        <f>IF($L404="","",TEXT($L404,"yyyy-mm"))</f>
        <v/>
      </c>
      <c r="T404" s="86">
        <f>IF($I404="","",IFERROR(INDEX(Action_Status_Map!$C$5:$C$11,MATCH($I404,Action_Status_Map!$A$5:$A$11,0)),""))</f>
        <v/>
      </c>
      <c r="U404" s="81" t="n"/>
      <c r="V404" s="82" t="n"/>
      <c r="W404" s="65">
        <f>IF(OR($I404&lt;&gt;"Completed",$M404="",$L404=""),"",IF($M404&lt;=$L404,"Yes","No"))</f>
        <v/>
      </c>
      <c r="X404" s="84">
        <f>IF($A404="","",COUNTIF(Task_Steps!$B$5:$B$2004,$A404))</f>
        <v/>
      </c>
      <c r="Y404" s="86">
        <f>IF($X404=0,"",COUNTIFS(Task_Steps!$B$5:$B$2004,$A404,Task_Steps!$H$5:$H$2004,"Completed")/$X404)</f>
        <v/>
      </c>
      <c r="Z404" s="81" t="n"/>
      <c r="AA404" s="81" t="n"/>
      <c r="AB404" s="67">
        <f>IF($F404="","",IFERROR(INDEX(Employee_Master!$E$5:$E$204,MATCH($F404,Employee_Master!$B$5:$B$204,0)),""))</f>
        <v/>
      </c>
      <c r="AC404" s="65">
        <f>IF(OR($A404="",$AB404=""),"",IF(OR($I404="Completed",$I404="Cancelled"),"Closed - in Manager Report","Active - in Manager Report"))</f>
        <v/>
      </c>
      <c r="AD404" s="81">
        <f>IF($A404="","",IFERROR(TEXTJOIN(", ",TRUE,FILTER(Task_Steps!$A$5:$A$2004,Task_Steps!$B$5:$B$2004=$A404)),""))</f>
        <v/>
      </c>
      <c r="AE404" s="84">
        <f>IF($A404="","",COUNTIFS(Task_Steps!$B$5:$B$2004,$A404,Task_Steps!$H$5:$H$2004,"&lt;&gt;Completed",Task_Steps!$H$5:$H$2004,"&lt;&gt;Cancelled"))</f>
        <v/>
      </c>
      <c r="AF404" s="81">
        <f>IF(OR($B404="",$A404=""),"",$B404&amp;" | "&amp;$A404)</f>
        <v/>
      </c>
    </row>
    <row r="405" ht="15" customHeight="1" s="40">
      <c r="A405" s="65">
        <f>IF(COUNTA(B405:F405)=0,"","TSK-"&amp;TEXT(ROW()-4,"0000"))</f>
        <v/>
      </c>
      <c r="B405" s="78" t="n"/>
      <c r="C405" s="78" t="n"/>
      <c r="D405" s="81" t="n"/>
      <c r="E405" s="81" t="n"/>
      <c r="F405" s="78" t="n"/>
      <c r="G405" s="67">
        <f>IF($F405="","",IFERROR(INDEX(Employee_Master!$C$5:$C$204,MATCH($F405,Employee_Master!$B$5:$B$204,0)),""))</f>
        <v/>
      </c>
      <c r="H405" s="78" t="n"/>
      <c r="I405" s="78" t="n"/>
      <c r="J405" s="67">
        <f>IF($I405="","",IFERROR(INDEX(Action_Status_Map!$B$5:$B$11,MATCH($I405,Action_Status_Map!$A$5:$A$11,0)),""))</f>
        <v/>
      </c>
      <c r="K405" s="82" t="n"/>
      <c r="L405" s="82" t="n"/>
      <c r="M405" s="82" t="n"/>
      <c r="N405" s="83" t="n"/>
      <c r="O405" s="83" t="n"/>
      <c r="P405" s="66">
        <f>IF(OR($N405="",$O405=""),"",$O405-$N405)</f>
        <v/>
      </c>
      <c r="Q405" s="84">
        <f>IF($K405="","",IF($M405&lt;&gt;"",$M405-$K405,TODAY()-$K405))</f>
        <v/>
      </c>
      <c r="R405" s="85">
        <f>IF(OR($L405="",$I405="Completed",$I405="Cancelled"),"",IF(AND($L405&lt;TODAY(),$I405&lt;&gt;"Completed",$I405&lt;&gt;"Cancelled"),"Overdue","On Track"))</f>
        <v/>
      </c>
      <c r="S405" s="65">
        <f>IF($L405="","",TEXT($L405,"yyyy-mm"))</f>
        <v/>
      </c>
      <c r="T405" s="86">
        <f>IF($I405="","",IFERROR(INDEX(Action_Status_Map!$C$5:$C$11,MATCH($I405,Action_Status_Map!$A$5:$A$11,0)),""))</f>
        <v/>
      </c>
      <c r="U405" s="81" t="n"/>
      <c r="V405" s="82" t="n"/>
      <c r="W405" s="65">
        <f>IF(OR($I405&lt;&gt;"Completed",$M405="",$L405=""),"",IF($M405&lt;=$L405,"Yes","No"))</f>
        <v/>
      </c>
      <c r="X405" s="84">
        <f>IF($A405="","",COUNTIF(Task_Steps!$B$5:$B$2004,$A405))</f>
        <v/>
      </c>
      <c r="Y405" s="86">
        <f>IF($X405=0,"",COUNTIFS(Task_Steps!$B$5:$B$2004,$A405,Task_Steps!$H$5:$H$2004,"Completed")/$X405)</f>
        <v/>
      </c>
      <c r="Z405" s="81" t="n"/>
      <c r="AA405" s="81" t="n"/>
      <c r="AB405" s="67">
        <f>IF($F405="","",IFERROR(INDEX(Employee_Master!$E$5:$E$204,MATCH($F405,Employee_Master!$B$5:$B$204,0)),""))</f>
        <v/>
      </c>
      <c r="AC405" s="65">
        <f>IF(OR($A405="",$AB405=""),"",IF(OR($I405="Completed",$I405="Cancelled"),"Closed - in Manager Report","Active - in Manager Report"))</f>
        <v/>
      </c>
      <c r="AD405" s="81">
        <f>IF($A405="","",IFERROR(TEXTJOIN(", ",TRUE,FILTER(Task_Steps!$A$5:$A$2004,Task_Steps!$B$5:$B$2004=$A405)),""))</f>
        <v/>
      </c>
      <c r="AE405" s="84">
        <f>IF($A405="","",COUNTIFS(Task_Steps!$B$5:$B$2004,$A405,Task_Steps!$H$5:$H$2004,"&lt;&gt;Completed",Task_Steps!$H$5:$H$2004,"&lt;&gt;Cancelled"))</f>
        <v/>
      </c>
      <c r="AF405" s="81">
        <f>IF(OR($B405="",$A405=""),"",$B405&amp;" | "&amp;$A405)</f>
        <v/>
      </c>
    </row>
    <row r="406" ht="15" customHeight="1" s="40">
      <c r="A406" s="65">
        <f>IF(COUNTA(B406:F406)=0,"","TSK-"&amp;TEXT(ROW()-4,"0000"))</f>
        <v/>
      </c>
      <c r="B406" s="78" t="n"/>
      <c r="C406" s="78" t="n"/>
      <c r="D406" s="81" t="n"/>
      <c r="E406" s="81" t="n"/>
      <c r="F406" s="78" t="n"/>
      <c r="G406" s="67">
        <f>IF($F406="","",IFERROR(INDEX(Employee_Master!$C$5:$C$204,MATCH($F406,Employee_Master!$B$5:$B$204,0)),""))</f>
        <v/>
      </c>
      <c r="H406" s="78" t="n"/>
      <c r="I406" s="78" t="n"/>
      <c r="J406" s="67">
        <f>IF($I406="","",IFERROR(INDEX(Action_Status_Map!$B$5:$B$11,MATCH($I406,Action_Status_Map!$A$5:$A$11,0)),""))</f>
        <v/>
      </c>
      <c r="K406" s="82" t="n"/>
      <c r="L406" s="82" t="n"/>
      <c r="M406" s="82" t="n"/>
      <c r="N406" s="83" t="n"/>
      <c r="O406" s="83" t="n"/>
      <c r="P406" s="66">
        <f>IF(OR($N406="",$O406=""),"",$O406-$N406)</f>
        <v/>
      </c>
      <c r="Q406" s="84">
        <f>IF($K406="","",IF($M406&lt;&gt;"",$M406-$K406,TODAY()-$K406))</f>
        <v/>
      </c>
      <c r="R406" s="85">
        <f>IF(OR($L406="",$I406="Completed",$I406="Cancelled"),"",IF(AND($L406&lt;TODAY(),$I406&lt;&gt;"Completed",$I406&lt;&gt;"Cancelled"),"Overdue","On Track"))</f>
        <v/>
      </c>
      <c r="S406" s="65">
        <f>IF($L406="","",TEXT($L406,"yyyy-mm"))</f>
        <v/>
      </c>
      <c r="T406" s="86">
        <f>IF($I406="","",IFERROR(INDEX(Action_Status_Map!$C$5:$C$11,MATCH($I406,Action_Status_Map!$A$5:$A$11,0)),""))</f>
        <v/>
      </c>
      <c r="U406" s="81" t="n"/>
      <c r="V406" s="82" t="n"/>
      <c r="W406" s="65">
        <f>IF(OR($I406&lt;&gt;"Completed",$M406="",$L406=""),"",IF($M406&lt;=$L406,"Yes","No"))</f>
        <v/>
      </c>
      <c r="X406" s="84">
        <f>IF($A406="","",COUNTIF(Task_Steps!$B$5:$B$2004,$A406))</f>
        <v/>
      </c>
      <c r="Y406" s="86">
        <f>IF($X406=0,"",COUNTIFS(Task_Steps!$B$5:$B$2004,$A406,Task_Steps!$H$5:$H$2004,"Completed")/$X406)</f>
        <v/>
      </c>
      <c r="Z406" s="81" t="n"/>
      <c r="AA406" s="81" t="n"/>
      <c r="AB406" s="67">
        <f>IF($F406="","",IFERROR(INDEX(Employee_Master!$E$5:$E$204,MATCH($F406,Employee_Master!$B$5:$B$204,0)),""))</f>
        <v/>
      </c>
      <c r="AC406" s="65">
        <f>IF(OR($A406="",$AB406=""),"",IF(OR($I406="Completed",$I406="Cancelled"),"Closed - in Manager Report","Active - in Manager Report"))</f>
        <v/>
      </c>
      <c r="AD406" s="81">
        <f>IF($A406="","",IFERROR(TEXTJOIN(", ",TRUE,FILTER(Task_Steps!$A$5:$A$2004,Task_Steps!$B$5:$B$2004=$A406)),""))</f>
        <v/>
      </c>
      <c r="AE406" s="84">
        <f>IF($A406="","",COUNTIFS(Task_Steps!$B$5:$B$2004,$A406,Task_Steps!$H$5:$H$2004,"&lt;&gt;Completed",Task_Steps!$H$5:$H$2004,"&lt;&gt;Cancelled"))</f>
        <v/>
      </c>
      <c r="AF406" s="81">
        <f>IF(OR($B406="",$A406=""),"",$B406&amp;" | "&amp;$A406)</f>
        <v/>
      </c>
    </row>
    <row r="407" ht="15" customHeight="1" s="40">
      <c r="A407" s="65">
        <f>IF(COUNTA(B407:F407)=0,"","TSK-"&amp;TEXT(ROW()-4,"0000"))</f>
        <v/>
      </c>
      <c r="B407" s="78" t="n"/>
      <c r="C407" s="78" t="n"/>
      <c r="D407" s="81" t="n"/>
      <c r="E407" s="81" t="n"/>
      <c r="F407" s="78" t="n"/>
      <c r="G407" s="67">
        <f>IF($F407="","",IFERROR(INDEX(Employee_Master!$C$5:$C$204,MATCH($F407,Employee_Master!$B$5:$B$204,0)),""))</f>
        <v/>
      </c>
      <c r="H407" s="78" t="n"/>
      <c r="I407" s="78" t="n"/>
      <c r="J407" s="67">
        <f>IF($I407="","",IFERROR(INDEX(Action_Status_Map!$B$5:$B$11,MATCH($I407,Action_Status_Map!$A$5:$A$11,0)),""))</f>
        <v/>
      </c>
      <c r="K407" s="82" t="n"/>
      <c r="L407" s="82" t="n"/>
      <c r="M407" s="82" t="n"/>
      <c r="N407" s="83" t="n"/>
      <c r="O407" s="83" t="n"/>
      <c r="P407" s="66">
        <f>IF(OR($N407="",$O407=""),"",$O407-$N407)</f>
        <v/>
      </c>
      <c r="Q407" s="84">
        <f>IF($K407="","",IF($M407&lt;&gt;"",$M407-$K407,TODAY()-$K407))</f>
        <v/>
      </c>
      <c r="R407" s="85">
        <f>IF(OR($L407="",$I407="Completed",$I407="Cancelled"),"",IF(AND($L407&lt;TODAY(),$I407&lt;&gt;"Completed",$I407&lt;&gt;"Cancelled"),"Overdue","On Track"))</f>
        <v/>
      </c>
      <c r="S407" s="65">
        <f>IF($L407="","",TEXT($L407,"yyyy-mm"))</f>
        <v/>
      </c>
      <c r="T407" s="86">
        <f>IF($I407="","",IFERROR(INDEX(Action_Status_Map!$C$5:$C$11,MATCH($I407,Action_Status_Map!$A$5:$A$11,0)),""))</f>
        <v/>
      </c>
      <c r="U407" s="81" t="n"/>
      <c r="V407" s="82" t="n"/>
      <c r="W407" s="65">
        <f>IF(OR($I407&lt;&gt;"Completed",$M407="",$L407=""),"",IF($M407&lt;=$L407,"Yes","No"))</f>
        <v/>
      </c>
      <c r="X407" s="84">
        <f>IF($A407="","",COUNTIF(Task_Steps!$B$5:$B$2004,$A407))</f>
        <v/>
      </c>
      <c r="Y407" s="86">
        <f>IF($X407=0,"",COUNTIFS(Task_Steps!$B$5:$B$2004,$A407,Task_Steps!$H$5:$H$2004,"Completed")/$X407)</f>
        <v/>
      </c>
      <c r="Z407" s="81" t="n"/>
      <c r="AA407" s="81" t="n"/>
      <c r="AB407" s="67">
        <f>IF($F407="","",IFERROR(INDEX(Employee_Master!$E$5:$E$204,MATCH($F407,Employee_Master!$B$5:$B$204,0)),""))</f>
        <v/>
      </c>
      <c r="AC407" s="65">
        <f>IF(OR($A407="",$AB407=""),"",IF(OR($I407="Completed",$I407="Cancelled"),"Closed - in Manager Report","Active - in Manager Report"))</f>
        <v/>
      </c>
      <c r="AD407" s="81">
        <f>IF($A407="","",IFERROR(TEXTJOIN(", ",TRUE,FILTER(Task_Steps!$A$5:$A$2004,Task_Steps!$B$5:$B$2004=$A407)),""))</f>
        <v/>
      </c>
      <c r="AE407" s="84">
        <f>IF($A407="","",COUNTIFS(Task_Steps!$B$5:$B$2004,$A407,Task_Steps!$H$5:$H$2004,"&lt;&gt;Completed",Task_Steps!$H$5:$H$2004,"&lt;&gt;Cancelled"))</f>
        <v/>
      </c>
      <c r="AF407" s="81">
        <f>IF(OR($B407="",$A407=""),"",$B407&amp;" | "&amp;$A407)</f>
        <v/>
      </c>
    </row>
    <row r="408" ht="15" customHeight="1" s="40">
      <c r="A408" s="65">
        <f>IF(COUNTA(B408:F408)=0,"","TSK-"&amp;TEXT(ROW()-4,"0000"))</f>
        <v/>
      </c>
      <c r="B408" s="78" t="n"/>
      <c r="C408" s="78" t="n"/>
      <c r="D408" s="81" t="n"/>
      <c r="E408" s="81" t="n"/>
      <c r="F408" s="78" t="n"/>
      <c r="G408" s="67">
        <f>IF($F408="","",IFERROR(INDEX(Employee_Master!$C$5:$C$204,MATCH($F408,Employee_Master!$B$5:$B$204,0)),""))</f>
        <v/>
      </c>
      <c r="H408" s="78" t="n"/>
      <c r="I408" s="78" t="n"/>
      <c r="J408" s="67">
        <f>IF($I408="","",IFERROR(INDEX(Action_Status_Map!$B$5:$B$11,MATCH($I408,Action_Status_Map!$A$5:$A$11,0)),""))</f>
        <v/>
      </c>
      <c r="K408" s="82" t="n"/>
      <c r="L408" s="82" t="n"/>
      <c r="M408" s="82" t="n"/>
      <c r="N408" s="83" t="n"/>
      <c r="O408" s="83" t="n"/>
      <c r="P408" s="66">
        <f>IF(OR($N408="",$O408=""),"",$O408-$N408)</f>
        <v/>
      </c>
      <c r="Q408" s="84">
        <f>IF($K408="","",IF($M408&lt;&gt;"",$M408-$K408,TODAY()-$K408))</f>
        <v/>
      </c>
      <c r="R408" s="85">
        <f>IF(OR($L408="",$I408="Completed",$I408="Cancelled"),"",IF(AND($L408&lt;TODAY(),$I408&lt;&gt;"Completed",$I408&lt;&gt;"Cancelled"),"Overdue","On Track"))</f>
        <v/>
      </c>
      <c r="S408" s="65">
        <f>IF($L408="","",TEXT($L408,"yyyy-mm"))</f>
        <v/>
      </c>
      <c r="T408" s="86">
        <f>IF($I408="","",IFERROR(INDEX(Action_Status_Map!$C$5:$C$11,MATCH($I408,Action_Status_Map!$A$5:$A$11,0)),""))</f>
        <v/>
      </c>
      <c r="U408" s="81" t="n"/>
      <c r="V408" s="82" t="n"/>
      <c r="W408" s="65">
        <f>IF(OR($I408&lt;&gt;"Completed",$M408="",$L408=""),"",IF($M408&lt;=$L408,"Yes","No"))</f>
        <v/>
      </c>
      <c r="X408" s="84">
        <f>IF($A408="","",COUNTIF(Task_Steps!$B$5:$B$2004,$A408))</f>
        <v/>
      </c>
      <c r="Y408" s="86">
        <f>IF($X408=0,"",COUNTIFS(Task_Steps!$B$5:$B$2004,$A408,Task_Steps!$H$5:$H$2004,"Completed")/$X408)</f>
        <v/>
      </c>
      <c r="Z408" s="81" t="n"/>
      <c r="AA408" s="81" t="n"/>
      <c r="AB408" s="67">
        <f>IF($F408="","",IFERROR(INDEX(Employee_Master!$E$5:$E$204,MATCH($F408,Employee_Master!$B$5:$B$204,0)),""))</f>
        <v/>
      </c>
      <c r="AC408" s="65">
        <f>IF(OR($A408="",$AB408=""),"",IF(OR($I408="Completed",$I408="Cancelled"),"Closed - in Manager Report","Active - in Manager Report"))</f>
        <v/>
      </c>
      <c r="AD408" s="81">
        <f>IF($A408="","",IFERROR(TEXTJOIN(", ",TRUE,FILTER(Task_Steps!$A$5:$A$2004,Task_Steps!$B$5:$B$2004=$A408)),""))</f>
        <v/>
      </c>
      <c r="AE408" s="84">
        <f>IF($A408="","",COUNTIFS(Task_Steps!$B$5:$B$2004,$A408,Task_Steps!$H$5:$H$2004,"&lt;&gt;Completed",Task_Steps!$H$5:$H$2004,"&lt;&gt;Cancelled"))</f>
        <v/>
      </c>
      <c r="AF408" s="81">
        <f>IF(OR($B408="",$A408=""),"",$B408&amp;" | "&amp;$A408)</f>
        <v/>
      </c>
    </row>
    <row r="409" ht="15" customHeight="1" s="40">
      <c r="A409" s="65">
        <f>IF(COUNTA(B409:F409)=0,"","TSK-"&amp;TEXT(ROW()-4,"0000"))</f>
        <v/>
      </c>
      <c r="B409" s="78" t="n"/>
      <c r="C409" s="78" t="n"/>
      <c r="D409" s="81" t="n"/>
      <c r="E409" s="81" t="n"/>
      <c r="F409" s="78" t="n"/>
      <c r="G409" s="67">
        <f>IF($F409="","",IFERROR(INDEX(Employee_Master!$C$5:$C$204,MATCH($F409,Employee_Master!$B$5:$B$204,0)),""))</f>
        <v/>
      </c>
      <c r="H409" s="78" t="n"/>
      <c r="I409" s="78" t="n"/>
      <c r="J409" s="67">
        <f>IF($I409="","",IFERROR(INDEX(Action_Status_Map!$B$5:$B$11,MATCH($I409,Action_Status_Map!$A$5:$A$11,0)),""))</f>
        <v/>
      </c>
      <c r="K409" s="82" t="n"/>
      <c r="L409" s="82" t="n"/>
      <c r="M409" s="82" t="n"/>
      <c r="N409" s="83" t="n"/>
      <c r="O409" s="83" t="n"/>
      <c r="P409" s="66">
        <f>IF(OR($N409="",$O409=""),"",$O409-$N409)</f>
        <v/>
      </c>
      <c r="Q409" s="84">
        <f>IF($K409="","",IF($M409&lt;&gt;"",$M409-$K409,TODAY()-$K409))</f>
        <v/>
      </c>
      <c r="R409" s="85">
        <f>IF(OR($L409="",$I409="Completed",$I409="Cancelled"),"",IF(AND($L409&lt;TODAY(),$I409&lt;&gt;"Completed",$I409&lt;&gt;"Cancelled"),"Overdue","On Track"))</f>
        <v/>
      </c>
      <c r="S409" s="65">
        <f>IF($L409="","",TEXT($L409,"yyyy-mm"))</f>
        <v/>
      </c>
      <c r="T409" s="86">
        <f>IF($I409="","",IFERROR(INDEX(Action_Status_Map!$C$5:$C$11,MATCH($I409,Action_Status_Map!$A$5:$A$11,0)),""))</f>
        <v/>
      </c>
      <c r="U409" s="81" t="n"/>
      <c r="V409" s="82" t="n"/>
      <c r="W409" s="65">
        <f>IF(OR($I409&lt;&gt;"Completed",$M409="",$L409=""),"",IF($M409&lt;=$L409,"Yes","No"))</f>
        <v/>
      </c>
      <c r="X409" s="84">
        <f>IF($A409="","",COUNTIF(Task_Steps!$B$5:$B$2004,$A409))</f>
        <v/>
      </c>
      <c r="Y409" s="86">
        <f>IF($X409=0,"",COUNTIFS(Task_Steps!$B$5:$B$2004,$A409,Task_Steps!$H$5:$H$2004,"Completed")/$X409)</f>
        <v/>
      </c>
      <c r="Z409" s="81" t="n"/>
      <c r="AA409" s="81" t="n"/>
      <c r="AB409" s="67">
        <f>IF($F409="","",IFERROR(INDEX(Employee_Master!$E$5:$E$204,MATCH($F409,Employee_Master!$B$5:$B$204,0)),""))</f>
        <v/>
      </c>
      <c r="AC409" s="65">
        <f>IF(OR($A409="",$AB409=""),"",IF(OR($I409="Completed",$I409="Cancelled"),"Closed - in Manager Report","Active - in Manager Report"))</f>
        <v/>
      </c>
      <c r="AD409" s="81">
        <f>IF($A409="","",IFERROR(TEXTJOIN(", ",TRUE,FILTER(Task_Steps!$A$5:$A$2004,Task_Steps!$B$5:$B$2004=$A409)),""))</f>
        <v/>
      </c>
      <c r="AE409" s="84">
        <f>IF($A409="","",COUNTIFS(Task_Steps!$B$5:$B$2004,$A409,Task_Steps!$H$5:$H$2004,"&lt;&gt;Completed",Task_Steps!$H$5:$H$2004,"&lt;&gt;Cancelled"))</f>
        <v/>
      </c>
      <c r="AF409" s="81">
        <f>IF(OR($B409="",$A409=""),"",$B409&amp;" | "&amp;$A409)</f>
        <v/>
      </c>
    </row>
    <row r="410" ht="15" customHeight="1" s="40">
      <c r="A410" s="65">
        <f>IF(COUNTA(B410:F410)=0,"","TSK-"&amp;TEXT(ROW()-4,"0000"))</f>
        <v/>
      </c>
      <c r="B410" s="78" t="n"/>
      <c r="C410" s="78" t="n"/>
      <c r="D410" s="81" t="n"/>
      <c r="E410" s="81" t="n"/>
      <c r="F410" s="78" t="n"/>
      <c r="G410" s="67">
        <f>IF($F410="","",IFERROR(INDEX(Employee_Master!$C$5:$C$204,MATCH($F410,Employee_Master!$B$5:$B$204,0)),""))</f>
        <v/>
      </c>
      <c r="H410" s="78" t="n"/>
      <c r="I410" s="78" t="n"/>
      <c r="J410" s="67">
        <f>IF($I410="","",IFERROR(INDEX(Action_Status_Map!$B$5:$B$11,MATCH($I410,Action_Status_Map!$A$5:$A$11,0)),""))</f>
        <v/>
      </c>
      <c r="K410" s="82" t="n"/>
      <c r="L410" s="82" t="n"/>
      <c r="M410" s="82" t="n"/>
      <c r="N410" s="83" t="n"/>
      <c r="O410" s="83" t="n"/>
      <c r="P410" s="66">
        <f>IF(OR($N410="",$O410=""),"",$O410-$N410)</f>
        <v/>
      </c>
      <c r="Q410" s="84">
        <f>IF($K410="","",IF($M410&lt;&gt;"",$M410-$K410,TODAY()-$K410))</f>
        <v/>
      </c>
      <c r="R410" s="85">
        <f>IF(OR($L410="",$I410="Completed",$I410="Cancelled"),"",IF(AND($L410&lt;TODAY(),$I410&lt;&gt;"Completed",$I410&lt;&gt;"Cancelled"),"Overdue","On Track"))</f>
        <v/>
      </c>
      <c r="S410" s="65">
        <f>IF($L410="","",TEXT($L410,"yyyy-mm"))</f>
        <v/>
      </c>
      <c r="T410" s="86">
        <f>IF($I410="","",IFERROR(INDEX(Action_Status_Map!$C$5:$C$11,MATCH($I410,Action_Status_Map!$A$5:$A$11,0)),""))</f>
        <v/>
      </c>
      <c r="U410" s="81" t="n"/>
      <c r="V410" s="82" t="n"/>
      <c r="W410" s="65">
        <f>IF(OR($I410&lt;&gt;"Completed",$M410="",$L410=""),"",IF($M410&lt;=$L410,"Yes","No"))</f>
        <v/>
      </c>
      <c r="X410" s="84">
        <f>IF($A410="","",COUNTIF(Task_Steps!$B$5:$B$2004,$A410))</f>
        <v/>
      </c>
      <c r="Y410" s="86">
        <f>IF($X410=0,"",COUNTIFS(Task_Steps!$B$5:$B$2004,$A410,Task_Steps!$H$5:$H$2004,"Completed")/$X410)</f>
        <v/>
      </c>
      <c r="Z410" s="81" t="n"/>
      <c r="AA410" s="81" t="n"/>
      <c r="AB410" s="67">
        <f>IF($F410="","",IFERROR(INDEX(Employee_Master!$E$5:$E$204,MATCH($F410,Employee_Master!$B$5:$B$204,0)),""))</f>
        <v/>
      </c>
      <c r="AC410" s="65">
        <f>IF(OR($A410="",$AB410=""),"",IF(OR($I410="Completed",$I410="Cancelled"),"Closed - in Manager Report","Active - in Manager Report"))</f>
        <v/>
      </c>
      <c r="AD410" s="81">
        <f>IF($A410="","",IFERROR(TEXTJOIN(", ",TRUE,FILTER(Task_Steps!$A$5:$A$2004,Task_Steps!$B$5:$B$2004=$A410)),""))</f>
        <v/>
      </c>
      <c r="AE410" s="84">
        <f>IF($A410="","",COUNTIFS(Task_Steps!$B$5:$B$2004,$A410,Task_Steps!$H$5:$H$2004,"&lt;&gt;Completed",Task_Steps!$H$5:$H$2004,"&lt;&gt;Cancelled"))</f>
        <v/>
      </c>
      <c r="AF410" s="81">
        <f>IF(OR($B410="",$A410=""),"",$B410&amp;" | "&amp;$A410)</f>
        <v/>
      </c>
    </row>
    <row r="411" ht="15" customHeight="1" s="40">
      <c r="A411" s="65">
        <f>IF(COUNTA(B411:F411)=0,"","TSK-"&amp;TEXT(ROW()-4,"0000"))</f>
        <v/>
      </c>
      <c r="B411" s="78" t="n"/>
      <c r="C411" s="78" t="n"/>
      <c r="D411" s="81" t="n"/>
      <c r="E411" s="81" t="n"/>
      <c r="F411" s="78" t="n"/>
      <c r="G411" s="67">
        <f>IF($F411="","",IFERROR(INDEX(Employee_Master!$C$5:$C$204,MATCH($F411,Employee_Master!$B$5:$B$204,0)),""))</f>
        <v/>
      </c>
      <c r="H411" s="78" t="n"/>
      <c r="I411" s="78" t="n"/>
      <c r="J411" s="67">
        <f>IF($I411="","",IFERROR(INDEX(Action_Status_Map!$B$5:$B$11,MATCH($I411,Action_Status_Map!$A$5:$A$11,0)),""))</f>
        <v/>
      </c>
      <c r="K411" s="82" t="n"/>
      <c r="L411" s="82" t="n"/>
      <c r="M411" s="82" t="n"/>
      <c r="N411" s="83" t="n"/>
      <c r="O411" s="83" t="n"/>
      <c r="P411" s="66">
        <f>IF(OR($N411="",$O411=""),"",$O411-$N411)</f>
        <v/>
      </c>
      <c r="Q411" s="84">
        <f>IF($K411="","",IF($M411&lt;&gt;"",$M411-$K411,TODAY()-$K411))</f>
        <v/>
      </c>
      <c r="R411" s="85">
        <f>IF(OR($L411="",$I411="Completed",$I411="Cancelled"),"",IF(AND($L411&lt;TODAY(),$I411&lt;&gt;"Completed",$I411&lt;&gt;"Cancelled"),"Overdue","On Track"))</f>
        <v/>
      </c>
      <c r="S411" s="65">
        <f>IF($L411="","",TEXT($L411,"yyyy-mm"))</f>
        <v/>
      </c>
      <c r="T411" s="86">
        <f>IF($I411="","",IFERROR(INDEX(Action_Status_Map!$C$5:$C$11,MATCH($I411,Action_Status_Map!$A$5:$A$11,0)),""))</f>
        <v/>
      </c>
      <c r="U411" s="81" t="n"/>
      <c r="V411" s="82" t="n"/>
      <c r="W411" s="65">
        <f>IF(OR($I411&lt;&gt;"Completed",$M411="",$L411=""),"",IF($M411&lt;=$L411,"Yes","No"))</f>
        <v/>
      </c>
      <c r="X411" s="84">
        <f>IF($A411="","",COUNTIF(Task_Steps!$B$5:$B$2004,$A411))</f>
        <v/>
      </c>
      <c r="Y411" s="86">
        <f>IF($X411=0,"",COUNTIFS(Task_Steps!$B$5:$B$2004,$A411,Task_Steps!$H$5:$H$2004,"Completed")/$X411)</f>
        <v/>
      </c>
      <c r="Z411" s="81" t="n"/>
      <c r="AA411" s="81" t="n"/>
      <c r="AB411" s="67">
        <f>IF($F411="","",IFERROR(INDEX(Employee_Master!$E$5:$E$204,MATCH($F411,Employee_Master!$B$5:$B$204,0)),""))</f>
        <v/>
      </c>
      <c r="AC411" s="65">
        <f>IF(OR($A411="",$AB411=""),"",IF(OR($I411="Completed",$I411="Cancelled"),"Closed - in Manager Report","Active - in Manager Report"))</f>
        <v/>
      </c>
      <c r="AD411" s="81">
        <f>IF($A411="","",IFERROR(TEXTJOIN(", ",TRUE,FILTER(Task_Steps!$A$5:$A$2004,Task_Steps!$B$5:$B$2004=$A411)),""))</f>
        <v/>
      </c>
      <c r="AE411" s="84">
        <f>IF($A411="","",COUNTIFS(Task_Steps!$B$5:$B$2004,$A411,Task_Steps!$H$5:$H$2004,"&lt;&gt;Completed",Task_Steps!$H$5:$H$2004,"&lt;&gt;Cancelled"))</f>
        <v/>
      </c>
      <c r="AF411" s="81">
        <f>IF(OR($B411="",$A411=""),"",$B411&amp;" | "&amp;$A411)</f>
        <v/>
      </c>
    </row>
    <row r="412" ht="15" customHeight="1" s="40">
      <c r="A412" s="65">
        <f>IF(COUNTA(B412:F412)=0,"","TSK-"&amp;TEXT(ROW()-4,"0000"))</f>
        <v/>
      </c>
      <c r="B412" s="78" t="n"/>
      <c r="C412" s="78" t="n"/>
      <c r="D412" s="81" t="n"/>
      <c r="E412" s="81" t="n"/>
      <c r="F412" s="78" t="n"/>
      <c r="G412" s="67">
        <f>IF($F412="","",IFERROR(INDEX(Employee_Master!$C$5:$C$204,MATCH($F412,Employee_Master!$B$5:$B$204,0)),""))</f>
        <v/>
      </c>
      <c r="H412" s="78" t="n"/>
      <c r="I412" s="78" t="n"/>
      <c r="J412" s="67">
        <f>IF($I412="","",IFERROR(INDEX(Action_Status_Map!$B$5:$B$11,MATCH($I412,Action_Status_Map!$A$5:$A$11,0)),""))</f>
        <v/>
      </c>
      <c r="K412" s="82" t="n"/>
      <c r="L412" s="82" t="n"/>
      <c r="M412" s="82" t="n"/>
      <c r="N412" s="83" t="n"/>
      <c r="O412" s="83" t="n"/>
      <c r="P412" s="66">
        <f>IF(OR($N412="",$O412=""),"",$O412-$N412)</f>
        <v/>
      </c>
      <c r="Q412" s="84">
        <f>IF($K412="","",IF($M412&lt;&gt;"",$M412-$K412,TODAY()-$K412))</f>
        <v/>
      </c>
      <c r="R412" s="85">
        <f>IF(OR($L412="",$I412="Completed",$I412="Cancelled"),"",IF(AND($L412&lt;TODAY(),$I412&lt;&gt;"Completed",$I412&lt;&gt;"Cancelled"),"Overdue","On Track"))</f>
        <v/>
      </c>
      <c r="S412" s="65">
        <f>IF($L412="","",TEXT($L412,"yyyy-mm"))</f>
        <v/>
      </c>
      <c r="T412" s="86">
        <f>IF($I412="","",IFERROR(INDEX(Action_Status_Map!$C$5:$C$11,MATCH($I412,Action_Status_Map!$A$5:$A$11,0)),""))</f>
        <v/>
      </c>
      <c r="U412" s="81" t="n"/>
      <c r="V412" s="82" t="n"/>
      <c r="W412" s="65">
        <f>IF(OR($I412&lt;&gt;"Completed",$M412="",$L412=""),"",IF($M412&lt;=$L412,"Yes","No"))</f>
        <v/>
      </c>
      <c r="X412" s="84">
        <f>IF($A412="","",COUNTIF(Task_Steps!$B$5:$B$2004,$A412))</f>
        <v/>
      </c>
      <c r="Y412" s="86">
        <f>IF($X412=0,"",COUNTIFS(Task_Steps!$B$5:$B$2004,$A412,Task_Steps!$H$5:$H$2004,"Completed")/$X412)</f>
        <v/>
      </c>
      <c r="Z412" s="81" t="n"/>
      <c r="AA412" s="81" t="n"/>
      <c r="AB412" s="67">
        <f>IF($F412="","",IFERROR(INDEX(Employee_Master!$E$5:$E$204,MATCH($F412,Employee_Master!$B$5:$B$204,0)),""))</f>
        <v/>
      </c>
      <c r="AC412" s="65">
        <f>IF(OR($A412="",$AB412=""),"",IF(OR($I412="Completed",$I412="Cancelled"),"Closed - in Manager Report","Active - in Manager Report"))</f>
        <v/>
      </c>
      <c r="AD412" s="81">
        <f>IF($A412="","",IFERROR(TEXTJOIN(", ",TRUE,FILTER(Task_Steps!$A$5:$A$2004,Task_Steps!$B$5:$B$2004=$A412)),""))</f>
        <v/>
      </c>
      <c r="AE412" s="84">
        <f>IF($A412="","",COUNTIFS(Task_Steps!$B$5:$B$2004,$A412,Task_Steps!$H$5:$H$2004,"&lt;&gt;Completed",Task_Steps!$H$5:$H$2004,"&lt;&gt;Cancelled"))</f>
        <v/>
      </c>
      <c r="AF412" s="81">
        <f>IF(OR($B412="",$A412=""),"",$B412&amp;" | "&amp;$A412)</f>
        <v/>
      </c>
    </row>
    <row r="413" ht="15" customHeight="1" s="40">
      <c r="A413" s="65">
        <f>IF(COUNTA(B413:F413)=0,"","TSK-"&amp;TEXT(ROW()-4,"0000"))</f>
        <v/>
      </c>
      <c r="B413" s="78" t="n"/>
      <c r="C413" s="78" t="n"/>
      <c r="D413" s="81" t="n"/>
      <c r="E413" s="81" t="n"/>
      <c r="F413" s="78" t="n"/>
      <c r="G413" s="67">
        <f>IF($F413="","",IFERROR(INDEX(Employee_Master!$C$5:$C$204,MATCH($F413,Employee_Master!$B$5:$B$204,0)),""))</f>
        <v/>
      </c>
      <c r="H413" s="78" t="n"/>
      <c r="I413" s="78" t="n"/>
      <c r="J413" s="67">
        <f>IF($I413="","",IFERROR(INDEX(Action_Status_Map!$B$5:$B$11,MATCH($I413,Action_Status_Map!$A$5:$A$11,0)),""))</f>
        <v/>
      </c>
      <c r="K413" s="82" t="n"/>
      <c r="L413" s="82" t="n"/>
      <c r="M413" s="82" t="n"/>
      <c r="N413" s="83" t="n"/>
      <c r="O413" s="83" t="n"/>
      <c r="P413" s="66">
        <f>IF(OR($N413="",$O413=""),"",$O413-$N413)</f>
        <v/>
      </c>
      <c r="Q413" s="84">
        <f>IF($K413="","",IF($M413&lt;&gt;"",$M413-$K413,TODAY()-$K413))</f>
        <v/>
      </c>
      <c r="R413" s="85">
        <f>IF(OR($L413="",$I413="Completed",$I413="Cancelled"),"",IF(AND($L413&lt;TODAY(),$I413&lt;&gt;"Completed",$I413&lt;&gt;"Cancelled"),"Overdue","On Track"))</f>
        <v/>
      </c>
      <c r="S413" s="65">
        <f>IF($L413="","",TEXT($L413,"yyyy-mm"))</f>
        <v/>
      </c>
      <c r="T413" s="86">
        <f>IF($I413="","",IFERROR(INDEX(Action_Status_Map!$C$5:$C$11,MATCH($I413,Action_Status_Map!$A$5:$A$11,0)),""))</f>
        <v/>
      </c>
      <c r="U413" s="81" t="n"/>
      <c r="V413" s="82" t="n"/>
      <c r="W413" s="65">
        <f>IF(OR($I413&lt;&gt;"Completed",$M413="",$L413=""),"",IF($M413&lt;=$L413,"Yes","No"))</f>
        <v/>
      </c>
      <c r="X413" s="84">
        <f>IF($A413="","",COUNTIF(Task_Steps!$B$5:$B$2004,$A413))</f>
        <v/>
      </c>
      <c r="Y413" s="86">
        <f>IF($X413=0,"",COUNTIFS(Task_Steps!$B$5:$B$2004,$A413,Task_Steps!$H$5:$H$2004,"Completed")/$X413)</f>
        <v/>
      </c>
      <c r="Z413" s="81" t="n"/>
      <c r="AA413" s="81" t="n"/>
      <c r="AB413" s="67">
        <f>IF($F413="","",IFERROR(INDEX(Employee_Master!$E$5:$E$204,MATCH($F413,Employee_Master!$B$5:$B$204,0)),""))</f>
        <v/>
      </c>
      <c r="AC413" s="65">
        <f>IF(OR($A413="",$AB413=""),"",IF(OR($I413="Completed",$I413="Cancelled"),"Closed - in Manager Report","Active - in Manager Report"))</f>
        <v/>
      </c>
      <c r="AD413" s="81">
        <f>IF($A413="","",IFERROR(TEXTJOIN(", ",TRUE,FILTER(Task_Steps!$A$5:$A$2004,Task_Steps!$B$5:$B$2004=$A413)),""))</f>
        <v/>
      </c>
      <c r="AE413" s="84">
        <f>IF($A413="","",COUNTIFS(Task_Steps!$B$5:$B$2004,$A413,Task_Steps!$H$5:$H$2004,"&lt;&gt;Completed",Task_Steps!$H$5:$H$2004,"&lt;&gt;Cancelled"))</f>
        <v/>
      </c>
      <c r="AF413" s="81">
        <f>IF(OR($B413="",$A413=""),"",$B413&amp;" | "&amp;$A413)</f>
        <v/>
      </c>
    </row>
    <row r="414" ht="15" customHeight="1" s="40">
      <c r="A414" s="65">
        <f>IF(COUNTA(B414:F414)=0,"","TSK-"&amp;TEXT(ROW()-4,"0000"))</f>
        <v/>
      </c>
      <c r="B414" s="78" t="n"/>
      <c r="C414" s="78" t="n"/>
      <c r="D414" s="81" t="n"/>
      <c r="E414" s="81" t="n"/>
      <c r="F414" s="78" t="n"/>
      <c r="G414" s="67">
        <f>IF($F414="","",IFERROR(INDEX(Employee_Master!$C$5:$C$204,MATCH($F414,Employee_Master!$B$5:$B$204,0)),""))</f>
        <v/>
      </c>
      <c r="H414" s="78" t="n"/>
      <c r="I414" s="78" t="n"/>
      <c r="J414" s="67">
        <f>IF($I414="","",IFERROR(INDEX(Action_Status_Map!$B$5:$B$11,MATCH($I414,Action_Status_Map!$A$5:$A$11,0)),""))</f>
        <v/>
      </c>
      <c r="K414" s="82" t="n"/>
      <c r="L414" s="82" t="n"/>
      <c r="M414" s="82" t="n"/>
      <c r="N414" s="83" t="n"/>
      <c r="O414" s="83" t="n"/>
      <c r="P414" s="66">
        <f>IF(OR($N414="",$O414=""),"",$O414-$N414)</f>
        <v/>
      </c>
      <c r="Q414" s="84">
        <f>IF($K414="","",IF($M414&lt;&gt;"",$M414-$K414,TODAY()-$K414))</f>
        <v/>
      </c>
      <c r="R414" s="85">
        <f>IF(OR($L414="",$I414="Completed",$I414="Cancelled"),"",IF(AND($L414&lt;TODAY(),$I414&lt;&gt;"Completed",$I414&lt;&gt;"Cancelled"),"Overdue","On Track"))</f>
        <v/>
      </c>
      <c r="S414" s="65">
        <f>IF($L414="","",TEXT($L414,"yyyy-mm"))</f>
        <v/>
      </c>
      <c r="T414" s="86">
        <f>IF($I414="","",IFERROR(INDEX(Action_Status_Map!$C$5:$C$11,MATCH($I414,Action_Status_Map!$A$5:$A$11,0)),""))</f>
        <v/>
      </c>
      <c r="U414" s="81" t="n"/>
      <c r="V414" s="82" t="n"/>
      <c r="W414" s="65">
        <f>IF(OR($I414&lt;&gt;"Completed",$M414="",$L414=""),"",IF($M414&lt;=$L414,"Yes","No"))</f>
        <v/>
      </c>
      <c r="X414" s="84">
        <f>IF($A414="","",COUNTIF(Task_Steps!$B$5:$B$2004,$A414))</f>
        <v/>
      </c>
      <c r="Y414" s="86">
        <f>IF($X414=0,"",COUNTIFS(Task_Steps!$B$5:$B$2004,$A414,Task_Steps!$H$5:$H$2004,"Completed")/$X414)</f>
        <v/>
      </c>
      <c r="Z414" s="81" t="n"/>
      <c r="AA414" s="81" t="n"/>
      <c r="AB414" s="67">
        <f>IF($F414="","",IFERROR(INDEX(Employee_Master!$E$5:$E$204,MATCH($F414,Employee_Master!$B$5:$B$204,0)),""))</f>
        <v/>
      </c>
      <c r="AC414" s="65">
        <f>IF(OR($A414="",$AB414=""),"",IF(OR($I414="Completed",$I414="Cancelled"),"Closed - in Manager Report","Active - in Manager Report"))</f>
        <v/>
      </c>
      <c r="AD414" s="81">
        <f>IF($A414="","",IFERROR(TEXTJOIN(", ",TRUE,FILTER(Task_Steps!$A$5:$A$2004,Task_Steps!$B$5:$B$2004=$A414)),""))</f>
        <v/>
      </c>
      <c r="AE414" s="84">
        <f>IF($A414="","",COUNTIFS(Task_Steps!$B$5:$B$2004,$A414,Task_Steps!$H$5:$H$2004,"&lt;&gt;Completed",Task_Steps!$H$5:$H$2004,"&lt;&gt;Cancelled"))</f>
        <v/>
      </c>
      <c r="AF414" s="81">
        <f>IF(OR($B414="",$A414=""),"",$B414&amp;" | "&amp;$A414)</f>
        <v/>
      </c>
    </row>
    <row r="415" ht="15" customHeight="1" s="40">
      <c r="A415" s="65">
        <f>IF(COUNTA(B415:F415)=0,"","TSK-"&amp;TEXT(ROW()-4,"0000"))</f>
        <v/>
      </c>
      <c r="B415" s="78" t="n"/>
      <c r="C415" s="78" t="n"/>
      <c r="D415" s="81" t="n"/>
      <c r="E415" s="81" t="n"/>
      <c r="F415" s="78" t="n"/>
      <c r="G415" s="67">
        <f>IF($F415="","",IFERROR(INDEX(Employee_Master!$C$5:$C$204,MATCH($F415,Employee_Master!$B$5:$B$204,0)),""))</f>
        <v/>
      </c>
      <c r="H415" s="78" t="n"/>
      <c r="I415" s="78" t="n"/>
      <c r="J415" s="67">
        <f>IF($I415="","",IFERROR(INDEX(Action_Status_Map!$B$5:$B$11,MATCH($I415,Action_Status_Map!$A$5:$A$11,0)),""))</f>
        <v/>
      </c>
      <c r="K415" s="82" t="n"/>
      <c r="L415" s="82" t="n"/>
      <c r="M415" s="82" t="n"/>
      <c r="N415" s="83" t="n"/>
      <c r="O415" s="83" t="n"/>
      <c r="P415" s="66">
        <f>IF(OR($N415="",$O415=""),"",$O415-$N415)</f>
        <v/>
      </c>
      <c r="Q415" s="84">
        <f>IF($K415="","",IF($M415&lt;&gt;"",$M415-$K415,TODAY()-$K415))</f>
        <v/>
      </c>
      <c r="R415" s="85">
        <f>IF(OR($L415="",$I415="Completed",$I415="Cancelled"),"",IF(AND($L415&lt;TODAY(),$I415&lt;&gt;"Completed",$I415&lt;&gt;"Cancelled"),"Overdue","On Track"))</f>
        <v/>
      </c>
      <c r="S415" s="65">
        <f>IF($L415="","",TEXT($L415,"yyyy-mm"))</f>
        <v/>
      </c>
      <c r="T415" s="86">
        <f>IF($I415="","",IFERROR(INDEX(Action_Status_Map!$C$5:$C$11,MATCH($I415,Action_Status_Map!$A$5:$A$11,0)),""))</f>
        <v/>
      </c>
      <c r="U415" s="81" t="n"/>
      <c r="V415" s="82" t="n"/>
      <c r="W415" s="65">
        <f>IF(OR($I415&lt;&gt;"Completed",$M415="",$L415=""),"",IF($M415&lt;=$L415,"Yes","No"))</f>
        <v/>
      </c>
      <c r="X415" s="84">
        <f>IF($A415="","",COUNTIF(Task_Steps!$B$5:$B$2004,$A415))</f>
        <v/>
      </c>
      <c r="Y415" s="86">
        <f>IF($X415=0,"",COUNTIFS(Task_Steps!$B$5:$B$2004,$A415,Task_Steps!$H$5:$H$2004,"Completed")/$X415)</f>
        <v/>
      </c>
      <c r="Z415" s="81" t="n"/>
      <c r="AA415" s="81" t="n"/>
      <c r="AB415" s="67">
        <f>IF($F415="","",IFERROR(INDEX(Employee_Master!$E$5:$E$204,MATCH($F415,Employee_Master!$B$5:$B$204,0)),""))</f>
        <v/>
      </c>
      <c r="AC415" s="65">
        <f>IF(OR($A415="",$AB415=""),"",IF(OR($I415="Completed",$I415="Cancelled"),"Closed - in Manager Report","Active - in Manager Report"))</f>
        <v/>
      </c>
      <c r="AD415" s="81">
        <f>IF($A415="","",IFERROR(TEXTJOIN(", ",TRUE,FILTER(Task_Steps!$A$5:$A$2004,Task_Steps!$B$5:$B$2004=$A415)),""))</f>
        <v/>
      </c>
      <c r="AE415" s="84">
        <f>IF($A415="","",COUNTIFS(Task_Steps!$B$5:$B$2004,$A415,Task_Steps!$H$5:$H$2004,"&lt;&gt;Completed",Task_Steps!$H$5:$H$2004,"&lt;&gt;Cancelled"))</f>
        <v/>
      </c>
      <c r="AF415" s="81">
        <f>IF(OR($B415="",$A415=""),"",$B415&amp;" | "&amp;$A415)</f>
        <v/>
      </c>
    </row>
    <row r="416" ht="15" customHeight="1" s="40">
      <c r="A416" s="65">
        <f>IF(COUNTA(B416:F416)=0,"","TSK-"&amp;TEXT(ROW()-4,"0000"))</f>
        <v/>
      </c>
      <c r="B416" s="78" t="n"/>
      <c r="C416" s="78" t="n"/>
      <c r="D416" s="81" t="n"/>
      <c r="E416" s="81" t="n"/>
      <c r="F416" s="78" t="n"/>
      <c r="G416" s="67">
        <f>IF($F416="","",IFERROR(INDEX(Employee_Master!$C$5:$C$204,MATCH($F416,Employee_Master!$B$5:$B$204,0)),""))</f>
        <v/>
      </c>
      <c r="H416" s="78" t="n"/>
      <c r="I416" s="78" t="n"/>
      <c r="J416" s="67">
        <f>IF($I416="","",IFERROR(INDEX(Action_Status_Map!$B$5:$B$11,MATCH($I416,Action_Status_Map!$A$5:$A$11,0)),""))</f>
        <v/>
      </c>
      <c r="K416" s="82" t="n"/>
      <c r="L416" s="82" t="n"/>
      <c r="M416" s="82" t="n"/>
      <c r="N416" s="83" t="n"/>
      <c r="O416" s="83" t="n"/>
      <c r="P416" s="66">
        <f>IF(OR($N416="",$O416=""),"",$O416-$N416)</f>
        <v/>
      </c>
      <c r="Q416" s="84">
        <f>IF($K416="","",IF($M416&lt;&gt;"",$M416-$K416,TODAY()-$K416))</f>
        <v/>
      </c>
      <c r="R416" s="85">
        <f>IF(OR($L416="",$I416="Completed",$I416="Cancelled"),"",IF(AND($L416&lt;TODAY(),$I416&lt;&gt;"Completed",$I416&lt;&gt;"Cancelled"),"Overdue","On Track"))</f>
        <v/>
      </c>
      <c r="S416" s="65">
        <f>IF($L416="","",TEXT($L416,"yyyy-mm"))</f>
        <v/>
      </c>
      <c r="T416" s="86">
        <f>IF($I416="","",IFERROR(INDEX(Action_Status_Map!$C$5:$C$11,MATCH($I416,Action_Status_Map!$A$5:$A$11,0)),""))</f>
        <v/>
      </c>
      <c r="U416" s="81" t="n"/>
      <c r="V416" s="82" t="n"/>
      <c r="W416" s="65">
        <f>IF(OR($I416&lt;&gt;"Completed",$M416="",$L416=""),"",IF($M416&lt;=$L416,"Yes","No"))</f>
        <v/>
      </c>
      <c r="X416" s="84">
        <f>IF($A416="","",COUNTIF(Task_Steps!$B$5:$B$2004,$A416))</f>
        <v/>
      </c>
      <c r="Y416" s="86">
        <f>IF($X416=0,"",COUNTIFS(Task_Steps!$B$5:$B$2004,$A416,Task_Steps!$H$5:$H$2004,"Completed")/$X416)</f>
        <v/>
      </c>
      <c r="Z416" s="81" t="n"/>
      <c r="AA416" s="81" t="n"/>
      <c r="AB416" s="67">
        <f>IF($F416="","",IFERROR(INDEX(Employee_Master!$E$5:$E$204,MATCH($F416,Employee_Master!$B$5:$B$204,0)),""))</f>
        <v/>
      </c>
      <c r="AC416" s="65">
        <f>IF(OR($A416="",$AB416=""),"",IF(OR($I416="Completed",$I416="Cancelled"),"Closed - in Manager Report","Active - in Manager Report"))</f>
        <v/>
      </c>
      <c r="AD416" s="81">
        <f>IF($A416="","",IFERROR(TEXTJOIN(", ",TRUE,FILTER(Task_Steps!$A$5:$A$2004,Task_Steps!$B$5:$B$2004=$A416)),""))</f>
        <v/>
      </c>
      <c r="AE416" s="84">
        <f>IF($A416="","",COUNTIFS(Task_Steps!$B$5:$B$2004,$A416,Task_Steps!$H$5:$H$2004,"&lt;&gt;Completed",Task_Steps!$H$5:$H$2004,"&lt;&gt;Cancelled"))</f>
        <v/>
      </c>
      <c r="AF416" s="81">
        <f>IF(OR($B416="",$A416=""),"",$B416&amp;" | "&amp;$A416)</f>
        <v/>
      </c>
    </row>
    <row r="417" ht="15" customHeight="1" s="40">
      <c r="A417" s="65">
        <f>IF(COUNTA(B417:F417)=0,"","TSK-"&amp;TEXT(ROW()-4,"0000"))</f>
        <v/>
      </c>
      <c r="B417" s="78" t="n"/>
      <c r="C417" s="78" t="n"/>
      <c r="D417" s="81" t="n"/>
      <c r="E417" s="81" t="n"/>
      <c r="F417" s="78" t="n"/>
      <c r="G417" s="67">
        <f>IF($F417="","",IFERROR(INDEX(Employee_Master!$C$5:$C$204,MATCH($F417,Employee_Master!$B$5:$B$204,0)),""))</f>
        <v/>
      </c>
      <c r="H417" s="78" t="n"/>
      <c r="I417" s="78" t="n"/>
      <c r="J417" s="67">
        <f>IF($I417="","",IFERROR(INDEX(Action_Status_Map!$B$5:$B$11,MATCH($I417,Action_Status_Map!$A$5:$A$11,0)),""))</f>
        <v/>
      </c>
      <c r="K417" s="82" t="n"/>
      <c r="L417" s="82" t="n"/>
      <c r="M417" s="82" t="n"/>
      <c r="N417" s="83" t="n"/>
      <c r="O417" s="83" t="n"/>
      <c r="P417" s="66">
        <f>IF(OR($N417="",$O417=""),"",$O417-$N417)</f>
        <v/>
      </c>
      <c r="Q417" s="84">
        <f>IF($K417="","",IF($M417&lt;&gt;"",$M417-$K417,TODAY()-$K417))</f>
        <v/>
      </c>
      <c r="R417" s="85">
        <f>IF(OR($L417="",$I417="Completed",$I417="Cancelled"),"",IF(AND($L417&lt;TODAY(),$I417&lt;&gt;"Completed",$I417&lt;&gt;"Cancelled"),"Overdue","On Track"))</f>
        <v/>
      </c>
      <c r="S417" s="65">
        <f>IF($L417="","",TEXT($L417,"yyyy-mm"))</f>
        <v/>
      </c>
      <c r="T417" s="86">
        <f>IF($I417="","",IFERROR(INDEX(Action_Status_Map!$C$5:$C$11,MATCH($I417,Action_Status_Map!$A$5:$A$11,0)),""))</f>
        <v/>
      </c>
      <c r="U417" s="81" t="n"/>
      <c r="V417" s="82" t="n"/>
      <c r="W417" s="65">
        <f>IF(OR($I417&lt;&gt;"Completed",$M417="",$L417=""),"",IF($M417&lt;=$L417,"Yes","No"))</f>
        <v/>
      </c>
      <c r="X417" s="84">
        <f>IF($A417="","",COUNTIF(Task_Steps!$B$5:$B$2004,$A417))</f>
        <v/>
      </c>
      <c r="Y417" s="86">
        <f>IF($X417=0,"",COUNTIFS(Task_Steps!$B$5:$B$2004,$A417,Task_Steps!$H$5:$H$2004,"Completed")/$X417)</f>
        <v/>
      </c>
      <c r="Z417" s="81" t="n"/>
      <c r="AA417" s="81" t="n"/>
      <c r="AB417" s="67">
        <f>IF($F417="","",IFERROR(INDEX(Employee_Master!$E$5:$E$204,MATCH($F417,Employee_Master!$B$5:$B$204,0)),""))</f>
        <v/>
      </c>
      <c r="AC417" s="65">
        <f>IF(OR($A417="",$AB417=""),"",IF(OR($I417="Completed",$I417="Cancelled"),"Closed - in Manager Report","Active - in Manager Report"))</f>
        <v/>
      </c>
      <c r="AD417" s="81">
        <f>IF($A417="","",IFERROR(TEXTJOIN(", ",TRUE,FILTER(Task_Steps!$A$5:$A$2004,Task_Steps!$B$5:$B$2004=$A417)),""))</f>
        <v/>
      </c>
      <c r="AE417" s="84">
        <f>IF($A417="","",COUNTIFS(Task_Steps!$B$5:$B$2004,$A417,Task_Steps!$H$5:$H$2004,"&lt;&gt;Completed",Task_Steps!$H$5:$H$2004,"&lt;&gt;Cancelled"))</f>
        <v/>
      </c>
      <c r="AF417" s="81">
        <f>IF(OR($B417="",$A417=""),"",$B417&amp;" | "&amp;$A417)</f>
        <v/>
      </c>
    </row>
    <row r="418" ht="15" customHeight="1" s="40">
      <c r="A418" s="65">
        <f>IF(COUNTA(B418:F418)=0,"","TSK-"&amp;TEXT(ROW()-4,"0000"))</f>
        <v/>
      </c>
      <c r="B418" s="78" t="n"/>
      <c r="C418" s="78" t="n"/>
      <c r="D418" s="81" t="n"/>
      <c r="E418" s="81" t="n"/>
      <c r="F418" s="78" t="n"/>
      <c r="G418" s="67">
        <f>IF($F418="","",IFERROR(INDEX(Employee_Master!$C$5:$C$204,MATCH($F418,Employee_Master!$B$5:$B$204,0)),""))</f>
        <v/>
      </c>
      <c r="H418" s="78" t="n"/>
      <c r="I418" s="78" t="n"/>
      <c r="J418" s="67">
        <f>IF($I418="","",IFERROR(INDEX(Action_Status_Map!$B$5:$B$11,MATCH($I418,Action_Status_Map!$A$5:$A$11,0)),""))</f>
        <v/>
      </c>
      <c r="K418" s="82" t="n"/>
      <c r="L418" s="82" t="n"/>
      <c r="M418" s="82" t="n"/>
      <c r="N418" s="83" t="n"/>
      <c r="O418" s="83" t="n"/>
      <c r="P418" s="66">
        <f>IF(OR($N418="",$O418=""),"",$O418-$N418)</f>
        <v/>
      </c>
      <c r="Q418" s="84">
        <f>IF($K418="","",IF($M418&lt;&gt;"",$M418-$K418,TODAY()-$K418))</f>
        <v/>
      </c>
      <c r="R418" s="85">
        <f>IF(OR($L418="",$I418="Completed",$I418="Cancelled"),"",IF(AND($L418&lt;TODAY(),$I418&lt;&gt;"Completed",$I418&lt;&gt;"Cancelled"),"Overdue","On Track"))</f>
        <v/>
      </c>
      <c r="S418" s="65">
        <f>IF($L418="","",TEXT($L418,"yyyy-mm"))</f>
        <v/>
      </c>
      <c r="T418" s="86">
        <f>IF($I418="","",IFERROR(INDEX(Action_Status_Map!$C$5:$C$11,MATCH($I418,Action_Status_Map!$A$5:$A$11,0)),""))</f>
        <v/>
      </c>
      <c r="U418" s="81" t="n"/>
      <c r="V418" s="82" t="n"/>
      <c r="W418" s="65">
        <f>IF(OR($I418&lt;&gt;"Completed",$M418="",$L418=""),"",IF($M418&lt;=$L418,"Yes","No"))</f>
        <v/>
      </c>
      <c r="X418" s="84">
        <f>IF($A418="","",COUNTIF(Task_Steps!$B$5:$B$2004,$A418))</f>
        <v/>
      </c>
      <c r="Y418" s="86">
        <f>IF($X418=0,"",COUNTIFS(Task_Steps!$B$5:$B$2004,$A418,Task_Steps!$H$5:$H$2004,"Completed")/$X418)</f>
        <v/>
      </c>
      <c r="Z418" s="81" t="n"/>
      <c r="AA418" s="81" t="n"/>
      <c r="AB418" s="67">
        <f>IF($F418="","",IFERROR(INDEX(Employee_Master!$E$5:$E$204,MATCH($F418,Employee_Master!$B$5:$B$204,0)),""))</f>
        <v/>
      </c>
      <c r="AC418" s="65">
        <f>IF(OR($A418="",$AB418=""),"",IF(OR($I418="Completed",$I418="Cancelled"),"Closed - in Manager Report","Active - in Manager Report"))</f>
        <v/>
      </c>
      <c r="AD418" s="81">
        <f>IF($A418="","",IFERROR(TEXTJOIN(", ",TRUE,FILTER(Task_Steps!$A$5:$A$2004,Task_Steps!$B$5:$B$2004=$A418)),""))</f>
        <v/>
      </c>
      <c r="AE418" s="84">
        <f>IF($A418="","",COUNTIFS(Task_Steps!$B$5:$B$2004,$A418,Task_Steps!$H$5:$H$2004,"&lt;&gt;Completed",Task_Steps!$H$5:$H$2004,"&lt;&gt;Cancelled"))</f>
        <v/>
      </c>
      <c r="AF418" s="81">
        <f>IF(OR($B418="",$A418=""),"",$B418&amp;" | "&amp;$A418)</f>
        <v/>
      </c>
    </row>
    <row r="419" ht="15" customHeight="1" s="40">
      <c r="A419" s="65">
        <f>IF(COUNTA(B419:F419)=0,"","TSK-"&amp;TEXT(ROW()-4,"0000"))</f>
        <v/>
      </c>
      <c r="B419" s="78" t="n"/>
      <c r="C419" s="78" t="n"/>
      <c r="D419" s="81" t="n"/>
      <c r="E419" s="81" t="n"/>
      <c r="F419" s="78" t="n"/>
      <c r="G419" s="67">
        <f>IF($F419="","",IFERROR(INDEX(Employee_Master!$C$5:$C$204,MATCH($F419,Employee_Master!$B$5:$B$204,0)),""))</f>
        <v/>
      </c>
      <c r="H419" s="78" t="n"/>
      <c r="I419" s="78" t="n"/>
      <c r="J419" s="67">
        <f>IF($I419="","",IFERROR(INDEX(Action_Status_Map!$B$5:$B$11,MATCH($I419,Action_Status_Map!$A$5:$A$11,0)),""))</f>
        <v/>
      </c>
      <c r="K419" s="82" t="n"/>
      <c r="L419" s="82" t="n"/>
      <c r="M419" s="82" t="n"/>
      <c r="N419" s="83" t="n"/>
      <c r="O419" s="83" t="n"/>
      <c r="P419" s="66">
        <f>IF(OR($N419="",$O419=""),"",$O419-$N419)</f>
        <v/>
      </c>
      <c r="Q419" s="84">
        <f>IF($K419="","",IF($M419&lt;&gt;"",$M419-$K419,TODAY()-$K419))</f>
        <v/>
      </c>
      <c r="R419" s="85">
        <f>IF(OR($L419="",$I419="Completed",$I419="Cancelled"),"",IF(AND($L419&lt;TODAY(),$I419&lt;&gt;"Completed",$I419&lt;&gt;"Cancelled"),"Overdue","On Track"))</f>
        <v/>
      </c>
      <c r="S419" s="65">
        <f>IF($L419="","",TEXT($L419,"yyyy-mm"))</f>
        <v/>
      </c>
      <c r="T419" s="86">
        <f>IF($I419="","",IFERROR(INDEX(Action_Status_Map!$C$5:$C$11,MATCH($I419,Action_Status_Map!$A$5:$A$11,0)),""))</f>
        <v/>
      </c>
      <c r="U419" s="81" t="n"/>
      <c r="V419" s="82" t="n"/>
      <c r="W419" s="65">
        <f>IF(OR($I419&lt;&gt;"Completed",$M419="",$L419=""),"",IF($M419&lt;=$L419,"Yes","No"))</f>
        <v/>
      </c>
      <c r="X419" s="84">
        <f>IF($A419="","",COUNTIF(Task_Steps!$B$5:$B$2004,$A419))</f>
        <v/>
      </c>
      <c r="Y419" s="86">
        <f>IF($X419=0,"",COUNTIFS(Task_Steps!$B$5:$B$2004,$A419,Task_Steps!$H$5:$H$2004,"Completed")/$X419)</f>
        <v/>
      </c>
      <c r="Z419" s="81" t="n"/>
      <c r="AA419" s="81" t="n"/>
      <c r="AB419" s="67">
        <f>IF($F419="","",IFERROR(INDEX(Employee_Master!$E$5:$E$204,MATCH($F419,Employee_Master!$B$5:$B$204,0)),""))</f>
        <v/>
      </c>
      <c r="AC419" s="65">
        <f>IF(OR($A419="",$AB419=""),"",IF(OR($I419="Completed",$I419="Cancelled"),"Closed - in Manager Report","Active - in Manager Report"))</f>
        <v/>
      </c>
      <c r="AD419" s="81">
        <f>IF($A419="","",IFERROR(TEXTJOIN(", ",TRUE,FILTER(Task_Steps!$A$5:$A$2004,Task_Steps!$B$5:$B$2004=$A419)),""))</f>
        <v/>
      </c>
      <c r="AE419" s="84">
        <f>IF($A419="","",COUNTIFS(Task_Steps!$B$5:$B$2004,$A419,Task_Steps!$H$5:$H$2004,"&lt;&gt;Completed",Task_Steps!$H$5:$H$2004,"&lt;&gt;Cancelled"))</f>
        <v/>
      </c>
      <c r="AF419" s="81">
        <f>IF(OR($B419="",$A419=""),"",$B419&amp;" | "&amp;$A419)</f>
        <v/>
      </c>
    </row>
    <row r="420" ht="15" customHeight="1" s="40">
      <c r="A420" s="65">
        <f>IF(COUNTA(B420:F420)=0,"","TSK-"&amp;TEXT(ROW()-4,"0000"))</f>
        <v/>
      </c>
      <c r="B420" s="78" t="n"/>
      <c r="C420" s="78" t="n"/>
      <c r="D420" s="81" t="n"/>
      <c r="E420" s="81" t="n"/>
      <c r="F420" s="78" t="n"/>
      <c r="G420" s="67">
        <f>IF($F420="","",IFERROR(INDEX(Employee_Master!$C$5:$C$204,MATCH($F420,Employee_Master!$B$5:$B$204,0)),""))</f>
        <v/>
      </c>
      <c r="H420" s="78" t="n"/>
      <c r="I420" s="78" t="n"/>
      <c r="J420" s="67">
        <f>IF($I420="","",IFERROR(INDEX(Action_Status_Map!$B$5:$B$11,MATCH($I420,Action_Status_Map!$A$5:$A$11,0)),""))</f>
        <v/>
      </c>
      <c r="K420" s="82" t="n"/>
      <c r="L420" s="82" t="n"/>
      <c r="M420" s="82" t="n"/>
      <c r="N420" s="83" t="n"/>
      <c r="O420" s="83" t="n"/>
      <c r="P420" s="66">
        <f>IF(OR($N420="",$O420=""),"",$O420-$N420)</f>
        <v/>
      </c>
      <c r="Q420" s="84">
        <f>IF($K420="","",IF($M420&lt;&gt;"",$M420-$K420,TODAY()-$K420))</f>
        <v/>
      </c>
      <c r="R420" s="85">
        <f>IF(OR($L420="",$I420="Completed",$I420="Cancelled"),"",IF(AND($L420&lt;TODAY(),$I420&lt;&gt;"Completed",$I420&lt;&gt;"Cancelled"),"Overdue","On Track"))</f>
        <v/>
      </c>
      <c r="S420" s="65">
        <f>IF($L420="","",TEXT($L420,"yyyy-mm"))</f>
        <v/>
      </c>
      <c r="T420" s="86">
        <f>IF($I420="","",IFERROR(INDEX(Action_Status_Map!$C$5:$C$11,MATCH($I420,Action_Status_Map!$A$5:$A$11,0)),""))</f>
        <v/>
      </c>
      <c r="U420" s="81" t="n"/>
      <c r="V420" s="82" t="n"/>
      <c r="W420" s="65">
        <f>IF(OR($I420&lt;&gt;"Completed",$M420="",$L420=""),"",IF($M420&lt;=$L420,"Yes","No"))</f>
        <v/>
      </c>
      <c r="X420" s="84">
        <f>IF($A420="","",COUNTIF(Task_Steps!$B$5:$B$2004,$A420))</f>
        <v/>
      </c>
      <c r="Y420" s="86">
        <f>IF($X420=0,"",COUNTIFS(Task_Steps!$B$5:$B$2004,$A420,Task_Steps!$H$5:$H$2004,"Completed")/$X420)</f>
        <v/>
      </c>
      <c r="Z420" s="81" t="n"/>
      <c r="AA420" s="81" t="n"/>
      <c r="AB420" s="67">
        <f>IF($F420="","",IFERROR(INDEX(Employee_Master!$E$5:$E$204,MATCH($F420,Employee_Master!$B$5:$B$204,0)),""))</f>
        <v/>
      </c>
      <c r="AC420" s="65">
        <f>IF(OR($A420="",$AB420=""),"",IF(OR($I420="Completed",$I420="Cancelled"),"Closed - in Manager Report","Active - in Manager Report"))</f>
        <v/>
      </c>
      <c r="AD420" s="81">
        <f>IF($A420="","",IFERROR(TEXTJOIN(", ",TRUE,FILTER(Task_Steps!$A$5:$A$2004,Task_Steps!$B$5:$B$2004=$A420)),""))</f>
        <v/>
      </c>
      <c r="AE420" s="84">
        <f>IF($A420="","",COUNTIFS(Task_Steps!$B$5:$B$2004,$A420,Task_Steps!$H$5:$H$2004,"&lt;&gt;Completed",Task_Steps!$H$5:$H$2004,"&lt;&gt;Cancelled"))</f>
        <v/>
      </c>
      <c r="AF420" s="81">
        <f>IF(OR($B420="",$A420=""),"",$B420&amp;" | "&amp;$A420)</f>
        <v/>
      </c>
    </row>
    <row r="421" ht="15" customHeight="1" s="40">
      <c r="A421" s="65">
        <f>IF(COUNTA(B421:F421)=0,"","TSK-"&amp;TEXT(ROW()-4,"0000"))</f>
        <v/>
      </c>
      <c r="B421" s="78" t="n"/>
      <c r="C421" s="78" t="n"/>
      <c r="D421" s="81" t="n"/>
      <c r="E421" s="81" t="n"/>
      <c r="F421" s="78" t="n"/>
      <c r="G421" s="67">
        <f>IF($F421="","",IFERROR(INDEX(Employee_Master!$C$5:$C$204,MATCH($F421,Employee_Master!$B$5:$B$204,0)),""))</f>
        <v/>
      </c>
      <c r="H421" s="78" t="n"/>
      <c r="I421" s="78" t="n"/>
      <c r="J421" s="67">
        <f>IF($I421="","",IFERROR(INDEX(Action_Status_Map!$B$5:$B$11,MATCH($I421,Action_Status_Map!$A$5:$A$11,0)),""))</f>
        <v/>
      </c>
      <c r="K421" s="82" t="n"/>
      <c r="L421" s="82" t="n"/>
      <c r="M421" s="82" t="n"/>
      <c r="N421" s="83" t="n"/>
      <c r="O421" s="83" t="n"/>
      <c r="P421" s="66">
        <f>IF(OR($N421="",$O421=""),"",$O421-$N421)</f>
        <v/>
      </c>
      <c r="Q421" s="84">
        <f>IF($K421="","",IF($M421&lt;&gt;"",$M421-$K421,TODAY()-$K421))</f>
        <v/>
      </c>
      <c r="R421" s="85">
        <f>IF(OR($L421="",$I421="Completed",$I421="Cancelled"),"",IF(AND($L421&lt;TODAY(),$I421&lt;&gt;"Completed",$I421&lt;&gt;"Cancelled"),"Overdue","On Track"))</f>
        <v/>
      </c>
      <c r="S421" s="65">
        <f>IF($L421="","",TEXT($L421,"yyyy-mm"))</f>
        <v/>
      </c>
      <c r="T421" s="86">
        <f>IF($I421="","",IFERROR(INDEX(Action_Status_Map!$C$5:$C$11,MATCH($I421,Action_Status_Map!$A$5:$A$11,0)),""))</f>
        <v/>
      </c>
      <c r="U421" s="81" t="n"/>
      <c r="V421" s="82" t="n"/>
      <c r="W421" s="65">
        <f>IF(OR($I421&lt;&gt;"Completed",$M421="",$L421=""),"",IF($M421&lt;=$L421,"Yes","No"))</f>
        <v/>
      </c>
      <c r="X421" s="84">
        <f>IF($A421="","",COUNTIF(Task_Steps!$B$5:$B$2004,$A421))</f>
        <v/>
      </c>
      <c r="Y421" s="86">
        <f>IF($X421=0,"",COUNTIFS(Task_Steps!$B$5:$B$2004,$A421,Task_Steps!$H$5:$H$2004,"Completed")/$X421)</f>
        <v/>
      </c>
      <c r="Z421" s="81" t="n"/>
      <c r="AA421" s="81" t="n"/>
      <c r="AB421" s="67">
        <f>IF($F421="","",IFERROR(INDEX(Employee_Master!$E$5:$E$204,MATCH($F421,Employee_Master!$B$5:$B$204,0)),""))</f>
        <v/>
      </c>
      <c r="AC421" s="65">
        <f>IF(OR($A421="",$AB421=""),"",IF(OR($I421="Completed",$I421="Cancelled"),"Closed - in Manager Report","Active - in Manager Report"))</f>
        <v/>
      </c>
      <c r="AD421" s="81">
        <f>IF($A421="","",IFERROR(TEXTJOIN(", ",TRUE,FILTER(Task_Steps!$A$5:$A$2004,Task_Steps!$B$5:$B$2004=$A421)),""))</f>
        <v/>
      </c>
      <c r="AE421" s="84">
        <f>IF($A421="","",COUNTIFS(Task_Steps!$B$5:$B$2004,$A421,Task_Steps!$H$5:$H$2004,"&lt;&gt;Completed",Task_Steps!$H$5:$H$2004,"&lt;&gt;Cancelled"))</f>
        <v/>
      </c>
      <c r="AF421" s="81">
        <f>IF(OR($B421="",$A421=""),"",$B421&amp;" | "&amp;$A421)</f>
        <v/>
      </c>
    </row>
    <row r="422" ht="15" customHeight="1" s="40">
      <c r="A422" s="65">
        <f>IF(COUNTA(B422:F422)=0,"","TSK-"&amp;TEXT(ROW()-4,"0000"))</f>
        <v/>
      </c>
      <c r="B422" s="78" t="n"/>
      <c r="C422" s="78" t="n"/>
      <c r="D422" s="81" t="n"/>
      <c r="E422" s="81" t="n"/>
      <c r="F422" s="78" t="n"/>
      <c r="G422" s="67">
        <f>IF($F422="","",IFERROR(INDEX(Employee_Master!$C$5:$C$204,MATCH($F422,Employee_Master!$B$5:$B$204,0)),""))</f>
        <v/>
      </c>
      <c r="H422" s="78" t="n"/>
      <c r="I422" s="78" t="n"/>
      <c r="J422" s="67">
        <f>IF($I422="","",IFERROR(INDEX(Action_Status_Map!$B$5:$B$11,MATCH($I422,Action_Status_Map!$A$5:$A$11,0)),""))</f>
        <v/>
      </c>
      <c r="K422" s="82" t="n"/>
      <c r="L422" s="82" t="n"/>
      <c r="M422" s="82" t="n"/>
      <c r="N422" s="83" t="n"/>
      <c r="O422" s="83" t="n"/>
      <c r="P422" s="66">
        <f>IF(OR($N422="",$O422=""),"",$O422-$N422)</f>
        <v/>
      </c>
      <c r="Q422" s="84">
        <f>IF($K422="","",IF($M422&lt;&gt;"",$M422-$K422,TODAY()-$K422))</f>
        <v/>
      </c>
      <c r="R422" s="85">
        <f>IF(OR($L422="",$I422="Completed",$I422="Cancelled"),"",IF(AND($L422&lt;TODAY(),$I422&lt;&gt;"Completed",$I422&lt;&gt;"Cancelled"),"Overdue","On Track"))</f>
        <v/>
      </c>
      <c r="S422" s="65">
        <f>IF($L422="","",TEXT($L422,"yyyy-mm"))</f>
        <v/>
      </c>
      <c r="T422" s="86">
        <f>IF($I422="","",IFERROR(INDEX(Action_Status_Map!$C$5:$C$11,MATCH($I422,Action_Status_Map!$A$5:$A$11,0)),""))</f>
        <v/>
      </c>
      <c r="U422" s="81" t="n"/>
      <c r="V422" s="82" t="n"/>
      <c r="W422" s="65">
        <f>IF(OR($I422&lt;&gt;"Completed",$M422="",$L422=""),"",IF($M422&lt;=$L422,"Yes","No"))</f>
        <v/>
      </c>
      <c r="X422" s="84">
        <f>IF($A422="","",COUNTIF(Task_Steps!$B$5:$B$2004,$A422))</f>
        <v/>
      </c>
      <c r="Y422" s="86">
        <f>IF($X422=0,"",COUNTIFS(Task_Steps!$B$5:$B$2004,$A422,Task_Steps!$H$5:$H$2004,"Completed")/$X422)</f>
        <v/>
      </c>
      <c r="Z422" s="81" t="n"/>
      <c r="AA422" s="81" t="n"/>
      <c r="AB422" s="67">
        <f>IF($F422="","",IFERROR(INDEX(Employee_Master!$E$5:$E$204,MATCH($F422,Employee_Master!$B$5:$B$204,0)),""))</f>
        <v/>
      </c>
      <c r="AC422" s="65">
        <f>IF(OR($A422="",$AB422=""),"",IF(OR($I422="Completed",$I422="Cancelled"),"Closed - in Manager Report","Active - in Manager Report"))</f>
        <v/>
      </c>
      <c r="AD422" s="81">
        <f>IF($A422="","",IFERROR(TEXTJOIN(", ",TRUE,FILTER(Task_Steps!$A$5:$A$2004,Task_Steps!$B$5:$B$2004=$A422)),""))</f>
        <v/>
      </c>
      <c r="AE422" s="84">
        <f>IF($A422="","",COUNTIFS(Task_Steps!$B$5:$B$2004,$A422,Task_Steps!$H$5:$H$2004,"&lt;&gt;Completed",Task_Steps!$H$5:$H$2004,"&lt;&gt;Cancelled"))</f>
        <v/>
      </c>
      <c r="AF422" s="81">
        <f>IF(OR($B422="",$A422=""),"",$B422&amp;" | "&amp;$A422)</f>
        <v/>
      </c>
    </row>
    <row r="423" ht="15" customHeight="1" s="40">
      <c r="A423" s="65">
        <f>IF(COUNTA(B423:F423)=0,"","TSK-"&amp;TEXT(ROW()-4,"0000"))</f>
        <v/>
      </c>
      <c r="B423" s="78" t="n"/>
      <c r="C423" s="78" t="n"/>
      <c r="D423" s="81" t="n"/>
      <c r="E423" s="81" t="n"/>
      <c r="F423" s="78" t="n"/>
      <c r="G423" s="67">
        <f>IF($F423="","",IFERROR(INDEX(Employee_Master!$C$5:$C$204,MATCH($F423,Employee_Master!$B$5:$B$204,0)),""))</f>
        <v/>
      </c>
      <c r="H423" s="78" t="n"/>
      <c r="I423" s="78" t="n"/>
      <c r="J423" s="67">
        <f>IF($I423="","",IFERROR(INDEX(Action_Status_Map!$B$5:$B$11,MATCH($I423,Action_Status_Map!$A$5:$A$11,0)),""))</f>
        <v/>
      </c>
      <c r="K423" s="82" t="n"/>
      <c r="L423" s="82" t="n"/>
      <c r="M423" s="82" t="n"/>
      <c r="N423" s="83" t="n"/>
      <c r="O423" s="83" t="n"/>
      <c r="P423" s="66">
        <f>IF(OR($N423="",$O423=""),"",$O423-$N423)</f>
        <v/>
      </c>
      <c r="Q423" s="84">
        <f>IF($K423="","",IF($M423&lt;&gt;"",$M423-$K423,TODAY()-$K423))</f>
        <v/>
      </c>
      <c r="R423" s="85">
        <f>IF(OR($L423="",$I423="Completed",$I423="Cancelled"),"",IF(AND($L423&lt;TODAY(),$I423&lt;&gt;"Completed",$I423&lt;&gt;"Cancelled"),"Overdue","On Track"))</f>
        <v/>
      </c>
      <c r="S423" s="65">
        <f>IF($L423="","",TEXT($L423,"yyyy-mm"))</f>
        <v/>
      </c>
      <c r="T423" s="86">
        <f>IF($I423="","",IFERROR(INDEX(Action_Status_Map!$C$5:$C$11,MATCH($I423,Action_Status_Map!$A$5:$A$11,0)),""))</f>
        <v/>
      </c>
      <c r="U423" s="81" t="n"/>
      <c r="V423" s="82" t="n"/>
      <c r="W423" s="65">
        <f>IF(OR($I423&lt;&gt;"Completed",$M423="",$L423=""),"",IF($M423&lt;=$L423,"Yes","No"))</f>
        <v/>
      </c>
      <c r="X423" s="84">
        <f>IF($A423="","",COUNTIF(Task_Steps!$B$5:$B$2004,$A423))</f>
        <v/>
      </c>
      <c r="Y423" s="86">
        <f>IF($X423=0,"",COUNTIFS(Task_Steps!$B$5:$B$2004,$A423,Task_Steps!$H$5:$H$2004,"Completed")/$X423)</f>
        <v/>
      </c>
      <c r="Z423" s="81" t="n"/>
      <c r="AA423" s="81" t="n"/>
      <c r="AB423" s="67">
        <f>IF($F423="","",IFERROR(INDEX(Employee_Master!$E$5:$E$204,MATCH($F423,Employee_Master!$B$5:$B$204,0)),""))</f>
        <v/>
      </c>
      <c r="AC423" s="65">
        <f>IF(OR($A423="",$AB423=""),"",IF(OR($I423="Completed",$I423="Cancelled"),"Closed - in Manager Report","Active - in Manager Report"))</f>
        <v/>
      </c>
      <c r="AD423" s="81">
        <f>IF($A423="","",IFERROR(TEXTJOIN(", ",TRUE,FILTER(Task_Steps!$A$5:$A$2004,Task_Steps!$B$5:$B$2004=$A423)),""))</f>
        <v/>
      </c>
      <c r="AE423" s="84">
        <f>IF($A423="","",COUNTIFS(Task_Steps!$B$5:$B$2004,$A423,Task_Steps!$H$5:$H$2004,"&lt;&gt;Completed",Task_Steps!$H$5:$H$2004,"&lt;&gt;Cancelled"))</f>
        <v/>
      </c>
      <c r="AF423" s="81">
        <f>IF(OR($B423="",$A423=""),"",$B423&amp;" | "&amp;$A423)</f>
        <v/>
      </c>
    </row>
    <row r="424" ht="15" customHeight="1" s="40">
      <c r="A424" s="65">
        <f>IF(COUNTA(B424:F424)=0,"","TSK-"&amp;TEXT(ROW()-4,"0000"))</f>
        <v/>
      </c>
      <c r="B424" s="78" t="n"/>
      <c r="C424" s="78" t="n"/>
      <c r="D424" s="81" t="n"/>
      <c r="E424" s="81" t="n"/>
      <c r="F424" s="78" t="n"/>
      <c r="G424" s="67">
        <f>IF($F424="","",IFERROR(INDEX(Employee_Master!$C$5:$C$204,MATCH($F424,Employee_Master!$B$5:$B$204,0)),""))</f>
        <v/>
      </c>
      <c r="H424" s="78" t="n"/>
      <c r="I424" s="78" t="n"/>
      <c r="J424" s="67">
        <f>IF($I424="","",IFERROR(INDEX(Action_Status_Map!$B$5:$B$11,MATCH($I424,Action_Status_Map!$A$5:$A$11,0)),""))</f>
        <v/>
      </c>
      <c r="K424" s="82" t="n"/>
      <c r="L424" s="82" t="n"/>
      <c r="M424" s="82" t="n"/>
      <c r="N424" s="83" t="n"/>
      <c r="O424" s="83" t="n"/>
      <c r="P424" s="66">
        <f>IF(OR($N424="",$O424=""),"",$O424-$N424)</f>
        <v/>
      </c>
      <c r="Q424" s="84">
        <f>IF($K424="","",IF($M424&lt;&gt;"",$M424-$K424,TODAY()-$K424))</f>
        <v/>
      </c>
      <c r="R424" s="85">
        <f>IF(OR($L424="",$I424="Completed",$I424="Cancelled"),"",IF(AND($L424&lt;TODAY(),$I424&lt;&gt;"Completed",$I424&lt;&gt;"Cancelled"),"Overdue","On Track"))</f>
        <v/>
      </c>
      <c r="S424" s="65">
        <f>IF($L424="","",TEXT($L424,"yyyy-mm"))</f>
        <v/>
      </c>
      <c r="T424" s="86">
        <f>IF($I424="","",IFERROR(INDEX(Action_Status_Map!$C$5:$C$11,MATCH($I424,Action_Status_Map!$A$5:$A$11,0)),""))</f>
        <v/>
      </c>
      <c r="U424" s="81" t="n"/>
      <c r="V424" s="82" t="n"/>
      <c r="W424" s="65">
        <f>IF(OR($I424&lt;&gt;"Completed",$M424="",$L424=""),"",IF($M424&lt;=$L424,"Yes","No"))</f>
        <v/>
      </c>
      <c r="X424" s="84">
        <f>IF($A424="","",COUNTIF(Task_Steps!$B$5:$B$2004,$A424))</f>
        <v/>
      </c>
      <c r="Y424" s="86">
        <f>IF($X424=0,"",COUNTIFS(Task_Steps!$B$5:$B$2004,$A424,Task_Steps!$H$5:$H$2004,"Completed")/$X424)</f>
        <v/>
      </c>
      <c r="Z424" s="81" t="n"/>
      <c r="AA424" s="81" t="n"/>
      <c r="AB424" s="67">
        <f>IF($F424="","",IFERROR(INDEX(Employee_Master!$E$5:$E$204,MATCH($F424,Employee_Master!$B$5:$B$204,0)),""))</f>
        <v/>
      </c>
      <c r="AC424" s="65">
        <f>IF(OR($A424="",$AB424=""),"",IF(OR($I424="Completed",$I424="Cancelled"),"Closed - in Manager Report","Active - in Manager Report"))</f>
        <v/>
      </c>
      <c r="AD424" s="81">
        <f>IF($A424="","",IFERROR(TEXTJOIN(", ",TRUE,FILTER(Task_Steps!$A$5:$A$2004,Task_Steps!$B$5:$B$2004=$A424)),""))</f>
        <v/>
      </c>
      <c r="AE424" s="84">
        <f>IF($A424="","",COUNTIFS(Task_Steps!$B$5:$B$2004,$A424,Task_Steps!$H$5:$H$2004,"&lt;&gt;Completed",Task_Steps!$H$5:$H$2004,"&lt;&gt;Cancelled"))</f>
        <v/>
      </c>
      <c r="AF424" s="81">
        <f>IF(OR($B424="",$A424=""),"",$B424&amp;" | "&amp;$A424)</f>
        <v/>
      </c>
    </row>
    <row r="425" ht="15" customHeight="1" s="40">
      <c r="A425" s="65">
        <f>IF(COUNTA(B425:F425)=0,"","TSK-"&amp;TEXT(ROW()-4,"0000"))</f>
        <v/>
      </c>
      <c r="B425" s="78" t="n"/>
      <c r="C425" s="78" t="n"/>
      <c r="D425" s="81" t="n"/>
      <c r="E425" s="81" t="n"/>
      <c r="F425" s="78" t="n"/>
      <c r="G425" s="67">
        <f>IF($F425="","",IFERROR(INDEX(Employee_Master!$C$5:$C$204,MATCH($F425,Employee_Master!$B$5:$B$204,0)),""))</f>
        <v/>
      </c>
      <c r="H425" s="78" t="n"/>
      <c r="I425" s="78" t="n"/>
      <c r="J425" s="67">
        <f>IF($I425="","",IFERROR(INDEX(Action_Status_Map!$B$5:$B$11,MATCH($I425,Action_Status_Map!$A$5:$A$11,0)),""))</f>
        <v/>
      </c>
      <c r="K425" s="82" t="n"/>
      <c r="L425" s="82" t="n"/>
      <c r="M425" s="82" t="n"/>
      <c r="N425" s="83" t="n"/>
      <c r="O425" s="83" t="n"/>
      <c r="P425" s="66">
        <f>IF(OR($N425="",$O425=""),"",$O425-$N425)</f>
        <v/>
      </c>
      <c r="Q425" s="84">
        <f>IF($K425="","",IF($M425&lt;&gt;"",$M425-$K425,TODAY()-$K425))</f>
        <v/>
      </c>
      <c r="R425" s="85">
        <f>IF(OR($L425="",$I425="Completed",$I425="Cancelled"),"",IF(AND($L425&lt;TODAY(),$I425&lt;&gt;"Completed",$I425&lt;&gt;"Cancelled"),"Overdue","On Track"))</f>
        <v/>
      </c>
      <c r="S425" s="65">
        <f>IF($L425="","",TEXT($L425,"yyyy-mm"))</f>
        <v/>
      </c>
      <c r="T425" s="86">
        <f>IF($I425="","",IFERROR(INDEX(Action_Status_Map!$C$5:$C$11,MATCH($I425,Action_Status_Map!$A$5:$A$11,0)),""))</f>
        <v/>
      </c>
      <c r="U425" s="81" t="n"/>
      <c r="V425" s="82" t="n"/>
      <c r="W425" s="65">
        <f>IF(OR($I425&lt;&gt;"Completed",$M425="",$L425=""),"",IF($M425&lt;=$L425,"Yes","No"))</f>
        <v/>
      </c>
      <c r="X425" s="84">
        <f>IF($A425="","",COUNTIF(Task_Steps!$B$5:$B$2004,$A425))</f>
        <v/>
      </c>
      <c r="Y425" s="86">
        <f>IF($X425=0,"",COUNTIFS(Task_Steps!$B$5:$B$2004,$A425,Task_Steps!$H$5:$H$2004,"Completed")/$X425)</f>
        <v/>
      </c>
      <c r="Z425" s="81" t="n"/>
      <c r="AA425" s="81" t="n"/>
      <c r="AB425" s="67">
        <f>IF($F425="","",IFERROR(INDEX(Employee_Master!$E$5:$E$204,MATCH($F425,Employee_Master!$B$5:$B$204,0)),""))</f>
        <v/>
      </c>
      <c r="AC425" s="65">
        <f>IF(OR($A425="",$AB425=""),"",IF(OR($I425="Completed",$I425="Cancelled"),"Closed - in Manager Report","Active - in Manager Report"))</f>
        <v/>
      </c>
      <c r="AD425" s="81">
        <f>IF($A425="","",IFERROR(TEXTJOIN(", ",TRUE,FILTER(Task_Steps!$A$5:$A$2004,Task_Steps!$B$5:$B$2004=$A425)),""))</f>
        <v/>
      </c>
      <c r="AE425" s="84">
        <f>IF($A425="","",COUNTIFS(Task_Steps!$B$5:$B$2004,$A425,Task_Steps!$H$5:$H$2004,"&lt;&gt;Completed",Task_Steps!$H$5:$H$2004,"&lt;&gt;Cancelled"))</f>
        <v/>
      </c>
      <c r="AF425" s="81">
        <f>IF(OR($B425="",$A425=""),"",$B425&amp;" | "&amp;$A425)</f>
        <v/>
      </c>
    </row>
    <row r="426" ht="15" customHeight="1" s="40">
      <c r="A426" s="65">
        <f>IF(COUNTA(B426:F426)=0,"","TSK-"&amp;TEXT(ROW()-4,"0000"))</f>
        <v/>
      </c>
      <c r="B426" s="78" t="n"/>
      <c r="C426" s="78" t="n"/>
      <c r="D426" s="81" t="n"/>
      <c r="E426" s="81" t="n"/>
      <c r="F426" s="78" t="n"/>
      <c r="G426" s="67">
        <f>IF($F426="","",IFERROR(INDEX(Employee_Master!$C$5:$C$204,MATCH($F426,Employee_Master!$B$5:$B$204,0)),""))</f>
        <v/>
      </c>
      <c r="H426" s="78" t="n"/>
      <c r="I426" s="78" t="n"/>
      <c r="J426" s="67">
        <f>IF($I426="","",IFERROR(INDEX(Action_Status_Map!$B$5:$B$11,MATCH($I426,Action_Status_Map!$A$5:$A$11,0)),""))</f>
        <v/>
      </c>
      <c r="K426" s="82" t="n"/>
      <c r="L426" s="82" t="n"/>
      <c r="M426" s="82" t="n"/>
      <c r="N426" s="83" t="n"/>
      <c r="O426" s="83" t="n"/>
      <c r="P426" s="66">
        <f>IF(OR($N426="",$O426=""),"",$O426-$N426)</f>
        <v/>
      </c>
      <c r="Q426" s="84">
        <f>IF($K426="","",IF($M426&lt;&gt;"",$M426-$K426,TODAY()-$K426))</f>
        <v/>
      </c>
      <c r="R426" s="85">
        <f>IF(OR($L426="",$I426="Completed",$I426="Cancelled"),"",IF(AND($L426&lt;TODAY(),$I426&lt;&gt;"Completed",$I426&lt;&gt;"Cancelled"),"Overdue","On Track"))</f>
        <v/>
      </c>
      <c r="S426" s="65">
        <f>IF($L426="","",TEXT($L426,"yyyy-mm"))</f>
        <v/>
      </c>
      <c r="T426" s="86">
        <f>IF($I426="","",IFERROR(INDEX(Action_Status_Map!$C$5:$C$11,MATCH($I426,Action_Status_Map!$A$5:$A$11,0)),""))</f>
        <v/>
      </c>
      <c r="U426" s="81" t="n"/>
      <c r="V426" s="82" t="n"/>
      <c r="W426" s="65">
        <f>IF(OR($I426&lt;&gt;"Completed",$M426="",$L426=""),"",IF($M426&lt;=$L426,"Yes","No"))</f>
        <v/>
      </c>
      <c r="X426" s="84">
        <f>IF($A426="","",COUNTIF(Task_Steps!$B$5:$B$2004,$A426))</f>
        <v/>
      </c>
      <c r="Y426" s="86">
        <f>IF($X426=0,"",COUNTIFS(Task_Steps!$B$5:$B$2004,$A426,Task_Steps!$H$5:$H$2004,"Completed")/$X426)</f>
        <v/>
      </c>
      <c r="Z426" s="81" t="n"/>
      <c r="AA426" s="81" t="n"/>
      <c r="AB426" s="67">
        <f>IF($F426="","",IFERROR(INDEX(Employee_Master!$E$5:$E$204,MATCH($F426,Employee_Master!$B$5:$B$204,0)),""))</f>
        <v/>
      </c>
      <c r="AC426" s="65">
        <f>IF(OR($A426="",$AB426=""),"",IF(OR($I426="Completed",$I426="Cancelled"),"Closed - in Manager Report","Active - in Manager Report"))</f>
        <v/>
      </c>
      <c r="AD426" s="81">
        <f>IF($A426="","",IFERROR(TEXTJOIN(", ",TRUE,FILTER(Task_Steps!$A$5:$A$2004,Task_Steps!$B$5:$B$2004=$A426)),""))</f>
        <v/>
      </c>
      <c r="AE426" s="84">
        <f>IF($A426="","",COUNTIFS(Task_Steps!$B$5:$B$2004,$A426,Task_Steps!$H$5:$H$2004,"&lt;&gt;Completed",Task_Steps!$H$5:$H$2004,"&lt;&gt;Cancelled"))</f>
        <v/>
      </c>
      <c r="AF426" s="81">
        <f>IF(OR($B426="",$A426=""),"",$B426&amp;" | "&amp;$A426)</f>
        <v/>
      </c>
    </row>
    <row r="427" ht="15" customHeight="1" s="40">
      <c r="A427" s="65">
        <f>IF(COUNTA(B427:F427)=0,"","TSK-"&amp;TEXT(ROW()-4,"0000"))</f>
        <v/>
      </c>
      <c r="B427" s="78" t="n"/>
      <c r="C427" s="78" t="n"/>
      <c r="D427" s="81" t="n"/>
      <c r="E427" s="81" t="n"/>
      <c r="F427" s="78" t="n"/>
      <c r="G427" s="67">
        <f>IF($F427="","",IFERROR(INDEX(Employee_Master!$C$5:$C$204,MATCH($F427,Employee_Master!$B$5:$B$204,0)),""))</f>
        <v/>
      </c>
      <c r="H427" s="78" t="n"/>
      <c r="I427" s="78" t="n"/>
      <c r="J427" s="67">
        <f>IF($I427="","",IFERROR(INDEX(Action_Status_Map!$B$5:$B$11,MATCH($I427,Action_Status_Map!$A$5:$A$11,0)),""))</f>
        <v/>
      </c>
      <c r="K427" s="82" t="n"/>
      <c r="L427" s="82" t="n"/>
      <c r="M427" s="82" t="n"/>
      <c r="N427" s="83" t="n"/>
      <c r="O427" s="83" t="n"/>
      <c r="P427" s="66">
        <f>IF(OR($N427="",$O427=""),"",$O427-$N427)</f>
        <v/>
      </c>
      <c r="Q427" s="84">
        <f>IF($K427="","",IF($M427&lt;&gt;"",$M427-$K427,TODAY()-$K427))</f>
        <v/>
      </c>
      <c r="R427" s="85">
        <f>IF(OR($L427="",$I427="Completed",$I427="Cancelled"),"",IF(AND($L427&lt;TODAY(),$I427&lt;&gt;"Completed",$I427&lt;&gt;"Cancelled"),"Overdue","On Track"))</f>
        <v/>
      </c>
      <c r="S427" s="65">
        <f>IF($L427="","",TEXT($L427,"yyyy-mm"))</f>
        <v/>
      </c>
      <c r="T427" s="86">
        <f>IF($I427="","",IFERROR(INDEX(Action_Status_Map!$C$5:$C$11,MATCH($I427,Action_Status_Map!$A$5:$A$11,0)),""))</f>
        <v/>
      </c>
      <c r="U427" s="81" t="n"/>
      <c r="V427" s="82" t="n"/>
      <c r="W427" s="65">
        <f>IF(OR($I427&lt;&gt;"Completed",$M427="",$L427=""),"",IF($M427&lt;=$L427,"Yes","No"))</f>
        <v/>
      </c>
      <c r="X427" s="84">
        <f>IF($A427="","",COUNTIF(Task_Steps!$B$5:$B$2004,$A427))</f>
        <v/>
      </c>
      <c r="Y427" s="86">
        <f>IF($X427=0,"",COUNTIFS(Task_Steps!$B$5:$B$2004,$A427,Task_Steps!$H$5:$H$2004,"Completed")/$X427)</f>
        <v/>
      </c>
      <c r="Z427" s="81" t="n"/>
      <c r="AA427" s="81" t="n"/>
      <c r="AB427" s="67">
        <f>IF($F427="","",IFERROR(INDEX(Employee_Master!$E$5:$E$204,MATCH($F427,Employee_Master!$B$5:$B$204,0)),""))</f>
        <v/>
      </c>
      <c r="AC427" s="65">
        <f>IF(OR($A427="",$AB427=""),"",IF(OR($I427="Completed",$I427="Cancelled"),"Closed - in Manager Report","Active - in Manager Report"))</f>
        <v/>
      </c>
      <c r="AD427" s="81">
        <f>IF($A427="","",IFERROR(TEXTJOIN(", ",TRUE,FILTER(Task_Steps!$A$5:$A$2004,Task_Steps!$B$5:$B$2004=$A427)),""))</f>
        <v/>
      </c>
      <c r="AE427" s="84">
        <f>IF($A427="","",COUNTIFS(Task_Steps!$B$5:$B$2004,$A427,Task_Steps!$H$5:$H$2004,"&lt;&gt;Completed",Task_Steps!$H$5:$H$2004,"&lt;&gt;Cancelled"))</f>
        <v/>
      </c>
      <c r="AF427" s="81">
        <f>IF(OR($B427="",$A427=""),"",$B427&amp;" | "&amp;$A427)</f>
        <v/>
      </c>
    </row>
    <row r="428" ht="15" customHeight="1" s="40">
      <c r="A428" s="65">
        <f>IF(COUNTA(B428:F428)=0,"","TSK-"&amp;TEXT(ROW()-4,"0000"))</f>
        <v/>
      </c>
      <c r="B428" s="78" t="n"/>
      <c r="C428" s="78" t="n"/>
      <c r="D428" s="81" t="n"/>
      <c r="E428" s="81" t="n"/>
      <c r="F428" s="78" t="n"/>
      <c r="G428" s="67">
        <f>IF($F428="","",IFERROR(INDEX(Employee_Master!$C$5:$C$204,MATCH($F428,Employee_Master!$B$5:$B$204,0)),""))</f>
        <v/>
      </c>
      <c r="H428" s="78" t="n"/>
      <c r="I428" s="78" t="n"/>
      <c r="J428" s="67">
        <f>IF($I428="","",IFERROR(INDEX(Action_Status_Map!$B$5:$B$11,MATCH($I428,Action_Status_Map!$A$5:$A$11,0)),""))</f>
        <v/>
      </c>
      <c r="K428" s="82" t="n"/>
      <c r="L428" s="82" t="n"/>
      <c r="M428" s="82" t="n"/>
      <c r="N428" s="83" t="n"/>
      <c r="O428" s="83" t="n"/>
      <c r="P428" s="66">
        <f>IF(OR($N428="",$O428=""),"",$O428-$N428)</f>
        <v/>
      </c>
      <c r="Q428" s="84">
        <f>IF($K428="","",IF($M428&lt;&gt;"",$M428-$K428,TODAY()-$K428))</f>
        <v/>
      </c>
      <c r="R428" s="85">
        <f>IF(OR($L428="",$I428="Completed",$I428="Cancelled"),"",IF(AND($L428&lt;TODAY(),$I428&lt;&gt;"Completed",$I428&lt;&gt;"Cancelled"),"Overdue","On Track"))</f>
        <v/>
      </c>
      <c r="S428" s="65">
        <f>IF($L428="","",TEXT($L428,"yyyy-mm"))</f>
        <v/>
      </c>
      <c r="T428" s="86">
        <f>IF($I428="","",IFERROR(INDEX(Action_Status_Map!$C$5:$C$11,MATCH($I428,Action_Status_Map!$A$5:$A$11,0)),""))</f>
        <v/>
      </c>
      <c r="U428" s="81" t="n"/>
      <c r="V428" s="82" t="n"/>
      <c r="W428" s="65">
        <f>IF(OR($I428&lt;&gt;"Completed",$M428="",$L428=""),"",IF($M428&lt;=$L428,"Yes","No"))</f>
        <v/>
      </c>
      <c r="X428" s="84">
        <f>IF($A428="","",COUNTIF(Task_Steps!$B$5:$B$2004,$A428))</f>
        <v/>
      </c>
      <c r="Y428" s="86">
        <f>IF($X428=0,"",COUNTIFS(Task_Steps!$B$5:$B$2004,$A428,Task_Steps!$H$5:$H$2004,"Completed")/$X428)</f>
        <v/>
      </c>
      <c r="Z428" s="81" t="n"/>
      <c r="AA428" s="81" t="n"/>
      <c r="AB428" s="67">
        <f>IF($F428="","",IFERROR(INDEX(Employee_Master!$E$5:$E$204,MATCH($F428,Employee_Master!$B$5:$B$204,0)),""))</f>
        <v/>
      </c>
      <c r="AC428" s="65">
        <f>IF(OR($A428="",$AB428=""),"",IF(OR($I428="Completed",$I428="Cancelled"),"Closed - in Manager Report","Active - in Manager Report"))</f>
        <v/>
      </c>
      <c r="AD428" s="81">
        <f>IF($A428="","",IFERROR(TEXTJOIN(", ",TRUE,FILTER(Task_Steps!$A$5:$A$2004,Task_Steps!$B$5:$B$2004=$A428)),""))</f>
        <v/>
      </c>
      <c r="AE428" s="84">
        <f>IF($A428="","",COUNTIFS(Task_Steps!$B$5:$B$2004,$A428,Task_Steps!$H$5:$H$2004,"&lt;&gt;Completed",Task_Steps!$H$5:$H$2004,"&lt;&gt;Cancelled"))</f>
        <v/>
      </c>
      <c r="AF428" s="81">
        <f>IF(OR($B428="",$A428=""),"",$B428&amp;" | "&amp;$A428)</f>
        <v/>
      </c>
    </row>
    <row r="429" ht="15" customHeight="1" s="40">
      <c r="A429" s="65">
        <f>IF(COUNTA(B429:F429)=0,"","TSK-"&amp;TEXT(ROW()-4,"0000"))</f>
        <v/>
      </c>
      <c r="B429" s="78" t="n"/>
      <c r="C429" s="78" t="n"/>
      <c r="D429" s="81" t="n"/>
      <c r="E429" s="81" t="n"/>
      <c r="F429" s="78" t="n"/>
      <c r="G429" s="67">
        <f>IF($F429="","",IFERROR(INDEX(Employee_Master!$C$5:$C$204,MATCH($F429,Employee_Master!$B$5:$B$204,0)),""))</f>
        <v/>
      </c>
      <c r="H429" s="78" t="n"/>
      <c r="I429" s="78" t="n"/>
      <c r="J429" s="67">
        <f>IF($I429="","",IFERROR(INDEX(Action_Status_Map!$B$5:$B$11,MATCH($I429,Action_Status_Map!$A$5:$A$11,0)),""))</f>
        <v/>
      </c>
      <c r="K429" s="82" t="n"/>
      <c r="L429" s="82" t="n"/>
      <c r="M429" s="82" t="n"/>
      <c r="N429" s="83" t="n"/>
      <c r="O429" s="83" t="n"/>
      <c r="P429" s="66">
        <f>IF(OR($N429="",$O429=""),"",$O429-$N429)</f>
        <v/>
      </c>
      <c r="Q429" s="84">
        <f>IF($K429="","",IF($M429&lt;&gt;"",$M429-$K429,TODAY()-$K429))</f>
        <v/>
      </c>
      <c r="R429" s="85">
        <f>IF(OR($L429="",$I429="Completed",$I429="Cancelled"),"",IF(AND($L429&lt;TODAY(),$I429&lt;&gt;"Completed",$I429&lt;&gt;"Cancelled"),"Overdue","On Track"))</f>
        <v/>
      </c>
      <c r="S429" s="65">
        <f>IF($L429="","",TEXT($L429,"yyyy-mm"))</f>
        <v/>
      </c>
      <c r="T429" s="86">
        <f>IF($I429="","",IFERROR(INDEX(Action_Status_Map!$C$5:$C$11,MATCH($I429,Action_Status_Map!$A$5:$A$11,0)),""))</f>
        <v/>
      </c>
      <c r="U429" s="81" t="n"/>
      <c r="V429" s="82" t="n"/>
      <c r="W429" s="65">
        <f>IF(OR($I429&lt;&gt;"Completed",$M429="",$L429=""),"",IF($M429&lt;=$L429,"Yes","No"))</f>
        <v/>
      </c>
      <c r="X429" s="84">
        <f>IF($A429="","",COUNTIF(Task_Steps!$B$5:$B$2004,$A429))</f>
        <v/>
      </c>
      <c r="Y429" s="86">
        <f>IF($X429=0,"",COUNTIFS(Task_Steps!$B$5:$B$2004,$A429,Task_Steps!$H$5:$H$2004,"Completed")/$X429)</f>
        <v/>
      </c>
      <c r="Z429" s="81" t="n"/>
      <c r="AA429" s="81" t="n"/>
      <c r="AB429" s="67">
        <f>IF($F429="","",IFERROR(INDEX(Employee_Master!$E$5:$E$204,MATCH($F429,Employee_Master!$B$5:$B$204,0)),""))</f>
        <v/>
      </c>
      <c r="AC429" s="65">
        <f>IF(OR($A429="",$AB429=""),"",IF(OR($I429="Completed",$I429="Cancelled"),"Closed - in Manager Report","Active - in Manager Report"))</f>
        <v/>
      </c>
      <c r="AD429" s="81">
        <f>IF($A429="","",IFERROR(TEXTJOIN(", ",TRUE,FILTER(Task_Steps!$A$5:$A$2004,Task_Steps!$B$5:$B$2004=$A429)),""))</f>
        <v/>
      </c>
      <c r="AE429" s="84">
        <f>IF($A429="","",COUNTIFS(Task_Steps!$B$5:$B$2004,$A429,Task_Steps!$H$5:$H$2004,"&lt;&gt;Completed",Task_Steps!$H$5:$H$2004,"&lt;&gt;Cancelled"))</f>
        <v/>
      </c>
      <c r="AF429" s="81">
        <f>IF(OR($B429="",$A429=""),"",$B429&amp;" | "&amp;$A429)</f>
        <v/>
      </c>
    </row>
    <row r="430" ht="15" customHeight="1" s="40">
      <c r="A430" s="65">
        <f>IF(COUNTA(B430:F430)=0,"","TSK-"&amp;TEXT(ROW()-4,"0000"))</f>
        <v/>
      </c>
      <c r="B430" s="78" t="n"/>
      <c r="C430" s="78" t="n"/>
      <c r="D430" s="81" t="n"/>
      <c r="E430" s="81" t="n"/>
      <c r="F430" s="78" t="n"/>
      <c r="G430" s="67">
        <f>IF($F430="","",IFERROR(INDEX(Employee_Master!$C$5:$C$204,MATCH($F430,Employee_Master!$B$5:$B$204,0)),""))</f>
        <v/>
      </c>
      <c r="H430" s="78" t="n"/>
      <c r="I430" s="78" t="n"/>
      <c r="J430" s="67">
        <f>IF($I430="","",IFERROR(INDEX(Action_Status_Map!$B$5:$B$11,MATCH($I430,Action_Status_Map!$A$5:$A$11,0)),""))</f>
        <v/>
      </c>
      <c r="K430" s="82" t="n"/>
      <c r="L430" s="82" t="n"/>
      <c r="M430" s="82" t="n"/>
      <c r="N430" s="83" t="n"/>
      <c r="O430" s="83" t="n"/>
      <c r="P430" s="66">
        <f>IF(OR($N430="",$O430=""),"",$O430-$N430)</f>
        <v/>
      </c>
      <c r="Q430" s="84">
        <f>IF($K430="","",IF($M430&lt;&gt;"",$M430-$K430,TODAY()-$K430))</f>
        <v/>
      </c>
      <c r="R430" s="85">
        <f>IF(OR($L430="",$I430="Completed",$I430="Cancelled"),"",IF(AND($L430&lt;TODAY(),$I430&lt;&gt;"Completed",$I430&lt;&gt;"Cancelled"),"Overdue","On Track"))</f>
        <v/>
      </c>
      <c r="S430" s="65">
        <f>IF($L430="","",TEXT($L430,"yyyy-mm"))</f>
        <v/>
      </c>
      <c r="T430" s="86">
        <f>IF($I430="","",IFERROR(INDEX(Action_Status_Map!$C$5:$C$11,MATCH($I430,Action_Status_Map!$A$5:$A$11,0)),""))</f>
        <v/>
      </c>
      <c r="U430" s="81" t="n"/>
      <c r="V430" s="82" t="n"/>
      <c r="W430" s="65">
        <f>IF(OR($I430&lt;&gt;"Completed",$M430="",$L430=""),"",IF($M430&lt;=$L430,"Yes","No"))</f>
        <v/>
      </c>
      <c r="X430" s="84">
        <f>IF($A430="","",COUNTIF(Task_Steps!$B$5:$B$2004,$A430))</f>
        <v/>
      </c>
      <c r="Y430" s="86">
        <f>IF($X430=0,"",COUNTIFS(Task_Steps!$B$5:$B$2004,$A430,Task_Steps!$H$5:$H$2004,"Completed")/$X430)</f>
        <v/>
      </c>
      <c r="Z430" s="81" t="n"/>
      <c r="AA430" s="81" t="n"/>
      <c r="AB430" s="67">
        <f>IF($F430="","",IFERROR(INDEX(Employee_Master!$E$5:$E$204,MATCH($F430,Employee_Master!$B$5:$B$204,0)),""))</f>
        <v/>
      </c>
      <c r="AC430" s="65">
        <f>IF(OR($A430="",$AB430=""),"",IF(OR($I430="Completed",$I430="Cancelled"),"Closed - in Manager Report","Active - in Manager Report"))</f>
        <v/>
      </c>
      <c r="AD430" s="81">
        <f>IF($A430="","",IFERROR(TEXTJOIN(", ",TRUE,FILTER(Task_Steps!$A$5:$A$2004,Task_Steps!$B$5:$B$2004=$A430)),""))</f>
        <v/>
      </c>
      <c r="AE430" s="84">
        <f>IF($A430="","",COUNTIFS(Task_Steps!$B$5:$B$2004,$A430,Task_Steps!$H$5:$H$2004,"&lt;&gt;Completed",Task_Steps!$H$5:$H$2004,"&lt;&gt;Cancelled"))</f>
        <v/>
      </c>
      <c r="AF430" s="81">
        <f>IF(OR($B430="",$A430=""),"",$B430&amp;" | "&amp;$A430)</f>
        <v/>
      </c>
    </row>
    <row r="431" ht="15" customHeight="1" s="40">
      <c r="A431" s="65">
        <f>IF(COUNTA(B431:F431)=0,"","TSK-"&amp;TEXT(ROW()-4,"0000"))</f>
        <v/>
      </c>
      <c r="B431" s="78" t="n"/>
      <c r="C431" s="78" t="n"/>
      <c r="D431" s="81" t="n"/>
      <c r="E431" s="81" t="n"/>
      <c r="F431" s="78" t="n"/>
      <c r="G431" s="67">
        <f>IF($F431="","",IFERROR(INDEX(Employee_Master!$C$5:$C$204,MATCH($F431,Employee_Master!$B$5:$B$204,0)),""))</f>
        <v/>
      </c>
      <c r="H431" s="78" t="n"/>
      <c r="I431" s="78" t="n"/>
      <c r="J431" s="67">
        <f>IF($I431="","",IFERROR(INDEX(Action_Status_Map!$B$5:$B$11,MATCH($I431,Action_Status_Map!$A$5:$A$11,0)),""))</f>
        <v/>
      </c>
      <c r="K431" s="82" t="n"/>
      <c r="L431" s="82" t="n"/>
      <c r="M431" s="82" t="n"/>
      <c r="N431" s="83" t="n"/>
      <c r="O431" s="83" t="n"/>
      <c r="P431" s="66">
        <f>IF(OR($N431="",$O431=""),"",$O431-$N431)</f>
        <v/>
      </c>
      <c r="Q431" s="84">
        <f>IF($K431="","",IF($M431&lt;&gt;"",$M431-$K431,TODAY()-$K431))</f>
        <v/>
      </c>
      <c r="R431" s="85">
        <f>IF(OR($L431="",$I431="Completed",$I431="Cancelled"),"",IF(AND($L431&lt;TODAY(),$I431&lt;&gt;"Completed",$I431&lt;&gt;"Cancelled"),"Overdue","On Track"))</f>
        <v/>
      </c>
      <c r="S431" s="65">
        <f>IF($L431="","",TEXT($L431,"yyyy-mm"))</f>
        <v/>
      </c>
      <c r="T431" s="86">
        <f>IF($I431="","",IFERROR(INDEX(Action_Status_Map!$C$5:$C$11,MATCH($I431,Action_Status_Map!$A$5:$A$11,0)),""))</f>
        <v/>
      </c>
      <c r="U431" s="81" t="n"/>
      <c r="V431" s="82" t="n"/>
      <c r="W431" s="65">
        <f>IF(OR($I431&lt;&gt;"Completed",$M431="",$L431=""),"",IF($M431&lt;=$L431,"Yes","No"))</f>
        <v/>
      </c>
      <c r="X431" s="84">
        <f>IF($A431="","",COUNTIF(Task_Steps!$B$5:$B$2004,$A431))</f>
        <v/>
      </c>
      <c r="Y431" s="86">
        <f>IF($X431=0,"",COUNTIFS(Task_Steps!$B$5:$B$2004,$A431,Task_Steps!$H$5:$H$2004,"Completed")/$X431)</f>
        <v/>
      </c>
      <c r="Z431" s="81" t="n"/>
      <c r="AA431" s="81" t="n"/>
      <c r="AB431" s="67">
        <f>IF($F431="","",IFERROR(INDEX(Employee_Master!$E$5:$E$204,MATCH($F431,Employee_Master!$B$5:$B$204,0)),""))</f>
        <v/>
      </c>
      <c r="AC431" s="65">
        <f>IF(OR($A431="",$AB431=""),"",IF(OR($I431="Completed",$I431="Cancelled"),"Closed - in Manager Report","Active - in Manager Report"))</f>
        <v/>
      </c>
      <c r="AD431" s="81">
        <f>IF($A431="","",IFERROR(TEXTJOIN(", ",TRUE,FILTER(Task_Steps!$A$5:$A$2004,Task_Steps!$B$5:$B$2004=$A431)),""))</f>
        <v/>
      </c>
      <c r="AE431" s="84">
        <f>IF($A431="","",COUNTIFS(Task_Steps!$B$5:$B$2004,$A431,Task_Steps!$H$5:$H$2004,"&lt;&gt;Completed",Task_Steps!$H$5:$H$2004,"&lt;&gt;Cancelled"))</f>
        <v/>
      </c>
      <c r="AF431" s="81">
        <f>IF(OR($B431="",$A431=""),"",$B431&amp;" | "&amp;$A431)</f>
        <v/>
      </c>
    </row>
    <row r="432" ht="15" customHeight="1" s="40">
      <c r="A432" s="65">
        <f>IF(COUNTA(B432:F432)=0,"","TSK-"&amp;TEXT(ROW()-4,"0000"))</f>
        <v/>
      </c>
      <c r="B432" s="78" t="n"/>
      <c r="C432" s="78" t="n"/>
      <c r="D432" s="81" t="n"/>
      <c r="E432" s="81" t="n"/>
      <c r="F432" s="78" t="n"/>
      <c r="G432" s="67">
        <f>IF($F432="","",IFERROR(INDEX(Employee_Master!$C$5:$C$204,MATCH($F432,Employee_Master!$B$5:$B$204,0)),""))</f>
        <v/>
      </c>
      <c r="H432" s="78" t="n"/>
      <c r="I432" s="78" t="n"/>
      <c r="J432" s="67">
        <f>IF($I432="","",IFERROR(INDEX(Action_Status_Map!$B$5:$B$11,MATCH($I432,Action_Status_Map!$A$5:$A$11,0)),""))</f>
        <v/>
      </c>
      <c r="K432" s="82" t="n"/>
      <c r="L432" s="82" t="n"/>
      <c r="M432" s="82" t="n"/>
      <c r="N432" s="83" t="n"/>
      <c r="O432" s="83" t="n"/>
      <c r="P432" s="66">
        <f>IF(OR($N432="",$O432=""),"",$O432-$N432)</f>
        <v/>
      </c>
      <c r="Q432" s="84">
        <f>IF($K432="","",IF($M432&lt;&gt;"",$M432-$K432,TODAY()-$K432))</f>
        <v/>
      </c>
      <c r="R432" s="85">
        <f>IF(OR($L432="",$I432="Completed",$I432="Cancelled"),"",IF(AND($L432&lt;TODAY(),$I432&lt;&gt;"Completed",$I432&lt;&gt;"Cancelled"),"Overdue","On Track"))</f>
        <v/>
      </c>
      <c r="S432" s="65">
        <f>IF($L432="","",TEXT($L432,"yyyy-mm"))</f>
        <v/>
      </c>
      <c r="T432" s="86">
        <f>IF($I432="","",IFERROR(INDEX(Action_Status_Map!$C$5:$C$11,MATCH($I432,Action_Status_Map!$A$5:$A$11,0)),""))</f>
        <v/>
      </c>
      <c r="U432" s="81" t="n"/>
      <c r="V432" s="82" t="n"/>
      <c r="W432" s="65">
        <f>IF(OR($I432&lt;&gt;"Completed",$M432="",$L432=""),"",IF($M432&lt;=$L432,"Yes","No"))</f>
        <v/>
      </c>
      <c r="X432" s="84">
        <f>IF($A432="","",COUNTIF(Task_Steps!$B$5:$B$2004,$A432))</f>
        <v/>
      </c>
      <c r="Y432" s="86">
        <f>IF($X432=0,"",COUNTIFS(Task_Steps!$B$5:$B$2004,$A432,Task_Steps!$H$5:$H$2004,"Completed")/$X432)</f>
        <v/>
      </c>
      <c r="Z432" s="81" t="n"/>
      <c r="AA432" s="81" t="n"/>
      <c r="AB432" s="67">
        <f>IF($F432="","",IFERROR(INDEX(Employee_Master!$E$5:$E$204,MATCH($F432,Employee_Master!$B$5:$B$204,0)),""))</f>
        <v/>
      </c>
      <c r="AC432" s="65">
        <f>IF(OR($A432="",$AB432=""),"",IF(OR($I432="Completed",$I432="Cancelled"),"Closed - in Manager Report","Active - in Manager Report"))</f>
        <v/>
      </c>
      <c r="AD432" s="81">
        <f>IF($A432="","",IFERROR(TEXTJOIN(", ",TRUE,FILTER(Task_Steps!$A$5:$A$2004,Task_Steps!$B$5:$B$2004=$A432)),""))</f>
        <v/>
      </c>
      <c r="AE432" s="84">
        <f>IF($A432="","",COUNTIFS(Task_Steps!$B$5:$B$2004,$A432,Task_Steps!$H$5:$H$2004,"&lt;&gt;Completed",Task_Steps!$H$5:$H$2004,"&lt;&gt;Cancelled"))</f>
        <v/>
      </c>
      <c r="AF432" s="81">
        <f>IF(OR($B432="",$A432=""),"",$B432&amp;" | "&amp;$A432)</f>
        <v/>
      </c>
    </row>
    <row r="433" ht="15" customHeight="1" s="40">
      <c r="A433" s="65">
        <f>IF(COUNTA(B433:F433)=0,"","TSK-"&amp;TEXT(ROW()-4,"0000"))</f>
        <v/>
      </c>
      <c r="B433" s="78" t="n"/>
      <c r="C433" s="78" t="n"/>
      <c r="D433" s="81" t="n"/>
      <c r="E433" s="81" t="n"/>
      <c r="F433" s="78" t="n"/>
      <c r="G433" s="67">
        <f>IF($F433="","",IFERROR(INDEX(Employee_Master!$C$5:$C$204,MATCH($F433,Employee_Master!$B$5:$B$204,0)),""))</f>
        <v/>
      </c>
      <c r="H433" s="78" t="n"/>
      <c r="I433" s="78" t="n"/>
      <c r="J433" s="67">
        <f>IF($I433="","",IFERROR(INDEX(Action_Status_Map!$B$5:$B$11,MATCH($I433,Action_Status_Map!$A$5:$A$11,0)),""))</f>
        <v/>
      </c>
      <c r="K433" s="82" t="n"/>
      <c r="L433" s="82" t="n"/>
      <c r="M433" s="82" t="n"/>
      <c r="N433" s="83" t="n"/>
      <c r="O433" s="83" t="n"/>
      <c r="P433" s="66">
        <f>IF(OR($N433="",$O433=""),"",$O433-$N433)</f>
        <v/>
      </c>
      <c r="Q433" s="84">
        <f>IF($K433="","",IF($M433&lt;&gt;"",$M433-$K433,TODAY()-$K433))</f>
        <v/>
      </c>
      <c r="R433" s="85">
        <f>IF(OR($L433="",$I433="Completed",$I433="Cancelled"),"",IF(AND($L433&lt;TODAY(),$I433&lt;&gt;"Completed",$I433&lt;&gt;"Cancelled"),"Overdue","On Track"))</f>
        <v/>
      </c>
      <c r="S433" s="65">
        <f>IF($L433="","",TEXT($L433,"yyyy-mm"))</f>
        <v/>
      </c>
      <c r="T433" s="86">
        <f>IF($I433="","",IFERROR(INDEX(Action_Status_Map!$C$5:$C$11,MATCH($I433,Action_Status_Map!$A$5:$A$11,0)),""))</f>
        <v/>
      </c>
      <c r="U433" s="81" t="n"/>
      <c r="V433" s="82" t="n"/>
      <c r="W433" s="65">
        <f>IF(OR($I433&lt;&gt;"Completed",$M433="",$L433=""),"",IF($M433&lt;=$L433,"Yes","No"))</f>
        <v/>
      </c>
      <c r="X433" s="84">
        <f>IF($A433="","",COUNTIF(Task_Steps!$B$5:$B$2004,$A433))</f>
        <v/>
      </c>
      <c r="Y433" s="86">
        <f>IF($X433=0,"",COUNTIFS(Task_Steps!$B$5:$B$2004,$A433,Task_Steps!$H$5:$H$2004,"Completed")/$X433)</f>
        <v/>
      </c>
      <c r="Z433" s="81" t="n"/>
      <c r="AA433" s="81" t="n"/>
      <c r="AB433" s="67">
        <f>IF($F433="","",IFERROR(INDEX(Employee_Master!$E$5:$E$204,MATCH($F433,Employee_Master!$B$5:$B$204,0)),""))</f>
        <v/>
      </c>
      <c r="AC433" s="65">
        <f>IF(OR($A433="",$AB433=""),"",IF(OR($I433="Completed",$I433="Cancelled"),"Closed - in Manager Report","Active - in Manager Report"))</f>
        <v/>
      </c>
      <c r="AD433" s="81">
        <f>IF($A433="","",IFERROR(TEXTJOIN(", ",TRUE,FILTER(Task_Steps!$A$5:$A$2004,Task_Steps!$B$5:$B$2004=$A433)),""))</f>
        <v/>
      </c>
      <c r="AE433" s="84">
        <f>IF($A433="","",COUNTIFS(Task_Steps!$B$5:$B$2004,$A433,Task_Steps!$H$5:$H$2004,"&lt;&gt;Completed",Task_Steps!$H$5:$H$2004,"&lt;&gt;Cancelled"))</f>
        <v/>
      </c>
      <c r="AF433" s="81">
        <f>IF(OR($B433="",$A433=""),"",$B433&amp;" | "&amp;$A433)</f>
        <v/>
      </c>
    </row>
    <row r="434" ht="15" customHeight="1" s="40">
      <c r="A434" s="65">
        <f>IF(COUNTA(B434:F434)=0,"","TSK-"&amp;TEXT(ROW()-4,"0000"))</f>
        <v/>
      </c>
      <c r="B434" s="78" t="n"/>
      <c r="C434" s="78" t="n"/>
      <c r="D434" s="81" t="n"/>
      <c r="E434" s="81" t="n"/>
      <c r="F434" s="78" t="n"/>
      <c r="G434" s="67">
        <f>IF($F434="","",IFERROR(INDEX(Employee_Master!$C$5:$C$204,MATCH($F434,Employee_Master!$B$5:$B$204,0)),""))</f>
        <v/>
      </c>
      <c r="H434" s="78" t="n"/>
      <c r="I434" s="78" t="n"/>
      <c r="J434" s="67">
        <f>IF($I434="","",IFERROR(INDEX(Action_Status_Map!$B$5:$B$11,MATCH($I434,Action_Status_Map!$A$5:$A$11,0)),""))</f>
        <v/>
      </c>
      <c r="K434" s="82" t="n"/>
      <c r="L434" s="82" t="n"/>
      <c r="M434" s="82" t="n"/>
      <c r="N434" s="83" t="n"/>
      <c r="O434" s="83" t="n"/>
      <c r="P434" s="66">
        <f>IF(OR($N434="",$O434=""),"",$O434-$N434)</f>
        <v/>
      </c>
      <c r="Q434" s="84">
        <f>IF($K434="","",IF($M434&lt;&gt;"",$M434-$K434,TODAY()-$K434))</f>
        <v/>
      </c>
      <c r="R434" s="85">
        <f>IF(OR($L434="",$I434="Completed",$I434="Cancelled"),"",IF(AND($L434&lt;TODAY(),$I434&lt;&gt;"Completed",$I434&lt;&gt;"Cancelled"),"Overdue","On Track"))</f>
        <v/>
      </c>
      <c r="S434" s="65">
        <f>IF($L434="","",TEXT($L434,"yyyy-mm"))</f>
        <v/>
      </c>
      <c r="T434" s="86">
        <f>IF($I434="","",IFERROR(INDEX(Action_Status_Map!$C$5:$C$11,MATCH($I434,Action_Status_Map!$A$5:$A$11,0)),""))</f>
        <v/>
      </c>
      <c r="U434" s="81" t="n"/>
      <c r="V434" s="82" t="n"/>
      <c r="W434" s="65">
        <f>IF(OR($I434&lt;&gt;"Completed",$M434="",$L434=""),"",IF($M434&lt;=$L434,"Yes","No"))</f>
        <v/>
      </c>
      <c r="X434" s="84">
        <f>IF($A434="","",COUNTIF(Task_Steps!$B$5:$B$2004,$A434))</f>
        <v/>
      </c>
      <c r="Y434" s="86">
        <f>IF($X434=0,"",COUNTIFS(Task_Steps!$B$5:$B$2004,$A434,Task_Steps!$H$5:$H$2004,"Completed")/$X434)</f>
        <v/>
      </c>
      <c r="Z434" s="81" t="n"/>
      <c r="AA434" s="81" t="n"/>
      <c r="AB434" s="67">
        <f>IF($F434="","",IFERROR(INDEX(Employee_Master!$E$5:$E$204,MATCH($F434,Employee_Master!$B$5:$B$204,0)),""))</f>
        <v/>
      </c>
      <c r="AC434" s="65">
        <f>IF(OR($A434="",$AB434=""),"",IF(OR($I434="Completed",$I434="Cancelled"),"Closed - in Manager Report","Active - in Manager Report"))</f>
        <v/>
      </c>
      <c r="AD434" s="81">
        <f>IF($A434="","",IFERROR(TEXTJOIN(", ",TRUE,FILTER(Task_Steps!$A$5:$A$2004,Task_Steps!$B$5:$B$2004=$A434)),""))</f>
        <v/>
      </c>
      <c r="AE434" s="84">
        <f>IF($A434="","",COUNTIFS(Task_Steps!$B$5:$B$2004,$A434,Task_Steps!$H$5:$H$2004,"&lt;&gt;Completed",Task_Steps!$H$5:$H$2004,"&lt;&gt;Cancelled"))</f>
        <v/>
      </c>
      <c r="AF434" s="81">
        <f>IF(OR($B434="",$A434=""),"",$B434&amp;" | "&amp;$A434)</f>
        <v/>
      </c>
    </row>
    <row r="435" ht="15" customHeight="1" s="40">
      <c r="A435" s="65">
        <f>IF(COUNTA(B435:F435)=0,"","TSK-"&amp;TEXT(ROW()-4,"0000"))</f>
        <v/>
      </c>
      <c r="B435" s="78" t="n"/>
      <c r="C435" s="78" t="n"/>
      <c r="D435" s="81" t="n"/>
      <c r="E435" s="81" t="n"/>
      <c r="F435" s="78" t="n"/>
      <c r="G435" s="67">
        <f>IF($F435="","",IFERROR(INDEX(Employee_Master!$C$5:$C$204,MATCH($F435,Employee_Master!$B$5:$B$204,0)),""))</f>
        <v/>
      </c>
      <c r="H435" s="78" t="n"/>
      <c r="I435" s="78" t="n"/>
      <c r="J435" s="67">
        <f>IF($I435="","",IFERROR(INDEX(Action_Status_Map!$B$5:$B$11,MATCH($I435,Action_Status_Map!$A$5:$A$11,0)),""))</f>
        <v/>
      </c>
      <c r="K435" s="82" t="n"/>
      <c r="L435" s="82" t="n"/>
      <c r="M435" s="82" t="n"/>
      <c r="N435" s="83" t="n"/>
      <c r="O435" s="83" t="n"/>
      <c r="P435" s="66">
        <f>IF(OR($N435="",$O435=""),"",$O435-$N435)</f>
        <v/>
      </c>
      <c r="Q435" s="84">
        <f>IF($K435="","",IF($M435&lt;&gt;"",$M435-$K435,TODAY()-$K435))</f>
        <v/>
      </c>
      <c r="R435" s="85">
        <f>IF(OR($L435="",$I435="Completed",$I435="Cancelled"),"",IF(AND($L435&lt;TODAY(),$I435&lt;&gt;"Completed",$I435&lt;&gt;"Cancelled"),"Overdue","On Track"))</f>
        <v/>
      </c>
      <c r="S435" s="65">
        <f>IF($L435="","",TEXT($L435,"yyyy-mm"))</f>
        <v/>
      </c>
      <c r="T435" s="86">
        <f>IF($I435="","",IFERROR(INDEX(Action_Status_Map!$C$5:$C$11,MATCH($I435,Action_Status_Map!$A$5:$A$11,0)),""))</f>
        <v/>
      </c>
      <c r="U435" s="81" t="n"/>
      <c r="V435" s="82" t="n"/>
      <c r="W435" s="65">
        <f>IF(OR($I435&lt;&gt;"Completed",$M435="",$L435=""),"",IF($M435&lt;=$L435,"Yes","No"))</f>
        <v/>
      </c>
      <c r="X435" s="84">
        <f>IF($A435="","",COUNTIF(Task_Steps!$B$5:$B$2004,$A435))</f>
        <v/>
      </c>
      <c r="Y435" s="86">
        <f>IF($X435=0,"",COUNTIFS(Task_Steps!$B$5:$B$2004,$A435,Task_Steps!$H$5:$H$2004,"Completed")/$X435)</f>
        <v/>
      </c>
      <c r="Z435" s="81" t="n"/>
      <c r="AA435" s="81" t="n"/>
      <c r="AB435" s="67">
        <f>IF($F435="","",IFERROR(INDEX(Employee_Master!$E$5:$E$204,MATCH($F435,Employee_Master!$B$5:$B$204,0)),""))</f>
        <v/>
      </c>
      <c r="AC435" s="65">
        <f>IF(OR($A435="",$AB435=""),"",IF(OR($I435="Completed",$I435="Cancelled"),"Closed - in Manager Report","Active - in Manager Report"))</f>
        <v/>
      </c>
      <c r="AD435" s="81">
        <f>IF($A435="","",IFERROR(TEXTJOIN(", ",TRUE,FILTER(Task_Steps!$A$5:$A$2004,Task_Steps!$B$5:$B$2004=$A435)),""))</f>
        <v/>
      </c>
      <c r="AE435" s="84">
        <f>IF($A435="","",COUNTIFS(Task_Steps!$B$5:$B$2004,$A435,Task_Steps!$H$5:$H$2004,"&lt;&gt;Completed",Task_Steps!$H$5:$H$2004,"&lt;&gt;Cancelled"))</f>
        <v/>
      </c>
      <c r="AF435" s="81">
        <f>IF(OR($B435="",$A435=""),"",$B435&amp;" | "&amp;$A435)</f>
        <v/>
      </c>
    </row>
    <row r="436" ht="15" customHeight="1" s="40">
      <c r="A436" s="65">
        <f>IF(COUNTA(B436:F436)=0,"","TSK-"&amp;TEXT(ROW()-4,"0000"))</f>
        <v/>
      </c>
      <c r="B436" s="78" t="n"/>
      <c r="C436" s="78" t="n"/>
      <c r="D436" s="81" t="n"/>
      <c r="E436" s="81" t="n"/>
      <c r="F436" s="78" t="n"/>
      <c r="G436" s="67">
        <f>IF($F436="","",IFERROR(INDEX(Employee_Master!$C$5:$C$204,MATCH($F436,Employee_Master!$B$5:$B$204,0)),""))</f>
        <v/>
      </c>
      <c r="H436" s="78" t="n"/>
      <c r="I436" s="78" t="n"/>
      <c r="J436" s="67">
        <f>IF($I436="","",IFERROR(INDEX(Action_Status_Map!$B$5:$B$11,MATCH($I436,Action_Status_Map!$A$5:$A$11,0)),""))</f>
        <v/>
      </c>
      <c r="K436" s="82" t="n"/>
      <c r="L436" s="82" t="n"/>
      <c r="M436" s="82" t="n"/>
      <c r="N436" s="83" t="n"/>
      <c r="O436" s="83" t="n"/>
      <c r="P436" s="66">
        <f>IF(OR($N436="",$O436=""),"",$O436-$N436)</f>
        <v/>
      </c>
      <c r="Q436" s="84">
        <f>IF($K436="","",IF($M436&lt;&gt;"",$M436-$K436,TODAY()-$K436))</f>
        <v/>
      </c>
      <c r="R436" s="85">
        <f>IF(OR($L436="",$I436="Completed",$I436="Cancelled"),"",IF(AND($L436&lt;TODAY(),$I436&lt;&gt;"Completed",$I436&lt;&gt;"Cancelled"),"Overdue","On Track"))</f>
        <v/>
      </c>
      <c r="S436" s="65">
        <f>IF($L436="","",TEXT($L436,"yyyy-mm"))</f>
        <v/>
      </c>
      <c r="T436" s="86">
        <f>IF($I436="","",IFERROR(INDEX(Action_Status_Map!$C$5:$C$11,MATCH($I436,Action_Status_Map!$A$5:$A$11,0)),""))</f>
        <v/>
      </c>
      <c r="U436" s="81" t="n"/>
      <c r="V436" s="82" t="n"/>
      <c r="W436" s="65">
        <f>IF(OR($I436&lt;&gt;"Completed",$M436="",$L436=""),"",IF($M436&lt;=$L436,"Yes","No"))</f>
        <v/>
      </c>
      <c r="X436" s="84">
        <f>IF($A436="","",COUNTIF(Task_Steps!$B$5:$B$2004,$A436))</f>
        <v/>
      </c>
      <c r="Y436" s="86">
        <f>IF($X436=0,"",COUNTIFS(Task_Steps!$B$5:$B$2004,$A436,Task_Steps!$H$5:$H$2004,"Completed")/$X436)</f>
        <v/>
      </c>
      <c r="Z436" s="81" t="n"/>
      <c r="AA436" s="81" t="n"/>
      <c r="AB436" s="67">
        <f>IF($F436="","",IFERROR(INDEX(Employee_Master!$E$5:$E$204,MATCH($F436,Employee_Master!$B$5:$B$204,0)),""))</f>
        <v/>
      </c>
      <c r="AC436" s="65">
        <f>IF(OR($A436="",$AB436=""),"",IF(OR($I436="Completed",$I436="Cancelled"),"Closed - in Manager Report","Active - in Manager Report"))</f>
        <v/>
      </c>
      <c r="AD436" s="81">
        <f>IF($A436="","",IFERROR(TEXTJOIN(", ",TRUE,FILTER(Task_Steps!$A$5:$A$2004,Task_Steps!$B$5:$B$2004=$A436)),""))</f>
        <v/>
      </c>
      <c r="AE436" s="84">
        <f>IF($A436="","",COUNTIFS(Task_Steps!$B$5:$B$2004,$A436,Task_Steps!$H$5:$H$2004,"&lt;&gt;Completed",Task_Steps!$H$5:$H$2004,"&lt;&gt;Cancelled"))</f>
        <v/>
      </c>
      <c r="AF436" s="81">
        <f>IF(OR($B436="",$A436=""),"",$B436&amp;" | "&amp;$A436)</f>
        <v/>
      </c>
    </row>
    <row r="437" ht="15" customHeight="1" s="40">
      <c r="A437" s="65">
        <f>IF(COUNTA(B437:F437)=0,"","TSK-"&amp;TEXT(ROW()-4,"0000"))</f>
        <v/>
      </c>
      <c r="B437" s="78" t="n"/>
      <c r="C437" s="78" t="n"/>
      <c r="D437" s="81" t="n"/>
      <c r="E437" s="81" t="n"/>
      <c r="F437" s="78" t="n"/>
      <c r="G437" s="67">
        <f>IF($F437="","",IFERROR(INDEX(Employee_Master!$C$5:$C$204,MATCH($F437,Employee_Master!$B$5:$B$204,0)),""))</f>
        <v/>
      </c>
      <c r="H437" s="78" t="n"/>
      <c r="I437" s="78" t="n"/>
      <c r="J437" s="67">
        <f>IF($I437="","",IFERROR(INDEX(Action_Status_Map!$B$5:$B$11,MATCH($I437,Action_Status_Map!$A$5:$A$11,0)),""))</f>
        <v/>
      </c>
      <c r="K437" s="82" t="n"/>
      <c r="L437" s="82" t="n"/>
      <c r="M437" s="82" t="n"/>
      <c r="N437" s="83" t="n"/>
      <c r="O437" s="83" t="n"/>
      <c r="P437" s="66">
        <f>IF(OR($N437="",$O437=""),"",$O437-$N437)</f>
        <v/>
      </c>
      <c r="Q437" s="84">
        <f>IF($K437="","",IF($M437&lt;&gt;"",$M437-$K437,TODAY()-$K437))</f>
        <v/>
      </c>
      <c r="R437" s="85">
        <f>IF(OR($L437="",$I437="Completed",$I437="Cancelled"),"",IF(AND($L437&lt;TODAY(),$I437&lt;&gt;"Completed",$I437&lt;&gt;"Cancelled"),"Overdue","On Track"))</f>
        <v/>
      </c>
      <c r="S437" s="65">
        <f>IF($L437="","",TEXT($L437,"yyyy-mm"))</f>
        <v/>
      </c>
      <c r="T437" s="86">
        <f>IF($I437="","",IFERROR(INDEX(Action_Status_Map!$C$5:$C$11,MATCH($I437,Action_Status_Map!$A$5:$A$11,0)),""))</f>
        <v/>
      </c>
      <c r="U437" s="81" t="n"/>
      <c r="V437" s="82" t="n"/>
      <c r="W437" s="65">
        <f>IF(OR($I437&lt;&gt;"Completed",$M437="",$L437=""),"",IF($M437&lt;=$L437,"Yes","No"))</f>
        <v/>
      </c>
      <c r="X437" s="84">
        <f>IF($A437="","",COUNTIF(Task_Steps!$B$5:$B$2004,$A437))</f>
        <v/>
      </c>
      <c r="Y437" s="86">
        <f>IF($X437=0,"",COUNTIFS(Task_Steps!$B$5:$B$2004,$A437,Task_Steps!$H$5:$H$2004,"Completed")/$X437)</f>
        <v/>
      </c>
      <c r="Z437" s="81" t="n"/>
      <c r="AA437" s="81" t="n"/>
      <c r="AB437" s="67">
        <f>IF($F437="","",IFERROR(INDEX(Employee_Master!$E$5:$E$204,MATCH($F437,Employee_Master!$B$5:$B$204,0)),""))</f>
        <v/>
      </c>
      <c r="AC437" s="65">
        <f>IF(OR($A437="",$AB437=""),"",IF(OR($I437="Completed",$I437="Cancelled"),"Closed - in Manager Report","Active - in Manager Report"))</f>
        <v/>
      </c>
      <c r="AD437" s="81">
        <f>IF($A437="","",IFERROR(TEXTJOIN(", ",TRUE,FILTER(Task_Steps!$A$5:$A$2004,Task_Steps!$B$5:$B$2004=$A437)),""))</f>
        <v/>
      </c>
      <c r="AE437" s="84">
        <f>IF($A437="","",COUNTIFS(Task_Steps!$B$5:$B$2004,$A437,Task_Steps!$H$5:$H$2004,"&lt;&gt;Completed",Task_Steps!$H$5:$H$2004,"&lt;&gt;Cancelled"))</f>
        <v/>
      </c>
      <c r="AF437" s="81">
        <f>IF(OR($B437="",$A437=""),"",$B437&amp;" | "&amp;$A437)</f>
        <v/>
      </c>
    </row>
    <row r="438" ht="15" customHeight="1" s="40">
      <c r="A438" s="65">
        <f>IF(COUNTA(B438:F438)=0,"","TSK-"&amp;TEXT(ROW()-4,"0000"))</f>
        <v/>
      </c>
      <c r="B438" s="78" t="n"/>
      <c r="C438" s="78" t="n"/>
      <c r="D438" s="81" t="n"/>
      <c r="E438" s="81" t="n"/>
      <c r="F438" s="78" t="n"/>
      <c r="G438" s="67">
        <f>IF($F438="","",IFERROR(INDEX(Employee_Master!$C$5:$C$204,MATCH($F438,Employee_Master!$B$5:$B$204,0)),""))</f>
        <v/>
      </c>
      <c r="H438" s="78" t="n"/>
      <c r="I438" s="78" t="n"/>
      <c r="J438" s="67">
        <f>IF($I438="","",IFERROR(INDEX(Action_Status_Map!$B$5:$B$11,MATCH($I438,Action_Status_Map!$A$5:$A$11,0)),""))</f>
        <v/>
      </c>
      <c r="K438" s="82" t="n"/>
      <c r="L438" s="82" t="n"/>
      <c r="M438" s="82" t="n"/>
      <c r="N438" s="83" t="n"/>
      <c r="O438" s="83" t="n"/>
      <c r="P438" s="66">
        <f>IF(OR($N438="",$O438=""),"",$O438-$N438)</f>
        <v/>
      </c>
      <c r="Q438" s="84">
        <f>IF($K438="","",IF($M438&lt;&gt;"",$M438-$K438,TODAY()-$K438))</f>
        <v/>
      </c>
      <c r="R438" s="85">
        <f>IF(OR($L438="",$I438="Completed",$I438="Cancelled"),"",IF(AND($L438&lt;TODAY(),$I438&lt;&gt;"Completed",$I438&lt;&gt;"Cancelled"),"Overdue","On Track"))</f>
        <v/>
      </c>
      <c r="S438" s="65">
        <f>IF($L438="","",TEXT($L438,"yyyy-mm"))</f>
        <v/>
      </c>
      <c r="T438" s="86">
        <f>IF($I438="","",IFERROR(INDEX(Action_Status_Map!$C$5:$C$11,MATCH($I438,Action_Status_Map!$A$5:$A$11,0)),""))</f>
        <v/>
      </c>
      <c r="U438" s="81" t="n"/>
      <c r="V438" s="82" t="n"/>
      <c r="W438" s="65">
        <f>IF(OR($I438&lt;&gt;"Completed",$M438="",$L438=""),"",IF($M438&lt;=$L438,"Yes","No"))</f>
        <v/>
      </c>
      <c r="X438" s="84">
        <f>IF($A438="","",COUNTIF(Task_Steps!$B$5:$B$2004,$A438))</f>
        <v/>
      </c>
      <c r="Y438" s="86">
        <f>IF($X438=0,"",COUNTIFS(Task_Steps!$B$5:$B$2004,$A438,Task_Steps!$H$5:$H$2004,"Completed")/$X438)</f>
        <v/>
      </c>
      <c r="Z438" s="81" t="n"/>
      <c r="AA438" s="81" t="n"/>
      <c r="AB438" s="67">
        <f>IF($F438="","",IFERROR(INDEX(Employee_Master!$E$5:$E$204,MATCH($F438,Employee_Master!$B$5:$B$204,0)),""))</f>
        <v/>
      </c>
      <c r="AC438" s="65">
        <f>IF(OR($A438="",$AB438=""),"",IF(OR($I438="Completed",$I438="Cancelled"),"Closed - in Manager Report","Active - in Manager Report"))</f>
        <v/>
      </c>
      <c r="AD438" s="81">
        <f>IF($A438="","",IFERROR(TEXTJOIN(", ",TRUE,FILTER(Task_Steps!$A$5:$A$2004,Task_Steps!$B$5:$B$2004=$A438)),""))</f>
        <v/>
      </c>
      <c r="AE438" s="84">
        <f>IF($A438="","",COUNTIFS(Task_Steps!$B$5:$B$2004,$A438,Task_Steps!$H$5:$H$2004,"&lt;&gt;Completed",Task_Steps!$H$5:$H$2004,"&lt;&gt;Cancelled"))</f>
        <v/>
      </c>
      <c r="AF438" s="81">
        <f>IF(OR($B438="",$A438=""),"",$B438&amp;" | "&amp;$A438)</f>
        <v/>
      </c>
    </row>
    <row r="439" ht="15" customHeight="1" s="40">
      <c r="A439" s="65">
        <f>IF(COUNTA(B439:F439)=0,"","TSK-"&amp;TEXT(ROW()-4,"0000"))</f>
        <v/>
      </c>
      <c r="B439" s="78" t="n"/>
      <c r="C439" s="78" t="n"/>
      <c r="D439" s="81" t="n"/>
      <c r="E439" s="81" t="n"/>
      <c r="F439" s="78" t="n"/>
      <c r="G439" s="67">
        <f>IF($F439="","",IFERROR(INDEX(Employee_Master!$C$5:$C$204,MATCH($F439,Employee_Master!$B$5:$B$204,0)),""))</f>
        <v/>
      </c>
      <c r="H439" s="78" t="n"/>
      <c r="I439" s="78" t="n"/>
      <c r="J439" s="67">
        <f>IF($I439="","",IFERROR(INDEX(Action_Status_Map!$B$5:$B$11,MATCH($I439,Action_Status_Map!$A$5:$A$11,0)),""))</f>
        <v/>
      </c>
      <c r="K439" s="82" t="n"/>
      <c r="L439" s="82" t="n"/>
      <c r="M439" s="82" t="n"/>
      <c r="N439" s="83" t="n"/>
      <c r="O439" s="83" t="n"/>
      <c r="P439" s="66">
        <f>IF(OR($N439="",$O439=""),"",$O439-$N439)</f>
        <v/>
      </c>
      <c r="Q439" s="84">
        <f>IF($K439="","",IF($M439&lt;&gt;"",$M439-$K439,TODAY()-$K439))</f>
        <v/>
      </c>
      <c r="R439" s="85">
        <f>IF(OR($L439="",$I439="Completed",$I439="Cancelled"),"",IF(AND($L439&lt;TODAY(),$I439&lt;&gt;"Completed",$I439&lt;&gt;"Cancelled"),"Overdue","On Track"))</f>
        <v/>
      </c>
      <c r="S439" s="65">
        <f>IF($L439="","",TEXT($L439,"yyyy-mm"))</f>
        <v/>
      </c>
      <c r="T439" s="86">
        <f>IF($I439="","",IFERROR(INDEX(Action_Status_Map!$C$5:$C$11,MATCH($I439,Action_Status_Map!$A$5:$A$11,0)),""))</f>
        <v/>
      </c>
      <c r="U439" s="81" t="n"/>
      <c r="V439" s="82" t="n"/>
      <c r="W439" s="65">
        <f>IF(OR($I439&lt;&gt;"Completed",$M439="",$L439=""),"",IF($M439&lt;=$L439,"Yes","No"))</f>
        <v/>
      </c>
      <c r="X439" s="84">
        <f>IF($A439="","",COUNTIF(Task_Steps!$B$5:$B$2004,$A439))</f>
        <v/>
      </c>
      <c r="Y439" s="86">
        <f>IF($X439=0,"",COUNTIFS(Task_Steps!$B$5:$B$2004,$A439,Task_Steps!$H$5:$H$2004,"Completed")/$X439)</f>
        <v/>
      </c>
      <c r="Z439" s="81" t="n"/>
      <c r="AA439" s="81" t="n"/>
      <c r="AB439" s="67">
        <f>IF($F439="","",IFERROR(INDEX(Employee_Master!$E$5:$E$204,MATCH($F439,Employee_Master!$B$5:$B$204,0)),""))</f>
        <v/>
      </c>
      <c r="AC439" s="65">
        <f>IF(OR($A439="",$AB439=""),"",IF(OR($I439="Completed",$I439="Cancelled"),"Closed - in Manager Report","Active - in Manager Report"))</f>
        <v/>
      </c>
      <c r="AD439" s="81">
        <f>IF($A439="","",IFERROR(TEXTJOIN(", ",TRUE,FILTER(Task_Steps!$A$5:$A$2004,Task_Steps!$B$5:$B$2004=$A439)),""))</f>
        <v/>
      </c>
      <c r="AE439" s="84">
        <f>IF($A439="","",COUNTIFS(Task_Steps!$B$5:$B$2004,$A439,Task_Steps!$H$5:$H$2004,"&lt;&gt;Completed",Task_Steps!$H$5:$H$2004,"&lt;&gt;Cancelled"))</f>
        <v/>
      </c>
      <c r="AF439" s="81">
        <f>IF(OR($B439="",$A439=""),"",$B439&amp;" | "&amp;$A439)</f>
        <v/>
      </c>
    </row>
    <row r="440" ht="15" customHeight="1" s="40">
      <c r="A440" s="65">
        <f>IF(COUNTA(B440:F440)=0,"","TSK-"&amp;TEXT(ROW()-4,"0000"))</f>
        <v/>
      </c>
      <c r="B440" s="78" t="n"/>
      <c r="C440" s="78" t="n"/>
      <c r="D440" s="81" t="n"/>
      <c r="E440" s="81" t="n"/>
      <c r="F440" s="78" t="n"/>
      <c r="G440" s="67">
        <f>IF($F440="","",IFERROR(INDEX(Employee_Master!$C$5:$C$204,MATCH($F440,Employee_Master!$B$5:$B$204,0)),""))</f>
        <v/>
      </c>
      <c r="H440" s="78" t="n"/>
      <c r="I440" s="78" t="n"/>
      <c r="J440" s="67">
        <f>IF($I440="","",IFERROR(INDEX(Action_Status_Map!$B$5:$B$11,MATCH($I440,Action_Status_Map!$A$5:$A$11,0)),""))</f>
        <v/>
      </c>
      <c r="K440" s="82" t="n"/>
      <c r="L440" s="82" t="n"/>
      <c r="M440" s="82" t="n"/>
      <c r="N440" s="83" t="n"/>
      <c r="O440" s="83" t="n"/>
      <c r="P440" s="66">
        <f>IF(OR($N440="",$O440=""),"",$O440-$N440)</f>
        <v/>
      </c>
      <c r="Q440" s="84">
        <f>IF($K440="","",IF($M440&lt;&gt;"",$M440-$K440,TODAY()-$K440))</f>
        <v/>
      </c>
      <c r="R440" s="85">
        <f>IF(OR($L440="",$I440="Completed",$I440="Cancelled"),"",IF(AND($L440&lt;TODAY(),$I440&lt;&gt;"Completed",$I440&lt;&gt;"Cancelled"),"Overdue","On Track"))</f>
        <v/>
      </c>
      <c r="S440" s="65">
        <f>IF($L440="","",TEXT($L440,"yyyy-mm"))</f>
        <v/>
      </c>
      <c r="T440" s="86">
        <f>IF($I440="","",IFERROR(INDEX(Action_Status_Map!$C$5:$C$11,MATCH($I440,Action_Status_Map!$A$5:$A$11,0)),""))</f>
        <v/>
      </c>
      <c r="U440" s="81" t="n"/>
      <c r="V440" s="82" t="n"/>
      <c r="W440" s="65">
        <f>IF(OR($I440&lt;&gt;"Completed",$M440="",$L440=""),"",IF($M440&lt;=$L440,"Yes","No"))</f>
        <v/>
      </c>
      <c r="X440" s="84">
        <f>IF($A440="","",COUNTIF(Task_Steps!$B$5:$B$2004,$A440))</f>
        <v/>
      </c>
      <c r="Y440" s="86">
        <f>IF($X440=0,"",COUNTIFS(Task_Steps!$B$5:$B$2004,$A440,Task_Steps!$H$5:$H$2004,"Completed")/$X440)</f>
        <v/>
      </c>
      <c r="Z440" s="81" t="n"/>
      <c r="AA440" s="81" t="n"/>
      <c r="AB440" s="67">
        <f>IF($F440="","",IFERROR(INDEX(Employee_Master!$E$5:$E$204,MATCH($F440,Employee_Master!$B$5:$B$204,0)),""))</f>
        <v/>
      </c>
      <c r="AC440" s="65">
        <f>IF(OR($A440="",$AB440=""),"",IF(OR($I440="Completed",$I440="Cancelled"),"Closed - in Manager Report","Active - in Manager Report"))</f>
        <v/>
      </c>
      <c r="AD440" s="81">
        <f>IF($A440="","",IFERROR(TEXTJOIN(", ",TRUE,FILTER(Task_Steps!$A$5:$A$2004,Task_Steps!$B$5:$B$2004=$A440)),""))</f>
        <v/>
      </c>
      <c r="AE440" s="84">
        <f>IF($A440="","",COUNTIFS(Task_Steps!$B$5:$B$2004,$A440,Task_Steps!$H$5:$H$2004,"&lt;&gt;Completed",Task_Steps!$H$5:$H$2004,"&lt;&gt;Cancelled"))</f>
        <v/>
      </c>
      <c r="AF440" s="81">
        <f>IF(OR($B440="",$A440=""),"",$B440&amp;" | "&amp;$A440)</f>
        <v/>
      </c>
    </row>
    <row r="441" ht="15" customHeight="1" s="40">
      <c r="A441" s="65">
        <f>IF(COUNTA(B441:F441)=0,"","TSK-"&amp;TEXT(ROW()-4,"0000"))</f>
        <v/>
      </c>
      <c r="B441" s="78" t="n"/>
      <c r="C441" s="78" t="n"/>
      <c r="D441" s="81" t="n"/>
      <c r="E441" s="81" t="n"/>
      <c r="F441" s="78" t="n"/>
      <c r="G441" s="67">
        <f>IF($F441="","",IFERROR(INDEX(Employee_Master!$C$5:$C$204,MATCH($F441,Employee_Master!$B$5:$B$204,0)),""))</f>
        <v/>
      </c>
      <c r="H441" s="78" t="n"/>
      <c r="I441" s="78" t="n"/>
      <c r="J441" s="67">
        <f>IF($I441="","",IFERROR(INDEX(Action_Status_Map!$B$5:$B$11,MATCH($I441,Action_Status_Map!$A$5:$A$11,0)),""))</f>
        <v/>
      </c>
      <c r="K441" s="82" t="n"/>
      <c r="L441" s="82" t="n"/>
      <c r="M441" s="82" t="n"/>
      <c r="N441" s="83" t="n"/>
      <c r="O441" s="83" t="n"/>
      <c r="P441" s="66">
        <f>IF(OR($N441="",$O441=""),"",$O441-$N441)</f>
        <v/>
      </c>
      <c r="Q441" s="84">
        <f>IF($K441="","",IF($M441&lt;&gt;"",$M441-$K441,TODAY()-$K441))</f>
        <v/>
      </c>
      <c r="R441" s="85">
        <f>IF(OR($L441="",$I441="Completed",$I441="Cancelled"),"",IF(AND($L441&lt;TODAY(),$I441&lt;&gt;"Completed",$I441&lt;&gt;"Cancelled"),"Overdue","On Track"))</f>
        <v/>
      </c>
      <c r="S441" s="65">
        <f>IF($L441="","",TEXT($L441,"yyyy-mm"))</f>
        <v/>
      </c>
      <c r="T441" s="86">
        <f>IF($I441="","",IFERROR(INDEX(Action_Status_Map!$C$5:$C$11,MATCH($I441,Action_Status_Map!$A$5:$A$11,0)),""))</f>
        <v/>
      </c>
      <c r="U441" s="81" t="n"/>
      <c r="V441" s="82" t="n"/>
      <c r="W441" s="65">
        <f>IF(OR($I441&lt;&gt;"Completed",$M441="",$L441=""),"",IF($M441&lt;=$L441,"Yes","No"))</f>
        <v/>
      </c>
      <c r="X441" s="84">
        <f>IF($A441="","",COUNTIF(Task_Steps!$B$5:$B$2004,$A441))</f>
        <v/>
      </c>
      <c r="Y441" s="86">
        <f>IF($X441=0,"",COUNTIFS(Task_Steps!$B$5:$B$2004,$A441,Task_Steps!$H$5:$H$2004,"Completed")/$X441)</f>
        <v/>
      </c>
      <c r="Z441" s="81" t="n"/>
      <c r="AA441" s="81" t="n"/>
      <c r="AB441" s="67">
        <f>IF($F441="","",IFERROR(INDEX(Employee_Master!$E$5:$E$204,MATCH($F441,Employee_Master!$B$5:$B$204,0)),""))</f>
        <v/>
      </c>
      <c r="AC441" s="65">
        <f>IF(OR($A441="",$AB441=""),"",IF(OR($I441="Completed",$I441="Cancelled"),"Closed - in Manager Report","Active - in Manager Report"))</f>
        <v/>
      </c>
      <c r="AD441" s="81">
        <f>IF($A441="","",IFERROR(TEXTJOIN(", ",TRUE,FILTER(Task_Steps!$A$5:$A$2004,Task_Steps!$B$5:$B$2004=$A441)),""))</f>
        <v/>
      </c>
      <c r="AE441" s="84">
        <f>IF($A441="","",COUNTIFS(Task_Steps!$B$5:$B$2004,$A441,Task_Steps!$H$5:$H$2004,"&lt;&gt;Completed",Task_Steps!$H$5:$H$2004,"&lt;&gt;Cancelled"))</f>
        <v/>
      </c>
      <c r="AF441" s="81">
        <f>IF(OR($B441="",$A441=""),"",$B441&amp;" | "&amp;$A441)</f>
        <v/>
      </c>
    </row>
    <row r="442" ht="15" customHeight="1" s="40">
      <c r="A442" s="65">
        <f>IF(COUNTA(B442:F442)=0,"","TSK-"&amp;TEXT(ROW()-4,"0000"))</f>
        <v/>
      </c>
      <c r="B442" s="78" t="n"/>
      <c r="C442" s="78" t="n"/>
      <c r="D442" s="81" t="n"/>
      <c r="E442" s="81" t="n"/>
      <c r="F442" s="78" t="n"/>
      <c r="G442" s="67">
        <f>IF($F442="","",IFERROR(INDEX(Employee_Master!$C$5:$C$204,MATCH($F442,Employee_Master!$B$5:$B$204,0)),""))</f>
        <v/>
      </c>
      <c r="H442" s="78" t="n"/>
      <c r="I442" s="78" t="n"/>
      <c r="J442" s="67">
        <f>IF($I442="","",IFERROR(INDEX(Action_Status_Map!$B$5:$B$11,MATCH($I442,Action_Status_Map!$A$5:$A$11,0)),""))</f>
        <v/>
      </c>
      <c r="K442" s="82" t="n"/>
      <c r="L442" s="82" t="n"/>
      <c r="M442" s="82" t="n"/>
      <c r="N442" s="83" t="n"/>
      <c r="O442" s="83" t="n"/>
      <c r="P442" s="66">
        <f>IF(OR($N442="",$O442=""),"",$O442-$N442)</f>
        <v/>
      </c>
      <c r="Q442" s="84">
        <f>IF($K442="","",IF($M442&lt;&gt;"",$M442-$K442,TODAY()-$K442))</f>
        <v/>
      </c>
      <c r="R442" s="85">
        <f>IF(OR($L442="",$I442="Completed",$I442="Cancelled"),"",IF(AND($L442&lt;TODAY(),$I442&lt;&gt;"Completed",$I442&lt;&gt;"Cancelled"),"Overdue","On Track"))</f>
        <v/>
      </c>
      <c r="S442" s="65">
        <f>IF($L442="","",TEXT($L442,"yyyy-mm"))</f>
        <v/>
      </c>
      <c r="T442" s="86">
        <f>IF($I442="","",IFERROR(INDEX(Action_Status_Map!$C$5:$C$11,MATCH($I442,Action_Status_Map!$A$5:$A$11,0)),""))</f>
        <v/>
      </c>
      <c r="U442" s="81" t="n"/>
      <c r="V442" s="82" t="n"/>
      <c r="W442" s="65">
        <f>IF(OR($I442&lt;&gt;"Completed",$M442="",$L442=""),"",IF($M442&lt;=$L442,"Yes","No"))</f>
        <v/>
      </c>
      <c r="X442" s="84">
        <f>IF($A442="","",COUNTIF(Task_Steps!$B$5:$B$2004,$A442))</f>
        <v/>
      </c>
      <c r="Y442" s="86">
        <f>IF($X442=0,"",COUNTIFS(Task_Steps!$B$5:$B$2004,$A442,Task_Steps!$H$5:$H$2004,"Completed")/$X442)</f>
        <v/>
      </c>
      <c r="Z442" s="81" t="n"/>
      <c r="AA442" s="81" t="n"/>
      <c r="AB442" s="67">
        <f>IF($F442="","",IFERROR(INDEX(Employee_Master!$E$5:$E$204,MATCH($F442,Employee_Master!$B$5:$B$204,0)),""))</f>
        <v/>
      </c>
      <c r="AC442" s="65">
        <f>IF(OR($A442="",$AB442=""),"",IF(OR($I442="Completed",$I442="Cancelled"),"Closed - in Manager Report","Active - in Manager Report"))</f>
        <v/>
      </c>
      <c r="AD442" s="81">
        <f>IF($A442="","",IFERROR(TEXTJOIN(", ",TRUE,FILTER(Task_Steps!$A$5:$A$2004,Task_Steps!$B$5:$B$2004=$A442)),""))</f>
        <v/>
      </c>
      <c r="AE442" s="84">
        <f>IF($A442="","",COUNTIFS(Task_Steps!$B$5:$B$2004,$A442,Task_Steps!$H$5:$H$2004,"&lt;&gt;Completed",Task_Steps!$H$5:$H$2004,"&lt;&gt;Cancelled"))</f>
        <v/>
      </c>
      <c r="AF442" s="81">
        <f>IF(OR($B442="",$A442=""),"",$B442&amp;" | "&amp;$A442)</f>
        <v/>
      </c>
    </row>
    <row r="443" ht="15" customHeight="1" s="40">
      <c r="A443" s="65">
        <f>IF(COUNTA(B443:F443)=0,"","TSK-"&amp;TEXT(ROW()-4,"0000"))</f>
        <v/>
      </c>
      <c r="B443" s="78" t="n"/>
      <c r="C443" s="78" t="n"/>
      <c r="D443" s="81" t="n"/>
      <c r="E443" s="81" t="n"/>
      <c r="F443" s="78" t="n"/>
      <c r="G443" s="67">
        <f>IF($F443="","",IFERROR(INDEX(Employee_Master!$C$5:$C$204,MATCH($F443,Employee_Master!$B$5:$B$204,0)),""))</f>
        <v/>
      </c>
      <c r="H443" s="78" t="n"/>
      <c r="I443" s="78" t="n"/>
      <c r="J443" s="67">
        <f>IF($I443="","",IFERROR(INDEX(Action_Status_Map!$B$5:$B$11,MATCH($I443,Action_Status_Map!$A$5:$A$11,0)),""))</f>
        <v/>
      </c>
      <c r="K443" s="82" t="n"/>
      <c r="L443" s="82" t="n"/>
      <c r="M443" s="82" t="n"/>
      <c r="N443" s="83" t="n"/>
      <c r="O443" s="83" t="n"/>
      <c r="P443" s="66">
        <f>IF(OR($N443="",$O443=""),"",$O443-$N443)</f>
        <v/>
      </c>
      <c r="Q443" s="84">
        <f>IF($K443="","",IF($M443&lt;&gt;"",$M443-$K443,TODAY()-$K443))</f>
        <v/>
      </c>
      <c r="R443" s="85">
        <f>IF(OR($L443="",$I443="Completed",$I443="Cancelled"),"",IF(AND($L443&lt;TODAY(),$I443&lt;&gt;"Completed",$I443&lt;&gt;"Cancelled"),"Overdue","On Track"))</f>
        <v/>
      </c>
      <c r="S443" s="65">
        <f>IF($L443="","",TEXT($L443,"yyyy-mm"))</f>
        <v/>
      </c>
      <c r="T443" s="86">
        <f>IF($I443="","",IFERROR(INDEX(Action_Status_Map!$C$5:$C$11,MATCH($I443,Action_Status_Map!$A$5:$A$11,0)),""))</f>
        <v/>
      </c>
      <c r="U443" s="81" t="n"/>
      <c r="V443" s="82" t="n"/>
      <c r="W443" s="65">
        <f>IF(OR($I443&lt;&gt;"Completed",$M443="",$L443=""),"",IF($M443&lt;=$L443,"Yes","No"))</f>
        <v/>
      </c>
      <c r="X443" s="84">
        <f>IF($A443="","",COUNTIF(Task_Steps!$B$5:$B$2004,$A443))</f>
        <v/>
      </c>
      <c r="Y443" s="86">
        <f>IF($X443=0,"",COUNTIFS(Task_Steps!$B$5:$B$2004,$A443,Task_Steps!$H$5:$H$2004,"Completed")/$X443)</f>
        <v/>
      </c>
      <c r="Z443" s="81" t="n"/>
      <c r="AA443" s="81" t="n"/>
      <c r="AB443" s="67">
        <f>IF($F443="","",IFERROR(INDEX(Employee_Master!$E$5:$E$204,MATCH($F443,Employee_Master!$B$5:$B$204,0)),""))</f>
        <v/>
      </c>
      <c r="AC443" s="65">
        <f>IF(OR($A443="",$AB443=""),"",IF(OR($I443="Completed",$I443="Cancelled"),"Closed - in Manager Report","Active - in Manager Report"))</f>
        <v/>
      </c>
      <c r="AD443" s="81">
        <f>IF($A443="","",IFERROR(TEXTJOIN(", ",TRUE,FILTER(Task_Steps!$A$5:$A$2004,Task_Steps!$B$5:$B$2004=$A443)),""))</f>
        <v/>
      </c>
      <c r="AE443" s="84">
        <f>IF($A443="","",COUNTIFS(Task_Steps!$B$5:$B$2004,$A443,Task_Steps!$H$5:$H$2004,"&lt;&gt;Completed",Task_Steps!$H$5:$H$2004,"&lt;&gt;Cancelled"))</f>
        <v/>
      </c>
      <c r="AF443" s="81">
        <f>IF(OR($B443="",$A443=""),"",$B443&amp;" | "&amp;$A443)</f>
        <v/>
      </c>
    </row>
    <row r="444" ht="15" customHeight="1" s="40">
      <c r="A444" s="65">
        <f>IF(COUNTA(B444:F444)=0,"","TSK-"&amp;TEXT(ROW()-4,"0000"))</f>
        <v/>
      </c>
      <c r="B444" s="78" t="n"/>
      <c r="C444" s="78" t="n"/>
      <c r="D444" s="81" t="n"/>
      <c r="E444" s="81" t="n"/>
      <c r="F444" s="78" t="n"/>
      <c r="G444" s="67">
        <f>IF($F444="","",IFERROR(INDEX(Employee_Master!$C$5:$C$204,MATCH($F444,Employee_Master!$B$5:$B$204,0)),""))</f>
        <v/>
      </c>
      <c r="H444" s="78" t="n"/>
      <c r="I444" s="78" t="n"/>
      <c r="J444" s="67">
        <f>IF($I444="","",IFERROR(INDEX(Action_Status_Map!$B$5:$B$11,MATCH($I444,Action_Status_Map!$A$5:$A$11,0)),""))</f>
        <v/>
      </c>
      <c r="K444" s="82" t="n"/>
      <c r="L444" s="82" t="n"/>
      <c r="M444" s="82" t="n"/>
      <c r="N444" s="83" t="n"/>
      <c r="O444" s="83" t="n"/>
      <c r="P444" s="66">
        <f>IF(OR($N444="",$O444=""),"",$O444-$N444)</f>
        <v/>
      </c>
      <c r="Q444" s="84">
        <f>IF($K444="","",IF($M444&lt;&gt;"",$M444-$K444,TODAY()-$K444))</f>
        <v/>
      </c>
      <c r="R444" s="85">
        <f>IF(OR($L444="",$I444="Completed",$I444="Cancelled"),"",IF(AND($L444&lt;TODAY(),$I444&lt;&gt;"Completed",$I444&lt;&gt;"Cancelled"),"Overdue","On Track"))</f>
        <v/>
      </c>
      <c r="S444" s="65">
        <f>IF($L444="","",TEXT($L444,"yyyy-mm"))</f>
        <v/>
      </c>
      <c r="T444" s="86">
        <f>IF($I444="","",IFERROR(INDEX(Action_Status_Map!$C$5:$C$11,MATCH($I444,Action_Status_Map!$A$5:$A$11,0)),""))</f>
        <v/>
      </c>
      <c r="U444" s="81" t="n"/>
      <c r="V444" s="82" t="n"/>
      <c r="W444" s="65">
        <f>IF(OR($I444&lt;&gt;"Completed",$M444="",$L444=""),"",IF($M444&lt;=$L444,"Yes","No"))</f>
        <v/>
      </c>
      <c r="X444" s="84">
        <f>IF($A444="","",COUNTIF(Task_Steps!$B$5:$B$2004,$A444))</f>
        <v/>
      </c>
      <c r="Y444" s="86">
        <f>IF($X444=0,"",COUNTIFS(Task_Steps!$B$5:$B$2004,$A444,Task_Steps!$H$5:$H$2004,"Completed")/$X444)</f>
        <v/>
      </c>
      <c r="Z444" s="81" t="n"/>
      <c r="AA444" s="81" t="n"/>
      <c r="AB444" s="67">
        <f>IF($F444="","",IFERROR(INDEX(Employee_Master!$E$5:$E$204,MATCH($F444,Employee_Master!$B$5:$B$204,0)),""))</f>
        <v/>
      </c>
      <c r="AC444" s="65">
        <f>IF(OR($A444="",$AB444=""),"",IF(OR($I444="Completed",$I444="Cancelled"),"Closed - in Manager Report","Active - in Manager Report"))</f>
        <v/>
      </c>
      <c r="AD444" s="81">
        <f>IF($A444="","",IFERROR(TEXTJOIN(", ",TRUE,FILTER(Task_Steps!$A$5:$A$2004,Task_Steps!$B$5:$B$2004=$A444)),""))</f>
        <v/>
      </c>
      <c r="AE444" s="84">
        <f>IF($A444="","",COUNTIFS(Task_Steps!$B$5:$B$2004,$A444,Task_Steps!$H$5:$H$2004,"&lt;&gt;Completed",Task_Steps!$H$5:$H$2004,"&lt;&gt;Cancelled"))</f>
        <v/>
      </c>
      <c r="AF444" s="81">
        <f>IF(OR($B444="",$A444=""),"",$B444&amp;" | "&amp;$A444)</f>
        <v/>
      </c>
    </row>
    <row r="445" ht="15" customHeight="1" s="40">
      <c r="A445" s="65">
        <f>IF(COUNTA(B445:F445)=0,"","TSK-"&amp;TEXT(ROW()-4,"0000"))</f>
        <v/>
      </c>
      <c r="B445" s="78" t="n"/>
      <c r="C445" s="78" t="n"/>
      <c r="D445" s="81" t="n"/>
      <c r="E445" s="81" t="n"/>
      <c r="F445" s="78" t="n"/>
      <c r="G445" s="67">
        <f>IF($F445="","",IFERROR(INDEX(Employee_Master!$C$5:$C$204,MATCH($F445,Employee_Master!$B$5:$B$204,0)),""))</f>
        <v/>
      </c>
      <c r="H445" s="78" t="n"/>
      <c r="I445" s="78" t="n"/>
      <c r="J445" s="67">
        <f>IF($I445="","",IFERROR(INDEX(Action_Status_Map!$B$5:$B$11,MATCH($I445,Action_Status_Map!$A$5:$A$11,0)),""))</f>
        <v/>
      </c>
      <c r="K445" s="82" t="n"/>
      <c r="L445" s="82" t="n"/>
      <c r="M445" s="82" t="n"/>
      <c r="N445" s="83" t="n"/>
      <c r="O445" s="83" t="n"/>
      <c r="P445" s="66">
        <f>IF(OR($N445="",$O445=""),"",$O445-$N445)</f>
        <v/>
      </c>
      <c r="Q445" s="84">
        <f>IF($K445="","",IF($M445&lt;&gt;"",$M445-$K445,TODAY()-$K445))</f>
        <v/>
      </c>
      <c r="R445" s="85">
        <f>IF(OR($L445="",$I445="Completed",$I445="Cancelled"),"",IF(AND($L445&lt;TODAY(),$I445&lt;&gt;"Completed",$I445&lt;&gt;"Cancelled"),"Overdue","On Track"))</f>
        <v/>
      </c>
      <c r="S445" s="65">
        <f>IF($L445="","",TEXT($L445,"yyyy-mm"))</f>
        <v/>
      </c>
      <c r="T445" s="86">
        <f>IF($I445="","",IFERROR(INDEX(Action_Status_Map!$C$5:$C$11,MATCH($I445,Action_Status_Map!$A$5:$A$11,0)),""))</f>
        <v/>
      </c>
      <c r="U445" s="81" t="n"/>
      <c r="V445" s="82" t="n"/>
      <c r="W445" s="65">
        <f>IF(OR($I445&lt;&gt;"Completed",$M445="",$L445=""),"",IF($M445&lt;=$L445,"Yes","No"))</f>
        <v/>
      </c>
      <c r="X445" s="84">
        <f>IF($A445="","",COUNTIF(Task_Steps!$B$5:$B$2004,$A445))</f>
        <v/>
      </c>
      <c r="Y445" s="86">
        <f>IF($X445=0,"",COUNTIFS(Task_Steps!$B$5:$B$2004,$A445,Task_Steps!$H$5:$H$2004,"Completed")/$X445)</f>
        <v/>
      </c>
      <c r="Z445" s="81" t="n"/>
      <c r="AA445" s="81" t="n"/>
      <c r="AB445" s="67">
        <f>IF($F445="","",IFERROR(INDEX(Employee_Master!$E$5:$E$204,MATCH($F445,Employee_Master!$B$5:$B$204,0)),""))</f>
        <v/>
      </c>
      <c r="AC445" s="65">
        <f>IF(OR($A445="",$AB445=""),"",IF(OR($I445="Completed",$I445="Cancelled"),"Closed - in Manager Report","Active - in Manager Report"))</f>
        <v/>
      </c>
      <c r="AD445" s="81">
        <f>IF($A445="","",IFERROR(TEXTJOIN(", ",TRUE,FILTER(Task_Steps!$A$5:$A$2004,Task_Steps!$B$5:$B$2004=$A445)),""))</f>
        <v/>
      </c>
      <c r="AE445" s="84">
        <f>IF($A445="","",COUNTIFS(Task_Steps!$B$5:$B$2004,$A445,Task_Steps!$H$5:$H$2004,"&lt;&gt;Completed",Task_Steps!$H$5:$H$2004,"&lt;&gt;Cancelled"))</f>
        <v/>
      </c>
      <c r="AF445" s="81">
        <f>IF(OR($B445="",$A445=""),"",$B445&amp;" | "&amp;$A445)</f>
        <v/>
      </c>
    </row>
    <row r="446" ht="15" customHeight="1" s="40">
      <c r="A446" s="65">
        <f>IF(COUNTA(B446:F446)=0,"","TSK-"&amp;TEXT(ROW()-4,"0000"))</f>
        <v/>
      </c>
      <c r="B446" s="78" t="n"/>
      <c r="C446" s="78" t="n"/>
      <c r="D446" s="81" t="n"/>
      <c r="E446" s="81" t="n"/>
      <c r="F446" s="78" t="n"/>
      <c r="G446" s="67">
        <f>IF($F446="","",IFERROR(INDEX(Employee_Master!$C$5:$C$204,MATCH($F446,Employee_Master!$B$5:$B$204,0)),""))</f>
        <v/>
      </c>
      <c r="H446" s="78" t="n"/>
      <c r="I446" s="78" t="n"/>
      <c r="J446" s="67">
        <f>IF($I446="","",IFERROR(INDEX(Action_Status_Map!$B$5:$B$11,MATCH($I446,Action_Status_Map!$A$5:$A$11,0)),""))</f>
        <v/>
      </c>
      <c r="K446" s="82" t="n"/>
      <c r="L446" s="82" t="n"/>
      <c r="M446" s="82" t="n"/>
      <c r="N446" s="83" t="n"/>
      <c r="O446" s="83" t="n"/>
      <c r="P446" s="66">
        <f>IF(OR($N446="",$O446=""),"",$O446-$N446)</f>
        <v/>
      </c>
      <c r="Q446" s="84">
        <f>IF($K446="","",IF($M446&lt;&gt;"",$M446-$K446,TODAY()-$K446))</f>
        <v/>
      </c>
      <c r="R446" s="85">
        <f>IF(OR($L446="",$I446="Completed",$I446="Cancelled"),"",IF(AND($L446&lt;TODAY(),$I446&lt;&gt;"Completed",$I446&lt;&gt;"Cancelled"),"Overdue","On Track"))</f>
        <v/>
      </c>
      <c r="S446" s="65">
        <f>IF($L446="","",TEXT($L446,"yyyy-mm"))</f>
        <v/>
      </c>
      <c r="T446" s="86">
        <f>IF($I446="","",IFERROR(INDEX(Action_Status_Map!$C$5:$C$11,MATCH($I446,Action_Status_Map!$A$5:$A$11,0)),""))</f>
        <v/>
      </c>
      <c r="U446" s="81" t="n"/>
      <c r="V446" s="82" t="n"/>
      <c r="W446" s="65">
        <f>IF(OR($I446&lt;&gt;"Completed",$M446="",$L446=""),"",IF($M446&lt;=$L446,"Yes","No"))</f>
        <v/>
      </c>
      <c r="X446" s="84">
        <f>IF($A446="","",COUNTIF(Task_Steps!$B$5:$B$2004,$A446))</f>
        <v/>
      </c>
      <c r="Y446" s="86">
        <f>IF($X446=0,"",COUNTIFS(Task_Steps!$B$5:$B$2004,$A446,Task_Steps!$H$5:$H$2004,"Completed")/$X446)</f>
        <v/>
      </c>
      <c r="Z446" s="81" t="n"/>
      <c r="AA446" s="81" t="n"/>
      <c r="AB446" s="67">
        <f>IF($F446="","",IFERROR(INDEX(Employee_Master!$E$5:$E$204,MATCH($F446,Employee_Master!$B$5:$B$204,0)),""))</f>
        <v/>
      </c>
      <c r="AC446" s="65">
        <f>IF(OR($A446="",$AB446=""),"",IF(OR($I446="Completed",$I446="Cancelled"),"Closed - in Manager Report","Active - in Manager Report"))</f>
        <v/>
      </c>
      <c r="AD446" s="81">
        <f>IF($A446="","",IFERROR(TEXTJOIN(", ",TRUE,FILTER(Task_Steps!$A$5:$A$2004,Task_Steps!$B$5:$B$2004=$A446)),""))</f>
        <v/>
      </c>
      <c r="AE446" s="84">
        <f>IF($A446="","",COUNTIFS(Task_Steps!$B$5:$B$2004,$A446,Task_Steps!$H$5:$H$2004,"&lt;&gt;Completed",Task_Steps!$H$5:$H$2004,"&lt;&gt;Cancelled"))</f>
        <v/>
      </c>
      <c r="AF446" s="81">
        <f>IF(OR($B446="",$A446=""),"",$B446&amp;" | "&amp;$A446)</f>
        <v/>
      </c>
    </row>
    <row r="447" ht="15" customHeight="1" s="40">
      <c r="A447" s="65">
        <f>IF(COUNTA(B447:F447)=0,"","TSK-"&amp;TEXT(ROW()-4,"0000"))</f>
        <v/>
      </c>
      <c r="B447" s="78" t="n"/>
      <c r="C447" s="78" t="n"/>
      <c r="D447" s="81" t="n"/>
      <c r="E447" s="81" t="n"/>
      <c r="F447" s="78" t="n"/>
      <c r="G447" s="67">
        <f>IF($F447="","",IFERROR(INDEX(Employee_Master!$C$5:$C$204,MATCH($F447,Employee_Master!$B$5:$B$204,0)),""))</f>
        <v/>
      </c>
      <c r="H447" s="78" t="n"/>
      <c r="I447" s="78" t="n"/>
      <c r="J447" s="67">
        <f>IF($I447="","",IFERROR(INDEX(Action_Status_Map!$B$5:$B$11,MATCH($I447,Action_Status_Map!$A$5:$A$11,0)),""))</f>
        <v/>
      </c>
      <c r="K447" s="82" t="n"/>
      <c r="L447" s="82" t="n"/>
      <c r="M447" s="82" t="n"/>
      <c r="N447" s="83" t="n"/>
      <c r="O447" s="83" t="n"/>
      <c r="P447" s="66">
        <f>IF(OR($N447="",$O447=""),"",$O447-$N447)</f>
        <v/>
      </c>
      <c r="Q447" s="84">
        <f>IF($K447="","",IF($M447&lt;&gt;"",$M447-$K447,TODAY()-$K447))</f>
        <v/>
      </c>
      <c r="R447" s="85">
        <f>IF(OR($L447="",$I447="Completed",$I447="Cancelled"),"",IF(AND($L447&lt;TODAY(),$I447&lt;&gt;"Completed",$I447&lt;&gt;"Cancelled"),"Overdue","On Track"))</f>
        <v/>
      </c>
      <c r="S447" s="65">
        <f>IF($L447="","",TEXT($L447,"yyyy-mm"))</f>
        <v/>
      </c>
      <c r="T447" s="86">
        <f>IF($I447="","",IFERROR(INDEX(Action_Status_Map!$C$5:$C$11,MATCH($I447,Action_Status_Map!$A$5:$A$11,0)),""))</f>
        <v/>
      </c>
      <c r="U447" s="81" t="n"/>
      <c r="V447" s="82" t="n"/>
      <c r="W447" s="65">
        <f>IF(OR($I447&lt;&gt;"Completed",$M447="",$L447=""),"",IF($M447&lt;=$L447,"Yes","No"))</f>
        <v/>
      </c>
      <c r="X447" s="84">
        <f>IF($A447="","",COUNTIF(Task_Steps!$B$5:$B$2004,$A447))</f>
        <v/>
      </c>
      <c r="Y447" s="86">
        <f>IF($X447=0,"",COUNTIFS(Task_Steps!$B$5:$B$2004,$A447,Task_Steps!$H$5:$H$2004,"Completed")/$X447)</f>
        <v/>
      </c>
      <c r="Z447" s="81" t="n"/>
      <c r="AA447" s="81" t="n"/>
      <c r="AB447" s="67">
        <f>IF($F447="","",IFERROR(INDEX(Employee_Master!$E$5:$E$204,MATCH($F447,Employee_Master!$B$5:$B$204,0)),""))</f>
        <v/>
      </c>
      <c r="AC447" s="65">
        <f>IF(OR($A447="",$AB447=""),"",IF(OR($I447="Completed",$I447="Cancelled"),"Closed - in Manager Report","Active - in Manager Report"))</f>
        <v/>
      </c>
      <c r="AD447" s="81">
        <f>IF($A447="","",IFERROR(TEXTJOIN(", ",TRUE,FILTER(Task_Steps!$A$5:$A$2004,Task_Steps!$B$5:$B$2004=$A447)),""))</f>
        <v/>
      </c>
      <c r="AE447" s="84">
        <f>IF($A447="","",COUNTIFS(Task_Steps!$B$5:$B$2004,$A447,Task_Steps!$H$5:$H$2004,"&lt;&gt;Completed",Task_Steps!$H$5:$H$2004,"&lt;&gt;Cancelled"))</f>
        <v/>
      </c>
      <c r="AF447" s="81">
        <f>IF(OR($B447="",$A447=""),"",$B447&amp;" | "&amp;$A447)</f>
        <v/>
      </c>
    </row>
    <row r="448" ht="15" customHeight="1" s="40">
      <c r="A448" s="65">
        <f>IF(COUNTA(B448:F448)=0,"","TSK-"&amp;TEXT(ROW()-4,"0000"))</f>
        <v/>
      </c>
      <c r="B448" s="78" t="n"/>
      <c r="C448" s="78" t="n"/>
      <c r="D448" s="81" t="n"/>
      <c r="E448" s="81" t="n"/>
      <c r="F448" s="78" t="n"/>
      <c r="G448" s="67">
        <f>IF($F448="","",IFERROR(INDEX(Employee_Master!$C$5:$C$204,MATCH($F448,Employee_Master!$B$5:$B$204,0)),""))</f>
        <v/>
      </c>
      <c r="H448" s="78" t="n"/>
      <c r="I448" s="78" t="n"/>
      <c r="J448" s="67">
        <f>IF($I448="","",IFERROR(INDEX(Action_Status_Map!$B$5:$B$11,MATCH($I448,Action_Status_Map!$A$5:$A$11,0)),""))</f>
        <v/>
      </c>
      <c r="K448" s="82" t="n"/>
      <c r="L448" s="82" t="n"/>
      <c r="M448" s="82" t="n"/>
      <c r="N448" s="83" t="n"/>
      <c r="O448" s="83" t="n"/>
      <c r="P448" s="66">
        <f>IF(OR($N448="",$O448=""),"",$O448-$N448)</f>
        <v/>
      </c>
      <c r="Q448" s="84">
        <f>IF($K448="","",IF($M448&lt;&gt;"",$M448-$K448,TODAY()-$K448))</f>
        <v/>
      </c>
      <c r="R448" s="85">
        <f>IF(OR($L448="",$I448="Completed",$I448="Cancelled"),"",IF(AND($L448&lt;TODAY(),$I448&lt;&gt;"Completed",$I448&lt;&gt;"Cancelled"),"Overdue","On Track"))</f>
        <v/>
      </c>
      <c r="S448" s="65">
        <f>IF($L448="","",TEXT($L448,"yyyy-mm"))</f>
        <v/>
      </c>
      <c r="T448" s="86">
        <f>IF($I448="","",IFERROR(INDEX(Action_Status_Map!$C$5:$C$11,MATCH($I448,Action_Status_Map!$A$5:$A$11,0)),""))</f>
        <v/>
      </c>
      <c r="U448" s="81" t="n"/>
      <c r="V448" s="82" t="n"/>
      <c r="W448" s="65">
        <f>IF(OR($I448&lt;&gt;"Completed",$M448="",$L448=""),"",IF($M448&lt;=$L448,"Yes","No"))</f>
        <v/>
      </c>
      <c r="X448" s="84">
        <f>IF($A448="","",COUNTIF(Task_Steps!$B$5:$B$2004,$A448))</f>
        <v/>
      </c>
      <c r="Y448" s="86">
        <f>IF($X448=0,"",COUNTIFS(Task_Steps!$B$5:$B$2004,$A448,Task_Steps!$H$5:$H$2004,"Completed")/$X448)</f>
        <v/>
      </c>
      <c r="Z448" s="81" t="n"/>
      <c r="AA448" s="81" t="n"/>
      <c r="AB448" s="67">
        <f>IF($F448="","",IFERROR(INDEX(Employee_Master!$E$5:$E$204,MATCH($F448,Employee_Master!$B$5:$B$204,0)),""))</f>
        <v/>
      </c>
      <c r="AC448" s="65">
        <f>IF(OR($A448="",$AB448=""),"",IF(OR($I448="Completed",$I448="Cancelled"),"Closed - in Manager Report","Active - in Manager Report"))</f>
        <v/>
      </c>
      <c r="AD448" s="81">
        <f>IF($A448="","",IFERROR(TEXTJOIN(", ",TRUE,FILTER(Task_Steps!$A$5:$A$2004,Task_Steps!$B$5:$B$2004=$A448)),""))</f>
        <v/>
      </c>
      <c r="AE448" s="84">
        <f>IF($A448="","",COUNTIFS(Task_Steps!$B$5:$B$2004,$A448,Task_Steps!$H$5:$H$2004,"&lt;&gt;Completed",Task_Steps!$H$5:$H$2004,"&lt;&gt;Cancelled"))</f>
        <v/>
      </c>
      <c r="AF448" s="81">
        <f>IF(OR($B448="",$A448=""),"",$B448&amp;" | "&amp;$A448)</f>
        <v/>
      </c>
    </row>
    <row r="449" ht="15" customHeight="1" s="40">
      <c r="A449" s="65">
        <f>IF(COUNTA(B449:F449)=0,"","TSK-"&amp;TEXT(ROW()-4,"0000"))</f>
        <v/>
      </c>
      <c r="B449" s="78" t="n"/>
      <c r="C449" s="78" t="n"/>
      <c r="D449" s="81" t="n"/>
      <c r="E449" s="81" t="n"/>
      <c r="F449" s="78" t="n"/>
      <c r="G449" s="67">
        <f>IF($F449="","",IFERROR(INDEX(Employee_Master!$C$5:$C$204,MATCH($F449,Employee_Master!$B$5:$B$204,0)),""))</f>
        <v/>
      </c>
      <c r="H449" s="78" t="n"/>
      <c r="I449" s="78" t="n"/>
      <c r="J449" s="67">
        <f>IF($I449="","",IFERROR(INDEX(Action_Status_Map!$B$5:$B$11,MATCH($I449,Action_Status_Map!$A$5:$A$11,0)),""))</f>
        <v/>
      </c>
      <c r="K449" s="82" t="n"/>
      <c r="L449" s="82" t="n"/>
      <c r="M449" s="82" t="n"/>
      <c r="N449" s="83" t="n"/>
      <c r="O449" s="83" t="n"/>
      <c r="P449" s="66">
        <f>IF(OR($N449="",$O449=""),"",$O449-$N449)</f>
        <v/>
      </c>
      <c r="Q449" s="84">
        <f>IF($K449="","",IF($M449&lt;&gt;"",$M449-$K449,TODAY()-$K449))</f>
        <v/>
      </c>
      <c r="R449" s="85">
        <f>IF(OR($L449="",$I449="Completed",$I449="Cancelled"),"",IF(AND($L449&lt;TODAY(),$I449&lt;&gt;"Completed",$I449&lt;&gt;"Cancelled"),"Overdue","On Track"))</f>
        <v/>
      </c>
      <c r="S449" s="65">
        <f>IF($L449="","",TEXT($L449,"yyyy-mm"))</f>
        <v/>
      </c>
      <c r="T449" s="86">
        <f>IF($I449="","",IFERROR(INDEX(Action_Status_Map!$C$5:$C$11,MATCH($I449,Action_Status_Map!$A$5:$A$11,0)),""))</f>
        <v/>
      </c>
      <c r="U449" s="81" t="n"/>
      <c r="V449" s="82" t="n"/>
      <c r="W449" s="65">
        <f>IF(OR($I449&lt;&gt;"Completed",$M449="",$L449=""),"",IF($M449&lt;=$L449,"Yes","No"))</f>
        <v/>
      </c>
      <c r="X449" s="84">
        <f>IF($A449="","",COUNTIF(Task_Steps!$B$5:$B$2004,$A449))</f>
        <v/>
      </c>
      <c r="Y449" s="86">
        <f>IF($X449=0,"",COUNTIFS(Task_Steps!$B$5:$B$2004,$A449,Task_Steps!$H$5:$H$2004,"Completed")/$X449)</f>
        <v/>
      </c>
      <c r="Z449" s="81" t="n"/>
      <c r="AA449" s="81" t="n"/>
      <c r="AB449" s="67">
        <f>IF($F449="","",IFERROR(INDEX(Employee_Master!$E$5:$E$204,MATCH($F449,Employee_Master!$B$5:$B$204,0)),""))</f>
        <v/>
      </c>
      <c r="AC449" s="65">
        <f>IF(OR($A449="",$AB449=""),"",IF(OR($I449="Completed",$I449="Cancelled"),"Closed - in Manager Report","Active - in Manager Report"))</f>
        <v/>
      </c>
      <c r="AD449" s="81">
        <f>IF($A449="","",IFERROR(TEXTJOIN(", ",TRUE,FILTER(Task_Steps!$A$5:$A$2004,Task_Steps!$B$5:$B$2004=$A449)),""))</f>
        <v/>
      </c>
      <c r="AE449" s="84">
        <f>IF($A449="","",COUNTIFS(Task_Steps!$B$5:$B$2004,$A449,Task_Steps!$H$5:$H$2004,"&lt;&gt;Completed",Task_Steps!$H$5:$H$2004,"&lt;&gt;Cancelled"))</f>
        <v/>
      </c>
      <c r="AF449" s="81">
        <f>IF(OR($B449="",$A449=""),"",$B449&amp;" | "&amp;$A449)</f>
        <v/>
      </c>
    </row>
    <row r="450" ht="15" customHeight="1" s="40">
      <c r="A450" s="65">
        <f>IF(COUNTA(B450:F450)=0,"","TSK-"&amp;TEXT(ROW()-4,"0000"))</f>
        <v/>
      </c>
      <c r="B450" s="78" t="n"/>
      <c r="C450" s="78" t="n"/>
      <c r="D450" s="81" t="n"/>
      <c r="E450" s="81" t="n"/>
      <c r="F450" s="78" t="n"/>
      <c r="G450" s="67">
        <f>IF($F450="","",IFERROR(INDEX(Employee_Master!$C$5:$C$204,MATCH($F450,Employee_Master!$B$5:$B$204,0)),""))</f>
        <v/>
      </c>
      <c r="H450" s="78" t="n"/>
      <c r="I450" s="78" t="n"/>
      <c r="J450" s="67">
        <f>IF($I450="","",IFERROR(INDEX(Action_Status_Map!$B$5:$B$11,MATCH($I450,Action_Status_Map!$A$5:$A$11,0)),""))</f>
        <v/>
      </c>
      <c r="K450" s="82" t="n"/>
      <c r="L450" s="82" t="n"/>
      <c r="M450" s="82" t="n"/>
      <c r="N450" s="83" t="n"/>
      <c r="O450" s="83" t="n"/>
      <c r="P450" s="66">
        <f>IF(OR($N450="",$O450=""),"",$O450-$N450)</f>
        <v/>
      </c>
      <c r="Q450" s="84">
        <f>IF($K450="","",IF($M450&lt;&gt;"",$M450-$K450,TODAY()-$K450))</f>
        <v/>
      </c>
      <c r="R450" s="85">
        <f>IF(OR($L450="",$I450="Completed",$I450="Cancelled"),"",IF(AND($L450&lt;TODAY(),$I450&lt;&gt;"Completed",$I450&lt;&gt;"Cancelled"),"Overdue","On Track"))</f>
        <v/>
      </c>
      <c r="S450" s="65">
        <f>IF($L450="","",TEXT($L450,"yyyy-mm"))</f>
        <v/>
      </c>
      <c r="T450" s="86">
        <f>IF($I450="","",IFERROR(INDEX(Action_Status_Map!$C$5:$C$11,MATCH($I450,Action_Status_Map!$A$5:$A$11,0)),""))</f>
        <v/>
      </c>
      <c r="U450" s="81" t="n"/>
      <c r="V450" s="82" t="n"/>
      <c r="W450" s="65">
        <f>IF(OR($I450&lt;&gt;"Completed",$M450="",$L450=""),"",IF($M450&lt;=$L450,"Yes","No"))</f>
        <v/>
      </c>
      <c r="X450" s="84">
        <f>IF($A450="","",COUNTIF(Task_Steps!$B$5:$B$2004,$A450))</f>
        <v/>
      </c>
      <c r="Y450" s="86">
        <f>IF($X450=0,"",COUNTIFS(Task_Steps!$B$5:$B$2004,$A450,Task_Steps!$H$5:$H$2004,"Completed")/$X450)</f>
        <v/>
      </c>
      <c r="Z450" s="81" t="n"/>
      <c r="AA450" s="81" t="n"/>
      <c r="AB450" s="67">
        <f>IF($F450="","",IFERROR(INDEX(Employee_Master!$E$5:$E$204,MATCH($F450,Employee_Master!$B$5:$B$204,0)),""))</f>
        <v/>
      </c>
      <c r="AC450" s="65">
        <f>IF(OR($A450="",$AB450=""),"",IF(OR($I450="Completed",$I450="Cancelled"),"Closed - in Manager Report","Active - in Manager Report"))</f>
        <v/>
      </c>
      <c r="AD450" s="81">
        <f>IF($A450="","",IFERROR(TEXTJOIN(", ",TRUE,FILTER(Task_Steps!$A$5:$A$2004,Task_Steps!$B$5:$B$2004=$A450)),""))</f>
        <v/>
      </c>
      <c r="AE450" s="84">
        <f>IF($A450="","",COUNTIFS(Task_Steps!$B$5:$B$2004,$A450,Task_Steps!$H$5:$H$2004,"&lt;&gt;Completed",Task_Steps!$H$5:$H$2004,"&lt;&gt;Cancelled"))</f>
        <v/>
      </c>
      <c r="AF450" s="81">
        <f>IF(OR($B450="",$A450=""),"",$B450&amp;" | "&amp;$A450)</f>
        <v/>
      </c>
    </row>
    <row r="451" ht="15" customHeight="1" s="40">
      <c r="A451" s="65">
        <f>IF(COUNTA(B451:F451)=0,"","TSK-"&amp;TEXT(ROW()-4,"0000"))</f>
        <v/>
      </c>
      <c r="B451" s="78" t="n"/>
      <c r="C451" s="78" t="n"/>
      <c r="D451" s="81" t="n"/>
      <c r="E451" s="81" t="n"/>
      <c r="F451" s="78" t="n"/>
      <c r="G451" s="67">
        <f>IF($F451="","",IFERROR(INDEX(Employee_Master!$C$5:$C$204,MATCH($F451,Employee_Master!$B$5:$B$204,0)),""))</f>
        <v/>
      </c>
      <c r="H451" s="78" t="n"/>
      <c r="I451" s="78" t="n"/>
      <c r="J451" s="67">
        <f>IF($I451="","",IFERROR(INDEX(Action_Status_Map!$B$5:$B$11,MATCH($I451,Action_Status_Map!$A$5:$A$11,0)),""))</f>
        <v/>
      </c>
      <c r="K451" s="82" t="n"/>
      <c r="L451" s="82" t="n"/>
      <c r="M451" s="82" t="n"/>
      <c r="N451" s="83" t="n"/>
      <c r="O451" s="83" t="n"/>
      <c r="P451" s="66">
        <f>IF(OR($N451="",$O451=""),"",$O451-$N451)</f>
        <v/>
      </c>
      <c r="Q451" s="84">
        <f>IF($K451="","",IF($M451&lt;&gt;"",$M451-$K451,TODAY()-$K451))</f>
        <v/>
      </c>
      <c r="R451" s="85">
        <f>IF(OR($L451="",$I451="Completed",$I451="Cancelled"),"",IF(AND($L451&lt;TODAY(),$I451&lt;&gt;"Completed",$I451&lt;&gt;"Cancelled"),"Overdue","On Track"))</f>
        <v/>
      </c>
      <c r="S451" s="65">
        <f>IF($L451="","",TEXT($L451,"yyyy-mm"))</f>
        <v/>
      </c>
      <c r="T451" s="86">
        <f>IF($I451="","",IFERROR(INDEX(Action_Status_Map!$C$5:$C$11,MATCH($I451,Action_Status_Map!$A$5:$A$11,0)),""))</f>
        <v/>
      </c>
      <c r="U451" s="81" t="n"/>
      <c r="V451" s="82" t="n"/>
      <c r="W451" s="65">
        <f>IF(OR($I451&lt;&gt;"Completed",$M451="",$L451=""),"",IF($M451&lt;=$L451,"Yes","No"))</f>
        <v/>
      </c>
      <c r="X451" s="84">
        <f>IF($A451="","",COUNTIF(Task_Steps!$B$5:$B$2004,$A451))</f>
        <v/>
      </c>
      <c r="Y451" s="86">
        <f>IF($X451=0,"",COUNTIFS(Task_Steps!$B$5:$B$2004,$A451,Task_Steps!$H$5:$H$2004,"Completed")/$X451)</f>
        <v/>
      </c>
      <c r="Z451" s="81" t="n"/>
      <c r="AA451" s="81" t="n"/>
      <c r="AB451" s="67">
        <f>IF($F451="","",IFERROR(INDEX(Employee_Master!$E$5:$E$204,MATCH($F451,Employee_Master!$B$5:$B$204,0)),""))</f>
        <v/>
      </c>
      <c r="AC451" s="65">
        <f>IF(OR($A451="",$AB451=""),"",IF(OR($I451="Completed",$I451="Cancelled"),"Closed - in Manager Report","Active - in Manager Report"))</f>
        <v/>
      </c>
      <c r="AD451" s="81">
        <f>IF($A451="","",IFERROR(TEXTJOIN(", ",TRUE,FILTER(Task_Steps!$A$5:$A$2004,Task_Steps!$B$5:$B$2004=$A451)),""))</f>
        <v/>
      </c>
      <c r="AE451" s="84">
        <f>IF($A451="","",COUNTIFS(Task_Steps!$B$5:$B$2004,$A451,Task_Steps!$H$5:$H$2004,"&lt;&gt;Completed",Task_Steps!$H$5:$H$2004,"&lt;&gt;Cancelled"))</f>
        <v/>
      </c>
      <c r="AF451" s="81">
        <f>IF(OR($B451="",$A451=""),"",$B451&amp;" | "&amp;$A451)</f>
        <v/>
      </c>
    </row>
    <row r="452" ht="15" customHeight="1" s="40">
      <c r="A452" s="65">
        <f>IF(COUNTA(B452:F452)=0,"","TSK-"&amp;TEXT(ROW()-4,"0000"))</f>
        <v/>
      </c>
      <c r="B452" s="78" t="n"/>
      <c r="C452" s="78" t="n"/>
      <c r="D452" s="81" t="n"/>
      <c r="E452" s="81" t="n"/>
      <c r="F452" s="78" t="n"/>
      <c r="G452" s="67">
        <f>IF($F452="","",IFERROR(INDEX(Employee_Master!$C$5:$C$204,MATCH($F452,Employee_Master!$B$5:$B$204,0)),""))</f>
        <v/>
      </c>
      <c r="H452" s="78" t="n"/>
      <c r="I452" s="78" t="n"/>
      <c r="J452" s="67">
        <f>IF($I452="","",IFERROR(INDEX(Action_Status_Map!$B$5:$B$11,MATCH($I452,Action_Status_Map!$A$5:$A$11,0)),""))</f>
        <v/>
      </c>
      <c r="K452" s="82" t="n"/>
      <c r="L452" s="82" t="n"/>
      <c r="M452" s="82" t="n"/>
      <c r="N452" s="83" t="n"/>
      <c r="O452" s="83" t="n"/>
      <c r="P452" s="66">
        <f>IF(OR($N452="",$O452=""),"",$O452-$N452)</f>
        <v/>
      </c>
      <c r="Q452" s="84">
        <f>IF($K452="","",IF($M452&lt;&gt;"",$M452-$K452,TODAY()-$K452))</f>
        <v/>
      </c>
      <c r="R452" s="85">
        <f>IF(OR($L452="",$I452="Completed",$I452="Cancelled"),"",IF(AND($L452&lt;TODAY(),$I452&lt;&gt;"Completed",$I452&lt;&gt;"Cancelled"),"Overdue","On Track"))</f>
        <v/>
      </c>
      <c r="S452" s="65">
        <f>IF($L452="","",TEXT($L452,"yyyy-mm"))</f>
        <v/>
      </c>
      <c r="T452" s="86">
        <f>IF($I452="","",IFERROR(INDEX(Action_Status_Map!$C$5:$C$11,MATCH($I452,Action_Status_Map!$A$5:$A$11,0)),""))</f>
        <v/>
      </c>
      <c r="U452" s="81" t="n"/>
      <c r="V452" s="82" t="n"/>
      <c r="W452" s="65">
        <f>IF(OR($I452&lt;&gt;"Completed",$M452="",$L452=""),"",IF($M452&lt;=$L452,"Yes","No"))</f>
        <v/>
      </c>
      <c r="X452" s="84">
        <f>IF($A452="","",COUNTIF(Task_Steps!$B$5:$B$2004,$A452))</f>
        <v/>
      </c>
      <c r="Y452" s="86">
        <f>IF($X452=0,"",COUNTIFS(Task_Steps!$B$5:$B$2004,$A452,Task_Steps!$H$5:$H$2004,"Completed")/$X452)</f>
        <v/>
      </c>
      <c r="Z452" s="81" t="n"/>
      <c r="AA452" s="81" t="n"/>
      <c r="AB452" s="67">
        <f>IF($F452="","",IFERROR(INDEX(Employee_Master!$E$5:$E$204,MATCH($F452,Employee_Master!$B$5:$B$204,0)),""))</f>
        <v/>
      </c>
      <c r="AC452" s="65">
        <f>IF(OR($A452="",$AB452=""),"",IF(OR($I452="Completed",$I452="Cancelled"),"Closed - in Manager Report","Active - in Manager Report"))</f>
        <v/>
      </c>
      <c r="AD452" s="81">
        <f>IF($A452="","",IFERROR(TEXTJOIN(", ",TRUE,FILTER(Task_Steps!$A$5:$A$2004,Task_Steps!$B$5:$B$2004=$A452)),""))</f>
        <v/>
      </c>
      <c r="AE452" s="84">
        <f>IF($A452="","",COUNTIFS(Task_Steps!$B$5:$B$2004,$A452,Task_Steps!$H$5:$H$2004,"&lt;&gt;Completed",Task_Steps!$H$5:$H$2004,"&lt;&gt;Cancelled"))</f>
        <v/>
      </c>
      <c r="AF452" s="81">
        <f>IF(OR($B452="",$A452=""),"",$B452&amp;" | "&amp;$A452)</f>
        <v/>
      </c>
    </row>
    <row r="453" ht="15" customHeight="1" s="40">
      <c r="A453" s="65">
        <f>IF(COUNTA(B453:F453)=0,"","TSK-"&amp;TEXT(ROW()-4,"0000"))</f>
        <v/>
      </c>
      <c r="B453" s="78" t="n"/>
      <c r="C453" s="78" t="n"/>
      <c r="D453" s="81" t="n"/>
      <c r="E453" s="81" t="n"/>
      <c r="F453" s="78" t="n"/>
      <c r="G453" s="67">
        <f>IF($F453="","",IFERROR(INDEX(Employee_Master!$C$5:$C$204,MATCH($F453,Employee_Master!$B$5:$B$204,0)),""))</f>
        <v/>
      </c>
      <c r="H453" s="78" t="n"/>
      <c r="I453" s="78" t="n"/>
      <c r="J453" s="67">
        <f>IF($I453="","",IFERROR(INDEX(Action_Status_Map!$B$5:$B$11,MATCH($I453,Action_Status_Map!$A$5:$A$11,0)),""))</f>
        <v/>
      </c>
      <c r="K453" s="82" t="n"/>
      <c r="L453" s="82" t="n"/>
      <c r="M453" s="82" t="n"/>
      <c r="N453" s="83" t="n"/>
      <c r="O453" s="83" t="n"/>
      <c r="P453" s="66">
        <f>IF(OR($N453="",$O453=""),"",$O453-$N453)</f>
        <v/>
      </c>
      <c r="Q453" s="84">
        <f>IF($K453="","",IF($M453&lt;&gt;"",$M453-$K453,TODAY()-$K453))</f>
        <v/>
      </c>
      <c r="R453" s="85">
        <f>IF(OR($L453="",$I453="Completed",$I453="Cancelled"),"",IF(AND($L453&lt;TODAY(),$I453&lt;&gt;"Completed",$I453&lt;&gt;"Cancelled"),"Overdue","On Track"))</f>
        <v/>
      </c>
      <c r="S453" s="65">
        <f>IF($L453="","",TEXT($L453,"yyyy-mm"))</f>
        <v/>
      </c>
      <c r="T453" s="86">
        <f>IF($I453="","",IFERROR(INDEX(Action_Status_Map!$C$5:$C$11,MATCH($I453,Action_Status_Map!$A$5:$A$11,0)),""))</f>
        <v/>
      </c>
      <c r="U453" s="81" t="n"/>
      <c r="V453" s="82" t="n"/>
      <c r="W453" s="65">
        <f>IF(OR($I453&lt;&gt;"Completed",$M453="",$L453=""),"",IF($M453&lt;=$L453,"Yes","No"))</f>
        <v/>
      </c>
      <c r="X453" s="84">
        <f>IF($A453="","",COUNTIF(Task_Steps!$B$5:$B$2004,$A453))</f>
        <v/>
      </c>
      <c r="Y453" s="86">
        <f>IF($X453=0,"",COUNTIFS(Task_Steps!$B$5:$B$2004,$A453,Task_Steps!$H$5:$H$2004,"Completed")/$X453)</f>
        <v/>
      </c>
      <c r="Z453" s="81" t="n"/>
      <c r="AA453" s="81" t="n"/>
      <c r="AB453" s="67">
        <f>IF($F453="","",IFERROR(INDEX(Employee_Master!$E$5:$E$204,MATCH($F453,Employee_Master!$B$5:$B$204,0)),""))</f>
        <v/>
      </c>
      <c r="AC453" s="65">
        <f>IF(OR($A453="",$AB453=""),"",IF(OR($I453="Completed",$I453="Cancelled"),"Closed - in Manager Report","Active - in Manager Report"))</f>
        <v/>
      </c>
      <c r="AD453" s="81">
        <f>IF($A453="","",IFERROR(TEXTJOIN(", ",TRUE,FILTER(Task_Steps!$A$5:$A$2004,Task_Steps!$B$5:$B$2004=$A453)),""))</f>
        <v/>
      </c>
      <c r="AE453" s="84">
        <f>IF($A453="","",COUNTIFS(Task_Steps!$B$5:$B$2004,$A453,Task_Steps!$H$5:$H$2004,"&lt;&gt;Completed",Task_Steps!$H$5:$H$2004,"&lt;&gt;Cancelled"))</f>
        <v/>
      </c>
      <c r="AF453" s="81">
        <f>IF(OR($B453="",$A453=""),"",$B453&amp;" | "&amp;$A453)</f>
        <v/>
      </c>
    </row>
    <row r="454" ht="15" customHeight="1" s="40">
      <c r="A454" s="65">
        <f>IF(COUNTA(B454:F454)=0,"","TSK-"&amp;TEXT(ROW()-4,"0000"))</f>
        <v/>
      </c>
      <c r="B454" s="78" t="n"/>
      <c r="C454" s="78" t="n"/>
      <c r="D454" s="81" t="n"/>
      <c r="E454" s="81" t="n"/>
      <c r="F454" s="78" t="n"/>
      <c r="G454" s="67">
        <f>IF($F454="","",IFERROR(INDEX(Employee_Master!$C$5:$C$204,MATCH($F454,Employee_Master!$B$5:$B$204,0)),""))</f>
        <v/>
      </c>
      <c r="H454" s="78" t="n"/>
      <c r="I454" s="78" t="n"/>
      <c r="J454" s="67">
        <f>IF($I454="","",IFERROR(INDEX(Action_Status_Map!$B$5:$B$11,MATCH($I454,Action_Status_Map!$A$5:$A$11,0)),""))</f>
        <v/>
      </c>
      <c r="K454" s="82" t="n"/>
      <c r="L454" s="82" t="n"/>
      <c r="M454" s="82" t="n"/>
      <c r="N454" s="83" t="n"/>
      <c r="O454" s="83" t="n"/>
      <c r="P454" s="66">
        <f>IF(OR($N454="",$O454=""),"",$O454-$N454)</f>
        <v/>
      </c>
      <c r="Q454" s="84">
        <f>IF($K454="","",IF($M454&lt;&gt;"",$M454-$K454,TODAY()-$K454))</f>
        <v/>
      </c>
      <c r="R454" s="85">
        <f>IF(OR($L454="",$I454="Completed",$I454="Cancelled"),"",IF(AND($L454&lt;TODAY(),$I454&lt;&gt;"Completed",$I454&lt;&gt;"Cancelled"),"Overdue","On Track"))</f>
        <v/>
      </c>
      <c r="S454" s="65">
        <f>IF($L454="","",TEXT($L454,"yyyy-mm"))</f>
        <v/>
      </c>
      <c r="T454" s="86">
        <f>IF($I454="","",IFERROR(INDEX(Action_Status_Map!$C$5:$C$11,MATCH($I454,Action_Status_Map!$A$5:$A$11,0)),""))</f>
        <v/>
      </c>
      <c r="U454" s="81" t="n"/>
      <c r="V454" s="82" t="n"/>
      <c r="W454" s="65">
        <f>IF(OR($I454&lt;&gt;"Completed",$M454="",$L454=""),"",IF($M454&lt;=$L454,"Yes","No"))</f>
        <v/>
      </c>
      <c r="X454" s="84">
        <f>IF($A454="","",COUNTIF(Task_Steps!$B$5:$B$2004,$A454))</f>
        <v/>
      </c>
      <c r="Y454" s="86">
        <f>IF($X454=0,"",COUNTIFS(Task_Steps!$B$5:$B$2004,$A454,Task_Steps!$H$5:$H$2004,"Completed")/$X454)</f>
        <v/>
      </c>
      <c r="Z454" s="81" t="n"/>
      <c r="AA454" s="81" t="n"/>
      <c r="AB454" s="67">
        <f>IF($F454="","",IFERROR(INDEX(Employee_Master!$E$5:$E$204,MATCH($F454,Employee_Master!$B$5:$B$204,0)),""))</f>
        <v/>
      </c>
      <c r="AC454" s="65">
        <f>IF(OR($A454="",$AB454=""),"",IF(OR($I454="Completed",$I454="Cancelled"),"Closed - in Manager Report","Active - in Manager Report"))</f>
        <v/>
      </c>
      <c r="AD454" s="81">
        <f>IF($A454="","",IFERROR(TEXTJOIN(", ",TRUE,FILTER(Task_Steps!$A$5:$A$2004,Task_Steps!$B$5:$B$2004=$A454)),""))</f>
        <v/>
      </c>
      <c r="AE454" s="84">
        <f>IF($A454="","",COUNTIFS(Task_Steps!$B$5:$B$2004,$A454,Task_Steps!$H$5:$H$2004,"&lt;&gt;Completed",Task_Steps!$H$5:$H$2004,"&lt;&gt;Cancelled"))</f>
        <v/>
      </c>
      <c r="AF454" s="81">
        <f>IF(OR($B454="",$A454=""),"",$B454&amp;" | "&amp;$A454)</f>
        <v/>
      </c>
    </row>
    <row r="455" ht="15" customHeight="1" s="40">
      <c r="A455" s="65">
        <f>IF(COUNTA(B455:F455)=0,"","TSK-"&amp;TEXT(ROW()-4,"0000"))</f>
        <v/>
      </c>
      <c r="B455" s="78" t="n"/>
      <c r="C455" s="78" t="n"/>
      <c r="D455" s="81" t="n"/>
      <c r="E455" s="81" t="n"/>
      <c r="F455" s="78" t="n"/>
      <c r="G455" s="67">
        <f>IF($F455="","",IFERROR(INDEX(Employee_Master!$C$5:$C$204,MATCH($F455,Employee_Master!$B$5:$B$204,0)),""))</f>
        <v/>
      </c>
      <c r="H455" s="78" t="n"/>
      <c r="I455" s="78" t="n"/>
      <c r="J455" s="67">
        <f>IF($I455="","",IFERROR(INDEX(Action_Status_Map!$B$5:$B$11,MATCH($I455,Action_Status_Map!$A$5:$A$11,0)),""))</f>
        <v/>
      </c>
      <c r="K455" s="82" t="n"/>
      <c r="L455" s="82" t="n"/>
      <c r="M455" s="82" t="n"/>
      <c r="N455" s="83" t="n"/>
      <c r="O455" s="83" t="n"/>
      <c r="P455" s="66">
        <f>IF(OR($N455="",$O455=""),"",$O455-$N455)</f>
        <v/>
      </c>
      <c r="Q455" s="84">
        <f>IF($K455="","",IF($M455&lt;&gt;"",$M455-$K455,TODAY()-$K455))</f>
        <v/>
      </c>
      <c r="R455" s="85">
        <f>IF(OR($L455="",$I455="Completed",$I455="Cancelled"),"",IF(AND($L455&lt;TODAY(),$I455&lt;&gt;"Completed",$I455&lt;&gt;"Cancelled"),"Overdue","On Track"))</f>
        <v/>
      </c>
      <c r="S455" s="65">
        <f>IF($L455="","",TEXT($L455,"yyyy-mm"))</f>
        <v/>
      </c>
      <c r="T455" s="86">
        <f>IF($I455="","",IFERROR(INDEX(Action_Status_Map!$C$5:$C$11,MATCH($I455,Action_Status_Map!$A$5:$A$11,0)),""))</f>
        <v/>
      </c>
      <c r="U455" s="81" t="n"/>
      <c r="V455" s="82" t="n"/>
      <c r="W455" s="65">
        <f>IF(OR($I455&lt;&gt;"Completed",$M455="",$L455=""),"",IF($M455&lt;=$L455,"Yes","No"))</f>
        <v/>
      </c>
      <c r="X455" s="84">
        <f>IF($A455="","",COUNTIF(Task_Steps!$B$5:$B$2004,$A455))</f>
        <v/>
      </c>
      <c r="Y455" s="86">
        <f>IF($X455=0,"",COUNTIFS(Task_Steps!$B$5:$B$2004,$A455,Task_Steps!$H$5:$H$2004,"Completed")/$X455)</f>
        <v/>
      </c>
      <c r="Z455" s="81" t="n"/>
      <c r="AA455" s="81" t="n"/>
      <c r="AB455" s="67">
        <f>IF($F455="","",IFERROR(INDEX(Employee_Master!$E$5:$E$204,MATCH($F455,Employee_Master!$B$5:$B$204,0)),""))</f>
        <v/>
      </c>
      <c r="AC455" s="65">
        <f>IF(OR($A455="",$AB455=""),"",IF(OR($I455="Completed",$I455="Cancelled"),"Closed - in Manager Report","Active - in Manager Report"))</f>
        <v/>
      </c>
      <c r="AD455" s="81">
        <f>IF($A455="","",IFERROR(TEXTJOIN(", ",TRUE,FILTER(Task_Steps!$A$5:$A$2004,Task_Steps!$B$5:$B$2004=$A455)),""))</f>
        <v/>
      </c>
      <c r="AE455" s="84">
        <f>IF($A455="","",COUNTIFS(Task_Steps!$B$5:$B$2004,$A455,Task_Steps!$H$5:$H$2004,"&lt;&gt;Completed",Task_Steps!$H$5:$H$2004,"&lt;&gt;Cancelled"))</f>
        <v/>
      </c>
      <c r="AF455" s="81">
        <f>IF(OR($B455="",$A455=""),"",$B455&amp;" | "&amp;$A455)</f>
        <v/>
      </c>
    </row>
    <row r="456" ht="15" customHeight="1" s="40">
      <c r="A456" s="65">
        <f>IF(COUNTA(B456:F456)=0,"","TSK-"&amp;TEXT(ROW()-4,"0000"))</f>
        <v/>
      </c>
      <c r="B456" s="78" t="n"/>
      <c r="C456" s="78" t="n"/>
      <c r="D456" s="81" t="n"/>
      <c r="E456" s="81" t="n"/>
      <c r="F456" s="78" t="n"/>
      <c r="G456" s="67">
        <f>IF($F456="","",IFERROR(INDEX(Employee_Master!$C$5:$C$204,MATCH($F456,Employee_Master!$B$5:$B$204,0)),""))</f>
        <v/>
      </c>
      <c r="H456" s="78" t="n"/>
      <c r="I456" s="78" t="n"/>
      <c r="J456" s="67">
        <f>IF($I456="","",IFERROR(INDEX(Action_Status_Map!$B$5:$B$11,MATCH($I456,Action_Status_Map!$A$5:$A$11,0)),""))</f>
        <v/>
      </c>
      <c r="K456" s="82" t="n"/>
      <c r="L456" s="82" t="n"/>
      <c r="M456" s="82" t="n"/>
      <c r="N456" s="83" t="n"/>
      <c r="O456" s="83" t="n"/>
      <c r="P456" s="66">
        <f>IF(OR($N456="",$O456=""),"",$O456-$N456)</f>
        <v/>
      </c>
      <c r="Q456" s="84">
        <f>IF($K456="","",IF($M456&lt;&gt;"",$M456-$K456,TODAY()-$K456))</f>
        <v/>
      </c>
      <c r="R456" s="85">
        <f>IF(OR($L456="",$I456="Completed",$I456="Cancelled"),"",IF(AND($L456&lt;TODAY(),$I456&lt;&gt;"Completed",$I456&lt;&gt;"Cancelled"),"Overdue","On Track"))</f>
        <v/>
      </c>
      <c r="S456" s="65">
        <f>IF($L456="","",TEXT($L456,"yyyy-mm"))</f>
        <v/>
      </c>
      <c r="T456" s="86">
        <f>IF($I456="","",IFERROR(INDEX(Action_Status_Map!$C$5:$C$11,MATCH($I456,Action_Status_Map!$A$5:$A$11,0)),""))</f>
        <v/>
      </c>
      <c r="U456" s="81" t="n"/>
      <c r="V456" s="82" t="n"/>
      <c r="W456" s="65">
        <f>IF(OR($I456&lt;&gt;"Completed",$M456="",$L456=""),"",IF($M456&lt;=$L456,"Yes","No"))</f>
        <v/>
      </c>
      <c r="X456" s="84">
        <f>IF($A456="","",COUNTIF(Task_Steps!$B$5:$B$2004,$A456))</f>
        <v/>
      </c>
      <c r="Y456" s="86">
        <f>IF($X456=0,"",COUNTIFS(Task_Steps!$B$5:$B$2004,$A456,Task_Steps!$H$5:$H$2004,"Completed")/$X456)</f>
        <v/>
      </c>
      <c r="Z456" s="81" t="n"/>
      <c r="AA456" s="81" t="n"/>
      <c r="AB456" s="67">
        <f>IF($F456="","",IFERROR(INDEX(Employee_Master!$E$5:$E$204,MATCH($F456,Employee_Master!$B$5:$B$204,0)),""))</f>
        <v/>
      </c>
      <c r="AC456" s="65">
        <f>IF(OR($A456="",$AB456=""),"",IF(OR($I456="Completed",$I456="Cancelled"),"Closed - in Manager Report","Active - in Manager Report"))</f>
        <v/>
      </c>
      <c r="AD456" s="81">
        <f>IF($A456="","",IFERROR(TEXTJOIN(", ",TRUE,FILTER(Task_Steps!$A$5:$A$2004,Task_Steps!$B$5:$B$2004=$A456)),""))</f>
        <v/>
      </c>
      <c r="AE456" s="84">
        <f>IF($A456="","",COUNTIFS(Task_Steps!$B$5:$B$2004,$A456,Task_Steps!$H$5:$H$2004,"&lt;&gt;Completed",Task_Steps!$H$5:$H$2004,"&lt;&gt;Cancelled"))</f>
        <v/>
      </c>
      <c r="AF456" s="81">
        <f>IF(OR($B456="",$A456=""),"",$B456&amp;" | "&amp;$A456)</f>
        <v/>
      </c>
    </row>
    <row r="457" ht="15" customHeight="1" s="40">
      <c r="A457" s="65">
        <f>IF(COUNTA(B457:F457)=0,"","TSK-"&amp;TEXT(ROW()-4,"0000"))</f>
        <v/>
      </c>
      <c r="B457" s="78" t="n"/>
      <c r="C457" s="78" t="n"/>
      <c r="D457" s="81" t="n"/>
      <c r="E457" s="81" t="n"/>
      <c r="F457" s="78" t="n"/>
      <c r="G457" s="67">
        <f>IF($F457="","",IFERROR(INDEX(Employee_Master!$C$5:$C$204,MATCH($F457,Employee_Master!$B$5:$B$204,0)),""))</f>
        <v/>
      </c>
      <c r="H457" s="78" t="n"/>
      <c r="I457" s="78" t="n"/>
      <c r="J457" s="67">
        <f>IF($I457="","",IFERROR(INDEX(Action_Status_Map!$B$5:$B$11,MATCH($I457,Action_Status_Map!$A$5:$A$11,0)),""))</f>
        <v/>
      </c>
      <c r="K457" s="82" t="n"/>
      <c r="L457" s="82" t="n"/>
      <c r="M457" s="82" t="n"/>
      <c r="N457" s="83" t="n"/>
      <c r="O457" s="83" t="n"/>
      <c r="P457" s="66">
        <f>IF(OR($N457="",$O457=""),"",$O457-$N457)</f>
        <v/>
      </c>
      <c r="Q457" s="84">
        <f>IF($K457="","",IF($M457&lt;&gt;"",$M457-$K457,TODAY()-$K457))</f>
        <v/>
      </c>
      <c r="R457" s="85">
        <f>IF(OR($L457="",$I457="Completed",$I457="Cancelled"),"",IF(AND($L457&lt;TODAY(),$I457&lt;&gt;"Completed",$I457&lt;&gt;"Cancelled"),"Overdue","On Track"))</f>
        <v/>
      </c>
      <c r="S457" s="65">
        <f>IF($L457="","",TEXT($L457,"yyyy-mm"))</f>
        <v/>
      </c>
      <c r="T457" s="86">
        <f>IF($I457="","",IFERROR(INDEX(Action_Status_Map!$C$5:$C$11,MATCH($I457,Action_Status_Map!$A$5:$A$11,0)),""))</f>
        <v/>
      </c>
      <c r="U457" s="81" t="n"/>
      <c r="V457" s="82" t="n"/>
      <c r="W457" s="65">
        <f>IF(OR($I457&lt;&gt;"Completed",$M457="",$L457=""),"",IF($M457&lt;=$L457,"Yes","No"))</f>
        <v/>
      </c>
      <c r="X457" s="84">
        <f>IF($A457="","",COUNTIF(Task_Steps!$B$5:$B$2004,$A457))</f>
        <v/>
      </c>
      <c r="Y457" s="86">
        <f>IF($X457=0,"",COUNTIFS(Task_Steps!$B$5:$B$2004,$A457,Task_Steps!$H$5:$H$2004,"Completed")/$X457)</f>
        <v/>
      </c>
      <c r="Z457" s="81" t="n"/>
      <c r="AA457" s="81" t="n"/>
      <c r="AB457" s="67">
        <f>IF($F457="","",IFERROR(INDEX(Employee_Master!$E$5:$E$204,MATCH($F457,Employee_Master!$B$5:$B$204,0)),""))</f>
        <v/>
      </c>
      <c r="AC457" s="65">
        <f>IF(OR($A457="",$AB457=""),"",IF(OR($I457="Completed",$I457="Cancelled"),"Closed - in Manager Report","Active - in Manager Report"))</f>
        <v/>
      </c>
      <c r="AD457" s="81">
        <f>IF($A457="","",IFERROR(TEXTJOIN(", ",TRUE,FILTER(Task_Steps!$A$5:$A$2004,Task_Steps!$B$5:$B$2004=$A457)),""))</f>
        <v/>
      </c>
      <c r="AE457" s="84">
        <f>IF($A457="","",COUNTIFS(Task_Steps!$B$5:$B$2004,$A457,Task_Steps!$H$5:$H$2004,"&lt;&gt;Completed",Task_Steps!$H$5:$H$2004,"&lt;&gt;Cancelled"))</f>
        <v/>
      </c>
      <c r="AF457" s="81">
        <f>IF(OR($B457="",$A457=""),"",$B457&amp;" | "&amp;$A457)</f>
        <v/>
      </c>
    </row>
    <row r="458" ht="15" customHeight="1" s="40">
      <c r="A458" s="65">
        <f>IF(COUNTA(B458:F458)=0,"","TSK-"&amp;TEXT(ROW()-4,"0000"))</f>
        <v/>
      </c>
      <c r="B458" s="78" t="n"/>
      <c r="C458" s="78" t="n"/>
      <c r="D458" s="81" t="n"/>
      <c r="E458" s="81" t="n"/>
      <c r="F458" s="78" t="n"/>
      <c r="G458" s="67">
        <f>IF($F458="","",IFERROR(INDEX(Employee_Master!$C$5:$C$204,MATCH($F458,Employee_Master!$B$5:$B$204,0)),""))</f>
        <v/>
      </c>
      <c r="H458" s="78" t="n"/>
      <c r="I458" s="78" t="n"/>
      <c r="J458" s="67">
        <f>IF($I458="","",IFERROR(INDEX(Action_Status_Map!$B$5:$B$11,MATCH($I458,Action_Status_Map!$A$5:$A$11,0)),""))</f>
        <v/>
      </c>
      <c r="K458" s="82" t="n"/>
      <c r="L458" s="82" t="n"/>
      <c r="M458" s="82" t="n"/>
      <c r="N458" s="83" t="n"/>
      <c r="O458" s="83" t="n"/>
      <c r="P458" s="66">
        <f>IF(OR($N458="",$O458=""),"",$O458-$N458)</f>
        <v/>
      </c>
      <c r="Q458" s="84">
        <f>IF($K458="","",IF($M458&lt;&gt;"",$M458-$K458,TODAY()-$K458))</f>
        <v/>
      </c>
      <c r="R458" s="85">
        <f>IF(OR($L458="",$I458="Completed",$I458="Cancelled"),"",IF(AND($L458&lt;TODAY(),$I458&lt;&gt;"Completed",$I458&lt;&gt;"Cancelled"),"Overdue","On Track"))</f>
        <v/>
      </c>
      <c r="S458" s="65">
        <f>IF($L458="","",TEXT($L458,"yyyy-mm"))</f>
        <v/>
      </c>
      <c r="T458" s="86">
        <f>IF($I458="","",IFERROR(INDEX(Action_Status_Map!$C$5:$C$11,MATCH($I458,Action_Status_Map!$A$5:$A$11,0)),""))</f>
        <v/>
      </c>
      <c r="U458" s="81" t="n"/>
      <c r="V458" s="82" t="n"/>
      <c r="W458" s="65">
        <f>IF(OR($I458&lt;&gt;"Completed",$M458="",$L458=""),"",IF($M458&lt;=$L458,"Yes","No"))</f>
        <v/>
      </c>
      <c r="X458" s="84">
        <f>IF($A458="","",COUNTIF(Task_Steps!$B$5:$B$2004,$A458))</f>
        <v/>
      </c>
      <c r="Y458" s="86">
        <f>IF($X458=0,"",COUNTIFS(Task_Steps!$B$5:$B$2004,$A458,Task_Steps!$H$5:$H$2004,"Completed")/$X458)</f>
        <v/>
      </c>
      <c r="Z458" s="81" t="n"/>
      <c r="AA458" s="81" t="n"/>
      <c r="AB458" s="67">
        <f>IF($F458="","",IFERROR(INDEX(Employee_Master!$E$5:$E$204,MATCH($F458,Employee_Master!$B$5:$B$204,0)),""))</f>
        <v/>
      </c>
      <c r="AC458" s="65">
        <f>IF(OR($A458="",$AB458=""),"",IF(OR($I458="Completed",$I458="Cancelled"),"Closed - in Manager Report","Active - in Manager Report"))</f>
        <v/>
      </c>
      <c r="AD458" s="81">
        <f>IF($A458="","",IFERROR(TEXTJOIN(", ",TRUE,FILTER(Task_Steps!$A$5:$A$2004,Task_Steps!$B$5:$B$2004=$A458)),""))</f>
        <v/>
      </c>
      <c r="AE458" s="84">
        <f>IF($A458="","",COUNTIFS(Task_Steps!$B$5:$B$2004,$A458,Task_Steps!$H$5:$H$2004,"&lt;&gt;Completed",Task_Steps!$H$5:$H$2004,"&lt;&gt;Cancelled"))</f>
        <v/>
      </c>
      <c r="AF458" s="81">
        <f>IF(OR($B458="",$A458=""),"",$B458&amp;" | "&amp;$A458)</f>
        <v/>
      </c>
    </row>
    <row r="459" ht="15" customHeight="1" s="40">
      <c r="A459" s="65">
        <f>IF(COUNTA(B459:F459)=0,"","TSK-"&amp;TEXT(ROW()-4,"0000"))</f>
        <v/>
      </c>
      <c r="B459" s="78" t="n"/>
      <c r="C459" s="78" t="n"/>
      <c r="D459" s="81" t="n"/>
      <c r="E459" s="81" t="n"/>
      <c r="F459" s="78" t="n"/>
      <c r="G459" s="67">
        <f>IF($F459="","",IFERROR(INDEX(Employee_Master!$C$5:$C$204,MATCH($F459,Employee_Master!$B$5:$B$204,0)),""))</f>
        <v/>
      </c>
      <c r="H459" s="78" t="n"/>
      <c r="I459" s="78" t="n"/>
      <c r="J459" s="67">
        <f>IF($I459="","",IFERROR(INDEX(Action_Status_Map!$B$5:$B$11,MATCH($I459,Action_Status_Map!$A$5:$A$11,0)),""))</f>
        <v/>
      </c>
      <c r="K459" s="82" t="n"/>
      <c r="L459" s="82" t="n"/>
      <c r="M459" s="82" t="n"/>
      <c r="N459" s="83" t="n"/>
      <c r="O459" s="83" t="n"/>
      <c r="P459" s="66">
        <f>IF(OR($N459="",$O459=""),"",$O459-$N459)</f>
        <v/>
      </c>
      <c r="Q459" s="84">
        <f>IF($K459="","",IF($M459&lt;&gt;"",$M459-$K459,TODAY()-$K459))</f>
        <v/>
      </c>
      <c r="R459" s="85">
        <f>IF(OR($L459="",$I459="Completed",$I459="Cancelled"),"",IF(AND($L459&lt;TODAY(),$I459&lt;&gt;"Completed",$I459&lt;&gt;"Cancelled"),"Overdue","On Track"))</f>
        <v/>
      </c>
      <c r="S459" s="65">
        <f>IF($L459="","",TEXT($L459,"yyyy-mm"))</f>
        <v/>
      </c>
      <c r="T459" s="86">
        <f>IF($I459="","",IFERROR(INDEX(Action_Status_Map!$C$5:$C$11,MATCH($I459,Action_Status_Map!$A$5:$A$11,0)),""))</f>
        <v/>
      </c>
      <c r="U459" s="81" t="n"/>
      <c r="V459" s="82" t="n"/>
      <c r="W459" s="65">
        <f>IF(OR($I459&lt;&gt;"Completed",$M459="",$L459=""),"",IF($M459&lt;=$L459,"Yes","No"))</f>
        <v/>
      </c>
      <c r="X459" s="84">
        <f>IF($A459="","",COUNTIF(Task_Steps!$B$5:$B$2004,$A459))</f>
        <v/>
      </c>
      <c r="Y459" s="86">
        <f>IF($X459=0,"",COUNTIFS(Task_Steps!$B$5:$B$2004,$A459,Task_Steps!$H$5:$H$2004,"Completed")/$X459)</f>
        <v/>
      </c>
      <c r="Z459" s="81" t="n"/>
      <c r="AA459" s="81" t="n"/>
      <c r="AB459" s="67">
        <f>IF($F459="","",IFERROR(INDEX(Employee_Master!$E$5:$E$204,MATCH($F459,Employee_Master!$B$5:$B$204,0)),""))</f>
        <v/>
      </c>
      <c r="AC459" s="65">
        <f>IF(OR($A459="",$AB459=""),"",IF(OR($I459="Completed",$I459="Cancelled"),"Closed - in Manager Report","Active - in Manager Report"))</f>
        <v/>
      </c>
      <c r="AD459" s="81">
        <f>IF($A459="","",IFERROR(TEXTJOIN(", ",TRUE,FILTER(Task_Steps!$A$5:$A$2004,Task_Steps!$B$5:$B$2004=$A459)),""))</f>
        <v/>
      </c>
      <c r="AE459" s="84">
        <f>IF($A459="","",COUNTIFS(Task_Steps!$B$5:$B$2004,$A459,Task_Steps!$H$5:$H$2004,"&lt;&gt;Completed",Task_Steps!$H$5:$H$2004,"&lt;&gt;Cancelled"))</f>
        <v/>
      </c>
      <c r="AF459" s="81">
        <f>IF(OR($B459="",$A459=""),"",$B459&amp;" | "&amp;$A459)</f>
        <v/>
      </c>
    </row>
    <row r="460" ht="15" customHeight="1" s="40">
      <c r="A460" s="65">
        <f>IF(COUNTA(B460:F460)=0,"","TSK-"&amp;TEXT(ROW()-4,"0000"))</f>
        <v/>
      </c>
      <c r="B460" s="78" t="n"/>
      <c r="C460" s="78" t="n"/>
      <c r="D460" s="81" t="n"/>
      <c r="E460" s="81" t="n"/>
      <c r="F460" s="78" t="n"/>
      <c r="G460" s="67">
        <f>IF($F460="","",IFERROR(INDEX(Employee_Master!$C$5:$C$204,MATCH($F460,Employee_Master!$B$5:$B$204,0)),""))</f>
        <v/>
      </c>
      <c r="H460" s="78" t="n"/>
      <c r="I460" s="78" t="n"/>
      <c r="J460" s="67">
        <f>IF($I460="","",IFERROR(INDEX(Action_Status_Map!$B$5:$B$11,MATCH($I460,Action_Status_Map!$A$5:$A$11,0)),""))</f>
        <v/>
      </c>
      <c r="K460" s="82" t="n"/>
      <c r="L460" s="82" t="n"/>
      <c r="M460" s="82" t="n"/>
      <c r="N460" s="83" t="n"/>
      <c r="O460" s="83" t="n"/>
      <c r="P460" s="66">
        <f>IF(OR($N460="",$O460=""),"",$O460-$N460)</f>
        <v/>
      </c>
      <c r="Q460" s="84">
        <f>IF($K460="","",IF($M460&lt;&gt;"",$M460-$K460,TODAY()-$K460))</f>
        <v/>
      </c>
      <c r="R460" s="85">
        <f>IF(OR($L460="",$I460="Completed",$I460="Cancelled"),"",IF(AND($L460&lt;TODAY(),$I460&lt;&gt;"Completed",$I460&lt;&gt;"Cancelled"),"Overdue","On Track"))</f>
        <v/>
      </c>
      <c r="S460" s="65">
        <f>IF($L460="","",TEXT($L460,"yyyy-mm"))</f>
        <v/>
      </c>
      <c r="T460" s="86">
        <f>IF($I460="","",IFERROR(INDEX(Action_Status_Map!$C$5:$C$11,MATCH($I460,Action_Status_Map!$A$5:$A$11,0)),""))</f>
        <v/>
      </c>
      <c r="U460" s="81" t="n"/>
      <c r="V460" s="82" t="n"/>
      <c r="W460" s="65">
        <f>IF(OR($I460&lt;&gt;"Completed",$M460="",$L460=""),"",IF($M460&lt;=$L460,"Yes","No"))</f>
        <v/>
      </c>
      <c r="X460" s="84">
        <f>IF($A460="","",COUNTIF(Task_Steps!$B$5:$B$2004,$A460))</f>
        <v/>
      </c>
      <c r="Y460" s="86">
        <f>IF($X460=0,"",COUNTIFS(Task_Steps!$B$5:$B$2004,$A460,Task_Steps!$H$5:$H$2004,"Completed")/$X460)</f>
        <v/>
      </c>
      <c r="Z460" s="81" t="n"/>
      <c r="AA460" s="81" t="n"/>
      <c r="AB460" s="67">
        <f>IF($F460="","",IFERROR(INDEX(Employee_Master!$E$5:$E$204,MATCH($F460,Employee_Master!$B$5:$B$204,0)),""))</f>
        <v/>
      </c>
      <c r="AC460" s="65">
        <f>IF(OR($A460="",$AB460=""),"",IF(OR($I460="Completed",$I460="Cancelled"),"Closed - in Manager Report","Active - in Manager Report"))</f>
        <v/>
      </c>
      <c r="AD460" s="81">
        <f>IF($A460="","",IFERROR(TEXTJOIN(", ",TRUE,FILTER(Task_Steps!$A$5:$A$2004,Task_Steps!$B$5:$B$2004=$A460)),""))</f>
        <v/>
      </c>
      <c r="AE460" s="84">
        <f>IF($A460="","",COUNTIFS(Task_Steps!$B$5:$B$2004,$A460,Task_Steps!$H$5:$H$2004,"&lt;&gt;Completed",Task_Steps!$H$5:$H$2004,"&lt;&gt;Cancelled"))</f>
        <v/>
      </c>
      <c r="AF460" s="81">
        <f>IF(OR($B460="",$A460=""),"",$B460&amp;" | "&amp;$A460)</f>
        <v/>
      </c>
    </row>
    <row r="461" ht="15" customHeight="1" s="40">
      <c r="A461" s="65">
        <f>IF(COUNTA(B461:F461)=0,"","TSK-"&amp;TEXT(ROW()-4,"0000"))</f>
        <v/>
      </c>
      <c r="B461" s="78" t="n"/>
      <c r="C461" s="78" t="n"/>
      <c r="D461" s="81" t="n"/>
      <c r="E461" s="81" t="n"/>
      <c r="F461" s="78" t="n"/>
      <c r="G461" s="67">
        <f>IF($F461="","",IFERROR(INDEX(Employee_Master!$C$5:$C$204,MATCH($F461,Employee_Master!$B$5:$B$204,0)),""))</f>
        <v/>
      </c>
      <c r="H461" s="78" t="n"/>
      <c r="I461" s="78" t="n"/>
      <c r="J461" s="67">
        <f>IF($I461="","",IFERROR(INDEX(Action_Status_Map!$B$5:$B$11,MATCH($I461,Action_Status_Map!$A$5:$A$11,0)),""))</f>
        <v/>
      </c>
      <c r="K461" s="82" t="n"/>
      <c r="L461" s="82" t="n"/>
      <c r="M461" s="82" t="n"/>
      <c r="N461" s="83" t="n"/>
      <c r="O461" s="83" t="n"/>
      <c r="P461" s="66">
        <f>IF(OR($N461="",$O461=""),"",$O461-$N461)</f>
        <v/>
      </c>
      <c r="Q461" s="84">
        <f>IF($K461="","",IF($M461&lt;&gt;"",$M461-$K461,TODAY()-$K461))</f>
        <v/>
      </c>
      <c r="R461" s="85">
        <f>IF(OR($L461="",$I461="Completed",$I461="Cancelled"),"",IF(AND($L461&lt;TODAY(),$I461&lt;&gt;"Completed",$I461&lt;&gt;"Cancelled"),"Overdue","On Track"))</f>
        <v/>
      </c>
      <c r="S461" s="65">
        <f>IF($L461="","",TEXT($L461,"yyyy-mm"))</f>
        <v/>
      </c>
      <c r="T461" s="86">
        <f>IF($I461="","",IFERROR(INDEX(Action_Status_Map!$C$5:$C$11,MATCH($I461,Action_Status_Map!$A$5:$A$11,0)),""))</f>
        <v/>
      </c>
      <c r="U461" s="81" t="n"/>
      <c r="V461" s="82" t="n"/>
      <c r="W461" s="65">
        <f>IF(OR($I461&lt;&gt;"Completed",$M461="",$L461=""),"",IF($M461&lt;=$L461,"Yes","No"))</f>
        <v/>
      </c>
      <c r="X461" s="84">
        <f>IF($A461="","",COUNTIF(Task_Steps!$B$5:$B$2004,$A461))</f>
        <v/>
      </c>
      <c r="Y461" s="86">
        <f>IF($X461=0,"",COUNTIFS(Task_Steps!$B$5:$B$2004,$A461,Task_Steps!$H$5:$H$2004,"Completed")/$X461)</f>
        <v/>
      </c>
      <c r="Z461" s="81" t="n"/>
      <c r="AA461" s="81" t="n"/>
      <c r="AB461" s="67">
        <f>IF($F461="","",IFERROR(INDEX(Employee_Master!$E$5:$E$204,MATCH($F461,Employee_Master!$B$5:$B$204,0)),""))</f>
        <v/>
      </c>
      <c r="AC461" s="65">
        <f>IF(OR($A461="",$AB461=""),"",IF(OR($I461="Completed",$I461="Cancelled"),"Closed - in Manager Report","Active - in Manager Report"))</f>
        <v/>
      </c>
      <c r="AD461" s="81">
        <f>IF($A461="","",IFERROR(TEXTJOIN(", ",TRUE,FILTER(Task_Steps!$A$5:$A$2004,Task_Steps!$B$5:$B$2004=$A461)),""))</f>
        <v/>
      </c>
      <c r="AE461" s="84">
        <f>IF($A461="","",COUNTIFS(Task_Steps!$B$5:$B$2004,$A461,Task_Steps!$H$5:$H$2004,"&lt;&gt;Completed",Task_Steps!$H$5:$H$2004,"&lt;&gt;Cancelled"))</f>
        <v/>
      </c>
      <c r="AF461" s="81">
        <f>IF(OR($B461="",$A461=""),"",$B461&amp;" | "&amp;$A461)</f>
        <v/>
      </c>
    </row>
    <row r="462" ht="15" customHeight="1" s="40">
      <c r="A462" s="65">
        <f>IF(COUNTA(B462:F462)=0,"","TSK-"&amp;TEXT(ROW()-4,"0000"))</f>
        <v/>
      </c>
      <c r="B462" s="78" t="n"/>
      <c r="C462" s="78" t="n"/>
      <c r="D462" s="81" t="n"/>
      <c r="E462" s="81" t="n"/>
      <c r="F462" s="78" t="n"/>
      <c r="G462" s="67">
        <f>IF($F462="","",IFERROR(INDEX(Employee_Master!$C$5:$C$204,MATCH($F462,Employee_Master!$B$5:$B$204,0)),""))</f>
        <v/>
      </c>
      <c r="H462" s="78" t="n"/>
      <c r="I462" s="78" t="n"/>
      <c r="J462" s="67">
        <f>IF($I462="","",IFERROR(INDEX(Action_Status_Map!$B$5:$B$11,MATCH($I462,Action_Status_Map!$A$5:$A$11,0)),""))</f>
        <v/>
      </c>
      <c r="K462" s="82" t="n"/>
      <c r="L462" s="82" t="n"/>
      <c r="M462" s="82" t="n"/>
      <c r="N462" s="83" t="n"/>
      <c r="O462" s="83" t="n"/>
      <c r="P462" s="66">
        <f>IF(OR($N462="",$O462=""),"",$O462-$N462)</f>
        <v/>
      </c>
      <c r="Q462" s="84">
        <f>IF($K462="","",IF($M462&lt;&gt;"",$M462-$K462,TODAY()-$K462))</f>
        <v/>
      </c>
      <c r="R462" s="85">
        <f>IF(OR($L462="",$I462="Completed",$I462="Cancelled"),"",IF(AND($L462&lt;TODAY(),$I462&lt;&gt;"Completed",$I462&lt;&gt;"Cancelled"),"Overdue","On Track"))</f>
        <v/>
      </c>
      <c r="S462" s="65">
        <f>IF($L462="","",TEXT($L462,"yyyy-mm"))</f>
        <v/>
      </c>
      <c r="T462" s="86">
        <f>IF($I462="","",IFERROR(INDEX(Action_Status_Map!$C$5:$C$11,MATCH($I462,Action_Status_Map!$A$5:$A$11,0)),""))</f>
        <v/>
      </c>
      <c r="U462" s="81" t="n"/>
      <c r="V462" s="82" t="n"/>
      <c r="W462" s="65">
        <f>IF(OR($I462&lt;&gt;"Completed",$M462="",$L462=""),"",IF($M462&lt;=$L462,"Yes","No"))</f>
        <v/>
      </c>
      <c r="X462" s="84">
        <f>IF($A462="","",COUNTIF(Task_Steps!$B$5:$B$2004,$A462))</f>
        <v/>
      </c>
      <c r="Y462" s="86">
        <f>IF($X462=0,"",COUNTIFS(Task_Steps!$B$5:$B$2004,$A462,Task_Steps!$H$5:$H$2004,"Completed")/$X462)</f>
        <v/>
      </c>
      <c r="Z462" s="81" t="n"/>
      <c r="AA462" s="81" t="n"/>
      <c r="AB462" s="67">
        <f>IF($F462="","",IFERROR(INDEX(Employee_Master!$E$5:$E$204,MATCH($F462,Employee_Master!$B$5:$B$204,0)),""))</f>
        <v/>
      </c>
      <c r="AC462" s="65">
        <f>IF(OR($A462="",$AB462=""),"",IF(OR($I462="Completed",$I462="Cancelled"),"Closed - in Manager Report","Active - in Manager Report"))</f>
        <v/>
      </c>
      <c r="AD462" s="81">
        <f>IF($A462="","",IFERROR(TEXTJOIN(", ",TRUE,FILTER(Task_Steps!$A$5:$A$2004,Task_Steps!$B$5:$B$2004=$A462)),""))</f>
        <v/>
      </c>
      <c r="AE462" s="84">
        <f>IF($A462="","",COUNTIFS(Task_Steps!$B$5:$B$2004,$A462,Task_Steps!$H$5:$H$2004,"&lt;&gt;Completed",Task_Steps!$H$5:$H$2004,"&lt;&gt;Cancelled"))</f>
        <v/>
      </c>
      <c r="AF462" s="81">
        <f>IF(OR($B462="",$A462=""),"",$B462&amp;" | "&amp;$A462)</f>
        <v/>
      </c>
    </row>
    <row r="463" ht="15" customHeight="1" s="40">
      <c r="A463" s="65">
        <f>IF(COUNTA(B463:F463)=0,"","TSK-"&amp;TEXT(ROW()-4,"0000"))</f>
        <v/>
      </c>
      <c r="B463" s="78" t="n"/>
      <c r="C463" s="78" t="n"/>
      <c r="D463" s="81" t="n"/>
      <c r="E463" s="81" t="n"/>
      <c r="F463" s="78" t="n"/>
      <c r="G463" s="67">
        <f>IF($F463="","",IFERROR(INDEX(Employee_Master!$C$5:$C$204,MATCH($F463,Employee_Master!$B$5:$B$204,0)),""))</f>
        <v/>
      </c>
      <c r="H463" s="78" t="n"/>
      <c r="I463" s="78" t="n"/>
      <c r="J463" s="67">
        <f>IF($I463="","",IFERROR(INDEX(Action_Status_Map!$B$5:$B$11,MATCH($I463,Action_Status_Map!$A$5:$A$11,0)),""))</f>
        <v/>
      </c>
      <c r="K463" s="82" t="n"/>
      <c r="L463" s="82" t="n"/>
      <c r="M463" s="82" t="n"/>
      <c r="N463" s="83" t="n"/>
      <c r="O463" s="83" t="n"/>
      <c r="P463" s="66">
        <f>IF(OR($N463="",$O463=""),"",$O463-$N463)</f>
        <v/>
      </c>
      <c r="Q463" s="84">
        <f>IF($K463="","",IF($M463&lt;&gt;"",$M463-$K463,TODAY()-$K463))</f>
        <v/>
      </c>
      <c r="R463" s="85">
        <f>IF(OR($L463="",$I463="Completed",$I463="Cancelled"),"",IF(AND($L463&lt;TODAY(),$I463&lt;&gt;"Completed",$I463&lt;&gt;"Cancelled"),"Overdue","On Track"))</f>
        <v/>
      </c>
      <c r="S463" s="65">
        <f>IF($L463="","",TEXT($L463,"yyyy-mm"))</f>
        <v/>
      </c>
      <c r="T463" s="86">
        <f>IF($I463="","",IFERROR(INDEX(Action_Status_Map!$C$5:$C$11,MATCH($I463,Action_Status_Map!$A$5:$A$11,0)),""))</f>
        <v/>
      </c>
      <c r="U463" s="81" t="n"/>
      <c r="V463" s="82" t="n"/>
      <c r="W463" s="65">
        <f>IF(OR($I463&lt;&gt;"Completed",$M463="",$L463=""),"",IF($M463&lt;=$L463,"Yes","No"))</f>
        <v/>
      </c>
      <c r="X463" s="84">
        <f>IF($A463="","",COUNTIF(Task_Steps!$B$5:$B$2004,$A463))</f>
        <v/>
      </c>
      <c r="Y463" s="86">
        <f>IF($X463=0,"",COUNTIFS(Task_Steps!$B$5:$B$2004,$A463,Task_Steps!$H$5:$H$2004,"Completed")/$X463)</f>
        <v/>
      </c>
      <c r="Z463" s="81" t="n"/>
      <c r="AA463" s="81" t="n"/>
      <c r="AB463" s="67">
        <f>IF($F463="","",IFERROR(INDEX(Employee_Master!$E$5:$E$204,MATCH($F463,Employee_Master!$B$5:$B$204,0)),""))</f>
        <v/>
      </c>
      <c r="AC463" s="65">
        <f>IF(OR($A463="",$AB463=""),"",IF(OR($I463="Completed",$I463="Cancelled"),"Closed - in Manager Report","Active - in Manager Report"))</f>
        <v/>
      </c>
      <c r="AD463" s="81">
        <f>IF($A463="","",IFERROR(TEXTJOIN(", ",TRUE,FILTER(Task_Steps!$A$5:$A$2004,Task_Steps!$B$5:$B$2004=$A463)),""))</f>
        <v/>
      </c>
      <c r="AE463" s="84">
        <f>IF($A463="","",COUNTIFS(Task_Steps!$B$5:$B$2004,$A463,Task_Steps!$H$5:$H$2004,"&lt;&gt;Completed",Task_Steps!$H$5:$H$2004,"&lt;&gt;Cancelled"))</f>
        <v/>
      </c>
      <c r="AF463" s="81">
        <f>IF(OR($B463="",$A463=""),"",$B463&amp;" | "&amp;$A463)</f>
        <v/>
      </c>
    </row>
    <row r="464" ht="15" customHeight="1" s="40">
      <c r="A464" s="65">
        <f>IF(COUNTA(B464:F464)=0,"","TSK-"&amp;TEXT(ROW()-4,"0000"))</f>
        <v/>
      </c>
      <c r="B464" s="78" t="n"/>
      <c r="C464" s="78" t="n"/>
      <c r="D464" s="81" t="n"/>
      <c r="E464" s="81" t="n"/>
      <c r="F464" s="78" t="n"/>
      <c r="G464" s="67">
        <f>IF($F464="","",IFERROR(INDEX(Employee_Master!$C$5:$C$204,MATCH($F464,Employee_Master!$B$5:$B$204,0)),""))</f>
        <v/>
      </c>
      <c r="H464" s="78" t="n"/>
      <c r="I464" s="78" t="n"/>
      <c r="J464" s="67">
        <f>IF($I464="","",IFERROR(INDEX(Action_Status_Map!$B$5:$B$11,MATCH($I464,Action_Status_Map!$A$5:$A$11,0)),""))</f>
        <v/>
      </c>
      <c r="K464" s="82" t="n"/>
      <c r="L464" s="82" t="n"/>
      <c r="M464" s="82" t="n"/>
      <c r="N464" s="83" t="n"/>
      <c r="O464" s="83" t="n"/>
      <c r="P464" s="66">
        <f>IF(OR($N464="",$O464=""),"",$O464-$N464)</f>
        <v/>
      </c>
      <c r="Q464" s="84">
        <f>IF($K464="","",IF($M464&lt;&gt;"",$M464-$K464,TODAY()-$K464))</f>
        <v/>
      </c>
      <c r="R464" s="85">
        <f>IF(OR($L464="",$I464="Completed",$I464="Cancelled"),"",IF(AND($L464&lt;TODAY(),$I464&lt;&gt;"Completed",$I464&lt;&gt;"Cancelled"),"Overdue","On Track"))</f>
        <v/>
      </c>
      <c r="S464" s="65">
        <f>IF($L464="","",TEXT($L464,"yyyy-mm"))</f>
        <v/>
      </c>
      <c r="T464" s="86">
        <f>IF($I464="","",IFERROR(INDEX(Action_Status_Map!$C$5:$C$11,MATCH($I464,Action_Status_Map!$A$5:$A$11,0)),""))</f>
        <v/>
      </c>
      <c r="U464" s="81" t="n"/>
      <c r="V464" s="82" t="n"/>
      <c r="W464" s="65">
        <f>IF(OR($I464&lt;&gt;"Completed",$M464="",$L464=""),"",IF($M464&lt;=$L464,"Yes","No"))</f>
        <v/>
      </c>
      <c r="X464" s="84">
        <f>IF($A464="","",COUNTIF(Task_Steps!$B$5:$B$2004,$A464))</f>
        <v/>
      </c>
      <c r="Y464" s="86">
        <f>IF($X464=0,"",COUNTIFS(Task_Steps!$B$5:$B$2004,$A464,Task_Steps!$H$5:$H$2004,"Completed")/$X464)</f>
        <v/>
      </c>
      <c r="Z464" s="81" t="n"/>
      <c r="AA464" s="81" t="n"/>
      <c r="AB464" s="67">
        <f>IF($F464="","",IFERROR(INDEX(Employee_Master!$E$5:$E$204,MATCH($F464,Employee_Master!$B$5:$B$204,0)),""))</f>
        <v/>
      </c>
      <c r="AC464" s="65">
        <f>IF(OR($A464="",$AB464=""),"",IF(OR($I464="Completed",$I464="Cancelled"),"Closed - in Manager Report","Active - in Manager Report"))</f>
        <v/>
      </c>
      <c r="AD464" s="81">
        <f>IF($A464="","",IFERROR(TEXTJOIN(", ",TRUE,FILTER(Task_Steps!$A$5:$A$2004,Task_Steps!$B$5:$B$2004=$A464)),""))</f>
        <v/>
      </c>
      <c r="AE464" s="84">
        <f>IF($A464="","",COUNTIFS(Task_Steps!$B$5:$B$2004,$A464,Task_Steps!$H$5:$H$2004,"&lt;&gt;Completed",Task_Steps!$H$5:$H$2004,"&lt;&gt;Cancelled"))</f>
        <v/>
      </c>
      <c r="AF464" s="81">
        <f>IF(OR($B464="",$A464=""),"",$B464&amp;" | "&amp;$A464)</f>
        <v/>
      </c>
    </row>
    <row r="465" ht="15" customHeight="1" s="40">
      <c r="A465" s="65">
        <f>IF(COUNTA(B465:F465)=0,"","TSK-"&amp;TEXT(ROW()-4,"0000"))</f>
        <v/>
      </c>
      <c r="B465" s="78" t="n"/>
      <c r="C465" s="78" t="n"/>
      <c r="D465" s="81" t="n"/>
      <c r="E465" s="81" t="n"/>
      <c r="F465" s="78" t="n"/>
      <c r="G465" s="67">
        <f>IF($F465="","",IFERROR(INDEX(Employee_Master!$C$5:$C$204,MATCH($F465,Employee_Master!$B$5:$B$204,0)),""))</f>
        <v/>
      </c>
      <c r="H465" s="78" t="n"/>
      <c r="I465" s="78" t="n"/>
      <c r="J465" s="67">
        <f>IF($I465="","",IFERROR(INDEX(Action_Status_Map!$B$5:$B$11,MATCH($I465,Action_Status_Map!$A$5:$A$11,0)),""))</f>
        <v/>
      </c>
      <c r="K465" s="82" t="n"/>
      <c r="L465" s="82" t="n"/>
      <c r="M465" s="82" t="n"/>
      <c r="N465" s="83" t="n"/>
      <c r="O465" s="83" t="n"/>
      <c r="P465" s="66">
        <f>IF(OR($N465="",$O465=""),"",$O465-$N465)</f>
        <v/>
      </c>
      <c r="Q465" s="84">
        <f>IF($K465="","",IF($M465&lt;&gt;"",$M465-$K465,TODAY()-$K465))</f>
        <v/>
      </c>
      <c r="R465" s="85">
        <f>IF(OR($L465="",$I465="Completed",$I465="Cancelled"),"",IF(AND($L465&lt;TODAY(),$I465&lt;&gt;"Completed",$I465&lt;&gt;"Cancelled"),"Overdue","On Track"))</f>
        <v/>
      </c>
      <c r="S465" s="65">
        <f>IF($L465="","",TEXT($L465,"yyyy-mm"))</f>
        <v/>
      </c>
      <c r="T465" s="86">
        <f>IF($I465="","",IFERROR(INDEX(Action_Status_Map!$C$5:$C$11,MATCH($I465,Action_Status_Map!$A$5:$A$11,0)),""))</f>
        <v/>
      </c>
      <c r="U465" s="81" t="n"/>
      <c r="V465" s="82" t="n"/>
      <c r="W465" s="65">
        <f>IF(OR($I465&lt;&gt;"Completed",$M465="",$L465=""),"",IF($M465&lt;=$L465,"Yes","No"))</f>
        <v/>
      </c>
      <c r="X465" s="84">
        <f>IF($A465="","",COUNTIF(Task_Steps!$B$5:$B$2004,$A465))</f>
        <v/>
      </c>
      <c r="Y465" s="86">
        <f>IF($X465=0,"",COUNTIFS(Task_Steps!$B$5:$B$2004,$A465,Task_Steps!$H$5:$H$2004,"Completed")/$X465)</f>
        <v/>
      </c>
      <c r="Z465" s="81" t="n"/>
      <c r="AA465" s="81" t="n"/>
      <c r="AB465" s="67">
        <f>IF($F465="","",IFERROR(INDEX(Employee_Master!$E$5:$E$204,MATCH($F465,Employee_Master!$B$5:$B$204,0)),""))</f>
        <v/>
      </c>
      <c r="AC465" s="65">
        <f>IF(OR($A465="",$AB465=""),"",IF(OR($I465="Completed",$I465="Cancelled"),"Closed - in Manager Report","Active - in Manager Report"))</f>
        <v/>
      </c>
      <c r="AD465" s="81">
        <f>IF($A465="","",IFERROR(TEXTJOIN(", ",TRUE,FILTER(Task_Steps!$A$5:$A$2004,Task_Steps!$B$5:$B$2004=$A465)),""))</f>
        <v/>
      </c>
      <c r="AE465" s="84">
        <f>IF($A465="","",COUNTIFS(Task_Steps!$B$5:$B$2004,$A465,Task_Steps!$H$5:$H$2004,"&lt;&gt;Completed",Task_Steps!$H$5:$H$2004,"&lt;&gt;Cancelled"))</f>
        <v/>
      </c>
      <c r="AF465" s="81">
        <f>IF(OR($B465="",$A465=""),"",$B465&amp;" | "&amp;$A465)</f>
        <v/>
      </c>
    </row>
    <row r="466" ht="15" customHeight="1" s="40">
      <c r="A466" s="65">
        <f>IF(COUNTA(B466:F466)=0,"","TSK-"&amp;TEXT(ROW()-4,"0000"))</f>
        <v/>
      </c>
      <c r="B466" s="78" t="n"/>
      <c r="C466" s="78" t="n"/>
      <c r="D466" s="81" t="n"/>
      <c r="E466" s="81" t="n"/>
      <c r="F466" s="78" t="n"/>
      <c r="G466" s="67">
        <f>IF($F466="","",IFERROR(INDEX(Employee_Master!$C$5:$C$204,MATCH($F466,Employee_Master!$B$5:$B$204,0)),""))</f>
        <v/>
      </c>
      <c r="H466" s="78" t="n"/>
      <c r="I466" s="78" t="n"/>
      <c r="J466" s="67">
        <f>IF($I466="","",IFERROR(INDEX(Action_Status_Map!$B$5:$B$11,MATCH($I466,Action_Status_Map!$A$5:$A$11,0)),""))</f>
        <v/>
      </c>
      <c r="K466" s="82" t="n"/>
      <c r="L466" s="82" t="n"/>
      <c r="M466" s="82" t="n"/>
      <c r="N466" s="83" t="n"/>
      <c r="O466" s="83" t="n"/>
      <c r="P466" s="66">
        <f>IF(OR($N466="",$O466=""),"",$O466-$N466)</f>
        <v/>
      </c>
      <c r="Q466" s="84">
        <f>IF($K466="","",IF($M466&lt;&gt;"",$M466-$K466,TODAY()-$K466))</f>
        <v/>
      </c>
      <c r="R466" s="85">
        <f>IF(OR($L466="",$I466="Completed",$I466="Cancelled"),"",IF(AND($L466&lt;TODAY(),$I466&lt;&gt;"Completed",$I466&lt;&gt;"Cancelled"),"Overdue","On Track"))</f>
        <v/>
      </c>
      <c r="S466" s="65">
        <f>IF($L466="","",TEXT($L466,"yyyy-mm"))</f>
        <v/>
      </c>
      <c r="T466" s="86">
        <f>IF($I466="","",IFERROR(INDEX(Action_Status_Map!$C$5:$C$11,MATCH($I466,Action_Status_Map!$A$5:$A$11,0)),""))</f>
        <v/>
      </c>
      <c r="U466" s="81" t="n"/>
      <c r="V466" s="82" t="n"/>
      <c r="W466" s="65">
        <f>IF(OR($I466&lt;&gt;"Completed",$M466="",$L466=""),"",IF($M466&lt;=$L466,"Yes","No"))</f>
        <v/>
      </c>
      <c r="X466" s="84">
        <f>IF($A466="","",COUNTIF(Task_Steps!$B$5:$B$2004,$A466))</f>
        <v/>
      </c>
      <c r="Y466" s="86">
        <f>IF($X466=0,"",COUNTIFS(Task_Steps!$B$5:$B$2004,$A466,Task_Steps!$H$5:$H$2004,"Completed")/$X466)</f>
        <v/>
      </c>
      <c r="Z466" s="81" t="n"/>
      <c r="AA466" s="81" t="n"/>
      <c r="AB466" s="67">
        <f>IF($F466="","",IFERROR(INDEX(Employee_Master!$E$5:$E$204,MATCH($F466,Employee_Master!$B$5:$B$204,0)),""))</f>
        <v/>
      </c>
      <c r="AC466" s="65">
        <f>IF(OR($A466="",$AB466=""),"",IF(OR($I466="Completed",$I466="Cancelled"),"Closed - in Manager Report","Active - in Manager Report"))</f>
        <v/>
      </c>
      <c r="AD466" s="81">
        <f>IF($A466="","",IFERROR(TEXTJOIN(", ",TRUE,FILTER(Task_Steps!$A$5:$A$2004,Task_Steps!$B$5:$B$2004=$A466)),""))</f>
        <v/>
      </c>
      <c r="AE466" s="84">
        <f>IF($A466="","",COUNTIFS(Task_Steps!$B$5:$B$2004,$A466,Task_Steps!$H$5:$H$2004,"&lt;&gt;Completed",Task_Steps!$H$5:$H$2004,"&lt;&gt;Cancelled"))</f>
        <v/>
      </c>
      <c r="AF466" s="81">
        <f>IF(OR($B466="",$A466=""),"",$B466&amp;" | "&amp;$A466)</f>
        <v/>
      </c>
    </row>
    <row r="467" ht="15" customHeight="1" s="40">
      <c r="A467" s="65">
        <f>IF(COUNTA(B467:F467)=0,"","TSK-"&amp;TEXT(ROW()-4,"0000"))</f>
        <v/>
      </c>
      <c r="B467" s="78" t="n"/>
      <c r="C467" s="78" t="n"/>
      <c r="D467" s="81" t="n"/>
      <c r="E467" s="81" t="n"/>
      <c r="F467" s="78" t="n"/>
      <c r="G467" s="67">
        <f>IF($F467="","",IFERROR(INDEX(Employee_Master!$C$5:$C$204,MATCH($F467,Employee_Master!$B$5:$B$204,0)),""))</f>
        <v/>
      </c>
      <c r="H467" s="78" t="n"/>
      <c r="I467" s="78" t="n"/>
      <c r="J467" s="67">
        <f>IF($I467="","",IFERROR(INDEX(Action_Status_Map!$B$5:$B$11,MATCH($I467,Action_Status_Map!$A$5:$A$11,0)),""))</f>
        <v/>
      </c>
      <c r="K467" s="82" t="n"/>
      <c r="L467" s="82" t="n"/>
      <c r="M467" s="82" t="n"/>
      <c r="N467" s="83" t="n"/>
      <c r="O467" s="83" t="n"/>
      <c r="P467" s="66">
        <f>IF(OR($N467="",$O467=""),"",$O467-$N467)</f>
        <v/>
      </c>
      <c r="Q467" s="84">
        <f>IF($K467="","",IF($M467&lt;&gt;"",$M467-$K467,TODAY()-$K467))</f>
        <v/>
      </c>
      <c r="R467" s="85">
        <f>IF(OR($L467="",$I467="Completed",$I467="Cancelled"),"",IF(AND($L467&lt;TODAY(),$I467&lt;&gt;"Completed",$I467&lt;&gt;"Cancelled"),"Overdue","On Track"))</f>
        <v/>
      </c>
      <c r="S467" s="65">
        <f>IF($L467="","",TEXT($L467,"yyyy-mm"))</f>
        <v/>
      </c>
      <c r="T467" s="86">
        <f>IF($I467="","",IFERROR(INDEX(Action_Status_Map!$C$5:$C$11,MATCH($I467,Action_Status_Map!$A$5:$A$11,0)),""))</f>
        <v/>
      </c>
      <c r="U467" s="81" t="n"/>
      <c r="V467" s="82" t="n"/>
      <c r="W467" s="65">
        <f>IF(OR($I467&lt;&gt;"Completed",$M467="",$L467=""),"",IF($M467&lt;=$L467,"Yes","No"))</f>
        <v/>
      </c>
      <c r="X467" s="84">
        <f>IF($A467="","",COUNTIF(Task_Steps!$B$5:$B$2004,$A467))</f>
        <v/>
      </c>
      <c r="Y467" s="86">
        <f>IF($X467=0,"",COUNTIFS(Task_Steps!$B$5:$B$2004,$A467,Task_Steps!$H$5:$H$2004,"Completed")/$X467)</f>
        <v/>
      </c>
      <c r="Z467" s="81" t="n"/>
      <c r="AA467" s="81" t="n"/>
      <c r="AB467" s="67">
        <f>IF($F467="","",IFERROR(INDEX(Employee_Master!$E$5:$E$204,MATCH($F467,Employee_Master!$B$5:$B$204,0)),""))</f>
        <v/>
      </c>
      <c r="AC467" s="65">
        <f>IF(OR($A467="",$AB467=""),"",IF(OR($I467="Completed",$I467="Cancelled"),"Closed - in Manager Report","Active - in Manager Report"))</f>
        <v/>
      </c>
      <c r="AD467" s="81">
        <f>IF($A467="","",IFERROR(TEXTJOIN(", ",TRUE,FILTER(Task_Steps!$A$5:$A$2004,Task_Steps!$B$5:$B$2004=$A467)),""))</f>
        <v/>
      </c>
      <c r="AE467" s="84">
        <f>IF($A467="","",COUNTIFS(Task_Steps!$B$5:$B$2004,$A467,Task_Steps!$H$5:$H$2004,"&lt;&gt;Completed",Task_Steps!$H$5:$H$2004,"&lt;&gt;Cancelled"))</f>
        <v/>
      </c>
      <c r="AF467" s="81">
        <f>IF(OR($B467="",$A467=""),"",$B467&amp;" | "&amp;$A467)</f>
        <v/>
      </c>
    </row>
    <row r="468" ht="15" customHeight="1" s="40">
      <c r="A468" s="65">
        <f>IF(COUNTA(B468:F468)=0,"","TSK-"&amp;TEXT(ROW()-4,"0000"))</f>
        <v/>
      </c>
      <c r="B468" s="78" t="n"/>
      <c r="C468" s="78" t="n"/>
      <c r="D468" s="81" t="n"/>
      <c r="E468" s="81" t="n"/>
      <c r="F468" s="78" t="n"/>
      <c r="G468" s="67">
        <f>IF($F468="","",IFERROR(INDEX(Employee_Master!$C$5:$C$204,MATCH($F468,Employee_Master!$B$5:$B$204,0)),""))</f>
        <v/>
      </c>
      <c r="H468" s="78" t="n"/>
      <c r="I468" s="78" t="n"/>
      <c r="J468" s="67">
        <f>IF($I468="","",IFERROR(INDEX(Action_Status_Map!$B$5:$B$11,MATCH($I468,Action_Status_Map!$A$5:$A$11,0)),""))</f>
        <v/>
      </c>
      <c r="K468" s="82" t="n"/>
      <c r="L468" s="82" t="n"/>
      <c r="M468" s="82" t="n"/>
      <c r="N468" s="83" t="n"/>
      <c r="O468" s="83" t="n"/>
      <c r="P468" s="66">
        <f>IF(OR($N468="",$O468=""),"",$O468-$N468)</f>
        <v/>
      </c>
      <c r="Q468" s="84">
        <f>IF($K468="","",IF($M468&lt;&gt;"",$M468-$K468,TODAY()-$K468))</f>
        <v/>
      </c>
      <c r="R468" s="85">
        <f>IF(OR($L468="",$I468="Completed",$I468="Cancelled"),"",IF(AND($L468&lt;TODAY(),$I468&lt;&gt;"Completed",$I468&lt;&gt;"Cancelled"),"Overdue","On Track"))</f>
        <v/>
      </c>
      <c r="S468" s="65">
        <f>IF($L468="","",TEXT($L468,"yyyy-mm"))</f>
        <v/>
      </c>
      <c r="T468" s="86">
        <f>IF($I468="","",IFERROR(INDEX(Action_Status_Map!$C$5:$C$11,MATCH($I468,Action_Status_Map!$A$5:$A$11,0)),""))</f>
        <v/>
      </c>
      <c r="U468" s="81" t="n"/>
      <c r="V468" s="82" t="n"/>
      <c r="W468" s="65">
        <f>IF(OR($I468&lt;&gt;"Completed",$M468="",$L468=""),"",IF($M468&lt;=$L468,"Yes","No"))</f>
        <v/>
      </c>
      <c r="X468" s="84">
        <f>IF($A468="","",COUNTIF(Task_Steps!$B$5:$B$2004,$A468))</f>
        <v/>
      </c>
      <c r="Y468" s="86">
        <f>IF($X468=0,"",COUNTIFS(Task_Steps!$B$5:$B$2004,$A468,Task_Steps!$H$5:$H$2004,"Completed")/$X468)</f>
        <v/>
      </c>
      <c r="Z468" s="81" t="n"/>
      <c r="AA468" s="81" t="n"/>
      <c r="AB468" s="67">
        <f>IF($F468="","",IFERROR(INDEX(Employee_Master!$E$5:$E$204,MATCH($F468,Employee_Master!$B$5:$B$204,0)),""))</f>
        <v/>
      </c>
      <c r="AC468" s="65">
        <f>IF(OR($A468="",$AB468=""),"",IF(OR($I468="Completed",$I468="Cancelled"),"Closed - in Manager Report","Active - in Manager Report"))</f>
        <v/>
      </c>
      <c r="AD468" s="81">
        <f>IF($A468="","",IFERROR(TEXTJOIN(", ",TRUE,FILTER(Task_Steps!$A$5:$A$2004,Task_Steps!$B$5:$B$2004=$A468)),""))</f>
        <v/>
      </c>
      <c r="AE468" s="84">
        <f>IF($A468="","",COUNTIFS(Task_Steps!$B$5:$B$2004,$A468,Task_Steps!$H$5:$H$2004,"&lt;&gt;Completed",Task_Steps!$H$5:$H$2004,"&lt;&gt;Cancelled"))</f>
        <v/>
      </c>
      <c r="AF468" s="81">
        <f>IF(OR($B468="",$A468=""),"",$B468&amp;" | "&amp;$A468)</f>
        <v/>
      </c>
    </row>
    <row r="469" ht="15" customHeight="1" s="40">
      <c r="A469" s="65">
        <f>IF(COUNTA(B469:F469)=0,"","TSK-"&amp;TEXT(ROW()-4,"0000"))</f>
        <v/>
      </c>
      <c r="B469" s="78" t="n"/>
      <c r="C469" s="78" t="n"/>
      <c r="D469" s="81" t="n"/>
      <c r="E469" s="81" t="n"/>
      <c r="F469" s="78" t="n"/>
      <c r="G469" s="67">
        <f>IF($F469="","",IFERROR(INDEX(Employee_Master!$C$5:$C$204,MATCH($F469,Employee_Master!$B$5:$B$204,0)),""))</f>
        <v/>
      </c>
      <c r="H469" s="78" t="n"/>
      <c r="I469" s="78" t="n"/>
      <c r="J469" s="67">
        <f>IF($I469="","",IFERROR(INDEX(Action_Status_Map!$B$5:$B$11,MATCH($I469,Action_Status_Map!$A$5:$A$11,0)),""))</f>
        <v/>
      </c>
      <c r="K469" s="82" t="n"/>
      <c r="L469" s="82" t="n"/>
      <c r="M469" s="82" t="n"/>
      <c r="N469" s="83" t="n"/>
      <c r="O469" s="83" t="n"/>
      <c r="P469" s="66">
        <f>IF(OR($N469="",$O469=""),"",$O469-$N469)</f>
        <v/>
      </c>
      <c r="Q469" s="84">
        <f>IF($K469="","",IF($M469&lt;&gt;"",$M469-$K469,TODAY()-$K469))</f>
        <v/>
      </c>
      <c r="R469" s="85">
        <f>IF(OR($L469="",$I469="Completed",$I469="Cancelled"),"",IF(AND($L469&lt;TODAY(),$I469&lt;&gt;"Completed",$I469&lt;&gt;"Cancelled"),"Overdue","On Track"))</f>
        <v/>
      </c>
      <c r="S469" s="65">
        <f>IF($L469="","",TEXT($L469,"yyyy-mm"))</f>
        <v/>
      </c>
      <c r="T469" s="86">
        <f>IF($I469="","",IFERROR(INDEX(Action_Status_Map!$C$5:$C$11,MATCH($I469,Action_Status_Map!$A$5:$A$11,0)),""))</f>
        <v/>
      </c>
      <c r="U469" s="81" t="n"/>
      <c r="V469" s="82" t="n"/>
      <c r="W469" s="65">
        <f>IF(OR($I469&lt;&gt;"Completed",$M469="",$L469=""),"",IF($M469&lt;=$L469,"Yes","No"))</f>
        <v/>
      </c>
      <c r="X469" s="84">
        <f>IF($A469="","",COUNTIF(Task_Steps!$B$5:$B$2004,$A469))</f>
        <v/>
      </c>
      <c r="Y469" s="86">
        <f>IF($X469=0,"",COUNTIFS(Task_Steps!$B$5:$B$2004,$A469,Task_Steps!$H$5:$H$2004,"Completed")/$X469)</f>
        <v/>
      </c>
      <c r="Z469" s="81" t="n"/>
      <c r="AA469" s="81" t="n"/>
      <c r="AB469" s="67">
        <f>IF($F469="","",IFERROR(INDEX(Employee_Master!$E$5:$E$204,MATCH($F469,Employee_Master!$B$5:$B$204,0)),""))</f>
        <v/>
      </c>
      <c r="AC469" s="65">
        <f>IF(OR($A469="",$AB469=""),"",IF(OR($I469="Completed",$I469="Cancelled"),"Closed - in Manager Report","Active - in Manager Report"))</f>
        <v/>
      </c>
      <c r="AD469" s="81">
        <f>IF($A469="","",IFERROR(TEXTJOIN(", ",TRUE,FILTER(Task_Steps!$A$5:$A$2004,Task_Steps!$B$5:$B$2004=$A469)),""))</f>
        <v/>
      </c>
      <c r="AE469" s="84">
        <f>IF($A469="","",COUNTIFS(Task_Steps!$B$5:$B$2004,$A469,Task_Steps!$H$5:$H$2004,"&lt;&gt;Completed",Task_Steps!$H$5:$H$2004,"&lt;&gt;Cancelled"))</f>
        <v/>
      </c>
      <c r="AF469" s="81">
        <f>IF(OR($B469="",$A469=""),"",$B469&amp;" | "&amp;$A469)</f>
        <v/>
      </c>
    </row>
    <row r="470" ht="15" customHeight="1" s="40">
      <c r="A470" s="65">
        <f>IF(COUNTA(B470:F470)=0,"","TSK-"&amp;TEXT(ROW()-4,"0000"))</f>
        <v/>
      </c>
      <c r="B470" s="78" t="n"/>
      <c r="C470" s="78" t="n"/>
      <c r="D470" s="81" t="n"/>
      <c r="E470" s="81" t="n"/>
      <c r="F470" s="78" t="n"/>
      <c r="G470" s="67">
        <f>IF($F470="","",IFERROR(INDEX(Employee_Master!$C$5:$C$204,MATCH($F470,Employee_Master!$B$5:$B$204,0)),""))</f>
        <v/>
      </c>
      <c r="H470" s="78" t="n"/>
      <c r="I470" s="78" t="n"/>
      <c r="J470" s="67">
        <f>IF($I470="","",IFERROR(INDEX(Action_Status_Map!$B$5:$B$11,MATCH($I470,Action_Status_Map!$A$5:$A$11,0)),""))</f>
        <v/>
      </c>
      <c r="K470" s="82" t="n"/>
      <c r="L470" s="82" t="n"/>
      <c r="M470" s="82" t="n"/>
      <c r="N470" s="83" t="n"/>
      <c r="O470" s="83" t="n"/>
      <c r="P470" s="66">
        <f>IF(OR($N470="",$O470=""),"",$O470-$N470)</f>
        <v/>
      </c>
      <c r="Q470" s="84">
        <f>IF($K470="","",IF($M470&lt;&gt;"",$M470-$K470,TODAY()-$K470))</f>
        <v/>
      </c>
      <c r="R470" s="85">
        <f>IF(OR($L470="",$I470="Completed",$I470="Cancelled"),"",IF(AND($L470&lt;TODAY(),$I470&lt;&gt;"Completed",$I470&lt;&gt;"Cancelled"),"Overdue","On Track"))</f>
        <v/>
      </c>
      <c r="S470" s="65">
        <f>IF($L470="","",TEXT($L470,"yyyy-mm"))</f>
        <v/>
      </c>
      <c r="T470" s="86">
        <f>IF($I470="","",IFERROR(INDEX(Action_Status_Map!$C$5:$C$11,MATCH($I470,Action_Status_Map!$A$5:$A$11,0)),""))</f>
        <v/>
      </c>
      <c r="U470" s="81" t="n"/>
      <c r="V470" s="82" t="n"/>
      <c r="W470" s="65">
        <f>IF(OR($I470&lt;&gt;"Completed",$M470="",$L470=""),"",IF($M470&lt;=$L470,"Yes","No"))</f>
        <v/>
      </c>
      <c r="X470" s="84">
        <f>IF($A470="","",COUNTIF(Task_Steps!$B$5:$B$2004,$A470))</f>
        <v/>
      </c>
      <c r="Y470" s="86">
        <f>IF($X470=0,"",COUNTIFS(Task_Steps!$B$5:$B$2004,$A470,Task_Steps!$H$5:$H$2004,"Completed")/$X470)</f>
        <v/>
      </c>
      <c r="Z470" s="81" t="n"/>
      <c r="AA470" s="81" t="n"/>
      <c r="AB470" s="67">
        <f>IF($F470="","",IFERROR(INDEX(Employee_Master!$E$5:$E$204,MATCH($F470,Employee_Master!$B$5:$B$204,0)),""))</f>
        <v/>
      </c>
      <c r="AC470" s="65">
        <f>IF(OR($A470="",$AB470=""),"",IF(OR($I470="Completed",$I470="Cancelled"),"Closed - in Manager Report","Active - in Manager Report"))</f>
        <v/>
      </c>
      <c r="AD470" s="81">
        <f>IF($A470="","",IFERROR(TEXTJOIN(", ",TRUE,FILTER(Task_Steps!$A$5:$A$2004,Task_Steps!$B$5:$B$2004=$A470)),""))</f>
        <v/>
      </c>
      <c r="AE470" s="84">
        <f>IF($A470="","",COUNTIFS(Task_Steps!$B$5:$B$2004,$A470,Task_Steps!$H$5:$H$2004,"&lt;&gt;Completed",Task_Steps!$H$5:$H$2004,"&lt;&gt;Cancelled"))</f>
        <v/>
      </c>
      <c r="AF470" s="81">
        <f>IF(OR($B470="",$A470=""),"",$B470&amp;" | "&amp;$A470)</f>
        <v/>
      </c>
    </row>
    <row r="471" ht="15" customHeight="1" s="40">
      <c r="A471" s="65">
        <f>IF(COUNTA(B471:F471)=0,"","TSK-"&amp;TEXT(ROW()-4,"0000"))</f>
        <v/>
      </c>
      <c r="B471" s="78" t="n"/>
      <c r="C471" s="78" t="n"/>
      <c r="D471" s="81" t="n"/>
      <c r="E471" s="81" t="n"/>
      <c r="F471" s="78" t="n"/>
      <c r="G471" s="67">
        <f>IF($F471="","",IFERROR(INDEX(Employee_Master!$C$5:$C$204,MATCH($F471,Employee_Master!$B$5:$B$204,0)),""))</f>
        <v/>
      </c>
      <c r="H471" s="78" t="n"/>
      <c r="I471" s="78" t="n"/>
      <c r="J471" s="67">
        <f>IF($I471="","",IFERROR(INDEX(Action_Status_Map!$B$5:$B$11,MATCH($I471,Action_Status_Map!$A$5:$A$11,0)),""))</f>
        <v/>
      </c>
      <c r="K471" s="82" t="n"/>
      <c r="L471" s="82" t="n"/>
      <c r="M471" s="82" t="n"/>
      <c r="N471" s="83" t="n"/>
      <c r="O471" s="83" t="n"/>
      <c r="P471" s="66">
        <f>IF(OR($N471="",$O471=""),"",$O471-$N471)</f>
        <v/>
      </c>
      <c r="Q471" s="84">
        <f>IF($K471="","",IF($M471&lt;&gt;"",$M471-$K471,TODAY()-$K471))</f>
        <v/>
      </c>
      <c r="R471" s="85">
        <f>IF(OR($L471="",$I471="Completed",$I471="Cancelled"),"",IF(AND($L471&lt;TODAY(),$I471&lt;&gt;"Completed",$I471&lt;&gt;"Cancelled"),"Overdue","On Track"))</f>
        <v/>
      </c>
      <c r="S471" s="65">
        <f>IF($L471="","",TEXT($L471,"yyyy-mm"))</f>
        <v/>
      </c>
      <c r="T471" s="86">
        <f>IF($I471="","",IFERROR(INDEX(Action_Status_Map!$C$5:$C$11,MATCH($I471,Action_Status_Map!$A$5:$A$11,0)),""))</f>
        <v/>
      </c>
      <c r="U471" s="81" t="n"/>
      <c r="V471" s="82" t="n"/>
      <c r="W471" s="65">
        <f>IF(OR($I471&lt;&gt;"Completed",$M471="",$L471=""),"",IF($M471&lt;=$L471,"Yes","No"))</f>
        <v/>
      </c>
      <c r="X471" s="84">
        <f>IF($A471="","",COUNTIF(Task_Steps!$B$5:$B$2004,$A471))</f>
        <v/>
      </c>
      <c r="Y471" s="86">
        <f>IF($X471=0,"",COUNTIFS(Task_Steps!$B$5:$B$2004,$A471,Task_Steps!$H$5:$H$2004,"Completed")/$X471)</f>
        <v/>
      </c>
      <c r="Z471" s="81" t="n"/>
      <c r="AA471" s="81" t="n"/>
      <c r="AB471" s="67">
        <f>IF($F471="","",IFERROR(INDEX(Employee_Master!$E$5:$E$204,MATCH($F471,Employee_Master!$B$5:$B$204,0)),""))</f>
        <v/>
      </c>
      <c r="AC471" s="65">
        <f>IF(OR($A471="",$AB471=""),"",IF(OR($I471="Completed",$I471="Cancelled"),"Closed - in Manager Report","Active - in Manager Report"))</f>
        <v/>
      </c>
      <c r="AD471" s="81">
        <f>IF($A471="","",IFERROR(TEXTJOIN(", ",TRUE,FILTER(Task_Steps!$A$5:$A$2004,Task_Steps!$B$5:$B$2004=$A471)),""))</f>
        <v/>
      </c>
      <c r="AE471" s="84">
        <f>IF($A471="","",COUNTIFS(Task_Steps!$B$5:$B$2004,$A471,Task_Steps!$H$5:$H$2004,"&lt;&gt;Completed",Task_Steps!$H$5:$H$2004,"&lt;&gt;Cancelled"))</f>
        <v/>
      </c>
      <c r="AF471" s="81">
        <f>IF(OR($B471="",$A471=""),"",$B471&amp;" | "&amp;$A471)</f>
        <v/>
      </c>
    </row>
    <row r="472" ht="15" customHeight="1" s="40">
      <c r="A472" s="65">
        <f>IF(COUNTA(B472:F472)=0,"","TSK-"&amp;TEXT(ROW()-4,"0000"))</f>
        <v/>
      </c>
      <c r="B472" s="78" t="n"/>
      <c r="C472" s="78" t="n"/>
      <c r="D472" s="81" t="n"/>
      <c r="E472" s="81" t="n"/>
      <c r="F472" s="78" t="n"/>
      <c r="G472" s="67">
        <f>IF($F472="","",IFERROR(INDEX(Employee_Master!$C$5:$C$204,MATCH($F472,Employee_Master!$B$5:$B$204,0)),""))</f>
        <v/>
      </c>
      <c r="H472" s="78" t="n"/>
      <c r="I472" s="78" t="n"/>
      <c r="J472" s="67">
        <f>IF($I472="","",IFERROR(INDEX(Action_Status_Map!$B$5:$B$11,MATCH($I472,Action_Status_Map!$A$5:$A$11,0)),""))</f>
        <v/>
      </c>
      <c r="K472" s="82" t="n"/>
      <c r="L472" s="82" t="n"/>
      <c r="M472" s="82" t="n"/>
      <c r="N472" s="83" t="n"/>
      <c r="O472" s="83" t="n"/>
      <c r="P472" s="66">
        <f>IF(OR($N472="",$O472=""),"",$O472-$N472)</f>
        <v/>
      </c>
      <c r="Q472" s="84">
        <f>IF($K472="","",IF($M472&lt;&gt;"",$M472-$K472,TODAY()-$K472))</f>
        <v/>
      </c>
      <c r="R472" s="85">
        <f>IF(OR($L472="",$I472="Completed",$I472="Cancelled"),"",IF(AND($L472&lt;TODAY(),$I472&lt;&gt;"Completed",$I472&lt;&gt;"Cancelled"),"Overdue","On Track"))</f>
        <v/>
      </c>
      <c r="S472" s="65">
        <f>IF($L472="","",TEXT($L472,"yyyy-mm"))</f>
        <v/>
      </c>
      <c r="T472" s="86">
        <f>IF($I472="","",IFERROR(INDEX(Action_Status_Map!$C$5:$C$11,MATCH($I472,Action_Status_Map!$A$5:$A$11,0)),""))</f>
        <v/>
      </c>
      <c r="U472" s="81" t="n"/>
      <c r="V472" s="82" t="n"/>
      <c r="W472" s="65">
        <f>IF(OR($I472&lt;&gt;"Completed",$M472="",$L472=""),"",IF($M472&lt;=$L472,"Yes","No"))</f>
        <v/>
      </c>
      <c r="X472" s="84">
        <f>IF($A472="","",COUNTIF(Task_Steps!$B$5:$B$2004,$A472))</f>
        <v/>
      </c>
      <c r="Y472" s="86">
        <f>IF($X472=0,"",COUNTIFS(Task_Steps!$B$5:$B$2004,$A472,Task_Steps!$H$5:$H$2004,"Completed")/$X472)</f>
        <v/>
      </c>
      <c r="Z472" s="81" t="n"/>
      <c r="AA472" s="81" t="n"/>
      <c r="AB472" s="67">
        <f>IF($F472="","",IFERROR(INDEX(Employee_Master!$E$5:$E$204,MATCH($F472,Employee_Master!$B$5:$B$204,0)),""))</f>
        <v/>
      </c>
      <c r="AC472" s="65">
        <f>IF(OR($A472="",$AB472=""),"",IF(OR($I472="Completed",$I472="Cancelled"),"Closed - in Manager Report","Active - in Manager Report"))</f>
        <v/>
      </c>
      <c r="AD472" s="81">
        <f>IF($A472="","",IFERROR(TEXTJOIN(", ",TRUE,FILTER(Task_Steps!$A$5:$A$2004,Task_Steps!$B$5:$B$2004=$A472)),""))</f>
        <v/>
      </c>
      <c r="AE472" s="84">
        <f>IF($A472="","",COUNTIFS(Task_Steps!$B$5:$B$2004,$A472,Task_Steps!$H$5:$H$2004,"&lt;&gt;Completed",Task_Steps!$H$5:$H$2004,"&lt;&gt;Cancelled"))</f>
        <v/>
      </c>
      <c r="AF472" s="81">
        <f>IF(OR($B472="",$A472=""),"",$B472&amp;" | "&amp;$A472)</f>
        <v/>
      </c>
    </row>
    <row r="473" ht="15" customHeight="1" s="40">
      <c r="A473" s="65">
        <f>IF(COUNTA(B473:F473)=0,"","TSK-"&amp;TEXT(ROW()-4,"0000"))</f>
        <v/>
      </c>
      <c r="B473" s="78" t="n"/>
      <c r="C473" s="78" t="n"/>
      <c r="D473" s="81" t="n"/>
      <c r="E473" s="81" t="n"/>
      <c r="F473" s="78" t="n"/>
      <c r="G473" s="67">
        <f>IF($F473="","",IFERROR(INDEX(Employee_Master!$C$5:$C$204,MATCH($F473,Employee_Master!$B$5:$B$204,0)),""))</f>
        <v/>
      </c>
      <c r="H473" s="78" t="n"/>
      <c r="I473" s="78" t="n"/>
      <c r="J473" s="67">
        <f>IF($I473="","",IFERROR(INDEX(Action_Status_Map!$B$5:$B$11,MATCH($I473,Action_Status_Map!$A$5:$A$11,0)),""))</f>
        <v/>
      </c>
      <c r="K473" s="82" t="n"/>
      <c r="L473" s="82" t="n"/>
      <c r="M473" s="82" t="n"/>
      <c r="N473" s="83" t="n"/>
      <c r="O473" s="83" t="n"/>
      <c r="P473" s="66">
        <f>IF(OR($N473="",$O473=""),"",$O473-$N473)</f>
        <v/>
      </c>
      <c r="Q473" s="84">
        <f>IF($K473="","",IF($M473&lt;&gt;"",$M473-$K473,TODAY()-$K473))</f>
        <v/>
      </c>
      <c r="R473" s="85">
        <f>IF(OR($L473="",$I473="Completed",$I473="Cancelled"),"",IF(AND($L473&lt;TODAY(),$I473&lt;&gt;"Completed",$I473&lt;&gt;"Cancelled"),"Overdue","On Track"))</f>
        <v/>
      </c>
      <c r="S473" s="65">
        <f>IF($L473="","",TEXT($L473,"yyyy-mm"))</f>
        <v/>
      </c>
      <c r="T473" s="86">
        <f>IF($I473="","",IFERROR(INDEX(Action_Status_Map!$C$5:$C$11,MATCH($I473,Action_Status_Map!$A$5:$A$11,0)),""))</f>
        <v/>
      </c>
      <c r="U473" s="81" t="n"/>
      <c r="V473" s="82" t="n"/>
      <c r="W473" s="65">
        <f>IF(OR($I473&lt;&gt;"Completed",$M473="",$L473=""),"",IF($M473&lt;=$L473,"Yes","No"))</f>
        <v/>
      </c>
      <c r="X473" s="84">
        <f>IF($A473="","",COUNTIF(Task_Steps!$B$5:$B$2004,$A473))</f>
        <v/>
      </c>
      <c r="Y473" s="86">
        <f>IF($X473=0,"",COUNTIFS(Task_Steps!$B$5:$B$2004,$A473,Task_Steps!$H$5:$H$2004,"Completed")/$X473)</f>
        <v/>
      </c>
      <c r="Z473" s="81" t="n"/>
      <c r="AA473" s="81" t="n"/>
      <c r="AB473" s="67">
        <f>IF($F473="","",IFERROR(INDEX(Employee_Master!$E$5:$E$204,MATCH($F473,Employee_Master!$B$5:$B$204,0)),""))</f>
        <v/>
      </c>
      <c r="AC473" s="65">
        <f>IF(OR($A473="",$AB473=""),"",IF(OR($I473="Completed",$I473="Cancelled"),"Closed - in Manager Report","Active - in Manager Report"))</f>
        <v/>
      </c>
      <c r="AD473" s="81">
        <f>IF($A473="","",IFERROR(TEXTJOIN(", ",TRUE,FILTER(Task_Steps!$A$5:$A$2004,Task_Steps!$B$5:$B$2004=$A473)),""))</f>
        <v/>
      </c>
      <c r="AE473" s="84">
        <f>IF($A473="","",COUNTIFS(Task_Steps!$B$5:$B$2004,$A473,Task_Steps!$H$5:$H$2004,"&lt;&gt;Completed",Task_Steps!$H$5:$H$2004,"&lt;&gt;Cancelled"))</f>
        <v/>
      </c>
      <c r="AF473" s="81">
        <f>IF(OR($B473="",$A473=""),"",$B473&amp;" | "&amp;$A473)</f>
        <v/>
      </c>
    </row>
    <row r="474" ht="15" customHeight="1" s="40">
      <c r="A474" s="65">
        <f>IF(COUNTA(B474:F474)=0,"","TSK-"&amp;TEXT(ROW()-4,"0000"))</f>
        <v/>
      </c>
      <c r="B474" s="78" t="n"/>
      <c r="C474" s="78" t="n"/>
      <c r="D474" s="81" t="n"/>
      <c r="E474" s="81" t="n"/>
      <c r="F474" s="78" t="n"/>
      <c r="G474" s="67">
        <f>IF($F474="","",IFERROR(INDEX(Employee_Master!$C$5:$C$204,MATCH($F474,Employee_Master!$B$5:$B$204,0)),""))</f>
        <v/>
      </c>
      <c r="H474" s="78" t="n"/>
      <c r="I474" s="78" t="n"/>
      <c r="J474" s="67">
        <f>IF($I474="","",IFERROR(INDEX(Action_Status_Map!$B$5:$B$11,MATCH($I474,Action_Status_Map!$A$5:$A$11,0)),""))</f>
        <v/>
      </c>
      <c r="K474" s="82" t="n"/>
      <c r="L474" s="82" t="n"/>
      <c r="M474" s="82" t="n"/>
      <c r="N474" s="83" t="n"/>
      <c r="O474" s="83" t="n"/>
      <c r="P474" s="66">
        <f>IF(OR($N474="",$O474=""),"",$O474-$N474)</f>
        <v/>
      </c>
      <c r="Q474" s="84">
        <f>IF($K474="","",IF($M474&lt;&gt;"",$M474-$K474,TODAY()-$K474))</f>
        <v/>
      </c>
      <c r="R474" s="85">
        <f>IF(OR($L474="",$I474="Completed",$I474="Cancelled"),"",IF(AND($L474&lt;TODAY(),$I474&lt;&gt;"Completed",$I474&lt;&gt;"Cancelled"),"Overdue","On Track"))</f>
        <v/>
      </c>
      <c r="S474" s="65">
        <f>IF($L474="","",TEXT($L474,"yyyy-mm"))</f>
        <v/>
      </c>
      <c r="T474" s="86">
        <f>IF($I474="","",IFERROR(INDEX(Action_Status_Map!$C$5:$C$11,MATCH($I474,Action_Status_Map!$A$5:$A$11,0)),""))</f>
        <v/>
      </c>
      <c r="U474" s="81" t="n"/>
      <c r="V474" s="82" t="n"/>
      <c r="W474" s="65">
        <f>IF(OR($I474&lt;&gt;"Completed",$M474="",$L474=""),"",IF($M474&lt;=$L474,"Yes","No"))</f>
        <v/>
      </c>
      <c r="X474" s="84">
        <f>IF($A474="","",COUNTIF(Task_Steps!$B$5:$B$2004,$A474))</f>
        <v/>
      </c>
      <c r="Y474" s="86">
        <f>IF($X474=0,"",COUNTIFS(Task_Steps!$B$5:$B$2004,$A474,Task_Steps!$H$5:$H$2004,"Completed")/$X474)</f>
        <v/>
      </c>
      <c r="Z474" s="81" t="n"/>
      <c r="AA474" s="81" t="n"/>
      <c r="AB474" s="67">
        <f>IF($F474="","",IFERROR(INDEX(Employee_Master!$E$5:$E$204,MATCH($F474,Employee_Master!$B$5:$B$204,0)),""))</f>
        <v/>
      </c>
      <c r="AC474" s="65">
        <f>IF(OR($A474="",$AB474=""),"",IF(OR($I474="Completed",$I474="Cancelled"),"Closed - in Manager Report","Active - in Manager Report"))</f>
        <v/>
      </c>
      <c r="AD474" s="81">
        <f>IF($A474="","",IFERROR(TEXTJOIN(", ",TRUE,FILTER(Task_Steps!$A$5:$A$2004,Task_Steps!$B$5:$B$2004=$A474)),""))</f>
        <v/>
      </c>
      <c r="AE474" s="84">
        <f>IF($A474="","",COUNTIFS(Task_Steps!$B$5:$B$2004,$A474,Task_Steps!$H$5:$H$2004,"&lt;&gt;Completed",Task_Steps!$H$5:$H$2004,"&lt;&gt;Cancelled"))</f>
        <v/>
      </c>
      <c r="AF474" s="81">
        <f>IF(OR($B474="",$A474=""),"",$B474&amp;" | "&amp;$A474)</f>
        <v/>
      </c>
    </row>
    <row r="475" ht="15" customHeight="1" s="40">
      <c r="A475" s="65">
        <f>IF(COUNTA(B475:F475)=0,"","TSK-"&amp;TEXT(ROW()-4,"0000"))</f>
        <v/>
      </c>
      <c r="B475" s="78" t="n"/>
      <c r="C475" s="78" t="n"/>
      <c r="D475" s="81" t="n"/>
      <c r="E475" s="81" t="n"/>
      <c r="F475" s="78" t="n"/>
      <c r="G475" s="67">
        <f>IF($F475="","",IFERROR(INDEX(Employee_Master!$C$5:$C$204,MATCH($F475,Employee_Master!$B$5:$B$204,0)),""))</f>
        <v/>
      </c>
      <c r="H475" s="78" t="n"/>
      <c r="I475" s="78" t="n"/>
      <c r="J475" s="67">
        <f>IF($I475="","",IFERROR(INDEX(Action_Status_Map!$B$5:$B$11,MATCH($I475,Action_Status_Map!$A$5:$A$11,0)),""))</f>
        <v/>
      </c>
      <c r="K475" s="82" t="n"/>
      <c r="L475" s="82" t="n"/>
      <c r="M475" s="82" t="n"/>
      <c r="N475" s="83" t="n"/>
      <c r="O475" s="83" t="n"/>
      <c r="P475" s="66">
        <f>IF(OR($N475="",$O475=""),"",$O475-$N475)</f>
        <v/>
      </c>
      <c r="Q475" s="84">
        <f>IF($K475="","",IF($M475&lt;&gt;"",$M475-$K475,TODAY()-$K475))</f>
        <v/>
      </c>
      <c r="R475" s="85">
        <f>IF(OR($L475="",$I475="Completed",$I475="Cancelled"),"",IF(AND($L475&lt;TODAY(),$I475&lt;&gt;"Completed",$I475&lt;&gt;"Cancelled"),"Overdue","On Track"))</f>
        <v/>
      </c>
      <c r="S475" s="65">
        <f>IF($L475="","",TEXT($L475,"yyyy-mm"))</f>
        <v/>
      </c>
      <c r="T475" s="86">
        <f>IF($I475="","",IFERROR(INDEX(Action_Status_Map!$C$5:$C$11,MATCH($I475,Action_Status_Map!$A$5:$A$11,0)),""))</f>
        <v/>
      </c>
      <c r="U475" s="81" t="n"/>
      <c r="V475" s="82" t="n"/>
      <c r="W475" s="65">
        <f>IF(OR($I475&lt;&gt;"Completed",$M475="",$L475=""),"",IF($M475&lt;=$L475,"Yes","No"))</f>
        <v/>
      </c>
      <c r="X475" s="84">
        <f>IF($A475="","",COUNTIF(Task_Steps!$B$5:$B$2004,$A475))</f>
        <v/>
      </c>
      <c r="Y475" s="86">
        <f>IF($X475=0,"",COUNTIFS(Task_Steps!$B$5:$B$2004,$A475,Task_Steps!$H$5:$H$2004,"Completed")/$X475)</f>
        <v/>
      </c>
      <c r="Z475" s="81" t="n"/>
      <c r="AA475" s="81" t="n"/>
      <c r="AB475" s="67">
        <f>IF($F475="","",IFERROR(INDEX(Employee_Master!$E$5:$E$204,MATCH($F475,Employee_Master!$B$5:$B$204,0)),""))</f>
        <v/>
      </c>
      <c r="AC475" s="65">
        <f>IF(OR($A475="",$AB475=""),"",IF(OR($I475="Completed",$I475="Cancelled"),"Closed - in Manager Report","Active - in Manager Report"))</f>
        <v/>
      </c>
      <c r="AD475" s="81">
        <f>IF($A475="","",IFERROR(TEXTJOIN(", ",TRUE,FILTER(Task_Steps!$A$5:$A$2004,Task_Steps!$B$5:$B$2004=$A475)),""))</f>
        <v/>
      </c>
      <c r="AE475" s="84">
        <f>IF($A475="","",COUNTIFS(Task_Steps!$B$5:$B$2004,$A475,Task_Steps!$H$5:$H$2004,"&lt;&gt;Completed",Task_Steps!$H$5:$H$2004,"&lt;&gt;Cancelled"))</f>
        <v/>
      </c>
      <c r="AF475" s="81">
        <f>IF(OR($B475="",$A475=""),"",$B475&amp;" | "&amp;$A475)</f>
        <v/>
      </c>
    </row>
    <row r="476" ht="15" customHeight="1" s="40">
      <c r="A476" s="65">
        <f>IF(COUNTA(B476:F476)=0,"","TSK-"&amp;TEXT(ROW()-4,"0000"))</f>
        <v/>
      </c>
      <c r="B476" s="78" t="n"/>
      <c r="C476" s="78" t="n"/>
      <c r="D476" s="81" t="n"/>
      <c r="E476" s="81" t="n"/>
      <c r="F476" s="78" t="n"/>
      <c r="G476" s="67">
        <f>IF($F476="","",IFERROR(INDEX(Employee_Master!$C$5:$C$204,MATCH($F476,Employee_Master!$B$5:$B$204,0)),""))</f>
        <v/>
      </c>
      <c r="H476" s="78" t="n"/>
      <c r="I476" s="78" t="n"/>
      <c r="J476" s="67">
        <f>IF($I476="","",IFERROR(INDEX(Action_Status_Map!$B$5:$B$11,MATCH($I476,Action_Status_Map!$A$5:$A$11,0)),""))</f>
        <v/>
      </c>
      <c r="K476" s="82" t="n"/>
      <c r="L476" s="82" t="n"/>
      <c r="M476" s="82" t="n"/>
      <c r="N476" s="83" t="n"/>
      <c r="O476" s="83" t="n"/>
      <c r="P476" s="66">
        <f>IF(OR($N476="",$O476=""),"",$O476-$N476)</f>
        <v/>
      </c>
      <c r="Q476" s="84">
        <f>IF($K476="","",IF($M476&lt;&gt;"",$M476-$K476,TODAY()-$K476))</f>
        <v/>
      </c>
      <c r="R476" s="85">
        <f>IF(OR($L476="",$I476="Completed",$I476="Cancelled"),"",IF(AND($L476&lt;TODAY(),$I476&lt;&gt;"Completed",$I476&lt;&gt;"Cancelled"),"Overdue","On Track"))</f>
        <v/>
      </c>
      <c r="S476" s="65">
        <f>IF($L476="","",TEXT($L476,"yyyy-mm"))</f>
        <v/>
      </c>
      <c r="T476" s="86">
        <f>IF($I476="","",IFERROR(INDEX(Action_Status_Map!$C$5:$C$11,MATCH($I476,Action_Status_Map!$A$5:$A$11,0)),""))</f>
        <v/>
      </c>
      <c r="U476" s="81" t="n"/>
      <c r="V476" s="82" t="n"/>
      <c r="W476" s="65">
        <f>IF(OR($I476&lt;&gt;"Completed",$M476="",$L476=""),"",IF($M476&lt;=$L476,"Yes","No"))</f>
        <v/>
      </c>
      <c r="X476" s="84">
        <f>IF($A476="","",COUNTIF(Task_Steps!$B$5:$B$2004,$A476))</f>
        <v/>
      </c>
      <c r="Y476" s="86">
        <f>IF($X476=0,"",COUNTIFS(Task_Steps!$B$5:$B$2004,$A476,Task_Steps!$H$5:$H$2004,"Completed")/$X476)</f>
        <v/>
      </c>
      <c r="Z476" s="81" t="n"/>
      <c r="AA476" s="81" t="n"/>
      <c r="AB476" s="67">
        <f>IF($F476="","",IFERROR(INDEX(Employee_Master!$E$5:$E$204,MATCH($F476,Employee_Master!$B$5:$B$204,0)),""))</f>
        <v/>
      </c>
      <c r="AC476" s="65">
        <f>IF(OR($A476="",$AB476=""),"",IF(OR($I476="Completed",$I476="Cancelled"),"Closed - in Manager Report","Active - in Manager Report"))</f>
        <v/>
      </c>
      <c r="AD476" s="81">
        <f>IF($A476="","",IFERROR(TEXTJOIN(", ",TRUE,FILTER(Task_Steps!$A$5:$A$2004,Task_Steps!$B$5:$B$2004=$A476)),""))</f>
        <v/>
      </c>
      <c r="AE476" s="84">
        <f>IF($A476="","",COUNTIFS(Task_Steps!$B$5:$B$2004,$A476,Task_Steps!$H$5:$H$2004,"&lt;&gt;Completed",Task_Steps!$H$5:$H$2004,"&lt;&gt;Cancelled"))</f>
        <v/>
      </c>
      <c r="AF476" s="81">
        <f>IF(OR($B476="",$A476=""),"",$B476&amp;" | "&amp;$A476)</f>
        <v/>
      </c>
    </row>
    <row r="477" ht="15" customHeight="1" s="40">
      <c r="A477" s="65">
        <f>IF(COUNTA(B477:F477)=0,"","TSK-"&amp;TEXT(ROW()-4,"0000"))</f>
        <v/>
      </c>
      <c r="B477" s="78" t="n"/>
      <c r="C477" s="78" t="n"/>
      <c r="D477" s="81" t="n"/>
      <c r="E477" s="81" t="n"/>
      <c r="F477" s="78" t="n"/>
      <c r="G477" s="67">
        <f>IF($F477="","",IFERROR(INDEX(Employee_Master!$C$5:$C$204,MATCH($F477,Employee_Master!$B$5:$B$204,0)),""))</f>
        <v/>
      </c>
      <c r="H477" s="78" t="n"/>
      <c r="I477" s="78" t="n"/>
      <c r="J477" s="67">
        <f>IF($I477="","",IFERROR(INDEX(Action_Status_Map!$B$5:$B$11,MATCH($I477,Action_Status_Map!$A$5:$A$11,0)),""))</f>
        <v/>
      </c>
      <c r="K477" s="82" t="n"/>
      <c r="L477" s="82" t="n"/>
      <c r="M477" s="82" t="n"/>
      <c r="N477" s="83" t="n"/>
      <c r="O477" s="83" t="n"/>
      <c r="P477" s="66">
        <f>IF(OR($N477="",$O477=""),"",$O477-$N477)</f>
        <v/>
      </c>
      <c r="Q477" s="84">
        <f>IF($K477="","",IF($M477&lt;&gt;"",$M477-$K477,TODAY()-$K477))</f>
        <v/>
      </c>
      <c r="R477" s="85">
        <f>IF(OR($L477="",$I477="Completed",$I477="Cancelled"),"",IF(AND($L477&lt;TODAY(),$I477&lt;&gt;"Completed",$I477&lt;&gt;"Cancelled"),"Overdue","On Track"))</f>
        <v/>
      </c>
      <c r="S477" s="65">
        <f>IF($L477="","",TEXT($L477,"yyyy-mm"))</f>
        <v/>
      </c>
      <c r="T477" s="86">
        <f>IF($I477="","",IFERROR(INDEX(Action_Status_Map!$C$5:$C$11,MATCH($I477,Action_Status_Map!$A$5:$A$11,0)),""))</f>
        <v/>
      </c>
      <c r="U477" s="81" t="n"/>
      <c r="V477" s="82" t="n"/>
      <c r="W477" s="65">
        <f>IF(OR($I477&lt;&gt;"Completed",$M477="",$L477=""),"",IF($M477&lt;=$L477,"Yes","No"))</f>
        <v/>
      </c>
      <c r="X477" s="84">
        <f>IF($A477="","",COUNTIF(Task_Steps!$B$5:$B$2004,$A477))</f>
        <v/>
      </c>
      <c r="Y477" s="86">
        <f>IF($X477=0,"",COUNTIFS(Task_Steps!$B$5:$B$2004,$A477,Task_Steps!$H$5:$H$2004,"Completed")/$X477)</f>
        <v/>
      </c>
      <c r="Z477" s="81" t="n"/>
      <c r="AA477" s="81" t="n"/>
      <c r="AB477" s="67">
        <f>IF($F477="","",IFERROR(INDEX(Employee_Master!$E$5:$E$204,MATCH($F477,Employee_Master!$B$5:$B$204,0)),""))</f>
        <v/>
      </c>
      <c r="AC477" s="65">
        <f>IF(OR($A477="",$AB477=""),"",IF(OR($I477="Completed",$I477="Cancelled"),"Closed - in Manager Report","Active - in Manager Report"))</f>
        <v/>
      </c>
      <c r="AD477" s="81">
        <f>IF($A477="","",IFERROR(TEXTJOIN(", ",TRUE,FILTER(Task_Steps!$A$5:$A$2004,Task_Steps!$B$5:$B$2004=$A477)),""))</f>
        <v/>
      </c>
      <c r="AE477" s="84">
        <f>IF($A477="","",COUNTIFS(Task_Steps!$B$5:$B$2004,$A477,Task_Steps!$H$5:$H$2004,"&lt;&gt;Completed",Task_Steps!$H$5:$H$2004,"&lt;&gt;Cancelled"))</f>
        <v/>
      </c>
      <c r="AF477" s="81">
        <f>IF(OR($B477="",$A477=""),"",$B477&amp;" | "&amp;$A477)</f>
        <v/>
      </c>
    </row>
    <row r="478" ht="15" customHeight="1" s="40">
      <c r="A478" s="65">
        <f>IF(COUNTA(B478:F478)=0,"","TSK-"&amp;TEXT(ROW()-4,"0000"))</f>
        <v/>
      </c>
      <c r="B478" s="78" t="n"/>
      <c r="C478" s="78" t="n"/>
      <c r="D478" s="81" t="n"/>
      <c r="E478" s="81" t="n"/>
      <c r="F478" s="78" t="n"/>
      <c r="G478" s="67">
        <f>IF($F478="","",IFERROR(INDEX(Employee_Master!$C$5:$C$204,MATCH($F478,Employee_Master!$B$5:$B$204,0)),""))</f>
        <v/>
      </c>
      <c r="H478" s="78" t="n"/>
      <c r="I478" s="78" t="n"/>
      <c r="J478" s="67">
        <f>IF($I478="","",IFERROR(INDEX(Action_Status_Map!$B$5:$B$11,MATCH($I478,Action_Status_Map!$A$5:$A$11,0)),""))</f>
        <v/>
      </c>
      <c r="K478" s="82" t="n"/>
      <c r="L478" s="82" t="n"/>
      <c r="M478" s="82" t="n"/>
      <c r="N478" s="83" t="n"/>
      <c r="O478" s="83" t="n"/>
      <c r="P478" s="66">
        <f>IF(OR($N478="",$O478=""),"",$O478-$N478)</f>
        <v/>
      </c>
      <c r="Q478" s="84">
        <f>IF($K478="","",IF($M478&lt;&gt;"",$M478-$K478,TODAY()-$K478))</f>
        <v/>
      </c>
      <c r="R478" s="85">
        <f>IF(OR($L478="",$I478="Completed",$I478="Cancelled"),"",IF(AND($L478&lt;TODAY(),$I478&lt;&gt;"Completed",$I478&lt;&gt;"Cancelled"),"Overdue","On Track"))</f>
        <v/>
      </c>
      <c r="S478" s="65">
        <f>IF($L478="","",TEXT($L478,"yyyy-mm"))</f>
        <v/>
      </c>
      <c r="T478" s="86">
        <f>IF($I478="","",IFERROR(INDEX(Action_Status_Map!$C$5:$C$11,MATCH($I478,Action_Status_Map!$A$5:$A$11,0)),""))</f>
        <v/>
      </c>
      <c r="U478" s="81" t="n"/>
      <c r="V478" s="82" t="n"/>
      <c r="W478" s="65">
        <f>IF(OR($I478&lt;&gt;"Completed",$M478="",$L478=""),"",IF($M478&lt;=$L478,"Yes","No"))</f>
        <v/>
      </c>
      <c r="X478" s="84">
        <f>IF($A478="","",COUNTIF(Task_Steps!$B$5:$B$2004,$A478))</f>
        <v/>
      </c>
      <c r="Y478" s="86">
        <f>IF($X478=0,"",COUNTIFS(Task_Steps!$B$5:$B$2004,$A478,Task_Steps!$H$5:$H$2004,"Completed")/$X478)</f>
        <v/>
      </c>
      <c r="Z478" s="81" t="n"/>
      <c r="AA478" s="81" t="n"/>
      <c r="AB478" s="67">
        <f>IF($F478="","",IFERROR(INDEX(Employee_Master!$E$5:$E$204,MATCH($F478,Employee_Master!$B$5:$B$204,0)),""))</f>
        <v/>
      </c>
      <c r="AC478" s="65">
        <f>IF(OR($A478="",$AB478=""),"",IF(OR($I478="Completed",$I478="Cancelled"),"Closed - in Manager Report","Active - in Manager Report"))</f>
        <v/>
      </c>
      <c r="AD478" s="81">
        <f>IF($A478="","",IFERROR(TEXTJOIN(", ",TRUE,FILTER(Task_Steps!$A$5:$A$2004,Task_Steps!$B$5:$B$2004=$A478)),""))</f>
        <v/>
      </c>
      <c r="AE478" s="84">
        <f>IF($A478="","",COUNTIFS(Task_Steps!$B$5:$B$2004,$A478,Task_Steps!$H$5:$H$2004,"&lt;&gt;Completed",Task_Steps!$H$5:$H$2004,"&lt;&gt;Cancelled"))</f>
        <v/>
      </c>
      <c r="AF478" s="81">
        <f>IF(OR($B478="",$A478=""),"",$B478&amp;" | "&amp;$A478)</f>
        <v/>
      </c>
    </row>
    <row r="479" ht="15" customHeight="1" s="40">
      <c r="A479" s="65">
        <f>IF(COUNTA(B479:F479)=0,"","TSK-"&amp;TEXT(ROW()-4,"0000"))</f>
        <v/>
      </c>
      <c r="B479" s="78" t="n"/>
      <c r="C479" s="78" t="n"/>
      <c r="D479" s="81" t="n"/>
      <c r="E479" s="81" t="n"/>
      <c r="F479" s="78" t="n"/>
      <c r="G479" s="67">
        <f>IF($F479="","",IFERROR(INDEX(Employee_Master!$C$5:$C$204,MATCH($F479,Employee_Master!$B$5:$B$204,0)),""))</f>
        <v/>
      </c>
      <c r="H479" s="78" t="n"/>
      <c r="I479" s="78" t="n"/>
      <c r="J479" s="67">
        <f>IF($I479="","",IFERROR(INDEX(Action_Status_Map!$B$5:$B$11,MATCH($I479,Action_Status_Map!$A$5:$A$11,0)),""))</f>
        <v/>
      </c>
      <c r="K479" s="82" t="n"/>
      <c r="L479" s="82" t="n"/>
      <c r="M479" s="82" t="n"/>
      <c r="N479" s="83" t="n"/>
      <c r="O479" s="83" t="n"/>
      <c r="P479" s="66">
        <f>IF(OR($N479="",$O479=""),"",$O479-$N479)</f>
        <v/>
      </c>
      <c r="Q479" s="84">
        <f>IF($K479="","",IF($M479&lt;&gt;"",$M479-$K479,TODAY()-$K479))</f>
        <v/>
      </c>
      <c r="R479" s="85">
        <f>IF(OR($L479="",$I479="Completed",$I479="Cancelled"),"",IF(AND($L479&lt;TODAY(),$I479&lt;&gt;"Completed",$I479&lt;&gt;"Cancelled"),"Overdue","On Track"))</f>
        <v/>
      </c>
      <c r="S479" s="65">
        <f>IF($L479="","",TEXT($L479,"yyyy-mm"))</f>
        <v/>
      </c>
      <c r="T479" s="86">
        <f>IF($I479="","",IFERROR(INDEX(Action_Status_Map!$C$5:$C$11,MATCH($I479,Action_Status_Map!$A$5:$A$11,0)),""))</f>
        <v/>
      </c>
      <c r="U479" s="81" t="n"/>
      <c r="V479" s="82" t="n"/>
      <c r="W479" s="65">
        <f>IF(OR($I479&lt;&gt;"Completed",$M479="",$L479=""),"",IF($M479&lt;=$L479,"Yes","No"))</f>
        <v/>
      </c>
      <c r="X479" s="84">
        <f>IF($A479="","",COUNTIF(Task_Steps!$B$5:$B$2004,$A479))</f>
        <v/>
      </c>
      <c r="Y479" s="86">
        <f>IF($X479=0,"",COUNTIFS(Task_Steps!$B$5:$B$2004,$A479,Task_Steps!$H$5:$H$2004,"Completed")/$X479)</f>
        <v/>
      </c>
      <c r="Z479" s="81" t="n"/>
      <c r="AA479" s="81" t="n"/>
      <c r="AB479" s="67">
        <f>IF($F479="","",IFERROR(INDEX(Employee_Master!$E$5:$E$204,MATCH($F479,Employee_Master!$B$5:$B$204,0)),""))</f>
        <v/>
      </c>
      <c r="AC479" s="65">
        <f>IF(OR($A479="",$AB479=""),"",IF(OR($I479="Completed",$I479="Cancelled"),"Closed - in Manager Report","Active - in Manager Report"))</f>
        <v/>
      </c>
      <c r="AD479" s="81">
        <f>IF($A479="","",IFERROR(TEXTJOIN(", ",TRUE,FILTER(Task_Steps!$A$5:$A$2004,Task_Steps!$B$5:$B$2004=$A479)),""))</f>
        <v/>
      </c>
      <c r="AE479" s="84">
        <f>IF($A479="","",COUNTIFS(Task_Steps!$B$5:$B$2004,$A479,Task_Steps!$H$5:$H$2004,"&lt;&gt;Completed",Task_Steps!$H$5:$H$2004,"&lt;&gt;Cancelled"))</f>
        <v/>
      </c>
      <c r="AF479" s="81">
        <f>IF(OR($B479="",$A479=""),"",$B479&amp;" | "&amp;$A479)</f>
        <v/>
      </c>
    </row>
    <row r="480" ht="15" customHeight="1" s="40">
      <c r="A480" s="65">
        <f>IF(COUNTA(B480:F480)=0,"","TSK-"&amp;TEXT(ROW()-4,"0000"))</f>
        <v/>
      </c>
      <c r="B480" s="78" t="n"/>
      <c r="C480" s="78" t="n"/>
      <c r="D480" s="81" t="n"/>
      <c r="E480" s="81" t="n"/>
      <c r="F480" s="78" t="n"/>
      <c r="G480" s="67">
        <f>IF($F480="","",IFERROR(INDEX(Employee_Master!$C$5:$C$204,MATCH($F480,Employee_Master!$B$5:$B$204,0)),""))</f>
        <v/>
      </c>
      <c r="H480" s="78" t="n"/>
      <c r="I480" s="78" t="n"/>
      <c r="J480" s="67">
        <f>IF($I480="","",IFERROR(INDEX(Action_Status_Map!$B$5:$B$11,MATCH($I480,Action_Status_Map!$A$5:$A$11,0)),""))</f>
        <v/>
      </c>
      <c r="K480" s="82" t="n"/>
      <c r="L480" s="82" t="n"/>
      <c r="M480" s="82" t="n"/>
      <c r="N480" s="83" t="n"/>
      <c r="O480" s="83" t="n"/>
      <c r="P480" s="66">
        <f>IF(OR($N480="",$O480=""),"",$O480-$N480)</f>
        <v/>
      </c>
      <c r="Q480" s="84">
        <f>IF($K480="","",IF($M480&lt;&gt;"",$M480-$K480,TODAY()-$K480))</f>
        <v/>
      </c>
      <c r="R480" s="85">
        <f>IF(OR($L480="",$I480="Completed",$I480="Cancelled"),"",IF(AND($L480&lt;TODAY(),$I480&lt;&gt;"Completed",$I480&lt;&gt;"Cancelled"),"Overdue","On Track"))</f>
        <v/>
      </c>
      <c r="S480" s="65">
        <f>IF($L480="","",TEXT($L480,"yyyy-mm"))</f>
        <v/>
      </c>
      <c r="T480" s="86">
        <f>IF($I480="","",IFERROR(INDEX(Action_Status_Map!$C$5:$C$11,MATCH($I480,Action_Status_Map!$A$5:$A$11,0)),""))</f>
        <v/>
      </c>
      <c r="U480" s="81" t="n"/>
      <c r="V480" s="82" t="n"/>
      <c r="W480" s="65">
        <f>IF(OR($I480&lt;&gt;"Completed",$M480="",$L480=""),"",IF($M480&lt;=$L480,"Yes","No"))</f>
        <v/>
      </c>
      <c r="X480" s="84">
        <f>IF($A480="","",COUNTIF(Task_Steps!$B$5:$B$2004,$A480))</f>
        <v/>
      </c>
      <c r="Y480" s="86">
        <f>IF($X480=0,"",COUNTIFS(Task_Steps!$B$5:$B$2004,$A480,Task_Steps!$H$5:$H$2004,"Completed")/$X480)</f>
        <v/>
      </c>
      <c r="Z480" s="81" t="n"/>
      <c r="AA480" s="81" t="n"/>
      <c r="AB480" s="67">
        <f>IF($F480="","",IFERROR(INDEX(Employee_Master!$E$5:$E$204,MATCH($F480,Employee_Master!$B$5:$B$204,0)),""))</f>
        <v/>
      </c>
      <c r="AC480" s="65">
        <f>IF(OR($A480="",$AB480=""),"",IF(OR($I480="Completed",$I480="Cancelled"),"Closed - in Manager Report","Active - in Manager Report"))</f>
        <v/>
      </c>
      <c r="AD480" s="81">
        <f>IF($A480="","",IFERROR(TEXTJOIN(", ",TRUE,FILTER(Task_Steps!$A$5:$A$2004,Task_Steps!$B$5:$B$2004=$A480)),""))</f>
        <v/>
      </c>
      <c r="AE480" s="84">
        <f>IF($A480="","",COUNTIFS(Task_Steps!$B$5:$B$2004,$A480,Task_Steps!$H$5:$H$2004,"&lt;&gt;Completed",Task_Steps!$H$5:$H$2004,"&lt;&gt;Cancelled"))</f>
        <v/>
      </c>
      <c r="AF480" s="81">
        <f>IF(OR($B480="",$A480=""),"",$B480&amp;" | "&amp;$A480)</f>
        <v/>
      </c>
    </row>
    <row r="481" ht="15" customHeight="1" s="40">
      <c r="A481" s="65">
        <f>IF(COUNTA(B481:F481)=0,"","TSK-"&amp;TEXT(ROW()-4,"0000"))</f>
        <v/>
      </c>
      <c r="B481" s="78" t="n"/>
      <c r="C481" s="78" t="n"/>
      <c r="D481" s="81" t="n"/>
      <c r="E481" s="81" t="n"/>
      <c r="F481" s="78" t="n"/>
      <c r="G481" s="67">
        <f>IF($F481="","",IFERROR(INDEX(Employee_Master!$C$5:$C$204,MATCH($F481,Employee_Master!$B$5:$B$204,0)),""))</f>
        <v/>
      </c>
      <c r="H481" s="78" t="n"/>
      <c r="I481" s="78" t="n"/>
      <c r="J481" s="67">
        <f>IF($I481="","",IFERROR(INDEX(Action_Status_Map!$B$5:$B$11,MATCH($I481,Action_Status_Map!$A$5:$A$11,0)),""))</f>
        <v/>
      </c>
      <c r="K481" s="82" t="n"/>
      <c r="L481" s="82" t="n"/>
      <c r="M481" s="82" t="n"/>
      <c r="N481" s="83" t="n"/>
      <c r="O481" s="83" t="n"/>
      <c r="P481" s="66">
        <f>IF(OR($N481="",$O481=""),"",$O481-$N481)</f>
        <v/>
      </c>
      <c r="Q481" s="84">
        <f>IF($K481="","",IF($M481&lt;&gt;"",$M481-$K481,TODAY()-$K481))</f>
        <v/>
      </c>
      <c r="R481" s="85">
        <f>IF(OR($L481="",$I481="Completed",$I481="Cancelled"),"",IF(AND($L481&lt;TODAY(),$I481&lt;&gt;"Completed",$I481&lt;&gt;"Cancelled"),"Overdue","On Track"))</f>
        <v/>
      </c>
      <c r="S481" s="65">
        <f>IF($L481="","",TEXT($L481,"yyyy-mm"))</f>
        <v/>
      </c>
      <c r="T481" s="86">
        <f>IF($I481="","",IFERROR(INDEX(Action_Status_Map!$C$5:$C$11,MATCH($I481,Action_Status_Map!$A$5:$A$11,0)),""))</f>
        <v/>
      </c>
      <c r="U481" s="81" t="n"/>
      <c r="V481" s="82" t="n"/>
      <c r="W481" s="65">
        <f>IF(OR($I481&lt;&gt;"Completed",$M481="",$L481=""),"",IF($M481&lt;=$L481,"Yes","No"))</f>
        <v/>
      </c>
      <c r="X481" s="84">
        <f>IF($A481="","",COUNTIF(Task_Steps!$B$5:$B$2004,$A481))</f>
        <v/>
      </c>
      <c r="Y481" s="86">
        <f>IF($X481=0,"",COUNTIFS(Task_Steps!$B$5:$B$2004,$A481,Task_Steps!$H$5:$H$2004,"Completed")/$X481)</f>
        <v/>
      </c>
      <c r="Z481" s="81" t="n"/>
      <c r="AA481" s="81" t="n"/>
      <c r="AB481" s="67">
        <f>IF($F481="","",IFERROR(INDEX(Employee_Master!$E$5:$E$204,MATCH($F481,Employee_Master!$B$5:$B$204,0)),""))</f>
        <v/>
      </c>
      <c r="AC481" s="65">
        <f>IF(OR($A481="",$AB481=""),"",IF(OR($I481="Completed",$I481="Cancelled"),"Closed - in Manager Report","Active - in Manager Report"))</f>
        <v/>
      </c>
      <c r="AD481" s="81">
        <f>IF($A481="","",IFERROR(TEXTJOIN(", ",TRUE,FILTER(Task_Steps!$A$5:$A$2004,Task_Steps!$B$5:$B$2004=$A481)),""))</f>
        <v/>
      </c>
      <c r="AE481" s="84">
        <f>IF($A481="","",COUNTIFS(Task_Steps!$B$5:$B$2004,$A481,Task_Steps!$H$5:$H$2004,"&lt;&gt;Completed",Task_Steps!$H$5:$H$2004,"&lt;&gt;Cancelled"))</f>
        <v/>
      </c>
      <c r="AF481" s="81">
        <f>IF(OR($B481="",$A481=""),"",$B481&amp;" | "&amp;$A481)</f>
        <v/>
      </c>
    </row>
    <row r="482" ht="15" customHeight="1" s="40">
      <c r="A482" s="65">
        <f>IF(COUNTA(B482:F482)=0,"","TSK-"&amp;TEXT(ROW()-4,"0000"))</f>
        <v/>
      </c>
      <c r="B482" s="78" t="n"/>
      <c r="C482" s="78" t="n"/>
      <c r="D482" s="81" t="n"/>
      <c r="E482" s="81" t="n"/>
      <c r="F482" s="78" t="n"/>
      <c r="G482" s="67">
        <f>IF($F482="","",IFERROR(INDEX(Employee_Master!$C$5:$C$204,MATCH($F482,Employee_Master!$B$5:$B$204,0)),""))</f>
        <v/>
      </c>
      <c r="H482" s="78" t="n"/>
      <c r="I482" s="78" t="n"/>
      <c r="J482" s="67">
        <f>IF($I482="","",IFERROR(INDEX(Action_Status_Map!$B$5:$B$11,MATCH($I482,Action_Status_Map!$A$5:$A$11,0)),""))</f>
        <v/>
      </c>
      <c r="K482" s="82" t="n"/>
      <c r="L482" s="82" t="n"/>
      <c r="M482" s="82" t="n"/>
      <c r="N482" s="83" t="n"/>
      <c r="O482" s="83" t="n"/>
      <c r="P482" s="66">
        <f>IF(OR($N482="",$O482=""),"",$O482-$N482)</f>
        <v/>
      </c>
      <c r="Q482" s="84">
        <f>IF($K482="","",IF($M482&lt;&gt;"",$M482-$K482,TODAY()-$K482))</f>
        <v/>
      </c>
      <c r="R482" s="85">
        <f>IF(OR($L482="",$I482="Completed",$I482="Cancelled"),"",IF(AND($L482&lt;TODAY(),$I482&lt;&gt;"Completed",$I482&lt;&gt;"Cancelled"),"Overdue","On Track"))</f>
        <v/>
      </c>
      <c r="S482" s="65">
        <f>IF($L482="","",TEXT($L482,"yyyy-mm"))</f>
        <v/>
      </c>
      <c r="T482" s="86">
        <f>IF($I482="","",IFERROR(INDEX(Action_Status_Map!$C$5:$C$11,MATCH($I482,Action_Status_Map!$A$5:$A$11,0)),""))</f>
        <v/>
      </c>
      <c r="U482" s="81" t="n"/>
      <c r="V482" s="82" t="n"/>
      <c r="W482" s="65">
        <f>IF(OR($I482&lt;&gt;"Completed",$M482="",$L482=""),"",IF($M482&lt;=$L482,"Yes","No"))</f>
        <v/>
      </c>
      <c r="X482" s="84">
        <f>IF($A482="","",COUNTIF(Task_Steps!$B$5:$B$2004,$A482))</f>
        <v/>
      </c>
      <c r="Y482" s="86">
        <f>IF($X482=0,"",COUNTIFS(Task_Steps!$B$5:$B$2004,$A482,Task_Steps!$H$5:$H$2004,"Completed")/$X482)</f>
        <v/>
      </c>
      <c r="Z482" s="81" t="n"/>
      <c r="AA482" s="81" t="n"/>
      <c r="AB482" s="67">
        <f>IF($F482="","",IFERROR(INDEX(Employee_Master!$E$5:$E$204,MATCH($F482,Employee_Master!$B$5:$B$204,0)),""))</f>
        <v/>
      </c>
      <c r="AC482" s="65">
        <f>IF(OR($A482="",$AB482=""),"",IF(OR($I482="Completed",$I482="Cancelled"),"Closed - in Manager Report","Active - in Manager Report"))</f>
        <v/>
      </c>
      <c r="AD482" s="81">
        <f>IF($A482="","",IFERROR(TEXTJOIN(", ",TRUE,FILTER(Task_Steps!$A$5:$A$2004,Task_Steps!$B$5:$B$2004=$A482)),""))</f>
        <v/>
      </c>
      <c r="AE482" s="84">
        <f>IF($A482="","",COUNTIFS(Task_Steps!$B$5:$B$2004,$A482,Task_Steps!$H$5:$H$2004,"&lt;&gt;Completed",Task_Steps!$H$5:$H$2004,"&lt;&gt;Cancelled"))</f>
        <v/>
      </c>
      <c r="AF482" s="81">
        <f>IF(OR($B482="",$A482=""),"",$B482&amp;" | "&amp;$A482)</f>
        <v/>
      </c>
    </row>
    <row r="483" ht="15" customHeight="1" s="40">
      <c r="A483" s="65">
        <f>IF(COUNTA(B483:F483)=0,"","TSK-"&amp;TEXT(ROW()-4,"0000"))</f>
        <v/>
      </c>
      <c r="B483" s="78" t="n"/>
      <c r="C483" s="78" t="n"/>
      <c r="D483" s="81" t="n"/>
      <c r="E483" s="81" t="n"/>
      <c r="F483" s="78" t="n"/>
      <c r="G483" s="67">
        <f>IF($F483="","",IFERROR(INDEX(Employee_Master!$C$5:$C$204,MATCH($F483,Employee_Master!$B$5:$B$204,0)),""))</f>
        <v/>
      </c>
      <c r="H483" s="78" t="n"/>
      <c r="I483" s="78" t="n"/>
      <c r="J483" s="67">
        <f>IF($I483="","",IFERROR(INDEX(Action_Status_Map!$B$5:$B$11,MATCH($I483,Action_Status_Map!$A$5:$A$11,0)),""))</f>
        <v/>
      </c>
      <c r="K483" s="82" t="n"/>
      <c r="L483" s="82" t="n"/>
      <c r="M483" s="82" t="n"/>
      <c r="N483" s="83" t="n"/>
      <c r="O483" s="83" t="n"/>
      <c r="P483" s="66">
        <f>IF(OR($N483="",$O483=""),"",$O483-$N483)</f>
        <v/>
      </c>
      <c r="Q483" s="84">
        <f>IF($K483="","",IF($M483&lt;&gt;"",$M483-$K483,TODAY()-$K483))</f>
        <v/>
      </c>
      <c r="R483" s="85">
        <f>IF(OR($L483="",$I483="Completed",$I483="Cancelled"),"",IF(AND($L483&lt;TODAY(),$I483&lt;&gt;"Completed",$I483&lt;&gt;"Cancelled"),"Overdue","On Track"))</f>
        <v/>
      </c>
      <c r="S483" s="65">
        <f>IF($L483="","",TEXT($L483,"yyyy-mm"))</f>
        <v/>
      </c>
      <c r="T483" s="86">
        <f>IF($I483="","",IFERROR(INDEX(Action_Status_Map!$C$5:$C$11,MATCH($I483,Action_Status_Map!$A$5:$A$11,0)),""))</f>
        <v/>
      </c>
      <c r="U483" s="81" t="n"/>
      <c r="V483" s="82" t="n"/>
      <c r="W483" s="65">
        <f>IF(OR($I483&lt;&gt;"Completed",$M483="",$L483=""),"",IF($M483&lt;=$L483,"Yes","No"))</f>
        <v/>
      </c>
      <c r="X483" s="84">
        <f>IF($A483="","",COUNTIF(Task_Steps!$B$5:$B$2004,$A483))</f>
        <v/>
      </c>
      <c r="Y483" s="86">
        <f>IF($X483=0,"",COUNTIFS(Task_Steps!$B$5:$B$2004,$A483,Task_Steps!$H$5:$H$2004,"Completed")/$X483)</f>
        <v/>
      </c>
      <c r="Z483" s="81" t="n"/>
      <c r="AA483" s="81" t="n"/>
      <c r="AB483" s="67">
        <f>IF($F483="","",IFERROR(INDEX(Employee_Master!$E$5:$E$204,MATCH($F483,Employee_Master!$B$5:$B$204,0)),""))</f>
        <v/>
      </c>
      <c r="AC483" s="65">
        <f>IF(OR($A483="",$AB483=""),"",IF(OR($I483="Completed",$I483="Cancelled"),"Closed - in Manager Report","Active - in Manager Report"))</f>
        <v/>
      </c>
      <c r="AD483" s="81">
        <f>IF($A483="","",IFERROR(TEXTJOIN(", ",TRUE,FILTER(Task_Steps!$A$5:$A$2004,Task_Steps!$B$5:$B$2004=$A483)),""))</f>
        <v/>
      </c>
      <c r="AE483" s="84">
        <f>IF($A483="","",COUNTIFS(Task_Steps!$B$5:$B$2004,$A483,Task_Steps!$H$5:$H$2004,"&lt;&gt;Completed",Task_Steps!$H$5:$H$2004,"&lt;&gt;Cancelled"))</f>
        <v/>
      </c>
      <c r="AF483" s="81">
        <f>IF(OR($B483="",$A483=""),"",$B483&amp;" | "&amp;$A483)</f>
        <v/>
      </c>
    </row>
    <row r="484" ht="15" customHeight="1" s="40">
      <c r="A484" s="65">
        <f>IF(COUNTA(B484:F484)=0,"","TSK-"&amp;TEXT(ROW()-4,"0000"))</f>
        <v/>
      </c>
      <c r="B484" s="78" t="n"/>
      <c r="C484" s="78" t="n"/>
      <c r="D484" s="81" t="n"/>
      <c r="E484" s="81" t="n"/>
      <c r="F484" s="78" t="n"/>
      <c r="G484" s="67">
        <f>IF($F484="","",IFERROR(INDEX(Employee_Master!$C$5:$C$204,MATCH($F484,Employee_Master!$B$5:$B$204,0)),""))</f>
        <v/>
      </c>
      <c r="H484" s="78" t="n"/>
      <c r="I484" s="78" t="n"/>
      <c r="J484" s="67">
        <f>IF($I484="","",IFERROR(INDEX(Action_Status_Map!$B$5:$B$11,MATCH($I484,Action_Status_Map!$A$5:$A$11,0)),""))</f>
        <v/>
      </c>
      <c r="K484" s="82" t="n"/>
      <c r="L484" s="82" t="n"/>
      <c r="M484" s="82" t="n"/>
      <c r="N484" s="83" t="n"/>
      <c r="O484" s="83" t="n"/>
      <c r="P484" s="66">
        <f>IF(OR($N484="",$O484=""),"",$O484-$N484)</f>
        <v/>
      </c>
      <c r="Q484" s="84">
        <f>IF($K484="","",IF($M484&lt;&gt;"",$M484-$K484,TODAY()-$K484))</f>
        <v/>
      </c>
      <c r="R484" s="85">
        <f>IF(OR($L484="",$I484="Completed",$I484="Cancelled"),"",IF(AND($L484&lt;TODAY(),$I484&lt;&gt;"Completed",$I484&lt;&gt;"Cancelled"),"Overdue","On Track"))</f>
        <v/>
      </c>
      <c r="S484" s="65">
        <f>IF($L484="","",TEXT($L484,"yyyy-mm"))</f>
        <v/>
      </c>
      <c r="T484" s="86">
        <f>IF($I484="","",IFERROR(INDEX(Action_Status_Map!$C$5:$C$11,MATCH($I484,Action_Status_Map!$A$5:$A$11,0)),""))</f>
        <v/>
      </c>
      <c r="U484" s="81" t="n"/>
      <c r="V484" s="82" t="n"/>
      <c r="W484" s="65">
        <f>IF(OR($I484&lt;&gt;"Completed",$M484="",$L484=""),"",IF($M484&lt;=$L484,"Yes","No"))</f>
        <v/>
      </c>
      <c r="X484" s="84">
        <f>IF($A484="","",COUNTIF(Task_Steps!$B$5:$B$2004,$A484))</f>
        <v/>
      </c>
      <c r="Y484" s="86">
        <f>IF($X484=0,"",COUNTIFS(Task_Steps!$B$5:$B$2004,$A484,Task_Steps!$H$5:$H$2004,"Completed")/$X484)</f>
        <v/>
      </c>
      <c r="Z484" s="81" t="n"/>
      <c r="AA484" s="81" t="n"/>
      <c r="AB484" s="67">
        <f>IF($F484="","",IFERROR(INDEX(Employee_Master!$E$5:$E$204,MATCH($F484,Employee_Master!$B$5:$B$204,0)),""))</f>
        <v/>
      </c>
      <c r="AC484" s="65">
        <f>IF(OR($A484="",$AB484=""),"",IF(OR($I484="Completed",$I484="Cancelled"),"Closed - in Manager Report","Active - in Manager Report"))</f>
        <v/>
      </c>
      <c r="AD484" s="81">
        <f>IF($A484="","",IFERROR(TEXTJOIN(", ",TRUE,FILTER(Task_Steps!$A$5:$A$2004,Task_Steps!$B$5:$B$2004=$A484)),""))</f>
        <v/>
      </c>
      <c r="AE484" s="84">
        <f>IF($A484="","",COUNTIFS(Task_Steps!$B$5:$B$2004,$A484,Task_Steps!$H$5:$H$2004,"&lt;&gt;Completed",Task_Steps!$H$5:$H$2004,"&lt;&gt;Cancelled"))</f>
        <v/>
      </c>
      <c r="AF484" s="81">
        <f>IF(OR($B484="",$A484=""),"",$B484&amp;" | "&amp;$A484)</f>
        <v/>
      </c>
    </row>
    <row r="485" ht="15" customHeight="1" s="40">
      <c r="A485" s="65">
        <f>IF(COUNTA(B485:F485)=0,"","TSK-"&amp;TEXT(ROW()-4,"0000"))</f>
        <v/>
      </c>
      <c r="B485" s="78" t="n"/>
      <c r="C485" s="78" t="n"/>
      <c r="D485" s="81" t="n"/>
      <c r="E485" s="81" t="n"/>
      <c r="F485" s="78" t="n"/>
      <c r="G485" s="67">
        <f>IF($F485="","",IFERROR(INDEX(Employee_Master!$C$5:$C$204,MATCH($F485,Employee_Master!$B$5:$B$204,0)),""))</f>
        <v/>
      </c>
      <c r="H485" s="78" t="n"/>
      <c r="I485" s="78" t="n"/>
      <c r="J485" s="67">
        <f>IF($I485="","",IFERROR(INDEX(Action_Status_Map!$B$5:$B$11,MATCH($I485,Action_Status_Map!$A$5:$A$11,0)),""))</f>
        <v/>
      </c>
      <c r="K485" s="82" t="n"/>
      <c r="L485" s="82" t="n"/>
      <c r="M485" s="82" t="n"/>
      <c r="N485" s="83" t="n"/>
      <c r="O485" s="83" t="n"/>
      <c r="P485" s="66">
        <f>IF(OR($N485="",$O485=""),"",$O485-$N485)</f>
        <v/>
      </c>
      <c r="Q485" s="84">
        <f>IF($K485="","",IF($M485&lt;&gt;"",$M485-$K485,TODAY()-$K485))</f>
        <v/>
      </c>
      <c r="R485" s="85">
        <f>IF(OR($L485="",$I485="Completed",$I485="Cancelled"),"",IF(AND($L485&lt;TODAY(),$I485&lt;&gt;"Completed",$I485&lt;&gt;"Cancelled"),"Overdue","On Track"))</f>
        <v/>
      </c>
      <c r="S485" s="65">
        <f>IF($L485="","",TEXT($L485,"yyyy-mm"))</f>
        <v/>
      </c>
      <c r="T485" s="86">
        <f>IF($I485="","",IFERROR(INDEX(Action_Status_Map!$C$5:$C$11,MATCH($I485,Action_Status_Map!$A$5:$A$11,0)),""))</f>
        <v/>
      </c>
      <c r="U485" s="81" t="n"/>
      <c r="V485" s="82" t="n"/>
      <c r="W485" s="65">
        <f>IF(OR($I485&lt;&gt;"Completed",$M485="",$L485=""),"",IF($M485&lt;=$L485,"Yes","No"))</f>
        <v/>
      </c>
      <c r="X485" s="84">
        <f>IF($A485="","",COUNTIF(Task_Steps!$B$5:$B$2004,$A485))</f>
        <v/>
      </c>
      <c r="Y485" s="86">
        <f>IF($X485=0,"",COUNTIFS(Task_Steps!$B$5:$B$2004,$A485,Task_Steps!$H$5:$H$2004,"Completed")/$X485)</f>
        <v/>
      </c>
      <c r="Z485" s="81" t="n"/>
      <c r="AA485" s="81" t="n"/>
      <c r="AB485" s="67">
        <f>IF($F485="","",IFERROR(INDEX(Employee_Master!$E$5:$E$204,MATCH($F485,Employee_Master!$B$5:$B$204,0)),""))</f>
        <v/>
      </c>
      <c r="AC485" s="65">
        <f>IF(OR($A485="",$AB485=""),"",IF(OR($I485="Completed",$I485="Cancelled"),"Closed - in Manager Report","Active - in Manager Report"))</f>
        <v/>
      </c>
      <c r="AD485" s="81">
        <f>IF($A485="","",IFERROR(TEXTJOIN(", ",TRUE,FILTER(Task_Steps!$A$5:$A$2004,Task_Steps!$B$5:$B$2004=$A485)),""))</f>
        <v/>
      </c>
      <c r="AE485" s="84">
        <f>IF($A485="","",COUNTIFS(Task_Steps!$B$5:$B$2004,$A485,Task_Steps!$H$5:$H$2004,"&lt;&gt;Completed",Task_Steps!$H$5:$H$2004,"&lt;&gt;Cancelled"))</f>
        <v/>
      </c>
      <c r="AF485" s="81">
        <f>IF(OR($B485="",$A485=""),"",$B485&amp;" | "&amp;$A485)</f>
        <v/>
      </c>
    </row>
    <row r="486" ht="15" customHeight="1" s="40">
      <c r="A486" s="65">
        <f>IF(COUNTA(B486:F486)=0,"","TSK-"&amp;TEXT(ROW()-4,"0000"))</f>
        <v/>
      </c>
      <c r="B486" s="78" t="n"/>
      <c r="C486" s="78" t="n"/>
      <c r="D486" s="81" t="n"/>
      <c r="E486" s="81" t="n"/>
      <c r="F486" s="78" t="n"/>
      <c r="G486" s="67">
        <f>IF($F486="","",IFERROR(INDEX(Employee_Master!$C$5:$C$204,MATCH($F486,Employee_Master!$B$5:$B$204,0)),""))</f>
        <v/>
      </c>
      <c r="H486" s="78" t="n"/>
      <c r="I486" s="78" t="n"/>
      <c r="J486" s="67">
        <f>IF($I486="","",IFERROR(INDEX(Action_Status_Map!$B$5:$B$11,MATCH($I486,Action_Status_Map!$A$5:$A$11,0)),""))</f>
        <v/>
      </c>
      <c r="K486" s="82" t="n"/>
      <c r="L486" s="82" t="n"/>
      <c r="M486" s="82" t="n"/>
      <c r="N486" s="83" t="n"/>
      <c r="O486" s="83" t="n"/>
      <c r="P486" s="66">
        <f>IF(OR($N486="",$O486=""),"",$O486-$N486)</f>
        <v/>
      </c>
      <c r="Q486" s="84">
        <f>IF($K486="","",IF($M486&lt;&gt;"",$M486-$K486,TODAY()-$K486))</f>
        <v/>
      </c>
      <c r="R486" s="85">
        <f>IF(OR($L486="",$I486="Completed",$I486="Cancelled"),"",IF(AND($L486&lt;TODAY(),$I486&lt;&gt;"Completed",$I486&lt;&gt;"Cancelled"),"Overdue","On Track"))</f>
        <v/>
      </c>
      <c r="S486" s="65">
        <f>IF($L486="","",TEXT($L486,"yyyy-mm"))</f>
        <v/>
      </c>
      <c r="T486" s="86">
        <f>IF($I486="","",IFERROR(INDEX(Action_Status_Map!$C$5:$C$11,MATCH($I486,Action_Status_Map!$A$5:$A$11,0)),""))</f>
        <v/>
      </c>
      <c r="U486" s="81" t="n"/>
      <c r="V486" s="82" t="n"/>
      <c r="W486" s="65">
        <f>IF(OR($I486&lt;&gt;"Completed",$M486="",$L486=""),"",IF($M486&lt;=$L486,"Yes","No"))</f>
        <v/>
      </c>
      <c r="X486" s="84">
        <f>IF($A486="","",COUNTIF(Task_Steps!$B$5:$B$2004,$A486))</f>
        <v/>
      </c>
      <c r="Y486" s="86">
        <f>IF($X486=0,"",COUNTIFS(Task_Steps!$B$5:$B$2004,$A486,Task_Steps!$H$5:$H$2004,"Completed")/$X486)</f>
        <v/>
      </c>
      <c r="Z486" s="81" t="n"/>
      <c r="AA486" s="81" t="n"/>
      <c r="AB486" s="67">
        <f>IF($F486="","",IFERROR(INDEX(Employee_Master!$E$5:$E$204,MATCH($F486,Employee_Master!$B$5:$B$204,0)),""))</f>
        <v/>
      </c>
      <c r="AC486" s="65">
        <f>IF(OR($A486="",$AB486=""),"",IF(OR($I486="Completed",$I486="Cancelled"),"Closed - in Manager Report","Active - in Manager Report"))</f>
        <v/>
      </c>
      <c r="AD486" s="81">
        <f>IF($A486="","",IFERROR(TEXTJOIN(", ",TRUE,FILTER(Task_Steps!$A$5:$A$2004,Task_Steps!$B$5:$B$2004=$A486)),""))</f>
        <v/>
      </c>
      <c r="AE486" s="84">
        <f>IF($A486="","",COUNTIFS(Task_Steps!$B$5:$B$2004,$A486,Task_Steps!$H$5:$H$2004,"&lt;&gt;Completed",Task_Steps!$H$5:$H$2004,"&lt;&gt;Cancelled"))</f>
        <v/>
      </c>
      <c r="AF486" s="81">
        <f>IF(OR($B486="",$A486=""),"",$B486&amp;" | "&amp;$A486)</f>
        <v/>
      </c>
    </row>
    <row r="487" ht="15" customHeight="1" s="40">
      <c r="A487" s="65">
        <f>IF(COUNTA(B487:F487)=0,"","TSK-"&amp;TEXT(ROW()-4,"0000"))</f>
        <v/>
      </c>
      <c r="B487" s="78" t="n"/>
      <c r="C487" s="78" t="n"/>
      <c r="D487" s="81" t="n"/>
      <c r="E487" s="81" t="n"/>
      <c r="F487" s="78" t="n"/>
      <c r="G487" s="67">
        <f>IF($F487="","",IFERROR(INDEX(Employee_Master!$C$5:$C$204,MATCH($F487,Employee_Master!$B$5:$B$204,0)),""))</f>
        <v/>
      </c>
      <c r="H487" s="78" t="n"/>
      <c r="I487" s="78" t="n"/>
      <c r="J487" s="67">
        <f>IF($I487="","",IFERROR(INDEX(Action_Status_Map!$B$5:$B$11,MATCH($I487,Action_Status_Map!$A$5:$A$11,0)),""))</f>
        <v/>
      </c>
      <c r="K487" s="82" t="n"/>
      <c r="L487" s="82" t="n"/>
      <c r="M487" s="82" t="n"/>
      <c r="N487" s="83" t="n"/>
      <c r="O487" s="83" t="n"/>
      <c r="P487" s="66">
        <f>IF(OR($N487="",$O487=""),"",$O487-$N487)</f>
        <v/>
      </c>
      <c r="Q487" s="84">
        <f>IF($K487="","",IF($M487&lt;&gt;"",$M487-$K487,TODAY()-$K487))</f>
        <v/>
      </c>
      <c r="R487" s="85">
        <f>IF(OR($L487="",$I487="Completed",$I487="Cancelled"),"",IF(AND($L487&lt;TODAY(),$I487&lt;&gt;"Completed",$I487&lt;&gt;"Cancelled"),"Overdue","On Track"))</f>
        <v/>
      </c>
      <c r="S487" s="65">
        <f>IF($L487="","",TEXT($L487,"yyyy-mm"))</f>
        <v/>
      </c>
      <c r="T487" s="86">
        <f>IF($I487="","",IFERROR(INDEX(Action_Status_Map!$C$5:$C$11,MATCH($I487,Action_Status_Map!$A$5:$A$11,0)),""))</f>
        <v/>
      </c>
      <c r="U487" s="81" t="n"/>
      <c r="V487" s="82" t="n"/>
      <c r="W487" s="65">
        <f>IF(OR($I487&lt;&gt;"Completed",$M487="",$L487=""),"",IF($M487&lt;=$L487,"Yes","No"))</f>
        <v/>
      </c>
      <c r="X487" s="84">
        <f>IF($A487="","",COUNTIF(Task_Steps!$B$5:$B$2004,$A487))</f>
        <v/>
      </c>
      <c r="Y487" s="86">
        <f>IF($X487=0,"",COUNTIFS(Task_Steps!$B$5:$B$2004,$A487,Task_Steps!$H$5:$H$2004,"Completed")/$X487)</f>
        <v/>
      </c>
      <c r="Z487" s="81" t="n"/>
      <c r="AA487" s="81" t="n"/>
      <c r="AB487" s="67">
        <f>IF($F487="","",IFERROR(INDEX(Employee_Master!$E$5:$E$204,MATCH($F487,Employee_Master!$B$5:$B$204,0)),""))</f>
        <v/>
      </c>
      <c r="AC487" s="65">
        <f>IF(OR($A487="",$AB487=""),"",IF(OR($I487="Completed",$I487="Cancelled"),"Closed - in Manager Report","Active - in Manager Report"))</f>
        <v/>
      </c>
      <c r="AD487" s="81">
        <f>IF($A487="","",IFERROR(TEXTJOIN(", ",TRUE,FILTER(Task_Steps!$A$5:$A$2004,Task_Steps!$B$5:$B$2004=$A487)),""))</f>
        <v/>
      </c>
      <c r="AE487" s="84">
        <f>IF($A487="","",COUNTIFS(Task_Steps!$B$5:$B$2004,$A487,Task_Steps!$H$5:$H$2004,"&lt;&gt;Completed",Task_Steps!$H$5:$H$2004,"&lt;&gt;Cancelled"))</f>
        <v/>
      </c>
      <c r="AF487" s="81">
        <f>IF(OR($B487="",$A487=""),"",$B487&amp;" | "&amp;$A487)</f>
        <v/>
      </c>
    </row>
    <row r="488" ht="15" customHeight="1" s="40">
      <c r="A488" s="65">
        <f>IF(COUNTA(B488:F488)=0,"","TSK-"&amp;TEXT(ROW()-4,"0000"))</f>
        <v/>
      </c>
      <c r="B488" s="78" t="n"/>
      <c r="C488" s="78" t="n"/>
      <c r="D488" s="81" t="n"/>
      <c r="E488" s="81" t="n"/>
      <c r="F488" s="78" t="n"/>
      <c r="G488" s="67">
        <f>IF($F488="","",IFERROR(INDEX(Employee_Master!$C$5:$C$204,MATCH($F488,Employee_Master!$B$5:$B$204,0)),""))</f>
        <v/>
      </c>
      <c r="H488" s="78" t="n"/>
      <c r="I488" s="78" t="n"/>
      <c r="J488" s="67">
        <f>IF($I488="","",IFERROR(INDEX(Action_Status_Map!$B$5:$B$11,MATCH($I488,Action_Status_Map!$A$5:$A$11,0)),""))</f>
        <v/>
      </c>
      <c r="K488" s="82" t="n"/>
      <c r="L488" s="82" t="n"/>
      <c r="M488" s="82" t="n"/>
      <c r="N488" s="83" t="n"/>
      <c r="O488" s="83" t="n"/>
      <c r="P488" s="66">
        <f>IF(OR($N488="",$O488=""),"",$O488-$N488)</f>
        <v/>
      </c>
      <c r="Q488" s="84">
        <f>IF($K488="","",IF($M488&lt;&gt;"",$M488-$K488,TODAY()-$K488))</f>
        <v/>
      </c>
      <c r="R488" s="85">
        <f>IF(OR($L488="",$I488="Completed",$I488="Cancelled"),"",IF(AND($L488&lt;TODAY(),$I488&lt;&gt;"Completed",$I488&lt;&gt;"Cancelled"),"Overdue","On Track"))</f>
        <v/>
      </c>
      <c r="S488" s="65">
        <f>IF($L488="","",TEXT($L488,"yyyy-mm"))</f>
        <v/>
      </c>
      <c r="T488" s="86">
        <f>IF($I488="","",IFERROR(INDEX(Action_Status_Map!$C$5:$C$11,MATCH($I488,Action_Status_Map!$A$5:$A$11,0)),""))</f>
        <v/>
      </c>
      <c r="U488" s="81" t="n"/>
      <c r="V488" s="82" t="n"/>
      <c r="W488" s="65">
        <f>IF(OR($I488&lt;&gt;"Completed",$M488="",$L488=""),"",IF($M488&lt;=$L488,"Yes","No"))</f>
        <v/>
      </c>
      <c r="X488" s="84">
        <f>IF($A488="","",COUNTIF(Task_Steps!$B$5:$B$2004,$A488))</f>
        <v/>
      </c>
      <c r="Y488" s="86">
        <f>IF($X488=0,"",COUNTIFS(Task_Steps!$B$5:$B$2004,$A488,Task_Steps!$H$5:$H$2004,"Completed")/$X488)</f>
        <v/>
      </c>
      <c r="Z488" s="81" t="n"/>
      <c r="AA488" s="81" t="n"/>
      <c r="AB488" s="67">
        <f>IF($F488="","",IFERROR(INDEX(Employee_Master!$E$5:$E$204,MATCH($F488,Employee_Master!$B$5:$B$204,0)),""))</f>
        <v/>
      </c>
      <c r="AC488" s="65">
        <f>IF(OR($A488="",$AB488=""),"",IF(OR($I488="Completed",$I488="Cancelled"),"Closed - in Manager Report","Active - in Manager Report"))</f>
        <v/>
      </c>
      <c r="AD488" s="81">
        <f>IF($A488="","",IFERROR(TEXTJOIN(", ",TRUE,FILTER(Task_Steps!$A$5:$A$2004,Task_Steps!$B$5:$B$2004=$A488)),""))</f>
        <v/>
      </c>
      <c r="AE488" s="84">
        <f>IF($A488="","",COUNTIFS(Task_Steps!$B$5:$B$2004,$A488,Task_Steps!$H$5:$H$2004,"&lt;&gt;Completed",Task_Steps!$H$5:$H$2004,"&lt;&gt;Cancelled"))</f>
        <v/>
      </c>
      <c r="AF488" s="81">
        <f>IF(OR($B488="",$A488=""),"",$B488&amp;" | "&amp;$A488)</f>
        <v/>
      </c>
    </row>
    <row r="489" ht="15" customHeight="1" s="40">
      <c r="A489" s="65">
        <f>IF(COUNTA(B489:F489)=0,"","TSK-"&amp;TEXT(ROW()-4,"0000"))</f>
        <v/>
      </c>
      <c r="B489" s="78" t="n"/>
      <c r="C489" s="78" t="n"/>
      <c r="D489" s="81" t="n"/>
      <c r="E489" s="81" t="n"/>
      <c r="F489" s="78" t="n"/>
      <c r="G489" s="67">
        <f>IF($F489="","",IFERROR(INDEX(Employee_Master!$C$5:$C$204,MATCH($F489,Employee_Master!$B$5:$B$204,0)),""))</f>
        <v/>
      </c>
      <c r="H489" s="78" t="n"/>
      <c r="I489" s="78" t="n"/>
      <c r="J489" s="67">
        <f>IF($I489="","",IFERROR(INDEX(Action_Status_Map!$B$5:$B$11,MATCH($I489,Action_Status_Map!$A$5:$A$11,0)),""))</f>
        <v/>
      </c>
      <c r="K489" s="82" t="n"/>
      <c r="L489" s="82" t="n"/>
      <c r="M489" s="82" t="n"/>
      <c r="N489" s="83" t="n"/>
      <c r="O489" s="83" t="n"/>
      <c r="P489" s="66">
        <f>IF(OR($N489="",$O489=""),"",$O489-$N489)</f>
        <v/>
      </c>
      <c r="Q489" s="84">
        <f>IF($K489="","",IF($M489&lt;&gt;"",$M489-$K489,TODAY()-$K489))</f>
        <v/>
      </c>
      <c r="R489" s="85">
        <f>IF(OR($L489="",$I489="Completed",$I489="Cancelled"),"",IF(AND($L489&lt;TODAY(),$I489&lt;&gt;"Completed",$I489&lt;&gt;"Cancelled"),"Overdue","On Track"))</f>
        <v/>
      </c>
      <c r="S489" s="65">
        <f>IF($L489="","",TEXT($L489,"yyyy-mm"))</f>
        <v/>
      </c>
      <c r="T489" s="86">
        <f>IF($I489="","",IFERROR(INDEX(Action_Status_Map!$C$5:$C$11,MATCH($I489,Action_Status_Map!$A$5:$A$11,0)),""))</f>
        <v/>
      </c>
      <c r="U489" s="81" t="n"/>
      <c r="V489" s="82" t="n"/>
      <c r="W489" s="65">
        <f>IF(OR($I489&lt;&gt;"Completed",$M489="",$L489=""),"",IF($M489&lt;=$L489,"Yes","No"))</f>
        <v/>
      </c>
      <c r="X489" s="84">
        <f>IF($A489="","",COUNTIF(Task_Steps!$B$5:$B$2004,$A489))</f>
        <v/>
      </c>
      <c r="Y489" s="86">
        <f>IF($X489=0,"",COUNTIFS(Task_Steps!$B$5:$B$2004,$A489,Task_Steps!$H$5:$H$2004,"Completed")/$X489)</f>
        <v/>
      </c>
      <c r="Z489" s="81" t="n"/>
      <c r="AA489" s="81" t="n"/>
      <c r="AB489" s="67">
        <f>IF($F489="","",IFERROR(INDEX(Employee_Master!$E$5:$E$204,MATCH($F489,Employee_Master!$B$5:$B$204,0)),""))</f>
        <v/>
      </c>
      <c r="AC489" s="65">
        <f>IF(OR($A489="",$AB489=""),"",IF(OR($I489="Completed",$I489="Cancelled"),"Closed - in Manager Report","Active - in Manager Report"))</f>
        <v/>
      </c>
      <c r="AD489" s="81">
        <f>IF($A489="","",IFERROR(TEXTJOIN(", ",TRUE,FILTER(Task_Steps!$A$5:$A$2004,Task_Steps!$B$5:$B$2004=$A489)),""))</f>
        <v/>
      </c>
      <c r="AE489" s="84">
        <f>IF($A489="","",COUNTIFS(Task_Steps!$B$5:$B$2004,$A489,Task_Steps!$H$5:$H$2004,"&lt;&gt;Completed",Task_Steps!$H$5:$H$2004,"&lt;&gt;Cancelled"))</f>
        <v/>
      </c>
      <c r="AF489" s="81">
        <f>IF(OR($B489="",$A489=""),"",$B489&amp;" | "&amp;$A489)</f>
        <v/>
      </c>
    </row>
    <row r="490" ht="15" customHeight="1" s="40">
      <c r="A490" s="65">
        <f>IF(COUNTA(B490:F490)=0,"","TSK-"&amp;TEXT(ROW()-4,"0000"))</f>
        <v/>
      </c>
      <c r="B490" s="78" t="n"/>
      <c r="C490" s="78" t="n"/>
      <c r="D490" s="81" t="n"/>
      <c r="E490" s="81" t="n"/>
      <c r="F490" s="78" t="n"/>
      <c r="G490" s="67">
        <f>IF($F490="","",IFERROR(INDEX(Employee_Master!$C$5:$C$204,MATCH($F490,Employee_Master!$B$5:$B$204,0)),""))</f>
        <v/>
      </c>
      <c r="H490" s="78" t="n"/>
      <c r="I490" s="78" t="n"/>
      <c r="J490" s="67">
        <f>IF($I490="","",IFERROR(INDEX(Action_Status_Map!$B$5:$B$11,MATCH($I490,Action_Status_Map!$A$5:$A$11,0)),""))</f>
        <v/>
      </c>
      <c r="K490" s="82" t="n"/>
      <c r="L490" s="82" t="n"/>
      <c r="M490" s="82" t="n"/>
      <c r="N490" s="83" t="n"/>
      <c r="O490" s="83" t="n"/>
      <c r="P490" s="66">
        <f>IF(OR($N490="",$O490=""),"",$O490-$N490)</f>
        <v/>
      </c>
      <c r="Q490" s="84">
        <f>IF($K490="","",IF($M490&lt;&gt;"",$M490-$K490,TODAY()-$K490))</f>
        <v/>
      </c>
      <c r="R490" s="85">
        <f>IF(OR($L490="",$I490="Completed",$I490="Cancelled"),"",IF(AND($L490&lt;TODAY(),$I490&lt;&gt;"Completed",$I490&lt;&gt;"Cancelled"),"Overdue","On Track"))</f>
        <v/>
      </c>
      <c r="S490" s="65">
        <f>IF($L490="","",TEXT($L490,"yyyy-mm"))</f>
        <v/>
      </c>
      <c r="T490" s="86">
        <f>IF($I490="","",IFERROR(INDEX(Action_Status_Map!$C$5:$C$11,MATCH($I490,Action_Status_Map!$A$5:$A$11,0)),""))</f>
        <v/>
      </c>
      <c r="U490" s="81" t="n"/>
      <c r="V490" s="82" t="n"/>
      <c r="W490" s="65">
        <f>IF(OR($I490&lt;&gt;"Completed",$M490="",$L490=""),"",IF($M490&lt;=$L490,"Yes","No"))</f>
        <v/>
      </c>
      <c r="X490" s="84">
        <f>IF($A490="","",COUNTIF(Task_Steps!$B$5:$B$2004,$A490))</f>
        <v/>
      </c>
      <c r="Y490" s="86">
        <f>IF($X490=0,"",COUNTIFS(Task_Steps!$B$5:$B$2004,$A490,Task_Steps!$H$5:$H$2004,"Completed")/$X490)</f>
        <v/>
      </c>
      <c r="Z490" s="81" t="n"/>
      <c r="AA490" s="81" t="n"/>
      <c r="AB490" s="67">
        <f>IF($F490="","",IFERROR(INDEX(Employee_Master!$E$5:$E$204,MATCH($F490,Employee_Master!$B$5:$B$204,0)),""))</f>
        <v/>
      </c>
      <c r="AC490" s="65">
        <f>IF(OR($A490="",$AB490=""),"",IF(OR($I490="Completed",$I490="Cancelled"),"Closed - in Manager Report","Active - in Manager Report"))</f>
        <v/>
      </c>
      <c r="AD490" s="81">
        <f>IF($A490="","",IFERROR(TEXTJOIN(", ",TRUE,FILTER(Task_Steps!$A$5:$A$2004,Task_Steps!$B$5:$B$2004=$A490)),""))</f>
        <v/>
      </c>
      <c r="AE490" s="84">
        <f>IF($A490="","",COUNTIFS(Task_Steps!$B$5:$B$2004,$A490,Task_Steps!$H$5:$H$2004,"&lt;&gt;Completed",Task_Steps!$H$5:$H$2004,"&lt;&gt;Cancelled"))</f>
        <v/>
      </c>
      <c r="AF490" s="81">
        <f>IF(OR($B490="",$A490=""),"",$B490&amp;" | "&amp;$A490)</f>
        <v/>
      </c>
    </row>
    <row r="491" ht="15" customHeight="1" s="40">
      <c r="A491" s="65">
        <f>IF(COUNTA(B491:F491)=0,"","TSK-"&amp;TEXT(ROW()-4,"0000"))</f>
        <v/>
      </c>
      <c r="B491" s="78" t="n"/>
      <c r="C491" s="78" t="n"/>
      <c r="D491" s="81" t="n"/>
      <c r="E491" s="81" t="n"/>
      <c r="F491" s="78" t="n"/>
      <c r="G491" s="67">
        <f>IF($F491="","",IFERROR(INDEX(Employee_Master!$C$5:$C$204,MATCH($F491,Employee_Master!$B$5:$B$204,0)),""))</f>
        <v/>
      </c>
      <c r="H491" s="78" t="n"/>
      <c r="I491" s="78" t="n"/>
      <c r="J491" s="67">
        <f>IF($I491="","",IFERROR(INDEX(Action_Status_Map!$B$5:$B$11,MATCH($I491,Action_Status_Map!$A$5:$A$11,0)),""))</f>
        <v/>
      </c>
      <c r="K491" s="82" t="n"/>
      <c r="L491" s="82" t="n"/>
      <c r="M491" s="82" t="n"/>
      <c r="N491" s="83" t="n"/>
      <c r="O491" s="83" t="n"/>
      <c r="P491" s="66">
        <f>IF(OR($N491="",$O491=""),"",$O491-$N491)</f>
        <v/>
      </c>
      <c r="Q491" s="84">
        <f>IF($K491="","",IF($M491&lt;&gt;"",$M491-$K491,TODAY()-$K491))</f>
        <v/>
      </c>
      <c r="R491" s="85">
        <f>IF(OR($L491="",$I491="Completed",$I491="Cancelled"),"",IF(AND($L491&lt;TODAY(),$I491&lt;&gt;"Completed",$I491&lt;&gt;"Cancelled"),"Overdue","On Track"))</f>
        <v/>
      </c>
      <c r="S491" s="65">
        <f>IF($L491="","",TEXT($L491,"yyyy-mm"))</f>
        <v/>
      </c>
      <c r="T491" s="86">
        <f>IF($I491="","",IFERROR(INDEX(Action_Status_Map!$C$5:$C$11,MATCH($I491,Action_Status_Map!$A$5:$A$11,0)),""))</f>
        <v/>
      </c>
      <c r="U491" s="81" t="n"/>
      <c r="V491" s="82" t="n"/>
      <c r="W491" s="65">
        <f>IF(OR($I491&lt;&gt;"Completed",$M491="",$L491=""),"",IF($M491&lt;=$L491,"Yes","No"))</f>
        <v/>
      </c>
      <c r="X491" s="84">
        <f>IF($A491="","",COUNTIF(Task_Steps!$B$5:$B$2004,$A491))</f>
        <v/>
      </c>
      <c r="Y491" s="86">
        <f>IF($X491=0,"",COUNTIFS(Task_Steps!$B$5:$B$2004,$A491,Task_Steps!$H$5:$H$2004,"Completed")/$X491)</f>
        <v/>
      </c>
      <c r="Z491" s="81" t="n"/>
      <c r="AA491" s="81" t="n"/>
      <c r="AB491" s="67">
        <f>IF($F491="","",IFERROR(INDEX(Employee_Master!$E$5:$E$204,MATCH($F491,Employee_Master!$B$5:$B$204,0)),""))</f>
        <v/>
      </c>
      <c r="AC491" s="65">
        <f>IF(OR($A491="",$AB491=""),"",IF(OR($I491="Completed",$I491="Cancelled"),"Closed - in Manager Report","Active - in Manager Report"))</f>
        <v/>
      </c>
      <c r="AD491" s="81">
        <f>IF($A491="","",IFERROR(TEXTJOIN(", ",TRUE,FILTER(Task_Steps!$A$5:$A$2004,Task_Steps!$B$5:$B$2004=$A491)),""))</f>
        <v/>
      </c>
      <c r="AE491" s="84">
        <f>IF($A491="","",COUNTIFS(Task_Steps!$B$5:$B$2004,$A491,Task_Steps!$H$5:$H$2004,"&lt;&gt;Completed",Task_Steps!$H$5:$H$2004,"&lt;&gt;Cancelled"))</f>
        <v/>
      </c>
      <c r="AF491" s="81">
        <f>IF(OR($B491="",$A491=""),"",$B491&amp;" | "&amp;$A491)</f>
        <v/>
      </c>
    </row>
    <row r="492" ht="15" customHeight="1" s="40">
      <c r="A492" s="65">
        <f>IF(COUNTA(B492:F492)=0,"","TSK-"&amp;TEXT(ROW()-4,"0000"))</f>
        <v/>
      </c>
      <c r="B492" s="78" t="n"/>
      <c r="C492" s="78" t="n"/>
      <c r="D492" s="81" t="n"/>
      <c r="E492" s="81" t="n"/>
      <c r="F492" s="78" t="n"/>
      <c r="G492" s="67">
        <f>IF($F492="","",IFERROR(INDEX(Employee_Master!$C$5:$C$204,MATCH($F492,Employee_Master!$B$5:$B$204,0)),""))</f>
        <v/>
      </c>
      <c r="H492" s="78" t="n"/>
      <c r="I492" s="78" t="n"/>
      <c r="J492" s="67">
        <f>IF($I492="","",IFERROR(INDEX(Action_Status_Map!$B$5:$B$11,MATCH($I492,Action_Status_Map!$A$5:$A$11,0)),""))</f>
        <v/>
      </c>
      <c r="K492" s="82" t="n"/>
      <c r="L492" s="82" t="n"/>
      <c r="M492" s="82" t="n"/>
      <c r="N492" s="83" t="n"/>
      <c r="O492" s="83" t="n"/>
      <c r="P492" s="66">
        <f>IF(OR($N492="",$O492=""),"",$O492-$N492)</f>
        <v/>
      </c>
      <c r="Q492" s="84">
        <f>IF($K492="","",IF($M492&lt;&gt;"",$M492-$K492,TODAY()-$K492))</f>
        <v/>
      </c>
      <c r="R492" s="85">
        <f>IF(OR($L492="",$I492="Completed",$I492="Cancelled"),"",IF(AND($L492&lt;TODAY(),$I492&lt;&gt;"Completed",$I492&lt;&gt;"Cancelled"),"Overdue","On Track"))</f>
        <v/>
      </c>
      <c r="S492" s="65">
        <f>IF($L492="","",TEXT($L492,"yyyy-mm"))</f>
        <v/>
      </c>
      <c r="T492" s="86">
        <f>IF($I492="","",IFERROR(INDEX(Action_Status_Map!$C$5:$C$11,MATCH($I492,Action_Status_Map!$A$5:$A$11,0)),""))</f>
        <v/>
      </c>
      <c r="U492" s="81" t="n"/>
      <c r="V492" s="82" t="n"/>
      <c r="W492" s="65">
        <f>IF(OR($I492&lt;&gt;"Completed",$M492="",$L492=""),"",IF($M492&lt;=$L492,"Yes","No"))</f>
        <v/>
      </c>
      <c r="X492" s="84">
        <f>IF($A492="","",COUNTIF(Task_Steps!$B$5:$B$2004,$A492))</f>
        <v/>
      </c>
      <c r="Y492" s="86">
        <f>IF($X492=0,"",COUNTIFS(Task_Steps!$B$5:$B$2004,$A492,Task_Steps!$H$5:$H$2004,"Completed")/$X492)</f>
        <v/>
      </c>
      <c r="Z492" s="81" t="n"/>
      <c r="AA492" s="81" t="n"/>
      <c r="AB492" s="67">
        <f>IF($F492="","",IFERROR(INDEX(Employee_Master!$E$5:$E$204,MATCH($F492,Employee_Master!$B$5:$B$204,0)),""))</f>
        <v/>
      </c>
      <c r="AC492" s="65">
        <f>IF(OR($A492="",$AB492=""),"",IF(OR($I492="Completed",$I492="Cancelled"),"Closed - in Manager Report","Active - in Manager Report"))</f>
        <v/>
      </c>
      <c r="AD492" s="81">
        <f>IF($A492="","",IFERROR(TEXTJOIN(", ",TRUE,FILTER(Task_Steps!$A$5:$A$2004,Task_Steps!$B$5:$B$2004=$A492)),""))</f>
        <v/>
      </c>
      <c r="AE492" s="84">
        <f>IF($A492="","",COUNTIFS(Task_Steps!$B$5:$B$2004,$A492,Task_Steps!$H$5:$H$2004,"&lt;&gt;Completed",Task_Steps!$H$5:$H$2004,"&lt;&gt;Cancelled"))</f>
        <v/>
      </c>
      <c r="AF492" s="81">
        <f>IF(OR($B492="",$A492=""),"",$B492&amp;" | "&amp;$A492)</f>
        <v/>
      </c>
    </row>
    <row r="493" ht="15" customHeight="1" s="40">
      <c r="A493" s="65">
        <f>IF(COUNTA(B493:F493)=0,"","TSK-"&amp;TEXT(ROW()-4,"0000"))</f>
        <v/>
      </c>
      <c r="B493" s="78" t="n"/>
      <c r="C493" s="78" t="n"/>
      <c r="D493" s="81" t="n"/>
      <c r="E493" s="81" t="n"/>
      <c r="F493" s="78" t="n"/>
      <c r="G493" s="67">
        <f>IF($F493="","",IFERROR(INDEX(Employee_Master!$C$5:$C$204,MATCH($F493,Employee_Master!$B$5:$B$204,0)),""))</f>
        <v/>
      </c>
      <c r="H493" s="78" t="n"/>
      <c r="I493" s="78" t="n"/>
      <c r="J493" s="67">
        <f>IF($I493="","",IFERROR(INDEX(Action_Status_Map!$B$5:$B$11,MATCH($I493,Action_Status_Map!$A$5:$A$11,0)),""))</f>
        <v/>
      </c>
      <c r="K493" s="82" t="n"/>
      <c r="L493" s="82" t="n"/>
      <c r="M493" s="82" t="n"/>
      <c r="N493" s="83" t="n"/>
      <c r="O493" s="83" t="n"/>
      <c r="P493" s="66">
        <f>IF(OR($N493="",$O493=""),"",$O493-$N493)</f>
        <v/>
      </c>
      <c r="Q493" s="84">
        <f>IF($K493="","",IF($M493&lt;&gt;"",$M493-$K493,TODAY()-$K493))</f>
        <v/>
      </c>
      <c r="R493" s="85">
        <f>IF(OR($L493="",$I493="Completed",$I493="Cancelled"),"",IF(AND($L493&lt;TODAY(),$I493&lt;&gt;"Completed",$I493&lt;&gt;"Cancelled"),"Overdue","On Track"))</f>
        <v/>
      </c>
      <c r="S493" s="65">
        <f>IF($L493="","",TEXT($L493,"yyyy-mm"))</f>
        <v/>
      </c>
      <c r="T493" s="86">
        <f>IF($I493="","",IFERROR(INDEX(Action_Status_Map!$C$5:$C$11,MATCH($I493,Action_Status_Map!$A$5:$A$11,0)),""))</f>
        <v/>
      </c>
      <c r="U493" s="81" t="n"/>
      <c r="V493" s="82" t="n"/>
      <c r="W493" s="65">
        <f>IF(OR($I493&lt;&gt;"Completed",$M493="",$L493=""),"",IF($M493&lt;=$L493,"Yes","No"))</f>
        <v/>
      </c>
      <c r="X493" s="84">
        <f>IF($A493="","",COUNTIF(Task_Steps!$B$5:$B$2004,$A493))</f>
        <v/>
      </c>
      <c r="Y493" s="86">
        <f>IF($X493=0,"",COUNTIFS(Task_Steps!$B$5:$B$2004,$A493,Task_Steps!$H$5:$H$2004,"Completed")/$X493)</f>
        <v/>
      </c>
      <c r="Z493" s="81" t="n"/>
      <c r="AA493" s="81" t="n"/>
      <c r="AB493" s="67">
        <f>IF($F493="","",IFERROR(INDEX(Employee_Master!$E$5:$E$204,MATCH($F493,Employee_Master!$B$5:$B$204,0)),""))</f>
        <v/>
      </c>
      <c r="AC493" s="65">
        <f>IF(OR($A493="",$AB493=""),"",IF(OR($I493="Completed",$I493="Cancelled"),"Closed - in Manager Report","Active - in Manager Report"))</f>
        <v/>
      </c>
      <c r="AD493" s="81">
        <f>IF($A493="","",IFERROR(TEXTJOIN(", ",TRUE,FILTER(Task_Steps!$A$5:$A$2004,Task_Steps!$B$5:$B$2004=$A493)),""))</f>
        <v/>
      </c>
      <c r="AE493" s="84">
        <f>IF($A493="","",COUNTIFS(Task_Steps!$B$5:$B$2004,$A493,Task_Steps!$H$5:$H$2004,"&lt;&gt;Completed",Task_Steps!$H$5:$H$2004,"&lt;&gt;Cancelled"))</f>
        <v/>
      </c>
      <c r="AF493" s="81">
        <f>IF(OR($B493="",$A493=""),"",$B493&amp;" | "&amp;$A493)</f>
        <v/>
      </c>
    </row>
    <row r="494" ht="15" customHeight="1" s="40">
      <c r="A494" s="65">
        <f>IF(COUNTA(B494:F494)=0,"","TSK-"&amp;TEXT(ROW()-4,"0000"))</f>
        <v/>
      </c>
      <c r="B494" s="78" t="n"/>
      <c r="C494" s="78" t="n"/>
      <c r="D494" s="81" t="n"/>
      <c r="E494" s="81" t="n"/>
      <c r="F494" s="78" t="n"/>
      <c r="G494" s="67">
        <f>IF($F494="","",IFERROR(INDEX(Employee_Master!$C$5:$C$204,MATCH($F494,Employee_Master!$B$5:$B$204,0)),""))</f>
        <v/>
      </c>
      <c r="H494" s="78" t="n"/>
      <c r="I494" s="78" t="n"/>
      <c r="J494" s="67">
        <f>IF($I494="","",IFERROR(INDEX(Action_Status_Map!$B$5:$B$11,MATCH($I494,Action_Status_Map!$A$5:$A$11,0)),""))</f>
        <v/>
      </c>
      <c r="K494" s="82" t="n"/>
      <c r="L494" s="82" t="n"/>
      <c r="M494" s="82" t="n"/>
      <c r="N494" s="83" t="n"/>
      <c r="O494" s="83" t="n"/>
      <c r="P494" s="66">
        <f>IF(OR($N494="",$O494=""),"",$O494-$N494)</f>
        <v/>
      </c>
      <c r="Q494" s="84">
        <f>IF($K494="","",IF($M494&lt;&gt;"",$M494-$K494,TODAY()-$K494))</f>
        <v/>
      </c>
      <c r="R494" s="85">
        <f>IF(OR($L494="",$I494="Completed",$I494="Cancelled"),"",IF(AND($L494&lt;TODAY(),$I494&lt;&gt;"Completed",$I494&lt;&gt;"Cancelled"),"Overdue","On Track"))</f>
        <v/>
      </c>
      <c r="S494" s="65">
        <f>IF($L494="","",TEXT($L494,"yyyy-mm"))</f>
        <v/>
      </c>
      <c r="T494" s="86">
        <f>IF($I494="","",IFERROR(INDEX(Action_Status_Map!$C$5:$C$11,MATCH($I494,Action_Status_Map!$A$5:$A$11,0)),""))</f>
        <v/>
      </c>
      <c r="U494" s="81" t="n"/>
      <c r="V494" s="82" t="n"/>
      <c r="W494" s="65">
        <f>IF(OR($I494&lt;&gt;"Completed",$M494="",$L494=""),"",IF($M494&lt;=$L494,"Yes","No"))</f>
        <v/>
      </c>
      <c r="X494" s="84">
        <f>IF($A494="","",COUNTIF(Task_Steps!$B$5:$B$2004,$A494))</f>
        <v/>
      </c>
      <c r="Y494" s="86">
        <f>IF($X494=0,"",COUNTIFS(Task_Steps!$B$5:$B$2004,$A494,Task_Steps!$H$5:$H$2004,"Completed")/$X494)</f>
        <v/>
      </c>
      <c r="Z494" s="81" t="n"/>
      <c r="AA494" s="81" t="n"/>
      <c r="AB494" s="67">
        <f>IF($F494="","",IFERROR(INDEX(Employee_Master!$E$5:$E$204,MATCH($F494,Employee_Master!$B$5:$B$204,0)),""))</f>
        <v/>
      </c>
      <c r="AC494" s="65">
        <f>IF(OR($A494="",$AB494=""),"",IF(OR($I494="Completed",$I494="Cancelled"),"Closed - in Manager Report","Active - in Manager Report"))</f>
        <v/>
      </c>
      <c r="AD494" s="81">
        <f>IF($A494="","",IFERROR(TEXTJOIN(", ",TRUE,FILTER(Task_Steps!$A$5:$A$2004,Task_Steps!$B$5:$B$2004=$A494)),""))</f>
        <v/>
      </c>
      <c r="AE494" s="84">
        <f>IF($A494="","",COUNTIFS(Task_Steps!$B$5:$B$2004,$A494,Task_Steps!$H$5:$H$2004,"&lt;&gt;Completed",Task_Steps!$H$5:$H$2004,"&lt;&gt;Cancelled"))</f>
        <v/>
      </c>
      <c r="AF494" s="81">
        <f>IF(OR($B494="",$A494=""),"",$B494&amp;" | "&amp;$A494)</f>
        <v/>
      </c>
    </row>
    <row r="495" ht="15" customHeight="1" s="40">
      <c r="A495" s="65">
        <f>IF(COUNTA(B495:F495)=0,"","TSK-"&amp;TEXT(ROW()-4,"0000"))</f>
        <v/>
      </c>
      <c r="B495" s="78" t="n"/>
      <c r="C495" s="78" t="n"/>
      <c r="D495" s="81" t="n"/>
      <c r="E495" s="81" t="n"/>
      <c r="F495" s="78" t="n"/>
      <c r="G495" s="67">
        <f>IF($F495="","",IFERROR(INDEX(Employee_Master!$C$5:$C$204,MATCH($F495,Employee_Master!$B$5:$B$204,0)),""))</f>
        <v/>
      </c>
      <c r="H495" s="78" t="n"/>
      <c r="I495" s="78" t="n"/>
      <c r="J495" s="67">
        <f>IF($I495="","",IFERROR(INDEX(Action_Status_Map!$B$5:$B$11,MATCH($I495,Action_Status_Map!$A$5:$A$11,0)),""))</f>
        <v/>
      </c>
      <c r="K495" s="82" t="n"/>
      <c r="L495" s="82" t="n"/>
      <c r="M495" s="82" t="n"/>
      <c r="N495" s="83" t="n"/>
      <c r="O495" s="83" t="n"/>
      <c r="P495" s="66">
        <f>IF(OR($N495="",$O495=""),"",$O495-$N495)</f>
        <v/>
      </c>
      <c r="Q495" s="84">
        <f>IF($K495="","",IF($M495&lt;&gt;"",$M495-$K495,TODAY()-$K495))</f>
        <v/>
      </c>
      <c r="R495" s="85">
        <f>IF(OR($L495="",$I495="Completed",$I495="Cancelled"),"",IF(AND($L495&lt;TODAY(),$I495&lt;&gt;"Completed",$I495&lt;&gt;"Cancelled"),"Overdue","On Track"))</f>
        <v/>
      </c>
      <c r="S495" s="65">
        <f>IF($L495="","",TEXT($L495,"yyyy-mm"))</f>
        <v/>
      </c>
      <c r="T495" s="86">
        <f>IF($I495="","",IFERROR(INDEX(Action_Status_Map!$C$5:$C$11,MATCH($I495,Action_Status_Map!$A$5:$A$11,0)),""))</f>
        <v/>
      </c>
      <c r="U495" s="81" t="n"/>
      <c r="V495" s="82" t="n"/>
      <c r="W495" s="65">
        <f>IF(OR($I495&lt;&gt;"Completed",$M495="",$L495=""),"",IF($M495&lt;=$L495,"Yes","No"))</f>
        <v/>
      </c>
      <c r="X495" s="84">
        <f>IF($A495="","",COUNTIF(Task_Steps!$B$5:$B$2004,$A495))</f>
        <v/>
      </c>
      <c r="Y495" s="86">
        <f>IF($X495=0,"",COUNTIFS(Task_Steps!$B$5:$B$2004,$A495,Task_Steps!$H$5:$H$2004,"Completed")/$X495)</f>
        <v/>
      </c>
      <c r="Z495" s="81" t="n"/>
      <c r="AA495" s="81" t="n"/>
      <c r="AB495" s="67">
        <f>IF($F495="","",IFERROR(INDEX(Employee_Master!$E$5:$E$204,MATCH($F495,Employee_Master!$B$5:$B$204,0)),""))</f>
        <v/>
      </c>
      <c r="AC495" s="65">
        <f>IF(OR($A495="",$AB495=""),"",IF(OR($I495="Completed",$I495="Cancelled"),"Closed - in Manager Report","Active - in Manager Report"))</f>
        <v/>
      </c>
      <c r="AD495" s="81">
        <f>IF($A495="","",IFERROR(TEXTJOIN(", ",TRUE,FILTER(Task_Steps!$A$5:$A$2004,Task_Steps!$B$5:$B$2004=$A495)),""))</f>
        <v/>
      </c>
      <c r="AE495" s="84">
        <f>IF($A495="","",COUNTIFS(Task_Steps!$B$5:$B$2004,$A495,Task_Steps!$H$5:$H$2004,"&lt;&gt;Completed",Task_Steps!$H$5:$H$2004,"&lt;&gt;Cancelled"))</f>
        <v/>
      </c>
      <c r="AF495" s="81">
        <f>IF(OR($B495="",$A495=""),"",$B495&amp;" | "&amp;$A495)</f>
        <v/>
      </c>
    </row>
    <row r="496" ht="15" customHeight="1" s="40">
      <c r="A496" s="65">
        <f>IF(COUNTA(B496:F496)=0,"","TSK-"&amp;TEXT(ROW()-4,"0000"))</f>
        <v/>
      </c>
      <c r="B496" s="78" t="n"/>
      <c r="C496" s="78" t="n"/>
      <c r="D496" s="81" t="n"/>
      <c r="E496" s="81" t="n"/>
      <c r="F496" s="78" t="n"/>
      <c r="G496" s="67">
        <f>IF($F496="","",IFERROR(INDEX(Employee_Master!$C$5:$C$204,MATCH($F496,Employee_Master!$B$5:$B$204,0)),""))</f>
        <v/>
      </c>
      <c r="H496" s="78" t="n"/>
      <c r="I496" s="78" t="n"/>
      <c r="J496" s="67">
        <f>IF($I496="","",IFERROR(INDEX(Action_Status_Map!$B$5:$B$11,MATCH($I496,Action_Status_Map!$A$5:$A$11,0)),""))</f>
        <v/>
      </c>
      <c r="K496" s="82" t="n"/>
      <c r="L496" s="82" t="n"/>
      <c r="M496" s="82" t="n"/>
      <c r="N496" s="83" t="n"/>
      <c r="O496" s="83" t="n"/>
      <c r="P496" s="66">
        <f>IF(OR($N496="",$O496=""),"",$O496-$N496)</f>
        <v/>
      </c>
      <c r="Q496" s="84">
        <f>IF($K496="","",IF($M496&lt;&gt;"",$M496-$K496,TODAY()-$K496))</f>
        <v/>
      </c>
      <c r="R496" s="85">
        <f>IF(OR($L496="",$I496="Completed",$I496="Cancelled"),"",IF(AND($L496&lt;TODAY(),$I496&lt;&gt;"Completed",$I496&lt;&gt;"Cancelled"),"Overdue","On Track"))</f>
        <v/>
      </c>
      <c r="S496" s="65">
        <f>IF($L496="","",TEXT($L496,"yyyy-mm"))</f>
        <v/>
      </c>
      <c r="T496" s="86">
        <f>IF($I496="","",IFERROR(INDEX(Action_Status_Map!$C$5:$C$11,MATCH($I496,Action_Status_Map!$A$5:$A$11,0)),""))</f>
        <v/>
      </c>
      <c r="U496" s="81" t="n"/>
      <c r="V496" s="82" t="n"/>
      <c r="W496" s="65">
        <f>IF(OR($I496&lt;&gt;"Completed",$M496="",$L496=""),"",IF($M496&lt;=$L496,"Yes","No"))</f>
        <v/>
      </c>
      <c r="X496" s="84">
        <f>IF($A496="","",COUNTIF(Task_Steps!$B$5:$B$2004,$A496))</f>
        <v/>
      </c>
      <c r="Y496" s="86">
        <f>IF($X496=0,"",COUNTIFS(Task_Steps!$B$5:$B$2004,$A496,Task_Steps!$H$5:$H$2004,"Completed")/$X496)</f>
        <v/>
      </c>
      <c r="Z496" s="81" t="n"/>
      <c r="AA496" s="81" t="n"/>
      <c r="AB496" s="67">
        <f>IF($F496="","",IFERROR(INDEX(Employee_Master!$E$5:$E$204,MATCH($F496,Employee_Master!$B$5:$B$204,0)),""))</f>
        <v/>
      </c>
      <c r="AC496" s="65">
        <f>IF(OR($A496="",$AB496=""),"",IF(OR($I496="Completed",$I496="Cancelled"),"Closed - in Manager Report","Active - in Manager Report"))</f>
        <v/>
      </c>
      <c r="AD496" s="81">
        <f>IF($A496="","",IFERROR(TEXTJOIN(", ",TRUE,FILTER(Task_Steps!$A$5:$A$2004,Task_Steps!$B$5:$B$2004=$A496)),""))</f>
        <v/>
      </c>
      <c r="AE496" s="84">
        <f>IF($A496="","",COUNTIFS(Task_Steps!$B$5:$B$2004,$A496,Task_Steps!$H$5:$H$2004,"&lt;&gt;Completed",Task_Steps!$H$5:$H$2004,"&lt;&gt;Cancelled"))</f>
        <v/>
      </c>
      <c r="AF496" s="81">
        <f>IF(OR($B496="",$A496=""),"",$B496&amp;" | "&amp;$A496)</f>
        <v/>
      </c>
    </row>
    <row r="497" ht="15" customHeight="1" s="40">
      <c r="A497" s="65">
        <f>IF(COUNTA(B497:F497)=0,"","TSK-"&amp;TEXT(ROW()-4,"0000"))</f>
        <v/>
      </c>
      <c r="B497" s="78" t="n"/>
      <c r="C497" s="78" t="n"/>
      <c r="D497" s="81" t="n"/>
      <c r="E497" s="81" t="n"/>
      <c r="F497" s="78" t="n"/>
      <c r="G497" s="67">
        <f>IF($F497="","",IFERROR(INDEX(Employee_Master!$C$5:$C$204,MATCH($F497,Employee_Master!$B$5:$B$204,0)),""))</f>
        <v/>
      </c>
      <c r="H497" s="78" t="n"/>
      <c r="I497" s="78" t="n"/>
      <c r="J497" s="67">
        <f>IF($I497="","",IFERROR(INDEX(Action_Status_Map!$B$5:$B$11,MATCH($I497,Action_Status_Map!$A$5:$A$11,0)),""))</f>
        <v/>
      </c>
      <c r="K497" s="82" t="n"/>
      <c r="L497" s="82" t="n"/>
      <c r="M497" s="82" t="n"/>
      <c r="N497" s="83" t="n"/>
      <c r="O497" s="83" t="n"/>
      <c r="P497" s="66">
        <f>IF(OR($N497="",$O497=""),"",$O497-$N497)</f>
        <v/>
      </c>
      <c r="Q497" s="84">
        <f>IF($K497="","",IF($M497&lt;&gt;"",$M497-$K497,TODAY()-$K497))</f>
        <v/>
      </c>
      <c r="R497" s="85">
        <f>IF(OR($L497="",$I497="Completed",$I497="Cancelled"),"",IF(AND($L497&lt;TODAY(),$I497&lt;&gt;"Completed",$I497&lt;&gt;"Cancelled"),"Overdue","On Track"))</f>
        <v/>
      </c>
      <c r="S497" s="65">
        <f>IF($L497="","",TEXT($L497,"yyyy-mm"))</f>
        <v/>
      </c>
      <c r="T497" s="86">
        <f>IF($I497="","",IFERROR(INDEX(Action_Status_Map!$C$5:$C$11,MATCH($I497,Action_Status_Map!$A$5:$A$11,0)),""))</f>
        <v/>
      </c>
      <c r="U497" s="81" t="n"/>
      <c r="V497" s="82" t="n"/>
      <c r="W497" s="65">
        <f>IF(OR($I497&lt;&gt;"Completed",$M497="",$L497=""),"",IF($M497&lt;=$L497,"Yes","No"))</f>
        <v/>
      </c>
      <c r="X497" s="84">
        <f>IF($A497="","",COUNTIF(Task_Steps!$B$5:$B$2004,$A497))</f>
        <v/>
      </c>
      <c r="Y497" s="86">
        <f>IF($X497=0,"",COUNTIFS(Task_Steps!$B$5:$B$2004,$A497,Task_Steps!$H$5:$H$2004,"Completed")/$X497)</f>
        <v/>
      </c>
      <c r="Z497" s="81" t="n"/>
      <c r="AA497" s="81" t="n"/>
      <c r="AB497" s="67">
        <f>IF($F497="","",IFERROR(INDEX(Employee_Master!$E$5:$E$204,MATCH($F497,Employee_Master!$B$5:$B$204,0)),""))</f>
        <v/>
      </c>
      <c r="AC497" s="65">
        <f>IF(OR($A497="",$AB497=""),"",IF(OR($I497="Completed",$I497="Cancelled"),"Closed - in Manager Report","Active - in Manager Report"))</f>
        <v/>
      </c>
      <c r="AD497" s="81">
        <f>IF($A497="","",IFERROR(TEXTJOIN(", ",TRUE,FILTER(Task_Steps!$A$5:$A$2004,Task_Steps!$B$5:$B$2004=$A497)),""))</f>
        <v/>
      </c>
      <c r="AE497" s="84">
        <f>IF($A497="","",COUNTIFS(Task_Steps!$B$5:$B$2004,$A497,Task_Steps!$H$5:$H$2004,"&lt;&gt;Completed",Task_Steps!$H$5:$H$2004,"&lt;&gt;Cancelled"))</f>
        <v/>
      </c>
      <c r="AF497" s="81">
        <f>IF(OR($B497="",$A497=""),"",$B497&amp;" | "&amp;$A497)</f>
        <v/>
      </c>
    </row>
    <row r="498" ht="15" customHeight="1" s="40">
      <c r="A498" s="65">
        <f>IF(COUNTA(B498:F498)=0,"","TSK-"&amp;TEXT(ROW()-4,"0000"))</f>
        <v/>
      </c>
      <c r="B498" s="78" t="n"/>
      <c r="C498" s="78" t="n"/>
      <c r="D498" s="81" t="n"/>
      <c r="E498" s="81" t="n"/>
      <c r="F498" s="78" t="n"/>
      <c r="G498" s="67">
        <f>IF($F498="","",IFERROR(INDEX(Employee_Master!$C$5:$C$204,MATCH($F498,Employee_Master!$B$5:$B$204,0)),""))</f>
        <v/>
      </c>
      <c r="H498" s="78" t="n"/>
      <c r="I498" s="78" t="n"/>
      <c r="J498" s="67">
        <f>IF($I498="","",IFERROR(INDEX(Action_Status_Map!$B$5:$B$11,MATCH($I498,Action_Status_Map!$A$5:$A$11,0)),""))</f>
        <v/>
      </c>
      <c r="K498" s="82" t="n"/>
      <c r="L498" s="82" t="n"/>
      <c r="M498" s="82" t="n"/>
      <c r="N498" s="83" t="n"/>
      <c r="O498" s="83" t="n"/>
      <c r="P498" s="66">
        <f>IF(OR($N498="",$O498=""),"",$O498-$N498)</f>
        <v/>
      </c>
      <c r="Q498" s="84">
        <f>IF($K498="","",IF($M498&lt;&gt;"",$M498-$K498,TODAY()-$K498))</f>
        <v/>
      </c>
      <c r="R498" s="85">
        <f>IF(OR($L498="",$I498="Completed",$I498="Cancelled"),"",IF(AND($L498&lt;TODAY(),$I498&lt;&gt;"Completed",$I498&lt;&gt;"Cancelled"),"Overdue","On Track"))</f>
        <v/>
      </c>
      <c r="S498" s="65">
        <f>IF($L498="","",TEXT($L498,"yyyy-mm"))</f>
        <v/>
      </c>
      <c r="T498" s="86">
        <f>IF($I498="","",IFERROR(INDEX(Action_Status_Map!$C$5:$C$11,MATCH($I498,Action_Status_Map!$A$5:$A$11,0)),""))</f>
        <v/>
      </c>
      <c r="U498" s="81" t="n"/>
      <c r="V498" s="82" t="n"/>
      <c r="W498" s="65">
        <f>IF(OR($I498&lt;&gt;"Completed",$M498="",$L498=""),"",IF($M498&lt;=$L498,"Yes","No"))</f>
        <v/>
      </c>
      <c r="X498" s="84">
        <f>IF($A498="","",COUNTIF(Task_Steps!$B$5:$B$2004,$A498))</f>
        <v/>
      </c>
      <c r="Y498" s="86">
        <f>IF($X498=0,"",COUNTIFS(Task_Steps!$B$5:$B$2004,$A498,Task_Steps!$H$5:$H$2004,"Completed")/$X498)</f>
        <v/>
      </c>
      <c r="Z498" s="81" t="n"/>
      <c r="AA498" s="81" t="n"/>
      <c r="AB498" s="67">
        <f>IF($F498="","",IFERROR(INDEX(Employee_Master!$E$5:$E$204,MATCH($F498,Employee_Master!$B$5:$B$204,0)),""))</f>
        <v/>
      </c>
      <c r="AC498" s="65">
        <f>IF(OR($A498="",$AB498=""),"",IF(OR($I498="Completed",$I498="Cancelled"),"Closed - in Manager Report","Active - in Manager Report"))</f>
        <v/>
      </c>
      <c r="AD498" s="81">
        <f>IF($A498="","",IFERROR(TEXTJOIN(", ",TRUE,FILTER(Task_Steps!$A$5:$A$2004,Task_Steps!$B$5:$B$2004=$A498)),""))</f>
        <v/>
      </c>
      <c r="AE498" s="84">
        <f>IF($A498="","",COUNTIFS(Task_Steps!$B$5:$B$2004,$A498,Task_Steps!$H$5:$H$2004,"&lt;&gt;Completed",Task_Steps!$H$5:$H$2004,"&lt;&gt;Cancelled"))</f>
        <v/>
      </c>
      <c r="AF498" s="81">
        <f>IF(OR($B498="",$A498=""),"",$B498&amp;" | "&amp;$A498)</f>
        <v/>
      </c>
    </row>
    <row r="499" ht="15" customHeight="1" s="40">
      <c r="A499" s="65">
        <f>IF(COUNTA(B499:F499)=0,"","TSK-"&amp;TEXT(ROW()-4,"0000"))</f>
        <v/>
      </c>
      <c r="B499" s="78" t="n"/>
      <c r="C499" s="78" t="n"/>
      <c r="D499" s="81" t="n"/>
      <c r="E499" s="81" t="n"/>
      <c r="F499" s="78" t="n"/>
      <c r="G499" s="67">
        <f>IF($F499="","",IFERROR(INDEX(Employee_Master!$C$5:$C$204,MATCH($F499,Employee_Master!$B$5:$B$204,0)),""))</f>
        <v/>
      </c>
      <c r="H499" s="78" t="n"/>
      <c r="I499" s="78" t="n"/>
      <c r="J499" s="67">
        <f>IF($I499="","",IFERROR(INDEX(Action_Status_Map!$B$5:$B$11,MATCH($I499,Action_Status_Map!$A$5:$A$11,0)),""))</f>
        <v/>
      </c>
      <c r="K499" s="82" t="n"/>
      <c r="L499" s="82" t="n"/>
      <c r="M499" s="82" t="n"/>
      <c r="N499" s="83" t="n"/>
      <c r="O499" s="83" t="n"/>
      <c r="P499" s="66">
        <f>IF(OR($N499="",$O499=""),"",$O499-$N499)</f>
        <v/>
      </c>
      <c r="Q499" s="84">
        <f>IF($K499="","",IF($M499&lt;&gt;"",$M499-$K499,TODAY()-$K499))</f>
        <v/>
      </c>
      <c r="R499" s="85">
        <f>IF(OR($L499="",$I499="Completed",$I499="Cancelled"),"",IF(AND($L499&lt;TODAY(),$I499&lt;&gt;"Completed",$I499&lt;&gt;"Cancelled"),"Overdue","On Track"))</f>
        <v/>
      </c>
      <c r="S499" s="65">
        <f>IF($L499="","",TEXT($L499,"yyyy-mm"))</f>
        <v/>
      </c>
      <c r="T499" s="86">
        <f>IF($I499="","",IFERROR(INDEX(Action_Status_Map!$C$5:$C$11,MATCH($I499,Action_Status_Map!$A$5:$A$11,0)),""))</f>
        <v/>
      </c>
      <c r="U499" s="81" t="n"/>
      <c r="V499" s="82" t="n"/>
      <c r="W499" s="65">
        <f>IF(OR($I499&lt;&gt;"Completed",$M499="",$L499=""),"",IF($M499&lt;=$L499,"Yes","No"))</f>
        <v/>
      </c>
      <c r="X499" s="84">
        <f>IF($A499="","",COUNTIF(Task_Steps!$B$5:$B$2004,$A499))</f>
        <v/>
      </c>
      <c r="Y499" s="86">
        <f>IF($X499=0,"",COUNTIFS(Task_Steps!$B$5:$B$2004,$A499,Task_Steps!$H$5:$H$2004,"Completed")/$X499)</f>
        <v/>
      </c>
      <c r="Z499" s="81" t="n"/>
      <c r="AA499" s="81" t="n"/>
      <c r="AB499" s="67">
        <f>IF($F499="","",IFERROR(INDEX(Employee_Master!$E$5:$E$204,MATCH($F499,Employee_Master!$B$5:$B$204,0)),""))</f>
        <v/>
      </c>
      <c r="AC499" s="65">
        <f>IF(OR($A499="",$AB499=""),"",IF(OR($I499="Completed",$I499="Cancelled"),"Closed - in Manager Report","Active - in Manager Report"))</f>
        <v/>
      </c>
      <c r="AD499" s="81">
        <f>IF($A499="","",IFERROR(TEXTJOIN(", ",TRUE,FILTER(Task_Steps!$A$5:$A$2004,Task_Steps!$B$5:$B$2004=$A499)),""))</f>
        <v/>
      </c>
      <c r="AE499" s="84">
        <f>IF($A499="","",COUNTIFS(Task_Steps!$B$5:$B$2004,$A499,Task_Steps!$H$5:$H$2004,"&lt;&gt;Completed",Task_Steps!$H$5:$H$2004,"&lt;&gt;Cancelled"))</f>
        <v/>
      </c>
      <c r="AF499" s="81">
        <f>IF(OR($B499="",$A499=""),"",$B499&amp;" | "&amp;$A499)</f>
        <v/>
      </c>
    </row>
    <row r="500" ht="15" customHeight="1" s="40">
      <c r="A500" s="65">
        <f>IF(COUNTA(B500:F500)=0,"","TSK-"&amp;TEXT(ROW()-4,"0000"))</f>
        <v/>
      </c>
      <c r="B500" s="78" t="n"/>
      <c r="C500" s="78" t="n"/>
      <c r="D500" s="81" t="n"/>
      <c r="E500" s="81" t="n"/>
      <c r="F500" s="78" t="n"/>
      <c r="G500" s="67">
        <f>IF($F500="","",IFERROR(INDEX(Employee_Master!$C$5:$C$204,MATCH($F500,Employee_Master!$B$5:$B$204,0)),""))</f>
        <v/>
      </c>
      <c r="H500" s="78" t="n"/>
      <c r="I500" s="78" t="n"/>
      <c r="J500" s="67">
        <f>IF($I500="","",IFERROR(INDEX(Action_Status_Map!$B$5:$B$11,MATCH($I500,Action_Status_Map!$A$5:$A$11,0)),""))</f>
        <v/>
      </c>
      <c r="K500" s="82" t="n"/>
      <c r="L500" s="82" t="n"/>
      <c r="M500" s="82" t="n"/>
      <c r="N500" s="83" t="n"/>
      <c r="O500" s="83" t="n"/>
      <c r="P500" s="66">
        <f>IF(OR($N500="",$O500=""),"",$O500-$N500)</f>
        <v/>
      </c>
      <c r="Q500" s="84">
        <f>IF($K500="","",IF($M500&lt;&gt;"",$M500-$K500,TODAY()-$K500))</f>
        <v/>
      </c>
      <c r="R500" s="85">
        <f>IF(OR($L500="",$I500="Completed",$I500="Cancelled"),"",IF(AND($L500&lt;TODAY(),$I500&lt;&gt;"Completed",$I500&lt;&gt;"Cancelled"),"Overdue","On Track"))</f>
        <v/>
      </c>
      <c r="S500" s="65">
        <f>IF($L500="","",TEXT($L500,"yyyy-mm"))</f>
        <v/>
      </c>
      <c r="T500" s="86">
        <f>IF($I500="","",IFERROR(INDEX(Action_Status_Map!$C$5:$C$11,MATCH($I500,Action_Status_Map!$A$5:$A$11,0)),""))</f>
        <v/>
      </c>
      <c r="U500" s="81" t="n"/>
      <c r="V500" s="82" t="n"/>
      <c r="W500" s="65">
        <f>IF(OR($I500&lt;&gt;"Completed",$M500="",$L500=""),"",IF($M500&lt;=$L500,"Yes","No"))</f>
        <v/>
      </c>
      <c r="X500" s="84">
        <f>IF($A500="","",COUNTIF(Task_Steps!$B$5:$B$2004,$A500))</f>
        <v/>
      </c>
      <c r="Y500" s="86">
        <f>IF($X500=0,"",COUNTIFS(Task_Steps!$B$5:$B$2004,$A500,Task_Steps!$H$5:$H$2004,"Completed")/$X500)</f>
        <v/>
      </c>
      <c r="Z500" s="81" t="n"/>
      <c r="AA500" s="81" t="n"/>
      <c r="AB500" s="67">
        <f>IF($F500="","",IFERROR(INDEX(Employee_Master!$E$5:$E$204,MATCH($F500,Employee_Master!$B$5:$B$204,0)),""))</f>
        <v/>
      </c>
      <c r="AC500" s="65">
        <f>IF(OR($A500="",$AB500=""),"",IF(OR($I500="Completed",$I500="Cancelled"),"Closed - in Manager Report","Active - in Manager Report"))</f>
        <v/>
      </c>
      <c r="AD500" s="81">
        <f>IF($A500="","",IFERROR(TEXTJOIN(", ",TRUE,FILTER(Task_Steps!$A$5:$A$2004,Task_Steps!$B$5:$B$2004=$A500)),""))</f>
        <v/>
      </c>
      <c r="AE500" s="84">
        <f>IF($A500="","",COUNTIFS(Task_Steps!$B$5:$B$2004,$A500,Task_Steps!$H$5:$H$2004,"&lt;&gt;Completed",Task_Steps!$H$5:$H$2004,"&lt;&gt;Cancelled"))</f>
        <v/>
      </c>
      <c r="AF500" s="81">
        <f>IF(OR($B500="",$A500=""),"",$B500&amp;" | "&amp;$A500)</f>
        <v/>
      </c>
    </row>
    <row r="501" ht="15" customHeight="1" s="40">
      <c r="A501" s="65">
        <f>IF(COUNTA(B501:F501)=0,"","TSK-"&amp;TEXT(ROW()-4,"0000"))</f>
        <v/>
      </c>
      <c r="B501" s="78" t="n"/>
      <c r="C501" s="78" t="n"/>
      <c r="D501" s="81" t="n"/>
      <c r="E501" s="81" t="n"/>
      <c r="F501" s="78" t="n"/>
      <c r="G501" s="67">
        <f>IF($F501="","",IFERROR(INDEX(Employee_Master!$C$5:$C$204,MATCH($F501,Employee_Master!$B$5:$B$204,0)),""))</f>
        <v/>
      </c>
      <c r="H501" s="78" t="n"/>
      <c r="I501" s="78" t="n"/>
      <c r="J501" s="67">
        <f>IF($I501="","",IFERROR(INDEX(Action_Status_Map!$B$5:$B$11,MATCH($I501,Action_Status_Map!$A$5:$A$11,0)),""))</f>
        <v/>
      </c>
      <c r="K501" s="82" t="n"/>
      <c r="L501" s="82" t="n"/>
      <c r="M501" s="82" t="n"/>
      <c r="N501" s="83" t="n"/>
      <c r="O501" s="83" t="n"/>
      <c r="P501" s="66">
        <f>IF(OR($N501="",$O501=""),"",$O501-$N501)</f>
        <v/>
      </c>
      <c r="Q501" s="84">
        <f>IF($K501="","",IF($M501&lt;&gt;"",$M501-$K501,TODAY()-$K501))</f>
        <v/>
      </c>
      <c r="R501" s="85">
        <f>IF(OR($L501="",$I501="Completed",$I501="Cancelled"),"",IF(AND($L501&lt;TODAY(),$I501&lt;&gt;"Completed",$I501&lt;&gt;"Cancelled"),"Overdue","On Track"))</f>
        <v/>
      </c>
      <c r="S501" s="65">
        <f>IF($L501="","",TEXT($L501,"yyyy-mm"))</f>
        <v/>
      </c>
      <c r="T501" s="86">
        <f>IF($I501="","",IFERROR(INDEX(Action_Status_Map!$C$5:$C$11,MATCH($I501,Action_Status_Map!$A$5:$A$11,0)),""))</f>
        <v/>
      </c>
      <c r="U501" s="81" t="n"/>
      <c r="V501" s="82" t="n"/>
      <c r="W501" s="65">
        <f>IF(OR($I501&lt;&gt;"Completed",$M501="",$L501=""),"",IF($M501&lt;=$L501,"Yes","No"))</f>
        <v/>
      </c>
      <c r="X501" s="84">
        <f>IF($A501="","",COUNTIF(Task_Steps!$B$5:$B$2004,$A501))</f>
        <v/>
      </c>
      <c r="Y501" s="86">
        <f>IF($X501=0,"",COUNTIFS(Task_Steps!$B$5:$B$2004,$A501,Task_Steps!$H$5:$H$2004,"Completed")/$X501)</f>
        <v/>
      </c>
      <c r="Z501" s="81" t="n"/>
      <c r="AA501" s="81" t="n"/>
      <c r="AB501" s="67">
        <f>IF($F501="","",IFERROR(INDEX(Employee_Master!$E$5:$E$204,MATCH($F501,Employee_Master!$B$5:$B$204,0)),""))</f>
        <v/>
      </c>
      <c r="AC501" s="65">
        <f>IF(OR($A501="",$AB501=""),"",IF(OR($I501="Completed",$I501="Cancelled"),"Closed - in Manager Report","Active - in Manager Report"))</f>
        <v/>
      </c>
      <c r="AD501" s="81">
        <f>IF($A501="","",IFERROR(TEXTJOIN(", ",TRUE,FILTER(Task_Steps!$A$5:$A$2004,Task_Steps!$B$5:$B$2004=$A501)),""))</f>
        <v/>
      </c>
      <c r="AE501" s="84">
        <f>IF($A501="","",COUNTIFS(Task_Steps!$B$5:$B$2004,$A501,Task_Steps!$H$5:$H$2004,"&lt;&gt;Completed",Task_Steps!$H$5:$H$2004,"&lt;&gt;Cancelled"))</f>
        <v/>
      </c>
      <c r="AF501" s="81">
        <f>IF(OR($B501="",$A501=""),"",$B501&amp;" | "&amp;$A501)</f>
        <v/>
      </c>
    </row>
    <row r="502" ht="15" customHeight="1" s="40">
      <c r="A502" s="65">
        <f>IF(COUNTA(B502:F502)=0,"","TSK-"&amp;TEXT(ROW()-4,"0000"))</f>
        <v/>
      </c>
      <c r="B502" s="78" t="n"/>
      <c r="C502" s="78" t="n"/>
      <c r="D502" s="81" t="n"/>
      <c r="E502" s="81" t="n"/>
      <c r="F502" s="78" t="n"/>
      <c r="G502" s="67">
        <f>IF($F502="","",IFERROR(INDEX(Employee_Master!$C$5:$C$204,MATCH($F502,Employee_Master!$B$5:$B$204,0)),""))</f>
        <v/>
      </c>
      <c r="H502" s="78" t="n"/>
      <c r="I502" s="78" t="n"/>
      <c r="J502" s="67">
        <f>IF($I502="","",IFERROR(INDEX(Action_Status_Map!$B$5:$B$11,MATCH($I502,Action_Status_Map!$A$5:$A$11,0)),""))</f>
        <v/>
      </c>
      <c r="K502" s="82" t="n"/>
      <c r="L502" s="82" t="n"/>
      <c r="M502" s="82" t="n"/>
      <c r="N502" s="83" t="n"/>
      <c r="O502" s="83" t="n"/>
      <c r="P502" s="66">
        <f>IF(OR($N502="",$O502=""),"",$O502-$N502)</f>
        <v/>
      </c>
      <c r="Q502" s="84">
        <f>IF($K502="","",IF($M502&lt;&gt;"",$M502-$K502,TODAY()-$K502))</f>
        <v/>
      </c>
      <c r="R502" s="85">
        <f>IF(OR($L502="",$I502="Completed",$I502="Cancelled"),"",IF(AND($L502&lt;TODAY(),$I502&lt;&gt;"Completed",$I502&lt;&gt;"Cancelled"),"Overdue","On Track"))</f>
        <v/>
      </c>
      <c r="S502" s="65">
        <f>IF($L502="","",TEXT($L502,"yyyy-mm"))</f>
        <v/>
      </c>
      <c r="T502" s="86">
        <f>IF($I502="","",IFERROR(INDEX(Action_Status_Map!$C$5:$C$11,MATCH($I502,Action_Status_Map!$A$5:$A$11,0)),""))</f>
        <v/>
      </c>
      <c r="U502" s="81" t="n"/>
      <c r="V502" s="82" t="n"/>
      <c r="W502" s="65">
        <f>IF(OR($I502&lt;&gt;"Completed",$M502="",$L502=""),"",IF($M502&lt;=$L502,"Yes","No"))</f>
        <v/>
      </c>
      <c r="X502" s="84">
        <f>IF($A502="","",COUNTIF(Task_Steps!$B$5:$B$2004,$A502))</f>
        <v/>
      </c>
      <c r="Y502" s="86">
        <f>IF($X502=0,"",COUNTIFS(Task_Steps!$B$5:$B$2004,$A502,Task_Steps!$H$5:$H$2004,"Completed")/$X502)</f>
        <v/>
      </c>
      <c r="Z502" s="81" t="n"/>
      <c r="AA502" s="81" t="n"/>
      <c r="AB502" s="67">
        <f>IF($F502="","",IFERROR(INDEX(Employee_Master!$E$5:$E$204,MATCH($F502,Employee_Master!$B$5:$B$204,0)),""))</f>
        <v/>
      </c>
      <c r="AC502" s="65">
        <f>IF(OR($A502="",$AB502=""),"",IF(OR($I502="Completed",$I502="Cancelled"),"Closed - in Manager Report","Active - in Manager Report"))</f>
        <v/>
      </c>
      <c r="AD502" s="81">
        <f>IF($A502="","",IFERROR(TEXTJOIN(", ",TRUE,FILTER(Task_Steps!$A$5:$A$2004,Task_Steps!$B$5:$B$2004=$A502)),""))</f>
        <v/>
      </c>
      <c r="AE502" s="84">
        <f>IF($A502="","",COUNTIFS(Task_Steps!$B$5:$B$2004,$A502,Task_Steps!$H$5:$H$2004,"&lt;&gt;Completed",Task_Steps!$H$5:$H$2004,"&lt;&gt;Cancelled"))</f>
        <v/>
      </c>
      <c r="AF502" s="81">
        <f>IF(OR($B502="",$A502=""),"",$B502&amp;" | "&amp;$A502)</f>
        <v/>
      </c>
    </row>
    <row r="503" ht="15" customHeight="1" s="40">
      <c r="A503" s="65">
        <f>IF(COUNTA(B503:F503)=0,"","TSK-"&amp;TEXT(ROW()-4,"0000"))</f>
        <v/>
      </c>
      <c r="B503" s="78" t="n"/>
      <c r="C503" s="78" t="n"/>
      <c r="D503" s="81" t="n"/>
      <c r="E503" s="81" t="n"/>
      <c r="F503" s="78" t="n"/>
      <c r="G503" s="67">
        <f>IF($F503="","",IFERROR(INDEX(Employee_Master!$C$5:$C$204,MATCH($F503,Employee_Master!$B$5:$B$204,0)),""))</f>
        <v/>
      </c>
      <c r="H503" s="78" t="n"/>
      <c r="I503" s="78" t="n"/>
      <c r="J503" s="67">
        <f>IF($I503="","",IFERROR(INDEX(Action_Status_Map!$B$5:$B$11,MATCH($I503,Action_Status_Map!$A$5:$A$11,0)),""))</f>
        <v/>
      </c>
      <c r="K503" s="82" t="n"/>
      <c r="L503" s="82" t="n"/>
      <c r="M503" s="82" t="n"/>
      <c r="N503" s="83" t="n"/>
      <c r="O503" s="83" t="n"/>
      <c r="P503" s="66">
        <f>IF(OR($N503="",$O503=""),"",$O503-$N503)</f>
        <v/>
      </c>
      <c r="Q503" s="84">
        <f>IF($K503="","",IF($M503&lt;&gt;"",$M503-$K503,TODAY()-$K503))</f>
        <v/>
      </c>
      <c r="R503" s="85">
        <f>IF(OR($L503="",$I503="Completed",$I503="Cancelled"),"",IF(AND($L503&lt;TODAY(),$I503&lt;&gt;"Completed",$I503&lt;&gt;"Cancelled"),"Overdue","On Track"))</f>
        <v/>
      </c>
      <c r="S503" s="65">
        <f>IF($L503="","",TEXT($L503,"yyyy-mm"))</f>
        <v/>
      </c>
      <c r="T503" s="86">
        <f>IF($I503="","",IFERROR(INDEX(Action_Status_Map!$C$5:$C$11,MATCH($I503,Action_Status_Map!$A$5:$A$11,0)),""))</f>
        <v/>
      </c>
      <c r="U503" s="81" t="n"/>
      <c r="V503" s="82" t="n"/>
      <c r="W503" s="65">
        <f>IF(OR($I503&lt;&gt;"Completed",$M503="",$L503=""),"",IF($M503&lt;=$L503,"Yes","No"))</f>
        <v/>
      </c>
      <c r="X503" s="84">
        <f>IF($A503="","",COUNTIF(Task_Steps!$B$5:$B$2004,$A503))</f>
        <v/>
      </c>
      <c r="Y503" s="86">
        <f>IF($X503=0,"",COUNTIFS(Task_Steps!$B$5:$B$2004,$A503,Task_Steps!$H$5:$H$2004,"Completed")/$X503)</f>
        <v/>
      </c>
      <c r="Z503" s="81" t="n"/>
      <c r="AA503" s="81" t="n"/>
      <c r="AB503" s="67">
        <f>IF($F503="","",IFERROR(INDEX(Employee_Master!$E$5:$E$204,MATCH($F503,Employee_Master!$B$5:$B$204,0)),""))</f>
        <v/>
      </c>
      <c r="AC503" s="65">
        <f>IF(OR($A503="",$AB503=""),"",IF(OR($I503="Completed",$I503="Cancelled"),"Closed - in Manager Report","Active - in Manager Report"))</f>
        <v/>
      </c>
      <c r="AD503" s="81">
        <f>IF($A503="","",IFERROR(TEXTJOIN(", ",TRUE,FILTER(Task_Steps!$A$5:$A$2004,Task_Steps!$B$5:$B$2004=$A503)),""))</f>
        <v/>
      </c>
      <c r="AE503" s="84">
        <f>IF($A503="","",COUNTIFS(Task_Steps!$B$5:$B$2004,$A503,Task_Steps!$H$5:$H$2004,"&lt;&gt;Completed",Task_Steps!$H$5:$H$2004,"&lt;&gt;Cancelled"))</f>
        <v/>
      </c>
      <c r="AF503" s="81">
        <f>IF(OR($B503="",$A503=""),"",$B503&amp;" | "&amp;$A503)</f>
        <v/>
      </c>
    </row>
    <row r="504" ht="15" customHeight="1" s="40">
      <c r="A504" s="65">
        <f>IF(COUNTA(B504:F504)=0,"","TSK-"&amp;TEXT(ROW()-4,"0000"))</f>
        <v/>
      </c>
      <c r="B504" s="78" t="n"/>
      <c r="C504" s="78" t="n"/>
      <c r="D504" s="81" t="n"/>
      <c r="E504" s="81" t="n"/>
      <c r="F504" s="78" t="n"/>
      <c r="G504" s="67">
        <f>IF($F504="","",IFERROR(INDEX(Employee_Master!$C$5:$C$204,MATCH($F504,Employee_Master!$B$5:$B$204,0)),""))</f>
        <v/>
      </c>
      <c r="H504" s="78" t="n"/>
      <c r="I504" s="78" t="n"/>
      <c r="J504" s="67">
        <f>IF($I504="","",IFERROR(INDEX(Action_Status_Map!$B$5:$B$11,MATCH($I504,Action_Status_Map!$A$5:$A$11,0)),""))</f>
        <v/>
      </c>
      <c r="K504" s="82" t="n"/>
      <c r="L504" s="82" t="n"/>
      <c r="M504" s="82" t="n"/>
      <c r="N504" s="83" t="n"/>
      <c r="O504" s="83" t="n"/>
      <c r="P504" s="66">
        <f>IF(OR($N504="",$O504=""),"",$O504-$N504)</f>
        <v/>
      </c>
      <c r="Q504" s="84">
        <f>IF($K504="","",IF($M504&lt;&gt;"",$M504-$K504,TODAY()-$K504))</f>
        <v/>
      </c>
      <c r="R504" s="85">
        <f>IF(OR($L504="",$I504="Completed",$I504="Cancelled"),"",IF(AND($L504&lt;TODAY(),$I504&lt;&gt;"Completed",$I504&lt;&gt;"Cancelled"),"Overdue","On Track"))</f>
        <v/>
      </c>
      <c r="S504" s="65">
        <f>IF($L504="","",TEXT($L504,"yyyy-mm"))</f>
        <v/>
      </c>
      <c r="T504" s="86">
        <f>IF($I504="","",IFERROR(INDEX(Action_Status_Map!$C$5:$C$11,MATCH($I504,Action_Status_Map!$A$5:$A$11,0)),""))</f>
        <v/>
      </c>
      <c r="U504" s="81" t="n"/>
      <c r="V504" s="82" t="n"/>
      <c r="W504" s="65">
        <f>IF(OR($I504&lt;&gt;"Completed",$M504="",$L504=""),"",IF($M504&lt;=$L504,"Yes","No"))</f>
        <v/>
      </c>
      <c r="X504" s="84">
        <f>IF($A504="","",COUNTIF(Task_Steps!$B$5:$B$2004,$A504))</f>
        <v/>
      </c>
      <c r="Y504" s="86">
        <f>IF($X504=0,"",COUNTIFS(Task_Steps!$B$5:$B$2004,$A504,Task_Steps!$H$5:$H$2004,"Completed")/$X504)</f>
        <v/>
      </c>
      <c r="Z504" s="81" t="n"/>
      <c r="AA504" s="81" t="n"/>
      <c r="AB504" s="67">
        <f>IF($F504="","",IFERROR(INDEX(Employee_Master!$E$5:$E$204,MATCH($F504,Employee_Master!$B$5:$B$204,0)),""))</f>
        <v/>
      </c>
      <c r="AC504" s="65">
        <f>IF(OR($A504="",$AB504=""),"",IF(OR($I504="Completed",$I504="Cancelled"),"Closed - in Manager Report","Active - in Manager Report"))</f>
        <v/>
      </c>
      <c r="AD504" s="81">
        <f>IF($A504="","",IFERROR(TEXTJOIN(", ",TRUE,FILTER(Task_Steps!$A$5:$A$2004,Task_Steps!$B$5:$B$2004=$A504)),""))</f>
        <v/>
      </c>
      <c r="AE504" s="84">
        <f>IF($A504="","",COUNTIFS(Task_Steps!$B$5:$B$2004,$A504,Task_Steps!$H$5:$H$2004,"&lt;&gt;Completed",Task_Steps!$H$5:$H$2004,"&lt;&gt;Cancelled"))</f>
        <v/>
      </c>
      <c r="AF504" s="81">
        <f>IF(OR($B504="",$A504=""),"",$B504&amp;" | "&amp;$A504)</f>
        <v/>
      </c>
    </row>
    <row r="505" ht="15" customHeight="1" s="40">
      <c r="A505" s="65">
        <f>IF(COUNTA(B505:F505)=0,"","TSK-"&amp;TEXT(ROW()-4,"0000"))</f>
        <v/>
      </c>
      <c r="B505" s="78" t="n"/>
      <c r="C505" s="78" t="n"/>
      <c r="D505" s="81" t="n"/>
      <c r="E505" s="81" t="n"/>
      <c r="F505" s="78" t="n"/>
      <c r="G505" s="67">
        <f>IF($F505="","",IFERROR(INDEX(Employee_Master!$C$5:$C$204,MATCH($F505,Employee_Master!$B$5:$B$204,0)),""))</f>
        <v/>
      </c>
      <c r="H505" s="78" t="n"/>
      <c r="I505" s="78" t="n"/>
      <c r="J505" s="67">
        <f>IF($I505="","",IFERROR(INDEX(Action_Status_Map!$B$5:$B$11,MATCH($I505,Action_Status_Map!$A$5:$A$11,0)),""))</f>
        <v/>
      </c>
      <c r="K505" s="82" t="n"/>
      <c r="L505" s="82" t="n"/>
      <c r="M505" s="82" t="n"/>
      <c r="N505" s="83" t="n"/>
      <c r="O505" s="83" t="n"/>
      <c r="P505" s="66">
        <f>IF(OR($N505="",$O505=""),"",$O505-$N505)</f>
        <v/>
      </c>
      <c r="Q505" s="84">
        <f>IF($K505="","",IF($M505&lt;&gt;"",$M505-$K505,TODAY()-$K505))</f>
        <v/>
      </c>
      <c r="R505" s="85">
        <f>IF(OR($L505="",$I505="Completed",$I505="Cancelled"),"",IF(AND($L505&lt;TODAY(),$I505&lt;&gt;"Completed",$I505&lt;&gt;"Cancelled"),"Overdue","On Track"))</f>
        <v/>
      </c>
      <c r="S505" s="65">
        <f>IF($L505="","",TEXT($L505,"yyyy-mm"))</f>
        <v/>
      </c>
      <c r="T505" s="86">
        <f>IF($I505="","",IFERROR(INDEX(Action_Status_Map!$C$5:$C$11,MATCH($I505,Action_Status_Map!$A$5:$A$11,0)),""))</f>
        <v/>
      </c>
      <c r="U505" s="81" t="n"/>
      <c r="V505" s="82" t="n"/>
      <c r="W505" s="65">
        <f>IF(OR($I505&lt;&gt;"Completed",$M505="",$L505=""),"",IF($M505&lt;=$L505,"Yes","No"))</f>
        <v/>
      </c>
      <c r="X505" s="84">
        <f>IF($A505="","",COUNTIF(Task_Steps!$B$5:$B$2004,$A505))</f>
        <v/>
      </c>
      <c r="Y505" s="86">
        <f>IF($X505=0,"",COUNTIFS(Task_Steps!$B$5:$B$2004,$A505,Task_Steps!$H$5:$H$2004,"Completed")/$X505)</f>
        <v/>
      </c>
      <c r="Z505" s="81" t="n"/>
      <c r="AA505" s="81" t="n"/>
      <c r="AB505" s="67">
        <f>IF($F505="","",IFERROR(INDEX(Employee_Master!$E$5:$E$204,MATCH($F505,Employee_Master!$B$5:$B$204,0)),""))</f>
        <v/>
      </c>
      <c r="AC505" s="65">
        <f>IF(OR($A505="",$AB505=""),"",IF(OR($I505="Completed",$I505="Cancelled"),"Closed - in Manager Report","Active - in Manager Report"))</f>
        <v/>
      </c>
      <c r="AD505" s="81">
        <f>IF($A505="","",IFERROR(TEXTJOIN(", ",TRUE,FILTER(Task_Steps!$A$5:$A$2004,Task_Steps!$B$5:$B$2004=$A505)),""))</f>
        <v/>
      </c>
      <c r="AE505" s="84">
        <f>IF($A505="","",COUNTIFS(Task_Steps!$B$5:$B$2004,$A505,Task_Steps!$H$5:$H$2004,"&lt;&gt;Completed",Task_Steps!$H$5:$H$2004,"&lt;&gt;Cancelled"))</f>
        <v/>
      </c>
      <c r="AF505" s="81">
        <f>IF(OR($B505="",$A505=""),"",$B505&amp;" | "&amp;$A505)</f>
        <v/>
      </c>
    </row>
    <row r="506" ht="15" customHeight="1" s="40">
      <c r="A506" s="65">
        <f>IF(COUNTA(B506:F506)=0,"","TSK-"&amp;TEXT(ROW()-4,"0000"))</f>
        <v/>
      </c>
      <c r="B506" s="78" t="n"/>
      <c r="C506" s="78" t="n"/>
      <c r="D506" s="81" t="n"/>
      <c r="E506" s="81" t="n"/>
      <c r="F506" s="78" t="n"/>
      <c r="G506" s="67">
        <f>IF($F506="","",IFERROR(INDEX(Employee_Master!$C$5:$C$204,MATCH($F506,Employee_Master!$B$5:$B$204,0)),""))</f>
        <v/>
      </c>
      <c r="H506" s="78" t="n"/>
      <c r="I506" s="78" t="n"/>
      <c r="J506" s="67">
        <f>IF($I506="","",IFERROR(INDEX(Action_Status_Map!$B$5:$B$11,MATCH($I506,Action_Status_Map!$A$5:$A$11,0)),""))</f>
        <v/>
      </c>
      <c r="K506" s="82" t="n"/>
      <c r="L506" s="82" t="n"/>
      <c r="M506" s="82" t="n"/>
      <c r="N506" s="83" t="n"/>
      <c r="O506" s="83" t="n"/>
      <c r="P506" s="66">
        <f>IF(OR($N506="",$O506=""),"",$O506-$N506)</f>
        <v/>
      </c>
      <c r="Q506" s="84">
        <f>IF($K506="","",IF($M506&lt;&gt;"",$M506-$K506,TODAY()-$K506))</f>
        <v/>
      </c>
      <c r="R506" s="85">
        <f>IF(OR($L506="",$I506="Completed",$I506="Cancelled"),"",IF(AND($L506&lt;TODAY(),$I506&lt;&gt;"Completed",$I506&lt;&gt;"Cancelled"),"Overdue","On Track"))</f>
        <v/>
      </c>
      <c r="S506" s="65">
        <f>IF($L506="","",TEXT($L506,"yyyy-mm"))</f>
        <v/>
      </c>
      <c r="T506" s="86">
        <f>IF($I506="","",IFERROR(INDEX(Action_Status_Map!$C$5:$C$11,MATCH($I506,Action_Status_Map!$A$5:$A$11,0)),""))</f>
        <v/>
      </c>
      <c r="U506" s="81" t="n"/>
      <c r="V506" s="82" t="n"/>
      <c r="W506" s="65">
        <f>IF(OR($I506&lt;&gt;"Completed",$M506="",$L506=""),"",IF($M506&lt;=$L506,"Yes","No"))</f>
        <v/>
      </c>
      <c r="X506" s="84">
        <f>IF($A506="","",COUNTIF(Task_Steps!$B$5:$B$2004,$A506))</f>
        <v/>
      </c>
      <c r="Y506" s="86">
        <f>IF($X506=0,"",COUNTIFS(Task_Steps!$B$5:$B$2004,$A506,Task_Steps!$H$5:$H$2004,"Completed")/$X506)</f>
        <v/>
      </c>
      <c r="Z506" s="81" t="n"/>
      <c r="AA506" s="81" t="n"/>
      <c r="AB506" s="67">
        <f>IF($F506="","",IFERROR(INDEX(Employee_Master!$E$5:$E$204,MATCH($F506,Employee_Master!$B$5:$B$204,0)),""))</f>
        <v/>
      </c>
      <c r="AC506" s="65">
        <f>IF(OR($A506="",$AB506=""),"",IF(OR($I506="Completed",$I506="Cancelled"),"Closed - in Manager Report","Active - in Manager Report"))</f>
        <v/>
      </c>
      <c r="AD506" s="81">
        <f>IF($A506="","",IFERROR(TEXTJOIN(", ",TRUE,FILTER(Task_Steps!$A$5:$A$2004,Task_Steps!$B$5:$B$2004=$A506)),""))</f>
        <v/>
      </c>
      <c r="AE506" s="84">
        <f>IF($A506="","",COUNTIFS(Task_Steps!$B$5:$B$2004,$A506,Task_Steps!$H$5:$H$2004,"&lt;&gt;Completed",Task_Steps!$H$5:$H$2004,"&lt;&gt;Cancelled"))</f>
        <v/>
      </c>
      <c r="AF506" s="81">
        <f>IF(OR($B506="",$A506=""),"",$B506&amp;" | "&amp;$A506)</f>
        <v/>
      </c>
    </row>
    <row r="507" ht="15" customHeight="1" s="40">
      <c r="A507" s="65">
        <f>IF(COUNTA(B507:F507)=0,"","TSK-"&amp;TEXT(ROW()-4,"0000"))</f>
        <v/>
      </c>
      <c r="B507" s="78" t="n"/>
      <c r="C507" s="78" t="n"/>
      <c r="D507" s="81" t="n"/>
      <c r="E507" s="81" t="n"/>
      <c r="F507" s="78" t="n"/>
      <c r="G507" s="67">
        <f>IF($F507="","",IFERROR(INDEX(Employee_Master!$C$5:$C$204,MATCH($F507,Employee_Master!$B$5:$B$204,0)),""))</f>
        <v/>
      </c>
      <c r="H507" s="78" t="n"/>
      <c r="I507" s="78" t="n"/>
      <c r="J507" s="67">
        <f>IF($I507="","",IFERROR(INDEX(Action_Status_Map!$B$5:$B$11,MATCH($I507,Action_Status_Map!$A$5:$A$11,0)),""))</f>
        <v/>
      </c>
      <c r="K507" s="82" t="n"/>
      <c r="L507" s="82" t="n"/>
      <c r="M507" s="82" t="n"/>
      <c r="N507" s="83" t="n"/>
      <c r="O507" s="83" t="n"/>
      <c r="P507" s="66">
        <f>IF(OR($N507="",$O507=""),"",$O507-$N507)</f>
        <v/>
      </c>
      <c r="Q507" s="84">
        <f>IF($K507="","",IF($M507&lt;&gt;"",$M507-$K507,TODAY()-$K507))</f>
        <v/>
      </c>
      <c r="R507" s="85">
        <f>IF(OR($L507="",$I507="Completed",$I507="Cancelled"),"",IF(AND($L507&lt;TODAY(),$I507&lt;&gt;"Completed",$I507&lt;&gt;"Cancelled"),"Overdue","On Track"))</f>
        <v/>
      </c>
      <c r="S507" s="65">
        <f>IF($L507="","",TEXT($L507,"yyyy-mm"))</f>
        <v/>
      </c>
      <c r="T507" s="86">
        <f>IF($I507="","",IFERROR(INDEX(Action_Status_Map!$C$5:$C$11,MATCH($I507,Action_Status_Map!$A$5:$A$11,0)),""))</f>
        <v/>
      </c>
      <c r="U507" s="81" t="n"/>
      <c r="V507" s="82" t="n"/>
      <c r="W507" s="65">
        <f>IF(OR($I507&lt;&gt;"Completed",$M507="",$L507=""),"",IF($M507&lt;=$L507,"Yes","No"))</f>
        <v/>
      </c>
      <c r="X507" s="84">
        <f>IF($A507="","",COUNTIF(Task_Steps!$B$5:$B$2004,$A507))</f>
        <v/>
      </c>
      <c r="Y507" s="86">
        <f>IF($X507=0,"",COUNTIFS(Task_Steps!$B$5:$B$2004,$A507,Task_Steps!$H$5:$H$2004,"Completed")/$X507)</f>
        <v/>
      </c>
      <c r="Z507" s="81" t="n"/>
      <c r="AA507" s="81" t="n"/>
      <c r="AB507" s="67">
        <f>IF($F507="","",IFERROR(INDEX(Employee_Master!$E$5:$E$204,MATCH($F507,Employee_Master!$B$5:$B$204,0)),""))</f>
        <v/>
      </c>
      <c r="AC507" s="65">
        <f>IF(OR($A507="",$AB507=""),"",IF(OR($I507="Completed",$I507="Cancelled"),"Closed - in Manager Report","Active - in Manager Report"))</f>
        <v/>
      </c>
      <c r="AD507" s="81">
        <f>IF($A507="","",IFERROR(TEXTJOIN(", ",TRUE,FILTER(Task_Steps!$A$5:$A$2004,Task_Steps!$B$5:$B$2004=$A507)),""))</f>
        <v/>
      </c>
      <c r="AE507" s="84">
        <f>IF($A507="","",COUNTIFS(Task_Steps!$B$5:$B$2004,$A507,Task_Steps!$H$5:$H$2004,"&lt;&gt;Completed",Task_Steps!$H$5:$H$2004,"&lt;&gt;Cancelled"))</f>
        <v/>
      </c>
      <c r="AF507" s="81">
        <f>IF(OR($B507="",$A507=""),"",$B507&amp;" | "&amp;$A507)</f>
        <v/>
      </c>
    </row>
    <row r="508" ht="15" customHeight="1" s="40">
      <c r="A508" s="65">
        <f>IF(COUNTA(B508:F508)=0,"","TSK-"&amp;TEXT(ROW()-4,"0000"))</f>
        <v/>
      </c>
      <c r="B508" s="78" t="n"/>
      <c r="C508" s="78" t="n"/>
      <c r="D508" s="81" t="n"/>
      <c r="E508" s="81" t="n"/>
      <c r="F508" s="78" t="n"/>
      <c r="G508" s="67">
        <f>IF($F508="","",IFERROR(INDEX(Employee_Master!$C$5:$C$204,MATCH($F508,Employee_Master!$B$5:$B$204,0)),""))</f>
        <v/>
      </c>
      <c r="H508" s="78" t="n"/>
      <c r="I508" s="78" t="n"/>
      <c r="J508" s="67">
        <f>IF($I508="","",IFERROR(INDEX(Action_Status_Map!$B$5:$B$11,MATCH($I508,Action_Status_Map!$A$5:$A$11,0)),""))</f>
        <v/>
      </c>
      <c r="K508" s="82" t="n"/>
      <c r="L508" s="82" t="n"/>
      <c r="M508" s="82" t="n"/>
      <c r="N508" s="83" t="n"/>
      <c r="O508" s="83" t="n"/>
      <c r="P508" s="66">
        <f>IF(OR($N508="",$O508=""),"",$O508-$N508)</f>
        <v/>
      </c>
      <c r="Q508" s="84">
        <f>IF($K508="","",IF($M508&lt;&gt;"",$M508-$K508,TODAY()-$K508))</f>
        <v/>
      </c>
      <c r="R508" s="85">
        <f>IF(OR($L508="",$I508="Completed",$I508="Cancelled"),"",IF(AND($L508&lt;TODAY(),$I508&lt;&gt;"Completed",$I508&lt;&gt;"Cancelled"),"Overdue","On Track"))</f>
        <v/>
      </c>
      <c r="S508" s="65">
        <f>IF($L508="","",TEXT($L508,"yyyy-mm"))</f>
        <v/>
      </c>
      <c r="T508" s="86">
        <f>IF($I508="","",IFERROR(INDEX(Action_Status_Map!$C$5:$C$11,MATCH($I508,Action_Status_Map!$A$5:$A$11,0)),""))</f>
        <v/>
      </c>
      <c r="U508" s="81" t="n"/>
      <c r="V508" s="82" t="n"/>
      <c r="W508" s="65">
        <f>IF(OR($I508&lt;&gt;"Completed",$M508="",$L508=""),"",IF($M508&lt;=$L508,"Yes","No"))</f>
        <v/>
      </c>
      <c r="X508" s="84">
        <f>IF($A508="","",COUNTIF(Task_Steps!$B$5:$B$2004,$A508))</f>
        <v/>
      </c>
      <c r="Y508" s="86">
        <f>IF($X508=0,"",COUNTIFS(Task_Steps!$B$5:$B$2004,$A508,Task_Steps!$H$5:$H$2004,"Completed")/$X508)</f>
        <v/>
      </c>
      <c r="Z508" s="81" t="n"/>
      <c r="AA508" s="81" t="n"/>
      <c r="AB508" s="67">
        <f>IF($F508="","",IFERROR(INDEX(Employee_Master!$E$5:$E$204,MATCH($F508,Employee_Master!$B$5:$B$204,0)),""))</f>
        <v/>
      </c>
      <c r="AC508" s="65">
        <f>IF(OR($A508="",$AB508=""),"",IF(OR($I508="Completed",$I508="Cancelled"),"Closed - in Manager Report","Active - in Manager Report"))</f>
        <v/>
      </c>
      <c r="AD508" s="81">
        <f>IF($A508="","",IFERROR(TEXTJOIN(", ",TRUE,FILTER(Task_Steps!$A$5:$A$2004,Task_Steps!$B$5:$B$2004=$A508)),""))</f>
        <v/>
      </c>
      <c r="AE508" s="84">
        <f>IF($A508="","",COUNTIFS(Task_Steps!$B$5:$B$2004,$A508,Task_Steps!$H$5:$H$2004,"&lt;&gt;Completed",Task_Steps!$H$5:$H$2004,"&lt;&gt;Cancelled"))</f>
        <v/>
      </c>
      <c r="AF508" s="81">
        <f>IF(OR($B508="",$A508=""),"",$B508&amp;" | "&amp;$A508)</f>
        <v/>
      </c>
    </row>
    <row r="509" ht="15" customHeight="1" s="40">
      <c r="A509" s="65">
        <f>IF(COUNTA(B509:F509)=0,"","TSK-"&amp;TEXT(ROW()-4,"0000"))</f>
        <v/>
      </c>
      <c r="B509" s="78" t="n"/>
      <c r="C509" s="78" t="n"/>
      <c r="D509" s="81" t="n"/>
      <c r="E509" s="81" t="n"/>
      <c r="F509" s="78" t="n"/>
      <c r="G509" s="67">
        <f>IF($F509="","",IFERROR(INDEX(Employee_Master!$C$5:$C$204,MATCH($F509,Employee_Master!$B$5:$B$204,0)),""))</f>
        <v/>
      </c>
      <c r="H509" s="78" t="n"/>
      <c r="I509" s="78" t="n"/>
      <c r="J509" s="67">
        <f>IF($I509="","",IFERROR(INDEX(Action_Status_Map!$B$5:$B$11,MATCH($I509,Action_Status_Map!$A$5:$A$11,0)),""))</f>
        <v/>
      </c>
      <c r="K509" s="82" t="n"/>
      <c r="L509" s="82" t="n"/>
      <c r="M509" s="82" t="n"/>
      <c r="N509" s="83" t="n"/>
      <c r="O509" s="83" t="n"/>
      <c r="P509" s="66">
        <f>IF(OR($N509="",$O509=""),"",$O509-$N509)</f>
        <v/>
      </c>
      <c r="Q509" s="84">
        <f>IF($K509="","",IF($M509&lt;&gt;"",$M509-$K509,TODAY()-$K509))</f>
        <v/>
      </c>
      <c r="R509" s="85">
        <f>IF(OR($L509="",$I509="Completed",$I509="Cancelled"),"",IF(AND($L509&lt;TODAY(),$I509&lt;&gt;"Completed",$I509&lt;&gt;"Cancelled"),"Overdue","On Track"))</f>
        <v/>
      </c>
      <c r="S509" s="65">
        <f>IF($L509="","",TEXT($L509,"yyyy-mm"))</f>
        <v/>
      </c>
      <c r="T509" s="86">
        <f>IF($I509="","",IFERROR(INDEX(Action_Status_Map!$C$5:$C$11,MATCH($I509,Action_Status_Map!$A$5:$A$11,0)),""))</f>
        <v/>
      </c>
      <c r="U509" s="81" t="n"/>
      <c r="V509" s="82" t="n"/>
      <c r="W509" s="65">
        <f>IF(OR($I509&lt;&gt;"Completed",$M509="",$L509=""),"",IF($M509&lt;=$L509,"Yes","No"))</f>
        <v/>
      </c>
      <c r="X509" s="84">
        <f>IF($A509="","",COUNTIF(Task_Steps!$B$5:$B$2004,$A509))</f>
        <v/>
      </c>
      <c r="Y509" s="86">
        <f>IF($X509=0,"",COUNTIFS(Task_Steps!$B$5:$B$2004,$A509,Task_Steps!$H$5:$H$2004,"Completed")/$X509)</f>
        <v/>
      </c>
      <c r="Z509" s="81" t="n"/>
      <c r="AA509" s="81" t="n"/>
      <c r="AB509" s="67">
        <f>IF($F509="","",IFERROR(INDEX(Employee_Master!$E$5:$E$204,MATCH($F509,Employee_Master!$B$5:$B$204,0)),""))</f>
        <v/>
      </c>
      <c r="AC509" s="65">
        <f>IF(OR($A509="",$AB509=""),"",IF(OR($I509="Completed",$I509="Cancelled"),"Closed - in Manager Report","Active - in Manager Report"))</f>
        <v/>
      </c>
      <c r="AD509" s="81">
        <f>IF($A509="","",IFERROR(TEXTJOIN(", ",TRUE,FILTER(Task_Steps!$A$5:$A$2004,Task_Steps!$B$5:$B$2004=$A509)),""))</f>
        <v/>
      </c>
      <c r="AE509" s="84">
        <f>IF($A509="","",COUNTIFS(Task_Steps!$B$5:$B$2004,$A509,Task_Steps!$H$5:$H$2004,"&lt;&gt;Completed",Task_Steps!$H$5:$H$2004,"&lt;&gt;Cancelled"))</f>
        <v/>
      </c>
      <c r="AF509" s="81">
        <f>IF(OR($B509="",$A509=""),"",$B509&amp;" | "&amp;$A509)</f>
        <v/>
      </c>
    </row>
    <row r="510" ht="15" customHeight="1" s="40">
      <c r="A510" s="65">
        <f>IF(COUNTA(B510:F510)=0,"","TSK-"&amp;TEXT(ROW()-4,"0000"))</f>
        <v/>
      </c>
      <c r="B510" s="78" t="n"/>
      <c r="C510" s="78" t="n"/>
      <c r="D510" s="81" t="n"/>
      <c r="E510" s="81" t="n"/>
      <c r="F510" s="78" t="n"/>
      <c r="G510" s="67">
        <f>IF($F510="","",IFERROR(INDEX(Employee_Master!$C$5:$C$204,MATCH($F510,Employee_Master!$B$5:$B$204,0)),""))</f>
        <v/>
      </c>
      <c r="H510" s="78" t="n"/>
      <c r="I510" s="78" t="n"/>
      <c r="J510" s="67">
        <f>IF($I510="","",IFERROR(INDEX(Action_Status_Map!$B$5:$B$11,MATCH($I510,Action_Status_Map!$A$5:$A$11,0)),""))</f>
        <v/>
      </c>
      <c r="K510" s="82" t="n"/>
      <c r="L510" s="82" t="n"/>
      <c r="M510" s="82" t="n"/>
      <c r="N510" s="83" t="n"/>
      <c r="O510" s="83" t="n"/>
      <c r="P510" s="66">
        <f>IF(OR($N510="",$O510=""),"",$O510-$N510)</f>
        <v/>
      </c>
      <c r="Q510" s="84">
        <f>IF($K510="","",IF($M510&lt;&gt;"",$M510-$K510,TODAY()-$K510))</f>
        <v/>
      </c>
      <c r="R510" s="85">
        <f>IF(OR($L510="",$I510="Completed",$I510="Cancelled"),"",IF(AND($L510&lt;TODAY(),$I510&lt;&gt;"Completed",$I510&lt;&gt;"Cancelled"),"Overdue","On Track"))</f>
        <v/>
      </c>
      <c r="S510" s="65">
        <f>IF($L510="","",TEXT($L510,"yyyy-mm"))</f>
        <v/>
      </c>
      <c r="T510" s="86">
        <f>IF($I510="","",IFERROR(INDEX(Action_Status_Map!$C$5:$C$11,MATCH($I510,Action_Status_Map!$A$5:$A$11,0)),""))</f>
        <v/>
      </c>
      <c r="U510" s="81" t="n"/>
      <c r="V510" s="82" t="n"/>
      <c r="W510" s="65">
        <f>IF(OR($I510&lt;&gt;"Completed",$M510="",$L510=""),"",IF($M510&lt;=$L510,"Yes","No"))</f>
        <v/>
      </c>
      <c r="X510" s="84">
        <f>IF($A510="","",COUNTIF(Task_Steps!$B$5:$B$2004,$A510))</f>
        <v/>
      </c>
      <c r="Y510" s="86">
        <f>IF($X510=0,"",COUNTIFS(Task_Steps!$B$5:$B$2004,$A510,Task_Steps!$H$5:$H$2004,"Completed")/$X510)</f>
        <v/>
      </c>
      <c r="Z510" s="81" t="n"/>
      <c r="AA510" s="81" t="n"/>
      <c r="AB510" s="67">
        <f>IF($F510="","",IFERROR(INDEX(Employee_Master!$E$5:$E$204,MATCH($F510,Employee_Master!$B$5:$B$204,0)),""))</f>
        <v/>
      </c>
      <c r="AC510" s="65">
        <f>IF(OR($A510="",$AB510=""),"",IF(OR($I510="Completed",$I510="Cancelled"),"Closed - in Manager Report","Active - in Manager Report"))</f>
        <v/>
      </c>
      <c r="AD510" s="81">
        <f>IF($A510="","",IFERROR(TEXTJOIN(", ",TRUE,FILTER(Task_Steps!$A$5:$A$2004,Task_Steps!$B$5:$B$2004=$A510)),""))</f>
        <v/>
      </c>
      <c r="AE510" s="84">
        <f>IF($A510="","",COUNTIFS(Task_Steps!$B$5:$B$2004,$A510,Task_Steps!$H$5:$H$2004,"&lt;&gt;Completed",Task_Steps!$H$5:$H$2004,"&lt;&gt;Cancelled"))</f>
        <v/>
      </c>
      <c r="AF510" s="81">
        <f>IF(OR($B510="",$A510=""),"",$B510&amp;" | "&amp;$A510)</f>
        <v/>
      </c>
    </row>
    <row r="511" ht="15" customHeight="1" s="40">
      <c r="A511" s="65">
        <f>IF(COUNTA(B511:F511)=0,"","TSK-"&amp;TEXT(ROW()-4,"0000"))</f>
        <v/>
      </c>
      <c r="B511" s="78" t="n"/>
      <c r="C511" s="78" t="n"/>
      <c r="D511" s="81" t="n"/>
      <c r="E511" s="81" t="n"/>
      <c r="F511" s="78" t="n"/>
      <c r="G511" s="67">
        <f>IF($F511="","",IFERROR(INDEX(Employee_Master!$C$5:$C$204,MATCH($F511,Employee_Master!$B$5:$B$204,0)),""))</f>
        <v/>
      </c>
      <c r="H511" s="78" t="n"/>
      <c r="I511" s="78" t="n"/>
      <c r="J511" s="67">
        <f>IF($I511="","",IFERROR(INDEX(Action_Status_Map!$B$5:$B$11,MATCH($I511,Action_Status_Map!$A$5:$A$11,0)),""))</f>
        <v/>
      </c>
      <c r="K511" s="82" t="n"/>
      <c r="L511" s="82" t="n"/>
      <c r="M511" s="82" t="n"/>
      <c r="N511" s="83" t="n"/>
      <c r="O511" s="83" t="n"/>
      <c r="P511" s="66">
        <f>IF(OR($N511="",$O511=""),"",$O511-$N511)</f>
        <v/>
      </c>
      <c r="Q511" s="84">
        <f>IF($K511="","",IF($M511&lt;&gt;"",$M511-$K511,TODAY()-$K511))</f>
        <v/>
      </c>
      <c r="R511" s="85">
        <f>IF(OR($L511="",$I511="Completed",$I511="Cancelled"),"",IF(AND($L511&lt;TODAY(),$I511&lt;&gt;"Completed",$I511&lt;&gt;"Cancelled"),"Overdue","On Track"))</f>
        <v/>
      </c>
      <c r="S511" s="65">
        <f>IF($L511="","",TEXT($L511,"yyyy-mm"))</f>
        <v/>
      </c>
      <c r="T511" s="86">
        <f>IF($I511="","",IFERROR(INDEX(Action_Status_Map!$C$5:$C$11,MATCH($I511,Action_Status_Map!$A$5:$A$11,0)),""))</f>
        <v/>
      </c>
      <c r="U511" s="81" t="n"/>
      <c r="V511" s="82" t="n"/>
      <c r="W511" s="65">
        <f>IF(OR($I511&lt;&gt;"Completed",$M511="",$L511=""),"",IF($M511&lt;=$L511,"Yes","No"))</f>
        <v/>
      </c>
      <c r="X511" s="84">
        <f>IF($A511="","",COUNTIF(Task_Steps!$B$5:$B$2004,$A511))</f>
        <v/>
      </c>
      <c r="Y511" s="86">
        <f>IF($X511=0,"",COUNTIFS(Task_Steps!$B$5:$B$2004,$A511,Task_Steps!$H$5:$H$2004,"Completed")/$X511)</f>
        <v/>
      </c>
      <c r="Z511" s="81" t="n"/>
      <c r="AA511" s="81" t="n"/>
      <c r="AB511" s="67">
        <f>IF($F511="","",IFERROR(INDEX(Employee_Master!$E$5:$E$204,MATCH($F511,Employee_Master!$B$5:$B$204,0)),""))</f>
        <v/>
      </c>
      <c r="AC511" s="65">
        <f>IF(OR($A511="",$AB511=""),"",IF(OR($I511="Completed",$I511="Cancelled"),"Closed - in Manager Report","Active - in Manager Report"))</f>
        <v/>
      </c>
      <c r="AD511" s="81">
        <f>IF($A511="","",IFERROR(TEXTJOIN(", ",TRUE,FILTER(Task_Steps!$A$5:$A$2004,Task_Steps!$B$5:$B$2004=$A511)),""))</f>
        <v/>
      </c>
      <c r="AE511" s="84">
        <f>IF($A511="","",COUNTIFS(Task_Steps!$B$5:$B$2004,$A511,Task_Steps!$H$5:$H$2004,"&lt;&gt;Completed",Task_Steps!$H$5:$H$2004,"&lt;&gt;Cancelled"))</f>
        <v/>
      </c>
      <c r="AF511" s="81">
        <f>IF(OR($B511="",$A511=""),"",$B511&amp;" | "&amp;$A511)</f>
        <v/>
      </c>
    </row>
    <row r="512" ht="15" customHeight="1" s="40">
      <c r="A512" s="65">
        <f>IF(COUNTA(B512:F512)=0,"","TSK-"&amp;TEXT(ROW()-4,"0000"))</f>
        <v/>
      </c>
      <c r="B512" s="78" t="n"/>
      <c r="C512" s="78" t="n"/>
      <c r="D512" s="81" t="n"/>
      <c r="E512" s="81" t="n"/>
      <c r="F512" s="78" t="n"/>
      <c r="G512" s="67">
        <f>IF($F512="","",IFERROR(INDEX(Employee_Master!$C$5:$C$204,MATCH($F512,Employee_Master!$B$5:$B$204,0)),""))</f>
        <v/>
      </c>
      <c r="H512" s="78" t="n"/>
      <c r="I512" s="78" t="n"/>
      <c r="J512" s="67">
        <f>IF($I512="","",IFERROR(INDEX(Action_Status_Map!$B$5:$B$11,MATCH($I512,Action_Status_Map!$A$5:$A$11,0)),""))</f>
        <v/>
      </c>
      <c r="K512" s="82" t="n"/>
      <c r="L512" s="82" t="n"/>
      <c r="M512" s="82" t="n"/>
      <c r="N512" s="83" t="n"/>
      <c r="O512" s="83" t="n"/>
      <c r="P512" s="66">
        <f>IF(OR($N512="",$O512=""),"",$O512-$N512)</f>
        <v/>
      </c>
      <c r="Q512" s="84">
        <f>IF($K512="","",IF($M512&lt;&gt;"",$M512-$K512,TODAY()-$K512))</f>
        <v/>
      </c>
      <c r="R512" s="85">
        <f>IF(OR($L512="",$I512="Completed",$I512="Cancelled"),"",IF(AND($L512&lt;TODAY(),$I512&lt;&gt;"Completed",$I512&lt;&gt;"Cancelled"),"Overdue","On Track"))</f>
        <v/>
      </c>
      <c r="S512" s="65">
        <f>IF($L512="","",TEXT($L512,"yyyy-mm"))</f>
        <v/>
      </c>
      <c r="T512" s="86">
        <f>IF($I512="","",IFERROR(INDEX(Action_Status_Map!$C$5:$C$11,MATCH($I512,Action_Status_Map!$A$5:$A$11,0)),""))</f>
        <v/>
      </c>
      <c r="U512" s="81" t="n"/>
      <c r="V512" s="82" t="n"/>
      <c r="W512" s="65">
        <f>IF(OR($I512&lt;&gt;"Completed",$M512="",$L512=""),"",IF($M512&lt;=$L512,"Yes","No"))</f>
        <v/>
      </c>
      <c r="X512" s="84">
        <f>IF($A512="","",COUNTIF(Task_Steps!$B$5:$B$2004,$A512))</f>
        <v/>
      </c>
      <c r="Y512" s="86">
        <f>IF($X512=0,"",COUNTIFS(Task_Steps!$B$5:$B$2004,$A512,Task_Steps!$H$5:$H$2004,"Completed")/$X512)</f>
        <v/>
      </c>
      <c r="Z512" s="81" t="n"/>
      <c r="AA512" s="81" t="n"/>
      <c r="AB512" s="67">
        <f>IF($F512="","",IFERROR(INDEX(Employee_Master!$E$5:$E$204,MATCH($F512,Employee_Master!$B$5:$B$204,0)),""))</f>
        <v/>
      </c>
      <c r="AC512" s="65">
        <f>IF(OR($A512="",$AB512=""),"",IF(OR($I512="Completed",$I512="Cancelled"),"Closed - in Manager Report","Active - in Manager Report"))</f>
        <v/>
      </c>
      <c r="AD512" s="81">
        <f>IF($A512="","",IFERROR(TEXTJOIN(", ",TRUE,FILTER(Task_Steps!$A$5:$A$2004,Task_Steps!$B$5:$B$2004=$A512)),""))</f>
        <v/>
      </c>
      <c r="AE512" s="84">
        <f>IF($A512="","",COUNTIFS(Task_Steps!$B$5:$B$2004,$A512,Task_Steps!$H$5:$H$2004,"&lt;&gt;Completed",Task_Steps!$H$5:$H$2004,"&lt;&gt;Cancelled"))</f>
        <v/>
      </c>
      <c r="AF512" s="81">
        <f>IF(OR($B512="",$A512=""),"",$B512&amp;" | "&amp;$A512)</f>
        <v/>
      </c>
    </row>
    <row r="513" ht="15" customHeight="1" s="40">
      <c r="A513" s="65">
        <f>IF(COUNTA(B513:F513)=0,"","TSK-"&amp;TEXT(ROW()-4,"0000"))</f>
        <v/>
      </c>
      <c r="B513" s="78" t="n"/>
      <c r="C513" s="78" t="n"/>
      <c r="D513" s="81" t="n"/>
      <c r="E513" s="81" t="n"/>
      <c r="F513" s="78" t="n"/>
      <c r="G513" s="67">
        <f>IF($F513="","",IFERROR(INDEX(Employee_Master!$C$5:$C$204,MATCH($F513,Employee_Master!$B$5:$B$204,0)),""))</f>
        <v/>
      </c>
      <c r="H513" s="78" t="n"/>
      <c r="I513" s="78" t="n"/>
      <c r="J513" s="67">
        <f>IF($I513="","",IFERROR(INDEX(Action_Status_Map!$B$5:$B$11,MATCH($I513,Action_Status_Map!$A$5:$A$11,0)),""))</f>
        <v/>
      </c>
      <c r="K513" s="82" t="n"/>
      <c r="L513" s="82" t="n"/>
      <c r="M513" s="82" t="n"/>
      <c r="N513" s="83" t="n"/>
      <c r="O513" s="83" t="n"/>
      <c r="P513" s="66">
        <f>IF(OR($N513="",$O513=""),"",$O513-$N513)</f>
        <v/>
      </c>
      <c r="Q513" s="84">
        <f>IF($K513="","",IF($M513&lt;&gt;"",$M513-$K513,TODAY()-$K513))</f>
        <v/>
      </c>
      <c r="R513" s="85">
        <f>IF(OR($L513="",$I513="Completed",$I513="Cancelled"),"",IF(AND($L513&lt;TODAY(),$I513&lt;&gt;"Completed",$I513&lt;&gt;"Cancelled"),"Overdue","On Track"))</f>
        <v/>
      </c>
      <c r="S513" s="65">
        <f>IF($L513="","",TEXT($L513,"yyyy-mm"))</f>
        <v/>
      </c>
      <c r="T513" s="86">
        <f>IF($I513="","",IFERROR(INDEX(Action_Status_Map!$C$5:$C$11,MATCH($I513,Action_Status_Map!$A$5:$A$11,0)),""))</f>
        <v/>
      </c>
      <c r="U513" s="81" t="n"/>
      <c r="V513" s="82" t="n"/>
      <c r="W513" s="65">
        <f>IF(OR($I513&lt;&gt;"Completed",$M513="",$L513=""),"",IF($M513&lt;=$L513,"Yes","No"))</f>
        <v/>
      </c>
      <c r="X513" s="84">
        <f>IF($A513="","",COUNTIF(Task_Steps!$B$5:$B$2004,$A513))</f>
        <v/>
      </c>
      <c r="Y513" s="86">
        <f>IF($X513=0,"",COUNTIFS(Task_Steps!$B$5:$B$2004,$A513,Task_Steps!$H$5:$H$2004,"Completed")/$X513)</f>
        <v/>
      </c>
      <c r="Z513" s="81" t="n"/>
      <c r="AA513" s="81" t="n"/>
      <c r="AB513" s="67">
        <f>IF($F513="","",IFERROR(INDEX(Employee_Master!$E$5:$E$204,MATCH($F513,Employee_Master!$B$5:$B$204,0)),""))</f>
        <v/>
      </c>
      <c r="AC513" s="65">
        <f>IF(OR($A513="",$AB513=""),"",IF(OR($I513="Completed",$I513="Cancelled"),"Closed - in Manager Report","Active - in Manager Report"))</f>
        <v/>
      </c>
      <c r="AD513" s="81">
        <f>IF($A513="","",IFERROR(TEXTJOIN(", ",TRUE,FILTER(Task_Steps!$A$5:$A$2004,Task_Steps!$B$5:$B$2004=$A513)),""))</f>
        <v/>
      </c>
      <c r="AE513" s="84">
        <f>IF($A513="","",COUNTIFS(Task_Steps!$B$5:$B$2004,$A513,Task_Steps!$H$5:$H$2004,"&lt;&gt;Completed",Task_Steps!$H$5:$H$2004,"&lt;&gt;Cancelled"))</f>
        <v/>
      </c>
      <c r="AF513" s="81">
        <f>IF(OR($B513="",$A513=""),"",$B513&amp;" | "&amp;$A513)</f>
        <v/>
      </c>
    </row>
    <row r="514" ht="15" customHeight="1" s="40">
      <c r="A514" s="65">
        <f>IF(COUNTA(B514:F514)=0,"","TSK-"&amp;TEXT(ROW()-4,"0000"))</f>
        <v/>
      </c>
      <c r="B514" s="78" t="n"/>
      <c r="C514" s="78" t="n"/>
      <c r="D514" s="81" t="n"/>
      <c r="E514" s="81" t="n"/>
      <c r="F514" s="78" t="n"/>
      <c r="G514" s="67">
        <f>IF($F514="","",IFERROR(INDEX(Employee_Master!$C$5:$C$204,MATCH($F514,Employee_Master!$B$5:$B$204,0)),""))</f>
        <v/>
      </c>
      <c r="H514" s="78" t="n"/>
      <c r="I514" s="78" t="n"/>
      <c r="J514" s="67">
        <f>IF($I514="","",IFERROR(INDEX(Action_Status_Map!$B$5:$B$11,MATCH($I514,Action_Status_Map!$A$5:$A$11,0)),""))</f>
        <v/>
      </c>
      <c r="K514" s="82" t="n"/>
      <c r="L514" s="82" t="n"/>
      <c r="M514" s="82" t="n"/>
      <c r="N514" s="83" t="n"/>
      <c r="O514" s="83" t="n"/>
      <c r="P514" s="66">
        <f>IF(OR($N514="",$O514=""),"",$O514-$N514)</f>
        <v/>
      </c>
      <c r="Q514" s="84">
        <f>IF($K514="","",IF($M514&lt;&gt;"",$M514-$K514,TODAY()-$K514))</f>
        <v/>
      </c>
      <c r="R514" s="85">
        <f>IF(OR($L514="",$I514="Completed",$I514="Cancelled"),"",IF(AND($L514&lt;TODAY(),$I514&lt;&gt;"Completed",$I514&lt;&gt;"Cancelled"),"Overdue","On Track"))</f>
        <v/>
      </c>
      <c r="S514" s="65">
        <f>IF($L514="","",TEXT($L514,"yyyy-mm"))</f>
        <v/>
      </c>
      <c r="T514" s="86">
        <f>IF($I514="","",IFERROR(INDEX(Action_Status_Map!$C$5:$C$11,MATCH($I514,Action_Status_Map!$A$5:$A$11,0)),""))</f>
        <v/>
      </c>
      <c r="U514" s="81" t="n"/>
      <c r="V514" s="82" t="n"/>
      <c r="W514" s="65">
        <f>IF(OR($I514&lt;&gt;"Completed",$M514="",$L514=""),"",IF($M514&lt;=$L514,"Yes","No"))</f>
        <v/>
      </c>
      <c r="X514" s="84">
        <f>IF($A514="","",COUNTIF(Task_Steps!$B$5:$B$2004,$A514))</f>
        <v/>
      </c>
      <c r="Y514" s="86">
        <f>IF($X514=0,"",COUNTIFS(Task_Steps!$B$5:$B$2004,$A514,Task_Steps!$H$5:$H$2004,"Completed")/$X514)</f>
        <v/>
      </c>
      <c r="Z514" s="81" t="n"/>
      <c r="AA514" s="81" t="n"/>
      <c r="AB514" s="67">
        <f>IF($F514="","",IFERROR(INDEX(Employee_Master!$E$5:$E$204,MATCH($F514,Employee_Master!$B$5:$B$204,0)),""))</f>
        <v/>
      </c>
      <c r="AC514" s="65">
        <f>IF(OR($A514="",$AB514=""),"",IF(OR($I514="Completed",$I514="Cancelled"),"Closed - in Manager Report","Active - in Manager Report"))</f>
        <v/>
      </c>
      <c r="AD514" s="81">
        <f>IF($A514="","",IFERROR(TEXTJOIN(", ",TRUE,FILTER(Task_Steps!$A$5:$A$2004,Task_Steps!$B$5:$B$2004=$A514)),""))</f>
        <v/>
      </c>
      <c r="AE514" s="84">
        <f>IF($A514="","",COUNTIFS(Task_Steps!$B$5:$B$2004,$A514,Task_Steps!$H$5:$H$2004,"&lt;&gt;Completed",Task_Steps!$H$5:$H$2004,"&lt;&gt;Cancelled"))</f>
        <v/>
      </c>
      <c r="AF514" s="81">
        <f>IF(OR($B514="",$A514=""),"",$B514&amp;" | "&amp;$A514)</f>
        <v/>
      </c>
    </row>
    <row r="515" ht="15" customHeight="1" s="40">
      <c r="A515" s="65">
        <f>IF(COUNTA(B515:F515)=0,"","TSK-"&amp;TEXT(ROW()-4,"0000"))</f>
        <v/>
      </c>
      <c r="B515" s="78" t="n"/>
      <c r="C515" s="78" t="n"/>
      <c r="D515" s="81" t="n"/>
      <c r="E515" s="81" t="n"/>
      <c r="F515" s="78" t="n"/>
      <c r="G515" s="67">
        <f>IF($F515="","",IFERROR(INDEX(Employee_Master!$C$5:$C$204,MATCH($F515,Employee_Master!$B$5:$B$204,0)),""))</f>
        <v/>
      </c>
      <c r="H515" s="78" t="n"/>
      <c r="I515" s="78" t="n"/>
      <c r="J515" s="67">
        <f>IF($I515="","",IFERROR(INDEX(Action_Status_Map!$B$5:$B$11,MATCH($I515,Action_Status_Map!$A$5:$A$11,0)),""))</f>
        <v/>
      </c>
      <c r="K515" s="82" t="n"/>
      <c r="L515" s="82" t="n"/>
      <c r="M515" s="82" t="n"/>
      <c r="N515" s="83" t="n"/>
      <c r="O515" s="83" t="n"/>
      <c r="P515" s="66">
        <f>IF(OR($N515="",$O515=""),"",$O515-$N515)</f>
        <v/>
      </c>
      <c r="Q515" s="84">
        <f>IF($K515="","",IF($M515&lt;&gt;"",$M515-$K515,TODAY()-$K515))</f>
        <v/>
      </c>
      <c r="R515" s="85">
        <f>IF(OR($L515="",$I515="Completed",$I515="Cancelled"),"",IF(AND($L515&lt;TODAY(),$I515&lt;&gt;"Completed",$I515&lt;&gt;"Cancelled"),"Overdue","On Track"))</f>
        <v/>
      </c>
      <c r="S515" s="65">
        <f>IF($L515="","",TEXT($L515,"yyyy-mm"))</f>
        <v/>
      </c>
      <c r="T515" s="86">
        <f>IF($I515="","",IFERROR(INDEX(Action_Status_Map!$C$5:$C$11,MATCH($I515,Action_Status_Map!$A$5:$A$11,0)),""))</f>
        <v/>
      </c>
      <c r="U515" s="81" t="n"/>
      <c r="V515" s="82" t="n"/>
      <c r="W515" s="65">
        <f>IF(OR($I515&lt;&gt;"Completed",$M515="",$L515=""),"",IF($M515&lt;=$L515,"Yes","No"))</f>
        <v/>
      </c>
      <c r="X515" s="84">
        <f>IF($A515="","",COUNTIF(Task_Steps!$B$5:$B$2004,$A515))</f>
        <v/>
      </c>
      <c r="Y515" s="86">
        <f>IF($X515=0,"",COUNTIFS(Task_Steps!$B$5:$B$2004,$A515,Task_Steps!$H$5:$H$2004,"Completed")/$X515)</f>
        <v/>
      </c>
      <c r="Z515" s="81" t="n"/>
      <c r="AA515" s="81" t="n"/>
      <c r="AB515" s="67">
        <f>IF($F515="","",IFERROR(INDEX(Employee_Master!$E$5:$E$204,MATCH($F515,Employee_Master!$B$5:$B$204,0)),""))</f>
        <v/>
      </c>
      <c r="AC515" s="65">
        <f>IF(OR($A515="",$AB515=""),"",IF(OR($I515="Completed",$I515="Cancelled"),"Closed - in Manager Report","Active - in Manager Report"))</f>
        <v/>
      </c>
      <c r="AD515" s="81">
        <f>IF($A515="","",IFERROR(TEXTJOIN(", ",TRUE,FILTER(Task_Steps!$A$5:$A$2004,Task_Steps!$B$5:$B$2004=$A515)),""))</f>
        <v/>
      </c>
      <c r="AE515" s="84">
        <f>IF($A515="","",COUNTIFS(Task_Steps!$B$5:$B$2004,$A515,Task_Steps!$H$5:$H$2004,"&lt;&gt;Completed",Task_Steps!$H$5:$H$2004,"&lt;&gt;Cancelled"))</f>
        <v/>
      </c>
      <c r="AF515" s="81">
        <f>IF(OR($B515="",$A515=""),"",$B515&amp;" | "&amp;$A515)</f>
        <v/>
      </c>
    </row>
    <row r="516" ht="15" customHeight="1" s="40">
      <c r="A516" s="65">
        <f>IF(COUNTA(B516:F516)=0,"","TSK-"&amp;TEXT(ROW()-4,"0000"))</f>
        <v/>
      </c>
      <c r="B516" s="78" t="n"/>
      <c r="C516" s="78" t="n"/>
      <c r="D516" s="81" t="n"/>
      <c r="E516" s="81" t="n"/>
      <c r="F516" s="78" t="n"/>
      <c r="G516" s="67">
        <f>IF($F516="","",IFERROR(INDEX(Employee_Master!$C$5:$C$204,MATCH($F516,Employee_Master!$B$5:$B$204,0)),""))</f>
        <v/>
      </c>
      <c r="H516" s="78" t="n"/>
      <c r="I516" s="78" t="n"/>
      <c r="J516" s="67">
        <f>IF($I516="","",IFERROR(INDEX(Action_Status_Map!$B$5:$B$11,MATCH($I516,Action_Status_Map!$A$5:$A$11,0)),""))</f>
        <v/>
      </c>
      <c r="K516" s="82" t="n"/>
      <c r="L516" s="82" t="n"/>
      <c r="M516" s="82" t="n"/>
      <c r="N516" s="83" t="n"/>
      <c r="O516" s="83" t="n"/>
      <c r="P516" s="66">
        <f>IF(OR($N516="",$O516=""),"",$O516-$N516)</f>
        <v/>
      </c>
      <c r="Q516" s="84">
        <f>IF($K516="","",IF($M516&lt;&gt;"",$M516-$K516,TODAY()-$K516))</f>
        <v/>
      </c>
      <c r="R516" s="85">
        <f>IF(OR($L516="",$I516="Completed",$I516="Cancelled"),"",IF(AND($L516&lt;TODAY(),$I516&lt;&gt;"Completed",$I516&lt;&gt;"Cancelled"),"Overdue","On Track"))</f>
        <v/>
      </c>
      <c r="S516" s="65">
        <f>IF($L516="","",TEXT($L516,"yyyy-mm"))</f>
        <v/>
      </c>
      <c r="T516" s="86">
        <f>IF($I516="","",IFERROR(INDEX(Action_Status_Map!$C$5:$C$11,MATCH($I516,Action_Status_Map!$A$5:$A$11,0)),""))</f>
        <v/>
      </c>
      <c r="U516" s="81" t="n"/>
      <c r="V516" s="82" t="n"/>
      <c r="W516" s="65">
        <f>IF(OR($I516&lt;&gt;"Completed",$M516="",$L516=""),"",IF($M516&lt;=$L516,"Yes","No"))</f>
        <v/>
      </c>
      <c r="X516" s="84">
        <f>IF($A516="","",COUNTIF(Task_Steps!$B$5:$B$2004,$A516))</f>
        <v/>
      </c>
      <c r="Y516" s="86">
        <f>IF($X516=0,"",COUNTIFS(Task_Steps!$B$5:$B$2004,$A516,Task_Steps!$H$5:$H$2004,"Completed")/$X516)</f>
        <v/>
      </c>
      <c r="Z516" s="81" t="n"/>
      <c r="AA516" s="81" t="n"/>
      <c r="AB516" s="67">
        <f>IF($F516="","",IFERROR(INDEX(Employee_Master!$E$5:$E$204,MATCH($F516,Employee_Master!$B$5:$B$204,0)),""))</f>
        <v/>
      </c>
      <c r="AC516" s="65">
        <f>IF(OR($A516="",$AB516=""),"",IF(OR($I516="Completed",$I516="Cancelled"),"Closed - in Manager Report","Active - in Manager Report"))</f>
        <v/>
      </c>
      <c r="AD516" s="81">
        <f>IF($A516="","",IFERROR(TEXTJOIN(", ",TRUE,FILTER(Task_Steps!$A$5:$A$2004,Task_Steps!$B$5:$B$2004=$A516)),""))</f>
        <v/>
      </c>
      <c r="AE516" s="84">
        <f>IF($A516="","",COUNTIFS(Task_Steps!$B$5:$B$2004,$A516,Task_Steps!$H$5:$H$2004,"&lt;&gt;Completed",Task_Steps!$H$5:$H$2004,"&lt;&gt;Cancelled"))</f>
        <v/>
      </c>
      <c r="AF516" s="81">
        <f>IF(OR($B516="",$A516=""),"",$B516&amp;" | "&amp;$A516)</f>
        <v/>
      </c>
    </row>
    <row r="517" ht="15" customHeight="1" s="40">
      <c r="A517" s="65">
        <f>IF(COUNTA(B517:F517)=0,"","TSK-"&amp;TEXT(ROW()-4,"0000"))</f>
        <v/>
      </c>
      <c r="B517" s="78" t="n"/>
      <c r="C517" s="78" t="n"/>
      <c r="D517" s="81" t="n"/>
      <c r="E517" s="81" t="n"/>
      <c r="F517" s="78" t="n"/>
      <c r="G517" s="67">
        <f>IF($F517="","",IFERROR(INDEX(Employee_Master!$C$5:$C$204,MATCH($F517,Employee_Master!$B$5:$B$204,0)),""))</f>
        <v/>
      </c>
      <c r="H517" s="78" t="n"/>
      <c r="I517" s="78" t="n"/>
      <c r="J517" s="67">
        <f>IF($I517="","",IFERROR(INDEX(Action_Status_Map!$B$5:$B$11,MATCH($I517,Action_Status_Map!$A$5:$A$11,0)),""))</f>
        <v/>
      </c>
      <c r="K517" s="82" t="n"/>
      <c r="L517" s="82" t="n"/>
      <c r="M517" s="82" t="n"/>
      <c r="N517" s="83" t="n"/>
      <c r="O517" s="83" t="n"/>
      <c r="P517" s="66">
        <f>IF(OR($N517="",$O517=""),"",$O517-$N517)</f>
        <v/>
      </c>
      <c r="Q517" s="84">
        <f>IF($K517="","",IF($M517&lt;&gt;"",$M517-$K517,TODAY()-$K517))</f>
        <v/>
      </c>
      <c r="R517" s="85">
        <f>IF(OR($L517="",$I517="Completed",$I517="Cancelled"),"",IF(AND($L517&lt;TODAY(),$I517&lt;&gt;"Completed",$I517&lt;&gt;"Cancelled"),"Overdue","On Track"))</f>
        <v/>
      </c>
      <c r="S517" s="65">
        <f>IF($L517="","",TEXT($L517,"yyyy-mm"))</f>
        <v/>
      </c>
      <c r="T517" s="86">
        <f>IF($I517="","",IFERROR(INDEX(Action_Status_Map!$C$5:$C$11,MATCH($I517,Action_Status_Map!$A$5:$A$11,0)),""))</f>
        <v/>
      </c>
      <c r="U517" s="81" t="n"/>
      <c r="V517" s="82" t="n"/>
      <c r="W517" s="65">
        <f>IF(OR($I517&lt;&gt;"Completed",$M517="",$L517=""),"",IF($M517&lt;=$L517,"Yes","No"))</f>
        <v/>
      </c>
      <c r="X517" s="84">
        <f>IF($A517="","",COUNTIF(Task_Steps!$B$5:$B$2004,$A517))</f>
        <v/>
      </c>
      <c r="Y517" s="86">
        <f>IF($X517=0,"",COUNTIFS(Task_Steps!$B$5:$B$2004,$A517,Task_Steps!$H$5:$H$2004,"Completed")/$X517)</f>
        <v/>
      </c>
      <c r="Z517" s="81" t="n"/>
      <c r="AA517" s="81" t="n"/>
      <c r="AB517" s="67">
        <f>IF($F517="","",IFERROR(INDEX(Employee_Master!$E$5:$E$204,MATCH($F517,Employee_Master!$B$5:$B$204,0)),""))</f>
        <v/>
      </c>
      <c r="AC517" s="65">
        <f>IF(OR($A517="",$AB517=""),"",IF(OR($I517="Completed",$I517="Cancelled"),"Closed - in Manager Report","Active - in Manager Report"))</f>
        <v/>
      </c>
      <c r="AD517" s="81">
        <f>IF($A517="","",IFERROR(TEXTJOIN(", ",TRUE,FILTER(Task_Steps!$A$5:$A$2004,Task_Steps!$B$5:$B$2004=$A517)),""))</f>
        <v/>
      </c>
      <c r="AE517" s="84">
        <f>IF($A517="","",COUNTIFS(Task_Steps!$B$5:$B$2004,$A517,Task_Steps!$H$5:$H$2004,"&lt;&gt;Completed",Task_Steps!$H$5:$H$2004,"&lt;&gt;Cancelled"))</f>
        <v/>
      </c>
      <c r="AF517" s="81">
        <f>IF(OR($B517="",$A517=""),"",$B517&amp;" | "&amp;$A517)</f>
        <v/>
      </c>
    </row>
    <row r="518" ht="15" customHeight="1" s="40">
      <c r="A518" s="65">
        <f>IF(COUNTA(B518:F518)=0,"","TSK-"&amp;TEXT(ROW()-4,"0000"))</f>
        <v/>
      </c>
      <c r="B518" s="78" t="n"/>
      <c r="C518" s="78" t="n"/>
      <c r="D518" s="81" t="n"/>
      <c r="E518" s="81" t="n"/>
      <c r="F518" s="78" t="n"/>
      <c r="G518" s="67">
        <f>IF($F518="","",IFERROR(INDEX(Employee_Master!$C$5:$C$204,MATCH($F518,Employee_Master!$B$5:$B$204,0)),""))</f>
        <v/>
      </c>
      <c r="H518" s="78" t="n"/>
      <c r="I518" s="78" t="n"/>
      <c r="J518" s="67">
        <f>IF($I518="","",IFERROR(INDEX(Action_Status_Map!$B$5:$B$11,MATCH($I518,Action_Status_Map!$A$5:$A$11,0)),""))</f>
        <v/>
      </c>
      <c r="K518" s="82" t="n"/>
      <c r="L518" s="82" t="n"/>
      <c r="M518" s="82" t="n"/>
      <c r="N518" s="83" t="n"/>
      <c r="O518" s="83" t="n"/>
      <c r="P518" s="66">
        <f>IF(OR($N518="",$O518=""),"",$O518-$N518)</f>
        <v/>
      </c>
      <c r="Q518" s="84">
        <f>IF($K518="","",IF($M518&lt;&gt;"",$M518-$K518,TODAY()-$K518))</f>
        <v/>
      </c>
      <c r="R518" s="85">
        <f>IF(OR($L518="",$I518="Completed",$I518="Cancelled"),"",IF(AND($L518&lt;TODAY(),$I518&lt;&gt;"Completed",$I518&lt;&gt;"Cancelled"),"Overdue","On Track"))</f>
        <v/>
      </c>
      <c r="S518" s="65">
        <f>IF($L518="","",TEXT($L518,"yyyy-mm"))</f>
        <v/>
      </c>
      <c r="T518" s="86">
        <f>IF($I518="","",IFERROR(INDEX(Action_Status_Map!$C$5:$C$11,MATCH($I518,Action_Status_Map!$A$5:$A$11,0)),""))</f>
        <v/>
      </c>
      <c r="U518" s="81" t="n"/>
      <c r="V518" s="82" t="n"/>
      <c r="W518" s="65">
        <f>IF(OR($I518&lt;&gt;"Completed",$M518="",$L518=""),"",IF($M518&lt;=$L518,"Yes","No"))</f>
        <v/>
      </c>
      <c r="X518" s="84">
        <f>IF($A518="","",COUNTIF(Task_Steps!$B$5:$B$2004,$A518))</f>
        <v/>
      </c>
      <c r="Y518" s="86">
        <f>IF($X518=0,"",COUNTIFS(Task_Steps!$B$5:$B$2004,$A518,Task_Steps!$H$5:$H$2004,"Completed")/$X518)</f>
        <v/>
      </c>
      <c r="Z518" s="81" t="n"/>
      <c r="AA518" s="81" t="n"/>
      <c r="AB518" s="67">
        <f>IF($F518="","",IFERROR(INDEX(Employee_Master!$E$5:$E$204,MATCH($F518,Employee_Master!$B$5:$B$204,0)),""))</f>
        <v/>
      </c>
      <c r="AC518" s="65">
        <f>IF(OR($A518="",$AB518=""),"",IF(OR($I518="Completed",$I518="Cancelled"),"Closed - in Manager Report","Active - in Manager Report"))</f>
        <v/>
      </c>
      <c r="AD518" s="81">
        <f>IF($A518="","",IFERROR(TEXTJOIN(", ",TRUE,FILTER(Task_Steps!$A$5:$A$2004,Task_Steps!$B$5:$B$2004=$A518)),""))</f>
        <v/>
      </c>
      <c r="AE518" s="84">
        <f>IF($A518="","",COUNTIFS(Task_Steps!$B$5:$B$2004,$A518,Task_Steps!$H$5:$H$2004,"&lt;&gt;Completed",Task_Steps!$H$5:$H$2004,"&lt;&gt;Cancelled"))</f>
        <v/>
      </c>
      <c r="AF518" s="81">
        <f>IF(OR($B518="",$A518=""),"",$B518&amp;" | "&amp;$A518)</f>
        <v/>
      </c>
    </row>
    <row r="519" ht="15" customHeight="1" s="40">
      <c r="A519" s="65">
        <f>IF(COUNTA(B519:F519)=0,"","TSK-"&amp;TEXT(ROW()-4,"0000"))</f>
        <v/>
      </c>
      <c r="B519" s="78" t="n"/>
      <c r="C519" s="78" t="n"/>
      <c r="D519" s="81" t="n"/>
      <c r="E519" s="81" t="n"/>
      <c r="F519" s="78" t="n"/>
      <c r="G519" s="67">
        <f>IF($F519="","",IFERROR(INDEX(Employee_Master!$C$5:$C$204,MATCH($F519,Employee_Master!$B$5:$B$204,0)),""))</f>
        <v/>
      </c>
      <c r="H519" s="78" t="n"/>
      <c r="I519" s="78" t="n"/>
      <c r="J519" s="67">
        <f>IF($I519="","",IFERROR(INDEX(Action_Status_Map!$B$5:$B$11,MATCH($I519,Action_Status_Map!$A$5:$A$11,0)),""))</f>
        <v/>
      </c>
      <c r="K519" s="82" t="n"/>
      <c r="L519" s="82" t="n"/>
      <c r="M519" s="82" t="n"/>
      <c r="N519" s="83" t="n"/>
      <c r="O519" s="83" t="n"/>
      <c r="P519" s="66">
        <f>IF(OR($N519="",$O519=""),"",$O519-$N519)</f>
        <v/>
      </c>
      <c r="Q519" s="84">
        <f>IF($K519="","",IF($M519&lt;&gt;"",$M519-$K519,TODAY()-$K519))</f>
        <v/>
      </c>
      <c r="R519" s="85">
        <f>IF(OR($L519="",$I519="Completed",$I519="Cancelled"),"",IF(AND($L519&lt;TODAY(),$I519&lt;&gt;"Completed",$I519&lt;&gt;"Cancelled"),"Overdue","On Track"))</f>
        <v/>
      </c>
      <c r="S519" s="65">
        <f>IF($L519="","",TEXT($L519,"yyyy-mm"))</f>
        <v/>
      </c>
      <c r="T519" s="86">
        <f>IF($I519="","",IFERROR(INDEX(Action_Status_Map!$C$5:$C$11,MATCH($I519,Action_Status_Map!$A$5:$A$11,0)),""))</f>
        <v/>
      </c>
      <c r="U519" s="81" t="n"/>
      <c r="V519" s="82" t="n"/>
      <c r="W519" s="65">
        <f>IF(OR($I519&lt;&gt;"Completed",$M519="",$L519=""),"",IF($M519&lt;=$L519,"Yes","No"))</f>
        <v/>
      </c>
      <c r="X519" s="84">
        <f>IF($A519="","",COUNTIF(Task_Steps!$B$5:$B$2004,$A519))</f>
        <v/>
      </c>
      <c r="Y519" s="86">
        <f>IF($X519=0,"",COUNTIFS(Task_Steps!$B$5:$B$2004,$A519,Task_Steps!$H$5:$H$2004,"Completed")/$X519)</f>
        <v/>
      </c>
      <c r="Z519" s="81" t="n"/>
      <c r="AA519" s="81" t="n"/>
      <c r="AB519" s="67">
        <f>IF($F519="","",IFERROR(INDEX(Employee_Master!$E$5:$E$204,MATCH($F519,Employee_Master!$B$5:$B$204,0)),""))</f>
        <v/>
      </c>
      <c r="AC519" s="65">
        <f>IF(OR($A519="",$AB519=""),"",IF(OR($I519="Completed",$I519="Cancelled"),"Closed - in Manager Report","Active - in Manager Report"))</f>
        <v/>
      </c>
      <c r="AD519" s="81">
        <f>IF($A519="","",IFERROR(TEXTJOIN(", ",TRUE,FILTER(Task_Steps!$A$5:$A$2004,Task_Steps!$B$5:$B$2004=$A519)),""))</f>
        <v/>
      </c>
      <c r="AE519" s="84">
        <f>IF($A519="","",COUNTIFS(Task_Steps!$B$5:$B$2004,$A519,Task_Steps!$H$5:$H$2004,"&lt;&gt;Completed",Task_Steps!$H$5:$H$2004,"&lt;&gt;Cancelled"))</f>
        <v/>
      </c>
      <c r="AF519" s="81">
        <f>IF(OR($B519="",$A519=""),"",$B519&amp;" | "&amp;$A519)</f>
        <v/>
      </c>
    </row>
    <row r="520" ht="15" customHeight="1" s="40">
      <c r="A520" s="65">
        <f>IF(COUNTA(B520:F520)=0,"","TSK-"&amp;TEXT(ROW()-4,"0000"))</f>
        <v/>
      </c>
      <c r="B520" s="78" t="n"/>
      <c r="C520" s="78" t="n"/>
      <c r="D520" s="81" t="n"/>
      <c r="E520" s="81" t="n"/>
      <c r="F520" s="78" t="n"/>
      <c r="G520" s="67">
        <f>IF($F520="","",IFERROR(INDEX(Employee_Master!$C$5:$C$204,MATCH($F520,Employee_Master!$B$5:$B$204,0)),""))</f>
        <v/>
      </c>
      <c r="H520" s="78" t="n"/>
      <c r="I520" s="78" t="n"/>
      <c r="J520" s="67">
        <f>IF($I520="","",IFERROR(INDEX(Action_Status_Map!$B$5:$B$11,MATCH($I520,Action_Status_Map!$A$5:$A$11,0)),""))</f>
        <v/>
      </c>
      <c r="K520" s="82" t="n"/>
      <c r="L520" s="82" t="n"/>
      <c r="M520" s="82" t="n"/>
      <c r="N520" s="83" t="n"/>
      <c r="O520" s="83" t="n"/>
      <c r="P520" s="66">
        <f>IF(OR($N520="",$O520=""),"",$O520-$N520)</f>
        <v/>
      </c>
      <c r="Q520" s="84">
        <f>IF($K520="","",IF($M520&lt;&gt;"",$M520-$K520,TODAY()-$K520))</f>
        <v/>
      </c>
      <c r="R520" s="85">
        <f>IF(OR($L520="",$I520="Completed",$I520="Cancelled"),"",IF(AND($L520&lt;TODAY(),$I520&lt;&gt;"Completed",$I520&lt;&gt;"Cancelled"),"Overdue","On Track"))</f>
        <v/>
      </c>
      <c r="S520" s="65">
        <f>IF($L520="","",TEXT($L520,"yyyy-mm"))</f>
        <v/>
      </c>
      <c r="T520" s="86">
        <f>IF($I520="","",IFERROR(INDEX(Action_Status_Map!$C$5:$C$11,MATCH($I520,Action_Status_Map!$A$5:$A$11,0)),""))</f>
        <v/>
      </c>
      <c r="U520" s="81" t="n"/>
      <c r="V520" s="82" t="n"/>
      <c r="W520" s="65">
        <f>IF(OR($I520&lt;&gt;"Completed",$M520="",$L520=""),"",IF($M520&lt;=$L520,"Yes","No"))</f>
        <v/>
      </c>
      <c r="X520" s="84">
        <f>IF($A520="","",COUNTIF(Task_Steps!$B$5:$B$2004,$A520))</f>
        <v/>
      </c>
      <c r="Y520" s="86">
        <f>IF($X520=0,"",COUNTIFS(Task_Steps!$B$5:$B$2004,$A520,Task_Steps!$H$5:$H$2004,"Completed")/$X520)</f>
        <v/>
      </c>
      <c r="Z520" s="81" t="n"/>
      <c r="AA520" s="81" t="n"/>
      <c r="AB520" s="67">
        <f>IF($F520="","",IFERROR(INDEX(Employee_Master!$E$5:$E$204,MATCH($F520,Employee_Master!$B$5:$B$204,0)),""))</f>
        <v/>
      </c>
      <c r="AC520" s="65">
        <f>IF(OR($A520="",$AB520=""),"",IF(OR($I520="Completed",$I520="Cancelled"),"Closed - in Manager Report","Active - in Manager Report"))</f>
        <v/>
      </c>
      <c r="AD520" s="81">
        <f>IF($A520="","",IFERROR(TEXTJOIN(", ",TRUE,FILTER(Task_Steps!$A$5:$A$2004,Task_Steps!$B$5:$B$2004=$A520)),""))</f>
        <v/>
      </c>
      <c r="AE520" s="84">
        <f>IF($A520="","",COUNTIFS(Task_Steps!$B$5:$B$2004,$A520,Task_Steps!$H$5:$H$2004,"&lt;&gt;Completed",Task_Steps!$H$5:$H$2004,"&lt;&gt;Cancelled"))</f>
        <v/>
      </c>
      <c r="AF520" s="81">
        <f>IF(OR($B520="",$A520=""),"",$B520&amp;" | "&amp;$A520)</f>
        <v/>
      </c>
    </row>
    <row r="521" ht="15" customHeight="1" s="40">
      <c r="A521" s="65">
        <f>IF(COUNTA(B521:F521)=0,"","TSK-"&amp;TEXT(ROW()-4,"0000"))</f>
        <v/>
      </c>
      <c r="B521" s="78" t="n"/>
      <c r="C521" s="78" t="n"/>
      <c r="D521" s="81" t="n"/>
      <c r="E521" s="81" t="n"/>
      <c r="F521" s="78" t="n"/>
      <c r="G521" s="67">
        <f>IF($F521="","",IFERROR(INDEX(Employee_Master!$C$5:$C$204,MATCH($F521,Employee_Master!$B$5:$B$204,0)),""))</f>
        <v/>
      </c>
      <c r="H521" s="78" t="n"/>
      <c r="I521" s="78" t="n"/>
      <c r="J521" s="67">
        <f>IF($I521="","",IFERROR(INDEX(Action_Status_Map!$B$5:$B$11,MATCH($I521,Action_Status_Map!$A$5:$A$11,0)),""))</f>
        <v/>
      </c>
      <c r="K521" s="82" t="n"/>
      <c r="L521" s="82" t="n"/>
      <c r="M521" s="82" t="n"/>
      <c r="N521" s="83" t="n"/>
      <c r="O521" s="83" t="n"/>
      <c r="P521" s="66">
        <f>IF(OR($N521="",$O521=""),"",$O521-$N521)</f>
        <v/>
      </c>
      <c r="Q521" s="84">
        <f>IF($K521="","",IF($M521&lt;&gt;"",$M521-$K521,TODAY()-$K521))</f>
        <v/>
      </c>
      <c r="R521" s="85">
        <f>IF(OR($L521="",$I521="Completed",$I521="Cancelled"),"",IF(AND($L521&lt;TODAY(),$I521&lt;&gt;"Completed",$I521&lt;&gt;"Cancelled"),"Overdue","On Track"))</f>
        <v/>
      </c>
      <c r="S521" s="65">
        <f>IF($L521="","",TEXT($L521,"yyyy-mm"))</f>
        <v/>
      </c>
      <c r="T521" s="86">
        <f>IF($I521="","",IFERROR(INDEX(Action_Status_Map!$C$5:$C$11,MATCH($I521,Action_Status_Map!$A$5:$A$11,0)),""))</f>
        <v/>
      </c>
      <c r="U521" s="81" t="n"/>
      <c r="V521" s="82" t="n"/>
      <c r="W521" s="65">
        <f>IF(OR($I521&lt;&gt;"Completed",$M521="",$L521=""),"",IF($M521&lt;=$L521,"Yes","No"))</f>
        <v/>
      </c>
      <c r="X521" s="84">
        <f>IF($A521="","",COUNTIF(Task_Steps!$B$5:$B$2004,$A521))</f>
        <v/>
      </c>
      <c r="Y521" s="86">
        <f>IF($X521=0,"",COUNTIFS(Task_Steps!$B$5:$B$2004,$A521,Task_Steps!$H$5:$H$2004,"Completed")/$X521)</f>
        <v/>
      </c>
      <c r="Z521" s="81" t="n"/>
      <c r="AA521" s="81" t="n"/>
      <c r="AB521" s="67">
        <f>IF($F521="","",IFERROR(INDEX(Employee_Master!$E$5:$E$204,MATCH($F521,Employee_Master!$B$5:$B$204,0)),""))</f>
        <v/>
      </c>
      <c r="AC521" s="65">
        <f>IF(OR($A521="",$AB521=""),"",IF(OR($I521="Completed",$I521="Cancelled"),"Closed - in Manager Report","Active - in Manager Report"))</f>
        <v/>
      </c>
      <c r="AD521" s="81">
        <f>IF($A521="","",IFERROR(TEXTJOIN(", ",TRUE,FILTER(Task_Steps!$A$5:$A$2004,Task_Steps!$B$5:$B$2004=$A521)),""))</f>
        <v/>
      </c>
      <c r="AE521" s="84">
        <f>IF($A521="","",COUNTIFS(Task_Steps!$B$5:$B$2004,$A521,Task_Steps!$H$5:$H$2004,"&lt;&gt;Completed",Task_Steps!$H$5:$H$2004,"&lt;&gt;Cancelled"))</f>
        <v/>
      </c>
      <c r="AF521" s="81">
        <f>IF(OR($B521="",$A521=""),"",$B521&amp;" | "&amp;$A521)</f>
        <v/>
      </c>
    </row>
    <row r="522" ht="15" customHeight="1" s="40">
      <c r="A522" s="65">
        <f>IF(COUNTA(B522:F522)=0,"","TSK-"&amp;TEXT(ROW()-4,"0000"))</f>
        <v/>
      </c>
      <c r="B522" s="78" t="n"/>
      <c r="C522" s="78" t="n"/>
      <c r="D522" s="81" t="n"/>
      <c r="E522" s="81" t="n"/>
      <c r="F522" s="78" t="n"/>
      <c r="G522" s="67">
        <f>IF($F522="","",IFERROR(INDEX(Employee_Master!$C$5:$C$204,MATCH($F522,Employee_Master!$B$5:$B$204,0)),""))</f>
        <v/>
      </c>
      <c r="H522" s="78" t="n"/>
      <c r="I522" s="78" t="n"/>
      <c r="J522" s="67">
        <f>IF($I522="","",IFERROR(INDEX(Action_Status_Map!$B$5:$B$11,MATCH($I522,Action_Status_Map!$A$5:$A$11,0)),""))</f>
        <v/>
      </c>
      <c r="K522" s="82" t="n"/>
      <c r="L522" s="82" t="n"/>
      <c r="M522" s="82" t="n"/>
      <c r="N522" s="83" t="n"/>
      <c r="O522" s="83" t="n"/>
      <c r="P522" s="66">
        <f>IF(OR($N522="",$O522=""),"",$O522-$N522)</f>
        <v/>
      </c>
      <c r="Q522" s="84">
        <f>IF($K522="","",IF($M522&lt;&gt;"",$M522-$K522,TODAY()-$K522))</f>
        <v/>
      </c>
      <c r="R522" s="85">
        <f>IF(OR($L522="",$I522="Completed",$I522="Cancelled"),"",IF(AND($L522&lt;TODAY(),$I522&lt;&gt;"Completed",$I522&lt;&gt;"Cancelled"),"Overdue","On Track"))</f>
        <v/>
      </c>
      <c r="S522" s="65">
        <f>IF($L522="","",TEXT($L522,"yyyy-mm"))</f>
        <v/>
      </c>
      <c r="T522" s="86">
        <f>IF($I522="","",IFERROR(INDEX(Action_Status_Map!$C$5:$C$11,MATCH($I522,Action_Status_Map!$A$5:$A$11,0)),""))</f>
        <v/>
      </c>
      <c r="U522" s="81" t="n"/>
      <c r="V522" s="82" t="n"/>
      <c r="W522" s="65">
        <f>IF(OR($I522&lt;&gt;"Completed",$M522="",$L522=""),"",IF($M522&lt;=$L522,"Yes","No"))</f>
        <v/>
      </c>
      <c r="X522" s="84">
        <f>IF($A522="","",COUNTIF(Task_Steps!$B$5:$B$2004,$A522))</f>
        <v/>
      </c>
      <c r="Y522" s="86">
        <f>IF($X522=0,"",COUNTIFS(Task_Steps!$B$5:$B$2004,$A522,Task_Steps!$H$5:$H$2004,"Completed")/$X522)</f>
        <v/>
      </c>
      <c r="Z522" s="81" t="n"/>
      <c r="AA522" s="81" t="n"/>
      <c r="AB522" s="67">
        <f>IF($F522="","",IFERROR(INDEX(Employee_Master!$E$5:$E$204,MATCH($F522,Employee_Master!$B$5:$B$204,0)),""))</f>
        <v/>
      </c>
      <c r="AC522" s="65">
        <f>IF(OR($A522="",$AB522=""),"",IF(OR($I522="Completed",$I522="Cancelled"),"Closed - in Manager Report","Active - in Manager Report"))</f>
        <v/>
      </c>
      <c r="AD522" s="81">
        <f>IF($A522="","",IFERROR(TEXTJOIN(", ",TRUE,FILTER(Task_Steps!$A$5:$A$2004,Task_Steps!$B$5:$B$2004=$A522)),""))</f>
        <v/>
      </c>
      <c r="AE522" s="84">
        <f>IF($A522="","",COUNTIFS(Task_Steps!$B$5:$B$2004,$A522,Task_Steps!$H$5:$H$2004,"&lt;&gt;Completed",Task_Steps!$H$5:$H$2004,"&lt;&gt;Cancelled"))</f>
        <v/>
      </c>
      <c r="AF522" s="81">
        <f>IF(OR($B522="",$A522=""),"",$B522&amp;" | "&amp;$A522)</f>
        <v/>
      </c>
    </row>
    <row r="523" ht="15" customHeight="1" s="40">
      <c r="A523" s="65">
        <f>IF(COUNTA(B523:F523)=0,"","TSK-"&amp;TEXT(ROW()-4,"0000"))</f>
        <v/>
      </c>
      <c r="B523" s="78" t="n"/>
      <c r="C523" s="78" t="n"/>
      <c r="D523" s="81" t="n"/>
      <c r="E523" s="81" t="n"/>
      <c r="F523" s="78" t="n"/>
      <c r="G523" s="67">
        <f>IF($F523="","",IFERROR(INDEX(Employee_Master!$C$5:$C$204,MATCH($F523,Employee_Master!$B$5:$B$204,0)),""))</f>
        <v/>
      </c>
      <c r="H523" s="78" t="n"/>
      <c r="I523" s="78" t="n"/>
      <c r="J523" s="67">
        <f>IF($I523="","",IFERROR(INDEX(Action_Status_Map!$B$5:$B$11,MATCH($I523,Action_Status_Map!$A$5:$A$11,0)),""))</f>
        <v/>
      </c>
      <c r="K523" s="82" t="n"/>
      <c r="L523" s="82" t="n"/>
      <c r="M523" s="82" t="n"/>
      <c r="N523" s="83" t="n"/>
      <c r="O523" s="83" t="n"/>
      <c r="P523" s="66">
        <f>IF(OR($N523="",$O523=""),"",$O523-$N523)</f>
        <v/>
      </c>
      <c r="Q523" s="84">
        <f>IF($K523="","",IF($M523&lt;&gt;"",$M523-$K523,TODAY()-$K523))</f>
        <v/>
      </c>
      <c r="R523" s="85">
        <f>IF(OR($L523="",$I523="Completed",$I523="Cancelled"),"",IF(AND($L523&lt;TODAY(),$I523&lt;&gt;"Completed",$I523&lt;&gt;"Cancelled"),"Overdue","On Track"))</f>
        <v/>
      </c>
      <c r="S523" s="65">
        <f>IF($L523="","",TEXT($L523,"yyyy-mm"))</f>
        <v/>
      </c>
      <c r="T523" s="86">
        <f>IF($I523="","",IFERROR(INDEX(Action_Status_Map!$C$5:$C$11,MATCH($I523,Action_Status_Map!$A$5:$A$11,0)),""))</f>
        <v/>
      </c>
      <c r="U523" s="81" t="n"/>
      <c r="V523" s="82" t="n"/>
      <c r="W523" s="65">
        <f>IF(OR($I523&lt;&gt;"Completed",$M523="",$L523=""),"",IF($M523&lt;=$L523,"Yes","No"))</f>
        <v/>
      </c>
      <c r="X523" s="84">
        <f>IF($A523="","",COUNTIF(Task_Steps!$B$5:$B$2004,$A523))</f>
        <v/>
      </c>
      <c r="Y523" s="86">
        <f>IF($X523=0,"",COUNTIFS(Task_Steps!$B$5:$B$2004,$A523,Task_Steps!$H$5:$H$2004,"Completed")/$X523)</f>
        <v/>
      </c>
      <c r="Z523" s="81" t="n"/>
      <c r="AA523" s="81" t="n"/>
      <c r="AB523" s="67">
        <f>IF($F523="","",IFERROR(INDEX(Employee_Master!$E$5:$E$204,MATCH($F523,Employee_Master!$B$5:$B$204,0)),""))</f>
        <v/>
      </c>
      <c r="AC523" s="65">
        <f>IF(OR($A523="",$AB523=""),"",IF(OR($I523="Completed",$I523="Cancelled"),"Closed - in Manager Report","Active - in Manager Report"))</f>
        <v/>
      </c>
      <c r="AD523" s="81">
        <f>IF($A523="","",IFERROR(TEXTJOIN(", ",TRUE,FILTER(Task_Steps!$A$5:$A$2004,Task_Steps!$B$5:$B$2004=$A523)),""))</f>
        <v/>
      </c>
      <c r="AE523" s="84">
        <f>IF($A523="","",COUNTIFS(Task_Steps!$B$5:$B$2004,$A523,Task_Steps!$H$5:$H$2004,"&lt;&gt;Completed",Task_Steps!$H$5:$H$2004,"&lt;&gt;Cancelled"))</f>
        <v/>
      </c>
      <c r="AF523" s="81">
        <f>IF(OR($B523="",$A523=""),"",$B523&amp;" | "&amp;$A523)</f>
        <v/>
      </c>
    </row>
    <row r="524" ht="15" customHeight="1" s="40">
      <c r="A524" s="65">
        <f>IF(COUNTA(B524:F524)=0,"","TSK-"&amp;TEXT(ROW()-4,"0000"))</f>
        <v/>
      </c>
      <c r="B524" s="78" t="n"/>
      <c r="C524" s="78" t="n"/>
      <c r="D524" s="81" t="n"/>
      <c r="E524" s="81" t="n"/>
      <c r="F524" s="78" t="n"/>
      <c r="G524" s="67">
        <f>IF($F524="","",IFERROR(INDEX(Employee_Master!$C$5:$C$204,MATCH($F524,Employee_Master!$B$5:$B$204,0)),""))</f>
        <v/>
      </c>
      <c r="H524" s="78" t="n"/>
      <c r="I524" s="78" t="n"/>
      <c r="J524" s="67">
        <f>IF($I524="","",IFERROR(INDEX(Action_Status_Map!$B$5:$B$11,MATCH($I524,Action_Status_Map!$A$5:$A$11,0)),""))</f>
        <v/>
      </c>
      <c r="K524" s="82" t="n"/>
      <c r="L524" s="82" t="n"/>
      <c r="M524" s="82" t="n"/>
      <c r="N524" s="83" t="n"/>
      <c r="O524" s="83" t="n"/>
      <c r="P524" s="66">
        <f>IF(OR($N524="",$O524=""),"",$O524-$N524)</f>
        <v/>
      </c>
      <c r="Q524" s="84">
        <f>IF($K524="","",IF($M524&lt;&gt;"",$M524-$K524,TODAY()-$K524))</f>
        <v/>
      </c>
      <c r="R524" s="85">
        <f>IF(OR($L524="",$I524="Completed",$I524="Cancelled"),"",IF(AND($L524&lt;TODAY(),$I524&lt;&gt;"Completed",$I524&lt;&gt;"Cancelled"),"Overdue","On Track"))</f>
        <v/>
      </c>
      <c r="S524" s="65">
        <f>IF($L524="","",TEXT($L524,"yyyy-mm"))</f>
        <v/>
      </c>
      <c r="T524" s="86">
        <f>IF($I524="","",IFERROR(INDEX(Action_Status_Map!$C$5:$C$11,MATCH($I524,Action_Status_Map!$A$5:$A$11,0)),""))</f>
        <v/>
      </c>
      <c r="U524" s="81" t="n"/>
      <c r="V524" s="82" t="n"/>
      <c r="W524" s="65">
        <f>IF(OR($I524&lt;&gt;"Completed",$M524="",$L524=""),"",IF($M524&lt;=$L524,"Yes","No"))</f>
        <v/>
      </c>
      <c r="X524" s="84">
        <f>IF($A524="","",COUNTIF(Task_Steps!$B$5:$B$2004,$A524))</f>
        <v/>
      </c>
      <c r="Y524" s="86">
        <f>IF($X524=0,"",COUNTIFS(Task_Steps!$B$5:$B$2004,$A524,Task_Steps!$H$5:$H$2004,"Completed")/$X524)</f>
        <v/>
      </c>
      <c r="Z524" s="81" t="n"/>
      <c r="AA524" s="81" t="n"/>
      <c r="AB524" s="67">
        <f>IF($F524="","",IFERROR(INDEX(Employee_Master!$E$5:$E$204,MATCH($F524,Employee_Master!$B$5:$B$204,0)),""))</f>
        <v/>
      </c>
      <c r="AC524" s="65">
        <f>IF(OR($A524="",$AB524=""),"",IF(OR($I524="Completed",$I524="Cancelled"),"Closed - in Manager Report","Active - in Manager Report"))</f>
        <v/>
      </c>
      <c r="AD524" s="81">
        <f>IF($A524="","",IFERROR(TEXTJOIN(", ",TRUE,FILTER(Task_Steps!$A$5:$A$2004,Task_Steps!$B$5:$B$2004=$A524)),""))</f>
        <v/>
      </c>
      <c r="AE524" s="84">
        <f>IF($A524="","",COUNTIFS(Task_Steps!$B$5:$B$2004,$A524,Task_Steps!$H$5:$H$2004,"&lt;&gt;Completed",Task_Steps!$H$5:$H$2004,"&lt;&gt;Cancelled"))</f>
        <v/>
      </c>
      <c r="AF524" s="81">
        <f>IF(OR($B524="",$A524=""),"",$B524&amp;" | "&amp;$A524)</f>
        <v/>
      </c>
    </row>
    <row r="525" ht="15" customHeight="1" s="40">
      <c r="A525" s="65">
        <f>IF(COUNTA(B525:F525)=0,"","TSK-"&amp;TEXT(ROW()-4,"0000"))</f>
        <v/>
      </c>
      <c r="B525" s="78" t="n"/>
      <c r="C525" s="78" t="n"/>
      <c r="D525" s="81" t="n"/>
      <c r="E525" s="81" t="n"/>
      <c r="F525" s="78" t="n"/>
      <c r="G525" s="67">
        <f>IF($F525="","",IFERROR(INDEX(Employee_Master!$C$5:$C$204,MATCH($F525,Employee_Master!$B$5:$B$204,0)),""))</f>
        <v/>
      </c>
      <c r="H525" s="78" t="n"/>
      <c r="I525" s="78" t="n"/>
      <c r="J525" s="67">
        <f>IF($I525="","",IFERROR(INDEX(Action_Status_Map!$B$5:$B$11,MATCH($I525,Action_Status_Map!$A$5:$A$11,0)),""))</f>
        <v/>
      </c>
      <c r="K525" s="82" t="n"/>
      <c r="L525" s="82" t="n"/>
      <c r="M525" s="82" t="n"/>
      <c r="N525" s="83" t="n"/>
      <c r="O525" s="83" t="n"/>
      <c r="P525" s="66">
        <f>IF(OR($N525="",$O525=""),"",$O525-$N525)</f>
        <v/>
      </c>
      <c r="Q525" s="84">
        <f>IF($K525="","",IF($M525&lt;&gt;"",$M525-$K525,TODAY()-$K525))</f>
        <v/>
      </c>
      <c r="R525" s="85">
        <f>IF(OR($L525="",$I525="Completed",$I525="Cancelled"),"",IF(AND($L525&lt;TODAY(),$I525&lt;&gt;"Completed",$I525&lt;&gt;"Cancelled"),"Overdue","On Track"))</f>
        <v/>
      </c>
      <c r="S525" s="65">
        <f>IF($L525="","",TEXT($L525,"yyyy-mm"))</f>
        <v/>
      </c>
      <c r="T525" s="86">
        <f>IF($I525="","",IFERROR(INDEX(Action_Status_Map!$C$5:$C$11,MATCH($I525,Action_Status_Map!$A$5:$A$11,0)),""))</f>
        <v/>
      </c>
      <c r="U525" s="81" t="n"/>
      <c r="V525" s="82" t="n"/>
      <c r="W525" s="65">
        <f>IF(OR($I525&lt;&gt;"Completed",$M525="",$L525=""),"",IF($M525&lt;=$L525,"Yes","No"))</f>
        <v/>
      </c>
      <c r="X525" s="84">
        <f>IF($A525="","",COUNTIF(Task_Steps!$B$5:$B$2004,$A525))</f>
        <v/>
      </c>
      <c r="Y525" s="86">
        <f>IF($X525=0,"",COUNTIFS(Task_Steps!$B$5:$B$2004,$A525,Task_Steps!$H$5:$H$2004,"Completed")/$X525)</f>
        <v/>
      </c>
      <c r="Z525" s="81" t="n"/>
      <c r="AA525" s="81" t="n"/>
      <c r="AB525" s="67">
        <f>IF($F525="","",IFERROR(INDEX(Employee_Master!$E$5:$E$204,MATCH($F525,Employee_Master!$B$5:$B$204,0)),""))</f>
        <v/>
      </c>
      <c r="AC525" s="65">
        <f>IF(OR($A525="",$AB525=""),"",IF(OR($I525="Completed",$I525="Cancelled"),"Closed - in Manager Report","Active - in Manager Report"))</f>
        <v/>
      </c>
      <c r="AD525" s="81">
        <f>IF($A525="","",IFERROR(TEXTJOIN(", ",TRUE,FILTER(Task_Steps!$A$5:$A$2004,Task_Steps!$B$5:$B$2004=$A525)),""))</f>
        <v/>
      </c>
      <c r="AE525" s="84">
        <f>IF($A525="","",COUNTIFS(Task_Steps!$B$5:$B$2004,$A525,Task_Steps!$H$5:$H$2004,"&lt;&gt;Completed",Task_Steps!$H$5:$H$2004,"&lt;&gt;Cancelled"))</f>
        <v/>
      </c>
      <c r="AF525" s="81">
        <f>IF(OR($B525="",$A525=""),"",$B525&amp;" | "&amp;$A525)</f>
        <v/>
      </c>
    </row>
    <row r="526" ht="15" customHeight="1" s="40">
      <c r="A526" s="65">
        <f>IF(COUNTA(B526:F526)=0,"","TSK-"&amp;TEXT(ROW()-4,"0000"))</f>
        <v/>
      </c>
      <c r="B526" s="78" t="n"/>
      <c r="C526" s="78" t="n"/>
      <c r="D526" s="81" t="n"/>
      <c r="E526" s="81" t="n"/>
      <c r="F526" s="78" t="n"/>
      <c r="G526" s="67">
        <f>IF($F526="","",IFERROR(INDEX(Employee_Master!$C$5:$C$204,MATCH($F526,Employee_Master!$B$5:$B$204,0)),""))</f>
        <v/>
      </c>
      <c r="H526" s="78" t="n"/>
      <c r="I526" s="78" t="n"/>
      <c r="J526" s="67">
        <f>IF($I526="","",IFERROR(INDEX(Action_Status_Map!$B$5:$B$11,MATCH($I526,Action_Status_Map!$A$5:$A$11,0)),""))</f>
        <v/>
      </c>
      <c r="K526" s="82" t="n"/>
      <c r="L526" s="82" t="n"/>
      <c r="M526" s="82" t="n"/>
      <c r="N526" s="83" t="n"/>
      <c r="O526" s="83" t="n"/>
      <c r="P526" s="66">
        <f>IF(OR($N526="",$O526=""),"",$O526-$N526)</f>
        <v/>
      </c>
      <c r="Q526" s="84">
        <f>IF($K526="","",IF($M526&lt;&gt;"",$M526-$K526,TODAY()-$K526))</f>
        <v/>
      </c>
      <c r="R526" s="85">
        <f>IF(OR($L526="",$I526="Completed",$I526="Cancelled"),"",IF(AND($L526&lt;TODAY(),$I526&lt;&gt;"Completed",$I526&lt;&gt;"Cancelled"),"Overdue","On Track"))</f>
        <v/>
      </c>
      <c r="S526" s="65">
        <f>IF($L526="","",TEXT($L526,"yyyy-mm"))</f>
        <v/>
      </c>
      <c r="T526" s="86">
        <f>IF($I526="","",IFERROR(INDEX(Action_Status_Map!$C$5:$C$11,MATCH($I526,Action_Status_Map!$A$5:$A$11,0)),""))</f>
        <v/>
      </c>
      <c r="U526" s="81" t="n"/>
      <c r="V526" s="82" t="n"/>
      <c r="W526" s="65">
        <f>IF(OR($I526&lt;&gt;"Completed",$M526="",$L526=""),"",IF($M526&lt;=$L526,"Yes","No"))</f>
        <v/>
      </c>
      <c r="X526" s="84">
        <f>IF($A526="","",COUNTIF(Task_Steps!$B$5:$B$2004,$A526))</f>
        <v/>
      </c>
      <c r="Y526" s="86">
        <f>IF($X526=0,"",COUNTIFS(Task_Steps!$B$5:$B$2004,$A526,Task_Steps!$H$5:$H$2004,"Completed")/$X526)</f>
        <v/>
      </c>
      <c r="Z526" s="81" t="n"/>
      <c r="AA526" s="81" t="n"/>
      <c r="AB526" s="67">
        <f>IF($F526="","",IFERROR(INDEX(Employee_Master!$E$5:$E$204,MATCH($F526,Employee_Master!$B$5:$B$204,0)),""))</f>
        <v/>
      </c>
      <c r="AC526" s="65">
        <f>IF(OR($A526="",$AB526=""),"",IF(OR($I526="Completed",$I526="Cancelled"),"Closed - in Manager Report","Active - in Manager Report"))</f>
        <v/>
      </c>
      <c r="AD526" s="81">
        <f>IF($A526="","",IFERROR(TEXTJOIN(", ",TRUE,FILTER(Task_Steps!$A$5:$A$2004,Task_Steps!$B$5:$B$2004=$A526)),""))</f>
        <v/>
      </c>
      <c r="AE526" s="84">
        <f>IF($A526="","",COUNTIFS(Task_Steps!$B$5:$B$2004,$A526,Task_Steps!$H$5:$H$2004,"&lt;&gt;Completed",Task_Steps!$H$5:$H$2004,"&lt;&gt;Cancelled"))</f>
        <v/>
      </c>
      <c r="AF526" s="81">
        <f>IF(OR($B526="",$A526=""),"",$B526&amp;" | "&amp;$A526)</f>
        <v/>
      </c>
    </row>
    <row r="527" ht="15" customHeight="1" s="40">
      <c r="A527" s="65">
        <f>IF(COUNTA(B527:F527)=0,"","TSK-"&amp;TEXT(ROW()-4,"0000"))</f>
        <v/>
      </c>
      <c r="B527" s="78" t="n"/>
      <c r="C527" s="78" t="n"/>
      <c r="D527" s="81" t="n"/>
      <c r="E527" s="81" t="n"/>
      <c r="F527" s="78" t="n"/>
      <c r="G527" s="67">
        <f>IF($F527="","",IFERROR(INDEX(Employee_Master!$C$5:$C$204,MATCH($F527,Employee_Master!$B$5:$B$204,0)),""))</f>
        <v/>
      </c>
      <c r="H527" s="78" t="n"/>
      <c r="I527" s="78" t="n"/>
      <c r="J527" s="67">
        <f>IF($I527="","",IFERROR(INDEX(Action_Status_Map!$B$5:$B$11,MATCH($I527,Action_Status_Map!$A$5:$A$11,0)),""))</f>
        <v/>
      </c>
      <c r="K527" s="82" t="n"/>
      <c r="L527" s="82" t="n"/>
      <c r="M527" s="82" t="n"/>
      <c r="N527" s="83" t="n"/>
      <c r="O527" s="83" t="n"/>
      <c r="P527" s="66">
        <f>IF(OR($N527="",$O527=""),"",$O527-$N527)</f>
        <v/>
      </c>
      <c r="Q527" s="84">
        <f>IF($K527="","",IF($M527&lt;&gt;"",$M527-$K527,TODAY()-$K527))</f>
        <v/>
      </c>
      <c r="R527" s="85">
        <f>IF(OR($L527="",$I527="Completed",$I527="Cancelled"),"",IF(AND($L527&lt;TODAY(),$I527&lt;&gt;"Completed",$I527&lt;&gt;"Cancelled"),"Overdue","On Track"))</f>
        <v/>
      </c>
      <c r="S527" s="65">
        <f>IF($L527="","",TEXT($L527,"yyyy-mm"))</f>
        <v/>
      </c>
      <c r="T527" s="86">
        <f>IF($I527="","",IFERROR(INDEX(Action_Status_Map!$C$5:$C$11,MATCH($I527,Action_Status_Map!$A$5:$A$11,0)),""))</f>
        <v/>
      </c>
      <c r="U527" s="81" t="n"/>
      <c r="V527" s="82" t="n"/>
      <c r="W527" s="65">
        <f>IF(OR($I527&lt;&gt;"Completed",$M527="",$L527=""),"",IF($M527&lt;=$L527,"Yes","No"))</f>
        <v/>
      </c>
      <c r="X527" s="84">
        <f>IF($A527="","",COUNTIF(Task_Steps!$B$5:$B$2004,$A527))</f>
        <v/>
      </c>
      <c r="Y527" s="86">
        <f>IF($X527=0,"",COUNTIFS(Task_Steps!$B$5:$B$2004,$A527,Task_Steps!$H$5:$H$2004,"Completed")/$X527)</f>
        <v/>
      </c>
      <c r="Z527" s="81" t="n"/>
      <c r="AA527" s="81" t="n"/>
      <c r="AB527" s="67">
        <f>IF($F527="","",IFERROR(INDEX(Employee_Master!$E$5:$E$204,MATCH($F527,Employee_Master!$B$5:$B$204,0)),""))</f>
        <v/>
      </c>
      <c r="AC527" s="65">
        <f>IF(OR($A527="",$AB527=""),"",IF(OR($I527="Completed",$I527="Cancelled"),"Closed - in Manager Report","Active - in Manager Report"))</f>
        <v/>
      </c>
      <c r="AD527" s="81">
        <f>IF($A527="","",IFERROR(TEXTJOIN(", ",TRUE,FILTER(Task_Steps!$A$5:$A$2004,Task_Steps!$B$5:$B$2004=$A527)),""))</f>
        <v/>
      </c>
      <c r="AE527" s="84">
        <f>IF($A527="","",COUNTIFS(Task_Steps!$B$5:$B$2004,$A527,Task_Steps!$H$5:$H$2004,"&lt;&gt;Completed",Task_Steps!$H$5:$H$2004,"&lt;&gt;Cancelled"))</f>
        <v/>
      </c>
      <c r="AF527" s="81">
        <f>IF(OR($B527="",$A527=""),"",$B527&amp;" | "&amp;$A527)</f>
        <v/>
      </c>
    </row>
    <row r="528" ht="15" customHeight="1" s="40">
      <c r="A528" s="65">
        <f>IF(COUNTA(B528:F528)=0,"","TSK-"&amp;TEXT(ROW()-4,"0000"))</f>
        <v/>
      </c>
      <c r="B528" s="78" t="n"/>
      <c r="C528" s="78" t="n"/>
      <c r="D528" s="81" t="n"/>
      <c r="E528" s="81" t="n"/>
      <c r="F528" s="78" t="n"/>
      <c r="G528" s="67">
        <f>IF($F528="","",IFERROR(INDEX(Employee_Master!$C$5:$C$204,MATCH($F528,Employee_Master!$B$5:$B$204,0)),""))</f>
        <v/>
      </c>
      <c r="H528" s="78" t="n"/>
      <c r="I528" s="78" t="n"/>
      <c r="J528" s="67">
        <f>IF($I528="","",IFERROR(INDEX(Action_Status_Map!$B$5:$B$11,MATCH($I528,Action_Status_Map!$A$5:$A$11,0)),""))</f>
        <v/>
      </c>
      <c r="K528" s="82" t="n"/>
      <c r="L528" s="82" t="n"/>
      <c r="M528" s="82" t="n"/>
      <c r="N528" s="83" t="n"/>
      <c r="O528" s="83" t="n"/>
      <c r="P528" s="66">
        <f>IF(OR($N528="",$O528=""),"",$O528-$N528)</f>
        <v/>
      </c>
      <c r="Q528" s="84">
        <f>IF($K528="","",IF($M528&lt;&gt;"",$M528-$K528,TODAY()-$K528))</f>
        <v/>
      </c>
      <c r="R528" s="85">
        <f>IF(OR($L528="",$I528="Completed",$I528="Cancelled"),"",IF(AND($L528&lt;TODAY(),$I528&lt;&gt;"Completed",$I528&lt;&gt;"Cancelled"),"Overdue","On Track"))</f>
        <v/>
      </c>
      <c r="S528" s="65">
        <f>IF($L528="","",TEXT($L528,"yyyy-mm"))</f>
        <v/>
      </c>
      <c r="T528" s="86">
        <f>IF($I528="","",IFERROR(INDEX(Action_Status_Map!$C$5:$C$11,MATCH($I528,Action_Status_Map!$A$5:$A$11,0)),""))</f>
        <v/>
      </c>
      <c r="U528" s="81" t="n"/>
      <c r="V528" s="82" t="n"/>
      <c r="W528" s="65">
        <f>IF(OR($I528&lt;&gt;"Completed",$M528="",$L528=""),"",IF($M528&lt;=$L528,"Yes","No"))</f>
        <v/>
      </c>
      <c r="X528" s="84">
        <f>IF($A528="","",COUNTIF(Task_Steps!$B$5:$B$2004,$A528))</f>
        <v/>
      </c>
      <c r="Y528" s="86">
        <f>IF($X528=0,"",COUNTIFS(Task_Steps!$B$5:$B$2004,$A528,Task_Steps!$H$5:$H$2004,"Completed")/$X528)</f>
        <v/>
      </c>
      <c r="Z528" s="81" t="n"/>
      <c r="AA528" s="81" t="n"/>
      <c r="AB528" s="67">
        <f>IF($F528="","",IFERROR(INDEX(Employee_Master!$E$5:$E$204,MATCH($F528,Employee_Master!$B$5:$B$204,0)),""))</f>
        <v/>
      </c>
      <c r="AC528" s="65">
        <f>IF(OR($A528="",$AB528=""),"",IF(OR($I528="Completed",$I528="Cancelled"),"Closed - in Manager Report","Active - in Manager Report"))</f>
        <v/>
      </c>
      <c r="AD528" s="81">
        <f>IF($A528="","",IFERROR(TEXTJOIN(", ",TRUE,FILTER(Task_Steps!$A$5:$A$2004,Task_Steps!$B$5:$B$2004=$A528)),""))</f>
        <v/>
      </c>
      <c r="AE528" s="84">
        <f>IF($A528="","",COUNTIFS(Task_Steps!$B$5:$B$2004,$A528,Task_Steps!$H$5:$H$2004,"&lt;&gt;Completed",Task_Steps!$H$5:$H$2004,"&lt;&gt;Cancelled"))</f>
        <v/>
      </c>
      <c r="AF528" s="81">
        <f>IF(OR($B528="",$A528=""),"",$B528&amp;" | "&amp;$A528)</f>
        <v/>
      </c>
    </row>
    <row r="529" ht="15" customHeight="1" s="40">
      <c r="A529" s="65">
        <f>IF(COUNTA(B529:F529)=0,"","TSK-"&amp;TEXT(ROW()-4,"0000"))</f>
        <v/>
      </c>
      <c r="B529" s="78" t="n"/>
      <c r="C529" s="78" t="n"/>
      <c r="D529" s="81" t="n"/>
      <c r="E529" s="81" t="n"/>
      <c r="F529" s="78" t="n"/>
      <c r="G529" s="67">
        <f>IF($F529="","",IFERROR(INDEX(Employee_Master!$C$5:$C$204,MATCH($F529,Employee_Master!$B$5:$B$204,0)),""))</f>
        <v/>
      </c>
      <c r="H529" s="78" t="n"/>
      <c r="I529" s="78" t="n"/>
      <c r="J529" s="67">
        <f>IF($I529="","",IFERROR(INDEX(Action_Status_Map!$B$5:$B$11,MATCH($I529,Action_Status_Map!$A$5:$A$11,0)),""))</f>
        <v/>
      </c>
      <c r="K529" s="82" t="n"/>
      <c r="L529" s="82" t="n"/>
      <c r="M529" s="82" t="n"/>
      <c r="N529" s="83" t="n"/>
      <c r="O529" s="83" t="n"/>
      <c r="P529" s="66">
        <f>IF(OR($N529="",$O529=""),"",$O529-$N529)</f>
        <v/>
      </c>
      <c r="Q529" s="84">
        <f>IF($K529="","",IF($M529&lt;&gt;"",$M529-$K529,TODAY()-$K529))</f>
        <v/>
      </c>
      <c r="R529" s="85">
        <f>IF(OR($L529="",$I529="Completed",$I529="Cancelled"),"",IF(AND($L529&lt;TODAY(),$I529&lt;&gt;"Completed",$I529&lt;&gt;"Cancelled"),"Overdue","On Track"))</f>
        <v/>
      </c>
      <c r="S529" s="65">
        <f>IF($L529="","",TEXT($L529,"yyyy-mm"))</f>
        <v/>
      </c>
      <c r="T529" s="86">
        <f>IF($I529="","",IFERROR(INDEX(Action_Status_Map!$C$5:$C$11,MATCH($I529,Action_Status_Map!$A$5:$A$11,0)),""))</f>
        <v/>
      </c>
      <c r="U529" s="81" t="n"/>
      <c r="V529" s="82" t="n"/>
      <c r="W529" s="65">
        <f>IF(OR($I529&lt;&gt;"Completed",$M529="",$L529=""),"",IF($M529&lt;=$L529,"Yes","No"))</f>
        <v/>
      </c>
      <c r="X529" s="84">
        <f>IF($A529="","",COUNTIF(Task_Steps!$B$5:$B$2004,$A529))</f>
        <v/>
      </c>
      <c r="Y529" s="86">
        <f>IF($X529=0,"",COUNTIFS(Task_Steps!$B$5:$B$2004,$A529,Task_Steps!$H$5:$H$2004,"Completed")/$X529)</f>
        <v/>
      </c>
      <c r="Z529" s="81" t="n"/>
      <c r="AA529" s="81" t="n"/>
      <c r="AB529" s="67">
        <f>IF($F529="","",IFERROR(INDEX(Employee_Master!$E$5:$E$204,MATCH($F529,Employee_Master!$B$5:$B$204,0)),""))</f>
        <v/>
      </c>
      <c r="AC529" s="65">
        <f>IF(OR($A529="",$AB529=""),"",IF(OR($I529="Completed",$I529="Cancelled"),"Closed - in Manager Report","Active - in Manager Report"))</f>
        <v/>
      </c>
      <c r="AD529" s="81">
        <f>IF($A529="","",IFERROR(TEXTJOIN(", ",TRUE,FILTER(Task_Steps!$A$5:$A$2004,Task_Steps!$B$5:$B$2004=$A529)),""))</f>
        <v/>
      </c>
      <c r="AE529" s="84">
        <f>IF($A529="","",COUNTIFS(Task_Steps!$B$5:$B$2004,$A529,Task_Steps!$H$5:$H$2004,"&lt;&gt;Completed",Task_Steps!$H$5:$H$2004,"&lt;&gt;Cancelled"))</f>
        <v/>
      </c>
      <c r="AF529" s="81">
        <f>IF(OR($B529="",$A529=""),"",$B529&amp;" | "&amp;$A529)</f>
        <v/>
      </c>
    </row>
    <row r="530" ht="15" customHeight="1" s="40">
      <c r="A530" s="65">
        <f>IF(COUNTA(B530:F530)=0,"","TSK-"&amp;TEXT(ROW()-4,"0000"))</f>
        <v/>
      </c>
      <c r="B530" s="78" t="n"/>
      <c r="C530" s="78" t="n"/>
      <c r="D530" s="81" t="n"/>
      <c r="E530" s="81" t="n"/>
      <c r="F530" s="78" t="n"/>
      <c r="G530" s="67">
        <f>IF($F530="","",IFERROR(INDEX(Employee_Master!$C$5:$C$204,MATCH($F530,Employee_Master!$B$5:$B$204,0)),""))</f>
        <v/>
      </c>
      <c r="H530" s="78" t="n"/>
      <c r="I530" s="78" t="n"/>
      <c r="J530" s="67">
        <f>IF($I530="","",IFERROR(INDEX(Action_Status_Map!$B$5:$B$11,MATCH($I530,Action_Status_Map!$A$5:$A$11,0)),""))</f>
        <v/>
      </c>
      <c r="K530" s="82" t="n"/>
      <c r="L530" s="82" t="n"/>
      <c r="M530" s="82" t="n"/>
      <c r="N530" s="83" t="n"/>
      <c r="O530" s="83" t="n"/>
      <c r="P530" s="66">
        <f>IF(OR($N530="",$O530=""),"",$O530-$N530)</f>
        <v/>
      </c>
      <c r="Q530" s="84">
        <f>IF($K530="","",IF($M530&lt;&gt;"",$M530-$K530,TODAY()-$K530))</f>
        <v/>
      </c>
      <c r="R530" s="85">
        <f>IF(OR($L530="",$I530="Completed",$I530="Cancelled"),"",IF(AND($L530&lt;TODAY(),$I530&lt;&gt;"Completed",$I530&lt;&gt;"Cancelled"),"Overdue","On Track"))</f>
        <v/>
      </c>
      <c r="S530" s="65">
        <f>IF($L530="","",TEXT($L530,"yyyy-mm"))</f>
        <v/>
      </c>
      <c r="T530" s="86">
        <f>IF($I530="","",IFERROR(INDEX(Action_Status_Map!$C$5:$C$11,MATCH($I530,Action_Status_Map!$A$5:$A$11,0)),""))</f>
        <v/>
      </c>
      <c r="U530" s="81" t="n"/>
      <c r="V530" s="82" t="n"/>
      <c r="W530" s="65">
        <f>IF(OR($I530&lt;&gt;"Completed",$M530="",$L530=""),"",IF($M530&lt;=$L530,"Yes","No"))</f>
        <v/>
      </c>
      <c r="X530" s="84">
        <f>IF($A530="","",COUNTIF(Task_Steps!$B$5:$B$2004,$A530))</f>
        <v/>
      </c>
      <c r="Y530" s="86">
        <f>IF($X530=0,"",COUNTIFS(Task_Steps!$B$5:$B$2004,$A530,Task_Steps!$H$5:$H$2004,"Completed")/$X530)</f>
        <v/>
      </c>
      <c r="Z530" s="81" t="n"/>
      <c r="AA530" s="81" t="n"/>
      <c r="AB530" s="67">
        <f>IF($F530="","",IFERROR(INDEX(Employee_Master!$E$5:$E$204,MATCH($F530,Employee_Master!$B$5:$B$204,0)),""))</f>
        <v/>
      </c>
      <c r="AC530" s="65">
        <f>IF(OR($A530="",$AB530=""),"",IF(OR($I530="Completed",$I530="Cancelled"),"Closed - in Manager Report","Active - in Manager Report"))</f>
        <v/>
      </c>
      <c r="AD530" s="81">
        <f>IF($A530="","",IFERROR(TEXTJOIN(", ",TRUE,FILTER(Task_Steps!$A$5:$A$2004,Task_Steps!$B$5:$B$2004=$A530)),""))</f>
        <v/>
      </c>
      <c r="AE530" s="84">
        <f>IF($A530="","",COUNTIFS(Task_Steps!$B$5:$B$2004,$A530,Task_Steps!$H$5:$H$2004,"&lt;&gt;Completed",Task_Steps!$H$5:$H$2004,"&lt;&gt;Cancelled"))</f>
        <v/>
      </c>
      <c r="AF530" s="81">
        <f>IF(OR($B530="",$A530=""),"",$B530&amp;" | "&amp;$A530)</f>
        <v/>
      </c>
    </row>
    <row r="531" ht="15" customHeight="1" s="40">
      <c r="A531" s="65">
        <f>IF(COUNTA(B531:F531)=0,"","TSK-"&amp;TEXT(ROW()-4,"0000"))</f>
        <v/>
      </c>
      <c r="B531" s="78" t="n"/>
      <c r="C531" s="78" t="n"/>
      <c r="D531" s="81" t="n"/>
      <c r="E531" s="81" t="n"/>
      <c r="F531" s="78" t="n"/>
      <c r="G531" s="67">
        <f>IF($F531="","",IFERROR(INDEX(Employee_Master!$C$5:$C$204,MATCH($F531,Employee_Master!$B$5:$B$204,0)),""))</f>
        <v/>
      </c>
      <c r="H531" s="78" t="n"/>
      <c r="I531" s="78" t="n"/>
      <c r="J531" s="67">
        <f>IF($I531="","",IFERROR(INDEX(Action_Status_Map!$B$5:$B$11,MATCH($I531,Action_Status_Map!$A$5:$A$11,0)),""))</f>
        <v/>
      </c>
      <c r="K531" s="82" t="n"/>
      <c r="L531" s="82" t="n"/>
      <c r="M531" s="82" t="n"/>
      <c r="N531" s="83" t="n"/>
      <c r="O531" s="83" t="n"/>
      <c r="P531" s="66">
        <f>IF(OR($N531="",$O531=""),"",$O531-$N531)</f>
        <v/>
      </c>
      <c r="Q531" s="84">
        <f>IF($K531="","",IF($M531&lt;&gt;"",$M531-$K531,TODAY()-$K531))</f>
        <v/>
      </c>
      <c r="R531" s="85">
        <f>IF(OR($L531="",$I531="Completed",$I531="Cancelled"),"",IF(AND($L531&lt;TODAY(),$I531&lt;&gt;"Completed",$I531&lt;&gt;"Cancelled"),"Overdue","On Track"))</f>
        <v/>
      </c>
      <c r="S531" s="65">
        <f>IF($L531="","",TEXT($L531,"yyyy-mm"))</f>
        <v/>
      </c>
      <c r="T531" s="86">
        <f>IF($I531="","",IFERROR(INDEX(Action_Status_Map!$C$5:$C$11,MATCH($I531,Action_Status_Map!$A$5:$A$11,0)),""))</f>
        <v/>
      </c>
      <c r="U531" s="81" t="n"/>
      <c r="V531" s="82" t="n"/>
      <c r="W531" s="65">
        <f>IF(OR($I531&lt;&gt;"Completed",$M531="",$L531=""),"",IF($M531&lt;=$L531,"Yes","No"))</f>
        <v/>
      </c>
      <c r="X531" s="84">
        <f>IF($A531="","",COUNTIF(Task_Steps!$B$5:$B$2004,$A531))</f>
        <v/>
      </c>
      <c r="Y531" s="86">
        <f>IF($X531=0,"",COUNTIFS(Task_Steps!$B$5:$B$2004,$A531,Task_Steps!$H$5:$H$2004,"Completed")/$X531)</f>
        <v/>
      </c>
      <c r="Z531" s="81" t="n"/>
      <c r="AA531" s="81" t="n"/>
      <c r="AB531" s="67">
        <f>IF($F531="","",IFERROR(INDEX(Employee_Master!$E$5:$E$204,MATCH($F531,Employee_Master!$B$5:$B$204,0)),""))</f>
        <v/>
      </c>
      <c r="AC531" s="65">
        <f>IF(OR($A531="",$AB531=""),"",IF(OR($I531="Completed",$I531="Cancelled"),"Closed - in Manager Report","Active - in Manager Report"))</f>
        <v/>
      </c>
      <c r="AD531" s="81">
        <f>IF($A531="","",IFERROR(TEXTJOIN(", ",TRUE,FILTER(Task_Steps!$A$5:$A$2004,Task_Steps!$B$5:$B$2004=$A531)),""))</f>
        <v/>
      </c>
      <c r="AE531" s="84">
        <f>IF($A531="","",COUNTIFS(Task_Steps!$B$5:$B$2004,$A531,Task_Steps!$H$5:$H$2004,"&lt;&gt;Completed",Task_Steps!$H$5:$H$2004,"&lt;&gt;Cancelled"))</f>
        <v/>
      </c>
      <c r="AF531" s="81">
        <f>IF(OR($B531="",$A531=""),"",$B531&amp;" | "&amp;$A531)</f>
        <v/>
      </c>
    </row>
    <row r="532" ht="15" customHeight="1" s="40">
      <c r="A532" s="65">
        <f>IF(COUNTA(B532:F532)=0,"","TSK-"&amp;TEXT(ROW()-4,"0000"))</f>
        <v/>
      </c>
      <c r="B532" s="78" t="n"/>
      <c r="C532" s="78" t="n"/>
      <c r="D532" s="81" t="n"/>
      <c r="E532" s="81" t="n"/>
      <c r="F532" s="78" t="n"/>
      <c r="G532" s="67">
        <f>IF($F532="","",IFERROR(INDEX(Employee_Master!$C$5:$C$204,MATCH($F532,Employee_Master!$B$5:$B$204,0)),""))</f>
        <v/>
      </c>
      <c r="H532" s="78" t="n"/>
      <c r="I532" s="78" t="n"/>
      <c r="J532" s="67">
        <f>IF($I532="","",IFERROR(INDEX(Action_Status_Map!$B$5:$B$11,MATCH($I532,Action_Status_Map!$A$5:$A$11,0)),""))</f>
        <v/>
      </c>
      <c r="K532" s="82" t="n"/>
      <c r="L532" s="82" t="n"/>
      <c r="M532" s="82" t="n"/>
      <c r="N532" s="83" t="n"/>
      <c r="O532" s="83" t="n"/>
      <c r="P532" s="66">
        <f>IF(OR($N532="",$O532=""),"",$O532-$N532)</f>
        <v/>
      </c>
      <c r="Q532" s="84">
        <f>IF($K532="","",IF($M532&lt;&gt;"",$M532-$K532,TODAY()-$K532))</f>
        <v/>
      </c>
      <c r="R532" s="85">
        <f>IF(OR($L532="",$I532="Completed",$I532="Cancelled"),"",IF(AND($L532&lt;TODAY(),$I532&lt;&gt;"Completed",$I532&lt;&gt;"Cancelled"),"Overdue","On Track"))</f>
        <v/>
      </c>
      <c r="S532" s="65">
        <f>IF($L532="","",TEXT($L532,"yyyy-mm"))</f>
        <v/>
      </c>
      <c r="T532" s="86">
        <f>IF($I532="","",IFERROR(INDEX(Action_Status_Map!$C$5:$C$11,MATCH($I532,Action_Status_Map!$A$5:$A$11,0)),""))</f>
        <v/>
      </c>
      <c r="U532" s="81" t="n"/>
      <c r="V532" s="82" t="n"/>
      <c r="W532" s="65">
        <f>IF(OR($I532&lt;&gt;"Completed",$M532="",$L532=""),"",IF($M532&lt;=$L532,"Yes","No"))</f>
        <v/>
      </c>
      <c r="X532" s="84">
        <f>IF($A532="","",COUNTIF(Task_Steps!$B$5:$B$2004,$A532))</f>
        <v/>
      </c>
      <c r="Y532" s="86">
        <f>IF($X532=0,"",COUNTIFS(Task_Steps!$B$5:$B$2004,$A532,Task_Steps!$H$5:$H$2004,"Completed")/$X532)</f>
        <v/>
      </c>
      <c r="Z532" s="81" t="n"/>
      <c r="AA532" s="81" t="n"/>
      <c r="AB532" s="67">
        <f>IF($F532="","",IFERROR(INDEX(Employee_Master!$E$5:$E$204,MATCH($F532,Employee_Master!$B$5:$B$204,0)),""))</f>
        <v/>
      </c>
      <c r="AC532" s="65">
        <f>IF(OR($A532="",$AB532=""),"",IF(OR($I532="Completed",$I532="Cancelled"),"Closed - in Manager Report","Active - in Manager Report"))</f>
        <v/>
      </c>
      <c r="AD532" s="81">
        <f>IF($A532="","",IFERROR(TEXTJOIN(", ",TRUE,FILTER(Task_Steps!$A$5:$A$2004,Task_Steps!$B$5:$B$2004=$A532)),""))</f>
        <v/>
      </c>
      <c r="AE532" s="84">
        <f>IF($A532="","",COUNTIFS(Task_Steps!$B$5:$B$2004,$A532,Task_Steps!$H$5:$H$2004,"&lt;&gt;Completed",Task_Steps!$H$5:$H$2004,"&lt;&gt;Cancelled"))</f>
        <v/>
      </c>
      <c r="AF532" s="81">
        <f>IF(OR($B532="",$A532=""),"",$B532&amp;" | "&amp;$A532)</f>
        <v/>
      </c>
    </row>
    <row r="533" ht="15" customHeight="1" s="40">
      <c r="A533" s="65">
        <f>IF(COUNTA(B533:F533)=0,"","TSK-"&amp;TEXT(ROW()-4,"0000"))</f>
        <v/>
      </c>
      <c r="B533" s="78" t="n"/>
      <c r="C533" s="78" t="n"/>
      <c r="D533" s="81" t="n"/>
      <c r="E533" s="81" t="n"/>
      <c r="F533" s="78" t="n"/>
      <c r="G533" s="67">
        <f>IF($F533="","",IFERROR(INDEX(Employee_Master!$C$5:$C$204,MATCH($F533,Employee_Master!$B$5:$B$204,0)),""))</f>
        <v/>
      </c>
      <c r="H533" s="78" t="n"/>
      <c r="I533" s="78" t="n"/>
      <c r="J533" s="67">
        <f>IF($I533="","",IFERROR(INDEX(Action_Status_Map!$B$5:$B$11,MATCH($I533,Action_Status_Map!$A$5:$A$11,0)),""))</f>
        <v/>
      </c>
      <c r="K533" s="82" t="n"/>
      <c r="L533" s="82" t="n"/>
      <c r="M533" s="82" t="n"/>
      <c r="N533" s="83" t="n"/>
      <c r="O533" s="83" t="n"/>
      <c r="P533" s="66">
        <f>IF(OR($N533="",$O533=""),"",$O533-$N533)</f>
        <v/>
      </c>
      <c r="Q533" s="84">
        <f>IF($K533="","",IF($M533&lt;&gt;"",$M533-$K533,TODAY()-$K533))</f>
        <v/>
      </c>
      <c r="R533" s="85">
        <f>IF(OR($L533="",$I533="Completed",$I533="Cancelled"),"",IF(AND($L533&lt;TODAY(),$I533&lt;&gt;"Completed",$I533&lt;&gt;"Cancelled"),"Overdue","On Track"))</f>
        <v/>
      </c>
      <c r="S533" s="65">
        <f>IF($L533="","",TEXT($L533,"yyyy-mm"))</f>
        <v/>
      </c>
      <c r="T533" s="86">
        <f>IF($I533="","",IFERROR(INDEX(Action_Status_Map!$C$5:$C$11,MATCH($I533,Action_Status_Map!$A$5:$A$11,0)),""))</f>
        <v/>
      </c>
      <c r="U533" s="81" t="n"/>
      <c r="V533" s="82" t="n"/>
      <c r="W533" s="65">
        <f>IF(OR($I533&lt;&gt;"Completed",$M533="",$L533=""),"",IF($M533&lt;=$L533,"Yes","No"))</f>
        <v/>
      </c>
      <c r="X533" s="84">
        <f>IF($A533="","",COUNTIF(Task_Steps!$B$5:$B$2004,$A533))</f>
        <v/>
      </c>
      <c r="Y533" s="86">
        <f>IF($X533=0,"",COUNTIFS(Task_Steps!$B$5:$B$2004,$A533,Task_Steps!$H$5:$H$2004,"Completed")/$X533)</f>
        <v/>
      </c>
      <c r="Z533" s="81" t="n"/>
      <c r="AA533" s="81" t="n"/>
      <c r="AB533" s="67">
        <f>IF($F533="","",IFERROR(INDEX(Employee_Master!$E$5:$E$204,MATCH($F533,Employee_Master!$B$5:$B$204,0)),""))</f>
        <v/>
      </c>
      <c r="AC533" s="65">
        <f>IF(OR($A533="",$AB533=""),"",IF(OR($I533="Completed",$I533="Cancelled"),"Closed - in Manager Report","Active - in Manager Report"))</f>
        <v/>
      </c>
      <c r="AD533" s="81">
        <f>IF($A533="","",IFERROR(TEXTJOIN(", ",TRUE,FILTER(Task_Steps!$A$5:$A$2004,Task_Steps!$B$5:$B$2004=$A533)),""))</f>
        <v/>
      </c>
      <c r="AE533" s="84">
        <f>IF($A533="","",COUNTIFS(Task_Steps!$B$5:$B$2004,$A533,Task_Steps!$H$5:$H$2004,"&lt;&gt;Completed",Task_Steps!$H$5:$H$2004,"&lt;&gt;Cancelled"))</f>
        <v/>
      </c>
      <c r="AF533" s="81">
        <f>IF(OR($B533="",$A533=""),"",$B533&amp;" | "&amp;$A533)</f>
        <v/>
      </c>
    </row>
    <row r="534" ht="15" customHeight="1" s="40">
      <c r="A534" s="65">
        <f>IF(COUNTA(B534:F534)=0,"","TSK-"&amp;TEXT(ROW()-4,"0000"))</f>
        <v/>
      </c>
      <c r="B534" s="78" t="n"/>
      <c r="C534" s="78" t="n"/>
      <c r="D534" s="81" t="n"/>
      <c r="E534" s="81" t="n"/>
      <c r="F534" s="78" t="n"/>
      <c r="G534" s="67">
        <f>IF($F534="","",IFERROR(INDEX(Employee_Master!$C$5:$C$204,MATCH($F534,Employee_Master!$B$5:$B$204,0)),""))</f>
        <v/>
      </c>
      <c r="H534" s="78" t="n"/>
      <c r="I534" s="78" t="n"/>
      <c r="J534" s="67">
        <f>IF($I534="","",IFERROR(INDEX(Action_Status_Map!$B$5:$B$11,MATCH($I534,Action_Status_Map!$A$5:$A$11,0)),""))</f>
        <v/>
      </c>
      <c r="K534" s="82" t="n"/>
      <c r="L534" s="82" t="n"/>
      <c r="M534" s="82" t="n"/>
      <c r="N534" s="83" t="n"/>
      <c r="O534" s="83" t="n"/>
      <c r="P534" s="66">
        <f>IF(OR($N534="",$O534=""),"",$O534-$N534)</f>
        <v/>
      </c>
      <c r="Q534" s="84">
        <f>IF($K534="","",IF($M534&lt;&gt;"",$M534-$K534,TODAY()-$K534))</f>
        <v/>
      </c>
      <c r="R534" s="85">
        <f>IF(OR($L534="",$I534="Completed",$I534="Cancelled"),"",IF(AND($L534&lt;TODAY(),$I534&lt;&gt;"Completed",$I534&lt;&gt;"Cancelled"),"Overdue","On Track"))</f>
        <v/>
      </c>
      <c r="S534" s="65">
        <f>IF($L534="","",TEXT($L534,"yyyy-mm"))</f>
        <v/>
      </c>
      <c r="T534" s="86">
        <f>IF($I534="","",IFERROR(INDEX(Action_Status_Map!$C$5:$C$11,MATCH($I534,Action_Status_Map!$A$5:$A$11,0)),""))</f>
        <v/>
      </c>
      <c r="U534" s="81" t="n"/>
      <c r="V534" s="82" t="n"/>
      <c r="W534" s="65">
        <f>IF(OR($I534&lt;&gt;"Completed",$M534="",$L534=""),"",IF($M534&lt;=$L534,"Yes","No"))</f>
        <v/>
      </c>
      <c r="X534" s="84">
        <f>IF($A534="","",COUNTIF(Task_Steps!$B$5:$B$2004,$A534))</f>
        <v/>
      </c>
      <c r="Y534" s="86">
        <f>IF($X534=0,"",COUNTIFS(Task_Steps!$B$5:$B$2004,$A534,Task_Steps!$H$5:$H$2004,"Completed")/$X534)</f>
        <v/>
      </c>
      <c r="Z534" s="81" t="n"/>
      <c r="AA534" s="81" t="n"/>
      <c r="AB534" s="67">
        <f>IF($F534="","",IFERROR(INDEX(Employee_Master!$E$5:$E$204,MATCH($F534,Employee_Master!$B$5:$B$204,0)),""))</f>
        <v/>
      </c>
      <c r="AC534" s="65">
        <f>IF(OR($A534="",$AB534=""),"",IF(OR($I534="Completed",$I534="Cancelled"),"Closed - in Manager Report","Active - in Manager Report"))</f>
        <v/>
      </c>
      <c r="AD534" s="81">
        <f>IF($A534="","",IFERROR(TEXTJOIN(", ",TRUE,FILTER(Task_Steps!$A$5:$A$2004,Task_Steps!$B$5:$B$2004=$A534)),""))</f>
        <v/>
      </c>
      <c r="AE534" s="84">
        <f>IF($A534="","",COUNTIFS(Task_Steps!$B$5:$B$2004,$A534,Task_Steps!$H$5:$H$2004,"&lt;&gt;Completed",Task_Steps!$H$5:$H$2004,"&lt;&gt;Cancelled"))</f>
        <v/>
      </c>
      <c r="AF534" s="81">
        <f>IF(OR($B534="",$A534=""),"",$B534&amp;" | "&amp;$A534)</f>
        <v/>
      </c>
    </row>
    <row r="535" ht="15" customHeight="1" s="40">
      <c r="A535" s="65">
        <f>IF(COUNTA(B535:F535)=0,"","TSK-"&amp;TEXT(ROW()-4,"0000"))</f>
        <v/>
      </c>
      <c r="B535" s="78" t="n"/>
      <c r="C535" s="78" t="n"/>
      <c r="D535" s="81" t="n"/>
      <c r="E535" s="81" t="n"/>
      <c r="F535" s="78" t="n"/>
      <c r="G535" s="67">
        <f>IF($F535="","",IFERROR(INDEX(Employee_Master!$C$5:$C$204,MATCH($F535,Employee_Master!$B$5:$B$204,0)),""))</f>
        <v/>
      </c>
      <c r="H535" s="78" t="n"/>
      <c r="I535" s="78" t="n"/>
      <c r="J535" s="67">
        <f>IF($I535="","",IFERROR(INDEX(Action_Status_Map!$B$5:$B$11,MATCH($I535,Action_Status_Map!$A$5:$A$11,0)),""))</f>
        <v/>
      </c>
      <c r="K535" s="82" t="n"/>
      <c r="L535" s="82" t="n"/>
      <c r="M535" s="82" t="n"/>
      <c r="N535" s="83" t="n"/>
      <c r="O535" s="83" t="n"/>
      <c r="P535" s="66">
        <f>IF(OR($N535="",$O535=""),"",$O535-$N535)</f>
        <v/>
      </c>
      <c r="Q535" s="84">
        <f>IF($K535="","",IF($M535&lt;&gt;"",$M535-$K535,TODAY()-$K535))</f>
        <v/>
      </c>
      <c r="R535" s="85">
        <f>IF(OR($L535="",$I535="Completed",$I535="Cancelled"),"",IF(AND($L535&lt;TODAY(),$I535&lt;&gt;"Completed",$I535&lt;&gt;"Cancelled"),"Overdue","On Track"))</f>
        <v/>
      </c>
      <c r="S535" s="65">
        <f>IF($L535="","",TEXT($L535,"yyyy-mm"))</f>
        <v/>
      </c>
      <c r="T535" s="86">
        <f>IF($I535="","",IFERROR(INDEX(Action_Status_Map!$C$5:$C$11,MATCH($I535,Action_Status_Map!$A$5:$A$11,0)),""))</f>
        <v/>
      </c>
      <c r="U535" s="81" t="n"/>
      <c r="V535" s="82" t="n"/>
      <c r="W535" s="65">
        <f>IF(OR($I535&lt;&gt;"Completed",$M535="",$L535=""),"",IF($M535&lt;=$L535,"Yes","No"))</f>
        <v/>
      </c>
      <c r="X535" s="84">
        <f>IF($A535="","",COUNTIF(Task_Steps!$B$5:$B$2004,$A535))</f>
        <v/>
      </c>
      <c r="Y535" s="86">
        <f>IF($X535=0,"",COUNTIFS(Task_Steps!$B$5:$B$2004,$A535,Task_Steps!$H$5:$H$2004,"Completed")/$X535)</f>
        <v/>
      </c>
      <c r="Z535" s="81" t="n"/>
      <c r="AA535" s="81" t="n"/>
      <c r="AB535" s="67">
        <f>IF($F535="","",IFERROR(INDEX(Employee_Master!$E$5:$E$204,MATCH($F535,Employee_Master!$B$5:$B$204,0)),""))</f>
        <v/>
      </c>
      <c r="AC535" s="65">
        <f>IF(OR($A535="",$AB535=""),"",IF(OR($I535="Completed",$I535="Cancelled"),"Closed - in Manager Report","Active - in Manager Report"))</f>
        <v/>
      </c>
      <c r="AD535" s="81">
        <f>IF($A535="","",IFERROR(TEXTJOIN(", ",TRUE,FILTER(Task_Steps!$A$5:$A$2004,Task_Steps!$B$5:$B$2004=$A535)),""))</f>
        <v/>
      </c>
      <c r="AE535" s="84">
        <f>IF($A535="","",COUNTIFS(Task_Steps!$B$5:$B$2004,$A535,Task_Steps!$H$5:$H$2004,"&lt;&gt;Completed",Task_Steps!$H$5:$H$2004,"&lt;&gt;Cancelled"))</f>
        <v/>
      </c>
      <c r="AF535" s="81">
        <f>IF(OR($B535="",$A535=""),"",$B535&amp;" | "&amp;$A535)</f>
        <v/>
      </c>
    </row>
    <row r="536" ht="15" customHeight="1" s="40">
      <c r="A536" s="65">
        <f>IF(COUNTA(B536:F536)=0,"","TSK-"&amp;TEXT(ROW()-4,"0000"))</f>
        <v/>
      </c>
      <c r="B536" s="78" t="n"/>
      <c r="C536" s="78" t="n"/>
      <c r="D536" s="81" t="n"/>
      <c r="E536" s="81" t="n"/>
      <c r="F536" s="78" t="n"/>
      <c r="G536" s="67">
        <f>IF($F536="","",IFERROR(INDEX(Employee_Master!$C$5:$C$204,MATCH($F536,Employee_Master!$B$5:$B$204,0)),""))</f>
        <v/>
      </c>
      <c r="H536" s="78" t="n"/>
      <c r="I536" s="78" t="n"/>
      <c r="J536" s="67">
        <f>IF($I536="","",IFERROR(INDEX(Action_Status_Map!$B$5:$B$11,MATCH($I536,Action_Status_Map!$A$5:$A$11,0)),""))</f>
        <v/>
      </c>
      <c r="K536" s="82" t="n"/>
      <c r="L536" s="82" t="n"/>
      <c r="M536" s="82" t="n"/>
      <c r="N536" s="83" t="n"/>
      <c r="O536" s="83" t="n"/>
      <c r="P536" s="66">
        <f>IF(OR($N536="",$O536=""),"",$O536-$N536)</f>
        <v/>
      </c>
      <c r="Q536" s="84">
        <f>IF($K536="","",IF($M536&lt;&gt;"",$M536-$K536,TODAY()-$K536))</f>
        <v/>
      </c>
      <c r="R536" s="85">
        <f>IF(OR($L536="",$I536="Completed",$I536="Cancelled"),"",IF(AND($L536&lt;TODAY(),$I536&lt;&gt;"Completed",$I536&lt;&gt;"Cancelled"),"Overdue","On Track"))</f>
        <v/>
      </c>
      <c r="S536" s="65">
        <f>IF($L536="","",TEXT($L536,"yyyy-mm"))</f>
        <v/>
      </c>
      <c r="T536" s="86">
        <f>IF($I536="","",IFERROR(INDEX(Action_Status_Map!$C$5:$C$11,MATCH($I536,Action_Status_Map!$A$5:$A$11,0)),""))</f>
        <v/>
      </c>
      <c r="U536" s="81" t="n"/>
      <c r="V536" s="82" t="n"/>
      <c r="W536" s="65">
        <f>IF(OR($I536&lt;&gt;"Completed",$M536="",$L536=""),"",IF($M536&lt;=$L536,"Yes","No"))</f>
        <v/>
      </c>
      <c r="X536" s="84">
        <f>IF($A536="","",COUNTIF(Task_Steps!$B$5:$B$2004,$A536))</f>
        <v/>
      </c>
      <c r="Y536" s="86">
        <f>IF($X536=0,"",COUNTIFS(Task_Steps!$B$5:$B$2004,$A536,Task_Steps!$H$5:$H$2004,"Completed")/$X536)</f>
        <v/>
      </c>
      <c r="Z536" s="81" t="n"/>
      <c r="AA536" s="81" t="n"/>
      <c r="AB536" s="67">
        <f>IF($F536="","",IFERROR(INDEX(Employee_Master!$E$5:$E$204,MATCH($F536,Employee_Master!$B$5:$B$204,0)),""))</f>
        <v/>
      </c>
      <c r="AC536" s="65">
        <f>IF(OR($A536="",$AB536=""),"",IF(OR($I536="Completed",$I536="Cancelled"),"Closed - in Manager Report","Active - in Manager Report"))</f>
        <v/>
      </c>
      <c r="AD536" s="81">
        <f>IF($A536="","",IFERROR(TEXTJOIN(", ",TRUE,FILTER(Task_Steps!$A$5:$A$2004,Task_Steps!$B$5:$B$2004=$A536)),""))</f>
        <v/>
      </c>
      <c r="AE536" s="84">
        <f>IF($A536="","",COUNTIFS(Task_Steps!$B$5:$B$2004,$A536,Task_Steps!$H$5:$H$2004,"&lt;&gt;Completed",Task_Steps!$H$5:$H$2004,"&lt;&gt;Cancelled"))</f>
        <v/>
      </c>
      <c r="AF536" s="81">
        <f>IF(OR($B536="",$A536=""),"",$B536&amp;" | "&amp;$A536)</f>
        <v/>
      </c>
    </row>
    <row r="537" ht="15" customHeight="1" s="40">
      <c r="A537" s="65">
        <f>IF(COUNTA(B537:F537)=0,"","TSK-"&amp;TEXT(ROW()-4,"0000"))</f>
        <v/>
      </c>
      <c r="B537" s="78" t="n"/>
      <c r="C537" s="78" t="n"/>
      <c r="D537" s="81" t="n"/>
      <c r="E537" s="81" t="n"/>
      <c r="F537" s="78" t="n"/>
      <c r="G537" s="67">
        <f>IF($F537="","",IFERROR(INDEX(Employee_Master!$C$5:$C$204,MATCH($F537,Employee_Master!$B$5:$B$204,0)),""))</f>
        <v/>
      </c>
      <c r="H537" s="78" t="n"/>
      <c r="I537" s="78" t="n"/>
      <c r="J537" s="67">
        <f>IF($I537="","",IFERROR(INDEX(Action_Status_Map!$B$5:$B$11,MATCH($I537,Action_Status_Map!$A$5:$A$11,0)),""))</f>
        <v/>
      </c>
      <c r="K537" s="82" t="n"/>
      <c r="L537" s="82" t="n"/>
      <c r="M537" s="82" t="n"/>
      <c r="N537" s="83" t="n"/>
      <c r="O537" s="83" t="n"/>
      <c r="P537" s="66">
        <f>IF(OR($N537="",$O537=""),"",$O537-$N537)</f>
        <v/>
      </c>
      <c r="Q537" s="84">
        <f>IF($K537="","",IF($M537&lt;&gt;"",$M537-$K537,TODAY()-$K537))</f>
        <v/>
      </c>
      <c r="R537" s="85">
        <f>IF(OR($L537="",$I537="Completed",$I537="Cancelled"),"",IF(AND($L537&lt;TODAY(),$I537&lt;&gt;"Completed",$I537&lt;&gt;"Cancelled"),"Overdue","On Track"))</f>
        <v/>
      </c>
      <c r="S537" s="65">
        <f>IF($L537="","",TEXT($L537,"yyyy-mm"))</f>
        <v/>
      </c>
      <c r="T537" s="86">
        <f>IF($I537="","",IFERROR(INDEX(Action_Status_Map!$C$5:$C$11,MATCH($I537,Action_Status_Map!$A$5:$A$11,0)),""))</f>
        <v/>
      </c>
      <c r="U537" s="81" t="n"/>
      <c r="V537" s="82" t="n"/>
      <c r="W537" s="65">
        <f>IF(OR($I537&lt;&gt;"Completed",$M537="",$L537=""),"",IF($M537&lt;=$L537,"Yes","No"))</f>
        <v/>
      </c>
      <c r="X537" s="84">
        <f>IF($A537="","",COUNTIF(Task_Steps!$B$5:$B$2004,$A537))</f>
        <v/>
      </c>
      <c r="Y537" s="86">
        <f>IF($X537=0,"",COUNTIFS(Task_Steps!$B$5:$B$2004,$A537,Task_Steps!$H$5:$H$2004,"Completed")/$X537)</f>
        <v/>
      </c>
      <c r="Z537" s="81" t="n"/>
      <c r="AA537" s="81" t="n"/>
      <c r="AB537" s="67">
        <f>IF($F537="","",IFERROR(INDEX(Employee_Master!$E$5:$E$204,MATCH($F537,Employee_Master!$B$5:$B$204,0)),""))</f>
        <v/>
      </c>
      <c r="AC537" s="65">
        <f>IF(OR($A537="",$AB537=""),"",IF(OR($I537="Completed",$I537="Cancelled"),"Closed - in Manager Report","Active - in Manager Report"))</f>
        <v/>
      </c>
      <c r="AD537" s="81">
        <f>IF($A537="","",IFERROR(TEXTJOIN(", ",TRUE,FILTER(Task_Steps!$A$5:$A$2004,Task_Steps!$B$5:$B$2004=$A537)),""))</f>
        <v/>
      </c>
      <c r="AE537" s="84">
        <f>IF($A537="","",COUNTIFS(Task_Steps!$B$5:$B$2004,$A537,Task_Steps!$H$5:$H$2004,"&lt;&gt;Completed",Task_Steps!$H$5:$H$2004,"&lt;&gt;Cancelled"))</f>
        <v/>
      </c>
      <c r="AF537" s="81">
        <f>IF(OR($B537="",$A537=""),"",$B537&amp;" | "&amp;$A537)</f>
        <v/>
      </c>
    </row>
    <row r="538" ht="15" customHeight="1" s="40">
      <c r="A538" s="65">
        <f>IF(COUNTA(B538:F538)=0,"","TSK-"&amp;TEXT(ROW()-4,"0000"))</f>
        <v/>
      </c>
      <c r="B538" s="78" t="n"/>
      <c r="C538" s="78" t="n"/>
      <c r="D538" s="81" t="n"/>
      <c r="E538" s="81" t="n"/>
      <c r="F538" s="78" t="n"/>
      <c r="G538" s="67">
        <f>IF($F538="","",IFERROR(INDEX(Employee_Master!$C$5:$C$204,MATCH($F538,Employee_Master!$B$5:$B$204,0)),""))</f>
        <v/>
      </c>
      <c r="H538" s="78" t="n"/>
      <c r="I538" s="78" t="n"/>
      <c r="J538" s="67">
        <f>IF($I538="","",IFERROR(INDEX(Action_Status_Map!$B$5:$B$11,MATCH($I538,Action_Status_Map!$A$5:$A$11,0)),""))</f>
        <v/>
      </c>
      <c r="K538" s="82" t="n"/>
      <c r="L538" s="82" t="n"/>
      <c r="M538" s="82" t="n"/>
      <c r="N538" s="83" t="n"/>
      <c r="O538" s="83" t="n"/>
      <c r="P538" s="66">
        <f>IF(OR($N538="",$O538=""),"",$O538-$N538)</f>
        <v/>
      </c>
      <c r="Q538" s="84">
        <f>IF($K538="","",IF($M538&lt;&gt;"",$M538-$K538,TODAY()-$K538))</f>
        <v/>
      </c>
      <c r="R538" s="85">
        <f>IF(OR($L538="",$I538="Completed",$I538="Cancelled"),"",IF(AND($L538&lt;TODAY(),$I538&lt;&gt;"Completed",$I538&lt;&gt;"Cancelled"),"Overdue","On Track"))</f>
        <v/>
      </c>
      <c r="S538" s="65">
        <f>IF($L538="","",TEXT($L538,"yyyy-mm"))</f>
        <v/>
      </c>
      <c r="T538" s="86">
        <f>IF($I538="","",IFERROR(INDEX(Action_Status_Map!$C$5:$C$11,MATCH($I538,Action_Status_Map!$A$5:$A$11,0)),""))</f>
        <v/>
      </c>
      <c r="U538" s="81" t="n"/>
      <c r="V538" s="82" t="n"/>
      <c r="W538" s="65">
        <f>IF(OR($I538&lt;&gt;"Completed",$M538="",$L538=""),"",IF($M538&lt;=$L538,"Yes","No"))</f>
        <v/>
      </c>
      <c r="X538" s="84">
        <f>IF($A538="","",COUNTIF(Task_Steps!$B$5:$B$2004,$A538))</f>
        <v/>
      </c>
      <c r="Y538" s="86">
        <f>IF($X538=0,"",COUNTIFS(Task_Steps!$B$5:$B$2004,$A538,Task_Steps!$H$5:$H$2004,"Completed")/$X538)</f>
        <v/>
      </c>
      <c r="Z538" s="81" t="n"/>
      <c r="AA538" s="81" t="n"/>
      <c r="AB538" s="67">
        <f>IF($F538="","",IFERROR(INDEX(Employee_Master!$E$5:$E$204,MATCH($F538,Employee_Master!$B$5:$B$204,0)),""))</f>
        <v/>
      </c>
      <c r="AC538" s="65">
        <f>IF(OR($A538="",$AB538=""),"",IF(OR($I538="Completed",$I538="Cancelled"),"Closed - in Manager Report","Active - in Manager Report"))</f>
        <v/>
      </c>
      <c r="AD538" s="81">
        <f>IF($A538="","",IFERROR(TEXTJOIN(", ",TRUE,FILTER(Task_Steps!$A$5:$A$2004,Task_Steps!$B$5:$B$2004=$A538)),""))</f>
        <v/>
      </c>
      <c r="AE538" s="84">
        <f>IF($A538="","",COUNTIFS(Task_Steps!$B$5:$B$2004,$A538,Task_Steps!$H$5:$H$2004,"&lt;&gt;Completed",Task_Steps!$H$5:$H$2004,"&lt;&gt;Cancelled"))</f>
        <v/>
      </c>
      <c r="AF538" s="81">
        <f>IF(OR($B538="",$A538=""),"",$B538&amp;" | "&amp;$A538)</f>
        <v/>
      </c>
    </row>
    <row r="539" ht="15" customHeight="1" s="40">
      <c r="A539" s="65">
        <f>IF(COUNTA(B539:F539)=0,"","TSK-"&amp;TEXT(ROW()-4,"0000"))</f>
        <v/>
      </c>
      <c r="B539" s="78" t="n"/>
      <c r="C539" s="78" t="n"/>
      <c r="D539" s="81" t="n"/>
      <c r="E539" s="81" t="n"/>
      <c r="F539" s="78" t="n"/>
      <c r="G539" s="67">
        <f>IF($F539="","",IFERROR(INDEX(Employee_Master!$C$5:$C$204,MATCH($F539,Employee_Master!$B$5:$B$204,0)),""))</f>
        <v/>
      </c>
      <c r="H539" s="78" t="n"/>
      <c r="I539" s="78" t="n"/>
      <c r="J539" s="67">
        <f>IF($I539="","",IFERROR(INDEX(Action_Status_Map!$B$5:$B$11,MATCH($I539,Action_Status_Map!$A$5:$A$11,0)),""))</f>
        <v/>
      </c>
      <c r="K539" s="82" t="n"/>
      <c r="L539" s="82" t="n"/>
      <c r="M539" s="82" t="n"/>
      <c r="N539" s="83" t="n"/>
      <c r="O539" s="83" t="n"/>
      <c r="P539" s="66">
        <f>IF(OR($N539="",$O539=""),"",$O539-$N539)</f>
        <v/>
      </c>
      <c r="Q539" s="84">
        <f>IF($K539="","",IF($M539&lt;&gt;"",$M539-$K539,TODAY()-$K539))</f>
        <v/>
      </c>
      <c r="R539" s="85">
        <f>IF(OR($L539="",$I539="Completed",$I539="Cancelled"),"",IF(AND($L539&lt;TODAY(),$I539&lt;&gt;"Completed",$I539&lt;&gt;"Cancelled"),"Overdue","On Track"))</f>
        <v/>
      </c>
      <c r="S539" s="65">
        <f>IF($L539="","",TEXT($L539,"yyyy-mm"))</f>
        <v/>
      </c>
      <c r="T539" s="86">
        <f>IF($I539="","",IFERROR(INDEX(Action_Status_Map!$C$5:$C$11,MATCH($I539,Action_Status_Map!$A$5:$A$11,0)),""))</f>
        <v/>
      </c>
      <c r="U539" s="81" t="n"/>
      <c r="V539" s="82" t="n"/>
      <c r="W539" s="65">
        <f>IF(OR($I539&lt;&gt;"Completed",$M539="",$L539=""),"",IF($M539&lt;=$L539,"Yes","No"))</f>
        <v/>
      </c>
      <c r="X539" s="84">
        <f>IF($A539="","",COUNTIF(Task_Steps!$B$5:$B$2004,$A539))</f>
        <v/>
      </c>
      <c r="Y539" s="86">
        <f>IF($X539=0,"",COUNTIFS(Task_Steps!$B$5:$B$2004,$A539,Task_Steps!$H$5:$H$2004,"Completed")/$X539)</f>
        <v/>
      </c>
      <c r="Z539" s="81" t="n"/>
      <c r="AA539" s="81" t="n"/>
      <c r="AB539" s="67">
        <f>IF($F539="","",IFERROR(INDEX(Employee_Master!$E$5:$E$204,MATCH($F539,Employee_Master!$B$5:$B$204,0)),""))</f>
        <v/>
      </c>
      <c r="AC539" s="65">
        <f>IF(OR($A539="",$AB539=""),"",IF(OR($I539="Completed",$I539="Cancelled"),"Closed - in Manager Report","Active - in Manager Report"))</f>
        <v/>
      </c>
      <c r="AD539" s="81">
        <f>IF($A539="","",IFERROR(TEXTJOIN(", ",TRUE,FILTER(Task_Steps!$A$5:$A$2004,Task_Steps!$B$5:$B$2004=$A539)),""))</f>
        <v/>
      </c>
      <c r="AE539" s="84">
        <f>IF($A539="","",COUNTIFS(Task_Steps!$B$5:$B$2004,$A539,Task_Steps!$H$5:$H$2004,"&lt;&gt;Completed",Task_Steps!$H$5:$H$2004,"&lt;&gt;Cancelled"))</f>
        <v/>
      </c>
      <c r="AF539" s="81">
        <f>IF(OR($B539="",$A539=""),"",$B539&amp;" | "&amp;$A539)</f>
        <v/>
      </c>
    </row>
    <row r="540" ht="15" customHeight="1" s="40">
      <c r="A540" s="65">
        <f>IF(COUNTA(B540:F540)=0,"","TSK-"&amp;TEXT(ROW()-4,"0000"))</f>
        <v/>
      </c>
      <c r="B540" s="78" t="n"/>
      <c r="C540" s="78" t="n"/>
      <c r="D540" s="81" t="n"/>
      <c r="E540" s="81" t="n"/>
      <c r="F540" s="78" t="n"/>
      <c r="G540" s="67">
        <f>IF($F540="","",IFERROR(INDEX(Employee_Master!$C$5:$C$204,MATCH($F540,Employee_Master!$B$5:$B$204,0)),""))</f>
        <v/>
      </c>
      <c r="H540" s="78" t="n"/>
      <c r="I540" s="78" t="n"/>
      <c r="J540" s="67">
        <f>IF($I540="","",IFERROR(INDEX(Action_Status_Map!$B$5:$B$11,MATCH($I540,Action_Status_Map!$A$5:$A$11,0)),""))</f>
        <v/>
      </c>
      <c r="K540" s="82" t="n"/>
      <c r="L540" s="82" t="n"/>
      <c r="M540" s="82" t="n"/>
      <c r="N540" s="83" t="n"/>
      <c r="O540" s="83" t="n"/>
      <c r="P540" s="66">
        <f>IF(OR($N540="",$O540=""),"",$O540-$N540)</f>
        <v/>
      </c>
      <c r="Q540" s="84">
        <f>IF($K540="","",IF($M540&lt;&gt;"",$M540-$K540,TODAY()-$K540))</f>
        <v/>
      </c>
      <c r="R540" s="85">
        <f>IF(OR($L540="",$I540="Completed",$I540="Cancelled"),"",IF(AND($L540&lt;TODAY(),$I540&lt;&gt;"Completed",$I540&lt;&gt;"Cancelled"),"Overdue","On Track"))</f>
        <v/>
      </c>
      <c r="S540" s="65">
        <f>IF($L540="","",TEXT($L540,"yyyy-mm"))</f>
        <v/>
      </c>
      <c r="T540" s="86">
        <f>IF($I540="","",IFERROR(INDEX(Action_Status_Map!$C$5:$C$11,MATCH($I540,Action_Status_Map!$A$5:$A$11,0)),""))</f>
        <v/>
      </c>
      <c r="U540" s="81" t="n"/>
      <c r="V540" s="82" t="n"/>
      <c r="W540" s="65">
        <f>IF(OR($I540&lt;&gt;"Completed",$M540="",$L540=""),"",IF($M540&lt;=$L540,"Yes","No"))</f>
        <v/>
      </c>
      <c r="X540" s="84">
        <f>IF($A540="","",COUNTIF(Task_Steps!$B$5:$B$2004,$A540))</f>
        <v/>
      </c>
      <c r="Y540" s="86">
        <f>IF($X540=0,"",COUNTIFS(Task_Steps!$B$5:$B$2004,$A540,Task_Steps!$H$5:$H$2004,"Completed")/$X540)</f>
        <v/>
      </c>
      <c r="Z540" s="81" t="n"/>
      <c r="AA540" s="81" t="n"/>
      <c r="AB540" s="67">
        <f>IF($F540="","",IFERROR(INDEX(Employee_Master!$E$5:$E$204,MATCH($F540,Employee_Master!$B$5:$B$204,0)),""))</f>
        <v/>
      </c>
      <c r="AC540" s="65">
        <f>IF(OR($A540="",$AB540=""),"",IF(OR($I540="Completed",$I540="Cancelled"),"Closed - in Manager Report","Active - in Manager Report"))</f>
        <v/>
      </c>
      <c r="AD540" s="81">
        <f>IF($A540="","",IFERROR(TEXTJOIN(", ",TRUE,FILTER(Task_Steps!$A$5:$A$2004,Task_Steps!$B$5:$B$2004=$A540)),""))</f>
        <v/>
      </c>
      <c r="AE540" s="84">
        <f>IF($A540="","",COUNTIFS(Task_Steps!$B$5:$B$2004,$A540,Task_Steps!$H$5:$H$2004,"&lt;&gt;Completed",Task_Steps!$H$5:$H$2004,"&lt;&gt;Cancelled"))</f>
        <v/>
      </c>
      <c r="AF540" s="81">
        <f>IF(OR($B540="",$A540=""),"",$B540&amp;" | "&amp;$A540)</f>
        <v/>
      </c>
    </row>
    <row r="541" ht="15" customHeight="1" s="40">
      <c r="A541" s="65">
        <f>IF(COUNTA(B541:F541)=0,"","TSK-"&amp;TEXT(ROW()-4,"0000"))</f>
        <v/>
      </c>
      <c r="B541" s="78" t="n"/>
      <c r="C541" s="78" t="n"/>
      <c r="D541" s="81" t="n"/>
      <c r="E541" s="81" t="n"/>
      <c r="F541" s="78" t="n"/>
      <c r="G541" s="67">
        <f>IF($F541="","",IFERROR(INDEX(Employee_Master!$C$5:$C$204,MATCH($F541,Employee_Master!$B$5:$B$204,0)),""))</f>
        <v/>
      </c>
      <c r="H541" s="78" t="n"/>
      <c r="I541" s="78" t="n"/>
      <c r="J541" s="67">
        <f>IF($I541="","",IFERROR(INDEX(Action_Status_Map!$B$5:$B$11,MATCH($I541,Action_Status_Map!$A$5:$A$11,0)),""))</f>
        <v/>
      </c>
      <c r="K541" s="82" t="n"/>
      <c r="L541" s="82" t="n"/>
      <c r="M541" s="82" t="n"/>
      <c r="N541" s="83" t="n"/>
      <c r="O541" s="83" t="n"/>
      <c r="P541" s="66">
        <f>IF(OR($N541="",$O541=""),"",$O541-$N541)</f>
        <v/>
      </c>
      <c r="Q541" s="84">
        <f>IF($K541="","",IF($M541&lt;&gt;"",$M541-$K541,TODAY()-$K541))</f>
        <v/>
      </c>
      <c r="R541" s="85">
        <f>IF(OR($L541="",$I541="Completed",$I541="Cancelled"),"",IF(AND($L541&lt;TODAY(),$I541&lt;&gt;"Completed",$I541&lt;&gt;"Cancelled"),"Overdue","On Track"))</f>
        <v/>
      </c>
      <c r="S541" s="65">
        <f>IF($L541="","",TEXT($L541,"yyyy-mm"))</f>
        <v/>
      </c>
      <c r="T541" s="86">
        <f>IF($I541="","",IFERROR(INDEX(Action_Status_Map!$C$5:$C$11,MATCH($I541,Action_Status_Map!$A$5:$A$11,0)),""))</f>
        <v/>
      </c>
      <c r="U541" s="81" t="n"/>
      <c r="V541" s="82" t="n"/>
      <c r="W541" s="65">
        <f>IF(OR($I541&lt;&gt;"Completed",$M541="",$L541=""),"",IF($M541&lt;=$L541,"Yes","No"))</f>
        <v/>
      </c>
      <c r="X541" s="84">
        <f>IF($A541="","",COUNTIF(Task_Steps!$B$5:$B$2004,$A541))</f>
        <v/>
      </c>
      <c r="Y541" s="86">
        <f>IF($X541=0,"",COUNTIFS(Task_Steps!$B$5:$B$2004,$A541,Task_Steps!$H$5:$H$2004,"Completed")/$X541)</f>
        <v/>
      </c>
      <c r="Z541" s="81" t="n"/>
      <c r="AA541" s="81" t="n"/>
      <c r="AB541" s="67">
        <f>IF($F541="","",IFERROR(INDEX(Employee_Master!$E$5:$E$204,MATCH($F541,Employee_Master!$B$5:$B$204,0)),""))</f>
        <v/>
      </c>
      <c r="AC541" s="65">
        <f>IF(OR($A541="",$AB541=""),"",IF(OR($I541="Completed",$I541="Cancelled"),"Closed - in Manager Report","Active - in Manager Report"))</f>
        <v/>
      </c>
      <c r="AD541" s="81">
        <f>IF($A541="","",IFERROR(TEXTJOIN(", ",TRUE,FILTER(Task_Steps!$A$5:$A$2004,Task_Steps!$B$5:$B$2004=$A541)),""))</f>
        <v/>
      </c>
      <c r="AE541" s="84">
        <f>IF($A541="","",COUNTIFS(Task_Steps!$B$5:$B$2004,$A541,Task_Steps!$H$5:$H$2004,"&lt;&gt;Completed",Task_Steps!$H$5:$H$2004,"&lt;&gt;Cancelled"))</f>
        <v/>
      </c>
      <c r="AF541" s="81">
        <f>IF(OR($B541="",$A541=""),"",$B541&amp;" | "&amp;$A541)</f>
        <v/>
      </c>
    </row>
    <row r="542" ht="15" customHeight="1" s="40">
      <c r="A542" s="65">
        <f>IF(COUNTA(B542:F542)=0,"","TSK-"&amp;TEXT(ROW()-4,"0000"))</f>
        <v/>
      </c>
      <c r="B542" s="78" t="n"/>
      <c r="C542" s="78" t="n"/>
      <c r="D542" s="81" t="n"/>
      <c r="E542" s="81" t="n"/>
      <c r="F542" s="78" t="n"/>
      <c r="G542" s="67">
        <f>IF($F542="","",IFERROR(INDEX(Employee_Master!$C$5:$C$204,MATCH($F542,Employee_Master!$B$5:$B$204,0)),""))</f>
        <v/>
      </c>
      <c r="H542" s="78" t="n"/>
      <c r="I542" s="78" t="n"/>
      <c r="J542" s="67">
        <f>IF($I542="","",IFERROR(INDEX(Action_Status_Map!$B$5:$B$11,MATCH($I542,Action_Status_Map!$A$5:$A$11,0)),""))</f>
        <v/>
      </c>
      <c r="K542" s="82" t="n"/>
      <c r="L542" s="82" t="n"/>
      <c r="M542" s="82" t="n"/>
      <c r="N542" s="83" t="n"/>
      <c r="O542" s="83" t="n"/>
      <c r="P542" s="66">
        <f>IF(OR($N542="",$O542=""),"",$O542-$N542)</f>
        <v/>
      </c>
      <c r="Q542" s="84">
        <f>IF($K542="","",IF($M542&lt;&gt;"",$M542-$K542,TODAY()-$K542))</f>
        <v/>
      </c>
      <c r="R542" s="85">
        <f>IF(OR($L542="",$I542="Completed",$I542="Cancelled"),"",IF(AND($L542&lt;TODAY(),$I542&lt;&gt;"Completed",$I542&lt;&gt;"Cancelled"),"Overdue","On Track"))</f>
        <v/>
      </c>
      <c r="S542" s="65">
        <f>IF($L542="","",TEXT($L542,"yyyy-mm"))</f>
        <v/>
      </c>
      <c r="T542" s="86">
        <f>IF($I542="","",IFERROR(INDEX(Action_Status_Map!$C$5:$C$11,MATCH($I542,Action_Status_Map!$A$5:$A$11,0)),""))</f>
        <v/>
      </c>
      <c r="U542" s="81" t="n"/>
      <c r="V542" s="82" t="n"/>
      <c r="W542" s="65">
        <f>IF(OR($I542&lt;&gt;"Completed",$M542="",$L542=""),"",IF($M542&lt;=$L542,"Yes","No"))</f>
        <v/>
      </c>
      <c r="X542" s="84">
        <f>IF($A542="","",COUNTIF(Task_Steps!$B$5:$B$2004,$A542))</f>
        <v/>
      </c>
      <c r="Y542" s="86">
        <f>IF($X542=0,"",COUNTIFS(Task_Steps!$B$5:$B$2004,$A542,Task_Steps!$H$5:$H$2004,"Completed")/$X542)</f>
        <v/>
      </c>
      <c r="Z542" s="81" t="n"/>
      <c r="AA542" s="81" t="n"/>
      <c r="AB542" s="67">
        <f>IF($F542="","",IFERROR(INDEX(Employee_Master!$E$5:$E$204,MATCH($F542,Employee_Master!$B$5:$B$204,0)),""))</f>
        <v/>
      </c>
      <c r="AC542" s="65">
        <f>IF(OR($A542="",$AB542=""),"",IF(OR($I542="Completed",$I542="Cancelled"),"Closed - in Manager Report","Active - in Manager Report"))</f>
        <v/>
      </c>
      <c r="AD542" s="81">
        <f>IF($A542="","",IFERROR(TEXTJOIN(", ",TRUE,FILTER(Task_Steps!$A$5:$A$2004,Task_Steps!$B$5:$B$2004=$A542)),""))</f>
        <v/>
      </c>
      <c r="AE542" s="84">
        <f>IF($A542="","",COUNTIFS(Task_Steps!$B$5:$B$2004,$A542,Task_Steps!$H$5:$H$2004,"&lt;&gt;Completed",Task_Steps!$H$5:$H$2004,"&lt;&gt;Cancelled"))</f>
        <v/>
      </c>
      <c r="AF542" s="81">
        <f>IF(OR($B542="",$A542=""),"",$B542&amp;" | "&amp;$A542)</f>
        <v/>
      </c>
    </row>
    <row r="543" ht="15" customHeight="1" s="40">
      <c r="A543" s="65">
        <f>IF(COUNTA(B543:F543)=0,"","TSK-"&amp;TEXT(ROW()-4,"0000"))</f>
        <v/>
      </c>
      <c r="B543" s="78" t="n"/>
      <c r="C543" s="78" t="n"/>
      <c r="D543" s="81" t="n"/>
      <c r="E543" s="81" t="n"/>
      <c r="F543" s="78" t="n"/>
      <c r="G543" s="67">
        <f>IF($F543="","",IFERROR(INDEX(Employee_Master!$C$5:$C$204,MATCH($F543,Employee_Master!$B$5:$B$204,0)),""))</f>
        <v/>
      </c>
      <c r="H543" s="78" t="n"/>
      <c r="I543" s="78" t="n"/>
      <c r="J543" s="67">
        <f>IF($I543="","",IFERROR(INDEX(Action_Status_Map!$B$5:$B$11,MATCH($I543,Action_Status_Map!$A$5:$A$11,0)),""))</f>
        <v/>
      </c>
      <c r="K543" s="82" t="n"/>
      <c r="L543" s="82" t="n"/>
      <c r="M543" s="82" t="n"/>
      <c r="N543" s="83" t="n"/>
      <c r="O543" s="83" t="n"/>
      <c r="P543" s="66">
        <f>IF(OR($N543="",$O543=""),"",$O543-$N543)</f>
        <v/>
      </c>
      <c r="Q543" s="84">
        <f>IF($K543="","",IF($M543&lt;&gt;"",$M543-$K543,TODAY()-$K543))</f>
        <v/>
      </c>
      <c r="R543" s="85">
        <f>IF(OR($L543="",$I543="Completed",$I543="Cancelled"),"",IF(AND($L543&lt;TODAY(),$I543&lt;&gt;"Completed",$I543&lt;&gt;"Cancelled"),"Overdue","On Track"))</f>
        <v/>
      </c>
      <c r="S543" s="65">
        <f>IF($L543="","",TEXT($L543,"yyyy-mm"))</f>
        <v/>
      </c>
      <c r="T543" s="86">
        <f>IF($I543="","",IFERROR(INDEX(Action_Status_Map!$C$5:$C$11,MATCH($I543,Action_Status_Map!$A$5:$A$11,0)),""))</f>
        <v/>
      </c>
      <c r="U543" s="81" t="n"/>
      <c r="V543" s="82" t="n"/>
      <c r="W543" s="65">
        <f>IF(OR($I543&lt;&gt;"Completed",$M543="",$L543=""),"",IF($M543&lt;=$L543,"Yes","No"))</f>
        <v/>
      </c>
      <c r="X543" s="84">
        <f>IF($A543="","",COUNTIF(Task_Steps!$B$5:$B$2004,$A543))</f>
        <v/>
      </c>
      <c r="Y543" s="86">
        <f>IF($X543=0,"",COUNTIFS(Task_Steps!$B$5:$B$2004,$A543,Task_Steps!$H$5:$H$2004,"Completed")/$X543)</f>
        <v/>
      </c>
      <c r="Z543" s="81" t="n"/>
      <c r="AA543" s="81" t="n"/>
      <c r="AB543" s="67">
        <f>IF($F543="","",IFERROR(INDEX(Employee_Master!$E$5:$E$204,MATCH($F543,Employee_Master!$B$5:$B$204,0)),""))</f>
        <v/>
      </c>
      <c r="AC543" s="65">
        <f>IF(OR($A543="",$AB543=""),"",IF(OR($I543="Completed",$I543="Cancelled"),"Closed - in Manager Report","Active - in Manager Report"))</f>
        <v/>
      </c>
      <c r="AD543" s="81">
        <f>IF($A543="","",IFERROR(TEXTJOIN(", ",TRUE,FILTER(Task_Steps!$A$5:$A$2004,Task_Steps!$B$5:$B$2004=$A543)),""))</f>
        <v/>
      </c>
      <c r="AE543" s="84">
        <f>IF($A543="","",COUNTIFS(Task_Steps!$B$5:$B$2004,$A543,Task_Steps!$H$5:$H$2004,"&lt;&gt;Completed",Task_Steps!$H$5:$H$2004,"&lt;&gt;Cancelled"))</f>
        <v/>
      </c>
      <c r="AF543" s="81">
        <f>IF(OR($B543="",$A543=""),"",$B543&amp;" | "&amp;$A543)</f>
        <v/>
      </c>
    </row>
    <row r="544" ht="15" customHeight="1" s="40">
      <c r="A544" s="65">
        <f>IF(COUNTA(B544:F544)=0,"","TSK-"&amp;TEXT(ROW()-4,"0000"))</f>
        <v/>
      </c>
      <c r="B544" s="78" t="n"/>
      <c r="C544" s="78" t="n"/>
      <c r="D544" s="81" t="n"/>
      <c r="E544" s="81" t="n"/>
      <c r="F544" s="78" t="n"/>
      <c r="G544" s="67">
        <f>IF($F544="","",IFERROR(INDEX(Employee_Master!$C$5:$C$204,MATCH($F544,Employee_Master!$B$5:$B$204,0)),""))</f>
        <v/>
      </c>
      <c r="H544" s="78" t="n"/>
      <c r="I544" s="78" t="n"/>
      <c r="J544" s="67">
        <f>IF($I544="","",IFERROR(INDEX(Action_Status_Map!$B$5:$B$11,MATCH($I544,Action_Status_Map!$A$5:$A$11,0)),""))</f>
        <v/>
      </c>
      <c r="K544" s="82" t="n"/>
      <c r="L544" s="82" t="n"/>
      <c r="M544" s="82" t="n"/>
      <c r="N544" s="83" t="n"/>
      <c r="O544" s="83" t="n"/>
      <c r="P544" s="66">
        <f>IF(OR($N544="",$O544=""),"",$O544-$N544)</f>
        <v/>
      </c>
      <c r="Q544" s="84">
        <f>IF($K544="","",IF($M544&lt;&gt;"",$M544-$K544,TODAY()-$K544))</f>
        <v/>
      </c>
      <c r="R544" s="85">
        <f>IF(OR($L544="",$I544="Completed",$I544="Cancelled"),"",IF(AND($L544&lt;TODAY(),$I544&lt;&gt;"Completed",$I544&lt;&gt;"Cancelled"),"Overdue","On Track"))</f>
        <v/>
      </c>
      <c r="S544" s="65">
        <f>IF($L544="","",TEXT($L544,"yyyy-mm"))</f>
        <v/>
      </c>
      <c r="T544" s="86">
        <f>IF($I544="","",IFERROR(INDEX(Action_Status_Map!$C$5:$C$11,MATCH($I544,Action_Status_Map!$A$5:$A$11,0)),""))</f>
        <v/>
      </c>
      <c r="U544" s="81" t="n"/>
      <c r="V544" s="82" t="n"/>
      <c r="W544" s="65">
        <f>IF(OR($I544&lt;&gt;"Completed",$M544="",$L544=""),"",IF($M544&lt;=$L544,"Yes","No"))</f>
        <v/>
      </c>
      <c r="X544" s="84">
        <f>IF($A544="","",COUNTIF(Task_Steps!$B$5:$B$2004,$A544))</f>
        <v/>
      </c>
      <c r="Y544" s="86">
        <f>IF($X544=0,"",COUNTIFS(Task_Steps!$B$5:$B$2004,$A544,Task_Steps!$H$5:$H$2004,"Completed")/$X544)</f>
        <v/>
      </c>
      <c r="Z544" s="81" t="n"/>
      <c r="AA544" s="81" t="n"/>
      <c r="AB544" s="67">
        <f>IF($F544="","",IFERROR(INDEX(Employee_Master!$E$5:$E$204,MATCH($F544,Employee_Master!$B$5:$B$204,0)),""))</f>
        <v/>
      </c>
      <c r="AC544" s="65">
        <f>IF(OR($A544="",$AB544=""),"",IF(OR($I544="Completed",$I544="Cancelled"),"Closed - in Manager Report","Active - in Manager Report"))</f>
        <v/>
      </c>
      <c r="AD544" s="81">
        <f>IF($A544="","",IFERROR(TEXTJOIN(", ",TRUE,FILTER(Task_Steps!$A$5:$A$2004,Task_Steps!$B$5:$B$2004=$A544)),""))</f>
        <v/>
      </c>
      <c r="AE544" s="84">
        <f>IF($A544="","",COUNTIFS(Task_Steps!$B$5:$B$2004,$A544,Task_Steps!$H$5:$H$2004,"&lt;&gt;Completed",Task_Steps!$H$5:$H$2004,"&lt;&gt;Cancelled"))</f>
        <v/>
      </c>
      <c r="AF544" s="81">
        <f>IF(OR($B544="",$A544=""),"",$B544&amp;" | "&amp;$A544)</f>
        <v/>
      </c>
    </row>
    <row r="545" ht="15" customHeight="1" s="40">
      <c r="A545" s="65">
        <f>IF(COUNTA(B545:F545)=0,"","TSK-"&amp;TEXT(ROW()-4,"0000"))</f>
        <v/>
      </c>
      <c r="B545" s="78" t="n"/>
      <c r="C545" s="78" t="n"/>
      <c r="D545" s="81" t="n"/>
      <c r="E545" s="81" t="n"/>
      <c r="F545" s="78" t="n"/>
      <c r="G545" s="67">
        <f>IF($F545="","",IFERROR(INDEX(Employee_Master!$C$5:$C$204,MATCH($F545,Employee_Master!$B$5:$B$204,0)),""))</f>
        <v/>
      </c>
      <c r="H545" s="78" t="n"/>
      <c r="I545" s="78" t="n"/>
      <c r="J545" s="67">
        <f>IF($I545="","",IFERROR(INDEX(Action_Status_Map!$B$5:$B$11,MATCH($I545,Action_Status_Map!$A$5:$A$11,0)),""))</f>
        <v/>
      </c>
      <c r="K545" s="82" t="n"/>
      <c r="L545" s="82" t="n"/>
      <c r="M545" s="82" t="n"/>
      <c r="N545" s="83" t="n"/>
      <c r="O545" s="83" t="n"/>
      <c r="P545" s="66">
        <f>IF(OR($N545="",$O545=""),"",$O545-$N545)</f>
        <v/>
      </c>
      <c r="Q545" s="84">
        <f>IF($K545="","",IF($M545&lt;&gt;"",$M545-$K545,TODAY()-$K545))</f>
        <v/>
      </c>
      <c r="R545" s="85">
        <f>IF(OR($L545="",$I545="Completed",$I545="Cancelled"),"",IF(AND($L545&lt;TODAY(),$I545&lt;&gt;"Completed",$I545&lt;&gt;"Cancelled"),"Overdue","On Track"))</f>
        <v/>
      </c>
      <c r="S545" s="65">
        <f>IF($L545="","",TEXT($L545,"yyyy-mm"))</f>
        <v/>
      </c>
      <c r="T545" s="86">
        <f>IF($I545="","",IFERROR(INDEX(Action_Status_Map!$C$5:$C$11,MATCH($I545,Action_Status_Map!$A$5:$A$11,0)),""))</f>
        <v/>
      </c>
      <c r="U545" s="81" t="n"/>
      <c r="V545" s="82" t="n"/>
      <c r="W545" s="65">
        <f>IF(OR($I545&lt;&gt;"Completed",$M545="",$L545=""),"",IF($M545&lt;=$L545,"Yes","No"))</f>
        <v/>
      </c>
      <c r="X545" s="84">
        <f>IF($A545="","",COUNTIF(Task_Steps!$B$5:$B$2004,$A545))</f>
        <v/>
      </c>
      <c r="Y545" s="86">
        <f>IF($X545=0,"",COUNTIFS(Task_Steps!$B$5:$B$2004,$A545,Task_Steps!$H$5:$H$2004,"Completed")/$X545)</f>
        <v/>
      </c>
      <c r="Z545" s="81" t="n"/>
      <c r="AA545" s="81" t="n"/>
      <c r="AB545" s="67">
        <f>IF($F545="","",IFERROR(INDEX(Employee_Master!$E$5:$E$204,MATCH($F545,Employee_Master!$B$5:$B$204,0)),""))</f>
        <v/>
      </c>
      <c r="AC545" s="65">
        <f>IF(OR($A545="",$AB545=""),"",IF(OR($I545="Completed",$I545="Cancelled"),"Closed - in Manager Report","Active - in Manager Report"))</f>
        <v/>
      </c>
      <c r="AD545" s="81">
        <f>IF($A545="","",IFERROR(TEXTJOIN(", ",TRUE,FILTER(Task_Steps!$A$5:$A$2004,Task_Steps!$B$5:$B$2004=$A545)),""))</f>
        <v/>
      </c>
      <c r="AE545" s="84">
        <f>IF($A545="","",COUNTIFS(Task_Steps!$B$5:$B$2004,$A545,Task_Steps!$H$5:$H$2004,"&lt;&gt;Completed",Task_Steps!$H$5:$H$2004,"&lt;&gt;Cancelled"))</f>
        <v/>
      </c>
      <c r="AF545" s="81">
        <f>IF(OR($B545="",$A545=""),"",$B545&amp;" | "&amp;$A545)</f>
        <v/>
      </c>
    </row>
    <row r="546" ht="15" customHeight="1" s="40">
      <c r="A546" s="65">
        <f>IF(COUNTA(B546:F546)=0,"","TSK-"&amp;TEXT(ROW()-4,"0000"))</f>
        <v/>
      </c>
      <c r="B546" s="78" t="n"/>
      <c r="C546" s="78" t="n"/>
      <c r="D546" s="81" t="n"/>
      <c r="E546" s="81" t="n"/>
      <c r="F546" s="78" t="n"/>
      <c r="G546" s="67">
        <f>IF($F546="","",IFERROR(INDEX(Employee_Master!$C$5:$C$204,MATCH($F546,Employee_Master!$B$5:$B$204,0)),""))</f>
        <v/>
      </c>
      <c r="H546" s="78" t="n"/>
      <c r="I546" s="78" t="n"/>
      <c r="J546" s="67">
        <f>IF($I546="","",IFERROR(INDEX(Action_Status_Map!$B$5:$B$11,MATCH($I546,Action_Status_Map!$A$5:$A$11,0)),""))</f>
        <v/>
      </c>
      <c r="K546" s="82" t="n"/>
      <c r="L546" s="82" t="n"/>
      <c r="M546" s="82" t="n"/>
      <c r="N546" s="83" t="n"/>
      <c r="O546" s="83" t="n"/>
      <c r="P546" s="66">
        <f>IF(OR($N546="",$O546=""),"",$O546-$N546)</f>
        <v/>
      </c>
      <c r="Q546" s="84">
        <f>IF($K546="","",IF($M546&lt;&gt;"",$M546-$K546,TODAY()-$K546))</f>
        <v/>
      </c>
      <c r="R546" s="85">
        <f>IF(OR($L546="",$I546="Completed",$I546="Cancelled"),"",IF(AND($L546&lt;TODAY(),$I546&lt;&gt;"Completed",$I546&lt;&gt;"Cancelled"),"Overdue","On Track"))</f>
        <v/>
      </c>
      <c r="S546" s="65">
        <f>IF($L546="","",TEXT($L546,"yyyy-mm"))</f>
        <v/>
      </c>
      <c r="T546" s="86">
        <f>IF($I546="","",IFERROR(INDEX(Action_Status_Map!$C$5:$C$11,MATCH($I546,Action_Status_Map!$A$5:$A$11,0)),""))</f>
        <v/>
      </c>
      <c r="U546" s="81" t="n"/>
      <c r="V546" s="82" t="n"/>
      <c r="W546" s="65">
        <f>IF(OR($I546&lt;&gt;"Completed",$M546="",$L546=""),"",IF($M546&lt;=$L546,"Yes","No"))</f>
        <v/>
      </c>
      <c r="X546" s="84">
        <f>IF($A546="","",COUNTIF(Task_Steps!$B$5:$B$2004,$A546))</f>
        <v/>
      </c>
      <c r="Y546" s="86">
        <f>IF($X546=0,"",COUNTIFS(Task_Steps!$B$5:$B$2004,$A546,Task_Steps!$H$5:$H$2004,"Completed")/$X546)</f>
        <v/>
      </c>
      <c r="Z546" s="81" t="n"/>
      <c r="AA546" s="81" t="n"/>
      <c r="AB546" s="67">
        <f>IF($F546="","",IFERROR(INDEX(Employee_Master!$E$5:$E$204,MATCH($F546,Employee_Master!$B$5:$B$204,0)),""))</f>
        <v/>
      </c>
      <c r="AC546" s="65">
        <f>IF(OR($A546="",$AB546=""),"",IF(OR($I546="Completed",$I546="Cancelled"),"Closed - in Manager Report","Active - in Manager Report"))</f>
        <v/>
      </c>
      <c r="AD546" s="81">
        <f>IF($A546="","",IFERROR(TEXTJOIN(", ",TRUE,FILTER(Task_Steps!$A$5:$A$2004,Task_Steps!$B$5:$B$2004=$A546)),""))</f>
        <v/>
      </c>
      <c r="AE546" s="84">
        <f>IF($A546="","",COUNTIFS(Task_Steps!$B$5:$B$2004,$A546,Task_Steps!$H$5:$H$2004,"&lt;&gt;Completed",Task_Steps!$H$5:$H$2004,"&lt;&gt;Cancelled"))</f>
        <v/>
      </c>
      <c r="AF546" s="81">
        <f>IF(OR($B546="",$A546=""),"",$B546&amp;" | "&amp;$A546)</f>
        <v/>
      </c>
    </row>
    <row r="547" ht="15" customHeight="1" s="40">
      <c r="A547" s="65">
        <f>IF(COUNTA(B547:F547)=0,"","TSK-"&amp;TEXT(ROW()-4,"0000"))</f>
        <v/>
      </c>
      <c r="B547" s="78" t="n"/>
      <c r="C547" s="78" t="n"/>
      <c r="D547" s="81" t="n"/>
      <c r="E547" s="81" t="n"/>
      <c r="F547" s="78" t="n"/>
      <c r="G547" s="67">
        <f>IF($F547="","",IFERROR(INDEX(Employee_Master!$C$5:$C$204,MATCH($F547,Employee_Master!$B$5:$B$204,0)),""))</f>
        <v/>
      </c>
      <c r="H547" s="78" t="n"/>
      <c r="I547" s="78" t="n"/>
      <c r="J547" s="67">
        <f>IF($I547="","",IFERROR(INDEX(Action_Status_Map!$B$5:$B$11,MATCH($I547,Action_Status_Map!$A$5:$A$11,0)),""))</f>
        <v/>
      </c>
      <c r="K547" s="82" t="n"/>
      <c r="L547" s="82" t="n"/>
      <c r="M547" s="82" t="n"/>
      <c r="N547" s="83" t="n"/>
      <c r="O547" s="83" t="n"/>
      <c r="P547" s="66">
        <f>IF(OR($N547="",$O547=""),"",$O547-$N547)</f>
        <v/>
      </c>
      <c r="Q547" s="84">
        <f>IF($K547="","",IF($M547&lt;&gt;"",$M547-$K547,TODAY()-$K547))</f>
        <v/>
      </c>
      <c r="R547" s="85">
        <f>IF(OR($L547="",$I547="Completed",$I547="Cancelled"),"",IF(AND($L547&lt;TODAY(),$I547&lt;&gt;"Completed",$I547&lt;&gt;"Cancelled"),"Overdue","On Track"))</f>
        <v/>
      </c>
      <c r="S547" s="65">
        <f>IF($L547="","",TEXT($L547,"yyyy-mm"))</f>
        <v/>
      </c>
      <c r="T547" s="86">
        <f>IF($I547="","",IFERROR(INDEX(Action_Status_Map!$C$5:$C$11,MATCH($I547,Action_Status_Map!$A$5:$A$11,0)),""))</f>
        <v/>
      </c>
      <c r="U547" s="81" t="n"/>
      <c r="V547" s="82" t="n"/>
      <c r="W547" s="65">
        <f>IF(OR($I547&lt;&gt;"Completed",$M547="",$L547=""),"",IF($M547&lt;=$L547,"Yes","No"))</f>
        <v/>
      </c>
      <c r="X547" s="84">
        <f>IF($A547="","",COUNTIF(Task_Steps!$B$5:$B$2004,$A547))</f>
        <v/>
      </c>
      <c r="Y547" s="86">
        <f>IF($X547=0,"",COUNTIFS(Task_Steps!$B$5:$B$2004,$A547,Task_Steps!$H$5:$H$2004,"Completed")/$X547)</f>
        <v/>
      </c>
      <c r="Z547" s="81" t="n"/>
      <c r="AA547" s="81" t="n"/>
      <c r="AB547" s="67">
        <f>IF($F547="","",IFERROR(INDEX(Employee_Master!$E$5:$E$204,MATCH($F547,Employee_Master!$B$5:$B$204,0)),""))</f>
        <v/>
      </c>
      <c r="AC547" s="65">
        <f>IF(OR($A547="",$AB547=""),"",IF(OR($I547="Completed",$I547="Cancelled"),"Closed - in Manager Report","Active - in Manager Report"))</f>
        <v/>
      </c>
      <c r="AD547" s="81">
        <f>IF($A547="","",IFERROR(TEXTJOIN(", ",TRUE,FILTER(Task_Steps!$A$5:$A$2004,Task_Steps!$B$5:$B$2004=$A547)),""))</f>
        <v/>
      </c>
      <c r="AE547" s="84">
        <f>IF($A547="","",COUNTIFS(Task_Steps!$B$5:$B$2004,$A547,Task_Steps!$H$5:$H$2004,"&lt;&gt;Completed",Task_Steps!$H$5:$H$2004,"&lt;&gt;Cancelled"))</f>
        <v/>
      </c>
      <c r="AF547" s="81">
        <f>IF(OR($B547="",$A547=""),"",$B547&amp;" | "&amp;$A547)</f>
        <v/>
      </c>
    </row>
    <row r="548" ht="15" customHeight="1" s="40">
      <c r="A548" s="65">
        <f>IF(COUNTA(B548:F548)=0,"","TSK-"&amp;TEXT(ROW()-4,"0000"))</f>
        <v/>
      </c>
      <c r="B548" s="78" t="n"/>
      <c r="C548" s="78" t="n"/>
      <c r="D548" s="81" t="n"/>
      <c r="E548" s="81" t="n"/>
      <c r="F548" s="78" t="n"/>
      <c r="G548" s="67">
        <f>IF($F548="","",IFERROR(INDEX(Employee_Master!$C$5:$C$204,MATCH($F548,Employee_Master!$B$5:$B$204,0)),""))</f>
        <v/>
      </c>
      <c r="H548" s="78" t="n"/>
      <c r="I548" s="78" t="n"/>
      <c r="J548" s="67">
        <f>IF($I548="","",IFERROR(INDEX(Action_Status_Map!$B$5:$B$11,MATCH($I548,Action_Status_Map!$A$5:$A$11,0)),""))</f>
        <v/>
      </c>
      <c r="K548" s="82" t="n"/>
      <c r="L548" s="82" t="n"/>
      <c r="M548" s="82" t="n"/>
      <c r="N548" s="83" t="n"/>
      <c r="O548" s="83" t="n"/>
      <c r="P548" s="66">
        <f>IF(OR($N548="",$O548=""),"",$O548-$N548)</f>
        <v/>
      </c>
      <c r="Q548" s="84">
        <f>IF($K548="","",IF($M548&lt;&gt;"",$M548-$K548,TODAY()-$K548))</f>
        <v/>
      </c>
      <c r="R548" s="85">
        <f>IF(OR($L548="",$I548="Completed",$I548="Cancelled"),"",IF(AND($L548&lt;TODAY(),$I548&lt;&gt;"Completed",$I548&lt;&gt;"Cancelled"),"Overdue","On Track"))</f>
        <v/>
      </c>
      <c r="S548" s="65">
        <f>IF($L548="","",TEXT($L548,"yyyy-mm"))</f>
        <v/>
      </c>
      <c r="T548" s="86">
        <f>IF($I548="","",IFERROR(INDEX(Action_Status_Map!$C$5:$C$11,MATCH($I548,Action_Status_Map!$A$5:$A$11,0)),""))</f>
        <v/>
      </c>
      <c r="U548" s="81" t="n"/>
      <c r="V548" s="82" t="n"/>
      <c r="W548" s="65">
        <f>IF(OR($I548&lt;&gt;"Completed",$M548="",$L548=""),"",IF($M548&lt;=$L548,"Yes","No"))</f>
        <v/>
      </c>
      <c r="X548" s="84">
        <f>IF($A548="","",COUNTIF(Task_Steps!$B$5:$B$2004,$A548))</f>
        <v/>
      </c>
      <c r="Y548" s="86">
        <f>IF($X548=0,"",COUNTIFS(Task_Steps!$B$5:$B$2004,$A548,Task_Steps!$H$5:$H$2004,"Completed")/$X548)</f>
        <v/>
      </c>
      <c r="Z548" s="81" t="n"/>
      <c r="AA548" s="81" t="n"/>
      <c r="AB548" s="67">
        <f>IF($F548="","",IFERROR(INDEX(Employee_Master!$E$5:$E$204,MATCH($F548,Employee_Master!$B$5:$B$204,0)),""))</f>
        <v/>
      </c>
      <c r="AC548" s="65">
        <f>IF(OR($A548="",$AB548=""),"",IF(OR($I548="Completed",$I548="Cancelled"),"Closed - in Manager Report","Active - in Manager Report"))</f>
        <v/>
      </c>
      <c r="AD548" s="81">
        <f>IF($A548="","",IFERROR(TEXTJOIN(", ",TRUE,FILTER(Task_Steps!$A$5:$A$2004,Task_Steps!$B$5:$B$2004=$A548)),""))</f>
        <v/>
      </c>
      <c r="AE548" s="84">
        <f>IF($A548="","",COUNTIFS(Task_Steps!$B$5:$B$2004,$A548,Task_Steps!$H$5:$H$2004,"&lt;&gt;Completed",Task_Steps!$H$5:$H$2004,"&lt;&gt;Cancelled"))</f>
        <v/>
      </c>
      <c r="AF548" s="81">
        <f>IF(OR($B548="",$A548=""),"",$B548&amp;" | "&amp;$A548)</f>
        <v/>
      </c>
    </row>
    <row r="549" ht="15" customHeight="1" s="40">
      <c r="A549" s="65">
        <f>IF(COUNTA(B549:F549)=0,"","TSK-"&amp;TEXT(ROW()-4,"0000"))</f>
        <v/>
      </c>
      <c r="B549" s="78" t="n"/>
      <c r="C549" s="78" t="n"/>
      <c r="D549" s="81" t="n"/>
      <c r="E549" s="81" t="n"/>
      <c r="F549" s="78" t="n"/>
      <c r="G549" s="67">
        <f>IF($F549="","",IFERROR(INDEX(Employee_Master!$C$5:$C$204,MATCH($F549,Employee_Master!$B$5:$B$204,0)),""))</f>
        <v/>
      </c>
      <c r="H549" s="78" t="n"/>
      <c r="I549" s="78" t="n"/>
      <c r="J549" s="67">
        <f>IF($I549="","",IFERROR(INDEX(Action_Status_Map!$B$5:$B$11,MATCH($I549,Action_Status_Map!$A$5:$A$11,0)),""))</f>
        <v/>
      </c>
      <c r="K549" s="82" t="n"/>
      <c r="L549" s="82" t="n"/>
      <c r="M549" s="82" t="n"/>
      <c r="N549" s="83" t="n"/>
      <c r="O549" s="83" t="n"/>
      <c r="P549" s="66">
        <f>IF(OR($N549="",$O549=""),"",$O549-$N549)</f>
        <v/>
      </c>
      <c r="Q549" s="84">
        <f>IF($K549="","",IF($M549&lt;&gt;"",$M549-$K549,TODAY()-$K549))</f>
        <v/>
      </c>
      <c r="R549" s="85">
        <f>IF(OR($L549="",$I549="Completed",$I549="Cancelled"),"",IF(AND($L549&lt;TODAY(),$I549&lt;&gt;"Completed",$I549&lt;&gt;"Cancelled"),"Overdue","On Track"))</f>
        <v/>
      </c>
      <c r="S549" s="65">
        <f>IF($L549="","",TEXT($L549,"yyyy-mm"))</f>
        <v/>
      </c>
      <c r="T549" s="86">
        <f>IF($I549="","",IFERROR(INDEX(Action_Status_Map!$C$5:$C$11,MATCH($I549,Action_Status_Map!$A$5:$A$11,0)),""))</f>
        <v/>
      </c>
      <c r="U549" s="81" t="n"/>
      <c r="V549" s="82" t="n"/>
      <c r="W549" s="65">
        <f>IF(OR($I549&lt;&gt;"Completed",$M549="",$L549=""),"",IF($M549&lt;=$L549,"Yes","No"))</f>
        <v/>
      </c>
      <c r="X549" s="84">
        <f>IF($A549="","",COUNTIF(Task_Steps!$B$5:$B$2004,$A549))</f>
        <v/>
      </c>
      <c r="Y549" s="86">
        <f>IF($X549=0,"",COUNTIFS(Task_Steps!$B$5:$B$2004,$A549,Task_Steps!$H$5:$H$2004,"Completed")/$X549)</f>
        <v/>
      </c>
      <c r="Z549" s="81" t="n"/>
      <c r="AA549" s="81" t="n"/>
      <c r="AB549" s="67">
        <f>IF($F549="","",IFERROR(INDEX(Employee_Master!$E$5:$E$204,MATCH($F549,Employee_Master!$B$5:$B$204,0)),""))</f>
        <v/>
      </c>
      <c r="AC549" s="65">
        <f>IF(OR($A549="",$AB549=""),"",IF(OR($I549="Completed",$I549="Cancelled"),"Closed - in Manager Report","Active - in Manager Report"))</f>
        <v/>
      </c>
      <c r="AD549" s="81">
        <f>IF($A549="","",IFERROR(TEXTJOIN(", ",TRUE,FILTER(Task_Steps!$A$5:$A$2004,Task_Steps!$B$5:$B$2004=$A549)),""))</f>
        <v/>
      </c>
      <c r="AE549" s="84">
        <f>IF($A549="","",COUNTIFS(Task_Steps!$B$5:$B$2004,$A549,Task_Steps!$H$5:$H$2004,"&lt;&gt;Completed",Task_Steps!$H$5:$H$2004,"&lt;&gt;Cancelled"))</f>
        <v/>
      </c>
      <c r="AF549" s="81">
        <f>IF(OR($B549="",$A549=""),"",$B549&amp;" | "&amp;$A549)</f>
        <v/>
      </c>
    </row>
    <row r="550" ht="15" customHeight="1" s="40">
      <c r="A550" s="65">
        <f>IF(COUNTA(B550:F550)=0,"","TSK-"&amp;TEXT(ROW()-4,"0000"))</f>
        <v/>
      </c>
      <c r="B550" s="78" t="n"/>
      <c r="C550" s="78" t="n"/>
      <c r="D550" s="81" t="n"/>
      <c r="E550" s="81" t="n"/>
      <c r="F550" s="78" t="n"/>
      <c r="G550" s="67">
        <f>IF($F550="","",IFERROR(INDEX(Employee_Master!$C$5:$C$204,MATCH($F550,Employee_Master!$B$5:$B$204,0)),""))</f>
        <v/>
      </c>
      <c r="H550" s="78" t="n"/>
      <c r="I550" s="78" t="n"/>
      <c r="J550" s="67">
        <f>IF($I550="","",IFERROR(INDEX(Action_Status_Map!$B$5:$B$11,MATCH($I550,Action_Status_Map!$A$5:$A$11,0)),""))</f>
        <v/>
      </c>
      <c r="K550" s="82" t="n"/>
      <c r="L550" s="82" t="n"/>
      <c r="M550" s="82" t="n"/>
      <c r="N550" s="83" t="n"/>
      <c r="O550" s="83" t="n"/>
      <c r="P550" s="66">
        <f>IF(OR($N550="",$O550=""),"",$O550-$N550)</f>
        <v/>
      </c>
      <c r="Q550" s="84">
        <f>IF($K550="","",IF($M550&lt;&gt;"",$M550-$K550,TODAY()-$K550))</f>
        <v/>
      </c>
      <c r="R550" s="85">
        <f>IF(OR($L550="",$I550="Completed",$I550="Cancelled"),"",IF(AND($L550&lt;TODAY(),$I550&lt;&gt;"Completed",$I550&lt;&gt;"Cancelled"),"Overdue","On Track"))</f>
        <v/>
      </c>
      <c r="S550" s="65">
        <f>IF($L550="","",TEXT($L550,"yyyy-mm"))</f>
        <v/>
      </c>
      <c r="T550" s="86">
        <f>IF($I550="","",IFERROR(INDEX(Action_Status_Map!$C$5:$C$11,MATCH($I550,Action_Status_Map!$A$5:$A$11,0)),""))</f>
        <v/>
      </c>
      <c r="U550" s="81" t="n"/>
      <c r="V550" s="82" t="n"/>
      <c r="W550" s="65">
        <f>IF(OR($I550&lt;&gt;"Completed",$M550="",$L550=""),"",IF($M550&lt;=$L550,"Yes","No"))</f>
        <v/>
      </c>
      <c r="X550" s="84">
        <f>IF($A550="","",COUNTIF(Task_Steps!$B$5:$B$2004,$A550))</f>
        <v/>
      </c>
      <c r="Y550" s="86">
        <f>IF($X550=0,"",COUNTIFS(Task_Steps!$B$5:$B$2004,$A550,Task_Steps!$H$5:$H$2004,"Completed")/$X550)</f>
        <v/>
      </c>
      <c r="Z550" s="81" t="n"/>
      <c r="AA550" s="81" t="n"/>
      <c r="AB550" s="67">
        <f>IF($F550="","",IFERROR(INDEX(Employee_Master!$E$5:$E$204,MATCH($F550,Employee_Master!$B$5:$B$204,0)),""))</f>
        <v/>
      </c>
      <c r="AC550" s="65">
        <f>IF(OR($A550="",$AB550=""),"",IF(OR($I550="Completed",$I550="Cancelled"),"Closed - in Manager Report","Active - in Manager Report"))</f>
        <v/>
      </c>
      <c r="AD550" s="81">
        <f>IF($A550="","",IFERROR(TEXTJOIN(", ",TRUE,FILTER(Task_Steps!$A$5:$A$2004,Task_Steps!$B$5:$B$2004=$A550)),""))</f>
        <v/>
      </c>
      <c r="AE550" s="84">
        <f>IF($A550="","",COUNTIFS(Task_Steps!$B$5:$B$2004,$A550,Task_Steps!$H$5:$H$2004,"&lt;&gt;Completed",Task_Steps!$H$5:$H$2004,"&lt;&gt;Cancelled"))</f>
        <v/>
      </c>
      <c r="AF550" s="81">
        <f>IF(OR($B550="",$A550=""),"",$B550&amp;" | "&amp;$A550)</f>
        <v/>
      </c>
    </row>
    <row r="551" ht="15" customHeight="1" s="40">
      <c r="A551" s="65">
        <f>IF(COUNTA(B551:F551)=0,"","TSK-"&amp;TEXT(ROW()-4,"0000"))</f>
        <v/>
      </c>
      <c r="B551" s="78" t="n"/>
      <c r="C551" s="78" t="n"/>
      <c r="D551" s="81" t="n"/>
      <c r="E551" s="81" t="n"/>
      <c r="F551" s="78" t="n"/>
      <c r="G551" s="67">
        <f>IF($F551="","",IFERROR(INDEX(Employee_Master!$C$5:$C$204,MATCH($F551,Employee_Master!$B$5:$B$204,0)),""))</f>
        <v/>
      </c>
      <c r="H551" s="78" t="n"/>
      <c r="I551" s="78" t="n"/>
      <c r="J551" s="67">
        <f>IF($I551="","",IFERROR(INDEX(Action_Status_Map!$B$5:$B$11,MATCH($I551,Action_Status_Map!$A$5:$A$11,0)),""))</f>
        <v/>
      </c>
      <c r="K551" s="82" t="n"/>
      <c r="L551" s="82" t="n"/>
      <c r="M551" s="82" t="n"/>
      <c r="N551" s="83" t="n"/>
      <c r="O551" s="83" t="n"/>
      <c r="P551" s="66">
        <f>IF(OR($N551="",$O551=""),"",$O551-$N551)</f>
        <v/>
      </c>
      <c r="Q551" s="84">
        <f>IF($K551="","",IF($M551&lt;&gt;"",$M551-$K551,TODAY()-$K551))</f>
        <v/>
      </c>
      <c r="R551" s="85">
        <f>IF(OR($L551="",$I551="Completed",$I551="Cancelled"),"",IF(AND($L551&lt;TODAY(),$I551&lt;&gt;"Completed",$I551&lt;&gt;"Cancelled"),"Overdue","On Track"))</f>
        <v/>
      </c>
      <c r="S551" s="65">
        <f>IF($L551="","",TEXT($L551,"yyyy-mm"))</f>
        <v/>
      </c>
      <c r="T551" s="86">
        <f>IF($I551="","",IFERROR(INDEX(Action_Status_Map!$C$5:$C$11,MATCH($I551,Action_Status_Map!$A$5:$A$11,0)),""))</f>
        <v/>
      </c>
      <c r="U551" s="81" t="n"/>
      <c r="V551" s="82" t="n"/>
      <c r="W551" s="65">
        <f>IF(OR($I551&lt;&gt;"Completed",$M551="",$L551=""),"",IF($M551&lt;=$L551,"Yes","No"))</f>
        <v/>
      </c>
      <c r="X551" s="84">
        <f>IF($A551="","",COUNTIF(Task_Steps!$B$5:$B$2004,$A551))</f>
        <v/>
      </c>
      <c r="Y551" s="86">
        <f>IF($X551=0,"",COUNTIFS(Task_Steps!$B$5:$B$2004,$A551,Task_Steps!$H$5:$H$2004,"Completed")/$X551)</f>
        <v/>
      </c>
      <c r="Z551" s="81" t="n"/>
      <c r="AA551" s="81" t="n"/>
      <c r="AB551" s="67">
        <f>IF($F551="","",IFERROR(INDEX(Employee_Master!$E$5:$E$204,MATCH($F551,Employee_Master!$B$5:$B$204,0)),""))</f>
        <v/>
      </c>
      <c r="AC551" s="65">
        <f>IF(OR($A551="",$AB551=""),"",IF(OR($I551="Completed",$I551="Cancelled"),"Closed - in Manager Report","Active - in Manager Report"))</f>
        <v/>
      </c>
      <c r="AD551" s="81">
        <f>IF($A551="","",IFERROR(TEXTJOIN(", ",TRUE,FILTER(Task_Steps!$A$5:$A$2004,Task_Steps!$B$5:$B$2004=$A551)),""))</f>
        <v/>
      </c>
      <c r="AE551" s="84">
        <f>IF($A551="","",COUNTIFS(Task_Steps!$B$5:$B$2004,$A551,Task_Steps!$H$5:$H$2004,"&lt;&gt;Completed",Task_Steps!$H$5:$H$2004,"&lt;&gt;Cancelled"))</f>
        <v/>
      </c>
      <c r="AF551" s="81">
        <f>IF(OR($B551="",$A551=""),"",$B551&amp;" | "&amp;$A551)</f>
        <v/>
      </c>
    </row>
    <row r="552" ht="15" customHeight="1" s="40">
      <c r="A552" s="65">
        <f>IF(COUNTA(B552:F552)=0,"","TSK-"&amp;TEXT(ROW()-4,"0000"))</f>
        <v/>
      </c>
      <c r="B552" s="78" t="n"/>
      <c r="C552" s="78" t="n"/>
      <c r="D552" s="81" t="n"/>
      <c r="E552" s="81" t="n"/>
      <c r="F552" s="78" t="n"/>
      <c r="G552" s="67">
        <f>IF($F552="","",IFERROR(INDEX(Employee_Master!$C$5:$C$204,MATCH($F552,Employee_Master!$B$5:$B$204,0)),""))</f>
        <v/>
      </c>
      <c r="H552" s="78" t="n"/>
      <c r="I552" s="78" t="n"/>
      <c r="J552" s="67">
        <f>IF($I552="","",IFERROR(INDEX(Action_Status_Map!$B$5:$B$11,MATCH($I552,Action_Status_Map!$A$5:$A$11,0)),""))</f>
        <v/>
      </c>
      <c r="K552" s="82" t="n"/>
      <c r="L552" s="82" t="n"/>
      <c r="M552" s="82" t="n"/>
      <c r="N552" s="83" t="n"/>
      <c r="O552" s="83" t="n"/>
      <c r="P552" s="66">
        <f>IF(OR($N552="",$O552=""),"",$O552-$N552)</f>
        <v/>
      </c>
      <c r="Q552" s="84">
        <f>IF($K552="","",IF($M552&lt;&gt;"",$M552-$K552,TODAY()-$K552))</f>
        <v/>
      </c>
      <c r="R552" s="85">
        <f>IF(OR($L552="",$I552="Completed",$I552="Cancelled"),"",IF(AND($L552&lt;TODAY(),$I552&lt;&gt;"Completed",$I552&lt;&gt;"Cancelled"),"Overdue","On Track"))</f>
        <v/>
      </c>
      <c r="S552" s="65">
        <f>IF($L552="","",TEXT($L552,"yyyy-mm"))</f>
        <v/>
      </c>
      <c r="T552" s="86">
        <f>IF($I552="","",IFERROR(INDEX(Action_Status_Map!$C$5:$C$11,MATCH($I552,Action_Status_Map!$A$5:$A$11,0)),""))</f>
        <v/>
      </c>
      <c r="U552" s="81" t="n"/>
      <c r="V552" s="82" t="n"/>
      <c r="W552" s="65">
        <f>IF(OR($I552&lt;&gt;"Completed",$M552="",$L552=""),"",IF($M552&lt;=$L552,"Yes","No"))</f>
        <v/>
      </c>
      <c r="X552" s="84">
        <f>IF($A552="","",COUNTIF(Task_Steps!$B$5:$B$2004,$A552))</f>
        <v/>
      </c>
      <c r="Y552" s="86">
        <f>IF($X552=0,"",COUNTIFS(Task_Steps!$B$5:$B$2004,$A552,Task_Steps!$H$5:$H$2004,"Completed")/$X552)</f>
        <v/>
      </c>
      <c r="Z552" s="81" t="n"/>
      <c r="AA552" s="81" t="n"/>
      <c r="AB552" s="67">
        <f>IF($F552="","",IFERROR(INDEX(Employee_Master!$E$5:$E$204,MATCH($F552,Employee_Master!$B$5:$B$204,0)),""))</f>
        <v/>
      </c>
      <c r="AC552" s="65">
        <f>IF(OR($A552="",$AB552=""),"",IF(OR($I552="Completed",$I552="Cancelled"),"Closed - in Manager Report","Active - in Manager Report"))</f>
        <v/>
      </c>
      <c r="AD552" s="81">
        <f>IF($A552="","",IFERROR(TEXTJOIN(", ",TRUE,FILTER(Task_Steps!$A$5:$A$2004,Task_Steps!$B$5:$B$2004=$A552)),""))</f>
        <v/>
      </c>
      <c r="AE552" s="84">
        <f>IF($A552="","",COUNTIFS(Task_Steps!$B$5:$B$2004,$A552,Task_Steps!$H$5:$H$2004,"&lt;&gt;Completed",Task_Steps!$H$5:$H$2004,"&lt;&gt;Cancelled"))</f>
        <v/>
      </c>
      <c r="AF552" s="81">
        <f>IF(OR($B552="",$A552=""),"",$B552&amp;" | "&amp;$A552)</f>
        <v/>
      </c>
    </row>
    <row r="553" ht="15" customHeight="1" s="40">
      <c r="A553" s="65">
        <f>IF(COUNTA(B553:F553)=0,"","TSK-"&amp;TEXT(ROW()-4,"0000"))</f>
        <v/>
      </c>
      <c r="B553" s="78" t="n"/>
      <c r="C553" s="78" t="n"/>
      <c r="D553" s="81" t="n"/>
      <c r="E553" s="81" t="n"/>
      <c r="F553" s="78" t="n"/>
      <c r="G553" s="67">
        <f>IF($F553="","",IFERROR(INDEX(Employee_Master!$C$5:$C$204,MATCH($F553,Employee_Master!$B$5:$B$204,0)),""))</f>
        <v/>
      </c>
      <c r="H553" s="78" t="n"/>
      <c r="I553" s="78" t="n"/>
      <c r="J553" s="67">
        <f>IF($I553="","",IFERROR(INDEX(Action_Status_Map!$B$5:$B$11,MATCH($I553,Action_Status_Map!$A$5:$A$11,0)),""))</f>
        <v/>
      </c>
      <c r="K553" s="82" t="n"/>
      <c r="L553" s="82" t="n"/>
      <c r="M553" s="82" t="n"/>
      <c r="N553" s="83" t="n"/>
      <c r="O553" s="83" t="n"/>
      <c r="P553" s="66">
        <f>IF(OR($N553="",$O553=""),"",$O553-$N553)</f>
        <v/>
      </c>
      <c r="Q553" s="84">
        <f>IF($K553="","",IF($M553&lt;&gt;"",$M553-$K553,TODAY()-$K553))</f>
        <v/>
      </c>
      <c r="R553" s="85">
        <f>IF(OR($L553="",$I553="Completed",$I553="Cancelled"),"",IF(AND($L553&lt;TODAY(),$I553&lt;&gt;"Completed",$I553&lt;&gt;"Cancelled"),"Overdue","On Track"))</f>
        <v/>
      </c>
      <c r="S553" s="65">
        <f>IF($L553="","",TEXT($L553,"yyyy-mm"))</f>
        <v/>
      </c>
      <c r="T553" s="86">
        <f>IF($I553="","",IFERROR(INDEX(Action_Status_Map!$C$5:$C$11,MATCH($I553,Action_Status_Map!$A$5:$A$11,0)),""))</f>
        <v/>
      </c>
      <c r="U553" s="81" t="n"/>
      <c r="V553" s="82" t="n"/>
      <c r="W553" s="65">
        <f>IF(OR($I553&lt;&gt;"Completed",$M553="",$L553=""),"",IF($M553&lt;=$L553,"Yes","No"))</f>
        <v/>
      </c>
      <c r="X553" s="84">
        <f>IF($A553="","",COUNTIF(Task_Steps!$B$5:$B$2004,$A553))</f>
        <v/>
      </c>
      <c r="Y553" s="86">
        <f>IF($X553=0,"",COUNTIFS(Task_Steps!$B$5:$B$2004,$A553,Task_Steps!$H$5:$H$2004,"Completed")/$X553)</f>
        <v/>
      </c>
      <c r="Z553" s="81" t="n"/>
      <c r="AA553" s="81" t="n"/>
      <c r="AB553" s="67">
        <f>IF($F553="","",IFERROR(INDEX(Employee_Master!$E$5:$E$204,MATCH($F553,Employee_Master!$B$5:$B$204,0)),""))</f>
        <v/>
      </c>
      <c r="AC553" s="65">
        <f>IF(OR($A553="",$AB553=""),"",IF(OR($I553="Completed",$I553="Cancelled"),"Closed - in Manager Report","Active - in Manager Report"))</f>
        <v/>
      </c>
      <c r="AD553" s="81">
        <f>IF($A553="","",IFERROR(TEXTJOIN(", ",TRUE,FILTER(Task_Steps!$A$5:$A$2004,Task_Steps!$B$5:$B$2004=$A553)),""))</f>
        <v/>
      </c>
      <c r="AE553" s="84">
        <f>IF($A553="","",COUNTIFS(Task_Steps!$B$5:$B$2004,$A553,Task_Steps!$H$5:$H$2004,"&lt;&gt;Completed",Task_Steps!$H$5:$H$2004,"&lt;&gt;Cancelled"))</f>
        <v/>
      </c>
      <c r="AF553" s="81">
        <f>IF(OR($B553="",$A553=""),"",$B553&amp;" | "&amp;$A553)</f>
        <v/>
      </c>
    </row>
    <row r="554" ht="15" customHeight="1" s="40">
      <c r="A554" s="65">
        <f>IF(COUNTA(B554:F554)=0,"","TSK-"&amp;TEXT(ROW()-4,"0000"))</f>
        <v/>
      </c>
      <c r="B554" s="78" t="n"/>
      <c r="C554" s="78" t="n"/>
      <c r="D554" s="81" t="n"/>
      <c r="E554" s="81" t="n"/>
      <c r="F554" s="78" t="n"/>
      <c r="G554" s="67">
        <f>IF($F554="","",IFERROR(INDEX(Employee_Master!$C$5:$C$204,MATCH($F554,Employee_Master!$B$5:$B$204,0)),""))</f>
        <v/>
      </c>
      <c r="H554" s="78" t="n"/>
      <c r="I554" s="78" t="n"/>
      <c r="J554" s="67">
        <f>IF($I554="","",IFERROR(INDEX(Action_Status_Map!$B$5:$B$11,MATCH($I554,Action_Status_Map!$A$5:$A$11,0)),""))</f>
        <v/>
      </c>
      <c r="K554" s="82" t="n"/>
      <c r="L554" s="82" t="n"/>
      <c r="M554" s="82" t="n"/>
      <c r="N554" s="83" t="n"/>
      <c r="O554" s="83" t="n"/>
      <c r="P554" s="66">
        <f>IF(OR($N554="",$O554=""),"",$O554-$N554)</f>
        <v/>
      </c>
      <c r="Q554" s="84">
        <f>IF($K554="","",IF($M554&lt;&gt;"",$M554-$K554,TODAY()-$K554))</f>
        <v/>
      </c>
      <c r="R554" s="85">
        <f>IF(OR($L554="",$I554="Completed",$I554="Cancelled"),"",IF(AND($L554&lt;TODAY(),$I554&lt;&gt;"Completed",$I554&lt;&gt;"Cancelled"),"Overdue","On Track"))</f>
        <v/>
      </c>
      <c r="S554" s="65">
        <f>IF($L554="","",TEXT($L554,"yyyy-mm"))</f>
        <v/>
      </c>
      <c r="T554" s="86">
        <f>IF($I554="","",IFERROR(INDEX(Action_Status_Map!$C$5:$C$11,MATCH($I554,Action_Status_Map!$A$5:$A$11,0)),""))</f>
        <v/>
      </c>
      <c r="U554" s="81" t="n"/>
      <c r="V554" s="82" t="n"/>
      <c r="W554" s="65">
        <f>IF(OR($I554&lt;&gt;"Completed",$M554="",$L554=""),"",IF($M554&lt;=$L554,"Yes","No"))</f>
        <v/>
      </c>
      <c r="X554" s="84">
        <f>IF($A554="","",COUNTIF(Task_Steps!$B$5:$B$2004,$A554))</f>
        <v/>
      </c>
      <c r="Y554" s="86">
        <f>IF($X554=0,"",COUNTIFS(Task_Steps!$B$5:$B$2004,$A554,Task_Steps!$H$5:$H$2004,"Completed")/$X554)</f>
        <v/>
      </c>
      <c r="Z554" s="81" t="n"/>
      <c r="AA554" s="81" t="n"/>
      <c r="AB554" s="67">
        <f>IF($F554="","",IFERROR(INDEX(Employee_Master!$E$5:$E$204,MATCH($F554,Employee_Master!$B$5:$B$204,0)),""))</f>
        <v/>
      </c>
      <c r="AC554" s="65">
        <f>IF(OR($A554="",$AB554=""),"",IF(OR($I554="Completed",$I554="Cancelled"),"Closed - in Manager Report","Active - in Manager Report"))</f>
        <v/>
      </c>
      <c r="AD554" s="81">
        <f>IF($A554="","",IFERROR(TEXTJOIN(", ",TRUE,FILTER(Task_Steps!$A$5:$A$2004,Task_Steps!$B$5:$B$2004=$A554)),""))</f>
        <v/>
      </c>
      <c r="AE554" s="84">
        <f>IF($A554="","",COUNTIFS(Task_Steps!$B$5:$B$2004,$A554,Task_Steps!$H$5:$H$2004,"&lt;&gt;Completed",Task_Steps!$H$5:$H$2004,"&lt;&gt;Cancelled"))</f>
        <v/>
      </c>
      <c r="AF554" s="81">
        <f>IF(OR($B554="",$A554=""),"",$B554&amp;" | "&amp;$A554)</f>
        <v/>
      </c>
    </row>
    <row r="555" ht="15" customHeight="1" s="40">
      <c r="A555" s="65">
        <f>IF(COUNTA(B555:F555)=0,"","TSK-"&amp;TEXT(ROW()-4,"0000"))</f>
        <v/>
      </c>
      <c r="B555" s="78" t="n"/>
      <c r="C555" s="78" t="n"/>
      <c r="D555" s="81" t="n"/>
      <c r="E555" s="81" t="n"/>
      <c r="F555" s="78" t="n"/>
      <c r="G555" s="67">
        <f>IF($F555="","",IFERROR(INDEX(Employee_Master!$C$5:$C$204,MATCH($F555,Employee_Master!$B$5:$B$204,0)),""))</f>
        <v/>
      </c>
      <c r="H555" s="78" t="n"/>
      <c r="I555" s="78" t="n"/>
      <c r="J555" s="67">
        <f>IF($I555="","",IFERROR(INDEX(Action_Status_Map!$B$5:$B$11,MATCH($I555,Action_Status_Map!$A$5:$A$11,0)),""))</f>
        <v/>
      </c>
      <c r="K555" s="82" t="n"/>
      <c r="L555" s="82" t="n"/>
      <c r="M555" s="82" t="n"/>
      <c r="N555" s="83" t="n"/>
      <c r="O555" s="83" t="n"/>
      <c r="P555" s="66">
        <f>IF(OR($N555="",$O555=""),"",$O555-$N555)</f>
        <v/>
      </c>
      <c r="Q555" s="84">
        <f>IF($K555="","",IF($M555&lt;&gt;"",$M555-$K555,TODAY()-$K555))</f>
        <v/>
      </c>
      <c r="R555" s="85">
        <f>IF(OR($L555="",$I555="Completed",$I555="Cancelled"),"",IF(AND($L555&lt;TODAY(),$I555&lt;&gt;"Completed",$I555&lt;&gt;"Cancelled"),"Overdue","On Track"))</f>
        <v/>
      </c>
      <c r="S555" s="65">
        <f>IF($L555="","",TEXT($L555,"yyyy-mm"))</f>
        <v/>
      </c>
      <c r="T555" s="86">
        <f>IF($I555="","",IFERROR(INDEX(Action_Status_Map!$C$5:$C$11,MATCH($I555,Action_Status_Map!$A$5:$A$11,0)),""))</f>
        <v/>
      </c>
      <c r="U555" s="81" t="n"/>
      <c r="V555" s="82" t="n"/>
      <c r="W555" s="65">
        <f>IF(OR($I555&lt;&gt;"Completed",$M555="",$L555=""),"",IF($M555&lt;=$L555,"Yes","No"))</f>
        <v/>
      </c>
      <c r="X555" s="84">
        <f>IF($A555="","",COUNTIF(Task_Steps!$B$5:$B$2004,$A555))</f>
        <v/>
      </c>
      <c r="Y555" s="86">
        <f>IF($X555=0,"",COUNTIFS(Task_Steps!$B$5:$B$2004,$A555,Task_Steps!$H$5:$H$2004,"Completed")/$X555)</f>
        <v/>
      </c>
      <c r="Z555" s="81" t="n"/>
      <c r="AA555" s="81" t="n"/>
      <c r="AB555" s="67">
        <f>IF($F555="","",IFERROR(INDEX(Employee_Master!$E$5:$E$204,MATCH($F555,Employee_Master!$B$5:$B$204,0)),""))</f>
        <v/>
      </c>
      <c r="AC555" s="65">
        <f>IF(OR($A555="",$AB555=""),"",IF(OR($I555="Completed",$I555="Cancelled"),"Closed - in Manager Report","Active - in Manager Report"))</f>
        <v/>
      </c>
      <c r="AD555" s="81">
        <f>IF($A555="","",IFERROR(TEXTJOIN(", ",TRUE,FILTER(Task_Steps!$A$5:$A$2004,Task_Steps!$B$5:$B$2004=$A555)),""))</f>
        <v/>
      </c>
      <c r="AE555" s="84">
        <f>IF($A555="","",COUNTIFS(Task_Steps!$B$5:$B$2004,$A555,Task_Steps!$H$5:$H$2004,"&lt;&gt;Completed",Task_Steps!$H$5:$H$2004,"&lt;&gt;Cancelled"))</f>
        <v/>
      </c>
      <c r="AF555" s="81">
        <f>IF(OR($B555="",$A555=""),"",$B555&amp;" | "&amp;$A555)</f>
        <v/>
      </c>
    </row>
    <row r="556" ht="15" customHeight="1" s="40">
      <c r="A556" s="65">
        <f>IF(COUNTA(B556:F556)=0,"","TSK-"&amp;TEXT(ROW()-4,"0000"))</f>
        <v/>
      </c>
      <c r="B556" s="78" t="n"/>
      <c r="C556" s="78" t="n"/>
      <c r="D556" s="81" t="n"/>
      <c r="E556" s="81" t="n"/>
      <c r="F556" s="78" t="n"/>
      <c r="G556" s="67">
        <f>IF($F556="","",IFERROR(INDEX(Employee_Master!$C$5:$C$204,MATCH($F556,Employee_Master!$B$5:$B$204,0)),""))</f>
        <v/>
      </c>
      <c r="H556" s="78" t="n"/>
      <c r="I556" s="78" t="n"/>
      <c r="J556" s="67">
        <f>IF($I556="","",IFERROR(INDEX(Action_Status_Map!$B$5:$B$11,MATCH($I556,Action_Status_Map!$A$5:$A$11,0)),""))</f>
        <v/>
      </c>
      <c r="K556" s="82" t="n"/>
      <c r="L556" s="82" t="n"/>
      <c r="M556" s="82" t="n"/>
      <c r="N556" s="83" t="n"/>
      <c r="O556" s="83" t="n"/>
      <c r="P556" s="66">
        <f>IF(OR($N556="",$O556=""),"",$O556-$N556)</f>
        <v/>
      </c>
      <c r="Q556" s="84">
        <f>IF($K556="","",IF($M556&lt;&gt;"",$M556-$K556,TODAY()-$K556))</f>
        <v/>
      </c>
      <c r="R556" s="85">
        <f>IF(OR($L556="",$I556="Completed",$I556="Cancelled"),"",IF(AND($L556&lt;TODAY(),$I556&lt;&gt;"Completed",$I556&lt;&gt;"Cancelled"),"Overdue","On Track"))</f>
        <v/>
      </c>
      <c r="S556" s="65">
        <f>IF($L556="","",TEXT($L556,"yyyy-mm"))</f>
        <v/>
      </c>
      <c r="T556" s="86">
        <f>IF($I556="","",IFERROR(INDEX(Action_Status_Map!$C$5:$C$11,MATCH($I556,Action_Status_Map!$A$5:$A$11,0)),""))</f>
        <v/>
      </c>
      <c r="U556" s="81" t="n"/>
      <c r="V556" s="82" t="n"/>
      <c r="W556" s="65">
        <f>IF(OR($I556&lt;&gt;"Completed",$M556="",$L556=""),"",IF($M556&lt;=$L556,"Yes","No"))</f>
        <v/>
      </c>
      <c r="X556" s="84">
        <f>IF($A556="","",COUNTIF(Task_Steps!$B$5:$B$2004,$A556))</f>
        <v/>
      </c>
      <c r="Y556" s="86">
        <f>IF($X556=0,"",COUNTIFS(Task_Steps!$B$5:$B$2004,$A556,Task_Steps!$H$5:$H$2004,"Completed")/$X556)</f>
        <v/>
      </c>
      <c r="Z556" s="81" t="n"/>
      <c r="AA556" s="81" t="n"/>
      <c r="AB556" s="67">
        <f>IF($F556="","",IFERROR(INDEX(Employee_Master!$E$5:$E$204,MATCH($F556,Employee_Master!$B$5:$B$204,0)),""))</f>
        <v/>
      </c>
      <c r="AC556" s="65">
        <f>IF(OR($A556="",$AB556=""),"",IF(OR($I556="Completed",$I556="Cancelled"),"Closed - in Manager Report","Active - in Manager Report"))</f>
        <v/>
      </c>
      <c r="AD556" s="81">
        <f>IF($A556="","",IFERROR(TEXTJOIN(", ",TRUE,FILTER(Task_Steps!$A$5:$A$2004,Task_Steps!$B$5:$B$2004=$A556)),""))</f>
        <v/>
      </c>
      <c r="AE556" s="84">
        <f>IF($A556="","",COUNTIFS(Task_Steps!$B$5:$B$2004,$A556,Task_Steps!$H$5:$H$2004,"&lt;&gt;Completed",Task_Steps!$H$5:$H$2004,"&lt;&gt;Cancelled"))</f>
        <v/>
      </c>
      <c r="AF556" s="81">
        <f>IF(OR($B556="",$A556=""),"",$B556&amp;" | "&amp;$A556)</f>
        <v/>
      </c>
    </row>
    <row r="557" ht="15" customHeight="1" s="40">
      <c r="A557" s="65">
        <f>IF(COUNTA(B557:F557)=0,"","TSK-"&amp;TEXT(ROW()-4,"0000"))</f>
        <v/>
      </c>
      <c r="B557" s="78" t="n"/>
      <c r="C557" s="78" t="n"/>
      <c r="D557" s="81" t="n"/>
      <c r="E557" s="81" t="n"/>
      <c r="F557" s="78" t="n"/>
      <c r="G557" s="67">
        <f>IF($F557="","",IFERROR(INDEX(Employee_Master!$C$5:$C$204,MATCH($F557,Employee_Master!$B$5:$B$204,0)),""))</f>
        <v/>
      </c>
      <c r="H557" s="78" t="n"/>
      <c r="I557" s="78" t="n"/>
      <c r="J557" s="67">
        <f>IF($I557="","",IFERROR(INDEX(Action_Status_Map!$B$5:$B$11,MATCH($I557,Action_Status_Map!$A$5:$A$11,0)),""))</f>
        <v/>
      </c>
      <c r="K557" s="82" t="n"/>
      <c r="L557" s="82" t="n"/>
      <c r="M557" s="82" t="n"/>
      <c r="N557" s="83" t="n"/>
      <c r="O557" s="83" t="n"/>
      <c r="P557" s="66">
        <f>IF(OR($N557="",$O557=""),"",$O557-$N557)</f>
        <v/>
      </c>
      <c r="Q557" s="84">
        <f>IF($K557="","",IF($M557&lt;&gt;"",$M557-$K557,TODAY()-$K557))</f>
        <v/>
      </c>
      <c r="R557" s="85">
        <f>IF(OR($L557="",$I557="Completed",$I557="Cancelled"),"",IF(AND($L557&lt;TODAY(),$I557&lt;&gt;"Completed",$I557&lt;&gt;"Cancelled"),"Overdue","On Track"))</f>
        <v/>
      </c>
      <c r="S557" s="65">
        <f>IF($L557="","",TEXT($L557,"yyyy-mm"))</f>
        <v/>
      </c>
      <c r="T557" s="86">
        <f>IF($I557="","",IFERROR(INDEX(Action_Status_Map!$C$5:$C$11,MATCH($I557,Action_Status_Map!$A$5:$A$11,0)),""))</f>
        <v/>
      </c>
      <c r="U557" s="81" t="n"/>
      <c r="V557" s="82" t="n"/>
      <c r="W557" s="65">
        <f>IF(OR($I557&lt;&gt;"Completed",$M557="",$L557=""),"",IF($M557&lt;=$L557,"Yes","No"))</f>
        <v/>
      </c>
      <c r="X557" s="84">
        <f>IF($A557="","",COUNTIF(Task_Steps!$B$5:$B$2004,$A557))</f>
        <v/>
      </c>
      <c r="Y557" s="86">
        <f>IF($X557=0,"",COUNTIFS(Task_Steps!$B$5:$B$2004,$A557,Task_Steps!$H$5:$H$2004,"Completed")/$X557)</f>
        <v/>
      </c>
      <c r="Z557" s="81" t="n"/>
      <c r="AA557" s="81" t="n"/>
      <c r="AB557" s="67">
        <f>IF($F557="","",IFERROR(INDEX(Employee_Master!$E$5:$E$204,MATCH($F557,Employee_Master!$B$5:$B$204,0)),""))</f>
        <v/>
      </c>
      <c r="AC557" s="65">
        <f>IF(OR($A557="",$AB557=""),"",IF(OR($I557="Completed",$I557="Cancelled"),"Closed - in Manager Report","Active - in Manager Report"))</f>
        <v/>
      </c>
      <c r="AD557" s="81">
        <f>IF($A557="","",IFERROR(TEXTJOIN(", ",TRUE,FILTER(Task_Steps!$A$5:$A$2004,Task_Steps!$B$5:$B$2004=$A557)),""))</f>
        <v/>
      </c>
      <c r="AE557" s="84">
        <f>IF($A557="","",COUNTIFS(Task_Steps!$B$5:$B$2004,$A557,Task_Steps!$H$5:$H$2004,"&lt;&gt;Completed",Task_Steps!$H$5:$H$2004,"&lt;&gt;Cancelled"))</f>
        <v/>
      </c>
      <c r="AF557" s="81">
        <f>IF(OR($B557="",$A557=""),"",$B557&amp;" | "&amp;$A557)</f>
        <v/>
      </c>
    </row>
    <row r="558" ht="15" customHeight="1" s="40">
      <c r="A558" s="65">
        <f>IF(COUNTA(B558:F558)=0,"","TSK-"&amp;TEXT(ROW()-4,"0000"))</f>
        <v/>
      </c>
      <c r="B558" s="78" t="n"/>
      <c r="C558" s="78" t="n"/>
      <c r="D558" s="81" t="n"/>
      <c r="E558" s="81" t="n"/>
      <c r="F558" s="78" t="n"/>
      <c r="G558" s="67">
        <f>IF($F558="","",IFERROR(INDEX(Employee_Master!$C$5:$C$204,MATCH($F558,Employee_Master!$B$5:$B$204,0)),""))</f>
        <v/>
      </c>
      <c r="H558" s="78" t="n"/>
      <c r="I558" s="78" t="n"/>
      <c r="J558" s="67">
        <f>IF($I558="","",IFERROR(INDEX(Action_Status_Map!$B$5:$B$11,MATCH($I558,Action_Status_Map!$A$5:$A$11,0)),""))</f>
        <v/>
      </c>
      <c r="K558" s="82" t="n"/>
      <c r="L558" s="82" t="n"/>
      <c r="M558" s="82" t="n"/>
      <c r="N558" s="83" t="n"/>
      <c r="O558" s="83" t="n"/>
      <c r="P558" s="66">
        <f>IF(OR($N558="",$O558=""),"",$O558-$N558)</f>
        <v/>
      </c>
      <c r="Q558" s="84">
        <f>IF($K558="","",IF($M558&lt;&gt;"",$M558-$K558,TODAY()-$K558))</f>
        <v/>
      </c>
      <c r="R558" s="85">
        <f>IF(OR($L558="",$I558="Completed",$I558="Cancelled"),"",IF(AND($L558&lt;TODAY(),$I558&lt;&gt;"Completed",$I558&lt;&gt;"Cancelled"),"Overdue","On Track"))</f>
        <v/>
      </c>
      <c r="S558" s="65">
        <f>IF($L558="","",TEXT($L558,"yyyy-mm"))</f>
        <v/>
      </c>
      <c r="T558" s="86">
        <f>IF($I558="","",IFERROR(INDEX(Action_Status_Map!$C$5:$C$11,MATCH($I558,Action_Status_Map!$A$5:$A$11,0)),""))</f>
        <v/>
      </c>
      <c r="U558" s="81" t="n"/>
      <c r="V558" s="82" t="n"/>
      <c r="W558" s="65">
        <f>IF(OR($I558&lt;&gt;"Completed",$M558="",$L558=""),"",IF($M558&lt;=$L558,"Yes","No"))</f>
        <v/>
      </c>
      <c r="X558" s="84">
        <f>IF($A558="","",COUNTIF(Task_Steps!$B$5:$B$2004,$A558))</f>
        <v/>
      </c>
      <c r="Y558" s="86">
        <f>IF($X558=0,"",COUNTIFS(Task_Steps!$B$5:$B$2004,$A558,Task_Steps!$H$5:$H$2004,"Completed")/$X558)</f>
        <v/>
      </c>
      <c r="Z558" s="81" t="n"/>
      <c r="AA558" s="81" t="n"/>
      <c r="AB558" s="67">
        <f>IF($F558="","",IFERROR(INDEX(Employee_Master!$E$5:$E$204,MATCH($F558,Employee_Master!$B$5:$B$204,0)),""))</f>
        <v/>
      </c>
      <c r="AC558" s="65">
        <f>IF(OR($A558="",$AB558=""),"",IF(OR($I558="Completed",$I558="Cancelled"),"Closed - in Manager Report","Active - in Manager Report"))</f>
        <v/>
      </c>
      <c r="AD558" s="81">
        <f>IF($A558="","",IFERROR(TEXTJOIN(", ",TRUE,FILTER(Task_Steps!$A$5:$A$2004,Task_Steps!$B$5:$B$2004=$A558)),""))</f>
        <v/>
      </c>
      <c r="AE558" s="84">
        <f>IF($A558="","",COUNTIFS(Task_Steps!$B$5:$B$2004,$A558,Task_Steps!$H$5:$H$2004,"&lt;&gt;Completed",Task_Steps!$H$5:$H$2004,"&lt;&gt;Cancelled"))</f>
        <v/>
      </c>
      <c r="AF558" s="81">
        <f>IF(OR($B558="",$A558=""),"",$B558&amp;" | "&amp;$A558)</f>
        <v/>
      </c>
    </row>
    <row r="559" ht="15" customHeight="1" s="40">
      <c r="A559" s="65">
        <f>IF(COUNTA(B559:F559)=0,"","TSK-"&amp;TEXT(ROW()-4,"0000"))</f>
        <v/>
      </c>
      <c r="B559" s="78" t="n"/>
      <c r="C559" s="78" t="n"/>
      <c r="D559" s="81" t="n"/>
      <c r="E559" s="81" t="n"/>
      <c r="F559" s="78" t="n"/>
      <c r="G559" s="67">
        <f>IF($F559="","",IFERROR(INDEX(Employee_Master!$C$5:$C$204,MATCH($F559,Employee_Master!$B$5:$B$204,0)),""))</f>
        <v/>
      </c>
      <c r="H559" s="78" t="n"/>
      <c r="I559" s="78" t="n"/>
      <c r="J559" s="67">
        <f>IF($I559="","",IFERROR(INDEX(Action_Status_Map!$B$5:$B$11,MATCH($I559,Action_Status_Map!$A$5:$A$11,0)),""))</f>
        <v/>
      </c>
      <c r="K559" s="82" t="n"/>
      <c r="L559" s="82" t="n"/>
      <c r="M559" s="82" t="n"/>
      <c r="N559" s="83" t="n"/>
      <c r="O559" s="83" t="n"/>
      <c r="P559" s="66">
        <f>IF(OR($N559="",$O559=""),"",$O559-$N559)</f>
        <v/>
      </c>
      <c r="Q559" s="84">
        <f>IF($K559="","",IF($M559&lt;&gt;"",$M559-$K559,TODAY()-$K559))</f>
        <v/>
      </c>
      <c r="R559" s="85">
        <f>IF(OR($L559="",$I559="Completed",$I559="Cancelled"),"",IF(AND($L559&lt;TODAY(),$I559&lt;&gt;"Completed",$I559&lt;&gt;"Cancelled"),"Overdue","On Track"))</f>
        <v/>
      </c>
      <c r="S559" s="65">
        <f>IF($L559="","",TEXT($L559,"yyyy-mm"))</f>
        <v/>
      </c>
      <c r="T559" s="86">
        <f>IF($I559="","",IFERROR(INDEX(Action_Status_Map!$C$5:$C$11,MATCH($I559,Action_Status_Map!$A$5:$A$11,0)),""))</f>
        <v/>
      </c>
      <c r="U559" s="81" t="n"/>
      <c r="V559" s="82" t="n"/>
      <c r="W559" s="65">
        <f>IF(OR($I559&lt;&gt;"Completed",$M559="",$L559=""),"",IF($M559&lt;=$L559,"Yes","No"))</f>
        <v/>
      </c>
      <c r="X559" s="84">
        <f>IF($A559="","",COUNTIF(Task_Steps!$B$5:$B$2004,$A559))</f>
        <v/>
      </c>
      <c r="Y559" s="86">
        <f>IF($X559=0,"",COUNTIFS(Task_Steps!$B$5:$B$2004,$A559,Task_Steps!$H$5:$H$2004,"Completed")/$X559)</f>
        <v/>
      </c>
      <c r="Z559" s="81" t="n"/>
      <c r="AA559" s="81" t="n"/>
      <c r="AB559" s="67">
        <f>IF($F559="","",IFERROR(INDEX(Employee_Master!$E$5:$E$204,MATCH($F559,Employee_Master!$B$5:$B$204,0)),""))</f>
        <v/>
      </c>
      <c r="AC559" s="65">
        <f>IF(OR($A559="",$AB559=""),"",IF(OR($I559="Completed",$I559="Cancelled"),"Closed - in Manager Report","Active - in Manager Report"))</f>
        <v/>
      </c>
      <c r="AD559" s="81">
        <f>IF($A559="","",IFERROR(TEXTJOIN(", ",TRUE,FILTER(Task_Steps!$A$5:$A$2004,Task_Steps!$B$5:$B$2004=$A559)),""))</f>
        <v/>
      </c>
      <c r="AE559" s="84">
        <f>IF($A559="","",COUNTIFS(Task_Steps!$B$5:$B$2004,$A559,Task_Steps!$H$5:$H$2004,"&lt;&gt;Completed",Task_Steps!$H$5:$H$2004,"&lt;&gt;Cancelled"))</f>
        <v/>
      </c>
      <c r="AF559" s="81">
        <f>IF(OR($B559="",$A559=""),"",$B559&amp;" | "&amp;$A559)</f>
        <v/>
      </c>
    </row>
    <row r="560" ht="15" customHeight="1" s="40">
      <c r="A560" s="65">
        <f>IF(COUNTA(B560:F560)=0,"","TSK-"&amp;TEXT(ROW()-4,"0000"))</f>
        <v/>
      </c>
      <c r="B560" s="78" t="n"/>
      <c r="C560" s="78" t="n"/>
      <c r="D560" s="81" t="n"/>
      <c r="E560" s="81" t="n"/>
      <c r="F560" s="78" t="n"/>
      <c r="G560" s="67">
        <f>IF($F560="","",IFERROR(INDEX(Employee_Master!$C$5:$C$204,MATCH($F560,Employee_Master!$B$5:$B$204,0)),""))</f>
        <v/>
      </c>
      <c r="H560" s="78" t="n"/>
      <c r="I560" s="78" t="n"/>
      <c r="J560" s="67">
        <f>IF($I560="","",IFERROR(INDEX(Action_Status_Map!$B$5:$B$11,MATCH($I560,Action_Status_Map!$A$5:$A$11,0)),""))</f>
        <v/>
      </c>
      <c r="K560" s="82" t="n"/>
      <c r="L560" s="82" t="n"/>
      <c r="M560" s="82" t="n"/>
      <c r="N560" s="83" t="n"/>
      <c r="O560" s="83" t="n"/>
      <c r="P560" s="66">
        <f>IF(OR($N560="",$O560=""),"",$O560-$N560)</f>
        <v/>
      </c>
      <c r="Q560" s="84">
        <f>IF($K560="","",IF($M560&lt;&gt;"",$M560-$K560,TODAY()-$K560))</f>
        <v/>
      </c>
      <c r="R560" s="85">
        <f>IF(OR($L560="",$I560="Completed",$I560="Cancelled"),"",IF(AND($L560&lt;TODAY(),$I560&lt;&gt;"Completed",$I560&lt;&gt;"Cancelled"),"Overdue","On Track"))</f>
        <v/>
      </c>
      <c r="S560" s="65">
        <f>IF($L560="","",TEXT($L560,"yyyy-mm"))</f>
        <v/>
      </c>
      <c r="T560" s="86">
        <f>IF($I560="","",IFERROR(INDEX(Action_Status_Map!$C$5:$C$11,MATCH($I560,Action_Status_Map!$A$5:$A$11,0)),""))</f>
        <v/>
      </c>
      <c r="U560" s="81" t="n"/>
      <c r="V560" s="82" t="n"/>
      <c r="W560" s="65">
        <f>IF(OR($I560&lt;&gt;"Completed",$M560="",$L560=""),"",IF($M560&lt;=$L560,"Yes","No"))</f>
        <v/>
      </c>
      <c r="X560" s="84">
        <f>IF($A560="","",COUNTIF(Task_Steps!$B$5:$B$2004,$A560))</f>
        <v/>
      </c>
      <c r="Y560" s="86">
        <f>IF($X560=0,"",COUNTIFS(Task_Steps!$B$5:$B$2004,$A560,Task_Steps!$H$5:$H$2004,"Completed")/$X560)</f>
        <v/>
      </c>
      <c r="Z560" s="81" t="n"/>
      <c r="AA560" s="81" t="n"/>
      <c r="AB560" s="67">
        <f>IF($F560="","",IFERROR(INDEX(Employee_Master!$E$5:$E$204,MATCH($F560,Employee_Master!$B$5:$B$204,0)),""))</f>
        <v/>
      </c>
      <c r="AC560" s="65">
        <f>IF(OR($A560="",$AB560=""),"",IF(OR($I560="Completed",$I560="Cancelled"),"Closed - in Manager Report","Active - in Manager Report"))</f>
        <v/>
      </c>
      <c r="AD560" s="81">
        <f>IF($A560="","",IFERROR(TEXTJOIN(", ",TRUE,FILTER(Task_Steps!$A$5:$A$2004,Task_Steps!$B$5:$B$2004=$A560)),""))</f>
        <v/>
      </c>
      <c r="AE560" s="84">
        <f>IF($A560="","",COUNTIFS(Task_Steps!$B$5:$B$2004,$A560,Task_Steps!$H$5:$H$2004,"&lt;&gt;Completed",Task_Steps!$H$5:$H$2004,"&lt;&gt;Cancelled"))</f>
        <v/>
      </c>
      <c r="AF560" s="81">
        <f>IF(OR($B560="",$A560=""),"",$B560&amp;" | "&amp;$A560)</f>
        <v/>
      </c>
    </row>
    <row r="561" ht="15" customHeight="1" s="40">
      <c r="A561" s="65">
        <f>IF(COUNTA(B561:F561)=0,"","TSK-"&amp;TEXT(ROW()-4,"0000"))</f>
        <v/>
      </c>
      <c r="B561" s="78" t="n"/>
      <c r="C561" s="78" t="n"/>
      <c r="D561" s="81" t="n"/>
      <c r="E561" s="81" t="n"/>
      <c r="F561" s="78" t="n"/>
      <c r="G561" s="67">
        <f>IF($F561="","",IFERROR(INDEX(Employee_Master!$C$5:$C$204,MATCH($F561,Employee_Master!$B$5:$B$204,0)),""))</f>
        <v/>
      </c>
      <c r="H561" s="78" t="n"/>
      <c r="I561" s="78" t="n"/>
      <c r="J561" s="67">
        <f>IF($I561="","",IFERROR(INDEX(Action_Status_Map!$B$5:$B$11,MATCH($I561,Action_Status_Map!$A$5:$A$11,0)),""))</f>
        <v/>
      </c>
      <c r="K561" s="82" t="n"/>
      <c r="L561" s="82" t="n"/>
      <c r="M561" s="82" t="n"/>
      <c r="N561" s="83" t="n"/>
      <c r="O561" s="83" t="n"/>
      <c r="P561" s="66">
        <f>IF(OR($N561="",$O561=""),"",$O561-$N561)</f>
        <v/>
      </c>
      <c r="Q561" s="84">
        <f>IF($K561="","",IF($M561&lt;&gt;"",$M561-$K561,TODAY()-$K561))</f>
        <v/>
      </c>
      <c r="R561" s="85">
        <f>IF(OR($L561="",$I561="Completed",$I561="Cancelled"),"",IF(AND($L561&lt;TODAY(),$I561&lt;&gt;"Completed",$I561&lt;&gt;"Cancelled"),"Overdue","On Track"))</f>
        <v/>
      </c>
      <c r="S561" s="65">
        <f>IF($L561="","",TEXT($L561,"yyyy-mm"))</f>
        <v/>
      </c>
      <c r="T561" s="86">
        <f>IF($I561="","",IFERROR(INDEX(Action_Status_Map!$C$5:$C$11,MATCH($I561,Action_Status_Map!$A$5:$A$11,0)),""))</f>
        <v/>
      </c>
      <c r="U561" s="81" t="n"/>
      <c r="V561" s="82" t="n"/>
      <c r="W561" s="65">
        <f>IF(OR($I561&lt;&gt;"Completed",$M561="",$L561=""),"",IF($M561&lt;=$L561,"Yes","No"))</f>
        <v/>
      </c>
      <c r="X561" s="84">
        <f>IF($A561="","",COUNTIF(Task_Steps!$B$5:$B$2004,$A561))</f>
        <v/>
      </c>
      <c r="Y561" s="86">
        <f>IF($X561=0,"",COUNTIFS(Task_Steps!$B$5:$B$2004,$A561,Task_Steps!$H$5:$H$2004,"Completed")/$X561)</f>
        <v/>
      </c>
      <c r="Z561" s="81" t="n"/>
      <c r="AA561" s="81" t="n"/>
      <c r="AB561" s="67">
        <f>IF($F561="","",IFERROR(INDEX(Employee_Master!$E$5:$E$204,MATCH($F561,Employee_Master!$B$5:$B$204,0)),""))</f>
        <v/>
      </c>
      <c r="AC561" s="65">
        <f>IF(OR($A561="",$AB561=""),"",IF(OR($I561="Completed",$I561="Cancelled"),"Closed - in Manager Report","Active - in Manager Report"))</f>
        <v/>
      </c>
      <c r="AD561" s="81">
        <f>IF($A561="","",IFERROR(TEXTJOIN(", ",TRUE,FILTER(Task_Steps!$A$5:$A$2004,Task_Steps!$B$5:$B$2004=$A561)),""))</f>
        <v/>
      </c>
      <c r="AE561" s="84">
        <f>IF($A561="","",COUNTIFS(Task_Steps!$B$5:$B$2004,$A561,Task_Steps!$H$5:$H$2004,"&lt;&gt;Completed",Task_Steps!$H$5:$H$2004,"&lt;&gt;Cancelled"))</f>
        <v/>
      </c>
      <c r="AF561" s="81">
        <f>IF(OR($B561="",$A561=""),"",$B561&amp;" | "&amp;$A561)</f>
        <v/>
      </c>
    </row>
    <row r="562" ht="15" customHeight="1" s="40">
      <c r="A562" s="65">
        <f>IF(COUNTA(B562:F562)=0,"","TSK-"&amp;TEXT(ROW()-4,"0000"))</f>
        <v/>
      </c>
      <c r="B562" s="78" t="n"/>
      <c r="C562" s="78" t="n"/>
      <c r="D562" s="81" t="n"/>
      <c r="E562" s="81" t="n"/>
      <c r="F562" s="78" t="n"/>
      <c r="G562" s="67">
        <f>IF($F562="","",IFERROR(INDEX(Employee_Master!$C$5:$C$204,MATCH($F562,Employee_Master!$B$5:$B$204,0)),""))</f>
        <v/>
      </c>
      <c r="H562" s="78" t="n"/>
      <c r="I562" s="78" t="n"/>
      <c r="J562" s="67">
        <f>IF($I562="","",IFERROR(INDEX(Action_Status_Map!$B$5:$B$11,MATCH($I562,Action_Status_Map!$A$5:$A$11,0)),""))</f>
        <v/>
      </c>
      <c r="K562" s="82" t="n"/>
      <c r="L562" s="82" t="n"/>
      <c r="M562" s="82" t="n"/>
      <c r="N562" s="83" t="n"/>
      <c r="O562" s="83" t="n"/>
      <c r="P562" s="66">
        <f>IF(OR($N562="",$O562=""),"",$O562-$N562)</f>
        <v/>
      </c>
      <c r="Q562" s="84">
        <f>IF($K562="","",IF($M562&lt;&gt;"",$M562-$K562,TODAY()-$K562))</f>
        <v/>
      </c>
      <c r="R562" s="85">
        <f>IF(OR($L562="",$I562="Completed",$I562="Cancelled"),"",IF(AND($L562&lt;TODAY(),$I562&lt;&gt;"Completed",$I562&lt;&gt;"Cancelled"),"Overdue","On Track"))</f>
        <v/>
      </c>
      <c r="S562" s="65">
        <f>IF($L562="","",TEXT($L562,"yyyy-mm"))</f>
        <v/>
      </c>
      <c r="T562" s="86">
        <f>IF($I562="","",IFERROR(INDEX(Action_Status_Map!$C$5:$C$11,MATCH($I562,Action_Status_Map!$A$5:$A$11,0)),""))</f>
        <v/>
      </c>
      <c r="U562" s="81" t="n"/>
      <c r="V562" s="82" t="n"/>
      <c r="W562" s="65">
        <f>IF(OR($I562&lt;&gt;"Completed",$M562="",$L562=""),"",IF($M562&lt;=$L562,"Yes","No"))</f>
        <v/>
      </c>
      <c r="X562" s="84">
        <f>IF($A562="","",COUNTIF(Task_Steps!$B$5:$B$2004,$A562))</f>
        <v/>
      </c>
      <c r="Y562" s="86">
        <f>IF($X562=0,"",COUNTIFS(Task_Steps!$B$5:$B$2004,$A562,Task_Steps!$H$5:$H$2004,"Completed")/$X562)</f>
        <v/>
      </c>
      <c r="Z562" s="81" t="n"/>
      <c r="AA562" s="81" t="n"/>
      <c r="AB562" s="67">
        <f>IF($F562="","",IFERROR(INDEX(Employee_Master!$E$5:$E$204,MATCH($F562,Employee_Master!$B$5:$B$204,0)),""))</f>
        <v/>
      </c>
      <c r="AC562" s="65">
        <f>IF(OR($A562="",$AB562=""),"",IF(OR($I562="Completed",$I562="Cancelled"),"Closed - in Manager Report","Active - in Manager Report"))</f>
        <v/>
      </c>
      <c r="AD562" s="81">
        <f>IF($A562="","",IFERROR(TEXTJOIN(", ",TRUE,FILTER(Task_Steps!$A$5:$A$2004,Task_Steps!$B$5:$B$2004=$A562)),""))</f>
        <v/>
      </c>
      <c r="AE562" s="84">
        <f>IF($A562="","",COUNTIFS(Task_Steps!$B$5:$B$2004,$A562,Task_Steps!$H$5:$H$2004,"&lt;&gt;Completed",Task_Steps!$H$5:$H$2004,"&lt;&gt;Cancelled"))</f>
        <v/>
      </c>
      <c r="AF562" s="81">
        <f>IF(OR($B562="",$A562=""),"",$B562&amp;" | "&amp;$A562)</f>
        <v/>
      </c>
    </row>
    <row r="563" ht="15" customHeight="1" s="40">
      <c r="A563" s="65">
        <f>IF(COUNTA(B563:F563)=0,"","TSK-"&amp;TEXT(ROW()-4,"0000"))</f>
        <v/>
      </c>
      <c r="B563" s="78" t="n"/>
      <c r="C563" s="78" t="n"/>
      <c r="D563" s="81" t="n"/>
      <c r="E563" s="81" t="n"/>
      <c r="F563" s="78" t="n"/>
      <c r="G563" s="67">
        <f>IF($F563="","",IFERROR(INDEX(Employee_Master!$C$5:$C$204,MATCH($F563,Employee_Master!$B$5:$B$204,0)),""))</f>
        <v/>
      </c>
      <c r="H563" s="78" t="n"/>
      <c r="I563" s="78" t="n"/>
      <c r="J563" s="67">
        <f>IF($I563="","",IFERROR(INDEX(Action_Status_Map!$B$5:$B$11,MATCH($I563,Action_Status_Map!$A$5:$A$11,0)),""))</f>
        <v/>
      </c>
      <c r="K563" s="82" t="n"/>
      <c r="L563" s="82" t="n"/>
      <c r="M563" s="82" t="n"/>
      <c r="N563" s="83" t="n"/>
      <c r="O563" s="83" t="n"/>
      <c r="P563" s="66">
        <f>IF(OR($N563="",$O563=""),"",$O563-$N563)</f>
        <v/>
      </c>
      <c r="Q563" s="84">
        <f>IF($K563="","",IF($M563&lt;&gt;"",$M563-$K563,TODAY()-$K563))</f>
        <v/>
      </c>
      <c r="R563" s="85">
        <f>IF(OR($L563="",$I563="Completed",$I563="Cancelled"),"",IF(AND($L563&lt;TODAY(),$I563&lt;&gt;"Completed",$I563&lt;&gt;"Cancelled"),"Overdue","On Track"))</f>
        <v/>
      </c>
      <c r="S563" s="65">
        <f>IF($L563="","",TEXT($L563,"yyyy-mm"))</f>
        <v/>
      </c>
      <c r="T563" s="86">
        <f>IF($I563="","",IFERROR(INDEX(Action_Status_Map!$C$5:$C$11,MATCH($I563,Action_Status_Map!$A$5:$A$11,0)),""))</f>
        <v/>
      </c>
      <c r="U563" s="81" t="n"/>
      <c r="V563" s="82" t="n"/>
      <c r="W563" s="65">
        <f>IF(OR($I563&lt;&gt;"Completed",$M563="",$L563=""),"",IF($M563&lt;=$L563,"Yes","No"))</f>
        <v/>
      </c>
      <c r="X563" s="84">
        <f>IF($A563="","",COUNTIF(Task_Steps!$B$5:$B$2004,$A563))</f>
        <v/>
      </c>
      <c r="Y563" s="86">
        <f>IF($X563=0,"",COUNTIFS(Task_Steps!$B$5:$B$2004,$A563,Task_Steps!$H$5:$H$2004,"Completed")/$X563)</f>
        <v/>
      </c>
      <c r="Z563" s="81" t="n"/>
      <c r="AA563" s="81" t="n"/>
      <c r="AB563" s="67">
        <f>IF($F563="","",IFERROR(INDEX(Employee_Master!$E$5:$E$204,MATCH($F563,Employee_Master!$B$5:$B$204,0)),""))</f>
        <v/>
      </c>
      <c r="AC563" s="65">
        <f>IF(OR($A563="",$AB563=""),"",IF(OR($I563="Completed",$I563="Cancelled"),"Closed - in Manager Report","Active - in Manager Report"))</f>
        <v/>
      </c>
      <c r="AD563" s="81">
        <f>IF($A563="","",IFERROR(TEXTJOIN(", ",TRUE,FILTER(Task_Steps!$A$5:$A$2004,Task_Steps!$B$5:$B$2004=$A563)),""))</f>
        <v/>
      </c>
      <c r="AE563" s="84">
        <f>IF($A563="","",COUNTIFS(Task_Steps!$B$5:$B$2004,$A563,Task_Steps!$H$5:$H$2004,"&lt;&gt;Completed",Task_Steps!$H$5:$H$2004,"&lt;&gt;Cancelled"))</f>
        <v/>
      </c>
      <c r="AF563" s="81">
        <f>IF(OR($B563="",$A563=""),"",$B563&amp;" | "&amp;$A563)</f>
        <v/>
      </c>
    </row>
    <row r="564" ht="15" customHeight="1" s="40">
      <c r="A564" s="65">
        <f>IF(COUNTA(B564:F564)=0,"","TSK-"&amp;TEXT(ROW()-4,"0000"))</f>
        <v/>
      </c>
      <c r="B564" s="78" t="n"/>
      <c r="C564" s="78" t="n"/>
      <c r="D564" s="81" t="n"/>
      <c r="E564" s="81" t="n"/>
      <c r="F564" s="78" t="n"/>
      <c r="G564" s="67">
        <f>IF($F564="","",IFERROR(INDEX(Employee_Master!$C$5:$C$204,MATCH($F564,Employee_Master!$B$5:$B$204,0)),""))</f>
        <v/>
      </c>
      <c r="H564" s="78" t="n"/>
      <c r="I564" s="78" t="n"/>
      <c r="J564" s="67">
        <f>IF($I564="","",IFERROR(INDEX(Action_Status_Map!$B$5:$B$11,MATCH($I564,Action_Status_Map!$A$5:$A$11,0)),""))</f>
        <v/>
      </c>
      <c r="K564" s="82" t="n"/>
      <c r="L564" s="82" t="n"/>
      <c r="M564" s="82" t="n"/>
      <c r="N564" s="83" t="n"/>
      <c r="O564" s="83" t="n"/>
      <c r="P564" s="66">
        <f>IF(OR($N564="",$O564=""),"",$O564-$N564)</f>
        <v/>
      </c>
      <c r="Q564" s="84">
        <f>IF($K564="","",IF($M564&lt;&gt;"",$M564-$K564,TODAY()-$K564))</f>
        <v/>
      </c>
      <c r="R564" s="85">
        <f>IF(OR($L564="",$I564="Completed",$I564="Cancelled"),"",IF(AND($L564&lt;TODAY(),$I564&lt;&gt;"Completed",$I564&lt;&gt;"Cancelled"),"Overdue","On Track"))</f>
        <v/>
      </c>
      <c r="S564" s="65">
        <f>IF($L564="","",TEXT($L564,"yyyy-mm"))</f>
        <v/>
      </c>
      <c r="T564" s="86">
        <f>IF($I564="","",IFERROR(INDEX(Action_Status_Map!$C$5:$C$11,MATCH($I564,Action_Status_Map!$A$5:$A$11,0)),""))</f>
        <v/>
      </c>
      <c r="U564" s="81" t="n"/>
      <c r="V564" s="82" t="n"/>
      <c r="W564" s="65">
        <f>IF(OR($I564&lt;&gt;"Completed",$M564="",$L564=""),"",IF($M564&lt;=$L564,"Yes","No"))</f>
        <v/>
      </c>
      <c r="X564" s="84">
        <f>IF($A564="","",COUNTIF(Task_Steps!$B$5:$B$2004,$A564))</f>
        <v/>
      </c>
      <c r="Y564" s="86">
        <f>IF($X564=0,"",COUNTIFS(Task_Steps!$B$5:$B$2004,$A564,Task_Steps!$H$5:$H$2004,"Completed")/$X564)</f>
        <v/>
      </c>
      <c r="Z564" s="81" t="n"/>
      <c r="AA564" s="81" t="n"/>
      <c r="AB564" s="67">
        <f>IF($F564="","",IFERROR(INDEX(Employee_Master!$E$5:$E$204,MATCH($F564,Employee_Master!$B$5:$B$204,0)),""))</f>
        <v/>
      </c>
      <c r="AC564" s="65">
        <f>IF(OR($A564="",$AB564=""),"",IF(OR($I564="Completed",$I564="Cancelled"),"Closed - in Manager Report","Active - in Manager Report"))</f>
        <v/>
      </c>
      <c r="AD564" s="81">
        <f>IF($A564="","",IFERROR(TEXTJOIN(", ",TRUE,FILTER(Task_Steps!$A$5:$A$2004,Task_Steps!$B$5:$B$2004=$A564)),""))</f>
        <v/>
      </c>
      <c r="AE564" s="84">
        <f>IF($A564="","",COUNTIFS(Task_Steps!$B$5:$B$2004,$A564,Task_Steps!$H$5:$H$2004,"&lt;&gt;Completed",Task_Steps!$H$5:$H$2004,"&lt;&gt;Cancelled"))</f>
        <v/>
      </c>
      <c r="AF564" s="81">
        <f>IF(OR($B564="",$A564=""),"",$B564&amp;" | "&amp;$A564)</f>
        <v/>
      </c>
    </row>
    <row r="565" ht="15" customHeight="1" s="40">
      <c r="A565" s="65">
        <f>IF(COUNTA(B565:F565)=0,"","TSK-"&amp;TEXT(ROW()-4,"0000"))</f>
        <v/>
      </c>
      <c r="B565" s="78" t="n"/>
      <c r="C565" s="78" t="n"/>
      <c r="D565" s="81" t="n"/>
      <c r="E565" s="81" t="n"/>
      <c r="F565" s="78" t="n"/>
      <c r="G565" s="67">
        <f>IF($F565="","",IFERROR(INDEX(Employee_Master!$C$5:$C$204,MATCH($F565,Employee_Master!$B$5:$B$204,0)),""))</f>
        <v/>
      </c>
      <c r="H565" s="78" t="n"/>
      <c r="I565" s="78" t="n"/>
      <c r="J565" s="67">
        <f>IF($I565="","",IFERROR(INDEX(Action_Status_Map!$B$5:$B$11,MATCH($I565,Action_Status_Map!$A$5:$A$11,0)),""))</f>
        <v/>
      </c>
      <c r="K565" s="82" t="n"/>
      <c r="L565" s="82" t="n"/>
      <c r="M565" s="82" t="n"/>
      <c r="N565" s="83" t="n"/>
      <c r="O565" s="83" t="n"/>
      <c r="P565" s="66">
        <f>IF(OR($N565="",$O565=""),"",$O565-$N565)</f>
        <v/>
      </c>
      <c r="Q565" s="84">
        <f>IF($K565="","",IF($M565&lt;&gt;"",$M565-$K565,TODAY()-$K565))</f>
        <v/>
      </c>
      <c r="R565" s="85">
        <f>IF(OR($L565="",$I565="Completed",$I565="Cancelled"),"",IF(AND($L565&lt;TODAY(),$I565&lt;&gt;"Completed",$I565&lt;&gt;"Cancelled"),"Overdue","On Track"))</f>
        <v/>
      </c>
      <c r="S565" s="65">
        <f>IF($L565="","",TEXT($L565,"yyyy-mm"))</f>
        <v/>
      </c>
      <c r="T565" s="86">
        <f>IF($I565="","",IFERROR(INDEX(Action_Status_Map!$C$5:$C$11,MATCH($I565,Action_Status_Map!$A$5:$A$11,0)),""))</f>
        <v/>
      </c>
      <c r="U565" s="81" t="n"/>
      <c r="V565" s="82" t="n"/>
      <c r="W565" s="65">
        <f>IF(OR($I565&lt;&gt;"Completed",$M565="",$L565=""),"",IF($M565&lt;=$L565,"Yes","No"))</f>
        <v/>
      </c>
      <c r="X565" s="84">
        <f>IF($A565="","",COUNTIF(Task_Steps!$B$5:$B$2004,$A565))</f>
        <v/>
      </c>
      <c r="Y565" s="86">
        <f>IF($X565=0,"",COUNTIFS(Task_Steps!$B$5:$B$2004,$A565,Task_Steps!$H$5:$H$2004,"Completed")/$X565)</f>
        <v/>
      </c>
      <c r="Z565" s="81" t="n"/>
      <c r="AA565" s="81" t="n"/>
      <c r="AB565" s="67">
        <f>IF($F565="","",IFERROR(INDEX(Employee_Master!$E$5:$E$204,MATCH($F565,Employee_Master!$B$5:$B$204,0)),""))</f>
        <v/>
      </c>
      <c r="AC565" s="65">
        <f>IF(OR($A565="",$AB565=""),"",IF(OR($I565="Completed",$I565="Cancelled"),"Closed - in Manager Report","Active - in Manager Report"))</f>
        <v/>
      </c>
      <c r="AD565" s="81">
        <f>IF($A565="","",IFERROR(TEXTJOIN(", ",TRUE,FILTER(Task_Steps!$A$5:$A$2004,Task_Steps!$B$5:$B$2004=$A565)),""))</f>
        <v/>
      </c>
      <c r="AE565" s="84">
        <f>IF($A565="","",COUNTIFS(Task_Steps!$B$5:$B$2004,$A565,Task_Steps!$H$5:$H$2004,"&lt;&gt;Completed",Task_Steps!$H$5:$H$2004,"&lt;&gt;Cancelled"))</f>
        <v/>
      </c>
      <c r="AF565" s="81">
        <f>IF(OR($B565="",$A565=""),"",$B565&amp;" | "&amp;$A565)</f>
        <v/>
      </c>
    </row>
    <row r="566" ht="15" customHeight="1" s="40">
      <c r="A566" s="65">
        <f>IF(COUNTA(B566:F566)=0,"","TSK-"&amp;TEXT(ROW()-4,"0000"))</f>
        <v/>
      </c>
      <c r="B566" s="78" t="n"/>
      <c r="C566" s="78" t="n"/>
      <c r="D566" s="81" t="n"/>
      <c r="E566" s="81" t="n"/>
      <c r="F566" s="78" t="n"/>
      <c r="G566" s="67">
        <f>IF($F566="","",IFERROR(INDEX(Employee_Master!$C$5:$C$204,MATCH($F566,Employee_Master!$B$5:$B$204,0)),""))</f>
        <v/>
      </c>
      <c r="H566" s="78" t="n"/>
      <c r="I566" s="78" t="n"/>
      <c r="J566" s="67">
        <f>IF($I566="","",IFERROR(INDEX(Action_Status_Map!$B$5:$B$11,MATCH($I566,Action_Status_Map!$A$5:$A$11,0)),""))</f>
        <v/>
      </c>
      <c r="K566" s="82" t="n"/>
      <c r="L566" s="82" t="n"/>
      <c r="M566" s="82" t="n"/>
      <c r="N566" s="83" t="n"/>
      <c r="O566" s="83" t="n"/>
      <c r="P566" s="66">
        <f>IF(OR($N566="",$O566=""),"",$O566-$N566)</f>
        <v/>
      </c>
      <c r="Q566" s="84">
        <f>IF($K566="","",IF($M566&lt;&gt;"",$M566-$K566,TODAY()-$K566))</f>
        <v/>
      </c>
      <c r="R566" s="85">
        <f>IF(OR($L566="",$I566="Completed",$I566="Cancelled"),"",IF(AND($L566&lt;TODAY(),$I566&lt;&gt;"Completed",$I566&lt;&gt;"Cancelled"),"Overdue","On Track"))</f>
        <v/>
      </c>
      <c r="S566" s="65">
        <f>IF($L566="","",TEXT($L566,"yyyy-mm"))</f>
        <v/>
      </c>
      <c r="T566" s="86">
        <f>IF($I566="","",IFERROR(INDEX(Action_Status_Map!$C$5:$C$11,MATCH($I566,Action_Status_Map!$A$5:$A$11,0)),""))</f>
        <v/>
      </c>
      <c r="U566" s="81" t="n"/>
      <c r="V566" s="82" t="n"/>
      <c r="W566" s="65">
        <f>IF(OR($I566&lt;&gt;"Completed",$M566="",$L566=""),"",IF($M566&lt;=$L566,"Yes","No"))</f>
        <v/>
      </c>
      <c r="X566" s="84">
        <f>IF($A566="","",COUNTIF(Task_Steps!$B$5:$B$2004,$A566))</f>
        <v/>
      </c>
      <c r="Y566" s="86">
        <f>IF($X566=0,"",COUNTIFS(Task_Steps!$B$5:$B$2004,$A566,Task_Steps!$H$5:$H$2004,"Completed")/$X566)</f>
        <v/>
      </c>
      <c r="Z566" s="81" t="n"/>
      <c r="AA566" s="81" t="n"/>
      <c r="AB566" s="67">
        <f>IF($F566="","",IFERROR(INDEX(Employee_Master!$E$5:$E$204,MATCH($F566,Employee_Master!$B$5:$B$204,0)),""))</f>
        <v/>
      </c>
      <c r="AC566" s="65">
        <f>IF(OR($A566="",$AB566=""),"",IF(OR($I566="Completed",$I566="Cancelled"),"Closed - in Manager Report","Active - in Manager Report"))</f>
        <v/>
      </c>
      <c r="AD566" s="81">
        <f>IF($A566="","",IFERROR(TEXTJOIN(", ",TRUE,FILTER(Task_Steps!$A$5:$A$2004,Task_Steps!$B$5:$B$2004=$A566)),""))</f>
        <v/>
      </c>
      <c r="AE566" s="84">
        <f>IF($A566="","",COUNTIFS(Task_Steps!$B$5:$B$2004,$A566,Task_Steps!$H$5:$H$2004,"&lt;&gt;Completed",Task_Steps!$H$5:$H$2004,"&lt;&gt;Cancelled"))</f>
        <v/>
      </c>
      <c r="AF566" s="81">
        <f>IF(OR($B566="",$A566=""),"",$B566&amp;" | "&amp;$A566)</f>
        <v/>
      </c>
    </row>
    <row r="567" ht="15" customHeight="1" s="40">
      <c r="A567" s="65">
        <f>IF(COUNTA(B567:F567)=0,"","TSK-"&amp;TEXT(ROW()-4,"0000"))</f>
        <v/>
      </c>
      <c r="B567" s="78" t="n"/>
      <c r="C567" s="78" t="n"/>
      <c r="D567" s="81" t="n"/>
      <c r="E567" s="81" t="n"/>
      <c r="F567" s="78" t="n"/>
      <c r="G567" s="67">
        <f>IF($F567="","",IFERROR(INDEX(Employee_Master!$C$5:$C$204,MATCH($F567,Employee_Master!$B$5:$B$204,0)),""))</f>
        <v/>
      </c>
      <c r="H567" s="78" t="n"/>
      <c r="I567" s="78" t="n"/>
      <c r="J567" s="67">
        <f>IF($I567="","",IFERROR(INDEX(Action_Status_Map!$B$5:$B$11,MATCH($I567,Action_Status_Map!$A$5:$A$11,0)),""))</f>
        <v/>
      </c>
      <c r="K567" s="82" t="n"/>
      <c r="L567" s="82" t="n"/>
      <c r="M567" s="82" t="n"/>
      <c r="N567" s="83" t="n"/>
      <c r="O567" s="83" t="n"/>
      <c r="P567" s="66">
        <f>IF(OR($N567="",$O567=""),"",$O567-$N567)</f>
        <v/>
      </c>
      <c r="Q567" s="84">
        <f>IF($K567="","",IF($M567&lt;&gt;"",$M567-$K567,TODAY()-$K567))</f>
        <v/>
      </c>
      <c r="R567" s="85">
        <f>IF(OR($L567="",$I567="Completed",$I567="Cancelled"),"",IF(AND($L567&lt;TODAY(),$I567&lt;&gt;"Completed",$I567&lt;&gt;"Cancelled"),"Overdue","On Track"))</f>
        <v/>
      </c>
      <c r="S567" s="65">
        <f>IF($L567="","",TEXT($L567,"yyyy-mm"))</f>
        <v/>
      </c>
      <c r="T567" s="86">
        <f>IF($I567="","",IFERROR(INDEX(Action_Status_Map!$C$5:$C$11,MATCH($I567,Action_Status_Map!$A$5:$A$11,0)),""))</f>
        <v/>
      </c>
      <c r="U567" s="81" t="n"/>
      <c r="V567" s="82" t="n"/>
      <c r="W567" s="65">
        <f>IF(OR($I567&lt;&gt;"Completed",$M567="",$L567=""),"",IF($M567&lt;=$L567,"Yes","No"))</f>
        <v/>
      </c>
      <c r="X567" s="84">
        <f>IF($A567="","",COUNTIF(Task_Steps!$B$5:$B$2004,$A567))</f>
        <v/>
      </c>
      <c r="Y567" s="86">
        <f>IF($X567=0,"",COUNTIFS(Task_Steps!$B$5:$B$2004,$A567,Task_Steps!$H$5:$H$2004,"Completed")/$X567)</f>
        <v/>
      </c>
      <c r="Z567" s="81" t="n"/>
      <c r="AA567" s="81" t="n"/>
      <c r="AB567" s="67">
        <f>IF($F567="","",IFERROR(INDEX(Employee_Master!$E$5:$E$204,MATCH($F567,Employee_Master!$B$5:$B$204,0)),""))</f>
        <v/>
      </c>
      <c r="AC567" s="65">
        <f>IF(OR($A567="",$AB567=""),"",IF(OR($I567="Completed",$I567="Cancelled"),"Closed - in Manager Report","Active - in Manager Report"))</f>
        <v/>
      </c>
      <c r="AD567" s="81">
        <f>IF($A567="","",IFERROR(TEXTJOIN(", ",TRUE,FILTER(Task_Steps!$A$5:$A$2004,Task_Steps!$B$5:$B$2004=$A567)),""))</f>
        <v/>
      </c>
      <c r="AE567" s="84">
        <f>IF($A567="","",COUNTIFS(Task_Steps!$B$5:$B$2004,$A567,Task_Steps!$H$5:$H$2004,"&lt;&gt;Completed",Task_Steps!$H$5:$H$2004,"&lt;&gt;Cancelled"))</f>
        <v/>
      </c>
      <c r="AF567" s="81">
        <f>IF(OR($B567="",$A567=""),"",$B567&amp;" | "&amp;$A567)</f>
        <v/>
      </c>
    </row>
    <row r="568" ht="15" customHeight="1" s="40">
      <c r="A568" s="65">
        <f>IF(COUNTA(B568:F568)=0,"","TSK-"&amp;TEXT(ROW()-4,"0000"))</f>
        <v/>
      </c>
      <c r="B568" s="78" t="n"/>
      <c r="C568" s="78" t="n"/>
      <c r="D568" s="81" t="n"/>
      <c r="E568" s="81" t="n"/>
      <c r="F568" s="78" t="n"/>
      <c r="G568" s="67">
        <f>IF($F568="","",IFERROR(INDEX(Employee_Master!$C$5:$C$204,MATCH($F568,Employee_Master!$B$5:$B$204,0)),""))</f>
        <v/>
      </c>
      <c r="H568" s="78" t="n"/>
      <c r="I568" s="78" t="n"/>
      <c r="J568" s="67">
        <f>IF($I568="","",IFERROR(INDEX(Action_Status_Map!$B$5:$B$11,MATCH($I568,Action_Status_Map!$A$5:$A$11,0)),""))</f>
        <v/>
      </c>
      <c r="K568" s="82" t="n"/>
      <c r="L568" s="82" t="n"/>
      <c r="M568" s="82" t="n"/>
      <c r="N568" s="83" t="n"/>
      <c r="O568" s="83" t="n"/>
      <c r="P568" s="66">
        <f>IF(OR($N568="",$O568=""),"",$O568-$N568)</f>
        <v/>
      </c>
      <c r="Q568" s="84">
        <f>IF($K568="","",IF($M568&lt;&gt;"",$M568-$K568,TODAY()-$K568))</f>
        <v/>
      </c>
      <c r="R568" s="85">
        <f>IF(OR($L568="",$I568="Completed",$I568="Cancelled"),"",IF(AND($L568&lt;TODAY(),$I568&lt;&gt;"Completed",$I568&lt;&gt;"Cancelled"),"Overdue","On Track"))</f>
        <v/>
      </c>
      <c r="S568" s="65">
        <f>IF($L568="","",TEXT($L568,"yyyy-mm"))</f>
        <v/>
      </c>
      <c r="T568" s="86">
        <f>IF($I568="","",IFERROR(INDEX(Action_Status_Map!$C$5:$C$11,MATCH($I568,Action_Status_Map!$A$5:$A$11,0)),""))</f>
        <v/>
      </c>
      <c r="U568" s="81" t="n"/>
      <c r="V568" s="82" t="n"/>
      <c r="W568" s="65">
        <f>IF(OR($I568&lt;&gt;"Completed",$M568="",$L568=""),"",IF($M568&lt;=$L568,"Yes","No"))</f>
        <v/>
      </c>
      <c r="X568" s="84">
        <f>IF($A568="","",COUNTIF(Task_Steps!$B$5:$B$2004,$A568))</f>
        <v/>
      </c>
      <c r="Y568" s="86">
        <f>IF($X568=0,"",COUNTIFS(Task_Steps!$B$5:$B$2004,$A568,Task_Steps!$H$5:$H$2004,"Completed")/$X568)</f>
        <v/>
      </c>
      <c r="Z568" s="81" t="n"/>
      <c r="AA568" s="81" t="n"/>
      <c r="AB568" s="67">
        <f>IF($F568="","",IFERROR(INDEX(Employee_Master!$E$5:$E$204,MATCH($F568,Employee_Master!$B$5:$B$204,0)),""))</f>
        <v/>
      </c>
      <c r="AC568" s="65">
        <f>IF(OR($A568="",$AB568=""),"",IF(OR($I568="Completed",$I568="Cancelled"),"Closed - in Manager Report","Active - in Manager Report"))</f>
        <v/>
      </c>
      <c r="AD568" s="81">
        <f>IF($A568="","",IFERROR(TEXTJOIN(", ",TRUE,FILTER(Task_Steps!$A$5:$A$2004,Task_Steps!$B$5:$B$2004=$A568)),""))</f>
        <v/>
      </c>
      <c r="AE568" s="84">
        <f>IF($A568="","",COUNTIFS(Task_Steps!$B$5:$B$2004,$A568,Task_Steps!$H$5:$H$2004,"&lt;&gt;Completed",Task_Steps!$H$5:$H$2004,"&lt;&gt;Cancelled"))</f>
        <v/>
      </c>
      <c r="AF568" s="81">
        <f>IF(OR($B568="",$A568=""),"",$B568&amp;" | "&amp;$A568)</f>
        <v/>
      </c>
    </row>
    <row r="569" ht="15" customHeight="1" s="40">
      <c r="A569" s="65">
        <f>IF(COUNTA(B569:F569)=0,"","TSK-"&amp;TEXT(ROW()-4,"0000"))</f>
        <v/>
      </c>
      <c r="B569" s="78" t="n"/>
      <c r="C569" s="78" t="n"/>
      <c r="D569" s="81" t="n"/>
      <c r="E569" s="81" t="n"/>
      <c r="F569" s="78" t="n"/>
      <c r="G569" s="67">
        <f>IF($F569="","",IFERROR(INDEX(Employee_Master!$C$5:$C$204,MATCH($F569,Employee_Master!$B$5:$B$204,0)),""))</f>
        <v/>
      </c>
      <c r="H569" s="78" t="n"/>
      <c r="I569" s="78" t="n"/>
      <c r="J569" s="67">
        <f>IF($I569="","",IFERROR(INDEX(Action_Status_Map!$B$5:$B$11,MATCH($I569,Action_Status_Map!$A$5:$A$11,0)),""))</f>
        <v/>
      </c>
      <c r="K569" s="82" t="n"/>
      <c r="L569" s="82" t="n"/>
      <c r="M569" s="82" t="n"/>
      <c r="N569" s="83" t="n"/>
      <c r="O569" s="83" t="n"/>
      <c r="P569" s="66">
        <f>IF(OR($N569="",$O569=""),"",$O569-$N569)</f>
        <v/>
      </c>
      <c r="Q569" s="84">
        <f>IF($K569="","",IF($M569&lt;&gt;"",$M569-$K569,TODAY()-$K569))</f>
        <v/>
      </c>
      <c r="R569" s="85">
        <f>IF(OR($L569="",$I569="Completed",$I569="Cancelled"),"",IF(AND($L569&lt;TODAY(),$I569&lt;&gt;"Completed",$I569&lt;&gt;"Cancelled"),"Overdue","On Track"))</f>
        <v/>
      </c>
      <c r="S569" s="65">
        <f>IF($L569="","",TEXT($L569,"yyyy-mm"))</f>
        <v/>
      </c>
      <c r="T569" s="86">
        <f>IF($I569="","",IFERROR(INDEX(Action_Status_Map!$C$5:$C$11,MATCH($I569,Action_Status_Map!$A$5:$A$11,0)),""))</f>
        <v/>
      </c>
      <c r="U569" s="81" t="n"/>
      <c r="V569" s="82" t="n"/>
      <c r="W569" s="65">
        <f>IF(OR($I569&lt;&gt;"Completed",$M569="",$L569=""),"",IF($M569&lt;=$L569,"Yes","No"))</f>
        <v/>
      </c>
      <c r="X569" s="84">
        <f>IF($A569="","",COUNTIF(Task_Steps!$B$5:$B$2004,$A569))</f>
        <v/>
      </c>
      <c r="Y569" s="86">
        <f>IF($X569=0,"",COUNTIFS(Task_Steps!$B$5:$B$2004,$A569,Task_Steps!$H$5:$H$2004,"Completed")/$X569)</f>
        <v/>
      </c>
      <c r="Z569" s="81" t="n"/>
      <c r="AA569" s="81" t="n"/>
      <c r="AB569" s="67">
        <f>IF($F569="","",IFERROR(INDEX(Employee_Master!$E$5:$E$204,MATCH($F569,Employee_Master!$B$5:$B$204,0)),""))</f>
        <v/>
      </c>
      <c r="AC569" s="65">
        <f>IF(OR($A569="",$AB569=""),"",IF(OR($I569="Completed",$I569="Cancelled"),"Closed - in Manager Report","Active - in Manager Report"))</f>
        <v/>
      </c>
      <c r="AD569" s="81">
        <f>IF($A569="","",IFERROR(TEXTJOIN(", ",TRUE,FILTER(Task_Steps!$A$5:$A$2004,Task_Steps!$B$5:$B$2004=$A569)),""))</f>
        <v/>
      </c>
      <c r="AE569" s="84">
        <f>IF($A569="","",COUNTIFS(Task_Steps!$B$5:$B$2004,$A569,Task_Steps!$H$5:$H$2004,"&lt;&gt;Completed",Task_Steps!$H$5:$H$2004,"&lt;&gt;Cancelled"))</f>
        <v/>
      </c>
      <c r="AF569" s="81">
        <f>IF(OR($B569="",$A569=""),"",$B569&amp;" | "&amp;$A569)</f>
        <v/>
      </c>
    </row>
    <row r="570" ht="15" customHeight="1" s="40">
      <c r="A570" s="65">
        <f>IF(COUNTA(B570:F570)=0,"","TSK-"&amp;TEXT(ROW()-4,"0000"))</f>
        <v/>
      </c>
      <c r="B570" s="78" t="n"/>
      <c r="C570" s="78" t="n"/>
      <c r="D570" s="81" t="n"/>
      <c r="E570" s="81" t="n"/>
      <c r="F570" s="78" t="n"/>
      <c r="G570" s="67">
        <f>IF($F570="","",IFERROR(INDEX(Employee_Master!$C$5:$C$204,MATCH($F570,Employee_Master!$B$5:$B$204,0)),""))</f>
        <v/>
      </c>
      <c r="H570" s="78" t="n"/>
      <c r="I570" s="78" t="n"/>
      <c r="J570" s="67">
        <f>IF($I570="","",IFERROR(INDEX(Action_Status_Map!$B$5:$B$11,MATCH($I570,Action_Status_Map!$A$5:$A$11,0)),""))</f>
        <v/>
      </c>
      <c r="K570" s="82" t="n"/>
      <c r="L570" s="82" t="n"/>
      <c r="M570" s="82" t="n"/>
      <c r="N570" s="83" t="n"/>
      <c r="O570" s="83" t="n"/>
      <c r="P570" s="66">
        <f>IF(OR($N570="",$O570=""),"",$O570-$N570)</f>
        <v/>
      </c>
      <c r="Q570" s="84">
        <f>IF($K570="","",IF($M570&lt;&gt;"",$M570-$K570,TODAY()-$K570))</f>
        <v/>
      </c>
      <c r="R570" s="85">
        <f>IF(OR($L570="",$I570="Completed",$I570="Cancelled"),"",IF(AND($L570&lt;TODAY(),$I570&lt;&gt;"Completed",$I570&lt;&gt;"Cancelled"),"Overdue","On Track"))</f>
        <v/>
      </c>
      <c r="S570" s="65">
        <f>IF($L570="","",TEXT($L570,"yyyy-mm"))</f>
        <v/>
      </c>
      <c r="T570" s="86">
        <f>IF($I570="","",IFERROR(INDEX(Action_Status_Map!$C$5:$C$11,MATCH($I570,Action_Status_Map!$A$5:$A$11,0)),""))</f>
        <v/>
      </c>
      <c r="U570" s="81" t="n"/>
      <c r="V570" s="82" t="n"/>
      <c r="W570" s="65">
        <f>IF(OR($I570&lt;&gt;"Completed",$M570="",$L570=""),"",IF($M570&lt;=$L570,"Yes","No"))</f>
        <v/>
      </c>
      <c r="X570" s="84">
        <f>IF($A570="","",COUNTIF(Task_Steps!$B$5:$B$2004,$A570))</f>
        <v/>
      </c>
      <c r="Y570" s="86">
        <f>IF($X570=0,"",COUNTIFS(Task_Steps!$B$5:$B$2004,$A570,Task_Steps!$H$5:$H$2004,"Completed")/$X570)</f>
        <v/>
      </c>
      <c r="Z570" s="81" t="n"/>
      <c r="AA570" s="81" t="n"/>
      <c r="AB570" s="67">
        <f>IF($F570="","",IFERROR(INDEX(Employee_Master!$E$5:$E$204,MATCH($F570,Employee_Master!$B$5:$B$204,0)),""))</f>
        <v/>
      </c>
      <c r="AC570" s="65">
        <f>IF(OR($A570="",$AB570=""),"",IF(OR($I570="Completed",$I570="Cancelled"),"Closed - in Manager Report","Active - in Manager Report"))</f>
        <v/>
      </c>
      <c r="AD570" s="81">
        <f>IF($A570="","",IFERROR(TEXTJOIN(", ",TRUE,FILTER(Task_Steps!$A$5:$A$2004,Task_Steps!$B$5:$B$2004=$A570)),""))</f>
        <v/>
      </c>
      <c r="AE570" s="84">
        <f>IF($A570="","",COUNTIFS(Task_Steps!$B$5:$B$2004,$A570,Task_Steps!$H$5:$H$2004,"&lt;&gt;Completed",Task_Steps!$H$5:$H$2004,"&lt;&gt;Cancelled"))</f>
        <v/>
      </c>
      <c r="AF570" s="81">
        <f>IF(OR($B570="",$A570=""),"",$B570&amp;" | "&amp;$A570)</f>
        <v/>
      </c>
    </row>
    <row r="571" ht="15" customHeight="1" s="40">
      <c r="A571" s="65">
        <f>IF(COUNTA(B571:F571)=0,"","TSK-"&amp;TEXT(ROW()-4,"0000"))</f>
        <v/>
      </c>
      <c r="B571" s="78" t="n"/>
      <c r="C571" s="78" t="n"/>
      <c r="D571" s="81" t="n"/>
      <c r="E571" s="81" t="n"/>
      <c r="F571" s="78" t="n"/>
      <c r="G571" s="67">
        <f>IF($F571="","",IFERROR(INDEX(Employee_Master!$C$5:$C$204,MATCH($F571,Employee_Master!$B$5:$B$204,0)),""))</f>
        <v/>
      </c>
      <c r="H571" s="78" t="n"/>
      <c r="I571" s="78" t="n"/>
      <c r="J571" s="67">
        <f>IF($I571="","",IFERROR(INDEX(Action_Status_Map!$B$5:$B$11,MATCH($I571,Action_Status_Map!$A$5:$A$11,0)),""))</f>
        <v/>
      </c>
      <c r="K571" s="82" t="n"/>
      <c r="L571" s="82" t="n"/>
      <c r="M571" s="82" t="n"/>
      <c r="N571" s="83" t="n"/>
      <c r="O571" s="83" t="n"/>
      <c r="P571" s="66">
        <f>IF(OR($N571="",$O571=""),"",$O571-$N571)</f>
        <v/>
      </c>
      <c r="Q571" s="84">
        <f>IF($K571="","",IF($M571&lt;&gt;"",$M571-$K571,TODAY()-$K571))</f>
        <v/>
      </c>
      <c r="R571" s="85">
        <f>IF(OR($L571="",$I571="Completed",$I571="Cancelled"),"",IF(AND($L571&lt;TODAY(),$I571&lt;&gt;"Completed",$I571&lt;&gt;"Cancelled"),"Overdue","On Track"))</f>
        <v/>
      </c>
      <c r="S571" s="65">
        <f>IF($L571="","",TEXT($L571,"yyyy-mm"))</f>
        <v/>
      </c>
      <c r="T571" s="86">
        <f>IF($I571="","",IFERROR(INDEX(Action_Status_Map!$C$5:$C$11,MATCH($I571,Action_Status_Map!$A$5:$A$11,0)),""))</f>
        <v/>
      </c>
      <c r="U571" s="81" t="n"/>
      <c r="V571" s="82" t="n"/>
      <c r="W571" s="65">
        <f>IF(OR($I571&lt;&gt;"Completed",$M571="",$L571=""),"",IF($M571&lt;=$L571,"Yes","No"))</f>
        <v/>
      </c>
      <c r="X571" s="84">
        <f>IF($A571="","",COUNTIF(Task_Steps!$B$5:$B$2004,$A571))</f>
        <v/>
      </c>
      <c r="Y571" s="86">
        <f>IF($X571=0,"",COUNTIFS(Task_Steps!$B$5:$B$2004,$A571,Task_Steps!$H$5:$H$2004,"Completed")/$X571)</f>
        <v/>
      </c>
      <c r="Z571" s="81" t="n"/>
      <c r="AA571" s="81" t="n"/>
      <c r="AB571" s="67">
        <f>IF($F571="","",IFERROR(INDEX(Employee_Master!$E$5:$E$204,MATCH($F571,Employee_Master!$B$5:$B$204,0)),""))</f>
        <v/>
      </c>
      <c r="AC571" s="65">
        <f>IF(OR($A571="",$AB571=""),"",IF(OR($I571="Completed",$I571="Cancelled"),"Closed - in Manager Report","Active - in Manager Report"))</f>
        <v/>
      </c>
      <c r="AD571" s="81">
        <f>IF($A571="","",IFERROR(TEXTJOIN(", ",TRUE,FILTER(Task_Steps!$A$5:$A$2004,Task_Steps!$B$5:$B$2004=$A571)),""))</f>
        <v/>
      </c>
      <c r="AE571" s="84">
        <f>IF($A571="","",COUNTIFS(Task_Steps!$B$5:$B$2004,$A571,Task_Steps!$H$5:$H$2004,"&lt;&gt;Completed",Task_Steps!$H$5:$H$2004,"&lt;&gt;Cancelled"))</f>
        <v/>
      </c>
      <c r="AF571" s="81">
        <f>IF(OR($B571="",$A571=""),"",$B571&amp;" | "&amp;$A571)</f>
        <v/>
      </c>
    </row>
    <row r="572" ht="15" customHeight="1" s="40">
      <c r="A572" s="65">
        <f>IF(COUNTA(B572:F572)=0,"","TSK-"&amp;TEXT(ROW()-4,"0000"))</f>
        <v/>
      </c>
      <c r="B572" s="78" t="n"/>
      <c r="C572" s="78" t="n"/>
      <c r="D572" s="81" t="n"/>
      <c r="E572" s="81" t="n"/>
      <c r="F572" s="78" t="n"/>
      <c r="G572" s="67">
        <f>IF($F572="","",IFERROR(INDEX(Employee_Master!$C$5:$C$204,MATCH($F572,Employee_Master!$B$5:$B$204,0)),""))</f>
        <v/>
      </c>
      <c r="H572" s="78" t="n"/>
      <c r="I572" s="78" t="n"/>
      <c r="J572" s="67">
        <f>IF($I572="","",IFERROR(INDEX(Action_Status_Map!$B$5:$B$11,MATCH($I572,Action_Status_Map!$A$5:$A$11,0)),""))</f>
        <v/>
      </c>
      <c r="K572" s="82" t="n"/>
      <c r="L572" s="82" t="n"/>
      <c r="M572" s="82" t="n"/>
      <c r="N572" s="83" t="n"/>
      <c r="O572" s="83" t="n"/>
      <c r="P572" s="66">
        <f>IF(OR($N572="",$O572=""),"",$O572-$N572)</f>
        <v/>
      </c>
      <c r="Q572" s="84">
        <f>IF($K572="","",IF($M572&lt;&gt;"",$M572-$K572,TODAY()-$K572))</f>
        <v/>
      </c>
      <c r="R572" s="85">
        <f>IF(OR($L572="",$I572="Completed",$I572="Cancelled"),"",IF(AND($L572&lt;TODAY(),$I572&lt;&gt;"Completed",$I572&lt;&gt;"Cancelled"),"Overdue","On Track"))</f>
        <v/>
      </c>
      <c r="S572" s="65">
        <f>IF($L572="","",TEXT($L572,"yyyy-mm"))</f>
        <v/>
      </c>
      <c r="T572" s="86">
        <f>IF($I572="","",IFERROR(INDEX(Action_Status_Map!$C$5:$C$11,MATCH($I572,Action_Status_Map!$A$5:$A$11,0)),""))</f>
        <v/>
      </c>
      <c r="U572" s="81" t="n"/>
      <c r="V572" s="82" t="n"/>
      <c r="W572" s="65">
        <f>IF(OR($I572&lt;&gt;"Completed",$M572="",$L572=""),"",IF($M572&lt;=$L572,"Yes","No"))</f>
        <v/>
      </c>
      <c r="X572" s="84">
        <f>IF($A572="","",COUNTIF(Task_Steps!$B$5:$B$2004,$A572))</f>
        <v/>
      </c>
      <c r="Y572" s="86">
        <f>IF($X572=0,"",COUNTIFS(Task_Steps!$B$5:$B$2004,$A572,Task_Steps!$H$5:$H$2004,"Completed")/$X572)</f>
        <v/>
      </c>
      <c r="Z572" s="81" t="n"/>
      <c r="AA572" s="81" t="n"/>
      <c r="AB572" s="67">
        <f>IF($F572="","",IFERROR(INDEX(Employee_Master!$E$5:$E$204,MATCH($F572,Employee_Master!$B$5:$B$204,0)),""))</f>
        <v/>
      </c>
      <c r="AC572" s="65">
        <f>IF(OR($A572="",$AB572=""),"",IF(OR($I572="Completed",$I572="Cancelled"),"Closed - in Manager Report","Active - in Manager Report"))</f>
        <v/>
      </c>
      <c r="AD572" s="81">
        <f>IF($A572="","",IFERROR(TEXTJOIN(", ",TRUE,FILTER(Task_Steps!$A$5:$A$2004,Task_Steps!$B$5:$B$2004=$A572)),""))</f>
        <v/>
      </c>
      <c r="AE572" s="84">
        <f>IF($A572="","",COUNTIFS(Task_Steps!$B$5:$B$2004,$A572,Task_Steps!$H$5:$H$2004,"&lt;&gt;Completed",Task_Steps!$H$5:$H$2004,"&lt;&gt;Cancelled"))</f>
        <v/>
      </c>
      <c r="AF572" s="81">
        <f>IF(OR($B572="",$A572=""),"",$B572&amp;" | "&amp;$A572)</f>
        <v/>
      </c>
    </row>
    <row r="573" ht="15" customHeight="1" s="40">
      <c r="A573" s="65">
        <f>IF(COUNTA(B573:F573)=0,"","TSK-"&amp;TEXT(ROW()-4,"0000"))</f>
        <v/>
      </c>
      <c r="B573" s="78" t="n"/>
      <c r="C573" s="78" t="n"/>
      <c r="D573" s="81" t="n"/>
      <c r="E573" s="81" t="n"/>
      <c r="F573" s="78" t="n"/>
      <c r="G573" s="67">
        <f>IF($F573="","",IFERROR(INDEX(Employee_Master!$C$5:$C$204,MATCH($F573,Employee_Master!$B$5:$B$204,0)),""))</f>
        <v/>
      </c>
      <c r="H573" s="78" t="n"/>
      <c r="I573" s="78" t="n"/>
      <c r="J573" s="67">
        <f>IF($I573="","",IFERROR(INDEX(Action_Status_Map!$B$5:$B$11,MATCH($I573,Action_Status_Map!$A$5:$A$11,0)),""))</f>
        <v/>
      </c>
      <c r="K573" s="82" t="n"/>
      <c r="L573" s="82" t="n"/>
      <c r="M573" s="82" t="n"/>
      <c r="N573" s="83" t="n"/>
      <c r="O573" s="83" t="n"/>
      <c r="P573" s="66">
        <f>IF(OR($N573="",$O573=""),"",$O573-$N573)</f>
        <v/>
      </c>
      <c r="Q573" s="84">
        <f>IF($K573="","",IF($M573&lt;&gt;"",$M573-$K573,TODAY()-$K573))</f>
        <v/>
      </c>
      <c r="R573" s="85">
        <f>IF(OR($L573="",$I573="Completed",$I573="Cancelled"),"",IF(AND($L573&lt;TODAY(),$I573&lt;&gt;"Completed",$I573&lt;&gt;"Cancelled"),"Overdue","On Track"))</f>
        <v/>
      </c>
      <c r="S573" s="65">
        <f>IF($L573="","",TEXT($L573,"yyyy-mm"))</f>
        <v/>
      </c>
      <c r="T573" s="86">
        <f>IF($I573="","",IFERROR(INDEX(Action_Status_Map!$C$5:$C$11,MATCH($I573,Action_Status_Map!$A$5:$A$11,0)),""))</f>
        <v/>
      </c>
      <c r="U573" s="81" t="n"/>
      <c r="V573" s="82" t="n"/>
      <c r="W573" s="65">
        <f>IF(OR($I573&lt;&gt;"Completed",$M573="",$L573=""),"",IF($M573&lt;=$L573,"Yes","No"))</f>
        <v/>
      </c>
      <c r="X573" s="84">
        <f>IF($A573="","",COUNTIF(Task_Steps!$B$5:$B$2004,$A573))</f>
        <v/>
      </c>
      <c r="Y573" s="86">
        <f>IF($X573=0,"",COUNTIFS(Task_Steps!$B$5:$B$2004,$A573,Task_Steps!$H$5:$H$2004,"Completed")/$X573)</f>
        <v/>
      </c>
      <c r="Z573" s="81" t="n"/>
      <c r="AA573" s="81" t="n"/>
      <c r="AB573" s="67">
        <f>IF($F573="","",IFERROR(INDEX(Employee_Master!$E$5:$E$204,MATCH($F573,Employee_Master!$B$5:$B$204,0)),""))</f>
        <v/>
      </c>
      <c r="AC573" s="65">
        <f>IF(OR($A573="",$AB573=""),"",IF(OR($I573="Completed",$I573="Cancelled"),"Closed - in Manager Report","Active - in Manager Report"))</f>
        <v/>
      </c>
      <c r="AD573" s="81">
        <f>IF($A573="","",IFERROR(TEXTJOIN(", ",TRUE,FILTER(Task_Steps!$A$5:$A$2004,Task_Steps!$B$5:$B$2004=$A573)),""))</f>
        <v/>
      </c>
      <c r="AE573" s="84">
        <f>IF($A573="","",COUNTIFS(Task_Steps!$B$5:$B$2004,$A573,Task_Steps!$H$5:$H$2004,"&lt;&gt;Completed",Task_Steps!$H$5:$H$2004,"&lt;&gt;Cancelled"))</f>
        <v/>
      </c>
      <c r="AF573" s="81">
        <f>IF(OR($B573="",$A573=""),"",$B573&amp;" | "&amp;$A573)</f>
        <v/>
      </c>
    </row>
    <row r="574" ht="15" customHeight="1" s="40">
      <c r="A574" s="65">
        <f>IF(COUNTA(B574:F574)=0,"","TSK-"&amp;TEXT(ROW()-4,"0000"))</f>
        <v/>
      </c>
      <c r="B574" s="78" t="n"/>
      <c r="C574" s="78" t="n"/>
      <c r="D574" s="81" t="n"/>
      <c r="E574" s="81" t="n"/>
      <c r="F574" s="78" t="n"/>
      <c r="G574" s="67">
        <f>IF($F574="","",IFERROR(INDEX(Employee_Master!$C$5:$C$204,MATCH($F574,Employee_Master!$B$5:$B$204,0)),""))</f>
        <v/>
      </c>
      <c r="H574" s="78" t="n"/>
      <c r="I574" s="78" t="n"/>
      <c r="J574" s="67">
        <f>IF($I574="","",IFERROR(INDEX(Action_Status_Map!$B$5:$B$11,MATCH($I574,Action_Status_Map!$A$5:$A$11,0)),""))</f>
        <v/>
      </c>
      <c r="K574" s="82" t="n"/>
      <c r="L574" s="82" t="n"/>
      <c r="M574" s="82" t="n"/>
      <c r="N574" s="83" t="n"/>
      <c r="O574" s="83" t="n"/>
      <c r="P574" s="66">
        <f>IF(OR($N574="",$O574=""),"",$O574-$N574)</f>
        <v/>
      </c>
      <c r="Q574" s="84">
        <f>IF($K574="","",IF($M574&lt;&gt;"",$M574-$K574,TODAY()-$K574))</f>
        <v/>
      </c>
      <c r="R574" s="85">
        <f>IF(OR($L574="",$I574="Completed",$I574="Cancelled"),"",IF(AND($L574&lt;TODAY(),$I574&lt;&gt;"Completed",$I574&lt;&gt;"Cancelled"),"Overdue","On Track"))</f>
        <v/>
      </c>
      <c r="S574" s="65">
        <f>IF($L574="","",TEXT($L574,"yyyy-mm"))</f>
        <v/>
      </c>
      <c r="T574" s="86">
        <f>IF($I574="","",IFERROR(INDEX(Action_Status_Map!$C$5:$C$11,MATCH($I574,Action_Status_Map!$A$5:$A$11,0)),""))</f>
        <v/>
      </c>
      <c r="U574" s="81" t="n"/>
      <c r="V574" s="82" t="n"/>
      <c r="W574" s="65">
        <f>IF(OR($I574&lt;&gt;"Completed",$M574="",$L574=""),"",IF($M574&lt;=$L574,"Yes","No"))</f>
        <v/>
      </c>
      <c r="X574" s="84">
        <f>IF($A574="","",COUNTIF(Task_Steps!$B$5:$B$2004,$A574))</f>
        <v/>
      </c>
      <c r="Y574" s="86">
        <f>IF($X574=0,"",COUNTIFS(Task_Steps!$B$5:$B$2004,$A574,Task_Steps!$H$5:$H$2004,"Completed")/$X574)</f>
        <v/>
      </c>
      <c r="Z574" s="81" t="n"/>
      <c r="AA574" s="81" t="n"/>
      <c r="AB574" s="67">
        <f>IF($F574="","",IFERROR(INDEX(Employee_Master!$E$5:$E$204,MATCH($F574,Employee_Master!$B$5:$B$204,0)),""))</f>
        <v/>
      </c>
      <c r="AC574" s="65">
        <f>IF(OR($A574="",$AB574=""),"",IF(OR($I574="Completed",$I574="Cancelled"),"Closed - in Manager Report","Active - in Manager Report"))</f>
        <v/>
      </c>
      <c r="AD574" s="81">
        <f>IF($A574="","",IFERROR(TEXTJOIN(", ",TRUE,FILTER(Task_Steps!$A$5:$A$2004,Task_Steps!$B$5:$B$2004=$A574)),""))</f>
        <v/>
      </c>
      <c r="AE574" s="84">
        <f>IF($A574="","",COUNTIFS(Task_Steps!$B$5:$B$2004,$A574,Task_Steps!$H$5:$H$2004,"&lt;&gt;Completed",Task_Steps!$H$5:$H$2004,"&lt;&gt;Cancelled"))</f>
        <v/>
      </c>
      <c r="AF574" s="81">
        <f>IF(OR($B574="",$A574=""),"",$B574&amp;" | "&amp;$A574)</f>
        <v/>
      </c>
    </row>
    <row r="575" ht="15" customHeight="1" s="40">
      <c r="A575" s="65">
        <f>IF(COUNTA(B575:F575)=0,"","TSK-"&amp;TEXT(ROW()-4,"0000"))</f>
        <v/>
      </c>
      <c r="B575" s="78" t="n"/>
      <c r="C575" s="78" t="n"/>
      <c r="D575" s="81" t="n"/>
      <c r="E575" s="81" t="n"/>
      <c r="F575" s="78" t="n"/>
      <c r="G575" s="67">
        <f>IF($F575="","",IFERROR(INDEX(Employee_Master!$C$5:$C$204,MATCH($F575,Employee_Master!$B$5:$B$204,0)),""))</f>
        <v/>
      </c>
      <c r="H575" s="78" t="n"/>
      <c r="I575" s="78" t="n"/>
      <c r="J575" s="67">
        <f>IF($I575="","",IFERROR(INDEX(Action_Status_Map!$B$5:$B$11,MATCH($I575,Action_Status_Map!$A$5:$A$11,0)),""))</f>
        <v/>
      </c>
      <c r="K575" s="82" t="n"/>
      <c r="L575" s="82" t="n"/>
      <c r="M575" s="82" t="n"/>
      <c r="N575" s="83" t="n"/>
      <c r="O575" s="83" t="n"/>
      <c r="P575" s="66">
        <f>IF(OR($N575="",$O575=""),"",$O575-$N575)</f>
        <v/>
      </c>
      <c r="Q575" s="84">
        <f>IF($K575="","",IF($M575&lt;&gt;"",$M575-$K575,TODAY()-$K575))</f>
        <v/>
      </c>
      <c r="R575" s="85">
        <f>IF(OR($L575="",$I575="Completed",$I575="Cancelled"),"",IF(AND($L575&lt;TODAY(),$I575&lt;&gt;"Completed",$I575&lt;&gt;"Cancelled"),"Overdue","On Track"))</f>
        <v/>
      </c>
      <c r="S575" s="65">
        <f>IF($L575="","",TEXT($L575,"yyyy-mm"))</f>
        <v/>
      </c>
      <c r="T575" s="86">
        <f>IF($I575="","",IFERROR(INDEX(Action_Status_Map!$C$5:$C$11,MATCH($I575,Action_Status_Map!$A$5:$A$11,0)),""))</f>
        <v/>
      </c>
      <c r="U575" s="81" t="n"/>
      <c r="V575" s="82" t="n"/>
      <c r="W575" s="65">
        <f>IF(OR($I575&lt;&gt;"Completed",$M575="",$L575=""),"",IF($M575&lt;=$L575,"Yes","No"))</f>
        <v/>
      </c>
      <c r="X575" s="84">
        <f>IF($A575="","",COUNTIF(Task_Steps!$B$5:$B$2004,$A575))</f>
        <v/>
      </c>
      <c r="Y575" s="86">
        <f>IF($X575=0,"",COUNTIFS(Task_Steps!$B$5:$B$2004,$A575,Task_Steps!$H$5:$H$2004,"Completed")/$X575)</f>
        <v/>
      </c>
      <c r="Z575" s="81" t="n"/>
      <c r="AA575" s="81" t="n"/>
      <c r="AB575" s="67">
        <f>IF($F575="","",IFERROR(INDEX(Employee_Master!$E$5:$E$204,MATCH($F575,Employee_Master!$B$5:$B$204,0)),""))</f>
        <v/>
      </c>
      <c r="AC575" s="65">
        <f>IF(OR($A575="",$AB575=""),"",IF(OR($I575="Completed",$I575="Cancelled"),"Closed - in Manager Report","Active - in Manager Report"))</f>
        <v/>
      </c>
      <c r="AD575" s="81">
        <f>IF($A575="","",IFERROR(TEXTJOIN(", ",TRUE,FILTER(Task_Steps!$A$5:$A$2004,Task_Steps!$B$5:$B$2004=$A575)),""))</f>
        <v/>
      </c>
      <c r="AE575" s="84">
        <f>IF($A575="","",COUNTIFS(Task_Steps!$B$5:$B$2004,$A575,Task_Steps!$H$5:$H$2004,"&lt;&gt;Completed",Task_Steps!$H$5:$H$2004,"&lt;&gt;Cancelled"))</f>
        <v/>
      </c>
      <c r="AF575" s="81">
        <f>IF(OR($B575="",$A575=""),"",$B575&amp;" | "&amp;$A575)</f>
        <v/>
      </c>
    </row>
    <row r="576" ht="15" customHeight="1" s="40">
      <c r="A576" s="65">
        <f>IF(COUNTA(B576:F576)=0,"","TSK-"&amp;TEXT(ROW()-4,"0000"))</f>
        <v/>
      </c>
      <c r="B576" s="78" t="n"/>
      <c r="C576" s="78" t="n"/>
      <c r="D576" s="81" t="n"/>
      <c r="E576" s="81" t="n"/>
      <c r="F576" s="78" t="n"/>
      <c r="G576" s="67">
        <f>IF($F576="","",IFERROR(INDEX(Employee_Master!$C$5:$C$204,MATCH($F576,Employee_Master!$B$5:$B$204,0)),""))</f>
        <v/>
      </c>
      <c r="H576" s="78" t="n"/>
      <c r="I576" s="78" t="n"/>
      <c r="J576" s="67">
        <f>IF($I576="","",IFERROR(INDEX(Action_Status_Map!$B$5:$B$11,MATCH($I576,Action_Status_Map!$A$5:$A$11,0)),""))</f>
        <v/>
      </c>
      <c r="K576" s="82" t="n"/>
      <c r="L576" s="82" t="n"/>
      <c r="M576" s="82" t="n"/>
      <c r="N576" s="83" t="n"/>
      <c r="O576" s="83" t="n"/>
      <c r="P576" s="66">
        <f>IF(OR($N576="",$O576=""),"",$O576-$N576)</f>
        <v/>
      </c>
      <c r="Q576" s="84">
        <f>IF($K576="","",IF($M576&lt;&gt;"",$M576-$K576,TODAY()-$K576))</f>
        <v/>
      </c>
      <c r="R576" s="85">
        <f>IF(OR($L576="",$I576="Completed",$I576="Cancelled"),"",IF(AND($L576&lt;TODAY(),$I576&lt;&gt;"Completed",$I576&lt;&gt;"Cancelled"),"Overdue","On Track"))</f>
        <v/>
      </c>
      <c r="S576" s="65">
        <f>IF($L576="","",TEXT($L576,"yyyy-mm"))</f>
        <v/>
      </c>
      <c r="T576" s="86">
        <f>IF($I576="","",IFERROR(INDEX(Action_Status_Map!$C$5:$C$11,MATCH($I576,Action_Status_Map!$A$5:$A$11,0)),""))</f>
        <v/>
      </c>
      <c r="U576" s="81" t="n"/>
      <c r="V576" s="82" t="n"/>
      <c r="W576" s="65">
        <f>IF(OR($I576&lt;&gt;"Completed",$M576="",$L576=""),"",IF($M576&lt;=$L576,"Yes","No"))</f>
        <v/>
      </c>
      <c r="X576" s="84">
        <f>IF($A576="","",COUNTIF(Task_Steps!$B$5:$B$2004,$A576))</f>
        <v/>
      </c>
      <c r="Y576" s="86">
        <f>IF($X576=0,"",COUNTIFS(Task_Steps!$B$5:$B$2004,$A576,Task_Steps!$H$5:$H$2004,"Completed")/$X576)</f>
        <v/>
      </c>
      <c r="Z576" s="81" t="n"/>
      <c r="AA576" s="81" t="n"/>
      <c r="AB576" s="67">
        <f>IF($F576="","",IFERROR(INDEX(Employee_Master!$E$5:$E$204,MATCH($F576,Employee_Master!$B$5:$B$204,0)),""))</f>
        <v/>
      </c>
      <c r="AC576" s="65">
        <f>IF(OR($A576="",$AB576=""),"",IF(OR($I576="Completed",$I576="Cancelled"),"Closed - in Manager Report","Active - in Manager Report"))</f>
        <v/>
      </c>
      <c r="AD576" s="81">
        <f>IF($A576="","",IFERROR(TEXTJOIN(", ",TRUE,FILTER(Task_Steps!$A$5:$A$2004,Task_Steps!$B$5:$B$2004=$A576)),""))</f>
        <v/>
      </c>
      <c r="AE576" s="84">
        <f>IF($A576="","",COUNTIFS(Task_Steps!$B$5:$B$2004,$A576,Task_Steps!$H$5:$H$2004,"&lt;&gt;Completed",Task_Steps!$H$5:$H$2004,"&lt;&gt;Cancelled"))</f>
        <v/>
      </c>
      <c r="AF576" s="81">
        <f>IF(OR($B576="",$A576=""),"",$B576&amp;" | "&amp;$A576)</f>
        <v/>
      </c>
    </row>
    <row r="577" ht="15" customHeight="1" s="40">
      <c r="A577" s="65">
        <f>IF(COUNTA(B577:F577)=0,"","TSK-"&amp;TEXT(ROW()-4,"0000"))</f>
        <v/>
      </c>
      <c r="B577" s="78" t="n"/>
      <c r="C577" s="78" t="n"/>
      <c r="D577" s="81" t="n"/>
      <c r="E577" s="81" t="n"/>
      <c r="F577" s="78" t="n"/>
      <c r="G577" s="67">
        <f>IF($F577="","",IFERROR(INDEX(Employee_Master!$C$5:$C$204,MATCH($F577,Employee_Master!$B$5:$B$204,0)),""))</f>
        <v/>
      </c>
      <c r="H577" s="78" t="n"/>
      <c r="I577" s="78" t="n"/>
      <c r="J577" s="67">
        <f>IF($I577="","",IFERROR(INDEX(Action_Status_Map!$B$5:$B$11,MATCH($I577,Action_Status_Map!$A$5:$A$11,0)),""))</f>
        <v/>
      </c>
      <c r="K577" s="82" t="n"/>
      <c r="L577" s="82" t="n"/>
      <c r="M577" s="82" t="n"/>
      <c r="N577" s="83" t="n"/>
      <c r="O577" s="83" t="n"/>
      <c r="P577" s="66">
        <f>IF(OR($N577="",$O577=""),"",$O577-$N577)</f>
        <v/>
      </c>
      <c r="Q577" s="84">
        <f>IF($K577="","",IF($M577&lt;&gt;"",$M577-$K577,TODAY()-$K577))</f>
        <v/>
      </c>
      <c r="R577" s="85">
        <f>IF(OR($L577="",$I577="Completed",$I577="Cancelled"),"",IF(AND($L577&lt;TODAY(),$I577&lt;&gt;"Completed",$I577&lt;&gt;"Cancelled"),"Overdue","On Track"))</f>
        <v/>
      </c>
      <c r="S577" s="65">
        <f>IF($L577="","",TEXT($L577,"yyyy-mm"))</f>
        <v/>
      </c>
      <c r="T577" s="86">
        <f>IF($I577="","",IFERROR(INDEX(Action_Status_Map!$C$5:$C$11,MATCH($I577,Action_Status_Map!$A$5:$A$11,0)),""))</f>
        <v/>
      </c>
      <c r="U577" s="81" t="n"/>
      <c r="V577" s="82" t="n"/>
      <c r="W577" s="65">
        <f>IF(OR($I577&lt;&gt;"Completed",$M577="",$L577=""),"",IF($M577&lt;=$L577,"Yes","No"))</f>
        <v/>
      </c>
      <c r="X577" s="84">
        <f>IF($A577="","",COUNTIF(Task_Steps!$B$5:$B$2004,$A577))</f>
        <v/>
      </c>
      <c r="Y577" s="86">
        <f>IF($X577=0,"",COUNTIFS(Task_Steps!$B$5:$B$2004,$A577,Task_Steps!$H$5:$H$2004,"Completed")/$X577)</f>
        <v/>
      </c>
      <c r="Z577" s="81" t="n"/>
      <c r="AA577" s="81" t="n"/>
      <c r="AB577" s="67">
        <f>IF($F577="","",IFERROR(INDEX(Employee_Master!$E$5:$E$204,MATCH($F577,Employee_Master!$B$5:$B$204,0)),""))</f>
        <v/>
      </c>
      <c r="AC577" s="65">
        <f>IF(OR($A577="",$AB577=""),"",IF(OR($I577="Completed",$I577="Cancelled"),"Closed - in Manager Report","Active - in Manager Report"))</f>
        <v/>
      </c>
      <c r="AD577" s="81">
        <f>IF($A577="","",IFERROR(TEXTJOIN(", ",TRUE,FILTER(Task_Steps!$A$5:$A$2004,Task_Steps!$B$5:$B$2004=$A577)),""))</f>
        <v/>
      </c>
      <c r="AE577" s="84">
        <f>IF($A577="","",COUNTIFS(Task_Steps!$B$5:$B$2004,$A577,Task_Steps!$H$5:$H$2004,"&lt;&gt;Completed",Task_Steps!$H$5:$H$2004,"&lt;&gt;Cancelled"))</f>
        <v/>
      </c>
      <c r="AF577" s="81">
        <f>IF(OR($B577="",$A577=""),"",$B577&amp;" | "&amp;$A577)</f>
        <v/>
      </c>
    </row>
    <row r="578" ht="15" customHeight="1" s="40">
      <c r="A578" s="65">
        <f>IF(COUNTA(B578:F578)=0,"","TSK-"&amp;TEXT(ROW()-4,"0000"))</f>
        <v/>
      </c>
      <c r="B578" s="78" t="n"/>
      <c r="C578" s="78" t="n"/>
      <c r="D578" s="81" t="n"/>
      <c r="E578" s="81" t="n"/>
      <c r="F578" s="78" t="n"/>
      <c r="G578" s="67">
        <f>IF($F578="","",IFERROR(INDEX(Employee_Master!$C$5:$C$204,MATCH($F578,Employee_Master!$B$5:$B$204,0)),""))</f>
        <v/>
      </c>
      <c r="H578" s="78" t="n"/>
      <c r="I578" s="78" t="n"/>
      <c r="J578" s="67">
        <f>IF($I578="","",IFERROR(INDEX(Action_Status_Map!$B$5:$B$11,MATCH($I578,Action_Status_Map!$A$5:$A$11,0)),""))</f>
        <v/>
      </c>
      <c r="K578" s="82" t="n"/>
      <c r="L578" s="82" t="n"/>
      <c r="M578" s="82" t="n"/>
      <c r="N578" s="83" t="n"/>
      <c r="O578" s="83" t="n"/>
      <c r="P578" s="66">
        <f>IF(OR($N578="",$O578=""),"",$O578-$N578)</f>
        <v/>
      </c>
      <c r="Q578" s="84">
        <f>IF($K578="","",IF($M578&lt;&gt;"",$M578-$K578,TODAY()-$K578))</f>
        <v/>
      </c>
      <c r="R578" s="85">
        <f>IF(OR($L578="",$I578="Completed",$I578="Cancelled"),"",IF(AND($L578&lt;TODAY(),$I578&lt;&gt;"Completed",$I578&lt;&gt;"Cancelled"),"Overdue","On Track"))</f>
        <v/>
      </c>
      <c r="S578" s="65">
        <f>IF($L578="","",TEXT($L578,"yyyy-mm"))</f>
        <v/>
      </c>
      <c r="T578" s="86">
        <f>IF($I578="","",IFERROR(INDEX(Action_Status_Map!$C$5:$C$11,MATCH($I578,Action_Status_Map!$A$5:$A$11,0)),""))</f>
        <v/>
      </c>
      <c r="U578" s="81" t="n"/>
      <c r="V578" s="82" t="n"/>
      <c r="W578" s="65">
        <f>IF(OR($I578&lt;&gt;"Completed",$M578="",$L578=""),"",IF($M578&lt;=$L578,"Yes","No"))</f>
        <v/>
      </c>
      <c r="X578" s="84">
        <f>IF($A578="","",COUNTIF(Task_Steps!$B$5:$B$2004,$A578))</f>
        <v/>
      </c>
      <c r="Y578" s="86">
        <f>IF($X578=0,"",COUNTIFS(Task_Steps!$B$5:$B$2004,$A578,Task_Steps!$H$5:$H$2004,"Completed")/$X578)</f>
        <v/>
      </c>
      <c r="Z578" s="81" t="n"/>
      <c r="AA578" s="81" t="n"/>
      <c r="AB578" s="67">
        <f>IF($F578="","",IFERROR(INDEX(Employee_Master!$E$5:$E$204,MATCH($F578,Employee_Master!$B$5:$B$204,0)),""))</f>
        <v/>
      </c>
      <c r="AC578" s="65">
        <f>IF(OR($A578="",$AB578=""),"",IF(OR($I578="Completed",$I578="Cancelled"),"Closed - in Manager Report","Active - in Manager Report"))</f>
        <v/>
      </c>
      <c r="AD578" s="81">
        <f>IF($A578="","",IFERROR(TEXTJOIN(", ",TRUE,FILTER(Task_Steps!$A$5:$A$2004,Task_Steps!$B$5:$B$2004=$A578)),""))</f>
        <v/>
      </c>
      <c r="AE578" s="84">
        <f>IF($A578="","",COUNTIFS(Task_Steps!$B$5:$B$2004,$A578,Task_Steps!$H$5:$H$2004,"&lt;&gt;Completed",Task_Steps!$H$5:$H$2004,"&lt;&gt;Cancelled"))</f>
        <v/>
      </c>
      <c r="AF578" s="81">
        <f>IF(OR($B578="",$A578=""),"",$B578&amp;" | "&amp;$A578)</f>
        <v/>
      </c>
    </row>
    <row r="579" ht="15" customHeight="1" s="40">
      <c r="A579" s="65">
        <f>IF(COUNTA(B579:F579)=0,"","TSK-"&amp;TEXT(ROW()-4,"0000"))</f>
        <v/>
      </c>
      <c r="B579" s="78" t="n"/>
      <c r="C579" s="78" t="n"/>
      <c r="D579" s="81" t="n"/>
      <c r="E579" s="81" t="n"/>
      <c r="F579" s="78" t="n"/>
      <c r="G579" s="67">
        <f>IF($F579="","",IFERROR(INDEX(Employee_Master!$C$5:$C$204,MATCH($F579,Employee_Master!$B$5:$B$204,0)),""))</f>
        <v/>
      </c>
      <c r="H579" s="78" t="n"/>
      <c r="I579" s="78" t="n"/>
      <c r="J579" s="67">
        <f>IF($I579="","",IFERROR(INDEX(Action_Status_Map!$B$5:$B$11,MATCH($I579,Action_Status_Map!$A$5:$A$11,0)),""))</f>
        <v/>
      </c>
      <c r="K579" s="82" t="n"/>
      <c r="L579" s="82" t="n"/>
      <c r="M579" s="82" t="n"/>
      <c r="N579" s="83" t="n"/>
      <c r="O579" s="83" t="n"/>
      <c r="P579" s="66">
        <f>IF(OR($N579="",$O579=""),"",$O579-$N579)</f>
        <v/>
      </c>
      <c r="Q579" s="84">
        <f>IF($K579="","",IF($M579&lt;&gt;"",$M579-$K579,TODAY()-$K579))</f>
        <v/>
      </c>
      <c r="R579" s="85">
        <f>IF(OR($L579="",$I579="Completed",$I579="Cancelled"),"",IF(AND($L579&lt;TODAY(),$I579&lt;&gt;"Completed",$I579&lt;&gt;"Cancelled"),"Overdue","On Track"))</f>
        <v/>
      </c>
      <c r="S579" s="65">
        <f>IF($L579="","",TEXT($L579,"yyyy-mm"))</f>
        <v/>
      </c>
      <c r="T579" s="86">
        <f>IF($I579="","",IFERROR(INDEX(Action_Status_Map!$C$5:$C$11,MATCH($I579,Action_Status_Map!$A$5:$A$11,0)),""))</f>
        <v/>
      </c>
      <c r="U579" s="81" t="n"/>
      <c r="V579" s="82" t="n"/>
      <c r="W579" s="65">
        <f>IF(OR($I579&lt;&gt;"Completed",$M579="",$L579=""),"",IF($M579&lt;=$L579,"Yes","No"))</f>
        <v/>
      </c>
      <c r="X579" s="84">
        <f>IF($A579="","",COUNTIF(Task_Steps!$B$5:$B$2004,$A579))</f>
        <v/>
      </c>
      <c r="Y579" s="86">
        <f>IF($X579=0,"",COUNTIFS(Task_Steps!$B$5:$B$2004,$A579,Task_Steps!$H$5:$H$2004,"Completed")/$X579)</f>
        <v/>
      </c>
      <c r="Z579" s="81" t="n"/>
      <c r="AA579" s="81" t="n"/>
      <c r="AB579" s="67">
        <f>IF($F579="","",IFERROR(INDEX(Employee_Master!$E$5:$E$204,MATCH($F579,Employee_Master!$B$5:$B$204,0)),""))</f>
        <v/>
      </c>
      <c r="AC579" s="65">
        <f>IF(OR($A579="",$AB579=""),"",IF(OR($I579="Completed",$I579="Cancelled"),"Closed - in Manager Report","Active - in Manager Report"))</f>
        <v/>
      </c>
      <c r="AD579" s="81">
        <f>IF($A579="","",IFERROR(TEXTJOIN(", ",TRUE,FILTER(Task_Steps!$A$5:$A$2004,Task_Steps!$B$5:$B$2004=$A579)),""))</f>
        <v/>
      </c>
      <c r="AE579" s="84">
        <f>IF($A579="","",COUNTIFS(Task_Steps!$B$5:$B$2004,$A579,Task_Steps!$H$5:$H$2004,"&lt;&gt;Completed",Task_Steps!$H$5:$H$2004,"&lt;&gt;Cancelled"))</f>
        <v/>
      </c>
      <c r="AF579" s="81">
        <f>IF(OR($B579="",$A579=""),"",$B579&amp;" | "&amp;$A579)</f>
        <v/>
      </c>
    </row>
    <row r="580" ht="15" customHeight="1" s="40">
      <c r="A580" s="65">
        <f>IF(COUNTA(B580:F580)=0,"","TSK-"&amp;TEXT(ROW()-4,"0000"))</f>
        <v/>
      </c>
      <c r="B580" s="78" t="n"/>
      <c r="C580" s="78" t="n"/>
      <c r="D580" s="81" t="n"/>
      <c r="E580" s="81" t="n"/>
      <c r="F580" s="78" t="n"/>
      <c r="G580" s="67">
        <f>IF($F580="","",IFERROR(INDEX(Employee_Master!$C$5:$C$204,MATCH($F580,Employee_Master!$B$5:$B$204,0)),""))</f>
        <v/>
      </c>
      <c r="H580" s="78" t="n"/>
      <c r="I580" s="78" t="n"/>
      <c r="J580" s="67">
        <f>IF($I580="","",IFERROR(INDEX(Action_Status_Map!$B$5:$B$11,MATCH($I580,Action_Status_Map!$A$5:$A$11,0)),""))</f>
        <v/>
      </c>
      <c r="K580" s="82" t="n"/>
      <c r="L580" s="82" t="n"/>
      <c r="M580" s="82" t="n"/>
      <c r="N580" s="83" t="n"/>
      <c r="O580" s="83" t="n"/>
      <c r="P580" s="66">
        <f>IF(OR($N580="",$O580=""),"",$O580-$N580)</f>
        <v/>
      </c>
      <c r="Q580" s="84">
        <f>IF($K580="","",IF($M580&lt;&gt;"",$M580-$K580,TODAY()-$K580))</f>
        <v/>
      </c>
      <c r="R580" s="85">
        <f>IF(OR($L580="",$I580="Completed",$I580="Cancelled"),"",IF(AND($L580&lt;TODAY(),$I580&lt;&gt;"Completed",$I580&lt;&gt;"Cancelled"),"Overdue","On Track"))</f>
        <v/>
      </c>
      <c r="S580" s="65">
        <f>IF($L580="","",TEXT($L580,"yyyy-mm"))</f>
        <v/>
      </c>
      <c r="T580" s="86">
        <f>IF($I580="","",IFERROR(INDEX(Action_Status_Map!$C$5:$C$11,MATCH($I580,Action_Status_Map!$A$5:$A$11,0)),""))</f>
        <v/>
      </c>
      <c r="U580" s="81" t="n"/>
      <c r="V580" s="82" t="n"/>
      <c r="W580" s="65">
        <f>IF(OR($I580&lt;&gt;"Completed",$M580="",$L580=""),"",IF($M580&lt;=$L580,"Yes","No"))</f>
        <v/>
      </c>
      <c r="X580" s="84">
        <f>IF($A580="","",COUNTIF(Task_Steps!$B$5:$B$2004,$A580))</f>
        <v/>
      </c>
      <c r="Y580" s="86">
        <f>IF($X580=0,"",COUNTIFS(Task_Steps!$B$5:$B$2004,$A580,Task_Steps!$H$5:$H$2004,"Completed")/$X580)</f>
        <v/>
      </c>
      <c r="Z580" s="81" t="n"/>
      <c r="AA580" s="81" t="n"/>
      <c r="AB580" s="67">
        <f>IF($F580="","",IFERROR(INDEX(Employee_Master!$E$5:$E$204,MATCH($F580,Employee_Master!$B$5:$B$204,0)),""))</f>
        <v/>
      </c>
      <c r="AC580" s="65">
        <f>IF(OR($A580="",$AB580=""),"",IF(OR($I580="Completed",$I580="Cancelled"),"Closed - in Manager Report","Active - in Manager Report"))</f>
        <v/>
      </c>
      <c r="AD580" s="81">
        <f>IF($A580="","",IFERROR(TEXTJOIN(", ",TRUE,FILTER(Task_Steps!$A$5:$A$2004,Task_Steps!$B$5:$B$2004=$A580)),""))</f>
        <v/>
      </c>
      <c r="AE580" s="84">
        <f>IF($A580="","",COUNTIFS(Task_Steps!$B$5:$B$2004,$A580,Task_Steps!$H$5:$H$2004,"&lt;&gt;Completed",Task_Steps!$H$5:$H$2004,"&lt;&gt;Cancelled"))</f>
        <v/>
      </c>
      <c r="AF580" s="81">
        <f>IF(OR($B580="",$A580=""),"",$B580&amp;" | "&amp;$A580)</f>
        <v/>
      </c>
    </row>
    <row r="581" ht="15" customHeight="1" s="40">
      <c r="A581" s="65">
        <f>IF(COUNTA(B581:F581)=0,"","TSK-"&amp;TEXT(ROW()-4,"0000"))</f>
        <v/>
      </c>
      <c r="B581" s="78" t="n"/>
      <c r="C581" s="78" t="n"/>
      <c r="D581" s="81" t="n"/>
      <c r="E581" s="81" t="n"/>
      <c r="F581" s="78" t="n"/>
      <c r="G581" s="67">
        <f>IF($F581="","",IFERROR(INDEX(Employee_Master!$C$5:$C$204,MATCH($F581,Employee_Master!$B$5:$B$204,0)),""))</f>
        <v/>
      </c>
      <c r="H581" s="78" t="n"/>
      <c r="I581" s="78" t="n"/>
      <c r="J581" s="67">
        <f>IF($I581="","",IFERROR(INDEX(Action_Status_Map!$B$5:$B$11,MATCH($I581,Action_Status_Map!$A$5:$A$11,0)),""))</f>
        <v/>
      </c>
      <c r="K581" s="82" t="n"/>
      <c r="L581" s="82" t="n"/>
      <c r="M581" s="82" t="n"/>
      <c r="N581" s="83" t="n"/>
      <c r="O581" s="83" t="n"/>
      <c r="P581" s="66">
        <f>IF(OR($N581="",$O581=""),"",$O581-$N581)</f>
        <v/>
      </c>
      <c r="Q581" s="84">
        <f>IF($K581="","",IF($M581&lt;&gt;"",$M581-$K581,TODAY()-$K581))</f>
        <v/>
      </c>
      <c r="R581" s="85">
        <f>IF(OR($L581="",$I581="Completed",$I581="Cancelled"),"",IF(AND($L581&lt;TODAY(),$I581&lt;&gt;"Completed",$I581&lt;&gt;"Cancelled"),"Overdue","On Track"))</f>
        <v/>
      </c>
      <c r="S581" s="65">
        <f>IF($L581="","",TEXT($L581,"yyyy-mm"))</f>
        <v/>
      </c>
      <c r="T581" s="86">
        <f>IF($I581="","",IFERROR(INDEX(Action_Status_Map!$C$5:$C$11,MATCH($I581,Action_Status_Map!$A$5:$A$11,0)),""))</f>
        <v/>
      </c>
      <c r="U581" s="81" t="n"/>
      <c r="V581" s="82" t="n"/>
      <c r="W581" s="65">
        <f>IF(OR($I581&lt;&gt;"Completed",$M581="",$L581=""),"",IF($M581&lt;=$L581,"Yes","No"))</f>
        <v/>
      </c>
      <c r="X581" s="84">
        <f>IF($A581="","",COUNTIF(Task_Steps!$B$5:$B$2004,$A581))</f>
        <v/>
      </c>
      <c r="Y581" s="86">
        <f>IF($X581=0,"",COUNTIFS(Task_Steps!$B$5:$B$2004,$A581,Task_Steps!$H$5:$H$2004,"Completed")/$X581)</f>
        <v/>
      </c>
      <c r="Z581" s="81" t="n"/>
      <c r="AA581" s="81" t="n"/>
      <c r="AB581" s="67">
        <f>IF($F581="","",IFERROR(INDEX(Employee_Master!$E$5:$E$204,MATCH($F581,Employee_Master!$B$5:$B$204,0)),""))</f>
        <v/>
      </c>
      <c r="AC581" s="65">
        <f>IF(OR($A581="",$AB581=""),"",IF(OR($I581="Completed",$I581="Cancelled"),"Closed - in Manager Report","Active - in Manager Report"))</f>
        <v/>
      </c>
      <c r="AD581" s="81">
        <f>IF($A581="","",IFERROR(TEXTJOIN(", ",TRUE,FILTER(Task_Steps!$A$5:$A$2004,Task_Steps!$B$5:$B$2004=$A581)),""))</f>
        <v/>
      </c>
      <c r="AE581" s="84">
        <f>IF($A581="","",COUNTIFS(Task_Steps!$B$5:$B$2004,$A581,Task_Steps!$H$5:$H$2004,"&lt;&gt;Completed",Task_Steps!$H$5:$H$2004,"&lt;&gt;Cancelled"))</f>
        <v/>
      </c>
      <c r="AF581" s="81">
        <f>IF(OR($B581="",$A581=""),"",$B581&amp;" | "&amp;$A581)</f>
        <v/>
      </c>
    </row>
    <row r="582" ht="15" customHeight="1" s="40">
      <c r="A582" s="65">
        <f>IF(COUNTA(B582:F582)=0,"","TSK-"&amp;TEXT(ROW()-4,"0000"))</f>
        <v/>
      </c>
      <c r="B582" s="78" t="n"/>
      <c r="C582" s="78" t="n"/>
      <c r="D582" s="81" t="n"/>
      <c r="E582" s="81" t="n"/>
      <c r="F582" s="78" t="n"/>
      <c r="G582" s="67">
        <f>IF($F582="","",IFERROR(INDEX(Employee_Master!$C$5:$C$204,MATCH($F582,Employee_Master!$B$5:$B$204,0)),""))</f>
        <v/>
      </c>
      <c r="H582" s="78" t="n"/>
      <c r="I582" s="78" t="n"/>
      <c r="J582" s="67">
        <f>IF($I582="","",IFERROR(INDEX(Action_Status_Map!$B$5:$B$11,MATCH($I582,Action_Status_Map!$A$5:$A$11,0)),""))</f>
        <v/>
      </c>
      <c r="K582" s="82" t="n"/>
      <c r="L582" s="82" t="n"/>
      <c r="M582" s="82" t="n"/>
      <c r="N582" s="83" t="n"/>
      <c r="O582" s="83" t="n"/>
      <c r="P582" s="66">
        <f>IF(OR($N582="",$O582=""),"",$O582-$N582)</f>
        <v/>
      </c>
      <c r="Q582" s="84">
        <f>IF($K582="","",IF($M582&lt;&gt;"",$M582-$K582,TODAY()-$K582))</f>
        <v/>
      </c>
      <c r="R582" s="85">
        <f>IF(OR($L582="",$I582="Completed",$I582="Cancelled"),"",IF(AND($L582&lt;TODAY(),$I582&lt;&gt;"Completed",$I582&lt;&gt;"Cancelled"),"Overdue","On Track"))</f>
        <v/>
      </c>
      <c r="S582" s="65">
        <f>IF($L582="","",TEXT($L582,"yyyy-mm"))</f>
        <v/>
      </c>
      <c r="T582" s="86">
        <f>IF($I582="","",IFERROR(INDEX(Action_Status_Map!$C$5:$C$11,MATCH($I582,Action_Status_Map!$A$5:$A$11,0)),""))</f>
        <v/>
      </c>
      <c r="U582" s="81" t="n"/>
      <c r="V582" s="82" t="n"/>
      <c r="W582" s="65">
        <f>IF(OR($I582&lt;&gt;"Completed",$M582="",$L582=""),"",IF($M582&lt;=$L582,"Yes","No"))</f>
        <v/>
      </c>
      <c r="X582" s="84">
        <f>IF($A582="","",COUNTIF(Task_Steps!$B$5:$B$2004,$A582))</f>
        <v/>
      </c>
      <c r="Y582" s="86">
        <f>IF($X582=0,"",COUNTIFS(Task_Steps!$B$5:$B$2004,$A582,Task_Steps!$H$5:$H$2004,"Completed")/$X582)</f>
        <v/>
      </c>
      <c r="Z582" s="81" t="n"/>
      <c r="AA582" s="81" t="n"/>
      <c r="AB582" s="67">
        <f>IF($F582="","",IFERROR(INDEX(Employee_Master!$E$5:$E$204,MATCH($F582,Employee_Master!$B$5:$B$204,0)),""))</f>
        <v/>
      </c>
      <c r="AC582" s="65">
        <f>IF(OR($A582="",$AB582=""),"",IF(OR($I582="Completed",$I582="Cancelled"),"Closed - in Manager Report","Active - in Manager Report"))</f>
        <v/>
      </c>
      <c r="AD582" s="81">
        <f>IF($A582="","",IFERROR(TEXTJOIN(", ",TRUE,FILTER(Task_Steps!$A$5:$A$2004,Task_Steps!$B$5:$B$2004=$A582)),""))</f>
        <v/>
      </c>
      <c r="AE582" s="84">
        <f>IF($A582="","",COUNTIFS(Task_Steps!$B$5:$B$2004,$A582,Task_Steps!$H$5:$H$2004,"&lt;&gt;Completed",Task_Steps!$H$5:$H$2004,"&lt;&gt;Cancelled"))</f>
        <v/>
      </c>
      <c r="AF582" s="81">
        <f>IF(OR($B582="",$A582=""),"",$B582&amp;" | "&amp;$A582)</f>
        <v/>
      </c>
    </row>
    <row r="583" ht="15" customHeight="1" s="40">
      <c r="A583" s="65">
        <f>IF(COUNTA(B583:F583)=0,"","TSK-"&amp;TEXT(ROW()-4,"0000"))</f>
        <v/>
      </c>
      <c r="B583" s="78" t="n"/>
      <c r="C583" s="78" t="n"/>
      <c r="D583" s="81" t="n"/>
      <c r="E583" s="81" t="n"/>
      <c r="F583" s="78" t="n"/>
      <c r="G583" s="67">
        <f>IF($F583="","",IFERROR(INDEX(Employee_Master!$C$5:$C$204,MATCH($F583,Employee_Master!$B$5:$B$204,0)),""))</f>
        <v/>
      </c>
      <c r="H583" s="78" t="n"/>
      <c r="I583" s="78" t="n"/>
      <c r="J583" s="67">
        <f>IF($I583="","",IFERROR(INDEX(Action_Status_Map!$B$5:$B$11,MATCH($I583,Action_Status_Map!$A$5:$A$11,0)),""))</f>
        <v/>
      </c>
      <c r="K583" s="82" t="n"/>
      <c r="L583" s="82" t="n"/>
      <c r="M583" s="82" t="n"/>
      <c r="N583" s="83" t="n"/>
      <c r="O583" s="83" t="n"/>
      <c r="P583" s="66">
        <f>IF(OR($N583="",$O583=""),"",$O583-$N583)</f>
        <v/>
      </c>
      <c r="Q583" s="84">
        <f>IF($K583="","",IF($M583&lt;&gt;"",$M583-$K583,TODAY()-$K583))</f>
        <v/>
      </c>
      <c r="R583" s="85">
        <f>IF(OR($L583="",$I583="Completed",$I583="Cancelled"),"",IF(AND($L583&lt;TODAY(),$I583&lt;&gt;"Completed",$I583&lt;&gt;"Cancelled"),"Overdue","On Track"))</f>
        <v/>
      </c>
      <c r="S583" s="65">
        <f>IF($L583="","",TEXT($L583,"yyyy-mm"))</f>
        <v/>
      </c>
      <c r="T583" s="86">
        <f>IF($I583="","",IFERROR(INDEX(Action_Status_Map!$C$5:$C$11,MATCH($I583,Action_Status_Map!$A$5:$A$11,0)),""))</f>
        <v/>
      </c>
      <c r="U583" s="81" t="n"/>
      <c r="V583" s="82" t="n"/>
      <c r="W583" s="65">
        <f>IF(OR($I583&lt;&gt;"Completed",$M583="",$L583=""),"",IF($M583&lt;=$L583,"Yes","No"))</f>
        <v/>
      </c>
      <c r="X583" s="84">
        <f>IF($A583="","",COUNTIF(Task_Steps!$B$5:$B$2004,$A583))</f>
        <v/>
      </c>
      <c r="Y583" s="86">
        <f>IF($X583=0,"",COUNTIFS(Task_Steps!$B$5:$B$2004,$A583,Task_Steps!$H$5:$H$2004,"Completed")/$X583)</f>
        <v/>
      </c>
      <c r="Z583" s="81" t="n"/>
      <c r="AA583" s="81" t="n"/>
      <c r="AB583" s="67">
        <f>IF($F583="","",IFERROR(INDEX(Employee_Master!$E$5:$E$204,MATCH($F583,Employee_Master!$B$5:$B$204,0)),""))</f>
        <v/>
      </c>
      <c r="AC583" s="65">
        <f>IF(OR($A583="",$AB583=""),"",IF(OR($I583="Completed",$I583="Cancelled"),"Closed - in Manager Report","Active - in Manager Report"))</f>
        <v/>
      </c>
      <c r="AD583" s="81">
        <f>IF($A583="","",IFERROR(TEXTJOIN(", ",TRUE,FILTER(Task_Steps!$A$5:$A$2004,Task_Steps!$B$5:$B$2004=$A583)),""))</f>
        <v/>
      </c>
      <c r="AE583" s="84">
        <f>IF($A583="","",COUNTIFS(Task_Steps!$B$5:$B$2004,$A583,Task_Steps!$H$5:$H$2004,"&lt;&gt;Completed",Task_Steps!$H$5:$H$2004,"&lt;&gt;Cancelled"))</f>
        <v/>
      </c>
      <c r="AF583" s="81">
        <f>IF(OR($B583="",$A583=""),"",$B583&amp;" | "&amp;$A583)</f>
        <v/>
      </c>
    </row>
    <row r="584" ht="15" customHeight="1" s="40">
      <c r="A584" s="65">
        <f>IF(COUNTA(B584:F584)=0,"","TSK-"&amp;TEXT(ROW()-4,"0000"))</f>
        <v/>
      </c>
      <c r="B584" s="78" t="n"/>
      <c r="C584" s="78" t="n"/>
      <c r="D584" s="81" t="n"/>
      <c r="E584" s="81" t="n"/>
      <c r="F584" s="78" t="n"/>
      <c r="G584" s="67">
        <f>IF($F584="","",IFERROR(INDEX(Employee_Master!$C$5:$C$204,MATCH($F584,Employee_Master!$B$5:$B$204,0)),""))</f>
        <v/>
      </c>
      <c r="H584" s="78" t="n"/>
      <c r="I584" s="78" t="n"/>
      <c r="J584" s="67">
        <f>IF($I584="","",IFERROR(INDEX(Action_Status_Map!$B$5:$B$11,MATCH($I584,Action_Status_Map!$A$5:$A$11,0)),""))</f>
        <v/>
      </c>
      <c r="K584" s="82" t="n"/>
      <c r="L584" s="82" t="n"/>
      <c r="M584" s="82" t="n"/>
      <c r="N584" s="83" t="n"/>
      <c r="O584" s="83" t="n"/>
      <c r="P584" s="66">
        <f>IF(OR($N584="",$O584=""),"",$O584-$N584)</f>
        <v/>
      </c>
      <c r="Q584" s="84">
        <f>IF($K584="","",IF($M584&lt;&gt;"",$M584-$K584,TODAY()-$K584))</f>
        <v/>
      </c>
      <c r="R584" s="85">
        <f>IF(OR($L584="",$I584="Completed",$I584="Cancelled"),"",IF(AND($L584&lt;TODAY(),$I584&lt;&gt;"Completed",$I584&lt;&gt;"Cancelled"),"Overdue","On Track"))</f>
        <v/>
      </c>
      <c r="S584" s="65">
        <f>IF($L584="","",TEXT($L584,"yyyy-mm"))</f>
        <v/>
      </c>
      <c r="T584" s="86">
        <f>IF($I584="","",IFERROR(INDEX(Action_Status_Map!$C$5:$C$11,MATCH($I584,Action_Status_Map!$A$5:$A$11,0)),""))</f>
        <v/>
      </c>
      <c r="U584" s="81" t="n"/>
      <c r="V584" s="82" t="n"/>
      <c r="W584" s="65">
        <f>IF(OR($I584&lt;&gt;"Completed",$M584="",$L584=""),"",IF($M584&lt;=$L584,"Yes","No"))</f>
        <v/>
      </c>
      <c r="X584" s="84">
        <f>IF($A584="","",COUNTIF(Task_Steps!$B$5:$B$2004,$A584))</f>
        <v/>
      </c>
      <c r="Y584" s="86">
        <f>IF($X584=0,"",COUNTIFS(Task_Steps!$B$5:$B$2004,$A584,Task_Steps!$H$5:$H$2004,"Completed")/$X584)</f>
        <v/>
      </c>
      <c r="Z584" s="81" t="n"/>
      <c r="AA584" s="81" t="n"/>
      <c r="AB584" s="67">
        <f>IF($F584="","",IFERROR(INDEX(Employee_Master!$E$5:$E$204,MATCH($F584,Employee_Master!$B$5:$B$204,0)),""))</f>
        <v/>
      </c>
      <c r="AC584" s="65">
        <f>IF(OR($A584="",$AB584=""),"",IF(OR($I584="Completed",$I584="Cancelled"),"Closed - in Manager Report","Active - in Manager Report"))</f>
        <v/>
      </c>
      <c r="AD584" s="81">
        <f>IF($A584="","",IFERROR(TEXTJOIN(", ",TRUE,FILTER(Task_Steps!$A$5:$A$2004,Task_Steps!$B$5:$B$2004=$A584)),""))</f>
        <v/>
      </c>
      <c r="AE584" s="84">
        <f>IF($A584="","",COUNTIFS(Task_Steps!$B$5:$B$2004,$A584,Task_Steps!$H$5:$H$2004,"&lt;&gt;Completed",Task_Steps!$H$5:$H$2004,"&lt;&gt;Cancelled"))</f>
        <v/>
      </c>
      <c r="AF584" s="81">
        <f>IF(OR($B584="",$A584=""),"",$B584&amp;" | "&amp;$A584)</f>
        <v/>
      </c>
    </row>
    <row r="585" ht="15" customHeight="1" s="40">
      <c r="A585" s="65">
        <f>IF(COUNTA(B585:F585)=0,"","TSK-"&amp;TEXT(ROW()-4,"0000"))</f>
        <v/>
      </c>
      <c r="B585" s="78" t="n"/>
      <c r="C585" s="78" t="n"/>
      <c r="D585" s="81" t="n"/>
      <c r="E585" s="81" t="n"/>
      <c r="F585" s="78" t="n"/>
      <c r="G585" s="67">
        <f>IF($F585="","",IFERROR(INDEX(Employee_Master!$C$5:$C$204,MATCH($F585,Employee_Master!$B$5:$B$204,0)),""))</f>
        <v/>
      </c>
      <c r="H585" s="78" t="n"/>
      <c r="I585" s="78" t="n"/>
      <c r="J585" s="67">
        <f>IF($I585="","",IFERROR(INDEX(Action_Status_Map!$B$5:$B$11,MATCH($I585,Action_Status_Map!$A$5:$A$11,0)),""))</f>
        <v/>
      </c>
      <c r="K585" s="82" t="n"/>
      <c r="L585" s="82" t="n"/>
      <c r="M585" s="82" t="n"/>
      <c r="N585" s="83" t="n"/>
      <c r="O585" s="83" t="n"/>
      <c r="P585" s="66">
        <f>IF(OR($N585="",$O585=""),"",$O585-$N585)</f>
        <v/>
      </c>
      <c r="Q585" s="84">
        <f>IF($K585="","",IF($M585&lt;&gt;"",$M585-$K585,TODAY()-$K585))</f>
        <v/>
      </c>
      <c r="R585" s="85">
        <f>IF(OR($L585="",$I585="Completed",$I585="Cancelled"),"",IF(AND($L585&lt;TODAY(),$I585&lt;&gt;"Completed",$I585&lt;&gt;"Cancelled"),"Overdue","On Track"))</f>
        <v/>
      </c>
      <c r="S585" s="65">
        <f>IF($L585="","",TEXT($L585,"yyyy-mm"))</f>
        <v/>
      </c>
      <c r="T585" s="86">
        <f>IF($I585="","",IFERROR(INDEX(Action_Status_Map!$C$5:$C$11,MATCH($I585,Action_Status_Map!$A$5:$A$11,0)),""))</f>
        <v/>
      </c>
      <c r="U585" s="81" t="n"/>
      <c r="V585" s="82" t="n"/>
      <c r="W585" s="65">
        <f>IF(OR($I585&lt;&gt;"Completed",$M585="",$L585=""),"",IF($M585&lt;=$L585,"Yes","No"))</f>
        <v/>
      </c>
      <c r="X585" s="84">
        <f>IF($A585="","",COUNTIF(Task_Steps!$B$5:$B$2004,$A585))</f>
        <v/>
      </c>
      <c r="Y585" s="86">
        <f>IF($X585=0,"",COUNTIFS(Task_Steps!$B$5:$B$2004,$A585,Task_Steps!$H$5:$H$2004,"Completed")/$X585)</f>
        <v/>
      </c>
      <c r="Z585" s="81" t="n"/>
      <c r="AA585" s="81" t="n"/>
      <c r="AB585" s="67">
        <f>IF($F585="","",IFERROR(INDEX(Employee_Master!$E$5:$E$204,MATCH($F585,Employee_Master!$B$5:$B$204,0)),""))</f>
        <v/>
      </c>
      <c r="AC585" s="65">
        <f>IF(OR($A585="",$AB585=""),"",IF(OR($I585="Completed",$I585="Cancelled"),"Closed - in Manager Report","Active - in Manager Report"))</f>
        <v/>
      </c>
      <c r="AD585" s="81">
        <f>IF($A585="","",IFERROR(TEXTJOIN(", ",TRUE,FILTER(Task_Steps!$A$5:$A$2004,Task_Steps!$B$5:$B$2004=$A585)),""))</f>
        <v/>
      </c>
      <c r="AE585" s="84">
        <f>IF($A585="","",COUNTIFS(Task_Steps!$B$5:$B$2004,$A585,Task_Steps!$H$5:$H$2004,"&lt;&gt;Completed",Task_Steps!$H$5:$H$2004,"&lt;&gt;Cancelled"))</f>
        <v/>
      </c>
      <c r="AF585" s="81">
        <f>IF(OR($B585="",$A585=""),"",$B585&amp;" | "&amp;$A585)</f>
        <v/>
      </c>
    </row>
    <row r="586" ht="15" customHeight="1" s="40">
      <c r="A586" s="65">
        <f>IF(COUNTA(B586:F586)=0,"","TSK-"&amp;TEXT(ROW()-4,"0000"))</f>
        <v/>
      </c>
      <c r="B586" s="78" t="n"/>
      <c r="C586" s="78" t="n"/>
      <c r="D586" s="81" t="n"/>
      <c r="E586" s="81" t="n"/>
      <c r="F586" s="78" t="n"/>
      <c r="G586" s="67">
        <f>IF($F586="","",IFERROR(INDEX(Employee_Master!$C$5:$C$204,MATCH($F586,Employee_Master!$B$5:$B$204,0)),""))</f>
        <v/>
      </c>
      <c r="H586" s="78" t="n"/>
      <c r="I586" s="78" t="n"/>
      <c r="J586" s="67">
        <f>IF($I586="","",IFERROR(INDEX(Action_Status_Map!$B$5:$B$11,MATCH($I586,Action_Status_Map!$A$5:$A$11,0)),""))</f>
        <v/>
      </c>
      <c r="K586" s="82" t="n"/>
      <c r="L586" s="82" t="n"/>
      <c r="M586" s="82" t="n"/>
      <c r="N586" s="83" t="n"/>
      <c r="O586" s="83" t="n"/>
      <c r="P586" s="66">
        <f>IF(OR($N586="",$O586=""),"",$O586-$N586)</f>
        <v/>
      </c>
      <c r="Q586" s="84">
        <f>IF($K586="","",IF($M586&lt;&gt;"",$M586-$K586,TODAY()-$K586))</f>
        <v/>
      </c>
      <c r="R586" s="85">
        <f>IF(OR($L586="",$I586="Completed",$I586="Cancelled"),"",IF(AND($L586&lt;TODAY(),$I586&lt;&gt;"Completed",$I586&lt;&gt;"Cancelled"),"Overdue","On Track"))</f>
        <v/>
      </c>
      <c r="S586" s="65">
        <f>IF($L586="","",TEXT($L586,"yyyy-mm"))</f>
        <v/>
      </c>
      <c r="T586" s="86">
        <f>IF($I586="","",IFERROR(INDEX(Action_Status_Map!$C$5:$C$11,MATCH($I586,Action_Status_Map!$A$5:$A$11,0)),""))</f>
        <v/>
      </c>
      <c r="U586" s="81" t="n"/>
      <c r="V586" s="82" t="n"/>
      <c r="W586" s="65">
        <f>IF(OR($I586&lt;&gt;"Completed",$M586="",$L586=""),"",IF($M586&lt;=$L586,"Yes","No"))</f>
        <v/>
      </c>
      <c r="X586" s="84">
        <f>IF($A586="","",COUNTIF(Task_Steps!$B$5:$B$2004,$A586))</f>
        <v/>
      </c>
      <c r="Y586" s="86">
        <f>IF($X586=0,"",COUNTIFS(Task_Steps!$B$5:$B$2004,$A586,Task_Steps!$H$5:$H$2004,"Completed")/$X586)</f>
        <v/>
      </c>
      <c r="Z586" s="81" t="n"/>
      <c r="AA586" s="81" t="n"/>
      <c r="AB586" s="67">
        <f>IF($F586="","",IFERROR(INDEX(Employee_Master!$E$5:$E$204,MATCH($F586,Employee_Master!$B$5:$B$204,0)),""))</f>
        <v/>
      </c>
      <c r="AC586" s="65">
        <f>IF(OR($A586="",$AB586=""),"",IF(OR($I586="Completed",$I586="Cancelled"),"Closed - in Manager Report","Active - in Manager Report"))</f>
        <v/>
      </c>
      <c r="AD586" s="81">
        <f>IF($A586="","",IFERROR(TEXTJOIN(", ",TRUE,FILTER(Task_Steps!$A$5:$A$2004,Task_Steps!$B$5:$B$2004=$A586)),""))</f>
        <v/>
      </c>
      <c r="AE586" s="84">
        <f>IF($A586="","",COUNTIFS(Task_Steps!$B$5:$B$2004,$A586,Task_Steps!$H$5:$H$2004,"&lt;&gt;Completed",Task_Steps!$H$5:$H$2004,"&lt;&gt;Cancelled"))</f>
        <v/>
      </c>
      <c r="AF586" s="81">
        <f>IF(OR($B586="",$A586=""),"",$B586&amp;" | "&amp;$A586)</f>
        <v/>
      </c>
    </row>
    <row r="587" ht="15" customHeight="1" s="40">
      <c r="A587" s="65">
        <f>IF(COUNTA(B587:F587)=0,"","TSK-"&amp;TEXT(ROW()-4,"0000"))</f>
        <v/>
      </c>
      <c r="B587" s="78" t="n"/>
      <c r="C587" s="78" t="n"/>
      <c r="D587" s="81" t="n"/>
      <c r="E587" s="81" t="n"/>
      <c r="F587" s="78" t="n"/>
      <c r="G587" s="67">
        <f>IF($F587="","",IFERROR(INDEX(Employee_Master!$C$5:$C$204,MATCH($F587,Employee_Master!$B$5:$B$204,0)),""))</f>
        <v/>
      </c>
      <c r="H587" s="78" t="n"/>
      <c r="I587" s="78" t="n"/>
      <c r="J587" s="67">
        <f>IF($I587="","",IFERROR(INDEX(Action_Status_Map!$B$5:$B$11,MATCH($I587,Action_Status_Map!$A$5:$A$11,0)),""))</f>
        <v/>
      </c>
      <c r="K587" s="82" t="n"/>
      <c r="L587" s="82" t="n"/>
      <c r="M587" s="82" t="n"/>
      <c r="N587" s="83" t="n"/>
      <c r="O587" s="83" t="n"/>
      <c r="P587" s="66">
        <f>IF(OR($N587="",$O587=""),"",$O587-$N587)</f>
        <v/>
      </c>
      <c r="Q587" s="84">
        <f>IF($K587="","",IF($M587&lt;&gt;"",$M587-$K587,TODAY()-$K587))</f>
        <v/>
      </c>
      <c r="R587" s="85">
        <f>IF(OR($L587="",$I587="Completed",$I587="Cancelled"),"",IF(AND($L587&lt;TODAY(),$I587&lt;&gt;"Completed",$I587&lt;&gt;"Cancelled"),"Overdue","On Track"))</f>
        <v/>
      </c>
      <c r="S587" s="65">
        <f>IF($L587="","",TEXT($L587,"yyyy-mm"))</f>
        <v/>
      </c>
      <c r="T587" s="86">
        <f>IF($I587="","",IFERROR(INDEX(Action_Status_Map!$C$5:$C$11,MATCH($I587,Action_Status_Map!$A$5:$A$11,0)),""))</f>
        <v/>
      </c>
      <c r="U587" s="81" t="n"/>
      <c r="V587" s="82" t="n"/>
      <c r="W587" s="65">
        <f>IF(OR($I587&lt;&gt;"Completed",$M587="",$L587=""),"",IF($M587&lt;=$L587,"Yes","No"))</f>
        <v/>
      </c>
      <c r="X587" s="84">
        <f>IF($A587="","",COUNTIF(Task_Steps!$B$5:$B$2004,$A587))</f>
        <v/>
      </c>
      <c r="Y587" s="86">
        <f>IF($X587=0,"",COUNTIFS(Task_Steps!$B$5:$B$2004,$A587,Task_Steps!$H$5:$H$2004,"Completed")/$X587)</f>
        <v/>
      </c>
      <c r="Z587" s="81" t="n"/>
      <c r="AA587" s="81" t="n"/>
      <c r="AB587" s="67">
        <f>IF($F587="","",IFERROR(INDEX(Employee_Master!$E$5:$E$204,MATCH($F587,Employee_Master!$B$5:$B$204,0)),""))</f>
        <v/>
      </c>
      <c r="AC587" s="65">
        <f>IF(OR($A587="",$AB587=""),"",IF(OR($I587="Completed",$I587="Cancelled"),"Closed - in Manager Report","Active - in Manager Report"))</f>
        <v/>
      </c>
      <c r="AD587" s="81">
        <f>IF($A587="","",IFERROR(TEXTJOIN(", ",TRUE,FILTER(Task_Steps!$A$5:$A$2004,Task_Steps!$B$5:$B$2004=$A587)),""))</f>
        <v/>
      </c>
      <c r="AE587" s="84">
        <f>IF($A587="","",COUNTIFS(Task_Steps!$B$5:$B$2004,$A587,Task_Steps!$H$5:$H$2004,"&lt;&gt;Completed",Task_Steps!$H$5:$H$2004,"&lt;&gt;Cancelled"))</f>
        <v/>
      </c>
      <c r="AF587" s="81">
        <f>IF(OR($B587="",$A587=""),"",$B587&amp;" | "&amp;$A587)</f>
        <v/>
      </c>
    </row>
    <row r="588" ht="15" customHeight="1" s="40">
      <c r="A588" s="65">
        <f>IF(COUNTA(B588:F588)=0,"","TSK-"&amp;TEXT(ROW()-4,"0000"))</f>
        <v/>
      </c>
      <c r="B588" s="78" t="n"/>
      <c r="C588" s="78" t="n"/>
      <c r="D588" s="81" t="n"/>
      <c r="E588" s="81" t="n"/>
      <c r="F588" s="78" t="n"/>
      <c r="G588" s="67">
        <f>IF($F588="","",IFERROR(INDEX(Employee_Master!$C$5:$C$204,MATCH($F588,Employee_Master!$B$5:$B$204,0)),""))</f>
        <v/>
      </c>
      <c r="H588" s="78" t="n"/>
      <c r="I588" s="78" t="n"/>
      <c r="J588" s="67">
        <f>IF($I588="","",IFERROR(INDEX(Action_Status_Map!$B$5:$B$11,MATCH($I588,Action_Status_Map!$A$5:$A$11,0)),""))</f>
        <v/>
      </c>
      <c r="K588" s="82" t="n"/>
      <c r="L588" s="82" t="n"/>
      <c r="M588" s="82" t="n"/>
      <c r="N588" s="83" t="n"/>
      <c r="O588" s="83" t="n"/>
      <c r="P588" s="66">
        <f>IF(OR($N588="",$O588=""),"",$O588-$N588)</f>
        <v/>
      </c>
      <c r="Q588" s="84">
        <f>IF($K588="","",IF($M588&lt;&gt;"",$M588-$K588,TODAY()-$K588))</f>
        <v/>
      </c>
      <c r="R588" s="85">
        <f>IF(OR($L588="",$I588="Completed",$I588="Cancelled"),"",IF(AND($L588&lt;TODAY(),$I588&lt;&gt;"Completed",$I588&lt;&gt;"Cancelled"),"Overdue","On Track"))</f>
        <v/>
      </c>
      <c r="S588" s="65">
        <f>IF($L588="","",TEXT($L588,"yyyy-mm"))</f>
        <v/>
      </c>
      <c r="T588" s="86">
        <f>IF($I588="","",IFERROR(INDEX(Action_Status_Map!$C$5:$C$11,MATCH($I588,Action_Status_Map!$A$5:$A$11,0)),""))</f>
        <v/>
      </c>
      <c r="U588" s="81" t="n"/>
      <c r="V588" s="82" t="n"/>
      <c r="W588" s="65">
        <f>IF(OR($I588&lt;&gt;"Completed",$M588="",$L588=""),"",IF($M588&lt;=$L588,"Yes","No"))</f>
        <v/>
      </c>
      <c r="X588" s="84">
        <f>IF($A588="","",COUNTIF(Task_Steps!$B$5:$B$2004,$A588))</f>
        <v/>
      </c>
      <c r="Y588" s="86">
        <f>IF($X588=0,"",COUNTIFS(Task_Steps!$B$5:$B$2004,$A588,Task_Steps!$H$5:$H$2004,"Completed")/$X588)</f>
        <v/>
      </c>
      <c r="Z588" s="81" t="n"/>
      <c r="AA588" s="81" t="n"/>
      <c r="AB588" s="67">
        <f>IF($F588="","",IFERROR(INDEX(Employee_Master!$E$5:$E$204,MATCH($F588,Employee_Master!$B$5:$B$204,0)),""))</f>
        <v/>
      </c>
      <c r="AC588" s="65">
        <f>IF(OR($A588="",$AB588=""),"",IF(OR($I588="Completed",$I588="Cancelled"),"Closed - in Manager Report","Active - in Manager Report"))</f>
        <v/>
      </c>
      <c r="AD588" s="81">
        <f>IF($A588="","",IFERROR(TEXTJOIN(", ",TRUE,FILTER(Task_Steps!$A$5:$A$2004,Task_Steps!$B$5:$B$2004=$A588)),""))</f>
        <v/>
      </c>
      <c r="AE588" s="84">
        <f>IF($A588="","",COUNTIFS(Task_Steps!$B$5:$B$2004,$A588,Task_Steps!$H$5:$H$2004,"&lt;&gt;Completed",Task_Steps!$H$5:$H$2004,"&lt;&gt;Cancelled"))</f>
        <v/>
      </c>
      <c r="AF588" s="81">
        <f>IF(OR($B588="",$A588=""),"",$B588&amp;" | "&amp;$A588)</f>
        <v/>
      </c>
    </row>
    <row r="589" ht="15" customHeight="1" s="40">
      <c r="A589" s="65">
        <f>IF(COUNTA(B589:F589)=0,"","TSK-"&amp;TEXT(ROW()-4,"0000"))</f>
        <v/>
      </c>
      <c r="B589" s="78" t="n"/>
      <c r="C589" s="78" t="n"/>
      <c r="D589" s="81" t="n"/>
      <c r="E589" s="81" t="n"/>
      <c r="F589" s="78" t="n"/>
      <c r="G589" s="67">
        <f>IF($F589="","",IFERROR(INDEX(Employee_Master!$C$5:$C$204,MATCH($F589,Employee_Master!$B$5:$B$204,0)),""))</f>
        <v/>
      </c>
      <c r="H589" s="78" t="n"/>
      <c r="I589" s="78" t="n"/>
      <c r="J589" s="67">
        <f>IF($I589="","",IFERROR(INDEX(Action_Status_Map!$B$5:$B$11,MATCH($I589,Action_Status_Map!$A$5:$A$11,0)),""))</f>
        <v/>
      </c>
      <c r="K589" s="82" t="n"/>
      <c r="L589" s="82" t="n"/>
      <c r="M589" s="82" t="n"/>
      <c r="N589" s="83" t="n"/>
      <c r="O589" s="83" t="n"/>
      <c r="P589" s="66">
        <f>IF(OR($N589="",$O589=""),"",$O589-$N589)</f>
        <v/>
      </c>
      <c r="Q589" s="84">
        <f>IF($K589="","",IF($M589&lt;&gt;"",$M589-$K589,TODAY()-$K589))</f>
        <v/>
      </c>
      <c r="R589" s="85">
        <f>IF(OR($L589="",$I589="Completed",$I589="Cancelled"),"",IF(AND($L589&lt;TODAY(),$I589&lt;&gt;"Completed",$I589&lt;&gt;"Cancelled"),"Overdue","On Track"))</f>
        <v/>
      </c>
      <c r="S589" s="65">
        <f>IF($L589="","",TEXT($L589,"yyyy-mm"))</f>
        <v/>
      </c>
      <c r="T589" s="86">
        <f>IF($I589="","",IFERROR(INDEX(Action_Status_Map!$C$5:$C$11,MATCH($I589,Action_Status_Map!$A$5:$A$11,0)),""))</f>
        <v/>
      </c>
      <c r="U589" s="81" t="n"/>
      <c r="V589" s="82" t="n"/>
      <c r="W589" s="65">
        <f>IF(OR($I589&lt;&gt;"Completed",$M589="",$L589=""),"",IF($M589&lt;=$L589,"Yes","No"))</f>
        <v/>
      </c>
      <c r="X589" s="84">
        <f>IF($A589="","",COUNTIF(Task_Steps!$B$5:$B$2004,$A589))</f>
        <v/>
      </c>
      <c r="Y589" s="86">
        <f>IF($X589=0,"",COUNTIFS(Task_Steps!$B$5:$B$2004,$A589,Task_Steps!$H$5:$H$2004,"Completed")/$X589)</f>
        <v/>
      </c>
      <c r="Z589" s="81" t="n"/>
      <c r="AA589" s="81" t="n"/>
      <c r="AB589" s="67">
        <f>IF($F589="","",IFERROR(INDEX(Employee_Master!$E$5:$E$204,MATCH($F589,Employee_Master!$B$5:$B$204,0)),""))</f>
        <v/>
      </c>
      <c r="AC589" s="65">
        <f>IF(OR($A589="",$AB589=""),"",IF(OR($I589="Completed",$I589="Cancelled"),"Closed - in Manager Report","Active - in Manager Report"))</f>
        <v/>
      </c>
      <c r="AD589" s="81">
        <f>IF($A589="","",IFERROR(TEXTJOIN(", ",TRUE,FILTER(Task_Steps!$A$5:$A$2004,Task_Steps!$B$5:$B$2004=$A589)),""))</f>
        <v/>
      </c>
      <c r="AE589" s="84">
        <f>IF($A589="","",COUNTIFS(Task_Steps!$B$5:$B$2004,$A589,Task_Steps!$H$5:$H$2004,"&lt;&gt;Completed",Task_Steps!$H$5:$H$2004,"&lt;&gt;Cancelled"))</f>
        <v/>
      </c>
      <c r="AF589" s="81">
        <f>IF(OR($B589="",$A589=""),"",$B589&amp;" | "&amp;$A589)</f>
        <v/>
      </c>
    </row>
    <row r="590" ht="15" customHeight="1" s="40">
      <c r="A590" s="65">
        <f>IF(COUNTA(B590:F590)=0,"","TSK-"&amp;TEXT(ROW()-4,"0000"))</f>
        <v/>
      </c>
      <c r="B590" s="78" t="n"/>
      <c r="C590" s="78" t="n"/>
      <c r="D590" s="81" t="n"/>
      <c r="E590" s="81" t="n"/>
      <c r="F590" s="78" t="n"/>
      <c r="G590" s="67">
        <f>IF($F590="","",IFERROR(INDEX(Employee_Master!$C$5:$C$204,MATCH($F590,Employee_Master!$B$5:$B$204,0)),""))</f>
        <v/>
      </c>
      <c r="H590" s="78" t="n"/>
      <c r="I590" s="78" t="n"/>
      <c r="J590" s="67">
        <f>IF($I590="","",IFERROR(INDEX(Action_Status_Map!$B$5:$B$11,MATCH($I590,Action_Status_Map!$A$5:$A$11,0)),""))</f>
        <v/>
      </c>
      <c r="K590" s="82" t="n"/>
      <c r="L590" s="82" t="n"/>
      <c r="M590" s="82" t="n"/>
      <c r="N590" s="83" t="n"/>
      <c r="O590" s="83" t="n"/>
      <c r="P590" s="66">
        <f>IF(OR($N590="",$O590=""),"",$O590-$N590)</f>
        <v/>
      </c>
      <c r="Q590" s="84">
        <f>IF($K590="","",IF($M590&lt;&gt;"",$M590-$K590,TODAY()-$K590))</f>
        <v/>
      </c>
      <c r="R590" s="85">
        <f>IF(OR($L590="",$I590="Completed",$I590="Cancelled"),"",IF(AND($L590&lt;TODAY(),$I590&lt;&gt;"Completed",$I590&lt;&gt;"Cancelled"),"Overdue","On Track"))</f>
        <v/>
      </c>
      <c r="S590" s="65">
        <f>IF($L590="","",TEXT($L590,"yyyy-mm"))</f>
        <v/>
      </c>
      <c r="T590" s="86">
        <f>IF($I590="","",IFERROR(INDEX(Action_Status_Map!$C$5:$C$11,MATCH($I590,Action_Status_Map!$A$5:$A$11,0)),""))</f>
        <v/>
      </c>
      <c r="U590" s="81" t="n"/>
      <c r="V590" s="82" t="n"/>
      <c r="W590" s="65">
        <f>IF(OR($I590&lt;&gt;"Completed",$M590="",$L590=""),"",IF($M590&lt;=$L590,"Yes","No"))</f>
        <v/>
      </c>
      <c r="X590" s="84">
        <f>IF($A590="","",COUNTIF(Task_Steps!$B$5:$B$2004,$A590))</f>
        <v/>
      </c>
      <c r="Y590" s="86">
        <f>IF($X590=0,"",COUNTIFS(Task_Steps!$B$5:$B$2004,$A590,Task_Steps!$H$5:$H$2004,"Completed")/$X590)</f>
        <v/>
      </c>
      <c r="Z590" s="81" t="n"/>
      <c r="AA590" s="81" t="n"/>
      <c r="AB590" s="67">
        <f>IF($F590="","",IFERROR(INDEX(Employee_Master!$E$5:$E$204,MATCH($F590,Employee_Master!$B$5:$B$204,0)),""))</f>
        <v/>
      </c>
      <c r="AC590" s="65">
        <f>IF(OR($A590="",$AB590=""),"",IF(OR($I590="Completed",$I590="Cancelled"),"Closed - in Manager Report","Active - in Manager Report"))</f>
        <v/>
      </c>
      <c r="AD590" s="81">
        <f>IF($A590="","",IFERROR(TEXTJOIN(", ",TRUE,FILTER(Task_Steps!$A$5:$A$2004,Task_Steps!$B$5:$B$2004=$A590)),""))</f>
        <v/>
      </c>
      <c r="AE590" s="84">
        <f>IF($A590="","",COUNTIFS(Task_Steps!$B$5:$B$2004,$A590,Task_Steps!$H$5:$H$2004,"&lt;&gt;Completed",Task_Steps!$H$5:$H$2004,"&lt;&gt;Cancelled"))</f>
        <v/>
      </c>
      <c r="AF590" s="81">
        <f>IF(OR($B590="",$A590=""),"",$B590&amp;" | "&amp;$A590)</f>
        <v/>
      </c>
    </row>
    <row r="591" ht="15" customHeight="1" s="40">
      <c r="A591" s="65">
        <f>IF(COUNTA(B591:F591)=0,"","TSK-"&amp;TEXT(ROW()-4,"0000"))</f>
        <v/>
      </c>
      <c r="B591" s="78" t="n"/>
      <c r="C591" s="78" t="n"/>
      <c r="D591" s="81" t="n"/>
      <c r="E591" s="81" t="n"/>
      <c r="F591" s="78" t="n"/>
      <c r="G591" s="67">
        <f>IF($F591="","",IFERROR(INDEX(Employee_Master!$C$5:$C$204,MATCH($F591,Employee_Master!$B$5:$B$204,0)),""))</f>
        <v/>
      </c>
      <c r="H591" s="78" t="n"/>
      <c r="I591" s="78" t="n"/>
      <c r="J591" s="67">
        <f>IF($I591="","",IFERROR(INDEX(Action_Status_Map!$B$5:$B$11,MATCH($I591,Action_Status_Map!$A$5:$A$11,0)),""))</f>
        <v/>
      </c>
      <c r="K591" s="82" t="n"/>
      <c r="L591" s="82" t="n"/>
      <c r="M591" s="82" t="n"/>
      <c r="N591" s="83" t="n"/>
      <c r="O591" s="83" t="n"/>
      <c r="P591" s="66">
        <f>IF(OR($N591="",$O591=""),"",$O591-$N591)</f>
        <v/>
      </c>
      <c r="Q591" s="84">
        <f>IF($K591="","",IF($M591&lt;&gt;"",$M591-$K591,TODAY()-$K591))</f>
        <v/>
      </c>
      <c r="R591" s="85">
        <f>IF(OR($L591="",$I591="Completed",$I591="Cancelled"),"",IF(AND($L591&lt;TODAY(),$I591&lt;&gt;"Completed",$I591&lt;&gt;"Cancelled"),"Overdue","On Track"))</f>
        <v/>
      </c>
      <c r="S591" s="65">
        <f>IF($L591="","",TEXT($L591,"yyyy-mm"))</f>
        <v/>
      </c>
      <c r="T591" s="86">
        <f>IF($I591="","",IFERROR(INDEX(Action_Status_Map!$C$5:$C$11,MATCH($I591,Action_Status_Map!$A$5:$A$11,0)),""))</f>
        <v/>
      </c>
      <c r="U591" s="81" t="n"/>
      <c r="V591" s="82" t="n"/>
      <c r="W591" s="65">
        <f>IF(OR($I591&lt;&gt;"Completed",$M591="",$L591=""),"",IF($M591&lt;=$L591,"Yes","No"))</f>
        <v/>
      </c>
      <c r="X591" s="84">
        <f>IF($A591="","",COUNTIF(Task_Steps!$B$5:$B$2004,$A591))</f>
        <v/>
      </c>
      <c r="Y591" s="86">
        <f>IF($X591=0,"",COUNTIFS(Task_Steps!$B$5:$B$2004,$A591,Task_Steps!$H$5:$H$2004,"Completed")/$X591)</f>
        <v/>
      </c>
      <c r="Z591" s="81" t="n"/>
      <c r="AA591" s="81" t="n"/>
      <c r="AB591" s="67">
        <f>IF($F591="","",IFERROR(INDEX(Employee_Master!$E$5:$E$204,MATCH($F591,Employee_Master!$B$5:$B$204,0)),""))</f>
        <v/>
      </c>
      <c r="AC591" s="65">
        <f>IF(OR($A591="",$AB591=""),"",IF(OR($I591="Completed",$I591="Cancelled"),"Closed - in Manager Report","Active - in Manager Report"))</f>
        <v/>
      </c>
      <c r="AD591" s="81">
        <f>IF($A591="","",IFERROR(TEXTJOIN(", ",TRUE,FILTER(Task_Steps!$A$5:$A$2004,Task_Steps!$B$5:$B$2004=$A591)),""))</f>
        <v/>
      </c>
      <c r="AE591" s="84">
        <f>IF($A591="","",COUNTIFS(Task_Steps!$B$5:$B$2004,$A591,Task_Steps!$H$5:$H$2004,"&lt;&gt;Completed",Task_Steps!$H$5:$H$2004,"&lt;&gt;Cancelled"))</f>
        <v/>
      </c>
      <c r="AF591" s="81">
        <f>IF(OR($B591="",$A591=""),"",$B591&amp;" | "&amp;$A591)</f>
        <v/>
      </c>
    </row>
    <row r="592" ht="15" customHeight="1" s="40">
      <c r="A592" s="65">
        <f>IF(COUNTA(B592:F592)=0,"","TSK-"&amp;TEXT(ROW()-4,"0000"))</f>
        <v/>
      </c>
      <c r="B592" s="78" t="n"/>
      <c r="C592" s="78" t="n"/>
      <c r="D592" s="81" t="n"/>
      <c r="E592" s="81" t="n"/>
      <c r="F592" s="78" t="n"/>
      <c r="G592" s="67">
        <f>IF($F592="","",IFERROR(INDEX(Employee_Master!$C$5:$C$204,MATCH($F592,Employee_Master!$B$5:$B$204,0)),""))</f>
        <v/>
      </c>
      <c r="H592" s="78" t="n"/>
      <c r="I592" s="78" t="n"/>
      <c r="J592" s="67">
        <f>IF($I592="","",IFERROR(INDEX(Action_Status_Map!$B$5:$B$11,MATCH($I592,Action_Status_Map!$A$5:$A$11,0)),""))</f>
        <v/>
      </c>
      <c r="K592" s="82" t="n"/>
      <c r="L592" s="82" t="n"/>
      <c r="M592" s="82" t="n"/>
      <c r="N592" s="83" t="n"/>
      <c r="O592" s="83" t="n"/>
      <c r="P592" s="66">
        <f>IF(OR($N592="",$O592=""),"",$O592-$N592)</f>
        <v/>
      </c>
      <c r="Q592" s="84">
        <f>IF($K592="","",IF($M592&lt;&gt;"",$M592-$K592,TODAY()-$K592))</f>
        <v/>
      </c>
      <c r="R592" s="85">
        <f>IF(OR($L592="",$I592="Completed",$I592="Cancelled"),"",IF(AND($L592&lt;TODAY(),$I592&lt;&gt;"Completed",$I592&lt;&gt;"Cancelled"),"Overdue","On Track"))</f>
        <v/>
      </c>
      <c r="S592" s="65">
        <f>IF($L592="","",TEXT($L592,"yyyy-mm"))</f>
        <v/>
      </c>
      <c r="T592" s="86">
        <f>IF($I592="","",IFERROR(INDEX(Action_Status_Map!$C$5:$C$11,MATCH($I592,Action_Status_Map!$A$5:$A$11,0)),""))</f>
        <v/>
      </c>
      <c r="U592" s="81" t="n"/>
      <c r="V592" s="82" t="n"/>
      <c r="W592" s="65">
        <f>IF(OR($I592&lt;&gt;"Completed",$M592="",$L592=""),"",IF($M592&lt;=$L592,"Yes","No"))</f>
        <v/>
      </c>
      <c r="X592" s="84">
        <f>IF($A592="","",COUNTIF(Task_Steps!$B$5:$B$2004,$A592))</f>
        <v/>
      </c>
      <c r="Y592" s="86">
        <f>IF($X592=0,"",COUNTIFS(Task_Steps!$B$5:$B$2004,$A592,Task_Steps!$H$5:$H$2004,"Completed")/$X592)</f>
        <v/>
      </c>
      <c r="Z592" s="81" t="n"/>
      <c r="AA592" s="81" t="n"/>
      <c r="AB592" s="67">
        <f>IF($F592="","",IFERROR(INDEX(Employee_Master!$E$5:$E$204,MATCH($F592,Employee_Master!$B$5:$B$204,0)),""))</f>
        <v/>
      </c>
      <c r="AC592" s="65">
        <f>IF(OR($A592="",$AB592=""),"",IF(OR($I592="Completed",$I592="Cancelled"),"Closed - in Manager Report","Active - in Manager Report"))</f>
        <v/>
      </c>
      <c r="AD592" s="81">
        <f>IF($A592="","",IFERROR(TEXTJOIN(", ",TRUE,FILTER(Task_Steps!$A$5:$A$2004,Task_Steps!$B$5:$B$2004=$A592)),""))</f>
        <v/>
      </c>
      <c r="AE592" s="84">
        <f>IF($A592="","",COUNTIFS(Task_Steps!$B$5:$B$2004,$A592,Task_Steps!$H$5:$H$2004,"&lt;&gt;Completed",Task_Steps!$H$5:$H$2004,"&lt;&gt;Cancelled"))</f>
        <v/>
      </c>
      <c r="AF592" s="81">
        <f>IF(OR($B592="",$A592=""),"",$B592&amp;" | "&amp;$A592)</f>
        <v/>
      </c>
    </row>
    <row r="593" ht="15" customHeight="1" s="40">
      <c r="A593" s="65">
        <f>IF(COUNTA(B593:F593)=0,"","TSK-"&amp;TEXT(ROW()-4,"0000"))</f>
        <v/>
      </c>
      <c r="B593" s="78" t="n"/>
      <c r="C593" s="78" t="n"/>
      <c r="D593" s="81" t="n"/>
      <c r="E593" s="81" t="n"/>
      <c r="F593" s="78" t="n"/>
      <c r="G593" s="67">
        <f>IF($F593="","",IFERROR(INDEX(Employee_Master!$C$5:$C$204,MATCH($F593,Employee_Master!$B$5:$B$204,0)),""))</f>
        <v/>
      </c>
      <c r="H593" s="78" t="n"/>
      <c r="I593" s="78" t="n"/>
      <c r="J593" s="67">
        <f>IF($I593="","",IFERROR(INDEX(Action_Status_Map!$B$5:$B$11,MATCH($I593,Action_Status_Map!$A$5:$A$11,0)),""))</f>
        <v/>
      </c>
      <c r="K593" s="82" t="n"/>
      <c r="L593" s="82" t="n"/>
      <c r="M593" s="82" t="n"/>
      <c r="N593" s="83" t="n"/>
      <c r="O593" s="83" t="n"/>
      <c r="P593" s="66">
        <f>IF(OR($N593="",$O593=""),"",$O593-$N593)</f>
        <v/>
      </c>
      <c r="Q593" s="84">
        <f>IF($K593="","",IF($M593&lt;&gt;"",$M593-$K593,TODAY()-$K593))</f>
        <v/>
      </c>
      <c r="R593" s="85">
        <f>IF(OR($L593="",$I593="Completed",$I593="Cancelled"),"",IF(AND($L593&lt;TODAY(),$I593&lt;&gt;"Completed",$I593&lt;&gt;"Cancelled"),"Overdue","On Track"))</f>
        <v/>
      </c>
      <c r="S593" s="65">
        <f>IF($L593="","",TEXT($L593,"yyyy-mm"))</f>
        <v/>
      </c>
      <c r="T593" s="86">
        <f>IF($I593="","",IFERROR(INDEX(Action_Status_Map!$C$5:$C$11,MATCH($I593,Action_Status_Map!$A$5:$A$11,0)),""))</f>
        <v/>
      </c>
      <c r="U593" s="81" t="n"/>
      <c r="V593" s="82" t="n"/>
      <c r="W593" s="65">
        <f>IF(OR($I593&lt;&gt;"Completed",$M593="",$L593=""),"",IF($M593&lt;=$L593,"Yes","No"))</f>
        <v/>
      </c>
      <c r="X593" s="84">
        <f>IF($A593="","",COUNTIF(Task_Steps!$B$5:$B$2004,$A593))</f>
        <v/>
      </c>
      <c r="Y593" s="86">
        <f>IF($X593=0,"",COUNTIFS(Task_Steps!$B$5:$B$2004,$A593,Task_Steps!$H$5:$H$2004,"Completed")/$X593)</f>
        <v/>
      </c>
      <c r="Z593" s="81" t="n"/>
      <c r="AA593" s="81" t="n"/>
      <c r="AB593" s="67">
        <f>IF($F593="","",IFERROR(INDEX(Employee_Master!$E$5:$E$204,MATCH($F593,Employee_Master!$B$5:$B$204,0)),""))</f>
        <v/>
      </c>
      <c r="AC593" s="65">
        <f>IF(OR($A593="",$AB593=""),"",IF(OR($I593="Completed",$I593="Cancelled"),"Closed - in Manager Report","Active - in Manager Report"))</f>
        <v/>
      </c>
      <c r="AD593" s="81">
        <f>IF($A593="","",IFERROR(TEXTJOIN(", ",TRUE,FILTER(Task_Steps!$A$5:$A$2004,Task_Steps!$B$5:$B$2004=$A593)),""))</f>
        <v/>
      </c>
      <c r="AE593" s="84">
        <f>IF($A593="","",COUNTIFS(Task_Steps!$B$5:$B$2004,$A593,Task_Steps!$H$5:$H$2004,"&lt;&gt;Completed",Task_Steps!$H$5:$H$2004,"&lt;&gt;Cancelled"))</f>
        <v/>
      </c>
      <c r="AF593" s="81">
        <f>IF(OR($B593="",$A593=""),"",$B593&amp;" | "&amp;$A593)</f>
        <v/>
      </c>
    </row>
    <row r="594" ht="15" customHeight="1" s="40">
      <c r="A594" s="65">
        <f>IF(COUNTA(B594:F594)=0,"","TSK-"&amp;TEXT(ROW()-4,"0000"))</f>
        <v/>
      </c>
      <c r="B594" s="78" t="n"/>
      <c r="C594" s="78" t="n"/>
      <c r="D594" s="81" t="n"/>
      <c r="E594" s="81" t="n"/>
      <c r="F594" s="78" t="n"/>
      <c r="G594" s="67">
        <f>IF($F594="","",IFERROR(INDEX(Employee_Master!$C$5:$C$204,MATCH($F594,Employee_Master!$B$5:$B$204,0)),""))</f>
        <v/>
      </c>
      <c r="H594" s="78" t="n"/>
      <c r="I594" s="78" t="n"/>
      <c r="J594" s="67">
        <f>IF($I594="","",IFERROR(INDEX(Action_Status_Map!$B$5:$B$11,MATCH($I594,Action_Status_Map!$A$5:$A$11,0)),""))</f>
        <v/>
      </c>
      <c r="K594" s="82" t="n"/>
      <c r="L594" s="82" t="n"/>
      <c r="M594" s="82" t="n"/>
      <c r="N594" s="83" t="n"/>
      <c r="O594" s="83" t="n"/>
      <c r="P594" s="66">
        <f>IF(OR($N594="",$O594=""),"",$O594-$N594)</f>
        <v/>
      </c>
      <c r="Q594" s="84">
        <f>IF($K594="","",IF($M594&lt;&gt;"",$M594-$K594,TODAY()-$K594))</f>
        <v/>
      </c>
      <c r="R594" s="85">
        <f>IF(OR($L594="",$I594="Completed",$I594="Cancelled"),"",IF(AND($L594&lt;TODAY(),$I594&lt;&gt;"Completed",$I594&lt;&gt;"Cancelled"),"Overdue","On Track"))</f>
        <v/>
      </c>
      <c r="S594" s="65">
        <f>IF($L594="","",TEXT($L594,"yyyy-mm"))</f>
        <v/>
      </c>
      <c r="T594" s="86">
        <f>IF($I594="","",IFERROR(INDEX(Action_Status_Map!$C$5:$C$11,MATCH($I594,Action_Status_Map!$A$5:$A$11,0)),""))</f>
        <v/>
      </c>
      <c r="U594" s="81" t="n"/>
      <c r="V594" s="82" t="n"/>
      <c r="W594" s="65">
        <f>IF(OR($I594&lt;&gt;"Completed",$M594="",$L594=""),"",IF($M594&lt;=$L594,"Yes","No"))</f>
        <v/>
      </c>
      <c r="X594" s="84">
        <f>IF($A594="","",COUNTIF(Task_Steps!$B$5:$B$2004,$A594))</f>
        <v/>
      </c>
      <c r="Y594" s="86">
        <f>IF($X594=0,"",COUNTIFS(Task_Steps!$B$5:$B$2004,$A594,Task_Steps!$H$5:$H$2004,"Completed")/$X594)</f>
        <v/>
      </c>
      <c r="Z594" s="81" t="n"/>
      <c r="AA594" s="81" t="n"/>
      <c r="AB594" s="67">
        <f>IF($F594="","",IFERROR(INDEX(Employee_Master!$E$5:$E$204,MATCH($F594,Employee_Master!$B$5:$B$204,0)),""))</f>
        <v/>
      </c>
      <c r="AC594" s="65">
        <f>IF(OR($A594="",$AB594=""),"",IF(OR($I594="Completed",$I594="Cancelled"),"Closed - in Manager Report","Active - in Manager Report"))</f>
        <v/>
      </c>
      <c r="AD594" s="81">
        <f>IF($A594="","",IFERROR(TEXTJOIN(", ",TRUE,FILTER(Task_Steps!$A$5:$A$2004,Task_Steps!$B$5:$B$2004=$A594)),""))</f>
        <v/>
      </c>
      <c r="AE594" s="84">
        <f>IF($A594="","",COUNTIFS(Task_Steps!$B$5:$B$2004,$A594,Task_Steps!$H$5:$H$2004,"&lt;&gt;Completed",Task_Steps!$H$5:$H$2004,"&lt;&gt;Cancelled"))</f>
        <v/>
      </c>
      <c r="AF594" s="81">
        <f>IF(OR($B594="",$A594=""),"",$B594&amp;" | "&amp;$A594)</f>
        <v/>
      </c>
    </row>
    <row r="595" ht="15" customHeight="1" s="40">
      <c r="A595" s="65">
        <f>IF(COUNTA(B595:F595)=0,"","TSK-"&amp;TEXT(ROW()-4,"0000"))</f>
        <v/>
      </c>
      <c r="B595" s="78" t="n"/>
      <c r="C595" s="78" t="n"/>
      <c r="D595" s="81" t="n"/>
      <c r="E595" s="81" t="n"/>
      <c r="F595" s="78" t="n"/>
      <c r="G595" s="67">
        <f>IF($F595="","",IFERROR(INDEX(Employee_Master!$C$5:$C$204,MATCH($F595,Employee_Master!$B$5:$B$204,0)),""))</f>
        <v/>
      </c>
      <c r="H595" s="78" t="n"/>
      <c r="I595" s="78" t="n"/>
      <c r="J595" s="67">
        <f>IF($I595="","",IFERROR(INDEX(Action_Status_Map!$B$5:$B$11,MATCH($I595,Action_Status_Map!$A$5:$A$11,0)),""))</f>
        <v/>
      </c>
      <c r="K595" s="82" t="n"/>
      <c r="L595" s="82" t="n"/>
      <c r="M595" s="82" t="n"/>
      <c r="N595" s="83" t="n"/>
      <c r="O595" s="83" t="n"/>
      <c r="P595" s="66">
        <f>IF(OR($N595="",$O595=""),"",$O595-$N595)</f>
        <v/>
      </c>
      <c r="Q595" s="84">
        <f>IF($K595="","",IF($M595&lt;&gt;"",$M595-$K595,TODAY()-$K595))</f>
        <v/>
      </c>
      <c r="R595" s="85">
        <f>IF(OR($L595="",$I595="Completed",$I595="Cancelled"),"",IF(AND($L595&lt;TODAY(),$I595&lt;&gt;"Completed",$I595&lt;&gt;"Cancelled"),"Overdue","On Track"))</f>
        <v/>
      </c>
      <c r="S595" s="65">
        <f>IF($L595="","",TEXT($L595,"yyyy-mm"))</f>
        <v/>
      </c>
      <c r="T595" s="86">
        <f>IF($I595="","",IFERROR(INDEX(Action_Status_Map!$C$5:$C$11,MATCH($I595,Action_Status_Map!$A$5:$A$11,0)),""))</f>
        <v/>
      </c>
      <c r="U595" s="81" t="n"/>
      <c r="V595" s="82" t="n"/>
      <c r="W595" s="65">
        <f>IF(OR($I595&lt;&gt;"Completed",$M595="",$L595=""),"",IF($M595&lt;=$L595,"Yes","No"))</f>
        <v/>
      </c>
      <c r="X595" s="84">
        <f>IF($A595="","",COUNTIF(Task_Steps!$B$5:$B$2004,$A595))</f>
        <v/>
      </c>
      <c r="Y595" s="86">
        <f>IF($X595=0,"",COUNTIFS(Task_Steps!$B$5:$B$2004,$A595,Task_Steps!$H$5:$H$2004,"Completed")/$X595)</f>
        <v/>
      </c>
      <c r="Z595" s="81" t="n"/>
      <c r="AA595" s="81" t="n"/>
      <c r="AB595" s="67">
        <f>IF($F595="","",IFERROR(INDEX(Employee_Master!$E$5:$E$204,MATCH($F595,Employee_Master!$B$5:$B$204,0)),""))</f>
        <v/>
      </c>
      <c r="AC595" s="65">
        <f>IF(OR($A595="",$AB595=""),"",IF(OR($I595="Completed",$I595="Cancelled"),"Closed - in Manager Report","Active - in Manager Report"))</f>
        <v/>
      </c>
      <c r="AD595" s="81">
        <f>IF($A595="","",IFERROR(TEXTJOIN(", ",TRUE,FILTER(Task_Steps!$A$5:$A$2004,Task_Steps!$B$5:$B$2004=$A595)),""))</f>
        <v/>
      </c>
      <c r="AE595" s="84">
        <f>IF($A595="","",COUNTIFS(Task_Steps!$B$5:$B$2004,$A595,Task_Steps!$H$5:$H$2004,"&lt;&gt;Completed",Task_Steps!$H$5:$H$2004,"&lt;&gt;Cancelled"))</f>
        <v/>
      </c>
      <c r="AF595" s="81">
        <f>IF(OR($B595="",$A595=""),"",$B595&amp;" | "&amp;$A595)</f>
        <v/>
      </c>
    </row>
    <row r="596" ht="15" customHeight="1" s="40">
      <c r="A596" s="65">
        <f>IF(COUNTA(B596:F596)=0,"","TSK-"&amp;TEXT(ROW()-4,"0000"))</f>
        <v/>
      </c>
      <c r="B596" s="78" t="n"/>
      <c r="C596" s="78" t="n"/>
      <c r="D596" s="81" t="n"/>
      <c r="E596" s="81" t="n"/>
      <c r="F596" s="78" t="n"/>
      <c r="G596" s="67">
        <f>IF($F596="","",IFERROR(INDEX(Employee_Master!$C$5:$C$204,MATCH($F596,Employee_Master!$B$5:$B$204,0)),""))</f>
        <v/>
      </c>
      <c r="H596" s="78" t="n"/>
      <c r="I596" s="78" t="n"/>
      <c r="J596" s="67">
        <f>IF($I596="","",IFERROR(INDEX(Action_Status_Map!$B$5:$B$11,MATCH($I596,Action_Status_Map!$A$5:$A$11,0)),""))</f>
        <v/>
      </c>
      <c r="K596" s="82" t="n"/>
      <c r="L596" s="82" t="n"/>
      <c r="M596" s="82" t="n"/>
      <c r="N596" s="83" t="n"/>
      <c r="O596" s="83" t="n"/>
      <c r="P596" s="66">
        <f>IF(OR($N596="",$O596=""),"",$O596-$N596)</f>
        <v/>
      </c>
      <c r="Q596" s="84">
        <f>IF($K596="","",IF($M596&lt;&gt;"",$M596-$K596,TODAY()-$K596))</f>
        <v/>
      </c>
      <c r="R596" s="85">
        <f>IF(OR($L596="",$I596="Completed",$I596="Cancelled"),"",IF(AND($L596&lt;TODAY(),$I596&lt;&gt;"Completed",$I596&lt;&gt;"Cancelled"),"Overdue","On Track"))</f>
        <v/>
      </c>
      <c r="S596" s="65">
        <f>IF($L596="","",TEXT($L596,"yyyy-mm"))</f>
        <v/>
      </c>
      <c r="T596" s="86">
        <f>IF($I596="","",IFERROR(INDEX(Action_Status_Map!$C$5:$C$11,MATCH($I596,Action_Status_Map!$A$5:$A$11,0)),""))</f>
        <v/>
      </c>
      <c r="U596" s="81" t="n"/>
      <c r="V596" s="82" t="n"/>
      <c r="W596" s="65">
        <f>IF(OR($I596&lt;&gt;"Completed",$M596="",$L596=""),"",IF($M596&lt;=$L596,"Yes","No"))</f>
        <v/>
      </c>
      <c r="X596" s="84">
        <f>IF($A596="","",COUNTIF(Task_Steps!$B$5:$B$2004,$A596))</f>
        <v/>
      </c>
      <c r="Y596" s="86">
        <f>IF($X596=0,"",COUNTIFS(Task_Steps!$B$5:$B$2004,$A596,Task_Steps!$H$5:$H$2004,"Completed")/$X596)</f>
        <v/>
      </c>
      <c r="Z596" s="81" t="n"/>
      <c r="AA596" s="81" t="n"/>
      <c r="AB596" s="67">
        <f>IF($F596="","",IFERROR(INDEX(Employee_Master!$E$5:$E$204,MATCH($F596,Employee_Master!$B$5:$B$204,0)),""))</f>
        <v/>
      </c>
      <c r="AC596" s="65">
        <f>IF(OR($A596="",$AB596=""),"",IF(OR($I596="Completed",$I596="Cancelled"),"Closed - in Manager Report","Active - in Manager Report"))</f>
        <v/>
      </c>
      <c r="AD596" s="81">
        <f>IF($A596="","",IFERROR(TEXTJOIN(", ",TRUE,FILTER(Task_Steps!$A$5:$A$2004,Task_Steps!$B$5:$B$2004=$A596)),""))</f>
        <v/>
      </c>
      <c r="AE596" s="84">
        <f>IF($A596="","",COUNTIFS(Task_Steps!$B$5:$B$2004,$A596,Task_Steps!$H$5:$H$2004,"&lt;&gt;Completed",Task_Steps!$H$5:$H$2004,"&lt;&gt;Cancelled"))</f>
        <v/>
      </c>
      <c r="AF596" s="81">
        <f>IF(OR($B596="",$A596=""),"",$B596&amp;" | "&amp;$A596)</f>
        <v/>
      </c>
    </row>
    <row r="597" ht="15" customHeight="1" s="40">
      <c r="A597" s="65">
        <f>IF(COUNTA(B597:F597)=0,"","TSK-"&amp;TEXT(ROW()-4,"0000"))</f>
        <v/>
      </c>
      <c r="B597" s="78" t="n"/>
      <c r="C597" s="78" t="n"/>
      <c r="D597" s="81" t="n"/>
      <c r="E597" s="81" t="n"/>
      <c r="F597" s="78" t="n"/>
      <c r="G597" s="67">
        <f>IF($F597="","",IFERROR(INDEX(Employee_Master!$C$5:$C$204,MATCH($F597,Employee_Master!$B$5:$B$204,0)),""))</f>
        <v/>
      </c>
      <c r="H597" s="78" t="n"/>
      <c r="I597" s="78" t="n"/>
      <c r="J597" s="67">
        <f>IF($I597="","",IFERROR(INDEX(Action_Status_Map!$B$5:$B$11,MATCH($I597,Action_Status_Map!$A$5:$A$11,0)),""))</f>
        <v/>
      </c>
      <c r="K597" s="82" t="n"/>
      <c r="L597" s="82" t="n"/>
      <c r="M597" s="82" t="n"/>
      <c r="N597" s="83" t="n"/>
      <c r="O597" s="83" t="n"/>
      <c r="P597" s="66">
        <f>IF(OR($N597="",$O597=""),"",$O597-$N597)</f>
        <v/>
      </c>
      <c r="Q597" s="84">
        <f>IF($K597="","",IF($M597&lt;&gt;"",$M597-$K597,TODAY()-$K597))</f>
        <v/>
      </c>
      <c r="R597" s="85">
        <f>IF(OR($L597="",$I597="Completed",$I597="Cancelled"),"",IF(AND($L597&lt;TODAY(),$I597&lt;&gt;"Completed",$I597&lt;&gt;"Cancelled"),"Overdue","On Track"))</f>
        <v/>
      </c>
      <c r="S597" s="65">
        <f>IF($L597="","",TEXT($L597,"yyyy-mm"))</f>
        <v/>
      </c>
      <c r="T597" s="86">
        <f>IF($I597="","",IFERROR(INDEX(Action_Status_Map!$C$5:$C$11,MATCH($I597,Action_Status_Map!$A$5:$A$11,0)),""))</f>
        <v/>
      </c>
      <c r="U597" s="81" t="n"/>
      <c r="V597" s="82" t="n"/>
      <c r="W597" s="65">
        <f>IF(OR($I597&lt;&gt;"Completed",$M597="",$L597=""),"",IF($M597&lt;=$L597,"Yes","No"))</f>
        <v/>
      </c>
      <c r="X597" s="84">
        <f>IF($A597="","",COUNTIF(Task_Steps!$B$5:$B$2004,$A597))</f>
        <v/>
      </c>
      <c r="Y597" s="86">
        <f>IF($X597=0,"",COUNTIFS(Task_Steps!$B$5:$B$2004,$A597,Task_Steps!$H$5:$H$2004,"Completed")/$X597)</f>
        <v/>
      </c>
      <c r="Z597" s="81" t="n"/>
      <c r="AA597" s="81" t="n"/>
      <c r="AB597" s="67">
        <f>IF($F597="","",IFERROR(INDEX(Employee_Master!$E$5:$E$204,MATCH($F597,Employee_Master!$B$5:$B$204,0)),""))</f>
        <v/>
      </c>
      <c r="AC597" s="65">
        <f>IF(OR($A597="",$AB597=""),"",IF(OR($I597="Completed",$I597="Cancelled"),"Closed - in Manager Report","Active - in Manager Report"))</f>
        <v/>
      </c>
      <c r="AD597" s="81">
        <f>IF($A597="","",IFERROR(TEXTJOIN(", ",TRUE,FILTER(Task_Steps!$A$5:$A$2004,Task_Steps!$B$5:$B$2004=$A597)),""))</f>
        <v/>
      </c>
      <c r="AE597" s="84">
        <f>IF($A597="","",COUNTIFS(Task_Steps!$B$5:$B$2004,$A597,Task_Steps!$H$5:$H$2004,"&lt;&gt;Completed",Task_Steps!$H$5:$H$2004,"&lt;&gt;Cancelled"))</f>
        <v/>
      </c>
      <c r="AF597" s="81">
        <f>IF(OR($B597="",$A597=""),"",$B597&amp;" | "&amp;$A597)</f>
        <v/>
      </c>
    </row>
    <row r="598" ht="15" customHeight="1" s="40">
      <c r="A598" s="65">
        <f>IF(COUNTA(B598:F598)=0,"","TSK-"&amp;TEXT(ROW()-4,"0000"))</f>
        <v/>
      </c>
      <c r="B598" s="78" t="n"/>
      <c r="C598" s="78" t="n"/>
      <c r="D598" s="81" t="n"/>
      <c r="E598" s="81" t="n"/>
      <c r="F598" s="78" t="n"/>
      <c r="G598" s="67">
        <f>IF($F598="","",IFERROR(INDEX(Employee_Master!$C$5:$C$204,MATCH($F598,Employee_Master!$B$5:$B$204,0)),""))</f>
        <v/>
      </c>
      <c r="H598" s="78" t="n"/>
      <c r="I598" s="78" t="n"/>
      <c r="J598" s="67">
        <f>IF($I598="","",IFERROR(INDEX(Action_Status_Map!$B$5:$B$11,MATCH($I598,Action_Status_Map!$A$5:$A$11,0)),""))</f>
        <v/>
      </c>
      <c r="K598" s="82" t="n"/>
      <c r="L598" s="82" t="n"/>
      <c r="M598" s="82" t="n"/>
      <c r="N598" s="83" t="n"/>
      <c r="O598" s="83" t="n"/>
      <c r="P598" s="66">
        <f>IF(OR($N598="",$O598=""),"",$O598-$N598)</f>
        <v/>
      </c>
      <c r="Q598" s="84">
        <f>IF($K598="","",IF($M598&lt;&gt;"",$M598-$K598,TODAY()-$K598))</f>
        <v/>
      </c>
      <c r="R598" s="85">
        <f>IF(OR($L598="",$I598="Completed",$I598="Cancelled"),"",IF(AND($L598&lt;TODAY(),$I598&lt;&gt;"Completed",$I598&lt;&gt;"Cancelled"),"Overdue","On Track"))</f>
        <v/>
      </c>
      <c r="S598" s="65">
        <f>IF($L598="","",TEXT($L598,"yyyy-mm"))</f>
        <v/>
      </c>
      <c r="T598" s="86">
        <f>IF($I598="","",IFERROR(INDEX(Action_Status_Map!$C$5:$C$11,MATCH($I598,Action_Status_Map!$A$5:$A$11,0)),""))</f>
        <v/>
      </c>
      <c r="U598" s="81" t="n"/>
      <c r="V598" s="82" t="n"/>
      <c r="W598" s="65">
        <f>IF(OR($I598&lt;&gt;"Completed",$M598="",$L598=""),"",IF($M598&lt;=$L598,"Yes","No"))</f>
        <v/>
      </c>
      <c r="X598" s="84">
        <f>IF($A598="","",COUNTIF(Task_Steps!$B$5:$B$2004,$A598))</f>
        <v/>
      </c>
      <c r="Y598" s="86">
        <f>IF($X598=0,"",COUNTIFS(Task_Steps!$B$5:$B$2004,$A598,Task_Steps!$H$5:$H$2004,"Completed")/$X598)</f>
        <v/>
      </c>
      <c r="Z598" s="81" t="n"/>
      <c r="AA598" s="81" t="n"/>
      <c r="AB598" s="67">
        <f>IF($F598="","",IFERROR(INDEX(Employee_Master!$E$5:$E$204,MATCH($F598,Employee_Master!$B$5:$B$204,0)),""))</f>
        <v/>
      </c>
      <c r="AC598" s="65">
        <f>IF(OR($A598="",$AB598=""),"",IF(OR($I598="Completed",$I598="Cancelled"),"Closed - in Manager Report","Active - in Manager Report"))</f>
        <v/>
      </c>
      <c r="AD598" s="81">
        <f>IF($A598="","",IFERROR(TEXTJOIN(", ",TRUE,FILTER(Task_Steps!$A$5:$A$2004,Task_Steps!$B$5:$B$2004=$A598)),""))</f>
        <v/>
      </c>
      <c r="AE598" s="84">
        <f>IF($A598="","",COUNTIFS(Task_Steps!$B$5:$B$2004,$A598,Task_Steps!$H$5:$H$2004,"&lt;&gt;Completed",Task_Steps!$H$5:$H$2004,"&lt;&gt;Cancelled"))</f>
        <v/>
      </c>
      <c r="AF598" s="81">
        <f>IF(OR($B598="",$A598=""),"",$B598&amp;" | "&amp;$A598)</f>
        <v/>
      </c>
    </row>
    <row r="599" ht="15" customHeight="1" s="40">
      <c r="A599" s="65">
        <f>IF(COUNTA(B599:F599)=0,"","TSK-"&amp;TEXT(ROW()-4,"0000"))</f>
        <v/>
      </c>
      <c r="B599" s="78" t="n"/>
      <c r="C599" s="78" t="n"/>
      <c r="D599" s="81" t="n"/>
      <c r="E599" s="81" t="n"/>
      <c r="F599" s="78" t="n"/>
      <c r="G599" s="67">
        <f>IF($F599="","",IFERROR(INDEX(Employee_Master!$C$5:$C$204,MATCH($F599,Employee_Master!$B$5:$B$204,0)),""))</f>
        <v/>
      </c>
      <c r="H599" s="78" t="n"/>
      <c r="I599" s="78" t="n"/>
      <c r="J599" s="67">
        <f>IF($I599="","",IFERROR(INDEX(Action_Status_Map!$B$5:$B$11,MATCH($I599,Action_Status_Map!$A$5:$A$11,0)),""))</f>
        <v/>
      </c>
      <c r="K599" s="82" t="n"/>
      <c r="L599" s="82" t="n"/>
      <c r="M599" s="82" t="n"/>
      <c r="N599" s="83" t="n"/>
      <c r="O599" s="83" t="n"/>
      <c r="P599" s="66">
        <f>IF(OR($N599="",$O599=""),"",$O599-$N599)</f>
        <v/>
      </c>
      <c r="Q599" s="84">
        <f>IF($K599="","",IF($M599&lt;&gt;"",$M599-$K599,TODAY()-$K599))</f>
        <v/>
      </c>
      <c r="R599" s="85">
        <f>IF(OR($L599="",$I599="Completed",$I599="Cancelled"),"",IF(AND($L599&lt;TODAY(),$I599&lt;&gt;"Completed",$I599&lt;&gt;"Cancelled"),"Overdue","On Track"))</f>
        <v/>
      </c>
      <c r="S599" s="65">
        <f>IF($L599="","",TEXT($L599,"yyyy-mm"))</f>
        <v/>
      </c>
      <c r="T599" s="86">
        <f>IF($I599="","",IFERROR(INDEX(Action_Status_Map!$C$5:$C$11,MATCH($I599,Action_Status_Map!$A$5:$A$11,0)),""))</f>
        <v/>
      </c>
      <c r="U599" s="81" t="n"/>
      <c r="V599" s="82" t="n"/>
      <c r="W599" s="65">
        <f>IF(OR($I599&lt;&gt;"Completed",$M599="",$L599=""),"",IF($M599&lt;=$L599,"Yes","No"))</f>
        <v/>
      </c>
      <c r="X599" s="84">
        <f>IF($A599="","",COUNTIF(Task_Steps!$B$5:$B$2004,$A599))</f>
        <v/>
      </c>
      <c r="Y599" s="86">
        <f>IF($X599=0,"",COUNTIFS(Task_Steps!$B$5:$B$2004,$A599,Task_Steps!$H$5:$H$2004,"Completed")/$X599)</f>
        <v/>
      </c>
      <c r="Z599" s="81" t="n"/>
      <c r="AA599" s="81" t="n"/>
      <c r="AB599" s="67">
        <f>IF($F599="","",IFERROR(INDEX(Employee_Master!$E$5:$E$204,MATCH($F599,Employee_Master!$B$5:$B$204,0)),""))</f>
        <v/>
      </c>
      <c r="AC599" s="65">
        <f>IF(OR($A599="",$AB599=""),"",IF(OR($I599="Completed",$I599="Cancelled"),"Closed - in Manager Report","Active - in Manager Report"))</f>
        <v/>
      </c>
      <c r="AD599" s="81">
        <f>IF($A599="","",IFERROR(TEXTJOIN(", ",TRUE,FILTER(Task_Steps!$A$5:$A$2004,Task_Steps!$B$5:$B$2004=$A599)),""))</f>
        <v/>
      </c>
      <c r="AE599" s="84">
        <f>IF($A599="","",COUNTIFS(Task_Steps!$B$5:$B$2004,$A599,Task_Steps!$H$5:$H$2004,"&lt;&gt;Completed",Task_Steps!$H$5:$H$2004,"&lt;&gt;Cancelled"))</f>
        <v/>
      </c>
      <c r="AF599" s="81">
        <f>IF(OR($B599="",$A599=""),"",$B599&amp;" | "&amp;$A599)</f>
        <v/>
      </c>
    </row>
    <row r="600" ht="15" customHeight="1" s="40">
      <c r="A600" s="65">
        <f>IF(COUNTA(B600:F600)=0,"","TSK-"&amp;TEXT(ROW()-4,"0000"))</f>
        <v/>
      </c>
      <c r="B600" s="78" t="n"/>
      <c r="C600" s="78" t="n"/>
      <c r="D600" s="81" t="n"/>
      <c r="E600" s="81" t="n"/>
      <c r="F600" s="78" t="n"/>
      <c r="G600" s="67">
        <f>IF($F600="","",IFERROR(INDEX(Employee_Master!$C$5:$C$204,MATCH($F600,Employee_Master!$B$5:$B$204,0)),""))</f>
        <v/>
      </c>
      <c r="H600" s="78" t="n"/>
      <c r="I600" s="78" t="n"/>
      <c r="J600" s="67">
        <f>IF($I600="","",IFERROR(INDEX(Action_Status_Map!$B$5:$B$11,MATCH($I600,Action_Status_Map!$A$5:$A$11,0)),""))</f>
        <v/>
      </c>
      <c r="K600" s="82" t="n"/>
      <c r="L600" s="82" t="n"/>
      <c r="M600" s="82" t="n"/>
      <c r="N600" s="83" t="n"/>
      <c r="O600" s="83" t="n"/>
      <c r="P600" s="66">
        <f>IF(OR($N600="",$O600=""),"",$O600-$N600)</f>
        <v/>
      </c>
      <c r="Q600" s="84">
        <f>IF($K600="","",IF($M600&lt;&gt;"",$M600-$K600,TODAY()-$K600))</f>
        <v/>
      </c>
      <c r="R600" s="85">
        <f>IF(OR($L600="",$I600="Completed",$I600="Cancelled"),"",IF(AND($L600&lt;TODAY(),$I600&lt;&gt;"Completed",$I600&lt;&gt;"Cancelled"),"Overdue","On Track"))</f>
        <v/>
      </c>
      <c r="S600" s="65">
        <f>IF($L600="","",TEXT($L600,"yyyy-mm"))</f>
        <v/>
      </c>
      <c r="T600" s="86">
        <f>IF($I600="","",IFERROR(INDEX(Action_Status_Map!$C$5:$C$11,MATCH($I600,Action_Status_Map!$A$5:$A$11,0)),""))</f>
        <v/>
      </c>
      <c r="U600" s="81" t="n"/>
      <c r="V600" s="82" t="n"/>
      <c r="W600" s="65">
        <f>IF(OR($I600&lt;&gt;"Completed",$M600="",$L600=""),"",IF($M600&lt;=$L600,"Yes","No"))</f>
        <v/>
      </c>
      <c r="X600" s="84">
        <f>IF($A600="","",COUNTIF(Task_Steps!$B$5:$B$2004,$A600))</f>
        <v/>
      </c>
      <c r="Y600" s="86">
        <f>IF($X600=0,"",COUNTIFS(Task_Steps!$B$5:$B$2004,$A600,Task_Steps!$H$5:$H$2004,"Completed")/$X600)</f>
        <v/>
      </c>
      <c r="Z600" s="81" t="n"/>
      <c r="AA600" s="81" t="n"/>
      <c r="AB600" s="67">
        <f>IF($F600="","",IFERROR(INDEX(Employee_Master!$E$5:$E$204,MATCH($F600,Employee_Master!$B$5:$B$204,0)),""))</f>
        <v/>
      </c>
      <c r="AC600" s="65">
        <f>IF(OR($A600="",$AB600=""),"",IF(OR($I600="Completed",$I600="Cancelled"),"Closed - in Manager Report","Active - in Manager Report"))</f>
        <v/>
      </c>
      <c r="AD600" s="81">
        <f>IF($A600="","",IFERROR(TEXTJOIN(", ",TRUE,FILTER(Task_Steps!$A$5:$A$2004,Task_Steps!$B$5:$B$2004=$A600)),""))</f>
        <v/>
      </c>
      <c r="AE600" s="84">
        <f>IF($A600="","",COUNTIFS(Task_Steps!$B$5:$B$2004,$A600,Task_Steps!$H$5:$H$2004,"&lt;&gt;Completed",Task_Steps!$H$5:$H$2004,"&lt;&gt;Cancelled"))</f>
        <v/>
      </c>
      <c r="AF600" s="81">
        <f>IF(OR($B600="",$A600=""),"",$B600&amp;" | "&amp;$A600)</f>
        <v/>
      </c>
    </row>
    <row r="601" ht="15" customHeight="1" s="40">
      <c r="A601" s="65">
        <f>IF(COUNTA(B601:F601)=0,"","TSK-"&amp;TEXT(ROW()-4,"0000"))</f>
        <v/>
      </c>
      <c r="B601" s="78" t="n"/>
      <c r="C601" s="78" t="n"/>
      <c r="D601" s="81" t="n"/>
      <c r="E601" s="81" t="n"/>
      <c r="F601" s="78" t="n"/>
      <c r="G601" s="67">
        <f>IF($F601="","",IFERROR(INDEX(Employee_Master!$C$5:$C$204,MATCH($F601,Employee_Master!$B$5:$B$204,0)),""))</f>
        <v/>
      </c>
      <c r="H601" s="78" t="n"/>
      <c r="I601" s="78" t="n"/>
      <c r="J601" s="67">
        <f>IF($I601="","",IFERROR(INDEX(Action_Status_Map!$B$5:$B$11,MATCH($I601,Action_Status_Map!$A$5:$A$11,0)),""))</f>
        <v/>
      </c>
      <c r="K601" s="82" t="n"/>
      <c r="L601" s="82" t="n"/>
      <c r="M601" s="82" t="n"/>
      <c r="N601" s="83" t="n"/>
      <c r="O601" s="83" t="n"/>
      <c r="P601" s="66">
        <f>IF(OR($N601="",$O601=""),"",$O601-$N601)</f>
        <v/>
      </c>
      <c r="Q601" s="84">
        <f>IF($K601="","",IF($M601&lt;&gt;"",$M601-$K601,TODAY()-$K601))</f>
        <v/>
      </c>
      <c r="R601" s="85">
        <f>IF(OR($L601="",$I601="Completed",$I601="Cancelled"),"",IF(AND($L601&lt;TODAY(),$I601&lt;&gt;"Completed",$I601&lt;&gt;"Cancelled"),"Overdue","On Track"))</f>
        <v/>
      </c>
      <c r="S601" s="65">
        <f>IF($L601="","",TEXT($L601,"yyyy-mm"))</f>
        <v/>
      </c>
      <c r="T601" s="86">
        <f>IF($I601="","",IFERROR(INDEX(Action_Status_Map!$C$5:$C$11,MATCH($I601,Action_Status_Map!$A$5:$A$11,0)),""))</f>
        <v/>
      </c>
      <c r="U601" s="81" t="n"/>
      <c r="V601" s="82" t="n"/>
      <c r="W601" s="65">
        <f>IF(OR($I601&lt;&gt;"Completed",$M601="",$L601=""),"",IF($M601&lt;=$L601,"Yes","No"))</f>
        <v/>
      </c>
      <c r="X601" s="84">
        <f>IF($A601="","",COUNTIF(Task_Steps!$B$5:$B$2004,$A601))</f>
        <v/>
      </c>
      <c r="Y601" s="86">
        <f>IF($X601=0,"",COUNTIFS(Task_Steps!$B$5:$B$2004,$A601,Task_Steps!$H$5:$H$2004,"Completed")/$X601)</f>
        <v/>
      </c>
      <c r="Z601" s="81" t="n"/>
      <c r="AA601" s="81" t="n"/>
      <c r="AB601" s="67">
        <f>IF($F601="","",IFERROR(INDEX(Employee_Master!$E$5:$E$204,MATCH($F601,Employee_Master!$B$5:$B$204,0)),""))</f>
        <v/>
      </c>
      <c r="AC601" s="65">
        <f>IF(OR($A601="",$AB601=""),"",IF(OR($I601="Completed",$I601="Cancelled"),"Closed - in Manager Report","Active - in Manager Report"))</f>
        <v/>
      </c>
      <c r="AD601" s="81">
        <f>IF($A601="","",IFERROR(TEXTJOIN(", ",TRUE,FILTER(Task_Steps!$A$5:$A$2004,Task_Steps!$B$5:$B$2004=$A601)),""))</f>
        <v/>
      </c>
      <c r="AE601" s="84">
        <f>IF($A601="","",COUNTIFS(Task_Steps!$B$5:$B$2004,$A601,Task_Steps!$H$5:$H$2004,"&lt;&gt;Completed",Task_Steps!$H$5:$H$2004,"&lt;&gt;Cancelled"))</f>
        <v/>
      </c>
      <c r="AF601" s="81">
        <f>IF(OR($B601="",$A601=""),"",$B601&amp;" | "&amp;$A601)</f>
        <v/>
      </c>
    </row>
    <row r="602" ht="15" customHeight="1" s="40">
      <c r="A602" s="65">
        <f>IF(COUNTA(B602:F602)=0,"","TSK-"&amp;TEXT(ROW()-4,"0000"))</f>
        <v/>
      </c>
      <c r="B602" s="78" t="n"/>
      <c r="C602" s="78" t="n"/>
      <c r="D602" s="81" t="n"/>
      <c r="E602" s="81" t="n"/>
      <c r="F602" s="78" t="n"/>
      <c r="G602" s="67">
        <f>IF($F602="","",IFERROR(INDEX(Employee_Master!$C$5:$C$204,MATCH($F602,Employee_Master!$B$5:$B$204,0)),""))</f>
        <v/>
      </c>
      <c r="H602" s="78" t="n"/>
      <c r="I602" s="78" t="n"/>
      <c r="J602" s="67">
        <f>IF($I602="","",IFERROR(INDEX(Action_Status_Map!$B$5:$B$11,MATCH($I602,Action_Status_Map!$A$5:$A$11,0)),""))</f>
        <v/>
      </c>
      <c r="K602" s="82" t="n"/>
      <c r="L602" s="82" t="n"/>
      <c r="M602" s="82" t="n"/>
      <c r="N602" s="83" t="n"/>
      <c r="O602" s="83" t="n"/>
      <c r="P602" s="66">
        <f>IF(OR($N602="",$O602=""),"",$O602-$N602)</f>
        <v/>
      </c>
      <c r="Q602" s="84">
        <f>IF($K602="","",IF($M602&lt;&gt;"",$M602-$K602,TODAY()-$K602))</f>
        <v/>
      </c>
      <c r="R602" s="85">
        <f>IF(OR($L602="",$I602="Completed",$I602="Cancelled"),"",IF(AND($L602&lt;TODAY(),$I602&lt;&gt;"Completed",$I602&lt;&gt;"Cancelled"),"Overdue","On Track"))</f>
        <v/>
      </c>
      <c r="S602" s="65">
        <f>IF($L602="","",TEXT($L602,"yyyy-mm"))</f>
        <v/>
      </c>
      <c r="T602" s="86">
        <f>IF($I602="","",IFERROR(INDEX(Action_Status_Map!$C$5:$C$11,MATCH($I602,Action_Status_Map!$A$5:$A$11,0)),""))</f>
        <v/>
      </c>
      <c r="U602" s="81" t="n"/>
      <c r="V602" s="82" t="n"/>
      <c r="W602" s="65">
        <f>IF(OR($I602&lt;&gt;"Completed",$M602="",$L602=""),"",IF($M602&lt;=$L602,"Yes","No"))</f>
        <v/>
      </c>
      <c r="X602" s="84">
        <f>IF($A602="","",COUNTIF(Task_Steps!$B$5:$B$2004,$A602))</f>
        <v/>
      </c>
      <c r="Y602" s="86">
        <f>IF($X602=0,"",COUNTIFS(Task_Steps!$B$5:$B$2004,$A602,Task_Steps!$H$5:$H$2004,"Completed")/$X602)</f>
        <v/>
      </c>
      <c r="Z602" s="81" t="n"/>
      <c r="AA602" s="81" t="n"/>
      <c r="AB602" s="67">
        <f>IF($F602="","",IFERROR(INDEX(Employee_Master!$E$5:$E$204,MATCH($F602,Employee_Master!$B$5:$B$204,0)),""))</f>
        <v/>
      </c>
      <c r="AC602" s="65">
        <f>IF(OR($A602="",$AB602=""),"",IF(OR($I602="Completed",$I602="Cancelled"),"Closed - in Manager Report","Active - in Manager Report"))</f>
        <v/>
      </c>
      <c r="AD602" s="81">
        <f>IF($A602="","",IFERROR(TEXTJOIN(", ",TRUE,FILTER(Task_Steps!$A$5:$A$2004,Task_Steps!$B$5:$B$2004=$A602)),""))</f>
        <v/>
      </c>
      <c r="AE602" s="84">
        <f>IF($A602="","",COUNTIFS(Task_Steps!$B$5:$B$2004,$A602,Task_Steps!$H$5:$H$2004,"&lt;&gt;Completed",Task_Steps!$H$5:$H$2004,"&lt;&gt;Cancelled"))</f>
        <v/>
      </c>
      <c r="AF602" s="81">
        <f>IF(OR($B602="",$A602=""),"",$B602&amp;" | "&amp;$A602)</f>
        <v/>
      </c>
    </row>
    <row r="603" ht="15" customHeight="1" s="40">
      <c r="A603" s="65">
        <f>IF(COUNTA(B603:F603)=0,"","TSK-"&amp;TEXT(ROW()-4,"0000"))</f>
        <v/>
      </c>
      <c r="B603" s="78" t="n"/>
      <c r="C603" s="78" t="n"/>
      <c r="D603" s="81" t="n"/>
      <c r="E603" s="81" t="n"/>
      <c r="F603" s="78" t="n"/>
      <c r="G603" s="67">
        <f>IF($F603="","",IFERROR(INDEX(Employee_Master!$C$5:$C$204,MATCH($F603,Employee_Master!$B$5:$B$204,0)),""))</f>
        <v/>
      </c>
      <c r="H603" s="78" t="n"/>
      <c r="I603" s="78" t="n"/>
      <c r="J603" s="67">
        <f>IF($I603="","",IFERROR(INDEX(Action_Status_Map!$B$5:$B$11,MATCH($I603,Action_Status_Map!$A$5:$A$11,0)),""))</f>
        <v/>
      </c>
      <c r="K603" s="82" t="n"/>
      <c r="L603" s="82" t="n"/>
      <c r="M603" s="82" t="n"/>
      <c r="N603" s="83" t="n"/>
      <c r="O603" s="83" t="n"/>
      <c r="P603" s="66">
        <f>IF(OR($N603="",$O603=""),"",$O603-$N603)</f>
        <v/>
      </c>
      <c r="Q603" s="84">
        <f>IF($K603="","",IF($M603&lt;&gt;"",$M603-$K603,TODAY()-$K603))</f>
        <v/>
      </c>
      <c r="R603" s="85">
        <f>IF(OR($L603="",$I603="Completed",$I603="Cancelled"),"",IF(AND($L603&lt;TODAY(),$I603&lt;&gt;"Completed",$I603&lt;&gt;"Cancelled"),"Overdue","On Track"))</f>
        <v/>
      </c>
      <c r="S603" s="65">
        <f>IF($L603="","",TEXT($L603,"yyyy-mm"))</f>
        <v/>
      </c>
      <c r="T603" s="86">
        <f>IF($I603="","",IFERROR(INDEX(Action_Status_Map!$C$5:$C$11,MATCH($I603,Action_Status_Map!$A$5:$A$11,0)),""))</f>
        <v/>
      </c>
      <c r="U603" s="81" t="n"/>
      <c r="V603" s="82" t="n"/>
      <c r="W603" s="65">
        <f>IF(OR($I603&lt;&gt;"Completed",$M603="",$L603=""),"",IF($M603&lt;=$L603,"Yes","No"))</f>
        <v/>
      </c>
      <c r="X603" s="84">
        <f>IF($A603="","",COUNTIF(Task_Steps!$B$5:$B$2004,$A603))</f>
        <v/>
      </c>
      <c r="Y603" s="86">
        <f>IF($X603=0,"",COUNTIFS(Task_Steps!$B$5:$B$2004,$A603,Task_Steps!$H$5:$H$2004,"Completed")/$X603)</f>
        <v/>
      </c>
      <c r="Z603" s="81" t="n"/>
      <c r="AA603" s="81" t="n"/>
      <c r="AB603" s="67">
        <f>IF($F603="","",IFERROR(INDEX(Employee_Master!$E$5:$E$204,MATCH($F603,Employee_Master!$B$5:$B$204,0)),""))</f>
        <v/>
      </c>
      <c r="AC603" s="65">
        <f>IF(OR($A603="",$AB603=""),"",IF(OR($I603="Completed",$I603="Cancelled"),"Closed - in Manager Report","Active - in Manager Report"))</f>
        <v/>
      </c>
      <c r="AD603" s="81">
        <f>IF($A603="","",IFERROR(TEXTJOIN(", ",TRUE,FILTER(Task_Steps!$A$5:$A$2004,Task_Steps!$B$5:$B$2004=$A603)),""))</f>
        <v/>
      </c>
      <c r="AE603" s="84">
        <f>IF($A603="","",COUNTIFS(Task_Steps!$B$5:$B$2004,$A603,Task_Steps!$H$5:$H$2004,"&lt;&gt;Completed",Task_Steps!$H$5:$H$2004,"&lt;&gt;Cancelled"))</f>
        <v/>
      </c>
      <c r="AF603" s="81">
        <f>IF(OR($B603="",$A603=""),"",$B603&amp;" | "&amp;$A603)</f>
        <v/>
      </c>
    </row>
    <row r="604" ht="15" customHeight="1" s="40">
      <c r="A604" s="65">
        <f>IF(COUNTA(B604:F604)=0,"","TSK-"&amp;TEXT(ROW()-4,"0000"))</f>
        <v/>
      </c>
      <c r="B604" s="78" t="n"/>
      <c r="C604" s="78" t="n"/>
      <c r="D604" s="81" t="n"/>
      <c r="E604" s="81" t="n"/>
      <c r="F604" s="78" t="n"/>
      <c r="G604" s="67">
        <f>IF($F604="","",IFERROR(INDEX(Employee_Master!$C$5:$C$204,MATCH($F604,Employee_Master!$B$5:$B$204,0)),""))</f>
        <v/>
      </c>
      <c r="H604" s="78" t="n"/>
      <c r="I604" s="78" t="n"/>
      <c r="J604" s="67">
        <f>IF($I604="","",IFERROR(INDEX(Action_Status_Map!$B$5:$B$11,MATCH($I604,Action_Status_Map!$A$5:$A$11,0)),""))</f>
        <v/>
      </c>
      <c r="K604" s="82" t="n"/>
      <c r="L604" s="82" t="n"/>
      <c r="M604" s="82" t="n"/>
      <c r="N604" s="83" t="n"/>
      <c r="O604" s="83" t="n"/>
      <c r="P604" s="66">
        <f>IF(OR($N604="",$O604=""),"",$O604-$N604)</f>
        <v/>
      </c>
      <c r="Q604" s="84">
        <f>IF($K604="","",IF($M604&lt;&gt;"",$M604-$K604,TODAY()-$K604))</f>
        <v/>
      </c>
      <c r="R604" s="85">
        <f>IF(OR($L604="",$I604="Completed",$I604="Cancelled"),"",IF(AND($L604&lt;TODAY(),$I604&lt;&gt;"Completed",$I604&lt;&gt;"Cancelled"),"Overdue","On Track"))</f>
        <v/>
      </c>
      <c r="S604" s="65">
        <f>IF($L604="","",TEXT($L604,"yyyy-mm"))</f>
        <v/>
      </c>
      <c r="T604" s="86">
        <f>IF($I604="","",IFERROR(INDEX(Action_Status_Map!$C$5:$C$11,MATCH($I604,Action_Status_Map!$A$5:$A$11,0)),""))</f>
        <v/>
      </c>
      <c r="U604" s="81" t="n"/>
      <c r="V604" s="82" t="n"/>
      <c r="W604" s="65">
        <f>IF(OR($I604&lt;&gt;"Completed",$M604="",$L604=""),"",IF($M604&lt;=$L604,"Yes","No"))</f>
        <v/>
      </c>
      <c r="X604" s="84">
        <f>IF($A604="","",COUNTIF(Task_Steps!$B$5:$B$2004,$A604))</f>
        <v/>
      </c>
      <c r="Y604" s="86">
        <f>IF($X604=0,"",COUNTIFS(Task_Steps!$B$5:$B$2004,$A604,Task_Steps!$H$5:$H$2004,"Completed")/$X604)</f>
        <v/>
      </c>
      <c r="Z604" s="81" t="n"/>
      <c r="AA604" s="81" t="n"/>
      <c r="AB604" s="67">
        <f>IF($F604="","",IFERROR(INDEX(Employee_Master!$E$5:$E$204,MATCH($F604,Employee_Master!$B$5:$B$204,0)),""))</f>
        <v/>
      </c>
      <c r="AC604" s="65">
        <f>IF(OR($A604="",$AB604=""),"",IF(OR($I604="Completed",$I604="Cancelled"),"Closed - in Manager Report","Active - in Manager Report"))</f>
        <v/>
      </c>
      <c r="AD604" s="81">
        <f>IF($A604="","",IFERROR(TEXTJOIN(", ",TRUE,FILTER(Task_Steps!$A$5:$A$2004,Task_Steps!$B$5:$B$2004=$A604)),""))</f>
        <v/>
      </c>
      <c r="AE604" s="84">
        <f>IF($A604="","",COUNTIFS(Task_Steps!$B$5:$B$2004,$A604,Task_Steps!$H$5:$H$2004,"&lt;&gt;Completed",Task_Steps!$H$5:$H$2004,"&lt;&gt;Cancelled"))</f>
        <v/>
      </c>
      <c r="AF604" s="81">
        <f>IF(OR($B604="",$A604=""),"",$B604&amp;" | "&amp;$A604)</f>
        <v/>
      </c>
    </row>
    <row r="605" ht="15" customHeight="1" s="40">
      <c r="A605" s="65">
        <f>IF(COUNTA(B605:F605)=0,"","TSK-"&amp;TEXT(ROW()-4,"0000"))</f>
        <v/>
      </c>
      <c r="B605" s="78" t="n"/>
      <c r="C605" s="78" t="n"/>
      <c r="D605" s="81" t="n"/>
      <c r="E605" s="81" t="n"/>
      <c r="F605" s="78" t="n"/>
      <c r="G605" s="67">
        <f>IF($F605="","",IFERROR(INDEX(Employee_Master!$C$5:$C$204,MATCH($F605,Employee_Master!$B$5:$B$204,0)),""))</f>
        <v/>
      </c>
      <c r="H605" s="78" t="n"/>
      <c r="I605" s="78" t="n"/>
      <c r="J605" s="67">
        <f>IF($I605="","",IFERROR(INDEX(Action_Status_Map!$B$5:$B$11,MATCH($I605,Action_Status_Map!$A$5:$A$11,0)),""))</f>
        <v/>
      </c>
      <c r="K605" s="82" t="n"/>
      <c r="L605" s="82" t="n"/>
      <c r="M605" s="82" t="n"/>
      <c r="N605" s="83" t="n"/>
      <c r="O605" s="83" t="n"/>
      <c r="P605" s="66">
        <f>IF(OR($N605="",$O605=""),"",$O605-$N605)</f>
        <v/>
      </c>
      <c r="Q605" s="84">
        <f>IF($K605="","",IF($M605&lt;&gt;"",$M605-$K605,TODAY()-$K605))</f>
        <v/>
      </c>
      <c r="R605" s="85">
        <f>IF(OR($L605="",$I605="Completed",$I605="Cancelled"),"",IF(AND($L605&lt;TODAY(),$I605&lt;&gt;"Completed",$I605&lt;&gt;"Cancelled"),"Overdue","On Track"))</f>
        <v/>
      </c>
      <c r="S605" s="65">
        <f>IF($L605="","",TEXT($L605,"yyyy-mm"))</f>
        <v/>
      </c>
      <c r="T605" s="86">
        <f>IF($I605="","",IFERROR(INDEX(Action_Status_Map!$C$5:$C$11,MATCH($I605,Action_Status_Map!$A$5:$A$11,0)),""))</f>
        <v/>
      </c>
      <c r="U605" s="81" t="n"/>
      <c r="V605" s="82" t="n"/>
      <c r="W605" s="65">
        <f>IF(OR($I605&lt;&gt;"Completed",$M605="",$L605=""),"",IF($M605&lt;=$L605,"Yes","No"))</f>
        <v/>
      </c>
      <c r="X605" s="84">
        <f>IF($A605="","",COUNTIF(Task_Steps!$B$5:$B$2004,$A605))</f>
        <v/>
      </c>
      <c r="Y605" s="86">
        <f>IF($X605=0,"",COUNTIFS(Task_Steps!$B$5:$B$2004,$A605,Task_Steps!$H$5:$H$2004,"Completed")/$X605)</f>
        <v/>
      </c>
      <c r="Z605" s="81" t="n"/>
      <c r="AA605" s="81" t="n"/>
      <c r="AB605" s="67">
        <f>IF($F605="","",IFERROR(INDEX(Employee_Master!$E$5:$E$204,MATCH($F605,Employee_Master!$B$5:$B$204,0)),""))</f>
        <v/>
      </c>
      <c r="AC605" s="65">
        <f>IF(OR($A605="",$AB605=""),"",IF(OR($I605="Completed",$I605="Cancelled"),"Closed - in Manager Report","Active - in Manager Report"))</f>
        <v/>
      </c>
      <c r="AD605" s="81">
        <f>IF($A605="","",IFERROR(TEXTJOIN(", ",TRUE,FILTER(Task_Steps!$A$5:$A$2004,Task_Steps!$B$5:$B$2004=$A605)),""))</f>
        <v/>
      </c>
      <c r="AE605" s="84">
        <f>IF($A605="","",COUNTIFS(Task_Steps!$B$5:$B$2004,$A605,Task_Steps!$H$5:$H$2004,"&lt;&gt;Completed",Task_Steps!$H$5:$H$2004,"&lt;&gt;Cancelled"))</f>
        <v/>
      </c>
      <c r="AF605" s="81">
        <f>IF(OR($B605="",$A605=""),"",$B605&amp;" | "&amp;$A605)</f>
        <v/>
      </c>
    </row>
    <row r="606" ht="15" customHeight="1" s="40">
      <c r="A606" s="65">
        <f>IF(COUNTA(B606:F606)=0,"","TSK-"&amp;TEXT(ROW()-4,"0000"))</f>
        <v/>
      </c>
      <c r="B606" s="78" t="n"/>
      <c r="C606" s="78" t="n"/>
      <c r="D606" s="81" t="n"/>
      <c r="E606" s="81" t="n"/>
      <c r="F606" s="78" t="n"/>
      <c r="G606" s="67">
        <f>IF($F606="","",IFERROR(INDEX(Employee_Master!$C$5:$C$204,MATCH($F606,Employee_Master!$B$5:$B$204,0)),""))</f>
        <v/>
      </c>
      <c r="H606" s="78" t="n"/>
      <c r="I606" s="78" t="n"/>
      <c r="J606" s="67">
        <f>IF($I606="","",IFERROR(INDEX(Action_Status_Map!$B$5:$B$11,MATCH($I606,Action_Status_Map!$A$5:$A$11,0)),""))</f>
        <v/>
      </c>
      <c r="K606" s="82" t="n"/>
      <c r="L606" s="82" t="n"/>
      <c r="M606" s="82" t="n"/>
      <c r="N606" s="83" t="n"/>
      <c r="O606" s="83" t="n"/>
      <c r="P606" s="66">
        <f>IF(OR($N606="",$O606=""),"",$O606-$N606)</f>
        <v/>
      </c>
      <c r="Q606" s="84">
        <f>IF($K606="","",IF($M606&lt;&gt;"",$M606-$K606,TODAY()-$K606))</f>
        <v/>
      </c>
      <c r="R606" s="85">
        <f>IF(OR($L606="",$I606="Completed",$I606="Cancelled"),"",IF(AND($L606&lt;TODAY(),$I606&lt;&gt;"Completed",$I606&lt;&gt;"Cancelled"),"Overdue","On Track"))</f>
        <v/>
      </c>
      <c r="S606" s="65">
        <f>IF($L606="","",TEXT($L606,"yyyy-mm"))</f>
        <v/>
      </c>
      <c r="T606" s="86">
        <f>IF($I606="","",IFERROR(INDEX(Action_Status_Map!$C$5:$C$11,MATCH($I606,Action_Status_Map!$A$5:$A$11,0)),""))</f>
        <v/>
      </c>
      <c r="U606" s="81" t="n"/>
      <c r="V606" s="82" t="n"/>
      <c r="W606" s="65">
        <f>IF(OR($I606&lt;&gt;"Completed",$M606="",$L606=""),"",IF($M606&lt;=$L606,"Yes","No"))</f>
        <v/>
      </c>
      <c r="X606" s="84">
        <f>IF($A606="","",COUNTIF(Task_Steps!$B$5:$B$2004,$A606))</f>
        <v/>
      </c>
      <c r="Y606" s="86">
        <f>IF($X606=0,"",COUNTIFS(Task_Steps!$B$5:$B$2004,$A606,Task_Steps!$H$5:$H$2004,"Completed")/$X606)</f>
        <v/>
      </c>
      <c r="Z606" s="81" t="n"/>
      <c r="AA606" s="81" t="n"/>
      <c r="AB606" s="67">
        <f>IF($F606="","",IFERROR(INDEX(Employee_Master!$E$5:$E$204,MATCH($F606,Employee_Master!$B$5:$B$204,0)),""))</f>
        <v/>
      </c>
      <c r="AC606" s="65">
        <f>IF(OR($A606="",$AB606=""),"",IF(OR($I606="Completed",$I606="Cancelled"),"Closed - in Manager Report","Active - in Manager Report"))</f>
        <v/>
      </c>
      <c r="AD606" s="81">
        <f>IF($A606="","",IFERROR(TEXTJOIN(", ",TRUE,FILTER(Task_Steps!$A$5:$A$2004,Task_Steps!$B$5:$B$2004=$A606)),""))</f>
        <v/>
      </c>
      <c r="AE606" s="84">
        <f>IF($A606="","",COUNTIFS(Task_Steps!$B$5:$B$2004,$A606,Task_Steps!$H$5:$H$2004,"&lt;&gt;Completed",Task_Steps!$H$5:$H$2004,"&lt;&gt;Cancelled"))</f>
        <v/>
      </c>
      <c r="AF606" s="81">
        <f>IF(OR($B606="",$A606=""),"",$B606&amp;" | "&amp;$A606)</f>
        <v/>
      </c>
    </row>
    <row r="607" ht="15" customHeight="1" s="40">
      <c r="A607" s="65">
        <f>IF(COUNTA(B607:F607)=0,"","TSK-"&amp;TEXT(ROW()-4,"0000"))</f>
        <v/>
      </c>
      <c r="B607" s="78" t="n"/>
      <c r="C607" s="78" t="n"/>
      <c r="D607" s="81" t="n"/>
      <c r="E607" s="81" t="n"/>
      <c r="F607" s="78" t="n"/>
      <c r="G607" s="67">
        <f>IF($F607="","",IFERROR(INDEX(Employee_Master!$C$5:$C$204,MATCH($F607,Employee_Master!$B$5:$B$204,0)),""))</f>
        <v/>
      </c>
      <c r="H607" s="78" t="n"/>
      <c r="I607" s="78" t="n"/>
      <c r="J607" s="67">
        <f>IF($I607="","",IFERROR(INDEX(Action_Status_Map!$B$5:$B$11,MATCH($I607,Action_Status_Map!$A$5:$A$11,0)),""))</f>
        <v/>
      </c>
      <c r="K607" s="82" t="n"/>
      <c r="L607" s="82" t="n"/>
      <c r="M607" s="82" t="n"/>
      <c r="N607" s="83" t="n"/>
      <c r="O607" s="83" t="n"/>
      <c r="P607" s="66">
        <f>IF(OR($N607="",$O607=""),"",$O607-$N607)</f>
        <v/>
      </c>
      <c r="Q607" s="84">
        <f>IF($K607="","",IF($M607&lt;&gt;"",$M607-$K607,TODAY()-$K607))</f>
        <v/>
      </c>
      <c r="R607" s="85">
        <f>IF(OR($L607="",$I607="Completed",$I607="Cancelled"),"",IF(AND($L607&lt;TODAY(),$I607&lt;&gt;"Completed",$I607&lt;&gt;"Cancelled"),"Overdue","On Track"))</f>
        <v/>
      </c>
      <c r="S607" s="65">
        <f>IF($L607="","",TEXT($L607,"yyyy-mm"))</f>
        <v/>
      </c>
      <c r="T607" s="86">
        <f>IF($I607="","",IFERROR(INDEX(Action_Status_Map!$C$5:$C$11,MATCH($I607,Action_Status_Map!$A$5:$A$11,0)),""))</f>
        <v/>
      </c>
      <c r="U607" s="81" t="n"/>
      <c r="V607" s="82" t="n"/>
      <c r="W607" s="65">
        <f>IF(OR($I607&lt;&gt;"Completed",$M607="",$L607=""),"",IF($M607&lt;=$L607,"Yes","No"))</f>
        <v/>
      </c>
      <c r="X607" s="84">
        <f>IF($A607="","",COUNTIF(Task_Steps!$B$5:$B$2004,$A607))</f>
        <v/>
      </c>
      <c r="Y607" s="86">
        <f>IF($X607=0,"",COUNTIFS(Task_Steps!$B$5:$B$2004,$A607,Task_Steps!$H$5:$H$2004,"Completed")/$X607)</f>
        <v/>
      </c>
      <c r="Z607" s="81" t="n"/>
      <c r="AA607" s="81" t="n"/>
      <c r="AB607" s="67">
        <f>IF($F607="","",IFERROR(INDEX(Employee_Master!$E$5:$E$204,MATCH($F607,Employee_Master!$B$5:$B$204,0)),""))</f>
        <v/>
      </c>
      <c r="AC607" s="65">
        <f>IF(OR($A607="",$AB607=""),"",IF(OR($I607="Completed",$I607="Cancelled"),"Closed - in Manager Report","Active - in Manager Report"))</f>
        <v/>
      </c>
      <c r="AD607" s="81">
        <f>IF($A607="","",IFERROR(TEXTJOIN(", ",TRUE,FILTER(Task_Steps!$A$5:$A$2004,Task_Steps!$B$5:$B$2004=$A607)),""))</f>
        <v/>
      </c>
      <c r="AE607" s="84">
        <f>IF($A607="","",COUNTIFS(Task_Steps!$B$5:$B$2004,$A607,Task_Steps!$H$5:$H$2004,"&lt;&gt;Completed",Task_Steps!$H$5:$H$2004,"&lt;&gt;Cancelled"))</f>
        <v/>
      </c>
      <c r="AF607" s="81">
        <f>IF(OR($B607="",$A607=""),"",$B607&amp;" | "&amp;$A607)</f>
        <v/>
      </c>
    </row>
    <row r="608" ht="15" customHeight="1" s="40">
      <c r="A608" s="65">
        <f>IF(COUNTA(B608:F608)=0,"","TSK-"&amp;TEXT(ROW()-4,"0000"))</f>
        <v/>
      </c>
      <c r="B608" s="78" t="n"/>
      <c r="C608" s="78" t="n"/>
      <c r="D608" s="81" t="n"/>
      <c r="E608" s="81" t="n"/>
      <c r="F608" s="78" t="n"/>
      <c r="G608" s="67">
        <f>IF($F608="","",IFERROR(INDEX(Employee_Master!$C$5:$C$204,MATCH($F608,Employee_Master!$B$5:$B$204,0)),""))</f>
        <v/>
      </c>
      <c r="H608" s="78" t="n"/>
      <c r="I608" s="78" t="n"/>
      <c r="J608" s="67">
        <f>IF($I608="","",IFERROR(INDEX(Action_Status_Map!$B$5:$B$11,MATCH($I608,Action_Status_Map!$A$5:$A$11,0)),""))</f>
        <v/>
      </c>
      <c r="K608" s="82" t="n"/>
      <c r="L608" s="82" t="n"/>
      <c r="M608" s="82" t="n"/>
      <c r="N608" s="83" t="n"/>
      <c r="O608" s="83" t="n"/>
      <c r="P608" s="66">
        <f>IF(OR($N608="",$O608=""),"",$O608-$N608)</f>
        <v/>
      </c>
      <c r="Q608" s="84">
        <f>IF($K608="","",IF($M608&lt;&gt;"",$M608-$K608,TODAY()-$K608))</f>
        <v/>
      </c>
      <c r="R608" s="85">
        <f>IF(OR($L608="",$I608="Completed",$I608="Cancelled"),"",IF(AND($L608&lt;TODAY(),$I608&lt;&gt;"Completed",$I608&lt;&gt;"Cancelled"),"Overdue","On Track"))</f>
        <v/>
      </c>
      <c r="S608" s="65">
        <f>IF($L608="","",TEXT($L608,"yyyy-mm"))</f>
        <v/>
      </c>
      <c r="T608" s="86">
        <f>IF($I608="","",IFERROR(INDEX(Action_Status_Map!$C$5:$C$11,MATCH($I608,Action_Status_Map!$A$5:$A$11,0)),""))</f>
        <v/>
      </c>
      <c r="U608" s="81" t="n"/>
      <c r="V608" s="82" t="n"/>
      <c r="W608" s="65">
        <f>IF(OR($I608&lt;&gt;"Completed",$M608="",$L608=""),"",IF($M608&lt;=$L608,"Yes","No"))</f>
        <v/>
      </c>
      <c r="X608" s="84">
        <f>IF($A608="","",COUNTIF(Task_Steps!$B$5:$B$2004,$A608))</f>
        <v/>
      </c>
      <c r="Y608" s="86">
        <f>IF($X608=0,"",COUNTIFS(Task_Steps!$B$5:$B$2004,$A608,Task_Steps!$H$5:$H$2004,"Completed")/$X608)</f>
        <v/>
      </c>
      <c r="Z608" s="81" t="n"/>
      <c r="AA608" s="81" t="n"/>
      <c r="AB608" s="67">
        <f>IF($F608="","",IFERROR(INDEX(Employee_Master!$E$5:$E$204,MATCH($F608,Employee_Master!$B$5:$B$204,0)),""))</f>
        <v/>
      </c>
      <c r="AC608" s="65">
        <f>IF(OR($A608="",$AB608=""),"",IF(OR($I608="Completed",$I608="Cancelled"),"Closed - in Manager Report","Active - in Manager Report"))</f>
        <v/>
      </c>
      <c r="AD608" s="81">
        <f>IF($A608="","",IFERROR(TEXTJOIN(", ",TRUE,FILTER(Task_Steps!$A$5:$A$2004,Task_Steps!$B$5:$B$2004=$A608)),""))</f>
        <v/>
      </c>
      <c r="AE608" s="84">
        <f>IF($A608="","",COUNTIFS(Task_Steps!$B$5:$B$2004,$A608,Task_Steps!$H$5:$H$2004,"&lt;&gt;Completed",Task_Steps!$H$5:$H$2004,"&lt;&gt;Cancelled"))</f>
        <v/>
      </c>
      <c r="AF608" s="81">
        <f>IF(OR($B608="",$A608=""),"",$B608&amp;" | "&amp;$A608)</f>
        <v/>
      </c>
    </row>
    <row r="609" ht="15" customHeight="1" s="40">
      <c r="A609" s="65">
        <f>IF(COUNTA(B609:F609)=0,"","TSK-"&amp;TEXT(ROW()-4,"0000"))</f>
        <v/>
      </c>
      <c r="B609" s="78" t="n"/>
      <c r="C609" s="78" t="n"/>
      <c r="D609" s="81" t="n"/>
      <c r="E609" s="81" t="n"/>
      <c r="F609" s="78" t="n"/>
      <c r="G609" s="67">
        <f>IF($F609="","",IFERROR(INDEX(Employee_Master!$C$5:$C$204,MATCH($F609,Employee_Master!$B$5:$B$204,0)),""))</f>
        <v/>
      </c>
      <c r="H609" s="78" t="n"/>
      <c r="I609" s="78" t="n"/>
      <c r="J609" s="67">
        <f>IF($I609="","",IFERROR(INDEX(Action_Status_Map!$B$5:$B$11,MATCH($I609,Action_Status_Map!$A$5:$A$11,0)),""))</f>
        <v/>
      </c>
      <c r="K609" s="82" t="n"/>
      <c r="L609" s="82" t="n"/>
      <c r="M609" s="82" t="n"/>
      <c r="N609" s="83" t="n"/>
      <c r="O609" s="83" t="n"/>
      <c r="P609" s="66">
        <f>IF(OR($N609="",$O609=""),"",$O609-$N609)</f>
        <v/>
      </c>
      <c r="Q609" s="84">
        <f>IF($K609="","",IF($M609&lt;&gt;"",$M609-$K609,TODAY()-$K609))</f>
        <v/>
      </c>
      <c r="R609" s="85">
        <f>IF(OR($L609="",$I609="Completed",$I609="Cancelled"),"",IF(AND($L609&lt;TODAY(),$I609&lt;&gt;"Completed",$I609&lt;&gt;"Cancelled"),"Overdue","On Track"))</f>
        <v/>
      </c>
      <c r="S609" s="65">
        <f>IF($L609="","",TEXT($L609,"yyyy-mm"))</f>
        <v/>
      </c>
      <c r="T609" s="86">
        <f>IF($I609="","",IFERROR(INDEX(Action_Status_Map!$C$5:$C$11,MATCH($I609,Action_Status_Map!$A$5:$A$11,0)),""))</f>
        <v/>
      </c>
      <c r="U609" s="81" t="n"/>
      <c r="V609" s="82" t="n"/>
      <c r="W609" s="65">
        <f>IF(OR($I609&lt;&gt;"Completed",$M609="",$L609=""),"",IF($M609&lt;=$L609,"Yes","No"))</f>
        <v/>
      </c>
      <c r="X609" s="84">
        <f>IF($A609="","",COUNTIF(Task_Steps!$B$5:$B$2004,$A609))</f>
        <v/>
      </c>
      <c r="Y609" s="86">
        <f>IF($X609=0,"",COUNTIFS(Task_Steps!$B$5:$B$2004,$A609,Task_Steps!$H$5:$H$2004,"Completed")/$X609)</f>
        <v/>
      </c>
      <c r="Z609" s="81" t="n"/>
      <c r="AA609" s="81" t="n"/>
      <c r="AB609" s="67">
        <f>IF($F609="","",IFERROR(INDEX(Employee_Master!$E$5:$E$204,MATCH($F609,Employee_Master!$B$5:$B$204,0)),""))</f>
        <v/>
      </c>
      <c r="AC609" s="65">
        <f>IF(OR($A609="",$AB609=""),"",IF(OR($I609="Completed",$I609="Cancelled"),"Closed - in Manager Report","Active - in Manager Report"))</f>
        <v/>
      </c>
      <c r="AD609" s="81">
        <f>IF($A609="","",IFERROR(TEXTJOIN(", ",TRUE,FILTER(Task_Steps!$A$5:$A$2004,Task_Steps!$B$5:$B$2004=$A609)),""))</f>
        <v/>
      </c>
      <c r="AE609" s="84">
        <f>IF($A609="","",COUNTIFS(Task_Steps!$B$5:$B$2004,$A609,Task_Steps!$H$5:$H$2004,"&lt;&gt;Completed",Task_Steps!$H$5:$H$2004,"&lt;&gt;Cancelled"))</f>
        <v/>
      </c>
      <c r="AF609" s="81">
        <f>IF(OR($B609="",$A609=""),"",$B609&amp;" | "&amp;$A609)</f>
        <v/>
      </c>
    </row>
    <row r="610" ht="15" customHeight="1" s="40">
      <c r="A610" s="65">
        <f>IF(COUNTA(B610:F610)=0,"","TSK-"&amp;TEXT(ROW()-4,"0000"))</f>
        <v/>
      </c>
      <c r="B610" s="78" t="n"/>
      <c r="C610" s="78" t="n"/>
      <c r="D610" s="81" t="n"/>
      <c r="E610" s="81" t="n"/>
      <c r="F610" s="78" t="n"/>
      <c r="G610" s="67">
        <f>IF($F610="","",IFERROR(INDEX(Employee_Master!$C$5:$C$204,MATCH($F610,Employee_Master!$B$5:$B$204,0)),""))</f>
        <v/>
      </c>
      <c r="H610" s="78" t="n"/>
      <c r="I610" s="78" t="n"/>
      <c r="J610" s="67">
        <f>IF($I610="","",IFERROR(INDEX(Action_Status_Map!$B$5:$B$11,MATCH($I610,Action_Status_Map!$A$5:$A$11,0)),""))</f>
        <v/>
      </c>
      <c r="K610" s="82" t="n"/>
      <c r="L610" s="82" t="n"/>
      <c r="M610" s="82" t="n"/>
      <c r="N610" s="83" t="n"/>
      <c r="O610" s="83" t="n"/>
      <c r="P610" s="66">
        <f>IF(OR($N610="",$O610=""),"",$O610-$N610)</f>
        <v/>
      </c>
      <c r="Q610" s="84">
        <f>IF($K610="","",IF($M610&lt;&gt;"",$M610-$K610,TODAY()-$K610))</f>
        <v/>
      </c>
      <c r="R610" s="85">
        <f>IF(OR($L610="",$I610="Completed",$I610="Cancelled"),"",IF(AND($L610&lt;TODAY(),$I610&lt;&gt;"Completed",$I610&lt;&gt;"Cancelled"),"Overdue","On Track"))</f>
        <v/>
      </c>
      <c r="S610" s="65">
        <f>IF($L610="","",TEXT($L610,"yyyy-mm"))</f>
        <v/>
      </c>
      <c r="T610" s="86">
        <f>IF($I610="","",IFERROR(INDEX(Action_Status_Map!$C$5:$C$11,MATCH($I610,Action_Status_Map!$A$5:$A$11,0)),""))</f>
        <v/>
      </c>
      <c r="U610" s="81" t="n"/>
      <c r="V610" s="82" t="n"/>
      <c r="W610" s="65">
        <f>IF(OR($I610&lt;&gt;"Completed",$M610="",$L610=""),"",IF($M610&lt;=$L610,"Yes","No"))</f>
        <v/>
      </c>
      <c r="X610" s="84">
        <f>IF($A610="","",COUNTIF(Task_Steps!$B$5:$B$2004,$A610))</f>
        <v/>
      </c>
      <c r="Y610" s="86">
        <f>IF($X610=0,"",COUNTIFS(Task_Steps!$B$5:$B$2004,$A610,Task_Steps!$H$5:$H$2004,"Completed")/$X610)</f>
        <v/>
      </c>
      <c r="Z610" s="81" t="n"/>
      <c r="AA610" s="81" t="n"/>
      <c r="AB610" s="67">
        <f>IF($F610="","",IFERROR(INDEX(Employee_Master!$E$5:$E$204,MATCH($F610,Employee_Master!$B$5:$B$204,0)),""))</f>
        <v/>
      </c>
      <c r="AC610" s="65">
        <f>IF(OR($A610="",$AB610=""),"",IF(OR($I610="Completed",$I610="Cancelled"),"Closed - in Manager Report","Active - in Manager Report"))</f>
        <v/>
      </c>
      <c r="AD610" s="81">
        <f>IF($A610="","",IFERROR(TEXTJOIN(", ",TRUE,FILTER(Task_Steps!$A$5:$A$2004,Task_Steps!$B$5:$B$2004=$A610)),""))</f>
        <v/>
      </c>
      <c r="AE610" s="84">
        <f>IF($A610="","",COUNTIFS(Task_Steps!$B$5:$B$2004,$A610,Task_Steps!$H$5:$H$2004,"&lt;&gt;Completed",Task_Steps!$H$5:$H$2004,"&lt;&gt;Cancelled"))</f>
        <v/>
      </c>
      <c r="AF610" s="81">
        <f>IF(OR($B610="",$A610=""),"",$B610&amp;" | "&amp;$A610)</f>
        <v/>
      </c>
    </row>
    <row r="611" ht="15" customHeight="1" s="40">
      <c r="A611" s="65">
        <f>IF(COUNTA(B611:F611)=0,"","TSK-"&amp;TEXT(ROW()-4,"0000"))</f>
        <v/>
      </c>
      <c r="B611" s="78" t="n"/>
      <c r="C611" s="78" t="n"/>
      <c r="D611" s="81" t="n"/>
      <c r="E611" s="81" t="n"/>
      <c r="F611" s="78" t="n"/>
      <c r="G611" s="67">
        <f>IF($F611="","",IFERROR(INDEX(Employee_Master!$C$5:$C$204,MATCH($F611,Employee_Master!$B$5:$B$204,0)),""))</f>
        <v/>
      </c>
      <c r="H611" s="78" t="n"/>
      <c r="I611" s="78" t="n"/>
      <c r="J611" s="67">
        <f>IF($I611="","",IFERROR(INDEX(Action_Status_Map!$B$5:$B$11,MATCH($I611,Action_Status_Map!$A$5:$A$11,0)),""))</f>
        <v/>
      </c>
      <c r="K611" s="82" t="n"/>
      <c r="L611" s="82" t="n"/>
      <c r="M611" s="82" t="n"/>
      <c r="N611" s="83" t="n"/>
      <c r="O611" s="83" t="n"/>
      <c r="P611" s="66">
        <f>IF(OR($N611="",$O611=""),"",$O611-$N611)</f>
        <v/>
      </c>
      <c r="Q611" s="84">
        <f>IF($K611="","",IF($M611&lt;&gt;"",$M611-$K611,TODAY()-$K611))</f>
        <v/>
      </c>
      <c r="R611" s="85">
        <f>IF(OR($L611="",$I611="Completed",$I611="Cancelled"),"",IF(AND($L611&lt;TODAY(),$I611&lt;&gt;"Completed",$I611&lt;&gt;"Cancelled"),"Overdue","On Track"))</f>
        <v/>
      </c>
      <c r="S611" s="65">
        <f>IF($L611="","",TEXT($L611,"yyyy-mm"))</f>
        <v/>
      </c>
      <c r="T611" s="86">
        <f>IF($I611="","",IFERROR(INDEX(Action_Status_Map!$C$5:$C$11,MATCH($I611,Action_Status_Map!$A$5:$A$11,0)),""))</f>
        <v/>
      </c>
      <c r="U611" s="81" t="n"/>
      <c r="V611" s="82" t="n"/>
      <c r="W611" s="65">
        <f>IF(OR($I611&lt;&gt;"Completed",$M611="",$L611=""),"",IF($M611&lt;=$L611,"Yes","No"))</f>
        <v/>
      </c>
      <c r="X611" s="84">
        <f>IF($A611="","",COUNTIF(Task_Steps!$B$5:$B$2004,$A611))</f>
        <v/>
      </c>
      <c r="Y611" s="86">
        <f>IF($X611=0,"",COUNTIFS(Task_Steps!$B$5:$B$2004,$A611,Task_Steps!$H$5:$H$2004,"Completed")/$X611)</f>
        <v/>
      </c>
      <c r="Z611" s="81" t="n"/>
      <c r="AA611" s="81" t="n"/>
      <c r="AB611" s="67">
        <f>IF($F611="","",IFERROR(INDEX(Employee_Master!$E$5:$E$204,MATCH($F611,Employee_Master!$B$5:$B$204,0)),""))</f>
        <v/>
      </c>
      <c r="AC611" s="65">
        <f>IF(OR($A611="",$AB611=""),"",IF(OR($I611="Completed",$I611="Cancelled"),"Closed - in Manager Report","Active - in Manager Report"))</f>
        <v/>
      </c>
      <c r="AD611" s="81">
        <f>IF($A611="","",IFERROR(TEXTJOIN(", ",TRUE,FILTER(Task_Steps!$A$5:$A$2004,Task_Steps!$B$5:$B$2004=$A611)),""))</f>
        <v/>
      </c>
      <c r="AE611" s="84">
        <f>IF($A611="","",COUNTIFS(Task_Steps!$B$5:$B$2004,$A611,Task_Steps!$H$5:$H$2004,"&lt;&gt;Completed",Task_Steps!$H$5:$H$2004,"&lt;&gt;Cancelled"))</f>
        <v/>
      </c>
      <c r="AF611" s="81">
        <f>IF(OR($B611="",$A611=""),"",$B611&amp;" | "&amp;$A611)</f>
        <v/>
      </c>
    </row>
    <row r="612" ht="15" customHeight="1" s="40">
      <c r="A612" s="65">
        <f>IF(COUNTA(B612:F612)=0,"","TSK-"&amp;TEXT(ROW()-4,"0000"))</f>
        <v/>
      </c>
      <c r="B612" s="78" t="n"/>
      <c r="C612" s="78" t="n"/>
      <c r="D612" s="81" t="n"/>
      <c r="E612" s="81" t="n"/>
      <c r="F612" s="78" t="n"/>
      <c r="G612" s="67">
        <f>IF($F612="","",IFERROR(INDEX(Employee_Master!$C$5:$C$204,MATCH($F612,Employee_Master!$B$5:$B$204,0)),""))</f>
        <v/>
      </c>
      <c r="H612" s="78" t="n"/>
      <c r="I612" s="78" t="n"/>
      <c r="J612" s="67">
        <f>IF($I612="","",IFERROR(INDEX(Action_Status_Map!$B$5:$B$11,MATCH($I612,Action_Status_Map!$A$5:$A$11,0)),""))</f>
        <v/>
      </c>
      <c r="K612" s="82" t="n"/>
      <c r="L612" s="82" t="n"/>
      <c r="M612" s="82" t="n"/>
      <c r="N612" s="83" t="n"/>
      <c r="O612" s="83" t="n"/>
      <c r="P612" s="66">
        <f>IF(OR($N612="",$O612=""),"",$O612-$N612)</f>
        <v/>
      </c>
      <c r="Q612" s="84">
        <f>IF($K612="","",IF($M612&lt;&gt;"",$M612-$K612,TODAY()-$K612))</f>
        <v/>
      </c>
      <c r="R612" s="85">
        <f>IF(OR($L612="",$I612="Completed",$I612="Cancelled"),"",IF(AND($L612&lt;TODAY(),$I612&lt;&gt;"Completed",$I612&lt;&gt;"Cancelled"),"Overdue","On Track"))</f>
        <v/>
      </c>
      <c r="S612" s="65">
        <f>IF($L612="","",TEXT($L612,"yyyy-mm"))</f>
        <v/>
      </c>
      <c r="T612" s="86">
        <f>IF($I612="","",IFERROR(INDEX(Action_Status_Map!$C$5:$C$11,MATCH($I612,Action_Status_Map!$A$5:$A$11,0)),""))</f>
        <v/>
      </c>
      <c r="U612" s="81" t="n"/>
      <c r="V612" s="82" t="n"/>
      <c r="W612" s="65">
        <f>IF(OR($I612&lt;&gt;"Completed",$M612="",$L612=""),"",IF($M612&lt;=$L612,"Yes","No"))</f>
        <v/>
      </c>
      <c r="X612" s="84">
        <f>IF($A612="","",COUNTIF(Task_Steps!$B$5:$B$2004,$A612))</f>
        <v/>
      </c>
      <c r="Y612" s="86">
        <f>IF($X612=0,"",COUNTIFS(Task_Steps!$B$5:$B$2004,$A612,Task_Steps!$H$5:$H$2004,"Completed")/$X612)</f>
        <v/>
      </c>
      <c r="Z612" s="81" t="n"/>
      <c r="AA612" s="81" t="n"/>
      <c r="AB612" s="67">
        <f>IF($F612="","",IFERROR(INDEX(Employee_Master!$E$5:$E$204,MATCH($F612,Employee_Master!$B$5:$B$204,0)),""))</f>
        <v/>
      </c>
      <c r="AC612" s="65">
        <f>IF(OR($A612="",$AB612=""),"",IF(OR($I612="Completed",$I612="Cancelled"),"Closed - in Manager Report","Active - in Manager Report"))</f>
        <v/>
      </c>
      <c r="AD612" s="81">
        <f>IF($A612="","",IFERROR(TEXTJOIN(", ",TRUE,FILTER(Task_Steps!$A$5:$A$2004,Task_Steps!$B$5:$B$2004=$A612)),""))</f>
        <v/>
      </c>
      <c r="AE612" s="84">
        <f>IF($A612="","",COUNTIFS(Task_Steps!$B$5:$B$2004,$A612,Task_Steps!$H$5:$H$2004,"&lt;&gt;Completed",Task_Steps!$H$5:$H$2004,"&lt;&gt;Cancelled"))</f>
        <v/>
      </c>
      <c r="AF612" s="81">
        <f>IF(OR($B612="",$A612=""),"",$B612&amp;" | "&amp;$A612)</f>
        <v/>
      </c>
    </row>
    <row r="613" ht="15" customHeight="1" s="40">
      <c r="A613" s="65">
        <f>IF(COUNTA(B613:F613)=0,"","TSK-"&amp;TEXT(ROW()-4,"0000"))</f>
        <v/>
      </c>
      <c r="B613" s="78" t="n"/>
      <c r="C613" s="78" t="n"/>
      <c r="D613" s="81" t="n"/>
      <c r="E613" s="81" t="n"/>
      <c r="F613" s="78" t="n"/>
      <c r="G613" s="67">
        <f>IF($F613="","",IFERROR(INDEX(Employee_Master!$C$5:$C$204,MATCH($F613,Employee_Master!$B$5:$B$204,0)),""))</f>
        <v/>
      </c>
      <c r="H613" s="78" t="n"/>
      <c r="I613" s="78" t="n"/>
      <c r="J613" s="67">
        <f>IF($I613="","",IFERROR(INDEX(Action_Status_Map!$B$5:$B$11,MATCH($I613,Action_Status_Map!$A$5:$A$11,0)),""))</f>
        <v/>
      </c>
      <c r="K613" s="82" t="n"/>
      <c r="L613" s="82" t="n"/>
      <c r="M613" s="82" t="n"/>
      <c r="N613" s="83" t="n"/>
      <c r="O613" s="83" t="n"/>
      <c r="P613" s="66">
        <f>IF(OR($N613="",$O613=""),"",$O613-$N613)</f>
        <v/>
      </c>
      <c r="Q613" s="84">
        <f>IF($K613="","",IF($M613&lt;&gt;"",$M613-$K613,TODAY()-$K613))</f>
        <v/>
      </c>
      <c r="R613" s="85">
        <f>IF(OR($L613="",$I613="Completed",$I613="Cancelled"),"",IF(AND($L613&lt;TODAY(),$I613&lt;&gt;"Completed",$I613&lt;&gt;"Cancelled"),"Overdue","On Track"))</f>
        <v/>
      </c>
      <c r="S613" s="65">
        <f>IF($L613="","",TEXT($L613,"yyyy-mm"))</f>
        <v/>
      </c>
      <c r="T613" s="86">
        <f>IF($I613="","",IFERROR(INDEX(Action_Status_Map!$C$5:$C$11,MATCH($I613,Action_Status_Map!$A$5:$A$11,0)),""))</f>
        <v/>
      </c>
      <c r="U613" s="81" t="n"/>
      <c r="V613" s="82" t="n"/>
      <c r="W613" s="65">
        <f>IF(OR($I613&lt;&gt;"Completed",$M613="",$L613=""),"",IF($M613&lt;=$L613,"Yes","No"))</f>
        <v/>
      </c>
      <c r="X613" s="84">
        <f>IF($A613="","",COUNTIF(Task_Steps!$B$5:$B$2004,$A613))</f>
        <v/>
      </c>
      <c r="Y613" s="86">
        <f>IF($X613=0,"",COUNTIFS(Task_Steps!$B$5:$B$2004,$A613,Task_Steps!$H$5:$H$2004,"Completed")/$X613)</f>
        <v/>
      </c>
      <c r="Z613" s="81" t="n"/>
      <c r="AA613" s="81" t="n"/>
      <c r="AB613" s="67">
        <f>IF($F613="","",IFERROR(INDEX(Employee_Master!$E$5:$E$204,MATCH($F613,Employee_Master!$B$5:$B$204,0)),""))</f>
        <v/>
      </c>
      <c r="AC613" s="65">
        <f>IF(OR($A613="",$AB613=""),"",IF(OR($I613="Completed",$I613="Cancelled"),"Closed - in Manager Report","Active - in Manager Report"))</f>
        <v/>
      </c>
      <c r="AD613" s="81">
        <f>IF($A613="","",IFERROR(TEXTJOIN(", ",TRUE,FILTER(Task_Steps!$A$5:$A$2004,Task_Steps!$B$5:$B$2004=$A613)),""))</f>
        <v/>
      </c>
      <c r="AE613" s="84">
        <f>IF($A613="","",COUNTIFS(Task_Steps!$B$5:$B$2004,$A613,Task_Steps!$H$5:$H$2004,"&lt;&gt;Completed",Task_Steps!$H$5:$H$2004,"&lt;&gt;Cancelled"))</f>
        <v/>
      </c>
      <c r="AF613" s="81">
        <f>IF(OR($B613="",$A613=""),"",$B613&amp;" | "&amp;$A613)</f>
        <v/>
      </c>
    </row>
    <row r="614" ht="15" customHeight="1" s="40">
      <c r="A614" s="65">
        <f>IF(COUNTA(B614:F614)=0,"","TSK-"&amp;TEXT(ROW()-4,"0000"))</f>
        <v/>
      </c>
      <c r="B614" s="78" t="n"/>
      <c r="C614" s="78" t="n"/>
      <c r="D614" s="81" t="n"/>
      <c r="E614" s="81" t="n"/>
      <c r="F614" s="78" t="n"/>
      <c r="G614" s="67">
        <f>IF($F614="","",IFERROR(INDEX(Employee_Master!$C$5:$C$204,MATCH($F614,Employee_Master!$B$5:$B$204,0)),""))</f>
        <v/>
      </c>
      <c r="H614" s="78" t="n"/>
      <c r="I614" s="78" t="n"/>
      <c r="J614" s="67">
        <f>IF($I614="","",IFERROR(INDEX(Action_Status_Map!$B$5:$B$11,MATCH($I614,Action_Status_Map!$A$5:$A$11,0)),""))</f>
        <v/>
      </c>
      <c r="K614" s="82" t="n"/>
      <c r="L614" s="82" t="n"/>
      <c r="M614" s="82" t="n"/>
      <c r="N614" s="83" t="n"/>
      <c r="O614" s="83" t="n"/>
      <c r="P614" s="66">
        <f>IF(OR($N614="",$O614=""),"",$O614-$N614)</f>
        <v/>
      </c>
      <c r="Q614" s="84">
        <f>IF($K614="","",IF($M614&lt;&gt;"",$M614-$K614,TODAY()-$K614))</f>
        <v/>
      </c>
      <c r="R614" s="85">
        <f>IF(OR($L614="",$I614="Completed",$I614="Cancelled"),"",IF(AND($L614&lt;TODAY(),$I614&lt;&gt;"Completed",$I614&lt;&gt;"Cancelled"),"Overdue","On Track"))</f>
        <v/>
      </c>
      <c r="S614" s="65">
        <f>IF($L614="","",TEXT($L614,"yyyy-mm"))</f>
        <v/>
      </c>
      <c r="T614" s="86">
        <f>IF($I614="","",IFERROR(INDEX(Action_Status_Map!$C$5:$C$11,MATCH($I614,Action_Status_Map!$A$5:$A$11,0)),""))</f>
        <v/>
      </c>
      <c r="U614" s="81" t="n"/>
      <c r="V614" s="82" t="n"/>
      <c r="W614" s="65">
        <f>IF(OR($I614&lt;&gt;"Completed",$M614="",$L614=""),"",IF($M614&lt;=$L614,"Yes","No"))</f>
        <v/>
      </c>
      <c r="X614" s="84">
        <f>IF($A614="","",COUNTIF(Task_Steps!$B$5:$B$2004,$A614))</f>
        <v/>
      </c>
      <c r="Y614" s="86">
        <f>IF($X614=0,"",COUNTIFS(Task_Steps!$B$5:$B$2004,$A614,Task_Steps!$H$5:$H$2004,"Completed")/$X614)</f>
        <v/>
      </c>
      <c r="Z614" s="81" t="n"/>
      <c r="AA614" s="81" t="n"/>
      <c r="AB614" s="67">
        <f>IF($F614="","",IFERROR(INDEX(Employee_Master!$E$5:$E$204,MATCH($F614,Employee_Master!$B$5:$B$204,0)),""))</f>
        <v/>
      </c>
      <c r="AC614" s="65">
        <f>IF(OR($A614="",$AB614=""),"",IF(OR($I614="Completed",$I614="Cancelled"),"Closed - in Manager Report","Active - in Manager Report"))</f>
        <v/>
      </c>
      <c r="AD614" s="81">
        <f>IF($A614="","",IFERROR(TEXTJOIN(", ",TRUE,FILTER(Task_Steps!$A$5:$A$2004,Task_Steps!$B$5:$B$2004=$A614)),""))</f>
        <v/>
      </c>
      <c r="AE614" s="84">
        <f>IF($A614="","",COUNTIFS(Task_Steps!$B$5:$B$2004,$A614,Task_Steps!$H$5:$H$2004,"&lt;&gt;Completed",Task_Steps!$H$5:$H$2004,"&lt;&gt;Cancelled"))</f>
        <v/>
      </c>
      <c r="AF614" s="81">
        <f>IF(OR($B614="",$A614=""),"",$B614&amp;" | "&amp;$A614)</f>
        <v/>
      </c>
    </row>
    <row r="615" ht="15" customHeight="1" s="40">
      <c r="A615" s="65">
        <f>IF(COUNTA(B615:F615)=0,"","TSK-"&amp;TEXT(ROW()-4,"0000"))</f>
        <v/>
      </c>
      <c r="B615" s="78" t="n"/>
      <c r="C615" s="78" t="n"/>
      <c r="D615" s="81" t="n"/>
      <c r="E615" s="81" t="n"/>
      <c r="F615" s="78" t="n"/>
      <c r="G615" s="67">
        <f>IF($F615="","",IFERROR(INDEX(Employee_Master!$C$5:$C$204,MATCH($F615,Employee_Master!$B$5:$B$204,0)),""))</f>
        <v/>
      </c>
      <c r="H615" s="78" t="n"/>
      <c r="I615" s="78" t="n"/>
      <c r="J615" s="67">
        <f>IF($I615="","",IFERROR(INDEX(Action_Status_Map!$B$5:$B$11,MATCH($I615,Action_Status_Map!$A$5:$A$11,0)),""))</f>
        <v/>
      </c>
      <c r="K615" s="82" t="n"/>
      <c r="L615" s="82" t="n"/>
      <c r="M615" s="82" t="n"/>
      <c r="N615" s="83" t="n"/>
      <c r="O615" s="83" t="n"/>
      <c r="P615" s="66">
        <f>IF(OR($N615="",$O615=""),"",$O615-$N615)</f>
        <v/>
      </c>
      <c r="Q615" s="84">
        <f>IF($K615="","",IF($M615&lt;&gt;"",$M615-$K615,TODAY()-$K615))</f>
        <v/>
      </c>
      <c r="R615" s="85">
        <f>IF(OR($L615="",$I615="Completed",$I615="Cancelled"),"",IF(AND($L615&lt;TODAY(),$I615&lt;&gt;"Completed",$I615&lt;&gt;"Cancelled"),"Overdue","On Track"))</f>
        <v/>
      </c>
      <c r="S615" s="65">
        <f>IF($L615="","",TEXT($L615,"yyyy-mm"))</f>
        <v/>
      </c>
      <c r="T615" s="86">
        <f>IF($I615="","",IFERROR(INDEX(Action_Status_Map!$C$5:$C$11,MATCH($I615,Action_Status_Map!$A$5:$A$11,0)),""))</f>
        <v/>
      </c>
      <c r="U615" s="81" t="n"/>
      <c r="V615" s="82" t="n"/>
      <c r="W615" s="65">
        <f>IF(OR($I615&lt;&gt;"Completed",$M615="",$L615=""),"",IF($M615&lt;=$L615,"Yes","No"))</f>
        <v/>
      </c>
      <c r="X615" s="84">
        <f>IF($A615="","",COUNTIF(Task_Steps!$B$5:$B$2004,$A615))</f>
        <v/>
      </c>
      <c r="Y615" s="86">
        <f>IF($X615=0,"",COUNTIFS(Task_Steps!$B$5:$B$2004,$A615,Task_Steps!$H$5:$H$2004,"Completed")/$X615)</f>
        <v/>
      </c>
      <c r="Z615" s="81" t="n"/>
      <c r="AA615" s="81" t="n"/>
      <c r="AB615" s="67">
        <f>IF($F615="","",IFERROR(INDEX(Employee_Master!$E$5:$E$204,MATCH($F615,Employee_Master!$B$5:$B$204,0)),""))</f>
        <v/>
      </c>
      <c r="AC615" s="65">
        <f>IF(OR($A615="",$AB615=""),"",IF(OR($I615="Completed",$I615="Cancelled"),"Closed - in Manager Report","Active - in Manager Report"))</f>
        <v/>
      </c>
      <c r="AD615" s="81">
        <f>IF($A615="","",IFERROR(TEXTJOIN(", ",TRUE,FILTER(Task_Steps!$A$5:$A$2004,Task_Steps!$B$5:$B$2004=$A615)),""))</f>
        <v/>
      </c>
      <c r="AE615" s="84">
        <f>IF($A615="","",COUNTIFS(Task_Steps!$B$5:$B$2004,$A615,Task_Steps!$H$5:$H$2004,"&lt;&gt;Completed",Task_Steps!$H$5:$H$2004,"&lt;&gt;Cancelled"))</f>
        <v/>
      </c>
      <c r="AF615" s="81">
        <f>IF(OR($B615="",$A615=""),"",$B615&amp;" | "&amp;$A615)</f>
        <v/>
      </c>
    </row>
    <row r="616" ht="15" customHeight="1" s="40">
      <c r="A616" s="65">
        <f>IF(COUNTA(B616:F616)=0,"","TSK-"&amp;TEXT(ROW()-4,"0000"))</f>
        <v/>
      </c>
      <c r="B616" s="78" t="n"/>
      <c r="C616" s="78" t="n"/>
      <c r="D616" s="81" t="n"/>
      <c r="E616" s="81" t="n"/>
      <c r="F616" s="78" t="n"/>
      <c r="G616" s="67">
        <f>IF($F616="","",IFERROR(INDEX(Employee_Master!$C$5:$C$204,MATCH($F616,Employee_Master!$B$5:$B$204,0)),""))</f>
        <v/>
      </c>
      <c r="H616" s="78" t="n"/>
      <c r="I616" s="78" t="n"/>
      <c r="J616" s="67">
        <f>IF($I616="","",IFERROR(INDEX(Action_Status_Map!$B$5:$B$11,MATCH($I616,Action_Status_Map!$A$5:$A$11,0)),""))</f>
        <v/>
      </c>
      <c r="K616" s="82" t="n"/>
      <c r="L616" s="82" t="n"/>
      <c r="M616" s="82" t="n"/>
      <c r="N616" s="83" t="n"/>
      <c r="O616" s="83" t="n"/>
      <c r="P616" s="66">
        <f>IF(OR($N616="",$O616=""),"",$O616-$N616)</f>
        <v/>
      </c>
      <c r="Q616" s="84">
        <f>IF($K616="","",IF($M616&lt;&gt;"",$M616-$K616,TODAY()-$K616))</f>
        <v/>
      </c>
      <c r="R616" s="85">
        <f>IF(OR($L616="",$I616="Completed",$I616="Cancelled"),"",IF(AND($L616&lt;TODAY(),$I616&lt;&gt;"Completed",$I616&lt;&gt;"Cancelled"),"Overdue","On Track"))</f>
        <v/>
      </c>
      <c r="S616" s="65">
        <f>IF($L616="","",TEXT($L616,"yyyy-mm"))</f>
        <v/>
      </c>
      <c r="T616" s="86">
        <f>IF($I616="","",IFERROR(INDEX(Action_Status_Map!$C$5:$C$11,MATCH($I616,Action_Status_Map!$A$5:$A$11,0)),""))</f>
        <v/>
      </c>
      <c r="U616" s="81" t="n"/>
      <c r="V616" s="82" t="n"/>
      <c r="W616" s="65">
        <f>IF(OR($I616&lt;&gt;"Completed",$M616="",$L616=""),"",IF($M616&lt;=$L616,"Yes","No"))</f>
        <v/>
      </c>
      <c r="X616" s="84">
        <f>IF($A616="","",COUNTIF(Task_Steps!$B$5:$B$2004,$A616))</f>
        <v/>
      </c>
      <c r="Y616" s="86">
        <f>IF($X616=0,"",COUNTIFS(Task_Steps!$B$5:$B$2004,$A616,Task_Steps!$H$5:$H$2004,"Completed")/$X616)</f>
        <v/>
      </c>
      <c r="Z616" s="81" t="n"/>
      <c r="AA616" s="81" t="n"/>
      <c r="AB616" s="67">
        <f>IF($F616="","",IFERROR(INDEX(Employee_Master!$E$5:$E$204,MATCH($F616,Employee_Master!$B$5:$B$204,0)),""))</f>
        <v/>
      </c>
      <c r="AC616" s="65">
        <f>IF(OR($A616="",$AB616=""),"",IF(OR($I616="Completed",$I616="Cancelled"),"Closed - in Manager Report","Active - in Manager Report"))</f>
        <v/>
      </c>
      <c r="AD616" s="81">
        <f>IF($A616="","",IFERROR(TEXTJOIN(", ",TRUE,FILTER(Task_Steps!$A$5:$A$2004,Task_Steps!$B$5:$B$2004=$A616)),""))</f>
        <v/>
      </c>
      <c r="AE616" s="84">
        <f>IF($A616="","",COUNTIFS(Task_Steps!$B$5:$B$2004,$A616,Task_Steps!$H$5:$H$2004,"&lt;&gt;Completed",Task_Steps!$H$5:$H$2004,"&lt;&gt;Cancelled"))</f>
        <v/>
      </c>
      <c r="AF616" s="81">
        <f>IF(OR($B616="",$A616=""),"",$B616&amp;" | "&amp;$A616)</f>
        <v/>
      </c>
    </row>
    <row r="617" ht="15" customHeight="1" s="40">
      <c r="A617" s="65">
        <f>IF(COUNTA(B617:F617)=0,"","TSK-"&amp;TEXT(ROW()-4,"0000"))</f>
        <v/>
      </c>
      <c r="B617" s="78" t="n"/>
      <c r="C617" s="78" t="n"/>
      <c r="D617" s="81" t="n"/>
      <c r="E617" s="81" t="n"/>
      <c r="F617" s="78" t="n"/>
      <c r="G617" s="67">
        <f>IF($F617="","",IFERROR(INDEX(Employee_Master!$C$5:$C$204,MATCH($F617,Employee_Master!$B$5:$B$204,0)),""))</f>
        <v/>
      </c>
      <c r="H617" s="78" t="n"/>
      <c r="I617" s="78" t="n"/>
      <c r="J617" s="67">
        <f>IF($I617="","",IFERROR(INDEX(Action_Status_Map!$B$5:$B$11,MATCH($I617,Action_Status_Map!$A$5:$A$11,0)),""))</f>
        <v/>
      </c>
      <c r="K617" s="82" t="n"/>
      <c r="L617" s="82" t="n"/>
      <c r="M617" s="82" t="n"/>
      <c r="N617" s="83" t="n"/>
      <c r="O617" s="83" t="n"/>
      <c r="P617" s="66">
        <f>IF(OR($N617="",$O617=""),"",$O617-$N617)</f>
        <v/>
      </c>
      <c r="Q617" s="84">
        <f>IF($K617="","",IF($M617&lt;&gt;"",$M617-$K617,TODAY()-$K617))</f>
        <v/>
      </c>
      <c r="R617" s="85">
        <f>IF(OR($L617="",$I617="Completed",$I617="Cancelled"),"",IF(AND($L617&lt;TODAY(),$I617&lt;&gt;"Completed",$I617&lt;&gt;"Cancelled"),"Overdue","On Track"))</f>
        <v/>
      </c>
      <c r="S617" s="65">
        <f>IF($L617="","",TEXT($L617,"yyyy-mm"))</f>
        <v/>
      </c>
      <c r="T617" s="86">
        <f>IF($I617="","",IFERROR(INDEX(Action_Status_Map!$C$5:$C$11,MATCH($I617,Action_Status_Map!$A$5:$A$11,0)),""))</f>
        <v/>
      </c>
      <c r="U617" s="81" t="n"/>
      <c r="V617" s="82" t="n"/>
      <c r="W617" s="65">
        <f>IF(OR($I617&lt;&gt;"Completed",$M617="",$L617=""),"",IF($M617&lt;=$L617,"Yes","No"))</f>
        <v/>
      </c>
      <c r="X617" s="84">
        <f>IF($A617="","",COUNTIF(Task_Steps!$B$5:$B$2004,$A617))</f>
        <v/>
      </c>
      <c r="Y617" s="86">
        <f>IF($X617=0,"",COUNTIFS(Task_Steps!$B$5:$B$2004,$A617,Task_Steps!$H$5:$H$2004,"Completed")/$X617)</f>
        <v/>
      </c>
      <c r="Z617" s="81" t="n"/>
      <c r="AA617" s="81" t="n"/>
      <c r="AB617" s="67">
        <f>IF($F617="","",IFERROR(INDEX(Employee_Master!$E$5:$E$204,MATCH($F617,Employee_Master!$B$5:$B$204,0)),""))</f>
        <v/>
      </c>
      <c r="AC617" s="65">
        <f>IF(OR($A617="",$AB617=""),"",IF(OR($I617="Completed",$I617="Cancelled"),"Closed - in Manager Report","Active - in Manager Report"))</f>
        <v/>
      </c>
      <c r="AD617" s="81">
        <f>IF($A617="","",IFERROR(TEXTJOIN(", ",TRUE,FILTER(Task_Steps!$A$5:$A$2004,Task_Steps!$B$5:$B$2004=$A617)),""))</f>
        <v/>
      </c>
      <c r="AE617" s="84">
        <f>IF($A617="","",COUNTIFS(Task_Steps!$B$5:$B$2004,$A617,Task_Steps!$H$5:$H$2004,"&lt;&gt;Completed",Task_Steps!$H$5:$H$2004,"&lt;&gt;Cancelled"))</f>
        <v/>
      </c>
      <c r="AF617" s="81">
        <f>IF(OR($B617="",$A617=""),"",$B617&amp;" | "&amp;$A617)</f>
        <v/>
      </c>
    </row>
    <row r="618" ht="15" customHeight="1" s="40">
      <c r="A618" s="65">
        <f>IF(COUNTA(B618:F618)=0,"","TSK-"&amp;TEXT(ROW()-4,"0000"))</f>
        <v/>
      </c>
      <c r="B618" s="78" t="n"/>
      <c r="C618" s="78" t="n"/>
      <c r="D618" s="81" t="n"/>
      <c r="E618" s="81" t="n"/>
      <c r="F618" s="78" t="n"/>
      <c r="G618" s="67">
        <f>IF($F618="","",IFERROR(INDEX(Employee_Master!$C$5:$C$204,MATCH($F618,Employee_Master!$B$5:$B$204,0)),""))</f>
        <v/>
      </c>
      <c r="H618" s="78" t="n"/>
      <c r="I618" s="78" t="n"/>
      <c r="J618" s="67">
        <f>IF($I618="","",IFERROR(INDEX(Action_Status_Map!$B$5:$B$11,MATCH($I618,Action_Status_Map!$A$5:$A$11,0)),""))</f>
        <v/>
      </c>
      <c r="K618" s="82" t="n"/>
      <c r="L618" s="82" t="n"/>
      <c r="M618" s="82" t="n"/>
      <c r="N618" s="83" t="n"/>
      <c r="O618" s="83" t="n"/>
      <c r="P618" s="66">
        <f>IF(OR($N618="",$O618=""),"",$O618-$N618)</f>
        <v/>
      </c>
      <c r="Q618" s="84">
        <f>IF($K618="","",IF($M618&lt;&gt;"",$M618-$K618,TODAY()-$K618))</f>
        <v/>
      </c>
      <c r="R618" s="85">
        <f>IF(OR($L618="",$I618="Completed",$I618="Cancelled"),"",IF(AND($L618&lt;TODAY(),$I618&lt;&gt;"Completed",$I618&lt;&gt;"Cancelled"),"Overdue","On Track"))</f>
        <v/>
      </c>
      <c r="S618" s="65">
        <f>IF($L618="","",TEXT($L618,"yyyy-mm"))</f>
        <v/>
      </c>
      <c r="T618" s="86">
        <f>IF($I618="","",IFERROR(INDEX(Action_Status_Map!$C$5:$C$11,MATCH($I618,Action_Status_Map!$A$5:$A$11,0)),""))</f>
        <v/>
      </c>
      <c r="U618" s="81" t="n"/>
      <c r="V618" s="82" t="n"/>
      <c r="W618" s="65">
        <f>IF(OR($I618&lt;&gt;"Completed",$M618="",$L618=""),"",IF($M618&lt;=$L618,"Yes","No"))</f>
        <v/>
      </c>
      <c r="X618" s="84">
        <f>IF($A618="","",COUNTIF(Task_Steps!$B$5:$B$2004,$A618))</f>
        <v/>
      </c>
      <c r="Y618" s="86">
        <f>IF($X618=0,"",COUNTIFS(Task_Steps!$B$5:$B$2004,$A618,Task_Steps!$H$5:$H$2004,"Completed")/$X618)</f>
        <v/>
      </c>
      <c r="Z618" s="81" t="n"/>
      <c r="AA618" s="81" t="n"/>
      <c r="AB618" s="67">
        <f>IF($F618="","",IFERROR(INDEX(Employee_Master!$E$5:$E$204,MATCH($F618,Employee_Master!$B$5:$B$204,0)),""))</f>
        <v/>
      </c>
      <c r="AC618" s="65">
        <f>IF(OR($A618="",$AB618=""),"",IF(OR($I618="Completed",$I618="Cancelled"),"Closed - in Manager Report","Active - in Manager Report"))</f>
        <v/>
      </c>
      <c r="AD618" s="81">
        <f>IF($A618="","",IFERROR(TEXTJOIN(", ",TRUE,FILTER(Task_Steps!$A$5:$A$2004,Task_Steps!$B$5:$B$2004=$A618)),""))</f>
        <v/>
      </c>
      <c r="AE618" s="84">
        <f>IF($A618="","",COUNTIFS(Task_Steps!$B$5:$B$2004,$A618,Task_Steps!$H$5:$H$2004,"&lt;&gt;Completed",Task_Steps!$H$5:$H$2004,"&lt;&gt;Cancelled"))</f>
        <v/>
      </c>
      <c r="AF618" s="81">
        <f>IF(OR($B618="",$A618=""),"",$B618&amp;" | "&amp;$A618)</f>
        <v/>
      </c>
    </row>
    <row r="619" ht="15" customHeight="1" s="40">
      <c r="A619" s="65">
        <f>IF(COUNTA(B619:F619)=0,"","TSK-"&amp;TEXT(ROW()-4,"0000"))</f>
        <v/>
      </c>
      <c r="B619" s="78" t="n"/>
      <c r="C619" s="78" t="n"/>
      <c r="D619" s="81" t="n"/>
      <c r="E619" s="81" t="n"/>
      <c r="F619" s="78" t="n"/>
      <c r="G619" s="67">
        <f>IF($F619="","",IFERROR(INDEX(Employee_Master!$C$5:$C$204,MATCH($F619,Employee_Master!$B$5:$B$204,0)),""))</f>
        <v/>
      </c>
      <c r="H619" s="78" t="n"/>
      <c r="I619" s="78" t="n"/>
      <c r="J619" s="67">
        <f>IF($I619="","",IFERROR(INDEX(Action_Status_Map!$B$5:$B$11,MATCH($I619,Action_Status_Map!$A$5:$A$11,0)),""))</f>
        <v/>
      </c>
      <c r="K619" s="82" t="n"/>
      <c r="L619" s="82" t="n"/>
      <c r="M619" s="82" t="n"/>
      <c r="N619" s="83" t="n"/>
      <c r="O619" s="83" t="n"/>
      <c r="P619" s="66">
        <f>IF(OR($N619="",$O619=""),"",$O619-$N619)</f>
        <v/>
      </c>
      <c r="Q619" s="84">
        <f>IF($K619="","",IF($M619&lt;&gt;"",$M619-$K619,TODAY()-$K619))</f>
        <v/>
      </c>
      <c r="R619" s="85">
        <f>IF(OR($L619="",$I619="Completed",$I619="Cancelled"),"",IF(AND($L619&lt;TODAY(),$I619&lt;&gt;"Completed",$I619&lt;&gt;"Cancelled"),"Overdue","On Track"))</f>
        <v/>
      </c>
      <c r="S619" s="65">
        <f>IF($L619="","",TEXT($L619,"yyyy-mm"))</f>
        <v/>
      </c>
      <c r="T619" s="86">
        <f>IF($I619="","",IFERROR(INDEX(Action_Status_Map!$C$5:$C$11,MATCH($I619,Action_Status_Map!$A$5:$A$11,0)),""))</f>
        <v/>
      </c>
      <c r="U619" s="81" t="n"/>
      <c r="V619" s="82" t="n"/>
      <c r="W619" s="65">
        <f>IF(OR($I619&lt;&gt;"Completed",$M619="",$L619=""),"",IF($M619&lt;=$L619,"Yes","No"))</f>
        <v/>
      </c>
      <c r="X619" s="84">
        <f>IF($A619="","",COUNTIF(Task_Steps!$B$5:$B$2004,$A619))</f>
        <v/>
      </c>
      <c r="Y619" s="86">
        <f>IF($X619=0,"",COUNTIFS(Task_Steps!$B$5:$B$2004,$A619,Task_Steps!$H$5:$H$2004,"Completed")/$X619)</f>
        <v/>
      </c>
      <c r="Z619" s="81" t="n"/>
      <c r="AA619" s="81" t="n"/>
      <c r="AB619" s="67">
        <f>IF($F619="","",IFERROR(INDEX(Employee_Master!$E$5:$E$204,MATCH($F619,Employee_Master!$B$5:$B$204,0)),""))</f>
        <v/>
      </c>
      <c r="AC619" s="65">
        <f>IF(OR($A619="",$AB619=""),"",IF(OR($I619="Completed",$I619="Cancelled"),"Closed - in Manager Report","Active - in Manager Report"))</f>
        <v/>
      </c>
      <c r="AD619" s="81">
        <f>IF($A619="","",IFERROR(TEXTJOIN(", ",TRUE,FILTER(Task_Steps!$A$5:$A$2004,Task_Steps!$B$5:$B$2004=$A619)),""))</f>
        <v/>
      </c>
      <c r="AE619" s="84">
        <f>IF($A619="","",COUNTIFS(Task_Steps!$B$5:$B$2004,$A619,Task_Steps!$H$5:$H$2004,"&lt;&gt;Completed",Task_Steps!$H$5:$H$2004,"&lt;&gt;Cancelled"))</f>
        <v/>
      </c>
      <c r="AF619" s="81">
        <f>IF(OR($B619="",$A619=""),"",$B619&amp;" | "&amp;$A619)</f>
        <v/>
      </c>
    </row>
    <row r="620" ht="15" customHeight="1" s="40">
      <c r="A620" s="65">
        <f>IF(COUNTA(B620:F620)=0,"","TSK-"&amp;TEXT(ROW()-4,"0000"))</f>
        <v/>
      </c>
      <c r="B620" s="78" t="n"/>
      <c r="C620" s="78" t="n"/>
      <c r="D620" s="81" t="n"/>
      <c r="E620" s="81" t="n"/>
      <c r="F620" s="78" t="n"/>
      <c r="G620" s="67">
        <f>IF($F620="","",IFERROR(INDEX(Employee_Master!$C$5:$C$204,MATCH($F620,Employee_Master!$B$5:$B$204,0)),""))</f>
        <v/>
      </c>
      <c r="H620" s="78" t="n"/>
      <c r="I620" s="78" t="n"/>
      <c r="J620" s="67">
        <f>IF($I620="","",IFERROR(INDEX(Action_Status_Map!$B$5:$B$11,MATCH($I620,Action_Status_Map!$A$5:$A$11,0)),""))</f>
        <v/>
      </c>
      <c r="K620" s="82" t="n"/>
      <c r="L620" s="82" t="n"/>
      <c r="M620" s="82" t="n"/>
      <c r="N620" s="83" t="n"/>
      <c r="O620" s="83" t="n"/>
      <c r="P620" s="66">
        <f>IF(OR($N620="",$O620=""),"",$O620-$N620)</f>
        <v/>
      </c>
      <c r="Q620" s="84">
        <f>IF($K620="","",IF($M620&lt;&gt;"",$M620-$K620,TODAY()-$K620))</f>
        <v/>
      </c>
      <c r="R620" s="85">
        <f>IF(OR($L620="",$I620="Completed",$I620="Cancelled"),"",IF(AND($L620&lt;TODAY(),$I620&lt;&gt;"Completed",$I620&lt;&gt;"Cancelled"),"Overdue","On Track"))</f>
        <v/>
      </c>
      <c r="S620" s="65">
        <f>IF($L620="","",TEXT($L620,"yyyy-mm"))</f>
        <v/>
      </c>
      <c r="T620" s="86">
        <f>IF($I620="","",IFERROR(INDEX(Action_Status_Map!$C$5:$C$11,MATCH($I620,Action_Status_Map!$A$5:$A$11,0)),""))</f>
        <v/>
      </c>
      <c r="U620" s="81" t="n"/>
      <c r="V620" s="82" t="n"/>
      <c r="W620" s="65">
        <f>IF(OR($I620&lt;&gt;"Completed",$M620="",$L620=""),"",IF($M620&lt;=$L620,"Yes","No"))</f>
        <v/>
      </c>
      <c r="X620" s="84">
        <f>IF($A620="","",COUNTIF(Task_Steps!$B$5:$B$2004,$A620))</f>
        <v/>
      </c>
      <c r="Y620" s="86">
        <f>IF($X620=0,"",COUNTIFS(Task_Steps!$B$5:$B$2004,$A620,Task_Steps!$H$5:$H$2004,"Completed")/$X620)</f>
        <v/>
      </c>
      <c r="Z620" s="81" t="n"/>
      <c r="AA620" s="81" t="n"/>
      <c r="AB620" s="67">
        <f>IF($F620="","",IFERROR(INDEX(Employee_Master!$E$5:$E$204,MATCH($F620,Employee_Master!$B$5:$B$204,0)),""))</f>
        <v/>
      </c>
      <c r="AC620" s="65">
        <f>IF(OR($A620="",$AB620=""),"",IF(OR($I620="Completed",$I620="Cancelled"),"Closed - in Manager Report","Active - in Manager Report"))</f>
        <v/>
      </c>
      <c r="AD620" s="81">
        <f>IF($A620="","",IFERROR(TEXTJOIN(", ",TRUE,FILTER(Task_Steps!$A$5:$A$2004,Task_Steps!$B$5:$B$2004=$A620)),""))</f>
        <v/>
      </c>
      <c r="AE620" s="84">
        <f>IF($A620="","",COUNTIFS(Task_Steps!$B$5:$B$2004,$A620,Task_Steps!$H$5:$H$2004,"&lt;&gt;Completed",Task_Steps!$H$5:$H$2004,"&lt;&gt;Cancelled"))</f>
        <v/>
      </c>
      <c r="AF620" s="81">
        <f>IF(OR($B620="",$A620=""),"",$B620&amp;" | "&amp;$A620)</f>
        <v/>
      </c>
    </row>
    <row r="621" ht="15" customHeight="1" s="40">
      <c r="A621" s="65">
        <f>IF(COUNTA(B621:F621)=0,"","TSK-"&amp;TEXT(ROW()-4,"0000"))</f>
        <v/>
      </c>
      <c r="B621" s="78" t="n"/>
      <c r="C621" s="78" t="n"/>
      <c r="D621" s="81" t="n"/>
      <c r="E621" s="81" t="n"/>
      <c r="F621" s="78" t="n"/>
      <c r="G621" s="67">
        <f>IF($F621="","",IFERROR(INDEX(Employee_Master!$C$5:$C$204,MATCH($F621,Employee_Master!$B$5:$B$204,0)),""))</f>
        <v/>
      </c>
      <c r="H621" s="78" t="n"/>
      <c r="I621" s="78" t="n"/>
      <c r="J621" s="67">
        <f>IF($I621="","",IFERROR(INDEX(Action_Status_Map!$B$5:$B$11,MATCH($I621,Action_Status_Map!$A$5:$A$11,0)),""))</f>
        <v/>
      </c>
      <c r="K621" s="82" t="n"/>
      <c r="L621" s="82" t="n"/>
      <c r="M621" s="82" t="n"/>
      <c r="N621" s="83" t="n"/>
      <c r="O621" s="83" t="n"/>
      <c r="P621" s="66">
        <f>IF(OR($N621="",$O621=""),"",$O621-$N621)</f>
        <v/>
      </c>
      <c r="Q621" s="84">
        <f>IF($K621="","",IF($M621&lt;&gt;"",$M621-$K621,TODAY()-$K621))</f>
        <v/>
      </c>
      <c r="R621" s="85">
        <f>IF(OR($L621="",$I621="Completed",$I621="Cancelled"),"",IF(AND($L621&lt;TODAY(),$I621&lt;&gt;"Completed",$I621&lt;&gt;"Cancelled"),"Overdue","On Track"))</f>
        <v/>
      </c>
      <c r="S621" s="65">
        <f>IF($L621="","",TEXT($L621,"yyyy-mm"))</f>
        <v/>
      </c>
      <c r="T621" s="86">
        <f>IF($I621="","",IFERROR(INDEX(Action_Status_Map!$C$5:$C$11,MATCH($I621,Action_Status_Map!$A$5:$A$11,0)),""))</f>
        <v/>
      </c>
      <c r="U621" s="81" t="n"/>
      <c r="V621" s="82" t="n"/>
      <c r="W621" s="65">
        <f>IF(OR($I621&lt;&gt;"Completed",$M621="",$L621=""),"",IF($M621&lt;=$L621,"Yes","No"))</f>
        <v/>
      </c>
      <c r="X621" s="84">
        <f>IF($A621="","",COUNTIF(Task_Steps!$B$5:$B$2004,$A621))</f>
        <v/>
      </c>
      <c r="Y621" s="86">
        <f>IF($X621=0,"",COUNTIFS(Task_Steps!$B$5:$B$2004,$A621,Task_Steps!$H$5:$H$2004,"Completed")/$X621)</f>
        <v/>
      </c>
      <c r="Z621" s="81" t="n"/>
      <c r="AA621" s="81" t="n"/>
      <c r="AB621" s="67">
        <f>IF($F621="","",IFERROR(INDEX(Employee_Master!$E$5:$E$204,MATCH($F621,Employee_Master!$B$5:$B$204,0)),""))</f>
        <v/>
      </c>
      <c r="AC621" s="65">
        <f>IF(OR($A621="",$AB621=""),"",IF(OR($I621="Completed",$I621="Cancelled"),"Closed - in Manager Report","Active - in Manager Report"))</f>
        <v/>
      </c>
      <c r="AD621" s="81">
        <f>IF($A621="","",IFERROR(TEXTJOIN(", ",TRUE,FILTER(Task_Steps!$A$5:$A$2004,Task_Steps!$B$5:$B$2004=$A621)),""))</f>
        <v/>
      </c>
      <c r="AE621" s="84">
        <f>IF($A621="","",COUNTIFS(Task_Steps!$B$5:$B$2004,$A621,Task_Steps!$H$5:$H$2004,"&lt;&gt;Completed",Task_Steps!$H$5:$H$2004,"&lt;&gt;Cancelled"))</f>
        <v/>
      </c>
      <c r="AF621" s="81">
        <f>IF(OR($B621="",$A621=""),"",$B621&amp;" | "&amp;$A621)</f>
        <v/>
      </c>
    </row>
    <row r="622" ht="15" customHeight="1" s="40">
      <c r="A622" s="65">
        <f>IF(COUNTA(B622:F622)=0,"","TSK-"&amp;TEXT(ROW()-4,"0000"))</f>
        <v/>
      </c>
      <c r="B622" s="78" t="n"/>
      <c r="C622" s="78" t="n"/>
      <c r="D622" s="81" t="n"/>
      <c r="E622" s="81" t="n"/>
      <c r="F622" s="78" t="n"/>
      <c r="G622" s="67">
        <f>IF($F622="","",IFERROR(INDEX(Employee_Master!$C$5:$C$204,MATCH($F622,Employee_Master!$B$5:$B$204,0)),""))</f>
        <v/>
      </c>
      <c r="H622" s="78" t="n"/>
      <c r="I622" s="78" t="n"/>
      <c r="J622" s="67">
        <f>IF($I622="","",IFERROR(INDEX(Action_Status_Map!$B$5:$B$11,MATCH($I622,Action_Status_Map!$A$5:$A$11,0)),""))</f>
        <v/>
      </c>
      <c r="K622" s="82" t="n"/>
      <c r="L622" s="82" t="n"/>
      <c r="M622" s="82" t="n"/>
      <c r="N622" s="83" t="n"/>
      <c r="O622" s="83" t="n"/>
      <c r="P622" s="66">
        <f>IF(OR($N622="",$O622=""),"",$O622-$N622)</f>
        <v/>
      </c>
      <c r="Q622" s="84">
        <f>IF($K622="","",IF($M622&lt;&gt;"",$M622-$K622,TODAY()-$K622))</f>
        <v/>
      </c>
      <c r="R622" s="85">
        <f>IF(OR($L622="",$I622="Completed",$I622="Cancelled"),"",IF(AND($L622&lt;TODAY(),$I622&lt;&gt;"Completed",$I622&lt;&gt;"Cancelled"),"Overdue","On Track"))</f>
        <v/>
      </c>
      <c r="S622" s="65">
        <f>IF($L622="","",TEXT($L622,"yyyy-mm"))</f>
        <v/>
      </c>
      <c r="T622" s="86">
        <f>IF($I622="","",IFERROR(INDEX(Action_Status_Map!$C$5:$C$11,MATCH($I622,Action_Status_Map!$A$5:$A$11,0)),""))</f>
        <v/>
      </c>
      <c r="U622" s="81" t="n"/>
      <c r="V622" s="82" t="n"/>
      <c r="W622" s="65">
        <f>IF(OR($I622&lt;&gt;"Completed",$M622="",$L622=""),"",IF($M622&lt;=$L622,"Yes","No"))</f>
        <v/>
      </c>
      <c r="X622" s="84">
        <f>IF($A622="","",COUNTIF(Task_Steps!$B$5:$B$2004,$A622))</f>
        <v/>
      </c>
      <c r="Y622" s="86">
        <f>IF($X622=0,"",COUNTIFS(Task_Steps!$B$5:$B$2004,$A622,Task_Steps!$H$5:$H$2004,"Completed")/$X622)</f>
        <v/>
      </c>
      <c r="Z622" s="81" t="n"/>
      <c r="AA622" s="81" t="n"/>
      <c r="AB622" s="67">
        <f>IF($F622="","",IFERROR(INDEX(Employee_Master!$E$5:$E$204,MATCH($F622,Employee_Master!$B$5:$B$204,0)),""))</f>
        <v/>
      </c>
      <c r="AC622" s="65">
        <f>IF(OR($A622="",$AB622=""),"",IF(OR($I622="Completed",$I622="Cancelled"),"Closed - in Manager Report","Active - in Manager Report"))</f>
        <v/>
      </c>
      <c r="AD622" s="81">
        <f>IF($A622="","",IFERROR(TEXTJOIN(", ",TRUE,FILTER(Task_Steps!$A$5:$A$2004,Task_Steps!$B$5:$B$2004=$A622)),""))</f>
        <v/>
      </c>
      <c r="AE622" s="84">
        <f>IF($A622="","",COUNTIFS(Task_Steps!$B$5:$B$2004,$A622,Task_Steps!$H$5:$H$2004,"&lt;&gt;Completed",Task_Steps!$H$5:$H$2004,"&lt;&gt;Cancelled"))</f>
        <v/>
      </c>
      <c r="AF622" s="81">
        <f>IF(OR($B622="",$A622=""),"",$B622&amp;" | "&amp;$A622)</f>
        <v/>
      </c>
    </row>
    <row r="623" ht="15" customHeight="1" s="40">
      <c r="A623" s="65">
        <f>IF(COUNTA(B623:F623)=0,"","TSK-"&amp;TEXT(ROW()-4,"0000"))</f>
        <v/>
      </c>
      <c r="B623" s="78" t="n"/>
      <c r="C623" s="78" t="n"/>
      <c r="D623" s="81" t="n"/>
      <c r="E623" s="81" t="n"/>
      <c r="F623" s="78" t="n"/>
      <c r="G623" s="67">
        <f>IF($F623="","",IFERROR(INDEX(Employee_Master!$C$5:$C$204,MATCH($F623,Employee_Master!$B$5:$B$204,0)),""))</f>
        <v/>
      </c>
      <c r="H623" s="78" t="n"/>
      <c r="I623" s="78" t="n"/>
      <c r="J623" s="67">
        <f>IF($I623="","",IFERROR(INDEX(Action_Status_Map!$B$5:$B$11,MATCH($I623,Action_Status_Map!$A$5:$A$11,0)),""))</f>
        <v/>
      </c>
      <c r="K623" s="82" t="n"/>
      <c r="L623" s="82" t="n"/>
      <c r="M623" s="82" t="n"/>
      <c r="N623" s="83" t="n"/>
      <c r="O623" s="83" t="n"/>
      <c r="P623" s="66">
        <f>IF(OR($N623="",$O623=""),"",$O623-$N623)</f>
        <v/>
      </c>
      <c r="Q623" s="84">
        <f>IF($K623="","",IF($M623&lt;&gt;"",$M623-$K623,TODAY()-$K623))</f>
        <v/>
      </c>
      <c r="R623" s="85">
        <f>IF(OR($L623="",$I623="Completed",$I623="Cancelled"),"",IF(AND($L623&lt;TODAY(),$I623&lt;&gt;"Completed",$I623&lt;&gt;"Cancelled"),"Overdue","On Track"))</f>
        <v/>
      </c>
      <c r="S623" s="65">
        <f>IF($L623="","",TEXT($L623,"yyyy-mm"))</f>
        <v/>
      </c>
      <c r="T623" s="86">
        <f>IF($I623="","",IFERROR(INDEX(Action_Status_Map!$C$5:$C$11,MATCH($I623,Action_Status_Map!$A$5:$A$11,0)),""))</f>
        <v/>
      </c>
      <c r="U623" s="81" t="n"/>
      <c r="V623" s="82" t="n"/>
      <c r="W623" s="65">
        <f>IF(OR($I623&lt;&gt;"Completed",$M623="",$L623=""),"",IF($M623&lt;=$L623,"Yes","No"))</f>
        <v/>
      </c>
      <c r="X623" s="84">
        <f>IF($A623="","",COUNTIF(Task_Steps!$B$5:$B$2004,$A623))</f>
        <v/>
      </c>
      <c r="Y623" s="86">
        <f>IF($X623=0,"",COUNTIFS(Task_Steps!$B$5:$B$2004,$A623,Task_Steps!$H$5:$H$2004,"Completed")/$X623)</f>
        <v/>
      </c>
      <c r="Z623" s="81" t="n"/>
      <c r="AA623" s="81" t="n"/>
      <c r="AB623" s="67">
        <f>IF($F623="","",IFERROR(INDEX(Employee_Master!$E$5:$E$204,MATCH($F623,Employee_Master!$B$5:$B$204,0)),""))</f>
        <v/>
      </c>
      <c r="AC623" s="65">
        <f>IF(OR($A623="",$AB623=""),"",IF(OR($I623="Completed",$I623="Cancelled"),"Closed - in Manager Report","Active - in Manager Report"))</f>
        <v/>
      </c>
      <c r="AD623" s="81">
        <f>IF($A623="","",IFERROR(TEXTJOIN(", ",TRUE,FILTER(Task_Steps!$A$5:$A$2004,Task_Steps!$B$5:$B$2004=$A623)),""))</f>
        <v/>
      </c>
      <c r="AE623" s="84">
        <f>IF($A623="","",COUNTIFS(Task_Steps!$B$5:$B$2004,$A623,Task_Steps!$H$5:$H$2004,"&lt;&gt;Completed",Task_Steps!$H$5:$H$2004,"&lt;&gt;Cancelled"))</f>
        <v/>
      </c>
      <c r="AF623" s="81">
        <f>IF(OR($B623="",$A623=""),"",$B623&amp;" | "&amp;$A623)</f>
        <v/>
      </c>
    </row>
    <row r="624" ht="15" customHeight="1" s="40">
      <c r="A624" s="65">
        <f>IF(COUNTA(B624:F624)=0,"","TSK-"&amp;TEXT(ROW()-4,"0000"))</f>
        <v/>
      </c>
      <c r="B624" s="78" t="n"/>
      <c r="C624" s="78" t="n"/>
      <c r="D624" s="81" t="n"/>
      <c r="E624" s="81" t="n"/>
      <c r="F624" s="78" t="n"/>
      <c r="G624" s="67">
        <f>IF($F624="","",IFERROR(INDEX(Employee_Master!$C$5:$C$204,MATCH($F624,Employee_Master!$B$5:$B$204,0)),""))</f>
        <v/>
      </c>
      <c r="H624" s="78" t="n"/>
      <c r="I624" s="78" t="n"/>
      <c r="J624" s="67">
        <f>IF($I624="","",IFERROR(INDEX(Action_Status_Map!$B$5:$B$11,MATCH($I624,Action_Status_Map!$A$5:$A$11,0)),""))</f>
        <v/>
      </c>
      <c r="K624" s="82" t="n"/>
      <c r="L624" s="82" t="n"/>
      <c r="M624" s="82" t="n"/>
      <c r="N624" s="83" t="n"/>
      <c r="O624" s="83" t="n"/>
      <c r="P624" s="66">
        <f>IF(OR($N624="",$O624=""),"",$O624-$N624)</f>
        <v/>
      </c>
      <c r="Q624" s="84">
        <f>IF($K624="","",IF($M624&lt;&gt;"",$M624-$K624,TODAY()-$K624))</f>
        <v/>
      </c>
      <c r="R624" s="85">
        <f>IF(OR($L624="",$I624="Completed",$I624="Cancelled"),"",IF(AND($L624&lt;TODAY(),$I624&lt;&gt;"Completed",$I624&lt;&gt;"Cancelled"),"Overdue","On Track"))</f>
        <v/>
      </c>
      <c r="S624" s="65">
        <f>IF($L624="","",TEXT($L624,"yyyy-mm"))</f>
        <v/>
      </c>
      <c r="T624" s="86">
        <f>IF($I624="","",IFERROR(INDEX(Action_Status_Map!$C$5:$C$11,MATCH($I624,Action_Status_Map!$A$5:$A$11,0)),""))</f>
        <v/>
      </c>
      <c r="U624" s="81" t="n"/>
      <c r="V624" s="82" t="n"/>
      <c r="W624" s="65">
        <f>IF(OR($I624&lt;&gt;"Completed",$M624="",$L624=""),"",IF($M624&lt;=$L624,"Yes","No"))</f>
        <v/>
      </c>
      <c r="X624" s="84">
        <f>IF($A624="","",COUNTIF(Task_Steps!$B$5:$B$2004,$A624))</f>
        <v/>
      </c>
      <c r="Y624" s="86">
        <f>IF($X624=0,"",COUNTIFS(Task_Steps!$B$5:$B$2004,$A624,Task_Steps!$H$5:$H$2004,"Completed")/$X624)</f>
        <v/>
      </c>
      <c r="Z624" s="81" t="n"/>
      <c r="AA624" s="81" t="n"/>
      <c r="AB624" s="67">
        <f>IF($F624="","",IFERROR(INDEX(Employee_Master!$E$5:$E$204,MATCH($F624,Employee_Master!$B$5:$B$204,0)),""))</f>
        <v/>
      </c>
      <c r="AC624" s="65">
        <f>IF(OR($A624="",$AB624=""),"",IF(OR($I624="Completed",$I624="Cancelled"),"Closed - in Manager Report","Active - in Manager Report"))</f>
        <v/>
      </c>
      <c r="AD624" s="81">
        <f>IF($A624="","",IFERROR(TEXTJOIN(", ",TRUE,FILTER(Task_Steps!$A$5:$A$2004,Task_Steps!$B$5:$B$2004=$A624)),""))</f>
        <v/>
      </c>
      <c r="AE624" s="84">
        <f>IF($A624="","",COUNTIFS(Task_Steps!$B$5:$B$2004,$A624,Task_Steps!$H$5:$H$2004,"&lt;&gt;Completed",Task_Steps!$H$5:$H$2004,"&lt;&gt;Cancelled"))</f>
        <v/>
      </c>
      <c r="AF624" s="81">
        <f>IF(OR($B624="",$A624=""),"",$B624&amp;" | "&amp;$A624)</f>
        <v/>
      </c>
    </row>
    <row r="625" ht="15" customHeight="1" s="40">
      <c r="A625" s="65">
        <f>IF(COUNTA(B625:F625)=0,"","TSK-"&amp;TEXT(ROW()-4,"0000"))</f>
        <v/>
      </c>
      <c r="B625" s="78" t="n"/>
      <c r="C625" s="78" t="n"/>
      <c r="D625" s="81" t="n"/>
      <c r="E625" s="81" t="n"/>
      <c r="F625" s="78" t="n"/>
      <c r="G625" s="67">
        <f>IF($F625="","",IFERROR(INDEX(Employee_Master!$C$5:$C$204,MATCH($F625,Employee_Master!$B$5:$B$204,0)),""))</f>
        <v/>
      </c>
      <c r="H625" s="78" t="n"/>
      <c r="I625" s="78" t="n"/>
      <c r="J625" s="67">
        <f>IF($I625="","",IFERROR(INDEX(Action_Status_Map!$B$5:$B$11,MATCH($I625,Action_Status_Map!$A$5:$A$11,0)),""))</f>
        <v/>
      </c>
      <c r="K625" s="82" t="n"/>
      <c r="L625" s="82" t="n"/>
      <c r="M625" s="82" t="n"/>
      <c r="N625" s="83" t="n"/>
      <c r="O625" s="83" t="n"/>
      <c r="P625" s="66">
        <f>IF(OR($N625="",$O625=""),"",$O625-$N625)</f>
        <v/>
      </c>
      <c r="Q625" s="84">
        <f>IF($K625="","",IF($M625&lt;&gt;"",$M625-$K625,TODAY()-$K625))</f>
        <v/>
      </c>
      <c r="R625" s="85">
        <f>IF(OR($L625="",$I625="Completed",$I625="Cancelled"),"",IF(AND($L625&lt;TODAY(),$I625&lt;&gt;"Completed",$I625&lt;&gt;"Cancelled"),"Overdue","On Track"))</f>
        <v/>
      </c>
      <c r="S625" s="65">
        <f>IF($L625="","",TEXT($L625,"yyyy-mm"))</f>
        <v/>
      </c>
      <c r="T625" s="86">
        <f>IF($I625="","",IFERROR(INDEX(Action_Status_Map!$C$5:$C$11,MATCH($I625,Action_Status_Map!$A$5:$A$11,0)),""))</f>
        <v/>
      </c>
      <c r="U625" s="81" t="n"/>
      <c r="V625" s="82" t="n"/>
      <c r="W625" s="65">
        <f>IF(OR($I625&lt;&gt;"Completed",$M625="",$L625=""),"",IF($M625&lt;=$L625,"Yes","No"))</f>
        <v/>
      </c>
      <c r="X625" s="84">
        <f>IF($A625="","",COUNTIF(Task_Steps!$B$5:$B$2004,$A625))</f>
        <v/>
      </c>
      <c r="Y625" s="86">
        <f>IF($X625=0,"",COUNTIFS(Task_Steps!$B$5:$B$2004,$A625,Task_Steps!$H$5:$H$2004,"Completed")/$X625)</f>
        <v/>
      </c>
      <c r="Z625" s="81" t="n"/>
      <c r="AA625" s="81" t="n"/>
      <c r="AB625" s="67">
        <f>IF($F625="","",IFERROR(INDEX(Employee_Master!$E$5:$E$204,MATCH($F625,Employee_Master!$B$5:$B$204,0)),""))</f>
        <v/>
      </c>
      <c r="AC625" s="65">
        <f>IF(OR($A625="",$AB625=""),"",IF(OR($I625="Completed",$I625="Cancelled"),"Closed - in Manager Report","Active - in Manager Report"))</f>
        <v/>
      </c>
      <c r="AD625" s="81">
        <f>IF($A625="","",IFERROR(TEXTJOIN(", ",TRUE,FILTER(Task_Steps!$A$5:$A$2004,Task_Steps!$B$5:$B$2004=$A625)),""))</f>
        <v/>
      </c>
      <c r="AE625" s="84">
        <f>IF($A625="","",COUNTIFS(Task_Steps!$B$5:$B$2004,$A625,Task_Steps!$H$5:$H$2004,"&lt;&gt;Completed",Task_Steps!$H$5:$H$2004,"&lt;&gt;Cancelled"))</f>
        <v/>
      </c>
      <c r="AF625" s="81">
        <f>IF(OR($B625="",$A625=""),"",$B625&amp;" | "&amp;$A625)</f>
        <v/>
      </c>
    </row>
    <row r="626" ht="15" customHeight="1" s="40">
      <c r="A626" s="65">
        <f>IF(COUNTA(B626:F626)=0,"","TSK-"&amp;TEXT(ROW()-4,"0000"))</f>
        <v/>
      </c>
      <c r="B626" s="78" t="n"/>
      <c r="C626" s="78" t="n"/>
      <c r="D626" s="81" t="n"/>
      <c r="E626" s="81" t="n"/>
      <c r="F626" s="78" t="n"/>
      <c r="G626" s="67">
        <f>IF($F626="","",IFERROR(INDEX(Employee_Master!$C$5:$C$204,MATCH($F626,Employee_Master!$B$5:$B$204,0)),""))</f>
        <v/>
      </c>
      <c r="H626" s="78" t="n"/>
      <c r="I626" s="78" t="n"/>
      <c r="J626" s="67">
        <f>IF($I626="","",IFERROR(INDEX(Action_Status_Map!$B$5:$B$11,MATCH($I626,Action_Status_Map!$A$5:$A$11,0)),""))</f>
        <v/>
      </c>
      <c r="K626" s="82" t="n"/>
      <c r="L626" s="82" t="n"/>
      <c r="M626" s="82" t="n"/>
      <c r="N626" s="83" t="n"/>
      <c r="O626" s="83" t="n"/>
      <c r="P626" s="66">
        <f>IF(OR($N626="",$O626=""),"",$O626-$N626)</f>
        <v/>
      </c>
      <c r="Q626" s="84">
        <f>IF($K626="","",IF($M626&lt;&gt;"",$M626-$K626,TODAY()-$K626))</f>
        <v/>
      </c>
      <c r="R626" s="85">
        <f>IF(OR($L626="",$I626="Completed",$I626="Cancelled"),"",IF(AND($L626&lt;TODAY(),$I626&lt;&gt;"Completed",$I626&lt;&gt;"Cancelled"),"Overdue","On Track"))</f>
        <v/>
      </c>
      <c r="S626" s="65">
        <f>IF($L626="","",TEXT($L626,"yyyy-mm"))</f>
        <v/>
      </c>
      <c r="T626" s="86">
        <f>IF($I626="","",IFERROR(INDEX(Action_Status_Map!$C$5:$C$11,MATCH($I626,Action_Status_Map!$A$5:$A$11,0)),""))</f>
        <v/>
      </c>
      <c r="U626" s="81" t="n"/>
      <c r="V626" s="82" t="n"/>
      <c r="W626" s="65">
        <f>IF(OR($I626&lt;&gt;"Completed",$M626="",$L626=""),"",IF($M626&lt;=$L626,"Yes","No"))</f>
        <v/>
      </c>
      <c r="X626" s="84">
        <f>IF($A626="","",COUNTIF(Task_Steps!$B$5:$B$2004,$A626))</f>
        <v/>
      </c>
      <c r="Y626" s="86">
        <f>IF($X626=0,"",COUNTIFS(Task_Steps!$B$5:$B$2004,$A626,Task_Steps!$H$5:$H$2004,"Completed")/$X626)</f>
        <v/>
      </c>
      <c r="Z626" s="81" t="n"/>
      <c r="AA626" s="81" t="n"/>
      <c r="AB626" s="67">
        <f>IF($F626="","",IFERROR(INDEX(Employee_Master!$E$5:$E$204,MATCH($F626,Employee_Master!$B$5:$B$204,0)),""))</f>
        <v/>
      </c>
      <c r="AC626" s="65">
        <f>IF(OR($A626="",$AB626=""),"",IF(OR($I626="Completed",$I626="Cancelled"),"Closed - in Manager Report","Active - in Manager Report"))</f>
        <v/>
      </c>
      <c r="AD626" s="81">
        <f>IF($A626="","",IFERROR(TEXTJOIN(", ",TRUE,FILTER(Task_Steps!$A$5:$A$2004,Task_Steps!$B$5:$B$2004=$A626)),""))</f>
        <v/>
      </c>
      <c r="AE626" s="84">
        <f>IF($A626="","",COUNTIFS(Task_Steps!$B$5:$B$2004,$A626,Task_Steps!$H$5:$H$2004,"&lt;&gt;Completed",Task_Steps!$H$5:$H$2004,"&lt;&gt;Cancelled"))</f>
        <v/>
      </c>
      <c r="AF626" s="81">
        <f>IF(OR($B626="",$A626=""),"",$B626&amp;" | "&amp;$A626)</f>
        <v/>
      </c>
    </row>
    <row r="627" ht="15" customHeight="1" s="40">
      <c r="A627" s="65">
        <f>IF(COUNTA(B627:F627)=0,"","TSK-"&amp;TEXT(ROW()-4,"0000"))</f>
        <v/>
      </c>
      <c r="B627" s="78" t="n"/>
      <c r="C627" s="78" t="n"/>
      <c r="D627" s="81" t="n"/>
      <c r="E627" s="81" t="n"/>
      <c r="F627" s="78" t="n"/>
      <c r="G627" s="67">
        <f>IF($F627="","",IFERROR(INDEX(Employee_Master!$C$5:$C$204,MATCH($F627,Employee_Master!$B$5:$B$204,0)),""))</f>
        <v/>
      </c>
      <c r="H627" s="78" t="n"/>
      <c r="I627" s="78" t="n"/>
      <c r="J627" s="67">
        <f>IF($I627="","",IFERROR(INDEX(Action_Status_Map!$B$5:$B$11,MATCH($I627,Action_Status_Map!$A$5:$A$11,0)),""))</f>
        <v/>
      </c>
      <c r="K627" s="82" t="n"/>
      <c r="L627" s="82" t="n"/>
      <c r="M627" s="82" t="n"/>
      <c r="N627" s="83" t="n"/>
      <c r="O627" s="83" t="n"/>
      <c r="P627" s="66">
        <f>IF(OR($N627="",$O627=""),"",$O627-$N627)</f>
        <v/>
      </c>
      <c r="Q627" s="84">
        <f>IF($K627="","",IF($M627&lt;&gt;"",$M627-$K627,TODAY()-$K627))</f>
        <v/>
      </c>
      <c r="R627" s="85">
        <f>IF(OR($L627="",$I627="Completed",$I627="Cancelled"),"",IF(AND($L627&lt;TODAY(),$I627&lt;&gt;"Completed",$I627&lt;&gt;"Cancelled"),"Overdue","On Track"))</f>
        <v/>
      </c>
      <c r="S627" s="65">
        <f>IF($L627="","",TEXT($L627,"yyyy-mm"))</f>
        <v/>
      </c>
      <c r="T627" s="86">
        <f>IF($I627="","",IFERROR(INDEX(Action_Status_Map!$C$5:$C$11,MATCH($I627,Action_Status_Map!$A$5:$A$11,0)),""))</f>
        <v/>
      </c>
      <c r="U627" s="81" t="n"/>
      <c r="V627" s="82" t="n"/>
      <c r="W627" s="65">
        <f>IF(OR($I627&lt;&gt;"Completed",$M627="",$L627=""),"",IF($M627&lt;=$L627,"Yes","No"))</f>
        <v/>
      </c>
      <c r="X627" s="84">
        <f>IF($A627="","",COUNTIF(Task_Steps!$B$5:$B$2004,$A627))</f>
        <v/>
      </c>
      <c r="Y627" s="86">
        <f>IF($X627=0,"",COUNTIFS(Task_Steps!$B$5:$B$2004,$A627,Task_Steps!$H$5:$H$2004,"Completed")/$X627)</f>
        <v/>
      </c>
      <c r="Z627" s="81" t="n"/>
      <c r="AA627" s="81" t="n"/>
      <c r="AB627" s="67">
        <f>IF($F627="","",IFERROR(INDEX(Employee_Master!$E$5:$E$204,MATCH($F627,Employee_Master!$B$5:$B$204,0)),""))</f>
        <v/>
      </c>
      <c r="AC627" s="65">
        <f>IF(OR($A627="",$AB627=""),"",IF(OR($I627="Completed",$I627="Cancelled"),"Closed - in Manager Report","Active - in Manager Report"))</f>
        <v/>
      </c>
      <c r="AD627" s="81">
        <f>IF($A627="","",IFERROR(TEXTJOIN(", ",TRUE,FILTER(Task_Steps!$A$5:$A$2004,Task_Steps!$B$5:$B$2004=$A627)),""))</f>
        <v/>
      </c>
      <c r="AE627" s="84">
        <f>IF($A627="","",COUNTIFS(Task_Steps!$B$5:$B$2004,$A627,Task_Steps!$H$5:$H$2004,"&lt;&gt;Completed",Task_Steps!$H$5:$H$2004,"&lt;&gt;Cancelled"))</f>
        <v/>
      </c>
      <c r="AF627" s="81">
        <f>IF(OR($B627="",$A627=""),"",$B627&amp;" | "&amp;$A627)</f>
        <v/>
      </c>
    </row>
    <row r="628" ht="15" customHeight="1" s="40">
      <c r="A628" s="65">
        <f>IF(COUNTA(B628:F628)=0,"","TSK-"&amp;TEXT(ROW()-4,"0000"))</f>
        <v/>
      </c>
      <c r="B628" s="78" t="n"/>
      <c r="C628" s="78" t="n"/>
      <c r="D628" s="81" t="n"/>
      <c r="E628" s="81" t="n"/>
      <c r="F628" s="78" t="n"/>
      <c r="G628" s="67">
        <f>IF($F628="","",IFERROR(INDEX(Employee_Master!$C$5:$C$204,MATCH($F628,Employee_Master!$B$5:$B$204,0)),""))</f>
        <v/>
      </c>
      <c r="H628" s="78" t="n"/>
      <c r="I628" s="78" t="n"/>
      <c r="J628" s="67">
        <f>IF($I628="","",IFERROR(INDEX(Action_Status_Map!$B$5:$B$11,MATCH($I628,Action_Status_Map!$A$5:$A$11,0)),""))</f>
        <v/>
      </c>
      <c r="K628" s="82" t="n"/>
      <c r="L628" s="82" t="n"/>
      <c r="M628" s="82" t="n"/>
      <c r="N628" s="83" t="n"/>
      <c r="O628" s="83" t="n"/>
      <c r="P628" s="66">
        <f>IF(OR($N628="",$O628=""),"",$O628-$N628)</f>
        <v/>
      </c>
      <c r="Q628" s="84">
        <f>IF($K628="","",IF($M628&lt;&gt;"",$M628-$K628,TODAY()-$K628))</f>
        <v/>
      </c>
      <c r="R628" s="85">
        <f>IF(OR($L628="",$I628="Completed",$I628="Cancelled"),"",IF(AND($L628&lt;TODAY(),$I628&lt;&gt;"Completed",$I628&lt;&gt;"Cancelled"),"Overdue","On Track"))</f>
        <v/>
      </c>
      <c r="S628" s="65">
        <f>IF($L628="","",TEXT($L628,"yyyy-mm"))</f>
        <v/>
      </c>
      <c r="T628" s="86">
        <f>IF($I628="","",IFERROR(INDEX(Action_Status_Map!$C$5:$C$11,MATCH($I628,Action_Status_Map!$A$5:$A$11,0)),""))</f>
        <v/>
      </c>
      <c r="U628" s="81" t="n"/>
      <c r="V628" s="82" t="n"/>
      <c r="W628" s="65">
        <f>IF(OR($I628&lt;&gt;"Completed",$M628="",$L628=""),"",IF($M628&lt;=$L628,"Yes","No"))</f>
        <v/>
      </c>
      <c r="X628" s="84">
        <f>IF($A628="","",COUNTIF(Task_Steps!$B$5:$B$2004,$A628))</f>
        <v/>
      </c>
      <c r="Y628" s="86">
        <f>IF($X628=0,"",COUNTIFS(Task_Steps!$B$5:$B$2004,$A628,Task_Steps!$H$5:$H$2004,"Completed")/$X628)</f>
        <v/>
      </c>
      <c r="Z628" s="81" t="n"/>
      <c r="AA628" s="81" t="n"/>
      <c r="AB628" s="67">
        <f>IF($F628="","",IFERROR(INDEX(Employee_Master!$E$5:$E$204,MATCH($F628,Employee_Master!$B$5:$B$204,0)),""))</f>
        <v/>
      </c>
      <c r="AC628" s="65">
        <f>IF(OR($A628="",$AB628=""),"",IF(OR($I628="Completed",$I628="Cancelled"),"Closed - in Manager Report","Active - in Manager Report"))</f>
        <v/>
      </c>
      <c r="AD628" s="81">
        <f>IF($A628="","",IFERROR(TEXTJOIN(", ",TRUE,FILTER(Task_Steps!$A$5:$A$2004,Task_Steps!$B$5:$B$2004=$A628)),""))</f>
        <v/>
      </c>
      <c r="AE628" s="84">
        <f>IF($A628="","",COUNTIFS(Task_Steps!$B$5:$B$2004,$A628,Task_Steps!$H$5:$H$2004,"&lt;&gt;Completed",Task_Steps!$H$5:$H$2004,"&lt;&gt;Cancelled"))</f>
        <v/>
      </c>
      <c r="AF628" s="81">
        <f>IF(OR($B628="",$A628=""),"",$B628&amp;" | "&amp;$A628)</f>
        <v/>
      </c>
    </row>
    <row r="629" ht="15" customHeight="1" s="40">
      <c r="A629" s="65">
        <f>IF(COUNTA(B629:F629)=0,"","TSK-"&amp;TEXT(ROW()-4,"0000"))</f>
        <v/>
      </c>
      <c r="B629" s="78" t="n"/>
      <c r="C629" s="78" t="n"/>
      <c r="D629" s="81" t="n"/>
      <c r="E629" s="81" t="n"/>
      <c r="F629" s="78" t="n"/>
      <c r="G629" s="67">
        <f>IF($F629="","",IFERROR(INDEX(Employee_Master!$C$5:$C$204,MATCH($F629,Employee_Master!$B$5:$B$204,0)),""))</f>
        <v/>
      </c>
      <c r="H629" s="78" t="n"/>
      <c r="I629" s="78" t="n"/>
      <c r="J629" s="67">
        <f>IF($I629="","",IFERROR(INDEX(Action_Status_Map!$B$5:$B$11,MATCH($I629,Action_Status_Map!$A$5:$A$11,0)),""))</f>
        <v/>
      </c>
      <c r="K629" s="82" t="n"/>
      <c r="L629" s="82" t="n"/>
      <c r="M629" s="82" t="n"/>
      <c r="N629" s="83" t="n"/>
      <c r="O629" s="83" t="n"/>
      <c r="P629" s="66">
        <f>IF(OR($N629="",$O629=""),"",$O629-$N629)</f>
        <v/>
      </c>
      <c r="Q629" s="84">
        <f>IF($K629="","",IF($M629&lt;&gt;"",$M629-$K629,TODAY()-$K629))</f>
        <v/>
      </c>
      <c r="R629" s="85">
        <f>IF(OR($L629="",$I629="Completed",$I629="Cancelled"),"",IF(AND($L629&lt;TODAY(),$I629&lt;&gt;"Completed",$I629&lt;&gt;"Cancelled"),"Overdue","On Track"))</f>
        <v/>
      </c>
      <c r="S629" s="65">
        <f>IF($L629="","",TEXT($L629,"yyyy-mm"))</f>
        <v/>
      </c>
      <c r="T629" s="86">
        <f>IF($I629="","",IFERROR(INDEX(Action_Status_Map!$C$5:$C$11,MATCH($I629,Action_Status_Map!$A$5:$A$11,0)),""))</f>
        <v/>
      </c>
      <c r="U629" s="81" t="n"/>
      <c r="V629" s="82" t="n"/>
      <c r="W629" s="65">
        <f>IF(OR($I629&lt;&gt;"Completed",$M629="",$L629=""),"",IF($M629&lt;=$L629,"Yes","No"))</f>
        <v/>
      </c>
      <c r="X629" s="84">
        <f>IF($A629="","",COUNTIF(Task_Steps!$B$5:$B$2004,$A629))</f>
        <v/>
      </c>
      <c r="Y629" s="86">
        <f>IF($X629=0,"",COUNTIFS(Task_Steps!$B$5:$B$2004,$A629,Task_Steps!$H$5:$H$2004,"Completed")/$X629)</f>
        <v/>
      </c>
      <c r="Z629" s="81" t="n"/>
      <c r="AA629" s="81" t="n"/>
      <c r="AB629" s="67">
        <f>IF($F629="","",IFERROR(INDEX(Employee_Master!$E$5:$E$204,MATCH($F629,Employee_Master!$B$5:$B$204,0)),""))</f>
        <v/>
      </c>
      <c r="AC629" s="65">
        <f>IF(OR($A629="",$AB629=""),"",IF(OR($I629="Completed",$I629="Cancelled"),"Closed - in Manager Report","Active - in Manager Report"))</f>
        <v/>
      </c>
      <c r="AD629" s="81">
        <f>IF($A629="","",IFERROR(TEXTJOIN(", ",TRUE,FILTER(Task_Steps!$A$5:$A$2004,Task_Steps!$B$5:$B$2004=$A629)),""))</f>
        <v/>
      </c>
      <c r="AE629" s="84">
        <f>IF($A629="","",COUNTIFS(Task_Steps!$B$5:$B$2004,$A629,Task_Steps!$H$5:$H$2004,"&lt;&gt;Completed",Task_Steps!$H$5:$H$2004,"&lt;&gt;Cancelled"))</f>
        <v/>
      </c>
      <c r="AF629" s="81">
        <f>IF(OR($B629="",$A629=""),"",$B629&amp;" | "&amp;$A629)</f>
        <v/>
      </c>
    </row>
    <row r="630" ht="15" customHeight="1" s="40">
      <c r="A630" s="65">
        <f>IF(COUNTA(B630:F630)=0,"","TSK-"&amp;TEXT(ROW()-4,"0000"))</f>
        <v/>
      </c>
      <c r="B630" s="78" t="n"/>
      <c r="C630" s="78" t="n"/>
      <c r="D630" s="81" t="n"/>
      <c r="E630" s="81" t="n"/>
      <c r="F630" s="78" t="n"/>
      <c r="G630" s="67">
        <f>IF($F630="","",IFERROR(INDEX(Employee_Master!$C$5:$C$204,MATCH($F630,Employee_Master!$B$5:$B$204,0)),""))</f>
        <v/>
      </c>
      <c r="H630" s="78" t="n"/>
      <c r="I630" s="78" t="n"/>
      <c r="J630" s="67">
        <f>IF($I630="","",IFERROR(INDEX(Action_Status_Map!$B$5:$B$11,MATCH($I630,Action_Status_Map!$A$5:$A$11,0)),""))</f>
        <v/>
      </c>
      <c r="K630" s="82" t="n"/>
      <c r="L630" s="82" t="n"/>
      <c r="M630" s="82" t="n"/>
      <c r="N630" s="83" t="n"/>
      <c r="O630" s="83" t="n"/>
      <c r="P630" s="66">
        <f>IF(OR($N630="",$O630=""),"",$O630-$N630)</f>
        <v/>
      </c>
      <c r="Q630" s="84">
        <f>IF($K630="","",IF($M630&lt;&gt;"",$M630-$K630,TODAY()-$K630))</f>
        <v/>
      </c>
      <c r="R630" s="85">
        <f>IF(OR($L630="",$I630="Completed",$I630="Cancelled"),"",IF(AND($L630&lt;TODAY(),$I630&lt;&gt;"Completed",$I630&lt;&gt;"Cancelled"),"Overdue","On Track"))</f>
        <v/>
      </c>
      <c r="S630" s="65">
        <f>IF($L630="","",TEXT($L630,"yyyy-mm"))</f>
        <v/>
      </c>
      <c r="T630" s="86">
        <f>IF($I630="","",IFERROR(INDEX(Action_Status_Map!$C$5:$C$11,MATCH($I630,Action_Status_Map!$A$5:$A$11,0)),""))</f>
        <v/>
      </c>
      <c r="U630" s="81" t="n"/>
      <c r="V630" s="82" t="n"/>
      <c r="W630" s="65">
        <f>IF(OR($I630&lt;&gt;"Completed",$M630="",$L630=""),"",IF($M630&lt;=$L630,"Yes","No"))</f>
        <v/>
      </c>
      <c r="X630" s="84">
        <f>IF($A630="","",COUNTIF(Task_Steps!$B$5:$B$2004,$A630))</f>
        <v/>
      </c>
      <c r="Y630" s="86">
        <f>IF($X630=0,"",COUNTIFS(Task_Steps!$B$5:$B$2004,$A630,Task_Steps!$H$5:$H$2004,"Completed")/$X630)</f>
        <v/>
      </c>
      <c r="Z630" s="81" t="n"/>
      <c r="AA630" s="81" t="n"/>
      <c r="AB630" s="67">
        <f>IF($F630="","",IFERROR(INDEX(Employee_Master!$E$5:$E$204,MATCH($F630,Employee_Master!$B$5:$B$204,0)),""))</f>
        <v/>
      </c>
      <c r="AC630" s="65">
        <f>IF(OR($A630="",$AB630=""),"",IF(OR($I630="Completed",$I630="Cancelled"),"Closed - in Manager Report","Active - in Manager Report"))</f>
        <v/>
      </c>
      <c r="AD630" s="81">
        <f>IF($A630="","",IFERROR(TEXTJOIN(", ",TRUE,FILTER(Task_Steps!$A$5:$A$2004,Task_Steps!$B$5:$B$2004=$A630)),""))</f>
        <v/>
      </c>
      <c r="AE630" s="84">
        <f>IF($A630="","",COUNTIFS(Task_Steps!$B$5:$B$2004,$A630,Task_Steps!$H$5:$H$2004,"&lt;&gt;Completed",Task_Steps!$H$5:$H$2004,"&lt;&gt;Cancelled"))</f>
        <v/>
      </c>
      <c r="AF630" s="81">
        <f>IF(OR($B630="",$A630=""),"",$B630&amp;" | "&amp;$A630)</f>
        <v/>
      </c>
    </row>
    <row r="631" ht="15" customHeight="1" s="40">
      <c r="A631" s="65">
        <f>IF(COUNTA(B631:F631)=0,"","TSK-"&amp;TEXT(ROW()-4,"0000"))</f>
        <v/>
      </c>
      <c r="B631" s="78" t="n"/>
      <c r="C631" s="78" t="n"/>
      <c r="D631" s="81" t="n"/>
      <c r="E631" s="81" t="n"/>
      <c r="F631" s="78" t="n"/>
      <c r="G631" s="67">
        <f>IF($F631="","",IFERROR(INDEX(Employee_Master!$C$5:$C$204,MATCH($F631,Employee_Master!$B$5:$B$204,0)),""))</f>
        <v/>
      </c>
      <c r="H631" s="78" t="n"/>
      <c r="I631" s="78" t="n"/>
      <c r="J631" s="67">
        <f>IF($I631="","",IFERROR(INDEX(Action_Status_Map!$B$5:$B$11,MATCH($I631,Action_Status_Map!$A$5:$A$11,0)),""))</f>
        <v/>
      </c>
      <c r="K631" s="82" t="n"/>
      <c r="L631" s="82" t="n"/>
      <c r="M631" s="82" t="n"/>
      <c r="N631" s="83" t="n"/>
      <c r="O631" s="83" t="n"/>
      <c r="P631" s="66">
        <f>IF(OR($N631="",$O631=""),"",$O631-$N631)</f>
        <v/>
      </c>
      <c r="Q631" s="84">
        <f>IF($K631="","",IF($M631&lt;&gt;"",$M631-$K631,TODAY()-$K631))</f>
        <v/>
      </c>
      <c r="R631" s="85">
        <f>IF(OR($L631="",$I631="Completed",$I631="Cancelled"),"",IF(AND($L631&lt;TODAY(),$I631&lt;&gt;"Completed",$I631&lt;&gt;"Cancelled"),"Overdue","On Track"))</f>
        <v/>
      </c>
      <c r="S631" s="65">
        <f>IF($L631="","",TEXT($L631,"yyyy-mm"))</f>
        <v/>
      </c>
      <c r="T631" s="86">
        <f>IF($I631="","",IFERROR(INDEX(Action_Status_Map!$C$5:$C$11,MATCH($I631,Action_Status_Map!$A$5:$A$11,0)),""))</f>
        <v/>
      </c>
      <c r="U631" s="81" t="n"/>
      <c r="V631" s="82" t="n"/>
      <c r="W631" s="65">
        <f>IF(OR($I631&lt;&gt;"Completed",$M631="",$L631=""),"",IF($M631&lt;=$L631,"Yes","No"))</f>
        <v/>
      </c>
      <c r="X631" s="84">
        <f>IF($A631="","",COUNTIF(Task_Steps!$B$5:$B$2004,$A631))</f>
        <v/>
      </c>
      <c r="Y631" s="86">
        <f>IF($X631=0,"",COUNTIFS(Task_Steps!$B$5:$B$2004,$A631,Task_Steps!$H$5:$H$2004,"Completed")/$X631)</f>
        <v/>
      </c>
      <c r="Z631" s="81" t="n"/>
      <c r="AA631" s="81" t="n"/>
      <c r="AB631" s="67">
        <f>IF($F631="","",IFERROR(INDEX(Employee_Master!$E$5:$E$204,MATCH($F631,Employee_Master!$B$5:$B$204,0)),""))</f>
        <v/>
      </c>
      <c r="AC631" s="65">
        <f>IF(OR($A631="",$AB631=""),"",IF(OR($I631="Completed",$I631="Cancelled"),"Closed - in Manager Report","Active - in Manager Report"))</f>
        <v/>
      </c>
      <c r="AD631" s="81">
        <f>IF($A631="","",IFERROR(TEXTJOIN(", ",TRUE,FILTER(Task_Steps!$A$5:$A$2004,Task_Steps!$B$5:$B$2004=$A631)),""))</f>
        <v/>
      </c>
      <c r="AE631" s="84">
        <f>IF($A631="","",COUNTIFS(Task_Steps!$B$5:$B$2004,$A631,Task_Steps!$H$5:$H$2004,"&lt;&gt;Completed",Task_Steps!$H$5:$H$2004,"&lt;&gt;Cancelled"))</f>
        <v/>
      </c>
      <c r="AF631" s="81">
        <f>IF(OR($B631="",$A631=""),"",$B631&amp;" | "&amp;$A631)</f>
        <v/>
      </c>
    </row>
    <row r="632" ht="15" customHeight="1" s="40">
      <c r="A632" s="65">
        <f>IF(COUNTA(B632:F632)=0,"","TSK-"&amp;TEXT(ROW()-4,"0000"))</f>
        <v/>
      </c>
      <c r="B632" s="78" t="n"/>
      <c r="C632" s="78" t="n"/>
      <c r="D632" s="81" t="n"/>
      <c r="E632" s="81" t="n"/>
      <c r="F632" s="78" t="n"/>
      <c r="G632" s="67">
        <f>IF($F632="","",IFERROR(INDEX(Employee_Master!$C$5:$C$204,MATCH($F632,Employee_Master!$B$5:$B$204,0)),""))</f>
        <v/>
      </c>
      <c r="H632" s="78" t="n"/>
      <c r="I632" s="78" t="n"/>
      <c r="J632" s="67">
        <f>IF($I632="","",IFERROR(INDEX(Action_Status_Map!$B$5:$B$11,MATCH($I632,Action_Status_Map!$A$5:$A$11,0)),""))</f>
        <v/>
      </c>
      <c r="K632" s="82" t="n"/>
      <c r="L632" s="82" t="n"/>
      <c r="M632" s="82" t="n"/>
      <c r="N632" s="83" t="n"/>
      <c r="O632" s="83" t="n"/>
      <c r="P632" s="66">
        <f>IF(OR($N632="",$O632=""),"",$O632-$N632)</f>
        <v/>
      </c>
      <c r="Q632" s="84">
        <f>IF($K632="","",IF($M632&lt;&gt;"",$M632-$K632,TODAY()-$K632))</f>
        <v/>
      </c>
      <c r="R632" s="85">
        <f>IF(OR($L632="",$I632="Completed",$I632="Cancelled"),"",IF(AND($L632&lt;TODAY(),$I632&lt;&gt;"Completed",$I632&lt;&gt;"Cancelled"),"Overdue","On Track"))</f>
        <v/>
      </c>
      <c r="S632" s="65">
        <f>IF($L632="","",TEXT($L632,"yyyy-mm"))</f>
        <v/>
      </c>
      <c r="T632" s="86">
        <f>IF($I632="","",IFERROR(INDEX(Action_Status_Map!$C$5:$C$11,MATCH($I632,Action_Status_Map!$A$5:$A$11,0)),""))</f>
        <v/>
      </c>
      <c r="U632" s="81" t="n"/>
      <c r="V632" s="82" t="n"/>
      <c r="W632" s="65">
        <f>IF(OR($I632&lt;&gt;"Completed",$M632="",$L632=""),"",IF($M632&lt;=$L632,"Yes","No"))</f>
        <v/>
      </c>
      <c r="X632" s="84">
        <f>IF($A632="","",COUNTIF(Task_Steps!$B$5:$B$2004,$A632))</f>
        <v/>
      </c>
      <c r="Y632" s="86">
        <f>IF($X632=0,"",COUNTIFS(Task_Steps!$B$5:$B$2004,$A632,Task_Steps!$H$5:$H$2004,"Completed")/$X632)</f>
        <v/>
      </c>
      <c r="Z632" s="81" t="n"/>
      <c r="AA632" s="81" t="n"/>
      <c r="AB632" s="67">
        <f>IF($F632="","",IFERROR(INDEX(Employee_Master!$E$5:$E$204,MATCH($F632,Employee_Master!$B$5:$B$204,0)),""))</f>
        <v/>
      </c>
      <c r="AC632" s="65">
        <f>IF(OR($A632="",$AB632=""),"",IF(OR($I632="Completed",$I632="Cancelled"),"Closed - in Manager Report","Active - in Manager Report"))</f>
        <v/>
      </c>
      <c r="AD632" s="81">
        <f>IF($A632="","",IFERROR(TEXTJOIN(", ",TRUE,FILTER(Task_Steps!$A$5:$A$2004,Task_Steps!$B$5:$B$2004=$A632)),""))</f>
        <v/>
      </c>
      <c r="AE632" s="84">
        <f>IF($A632="","",COUNTIFS(Task_Steps!$B$5:$B$2004,$A632,Task_Steps!$H$5:$H$2004,"&lt;&gt;Completed",Task_Steps!$H$5:$H$2004,"&lt;&gt;Cancelled"))</f>
        <v/>
      </c>
      <c r="AF632" s="81">
        <f>IF(OR($B632="",$A632=""),"",$B632&amp;" | "&amp;$A632)</f>
        <v/>
      </c>
    </row>
    <row r="633" ht="15" customHeight="1" s="40">
      <c r="A633" s="65">
        <f>IF(COUNTA(B633:F633)=0,"","TSK-"&amp;TEXT(ROW()-4,"0000"))</f>
        <v/>
      </c>
      <c r="B633" s="78" t="n"/>
      <c r="C633" s="78" t="n"/>
      <c r="D633" s="81" t="n"/>
      <c r="E633" s="81" t="n"/>
      <c r="F633" s="78" t="n"/>
      <c r="G633" s="67">
        <f>IF($F633="","",IFERROR(INDEX(Employee_Master!$C$5:$C$204,MATCH($F633,Employee_Master!$B$5:$B$204,0)),""))</f>
        <v/>
      </c>
      <c r="H633" s="78" t="n"/>
      <c r="I633" s="78" t="n"/>
      <c r="J633" s="67">
        <f>IF($I633="","",IFERROR(INDEX(Action_Status_Map!$B$5:$B$11,MATCH($I633,Action_Status_Map!$A$5:$A$11,0)),""))</f>
        <v/>
      </c>
      <c r="K633" s="82" t="n"/>
      <c r="L633" s="82" t="n"/>
      <c r="M633" s="82" t="n"/>
      <c r="N633" s="83" t="n"/>
      <c r="O633" s="83" t="n"/>
      <c r="P633" s="66">
        <f>IF(OR($N633="",$O633=""),"",$O633-$N633)</f>
        <v/>
      </c>
      <c r="Q633" s="84">
        <f>IF($K633="","",IF($M633&lt;&gt;"",$M633-$K633,TODAY()-$K633))</f>
        <v/>
      </c>
      <c r="R633" s="85">
        <f>IF(OR($L633="",$I633="Completed",$I633="Cancelled"),"",IF(AND($L633&lt;TODAY(),$I633&lt;&gt;"Completed",$I633&lt;&gt;"Cancelled"),"Overdue","On Track"))</f>
        <v/>
      </c>
      <c r="S633" s="65">
        <f>IF($L633="","",TEXT($L633,"yyyy-mm"))</f>
        <v/>
      </c>
      <c r="T633" s="86">
        <f>IF($I633="","",IFERROR(INDEX(Action_Status_Map!$C$5:$C$11,MATCH($I633,Action_Status_Map!$A$5:$A$11,0)),""))</f>
        <v/>
      </c>
      <c r="U633" s="81" t="n"/>
      <c r="V633" s="82" t="n"/>
      <c r="W633" s="65">
        <f>IF(OR($I633&lt;&gt;"Completed",$M633="",$L633=""),"",IF($M633&lt;=$L633,"Yes","No"))</f>
        <v/>
      </c>
      <c r="X633" s="84">
        <f>IF($A633="","",COUNTIF(Task_Steps!$B$5:$B$2004,$A633))</f>
        <v/>
      </c>
      <c r="Y633" s="86">
        <f>IF($X633=0,"",COUNTIFS(Task_Steps!$B$5:$B$2004,$A633,Task_Steps!$H$5:$H$2004,"Completed")/$X633)</f>
        <v/>
      </c>
      <c r="Z633" s="81" t="n"/>
      <c r="AA633" s="81" t="n"/>
      <c r="AB633" s="67">
        <f>IF($F633="","",IFERROR(INDEX(Employee_Master!$E$5:$E$204,MATCH($F633,Employee_Master!$B$5:$B$204,0)),""))</f>
        <v/>
      </c>
      <c r="AC633" s="65">
        <f>IF(OR($A633="",$AB633=""),"",IF(OR($I633="Completed",$I633="Cancelled"),"Closed - in Manager Report","Active - in Manager Report"))</f>
        <v/>
      </c>
      <c r="AD633" s="81">
        <f>IF($A633="","",IFERROR(TEXTJOIN(", ",TRUE,FILTER(Task_Steps!$A$5:$A$2004,Task_Steps!$B$5:$B$2004=$A633)),""))</f>
        <v/>
      </c>
      <c r="AE633" s="84">
        <f>IF($A633="","",COUNTIFS(Task_Steps!$B$5:$B$2004,$A633,Task_Steps!$H$5:$H$2004,"&lt;&gt;Completed",Task_Steps!$H$5:$H$2004,"&lt;&gt;Cancelled"))</f>
        <v/>
      </c>
      <c r="AF633" s="81">
        <f>IF(OR($B633="",$A633=""),"",$B633&amp;" | "&amp;$A633)</f>
        <v/>
      </c>
    </row>
    <row r="634" ht="15" customHeight="1" s="40">
      <c r="A634" s="65">
        <f>IF(COUNTA(B634:F634)=0,"","TSK-"&amp;TEXT(ROW()-4,"0000"))</f>
        <v/>
      </c>
      <c r="B634" s="78" t="n"/>
      <c r="C634" s="78" t="n"/>
      <c r="D634" s="81" t="n"/>
      <c r="E634" s="81" t="n"/>
      <c r="F634" s="78" t="n"/>
      <c r="G634" s="67">
        <f>IF($F634="","",IFERROR(INDEX(Employee_Master!$C$5:$C$204,MATCH($F634,Employee_Master!$B$5:$B$204,0)),""))</f>
        <v/>
      </c>
      <c r="H634" s="78" t="n"/>
      <c r="I634" s="78" t="n"/>
      <c r="J634" s="67">
        <f>IF($I634="","",IFERROR(INDEX(Action_Status_Map!$B$5:$B$11,MATCH($I634,Action_Status_Map!$A$5:$A$11,0)),""))</f>
        <v/>
      </c>
      <c r="K634" s="82" t="n"/>
      <c r="L634" s="82" t="n"/>
      <c r="M634" s="82" t="n"/>
      <c r="N634" s="83" t="n"/>
      <c r="O634" s="83" t="n"/>
      <c r="P634" s="66">
        <f>IF(OR($N634="",$O634=""),"",$O634-$N634)</f>
        <v/>
      </c>
      <c r="Q634" s="84">
        <f>IF($K634="","",IF($M634&lt;&gt;"",$M634-$K634,TODAY()-$K634))</f>
        <v/>
      </c>
      <c r="R634" s="85">
        <f>IF(OR($L634="",$I634="Completed",$I634="Cancelled"),"",IF(AND($L634&lt;TODAY(),$I634&lt;&gt;"Completed",$I634&lt;&gt;"Cancelled"),"Overdue","On Track"))</f>
        <v/>
      </c>
      <c r="S634" s="65">
        <f>IF($L634="","",TEXT($L634,"yyyy-mm"))</f>
        <v/>
      </c>
      <c r="T634" s="86">
        <f>IF($I634="","",IFERROR(INDEX(Action_Status_Map!$C$5:$C$11,MATCH($I634,Action_Status_Map!$A$5:$A$11,0)),""))</f>
        <v/>
      </c>
      <c r="U634" s="81" t="n"/>
      <c r="V634" s="82" t="n"/>
      <c r="W634" s="65">
        <f>IF(OR($I634&lt;&gt;"Completed",$M634="",$L634=""),"",IF($M634&lt;=$L634,"Yes","No"))</f>
        <v/>
      </c>
      <c r="X634" s="84">
        <f>IF($A634="","",COUNTIF(Task_Steps!$B$5:$B$2004,$A634))</f>
        <v/>
      </c>
      <c r="Y634" s="86">
        <f>IF($X634=0,"",COUNTIFS(Task_Steps!$B$5:$B$2004,$A634,Task_Steps!$H$5:$H$2004,"Completed")/$X634)</f>
        <v/>
      </c>
      <c r="Z634" s="81" t="n"/>
      <c r="AA634" s="81" t="n"/>
      <c r="AB634" s="67">
        <f>IF($F634="","",IFERROR(INDEX(Employee_Master!$E$5:$E$204,MATCH($F634,Employee_Master!$B$5:$B$204,0)),""))</f>
        <v/>
      </c>
      <c r="AC634" s="65">
        <f>IF(OR($A634="",$AB634=""),"",IF(OR($I634="Completed",$I634="Cancelled"),"Closed - in Manager Report","Active - in Manager Report"))</f>
        <v/>
      </c>
      <c r="AD634" s="81">
        <f>IF($A634="","",IFERROR(TEXTJOIN(", ",TRUE,FILTER(Task_Steps!$A$5:$A$2004,Task_Steps!$B$5:$B$2004=$A634)),""))</f>
        <v/>
      </c>
      <c r="AE634" s="84">
        <f>IF($A634="","",COUNTIFS(Task_Steps!$B$5:$B$2004,$A634,Task_Steps!$H$5:$H$2004,"&lt;&gt;Completed",Task_Steps!$H$5:$H$2004,"&lt;&gt;Cancelled"))</f>
        <v/>
      </c>
      <c r="AF634" s="81">
        <f>IF(OR($B634="",$A634=""),"",$B634&amp;" | "&amp;$A634)</f>
        <v/>
      </c>
    </row>
    <row r="635" ht="15" customHeight="1" s="40">
      <c r="A635" s="65">
        <f>IF(COUNTA(B635:F635)=0,"","TSK-"&amp;TEXT(ROW()-4,"0000"))</f>
        <v/>
      </c>
      <c r="B635" s="78" t="n"/>
      <c r="C635" s="78" t="n"/>
      <c r="D635" s="81" t="n"/>
      <c r="E635" s="81" t="n"/>
      <c r="F635" s="78" t="n"/>
      <c r="G635" s="67">
        <f>IF($F635="","",IFERROR(INDEX(Employee_Master!$C$5:$C$204,MATCH($F635,Employee_Master!$B$5:$B$204,0)),""))</f>
        <v/>
      </c>
      <c r="H635" s="78" t="n"/>
      <c r="I635" s="78" t="n"/>
      <c r="J635" s="67">
        <f>IF($I635="","",IFERROR(INDEX(Action_Status_Map!$B$5:$B$11,MATCH($I635,Action_Status_Map!$A$5:$A$11,0)),""))</f>
        <v/>
      </c>
      <c r="K635" s="82" t="n"/>
      <c r="L635" s="82" t="n"/>
      <c r="M635" s="82" t="n"/>
      <c r="N635" s="83" t="n"/>
      <c r="O635" s="83" t="n"/>
      <c r="P635" s="66">
        <f>IF(OR($N635="",$O635=""),"",$O635-$N635)</f>
        <v/>
      </c>
      <c r="Q635" s="84">
        <f>IF($K635="","",IF($M635&lt;&gt;"",$M635-$K635,TODAY()-$K635))</f>
        <v/>
      </c>
      <c r="R635" s="85">
        <f>IF(OR($L635="",$I635="Completed",$I635="Cancelled"),"",IF(AND($L635&lt;TODAY(),$I635&lt;&gt;"Completed",$I635&lt;&gt;"Cancelled"),"Overdue","On Track"))</f>
        <v/>
      </c>
      <c r="S635" s="65">
        <f>IF($L635="","",TEXT($L635,"yyyy-mm"))</f>
        <v/>
      </c>
      <c r="T635" s="86">
        <f>IF($I635="","",IFERROR(INDEX(Action_Status_Map!$C$5:$C$11,MATCH($I635,Action_Status_Map!$A$5:$A$11,0)),""))</f>
        <v/>
      </c>
      <c r="U635" s="81" t="n"/>
      <c r="V635" s="82" t="n"/>
      <c r="W635" s="65">
        <f>IF(OR($I635&lt;&gt;"Completed",$M635="",$L635=""),"",IF($M635&lt;=$L635,"Yes","No"))</f>
        <v/>
      </c>
      <c r="X635" s="84">
        <f>IF($A635="","",COUNTIF(Task_Steps!$B$5:$B$2004,$A635))</f>
        <v/>
      </c>
      <c r="Y635" s="86">
        <f>IF($X635=0,"",COUNTIFS(Task_Steps!$B$5:$B$2004,$A635,Task_Steps!$H$5:$H$2004,"Completed")/$X635)</f>
        <v/>
      </c>
      <c r="Z635" s="81" t="n"/>
      <c r="AA635" s="81" t="n"/>
      <c r="AB635" s="67">
        <f>IF($F635="","",IFERROR(INDEX(Employee_Master!$E$5:$E$204,MATCH($F635,Employee_Master!$B$5:$B$204,0)),""))</f>
        <v/>
      </c>
      <c r="AC635" s="65">
        <f>IF(OR($A635="",$AB635=""),"",IF(OR($I635="Completed",$I635="Cancelled"),"Closed - in Manager Report","Active - in Manager Report"))</f>
        <v/>
      </c>
      <c r="AD635" s="81">
        <f>IF($A635="","",IFERROR(TEXTJOIN(", ",TRUE,FILTER(Task_Steps!$A$5:$A$2004,Task_Steps!$B$5:$B$2004=$A635)),""))</f>
        <v/>
      </c>
      <c r="AE635" s="84">
        <f>IF($A635="","",COUNTIFS(Task_Steps!$B$5:$B$2004,$A635,Task_Steps!$H$5:$H$2004,"&lt;&gt;Completed",Task_Steps!$H$5:$H$2004,"&lt;&gt;Cancelled"))</f>
        <v/>
      </c>
      <c r="AF635" s="81">
        <f>IF(OR($B635="",$A635=""),"",$B635&amp;" | "&amp;$A635)</f>
        <v/>
      </c>
    </row>
    <row r="636" ht="15" customHeight="1" s="40">
      <c r="A636" s="65">
        <f>IF(COUNTA(B636:F636)=0,"","TSK-"&amp;TEXT(ROW()-4,"0000"))</f>
        <v/>
      </c>
      <c r="B636" s="78" t="n"/>
      <c r="C636" s="78" t="n"/>
      <c r="D636" s="81" t="n"/>
      <c r="E636" s="81" t="n"/>
      <c r="F636" s="78" t="n"/>
      <c r="G636" s="67">
        <f>IF($F636="","",IFERROR(INDEX(Employee_Master!$C$5:$C$204,MATCH($F636,Employee_Master!$B$5:$B$204,0)),""))</f>
        <v/>
      </c>
      <c r="H636" s="78" t="n"/>
      <c r="I636" s="78" t="n"/>
      <c r="J636" s="67">
        <f>IF($I636="","",IFERROR(INDEX(Action_Status_Map!$B$5:$B$11,MATCH($I636,Action_Status_Map!$A$5:$A$11,0)),""))</f>
        <v/>
      </c>
      <c r="K636" s="82" t="n"/>
      <c r="L636" s="82" t="n"/>
      <c r="M636" s="82" t="n"/>
      <c r="N636" s="83" t="n"/>
      <c r="O636" s="83" t="n"/>
      <c r="P636" s="66">
        <f>IF(OR($N636="",$O636=""),"",$O636-$N636)</f>
        <v/>
      </c>
      <c r="Q636" s="84">
        <f>IF($K636="","",IF($M636&lt;&gt;"",$M636-$K636,TODAY()-$K636))</f>
        <v/>
      </c>
      <c r="R636" s="85">
        <f>IF(OR($L636="",$I636="Completed",$I636="Cancelled"),"",IF(AND($L636&lt;TODAY(),$I636&lt;&gt;"Completed",$I636&lt;&gt;"Cancelled"),"Overdue","On Track"))</f>
        <v/>
      </c>
      <c r="S636" s="65">
        <f>IF($L636="","",TEXT($L636,"yyyy-mm"))</f>
        <v/>
      </c>
      <c r="T636" s="86">
        <f>IF($I636="","",IFERROR(INDEX(Action_Status_Map!$C$5:$C$11,MATCH($I636,Action_Status_Map!$A$5:$A$11,0)),""))</f>
        <v/>
      </c>
      <c r="U636" s="81" t="n"/>
      <c r="V636" s="82" t="n"/>
      <c r="W636" s="65">
        <f>IF(OR($I636&lt;&gt;"Completed",$M636="",$L636=""),"",IF($M636&lt;=$L636,"Yes","No"))</f>
        <v/>
      </c>
      <c r="X636" s="84">
        <f>IF($A636="","",COUNTIF(Task_Steps!$B$5:$B$2004,$A636))</f>
        <v/>
      </c>
      <c r="Y636" s="86">
        <f>IF($X636=0,"",COUNTIFS(Task_Steps!$B$5:$B$2004,$A636,Task_Steps!$H$5:$H$2004,"Completed")/$X636)</f>
        <v/>
      </c>
      <c r="Z636" s="81" t="n"/>
      <c r="AA636" s="81" t="n"/>
      <c r="AB636" s="67">
        <f>IF($F636="","",IFERROR(INDEX(Employee_Master!$E$5:$E$204,MATCH($F636,Employee_Master!$B$5:$B$204,0)),""))</f>
        <v/>
      </c>
      <c r="AC636" s="65">
        <f>IF(OR($A636="",$AB636=""),"",IF(OR($I636="Completed",$I636="Cancelled"),"Closed - in Manager Report","Active - in Manager Report"))</f>
        <v/>
      </c>
      <c r="AD636" s="81">
        <f>IF($A636="","",IFERROR(TEXTJOIN(", ",TRUE,FILTER(Task_Steps!$A$5:$A$2004,Task_Steps!$B$5:$B$2004=$A636)),""))</f>
        <v/>
      </c>
      <c r="AE636" s="84">
        <f>IF($A636="","",COUNTIFS(Task_Steps!$B$5:$B$2004,$A636,Task_Steps!$H$5:$H$2004,"&lt;&gt;Completed",Task_Steps!$H$5:$H$2004,"&lt;&gt;Cancelled"))</f>
        <v/>
      </c>
      <c r="AF636" s="81">
        <f>IF(OR($B636="",$A636=""),"",$B636&amp;" | "&amp;$A636)</f>
        <v/>
      </c>
    </row>
    <row r="637" ht="15" customHeight="1" s="40">
      <c r="A637" s="65">
        <f>IF(COUNTA(B637:F637)=0,"","TSK-"&amp;TEXT(ROW()-4,"0000"))</f>
        <v/>
      </c>
      <c r="B637" s="78" t="n"/>
      <c r="C637" s="78" t="n"/>
      <c r="D637" s="81" t="n"/>
      <c r="E637" s="81" t="n"/>
      <c r="F637" s="78" t="n"/>
      <c r="G637" s="67">
        <f>IF($F637="","",IFERROR(INDEX(Employee_Master!$C$5:$C$204,MATCH($F637,Employee_Master!$B$5:$B$204,0)),""))</f>
        <v/>
      </c>
      <c r="H637" s="78" t="n"/>
      <c r="I637" s="78" t="n"/>
      <c r="J637" s="67">
        <f>IF($I637="","",IFERROR(INDEX(Action_Status_Map!$B$5:$B$11,MATCH($I637,Action_Status_Map!$A$5:$A$11,0)),""))</f>
        <v/>
      </c>
      <c r="K637" s="82" t="n"/>
      <c r="L637" s="82" t="n"/>
      <c r="M637" s="82" t="n"/>
      <c r="N637" s="83" t="n"/>
      <c r="O637" s="83" t="n"/>
      <c r="P637" s="66">
        <f>IF(OR($N637="",$O637=""),"",$O637-$N637)</f>
        <v/>
      </c>
      <c r="Q637" s="84">
        <f>IF($K637="","",IF($M637&lt;&gt;"",$M637-$K637,TODAY()-$K637))</f>
        <v/>
      </c>
      <c r="R637" s="85">
        <f>IF(OR($L637="",$I637="Completed",$I637="Cancelled"),"",IF(AND($L637&lt;TODAY(),$I637&lt;&gt;"Completed",$I637&lt;&gt;"Cancelled"),"Overdue","On Track"))</f>
        <v/>
      </c>
      <c r="S637" s="65">
        <f>IF($L637="","",TEXT($L637,"yyyy-mm"))</f>
        <v/>
      </c>
      <c r="T637" s="86">
        <f>IF($I637="","",IFERROR(INDEX(Action_Status_Map!$C$5:$C$11,MATCH($I637,Action_Status_Map!$A$5:$A$11,0)),""))</f>
        <v/>
      </c>
      <c r="U637" s="81" t="n"/>
      <c r="V637" s="82" t="n"/>
      <c r="W637" s="65">
        <f>IF(OR($I637&lt;&gt;"Completed",$M637="",$L637=""),"",IF($M637&lt;=$L637,"Yes","No"))</f>
        <v/>
      </c>
      <c r="X637" s="84">
        <f>IF($A637="","",COUNTIF(Task_Steps!$B$5:$B$2004,$A637))</f>
        <v/>
      </c>
      <c r="Y637" s="86">
        <f>IF($X637=0,"",COUNTIFS(Task_Steps!$B$5:$B$2004,$A637,Task_Steps!$H$5:$H$2004,"Completed")/$X637)</f>
        <v/>
      </c>
      <c r="Z637" s="81" t="n"/>
      <c r="AA637" s="81" t="n"/>
      <c r="AB637" s="67">
        <f>IF($F637="","",IFERROR(INDEX(Employee_Master!$E$5:$E$204,MATCH($F637,Employee_Master!$B$5:$B$204,0)),""))</f>
        <v/>
      </c>
      <c r="AC637" s="65">
        <f>IF(OR($A637="",$AB637=""),"",IF(OR($I637="Completed",$I637="Cancelled"),"Closed - in Manager Report","Active - in Manager Report"))</f>
        <v/>
      </c>
      <c r="AD637" s="81">
        <f>IF($A637="","",IFERROR(TEXTJOIN(", ",TRUE,FILTER(Task_Steps!$A$5:$A$2004,Task_Steps!$B$5:$B$2004=$A637)),""))</f>
        <v/>
      </c>
      <c r="AE637" s="84">
        <f>IF($A637="","",COUNTIFS(Task_Steps!$B$5:$B$2004,$A637,Task_Steps!$H$5:$H$2004,"&lt;&gt;Completed",Task_Steps!$H$5:$H$2004,"&lt;&gt;Cancelled"))</f>
        <v/>
      </c>
      <c r="AF637" s="81">
        <f>IF(OR($B637="",$A637=""),"",$B637&amp;" | "&amp;$A637)</f>
        <v/>
      </c>
    </row>
    <row r="638" ht="15" customHeight="1" s="40">
      <c r="A638" s="65">
        <f>IF(COUNTA(B638:F638)=0,"","TSK-"&amp;TEXT(ROW()-4,"0000"))</f>
        <v/>
      </c>
      <c r="B638" s="78" t="n"/>
      <c r="C638" s="78" t="n"/>
      <c r="D638" s="81" t="n"/>
      <c r="E638" s="81" t="n"/>
      <c r="F638" s="78" t="n"/>
      <c r="G638" s="67">
        <f>IF($F638="","",IFERROR(INDEX(Employee_Master!$C$5:$C$204,MATCH($F638,Employee_Master!$B$5:$B$204,0)),""))</f>
        <v/>
      </c>
      <c r="H638" s="78" t="n"/>
      <c r="I638" s="78" t="n"/>
      <c r="J638" s="67">
        <f>IF($I638="","",IFERROR(INDEX(Action_Status_Map!$B$5:$B$11,MATCH($I638,Action_Status_Map!$A$5:$A$11,0)),""))</f>
        <v/>
      </c>
      <c r="K638" s="82" t="n"/>
      <c r="L638" s="82" t="n"/>
      <c r="M638" s="82" t="n"/>
      <c r="N638" s="83" t="n"/>
      <c r="O638" s="83" t="n"/>
      <c r="P638" s="66">
        <f>IF(OR($N638="",$O638=""),"",$O638-$N638)</f>
        <v/>
      </c>
      <c r="Q638" s="84">
        <f>IF($K638="","",IF($M638&lt;&gt;"",$M638-$K638,TODAY()-$K638))</f>
        <v/>
      </c>
      <c r="R638" s="85">
        <f>IF(OR($L638="",$I638="Completed",$I638="Cancelled"),"",IF(AND($L638&lt;TODAY(),$I638&lt;&gt;"Completed",$I638&lt;&gt;"Cancelled"),"Overdue","On Track"))</f>
        <v/>
      </c>
      <c r="S638" s="65">
        <f>IF($L638="","",TEXT($L638,"yyyy-mm"))</f>
        <v/>
      </c>
      <c r="T638" s="86">
        <f>IF($I638="","",IFERROR(INDEX(Action_Status_Map!$C$5:$C$11,MATCH($I638,Action_Status_Map!$A$5:$A$11,0)),""))</f>
        <v/>
      </c>
      <c r="U638" s="81" t="n"/>
      <c r="V638" s="82" t="n"/>
      <c r="W638" s="65">
        <f>IF(OR($I638&lt;&gt;"Completed",$M638="",$L638=""),"",IF($M638&lt;=$L638,"Yes","No"))</f>
        <v/>
      </c>
      <c r="X638" s="84">
        <f>IF($A638="","",COUNTIF(Task_Steps!$B$5:$B$2004,$A638))</f>
        <v/>
      </c>
      <c r="Y638" s="86">
        <f>IF($X638=0,"",COUNTIFS(Task_Steps!$B$5:$B$2004,$A638,Task_Steps!$H$5:$H$2004,"Completed")/$X638)</f>
        <v/>
      </c>
      <c r="Z638" s="81" t="n"/>
      <c r="AA638" s="81" t="n"/>
      <c r="AB638" s="67">
        <f>IF($F638="","",IFERROR(INDEX(Employee_Master!$E$5:$E$204,MATCH($F638,Employee_Master!$B$5:$B$204,0)),""))</f>
        <v/>
      </c>
      <c r="AC638" s="65">
        <f>IF(OR($A638="",$AB638=""),"",IF(OR($I638="Completed",$I638="Cancelled"),"Closed - in Manager Report","Active - in Manager Report"))</f>
        <v/>
      </c>
      <c r="AD638" s="81">
        <f>IF($A638="","",IFERROR(TEXTJOIN(", ",TRUE,FILTER(Task_Steps!$A$5:$A$2004,Task_Steps!$B$5:$B$2004=$A638)),""))</f>
        <v/>
      </c>
      <c r="AE638" s="84">
        <f>IF($A638="","",COUNTIFS(Task_Steps!$B$5:$B$2004,$A638,Task_Steps!$H$5:$H$2004,"&lt;&gt;Completed",Task_Steps!$H$5:$H$2004,"&lt;&gt;Cancelled"))</f>
        <v/>
      </c>
      <c r="AF638" s="81">
        <f>IF(OR($B638="",$A638=""),"",$B638&amp;" | "&amp;$A638)</f>
        <v/>
      </c>
    </row>
    <row r="639" ht="15" customHeight="1" s="40">
      <c r="A639" s="65">
        <f>IF(COUNTA(B639:F639)=0,"","TSK-"&amp;TEXT(ROW()-4,"0000"))</f>
        <v/>
      </c>
      <c r="B639" s="78" t="n"/>
      <c r="C639" s="78" t="n"/>
      <c r="D639" s="81" t="n"/>
      <c r="E639" s="81" t="n"/>
      <c r="F639" s="78" t="n"/>
      <c r="G639" s="67">
        <f>IF($F639="","",IFERROR(INDEX(Employee_Master!$C$5:$C$204,MATCH($F639,Employee_Master!$B$5:$B$204,0)),""))</f>
        <v/>
      </c>
      <c r="H639" s="78" t="n"/>
      <c r="I639" s="78" t="n"/>
      <c r="J639" s="67">
        <f>IF($I639="","",IFERROR(INDEX(Action_Status_Map!$B$5:$B$11,MATCH($I639,Action_Status_Map!$A$5:$A$11,0)),""))</f>
        <v/>
      </c>
      <c r="K639" s="82" t="n"/>
      <c r="L639" s="82" t="n"/>
      <c r="M639" s="82" t="n"/>
      <c r="N639" s="83" t="n"/>
      <c r="O639" s="83" t="n"/>
      <c r="P639" s="66">
        <f>IF(OR($N639="",$O639=""),"",$O639-$N639)</f>
        <v/>
      </c>
      <c r="Q639" s="84">
        <f>IF($K639="","",IF($M639&lt;&gt;"",$M639-$K639,TODAY()-$K639))</f>
        <v/>
      </c>
      <c r="R639" s="85">
        <f>IF(OR($L639="",$I639="Completed",$I639="Cancelled"),"",IF(AND($L639&lt;TODAY(),$I639&lt;&gt;"Completed",$I639&lt;&gt;"Cancelled"),"Overdue","On Track"))</f>
        <v/>
      </c>
      <c r="S639" s="65">
        <f>IF($L639="","",TEXT($L639,"yyyy-mm"))</f>
        <v/>
      </c>
      <c r="T639" s="86">
        <f>IF($I639="","",IFERROR(INDEX(Action_Status_Map!$C$5:$C$11,MATCH($I639,Action_Status_Map!$A$5:$A$11,0)),""))</f>
        <v/>
      </c>
      <c r="U639" s="81" t="n"/>
      <c r="V639" s="82" t="n"/>
      <c r="W639" s="65">
        <f>IF(OR($I639&lt;&gt;"Completed",$M639="",$L639=""),"",IF($M639&lt;=$L639,"Yes","No"))</f>
        <v/>
      </c>
      <c r="X639" s="84">
        <f>IF($A639="","",COUNTIF(Task_Steps!$B$5:$B$2004,$A639))</f>
        <v/>
      </c>
      <c r="Y639" s="86">
        <f>IF($X639=0,"",COUNTIFS(Task_Steps!$B$5:$B$2004,$A639,Task_Steps!$H$5:$H$2004,"Completed")/$X639)</f>
        <v/>
      </c>
      <c r="Z639" s="81" t="n"/>
      <c r="AA639" s="81" t="n"/>
      <c r="AB639" s="67">
        <f>IF($F639="","",IFERROR(INDEX(Employee_Master!$E$5:$E$204,MATCH($F639,Employee_Master!$B$5:$B$204,0)),""))</f>
        <v/>
      </c>
      <c r="AC639" s="65">
        <f>IF(OR($A639="",$AB639=""),"",IF(OR($I639="Completed",$I639="Cancelled"),"Closed - in Manager Report","Active - in Manager Report"))</f>
        <v/>
      </c>
      <c r="AD639" s="81">
        <f>IF($A639="","",IFERROR(TEXTJOIN(", ",TRUE,FILTER(Task_Steps!$A$5:$A$2004,Task_Steps!$B$5:$B$2004=$A639)),""))</f>
        <v/>
      </c>
      <c r="AE639" s="84">
        <f>IF($A639="","",COUNTIFS(Task_Steps!$B$5:$B$2004,$A639,Task_Steps!$H$5:$H$2004,"&lt;&gt;Completed",Task_Steps!$H$5:$H$2004,"&lt;&gt;Cancelled"))</f>
        <v/>
      </c>
      <c r="AF639" s="81">
        <f>IF(OR($B639="",$A639=""),"",$B639&amp;" | "&amp;$A639)</f>
        <v/>
      </c>
    </row>
    <row r="640" ht="15" customHeight="1" s="40">
      <c r="A640" s="65">
        <f>IF(COUNTA(B640:F640)=0,"","TSK-"&amp;TEXT(ROW()-4,"0000"))</f>
        <v/>
      </c>
      <c r="B640" s="78" t="n"/>
      <c r="C640" s="78" t="n"/>
      <c r="D640" s="81" t="n"/>
      <c r="E640" s="81" t="n"/>
      <c r="F640" s="78" t="n"/>
      <c r="G640" s="67">
        <f>IF($F640="","",IFERROR(INDEX(Employee_Master!$C$5:$C$204,MATCH($F640,Employee_Master!$B$5:$B$204,0)),""))</f>
        <v/>
      </c>
      <c r="H640" s="78" t="n"/>
      <c r="I640" s="78" t="n"/>
      <c r="J640" s="67">
        <f>IF($I640="","",IFERROR(INDEX(Action_Status_Map!$B$5:$B$11,MATCH($I640,Action_Status_Map!$A$5:$A$11,0)),""))</f>
        <v/>
      </c>
      <c r="K640" s="82" t="n"/>
      <c r="L640" s="82" t="n"/>
      <c r="M640" s="82" t="n"/>
      <c r="N640" s="83" t="n"/>
      <c r="O640" s="83" t="n"/>
      <c r="P640" s="66">
        <f>IF(OR($N640="",$O640=""),"",$O640-$N640)</f>
        <v/>
      </c>
      <c r="Q640" s="84">
        <f>IF($K640="","",IF($M640&lt;&gt;"",$M640-$K640,TODAY()-$K640))</f>
        <v/>
      </c>
      <c r="R640" s="85">
        <f>IF(OR($L640="",$I640="Completed",$I640="Cancelled"),"",IF(AND($L640&lt;TODAY(),$I640&lt;&gt;"Completed",$I640&lt;&gt;"Cancelled"),"Overdue","On Track"))</f>
        <v/>
      </c>
      <c r="S640" s="65">
        <f>IF($L640="","",TEXT($L640,"yyyy-mm"))</f>
        <v/>
      </c>
      <c r="T640" s="86">
        <f>IF($I640="","",IFERROR(INDEX(Action_Status_Map!$C$5:$C$11,MATCH($I640,Action_Status_Map!$A$5:$A$11,0)),""))</f>
        <v/>
      </c>
      <c r="U640" s="81" t="n"/>
      <c r="V640" s="82" t="n"/>
      <c r="W640" s="65">
        <f>IF(OR($I640&lt;&gt;"Completed",$M640="",$L640=""),"",IF($M640&lt;=$L640,"Yes","No"))</f>
        <v/>
      </c>
      <c r="X640" s="84">
        <f>IF($A640="","",COUNTIF(Task_Steps!$B$5:$B$2004,$A640))</f>
        <v/>
      </c>
      <c r="Y640" s="86">
        <f>IF($X640=0,"",COUNTIFS(Task_Steps!$B$5:$B$2004,$A640,Task_Steps!$H$5:$H$2004,"Completed")/$X640)</f>
        <v/>
      </c>
      <c r="Z640" s="81" t="n"/>
      <c r="AA640" s="81" t="n"/>
      <c r="AB640" s="67">
        <f>IF($F640="","",IFERROR(INDEX(Employee_Master!$E$5:$E$204,MATCH($F640,Employee_Master!$B$5:$B$204,0)),""))</f>
        <v/>
      </c>
      <c r="AC640" s="65">
        <f>IF(OR($A640="",$AB640=""),"",IF(OR($I640="Completed",$I640="Cancelled"),"Closed - in Manager Report","Active - in Manager Report"))</f>
        <v/>
      </c>
      <c r="AD640" s="81">
        <f>IF($A640="","",IFERROR(TEXTJOIN(", ",TRUE,FILTER(Task_Steps!$A$5:$A$2004,Task_Steps!$B$5:$B$2004=$A640)),""))</f>
        <v/>
      </c>
      <c r="AE640" s="84">
        <f>IF($A640="","",COUNTIFS(Task_Steps!$B$5:$B$2004,$A640,Task_Steps!$H$5:$H$2004,"&lt;&gt;Completed",Task_Steps!$H$5:$H$2004,"&lt;&gt;Cancelled"))</f>
        <v/>
      </c>
      <c r="AF640" s="81">
        <f>IF(OR($B640="",$A640=""),"",$B640&amp;" | "&amp;$A640)</f>
        <v/>
      </c>
    </row>
    <row r="641" ht="15" customHeight="1" s="40">
      <c r="A641" s="65">
        <f>IF(COUNTA(B641:F641)=0,"","TSK-"&amp;TEXT(ROW()-4,"0000"))</f>
        <v/>
      </c>
      <c r="B641" s="78" t="n"/>
      <c r="C641" s="78" t="n"/>
      <c r="D641" s="81" t="n"/>
      <c r="E641" s="81" t="n"/>
      <c r="F641" s="78" t="n"/>
      <c r="G641" s="67">
        <f>IF($F641="","",IFERROR(INDEX(Employee_Master!$C$5:$C$204,MATCH($F641,Employee_Master!$B$5:$B$204,0)),""))</f>
        <v/>
      </c>
      <c r="H641" s="78" t="n"/>
      <c r="I641" s="78" t="n"/>
      <c r="J641" s="67">
        <f>IF($I641="","",IFERROR(INDEX(Action_Status_Map!$B$5:$B$11,MATCH($I641,Action_Status_Map!$A$5:$A$11,0)),""))</f>
        <v/>
      </c>
      <c r="K641" s="82" t="n"/>
      <c r="L641" s="82" t="n"/>
      <c r="M641" s="82" t="n"/>
      <c r="N641" s="83" t="n"/>
      <c r="O641" s="83" t="n"/>
      <c r="P641" s="66">
        <f>IF(OR($N641="",$O641=""),"",$O641-$N641)</f>
        <v/>
      </c>
      <c r="Q641" s="84">
        <f>IF($K641="","",IF($M641&lt;&gt;"",$M641-$K641,TODAY()-$K641))</f>
        <v/>
      </c>
      <c r="R641" s="85">
        <f>IF(OR($L641="",$I641="Completed",$I641="Cancelled"),"",IF(AND($L641&lt;TODAY(),$I641&lt;&gt;"Completed",$I641&lt;&gt;"Cancelled"),"Overdue","On Track"))</f>
        <v/>
      </c>
      <c r="S641" s="65">
        <f>IF($L641="","",TEXT($L641,"yyyy-mm"))</f>
        <v/>
      </c>
      <c r="T641" s="86">
        <f>IF($I641="","",IFERROR(INDEX(Action_Status_Map!$C$5:$C$11,MATCH($I641,Action_Status_Map!$A$5:$A$11,0)),""))</f>
        <v/>
      </c>
      <c r="U641" s="81" t="n"/>
      <c r="V641" s="82" t="n"/>
      <c r="W641" s="65">
        <f>IF(OR($I641&lt;&gt;"Completed",$M641="",$L641=""),"",IF($M641&lt;=$L641,"Yes","No"))</f>
        <v/>
      </c>
      <c r="X641" s="84">
        <f>IF($A641="","",COUNTIF(Task_Steps!$B$5:$B$2004,$A641))</f>
        <v/>
      </c>
      <c r="Y641" s="86">
        <f>IF($X641=0,"",COUNTIFS(Task_Steps!$B$5:$B$2004,$A641,Task_Steps!$H$5:$H$2004,"Completed")/$X641)</f>
        <v/>
      </c>
      <c r="Z641" s="81" t="n"/>
      <c r="AA641" s="81" t="n"/>
      <c r="AB641" s="67">
        <f>IF($F641="","",IFERROR(INDEX(Employee_Master!$E$5:$E$204,MATCH($F641,Employee_Master!$B$5:$B$204,0)),""))</f>
        <v/>
      </c>
      <c r="AC641" s="65">
        <f>IF(OR($A641="",$AB641=""),"",IF(OR($I641="Completed",$I641="Cancelled"),"Closed - in Manager Report","Active - in Manager Report"))</f>
        <v/>
      </c>
      <c r="AD641" s="81">
        <f>IF($A641="","",IFERROR(TEXTJOIN(", ",TRUE,FILTER(Task_Steps!$A$5:$A$2004,Task_Steps!$B$5:$B$2004=$A641)),""))</f>
        <v/>
      </c>
      <c r="AE641" s="84">
        <f>IF($A641="","",COUNTIFS(Task_Steps!$B$5:$B$2004,$A641,Task_Steps!$H$5:$H$2004,"&lt;&gt;Completed",Task_Steps!$H$5:$H$2004,"&lt;&gt;Cancelled"))</f>
        <v/>
      </c>
      <c r="AF641" s="81">
        <f>IF(OR($B641="",$A641=""),"",$B641&amp;" | "&amp;$A641)</f>
        <v/>
      </c>
    </row>
    <row r="642" ht="15" customHeight="1" s="40">
      <c r="A642" s="65">
        <f>IF(COUNTA(B642:F642)=0,"","TSK-"&amp;TEXT(ROW()-4,"0000"))</f>
        <v/>
      </c>
      <c r="B642" s="78" t="n"/>
      <c r="C642" s="78" t="n"/>
      <c r="D642" s="81" t="n"/>
      <c r="E642" s="81" t="n"/>
      <c r="F642" s="78" t="n"/>
      <c r="G642" s="67">
        <f>IF($F642="","",IFERROR(INDEX(Employee_Master!$C$5:$C$204,MATCH($F642,Employee_Master!$B$5:$B$204,0)),""))</f>
        <v/>
      </c>
      <c r="H642" s="78" t="n"/>
      <c r="I642" s="78" t="n"/>
      <c r="J642" s="67">
        <f>IF($I642="","",IFERROR(INDEX(Action_Status_Map!$B$5:$B$11,MATCH($I642,Action_Status_Map!$A$5:$A$11,0)),""))</f>
        <v/>
      </c>
      <c r="K642" s="82" t="n"/>
      <c r="L642" s="82" t="n"/>
      <c r="M642" s="82" t="n"/>
      <c r="N642" s="83" t="n"/>
      <c r="O642" s="83" t="n"/>
      <c r="P642" s="66">
        <f>IF(OR($N642="",$O642=""),"",$O642-$N642)</f>
        <v/>
      </c>
      <c r="Q642" s="84">
        <f>IF($K642="","",IF($M642&lt;&gt;"",$M642-$K642,TODAY()-$K642))</f>
        <v/>
      </c>
      <c r="R642" s="85">
        <f>IF(OR($L642="",$I642="Completed",$I642="Cancelled"),"",IF(AND($L642&lt;TODAY(),$I642&lt;&gt;"Completed",$I642&lt;&gt;"Cancelled"),"Overdue","On Track"))</f>
        <v/>
      </c>
      <c r="S642" s="65">
        <f>IF($L642="","",TEXT($L642,"yyyy-mm"))</f>
        <v/>
      </c>
      <c r="T642" s="86">
        <f>IF($I642="","",IFERROR(INDEX(Action_Status_Map!$C$5:$C$11,MATCH($I642,Action_Status_Map!$A$5:$A$11,0)),""))</f>
        <v/>
      </c>
      <c r="U642" s="81" t="n"/>
      <c r="V642" s="82" t="n"/>
      <c r="W642" s="65">
        <f>IF(OR($I642&lt;&gt;"Completed",$M642="",$L642=""),"",IF($M642&lt;=$L642,"Yes","No"))</f>
        <v/>
      </c>
      <c r="X642" s="84">
        <f>IF($A642="","",COUNTIF(Task_Steps!$B$5:$B$2004,$A642))</f>
        <v/>
      </c>
      <c r="Y642" s="86">
        <f>IF($X642=0,"",COUNTIFS(Task_Steps!$B$5:$B$2004,$A642,Task_Steps!$H$5:$H$2004,"Completed")/$X642)</f>
        <v/>
      </c>
      <c r="Z642" s="81" t="n"/>
      <c r="AA642" s="81" t="n"/>
      <c r="AB642" s="67">
        <f>IF($F642="","",IFERROR(INDEX(Employee_Master!$E$5:$E$204,MATCH($F642,Employee_Master!$B$5:$B$204,0)),""))</f>
        <v/>
      </c>
      <c r="AC642" s="65">
        <f>IF(OR($A642="",$AB642=""),"",IF(OR($I642="Completed",$I642="Cancelled"),"Closed - in Manager Report","Active - in Manager Report"))</f>
        <v/>
      </c>
      <c r="AD642" s="81">
        <f>IF($A642="","",IFERROR(TEXTJOIN(", ",TRUE,FILTER(Task_Steps!$A$5:$A$2004,Task_Steps!$B$5:$B$2004=$A642)),""))</f>
        <v/>
      </c>
      <c r="AE642" s="84">
        <f>IF($A642="","",COUNTIFS(Task_Steps!$B$5:$B$2004,$A642,Task_Steps!$H$5:$H$2004,"&lt;&gt;Completed",Task_Steps!$H$5:$H$2004,"&lt;&gt;Cancelled"))</f>
        <v/>
      </c>
      <c r="AF642" s="81">
        <f>IF(OR($B642="",$A642=""),"",$B642&amp;" | "&amp;$A642)</f>
        <v/>
      </c>
    </row>
    <row r="643" ht="15" customHeight="1" s="40">
      <c r="A643" s="65">
        <f>IF(COUNTA(B643:F643)=0,"","TSK-"&amp;TEXT(ROW()-4,"0000"))</f>
        <v/>
      </c>
      <c r="B643" s="78" t="n"/>
      <c r="C643" s="78" t="n"/>
      <c r="D643" s="81" t="n"/>
      <c r="E643" s="81" t="n"/>
      <c r="F643" s="78" t="n"/>
      <c r="G643" s="67">
        <f>IF($F643="","",IFERROR(INDEX(Employee_Master!$C$5:$C$204,MATCH($F643,Employee_Master!$B$5:$B$204,0)),""))</f>
        <v/>
      </c>
      <c r="H643" s="78" t="n"/>
      <c r="I643" s="78" t="n"/>
      <c r="J643" s="67">
        <f>IF($I643="","",IFERROR(INDEX(Action_Status_Map!$B$5:$B$11,MATCH($I643,Action_Status_Map!$A$5:$A$11,0)),""))</f>
        <v/>
      </c>
      <c r="K643" s="82" t="n"/>
      <c r="L643" s="82" t="n"/>
      <c r="M643" s="82" t="n"/>
      <c r="N643" s="83" t="n"/>
      <c r="O643" s="83" t="n"/>
      <c r="P643" s="66">
        <f>IF(OR($N643="",$O643=""),"",$O643-$N643)</f>
        <v/>
      </c>
      <c r="Q643" s="84">
        <f>IF($K643="","",IF($M643&lt;&gt;"",$M643-$K643,TODAY()-$K643))</f>
        <v/>
      </c>
      <c r="R643" s="85">
        <f>IF(OR($L643="",$I643="Completed",$I643="Cancelled"),"",IF(AND($L643&lt;TODAY(),$I643&lt;&gt;"Completed",$I643&lt;&gt;"Cancelled"),"Overdue","On Track"))</f>
        <v/>
      </c>
      <c r="S643" s="65">
        <f>IF($L643="","",TEXT($L643,"yyyy-mm"))</f>
        <v/>
      </c>
      <c r="T643" s="86">
        <f>IF($I643="","",IFERROR(INDEX(Action_Status_Map!$C$5:$C$11,MATCH($I643,Action_Status_Map!$A$5:$A$11,0)),""))</f>
        <v/>
      </c>
      <c r="U643" s="81" t="n"/>
      <c r="V643" s="82" t="n"/>
      <c r="W643" s="65">
        <f>IF(OR($I643&lt;&gt;"Completed",$M643="",$L643=""),"",IF($M643&lt;=$L643,"Yes","No"))</f>
        <v/>
      </c>
      <c r="X643" s="84">
        <f>IF($A643="","",COUNTIF(Task_Steps!$B$5:$B$2004,$A643))</f>
        <v/>
      </c>
      <c r="Y643" s="86">
        <f>IF($X643=0,"",COUNTIFS(Task_Steps!$B$5:$B$2004,$A643,Task_Steps!$H$5:$H$2004,"Completed")/$X643)</f>
        <v/>
      </c>
      <c r="Z643" s="81" t="n"/>
      <c r="AA643" s="81" t="n"/>
      <c r="AB643" s="67">
        <f>IF($F643="","",IFERROR(INDEX(Employee_Master!$E$5:$E$204,MATCH($F643,Employee_Master!$B$5:$B$204,0)),""))</f>
        <v/>
      </c>
      <c r="AC643" s="65">
        <f>IF(OR($A643="",$AB643=""),"",IF(OR($I643="Completed",$I643="Cancelled"),"Closed - in Manager Report","Active - in Manager Report"))</f>
        <v/>
      </c>
      <c r="AD643" s="81">
        <f>IF($A643="","",IFERROR(TEXTJOIN(", ",TRUE,FILTER(Task_Steps!$A$5:$A$2004,Task_Steps!$B$5:$B$2004=$A643)),""))</f>
        <v/>
      </c>
      <c r="AE643" s="84">
        <f>IF($A643="","",COUNTIFS(Task_Steps!$B$5:$B$2004,$A643,Task_Steps!$H$5:$H$2004,"&lt;&gt;Completed",Task_Steps!$H$5:$H$2004,"&lt;&gt;Cancelled"))</f>
        <v/>
      </c>
      <c r="AF643" s="81">
        <f>IF(OR($B643="",$A643=""),"",$B643&amp;" | "&amp;$A643)</f>
        <v/>
      </c>
    </row>
    <row r="644" ht="15" customHeight="1" s="40">
      <c r="A644" s="65">
        <f>IF(COUNTA(B644:F644)=0,"","TSK-"&amp;TEXT(ROW()-4,"0000"))</f>
        <v/>
      </c>
      <c r="B644" s="78" t="n"/>
      <c r="C644" s="78" t="n"/>
      <c r="D644" s="81" t="n"/>
      <c r="E644" s="81" t="n"/>
      <c r="F644" s="78" t="n"/>
      <c r="G644" s="67">
        <f>IF($F644="","",IFERROR(INDEX(Employee_Master!$C$5:$C$204,MATCH($F644,Employee_Master!$B$5:$B$204,0)),""))</f>
        <v/>
      </c>
      <c r="H644" s="78" t="n"/>
      <c r="I644" s="78" t="n"/>
      <c r="J644" s="67">
        <f>IF($I644="","",IFERROR(INDEX(Action_Status_Map!$B$5:$B$11,MATCH($I644,Action_Status_Map!$A$5:$A$11,0)),""))</f>
        <v/>
      </c>
      <c r="K644" s="82" t="n"/>
      <c r="L644" s="82" t="n"/>
      <c r="M644" s="82" t="n"/>
      <c r="N644" s="83" t="n"/>
      <c r="O644" s="83" t="n"/>
      <c r="P644" s="66">
        <f>IF(OR($N644="",$O644=""),"",$O644-$N644)</f>
        <v/>
      </c>
      <c r="Q644" s="84">
        <f>IF($K644="","",IF($M644&lt;&gt;"",$M644-$K644,TODAY()-$K644))</f>
        <v/>
      </c>
      <c r="R644" s="85">
        <f>IF(OR($L644="",$I644="Completed",$I644="Cancelled"),"",IF(AND($L644&lt;TODAY(),$I644&lt;&gt;"Completed",$I644&lt;&gt;"Cancelled"),"Overdue","On Track"))</f>
        <v/>
      </c>
      <c r="S644" s="65">
        <f>IF($L644="","",TEXT($L644,"yyyy-mm"))</f>
        <v/>
      </c>
      <c r="T644" s="86">
        <f>IF($I644="","",IFERROR(INDEX(Action_Status_Map!$C$5:$C$11,MATCH($I644,Action_Status_Map!$A$5:$A$11,0)),""))</f>
        <v/>
      </c>
      <c r="U644" s="81" t="n"/>
      <c r="V644" s="82" t="n"/>
      <c r="W644" s="65">
        <f>IF(OR($I644&lt;&gt;"Completed",$M644="",$L644=""),"",IF($M644&lt;=$L644,"Yes","No"))</f>
        <v/>
      </c>
      <c r="X644" s="84">
        <f>IF($A644="","",COUNTIF(Task_Steps!$B$5:$B$2004,$A644))</f>
        <v/>
      </c>
      <c r="Y644" s="86">
        <f>IF($X644=0,"",COUNTIFS(Task_Steps!$B$5:$B$2004,$A644,Task_Steps!$H$5:$H$2004,"Completed")/$X644)</f>
        <v/>
      </c>
      <c r="Z644" s="81" t="n"/>
      <c r="AA644" s="81" t="n"/>
      <c r="AB644" s="67">
        <f>IF($F644="","",IFERROR(INDEX(Employee_Master!$E$5:$E$204,MATCH($F644,Employee_Master!$B$5:$B$204,0)),""))</f>
        <v/>
      </c>
      <c r="AC644" s="65">
        <f>IF(OR($A644="",$AB644=""),"",IF(OR($I644="Completed",$I644="Cancelled"),"Closed - in Manager Report","Active - in Manager Report"))</f>
        <v/>
      </c>
      <c r="AD644" s="81">
        <f>IF($A644="","",IFERROR(TEXTJOIN(", ",TRUE,FILTER(Task_Steps!$A$5:$A$2004,Task_Steps!$B$5:$B$2004=$A644)),""))</f>
        <v/>
      </c>
      <c r="AE644" s="84">
        <f>IF($A644="","",COUNTIFS(Task_Steps!$B$5:$B$2004,$A644,Task_Steps!$H$5:$H$2004,"&lt;&gt;Completed",Task_Steps!$H$5:$H$2004,"&lt;&gt;Cancelled"))</f>
        <v/>
      </c>
      <c r="AF644" s="81">
        <f>IF(OR($B644="",$A644=""),"",$B644&amp;" | "&amp;$A644)</f>
        <v/>
      </c>
    </row>
    <row r="645" ht="15" customHeight="1" s="40">
      <c r="A645" s="65">
        <f>IF(COUNTA(B645:F645)=0,"","TSK-"&amp;TEXT(ROW()-4,"0000"))</f>
        <v/>
      </c>
      <c r="B645" s="78" t="n"/>
      <c r="C645" s="78" t="n"/>
      <c r="D645" s="81" t="n"/>
      <c r="E645" s="81" t="n"/>
      <c r="F645" s="78" t="n"/>
      <c r="G645" s="67">
        <f>IF($F645="","",IFERROR(INDEX(Employee_Master!$C$5:$C$204,MATCH($F645,Employee_Master!$B$5:$B$204,0)),""))</f>
        <v/>
      </c>
      <c r="H645" s="78" t="n"/>
      <c r="I645" s="78" t="n"/>
      <c r="J645" s="67">
        <f>IF($I645="","",IFERROR(INDEX(Action_Status_Map!$B$5:$B$11,MATCH($I645,Action_Status_Map!$A$5:$A$11,0)),""))</f>
        <v/>
      </c>
      <c r="K645" s="82" t="n"/>
      <c r="L645" s="82" t="n"/>
      <c r="M645" s="82" t="n"/>
      <c r="N645" s="83" t="n"/>
      <c r="O645" s="83" t="n"/>
      <c r="P645" s="66">
        <f>IF(OR($N645="",$O645=""),"",$O645-$N645)</f>
        <v/>
      </c>
      <c r="Q645" s="84">
        <f>IF($K645="","",IF($M645&lt;&gt;"",$M645-$K645,TODAY()-$K645))</f>
        <v/>
      </c>
      <c r="R645" s="85">
        <f>IF(OR($L645="",$I645="Completed",$I645="Cancelled"),"",IF(AND($L645&lt;TODAY(),$I645&lt;&gt;"Completed",$I645&lt;&gt;"Cancelled"),"Overdue","On Track"))</f>
        <v/>
      </c>
      <c r="S645" s="65">
        <f>IF($L645="","",TEXT($L645,"yyyy-mm"))</f>
        <v/>
      </c>
      <c r="T645" s="86">
        <f>IF($I645="","",IFERROR(INDEX(Action_Status_Map!$C$5:$C$11,MATCH($I645,Action_Status_Map!$A$5:$A$11,0)),""))</f>
        <v/>
      </c>
      <c r="U645" s="81" t="n"/>
      <c r="V645" s="82" t="n"/>
      <c r="W645" s="65">
        <f>IF(OR($I645&lt;&gt;"Completed",$M645="",$L645=""),"",IF($M645&lt;=$L645,"Yes","No"))</f>
        <v/>
      </c>
      <c r="X645" s="84">
        <f>IF($A645="","",COUNTIF(Task_Steps!$B$5:$B$2004,$A645))</f>
        <v/>
      </c>
      <c r="Y645" s="86">
        <f>IF($X645=0,"",COUNTIFS(Task_Steps!$B$5:$B$2004,$A645,Task_Steps!$H$5:$H$2004,"Completed")/$X645)</f>
        <v/>
      </c>
      <c r="Z645" s="81" t="n"/>
      <c r="AA645" s="81" t="n"/>
      <c r="AB645" s="67">
        <f>IF($F645="","",IFERROR(INDEX(Employee_Master!$E$5:$E$204,MATCH($F645,Employee_Master!$B$5:$B$204,0)),""))</f>
        <v/>
      </c>
      <c r="AC645" s="65">
        <f>IF(OR($A645="",$AB645=""),"",IF(OR($I645="Completed",$I645="Cancelled"),"Closed - in Manager Report","Active - in Manager Report"))</f>
        <v/>
      </c>
      <c r="AD645" s="81">
        <f>IF($A645="","",IFERROR(TEXTJOIN(", ",TRUE,FILTER(Task_Steps!$A$5:$A$2004,Task_Steps!$B$5:$B$2004=$A645)),""))</f>
        <v/>
      </c>
      <c r="AE645" s="84">
        <f>IF($A645="","",COUNTIFS(Task_Steps!$B$5:$B$2004,$A645,Task_Steps!$H$5:$H$2004,"&lt;&gt;Completed",Task_Steps!$H$5:$H$2004,"&lt;&gt;Cancelled"))</f>
        <v/>
      </c>
      <c r="AF645" s="81">
        <f>IF(OR($B645="",$A645=""),"",$B645&amp;" | "&amp;$A645)</f>
        <v/>
      </c>
    </row>
    <row r="646" ht="15" customHeight="1" s="40">
      <c r="A646" s="65">
        <f>IF(COUNTA(B646:F646)=0,"","TSK-"&amp;TEXT(ROW()-4,"0000"))</f>
        <v/>
      </c>
      <c r="B646" s="78" t="n"/>
      <c r="C646" s="78" t="n"/>
      <c r="D646" s="81" t="n"/>
      <c r="E646" s="81" t="n"/>
      <c r="F646" s="78" t="n"/>
      <c r="G646" s="67">
        <f>IF($F646="","",IFERROR(INDEX(Employee_Master!$C$5:$C$204,MATCH($F646,Employee_Master!$B$5:$B$204,0)),""))</f>
        <v/>
      </c>
      <c r="H646" s="78" t="n"/>
      <c r="I646" s="78" t="n"/>
      <c r="J646" s="67">
        <f>IF($I646="","",IFERROR(INDEX(Action_Status_Map!$B$5:$B$11,MATCH($I646,Action_Status_Map!$A$5:$A$11,0)),""))</f>
        <v/>
      </c>
      <c r="K646" s="82" t="n"/>
      <c r="L646" s="82" t="n"/>
      <c r="M646" s="82" t="n"/>
      <c r="N646" s="83" t="n"/>
      <c r="O646" s="83" t="n"/>
      <c r="P646" s="66">
        <f>IF(OR($N646="",$O646=""),"",$O646-$N646)</f>
        <v/>
      </c>
      <c r="Q646" s="84">
        <f>IF($K646="","",IF($M646&lt;&gt;"",$M646-$K646,TODAY()-$K646))</f>
        <v/>
      </c>
      <c r="R646" s="85">
        <f>IF(OR($L646="",$I646="Completed",$I646="Cancelled"),"",IF(AND($L646&lt;TODAY(),$I646&lt;&gt;"Completed",$I646&lt;&gt;"Cancelled"),"Overdue","On Track"))</f>
        <v/>
      </c>
      <c r="S646" s="65">
        <f>IF($L646="","",TEXT($L646,"yyyy-mm"))</f>
        <v/>
      </c>
      <c r="T646" s="86">
        <f>IF($I646="","",IFERROR(INDEX(Action_Status_Map!$C$5:$C$11,MATCH($I646,Action_Status_Map!$A$5:$A$11,0)),""))</f>
        <v/>
      </c>
      <c r="U646" s="81" t="n"/>
      <c r="V646" s="82" t="n"/>
      <c r="W646" s="65">
        <f>IF(OR($I646&lt;&gt;"Completed",$M646="",$L646=""),"",IF($M646&lt;=$L646,"Yes","No"))</f>
        <v/>
      </c>
      <c r="X646" s="84">
        <f>IF($A646="","",COUNTIF(Task_Steps!$B$5:$B$2004,$A646))</f>
        <v/>
      </c>
      <c r="Y646" s="86">
        <f>IF($X646=0,"",COUNTIFS(Task_Steps!$B$5:$B$2004,$A646,Task_Steps!$H$5:$H$2004,"Completed")/$X646)</f>
        <v/>
      </c>
      <c r="Z646" s="81" t="n"/>
      <c r="AA646" s="81" t="n"/>
      <c r="AB646" s="67">
        <f>IF($F646="","",IFERROR(INDEX(Employee_Master!$E$5:$E$204,MATCH($F646,Employee_Master!$B$5:$B$204,0)),""))</f>
        <v/>
      </c>
      <c r="AC646" s="65">
        <f>IF(OR($A646="",$AB646=""),"",IF(OR($I646="Completed",$I646="Cancelled"),"Closed - in Manager Report","Active - in Manager Report"))</f>
        <v/>
      </c>
      <c r="AD646" s="81">
        <f>IF($A646="","",IFERROR(TEXTJOIN(", ",TRUE,FILTER(Task_Steps!$A$5:$A$2004,Task_Steps!$B$5:$B$2004=$A646)),""))</f>
        <v/>
      </c>
      <c r="AE646" s="84">
        <f>IF($A646="","",COUNTIFS(Task_Steps!$B$5:$B$2004,$A646,Task_Steps!$H$5:$H$2004,"&lt;&gt;Completed",Task_Steps!$H$5:$H$2004,"&lt;&gt;Cancelled"))</f>
        <v/>
      </c>
      <c r="AF646" s="81">
        <f>IF(OR($B646="",$A646=""),"",$B646&amp;" | "&amp;$A646)</f>
        <v/>
      </c>
    </row>
    <row r="647" ht="15" customHeight="1" s="40">
      <c r="A647" s="65">
        <f>IF(COUNTA(B647:F647)=0,"","TSK-"&amp;TEXT(ROW()-4,"0000"))</f>
        <v/>
      </c>
      <c r="B647" s="78" t="n"/>
      <c r="C647" s="78" t="n"/>
      <c r="D647" s="81" t="n"/>
      <c r="E647" s="81" t="n"/>
      <c r="F647" s="78" t="n"/>
      <c r="G647" s="67">
        <f>IF($F647="","",IFERROR(INDEX(Employee_Master!$C$5:$C$204,MATCH($F647,Employee_Master!$B$5:$B$204,0)),""))</f>
        <v/>
      </c>
      <c r="H647" s="78" t="n"/>
      <c r="I647" s="78" t="n"/>
      <c r="J647" s="67">
        <f>IF($I647="","",IFERROR(INDEX(Action_Status_Map!$B$5:$B$11,MATCH($I647,Action_Status_Map!$A$5:$A$11,0)),""))</f>
        <v/>
      </c>
      <c r="K647" s="82" t="n"/>
      <c r="L647" s="82" t="n"/>
      <c r="M647" s="82" t="n"/>
      <c r="N647" s="83" t="n"/>
      <c r="O647" s="83" t="n"/>
      <c r="P647" s="66">
        <f>IF(OR($N647="",$O647=""),"",$O647-$N647)</f>
        <v/>
      </c>
      <c r="Q647" s="84">
        <f>IF($K647="","",IF($M647&lt;&gt;"",$M647-$K647,TODAY()-$K647))</f>
        <v/>
      </c>
      <c r="R647" s="85">
        <f>IF(OR($L647="",$I647="Completed",$I647="Cancelled"),"",IF(AND($L647&lt;TODAY(),$I647&lt;&gt;"Completed",$I647&lt;&gt;"Cancelled"),"Overdue","On Track"))</f>
        <v/>
      </c>
      <c r="S647" s="65">
        <f>IF($L647="","",TEXT($L647,"yyyy-mm"))</f>
        <v/>
      </c>
      <c r="T647" s="86">
        <f>IF($I647="","",IFERROR(INDEX(Action_Status_Map!$C$5:$C$11,MATCH($I647,Action_Status_Map!$A$5:$A$11,0)),""))</f>
        <v/>
      </c>
      <c r="U647" s="81" t="n"/>
      <c r="V647" s="82" t="n"/>
      <c r="W647" s="65">
        <f>IF(OR($I647&lt;&gt;"Completed",$M647="",$L647=""),"",IF($M647&lt;=$L647,"Yes","No"))</f>
        <v/>
      </c>
      <c r="X647" s="84">
        <f>IF($A647="","",COUNTIF(Task_Steps!$B$5:$B$2004,$A647))</f>
        <v/>
      </c>
      <c r="Y647" s="86">
        <f>IF($X647=0,"",COUNTIFS(Task_Steps!$B$5:$B$2004,$A647,Task_Steps!$H$5:$H$2004,"Completed")/$X647)</f>
        <v/>
      </c>
      <c r="Z647" s="81" t="n"/>
      <c r="AA647" s="81" t="n"/>
      <c r="AB647" s="67">
        <f>IF($F647="","",IFERROR(INDEX(Employee_Master!$E$5:$E$204,MATCH($F647,Employee_Master!$B$5:$B$204,0)),""))</f>
        <v/>
      </c>
      <c r="AC647" s="65">
        <f>IF(OR($A647="",$AB647=""),"",IF(OR($I647="Completed",$I647="Cancelled"),"Closed - in Manager Report","Active - in Manager Report"))</f>
        <v/>
      </c>
      <c r="AD647" s="81">
        <f>IF($A647="","",IFERROR(TEXTJOIN(", ",TRUE,FILTER(Task_Steps!$A$5:$A$2004,Task_Steps!$B$5:$B$2004=$A647)),""))</f>
        <v/>
      </c>
      <c r="AE647" s="84">
        <f>IF($A647="","",COUNTIFS(Task_Steps!$B$5:$B$2004,$A647,Task_Steps!$H$5:$H$2004,"&lt;&gt;Completed",Task_Steps!$H$5:$H$2004,"&lt;&gt;Cancelled"))</f>
        <v/>
      </c>
      <c r="AF647" s="81">
        <f>IF(OR($B647="",$A647=""),"",$B647&amp;" | "&amp;$A647)</f>
        <v/>
      </c>
    </row>
    <row r="648" ht="15" customHeight="1" s="40">
      <c r="A648" s="65">
        <f>IF(COUNTA(B648:F648)=0,"","TSK-"&amp;TEXT(ROW()-4,"0000"))</f>
        <v/>
      </c>
      <c r="B648" s="78" t="n"/>
      <c r="C648" s="78" t="n"/>
      <c r="D648" s="81" t="n"/>
      <c r="E648" s="81" t="n"/>
      <c r="F648" s="78" t="n"/>
      <c r="G648" s="67">
        <f>IF($F648="","",IFERROR(INDEX(Employee_Master!$C$5:$C$204,MATCH($F648,Employee_Master!$B$5:$B$204,0)),""))</f>
        <v/>
      </c>
      <c r="H648" s="78" t="n"/>
      <c r="I648" s="78" t="n"/>
      <c r="J648" s="67">
        <f>IF($I648="","",IFERROR(INDEX(Action_Status_Map!$B$5:$B$11,MATCH($I648,Action_Status_Map!$A$5:$A$11,0)),""))</f>
        <v/>
      </c>
      <c r="K648" s="82" t="n"/>
      <c r="L648" s="82" t="n"/>
      <c r="M648" s="82" t="n"/>
      <c r="N648" s="83" t="n"/>
      <c r="O648" s="83" t="n"/>
      <c r="P648" s="66">
        <f>IF(OR($N648="",$O648=""),"",$O648-$N648)</f>
        <v/>
      </c>
      <c r="Q648" s="84">
        <f>IF($K648="","",IF($M648&lt;&gt;"",$M648-$K648,TODAY()-$K648))</f>
        <v/>
      </c>
      <c r="R648" s="85">
        <f>IF(OR($L648="",$I648="Completed",$I648="Cancelled"),"",IF(AND($L648&lt;TODAY(),$I648&lt;&gt;"Completed",$I648&lt;&gt;"Cancelled"),"Overdue","On Track"))</f>
        <v/>
      </c>
      <c r="S648" s="65">
        <f>IF($L648="","",TEXT($L648,"yyyy-mm"))</f>
        <v/>
      </c>
      <c r="T648" s="86">
        <f>IF($I648="","",IFERROR(INDEX(Action_Status_Map!$C$5:$C$11,MATCH($I648,Action_Status_Map!$A$5:$A$11,0)),""))</f>
        <v/>
      </c>
      <c r="U648" s="81" t="n"/>
      <c r="V648" s="82" t="n"/>
      <c r="W648" s="65">
        <f>IF(OR($I648&lt;&gt;"Completed",$M648="",$L648=""),"",IF($M648&lt;=$L648,"Yes","No"))</f>
        <v/>
      </c>
      <c r="X648" s="84">
        <f>IF($A648="","",COUNTIF(Task_Steps!$B$5:$B$2004,$A648))</f>
        <v/>
      </c>
      <c r="Y648" s="86">
        <f>IF($X648=0,"",COUNTIFS(Task_Steps!$B$5:$B$2004,$A648,Task_Steps!$H$5:$H$2004,"Completed")/$X648)</f>
        <v/>
      </c>
      <c r="Z648" s="81" t="n"/>
      <c r="AA648" s="81" t="n"/>
      <c r="AB648" s="67">
        <f>IF($F648="","",IFERROR(INDEX(Employee_Master!$E$5:$E$204,MATCH($F648,Employee_Master!$B$5:$B$204,0)),""))</f>
        <v/>
      </c>
      <c r="AC648" s="65">
        <f>IF(OR($A648="",$AB648=""),"",IF(OR($I648="Completed",$I648="Cancelled"),"Closed - in Manager Report","Active - in Manager Report"))</f>
        <v/>
      </c>
      <c r="AD648" s="81">
        <f>IF($A648="","",IFERROR(TEXTJOIN(", ",TRUE,FILTER(Task_Steps!$A$5:$A$2004,Task_Steps!$B$5:$B$2004=$A648)),""))</f>
        <v/>
      </c>
      <c r="AE648" s="84">
        <f>IF($A648="","",COUNTIFS(Task_Steps!$B$5:$B$2004,$A648,Task_Steps!$H$5:$H$2004,"&lt;&gt;Completed",Task_Steps!$H$5:$H$2004,"&lt;&gt;Cancelled"))</f>
        <v/>
      </c>
      <c r="AF648" s="81">
        <f>IF(OR($B648="",$A648=""),"",$B648&amp;" | "&amp;$A648)</f>
        <v/>
      </c>
    </row>
    <row r="649" ht="15" customHeight="1" s="40">
      <c r="A649" s="65">
        <f>IF(COUNTA(B649:F649)=0,"","TSK-"&amp;TEXT(ROW()-4,"0000"))</f>
        <v/>
      </c>
      <c r="B649" s="78" t="n"/>
      <c r="C649" s="78" t="n"/>
      <c r="D649" s="81" t="n"/>
      <c r="E649" s="81" t="n"/>
      <c r="F649" s="78" t="n"/>
      <c r="G649" s="67">
        <f>IF($F649="","",IFERROR(INDEX(Employee_Master!$C$5:$C$204,MATCH($F649,Employee_Master!$B$5:$B$204,0)),""))</f>
        <v/>
      </c>
      <c r="H649" s="78" t="n"/>
      <c r="I649" s="78" t="n"/>
      <c r="J649" s="67">
        <f>IF($I649="","",IFERROR(INDEX(Action_Status_Map!$B$5:$B$11,MATCH($I649,Action_Status_Map!$A$5:$A$11,0)),""))</f>
        <v/>
      </c>
      <c r="K649" s="82" t="n"/>
      <c r="L649" s="82" t="n"/>
      <c r="M649" s="82" t="n"/>
      <c r="N649" s="83" t="n"/>
      <c r="O649" s="83" t="n"/>
      <c r="P649" s="66">
        <f>IF(OR($N649="",$O649=""),"",$O649-$N649)</f>
        <v/>
      </c>
      <c r="Q649" s="84">
        <f>IF($K649="","",IF($M649&lt;&gt;"",$M649-$K649,TODAY()-$K649))</f>
        <v/>
      </c>
      <c r="R649" s="85">
        <f>IF(OR($L649="",$I649="Completed",$I649="Cancelled"),"",IF(AND($L649&lt;TODAY(),$I649&lt;&gt;"Completed",$I649&lt;&gt;"Cancelled"),"Overdue","On Track"))</f>
        <v/>
      </c>
      <c r="S649" s="65">
        <f>IF($L649="","",TEXT($L649,"yyyy-mm"))</f>
        <v/>
      </c>
      <c r="T649" s="86">
        <f>IF($I649="","",IFERROR(INDEX(Action_Status_Map!$C$5:$C$11,MATCH($I649,Action_Status_Map!$A$5:$A$11,0)),""))</f>
        <v/>
      </c>
      <c r="U649" s="81" t="n"/>
      <c r="V649" s="82" t="n"/>
      <c r="W649" s="65">
        <f>IF(OR($I649&lt;&gt;"Completed",$M649="",$L649=""),"",IF($M649&lt;=$L649,"Yes","No"))</f>
        <v/>
      </c>
      <c r="X649" s="84">
        <f>IF($A649="","",COUNTIF(Task_Steps!$B$5:$B$2004,$A649))</f>
        <v/>
      </c>
      <c r="Y649" s="86">
        <f>IF($X649=0,"",COUNTIFS(Task_Steps!$B$5:$B$2004,$A649,Task_Steps!$H$5:$H$2004,"Completed")/$X649)</f>
        <v/>
      </c>
      <c r="Z649" s="81" t="n"/>
      <c r="AA649" s="81" t="n"/>
      <c r="AB649" s="67">
        <f>IF($F649="","",IFERROR(INDEX(Employee_Master!$E$5:$E$204,MATCH($F649,Employee_Master!$B$5:$B$204,0)),""))</f>
        <v/>
      </c>
      <c r="AC649" s="65">
        <f>IF(OR($A649="",$AB649=""),"",IF(OR($I649="Completed",$I649="Cancelled"),"Closed - in Manager Report","Active - in Manager Report"))</f>
        <v/>
      </c>
      <c r="AD649" s="81">
        <f>IF($A649="","",IFERROR(TEXTJOIN(", ",TRUE,FILTER(Task_Steps!$A$5:$A$2004,Task_Steps!$B$5:$B$2004=$A649)),""))</f>
        <v/>
      </c>
      <c r="AE649" s="84">
        <f>IF($A649="","",COUNTIFS(Task_Steps!$B$5:$B$2004,$A649,Task_Steps!$H$5:$H$2004,"&lt;&gt;Completed",Task_Steps!$H$5:$H$2004,"&lt;&gt;Cancelled"))</f>
        <v/>
      </c>
      <c r="AF649" s="81">
        <f>IF(OR($B649="",$A649=""),"",$B649&amp;" | "&amp;$A649)</f>
        <v/>
      </c>
    </row>
    <row r="650" ht="15" customHeight="1" s="40">
      <c r="A650" s="65">
        <f>IF(COUNTA(B650:F650)=0,"","TSK-"&amp;TEXT(ROW()-4,"0000"))</f>
        <v/>
      </c>
      <c r="B650" s="78" t="n"/>
      <c r="C650" s="78" t="n"/>
      <c r="D650" s="81" t="n"/>
      <c r="E650" s="81" t="n"/>
      <c r="F650" s="78" t="n"/>
      <c r="G650" s="67">
        <f>IF($F650="","",IFERROR(INDEX(Employee_Master!$C$5:$C$204,MATCH($F650,Employee_Master!$B$5:$B$204,0)),""))</f>
        <v/>
      </c>
      <c r="H650" s="78" t="n"/>
      <c r="I650" s="78" t="n"/>
      <c r="J650" s="67">
        <f>IF($I650="","",IFERROR(INDEX(Action_Status_Map!$B$5:$B$11,MATCH($I650,Action_Status_Map!$A$5:$A$11,0)),""))</f>
        <v/>
      </c>
      <c r="K650" s="82" t="n"/>
      <c r="L650" s="82" t="n"/>
      <c r="M650" s="82" t="n"/>
      <c r="N650" s="83" t="n"/>
      <c r="O650" s="83" t="n"/>
      <c r="P650" s="66">
        <f>IF(OR($N650="",$O650=""),"",$O650-$N650)</f>
        <v/>
      </c>
      <c r="Q650" s="84">
        <f>IF($K650="","",IF($M650&lt;&gt;"",$M650-$K650,TODAY()-$K650))</f>
        <v/>
      </c>
      <c r="R650" s="85">
        <f>IF(OR($L650="",$I650="Completed",$I650="Cancelled"),"",IF(AND($L650&lt;TODAY(),$I650&lt;&gt;"Completed",$I650&lt;&gt;"Cancelled"),"Overdue","On Track"))</f>
        <v/>
      </c>
      <c r="S650" s="65">
        <f>IF($L650="","",TEXT($L650,"yyyy-mm"))</f>
        <v/>
      </c>
      <c r="T650" s="86">
        <f>IF($I650="","",IFERROR(INDEX(Action_Status_Map!$C$5:$C$11,MATCH($I650,Action_Status_Map!$A$5:$A$11,0)),""))</f>
        <v/>
      </c>
      <c r="U650" s="81" t="n"/>
      <c r="V650" s="82" t="n"/>
      <c r="W650" s="65">
        <f>IF(OR($I650&lt;&gt;"Completed",$M650="",$L650=""),"",IF($M650&lt;=$L650,"Yes","No"))</f>
        <v/>
      </c>
      <c r="X650" s="84">
        <f>IF($A650="","",COUNTIF(Task_Steps!$B$5:$B$2004,$A650))</f>
        <v/>
      </c>
      <c r="Y650" s="86">
        <f>IF($X650=0,"",COUNTIFS(Task_Steps!$B$5:$B$2004,$A650,Task_Steps!$H$5:$H$2004,"Completed")/$X650)</f>
        <v/>
      </c>
      <c r="Z650" s="81" t="n"/>
      <c r="AA650" s="81" t="n"/>
      <c r="AB650" s="67">
        <f>IF($F650="","",IFERROR(INDEX(Employee_Master!$E$5:$E$204,MATCH($F650,Employee_Master!$B$5:$B$204,0)),""))</f>
        <v/>
      </c>
      <c r="AC650" s="65">
        <f>IF(OR($A650="",$AB650=""),"",IF(OR($I650="Completed",$I650="Cancelled"),"Closed - in Manager Report","Active - in Manager Report"))</f>
        <v/>
      </c>
      <c r="AD650" s="81">
        <f>IF($A650="","",IFERROR(TEXTJOIN(", ",TRUE,FILTER(Task_Steps!$A$5:$A$2004,Task_Steps!$B$5:$B$2004=$A650)),""))</f>
        <v/>
      </c>
      <c r="AE650" s="84">
        <f>IF($A650="","",COUNTIFS(Task_Steps!$B$5:$B$2004,$A650,Task_Steps!$H$5:$H$2004,"&lt;&gt;Completed",Task_Steps!$H$5:$H$2004,"&lt;&gt;Cancelled"))</f>
        <v/>
      </c>
      <c r="AF650" s="81">
        <f>IF(OR($B650="",$A650=""),"",$B650&amp;" | "&amp;$A650)</f>
        <v/>
      </c>
    </row>
    <row r="651" ht="15" customHeight="1" s="40">
      <c r="A651" s="65">
        <f>IF(COUNTA(B651:F651)=0,"","TSK-"&amp;TEXT(ROW()-4,"0000"))</f>
        <v/>
      </c>
      <c r="B651" s="78" t="n"/>
      <c r="C651" s="78" t="n"/>
      <c r="D651" s="81" t="n"/>
      <c r="E651" s="81" t="n"/>
      <c r="F651" s="78" t="n"/>
      <c r="G651" s="67">
        <f>IF($F651="","",IFERROR(INDEX(Employee_Master!$C$5:$C$204,MATCH($F651,Employee_Master!$B$5:$B$204,0)),""))</f>
        <v/>
      </c>
      <c r="H651" s="78" t="n"/>
      <c r="I651" s="78" t="n"/>
      <c r="J651" s="67">
        <f>IF($I651="","",IFERROR(INDEX(Action_Status_Map!$B$5:$B$11,MATCH($I651,Action_Status_Map!$A$5:$A$11,0)),""))</f>
        <v/>
      </c>
      <c r="K651" s="82" t="n"/>
      <c r="L651" s="82" t="n"/>
      <c r="M651" s="82" t="n"/>
      <c r="N651" s="83" t="n"/>
      <c r="O651" s="83" t="n"/>
      <c r="P651" s="66">
        <f>IF(OR($N651="",$O651=""),"",$O651-$N651)</f>
        <v/>
      </c>
      <c r="Q651" s="84">
        <f>IF($K651="","",IF($M651&lt;&gt;"",$M651-$K651,TODAY()-$K651))</f>
        <v/>
      </c>
      <c r="R651" s="85">
        <f>IF(OR($L651="",$I651="Completed",$I651="Cancelled"),"",IF(AND($L651&lt;TODAY(),$I651&lt;&gt;"Completed",$I651&lt;&gt;"Cancelled"),"Overdue","On Track"))</f>
        <v/>
      </c>
      <c r="S651" s="65">
        <f>IF($L651="","",TEXT($L651,"yyyy-mm"))</f>
        <v/>
      </c>
      <c r="T651" s="86">
        <f>IF($I651="","",IFERROR(INDEX(Action_Status_Map!$C$5:$C$11,MATCH($I651,Action_Status_Map!$A$5:$A$11,0)),""))</f>
        <v/>
      </c>
      <c r="U651" s="81" t="n"/>
      <c r="V651" s="82" t="n"/>
      <c r="W651" s="65">
        <f>IF(OR($I651&lt;&gt;"Completed",$M651="",$L651=""),"",IF($M651&lt;=$L651,"Yes","No"))</f>
        <v/>
      </c>
      <c r="X651" s="84">
        <f>IF($A651="","",COUNTIF(Task_Steps!$B$5:$B$2004,$A651))</f>
        <v/>
      </c>
      <c r="Y651" s="86">
        <f>IF($X651=0,"",COUNTIFS(Task_Steps!$B$5:$B$2004,$A651,Task_Steps!$H$5:$H$2004,"Completed")/$X651)</f>
        <v/>
      </c>
      <c r="Z651" s="81" t="n"/>
      <c r="AA651" s="81" t="n"/>
      <c r="AB651" s="67">
        <f>IF($F651="","",IFERROR(INDEX(Employee_Master!$E$5:$E$204,MATCH($F651,Employee_Master!$B$5:$B$204,0)),""))</f>
        <v/>
      </c>
      <c r="AC651" s="65">
        <f>IF(OR($A651="",$AB651=""),"",IF(OR($I651="Completed",$I651="Cancelled"),"Closed - in Manager Report","Active - in Manager Report"))</f>
        <v/>
      </c>
      <c r="AD651" s="81">
        <f>IF($A651="","",IFERROR(TEXTJOIN(", ",TRUE,FILTER(Task_Steps!$A$5:$A$2004,Task_Steps!$B$5:$B$2004=$A651)),""))</f>
        <v/>
      </c>
      <c r="AE651" s="84">
        <f>IF($A651="","",COUNTIFS(Task_Steps!$B$5:$B$2004,$A651,Task_Steps!$H$5:$H$2004,"&lt;&gt;Completed",Task_Steps!$H$5:$H$2004,"&lt;&gt;Cancelled"))</f>
        <v/>
      </c>
      <c r="AF651" s="81">
        <f>IF(OR($B651="",$A651=""),"",$B651&amp;" | "&amp;$A651)</f>
        <v/>
      </c>
    </row>
    <row r="652" ht="15" customHeight="1" s="40">
      <c r="A652" s="65">
        <f>IF(COUNTA(B652:F652)=0,"","TSK-"&amp;TEXT(ROW()-4,"0000"))</f>
        <v/>
      </c>
      <c r="B652" s="78" t="n"/>
      <c r="C652" s="78" t="n"/>
      <c r="D652" s="81" t="n"/>
      <c r="E652" s="81" t="n"/>
      <c r="F652" s="78" t="n"/>
      <c r="G652" s="67">
        <f>IF($F652="","",IFERROR(INDEX(Employee_Master!$C$5:$C$204,MATCH($F652,Employee_Master!$B$5:$B$204,0)),""))</f>
        <v/>
      </c>
      <c r="H652" s="78" t="n"/>
      <c r="I652" s="78" t="n"/>
      <c r="J652" s="67">
        <f>IF($I652="","",IFERROR(INDEX(Action_Status_Map!$B$5:$B$11,MATCH($I652,Action_Status_Map!$A$5:$A$11,0)),""))</f>
        <v/>
      </c>
      <c r="K652" s="82" t="n"/>
      <c r="L652" s="82" t="n"/>
      <c r="M652" s="82" t="n"/>
      <c r="N652" s="83" t="n"/>
      <c r="O652" s="83" t="n"/>
      <c r="P652" s="66">
        <f>IF(OR($N652="",$O652=""),"",$O652-$N652)</f>
        <v/>
      </c>
      <c r="Q652" s="84">
        <f>IF($K652="","",IF($M652&lt;&gt;"",$M652-$K652,TODAY()-$K652))</f>
        <v/>
      </c>
      <c r="R652" s="85">
        <f>IF(OR($L652="",$I652="Completed",$I652="Cancelled"),"",IF(AND($L652&lt;TODAY(),$I652&lt;&gt;"Completed",$I652&lt;&gt;"Cancelled"),"Overdue","On Track"))</f>
        <v/>
      </c>
      <c r="S652" s="65">
        <f>IF($L652="","",TEXT($L652,"yyyy-mm"))</f>
        <v/>
      </c>
      <c r="T652" s="86">
        <f>IF($I652="","",IFERROR(INDEX(Action_Status_Map!$C$5:$C$11,MATCH($I652,Action_Status_Map!$A$5:$A$11,0)),""))</f>
        <v/>
      </c>
      <c r="U652" s="81" t="n"/>
      <c r="V652" s="82" t="n"/>
      <c r="W652" s="65">
        <f>IF(OR($I652&lt;&gt;"Completed",$M652="",$L652=""),"",IF($M652&lt;=$L652,"Yes","No"))</f>
        <v/>
      </c>
      <c r="X652" s="84">
        <f>IF($A652="","",COUNTIF(Task_Steps!$B$5:$B$2004,$A652))</f>
        <v/>
      </c>
      <c r="Y652" s="86">
        <f>IF($X652=0,"",COUNTIFS(Task_Steps!$B$5:$B$2004,$A652,Task_Steps!$H$5:$H$2004,"Completed")/$X652)</f>
        <v/>
      </c>
      <c r="Z652" s="81" t="n"/>
      <c r="AA652" s="81" t="n"/>
      <c r="AB652" s="67">
        <f>IF($F652="","",IFERROR(INDEX(Employee_Master!$E$5:$E$204,MATCH($F652,Employee_Master!$B$5:$B$204,0)),""))</f>
        <v/>
      </c>
      <c r="AC652" s="65">
        <f>IF(OR($A652="",$AB652=""),"",IF(OR($I652="Completed",$I652="Cancelled"),"Closed - in Manager Report","Active - in Manager Report"))</f>
        <v/>
      </c>
      <c r="AD652" s="81">
        <f>IF($A652="","",IFERROR(TEXTJOIN(", ",TRUE,FILTER(Task_Steps!$A$5:$A$2004,Task_Steps!$B$5:$B$2004=$A652)),""))</f>
        <v/>
      </c>
      <c r="AE652" s="84">
        <f>IF($A652="","",COUNTIFS(Task_Steps!$B$5:$B$2004,$A652,Task_Steps!$H$5:$H$2004,"&lt;&gt;Completed",Task_Steps!$H$5:$H$2004,"&lt;&gt;Cancelled"))</f>
        <v/>
      </c>
      <c r="AF652" s="81">
        <f>IF(OR($B652="",$A652=""),"",$B652&amp;" | "&amp;$A652)</f>
        <v/>
      </c>
    </row>
    <row r="653" ht="15" customHeight="1" s="40">
      <c r="A653" s="65">
        <f>IF(COUNTA(B653:F653)=0,"","TSK-"&amp;TEXT(ROW()-4,"0000"))</f>
        <v/>
      </c>
      <c r="B653" s="78" t="n"/>
      <c r="C653" s="78" t="n"/>
      <c r="D653" s="81" t="n"/>
      <c r="E653" s="81" t="n"/>
      <c r="F653" s="78" t="n"/>
      <c r="G653" s="67">
        <f>IF($F653="","",IFERROR(INDEX(Employee_Master!$C$5:$C$204,MATCH($F653,Employee_Master!$B$5:$B$204,0)),""))</f>
        <v/>
      </c>
      <c r="H653" s="78" t="n"/>
      <c r="I653" s="78" t="n"/>
      <c r="J653" s="67">
        <f>IF($I653="","",IFERROR(INDEX(Action_Status_Map!$B$5:$B$11,MATCH($I653,Action_Status_Map!$A$5:$A$11,0)),""))</f>
        <v/>
      </c>
      <c r="K653" s="82" t="n"/>
      <c r="L653" s="82" t="n"/>
      <c r="M653" s="82" t="n"/>
      <c r="N653" s="83" t="n"/>
      <c r="O653" s="83" t="n"/>
      <c r="P653" s="66">
        <f>IF(OR($N653="",$O653=""),"",$O653-$N653)</f>
        <v/>
      </c>
      <c r="Q653" s="84">
        <f>IF($K653="","",IF($M653&lt;&gt;"",$M653-$K653,TODAY()-$K653))</f>
        <v/>
      </c>
      <c r="R653" s="85">
        <f>IF(OR($L653="",$I653="Completed",$I653="Cancelled"),"",IF(AND($L653&lt;TODAY(),$I653&lt;&gt;"Completed",$I653&lt;&gt;"Cancelled"),"Overdue","On Track"))</f>
        <v/>
      </c>
      <c r="S653" s="65">
        <f>IF($L653="","",TEXT($L653,"yyyy-mm"))</f>
        <v/>
      </c>
      <c r="T653" s="86">
        <f>IF($I653="","",IFERROR(INDEX(Action_Status_Map!$C$5:$C$11,MATCH($I653,Action_Status_Map!$A$5:$A$11,0)),""))</f>
        <v/>
      </c>
      <c r="U653" s="81" t="n"/>
      <c r="V653" s="82" t="n"/>
      <c r="W653" s="65">
        <f>IF(OR($I653&lt;&gt;"Completed",$M653="",$L653=""),"",IF($M653&lt;=$L653,"Yes","No"))</f>
        <v/>
      </c>
      <c r="X653" s="84">
        <f>IF($A653="","",COUNTIF(Task_Steps!$B$5:$B$2004,$A653))</f>
        <v/>
      </c>
      <c r="Y653" s="86">
        <f>IF($X653=0,"",COUNTIFS(Task_Steps!$B$5:$B$2004,$A653,Task_Steps!$H$5:$H$2004,"Completed")/$X653)</f>
        <v/>
      </c>
      <c r="Z653" s="81" t="n"/>
      <c r="AA653" s="81" t="n"/>
      <c r="AB653" s="67">
        <f>IF($F653="","",IFERROR(INDEX(Employee_Master!$E$5:$E$204,MATCH($F653,Employee_Master!$B$5:$B$204,0)),""))</f>
        <v/>
      </c>
      <c r="AC653" s="65">
        <f>IF(OR($A653="",$AB653=""),"",IF(OR($I653="Completed",$I653="Cancelled"),"Closed - in Manager Report","Active - in Manager Report"))</f>
        <v/>
      </c>
      <c r="AD653" s="81">
        <f>IF($A653="","",IFERROR(TEXTJOIN(", ",TRUE,FILTER(Task_Steps!$A$5:$A$2004,Task_Steps!$B$5:$B$2004=$A653)),""))</f>
        <v/>
      </c>
      <c r="AE653" s="84">
        <f>IF($A653="","",COUNTIFS(Task_Steps!$B$5:$B$2004,$A653,Task_Steps!$H$5:$H$2004,"&lt;&gt;Completed",Task_Steps!$H$5:$H$2004,"&lt;&gt;Cancelled"))</f>
        <v/>
      </c>
      <c r="AF653" s="81">
        <f>IF(OR($B653="",$A653=""),"",$B653&amp;" | "&amp;$A653)</f>
        <v/>
      </c>
    </row>
    <row r="654" ht="15" customHeight="1" s="40">
      <c r="A654" s="65">
        <f>IF(COUNTA(B654:F654)=0,"","TSK-"&amp;TEXT(ROW()-4,"0000"))</f>
        <v/>
      </c>
      <c r="B654" s="78" t="n"/>
      <c r="C654" s="78" t="n"/>
      <c r="D654" s="81" t="n"/>
      <c r="E654" s="81" t="n"/>
      <c r="F654" s="78" t="n"/>
      <c r="G654" s="67">
        <f>IF($F654="","",IFERROR(INDEX(Employee_Master!$C$5:$C$204,MATCH($F654,Employee_Master!$B$5:$B$204,0)),""))</f>
        <v/>
      </c>
      <c r="H654" s="78" t="n"/>
      <c r="I654" s="78" t="n"/>
      <c r="J654" s="67">
        <f>IF($I654="","",IFERROR(INDEX(Action_Status_Map!$B$5:$B$11,MATCH($I654,Action_Status_Map!$A$5:$A$11,0)),""))</f>
        <v/>
      </c>
      <c r="K654" s="82" t="n"/>
      <c r="L654" s="82" t="n"/>
      <c r="M654" s="82" t="n"/>
      <c r="N654" s="83" t="n"/>
      <c r="O654" s="83" t="n"/>
      <c r="P654" s="66">
        <f>IF(OR($N654="",$O654=""),"",$O654-$N654)</f>
        <v/>
      </c>
      <c r="Q654" s="84">
        <f>IF($K654="","",IF($M654&lt;&gt;"",$M654-$K654,TODAY()-$K654))</f>
        <v/>
      </c>
      <c r="R654" s="85">
        <f>IF(OR($L654="",$I654="Completed",$I654="Cancelled"),"",IF(AND($L654&lt;TODAY(),$I654&lt;&gt;"Completed",$I654&lt;&gt;"Cancelled"),"Overdue","On Track"))</f>
        <v/>
      </c>
      <c r="S654" s="65">
        <f>IF($L654="","",TEXT($L654,"yyyy-mm"))</f>
        <v/>
      </c>
      <c r="T654" s="86">
        <f>IF($I654="","",IFERROR(INDEX(Action_Status_Map!$C$5:$C$11,MATCH($I654,Action_Status_Map!$A$5:$A$11,0)),""))</f>
        <v/>
      </c>
      <c r="U654" s="81" t="n"/>
      <c r="V654" s="82" t="n"/>
      <c r="W654" s="65">
        <f>IF(OR($I654&lt;&gt;"Completed",$M654="",$L654=""),"",IF($M654&lt;=$L654,"Yes","No"))</f>
        <v/>
      </c>
      <c r="X654" s="84">
        <f>IF($A654="","",COUNTIF(Task_Steps!$B$5:$B$2004,$A654))</f>
        <v/>
      </c>
      <c r="Y654" s="86">
        <f>IF($X654=0,"",COUNTIFS(Task_Steps!$B$5:$B$2004,$A654,Task_Steps!$H$5:$H$2004,"Completed")/$X654)</f>
        <v/>
      </c>
      <c r="Z654" s="81" t="n"/>
      <c r="AA654" s="81" t="n"/>
      <c r="AB654" s="67">
        <f>IF($F654="","",IFERROR(INDEX(Employee_Master!$E$5:$E$204,MATCH($F654,Employee_Master!$B$5:$B$204,0)),""))</f>
        <v/>
      </c>
      <c r="AC654" s="65">
        <f>IF(OR($A654="",$AB654=""),"",IF(OR($I654="Completed",$I654="Cancelled"),"Closed - in Manager Report","Active - in Manager Report"))</f>
        <v/>
      </c>
      <c r="AD654" s="81">
        <f>IF($A654="","",IFERROR(TEXTJOIN(", ",TRUE,FILTER(Task_Steps!$A$5:$A$2004,Task_Steps!$B$5:$B$2004=$A654)),""))</f>
        <v/>
      </c>
      <c r="AE654" s="84">
        <f>IF($A654="","",COUNTIFS(Task_Steps!$B$5:$B$2004,$A654,Task_Steps!$H$5:$H$2004,"&lt;&gt;Completed",Task_Steps!$H$5:$H$2004,"&lt;&gt;Cancelled"))</f>
        <v/>
      </c>
      <c r="AF654" s="81">
        <f>IF(OR($B654="",$A654=""),"",$B654&amp;" | "&amp;$A654)</f>
        <v/>
      </c>
    </row>
    <row r="655" ht="15" customHeight="1" s="40">
      <c r="A655" s="65">
        <f>IF(COUNTA(B655:F655)=0,"","TSK-"&amp;TEXT(ROW()-4,"0000"))</f>
        <v/>
      </c>
      <c r="B655" s="78" t="n"/>
      <c r="C655" s="78" t="n"/>
      <c r="D655" s="81" t="n"/>
      <c r="E655" s="81" t="n"/>
      <c r="F655" s="78" t="n"/>
      <c r="G655" s="67">
        <f>IF($F655="","",IFERROR(INDEX(Employee_Master!$C$5:$C$204,MATCH($F655,Employee_Master!$B$5:$B$204,0)),""))</f>
        <v/>
      </c>
      <c r="H655" s="78" t="n"/>
      <c r="I655" s="78" t="n"/>
      <c r="J655" s="67">
        <f>IF($I655="","",IFERROR(INDEX(Action_Status_Map!$B$5:$B$11,MATCH($I655,Action_Status_Map!$A$5:$A$11,0)),""))</f>
        <v/>
      </c>
      <c r="K655" s="82" t="n"/>
      <c r="L655" s="82" t="n"/>
      <c r="M655" s="82" t="n"/>
      <c r="N655" s="83" t="n"/>
      <c r="O655" s="83" t="n"/>
      <c r="P655" s="66">
        <f>IF(OR($N655="",$O655=""),"",$O655-$N655)</f>
        <v/>
      </c>
      <c r="Q655" s="84">
        <f>IF($K655="","",IF($M655&lt;&gt;"",$M655-$K655,TODAY()-$K655))</f>
        <v/>
      </c>
      <c r="R655" s="85">
        <f>IF(OR($L655="",$I655="Completed",$I655="Cancelled"),"",IF(AND($L655&lt;TODAY(),$I655&lt;&gt;"Completed",$I655&lt;&gt;"Cancelled"),"Overdue","On Track"))</f>
        <v/>
      </c>
      <c r="S655" s="65">
        <f>IF($L655="","",TEXT($L655,"yyyy-mm"))</f>
        <v/>
      </c>
      <c r="T655" s="86">
        <f>IF($I655="","",IFERROR(INDEX(Action_Status_Map!$C$5:$C$11,MATCH($I655,Action_Status_Map!$A$5:$A$11,0)),""))</f>
        <v/>
      </c>
      <c r="U655" s="81" t="n"/>
      <c r="V655" s="82" t="n"/>
      <c r="W655" s="65">
        <f>IF(OR($I655&lt;&gt;"Completed",$M655="",$L655=""),"",IF($M655&lt;=$L655,"Yes","No"))</f>
        <v/>
      </c>
      <c r="X655" s="84">
        <f>IF($A655="","",COUNTIF(Task_Steps!$B$5:$B$2004,$A655))</f>
        <v/>
      </c>
      <c r="Y655" s="86">
        <f>IF($X655=0,"",COUNTIFS(Task_Steps!$B$5:$B$2004,$A655,Task_Steps!$H$5:$H$2004,"Completed")/$X655)</f>
        <v/>
      </c>
      <c r="Z655" s="81" t="n"/>
      <c r="AA655" s="81" t="n"/>
      <c r="AB655" s="67">
        <f>IF($F655="","",IFERROR(INDEX(Employee_Master!$E$5:$E$204,MATCH($F655,Employee_Master!$B$5:$B$204,0)),""))</f>
        <v/>
      </c>
      <c r="AC655" s="65">
        <f>IF(OR($A655="",$AB655=""),"",IF(OR($I655="Completed",$I655="Cancelled"),"Closed - in Manager Report","Active - in Manager Report"))</f>
        <v/>
      </c>
      <c r="AD655" s="81">
        <f>IF($A655="","",IFERROR(TEXTJOIN(", ",TRUE,FILTER(Task_Steps!$A$5:$A$2004,Task_Steps!$B$5:$B$2004=$A655)),""))</f>
        <v/>
      </c>
      <c r="AE655" s="84">
        <f>IF($A655="","",COUNTIFS(Task_Steps!$B$5:$B$2004,$A655,Task_Steps!$H$5:$H$2004,"&lt;&gt;Completed",Task_Steps!$H$5:$H$2004,"&lt;&gt;Cancelled"))</f>
        <v/>
      </c>
      <c r="AF655" s="81">
        <f>IF(OR($B655="",$A655=""),"",$B655&amp;" | "&amp;$A655)</f>
        <v/>
      </c>
    </row>
    <row r="656" ht="15" customHeight="1" s="40">
      <c r="A656" s="65">
        <f>IF(COUNTA(B656:F656)=0,"","TSK-"&amp;TEXT(ROW()-4,"0000"))</f>
        <v/>
      </c>
      <c r="B656" s="78" t="n"/>
      <c r="C656" s="78" t="n"/>
      <c r="D656" s="81" t="n"/>
      <c r="E656" s="81" t="n"/>
      <c r="F656" s="78" t="n"/>
      <c r="G656" s="67">
        <f>IF($F656="","",IFERROR(INDEX(Employee_Master!$C$5:$C$204,MATCH($F656,Employee_Master!$B$5:$B$204,0)),""))</f>
        <v/>
      </c>
      <c r="H656" s="78" t="n"/>
      <c r="I656" s="78" t="n"/>
      <c r="J656" s="67">
        <f>IF($I656="","",IFERROR(INDEX(Action_Status_Map!$B$5:$B$11,MATCH($I656,Action_Status_Map!$A$5:$A$11,0)),""))</f>
        <v/>
      </c>
      <c r="K656" s="82" t="n"/>
      <c r="L656" s="82" t="n"/>
      <c r="M656" s="82" t="n"/>
      <c r="N656" s="83" t="n"/>
      <c r="O656" s="83" t="n"/>
      <c r="P656" s="66">
        <f>IF(OR($N656="",$O656=""),"",$O656-$N656)</f>
        <v/>
      </c>
      <c r="Q656" s="84">
        <f>IF($K656="","",IF($M656&lt;&gt;"",$M656-$K656,TODAY()-$K656))</f>
        <v/>
      </c>
      <c r="R656" s="85">
        <f>IF(OR($L656="",$I656="Completed",$I656="Cancelled"),"",IF(AND($L656&lt;TODAY(),$I656&lt;&gt;"Completed",$I656&lt;&gt;"Cancelled"),"Overdue","On Track"))</f>
        <v/>
      </c>
      <c r="S656" s="65">
        <f>IF($L656="","",TEXT($L656,"yyyy-mm"))</f>
        <v/>
      </c>
      <c r="T656" s="86">
        <f>IF($I656="","",IFERROR(INDEX(Action_Status_Map!$C$5:$C$11,MATCH($I656,Action_Status_Map!$A$5:$A$11,0)),""))</f>
        <v/>
      </c>
      <c r="U656" s="81" t="n"/>
      <c r="V656" s="82" t="n"/>
      <c r="W656" s="65">
        <f>IF(OR($I656&lt;&gt;"Completed",$M656="",$L656=""),"",IF($M656&lt;=$L656,"Yes","No"))</f>
        <v/>
      </c>
      <c r="X656" s="84">
        <f>IF($A656="","",COUNTIF(Task_Steps!$B$5:$B$2004,$A656))</f>
        <v/>
      </c>
      <c r="Y656" s="86">
        <f>IF($X656=0,"",COUNTIFS(Task_Steps!$B$5:$B$2004,$A656,Task_Steps!$H$5:$H$2004,"Completed")/$X656)</f>
        <v/>
      </c>
      <c r="Z656" s="81" t="n"/>
      <c r="AA656" s="81" t="n"/>
      <c r="AB656" s="67">
        <f>IF($F656="","",IFERROR(INDEX(Employee_Master!$E$5:$E$204,MATCH($F656,Employee_Master!$B$5:$B$204,0)),""))</f>
        <v/>
      </c>
      <c r="AC656" s="65">
        <f>IF(OR($A656="",$AB656=""),"",IF(OR($I656="Completed",$I656="Cancelled"),"Closed - in Manager Report","Active - in Manager Report"))</f>
        <v/>
      </c>
      <c r="AD656" s="81">
        <f>IF($A656="","",IFERROR(TEXTJOIN(", ",TRUE,FILTER(Task_Steps!$A$5:$A$2004,Task_Steps!$B$5:$B$2004=$A656)),""))</f>
        <v/>
      </c>
      <c r="AE656" s="84">
        <f>IF($A656="","",COUNTIFS(Task_Steps!$B$5:$B$2004,$A656,Task_Steps!$H$5:$H$2004,"&lt;&gt;Completed",Task_Steps!$H$5:$H$2004,"&lt;&gt;Cancelled"))</f>
        <v/>
      </c>
      <c r="AF656" s="81">
        <f>IF(OR($B656="",$A656=""),"",$B656&amp;" | "&amp;$A656)</f>
        <v/>
      </c>
    </row>
    <row r="657" ht="15" customHeight="1" s="40">
      <c r="A657" s="65">
        <f>IF(COUNTA(B657:F657)=0,"","TSK-"&amp;TEXT(ROW()-4,"0000"))</f>
        <v/>
      </c>
      <c r="B657" s="78" t="n"/>
      <c r="C657" s="78" t="n"/>
      <c r="D657" s="81" t="n"/>
      <c r="E657" s="81" t="n"/>
      <c r="F657" s="78" t="n"/>
      <c r="G657" s="67">
        <f>IF($F657="","",IFERROR(INDEX(Employee_Master!$C$5:$C$204,MATCH($F657,Employee_Master!$B$5:$B$204,0)),""))</f>
        <v/>
      </c>
      <c r="H657" s="78" t="n"/>
      <c r="I657" s="78" t="n"/>
      <c r="J657" s="67">
        <f>IF($I657="","",IFERROR(INDEX(Action_Status_Map!$B$5:$B$11,MATCH($I657,Action_Status_Map!$A$5:$A$11,0)),""))</f>
        <v/>
      </c>
      <c r="K657" s="82" t="n"/>
      <c r="L657" s="82" t="n"/>
      <c r="M657" s="82" t="n"/>
      <c r="N657" s="83" t="n"/>
      <c r="O657" s="83" t="n"/>
      <c r="P657" s="66">
        <f>IF(OR($N657="",$O657=""),"",$O657-$N657)</f>
        <v/>
      </c>
      <c r="Q657" s="84">
        <f>IF($K657="","",IF($M657&lt;&gt;"",$M657-$K657,TODAY()-$K657))</f>
        <v/>
      </c>
      <c r="R657" s="85">
        <f>IF(OR($L657="",$I657="Completed",$I657="Cancelled"),"",IF(AND($L657&lt;TODAY(),$I657&lt;&gt;"Completed",$I657&lt;&gt;"Cancelled"),"Overdue","On Track"))</f>
        <v/>
      </c>
      <c r="S657" s="65">
        <f>IF($L657="","",TEXT($L657,"yyyy-mm"))</f>
        <v/>
      </c>
      <c r="T657" s="86">
        <f>IF($I657="","",IFERROR(INDEX(Action_Status_Map!$C$5:$C$11,MATCH($I657,Action_Status_Map!$A$5:$A$11,0)),""))</f>
        <v/>
      </c>
      <c r="U657" s="81" t="n"/>
      <c r="V657" s="82" t="n"/>
      <c r="W657" s="65">
        <f>IF(OR($I657&lt;&gt;"Completed",$M657="",$L657=""),"",IF($M657&lt;=$L657,"Yes","No"))</f>
        <v/>
      </c>
      <c r="X657" s="84">
        <f>IF($A657="","",COUNTIF(Task_Steps!$B$5:$B$2004,$A657))</f>
        <v/>
      </c>
      <c r="Y657" s="86">
        <f>IF($X657=0,"",COUNTIFS(Task_Steps!$B$5:$B$2004,$A657,Task_Steps!$H$5:$H$2004,"Completed")/$X657)</f>
        <v/>
      </c>
      <c r="Z657" s="81" t="n"/>
      <c r="AA657" s="81" t="n"/>
      <c r="AB657" s="67">
        <f>IF($F657="","",IFERROR(INDEX(Employee_Master!$E$5:$E$204,MATCH($F657,Employee_Master!$B$5:$B$204,0)),""))</f>
        <v/>
      </c>
      <c r="AC657" s="65">
        <f>IF(OR($A657="",$AB657=""),"",IF(OR($I657="Completed",$I657="Cancelled"),"Closed - in Manager Report","Active - in Manager Report"))</f>
        <v/>
      </c>
      <c r="AD657" s="81">
        <f>IF($A657="","",IFERROR(TEXTJOIN(", ",TRUE,FILTER(Task_Steps!$A$5:$A$2004,Task_Steps!$B$5:$B$2004=$A657)),""))</f>
        <v/>
      </c>
      <c r="AE657" s="84">
        <f>IF($A657="","",COUNTIFS(Task_Steps!$B$5:$B$2004,$A657,Task_Steps!$H$5:$H$2004,"&lt;&gt;Completed",Task_Steps!$H$5:$H$2004,"&lt;&gt;Cancelled"))</f>
        <v/>
      </c>
      <c r="AF657" s="81">
        <f>IF(OR($B657="",$A657=""),"",$B657&amp;" | "&amp;$A657)</f>
        <v/>
      </c>
    </row>
    <row r="658" ht="15" customHeight="1" s="40">
      <c r="A658" s="65">
        <f>IF(COUNTA(B658:F658)=0,"","TSK-"&amp;TEXT(ROW()-4,"0000"))</f>
        <v/>
      </c>
      <c r="B658" s="78" t="n"/>
      <c r="C658" s="78" t="n"/>
      <c r="D658" s="81" t="n"/>
      <c r="E658" s="81" t="n"/>
      <c r="F658" s="78" t="n"/>
      <c r="G658" s="67">
        <f>IF($F658="","",IFERROR(INDEX(Employee_Master!$C$5:$C$204,MATCH($F658,Employee_Master!$B$5:$B$204,0)),""))</f>
        <v/>
      </c>
      <c r="H658" s="78" t="n"/>
      <c r="I658" s="78" t="n"/>
      <c r="J658" s="67">
        <f>IF($I658="","",IFERROR(INDEX(Action_Status_Map!$B$5:$B$11,MATCH($I658,Action_Status_Map!$A$5:$A$11,0)),""))</f>
        <v/>
      </c>
      <c r="K658" s="82" t="n"/>
      <c r="L658" s="82" t="n"/>
      <c r="M658" s="82" t="n"/>
      <c r="N658" s="83" t="n"/>
      <c r="O658" s="83" t="n"/>
      <c r="P658" s="66">
        <f>IF(OR($N658="",$O658=""),"",$O658-$N658)</f>
        <v/>
      </c>
      <c r="Q658" s="84">
        <f>IF($K658="","",IF($M658&lt;&gt;"",$M658-$K658,TODAY()-$K658))</f>
        <v/>
      </c>
      <c r="R658" s="85">
        <f>IF(OR($L658="",$I658="Completed",$I658="Cancelled"),"",IF(AND($L658&lt;TODAY(),$I658&lt;&gt;"Completed",$I658&lt;&gt;"Cancelled"),"Overdue","On Track"))</f>
        <v/>
      </c>
      <c r="S658" s="65">
        <f>IF($L658="","",TEXT($L658,"yyyy-mm"))</f>
        <v/>
      </c>
      <c r="T658" s="86">
        <f>IF($I658="","",IFERROR(INDEX(Action_Status_Map!$C$5:$C$11,MATCH($I658,Action_Status_Map!$A$5:$A$11,0)),""))</f>
        <v/>
      </c>
      <c r="U658" s="81" t="n"/>
      <c r="V658" s="82" t="n"/>
      <c r="W658" s="65">
        <f>IF(OR($I658&lt;&gt;"Completed",$M658="",$L658=""),"",IF($M658&lt;=$L658,"Yes","No"))</f>
        <v/>
      </c>
      <c r="X658" s="84">
        <f>IF($A658="","",COUNTIF(Task_Steps!$B$5:$B$2004,$A658))</f>
        <v/>
      </c>
      <c r="Y658" s="86">
        <f>IF($X658=0,"",COUNTIFS(Task_Steps!$B$5:$B$2004,$A658,Task_Steps!$H$5:$H$2004,"Completed")/$X658)</f>
        <v/>
      </c>
      <c r="Z658" s="81" t="n"/>
      <c r="AA658" s="81" t="n"/>
      <c r="AB658" s="67">
        <f>IF($F658="","",IFERROR(INDEX(Employee_Master!$E$5:$E$204,MATCH($F658,Employee_Master!$B$5:$B$204,0)),""))</f>
        <v/>
      </c>
      <c r="AC658" s="65">
        <f>IF(OR($A658="",$AB658=""),"",IF(OR($I658="Completed",$I658="Cancelled"),"Closed - in Manager Report","Active - in Manager Report"))</f>
        <v/>
      </c>
      <c r="AD658" s="81">
        <f>IF($A658="","",IFERROR(TEXTJOIN(", ",TRUE,FILTER(Task_Steps!$A$5:$A$2004,Task_Steps!$B$5:$B$2004=$A658)),""))</f>
        <v/>
      </c>
      <c r="AE658" s="84">
        <f>IF($A658="","",COUNTIFS(Task_Steps!$B$5:$B$2004,$A658,Task_Steps!$H$5:$H$2004,"&lt;&gt;Completed",Task_Steps!$H$5:$H$2004,"&lt;&gt;Cancelled"))</f>
        <v/>
      </c>
      <c r="AF658" s="81">
        <f>IF(OR($B658="",$A658=""),"",$B658&amp;" | "&amp;$A658)</f>
        <v/>
      </c>
    </row>
    <row r="659" ht="15" customHeight="1" s="40">
      <c r="A659" s="65">
        <f>IF(COUNTA(B659:F659)=0,"","TSK-"&amp;TEXT(ROW()-4,"0000"))</f>
        <v/>
      </c>
      <c r="B659" s="78" t="n"/>
      <c r="C659" s="78" t="n"/>
      <c r="D659" s="81" t="n"/>
      <c r="E659" s="81" t="n"/>
      <c r="F659" s="78" t="n"/>
      <c r="G659" s="67">
        <f>IF($F659="","",IFERROR(INDEX(Employee_Master!$C$5:$C$204,MATCH($F659,Employee_Master!$B$5:$B$204,0)),""))</f>
        <v/>
      </c>
      <c r="H659" s="78" t="n"/>
      <c r="I659" s="78" t="n"/>
      <c r="J659" s="67">
        <f>IF($I659="","",IFERROR(INDEX(Action_Status_Map!$B$5:$B$11,MATCH($I659,Action_Status_Map!$A$5:$A$11,0)),""))</f>
        <v/>
      </c>
      <c r="K659" s="82" t="n"/>
      <c r="L659" s="82" t="n"/>
      <c r="M659" s="82" t="n"/>
      <c r="N659" s="83" t="n"/>
      <c r="O659" s="83" t="n"/>
      <c r="P659" s="66">
        <f>IF(OR($N659="",$O659=""),"",$O659-$N659)</f>
        <v/>
      </c>
      <c r="Q659" s="84">
        <f>IF($K659="","",IF($M659&lt;&gt;"",$M659-$K659,TODAY()-$K659))</f>
        <v/>
      </c>
      <c r="R659" s="85">
        <f>IF(OR($L659="",$I659="Completed",$I659="Cancelled"),"",IF(AND($L659&lt;TODAY(),$I659&lt;&gt;"Completed",$I659&lt;&gt;"Cancelled"),"Overdue","On Track"))</f>
        <v/>
      </c>
      <c r="S659" s="65">
        <f>IF($L659="","",TEXT($L659,"yyyy-mm"))</f>
        <v/>
      </c>
      <c r="T659" s="86">
        <f>IF($I659="","",IFERROR(INDEX(Action_Status_Map!$C$5:$C$11,MATCH($I659,Action_Status_Map!$A$5:$A$11,0)),""))</f>
        <v/>
      </c>
      <c r="U659" s="81" t="n"/>
      <c r="V659" s="82" t="n"/>
      <c r="W659" s="65">
        <f>IF(OR($I659&lt;&gt;"Completed",$M659="",$L659=""),"",IF($M659&lt;=$L659,"Yes","No"))</f>
        <v/>
      </c>
      <c r="X659" s="84">
        <f>IF($A659="","",COUNTIF(Task_Steps!$B$5:$B$2004,$A659))</f>
        <v/>
      </c>
      <c r="Y659" s="86">
        <f>IF($X659=0,"",COUNTIFS(Task_Steps!$B$5:$B$2004,$A659,Task_Steps!$H$5:$H$2004,"Completed")/$X659)</f>
        <v/>
      </c>
      <c r="Z659" s="81" t="n"/>
      <c r="AA659" s="81" t="n"/>
      <c r="AB659" s="67">
        <f>IF($F659="","",IFERROR(INDEX(Employee_Master!$E$5:$E$204,MATCH($F659,Employee_Master!$B$5:$B$204,0)),""))</f>
        <v/>
      </c>
      <c r="AC659" s="65">
        <f>IF(OR($A659="",$AB659=""),"",IF(OR($I659="Completed",$I659="Cancelled"),"Closed - in Manager Report","Active - in Manager Report"))</f>
        <v/>
      </c>
      <c r="AD659" s="81">
        <f>IF($A659="","",IFERROR(TEXTJOIN(", ",TRUE,FILTER(Task_Steps!$A$5:$A$2004,Task_Steps!$B$5:$B$2004=$A659)),""))</f>
        <v/>
      </c>
      <c r="AE659" s="84">
        <f>IF($A659="","",COUNTIFS(Task_Steps!$B$5:$B$2004,$A659,Task_Steps!$H$5:$H$2004,"&lt;&gt;Completed",Task_Steps!$H$5:$H$2004,"&lt;&gt;Cancelled"))</f>
        <v/>
      </c>
      <c r="AF659" s="81">
        <f>IF(OR($B659="",$A659=""),"",$B659&amp;" | "&amp;$A659)</f>
        <v/>
      </c>
    </row>
    <row r="660" ht="15" customHeight="1" s="40">
      <c r="A660" s="65">
        <f>IF(COUNTA(B660:F660)=0,"","TSK-"&amp;TEXT(ROW()-4,"0000"))</f>
        <v/>
      </c>
      <c r="B660" s="78" t="n"/>
      <c r="C660" s="78" t="n"/>
      <c r="D660" s="81" t="n"/>
      <c r="E660" s="81" t="n"/>
      <c r="F660" s="78" t="n"/>
      <c r="G660" s="67">
        <f>IF($F660="","",IFERROR(INDEX(Employee_Master!$C$5:$C$204,MATCH($F660,Employee_Master!$B$5:$B$204,0)),""))</f>
        <v/>
      </c>
      <c r="H660" s="78" t="n"/>
      <c r="I660" s="78" t="n"/>
      <c r="J660" s="67">
        <f>IF($I660="","",IFERROR(INDEX(Action_Status_Map!$B$5:$B$11,MATCH($I660,Action_Status_Map!$A$5:$A$11,0)),""))</f>
        <v/>
      </c>
      <c r="K660" s="82" t="n"/>
      <c r="L660" s="82" t="n"/>
      <c r="M660" s="82" t="n"/>
      <c r="N660" s="83" t="n"/>
      <c r="O660" s="83" t="n"/>
      <c r="P660" s="66">
        <f>IF(OR($N660="",$O660=""),"",$O660-$N660)</f>
        <v/>
      </c>
      <c r="Q660" s="84">
        <f>IF($K660="","",IF($M660&lt;&gt;"",$M660-$K660,TODAY()-$K660))</f>
        <v/>
      </c>
      <c r="R660" s="85">
        <f>IF(OR($L660="",$I660="Completed",$I660="Cancelled"),"",IF(AND($L660&lt;TODAY(),$I660&lt;&gt;"Completed",$I660&lt;&gt;"Cancelled"),"Overdue","On Track"))</f>
        <v/>
      </c>
      <c r="S660" s="65">
        <f>IF($L660="","",TEXT($L660,"yyyy-mm"))</f>
        <v/>
      </c>
      <c r="T660" s="86">
        <f>IF($I660="","",IFERROR(INDEX(Action_Status_Map!$C$5:$C$11,MATCH($I660,Action_Status_Map!$A$5:$A$11,0)),""))</f>
        <v/>
      </c>
      <c r="U660" s="81" t="n"/>
      <c r="V660" s="82" t="n"/>
      <c r="W660" s="65">
        <f>IF(OR($I660&lt;&gt;"Completed",$M660="",$L660=""),"",IF($M660&lt;=$L660,"Yes","No"))</f>
        <v/>
      </c>
      <c r="X660" s="84">
        <f>IF($A660="","",COUNTIF(Task_Steps!$B$5:$B$2004,$A660))</f>
        <v/>
      </c>
      <c r="Y660" s="86">
        <f>IF($X660=0,"",COUNTIFS(Task_Steps!$B$5:$B$2004,$A660,Task_Steps!$H$5:$H$2004,"Completed")/$X660)</f>
        <v/>
      </c>
      <c r="Z660" s="81" t="n"/>
      <c r="AA660" s="81" t="n"/>
      <c r="AB660" s="67">
        <f>IF($F660="","",IFERROR(INDEX(Employee_Master!$E$5:$E$204,MATCH($F660,Employee_Master!$B$5:$B$204,0)),""))</f>
        <v/>
      </c>
      <c r="AC660" s="65">
        <f>IF(OR($A660="",$AB660=""),"",IF(OR($I660="Completed",$I660="Cancelled"),"Closed - in Manager Report","Active - in Manager Report"))</f>
        <v/>
      </c>
      <c r="AD660" s="81">
        <f>IF($A660="","",IFERROR(TEXTJOIN(", ",TRUE,FILTER(Task_Steps!$A$5:$A$2004,Task_Steps!$B$5:$B$2004=$A660)),""))</f>
        <v/>
      </c>
      <c r="AE660" s="84">
        <f>IF($A660="","",COUNTIFS(Task_Steps!$B$5:$B$2004,$A660,Task_Steps!$H$5:$H$2004,"&lt;&gt;Completed",Task_Steps!$H$5:$H$2004,"&lt;&gt;Cancelled"))</f>
        <v/>
      </c>
      <c r="AF660" s="81">
        <f>IF(OR($B660="",$A660=""),"",$B660&amp;" | "&amp;$A660)</f>
        <v/>
      </c>
    </row>
    <row r="661" ht="15" customHeight="1" s="40">
      <c r="A661" s="65">
        <f>IF(COUNTA(B661:F661)=0,"","TSK-"&amp;TEXT(ROW()-4,"0000"))</f>
        <v/>
      </c>
      <c r="B661" s="78" t="n"/>
      <c r="C661" s="78" t="n"/>
      <c r="D661" s="81" t="n"/>
      <c r="E661" s="81" t="n"/>
      <c r="F661" s="78" t="n"/>
      <c r="G661" s="67">
        <f>IF($F661="","",IFERROR(INDEX(Employee_Master!$C$5:$C$204,MATCH($F661,Employee_Master!$B$5:$B$204,0)),""))</f>
        <v/>
      </c>
      <c r="H661" s="78" t="n"/>
      <c r="I661" s="78" t="n"/>
      <c r="J661" s="67">
        <f>IF($I661="","",IFERROR(INDEX(Action_Status_Map!$B$5:$B$11,MATCH($I661,Action_Status_Map!$A$5:$A$11,0)),""))</f>
        <v/>
      </c>
      <c r="K661" s="82" t="n"/>
      <c r="L661" s="82" t="n"/>
      <c r="M661" s="82" t="n"/>
      <c r="N661" s="83" t="n"/>
      <c r="O661" s="83" t="n"/>
      <c r="P661" s="66">
        <f>IF(OR($N661="",$O661=""),"",$O661-$N661)</f>
        <v/>
      </c>
      <c r="Q661" s="84">
        <f>IF($K661="","",IF($M661&lt;&gt;"",$M661-$K661,TODAY()-$K661))</f>
        <v/>
      </c>
      <c r="R661" s="85">
        <f>IF(OR($L661="",$I661="Completed",$I661="Cancelled"),"",IF(AND($L661&lt;TODAY(),$I661&lt;&gt;"Completed",$I661&lt;&gt;"Cancelled"),"Overdue","On Track"))</f>
        <v/>
      </c>
      <c r="S661" s="65">
        <f>IF($L661="","",TEXT($L661,"yyyy-mm"))</f>
        <v/>
      </c>
      <c r="T661" s="86">
        <f>IF($I661="","",IFERROR(INDEX(Action_Status_Map!$C$5:$C$11,MATCH($I661,Action_Status_Map!$A$5:$A$11,0)),""))</f>
        <v/>
      </c>
      <c r="U661" s="81" t="n"/>
      <c r="V661" s="82" t="n"/>
      <c r="W661" s="65">
        <f>IF(OR($I661&lt;&gt;"Completed",$M661="",$L661=""),"",IF($M661&lt;=$L661,"Yes","No"))</f>
        <v/>
      </c>
      <c r="X661" s="84">
        <f>IF($A661="","",COUNTIF(Task_Steps!$B$5:$B$2004,$A661))</f>
        <v/>
      </c>
      <c r="Y661" s="86">
        <f>IF($X661=0,"",COUNTIFS(Task_Steps!$B$5:$B$2004,$A661,Task_Steps!$H$5:$H$2004,"Completed")/$X661)</f>
        <v/>
      </c>
      <c r="Z661" s="81" t="n"/>
      <c r="AA661" s="81" t="n"/>
      <c r="AB661" s="67">
        <f>IF($F661="","",IFERROR(INDEX(Employee_Master!$E$5:$E$204,MATCH($F661,Employee_Master!$B$5:$B$204,0)),""))</f>
        <v/>
      </c>
      <c r="AC661" s="65">
        <f>IF(OR($A661="",$AB661=""),"",IF(OR($I661="Completed",$I661="Cancelled"),"Closed - in Manager Report","Active - in Manager Report"))</f>
        <v/>
      </c>
      <c r="AD661" s="81">
        <f>IF($A661="","",IFERROR(TEXTJOIN(", ",TRUE,FILTER(Task_Steps!$A$5:$A$2004,Task_Steps!$B$5:$B$2004=$A661)),""))</f>
        <v/>
      </c>
      <c r="AE661" s="84">
        <f>IF($A661="","",COUNTIFS(Task_Steps!$B$5:$B$2004,$A661,Task_Steps!$H$5:$H$2004,"&lt;&gt;Completed",Task_Steps!$H$5:$H$2004,"&lt;&gt;Cancelled"))</f>
        <v/>
      </c>
      <c r="AF661" s="81">
        <f>IF(OR($B661="",$A661=""),"",$B661&amp;" | "&amp;$A661)</f>
        <v/>
      </c>
    </row>
    <row r="662" ht="15" customHeight="1" s="40">
      <c r="A662" s="65">
        <f>IF(COUNTA(B662:F662)=0,"","TSK-"&amp;TEXT(ROW()-4,"0000"))</f>
        <v/>
      </c>
      <c r="B662" s="78" t="n"/>
      <c r="C662" s="78" t="n"/>
      <c r="D662" s="81" t="n"/>
      <c r="E662" s="81" t="n"/>
      <c r="F662" s="78" t="n"/>
      <c r="G662" s="67">
        <f>IF($F662="","",IFERROR(INDEX(Employee_Master!$C$5:$C$204,MATCH($F662,Employee_Master!$B$5:$B$204,0)),""))</f>
        <v/>
      </c>
      <c r="H662" s="78" t="n"/>
      <c r="I662" s="78" t="n"/>
      <c r="J662" s="67">
        <f>IF($I662="","",IFERROR(INDEX(Action_Status_Map!$B$5:$B$11,MATCH($I662,Action_Status_Map!$A$5:$A$11,0)),""))</f>
        <v/>
      </c>
      <c r="K662" s="82" t="n"/>
      <c r="L662" s="82" t="n"/>
      <c r="M662" s="82" t="n"/>
      <c r="N662" s="83" t="n"/>
      <c r="O662" s="83" t="n"/>
      <c r="P662" s="66">
        <f>IF(OR($N662="",$O662=""),"",$O662-$N662)</f>
        <v/>
      </c>
      <c r="Q662" s="84">
        <f>IF($K662="","",IF($M662&lt;&gt;"",$M662-$K662,TODAY()-$K662))</f>
        <v/>
      </c>
      <c r="R662" s="85">
        <f>IF(OR($L662="",$I662="Completed",$I662="Cancelled"),"",IF(AND($L662&lt;TODAY(),$I662&lt;&gt;"Completed",$I662&lt;&gt;"Cancelled"),"Overdue","On Track"))</f>
        <v/>
      </c>
      <c r="S662" s="65">
        <f>IF($L662="","",TEXT($L662,"yyyy-mm"))</f>
        <v/>
      </c>
      <c r="T662" s="86">
        <f>IF($I662="","",IFERROR(INDEX(Action_Status_Map!$C$5:$C$11,MATCH($I662,Action_Status_Map!$A$5:$A$11,0)),""))</f>
        <v/>
      </c>
      <c r="U662" s="81" t="n"/>
      <c r="V662" s="82" t="n"/>
      <c r="W662" s="65">
        <f>IF(OR($I662&lt;&gt;"Completed",$M662="",$L662=""),"",IF($M662&lt;=$L662,"Yes","No"))</f>
        <v/>
      </c>
      <c r="X662" s="84">
        <f>IF($A662="","",COUNTIF(Task_Steps!$B$5:$B$2004,$A662))</f>
        <v/>
      </c>
      <c r="Y662" s="86">
        <f>IF($X662=0,"",COUNTIFS(Task_Steps!$B$5:$B$2004,$A662,Task_Steps!$H$5:$H$2004,"Completed")/$X662)</f>
        <v/>
      </c>
      <c r="Z662" s="81" t="n"/>
      <c r="AA662" s="81" t="n"/>
      <c r="AB662" s="67">
        <f>IF($F662="","",IFERROR(INDEX(Employee_Master!$E$5:$E$204,MATCH($F662,Employee_Master!$B$5:$B$204,0)),""))</f>
        <v/>
      </c>
      <c r="AC662" s="65">
        <f>IF(OR($A662="",$AB662=""),"",IF(OR($I662="Completed",$I662="Cancelled"),"Closed - in Manager Report","Active - in Manager Report"))</f>
        <v/>
      </c>
      <c r="AD662" s="81">
        <f>IF($A662="","",IFERROR(TEXTJOIN(", ",TRUE,FILTER(Task_Steps!$A$5:$A$2004,Task_Steps!$B$5:$B$2004=$A662)),""))</f>
        <v/>
      </c>
      <c r="AE662" s="84">
        <f>IF($A662="","",COUNTIFS(Task_Steps!$B$5:$B$2004,$A662,Task_Steps!$H$5:$H$2004,"&lt;&gt;Completed",Task_Steps!$H$5:$H$2004,"&lt;&gt;Cancelled"))</f>
        <v/>
      </c>
      <c r="AF662" s="81">
        <f>IF(OR($B662="",$A662=""),"",$B662&amp;" | "&amp;$A662)</f>
        <v/>
      </c>
    </row>
    <row r="663" ht="15" customHeight="1" s="40">
      <c r="A663" s="65">
        <f>IF(COUNTA(B663:F663)=0,"","TSK-"&amp;TEXT(ROW()-4,"0000"))</f>
        <v/>
      </c>
      <c r="B663" s="78" t="n"/>
      <c r="C663" s="78" t="n"/>
      <c r="D663" s="81" t="n"/>
      <c r="E663" s="81" t="n"/>
      <c r="F663" s="78" t="n"/>
      <c r="G663" s="67">
        <f>IF($F663="","",IFERROR(INDEX(Employee_Master!$C$5:$C$204,MATCH($F663,Employee_Master!$B$5:$B$204,0)),""))</f>
        <v/>
      </c>
      <c r="H663" s="78" t="n"/>
      <c r="I663" s="78" t="n"/>
      <c r="J663" s="67">
        <f>IF($I663="","",IFERROR(INDEX(Action_Status_Map!$B$5:$B$11,MATCH($I663,Action_Status_Map!$A$5:$A$11,0)),""))</f>
        <v/>
      </c>
      <c r="K663" s="82" t="n"/>
      <c r="L663" s="82" t="n"/>
      <c r="M663" s="82" t="n"/>
      <c r="N663" s="83" t="n"/>
      <c r="O663" s="83" t="n"/>
      <c r="P663" s="66">
        <f>IF(OR($N663="",$O663=""),"",$O663-$N663)</f>
        <v/>
      </c>
      <c r="Q663" s="84">
        <f>IF($K663="","",IF($M663&lt;&gt;"",$M663-$K663,TODAY()-$K663))</f>
        <v/>
      </c>
      <c r="R663" s="85">
        <f>IF(OR($L663="",$I663="Completed",$I663="Cancelled"),"",IF(AND($L663&lt;TODAY(),$I663&lt;&gt;"Completed",$I663&lt;&gt;"Cancelled"),"Overdue","On Track"))</f>
        <v/>
      </c>
      <c r="S663" s="65">
        <f>IF($L663="","",TEXT($L663,"yyyy-mm"))</f>
        <v/>
      </c>
      <c r="T663" s="86">
        <f>IF($I663="","",IFERROR(INDEX(Action_Status_Map!$C$5:$C$11,MATCH($I663,Action_Status_Map!$A$5:$A$11,0)),""))</f>
        <v/>
      </c>
      <c r="U663" s="81" t="n"/>
      <c r="V663" s="82" t="n"/>
      <c r="W663" s="65">
        <f>IF(OR($I663&lt;&gt;"Completed",$M663="",$L663=""),"",IF($M663&lt;=$L663,"Yes","No"))</f>
        <v/>
      </c>
      <c r="X663" s="84">
        <f>IF($A663="","",COUNTIF(Task_Steps!$B$5:$B$2004,$A663))</f>
        <v/>
      </c>
      <c r="Y663" s="86">
        <f>IF($X663=0,"",COUNTIFS(Task_Steps!$B$5:$B$2004,$A663,Task_Steps!$H$5:$H$2004,"Completed")/$X663)</f>
        <v/>
      </c>
      <c r="Z663" s="81" t="n"/>
      <c r="AA663" s="81" t="n"/>
      <c r="AB663" s="67">
        <f>IF($F663="","",IFERROR(INDEX(Employee_Master!$E$5:$E$204,MATCH($F663,Employee_Master!$B$5:$B$204,0)),""))</f>
        <v/>
      </c>
      <c r="AC663" s="65">
        <f>IF(OR($A663="",$AB663=""),"",IF(OR($I663="Completed",$I663="Cancelled"),"Closed - in Manager Report","Active - in Manager Report"))</f>
        <v/>
      </c>
      <c r="AD663" s="81">
        <f>IF($A663="","",IFERROR(TEXTJOIN(", ",TRUE,FILTER(Task_Steps!$A$5:$A$2004,Task_Steps!$B$5:$B$2004=$A663)),""))</f>
        <v/>
      </c>
      <c r="AE663" s="84">
        <f>IF($A663="","",COUNTIFS(Task_Steps!$B$5:$B$2004,$A663,Task_Steps!$H$5:$H$2004,"&lt;&gt;Completed",Task_Steps!$H$5:$H$2004,"&lt;&gt;Cancelled"))</f>
        <v/>
      </c>
      <c r="AF663" s="81">
        <f>IF(OR($B663="",$A663=""),"",$B663&amp;" | "&amp;$A663)</f>
        <v/>
      </c>
    </row>
    <row r="664" ht="15" customHeight="1" s="40">
      <c r="A664" s="65">
        <f>IF(COUNTA(B664:F664)=0,"","TSK-"&amp;TEXT(ROW()-4,"0000"))</f>
        <v/>
      </c>
      <c r="B664" s="78" t="n"/>
      <c r="C664" s="78" t="n"/>
      <c r="D664" s="81" t="n"/>
      <c r="E664" s="81" t="n"/>
      <c r="F664" s="78" t="n"/>
      <c r="G664" s="67">
        <f>IF($F664="","",IFERROR(INDEX(Employee_Master!$C$5:$C$204,MATCH($F664,Employee_Master!$B$5:$B$204,0)),""))</f>
        <v/>
      </c>
      <c r="H664" s="78" t="n"/>
      <c r="I664" s="78" t="n"/>
      <c r="J664" s="67">
        <f>IF($I664="","",IFERROR(INDEX(Action_Status_Map!$B$5:$B$11,MATCH($I664,Action_Status_Map!$A$5:$A$11,0)),""))</f>
        <v/>
      </c>
      <c r="K664" s="82" t="n"/>
      <c r="L664" s="82" t="n"/>
      <c r="M664" s="82" t="n"/>
      <c r="N664" s="83" t="n"/>
      <c r="O664" s="83" t="n"/>
      <c r="P664" s="66">
        <f>IF(OR($N664="",$O664=""),"",$O664-$N664)</f>
        <v/>
      </c>
      <c r="Q664" s="84">
        <f>IF($K664="","",IF($M664&lt;&gt;"",$M664-$K664,TODAY()-$K664))</f>
        <v/>
      </c>
      <c r="R664" s="85">
        <f>IF(OR($L664="",$I664="Completed",$I664="Cancelled"),"",IF(AND($L664&lt;TODAY(),$I664&lt;&gt;"Completed",$I664&lt;&gt;"Cancelled"),"Overdue","On Track"))</f>
        <v/>
      </c>
      <c r="S664" s="65">
        <f>IF($L664="","",TEXT($L664,"yyyy-mm"))</f>
        <v/>
      </c>
      <c r="T664" s="86">
        <f>IF($I664="","",IFERROR(INDEX(Action_Status_Map!$C$5:$C$11,MATCH($I664,Action_Status_Map!$A$5:$A$11,0)),""))</f>
        <v/>
      </c>
      <c r="U664" s="81" t="n"/>
      <c r="V664" s="82" t="n"/>
      <c r="W664" s="65">
        <f>IF(OR($I664&lt;&gt;"Completed",$M664="",$L664=""),"",IF($M664&lt;=$L664,"Yes","No"))</f>
        <v/>
      </c>
      <c r="X664" s="84">
        <f>IF($A664="","",COUNTIF(Task_Steps!$B$5:$B$2004,$A664))</f>
        <v/>
      </c>
      <c r="Y664" s="86">
        <f>IF($X664=0,"",COUNTIFS(Task_Steps!$B$5:$B$2004,$A664,Task_Steps!$H$5:$H$2004,"Completed")/$X664)</f>
        <v/>
      </c>
      <c r="Z664" s="81" t="n"/>
      <c r="AA664" s="81" t="n"/>
      <c r="AB664" s="67">
        <f>IF($F664="","",IFERROR(INDEX(Employee_Master!$E$5:$E$204,MATCH($F664,Employee_Master!$B$5:$B$204,0)),""))</f>
        <v/>
      </c>
      <c r="AC664" s="65">
        <f>IF(OR($A664="",$AB664=""),"",IF(OR($I664="Completed",$I664="Cancelled"),"Closed - in Manager Report","Active - in Manager Report"))</f>
        <v/>
      </c>
      <c r="AD664" s="81">
        <f>IF($A664="","",IFERROR(TEXTJOIN(", ",TRUE,FILTER(Task_Steps!$A$5:$A$2004,Task_Steps!$B$5:$B$2004=$A664)),""))</f>
        <v/>
      </c>
      <c r="AE664" s="84">
        <f>IF($A664="","",COUNTIFS(Task_Steps!$B$5:$B$2004,$A664,Task_Steps!$H$5:$H$2004,"&lt;&gt;Completed",Task_Steps!$H$5:$H$2004,"&lt;&gt;Cancelled"))</f>
        <v/>
      </c>
      <c r="AF664" s="81">
        <f>IF(OR($B664="",$A664=""),"",$B664&amp;" | "&amp;$A664)</f>
        <v/>
      </c>
    </row>
    <row r="665" ht="15" customHeight="1" s="40">
      <c r="A665" s="65">
        <f>IF(COUNTA(B665:F665)=0,"","TSK-"&amp;TEXT(ROW()-4,"0000"))</f>
        <v/>
      </c>
      <c r="B665" s="78" t="n"/>
      <c r="C665" s="78" t="n"/>
      <c r="D665" s="81" t="n"/>
      <c r="E665" s="81" t="n"/>
      <c r="F665" s="78" t="n"/>
      <c r="G665" s="67">
        <f>IF($F665="","",IFERROR(INDEX(Employee_Master!$C$5:$C$204,MATCH($F665,Employee_Master!$B$5:$B$204,0)),""))</f>
        <v/>
      </c>
      <c r="H665" s="78" t="n"/>
      <c r="I665" s="78" t="n"/>
      <c r="J665" s="67">
        <f>IF($I665="","",IFERROR(INDEX(Action_Status_Map!$B$5:$B$11,MATCH($I665,Action_Status_Map!$A$5:$A$11,0)),""))</f>
        <v/>
      </c>
      <c r="K665" s="82" t="n"/>
      <c r="L665" s="82" t="n"/>
      <c r="M665" s="82" t="n"/>
      <c r="N665" s="83" t="n"/>
      <c r="O665" s="83" t="n"/>
      <c r="P665" s="66">
        <f>IF(OR($N665="",$O665=""),"",$O665-$N665)</f>
        <v/>
      </c>
      <c r="Q665" s="84">
        <f>IF($K665="","",IF($M665&lt;&gt;"",$M665-$K665,TODAY()-$K665))</f>
        <v/>
      </c>
      <c r="R665" s="85">
        <f>IF(OR($L665="",$I665="Completed",$I665="Cancelled"),"",IF(AND($L665&lt;TODAY(),$I665&lt;&gt;"Completed",$I665&lt;&gt;"Cancelled"),"Overdue","On Track"))</f>
        <v/>
      </c>
      <c r="S665" s="65">
        <f>IF($L665="","",TEXT($L665,"yyyy-mm"))</f>
        <v/>
      </c>
      <c r="T665" s="86">
        <f>IF($I665="","",IFERROR(INDEX(Action_Status_Map!$C$5:$C$11,MATCH($I665,Action_Status_Map!$A$5:$A$11,0)),""))</f>
        <v/>
      </c>
      <c r="U665" s="81" t="n"/>
      <c r="V665" s="82" t="n"/>
      <c r="W665" s="65">
        <f>IF(OR($I665&lt;&gt;"Completed",$M665="",$L665=""),"",IF($M665&lt;=$L665,"Yes","No"))</f>
        <v/>
      </c>
      <c r="X665" s="84">
        <f>IF($A665="","",COUNTIF(Task_Steps!$B$5:$B$2004,$A665))</f>
        <v/>
      </c>
      <c r="Y665" s="86">
        <f>IF($X665=0,"",COUNTIFS(Task_Steps!$B$5:$B$2004,$A665,Task_Steps!$H$5:$H$2004,"Completed")/$X665)</f>
        <v/>
      </c>
      <c r="Z665" s="81" t="n"/>
      <c r="AA665" s="81" t="n"/>
      <c r="AB665" s="67">
        <f>IF($F665="","",IFERROR(INDEX(Employee_Master!$E$5:$E$204,MATCH($F665,Employee_Master!$B$5:$B$204,0)),""))</f>
        <v/>
      </c>
      <c r="AC665" s="65">
        <f>IF(OR($A665="",$AB665=""),"",IF(OR($I665="Completed",$I665="Cancelled"),"Closed - in Manager Report","Active - in Manager Report"))</f>
        <v/>
      </c>
      <c r="AD665" s="81">
        <f>IF($A665="","",IFERROR(TEXTJOIN(", ",TRUE,FILTER(Task_Steps!$A$5:$A$2004,Task_Steps!$B$5:$B$2004=$A665)),""))</f>
        <v/>
      </c>
      <c r="AE665" s="84">
        <f>IF($A665="","",COUNTIFS(Task_Steps!$B$5:$B$2004,$A665,Task_Steps!$H$5:$H$2004,"&lt;&gt;Completed",Task_Steps!$H$5:$H$2004,"&lt;&gt;Cancelled"))</f>
        <v/>
      </c>
      <c r="AF665" s="81">
        <f>IF(OR($B665="",$A665=""),"",$B665&amp;" | "&amp;$A665)</f>
        <v/>
      </c>
    </row>
    <row r="666" ht="15" customHeight="1" s="40">
      <c r="A666" s="65">
        <f>IF(COUNTA(B666:F666)=0,"","TSK-"&amp;TEXT(ROW()-4,"0000"))</f>
        <v/>
      </c>
      <c r="B666" s="78" t="n"/>
      <c r="C666" s="78" t="n"/>
      <c r="D666" s="81" t="n"/>
      <c r="E666" s="81" t="n"/>
      <c r="F666" s="78" t="n"/>
      <c r="G666" s="67">
        <f>IF($F666="","",IFERROR(INDEX(Employee_Master!$C$5:$C$204,MATCH($F666,Employee_Master!$B$5:$B$204,0)),""))</f>
        <v/>
      </c>
      <c r="H666" s="78" t="n"/>
      <c r="I666" s="78" t="n"/>
      <c r="J666" s="67">
        <f>IF($I666="","",IFERROR(INDEX(Action_Status_Map!$B$5:$B$11,MATCH($I666,Action_Status_Map!$A$5:$A$11,0)),""))</f>
        <v/>
      </c>
      <c r="K666" s="82" t="n"/>
      <c r="L666" s="82" t="n"/>
      <c r="M666" s="82" t="n"/>
      <c r="N666" s="83" t="n"/>
      <c r="O666" s="83" t="n"/>
      <c r="P666" s="66">
        <f>IF(OR($N666="",$O666=""),"",$O666-$N666)</f>
        <v/>
      </c>
      <c r="Q666" s="84">
        <f>IF($K666="","",IF($M666&lt;&gt;"",$M666-$K666,TODAY()-$K666))</f>
        <v/>
      </c>
      <c r="R666" s="85">
        <f>IF(OR($L666="",$I666="Completed",$I666="Cancelled"),"",IF(AND($L666&lt;TODAY(),$I666&lt;&gt;"Completed",$I666&lt;&gt;"Cancelled"),"Overdue","On Track"))</f>
        <v/>
      </c>
      <c r="S666" s="65">
        <f>IF($L666="","",TEXT($L666,"yyyy-mm"))</f>
        <v/>
      </c>
      <c r="T666" s="86">
        <f>IF($I666="","",IFERROR(INDEX(Action_Status_Map!$C$5:$C$11,MATCH($I666,Action_Status_Map!$A$5:$A$11,0)),""))</f>
        <v/>
      </c>
      <c r="U666" s="81" t="n"/>
      <c r="V666" s="82" t="n"/>
      <c r="W666" s="65">
        <f>IF(OR($I666&lt;&gt;"Completed",$M666="",$L666=""),"",IF($M666&lt;=$L666,"Yes","No"))</f>
        <v/>
      </c>
      <c r="X666" s="84">
        <f>IF($A666="","",COUNTIF(Task_Steps!$B$5:$B$2004,$A666))</f>
        <v/>
      </c>
      <c r="Y666" s="86">
        <f>IF($X666=0,"",COUNTIFS(Task_Steps!$B$5:$B$2004,$A666,Task_Steps!$H$5:$H$2004,"Completed")/$X666)</f>
        <v/>
      </c>
      <c r="Z666" s="81" t="n"/>
      <c r="AA666" s="81" t="n"/>
      <c r="AB666" s="67">
        <f>IF($F666="","",IFERROR(INDEX(Employee_Master!$E$5:$E$204,MATCH($F666,Employee_Master!$B$5:$B$204,0)),""))</f>
        <v/>
      </c>
      <c r="AC666" s="65">
        <f>IF(OR($A666="",$AB666=""),"",IF(OR($I666="Completed",$I666="Cancelled"),"Closed - in Manager Report","Active - in Manager Report"))</f>
        <v/>
      </c>
      <c r="AD666" s="81">
        <f>IF($A666="","",IFERROR(TEXTJOIN(", ",TRUE,FILTER(Task_Steps!$A$5:$A$2004,Task_Steps!$B$5:$B$2004=$A666)),""))</f>
        <v/>
      </c>
      <c r="AE666" s="84">
        <f>IF($A666="","",COUNTIFS(Task_Steps!$B$5:$B$2004,$A666,Task_Steps!$H$5:$H$2004,"&lt;&gt;Completed",Task_Steps!$H$5:$H$2004,"&lt;&gt;Cancelled"))</f>
        <v/>
      </c>
      <c r="AF666" s="81">
        <f>IF(OR($B666="",$A666=""),"",$B666&amp;" | "&amp;$A666)</f>
        <v/>
      </c>
    </row>
    <row r="667" ht="15" customHeight="1" s="40">
      <c r="A667" s="65">
        <f>IF(COUNTA(B667:F667)=0,"","TSK-"&amp;TEXT(ROW()-4,"0000"))</f>
        <v/>
      </c>
      <c r="B667" s="78" t="n"/>
      <c r="C667" s="78" t="n"/>
      <c r="D667" s="81" t="n"/>
      <c r="E667" s="81" t="n"/>
      <c r="F667" s="78" t="n"/>
      <c r="G667" s="67">
        <f>IF($F667="","",IFERROR(INDEX(Employee_Master!$C$5:$C$204,MATCH($F667,Employee_Master!$B$5:$B$204,0)),""))</f>
        <v/>
      </c>
      <c r="H667" s="78" t="n"/>
      <c r="I667" s="78" t="n"/>
      <c r="J667" s="67">
        <f>IF($I667="","",IFERROR(INDEX(Action_Status_Map!$B$5:$B$11,MATCH($I667,Action_Status_Map!$A$5:$A$11,0)),""))</f>
        <v/>
      </c>
      <c r="K667" s="82" t="n"/>
      <c r="L667" s="82" t="n"/>
      <c r="M667" s="82" t="n"/>
      <c r="N667" s="83" t="n"/>
      <c r="O667" s="83" t="n"/>
      <c r="P667" s="66">
        <f>IF(OR($N667="",$O667=""),"",$O667-$N667)</f>
        <v/>
      </c>
      <c r="Q667" s="84">
        <f>IF($K667="","",IF($M667&lt;&gt;"",$M667-$K667,TODAY()-$K667))</f>
        <v/>
      </c>
      <c r="R667" s="85">
        <f>IF(OR($L667="",$I667="Completed",$I667="Cancelled"),"",IF(AND($L667&lt;TODAY(),$I667&lt;&gt;"Completed",$I667&lt;&gt;"Cancelled"),"Overdue","On Track"))</f>
        <v/>
      </c>
      <c r="S667" s="65">
        <f>IF($L667="","",TEXT($L667,"yyyy-mm"))</f>
        <v/>
      </c>
      <c r="T667" s="86">
        <f>IF($I667="","",IFERROR(INDEX(Action_Status_Map!$C$5:$C$11,MATCH($I667,Action_Status_Map!$A$5:$A$11,0)),""))</f>
        <v/>
      </c>
      <c r="U667" s="81" t="n"/>
      <c r="V667" s="82" t="n"/>
      <c r="W667" s="65">
        <f>IF(OR($I667&lt;&gt;"Completed",$M667="",$L667=""),"",IF($M667&lt;=$L667,"Yes","No"))</f>
        <v/>
      </c>
      <c r="X667" s="84">
        <f>IF($A667="","",COUNTIF(Task_Steps!$B$5:$B$2004,$A667))</f>
        <v/>
      </c>
      <c r="Y667" s="86">
        <f>IF($X667=0,"",COUNTIFS(Task_Steps!$B$5:$B$2004,$A667,Task_Steps!$H$5:$H$2004,"Completed")/$X667)</f>
        <v/>
      </c>
      <c r="Z667" s="81" t="n"/>
      <c r="AA667" s="81" t="n"/>
      <c r="AB667" s="67">
        <f>IF($F667="","",IFERROR(INDEX(Employee_Master!$E$5:$E$204,MATCH($F667,Employee_Master!$B$5:$B$204,0)),""))</f>
        <v/>
      </c>
      <c r="AC667" s="65">
        <f>IF(OR($A667="",$AB667=""),"",IF(OR($I667="Completed",$I667="Cancelled"),"Closed - in Manager Report","Active - in Manager Report"))</f>
        <v/>
      </c>
      <c r="AD667" s="81">
        <f>IF($A667="","",IFERROR(TEXTJOIN(", ",TRUE,FILTER(Task_Steps!$A$5:$A$2004,Task_Steps!$B$5:$B$2004=$A667)),""))</f>
        <v/>
      </c>
      <c r="AE667" s="84">
        <f>IF($A667="","",COUNTIFS(Task_Steps!$B$5:$B$2004,$A667,Task_Steps!$H$5:$H$2004,"&lt;&gt;Completed",Task_Steps!$H$5:$H$2004,"&lt;&gt;Cancelled"))</f>
        <v/>
      </c>
      <c r="AF667" s="81">
        <f>IF(OR($B667="",$A667=""),"",$B667&amp;" | "&amp;$A667)</f>
        <v/>
      </c>
    </row>
    <row r="668" ht="15" customHeight="1" s="40">
      <c r="A668" s="65">
        <f>IF(COUNTA(B668:F668)=0,"","TSK-"&amp;TEXT(ROW()-4,"0000"))</f>
        <v/>
      </c>
      <c r="B668" s="78" t="n"/>
      <c r="C668" s="78" t="n"/>
      <c r="D668" s="81" t="n"/>
      <c r="E668" s="81" t="n"/>
      <c r="F668" s="78" t="n"/>
      <c r="G668" s="67">
        <f>IF($F668="","",IFERROR(INDEX(Employee_Master!$C$5:$C$204,MATCH($F668,Employee_Master!$B$5:$B$204,0)),""))</f>
        <v/>
      </c>
      <c r="H668" s="78" t="n"/>
      <c r="I668" s="78" t="n"/>
      <c r="J668" s="67">
        <f>IF($I668="","",IFERROR(INDEX(Action_Status_Map!$B$5:$B$11,MATCH($I668,Action_Status_Map!$A$5:$A$11,0)),""))</f>
        <v/>
      </c>
      <c r="K668" s="82" t="n"/>
      <c r="L668" s="82" t="n"/>
      <c r="M668" s="82" t="n"/>
      <c r="N668" s="83" t="n"/>
      <c r="O668" s="83" t="n"/>
      <c r="P668" s="66">
        <f>IF(OR($N668="",$O668=""),"",$O668-$N668)</f>
        <v/>
      </c>
      <c r="Q668" s="84">
        <f>IF($K668="","",IF($M668&lt;&gt;"",$M668-$K668,TODAY()-$K668))</f>
        <v/>
      </c>
      <c r="R668" s="85">
        <f>IF(OR($L668="",$I668="Completed",$I668="Cancelled"),"",IF(AND($L668&lt;TODAY(),$I668&lt;&gt;"Completed",$I668&lt;&gt;"Cancelled"),"Overdue","On Track"))</f>
        <v/>
      </c>
      <c r="S668" s="65">
        <f>IF($L668="","",TEXT($L668,"yyyy-mm"))</f>
        <v/>
      </c>
      <c r="T668" s="86">
        <f>IF($I668="","",IFERROR(INDEX(Action_Status_Map!$C$5:$C$11,MATCH($I668,Action_Status_Map!$A$5:$A$11,0)),""))</f>
        <v/>
      </c>
      <c r="U668" s="81" t="n"/>
      <c r="V668" s="82" t="n"/>
      <c r="W668" s="65">
        <f>IF(OR($I668&lt;&gt;"Completed",$M668="",$L668=""),"",IF($M668&lt;=$L668,"Yes","No"))</f>
        <v/>
      </c>
      <c r="X668" s="84">
        <f>IF($A668="","",COUNTIF(Task_Steps!$B$5:$B$2004,$A668))</f>
        <v/>
      </c>
      <c r="Y668" s="86">
        <f>IF($X668=0,"",COUNTIFS(Task_Steps!$B$5:$B$2004,$A668,Task_Steps!$H$5:$H$2004,"Completed")/$X668)</f>
        <v/>
      </c>
      <c r="Z668" s="81" t="n"/>
      <c r="AA668" s="81" t="n"/>
      <c r="AB668" s="67">
        <f>IF($F668="","",IFERROR(INDEX(Employee_Master!$E$5:$E$204,MATCH($F668,Employee_Master!$B$5:$B$204,0)),""))</f>
        <v/>
      </c>
      <c r="AC668" s="65">
        <f>IF(OR($A668="",$AB668=""),"",IF(OR($I668="Completed",$I668="Cancelled"),"Closed - in Manager Report","Active - in Manager Report"))</f>
        <v/>
      </c>
      <c r="AD668" s="81">
        <f>IF($A668="","",IFERROR(TEXTJOIN(", ",TRUE,FILTER(Task_Steps!$A$5:$A$2004,Task_Steps!$B$5:$B$2004=$A668)),""))</f>
        <v/>
      </c>
      <c r="AE668" s="84">
        <f>IF($A668="","",COUNTIFS(Task_Steps!$B$5:$B$2004,$A668,Task_Steps!$H$5:$H$2004,"&lt;&gt;Completed",Task_Steps!$H$5:$H$2004,"&lt;&gt;Cancelled"))</f>
        <v/>
      </c>
      <c r="AF668" s="81">
        <f>IF(OR($B668="",$A668=""),"",$B668&amp;" | "&amp;$A668)</f>
        <v/>
      </c>
    </row>
    <row r="669" ht="15" customHeight="1" s="40">
      <c r="A669" s="65">
        <f>IF(COUNTA(B669:F669)=0,"","TSK-"&amp;TEXT(ROW()-4,"0000"))</f>
        <v/>
      </c>
      <c r="B669" s="78" t="n"/>
      <c r="C669" s="78" t="n"/>
      <c r="D669" s="81" t="n"/>
      <c r="E669" s="81" t="n"/>
      <c r="F669" s="78" t="n"/>
      <c r="G669" s="67">
        <f>IF($F669="","",IFERROR(INDEX(Employee_Master!$C$5:$C$204,MATCH($F669,Employee_Master!$B$5:$B$204,0)),""))</f>
        <v/>
      </c>
      <c r="H669" s="78" t="n"/>
      <c r="I669" s="78" t="n"/>
      <c r="J669" s="67">
        <f>IF($I669="","",IFERROR(INDEX(Action_Status_Map!$B$5:$B$11,MATCH($I669,Action_Status_Map!$A$5:$A$11,0)),""))</f>
        <v/>
      </c>
      <c r="K669" s="82" t="n"/>
      <c r="L669" s="82" t="n"/>
      <c r="M669" s="82" t="n"/>
      <c r="N669" s="83" t="n"/>
      <c r="O669" s="83" t="n"/>
      <c r="P669" s="66">
        <f>IF(OR($N669="",$O669=""),"",$O669-$N669)</f>
        <v/>
      </c>
      <c r="Q669" s="84">
        <f>IF($K669="","",IF($M669&lt;&gt;"",$M669-$K669,TODAY()-$K669))</f>
        <v/>
      </c>
      <c r="R669" s="85">
        <f>IF(OR($L669="",$I669="Completed",$I669="Cancelled"),"",IF(AND($L669&lt;TODAY(),$I669&lt;&gt;"Completed",$I669&lt;&gt;"Cancelled"),"Overdue","On Track"))</f>
        <v/>
      </c>
      <c r="S669" s="65">
        <f>IF($L669="","",TEXT($L669,"yyyy-mm"))</f>
        <v/>
      </c>
      <c r="T669" s="86">
        <f>IF($I669="","",IFERROR(INDEX(Action_Status_Map!$C$5:$C$11,MATCH($I669,Action_Status_Map!$A$5:$A$11,0)),""))</f>
        <v/>
      </c>
      <c r="U669" s="81" t="n"/>
      <c r="V669" s="82" t="n"/>
      <c r="W669" s="65">
        <f>IF(OR($I669&lt;&gt;"Completed",$M669="",$L669=""),"",IF($M669&lt;=$L669,"Yes","No"))</f>
        <v/>
      </c>
      <c r="X669" s="84">
        <f>IF($A669="","",COUNTIF(Task_Steps!$B$5:$B$2004,$A669))</f>
        <v/>
      </c>
      <c r="Y669" s="86">
        <f>IF($X669=0,"",COUNTIFS(Task_Steps!$B$5:$B$2004,$A669,Task_Steps!$H$5:$H$2004,"Completed")/$X669)</f>
        <v/>
      </c>
      <c r="Z669" s="81" t="n"/>
      <c r="AA669" s="81" t="n"/>
      <c r="AB669" s="67">
        <f>IF($F669="","",IFERROR(INDEX(Employee_Master!$E$5:$E$204,MATCH($F669,Employee_Master!$B$5:$B$204,0)),""))</f>
        <v/>
      </c>
      <c r="AC669" s="65">
        <f>IF(OR($A669="",$AB669=""),"",IF(OR($I669="Completed",$I669="Cancelled"),"Closed - in Manager Report","Active - in Manager Report"))</f>
        <v/>
      </c>
      <c r="AD669" s="81">
        <f>IF($A669="","",IFERROR(TEXTJOIN(", ",TRUE,FILTER(Task_Steps!$A$5:$A$2004,Task_Steps!$B$5:$B$2004=$A669)),""))</f>
        <v/>
      </c>
      <c r="AE669" s="84">
        <f>IF($A669="","",COUNTIFS(Task_Steps!$B$5:$B$2004,$A669,Task_Steps!$H$5:$H$2004,"&lt;&gt;Completed",Task_Steps!$H$5:$H$2004,"&lt;&gt;Cancelled"))</f>
        <v/>
      </c>
      <c r="AF669" s="81">
        <f>IF(OR($B669="",$A669=""),"",$B669&amp;" | "&amp;$A669)</f>
        <v/>
      </c>
    </row>
    <row r="670" ht="15" customHeight="1" s="40">
      <c r="A670" s="65">
        <f>IF(COUNTA(B670:F670)=0,"","TSK-"&amp;TEXT(ROW()-4,"0000"))</f>
        <v/>
      </c>
      <c r="B670" s="78" t="n"/>
      <c r="C670" s="78" t="n"/>
      <c r="D670" s="81" t="n"/>
      <c r="E670" s="81" t="n"/>
      <c r="F670" s="78" t="n"/>
      <c r="G670" s="67">
        <f>IF($F670="","",IFERROR(INDEX(Employee_Master!$C$5:$C$204,MATCH($F670,Employee_Master!$B$5:$B$204,0)),""))</f>
        <v/>
      </c>
      <c r="H670" s="78" t="n"/>
      <c r="I670" s="78" t="n"/>
      <c r="J670" s="67">
        <f>IF($I670="","",IFERROR(INDEX(Action_Status_Map!$B$5:$B$11,MATCH($I670,Action_Status_Map!$A$5:$A$11,0)),""))</f>
        <v/>
      </c>
      <c r="K670" s="82" t="n"/>
      <c r="L670" s="82" t="n"/>
      <c r="M670" s="82" t="n"/>
      <c r="N670" s="83" t="n"/>
      <c r="O670" s="83" t="n"/>
      <c r="P670" s="66">
        <f>IF(OR($N670="",$O670=""),"",$O670-$N670)</f>
        <v/>
      </c>
      <c r="Q670" s="84">
        <f>IF($K670="","",IF($M670&lt;&gt;"",$M670-$K670,TODAY()-$K670))</f>
        <v/>
      </c>
      <c r="R670" s="85">
        <f>IF(OR($L670="",$I670="Completed",$I670="Cancelled"),"",IF(AND($L670&lt;TODAY(),$I670&lt;&gt;"Completed",$I670&lt;&gt;"Cancelled"),"Overdue","On Track"))</f>
        <v/>
      </c>
      <c r="S670" s="65">
        <f>IF($L670="","",TEXT($L670,"yyyy-mm"))</f>
        <v/>
      </c>
      <c r="T670" s="86">
        <f>IF($I670="","",IFERROR(INDEX(Action_Status_Map!$C$5:$C$11,MATCH($I670,Action_Status_Map!$A$5:$A$11,0)),""))</f>
        <v/>
      </c>
      <c r="U670" s="81" t="n"/>
      <c r="V670" s="82" t="n"/>
      <c r="W670" s="65">
        <f>IF(OR($I670&lt;&gt;"Completed",$M670="",$L670=""),"",IF($M670&lt;=$L670,"Yes","No"))</f>
        <v/>
      </c>
      <c r="X670" s="84">
        <f>IF($A670="","",COUNTIF(Task_Steps!$B$5:$B$2004,$A670))</f>
        <v/>
      </c>
      <c r="Y670" s="86">
        <f>IF($X670=0,"",COUNTIFS(Task_Steps!$B$5:$B$2004,$A670,Task_Steps!$H$5:$H$2004,"Completed")/$X670)</f>
        <v/>
      </c>
      <c r="Z670" s="81" t="n"/>
      <c r="AA670" s="81" t="n"/>
      <c r="AB670" s="67">
        <f>IF($F670="","",IFERROR(INDEX(Employee_Master!$E$5:$E$204,MATCH($F670,Employee_Master!$B$5:$B$204,0)),""))</f>
        <v/>
      </c>
      <c r="AC670" s="65">
        <f>IF(OR($A670="",$AB670=""),"",IF(OR($I670="Completed",$I670="Cancelled"),"Closed - in Manager Report","Active - in Manager Report"))</f>
        <v/>
      </c>
      <c r="AD670" s="81">
        <f>IF($A670="","",IFERROR(TEXTJOIN(", ",TRUE,FILTER(Task_Steps!$A$5:$A$2004,Task_Steps!$B$5:$B$2004=$A670)),""))</f>
        <v/>
      </c>
      <c r="AE670" s="84">
        <f>IF($A670="","",COUNTIFS(Task_Steps!$B$5:$B$2004,$A670,Task_Steps!$H$5:$H$2004,"&lt;&gt;Completed",Task_Steps!$H$5:$H$2004,"&lt;&gt;Cancelled"))</f>
        <v/>
      </c>
      <c r="AF670" s="81">
        <f>IF(OR($B670="",$A670=""),"",$B670&amp;" | "&amp;$A670)</f>
        <v/>
      </c>
    </row>
    <row r="671" ht="15" customHeight="1" s="40">
      <c r="A671" s="65">
        <f>IF(COUNTA(B671:F671)=0,"","TSK-"&amp;TEXT(ROW()-4,"0000"))</f>
        <v/>
      </c>
      <c r="B671" s="78" t="n"/>
      <c r="C671" s="78" t="n"/>
      <c r="D671" s="81" t="n"/>
      <c r="E671" s="81" t="n"/>
      <c r="F671" s="78" t="n"/>
      <c r="G671" s="67">
        <f>IF($F671="","",IFERROR(INDEX(Employee_Master!$C$5:$C$204,MATCH($F671,Employee_Master!$B$5:$B$204,0)),""))</f>
        <v/>
      </c>
      <c r="H671" s="78" t="n"/>
      <c r="I671" s="78" t="n"/>
      <c r="J671" s="67">
        <f>IF($I671="","",IFERROR(INDEX(Action_Status_Map!$B$5:$B$11,MATCH($I671,Action_Status_Map!$A$5:$A$11,0)),""))</f>
        <v/>
      </c>
      <c r="K671" s="82" t="n"/>
      <c r="L671" s="82" t="n"/>
      <c r="M671" s="82" t="n"/>
      <c r="N671" s="83" t="n"/>
      <c r="O671" s="83" t="n"/>
      <c r="P671" s="66">
        <f>IF(OR($N671="",$O671=""),"",$O671-$N671)</f>
        <v/>
      </c>
      <c r="Q671" s="84">
        <f>IF($K671="","",IF($M671&lt;&gt;"",$M671-$K671,TODAY()-$K671))</f>
        <v/>
      </c>
      <c r="R671" s="85">
        <f>IF(OR($L671="",$I671="Completed",$I671="Cancelled"),"",IF(AND($L671&lt;TODAY(),$I671&lt;&gt;"Completed",$I671&lt;&gt;"Cancelled"),"Overdue","On Track"))</f>
        <v/>
      </c>
      <c r="S671" s="65">
        <f>IF($L671="","",TEXT($L671,"yyyy-mm"))</f>
        <v/>
      </c>
      <c r="T671" s="86">
        <f>IF($I671="","",IFERROR(INDEX(Action_Status_Map!$C$5:$C$11,MATCH($I671,Action_Status_Map!$A$5:$A$11,0)),""))</f>
        <v/>
      </c>
      <c r="U671" s="81" t="n"/>
      <c r="V671" s="82" t="n"/>
      <c r="W671" s="65">
        <f>IF(OR($I671&lt;&gt;"Completed",$M671="",$L671=""),"",IF($M671&lt;=$L671,"Yes","No"))</f>
        <v/>
      </c>
      <c r="X671" s="84">
        <f>IF($A671="","",COUNTIF(Task_Steps!$B$5:$B$2004,$A671))</f>
        <v/>
      </c>
      <c r="Y671" s="86">
        <f>IF($X671=0,"",COUNTIFS(Task_Steps!$B$5:$B$2004,$A671,Task_Steps!$H$5:$H$2004,"Completed")/$X671)</f>
        <v/>
      </c>
      <c r="Z671" s="81" t="n"/>
      <c r="AA671" s="81" t="n"/>
      <c r="AB671" s="67">
        <f>IF($F671="","",IFERROR(INDEX(Employee_Master!$E$5:$E$204,MATCH($F671,Employee_Master!$B$5:$B$204,0)),""))</f>
        <v/>
      </c>
      <c r="AC671" s="65">
        <f>IF(OR($A671="",$AB671=""),"",IF(OR($I671="Completed",$I671="Cancelled"),"Closed - in Manager Report","Active - in Manager Report"))</f>
        <v/>
      </c>
      <c r="AD671" s="81">
        <f>IF($A671="","",IFERROR(TEXTJOIN(", ",TRUE,FILTER(Task_Steps!$A$5:$A$2004,Task_Steps!$B$5:$B$2004=$A671)),""))</f>
        <v/>
      </c>
      <c r="AE671" s="84">
        <f>IF($A671="","",COUNTIFS(Task_Steps!$B$5:$B$2004,$A671,Task_Steps!$H$5:$H$2004,"&lt;&gt;Completed",Task_Steps!$H$5:$H$2004,"&lt;&gt;Cancelled"))</f>
        <v/>
      </c>
      <c r="AF671" s="81">
        <f>IF(OR($B671="",$A671=""),"",$B671&amp;" | "&amp;$A671)</f>
        <v/>
      </c>
    </row>
    <row r="672" ht="15" customHeight="1" s="40">
      <c r="A672" s="65">
        <f>IF(COUNTA(B672:F672)=0,"","TSK-"&amp;TEXT(ROW()-4,"0000"))</f>
        <v/>
      </c>
      <c r="B672" s="78" t="n"/>
      <c r="C672" s="78" t="n"/>
      <c r="D672" s="81" t="n"/>
      <c r="E672" s="81" t="n"/>
      <c r="F672" s="78" t="n"/>
      <c r="G672" s="67">
        <f>IF($F672="","",IFERROR(INDEX(Employee_Master!$C$5:$C$204,MATCH($F672,Employee_Master!$B$5:$B$204,0)),""))</f>
        <v/>
      </c>
      <c r="H672" s="78" t="n"/>
      <c r="I672" s="78" t="n"/>
      <c r="J672" s="67">
        <f>IF($I672="","",IFERROR(INDEX(Action_Status_Map!$B$5:$B$11,MATCH($I672,Action_Status_Map!$A$5:$A$11,0)),""))</f>
        <v/>
      </c>
      <c r="K672" s="82" t="n"/>
      <c r="L672" s="82" t="n"/>
      <c r="M672" s="82" t="n"/>
      <c r="N672" s="83" t="n"/>
      <c r="O672" s="83" t="n"/>
      <c r="P672" s="66">
        <f>IF(OR($N672="",$O672=""),"",$O672-$N672)</f>
        <v/>
      </c>
      <c r="Q672" s="84">
        <f>IF($K672="","",IF($M672&lt;&gt;"",$M672-$K672,TODAY()-$K672))</f>
        <v/>
      </c>
      <c r="R672" s="85">
        <f>IF(OR($L672="",$I672="Completed",$I672="Cancelled"),"",IF(AND($L672&lt;TODAY(),$I672&lt;&gt;"Completed",$I672&lt;&gt;"Cancelled"),"Overdue","On Track"))</f>
        <v/>
      </c>
      <c r="S672" s="65">
        <f>IF($L672="","",TEXT($L672,"yyyy-mm"))</f>
        <v/>
      </c>
      <c r="T672" s="86">
        <f>IF($I672="","",IFERROR(INDEX(Action_Status_Map!$C$5:$C$11,MATCH($I672,Action_Status_Map!$A$5:$A$11,0)),""))</f>
        <v/>
      </c>
      <c r="U672" s="81" t="n"/>
      <c r="V672" s="82" t="n"/>
      <c r="W672" s="65">
        <f>IF(OR($I672&lt;&gt;"Completed",$M672="",$L672=""),"",IF($M672&lt;=$L672,"Yes","No"))</f>
        <v/>
      </c>
      <c r="X672" s="84">
        <f>IF($A672="","",COUNTIF(Task_Steps!$B$5:$B$2004,$A672))</f>
        <v/>
      </c>
      <c r="Y672" s="86">
        <f>IF($X672=0,"",COUNTIFS(Task_Steps!$B$5:$B$2004,$A672,Task_Steps!$H$5:$H$2004,"Completed")/$X672)</f>
        <v/>
      </c>
      <c r="Z672" s="81" t="n"/>
      <c r="AA672" s="81" t="n"/>
      <c r="AB672" s="67">
        <f>IF($F672="","",IFERROR(INDEX(Employee_Master!$E$5:$E$204,MATCH($F672,Employee_Master!$B$5:$B$204,0)),""))</f>
        <v/>
      </c>
      <c r="AC672" s="65">
        <f>IF(OR($A672="",$AB672=""),"",IF(OR($I672="Completed",$I672="Cancelled"),"Closed - in Manager Report","Active - in Manager Report"))</f>
        <v/>
      </c>
      <c r="AD672" s="81">
        <f>IF($A672="","",IFERROR(TEXTJOIN(", ",TRUE,FILTER(Task_Steps!$A$5:$A$2004,Task_Steps!$B$5:$B$2004=$A672)),""))</f>
        <v/>
      </c>
      <c r="AE672" s="84">
        <f>IF($A672="","",COUNTIFS(Task_Steps!$B$5:$B$2004,$A672,Task_Steps!$H$5:$H$2004,"&lt;&gt;Completed",Task_Steps!$H$5:$H$2004,"&lt;&gt;Cancelled"))</f>
        <v/>
      </c>
      <c r="AF672" s="81">
        <f>IF(OR($B672="",$A672=""),"",$B672&amp;" | "&amp;$A672)</f>
        <v/>
      </c>
    </row>
    <row r="673" ht="15" customHeight="1" s="40">
      <c r="A673" s="65">
        <f>IF(COUNTA(B673:F673)=0,"","TSK-"&amp;TEXT(ROW()-4,"0000"))</f>
        <v/>
      </c>
      <c r="B673" s="78" t="n"/>
      <c r="C673" s="78" t="n"/>
      <c r="D673" s="81" t="n"/>
      <c r="E673" s="81" t="n"/>
      <c r="F673" s="78" t="n"/>
      <c r="G673" s="67">
        <f>IF($F673="","",IFERROR(INDEX(Employee_Master!$C$5:$C$204,MATCH($F673,Employee_Master!$B$5:$B$204,0)),""))</f>
        <v/>
      </c>
      <c r="H673" s="78" t="n"/>
      <c r="I673" s="78" t="n"/>
      <c r="J673" s="67">
        <f>IF($I673="","",IFERROR(INDEX(Action_Status_Map!$B$5:$B$11,MATCH($I673,Action_Status_Map!$A$5:$A$11,0)),""))</f>
        <v/>
      </c>
      <c r="K673" s="82" t="n"/>
      <c r="L673" s="82" t="n"/>
      <c r="M673" s="82" t="n"/>
      <c r="N673" s="83" t="n"/>
      <c r="O673" s="83" t="n"/>
      <c r="P673" s="66">
        <f>IF(OR($N673="",$O673=""),"",$O673-$N673)</f>
        <v/>
      </c>
      <c r="Q673" s="84">
        <f>IF($K673="","",IF($M673&lt;&gt;"",$M673-$K673,TODAY()-$K673))</f>
        <v/>
      </c>
      <c r="R673" s="85">
        <f>IF(OR($L673="",$I673="Completed",$I673="Cancelled"),"",IF(AND($L673&lt;TODAY(),$I673&lt;&gt;"Completed",$I673&lt;&gt;"Cancelled"),"Overdue","On Track"))</f>
        <v/>
      </c>
      <c r="S673" s="65">
        <f>IF($L673="","",TEXT($L673,"yyyy-mm"))</f>
        <v/>
      </c>
      <c r="T673" s="86">
        <f>IF($I673="","",IFERROR(INDEX(Action_Status_Map!$C$5:$C$11,MATCH($I673,Action_Status_Map!$A$5:$A$11,0)),""))</f>
        <v/>
      </c>
      <c r="U673" s="81" t="n"/>
      <c r="V673" s="82" t="n"/>
      <c r="W673" s="65">
        <f>IF(OR($I673&lt;&gt;"Completed",$M673="",$L673=""),"",IF($M673&lt;=$L673,"Yes","No"))</f>
        <v/>
      </c>
      <c r="X673" s="84">
        <f>IF($A673="","",COUNTIF(Task_Steps!$B$5:$B$2004,$A673))</f>
        <v/>
      </c>
      <c r="Y673" s="86">
        <f>IF($X673=0,"",COUNTIFS(Task_Steps!$B$5:$B$2004,$A673,Task_Steps!$H$5:$H$2004,"Completed")/$X673)</f>
        <v/>
      </c>
      <c r="Z673" s="81" t="n"/>
      <c r="AA673" s="81" t="n"/>
      <c r="AB673" s="67">
        <f>IF($F673="","",IFERROR(INDEX(Employee_Master!$E$5:$E$204,MATCH($F673,Employee_Master!$B$5:$B$204,0)),""))</f>
        <v/>
      </c>
      <c r="AC673" s="65">
        <f>IF(OR($A673="",$AB673=""),"",IF(OR($I673="Completed",$I673="Cancelled"),"Closed - in Manager Report","Active - in Manager Report"))</f>
        <v/>
      </c>
      <c r="AD673" s="81">
        <f>IF($A673="","",IFERROR(TEXTJOIN(", ",TRUE,FILTER(Task_Steps!$A$5:$A$2004,Task_Steps!$B$5:$B$2004=$A673)),""))</f>
        <v/>
      </c>
      <c r="AE673" s="84">
        <f>IF($A673="","",COUNTIFS(Task_Steps!$B$5:$B$2004,$A673,Task_Steps!$H$5:$H$2004,"&lt;&gt;Completed",Task_Steps!$H$5:$H$2004,"&lt;&gt;Cancelled"))</f>
        <v/>
      </c>
      <c r="AF673" s="81">
        <f>IF(OR($B673="",$A673=""),"",$B673&amp;" | "&amp;$A673)</f>
        <v/>
      </c>
    </row>
    <row r="674" ht="15" customHeight="1" s="40">
      <c r="A674" s="65">
        <f>IF(COUNTA(B674:F674)=0,"","TSK-"&amp;TEXT(ROW()-4,"0000"))</f>
        <v/>
      </c>
      <c r="B674" s="78" t="n"/>
      <c r="C674" s="78" t="n"/>
      <c r="D674" s="81" t="n"/>
      <c r="E674" s="81" t="n"/>
      <c r="F674" s="78" t="n"/>
      <c r="G674" s="67">
        <f>IF($F674="","",IFERROR(INDEX(Employee_Master!$C$5:$C$204,MATCH($F674,Employee_Master!$B$5:$B$204,0)),""))</f>
        <v/>
      </c>
      <c r="H674" s="78" t="n"/>
      <c r="I674" s="78" t="n"/>
      <c r="J674" s="67">
        <f>IF($I674="","",IFERROR(INDEX(Action_Status_Map!$B$5:$B$11,MATCH($I674,Action_Status_Map!$A$5:$A$11,0)),""))</f>
        <v/>
      </c>
      <c r="K674" s="82" t="n"/>
      <c r="L674" s="82" t="n"/>
      <c r="M674" s="82" t="n"/>
      <c r="N674" s="83" t="n"/>
      <c r="O674" s="83" t="n"/>
      <c r="P674" s="66">
        <f>IF(OR($N674="",$O674=""),"",$O674-$N674)</f>
        <v/>
      </c>
      <c r="Q674" s="84">
        <f>IF($K674="","",IF($M674&lt;&gt;"",$M674-$K674,TODAY()-$K674))</f>
        <v/>
      </c>
      <c r="R674" s="85">
        <f>IF(OR($L674="",$I674="Completed",$I674="Cancelled"),"",IF(AND($L674&lt;TODAY(),$I674&lt;&gt;"Completed",$I674&lt;&gt;"Cancelled"),"Overdue","On Track"))</f>
        <v/>
      </c>
      <c r="S674" s="65">
        <f>IF($L674="","",TEXT($L674,"yyyy-mm"))</f>
        <v/>
      </c>
      <c r="T674" s="86">
        <f>IF($I674="","",IFERROR(INDEX(Action_Status_Map!$C$5:$C$11,MATCH($I674,Action_Status_Map!$A$5:$A$11,0)),""))</f>
        <v/>
      </c>
      <c r="U674" s="81" t="n"/>
      <c r="V674" s="82" t="n"/>
      <c r="W674" s="65">
        <f>IF(OR($I674&lt;&gt;"Completed",$M674="",$L674=""),"",IF($M674&lt;=$L674,"Yes","No"))</f>
        <v/>
      </c>
      <c r="X674" s="84">
        <f>IF($A674="","",COUNTIF(Task_Steps!$B$5:$B$2004,$A674))</f>
        <v/>
      </c>
      <c r="Y674" s="86">
        <f>IF($X674=0,"",COUNTIFS(Task_Steps!$B$5:$B$2004,$A674,Task_Steps!$H$5:$H$2004,"Completed")/$X674)</f>
        <v/>
      </c>
      <c r="Z674" s="81" t="n"/>
      <c r="AA674" s="81" t="n"/>
      <c r="AB674" s="67">
        <f>IF($F674="","",IFERROR(INDEX(Employee_Master!$E$5:$E$204,MATCH($F674,Employee_Master!$B$5:$B$204,0)),""))</f>
        <v/>
      </c>
      <c r="AC674" s="65">
        <f>IF(OR($A674="",$AB674=""),"",IF(OR($I674="Completed",$I674="Cancelled"),"Closed - in Manager Report","Active - in Manager Report"))</f>
        <v/>
      </c>
      <c r="AD674" s="81">
        <f>IF($A674="","",IFERROR(TEXTJOIN(", ",TRUE,FILTER(Task_Steps!$A$5:$A$2004,Task_Steps!$B$5:$B$2004=$A674)),""))</f>
        <v/>
      </c>
      <c r="AE674" s="84">
        <f>IF($A674="","",COUNTIFS(Task_Steps!$B$5:$B$2004,$A674,Task_Steps!$H$5:$H$2004,"&lt;&gt;Completed",Task_Steps!$H$5:$H$2004,"&lt;&gt;Cancelled"))</f>
        <v/>
      </c>
      <c r="AF674" s="81">
        <f>IF(OR($B674="",$A674=""),"",$B674&amp;" | "&amp;$A674)</f>
        <v/>
      </c>
    </row>
    <row r="675" ht="15" customHeight="1" s="40">
      <c r="A675" s="65">
        <f>IF(COUNTA(B675:F675)=0,"","TSK-"&amp;TEXT(ROW()-4,"0000"))</f>
        <v/>
      </c>
      <c r="B675" s="78" t="n"/>
      <c r="C675" s="78" t="n"/>
      <c r="D675" s="81" t="n"/>
      <c r="E675" s="81" t="n"/>
      <c r="F675" s="78" t="n"/>
      <c r="G675" s="67">
        <f>IF($F675="","",IFERROR(INDEX(Employee_Master!$C$5:$C$204,MATCH($F675,Employee_Master!$B$5:$B$204,0)),""))</f>
        <v/>
      </c>
      <c r="H675" s="78" t="n"/>
      <c r="I675" s="78" t="n"/>
      <c r="J675" s="67">
        <f>IF($I675="","",IFERROR(INDEX(Action_Status_Map!$B$5:$B$11,MATCH($I675,Action_Status_Map!$A$5:$A$11,0)),""))</f>
        <v/>
      </c>
      <c r="K675" s="82" t="n"/>
      <c r="L675" s="82" t="n"/>
      <c r="M675" s="82" t="n"/>
      <c r="N675" s="83" t="n"/>
      <c r="O675" s="83" t="n"/>
      <c r="P675" s="66">
        <f>IF(OR($N675="",$O675=""),"",$O675-$N675)</f>
        <v/>
      </c>
      <c r="Q675" s="84">
        <f>IF($K675="","",IF($M675&lt;&gt;"",$M675-$K675,TODAY()-$K675))</f>
        <v/>
      </c>
      <c r="R675" s="85">
        <f>IF(OR($L675="",$I675="Completed",$I675="Cancelled"),"",IF(AND($L675&lt;TODAY(),$I675&lt;&gt;"Completed",$I675&lt;&gt;"Cancelled"),"Overdue","On Track"))</f>
        <v/>
      </c>
      <c r="S675" s="65">
        <f>IF($L675="","",TEXT($L675,"yyyy-mm"))</f>
        <v/>
      </c>
      <c r="T675" s="86">
        <f>IF($I675="","",IFERROR(INDEX(Action_Status_Map!$C$5:$C$11,MATCH($I675,Action_Status_Map!$A$5:$A$11,0)),""))</f>
        <v/>
      </c>
      <c r="U675" s="81" t="n"/>
      <c r="V675" s="82" t="n"/>
      <c r="W675" s="65">
        <f>IF(OR($I675&lt;&gt;"Completed",$M675="",$L675=""),"",IF($M675&lt;=$L675,"Yes","No"))</f>
        <v/>
      </c>
      <c r="X675" s="84">
        <f>IF($A675="","",COUNTIF(Task_Steps!$B$5:$B$2004,$A675))</f>
        <v/>
      </c>
      <c r="Y675" s="86">
        <f>IF($X675=0,"",COUNTIFS(Task_Steps!$B$5:$B$2004,$A675,Task_Steps!$H$5:$H$2004,"Completed")/$X675)</f>
        <v/>
      </c>
      <c r="Z675" s="81" t="n"/>
      <c r="AA675" s="81" t="n"/>
      <c r="AB675" s="67">
        <f>IF($F675="","",IFERROR(INDEX(Employee_Master!$E$5:$E$204,MATCH($F675,Employee_Master!$B$5:$B$204,0)),""))</f>
        <v/>
      </c>
      <c r="AC675" s="65">
        <f>IF(OR($A675="",$AB675=""),"",IF(OR($I675="Completed",$I675="Cancelled"),"Closed - in Manager Report","Active - in Manager Report"))</f>
        <v/>
      </c>
      <c r="AD675" s="81">
        <f>IF($A675="","",IFERROR(TEXTJOIN(", ",TRUE,FILTER(Task_Steps!$A$5:$A$2004,Task_Steps!$B$5:$B$2004=$A675)),""))</f>
        <v/>
      </c>
      <c r="AE675" s="84">
        <f>IF($A675="","",COUNTIFS(Task_Steps!$B$5:$B$2004,$A675,Task_Steps!$H$5:$H$2004,"&lt;&gt;Completed",Task_Steps!$H$5:$H$2004,"&lt;&gt;Cancelled"))</f>
        <v/>
      </c>
      <c r="AF675" s="81">
        <f>IF(OR($B675="",$A675=""),"",$B675&amp;" | "&amp;$A675)</f>
        <v/>
      </c>
    </row>
    <row r="676" ht="15" customHeight="1" s="40">
      <c r="A676" s="65">
        <f>IF(COUNTA(B676:F676)=0,"","TSK-"&amp;TEXT(ROW()-4,"0000"))</f>
        <v/>
      </c>
      <c r="B676" s="78" t="n"/>
      <c r="C676" s="78" t="n"/>
      <c r="D676" s="81" t="n"/>
      <c r="E676" s="81" t="n"/>
      <c r="F676" s="78" t="n"/>
      <c r="G676" s="67">
        <f>IF($F676="","",IFERROR(INDEX(Employee_Master!$C$5:$C$204,MATCH($F676,Employee_Master!$B$5:$B$204,0)),""))</f>
        <v/>
      </c>
      <c r="H676" s="78" t="n"/>
      <c r="I676" s="78" t="n"/>
      <c r="J676" s="67">
        <f>IF($I676="","",IFERROR(INDEX(Action_Status_Map!$B$5:$B$11,MATCH($I676,Action_Status_Map!$A$5:$A$11,0)),""))</f>
        <v/>
      </c>
      <c r="K676" s="82" t="n"/>
      <c r="L676" s="82" t="n"/>
      <c r="M676" s="82" t="n"/>
      <c r="N676" s="83" t="n"/>
      <c r="O676" s="83" t="n"/>
      <c r="P676" s="66">
        <f>IF(OR($N676="",$O676=""),"",$O676-$N676)</f>
        <v/>
      </c>
      <c r="Q676" s="84">
        <f>IF($K676="","",IF($M676&lt;&gt;"",$M676-$K676,TODAY()-$K676))</f>
        <v/>
      </c>
      <c r="R676" s="85">
        <f>IF(OR($L676="",$I676="Completed",$I676="Cancelled"),"",IF(AND($L676&lt;TODAY(),$I676&lt;&gt;"Completed",$I676&lt;&gt;"Cancelled"),"Overdue","On Track"))</f>
        <v/>
      </c>
      <c r="S676" s="65">
        <f>IF($L676="","",TEXT($L676,"yyyy-mm"))</f>
        <v/>
      </c>
      <c r="T676" s="86">
        <f>IF($I676="","",IFERROR(INDEX(Action_Status_Map!$C$5:$C$11,MATCH($I676,Action_Status_Map!$A$5:$A$11,0)),""))</f>
        <v/>
      </c>
      <c r="U676" s="81" t="n"/>
      <c r="V676" s="82" t="n"/>
      <c r="W676" s="65">
        <f>IF(OR($I676&lt;&gt;"Completed",$M676="",$L676=""),"",IF($M676&lt;=$L676,"Yes","No"))</f>
        <v/>
      </c>
      <c r="X676" s="84">
        <f>IF($A676="","",COUNTIF(Task_Steps!$B$5:$B$2004,$A676))</f>
        <v/>
      </c>
      <c r="Y676" s="86">
        <f>IF($X676=0,"",COUNTIFS(Task_Steps!$B$5:$B$2004,$A676,Task_Steps!$H$5:$H$2004,"Completed")/$X676)</f>
        <v/>
      </c>
      <c r="Z676" s="81" t="n"/>
      <c r="AA676" s="81" t="n"/>
      <c r="AB676" s="67">
        <f>IF($F676="","",IFERROR(INDEX(Employee_Master!$E$5:$E$204,MATCH($F676,Employee_Master!$B$5:$B$204,0)),""))</f>
        <v/>
      </c>
      <c r="AC676" s="65">
        <f>IF(OR($A676="",$AB676=""),"",IF(OR($I676="Completed",$I676="Cancelled"),"Closed - in Manager Report","Active - in Manager Report"))</f>
        <v/>
      </c>
      <c r="AD676" s="81">
        <f>IF($A676="","",IFERROR(TEXTJOIN(", ",TRUE,FILTER(Task_Steps!$A$5:$A$2004,Task_Steps!$B$5:$B$2004=$A676)),""))</f>
        <v/>
      </c>
      <c r="AE676" s="84">
        <f>IF($A676="","",COUNTIFS(Task_Steps!$B$5:$B$2004,$A676,Task_Steps!$H$5:$H$2004,"&lt;&gt;Completed",Task_Steps!$H$5:$H$2004,"&lt;&gt;Cancelled"))</f>
        <v/>
      </c>
      <c r="AF676" s="81">
        <f>IF(OR($B676="",$A676=""),"",$B676&amp;" | "&amp;$A676)</f>
        <v/>
      </c>
    </row>
    <row r="677" ht="15" customHeight="1" s="40">
      <c r="A677" s="65">
        <f>IF(COUNTA(B677:F677)=0,"","TSK-"&amp;TEXT(ROW()-4,"0000"))</f>
        <v/>
      </c>
      <c r="B677" s="78" t="n"/>
      <c r="C677" s="78" t="n"/>
      <c r="D677" s="81" t="n"/>
      <c r="E677" s="81" t="n"/>
      <c r="F677" s="78" t="n"/>
      <c r="G677" s="67">
        <f>IF($F677="","",IFERROR(INDEX(Employee_Master!$C$5:$C$204,MATCH($F677,Employee_Master!$B$5:$B$204,0)),""))</f>
        <v/>
      </c>
      <c r="H677" s="78" t="n"/>
      <c r="I677" s="78" t="n"/>
      <c r="J677" s="67">
        <f>IF($I677="","",IFERROR(INDEX(Action_Status_Map!$B$5:$B$11,MATCH($I677,Action_Status_Map!$A$5:$A$11,0)),""))</f>
        <v/>
      </c>
      <c r="K677" s="82" t="n"/>
      <c r="L677" s="82" t="n"/>
      <c r="M677" s="82" t="n"/>
      <c r="N677" s="83" t="n"/>
      <c r="O677" s="83" t="n"/>
      <c r="P677" s="66">
        <f>IF(OR($N677="",$O677=""),"",$O677-$N677)</f>
        <v/>
      </c>
      <c r="Q677" s="84">
        <f>IF($K677="","",IF($M677&lt;&gt;"",$M677-$K677,TODAY()-$K677))</f>
        <v/>
      </c>
      <c r="R677" s="85">
        <f>IF(OR($L677="",$I677="Completed",$I677="Cancelled"),"",IF(AND($L677&lt;TODAY(),$I677&lt;&gt;"Completed",$I677&lt;&gt;"Cancelled"),"Overdue","On Track"))</f>
        <v/>
      </c>
      <c r="S677" s="65">
        <f>IF($L677="","",TEXT($L677,"yyyy-mm"))</f>
        <v/>
      </c>
      <c r="T677" s="86">
        <f>IF($I677="","",IFERROR(INDEX(Action_Status_Map!$C$5:$C$11,MATCH($I677,Action_Status_Map!$A$5:$A$11,0)),""))</f>
        <v/>
      </c>
      <c r="U677" s="81" t="n"/>
      <c r="V677" s="82" t="n"/>
      <c r="W677" s="65">
        <f>IF(OR($I677&lt;&gt;"Completed",$M677="",$L677=""),"",IF($M677&lt;=$L677,"Yes","No"))</f>
        <v/>
      </c>
      <c r="X677" s="84">
        <f>IF($A677="","",COUNTIF(Task_Steps!$B$5:$B$2004,$A677))</f>
        <v/>
      </c>
      <c r="Y677" s="86">
        <f>IF($X677=0,"",COUNTIFS(Task_Steps!$B$5:$B$2004,$A677,Task_Steps!$H$5:$H$2004,"Completed")/$X677)</f>
        <v/>
      </c>
      <c r="Z677" s="81" t="n"/>
      <c r="AA677" s="81" t="n"/>
      <c r="AB677" s="67">
        <f>IF($F677="","",IFERROR(INDEX(Employee_Master!$E$5:$E$204,MATCH($F677,Employee_Master!$B$5:$B$204,0)),""))</f>
        <v/>
      </c>
      <c r="AC677" s="65">
        <f>IF(OR($A677="",$AB677=""),"",IF(OR($I677="Completed",$I677="Cancelled"),"Closed - in Manager Report","Active - in Manager Report"))</f>
        <v/>
      </c>
      <c r="AD677" s="81">
        <f>IF($A677="","",IFERROR(TEXTJOIN(", ",TRUE,FILTER(Task_Steps!$A$5:$A$2004,Task_Steps!$B$5:$B$2004=$A677)),""))</f>
        <v/>
      </c>
      <c r="AE677" s="84">
        <f>IF($A677="","",COUNTIFS(Task_Steps!$B$5:$B$2004,$A677,Task_Steps!$H$5:$H$2004,"&lt;&gt;Completed",Task_Steps!$H$5:$H$2004,"&lt;&gt;Cancelled"))</f>
        <v/>
      </c>
      <c r="AF677" s="81">
        <f>IF(OR($B677="",$A677=""),"",$B677&amp;" | "&amp;$A677)</f>
        <v/>
      </c>
    </row>
    <row r="678" ht="15" customHeight="1" s="40">
      <c r="A678" s="65">
        <f>IF(COUNTA(B678:F678)=0,"","TSK-"&amp;TEXT(ROW()-4,"0000"))</f>
        <v/>
      </c>
      <c r="B678" s="78" t="n"/>
      <c r="C678" s="78" t="n"/>
      <c r="D678" s="81" t="n"/>
      <c r="E678" s="81" t="n"/>
      <c r="F678" s="78" t="n"/>
      <c r="G678" s="67">
        <f>IF($F678="","",IFERROR(INDEX(Employee_Master!$C$5:$C$204,MATCH($F678,Employee_Master!$B$5:$B$204,0)),""))</f>
        <v/>
      </c>
      <c r="H678" s="78" t="n"/>
      <c r="I678" s="78" t="n"/>
      <c r="J678" s="67">
        <f>IF($I678="","",IFERROR(INDEX(Action_Status_Map!$B$5:$B$11,MATCH($I678,Action_Status_Map!$A$5:$A$11,0)),""))</f>
        <v/>
      </c>
      <c r="K678" s="82" t="n"/>
      <c r="L678" s="82" t="n"/>
      <c r="M678" s="82" t="n"/>
      <c r="N678" s="83" t="n"/>
      <c r="O678" s="83" t="n"/>
      <c r="P678" s="66">
        <f>IF(OR($N678="",$O678=""),"",$O678-$N678)</f>
        <v/>
      </c>
      <c r="Q678" s="84">
        <f>IF($K678="","",IF($M678&lt;&gt;"",$M678-$K678,TODAY()-$K678))</f>
        <v/>
      </c>
      <c r="R678" s="85">
        <f>IF(OR($L678="",$I678="Completed",$I678="Cancelled"),"",IF(AND($L678&lt;TODAY(),$I678&lt;&gt;"Completed",$I678&lt;&gt;"Cancelled"),"Overdue","On Track"))</f>
        <v/>
      </c>
      <c r="S678" s="65">
        <f>IF($L678="","",TEXT($L678,"yyyy-mm"))</f>
        <v/>
      </c>
      <c r="T678" s="86">
        <f>IF($I678="","",IFERROR(INDEX(Action_Status_Map!$C$5:$C$11,MATCH($I678,Action_Status_Map!$A$5:$A$11,0)),""))</f>
        <v/>
      </c>
      <c r="U678" s="81" t="n"/>
      <c r="V678" s="82" t="n"/>
      <c r="W678" s="65">
        <f>IF(OR($I678&lt;&gt;"Completed",$M678="",$L678=""),"",IF($M678&lt;=$L678,"Yes","No"))</f>
        <v/>
      </c>
      <c r="X678" s="84">
        <f>IF($A678="","",COUNTIF(Task_Steps!$B$5:$B$2004,$A678))</f>
        <v/>
      </c>
      <c r="Y678" s="86">
        <f>IF($X678=0,"",COUNTIFS(Task_Steps!$B$5:$B$2004,$A678,Task_Steps!$H$5:$H$2004,"Completed")/$X678)</f>
        <v/>
      </c>
      <c r="Z678" s="81" t="n"/>
      <c r="AA678" s="81" t="n"/>
      <c r="AB678" s="67">
        <f>IF($F678="","",IFERROR(INDEX(Employee_Master!$E$5:$E$204,MATCH($F678,Employee_Master!$B$5:$B$204,0)),""))</f>
        <v/>
      </c>
      <c r="AC678" s="65">
        <f>IF(OR($A678="",$AB678=""),"",IF(OR($I678="Completed",$I678="Cancelled"),"Closed - in Manager Report","Active - in Manager Report"))</f>
        <v/>
      </c>
      <c r="AD678" s="81">
        <f>IF($A678="","",IFERROR(TEXTJOIN(", ",TRUE,FILTER(Task_Steps!$A$5:$A$2004,Task_Steps!$B$5:$B$2004=$A678)),""))</f>
        <v/>
      </c>
      <c r="AE678" s="84">
        <f>IF($A678="","",COUNTIFS(Task_Steps!$B$5:$B$2004,$A678,Task_Steps!$H$5:$H$2004,"&lt;&gt;Completed",Task_Steps!$H$5:$H$2004,"&lt;&gt;Cancelled"))</f>
        <v/>
      </c>
      <c r="AF678" s="81">
        <f>IF(OR($B678="",$A678=""),"",$B678&amp;" | "&amp;$A678)</f>
        <v/>
      </c>
    </row>
    <row r="679" ht="15" customHeight="1" s="40">
      <c r="A679" s="65">
        <f>IF(COUNTA(B679:F679)=0,"","TSK-"&amp;TEXT(ROW()-4,"0000"))</f>
        <v/>
      </c>
      <c r="B679" s="78" t="n"/>
      <c r="C679" s="78" t="n"/>
      <c r="D679" s="81" t="n"/>
      <c r="E679" s="81" t="n"/>
      <c r="F679" s="78" t="n"/>
      <c r="G679" s="67">
        <f>IF($F679="","",IFERROR(INDEX(Employee_Master!$C$5:$C$204,MATCH($F679,Employee_Master!$B$5:$B$204,0)),""))</f>
        <v/>
      </c>
      <c r="H679" s="78" t="n"/>
      <c r="I679" s="78" t="n"/>
      <c r="J679" s="67">
        <f>IF($I679="","",IFERROR(INDEX(Action_Status_Map!$B$5:$B$11,MATCH($I679,Action_Status_Map!$A$5:$A$11,0)),""))</f>
        <v/>
      </c>
      <c r="K679" s="82" t="n"/>
      <c r="L679" s="82" t="n"/>
      <c r="M679" s="82" t="n"/>
      <c r="N679" s="83" t="n"/>
      <c r="O679" s="83" t="n"/>
      <c r="P679" s="66">
        <f>IF(OR($N679="",$O679=""),"",$O679-$N679)</f>
        <v/>
      </c>
      <c r="Q679" s="84">
        <f>IF($K679="","",IF($M679&lt;&gt;"",$M679-$K679,TODAY()-$K679))</f>
        <v/>
      </c>
      <c r="R679" s="85">
        <f>IF(OR($L679="",$I679="Completed",$I679="Cancelled"),"",IF(AND($L679&lt;TODAY(),$I679&lt;&gt;"Completed",$I679&lt;&gt;"Cancelled"),"Overdue","On Track"))</f>
        <v/>
      </c>
      <c r="S679" s="65">
        <f>IF($L679="","",TEXT($L679,"yyyy-mm"))</f>
        <v/>
      </c>
      <c r="T679" s="86">
        <f>IF($I679="","",IFERROR(INDEX(Action_Status_Map!$C$5:$C$11,MATCH($I679,Action_Status_Map!$A$5:$A$11,0)),""))</f>
        <v/>
      </c>
      <c r="U679" s="81" t="n"/>
      <c r="V679" s="82" t="n"/>
      <c r="W679" s="65">
        <f>IF(OR($I679&lt;&gt;"Completed",$M679="",$L679=""),"",IF($M679&lt;=$L679,"Yes","No"))</f>
        <v/>
      </c>
      <c r="X679" s="84">
        <f>IF($A679="","",COUNTIF(Task_Steps!$B$5:$B$2004,$A679))</f>
        <v/>
      </c>
      <c r="Y679" s="86">
        <f>IF($X679=0,"",COUNTIFS(Task_Steps!$B$5:$B$2004,$A679,Task_Steps!$H$5:$H$2004,"Completed")/$X679)</f>
        <v/>
      </c>
      <c r="Z679" s="81" t="n"/>
      <c r="AA679" s="81" t="n"/>
      <c r="AB679" s="67">
        <f>IF($F679="","",IFERROR(INDEX(Employee_Master!$E$5:$E$204,MATCH($F679,Employee_Master!$B$5:$B$204,0)),""))</f>
        <v/>
      </c>
      <c r="AC679" s="65">
        <f>IF(OR($A679="",$AB679=""),"",IF(OR($I679="Completed",$I679="Cancelled"),"Closed - in Manager Report","Active - in Manager Report"))</f>
        <v/>
      </c>
      <c r="AD679" s="81">
        <f>IF($A679="","",IFERROR(TEXTJOIN(", ",TRUE,FILTER(Task_Steps!$A$5:$A$2004,Task_Steps!$B$5:$B$2004=$A679)),""))</f>
        <v/>
      </c>
      <c r="AE679" s="84">
        <f>IF($A679="","",COUNTIFS(Task_Steps!$B$5:$B$2004,$A679,Task_Steps!$H$5:$H$2004,"&lt;&gt;Completed",Task_Steps!$H$5:$H$2004,"&lt;&gt;Cancelled"))</f>
        <v/>
      </c>
      <c r="AF679" s="81">
        <f>IF(OR($B679="",$A679=""),"",$B679&amp;" | "&amp;$A679)</f>
        <v/>
      </c>
    </row>
    <row r="680" ht="15" customHeight="1" s="40">
      <c r="A680" s="65">
        <f>IF(COUNTA(B680:F680)=0,"","TSK-"&amp;TEXT(ROW()-4,"0000"))</f>
        <v/>
      </c>
      <c r="B680" s="78" t="n"/>
      <c r="C680" s="78" t="n"/>
      <c r="D680" s="81" t="n"/>
      <c r="E680" s="81" t="n"/>
      <c r="F680" s="78" t="n"/>
      <c r="G680" s="67">
        <f>IF($F680="","",IFERROR(INDEX(Employee_Master!$C$5:$C$204,MATCH($F680,Employee_Master!$B$5:$B$204,0)),""))</f>
        <v/>
      </c>
      <c r="H680" s="78" t="n"/>
      <c r="I680" s="78" t="n"/>
      <c r="J680" s="67">
        <f>IF($I680="","",IFERROR(INDEX(Action_Status_Map!$B$5:$B$11,MATCH($I680,Action_Status_Map!$A$5:$A$11,0)),""))</f>
        <v/>
      </c>
      <c r="K680" s="82" t="n"/>
      <c r="L680" s="82" t="n"/>
      <c r="M680" s="82" t="n"/>
      <c r="N680" s="83" t="n"/>
      <c r="O680" s="83" t="n"/>
      <c r="P680" s="66">
        <f>IF(OR($N680="",$O680=""),"",$O680-$N680)</f>
        <v/>
      </c>
      <c r="Q680" s="84">
        <f>IF($K680="","",IF($M680&lt;&gt;"",$M680-$K680,TODAY()-$K680))</f>
        <v/>
      </c>
      <c r="R680" s="85">
        <f>IF(OR($L680="",$I680="Completed",$I680="Cancelled"),"",IF(AND($L680&lt;TODAY(),$I680&lt;&gt;"Completed",$I680&lt;&gt;"Cancelled"),"Overdue","On Track"))</f>
        <v/>
      </c>
      <c r="S680" s="65">
        <f>IF($L680="","",TEXT($L680,"yyyy-mm"))</f>
        <v/>
      </c>
      <c r="T680" s="86">
        <f>IF($I680="","",IFERROR(INDEX(Action_Status_Map!$C$5:$C$11,MATCH($I680,Action_Status_Map!$A$5:$A$11,0)),""))</f>
        <v/>
      </c>
      <c r="U680" s="81" t="n"/>
      <c r="V680" s="82" t="n"/>
      <c r="W680" s="65">
        <f>IF(OR($I680&lt;&gt;"Completed",$M680="",$L680=""),"",IF($M680&lt;=$L680,"Yes","No"))</f>
        <v/>
      </c>
      <c r="X680" s="84">
        <f>IF($A680="","",COUNTIF(Task_Steps!$B$5:$B$2004,$A680))</f>
        <v/>
      </c>
      <c r="Y680" s="86">
        <f>IF($X680=0,"",COUNTIFS(Task_Steps!$B$5:$B$2004,$A680,Task_Steps!$H$5:$H$2004,"Completed")/$X680)</f>
        <v/>
      </c>
      <c r="Z680" s="81" t="n"/>
      <c r="AA680" s="81" t="n"/>
      <c r="AB680" s="67">
        <f>IF($F680="","",IFERROR(INDEX(Employee_Master!$E$5:$E$204,MATCH($F680,Employee_Master!$B$5:$B$204,0)),""))</f>
        <v/>
      </c>
      <c r="AC680" s="65">
        <f>IF(OR($A680="",$AB680=""),"",IF(OR($I680="Completed",$I680="Cancelled"),"Closed - in Manager Report","Active - in Manager Report"))</f>
        <v/>
      </c>
      <c r="AD680" s="81">
        <f>IF($A680="","",IFERROR(TEXTJOIN(", ",TRUE,FILTER(Task_Steps!$A$5:$A$2004,Task_Steps!$B$5:$B$2004=$A680)),""))</f>
        <v/>
      </c>
      <c r="AE680" s="84">
        <f>IF($A680="","",COUNTIFS(Task_Steps!$B$5:$B$2004,$A680,Task_Steps!$H$5:$H$2004,"&lt;&gt;Completed",Task_Steps!$H$5:$H$2004,"&lt;&gt;Cancelled"))</f>
        <v/>
      </c>
      <c r="AF680" s="81">
        <f>IF(OR($B680="",$A680=""),"",$B680&amp;" | "&amp;$A680)</f>
        <v/>
      </c>
    </row>
    <row r="681" ht="15" customHeight="1" s="40">
      <c r="A681" s="65">
        <f>IF(COUNTA(B681:F681)=0,"","TSK-"&amp;TEXT(ROW()-4,"0000"))</f>
        <v/>
      </c>
      <c r="B681" s="78" t="n"/>
      <c r="C681" s="78" t="n"/>
      <c r="D681" s="81" t="n"/>
      <c r="E681" s="81" t="n"/>
      <c r="F681" s="78" t="n"/>
      <c r="G681" s="67">
        <f>IF($F681="","",IFERROR(INDEX(Employee_Master!$C$5:$C$204,MATCH($F681,Employee_Master!$B$5:$B$204,0)),""))</f>
        <v/>
      </c>
      <c r="H681" s="78" t="n"/>
      <c r="I681" s="78" t="n"/>
      <c r="J681" s="67">
        <f>IF($I681="","",IFERROR(INDEX(Action_Status_Map!$B$5:$B$11,MATCH($I681,Action_Status_Map!$A$5:$A$11,0)),""))</f>
        <v/>
      </c>
      <c r="K681" s="82" t="n"/>
      <c r="L681" s="82" t="n"/>
      <c r="M681" s="82" t="n"/>
      <c r="N681" s="83" t="n"/>
      <c r="O681" s="83" t="n"/>
      <c r="P681" s="66">
        <f>IF(OR($N681="",$O681=""),"",$O681-$N681)</f>
        <v/>
      </c>
      <c r="Q681" s="84">
        <f>IF($K681="","",IF($M681&lt;&gt;"",$M681-$K681,TODAY()-$K681))</f>
        <v/>
      </c>
      <c r="R681" s="85">
        <f>IF(OR($L681="",$I681="Completed",$I681="Cancelled"),"",IF(AND($L681&lt;TODAY(),$I681&lt;&gt;"Completed",$I681&lt;&gt;"Cancelled"),"Overdue","On Track"))</f>
        <v/>
      </c>
      <c r="S681" s="65">
        <f>IF($L681="","",TEXT($L681,"yyyy-mm"))</f>
        <v/>
      </c>
      <c r="T681" s="86">
        <f>IF($I681="","",IFERROR(INDEX(Action_Status_Map!$C$5:$C$11,MATCH($I681,Action_Status_Map!$A$5:$A$11,0)),""))</f>
        <v/>
      </c>
      <c r="U681" s="81" t="n"/>
      <c r="V681" s="82" t="n"/>
      <c r="W681" s="65">
        <f>IF(OR($I681&lt;&gt;"Completed",$M681="",$L681=""),"",IF($M681&lt;=$L681,"Yes","No"))</f>
        <v/>
      </c>
      <c r="X681" s="84">
        <f>IF($A681="","",COUNTIF(Task_Steps!$B$5:$B$2004,$A681))</f>
        <v/>
      </c>
      <c r="Y681" s="86">
        <f>IF($X681=0,"",COUNTIFS(Task_Steps!$B$5:$B$2004,$A681,Task_Steps!$H$5:$H$2004,"Completed")/$X681)</f>
        <v/>
      </c>
      <c r="Z681" s="81" t="n"/>
      <c r="AA681" s="81" t="n"/>
      <c r="AB681" s="67">
        <f>IF($F681="","",IFERROR(INDEX(Employee_Master!$E$5:$E$204,MATCH($F681,Employee_Master!$B$5:$B$204,0)),""))</f>
        <v/>
      </c>
      <c r="AC681" s="65">
        <f>IF(OR($A681="",$AB681=""),"",IF(OR($I681="Completed",$I681="Cancelled"),"Closed - in Manager Report","Active - in Manager Report"))</f>
        <v/>
      </c>
      <c r="AD681" s="81">
        <f>IF($A681="","",IFERROR(TEXTJOIN(", ",TRUE,FILTER(Task_Steps!$A$5:$A$2004,Task_Steps!$B$5:$B$2004=$A681)),""))</f>
        <v/>
      </c>
      <c r="AE681" s="84">
        <f>IF($A681="","",COUNTIFS(Task_Steps!$B$5:$B$2004,$A681,Task_Steps!$H$5:$H$2004,"&lt;&gt;Completed",Task_Steps!$H$5:$H$2004,"&lt;&gt;Cancelled"))</f>
        <v/>
      </c>
      <c r="AF681" s="81">
        <f>IF(OR($B681="",$A681=""),"",$B681&amp;" | "&amp;$A681)</f>
        <v/>
      </c>
    </row>
    <row r="682" ht="15" customHeight="1" s="40">
      <c r="A682" s="65">
        <f>IF(COUNTA(B682:F682)=0,"","TSK-"&amp;TEXT(ROW()-4,"0000"))</f>
        <v/>
      </c>
      <c r="B682" s="78" t="n"/>
      <c r="C682" s="78" t="n"/>
      <c r="D682" s="81" t="n"/>
      <c r="E682" s="81" t="n"/>
      <c r="F682" s="78" t="n"/>
      <c r="G682" s="67">
        <f>IF($F682="","",IFERROR(INDEX(Employee_Master!$C$5:$C$204,MATCH($F682,Employee_Master!$B$5:$B$204,0)),""))</f>
        <v/>
      </c>
      <c r="H682" s="78" t="n"/>
      <c r="I682" s="78" t="n"/>
      <c r="J682" s="67">
        <f>IF($I682="","",IFERROR(INDEX(Action_Status_Map!$B$5:$B$11,MATCH($I682,Action_Status_Map!$A$5:$A$11,0)),""))</f>
        <v/>
      </c>
      <c r="K682" s="82" t="n"/>
      <c r="L682" s="82" t="n"/>
      <c r="M682" s="82" t="n"/>
      <c r="N682" s="83" t="n"/>
      <c r="O682" s="83" t="n"/>
      <c r="P682" s="66">
        <f>IF(OR($N682="",$O682=""),"",$O682-$N682)</f>
        <v/>
      </c>
      <c r="Q682" s="84">
        <f>IF($K682="","",IF($M682&lt;&gt;"",$M682-$K682,TODAY()-$K682))</f>
        <v/>
      </c>
      <c r="R682" s="85">
        <f>IF(OR($L682="",$I682="Completed",$I682="Cancelled"),"",IF(AND($L682&lt;TODAY(),$I682&lt;&gt;"Completed",$I682&lt;&gt;"Cancelled"),"Overdue","On Track"))</f>
        <v/>
      </c>
      <c r="S682" s="65">
        <f>IF($L682="","",TEXT($L682,"yyyy-mm"))</f>
        <v/>
      </c>
      <c r="T682" s="86">
        <f>IF($I682="","",IFERROR(INDEX(Action_Status_Map!$C$5:$C$11,MATCH($I682,Action_Status_Map!$A$5:$A$11,0)),""))</f>
        <v/>
      </c>
      <c r="U682" s="81" t="n"/>
      <c r="V682" s="82" t="n"/>
      <c r="W682" s="65">
        <f>IF(OR($I682&lt;&gt;"Completed",$M682="",$L682=""),"",IF($M682&lt;=$L682,"Yes","No"))</f>
        <v/>
      </c>
      <c r="X682" s="84">
        <f>IF($A682="","",COUNTIF(Task_Steps!$B$5:$B$2004,$A682))</f>
        <v/>
      </c>
      <c r="Y682" s="86">
        <f>IF($X682=0,"",COUNTIFS(Task_Steps!$B$5:$B$2004,$A682,Task_Steps!$H$5:$H$2004,"Completed")/$X682)</f>
        <v/>
      </c>
      <c r="Z682" s="81" t="n"/>
      <c r="AA682" s="81" t="n"/>
      <c r="AB682" s="67">
        <f>IF($F682="","",IFERROR(INDEX(Employee_Master!$E$5:$E$204,MATCH($F682,Employee_Master!$B$5:$B$204,0)),""))</f>
        <v/>
      </c>
      <c r="AC682" s="65">
        <f>IF(OR($A682="",$AB682=""),"",IF(OR($I682="Completed",$I682="Cancelled"),"Closed - in Manager Report","Active - in Manager Report"))</f>
        <v/>
      </c>
      <c r="AD682" s="81">
        <f>IF($A682="","",IFERROR(TEXTJOIN(", ",TRUE,FILTER(Task_Steps!$A$5:$A$2004,Task_Steps!$B$5:$B$2004=$A682)),""))</f>
        <v/>
      </c>
      <c r="AE682" s="84">
        <f>IF($A682="","",COUNTIFS(Task_Steps!$B$5:$B$2004,$A682,Task_Steps!$H$5:$H$2004,"&lt;&gt;Completed",Task_Steps!$H$5:$H$2004,"&lt;&gt;Cancelled"))</f>
        <v/>
      </c>
      <c r="AF682" s="81">
        <f>IF(OR($B682="",$A682=""),"",$B682&amp;" | "&amp;$A682)</f>
        <v/>
      </c>
    </row>
    <row r="683" ht="15" customHeight="1" s="40">
      <c r="A683" s="65">
        <f>IF(COUNTA(B683:F683)=0,"","TSK-"&amp;TEXT(ROW()-4,"0000"))</f>
        <v/>
      </c>
      <c r="B683" s="78" t="n"/>
      <c r="C683" s="78" t="n"/>
      <c r="D683" s="81" t="n"/>
      <c r="E683" s="81" t="n"/>
      <c r="F683" s="78" t="n"/>
      <c r="G683" s="67">
        <f>IF($F683="","",IFERROR(INDEX(Employee_Master!$C$5:$C$204,MATCH($F683,Employee_Master!$B$5:$B$204,0)),""))</f>
        <v/>
      </c>
      <c r="H683" s="78" t="n"/>
      <c r="I683" s="78" t="n"/>
      <c r="J683" s="67">
        <f>IF($I683="","",IFERROR(INDEX(Action_Status_Map!$B$5:$B$11,MATCH($I683,Action_Status_Map!$A$5:$A$11,0)),""))</f>
        <v/>
      </c>
      <c r="K683" s="82" t="n"/>
      <c r="L683" s="82" t="n"/>
      <c r="M683" s="82" t="n"/>
      <c r="N683" s="83" t="n"/>
      <c r="O683" s="83" t="n"/>
      <c r="P683" s="66">
        <f>IF(OR($N683="",$O683=""),"",$O683-$N683)</f>
        <v/>
      </c>
      <c r="Q683" s="84">
        <f>IF($K683="","",IF($M683&lt;&gt;"",$M683-$K683,TODAY()-$K683))</f>
        <v/>
      </c>
      <c r="R683" s="85">
        <f>IF(OR($L683="",$I683="Completed",$I683="Cancelled"),"",IF(AND($L683&lt;TODAY(),$I683&lt;&gt;"Completed",$I683&lt;&gt;"Cancelled"),"Overdue","On Track"))</f>
        <v/>
      </c>
      <c r="S683" s="65">
        <f>IF($L683="","",TEXT($L683,"yyyy-mm"))</f>
        <v/>
      </c>
      <c r="T683" s="86">
        <f>IF($I683="","",IFERROR(INDEX(Action_Status_Map!$C$5:$C$11,MATCH($I683,Action_Status_Map!$A$5:$A$11,0)),""))</f>
        <v/>
      </c>
      <c r="U683" s="81" t="n"/>
      <c r="V683" s="82" t="n"/>
      <c r="W683" s="65">
        <f>IF(OR($I683&lt;&gt;"Completed",$M683="",$L683=""),"",IF($M683&lt;=$L683,"Yes","No"))</f>
        <v/>
      </c>
      <c r="X683" s="84">
        <f>IF($A683="","",COUNTIF(Task_Steps!$B$5:$B$2004,$A683))</f>
        <v/>
      </c>
      <c r="Y683" s="86">
        <f>IF($X683=0,"",COUNTIFS(Task_Steps!$B$5:$B$2004,$A683,Task_Steps!$H$5:$H$2004,"Completed")/$X683)</f>
        <v/>
      </c>
      <c r="Z683" s="81" t="n"/>
      <c r="AA683" s="81" t="n"/>
      <c r="AB683" s="67">
        <f>IF($F683="","",IFERROR(INDEX(Employee_Master!$E$5:$E$204,MATCH($F683,Employee_Master!$B$5:$B$204,0)),""))</f>
        <v/>
      </c>
      <c r="AC683" s="65">
        <f>IF(OR($A683="",$AB683=""),"",IF(OR($I683="Completed",$I683="Cancelled"),"Closed - in Manager Report","Active - in Manager Report"))</f>
        <v/>
      </c>
      <c r="AD683" s="81">
        <f>IF($A683="","",IFERROR(TEXTJOIN(", ",TRUE,FILTER(Task_Steps!$A$5:$A$2004,Task_Steps!$B$5:$B$2004=$A683)),""))</f>
        <v/>
      </c>
      <c r="AE683" s="84">
        <f>IF($A683="","",COUNTIFS(Task_Steps!$B$5:$B$2004,$A683,Task_Steps!$H$5:$H$2004,"&lt;&gt;Completed",Task_Steps!$H$5:$H$2004,"&lt;&gt;Cancelled"))</f>
        <v/>
      </c>
      <c r="AF683" s="81">
        <f>IF(OR($B683="",$A683=""),"",$B683&amp;" | "&amp;$A683)</f>
        <v/>
      </c>
    </row>
    <row r="684" ht="15" customHeight="1" s="40">
      <c r="A684" s="65">
        <f>IF(COUNTA(B684:F684)=0,"","TSK-"&amp;TEXT(ROW()-4,"0000"))</f>
        <v/>
      </c>
      <c r="B684" s="78" t="n"/>
      <c r="C684" s="78" t="n"/>
      <c r="D684" s="81" t="n"/>
      <c r="E684" s="81" t="n"/>
      <c r="F684" s="78" t="n"/>
      <c r="G684" s="67">
        <f>IF($F684="","",IFERROR(INDEX(Employee_Master!$C$5:$C$204,MATCH($F684,Employee_Master!$B$5:$B$204,0)),""))</f>
        <v/>
      </c>
      <c r="H684" s="78" t="n"/>
      <c r="I684" s="78" t="n"/>
      <c r="J684" s="67">
        <f>IF($I684="","",IFERROR(INDEX(Action_Status_Map!$B$5:$B$11,MATCH($I684,Action_Status_Map!$A$5:$A$11,0)),""))</f>
        <v/>
      </c>
      <c r="K684" s="82" t="n"/>
      <c r="L684" s="82" t="n"/>
      <c r="M684" s="82" t="n"/>
      <c r="N684" s="83" t="n"/>
      <c r="O684" s="83" t="n"/>
      <c r="P684" s="66">
        <f>IF(OR($N684="",$O684=""),"",$O684-$N684)</f>
        <v/>
      </c>
      <c r="Q684" s="84">
        <f>IF($K684="","",IF($M684&lt;&gt;"",$M684-$K684,TODAY()-$K684))</f>
        <v/>
      </c>
      <c r="R684" s="85">
        <f>IF(OR($L684="",$I684="Completed",$I684="Cancelled"),"",IF(AND($L684&lt;TODAY(),$I684&lt;&gt;"Completed",$I684&lt;&gt;"Cancelled"),"Overdue","On Track"))</f>
        <v/>
      </c>
      <c r="S684" s="65">
        <f>IF($L684="","",TEXT($L684,"yyyy-mm"))</f>
        <v/>
      </c>
      <c r="T684" s="86">
        <f>IF($I684="","",IFERROR(INDEX(Action_Status_Map!$C$5:$C$11,MATCH($I684,Action_Status_Map!$A$5:$A$11,0)),""))</f>
        <v/>
      </c>
      <c r="U684" s="81" t="n"/>
      <c r="V684" s="82" t="n"/>
      <c r="W684" s="65">
        <f>IF(OR($I684&lt;&gt;"Completed",$M684="",$L684=""),"",IF($M684&lt;=$L684,"Yes","No"))</f>
        <v/>
      </c>
      <c r="X684" s="84">
        <f>IF($A684="","",COUNTIF(Task_Steps!$B$5:$B$2004,$A684))</f>
        <v/>
      </c>
      <c r="Y684" s="86">
        <f>IF($X684=0,"",COUNTIFS(Task_Steps!$B$5:$B$2004,$A684,Task_Steps!$H$5:$H$2004,"Completed")/$X684)</f>
        <v/>
      </c>
      <c r="Z684" s="81" t="n"/>
      <c r="AA684" s="81" t="n"/>
      <c r="AB684" s="67">
        <f>IF($F684="","",IFERROR(INDEX(Employee_Master!$E$5:$E$204,MATCH($F684,Employee_Master!$B$5:$B$204,0)),""))</f>
        <v/>
      </c>
      <c r="AC684" s="65">
        <f>IF(OR($A684="",$AB684=""),"",IF(OR($I684="Completed",$I684="Cancelled"),"Closed - in Manager Report","Active - in Manager Report"))</f>
        <v/>
      </c>
      <c r="AD684" s="81">
        <f>IF($A684="","",IFERROR(TEXTJOIN(", ",TRUE,FILTER(Task_Steps!$A$5:$A$2004,Task_Steps!$B$5:$B$2004=$A684)),""))</f>
        <v/>
      </c>
      <c r="AE684" s="84">
        <f>IF($A684="","",COUNTIFS(Task_Steps!$B$5:$B$2004,$A684,Task_Steps!$H$5:$H$2004,"&lt;&gt;Completed",Task_Steps!$H$5:$H$2004,"&lt;&gt;Cancelled"))</f>
        <v/>
      </c>
      <c r="AF684" s="81">
        <f>IF(OR($B684="",$A684=""),"",$B684&amp;" | "&amp;$A684)</f>
        <v/>
      </c>
    </row>
    <row r="685" ht="15" customHeight="1" s="40">
      <c r="A685" s="65">
        <f>IF(COUNTA(B685:F685)=0,"","TSK-"&amp;TEXT(ROW()-4,"0000"))</f>
        <v/>
      </c>
      <c r="B685" s="78" t="n"/>
      <c r="C685" s="78" t="n"/>
      <c r="D685" s="81" t="n"/>
      <c r="E685" s="81" t="n"/>
      <c r="F685" s="78" t="n"/>
      <c r="G685" s="67">
        <f>IF($F685="","",IFERROR(INDEX(Employee_Master!$C$5:$C$204,MATCH($F685,Employee_Master!$B$5:$B$204,0)),""))</f>
        <v/>
      </c>
      <c r="H685" s="78" t="n"/>
      <c r="I685" s="78" t="n"/>
      <c r="J685" s="67">
        <f>IF($I685="","",IFERROR(INDEX(Action_Status_Map!$B$5:$B$11,MATCH($I685,Action_Status_Map!$A$5:$A$11,0)),""))</f>
        <v/>
      </c>
      <c r="K685" s="82" t="n"/>
      <c r="L685" s="82" t="n"/>
      <c r="M685" s="82" t="n"/>
      <c r="N685" s="83" t="n"/>
      <c r="O685" s="83" t="n"/>
      <c r="P685" s="66">
        <f>IF(OR($N685="",$O685=""),"",$O685-$N685)</f>
        <v/>
      </c>
      <c r="Q685" s="84">
        <f>IF($K685="","",IF($M685&lt;&gt;"",$M685-$K685,TODAY()-$K685))</f>
        <v/>
      </c>
      <c r="R685" s="85">
        <f>IF(OR($L685="",$I685="Completed",$I685="Cancelled"),"",IF(AND($L685&lt;TODAY(),$I685&lt;&gt;"Completed",$I685&lt;&gt;"Cancelled"),"Overdue","On Track"))</f>
        <v/>
      </c>
      <c r="S685" s="65">
        <f>IF($L685="","",TEXT($L685,"yyyy-mm"))</f>
        <v/>
      </c>
      <c r="T685" s="86">
        <f>IF($I685="","",IFERROR(INDEX(Action_Status_Map!$C$5:$C$11,MATCH($I685,Action_Status_Map!$A$5:$A$11,0)),""))</f>
        <v/>
      </c>
      <c r="U685" s="81" t="n"/>
      <c r="V685" s="82" t="n"/>
      <c r="W685" s="65">
        <f>IF(OR($I685&lt;&gt;"Completed",$M685="",$L685=""),"",IF($M685&lt;=$L685,"Yes","No"))</f>
        <v/>
      </c>
      <c r="X685" s="84">
        <f>IF($A685="","",COUNTIF(Task_Steps!$B$5:$B$2004,$A685))</f>
        <v/>
      </c>
      <c r="Y685" s="86">
        <f>IF($X685=0,"",COUNTIFS(Task_Steps!$B$5:$B$2004,$A685,Task_Steps!$H$5:$H$2004,"Completed")/$X685)</f>
        <v/>
      </c>
      <c r="Z685" s="81" t="n"/>
      <c r="AA685" s="81" t="n"/>
      <c r="AB685" s="67">
        <f>IF($F685="","",IFERROR(INDEX(Employee_Master!$E$5:$E$204,MATCH($F685,Employee_Master!$B$5:$B$204,0)),""))</f>
        <v/>
      </c>
      <c r="AC685" s="65">
        <f>IF(OR($A685="",$AB685=""),"",IF(OR($I685="Completed",$I685="Cancelled"),"Closed - in Manager Report","Active - in Manager Report"))</f>
        <v/>
      </c>
      <c r="AD685" s="81">
        <f>IF($A685="","",IFERROR(TEXTJOIN(", ",TRUE,FILTER(Task_Steps!$A$5:$A$2004,Task_Steps!$B$5:$B$2004=$A685)),""))</f>
        <v/>
      </c>
      <c r="AE685" s="84">
        <f>IF($A685="","",COUNTIFS(Task_Steps!$B$5:$B$2004,$A685,Task_Steps!$H$5:$H$2004,"&lt;&gt;Completed",Task_Steps!$H$5:$H$2004,"&lt;&gt;Cancelled"))</f>
        <v/>
      </c>
      <c r="AF685" s="81">
        <f>IF(OR($B685="",$A685=""),"",$B685&amp;" | "&amp;$A685)</f>
        <v/>
      </c>
    </row>
    <row r="686" ht="15" customHeight="1" s="40">
      <c r="A686" s="65">
        <f>IF(COUNTA(B686:F686)=0,"","TSK-"&amp;TEXT(ROW()-4,"0000"))</f>
        <v/>
      </c>
      <c r="B686" s="78" t="n"/>
      <c r="C686" s="78" t="n"/>
      <c r="D686" s="81" t="n"/>
      <c r="E686" s="81" t="n"/>
      <c r="F686" s="78" t="n"/>
      <c r="G686" s="67">
        <f>IF($F686="","",IFERROR(INDEX(Employee_Master!$C$5:$C$204,MATCH($F686,Employee_Master!$B$5:$B$204,0)),""))</f>
        <v/>
      </c>
      <c r="H686" s="78" t="n"/>
      <c r="I686" s="78" t="n"/>
      <c r="J686" s="67">
        <f>IF($I686="","",IFERROR(INDEX(Action_Status_Map!$B$5:$B$11,MATCH($I686,Action_Status_Map!$A$5:$A$11,0)),""))</f>
        <v/>
      </c>
      <c r="K686" s="82" t="n"/>
      <c r="L686" s="82" t="n"/>
      <c r="M686" s="82" t="n"/>
      <c r="N686" s="83" t="n"/>
      <c r="O686" s="83" t="n"/>
      <c r="P686" s="66">
        <f>IF(OR($N686="",$O686=""),"",$O686-$N686)</f>
        <v/>
      </c>
      <c r="Q686" s="84">
        <f>IF($K686="","",IF($M686&lt;&gt;"",$M686-$K686,TODAY()-$K686))</f>
        <v/>
      </c>
      <c r="R686" s="85">
        <f>IF(OR($L686="",$I686="Completed",$I686="Cancelled"),"",IF(AND($L686&lt;TODAY(),$I686&lt;&gt;"Completed",$I686&lt;&gt;"Cancelled"),"Overdue","On Track"))</f>
        <v/>
      </c>
      <c r="S686" s="65">
        <f>IF($L686="","",TEXT($L686,"yyyy-mm"))</f>
        <v/>
      </c>
      <c r="T686" s="86">
        <f>IF($I686="","",IFERROR(INDEX(Action_Status_Map!$C$5:$C$11,MATCH($I686,Action_Status_Map!$A$5:$A$11,0)),""))</f>
        <v/>
      </c>
      <c r="U686" s="81" t="n"/>
      <c r="V686" s="82" t="n"/>
      <c r="W686" s="65">
        <f>IF(OR($I686&lt;&gt;"Completed",$M686="",$L686=""),"",IF($M686&lt;=$L686,"Yes","No"))</f>
        <v/>
      </c>
      <c r="X686" s="84">
        <f>IF($A686="","",COUNTIF(Task_Steps!$B$5:$B$2004,$A686))</f>
        <v/>
      </c>
      <c r="Y686" s="86">
        <f>IF($X686=0,"",COUNTIFS(Task_Steps!$B$5:$B$2004,$A686,Task_Steps!$H$5:$H$2004,"Completed")/$X686)</f>
        <v/>
      </c>
      <c r="Z686" s="81" t="n"/>
      <c r="AA686" s="81" t="n"/>
      <c r="AB686" s="67">
        <f>IF($F686="","",IFERROR(INDEX(Employee_Master!$E$5:$E$204,MATCH($F686,Employee_Master!$B$5:$B$204,0)),""))</f>
        <v/>
      </c>
      <c r="AC686" s="65">
        <f>IF(OR($A686="",$AB686=""),"",IF(OR($I686="Completed",$I686="Cancelled"),"Closed - in Manager Report","Active - in Manager Report"))</f>
        <v/>
      </c>
      <c r="AD686" s="81">
        <f>IF($A686="","",IFERROR(TEXTJOIN(", ",TRUE,FILTER(Task_Steps!$A$5:$A$2004,Task_Steps!$B$5:$B$2004=$A686)),""))</f>
        <v/>
      </c>
      <c r="AE686" s="84">
        <f>IF($A686="","",COUNTIFS(Task_Steps!$B$5:$B$2004,$A686,Task_Steps!$H$5:$H$2004,"&lt;&gt;Completed",Task_Steps!$H$5:$H$2004,"&lt;&gt;Cancelled"))</f>
        <v/>
      </c>
      <c r="AF686" s="81">
        <f>IF(OR($B686="",$A686=""),"",$B686&amp;" | "&amp;$A686)</f>
        <v/>
      </c>
    </row>
    <row r="687" ht="15" customHeight="1" s="40">
      <c r="A687" s="65">
        <f>IF(COUNTA(B687:F687)=0,"","TSK-"&amp;TEXT(ROW()-4,"0000"))</f>
        <v/>
      </c>
      <c r="B687" s="78" t="n"/>
      <c r="C687" s="78" t="n"/>
      <c r="D687" s="81" t="n"/>
      <c r="E687" s="81" t="n"/>
      <c r="F687" s="78" t="n"/>
      <c r="G687" s="67">
        <f>IF($F687="","",IFERROR(INDEX(Employee_Master!$C$5:$C$204,MATCH($F687,Employee_Master!$B$5:$B$204,0)),""))</f>
        <v/>
      </c>
      <c r="H687" s="78" t="n"/>
      <c r="I687" s="78" t="n"/>
      <c r="J687" s="67">
        <f>IF($I687="","",IFERROR(INDEX(Action_Status_Map!$B$5:$B$11,MATCH($I687,Action_Status_Map!$A$5:$A$11,0)),""))</f>
        <v/>
      </c>
      <c r="K687" s="82" t="n"/>
      <c r="L687" s="82" t="n"/>
      <c r="M687" s="82" t="n"/>
      <c r="N687" s="83" t="n"/>
      <c r="O687" s="83" t="n"/>
      <c r="P687" s="66">
        <f>IF(OR($N687="",$O687=""),"",$O687-$N687)</f>
        <v/>
      </c>
      <c r="Q687" s="84">
        <f>IF($K687="","",IF($M687&lt;&gt;"",$M687-$K687,TODAY()-$K687))</f>
        <v/>
      </c>
      <c r="R687" s="85">
        <f>IF(OR($L687="",$I687="Completed",$I687="Cancelled"),"",IF(AND($L687&lt;TODAY(),$I687&lt;&gt;"Completed",$I687&lt;&gt;"Cancelled"),"Overdue","On Track"))</f>
        <v/>
      </c>
      <c r="S687" s="65">
        <f>IF($L687="","",TEXT($L687,"yyyy-mm"))</f>
        <v/>
      </c>
      <c r="T687" s="86">
        <f>IF($I687="","",IFERROR(INDEX(Action_Status_Map!$C$5:$C$11,MATCH($I687,Action_Status_Map!$A$5:$A$11,0)),""))</f>
        <v/>
      </c>
      <c r="U687" s="81" t="n"/>
      <c r="V687" s="82" t="n"/>
      <c r="W687" s="65">
        <f>IF(OR($I687&lt;&gt;"Completed",$M687="",$L687=""),"",IF($M687&lt;=$L687,"Yes","No"))</f>
        <v/>
      </c>
      <c r="X687" s="84">
        <f>IF($A687="","",COUNTIF(Task_Steps!$B$5:$B$2004,$A687))</f>
        <v/>
      </c>
      <c r="Y687" s="86">
        <f>IF($X687=0,"",COUNTIFS(Task_Steps!$B$5:$B$2004,$A687,Task_Steps!$H$5:$H$2004,"Completed")/$X687)</f>
        <v/>
      </c>
      <c r="Z687" s="81" t="n"/>
      <c r="AA687" s="81" t="n"/>
      <c r="AB687" s="67">
        <f>IF($F687="","",IFERROR(INDEX(Employee_Master!$E$5:$E$204,MATCH($F687,Employee_Master!$B$5:$B$204,0)),""))</f>
        <v/>
      </c>
      <c r="AC687" s="65">
        <f>IF(OR($A687="",$AB687=""),"",IF(OR($I687="Completed",$I687="Cancelled"),"Closed - in Manager Report","Active - in Manager Report"))</f>
        <v/>
      </c>
      <c r="AD687" s="81">
        <f>IF($A687="","",IFERROR(TEXTJOIN(", ",TRUE,FILTER(Task_Steps!$A$5:$A$2004,Task_Steps!$B$5:$B$2004=$A687)),""))</f>
        <v/>
      </c>
      <c r="AE687" s="84">
        <f>IF($A687="","",COUNTIFS(Task_Steps!$B$5:$B$2004,$A687,Task_Steps!$H$5:$H$2004,"&lt;&gt;Completed",Task_Steps!$H$5:$H$2004,"&lt;&gt;Cancelled"))</f>
        <v/>
      </c>
      <c r="AF687" s="81">
        <f>IF(OR($B687="",$A687=""),"",$B687&amp;" | "&amp;$A687)</f>
        <v/>
      </c>
    </row>
    <row r="688" ht="15" customHeight="1" s="40">
      <c r="A688" s="65">
        <f>IF(COUNTA(B688:F688)=0,"","TSK-"&amp;TEXT(ROW()-4,"0000"))</f>
        <v/>
      </c>
      <c r="B688" s="78" t="n"/>
      <c r="C688" s="78" t="n"/>
      <c r="D688" s="81" t="n"/>
      <c r="E688" s="81" t="n"/>
      <c r="F688" s="78" t="n"/>
      <c r="G688" s="67">
        <f>IF($F688="","",IFERROR(INDEX(Employee_Master!$C$5:$C$204,MATCH($F688,Employee_Master!$B$5:$B$204,0)),""))</f>
        <v/>
      </c>
      <c r="H688" s="78" t="n"/>
      <c r="I688" s="78" t="n"/>
      <c r="J688" s="67">
        <f>IF($I688="","",IFERROR(INDEX(Action_Status_Map!$B$5:$B$11,MATCH($I688,Action_Status_Map!$A$5:$A$11,0)),""))</f>
        <v/>
      </c>
      <c r="K688" s="82" t="n"/>
      <c r="L688" s="82" t="n"/>
      <c r="M688" s="82" t="n"/>
      <c r="N688" s="83" t="n"/>
      <c r="O688" s="83" t="n"/>
      <c r="P688" s="66">
        <f>IF(OR($N688="",$O688=""),"",$O688-$N688)</f>
        <v/>
      </c>
      <c r="Q688" s="84">
        <f>IF($K688="","",IF($M688&lt;&gt;"",$M688-$K688,TODAY()-$K688))</f>
        <v/>
      </c>
      <c r="R688" s="85">
        <f>IF(OR($L688="",$I688="Completed",$I688="Cancelled"),"",IF(AND($L688&lt;TODAY(),$I688&lt;&gt;"Completed",$I688&lt;&gt;"Cancelled"),"Overdue","On Track"))</f>
        <v/>
      </c>
      <c r="S688" s="65">
        <f>IF($L688="","",TEXT($L688,"yyyy-mm"))</f>
        <v/>
      </c>
      <c r="T688" s="86">
        <f>IF($I688="","",IFERROR(INDEX(Action_Status_Map!$C$5:$C$11,MATCH($I688,Action_Status_Map!$A$5:$A$11,0)),""))</f>
        <v/>
      </c>
      <c r="U688" s="81" t="n"/>
      <c r="V688" s="82" t="n"/>
      <c r="W688" s="65">
        <f>IF(OR($I688&lt;&gt;"Completed",$M688="",$L688=""),"",IF($M688&lt;=$L688,"Yes","No"))</f>
        <v/>
      </c>
      <c r="X688" s="84">
        <f>IF($A688="","",COUNTIF(Task_Steps!$B$5:$B$2004,$A688))</f>
        <v/>
      </c>
      <c r="Y688" s="86">
        <f>IF($X688=0,"",COUNTIFS(Task_Steps!$B$5:$B$2004,$A688,Task_Steps!$H$5:$H$2004,"Completed")/$X688)</f>
        <v/>
      </c>
      <c r="Z688" s="81" t="n"/>
      <c r="AA688" s="81" t="n"/>
      <c r="AB688" s="67">
        <f>IF($F688="","",IFERROR(INDEX(Employee_Master!$E$5:$E$204,MATCH($F688,Employee_Master!$B$5:$B$204,0)),""))</f>
        <v/>
      </c>
      <c r="AC688" s="65">
        <f>IF(OR($A688="",$AB688=""),"",IF(OR($I688="Completed",$I688="Cancelled"),"Closed - in Manager Report","Active - in Manager Report"))</f>
        <v/>
      </c>
      <c r="AD688" s="81">
        <f>IF($A688="","",IFERROR(TEXTJOIN(", ",TRUE,FILTER(Task_Steps!$A$5:$A$2004,Task_Steps!$B$5:$B$2004=$A688)),""))</f>
        <v/>
      </c>
      <c r="AE688" s="84">
        <f>IF($A688="","",COUNTIFS(Task_Steps!$B$5:$B$2004,$A688,Task_Steps!$H$5:$H$2004,"&lt;&gt;Completed",Task_Steps!$H$5:$H$2004,"&lt;&gt;Cancelled"))</f>
        <v/>
      </c>
      <c r="AF688" s="81">
        <f>IF(OR($B688="",$A688=""),"",$B688&amp;" | "&amp;$A688)</f>
        <v/>
      </c>
    </row>
    <row r="689" ht="15" customHeight="1" s="40">
      <c r="A689" s="65">
        <f>IF(COUNTA(B689:F689)=0,"","TSK-"&amp;TEXT(ROW()-4,"0000"))</f>
        <v/>
      </c>
      <c r="B689" s="78" t="n"/>
      <c r="C689" s="78" t="n"/>
      <c r="D689" s="81" t="n"/>
      <c r="E689" s="81" t="n"/>
      <c r="F689" s="78" t="n"/>
      <c r="G689" s="67">
        <f>IF($F689="","",IFERROR(INDEX(Employee_Master!$C$5:$C$204,MATCH($F689,Employee_Master!$B$5:$B$204,0)),""))</f>
        <v/>
      </c>
      <c r="H689" s="78" t="n"/>
      <c r="I689" s="78" t="n"/>
      <c r="J689" s="67">
        <f>IF($I689="","",IFERROR(INDEX(Action_Status_Map!$B$5:$B$11,MATCH($I689,Action_Status_Map!$A$5:$A$11,0)),""))</f>
        <v/>
      </c>
      <c r="K689" s="82" t="n"/>
      <c r="L689" s="82" t="n"/>
      <c r="M689" s="82" t="n"/>
      <c r="N689" s="83" t="n"/>
      <c r="O689" s="83" t="n"/>
      <c r="P689" s="66">
        <f>IF(OR($N689="",$O689=""),"",$O689-$N689)</f>
        <v/>
      </c>
      <c r="Q689" s="84">
        <f>IF($K689="","",IF($M689&lt;&gt;"",$M689-$K689,TODAY()-$K689))</f>
        <v/>
      </c>
      <c r="R689" s="85">
        <f>IF(OR($L689="",$I689="Completed",$I689="Cancelled"),"",IF(AND($L689&lt;TODAY(),$I689&lt;&gt;"Completed",$I689&lt;&gt;"Cancelled"),"Overdue","On Track"))</f>
        <v/>
      </c>
      <c r="S689" s="65">
        <f>IF($L689="","",TEXT($L689,"yyyy-mm"))</f>
        <v/>
      </c>
      <c r="T689" s="86">
        <f>IF($I689="","",IFERROR(INDEX(Action_Status_Map!$C$5:$C$11,MATCH($I689,Action_Status_Map!$A$5:$A$11,0)),""))</f>
        <v/>
      </c>
      <c r="U689" s="81" t="n"/>
      <c r="V689" s="82" t="n"/>
      <c r="W689" s="65">
        <f>IF(OR($I689&lt;&gt;"Completed",$M689="",$L689=""),"",IF($M689&lt;=$L689,"Yes","No"))</f>
        <v/>
      </c>
      <c r="X689" s="84">
        <f>IF($A689="","",COUNTIF(Task_Steps!$B$5:$B$2004,$A689))</f>
        <v/>
      </c>
      <c r="Y689" s="86">
        <f>IF($X689=0,"",COUNTIFS(Task_Steps!$B$5:$B$2004,$A689,Task_Steps!$H$5:$H$2004,"Completed")/$X689)</f>
        <v/>
      </c>
      <c r="Z689" s="81" t="n"/>
      <c r="AA689" s="81" t="n"/>
      <c r="AB689" s="67">
        <f>IF($F689="","",IFERROR(INDEX(Employee_Master!$E$5:$E$204,MATCH($F689,Employee_Master!$B$5:$B$204,0)),""))</f>
        <v/>
      </c>
      <c r="AC689" s="65">
        <f>IF(OR($A689="",$AB689=""),"",IF(OR($I689="Completed",$I689="Cancelled"),"Closed - in Manager Report","Active - in Manager Report"))</f>
        <v/>
      </c>
      <c r="AD689" s="81">
        <f>IF($A689="","",IFERROR(TEXTJOIN(", ",TRUE,FILTER(Task_Steps!$A$5:$A$2004,Task_Steps!$B$5:$B$2004=$A689)),""))</f>
        <v/>
      </c>
      <c r="AE689" s="84">
        <f>IF($A689="","",COUNTIFS(Task_Steps!$B$5:$B$2004,$A689,Task_Steps!$H$5:$H$2004,"&lt;&gt;Completed",Task_Steps!$H$5:$H$2004,"&lt;&gt;Cancelled"))</f>
        <v/>
      </c>
      <c r="AF689" s="81">
        <f>IF(OR($B689="",$A689=""),"",$B689&amp;" | "&amp;$A689)</f>
        <v/>
      </c>
    </row>
    <row r="690" ht="15" customHeight="1" s="40">
      <c r="A690" s="65">
        <f>IF(COUNTA(B690:F690)=0,"","TSK-"&amp;TEXT(ROW()-4,"0000"))</f>
        <v/>
      </c>
      <c r="B690" s="78" t="n"/>
      <c r="C690" s="78" t="n"/>
      <c r="D690" s="81" t="n"/>
      <c r="E690" s="81" t="n"/>
      <c r="F690" s="78" t="n"/>
      <c r="G690" s="67">
        <f>IF($F690="","",IFERROR(INDEX(Employee_Master!$C$5:$C$204,MATCH($F690,Employee_Master!$B$5:$B$204,0)),""))</f>
        <v/>
      </c>
      <c r="H690" s="78" t="n"/>
      <c r="I690" s="78" t="n"/>
      <c r="J690" s="67">
        <f>IF($I690="","",IFERROR(INDEX(Action_Status_Map!$B$5:$B$11,MATCH($I690,Action_Status_Map!$A$5:$A$11,0)),""))</f>
        <v/>
      </c>
      <c r="K690" s="82" t="n"/>
      <c r="L690" s="82" t="n"/>
      <c r="M690" s="82" t="n"/>
      <c r="N690" s="83" t="n"/>
      <c r="O690" s="83" t="n"/>
      <c r="P690" s="66">
        <f>IF(OR($N690="",$O690=""),"",$O690-$N690)</f>
        <v/>
      </c>
      <c r="Q690" s="84">
        <f>IF($K690="","",IF($M690&lt;&gt;"",$M690-$K690,TODAY()-$K690))</f>
        <v/>
      </c>
      <c r="R690" s="85">
        <f>IF(OR($L690="",$I690="Completed",$I690="Cancelled"),"",IF(AND($L690&lt;TODAY(),$I690&lt;&gt;"Completed",$I690&lt;&gt;"Cancelled"),"Overdue","On Track"))</f>
        <v/>
      </c>
      <c r="S690" s="65">
        <f>IF($L690="","",TEXT($L690,"yyyy-mm"))</f>
        <v/>
      </c>
      <c r="T690" s="86">
        <f>IF($I690="","",IFERROR(INDEX(Action_Status_Map!$C$5:$C$11,MATCH($I690,Action_Status_Map!$A$5:$A$11,0)),""))</f>
        <v/>
      </c>
      <c r="U690" s="81" t="n"/>
      <c r="V690" s="82" t="n"/>
      <c r="W690" s="65">
        <f>IF(OR($I690&lt;&gt;"Completed",$M690="",$L690=""),"",IF($M690&lt;=$L690,"Yes","No"))</f>
        <v/>
      </c>
      <c r="X690" s="84">
        <f>IF($A690="","",COUNTIF(Task_Steps!$B$5:$B$2004,$A690))</f>
        <v/>
      </c>
      <c r="Y690" s="86">
        <f>IF($X690=0,"",COUNTIFS(Task_Steps!$B$5:$B$2004,$A690,Task_Steps!$H$5:$H$2004,"Completed")/$X690)</f>
        <v/>
      </c>
      <c r="Z690" s="81" t="n"/>
      <c r="AA690" s="81" t="n"/>
      <c r="AB690" s="67">
        <f>IF($F690="","",IFERROR(INDEX(Employee_Master!$E$5:$E$204,MATCH($F690,Employee_Master!$B$5:$B$204,0)),""))</f>
        <v/>
      </c>
      <c r="AC690" s="65">
        <f>IF(OR($A690="",$AB690=""),"",IF(OR($I690="Completed",$I690="Cancelled"),"Closed - in Manager Report","Active - in Manager Report"))</f>
        <v/>
      </c>
      <c r="AD690" s="81">
        <f>IF($A690="","",IFERROR(TEXTJOIN(", ",TRUE,FILTER(Task_Steps!$A$5:$A$2004,Task_Steps!$B$5:$B$2004=$A690)),""))</f>
        <v/>
      </c>
      <c r="AE690" s="84">
        <f>IF($A690="","",COUNTIFS(Task_Steps!$B$5:$B$2004,$A690,Task_Steps!$H$5:$H$2004,"&lt;&gt;Completed",Task_Steps!$H$5:$H$2004,"&lt;&gt;Cancelled"))</f>
        <v/>
      </c>
      <c r="AF690" s="81">
        <f>IF(OR($B690="",$A690=""),"",$B690&amp;" | "&amp;$A690)</f>
        <v/>
      </c>
    </row>
    <row r="691" ht="15" customHeight="1" s="40">
      <c r="A691" s="65">
        <f>IF(COUNTA(B691:F691)=0,"","TSK-"&amp;TEXT(ROW()-4,"0000"))</f>
        <v/>
      </c>
      <c r="B691" s="78" t="n"/>
      <c r="C691" s="78" t="n"/>
      <c r="D691" s="81" t="n"/>
      <c r="E691" s="81" t="n"/>
      <c r="F691" s="78" t="n"/>
      <c r="G691" s="67">
        <f>IF($F691="","",IFERROR(INDEX(Employee_Master!$C$5:$C$204,MATCH($F691,Employee_Master!$B$5:$B$204,0)),""))</f>
        <v/>
      </c>
      <c r="H691" s="78" t="n"/>
      <c r="I691" s="78" t="n"/>
      <c r="J691" s="67">
        <f>IF($I691="","",IFERROR(INDEX(Action_Status_Map!$B$5:$B$11,MATCH($I691,Action_Status_Map!$A$5:$A$11,0)),""))</f>
        <v/>
      </c>
      <c r="K691" s="82" t="n"/>
      <c r="L691" s="82" t="n"/>
      <c r="M691" s="82" t="n"/>
      <c r="N691" s="83" t="n"/>
      <c r="O691" s="83" t="n"/>
      <c r="P691" s="66">
        <f>IF(OR($N691="",$O691=""),"",$O691-$N691)</f>
        <v/>
      </c>
      <c r="Q691" s="84">
        <f>IF($K691="","",IF($M691&lt;&gt;"",$M691-$K691,TODAY()-$K691))</f>
        <v/>
      </c>
      <c r="R691" s="85">
        <f>IF(OR($L691="",$I691="Completed",$I691="Cancelled"),"",IF(AND($L691&lt;TODAY(),$I691&lt;&gt;"Completed",$I691&lt;&gt;"Cancelled"),"Overdue","On Track"))</f>
        <v/>
      </c>
      <c r="S691" s="65">
        <f>IF($L691="","",TEXT($L691,"yyyy-mm"))</f>
        <v/>
      </c>
      <c r="T691" s="86">
        <f>IF($I691="","",IFERROR(INDEX(Action_Status_Map!$C$5:$C$11,MATCH($I691,Action_Status_Map!$A$5:$A$11,0)),""))</f>
        <v/>
      </c>
      <c r="U691" s="81" t="n"/>
      <c r="V691" s="82" t="n"/>
      <c r="W691" s="65">
        <f>IF(OR($I691&lt;&gt;"Completed",$M691="",$L691=""),"",IF($M691&lt;=$L691,"Yes","No"))</f>
        <v/>
      </c>
      <c r="X691" s="84">
        <f>IF($A691="","",COUNTIF(Task_Steps!$B$5:$B$2004,$A691))</f>
        <v/>
      </c>
      <c r="Y691" s="86">
        <f>IF($X691=0,"",COUNTIFS(Task_Steps!$B$5:$B$2004,$A691,Task_Steps!$H$5:$H$2004,"Completed")/$X691)</f>
        <v/>
      </c>
      <c r="Z691" s="81" t="n"/>
      <c r="AA691" s="81" t="n"/>
      <c r="AB691" s="67">
        <f>IF($F691="","",IFERROR(INDEX(Employee_Master!$E$5:$E$204,MATCH($F691,Employee_Master!$B$5:$B$204,0)),""))</f>
        <v/>
      </c>
      <c r="AC691" s="65">
        <f>IF(OR($A691="",$AB691=""),"",IF(OR($I691="Completed",$I691="Cancelled"),"Closed - in Manager Report","Active - in Manager Report"))</f>
        <v/>
      </c>
      <c r="AD691" s="81">
        <f>IF($A691="","",IFERROR(TEXTJOIN(", ",TRUE,FILTER(Task_Steps!$A$5:$A$2004,Task_Steps!$B$5:$B$2004=$A691)),""))</f>
        <v/>
      </c>
      <c r="AE691" s="84">
        <f>IF($A691="","",COUNTIFS(Task_Steps!$B$5:$B$2004,$A691,Task_Steps!$H$5:$H$2004,"&lt;&gt;Completed",Task_Steps!$H$5:$H$2004,"&lt;&gt;Cancelled"))</f>
        <v/>
      </c>
      <c r="AF691" s="81">
        <f>IF(OR($B691="",$A691=""),"",$B691&amp;" | "&amp;$A691)</f>
        <v/>
      </c>
    </row>
    <row r="692" ht="15" customHeight="1" s="40">
      <c r="A692" s="65">
        <f>IF(COUNTA(B692:F692)=0,"","TSK-"&amp;TEXT(ROW()-4,"0000"))</f>
        <v/>
      </c>
      <c r="B692" s="78" t="n"/>
      <c r="C692" s="78" t="n"/>
      <c r="D692" s="81" t="n"/>
      <c r="E692" s="81" t="n"/>
      <c r="F692" s="78" t="n"/>
      <c r="G692" s="67">
        <f>IF($F692="","",IFERROR(INDEX(Employee_Master!$C$5:$C$204,MATCH($F692,Employee_Master!$B$5:$B$204,0)),""))</f>
        <v/>
      </c>
      <c r="H692" s="78" t="n"/>
      <c r="I692" s="78" t="n"/>
      <c r="J692" s="67">
        <f>IF($I692="","",IFERROR(INDEX(Action_Status_Map!$B$5:$B$11,MATCH($I692,Action_Status_Map!$A$5:$A$11,0)),""))</f>
        <v/>
      </c>
      <c r="K692" s="82" t="n"/>
      <c r="L692" s="82" t="n"/>
      <c r="M692" s="82" t="n"/>
      <c r="N692" s="83" t="n"/>
      <c r="O692" s="83" t="n"/>
      <c r="P692" s="66">
        <f>IF(OR($N692="",$O692=""),"",$O692-$N692)</f>
        <v/>
      </c>
      <c r="Q692" s="84">
        <f>IF($K692="","",IF($M692&lt;&gt;"",$M692-$K692,TODAY()-$K692))</f>
        <v/>
      </c>
      <c r="R692" s="85">
        <f>IF(OR($L692="",$I692="Completed",$I692="Cancelled"),"",IF(AND($L692&lt;TODAY(),$I692&lt;&gt;"Completed",$I692&lt;&gt;"Cancelled"),"Overdue","On Track"))</f>
        <v/>
      </c>
      <c r="S692" s="65">
        <f>IF($L692="","",TEXT($L692,"yyyy-mm"))</f>
        <v/>
      </c>
      <c r="T692" s="86">
        <f>IF($I692="","",IFERROR(INDEX(Action_Status_Map!$C$5:$C$11,MATCH($I692,Action_Status_Map!$A$5:$A$11,0)),""))</f>
        <v/>
      </c>
      <c r="U692" s="81" t="n"/>
      <c r="V692" s="82" t="n"/>
      <c r="W692" s="65">
        <f>IF(OR($I692&lt;&gt;"Completed",$M692="",$L692=""),"",IF($M692&lt;=$L692,"Yes","No"))</f>
        <v/>
      </c>
      <c r="X692" s="84">
        <f>IF($A692="","",COUNTIF(Task_Steps!$B$5:$B$2004,$A692))</f>
        <v/>
      </c>
      <c r="Y692" s="86">
        <f>IF($X692=0,"",COUNTIFS(Task_Steps!$B$5:$B$2004,$A692,Task_Steps!$H$5:$H$2004,"Completed")/$X692)</f>
        <v/>
      </c>
      <c r="Z692" s="81" t="n"/>
      <c r="AA692" s="81" t="n"/>
      <c r="AB692" s="67">
        <f>IF($F692="","",IFERROR(INDEX(Employee_Master!$E$5:$E$204,MATCH($F692,Employee_Master!$B$5:$B$204,0)),""))</f>
        <v/>
      </c>
      <c r="AC692" s="65">
        <f>IF(OR($A692="",$AB692=""),"",IF(OR($I692="Completed",$I692="Cancelled"),"Closed - in Manager Report","Active - in Manager Report"))</f>
        <v/>
      </c>
      <c r="AD692" s="81">
        <f>IF($A692="","",IFERROR(TEXTJOIN(", ",TRUE,FILTER(Task_Steps!$A$5:$A$2004,Task_Steps!$B$5:$B$2004=$A692)),""))</f>
        <v/>
      </c>
      <c r="AE692" s="84">
        <f>IF($A692="","",COUNTIFS(Task_Steps!$B$5:$B$2004,$A692,Task_Steps!$H$5:$H$2004,"&lt;&gt;Completed",Task_Steps!$H$5:$H$2004,"&lt;&gt;Cancelled"))</f>
        <v/>
      </c>
      <c r="AF692" s="81">
        <f>IF(OR($B692="",$A692=""),"",$B692&amp;" | "&amp;$A692)</f>
        <v/>
      </c>
    </row>
    <row r="693" ht="15" customHeight="1" s="40">
      <c r="A693" s="65">
        <f>IF(COUNTA(B693:F693)=0,"","TSK-"&amp;TEXT(ROW()-4,"0000"))</f>
        <v/>
      </c>
      <c r="B693" s="78" t="n"/>
      <c r="C693" s="78" t="n"/>
      <c r="D693" s="81" t="n"/>
      <c r="E693" s="81" t="n"/>
      <c r="F693" s="78" t="n"/>
      <c r="G693" s="67">
        <f>IF($F693="","",IFERROR(INDEX(Employee_Master!$C$5:$C$204,MATCH($F693,Employee_Master!$B$5:$B$204,0)),""))</f>
        <v/>
      </c>
      <c r="H693" s="78" t="n"/>
      <c r="I693" s="78" t="n"/>
      <c r="J693" s="67">
        <f>IF($I693="","",IFERROR(INDEX(Action_Status_Map!$B$5:$B$11,MATCH($I693,Action_Status_Map!$A$5:$A$11,0)),""))</f>
        <v/>
      </c>
      <c r="K693" s="82" t="n"/>
      <c r="L693" s="82" t="n"/>
      <c r="M693" s="82" t="n"/>
      <c r="N693" s="83" t="n"/>
      <c r="O693" s="83" t="n"/>
      <c r="P693" s="66">
        <f>IF(OR($N693="",$O693=""),"",$O693-$N693)</f>
        <v/>
      </c>
      <c r="Q693" s="84">
        <f>IF($K693="","",IF($M693&lt;&gt;"",$M693-$K693,TODAY()-$K693))</f>
        <v/>
      </c>
      <c r="R693" s="85">
        <f>IF(OR($L693="",$I693="Completed",$I693="Cancelled"),"",IF(AND($L693&lt;TODAY(),$I693&lt;&gt;"Completed",$I693&lt;&gt;"Cancelled"),"Overdue","On Track"))</f>
        <v/>
      </c>
      <c r="S693" s="65">
        <f>IF($L693="","",TEXT($L693,"yyyy-mm"))</f>
        <v/>
      </c>
      <c r="T693" s="86">
        <f>IF($I693="","",IFERROR(INDEX(Action_Status_Map!$C$5:$C$11,MATCH($I693,Action_Status_Map!$A$5:$A$11,0)),""))</f>
        <v/>
      </c>
      <c r="U693" s="81" t="n"/>
      <c r="V693" s="82" t="n"/>
      <c r="W693" s="65">
        <f>IF(OR($I693&lt;&gt;"Completed",$M693="",$L693=""),"",IF($M693&lt;=$L693,"Yes","No"))</f>
        <v/>
      </c>
      <c r="X693" s="84">
        <f>IF($A693="","",COUNTIF(Task_Steps!$B$5:$B$2004,$A693))</f>
        <v/>
      </c>
      <c r="Y693" s="86">
        <f>IF($X693=0,"",COUNTIFS(Task_Steps!$B$5:$B$2004,$A693,Task_Steps!$H$5:$H$2004,"Completed")/$X693)</f>
        <v/>
      </c>
      <c r="Z693" s="81" t="n"/>
      <c r="AA693" s="81" t="n"/>
      <c r="AB693" s="67">
        <f>IF($F693="","",IFERROR(INDEX(Employee_Master!$E$5:$E$204,MATCH($F693,Employee_Master!$B$5:$B$204,0)),""))</f>
        <v/>
      </c>
      <c r="AC693" s="65">
        <f>IF(OR($A693="",$AB693=""),"",IF(OR($I693="Completed",$I693="Cancelled"),"Closed - in Manager Report","Active - in Manager Report"))</f>
        <v/>
      </c>
      <c r="AD693" s="81">
        <f>IF($A693="","",IFERROR(TEXTJOIN(", ",TRUE,FILTER(Task_Steps!$A$5:$A$2004,Task_Steps!$B$5:$B$2004=$A693)),""))</f>
        <v/>
      </c>
      <c r="AE693" s="84">
        <f>IF($A693="","",COUNTIFS(Task_Steps!$B$5:$B$2004,$A693,Task_Steps!$H$5:$H$2004,"&lt;&gt;Completed",Task_Steps!$H$5:$H$2004,"&lt;&gt;Cancelled"))</f>
        <v/>
      </c>
      <c r="AF693" s="81">
        <f>IF(OR($B693="",$A693=""),"",$B693&amp;" | "&amp;$A693)</f>
        <v/>
      </c>
    </row>
    <row r="694" ht="15" customHeight="1" s="40">
      <c r="A694" s="65">
        <f>IF(COUNTA(B694:F694)=0,"","TSK-"&amp;TEXT(ROW()-4,"0000"))</f>
        <v/>
      </c>
      <c r="B694" s="78" t="n"/>
      <c r="C694" s="78" t="n"/>
      <c r="D694" s="81" t="n"/>
      <c r="E694" s="81" t="n"/>
      <c r="F694" s="78" t="n"/>
      <c r="G694" s="67">
        <f>IF($F694="","",IFERROR(INDEX(Employee_Master!$C$5:$C$204,MATCH($F694,Employee_Master!$B$5:$B$204,0)),""))</f>
        <v/>
      </c>
      <c r="H694" s="78" t="n"/>
      <c r="I694" s="78" t="n"/>
      <c r="J694" s="67">
        <f>IF($I694="","",IFERROR(INDEX(Action_Status_Map!$B$5:$B$11,MATCH($I694,Action_Status_Map!$A$5:$A$11,0)),""))</f>
        <v/>
      </c>
      <c r="K694" s="82" t="n"/>
      <c r="L694" s="82" t="n"/>
      <c r="M694" s="82" t="n"/>
      <c r="N694" s="83" t="n"/>
      <c r="O694" s="83" t="n"/>
      <c r="P694" s="66">
        <f>IF(OR($N694="",$O694=""),"",$O694-$N694)</f>
        <v/>
      </c>
      <c r="Q694" s="84">
        <f>IF($K694="","",IF($M694&lt;&gt;"",$M694-$K694,TODAY()-$K694))</f>
        <v/>
      </c>
      <c r="R694" s="85">
        <f>IF(OR($L694="",$I694="Completed",$I694="Cancelled"),"",IF(AND($L694&lt;TODAY(),$I694&lt;&gt;"Completed",$I694&lt;&gt;"Cancelled"),"Overdue","On Track"))</f>
        <v/>
      </c>
      <c r="S694" s="65">
        <f>IF($L694="","",TEXT($L694,"yyyy-mm"))</f>
        <v/>
      </c>
      <c r="T694" s="86">
        <f>IF($I694="","",IFERROR(INDEX(Action_Status_Map!$C$5:$C$11,MATCH($I694,Action_Status_Map!$A$5:$A$11,0)),""))</f>
        <v/>
      </c>
      <c r="U694" s="81" t="n"/>
      <c r="V694" s="82" t="n"/>
      <c r="W694" s="65">
        <f>IF(OR($I694&lt;&gt;"Completed",$M694="",$L694=""),"",IF($M694&lt;=$L694,"Yes","No"))</f>
        <v/>
      </c>
      <c r="X694" s="84">
        <f>IF($A694="","",COUNTIF(Task_Steps!$B$5:$B$2004,$A694))</f>
        <v/>
      </c>
      <c r="Y694" s="86">
        <f>IF($X694=0,"",COUNTIFS(Task_Steps!$B$5:$B$2004,$A694,Task_Steps!$H$5:$H$2004,"Completed")/$X694)</f>
        <v/>
      </c>
      <c r="Z694" s="81" t="n"/>
      <c r="AA694" s="81" t="n"/>
      <c r="AB694" s="67">
        <f>IF($F694="","",IFERROR(INDEX(Employee_Master!$E$5:$E$204,MATCH($F694,Employee_Master!$B$5:$B$204,0)),""))</f>
        <v/>
      </c>
      <c r="AC694" s="65">
        <f>IF(OR($A694="",$AB694=""),"",IF(OR($I694="Completed",$I694="Cancelled"),"Closed - in Manager Report","Active - in Manager Report"))</f>
        <v/>
      </c>
      <c r="AD694" s="81">
        <f>IF($A694="","",IFERROR(TEXTJOIN(", ",TRUE,FILTER(Task_Steps!$A$5:$A$2004,Task_Steps!$B$5:$B$2004=$A694)),""))</f>
        <v/>
      </c>
      <c r="AE694" s="84">
        <f>IF($A694="","",COUNTIFS(Task_Steps!$B$5:$B$2004,$A694,Task_Steps!$H$5:$H$2004,"&lt;&gt;Completed",Task_Steps!$H$5:$H$2004,"&lt;&gt;Cancelled"))</f>
        <v/>
      </c>
      <c r="AF694" s="81">
        <f>IF(OR($B694="",$A694=""),"",$B694&amp;" | "&amp;$A694)</f>
        <v/>
      </c>
    </row>
    <row r="695" ht="15" customHeight="1" s="40">
      <c r="A695" s="65">
        <f>IF(COUNTA(B695:F695)=0,"","TSK-"&amp;TEXT(ROW()-4,"0000"))</f>
        <v/>
      </c>
      <c r="B695" s="78" t="n"/>
      <c r="C695" s="78" t="n"/>
      <c r="D695" s="81" t="n"/>
      <c r="E695" s="81" t="n"/>
      <c r="F695" s="78" t="n"/>
      <c r="G695" s="67">
        <f>IF($F695="","",IFERROR(INDEX(Employee_Master!$C$5:$C$204,MATCH($F695,Employee_Master!$B$5:$B$204,0)),""))</f>
        <v/>
      </c>
      <c r="H695" s="78" t="n"/>
      <c r="I695" s="78" t="n"/>
      <c r="J695" s="67">
        <f>IF($I695="","",IFERROR(INDEX(Action_Status_Map!$B$5:$B$11,MATCH($I695,Action_Status_Map!$A$5:$A$11,0)),""))</f>
        <v/>
      </c>
      <c r="K695" s="82" t="n"/>
      <c r="L695" s="82" t="n"/>
      <c r="M695" s="82" t="n"/>
      <c r="N695" s="83" t="n"/>
      <c r="O695" s="83" t="n"/>
      <c r="P695" s="66">
        <f>IF(OR($N695="",$O695=""),"",$O695-$N695)</f>
        <v/>
      </c>
      <c r="Q695" s="84">
        <f>IF($K695="","",IF($M695&lt;&gt;"",$M695-$K695,TODAY()-$K695))</f>
        <v/>
      </c>
      <c r="R695" s="85">
        <f>IF(OR($L695="",$I695="Completed",$I695="Cancelled"),"",IF(AND($L695&lt;TODAY(),$I695&lt;&gt;"Completed",$I695&lt;&gt;"Cancelled"),"Overdue","On Track"))</f>
        <v/>
      </c>
      <c r="S695" s="65">
        <f>IF($L695="","",TEXT($L695,"yyyy-mm"))</f>
        <v/>
      </c>
      <c r="T695" s="86">
        <f>IF($I695="","",IFERROR(INDEX(Action_Status_Map!$C$5:$C$11,MATCH($I695,Action_Status_Map!$A$5:$A$11,0)),""))</f>
        <v/>
      </c>
      <c r="U695" s="81" t="n"/>
      <c r="V695" s="82" t="n"/>
      <c r="W695" s="65">
        <f>IF(OR($I695&lt;&gt;"Completed",$M695="",$L695=""),"",IF($M695&lt;=$L695,"Yes","No"))</f>
        <v/>
      </c>
      <c r="X695" s="84">
        <f>IF($A695="","",COUNTIF(Task_Steps!$B$5:$B$2004,$A695))</f>
        <v/>
      </c>
      <c r="Y695" s="86">
        <f>IF($X695=0,"",COUNTIFS(Task_Steps!$B$5:$B$2004,$A695,Task_Steps!$H$5:$H$2004,"Completed")/$X695)</f>
        <v/>
      </c>
      <c r="Z695" s="81" t="n"/>
      <c r="AA695" s="81" t="n"/>
      <c r="AB695" s="67">
        <f>IF($F695="","",IFERROR(INDEX(Employee_Master!$E$5:$E$204,MATCH($F695,Employee_Master!$B$5:$B$204,0)),""))</f>
        <v/>
      </c>
      <c r="AC695" s="65">
        <f>IF(OR($A695="",$AB695=""),"",IF(OR($I695="Completed",$I695="Cancelled"),"Closed - in Manager Report","Active - in Manager Report"))</f>
        <v/>
      </c>
      <c r="AD695" s="81">
        <f>IF($A695="","",IFERROR(TEXTJOIN(", ",TRUE,FILTER(Task_Steps!$A$5:$A$2004,Task_Steps!$B$5:$B$2004=$A695)),""))</f>
        <v/>
      </c>
      <c r="AE695" s="84">
        <f>IF($A695="","",COUNTIFS(Task_Steps!$B$5:$B$2004,$A695,Task_Steps!$H$5:$H$2004,"&lt;&gt;Completed",Task_Steps!$H$5:$H$2004,"&lt;&gt;Cancelled"))</f>
        <v/>
      </c>
      <c r="AF695" s="81">
        <f>IF(OR($B695="",$A695=""),"",$B695&amp;" | "&amp;$A695)</f>
        <v/>
      </c>
    </row>
    <row r="696" ht="15" customHeight="1" s="40">
      <c r="A696" s="65">
        <f>IF(COUNTA(B696:F696)=0,"","TSK-"&amp;TEXT(ROW()-4,"0000"))</f>
        <v/>
      </c>
      <c r="B696" s="78" t="n"/>
      <c r="C696" s="78" t="n"/>
      <c r="D696" s="81" t="n"/>
      <c r="E696" s="81" t="n"/>
      <c r="F696" s="78" t="n"/>
      <c r="G696" s="67">
        <f>IF($F696="","",IFERROR(INDEX(Employee_Master!$C$5:$C$204,MATCH($F696,Employee_Master!$B$5:$B$204,0)),""))</f>
        <v/>
      </c>
      <c r="H696" s="78" t="n"/>
      <c r="I696" s="78" t="n"/>
      <c r="J696" s="67">
        <f>IF($I696="","",IFERROR(INDEX(Action_Status_Map!$B$5:$B$11,MATCH($I696,Action_Status_Map!$A$5:$A$11,0)),""))</f>
        <v/>
      </c>
      <c r="K696" s="82" t="n"/>
      <c r="L696" s="82" t="n"/>
      <c r="M696" s="82" t="n"/>
      <c r="N696" s="83" t="n"/>
      <c r="O696" s="83" t="n"/>
      <c r="P696" s="66">
        <f>IF(OR($N696="",$O696=""),"",$O696-$N696)</f>
        <v/>
      </c>
      <c r="Q696" s="84">
        <f>IF($K696="","",IF($M696&lt;&gt;"",$M696-$K696,TODAY()-$K696))</f>
        <v/>
      </c>
      <c r="R696" s="85">
        <f>IF(OR($L696="",$I696="Completed",$I696="Cancelled"),"",IF(AND($L696&lt;TODAY(),$I696&lt;&gt;"Completed",$I696&lt;&gt;"Cancelled"),"Overdue","On Track"))</f>
        <v/>
      </c>
      <c r="S696" s="65">
        <f>IF($L696="","",TEXT($L696,"yyyy-mm"))</f>
        <v/>
      </c>
      <c r="T696" s="86">
        <f>IF($I696="","",IFERROR(INDEX(Action_Status_Map!$C$5:$C$11,MATCH($I696,Action_Status_Map!$A$5:$A$11,0)),""))</f>
        <v/>
      </c>
      <c r="U696" s="81" t="n"/>
      <c r="V696" s="82" t="n"/>
      <c r="W696" s="65">
        <f>IF(OR($I696&lt;&gt;"Completed",$M696="",$L696=""),"",IF($M696&lt;=$L696,"Yes","No"))</f>
        <v/>
      </c>
      <c r="X696" s="84">
        <f>IF($A696="","",COUNTIF(Task_Steps!$B$5:$B$2004,$A696))</f>
        <v/>
      </c>
      <c r="Y696" s="86">
        <f>IF($X696=0,"",COUNTIFS(Task_Steps!$B$5:$B$2004,$A696,Task_Steps!$H$5:$H$2004,"Completed")/$X696)</f>
        <v/>
      </c>
      <c r="Z696" s="81" t="n"/>
      <c r="AA696" s="81" t="n"/>
      <c r="AB696" s="67">
        <f>IF($F696="","",IFERROR(INDEX(Employee_Master!$E$5:$E$204,MATCH($F696,Employee_Master!$B$5:$B$204,0)),""))</f>
        <v/>
      </c>
      <c r="AC696" s="65">
        <f>IF(OR($A696="",$AB696=""),"",IF(OR($I696="Completed",$I696="Cancelled"),"Closed - in Manager Report","Active - in Manager Report"))</f>
        <v/>
      </c>
      <c r="AD696" s="81">
        <f>IF($A696="","",IFERROR(TEXTJOIN(", ",TRUE,FILTER(Task_Steps!$A$5:$A$2004,Task_Steps!$B$5:$B$2004=$A696)),""))</f>
        <v/>
      </c>
      <c r="AE696" s="84">
        <f>IF($A696="","",COUNTIFS(Task_Steps!$B$5:$B$2004,$A696,Task_Steps!$H$5:$H$2004,"&lt;&gt;Completed",Task_Steps!$H$5:$H$2004,"&lt;&gt;Cancelled"))</f>
        <v/>
      </c>
      <c r="AF696" s="81">
        <f>IF(OR($B696="",$A696=""),"",$B696&amp;" | "&amp;$A696)</f>
        <v/>
      </c>
    </row>
    <row r="697" ht="15" customHeight="1" s="40">
      <c r="A697" s="65">
        <f>IF(COUNTA(B697:F697)=0,"","TSK-"&amp;TEXT(ROW()-4,"0000"))</f>
        <v/>
      </c>
      <c r="B697" s="78" t="n"/>
      <c r="C697" s="78" t="n"/>
      <c r="D697" s="81" t="n"/>
      <c r="E697" s="81" t="n"/>
      <c r="F697" s="78" t="n"/>
      <c r="G697" s="67">
        <f>IF($F697="","",IFERROR(INDEX(Employee_Master!$C$5:$C$204,MATCH($F697,Employee_Master!$B$5:$B$204,0)),""))</f>
        <v/>
      </c>
      <c r="H697" s="78" t="n"/>
      <c r="I697" s="78" t="n"/>
      <c r="J697" s="67">
        <f>IF($I697="","",IFERROR(INDEX(Action_Status_Map!$B$5:$B$11,MATCH($I697,Action_Status_Map!$A$5:$A$11,0)),""))</f>
        <v/>
      </c>
      <c r="K697" s="82" t="n"/>
      <c r="L697" s="82" t="n"/>
      <c r="M697" s="82" t="n"/>
      <c r="N697" s="83" t="n"/>
      <c r="O697" s="83" t="n"/>
      <c r="P697" s="66">
        <f>IF(OR($N697="",$O697=""),"",$O697-$N697)</f>
        <v/>
      </c>
      <c r="Q697" s="84">
        <f>IF($K697="","",IF($M697&lt;&gt;"",$M697-$K697,TODAY()-$K697))</f>
        <v/>
      </c>
      <c r="R697" s="85">
        <f>IF(OR($L697="",$I697="Completed",$I697="Cancelled"),"",IF(AND($L697&lt;TODAY(),$I697&lt;&gt;"Completed",$I697&lt;&gt;"Cancelled"),"Overdue","On Track"))</f>
        <v/>
      </c>
      <c r="S697" s="65">
        <f>IF($L697="","",TEXT($L697,"yyyy-mm"))</f>
        <v/>
      </c>
      <c r="T697" s="86">
        <f>IF($I697="","",IFERROR(INDEX(Action_Status_Map!$C$5:$C$11,MATCH($I697,Action_Status_Map!$A$5:$A$11,0)),""))</f>
        <v/>
      </c>
      <c r="U697" s="81" t="n"/>
      <c r="V697" s="82" t="n"/>
      <c r="W697" s="65">
        <f>IF(OR($I697&lt;&gt;"Completed",$M697="",$L697=""),"",IF($M697&lt;=$L697,"Yes","No"))</f>
        <v/>
      </c>
      <c r="X697" s="84">
        <f>IF($A697="","",COUNTIF(Task_Steps!$B$5:$B$2004,$A697))</f>
        <v/>
      </c>
      <c r="Y697" s="86">
        <f>IF($X697=0,"",COUNTIFS(Task_Steps!$B$5:$B$2004,$A697,Task_Steps!$H$5:$H$2004,"Completed")/$X697)</f>
        <v/>
      </c>
      <c r="Z697" s="81" t="n"/>
      <c r="AA697" s="81" t="n"/>
      <c r="AB697" s="67">
        <f>IF($F697="","",IFERROR(INDEX(Employee_Master!$E$5:$E$204,MATCH($F697,Employee_Master!$B$5:$B$204,0)),""))</f>
        <v/>
      </c>
      <c r="AC697" s="65">
        <f>IF(OR($A697="",$AB697=""),"",IF(OR($I697="Completed",$I697="Cancelled"),"Closed - in Manager Report","Active - in Manager Report"))</f>
        <v/>
      </c>
      <c r="AD697" s="81">
        <f>IF($A697="","",IFERROR(TEXTJOIN(", ",TRUE,FILTER(Task_Steps!$A$5:$A$2004,Task_Steps!$B$5:$B$2004=$A697)),""))</f>
        <v/>
      </c>
      <c r="AE697" s="84">
        <f>IF($A697="","",COUNTIFS(Task_Steps!$B$5:$B$2004,$A697,Task_Steps!$H$5:$H$2004,"&lt;&gt;Completed",Task_Steps!$H$5:$H$2004,"&lt;&gt;Cancelled"))</f>
        <v/>
      </c>
      <c r="AF697" s="81">
        <f>IF(OR($B697="",$A697=""),"",$B697&amp;" | "&amp;$A697)</f>
        <v/>
      </c>
    </row>
    <row r="698" ht="15" customHeight="1" s="40">
      <c r="A698" s="65">
        <f>IF(COUNTA(B698:F698)=0,"","TSK-"&amp;TEXT(ROW()-4,"0000"))</f>
        <v/>
      </c>
      <c r="B698" s="78" t="n"/>
      <c r="C698" s="78" t="n"/>
      <c r="D698" s="81" t="n"/>
      <c r="E698" s="81" t="n"/>
      <c r="F698" s="78" t="n"/>
      <c r="G698" s="67">
        <f>IF($F698="","",IFERROR(INDEX(Employee_Master!$C$5:$C$204,MATCH($F698,Employee_Master!$B$5:$B$204,0)),""))</f>
        <v/>
      </c>
      <c r="H698" s="78" t="n"/>
      <c r="I698" s="78" t="n"/>
      <c r="J698" s="67">
        <f>IF($I698="","",IFERROR(INDEX(Action_Status_Map!$B$5:$B$11,MATCH($I698,Action_Status_Map!$A$5:$A$11,0)),""))</f>
        <v/>
      </c>
      <c r="K698" s="82" t="n"/>
      <c r="L698" s="82" t="n"/>
      <c r="M698" s="82" t="n"/>
      <c r="N698" s="83" t="n"/>
      <c r="O698" s="83" t="n"/>
      <c r="P698" s="66">
        <f>IF(OR($N698="",$O698=""),"",$O698-$N698)</f>
        <v/>
      </c>
      <c r="Q698" s="84">
        <f>IF($K698="","",IF($M698&lt;&gt;"",$M698-$K698,TODAY()-$K698))</f>
        <v/>
      </c>
      <c r="R698" s="85">
        <f>IF(OR($L698="",$I698="Completed",$I698="Cancelled"),"",IF(AND($L698&lt;TODAY(),$I698&lt;&gt;"Completed",$I698&lt;&gt;"Cancelled"),"Overdue","On Track"))</f>
        <v/>
      </c>
      <c r="S698" s="65">
        <f>IF($L698="","",TEXT($L698,"yyyy-mm"))</f>
        <v/>
      </c>
      <c r="T698" s="86">
        <f>IF($I698="","",IFERROR(INDEX(Action_Status_Map!$C$5:$C$11,MATCH($I698,Action_Status_Map!$A$5:$A$11,0)),""))</f>
        <v/>
      </c>
      <c r="U698" s="81" t="n"/>
      <c r="V698" s="82" t="n"/>
      <c r="W698" s="65">
        <f>IF(OR($I698&lt;&gt;"Completed",$M698="",$L698=""),"",IF($M698&lt;=$L698,"Yes","No"))</f>
        <v/>
      </c>
      <c r="X698" s="84">
        <f>IF($A698="","",COUNTIF(Task_Steps!$B$5:$B$2004,$A698))</f>
        <v/>
      </c>
      <c r="Y698" s="86">
        <f>IF($X698=0,"",COUNTIFS(Task_Steps!$B$5:$B$2004,$A698,Task_Steps!$H$5:$H$2004,"Completed")/$X698)</f>
        <v/>
      </c>
      <c r="Z698" s="81" t="n"/>
      <c r="AA698" s="81" t="n"/>
      <c r="AB698" s="67">
        <f>IF($F698="","",IFERROR(INDEX(Employee_Master!$E$5:$E$204,MATCH($F698,Employee_Master!$B$5:$B$204,0)),""))</f>
        <v/>
      </c>
      <c r="AC698" s="65">
        <f>IF(OR($A698="",$AB698=""),"",IF(OR($I698="Completed",$I698="Cancelled"),"Closed - in Manager Report","Active - in Manager Report"))</f>
        <v/>
      </c>
      <c r="AD698" s="81">
        <f>IF($A698="","",IFERROR(TEXTJOIN(", ",TRUE,FILTER(Task_Steps!$A$5:$A$2004,Task_Steps!$B$5:$B$2004=$A698)),""))</f>
        <v/>
      </c>
      <c r="AE698" s="84">
        <f>IF($A698="","",COUNTIFS(Task_Steps!$B$5:$B$2004,$A698,Task_Steps!$H$5:$H$2004,"&lt;&gt;Completed",Task_Steps!$H$5:$H$2004,"&lt;&gt;Cancelled"))</f>
        <v/>
      </c>
      <c r="AF698" s="81">
        <f>IF(OR($B698="",$A698=""),"",$B698&amp;" | "&amp;$A698)</f>
        <v/>
      </c>
    </row>
    <row r="699" ht="15" customHeight="1" s="40">
      <c r="A699" s="65">
        <f>IF(COUNTA(B699:F699)=0,"","TSK-"&amp;TEXT(ROW()-4,"0000"))</f>
        <v/>
      </c>
      <c r="B699" s="78" t="n"/>
      <c r="C699" s="78" t="n"/>
      <c r="D699" s="81" t="n"/>
      <c r="E699" s="81" t="n"/>
      <c r="F699" s="78" t="n"/>
      <c r="G699" s="67">
        <f>IF($F699="","",IFERROR(INDEX(Employee_Master!$C$5:$C$204,MATCH($F699,Employee_Master!$B$5:$B$204,0)),""))</f>
        <v/>
      </c>
      <c r="H699" s="78" t="n"/>
      <c r="I699" s="78" t="n"/>
      <c r="J699" s="67">
        <f>IF($I699="","",IFERROR(INDEX(Action_Status_Map!$B$5:$B$11,MATCH($I699,Action_Status_Map!$A$5:$A$11,0)),""))</f>
        <v/>
      </c>
      <c r="K699" s="82" t="n"/>
      <c r="L699" s="82" t="n"/>
      <c r="M699" s="82" t="n"/>
      <c r="N699" s="83" t="n"/>
      <c r="O699" s="83" t="n"/>
      <c r="P699" s="66">
        <f>IF(OR($N699="",$O699=""),"",$O699-$N699)</f>
        <v/>
      </c>
      <c r="Q699" s="84">
        <f>IF($K699="","",IF($M699&lt;&gt;"",$M699-$K699,TODAY()-$K699))</f>
        <v/>
      </c>
      <c r="R699" s="85">
        <f>IF(OR($L699="",$I699="Completed",$I699="Cancelled"),"",IF(AND($L699&lt;TODAY(),$I699&lt;&gt;"Completed",$I699&lt;&gt;"Cancelled"),"Overdue","On Track"))</f>
        <v/>
      </c>
      <c r="S699" s="65">
        <f>IF($L699="","",TEXT($L699,"yyyy-mm"))</f>
        <v/>
      </c>
      <c r="T699" s="86">
        <f>IF($I699="","",IFERROR(INDEX(Action_Status_Map!$C$5:$C$11,MATCH($I699,Action_Status_Map!$A$5:$A$11,0)),""))</f>
        <v/>
      </c>
      <c r="U699" s="81" t="n"/>
      <c r="V699" s="82" t="n"/>
      <c r="W699" s="65">
        <f>IF(OR($I699&lt;&gt;"Completed",$M699="",$L699=""),"",IF($M699&lt;=$L699,"Yes","No"))</f>
        <v/>
      </c>
      <c r="X699" s="84">
        <f>IF($A699="","",COUNTIF(Task_Steps!$B$5:$B$2004,$A699))</f>
        <v/>
      </c>
      <c r="Y699" s="86">
        <f>IF($X699=0,"",COUNTIFS(Task_Steps!$B$5:$B$2004,$A699,Task_Steps!$H$5:$H$2004,"Completed")/$X699)</f>
        <v/>
      </c>
      <c r="Z699" s="81" t="n"/>
      <c r="AA699" s="81" t="n"/>
      <c r="AB699" s="67">
        <f>IF($F699="","",IFERROR(INDEX(Employee_Master!$E$5:$E$204,MATCH($F699,Employee_Master!$B$5:$B$204,0)),""))</f>
        <v/>
      </c>
      <c r="AC699" s="65">
        <f>IF(OR($A699="",$AB699=""),"",IF(OR($I699="Completed",$I699="Cancelled"),"Closed - in Manager Report","Active - in Manager Report"))</f>
        <v/>
      </c>
      <c r="AD699" s="81">
        <f>IF($A699="","",IFERROR(TEXTJOIN(", ",TRUE,FILTER(Task_Steps!$A$5:$A$2004,Task_Steps!$B$5:$B$2004=$A699)),""))</f>
        <v/>
      </c>
      <c r="AE699" s="84">
        <f>IF($A699="","",COUNTIFS(Task_Steps!$B$5:$B$2004,$A699,Task_Steps!$H$5:$H$2004,"&lt;&gt;Completed",Task_Steps!$H$5:$H$2004,"&lt;&gt;Cancelled"))</f>
        <v/>
      </c>
      <c r="AF699" s="81">
        <f>IF(OR($B699="",$A699=""),"",$B699&amp;" | "&amp;$A699)</f>
        <v/>
      </c>
    </row>
    <row r="700" ht="15" customHeight="1" s="40">
      <c r="A700" s="65">
        <f>IF(COUNTA(B700:F700)=0,"","TSK-"&amp;TEXT(ROW()-4,"0000"))</f>
        <v/>
      </c>
      <c r="B700" s="78" t="n"/>
      <c r="C700" s="78" t="n"/>
      <c r="D700" s="81" t="n"/>
      <c r="E700" s="81" t="n"/>
      <c r="F700" s="78" t="n"/>
      <c r="G700" s="67">
        <f>IF($F700="","",IFERROR(INDEX(Employee_Master!$C$5:$C$204,MATCH($F700,Employee_Master!$B$5:$B$204,0)),""))</f>
        <v/>
      </c>
      <c r="H700" s="78" t="n"/>
      <c r="I700" s="78" t="n"/>
      <c r="J700" s="67">
        <f>IF($I700="","",IFERROR(INDEX(Action_Status_Map!$B$5:$B$11,MATCH($I700,Action_Status_Map!$A$5:$A$11,0)),""))</f>
        <v/>
      </c>
      <c r="K700" s="82" t="n"/>
      <c r="L700" s="82" t="n"/>
      <c r="M700" s="82" t="n"/>
      <c r="N700" s="83" t="n"/>
      <c r="O700" s="83" t="n"/>
      <c r="P700" s="66">
        <f>IF(OR($N700="",$O700=""),"",$O700-$N700)</f>
        <v/>
      </c>
      <c r="Q700" s="84">
        <f>IF($K700="","",IF($M700&lt;&gt;"",$M700-$K700,TODAY()-$K700))</f>
        <v/>
      </c>
      <c r="R700" s="85">
        <f>IF(OR($L700="",$I700="Completed",$I700="Cancelled"),"",IF(AND($L700&lt;TODAY(),$I700&lt;&gt;"Completed",$I700&lt;&gt;"Cancelled"),"Overdue","On Track"))</f>
        <v/>
      </c>
      <c r="S700" s="65">
        <f>IF($L700="","",TEXT($L700,"yyyy-mm"))</f>
        <v/>
      </c>
      <c r="T700" s="86">
        <f>IF($I700="","",IFERROR(INDEX(Action_Status_Map!$C$5:$C$11,MATCH($I700,Action_Status_Map!$A$5:$A$11,0)),""))</f>
        <v/>
      </c>
      <c r="U700" s="81" t="n"/>
      <c r="V700" s="82" t="n"/>
      <c r="W700" s="65">
        <f>IF(OR($I700&lt;&gt;"Completed",$M700="",$L700=""),"",IF($M700&lt;=$L700,"Yes","No"))</f>
        <v/>
      </c>
      <c r="X700" s="84">
        <f>IF($A700="","",COUNTIF(Task_Steps!$B$5:$B$2004,$A700))</f>
        <v/>
      </c>
      <c r="Y700" s="86">
        <f>IF($X700=0,"",COUNTIFS(Task_Steps!$B$5:$B$2004,$A700,Task_Steps!$H$5:$H$2004,"Completed")/$X700)</f>
        <v/>
      </c>
      <c r="Z700" s="81" t="n"/>
      <c r="AA700" s="81" t="n"/>
      <c r="AB700" s="67">
        <f>IF($F700="","",IFERROR(INDEX(Employee_Master!$E$5:$E$204,MATCH($F700,Employee_Master!$B$5:$B$204,0)),""))</f>
        <v/>
      </c>
      <c r="AC700" s="65">
        <f>IF(OR($A700="",$AB700=""),"",IF(OR($I700="Completed",$I700="Cancelled"),"Closed - in Manager Report","Active - in Manager Report"))</f>
        <v/>
      </c>
      <c r="AD700" s="81">
        <f>IF($A700="","",IFERROR(TEXTJOIN(", ",TRUE,FILTER(Task_Steps!$A$5:$A$2004,Task_Steps!$B$5:$B$2004=$A700)),""))</f>
        <v/>
      </c>
      <c r="AE700" s="84">
        <f>IF($A700="","",COUNTIFS(Task_Steps!$B$5:$B$2004,$A700,Task_Steps!$H$5:$H$2004,"&lt;&gt;Completed",Task_Steps!$H$5:$H$2004,"&lt;&gt;Cancelled"))</f>
        <v/>
      </c>
      <c r="AF700" s="81">
        <f>IF(OR($B700="",$A700=""),"",$B700&amp;" | "&amp;$A700)</f>
        <v/>
      </c>
    </row>
    <row r="701" ht="15" customHeight="1" s="40">
      <c r="A701" s="65">
        <f>IF(COUNTA(B701:F701)=0,"","TSK-"&amp;TEXT(ROW()-4,"0000"))</f>
        <v/>
      </c>
      <c r="B701" s="78" t="n"/>
      <c r="C701" s="78" t="n"/>
      <c r="D701" s="81" t="n"/>
      <c r="E701" s="81" t="n"/>
      <c r="F701" s="78" t="n"/>
      <c r="G701" s="67">
        <f>IF($F701="","",IFERROR(INDEX(Employee_Master!$C$5:$C$204,MATCH($F701,Employee_Master!$B$5:$B$204,0)),""))</f>
        <v/>
      </c>
      <c r="H701" s="78" t="n"/>
      <c r="I701" s="78" t="n"/>
      <c r="J701" s="67">
        <f>IF($I701="","",IFERROR(INDEX(Action_Status_Map!$B$5:$B$11,MATCH($I701,Action_Status_Map!$A$5:$A$11,0)),""))</f>
        <v/>
      </c>
      <c r="K701" s="82" t="n"/>
      <c r="L701" s="82" t="n"/>
      <c r="M701" s="82" t="n"/>
      <c r="N701" s="83" t="n"/>
      <c r="O701" s="83" t="n"/>
      <c r="P701" s="66">
        <f>IF(OR($N701="",$O701=""),"",$O701-$N701)</f>
        <v/>
      </c>
      <c r="Q701" s="84">
        <f>IF($K701="","",IF($M701&lt;&gt;"",$M701-$K701,TODAY()-$K701))</f>
        <v/>
      </c>
      <c r="R701" s="85">
        <f>IF(OR($L701="",$I701="Completed",$I701="Cancelled"),"",IF(AND($L701&lt;TODAY(),$I701&lt;&gt;"Completed",$I701&lt;&gt;"Cancelled"),"Overdue","On Track"))</f>
        <v/>
      </c>
      <c r="S701" s="65">
        <f>IF($L701="","",TEXT($L701,"yyyy-mm"))</f>
        <v/>
      </c>
      <c r="T701" s="86">
        <f>IF($I701="","",IFERROR(INDEX(Action_Status_Map!$C$5:$C$11,MATCH($I701,Action_Status_Map!$A$5:$A$11,0)),""))</f>
        <v/>
      </c>
      <c r="U701" s="81" t="n"/>
      <c r="V701" s="82" t="n"/>
      <c r="W701" s="65">
        <f>IF(OR($I701&lt;&gt;"Completed",$M701="",$L701=""),"",IF($M701&lt;=$L701,"Yes","No"))</f>
        <v/>
      </c>
      <c r="X701" s="84">
        <f>IF($A701="","",COUNTIF(Task_Steps!$B$5:$B$2004,$A701))</f>
        <v/>
      </c>
      <c r="Y701" s="86">
        <f>IF($X701=0,"",COUNTIFS(Task_Steps!$B$5:$B$2004,$A701,Task_Steps!$H$5:$H$2004,"Completed")/$X701)</f>
        <v/>
      </c>
      <c r="Z701" s="81" t="n"/>
      <c r="AA701" s="81" t="n"/>
      <c r="AB701" s="67">
        <f>IF($F701="","",IFERROR(INDEX(Employee_Master!$E$5:$E$204,MATCH($F701,Employee_Master!$B$5:$B$204,0)),""))</f>
        <v/>
      </c>
      <c r="AC701" s="65">
        <f>IF(OR($A701="",$AB701=""),"",IF(OR($I701="Completed",$I701="Cancelled"),"Closed - in Manager Report","Active - in Manager Report"))</f>
        <v/>
      </c>
      <c r="AD701" s="81">
        <f>IF($A701="","",IFERROR(TEXTJOIN(", ",TRUE,FILTER(Task_Steps!$A$5:$A$2004,Task_Steps!$B$5:$B$2004=$A701)),""))</f>
        <v/>
      </c>
      <c r="AE701" s="84">
        <f>IF($A701="","",COUNTIFS(Task_Steps!$B$5:$B$2004,$A701,Task_Steps!$H$5:$H$2004,"&lt;&gt;Completed",Task_Steps!$H$5:$H$2004,"&lt;&gt;Cancelled"))</f>
        <v/>
      </c>
      <c r="AF701" s="81">
        <f>IF(OR($B701="",$A701=""),"",$B701&amp;" | "&amp;$A701)</f>
        <v/>
      </c>
    </row>
    <row r="702" ht="15" customHeight="1" s="40">
      <c r="A702" s="65">
        <f>IF(COUNTA(B702:F702)=0,"","TSK-"&amp;TEXT(ROW()-4,"0000"))</f>
        <v/>
      </c>
      <c r="B702" s="78" t="n"/>
      <c r="C702" s="78" t="n"/>
      <c r="D702" s="81" t="n"/>
      <c r="E702" s="81" t="n"/>
      <c r="F702" s="78" t="n"/>
      <c r="G702" s="67">
        <f>IF($F702="","",IFERROR(INDEX(Employee_Master!$C$5:$C$204,MATCH($F702,Employee_Master!$B$5:$B$204,0)),""))</f>
        <v/>
      </c>
      <c r="H702" s="78" t="n"/>
      <c r="I702" s="78" t="n"/>
      <c r="J702" s="67">
        <f>IF($I702="","",IFERROR(INDEX(Action_Status_Map!$B$5:$B$11,MATCH($I702,Action_Status_Map!$A$5:$A$11,0)),""))</f>
        <v/>
      </c>
      <c r="K702" s="82" t="n"/>
      <c r="L702" s="82" t="n"/>
      <c r="M702" s="82" t="n"/>
      <c r="N702" s="83" t="n"/>
      <c r="O702" s="83" t="n"/>
      <c r="P702" s="66">
        <f>IF(OR($N702="",$O702=""),"",$O702-$N702)</f>
        <v/>
      </c>
      <c r="Q702" s="84">
        <f>IF($K702="","",IF($M702&lt;&gt;"",$M702-$K702,TODAY()-$K702))</f>
        <v/>
      </c>
      <c r="R702" s="85">
        <f>IF(OR($L702="",$I702="Completed",$I702="Cancelled"),"",IF(AND($L702&lt;TODAY(),$I702&lt;&gt;"Completed",$I702&lt;&gt;"Cancelled"),"Overdue","On Track"))</f>
        <v/>
      </c>
      <c r="S702" s="65">
        <f>IF($L702="","",TEXT($L702,"yyyy-mm"))</f>
        <v/>
      </c>
      <c r="T702" s="86">
        <f>IF($I702="","",IFERROR(INDEX(Action_Status_Map!$C$5:$C$11,MATCH($I702,Action_Status_Map!$A$5:$A$11,0)),""))</f>
        <v/>
      </c>
      <c r="U702" s="81" t="n"/>
      <c r="V702" s="82" t="n"/>
      <c r="W702" s="65">
        <f>IF(OR($I702&lt;&gt;"Completed",$M702="",$L702=""),"",IF($M702&lt;=$L702,"Yes","No"))</f>
        <v/>
      </c>
      <c r="X702" s="84">
        <f>IF($A702="","",COUNTIF(Task_Steps!$B$5:$B$2004,$A702))</f>
        <v/>
      </c>
      <c r="Y702" s="86">
        <f>IF($X702=0,"",COUNTIFS(Task_Steps!$B$5:$B$2004,$A702,Task_Steps!$H$5:$H$2004,"Completed")/$X702)</f>
        <v/>
      </c>
      <c r="Z702" s="81" t="n"/>
      <c r="AA702" s="81" t="n"/>
      <c r="AB702" s="67">
        <f>IF($F702="","",IFERROR(INDEX(Employee_Master!$E$5:$E$204,MATCH($F702,Employee_Master!$B$5:$B$204,0)),""))</f>
        <v/>
      </c>
      <c r="AC702" s="65">
        <f>IF(OR($A702="",$AB702=""),"",IF(OR($I702="Completed",$I702="Cancelled"),"Closed - in Manager Report","Active - in Manager Report"))</f>
        <v/>
      </c>
      <c r="AD702" s="81">
        <f>IF($A702="","",IFERROR(TEXTJOIN(", ",TRUE,FILTER(Task_Steps!$A$5:$A$2004,Task_Steps!$B$5:$B$2004=$A702)),""))</f>
        <v/>
      </c>
      <c r="AE702" s="84">
        <f>IF($A702="","",COUNTIFS(Task_Steps!$B$5:$B$2004,$A702,Task_Steps!$H$5:$H$2004,"&lt;&gt;Completed",Task_Steps!$H$5:$H$2004,"&lt;&gt;Cancelled"))</f>
        <v/>
      </c>
      <c r="AF702" s="81">
        <f>IF(OR($B702="",$A702=""),"",$B702&amp;" | "&amp;$A702)</f>
        <v/>
      </c>
    </row>
    <row r="703" ht="15" customHeight="1" s="40">
      <c r="A703" s="65">
        <f>IF(COUNTA(B703:F703)=0,"","TSK-"&amp;TEXT(ROW()-4,"0000"))</f>
        <v/>
      </c>
      <c r="B703" s="78" t="n"/>
      <c r="C703" s="78" t="n"/>
      <c r="D703" s="81" t="n"/>
      <c r="E703" s="81" t="n"/>
      <c r="F703" s="78" t="n"/>
      <c r="G703" s="67">
        <f>IF($F703="","",IFERROR(INDEX(Employee_Master!$C$5:$C$204,MATCH($F703,Employee_Master!$B$5:$B$204,0)),""))</f>
        <v/>
      </c>
      <c r="H703" s="78" t="n"/>
      <c r="I703" s="78" t="n"/>
      <c r="J703" s="67">
        <f>IF($I703="","",IFERROR(INDEX(Action_Status_Map!$B$5:$B$11,MATCH($I703,Action_Status_Map!$A$5:$A$11,0)),""))</f>
        <v/>
      </c>
      <c r="K703" s="82" t="n"/>
      <c r="L703" s="82" t="n"/>
      <c r="M703" s="82" t="n"/>
      <c r="N703" s="83" t="n"/>
      <c r="O703" s="83" t="n"/>
      <c r="P703" s="66">
        <f>IF(OR($N703="",$O703=""),"",$O703-$N703)</f>
        <v/>
      </c>
      <c r="Q703" s="84">
        <f>IF($K703="","",IF($M703&lt;&gt;"",$M703-$K703,TODAY()-$K703))</f>
        <v/>
      </c>
      <c r="R703" s="85">
        <f>IF(OR($L703="",$I703="Completed",$I703="Cancelled"),"",IF(AND($L703&lt;TODAY(),$I703&lt;&gt;"Completed",$I703&lt;&gt;"Cancelled"),"Overdue","On Track"))</f>
        <v/>
      </c>
      <c r="S703" s="65">
        <f>IF($L703="","",TEXT($L703,"yyyy-mm"))</f>
        <v/>
      </c>
      <c r="T703" s="86">
        <f>IF($I703="","",IFERROR(INDEX(Action_Status_Map!$C$5:$C$11,MATCH($I703,Action_Status_Map!$A$5:$A$11,0)),""))</f>
        <v/>
      </c>
      <c r="U703" s="81" t="n"/>
      <c r="V703" s="82" t="n"/>
      <c r="W703" s="65">
        <f>IF(OR($I703&lt;&gt;"Completed",$M703="",$L703=""),"",IF($M703&lt;=$L703,"Yes","No"))</f>
        <v/>
      </c>
      <c r="X703" s="84">
        <f>IF($A703="","",COUNTIF(Task_Steps!$B$5:$B$2004,$A703))</f>
        <v/>
      </c>
      <c r="Y703" s="86">
        <f>IF($X703=0,"",COUNTIFS(Task_Steps!$B$5:$B$2004,$A703,Task_Steps!$H$5:$H$2004,"Completed")/$X703)</f>
        <v/>
      </c>
      <c r="Z703" s="81" t="n"/>
      <c r="AA703" s="81" t="n"/>
      <c r="AB703" s="67">
        <f>IF($F703="","",IFERROR(INDEX(Employee_Master!$E$5:$E$204,MATCH($F703,Employee_Master!$B$5:$B$204,0)),""))</f>
        <v/>
      </c>
      <c r="AC703" s="65">
        <f>IF(OR($A703="",$AB703=""),"",IF(OR($I703="Completed",$I703="Cancelled"),"Closed - in Manager Report","Active - in Manager Report"))</f>
        <v/>
      </c>
      <c r="AD703" s="81">
        <f>IF($A703="","",IFERROR(TEXTJOIN(", ",TRUE,FILTER(Task_Steps!$A$5:$A$2004,Task_Steps!$B$5:$B$2004=$A703)),""))</f>
        <v/>
      </c>
      <c r="AE703" s="84">
        <f>IF($A703="","",COUNTIFS(Task_Steps!$B$5:$B$2004,$A703,Task_Steps!$H$5:$H$2004,"&lt;&gt;Completed",Task_Steps!$H$5:$H$2004,"&lt;&gt;Cancelled"))</f>
        <v/>
      </c>
      <c r="AF703" s="81">
        <f>IF(OR($B703="",$A703=""),"",$B703&amp;" | "&amp;$A703)</f>
        <v/>
      </c>
    </row>
    <row r="704" ht="15" customHeight="1" s="40">
      <c r="A704" s="65">
        <f>IF(COUNTA(B704:F704)=0,"","TSK-"&amp;TEXT(ROW()-4,"0000"))</f>
        <v/>
      </c>
      <c r="B704" s="78" t="n"/>
      <c r="C704" s="78" t="n"/>
      <c r="D704" s="81" t="n"/>
      <c r="E704" s="81" t="n"/>
      <c r="F704" s="78" t="n"/>
      <c r="G704" s="67">
        <f>IF($F704="","",IFERROR(INDEX(Employee_Master!$C$5:$C$204,MATCH($F704,Employee_Master!$B$5:$B$204,0)),""))</f>
        <v/>
      </c>
      <c r="H704" s="78" t="n"/>
      <c r="I704" s="78" t="n"/>
      <c r="J704" s="67">
        <f>IF($I704="","",IFERROR(INDEX(Action_Status_Map!$B$5:$B$11,MATCH($I704,Action_Status_Map!$A$5:$A$11,0)),""))</f>
        <v/>
      </c>
      <c r="K704" s="82" t="n"/>
      <c r="L704" s="82" t="n"/>
      <c r="M704" s="82" t="n"/>
      <c r="N704" s="83" t="n"/>
      <c r="O704" s="83" t="n"/>
      <c r="P704" s="66">
        <f>IF(OR($N704="",$O704=""),"",$O704-$N704)</f>
        <v/>
      </c>
      <c r="Q704" s="84">
        <f>IF($K704="","",IF($M704&lt;&gt;"",$M704-$K704,TODAY()-$K704))</f>
        <v/>
      </c>
      <c r="R704" s="85">
        <f>IF(OR($L704="",$I704="Completed",$I704="Cancelled"),"",IF(AND($L704&lt;TODAY(),$I704&lt;&gt;"Completed",$I704&lt;&gt;"Cancelled"),"Overdue","On Track"))</f>
        <v/>
      </c>
      <c r="S704" s="65">
        <f>IF($L704="","",TEXT($L704,"yyyy-mm"))</f>
        <v/>
      </c>
      <c r="T704" s="86">
        <f>IF($I704="","",IFERROR(INDEX(Action_Status_Map!$C$5:$C$11,MATCH($I704,Action_Status_Map!$A$5:$A$11,0)),""))</f>
        <v/>
      </c>
      <c r="U704" s="81" t="n"/>
      <c r="V704" s="82" t="n"/>
      <c r="W704" s="65">
        <f>IF(OR($I704&lt;&gt;"Completed",$M704="",$L704=""),"",IF($M704&lt;=$L704,"Yes","No"))</f>
        <v/>
      </c>
      <c r="X704" s="84">
        <f>IF($A704="","",COUNTIF(Task_Steps!$B$5:$B$2004,$A704))</f>
        <v/>
      </c>
      <c r="Y704" s="86">
        <f>IF($X704=0,"",COUNTIFS(Task_Steps!$B$5:$B$2004,$A704,Task_Steps!$H$5:$H$2004,"Completed")/$X704)</f>
        <v/>
      </c>
      <c r="Z704" s="81" t="n"/>
      <c r="AA704" s="81" t="n"/>
      <c r="AB704" s="67">
        <f>IF($F704="","",IFERROR(INDEX(Employee_Master!$E$5:$E$204,MATCH($F704,Employee_Master!$B$5:$B$204,0)),""))</f>
        <v/>
      </c>
      <c r="AC704" s="65">
        <f>IF(OR($A704="",$AB704=""),"",IF(OR($I704="Completed",$I704="Cancelled"),"Closed - in Manager Report","Active - in Manager Report"))</f>
        <v/>
      </c>
      <c r="AD704" s="81">
        <f>IF($A704="","",IFERROR(TEXTJOIN(", ",TRUE,FILTER(Task_Steps!$A$5:$A$2004,Task_Steps!$B$5:$B$2004=$A704)),""))</f>
        <v/>
      </c>
      <c r="AE704" s="84">
        <f>IF($A704="","",COUNTIFS(Task_Steps!$B$5:$B$2004,$A704,Task_Steps!$H$5:$H$2004,"&lt;&gt;Completed",Task_Steps!$H$5:$H$2004,"&lt;&gt;Cancelled"))</f>
        <v/>
      </c>
      <c r="AF704" s="81">
        <f>IF(OR($B704="",$A704=""),"",$B704&amp;" | "&amp;$A704)</f>
        <v/>
      </c>
    </row>
    <row r="705" ht="15" customHeight="1" s="40">
      <c r="A705" s="65">
        <f>IF(COUNTA(B705:F705)=0,"","TSK-"&amp;TEXT(ROW()-4,"0000"))</f>
        <v/>
      </c>
      <c r="B705" s="78" t="n"/>
      <c r="C705" s="78" t="n"/>
      <c r="D705" s="81" t="n"/>
      <c r="E705" s="81" t="n"/>
      <c r="F705" s="78" t="n"/>
      <c r="G705" s="67">
        <f>IF($F705="","",IFERROR(INDEX(Employee_Master!$C$5:$C$204,MATCH($F705,Employee_Master!$B$5:$B$204,0)),""))</f>
        <v/>
      </c>
      <c r="H705" s="78" t="n"/>
      <c r="I705" s="78" t="n"/>
      <c r="J705" s="67">
        <f>IF($I705="","",IFERROR(INDEX(Action_Status_Map!$B$5:$B$11,MATCH($I705,Action_Status_Map!$A$5:$A$11,0)),""))</f>
        <v/>
      </c>
      <c r="K705" s="82" t="n"/>
      <c r="L705" s="82" t="n"/>
      <c r="M705" s="82" t="n"/>
      <c r="N705" s="83" t="n"/>
      <c r="O705" s="83" t="n"/>
      <c r="P705" s="66">
        <f>IF(OR($N705="",$O705=""),"",$O705-$N705)</f>
        <v/>
      </c>
      <c r="Q705" s="84">
        <f>IF($K705="","",IF($M705&lt;&gt;"",$M705-$K705,TODAY()-$K705))</f>
        <v/>
      </c>
      <c r="R705" s="85">
        <f>IF(OR($L705="",$I705="Completed",$I705="Cancelled"),"",IF(AND($L705&lt;TODAY(),$I705&lt;&gt;"Completed",$I705&lt;&gt;"Cancelled"),"Overdue","On Track"))</f>
        <v/>
      </c>
      <c r="S705" s="65">
        <f>IF($L705="","",TEXT($L705,"yyyy-mm"))</f>
        <v/>
      </c>
      <c r="T705" s="86">
        <f>IF($I705="","",IFERROR(INDEX(Action_Status_Map!$C$5:$C$11,MATCH($I705,Action_Status_Map!$A$5:$A$11,0)),""))</f>
        <v/>
      </c>
      <c r="U705" s="81" t="n"/>
      <c r="V705" s="82" t="n"/>
      <c r="W705" s="65">
        <f>IF(OR($I705&lt;&gt;"Completed",$M705="",$L705=""),"",IF($M705&lt;=$L705,"Yes","No"))</f>
        <v/>
      </c>
      <c r="X705" s="84">
        <f>IF($A705="","",COUNTIF(Task_Steps!$B$5:$B$2004,$A705))</f>
        <v/>
      </c>
      <c r="Y705" s="86">
        <f>IF($X705=0,"",COUNTIFS(Task_Steps!$B$5:$B$2004,$A705,Task_Steps!$H$5:$H$2004,"Completed")/$X705)</f>
        <v/>
      </c>
      <c r="Z705" s="81" t="n"/>
      <c r="AA705" s="81" t="n"/>
      <c r="AB705" s="67">
        <f>IF($F705="","",IFERROR(INDEX(Employee_Master!$E$5:$E$204,MATCH($F705,Employee_Master!$B$5:$B$204,0)),""))</f>
        <v/>
      </c>
      <c r="AC705" s="65">
        <f>IF(OR($A705="",$AB705=""),"",IF(OR($I705="Completed",$I705="Cancelled"),"Closed - in Manager Report","Active - in Manager Report"))</f>
        <v/>
      </c>
      <c r="AD705" s="81">
        <f>IF($A705="","",IFERROR(TEXTJOIN(", ",TRUE,FILTER(Task_Steps!$A$5:$A$2004,Task_Steps!$B$5:$B$2004=$A705)),""))</f>
        <v/>
      </c>
      <c r="AE705" s="84">
        <f>IF($A705="","",COUNTIFS(Task_Steps!$B$5:$B$2004,$A705,Task_Steps!$H$5:$H$2004,"&lt;&gt;Completed",Task_Steps!$H$5:$H$2004,"&lt;&gt;Cancelled"))</f>
        <v/>
      </c>
      <c r="AF705" s="81">
        <f>IF(OR($B705="",$A705=""),"",$B705&amp;" | "&amp;$A705)</f>
        <v/>
      </c>
    </row>
    <row r="706" ht="15" customHeight="1" s="40">
      <c r="A706" s="65">
        <f>IF(COUNTA(B706:F706)=0,"","TSK-"&amp;TEXT(ROW()-4,"0000"))</f>
        <v/>
      </c>
      <c r="B706" s="78" t="n"/>
      <c r="C706" s="78" t="n"/>
      <c r="D706" s="81" t="n"/>
      <c r="E706" s="81" t="n"/>
      <c r="F706" s="78" t="n"/>
      <c r="G706" s="67">
        <f>IF($F706="","",IFERROR(INDEX(Employee_Master!$C$5:$C$204,MATCH($F706,Employee_Master!$B$5:$B$204,0)),""))</f>
        <v/>
      </c>
      <c r="H706" s="78" t="n"/>
      <c r="I706" s="78" t="n"/>
      <c r="J706" s="67">
        <f>IF($I706="","",IFERROR(INDEX(Action_Status_Map!$B$5:$B$11,MATCH($I706,Action_Status_Map!$A$5:$A$11,0)),""))</f>
        <v/>
      </c>
      <c r="K706" s="82" t="n"/>
      <c r="L706" s="82" t="n"/>
      <c r="M706" s="82" t="n"/>
      <c r="N706" s="83" t="n"/>
      <c r="O706" s="83" t="n"/>
      <c r="P706" s="66">
        <f>IF(OR($N706="",$O706=""),"",$O706-$N706)</f>
        <v/>
      </c>
      <c r="Q706" s="84">
        <f>IF($K706="","",IF($M706&lt;&gt;"",$M706-$K706,TODAY()-$K706))</f>
        <v/>
      </c>
      <c r="R706" s="85">
        <f>IF(OR($L706="",$I706="Completed",$I706="Cancelled"),"",IF(AND($L706&lt;TODAY(),$I706&lt;&gt;"Completed",$I706&lt;&gt;"Cancelled"),"Overdue","On Track"))</f>
        <v/>
      </c>
      <c r="S706" s="65">
        <f>IF($L706="","",TEXT($L706,"yyyy-mm"))</f>
        <v/>
      </c>
      <c r="T706" s="86">
        <f>IF($I706="","",IFERROR(INDEX(Action_Status_Map!$C$5:$C$11,MATCH($I706,Action_Status_Map!$A$5:$A$11,0)),""))</f>
        <v/>
      </c>
      <c r="U706" s="81" t="n"/>
      <c r="V706" s="82" t="n"/>
      <c r="W706" s="65">
        <f>IF(OR($I706&lt;&gt;"Completed",$M706="",$L706=""),"",IF($M706&lt;=$L706,"Yes","No"))</f>
        <v/>
      </c>
      <c r="X706" s="84">
        <f>IF($A706="","",COUNTIF(Task_Steps!$B$5:$B$2004,$A706))</f>
        <v/>
      </c>
      <c r="Y706" s="86">
        <f>IF($X706=0,"",COUNTIFS(Task_Steps!$B$5:$B$2004,$A706,Task_Steps!$H$5:$H$2004,"Completed")/$X706)</f>
        <v/>
      </c>
      <c r="Z706" s="81" t="n"/>
      <c r="AA706" s="81" t="n"/>
      <c r="AB706" s="67">
        <f>IF($F706="","",IFERROR(INDEX(Employee_Master!$E$5:$E$204,MATCH($F706,Employee_Master!$B$5:$B$204,0)),""))</f>
        <v/>
      </c>
      <c r="AC706" s="65">
        <f>IF(OR($A706="",$AB706=""),"",IF(OR($I706="Completed",$I706="Cancelled"),"Closed - in Manager Report","Active - in Manager Report"))</f>
        <v/>
      </c>
      <c r="AD706" s="81">
        <f>IF($A706="","",IFERROR(TEXTJOIN(", ",TRUE,FILTER(Task_Steps!$A$5:$A$2004,Task_Steps!$B$5:$B$2004=$A706)),""))</f>
        <v/>
      </c>
      <c r="AE706" s="84">
        <f>IF($A706="","",COUNTIFS(Task_Steps!$B$5:$B$2004,$A706,Task_Steps!$H$5:$H$2004,"&lt;&gt;Completed",Task_Steps!$H$5:$H$2004,"&lt;&gt;Cancelled"))</f>
        <v/>
      </c>
      <c r="AF706" s="81">
        <f>IF(OR($B706="",$A706=""),"",$B706&amp;" | "&amp;$A706)</f>
        <v/>
      </c>
    </row>
    <row r="707" ht="15" customHeight="1" s="40">
      <c r="A707" s="65">
        <f>IF(COUNTA(B707:F707)=0,"","TSK-"&amp;TEXT(ROW()-4,"0000"))</f>
        <v/>
      </c>
      <c r="B707" s="78" t="n"/>
      <c r="C707" s="78" t="n"/>
      <c r="D707" s="81" t="n"/>
      <c r="E707" s="81" t="n"/>
      <c r="F707" s="78" t="n"/>
      <c r="G707" s="67">
        <f>IF($F707="","",IFERROR(INDEX(Employee_Master!$C$5:$C$204,MATCH($F707,Employee_Master!$B$5:$B$204,0)),""))</f>
        <v/>
      </c>
      <c r="H707" s="78" t="n"/>
      <c r="I707" s="78" t="n"/>
      <c r="J707" s="67">
        <f>IF($I707="","",IFERROR(INDEX(Action_Status_Map!$B$5:$B$11,MATCH($I707,Action_Status_Map!$A$5:$A$11,0)),""))</f>
        <v/>
      </c>
      <c r="K707" s="82" t="n"/>
      <c r="L707" s="82" t="n"/>
      <c r="M707" s="82" t="n"/>
      <c r="N707" s="83" t="n"/>
      <c r="O707" s="83" t="n"/>
      <c r="P707" s="66">
        <f>IF(OR($N707="",$O707=""),"",$O707-$N707)</f>
        <v/>
      </c>
      <c r="Q707" s="84">
        <f>IF($K707="","",IF($M707&lt;&gt;"",$M707-$K707,TODAY()-$K707))</f>
        <v/>
      </c>
      <c r="R707" s="85">
        <f>IF(OR($L707="",$I707="Completed",$I707="Cancelled"),"",IF(AND($L707&lt;TODAY(),$I707&lt;&gt;"Completed",$I707&lt;&gt;"Cancelled"),"Overdue","On Track"))</f>
        <v/>
      </c>
      <c r="S707" s="65">
        <f>IF($L707="","",TEXT($L707,"yyyy-mm"))</f>
        <v/>
      </c>
      <c r="T707" s="86">
        <f>IF($I707="","",IFERROR(INDEX(Action_Status_Map!$C$5:$C$11,MATCH($I707,Action_Status_Map!$A$5:$A$11,0)),""))</f>
        <v/>
      </c>
      <c r="U707" s="81" t="n"/>
      <c r="V707" s="82" t="n"/>
      <c r="W707" s="65">
        <f>IF(OR($I707&lt;&gt;"Completed",$M707="",$L707=""),"",IF($M707&lt;=$L707,"Yes","No"))</f>
        <v/>
      </c>
      <c r="X707" s="84">
        <f>IF($A707="","",COUNTIF(Task_Steps!$B$5:$B$2004,$A707))</f>
        <v/>
      </c>
      <c r="Y707" s="86">
        <f>IF($X707=0,"",COUNTIFS(Task_Steps!$B$5:$B$2004,$A707,Task_Steps!$H$5:$H$2004,"Completed")/$X707)</f>
        <v/>
      </c>
      <c r="Z707" s="81" t="n"/>
      <c r="AA707" s="81" t="n"/>
      <c r="AB707" s="67">
        <f>IF($F707="","",IFERROR(INDEX(Employee_Master!$E$5:$E$204,MATCH($F707,Employee_Master!$B$5:$B$204,0)),""))</f>
        <v/>
      </c>
      <c r="AC707" s="65">
        <f>IF(OR($A707="",$AB707=""),"",IF(OR($I707="Completed",$I707="Cancelled"),"Closed - in Manager Report","Active - in Manager Report"))</f>
        <v/>
      </c>
      <c r="AD707" s="81">
        <f>IF($A707="","",IFERROR(TEXTJOIN(", ",TRUE,FILTER(Task_Steps!$A$5:$A$2004,Task_Steps!$B$5:$B$2004=$A707)),""))</f>
        <v/>
      </c>
      <c r="AE707" s="84">
        <f>IF($A707="","",COUNTIFS(Task_Steps!$B$5:$B$2004,$A707,Task_Steps!$H$5:$H$2004,"&lt;&gt;Completed",Task_Steps!$H$5:$H$2004,"&lt;&gt;Cancelled"))</f>
        <v/>
      </c>
      <c r="AF707" s="81">
        <f>IF(OR($B707="",$A707=""),"",$B707&amp;" | "&amp;$A707)</f>
        <v/>
      </c>
    </row>
    <row r="708" ht="15" customHeight="1" s="40">
      <c r="A708" s="65">
        <f>IF(COUNTA(B708:F708)=0,"","TSK-"&amp;TEXT(ROW()-4,"0000"))</f>
        <v/>
      </c>
      <c r="B708" s="78" t="n"/>
      <c r="C708" s="78" t="n"/>
      <c r="D708" s="81" t="n"/>
      <c r="E708" s="81" t="n"/>
      <c r="F708" s="78" t="n"/>
      <c r="G708" s="67">
        <f>IF($F708="","",IFERROR(INDEX(Employee_Master!$C$5:$C$204,MATCH($F708,Employee_Master!$B$5:$B$204,0)),""))</f>
        <v/>
      </c>
      <c r="H708" s="78" t="n"/>
      <c r="I708" s="78" t="n"/>
      <c r="J708" s="67">
        <f>IF($I708="","",IFERROR(INDEX(Action_Status_Map!$B$5:$B$11,MATCH($I708,Action_Status_Map!$A$5:$A$11,0)),""))</f>
        <v/>
      </c>
      <c r="K708" s="82" t="n"/>
      <c r="L708" s="82" t="n"/>
      <c r="M708" s="82" t="n"/>
      <c r="N708" s="83" t="n"/>
      <c r="O708" s="83" t="n"/>
      <c r="P708" s="66">
        <f>IF(OR($N708="",$O708=""),"",$O708-$N708)</f>
        <v/>
      </c>
      <c r="Q708" s="84">
        <f>IF($K708="","",IF($M708&lt;&gt;"",$M708-$K708,TODAY()-$K708))</f>
        <v/>
      </c>
      <c r="R708" s="85">
        <f>IF(OR($L708="",$I708="Completed",$I708="Cancelled"),"",IF(AND($L708&lt;TODAY(),$I708&lt;&gt;"Completed",$I708&lt;&gt;"Cancelled"),"Overdue","On Track"))</f>
        <v/>
      </c>
      <c r="S708" s="65">
        <f>IF($L708="","",TEXT($L708,"yyyy-mm"))</f>
        <v/>
      </c>
      <c r="T708" s="86">
        <f>IF($I708="","",IFERROR(INDEX(Action_Status_Map!$C$5:$C$11,MATCH($I708,Action_Status_Map!$A$5:$A$11,0)),""))</f>
        <v/>
      </c>
      <c r="U708" s="81" t="n"/>
      <c r="V708" s="82" t="n"/>
      <c r="W708" s="65">
        <f>IF(OR($I708&lt;&gt;"Completed",$M708="",$L708=""),"",IF($M708&lt;=$L708,"Yes","No"))</f>
        <v/>
      </c>
      <c r="X708" s="84">
        <f>IF($A708="","",COUNTIF(Task_Steps!$B$5:$B$2004,$A708))</f>
        <v/>
      </c>
      <c r="Y708" s="86">
        <f>IF($X708=0,"",COUNTIFS(Task_Steps!$B$5:$B$2004,$A708,Task_Steps!$H$5:$H$2004,"Completed")/$X708)</f>
        <v/>
      </c>
      <c r="Z708" s="81" t="n"/>
      <c r="AA708" s="81" t="n"/>
      <c r="AB708" s="67">
        <f>IF($F708="","",IFERROR(INDEX(Employee_Master!$E$5:$E$204,MATCH($F708,Employee_Master!$B$5:$B$204,0)),""))</f>
        <v/>
      </c>
      <c r="AC708" s="65">
        <f>IF(OR($A708="",$AB708=""),"",IF(OR($I708="Completed",$I708="Cancelled"),"Closed - in Manager Report","Active - in Manager Report"))</f>
        <v/>
      </c>
      <c r="AD708" s="81">
        <f>IF($A708="","",IFERROR(TEXTJOIN(", ",TRUE,FILTER(Task_Steps!$A$5:$A$2004,Task_Steps!$B$5:$B$2004=$A708)),""))</f>
        <v/>
      </c>
      <c r="AE708" s="84">
        <f>IF($A708="","",COUNTIFS(Task_Steps!$B$5:$B$2004,$A708,Task_Steps!$H$5:$H$2004,"&lt;&gt;Completed",Task_Steps!$H$5:$H$2004,"&lt;&gt;Cancelled"))</f>
        <v/>
      </c>
      <c r="AF708" s="81">
        <f>IF(OR($B708="",$A708=""),"",$B708&amp;" | "&amp;$A708)</f>
        <v/>
      </c>
    </row>
    <row r="709" ht="15" customHeight="1" s="40">
      <c r="A709" s="65">
        <f>IF(COUNTA(B709:F709)=0,"","TSK-"&amp;TEXT(ROW()-4,"0000"))</f>
        <v/>
      </c>
      <c r="B709" s="78" t="n"/>
      <c r="C709" s="78" t="n"/>
      <c r="D709" s="81" t="n"/>
      <c r="E709" s="81" t="n"/>
      <c r="F709" s="78" t="n"/>
      <c r="G709" s="67">
        <f>IF($F709="","",IFERROR(INDEX(Employee_Master!$C$5:$C$204,MATCH($F709,Employee_Master!$B$5:$B$204,0)),""))</f>
        <v/>
      </c>
      <c r="H709" s="78" t="n"/>
      <c r="I709" s="78" t="n"/>
      <c r="J709" s="67">
        <f>IF($I709="","",IFERROR(INDEX(Action_Status_Map!$B$5:$B$11,MATCH($I709,Action_Status_Map!$A$5:$A$11,0)),""))</f>
        <v/>
      </c>
      <c r="K709" s="82" t="n"/>
      <c r="L709" s="82" t="n"/>
      <c r="M709" s="82" t="n"/>
      <c r="N709" s="83" t="n"/>
      <c r="O709" s="83" t="n"/>
      <c r="P709" s="66">
        <f>IF(OR($N709="",$O709=""),"",$O709-$N709)</f>
        <v/>
      </c>
      <c r="Q709" s="84">
        <f>IF($K709="","",IF($M709&lt;&gt;"",$M709-$K709,TODAY()-$K709))</f>
        <v/>
      </c>
      <c r="R709" s="85">
        <f>IF(OR($L709="",$I709="Completed",$I709="Cancelled"),"",IF(AND($L709&lt;TODAY(),$I709&lt;&gt;"Completed",$I709&lt;&gt;"Cancelled"),"Overdue","On Track"))</f>
        <v/>
      </c>
      <c r="S709" s="65">
        <f>IF($L709="","",TEXT($L709,"yyyy-mm"))</f>
        <v/>
      </c>
      <c r="T709" s="86">
        <f>IF($I709="","",IFERROR(INDEX(Action_Status_Map!$C$5:$C$11,MATCH($I709,Action_Status_Map!$A$5:$A$11,0)),""))</f>
        <v/>
      </c>
      <c r="U709" s="81" t="n"/>
      <c r="V709" s="82" t="n"/>
      <c r="W709" s="65">
        <f>IF(OR($I709&lt;&gt;"Completed",$M709="",$L709=""),"",IF($M709&lt;=$L709,"Yes","No"))</f>
        <v/>
      </c>
      <c r="X709" s="84">
        <f>IF($A709="","",COUNTIF(Task_Steps!$B$5:$B$2004,$A709))</f>
        <v/>
      </c>
      <c r="Y709" s="86">
        <f>IF($X709=0,"",COUNTIFS(Task_Steps!$B$5:$B$2004,$A709,Task_Steps!$H$5:$H$2004,"Completed")/$X709)</f>
        <v/>
      </c>
      <c r="Z709" s="81" t="n"/>
      <c r="AA709" s="81" t="n"/>
      <c r="AB709" s="67">
        <f>IF($F709="","",IFERROR(INDEX(Employee_Master!$E$5:$E$204,MATCH($F709,Employee_Master!$B$5:$B$204,0)),""))</f>
        <v/>
      </c>
      <c r="AC709" s="65">
        <f>IF(OR($A709="",$AB709=""),"",IF(OR($I709="Completed",$I709="Cancelled"),"Closed - in Manager Report","Active - in Manager Report"))</f>
        <v/>
      </c>
      <c r="AD709" s="81">
        <f>IF($A709="","",IFERROR(TEXTJOIN(", ",TRUE,FILTER(Task_Steps!$A$5:$A$2004,Task_Steps!$B$5:$B$2004=$A709)),""))</f>
        <v/>
      </c>
      <c r="AE709" s="84">
        <f>IF($A709="","",COUNTIFS(Task_Steps!$B$5:$B$2004,$A709,Task_Steps!$H$5:$H$2004,"&lt;&gt;Completed",Task_Steps!$H$5:$H$2004,"&lt;&gt;Cancelled"))</f>
        <v/>
      </c>
      <c r="AF709" s="81">
        <f>IF(OR($B709="",$A709=""),"",$B709&amp;" | "&amp;$A709)</f>
        <v/>
      </c>
    </row>
    <row r="710" ht="15" customHeight="1" s="40">
      <c r="A710" s="65">
        <f>IF(COUNTA(B710:F710)=0,"","TSK-"&amp;TEXT(ROW()-4,"0000"))</f>
        <v/>
      </c>
      <c r="B710" s="78" t="n"/>
      <c r="C710" s="78" t="n"/>
      <c r="D710" s="81" t="n"/>
      <c r="E710" s="81" t="n"/>
      <c r="F710" s="78" t="n"/>
      <c r="G710" s="67">
        <f>IF($F710="","",IFERROR(INDEX(Employee_Master!$C$5:$C$204,MATCH($F710,Employee_Master!$B$5:$B$204,0)),""))</f>
        <v/>
      </c>
      <c r="H710" s="78" t="n"/>
      <c r="I710" s="78" t="n"/>
      <c r="J710" s="67">
        <f>IF($I710="","",IFERROR(INDEX(Action_Status_Map!$B$5:$B$11,MATCH($I710,Action_Status_Map!$A$5:$A$11,0)),""))</f>
        <v/>
      </c>
      <c r="K710" s="82" t="n"/>
      <c r="L710" s="82" t="n"/>
      <c r="M710" s="82" t="n"/>
      <c r="N710" s="83" t="n"/>
      <c r="O710" s="83" t="n"/>
      <c r="P710" s="66">
        <f>IF(OR($N710="",$O710=""),"",$O710-$N710)</f>
        <v/>
      </c>
      <c r="Q710" s="84">
        <f>IF($K710="","",IF($M710&lt;&gt;"",$M710-$K710,TODAY()-$K710))</f>
        <v/>
      </c>
      <c r="R710" s="85">
        <f>IF(OR($L710="",$I710="Completed",$I710="Cancelled"),"",IF(AND($L710&lt;TODAY(),$I710&lt;&gt;"Completed",$I710&lt;&gt;"Cancelled"),"Overdue","On Track"))</f>
        <v/>
      </c>
      <c r="S710" s="65">
        <f>IF($L710="","",TEXT($L710,"yyyy-mm"))</f>
        <v/>
      </c>
      <c r="T710" s="86">
        <f>IF($I710="","",IFERROR(INDEX(Action_Status_Map!$C$5:$C$11,MATCH($I710,Action_Status_Map!$A$5:$A$11,0)),""))</f>
        <v/>
      </c>
      <c r="U710" s="81" t="n"/>
      <c r="V710" s="82" t="n"/>
      <c r="W710" s="65">
        <f>IF(OR($I710&lt;&gt;"Completed",$M710="",$L710=""),"",IF($M710&lt;=$L710,"Yes","No"))</f>
        <v/>
      </c>
      <c r="X710" s="84">
        <f>IF($A710="","",COUNTIF(Task_Steps!$B$5:$B$2004,$A710))</f>
        <v/>
      </c>
      <c r="Y710" s="86">
        <f>IF($X710=0,"",COUNTIFS(Task_Steps!$B$5:$B$2004,$A710,Task_Steps!$H$5:$H$2004,"Completed")/$X710)</f>
        <v/>
      </c>
      <c r="Z710" s="81" t="n"/>
      <c r="AA710" s="81" t="n"/>
      <c r="AB710" s="67">
        <f>IF($F710="","",IFERROR(INDEX(Employee_Master!$E$5:$E$204,MATCH($F710,Employee_Master!$B$5:$B$204,0)),""))</f>
        <v/>
      </c>
      <c r="AC710" s="65">
        <f>IF(OR($A710="",$AB710=""),"",IF(OR($I710="Completed",$I710="Cancelled"),"Closed - in Manager Report","Active - in Manager Report"))</f>
        <v/>
      </c>
      <c r="AD710" s="81">
        <f>IF($A710="","",IFERROR(TEXTJOIN(", ",TRUE,FILTER(Task_Steps!$A$5:$A$2004,Task_Steps!$B$5:$B$2004=$A710)),""))</f>
        <v/>
      </c>
      <c r="AE710" s="84">
        <f>IF($A710="","",COUNTIFS(Task_Steps!$B$5:$B$2004,$A710,Task_Steps!$H$5:$H$2004,"&lt;&gt;Completed",Task_Steps!$H$5:$H$2004,"&lt;&gt;Cancelled"))</f>
        <v/>
      </c>
      <c r="AF710" s="81">
        <f>IF(OR($B710="",$A710=""),"",$B710&amp;" | "&amp;$A710)</f>
        <v/>
      </c>
    </row>
    <row r="711" ht="15" customHeight="1" s="40">
      <c r="A711" s="65">
        <f>IF(COUNTA(B711:F711)=0,"","TSK-"&amp;TEXT(ROW()-4,"0000"))</f>
        <v/>
      </c>
      <c r="B711" s="78" t="n"/>
      <c r="C711" s="78" t="n"/>
      <c r="D711" s="81" t="n"/>
      <c r="E711" s="81" t="n"/>
      <c r="F711" s="78" t="n"/>
      <c r="G711" s="67">
        <f>IF($F711="","",IFERROR(INDEX(Employee_Master!$C$5:$C$204,MATCH($F711,Employee_Master!$B$5:$B$204,0)),""))</f>
        <v/>
      </c>
      <c r="H711" s="78" t="n"/>
      <c r="I711" s="78" t="n"/>
      <c r="J711" s="67">
        <f>IF($I711="","",IFERROR(INDEX(Action_Status_Map!$B$5:$B$11,MATCH($I711,Action_Status_Map!$A$5:$A$11,0)),""))</f>
        <v/>
      </c>
      <c r="K711" s="82" t="n"/>
      <c r="L711" s="82" t="n"/>
      <c r="M711" s="82" t="n"/>
      <c r="N711" s="83" t="n"/>
      <c r="O711" s="83" t="n"/>
      <c r="P711" s="66">
        <f>IF(OR($N711="",$O711=""),"",$O711-$N711)</f>
        <v/>
      </c>
      <c r="Q711" s="84">
        <f>IF($K711="","",IF($M711&lt;&gt;"",$M711-$K711,TODAY()-$K711))</f>
        <v/>
      </c>
      <c r="R711" s="85">
        <f>IF(OR($L711="",$I711="Completed",$I711="Cancelled"),"",IF(AND($L711&lt;TODAY(),$I711&lt;&gt;"Completed",$I711&lt;&gt;"Cancelled"),"Overdue","On Track"))</f>
        <v/>
      </c>
      <c r="S711" s="65">
        <f>IF($L711="","",TEXT($L711,"yyyy-mm"))</f>
        <v/>
      </c>
      <c r="T711" s="86">
        <f>IF($I711="","",IFERROR(INDEX(Action_Status_Map!$C$5:$C$11,MATCH($I711,Action_Status_Map!$A$5:$A$11,0)),""))</f>
        <v/>
      </c>
      <c r="U711" s="81" t="n"/>
      <c r="V711" s="82" t="n"/>
      <c r="W711" s="65">
        <f>IF(OR($I711&lt;&gt;"Completed",$M711="",$L711=""),"",IF($M711&lt;=$L711,"Yes","No"))</f>
        <v/>
      </c>
      <c r="X711" s="84">
        <f>IF($A711="","",COUNTIF(Task_Steps!$B$5:$B$2004,$A711))</f>
        <v/>
      </c>
      <c r="Y711" s="86">
        <f>IF($X711=0,"",COUNTIFS(Task_Steps!$B$5:$B$2004,$A711,Task_Steps!$H$5:$H$2004,"Completed")/$X711)</f>
        <v/>
      </c>
      <c r="Z711" s="81" t="n"/>
      <c r="AA711" s="81" t="n"/>
      <c r="AB711" s="67">
        <f>IF($F711="","",IFERROR(INDEX(Employee_Master!$E$5:$E$204,MATCH($F711,Employee_Master!$B$5:$B$204,0)),""))</f>
        <v/>
      </c>
      <c r="AC711" s="65">
        <f>IF(OR($A711="",$AB711=""),"",IF(OR($I711="Completed",$I711="Cancelled"),"Closed - in Manager Report","Active - in Manager Report"))</f>
        <v/>
      </c>
      <c r="AD711" s="81">
        <f>IF($A711="","",IFERROR(TEXTJOIN(", ",TRUE,FILTER(Task_Steps!$A$5:$A$2004,Task_Steps!$B$5:$B$2004=$A711)),""))</f>
        <v/>
      </c>
      <c r="AE711" s="84">
        <f>IF($A711="","",COUNTIFS(Task_Steps!$B$5:$B$2004,$A711,Task_Steps!$H$5:$H$2004,"&lt;&gt;Completed",Task_Steps!$H$5:$H$2004,"&lt;&gt;Cancelled"))</f>
        <v/>
      </c>
      <c r="AF711" s="81">
        <f>IF(OR($B711="",$A711=""),"",$B711&amp;" | "&amp;$A711)</f>
        <v/>
      </c>
    </row>
    <row r="712" ht="15" customHeight="1" s="40">
      <c r="A712" s="65">
        <f>IF(COUNTA(B712:F712)=0,"","TSK-"&amp;TEXT(ROW()-4,"0000"))</f>
        <v/>
      </c>
      <c r="B712" s="78" t="n"/>
      <c r="C712" s="78" t="n"/>
      <c r="D712" s="81" t="n"/>
      <c r="E712" s="81" t="n"/>
      <c r="F712" s="78" t="n"/>
      <c r="G712" s="67">
        <f>IF($F712="","",IFERROR(INDEX(Employee_Master!$C$5:$C$204,MATCH($F712,Employee_Master!$B$5:$B$204,0)),""))</f>
        <v/>
      </c>
      <c r="H712" s="78" t="n"/>
      <c r="I712" s="78" t="n"/>
      <c r="J712" s="67">
        <f>IF($I712="","",IFERROR(INDEX(Action_Status_Map!$B$5:$B$11,MATCH($I712,Action_Status_Map!$A$5:$A$11,0)),""))</f>
        <v/>
      </c>
      <c r="K712" s="82" t="n"/>
      <c r="L712" s="82" t="n"/>
      <c r="M712" s="82" t="n"/>
      <c r="N712" s="83" t="n"/>
      <c r="O712" s="83" t="n"/>
      <c r="P712" s="66">
        <f>IF(OR($N712="",$O712=""),"",$O712-$N712)</f>
        <v/>
      </c>
      <c r="Q712" s="84">
        <f>IF($K712="","",IF($M712&lt;&gt;"",$M712-$K712,TODAY()-$K712))</f>
        <v/>
      </c>
      <c r="R712" s="85">
        <f>IF(OR($L712="",$I712="Completed",$I712="Cancelled"),"",IF(AND($L712&lt;TODAY(),$I712&lt;&gt;"Completed",$I712&lt;&gt;"Cancelled"),"Overdue","On Track"))</f>
        <v/>
      </c>
      <c r="S712" s="65">
        <f>IF($L712="","",TEXT($L712,"yyyy-mm"))</f>
        <v/>
      </c>
      <c r="T712" s="86">
        <f>IF($I712="","",IFERROR(INDEX(Action_Status_Map!$C$5:$C$11,MATCH($I712,Action_Status_Map!$A$5:$A$11,0)),""))</f>
        <v/>
      </c>
      <c r="U712" s="81" t="n"/>
      <c r="V712" s="82" t="n"/>
      <c r="W712" s="65">
        <f>IF(OR($I712&lt;&gt;"Completed",$M712="",$L712=""),"",IF($M712&lt;=$L712,"Yes","No"))</f>
        <v/>
      </c>
      <c r="X712" s="84">
        <f>IF($A712="","",COUNTIF(Task_Steps!$B$5:$B$2004,$A712))</f>
        <v/>
      </c>
      <c r="Y712" s="86">
        <f>IF($X712=0,"",COUNTIFS(Task_Steps!$B$5:$B$2004,$A712,Task_Steps!$H$5:$H$2004,"Completed")/$X712)</f>
        <v/>
      </c>
      <c r="Z712" s="81" t="n"/>
      <c r="AA712" s="81" t="n"/>
      <c r="AB712" s="67">
        <f>IF($F712="","",IFERROR(INDEX(Employee_Master!$E$5:$E$204,MATCH($F712,Employee_Master!$B$5:$B$204,0)),""))</f>
        <v/>
      </c>
      <c r="AC712" s="65">
        <f>IF(OR($A712="",$AB712=""),"",IF(OR($I712="Completed",$I712="Cancelled"),"Closed - in Manager Report","Active - in Manager Report"))</f>
        <v/>
      </c>
      <c r="AD712" s="81">
        <f>IF($A712="","",IFERROR(TEXTJOIN(", ",TRUE,FILTER(Task_Steps!$A$5:$A$2004,Task_Steps!$B$5:$B$2004=$A712)),""))</f>
        <v/>
      </c>
      <c r="AE712" s="84">
        <f>IF($A712="","",COUNTIFS(Task_Steps!$B$5:$B$2004,$A712,Task_Steps!$H$5:$H$2004,"&lt;&gt;Completed",Task_Steps!$H$5:$H$2004,"&lt;&gt;Cancelled"))</f>
        <v/>
      </c>
      <c r="AF712" s="81">
        <f>IF(OR($B712="",$A712=""),"",$B712&amp;" | "&amp;$A712)</f>
        <v/>
      </c>
    </row>
    <row r="713" ht="15" customHeight="1" s="40">
      <c r="A713" s="65">
        <f>IF(COUNTA(B713:F713)=0,"","TSK-"&amp;TEXT(ROW()-4,"0000"))</f>
        <v/>
      </c>
      <c r="B713" s="78" t="n"/>
      <c r="C713" s="78" t="n"/>
      <c r="D713" s="81" t="n"/>
      <c r="E713" s="81" t="n"/>
      <c r="F713" s="78" t="n"/>
      <c r="G713" s="67">
        <f>IF($F713="","",IFERROR(INDEX(Employee_Master!$C$5:$C$204,MATCH($F713,Employee_Master!$B$5:$B$204,0)),""))</f>
        <v/>
      </c>
      <c r="H713" s="78" t="n"/>
      <c r="I713" s="78" t="n"/>
      <c r="J713" s="67">
        <f>IF($I713="","",IFERROR(INDEX(Action_Status_Map!$B$5:$B$11,MATCH($I713,Action_Status_Map!$A$5:$A$11,0)),""))</f>
        <v/>
      </c>
      <c r="K713" s="82" t="n"/>
      <c r="L713" s="82" t="n"/>
      <c r="M713" s="82" t="n"/>
      <c r="N713" s="83" t="n"/>
      <c r="O713" s="83" t="n"/>
      <c r="P713" s="66">
        <f>IF(OR($N713="",$O713=""),"",$O713-$N713)</f>
        <v/>
      </c>
      <c r="Q713" s="84">
        <f>IF($K713="","",IF($M713&lt;&gt;"",$M713-$K713,TODAY()-$K713))</f>
        <v/>
      </c>
      <c r="R713" s="85">
        <f>IF(OR($L713="",$I713="Completed",$I713="Cancelled"),"",IF(AND($L713&lt;TODAY(),$I713&lt;&gt;"Completed",$I713&lt;&gt;"Cancelled"),"Overdue","On Track"))</f>
        <v/>
      </c>
      <c r="S713" s="65">
        <f>IF($L713="","",TEXT($L713,"yyyy-mm"))</f>
        <v/>
      </c>
      <c r="T713" s="86">
        <f>IF($I713="","",IFERROR(INDEX(Action_Status_Map!$C$5:$C$11,MATCH($I713,Action_Status_Map!$A$5:$A$11,0)),""))</f>
        <v/>
      </c>
      <c r="U713" s="81" t="n"/>
      <c r="V713" s="82" t="n"/>
      <c r="W713" s="65">
        <f>IF(OR($I713&lt;&gt;"Completed",$M713="",$L713=""),"",IF($M713&lt;=$L713,"Yes","No"))</f>
        <v/>
      </c>
      <c r="X713" s="84">
        <f>IF($A713="","",COUNTIF(Task_Steps!$B$5:$B$2004,$A713))</f>
        <v/>
      </c>
      <c r="Y713" s="86">
        <f>IF($X713=0,"",COUNTIFS(Task_Steps!$B$5:$B$2004,$A713,Task_Steps!$H$5:$H$2004,"Completed")/$X713)</f>
        <v/>
      </c>
      <c r="Z713" s="81" t="n"/>
      <c r="AA713" s="81" t="n"/>
      <c r="AB713" s="67">
        <f>IF($F713="","",IFERROR(INDEX(Employee_Master!$E$5:$E$204,MATCH($F713,Employee_Master!$B$5:$B$204,0)),""))</f>
        <v/>
      </c>
      <c r="AC713" s="65">
        <f>IF(OR($A713="",$AB713=""),"",IF(OR($I713="Completed",$I713="Cancelled"),"Closed - in Manager Report","Active - in Manager Report"))</f>
        <v/>
      </c>
      <c r="AD713" s="81">
        <f>IF($A713="","",IFERROR(TEXTJOIN(", ",TRUE,FILTER(Task_Steps!$A$5:$A$2004,Task_Steps!$B$5:$B$2004=$A713)),""))</f>
        <v/>
      </c>
      <c r="AE713" s="84">
        <f>IF($A713="","",COUNTIFS(Task_Steps!$B$5:$B$2004,$A713,Task_Steps!$H$5:$H$2004,"&lt;&gt;Completed",Task_Steps!$H$5:$H$2004,"&lt;&gt;Cancelled"))</f>
        <v/>
      </c>
      <c r="AF713" s="81">
        <f>IF(OR($B713="",$A713=""),"",$B713&amp;" | "&amp;$A713)</f>
        <v/>
      </c>
    </row>
    <row r="714" ht="15" customHeight="1" s="40">
      <c r="A714" s="65">
        <f>IF(COUNTA(B714:F714)=0,"","TSK-"&amp;TEXT(ROW()-4,"0000"))</f>
        <v/>
      </c>
      <c r="B714" s="78" t="n"/>
      <c r="C714" s="78" t="n"/>
      <c r="D714" s="81" t="n"/>
      <c r="E714" s="81" t="n"/>
      <c r="F714" s="78" t="n"/>
      <c r="G714" s="67">
        <f>IF($F714="","",IFERROR(INDEX(Employee_Master!$C$5:$C$204,MATCH($F714,Employee_Master!$B$5:$B$204,0)),""))</f>
        <v/>
      </c>
      <c r="H714" s="78" t="n"/>
      <c r="I714" s="78" t="n"/>
      <c r="J714" s="67">
        <f>IF($I714="","",IFERROR(INDEX(Action_Status_Map!$B$5:$B$11,MATCH($I714,Action_Status_Map!$A$5:$A$11,0)),""))</f>
        <v/>
      </c>
      <c r="K714" s="82" t="n"/>
      <c r="L714" s="82" t="n"/>
      <c r="M714" s="82" t="n"/>
      <c r="N714" s="83" t="n"/>
      <c r="O714" s="83" t="n"/>
      <c r="P714" s="66">
        <f>IF(OR($N714="",$O714=""),"",$O714-$N714)</f>
        <v/>
      </c>
      <c r="Q714" s="84">
        <f>IF($K714="","",IF($M714&lt;&gt;"",$M714-$K714,TODAY()-$K714))</f>
        <v/>
      </c>
      <c r="R714" s="85">
        <f>IF(OR($L714="",$I714="Completed",$I714="Cancelled"),"",IF(AND($L714&lt;TODAY(),$I714&lt;&gt;"Completed",$I714&lt;&gt;"Cancelled"),"Overdue","On Track"))</f>
        <v/>
      </c>
      <c r="S714" s="65">
        <f>IF($L714="","",TEXT($L714,"yyyy-mm"))</f>
        <v/>
      </c>
      <c r="T714" s="86">
        <f>IF($I714="","",IFERROR(INDEX(Action_Status_Map!$C$5:$C$11,MATCH($I714,Action_Status_Map!$A$5:$A$11,0)),""))</f>
        <v/>
      </c>
      <c r="U714" s="81" t="n"/>
      <c r="V714" s="82" t="n"/>
      <c r="W714" s="65">
        <f>IF(OR($I714&lt;&gt;"Completed",$M714="",$L714=""),"",IF($M714&lt;=$L714,"Yes","No"))</f>
        <v/>
      </c>
      <c r="X714" s="84">
        <f>IF($A714="","",COUNTIF(Task_Steps!$B$5:$B$2004,$A714))</f>
        <v/>
      </c>
      <c r="Y714" s="86">
        <f>IF($X714=0,"",COUNTIFS(Task_Steps!$B$5:$B$2004,$A714,Task_Steps!$H$5:$H$2004,"Completed")/$X714)</f>
        <v/>
      </c>
      <c r="Z714" s="81" t="n"/>
      <c r="AA714" s="81" t="n"/>
      <c r="AB714" s="67">
        <f>IF($F714="","",IFERROR(INDEX(Employee_Master!$E$5:$E$204,MATCH($F714,Employee_Master!$B$5:$B$204,0)),""))</f>
        <v/>
      </c>
      <c r="AC714" s="65">
        <f>IF(OR($A714="",$AB714=""),"",IF(OR($I714="Completed",$I714="Cancelled"),"Closed - in Manager Report","Active - in Manager Report"))</f>
        <v/>
      </c>
      <c r="AD714" s="81">
        <f>IF($A714="","",IFERROR(TEXTJOIN(", ",TRUE,FILTER(Task_Steps!$A$5:$A$2004,Task_Steps!$B$5:$B$2004=$A714)),""))</f>
        <v/>
      </c>
      <c r="AE714" s="84">
        <f>IF($A714="","",COUNTIFS(Task_Steps!$B$5:$B$2004,$A714,Task_Steps!$H$5:$H$2004,"&lt;&gt;Completed",Task_Steps!$H$5:$H$2004,"&lt;&gt;Cancelled"))</f>
        <v/>
      </c>
      <c r="AF714" s="81">
        <f>IF(OR($B714="",$A714=""),"",$B714&amp;" | "&amp;$A714)</f>
        <v/>
      </c>
    </row>
    <row r="715" ht="15" customHeight="1" s="40">
      <c r="A715" s="65">
        <f>IF(COUNTA(B715:F715)=0,"","TSK-"&amp;TEXT(ROW()-4,"0000"))</f>
        <v/>
      </c>
      <c r="B715" s="78" t="n"/>
      <c r="C715" s="78" t="n"/>
      <c r="D715" s="81" t="n"/>
      <c r="E715" s="81" t="n"/>
      <c r="F715" s="78" t="n"/>
      <c r="G715" s="67">
        <f>IF($F715="","",IFERROR(INDEX(Employee_Master!$C$5:$C$204,MATCH($F715,Employee_Master!$B$5:$B$204,0)),""))</f>
        <v/>
      </c>
      <c r="H715" s="78" t="n"/>
      <c r="I715" s="78" t="n"/>
      <c r="J715" s="67">
        <f>IF($I715="","",IFERROR(INDEX(Action_Status_Map!$B$5:$B$11,MATCH($I715,Action_Status_Map!$A$5:$A$11,0)),""))</f>
        <v/>
      </c>
      <c r="K715" s="82" t="n"/>
      <c r="L715" s="82" t="n"/>
      <c r="M715" s="82" t="n"/>
      <c r="N715" s="83" t="n"/>
      <c r="O715" s="83" t="n"/>
      <c r="P715" s="66">
        <f>IF(OR($N715="",$O715=""),"",$O715-$N715)</f>
        <v/>
      </c>
      <c r="Q715" s="84">
        <f>IF($K715="","",IF($M715&lt;&gt;"",$M715-$K715,TODAY()-$K715))</f>
        <v/>
      </c>
      <c r="R715" s="85">
        <f>IF(OR($L715="",$I715="Completed",$I715="Cancelled"),"",IF(AND($L715&lt;TODAY(),$I715&lt;&gt;"Completed",$I715&lt;&gt;"Cancelled"),"Overdue","On Track"))</f>
        <v/>
      </c>
      <c r="S715" s="65">
        <f>IF($L715="","",TEXT($L715,"yyyy-mm"))</f>
        <v/>
      </c>
      <c r="T715" s="86">
        <f>IF($I715="","",IFERROR(INDEX(Action_Status_Map!$C$5:$C$11,MATCH($I715,Action_Status_Map!$A$5:$A$11,0)),""))</f>
        <v/>
      </c>
      <c r="U715" s="81" t="n"/>
      <c r="V715" s="82" t="n"/>
      <c r="W715" s="65">
        <f>IF(OR($I715&lt;&gt;"Completed",$M715="",$L715=""),"",IF($M715&lt;=$L715,"Yes","No"))</f>
        <v/>
      </c>
      <c r="X715" s="84">
        <f>IF($A715="","",COUNTIF(Task_Steps!$B$5:$B$2004,$A715))</f>
        <v/>
      </c>
      <c r="Y715" s="86">
        <f>IF($X715=0,"",COUNTIFS(Task_Steps!$B$5:$B$2004,$A715,Task_Steps!$H$5:$H$2004,"Completed")/$X715)</f>
        <v/>
      </c>
      <c r="Z715" s="81" t="n"/>
      <c r="AA715" s="81" t="n"/>
      <c r="AB715" s="67">
        <f>IF($F715="","",IFERROR(INDEX(Employee_Master!$E$5:$E$204,MATCH($F715,Employee_Master!$B$5:$B$204,0)),""))</f>
        <v/>
      </c>
      <c r="AC715" s="65">
        <f>IF(OR($A715="",$AB715=""),"",IF(OR($I715="Completed",$I715="Cancelled"),"Closed - in Manager Report","Active - in Manager Report"))</f>
        <v/>
      </c>
      <c r="AD715" s="81">
        <f>IF($A715="","",IFERROR(TEXTJOIN(", ",TRUE,FILTER(Task_Steps!$A$5:$A$2004,Task_Steps!$B$5:$B$2004=$A715)),""))</f>
        <v/>
      </c>
      <c r="AE715" s="84">
        <f>IF($A715="","",COUNTIFS(Task_Steps!$B$5:$B$2004,$A715,Task_Steps!$H$5:$H$2004,"&lt;&gt;Completed",Task_Steps!$H$5:$H$2004,"&lt;&gt;Cancelled"))</f>
        <v/>
      </c>
      <c r="AF715" s="81">
        <f>IF(OR($B715="",$A715=""),"",$B715&amp;" | "&amp;$A715)</f>
        <v/>
      </c>
    </row>
    <row r="716" ht="15" customHeight="1" s="40">
      <c r="A716" s="65">
        <f>IF(COUNTA(B716:F716)=0,"","TSK-"&amp;TEXT(ROW()-4,"0000"))</f>
        <v/>
      </c>
      <c r="B716" s="78" t="n"/>
      <c r="C716" s="78" t="n"/>
      <c r="D716" s="81" t="n"/>
      <c r="E716" s="81" t="n"/>
      <c r="F716" s="78" t="n"/>
      <c r="G716" s="67">
        <f>IF($F716="","",IFERROR(INDEX(Employee_Master!$C$5:$C$204,MATCH($F716,Employee_Master!$B$5:$B$204,0)),""))</f>
        <v/>
      </c>
      <c r="H716" s="78" t="n"/>
      <c r="I716" s="78" t="n"/>
      <c r="J716" s="67">
        <f>IF($I716="","",IFERROR(INDEX(Action_Status_Map!$B$5:$B$11,MATCH($I716,Action_Status_Map!$A$5:$A$11,0)),""))</f>
        <v/>
      </c>
      <c r="K716" s="82" t="n"/>
      <c r="L716" s="82" t="n"/>
      <c r="M716" s="82" t="n"/>
      <c r="N716" s="83" t="n"/>
      <c r="O716" s="83" t="n"/>
      <c r="P716" s="66">
        <f>IF(OR($N716="",$O716=""),"",$O716-$N716)</f>
        <v/>
      </c>
      <c r="Q716" s="84">
        <f>IF($K716="","",IF($M716&lt;&gt;"",$M716-$K716,TODAY()-$K716))</f>
        <v/>
      </c>
      <c r="R716" s="85">
        <f>IF(OR($L716="",$I716="Completed",$I716="Cancelled"),"",IF(AND($L716&lt;TODAY(),$I716&lt;&gt;"Completed",$I716&lt;&gt;"Cancelled"),"Overdue","On Track"))</f>
        <v/>
      </c>
      <c r="S716" s="65">
        <f>IF($L716="","",TEXT($L716,"yyyy-mm"))</f>
        <v/>
      </c>
      <c r="T716" s="86">
        <f>IF($I716="","",IFERROR(INDEX(Action_Status_Map!$C$5:$C$11,MATCH($I716,Action_Status_Map!$A$5:$A$11,0)),""))</f>
        <v/>
      </c>
      <c r="U716" s="81" t="n"/>
      <c r="V716" s="82" t="n"/>
      <c r="W716" s="65">
        <f>IF(OR($I716&lt;&gt;"Completed",$M716="",$L716=""),"",IF($M716&lt;=$L716,"Yes","No"))</f>
        <v/>
      </c>
      <c r="X716" s="84">
        <f>IF($A716="","",COUNTIF(Task_Steps!$B$5:$B$2004,$A716))</f>
        <v/>
      </c>
      <c r="Y716" s="86">
        <f>IF($X716=0,"",COUNTIFS(Task_Steps!$B$5:$B$2004,$A716,Task_Steps!$H$5:$H$2004,"Completed")/$X716)</f>
        <v/>
      </c>
      <c r="Z716" s="81" t="n"/>
      <c r="AA716" s="81" t="n"/>
      <c r="AB716" s="67">
        <f>IF($F716="","",IFERROR(INDEX(Employee_Master!$E$5:$E$204,MATCH($F716,Employee_Master!$B$5:$B$204,0)),""))</f>
        <v/>
      </c>
      <c r="AC716" s="65">
        <f>IF(OR($A716="",$AB716=""),"",IF(OR($I716="Completed",$I716="Cancelled"),"Closed - in Manager Report","Active - in Manager Report"))</f>
        <v/>
      </c>
      <c r="AD716" s="81">
        <f>IF($A716="","",IFERROR(TEXTJOIN(", ",TRUE,FILTER(Task_Steps!$A$5:$A$2004,Task_Steps!$B$5:$B$2004=$A716)),""))</f>
        <v/>
      </c>
      <c r="AE716" s="84">
        <f>IF($A716="","",COUNTIFS(Task_Steps!$B$5:$B$2004,$A716,Task_Steps!$H$5:$H$2004,"&lt;&gt;Completed",Task_Steps!$H$5:$H$2004,"&lt;&gt;Cancelled"))</f>
        <v/>
      </c>
      <c r="AF716" s="81">
        <f>IF(OR($B716="",$A716=""),"",$B716&amp;" | "&amp;$A716)</f>
        <v/>
      </c>
    </row>
    <row r="717" ht="15" customHeight="1" s="40">
      <c r="A717" s="65">
        <f>IF(COUNTA(B717:F717)=0,"","TSK-"&amp;TEXT(ROW()-4,"0000"))</f>
        <v/>
      </c>
      <c r="B717" s="78" t="n"/>
      <c r="C717" s="78" t="n"/>
      <c r="D717" s="81" t="n"/>
      <c r="E717" s="81" t="n"/>
      <c r="F717" s="78" t="n"/>
      <c r="G717" s="67">
        <f>IF($F717="","",IFERROR(INDEX(Employee_Master!$C$5:$C$204,MATCH($F717,Employee_Master!$B$5:$B$204,0)),""))</f>
        <v/>
      </c>
      <c r="H717" s="78" t="n"/>
      <c r="I717" s="78" t="n"/>
      <c r="J717" s="67">
        <f>IF($I717="","",IFERROR(INDEX(Action_Status_Map!$B$5:$B$11,MATCH($I717,Action_Status_Map!$A$5:$A$11,0)),""))</f>
        <v/>
      </c>
      <c r="K717" s="82" t="n"/>
      <c r="L717" s="82" t="n"/>
      <c r="M717" s="82" t="n"/>
      <c r="N717" s="83" t="n"/>
      <c r="O717" s="83" t="n"/>
      <c r="P717" s="66">
        <f>IF(OR($N717="",$O717=""),"",$O717-$N717)</f>
        <v/>
      </c>
      <c r="Q717" s="84">
        <f>IF($K717="","",IF($M717&lt;&gt;"",$M717-$K717,TODAY()-$K717))</f>
        <v/>
      </c>
      <c r="R717" s="85">
        <f>IF(OR($L717="",$I717="Completed",$I717="Cancelled"),"",IF(AND($L717&lt;TODAY(),$I717&lt;&gt;"Completed",$I717&lt;&gt;"Cancelled"),"Overdue","On Track"))</f>
        <v/>
      </c>
      <c r="S717" s="65">
        <f>IF($L717="","",TEXT($L717,"yyyy-mm"))</f>
        <v/>
      </c>
      <c r="T717" s="86">
        <f>IF($I717="","",IFERROR(INDEX(Action_Status_Map!$C$5:$C$11,MATCH($I717,Action_Status_Map!$A$5:$A$11,0)),""))</f>
        <v/>
      </c>
      <c r="U717" s="81" t="n"/>
      <c r="V717" s="82" t="n"/>
      <c r="W717" s="65">
        <f>IF(OR($I717&lt;&gt;"Completed",$M717="",$L717=""),"",IF($M717&lt;=$L717,"Yes","No"))</f>
        <v/>
      </c>
      <c r="X717" s="84">
        <f>IF($A717="","",COUNTIF(Task_Steps!$B$5:$B$2004,$A717))</f>
        <v/>
      </c>
      <c r="Y717" s="86">
        <f>IF($X717=0,"",COUNTIFS(Task_Steps!$B$5:$B$2004,$A717,Task_Steps!$H$5:$H$2004,"Completed")/$X717)</f>
        <v/>
      </c>
      <c r="Z717" s="81" t="n"/>
      <c r="AA717" s="81" t="n"/>
      <c r="AB717" s="67">
        <f>IF($F717="","",IFERROR(INDEX(Employee_Master!$E$5:$E$204,MATCH($F717,Employee_Master!$B$5:$B$204,0)),""))</f>
        <v/>
      </c>
      <c r="AC717" s="65">
        <f>IF(OR($A717="",$AB717=""),"",IF(OR($I717="Completed",$I717="Cancelled"),"Closed - in Manager Report","Active - in Manager Report"))</f>
        <v/>
      </c>
      <c r="AD717" s="81">
        <f>IF($A717="","",IFERROR(TEXTJOIN(", ",TRUE,FILTER(Task_Steps!$A$5:$A$2004,Task_Steps!$B$5:$B$2004=$A717)),""))</f>
        <v/>
      </c>
      <c r="AE717" s="84">
        <f>IF($A717="","",COUNTIFS(Task_Steps!$B$5:$B$2004,$A717,Task_Steps!$H$5:$H$2004,"&lt;&gt;Completed",Task_Steps!$H$5:$H$2004,"&lt;&gt;Cancelled"))</f>
        <v/>
      </c>
      <c r="AF717" s="81">
        <f>IF(OR($B717="",$A717=""),"",$B717&amp;" | "&amp;$A717)</f>
        <v/>
      </c>
    </row>
    <row r="718" ht="15" customHeight="1" s="40">
      <c r="A718" s="65">
        <f>IF(COUNTA(B718:F718)=0,"","TSK-"&amp;TEXT(ROW()-4,"0000"))</f>
        <v/>
      </c>
      <c r="B718" s="78" t="n"/>
      <c r="C718" s="78" t="n"/>
      <c r="D718" s="81" t="n"/>
      <c r="E718" s="81" t="n"/>
      <c r="F718" s="78" t="n"/>
      <c r="G718" s="67">
        <f>IF($F718="","",IFERROR(INDEX(Employee_Master!$C$5:$C$204,MATCH($F718,Employee_Master!$B$5:$B$204,0)),""))</f>
        <v/>
      </c>
      <c r="H718" s="78" t="n"/>
      <c r="I718" s="78" t="n"/>
      <c r="J718" s="67">
        <f>IF($I718="","",IFERROR(INDEX(Action_Status_Map!$B$5:$B$11,MATCH($I718,Action_Status_Map!$A$5:$A$11,0)),""))</f>
        <v/>
      </c>
      <c r="K718" s="82" t="n"/>
      <c r="L718" s="82" t="n"/>
      <c r="M718" s="82" t="n"/>
      <c r="N718" s="83" t="n"/>
      <c r="O718" s="83" t="n"/>
      <c r="P718" s="66">
        <f>IF(OR($N718="",$O718=""),"",$O718-$N718)</f>
        <v/>
      </c>
      <c r="Q718" s="84">
        <f>IF($K718="","",IF($M718&lt;&gt;"",$M718-$K718,TODAY()-$K718))</f>
        <v/>
      </c>
      <c r="R718" s="85">
        <f>IF(OR($L718="",$I718="Completed",$I718="Cancelled"),"",IF(AND($L718&lt;TODAY(),$I718&lt;&gt;"Completed",$I718&lt;&gt;"Cancelled"),"Overdue","On Track"))</f>
        <v/>
      </c>
      <c r="S718" s="65">
        <f>IF($L718="","",TEXT($L718,"yyyy-mm"))</f>
        <v/>
      </c>
      <c r="T718" s="86">
        <f>IF($I718="","",IFERROR(INDEX(Action_Status_Map!$C$5:$C$11,MATCH($I718,Action_Status_Map!$A$5:$A$11,0)),""))</f>
        <v/>
      </c>
      <c r="U718" s="81" t="n"/>
      <c r="V718" s="82" t="n"/>
      <c r="W718" s="65">
        <f>IF(OR($I718&lt;&gt;"Completed",$M718="",$L718=""),"",IF($M718&lt;=$L718,"Yes","No"))</f>
        <v/>
      </c>
      <c r="X718" s="84">
        <f>IF($A718="","",COUNTIF(Task_Steps!$B$5:$B$2004,$A718))</f>
        <v/>
      </c>
      <c r="Y718" s="86">
        <f>IF($X718=0,"",COUNTIFS(Task_Steps!$B$5:$B$2004,$A718,Task_Steps!$H$5:$H$2004,"Completed")/$X718)</f>
        <v/>
      </c>
      <c r="Z718" s="81" t="n"/>
      <c r="AA718" s="81" t="n"/>
      <c r="AB718" s="67">
        <f>IF($F718="","",IFERROR(INDEX(Employee_Master!$E$5:$E$204,MATCH($F718,Employee_Master!$B$5:$B$204,0)),""))</f>
        <v/>
      </c>
      <c r="AC718" s="65">
        <f>IF(OR($A718="",$AB718=""),"",IF(OR($I718="Completed",$I718="Cancelled"),"Closed - in Manager Report","Active - in Manager Report"))</f>
        <v/>
      </c>
      <c r="AD718" s="81">
        <f>IF($A718="","",IFERROR(TEXTJOIN(", ",TRUE,FILTER(Task_Steps!$A$5:$A$2004,Task_Steps!$B$5:$B$2004=$A718)),""))</f>
        <v/>
      </c>
      <c r="AE718" s="84">
        <f>IF($A718="","",COUNTIFS(Task_Steps!$B$5:$B$2004,$A718,Task_Steps!$H$5:$H$2004,"&lt;&gt;Completed",Task_Steps!$H$5:$H$2004,"&lt;&gt;Cancelled"))</f>
        <v/>
      </c>
      <c r="AF718" s="81">
        <f>IF(OR($B718="",$A718=""),"",$B718&amp;" | "&amp;$A718)</f>
        <v/>
      </c>
    </row>
    <row r="719" ht="15" customHeight="1" s="40">
      <c r="A719" s="65">
        <f>IF(COUNTA(B719:F719)=0,"","TSK-"&amp;TEXT(ROW()-4,"0000"))</f>
        <v/>
      </c>
      <c r="B719" s="78" t="n"/>
      <c r="C719" s="78" t="n"/>
      <c r="D719" s="81" t="n"/>
      <c r="E719" s="81" t="n"/>
      <c r="F719" s="78" t="n"/>
      <c r="G719" s="67">
        <f>IF($F719="","",IFERROR(INDEX(Employee_Master!$C$5:$C$204,MATCH($F719,Employee_Master!$B$5:$B$204,0)),""))</f>
        <v/>
      </c>
      <c r="H719" s="78" t="n"/>
      <c r="I719" s="78" t="n"/>
      <c r="J719" s="67">
        <f>IF($I719="","",IFERROR(INDEX(Action_Status_Map!$B$5:$B$11,MATCH($I719,Action_Status_Map!$A$5:$A$11,0)),""))</f>
        <v/>
      </c>
      <c r="K719" s="82" t="n"/>
      <c r="L719" s="82" t="n"/>
      <c r="M719" s="82" t="n"/>
      <c r="N719" s="83" t="n"/>
      <c r="O719" s="83" t="n"/>
      <c r="P719" s="66">
        <f>IF(OR($N719="",$O719=""),"",$O719-$N719)</f>
        <v/>
      </c>
      <c r="Q719" s="84">
        <f>IF($K719="","",IF($M719&lt;&gt;"",$M719-$K719,TODAY()-$K719))</f>
        <v/>
      </c>
      <c r="R719" s="85">
        <f>IF(OR($L719="",$I719="Completed",$I719="Cancelled"),"",IF(AND($L719&lt;TODAY(),$I719&lt;&gt;"Completed",$I719&lt;&gt;"Cancelled"),"Overdue","On Track"))</f>
        <v/>
      </c>
      <c r="S719" s="65">
        <f>IF($L719="","",TEXT($L719,"yyyy-mm"))</f>
        <v/>
      </c>
      <c r="T719" s="86">
        <f>IF($I719="","",IFERROR(INDEX(Action_Status_Map!$C$5:$C$11,MATCH($I719,Action_Status_Map!$A$5:$A$11,0)),""))</f>
        <v/>
      </c>
      <c r="U719" s="81" t="n"/>
      <c r="V719" s="82" t="n"/>
      <c r="W719" s="65">
        <f>IF(OR($I719&lt;&gt;"Completed",$M719="",$L719=""),"",IF($M719&lt;=$L719,"Yes","No"))</f>
        <v/>
      </c>
      <c r="X719" s="84">
        <f>IF($A719="","",COUNTIF(Task_Steps!$B$5:$B$2004,$A719))</f>
        <v/>
      </c>
      <c r="Y719" s="86">
        <f>IF($X719=0,"",COUNTIFS(Task_Steps!$B$5:$B$2004,$A719,Task_Steps!$H$5:$H$2004,"Completed")/$X719)</f>
        <v/>
      </c>
      <c r="Z719" s="81" t="n"/>
      <c r="AA719" s="81" t="n"/>
      <c r="AB719" s="67">
        <f>IF($F719="","",IFERROR(INDEX(Employee_Master!$E$5:$E$204,MATCH($F719,Employee_Master!$B$5:$B$204,0)),""))</f>
        <v/>
      </c>
      <c r="AC719" s="65">
        <f>IF(OR($A719="",$AB719=""),"",IF(OR($I719="Completed",$I719="Cancelled"),"Closed - in Manager Report","Active - in Manager Report"))</f>
        <v/>
      </c>
      <c r="AD719" s="81">
        <f>IF($A719="","",IFERROR(TEXTJOIN(", ",TRUE,FILTER(Task_Steps!$A$5:$A$2004,Task_Steps!$B$5:$B$2004=$A719)),""))</f>
        <v/>
      </c>
      <c r="AE719" s="84">
        <f>IF($A719="","",COUNTIFS(Task_Steps!$B$5:$B$2004,$A719,Task_Steps!$H$5:$H$2004,"&lt;&gt;Completed",Task_Steps!$H$5:$H$2004,"&lt;&gt;Cancelled"))</f>
        <v/>
      </c>
      <c r="AF719" s="81">
        <f>IF(OR($B719="",$A719=""),"",$B719&amp;" | "&amp;$A719)</f>
        <v/>
      </c>
    </row>
    <row r="720" ht="15" customHeight="1" s="40">
      <c r="A720" s="65">
        <f>IF(COUNTA(B720:F720)=0,"","TSK-"&amp;TEXT(ROW()-4,"0000"))</f>
        <v/>
      </c>
      <c r="B720" s="78" t="n"/>
      <c r="C720" s="78" t="n"/>
      <c r="D720" s="81" t="n"/>
      <c r="E720" s="81" t="n"/>
      <c r="F720" s="78" t="n"/>
      <c r="G720" s="67">
        <f>IF($F720="","",IFERROR(INDEX(Employee_Master!$C$5:$C$204,MATCH($F720,Employee_Master!$B$5:$B$204,0)),""))</f>
        <v/>
      </c>
      <c r="H720" s="78" t="n"/>
      <c r="I720" s="78" t="n"/>
      <c r="J720" s="67">
        <f>IF($I720="","",IFERROR(INDEX(Action_Status_Map!$B$5:$B$11,MATCH($I720,Action_Status_Map!$A$5:$A$11,0)),""))</f>
        <v/>
      </c>
      <c r="K720" s="82" t="n"/>
      <c r="L720" s="82" t="n"/>
      <c r="M720" s="82" t="n"/>
      <c r="N720" s="83" t="n"/>
      <c r="O720" s="83" t="n"/>
      <c r="P720" s="66">
        <f>IF(OR($N720="",$O720=""),"",$O720-$N720)</f>
        <v/>
      </c>
      <c r="Q720" s="84">
        <f>IF($K720="","",IF($M720&lt;&gt;"",$M720-$K720,TODAY()-$K720))</f>
        <v/>
      </c>
      <c r="R720" s="85">
        <f>IF(OR($L720="",$I720="Completed",$I720="Cancelled"),"",IF(AND($L720&lt;TODAY(),$I720&lt;&gt;"Completed",$I720&lt;&gt;"Cancelled"),"Overdue","On Track"))</f>
        <v/>
      </c>
      <c r="S720" s="65">
        <f>IF($L720="","",TEXT($L720,"yyyy-mm"))</f>
        <v/>
      </c>
      <c r="T720" s="86">
        <f>IF($I720="","",IFERROR(INDEX(Action_Status_Map!$C$5:$C$11,MATCH($I720,Action_Status_Map!$A$5:$A$11,0)),""))</f>
        <v/>
      </c>
      <c r="U720" s="81" t="n"/>
      <c r="V720" s="82" t="n"/>
      <c r="W720" s="65">
        <f>IF(OR($I720&lt;&gt;"Completed",$M720="",$L720=""),"",IF($M720&lt;=$L720,"Yes","No"))</f>
        <v/>
      </c>
      <c r="X720" s="84">
        <f>IF($A720="","",COUNTIF(Task_Steps!$B$5:$B$2004,$A720))</f>
        <v/>
      </c>
      <c r="Y720" s="86">
        <f>IF($X720=0,"",COUNTIFS(Task_Steps!$B$5:$B$2004,$A720,Task_Steps!$H$5:$H$2004,"Completed")/$X720)</f>
        <v/>
      </c>
      <c r="Z720" s="81" t="n"/>
      <c r="AA720" s="81" t="n"/>
      <c r="AB720" s="67">
        <f>IF($F720="","",IFERROR(INDEX(Employee_Master!$E$5:$E$204,MATCH($F720,Employee_Master!$B$5:$B$204,0)),""))</f>
        <v/>
      </c>
      <c r="AC720" s="65">
        <f>IF(OR($A720="",$AB720=""),"",IF(OR($I720="Completed",$I720="Cancelled"),"Closed - in Manager Report","Active - in Manager Report"))</f>
        <v/>
      </c>
      <c r="AD720" s="81">
        <f>IF($A720="","",IFERROR(TEXTJOIN(", ",TRUE,FILTER(Task_Steps!$A$5:$A$2004,Task_Steps!$B$5:$B$2004=$A720)),""))</f>
        <v/>
      </c>
      <c r="AE720" s="84">
        <f>IF($A720="","",COUNTIFS(Task_Steps!$B$5:$B$2004,$A720,Task_Steps!$H$5:$H$2004,"&lt;&gt;Completed",Task_Steps!$H$5:$H$2004,"&lt;&gt;Cancelled"))</f>
        <v/>
      </c>
      <c r="AF720" s="81">
        <f>IF(OR($B720="",$A720=""),"",$B720&amp;" | "&amp;$A720)</f>
        <v/>
      </c>
    </row>
    <row r="721" ht="15" customHeight="1" s="40">
      <c r="A721" s="65">
        <f>IF(COUNTA(B721:F721)=0,"","TSK-"&amp;TEXT(ROW()-4,"0000"))</f>
        <v/>
      </c>
      <c r="B721" s="78" t="n"/>
      <c r="C721" s="78" t="n"/>
      <c r="D721" s="81" t="n"/>
      <c r="E721" s="81" t="n"/>
      <c r="F721" s="78" t="n"/>
      <c r="G721" s="67">
        <f>IF($F721="","",IFERROR(INDEX(Employee_Master!$C$5:$C$204,MATCH($F721,Employee_Master!$B$5:$B$204,0)),""))</f>
        <v/>
      </c>
      <c r="H721" s="78" t="n"/>
      <c r="I721" s="78" t="n"/>
      <c r="J721" s="67">
        <f>IF($I721="","",IFERROR(INDEX(Action_Status_Map!$B$5:$B$11,MATCH($I721,Action_Status_Map!$A$5:$A$11,0)),""))</f>
        <v/>
      </c>
      <c r="K721" s="82" t="n"/>
      <c r="L721" s="82" t="n"/>
      <c r="M721" s="82" t="n"/>
      <c r="N721" s="83" t="n"/>
      <c r="O721" s="83" t="n"/>
      <c r="P721" s="66">
        <f>IF(OR($N721="",$O721=""),"",$O721-$N721)</f>
        <v/>
      </c>
      <c r="Q721" s="84">
        <f>IF($K721="","",IF($M721&lt;&gt;"",$M721-$K721,TODAY()-$K721))</f>
        <v/>
      </c>
      <c r="R721" s="85">
        <f>IF(OR($L721="",$I721="Completed",$I721="Cancelled"),"",IF(AND($L721&lt;TODAY(),$I721&lt;&gt;"Completed",$I721&lt;&gt;"Cancelled"),"Overdue","On Track"))</f>
        <v/>
      </c>
      <c r="S721" s="65">
        <f>IF($L721="","",TEXT($L721,"yyyy-mm"))</f>
        <v/>
      </c>
      <c r="T721" s="86">
        <f>IF($I721="","",IFERROR(INDEX(Action_Status_Map!$C$5:$C$11,MATCH($I721,Action_Status_Map!$A$5:$A$11,0)),""))</f>
        <v/>
      </c>
      <c r="U721" s="81" t="n"/>
      <c r="V721" s="82" t="n"/>
      <c r="W721" s="65">
        <f>IF(OR($I721&lt;&gt;"Completed",$M721="",$L721=""),"",IF($M721&lt;=$L721,"Yes","No"))</f>
        <v/>
      </c>
      <c r="X721" s="84">
        <f>IF($A721="","",COUNTIF(Task_Steps!$B$5:$B$2004,$A721))</f>
        <v/>
      </c>
      <c r="Y721" s="86">
        <f>IF($X721=0,"",COUNTIFS(Task_Steps!$B$5:$B$2004,$A721,Task_Steps!$H$5:$H$2004,"Completed")/$X721)</f>
        <v/>
      </c>
      <c r="Z721" s="81" t="n"/>
      <c r="AA721" s="81" t="n"/>
      <c r="AB721" s="67">
        <f>IF($F721="","",IFERROR(INDEX(Employee_Master!$E$5:$E$204,MATCH($F721,Employee_Master!$B$5:$B$204,0)),""))</f>
        <v/>
      </c>
      <c r="AC721" s="65">
        <f>IF(OR($A721="",$AB721=""),"",IF(OR($I721="Completed",$I721="Cancelled"),"Closed - in Manager Report","Active - in Manager Report"))</f>
        <v/>
      </c>
      <c r="AD721" s="81">
        <f>IF($A721="","",IFERROR(TEXTJOIN(", ",TRUE,FILTER(Task_Steps!$A$5:$A$2004,Task_Steps!$B$5:$B$2004=$A721)),""))</f>
        <v/>
      </c>
      <c r="AE721" s="84">
        <f>IF($A721="","",COUNTIFS(Task_Steps!$B$5:$B$2004,$A721,Task_Steps!$H$5:$H$2004,"&lt;&gt;Completed",Task_Steps!$H$5:$H$2004,"&lt;&gt;Cancelled"))</f>
        <v/>
      </c>
      <c r="AF721" s="81">
        <f>IF(OR($B721="",$A721=""),"",$B721&amp;" | "&amp;$A721)</f>
        <v/>
      </c>
    </row>
    <row r="722" ht="15" customHeight="1" s="40">
      <c r="A722" s="65">
        <f>IF(COUNTA(B722:F722)=0,"","TSK-"&amp;TEXT(ROW()-4,"0000"))</f>
        <v/>
      </c>
      <c r="B722" s="78" t="n"/>
      <c r="C722" s="78" t="n"/>
      <c r="D722" s="81" t="n"/>
      <c r="E722" s="81" t="n"/>
      <c r="F722" s="78" t="n"/>
      <c r="G722" s="67">
        <f>IF($F722="","",IFERROR(INDEX(Employee_Master!$C$5:$C$204,MATCH($F722,Employee_Master!$B$5:$B$204,0)),""))</f>
        <v/>
      </c>
      <c r="H722" s="78" t="n"/>
      <c r="I722" s="78" t="n"/>
      <c r="J722" s="67">
        <f>IF($I722="","",IFERROR(INDEX(Action_Status_Map!$B$5:$B$11,MATCH($I722,Action_Status_Map!$A$5:$A$11,0)),""))</f>
        <v/>
      </c>
      <c r="K722" s="82" t="n"/>
      <c r="L722" s="82" t="n"/>
      <c r="M722" s="82" t="n"/>
      <c r="N722" s="83" t="n"/>
      <c r="O722" s="83" t="n"/>
      <c r="P722" s="66">
        <f>IF(OR($N722="",$O722=""),"",$O722-$N722)</f>
        <v/>
      </c>
      <c r="Q722" s="84">
        <f>IF($K722="","",IF($M722&lt;&gt;"",$M722-$K722,TODAY()-$K722))</f>
        <v/>
      </c>
      <c r="R722" s="85">
        <f>IF(OR($L722="",$I722="Completed",$I722="Cancelled"),"",IF(AND($L722&lt;TODAY(),$I722&lt;&gt;"Completed",$I722&lt;&gt;"Cancelled"),"Overdue","On Track"))</f>
        <v/>
      </c>
      <c r="S722" s="65">
        <f>IF($L722="","",TEXT($L722,"yyyy-mm"))</f>
        <v/>
      </c>
      <c r="T722" s="86">
        <f>IF($I722="","",IFERROR(INDEX(Action_Status_Map!$C$5:$C$11,MATCH($I722,Action_Status_Map!$A$5:$A$11,0)),""))</f>
        <v/>
      </c>
      <c r="U722" s="81" t="n"/>
      <c r="V722" s="82" t="n"/>
      <c r="W722" s="65">
        <f>IF(OR($I722&lt;&gt;"Completed",$M722="",$L722=""),"",IF($M722&lt;=$L722,"Yes","No"))</f>
        <v/>
      </c>
      <c r="X722" s="84">
        <f>IF($A722="","",COUNTIF(Task_Steps!$B$5:$B$2004,$A722))</f>
        <v/>
      </c>
      <c r="Y722" s="86">
        <f>IF($X722=0,"",COUNTIFS(Task_Steps!$B$5:$B$2004,$A722,Task_Steps!$H$5:$H$2004,"Completed")/$X722)</f>
        <v/>
      </c>
      <c r="Z722" s="81" t="n"/>
      <c r="AA722" s="81" t="n"/>
      <c r="AB722" s="67">
        <f>IF($F722="","",IFERROR(INDEX(Employee_Master!$E$5:$E$204,MATCH($F722,Employee_Master!$B$5:$B$204,0)),""))</f>
        <v/>
      </c>
      <c r="AC722" s="65">
        <f>IF(OR($A722="",$AB722=""),"",IF(OR($I722="Completed",$I722="Cancelled"),"Closed - in Manager Report","Active - in Manager Report"))</f>
        <v/>
      </c>
      <c r="AD722" s="81">
        <f>IF($A722="","",IFERROR(TEXTJOIN(", ",TRUE,FILTER(Task_Steps!$A$5:$A$2004,Task_Steps!$B$5:$B$2004=$A722)),""))</f>
        <v/>
      </c>
      <c r="AE722" s="84">
        <f>IF($A722="","",COUNTIFS(Task_Steps!$B$5:$B$2004,$A722,Task_Steps!$H$5:$H$2004,"&lt;&gt;Completed",Task_Steps!$H$5:$H$2004,"&lt;&gt;Cancelled"))</f>
        <v/>
      </c>
      <c r="AF722" s="81">
        <f>IF(OR($B722="",$A722=""),"",$B722&amp;" | "&amp;$A722)</f>
        <v/>
      </c>
    </row>
    <row r="723" ht="15" customHeight="1" s="40">
      <c r="A723" s="65">
        <f>IF(COUNTA(B723:F723)=0,"","TSK-"&amp;TEXT(ROW()-4,"0000"))</f>
        <v/>
      </c>
      <c r="B723" s="78" t="n"/>
      <c r="C723" s="78" t="n"/>
      <c r="D723" s="81" t="n"/>
      <c r="E723" s="81" t="n"/>
      <c r="F723" s="78" t="n"/>
      <c r="G723" s="67">
        <f>IF($F723="","",IFERROR(INDEX(Employee_Master!$C$5:$C$204,MATCH($F723,Employee_Master!$B$5:$B$204,0)),""))</f>
        <v/>
      </c>
      <c r="H723" s="78" t="n"/>
      <c r="I723" s="78" t="n"/>
      <c r="J723" s="67">
        <f>IF($I723="","",IFERROR(INDEX(Action_Status_Map!$B$5:$B$11,MATCH($I723,Action_Status_Map!$A$5:$A$11,0)),""))</f>
        <v/>
      </c>
      <c r="K723" s="82" t="n"/>
      <c r="L723" s="82" t="n"/>
      <c r="M723" s="82" t="n"/>
      <c r="N723" s="83" t="n"/>
      <c r="O723" s="83" t="n"/>
      <c r="P723" s="66">
        <f>IF(OR($N723="",$O723=""),"",$O723-$N723)</f>
        <v/>
      </c>
      <c r="Q723" s="84">
        <f>IF($K723="","",IF($M723&lt;&gt;"",$M723-$K723,TODAY()-$K723))</f>
        <v/>
      </c>
      <c r="R723" s="85">
        <f>IF(OR($L723="",$I723="Completed",$I723="Cancelled"),"",IF(AND($L723&lt;TODAY(),$I723&lt;&gt;"Completed",$I723&lt;&gt;"Cancelled"),"Overdue","On Track"))</f>
        <v/>
      </c>
      <c r="S723" s="65">
        <f>IF($L723="","",TEXT($L723,"yyyy-mm"))</f>
        <v/>
      </c>
      <c r="T723" s="86">
        <f>IF($I723="","",IFERROR(INDEX(Action_Status_Map!$C$5:$C$11,MATCH($I723,Action_Status_Map!$A$5:$A$11,0)),""))</f>
        <v/>
      </c>
      <c r="U723" s="81" t="n"/>
      <c r="V723" s="82" t="n"/>
      <c r="W723" s="65">
        <f>IF(OR($I723&lt;&gt;"Completed",$M723="",$L723=""),"",IF($M723&lt;=$L723,"Yes","No"))</f>
        <v/>
      </c>
      <c r="X723" s="84">
        <f>IF($A723="","",COUNTIF(Task_Steps!$B$5:$B$2004,$A723))</f>
        <v/>
      </c>
      <c r="Y723" s="86">
        <f>IF($X723=0,"",COUNTIFS(Task_Steps!$B$5:$B$2004,$A723,Task_Steps!$H$5:$H$2004,"Completed")/$X723)</f>
        <v/>
      </c>
      <c r="Z723" s="81" t="n"/>
      <c r="AA723" s="81" t="n"/>
      <c r="AB723" s="67">
        <f>IF($F723="","",IFERROR(INDEX(Employee_Master!$E$5:$E$204,MATCH($F723,Employee_Master!$B$5:$B$204,0)),""))</f>
        <v/>
      </c>
      <c r="AC723" s="65">
        <f>IF(OR($A723="",$AB723=""),"",IF(OR($I723="Completed",$I723="Cancelled"),"Closed - in Manager Report","Active - in Manager Report"))</f>
        <v/>
      </c>
      <c r="AD723" s="81">
        <f>IF($A723="","",IFERROR(TEXTJOIN(", ",TRUE,FILTER(Task_Steps!$A$5:$A$2004,Task_Steps!$B$5:$B$2004=$A723)),""))</f>
        <v/>
      </c>
      <c r="AE723" s="84">
        <f>IF($A723="","",COUNTIFS(Task_Steps!$B$5:$B$2004,$A723,Task_Steps!$H$5:$H$2004,"&lt;&gt;Completed",Task_Steps!$H$5:$H$2004,"&lt;&gt;Cancelled"))</f>
        <v/>
      </c>
      <c r="AF723" s="81">
        <f>IF(OR($B723="",$A723=""),"",$B723&amp;" | "&amp;$A723)</f>
        <v/>
      </c>
    </row>
    <row r="724" ht="15" customHeight="1" s="40">
      <c r="A724" s="65">
        <f>IF(COUNTA(B724:F724)=0,"","TSK-"&amp;TEXT(ROW()-4,"0000"))</f>
        <v/>
      </c>
      <c r="B724" s="78" t="n"/>
      <c r="C724" s="78" t="n"/>
      <c r="D724" s="81" t="n"/>
      <c r="E724" s="81" t="n"/>
      <c r="F724" s="78" t="n"/>
      <c r="G724" s="67">
        <f>IF($F724="","",IFERROR(INDEX(Employee_Master!$C$5:$C$204,MATCH($F724,Employee_Master!$B$5:$B$204,0)),""))</f>
        <v/>
      </c>
      <c r="H724" s="78" t="n"/>
      <c r="I724" s="78" t="n"/>
      <c r="J724" s="67">
        <f>IF($I724="","",IFERROR(INDEX(Action_Status_Map!$B$5:$B$11,MATCH($I724,Action_Status_Map!$A$5:$A$11,0)),""))</f>
        <v/>
      </c>
      <c r="K724" s="82" t="n"/>
      <c r="L724" s="82" t="n"/>
      <c r="M724" s="82" t="n"/>
      <c r="N724" s="83" t="n"/>
      <c r="O724" s="83" t="n"/>
      <c r="P724" s="66">
        <f>IF(OR($N724="",$O724=""),"",$O724-$N724)</f>
        <v/>
      </c>
      <c r="Q724" s="84">
        <f>IF($K724="","",IF($M724&lt;&gt;"",$M724-$K724,TODAY()-$K724))</f>
        <v/>
      </c>
      <c r="R724" s="85">
        <f>IF(OR($L724="",$I724="Completed",$I724="Cancelled"),"",IF(AND($L724&lt;TODAY(),$I724&lt;&gt;"Completed",$I724&lt;&gt;"Cancelled"),"Overdue","On Track"))</f>
        <v/>
      </c>
      <c r="S724" s="65">
        <f>IF($L724="","",TEXT($L724,"yyyy-mm"))</f>
        <v/>
      </c>
      <c r="T724" s="86">
        <f>IF($I724="","",IFERROR(INDEX(Action_Status_Map!$C$5:$C$11,MATCH($I724,Action_Status_Map!$A$5:$A$11,0)),""))</f>
        <v/>
      </c>
      <c r="U724" s="81" t="n"/>
      <c r="V724" s="82" t="n"/>
      <c r="W724" s="65">
        <f>IF(OR($I724&lt;&gt;"Completed",$M724="",$L724=""),"",IF($M724&lt;=$L724,"Yes","No"))</f>
        <v/>
      </c>
      <c r="X724" s="84">
        <f>IF($A724="","",COUNTIF(Task_Steps!$B$5:$B$2004,$A724))</f>
        <v/>
      </c>
      <c r="Y724" s="86">
        <f>IF($X724=0,"",COUNTIFS(Task_Steps!$B$5:$B$2004,$A724,Task_Steps!$H$5:$H$2004,"Completed")/$X724)</f>
        <v/>
      </c>
      <c r="Z724" s="81" t="n"/>
      <c r="AA724" s="81" t="n"/>
      <c r="AB724" s="67">
        <f>IF($F724="","",IFERROR(INDEX(Employee_Master!$E$5:$E$204,MATCH($F724,Employee_Master!$B$5:$B$204,0)),""))</f>
        <v/>
      </c>
      <c r="AC724" s="65">
        <f>IF(OR($A724="",$AB724=""),"",IF(OR($I724="Completed",$I724="Cancelled"),"Closed - in Manager Report","Active - in Manager Report"))</f>
        <v/>
      </c>
      <c r="AD724" s="81">
        <f>IF($A724="","",IFERROR(TEXTJOIN(", ",TRUE,FILTER(Task_Steps!$A$5:$A$2004,Task_Steps!$B$5:$B$2004=$A724)),""))</f>
        <v/>
      </c>
      <c r="AE724" s="84">
        <f>IF($A724="","",COUNTIFS(Task_Steps!$B$5:$B$2004,$A724,Task_Steps!$H$5:$H$2004,"&lt;&gt;Completed",Task_Steps!$H$5:$H$2004,"&lt;&gt;Cancelled"))</f>
        <v/>
      </c>
      <c r="AF724" s="81">
        <f>IF(OR($B724="",$A724=""),"",$B724&amp;" | "&amp;$A724)</f>
        <v/>
      </c>
    </row>
    <row r="725" ht="15" customHeight="1" s="40">
      <c r="A725" s="65">
        <f>IF(COUNTA(B725:F725)=0,"","TSK-"&amp;TEXT(ROW()-4,"0000"))</f>
        <v/>
      </c>
      <c r="B725" s="78" t="n"/>
      <c r="C725" s="78" t="n"/>
      <c r="D725" s="81" t="n"/>
      <c r="E725" s="81" t="n"/>
      <c r="F725" s="78" t="n"/>
      <c r="G725" s="67">
        <f>IF($F725="","",IFERROR(INDEX(Employee_Master!$C$5:$C$204,MATCH($F725,Employee_Master!$B$5:$B$204,0)),""))</f>
        <v/>
      </c>
      <c r="H725" s="78" t="n"/>
      <c r="I725" s="78" t="n"/>
      <c r="J725" s="67">
        <f>IF($I725="","",IFERROR(INDEX(Action_Status_Map!$B$5:$B$11,MATCH($I725,Action_Status_Map!$A$5:$A$11,0)),""))</f>
        <v/>
      </c>
      <c r="K725" s="82" t="n"/>
      <c r="L725" s="82" t="n"/>
      <c r="M725" s="82" t="n"/>
      <c r="N725" s="83" t="n"/>
      <c r="O725" s="83" t="n"/>
      <c r="P725" s="66">
        <f>IF(OR($N725="",$O725=""),"",$O725-$N725)</f>
        <v/>
      </c>
      <c r="Q725" s="84">
        <f>IF($K725="","",IF($M725&lt;&gt;"",$M725-$K725,TODAY()-$K725))</f>
        <v/>
      </c>
      <c r="R725" s="85">
        <f>IF(OR($L725="",$I725="Completed",$I725="Cancelled"),"",IF(AND($L725&lt;TODAY(),$I725&lt;&gt;"Completed",$I725&lt;&gt;"Cancelled"),"Overdue","On Track"))</f>
        <v/>
      </c>
      <c r="S725" s="65">
        <f>IF($L725="","",TEXT($L725,"yyyy-mm"))</f>
        <v/>
      </c>
      <c r="T725" s="86">
        <f>IF($I725="","",IFERROR(INDEX(Action_Status_Map!$C$5:$C$11,MATCH($I725,Action_Status_Map!$A$5:$A$11,0)),""))</f>
        <v/>
      </c>
      <c r="U725" s="81" t="n"/>
      <c r="V725" s="82" t="n"/>
      <c r="W725" s="65">
        <f>IF(OR($I725&lt;&gt;"Completed",$M725="",$L725=""),"",IF($M725&lt;=$L725,"Yes","No"))</f>
        <v/>
      </c>
      <c r="X725" s="84">
        <f>IF($A725="","",COUNTIF(Task_Steps!$B$5:$B$2004,$A725))</f>
        <v/>
      </c>
      <c r="Y725" s="86">
        <f>IF($X725=0,"",COUNTIFS(Task_Steps!$B$5:$B$2004,$A725,Task_Steps!$H$5:$H$2004,"Completed")/$X725)</f>
        <v/>
      </c>
      <c r="Z725" s="81" t="n"/>
      <c r="AA725" s="81" t="n"/>
      <c r="AB725" s="67">
        <f>IF($F725="","",IFERROR(INDEX(Employee_Master!$E$5:$E$204,MATCH($F725,Employee_Master!$B$5:$B$204,0)),""))</f>
        <v/>
      </c>
      <c r="AC725" s="65">
        <f>IF(OR($A725="",$AB725=""),"",IF(OR($I725="Completed",$I725="Cancelled"),"Closed - in Manager Report","Active - in Manager Report"))</f>
        <v/>
      </c>
      <c r="AD725" s="81">
        <f>IF($A725="","",IFERROR(TEXTJOIN(", ",TRUE,FILTER(Task_Steps!$A$5:$A$2004,Task_Steps!$B$5:$B$2004=$A725)),""))</f>
        <v/>
      </c>
      <c r="AE725" s="84">
        <f>IF($A725="","",COUNTIFS(Task_Steps!$B$5:$B$2004,$A725,Task_Steps!$H$5:$H$2004,"&lt;&gt;Completed",Task_Steps!$H$5:$H$2004,"&lt;&gt;Cancelled"))</f>
        <v/>
      </c>
      <c r="AF725" s="81">
        <f>IF(OR($B725="",$A725=""),"",$B725&amp;" | "&amp;$A725)</f>
        <v/>
      </c>
    </row>
    <row r="726" ht="15" customHeight="1" s="40">
      <c r="A726" s="65">
        <f>IF(COUNTA(B726:F726)=0,"","TSK-"&amp;TEXT(ROW()-4,"0000"))</f>
        <v/>
      </c>
      <c r="B726" s="78" t="n"/>
      <c r="C726" s="78" t="n"/>
      <c r="D726" s="81" t="n"/>
      <c r="E726" s="81" t="n"/>
      <c r="F726" s="78" t="n"/>
      <c r="G726" s="67">
        <f>IF($F726="","",IFERROR(INDEX(Employee_Master!$C$5:$C$204,MATCH($F726,Employee_Master!$B$5:$B$204,0)),""))</f>
        <v/>
      </c>
      <c r="H726" s="78" t="n"/>
      <c r="I726" s="78" t="n"/>
      <c r="J726" s="67">
        <f>IF($I726="","",IFERROR(INDEX(Action_Status_Map!$B$5:$B$11,MATCH($I726,Action_Status_Map!$A$5:$A$11,0)),""))</f>
        <v/>
      </c>
      <c r="K726" s="82" t="n"/>
      <c r="L726" s="82" t="n"/>
      <c r="M726" s="82" t="n"/>
      <c r="N726" s="83" t="n"/>
      <c r="O726" s="83" t="n"/>
      <c r="P726" s="66">
        <f>IF(OR($N726="",$O726=""),"",$O726-$N726)</f>
        <v/>
      </c>
      <c r="Q726" s="84">
        <f>IF($K726="","",IF($M726&lt;&gt;"",$M726-$K726,TODAY()-$K726))</f>
        <v/>
      </c>
      <c r="R726" s="85">
        <f>IF(OR($L726="",$I726="Completed",$I726="Cancelled"),"",IF(AND($L726&lt;TODAY(),$I726&lt;&gt;"Completed",$I726&lt;&gt;"Cancelled"),"Overdue","On Track"))</f>
        <v/>
      </c>
      <c r="S726" s="65">
        <f>IF($L726="","",TEXT($L726,"yyyy-mm"))</f>
        <v/>
      </c>
      <c r="T726" s="86">
        <f>IF($I726="","",IFERROR(INDEX(Action_Status_Map!$C$5:$C$11,MATCH($I726,Action_Status_Map!$A$5:$A$11,0)),""))</f>
        <v/>
      </c>
      <c r="U726" s="81" t="n"/>
      <c r="V726" s="82" t="n"/>
      <c r="W726" s="65">
        <f>IF(OR($I726&lt;&gt;"Completed",$M726="",$L726=""),"",IF($M726&lt;=$L726,"Yes","No"))</f>
        <v/>
      </c>
      <c r="X726" s="84">
        <f>IF($A726="","",COUNTIF(Task_Steps!$B$5:$B$2004,$A726))</f>
        <v/>
      </c>
      <c r="Y726" s="86">
        <f>IF($X726=0,"",COUNTIFS(Task_Steps!$B$5:$B$2004,$A726,Task_Steps!$H$5:$H$2004,"Completed")/$X726)</f>
        <v/>
      </c>
      <c r="Z726" s="81" t="n"/>
      <c r="AA726" s="81" t="n"/>
      <c r="AB726" s="67">
        <f>IF($F726="","",IFERROR(INDEX(Employee_Master!$E$5:$E$204,MATCH($F726,Employee_Master!$B$5:$B$204,0)),""))</f>
        <v/>
      </c>
      <c r="AC726" s="65">
        <f>IF(OR($A726="",$AB726=""),"",IF(OR($I726="Completed",$I726="Cancelled"),"Closed - in Manager Report","Active - in Manager Report"))</f>
        <v/>
      </c>
      <c r="AD726" s="81">
        <f>IF($A726="","",IFERROR(TEXTJOIN(", ",TRUE,FILTER(Task_Steps!$A$5:$A$2004,Task_Steps!$B$5:$B$2004=$A726)),""))</f>
        <v/>
      </c>
      <c r="AE726" s="84">
        <f>IF($A726="","",COUNTIFS(Task_Steps!$B$5:$B$2004,$A726,Task_Steps!$H$5:$H$2004,"&lt;&gt;Completed",Task_Steps!$H$5:$H$2004,"&lt;&gt;Cancelled"))</f>
        <v/>
      </c>
      <c r="AF726" s="81">
        <f>IF(OR($B726="",$A726=""),"",$B726&amp;" | "&amp;$A726)</f>
        <v/>
      </c>
    </row>
    <row r="727" ht="15" customHeight="1" s="40">
      <c r="A727" s="65">
        <f>IF(COUNTA(B727:F727)=0,"","TSK-"&amp;TEXT(ROW()-4,"0000"))</f>
        <v/>
      </c>
      <c r="B727" s="78" t="n"/>
      <c r="C727" s="78" t="n"/>
      <c r="D727" s="81" t="n"/>
      <c r="E727" s="81" t="n"/>
      <c r="F727" s="78" t="n"/>
      <c r="G727" s="67">
        <f>IF($F727="","",IFERROR(INDEX(Employee_Master!$C$5:$C$204,MATCH($F727,Employee_Master!$B$5:$B$204,0)),""))</f>
        <v/>
      </c>
      <c r="H727" s="78" t="n"/>
      <c r="I727" s="78" t="n"/>
      <c r="J727" s="67">
        <f>IF($I727="","",IFERROR(INDEX(Action_Status_Map!$B$5:$B$11,MATCH($I727,Action_Status_Map!$A$5:$A$11,0)),""))</f>
        <v/>
      </c>
      <c r="K727" s="82" t="n"/>
      <c r="L727" s="82" t="n"/>
      <c r="M727" s="82" t="n"/>
      <c r="N727" s="83" t="n"/>
      <c r="O727" s="83" t="n"/>
      <c r="P727" s="66">
        <f>IF(OR($N727="",$O727=""),"",$O727-$N727)</f>
        <v/>
      </c>
      <c r="Q727" s="84">
        <f>IF($K727="","",IF($M727&lt;&gt;"",$M727-$K727,TODAY()-$K727))</f>
        <v/>
      </c>
      <c r="R727" s="85">
        <f>IF(OR($L727="",$I727="Completed",$I727="Cancelled"),"",IF(AND($L727&lt;TODAY(),$I727&lt;&gt;"Completed",$I727&lt;&gt;"Cancelled"),"Overdue","On Track"))</f>
        <v/>
      </c>
      <c r="S727" s="65">
        <f>IF($L727="","",TEXT($L727,"yyyy-mm"))</f>
        <v/>
      </c>
      <c r="T727" s="86">
        <f>IF($I727="","",IFERROR(INDEX(Action_Status_Map!$C$5:$C$11,MATCH($I727,Action_Status_Map!$A$5:$A$11,0)),""))</f>
        <v/>
      </c>
      <c r="U727" s="81" t="n"/>
      <c r="V727" s="82" t="n"/>
      <c r="W727" s="65">
        <f>IF(OR($I727&lt;&gt;"Completed",$M727="",$L727=""),"",IF($M727&lt;=$L727,"Yes","No"))</f>
        <v/>
      </c>
      <c r="X727" s="84">
        <f>IF($A727="","",COUNTIF(Task_Steps!$B$5:$B$2004,$A727))</f>
        <v/>
      </c>
      <c r="Y727" s="86">
        <f>IF($X727=0,"",COUNTIFS(Task_Steps!$B$5:$B$2004,$A727,Task_Steps!$H$5:$H$2004,"Completed")/$X727)</f>
        <v/>
      </c>
      <c r="Z727" s="81" t="n"/>
      <c r="AA727" s="81" t="n"/>
      <c r="AB727" s="67">
        <f>IF($F727="","",IFERROR(INDEX(Employee_Master!$E$5:$E$204,MATCH($F727,Employee_Master!$B$5:$B$204,0)),""))</f>
        <v/>
      </c>
      <c r="AC727" s="65">
        <f>IF(OR($A727="",$AB727=""),"",IF(OR($I727="Completed",$I727="Cancelled"),"Closed - in Manager Report","Active - in Manager Report"))</f>
        <v/>
      </c>
      <c r="AD727" s="81">
        <f>IF($A727="","",IFERROR(TEXTJOIN(", ",TRUE,FILTER(Task_Steps!$A$5:$A$2004,Task_Steps!$B$5:$B$2004=$A727)),""))</f>
        <v/>
      </c>
      <c r="AE727" s="84">
        <f>IF($A727="","",COUNTIFS(Task_Steps!$B$5:$B$2004,$A727,Task_Steps!$H$5:$H$2004,"&lt;&gt;Completed",Task_Steps!$H$5:$H$2004,"&lt;&gt;Cancelled"))</f>
        <v/>
      </c>
      <c r="AF727" s="81">
        <f>IF(OR($B727="",$A727=""),"",$B727&amp;" | "&amp;$A727)</f>
        <v/>
      </c>
    </row>
    <row r="728" ht="15" customHeight="1" s="40">
      <c r="A728" s="65">
        <f>IF(COUNTA(B728:F728)=0,"","TSK-"&amp;TEXT(ROW()-4,"0000"))</f>
        <v/>
      </c>
      <c r="B728" s="78" t="n"/>
      <c r="C728" s="78" t="n"/>
      <c r="D728" s="81" t="n"/>
      <c r="E728" s="81" t="n"/>
      <c r="F728" s="78" t="n"/>
      <c r="G728" s="67">
        <f>IF($F728="","",IFERROR(INDEX(Employee_Master!$C$5:$C$204,MATCH($F728,Employee_Master!$B$5:$B$204,0)),""))</f>
        <v/>
      </c>
      <c r="H728" s="78" t="n"/>
      <c r="I728" s="78" t="n"/>
      <c r="J728" s="67">
        <f>IF($I728="","",IFERROR(INDEX(Action_Status_Map!$B$5:$B$11,MATCH($I728,Action_Status_Map!$A$5:$A$11,0)),""))</f>
        <v/>
      </c>
      <c r="K728" s="82" t="n"/>
      <c r="L728" s="82" t="n"/>
      <c r="M728" s="82" t="n"/>
      <c r="N728" s="83" t="n"/>
      <c r="O728" s="83" t="n"/>
      <c r="P728" s="66">
        <f>IF(OR($N728="",$O728=""),"",$O728-$N728)</f>
        <v/>
      </c>
      <c r="Q728" s="84">
        <f>IF($K728="","",IF($M728&lt;&gt;"",$M728-$K728,TODAY()-$K728))</f>
        <v/>
      </c>
      <c r="R728" s="85">
        <f>IF(OR($L728="",$I728="Completed",$I728="Cancelled"),"",IF(AND($L728&lt;TODAY(),$I728&lt;&gt;"Completed",$I728&lt;&gt;"Cancelled"),"Overdue","On Track"))</f>
        <v/>
      </c>
      <c r="S728" s="65">
        <f>IF($L728="","",TEXT($L728,"yyyy-mm"))</f>
        <v/>
      </c>
      <c r="T728" s="86">
        <f>IF($I728="","",IFERROR(INDEX(Action_Status_Map!$C$5:$C$11,MATCH($I728,Action_Status_Map!$A$5:$A$11,0)),""))</f>
        <v/>
      </c>
      <c r="U728" s="81" t="n"/>
      <c r="V728" s="82" t="n"/>
      <c r="W728" s="65">
        <f>IF(OR($I728&lt;&gt;"Completed",$M728="",$L728=""),"",IF($M728&lt;=$L728,"Yes","No"))</f>
        <v/>
      </c>
      <c r="X728" s="84">
        <f>IF($A728="","",COUNTIF(Task_Steps!$B$5:$B$2004,$A728))</f>
        <v/>
      </c>
      <c r="Y728" s="86">
        <f>IF($X728=0,"",COUNTIFS(Task_Steps!$B$5:$B$2004,$A728,Task_Steps!$H$5:$H$2004,"Completed")/$X728)</f>
        <v/>
      </c>
      <c r="Z728" s="81" t="n"/>
      <c r="AA728" s="81" t="n"/>
      <c r="AB728" s="67">
        <f>IF($F728="","",IFERROR(INDEX(Employee_Master!$E$5:$E$204,MATCH($F728,Employee_Master!$B$5:$B$204,0)),""))</f>
        <v/>
      </c>
      <c r="AC728" s="65">
        <f>IF(OR($A728="",$AB728=""),"",IF(OR($I728="Completed",$I728="Cancelled"),"Closed - in Manager Report","Active - in Manager Report"))</f>
        <v/>
      </c>
      <c r="AD728" s="81">
        <f>IF($A728="","",IFERROR(TEXTJOIN(", ",TRUE,FILTER(Task_Steps!$A$5:$A$2004,Task_Steps!$B$5:$B$2004=$A728)),""))</f>
        <v/>
      </c>
      <c r="AE728" s="84">
        <f>IF($A728="","",COUNTIFS(Task_Steps!$B$5:$B$2004,$A728,Task_Steps!$H$5:$H$2004,"&lt;&gt;Completed",Task_Steps!$H$5:$H$2004,"&lt;&gt;Cancelled"))</f>
        <v/>
      </c>
      <c r="AF728" s="81">
        <f>IF(OR($B728="",$A728=""),"",$B728&amp;" | "&amp;$A728)</f>
        <v/>
      </c>
    </row>
    <row r="729" ht="15" customHeight="1" s="40">
      <c r="A729" s="65">
        <f>IF(COUNTA(B729:F729)=0,"","TSK-"&amp;TEXT(ROW()-4,"0000"))</f>
        <v/>
      </c>
      <c r="B729" s="78" t="n"/>
      <c r="C729" s="78" t="n"/>
      <c r="D729" s="81" t="n"/>
      <c r="E729" s="81" t="n"/>
      <c r="F729" s="78" t="n"/>
      <c r="G729" s="67">
        <f>IF($F729="","",IFERROR(INDEX(Employee_Master!$C$5:$C$204,MATCH($F729,Employee_Master!$B$5:$B$204,0)),""))</f>
        <v/>
      </c>
      <c r="H729" s="78" t="n"/>
      <c r="I729" s="78" t="n"/>
      <c r="J729" s="67">
        <f>IF($I729="","",IFERROR(INDEX(Action_Status_Map!$B$5:$B$11,MATCH($I729,Action_Status_Map!$A$5:$A$11,0)),""))</f>
        <v/>
      </c>
      <c r="K729" s="82" t="n"/>
      <c r="L729" s="82" t="n"/>
      <c r="M729" s="82" t="n"/>
      <c r="N729" s="83" t="n"/>
      <c r="O729" s="83" t="n"/>
      <c r="P729" s="66">
        <f>IF(OR($N729="",$O729=""),"",$O729-$N729)</f>
        <v/>
      </c>
      <c r="Q729" s="84">
        <f>IF($K729="","",IF($M729&lt;&gt;"",$M729-$K729,TODAY()-$K729))</f>
        <v/>
      </c>
      <c r="R729" s="85">
        <f>IF(OR($L729="",$I729="Completed",$I729="Cancelled"),"",IF(AND($L729&lt;TODAY(),$I729&lt;&gt;"Completed",$I729&lt;&gt;"Cancelled"),"Overdue","On Track"))</f>
        <v/>
      </c>
      <c r="S729" s="65">
        <f>IF($L729="","",TEXT($L729,"yyyy-mm"))</f>
        <v/>
      </c>
      <c r="T729" s="86">
        <f>IF($I729="","",IFERROR(INDEX(Action_Status_Map!$C$5:$C$11,MATCH($I729,Action_Status_Map!$A$5:$A$11,0)),""))</f>
        <v/>
      </c>
      <c r="U729" s="81" t="n"/>
      <c r="V729" s="82" t="n"/>
      <c r="W729" s="65">
        <f>IF(OR($I729&lt;&gt;"Completed",$M729="",$L729=""),"",IF($M729&lt;=$L729,"Yes","No"))</f>
        <v/>
      </c>
      <c r="X729" s="84">
        <f>IF($A729="","",COUNTIF(Task_Steps!$B$5:$B$2004,$A729))</f>
        <v/>
      </c>
      <c r="Y729" s="86">
        <f>IF($X729=0,"",COUNTIFS(Task_Steps!$B$5:$B$2004,$A729,Task_Steps!$H$5:$H$2004,"Completed")/$X729)</f>
        <v/>
      </c>
      <c r="Z729" s="81" t="n"/>
      <c r="AA729" s="81" t="n"/>
      <c r="AB729" s="67">
        <f>IF($F729="","",IFERROR(INDEX(Employee_Master!$E$5:$E$204,MATCH($F729,Employee_Master!$B$5:$B$204,0)),""))</f>
        <v/>
      </c>
      <c r="AC729" s="65">
        <f>IF(OR($A729="",$AB729=""),"",IF(OR($I729="Completed",$I729="Cancelled"),"Closed - in Manager Report","Active - in Manager Report"))</f>
        <v/>
      </c>
      <c r="AD729" s="81">
        <f>IF($A729="","",IFERROR(TEXTJOIN(", ",TRUE,FILTER(Task_Steps!$A$5:$A$2004,Task_Steps!$B$5:$B$2004=$A729)),""))</f>
        <v/>
      </c>
      <c r="AE729" s="84">
        <f>IF($A729="","",COUNTIFS(Task_Steps!$B$5:$B$2004,$A729,Task_Steps!$H$5:$H$2004,"&lt;&gt;Completed",Task_Steps!$H$5:$H$2004,"&lt;&gt;Cancelled"))</f>
        <v/>
      </c>
      <c r="AF729" s="81">
        <f>IF(OR($B729="",$A729=""),"",$B729&amp;" | "&amp;$A729)</f>
        <v/>
      </c>
    </row>
    <row r="730" ht="15" customHeight="1" s="40">
      <c r="A730" s="65">
        <f>IF(COUNTA(B730:F730)=0,"","TSK-"&amp;TEXT(ROW()-4,"0000"))</f>
        <v/>
      </c>
      <c r="B730" s="78" t="n"/>
      <c r="C730" s="78" t="n"/>
      <c r="D730" s="81" t="n"/>
      <c r="E730" s="81" t="n"/>
      <c r="F730" s="78" t="n"/>
      <c r="G730" s="67">
        <f>IF($F730="","",IFERROR(INDEX(Employee_Master!$C$5:$C$204,MATCH($F730,Employee_Master!$B$5:$B$204,0)),""))</f>
        <v/>
      </c>
      <c r="H730" s="78" t="n"/>
      <c r="I730" s="78" t="n"/>
      <c r="J730" s="67">
        <f>IF($I730="","",IFERROR(INDEX(Action_Status_Map!$B$5:$B$11,MATCH($I730,Action_Status_Map!$A$5:$A$11,0)),""))</f>
        <v/>
      </c>
      <c r="K730" s="82" t="n"/>
      <c r="L730" s="82" t="n"/>
      <c r="M730" s="82" t="n"/>
      <c r="N730" s="83" t="n"/>
      <c r="O730" s="83" t="n"/>
      <c r="P730" s="66">
        <f>IF(OR($N730="",$O730=""),"",$O730-$N730)</f>
        <v/>
      </c>
      <c r="Q730" s="84">
        <f>IF($K730="","",IF($M730&lt;&gt;"",$M730-$K730,TODAY()-$K730))</f>
        <v/>
      </c>
      <c r="R730" s="85">
        <f>IF(OR($L730="",$I730="Completed",$I730="Cancelled"),"",IF(AND($L730&lt;TODAY(),$I730&lt;&gt;"Completed",$I730&lt;&gt;"Cancelled"),"Overdue","On Track"))</f>
        <v/>
      </c>
      <c r="S730" s="65">
        <f>IF($L730="","",TEXT($L730,"yyyy-mm"))</f>
        <v/>
      </c>
      <c r="T730" s="86">
        <f>IF($I730="","",IFERROR(INDEX(Action_Status_Map!$C$5:$C$11,MATCH($I730,Action_Status_Map!$A$5:$A$11,0)),""))</f>
        <v/>
      </c>
      <c r="U730" s="81" t="n"/>
      <c r="V730" s="82" t="n"/>
      <c r="W730" s="65">
        <f>IF(OR($I730&lt;&gt;"Completed",$M730="",$L730=""),"",IF($M730&lt;=$L730,"Yes","No"))</f>
        <v/>
      </c>
      <c r="X730" s="84">
        <f>IF($A730="","",COUNTIF(Task_Steps!$B$5:$B$2004,$A730))</f>
        <v/>
      </c>
      <c r="Y730" s="86">
        <f>IF($X730=0,"",COUNTIFS(Task_Steps!$B$5:$B$2004,$A730,Task_Steps!$H$5:$H$2004,"Completed")/$X730)</f>
        <v/>
      </c>
      <c r="Z730" s="81" t="n"/>
      <c r="AA730" s="81" t="n"/>
      <c r="AB730" s="67">
        <f>IF($F730="","",IFERROR(INDEX(Employee_Master!$E$5:$E$204,MATCH($F730,Employee_Master!$B$5:$B$204,0)),""))</f>
        <v/>
      </c>
      <c r="AC730" s="65">
        <f>IF(OR($A730="",$AB730=""),"",IF(OR($I730="Completed",$I730="Cancelled"),"Closed - in Manager Report","Active - in Manager Report"))</f>
        <v/>
      </c>
      <c r="AD730" s="81">
        <f>IF($A730="","",IFERROR(TEXTJOIN(", ",TRUE,FILTER(Task_Steps!$A$5:$A$2004,Task_Steps!$B$5:$B$2004=$A730)),""))</f>
        <v/>
      </c>
      <c r="AE730" s="84">
        <f>IF($A730="","",COUNTIFS(Task_Steps!$B$5:$B$2004,$A730,Task_Steps!$H$5:$H$2004,"&lt;&gt;Completed",Task_Steps!$H$5:$H$2004,"&lt;&gt;Cancelled"))</f>
        <v/>
      </c>
      <c r="AF730" s="81">
        <f>IF(OR($B730="",$A730=""),"",$B730&amp;" | "&amp;$A730)</f>
        <v/>
      </c>
    </row>
    <row r="731" ht="15" customHeight="1" s="40">
      <c r="A731" s="65">
        <f>IF(COUNTA(B731:F731)=0,"","TSK-"&amp;TEXT(ROW()-4,"0000"))</f>
        <v/>
      </c>
      <c r="B731" s="78" t="n"/>
      <c r="C731" s="78" t="n"/>
      <c r="D731" s="81" t="n"/>
      <c r="E731" s="81" t="n"/>
      <c r="F731" s="78" t="n"/>
      <c r="G731" s="67">
        <f>IF($F731="","",IFERROR(INDEX(Employee_Master!$C$5:$C$204,MATCH($F731,Employee_Master!$B$5:$B$204,0)),""))</f>
        <v/>
      </c>
      <c r="H731" s="78" t="n"/>
      <c r="I731" s="78" t="n"/>
      <c r="J731" s="67">
        <f>IF($I731="","",IFERROR(INDEX(Action_Status_Map!$B$5:$B$11,MATCH($I731,Action_Status_Map!$A$5:$A$11,0)),""))</f>
        <v/>
      </c>
      <c r="K731" s="82" t="n"/>
      <c r="L731" s="82" t="n"/>
      <c r="M731" s="82" t="n"/>
      <c r="N731" s="83" t="n"/>
      <c r="O731" s="83" t="n"/>
      <c r="P731" s="66">
        <f>IF(OR($N731="",$O731=""),"",$O731-$N731)</f>
        <v/>
      </c>
      <c r="Q731" s="84">
        <f>IF($K731="","",IF($M731&lt;&gt;"",$M731-$K731,TODAY()-$K731))</f>
        <v/>
      </c>
      <c r="R731" s="85">
        <f>IF(OR($L731="",$I731="Completed",$I731="Cancelled"),"",IF(AND($L731&lt;TODAY(),$I731&lt;&gt;"Completed",$I731&lt;&gt;"Cancelled"),"Overdue","On Track"))</f>
        <v/>
      </c>
      <c r="S731" s="65">
        <f>IF($L731="","",TEXT($L731,"yyyy-mm"))</f>
        <v/>
      </c>
      <c r="T731" s="86">
        <f>IF($I731="","",IFERROR(INDEX(Action_Status_Map!$C$5:$C$11,MATCH($I731,Action_Status_Map!$A$5:$A$11,0)),""))</f>
        <v/>
      </c>
      <c r="U731" s="81" t="n"/>
      <c r="V731" s="82" t="n"/>
      <c r="W731" s="65">
        <f>IF(OR($I731&lt;&gt;"Completed",$M731="",$L731=""),"",IF($M731&lt;=$L731,"Yes","No"))</f>
        <v/>
      </c>
      <c r="X731" s="84">
        <f>IF($A731="","",COUNTIF(Task_Steps!$B$5:$B$2004,$A731))</f>
        <v/>
      </c>
      <c r="Y731" s="86">
        <f>IF($X731=0,"",COUNTIFS(Task_Steps!$B$5:$B$2004,$A731,Task_Steps!$H$5:$H$2004,"Completed")/$X731)</f>
        <v/>
      </c>
      <c r="Z731" s="81" t="n"/>
      <c r="AA731" s="81" t="n"/>
      <c r="AB731" s="67">
        <f>IF($F731="","",IFERROR(INDEX(Employee_Master!$E$5:$E$204,MATCH($F731,Employee_Master!$B$5:$B$204,0)),""))</f>
        <v/>
      </c>
      <c r="AC731" s="65">
        <f>IF(OR($A731="",$AB731=""),"",IF(OR($I731="Completed",$I731="Cancelled"),"Closed - in Manager Report","Active - in Manager Report"))</f>
        <v/>
      </c>
      <c r="AD731" s="81">
        <f>IF($A731="","",IFERROR(TEXTJOIN(", ",TRUE,FILTER(Task_Steps!$A$5:$A$2004,Task_Steps!$B$5:$B$2004=$A731)),""))</f>
        <v/>
      </c>
      <c r="AE731" s="84">
        <f>IF($A731="","",COUNTIFS(Task_Steps!$B$5:$B$2004,$A731,Task_Steps!$H$5:$H$2004,"&lt;&gt;Completed",Task_Steps!$H$5:$H$2004,"&lt;&gt;Cancelled"))</f>
        <v/>
      </c>
      <c r="AF731" s="81">
        <f>IF(OR($B731="",$A731=""),"",$B731&amp;" | "&amp;$A731)</f>
        <v/>
      </c>
    </row>
    <row r="732" ht="15" customHeight="1" s="40">
      <c r="A732" s="65">
        <f>IF(COUNTA(B732:F732)=0,"","TSK-"&amp;TEXT(ROW()-4,"0000"))</f>
        <v/>
      </c>
      <c r="B732" s="78" t="n"/>
      <c r="C732" s="78" t="n"/>
      <c r="D732" s="81" t="n"/>
      <c r="E732" s="81" t="n"/>
      <c r="F732" s="78" t="n"/>
      <c r="G732" s="67">
        <f>IF($F732="","",IFERROR(INDEX(Employee_Master!$C$5:$C$204,MATCH($F732,Employee_Master!$B$5:$B$204,0)),""))</f>
        <v/>
      </c>
      <c r="H732" s="78" t="n"/>
      <c r="I732" s="78" t="n"/>
      <c r="J732" s="67">
        <f>IF($I732="","",IFERROR(INDEX(Action_Status_Map!$B$5:$B$11,MATCH($I732,Action_Status_Map!$A$5:$A$11,0)),""))</f>
        <v/>
      </c>
      <c r="K732" s="82" t="n"/>
      <c r="L732" s="82" t="n"/>
      <c r="M732" s="82" t="n"/>
      <c r="N732" s="83" t="n"/>
      <c r="O732" s="83" t="n"/>
      <c r="P732" s="66">
        <f>IF(OR($N732="",$O732=""),"",$O732-$N732)</f>
        <v/>
      </c>
      <c r="Q732" s="84">
        <f>IF($K732="","",IF($M732&lt;&gt;"",$M732-$K732,TODAY()-$K732))</f>
        <v/>
      </c>
      <c r="R732" s="85">
        <f>IF(OR($L732="",$I732="Completed",$I732="Cancelled"),"",IF(AND($L732&lt;TODAY(),$I732&lt;&gt;"Completed",$I732&lt;&gt;"Cancelled"),"Overdue","On Track"))</f>
        <v/>
      </c>
      <c r="S732" s="65">
        <f>IF($L732="","",TEXT($L732,"yyyy-mm"))</f>
        <v/>
      </c>
      <c r="T732" s="86">
        <f>IF($I732="","",IFERROR(INDEX(Action_Status_Map!$C$5:$C$11,MATCH($I732,Action_Status_Map!$A$5:$A$11,0)),""))</f>
        <v/>
      </c>
      <c r="U732" s="81" t="n"/>
      <c r="V732" s="82" t="n"/>
      <c r="W732" s="65">
        <f>IF(OR($I732&lt;&gt;"Completed",$M732="",$L732=""),"",IF($M732&lt;=$L732,"Yes","No"))</f>
        <v/>
      </c>
      <c r="X732" s="84">
        <f>IF($A732="","",COUNTIF(Task_Steps!$B$5:$B$2004,$A732))</f>
        <v/>
      </c>
      <c r="Y732" s="86">
        <f>IF($X732=0,"",COUNTIFS(Task_Steps!$B$5:$B$2004,$A732,Task_Steps!$H$5:$H$2004,"Completed")/$X732)</f>
        <v/>
      </c>
      <c r="Z732" s="81" t="n"/>
      <c r="AA732" s="81" t="n"/>
      <c r="AB732" s="67">
        <f>IF($F732="","",IFERROR(INDEX(Employee_Master!$E$5:$E$204,MATCH($F732,Employee_Master!$B$5:$B$204,0)),""))</f>
        <v/>
      </c>
      <c r="AC732" s="65">
        <f>IF(OR($A732="",$AB732=""),"",IF(OR($I732="Completed",$I732="Cancelled"),"Closed - in Manager Report","Active - in Manager Report"))</f>
        <v/>
      </c>
      <c r="AD732" s="81">
        <f>IF($A732="","",IFERROR(TEXTJOIN(", ",TRUE,FILTER(Task_Steps!$A$5:$A$2004,Task_Steps!$B$5:$B$2004=$A732)),""))</f>
        <v/>
      </c>
      <c r="AE732" s="84">
        <f>IF($A732="","",COUNTIFS(Task_Steps!$B$5:$B$2004,$A732,Task_Steps!$H$5:$H$2004,"&lt;&gt;Completed",Task_Steps!$H$5:$H$2004,"&lt;&gt;Cancelled"))</f>
        <v/>
      </c>
      <c r="AF732" s="81">
        <f>IF(OR($B732="",$A732=""),"",$B732&amp;" | "&amp;$A732)</f>
        <v/>
      </c>
    </row>
    <row r="733" ht="15" customHeight="1" s="40">
      <c r="A733" s="65">
        <f>IF(COUNTA(B733:F733)=0,"","TSK-"&amp;TEXT(ROW()-4,"0000"))</f>
        <v/>
      </c>
      <c r="B733" s="78" t="n"/>
      <c r="C733" s="78" t="n"/>
      <c r="D733" s="81" t="n"/>
      <c r="E733" s="81" t="n"/>
      <c r="F733" s="78" t="n"/>
      <c r="G733" s="67">
        <f>IF($F733="","",IFERROR(INDEX(Employee_Master!$C$5:$C$204,MATCH($F733,Employee_Master!$B$5:$B$204,0)),""))</f>
        <v/>
      </c>
      <c r="H733" s="78" t="n"/>
      <c r="I733" s="78" t="n"/>
      <c r="J733" s="67">
        <f>IF($I733="","",IFERROR(INDEX(Action_Status_Map!$B$5:$B$11,MATCH($I733,Action_Status_Map!$A$5:$A$11,0)),""))</f>
        <v/>
      </c>
      <c r="K733" s="82" t="n"/>
      <c r="L733" s="82" t="n"/>
      <c r="M733" s="82" t="n"/>
      <c r="N733" s="83" t="n"/>
      <c r="O733" s="83" t="n"/>
      <c r="P733" s="66">
        <f>IF(OR($N733="",$O733=""),"",$O733-$N733)</f>
        <v/>
      </c>
      <c r="Q733" s="84">
        <f>IF($K733="","",IF($M733&lt;&gt;"",$M733-$K733,TODAY()-$K733))</f>
        <v/>
      </c>
      <c r="R733" s="85">
        <f>IF(OR($L733="",$I733="Completed",$I733="Cancelled"),"",IF(AND($L733&lt;TODAY(),$I733&lt;&gt;"Completed",$I733&lt;&gt;"Cancelled"),"Overdue","On Track"))</f>
        <v/>
      </c>
      <c r="S733" s="65">
        <f>IF($L733="","",TEXT($L733,"yyyy-mm"))</f>
        <v/>
      </c>
      <c r="T733" s="86">
        <f>IF($I733="","",IFERROR(INDEX(Action_Status_Map!$C$5:$C$11,MATCH($I733,Action_Status_Map!$A$5:$A$11,0)),""))</f>
        <v/>
      </c>
      <c r="U733" s="81" t="n"/>
      <c r="V733" s="82" t="n"/>
      <c r="W733" s="65">
        <f>IF(OR($I733&lt;&gt;"Completed",$M733="",$L733=""),"",IF($M733&lt;=$L733,"Yes","No"))</f>
        <v/>
      </c>
      <c r="X733" s="84">
        <f>IF($A733="","",COUNTIF(Task_Steps!$B$5:$B$2004,$A733))</f>
        <v/>
      </c>
      <c r="Y733" s="86">
        <f>IF($X733=0,"",COUNTIFS(Task_Steps!$B$5:$B$2004,$A733,Task_Steps!$H$5:$H$2004,"Completed")/$X733)</f>
        <v/>
      </c>
      <c r="Z733" s="81" t="n"/>
      <c r="AA733" s="81" t="n"/>
      <c r="AB733" s="67">
        <f>IF($F733="","",IFERROR(INDEX(Employee_Master!$E$5:$E$204,MATCH($F733,Employee_Master!$B$5:$B$204,0)),""))</f>
        <v/>
      </c>
      <c r="AC733" s="65">
        <f>IF(OR($A733="",$AB733=""),"",IF(OR($I733="Completed",$I733="Cancelled"),"Closed - in Manager Report","Active - in Manager Report"))</f>
        <v/>
      </c>
      <c r="AD733" s="81">
        <f>IF($A733="","",IFERROR(TEXTJOIN(", ",TRUE,FILTER(Task_Steps!$A$5:$A$2004,Task_Steps!$B$5:$B$2004=$A733)),""))</f>
        <v/>
      </c>
      <c r="AE733" s="84">
        <f>IF($A733="","",COUNTIFS(Task_Steps!$B$5:$B$2004,$A733,Task_Steps!$H$5:$H$2004,"&lt;&gt;Completed",Task_Steps!$H$5:$H$2004,"&lt;&gt;Cancelled"))</f>
        <v/>
      </c>
      <c r="AF733" s="81">
        <f>IF(OR($B733="",$A733=""),"",$B733&amp;" | "&amp;$A733)</f>
        <v/>
      </c>
    </row>
    <row r="734" ht="15" customHeight="1" s="40">
      <c r="A734" s="65">
        <f>IF(COUNTA(B734:F734)=0,"","TSK-"&amp;TEXT(ROW()-4,"0000"))</f>
        <v/>
      </c>
      <c r="B734" s="78" t="n"/>
      <c r="C734" s="78" t="n"/>
      <c r="D734" s="81" t="n"/>
      <c r="E734" s="81" t="n"/>
      <c r="F734" s="78" t="n"/>
      <c r="G734" s="67">
        <f>IF($F734="","",IFERROR(INDEX(Employee_Master!$C$5:$C$204,MATCH($F734,Employee_Master!$B$5:$B$204,0)),""))</f>
        <v/>
      </c>
      <c r="H734" s="78" t="n"/>
      <c r="I734" s="78" t="n"/>
      <c r="J734" s="67">
        <f>IF($I734="","",IFERROR(INDEX(Action_Status_Map!$B$5:$B$11,MATCH($I734,Action_Status_Map!$A$5:$A$11,0)),""))</f>
        <v/>
      </c>
      <c r="K734" s="82" t="n"/>
      <c r="L734" s="82" t="n"/>
      <c r="M734" s="82" t="n"/>
      <c r="N734" s="83" t="n"/>
      <c r="O734" s="83" t="n"/>
      <c r="P734" s="66">
        <f>IF(OR($N734="",$O734=""),"",$O734-$N734)</f>
        <v/>
      </c>
      <c r="Q734" s="84">
        <f>IF($K734="","",IF($M734&lt;&gt;"",$M734-$K734,TODAY()-$K734))</f>
        <v/>
      </c>
      <c r="R734" s="85">
        <f>IF(OR($L734="",$I734="Completed",$I734="Cancelled"),"",IF(AND($L734&lt;TODAY(),$I734&lt;&gt;"Completed",$I734&lt;&gt;"Cancelled"),"Overdue","On Track"))</f>
        <v/>
      </c>
      <c r="S734" s="65">
        <f>IF($L734="","",TEXT($L734,"yyyy-mm"))</f>
        <v/>
      </c>
      <c r="T734" s="86">
        <f>IF($I734="","",IFERROR(INDEX(Action_Status_Map!$C$5:$C$11,MATCH($I734,Action_Status_Map!$A$5:$A$11,0)),""))</f>
        <v/>
      </c>
      <c r="U734" s="81" t="n"/>
      <c r="V734" s="82" t="n"/>
      <c r="W734" s="65">
        <f>IF(OR($I734&lt;&gt;"Completed",$M734="",$L734=""),"",IF($M734&lt;=$L734,"Yes","No"))</f>
        <v/>
      </c>
      <c r="X734" s="84">
        <f>IF($A734="","",COUNTIF(Task_Steps!$B$5:$B$2004,$A734))</f>
        <v/>
      </c>
      <c r="Y734" s="86">
        <f>IF($X734=0,"",COUNTIFS(Task_Steps!$B$5:$B$2004,$A734,Task_Steps!$H$5:$H$2004,"Completed")/$X734)</f>
        <v/>
      </c>
      <c r="Z734" s="81" t="n"/>
      <c r="AA734" s="81" t="n"/>
      <c r="AB734" s="67">
        <f>IF($F734="","",IFERROR(INDEX(Employee_Master!$E$5:$E$204,MATCH($F734,Employee_Master!$B$5:$B$204,0)),""))</f>
        <v/>
      </c>
      <c r="AC734" s="65">
        <f>IF(OR($A734="",$AB734=""),"",IF(OR($I734="Completed",$I734="Cancelled"),"Closed - in Manager Report","Active - in Manager Report"))</f>
        <v/>
      </c>
      <c r="AD734" s="81">
        <f>IF($A734="","",IFERROR(TEXTJOIN(", ",TRUE,FILTER(Task_Steps!$A$5:$A$2004,Task_Steps!$B$5:$B$2004=$A734)),""))</f>
        <v/>
      </c>
      <c r="AE734" s="84">
        <f>IF($A734="","",COUNTIFS(Task_Steps!$B$5:$B$2004,$A734,Task_Steps!$H$5:$H$2004,"&lt;&gt;Completed",Task_Steps!$H$5:$H$2004,"&lt;&gt;Cancelled"))</f>
        <v/>
      </c>
      <c r="AF734" s="81">
        <f>IF(OR($B734="",$A734=""),"",$B734&amp;" | "&amp;$A734)</f>
        <v/>
      </c>
    </row>
    <row r="735" ht="15" customHeight="1" s="40">
      <c r="A735" s="65">
        <f>IF(COUNTA(B735:F735)=0,"","TSK-"&amp;TEXT(ROW()-4,"0000"))</f>
        <v/>
      </c>
      <c r="B735" s="78" t="n"/>
      <c r="C735" s="78" t="n"/>
      <c r="D735" s="81" t="n"/>
      <c r="E735" s="81" t="n"/>
      <c r="F735" s="78" t="n"/>
      <c r="G735" s="67">
        <f>IF($F735="","",IFERROR(INDEX(Employee_Master!$C$5:$C$204,MATCH($F735,Employee_Master!$B$5:$B$204,0)),""))</f>
        <v/>
      </c>
      <c r="H735" s="78" t="n"/>
      <c r="I735" s="78" t="n"/>
      <c r="J735" s="67">
        <f>IF($I735="","",IFERROR(INDEX(Action_Status_Map!$B$5:$B$11,MATCH($I735,Action_Status_Map!$A$5:$A$11,0)),""))</f>
        <v/>
      </c>
      <c r="K735" s="82" t="n"/>
      <c r="L735" s="82" t="n"/>
      <c r="M735" s="82" t="n"/>
      <c r="N735" s="83" t="n"/>
      <c r="O735" s="83" t="n"/>
      <c r="P735" s="66">
        <f>IF(OR($N735="",$O735=""),"",$O735-$N735)</f>
        <v/>
      </c>
      <c r="Q735" s="84">
        <f>IF($K735="","",IF($M735&lt;&gt;"",$M735-$K735,TODAY()-$K735))</f>
        <v/>
      </c>
      <c r="R735" s="85">
        <f>IF(OR($L735="",$I735="Completed",$I735="Cancelled"),"",IF(AND($L735&lt;TODAY(),$I735&lt;&gt;"Completed",$I735&lt;&gt;"Cancelled"),"Overdue","On Track"))</f>
        <v/>
      </c>
      <c r="S735" s="65">
        <f>IF($L735="","",TEXT($L735,"yyyy-mm"))</f>
        <v/>
      </c>
      <c r="T735" s="86">
        <f>IF($I735="","",IFERROR(INDEX(Action_Status_Map!$C$5:$C$11,MATCH($I735,Action_Status_Map!$A$5:$A$11,0)),""))</f>
        <v/>
      </c>
      <c r="U735" s="81" t="n"/>
      <c r="V735" s="82" t="n"/>
      <c r="W735" s="65">
        <f>IF(OR($I735&lt;&gt;"Completed",$M735="",$L735=""),"",IF($M735&lt;=$L735,"Yes","No"))</f>
        <v/>
      </c>
      <c r="X735" s="84">
        <f>IF($A735="","",COUNTIF(Task_Steps!$B$5:$B$2004,$A735))</f>
        <v/>
      </c>
      <c r="Y735" s="86">
        <f>IF($X735=0,"",COUNTIFS(Task_Steps!$B$5:$B$2004,$A735,Task_Steps!$H$5:$H$2004,"Completed")/$X735)</f>
        <v/>
      </c>
      <c r="Z735" s="81" t="n"/>
      <c r="AA735" s="81" t="n"/>
      <c r="AB735" s="67">
        <f>IF($F735="","",IFERROR(INDEX(Employee_Master!$E$5:$E$204,MATCH($F735,Employee_Master!$B$5:$B$204,0)),""))</f>
        <v/>
      </c>
      <c r="AC735" s="65">
        <f>IF(OR($A735="",$AB735=""),"",IF(OR($I735="Completed",$I735="Cancelled"),"Closed - in Manager Report","Active - in Manager Report"))</f>
        <v/>
      </c>
      <c r="AD735" s="81">
        <f>IF($A735="","",IFERROR(TEXTJOIN(", ",TRUE,FILTER(Task_Steps!$A$5:$A$2004,Task_Steps!$B$5:$B$2004=$A735)),""))</f>
        <v/>
      </c>
      <c r="AE735" s="84">
        <f>IF($A735="","",COUNTIFS(Task_Steps!$B$5:$B$2004,$A735,Task_Steps!$H$5:$H$2004,"&lt;&gt;Completed",Task_Steps!$H$5:$H$2004,"&lt;&gt;Cancelled"))</f>
        <v/>
      </c>
      <c r="AF735" s="81">
        <f>IF(OR($B735="",$A735=""),"",$B735&amp;" | "&amp;$A735)</f>
        <v/>
      </c>
    </row>
    <row r="736" ht="15" customHeight="1" s="40">
      <c r="A736" s="65">
        <f>IF(COUNTA(B736:F736)=0,"","TSK-"&amp;TEXT(ROW()-4,"0000"))</f>
        <v/>
      </c>
      <c r="B736" s="78" t="n"/>
      <c r="C736" s="78" t="n"/>
      <c r="D736" s="81" t="n"/>
      <c r="E736" s="81" t="n"/>
      <c r="F736" s="78" t="n"/>
      <c r="G736" s="67">
        <f>IF($F736="","",IFERROR(INDEX(Employee_Master!$C$5:$C$204,MATCH($F736,Employee_Master!$B$5:$B$204,0)),""))</f>
        <v/>
      </c>
      <c r="H736" s="78" t="n"/>
      <c r="I736" s="78" t="n"/>
      <c r="J736" s="67">
        <f>IF($I736="","",IFERROR(INDEX(Action_Status_Map!$B$5:$B$11,MATCH($I736,Action_Status_Map!$A$5:$A$11,0)),""))</f>
        <v/>
      </c>
      <c r="K736" s="82" t="n"/>
      <c r="L736" s="82" t="n"/>
      <c r="M736" s="82" t="n"/>
      <c r="N736" s="83" t="n"/>
      <c r="O736" s="83" t="n"/>
      <c r="P736" s="66">
        <f>IF(OR($N736="",$O736=""),"",$O736-$N736)</f>
        <v/>
      </c>
      <c r="Q736" s="84">
        <f>IF($K736="","",IF($M736&lt;&gt;"",$M736-$K736,TODAY()-$K736))</f>
        <v/>
      </c>
      <c r="R736" s="85">
        <f>IF(OR($L736="",$I736="Completed",$I736="Cancelled"),"",IF(AND($L736&lt;TODAY(),$I736&lt;&gt;"Completed",$I736&lt;&gt;"Cancelled"),"Overdue","On Track"))</f>
        <v/>
      </c>
      <c r="S736" s="65">
        <f>IF($L736="","",TEXT($L736,"yyyy-mm"))</f>
        <v/>
      </c>
      <c r="T736" s="86">
        <f>IF($I736="","",IFERROR(INDEX(Action_Status_Map!$C$5:$C$11,MATCH($I736,Action_Status_Map!$A$5:$A$11,0)),""))</f>
        <v/>
      </c>
      <c r="U736" s="81" t="n"/>
      <c r="V736" s="82" t="n"/>
      <c r="W736" s="65">
        <f>IF(OR($I736&lt;&gt;"Completed",$M736="",$L736=""),"",IF($M736&lt;=$L736,"Yes","No"))</f>
        <v/>
      </c>
      <c r="X736" s="84">
        <f>IF($A736="","",COUNTIF(Task_Steps!$B$5:$B$2004,$A736))</f>
        <v/>
      </c>
      <c r="Y736" s="86">
        <f>IF($X736=0,"",COUNTIFS(Task_Steps!$B$5:$B$2004,$A736,Task_Steps!$H$5:$H$2004,"Completed")/$X736)</f>
        <v/>
      </c>
      <c r="Z736" s="81" t="n"/>
      <c r="AA736" s="81" t="n"/>
      <c r="AB736" s="67">
        <f>IF($F736="","",IFERROR(INDEX(Employee_Master!$E$5:$E$204,MATCH($F736,Employee_Master!$B$5:$B$204,0)),""))</f>
        <v/>
      </c>
      <c r="AC736" s="65">
        <f>IF(OR($A736="",$AB736=""),"",IF(OR($I736="Completed",$I736="Cancelled"),"Closed - in Manager Report","Active - in Manager Report"))</f>
        <v/>
      </c>
      <c r="AD736" s="81">
        <f>IF($A736="","",IFERROR(TEXTJOIN(", ",TRUE,FILTER(Task_Steps!$A$5:$A$2004,Task_Steps!$B$5:$B$2004=$A736)),""))</f>
        <v/>
      </c>
      <c r="AE736" s="84">
        <f>IF($A736="","",COUNTIFS(Task_Steps!$B$5:$B$2004,$A736,Task_Steps!$H$5:$H$2004,"&lt;&gt;Completed",Task_Steps!$H$5:$H$2004,"&lt;&gt;Cancelled"))</f>
        <v/>
      </c>
      <c r="AF736" s="81">
        <f>IF(OR($B736="",$A736=""),"",$B736&amp;" | "&amp;$A736)</f>
        <v/>
      </c>
    </row>
    <row r="737" ht="15" customHeight="1" s="40">
      <c r="A737" s="65">
        <f>IF(COUNTA(B737:F737)=0,"","TSK-"&amp;TEXT(ROW()-4,"0000"))</f>
        <v/>
      </c>
      <c r="B737" s="78" t="n"/>
      <c r="C737" s="78" t="n"/>
      <c r="D737" s="81" t="n"/>
      <c r="E737" s="81" t="n"/>
      <c r="F737" s="78" t="n"/>
      <c r="G737" s="67">
        <f>IF($F737="","",IFERROR(INDEX(Employee_Master!$C$5:$C$204,MATCH($F737,Employee_Master!$B$5:$B$204,0)),""))</f>
        <v/>
      </c>
      <c r="H737" s="78" t="n"/>
      <c r="I737" s="78" t="n"/>
      <c r="J737" s="67">
        <f>IF($I737="","",IFERROR(INDEX(Action_Status_Map!$B$5:$B$11,MATCH($I737,Action_Status_Map!$A$5:$A$11,0)),""))</f>
        <v/>
      </c>
      <c r="K737" s="82" t="n"/>
      <c r="L737" s="82" t="n"/>
      <c r="M737" s="82" t="n"/>
      <c r="N737" s="83" t="n"/>
      <c r="O737" s="83" t="n"/>
      <c r="P737" s="66">
        <f>IF(OR($N737="",$O737=""),"",$O737-$N737)</f>
        <v/>
      </c>
      <c r="Q737" s="84">
        <f>IF($K737="","",IF($M737&lt;&gt;"",$M737-$K737,TODAY()-$K737))</f>
        <v/>
      </c>
      <c r="R737" s="85">
        <f>IF(OR($L737="",$I737="Completed",$I737="Cancelled"),"",IF(AND($L737&lt;TODAY(),$I737&lt;&gt;"Completed",$I737&lt;&gt;"Cancelled"),"Overdue","On Track"))</f>
        <v/>
      </c>
      <c r="S737" s="65">
        <f>IF($L737="","",TEXT($L737,"yyyy-mm"))</f>
        <v/>
      </c>
      <c r="T737" s="86">
        <f>IF($I737="","",IFERROR(INDEX(Action_Status_Map!$C$5:$C$11,MATCH($I737,Action_Status_Map!$A$5:$A$11,0)),""))</f>
        <v/>
      </c>
      <c r="U737" s="81" t="n"/>
      <c r="V737" s="82" t="n"/>
      <c r="W737" s="65">
        <f>IF(OR($I737&lt;&gt;"Completed",$M737="",$L737=""),"",IF($M737&lt;=$L737,"Yes","No"))</f>
        <v/>
      </c>
      <c r="X737" s="84">
        <f>IF($A737="","",COUNTIF(Task_Steps!$B$5:$B$2004,$A737))</f>
        <v/>
      </c>
      <c r="Y737" s="86">
        <f>IF($X737=0,"",COUNTIFS(Task_Steps!$B$5:$B$2004,$A737,Task_Steps!$H$5:$H$2004,"Completed")/$X737)</f>
        <v/>
      </c>
      <c r="Z737" s="81" t="n"/>
      <c r="AA737" s="81" t="n"/>
      <c r="AB737" s="67">
        <f>IF($F737="","",IFERROR(INDEX(Employee_Master!$E$5:$E$204,MATCH($F737,Employee_Master!$B$5:$B$204,0)),""))</f>
        <v/>
      </c>
      <c r="AC737" s="65">
        <f>IF(OR($A737="",$AB737=""),"",IF(OR($I737="Completed",$I737="Cancelled"),"Closed - in Manager Report","Active - in Manager Report"))</f>
        <v/>
      </c>
      <c r="AD737" s="81">
        <f>IF($A737="","",IFERROR(TEXTJOIN(", ",TRUE,FILTER(Task_Steps!$A$5:$A$2004,Task_Steps!$B$5:$B$2004=$A737)),""))</f>
        <v/>
      </c>
      <c r="AE737" s="84">
        <f>IF($A737="","",COUNTIFS(Task_Steps!$B$5:$B$2004,$A737,Task_Steps!$H$5:$H$2004,"&lt;&gt;Completed",Task_Steps!$H$5:$H$2004,"&lt;&gt;Cancelled"))</f>
        <v/>
      </c>
      <c r="AF737" s="81">
        <f>IF(OR($B737="",$A737=""),"",$B737&amp;" | "&amp;$A737)</f>
        <v/>
      </c>
    </row>
    <row r="738" ht="15" customHeight="1" s="40">
      <c r="A738" s="65">
        <f>IF(COUNTA(B738:F738)=0,"","TSK-"&amp;TEXT(ROW()-4,"0000"))</f>
        <v/>
      </c>
      <c r="B738" s="78" t="n"/>
      <c r="C738" s="78" t="n"/>
      <c r="D738" s="81" t="n"/>
      <c r="E738" s="81" t="n"/>
      <c r="F738" s="78" t="n"/>
      <c r="G738" s="67">
        <f>IF($F738="","",IFERROR(INDEX(Employee_Master!$C$5:$C$204,MATCH($F738,Employee_Master!$B$5:$B$204,0)),""))</f>
        <v/>
      </c>
      <c r="H738" s="78" t="n"/>
      <c r="I738" s="78" t="n"/>
      <c r="J738" s="67">
        <f>IF($I738="","",IFERROR(INDEX(Action_Status_Map!$B$5:$B$11,MATCH($I738,Action_Status_Map!$A$5:$A$11,0)),""))</f>
        <v/>
      </c>
      <c r="K738" s="82" t="n"/>
      <c r="L738" s="82" t="n"/>
      <c r="M738" s="82" t="n"/>
      <c r="N738" s="83" t="n"/>
      <c r="O738" s="83" t="n"/>
      <c r="P738" s="66">
        <f>IF(OR($N738="",$O738=""),"",$O738-$N738)</f>
        <v/>
      </c>
      <c r="Q738" s="84">
        <f>IF($K738="","",IF($M738&lt;&gt;"",$M738-$K738,TODAY()-$K738))</f>
        <v/>
      </c>
      <c r="R738" s="85">
        <f>IF(OR($L738="",$I738="Completed",$I738="Cancelled"),"",IF(AND($L738&lt;TODAY(),$I738&lt;&gt;"Completed",$I738&lt;&gt;"Cancelled"),"Overdue","On Track"))</f>
        <v/>
      </c>
      <c r="S738" s="65">
        <f>IF($L738="","",TEXT($L738,"yyyy-mm"))</f>
        <v/>
      </c>
      <c r="T738" s="86">
        <f>IF($I738="","",IFERROR(INDEX(Action_Status_Map!$C$5:$C$11,MATCH($I738,Action_Status_Map!$A$5:$A$11,0)),""))</f>
        <v/>
      </c>
      <c r="U738" s="81" t="n"/>
      <c r="V738" s="82" t="n"/>
      <c r="W738" s="65">
        <f>IF(OR($I738&lt;&gt;"Completed",$M738="",$L738=""),"",IF($M738&lt;=$L738,"Yes","No"))</f>
        <v/>
      </c>
      <c r="X738" s="84">
        <f>IF($A738="","",COUNTIF(Task_Steps!$B$5:$B$2004,$A738))</f>
        <v/>
      </c>
      <c r="Y738" s="86">
        <f>IF($X738=0,"",COUNTIFS(Task_Steps!$B$5:$B$2004,$A738,Task_Steps!$H$5:$H$2004,"Completed")/$X738)</f>
        <v/>
      </c>
      <c r="Z738" s="81" t="n"/>
      <c r="AA738" s="81" t="n"/>
      <c r="AB738" s="67">
        <f>IF($F738="","",IFERROR(INDEX(Employee_Master!$E$5:$E$204,MATCH($F738,Employee_Master!$B$5:$B$204,0)),""))</f>
        <v/>
      </c>
      <c r="AC738" s="65">
        <f>IF(OR($A738="",$AB738=""),"",IF(OR($I738="Completed",$I738="Cancelled"),"Closed - in Manager Report","Active - in Manager Report"))</f>
        <v/>
      </c>
      <c r="AD738" s="81">
        <f>IF($A738="","",IFERROR(TEXTJOIN(", ",TRUE,FILTER(Task_Steps!$A$5:$A$2004,Task_Steps!$B$5:$B$2004=$A738)),""))</f>
        <v/>
      </c>
      <c r="AE738" s="84">
        <f>IF($A738="","",COUNTIFS(Task_Steps!$B$5:$B$2004,$A738,Task_Steps!$H$5:$H$2004,"&lt;&gt;Completed",Task_Steps!$H$5:$H$2004,"&lt;&gt;Cancelled"))</f>
        <v/>
      </c>
      <c r="AF738" s="81">
        <f>IF(OR($B738="",$A738=""),"",$B738&amp;" | "&amp;$A738)</f>
        <v/>
      </c>
    </row>
    <row r="739" ht="15" customHeight="1" s="40">
      <c r="A739" s="65">
        <f>IF(COUNTA(B739:F739)=0,"","TSK-"&amp;TEXT(ROW()-4,"0000"))</f>
        <v/>
      </c>
      <c r="B739" s="78" t="n"/>
      <c r="C739" s="78" t="n"/>
      <c r="D739" s="81" t="n"/>
      <c r="E739" s="81" t="n"/>
      <c r="F739" s="78" t="n"/>
      <c r="G739" s="67">
        <f>IF($F739="","",IFERROR(INDEX(Employee_Master!$C$5:$C$204,MATCH($F739,Employee_Master!$B$5:$B$204,0)),""))</f>
        <v/>
      </c>
      <c r="H739" s="78" t="n"/>
      <c r="I739" s="78" t="n"/>
      <c r="J739" s="67">
        <f>IF($I739="","",IFERROR(INDEX(Action_Status_Map!$B$5:$B$11,MATCH($I739,Action_Status_Map!$A$5:$A$11,0)),""))</f>
        <v/>
      </c>
      <c r="K739" s="82" t="n"/>
      <c r="L739" s="82" t="n"/>
      <c r="M739" s="82" t="n"/>
      <c r="N739" s="83" t="n"/>
      <c r="O739" s="83" t="n"/>
      <c r="P739" s="66">
        <f>IF(OR($N739="",$O739=""),"",$O739-$N739)</f>
        <v/>
      </c>
      <c r="Q739" s="84">
        <f>IF($K739="","",IF($M739&lt;&gt;"",$M739-$K739,TODAY()-$K739))</f>
        <v/>
      </c>
      <c r="R739" s="85">
        <f>IF(OR($L739="",$I739="Completed",$I739="Cancelled"),"",IF(AND($L739&lt;TODAY(),$I739&lt;&gt;"Completed",$I739&lt;&gt;"Cancelled"),"Overdue","On Track"))</f>
        <v/>
      </c>
      <c r="S739" s="65">
        <f>IF($L739="","",TEXT($L739,"yyyy-mm"))</f>
        <v/>
      </c>
      <c r="T739" s="86">
        <f>IF($I739="","",IFERROR(INDEX(Action_Status_Map!$C$5:$C$11,MATCH($I739,Action_Status_Map!$A$5:$A$11,0)),""))</f>
        <v/>
      </c>
      <c r="U739" s="81" t="n"/>
      <c r="V739" s="82" t="n"/>
      <c r="W739" s="65">
        <f>IF(OR($I739&lt;&gt;"Completed",$M739="",$L739=""),"",IF($M739&lt;=$L739,"Yes","No"))</f>
        <v/>
      </c>
      <c r="X739" s="84">
        <f>IF($A739="","",COUNTIF(Task_Steps!$B$5:$B$2004,$A739))</f>
        <v/>
      </c>
      <c r="Y739" s="86">
        <f>IF($X739=0,"",COUNTIFS(Task_Steps!$B$5:$B$2004,$A739,Task_Steps!$H$5:$H$2004,"Completed")/$X739)</f>
        <v/>
      </c>
      <c r="Z739" s="81" t="n"/>
      <c r="AA739" s="81" t="n"/>
      <c r="AB739" s="67">
        <f>IF($F739="","",IFERROR(INDEX(Employee_Master!$E$5:$E$204,MATCH($F739,Employee_Master!$B$5:$B$204,0)),""))</f>
        <v/>
      </c>
      <c r="AC739" s="65">
        <f>IF(OR($A739="",$AB739=""),"",IF(OR($I739="Completed",$I739="Cancelled"),"Closed - in Manager Report","Active - in Manager Report"))</f>
        <v/>
      </c>
      <c r="AD739" s="81">
        <f>IF($A739="","",IFERROR(TEXTJOIN(", ",TRUE,FILTER(Task_Steps!$A$5:$A$2004,Task_Steps!$B$5:$B$2004=$A739)),""))</f>
        <v/>
      </c>
      <c r="AE739" s="84">
        <f>IF($A739="","",COUNTIFS(Task_Steps!$B$5:$B$2004,$A739,Task_Steps!$H$5:$H$2004,"&lt;&gt;Completed",Task_Steps!$H$5:$H$2004,"&lt;&gt;Cancelled"))</f>
        <v/>
      </c>
      <c r="AF739" s="81">
        <f>IF(OR($B739="",$A739=""),"",$B739&amp;" | "&amp;$A739)</f>
        <v/>
      </c>
    </row>
    <row r="740" ht="15" customHeight="1" s="40">
      <c r="A740" s="65">
        <f>IF(COUNTA(B740:F740)=0,"","TSK-"&amp;TEXT(ROW()-4,"0000"))</f>
        <v/>
      </c>
      <c r="B740" s="78" t="n"/>
      <c r="C740" s="78" t="n"/>
      <c r="D740" s="81" t="n"/>
      <c r="E740" s="81" t="n"/>
      <c r="F740" s="78" t="n"/>
      <c r="G740" s="67">
        <f>IF($F740="","",IFERROR(INDEX(Employee_Master!$C$5:$C$204,MATCH($F740,Employee_Master!$B$5:$B$204,0)),""))</f>
        <v/>
      </c>
      <c r="H740" s="78" t="n"/>
      <c r="I740" s="78" t="n"/>
      <c r="J740" s="67">
        <f>IF($I740="","",IFERROR(INDEX(Action_Status_Map!$B$5:$B$11,MATCH($I740,Action_Status_Map!$A$5:$A$11,0)),""))</f>
        <v/>
      </c>
      <c r="K740" s="82" t="n"/>
      <c r="L740" s="82" t="n"/>
      <c r="M740" s="82" t="n"/>
      <c r="N740" s="83" t="n"/>
      <c r="O740" s="83" t="n"/>
      <c r="P740" s="66">
        <f>IF(OR($N740="",$O740=""),"",$O740-$N740)</f>
        <v/>
      </c>
      <c r="Q740" s="84">
        <f>IF($K740="","",IF($M740&lt;&gt;"",$M740-$K740,TODAY()-$K740))</f>
        <v/>
      </c>
      <c r="R740" s="85">
        <f>IF(OR($L740="",$I740="Completed",$I740="Cancelled"),"",IF(AND($L740&lt;TODAY(),$I740&lt;&gt;"Completed",$I740&lt;&gt;"Cancelled"),"Overdue","On Track"))</f>
        <v/>
      </c>
      <c r="S740" s="65">
        <f>IF($L740="","",TEXT($L740,"yyyy-mm"))</f>
        <v/>
      </c>
      <c r="T740" s="86">
        <f>IF($I740="","",IFERROR(INDEX(Action_Status_Map!$C$5:$C$11,MATCH($I740,Action_Status_Map!$A$5:$A$11,0)),""))</f>
        <v/>
      </c>
      <c r="U740" s="81" t="n"/>
      <c r="V740" s="82" t="n"/>
      <c r="W740" s="65">
        <f>IF(OR($I740&lt;&gt;"Completed",$M740="",$L740=""),"",IF($M740&lt;=$L740,"Yes","No"))</f>
        <v/>
      </c>
      <c r="X740" s="84">
        <f>IF($A740="","",COUNTIF(Task_Steps!$B$5:$B$2004,$A740))</f>
        <v/>
      </c>
      <c r="Y740" s="86">
        <f>IF($X740=0,"",COUNTIFS(Task_Steps!$B$5:$B$2004,$A740,Task_Steps!$H$5:$H$2004,"Completed")/$X740)</f>
        <v/>
      </c>
      <c r="Z740" s="81" t="n"/>
      <c r="AA740" s="81" t="n"/>
      <c r="AB740" s="67">
        <f>IF($F740="","",IFERROR(INDEX(Employee_Master!$E$5:$E$204,MATCH($F740,Employee_Master!$B$5:$B$204,0)),""))</f>
        <v/>
      </c>
      <c r="AC740" s="65">
        <f>IF(OR($A740="",$AB740=""),"",IF(OR($I740="Completed",$I740="Cancelled"),"Closed - in Manager Report","Active - in Manager Report"))</f>
        <v/>
      </c>
      <c r="AD740" s="81">
        <f>IF($A740="","",IFERROR(TEXTJOIN(", ",TRUE,FILTER(Task_Steps!$A$5:$A$2004,Task_Steps!$B$5:$B$2004=$A740)),""))</f>
        <v/>
      </c>
      <c r="AE740" s="84">
        <f>IF($A740="","",COUNTIFS(Task_Steps!$B$5:$B$2004,$A740,Task_Steps!$H$5:$H$2004,"&lt;&gt;Completed",Task_Steps!$H$5:$H$2004,"&lt;&gt;Cancelled"))</f>
        <v/>
      </c>
      <c r="AF740" s="81">
        <f>IF(OR($B740="",$A740=""),"",$B740&amp;" | "&amp;$A740)</f>
        <v/>
      </c>
    </row>
    <row r="741" ht="15" customHeight="1" s="40">
      <c r="A741" s="65">
        <f>IF(COUNTA(B741:F741)=0,"","TSK-"&amp;TEXT(ROW()-4,"0000"))</f>
        <v/>
      </c>
      <c r="B741" s="78" t="n"/>
      <c r="C741" s="78" t="n"/>
      <c r="D741" s="81" t="n"/>
      <c r="E741" s="81" t="n"/>
      <c r="F741" s="78" t="n"/>
      <c r="G741" s="67">
        <f>IF($F741="","",IFERROR(INDEX(Employee_Master!$C$5:$C$204,MATCH($F741,Employee_Master!$B$5:$B$204,0)),""))</f>
        <v/>
      </c>
      <c r="H741" s="78" t="n"/>
      <c r="I741" s="78" t="n"/>
      <c r="J741" s="67">
        <f>IF($I741="","",IFERROR(INDEX(Action_Status_Map!$B$5:$B$11,MATCH($I741,Action_Status_Map!$A$5:$A$11,0)),""))</f>
        <v/>
      </c>
      <c r="K741" s="82" t="n"/>
      <c r="L741" s="82" t="n"/>
      <c r="M741" s="82" t="n"/>
      <c r="N741" s="83" t="n"/>
      <c r="O741" s="83" t="n"/>
      <c r="P741" s="66">
        <f>IF(OR($N741="",$O741=""),"",$O741-$N741)</f>
        <v/>
      </c>
      <c r="Q741" s="84">
        <f>IF($K741="","",IF($M741&lt;&gt;"",$M741-$K741,TODAY()-$K741))</f>
        <v/>
      </c>
      <c r="R741" s="85">
        <f>IF(OR($L741="",$I741="Completed",$I741="Cancelled"),"",IF(AND($L741&lt;TODAY(),$I741&lt;&gt;"Completed",$I741&lt;&gt;"Cancelled"),"Overdue","On Track"))</f>
        <v/>
      </c>
      <c r="S741" s="65">
        <f>IF($L741="","",TEXT($L741,"yyyy-mm"))</f>
        <v/>
      </c>
      <c r="T741" s="86">
        <f>IF($I741="","",IFERROR(INDEX(Action_Status_Map!$C$5:$C$11,MATCH($I741,Action_Status_Map!$A$5:$A$11,0)),""))</f>
        <v/>
      </c>
      <c r="U741" s="81" t="n"/>
      <c r="V741" s="82" t="n"/>
      <c r="W741" s="65">
        <f>IF(OR($I741&lt;&gt;"Completed",$M741="",$L741=""),"",IF($M741&lt;=$L741,"Yes","No"))</f>
        <v/>
      </c>
      <c r="X741" s="84">
        <f>IF($A741="","",COUNTIF(Task_Steps!$B$5:$B$2004,$A741))</f>
        <v/>
      </c>
      <c r="Y741" s="86">
        <f>IF($X741=0,"",COUNTIFS(Task_Steps!$B$5:$B$2004,$A741,Task_Steps!$H$5:$H$2004,"Completed")/$X741)</f>
        <v/>
      </c>
      <c r="Z741" s="81" t="n"/>
      <c r="AA741" s="81" t="n"/>
      <c r="AB741" s="67">
        <f>IF($F741="","",IFERROR(INDEX(Employee_Master!$E$5:$E$204,MATCH($F741,Employee_Master!$B$5:$B$204,0)),""))</f>
        <v/>
      </c>
      <c r="AC741" s="65">
        <f>IF(OR($A741="",$AB741=""),"",IF(OR($I741="Completed",$I741="Cancelled"),"Closed - in Manager Report","Active - in Manager Report"))</f>
        <v/>
      </c>
      <c r="AD741" s="81">
        <f>IF($A741="","",IFERROR(TEXTJOIN(", ",TRUE,FILTER(Task_Steps!$A$5:$A$2004,Task_Steps!$B$5:$B$2004=$A741)),""))</f>
        <v/>
      </c>
      <c r="AE741" s="84">
        <f>IF($A741="","",COUNTIFS(Task_Steps!$B$5:$B$2004,$A741,Task_Steps!$H$5:$H$2004,"&lt;&gt;Completed",Task_Steps!$H$5:$H$2004,"&lt;&gt;Cancelled"))</f>
        <v/>
      </c>
      <c r="AF741" s="81">
        <f>IF(OR($B741="",$A741=""),"",$B741&amp;" | "&amp;$A741)</f>
        <v/>
      </c>
    </row>
    <row r="742" ht="15" customHeight="1" s="40">
      <c r="A742" s="65">
        <f>IF(COUNTA(B742:F742)=0,"","TSK-"&amp;TEXT(ROW()-4,"0000"))</f>
        <v/>
      </c>
      <c r="B742" s="78" t="n"/>
      <c r="C742" s="78" t="n"/>
      <c r="D742" s="81" t="n"/>
      <c r="E742" s="81" t="n"/>
      <c r="F742" s="78" t="n"/>
      <c r="G742" s="67">
        <f>IF($F742="","",IFERROR(INDEX(Employee_Master!$C$5:$C$204,MATCH($F742,Employee_Master!$B$5:$B$204,0)),""))</f>
        <v/>
      </c>
      <c r="H742" s="78" t="n"/>
      <c r="I742" s="78" t="n"/>
      <c r="J742" s="67">
        <f>IF($I742="","",IFERROR(INDEX(Action_Status_Map!$B$5:$B$11,MATCH($I742,Action_Status_Map!$A$5:$A$11,0)),""))</f>
        <v/>
      </c>
      <c r="K742" s="82" t="n"/>
      <c r="L742" s="82" t="n"/>
      <c r="M742" s="82" t="n"/>
      <c r="N742" s="83" t="n"/>
      <c r="O742" s="83" t="n"/>
      <c r="P742" s="66">
        <f>IF(OR($N742="",$O742=""),"",$O742-$N742)</f>
        <v/>
      </c>
      <c r="Q742" s="84">
        <f>IF($K742="","",IF($M742&lt;&gt;"",$M742-$K742,TODAY()-$K742))</f>
        <v/>
      </c>
      <c r="R742" s="85">
        <f>IF(OR($L742="",$I742="Completed",$I742="Cancelled"),"",IF(AND($L742&lt;TODAY(),$I742&lt;&gt;"Completed",$I742&lt;&gt;"Cancelled"),"Overdue","On Track"))</f>
        <v/>
      </c>
      <c r="S742" s="65">
        <f>IF($L742="","",TEXT($L742,"yyyy-mm"))</f>
        <v/>
      </c>
      <c r="T742" s="86">
        <f>IF($I742="","",IFERROR(INDEX(Action_Status_Map!$C$5:$C$11,MATCH($I742,Action_Status_Map!$A$5:$A$11,0)),""))</f>
        <v/>
      </c>
      <c r="U742" s="81" t="n"/>
      <c r="V742" s="82" t="n"/>
      <c r="W742" s="65">
        <f>IF(OR($I742&lt;&gt;"Completed",$M742="",$L742=""),"",IF($M742&lt;=$L742,"Yes","No"))</f>
        <v/>
      </c>
      <c r="X742" s="84">
        <f>IF($A742="","",COUNTIF(Task_Steps!$B$5:$B$2004,$A742))</f>
        <v/>
      </c>
      <c r="Y742" s="86">
        <f>IF($X742=0,"",COUNTIFS(Task_Steps!$B$5:$B$2004,$A742,Task_Steps!$H$5:$H$2004,"Completed")/$X742)</f>
        <v/>
      </c>
      <c r="Z742" s="81" t="n"/>
      <c r="AA742" s="81" t="n"/>
      <c r="AB742" s="67">
        <f>IF($F742="","",IFERROR(INDEX(Employee_Master!$E$5:$E$204,MATCH($F742,Employee_Master!$B$5:$B$204,0)),""))</f>
        <v/>
      </c>
      <c r="AC742" s="65">
        <f>IF(OR($A742="",$AB742=""),"",IF(OR($I742="Completed",$I742="Cancelled"),"Closed - in Manager Report","Active - in Manager Report"))</f>
        <v/>
      </c>
      <c r="AD742" s="81">
        <f>IF($A742="","",IFERROR(TEXTJOIN(", ",TRUE,FILTER(Task_Steps!$A$5:$A$2004,Task_Steps!$B$5:$B$2004=$A742)),""))</f>
        <v/>
      </c>
      <c r="AE742" s="84">
        <f>IF($A742="","",COUNTIFS(Task_Steps!$B$5:$B$2004,$A742,Task_Steps!$H$5:$H$2004,"&lt;&gt;Completed",Task_Steps!$H$5:$H$2004,"&lt;&gt;Cancelled"))</f>
        <v/>
      </c>
      <c r="AF742" s="81">
        <f>IF(OR($B742="",$A742=""),"",$B742&amp;" | "&amp;$A742)</f>
        <v/>
      </c>
    </row>
    <row r="743" ht="15" customHeight="1" s="40">
      <c r="A743" s="65">
        <f>IF(COUNTA(B743:F743)=0,"","TSK-"&amp;TEXT(ROW()-4,"0000"))</f>
        <v/>
      </c>
      <c r="B743" s="78" t="n"/>
      <c r="C743" s="78" t="n"/>
      <c r="D743" s="81" t="n"/>
      <c r="E743" s="81" t="n"/>
      <c r="F743" s="78" t="n"/>
      <c r="G743" s="67">
        <f>IF($F743="","",IFERROR(INDEX(Employee_Master!$C$5:$C$204,MATCH($F743,Employee_Master!$B$5:$B$204,0)),""))</f>
        <v/>
      </c>
      <c r="H743" s="78" t="n"/>
      <c r="I743" s="78" t="n"/>
      <c r="J743" s="67">
        <f>IF($I743="","",IFERROR(INDEX(Action_Status_Map!$B$5:$B$11,MATCH($I743,Action_Status_Map!$A$5:$A$11,0)),""))</f>
        <v/>
      </c>
      <c r="K743" s="82" t="n"/>
      <c r="L743" s="82" t="n"/>
      <c r="M743" s="82" t="n"/>
      <c r="N743" s="83" t="n"/>
      <c r="O743" s="83" t="n"/>
      <c r="P743" s="66">
        <f>IF(OR($N743="",$O743=""),"",$O743-$N743)</f>
        <v/>
      </c>
      <c r="Q743" s="84">
        <f>IF($K743="","",IF($M743&lt;&gt;"",$M743-$K743,TODAY()-$K743))</f>
        <v/>
      </c>
      <c r="R743" s="85">
        <f>IF(OR($L743="",$I743="Completed",$I743="Cancelled"),"",IF(AND($L743&lt;TODAY(),$I743&lt;&gt;"Completed",$I743&lt;&gt;"Cancelled"),"Overdue","On Track"))</f>
        <v/>
      </c>
      <c r="S743" s="65">
        <f>IF($L743="","",TEXT($L743,"yyyy-mm"))</f>
        <v/>
      </c>
      <c r="T743" s="86">
        <f>IF($I743="","",IFERROR(INDEX(Action_Status_Map!$C$5:$C$11,MATCH($I743,Action_Status_Map!$A$5:$A$11,0)),""))</f>
        <v/>
      </c>
      <c r="U743" s="81" t="n"/>
      <c r="V743" s="82" t="n"/>
      <c r="W743" s="65">
        <f>IF(OR($I743&lt;&gt;"Completed",$M743="",$L743=""),"",IF($M743&lt;=$L743,"Yes","No"))</f>
        <v/>
      </c>
      <c r="X743" s="84">
        <f>IF($A743="","",COUNTIF(Task_Steps!$B$5:$B$2004,$A743))</f>
        <v/>
      </c>
      <c r="Y743" s="86">
        <f>IF($X743=0,"",COUNTIFS(Task_Steps!$B$5:$B$2004,$A743,Task_Steps!$H$5:$H$2004,"Completed")/$X743)</f>
        <v/>
      </c>
      <c r="Z743" s="81" t="n"/>
      <c r="AA743" s="81" t="n"/>
      <c r="AB743" s="67">
        <f>IF($F743="","",IFERROR(INDEX(Employee_Master!$E$5:$E$204,MATCH($F743,Employee_Master!$B$5:$B$204,0)),""))</f>
        <v/>
      </c>
      <c r="AC743" s="65">
        <f>IF(OR($A743="",$AB743=""),"",IF(OR($I743="Completed",$I743="Cancelled"),"Closed - in Manager Report","Active - in Manager Report"))</f>
        <v/>
      </c>
      <c r="AD743" s="81">
        <f>IF($A743="","",IFERROR(TEXTJOIN(", ",TRUE,FILTER(Task_Steps!$A$5:$A$2004,Task_Steps!$B$5:$B$2004=$A743)),""))</f>
        <v/>
      </c>
      <c r="AE743" s="84">
        <f>IF($A743="","",COUNTIFS(Task_Steps!$B$5:$B$2004,$A743,Task_Steps!$H$5:$H$2004,"&lt;&gt;Completed",Task_Steps!$H$5:$H$2004,"&lt;&gt;Cancelled"))</f>
        <v/>
      </c>
      <c r="AF743" s="81">
        <f>IF(OR($B743="",$A743=""),"",$B743&amp;" | "&amp;$A743)</f>
        <v/>
      </c>
    </row>
    <row r="744" ht="15" customHeight="1" s="40">
      <c r="A744" s="65">
        <f>IF(COUNTA(B744:F744)=0,"","TSK-"&amp;TEXT(ROW()-4,"0000"))</f>
        <v/>
      </c>
      <c r="B744" s="78" t="n"/>
      <c r="C744" s="78" t="n"/>
      <c r="D744" s="81" t="n"/>
      <c r="E744" s="81" t="n"/>
      <c r="F744" s="78" t="n"/>
      <c r="G744" s="67">
        <f>IF($F744="","",IFERROR(INDEX(Employee_Master!$C$5:$C$204,MATCH($F744,Employee_Master!$B$5:$B$204,0)),""))</f>
        <v/>
      </c>
      <c r="H744" s="78" t="n"/>
      <c r="I744" s="78" t="n"/>
      <c r="J744" s="67">
        <f>IF($I744="","",IFERROR(INDEX(Action_Status_Map!$B$5:$B$11,MATCH($I744,Action_Status_Map!$A$5:$A$11,0)),""))</f>
        <v/>
      </c>
      <c r="K744" s="82" t="n"/>
      <c r="L744" s="82" t="n"/>
      <c r="M744" s="82" t="n"/>
      <c r="N744" s="83" t="n"/>
      <c r="O744" s="83" t="n"/>
      <c r="P744" s="66">
        <f>IF(OR($N744="",$O744=""),"",$O744-$N744)</f>
        <v/>
      </c>
      <c r="Q744" s="84">
        <f>IF($K744="","",IF($M744&lt;&gt;"",$M744-$K744,TODAY()-$K744))</f>
        <v/>
      </c>
      <c r="R744" s="85">
        <f>IF(OR($L744="",$I744="Completed",$I744="Cancelled"),"",IF(AND($L744&lt;TODAY(),$I744&lt;&gt;"Completed",$I744&lt;&gt;"Cancelled"),"Overdue","On Track"))</f>
        <v/>
      </c>
      <c r="S744" s="65">
        <f>IF($L744="","",TEXT($L744,"yyyy-mm"))</f>
        <v/>
      </c>
      <c r="T744" s="86">
        <f>IF($I744="","",IFERROR(INDEX(Action_Status_Map!$C$5:$C$11,MATCH($I744,Action_Status_Map!$A$5:$A$11,0)),""))</f>
        <v/>
      </c>
      <c r="U744" s="81" t="n"/>
      <c r="V744" s="82" t="n"/>
      <c r="W744" s="65">
        <f>IF(OR($I744&lt;&gt;"Completed",$M744="",$L744=""),"",IF($M744&lt;=$L744,"Yes","No"))</f>
        <v/>
      </c>
      <c r="X744" s="84">
        <f>IF($A744="","",COUNTIF(Task_Steps!$B$5:$B$2004,$A744))</f>
        <v/>
      </c>
      <c r="Y744" s="86">
        <f>IF($X744=0,"",COUNTIFS(Task_Steps!$B$5:$B$2004,$A744,Task_Steps!$H$5:$H$2004,"Completed")/$X744)</f>
        <v/>
      </c>
      <c r="Z744" s="81" t="n"/>
      <c r="AA744" s="81" t="n"/>
      <c r="AB744" s="67">
        <f>IF($F744="","",IFERROR(INDEX(Employee_Master!$E$5:$E$204,MATCH($F744,Employee_Master!$B$5:$B$204,0)),""))</f>
        <v/>
      </c>
      <c r="AC744" s="65">
        <f>IF(OR($A744="",$AB744=""),"",IF(OR($I744="Completed",$I744="Cancelled"),"Closed - in Manager Report","Active - in Manager Report"))</f>
        <v/>
      </c>
      <c r="AD744" s="81">
        <f>IF($A744="","",IFERROR(TEXTJOIN(", ",TRUE,FILTER(Task_Steps!$A$5:$A$2004,Task_Steps!$B$5:$B$2004=$A744)),""))</f>
        <v/>
      </c>
      <c r="AE744" s="84">
        <f>IF($A744="","",COUNTIFS(Task_Steps!$B$5:$B$2004,$A744,Task_Steps!$H$5:$H$2004,"&lt;&gt;Completed",Task_Steps!$H$5:$H$2004,"&lt;&gt;Cancelled"))</f>
        <v/>
      </c>
      <c r="AF744" s="81">
        <f>IF(OR($B744="",$A744=""),"",$B744&amp;" | "&amp;$A744)</f>
        <v/>
      </c>
    </row>
    <row r="745" ht="15" customHeight="1" s="40">
      <c r="A745" s="65">
        <f>IF(COUNTA(B745:F745)=0,"","TSK-"&amp;TEXT(ROW()-4,"0000"))</f>
        <v/>
      </c>
      <c r="B745" s="78" t="n"/>
      <c r="C745" s="78" t="n"/>
      <c r="D745" s="81" t="n"/>
      <c r="E745" s="81" t="n"/>
      <c r="F745" s="78" t="n"/>
      <c r="G745" s="67">
        <f>IF($F745="","",IFERROR(INDEX(Employee_Master!$C$5:$C$204,MATCH($F745,Employee_Master!$B$5:$B$204,0)),""))</f>
        <v/>
      </c>
      <c r="H745" s="78" t="n"/>
      <c r="I745" s="78" t="n"/>
      <c r="J745" s="67">
        <f>IF($I745="","",IFERROR(INDEX(Action_Status_Map!$B$5:$B$11,MATCH($I745,Action_Status_Map!$A$5:$A$11,0)),""))</f>
        <v/>
      </c>
      <c r="K745" s="82" t="n"/>
      <c r="L745" s="82" t="n"/>
      <c r="M745" s="82" t="n"/>
      <c r="N745" s="83" t="n"/>
      <c r="O745" s="83" t="n"/>
      <c r="P745" s="66">
        <f>IF(OR($N745="",$O745=""),"",$O745-$N745)</f>
        <v/>
      </c>
      <c r="Q745" s="84">
        <f>IF($K745="","",IF($M745&lt;&gt;"",$M745-$K745,TODAY()-$K745))</f>
        <v/>
      </c>
      <c r="R745" s="85">
        <f>IF(OR($L745="",$I745="Completed",$I745="Cancelled"),"",IF(AND($L745&lt;TODAY(),$I745&lt;&gt;"Completed",$I745&lt;&gt;"Cancelled"),"Overdue","On Track"))</f>
        <v/>
      </c>
      <c r="S745" s="65">
        <f>IF($L745="","",TEXT($L745,"yyyy-mm"))</f>
        <v/>
      </c>
      <c r="T745" s="86">
        <f>IF($I745="","",IFERROR(INDEX(Action_Status_Map!$C$5:$C$11,MATCH($I745,Action_Status_Map!$A$5:$A$11,0)),""))</f>
        <v/>
      </c>
      <c r="U745" s="81" t="n"/>
      <c r="V745" s="82" t="n"/>
      <c r="W745" s="65">
        <f>IF(OR($I745&lt;&gt;"Completed",$M745="",$L745=""),"",IF($M745&lt;=$L745,"Yes","No"))</f>
        <v/>
      </c>
      <c r="X745" s="84">
        <f>IF($A745="","",COUNTIF(Task_Steps!$B$5:$B$2004,$A745))</f>
        <v/>
      </c>
      <c r="Y745" s="86">
        <f>IF($X745=0,"",COUNTIFS(Task_Steps!$B$5:$B$2004,$A745,Task_Steps!$H$5:$H$2004,"Completed")/$X745)</f>
        <v/>
      </c>
      <c r="Z745" s="81" t="n"/>
      <c r="AA745" s="81" t="n"/>
      <c r="AB745" s="67">
        <f>IF($F745="","",IFERROR(INDEX(Employee_Master!$E$5:$E$204,MATCH($F745,Employee_Master!$B$5:$B$204,0)),""))</f>
        <v/>
      </c>
      <c r="AC745" s="65">
        <f>IF(OR($A745="",$AB745=""),"",IF(OR($I745="Completed",$I745="Cancelled"),"Closed - in Manager Report","Active - in Manager Report"))</f>
        <v/>
      </c>
      <c r="AD745" s="81">
        <f>IF($A745="","",IFERROR(TEXTJOIN(", ",TRUE,FILTER(Task_Steps!$A$5:$A$2004,Task_Steps!$B$5:$B$2004=$A745)),""))</f>
        <v/>
      </c>
      <c r="AE745" s="84">
        <f>IF($A745="","",COUNTIFS(Task_Steps!$B$5:$B$2004,$A745,Task_Steps!$H$5:$H$2004,"&lt;&gt;Completed",Task_Steps!$H$5:$H$2004,"&lt;&gt;Cancelled"))</f>
        <v/>
      </c>
      <c r="AF745" s="81">
        <f>IF(OR($B745="",$A745=""),"",$B745&amp;" | "&amp;$A745)</f>
        <v/>
      </c>
    </row>
    <row r="746" ht="15" customHeight="1" s="40">
      <c r="A746" s="65">
        <f>IF(COUNTA(B746:F746)=0,"","TSK-"&amp;TEXT(ROW()-4,"0000"))</f>
        <v/>
      </c>
      <c r="B746" s="78" t="n"/>
      <c r="C746" s="78" t="n"/>
      <c r="D746" s="81" t="n"/>
      <c r="E746" s="81" t="n"/>
      <c r="F746" s="78" t="n"/>
      <c r="G746" s="67">
        <f>IF($F746="","",IFERROR(INDEX(Employee_Master!$C$5:$C$204,MATCH($F746,Employee_Master!$B$5:$B$204,0)),""))</f>
        <v/>
      </c>
      <c r="H746" s="78" t="n"/>
      <c r="I746" s="78" t="n"/>
      <c r="J746" s="67">
        <f>IF($I746="","",IFERROR(INDEX(Action_Status_Map!$B$5:$B$11,MATCH($I746,Action_Status_Map!$A$5:$A$11,0)),""))</f>
        <v/>
      </c>
      <c r="K746" s="82" t="n"/>
      <c r="L746" s="82" t="n"/>
      <c r="M746" s="82" t="n"/>
      <c r="N746" s="83" t="n"/>
      <c r="O746" s="83" t="n"/>
      <c r="P746" s="66">
        <f>IF(OR($N746="",$O746=""),"",$O746-$N746)</f>
        <v/>
      </c>
      <c r="Q746" s="84">
        <f>IF($K746="","",IF($M746&lt;&gt;"",$M746-$K746,TODAY()-$K746))</f>
        <v/>
      </c>
      <c r="R746" s="85">
        <f>IF(OR($L746="",$I746="Completed",$I746="Cancelled"),"",IF(AND($L746&lt;TODAY(),$I746&lt;&gt;"Completed",$I746&lt;&gt;"Cancelled"),"Overdue","On Track"))</f>
        <v/>
      </c>
      <c r="S746" s="65">
        <f>IF($L746="","",TEXT($L746,"yyyy-mm"))</f>
        <v/>
      </c>
      <c r="T746" s="86">
        <f>IF($I746="","",IFERROR(INDEX(Action_Status_Map!$C$5:$C$11,MATCH($I746,Action_Status_Map!$A$5:$A$11,0)),""))</f>
        <v/>
      </c>
      <c r="U746" s="81" t="n"/>
      <c r="V746" s="82" t="n"/>
      <c r="W746" s="65">
        <f>IF(OR($I746&lt;&gt;"Completed",$M746="",$L746=""),"",IF($M746&lt;=$L746,"Yes","No"))</f>
        <v/>
      </c>
      <c r="X746" s="84">
        <f>IF($A746="","",COUNTIF(Task_Steps!$B$5:$B$2004,$A746))</f>
        <v/>
      </c>
      <c r="Y746" s="86">
        <f>IF($X746=0,"",COUNTIFS(Task_Steps!$B$5:$B$2004,$A746,Task_Steps!$H$5:$H$2004,"Completed")/$X746)</f>
        <v/>
      </c>
      <c r="Z746" s="81" t="n"/>
      <c r="AA746" s="81" t="n"/>
      <c r="AB746" s="67">
        <f>IF($F746="","",IFERROR(INDEX(Employee_Master!$E$5:$E$204,MATCH($F746,Employee_Master!$B$5:$B$204,0)),""))</f>
        <v/>
      </c>
      <c r="AC746" s="65">
        <f>IF(OR($A746="",$AB746=""),"",IF(OR($I746="Completed",$I746="Cancelled"),"Closed - in Manager Report","Active - in Manager Report"))</f>
        <v/>
      </c>
      <c r="AD746" s="81">
        <f>IF($A746="","",IFERROR(TEXTJOIN(", ",TRUE,FILTER(Task_Steps!$A$5:$A$2004,Task_Steps!$B$5:$B$2004=$A746)),""))</f>
        <v/>
      </c>
      <c r="AE746" s="84">
        <f>IF($A746="","",COUNTIFS(Task_Steps!$B$5:$B$2004,$A746,Task_Steps!$H$5:$H$2004,"&lt;&gt;Completed",Task_Steps!$H$5:$H$2004,"&lt;&gt;Cancelled"))</f>
        <v/>
      </c>
      <c r="AF746" s="81">
        <f>IF(OR($B746="",$A746=""),"",$B746&amp;" | "&amp;$A746)</f>
        <v/>
      </c>
    </row>
    <row r="747" ht="15" customHeight="1" s="40">
      <c r="A747" s="65">
        <f>IF(COUNTA(B747:F747)=0,"","TSK-"&amp;TEXT(ROW()-4,"0000"))</f>
        <v/>
      </c>
      <c r="B747" s="78" t="n"/>
      <c r="C747" s="78" t="n"/>
      <c r="D747" s="81" t="n"/>
      <c r="E747" s="81" t="n"/>
      <c r="F747" s="78" t="n"/>
      <c r="G747" s="67">
        <f>IF($F747="","",IFERROR(INDEX(Employee_Master!$C$5:$C$204,MATCH($F747,Employee_Master!$B$5:$B$204,0)),""))</f>
        <v/>
      </c>
      <c r="H747" s="78" t="n"/>
      <c r="I747" s="78" t="n"/>
      <c r="J747" s="67">
        <f>IF($I747="","",IFERROR(INDEX(Action_Status_Map!$B$5:$B$11,MATCH($I747,Action_Status_Map!$A$5:$A$11,0)),""))</f>
        <v/>
      </c>
      <c r="K747" s="82" t="n"/>
      <c r="L747" s="82" t="n"/>
      <c r="M747" s="82" t="n"/>
      <c r="N747" s="83" t="n"/>
      <c r="O747" s="83" t="n"/>
      <c r="P747" s="66">
        <f>IF(OR($N747="",$O747=""),"",$O747-$N747)</f>
        <v/>
      </c>
      <c r="Q747" s="84">
        <f>IF($K747="","",IF($M747&lt;&gt;"",$M747-$K747,TODAY()-$K747))</f>
        <v/>
      </c>
      <c r="R747" s="85">
        <f>IF(OR($L747="",$I747="Completed",$I747="Cancelled"),"",IF(AND($L747&lt;TODAY(),$I747&lt;&gt;"Completed",$I747&lt;&gt;"Cancelled"),"Overdue","On Track"))</f>
        <v/>
      </c>
      <c r="S747" s="65">
        <f>IF($L747="","",TEXT($L747,"yyyy-mm"))</f>
        <v/>
      </c>
      <c r="T747" s="86">
        <f>IF($I747="","",IFERROR(INDEX(Action_Status_Map!$C$5:$C$11,MATCH($I747,Action_Status_Map!$A$5:$A$11,0)),""))</f>
        <v/>
      </c>
      <c r="U747" s="81" t="n"/>
      <c r="V747" s="82" t="n"/>
      <c r="W747" s="65">
        <f>IF(OR($I747&lt;&gt;"Completed",$M747="",$L747=""),"",IF($M747&lt;=$L747,"Yes","No"))</f>
        <v/>
      </c>
      <c r="X747" s="84">
        <f>IF($A747="","",COUNTIF(Task_Steps!$B$5:$B$2004,$A747))</f>
        <v/>
      </c>
      <c r="Y747" s="86">
        <f>IF($X747=0,"",COUNTIFS(Task_Steps!$B$5:$B$2004,$A747,Task_Steps!$H$5:$H$2004,"Completed")/$X747)</f>
        <v/>
      </c>
      <c r="Z747" s="81" t="n"/>
      <c r="AA747" s="81" t="n"/>
      <c r="AB747" s="67">
        <f>IF($F747="","",IFERROR(INDEX(Employee_Master!$E$5:$E$204,MATCH($F747,Employee_Master!$B$5:$B$204,0)),""))</f>
        <v/>
      </c>
      <c r="AC747" s="65">
        <f>IF(OR($A747="",$AB747=""),"",IF(OR($I747="Completed",$I747="Cancelled"),"Closed - in Manager Report","Active - in Manager Report"))</f>
        <v/>
      </c>
      <c r="AD747" s="81">
        <f>IF($A747="","",IFERROR(TEXTJOIN(", ",TRUE,FILTER(Task_Steps!$A$5:$A$2004,Task_Steps!$B$5:$B$2004=$A747)),""))</f>
        <v/>
      </c>
      <c r="AE747" s="84">
        <f>IF($A747="","",COUNTIFS(Task_Steps!$B$5:$B$2004,$A747,Task_Steps!$H$5:$H$2004,"&lt;&gt;Completed",Task_Steps!$H$5:$H$2004,"&lt;&gt;Cancelled"))</f>
        <v/>
      </c>
      <c r="AF747" s="81">
        <f>IF(OR($B747="",$A747=""),"",$B747&amp;" | "&amp;$A747)</f>
        <v/>
      </c>
    </row>
    <row r="748" ht="15" customHeight="1" s="40">
      <c r="A748" s="65">
        <f>IF(COUNTA(B748:F748)=0,"","TSK-"&amp;TEXT(ROW()-4,"0000"))</f>
        <v/>
      </c>
      <c r="B748" s="78" t="n"/>
      <c r="C748" s="78" t="n"/>
      <c r="D748" s="81" t="n"/>
      <c r="E748" s="81" t="n"/>
      <c r="F748" s="78" t="n"/>
      <c r="G748" s="67">
        <f>IF($F748="","",IFERROR(INDEX(Employee_Master!$C$5:$C$204,MATCH($F748,Employee_Master!$B$5:$B$204,0)),""))</f>
        <v/>
      </c>
      <c r="H748" s="78" t="n"/>
      <c r="I748" s="78" t="n"/>
      <c r="J748" s="67">
        <f>IF($I748="","",IFERROR(INDEX(Action_Status_Map!$B$5:$B$11,MATCH($I748,Action_Status_Map!$A$5:$A$11,0)),""))</f>
        <v/>
      </c>
      <c r="K748" s="82" t="n"/>
      <c r="L748" s="82" t="n"/>
      <c r="M748" s="82" t="n"/>
      <c r="N748" s="83" t="n"/>
      <c r="O748" s="83" t="n"/>
      <c r="P748" s="66">
        <f>IF(OR($N748="",$O748=""),"",$O748-$N748)</f>
        <v/>
      </c>
      <c r="Q748" s="84">
        <f>IF($K748="","",IF($M748&lt;&gt;"",$M748-$K748,TODAY()-$K748))</f>
        <v/>
      </c>
      <c r="R748" s="85">
        <f>IF(OR($L748="",$I748="Completed",$I748="Cancelled"),"",IF(AND($L748&lt;TODAY(),$I748&lt;&gt;"Completed",$I748&lt;&gt;"Cancelled"),"Overdue","On Track"))</f>
        <v/>
      </c>
      <c r="S748" s="65">
        <f>IF($L748="","",TEXT($L748,"yyyy-mm"))</f>
        <v/>
      </c>
      <c r="T748" s="86">
        <f>IF($I748="","",IFERROR(INDEX(Action_Status_Map!$C$5:$C$11,MATCH($I748,Action_Status_Map!$A$5:$A$11,0)),""))</f>
        <v/>
      </c>
      <c r="U748" s="81" t="n"/>
      <c r="V748" s="82" t="n"/>
      <c r="W748" s="65">
        <f>IF(OR($I748&lt;&gt;"Completed",$M748="",$L748=""),"",IF($M748&lt;=$L748,"Yes","No"))</f>
        <v/>
      </c>
      <c r="X748" s="84">
        <f>IF($A748="","",COUNTIF(Task_Steps!$B$5:$B$2004,$A748))</f>
        <v/>
      </c>
      <c r="Y748" s="86">
        <f>IF($X748=0,"",COUNTIFS(Task_Steps!$B$5:$B$2004,$A748,Task_Steps!$H$5:$H$2004,"Completed")/$X748)</f>
        <v/>
      </c>
      <c r="Z748" s="81" t="n"/>
      <c r="AA748" s="81" t="n"/>
      <c r="AB748" s="67">
        <f>IF($F748="","",IFERROR(INDEX(Employee_Master!$E$5:$E$204,MATCH($F748,Employee_Master!$B$5:$B$204,0)),""))</f>
        <v/>
      </c>
      <c r="AC748" s="65">
        <f>IF(OR($A748="",$AB748=""),"",IF(OR($I748="Completed",$I748="Cancelled"),"Closed - in Manager Report","Active - in Manager Report"))</f>
        <v/>
      </c>
      <c r="AD748" s="81">
        <f>IF($A748="","",IFERROR(TEXTJOIN(", ",TRUE,FILTER(Task_Steps!$A$5:$A$2004,Task_Steps!$B$5:$B$2004=$A748)),""))</f>
        <v/>
      </c>
      <c r="AE748" s="84">
        <f>IF($A748="","",COUNTIFS(Task_Steps!$B$5:$B$2004,$A748,Task_Steps!$H$5:$H$2004,"&lt;&gt;Completed",Task_Steps!$H$5:$H$2004,"&lt;&gt;Cancelled"))</f>
        <v/>
      </c>
      <c r="AF748" s="81">
        <f>IF(OR($B748="",$A748=""),"",$B748&amp;" | "&amp;$A748)</f>
        <v/>
      </c>
    </row>
    <row r="749" ht="15" customHeight="1" s="40">
      <c r="A749" s="65">
        <f>IF(COUNTA(B749:F749)=0,"","TSK-"&amp;TEXT(ROW()-4,"0000"))</f>
        <v/>
      </c>
      <c r="B749" s="78" t="n"/>
      <c r="C749" s="78" t="n"/>
      <c r="D749" s="81" t="n"/>
      <c r="E749" s="81" t="n"/>
      <c r="F749" s="78" t="n"/>
      <c r="G749" s="67">
        <f>IF($F749="","",IFERROR(INDEX(Employee_Master!$C$5:$C$204,MATCH($F749,Employee_Master!$B$5:$B$204,0)),""))</f>
        <v/>
      </c>
      <c r="H749" s="78" t="n"/>
      <c r="I749" s="78" t="n"/>
      <c r="J749" s="67">
        <f>IF($I749="","",IFERROR(INDEX(Action_Status_Map!$B$5:$B$11,MATCH($I749,Action_Status_Map!$A$5:$A$11,0)),""))</f>
        <v/>
      </c>
      <c r="K749" s="82" t="n"/>
      <c r="L749" s="82" t="n"/>
      <c r="M749" s="82" t="n"/>
      <c r="N749" s="83" t="n"/>
      <c r="O749" s="83" t="n"/>
      <c r="P749" s="66">
        <f>IF(OR($N749="",$O749=""),"",$O749-$N749)</f>
        <v/>
      </c>
      <c r="Q749" s="84">
        <f>IF($K749="","",IF($M749&lt;&gt;"",$M749-$K749,TODAY()-$K749))</f>
        <v/>
      </c>
      <c r="R749" s="85">
        <f>IF(OR($L749="",$I749="Completed",$I749="Cancelled"),"",IF(AND($L749&lt;TODAY(),$I749&lt;&gt;"Completed",$I749&lt;&gt;"Cancelled"),"Overdue","On Track"))</f>
        <v/>
      </c>
      <c r="S749" s="65">
        <f>IF($L749="","",TEXT($L749,"yyyy-mm"))</f>
        <v/>
      </c>
      <c r="T749" s="86">
        <f>IF($I749="","",IFERROR(INDEX(Action_Status_Map!$C$5:$C$11,MATCH($I749,Action_Status_Map!$A$5:$A$11,0)),""))</f>
        <v/>
      </c>
      <c r="U749" s="81" t="n"/>
      <c r="V749" s="82" t="n"/>
      <c r="W749" s="65">
        <f>IF(OR($I749&lt;&gt;"Completed",$M749="",$L749=""),"",IF($M749&lt;=$L749,"Yes","No"))</f>
        <v/>
      </c>
      <c r="X749" s="84">
        <f>IF($A749="","",COUNTIF(Task_Steps!$B$5:$B$2004,$A749))</f>
        <v/>
      </c>
      <c r="Y749" s="86">
        <f>IF($X749=0,"",COUNTIFS(Task_Steps!$B$5:$B$2004,$A749,Task_Steps!$H$5:$H$2004,"Completed")/$X749)</f>
        <v/>
      </c>
      <c r="Z749" s="81" t="n"/>
      <c r="AA749" s="81" t="n"/>
      <c r="AB749" s="67">
        <f>IF($F749="","",IFERROR(INDEX(Employee_Master!$E$5:$E$204,MATCH($F749,Employee_Master!$B$5:$B$204,0)),""))</f>
        <v/>
      </c>
      <c r="AC749" s="65">
        <f>IF(OR($A749="",$AB749=""),"",IF(OR($I749="Completed",$I749="Cancelled"),"Closed - in Manager Report","Active - in Manager Report"))</f>
        <v/>
      </c>
      <c r="AD749" s="81">
        <f>IF($A749="","",IFERROR(TEXTJOIN(", ",TRUE,FILTER(Task_Steps!$A$5:$A$2004,Task_Steps!$B$5:$B$2004=$A749)),""))</f>
        <v/>
      </c>
      <c r="AE749" s="84">
        <f>IF($A749="","",COUNTIFS(Task_Steps!$B$5:$B$2004,$A749,Task_Steps!$H$5:$H$2004,"&lt;&gt;Completed",Task_Steps!$H$5:$H$2004,"&lt;&gt;Cancelled"))</f>
        <v/>
      </c>
      <c r="AF749" s="81">
        <f>IF(OR($B749="",$A749=""),"",$B749&amp;" | "&amp;$A749)</f>
        <v/>
      </c>
    </row>
    <row r="750" ht="15" customHeight="1" s="40">
      <c r="A750" s="65">
        <f>IF(COUNTA(B750:F750)=0,"","TSK-"&amp;TEXT(ROW()-4,"0000"))</f>
        <v/>
      </c>
      <c r="B750" s="78" t="n"/>
      <c r="C750" s="78" t="n"/>
      <c r="D750" s="81" t="n"/>
      <c r="E750" s="81" t="n"/>
      <c r="F750" s="78" t="n"/>
      <c r="G750" s="67">
        <f>IF($F750="","",IFERROR(INDEX(Employee_Master!$C$5:$C$204,MATCH($F750,Employee_Master!$B$5:$B$204,0)),""))</f>
        <v/>
      </c>
      <c r="H750" s="78" t="n"/>
      <c r="I750" s="78" t="n"/>
      <c r="J750" s="67">
        <f>IF($I750="","",IFERROR(INDEX(Action_Status_Map!$B$5:$B$11,MATCH($I750,Action_Status_Map!$A$5:$A$11,0)),""))</f>
        <v/>
      </c>
      <c r="K750" s="82" t="n"/>
      <c r="L750" s="82" t="n"/>
      <c r="M750" s="82" t="n"/>
      <c r="N750" s="83" t="n"/>
      <c r="O750" s="83" t="n"/>
      <c r="P750" s="66">
        <f>IF(OR($N750="",$O750=""),"",$O750-$N750)</f>
        <v/>
      </c>
      <c r="Q750" s="84">
        <f>IF($K750="","",IF($M750&lt;&gt;"",$M750-$K750,TODAY()-$K750))</f>
        <v/>
      </c>
      <c r="R750" s="85">
        <f>IF(OR($L750="",$I750="Completed",$I750="Cancelled"),"",IF(AND($L750&lt;TODAY(),$I750&lt;&gt;"Completed",$I750&lt;&gt;"Cancelled"),"Overdue","On Track"))</f>
        <v/>
      </c>
      <c r="S750" s="65">
        <f>IF($L750="","",TEXT($L750,"yyyy-mm"))</f>
        <v/>
      </c>
      <c r="T750" s="86">
        <f>IF($I750="","",IFERROR(INDEX(Action_Status_Map!$C$5:$C$11,MATCH($I750,Action_Status_Map!$A$5:$A$11,0)),""))</f>
        <v/>
      </c>
      <c r="U750" s="81" t="n"/>
      <c r="V750" s="82" t="n"/>
      <c r="W750" s="65">
        <f>IF(OR($I750&lt;&gt;"Completed",$M750="",$L750=""),"",IF($M750&lt;=$L750,"Yes","No"))</f>
        <v/>
      </c>
      <c r="X750" s="84">
        <f>IF($A750="","",COUNTIF(Task_Steps!$B$5:$B$2004,$A750))</f>
        <v/>
      </c>
      <c r="Y750" s="86">
        <f>IF($X750=0,"",COUNTIFS(Task_Steps!$B$5:$B$2004,$A750,Task_Steps!$H$5:$H$2004,"Completed")/$X750)</f>
        <v/>
      </c>
      <c r="Z750" s="81" t="n"/>
      <c r="AA750" s="81" t="n"/>
      <c r="AB750" s="67">
        <f>IF($F750="","",IFERROR(INDEX(Employee_Master!$E$5:$E$204,MATCH($F750,Employee_Master!$B$5:$B$204,0)),""))</f>
        <v/>
      </c>
      <c r="AC750" s="65">
        <f>IF(OR($A750="",$AB750=""),"",IF(OR($I750="Completed",$I750="Cancelled"),"Closed - in Manager Report","Active - in Manager Report"))</f>
        <v/>
      </c>
      <c r="AD750" s="81">
        <f>IF($A750="","",IFERROR(TEXTJOIN(", ",TRUE,FILTER(Task_Steps!$A$5:$A$2004,Task_Steps!$B$5:$B$2004=$A750)),""))</f>
        <v/>
      </c>
      <c r="AE750" s="84">
        <f>IF($A750="","",COUNTIFS(Task_Steps!$B$5:$B$2004,$A750,Task_Steps!$H$5:$H$2004,"&lt;&gt;Completed",Task_Steps!$H$5:$H$2004,"&lt;&gt;Cancelled"))</f>
        <v/>
      </c>
      <c r="AF750" s="81">
        <f>IF(OR($B750="",$A750=""),"",$B750&amp;" | "&amp;$A750)</f>
        <v/>
      </c>
    </row>
    <row r="751" ht="15" customHeight="1" s="40">
      <c r="A751" s="65">
        <f>IF(COUNTA(B751:F751)=0,"","TSK-"&amp;TEXT(ROW()-4,"0000"))</f>
        <v/>
      </c>
      <c r="B751" s="78" t="n"/>
      <c r="C751" s="78" t="n"/>
      <c r="D751" s="81" t="n"/>
      <c r="E751" s="81" t="n"/>
      <c r="F751" s="78" t="n"/>
      <c r="G751" s="67">
        <f>IF($F751="","",IFERROR(INDEX(Employee_Master!$C$5:$C$204,MATCH($F751,Employee_Master!$B$5:$B$204,0)),""))</f>
        <v/>
      </c>
      <c r="H751" s="78" t="n"/>
      <c r="I751" s="78" t="n"/>
      <c r="J751" s="67">
        <f>IF($I751="","",IFERROR(INDEX(Action_Status_Map!$B$5:$B$11,MATCH($I751,Action_Status_Map!$A$5:$A$11,0)),""))</f>
        <v/>
      </c>
      <c r="K751" s="82" t="n"/>
      <c r="L751" s="82" t="n"/>
      <c r="M751" s="82" t="n"/>
      <c r="N751" s="83" t="n"/>
      <c r="O751" s="83" t="n"/>
      <c r="P751" s="66">
        <f>IF(OR($N751="",$O751=""),"",$O751-$N751)</f>
        <v/>
      </c>
      <c r="Q751" s="84">
        <f>IF($K751="","",IF($M751&lt;&gt;"",$M751-$K751,TODAY()-$K751))</f>
        <v/>
      </c>
      <c r="R751" s="85">
        <f>IF(OR($L751="",$I751="Completed",$I751="Cancelled"),"",IF(AND($L751&lt;TODAY(),$I751&lt;&gt;"Completed",$I751&lt;&gt;"Cancelled"),"Overdue","On Track"))</f>
        <v/>
      </c>
      <c r="S751" s="65">
        <f>IF($L751="","",TEXT($L751,"yyyy-mm"))</f>
        <v/>
      </c>
      <c r="T751" s="86">
        <f>IF($I751="","",IFERROR(INDEX(Action_Status_Map!$C$5:$C$11,MATCH($I751,Action_Status_Map!$A$5:$A$11,0)),""))</f>
        <v/>
      </c>
      <c r="U751" s="81" t="n"/>
      <c r="V751" s="82" t="n"/>
      <c r="W751" s="65">
        <f>IF(OR($I751&lt;&gt;"Completed",$M751="",$L751=""),"",IF($M751&lt;=$L751,"Yes","No"))</f>
        <v/>
      </c>
      <c r="X751" s="84">
        <f>IF($A751="","",COUNTIF(Task_Steps!$B$5:$B$2004,$A751))</f>
        <v/>
      </c>
      <c r="Y751" s="86">
        <f>IF($X751=0,"",COUNTIFS(Task_Steps!$B$5:$B$2004,$A751,Task_Steps!$H$5:$H$2004,"Completed")/$X751)</f>
        <v/>
      </c>
      <c r="Z751" s="81" t="n"/>
      <c r="AA751" s="81" t="n"/>
      <c r="AB751" s="67">
        <f>IF($F751="","",IFERROR(INDEX(Employee_Master!$E$5:$E$204,MATCH($F751,Employee_Master!$B$5:$B$204,0)),""))</f>
        <v/>
      </c>
      <c r="AC751" s="65">
        <f>IF(OR($A751="",$AB751=""),"",IF(OR($I751="Completed",$I751="Cancelled"),"Closed - in Manager Report","Active - in Manager Report"))</f>
        <v/>
      </c>
      <c r="AD751" s="81">
        <f>IF($A751="","",IFERROR(TEXTJOIN(", ",TRUE,FILTER(Task_Steps!$A$5:$A$2004,Task_Steps!$B$5:$B$2004=$A751)),""))</f>
        <v/>
      </c>
      <c r="AE751" s="84">
        <f>IF($A751="","",COUNTIFS(Task_Steps!$B$5:$B$2004,$A751,Task_Steps!$H$5:$H$2004,"&lt;&gt;Completed",Task_Steps!$H$5:$H$2004,"&lt;&gt;Cancelled"))</f>
        <v/>
      </c>
      <c r="AF751" s="81">
        <f>IF(OR($B751="",$A751=""),"",$B751&amp;" | "&amp;$A751)</f>
        <v/>
      </c>
    </row>
    <row r="752" ht="15" customHeight="1" s="40">
      <c r="A752" s="65">
        <f>IF(COUNTA(B752:F752)=0,"","TSK-"&amp;TEXT(ROW()-4,"0000"))</f>
        <v/>
      </c>
      <c r="B752" s="78" t="n"/>
      <c r="C752" s="78" t="n"/>
      <c r="D752" s="81" t="n"/>
      <c r="E752" s="81" t="n"/>
      <c r="F752" s="78" t="n"/>
      <c r="G752" s="67">
        <f>IF($F752="","",IFERROR(INDEX(Employee_Master!$C$5:$C$204,MATCH($F752,Employee_Master!$B$5:$B$204,0)),""))</f>
        <v/>
      </c>
      <c r="H752" s="78" t="n"/>
      <c r="I752" s="78" t="n"/>
      <c r="J752" s="67">
        <f>IF($I752="","",IFERROR(INDEX(Action_Status_Map!$B$5:$B$11,MATCH($I752,Action_Status_Map!$A$5:$A$11,0)),""))</f>
        <v/>
      </c>
      <c r="K752" s="82" t="n"/>
      <c r="L752" s="82" t="n"/>
      <c r="M752" s="82" t="n"/>
      <c r="N752" s="83" t="n"/>
      <c r="O752" s="83" t="n"/>
      <c r="P752" s="66">
        <f>IF(OR($N752="",$O752=""),"",$O752-$N752)</f>
        <v/>
      </c>
      <c r="Q752" s="84">
        <f>IF($K752="","",IF($M752&lt;&gt;"",$M752-$K752,TODAY()-$K752))</f>
        <v/>
      </c>
      <c r="R752" s="85">
        <f>IF(OR($L752="",$I752="Completed",$I752="Cancelled"),"",IF(AND($L752&lt;TODAY(),$I752&lt;&gt;"Completed",$I752&lt;&gt;"Cancelled"),"Overdue","On Track"))</f>
        <v/>
      </c>
      <c r="S752" s="65">
        <f>IF($L752="","",TEXT($L752,"yyyy-mm"))</f>
        <v/>
      </c>
      <c r="T752" s="86">
        <f>IF($I752="","",IFERROR(INDEX(Action_Status_Map!$C$5:$C$11,MATCH($I752,Action_Status_Map!$A$5:$A$11,0)),""))</f>
        <v/>
      </c>
      <c r="U752" s="81" t="n"/>
      <c r="V752" s="82" t="n"/>
      <c r="W752" s="65">
        <f>IF(OR($I752&lt;&gt;"Completed",$M752="",$L752=""),"",IF($M752&lt;=$L752,"Yes","No"))</f>
        <v/>
      </c>
      <c r="X752" s="84">
        <f>IF($A752="","",COUNTIF(Task_Steps!$B$5:$B$2004,$A752))</f>
        <v/>
      </c>
      <c r="Y752" s="86">
        <f>IF($X752=0,"",COUNTIFS(Task_Steps!$B$5:$B$2004,$A752,Task_Steps!$H$5:$H$2004,"Completed")/$X752)</f>
        <v/>
      </c>
      <c r="Z752" s="81" t="n"/>
      <c r="AA752" s="81" t="n"/>
      <c r="AB752" s="67">
        <f>IF($F752="","",IFERROR(INDEX(Employee_Master!$E$5:$E$204,MATCH($F752,Employee_Master!$B$5:$B$204,0)),""))</f>
        <v/>
      </c>
      <c r="AC752" s="65">
        <f>IF(OR($A752="",$AB752=""),"",IF(OR($I752="Completed",$I752="Cancelled"),"Closed - in Manager Report","Active - in Manager Report"))</f>
        <v/>
      </c>
      <c r="AD752" s="81">
        <f>IF($A752="","",IFERROR(TEXTJOIN(", ",TRUE,FILTER(Task_Steps!$A$5:$A$2004,Task_Steps!$B$5:$B$2004=$A752)),""))</f>
        <v/>
      </c>
      <c r="AE752" s="84">
        <f>IF($A752="","",COUNTIFS(Task_Steps!$B$5:$B$2004,$A752,Task_Steps!$H$5:$H$2004,"&lt;&gt;Completed",Task_Steps!$H$5:$H$2004,"&lt;&gt;Cancelled"))</f>
        <v/>
      </c>
      <c r="AF752" s="81">
        <f>IF(OR($B752="",$A752=""),"",$B752&amp;" | "&amp;$A752)</f>
        <v/>
      </c>
    </row>
    <row r="753" ht="15" customHeight="1" s="40">
      <c r="A753" s="65">
        <f>IF(COUNTA(B753:F753)=0,"","TSK-"&amp;TEXT(ROW()-4,"0000"))</f>
        <v/>
      </c>
      <c r="B753" s="78" t="n"/>
      <c r="C753" s="78" t="n"/>
      <c r="D753" s="81" t="n"/>
      <c r="E753" s="81" t="n"/>
      <c r="F753" s="78" t="n"/>
      <c r="G753" s="67">
        <f>IF($F753="","",IFERROR(INDEX(Employee_Master!$C$5:$C$204,MATCH($F753,Employee_Master!$B$5:$B$204,0)),""))</f>
        <v/>
      </c>
      <c r="H753" s="78" t="n"/>
      <c r="I753" s="78" t="n"/>
      <c r="J753" s="67">
        <f>IF($I753="","",IFERROR(INDEX(Action_Status_Map!$B$5:$B$11,MATCH($I753,Action_Status_Map!$A$5:$A$11,0)),""))</f>
        <v/>
      </c>
      <c r="K753" s="82" t="n"/>
      <c r="L753" s="82" t="n"/>
      <c r="M753" s="82" t="n"/>
      <c r="N753" s="83" t="n"/>
      <c r="O753" s="83" t="n"/>
      <c r="P753" s="66">
        <f>IF(OR($N753="",$O753=""),"",$O753-$N753)</f>
        <v/>
      </c>
      <c r="Q753" s="84">
        <f>IF($K753="","",IF($M753&lt;&gt;"",$M753-$K753,TODAY()-$K753))</f>
        <v/>
      </c>
      <c r="R753" s="85">
        <f>IF(OR($L753="",$I753="Completed",$I753="Cancelled"),"",IF(AND($L753&lt;TODAY(),$I753&lt;&gt;"Completed",$I753&lt;&gt;"Cancelled"),"Overdue","On Track"))</f>
        <v/>
      </c>
      <c r="S753" s="65">
        <f>IF($L753="","",TEXT($L753,"yyyy-mm"))</f>
        <v/>
      </c>
      <c r="T753" s="86">
        <f>IF($I753="","",IFERROR(INDEX(Action_Status_Map!$C$5:$C$11,MATCH($I753,Action_Status_Map!$A$5:$A$11,0)),""))</f>
        <v/>
      </c>
      <c r="U753" s="81" t="n"/>
      <c r="V753" s="82" t="n"/>
      <c r="W753" s="65">
        <f>IF(OR($I753&lt;&gt;"Completed",$M753="",$L753=""),"",IF($M753&lt;=$L753,"Yes","No"))</f>
        <v/>
      </c>
      <c r="X753" s="84">
        <f>IF($A753="","",COUNTIF(Task_Steps!$B$5:$B$2004,$A753))</f>
        <v/>
      </c>
      <c r="Y753" s="86">
        <f>IF($X753=0,"",COUNTIFS(Task_Steps!$B$5:$B$2004,$A753,Task_Steps!$H$5:$H$2004,"Completed")/$X753)</f>
        <v/>
      </c>
      <c r="Z753" s="81" t="n"/>
      <c r="AA753" s="81" t="n"/>
      <c r="AB753" s="67">
        <f>IF($F753="","",IFERROR(INDEX(Employee_Master!$E$5:$E$204,MATCH($F753,Employee_Master!$B$5:$B$204,0)),""))</f>
        <v/>
      </c>
      <c r="AC753" s="65">
        <f>IF(OR($A753="",$AB753=""),"",IF(OR($I753="Completed",$I753="Cancelled"),"Closed - in Manager Report","Active - in Manager Report"))</f>
        <v/>
      </c>
      <c r="AD753" s="81">
        <f>IF($A753="","",IFERROR(TEXTJOIN(", ",TRUE,FILTER(Task_Steps!$A$5:$A$2004,Task_Steps!$B$5:$B$2004=$A753)),""))</f>
        <v/>
      </c>
      <c r="AE753" s="84">
        <f>IF($A753="","",COUNTIFS(Task_Steps!$B$5:$B$2004,$A753,Task_Steps!$H$5:$H$2004,"&lt;&gt;Completed",Task_Steps!$H$5:$H$2004,"&lt;&gt;Cancelled"))</f>
        <v/>
      </c>
      <c r="AF753" s="81">
        <f>IF(OR($B753="",$A753=""),"",$B753&amp;" | "&amp;$A753)</f>
        <v/>
      </c>
    </row>
    <row r="754" ht="15" customHeight="1" s="40">
      <c r="A754" s="65">
        <f>IF(COUNTA(B754:F754)=0,"","TSK-"&amp;TEXT(ROW()-4,"0000"))</f>
        <v/>
      </c>
      <c r="B754" s="78" t="n"/>
      <c r="C754" s="78" t="n"/>
      <c r="D754" s="81" t="n"/>
      <c r="E754" s="81" t="n"/>
      <c r="F754" s="78" t="n"/>
      <c r="G754" s="67">
        <f>IF($F754="","",IFERROR(INDEX(Employee_Master!$C$5:$C$204,MATCH($F754,Employee_Master!$B$5:$B$204,0)),""))</f>
        <v/>
      </c>
      <c r="H754" s="78" t="n"/>
      <c r="I754" s="78" t="n"/>
      <c r="J754" s="67">
        <f>IF($I754="","",IFERROR(INDEX(Action_Status_Map!$B$5:$B$11,MATCH($I754,Action_Status_Map!$A$5:$A$11,0)),""))</f>
        <v/>
      </c>
      <c r="K754" s="82" t="n"/>
      <c r="L754" s="82" t="n"/>
      <c r="M754" s="82" t="n"/>
      <c r="N754" s="83" t="n"/>
      <c r="O754" s="83" t="n"/>
      <c r="P754" s="66">
        <f>IF(OR($N754="",$O754=""),"",$O754-$N754)</f>
        <v/>
      </c>
      <c r="Q754" s="84">
        <f>IF($K754="","",IF($M754&lt;&gt;"",$M754-$K754,TODAY()-$K754))</f>
        <v/>
      </c>
      <c r="R754" s="85">
        <f>IF(OR($L754="",$I754="Completed",$I754="Cancelled"),"",IF(AND($L754&lt;TODAY(),$I754&lt;&gt;"Completed",$I754&lt;&gt;"Cancelled"),"Overdue","On Track"))</f>
        <v/>
      </c>
      <c r="S754" s="65">
        <f>IF($L754="","",TEXT($L754,"yyyy-mm"))</f>
        <v/>
      </c>
      <c r="T754" s="86">
        <f>IF($I754="","",IFERROR(INDEX(Action_Status_Map!$C$5:$C$11,MATCH($I754,Action_Status_Map!$A$5:$A$11,0)),""))</f>
        <v/>
      </c>
      <c r="U754" s="81" t="n"/>
      <c r="V754" s="82" t="n"/>
      <c r="W754" s="65">
        <f>IF(OR($I754&lt;&gt;"Completed",$M754="",$L754=""),"",IF($M754&lt;=$L754,"Yes","No"))</f>
        <v/>
      </c>
      <c r="X754" s="84">
        <f>IF($A754="","",COUNTIF(Task_Steps!$B$5:$B$2004,$A754))</f>
        <v/>
      </c>
      <c r="Y754" s="86">
        <f>IF($X754=0,"",COUNTIFS(Task_Steps!$B$5:$B$2004,$A754,Task_Steps!$H$5:$H$2004,"Completed")/$X754)</f>
        <v/>
      </c>
      <c r="Z754" s="81" t="n"/>
      <c r="AA754" s="81" t="n"/>
      <c r="AB754" s="67">
        <f>IF($F754="","",IFERROR(INDEX(Employee_Master!$E$5:$E$204,MATCH($F754,Employee_Master!$B$5:$B$204,0)),""))</f>
        <v/>
      </c>
      <c r="AC754" s="65">
        <f>IF(OR($A754="",$AB754=""),"",IF(OR($I754="Completed",$I754="Cancelled"),"Closed - in Manager Report","Active - in Manager Report"))</f>
        <v/>
      </c>
      <c r="AD754" s="81">
        <f>IF($A754="","",IFERROR(TEXTJOIN(", ",TRUE,FILTER(Task_Steps!$A$5:$A$2004,Task_Steps!$B$5:$B$2004=$A754)),""))</f>
        <v/>
      </c>
      <c r="AE754" s="84">
        <f>IF($A754="","",COUNTIFS(Task_Steps!$B$5:$B$2004,$A754,Task_Steps!$H$5:$H$2004,"&lt;&gt;Completed",Task_Steps!$H$5:$H$2004,"&lt;&gt;Cancelled"))</f>
        <v/>
      </c>
      <c r="AF754" s="81">
        <f>IF(OR($B754="",$A754=""),"",$B754&amp;" | "&amp;$A754)</f>
        <v/>
      </c>
    </row>
    <row r="755" ht="15" customHeight="1" s="40">
      <c r="A755" s="65">
        <f>IF(COUNTA(B755:F755)=0,"","TSK-"&amp;TEXT(ROW()-4,"0000"))</f>
        <v/>
      </c>
      <c r="B755" s="78" t="n"/>
      <c r="C755" s="78" t="n"/>
      <c r="D755" s="81" t="n"/>
      <c r="E755" s="81" t="n"/>
      <c r="F755" s="78" t="n"/>
      <c r="G755" s="67">
        <f>IF($F755="","",IFERROR(INDEX(Employee_Master!$C$5:$C$204,MATCH($F755,Employee_Master!$B$5:$B$204,0)),""))</f>
        <v/>
      </c>
      <c r="H755" s="78" t="n"/>
      <c r="I755" s="78" t="n"/>
      <c r="J755" s="67">
        <f>IF($I755="","",IFERROR(INDEX(Action_Status_Map!$B$5:$B$11,MATCH($I755,Action_Status_Map!$A$5:$A$11,0)),""))</f>
        <v/>
      </c>
      <c r="K755" s="82" t="n"/>
      <c r="L755" s="82" t="n"/>
      <c r="M755" s="82" t="n"/>
      <c r="N755" s="83" t="n"/>
      <c r="O755" s="83" t="n"/>
      <c r="P755" s="66">
        <f>IF(OR($N755="",$O755=""),"",$O755-$N755)</f>
        <v/>
      </c>
      <c r="Q755" s="84">
        <f>IF($K755="","",IF($M755&lt;&gt;"",$M755-$K755,TODAY()-$K755))</f>
        <v/>
      </c>
      <c r="R755" s="85">
        <f>IF(OR($L755="",$I755="Completed",$I755="Cancelled"),"",IF(AND($L755&lt;TODAY(),$I755&lt;&gt;"Completed",$I755&lt;&gt;"Cancelled"),"Overdue","On Track"))</f>
        <v/>
      </c>
      <c r="S755" s="65">
        <f>IF($L755="","",TEXT($L755,"yyyy-mm"))</f>
        <v/>
      </c>
      <c r="T755" s="86">
        <f>IF($I755="","",IFERROR(INDEX(Action_Status_Map!$C$5:$C$11,MATCH($I755,Action_Status_Map!$A$5:$A$11,0)),""))</f>
        <v/>
      </c>
      <c r="U755" s="81" t="n"/>
      <c r="V755" s="82" t="n"/>
      <c r="W755" s="65">
        <f>IF(OR($I755&lt;&gt;"Completed",$M755="",$L755=""),"",IF($M755&lt;=$L755,"Yes","No"))</f>
        <v/>
      </c>
      <c r="X755" s="84">
        <f>IF($A755="","",COUNTIF(Task_Steps!$B$5:$B$2004,$A755))</f>
        <v/>
      </c>
      <c r="Y755" s="86">
        <f>IF($X755=0,"",COUNTIFS(Task_Steps!$B$5:$B$2004,$A755,Task_Steps!$H$5:$H$2004,"Completed")/$X755)</f>
        <v/>
      </c>
      <c r="Z755" s="81" t="n"/>
      <c r="AA755" s="81" t="n"/>
      <c r="AB755" s="67">
        <f>IF($F755="","",IFERROR(INDEX(Employee_Master!$E$5:$E$204,MATCH($F755,Employee_Master!$B$5:$B$204,0)),""))</f>
        <v/>
      </c>
      <c r="AC755" s="65">
        <f>IF(OR($A755="",$AB755=""),"",IF(OR($I755="Completed",$I755="Cancelled"),"Closed - in Manager Report","Active - in Manager Report"))</f>
        <v/>
      </c>
      <c r="AD755" s="81">
        <f>IF($A755="","",IFERROR(TEXTJOIN(", ",TRUE,FILTER(Task_Steps!$A$5:$A$2004,Task_Steps!$B$5:$B$2004=$A755)),""))</f>
        <v/>
      </c>
      <c r="AE755" s="84">
        <f>IF($A755="","",COUNTIFS(Task_Steps!$B$5:$B$2004,$A755,Task_Steps!$H$5:$H$2004,"&lt;&gt;Completed",Task_Steps!$H$5:$H$2004,"&lt;&gt;Cancelled"))</f>
        <v/>
      </c>
      <c r="AF755" s="81">
        <f>IF(OR($B755="",$A755=""),"",$B755&amp;" | "&amp;$A755)</f>
        <v/>
      </c>
    </row>
    <row r="756" ht="15" customHeight="1" s="40">
      <c r="A756" s="65">
        <f>IF(COUNTA(B756:F756)=0,"","TSK-"&amp;TEXT(ROW()-4,"0000"))</f>
        <v/>
      </c>
      <c r="B756" s="78" t="n"/>
      <c r="C756" s="78" t="n"/>
      <c r="D756" s="81" t="n"/>
      <c r="E756" s="81" t="n"/>
      <c r="F756" s="78" t="n"/>
      <c r="G756" s="67">
        <f>IF($F756="","",IFERROR(INDEX(Employee_Master!$C$5:$C$204,MATCH($F756,Employee_Master!$B$5:$B$204,0)),""))</f>
        <v/>
      </c>
      <c r="H756" s="78" t="n"/>
      <c r="I756" s="78" t="n"/>
      <c r="J756" s="67">
        <f>IF($I756="","",IFERROR(INDEX(Action_Status_Map!$B$5:$B$11,MATCH($I756,Action_Status_Map!$A$5:$A$11,0)),""))</f>
        <v/>
      </c>
      <c r="K756" s="82" t="n"/>
      <c r="L756" s="82" t="n"/>
      <c r="M756" s="82" t="n"/>
      <c r="N756" s="83" t="n"/>
      <c r="O756" s="83" t="n"/>
      <c r="P756" s="66">
        <f>IF(OR($N756="",$O756=""),"",$O756-$N756)</f>
        <v/>
      </c>
      <c r="Q756" s="84">
        <f>IF($K756="","",IF($M756&lt;&gt;"",$M756-$K756,TODAY()-$K756))</f>
        <v/>
      </c>
      <c r="R756" s="85">
        <f>IF(OR($L756="",$I756="Completed",$I756="Cancelled"),"",IF(AND($L756&lt;TODAY(),$I756&lt;&gt;"Completed",$I756&lt;&gt;"Cancelled"),"Overdue","On Track"))</f>
        <v/>
      </c>
      <c r="S756" s="65">
        <f>IF($L756="","",TEXT($L756,"yyyy-mm"))</f>
        <v/>
      </c>
      <c r="T756" s="86">
        <f>IF($I756="","",IFERROR(INDEX(Action_Status_Map!$C$5:$C$11,MATCH($I756,Action_Status_Map!$A$5:$A$11,0)),""))</f>
        <v/>
      </c>
      <c r="U756" s="81" t="n"/>
      <c r="V756" s="82" t="n"/>
      <c r="W756" s="65">
        <f>IF(OR($I756&lt;&gt;"Completed",$M756="",$L756=""),"",IF($M756&lt;=$L756,"Yes","No"))</f>
        <v/>
      </c>
      <c r="X756" s="84">
        <f>IF($A756="","",COUNTIF(Task_Steps!$B$5:$B$2004,$A756))</f>
        <v/>
      </c>
      <c r="Y756" s="86">
        <f>IF($X756=0,"",COUNTIFS(Task_Steps!$B$5:$B$2004,$A756,Task_Steps!$H$5:$H$2004,"Completed")/$X756)</f>
        <v/>
      </c>
      <c r="Z756" s="81" t="n"/>
      <c r="AA756" s="81" t="n"/>
      <c r="AB756" s="67">
        <f>IF($F756="","",IFERROR(INDEX(Employee_Master!$E$5:$E$204,MATCH($F756,Employee_Master!$B$5:$B$204,0)),""))</f>
        <v/>
      </c>
      <c r="AC756" s="65">
        <f>IF(OR($A756="",$AB756=""),"",IF(OR($I756="Completed",$I756="Cancelled"),"Closed - in Manager Report","Active - in Manager Report"))</f>
        <v/>
      </c>
      <c r="AD756" s="81">
        <f>IF($A756="","",IFERROR(TEXTJOIN(", ",TRUE,FILTER(Task_Steps!$A$5:$A$2004,Task_Steps!$B$5:$B$2004=$A756)),""))</f>
        <v/>
      </c>
      <c r="AE756" s="84">
        <f>IF($A756="","",COUNTIFS(Task_Steps!$B$5:$B$2004,$A756,Task_Steps!$H$5:$H$2004,"&lt;&gt;Completed",Task_Steps!$H$5:$H$2004,"&lt;&gt;Cancelled"))</f>
        <v/>
      </c>
      <c r="AF756" s="81">
        <f>IF(OR($B756="",$A756=""),"",$B756&amp;" | "&amp;$A756)</f>
        <v/>
      </c>
    </row>
    <row r="757" ht="15" customHeight="1" s="40">
      <c r="A757" s="65">
        <f>IF(COUNTA(B757:F757)=0,"","TSK-"&amp;TEXT(ROW()-4,"0000"))</f>
        <v/>
      </c>
      <c r="B757" s="78" t="n"/>
      <c r="C757" s="78" t="n"/>
      <c r="D757" s="81" t="n"/>
      <c r="E757" s="81" t="n"/>
      <c r="F757" s="78" t="n"/>
      <c r="G757" s="67">
        <f>IF($F757="","",IFERROR(INDEX(Employee_Master!$C$5:$C$204,MATCH($F757,Employee_Master!$B$5:$B$204,0)),""))</f>
        <v/>
      </c>
      <c r="H757" s="78" t="n"/>
      <c r="I757" s="78" t="n"/>
      <c r="J757" s="67">
        <f>IF($I757="","",IFERROR(INDEX(Action_Status_Map!$B$5:$B$11,MATCH($I757,Action_Status_Map!$A$5:$A$11,0)),""))</f>
        <v/>
      </c>
      <c r="K757" s="82" t="n"/>
      <c r="L757" s="82" t="n"/>
      <c r="M757" s="82" t="n"/>
      <c r="N757" s="83" t="n"/>
      <c r="O757" s="83" t="n"/>
      <c r="P757" s="66">
        <f>IF(OR($N757="",$O757=""),"",$O757-$N757)</f>
        <v/>
      </c>
      <c r="Q757" s="84">
        <f>IF($K757="","",IF($M757&lt;&gt;"",$M757-$K757,TODAY()-$K757))</f>
        <v/>
      </c>
      <c r="R757" s="85">
        <f>IF(OR($L757="",$I757="Completed",$I757="Cancelled"),"",IF(AND($L757&lt;TODAY(),$I757&lt;&gt;"Completed",$I757&lt;&gt;"Cancelled"),"Overdue","On Track"))</f>
        <v/>
      </c>
      <c r="S757" s="65">
        <f>IF($L757="","",TEXT($L757,"yyyy-mm"))</f>
        <v/>
      </c>
      <c r="T757" s="86">
        <f>IF($I757="","",IFERROR(INDEX(Action_Status_Map!$C$5:$C$11,MATCH($I757,Action_Status_Map!$A$5:$A$11,0)),""))</f>
        <v/>
      </c>
      <c r="U757" s="81" t="n"/>
      <c r="V757" s="82" t="n"/>
      <c r="W757" s="65">
        <f>IF(OR($I757&lt;&gt;"Completed",$M757="",$L757=""),"",IF($M757&lt;=$L757,"Yes","No"))</f>
        <v/>
      </c>
      <c r="X757" s="84">
        <f>IF($A757="","",COUNTIF(Task_Steps!$B$5:$B$2004,$A757))</f>
        <v/>
      </c>
      <c r="Y757" s="86">
        <f>IF($X757=0,"",COUNTIFS(Task_Steps!$B$5:$B$2004,$A757,Task_Steps!$H$5:$H$2004,"Completed")/$X757)</f>
        <v/>
      </c>
      <c r="Z757" s="81" t="n"/>
      <c r="AA757" s="81" t="n"/>
      <c r="AB757" s="67">
        <f>IF($F757="","",IFERROR(INDEX(Employee_Master!$E$5:$E$204,MATCH($F757,Employee_Master!$B$5:$B$204,0)),""))</f>
        <v/>
      </c>
      <c r="AC757" s="65">
        <f>IF(OR($A757="",$AB757=""),"",IF(OR($I757="Completed",$I757="Cancelled"),"Closed - in Manager Report","Active - in Manager Report"))</f>
        <v/>
      </c>
      <c r="AD757" s="81">
        <f>IF($A757="","",IFERROR(TEXTJOIN(", ",TRUE,FILTER(Task_Steps!$A$5:$A$2004,Task_Steps!$B$5:$B$2004=$A757)),""))</f>
        <v/>
      </c>
      <c r="AE757" s="84">
        <f>IF($A757="","",COUNTIFS(Task_Steps!$B$5:$B$2004,$A757,Task_Steps!$H$5:$H$2004,"&lt;&gt;Completed",Task_Steps!$H$5:$H$2004,"&lt;&gt;Cancelled"))</f>
        <v/>
      </c>
      <c r="AF757" s="81">
        <f>IF(OR($B757="",$A757=""),"",$B757&amp;" | "&amp;$A757)</f>
        <v/>
      </c>
    </row>
    <row r="758" ht="15" customHeight="1" s="40">
      <c r="A758" s="65">
        <f>IF(COUNTA(B758:F758)=0,"","TSK-"&amp;TEXT(ROW()-4,"0000"))</f>
        <v/>
      </c>
      <c r="B758" s="78" t="n"/>
      <c r="C758" s="78" t="n"/>
      <c r="D758" s="81" t="n"/>
      <c r="E758" s="81" t="n"/>
      <c r="F758" s="78" t="n"/>
      <c r="G758" s="67">
        <f>IF($F758="","",IFERROR(INDEX(Employee_Master!$C$5:$C$204,MATCH($F758,Employee_Master!$B$5:$B$204,0)),""))</f>
        <v/>
      </c>
      <c r="H758" s="78" t="n"/>
      <c r="I758" s="78" t="n"/>
      <c r="J758" s="67">
        <f>IF($I758="","",IFERROR(INDEX(Action_Status_Map!$B$5:$B$11,MATCH($I758,Action_Status_Map!$A$5:$A$11,0)),""))</f>
        <v/>
      </c>
      <c r="K758" s="82" t="n"/>
      <c r="L758" s="82" t="n"/>
      <c r="M758" s="82" t="n"/>
      <c r="N758" s="83" t="n"/>
      <c r="O758" s="83" t="n"/>
      <c r="P758" s="66">
        <f>IF(OR($N758="",$O758=""),"",$O758-$N758)</f>
        <v/>
      </c>
      <c r="Q758" s="84">
        <f>IF($K758="","",IF($M758&lt;&gt;"",$M758-$K758,TODAY()-$K758))</f>
        <v/>
      </c>
      <c r="R758" s="85">
        <f>IF(OR($L758="",$I758="Completed",$I758="Cancelled"),"",IF(AND($L758&lt;TODAY(),$I758&lt;&gt;"Completed",$I758&lt;&gt;"Cancelled"),"Overdue","On Track"))</f>
        <v/>
      </c>
      <c r="S758" s="65">
        <f>IF($L758="","",TEXT($L758,"yyyy-mm"))</f>
        <v/>
      </c>
      <c r="T758" s="86">
        <f>IF($I758="","",IFERROR(INDEX(Action_Status_Map!$C$5:$C$11,MATCH($I758,Action_Status_Map!$A$5:$A$11,0)),""))</f>
        <v/>
      </c>
      <c r="U758" s="81" t="n"/>
      <c r="V758" s="82" t="n"/>
      <c r="W758" s="65">
        <f>IF(OR($I758&lt;&gt;"Completed",$M758="",$L758=""),"",IF($M758&lt;=$L758,"Yes","No"))</f>
        <v/>
      </c>
      <c r="X758" s="84">
        <f>IF($A758="","",COUNTIF(Task_Steps!$B$5:$B$2004,$A758))</f>
        <v/>
      </c>
      <c r="Y758" s="86">
        <f>IF($X758=0,"",COUNTIFS(Task_Steps!$B$5:$B$2004,$A758,Task_Steps!$H$5:$H$2004,"Completed")/$X758)</f>
        <v/>
      </c>
      <c r="Z758" s="81" t="n"/>
      <c r="AA758" s="81" t="n"/>
      <c r="AB758" s="67">
        <f>IF($F758="","",IFERROR(INDEX(Employee_Master!$E$5:$E$204,MATCH($F758,Employee_Master!$B$5:$B$204,0)),""))</f>
        <v/>
      </c>
      <c r="AC758" s="65">
        <f>IF(OR($A758="",$AB758=""),"",IF(OR($I758="Completed",$I758="Cancelled"),"Closed - in Manager Report","Active - in Manager Report"))</f>
        <v/>
      </c>
      <c r="AD758" s="81">
        <f>IF($A758="","",IFERROR(TEXTJOIN(", ",TRUE,FILTER(Task_Steps!$A$5:$A$2004,Task_Steps!$B$5:$B$2004=$A758)),""))</f>
        <v/>
      </c>
      <c r="AE758" s="84">
        <f>IF($A758="","",COUNTIFS(Task_Steps!$B$5:$B$2004,$A758,Task_Steps!$H$5:$H$2004,"&lt;&gt;Completed",Task_Steps!$H$5:$H$2004,"&lt;&gt;Cancelled"))</f>
        <v/>
      </c>
      <c r="AF758" s="81">
        <f>IF(OR($B758="",$A758=""),"",$B758&amp;" | "&amp;$A758)</f>
        <v/>
      </c>
    </row>
    <row r="759" ht="15" customHeight="1" s="40">
      <c r="A759" s="65">
        <f>IF(COUNTA(B759:F759)=0,"","TSK-"&amp;TEXT(ROW()-4,"0000"))</f>
        <v/>
      </c>
      <c r="B759" s="78" t="n"/>
      <c r="C759" s="78" t="n"/>
      <c r="D759" s="81" t="n"/>
      <c r="E759" s="81" t="n"/>
      <c r="F759" s="78" t="n"/>
      <c r="G759" s="67">
        <f>IF($F759="","",IFERROR(INDEX(Employee_Master!$C$5:$C$204,MATCH($F759,Employee_Master!$B$5:$B$204,0)),""))</f>
        <v/>
      </c>
      <c r="H759" s="78" t="n"/>
      <c r="I759" s="78" t="n"/>
      <c r="J759" s="67">
        <f>IF($I759="","",IFERROR(INDEX(Action_Status_Map!$B$5:$B$11,MATCH($I759,Action_Status_Map!$A$5:$A$11,0)),""))</f>
        <v/>
      </c>
      <c r="K759" s="82" t="n"/>
      <c r="L759" s="82" t="n"/>
      <c r="M759" s="82" t="n"/>
      <c r="N759" s="83" t="n"/>
      <c r="O759" s="83" t="n"/>
      <c r="P759" s="66">
        <f>IF(OR($N759="",$O759=""),"",$O759-$N759)</f>
        <v/>
      </c>
      <c r="Q759" s="84">
        <f>IF($K759="","",IF($M759&lt;&gt;"",$M759-$K759,TODAY()-$K759))</f>
        <v/>
      </c>
      <c r="R759" s="85">
        <f>IF(OR($L759="",$I759="Completed",$I759="Cancelled"),"",IF(AND($L759&lt;TODAY(),$I759&lt;&gt;"Completed",$I759&lt;&gt;"Cancelled"),"Overdue","On Track"))</f>
        <v/>
      </c>
      <c r="S759" s="65">
        <f>IF($L759="","",TEXT($L759,"yyyy-mm"))</f>
        <v/>
      </c>
      <c r="T759" s="86">
        <f>IF($I759="","",IFERROR(INDEX(Action_Status_Map!$C$5:$C$11,MATCH($I759,Action_Status_Map!$A$5:$A$11,0)),""))</f>
        <v/>
      </c>
      <c r="U759" s="81" t="n"/>
      <c r="V759" s="82" t="n"/>
      <c r="W759" s="65">
        <f>IF(OR($I759&lt;&gt;"Completed",$M759="",$L759=""),"",IF($M759&lt;=$L759,"Yes","No"))</f>
        <v/>
      </c>
      <c r="X759" s="84">
        <f>IF($A759="","",COUNTIF(Task_Steps!$B$5:$B$2004,$A759))</f>
        <v/>
      </c>
      <c r="Y759" s="86">
        <f>IF($X759=0,"",COUNTIFS(Task_Steps!$B$5:$B$2004,$A759,Task_Steps!$H$5:$H$2004,"Completed")/$X759)</f>
        <v/>
      </c>
      <c r="Z759" s="81" t="n"/>
      <c r="AA759" s="81" t="n"/>
      <c r="AB759" s="67">
        <f>IF($F759="","",IFERROR(INDEX(Employee_Master!$E$5:$E$204,MATCH($F759,Employee_Master!$B$5:$B$204,0)),""))</f>
        <v/>
      </c>
      <c r="AC759" s="65">
        <f>IF(OR($A759="",$AB759=""),"",IF(OR($I759="Completed",$I759="Cancelled"),"Closed - in Manager Report","Active - in Manager Report"))</f>
        <v/>
      </c>
      <c r="AD759" s="81">
        <f>IF($A759="","",IFERROR(TEXTJOIN(", ",TRUE,FILTER(Task_Steps!$A$5:$A$2004,Task_Steps!$B$5:$B$2004=$A759)),""))</f>
        <v/>
      </c>
      <c r="AE759" s="84">
        <f>IF($A759="","",COUNTIFS(Task_Steps!$B$5:$B$2004,$A759,Task_Steps!$H$5:$H$2004,"&lt;&gt;Completed",Task_Steps!$H$5:$H$2004,"&lt;&gt;Cancelled"))</f>
        <v/>
      </c>
      <c r="AF759" s="81">
        <f>IF(OR($B759="",$A759=""),"",$B759&amp;" | "&amp;$A759)</f>
        <v/>
      </c>
    </row>
    <row r="760" ht="15" customHeight="1" s="40">
      <c r="A760" s="65">
        <f>IF(COUNTA(B760:F760)=0,"","TSK-"&amp;TEXT(ROW()-4,"0000"))</f>
        <v/>
      </c>
      <c r="B760" s="78" t="n"/>
      <c r="C760" s="78" t="n"/>
      <c r="D760" s="81" t="n"/>
      <c r="E760" s="81" t="n"/>
      <c r="F760" s="78" t="n"/>
      <c r="G760" s="67">
        <f>IF($F760="","",IFERROR(INDEX(Employee_Master!$C$5:$C$204,MATCH($F760,Employee_Master!$B$5:$B$204,0)),""))</f>
        <v/>
      </c>
      <c r="H760" s="78" t="n"/>
      <c r="I760" s="78" t="n"/>
      <c r="J760" s="67">
        <f>IF($I760="","",IFERROR(INDEX(Action_Status_Map!$B$5:$B$11,MATCH($I760,Action_Status_Map!$A$5:$A$11,0)),""))</f>
        <v/>
      </c>
      <c r="K760" s="82" t="n"/>
      <c r="L760" s="82" t="n"/>
      <c r="M760" s="82" t="n"/>
      <c r="N760" s="83" t="n"/>
      <c r="O760" s="83" t="n"/>
      <c r="P760" s="66">
        <f>IF(OR($N760="",$O760=""),"",$O760-$N760)</f>
        <v/>
      </c>
      <c r="Q760" s="84">
        <f>IF($K760="","",IF($M760&lt;&gt;"",$M760-$K760,TODAY()-$K760))</f>
        <v/>
      </c>
      <c r="R760" s="85">
        <f>IF(OR($L760="",$I760="Completed",$I760="Cancelled"),"",IF(AND($L760&lt;TODAY(),$I760&lt;&gt;"Completed",$I760&lt;&gt;"Cancelled"),"Overdue","On Track"))</f>
        <v/>
      </c>
      <c r="S760" s="65">
        <f>IF($L760="","",TEXT($L760,"yyyy-mm"))</f>
        <v/>
      </c>
      <c r="T760" s="86">
        <f>IF($I760="","",IFERROR(INDEX(Action_Status_Map!$C$5:$C$11,MATCH($I760,Action_Status_Map!$A$5:$A$11,0)),""))</f>
        <v/>
      </c>
      <c r="U760" s="81" t="n"/>
      <c r="V760" s="82" t="n"/>
      <c r="W760" s="65">
        <f>IF(OR($I760&lt;&gt;"Completed",$M760="",$L760=""),"",IF($M760&lt;=$L760,"Yes","No"))</f>
        <v/>
      </c>
      <c r="X760" s="84">
        <f>IF($A760="","",COUNTIF(Task_Steps!$B$5:$B$2004,$A760))</f>
        <v/>
      </c>
      <c r="Y760" s="86">
        <f>IF($X760=0,"",COUNTIFS(Task_Steps!$B$5:$B$2004,$A760,Task_Steps!$H$5:$H$2004,"Completed")/$X760)</f>
        <v/>
      </c>
      <c r="Z760" s="81" t="n"/>
      <c r="AA760" s="81" t="n"/>
      <c r="AB760" s="67">
        <f>IF($F760="","",IFERROR(INDEX(Employee_Master!$E$5:$E$204,MATCH($F760,Employee_Master!$B$5:$B$204,0)),""))</f>
        <v/>
      </c>
      <c r="AC760" s="65">
        <f>IF(OR($A760="",$AB760=""),"",IF(OR($I760="Completed",$I760="Cancelled"),"Closed - in Manager Report","Active - in Manager Report"))</f>
        <v/>
      </c>
      <c r="AD760" s="81">
        <f>IF($A760="","",IFERROR(TEXTJOIN(", ",TRUE,FILTER(Task_Steps!$A$5:$A$2004,Task_Steps!$B$5:$B$2004=$A760)),""))</f>
        <v/>
      </c>
      <c r="AE760" s="84">
        <f>IF($A760="","",COUNTIFS(Task_Steps!$B$5:$B$2004,$A760,Task_Steps!$H$5:$H$2004,"&lt;&gt;Completed",Task_Steps!$H$5:$H$2004,"&lt;&gt;Cancelled"))</f>
        <v/>
      </c>
      <c r="AF760" s="81">
        <f>IF(OR($B760="",$A760=""),"",$B760&amp;" | "&amp;$A760)</f>
        <v/>
      </c>
    </row>
    <row r="761" ht="15" customHeight="1" s="40">
      <c r="A761" s="65">
        <f>IF(COUNTA(B761:F761)=0,"","TSK-"&amp;TEXT(ROW()-4,"0000"))</f>
        <v/>
      </c>
      <c r="B761" s="78" t="n"/>
      <c r="C761" s="78" t="n"/>
      <c r="D761" s="81" t="n"/>
      <c r="E761" s="81" t="n"/>
      <c r="F761" s="78" t="n"/>
      <c r="G761" s="67">
        <f>IF($F761="","",IFERROR(INDEX(Employee_Master!$C$5:$C$204,MATCH($F761,Employee_Master!$B$5:$B$204,0)),""))</f>
        <v/>
      </c>
      <c r="H761" s="78" t="n"/>
      <c r="I761" s="78" t="n"/>
      <c r="J761" s="67">
        <f>IF($I761="","",IFERROR(INDEX(Action_Status_Map!$B$5:$B$11,MATCH($I761,Action_Status_Map!$A$5:$A$11,0)),""))</f>
        <v/>
      </c>
      <c r="K761" s="82" t="n"/>
      <c r="L761" s="82" t="n"/>
      <c r="M761" s="82" t="n"/>
      <c r="N761" s="83" t="n"/>
      <c r="O761" s="83" t="n"/>
      <c r="P761" s="66">
        <f>IF(OR($N761="",$O761=""),"",$O761-$N761)</f>
        <v/>
      </c>
      <c r="Q761" s="84">
        <f>IF($K761="","",IF($M761&lt;&gt;"",$M761-$K761,TODAY()-$K761))</f>
        <v/>
      </c>
      <c r="R761" s="85">
        <f>IF(OR($L761="",$I761="Completed",$I761="Cancelled"),"",IF(AND($L761&lt;TODAY(),$I761&lt;&gt;"Completed",$I761&lt;&gt;"Cancelled"),"Overdue","On Track"))</f>
        <v/>
      </c>
      <c r="S761" s="65">
        <f>IF($L761="","",TEXT($L761,"yyyy-mm"))</f>
        <v/>
      </c>
      <c r="T761" s="86">
        <f>IF($I761="","",IFERROR(INDEX(Action_Status_Map!$C$5:$C$11,MATCH($I761,Action_Status_Map!$A$5:$A$11,0)),""))</f>
        <v/>
      </c>
      <c r="U761" s="81" t="n"/>
      <c r="V761" s="82" t="n"/>
      <c r="W761" s="65">
        <f>IF(OR($I761&lt;&gt;"Completed",$M761="",$L761=""),"",IF($M761&lt;=$L761,"Yes","No"))</f>
        <v/>
      </c>
      <c r="X761" s="84">
        <f>IF($A761="","",COUNTIF(Task_Steps!$B$5:$B$2004,$A761))</f>
        <v/>
      </c>
      <c r="Y761" s="86">
        <f>IF($X761=0,"",COUNTIFS(Task_Steps!$B$5:$B$2004,$A761,Task_Steps!$H$5:$H$2004,"Completed")/$X761)</f>
        <v/>
      </c>
      <c r="Z761" s="81" t="n"/>
      <c r="AA761" s="81" t="n"/>
      <c r="AB761" s="67">
        <f>IF($F761="","",IFERROR(INDEX(Employee_Master!$E$5:$E$204,MATCH($F761,Employee_Master!$B$5:$B$204,0)),""))</f>
        <v/>
      </c>
      <c r="AC761" s="65">
        <f>IF(OR($A761="",$AB761=""),"",IF(OR($I761="Completed",$I761="Cancelled"),"Closed - in Manager Report","Active - in Manager Report"))</f>
        <v/>
      </c>
      <c r="AD761" s="81">
        <f>IF($A761="","",IFERROR(TEXTJOIN(", ",TRUE,FILTER(Task_Steps!$A$5:$A$2004,Task_Steps!$B$5:$B$2004=$A761)),""))</f>
        <v/>
      </c>
      <c r="AE761" s="84">
        <f>IF($A761="","",COUNTIFS(Task_Steps!$B$5:$B$2004,$A761,Task_Steps!$H$5:$H$2004,"&lt;&gt;Completed",Task_Steps!$H$5:$H$2004,"&lt;&gt;Cancelled"))</f>
        <v/>
      </c>
      <c r="AF761" s="81">
        <f>IF(OR($B761="",$A761=""),"",$B761&amp;" | "&amp;$A761)</f>
        <v/>
      </c>
    </row>
    <row r="762" ht="15" customHeight="1" s="40">
      <c r="A762" s="65">
        <f>IF(COUNTA(B762:F762)=0,"","TSK-"&amp;TEXT(ROW()-4,"0000"))</f>
        <v/>
      </c>
      <c r="B762" s="78" t="n"/>
      <c r="C762" s="78" t="n"/>
      <c r="D762" s="81" t="n"/>
      <c r="E762" s="81" t="n"/>
      <c r="F762" s="78" t="n"/>
      <c r="G762" s="67">
        <f>IF($F762="","",IFERROR(INDEX(Employee_Master!$C$5:$C$204,MATCH($F762,Employee_Master!$B$5:$B$204,0)),""))</f>
        <v/>
      </c>
      <c r="H762" s="78" t="n"/>
      <c r="I762" s="78" t="n"/>
      <c r="J762" s="67">
        <f>IF($I762="","",IFERROR(INDEX(Action_Status_Map!$B$5:$B$11,MATCH($I762,Action_Status_Map!$A$5:$A$11,0)),""))</f>
        <v/>
      </c>
      <c r="K762" s="82" t="n"/>
      <c r="L762" s="82" t="n"/>
      <c r="M762" s="82" t="n"/>
      <c r="N762" s="83" t="n"/>
      <c r="O762" s="83" t="n"/>
      <c r="P762" s="66">
        <f>IF(OR($N762="",$O762=""),"",$O762-$N762)</f>
        <v/>
      </c>
      <c r="Q762" s="84">
        <f>IF($K762="","",IF($M762&lt;&gt;"",$M762-$K762,TODAY()-$K762))</f>
        <v/>
      </c>
      <c r="R762" s="85">
        <f>IF(OR($L762="",$I762="Completed",$I762="Cancelled"),"",IF(AND($L762&lt;TODAY(),$I762&lt;&gt;"Completed",$I762&lt;&gt;"Cancelled"),"Overdue","On Track"))</f>
        <v/>
      </c>
      <c r="S762" s="65">
        <f>IF($L762="","",TEXT($L762,"yyyy-mm"))</f>
        <v/>
      </c>
      <c r="T762" s="86">
        <f>IF($I762="","",IFERROR(INDEX(Action_Status_Map!$C$5:$C$11,MATCH($I762,Action_Status_Map!$A$5:$A$11,0)),""))</f>
        <v/>
      </c>
      <c r="U762" s="81" t="n"/>
      <c r="V762" s="82" t="n"/>
      <c r="W762" s="65">
        <f>IF(OR($I762&lt;&gt;"Completed",$M762="",$L762=""),"",IF($M762&lt;=$L762,"Yes","No"))</f>
        <v/>
      </c>
      <c r="X762" s="84">
        <f>IF($A762="","",COUNTIF(Task_Steps!$B$5:$B$2004,$A762))</f>
        <v/>
      </c>
      <c r="Y762" s="86">
        <f>IF($X762=0,"",COUNTIFS(Task_Steps!$B$5:$B$2004,$A762,Task_Steps!$H$5:$H$2004,"Completed")/$X762)</f>
        <v/>
      </c>
      <c r="Z762" s="81" t="n"/>
      <c r="AA762" s="81" t="n"/>
      <c r="AB762" s="67">
        <f>IF($F762="","",IFERROR(INDEX(Employee_Master!$E$5:$E$204,MATCH($F762,Employee_Master!$B$5:$B$204,0)),""))</f>
        <v/>
      </c>
      <c r="AC762" s="65">
        <f>IF(OR($A762="",$AB762=""),"",IF(OR($I762="Completed",$I762="Cancelled"),"Closed - in Manager Report","Active - in Manager Report"))</f>
        <v/>
      </c>
      <c r="AD762" s="81">
        <f>IF($A762="","",IFERROR(TEXTJOIN(", ",TRUE,FILTER(Task_Steps!$A$5:$A$2004,Task_Steps!$B$5:$B$2004=$A762)),""))</f>
        <v/>
      </c>
      <c r="AE762" s="84">
        <f>IF($A762="","",COUNTIFS(Task_Steps!$B$5:$B$2004,$A762,Task_Steps!$H$5:$H$2004,"&lt;&gt;Completed",Task_Steps!$H$5:$H$2004,"&lt;&gt;Cancelled"))</f>
        <v/>
      </c>
      <c r="AF762" s="81">
        <f>IF(OR($B762="",$A762=""),"",$B762&amp;" | "&amp;$A762)</f>
        <v/>
      </c>
    </row>
    <row r="763" ht="15" customHeight="1" s="40">
      <c r="A763" s="65">
        <f>IF(COUNTA(B763:F763)=0,"","TSK-"&amp;TEXT(ROW()-4,"0000"))</f>
        <v/>
      </c>
      <c r="B763" s="78" t="n"/>
      <c r="C763" s="78" t="n"/>
      <c r="D763" s="81" t="n"/>
      <c r="E763" s="81" t="n"/>
      <c r="F763" s="78" t="n"/>
      <c r="G763" s="67">
        <f>IF($F763="","",IFERROR(INDEX(Employee_Master!$C$5:$C$204,MATCH($F763,Employee_Master!$B$5:$B$204,0)),""))</f>
        <v/>
      </c>
      <c r="H763" s="78" t="n"/>
      <c r="I763" s="78" t="n"/>
      <c r="J763" s="67">
        <f>IF($I763="","",IFERROR(INDEX(Action_Status_Map!$B$5:$B$11,MATCH($I763,Action_Status_Map!$A$5:$A$11,0)),""))</f>
        <v/>
      </c>
      <c r="K763" s="82" t="n"/>
      <c r="L763" s="82" t="n"/>
      <c r="M763" s="82" t="n"/>
      <c r="N763" s="83" t="n"/>
      <c r="O763" s="83" t="n"/>
      <c r="P763" s="66">
        <f>IF(OR($N763="",$O763=""),"",$O763-$N763)</f>
        <v/>
      </c>
      <c r="Q763" s="84">
        <f>IF($K763="","",IF($M763&lt;&gt;"",$M763-$K763,TODAY()-$K763))</f>
        <v/>
      </c>
      <c r="R763" s="85">
        <f>IF(OR($L763="",$I763="Completed",$I763="Cancelled"),"",IF(AND($L763&lt;TODAY(),$I763&lt;&gt;"Completed",$I763&lt;&gt;"Cancelled"),"Overdue","On Track"))</f>
        <v/>
      </c>
      <c r="S763" s="65">
        <f>IF($L763="","",TEXT($L763,"yyyy-mm"))</f>
        <v/>
      </c>
      <c r="T763" s="86">
        <f>IF($I763="","",IFERROR(INDEX(Action_Status_Map!$C$5:$C$11,MATCH($I763,Action_Status_Map!$A$5:$A$11,0)),""))</f>
        <v/>
      </c>
      <c r="U763" s="81" t="n"/>
      <c r="V763" s="82" t="n"/>
      <c r="W763" s="65">
        <f>IF(OR($I763&lt;&gt;"Completed",$M763="",$L763=""),"",IF($M763&lt;=$L763,"Yes","No"))</f>
        <v/>
      </c>
      <c r="X763" s="84">
        <f>IF($A763="","",COUNTIF(Task_Steps!$B$5:$B$2004,$A763))</f>
        <v/>
      </c>
      <c r="Y763" s="86">
        <f>IF($X763=0,"",COUNTIFS(Task_Steps!$B$5:$B$2004,$A763,Task_Steps!$H$5:$H$2004,"Completed")/$X763)</f>
        <v/>
      </c>
      <c r="Z763" s="81" t="n"/>
      <c r="AA763" s="81" t="n"/>
      <c r="AB763" s="67">
        <f>IF($F763="","",IFERROR(INDEX(Employee_Master!$E$5:$E$204,MATCH($F763,Employee_Master!$B$5:$B$204,0)),""))</f>
        <v/>
      </c>
      <c r="AC763" s="65">
        <f>IF(OR($A763="",$AB763=""),"",IF(OR($I763="Completed",$I763="Cancelled"),"Closed - in Manager Report","Active - in Manager Report"))</f>
        <v/>
      </c>
      <c r="AD763" s="81">
        <f>IF($A763="","",IFERROR(TEXTJOIN(", ",TRUE,FILTER(Task_Steps!$A$5:$A$2004,Task_Steps!$B$5:$B$2004=$A763)),""))</f>
        <v/>
      </c>
      <c r="AE763" s="84">
        <f>IF($A763="","",COUNTIFS(Task_Steps!$B$5:$B$2004,$A763,Task_Steps!$H$5:$H$2004,"&lt;&gt;Completed",Task_Steps!$H$5:$H$2004,"&lt;&gt;Cancelled"))</f>
        <v/>
      </c>
      <c r="AF763" s="81">
        <f>IF(OR($B763="",$A763=""),"",$B763&amp;" | "&amp;$A763)</f>
        <v/>
      </c>
    </row>
    <row r="764" ht="15" customHeight="1" s="40">
      <c r="A764" s="65">
        <f>IF(COUNTA(B764:F764)=0,"","TSK-"&amp;TEXT(ROW()-4,"0000"))</f>
        <v/>
      </c>
      <c r="B764" s="78" t="n"/>
      <c r="C764" s="78" t="n"/>
      <c r="D764" s="81" t="n"/>
      <c r="E764" s="81" t="n"/>
      <c r="F764" s="78" t="n"/>
      <c r="G764" s="67">
        <f>IF($F764="","",IFERROR(INDEX(Employee_Master!$C$5:$C$204,MATCH($F764,Employee_Master!$B$5:$B$204,0)),""))</f>
        <v/>
      </c>
      <c r="H764" s="78" t="n"/>
      <c r="I764" s="78" t="n"/>
      <c r="J764" s="67">
        <f>IF($I764="","",IFERROR(INDEX(Action_Status_Map!$B$5:$B$11,MATCH($I764,Action_Status_Map!$A$5:$A$11,0)),""))</f>
        <v/>
      </c>
      <c r="K764" s="82" t="n"/>
      <c r="L764" s="82" t="n"/>
      <c r="M764" s="82" t="n"/>
      <c r="N764" s="83" t="n"/>
      <c r="O764" s="83" t="n"/>
      <c r="P764" s="66">
        <f>IF(OR($N764="",$O764=""),"",$O764-$N764)</f>
        <v/>
      </c>
      <c r="Q764" s="84">
        <f>IF($K764="","",IF($M764&lt;&gt;"",$M764-$K764,TODAY()-$K764))</f>
        <v/>
      </c>
      <c r="R764" s="85">
        <f>IF(OR($L764="",$I764="Completed",$I764="Cancelled"),"",IF(AND($L764&lt;TODAY(),$I764&lt;&gt;"Completed",$I764&lt;&gt;"Cancelled"),"Overdue","On Track"))</f>
        <v/>
      </c>
      <c r="S764" s="65">
        <f>IF($L764="","",TEXT($L764,"yyyy-mm"))</f>
        <v/>
      </c>
      <c r="T764" s="86">
        <f>IF($I764="","",IFERROR(INDEX(Action_Status_Map!$C$5:$C$11,MATCH($I764,Action_Status_Map!$A$5:$A$11,0)),""))</f>
        <v/>
      </c>
      <c r="U764" s="81" t="n"/>
      <c r="V764" s="82" t="n"/>
      <c r="W764" s="65">
        <f>IF(OR($I764&lt;&gt;"Completed",$M764="",$L764=""),"",IF($M764&lt;=$L764,"Yes","No"))</f>
        <v/>
      </c>
      <c r="X764" s="84">
        <f>IF($A764="","",COUNTIF(Task_Steps!$B$5:$B$2004,$A764))</f>
        <v/>
      </c>
      <c r="Y764" s="86">
        <f>IF($X764=0,"",COUNTIFS(Task_Steps!$B$5:$B$2004,$A764,Task_Steps!$H$5:$H$2004,"Completed")/$X764)</f>
        <v/>
      </c>
      <c r="Z764" s="81" t="n"/>
      <c r="AA764" s="81" t="n"/>
      <c r="AB764" s="67">
        <f>IF($F764="","",IFERROR(INDEX(Employee_Master!$E$5:$E$204,MATCH($F764,Employee_Master!$B$5:$B$204,0)),""))</f>
        <v/>
      </c>
      <c r="AC764" s="65">
        <f>IF(OR($A764="",$AB764=""),"",IF(OR($I764="Completed",$I764="Cancelled"),"Closed - in Manager Report","Active - in Manager Report"))</f>
        <v/>
      </c>
      <c r="AD764" s="81">
        <f>IF($A764="","",IFERROR(TEXTJOIN(", ",TRUE,FILTER(Task_Steps!$A$5:$A$2004,Task_Steps!$B$5:$B$2004=$A764)),""))</f>
        <v/>
      </c>
      <c r="AE764" s="84">
        <f>IF($A764="","",COUNTIFS(Task_Steps!$B$5:$B$2004,$A764,Task_Steps!$H$5:$H$2004,"&lt;&gt;Completed",Task_Steps!$H$5:$H$2004,"&lt;&gt;Cancelled"))</f>
        <v/>
      </c>
      <c r="AF764" s="81">
        <f>IF(OR($B764="",$A764=""),"",$B764&amp;" | "&amp;$A764)</f>
        <v/>
      </c>
    </row>
    <row r="765" ht="15" customHeight="1" s="40">
      <c r="A765" s="65">
        <f>IF(COUNTA(B765:F765)=0,"","TSK-"&amp;TEXT(ROW()-4,"0000"))</f>
        <v/>
      </c>
      <c r="B765" s="78" t="n"/>
      <c r="C765" s="78" t="n"/>
      <c r="D765" s="81" t="n"/>
      <c r="E765" s="81" t="n"/>
      <c r="F765" s="78" t="n"/>
      <c r="G765" s="67">
        <f>IF($F765="","",IFERROR(INDEX(Employee_Master!$C$5:$C$204,MATCH($F765,Employee_Master!$B$5:$B$204,0)),""))</f>
        <v/>
      </c>
      <c r="H765" s="78" t="n"/>
      <c r="I765" s="78" t="n"/>
      <c r="J765" s="67">
        <f>IF($I765="","",IFERROR(INDEX(Action_Status_Map!$B$5:$B$11,MATCH($I765,Action_Status_Map!$A$5:$A$11,0)),""))</f>
        <v/>
      </c>
      <c r="K765" s="82" t="n"/>
      <c r="L765" s="82" t="n"/>
      <c r="M765" s="82" t="n"/>
      <c r="N765" s="83" t="n"/>
      <c r="O765" s="83" t="n"/>
      <c r="P765" s="66">
        <f>IF(OR($N765="",$O765=""),"",$O765-$N765)</f>
        <v/>
      </c>
      <c r="Q765" s="84">
        <f>IF($K765="","",IF($M765&lt;&gt;"",$M765-$K765,TODAY()-$K765))</f>
        <v/>
      </c>
      <c r="R765" s="85">
        <f>IF(OR($L765="",$I765="Completed",$I765="Cancelled"),"",IF(AND($L765&lt;TODAY(),$I765&lt;&gt;"Completed",$I765&lt;&gt;"Cancelled"),"Overdue","On Track"))</f>
        <v/>
      </c>
      <c r="S765" s="65">
        <f>IF($L765="","",TEXT($L765,"yyyy-mm"))</f>
        <v/>
      </c>
      <c r="T765" s="86">
        <f>IF($I765="","",IFERROR(INDEX(Action_Status_Map!$C$5:$C$11,MATCH($I765,Action_Status_Map!$A$5:$A$11,0)),""))</f>
        <v/>
      </c>
      <c r="U765" s="81" t="n"/>
      <c r="V765" s="82" t="n"/>
      <c r="W765" s="65">
        <f>IF(OR($I765&lt;&gt;"Completed",$M765="",$L765=""),"",IF($M765&lt;=$L765,"Yes","No"))</f>
        <v/>
      </c>
      <c r="X765" s="84">
        <f>IF($A765="","",COUNTIF(Task_Steps!$B$5:$B$2004,$A765))</f>
        <v/>
      </c>
      <c r="Y765" s="86">
        <f>IF($X765=0,"",COUNTIFS(Task_Steps!$B$5:$B$2004,$A765,Task_Steps!$H$5:$H$2004,"Completed")/$X765)</f>
        <v/>
      </c>
      <c r="Z765" s="81" t="n"/>
      <c r="AA765" s="81" t="n"/>
      <c r="AB765" s="67">
        <f>IF($F765="","",IFERROR(INDEX(Employee_Master!$E$5:$E$204,MATCH($F765,Employee_Master!$B$5:$B$204,0)),""))</f>
        <v/>
      </c>
      <c r="AC765" s="65">
        <f>IF(OR($A765="",$AB765=""),"",IF(OR($I765="Completed",$I765="Cancelled"),"Closed - in Manager Report","Active - in Manager Report"))</f>
        <v/>
      </c>
      <c r="AD765" s="81">
        <f>IF($A765="","",IFERROR(TEXTJOIN(", ",TRUE,FILTER(Task_Steps!$A$5:$A$2004,Task_Steps!$B$5:$B$2004=$A765)),""))</f>
        <v/>
      </c>
      <c r="AE765" s="84">
        <f>IF($A765="","",COUNTIFS(Task_Steps!$B$5:$B$2004,$A765,Task_Steps!$H$5:$H$2004,"&lt;&gt;Completed",Task_Steps!$H$5:$H$2004,"&lt;&gt;Cancelled"))</f>
        <v/>
      </c>
      <c r="AF765" s="81">
        <f>IF(OR($B765="",$A765=""),"",$B765&amp;" | "&amp;$A765)</f>
        <v/>
      </c>
    </row>
    <row r="766" ht="15" customHeight="1" s="40">
      <c r="A766" s="65">
        <f>IF(COUNTA(B766:F766)=0,"","TSK-"&amp;TEXT(ROW()-4,"0000"))</f>
        <v/>
      </c>
      <c r="B766" s="78" t="n"/>
      <c r="C766" s="78" t="n"/>
      <c r="D766" s="81" t="n"/>
      <c r="E766" s="81" t="n"/>
      <c r="F766" s="78" t="n"/>
      <c r="G766" s="67">
        <f>IF($F766="","",IFERROR(INDEX(Employee_Master!$C$5:$C$204,MATCH($F766,Employee_Master!$B$5:$B$204,0)),""))</f>
        <v/>
      </c>
      <c r="H766" s="78" t="n"/>
      <c r="I766" s="78" t="n"/>
      <c r="J766" s="67">
        <f>IF($I766="","",IFERROR(INDEX(Action_Status_Map!$B$5:$B$11,MATCH($I766,Action_Status_Map!$A$5:$A$11,0)),""))</f>
        <v/>
      </c>
      <c r="K766" s="82" t="n"/>
      <c r="L766" s="82" t="n"/>
      <c r="M766" s="82" t="n"/>
      <c r="N766" s="83" t="n"/>
      <c r="O766" s="83" t="n"/>
      <c r="P766" s="66">
        <f>IF(OR($N766="",$O766=""),"",$O766-$N766)</f>
        <v/>
      </c>
      <c r="Q766" s="84">
        <f>IF($K766="","",IF($M766&lt;&gt;"",$M766-$K766,TODAY()-$K766))</f>
        <v/>
      </c>
      <c r="R766" s="85">
        <f>IF(OR($L766="",$I766="Completed",$I766="Cancelled"),"",IF(AND($L766&lt;TODAY(),$I766&lt;&gt;"Completed",$I766&lt;&gt;"Cancelled"),"Overdue","On Track"))</f>
        <v/>
      </c>
      <c r="S766" s="65">
        <f>IF($L766="","",TEXT($L766,"yyyy-mm"))</f>
        <v/>
      </c>
      <c r="T766" s="86">
        <f>IF($I766="","",IFERROR(INDEX(Action_Status_Map!$C$5:$C$11,MATCH($I766,Action_Status_Map!$A$5:$A$11,0)),""))</f>
        <v/>
      </c>
      <c r="U766" s="81" t="n"/>
      <c r="V766" s="82" t="n"/>
      <c r="W766" s="65">
        <f>IF(OR($I766&lt;&gt;"Completed",$M766="",$L766=""),"",IF($M766&lt;=$L766,"Yes","No"))</f>
        <v/>
      </c>
      <c r="X766" s="84">
        <f>IF($A766="","",COUNTIF(Task_Steps!$B$5:$B$2004,$A766))</f>
        <v/>
      </c>
      <c r="Y766" s="86">
        <f>IF($X766=0,"",COUNTIFS(Task_Steps!$B$5:$B$2004,$A766,Task_Steps!$H$5:$H$2004,"Completed")/$X766)</f>
        <v/>
      </c>
      <c r="Z766" s="81" t="n"/>
      <c r="AA766" s="81" t="n"/>
      <c r="AB766" s="67">
        <f>IF($F766="","",IFERROR(INDEX(Employee_Master!$E$5:$E$204,MATCH($F766,Employee_Master!$B$5:$B$204,0)),""))</f>
        <v/>
      </c>
      <c r="AC766" s="65">
        <f>IF(OR($A766="",$AB766=""),"",IF(OR($I766="Completed",$I766="Cancelled"),"Closed - in Manager Report","Active - in Manager Report"))</f>
        <v/>
      </c>
      <c r="AD766" s="81">
        <f>IF($A766="","",IFERROR(TEXTJOIN(", ",TRUE,FILTER(Task_Steps!$A$5:$A$2004,Task_Steps!$B$5:$B$2004=$A766)),""))</f>
        <v/>
      </c>
      <c r="AE766" s="84">
        <f>IF($A766="","",COUNTIFS(Task_Steps!$B$5:$B$2004,$A766,Task_Steps!$H$5:$H$2004,"&lt;&gt;Completed",Task_Steps!$H$5:$H$2004,"&lt;&gt;Cancelled"))</f>
        <v/>
      </c>
      <c r="AF766" s="81">
        <f>IF(OR($B766="",$A766=""),"",$B766&amp;" | "&amp;$A766)</f>
        <v/>
      </c>
    </row>
    <row r="767" ht="15" customHeight="1" s="40">
      <c r="A767" s="65">
        <f>IF(COUNTA(B767:F767)=0,"","TSK-"&amp;TEXT(ROW()-4,"0000"))</f>
        <v/>
      </c>
      <c r="B767" s="78" t="n"/>
      <c r="C767" s="78" t="n"/>
      <c r="D767" s="81" t="n"/>
      <c r="E767" s="81" t="n"/>
      <c r="F767" s="78" t="n"/>
      <c r="G767" s="67">
        <f>IF($F767="","",IFERROR(INDEX(Employee_Master!$C$5:$C$204,MATCH($F767,Employee_Master!$B$5:$B$204,0)),""))</f>
        <v/>
      </c>
      <c r="H767" s="78" t="n"/>
      <c r="I767" s="78" t="n"/>
      <c r="J767" s="67">
        <f>IF($I767="","",IFERROR(INDEX(Action_Status_Map!$B$5:$B$11,MATCH($I767,Action_Status_Map!$A$5:$A$11,0)),""))</f>
        <v/>
      </c>
      <c r="K767" s="82" t="n"/>
      <c r="L767" s="82" t="n"/>
      <c r="M767" s="82" t="n"/>
      <c r="N767" s="83" t="n"/>
      <c r="O767" s="83" t="n"/>
      <c r="P767" s="66">
        <f>IF(OR($N767="",$O767=""),"",$O767-$N767)</f>
        <v/>
      </c>
      <c r="Q767" s="84">
        <f>IF($K767="","",IF($M767&lt;&gt;"",$M767-$K767,TODAY()-$K767))</f>
        <v/>
      </c>
      <c r="R767" s="85">
        <f>IF(OR($L767="",$I767="Completed",$I767="Cancelled"),"",IF(AND($L767&lt;TODAY(),$I767&lt;&gt;"Completed",$I767&lt;&gt;"Cancelled"),"Overdue","On Track"))</f>
        <v/>
      </c>
      <c r="S767" s="65">
        <f>IF($L767="","",TEXT($L767,"yyyy-mm"))</f>
        <v/>
      </c>
      <c r="T767" s="86">
        <f>IF($I767="","",IFERROR(INDEX(Action_Status_Map!$C$5:$C$11,MATCH($I767,Action_Status_Map!$A$5:$A$11,0)),""))</f>
        <v/>
      </c>
      <c r="U767" s="81" t="n"/>
      <c r="V767" s="82" t="n"/>
      <c r="W767" s="65">
        <f>IF(OR($I767&lt;&gt;"Completed",$M767="",$L767=""),"",IF($M767&lt;=$L767,"Yes","No"))</f>
        <v/>
      </c>
      <c r="X767" s="84">
        <f>IF($A767="","",COUNTIF(Task_Steps!$B$5:$B$2004,$A767))</f>
        <v/>
      </c>
      <c r="Y767" s="86">
        <f>IF($X767=0,"",COUNTIFS(Task_Steps!$B$5:$B$2004,$A767,Task_Steps!$H$5:$H$2004,"Completed")/$X767)</f>
        <v/>
      </c>
      <c r="Z767" s="81" t="n"/>
      <c r="AA767" s="81" t="n"/>
      <c r="AB767" s="67">
        <f>IF($F767="","",IFERROR(INDEX(Employee_Master!$E$5:$E$204,MATCH($F767,Employee_Master!$B$5:$B$204,0)),""))</f>
        <v/>
      </c>
      <c r="AC767" s="65">
        <f>IF(OR($A767="",$AB767=""),"",IF(OR($I767="Completed",$I767="Cancelled"),"Closed - in Manager Report","Active - in Manager Report"))</f>
        <v/>
      </c>
      <c r="AD767" s="81">
        <f>IF($A767="","",IFERROR(TEXTJOIN(", ",TRUE,FILTER(Task_Steps!$A$5:$A$2004,Task_Steps!$B$5:$B$2004=$A767)),""))</f>
        <v/>
      </c>
      <c r="AE767" s="84">
        <f>IF($A767="","",COUNTIFS(Task_Steps!$B$5:$B$2004,$A767,Task_Steps!$H$5:$H$2004,"&lt;&gt;Completed",Task_Steps!$H$5:$H$2004,"&lt;&gt;Cancelled"))</f>
        <v/>
      </c>
      <c r="AF767" s="81">
        <f>IF(OR($B767="",$A767=""),"",$B767&amp;" | "&amp;$A767)</f>
        <v/>
      </c>
    </row>
    <row r="768" ht="15" customHeight="1" s="40">
      <c r="A768" s="65">
        <f>IF(COUNTA(B768:F768)=0,"","TSK-"&amp;TEXT(ROW()-4,"0000"))</f>
        <v/>
      </c>
      <c r="B768" s="78" t="n"/>
      <c r="C768" s="78" t="n"/>
      <c r="D768" s="81" t="n"/>
      <c r="E768" s="81" t="n"/>
      <c r="F768" s="78" t="n"/>
      <c r="G768" s="67">
        <f>IF($F768="","",IFERROR(INDEX(Employee_Master!$C$5:$C$204,MATCH($F768,Employee_Master!$B$5:$B$204,0)),""))</f>
        <v/>
      </c>
      <c r="H768" s="78" t="n"/>
      <c r="I768" s="78" t="n"/>
      <c r="J768" s="67">
        <f>IF($I768="","",IFERROR(INDEX(Action_Status_Map!$B$5:$B$11,MATCH($I768,Action_Status_Map!$A$5:$A$11,0)),""))</f>
        <v/>
      </c>
      <c r="K768" s="82" t="n"/>
      <c r="L768" s="82" t="n"/>
      <c r="M768" s="82" t="n"/>
      <c r="N768" s="83" t="n"/>
      <c r="O768" s="83" t="n"/>
      <c r="P768" s="66">
        <f>IF(OR($N768="",$O768=""),"",$O768-$N768)</f>
        <v/>
      </c>
      <c r="Q768" s="84">
        <f>IF($K768="","",IF($M768&lt;&gt;"",$M768-$K768,TODAY()-$K768))</f>
        <v/>
      </c>
      <c r="R768" s="85">
        <f>IF(OR($L768="",$I768="Completed",$I768="Cancelled"),"",IF(AND($L768&lt;TODAY(),$I768&lt;&gt;"Completed",$I768&lt;&gt;"Cancelled"),"Overdue","On Track"))</f>
        <v/>
      </c>
      <c r="S768" s="65">
        <f>IF($L768="","",TEXT($L768,"yyyy-mm"))</f>
        <v/>
      </c>
      <c r="T768" s="86">
        <f>IF($I768="","",IFERROR(INDEX(Action_Status_Map!$C$5:$C$11,MATCH($I768,Action_Status_Map!$A$5:$A$11,0)),""))</f>
        <v/>
      </c>
      <c r="U768" s="81" t="n"/>
      <c r="V768" s="82" t="n"/>
      <c r="W768" s="65">
        <f>IF(OR($I768&lt;&gt;"Completed",$M768="",$L768=""),"",IF($M768&lt;=$L768,"Yes","No"))</f>
        <v/>
      </c>
      <c r="X768" s="84">
        <f>IF($A768="","",COUNTIF(Task_Steps!$B$5:$B$2004,$A768))</f>
        <v/>
      </c>
      <c r="Y768" s="86">
        <f>IF($X768=0,"",COUNTIFS(Task_Steps!$B$5:$B$2004,$A768,Task_Steps!$H$5:$H$2004,"Completed")/$X768)</f>
        <v/>
      </c>
      <c r="Z768" s="81" t="n"/>
      <c r="AA768" s="81" t="n"/>
      <c r="AB768" s="67">
        <f>IF($F768="","",IFERROR(INDEX(Employee_Master!$E$5:$E$204,MATCH($F768,Employee_Master!$B$5:$B$204,0)),""))</f>
        <v/>
      </c>
      <c r="AC768" s="65">
        <f>IF(OR($A768="",$AB768=""),"",IF(OR($I768="Completed",$I768="Cancelled"),"Closed - in Manager Report","Active - in Manager Report"))</f>
        <v/>
      </c>
      <c r="AD768" s="81">
        <f>IF($A768="","",IFERROR(TEXTJOIN(", ",TRUE,FILTER(Task_Steps!$A$5:$A$2004,Task_Steps!$B$5:$B$2004=$A768)),""))</f>
        <v/>
      </c>
      <c r="AE768" s="84">
        <f>IF($A768="","",COUNTIFS(Task_Steps!$B$5:$B$2004,$A768,Task_Steps!$H$5:$H$2004,"&lt;&gt;Completed",Task_Steps!$H$5:$H$2004,"&lt;&gt;Cancelled"))</f>
        <v/>
      </c>
      <c r="AF768" s="81">
        <f>IF(OR($B768="",$A768=""),"",$B768&amp;" | "&amp;$A768)</f>
        <v/>
      </c>
    </row>
    <row r="769" ht="15" customHeight="1" s="40">
      <c r="A769" s="65">
        <f>IF(COUNTA(B769:F769)=0,"","TSK-"&amp;TEXT(ROW()-4,"0000"))</f>
        <v/>
      </c>
      <c r="B769" s="78" t="n"/>
      <c r="C769" s="78" t="n"/>
      <c r="D769" s="81" t="n"/>
      <c r="E769" s="81" t="n"/>
      <c r="F769" s="78" t="n"/>
      <c r="G769" s="67">
        <f>IF($F769="","",IFERROR(INDEX(Employee_Master!$C$5:$C$204,MATCH($F769,Employee_Master!$B$5:$B$204,0)),""))</f>
        <v/>
      </c>
      <c r="H769" s="78" t="n"/>
      <c r="I769" s="78" t="n"/>
      <c r="J769" s="67">
        <f>IF($I769="","",IFERROR(INDEX(Action_Status_Map!$B$5:$B$11,MATCH($I769,Action_Status_Map!$A$5:$A$11,0)),""))</f>
        <v/>
      </c>
      <c r="K769" s="82" t="n"/>
      <c r="L769" s="82" t="n"/>
      <c r="M769" s="82" t="n"/>
      <c r="N769" s="83" t="n"/>
      <c r="O769" s="83" t="n"/>
      <c r="P769" s="66">
        <f>IF(OR($N769="",$O769=""),"",$O769-$N769)</f>
        <v/>
      </c>
      <c r="Q769" s="84">
        <f>IF($K769="","",IF($M769&lt;&gt;"",$M769-$K769,TODAY()-$K769))</f>
        <v/>
      </c>
      <c r="R769" s="85">
        <f>IF(OR($L769="",$I769="Completed",$I769="Cancelled"),"",IF(AND($L769&lt;TODAY(),$I769&lt;&gt;"Completed",$I769&lt;&gt;"Cancelled"),"Overdue","On Track"))</f>
        <v/>
      </c>
      <c r="S769" s="65">
        <f>IF($L769="","",TEXT($L769,"yyyy-mm"))</f>
        <v/>
      </c>
      <c r="T769" s="86">
        <f>IF($I769="","",IFERROR(INDEX(Action_Status_Map!$C$5:$C$11,MATCH($I769,Action_Status_Map!$A$5:$A$11,0)),""))</f>
        <v/>
      </c>
      <c r="U769" s="81" t="n"/>
      <c r="V769" s="82" t="n"/>
      <c r="W769" s="65">
        <f>IF(OR($I769&lt;&gt;"Completed",$M769="",$L769=""),"",IF($M769&lt;=$L769,"Yes","No"))</f>
        <v/>
      </c>
      <c r="X769" s="84">
        <f>IF($A769="","",COUNTIF(Task_Steps!$B$5:$B$2004,$A769))</f>
        <v/>
      </c>
      <c r="Y769" s="86">
        <f>IF($X769=0,"",COUNTIFS(Task_Steps!$B$5:$B$2004,$A769,Task_Steps!$H$5:$H$2004,"Completed")/$X769)</f>
        <v/>
      </c>
      <c r="Z769" s="81" t="n"/>
      <c r="AA769" s="81" t="n"/>
      <c r="AB769" s="67">
        <f>IF($F769="","",IFERROR(INDEX(Employee_Master!$E$5:$E$204,MATCH($F769,Employee_Master!$B$5:$B$204,0)),""))</f>
        <v/>
      </c>
      <c r="AC769" s="65">
        <f>IF(OR($A769="",$AB769=""),"",IF(OR($I769="Completed",$I769="Cancelled"),"Closed - in Manager Report","Active - in Manager Report"))</f>
        <v/>
      </c>
      <c r="AD769" s="81">
        <f>IF($A769="","",IFERROR(TEXTJOIN(", ",TRUE,FILTER(Task_Steps!$A$5:$A$2004,Task_Steps!$B$5:$B$2004=$A769)),""))</f>
        <v/>
      </c>
      <c r="AE769" s="84">
        <f>IF($A769="","",COUNTIFS(Task_Steps!$B$5:$B$2004,$A769,Task_Steps!$H$5:$H$2004,"&lt;&gt;Completed",Task_Steps!$H$5:$H$2004,"&lt;&gt;Cancelled"))</f>
        <v/>
      </c>
      <c r="AF769" s="81">
        <f>IF(OR($B769="",$A769=""),"",$B769&amp;" | "&amp;$A769)</f>
        <v/>
      </c>
    </row>
    <row r="770" ht="15" customHeight="1" s="40">
      <c r="A770" s="65">
        <f>IF(COUNTA(B770:F770)=0,"","TSK-"&amp;TEXT(ROW()-4,"0000"))</f>
        <v/>
      </c>
      <c r="B770" s="78" t="n"/>
      <c r="C770" s="78" t="n"/>
      <c r="D770" s="81" t="n"/>
      <c r="E770" s="81" t="n"/>
      <c r="F770" s="78" t="n"/>
      <c r="G770" s="67">
        <f>IF($F770="","",IFERROR(INDEX(Employee_Master!$C$5:$C$204,MATCH($F770,Employee_Master!$B$5:$B$204,0)),""))</f>
        <v/>
      </c>
      <c r="H770" s="78" t="n"/>
      <c r="I770" s="78" t="n"/>
      <c r="J770" s="67">
        <f>IF($I770="","",IFERROR(INDEX(Action_Status_Map!$B$5:$B$11,MATCH($I770,Action_Status_Map!$A$5:$A$11,0)),""))</f>
        <v/>
      </c>
      <c r="K770" s="82" t="n"/>
      <c r="L770" s="82" t="n"/>
      <c r="M770" s="82" t="n"/>
      <c r="N770" s="83" t="n"/>
      <c r="O770" s="83" t="n"/>
      <c r="P770" s="66">
        <f>IF(OR($N770="",$O770=""),"",$O770-$N770)</f>
        <v/>
      </c>
      <c r="Q770" s="84">
        <f>IF($K770="","",IF($M770&lt;&gt;"",$M770-$K770,TODAY()-$K770))</f>
        <v/>
      </c>
      <c r="R770" s="85">
        <f>IF(OR($L770="",$I770="Completed",$I770="Cancelled"),"",IF(AND($L770&lt;TODAY(),$I770&lt;&gt;"Completed",$I770&lt;&gt;"Cancelled"),"Overdue","On Track"))</f>
        <v/>
      </c>
      <c r="S770" s="65">
        <f>IF($L770="","",TEXT($L770,"yyyy-mm"))</f>
        <v/>
      </c>
      <c r="T770" s="86">
        <f>IF($I770="","",IFERROR(INDEX(Action_Status_Map!$C$5:$C$11,MATCH($I770,Action_Status_Map!$A$5:$A$11,0)),""))</f>
        <v/>
      </c>
      <c r="U770" s="81" t="n"/>
      <c r="V770" s="82" t="n"/>
      <c r="W770" s="65">
        <f>IF(OR($I770&lt;&gt;"Completed",$M770="",$L770=""),"",IF($M770&lt;=$L770,"Yes","No"))</f>
        <v/>
      </c>
      <c r="X770" s="84">
        <f>IF($A770="","",COUNTIF(Task_Steps!$B$5:$B$2004,$A770))</f>
        <v/>
      </c>
      <c r="Y770" s="86">
        <f>IF($X770=0,"",COUNTIFS(Task_Steps!$B$5:$B$2004,$A770,Task_Steps!$H$5:$H$2004,"Completed")/$X770)</f>
        <v/>
      </c>
      <c r="Z770" s="81" t="n"/>
      <c r="AA770" s="81" t="n"/>
      <c r="AB770" s="67">
        <f>IF($F770="","",IFERROR(INDEX(Employee_Master!$E$5:$E$204,MATCH($F770,Employee_Master!$B$5:$B$204,0)),""))</f>
        <v/>
      </c>
      <c r="AC770" s="65">
        <f>IF(OR($A770="",$AB770=""),"",IF(OR($I770="Completed",$I770="Cancelled"),"Closed - in Manager Report","Active - in Manager Report"))</f>
        <v/>
      </c>
      <c r="AD770" s="81">
        <f>IF($A770="","",IFERROR(TEXTJOIN(", ",TRUE,FILTER(Task_Steps!$A$5:$A$2004,Task_Steps!$B$5:$B$2004=$A770)),""))</f>
        <v/>
      </c>
      <c r="AE770" s="84">
        <f>IF($A770="","",COUNTIFS(Task_Steps!$B$5:$B$2004,$A770,Task_Steps!$H$5:$H$2004,"&lt;&gt;Completed",Task_Steps!$H$5:$H$2004,"&lt;&gt;Cancelled"))</f>
        <v/>
      </c>
      <c r="AF770" s="81">
        <f>IF(OR($B770="",$A770=""),"",$B770&amp;" | "&amp;$A770)</f>
        <v/>
      </c>
    </row>
    <row r="771" ht="15" customHeight="1" s="40">
      <c r="A771" s="65">
        <f>IF(COUNTA(B771:F771)=0,"","TSK-"&amp;TEXT(ROW()-4,"0000"))</f>
        <v/>
      </c>
      <c r="B771" s="78" t="n"/>
      <c r="C771" s="78" t="n"/>
      <c r="D771" s="81" t="n"/>
      <c r="E771" s="81" t="n"/>
      <c r="F771" s="78" t="n"/>
      <c r="G771" s="67">
        <f>IF($F771="","",IFERROR(INDEX(Employee_Master!$C$5:$C$204,MATCH($F771,Employee_Master!$B$5:$B$204,0)),""))</f>
        <v/>
      </c>
      <c r="H771" s="78" t="n"/>
      <c r="I771" s="78" t="n"/>
      <c r="J771" s="67">
        <f>IF($I771="","",IFERROR(INDEX(Action_Status_Map!$B$5:$B$11,MATCH($I771,Action_Status_Map!$A$5:$A$11,0)),""))</f>
        <v/>
      </c>
      <c r="K771" s="82" t="n"/>
      <c r="L771" s="82" t="n"/>
      <c r="M771" s="82" t="n"/>
      <c r="N771" s="83" t="n"/>
      <c r="O771" s="83" t="n"/>
      <c r="P771" s="66">
        <f>IF(OR($N771="",$O771=""),"",$O771-$N771)</f>
        <v/>
      </c>
      <c r="Q771" s="84">
        <f>IF($K771="","",IF($M771&lt;&gt;"",$M771-$K771,TODAY()-$K771))</f>
        <v/>
      </c>
      <c r="R771" s="85">
        <f>IF(OR($L771="",$I771="Completed",$I771="Cancelled"),"",IF(AND($L771&lt;TODAY(),$I771&lt;&gt;"Completed",$I771&lt;&gt;"Cancelled"),"Overdue","On Track"))</f>
        <v/>
      </c>
      <c r="S771" s="65">
        <f>IF($L771="","",TEXT($L771,"yyyy-mm"))</f>
        <v/>
      </c>
      <c r="T771" s="86">
        <f>IF($I771="","",IFERROR(INDEX(Action_Status_Map!$C$5:$C$11,MATCH($I771,Action_Status_Map!$A$5:$A$11,0)),""))</f>
        <v/>
      </c>
      <c r="U771" s="81" t="n"/>
      <c r="V771" s="82" t="n"/>
      <c r="W771" s="65">
        <f>IF(OR($I771&lt;&gt;"Completed",$M771="",$L771=""),"",IF($M771&lt;=$L771,"Yes","No"))</f>
        <v/>
      </c>
      <c r="X771" s="84">
        <f>IF($A771="","",COUNTIF(Task_Steps!$B$5:$B$2004,$A771))</f>
        <v/>
      </c>
      <c r="Y771" s="86">
        <f>IF($X771=0,"",COUNTIFS(Task_Steps!$B$5:$B$2004,$A771,Task_Steps!$H$5:$H$2004,"Completed")/$X771)</f>
        <v/>
      </c>
      <c r="Z771" s="81" t="n"/>
      <c r="AA771" s="81" t="n"/>
      <c r="AB771" s="67">
        <f>IF($F771="","",IFERROR(INDEX(Employee_Master!$E$5:$E$204,MATCH($F771,Employee_Master!$B$5:$B$204,0)),""))</f>
        <v/>
      </c>
      <c r="AC771" s="65">
        <f>IF(OR($A771="",$AB771=""),"",IF(OR($I771="Completed",$I771="Cancelled"),"Closed - in Manager Report","Active - in Manager Report"))</f>
        <v/>
      </c>
      <c r="AD771" s="81">
        <f>IF($A771="","",IFERROR(TEXTJOIN(", ",TRUE,FILTER(Task_Steps!$A$5:$A$2004,Task_Steps!$B$5:$B$2004=$A771)),""))</f>
        <v/>
      </c>
      <c r="AE771" s="84">
        <f>IF($A771="","",COUNTIFS(Task_Steps!$B$5:$B$2004,$A771,Task_Steps!$H$5:$H$2004,"&lt;&gt;Completed",Task_Steps!$H$5:$H$2004,"&lt;&gt;Cancelled"))</f>
        <v/>
      </c>
      <c r="AF771" s="81">
        <f>IF(OR($B771="",$A771=""),"",$B771&amp;" | "&amp;$A771)</f>
        <v/>
      </c>
    </row>
    <row r="772" ht="15" customHeight="1" s="40">
      <c r="A772" s="65">
        <f>IF(COUNTA(B772:F772)=0,"","TSK-"&amp;TEXT(ROW()-4,"0000"))</f>
        <v/>
      </c>
      <c r="B772" s="78" t="n"/>
      <c r="C772" s="78" t="n"/>
      <c r="D772" s="81" t="n"/>
      <c r="E772" s="81" t="n"/>
      <c r="F772" s="78" t="n"/>
      <c r="G772" s="67">
        <f>IF($F772="","",IFERROR(INDEX(Employee_Master!$C$5:$C$204,MATCH($F772,Employee_Master!$B$5:$B$204,0)),""))</f>
        <v/>
      </c>
      <c r="H772" s="78" t="n"/>
      <c r="I772" s="78" t="n"/>
      <c r="J772" s="67">
        <f>IF($I772="","",IFERROR(INDEX(Action_Status_Map!$B$5:$B$11,MATCH($I772,Action_Status_Map!$A$5:$A$11,0)),""))</f>
        <v/>
      </c>
      <c r="K772" s="82" t="n"/>
      <c r="L772" s="82" t="n"/>
      <c r="M772" s="82" t="n"/>
      <c r="N772" s="83" t="n"/>
      <c r="O772" s="83" t="n"/>
      <c r="P772" s="66">
        <f>IF(OR($N772="",$O772=""),"",$O772-$N772)</f>
        <v/>
      </c>
      <c r="Q772" s="84">
        <f>IF($K772="","",IF($M772&lt;&gt;"",$M772-$K772,TODAY()-$K772))</f>
        <v/>
      </c>
      <c r="R772" s="85">
        <f>IF(OR($L772="",$I772="Completed",$I772="Cancelled"),"",IF(AND($L772&lt;TODAY(),$I772&lt;&gt;"Completed",$I772&lt;&gt;"Cancelled"),"Overdue","On Track"))</f>
        <v/>
      </c>
      <c r="S772" s="65">
        <f>IF($L772="","",TEXT($L772,"yyyy-mm"))</f>
        <v/>
      </c>
      <c r="T772" s="86">
        <f>IF($I772="","",IFERROR(INDEX(Action_Status_Map!$C$5:$C$11,MATCH($I772,Action_Status_Map!$A$5:$A$11,0)),""))</f>
        <v/>
      </c>
      <c r="U772" s="81" t="n"/>
      <c r="V772" s="82" t="n"/>
      <c r="W772" s="65">
        <f>IF(OR($I772&lt;&gt;"Completed",$M772="",$L772=""),"",IF($M772&lt;=$L772,"Yes","No"))</f>
        <v/>
      </c>
      <c r="X772" s="84">
        <f>IF($A772="","",COUNTIF(Task_Steps!$B$5:$B$2004,$A772))</f>
        <v/>
      </c>
      <c r="Y772" s="86">
        <f>IF($X772=0,"",COUNTIFS(Task_Steps!$B$5:$B$2004,$A772,Task_Steps!$H$5:$H$2004,"Completed")/$X772)</f>
        <v/>
      </c>
      <c r="Z772" s="81" t="n"/>
      <c r="AA772" s="81" t="n"/>
      <c r="AB772" s="67">
        <f>IF($F772="","",IFERROR(INDEX(Employee_Master!$E$5:$E$204,MATCH($F772,Employee_Master!$B$5:$B$204,0)),""))</f>
        <v/>
      </c>
      <c r="AC772" s="65">
        <f>IF(OR($A772="",$AB772=""),"",IF(OR($I772="Completed",$I772="Cancelled"),"Closed - in Manager Report","Active - in Manager Report"))</f>
        <v/>
      </c>
      <c r="AD772" s="81">
        <f>IF($A772="","",IFERROR(TEXTJOIN(", ",TRUE,FILTER(Task_Steps!$A$5:$A$2004,Task_Steps!$B$5:$B$2004=$A772)),""))</f>
        <v/>
      </c>
      <c r="AE772" s="84">
        <f>IF($A772="","",COUNTIFS(Task_Steps!$B$5:$B$2004,$A772,Task_Steps!$H$5:$H$2004,"&lt;&gt;Completed",Task_Steps!$H$5:$H$2004,"&lt;&gt;Cancelled"))</f>
        <v/>
      </c>
      <c r="AF772" s="81">
        <f>IF(OR($B772="",$A772=""),"",$B772&amp;" | "&amp;$A772)</f>
        <v/>
      </c>
    </row>
    <row r="773" ht="15" customHeight="1" s="40">
      <c r="A773" s="65">
        <f>IF(COUNTA(B773:F773)=0,"","TSK-"&amp;TEXT(ROW()-4,"0000"))</f>
        <v/>
      </c>
      <c r="B773" s="78" t="n"/>
      <c r="C773" s="78" t="n"/>
      <c r="D773" s="81" t="n"/>
      <c r="E773" s="81" t="n"/>
      <c r="F773" s="78" t="n"/>
      <c r="G773" s="67">
        <f>IF($F773="","",IFERROR(INDEX(Employee_Master!$C$5:$C$204,MATCH($F773,Employee_Master!$B$5:$B$204,0)),""))</f>
        <v/>
      </c>
      <c r="H773" s="78" t="n"/>
      <c r="I773" s="78" t="n"/>
      <c r="J773" s="67">
        <f>IF($I773="","",IFERROR(INDEX(Action_Status_Map!$B$5:$B$11,MATCH($I773,Action_Status_Map!$A$5:$A$11,0)),""))</f>
        <v/>
      </c>
      <c r="K773" s="82" t="n"/>
      <c r="L773" s="82" t="n"/>
      <c r="M773" s="82" t="n"/>
      <c r="N773" s="83" t="n"/>
      <c r="O773" s="83" t="n"/>
      <c r="P773" s="66">
        <f>IF(OR($N773="",$O773=""),"",$O773-$N773)</f>
        <v/>
      </c>
      <c r="Q773" s="84">
        <f>IF($K773="","",IF($M773&lt;&gt;"",$M773-$K773,TODAY()-$K773))</f>
        <v/>
      </c>
      <c r="R773" s="85">
        <f>IF(OR($L773="",$I773="Completed",$I773="Cancelled"),"",IF(AND($L773&lt;TODAY(),$I773&lt;&gt;"Completed",$I773&lt;&gt;"Cancelled"),"Overdue","On Track"))</f>
        <v/>
      </c>
      <c r="S773" s="65">
        <f>IF($L773="","",TEXT($L773,"yyyy-mm"))</f>
        <v/>
      </c>
      <c r="T773" s="86">
        <f>IF($I773="","",IFERROR(INDEX(Action_Status_Map!$C$5:$C$11,MATCH($I773,Action_Status_Map!$A$5:$A$11,0)),""))</f>
        <v/>
      </c>
      <c r="U773" s="81" t="n"/>
      <c r="V773" s="82" t="n"/>
      <c r="W773" s="65">
        <f>IF(OR($I773&lt;&gt;"Completed",$M773="",$L773=""),"",IF($M773&lt;=$L773,"Yes","No"))</f>
        <v/>
      </c>
      <c r="X773" s="84">
        <f>IF($A773="","",COUNTIF(Task_Steps!$B$5:$B$2004,$A773))</f>
        <v/>
      </c>
      <c r="Y773" s="86">
        <f>IF($X773=0,"",COUNTIFS(Task_Steps!$B$5:$B$2004,$A773,Task_Steps!$H$5:$H$2004,"Completed")/$X773)</f>
        <v/>
      </c>
      <c r="Z773" s="81" t="n"/>
      <c r="AA773" s="81" t="n"/>
      <c r="AB773" s="67">
        <f>IF($F773="","",IFERROR(INDEX(Employee_Master!$E$5:$E$204,MATCH($F773,Employee_Master!$B$5:$B$204,0)),""))</f>
        <v/>
      </c>
      <c r="AC773" s="65">
        <f>IF(OR($A773="",$AB773=""),"",IF(OR($I773="Completed",$I773="Cancelled"),"Closed - in Manager Report","Active - in Manager Report"))</f>
        <v/>
      </c>
      <c r="AD773" s="81">
        <f>IF($A773="","",IFERROR(TEXTJOIN(", ",TRUE,FILTER(Task_Steps!$A$5:$A$2004,Task_Steps!$B$5:$B$2004=$A773)),""))</f>
        <v/>
      </c>
      <c r="AE773" s="84">
        <f>IF($A773="","",COUNTIFS(Task_Steps!$B$5:$B$2004,$A773,Task_Steps!$H$5:$H$2004,"&lt;&gt;Completed",Task_Steps!$H$5:$H$2004,"&lt;&gt;Cancelled"))</f>
        <v/>
      </c>
      <c r="AF773" s="81">
        <f>IF(OR($B773="",$A773=""),"",$B773&amp;" | "&amp;$A773)</f>
        <v/>
      </c>
    </row>
    <row r="774" ht="15" customHeight="1" s="40">
      <c r="A774" s="65">
        <f>IF(COUNTA(B774:F774)=0,"","TSK-"&amp;TEXT(ROW()-4,"0000"))</f>
        <v/>
      </c>
      <c r="B774" s="78" t="n"/>
      <c r="C774" s="78" t="n"/>
      <c r="D774" s="81" t="n"/>
      <c r="E774" s="81" t="n"/>
      <c r="F774" s="78" t="n"/>
      <c r="G774" s="67">
        <f>IF($F774="","",IFERROR(INDEX(Employee_Master!$C$5:$C$204,MATCH($F774,Employee_Master!$B$5:$B$204,0)),""))</f>
        <v/>
      </c>
      <c r="H774" s="78" t="n"/>
      <c r="I774" s="78" t="n"/>
      <c r="J774" s="67">
        <f>IF($I774="","",IFERROR(INDEX(Action_Status_Map!$B$5:$B$11,MATCH($I774,Action_Status_Map!$A$5:$A$11,0)),""))</f>
        <v/>
      </c>
      <c r="K774" s="82" t="n"/>
      <c r="L774" s="82" t="n"/>
      <c r="M774" s="82" t="n"/>
      <c r="N774" s="83" t="n"/>
      <c r="O774" s="83" t="n"/>
      <c r="P774" s="66">
        <f>IF(OR($N774="",$O774=""),"",$O774-$N774)</f>
        <v/>
      </c>
      <c r="Q774" s="84">
        <f>IF($K774="","",IF($M774&lt;&gt;"",$M774-$K774,TODAY()-$K774))</f>
        <v/>
      </c>
      <c r="R774" s="85">
        <f>IF(OR($L774="",$I774="Completed",$I774="Cancelled"),"",IF(AND($L774&lt;TODAY(),$I774&lt;&gt;"Completed",$I774&lt;&gt;"Cancelled"),"Overdue","On Track"))</f>
        <v/>
      </c>
      <c r="S774" s="65">
        <f>IF($L774="","",TEXT($L774,"yyyy-mm"))</f>
        <v/>
      </c>
      <c r="T774" s="86">
        <f>IF($I774="","",IFERROR(INDEX(Action_Status_Map!$C$5:$C$11,MATCH($I774,Action_Status_Map!$A$5:$A$11,0)),""))</f>
        <v/>
      </c>
      <c r="U774" s="81" t="n"/>
      <c r="V774" s="82" t="n"/>
      <c r="W774" s="65">
        <f>IF(OR($I774&lt;&gt;"Completed",$M774="",$L774=""),"",IF($M774&lt;=$L774,"Yes","No"))</f>
        <v/>
      </c>
      <c r="X774" s="84">
        <f>IF($A774="","",COUNTIF(Task_Steps!$B$5:$B$2004,$A774))</f>
        <v/>
      </c>
      <c r="Y774" s="86">
        <f>IF($X774=0,"",COUNTIFS(Task_Steps!$B$5:$B$2004,$A774,Task_Steps!$H$5:$H$2004,"Completed")/$X774)</f>
        <v/>
      </c>
      <c r="Z774" s="81" t="n"/>
      <c r="AA774" s="81" t="n"/>
      <c r="AB774" s="67">
        <f>IF($F774="","",IFERROR(INDEX(Employee_Master!$E$5:$E$204,MATCH($F774,Employee_Master!$B$5:$B$204,0)),""))</f>
        <v/>
      </c>
      <c r="AC774" s="65">
        <f>IF(OR($A774="",$AB774=""),"",IF(OR($I774="Completed",$I774="Cancelled"),"Closed - in Manager Report","Active - in Manager Report"))</f>
        <v/>
      </c>
      <c r="AD774" s="81">
        <f>IF($A774="","",IFERROR(TEXTJOIN(", ",TRUE,FILTER(Task_Steps!$A$5:$A$2004,Task_Steps!$B$5:$B$2004=$A774)),""))</f>
        <v/>
      </c>
      <c r="AE774" s="84">
        <f>IF($A774="","",COUNTIFS(Task_Steps!$B$5:$B$2004,$A774,Task_Steps!$H$5:$H$2004,"&lt;&gt;Completed",Task_Steps!$H$5:$H$2004,"&lt;&gt;Cancelled"))</f>
        <v/>
      </c>
      <c r="AF774" s="81">
        <f>IF(OR($B774="",$A774=""),"",$B774&amp;" | "&amp;$A774)</f>
        <v/>
      </c>
    </row>
    <row r="775" ht="15" customHeight="1" s="40">
      <c r="A775" s="65">
        <f>IF(COUNTA(B775:F775)=0,"","TSK-"&amp;TEXT(ROW()-4,"0000"))</f>
        <v/>
      </c>
      <c r="B775" s="78" t="n"/>
      <c r="C775" s="78" t="n"/>
      <c r="D775" s="81" t="n"/>
      <c r="E775" s="81" t="n"/>
      <c r="F775" s="78" t="n"/>
      <c r="G775" s="67">
        <f>IF($F775="","",IFERROR(INDEX(Employee_Master!$C$5:$C$204,MATCH($F775,Employee_Master!$B$5:$B$204,0)),""))</f>
        <v/>
      </c>
      <c r="H775" s="78" t="n"/>
      <c r="I775" s="78" t="n"/>
      <c r="J775" s="67">
        <f>IF($I775="","",IFERROR(INDEX(Action_Status_Map!$B$5:$B$11,MATCH($I775,Action_Status_Map!$A$5:$A$11,0)),""))</f>
        <v/>
      </c>
      <c r="K775" s="82" t="n"/>
      <c r="L775" s="82" t="n"/>
      <c r="M775" s="82" t="n"/>
      <c r="N775" s="83" t="n"/>
      <c r="O775" s="83" t="n"/>
      <c r="P775" s="66">
        <f>IF(OR($N775="",$O775=""),"",$O775-$N775)</f>
        <v/>
      </c>
      <c r="Q775" s="84">
        <f>IF($K775="","",IF($M775&lt;&gt;"",$M775-$K775,TODAY()-$K775))</f>
        <v/>
      </c>
      <c r="R775" s="85">
        <f>IF(OR($L775="",$I775="Completed",$I775="Cancelled"),"",IF(AND($L775&lt;TODAY(),$I775&lt;&gt;"Completed",$I775&lt;&gt;"Cancelled"),"Overdue","On Track"))</f>
        <v/>
      </c>
      <c r="S775" s="65">
        <f>IF($L775="","",TEXT($L775,"yyyy-mm"))</f>
        <v/>
      </c>
      <c r="T775" s="86">
        <f>IF($I775="","",IFERROR(INDEX(Action_Status_Map!$C$5:$C$11,MATCH($I775,Action_Status_Map!$A$5:$A$11,0)),""))</f>
        <v/>
      </c>
      <c r="U775" s="81" t="n"/>
      <c r="V775" s="82" t="n"/>
      <c r="W775" s="65">
        <f>IF(OR($I775&lt;&gt;"Completed",$M775="",$L775=""),"",IF($M775&lt;=$L775,"Yes","No"))</f>
        <v/>
      </c>
      <c r="X775" s="84">
        <f>IF($A775="","",COUNTIF(Task_Steps!$B$5:$B$2004,$A775))</f>
        <v/>
      </c>
      <c r="Y775" s="86">
        <f>IF($X775=0,"",COUNTIFS(Task_Steps!$B$5:$B$2004,$A775,Task_Steps!$H$5:$H$2004,"Completed")/$X775)</f>
        <v/>
      </c>
      <c r="Z775" s="81" t="n"/>
      <c r="AA775" s="81" t="n"/>
      <c r="AB775" s="67">
        <f>IF($F775="","",IFERROR(INDEX(Employee_Master!$E$5:$E$204,MATCH($F775,Employee_Master!$B$5:$B$204,0)),""))</f>
        <v/>
      </c>
      <c r="AC775" s="65">
        <f>IF(OR($A775="",$AB775=""),"",IF(OR($I775="Completed",$I775="Cancelled"),"Closed - in Manager Report","Active - in Manager Report"))</f>
        <v/>
      </c>
      <c r="AD775" s="81">
        <f>IF($A775="","",IFERROR(TEXTJOIN(", ",TRUE,FILTER(Task_Steps!$A$5:$A$2004,Task_Steps!$B$5:$B$2004=$A775)),""))</f>
        <v/>
      </c>
      <c r="AE775" s="84">
        <f>IF($A775="","",COUNTIFS(Task_Steps!$B$5:$B$2004,$A775,Task_Steps!$H$5:$H$2004,"&lt;&gt;Completed",Task_Steps!$H$5:$H$2004,"&lt;&gt;Cancelled"))</f>
        <v/>
      </c>
      <c r="AF775" s="81">
        <f>IF(OR($B775="",$A775=""),"",$B775&amp;" | "&amp;$A775)</f>
        <v/>
      </c>
    </row>
    <row r="776" ht="15" customHeight="1" s="40">
      <c r="A776" s="65">
        <f>IF(COUNTA(B776:F776)=0,"","TSK-"&amp;TEXT(ROW()-4,"0000"))</f>
        <v/>
      </c>
      <c r="B776" s="78" t="n"/>
      <c r="C776" s="78" t="n"/>
      <c r="D776" s="81" t="n"/>
      <c r="E776" s="81" t="n"/>
      <c r="F776" s="78" t="n"/>
      <c r="G776" s="67">
        <f>IF($F776="","",IFERROR(INDEX(Employee_Master!$C$5:$C$204,MATCH($F776,Employee_Master!$B$5:$B$204,0)),""))</f>
        <v/>
      </c>
      <c r="H776" s="78" t="n"/>
      <c r="I776" s="78" t="n"/>
      <c r="J776" s="67">
        <f>IF($I776="","",IFERROR(INDEX(Action_Status_Map!$B$5:$B$11,MATCH($I776,Action_Status_Map!$A$5:$A$11,0)),""))</f>
        <v/>
      </c>
      <c r="K776" s="82" t="n"/>
      <c r="L776" s="82" t="n"/>
      <c r="M776" s="82" t="n"/>
      <c r="N776" s="83" t="n"/>
      <c r="O776" s="83" t="n"/>
      <c r="P776" s="66">
        <f>IF(OR($N776="",$O776=""),"",$O776-$N776)</f>
        <v/>
      </c>
      <c r="Q776" s="84">
        <f>IF($K776="","",IF($M776&lt;&gt;"",$M776-$K776,TODAY()-$K776))</f>
        <v/>
      </c>
      <c r="R776" s="85">
        <f>IF(OR($L776="",$I776="Completed",$I776="Cancelled"),"",IF(AND($L776&lt;TODAY(),$I776&lt;&gt;"Completed",$I776&lt;&gt;"Cancelled"),"Overdue","On Track"))</f>
        <v/>
      </c>
      <c r="S776" s="65">
        <f>IF($L776="","",TEXT($L776,"yyyy-mm"))</f>
        <v/>
      </c>
      <c r="T776" s="86">
        <f>IF($I776="","",IFERROR(INDEX(Action_Status_Map!$C$5:$C$11,MATCH($I776,Action_Status_Map!$A$5:$A$11,0)),""))</f>
        <v/>
      </c>
      <c r="U776" s="81" t="n"/>
      <c r="V776" s="82" t="n"/>
      <c r="W776" s="65">
        <f>IF(OR($I776&lt;&gt;"Completed",$M776="",$L776=""),"",IF($M776&lt;=$L776,"Yes","No"))</f>
        <v/>
      </c>
      <c r="X776" s="84">
        <f>IF($A776="","",COUNTIF(Task_Steps!$B$5:$B$2004,$A776))</f>
        <v/>
      </c>
      <c r="Y776" s="86">
        <f>IF($X776=0,"",COUNTIFS(Task_Steps!$B$5:$B$2004,$A776,Task_Steps!$H$5:$H$2004,"Completed")/$X776)</f>
        <v/>
      </c>
      <c r="Z776" s="81" t="n"/>
      <c r="AA776" s="81" t="n"/>
      <c r="AB776" s="67">
        <f>IF($F776="","",IFERROR(INDEX(Employee_Master!$E$5:$E$204,MATCH($F776,Employee_Master!$B$5:$B$204,0)),""))</f>
        <v/>
      </c>
      <c r="AC776" s="65">
        <f>IF(OR($A776="",$AB776=""),"",IF(OR($I776="Completed",$I776="Cancelled"),"Closed - in Manager Report","Active - in Manager Report"))</f>
        <v/>
      </c>
      <c r="AD776" s="81">
        <f>IF($A776="","",IFERROR(TEXTJOIN(", ",TRUE,FILTER(Task_Steps!$A$5:$A$2004,Task_Steps!$B$5:$B$2004=$A776)),""))</f>
        <v/>
      </c>
      <c r="AE776" s="84">
        <f>IF($A776="","",COUNTIFS(Task_Steps!$B$5:$B$2004,$A776,Task_Steps!$H$5:$H$2004,"&lt;&gt;Completed",Task_Steps!$H$5:$H$2004,"&lt;&gt;Cancelled"))</f>
        <v/>
      </c>
      <c r="AF776" s="81">
        <f>IF(OR($B776="",$A776=""),"",$B776&amp;" | "&amp;$A776)</f>
        <v/>
      </c>
    </row>
    <row r="777" ht="15" customHeight="1" s="40">
      <c r="A777" s="65">
        <f>IF(COUNTA(B777:F777)=0,"","TSK-"&amp;TEXT(ROW()-4,"0000"))</f>
        <v/>
      </c>
      <c r="B777" s="78" t="n"/>
      <c r="C777" s="78" t="n"/>
      <c r="D777" s="81" t="n"/>
      <c r="E777" s="81" t="n"/>
      <c r="F777" s="78" t="n"/>
      <c r="G777" s="67">
        <f>IF($F777="","",IFERROR(INDEX(Employee_Master!$C$5:$C$204,MATCH($F777,Employee_Master!$B$5:$B$204,0)),""))</f>
        <v/>
      </c>
      <c r="H777" s="78" t="n"/>
      <c r="I777" s="78" t="n"/>
      <c r="J777" s="67">
        <f>IF($I777="","",IFERROR(INDEX(Action_Status_Map!$B$5:$B$11,MATCH($I777,Action_Status_Map!$A$5:$A$11,0)),""))</f>
        <v/>
      </c>
      <c r="K777" s="82" t="n"/>
      <c r="L777" s="82" t="n"/>
      <c r="M777" s="82" t="n"/>
      <c r="N777" s="83" t="n"/>
      <c r="O777" s="83" t="n"/>
      <c r="P777" s="66">
        <f>IF(OR($N777="",$O777=""),"",$O777-$N777)</f>
        <v/>
      </c>
      <c r="Q777" s="84">
        <f>IF($K777="","",IF($M777&lt;&gt;"",$M777-$K777,TODAY()-$K777))</f>
        <v/>
      </c>
      <c r="R777" s="85">
        <f>IF(OR($L777="",$I777="Completed",$I777="Cancelled"),"",IF(AND($L777&lt;TODAY(),$I777&lt;&gt;"Completed",$I777&lt;&gt;"Cancelled"),"Overdue","On Track"))</f>
        <v/>
      </c>
      <c r="S777" s="65">
        <f>IF($L777="","",TEXT($L777,"yyyy-mm"))</f>
        <v/>
      </c>
      <c r="T777" s="86">
        <f>IF($I777="","",IFERROR(INDEX(Action_Status_Map!$C$5:$C$11,MATCH($I777,Action_Status_Map!$A$5:$A$11,0)),""))</f>
        <v/>
      </c>
      <c r="U777" s="81" t="n"/>
      <c r="V777" s="82" t="n"/>
      <c r="W777" s="65">
        <f>IF(OR($I777&lt;&gt;"Completed",$M777="",$L777=""),"",IF($M777&lt;=$L777,"Yes","No"))</f>
        <v/>
      </c>
      <c r="X777" s="84">
        <f>IF($A777="","",COUNTIF(Task_Steps!$B$5:$B$2004,$A777))</f>
        <v/>
      </c>
      <c r="Y777" s="86">
        <f>IF($X777=0,"",COUNTIFS(Task_Steps!$B$5:$B$2004,$A777,Task_Steps!$H$5:$H$2004,"Completed")/$X777)</f>
        <v/>
      </c>
      <c r="Z777" s="81" t="n"/>
      <c r="AA777" s="81" t="n"/>
      <c r="AB777" s="67">
        <f>IF($F777="","",IFERROR(INDEX(Employee_Master!$E$5:$E$204,MATCH($F777,Employee_Master!$B$5:$B$204,0)),""))</f>
        <v/>
      </c>
      <c r="AC777" s="65">
        <f>IF(OR($A777="",$AB777=""),"",IF(OR($I777="Completed",$I777="Cancelled"),"Closed - in Manager Report","Active - in Manager Report"))</f>
        <v/>
      </c>
      <c r="AD777" s="81">
        <f>IF($A777="","",IFERROR(TEXTJOIN(", ",TRUE,FILTER(Task_Steps!$A$5:$A$2004,Task_Steps!$B$5:$B$2004=$A777)),""))</f>
        <v/>
      </c>
      <c r="AE777" s="84">
        <f>IF($A777="","",COUNTIFS(Task_Steps!$B$5:$B$2004,$A777,Task_Steps!$H$5:$H$2004,"&lt;&gt;Completed",Task_Steps!$H$5:$H$2004,"&lt;&gt;Cancelled"))</f>
        <v/>
      </c>
      <c r="AF777" s="81">
        <f>IF(OR($B777="",$A777=""),"",$B777&amp;" | "&amp;$A777)</f>
        <v/>
      </c>
    </row>
    <row r="778" ht="15" customHeight="1" s="40">
      <c r="A778" s="65">
        <f>IF(COUNTA(B778:F778)=0,"","TSK-"&amp;TEXT(ROW()-4,"0000"))</f>
        <v/>
      </c>
      <c r="B778" s="78" t="n"/>
      <c r="C778" s="78" t="n"/>
      <c r="D778" s="81" t="n"/>
      <c r="E778" s="81" t="n"/>
      <c r="F778" s="78" t="n"/>
      <c r="G778" s="67">
        <f>IF($F778="","",IFERROR(INDEX(Employee_Master!$C$5:$C$204,MATCH($F778,Employee_Master!$B$5:$B$204,0)),""))</f>
        <v/>
      </c>
      <c r="H778" s="78" t="n"/>
      <c r="I778" s="78" t="n"/>
      <c r="J778" s="67">
        <f>IF($I778="","",IFERROR(INDEX(Action_Status_Map!$B$5:$B$11,MATCH($I778,Action_Status_Map!$A$5:$A$11,0)),""))</f>
        <v/>
      </c>
      <c r="K778" s="82" t="n"/>
      <c r="L778" s="82" t="n"/>
      <c r="M778" s="82" t="n"/>
      <c r="N778" s="83" t="n"/>
      <c r="O778" s="83" t="n"/>
      <c r="P778" s="66">
        <f>IF(OR($N778="",$O778=""),"",$O778-$N778)</f>
        <v/>
      </c>
      <c r="Q778" s="84">
        <f>IF($K778="","",IF($M778&lt;&gt;"",$M778-$K778,TODAY()-$K778))</f>
        <v/>
      </c>
      <c r="R778" s="85">
        <f>IF(OR($L778="",$I778="Completed",$I778="Cancelled"),"",IF(AND($L778&lt;TODAY(),$I778&lt;&gt;"Completed",$I778&lt;&gt;"Cancelled"),"Overdue","On Track"))</f>
        <v/>
      </c>
      <c r="S778" s="65">
        <f>IF($L778="","",TEXT($L778,"yyyy-mm"))</f>
        <v/>
      </c>
      <c r="T778" s="86">
        <f>IF($I778="","",IFERROR(INDEX(Action_Status_Map!$C$5:$C$11,MATCH($I778,Action_Status_Map!$A$5:$A$11,0)),""))</f>
        <v/>
      </c>
      <c r="U778" s="81" t="n"/>
      <c r="V778" s="82" t="n"/>
      <c r="W778" s="65">
        <f>IF(OR($I778&lt;&gt;"Completed",$M778="",$L778=""),"",IF($M778&lt;=$L778,"Yes","No"))</f>
        <v/>
      </c>
      <c r="X778" s="84">
        <f>IF($A778="","",COUNTIF(Task_Steps!$B$5:$B$2004,$A778))</f>
        <v/>
      </c>
      <c r="Y778" s="86">
        <f>IF($X778=0,"",COUNTIFS(Task_Steps!$B$5:$B$2004,$A778,Task_Steps!$H$5:$H$2004,"Completed")/$X778)</f>
        <v/>
      </c>
      <c r="Z778" s="81" t="n"/>
      <c r="AA778" s="81" t="n"/>
      <c r="AB778" s="67">
        <f>IF($F778="","",IFERROR(INDEX(Employee_Master!$E$5:$E$204,MATCH($F778,Employee_Master!$B$5:$B$204,0)),""))</f>
        <v/>
      </c>
      <c r="AC778" s="65">
        <f>IF(OR($A778="",$AB778=""),"",IF(OR($I778="Completed",$I778="Cancelled"),"Closed - in Manager Report","Active - in Manager Report"))</f>
        <v/>
      </c>
      <c r="AD778" s="81">
        <f>IF($A778="","",IFERROR(TEXTJOIN(", ",TRUE,FILTER(Task_Steps!$A$5:$A$2004,Task_Steps!$B$5:$B$2004=$A778)),""))</f>
        <v/>
      </c>
      <c r="AE778" s="84">
        <f>IF($A778="","",COUNTIFS(Task_Steps!$B$5:$B$2004,$A778,Task_Steps!$H$5:$H$2004,"&lt;&gt;Completed",Task_Steps!$H$5:$H$2004,"&lt;&gt;Cancelled"))</f>
        <v/>
      </c>
      <c r="AF778" s="81">
        <f>IF(OR($B778="",$A778=""),"",$B778&amp;" | "&amp;$A778)</f>
        <v/>
      </c>
    </row>
    <row r="779" ht="15" customHeight="1" s="40">
      <c r="A779" s="65">
        <f>IF(COUNTA(B779:F779)=0,"","TSK-"&amp;TEXT(ROW()-4,"0000"))</f>
        <v/>
      </c>
      <c r="B779" s="78" t="n"/>
      <c r="C779" s="78" t="n"/>
      <c r="D779" s="81" t="n"/>
      <c r="E779" s="81" t="n"/>
      <c r="F779" s="78" t="n"/>
      <c r="G779" s="67">
        <f>IF($F779="","",IFERROR(INDEX(Employee_Master!$C$5:$C$204,MATCH($F779,Employee_Master!$B$5:$B$204,0)),""))</f>
        <v/>
      </c>
      <c r="H779" s="78" t="n"/>
      <c r="I779" s="78" t="n"/>
      <c r="J779" s="67">
        <f>IF($I779="","",IFERROR(INDEX(Action_Status_Map!$B$5:$B$11,MATCH($I779,Action_Status_Map!$A$5:$A$11,0)),""))</f>
        <v/>
      </c>
      <c r="K779" s="82" t="n"/>
      <c r="L779" s="82" t="n"/>
      <c r="M779" s="82" t="n"/>
      <c r="N779" s="83" t="n"/>
      <c r="O779" s="83" t="n"/>
      <c r="P779" s="66">
        <f>IF(OR($N779="",$O779=""),"",$O779-$N779)</f>
        <v/>
      </c>
      <c r="Q779" s="84">
        <f>IF($K779="","",IF($M779&lt;&gt;"",$M779-$K779,TODAY()-$K779))</f>
        <v/>
      </c>
      <c r="R779" s="85">
        <f>IF(OR($L779="",$I779="Completed",$I779="Cancelled"),"",IF(AND($L779&lt;TODAY(),$I779&lt;&gt;"Completed",$I779&lt;&gt;"Cancelled"),"Overdue","On Track"))</f>
        <v/>
      </c>
      <c r="S779" s="65">
        <f>IF($L779="","",TEXT($L779,"yyyy-mm"))</f>
        <v/>
      </c>
      <c r="T779" s="86">
        <f>IF($I779="","",IFERROR(INDEX(Action_Status_Map!$C$5:$C$11,MATCH($I779,Action_Status_Map!$A$5:$A$11,0)),""))</f>
        <v/>
      </c>
      <c r="U779" s="81" t="n"/>
      <c r="V779" s="82" t="n"/>
      <c r="W779" s="65">
        <f>IF(OR($I779&lt;&gt;"Completed",$M779="",$L779=""),"",IF($M779&lt;=$L779,"Yes","No"))</f>
        <v/>
      </c>
      <c r="X779" s="84">
        <f>IF($A779="","",COUNTIF(Task_Steps!$B$5:$B$2004,$A779))</f>
        <v/>
      </c>
      <c r="Y779" s="86">
        <f>IF($X779=0,"",COUNTIFS(Task_Steps!$B$5:$B$2004,$A779,Task_Steps!$H$5:$H$2004,"Completed")/$X779)</f>
        <v/>
      </c>
      <c r="Z779" s="81" t="n"/>
      <c r="AA779" s="81" t="n"/>
      <c r="AB779" s="67">
        <f>IF($F779="","",IFERROR(INDEX(Employee_Master!$E$5:$E$204,MATCH($F779,Employee_Master!$B$5:$B$204,0)),""))</f>
        <v/>
      </c>
      <c r="AC779" s="65">
        <f>IF(OR($A779="",$AB779=""),"",IF(OR($I779="Completed",$I779="Cancelled"),"Closed - in Manager Report","Active - in Manager Report"))</f>
        <v/>
      </c>
      <c r="AD779" s="81">
        <f>IF($A779="","",IFERROR(TEXTJOIN(", ",TRUE,FILTER(Task_Steps!$A$5:$A$2004,Task_Steps!$B$5:$B$2004=$A779)),""))</f>
        <v/>
      </c>
      <c r="AE779" s="84">
        <f>IF($A779="","",COUNTIFS(Task_Steps!$B$5:$B$2004,$A779,Task_Steps!$H$5:$H$2004,"&lt;&gt;Completed",Task_Steps!$H$5:$H$2004,"&lt;&gt;Cancelled"))</f>
        <v/>
      </c>
      <c r="AF779" s="81">
        <f>IF(OR($B779="",$A779=""),"",$B779&amp;" | "&amp;$A779)</f>
        <v/>
      </c>
    </row>
    <row r="780" ht="15" customHeight="1" s="40">
      <c r="A780" s="65">
        <f>IF(COUNTA(B780:F780)=0,"","TSK-"&amp;TEXT(ROW()-4,"0000"))</f>
        <v/>
      </c>
      <c r="B780" s="78" t="n"/>
      <c r="C780" s="78" t="n"/>
      <c r="D780" s="81" t="n"/>
      <c r="E780" s="81" t="n"/>
      <c r="F780" s="78" t="n"/>
      <c r="G780" s="67">
        <f>IF($F780="","",IFERROR(INDEX(Employee_Master!$C$5:$C$204,MATCH($F780,Employee_Master!$B$5:$B$204,0)),""))</f>
        <v/>
      </c>
      <c r="H780" s="78" t="n"/>
      <c r="I780" s="78" t="n"/>
      <c r="J780" s="67">
        <f>IF($I780="","",IFERROR(INDEX(Action_Status_Map!$B$5:$B$11,MATCH($I780,Action_Status_Map!$A$5:$A$11,0)),""))</f>
        <v/>
      </c>
      <c r="K780" s="82" t="n"/>
      <c r="L780" s="82" t="n"/>
      <c r="M780" s="82" t="n"/>
      <c r="N780" s="83" t="n"/>
      <c r="O780" s="83" t="n"/>
      <c r="P780" s="66">
        <f>IF(OR($N780="",$O780=""),"",$O780-$N780)</f>
        <v/>
      </c>
      <c r="Q780" s="84">
        <f>IF($K780="","",IF($M780&lt;&gt;"",$M780-$K780,TODAY()-$K780))</f>
        <v/>
      </c>
      <c r="R780" s="85">
        <f>IF(OR($L780="",$I780="Completed",$I780="Cancelled"),"",IF(AND($L780&lt;TODAY(),$I780&lt;&gt;"Completed",$I780&lt;&gt;"Cancelled"),"Overdue","On Track"))</f>
        <v/>
      </c>
      <c r="S780" s="65">
        <f>IF($L780="","",TEXT($L780,"yyyy-mm"))</f>
        <v/>
      </c>
      <c r="T780" s="86">
        <f>IF($I780="","",IFERROR(INDEX(Action_Status_Map!$C$5:$C$11,MATCH($I780,Action_Status_Map!$A$5:$A$11,0)),""))</f>
        <v/>
      </c>
      <c r="U780" s="81" t="n"/>
      <c r="V780" s="82" t="n"/>
      <c r="W780" s="65">
        <f>IF(OR($I780&lt;&gt;"Completed",$M780="",$L780=""),"",IF($M780&lt;=$L780,"Yes","No"))</f>
        <v/>
      </c>
      <c r="X780" s="84">
        <f>IF($A780="","",COUNTIF(Task_Steps!$B$5:$B$2004,$A780))</f>
        <v/>
      </c>
      <c r="Y780" s="86">
        <f>IF($X780=0,"",COUNTIFS(Task_Steps!$B$5:$B$2004,$A780,Task_Steps!$H$5:$H$2004,"Completed")/$X780)</f>
        <v/>
      </c>
      <c r="Z780" s="81" t="n"/>
      <c r="AA780" s="81" t="n"/>
      <c r="AB780" s="67">
        <f>IF($F780="","",IFERROR(INDEX(Employee_Master!$E$5:$E$204,MATCH($F780,Employee_Master!$B$5:$B$204,0)),""))</f>
        <v/>
      </c>
      <c r="AC780" s="65">
        <f>IF(OR($A780="",$AB780=""),"",IF(OR($I780="Completed",$I780="Cancelled"),"Closed - in Manager Report","Active - in Manager Report"))</f>
        <v/>
      </c>
      <c r="AD780" s="81">
        <f>IF($A780="","",IFERROR(TEXTJOIN(", ",TRUE,FILTER(Task_Steps!$A$5:$A$2004,Task_Steps!$B$5:$B$2004=$A780)),""))</f>
        <v/>
      </c>
      <c r="AE780" s="84">
        <f>IF($A780="","",COUNTIFS(Task_Steps!$B$5:$B$2004,$A780,Task_Steps!$H$5:$H$2004,"&lt;&gt;Completed",Task_Steps!$H$5:$H$2004,"&lt;&gt;Cancelled"))</f>
        <v/>
      </c>
      <c r="AF780" s="81">
        <f>IF(OR($B780="",$A780=""),"",$B780&amp;" | "&amp;$A780)</f>
        <v/>
      </c>
    </row>
    <row r="781" ht="15" customHeight="1" s="40">
      <c r="A781" s="65">
        <f>IF(COUNTA(B781:F781)=0,"","TSK-"&amp;TEXT(ROW()-4,"0000"))</f>
        <v/>
      </c>
      <c r="B781" s="78" t="n"/>
      <c r="C781" s="78" t="n"/>
      <c r="D781" s="81" t="n"/>
      <c r="E781" s="81" t="n"/>
      <c r="F781" s="78" t="n"/>
      <c r="G781" s="67">
        <f>IF($F781="","",IFERROR(INDEX(Employee_Master!$C$5:$C$204,MATCH($F781,Employee_Master!$B$5:$B$204,0)),""))</f>
        <v/>
      </c>
      <c r="H781" s="78" t="n"/>
      <c r="I781" s="78" t="n"/>
      <c r="J781" s="67">
        <f>IF($I781="","",IFERROR(INDEX(Action_Status_Map!$B$5:$B$11,MATCH($I781,Action_Status_Map!$A$5:$A$11,0)),""))</f>
        <v/>
      </c>
      <c r="K781" s="82" t="n"/>
      <c r="L781" s="82" t="n"/>
      <c r="M781" s="82" t="n"/>
      <c r="N781" s="83" t="n"/>
      <c r="O781" s="83" t="n"/>
      <c r="P781" s="66">
        <f>IF(OR($N781="",$O781=""),"",$O781-$N781)</f>
        <v/>
      </c>
      <c r="Q781" s="84">
        <f>IF($K781="","",IF($M781&lt;&gt;"",$M781-$K781,TODAY()-$K781))</f>
        <v/>
      </c>
      <c r="R781" s="85">
        <f>IF(OR($L781="",$I781="Completed",$I781="Cancelled"),"",IF(AND($L781&lt;TODAY(),$I781&lt;&gt;"Completed",$I781&lt;&gt;"Cancelled"),"Overdue","On Track"))</f>
        <v/>
      </c>
      <c r="S781" s="65">
        <f>IF($L781="","",TEXT($L781,"yyyy-mm"))</f>
        <v/>
      </c>
      <c r="T781" s="86">
        <f>IF($I781="","",IFERROR(INDEX(Action_Status_Map!$C$5:$C$11,MATCH($I781,Action_Status_Map!$A$5:$A$11,0)),""))</f>
        <v/>
      </c>
      <c r="U781" s="81" t="n"/>
      <c r="V781" s="82" t="n"/>
      <c r="W781" s="65">
        <f>IF(OR($I781&lt;&gt;"Completed",$M781="",$L781=""),"",IF($M781&lt;=$L781,"Yes","No"))</f>
        <v/>
      </c>
      <c r="X781" s="84">
        <f>IF($A781="","",COUNTIF(Task_Steps!$B$5:$B$2004,$A781))</f>
        <v/>
      </c>
      <c r="Y781" s="86">
        <f>IF($X781=0,"",COUNTIFS(Task_Steps!$B$5:$B$2004,$A781,Task_Steps!$H$5:$H$2004,"Completed")/$X781)</f>
        <v/>
      </c>
      <c r="Z781" s="81" t="n"/>
      <c r="AA781" s="81" t="n"/>
      <c r="AB781" s="67">
        <f>IF($F781="","",IFERROR(INDEX(Employee_Master!$E$5:$E$204,MATCH($F781,Employee_Master!$B$5:$B$204,0)),""))</f>
        <v/>
      </c>
      <c r="AC781" s="65">
        <f>IF(OR($A781="",$AB781=""),"",IF(OR($I781="Completed",$I781="Cancelled"),"Closed - in Manager Report","Active - in Manager Report"))</f>
        <v/>
      </c>
      <c r="AD781" s="81">
        <f>IF($A781="","",IFERROR(TEXTJOIN(", ",TRUE,FILTER(Task_Steps!$A$5:$A$2004,Task_Steps!$B$5:$B$2004=$A781)),""))</f>
        <v/>
      </c>
      <c r="AE781" s="84">
        <f>IF($A781="","",COUNTIFS(Task_Steps!$B$5:$B$2004,$A781,Task_Steps!$H$5:$H$2004,"&lt;&gt;Completed",Task_Steps!$H$5:$H$2004,"&lt;&gt;Cancelled"))</f>
        <v/>
      </c>
      <c r="AF781" s="81">
        <f>IF(OR($B781="",$A781=""),"",$B781&amp;" | "&amp;$A781)</f>
        <v/>
      </c>
    </row>
    <row r="782" ht="15" customHeight="1" s="40">
      <c r="A782" s="65">
        <f>IF(COUNTA(B782:F782)=0,"","TSK-"&amp;TEXT(ROW()-4,"0000"))</f>
        <v/>
      </c>
      <c r="B782" s="78" t="n"/>
      <c r="C782" s="78" t="n"/>
      <c r="D782" s="81" t="n"/>
      <c r="E782" s="81" t="n"/>
      <c r="F782" s="78" t="n"/>
      <c r="G782" s="67">
        <f>IF($F782="","",IFERROR(INDEX(Employee_Master!$C$5:$C$204,MATCH($F782,Employee_Master!$B$5:$B$204,0)),""))</f>
        <v/>
      </c>
      <c r="H782" s="78" t="n"/>
      <c r="I782" s="78" t="n"/>
      <c r="J782" s="67">
        <f>IF($I782="","",IFERROR(INDEX(Action_Status_Map!$B$5:$B$11,MATCH($I782,Action_Status_Map!$A$5:$A$11,0)),""))</f>
        <v/>
      </c>
      <c r="K782" s="82" t="n"/>
      <c r="L782" s="82" t="n"/>
      <c r="M782" s="82" t="n"/>
      <c r="N782" s="83" t="n"/>
      <c r="O782" s="83" t="n"/>
      <c r="P782" s="66">
        <f>IF(OR($N782="",$O782=""),"",$O782-$N782)</f>
        <v/>
      </c>
      <c r="Q782" s="84">
        <f>IF($K782="","",IF($M782&lt;&gt;"",$M782-$K782,TODAY()-$K782))</f>
        <v/>
      </c>
      <c r="R782" s="85">
        <f>IF(OR($L782="",$I782="Completed",$I782="Cancelled"),"",IF(AND($L782&lt;TODAY(),$I782&lt;&gt;"Completed",$I782&lt;&gt;"Cancelled"),"Overdue","On Track"))</f>
        <v/>
      </c>
      <c r="S782" s="65">
        <f>IF($L782="","",TEXT($L782,"yyyy-mm"))</f>
        <v/>
      </c>
      <c r="T782" s="86">
        <f>IF($I782="","",IFERROR(INDEX(Action_Status_Map!$C$5:$C$11,MATCH($I782,Action_Status_Map!$A$5:$A$11,0)),""))</f>
        <v/>
      </c>
      <c r="U782" s="81" t="n"/>
      <c r="V782" s="82" t="n"/>
      <c r="W782" s="65">
        <f>IF(OR($I782&lt;&gt;"Completed",$M782="",$L782=""),"",IF($M782&lt;=$L782,"Yes","No"))</f>
        <v/>
      </c>
      <c r="X782" s="84">
        <f>IF($A782="","",COUNTIF(Task_Steps!$B$5:$B$2004,$A782))</f>
        <v/>
      </c>
      <c r="Y782" s="86">
        <f>IF($X782=0,"",COUNTIFS(Task_Steps!$B$5:$B$2004,$A782,Task_Steps!$H$5:$H$2004,"Completed")/$X782)</f>
        <v/>
      </c>
      <c r="Z782" s="81" t="n"/>
      <c r="AA782" s="81" t="n"/>
      <c r="AB782" s="67">
        <f>IF($F782="","",IFERROR(INDEX(Employee_Master!$E$5:$E$204,MATCH($F782,Employee_Master!$B$5:$B$204,0)),""))</f>
        <v/>
      </c>
      <c r="AC782" s="65">
        <f>IF(OR($A782="",$AB782=""),"",IF(OR($I782="Completed",$I782="Cancelled"),"Closed - in Manager Report","Active - in Manager Report"))</f>
        <v/>
      </c>
      <c r="AD782" s="81">
        <f>IF($A782="","",IFERROR(TEXTJOIN(", ",TRUE,FILTER(Task_Steps!$A$5:$A$2004,Task_Steps!$B$5:$B$2004=$A782)),""))</f>
        <v/>
      </c>
      <c r="AE782" s="84">
        <f>IF($A782="","",COUNTIFS(Task_Steps!$B$5:$B$2004,$A782,Task_Steps!$H$5:$H$2004,"&lt;&gt;Completed",Task_Steps!$H$5:$H$2004,"&lt;&gt;Cancelled"))</f>
        <v/>
      </c>
      <c r="AF782" s="81">
        <f>IF(OR($B782="",$A782=""),"",$B782&amp;" | "&amp;$A782)</f>
        <v/>
      </c>
    </row>
    <row r="783" ht="15" customHeight="1" s="40">
      <c r="A783" s="65">
        <f>IF(COUNTA(B783:F783)=0,"","TSK-"&amp;TEXT(ROW()-4,"0000"))</f>
        <v/>
      </c>
      <c r="B783" s="78" t="n"/>
      <c r="C783" s="78" t="n"/>
      <c r="D783" s="81" t="n"/>
      <c r="E783" s="81" t="n"/>
      <c r="F783" s="78" t="n"/>
      <c r="G783" s="67">
        <f>IF($F783="","",IFERROR(INDEX(Employee_Master!$C$5:$C$204,MATCH($F783,Employee_Master!$B$5:$B$204,0)),""))</f>
        <v/>
      </c>
      <c r="H783" s="78" t="n"/>
      <c r="I783" s="78" t="n"/>
      <c r="J783" s="67">
        <f>IF($I783="","",IFERROR(INDEX(Action_Status_Map!$B$5:$B$11,MATCH($I783,Action_Status_Map!$A$5:$A$11,0)),""))</f>
        <v/>
      </c>
      <c r="K783" s="82" t="n"/>
      <c r="L783" s="82" t="n"/>
      <c r="M783" s="82" t="n"/>
      <c r="N783" s="83" t="n"/>
      <c r="O783" s="83" t="n"/>
      <c r="P783" s="66">
        <f>IF(OR($N783="",$O783=""),"",$O783-$N783)</f>
        <v/>
      </c>
      <c r="Q783" s="84">
        <f>IF($K783="","",IF($M783&lt;&gt;"",$M783-$K783,TODAY()-$K783))</f>
        <v/>
      </c>
      <c r="R783" s="85">
        <f>IF(OR($L783="",$I783="Completed",$I783="Cancelled"),"",IF(AND($L783&lt;TODAY(),$I783&lt;&gt;"Completed",$I783&lt;&gt;"Cancelled"),"Overdue","On Track"))</f>
        <v/>
      </c>
      <c r="S783" s="65">
        <f>IF($L783="","",TEXT($L783,"yyyy-mm"))</f>
        <v/>
      </c>
      <c r="T783" s="86">
        <f>IF($I783="","",IFERROR(INDEX(Action_Status_Map!$C$5:$C$11,MATCH($I783,Action_Status_Map!$A$5:$A$11,0)),""))</f>
        <v/>
      </c>
      <c r="U783" s="81" t="n"/>
      <c r="V783" s="82" t="n"/>
      <c r="W783" s="65">
        <f>IF(OR($I783&lt;&gt;"Completed",$M783="",$L783=""),"",IF($M783&lt;=$L783,"Yes","No"))</f>
        <v/>
      </c>
      <c r="X783" s="84">
        <f>IF($A783="","",COUNTIF(Task_Steps!$B$5:$B$2004,$A783))</f>
        <v/>
      </c>
      <c r="Y783" s="86">
        <f>IF($X783=0,"",COUNTIFS(Task_Steps!$B$5:$B$2004,$A783,Task_Steps!$H$5:$H$2004,"Completed")/$X783)</f>
        <v/>
      </c>
      <c r="Z783" s="81" t="n"/>
      <c r="AA783" s="81" t="n"/>
      <c r="AB783" s="67">
        <f>IF($F783="","",IFERROR(INDEX(Employee_Master!$E$5:$E$204,MATCH($F783,Employee_Master!$B$5:$B$204,0)),""))</f>
        <v/>
      </c>
      <c r="AC783" s="65">
        <f>IF(OR($A783="",$AB783=""),"",IF(OR($I783="Completed",$I783="Cancelled"),"Closed - in Manager Report","Active - in Manager Report"))</f>
        <v/>
      </c>
      <c r="AD783" s="81">
        <f>IF($A783="","",IFERROR(TEXTJOIN(", ",TRUE,FILTER(Task_Steps!$A$5:$A$2004,Task_Steps!$B$5:$B$2004=$A783)),""))</f>
        <v/>
      </c>
      <c r="AE783" s="84">
        <f>IF($A783="","",COUNTIFS(Task_Steps!$B$5:$B$2004,$A783,Task_Steps!$H$5:$H$2004,"&lt;&gt;Completed",Task_Steps!$H$5:$H$2004,"&lt;&gt;Cancelled"))</f>
        <v/>
      </c>
      <c r="AF783" s="81">
        <f>IF(OR($B783="",$A783=""),"",$B783&amp;" | "&amp;$A783)</f>
        <v/>
      </c>
    </row>
    <row r="784" ht="15" customHeight="1" s="40">
      <c r="A784" s="65">
        <f>IF(COUNTA(B784:F784)=0,"","TSK-"&amp;TEXT(ROW()-4,"0000"))</f>
        <v/>
      </c>
      <c r="B784" s="78" t="n"/>
      <c r="C784" s="78" t="n"/>
      <c r="D784" s="81" t="n"/>
      <c r="E784" s="81" t="n"/>
      <c r="F784" s="78" t="n"/>
      <c r="G784" s="67">
        <f>IF($F784="","",IFERROR(INDEX(Employee_Master!$C$5:$C$204,MATCH($F784,Employee_Master!$B$5:$B$204,0)),""))</f>
        <v/>
      </c>
      <c r="H784" s="78" t="n"/>
      <c r="I784" s="78" t="n"/>
      <c r="J784" s="67">
        <f>IF($I784="","",IFERROR(INDEX(Action_Status_Map!$B$5:$B$11,MATCH($I784,Action_Status_Map!$A$5:$A$11,0)),""))</f>
        <v/>
      </c>
      <c r="K784" s="82" t="n"/>
      <c r="L784" s="82" t="n"/>
      <c r="M784" s="82" t="n"/>
      <c r="N784" s="83" t="n"/>
      <c r="O784" s="83" t="n"/>
      <c r="P784" s="66">
        <f>IF(OR($N784="",$O784=""),"",$O784-$N784)</f>
        <v/>
      </c>
      <c r="Q784" s="84">
        <f>IF($K784="","",IF($M784&lt;&gt;"",$M784-$K784,TODAY()-$K784))</f>
        <v/>
      </c>
      <c r="R784" s="85">
        <f>IF(OR($L784="",$I784="Completed",$I784="Cancelled"),"",IF(AND($L784&lt;TODAY(),$I784&lt;&gt;"Completed",$I784&lt;&gt;"Cancelled"),"Overdue","On Track"))</f>
        <v/>
      </c>
      <c r="S784" s="65">
        <f>IF($L784="","",TEXT($L784,"yyyy-mm"))</f>
        <v/>
      </c>
      <c r="T784" s="86">
        <f>IF($I784="","",IFERROR(INDEX(Action_Status_Map!$C$5:$C$11,MATCH($I784,Action_Status_Map!$A$5:$A$11,0)),""))</f>
        <v/>
      </c>
      <c r="U784" s="81" t="n"/>
      <c r="V784" s="82" t="n"/>
      <c r="W784" s="65">
        <f>IF(OR($I784&lt;&gt;"Completed",$M784="",$L784=""),"",IF($M784&lt;=$L784,"Yes","No"))</f>
        <v/>
      </c>
      <c r="X784" s="84">
        <f>IF($A784="","",COUNTIF(Task_Steps!$B$5:$B$2004,$A784))</f>
        <v/>
      </c>
      <c r="Y784" s="86">
        <f>IF($X784=0,"",COUNTIFS(Task_Steps!$B$5:$B$2004,$A784,Task_Steps!$H$5:$H$2004,"Completed")/$X784)</f>
        <v/>
      </c>
      <c r="Z784" s="81" t="n"/>
      <c r="AA784" s="81" t="n"/>
      <c r="AB784" s="67">
        <f>IF($F784="","",IFERROR(INDEX(Employee_Master!$E$5:$E$204,MATCH($F784,Employee_Master!$B$5:$B$204,0)),""))</f>
        <v/>
      </c>
      <c r="AC784" s="65">
        <f>IF(OR($A784="",$AB784=""),"",IF(OR($I784="Completed",$I784="Cancelled"),"Closed - in Manager Report","Active - in Manager Report"))</f>
        <v/>
      </c>
      <c r="AD784" s="81">
        <f>IF($A784="","",IFERROR(TEXTJOIN(", ",TRUE,FILTER(Task_Steps!$A$5:$A$2004,Task_Steps!$B$5:$B$2004=$A784)),""))</f>
        <v/>
      </c>
      <c r="AE784" s="84">
        <f>IF($A784="","",COUNTIFS(Task_Steps!$B$5:$B$2004,$A784,Task_Steps!$H$5:$H$2004,"&lt;&gt;Completed",Task_Steps!$H$5:$H$2004,"&lt;&gt;Cancelled"))</f>
        <v/>
      </c>
      <c r="AF784" s="81">
        <f>IF(OR($B784="",$A784=""),"",$B784&amp;" | "&amp;$A784)</f>
        <v/>
      </c>
    </row>
    <row r="785" ht="15" customHeight="1" s="40">
      <c r="A785" s="65">
        <f>IF(COUNTA(B785:F785)=0,"","TSK-"&amp;TEXT(ROW()-4,"0000"))</f>
        <v/>
      </c>
      <c r="B785" s="78" t="n"/>
      <c r="C785" s="78" t="n"/>
      <c r="D785" s="81" t="n"/>
      <c r="E785" s="81" t="n"/>
      <c r="F785" s="78" t="n"/>
      <c r="G785" s="67">
        <f>IF($F785="","",IFERROR(INDEX(Employee_Master!$C$5:$C$204,MATCH($F785,Employee_Master!$B$5:$B$204,0)),""))</f>
        <v/>
      </c>
      <c r="H785" s="78" t="n"/>
      <c r="I785" s="78" t="n"/>
      <c r="J785" s="67">
        <f>IF($I785="","",IFERROR(INDEX(Action_Status_Map!$B$5:$B$11,MATCH($I785,Action_Status_Map!$A$5:$A$11,0)),""))</f>
        <v/>
      </c>
      <c r="K785" s="82" t="n"/>
      <c r="L785" s="82" t="n"/>
      <c r="M785" s="82" t="n"/>
      <c r="N785" s="83" t="n"/>
      <c r="O785" s="83" t="n"/>
      <c r="P785" s="66">
        <f>IF(OR($N785="",$O785=""),"",$O785-$N785)</f>
        <v/>
      </c>
      <c r="Q785" s="84">
        <f>IF($K785="","",IF($M785&lt;&gt;"",$M785-$K785,TODAY()-$K785))</f>
        <v/>
      </c>
      <c r="R785" s="85">
        <f>IF(OR($L785="",$I785="Completed",$I785="Cancelled"),"",IF(AND($L785&lt;TODAY(),$I785&lt;&gt;"Completed",$I785&lt;&gt;"Cancelled"),"Overdue","On Track"))</f>
        <v/>
      </c>
      <c r="S785" s="65">
        <f>IF($L785="","",TEXT($L785,"yyyy-mm"))</f>
        <v/>
      </c>
      <c r="T785" s="86">
        <f>IF($I785="","",IFERROR(INDEX(Action_Status_Map!$C$5:$C$11,MATCH($I785,Action_Status_Map!$A$5:$A$11,0)),""))</f>
        <v/>
      </c>
      <c r="U785" s="81" t="n"/>
      <c r="V785" s="82" t="n"/>
      <c r="W785" s="65">
        <f>IF(OR($I785&lt;&gt;"Completed",$M785="",$L785=""),"",IF($M785&lt;=$L785,"Yes","No"))</f>
        <v/>
      </c>
      <c r="X785" s="84">
        <f>IF($A785="","",COUNTIF(Task_Steps!$B$5:$B$2004,$A785))</f>
        <v/>
      </c>
      <c r="Y785" s="86">
        <f>IF($X785=0,"",COUNTIFS(Task_Steps!$B$5:$B$2004,$A785,Task_Steps!$H$5:$H$2004,"Completed")/$X785)</f>
        <v/>
      </c>
      <c r="Z785" s="81" t="n"/>
      <c r="AA785" s="81" t="n"/>
      <c r="AB785" s="67">
        <f>IF($F785="","",IFERROR(INDEX(Employee_Master!$E$5:$E$204,MATCH($F785,Employee_Master!$B$5:$B$204,0)),""))</f>
        <v/>
      </c>
      <c r="AC785" s="65">
        <f>IF(OR($A785="",$AB785=""),"",IF(OR($I785="Completed",$I785="Cancelled"),"Closed - in Manager Report","Active - in Manager Report"))</f>
        <v/>
      </c>
      <c r="AD785" s="81">
        <f>IF($A785="","",IFERROR(TEXTJOIN(", ",TRUE,FILTER(Task_Steps!$A$5:$A$2004,Task_Steps!$B$5:$B$2004=$A785)),""))</f>
        <v/>
      </c>
      <c r="AE785" s="84">
        <f>IF($A785="","",COUNTIFS(Task_Steps!$B$5:$B$2004,$A785,Task_Steps!$H$5:$H$2004,"&lt;&gt;Completed",Task_Steps!$H$5:$H$2004,"&lt;&gt;Cancelled"))</f>
        <v/>
      </c>
      <c r="AF785" s="81">
        <f>IF(OR($B785="",$A785=""),"",$B785&amp;" | "&amp;$A785)</f>
        <v/>
      </c>
    </row>
    <row r="786" ht="15" customHeight="1" s="40">
      <c r="A786" s="65">
        <f>IF(COUNTA(B786:F786)=0,"","TSK-"&amp;TEXT(ROW()-4,"0000"))</f>
        <v/>
      </c>
      <c r="B786" s="78" t="n"/>
      <c r="C786" s="78" t="n"/>
      <c r="D786" s="81" t="n"/>
      <c r="E786" s="81" t="n"/>
      <c r="F786" s="78" t="n"/>
      <c r="G786" s="67">
        <f>IF($F786="","",IFERROR(INDEX(Employee_Master!$C$5:$C$204,MATCH($F786,Employee_Master!$B$5:$B$204,0)),""))</f>
        <v/>
      </c>
      <c r="H786" s="78" t="n"/>
      <c r="I786" s="78" t="n"/>
      <c r="J786" s="67">
        <f>IF($I786="","",IFERROR(INDEX(Action_Status_Map!$B$5:$B$11,MATCH($I786,Action_Status_Map!$A$5:$A$11,0)),""))</f>
        <v/>
      </c>
      <c r="K786" s="82" t="n"/>
      <c r="L786" s="82" t="n"/>
      <c r="M786" s="82" t="n"/>
      <c r="N786" s="83" t="n"/>
      <c r="O786" s="83" t="n"/>
      <c r="P786" s="66">
        <f>IF(OR($N786="",$O786=""),"",$O786-$N786)</f>
        <v/>
      </c>
      <c r="Q786" s="84">
        <f>IF($K786="","",IF($M786&lt;&gt;"",$M786-$K786,TODAY()-$K786))</f>
        <v/>
      </c>
      <c r="R786" s="85">
        <f>IF(OR($L786="",$I786="Completed",$I786="Cancelled"),"",IF(AND($L786&lt;TODAY(),$I786&lt;&gt;"Completed",$I786&lt;&gt;"Cancelled"),"Overdue","On Track"))</f>
        <v/>
      </c>
      <c r="S786" s="65">
        <f>IF($L786="","",TEXT($L786,"yyyy-mm"))</f>
        <v/>
      </c>
      <c r="T786" s="86">
        <f>IF($I786="","",IFERROR(INDEX(Action_Status_Map!$C$5:$C$11,MATCH($I786,Action_Status_Map!$A$5:$A$11,0)),""))</f>
        <v/>
      </c>
      <c r="U786" s="81" t="n"/>
      <c r="V786" s="82" t="n"/>
      <c r="W786" s="65">
        <f>IF(OR($I786&lt;&gt;"Completed",$M786="",$L786=""),"",IF($M786&lt;=$L786,"Yes","No"))</f>
        <v/>
      </c>
      <c r="X786" s="84">
        <f>IF($A786="","",COUNTIF(Task_Steps!$B$5:$B$2004,$A786))</f>
        <v/>
      </c>
      <c r="Y786" s="86">
        <f>IF($X786=0,"",COUNTIFS(Task_Steps!$B$5:$B$2004,$A786,Task_Steps!$H$5:$H$2004,"Completed")/$X786)</f>
        <v/>
      </c>
      <c r="Z786" s="81" t="n"/>
      <c r="AA786" s="81" t="n"/>
      <c r="AB786" s="67">
        <f>IF($F786="","",IFERROR(INDEX(Employee_Master!$E$5:$E$204,MATCH($F786,Employee_Master!$B$5:$B$204,0)),""))</f>
        <v/>
      </c>
      <c r="AC786" s="65">
        <f>IF(OR($A786="",$AB786=""),"",IF(OR($I786="Completed",$I786="Cancelled"),"Closed - in Manager Report","Active - in Manager Report"))</f>
        <v/>
      </c>
      <c r="AD786" s="81">
        <f>IF($A786="","",IFERROR(TEXTJOIN(", ",TRUE,FILTER(Task_Steps!$A$5:$A$2004,Task_Steps!$B$5:$B$2004=$A786)),""))</f>
        <v/>
      </c>
      <c r="AE786" s="84">
        <f>IF($A786="","",COUNTIFS(Task_Steps!$B$5:$B$2004,$A786,Task_Steps!$H$5:$H$2004,"&lt;&gt;Completed",Task_Steps!$H$5:$H$2004,"&lt;&gt;Cancelled"))</f>
        <v/>
      </c>
      <c r="AF786" s="81">
        <f>IF(OR($B786="",$A786=""),"",$B786&amp;" | "&amp;$A786)</f>
        <v/>
      </c>
    </row>
    <row r="787" ht="15" customHeight="1" s="40">
      <c r="A787" s="65">
        <f>IF(COUNTA(B787:F787)=0,"","TSK-"&amp;TEXT(ROW()-4,"0000"))</f>
        <v/>
      </c>
      <c r="B787" s="78" t="n"/>
      <c r="C787" s="78" t="n"/>
      <c r="D787" s="81" t="n"/>
      <c r="E787" s="81" t="n"/>
      <c r="F787" s="78" t="n"/>
      <c r="G787" s="67">
        <f>IF($F787="","",IFERROR(INDEX(Employee_Master!$C$5:$C$204,MATCH($F787,Employee_Master!$B$5:$B$204,0)),""))</f>
        <v/>
      </c>
      <c r="H787" s="78" t="n"/>
      <c r="I787" s="78" t="n"/>
      <c r="J787" s="67">
        <f>IF($I787="","",IFERROR(INDEX(Action_Status_Map!$B$5:$B$11,MATCH($I787,Action_Status_Map!$A$5:$A$11,0)),""))</f>
        <v/>
      </c>
      <c r="K787" s="82" t="n"/>
      <c r="L787" s="82" t="n"/>
      <c r="M787" s="82" t="n"/>
      <c r="N787" s="83" t="n"/>
      <c r="O787" s="83" t="n"/>
      <c r="P787" s="66">
        <f>IF(OR($N787="",$O787=""),"",$O787-$N787)</f>
        <v/>
      </c>
      <c r="Q787" s="84">
        <f>IF($K787="","",IF($M787&lt;&gt;"",$M787-$K787,TODAY()-$K787))</f>
        <v/>
      </c>
      <c r="R787" s="85">
        <f>IF(OR($L787="",$I787="Completed",$I787="Cancelled"),"",IF(AND($L787&lt;TODAY(),$I787&lt;&gt;"Completed",$I787&lt;&gt;"Cancelled"),"Overdue","On Track"))</f>
        <v/>
      </c>
      <c r="S787" s="65">
        <f>IF($L787="","",TEXT($L787,"yyyy-mm"))</f>
        <v/>
      </c>
      <c r="T787" s="86">
        <f>IF($I787="","",IFERROR(INDEX(Action_Status_Map!$C$5:$C$11,MATCH($I787,Action_Status_Map!$A$5:$A$11,0)),""))</f>
        <v/>
      </c>
      <c r="U787" s="81" t="n"/>
      <c r="V787" s="82" t="n"/>
      <c r="W787" s="65">
        <f>IF(OR($I787&lt;&gt;"Completed",$M787="",$L787=""),"",IF($M787&lt;=$L787,"Yes","No"))</f>
        <v/>
      </c>
      <c r="X787" s="84">
        <f>IF($A787="","",COUNTIF(Task_Steps!$B$5:$B$2004,$A787))</f>
        <v/>
      </c>
      <c r="Y787" s="86">
        <f>IF($X787=0,"",COUNTIFS(Task_Steps!$B$5:$B$2004,$A787,Task_Steps!$H$5:$H$2004,"Completed")/$X787)</f>
        <v/>
      </c>
      <c r="Z787" s="81" t="n"/>
      <c r="AA787" s="81" t="n"/>
      <c r="AB787" s="67">
        <f>IF($F787="","",IFERROR(INDEX(Employee_Master!$E$5:$E$204,MATCH($F787,Employee_Master!$B$5:$B$204,0)),""))</f>
        <v/>
      </c>
      <c r="AC787" s="65">
        <f>IF(OR($A787="",$AB787=""),"",IF(OR($I787="Completed",$I787="Cancelled"),"Closed - in Manager Report","Active - in Manager Report"))</f>
        <v/>
      </c>
      <c r="AD787" s="81">
        <f>IF($A787="","",IFERROR(TEXTJOIN(", ",TRUE,FILTER(Task_Steps!$A$5:$A$2004,Task_Steps!$B$5:$B$2004=$A787)),""))</f>
        <v/>
      </c>
      <c r="AE787" s="84">
        <f>IF($A787="","",COUNTIFS(Task_Steps!$B$5:$B$2004,$A787,Task_Steps!$H$5:$H$2004,"&lt;&gt;Completed",Task_Steps!$H$5:$H$2004,"&lt;&gt;Cancelled"))</f>
        <v/>
      </c>
      <c r="AF787" s="81">
        <f>IF(OR($B787="",$A787=""),"",$B787&amp;" | "&amp;$A787)</f>
        <v/>
      </c>
    </row>
    <row r="788" ht="15" customHeight="1" s="40">
      <c r="A788" s="65">
        <f>IF(COUNTA(B788:F788)=0,"","TSK-"&amp;TEXT(ROW()-4,"0000"))</f>
        <v/>
      </c>
      <c r="B788" s="78" t="n"/>
      <c r="C788" s="78" t="n"/>
      <c r="D788" s="81" t="n"/>
      <c r="E788" s="81" t="n"/>
      <c r="F788" s="78" t="n"/>
      <c r="G788" s="67">
        <f>IF($F788="","",IFERROR(INDEX(Employee_Master!$C$5:$C$204,MATCH($F788,Employee_Master!$B$5:$B$204,0)),""))</f>
        <v/>
      </c>
      <c r="H788" s="78" t="n"/>
      <c r="I788" s="78" t="n"/>
      <c r="J788" s="67">
        <f>IF($I788="","",IFERROR(INDEX(Action_Status_Map!$B$5:$B$11,MATCH($I788,Action_Status_Map!$A$5:$A$11,0)),""))</f>
        <v/>
      </c>
      <c r="K788" s="82" t="n"/>
      <c r="L788" s="82" t="n"/>
      <c r="M788" s="82" t="n"/>
      <c r="N788" s="83" t="n"/>
      <c r="O788" s="83" t="n"/>
      <c r="P788" s="66">
        <f>IF(OR($N788="",$O788=""),"",$O788-$N788)</f>
        <v/>
      </c>
      <c r="Q788" s="84">
        <f>IF($K788="","",IF($M788&lt;&gt;"",$M788-$K788,TODAY()-$K788))</f>
        <v/>
      </c>
      <c r="R788" s="85">
        <f>IF(OR($L788="",$I788="Completed",$I788="Cancelled"),"",IF(AND($L788&lt;TODAY(),$I788&lt;&gt;"Completed",$I788&lt;&gt;"Cancelled"),"Overdue","On Track"))</f>
        <v/>
      </c>
      <c r="S788" s="65">
        <f>IF($L788="","",TEXT($L788,"yyyy-mm"))</f>
        <v/>
      </c>
      <c r="T788" s="86">
        <f>IF($I788="","",IFERROR(INDEX(Action_Status_Map!$C$5:$C$11,MATCH($I788,Action_Status_Map!$A$5:$A$11,0)),""))</f>
        <v/>
      </c>
      <c r="U788" s="81" t="n"/>
      <c r="V788" s="82" t="n"/>
      <c r="W788" s="65">
        <f>IF(OR($I788&lt;&gt;"Completed",$M788="",$L788=""),"",IF($M788&lt;=$L788,"Yes","No"))</f>
        <v/>
      </c>
      <c r="X788" s="84">
        <f>IF($A788="","",COUNTIF(Task_Steps!$B$5:$B$2004,$A788))</f>
        <v/>
      </c>
      <c r="Y788" s="86">
        <f>IF($X788=0,"",COUNTIFS(Task_Steps!$B$5:$B$2004,$A788,Task_Steps!$H$5:$H$2004,"Completed")/$X788)</f>
        <v/>
      </c>
      <c r="Z788" s="81" t="n"/>
      <c r="AA788" s="81" t="n"/>
      <c r="AB788" s="67">
        <f>IF($F788="","",IFERROR(INDEX(Employee_Master!$E$5:$E$204,MATCH($F788,Employee_Master!$B$5:$B$204,0)),""))</f>
        <v/>
      </c>
      <c r="AC788" s="65">
        <f>IF(OR($A788="",$AB788=""),"",IF(OR($I788="Completed",$I788="Cancelled"),"Closed - in Manager Report","Active - in Manager Report"))</f>
        <v/>
      </c>
      <c r="AD788" s="81">
        <f>IF($A788="","",IFERROR(TEXTJOIN(", ",TRUE,FILTER(Task_Steps!$A$5:$A$2004,Task_Steps!$B$5:$B$2004=$A788)),""))</f>
        <v/>
      </c>
      <c r="AE788" s="84">
        <f>IF($A788="","",COUNTIFS(Task_Steps!$B$5:$B$2004,$A788,Task_Steps!$H$5:$H$2004,"&lt;&gt;Completed",Task_Steps!$H$5:$H$2004,"&lt;&gt;Cancelled"))</f>
        <v/>
      </c>
      <c r="AF788" s="81">
        <f>IF(OR($B788="",$A788=""),"",$B788&amp;" | "&amp;$A788)</f>
        <v/>
      </c>
    </row>
    <row r="789" ht="15" customHeight="1" s="40">
      <c r="A789" s="65">
        <f>IF(COUNTA(B789:F789)=0,"","TSK-"&amp;TEXT(ROW()-4,"0000"))</f>
        <v/>
      </c>
      <c r="B789" s="78" t="n"/>
      <c r="C789" s="78" t="n"/>
      <c r="D789" s="81" t="n"/>
      <c r="E789" s="81" t="n"/>
      <c r="F789" s="78" t="n"/>
      <c r="G789" s="67">
        <f>IF($F789="","",IFERROR(INDEX(Employee_Master!$C$5:$C$204,MATCH($F789,Employee_Master!$B$5:$B$204,0)),""))</f>
        <v/>
      </c>
      <c r="H789" s="78" t="n"/>
      <c r="I789" s="78" t="n"/>
      <c r="J789" s="67">
        <f>IF($I789="","",IFERROR(INDEX(Action_Status_Map!$B$5:$B$11,MATCH($I789,Action_Status_Map!$A$5:$A$11,0)),""))</f>
        <v/>
      </c>
      <c r="K789" s="82" t="n"/>
      <c r="L789" s="82" t="n"/>
      <c r="M789" s="82" t="n"/>
      <c r="N789" s="83" t="n"/>
      <c r="O789" s="83" t="n"/>
      <c r="P789" s="66">
        <f>IF(OR($N789="",$O789=""),"",$O789-$N789)</f>
        <v/>
      </c>
      <c r="Q789" s="84">
        <f>IF($K789="","",IF($M789&lt;&gt;"",$M789-$K789,TODAY()-$K789))</f>
        <v/>
      </c>
      <c r="R789" s="85">
        <f>IF(OR($L789="",$I789="Completed",$I789="Cancelled"),"",IF(AND($L789&lt;TODAY(),$I789&lt;&gt;"Completed",$I789&lt;&gt;"Cancelled"),"Overdue","On Track"))</f>
        <v/>
      </c>
      <c r="S789" s="65">
        <f>IF($L789="","",TEXT($L789,"yyyy-mm"))</f>
        <v/>
      </c>
      <c r="T789" s="86">
        <f>IF($I789="","",IFERROR(INDEX(Action_Status_Map!$C$5:$C$11,MATCH($I789,Action_Status_Map!$A$5:$A$11,0)),""))</f>
        <v/>
      </c>
      <c r="U789" s="81" t="n"/>
      <c r="V789" s="82" t="n"/>
      <c r="W789" s="65">
        <f>IF(OR($I789&lt;&gt;"Completed",$M789="",$L789=""),"",IF($M789&lt;=$L789,"Yes","No"))</f>
        <v/>
      </c>
      <c r="X789" s="84">
        <f>IF($A789="","",COUNTIF(Task_Steps!$B$5:$B$2004,$A789))</f>
        <v/>
      </c>
      <c r="Y789" s="86">
        <f>IF($X789=0,"",COUNTIFS(Task_Steps!$B$5:$B$2004,$A789,Task_Steps!$H$5:$H$2004,"Completed")/$X789)</f>
        <v/>
      </c>
      <c r="Z789" s="81" t="n"/>
      <c r="AA789" s="81" t="n"/>
      <c r="AB789" s="67">
        <f>IF($F789="","",IFERROR(INDEX(Employee_Master!$E$5:$E$204,MATCH($F789,Employee_Master!$B$5:$B$204,0)),""))</f>
        <v/>
      </c>
      <c r="AC789" s="65">
        <f>IF(OR($A789="",$AB789=""),"",IF(OR($I789="Completed",$I789="Cancelled"),"Closed - in Manager Report","Active - in Manager Report"))</f>
        <v/>
      </c>
      <c r="AD789" s="81">
        <f>IF($A789="","",IFERROR(TEXTJOIN(", ",TRUE,FILTER(Task_Steps!$A$5:$A$2004,Task_Steps!$B$5:$B$2004=$A789)),""))</f>
        <v/>
      </c>
      <c r="AE789" s="84">
        <f>IF($A789="","",COUNTIFS(Task_Steps!$B$5:$B$2004,$A789,Task_Steps!$H$5:$H$2004,"&lt;&gt;Completed",Task_Steps!$H$5:$H$2004,"&lt;&gt;Cancelled"))</f>
        <v/>
      </c>
      <c r="AF789" s="81">
        <f>IF(OR($B789="",$A789=""),"",$B789&amp;" | "&amp;$A789)</f>
        <v/>
      </c>
    </row>
    <row r="790" ht="15" customHeight="1" s="40">
      <c r="A790" s="65">
        <f>IF(COUNTA(B790:F790)=0,"","TSK-"&amp;TEXT(ROW()-4,"0000"))</f>
        <v/>
      </c>
      <c r="B790" s="78" t="n"/>
      <c r="C790" s="78" t="n"/>
      <c r="D790" s="81" t="n"/>
      <c r="E790" s="81" t="n"/>
      <c r="F790" s="78" t="n"/>
      <c r="G790" s="67">
        <f>IF($F790="","",IFERROR(INDEX(Employee_Master!$C$5:$C$204,MATCH($F790,Employee_Master!$B$5:$B$204,0)),""))</f>
        <v/>
      </c>
      <c r="H790" s="78" t="n"/>
      <c r="I790" s="78" t="n"/>
      <c r="J790" s="67">
        <f>IF($I790="","",IFERROR(INDEX(Action_Status_Map!$B$5:$B$11,MATCH($I790,Action_Status_Map!$A$5:$A$11,0)),""))</f>
        <v/>
      </c>
      <c r="K790" s="82" t="n"/>
      <c r="L790" s="82" t="n"/>
      <c r="M790" s="82" t="n"/>
      <c r="N790" s="83" t="n"/>
      <c r="O790" s="83" t="n"/>
      <c r="P790" s="66">
        <f>IF(OR($N790="",$O790=""),"",$O790-$N790)</f>
        <v/>
      </c>
      <c r="Q790" s="84">
        <f>IF($K790="","",IF($M790&lt;&gt;"",$M790-$K790,TODAY()-$K790))</f>
        <v/>
      </c>
      <c r="R790" s="85">
        <f>IF(OR($L790="",$I790="Completed",$I790="Cancelled"),"",IF(AND($L790&lt;TODAY(),$I790&lt;&gt;"Completed",$I790&lt;&gt;"Cancelled"),"Overdue","On Track"))</f>
        <v/>
      </c>
      <c r="S790" s="65">
        <f>IF($L790="","",TEXT($L790,"yyyy-mm"))</f>
        <v/>
      </c>
      <c r="T790" s="86">
        <f>IF($I790="","",IFERROR(INDEX(Action_Status_Map!$C$5:$C$11,MATCH($I790,Action_Status_Map!$A$5:$A$11,0)),""))</f>
        <v/>
      </c>
      <c r="U790" s="81" t="n"/>
      <c r="V790" s="82" t="n"/>
      <c r="W790" s="65">
        <f>IF(OR($I790&lt;&gt;"Completed",$M790="",$L790=""),"",IF($M790&lt;=$L790,"Yes","No"))</f>
        <v/>
      </c>
      <c r="X790" s="84">
        <f>IF($A790="","",COUNTIF(Task_Steps!$B$5:$B$2004,$A790))</f>
        <v/>
      </c>
      <c r="Y790" s="86">
        <f>IF($X790=0,"",COUNTIFS(Task_Steps!$B$5:$B$2004,$A790,Task_Steps!$H$5:$H$2004,"Completed")/$X790)</f>
        <v/>
      </c>
      <c r="Z790" s="81" t="n"/>
      <c r="AA790" s="81" t="n"/>
      <c r="AB790" s="67">
        <f>IF($F790="","",IFERROR(INDEX(Employee_Master!$E$5:$E$204,MATCH($F790,Employee_Master!$B$5:$B$204,0)),""))</f>
        <v/>
      </c>
      <c r="AC790" s="65">
        <f>IF(OR($A790="",$AB790=""),"",IF(OR($I790="Completed",$I790="Cancelled"),"Closed - in Manager Report","Active - in Manager Report"))</f>
        <v/>
      </c>
      <c r="AD790" s="81">
        <f>IF($A790="","",IFERROR(TEXTJOIN(", ",TRUE,FILTER(Task_Steps!$A$5:$A$2004,Task_Steps!$B$5:$B$2004=$A790)),""))</f>
        <v/>
      </c>
      <c r="AE790" s="84">
        <f>IF($A790="","",COUNTIFS(Task_Steps!$B$5:$B$2004,$A790,Task_Steps!$H$5:$H$2004,"&lt;&gt;Completed",Task_Steps!$H$5:$H$2004,"&lt;&gt;Cancelled"))</f>
        <v/>
      </c>
      <c r="AF790" s="81">
        <f>IF(OR($B790="",$A790=""),"",$B790&amp;" | "&amp;$A790)</f>
        <v/>
      </c>
    </row>
    <row r="791" ht="15" customHeight="1" s="40">
      <c r="A791" s="65">
        <f>IF(COUNTA(B791:F791)=0,"","TSK-"&amp;TEXT(ROW()-4,"0000"))</f>
        <v/>
      </c>
      <c r="B791" s="78" t="n"/>
      <c r="C791" s="78" t="n"/>
      <c r="D791" s="81" t="n"/>
      <c r="E791" s="81" t="n"/>
      <c r="F791" s="78" t="n"/>
      <c r="G791" s="67">
        <f>IF($F791="","",IFERROR(INDEX(Employee_Master!$C$5:$C$204,MATCH($F791,Employee_Master!$B$5:$B$204,0)),""))</f>
        <v/>
      </c>
      <c r="H791" s="78" t="n"/>
      <c r="I791" s="78" t="n"/>
      <c r="J791" s="67">
        <f>IF($I791="","",IFERROR(INDEX(Action_Status_Map!$B$5:$B$11,MATCH($I791,Action_Status_Map!$A$5:$A$11,0)),""))</f>
        <v/>
      </c>
      <c r="K791" s="82" t="n"/>
      <c r="L791" s="82" t="n"/>
      <c r="M791" s="82" t="n"/>
      <c r="N791" s="83" t="n"/>
      <c r="O791" s="83" t="n"/>
      <c r="P791" s="66">
        <f>IF(OR($N791="",$O791=""),"",$O791-$N791)</f>
        <v/>
      </c>
      <c r="Q791" s="84">
        <f>IF($K791="","",IF($M791&lt;&gt;"",$M791-$K791,TODAY()-$K791))</f>
        <v/>
      </c>
      <c r="R791" s="85">
        <f>IF(OR($L791="",$I791="Completed",$I791="Cancelled"),"",IF(AND($L791&lt;TODAY(),$I791&lt;&gt;"Completed",$I791&lt;&gt;"Cancelled"),"Overdue","On Track"))</f>
        <v/>
      </c>
      <c r="S791" s="65">
        <f>IF($L791="","",TEXT($L791,"yyyy-mm"))</f>
        <v/>
      </c>
      <c r="T791" s="86">
        <f>IF($I791="","",IFERROR(INDEX(Action_Status_Map!$C$5:$C$11,MATCH($I791,Action_Status_Map!$A$5:$A$11,0)),""))</f>
        <v/>
      </c>
      <c r="U791" s="81" t="n"/>
      <c r="V791" s="82" t="n"/>
      <c r="W791" s="65">
        <f>IF(OR($I791&lt;&gt;"Completed",$M791="",$L791=""),"",IF($M791&lt;=$L791,"Yes","No"))</f>
        <v/>
      </c>
      <c r="X791" s="84">
        <f>IF($A791="","",COUNTIF(Task_Steps!$B$5:$B$2004,$A791))</f>
        <v/>
      </c>
      <c r="Y791" s="86">
        <f>IF($X791=0,"",COUNTIFS(Task_Steps!$B$5:$B$2004,$A791,Task_Steps!$H$5:$H$2004,"Completed")/$X791)</f>
        <v/>
      </c>
      <c r="Z791" s="81" t="n"/>
      <c r="AA791" s="81" t="n"/>
      <c r="AB791" s="67">
        <f>IF($F791="","",IFERROR(INDEX(Employee_Master!$E$5:$E$204,MATCH($F791,Employee_Master!$B$5:$B$204,0)),""))</f>
        <v/>
      </c>
      <c r="AC791" s="65">
        <f>IF(OR($A791="",$AB791=""),"",IF(OR($I791="Completed",$I791="Cancelled"),"Closed - in Manager Report","Active - in Manager Report"))</f>
        <v/>
      </c>
      <c r="AD791" s="81">
        <f>IF($A791="","",IFERROR(TEXTJOIN(", ",TRUE,FILTER(Task_Steps!$A$5:$A$2004,Task_Steps!$B$5:$B$2004=$A791)),""))</f>
        <v/>
      </c>
      <c r="AE791" s="84">
        <f>IF($A791="","",COUNTIFS(Task_Steps!$B$5:$B$2004,$A791,Task_Steps!$H$5:$H$2004,"&lt;&gt;Completed",Task_Steps!$H$5:$H$2004,"&lt;&gt;Cancelled"))</f>
        <v/>
      </c>
      <c r="AF791" s="81">
        <f>IF(OR($B791="",$A791=""),"",$B791&amp;" | "&amp;$A791)</f>
        <v/>
      </c>
    </row>
    <row r="792" ht="15" customHeight="1" s="40">
      <c r="A792" s="65">
        <f>IF(COUNTA(B792:F792)=0,"","TSK-"&amp;TEXT(ROW()-4,"0000"))</f>
        <v/>
      </c>
      <c r="B792" s="78" t="n"/>
      <c r="C792" s="78" t="n"/>
      <c r="D792" s="81" t="n"/>
      <c r="E792" s="81" t="n"/>
      <c r="F792" s="78" t="n"/>
      <c r="G792" s="67">
        <f>IF($F792="","",IFERROR(INDEX(Employee_Master!$C$5:$C$204,MATCH($F792,Employee_Master!$B$5:$B$204,0)),""))</f>
        <v/>
      </c>
      <c r="H792" s="78" t="n"/>
      <c r="I792" s="78" t="n"/>
      <c r="J792" s="67">
        <f>IF($I792="","",IFERROR(INDEX(Action_Status_Map!$B$5:$B$11,MATCH($I792,Action_Status_Map!$A$5:$A$11,0)),""))</f>
        <v/>
      </c>
      <c r="K792" s="82" t="n"/>
      <c r="L792" s="82" t="n"/>
      <c r="M792" s="82" t="n"/>
      <c r="N792" s="83" t="n"/>
      <c r="O792" s="83" t="n"/>
      <c r="P792" s="66">
        <f>IF(OR($N792="",$O792=""),"",$O792-$N792)</f>
        <v/>
      </c>
      <c r="Q792" s="84">
        <f>IF($K792="","",IF($M792&lt;&gt;"",$M792-$K792,TODAY()-$K792))</f>
        <v/>
      </c>
      <c r="R792" s="85">
        <f>IF(OR($L792="",$I792="Completed",$I792="Cancelled"),"",IF(AND($L792&lt;TODAY(),$I792&lt;&gt;"Completed",$I792&lt;&gt;"Cancelled"),"Overdue","On Track"))</f>
        <v/>
      </c>
      <c r="S792" s="65">
        <f>IF($L792="","",TEXT($L792,"yyyy-mm"))</f>
        <v/>
      </c>
      <c r="T792" s="86">
        <f>IF($I792="","",IFERROR(INDEX(Action_Status_Map!$C$5:$C$11,MATCH($I792,Action_Status_Map!$A$5:$A$11,0)),""))</f>
        <v/>
      </c>
      <c r="U792" s="81" t="n"/>
      <c r="V792" s="82" t="n"/>
      <c r="W792" s="65">
        <f>IF(OR($I792&lt;&gt;"Completed",$M792="",$L792=""),"",IF($M792&lt;=$L792,"Yes","No"))</f>
        <v/>
      </c>
      <c r="X792" s="84">
        <f>IF($A792="","",COUNTIF(Task_Steps!$B$5:$B$2004,$A792))</f>
        <v/>
      </c>
      <c r="Y792" s="86">
        <f>IF($X792=0,"",COUNTIFS(Task_Steps!$B$5:$B$2004,$A792,Task_Steps!$H$5:$H$2004,"Completed")/$X792)</f>
        <v/>
      </c>
      <c r="Z792" s="81" t="n"/>
      <c r="AA792" s="81" t="n"/>
      <c r="AB792" s="67">
        <f>IF($F792="","",IFERROR(INDEX(Employee_Master!$E$5:$E$204,MATCH($F792,Employee_Master!$B$5:$B$204,0)),""))</f>
        <v/>
      </c>
      <c r="AC792" s="65">
        <f>IF(OR($A792="",$AB792=""),"",IF(OR($I792="Completed",$I792="Cancelled"),"Closed - in Manager Report","Active - in Manager Report"))</f>
        <v/>
      </c>
      <c r="AD792" s="81">
        <f>IF($A792="","",IFERROR(TEXTJOIN(", ",TRUE,FILTER(Task_Steps!$A$5:$A$2004,Task_Steps!$B$5:$B$2004=$A792)),""))</f>
        <v/>
      </c>
      <c r="AE792" s="84">
        <f>IF($A792="","",COUNTIFS(Task_Steps!$B$5:$B$2004,$A792,Task_Steps!$H$5:$H$2004,"&lt;&gt;Completed",Task_Steps!$H$5:$H$2004,"&lt;&gt;Cancelled"))</f>
        <v/>
      </c>
      <c r="AF792" s="81">
        <f>IF(OR($B792="",$A792=""),"",$B792&amp;" | "&amp;$A792)</f>
        <v/>
      </c>
    </row>
    <row r="793" ht="15" customHeight="1" s="40">
      <c r="A793" s="65">
        <f>IF(COUNTA(B793:F793)=0,"","TSK-"&amp;TEXT(ROW()-4,"0000"))</f>
        <v/>
      </c>
      <c r="B793" s="78" t="n"/>
      <c r="C793" s="78" t="n"/>
      <c r="D793" s="81" t="n"/>
      <c r="E793" s="81" t="n"/>
      <c r="F793" s="78" t="n"/>
      <c r="G793" s="67">
        <f>IF($F793="","",IFERROR(INDEX(Employee_Master!$C$5:$C$204,MATCH($F793,Employee_Master!$B$5:$B$204,0)),""))</f>
        <v/>
      </c>
      <c r="H793" s="78" t="n"/>
      <c r="I793" s="78" t="n"/>
      <c r="J793" s="67">
        <f>IF($I793="","",IFERROR(INDEX(Action_Status_Map!$B$5:$B$11,MATCH($I793,Action_Status_Map!$A$5:$A$11,0)),""))</f>
        <v/>
      </c>
      <c r="K793" s="82" t="n"/>
      <c r="L793" s="82" t="n"/>
      <c r="M793" s="82" t="n"/>
      <c r="N793" s="83" t="n"/>
      <c r="O793" s="83" t="n"/>
      <c r="P793" s="66">
        <f>IF(OR($N793="",$O793=""),"",$O793-$N793)</f>
        <v/>
      </c>
      <c r="Q793" s="84">
        <f>IF($K793="","",IF($M793&lt;&gt;"",$M793-$K793,TODAY()-$K793))</f>
        <v/>
      </c>
      <c r="R793" s="85">
        <f>IF(OR($L793="",$I793="Completed",$I793="Cancelled"),"",IF(AND($L793&lt;TODAY(),$I793&lt;&gt;"Completed",$I793&lt;&gt;"Cancelled"),"Overdue","On Track"))</f>
        <v/>
      </c>
      <c r="S793" s="65">
        <f>IF($L793="","",TEXT($L793,"yyyy-mm"))</f>
        <v/>
      </c>
      <c r="T793" s="86">
        <f>IF($I793="","",IFERROR(INDEX(Action_Status_Map!$C$5:$C$11,MATCH($I793,Action_Status_Map!$A$5:$A$11,0)),""))</f>
        <v/>
      </c>
      <c r="U793" s="81" t="n"/>
      <c r="V793" s="82" t="n"/>
      <c r="W793" s="65">
        <f>IF(OR($I793&lt;&gt;"Completed",$M793="",$L793=""),"",IF($M793&lt;=$L793,"Yes","No"))</f>
        <v/>
      </c>
      <c r="X793" s="84">
        <f>IF($A793="","",COUNTIF(Task_Steps!$B$5:$B$2004,$A793))</f>
        <v/>
      </c>
      <c r="Y793" s="86">
        <f>IF($X793=0,"",COUNTIFS(Task_Steps!$B$5:$B$2004,$A793,Task_Steps!$H$5:$H$2004,"Completed")/$X793)</f>
        <v/>
      </c>
      <c r="Z793" s="81" t="n"/>
      <c r="AA793" s="81" t="n"/>
      <c r="AB793" s="67">
        <f>IF($F793="","",IFERROR(INDEX(Employee_Master!$E$5:$E$204,MATCH($F793,Employee_Master!$B$5:$B$204,0)),""))</f>
        <v/>
      </c>
      <c r="AC793" s="65">
        <f>IF(OR($A793="",$AB793=""),"",IF(OR($I793="Completed",$I793="Cancelled"),"Closed - in Manager Report","Active - in Manager Report"))</f>
        <v/>
      </c>
      <c r="AD793" s="81">
        <f>IF($A793="","",IFERROR(TEXTJOIN(", ",TRUE,FILTER(Task_Steps!$A$5:$A$2004,Task_Steps!$B$5:$B$2004=$A793)),""))</f>
        <v/>
      </c>
      <c r="AE793" s="84">
        <f>IF($A793="","",COUNTIFS(Task_Steps!$B$5:$B$2004,$A793,Task_Steps!$H$5:$H$2004,"&lt;&gt;Completed",Task_Steps!$H$5:$H$2004,"&lt;&gt;Cancelled"))</f>
        <v/>
      </c>
      <c r="AF793" s="81">
        <f>IF(OR($B793="",$A793=""),"",$B793&amp;" | "&amp;$A793)</f>
        <v/>
      </c>
    </row>
    <row r="794" ht="15" customHeight="1" s="40">
      <c r="A794" s="65">
        <f>IF(COUNTA(B794:F794)=0,"","TSK-"&amp;TEXT(ROW()-4,"0000"))</f>
        <v/>
      </c>
      <c r="B794" s="78" t="n"/>
      <c r="C794" s="78" t="n"/>
      <c r="D794" s="81" t="n"/>
      <c r="E794" s="81" t="n"/>
      <c r="F794" s="78" t="n"/>
      <c r="G794" s="67">
        <f>IF($F794="","",IFERROR(INDEX(Employee_Master!$C$5:$C$204,MATCH($F794,Employee_Master!$B$5:$B$204,0)),""))</f>
        <v/>
      </c>
      <c r="H794" s="78" t="n"/>
      <c r="I794" s="78" t="n"/>
      <c r="J794" s="67">
        <f>IF($I794="","",IFERROR(INDEX(Action_Status_Map!$B$5:$B$11,MATCH($I794,Action_Status_Map!$A$5:$A$11,0)),""))</f>
        <v/>
      </c>
      <c r="K794" s="82" t="n"/>
      <c r="L794" s="82" t="n"/>
      <c r="M794" s="82" t="n"/>
      <c r="N794" s="83" t="n"/>
      <c r="O794" s="83" t="n"/>
      <c r="P794" s="66">
        <f>IF(OR($N794="",$O794=""),"",$O794-$N794)</f>
        <v/>
      </c>
      <c r="Q794" s="84">
        <f>IF($K794="","",IF($M794&lt;&gt;"",$M794-$K794,TODAY()-$K794))</f>
        <v/>
      </c>
      <c r="R794" s="85">
        <f>IF(OR($L794="",$I794="Completed",$I794="Cancelled"),"",IF(AND($L794&lt;TODAY(),$I794&lt;&gt;"Completed",$I794&lt;&gt;"Cancelled"),"Overdue","On Track"))</f>
        <v/>
      </c>
      <c r="S794" s="65">
        <f>IF($L794="","",TEXT($L794,"yyyy-mm"))</f>
        <v/>
      </c>
      <c r="T794" s="86">
        <f>IF($I794="","",IFERROR(INDEX(Action_Status_Map!$C$5:$C$11,MATCH($I794,Action_Status_Map!$A$5:$A$11,0)),""))</f>
        <v/>
      </c>
      <c r="U794" s="81" t="n"/>
      <c r="V794" s="82" t="n"/>
      <c r="W794" s="65">
        <f>IF(OR($I794&lt;&gt;"Completed",$M794="",$L794=""),"",IF($M794&lt;=$L794,"Yes","No"))</f>
        <v/>
      </c>
      <c r="X794" s="84">
        <f>IF($A794="","",COUNTIF(Task_Steps!$B$5:$B$2004,$A794))</f>
        <v/>
      </c>
      <c r="Y794" s="86">
        <f>IF($X794=0,"",COUNTIFS(Task_Steps!$B$5:$B$2004,$A794,Task_Steps!$H$5:$H$2004,"Completed")/$X794)</f>
        <v/>
      </c>
      <c r="Z794" s="81" t="n"/>
      <c r="AA794" s="81" t="n"/>
      <c r="AB794" s="67">
        <f>IF($F794="","",IFERROR(INDEX(Employee_Master!$E$5:$E$204,MATCH($F794,Employee_Master!$B$5:$B$204,0)),""))</f>
        <v/>
      </c>
      <c r="AC794" s="65">
        <f>IF(OR($A794="",$AB794=""),"",IF(OR($I794="Completed",$I794="Cancelled"),"Closed - in Manager Report","Active - in Manager Report"))</f>
        <v/>
      </c>
      <c r="AD794" s="81">
        <f>IF($A794="","",IFERROR(TEXTJOIN(", ",TRUE,FILTER(Task_Steps!$A$5:$A$2004,Task_Steps!$B$5:$B$2004=$A794)),""))</f>
        <v/>
      </c>
      <c r="AE794" s="84">
        <f>IF($A794="","",COUNTIFS(Task_Steps!$B$5:$B$2004,$A794,Task_Steps!$H$5:$H$2004,"&lt;&gt;Completed",Task_Steps!$H$5:$H$2004,"&lt;&gt;Cancelled"))</f>
        <v/>
      </c>
      <c r="AF794" s="81">
        <f>IF(OR($B794="",$A794=""),"",$B794&amp;" | "&amp;$A794)</f>
        <v/>
      </c>
    </row>
    <row r="795" ht="15" customHeight="1" s="40">
      <c r="A795" s="65">
        <f>IF(COUNTA(B795:F795)=0,"","TSK-"&amp;TEXT(ROW()-4,"0000"))</f>
        <v/>
      </c>
      <c r="B795" s="78" t="n"/>
      <c r="C795" s="78" t="n"/>
      <c r="D795" s="81" t="n"/>
      <c r="E795" s="81" t="n"/>
      <c r="F795" s="78" t="n"/>
      <c r="G795" s="67">
        <f>IF($F795="","",IFERROR(INDEX(Employee_Master!$C$5:$C$204,MATCH($F795,Employee_Master!$B$5:$B$204,0)),""))</f>
        <v/>
      </c>
      <c r="H795" s="78" t="n"/>
      <c r="I795" s="78" t="n"/>
      <c r="J795" s="67">
        <f>IF($I795="","",IFERROR(INDEX(Action_Status_Map!$B$5:$B$11,MATCH($I795,Action_Status_Map!$A$5:$A$11,0)),""))</f>
        <v/>
      </c>
      <c r="K795" s="82" t="n"/>
      <c r="L795" s="82" t="n"/>
      <c r="M795" s="82" t="n"/>
      <c r="N795" s="83" t="n"/>
      <c r="O795" s="83" t="n"/>
      <c r="P795" s="66">
        <f>IF(OR($N795="",$O795=""),"",$O795-$N795)</f>
        <v/>
      </c>
      <c r="Q795" s="84">
        <f>IF($K795="","",IF($M795&lt;&gt;"",$M795-$K795,TODAY()-$K795))</f>
        <v/>
      </c>
      <c r="R795" s="85">
        <f>IF(OR($L795="",$I795="Completed",$I795="Cancelled"),"",IF(AND($L795&lt;TODAY(),$I795&lt;&gt;"Completed",$I795&lt;&gt;"Cancelled"),"Overdue","On Track"))</f>
        <v/>
      </c>
      <c r="S795" s="65">
        <f>IF($L795="","",TEXT($L795,"yyyy-mm"))</f>
        <v/>
      </c>
      <c r="T795" s="86">
        <f>IF($I795="","",IFERROR(INDEX(Action_Status_Map!$C$5:$C$11,MATCH($I795,Action_Status_Map!$A$5:$A$11,0)),""))</f>
        <v/>
      </c>
      <c r="U795" s="81" t="n"/>
      <c r="V795" s="82" t="n"/>
      <c r="W795" s="65">
        <f>IF(OR($I795&lt;&gt;"Completed",$M795="",$L795=""),"",IF($M795&lt;=$L795,"Yes","No"))</f>
        <v/>
      </c>
      <c r="X795" s="84">
        <f>IF($A795="","",COUNTIF(Task_Steps!$B$5:$B$2004,$A795))</f>
        <v/>
      </c>
      <c r="Y795" s="86">
        <f>IF($X795=0,"",COUNTIFS(Task_Steps!$B$5:$B$2004,$A795,Task_Steps!$H$5:$H$2004,"Completed")/$X795)</f>
        <v/>
      </c>
      <c r="Z795" s="81" t="n"/>
      <c r="AA795" s="81" t="n"/>
      <c r="AB795" s="67">
        <f>IF($F795="","",IFERROR(INDEX(Employee_Master!$E$5:$E$204,MATCH($F795,Employee_Master!$B$5:$B$204,0)),""))</f>
        <v/>
      </c>
      <c r="AC795" s="65">
        <f>IF(OR($A795="",$AB795=""),"",IF(OR($I795="Completed",$I795="Cancelled"),"Closed - in Manager Report","Active - in Manager Report"))</f>
        <v/>
      </c>
      <c r="AD795" s="81">
        <f>IF($A795="","",IFERROR(TEXTJOIN(", ",TRUE,FILTER(Task_Steps!$A$5:$A$2004,Task_Steps!$B$5:$B$2004=$A795)),""))</f>
        <v/>
      </c>
      <c r="AE795" s="84">
        <f>IF($A795="","",COUNTIFS(Task_Steps!$B$5:$B$2004,$A795,Task_Steps!$H$5:$H$2004,"&lt;&gt;Completed",Task_Steps!$H$5:$H$2004,"&lt;&gt;Cancelled"))</f>
        <v/>
      </c>
      <c r="AF795" s="81">
        <f>IF(OR($B795="",$A795=""),"",$B795&amp;" | "&amp;$A795)</f>
        <v/>
      </c>
    </row>
    <row r="796" ht="15" customHeight="1" s="40">
      <c r="A796" s="65">
        <f>IF(COUNTA(B796:F796)=0,"","TSK-"&amp;TEXT(ROW()-4,"0000"))</f>
        <v/>
      </c>
      <c r="B796" s="78" t="n"/>
      <c r="C796" s="78" t="n"/>
      <c r="D796" s="81" t="n"/>
      <c r="E796" s="81" t="n"/>
      <c r="F796" s="78" t="n"/>
      <c r="G796" s="67">
        <f>IF($F796="","",IFERROR(INDEX(Employee_Master!$C$5:$C$204,MATCH($F796,Employee_Master!$B$5:$B$204,0)),""))</f>
        <v/>
      </c>
      <c r="H796" s="78" t="n"/>
      <c r="I796" s="78" t="n"/>
      <c r="J796" s="67">
        <f>IF($I796="","",IFERROR(INDEX(Action_Status_Map!$B$5:$B$11,MATCH($I796,Action_Status_Map!$A$5:$A$11,0)),""))</f>
        <v/>
      </c>
      <c r="K796" s="82" t="n"/>
      <c r="L796" s="82" t="n"/>
      <c r="M796" s="82" t="n"/>
      <c r="N796" s="83" t="n"/>
      <c r="O796" s="83" t="n"/>
      <c r="P796" s="66">
        <f>IF(OR($N796="",$O796=""),"",$O796-$N796)</f>
        <v/>
      </c>
      <c r="Q796" s="84">
        <f>IF($K796="","",IF($M796&lt;&gt;"",$M796-$K796,TODAY()-$K796))</f>
        <v/>
      </c>
      <c r="R796" s="85">
        <f>IF(OR($L796="",$I796="Completed",$I796="Cancelled"),"",IF(AND($L796&lt;TODAY(),$I796&lt;&gt;"Completed",$I796&lt;&gt;"Cancelled"),"Overdue","On Track"))</f>
        <v/>
      </c>
      <c r="S796" s="65">
        <f>IF($L796="","",TEXT($L796,"yyyy-mm"))</f>
        <v/>
      </c>
      <c r="T796" s="86">
        <f>IF($I796="","",IFERROR(INDEX(Action_Status_Map!$C$5:$C$11,MATCH($I796,Action_Status_Map!$A$5:$A$11,0)),""))</f>
        <v/>
      </c>
      <c r="U796" s="81" t="n"/>
      <c r="V796" s="82" t="n"/>
      <c r="W796" s="65">
        <f>IF(OR($I796&lt;&gt;"Completed",$M796="",$L796=""),"",IF($M796&lt;=$L796,"Yes","No"))</f>
        <v/>
      </c>
      <c r="X796" s="84">
        <f>IF($A796="","",COUNTIF(Task_Steps!$B$5:$B$2004,$A796))</f>
        <v/>
      </c>
      <c r="Y796" s="86">
        <f>IF($X796=0,"",COUNTIFS(Task_Steps!$B$5:$B$2004,$A796,Task_Steps!$H$5:$H$2004,"Completed")/$X796)</f>
        <v/>
      </c>
      <c r="Z796" s="81" t="n"/>
      <c r="AA796" s="81" t="n"/>
      <c r="AB796" s="67">
        <f>IF($F796="","",IFERROR(INDEX(Employee_Master!$E$5:$E$204,MATCH($F796,Employee_Master!$B$5:$B$204,0)),""))</f>
        <v/>
      </c>
      <c r="AC796" s="65">
        <f>IF(OR($A796="",$AB796=""),"",IF(OR($I796="Completed",$I796="Cancelled"),"Closed - in Manager Report","Active - in Manager Report"))</f>
        <v/>
      </c>
      <c r="AD796" s="81">
        <f>IF($A796="","",IFERROR(TEXTJOIN(", ",TRUE,FILTER(Task_Steps!$A$5:$A$2004,Task_Steps!$B$5:$B$2004=$A796)),""))</f>
        <v/>
      </c>
      <c r="AE796" s="84">
        <f>IF($A796="","",COUNTIFS(Task_Steps!$B$5:$B$2004,$A796,Task_Steps!$H$5:$H$2004,"&lt;&gt;Completed",Task_Steps!$H$5:$H$2004,"&lt;&gt;Cancelled"))</f>
        <v/>
      </c>
      <c r="AF796" s="81">
        <f>IF(OR($B796="",$A796=""),"",$B796&amp;" | "&amp;$A796)</f>
        <v/>
      </c>
    </row>
    <row r="797" ht="15" customHeight="1" s="40">
      <c r="A797" s="65">
        <f>IF(COUNTA(B797:F797)=0,"","TSK-"&amp;TEXT(ROW()-4,"0000"))</f>
        <v/>
      </c>
      <c r="B797" s="78" t="n"/>
      <c r="C797" s="78" t="n"/>
      <c r="D797" s="81" t="n"/>
      <c r="E797" s="81" t="n"/>
      <c r="F797" s="78" t="n"/>
      <c r="G797" s="67">
        <f>IF($F797="","",IFERROR(INDEX(Employee_Master!$C$5:$C$204,MATCH($F797,Employee_Master!$B$5:$B$204,0)),""))</f>
        <v/>
      </c>
      <c r="H797" s="78" t="n"/>
      <c r="I797" s="78" t="n"/>
      <c r="J797" s="67">
        <f>IF($I797="","",IFERROR(INDEX(Action_Status_Map!$B$5:$B$11,MATCH($I797,Action_Status_Map!$A$5:$A$11,0)),""))</f>
        <v/>
      </c>
      <c r="K797" s="82" t="n"/>
      <c r="L797" s="82" t="n"/>
      <c r="M797" s="82" t="n"/>
      <c r="N797" s="83" t="n"/>
      <c r="O797" s="83" t="n"/>
      <c r="P797" s="66">
        <f>IF(OR($N797="",$O797=""),"",$O797-$N797)</f>
        <v/>
      </c>
      <c r="Q797" s="84">
        <f>IF($K797="","",IF($M797&lt;&gt;"",$M797-$K797,TODAY()-$K797))</f>
        <v/>
      </c>
      <c r="R797" s="85">
        <f>IF(OR($L797="",$I797="Completed",$I797="Cancelled"),"",IF(AND($L797&lt;TODAY(),$I797&lt;&gt;"Completed",$I797&lt;&gt;"Cancelled"),"Overdue","On Track"))</f>
        <v/>
      </c>
      <c r="S797" s="65">
        <f>IF($L797="","",TEXT($L797,"yyyy-mm"))</f>
        <v/>
      </c>
      <c r="T797" s="86">
        <f>IF($I797="","",IFERROR(INDEX(Action_Status_Map!$C$5:$C$11,MATCH($I797,Action_Status_Map!$A$5:$A$11,0)),""))</f>
        <v/>
      </c>
      <c r="U797" s="81" t="n"/>
      <c r="V797" s="82" t="n"/>
      <c r="W797" s="65">
        <f>IF(OR($I797&lt;&gt;"Completed",$M797="",$L797=""),"",IF($M797&lt;=$L797,"Yes","No"))</f>
        <v/>
      </c>
      <c r="X797" s="84">
        <f>IF($A797="","",COUNTIF(Task_Steps!$B$5:$B$2004,$A797))</f>
        <v/>
      </c>
      <c r="Y797" s="86">
        <f>IF($X797=0,"",COUNTIFS(Task_Steps!$B$5:$B$2004,$A797,Task_Steps!$H$5:$H$2004,"Completed")/$X797)</f>
        <v/>
      </c>
      <c r="Z797" s="81" t="n"/>
      <c r="AA797" s="81" t="n"/>
      <c r="AB797" s="67">
        <f>IF($F797="","",IFERROR(INDEX(Employee_Master!$E$5:$E$204,MATCH($F797,Employee_Master!$B$5:$B$204,0)),""))</f>
        <v/>
      </c>
      <c r="AC797" s="65">
        <f>IF(OR($A797="",$AB797=""),"",IF(OR($I797="Completed",$I797="Cancelled"),"Closed - in Manager Report","Active - in Manager Report"))</f>
        <v/>
      </c>
      <c r="AD797" s="81">
        <f>IF($A797="","",IFERROR(TEXTJOIN(", ",TRUE,FILTER(Task_Steps!$A$5:$A$2004,Task_Steps!$B$5:$B$2004=$A797)),""))</f>
        <v/>
      </c>
      <c r="AE797" s="84">
        <f>IF($A797="","",COUNTIFS(Task_Steps!$B$5:$B$2004,$A797,Task_Steps!$H$5:$H$2004,"&lt;&gt;Completed",Task_Steps!$H$5:$H$2004,"&lt;&gt;Cancelled"))</f>
        <v/>
      </c>
      <c r="AF797" s="81">
        <f>IF(OR($B797="",$A797=""),"",$B797&amp;" | "&amp;$A797)</f>
        <v/>
      </c>
    </row>
    <row r="798" ht="15" customHeight="1" s="40">
      <c r="A798" s="65">
        <f>IF(COUNTA(B798:F798)=0,"","TSK-"&amp;TEXT(ROW()-4,"0000"))</f>
        <v/>
      </c>
      <c r="B798" s="78" t="n"/>
      <c r="C798" s="78" t="n"/>
      <c r="D798" s="81" t="n"/>
      <c r="E798" s="81" t="n"/>
      <c r="F798" s="78" t="n"/>
      <c r="G798" s="67">
        <f>IF($F798="","",IFERROR(INDEX(Employee_Master!$C$5:$C$204,MATCH($F798,Employee_Master!$B$5:$B$204,0)),""))</f>
        <v/>
      </c>
      <c r="H798" s="78" t="n"/>
      <c r="I798" s="78" t="n"/>
      <c r="J798" s="67">
        <f>IF($I798="","",IFERROR(INDEX(Action_Status_Map!$B$5:$B$11,MATCH($I798,Action_Status_Map!$A$5:$A$11,0)),""))</f>
        <v/>
      </c>
      <c r="K798" s="82" t="n"/>
      <c r="L798" s="82" t="n"/>
      <c r="M798" s="82" t="n"/>
      <c r="N798" s="83" t="n"/>
      <c r="O798" s="83" t="n"/>
      <c r="P798" s="66">
        <f>IF(OR($N798="",$O798=""),"",$O798-$N798)</f>
        <v/>
      </c>
      <c r="Q798" s="84">
        <f>IF($K798="","",IF($M798&lt;&gt;"",$M798-$K798,TODAY()-$K798))</f>
        <v/>
      </c>
      <c r="R798" s="85">
        <f>IF(OR($L798="",$I798="Completed",$I798="Cancelled"),"",IF(AND($L798&lt;TODAY(),$I798&lt;&gt;"Completed",$I798&lt;&gt;"Cancelled"),"Overdue","On Track"))</f>
        <v/>
      </c>
      <c r="S798" s="65">
        <f>IF($L798="","",TEXT($L798,"yyyy-mm"))</f>
        <v/>
      </c>
      <c r="T798" s="86">
        <f>IF($I798="","",IFERROR(INDEX(Action_Status_Map!$C$5:$C$11,MATCH($I798,Action_Status_Map!$A$5:$A$11,0)),""))</f>
        <v/>
      </c>
      <c r="U798" s="81" t="n"/>
      <c r="V798" s="82" t="n"/>
      <c r="W798" s="65">
        <f>IF(OR($I798&lt;&gt;"Completed",$M798="",$L798=""),"",IF($M798&lt;=$L798,"Yes","No"))</f>
        <v/>
      </c>
      <c r="X798" s="84">
        <f>IF($A798="","",COUNTIF(Task_Steps!$B$5:$B$2004,$A798))</f>
        <v/>
      </c>
      <c r="Y798" s="86">
        <f>IF($X798=0,"",COUNTIFS(Task_Steps!$B$5:$B$2004,$A798,Task_Steps!$H$5:$H$2004,"Completed")/$X798)</f>
        <v/>
      </c>
      <c r="Z798" s="81" t="n"/>
      <c r="AA798" s="81" t="n"/>
      <c r="AB798" s="67">
        <f>IF($F798="","",IFERROR(INDEX(Employee_Master!$E$5:$E$204,MATCH($F798,Employee_Master!$B$5:$B$204,0)),""))</f>
        <v/>
      </c>
      <c r="AC798" s="65">
        <f>IF(OR($A798="",$AB798=""),"",IF(OR($I798="Completed",$I798="Cancelled"),"Closed - in Manager Report","Active - in Manager Report"))</f>
        <v/>
      </c>
      <c r="AD798" s="81">
        <f>IF($A798="","",IFERROR(TEXTJOIN(", ",TRUE,FILTER(Task_Steps!$A$5:$A$2004,Task_Steps!$B$5:$B$2004=$A798)),""))</f>
        <v/>
      </c>
      <c r="AE798" s="84">
        <f>IF($A798="","",COUNTIFS(Task_Steps!$B$5:$B$2004,$A798,Task_Steps!$H$5:$H$2004,"&lt;&gt;Completed",Task_Steps!$H$5:$H$2004,"&lt;&gt;Cancelled"))</f>
        <v/>
      </c>
      <c r="AF798" s="81">
        <f>IF(OR($B798="",$A798=""),"",$B798&amp;" | "&amp;$A798)</f>
        <v/>
      </c>
    </row>
    <row r="799" ht="15" customHeight="1" s="40">
      <c r="A799" s="65">
        <f>IF(COUNTA(B799:F799)=0,"","TSK-"&amp;TEXT(ROW()-4,"0000"))</f>
        <v/>
      </c>
      <c r="B799" s="78" t="n"/>
      <c r="C799" s="78" t="n"/>
      <c r="D799" s="81" t="n"/>
      <c r="E799" s="81" t="n"/>
      <c r="F799" s="78" t="n"/>
      <c r="G799" s="67">
        <f>IF($F799="","",IFERROR(INDEX(Employee_Master!$C$5:$C$204,MATCH($F799,Employee_Master!$B$5:$B$204,0)),""))</f>
        <v/>
      </c>
      <c r="H799" s="78" t="n"/>
      <c r="I799" s="78" t="n"/>
      <c r="J799" s="67">
        <f>IF($I799="","",IFERROR(INDEX(Action_Status_Map!$B$5:$B$11,MATCH($I799,Action_Status_Map!$A$5:$A$11,0)),""))</f>
        <v/>
      </c>
      <c r="K799" s="82" t="n"/>
      <c r="L799" s="82" t="n"/>
      <c r="M799" s="82" t="n"/>
      <c r="N799" s="83" t="n"/>
      <c r="O799" s="83" t="n"/>
      <c r="P799" s="66">
        <f>IF(OR($N799="",$O799=""),"",$O799-$N799)</f>
        <v/>
      </c>
      <c r="Q799" s="84">
        <f>IF($K799="","",IF($M799&lt;&gt;"",$M799-$K799,TODAY()-$K799))</f>
        <v/>
      </c>
      <c r="R799" s="85">
        <f>IF(OR($L799="",$I799="Completed",$I799="Cancelled"),"",IF(AND($L799&lt;TODAY(),$I799&lt;&gt;"Completed",$I799&lt;&gt;"Cancelled"),"Overdue","On Track"))</f>
        <v/>
      </c>
      <c r="S799" s="65">
        <f>IF($L799="","",TEXT($L799,"yyyy-mm"))</f>
        <v/>
      </c>
      <c r="T799" s="86">
        <f>IF($I799="","",IFERROR(INDEX(Action_Status_Map!$C$5:$C$11,MATCH($I799,Action_Status_Map!$A$5:$A$11,0)),""))</f>
        <v/>
      </c>
      <c r="U799" s="81" t="n"/>
      <c r="V799" s="82" t="n"/>
      <c r="W799" s="65">
        <f>IF(OR($I799&lt;&gt;"Completed",$M799="",$L799=""),"",IF($M799&lt;=$L799,"Yes","No"))</f>
        <v/>
      </c>
      <c r="X799" s="84">
        <f>IF($A799="","",COUNTIF(Task_Steps!$B$5:$B$2004,$A799))</f>
        <v/>
      </c>
      <c r="Y799" s="86">
        <f>IF($X799=0,"",COUNTIFS(Task_Steps!$B$5:$B$2004,$A799,Task_Steps!$H$5:$H$2004,"Completed")/$X799)</f>
        <v/>
      </c>
      <c r="Z799" s="81" t="n"/>
      <c r="AA799" s="81" t="n"/>
      <c r="AB799" s="67">
        <f>IF($F799="","",IFERROR(INDEX(Employee_Master!$E$5:$E$204,MATCH($F799,Employee_Master!$B$5:$B$204,0)),""))</f>
        <v/>
      </c>
      <c r="AC799" s="65">
        <f>IF(OR($A799="",$AB799=""),"",IF(OR($I799="Completed",$I799="Cancelled"),"Closed - in Manager Report","Active - in Manager Report"))</f>
        <v/>
      </c>
      <c r="AD799" s="81">
        <f>IF($A799="","",IFERROR(TEXTJOIN(", ",TRUE,FILTER(Task_Steps!$A$5:$A$2004,Task_Steps!$B$5:$B$2004=$A799)),""))</f>
        <v/>
      </c>
      <c r="AE799" s="84">
        <f>IF($A799="","",COUNTIFS(Task_Steps!$B$5:$B$2004,$A799,Task_Steps!$H$5:$H$2004,"&lt;&gt;Completed",Task_Steps!$H$5:$H$2004,"&lt;&gt;Cancelled"))</f>
        <v/>
      </c>
      <c r="AF799" s="81">
        <f>IF(OR($B799="",$A799=""),"",$B799&amp;" | "&amp;$A799)</f>
        <v/>
      </c>
    </row>
    <row r="800" ht="15" customHeight="1" s="40">
      <c r="A800" s="65">
        <f>IF(COUNTA(B800:F800)=0,"","TSK-"&amp;TEXT(ROW()-4,"0000"))</f>
        <v/>
      </c>
      <c r="B800" s="78" t="n"/>
      <c r="C800" s="78" t="n"/>
      <c r="D800" s="81" t="n"/>
      <c r="E800" s="81" t="n"/>
      <c r="F800" s="78" t="n"/>
      <c r="G800" s="67">
        <f>IF($F800="","",IFERROR(INDEX(Employee_Master!$C$5:$C$204,MATCH($F800,Employee_Master!$B$5:$B$204,0)),""))</f>
        <v/>
      </c>
      <c r="H800" s="78" t="n"/>
      <c r="I800" s="78" t="n"/>
      <c r="J800" s="67">
        <f>IF($I800="","",IFERROR(INDEX(Action_Status_Map!$B$5:$B$11,MATCH($I800,Action_Status_Map!$A$5:$A$11,0)),""))</f>
        <v/>
      </c>
      <c r="K800" s="82" t="n"/>
      <c r="L800" s="82" t="n"/>
      <c r="M800" s="82" t="n"/>
      <c r="N800" s="83" t="n"/>
      <c r="O800" s="83" t="n"/>
      <c r="P800" s="66">
        <f>IF(OR($N800="",$O800=""),"",$O800-$N800)</f>
        <v/>
      </c>
      <c r="Q800" s="84">
        <f>IF($K800="","",IF($M800&lt;&gt;"",$M800-$K800,TODAY()-$K800))</f>
        <v/>
      </c>
      <c r="R800" s="85">
        <f>IF(OR($L800="",$I800="Completed",$I800="Cancelled"),"",IF(AND($L800&lt;TODAY(),$I800&lt;&gt;"Completed",$I800&lt;&gt;"Cancelled"),"Overdue","On Track"))</f>
        <v/>
      </c>
      <c r="S800" s="65">
        <f>IF($L800="","",TEXT($L800,"yyyy-mm"))</f>
        <v/>
      </c>
      <c r="T800" s="86">
        <f>IF($I800="","",IFERROR(INDEX(Action_Status_Map!$C$5:$C$11,MATCH($I800,Action_Status_Map!$A$5:$A$11,0)),""))</f>
        <v/>
      </c>
      <c r="U800" s="81" t="n"/>
      <c r="V800" s="82" t="n"/>
      <c r="W800" s="65">
        <f>IF(OR($I800&lt;&gt;"Completed",$M800="",$L800=""),"",IF($M800&lt;=$L800,"Yes","No"))</f>
        <v/>
      </c>
      <c r="X800" s="84">
        <f>IF($A800="","",COUNTIF(Task_Steps!$B$5:$B$2004,$A800))</f>
        <v/>
      </c>
      <c r="Y800" s="86">
        <f>IF($X800=0,"",COUNTIFS(Task_Steps!$B$5:$B$2004,$A800,Task_Steps!$H$5:$H$2004,"Completed")/$X800)</f>
        <v/>
      </c>
      <c r="Z800" s="81" t="n"/>
      <c r="AA800" s="81" t="n"/>
      <c r="AB800" s="67">
        <f>IF($F800="","",IFERROR(INDEX(Employee_Master!$E$5:$E$204,MATCH($F800,Employee_Master!$B$5:$B$204,0)),""))</f>
        <v/>
      </c>
      <c r="AC800" s="65">
        <f>IF(OR($A800="",$AB800=""),"",IF(OR($I800="Completed",$I800="Cancelled"),"Closed - in Manager Report","Active - in Manager Report"))</f>
        <v/>
      </c>
      <c r="AD800" s="81">
        <f>IF($A800="","",IFERROR(TEXTJOIN(", ",TRUE,FILTER(Task_Steps!$A$5:$A$2004,Task_Steps!$B$5:$B$2004=$A800)),""))</f>
        <v/>
      </c>
      <c r="AE800" s="84">
        <f>IF($A800="","",COUNTIFS(Task_Steps!$B$5:$B$2004,$A800,Task_Steps!$H$5:$H$2004,"&lt;&gt;Completed",Task_Steps!$H$5:$H$2004,"&lt;&gt;Cancelled"))</f>
        <v/>
      </c>
      <c r="AF800" s="81">
        <f>IF(OR($B800="",$A800=""),"",$B800&amp;" | "&amp;$A800)</f>
        <v/>
      </c>
    </row>
    <row r="801" ht="15" customHeight="1" s="40">
      <c r="A801" s="65">
        <f>IF(COUNTA(B801:F801)=0,"","TSK-"&amp;TEXT(ROW()-4,"0000"))</f>
        <v/>
      </c>
      <c r="B801" s="78" t="n"/>
      <c r="C801" s="78" t="n"/>
      <c r="D801" s="81" t="n"/>
      <c r="E801" s="81" t="n"/>
      <c r="F801" s="78" t="n"/>
      <c r="G801" s="67">
        <f>IF($F801="","",IFERROR(INDEX(Employee_Master!$C$5:$C$204,MATCH($F801,Employee_Master!$B$5:$B$204,0)),""))</f>
        <v/>
      </c>
      <c r="H801" s="78" t="n"/>
      <c r="I801" s="78" t="n"/>
      <c r="J801" s="67">
        <f>IF($I801="","",IFERROR(INDEX(Action_Status_Map!$B$5:$B$11,MATCH($I801,Action_Status_Map!$A$5:$A$11,0)),""))</f>
        <v/>
      </c>
      <c r="K801" s="82" t="n"/>
      <c r="L801" s="82" t="n"/>
      <c r="M801" s="82" t="n"/>
      <c r="N801" s="83" t="n"/>
      <c r="O801" s="83" t="n"/>
      <c r="P801" s="66">
        <f>IF(OR($N801="",$O801=""),"",$O801-$N801)</f>
        <v/>
      </c>
      <c r="Q801" s="84">
        <f>IF($K801="","",IF($M801&lt;&gt;"",$M801-$K801,TODAY()-$K801))</f>
        <v/>
      </c>
      <c r="R801" s="85">
        <f>IF(OR($L801="",$I801="Completed",$I801="Cancelled"),"",IF(AND($L801&lt;TODAY(),$I801&lt;&gt;"Completed",$I801&lt;&gt;"Cancelled"),"Overdue","On Track"))</f>
        <v/>
      </c>
      <c r="S801" s="65">
        <f>IF($L801="","",TEXT($L801,"yyyy-mm"))</f>
        <v/>
      </c>
      <c r="T801" s="86">
        <f>IF($I801="","",IFERROR(INDEX(Action_Status_Map!$C$5:$C$11,MATCH($I801,Action_Status_Map!$A$5:$A$11,0)),""))</f>
        <v/>
      </c>
      <c r="U801" s="81" t="n"/>
      <c r="V801" s="82" t="n"/>
      <c r="W801" s="65">
        <f>IF(OR($I801&lt;&gt;"Completed",$M801="",$L801=""),"",IF($M801&lt;=$L801,"Yes","No"))</f>
        <v/>
      </c>
      <c r="X801" s="84">
        <f>IF($A801="","",COUNTIF(Task_Steps!$B$5:$B$2004,$A801))</f>
        <v/>
      </c>
      <c r="Y801" s="86">
        <f>IF($X801=0,"",COUNTIFS(Task_Steps!$B$5:$B$2004,$A801,Task_Steps!$H$5:$H$2004,"Completed")/$X801)</f>
        <v/>
      </c>
      <c r="Z801" s="81" t="n"/>
      <c r="AA801" s="81" t="n"/>
      <c r="AB801" s="67">
        <f>IF($F801="","",IFERROR(INDEX(Employee_Master!$E$5:$E$204,MATCH($F801,Employee_Master!$B$5:$B$204,0)),""))</f>
        <v/>
      </c>
      <c r="AC801" s="65">
        <f>IF(OR($A801="",$AB801=""),"",IF(OR($I801="Completed",$I801="Cancelled"),"Closed - in Manager Report","Active - in Manager Report"))</f>
        <v/>
      </c>
      <c r="AD801" s="81">
        <f>IF($A801="","",IFERROR(TEXTJOIN(", ",TRUE,FILTER(Task_Steps!$A$5:$A$2004,Task_Steps!$B$5:$B$2004=$A801)),""))</f>
        <v/>
      </c>
      <c r="AE801" s="84">
        <f>IF($A801="","",COUNTIFS(Task_Steps!$B$5:$B$2004,$A801,Task_Steps!$H$5:$H$2004,"&lt;&gt;Completed",Task_Steps!$H$5:$H$2004,"&lt;&gt;Cancelled"))</f>
        <v/>
      </c>
      <c r="AF801" s="81">
        <f>IF(OR($B801="",$A801=""),"",$B801&amp;" | "&amp;$A801)</f>
        <v/>
      </c>
    </row>
    <row r="802" ht="15" customHeight="1" s="40">
      <c r="A802" s="65">
        <f>IF(COUNTA(B802:F802)=0,"","TSK-"&amp;TEXT(ROW()-4,"0000"))</f>
        <v/>
      </c>
      <c r="B802" s="78" t="n"/>
      <c r="C802" s="78" t="n"/>
      <c r="D802" s="81" t="n"/>
      <c r="E802" s="81" t="n"/>
      <c r="F802" s="78" t="n"/>
      <c r="G802" s="67">
        <f>IF($F802="","",IFERROR(INDEX(Employee_Master!$C$5:$C$204,MATCH($F802,Employee_Master!$B$5:$B$204,0)),""))</f>
        <v/>
      </c>
      <c r="H802" s="78" t="n"/>
      <c r="I802" s="78" t="n"/>
      <c r="J802" s="67">
        <f>IF($I802="","",IFERROR(INDEX(Action_Status_Map!$B$5:$B$11,MATCH($I802,Action_Status_Map!$A$5:$A$11,0)),""))</f>
        <v/>
      </c>
      <c r="K802" s="82" t="n"/>
      <c r="L802" s="82" t="n"/>
      <c r="M802" s="82" t="n"/>
      <c r="N802" s="83" t="n"/>
      <c r="O802" s="83" t="n"/>
      <c r="P802" s="66">
        <f>IF(OR($N802="",$O802=""),"",$O802-$N802)</f>
        <v/>
      </c>
      <c r="Q802" s="84">
        <f>IF($K802="","",IF($M802&lt;&gt;"",$M802-$K802,TODAY()-$K802))</f>
        <v/>
      </c>
      <c r="R802" s="85">
        <f>IF(OR($L802="",$I802="Completed",$I802="Cancelled"),"",IF(AND($L802&lt;TODAY(),$I802&lt;&gt;"Completed",$I802&lt;&gt;"Cancelled"),"Overdue","On Track"))</f>
        <v/>
      </c>
      <c r="S802" s="65">
        <f>IF($L802="","",TEXT($L802,"yyyy-mm"))</f>
        <v/>
      </c>
      <c r="T802" s="86">
        <f>IF($I802="","",IFERROR(INDEX(Action_Status_Map!$C$5:$C$11,MATCH($I802,Action_Status_Map!$A$5:$A$11,0)),""))</f>
        <v/>
      </c>
      <c r="U802" s="81" t="n"/>
      <c r="V802" s="82" t="n"/>
      <c r="W802" s="65">
        <f>IF(OR($I802&lt;&gt;"Completed",$M802="",$L802=""),"",IF($M802&lt;=$L802,"Yes","No"))</f>
        <v/>
      </c>
      <c r="X802" s="84">
        <f>IF($A802="","",COUNTIF(Task_Steps!$B$5:$B$2004,$A802))</f>
        <v/>
      </c>
      <c r="Y802" s="86">
        <f>IF($X802=0,"",COUNTIFS(Task_Steps!$B$5:$B$2004,$A802,Task_Steps!$H$5:$H$2004,"Completed")/$X802)</f>
        <v/>
      </c>
      <c r="Z802" s="81" t="n"/>
      <c r="AA802" s="81" t="n"/>
      <c r="AB802" s="67">
        <f>IF($F802="","",IFERROR(INDEX(Employee_Master!$E$5:$E$204,MATCH($F802,Employee_Master!$B$5:$B$204,0)),""))</f>
        <v/>
      </c>
      <c r="AC802" s="65">
        <f>IF(OR($A802="",$AB802=""),"",IF(OR($I802="Completed",$I802="Cancelled"),"Closed - in Manager Report","Active - in Manager Report"))</f>
        <v/>
      </c>
      <c r="AD802" s="81">
        <f>IF($A802="","",IFERROR(TEXTJOIN(", ",TRUE,FILTER(Task_Steps!$A$5:$A$2004,Task_Steps!$B$5:$B$2004=$A802)),""))</f>
        <v/>
      </c>
      <c r="AE802" s="84">
        <f>IF($A802="","",COUNTIFS(Task_Steps!$B$5:$B$2004,$A802,Task_Steps!$H$5:$H$2004,"&lt;&gt;Completed",Task_Steps!$H$5:$H$2004,"&lt;&gt;Cancelled"))</f>
        <v/>
      </c>
      <c r="AF802" s="81">
        <f>IF(OR($B802="",$A802=""),"",$B802&amp;" | "&amp;$A802)</f>
        <v/>
      </c>
    </row>
    <row r="803" ht="15" customHeight="1" s="40">
      <c r="A803" s="65">
        <f>IF(COUNTA(B803:F803)=0,"","TSK-"&amp;TEXT(ROW()-4,"0000"))</f>
        <v/>
      </c>
      <c r="B803" s="78" t="n"/>
      <c r="C803" s="78" t="n"/>
      <c r="D803" s="81" t="n"/>
      <c r="E803" s="81" t="n"/>
      <c r="F803" s="78" t="n"/>
      <c r="G803" s="67">
        <f>IF($F803="","",IFERROR(INDEX(Employee_Master!$C$5:$C$204,MATCH($F803,Employee_Master!$B$5:$B$204,0)),""))</f>
        <v/>
      </c>
      <c r="H803" s="78" t="n"/>
      <c r="I803" s="78" t="n"/>
      <c r="J803" s="67">
        <f>IF($I803="","",IFERROR(INDEX(Action_Status_Map!$B$5:$B$11,MATCH($I803,Action_Status_Map!$A$5:$A$11,0)),""))</f>
        <v/>
      </c>
      <c r="K803" s="82" t="n"/>
      <c r="L803" s="82" t="n"/>
      <c r="M803" s="82" t="n"/>
      <c r="N803" s="83" t="n"/>
      <c r="O803" s="83" t="n"/>
      <c r="P803" s="66">
        <f>IF(OR($N803="",$O803=""),"",$O803-$N803)</f>
        <v/>
      </c>
      <c r="Q803" s="84">
        <f>IF($K803="","",IF($M803&lt;&gt;"",$M803-$K803,TODAY()-$K803))</f>
        <v/>
      </c>
      <c r="R803" s="85">
        <f>IF(OR($L803="",$I803="Completed",$I803="Cancelled"),"",IF(AND($L803&lt;TODAY(),$I803&lt;&gt;"Completed",$I803&lt;&gt;"Cancelled"),"Overdue","On Track"))</f>
        <v/>
      </c>
      <c r="S803" s="65">
        <f>IF($L803="","",TEXT($L803,"yyyy-mm"))</f>
        <v/>
      </c>
      <c r="T803" s="86">
        <f>IF($I803="","",IFERROR(INDEX(Action_Status_Map!$C$5:$C$11,MATCH($I803,Action_Status_Map!$A$5:$A$11,0)),""))</f>
        <v/>
      </c>
      <c r="U803" s="81" t="n"/>
      <c r="V803" s="82" t="n"/>
      <c r="W803" s="65">
        <f>IF(OR($I803&lt;&gt;"Completed",$M803="",$L803=""),"",IF($M803&lt;=$L803,"Yes","No"))</f>
        <v/>
      </c>
      <c r="X803" s="84">
        <f>IF($A803="","",COUNTIF(Task_Steps!$B$5:$B$2004,$A803))</f>
        <v/>
      </c>
      <c r="Y803" s="86">
        <f>IF($X803=0,"",COUNTIFS(Task_Steps!$B$5:$B$2004,$A803,Task_Steps!$H$5:$H$2004,"Completed")/$X803)</f>
        <v/>
      </c>
      <c r="Z803" s="81" t="n"/>
      <c r="AA803" s="81" t="n"/>
      <c r="AB803" s="67">
        <f>IF($F803="","",IFERROR(INDEX(Employee_Master!$E$5:$E$204,MATCH($F803,Employee_Master!$B$5:$B$204,0)),""))</f>
        <v/>
      </c>
      <c r="AC803" s="65">
        <f>IF(OR($A803="",$AB803=""),"",IF(OR($I803="Completed",$I803="Cancelled"),"Closed - in Manager Report","Active - in Manager Report"))</f>
        <v/>
      </c>
      <c r="AD803" s="81">
        <f>IF($A803="","",IFERROR(TEXTJOIN(", ",TRUE,FILTER(Task_Steps!$A$5:$A$2004,Task_Steps!$B$5:$B$2004=$A803)),""))</f>
        <v/>
      </c>
      <c r="AE803" s="84">
        <f>IF($A803="","",COUNTIFS(Task_Steps!$B$5:$B$2004,$A803,Task_Steps!$H$5:$H$2004,"&lt;&gt;Completed",Task_Steps!$H$5:$H$2004,"&lt;&gt;Cancelled"))</f>
        <v/>
      </c>
      <c r="AF803" s="81">
        <f>IF(OR($B803="",$A803=""),"",$B803&amp;" | "&amp;$A803)</f>
        <v/>
      </c>
    </row>
    <row r="804" ht="15" customHeight="1" s="40">
      <c r="A804" s="65">
        <f>IF(COUNTA(B804:F804)=0,"","TSK-"&amp;TEXT(ROW()-4,"0000"))</f>
        <v/>
      </c>
      <c r="B804" s="78" t="n"/>
      <c r="C804" s="78" t="n"/>
      <c r="D804" s="81" t="n"/>
      <c r="E804" s="81" t="n"/>
      <c r="F804" s="78" t="n"/>
      <c r="G804" s="67">
        <f>IF($F804="","",IFERROR(INDEX(Employee_Master!$C$5:$C$204,MATCH($F804,Employee_Master!$B$5:$B$204,0)),""))</f>
        <v/>
      </c>
      <c r="H804" s="78" t="n"/>
      <c r="I804" s="78" t="n"/>
      <c r="J804" s="67">
        <f>IF($I804="","",IFERROR(INDEX(Action_Status_Map!$B$5:$B$11,MATCH($I804,Action_Status_Map!$A$5:$A$11,0)),""))</f>
        <v/>
      </c>
      <c r="K804" s="82" t="n"/>
      <c r="L804" s="82" t="n"/>
      <c r="M804" s="82" t="n"/>
      <c r="N804" s="83" t="n"/>
      <c r="O804" s="83" t="n"/>
      <c r="P804" s="66">
        <f>IF(OR($N804="",$O804=""),"",$O804-$N804)</f>
        <v/>
      </c>
      <c r="Q804" s="84">
        <f>IF($K804="","",IF($M804&lt;&gt;"",$M804-$K804,TODAY()-$K804))</f>
        <v/>
      </c>
      <c r="R804" s="85">
        <f>IF(OR($L804="",$I804="Completed",$I804="Cancelled"),"",IF(AND($L804&lt;TODAY(),$I804&lt;&gt;"Completed",$I804&lt;&gt;"Cancelled"),"Overdue","On Track"))</f>
        <v/>
      </c>
      <c r="S804" s="65">
        <f>IF($L804="","",TEXT($L804,"yyyy-mm"))</f>
        <v/>
      </c>
      <c r="T804" s="86">
        <f>IF($I804="","",IFERROR(INDEX(Action_Status_Map!$C$5:$C$11,MATCH($I804,Action_Status_Map!$A$5:$A$11,0)),""))</f>
        <v/>
      </c>
      <c r="U804" s="81" t="n"/>
      <c r="V804" s="82" t="n"/>
      <c r="W804" s="65">
        <f>IF(OR($I804&lt;&gt;"Completed",$M804="",$L804=""),"",IF($M804&lt;=$L804,"Yes","No"))</f>
        <v/>
      </c>
      <c r="X804" s="84">
        <f>IF($A804="","",COUNTIF(Task_Steps!$B$5:$B$2004,$A804))</f>
        <v/>
      </c>
      <c r="Y804" s="86">
        <f>IF($X804=0,"",COUNTIFS(Task_Steps!$B$5:$B$2004,$A804,Task_Steps!$H$5:$H$2004,"Completed")/$X804)</f>
        <v/>
      </c>
      <c r="Z804" s="81" t="n"/>
      <c r="AA804" s="81" t="n"/>
      <c r="AB804" s="67">
        <f>IF($F804="","",IFERROR(INDEX(Employee_Master!$E$5:$E$204,MATCH($F804,Employee_Master!$B$5:$B$204,0)),""))</f>
        <v/>
      </c>
      <c r="AC804" s="65">
        <f>IF(OR($A804="",$AB804=""),"",IF(OR($I804="Completed",$I804="Cancelled"),"Closed - in Manager Report","Active - in Manager Report"))</f>
        <v/>
      </c>
      <c r="AD804" s="81">
        <f>IF($A804="","",IFERROR(TEXTJOIN(", ",TRUE,FILTER(Task_Steps!$A$5:$A$2004,Task_Steps!$B$5:$B$2004=$A804)),""))</f>
        <v/>
      </c>
      <c r="AE804" s="84">
        <f>IF($A804="","",COUNTIFS(Task_Steps!$B$5:$B$2004,$A804,Task_Steps!$H$5:$H$2004,"&lt;&gt;Completed",Task_Steps!$H$5:$H$2004,"&lt;&gt;Cancelled"))</f>
        <v/>
      </c>
      <c r="AF804" s="81">
        <f>IF(OR($B804="",$A804=""),"",$B804&amp;" | "&amp;$A804)</f>
        <v/>
      </c>
    </row>
    <row r="805" ht="15" customHeight="1" s="40">
      <c r="A805" s="65">
        <f>IF(COUNTA(B805:F805)=0,"","TSK-"&amp;TEXT(ROW()-4,"0000"))</f>
        <v/>
      </c>
      <c r="B805" s="78" t="n"/>
      <c r="C805" s="78" t="n"/>
      <c r="D805" s="81" t="n"/>
      <c r="E805" s="81" t="n"/>
      <c r="F805" s="78" t="n"/>
      <c r="G805" s="67">
        <f>IF($F805="","",IFERROR(INDEX(Employee_Master!$C$5:$C$204,MATCH($F805,Employee_Master!$B$5:$B$204,0)),""))</f>
        <v/>
      </c>
      <c r="H805" s="78" t="n"/>
      <c r="I805" s="78" t="n"/>
      <c r="J805" s="67">
        <f>IF($I805="","",IFERROR(INDEX(Action_Status_Map!$B$5:$B$11,MATCH($I805,Action_Status_Map!$A$5:$A$11,0)),""))</f>
        <v/>
      </c>
      <c r="K805" s="82" t="n"/>
      <c r="L805" s="82" t="n"/>
      <c r="M805" s="82" t="n"/>
      <c r="N805" s="83" t="n"/>
      <c r="O805" s="83" t="n"/>
      <c r="P805" s="66">
        <f>IF(OR($N805="",$O805=""),"",$O805-$N805)</f>
        <v/>
      </c>
      <c r="Q805" s="84">
        <f>IF($K805="","",IF($M805&lt;&gt;"",$M805-$K805,TODAY()-$K805))</f>
        <v/>
      </c>
      <c r="R805" s="85">
        <f>IF(OR($L805="",$I805="Completed",$I805="Cancelled"),"",IF(AND($L805&lt;TODAY(),$I805&lt;&gt;"Completed",$I805&lt;&gt;"Cancelled"),"Overdue","On Track"))</f>
        <v/>
      </c>
      <c r="S805" s="65">
        <f>IF($L805="","",TEXT($L805,"yyyy-mm"))</f>
        <v/>
      </c>
      <c r="T805" s="86">
        <f>IF($I805="","",IFERROR(INDEX(Action_Status_Map!$C$5:$C$11,MATCH($I805,Action_Status_Map!$A$5:$A$11,0)),""))</f>
        <v/>
      </c>
      <c r="U805" s="81" t="n"/>
      <c r="V805" s="82" t="n"/>
      <c r="W805" s="65">
        <f>IF(OR($I805&lt;&gt;"Completed",$M805="",$L805=""),"",IF($M805&lt;=$L805,"Yes","No"))</f>
        <v/>
      </c>
      <c r="X805" s="84">
        <f>IF($A805="","",COUNTIF(Task_Steps!$B$5:$B$2004,$A805))</f>
        <v/>
      </c>
      <c r="Y805" s="86">
        <f>IF($X805=0,"",COUNTIFS(Task_Steps!$B$5:$B$2004,$A805,Task_Steps!$H$5:$H$2004,"Completed")/$X805)</f>
        <v/>
      </c>
      <c r="Z805" s="81" t="n"/>
      <c r="AA805" s="81" t="n"/>
      <c r="AB805" s="67">
        <f>IF($F805="","",IFERROR(INDEX(Employee_Master!$E$5:$E$204,MATCH($F805,Employee_Master!$B$5:$B$204,0)),""))</f>
        <v/>
      </c>
      <c r="AC805" s="65">
        <f>IF(OR($A805="",$AB805=""),"",IF(OR($I805="Completed",$I805="Cancelled"),"Closed - in Manager Report","Active - in Manager Report"))</f>
        <v/>
      </c>
      <c r="AD805" s="81">
        <f>IF($A805="","",IFERROR(TEXTJOIN(", ",TRUE,FILTER(Task_Steps!$A$5:$A$2004,Task_Steps!$B$5:$B$2004=$A805)),""))</f>
        <v/>
      </c>
      <c r="AE805" s="84">
        <f>IF($A805="","",COUNTIFS(Task_Steps!$B$5:$B$2004,$A805,Task_Steps!$H$5:$H$2004,"&lt;&gt;Completed",Task_Steps!$H$5:$H$2004,"&lt;&gt;Cancelled"))</f>
        <v/>
      </c>
      <c r="AF805" s="81">
        <f>IF(OR($B805="",$A805=""),"",$B805&amp;" | "&amp;$A805)</f>
        <v/>
      </c>
    </row>
    <row r="806" ht="15" customHeight="1" s="40">
      <c r="A806" s="65">
        <f>IF(COUNTA(B806:F806)=0,"","TSK-"&amp;TEXT(ROW()-4,"0000"))</f>
        <v/>
      </c>
      <c r="B806" s="78" t="n"/>
      <c r="C806" s="78" t="n"/>
      <c r="D806" s="81" t="n"/>
      <c r="E806" s="81" t="n"/>
      <c r="F806" s="78" t="n"/>
      <c r="G806" s="67">
        <f>IF($F806="","",IFERROR(INDEX(Employee_Master!$C$5:$C$204,MATCH($F806,Employee_Master!$B$5:$B$204,0)),""))</f>
        <v/>
      </c>
      <c r="H806" s="78" t="n"/>
      <c r="I806" s="78" t="n"/>
      <c r="J806" s="67">
        <f>IF($I806="","",IFERROR(INDEX(Action_Status_Map!$B$5:$B$11,MATCH($I806,Action_Status_Map!$A$5:$A$11,0)),""))</f>
        <v/>
      </c>
      <c r="K806" s="82" t="n"/>
      <c r="L806" s="82" t="n"/>
      <c r="M806" s="82" t="n"/>
      <c r="N806" s="83" t="n"/>
      <c r="O806" s="83" t="n"/>
      <c r="P806" s="66">
        <f>IF(OR($N806="",$O806=""),"",$O806-$N806)</f>
        <v/>
      </c>
      <c r="Q806" s="84">
        <f>IF($K806="","",IF($M806&lt;&gt;"",$M806-$K806,TODAY()-$K806))</f>
        <v/>
      </c>
      <c r="R806" s="85">
        <f>IF(OR($L806="",$I806="Completed",$I806="Cancelled"),"",IF(AND($L806&lt;TODAY(),$I806&lt;&gt;"Completed",$I806&lt;&gt;"Cancelled"),"Overdue","On Track"))</f>
        <v/>
      </c>
      <c r="S806" s="65">
        <f>IF($L806="","",TEXT($L806,"yyyy-mm"))</f>
        <v/>
      </c>
      <c r="T806" s="86">
        <f>IF($I806="","",IFERROR(INDEX(Action_Status_Map!$C$5:$C$11,MATCH($I806,Action_Status_Map!$A$5:$A$11,0)),""))</f>
        <v/>
      </c>
      <c r="U806" s="81" t="n"/>
      <c r="V806" s="82" t="n"/>
      <c r="W806" s="65">
        <f>IF(OR($I806&lt;&gt;"Completed",$M806="",$L806=""),"",IF($M806&lt;=$L806,"Yes","No"))</f>
        <v/>
      </c>
      <c r="X806" s="84">
        <f>IF($A806="","",COUNTIF(Task_Steps!$B$5:$B$2004,$A806))</f>
        <v/>
      </c>
      <c r="Y806" s="86">
        <f>IF($X806=0,"",COUNTIFS(Task_Steps!$B$5:$B$2004,$A806,Task_Steps!$H$5:$H$2004,"Completed")/$X806)</f>
        <v/>
      </c>
      <c r="Z806" s="81" t="n"/>
      <c r="AA806" s="81" t="n"/>
      <c r="AB806" s="67">
        <f>IF($F806="","",IFERROR(INDEX(Employee_Master!$E$5:$E$204,MATCH($F806,Employee_Master!$B$5:$B$204,0)),""))</f>
        <v/>
      </c>
      <c r="AC806" s="65">
        <f>IF(OR($A806="",$AB806=""),"",IF(OR($I806="Completed",$I806="Cancelled"),"Closed - in Manager Report","Active - in Manager Report"))</f>
        <v/>
      </c>
      <c r="AD806" s="81">
        <f>IF($A806="","",IFERROR(TEXTJOIN(", ",TRUE,FILTER(Task_Steps!$A$5:$A$2004,Task_Steps!$B$5:$B$2004=$A806)),""))</f>
        <v/>
      </c>
      <c r="AE806" s="84">
        <f>IF($A806="","",COUNTIFS(Task_Steps!$B$5:$B$2004,$A806,Task_Steps!$H$5:$H$2004,"&lt;&gt;Completed",Task_Steps!$H$5:$H$2004,"&lt;&gt;Cancelled"))</f>
        <v/>
      </c>
      <c r="AF806" s="81">
        <f>IF(OR($B806="",$A806=""),"",$B806&amp;" | "&amp;$A806)</f>
        <v/>
      </c>
    </row>
    <row r="807" ht="15" customHeight="1" s="40">
      <c r="A807" s="65">
        <f>IF(COUNTA(B807:F807)=0,"","TSK-"&amp;TEXT(ROW()-4,"0000"))</f>
        <v/>
      </c>
      <c r="B807" s="78" t="n"/>
      <c r="C807" s="78" t="n"/>
      <c r="D807" s="81" t="n"/>
      <c r="E807" s="81" t="n"/>
      <c r="F807" s="78" t="n"/>
      <c r="G807" s="67">
        <f>IF($F807="","",IFERROR(INDEX(Employee_Master!$C$5:$C$204,MATCH($F807,Employee_Master!$B$5:$B$204,0)),""))</f>
        <v/>
      </c>
      <c r="H807" s="78" t="n"/>
      <c r="I807" s="78" t="n"/>
      <c r="J807" s="67">
        <f>IF($I807="","",IFERROR(INDEX(Action_Status_Map!$B$5:$B$11,MATCH($I807,Action_Status_Map!$A$5:$A$11,0)),""))</f>
        <v/>
      </c>
      <c r="K807" s="82" t="n"/>
      <c r="L807" s="82" t="n"/>
      <c r="M807" s="82" t="n"/>
      <c r="N807" s="83" t="n"/>
      <c r="O807" s="83" t="n"/>
      <c r="P807" s="66">
        <f>IF(OR($N807="",$O807=""),"",$O807-$N807)</f>
        <v/>
      </c>
      <c r="Q807" s="84">
        <f>IF($K807="","",IF($M807&lt;&gt;"",$M807-$K807,TODAY()-$K807))</f>
        <v/>
      </c>
      <c r="R807" s="85">
        <f>IF(OR($L807="",$I807="Completed",$I807="Cancelled"),"",IF(AND($L807&lt;TODAY(),$I807&lt;&gt;"Completed",$I807&lt;&gt;"Cancelled"),"Overdue","On Track"))</f>
        <v/>
      </c>
      <c r="S807" s="65">
        <f>IF($L807="","",TEXT($L807,"yyyy-mm"))</f>
        <v/>
      </c>
      <c r="T807" s="86">
        <f>IF($I807="","",IFERROR(INDEX(Action_Status_Map!$C$5:$C$11,MATCH($I807,Action_Status_Map!$A$5:$A$11,0)),""))</f>
        <v/>
      </c>
      <c r="U807" s="81" t="n"/>
      <c r="V807" s="82" t="n"/>
      <c r="W807" s="65">
        <f>IF(OR($I807&lt;&gt;"Completed",$M807="",$L807=""),"",IF($M807&lt;=$L807,"Yes","No"))</f>
        <v/>
      </c>
      <c r="X807" s="84">
        <f>IF($A807="","",COUNTIF(Task_Steps!$B$5:$B$2004,$A807))</f>
        <v/>
      </c>
      <c r="Y807" s="86">
        <f>IF($X807=0,"",COUNTIFS(Task_Steps!$B$5:$B$2004,$A807,Task_Steps!$H$5:$H$2004,"Completed")/$X807)</f>
        <v/>
      </c>
      <c r="Z807" s="81" t="n"/>
      <c r="AA807" s="81" t="n"/>
      <c r="AB807" s="67">
        <f>IF($F807="","",IFERROR(INDEX(Employee_Master!$E$5:$E$204,MATCH($F807,Employee_Master!$B$5:$B$204,0)),""))</f>
        <v/>
      </c>
      <c r="AC807" s="65">
        <f>IF(OR($A807="",$AB807=""),"",IF(OR($I807="Completed",$I807="Cancelled"),"Closed - in Manager Report","Active - in Manager Report"))</f>
        <v/>
      </c>
      <c r="AD807" s="81">
        <f>IF($A807="","",IFERROR(TEXTJOIN(", ",TRUE,FILTER(Task_Steps!$A$5:$A$2004,Task_Steps!$B$5:$B$2004=$A807)),""))</f>
        <v/>
      </c>
      <c r="AE807" s="84">
        <f>IF($A807="","",COUNTIFS(Task_Steps!$B$5:$B$2004,$A807,Task_Steps!$H$5:$H$2004,"&lt;&gt;Completed",Task_Steps!$H$5:$H$2004,"&lt;&gt;Cancelled"))</f>
        <v/>
      </c>
      <c r="AF807" s="81">
        <f>IF(OR($B807="",$A807=""),"",$B807&amp;" | "&amp;$A807)</f>
        <v/>
      </c>
    </row>
    <row r="808" ht="15" customHeight="1" s="40">
      <c r="A808" s="65">
        <f>IF(COUNTA(B808:F808)=0,"","TSK-"&amp;TEXT(ROW()-4,"0000"))</f>
        <v/>
      </c>
      <c r="B808" s="78" t="n"/>
      <c r="C808" s="78" t="n"/>
      <c r="D808" s="81" t="n"/>
      <c r="E808" s="81" t="n"/>
      <c r="F808" s="78" t="n"/>
      <c r="G808" s="67">
        <f>IF($F808="","",IFERROR(INDEX(Employee_Master!$C$5:$C$204,MATCH($F808,Employee_Master!$B$5:$B$204,0)),""))</f>
        <v/>
      </c>
      <c r="H808" s="78" t="n"/>
      <c r="I808" s="78" t="n"/>
      <c r="J808" s="67">
        <f>IF($I808="","",IFERROR(INDEX(Action_Status_Map!$B$5:$B$11,MATCH($I808,Action_Status_Map!$A$5:$A$11,0)),""))</f>
        <v/>
      </c>
      <c r="K808" s="82" t="n"/>
      <c r="L808" s="82" t="n"/>
      <c r="M808" s="82" t="n"/>
      <c r="N808" s="83" t="n"/>
      <c r="O808" s="83" t="n"/>
      <c r="P808" s="66">
        <f>IF(OR($N808="",$O808=""),"",$O808-$N808)</f>
        <v/>
      </c>
      <c r="Q808" s="84">
        <f>IF($K808="","",IF($M808&lt;&gt;"",$M808-$K808,TODAY()-$K808))</f>
        <v/>
      </c>
      <c r="R808" s="85">
        <f>IF(OR($L808="",$I808="Completed",$I808="Cancelled"),"",IF(AND($L808&lt;TODAY(),$I808&lt;&gt;"Completed",$I808&lt;&gt;"Cancelled"),"Overdue","On Track"))</f>
        <v/>
      </c>
      <c r="S808" s="65">
        <f>IF($L808="","",TEXT($L808,"yyyy-mm"))</f>
        <v/>
      </c>
      <c r="T808" s="86">
        <f>IF($I808="","",IFERROR(INDEX(Action_Status_Map!$C$5:$C$11,MATCH($I808,Action_Status_Map!$A$5:$A$11,0)),""))</f>
        <v/>
      </c>
      <c r="U808" s="81" t="n"/>
      <c r="V808" s="82" t="n"/>
      <c r="W808" s="65">
        <f>IF(OR($I808&lt;&gt;"Completed",$M808="",$L808=""),"",IF($M808&lt;=$L808,"Yes","No"))</f>
        <v/>
      </c>
      <c r="X808" s="84">
        <f>IF($A808="","",COUNTIF(Task_Steps!$B$5:$B$2004,$A808))</f>
        <v/>
      </c>
      <c r="Y808" s="86">
        <f>IF($X808=0,"",COUNTIFS(Task_Steps!$B$5:$B$2004,$A808,Task_Steps!$H$5:$H$2004,"Completed")/$X808)</f>
        <v/>
      </c>
      <c r="Z808" s="81" t="n"/>
      <c r="AA808" s="81" t="n"/>
      <c r="AB808" s="67">
        <f>IF($F808="","",IFERROR(INDEX(Employee_Master!$E$5:$E$204,MATCH($F808,Employee_Master!$B$5:$B$204,0)),""))</f>
        <v/>
      </c>
      <c r="AC808" s="65">
        <f>IF(OR($A808="",$AB808=""),"",IF(OR($I808="Completed",$I808="Cancelled"),"Closed - in Manager Report","Active - in Manager Report"))</f>
        <v/>
      </c>
      <c r="AD808" s="81">
        <f>IF($A808="","",IFERROR(TEXTJOIN(", ",TRUE,FILTER(Task_Steps!$A$5:$A$2004,Task_Steps!$B$5:$B$2004=$A808)),""))</f>
        <v/>
      </c>
      <c r="AE808" s="84">
        <f>IF($A808="","",COUNTIFS(Task_Steps!$B$5:$B$2004,$A808,Task_Steps!$H$5:$H$2004,"&lt;&gt;Completed",Task_Steps!$H$5:$H$2004,"&lt;&gt;Cancelled"))</f>
        <v/>
      </c>
      <c r="AF808" s="81">
        <f>IF(OR($B808="",$A808=""),"",$B808&amp;" | "&amp;$A808)</f>
        <v/>
      </c>
    </row>
    <row r="809" ht="15" customHeight="1" s="40">
      <c r="A809" s="65">
        <f>IF(COUNTA(B809:F809)=0,"","TSK-"&amp;TEXT(ROW()-4,"0000"))</f>
        <v/>
      </c>
      <c r="B809" s="78" t="n"/>
      <c r="C809" s="78" t="n"/>
      <c r="D809" s="81" t="n"/>
      <c r="E809" s="81" t="n"/>
      <c r="F809" s="78" t="n"/>
      <c r="G809" s="67">
        <f>IF($F809="","",IFERROR(INDEX(Employee_Master!$C$5:$C$204,MATCH($F809,Employee_Master!$B$5:$B$204,0)),""))</f>
        <v/>
      </c>
      <c r="H809" s="78" t="n"/>
      <c r="I809" s="78" t="n"/>
      <c r="J809" s="67">
        <f>IF($I809="","",IFERROR(INDEX(Action_Status_Map!$B$5:$B$11,MATCH($I809,Action_Status_Map!$A$5:$A$11,0)),""))</f>
        <v/>
      </c>
      <c r="K809" s="82" t="n"/>
      <c r="L809" s="82" t="n"/>
      <c r="M809" s="82" t="n"/>
      <c r="N809" s="83" t="n"/>
      <c r="O809" s="83" t="n"/>
      <c r="P809" s="66">
        <f>IF(OR($N809="",$O809=""),"",$O809-$N809)</f>
        <v/>
      </c>
      <c r="Q809" s="84">
        <f>IF($K809="","",IF($M809&lt;&gt;"",$M809-$K809,TODAY()-$K809))</f>
        <v/>
      </c>
      <c r="R809" s="85">
        <f>IF(OR($L809="",$I809="Completed",$I809="Cancelled"),"",IF(AND($L809&lt;TODAY(),$I809&lt;&gt;"Completed",$I809&lt;&gt;"Cancelled"),"Overdue","On Track"))</f>
        <v/>
      </c>
      <c r="S809" s="65">
        <f>IF($L809="","",TEXT($L809,"yyyy-mm"))</f>
        <v/>
      </c>
      <c r="T809" s="86">
        <f>IF($I809="","",IFERROR(INDEX(Action_Status_Map!$C$5:$C$11,MATCH($I809,Action_Status_Map!$A$5:$A$11,0)),""))</f>
        <v/>
      </c>
      <c r="U809" s="81" t="n"/>
      <c r="V809" s="82" t="n"/>
      <c r="W809" s="65">
        <f>IF(OR($I809&lt;&gt;"Completed",$M809="",$L809=""),"",IF($M809&lt;=$L809,"Yes","No"))</f>
        <v/>
      </c>
      <c r="X809" s="84">
        <f>IF($A809="","",COUNTIF(Task_Steps!$B$5:$B$2004,$A809))</f>
        <v/>
      </c>
      <c r="Y809" s="86">
        <f>IF($X809=0,"",COUNTIFS(Task_Steps!$B$5:$B$2004,$A809,Task_Steps!$H$5:$H$2004,"Completed")/$X809)</f>
        <v/>
      </c>
      <c r="Z809" s="81" t="n"/>
      <c r="AA809" s="81" t="n"/>
      <c r="AB809" s="67">
        <f>IF($F809="","",IFERROR(INDEX(Employee_Master!$E$5:$E$204,MATCH($F809,Employee_Master!$B$5:$B$204,0)),""))</f>
        <v/>
      </c>
      <c r="AC809" s="65">
        <f>IF(OR($A809="",$AB809=""),"",IF(OR($I809="Completed",$I809="Cancelled"),"Closed - in Manager Report","Active - in Manager Report"))</f>
        <v/>
      </c>
      <c r="AD809" s="81">
        <f>IF($A809="","",IFERROR(TEXTJOIN(", ",TRUE,FILTER(Task_Steps!$A$5:$A$2004,Task_Steps!$B$5:$B$2004=$A809)),""))</f>
        <v/>
      </c>
      <c r="AE809" s="84">
        <f>IF($A809="","",COUNTIFS(Task_Steps!$B$5:$B$2004,$A809,Task_Steps!$H$5:$H$2004,"&lt;&gt;Completed",Task_Steps!$H$5:$H$2004,"&lt;&gt;Cancelled"))</f>
        <v/>
      </c>
      <c r="AF809" s="81">
        <f>IF(OR($B809="",$A809=""),"",$B809&amp;" | "&amp;$A809)</f>
        <v/>
      </c>
    </row>
    <row r="810" ht="15" customHeight="1" s="40">
      <c r="A810" s="65">
        <f>IF(COUNTA(B810:F810)=0,"","TSK-"&amp;TEXT(ROW()-4,"0000"))</f>
        <v/>
      </c>
      <c r="B810" s="78" t="n"/>
      <c r="C810" s="78" t="n"/>
      <c r="D810" s="81" t="n"/>
      <c r="E810" s="81" t="n"/>
      <c r="F810" s="78" t="n"/>
      <c r="G810" s="67">
        <f>IF($F810="","",IFERROR(INDEX(Employee_Master!$C$5:$C$204,MATCH($F810,Employee_Master!$B$5:$B$204,0)),""))</f>
        <v/>
      </c>
      <c r="H810" s="78" t="n"/>
      <c r="I810" s="78" t="n"/>
      <c r="J810" s="67">
        <f>IF($I810="","",IFERROR(INDEX(Action_Status_Map!$B$5:$B$11,MATCH($I810,Action_Status_Map!$A$5:$A$11,0)),""))</f>
        <v/>
      </c>
      <c r="K810" s="82" t="n"/>
      <c r="L810" s="82" t="n"/>
      <c r="M810" s="82" t="n"/>
      <c r="N810" s="83" t="n"/>
      <c r="O810" s="83" t="n"/>
      <c r="P810" s="66">
        <f>IF(OR($N810="",$O810=""),"",$O810-$N810)</f>
        <v/>
      </c>
      <c r="Q810" s="84">
        <f>IF($K810="","",IF($M810&lt;&gt;"",$M810-$K810,TODAY()-$K810))</f>
        <v/>
      </c>
      <c r="R810" s="85">
        <f>IF(OR($L810="",$I810="Completed",$I810="Cancelled"),"",IF(AND($L810&lt;TODAY(),$I810&lt;&gt;"Completed",$I810&lt;&gt;"Cancelled"),"Overdue","On Track"))</f>
        <v/>
      </c>
      <c r="S810" s="65">
        <f>IF($L810="","",TEXT($L810,"yyyy-mm"))</f>
        <v/>
      </c>
      <c r="T810" s="86">
        <f>IF($I810="","",IFERROR(INDEX(Action_Status_Map!$C$5:$C$11,MATCH($I810,Action_Status_Map!$A$5:$A$11,0)),""))</f>
        <v/>
      </c>
      <c r="U810" s="81" t="n"/>
      <c r="V810" s="82" t="n"/>
      <c r="W810" s="65">
        <f>IF(OR($I810&lt;&gt;"Completed",$M810="",$L810=""),"",IF($M810&lt;=$L810,"Yes","No"))</f>
        <v/>
      </c>
      <c r="X810" s="84">
        <f>IF($A810="","",COUNTIF(Task_Steps!$B$5:$B$2004,$A810))</f>
        <v/>
      </c>
      <c r="Y810" s="86">
        <f>IF($X810=0,"",COUNTIFS(Task_Steps!$B$5:$B$2004,$A810,Task_Steps!$H$5:$H$2004,"Completed")/$X810)</f>
        <v/>
      </c>
      <c r="Z810" s="81" t="n"/>
      <c r="AA810" s="81" t="n"/>
      <c r="AB810" s="67">
        <f>IF($F810="","",IFERROR(INDEX(Employee_Master!$E$5:$E$204,MATCH($F810,Employee_Master!$B$5:$B$204,0)),""))</f>
        <v/>
      </c>
      <c r="AC810" s="65">
        <f>IF(OR($A810="",$AB810=""),"",IF(OR($I810="Completed",$I810="Cancelled"),"Closed - in Manager Report","Active - in Manager Report"))</f>
        <v/>
      </c>
      <c r="AD810" s="81">
        <f>IF($A810="","",IFERROR(TEXTJOIN(", ",TRUE,FILTER(Task_Steps!$A$5:$A$2004,Task_Steps!$B$5:$B$2004=$A810)),""))</f>
        <v/>
      </c>
      <c r="AE810" s="84">
        <f>IF($A810="","",COUNTIFS(Task_Steps!$B$5:$B$2004,$A810,Task_Steps!$H$5:$H$2004,"&lt;&gt;Completed",Task_Steps!$H$5:$H$2004,"&lt;&gt;Cancelled"))</f>
        <v/>
      </c>
      <c r="AF810" s="81">
        <f>IF(OR($B810="",$A810=""),"",$B810&amp;" | "&amp;$A810)</f>
        <v/>
      </c>
    </row>
    <row r="811" ht="15" customHeight="1" s="40">
      <c r="A811" s="65">
        <f>IF(COUNTA(B811:F811)=0,"","TSK-"&amp;TEXT(ROW()-4,"0000"))</f>
        <v/>
      </c>
      <c r="B811" s="78" t="n"/>
      <c r="C811" s="78" t="n"/>
      <c r="D811" s="81" t="n"/>
      <c r="E811" s="81" t="n"/>
      <c r="F811" s="78" t="n"/>
      <c r="G811" s="67">
        <f>IF($F811="","",IFERROR(INDEX(Employee_Master!$C$5:$C$204,MATCH($F811,Employee_Master!$B$5:$B$204,0)),""))</f>
        <v/>
      </c>
      <c r="H811" s="78" t="n"/>
      <c r="I811" s="78" t="n"/>
      <c r="J811" s="67">
        <f>IF($I811="","",IFERROR(INDEX(Action_Status_Map!$B$5:$B$11,MATCH($I811,Action_Status_Map!$A$5:$A$11,0)),""))</f>
        <v/>
      </c>
      <c r="K811" s="82" t="n"/>
      <c r="L811" s="82" t="n"/>
      <c r="M811" s="82" t="n"/>
      <c r="N811" s="83" t="n"/>
      <c r="O811" s="83" t="n"/>
      <c r="P811" s="66">
        <f>IF(OR($N811="",$O811=""),"",$O811-$N811)</f>
        <v/>
      </c>
      <c r="Q811" s="84">
        <f>IF($K811="","",IF($M811&lt;&gt;"",$M811-$K811,TODAY()-$K811))</f>
        <v/>
      </c>
      <c r="R811" s="85">
        <f>IF(OR($L811="",$I811="Completed",$I811="Cancelled"),"",IF(AND($L811&lt;TODAY(),$I811&lt;&gt;"Completed",$I811&lt;&gt;"Cancelled"),"Overdue","On Track"))</f>
        <v/>
      </c>
      <c r="S811" s="65">
        <f>IF($L811="","",TEXT($L811,"yyyy-mm"))</f>
        <v/>
      </c>
      <c r="T811" s="86">
        <f>IF($I811="","",IFERROR(INDEX(Action_Status_Map!$C$5:$C$11,MATCH($I811,Action_Status_Map!$A$5:$A$11,0)),""))</f>
        <v/>
      </c>
      <c r="U811" s="81" t="n"/>
      <c r="V811" s="82" t="n"/>
      <c r="W811" s="65">
        <f>IF(OR($I811&lt;&gt;"Completed",$M811="",$L811=""),"",IF($M811&lt;=$L811,"Yes","No"))</f>
        <v/>
      </c>
      <c r="X811" s="84">
        <f>IF($A811="","",COUNTIF(Task_Steps!$B$5:$B$2004,$A811))</f>
        <v/>
      </c>
      <c r="Y811" s="86">
        <f>IF($X811=0,"",COUNTIFS(Task_Steps!$B$5:$B$2004,$A811,Task_Steps!$H$5:$H$2004,"Completed")/$X811)</f>
        <v/>
      </c>
      <c r="Z811" s="81" t="n"/>
      <c r="AA811" s="81" t="n"/>
      <c r="AB811" s="67">
        <f>IF($F811="","",IFERROR(INDEX(Employee_Master!$E$5:$E$204,MATCH($F811,Employee_Master!$B$5:$B$204,0)),""))</f>
        <v/>
      </c>
      <c r="AC811" s="65">
        <f>IF(OR($A811="",$AB811=""),"",IF(OR($I811="Completed",$I811="Cancelled"),"Closed - in Manager Report","Active - in Manager Report"))</f>
        <v/>
      </c>
      <c r="AD811" s="81">
        <f>IF($A811="","",IFERROR(TEXTJOIN(", ",TRUE,FILTER(Task_Steps!$A$5:$A$2004,Task_Steps!$B$5:$B$2004=$A811)),""))</f>
        <v/>
      </c>
      <c r="AE811" s="84">
        <f>IF($A811="","",COUNTIFS(Task_Steps!$B$5:$B$2004,$A811,Task_Steps!$H$5:$H$2004,"&lt;&gt;Completed",Task_Steps!$H$5:$H$2004,"&lt;&gt;Cancelled"))</f>
        <v/>
      </c>
      <c r="AF811" s="81">
        <f>IF(OR($B811="",$A811=""),"",$B811&amp;" | "&amp;$A811)</f>
        <v/>
      </c>
    </row>
    <row r="812" ht="15" customHeight="1" s="40">
      <c r="A812" s="65">
        <f>IF(COUNTA(B812:F812)=0,"","TSK-"&amp;TEXT(ROW()-4,"0000"))</f>
        <v/>
      </c>
      <c r="B812" s="78" t="n"/>
      <c r="C812" s="78" t="n"/>
      <c r="D812" s="81" t="n"/>
      <c r="E812" s="81" t="n"/>
      <c r="F812" s="78" t="n"/>
      <c r="G812" s="67">
        <f>IF($F812="","",IFERROR(INDEX(Employee_Master!$C$5:$C$204,MATCH($F812,Employee_Master!$B$5:$B$204,0)),""))</f>
        <v/>
      </c>
      <c r="H812" s="78" t="n"/>
      <c r="I812" s="78" t="n"/>
      <c r="J812" s="67">
        <f>IF($I812="","",IFERROR(INDEX(Action_Status_Map!$B$5:$B$11,MATCH($I812,Action_Status_Map!$A$5:$A$11,0)),""))</f>
        <v/>
      </c>
      <c r="K812" s="82" t="n"/>
      <c r="L812" s="82" t="n"/>
      <c r="M812" s="82" t="n"/>
      <c r="N812" s="83" t="n"/>
      <c r="O812" s="83" t="n"/>
      <c r="P812" s="66">
        <f>IF(OR($N812="",$O812=""),"",$O812-$N812)</f>
        <v/>
      </c>
      <c r="Q812" s="84">
        <f>IF($K812="","",IF($M812&lt;&gt;"",$M812-$K812,TODAY()-$K812))</f>
        <v/>
      </c>
      <c r="R812" s="85">
        <f>IF(OR($L812="",$I812="Completed",$I812="Cancelled"),"",IF(AND($L812&lt;TODAY(),$I812&lt;&gt;"Completed",$I812&lt;&gt;"Cancelled"),"Overdue","On Track"))</f>
        <v/>
      </c>
      <c r="S812" s="65">
        <f>IF($L812="","",TEXT($L812,"yyyy-mm"))</f>
        <v/>
      </c>
      <c r="T812" s="86">
        <f>IF($I812="","",IFERROR(INDEX(Action_Status_Map!$C$5:$C$11,MATCH($I812,Action_Status_Map!$A$5:$A$11,0)),""))</f>
        <v/>
      </c>
      <c r="U812" s="81" t="n"/>
      <c r="V812" s="82" t="n"/>
      <c r="W812" s="65">
        <f>IF(OR($I812&lt;&gt;"Completed",$M812="",$L812=""),"",IF($M812&lt;=$L812,"Yes","No"))</f>
        <v/>
      </c>
      <c r="X812" s="84">
        <f>IF($A812="","",COUNTIF(Task_Steps!$B$5:$B$2004,$A812))</f>
        <v/>
      </c>
      <c r="Y812" s="86">
        <f>IF($X812=0,"",COUNTIFS(Task_Steps!$B$5:$B$2004,$A812,Task_Steps!$H$5:$H$2004,"Completed")/$X812)</f>
        <v/>
      </c>
      <c r="Z812" s="81" t="n"/>
      <c r="AA812" s="81" t="n"/>
      <c r="AB812" s="67">
        <f>IF($F812="","",IFERROR(INDEX(Employee_Master!$E$5:$E$204,MATCH($F812,Employee_Master!$B$5:$B$204,0)),""))</f>
        <v/>
      </c>
      <c r="AC812" s="65">
        <f>IF(OR($A812="",$AB812=""),"",IF(OR($I812="Completed",$I812="Cancelled"),"Closed - in Manager Report","Active - in Manager Report"))</f>
        <v/>
      </c>
      <c r="AD812" s="81">
        <f>IF($A812="","",IFERROR(TEXTJOIN(", ",TRUE,FILTER(Task_Steps!$A$5:$A$2004,Task_Steps!$B$5:$B$2004=$A812)),""))</f>
        <v/>
      </c>
      <c r="AE812" s="84">
        <f>IF($A812="","",COUNTIFS(Task_Steps!$B$5:$B$2004,$A812,Task_Steps!$H$5:$H$2004,"&lt;&gt;Completed",Task_Steps!$H$5:$H$2004,"&lt;&gt;Cancelled"))</f>
        <v/>
      </c>
      <c r="AF812" s="81">
        <f>IF(OR($B812="",$A812=""),"",$B812&amp;" | "&amp;$A812)</f>
        <v/>
      </c>
    </row>
    <row r="813" ht="15" customHeight="1" s="40">
      <c r="A813" s="65">
        <f>IF(COUNTA(B813:F813)=0,"","TSK-"&amp;TEXT(ROW()-4,"0000"))</f>
        <v/>
      </c>
      <c r="B813" s="78" t="n"/>
      <c r="C813" s="78" t="n"/>
      <c r="D813" s="81" t="n"/>
      <c r="E813" s="81" t="n"/>
      <c r="F813" s="78" t="n"/>
      <c r="G813" s="67">
        <f>IF($F813="","",IFERROR(INDEX(Employee_Master!$C$5:$C$204,MATCH($F813,Employee_Master!$B$5:$B$204,0)),""))</f>
        <v/>
      </c>
      <c r="H813" s="78" t="n"/>
      <c r="I813" s="78" t="n"/>
      <c r="J813" s="67">
        <f>IF($I813="","",IFERROR(INDEX(Action_Status_Map!$B$5:$B$11,MATCH($I813,Action_Status_Map!$A$5:$A$11,0)),""))</f>
        <v/>
      </c>
      <c r="K813" s="82" t="n"/>
      <c r="L813" s="82" t="n"/>
      <c r="M813" s="82" t="n"/>
      <c r="N813" s="83" t="n"/>
      <c r="O813" s="83" t="n"/>
      <c r="P813" s="66">
        <f>IF(OR($N813="",$O813=""),"",$O813-$N813)</f>
        <v/>
      </c>
      <c r="Q813" s="84">
        <f>IF($K813="","",IF($M813&lt;&gt;"",$M813-$K813,TODAY()-$K813))</f>
        <v/>
      </c>
      <c r="R813" s="85">
        <f>IF(OR($L813="",$I813="Completed",$I813="Cancelled"),"",IF(AND($L813&lt;TODAY(),$I813&lt;&gt;"Completed",$I813&lt;&gt;"Cancelled"),"Overdue","On Track"))</f>
        <v/>
      </c>
      <c r="S813" s="65">
        <f>IF($L813="","",TEXT($L813,"yyyy-mm"))</f>
        <v/>
      </c>
      <c r="T813" s="86">
        <f>IF($I813="","",IFERROR(INDEX(Action_Status_Map!$C$5:$C$11,MATCH($I813,Action_Status_Map!$A$5:$A$11,0)),""))</f>
        <v/>
      </c>
      <c r="U813" s="81" t="n"/>
      <c r="V813" s="82" t="n"/>
      <c r="W813" s="65">
        <f>IF(OR($I813&lt;&gt;"Completed",$M813="",$L813=""),"",IF($M813&lt;=$L813,"Yes","No"))</f>
        <v/>
      </c>
      <c r="X813" s="84">
        <f>IF($A813="","",COUNTIF(Task_Steps!$B$5:$B$2004,$A813))</f>
        <v/>
      </c>
      <c r="Y813" s="86">
        <f>IF($X813=0,"",COUNTIFS(Task_Steps!$B$5:$B$2004,$A813,Task_Steps!$H$5:$H$2004,"Completed")/$X813)</f>
        <v/>
      </c>
      <c r="Z813" s="81" t="n"/>
      <c r="AA813" s="81" t="n"/>
      <c r="AB813" s="67">
        <f>IF($F813="","",IFERROR(INDEX(Employee_Master!$E$5:$E$204,MATCH($F813,Employee_Master!$B$5:$B$204,0)),""))</f>
        <v/>
      </c>
      <c r="AC813" s="65">
        <f>IF(OR($A813="",$AB813=""),"",IF(OR($I813="Completed",$I813="Cancelled"),"Closed - in Manager Report","Active - in Manager Report"))</f>
        <v/>
      </c>
      <c r="AD813" s="81">
        <f>IF($A813="","",IFERROR(TEXTJOIN(", ",TRUE,FILTER(Task_Steps!$A$5:$A$2004,Task_Steps!$B$5:$B$2004=$A813)),""))</f>
        <v/>
      </c>
      <c r="AE813" s="84">
        <f>IF($A813="","",COUNTIFS(Task_Steps!$B$5:$B$2004,$A813,Task_Steps!$H$5:$H$2004,"&lt;&gt;Completed",Task_Steps!$H$5:$H$2004,"&lt;&gt;Cancelled"))</f>
        <v/>
      </c>
      <c r="AF813" s="81">
        <f>IF(OR($B813="",$A813=""),"",$B813&amp;" | "&amp;$A813)</f>
        <v/>
      </c>
    </row>
    <row r="814" ht="15" customHeight="1" s="40">
      <c r="A814" s="65">
        <f>IF(COUNTA(B814:F814)=0,"","TSK-"&amp;TEXT(ROW()-4,"0000"))</f>
        <v/>
      </c>
      <c r="B814" s="78" t="n"/>
      <c r="C814" s="78" t="n"/>
      <c r="D814" s="81" t="n"/>
      <c r="E814" s="81" t="n"/>
      <c r="F814" s="78" t="n"/>
      <c r="G814" s="67">
        <f>IF($F814="","",IFERROR(INDEX(Employee_Master!$C$5:$C$204,MATCH($F814,Employee_Master!$B$5:$B$204,0)),""))</f>
        <v/>
      </c>
      <c r="H814" s="78" t="n"/>
      <c r="I814" s="78" t="n"/>
      <c r="J814" s="67">
        <f>IF($I814="","",IFERROR(INDEX(Action_Status_Map!$B$5:$B$11,MATCH($I814,Action_Status_Map!$A$5:$A$11,0)),""))</f>
        <v/>
      </c>
      <c r="K814" s="82" t="n"/>
      <c r="L814" s="82" t="n"/>
      <c r="M814" s="82" t="n"/>
      <c r="N814" s="83" t="n"/>
      <c r="O814" s="83" t="n"/>
      <c r="P814" s="66">
        <f>IF(OR($N814="",$O814=""),"",$O814-$N814)</f>
        <v/>
      </c>
      <c r="Q814" s="84">
        <f>IF($K814="","",IF($M814&lt;&gt;"",$M814-$K814,TODAY()-$K814))</f>
        <v/>
      </c>
      <c r="R814" s="85">
        <f>IF(OR($L814="",$I814="Completed",$I814="Cancelled"),"",IF(AND($L814&lt;TODAY(),$I814&lt;&gt;"Completed",$I814&lt;&gt;"Cancelled"),"Overdue","On Track"))</f>
        <v/>
      </c>
      <c r="S814" s="65">
        <f>IF($L814="","",TEXT($L814,"yyyy-mm"))</f>
        <v/>
      </c>
      <c r="T814" s="86">
        <f>IF($I814="","",IFERROR(INDEX(Action_Status_Map!$C$5:$C$11,MATCH($I814,Action_Status_Map!$A$5:$A$11,0)),""))</f>
        <v/>
      </c>
      <c r="U814" s="81" t="n"/>
      <c r="V814" s="82" t="n"/>
      <c r="W814" s="65">
        <f>IF(OR($I814&lt;&gt;"Completed",$M814="",$L814=""),"",IF($M814&lt;=$L814,"Yes","No"))</f>
        <v/>
      </c>
      <c r="X814" s="84">
        <f>IF($A814="","",COUNTIF(Task_Steps!$B$5:$B$2004,$A814))</f>
        <v/>
      </c>
      <c r="Y814" s="86">
        <f>IF($X814=0,"",COUNTIFS(Task_Steps!$B$5:$B$2004,$A814,Task_Steps!$H$5:$H$2004,"Completed")/$X814)</f>
        <v/>
      </c>
      <c r="Z814" s="81" t="n"/>
      <c r="AA814" s="81" t="n"/>
      <c r="AB814" s="67">
        <f>IF($F814="","",IFERROR(INDEX(Employee_Master!$E$5:$E$204,MATCH($F814,Employee_Master!$B$5:$B$204,0)),""))</f>
        <v/>
      </c>
      <c r="AC814" s="65">
        <f>IF(OR($A814="",$AB814=""),"",IF(OR($I814="Completed",$I814="Cancelled"),"Closed - in Manager Report","Active - in Manager Report"))</f>
        <v/>
      </c>
      <c r="AD814" s="81">
        <f>IF($A814="","",IFERROR(TEXTJOIN(", ",TRUE,FILTER(Task_Steps!$A$5:$A$2004,Task_Steps!$B$5:$B$2004=$A814)),""))</f>
        <v/>
      </c>
      <c r="AE814" s="84">
        <f>IF($A814="","",COUNTIFS(Task_Steps!$B$5:$B$2004,$A814,Task_Steps!$H$5:$H$2004,"&lt;&gt;Completed",Task_Steps!$H$5:$H$2004,"&lt;&gt;Cancelled"))</f>
        <v/>
      </c>
      <c r="AF814" s="81">
        <f>IF(OR($B814="",$A814=""),"",$B814&amp;" | "&amp;$A814)</f>
        <v/>
      </c>
    </row>
    <row r="815" ht="15" customHeight="1" s="40">
      <c r="A815" s="65">
        <f>IF(COUNTA(B815:F815)=0,"","TSK-"&amp;TEXT(ROW()-4,"0000"))</f>
        <v/>
      </c>
      <c r="B815" s="78" t="n"/>
      <c r="C815" s="78" t="n"/>
      <c r="D815" s="81" t="n"/>
      <c r="E815" s="81" t="n"/>
      <c r="F815" s="78" t="n"/>
      <c r="G815" s="67">
        <f>IF($F815="","",IFERROR(INDEX(Employee_Master!$C$5:$C$204,MATCH($F815,Employee_Master!$B$5:$B$204,0)),""))</f>
        <v/>
      </c>
      <c r="H815" s="78" t="n"/>
      <c r="I815" s="78" t="n"/>
      <c r="J815" s="67">
        <f>IF($I815="","",IFERROR(INDEX(Action_Status_Map!$B$5:$B$11,MATCH($I815,Action_Status_Map!$A$5:$A$11,0)),""))</f>
        <v/>
      </c>
      <c r="K815" s="82" t="n"/>
      <c r="L815" s="82" t="n"/>
      <c r="M815" s="82" t="n"/>
      <c r="N815" s="83" t="n"/>
      <c r="O815" s="83" t="n"/>
      <c r="P815" s="66">
        <f>IF(OR($N815="",$O815=""),"",$O815-$N815)</f>
        <v/>
      </c>
      <c r="Q815" s="84">
        <f>IF($K815="","",IF($M815&lt;&gt;"",$M815-$K815,TODAY()-$K815))</f>
        <v/>
      </c>
      <c r="R815" s="85">
        <f>IF(OR($L815="",$I815="Completed",$I815="Cancelled"),"",IF(AND($L815&lt;TODAY(),$I815&lt;&gt;"Completed",$I815&lt;&gt;"Cancelled"),"Overdue","On Track"))</f>
        <v/>
      </c>
      <c r="S815" s="65">
        <f>IF($L815="","",TEXT($L815,"yyyy-mm"))</f>
        <v/>
      </c>
      <c r="T815" s="86">
        <f>IF($I815="","",IFERROR(INDEX(Action_Status_Map!$C$5:$C$11,MATCH($I815,Action_Status_Map!$A$5:$A$11,0)),""))</f>
        <v/>
      </c>
      <c r="U815" s="81" t="n"/>
      <c r="V815" s="82" t="n"/>
      <c r="W815" s="65">
        <f>IF(OR($I815&lt;&gt;"Completed",$M815="",$L815=""),"",IF($M815&lt;=$L815,"Yes","No"))</f>
        <v/>
      </c>
      <c r="X815" s="84">
        <f>IF($A815="","",COUNTIF(Task_Steps!$B$5:$B$2004,$A815))</f>
        <v/>
      </c>
      <c r="Y815" s="86">
        <f>IF($X815=0,"",COUNTIFS(Task_Steps!$B$5:$B$2004,$A815,Task_Steps!$H$5:$H$2004,"Completed")/$X815)</f>
        <v/>
      </c>
      <c r="Z815" s="81" t="n"/>
      <c r="AA815" s="81" t="n"/>
      <c r="AB815" s="67">
        <f>IF($F815="","",IFERROR(INDEX(Employee_Master!$E$5:$E$204,MATCH($F815,Employee_Master!$B$5:$B$204,0)),""))</f>
        <v/>
      </c>
      <c r="AC815" s="65">
        <f>IF(OR($A815="",$AB815=""),"",IF(OR($I815="Completed",$I815="Cancelled"),"Closed - in Manager Report","Active - in Manager Report"))</f>
        <v/>
      </c>
      <c r="AD815" s="81">
        <f>IF($A815="","",IFERROR(TEXTJOIN(", ",TRUE,FILTER(Task_Steps!$A$5:$A$2004,Task_Steps!$B$5:$B$2004=$A815)),""))</f>
        <v/>
      </c>
      <c r="AE815" s="84">
        <f>IF($A815="","",COUNTIFS(Task_Steps!$B$5:$B$2004,$A815,Task_Steps!$H$5:$H$2004,"&lt;&gt;Completed",Task_Steps!$H$5:$H$2004,"&lt;&gt;Cancelled"))</f>
        <v/>
      </c>
      <c r="AF815" s="81">
        <f>IF(OR($B815="",$A815=""),"",$B815&amp;" | "&amp;$A815)</f>
        <v/>
      </c>
    </row>
    <row r="816" ht="15" customHeight="1" s="40">
      <c r="A816" s="65">
        <f>IF(COUNTA(B816:F816)=0,"","TSK-"&amp;TEXT(ROW()-4,"0000"))</f>
        <v/>
      </c>
      <c r="B816" s="78" t="n"/>
      <c r="C816" s="78" t="n"/>
      <c r="D816" s="81" t="n"/>
      <c r="E816" s="81" t="n"/>
      <c r="F816" s="78" t="n"/>
      <c r="G816" s="67">
        <f>IF($F816="","",IFERROR(INDEX(Employee_Master!$C$5:$C$204,MATCH($F816,Employee_Master!$B$5:$B$204,0)),""))</f>
        <v/>
      </c>
      <c r="H816" s="78" t="n"/>
      <c r="I816" s="78" t="n"/>
      <c r="J816" s="67">
        <f>IF($I816="","",IFERROR(INDEX(Action_Status_Map!$B$5:$B$11,MATCH($I816,Action_Status_Map!$A$5:$A$11,0)),""))</f>
        <v/>
      </c>
      <c r="K816" s="82" t="n"/>
      <c r="L816" s="82" t="n"/>
      <c r="M816" s="82" t="n"/>
      <c r="N816" s="83" t="n"/>
      <c r="O816" s="83" t="n"/>
      <c r="P816" s="66">
        <f>IF(OR($N816="",$O816=""),"",$O816-$N816)</f>
        <v/>
      </c>
      <c r="Q816" s="84">
        <f>IF($K816="","",IF($M816&lt;&gt;"",$M816-$K816,TODAY()-$K816))</f>
        <v/>
      </c>
      <c r="R816" s="85">
        <f>IF(OR($L816="",$I816="Completed",$I816="Cancelled"),"",IF(AND($L816&lt;TODAY(),$I816&lt;&gt;"Completed",$I816&lt;&gt;"Cancelled"),"Overdue","On Track"))</f>
        <v/>
      </c>
      <c r="S816" s="65">
        <f>IF($L816="","",TEXT($L816,"yyyy-mm"))</f>
        <v/>
      </c>
      <c r="T816" s="86">
        <f>IF($I816="","",IFERROR(INDEX(Action_Status_Map!$C$5:$C$11,MATCH($I816,Action_Status_Map!$A$5:$A$11,0)),""))</f>
        <v/>
      </c>
      <c r="U816" s="81" t="n"/>
      <c r="V816" s="82" t="n"/>
      <c r="W816" s="65">
        <f>IF(OR($I816&lt;&gt;"Completed",$M816="",$L816=""),"",IF($M816&lt;=$L816,"Yes","No"))</f>
        <v/>
      </c>
      <c r="X816" s="84">
        <f>IF($A816="","",COUNTIF(Task_Steps!$B$5:$B$2004,$A816))</f>
        <v/>
      </c>
      <c r="Y816" s="86">
        <f>IF($X816=0,"",COUNTIFS(Task_Steps!$B$5:$B$2004,$A816,Task_Steps!$H$5:$H$2004,"Completed")/$X816)</f>
        <v/>
      </c>
      <c r="Z816" s="81" t="n"/>
      <c r="AA816" s="81" t="n"/>
      <c r="AB816" s="67">
        <f>IF($F816="","",IFERROR(INDEX(Employee_Master!$E$5:$E$204,MATCH($F816,Employee_Master!$B$5:$B$204,0)),""))</f>
        <v/>
      </c>
      <c r="AC816" s="65">
        <f>IF(OR($A816="",$AB816=""),"",IF(OR($I816="Completed",$I816="Cancelled"),"Closed - in Manager Report","Active - in Manager Report"))</f>
        <v/>
      </c>
      <c r="AD816" s="81">
        <f>IF($A816="","",IFERROR(TEXTJOIN(", ",TRUE,FILTER(Task_Steps!$A$5:$A$2004,Task_Steps!$B$5:$B$2004=$A816)),""))</f>
        <v/>
      </c>
      <c r="AE816" s="84">
        <f>IF($A816="","",COUNTIFS(Task_Steps!$B$5:$B$2004,$A816,Task_Steps!$H$5:$H$2004,"&lt;&gt;Completed",Task_Steps!$H$5:$H$2004,"&lt;&gt;Cancelled"))</f>
        <v/>
      </c>
      <c r="AF816" s="81">
        <f>IF(OR($B816="",$A816=""),"",$B816&amp;" | "&amp;$A816)</f>
        <v/>
      </c>
    </row>
    <row r="817" ht="15" customHeight="1" s="40">
      <c r="A817" s="65">
        <f>IF(COUNTA(B817:F817)=0,"","TSK-"&amp;TEXT(ROW()-4,"0000"))</f>
        <v/>
      </c>
      <c r="B817" s="78" t="n"/>
      <c r="C817" s="78" t="n"/>
      <c r="D817" s="81" t="n"/>
      <c r="E817" s="81" t="n"/>
      <c r="F817" s="78" t="n"/>
      <c r="G817" s="67">
        <f>IF($F817="","",IFERROR(INDEX(Employee_Master!$C$5:$C$204,MATCH($F817,Employee_Master!$B$5:$B$204,0)),""))</f>
        <v/>
      </c>
      <c r="H817" s="78" t="n"/>
      <c r="I817" s="78" t="n"/>
      <c r="J817" s="67">
        <f>IF($I817="","",IFERROR(INDEX(Action_Status_Map!$B$5:$B$11,MATCH($I817,Action_Status_Map!$A$5:$A$11,0)),""))</f>
        <v/>
      </c>
      <c r="K817" s="82" t="n"/>
      <c r="L817" s="82" t="n"/>
      <c r="M817" s="82" t="n"/>
      <c r="N817" s="83" t="n"/>
      <c r="O817" s="83" t="n"/>
      <c r="P817" s="66">
        <f>IF(OR($N817="",$O817=""),"",$O817-$N817)</f>
        <v/>
      </c>
      <c r="Q817" s="84">
        <f>IF($K817="","",IF($M817&lt;&gt;"",$M817-$K817,TODAY()-$K817))</f>
        <v/>
      </c>
      <c r="R817" s="85">
        <f>IF(OR($L817="",$I817="Completed",$I817="Cancelled"),"",IF(AND($L817&lt;TODAY(),$I817&lt;&gt;"Completed",$I817&lt;&gt;"Cancelled"),"Overdue","On Track"))</f>
        <v/>
      </c>
      <c r="S817" s="65">
        <f>IF($L817="","",TEXT($L817,"yyyy-mm"))</f>
        <v/>
      </c>
      <c r="T817" s="86">
        <f>IF($I817="","",IFERROR(INDEX(Action_Status_Map!$C$5:$C$11,MATCH($I817,Action_Status_Map!$A$5:$A$11,0)),""))</f>
        <v/>
      </c>
      <c r="U817" s="81" t="n"/>
      <c r="V817" s="82" t="n"/>
      <c r="W817" s="65">
        <f>IF(OR($I817&lt;&gt;"Completed",$M817="",$L817=""),"",IF($M817&lt;=$L817,"Yes","No"))</f>
        <v/>
      </c>
      <c r="X817" s="84">
        <f>IF($A817="","",COUNTIF(Task_Steps!$B$5:$B$2004,$A817))</f>
        <v/>
      </c>
      <c r="Y817" s="86">
        <f>IF($X817=0,"",COUNTIFS(Task_Steps!$B$5:$B$2004,$A817,Task_Steps!$H$5:$H$2004,"Completed")/$X817)</f>
        <v/>
      </c>
      <c r="Z817" s="81" t="n"/>
      <c r="AA817" s="81" t="n"/>
      <c r="AB817" s="67">
        <f>IF($F817="","",IFERROR(INDEX(Employee_Master!$E$5:$E$204,MATCH($F817,Employee_Master!$B$5:$B$204,0)),""))</f>
        <v/>
      </c>
      <c r="AC817" s="65">
        <f>IF(OR($A817="",$AB817=""),"",IF(OR($I817="Completed",$I817="Cancelled"),"Closed - in Manager Report","Active - in Manager Report"))</f>
        <v/>
      </c>
      <c r="AD817" s="81">
        <f>IF($A817="","",IFERROR(TEXTJOIN(", ",TRUE,FILTER(Task_Steps!$A$5:$A$2004,Task_Steps!$B$5:$B$2004=$A817)),""))</f>
        <v/>
      </c>
      <c r="AE817" s="84">
        <f>IF($A817="","",COUNTIFS(Task_Steps!$B$5:$B$2004,$A817,Task_Steps!$H$5:$H$2004,"&lt;&gt;Completed",Task_Steps!$H$5:$H$2004,"&lt;&gt;Cancelled"))</f>
        <v/>
      </c>
      <c r="AF817" s="81">
        <f>IF(OR($B817="",$A817=""),"",$B817&amp;" | "&amp;$A817)</f>
        <v/>
      </c>
    </row>
    <row r="818" ht="15" customHeight="1" s="40">
      <c r="A818" s="65">
        <f>IF(COUNTA(B818:F818)=0,"","TSK-"&amp;TEXT(ROW()-4,"0000"))</f>
        <v/>
      </c>
      <c r="B818" s="78" t="n"/>
      <c r="C818" s="78" t="n"/>
      <c r="D818" s="81" t="n"/>
      <c r="E818" s="81" t="n"/>
      <c r="F818" s="78" t="n"/>
      <c r="G818" s="67">
        <f>IF($F818="","",IFERROR(INDEX(Employee_Master!$C$5:$C$204,MATCH($F818,Employee_Master!$B$5:$B$204,0)),""))</f>
        <v/>
      </c>
      <c r="H818" s="78" t="n"/>
      <c r="I818" s="78" t="n"/>
      <c r="J818" s="67">
        <f>IF($I818="","",IFERROR(INDEX(Action_Status_Map!$B$5:$B$11,MATCH($I818,Action_Status_Map!$A$5:$A$11,0)),""))</f>
        <v/>
      </c>
      <c r="K818" s="82" t="n"/>
      <c r="L818" s="82" t="n"/>
      <c r="M818" s="82" t="n"/>
      <c r="N818" s="83" t="n"/>
      <c r="O818" s="83" t="n"/>
      <c r="P818" s="66">
        <f>IF(OR($N818="",$O818=""),"",$O818-$N818)</f>
        <v/>
      </c>
      <c r="Q818" s="84">
        <f>IF($K818="","",IF($M818&lt;&gt;"",$M818-$K818,TODAY()-$K818))</f>
        <v/>
      </c>
      <c r="R818" s="85">
        <f>IF(OR($L818="",$I818="Completed",$I818="Cancelled"),"",IF(AND($L818&lt;TODAY(),$I818&lt;&gt;"Completed",$I818&lt;&gt;"Cancelled"),"Overdue","On Track"))</f>
        <v/>
      </c>
      <c r="S818" s="65">
        <f>IF($L818="","",TEXT($L818,"yyyy-mm"))</f>
        <v/>
      </c>
      <c r="T818" s="86">
        <f>IF($I818="","",IFERROR(INDEX(Action_Status_Map!$C$5:$C$11,MATCH($I818,Action_Status_Map!$A$5:$A$11,0)),""))</f>
        <v/>
      </c>
      <c r="U818" s="81" t="n"/>
      <c r="V818" s="82" t="n"/>
      <c r="W818" s="65">
        <f>IF(OR($I818&lt;&gt;"Completed",$M818="",$L818=""),"",IF($M818&lt;=$L818,"Yes","No"))</f>
        <v/>
      </c>
      <c r="X818" s="84">
        <f>IF($A818="","",COUNTIF(Task_Steps!$B$5:$B$2004,$A818))</f>
        <v/>
      </c>
      <c r="Y818" s="86">
        <f>IF($X818=0,"",COUNTIFS(Task_Steps!$B$5:$B$2004,$A818,Task_Steps!$H$5:$H$2004,"Completed")/$X818)</f>
        <v/>
      </c>
      <c r="Z818" s="81" t="n"/>
      <c r="AA818" s="81" t="n"/>
      <c r="AB818" s="67">
        <f>IF($F818="","",IFERROR(INDEX(Employee_Master!$E$5:$E$204,MATCH($F818,Employee_Master!$B$5:$B$204,0)),""))</f>
        <v/>
      </c>
      <c r="AC818" s="65">
        <f>IF(OR($A818="",$AB818=""),"",IF(OR($I818="Completed",$I818="Cancelled"),"Closed - in Manager Report","Active - in Manager Report"))</f>
        <v/>
      </c>
      <c r="AD818" s="81">
        <f>IF($A818="","",IFERROR(TEXTJOIN(", ",TRUE,FILTER(Task_Steps!$A$5:$A$2004,Task_Steps!$B$5:$B$2004=$A818)),""))</f>
        <v/>
      </c>
      <c r="AE818" s="84">
        <f>IF($A818="","",COUNTIFS(Task_Steps!$B$5:$B$2004,$A818,Task_Steps!$H$5:$H$2004,"&lt;&gt;Completed",Task_Steps!$H$5:$H$2004,"&lt;&gt;Cancelled"))</f>
        <v/>
      </c>
      <c r="AF818" s="81">
        <f>IF(OR($B818="",$A818=""),"",$B818&amp;" | "&amp;$A818)</f>
        <v/>
      </c>
    </row>
    <row r="819" ht="15" customHeight="1" s="40">
      <c r="A819" s="65">
        <f>IF(COUNTA(B819:F819)=0,"","TSK-"&amp;TEXT(ROW()-4,"0000"))</f>
        <v/>
      </c>
      <c r="B819" s="78" t="n"/>
      <c r="C819" s="78" t="n"/>
      <c r="D819" s="81" t="n"/>
      <c r="E819" s="81" t="n"/>
      <c r="F819" s="78" t="n"/>
      <c r="G819" s="67">
        <f>IF($F819="","",IFERROR(INDEX(Employee_Master!$C$5:$C$204,MATCH($F819,Employee_Master!$B$5:$B$204,0)),""))</f>
        <v/>
      </c>
      <c r="H819" s="78" t="n"/>
      <c r="I819" s="78" t="n"/>
      <c r="J819" s="67">
        <f>IF($I819="","",IFERROR(INDEX(Action_Status_Map!$B$5:$B$11,MATCH($I819,Action_Status_Map!$A$5:$A$11,0)),""))</f>
        <v/>
      </c>
      <c r="K819" s="82" t="n"/>
      <c r="L819" s="82" t="n"/>
      <c r="M819" s="82" t="n"/>
      <c r="N819" s="83" t="n"/>
      <c r="O819" s="83" t="n"/>
      <c r="P819" s="66">
        <f>IF(OR($N819="",$O819=""),"",$O819-$N819)</f>
        <v/>
      </c>
      <c r="Q819" s="84">
        <f>IF($K819="","",IF($M819&lt;&gt;"",$M819-$K819,TODAY()-$K819))</f>
        <v/>
      </c>
      <c r="R819" s="85">
        <f>IF(OR($L819="",$I819="Completed",$I819="Cancelled"),"",IF(AND($L819&lt;TODAY(),$I819&lt;&gt;"Completed",$I819&lt;&gt;"Cancelled"),"Overdue","On Track"))</f>
        <v/>
      </c>
      <c r="S819" s="65">
        <f>IF($L819="","",TEXT($L819,"yyyy-mm"))</f>
        <v/>
      </c>
      <c r="T819" s="86">
        <f>IF($I819="","",IFERROR(INDEX(Action_Status_Map!$C$5:$C$11,MATCH($I819,Action_Status_Map!$A$5:$A$11,0)),""))</f>
        <v/>
      </c>
      <c r="U819" s="81" t="n"/>
      <c r="V819" s="82" t="n"/>
      <c r="W819" s="65">
        <f>IF(OR($I819&lt;&gt;"Completed",$M819="",$L819=""),"",IF($M819&lt;=$L819,"Yes","No"))</f>
        <v/>
      </c>
      <c r="X819" s="84">
        <f>IF($A819="","",COUNTIF(Task_Steps!$B$5:$B$2004,$A819))</f>
        <v/>
      </c>
      <c r="Y819" s="86">
        <f>IF($X819=0,"",COUNTIFS(Task_Steps!$B$5:$B$2004,$A819,Task_Steps!$H$5:$H$2004,"Completed")/$X819)</f>
        <v/>
      </c>
      <c r="Z819" s="81" t="n"/>
      <c r="AA819" s="81" t="n"/>
      <c r="AB819" s="67">
        <f>IF($F819="","",IFERROR(INDEX(Employee_Master!$E$5:$E$204,MATCH($F819,Employee_Master!$B$5:$B$204,0)),""))</f>
        <v/>
      </c>
      <c r="AC819" s="65">
        <f>IF(OR($A819="",$AB819=""),"",IF(OR($I819="Completed",$I819="Cancelled"),"Closed - in Manager Report","Active - in Manager Report"))</f>
        <v/>
      </c>
      <c r="AD819" s="81">
        <f>IF($A819="","",IFERROR(TEXTJOIN(", ",TRUE,FILTER(Task_Steps!$A$5:$A$2004,Task_Steps!$B$5:$B$2004=$A819)),""))</f>
        <v/>
      </c>
      <c r="AE819" s="84">
        <f>IF($A819="","",COUNTIFS(Task_Steps!$B$5:$B$2004,$A819,Task_Steps!$H$5:$H$2004,"&lt;&gt;Completed",Task_Steps!$H$5:$H$2004,"&lt;&gt;Cancelled"))</f>
        <v/>
      </c>
      <c r="AF819" s="81">
        <f>IF(OR($B819="",$A819=""),"",$B819&amp;" | "&amp;$A819)</f>
        <v/>
      </c>
    </row>
    <row r="820" ht="15" customHeight="1" s="40">
      <c r="A820" s="65">
        <f>IF(COUNTA(B820:F820)=0,"","TSK-"&amp;TEXT(ROW()-4,"0000"))</f>
        <v/>
      </c>
      <c r="B820" s="78" t="n"/>
      <c r="C820" s="78" t="n"/>
      <c r="D820" s="81" t="n"/>
      <c r="E820" s="81" t="n"/>
      <c r="F820" s="78" t="n"/>
      <c r="G820" s="67">
        <f>IF($F820="","",IFERROR(INDEX(Employee_Master!$C$5:$C$204,MATCH($F820,Employee_Master!$B$5:$B$204,0)),""))</f>
        <v/>
      </c>
      <c r="H820" s="78" t="n"/>
      <c r="I820" s="78" t="n"/>
      <c r="J820" s="67">
        <f>IF($I820="","",IFERROR(INDEX(Action_Status_Map!$B$5:$B$11,MATCH($I820,Action_Status_Map!$A$5:$A$11,0)),""))</f>
        <v/>
      </c>
      <c r="K820" s="82" t="n"/>
      <c r="L820" s="82" t="n"/>
      <c r="M820" s="82" t="n"/>
      <c r="N820" s="83" t="n"/>
      <c r="O820" s="83" t="n"/>
      <c r="P820" s="66">
        <f>IF(OR($N820="",$O820=""),"",$O820-$N820)</f>
        <v/>
      </c>
      <c r="Q820" s="84">
        <f>IF($K820="","",IF($M820&lt;&gt;"",$M820-$K820,TODAY()-$K820))</f>
        <v/>
      </c>
      <c r="R820" s="85">
        <f>IF(OR($L820="",$I820="Completed",$I820="Cancelled"),"",IF(AND($L820&lt;TODAY(),$I820&lt;&gt;"Completed",$I820&lt;&gt;"Cancelled"),"Overdue","On Track"))</f>
        <v/>
      </c>
      <c r="S820" s="65">
        <f>IF($L820="","",TEXT($L820,"yyyy-mm"))</f>
        <v/>
      </c>
      <c r="T820" s="86">
        <f>IF($I820="","",IFERROR(INDEX(Action_Status_Map!$C$5:$C$11,MATCH($I820,Action_Status_Map!$A$5:$A$11,0)),""))</f>
        <v/>
      </c>
      <c r="U820" s="81" t="n"/>
      <c r="V820" s="82" t="n"/>
      <c r="W820" s="65">
        <f>IF(OR($I820&lt;&gt;"Completed",$M820="",$L820=""),"",IF($M820&lt;=$L820,"Yes","No"))</f>
        <v/>
      </c>
      <c r="X820" s="84">
        <f>IF($A820="","",COUNTIF(Task_Steps!$B$5:$B$2004,$A820))</f>
        <v/>
      </c>
      <c r="Y820" s="86">
        <f>IF($X820=0,"",COUNTIFS(Task_Steps!$B$5:$B$2004,$A820,Task_Steps!$H$5:$H$2004,"Completed")/$X820)</f>
        <v/>
      </c>
      <c r="Z820" s="81" t="n"/>
      <c r="AA820" s="81" t="n"/>
      <c r="AB820" s="67">
        <f>IF($F820="","",IFERROR(INDEX(Employee_Master!$E$5:$E$204,MATCH($F820,Employee_Master!$B$5:$B$204,0)),""))</f>
        <v/>
      </c>
      <c r="AC820" s="65">
        <f>IF(OR($A820="",$AB820=""),"",IF(OR($I820="Completed",$I820="Cancelled"),"Closed - in Manager Report","Active - in Manager Report"))</f>
        <v/>
      </c>
      <c r="AD820" s="81">
        <f>IF($A820="","",IFERROR(TEXTJOIN(", ",TRUE,FILTER(Task_Steps!$A$5:$A$2004,Task_Steps!$B$5:$B$2004=$A820)),""))</f>
        <v/>
      </c>
      <c r="AE820" s="84">
        <f>IF($A820="","",COUNTIFS(Task_Steps!$B$5:$B$2004,$A820,Task_Steps!$H$5:$H$2004,"&lt;&gt;Completed",Task_Steps!$H$5:$H$2004,"&lt;&gt;Cancelled"))</f>
        <v/>
      </c>
      <c r="AF820" s="81">
        <f>IF(OR($B820="",$A820=""),"",$B820&amp;" | "&amp;$A820)</f>
        <v/>
      </c>
    </row>
    <row r="821" ht="15" customHeight="1" s="40">
      <c r="A821" s="65">
        <f>IF(COUNTA(B821:F821)=0,"","TSK-"&amp;TEXT(ROW()-4,"0000"))</f>
        <v/>
      </c>
      <c r="B821" s="78" t="n"/>
      <c r="C821" s="78" t="n"/>
      <c r="D821" s="81" t="n"/>
      <c r="E821" s="81" t="n"/>
      <c r="F821" s="78" t="n"/>
      <c r="G821" s="67">
        <f>IF($F821="","",IFERROR(INDEX(Employee_Master!$C$5:$C$204,MATCH($F821,Employee_Master!$B$5:$B$204,0)),""))</f>
        <v/>
      </c>
      <c r="H821" s="78" t="n"/>
      <c r="I821" s="78" t="n"/>
      <c r="J821" s="67">
        <f>IF($I821="","",IFERROR(INDEX(Action_Status_Map!$B$5:$B$11,MATCH($I821,Action_Status_Map!$A$5:$A$11,0)),""))</f>
        <v/>
      </c>
      <c r="K821" s="82" t="n"/>
      <c r="L821" s="82" t="n"/>
      <c r="M821" s="82" t="n"/>
      <c r="N821" s="83" t="n"/>
      <c r="O821" s="83" t="n"/>
      <c r="P821" s="66">
        <f>IF(OR($N821="",$O821=""),"",$O821-$N821)</f>
        <v/>
      </c>
      <c r="Q821" s="84">
        <f>IF($K821="","",IF($M821&lt;&gt;"",$M821-$K821,TODAY()-$K821))</f>
        <v/>
      </c>
      <c r="R821" s="85">
        <f>IF(OR($L821="",$I821="Completed",$I821="Cancelled"),"",IF(AND($L821&lt;TODAY(),$I821&lt;&gt;"Completed",$I821&lt;&gt;"Cancelled"),"Overdue","On Track"))</f>
        <v/>
      </c>
      <c r="S821" s="65">
        <f>IF($L821="","",TEXT($L821,"yyyy-mm"))</f>
        <v/>
      </c>
      <c r="T821" s="86">
        <f>IF($I821="","",IFERROR(INDEX(Action_Status_Map!$C$5:$C$11,MATCH($I821,Action_Status_Map!$A$5:$A$11,0)),""))</f>
        <v/>
      </c>
      <c r="U821" s="81" t="n"/>
      <c r="V821" s="82" t="n"/>
      <c r="W821" s="65">
        <f>IF(OR($I821&lt;&gt;"Completed",$M821="",$L821=""),"",IF($M821&lt;=$L821,"Yes","No"))</f>
        <v/>
      </c>
      <c r="X821" s="84">
        <f>IF($A821="","",COUNTIF(Task_Steps!$B$5:$B$2004,$A821))</f>
        <v/>
      </c>
      <c r="Y821" s="86">
        <f>IF($X821=0,"",COUNTIFS(Task_Steps!$B$5:$B$2004,$A821,Task_Steps!$H$5:$H$2004,"Completed")/$X821)</f>
        <v/>
      </c>
      <c r="Z821" s="81" t="n"/>
      <c r="AA821" s="81" t="n"/>
      <c r="AB821" s="67">
        <f>IF($F821="","",IFERROR(INDEX(Employee_Master!$E$5:$E$204,MATCH($F821,Employee_Master!$B$5:$B$204,0)),""))</f>
        <v/>
      </c>
      <c r="AC821" s="65">
        <f>IF(OR($A821="",$AB821=""),"",IF(OR($I821="Completed",$I821="Cancelled"),"Closed - in Manager Report","Active - in Manager Report"))</f>
        <v/>
      </c>
      <c r="AD821" s="81">
        <f>IF($A821="","",IFERROR(TEXTJOIN(", ",TRUE,FILTER(Task_Steps!$A$5:$A$2004,Task_Steps!$B$5:$B$2004=$A821)),""))</f>
        <v/>
      </c>
      <c r="AE821" s="84">
        <f>IF($A821="","",COUNTIFS(Task_Steps!$B$5:$B$2004,$A821,Task_Steps!$H$5:$H$2004,"&lt;&gt;Completed",Task_Steps!$H$5:$H$2004,"&lt;&gt;Cancelled"))</f>
        <v/>
      </c>
      <c r="AF821" s="81">
        <f>IF(OR($B821="",$A821=""),"",$B821&amp;" | "&amp;$A821)</f>
        <v/>
      </c>
    </row>
    <row r="822" ht="15" customHeight="1" s="40">
      <c r="A822" s="65">
        <f>IF(COUNTA(B822:F822)=0,"","TSK-"&amp;TEXT(ROW()-4,"0000"))</f>
        <v/>
      </c>
      <c r="B822" s="78" t="n"/>
      <c r="C822" s="78" t="n"/>
      <c r="D822" s="81" t="n"/>
      <c r="E822" s="81" t="n"/>
      <c r="F822" s="78" t="n"/>
      <c r="G822" s="67">
        <f>IF($F822="","",IFERROR(INDEX(Employee_Master!$C$5:$C$204,MATCH($F822,Employee_Master!$B$5:$B$204,0)),""))</f>
        <v/>
      </c>
      <c r="H822" s="78" t="n"/>
      <c r="I822" s="78" t="n"/>
      <c r="J822" s="67">
        <f>IF($I822="","",IFERROR(INDEX(Action_Status_Map!$B$5:$B$11,MATCH($I822,Action_Status_Map!$A$5:$A$11,0)),""))</f>
        <v/>
      </c>
      <c r="K822" s="82" t="n"/>
      <c r="L822" s="82" t="n"/>
      <c r="M822" s="82" t="n"/>
      <c r="N822" s="83" t="n"/>
      <c r="O822" s="83" t="n"/>
      <c r="P822" s="66">
        <f>IF(OR($N822="",$O822=""),"",$O822-$N822)</f>
        <v/>
      </c>
      <c r="Q822" s="84">
        <f>IF($K822="","",IF($M822&lt;&gt;"",$M822-$K822,TODAY()-$K822))</f>
        <v/>
      </c>
      <c r="R822" s="85">
        <f>IF(OR($L822="",$I822="Completed",$I822="Cancelled"),"",IF(AND($L822&lt;TODAY(),$I822&lt;&gt;"Completed",$I822&lt;&gt;"Cancelled"),"Overdue","On Track"))</f>
        <v/>
      </c>
      <c r="S822" s="65">
        <f>IF($L822="","",TEXT($L822,"yyyy-mm"))</f>
        <v/>
      </c>
      <c r="T822" s="86">
        <f>IF($I822="","",IFERROR(INDEX(Action_Status_Map!$C$5:$C$11,MATCH($I822,Action_Status_Map!$A$5:$A$11,0)),""))</f>
        <v/>
      </c>
      <c r="U822" s="81" t="n"/>
      <c r="V822" s="82" t="n"/>
      <c r="W822" s="65">
        <f>IF(OR($I822&lt;&gt;"Completed",$M822="",$L822=""),"",IF($M822&lt;=$L822,"Yes","No"))</f>
        <v/>
      </c>
      <c r="X822" s="84">
        <f>IF($A822="","",COUNTIF(Task_Steps!$B$5:$B$2004,$A822))</f>
        <v/>
      </c>
      <c r="Y822" s="86">
        <f>IF($X822=0,"",COUNTIFS(Task_Steps!$B$5:$B$2004,$A822,Task_Steps!$H$5:$H$2004,"Completed")/$X822)</f>
        <v/>
      </c>
      <c r="Z822" s="81" t="n"/>
      <c r="AA822" s="81" t="n"/>
      <c r="AB822" s="67">
        <f>IF($F822="","",IFERROR(INDEX(Employee_Master!$E$5:$E$204,MATCH($F822,Employee_Master!$B$5:$B$204,0)),""))</f>
        <v/>
      </c>
      <c r="AC822" s="65">
        <f>IF(OR($A822="",$AB822=""),"",IF(OR($I822="Completed",$I822="Cancelled"),"Closed - in Manager Report","Active - in Manager Report"))</f>
        <v/>
      </c>
      <c r="AD822" s="81">
        <f>IF($A822="","",IFERROR(TEXTJOIN(", ",TRUE,FILTER(Task_Steps!$A$5:$A$2004,Task_Steps!$B$5:$B$2004=$A822)),""))</f>
        <v/>
      </c>
      <c r="AE822" s="84">
        <f>IF($A822="","",COUNTIFS(Task_Steps!$B$5:$B$2004,$A822,Task_Steps!$H$5:$H$2004,"&lt;&gt;Completed",Task_Steps!$H$5:$H$2004,"&lt;&gt;Cancelled"))</f>
        <v/>
      </c>
      <c r="AF822" s="81">
        <f>IF(OR($B822="",$A822=""),"",$B822&amp;" | "&amp;$A822)</f>
        <v/>
      </c>
    </row>
    <row r="823" ht="15" customHeight="1" s="40">
      <c r="A823" s="65">
        <f>IF(COUNTA(B823:F823)=0,"","TSK-"&amp;TEXT(ROW()-4,"0000"))</f>
        <v/>
      </c>
      <c r="B823" s="78" t="n"/>
      <c r="C823" s="78" t="n"/>
      <c r="D823" s="81" t="n"/>
      <c r="E823" s="81" t="n"/>
      <c r="F823" s="78" t="n"/>
      <c r="G823" s="67">
        <f>IF($F823="","",IFERROR(INDEX(Employee_Master!$C$5:$C$204,MATCH($F823,Employee_Master!$B$5:$B$204,0)),""))</f>
        <v/>
      </c>
      <c r="H823" s="78" t="n"/>
      <c r="I823" s="78" t="n"/>
      <c r="J823" s="67">
        <f>IF($I823="","",IFERROR(INDEX(Action_Status_Map!$B$5:$B$11,MATCH($I823,Action_Status_Map!$A$5:$A$11,0)),""))</f>
        <v/>
      </c>
      <c r="K823" s="82" t="n"/>
      <c r="L823" s="82" t="n"/>
      <c r="M823" s="82" t="n"/>
      <c r="N823" s="83" t="n"/>
      <c r="O823" s="83" t="n"/>
      <c r="P823" s="66">
        <f>IF(OR($N823="",$O823=""),"",$O823-$N823)</f>
        <v/>
      </c>
      <c r="Q823" s="84">
        <f>IF($K823="","",IF($M823&lt;&gt;"",$M823-$K823,TODAY()-$K823))</f>
        <v/>
      </c>
      <c r="R823" s="85">
        <f>IF(OR($L823="",$I823="Completed",$I823="Cancelled"),"",IF(AND($L823&lt;TODAY(),$I823&lt;&gt;"Completed",$I823&lt;&gt;"Cancelled"),"Overdue","On Track"))</f>
        <v/>
      </c>
      <c r="S823" s="65">
        <f>IF($L823="","",TEXT($L823,"yyyy-mm"))</f>
        <v/>
      </c>
      <c r="T823" s="86">
        <f>IF($I823="","",IFERROR(INDEX(Action_Status_Map!$C$5:$C$11,MATCH($I823,Action_Status_Map!$A$5:$A$11,0)),""))</f>
        <v/>
      </c>
      <c r="U823" s="81" t="n"/>
      <c r="V823" s="82" t="n"/>
      <c r="W823" s="65">
        <f>IF(OR($I823&lt;&gt;"Completed",$M823="",$L823=""),"",IF($M823&lt;=$L823,"Yes","No"))</f>
        <v/>
      </c>
      <c r="X823" s="84">
        <f>IF($A823="","",COUNTIF(Task_Steps!$B$5:$B$2004,$A823))</f>
        <v/>
      </c>
      <c r="Y823" s="86">
        <f>IF($X823=0,"",COUNTIFS(Task_Steps!$B$5:$B$2004,$A823,Task_Steps!$H$5:$H$2004,"Completed")/$X823)</f>
        <v/>
      </c>
      <c r="Z823" s="81" t="n"/>
      <c r="AA823" s="81" t="n"/>
      <c r="AB823" s="67">
        <f>IF($F823="","",IFERROR(INDEX(Employee_Master!$E$5:$E$204,MATCH($F823,Employee_Master!$B$5:$B$204,0)),""))</f>
        <v/>
      </c>
      <c r="AC823" s="65">
        <f>IF(OR($A823="",$AB823=""),"",IF(OR($I823="Completed",$I823="Cancelled"),"Closed - in Manager Report","Active - in Manager Report"))</f>
        <v/>
      </c>
      <c r="AD823" s="81">
        <f>IF($A823="","",IFERROR(TEXTJOIN(", ",TRUE,FILTER(Task_Steps!$A$5:$A$2004,Task_Steps!$B$5:$B$2004=$A823)),""))</f>
        <v/>
      </c>
      <c r="AE823" s="84">
        <f>IF($A823="","",COUNTIFS(Task_Steps!$B$5:$B$2004,$A823,Task_Steps!$H$5:$H$2004,"&lt;&gt;Completed",Task_Steps!$H$5:$H$2004,"&lt;&gt;Cancelled"))</f>
        <v/>
      </c>
      <c r="AF823" s="81">
        <f>IF(OR($B823="",$A823=""),"",$B823&amp;" | "&amp;$A823)</f>
        <v/>
      </c>
    </row>
    <row r="824" ht="15" customHeight="1" s="40">
      <c r="A824" s="65">
        <f>IF(COUNTA(B824:F824)=0,"","TSK-"&amp;TEXT(ROW()-4,"0000"))</f>
        <v/>
      </c>
      <c r="B824" s="78" t="n"/>
      <c r="C824" s="78" t="n"/>
      <c r="D824" s="81" t="n"/>
      <c r="E824" s="81" t="n"/>
      <c r="F824" s="78" t="n"/>
      <c r="G824" s="67">
        <f>IF($F824="","",IFERROR(INDEX(Employee_Master!$C$5:$C$204,MATCH($F824,Employee_Master!$B$5:$B$204,0)),""))</f>
        <v/>
      </c>
      <c r="H824" s="78" t="n"/>
      <c r="I824" s="78" t="n"/>
      <c r="J824" s="67">
        <f>IF($I824="","",IFERROR(INDEX(Action_Status_Map!$B$5:$B$11,MATCH($I824,Action_Status_Map!$A$5:$A$11,0)),""))</f>
        <v/>
      </c>
      <c r="K824" s="82" t="n"/>
      <c r="L824" s="82" t="n"/>
      <c r="M824" s="82" t="n"/>
      <c r="N824" s="83" t="n"/>
      <c r="O824" s="83" t="n"/>
      <c r="P824" s="66">
        <f>IF(OR($N824="",$O824=""),"",$O824-$N824)</f>
        <v/>
      </c>
      <c r="Q824" s="84">
        <f>IF($K824="","",IF($M824&lt;&gt;"",$M824-$K824,TODAY()-$K824))</f>
        <v/>
      </c>
      <c r="R824" s="85">
        <f>IF(OR($L824="",$I824="Completed",$I824="Cancelled"),"",IF(AND($L824&lt;TODAY(),$I824&lt;&gt;"Completed",$I824&lt;&gt;"Cancelled"),"Overdue","On Track"))</f>
        <v/>
      </c>
      <c r="S824" s="65">
        <f>IF($L824="","",TEXT($L824,"yyyy-mm"))</f>
        <v/>
      </c>
      <c r="T824" s="86">
        <f>IF($I824="","",IFERROR(INDEX(Action_Status_Map!$C$5:$C$11,MATCH($I824,Action_Status_Map!$A$5:$A$11,0)),""))</f>
        <v/>
      </c>
      <c r="U824" s="81" t="n"/>
      <c r="V824" s="82" t="n"/>
      <c r="W824" s="65">
        <f>IF(OR($I824&lt;&gt;"Completed",$M824="",$L824=""),"",IF($M824&lt;=$L824,"Yes","No"))</f>
        <v/>
      </c>
      <c r="X824" s="84">
        <f>IF($A824="","",COUNTIF(Task_Steps!$B$5:$B$2004,$A824))</f>
        <v/>
      </c>
      <c r="Y824" s="86">
        <f>IF($X824=0,"",COUNTIFS(Task_Steps!$B$5:$B$2004,$A824,Task_Steps!$H$5:$H$2004,"Completed")/$X824)</f>
        <v/>
      </c>
      <c r="Z824" s="81" t="n"/>
      <c r="AA824" s="81" t="n"/>
      <c r="AB824" s="67">
        <f>IF($F824="","",IFERROR(INDEX(Employee_Master!$E$5:$E$204,MATCH($F824,Employee_Master!$B$5:$B$204,0)),""))</f>
        <v/>
      </c>
      <c r="AC824" s="65">
        <f>IF(OR($A824="",$AB824=""),"",IF(OR($I824="Completed",$I824="Cancelled"),"Closed - in Manager Report","Active - in Manager Report"))</f>
        <v/>
      </c>
      <c r="AD824" s="81">
        <f>IF($A824="","",IFERROR(TEXTJOIN(", ",TRUE,FILTER(Task_Steps!$A$5:$A$2004,Task_Steps!$B$5:$B$2004=$A824)),""))</f>
        <v/>
      </c>
      <c r="AE824" s="84">
        <f>IF($A824="","",COUNTIFS(Task_Steps!$B$5:$B$2004,$A824,Task_Steps!$H$5:$H$2004,"&lt;&gt;Completed",Task_Steps!$H$5:$H$2004,"&lt;&gt;Cancelled"))</f>
        <v/>
      </c>
      <c r="AF824" s="81">
        <f>IF(OR($B824="",$A824=""),"",$B824&amp;" | "&amp;$A824)</f>
        <v/>
      </c>
    </row>
    <row r="825" ht="15" customHeight="1" s="40">
      <c r="A825" s="65">
        <f>IF(COUNTA(B825:F825)=0,"","TSK-"&amp;TEXT(ROW()-4,"0000"))</f>
        <v/>
      </c>
      <c r="B825" s="78" t="n"/>
      <c r="C825" s="78" t="n"/>
      <c r="D825" s="81" t="n"/>
      <c r="E825" s="81" t="n"/>
      <c r="F825" s="78" t="n"/>
      <c r="G825" s="67">
        <f>IF($F825="","",IFERROR(INDEX(Employee_Master!$C$5:$C$204,MATCH($F825,Employee_Master!$B$5:$B$204,0)),""))</f>
        <v/>
      </c>
      <c r="H825" s="78" t="n"/>
      <c r="I825" s="78" t="n"/>
      <c r="J825" s="67">
        <f>IF($I825="","",IFERROR(INDEX(Action_Status_Map!$B$5:$B$11,MATCH($I825,Action_Status_Map!$A$5:$A$11,0)),""))</f>
        <v/>
      </c>
      <c r="K825" s="82" t="n"/>
      <c r="L825" s="82" t="n"/>
      <c r="M825" s="82" t="n"/>
      <c r="N825" s="83" t="n"/>
      <c r="O825" s="83" t="n"/>
      <c r="P825" s="66">
        <f>IF(OR($N825="",$O825=""),"",$O825-$N825)</f>
        <v/>
      </c>
      <c r="Q825" s="84">
        <f>IF($K825="","",IF($M825&lt;&gt;"",$M825-$K825,TODAY()-$K825))</f>
        <v/>
      </c>
      <c r="R825" s="85">
        <f>IF(OR($L825="",$I825="Completed",$I825="Cancelled"),"",IF(AND($L825&lt;TODAY(),$I825&lt;&gt;"Completed",$I825&lt;&gt;"Cancelled"),"Overdue","On Track"))</f>
        <v/>
      </c>
      <c r="S825" s="65">
        <f>IF($L825="","",TEXT($L825,"yyyy-mm"))</f>
        <v/>
      </c>
      <c r="T825" s="86">
        <f>IF($I825="","",IFERROR(INDEX(Action_Status_Map!$C$5:$C$11,MATCH($I825,Action_Status_Map!$A$5:$A$11,0)),""))</f>
        <v/>
      </c>
      <c r="U825" s="81" t="n"/>
      <c r="V825" s="82" t="n"/>
      <c r="W825" s="65">
        <f>IF(OR($I825&lt;&gt;"Completed",$M825="",$L825=""),"",IF($M825&lt;=$L825,"Yes","No"))</f>
        <v/>
      </c>
      <c r="X825" s="84">
        <f>IF($A825="","",COUNTIF(Task_Steps!$B$5:$B$2004,$A825))</f>
        <v/>
      </c>
      <c r="Y825" s="86">
        <f>IF($X825=0,"",COUNTIFS(Task_Steps!$B$5:$B$2004,$A825,Task_Steps!$H$5:$H$2004,"Completed")/$X825)</f>
        <v/>
      </c>
      <c r="Z825" s="81" t="n"/>
      <c r="AA825" s="81" t="n"/>
      <c r="AB825" s="67">
        <f>IF($F825="","",IFERROR(INDEX(Employee_Master!$E$5:$E$204,MATCH($F825,Employee_Master!$B$5:$B$204,0)),""))</f>
        <v/>
      </c>
      <c r="AC825" s="65">
        <f>IF(OR($A825="",$AB825=""),"",IF(OR($I825="Completed",$I825="Cancelled"),"Closed - in Manager Report","Active - in Manager Report"))</f>
        <v/>
      </c>
      <c r="AD825" s="81">
        <f>IF($A825="","",IFERROR(TEXTJOIN(", ",TRUE,FILTER(Task_Steps!$A$5:$A$2004,Task_Steps!$B$5:$B$2004=$A825)),""))</f>
        <v/>
      </c>
      <c r="AE825" s="84">
        <f>IF($A825="","",COUNTIFS(Task_Steps!$B$5:$B$2004,$A825,Task_Steps!$H$5:$H$2004,"&lt;&gt;Completed",Task_Steps!$H$5:$H$2004,"&lt;&gt;Cancelled"))</f>
        <v/>
      </c>
      <c r="AF825" s="81">
        <f>IF(OR($B825="",$A825=""),"",$B825&amp;" | "&amp;$A825)</f>
        <v/>
      </c>
    </row>
    <row r="826" ht="15" customHeight="1" s="40">
      <c r="A826" s="65">
        <f>IF(COUNTA(B826:F826)=0,"","TSK-"&amp;TEXT(ROW()-4,"0000"))</f>
        <v/>
      </c>
      <c r="B826" s="78" t="n"/>
      <c r="C826" s="78" t="n"/>
      <c r="D826" s="81" t="n"/>
      <c r="E826" s="81" t="n"/>
      <c r="F826" s="78" t="n"/>
      <c r="G826" s="67">
        <f>IF($F826="","",IFERROR(INDEX(Employee_Master!$C$5:$C$204,MATCH($F826,Employee_Master!$B$5:$B$204,0)),""))</f>
        <v/>
      </c>
      <c r="H826" s="78" t="n"/>
      <c r="I826" s="78" t="n"/>
      <c r="J826" s="67">
        <f>IF($I826="","",IFERROR(INDEX(Action_Status_Map!$B$5:$B$11,MATCH($I826,Action_Status_Map!$A$5:$A$11,0)),""))</f>
        <v/>
      </c>
      <c r="K826" s="82" t="n"/>
      <c r="L826" s="82" t="n"/>
      <c r="M826" s="82" t="n"/>
      <c r="N826" s="83" t="n"/>
      <c r="O826" s="83" t="n"/>
      <c r="P826" s="66">
        <f>IF(OR($N826="",$O826=""),"",$O826-$N826)</f>
        <v/>
      </c>
      <c r="Q826" s="84">
        <f>IF($K826="","",IF($M826&lt;&gt;"",$M826-$K826,TODAY()-$K826))</f>
        <v/>
      </c>
      <c r="R826" s="85">
        <f>IF(OR($L826="",$I826="Completed",$I826="Cancelled"),"",IF(AND($L826&lt;TODAY(),$I826&lt;&gt;"Completed",$I826&lt;&gt;"Cancelled"),"Overdue","On Track"))</f>
        <v/>
      </c>
      <c r="S826" s="65">
        <f>IF($L826="","",TEXT($L826,"yyyy-mm"))</f>
        <v/>
      </c>
      <c r="T826" s="86">
        <f>IF($I826="","",IFERROR(INDEX(Action_Status_Map!$C$5:$C$11,MATCH($I826,Action_Status_Map!$A$5:$A$11,0)),""))</f>
        <v/>
      </c>
      <c r="U826" s="81" t="n"/>
      <c r="V826" s="82" t="n"/>
      <c r="W826" s="65">
        <f>IF(OR($I826&lt;&gt;"Completed",$M826="",$L826=""),"",IF($M826&lt;=$L826,"Yes","No"))</f>
        <v/>
      </c>
      <c r="X826" s="84">
        <f>IF($A826="","",COUNTIF(Task_Steps!$B$5:$B$2004,$A826))</f>
        <v/>
      </c>
      <c r="Y826" s="86">
        <f>IF($X826=0,"",COUNTIFS(Task_Steps!$B$5:$B$2004,$A826,Task_Steps!$H$5:$H$2004,"Completed")/$X826)</f>
        <v/>
      </c>
      <c r="Z826" s="81" t="n"/>
      <c r="AA826" s="81" t="n"/>
      <c r="AB826" s="67">
        <f>IF($F826="","",IFERROR(INDEX(Employee_Master!$E$5:$E$204,MATCH($F826,Employee_Master!$B$5:$B$204,0)),""))</f>
        <v/>
      </c>
      <c r="AC826" s="65">
        <f>IF(OR($A826="",$AB826=""),"",IF(OR($I826="Completed",$I826="Cancelled"),"Closed - in Manager Report","Active - in Manager Report"))</f>
        <v/>
      </c>
      <c r="AD826" s="81">
        <f>IF($A826="","",IFERROR(TEXTJOIN(", ",TRUE,FILTER(Task_Steps!$A$5:$A$2004,Task_Steps!$B$5:$B$2004=$A826)),""))</f>
        <v/>
      </c>
      <c r="AE826" s="84">
        <f>IF($A826="","",COUNTIFS(Task_Steps!$B$5:$B$2004,$A826,Task_Steps!$H$5:$H$2004,"&lt;&gt;Completed",Task_Steps!$H$5:$H$2004,"&lt;&gt;Cancelled"))</f>
        <v/>
      </c>
      <c r="AF826" s="81">
        <f>IF(OR($B826="",$A826=""),"",$B826&amp;" | "&amp;$A826)</f>
        <v/>
      </c>
    </row>
    <row r="827" ht="15" customHeight="1" s="40">
      <c r="A827" s="65">
        <f>IF(COUNTA(B827:F827)=0,"","TSK-"&amp;TEXT(ROW()-4,"0000"))</f>
        <v/>
      </c>
      <c r="B827" s="78" t="n"/>
      <c r="C827" s="78" t="n"/>
      <c r="D827" s="81" t="n"/>
      <c r="E827" s="81" t="n"/>
      <c r="F827" s="78" t="n"/>
      <c r="G827" s="67">
        <f>IF($F827="","",IFERROR(INDEX(Employee_Master!$C$5:$C$204,MATCH($F827,Employee_Master!$B$5:$B$204,0)),""))</f>
        <v/>
      </c>
      <c r="H827" s="78" t="n"/>
      <c r="I827" s="78" t="n"/>
      <c r="J827" s="67">
        <f>IF($I827="","",IFERROR(INDEX(Action_Status_Map!$B$5:$B$11,MATCH($I827,Action_Status_Map!$A$5:$A$11,0)),""))</f>
        <v/>
      </c>
      <c r="K827" s="82" t="n"/>
      <c r="L827" s="82" t="n"/>
      <c r="M827" s="82" t="n"/>
      <c r="N827" s="83" t="n"/>
      <c r="O827" s="83" t="n"/>
      <c r="P827" s="66">
        <f>IF(OR($N827="",$O827=""),"",$O827-$N827)</f>
        <v/>
      </c>
      <c r="Q827" s="84">
        <f>IF($K827="","",IF($M827&lt;&gt;"",$M827-$K827,TODAY()-$K827))</f>
        <v/>
      </c>
      <c r="R827" s="85">
        <f>IF(OR($L827="",$I827="Completed",$I827="Cancelled"),"",IF(AND($L827&lt;TODAY(),$I827&lt;&gt;"Completed",$I827&lt;&gt;"Cancelled"),"Overdue","On Track"))</f>
        <v/>
      </c>
      <c r="S827" s="65">
        <f>IF($L827="","",TEXT($L827,"yyyy-mm"))</f>
        <v/>
      </c>
      <c r="T827" s="86">
        <f>IF($I827="","",IFERROR(INDEX(Action_Status_Map!$C$5:$C$11,MATCH($I827,Action_Status_Map!$A$5:$A$11,0)),""))</f>
        <v/>
      </c>
      <c r="U827" s="81" t="n"/>
      <c r="V827" s="82" t="n"/>
      <c r="W827" s="65">
        <f>IF(OR($I827&lt;&gt;"Completed",$M827="",$L827=""),"",IF($M827&lt;=$L827,"Yes","No"))</f>
        <v/>
      </c>
      <c r="X827" s="84">
        <f>IF($A827="","",COUNTIF(Task_Steps!$B$5:$B$2004,$A827))</f>
        <v/>
      </c>
      <c r="Y827" s="86">
        <f>IF($X827=0,"",COUNTIFS(Task_Steps!$B$5:$B$2004,$A827,Task_Steps!$H$5:$H$2004,"Completed")/$X827)</f>
        <v/>
      </c>
      <c r="Z827" s="81" t="n"/>
      <c r="AA827" s="81" t="n"/>
      <c r="AB827" s="67">
        <f>IF($F827="","",IFERROR(INDEX(Employee_Master!$E$5:$E$204,MATCH($F827,Employee_Master!$B$5:$B$204,0)),""))</f>
        <v/>
      </c>
      <c r="AC827" s="65">
        <f>IF(OR($A827="",$AB827=""),"",IF(OR($I827="Completed",$I827="Cancelled"),"Closed - in Manager Report","Active - in Manager Report"))</f>
        <v/>
      </c>
      <c r="AD827" s="81">
        <f>IF($A827="","",IFERROR(TEXTJOIN(", ",TRUE,FILTER(Task_Steps!$A$5:$A$2004,Task_Steps!$B$5:$B$2004=$A827)),""))</f>
        <v/>
      </c>
      <c r="AE827" s="84">
        <f>IF($A827="","",COUNTIFS(Task_Steps!$B$5:$B$2004,$A827,Task_Steps!$H$5:$H$2004,"&lt;&gt;Completed",Task_Steps!$H$5:$H$2004,"&lt;&gt;Cancelled"))</f>
        <v/>
      </c>
      <c r="AF827" s="81">
        <f>IF(OR($B827="",$A827=""),"",$B827&amp;" | "&amp;$A827)</f>
        <v/>
      </c>
    </row>
    <row r="828" ht="15" customHeight="1" s="40">
      <c r="A828" s="65">
        <f>IF(COUNTA(B828:F828)=0,"","TSK-"&amp;TEXT(ROW()-4,"0000"))</f>
        <v/>
      </c>
      <c r="B828" s="78" t="n"/>
      <c r="C828" s="78" t="n"/>
      <c r="D828" s="81" t="n"/>
      <c r="E828" s="81" t="n"/>
      <c r="F828" s="78" t="n"/>
      <c r="G828" s="67">
        <f>IF($F828="","",IFERROR(INDEX(Employee_Master!$C$5:$C$204,MATCH($F828,Employee_Master!$B$5:$B$204,0)),""))</f>
        <v/>
      </c>
      <c r="H828" s="78" t="n"/>
      <c r="I828" s="78" t="n"/>
      <c r="J828" s="67">
        <f>IF($I828="","",IFERROR(INDEX(Action_Status_Map!$B$5:$B$11,MATCH($I828,Action_Status_Map!$A$5:$A$11,0)),""))</f>
        <v/>
      </c>
      <c r="K828" s="82" t="n"/>
      <c r="L828" s="82" t="n"/>
      <c r="M828" s="82" t="n"/>
      <c r="N828" s="83" t="n"/>
      <c r="O828" s="83" t="n"/>
      <c r="P828" s="66">
        <f>IF(OR($N828="",$O828=""),"",$O828-$N828)</f>
        <v/>
      </c>
      <c r="Q828" s="84">
        <f>IF($K828="","",IF($M828&lt;&gt;"",$M828-$K828,TODAY()-$K828))</f>
        <v/>
      </c>
      <c r="R828" s="85">
        <f>IF(OR($L828="",$I828="Completed",$I828="Cancelled"),"",IF(AND($L828&lt;TODAY(),$I828&lt;&gt;"Completed",$I828&lt;&gt;"Cancelled"),"Overdue","On Track"))</f>
        <v/>
      </c>
      <c r="S828" s="65">
        <f>IF($L828="","",TEXT($L828,"yyyy-mm"))</f>
        <v/>
      </c>
      <c r="T828" s="86">
        <f>IF($I828="","",IFERROR(INDEX(Action_Status_Map!$C$5:$C$11,MATCH($I828,Action_Status_Map!$A$5:$A$11,0)),""))</f>
        <v/>
      </c>
      <c r="U828" s="81" t="n"/>
      <c r="V828" s="82" t="n"/>
      <c r="W828" s="65">
        <f>IF(OR($I828&lt;&gt;"Completed",$M828="",$L828=""),"",IF($M828&lt;=$L828,"Yes","No"))</f>
        <v/>
      </c>
      <c r="X828" s="84">
        <f>IF($A828="","",COUNTIF(Task_Steps!$B$5:$B$2004,$A828))</f>
        <v/>
      </c>
      <c r="Y828" s="86">
        <f>IF($X828=0,"",COUNTIFS(Task_Steps!$B$5:$B$2004,$A828,Task_Steps!$H$5:$H$2004,"Completed")/$X828)</f>
        <v/>
      </c>
      <c r="Z828" s="81" t="n"/>
      <c r="AA828" s="81" t="n"/>
      <c r="AB828" s="67">
        <f>IF($F828="","",IFERROR(INDEX(Employee_Master!$E$5:$E$204,MATCH($F828,Employee_Master!$B$5:$B$204,0)),""))</f>
        <v/>
      </c>
      <c r="AC828" s="65">
        <f>IF(OR($A828="",$AB828=""),"",IF(OR($I828="Completed",$I828="Cancelled"),"Closed - in Manager Report","Active - in Manager Report"))</f>
        <v/>
      </c>
      <c r="AD828" s="81">
        <f>IF($A828="","",IFERROR(TEXTJOIN(", ",TRUE,FILTER(Task_Steps!$A$5:$A$2004,Task_Steps!$B$5:$B$2004=$A828)),""))</f>
        <v/>
      </c>
      <c r="AE828" s="84">
        <f>IF($A828="","",COUNTIFS(Task_Steps!$B$5:$B$2004,$A828,Task_Steps!$H$5:$H$2004,"&lt;&gt;Completed",Task_Steps!$H$5:$H$2004,"&lt;&gt;Cancelled"))</f>
        <v/>
      </c>
      <c r="AF828" s="81">
        <f>IF(OR($B828="",$A828=""),"",$B828&amp;" | "&amp;$A828)</f>
        <v/>
      </c>
    </row>
    <row r="829" ht="15" customHeight="1" s="40">
      <c r="A829" s="65">
        <f>IF(COUNTA(B829:F829)=0,"","TSK-"&amp;TEXT(ROW()-4,"0000"))</f>
        <v/>
      </c>
      <c r="B829" s="78" t="n"/>
      <c r="C829" s="78" t="n"/>
      <c r="D829" s="81" t="n"/>
      <c r="E829" s="81" t="n"/>
      <c r="F829" s="78" t="n"/>
      <c r="G829" s="67">
        <f>IF($F829="","",IFERROR(INDEX(Employee_Master!$C$5:$C$204,MATCH($F829,Employee_Master!$B$5:$B$204,0)),""))</f>
        <v/>
      </c>
      <c r="H829" s="78" t="n"/>
      <c r="I829" s="78" t="n"/>
      <c r="J829" s="67">
        <f>IF($I829="","",IFERROR(INDEX(Action_Status_Map!$B$5:$B$11,MATCH($I829,Action_Status_Map!$A$5:$A$11,0)),""))</f>
        <v/>
      </c>
      <c r="K829" s="82" t="n"/>
      <c r="L829" s="82" t="n"/>
      <c r="M829" s="82" t="n"/>
      <c r="N829" s="83" t="n"/>
      <c r="O829" s="83" t="n"/>
      <c r="P829" s="66">
        <f>IF(OR($N829="",$O829=""),"",$O829-$N829)</f>
        <v/>
      </c>
      <c r="Q829" s="84">
        <f>IF($K829="","",IF($M829&lt;&gt;"",$M829-$K829,TODAY()-$K829))</f>
        <v/>
      </c>
      <c r="R829" s="85">
        <f>IF(OR($L829="",$I829="Completed",$I829="Cancelled"),"",IF(AND($L829&lt;TODAY(),$I829&lt;&gt;"Completed",$I829&lt;&gt;"Cancelled"),"Overdue","On Track"))</f>
        <v/>
      </c>
      <c r="S829" s="65">
        <f>IF($L829="","",TEXT($L829,"yyyy-mm"))</f>
        <v/>
      </c>
      <c r="T829" s="86">
        <f>IF($I829="","",IFERROR(INDEX(Action_Status_Map!$C$5:$C$11,MATCH($I829,Action_Status_Map!$A$5:$A$11,0)),""))</f>
        <v/>
      </c>
      <c r="U829" s="81" t="n"/>
      <c r="V829" s="82" t="n"/>
      <c r="W829" s="65">
        <f>IF(OR($I829&lt;&gt;"Completed",$M829="",$L829=""),"",IF($M829&lt;=$L829,"Yes","No"))</f>
        <v/>
      </c>
      <c r="X829" s="84">
        <f>IF($A829="","",COUNTIF(Task_Steps!$B$5:$B$2004,$A829))</f>
        <v/>
      </c>
      <c r="Y829" s="86">
        <f>IF($X829=0,"",COUNTIFS(Task_Steps!$B$5:$B$2004,$A829,Task_Steps!$H$5:$H$2004,"Completed")/$X829)</f>
        <v/>
      </c>
      <c r="Z829" s="81" t="n"/>
      <c r="AA829" s="81" t="n"/>
      <c r="AB829" s="67">
        <f>IF($F829="","",IFERROR(INDEX(Employee_Master!$E$5:$E$204,MATCH($F829,Employee_Master!$B$5:$B$204,0)),""))</f>
        <v/>
      </c>
      <c r="AC829" s="65">
        <f>IF(OR($A829="",$AB829=""),"",IF(OR($I829="Completed",$I829="Cancelled"),"Closed - in Manager Report","Active - in Manager Report"))</f>
        <v/>
      </c>
      <c r="AD829" s="81">
        <f>IF($A829="","",IFERROR(TEXTJOIN(", ",TRUE,FILTER(Task_Steps!$A$5:$A$2004,Task_Steps!$B$5:$B$2004=$A829)),""))</f>
        <v/>
      </c>
      <c r="AE829" s="84">
        <f>IF($A829="","",COUNTIFS(Task_Steps!$B$5:$B$2004,$A829,Task_Steps!$H$5:$H$2004,"&lt;&gt;Completed",Task_Steps!$H$5:$H$2004,"&lt;&gt;Cancelled"))</f>
        <v/>
      </c>
      <c r="AF829" s="81">
        <f>IF(OR($B829="",$A829=""),"",$B829&amp;" | "&amp;$A829)</f>
        <v/>
      </c>
    </row>
    <row r="830" ht="15" customHeight="1" s="40">
      <c r="A830" s="65">
        <f>IF(COUNTA(B830:F830)=0,"","TSK-"&amp;TEXT(ROW()-4,"0000"))</f>
        <v/>
      </c>
      <c r="B830" s="78" t="n"/>
      <c r="C830" s="78" t="n"/>
      <c r="D830" s="81" t="n"/>
      <c r="E830" s="81" t="n"/>
      <c r="F830" s="78" t="n"/>
      <c r="G830" s="67">
        <f>IF($F830="","",IFERROR(INDEX(Employee_Master!$C$5:$C$204,MATCH($F830,Employee_Master!$B$5:$B$204,0)),""))</f>
        <v/>
      </c>
      <c r="H830" s="78" t="n"/>
      <c r="I830" s="78" t="n"/>
      <c r="J830" s="67">
        <f>IF($I830="","",IFERROR(INDEX(Action_Status_Map!$B$5:$B$11,MATCH($I830,Action_Status_Map!$A$5:$A$11,0)),""))</f>
        <v/>
      </c>
      <c r="K830" s="82" t="n"/>
      <c r="L830" s="82" t="n"/>
      <c r="M830" s="82" t="n"/>
      <c r="N830" s="83" t="n"/>
      <c r="O830" s="83" t="n"/>
      <c r="P830" s="66">
        <f>IF(OR($N830="",$O830=""),"",$O830-$N830)</f>
        <v/>
      </c>
      <c r="Q830" s="84">
        <f>IF($K830="","",IF($M830&lt;&gt;"",$M830-$K830,TODAY()-$K830))</f>
        <v/>
      </c>
      <c r="R830" s="85">
        <f>IF(OR($L830="",$I830="Completed",$I830="Cancelled"),"",IF(AND($L830&lt;TODAY(),$I830&lt;&gt;"Completed",$I830&lt;&gt;"Cancelled"),"Overdue","On Track"))</f>
        <v/>
      </c>
      <c r="S830" s="65">
        <f>IF($L830="","",TEXT($L830,"yyyy-mm"))</f>
        <v/>
      </c>
      <c r="T830" s="86">
        <f>IF($I830="","",IFERROR(INDEX(Action_Status_Map!$C$5:$C$11,MATCH($I830,Action_Status_Map!$A$5:$A$11,0)),""))</f>
        <v/>
      </c>
      <c r="U830" s="81" t="n"/>
      <c r="V830" s="82" t="n"/>
      <c r="W830" s="65">
        <f>IF(OR($I830&lt;&gt;"Completed",$M830="",$L830=""),"",IF($M830&lt;=$L830,"Yes","No"))</f>
        <v/>
      </c>
      <c r="X830" s="84">
        <f>IF($A830="","",COUNTIF(Task_Steps!$B$5:$B$2004,$A830))</f>
        <v/>
      </c>
      <c r="Y830" s="86">
        <f>IF($X830=0,"",COUNTIFS(Task_Steps!$B$5:$B$2004,$A830,Task_Steps!$H$5:$H$2004,"Completed")/$X830)</f>
        <v/>
      </c>
      <c r="Z830" s="81" t="n"/>
      <c r="AA830" s="81" t="n"/>
      <c r="AB830" s="67">
        <f>IF($F830="","",IFERROR(INDEX(Employee_Master!$E$5:$E$204,MATCH($F830,Employee_Master!$B$5:$B$204,0)),""))</f>
        <v/>
      </c>
      <c r="AC830" s="65">
        <f>IF(OR($A830="",$AB830=""),"",IF(OR($I830="Completed",$I830="Cancelled"),"Closed - in Manager Report","Active - in Manager Report"))</f>
        <v/>
      </c>
      <c r="AD830" s="81">
        <f>IF($A830="","",IFERROR(TEXTJOIN(", ",TRUE,FILTER(Task_Steps!$A$5:$A$2004,Task_Steps!$B$5:$B$2004=$A830)),""))</f>
        <v/>
      </c>
      <c r="AE830" s="84">
        <f>IF($A830="","",COUNTIFS(Task_Steps!$B$5:$B$2004,$A830,Task_Steps!$H$5:$H$2004,"&lt;&gt;Completed",Task_Steps!$H$5:$H$2004,"&lt;&gt;Cancelled"))</f>
        <v/>
      </c>
      <c r="AF830" s="81">
        <f>IF(OR($B830="",$A830=""),"",$B830&amp;" | "&amp;$A830)</f>
        <v/>
      </c>
    </row>
    <row r="831" ht="15" customHeight="1" s="40">
      <c r="A831" s="65">
        <f>IF(COUNTA(B831:F831)=0,"","TSK-"&amp;TEXT(ROW()-4,"0000"))</f>
        <v/>
      </c>
      <c r="B831" s="78" t="n"/>
      <c r="C831" s="78" t="n"/>
      <c r="D831" s="81" t="n"/>
      <c r="E831" s="81" t="n"/>
      <c r="F831" s="78" t="n"/>
      <c r="G831" s="67">
        <f>IF($F831="","",IFERROR(INDEX(Employee_Master!$C$5:$C$204,MATCH($F831,Employee_Master!$B$5:$B$204,0)),""))</f>
        <v/>
      </c>
      <c r="H831" s="78" t="n"/>
      <c r="I831" s="78" t="n"/>
      <c r="J831" s="67">
        <f>IF($I831="","",IFERROR(INDEX(Action_Status_Map!$B$5:$B$11,MATCH($I831,Action_Status_Map!$A$5:$A$11,0)),""))</f>
        <v/>
      </c>
      <c r="K831" s="82" t="n"/>
      <c r="L831" s="82" t="n"/>
      <c r="M831" s="82" t="n"/>
      <c r="N831" s="83" t="n"/>
      <c r="O831" s="83" t="n"/>
      <c r="P831" s="66">
        <f>IF(OR($N831="",$O831=""),"",$O831-$N831)</f>
        <v/>
      </c>
      <c r="Q831" s="84">
        <f>IF($K831="","",IF($M831&lt;&gt;"",$M831-$K831,TODAY()-$K831))</f>
        <v/>
      </c>
      <c r="R831" s="85">
        <f>IF(OR($L831="",$I831="Completed",$I831="Cancelled"),"",IF(AND($L831&lt;TODAY(),$I831&lt;&gt;"Completed",$I831&lt;&gt;"Cancelled"),"Overdue","On Track"))</f>
        <v/>
      </c>
      <c r="S831" s="65">
        <f>IF($L831="","",TEXT($L831,"yyyy-mm"))</f>
        <v/>
      </c>
      <c r="T831" s="86">
        <f>IF($I831="","",IFERROR(INDEX(Action_Status_Map!$C$5:$C$11,MATCH($I831,Action_Status_Map!$A$5:$A$11,0)),""))</f>
        <v/>
      </c>
      <c r="U831" s="81" t="n"/>
      <c r="V831" s="82" t="n"/>
      <c r="W831" s="65">
        <f>IF(OR($I831&lt;&gt;"Completed",$M831="",$L831=""),"",IF($M831&lt;=$L831,"Yes","No"))</f>
        <v/>
      </c>
      <c r="X831" s="84">
        <f>IF($A831="","",COUNTIF(Task_Steps!$B$5:$B$2004,$A831))</f>
        <v/>
      </c>
      <c r="Y831" s="86">
        <f>IF($X831=0,"",COUNTIFS(Task_Steps!$B$5:$B$2004,$A831,Task_Steps!$H$5:$H$2004,"Completed")/$X831)</f>
        <v/>
      </c>
      <c r="Z831" s="81" t="n"/>
      <c r="AA831" s="81" t="n"/>
      <c r="AB831" s="67">
        <f>IF($F831="","",IFERROR(INDEX(Employee_Master!$E$5:$E$204,MATCH($F831,Employee_Master!$B$5:$B$204,0)),""))</f>
        <v/>
      </c>
      <c r="AC831" s="65">
        <f>IF(OR($A831="",$AB831=""),"",IF(OR($I831="Completed",$I831="Cancelled"),"Closed - in Manager Report","Active - in Manager Report"))</f>
        <v/>
      </c>
      <c r="AD831" s="81">
        <f>IF($A831="","",IFERROR(TEXTJOIN(", ",TRUE,FILTER(Task_Steps!$A$5:$A$2004,Task_Steps!$B$5:$B$2004=$A831)),""))</f>
        <v/>
      </c>
      <c r="AE831" s="84">
        <f>IF($A831="","",COUNTIFS(Task_Steps!$B$5:$B$2004,$A831,Task_Steps!$H$5:$H$2004,"&lt;&gt;Completed",Task_Steps!$H$5:$H$2004,"&lt;&gt;Cancelled"))</f>
        <v/>
      </c>
      <c r="AF831" s="81">
        <f>IF(OR($B831="",$A831=""),"",$B831&amp;" | "&amp;$A831)</f>
        <v/>
      </c>
    </row>
    <row r="832" ht="15" customHeight="1" s="40">
      <c r="A832" s="65">
        <f>IF(COUNTA(B832:F832)=0,"","TSK-"&amp;TEXT(ROW()-4,"0000"))</f>
        <v/>
      </c>
      <c r="B832" s="78" t="n"/>
      <c r="C832" s="78" t="n"/>
      <c r="D832" s="81" t="n"/>
      <c r="E832" s="81" t="n"/>
      <c r="F832" s="78" t="n"/>
      <c r="G832" s="67">
        <f>IF($F832="","",IFERROR(INDEX(Employee_Master!$C$5:$C$204,MATCH($F832,Employee_Master!$B$5:$B$204,0)),""))</f>
        <v/>
      </c>
      <c r="H832" s="78" t="n"/>
      <c r="I832" s="78" t="n"/>
      <c r="J832" s="67">
        <f>IF($I832="","",IFERROR(INDEX(Action_Status_Map!$B$5:$B$11,MATCH($I832,Action_Status_Map!$A$5:$A$11,0)),""))</f>
        <v/>
      </c>
      <c r="K832" s="82" t="n"/>
      <c r="L832" s="82" t="n"/>
      <c r="M832" s="82" t="n"/>
      <c r="N832" s="83" t="n"/>
      <c r="O832" s="83" t="n"/>
      <c r="P832" s="66">
        <f>IF(OR($N832="",$O832=""),"",$O832-$N832)</f>
        <v/>
      </c>
      <c r="Q832" s="84">
        <f>IF($K832="","",IF($M832&lt;&gt;"",$M832-$K832,TODAY()-$K832))</f>
        <v/>
      </c>
      <c r="R832" s="85">
        <f>IF(OR($L832="",$I832="Completed",$I832="Cancelled"),"",IF(AND($L832&lt;TODAY(),$I832&lt;&gt;"Completed",$I832&lt;&gt;"Cancelled"),"Overdue","On Track"))</f>
        <v/>
      </c>
      <c r="S832" s="65">
        <f>IF($L832="","",TEXT($L832,"yyyy-mm"))</f>
        <v/>
      </c>
      <c r="T832" s="86">
        <f>IF($I832="","",IFERROR(INDEX(Action_Status_Map!$C$5:$C$11,MATCH($I832,Action_Status_Map!$A$5:$A$11,0)),""))</f>
        <v/>
      </c>
      <c r="U832" s="81" t="n"/>
      <c r="V832" s="82" t="n"/>
      <c r="W832" s="65">
        <f>IF(OR($I832&lt;&gt;"Completed",$M832="",$L832=""),"",IF($M832&lt;=$L832,"Yes","No"))</f>
        <v/>
      </c>
      <c r="X832" s="84">
        <f>IF($A832="","",COUNTIF(Task_Steps!$B$5:$B$2004,$A832))</f>
        <v/>
      </c>
      <c r="Y832" s="86">
        <f>IF($X832=0,"",COUNTIFS(Task_Steps!$B$5:$B$2004,$A832,Task_Steps!$H$5:$H$2004,"Completed")/$X832)</f>
        <v/>
      </c>
      <c r="Z832" s="81" t="n"/>
      <c r="AA832" s="81" t="n"/>
      <c r="AB832" s="67">
        <f>IF($F832="","",IFERROR(INDEX(Employee_Master!$E$5:$E$204,MATCH($F832,Employee_Master!$B$5:$B$204,0)),""))</f>
        <v/>
      </c>
      <c r="AC832" s="65">
        <f>IF(OR($A832="",$AB832=""),"",IF(OR($I832="Completed",$I832="Cancelled"),"Closed - in Manager Report","Active - in Manager Report"))</f>
        <v/>
      </c>
      <c r="AD832" s="81">
        <f>IF($A832="","",IFERROR(TEXTJOIN(", ",TRUE,FILTER(Task_Steps!$A$5:$A$2004,Task_Steps!$B$5:$B$2004=$A832)),""))</f>
        <v/>
      </c>
      <c r="AE832" s="84">
        <f>IF($A832="","",COUNTIFS(Task_Steps!$B$5:$B$2004,$A832,Task_Steps!$H$5:$H$2004,"&lt;&gt;Completed",Task_Steps!$H$5:$H$2004,"&lt;&gt;Cancelled"))</f>
        <v/>
      </c>
      <c r="AF832" s="81">
        <f>IF(OR($B832="",$A832=""),"",$B832&amp;" | "&amp;$A832)</f>
        <v/>
      </c>
    </row>
    <row r="833" ht="15" customHeight="1" s="40">
      <c r="A833" s="65">
        <f>IF(COUNTA(B833:F833)=0,"","TSK-"&amp;TEXT(ROW()-4,"0000"))</f>
        <v/>
      </c>
      <c r="B833" s="78" t="n"/>
      <c r="C833" s="78" t="n"/>
      <c r="D833" s="81" t="n"/>
      <c r="E833" s="81" t="n"/>
      <c r="F833" s="78" t="n"/>
      <c r="G833" s="67">
        <f>IF($F833="","",IFERROR(INDEX(Employee_Master!$C$5:$C$204,MATCH($F833,Employee_Master!$B$5:$B$204,0)),""))</f>
        <v/>
      </c>
      <c r="H833" s="78" t="n"/>
      <c r="I833" s="78" t="n"/>
      <c r="J833" s="67">
        <f>IF($I833="","",IFERROR(INDEX(Action_Status_Map!$B$5:$B$11,MATCH($I833,Action_Status_Map!$A$5:$A$11,0)),""))</f>
        <v/>
      </c>
      <c r="K833" s="82" t="n"/>
      <c r="L833" s="82" t="n"/>
      <c r="M833" s="82" t="n"/>
      <c r="N833" s="83" t="n"/>
      <c r="O833" s="83" t="n"/>
      <c r="P833" s="66">
        <f>IF(OR($N833="",$O833=""),"",$O833-$N833)</f>
        <v/>
      </c>
      <c r="Q833" s="84">
        <f>IF($K833="","",IF($M833&lt;&gt;"",$M833-$K833,TODAY()-$K833))</f>
        <v/>
      </c>
      <c r="R833" s="85">
        <f>IF(OR($L833="",$I833="Completed",$I833="Cancelled"),"",IF(AND($L833&lt;TODAY(),$I833&lt;&gt;"Completed",$I833&lt;&gt;"Cancelled"),"Overdue","On Track"))</f>
        <v/>
      </c>
      <c r="S833" s="65">
        <f>IF($L833="","",TEXT($L833,"yyyy-mm"))</f>
        <v/>
      </c>
      <c r="T833" s="86">
        <f>IF($I833="","",IFERROR(INDEX(Action_Status_Map!$C$5:$C$11,MATCH($I833,Action_Status_Map!$A$5:$A$11,0)),""))</f>
        <v/>
      </c>
      <c r="U833" s="81" t="n"/>
      <c r="V833" s="82" t="n"/>
      <c r="W833" s="65">
        <f>IF(OR($I833&lt;&gt;"Completed",$M833="",$L833=""),"",IF($M833&lt;=$L833,"Yes","No"))</f>
        <v/>
      </c>
      <c r="X833" s="84">
        <f>IF($A833="","",COUNTIF(Task_Steps!$B$5:$B$2004,$A833))</f>
        <v/>
      </c>
      <c r="Y833" s="86">
        <f>IF($X833=0,"",COUNTIFS(Task_Steps!$B$5:$B$2004,$A833,Task_Steps!$H$5:$H$2004,"Completed")/$X833)</f>
        <v/>
      </c>
      <c r="Z833" s="81" t="n"/>
      <c r="AA833" s="81" t="n"/>
      <c r="AB833" s="67">
        <f>IF($F833="","",IFERROR(INDEX(Employee_Master!$E$5:$E$204,MATCH($F833,Employee_Master!$B$5:$B$204,0)),""))</f>
        <v/>
      </c>
      <c r="AC833" s="65">
        <f>IF(OR($A833="",$AB833=""),"",IF(OR($I833="Completed",$I833="Cancelled"),"Closed - in Manager Report","Active - in Manager Report"))</f>
        <v/>
      </c>
      <c r="AD833" s="81">
        <f>IF($A833="","",IFERROR(TEXTJOIN(", ",TRUE,FILTER(Task_Steps!$A$5:$A$2004,Task_Steps!$B$5:$B$2004=$A833)),""))</f>
        <v/>
      </c>
      <c r="AE833" s="84">
        <f>IF($A833="","",COUNTIFS(Task_Steps!$B$5:$B$2004,$A833,Task_Steps!$H$5:$H$2004,"&lt;&gt;Completed",Task_Steps!$H$5:$H$2004,"&lt;&gt;Cancelled"))</f>
        <v/>
      </c>
      <c r="AF833" s="81">
        <f>IF(OR($B833="",$A833=""),"",$B833&amp;" | "&amp;$A833)</f>
        <v/>
      </c>
    </row>
    <row r="834" ht="15" customHeight="1" s="40">
      <c r="A834" s="65">
        <f>IF(COUNTA(B834:F834)=0,"","TSK-"&amp;TEXT(ROW()-4,"0000"))</f>
        <v/>
      </c>
      <c r="B834" s="78" t="n"/>
      <c r="C834" s="78" t="n"/>
      <c r="D834" s="81" t="n"/>
      <c r="E834" s="81" t="n"/>
      <c r="F834" s="78" t="n"/>
      <c r="G834" s="67">
        <f>IF($F834="","",IFERROR(INDEX(Employee_Master!$C$5:$C$204,MATCH($F834,Employee_Master!$B$5:$B$204,0)),""))</f>
        <v/>
      </c>
      <c r="H834" s="78" t="n"/>
      <c r="I834" s="78" t="n"/>
      <c r="J834" s="67">
        <f>IF($I834="","",IFERROR(INDEX(Action_Status_Map!$B$5:$B$11,MATCH($I834,Action_Status_Map!$A$5:$A$11,0)),""))</f>
        <v/>
      </c>
      <c r="K834" s="82" t="n"/>
      <c r="L834" s="82" t="n"/>
      <c r="M834" s="82" t="n"/>
      <c r="N834" s="83" t="n"/>
      <c r="O834" s="83" t="n"/>
      <c r="P834" s="66">
        <f>IF(OR($N834="",$O834=""),"",$O834-$N834)</f>
        <v/>
      </c>
      <c r="Q834" s="84">
        <f>IF($K834="","",IF($M834&lt;&gt;"",$M834-$K834,TODAY()-$K834))</f>
        <v/>
      </c>
      <c r="R834" s="85">
        <f>IF(OR($L834="",$I834="Completed",$I834="Cancelled"),"",IF(AND($L834&lt;TODAY(),$I834&lt;&gt;"Completed",$I834&lt;&gt;"Cancelled"),"Overdue","On Track"))</f>
        <v/>
      </c>
      <c r="S834" s="65">
        <f>IF($L834="","",TEXT($L834,"yyyy-mm"))</f>
        <v/>
      </c>
      <c r="T834" s="86">
        <f>IF($I834="","",IFERROR(INDEX(Action_Status_Map!$C$5:$C$11,MATCH($I834,Action_Status_Map!$A$5:$A$11,0)),""))</f>
        <v/>
      </c>
      <c r="U834" s="81" t="n"/>
      <c r="V834" s="82" t="n"/>
      <c r="W834" s="65">
        <f>IF(OR($I834&lt;&gt;"Completed",$M834="",$L834=""),"",IF($M834&lt;=$L834,"Yes","No"))</f>
        <v/>
      </c>
      <c r="X834" s="84">
        <f>IF($A834="","",COUNTIF(Task_Steps!$B$5:$B$2004,$A834))</f>
        <v/>
      </c>
      <c r="Y834" s="86">
        <f>IF($X834=0,"",COUNTIFS(Task_Steps!$B$5:$B$2004,$A834,Task_Steps!$H$5:$H$2004,"Completed")/$X834)</f>
        <v/>
      </c>
      <c r="Z834" s="81" t="n"/>
      <c r="AA834" s="81" t="n"/>
      <c r="AB834" s="67">
        <f>IF($F834="","",IFERROR(INDEX(Employee_Master!$E$5:$E$204,MATCH($F834,Employee_Master!$B$5:$B$204,0)),""))</f>
        <v/>
      </c>
      <c r="AC834" s="65">
        <f>IF(OR($A834="",$AB834=""),"",IF(OR($I834="Completed",$I834="Cancelled"),"Closed - in Manager Report","Active - in Manager Report"))</f>
        <v/>
      </c>
      <c r="AD834" s="81">
        <f>IF($A834="","",IFERROR(TEXTJOIN(", ",TRUE,FILTER(Task_Steps!$A$5:$A$2004,Task_Steps!$B$5:$B$2004=$A834)),""))</f>
        <v/>
      </c>
      <c r="AE834" s="84">
        <f>IF($A834="","",COUNTIFS(Task_Steps!$B$5:$B$2004,$A834,Task_Steps!$H$5:$H$2004,"&lt;&gt;Completed",Task_Steps!$H$5:$H$2004,"&lt;&gt;Cancelled"))</f>
        <v/>
      </c>
      <c r="AF834" s="81">
        <f>IF(OR($B834="",$A834=""),"",$B834&amp;" | "&amp;$A834)</f>
        <v/>
      </c>
    </row>
    <row r="835" ht="15" customHeight="1" s="40">
      <c r="A835" s="65">
        <f>IF(COUNTA(B835:F835)=0,"","TSK-"&amp;TEXT(ROW()-4,"0000"))</f>
        <v/>
      </c>
      <c r="B835" s="78" t="n"/>
      <c r="C835" s="78" t="n"/>
      <c r="D835" s="81" t="n"/>
      <c r="E835" s="81" t="n"/>
      <c r="F835" s="78" t="n"/>
      <c r="G835" s="67">
        <f>IF($F835="","",IFERROR(INDEX(Employee_Master!$C$5:$C$204,MATCH($F835,Employee_Master!$B$5:$B$204,0)),""))</f>
        <v/>
      </c>
      <c r="H835" s="78" t="n"/>
      <c r="I835" s="78" t="n"/>
      <c r="J835" s="67">
        <f>IF($I835="","",IFERROR(INDEX(Action_Status_Map!$B$5:$B$11,MATCH($I835,Action_Status_Map!$A$5:$A$11,0)),""))</f>
        <v/>
      </c>
      <c r="K835" s="82" t="n"/>
      <c r="L835" s="82" t="n"/>
      <c r="M835" s="82" t="n"/>
      <c r="N835" s="83" t="n"/>
      <c r="O835" s="83" t="n"/>
      <c r="P835" s="66">
        <f>IF(OR($N835="",$O835=""),"",$O835-$N835)</f>
        <v/>
      </c>
      <c r="Q835" s="84">
        <f>IF($K835="","",IF($M835&lt;&gt;"",$M835-$K835,TODAY()-$K835))</f>
        <v/>
      </c>
      <c r="R835" s="85">
        <f>IF(OR($L835="",$I835="Completed",$I835="Cancelled"),"",IF(AND($L835&lt;TODAY(),$I835&lt;&gt;"Completed",$I835&lt;&gt;"Cancelled"),"Overdue","On Track"))</f>
        <v/>
      </c>
      <c r="S835" s="65">
        <f>IF($L835="","",TEXT($L835,"yyyy-mm"))</f>
        <v/>
      </c>
      <c r="T835" s="86">
        <f>IF($I835="","",IFERROR(INDEX(Action_Status_Map!$C$5:$C$11,MATCH($I835,Action_Status_Map!$A$5:$A$11,0)),""))</f>
        <v/>
      </c>
      <c r="U835" s="81" t="n"/>
      <c r="V835" s="82" t="n"/>
      <c r="W835" s="65">
        <f>IF(OR($I835&lt;&gt;"Completed",$M835="",$L835=""),"",IF($M835&lt;=$L835,"Yes","No"))</f>
        <v/>
      </c>
      <c r="X835" s="84">
        <f>IF($A835="","",COUNTIF(Task_Steps!$B$5:$B$2004,$A835))</f>
        <v/>
      </c>
      <c r="Y835" s="86">
        <f>IF($X835=0,"",COUNTIFS(Task_Steps!$B$5:$B$2004,$A835,Task_Steps!$H$5:$H$2004,"Completed")/$X835)</f>
        <v/>
      </c>
      <c r="Z835" s="81" t="n"/>
      <c r="AA835" s="81" t="n"/>
      <c r="AB835" s="67">
        <f>IF($F835="","",IFERROR(INDEX(Employee_Master!$E$5:$E$204,MATCH($F835,Employee_Master!$B$5:$B$204,0)),""))</f>
        <v/>
      </c>
      <c r="AC835" s="65">
        <f>IF(OR($A835="",$AB835=""),"",IF(OR($I835="Completed",$I835="Cancelled"),"Closed - in Manager Report","Active - in Manager Report"))</f>
        <v/>
      </c>
      <c r="AD835" s="81">
        <f>IF($A835="","",IFERROR(TEXTJOIN(", ",TRUE,FILTER(Task_Steps!$A$5:$A$2004,Task_Steps!$B$5:$B$2004=$A835)),""))</f>
        <v/>
      </c>
      <c r="AE835" s="84">
        <f>IF($A835="","",COUNTIFS(Task_Steps!$B$5:$B$2004,$A835,Task_Steps!$H$5:$H$2004,"&lt;&gt;Completed",Task_Steps!$H$5:$H$2004,"&lt;&gt;Cancelled"))</f>
        <v/>
      </c>
      <c r="AF835" s="81">
        <f>IF(OR($B835="",$A835=""),"",$B835&amp;" | "&amp;$A835)</f>
        <v/>
      </c>
    </row>
    <row r="836" ht="15" customHeight="1" s="40">
      <c r="A836" s="65">
        <f>IF(COUNTA(B836:F836)=0,"","TSK-"&amp;TEXT(ROW()-4,"0000"))</f>
        <v/>
      </c>
      <c r="B836" s="78" t="n"/>
      <c r="C836" s="78" t="n"/>
      <c r="D836" s="81" t="n"/>
      <c r="E836" s="81" t="n"/>
      <c r="F836" s="78" t="n"/>
      <c r="G836" s="67">
        <f>IF($F836="","",IFERROR(INDEX(Employee_Master!$C$5:$C$204,MATCH($F836,Employee_Master!$B$5:$B$204,0)),""))</f>
        <v/>
      </c>
      <c r="H836" s="78" t="n"/>
      <c r="I836" s="78" t="n"/>
      <c r="J836" s="67">
        <f>IF($I836="","",IFERROR(INDEX(Action_Status_Map!$B$5:$B$11,MATCH($I836,Action_Status_Map!$A$5:$A$11,0)),""))</f>
        <v/>
      </c>
      <c r="K836" s="82" t="n"/>
      <c r="L836" s="82" t="n"/>
      <c r="M836" s="82" t="n"/>
      <c r="N836" s="83" t="n"/>
      <c r="O836" s="83" t="n"/>
      <c r="P836" s="66">
        <f>IF(OR($N836="",$O836=""),"",$O836-$N836)</f>
        <v/>
      </c>
      <c r="Q836" s="84">
        <f>IF($K836="","",IF($M836&lt;&gt;"",$M836-$K836,TODAY()-$K836))</f>
        <v/>
      </c>
      <c r="R836" s="85">
        <f>IF(OR($L836="",$I836="Completed",$I836="Cancelled"),"",IF(AND($L836&lt;TODAY(),$I836&lt;&gt;"Completed",$I836&lt;&gt;"Cancelled"),"Overdue","On Track"))</f>
        <v/>
      </c>
      <c r="S836" s="65">
        <f>IF($L836="","",TEXT($L836,"yyyy-mm"))</f>
        <v/>
      </c>
      <c r="T836" s="86">
        <f>IF($I836="","",IFERROR(INDEX(Action_Status_Map!$C$5:$C$11,MATCH($I836,Action_Status_Map!$A$5:$A$11,0)),""))</f>
        <v/>
      </c>
      <c r="U836" s="81" t="n"/>
      <c r="V836" s="82" t="n"/>
      <c r="W836" s="65">
        <f>IF(OR($I836&lt;&gt;"Completed",$M836="",$L836=""),"",IF($M836&lt;=$L836,"Yes","No"))</f>
        <v/>
      </c>
      <c r="X836" s="84">
        <f>IF($A836="","",COUNTIF(Task_Steps!$B$5:$B$2004,$A836))</f>
        <v/>
      </c>
      <c r="Y836" s="86">
        <f>IF($X836=0,"",COUNTIFS(Task_Steps!$B$5:$B$2004,$A836,Task_Steps!$H$5:$H$2004,"Completed")/$X836)</f>
        <v/>
      </c>
      <c r="Z836" s="81" t="n"/>
      <c r="AA836" s="81" t="n"/>
      <c r="AB836" s="67">
        <f>IF($F836="","",IFERROR(INDEX(Employee_Master!$E$5:$E$204,MATCH($F836,Employee_Master!$B$5:$B$204,0)),""))</f>
        <v/>
      </c>
      <c r="AC836" s="65">
        <f>IF(OR($A836="",$AB836=""),"",IF(OR($I836="Completed",$I836="Cancelled"),"Closed - in Manager Report","Active - in Manager Report"))</f>
        <v/>
      </c>
      <c r="AD836" s="81">
        <f>IF($A836="","",IFERROR(TEXTJOIN(", ",TRUE,FILTER(Task_Steps!$A$5:$A$2004,Task_Steps!$B$5:$B$2004=$A836)),""))</f>
        <v/>
      </c>
      <c r="AE836" s="84">
        <f>IF($A836="","",COUNTIFS(Task_Steps!$B$5:$B$2004,$A836,Task_Steps!$H$5:$H$2004,"&lt;&gt;Completed",Task_Steps!$H$5:$H$2004,"&lt;&gt;Cancelled"))</f>
        <v/>
      </c>
      <c r="AF836" s="81">
        <f>IF(OR($B836="",$A836=""),"",$B836&amp;" | "&amp;$A836)</f>
        <v/>
      </c>
    </row>
    <row r="837" ht="15" customHeight="1" s="40">
      <c r="A837" s="65">
        <f>IF(COUNTA(B837:F837)=0,"","TSK-"&amp;TEXT(ROW()-4,"0000"))</f>
        <v/>
      </c>
      <c r="B837" s="78" t="n"/>
      <c r="C837" s="78" t="n"/>
      <c r="D837" s="81" t="n"/>
      <c r="E837" s="81" t="n"/>
      <c r="F837" s="78" t="n"/>
      <c r="G837" s="67">
        <f>IF($F837="","",IFERROR(INDEX(Employee_Master!$C$5:$C$204,MATCH($F837,Employee_Master!$B$5:$B$204,0)),""))</f>
        <v/>
      </c>
      <c r="H837" s="78" t="n"/>
      <c r="I837" s="78" t="n"/>
      <c r="J837" s="67">
        <f>IF($I837="","",IFERROR(INDEX(Action_Status_Map!$B$5:$B$11,MATCH($I837,Action_Status_Map!$A$5:$A$11,0)),""))</f>
        <v/>
      </c>
      <c r="K837" s="82" t="n"/>
      <c r="L837" s="82" t="n"/>
      <c r="M837" s="82" t="n"/>
      <c r="N837" s="83" t="n"/>
      <c r="O837" s="83" t="n"/>
      <c r="P837" s="66">
        <f>IF(OR($N837="",$O837=""),"",$O837-$N837)</f>
        <v/>
      </c>
      <c r="Q837" s="84">
        <f>IF($K837="","",IF($M837&lt;&gt;"",$M837-$K837,TODAY()-$K837))</f>
        <v/>
      </c>
      <c r="R837" s="85">
        <f>IF(OR($L837="",$I837="Completed",$I837="Cancelled"),"",IF(AND($L837&lt;TODAY(),$I837&lt;&gt;"Completed",$I837&lt;&gt;"Cancelled"),"Overdue","On Track"))</f>
        <v/>
      </c>
      <c r="S837" s="65">
        <f>IF($L837="","",TEXT($L837,"yyyy-mm"))</f>
        <v/>
      </c>
      <c r="T837" s="86">
        <f>IF($I837="","",IFERROR(INDEX(Action_Status_Map!$C$5:$C$11,MATCH($I837,Action_Status_Map!$A$5:$A$11,0)),""))</f>
        <v/>
      </c>
      <c r="U837" s="81" t="n"/>
      <c r="V837" s="82" t="n"/>
      <c r="W837" s="65">
        <f>IF(OR($I837&lt;&gt;"Completed",$M837="",$L837=""),"",IF($M837&lt;=$L837,"Yes","No"))</f>
        <v/>
      </c>
      <c r="X837" s="84">
        <f>IF($A837="","",COUNTIF(Task_Steps!$B$5:$B$2004,$A837))</f>
        <v/>
      </c>
      <c r="Y837" s="86">
        <f>IF($X837=0,"",COUNTIFS(Task_Steps!$B$5:$B$2004,$A837,Task_Steps!$H$5:$H$2004,"Completed")/$X837)</f>
        <v/>
      </c>
      <c r="Z837" s="81" t="n"/>
      <c r="AA837" s="81" t="n"/>
      <c r="AB837" s="67">
        <f>IF($F837="","",IFERROR(INDEX(Employee_Master!$E$5:$E$204,MATCH($F837,Employee_Master!$B$5:$B$204,0)),""))</f>
        <v/>
      </c>
      <c r="AC837" s="65">
        <f>IF(OR($A837="",$AB837=""),"",IF(OR($I837="Completed",$I837="Cancelled"),"Closed - in Manager Report","Active - in Manager Report"))</f>
        <v/>
      </c>
      <c r="AD837" s="81">
        <f>IF($A837="","",IFERROR(TEXTJOIN(", ",TRUE,FILTER(Task_Steps!$A$5:$A$2004,Task_Steps!$B$5:$B$2004=$A837)),""))</f>
        <v/>
      </c>
      <c r="AE837" s="84">
        <f>IF($A837="","",COUNTIFS(Task_Steps!$B$5:$B$2004,$A837,Task_Steps!$H$5:$H$2004,"&lt;&gt;Completed",Task_Steps!$H$5:$H$2004,"&lt;&gt;Cancelled"))</f>
        <v/>
      </c>
      <c r="AF837" s="81">
        <f>IF(OR($B837="",$A837=""),"",$B837&amp;" | "&amp;$A837)</f>
        <v/>
      </c>
    </row>
    <row r="838" ht="15" customHeight="1" s="40">
      <c r="A838" s="65">
        <f>IF(COUNTA(B838:F838)=0,"","TSK-"&amp;TEXT(ROW()-4,"0000"))</f>
        <v/>
      </c>
      <c r="B838" s="78" t="n"/>
      <c r="C838" s="78" t="n"/>
      <c r="D838" s="81" t="n"/>
      <c r="E838" s="81" t="n"/>
      <c r="F838" s="78" t="n"/>
      <c r="G838" s="67">
        <f>IF($F838="","",IFERROR(INDEX(Employee_Master!$C$5:$C$204,MATCH($F838,Employee_Master!$B$5:$B$204,0)),""))</f>
        <v/>
      </c>
      <c r="H838" s="78" t="n"/>
      <c r="I838" s="78" t="n"/>
      <c r="J838" s="67">
        <f>IF($I838="","",IFERROR(INDEX(Action_Status_Map!$B$5:$B$11,MATCH($I838,Action_Status_Map!$A$5:$A$11,0)),""))</f>
        <v/>
      </c>
      <c r="K838" s="82" t="n"/>
      <c r="L838" s="82" t="n"/>
      <c r="M838" s="82" t="n"/>
      <c r="N838" s="83" t="n"/>
      <c r="O838" s="83" t="n"/>
      <c r="P838" s="66">
        <f>IF(OR($N838="",$O838=""),"",$O838-$N838)</f>
        <v/>
      </c>
      <c r="Q838" s="84">
        <f>IF($K838="","",IF($M838&lt;&gt;"",$M838-$K838,TODAY()-$K838))</f>
        <v/>
      </c>
      <c r="R838" s="85">
        <f>IF(OR($L838="",$I838="Completed",$I838="Cancelled"),"",IF(AND($L838&lt;TODAY(),$I838&lt;&gt;"Completed",$I838&lt;&gt;"Cancelled"),"Overdue","On Track"))</f>
        <v/>
      </c>
      <c r="S838" s="65">
        <f>IF($L838="","",TEXT($L838,"yyyy-mm"))</f>
        <v/>
      </c>
      <c r="T838" s="86">
        <f>IF($I838="","",IFERROR(INDEX(Action_Status_Map!$C$5:$C$11,MATCH($I838,Action_Status_Map!$A$5:$A$11,0)),""))</f>
        <v/>
      </c>
      <c r="U838" s="81" t="n"/>
      <c r="V838" s="82" t="n"/>
      <c r="W838" s="65">
        <f>IF(OR($I838&lt;&gt;"Completed",$M838="",$L838=""),"",IF($M838&lt;=$L838,"Yes","No"))</f>
        <v/>
      </c>
      <c r="X838" s="84">
        <f>IF($A838="","",COUNTIF(Task_Steps!$B$5:$B$2004,$A838))</f>
        <v/>
      </c>
      <c r="Y838" s="86">
        <f>IF($X838=0,"",COUNTIFS(Task_Steps!$B$5:$B$2004,$A838,Task_Steps!$H$5:$H$2004,"Completed")/$X838)</f>
        <v/>
      </c>
      <c r="Z838" s="81" t="n"/>
      <c r="AA838" s="81" t="n"/>
      <c r="AB838" s="67">
        <f>IF($F838="","",IFERROR(INDEX(Employee_Master!$E$5:$E$204,MATCH($F838,Employee_Master!$B$5:$B$204,0)),""))</f>
        <v/>
      </c>
      <c r="AC838" s="65">
        <f>IF(OR($A838="",$AB838=""),"",IF(OR($I838="Completed",$I838="Cancelled"),"Closed - in Manager Report","Active - in Manager Report"))</f>
        <v/>
      </c>
      <c r="AD838" s="81">
        <f>IF($A838="","",IFERROR(TEXTJOIN(", ",TRUE,FILTER(Task_Steps!$A$5:$A$2004,Task_Steps!$B$5:$B$2004=$A838)),""))</f>
        <v/>
      </c>
      <c r="AE838" s="84">
        <f>IF($A838="","",COUNTIFS(Task_Steps!$B$5:$B$2004,$A838,Task_Steps!$H$5:$H$2004,"&lt;&gt;Completed",Task_Steps!$H$5:$H$2004,"&lt;&gt;Cancelled"))</f>
        <v/>
      </c>
      <c r="AF838" s="81">
        <f>IF(OR($B838="",$A838=""),"",$B838&amp;" | "&amp;$A838)</f>
        <v/>
      </c>
    </row>
    <row r="839" ht="15" customHeight="1" s="40">
      <c r="A839" s="65">
        <f>IF(COUNTA(B839:F839)=0,"","TSK-"&amp;TEXT(ROW()-4,"0000"))</f>
        <v/>
      </c>
      <c r="B839" s="78" t="n"/>
      <c r="C839" s="78" t="n"/>
      <c r="D839" s="81" t="n"/>
      <c r="E839" s="81" t="n"/>
      <c r="F839" s="78" t="n"/>
      <c r="G839" s="67">
        <f>IF($F839="","",IFERROR(INDEX(Employee_Master!$C$5:$C$204,MATCH($F839,Employee_Master!$B$5:$B$204,0)),""))</f>
        <v/>
      </c>
      <c r="H839" s="78" t="n"/>
      <c r="I839" s="78" t="n"/>
      <c r="J839" s="67">
        <f>IF($I839="","",IFERROR(INDEX(Action_Status_Map!$B$5:$B$11,MATCH($I839,Action_Status_Map!$A$5:$A$11,0)),""))</f>
        <v/>
      </c>
      <c r="K839" s="82" t="n"/>
      <c r="L839" s="82" t="n"/>
      <c r="M839" s="82" t="n"/>
      <c r="N839" s="83" t="n"/>
      <c r="O839" s="83" t="n"/>
      <c r="P839" s="66">
        <f>IF(OR($N839="",$O839=""),"",$O839-$N839)</f>
        <v/>
      </c>
      <c r="Q839" s="84">
        <f>IF($K839="","",IF($M839&lt;&gt;"",$M839-$K839,TODAY()-$K839))</f>
        <v/>
      </c>
      <c r="R839" s="85">
        <f>IF(OR($L839="",$I839="Completed",$I839="Cancelled"),"",IF(AND($L839&lt;TODAY(),$I839&lt;&gt;"Completed",$I839&lt;&gt;"Cancelled"),"Overdue","On Track"))</f>
        <v/>
      </c>
      <c r="S839" s="65">
        <f>IF($L839="","",TEXT($L839,"yyyy-mm"))</f>
        <v/>
      </c>
      <c r="T839" s="86">
        <f>IF($I839="","",IFERROR(INDEX(Action_Status_Map!$C$5:$C$11,MATCH($I839,Action_Status_Map!$A$5:$A$11,0)),""))</f>
        <v/>
      </c>
      <c r="U839" s="81" t="n"/>
      <c r="V839" s="82" t="n"/>
      <c r="W839" s="65">
        <f>IF(OR($I839&lt;&gt;"Completed",$M839="",$L839=""),"",IF($M839&lt;=$L839,"Yes","No"))</f>
        <v/>
      </c>
      <c r="X839" s="84">
        <f>IF($A839="","",COUNTIF(Task_Steps!$B$5:$B$2004,$A839))</f>
        <v/>
      </c>
      <c r="Y839" s="86">
        <f>IF($X839=0,"",COUNTIFS(Task_Steps!$B$5:$B$2004,$A839,Task_Steps!$H$5:$H$2004,"Completed")/$X839)</f>
        <v/>
      </c>
      <c r="Z839" s="81" t="n"/>
      <c r="AA839" s="81" t="n"/>
      <c r="AB839" s="67">
        <f>IF($F839="","",IFERROR(INDEX(Employee_Master!$E$5:$E$204,MATCH($F839,Employee_Master!$B$5:$B$204,0)),""))</f>
        <v/>
      </c>
      <c r="AC839" s="65">
        <f>IF(OR($A839="",$AB839=""),"",IF(OR($I839="Completed",$I839="Cancelled"),"Closed - in Manager Report","Active - in Manager Report"))</f>
        <v/>
      </c>
      <c r="AD839" s="81">
        <f>IF($A839="","",IFERROR(TEXTJOIN(", ",TRUE,FILTER(Task_Steps!$A$5:$A$2004,Task_Steps!$B$5:$B$2004=$A839)),""))</f>
        <v/>
      </c>
      <c r="AE839" s="84">
        <f>IF($A839="","",COUNTIFS(Task_Steps!$B$5:$B$2004,$A839,Task_Steps!$H$5:$H$2004,"&lt;&gt;Completed",Task_Steps!$H$5:$H$2004,"&lt;&gt;Cancelled"))</f>
        <v/>
      </c>
      <c r="AF839" s="81">
        <f>IF(OR($B839="",$A839=""),"",$B839&amp;" | "&amp;$A839)</f>
        <v/>
      </c>
    </row>
    <row r="840" ht="15" customHeight="1" s="40">
      <c r="A840" s="65">
        <f>IF(COUNTA(B840:F840)=0,"","TSK-"&amp;TEXT(ROW()-4,"0000"))</f>
        <v/>
      </c>
      <c r="B840" s="78" t="n"/>
      <c r="C840" s="78" t="n"/>
      <c r="D840" s="81" t="n"/>
      <c r="E840" s="81" t="n"/>
      <c r="F840" s="78" t="n"/>
      <c r="G840" s="67">
        <f>IF($F840="","",IFERROR(INDEX(Employee_Master!$C$5:$C$204,MATCH($F840,Employee_Master!$B$5:$B$204,0)),""))</f>
        <v/>
      </c>
      <c r="H840" s="78" t="n"/>
      <c r="I840" s="78" t="n"/>
      <c r="J840" s="67">
        <f>IF($I840="","",IFERROR(INDEX(Action_Status_Map!$B$5:$B$11,MATCH($I840,Action_Status_Map!$A$5:$A$11,0)),""))</f>
        <v/>
      </c>
      <c r="K840" s="82" t="n"/>
      <c r="L840" s="82" t="n"/>
      <c r="M840" s="82" t="n"/>
      <c r="N840" s="83" t="n"/>
      <c r="O840" s="83" t="n"/>
      <c r="P840" s="66">
        <f>IF(OR($N840="",$O840=""),"",$O840-$N840)</f>
        <v/>
      </c>
      <c r="Q840" s="84">
        <f>IF($K840="","",IF($M840&lt;&gt;"",$M840-$K840,TODAY()-$K840))</f>
        <v/>
      </c>
      <c r="R840" s="85">
        <f>IF(OR($L840="",$I840="Completed",$I840="Cancelled"),"",IF(AND($L840&lt;TODAY(),$I840&lt;&gt;"Completed",$I840&lt;&gt;"Cancelled"),"Overdue","On Track"))</f>
        <v/>
      </c>
      <c r="S840" s="65">
        <f>IF($L840="","",TEXT($L840,"yyyy-mm"))</f>
        <v/>
      </c>
      <c r="T840" s="86">
        <f>IF($I840="","",IFERROR(INDEX(Action_Status_Map!$C$5:$C$11,MATCH($I840,Action_Status_Map!$A$5:$A$11,0)),""))</f>
        <v/>
      </c>
      <c r="U840" s="81" t="n"/>
      <c r="V840" s="82" t="n"/>
      <c r="W840" s="65">
        <f>IF(OR($I840&lt;&gt;"Completed",$M840="",$L840=""),"",IF($M840&lt;=$L840,"Yes","No"))</f>
        <v/>
      </c>
      <c r="X840" s="84">
        <f>IF($A840="","",COUNTIF(Task_Steps!$B$5:$B$2004,$A840))</f>
        <v/>
      </c>
      <c r="Y840" s="86">
        <f>IF($X840=0,"",COUNTIFS(Task_Steps!$B$5:$B$2004,$A840,Task_Steps!$H$5:$H$2004,"Completed")/$X840)</f>
        <v/>
      </c>
      <c r="Z840" s="81" t="n"/>
      <c r="AA840" s="81" t="n"/>
      <c r="AB840" s="67">
        <f>IF($F840="","",IFERROR(INDEX(Employee_Master!$E$5:$E$204,MATCH($F840,Employee_Master!$B$5:$B$204,0)),""))</f>
        <v/>
      </c>
      <c r="AC840" s="65">
        <f>IF(OR($A840="",$AB840=""),"",IF(OR($I840="Completed",$I840="Cancelled"),"Closed - in Manager Report","Active - in Manager Report"))</f>
        <v/>
      </c>
      <c r="AD840" s="81">
        <f>IF($A840="","",IFERROR(TEXTJOIN(", ",TRUE,FILTER(Task_Steps!$A$5:$A$2004,Task_Steps!$B$5:$B$2004=$A840)),""))</f>
        <v/>
      </c>
      <c r="AE840" s="84">
        <f>IF($A840="","",COUNTIFS(Task_Steps!$B$5:$B$2004,$A840,Task_Steps!$H$5:$H$2004,"&lt;&gt;Completed",Task_Steps!$H$5:$H$2004,"&lt;&gt;Cancelled"))</f>
        <v/>
      </c>
      <c r="AF840" s="81">
        <f>IF(OR($B840="",$A840=""),"",$B840&amp;" | "&amp;$A840)</f>
        <v/>
      </c>
    </row>
    <row r="841" ht="15" customHeight="1" s="40">
      <c r="A841" s="65">
        <f>IF(COUNTA(B841:F841)=0,"","TSK-"&amp;TEXT(ROW()-4,"0000"))</f>
        <v/>
      </c>
      <c r="B841" s="78" t="n"/>
      <c r="C841" s="78" t="n"/>
      <c r="D841" s="81" t="n"/>
      <c r="E841" s="81" t="n"/>
      <c r="F841" s="78" t="n"/>
      <c r="G841" s="67">
        <f>IF($F841="","",IFERROR(INDEX(Employee_Master!$C$5:$C$204,MATCH($F841,Employee_Master!$B$5:$B$204,0)),""))</f>
        <v/>
      </c>
      <c r="H841" s="78" t="n"/>
      <c r="I841" s="78" t="n"/>
      <c r="J841" s="67">
        <f>IF($I841="","",IFERROR(INDEX(Action_Status_Map!$B$5:$B$11,MATCH($I841,Action_Status_Map!$A$5:$A$11,0)),""))</f>
        <v/>
      </c>
      <c r="K841" s="82" t="n"/>
      <c r="L841" s="82" t="n"/>
      <c r="M841" s="82" t="n"/>
      <c r="N841" s="83" t="n"/>
      <c r="O841" s="83" t="n"/>
      <c r="P841" s="66">
        <f>IF(OR($N841="",$O841=""),"",$O841-$N841)</f>
        <v/>
      </c>
      <c r="Q841" s="84">
        <f>IF($K841="","",IF($M841&lt;&gt;"",$M841-$K841,TODAY()-$K841))</f>
        <v/>
      </c>
      <c r="R841" s="85">
        <f>IF(OR($L841="",$I841="Completed",$I841="Cancelled"),"",IF(AND($L841&lt;TODAY(),$I841&lt;&gt;"Completed",$I841&lt;&gt;"Cancelled"),"Overdue","On Track"))</f>
        <v/>
      </c>
      <c r="S841" s="65">
        <f>IF($L841="","",TEXT($L841,"yyyy-mm"))</f>
        <v/>
      </c>
      <c r="T841" s="86">
        <f>IF($I841="","",IFERROR(INDEX(Action_Status_Map!$C$5:$C$11,MATCH($I841,Action_Status_Map!$A$5:$A$11,0)),""))</f>
        <v/>
      </c>
      <c r="U841" s="81" t="n"/>
      <c r="V841" s="82" t="n"/>
      <c r="W841" s="65">
        <f>IF(OR($I841&lt;&gt;"Completed",$M841="",$L841=""),"",IF($M841&lt;=$L841,"Yes","No"))</f>
        <v/>
      </c>
      <c r="X841" s="84">
        <f>IF($A841="","",COUNTIF(Task_Steps!$B$5:$B$2004,$A841))</f>
        <v/>
      </c>
      <c r="Y841" s="86">
        <f>IF($X841=0,"",COUNTIFS(Task_Steps!$B$5:$B$2004,$A841,Task_Steps!$H$5:$H$2004,"Completed")/$X841)</f>
        <v/>
      </c>
      <c r="Z841" s="81" t="n"/>
      <c r="AA841" s="81" t="n"/>
      <c r="AB841" s="67">
        <f>IF($F841="","",IFERROR(INDEX(Employee_Master!$E$5:$E$204,MATCH($F841,Employee_Master!$B$5:$B$204,0)),""))</f>
        <v/>
      </c>
      <c r="AC841" s="65">
        <f>IF(OR($A841="",$AB841=""),"",IF(OR($I841="Completed",$I841="Cancelled"),"Closed - in Manager Report","Active - in Manager Report"))</f>
        <v/>
      </c>
      <c r="AD841" s="81">
        <f>IF($A841="","",IFERROR(TEXTJOIN(", ",TRUE,FILTER(Task_Steps!$A$5:$A$2004,Task_Steps!$B$5:$B$2004=$A841)),""))</f>
        <v/>
      </c>
      <c r="AE841" s="84">
        <f>IF($A841="","",COUNTIFS(Task_Steps!$B$5:$B$2004,$A841,Task_Steps!$H$5:$H$2004,"&lt;&gt;Completed",Task_Steps!$H$5:$H$2004,"&lt;&gt;Cancelled"))</f>
        <v/>
      </c>
      <c r="AF841" s="81">
        <f>IF(OR($B841="",$A841=""),"",$B841&amp;" | "&amp;$A841)</f>
        <v/>
      </c>
    </row>
    <row r="842" ht="15" customHeight="1" s="40">
      <c r="A842" s="65">
        <f>IF(COUNTA(B842:F842)=0,"","TSK-"&amp;TEXT(ROW()-4,"0000"))</f>
        <v/>
      </c>
      <c r="B842" s="78" t="n"/>
      <c r="C842" s="78" t="n"/>
      <c r="D842" s="81" t="n"/>
      <c r="E842" s="81" t="n"/>
      <c r="F842" s="78" t="n"/>
      <c r="G842" s="67">
        <f>IF($F842="","",IFERROR(INDEX(Employee_Master!$C$5:$C$204,MATCH($F842,Employee_Master!$B$5:$B$204,0)),""))</f>
        <v/>
      </c>
      <c r="H842" s="78" t="n"/>
      <c r="I842" s="78" t="n"/>
      <c r="J842" s="67">
        <f>IF($I842="","",IFERROR(INDEX(Action_Status_Map!$B$5:$B$11,MATCH($I842,Action_Status_Map!$A$5:$A$11,0)),""))</f>
        <v/>
      </c>
      <c r="K842" s="82" t="n"/>
      <c r="L842" s="82" t="n"/>
      <c r="M842" s="82" t="n"/>
      <c r="N842" s="83" t="n"/>
      <c r="O842" s="83" t="n"/>
      <c r="P842" s="66">
        <f>IF(OR($N842="",$O842=""),"",$O842-$N842)</f>
        <v/>
      </c>
      <c r="Q842" s="84">
        <f>IF($K842="","",IF($M842&lt;&gt;"",$M842-$K842,TODAY()-$K842))</f>
        <v/>
      </c>
      <c r="R842" s="85">
        <f>IF(OR($L842="",$I842="Completed",$I842="Cancelled"),"",IF(AND($L842&lt;TODAY(),$I842&lt;&gt;"Completed",$I842&lt;&gt;"Cancelled"),"Overdue","On Track"))</f>
        <v/>
      </c>
      <c r="S842" s="65">
        <f>IF($L842="","",TEXT($L842,"yyyy-mm"))</f>
        <v/>
      </c>
      <c r="T842" s="86">
        <f>IF($I842="","",IFERROR(INDEX(Action_Status_Map!$C$5:$C$11,MATCH($I842,Action_Status_Map!$A$5:$A$11,0)),""))</f>
        <v/>
      </c>
      <c r="U842" s="81" t="n"/>
      <c r="V842" s="82" t="n"/>
      <c r="W842" s="65">
        <f>IF(OR($I842&lt;&gt;"Completed",$M842="",$L842=""),"",IF($M842&lt;=$L842,"Yes","No"))</f>
        <v/>
      </c>
      <c r="X842" s="84">
        <f>IF($A842="","",COUNTIF(Task_Steps!$B$5:$B$2004,$A842))</f>
        <v/>
      </c>
      <c r="Y842" s="86">
        <f>IF($X842=0,"",COUNTIFS(Task_Steps!$B$5:$B$2004,$A842,Task_Steps!$H$5:$H$2004,"Completed")/$X842)</f>
        <v/>
      </c>
      <c r="Z842" s="81" t="n"/>
      <c r="AA842" s="81" t="n"/>
      <c r="AB842" s="67">
        <f>IF($F842="","",IFERROR(INDEX(Employee_Master!$E$5:$E$204,MATCH($F842,Employee_Master!$B$5:$B$204,0)),""))</f>
        <v/>
      </c>
      <c r="AC842" s="65">
        <f>IF(OR($A842="",$AB842=""),"",IF(OR($I842="Completed",$I842="Cancelled"),"Closed - in Manager Report","Active - in Manager Report"))</f>
        <v/>
      </c>
      <c r="AD842" s="81">
        <f>IF($A842="","",IFERROR(TEXTJOIN(", ",TRUE,FILTER(Task_Steps!$A$5:$A$2004,Task_Steps!$B$5:$B$2004=$A842)),""))</f>
        <v/>
      </c>
      <c r="AE842" s="84">
        <f>IF($A842="","",COUNTIFS(Task_Steps!$B$5:$B$2004,$A842,Task_Steps!$H$5:$H$2004,"&lt;&gt;Completed",Task_Steps!$H$5:$H$2004,"&lt;&gt;Cancelled"))</f>
        <v/>
      </c>
      <c r="AF842" s="81">
        <f>IF(OR($B842="",$A842=""),"",$B842&amp;" | "&amp;$A842)</f>
        <v/>
      </c>
    </row>
    <row r="843" ht="15" customHeight="1" s="40">
      <c r="A843" s="65">
        <f>IF(COUNTA(B843:F843)=0,"","TSK-"&amp;TEXT(ROW()-4,"0000"))</f>
        <v/>
      </c>
      <c r="B843" s="78" t="n"/>
      <c r="C843" s="78" t="n"/>
      <c r="D843" s="81" t="n"/>
      <c r="E843" s="81" t="n"/>
      <c r="F843" s="78" t="n"/>
      <c r="G843" s="67">
        <f>IF($F843="","",IFERROR(INDEX(Employee_Master!$C$5:$C$204,MATCH($F843,Employee_Master!$B$5:$B$204,0)),""))</f>
        <v/>
      </c>
      <c r="H843" s="78" t="n"/>
      <c r="I843" s="78" t="n"/>
      <c r="J843" s="67">
        <f>IF($I843="","",IFERROR(INDEX(Action_Status_Map!$B$5:$B$11,MATCH($I843,Action_Status_Map!$A$5:$A$11,0)),""))</f>
        <v/>
      </c>
      <c r="K843" s="82" t="n"/>
      <c r="L843" s="82" t="n"/>
      <c r="M843" s="82" t="n"/>
      <c r="N843" s="83" t="n"/>
      <c r="O843" s="83" t="n"/>
      <c r="P843" s="66">
        <f>IF(OR($N843="",$O843=""),"",$O843-$N843)</f>
        <v/>
      </c>
      <c r="Q843" s="84">
        <f>IF($K843="","",IF($M843&lt;&gt;"",$M843-$K843,TODAY()-$K843))</f>
        <v/>
      </c>
      <c r="R843" s="85">
        <f>IF(OR($L843="",$I843="Completed",$I843="Cancelled"),"",IF(AND($L843&lt;TODAY(),$I843&lt;&gt;"Completed",$I843&lt;&gt;"Cancelled"),"Overdue","On Track"))</f>
        <v/>
      </c>
      <c r="S843" s="65">
        <f>IF($L843="","",TEXT($L843,"yyyy-mm"))</f>
        <v/>
      </c>
      <c r="T843" s="86">
        <f>IF($I843="","",IFERROR(INDEX(Action_Status_Map!$C$5:$C$11,MATCH($I843,Action_Status_Map!$A$5:$A$11,0)),""))</f>
        <v/>
      </c>
      <c r="U843" s="81" t="n"/>
      <c r="V843" s="82" t="n"/>
      <c r="W843" s="65">
        <f>IF(OR($I843&lt;&gt;"Completed",$M843="",$L843=""),"",IF($M843&lt;=$L843,"Yes","No"))</f>
        <v/>
      </c>
      <c r="X843" s="84">
        <f>IF($A843="","",COUNTIF(Task_Steps!$B$5:$B$2004,$A843))</f>
        <v/>
      </c>
      <c r="Y843" s="86">
        <f>IF($X843=0,"",COUNTIFS(Task_Steps!$B$5:$B$2004,$A843,Task_Steps!$H$5:$H$2004,"Completed")/$X843)</f>
        <v/>
      </c>
      <c r="Z843" s="81" t="n"/>
      <c r="AA843" s="81" t="n"/>
      <c r="AB843" s="67">
        <f>IF($F843="","",IFERROR(INDEX(Employee_Master!$E$5:$E$204,MATCH($F843,Employee_Master!$B$5:$B$204,0)),""))</f>
        <v/>
      </c>
      <c r="AC843" s="65">
        <f>IF(OR($A843="",$AB843=""),"",IF(OR($I843="Completed",$I843="Cancelled"),"Closed - in Manager Report","Active - in Manager Report"))</f>
        <v/>
      </c>
      <c r="AD843" s="81">
        <f>IF($A843="","",IFERROR(TEXTJOIN(", ",TRUE,FILTER(Task_Steps!$A$5:$A$2004,Task_Steps!$B$5:$B$2004=$A843)),""))</f>
        <v/>
      </c>
      <c r="AE843" s="84">
        <f>IF($A843="","",COUNTIFS(Task_Steps!$B$5:$B$2004,$A843,Task_Steps!$H$5:$H$2004,"&lt;&gt;Completed",Task_Steps!$H$5:$H$2004,"&lt;&gt;Cancelled"))</f>
        <v/>
      </c>
      <c r="AF843" s="81">
        <f>IF(OR($B843="",$A843=""),"",$B843&amp;" | "&amp;$A843)</f>
        <v/>
      </c>
    </row>
    <row r="844" ht="15" customHeight="1" s="40">
      <c r="A844" s="65">
        <f>IF(COUNTA(B844:F844)=0,"","TSK-"&amp;TEXT(ROW()-4,"0000"))</f>
        <v/>
      </c>
      <c r="B844" s="78" t="n"/>
      <c r="C844" s="78" t="n"/>
      <c r="D844" s="81" t="n"/>
      <c r="E844" s="81" t="n"/>
      <c r="F844" s="78" t="n"/>
      <c r="G844" s="67">
        <f>IF($F844="","",IFERROR(INDEX(Employee_Master!$C$5:$C$204,MATCH($F844,Employee_Master!$B$5:$B$204,0)),""))</f>
        <v/>
      </c>
      <c r="H844" s="78" t="n"/>
      <c r="I844" s="78" t="n"/>
      <c r="J844" s="67">
        <f>IF($I844="","",IFERROR(INDEX(Action_Status_Map!$B$5:$B$11,MATCH($I844,Action_Status_Map!$A$5:$A$11,0)),""))</f>
        <v/>
      </c>
      <c r="K844" s="82" t="n"/>
      <c r="L844" s="82" t="n"/>
      <c r="M844" s="82" t="n"/>
      <c r="N844" s="83" t="n"/>
      <c r="O844" s="83" t="n"/>
      <c r="P844" s="66">
        <f>IF(OR($N844="",$O844=""),"",$O844-$N844)</f>
        <v/>
      </c>
      <c r="Q844" s="84">
        <f>IF($K844="","",IF($M844&lt;&gt;"",$M844-$K844,TODAY()-$K844))</f>
        <v/>
      </c>
      <c r="R844" s="85">
        <f>IF(OR($L844="",$I844="Completed",$I844="Cancelled"),"",IF(AND($L844&lt;TODAY(),$I844&lt;&gt;"Completed",$I844&lt;&gt;"Cancelled"),"Overdue","On Track"))</f>
        <v/>
      </c>
      <c r="S844" s="65">
        <f>IF($L844="","",TEXT($L844,"yyyy-mm"))</f>
        <v/>
      </c>
      <c r="T844" s="86">
        <f>IF($I844="","",IFERROR(INDEX(Action_Status_Map!$C$5:$C$11,MATCH($I844,Action_Status_Map!$A$5:$A$11,0)),""))</f>
        <v/>
      </c>
      <c r="U844" s="81" t="n"/>
      <c r="V844" s="82" t="n"/>
      <c r="W844" s="65">
        <f>IF(OR($I844&lt;&gt;"Completed",$M844="",$L844=""),"",IF($M844&lt;=$L844,"Yes","No"))</f>
        <v/>
      </c>
      <c r="X844" s="84">
        <f>IF($A844="","",COUNTIF(Task_Steps!$B$5:$B$2004,$A844))</f>
        <v/>
      </c>
      <c r="Y844" s="86">
        <f>IF($X844=0,"",COUNTIFS(Task_Steps!$B$5:$B$2004,$A844,Task_Steps!$H$5:$H$2004,"Completed")/$X844)</f>
        <v/>
      </c>
      <c r="Z844" s="81" t="n"/>
      <c r="AA844" s="81" t="n"/>
      <c r="AB844" s="67">
        <f>IF($F844="","",IFERROR(INDEX(Employee_Master!$E$5:$E$204,MATCH($F844,Employee_Master!$B$5:$B$204,0)),""))</f>
        <v/>
      </c>
      <c r="AC844" s="65">
        <f>IF(OR($A844="",$AB844=""),"",IF(OR($I844="Completed",$I844="Cancelled"),"Closed - in Manager Report","Active - in Manager Report"))</f>
        <v/>
      </c>
      <c r="AD844" s="81">
        <f>IF($A844="","",IFERROR(TEXTJOIN(", ",TRUE,FILTER(Task_Steps!$A$5:$A$2004,Task_Steps!$B$5:$B$2004=$A844)),""))</f>
        <v/>
      </c>
      <c r="AE844" s="84">
        <f>IF($A844="","",COUNTIFS(Task_Steps!$B$5:$B$2004,$A844,Task_Steps!$H$5:$H$2004,"&lt;&gt;Completed",Task_Steps!$H$5:$H$2004,"&lt;&gt;Cancelled"))</f>
        <v/>
      </c>
      <c r="AF844" s="81">
        <f>IF(OR($B844="",$A844=""),"",$B844&amp;" | "&amp;$A844)</f>
        <v/>
      </c>
    </row>
    <row r="845" ht="15" customHeight="1" s="40">
      <c r="A845" s="65">
        <f>IF(COUNTA(B845:F845)=0,"","TSK-"&amp;TEXT(ROW()-4,"0000"))</f>
        <v/>
      </c>
      <c r="B845" s="78" t="n"/>
      <c r="C845" s="78" t="n"/>
      <c r="D845" s="81" t="n"/>
      <c r="E845" s="81" t="n"/>
      <c r="F845" s="78" t="n"/>
      <c r="G845" s="67">
        <f>IF($F845="","",IFERROR(INDEX(Employee_Master!$C$5:$C$204,MATCH($F845,Employee_Master!$B$5:$B$204,0)),""))</f>
        <v/>
      </c>
      <c r="H845" s="78" t="n"/>
      <c r="I845" s="78" t="n"/>
      <c r="J845" s="67">
        <f>IF($I845="","",IFERROR(INDEX(Action_Status_Map!$B$5:$B$11,MATCH($I845,Action_Status_Map!$A$5:$A$11,0)),""))</f>
        <v/>
      </c>
      <c r="K845" s="82" t="n"/>
      <c r="L845" s="82" t="n"/>
      <c r="M845" s="82" t="n"/>
      <c r="N845" s="83" t="n"/>
      <c r="O845" s="83" t="n"/>
      <c r="P845" s="66">
        <f>IF(OR($N845="",$O845=""),"",$O845-$N845)</f>
        <v/>
      </c>
      <c r="Q845" s="84">
        <f>IF($K845="","",IF($M845&lt;&gt;"",$M845-$K845,TODAY()-$K845))</f>
        <v/>
      </c>
      <c r="R845" s="85">
        <f>IF(OR($L845="",$I845="Completed",$I845="Cancelled"),"",IF(AND($L845&lt;TODAY(),$I845&lt;&gt;"Completed",$I845&lt;&gt;"Cancelled"),"Overdue","On Track"))</f>
        <v/>
      </c>
      <c r="S845" s="65">
        <f>IF($L845="","",TEXT($L845,"yyyy-mm"))</f>
        <v/>
      </c>
      <c r="T845" s="86">
        <f>IF($I845="","",IFERROR(INDEX(Action_Status_Map!$C$5:$C$11,MATCH($I845,Action_Status_Map!$A$5:$A$11,0)),""))</f>
        <v/>
      </c>
      <c r="U845" s="81" t="n"/>
      <c r="V845" s="82" t="n"/>
      <c r="W845" s="65">
        <f>IF(OR($I845&lt;&gt;"Completed",$M845="",$L845=""),"",IF($M845&lt;=$L845,"Yes","No"))</f>
        <v/>
      </c>
      <c r="X845" s="84">
        <f>IF($A845="","",COUNTIF(Task_Steps!$B$5:$B$2004,$A845))</f>
        <v/>
      </c>
      <c r="Y845" s="86">
        <f>IF($X845=0,"",COUNTIFS(Task_Steps!$B$5:$B$2004,$A845,Task_Steps!$H$5:$H$2004,"Completed")/$X845)</f>
        <v/>
      </c>
      <c r="Z845" s="81" t="n"/>
      <c r="AA845" s="81" t="n"/>
      <c r="AB845" s="67">
        <f>IF($F845="","",IFERROR(INDEX(Employee_Master!$E$5:$E$204,MATCH($F845,Employee_Master!$B$5:$B$204,0)),""))</f>
        <v/>
      </c>
      <c r="AC845" s="65">
        <f>IF(OR($A845="",$AB845=""),"",IF(OR($I845="Completed",$I845="Cancelled"),"Closed - in Manager Report","Active - in Manager Report"))</f>
        <v/>
      </c>
      <c r="AD845" s="81">
        <f>IF($A845="","",IFERROR(TEXTJOIN(", ",TRUE,FILTER(Task_Steps!$A$5:$A$2004,Task_Steps!$B$5:$B$2004=$A845)),""))</f>
        <v/>
      </c>
      <c r="AE845" s="84">
        <f>IF($A845="","",COUNTIFS(Task_Steps!$B$5:$B$2004,$A845,Task_Steps!$H$5:$H$2004,"&lt;&gt;Completed",Task_Steps!$H$5:$H$2004,"&lt;&gt;Cancelled"))</f>
        <v/>
      </c>
      <c r="AF845" s="81">
        <f>IF(OR($B845="",$A845=""),"",$B845&amp;" | "&amp;$A845)</f>
        <v/>
      </c>
    </row>
    <row r="846" ht="15" customHeight="1" s="40">
      <c r="A846" s="65">
        <f>IF(COUNTA(B846:F846)=0,"","TSK-"&amp;TEXT(ROW()-4,"0000"))</f>
        <v/>
      </c>
      <c r="B846" s="78" t="n"/>
      <c r="C846" s="78" t="n"/>
      <c r="D846" s="81" t="n"/>
      <c r="E846" s="81" t="n"/>
      <c r="F846" s="78" t="n"/>
      <c r="G846" s="67">
        <f>IF($F846="","",IFERROR(INDEX(Employee_Master!$C$5:$C$204,MATCH($F846,Employee_Master!$B$5:$B$204,0)),""))</f>
        <v/>
      </c>
      <c r="H846" s="78" t="n"/>
      <c r="I846" s="78" t="n"/>
      <c r="J846" s="67">
        <f>IF($I846="","",IFERROR(INDEX(Action_Status_Map!$B$5:$B$11,MATCH($I846,Action_Status_Map!$A$5:$A$11,0)),""))</f>
        <v/>
      </c>
      <c r="K846" s="82" t="n"/>
      <c r="L846" s="82" t="n"/>
      <c r="M846" s="82" t="n"/>
      <c r="N846" s="83" t="n"/>
      <c r="O846" s="83" t="n"/>
      <c r="P846" s="66">
        <f>IF(OR($N846="",$O846=""),"",$O846-$N846)</f>
        <v/>
      </c>
      <c r="Q846" s="84">
        <f>IF($K846="","",IF($M846&lt;&gt;"",$M846-$K846,TODAY()-$K846))</f>
        <v/>
      </c>
      <c r="R846" s="85">
        <f>IF(OR($L846="",$I846="Completed",$I846="Cancelled"),"",IF(AND($L846&lt;TODAY(),$I846&lt;&gt;"Completed",$I846&lt;&gt;"Cancelled"),"Overdue","On Track"))</f>
        <v/>
      </c>
      <c r="S846" s="65">
        <f>IF($L846="","",TEXT($L846,"yyyy-mm"))</f>
        <v/>
      </c>
      <c r="T846" s="86">
        <f>IF($I846="","",IFERROR(INDEX(Action_Status_Map!$C$5:$C$11,MATCH($I846,Action_Status_Map!$A$5:$A$11,0)),""))</f>
        <v/>
      </c>
      <c r="U846" s="81" t="n"/>
      <c r="V846" s="82" t="n"/>
      <c r="W846" s="65">
        <f>IF(OR($I846&lt;&gt;"Completed",$M846="",$L846=""),"",IF($M846&lt;=$L846,"Yes","No"))</f>
        <v/>
      </c>
      <c r="X846" s="84">
        <f>IF($A846="","",COUNTIF(Task_Steps!$B$5:$B$2004,$A846))</f>
        <v/>
      </c>
      <c r="Y846" s="86">
        <f>IF($X846=0,"",COUNTIFS(Task_Steps!$B$5:$B$2004,$A846,Task_Steps!$H$5:$H$2004,"Completed")/$X846)</f>
        <v/>
      </c>
      <c r="Z846" s="81" t="n"/>
      <c r="AA846" s="81" t="n"/>
      <c r="AB846" s="67">
        <f>IF($F846="","",IFERROR(INDEX(Employee_Master!$E$5:$E$204,MATCH($F846,Employee_Master!$B$5:$B$204,0)),""))</f>
        <v/>
      </c>
      <c r="AC846" s="65">
        <f>IF(OR($A846="",$AB846=""),"",IF(OR($I846="Completed",$I846="Cancelled"),"Closed - in Manager Report","Active - in Manager Report"))</f>
        <v/>
      </c>
      <c r="AD846" s="81">
        <f>IF($A846="","",IFERROR(TEXTJOIN(", ",TRUE,FILTER(Task_Steps!$A$5:$A$2004,Task_Steps!$B$5:$B$2004=$A846)),""))</f>
        <v/>
      </c>
      <c r="AE846" s="84">
        <f>IF($A846="","",COUNTIFS(Task_Steps!$B$5:$B$2004,$A846,Task_Steps!$H$5:$H$2004,"&lt;&gt;Completed",Task_Steps!$H$5:$H$2004,"&lt;&gt;Cancelled"))</f>
        <v/>
      </c>
      <c r="AF846" s="81">
        <f>IF(OR($B846="",$A846=""),"",$B846&amp;" | "&amp;$A846)</f>
        <v/>
      </c>
    </row>
    <row r="847" ht="15" customHeight="1" s="40">
      <c r="A847" s="65">
        <f>IF(COUNTA(B847:F847)=0,"","TSK-"&amp;TEXT(ROW()-4,"0000"))</f>
        <v/>
      </c>
      <c r="B847" s="78" t="n"/>
      <c r="C847" s="78" t="n"/>
      <c r="D847" s="81" t="n"/>
      <c r="E847" s="81" t="n"/>
      <c r="F847" s="78" t="n"/>
      <c r="G847" s="67">
        <f>IF($F847="","",IFERROR(INDEX(Employee_Master!$C$5:$C$204,MATCH($F847,Employee_Master!$B$5:$B$204,0)),""))</f>
        <v/>
      </c>
      <c r="H847" s="78" t="n"/>
      <c r="I847" s="78" t="n"/>
      <c r="J847" s="67">
        <f>IF($I847="","",IFERROR(INDEX(Action_Status_Map!$B$5:$B$11,MATCH($I847,Action_Status_Map!$A$5:$A$11,0)),""))</f>
        <v/>
      </c>
      <c r="K847" s="82" t="n"/>
      <c r="L847" s="82" t="n"/>
      <c r="M847" s="82" t="n"/>
      <c r="N847" s="83" t="n"/>
      <c r="O847" s="83" t="n"/>
      <c r="P847" s="66">
        <f>IF(OR($N847="",$O847=""),"",$O847-$N847)</f>
        <v/>
      </c>
      <c r="Q847" s="84">
        <f>IF($K847="","",IF($M847&lt;&gt;"",$M847-$K847,TODAY()-$K847))</f>
        <v/>
      </c>
      <c r="R847" s="85">
        <f>IF(OR($L847="",$I847="Completed",$I847="Cancelled"),"",IF(AND($L847&lt;TODAY(),$I847&lt;&gt;"Completed",$I847&lt;&gt;"Cancelled"),"Overdue","On Track"))</f>
        <v/>
      </c>
      <c r="S847" s="65">
        <f>IF($L847="","",TEXT($L847,"yyyy-mm"))</f>
        <v/>
      </c>
      <c r="T847" s="86">
        <f>IF($I847="","",IFERROR(INDEX(Action_Status_Map!$C$5:$C$11,MATCH($I847,Action_Status_Map!$A$5:$A$11,0)),""))</f>
        <v/>
      </c>
      <c r="U847" s="81" t="n"/>
      <c r="V847" s="82" t="n"/>
      <c r="W847" s="65">
        <f>IF(OR($I847&lt;&gt;"Completed",$M847="",$L847=""),"",IF($M847&lt;=$L847,"Yes","No"))</f>
        <v/>
      </c>
      <c r="X847" s="84">
        <f>IF($A847="","",COUNTIF(Task_Steps!$B$5:$B$2004,$A847))</f>
        <v/>
      </c>
      <c r="Y847" s="86">
        <f>IF($X847=0,"",COUNTIFS(Task_Steps!$B$5:$B$2004,$A847,Task_Steps!$H$5:$H$2004,"Completed")/$X847)</f>
        <v/>
      </c>
      <c r="Z847" s="81" t="n"/>
      <c r="AA847" s="81" t="n"/>
      <c r="AB847" s="67">
        <f>IF($F847="","",IFERROR(INDEX(Employee_Master!$E$5:$E$204,MATCH($F847,Employee_Master!$B$5:$B$204,0)),""))</f>
        <v/>
      </c>
      <c r="AC847" s="65">
        <f>IF(OR($A847="",$AB847=""),"",IF(OR($I847="Completed",$I847="Cancelled"),"Closed - in Manager Report","Active - in Manager Report"))</f>
        <v/>
      </c>
      <c r="AD847" s="81">
        <f>IF($A847="","",IFERROR(TEXTJOIN(", ",TRUE,FILTER(Task_Steps!$A$5:$A$2004,Task_Steps!$B$5:$B$2004=$A847)),""))</f>
        <v/>
      </c>
      <c r="AE847" s="84">
        <f>IF($A847="","",COUNTIFS(Task_Steps!$B$5:$B$2004,$A847,Task_Steps!$H$5:$H$2004,"&lt;&gt;Completed",Task_Steps!$H$5:$H$2004,"&lt;&gt;Cancelled"))</f>
        <v/>
      </c>
      <c r="AF847" s="81">
        <f>IF(OR($B847="",$A847=""),"",$B847&amp;" | "&amp;$A847)</f>
        <v/>
      </c>
    </row>
    <row r="848" ht="15" customHeight="1" s="40">
      <c r="A848" s="65">
        <f>IF(COUNTA(B848:F848)=0,"","TSK-"&amp;TEXT(ROW()-4,"0000"))</f>
        <v/>
      </c>
      <c r="B848" s="78" t="n"/>
      <c r="C848" s="78" t="n"/>
      <c r="D848" s="81" t="n"/>
      <c r="E848" s="81" t="n"/>
      <c r="F848" s="78" t="n"/>
      <c r="G848" s="67">
        <f>IF($F848="","",IFERROR(INDEX(Employee_Master!$C$5:$C$204,MATCH($F848,Employee_Master!$B$5:$B$204,0)),""))</f>
        <v/>
      </c>
      <c r="H848" s="78" t="n"/>
      <c r="I848" s="78" t="n"/>
      <c r="J848" s="67">
        <f>IF($I848="","",IFERROR(INDEX(Action_Status_Map!$B$5:$B$11,MATCH($I848,Action_Status_Map!$A$5:$A$11,0)),""))</f>
        <v/>
      </c>
      <c r="K848" s="82" t="n"/>
      <c r="L848" s="82" t="n"/>
      <c r="M848" s="82" t="n"/>
      <c r="N848" s="83" t="n"/>
      <c r="O848" s="83" t="n"/>
      <c r="P848" s="66">
        <f>IF(OR($N848="",$O848=""),"",$O848-$N848)</f>
        <v/>
      </c>
      <c r="Q848" s="84">
        <f>IF($K848="","",IF($M848&lt;&gt;"",$M848-$K848,TODAY()-$K848))</f>
        <v/>
      </c>
      <c r="R848" s="85">
        <f>IF(OR($L848="",$I848="Completed",$I848="Cancelled"),"",IF(AND($L848&lt;TODAY(),$I848&lt;&gt;"Completed",$I848&lt;&gt;"Cancelled"),"Overdue","On Track"))</f>
        <v/>
      </c>
      <c r="S848" s="65">
        <f>IF($L848="","",TEXT($L848,"yyyy-mm"))</f>
        <v/>
      </c>
      <c r="T848" s="86">
        <f>IF($I848="","",IFERROR(INDEX(Action_Status_Map!$C$5:$C$11,MATCH($I848,Action_Status_Map!$A$5:$A$11,0)),""))</f>
        <v/>
      </c>
      <c r="U848" s="81" t="n"/>
      <c r="V848" s="82" t="n"/>
      <c r="W848" s="65">
        <f>IF(OR($I848&lt;&gt;"Completed",$M848="",$L848=""),"",IF($M848&lt;=$L848,"Yes","No"))</f>
        <v/>
      </c>
      <c r="X848" s="84">
        <f>IF($A848="","",COUNTIF(Task_Steps!$B$5:$B$2004,$A848))</f>
        <v/>
      </c>
      <c r="Y848" s="86">
        <f>IF($X848=0,"",COUNTIFS(Task_Steps!$B$5:$B$2004,$A848,Task_Steps!$H$5:$H$2004,"Completed")/$X848)</f>
        <v/>
      </c>
      <c r="Z848" s="81" t="n"/>
      <c r="AA848" s="81" t="n"/>
      <c r="AB848" s="67">
        <f>IF($F848="","",IFERROR(INDEX(Employee_Master!$E$5:$E$204,MATCH($F848,Employee_Master!$B$5:$B$204,0)),""))</f>
        <v/>
      </c>
      <c r="AC848" s="65">
        <f>IF(OR($A848="",$AB848=""),"",IF(OR($I848="Completed",$I848="Cancelled"),"Closed - in Manager Report","Active - in Manager Report"))</f>
        <v/>
      </c>
      <c r="AD848" s="81">
        <f>IF($A848="","",IFERROR(TEXTJOIN(", ",TRUE,FILTER(Task_Steps!$A$5:$A$2004,Task_Steps!$B$5:$B$2004=$A848)),""))</f>
        <v/>
      </c>
      <c r="AE848" s="84">
        <f>IF($A848="","",COUNTIFS(Task_Steps!$B$5:$B$2004,$A848,Task_Steps!$H$5:$H$2004,"&lt;&gt;Completed",Task_Steps!$H$5:$H$2004,"&lt;&gt;Cancelled"))</f>
        <v/>
      </c>
      <c r="AF848" s="81">
        <f>IF(OR($B848="",$A848=""),"",$B848&amp;" | "&amp;$A848)</f>
        <v/>
      </c>
    </row>
    <row r="849" ht="15" customHeight="1" s="40">
      <c r="A849" s="65">
        <f>IF(COUNTA(B849:F849)=0,"","TSK-"&amp;TEXT(ROW()-4,"0000"))</f>
        <v/>
      </c>
      <c r="B849" s="78" t="n"/>
      <c r="C849" s="78" t="n"/>
      <c r="D849" s="81" t="n"/>
      <c r="E849" s="81" t="n"/>
      <c r="F849" s="78" t="n"/>
      <c r="G849" s="67">
        <f>IF($F849="","",IFERROR(INDEX(Employee_Master!$C$5:$C$204,MATCH($F849,Employee_Master!$B$5:$B$204,0)),""))</f>
        <v/>
      </c>
      <c r="H849" s="78" t="n"/>
      <c r="I849" s="78" t="n"/>
      <c r="J849" s="67">
        <f>IF($I849="","",IFERROR(INDEX(Action_Status_Map!$B$5:$B$11,MATCH($I849,Action_Status_Map!$A$5:$A$11,0)),""))</f>
        <v/>
      </c>
      <c r="K849" s="82" t="n"/>
      <c r="L849" s="82" t="n"/>
      <c r="M849" s="82" t="n"/>
      <c r="N849" s="83" t="n"/>
      <c r="O849" s="83" t="n"/>
      <c r="P849" s="66">
        <f>IF(OR($N849="",$O849=""),"",$O849-$N849)</f>
        <v/>
      </c>
      <c r="Q849" s="84">
        <f>IF($K849="","",IF($M849&lt;&gt;"",$M849-$K849,TODAY()-$K849))</f>
        <v/>
      </c>
      <c r="R849" s="85">
        <f>IF(OR($L849="",$I849="Completed",$I849="Cancelled"),"",IF(AND($L849&lt;TODAY(),$I849&lt;&gt;"Completed",$I849&lt;&gt;"Cancelled"),"Overdue","On Track"))</f>
        <v/>
      </c>
      <c r="S849" s="65">
        <f>IF($L849="","",TEXT($L849,"yyyy-mm"))</f>
        <v/>
      </c>
      <c r="T849" s="86">
        <f>IF($I849="","",IFERROR(INDEX(Action_Status_Map!$C$5:$C$11,MATCH($I849,Action_Status_Map!$A$5:$A$11,0)),""))</f>
        <v/>
      </c>
      <c r="U849" s="81" t="n"/>
      <c r="V849" s="82" t="n"/>
      <c r="W849" s="65">
        <f>IF(OR($I849&lt;&gt;"Completed",$M849="",$L849=""),"",IF($M849&lt;=$L849,"Yes","No"))</f>
        <v/>
      </c>
      <c r="X849" s="84">
        <f>IF($A849="","",COUNTIF(Task_Steps!$B$5:$B$2004,$A849))</f>
        <v/>
      </c>
      <c r="Y849" s="86">
        <f>IF($X849=0,"",COUNTIFS(Task_Steps!$B$5:$B$2004,$A849,Task_Steps!$H$5:$H$2004,"Completed")/$X849)</f>
        <v/>
      </c>
      <c r="Z849" s="81" t="n"/>
      <c r="AA849" s="81" t="n"/>
      <c r="AB849" s="67">
        <f>IF($F849="","",IFERROR(INDEX(Employee_Master!$E$5:$E$204,MATCH($F849,Employee_Master!$B$5:$B$204,0)),""))</f>
        <v/>
      </c>
      <c r="AC849" s="65">
        <f>IF(OR($A849="",$AB849=""),"",IF(OR($I849="Completed",$I849="Cancelled"),"Closed - in Manager Report","Active - in Manager Report"))</f>
        <v/>
      </c>
      <c r="AD849" s="81">
        <f>IF($A849="","",IFERROR(TEXTJOIN(", ",TRUE,FILTER(Task_Steps!$A$5:$A$2004,Task_Steps!$B$5:$B$2004=$A849)),""))</f>
        <v/>
      </c>
      <c r="AE849" s="84">
        <f>IF($A849="","",COUNTIFS(Task_Steps!$B$5:$B$2004,$A849,Task_Steps!$H$5:$H$2004,"&lt;&gt;Completed",Task_Steps!$H$5:$H$2004,"&lt;&gt;Cancelled"))</f>
        <v/>
      </c>
      <c r="AF849" s="81">
        <f>IF(OR($B849="",$A849=""),"",$B849&amp;" | "&amp;$A849)</f>
        <v/>
      </c>
    </row>
    <row r="850" ht="15" customHeight="1" s="40">
      <c r="A850" s="65">
        <f>IF(COUNTA(B850:F850)=0,"","TSK-"&amp;TEXT(ROW()-4,"0000"))</f>
        <v/>
      </c>
      <c r="B850" s="78" t="n"/>
      <c r="C850" s="78" t="n"/>
      <c r="D850" s="81" t="n"/>
      <c r="E850" s="81" t="n"/>
      <c r="F850" s="78" t="n"/>
      <c r="G850" s="67">
        <f>IF($F850="","",IFERROR(INDEX(Employee_Master!$C$5:$C$204,MATCH($F850,Employee_Master!$B$5:$B$204,0)),""))</f>
        <v/>
      </c>
      <c r="H850" s="78" t="n"/>
      <c r="I850" s="78" t="n"/>
      <c r="J850" s="67">
        <f>IF($I850="","",IFERROR(INDEX(Action_Status_Map!$B$5:$B$11,MATCH($I850,Action_Status_Map!$A$5:$A$11,0)),""))</f>
        <v/>
      </c>
      <c r="K850" s="82" t="n"/>
      <c r="L850" s="82" t="n"/>
      <c r="M850" s="82" t="n"/>
      <c r="N850" s="83" t="n"/>
      <c r="O850" s="83" t="n"/>
      <c r="P850" s="66">
        <f>IF(OR($N850="",$O850=""),"",$O850-$N850)</f>
        <v/>
      </c>
      <c r="Q850" s="84">
        <f>IF($K850="","",IF($M850&lt;&gt;"",$M850-$K850,TODAY()-$K850))</f>
        <v/>
      </c>
      <c r="R850" s="85">
        <f>IF(OR($L850="",$I850="Completed",$I850="Cancelled"),"",IF(AND($L850&lt;TODAY(),$I850&lt;&gt;"Completed",$I850&lt;&gt;"Cancelled"),"Overdue","On Track"))</f>
        <v/>
      </c>
      <c r="S850" s="65">
        <f>IF($L850="","",TEXT($L850,"yyyy-mm"))</f>
        <v/>
      </c>
      <c r="T850" s="86">
        <f>IF($I850="","",IFERROR(INDEX(Action_Status_Map!$C$5:$C$11,MATCH($I850,Action_Status_Map!$A$5:$A$11,0)),""))</f>
        <v/>
      </c>
      <c r="U850" s="81" t="n"/>
      <c r="V850" s="82" t="n"/>
      <c r="W850" s="65">
        <f>IF(OR($I850&lt;&gt;"Completed",$M850="",$L850=""),"",IF($M850&lt;=$L850,"Yes","No"))</f>
        <v/>
      </c>
      <c r="X850" s="84">
        <f>IF($A850="","",COUNTIF(Task_Steps!$B$5:$B$2004,$A850))</f>
        <v/>
      </c>
      <c r="Y850" s="86">
        <f>IF($X850=0,"",COUNTIFS(Task_Steps!$B$5:$B$2004,$A850,Task_Steps!$H$5:$H$2004,"Completed")/$X850)</f>
        <v/>
      </c>
      <c r="Z850" s="81" t="n"/>
      <c r="AA850" s="81" t="n"/>
      <c r="AB850" s="67">
        <f>IF($F850="","",IFERROR(INDEX(Employee_Master!$E$5:$E$204,MATCH($F850,Employee_Master!$B$5:$B$204,0)),""))</f>
        <v/>
      </c>
      <c r="AC850" s="65">
        <f>IF(OR($A850="",$AB850=""),"",IF(OR($I850="Completed",$I850="Cancelled"),"Closed - in Manager Report","Active - in Manager Report"))</f>
        <v/>
      </c>
      <c r="AD850" s="81">
        <f>IF($A850="","",IFERROR(TEXTJOIN(", ",TRUE,FILTER(Task_Steps!$A$5:$A$2004,Task_Steps!$B$5:$B$2004=$A850)),""))</f>
        <v/>
      </c>
      <c r="AE850" s="84">
        <f>IF($A850="","",COUNTIFS(Task_Steps!$B$5:$B$2004,$A850,Task_Steps!$H$5:$H$2004,"&lt;&gt;Completed",Task_Steps!$H$5:$H$2004,"&lt;&gt;Cancelled"))</f>
        <v/>
      </c>
      <c r="AF850" s="81">
        <f>IF(OR($B850="",$A850=""),"",$B850&amp;" | "&amp;$A850)</f>
        <v/>
      </c>
    </row>
    <row r="851" ht="15" customHeight="1" s="40">
      <c r="A851" s="65">
        <f>IF(COUNTA(B851:F851)=0,"","TSK-"&amp;TEXT(ROW()-4,"0000"))</f>
        <v/>
      </c>
      <c r="B851" s="78" t="n"/>
      <c r="C851" s="78" t="n"/>
      <c r="D851" s="81" t="n"/>
      <c r="E851" s="81" t="n"/>
      <c r="F851" s="78" t="n"/>
      <c r="G851" s="67">
        <f>IF($F851="","",IFERROR(INDEX(Employee_Master!$C$5:$C$204,MATCH($F851,Employee_Master!$B$5:$B$204,0)),""))</f>
        <v/>
      </c>
      <c r="H851" s="78" t="n"/>
      <c r="I851" s="78" t="n"/>
      <c r="J851" s="67">
        <f>IF($I851="","",IFERROR(INDEX(Action_Status_Map!$B$5:$B$11,MATCH($I851,Action_Status_Map!$A$5:$A$11,0)),""))</f>
        <v/>
      </c>
      <c r="K851" s="82" t="n"/>
      <c r="L851" s="82" t="n"/>
      <c r="M851" s="82" t="n"/>
      <c r="N851" s="83" t="n"/>
      <c r="O851" s="83" t="n"/>
      <c r="P851" s="66">
        <f>IF(OR($N851="",$O851=""),"",$O851-$N851)</f>
        <v/>
      </c>
      <c r="Q851" s="84">
        <f>IF($K851="","",IF($M851&lt;&gt;"",$M851-$K851,TODAY()-$K851))</f>
        <v/>
      </c>
      <c r="R851" s="85">
        <f>IF(OR($L851="",$I851="Completed",$I851="Cancelled"),"",IF(AND($L851&lt;TODAY(),$I851&lt;&gt;"Completed",$I851&lt;&gt;"Cancelled"),"Overdue","On Track"))</f>
        <v/>
      </c>
      <c r="S851" s="65">
        <f>IF($L851="","",TEXT($L851,"yyyy-mm"))</f>
        <v/>
      </c>
      <c r="T851" s="86">
        <f>IF($I851="","",IFERROR(INDEX(Action_Status_Map!$C$5:$C$11,MATCH($I851,Action_Status_Map!$A$5:$A$11,0)),""))</f>
        <v/>
      </c>
      <c r="U851" s="81" t="n"/>
      <c r="V851" s="82" t="n"/>
      <c r="W851" s="65">
        <f>IF(OR($I851&lt;&gt;"Completed",$M851="",$L851=""),"",IF($M851&lt;=$L851,"Yes","No"))</f>
        <v/>
      </c>
      <c r="X851" s="84">
        <f>IF($A851="","",COUNTIF(Task_Steps!$B$5:$B$2004,$A851))</f>
        <v/>
      </c>
      <c r="Y851" s="86">
        <f>IF($X851=0,"",COUNTIFS(Task_Steps!$B$5:$B$2004,$A851,Task_Steps!$H$5:$H$2004,"Completed")/$X851)</f>
        <v/>
      </c>
      <c r="Z851" s="81" t="n"/>
      <c r="AA851" s="81" t="n"/>
      <c r="AB851" s="67">
        <f>IF($F851="","",IFERROR(INDEX(Employee_Master!$E$5:$E$204,MATCH($F851,Employee_Master!$B$5:$B$204,0)),""))</f>
        <v/>
      </c>
      <c r="AC851" s="65">
        <f>IF(OR($A851="",$AB851=""),"",IF(OR($I851="Completed",$I851="Cancelled"),"Closed - in Manager Report","Active - in Manager Report"))</f>
        <v/>
      </c>
      <c r="AD851" s="81">
        <f>IF($A851="","",IFERROR(TEXTJOIN(", ",TRUE,FILTER(Task_Steps!$A$5:$A$2004,Task_Steps!$B$5:$B$2004=$A851)),""))</f>
        <v/>
      </c>
      <c r="AE851" s="84">
        <f>IF($A851="","",COUNTIFS(Task_Steps!$B$5:$B$2004,$A851,Task_Steps!$H$5:$H$2004,"&lt;&gt;Completed",Task_Steps!$H$5:$H$2004,"&lt;&gt;Cancelled"))</f>
        <v/>
      </c>
      <c r="AF851" s="81">
        <f>IF(OR($B851="",$A851=""),"",$B851&amp;" | "&amp;$A851)</f>
        <v/>
      </c>
    </row>
    <row r="852" ht="15" customHeight="1" s="40">
      <c r="A852" s="65">
        <f>IF(COUNTA(B852:F852)=0,"","TSK-"&amp;TEXT(ROW()-4,"0000"))</f>
        <v/>
      </c>
      <c r="B852" s="78" t="n"/>
      <c r="C852" s="78" t="n"/>
      <c r="D852" s="81" t="n"/>
      <c r="E852" s="81" t="n"/>
      <c r="F852" s="78" t="n"/>
      <c r="G852" s="67">
        <f>IF($F852="","",IFERROR(INDEX(Employee_Master!$C$5:$C$204,MATCH($F852,Employee_Master!$B$5:$B$204,0)),""))</f>
        <v/>
      </c>
      <c r="H852" s="78" t="n"/>
      <c r="I852" s="78" t="n"/>
      <c r="J852" s="67">
        <f>IF($I852="","",IFERROR(INDEX(Action_Status_Map!$B$5:$B$11,MATCH($I852,Action_Status_Map!$A$5:$A$11,0)),""))</f>
        <v/>
      </c>
      <c r="K852" s="82" t="n"/>
      <c r="L852" s="82" t="n"/>
      <c r="M852" s="82" t="n"/>
      <c r="N852" s="83" t="n"/>
      <c r="O852" s="83" t="n"/>
      <c r="P852" s="66">
        <f>IF(OR($N852="",$O852=""),"",$O852-$N852)</f>
        <v/>
      </c>
      <c r="Q852" s="84">
        <f>IF($K852="","",IF($M852&lt;&gt;"",$M852-$K852,TODAY()-$K852))</f>
        <v/>
      </c>
      <c r="R852" s="85">
        <f>IF(OR($L852="",$I852="Completed",$I852="Cancelled"),"",IF(AND($L852&lt;TODAY(),$I852&lt;&gt;"Completed",$I852&lt;&gt;"Cancelled"),"Overdue","On Track"))</f>
        <v/>
      </c>
      <c r="S852" s="65">
        <f>IF($L852="","",TEXT($L852,"yyyy-mm"))</f>
        <v/>
      </c>
      <c r="T852" s="86">
        <f>IF($I852="","",IFERROR(INDEX(Action_Status_Map!$C$5:$C$11,MATCH($I852,Action_Status_Map!$A$5:$A$11,0)),""))</f>
        <v/>
      </c>
      <c r="U852" s="81" t="n"/>
      <c r="V852" s="82" t="n"/>
      <c r="W852" s="65">
        <f>IF(OR($I852&lt;&gt;"Completed",$M852="",$L852=""),"",IF($M852&lt;=$L852,"Yes","No"))</f>
        <v/>
      </c>
      <c r="X852" s="84">
        <f>IF($A852="","",COUNTIF(Task_Steps!$B$5:$B$2004,$A852))</f>
        <v/>
      </c>
      <c r="Y852" s="86">
        <f>IF($X852=0,"",COUNTIFS(Task_Steps!$B$5:$B$2004,$A852,Task_Steps!$H$5:$H$2004,"Completed")/$X852)</f>
        <v/>
      </c>
      <c r="Z852" s="81" t="n"/>
      <c r="AA852" s="81" t="n"/>
      <c r="AB852" s="67">
        <f>IF($F852="","",IFERROR(INDEX(Employee_Master!$E$5:$E$204,MATCH($F852,Employee_Master!$B$5:$B$204,0)),""))</f>
        <v/>
      </c>
      <c r="AC852" s="65">
        <f>IF(OR($A852="",$AB852=""),"",IF(OR($I852="Completed",$I852="Cancelled"),"Closed - in Manager Report","Active - in Manager Report"))</f>
        <v/>
      </c>
      <c r="AD852" s="81">
        <f>IF($A852="","",IFERROR(TEXTJOIN(", ",TRUE,FILTER(Task_Steps!$A$5:$A$2004,Task_Steps!$B$5:$B$2004=$A852)),""))</f>
        <v/>
      </c>
      <c r="AE852" s="84">
        <f>IF($A852="","",COUNTIFS(Task_Steps!$B$5:$B$2004,$A852,Task_Steps!$H$5:$H$2004,"&lt;&gt;Completed",Task_Steps!$H$5:$H$2004,"&lt;&gt;Cancelled"))</f>
        <v/>
      </c>
      <c r="AF852" s="81">
        <f>IF(OR($B852="",$A852=""),"",$B852&amp;" | "&amp;$A852)</f>
        <v/>
      </c>
    </row>
    <row r="853" ht="15" customHeight="1" s="40">
      <c r="A853" s="65">
        <f>IF(COUNTA(B853:F853)=0,"","TSK-"&amp;TEXT(ROW()-4,"0000"))</f>
        <v/>
      </c>
      <c r="B853" s="78" t="n"/>
      <c r="C853" s="78" t="n"/>
      <c r="D853" s="81" t="n"/>
      <c r="E853" s="81" t="n"/>
      <c r="F853" s="78" t="n"/>
      <c r="G853" s="67">
        <f>IF($F853="","",IFERROR(INDEX(Employee_Master!$C$5:$C$204,MATCH($F853,Employee_Master!$B$5:$B$204,0)),""))</f>
        <v/>
      </c>
      <c r="H853" s="78" t="n"/>
      <c r="I853" s="78" t="n"/>
      <c r="J853" s="67">
        <f>IF($I853="","",IFERROR(INDEX(Action_Status_Map!$B$5:$B$11,MATCH($I853,Action_Status_Map!$A$5:$A$11,0)),""))</f>
        <v/>
      </c>
      <c r="K853" s="82" t="n"/>
      <c r="L853" s="82" t="n"/>
      <c r="M853" s="82" t="n"/>
      <c r="N853" s="83" t="n"/>
      <c r="O853" s="83" t="n"/>
      <c r="P853" s="66">
        <f>IF(OR($N853="",$O853=""),"",$O853-$N853)</f>
        <v/>
      </c>
      <c r="Q853" s="84">
        <f>IF($K853="","",IF($M853&lt;&gt;"",$M853-$K853,TODAY()-$K853))</f>
        <v/>
      </c>
      <c r="R853" s="85">
        <f>IF(OR($L853="",$I853="Completed",$I853="Cancelled"),"",IF(AND($L853&lt;TODAY(),$I853&lt;&gt;"Completed",$I853&lt;&gt;"Cancelled"),"Overdue","On Track"))</f>
        <v/>
      </c>
      <c r="S853" s="65">
        <f>IF($L853="","",TEXT($L853,"yyyy-mm"))</f>
        <v/>
      </c>
      <c r="T853" s="86">
        <f>IF($I853="","",IFERROR(INDEX(Action_Status_Map!$C$5:$C$11,MATCH($I853,Action_Status_Map!$A$5:$A$11,0)),""))</f>
        <v/>
      </c>
      <c r="U853" s="81" t="n"/>
      <c r="V853" s="82" t="n"/>
      <c r="W853" s="65">
        <f>IF(OR($I853&lt;&gt;"Completed",$M853="",$L853=""),"",IF($M853&lt;=$L853,"Yes","No"))</f>
        <v/>
      </c>
      <c r="X853" s="84">
        <f>IF($A853="","",COUNTIF(Task_Steps!$B$5:$B$2004,$A853))</f>
        <v/>
      </c>
      <c r="Y853" s="86">
        <f>IF($X853=0,"",COUNTIFS(Task_Steps!$B$5:$B$2004,$A853,Task_Steps!$H$5:$H$2004,"Completed")/$X853)</f>
        <v/>
      </c>
      <c r="Z853" s="81" t="n"/>
      <c r="AA853" s="81" t="n"/>
      <c r="AB853" s="67">
        <f>IF($F853="","",IFERROR(INDEX(Employee_Master!$E$5:$E$204,MATCH($F853,Employee_Master!$B$5:$B$204,0)),""))</f>
        <v/>
      </c>
      <c r="AC853" s="65">
        <f>IF(OR($A853="",$AB853=""),"",IF(OR($I853="Completed",$I853="Cancelled"),"Closed - in Manager Report","Active - in Manager Report"))</f>
        <v/>
      </c>
      <c r="AD853" s="81">
        <f>IF($A853="","",IFERROR(TEXTJOIN(", ",TRUE,FILTER(Task_Steps!$A$5:$A$2004,Task_Steps!$B$5:$B$2004=$A853)),""))</f>
        <v/>
      </c>
      <c r="AE853" s="84">
        <f>IF($A853="","",COUNTIFS(Task_Steps!$B$5:$B$2004,$A853,Task_Steps!$H$5:$H$2004,"&lt;&gt;Completed",Task_Steps!$H$5:$H$2004,"&lt;&gt;Cancelled"))</f>
        <v/>
      </c>
      <c r="AF853" s="81">
        <f>IF(OR($B853="",$A853=""),"",$B853&amp;" | "&amp;$A853)</f>
        <v/>
      </c>
    </row>
    <row r="854" ht="15" customHeight="1" s="40">
      <c r="A854" s="65">
        <f>IF(COUNTA(B854:F854)=0,"","TSK-"&amp;TEXT(ROW()-4,"0000"))</f>
        <v/>
      </c>
      <c r="B854" s="78" t="n"/>
      <c r="C854" s="78" t="n"/>
      <c r="D854" s="81" t="n"/>
      <c r="E854" s="81" t="n"/>
      <c r="F854" s="78" t="n"/>
      <c r="G854" s="67">
        <f>IF($F854="","",IFERROR(INDEX(Employee_Master!$C$5:$C$204,MATCH($F854,Employee_Master!$B$5:$B$204,0)),""))</f>
        <v/>
      </c>
      <c r="H854" s="78" t="n"/>
      <c r="I854" s="78" t="n"/>
      <c r="J854" s="67">
        <f>IF($I854="","",IFERROR(INDEX(Action_Status_Map!$B$5:$B$11,MATCH($I854,Action_Status_Map!$A$5:$A$11,0)),""))</f>
        <v/>
      </c>
      <c r="K854" s="82" t="n"/>
      <c r="L854" s="82" t="n"/>
      <c r="M854" s="82" t="n"/>
      <c r="N854" s="83" t="n"/>
      <c r="O854" s="83" t="n"/>
      <c r="P854" s="66">
        <f>IF(OR($N854="",$O854=""),"",$O854-$N854)</f>
        <v/>
      </c>
      <c r="Q854" s="84">
        <f>IF($K854="","",IF($M854&lt;&gt;"",$M854-$K854,TODAY()-$K854))</f>
        <v/>
      </c>
      <c r="R854" s="85">
        <f>IF(OR($L854="",$I854="Completed",$I854="Cancelled"),"",IF(AND($L854&lt;TODAY(),$I854&lt;&gt;"Completed",$I854&lt;&gt;"Cancelled"),"Overdue","On Track"))</f>
        <v/>
      </c>
      <c r="S854" s="65">
        <f>IF($L854="","",TEXT($L854,"yyyy-mm"))</f>
        <v/>
      </c>
      <c r="T854" s="86">
        <f>IF($I854="","",IFERROR(INDEX(Action_Status_Map!$C$5:$C$11,MATCH($I854,Action_Status_Map!$A$5:$A$11,0)),""))</f>
        <v/>
      </c>
      <c r="U854" s="81" t="n"/>
      <c r="V854" s="82" t="n"/>
      <c r="W854" s="65">
        <f>IF(OR($I854&lt;&gt;"Completed",$M854="",$L854=""),"",IF($M854&lt;=$L854,"Yes","No"))</f>
        <v/>
      </c>
      <c r="X854" s="84">
        <f>IF($A854="","",COUNTIF(Task_Steps!$B$5:$B$2004,$A854))</f>
        <v/>
      </c>
      <c r="Y854" s="86">
        <f>IF($X854=0,"",COUNTIFS(Task_Steps!$B$5:$B$2004,$A854,Task_Steps!$H$5:$H$2004,"Completed")/$X854)</f>
        <v/>
      </c>
      <c r="Z854" s="81" t="n"/>
      <c r="AA854" s="81" t="n"/>
      <c r="AB854" s="67">
        <f>IF($F854="","",IFERROR(INDEX(Employee_Master!$E$5:$E$204,MATCH($F854,Employee_Master!$B$5:$B$204,0)),""))</f>
        <v/>
      </c>
      <c r="AC854" s="65">
        <f>IF(OR($A854="",$AB854=""),"",IF(OR($I854="Completed",$I854="Cancelled"),"Closed - in Manager Report","Active - in Manager Report"))</f>
        <v/>
      </c>
      <c r="AD854" s="81">
        <f>IF($A854="","",IFERROR(TEXTJOIN(", ",TRUE,FILTER(Task_Steps!$A$5:$A$2004,Task_Steps!$B$5:$B$2004=$A854)),""))</f>
        <v/>
      </c>
      <c r="AE854" s="84">
        <f>IF($A854="","",COUNTIFS(Task_Steps!$B$5:$B$2004,$A854,Task_Steps!$H$5:$H$2004,"&lt;&gt;Completed",Task_Steps!$H$5:$H$2004,"&lt;&gt;Cancelled"))</f>
        <v/>
      </c>
      <c r="AF854" s="81">
        <f>IF(OR($B854="",$A854=""),"",$B854&amp;" | "&amp;$A854)</f>
        <v/>
      </c>
    </row>
    <row r="855" ht="15" customHeight="1" s="40">
      <c r="A855" s="65">
        <f>IF(COUNTA(B855:F855)=0,"","TSK-"&amp;TEXT(ROW()-4,"0000"))</f>
        <v/>
      </c>
      <c r="B855" s="78" t="n"/>
      <c r="C855" s="78" t="n"/>
      <c r="D855" s="81" t="n"/>
      <c r="E855" s="81" t="n"/>
      <c r="F855" s="78" t="n"/>
      <c r="G855" s="67">
        <f>IF($F855="","",IFERROR(INDEX(Employee_Master!$C$5:$C$204,MATCH($F855,Employee_Master!$B$5:$B$204,0)),""))</f>
        <v/>
      </c>
      <c r="H855" s="78" t="n"/>
      <c r="I855" s="78" t="n"/>
      <c r="J855" s="67">
        <f>IF($I855="","",IFERROR(INDEX(Action_Status_Map!$B$5:$B$11,MATCH($I855,Action_Status_Map!$A$5:$A$11,0)),""))</f>
        <v/>
      </c>
      <c r="K855" s="82" t="n"/>
      <c r="L855" s="82" t="n"/>
      <c r="M855" s="82" t="n"/>
      <c r="N855" s="83" t="n"/>
      <c r="O855" s="83" t="n"/>
      <c r="P855" s="66">
        <f>IF(OR($N855="",$O855=""),"",$O855-$N855)</f>
        <v/>
      </c>
      <c r="Q855" s="84">
        <f>IF($K855="","",IF($M855&lt;&gt;"",$M855-$K855,TODAY()-$K855))</f>
        <v/>
      </c>
      <c r="R855" s="85">
        <f>IF(OR($L855="",$I855="Completed",$I855="Cancelled"),"",IF(AND($L855&lt;TODAY(),$I855&lt;&gt;"Completed",$I855&lt;&gt;"Cancelled"),"Overdue","On Track"))</f>
        <v/>
      </c>
      <c r="S855" s="65">
        <f>IF($L855="","",TEXT($L855,"yyyy-mm"))</f>
        <v/>
      </c>
      <c r="T855" s="86">
        <f>IF($I855="","",IFERROR(INDEX(Action_Status_Map!$C$5:$C$11,MATCH($I855,Action_Status_Map!$A$5:$A$11,0)),""))</f>
        <v/>
      </c>
      <c r="U855" s="81" t="n"/>
      <c r="V855" s="82" t="n"/>
      <c r="W855" s="65">
        <f>IF(OR($I855&lt;&gt;"Completed",$M855="",$L855=""),"",IF($M855&lt;=$L855,"Yes","No"))</f>
        <v/>
      </c>
      <c r="X855" s="84">
        <f>IF($A855="","",COUNTIF(Task_Steps!$B$5:$B$2004,$A855))</f>
        <v/>
      </c>
      <c r="Y855" s="86">
        <f>IF($X855=0,"",COUNTIFS(Task_Steps!$B$5:$B$2004,$A855,Task_Steps!$H$5:$H$2004,"Completed")/$X855)</f>
        <v/>
      </c>
      <c r="Z855" s="81" t="n"/>
      <c r="AA855" s="81" t="n"/>
      <c r="AB855" s="67">
        <f>IF($F855="","",IFERROR(INDEX(Employee_Master!$E$5:$E$204,MATCH($F855,Employee_Master!$B$5:$B$204,0)),""))</f>
        <v/>
      </c>
      <c r="AC855" s="65">
        <f>IF(OR($A855="",$AB855=""),"",IF(OR($I855="Completed",$I855="Cancelled"),"Closed - in Manager Report","Active - in Manager Report"))</f>
        <v/>
      </c>
      <c r="AD855" s="81">
        <f>IF($A855="","",IFERROR(TEXTJOIN(", ",TRUE,FILTER(Task_Steps!$A$5:$A$2004,Task_Steps!$B$5:$B$2004=$A855)),""))</f>
        <v/>
      </c>
      <c r="AE855" s="84">
        <f>IF($A855="","",COUNTIFS(Task_Steps!$B$5:$B$2004,$A855,Task_Steps!$H$5:$H$2004,"&lt;&gt;Completed",Task_Steps!$H$5:$H$2004,"&lt;&gt;Cancelled"))</f>
        <v/>
      </c>
      <c r="AF855" s="81">
        <f>IF(OR($B855="",$A855=""),"",$B855&amp;" | "&amp;$A855)</f>
        <v/>
      </c>
    </row>
    <row r="856" ht="15" customHeight="1" s="40">
      <c r="A856" s="65">
        <f>IF(COUNTA(B856:F856)=0,"","TSK-"&amp;TEXT(ROW()-4,"0000"))</f>
        <v/>
      </c>
      <c r="B856" s="78" t="n"/>
      <c r="C856" s="78" t="n"/>
      <c r="D856" s="81" t="n"/>
      <c r="E856" s="81" t="n"/>
      <c r="F856" s="78" t="n"/>
      <c r="G856" s="67">
        <f>IF($F856="","",IFERROR(INDEX(Employee_Master!$C$5:$C$204,MATCH($F856,Employee_Master!$B$5:$B$204,0)),""))</f>
        <v/>
      </c>
      <c r="H856" s="78" t="n"/>
      <c r="I856" s="78" t="n"/>
      <c r="J856" s="67">
        <f>IF($I856="","",IFERROR(INDEX(Action_Status_Map!$B$5:$B$11,MATCH($I856,Action_Status_Map!$A$5:$A$11,0)),""))</f>
        <v/>
      </c>
      <c r="K856" s="82" t="n"/>
      <c r="L856" s="82" t="n"/>
      <c r="M856" s="82" t="n"/>
      <c r="N856" s="83" t="n"/>
      <c r="O856" s="83" t="n"/>
      <c r="P856" s="66">
        <f>IF(OR($N856="",$O856=""),"",$O856-$N856)</f>
        <v/>
      </c>
      <c r="Q856" s="84">
        <f>IF($K856="","",IF($M856&lt;&gt;"",$M856-$K856,TODAY()-$K856))</f>
        <v/>
      </c>
      <c r="R856" s="85">
        <f>IF(OR($L856="",$I856="Completed",$I856="Cancelled"),"",IF(AND($L856&lt;TODAY(),$I856&lt;&gt;"Completed",$I856&lt;&gt;"Cancelled"),"Overdue","On Track"))</f>
        <v/>
      </c>
      <c r="S856" s="65">
        <f>IF($L856="","",TEXT($L856,"yyyy-mm"))</f>
        <v/>
      </c>
      <c r="T856" s="86">
        <f>IF($I856="","",IFERROR(INDEX(Action_Status_Map!$C$5:$C$11,MATCH($I856,Action_Status_Map!$A$5:$A$11,0)),""))</f>
        <v/>
      </c>
      <c r="U856" s="81" t="n"/>
      <c r="V856" s="82" t="n"/>
      <c r="W856" s="65">
        <f>IF(OR($I856&lt;&gt;"Completed",$M856="",$L856=""),"",IF($M856&lt;=$L856,"Yes","No"))</f>
        <v/>
      </c>
      <c r="X856" s="84">
        <f>IF($A856="","",COUNTIF(Task_Steps!$B$5:$B$2004,$A856))</f>
        <v/>
      </c>
      <c r="Y856" s="86">
        <f>IF($X856=0,"",COUNTIFS(Task_Steps!$B$5:$B$2004,$A856,Task_Steps!$H$5:$H$2004,"Completed")/$X856)</f>
        <v/>
      </c>
      <c r="Z856" s="81" t="n"/>
      <c r="AA856" s="81" t="n"/>
      <c r="AB856" s="67">
        <f>IF($F856="","",IFERROR(INDEX(Employee_Master!$E$5:$E$204,MATCH($F856,Employee_Master!$B$5:$B$204,0)),""))</f>
        <v/>
      </c>
      <c r="AC856" s="65">
        <f>IF(OR($A856="",$AB856=""),"",IF(OR($I856="Completed",$I856="Cancelled"),"Closed - in Manager Report","Active - in Manager Report"))</f>
        <v/>
      </c>
      <c r="AD856" s="81">
        <f>IF($A856="","",IFERROR(TEXTJOIN(", ",TRUE,FILTER(Task_Steps!$A$5:$A$2004,Task_Steps!$B$5:$B$2004=$A856)),""))</f>
        <v/>
      </c>
      <c r="AE856" s="84">
        <f>IF($A856="","",COUNTIFS(Task_Steps!$B$5:$B$2004,$A856,Task_Steps!$H$5:$H$2004,"&lt;&gt;Completed",Task_Steps!$H$5:$H$2004,"&lt;&gt;Cancelled"))</f>
        <v/>
      </c>
      <c r="AF856" s="81">
        <f>IF(OR($B856="",$A856=""),"",$B856&amp;" | "&amp;$A856)</f>
        <v/>
      </c>
    </row>
    <row r="857" ht="15" customHeight="1" s="40">
      <c r="A857" s="65">
        <f>IF(COUNTA(B857:F857)=0,"","TSK-"&amp;TEXT(ROW()-4,"0000"))</f>
        <v/>
      </c>
      <c r="B857" s="78" t="n"/>
      <c r="C857" s="78" t="n"/>
      <c r="D857" s="81" t="n"/>
      <c r="E857" s="81" t="n"/>
      <c r="F857" s="78" t="n"/>
      <c r="G857" s="67">
        <f>IF($F857="","",IFERROR(INDEX(Employee_Master!$C$5:$C$204,MATCH($F857,Employee_Master!$B$5:$B$204,0)),""))</f>
        <v/>
      </c>
      <c r="H857" s="78" t="n"/>
      <c r="I857" s="78" t="n"/>
      <c r="J857" s="67">
        <f>IF($I857="","",IFERROR(INDEX(Action_Status_Map!$B$5:$B$11,MATCH($I857,Action_Status_Map!$A$5:$A$11,0)),""))</f>
        <v/>
      </c>
      <c r="K857" s="82" t="n"/>
      <c r="L857" s="82" t="n"/>
      <c r="M857" s="82" t="n"/>
      <c r="N857" s="83" t="n"/>
      <c r="O857" s="83" t="n"/>
      <c r="P857" s="66">
        <f>IF(OR($N857="",$O857=""),"",$O857-$N857)</f>
        <v/>
      </c>
      <c r="Q857" s="84">
        <f>IF($K857="","",IF($M857&lt;&gt;"",$M857-$K857,TODAY()-$K857))</f>
        <v/>
      </c>
      <c r="R857" s="85">
        <f>IF(OR($L857="",$I857="Completed",$I857="Cancelled"),"",IF(AND($L857&lt;TODAY(),$I857&lt;&gt;"Completed",$I857&lt;&gt;"Cancelled"),"Overdue","On Track"))</f>
        <v/>
      </c>
      <c r="S857" s="65">
        <f>IF($L857="","",TEXT($L857,"yyyy-mm"))</f>
        <v/>
      </c>
      <c r="T857" s="86">
        <f>IF($I857="","",IFERROR(INDEX(Action_Status_Map!$C$5:$C$11,MATCH($I857,Action_Status_Map!$A$5:$A$11,0)),""))</f>
        <v/>
      </c>
      <c r="U857" s="81" t="n"/>
      <c r="V857" s="82" t="n"/>
      <c r="W857" s="65">
        <f>IF(OR($I857&lt;&gt;"Completed",$M857="",$L857=""),"",IF($M857&lt;=$L857,"Yes","No"))</f>
        <v/>
      </c>
      <c r="X857" s="84">
        <f>IF($A857="","",COUNTIF(Task_Steps!$B$5:$B$2004,$A857))</f>
        <v/>
      </c>
      <c r="Y857" s="86">
        <f>IF($X857=0,"",COUNTIFS(Task_Steps!$B$5:$B$2004,$A857,Task_Steps!$H$5:$H$2004,"Completed")/$X857)</f>
        <v/>
      </c>
      <c r="Z857" s="81" t="n"/>
      <c r="AA857" s="81" t="n"/>
      <c r="AB857" s="67">
        <f>IF($F857="","",IFERROR(INDEX(Employee_Master!$E$5:$E$204,MATCH($F857,Employee_Master!$B$5:$B$204,0)),""))</f>
        <v/>
      </c>
      <c r="AC857" s="65">
        <f>IF(OR($A857="",$AB857=""),"",IF(OR($I857="Completed",$I857="Cancelled"),"Closed - in Manager Report","Active - in Manager Report"))</f>
        <v/>
      </c>
      <c r="AD857" s="81">
        <f>IF($A857="","",IFERROR(TEXTJOIN(", ",TRUE,FILTER(Task_Steps!$A$5:$A$2004,Task_Steps!$B$5:$B$2004=$A857)),""))</f>
        <v/>
      </c>
      <c r="AE857" s="84">
        <f>IF($A857="","",COUNTIFS(Task_Steps!$B$5:$B$2004,$A857,Task_Steps!$H$5:$H$2004,"&lt;&gt;Completed",Task_Steps!$H$5:$H$2004,"&lt;&gt;Cancelled"))</f>
        <v/>
      </c>
      <c r="AF857" s="81">
        <f>IF(OR($B857="",$A857=""),"",$B857&amp;" | "&amp;$A857)</f>
        <v/>
      </c>
    </row>
    <row r="858" ht="15" customHeight="1" s="40">
      <c r="A858" s="65">
        <f>IF(COUNTA(B858:F858)=0,"","TSK-"&amp;TEXT(ROW()-4,"0000"))</f>
        <v/>
      </c>
      <c r="B858" s="78" t="n"/>
      <c r="C858" s="78" t="n"/>
      <c r="D858" s="81" t="n"/>
      <c r="E858" s="81" t="n"/>
      <c r="F858" s="78" t="n"/>
      <c r="G858" s="67">
        <f>IF($F858="","",IFERROR(INDEX(Employee_Master!$C$5:$C$204,MATCH($F858,Employee_Master!$B$5:$B$204,0)),""))</f>
        <v/>
      </c>
      <c r="H858" s="78" t="n"/>
      <c r="I858" s="78" t="n"/>
      <c r="J858" s="67">
        <f>IF($I858="","",IFERROR(INDEX(Action_Status_Map!$B$5:$B$11,MATCH($I858,Action_Status_Map!$A$5:$A$11,0)),""))</f>
        <v/>
      </c>
      <c r="K858" s="82" t="n"/>
      <c r="L858" s="82" t="n"/>
      <c r="M858" s="82" t="n"/>
      <c r="N858" s="83" t="n"/>
      <c r="O858" s="83" t="n"/>
      <c r="P858" s="66">
        <f>IF(OR($N858="",$O858=""),"",$O858-$N858)</f>
        <v/>
      </c>
      <c r="Q858" s="84">
        <f>IF($K858="","",IF($M858&lt;&gt;"",$M858-$K858,TODAY()-$K858))</f>
        <v/>
      </c>
      <c r="R858" s="85">
        <f>IF(OR($L858="",$I858="Completed",$I858="Cancelled"),"",IF(AND($L858&lt;TODAY(),$I858&lt;&gt;"Completed",$I858&lt;&gt;"Cancelled"),"Overdue","On Track"))</f>
        <v/>
      </c>
      <c r="S858" s="65">
        <f>IF($L858="","",TEXT($L858,"yyyy-mm"))</f>
        <v/>
      </c>
      <c r="T858" s="86">
        <f>IF($I858="","",IFERROR(INDEX(Action_Status_Map!$C$5:$C$11,MATCH($I858,Action_Status_Map!$A$5:$A$11,0)),""))</f>
        <v/>
      </c>
      <c r="U858" s="81" t="n"/>
      <c r="V858" s="82" t="n"/>
      <c r="W858" s="65">
        <f>IF(OR($I858&lt;&gt;"Completed",$M858="",$L858=""),"",IF($M858&lt;=$L858,"Yes","No"))</f>
        <v/>
      </c>
      <c r="X858" s="84">
        <f>IF($A858="","",COUNTIF(Task_Steps!$B$5:$B$2004,$A858))</f>
        <v/>
      </c>
      <c r="Y858" s="86">
        <f>IF($X858=0,"",COUNTIFS(Task_Steps!$B$5:$B$2004,$A858,Task_Steps!$H$5:$H$2004,"Completed")/$X858)</f>
        <v/>
      </c>
      <c r="Z858" s="81" t="n"/>
      <c r="AA858" s="81" t="n"/>
      <c r="AB858" s="67">
        <f>IF($F858="","",IFERROR(INDEX(Employee_Master!$E$5:$E$204,MATCH($F858,Employee_Master!$B$5:$B$204,0)),""))</f>
        <v/>
      </c>
      <c r="AC858" s="65">
        <f>IF(OR($A858="",$AB858=""),"",IF(OR($I858="Completed",$I858="Cancelled"),"Closed - in Manager Report","Active - in Manager Report"))</f>
        <v/>
      </c>
      <c r="AD858" s="81">
        <f>IF($A858="","",IFERROR(TEXTJOIN(", ",TRUE,FILTER(Task_Steps!$A$5:$A$2004,Task_Steps!$B$5:$B$2004=$A858)),""))</f>
        <v/>
      </c>
      <c r="AE858" s="84">
        <f>IF($A858="","",COUNTIFS(Task_Steps!$B$5:$B$2004,$A858,Task_Steps!$H$5:$H$2004,"&lt;&gt;Completed",Task_Steps!$H$5:$H$2004,"&lt;&gt;Cancelled"))</f>
        <v/>
      </c>
      <c r="AF858" s="81">
        <f>IF(OR($B858="",$A858=""),"",$B858&amp;" | "&amp;$A858)</f>
        <v/>
      </c>
    </row>
    <row r="859" ht="15" customHeight="1" s="40">
      <c r="A859" s="65">
        <f>IF(COUNTA(B859:F859)=0,"","TSK-"&amp;TEXT(ROW()-4,"0000"))</f>
        <v/>
      </c>
      <c r="B859" s="78" t="n"/>
      <c r="C859" s="78" t="n"/>
      <c r="D859" s="81" t="n"/>
      <c r="E859" s="81" t="n"/>
      <c r="F859" s="78" t="n"/>
      <c r="G859" s="67">
        <f>IF($F859="","",IFERROR(INDEX(Employee_Master!$C$5:$C$204,MATCH($F859,Employee_Master!$B$5:$B$204,0)),""))</f>
        <v/>
      </c>
      <c r="H859" s="78" t="n"/>
      <c r="I859" s="78" t="n"/>
      <c r="J859" s="67">
        <f>IF($I859="","",IFERROR(INDEX(Action_Status_Map!$B$5:$B$11,MATCH($I859,Action_Status_Map!$A$5:$A$11,0)),""))</f>
        <v/>
      </c>
      <c r="K859" s="82" t="n"/>
      <c r="L859" s="82" t="n"/>
      <c r="M859" s="82" t="n"/>
      <c r="N859" s="83" t="n"/>
      <c r="O859" s="83" t="n"/>
      <c r="P859" s="66">
        <f>IF(OR($N859="",$O859=""),"",$O859-$N859)</f>
        <v/>
      </c>
      <c r="Q859" s="84">
        <f>IF($K859="","",IF($M859&lt;&gt;"",$M859-$K859,TODAY()-$K859))</f>
        <v/>
      </c>
      <c r="R859" s="85">
        <f>IF(OR($L859="",$I859="Completed",$I859="Cancelled"),"",IF(AND($L859&lt;TODAY(),$I859&lt;&gt;"Completed",$I859&lt;&gt;"Cancelled"),"Overdue","On Track"))</f>
        <v/>
      </c>
      <c r="S859" s="65">
        <f>IF($L859="","",TEXT($L859,"yyyy-mm"))</f>
        <v/>
      </c>
      <c r="T859" s="86">
        <f>IF($I859="","",IFERROR(INDEX(Action_Status_Map!$C$5:$C$11,MATCH($I859,Action_Status_Map!$A$5:$A$11,0)),""))</f>
        <v/>
      </c>
      <c r="U859" s="81" t="n"/>
      <c r="V859" s="82" t="n"/>
      <c r="W859" s="65">
        <f>IF(OR($I859&lt;&gt;"Completed",$M859="",$L859=""),"",IF($M859&lt;=$L859,"Yes","No"))</f>
        <v/>
      </c>
      <c r="X859" s="84">
        <f>IF($A859="","",COUNTIF(Task_Steps!$B$5:$B$2004,$A859))</f>
        <v/>
      </c>
      <c r="Y859" s="86">
        <f>IF($X859=0,"",COUNTIFS(Task_Steps!$B$5:$B$2004,$A859,Task_Steps!$H$5:$H$2004,"Completed")/$X859)</f>
        <v/>
      </c>
      <c r="Z859" s="81" t="n"/>
      <c r="AA859" s="81" t="n"/>
      <c r="AB859" s="67">
        <f>IF($F859="","",IFERROR(INDEX(Employee_Master!$E$5:$E$204,MATCH($F859,Employee_Master!$B$5:$B$204,0)),""))</f>
        <v/>
      </c>
      <c r="AC859" s="65">
        <f>IF(OR($A859="",$AB859=""),"",IF(OR($I859="Completed",$I859="Cancelled"),"Closed - in Manager Report","Active - in Manager Report"))</f>
        <v/>
      </c>
      <c r="AD859" s="81">
        <f>IF($A859="","",IFERROR(TEXTJOIN(", ",TRUE,FILTER(Task_Steps!$A$5:$A$2004,Task_Steps!$B$5:$B$2004=$A859)),""))</f>
        <v/>
      </c>
      <c r="AE859" s="84">
        <f>IF($A859="","",COUNTIFS(Task_Steps!$B$5:$B$2004,$A859,Task_Steps!$H$5:$H$2004,"&lt;&gt;Completed",Task_Steps!$H$5:$H$2004,"&lt;&gt;Cancelled"))</f>
        <v/>
      </c>
      <c r="AF859" s="81">
        <f>IF(OR($B859="",$A859=""),"",$B859&amp;" | "&amp;$A859)</f>
        <v/>
      </c>
    </row>
    <row r="860" ht="15" customHeight="1" s="40">
      <c r="A860" s="65">
        <f>IF(COUNTA(B860:F860)=0,"","TSK-"&amp;TEXT(ROW()-4,"0000"))</f>
        <v/>
      </c>
      <c r="B860" s="78" t="n"/>
      <c r="C860" s="78" t="n"/>
      <c r="D860" s="81" t="n"/>
      <c r="E860" s="81" t="n"/>
      <c r="F860" s="78" t="n"/>
      <c r="G860" s="67">
        <f>IF($F860="","",IFERROR(INDEX(Employee_Master!$C$5:$C$204,MATCH($F860,Employee_Master!$B$5:$B$204,0)),""))</f>
        <v/>
      </c>
      <c r="H860" s="78" t="n"/>
      <c r="I860" s="78" t="n"/>
      <c r="J860" s="67">
        <f>IF($I860="","",IFERROR(INDEX(Action_Status_Map!$B$5:$B$11,MATCH($I860,Action_Status_Map!$A$5:$A$11,0)),""))</f>
        <v/>
      </c>
      <c r="K860" s="82" t="n"/>
      <c r="L860" s="82" t="n"/>
      <c r="M860" s="82" t="n"/>
      <c r="N860" s="83" t="n"/>
      <c r="O860" s="83" t="n"/>
      <c r="P860" s="66">
        <f>IF(OR($N860="",$O860=""),"",$O860-$N860)</f>
        <v/>
      </c>
      <c r="Q860" s="84">
        <f>IF($K860="","",IF($M860&lt;&gt;"",$M860-$K860,TODAY()-$K860))</f>
        <v/>
      </c>
      <c r="R860" s="85">
        <f>IF(OR($L860="",$I860="Completed",$I860="Cancelled"),"",IF(AND($L860&lt;TODAY(),$I860&lt;&gt;"Completed",$I860&lt;&gt;"Cancelled"),"Overdue","On Track"))</f>
        <v/>
      </c>
      <c r="S860" s="65">
        <f>IF($L860="","",TEXT($L860,"yyyy-mm"))</f>
        <v/>
      </c>
      <c r="T860" s="86">
        <f>IF($I860="","",IFERROR(INDEX(Action_Status_Map!$C$5:$C$11,MATCH($I860,Action_Status_Map!$A$5:$A$11,0)),""))</f>
        <v/>
      </c>
      <c r="U860" s="81" t="n"/>
      <c r="V860" s="82" t="n"/>
      <c r="W860" s="65">
        <f>IF(OR($I860&lt;&gt;"Completed",$M860="",$L860=""),"",IF($M860&lt;=$L860,"Yes","No"))</f>
        <v/>
      </c>
      <c r="X860" s="84">
        <f>IF($A860="","",COUNTIF(Task_Steps!$B$5:$B$2004,$A860))</f>
        <v/>
      </c>
      <c r="Y860" s="86">
        <f>IF($X860=0,"",COUNTIFS(Task_Steps!$B$5:$B$2004,$A860,Task_Steps!$H$5:$H$2004,"Completed")/$X860)</f>
        <v/>
      </c>
      <c r="Z860" s="81" t="n"/>
      <c r="AA860" s="81" t="n"/>
      <c r="AB860" s="67">
        <f>IF($F860="","",IFERROR(INDEX(Employee_Master!$E$5:$E$204,MATCH($F860,Employee_Master!$B$5:$B$204,0)),""))</f>
        <v/>
      </c>
      <c r="AC860" s="65">
        <f>IF(OR($A860="",$AB860=""),"",IF(OR($I860="Completed",$I860="Cancelled"),"Closed - in Manager Report","Active - in Manager Report"))</f>
        <v/>
      </c>
      <c r="AD860" s="81">
        <f>IF($A860="","",IFERROR(TEXTJOIN(", ",TRUE,FILTER(Task_Steps!$A$5:$A$2004,Task_Steps!$B$5:$B$2004=$A860)),""))</f>
        <v/>
      </c>
      <c r="AE860" s="84">
        <f>IF($A860="","",COUNTIFS(Task_Steps!$B$5:$B$2004,$A860,Task_Steps!$H$5:$H$2004,"&lt;&gt;Completed",Task_Steps!$H$5:$H$2004,"&lt;&gt;Cancelled"))</f>
        <v/>
      </c>
      <c r="AF860" s="81">
        <f>IF(OR($B860="",$A860=""),"",$B860&amp;" | "&amp;$A860)</f>
        <v/>
      </c>
    </row>
    <row r="861" ht="15" customHeight="1" s="40">
      <c r="A861" s="65">
        <f>IF(COUNTA(B861:F861)=0,"","TSK-"&amp;TEXT(ROW()-4,"0000"))</f>
        <v/>
      </c>
      <c r="B861" s="78" t="n"/>
      <c r="C861" s="78" t="n"/>
      <c r="D861" s="81" t="n"/>
      <c r="E861" s="81" t="n"/>
      <c r="F861" s="78" t="n"/>
      <c r="G861" s="67">
        <f>IF($F861="","",IFERROR(INDEX(Employee_Master!$C$5:$C$204,MATCH($F861,Employee_Master!$B$5:$B$204,0)),""))</f>
        <v/>
      </c>
      <c r="H861" s="78" t="n"/>
      <c r="I861" s="78" t="n"/>
      <c r="J861" s="67">
        <f>IF($I861="","",IFERROR(INDEX(Action_Status_Map!$B$5:$B$11,MATCH($I861,Action_Status_Map!$A$5:$A$11,0)),""))</f>
        <v/>
      </c>
      <c r="K861" s="82" t="n"/>
      <c r="L861" s="82" t="n"/>
      <c r="M861" s="82" t="n"/>
      <c r="N861" s="83" t="n"/>
      <c r="O861" s="83" t="n"/>
      <c r="P861" s="66">
        <f>IF(OR($N861="",$O861=""),"",$O861-$N861)</f>
        <v/>
      </c>
      <c r="Q861" s="84">
        <f>IF($K861="","",IF($M861&lt;&gt;"",$M861-$K861,TODAY()-$K861))</f>
        <v/>
      </c>
      <c r="R861" s="85">
        <f>IF(OR($L861="",$I861="Completed",$I861="Cancelled"),"",IF(AND($L861&lt;TODAY(),$I861&lt;&gt;"Completed",$I861&lt;&gt;"Cancelled"),"Overdue","On Track"))</f>
        <v/>
      </c>
      <c r="S861" s="65">
        <f>IF($L861="","",TEXT($L861,"yyyy-mm"))</f>
        <v/>
      </c>
      <c r="T861" s="86">
        <f>IF($I861="","",IFERROR(INDEX(Action_Status_Map!$C$5:$C$11,MATCH($I861,Action_Status_Map!$A$5:$A$11,0)),""))</f>
        <v/>
      </c>
      <c r="U861" s="81" t="n"/>
      <c r="V861" s="82" t="n"/>
      <c r="W861" s="65">
        <f>IF(OR($I861&lt;&gt;"Completed",$M861="",$L861=""),"",IF($M861&lt;=$L861,"Yes","No"))</f>
        <v/>
      </c>
      <c r="X861" s="84">
        <f>IF($A861="","",COUNTIF(Task_Steps!$B$5:$B$2004,$A861))</f>
        <v/>
      </c>
      <c r="Y861" s="86">
        <f>IF($X861=0,"",COUNTIFS(Task_Steps!$B$5:$B$2004,$A861,Task_Steps!$H$5:$H$2004,"Completed")/$X861)</f>
        <v/>
      </c>
      <c r="Z861" s="81" t="n"/>
      <c r="AA861" s="81" t="n"/>
      <c r="AB861" s="67">
        <f>IF($F861="","",IFERROR(INDEX(Employee_Master!$E$5:$E$204,MATCH($F861,Employee_Master!$B$5:$B$204,0)),""))</f>
        <v/>
      </c>
      <c r="AC861" s="65">
        <f>IF(OR($A861="",$AB861=""),"",IF(OR($I861="Completed",$I861="Cancelled"),"Closed - in Manager Report","Active - in Manager Report"))</f>
        <v/>
      </c>
      <c r="AD861" s="81">
        <f>IF($A861="","",IFERROR(TEXTJOIN(", ",TRUE,FILTER(Task_Steps!$A$5:$A$2004,Task_Steps!$B$5:$B$2004=$A861)),""))</f>
        <v/>
      </c>
      <c r="AE861" s="84">
        <f>IF($A861="","",COUNTIFS(Task_Steps!$B$5:$B$2004,$A861,Task_Steps!$H$5:$H$2004,"&lt;&gt;Completed",Task_Steps!$H$5:$H$2004,"&lt;&gt;Cancelled"))</f>
        <v/>
      </c>
      <c r="AF861" s="81">
        <f>IF(OR($B861="",$A861=""),"",$B861&amp;" | "&amp;$A861)</f>
        <v/>
      </c>
    </row>
    <row r="862" ht="15" customHeight="1" s="40">
      <c r="A862" s="65">
        <f>IF(COUNTA(B862:F862)=0,"","TSK-"&amp;TEXT(ROW()-4,"0000"))</f>
        <v/>
      </c>
      <c r="B862" s="78" t="n"/>
      <c r="C862" s="78" t="n"/>
      <c r="D862" s="81" t="n"/>
      <c r="E862" s="81" t="n"/>
      <c r="F862" s="78" t="n"/>
      <c r="G862" s="67">
        <f>IF($F862="","",IFERROR(INDEX(Employee_Master!$C$5:$C$204,MATCH($F862,Employee_Master!$B$5:$B$204,0)),""))</f>
        <v/>
      </c>
      <c r="H862" s="78" t="n"/>
      <c r="I862" s="78" t="n"/>
      <c r="J862" s="67">
        <f>IF($I862="","",IFERROR(INDEX(Action_Status_Map!$B$5:$B$11,MATCH($I862,Action_Status_Map!$A$5:$A$11,0)),""))</f>
        <v/>
      </c>
      <c r="K862" s="82" t="n"/>
      <c r="L862" s="82" t="n"/>
      <c r="M862" s="82" t="n"/>
      <c r="N862" s="83" t="n"/>
      <c r="O862" s="83" t="n"/>
      <c r="P862" s="66">
        <f>IF(OR($N862="",$O862=""),"",$O862-$N862)</f>
        <v/>
      </c>
      <c r="Q862" s="84">
        <f>IF($K862="","",IF($M862&lt;&gt;"",$M862-$K862,TODAY()-$K862))</f>
        <v/>
      </c>
      <c r="R862" s="85">
        <f>IF(OR($L862="",$I862="Completed",$I862="Cancelled"),"",IF(AND($L862&lt;TODAY(),$I862&lt;&gt;"Completed",$I862&lt;&gt;"Cancelled"),"Overdue","On Track"))</f>
        <v/>
      </c>
      <c r="S862" s="65">
        <f>IF($L862="","",TEXT($L862,"yyyy-mm"))</f>
        <v/>
      </c>
      <c r="T862" s="86">
        <f>IF($I862="","",IFERROR(INDEX(Action_Status_Map!$C$5:$C$11,MATCH($I862,Action_Status_Map!$A$5:$A$11,0)),""))</f>
        <v/>
      </c>
      <c r="U862" s="81" t="n"/>
      <c r="V862" s="82" t="n"/>
      <c r="W862" s="65">
        <f>IF(OR($I862&lt;&gt;"Completed",$M862="",$L862=""),"",IF($M862&lt;=$L862,"Yes","No"))</f>
        <v/>
      </c>
      <c r="X862" s="84">
        <f>IF($A862="","",COUNTIF(Task_Steps!$B$5:$B$2004,$A862))</f>
        <v/>
      </c>
      <c r="Y862" s="86">
        <f>IF($X862=0,"",COUNTIFS(Task_Steps!$B$5:$B$2004,$A862,Task_Steps!$H$5:$H$2004,"Completed")/$X862)</f>
        <v/>
      </c>
      <c r="Z862" s="81" t="n"/>
      <c r="AA862" s="81" t="n"/>
      <c r="AB862" s="67">
        <f>IF($F862="","",IFERROR(INDEX(Employee_Master!$E$5:$E$204,MATCH($F862,Employee_Master!$B$5:$B$204,0)),""))</f>
        <v/>
      </c>
      <c r="AC862" s="65">
        <f>IF(OR($A862="",$AB862=""),"",IF(OR($I862="Completed",$I862="Cancelled"),"Closed - in Manager Report","Active - in Manager Report"))</f>
        <v/>
      </c>
      <c r="AD862" s="81">
        <f>IF($A862="","",IFERROR(TEXTJOIN(", ",TRUE,FILTER(Task_Steps!$A$5:$A$2004,Task_Steps!$B$5:$B$2004=$A862)),""))</f>
        <v/>
      </c>
      <c r="AE862" s="84">
        <f>IF($A862="","",COUNTIFS(Task_Steps!$B$5:$B$2004,$A862,Task_Steps!$H$5:$H$2004,"&lt;&gt;Completed",Task_Steps!$H$5:$H$2004,"&lt;&gt;Cancelled"))</f>
        <v/>
      </c>
      <c r="AF862" s="81">
        <f>IF(OR($B862="",$A862=""),"",$B862&amp;" | "&amp;$A862)</f>
        <v/>
      </c>
    </row>
    <row r="863" ht="15" customHeight="1" s="40">
      <c r="A863" s="65">
        <f>IF(COUNTA(B863:F863)=0,"","TSK-"&amp;TEXT(ROW()-4,"0000"))</f>
        <v/>
      </c>
      <c r="B863" s="78" t="n"/>
      <c r="C863" s="78" t="n"/>
      <c r="D863" s="81" t="n"/>
      <c r="E863" s="81" t="n"/>
      <c r="F863" s="78" t="n"/>
      <c r="G863" s="67">
        <f>IF($F863="","",IFERROR(INDEX(Employee_Master!$C$5:$C$204,MATCH($F863,Employee_Master!$B$5:$B$204,0)),""))</f>
        <v/>
      </c>
      <c r="H863" s="78" t="n"/>
      <c r="I863" s="78" t="n"/>
      <c r="J863" s="67">
        <f>IF($I863="","",IFERROR(INDEX(Action_Status_Map!$B$5:$B$11,MATCH($I863,Action_Status_Map!$A$5:$A$11,0)),""))</f>
        <v/>
      </c>
      <c r="K863" s="82" t="n"/>
      <c r="L863" s="82" t="n"/>
      <c r="M863" s="82" t="n"/>
      <c r="N863" s="83" t="n"/>
      <c r="O863" s="83" t="n"/>
      <c r="P863" s="66">
        <f>IF(OR($N863="",$O863=""),"",$O863-$N863)</f>
        <v/>
      </c>
      <c r="Q863" s="84">
        <f>IF($K863="","",IF($M863&lt;&gt;"",$M863-$K863,TODAY()-$K863))</f>
        <v/>
      </c>
      <c r="R863" s="85">
        <f>IF(OR($L863="",$I863="Completed",$I863="Cancelled"),"",IF(AND($L863&lt;TODAY(),$I863&lt;&gt;"Completed",$I863&lt;&gt;"Cancelled"),"Overdue","On Track"))</f>
        <v/>
      </c>
      <c r="S863" s="65">
        <f>IF($L863="","",TEXT($L863,"yyyy-mm"))</f>
        <v/>
      </c>
      <c r="T863" s="86">
        <f>IF($I863="","",IFERROR(INDEX(Action_Status_Map!$C$5:$C$11,MATCH($I863,Action_Status_Map!$A$5:$A$11,0)),""))</f>
        <v/>
      </c>
      <c r="U863" s="81" t="n"/>
      <c r="V863" s="82" t="n"/>
      <c r="W863" s="65">
        <f>IF(OR($I863&lt;&gt;"Completed",$M863="",$L863=""),"",IF($M863&lt;=$L863,"Yes","No"))</f>
        <v/>
      </c>
      <c r="X863" s="84">
        <f>IF($A863="","",COUNTIF(Task_Steps!$B$5:$B$2004,$A863))</f>
        <v/>
      </c>
      <c r="Y863" s="86">
        <f>IF($X863=0,"",COUNTIFS(Task_Steps!$B$5:$B$2004,$A863,Task_Steps!$H$5:$H$2004,"Completed")/$X863)</f>
        <v/>
      </c>
      <c r="Z863" s="81" t="n"/>
      <c r="AA863" s="81" t="n"/>
      <c r="AB863" s="67">
        <f>IF($F863="","",IFERROR(INDEX(Employee_Master!$E$5:$E$204,MATCH($F863,Employee_Master!$B$5:$B$204,0)),""))</f>
        <v/>
      </c>
      <c r="AC863" s="65">
        <f>IF(OR($A863="",$AB863=""),"",IF(OR($I863="Completed",$I863="Cancelled"),"Closed - in Manager Report","Active - in Manager Report"))</f>
        <v/>
      </c>
      <c r="AD863" s="81">
        <f>IF($A863="","",IFERROR(TEXTJOIN(", ",TRUE,FILTER(Task_Steps!$A$5:$A$2004,Task_Steps!$B$5:$B$2004=$A863)),""))</f>
        <v/>
      </c>
      <c r="AE863" s="84">
        <f>IF($A863="","",COUNTIFS(Task_Steps!$B$5:$B$2004,$A863,Task_Steps!$H$5:$H$2004,"&lt;&gt;Completed",Task_Steps!$H$5:$H$2004,"&lt;&gt;Cancelled"))</f>
        <v/>
      </c>
      <c r="AF863" s="81">
        <f>IF(OR($B863="",$A863=""),"",$B863&amp;" | "&amp;$A863)</f>
        <v/>
      </c>
    </row>
    <row r="864" ht="15" customHeight="1" s="40">
      <c r="A864" s="65">
        <f>IF(COUNTA(B864:F864)=0,"","TSK-"&amp;TEXT(ROW()-4,"0000"))</f>
        <v/>
      </c>
      <c r="B864" s="78" t="n"/>
      <c r="C864" s="78" t="n"/>
      <c r="D864" s="81" t="n"/>
      <c r="E864" s="81" t="n"/>
      <c r="F864" s="78" t="n"/>
      <c r="G864" s="67">
        <f>IF($F864="","",IFERROR(INDEX(Employee_Master!$C$5:$C$204,MATCH($F864,Employee_Master!$B$5:$B$204,0)),""))</f>
        <v/>
      </c>
      <c r="H864" s="78" t="n"/>
      <c r="I864" s="78" t="n"/>
      <c r="J864" s="67">
        <f>IF($I864="","",IFERROR(INDEX(Action_Status_Map!$B$5:$B$11,MATCH($I864,Action_Status_Map!$A$5:$A$11,0)),""))</f>
        <v/>
      </c>
      <c r="K864" s="82" t="n"/>
      <c r="L864" s="82" t="n"/>
      <c r="M864" s="82" t="n"/>
      <c r="N864" s="83" t="n"/>
      <c r="O864" s="83" t="n"/>
      <c r="P864" s="66">
        <f>IF(OR($N864="",$O864=""),"",$O864-$N864)</f>
        <v/>
      </c>
      <c r="Q864" s="84">
        <f>IF($K864="","",IF($M864&lt;&gt;"",$M864-$K864,TODAY()-$K864))</f>
        <v/>
      </c>
      <c r="R864" s="85">
        <f>IF(OR($L864="",$I864="Completed",$I864="Cancelled"),"",IF(AND($L864&lt;TODAY(),$I864&lt;&gt;"Completed",$I864&lt;&gt;"Cancelled"),"Overdue","On Track"))</f>
        <v/>
      </c>
      <c r="S864" s="65">
        <f>IF($L864="","",TEXT($L864,"yyyy-mm"))</f>
        <v/>
      </c>
      <c r="T864" s="86">
        <f>IF($I864="","",IFERROR(INDEX(Action_Status_Map!$C$5:$C$11,MATCH($I864,Action_Status_Map!$A$5:$A$11,0)),""))</f>
        <v/>
      </c>
      <c r="U864" s="81" t="n"/>
      <c r="V864" s="82" t="n"/>
      <c r="W864" s="65">
        <f>IF(OR($I864&lt;&gt;"Completed",$M864="",$L864=""),"",IF($M864&lt;=$L864,"Yes","No"))</f>
        <v/>
      </c>
      <c r="X864" s="84">
        <f>IF($A864="","",COUNTIF(Task_Steps!$B$5:$B$2004,$A864))</f>
        <v/>
      </c>
      <c r="Y864" s="86">
        <f>IF($X864=0,"",COUNTIFS(Task_Steps!$B$5:$B$2004,$A864,Task_Steps!$H$5:$H$2004,"Completed")/$X864)</f>
        <v/>
      </c>
      <c r="Z864" s="81" t="n"/>
      <c r="AA864" s="81" t="n"/>
      <c r="AB864" s="67">
        <f>IF($F864="","",IFERROR(INDEX(Employee_Master!$E$5:$E$204,MATCH($F864,Employee_Master!$B$5:$B$204,0)),""))</f>
        <v/>
      </c>
      <c r="AC864" s="65">
        <f>IF(OR($A864="",$AB864=""),"",IF(OR($I864="Completed",$I864="Cancelled"),"Closed - in Manager Report","Active - in Manager Report"))</f>
        <v/>
      </c>
      <c r="AD864" s="81">
        <f>IF($A864="","",IFERROR(TEXTJOIN(", ",TRUE,FILTER(Task_Steps!$A$5:$A$2004,Task_Steps!$B$5:$B$2004=$A864)),""))</f>
        <v/>
      </c>
      <c r="AE864" s="84">
        <f>IF($A864="","",COUNTIFS(Task_Steps!$B$5:$B$2004,$A864,Task_Steps!$H$5:$H$2004,"&lt;&gt;Completed",Task_Steps!$H$5:$H$2004,"&lt;&gt;Cancelled"))</f>
        <v/>
      </c>
      <c r="AF864" s="81">
        <f>IF(OR($B864="",$A864=""),"",$B864&amp;" | "&amp;$A864)</f>
        <v/>
      </c>
    </row>
    <row r="865" ht="15" customHeight="1" s="40">
      <c r="A865" s="65">
        <f>IF(COUNTA(B865:F865)=0,"","TSK-"&amp;TEXT(ROW()-4,"0000"))</f>
        <v/>
      </c>
      <c r="B865" s="78" t="n"/>
      <c r="C865" s="78" t="n"/>
      <c r="D865" s="81" t="n"/>
      <c r="E865" s="81" t="n"/>
      <c r="F865" s="78" t="n"/>
      <c r="G865" s="67">
        <f>IF($F865="","",IFERROR(INDEX(Employee_Master!$C$5:$C$204,MATCH($F865,Employee_Master!$B$5:$B$204,0)),""))</f>
        <v/>
      </c>
      <c r="H865" s="78" t="n"/>
      <c r="I865" s="78" t="n"/>
      <c r="J865" s="67">
        <f>IF($I865="","",IFERROR(INDEX(Action_Status_Map!$B$5:$B$11,MATCH($I865,Action_Status_Map!$A$5:$A$11,0)),""))</f>
        <v/>
      </c>
      <c r="K865" s="82" t="n"/>
      <c r="L865" s="82" t="n"/>
      <c r="M865" s="82" t="n"/>
      <c r="N865" s="83" t="n"/>
      <c r="O865" s="83" t="n"/>
      <c r="P865" s="66">
        <f>IF(OR($N865="",$O865=""),"",$O865-$N865)</f>
        <v/>
      </c>
      <c r="Q865" s="84">
        <f>IF($K865="","",IF($M865&lt;&gt;"",$M865-$K865,TODAY()-$K865))</f>
        <v/>
      </c>
      <c r="R865" s="85">
        <f>IF(OR($L865="",$I865="Completed",$I865="Cancelled"),"",IF(AND($L865&lt;TODAY(),$I865&lt;&gt;"Completed",$I865&lt;&gt;"Cancelled"),"Overdue","On Track"))</f>
        <v/>
      </c>
      <c r="S865" s="65">
        <f>IF($L865="","",TEXT($L865,"yyyy-mm"))</f>
        <v/>
      </c>
      <c r="T865" s="86">
        <f>IF($I865="","",IFERROR(INDEX(Action_Status_Map!$C$5:$C$11,MATCH($I865,Action_Status_Map!$A$5:$A$11,0)),""))</f>
        <v/>
      </c>
      <c r="U865" s="81" t="n"/>
      <c r="V865" s="82" t="n"/>
      <c r="W865" s="65">
        <f>IF(OR($I865&lt;&gt;"Completed",$M865="",$L865=""),"",IF($M865&lt;=$L865,"Yes","No"))</f>
        <v/>
      </c>
      <c r="X865" s="84">
        <f>IF($A865="","",COUNTIF(Task_Steps!$B$5:$B$2004,$A865))</f>
        <v/>
      </c>
      <c r="Y865" s="86">
        <f>IF($X865=0,"",COUNTIFS(Task_Steps!$B$5:$B$2004,$A865,Task_Steps!$H$5:$H$2004,"Completed")/$X865)</f>
        <v/>
      </c>
      <c r="Z865" s="81" t="n"/>
      <c r="AA865" s="81" t="n"/>
      <c r="AB865" s="67">
        <f>IF($F865="","",IFERROR(INDEX(Employee_Master!$E$5:$E$204,MATCH($F865,Employee_Master!$B$5:$B$204,0)),""))</f>
        <v/>
      </c>
      <c r="AC865" s="65">
        <f>IF(OR($A865="",$AB865=""),"",IF(OR($I865="Completed",$I865="Cancelled"),"Closed - in Manager Report","Active - in Manager Report"))</f>
        <v/>
      </c>
      <c r="AD865" s="81">
        <f>IF($A865="","",IFERROR(TEXTJOIN(", ",TRUE,FILTER(Task_Steps!$A$5:$A$2004,Task_Steps!$B$5:$B$2004=$A865)),""))</f>
        <v/>
      </c>
      <c r="AE865" s="84">
        <f>IF($A865="","",COUNTIFS(Task_Steps!$B$5:$B$2004,$A865,Task_Steps!$H$5:$H$2004,"&lt;&gt;Completed",Task_Steps!$H$5:$H$2004,"&lt;&gt;Cancelled"))</f>
        <v/>
      </c>
      <c r="AF865" s="81">
        <f>IF(OR($B865="",$A865=""),"",$B865&amp;" | "&amp;$A865)</f>
        <v/>
      </c>
    </row>
    <row r="866" ht="15" customHeight="1" s="40">
      <c r="A866" s="65">
        <f>IF(COUNTA(B866:F866)=0,"","TSK-"&amp;TEXT(ROW()-4,"0000"))</f>
        <v/>
      </c>
      <c r="B866" s="78" t="n"/>
      <c r="C866" s="78" t="n"/>
      <c r="D866" s="81" t="n"/>
      <c r="E866" s="81" t="n"/>
      <c r="F866" s="78" t="n"/>
      <c r="G866" s="67">
        <f>IF($F866="","",IFERROR(INDEX(Employee_Master!$C$5:$C$204,MATCH($F866,Employee_Master!$B$5:$B$204,0)),""))</f>
        <v/>
      </c>
      <c r="H866" s="78" t="n"/>
      <c r="I866" s="78" t="n"/>
      <c r="J866" s="67">
        <f>IF($I866="","",IFERROR(INDEX(Action_Status_Map!$B$5:$B$11,MATCH($I866,Action_Status_Map!$A$5:$A$11,0)),""))</f>
        <v/>
      </c>
      <c r="K866" s="82" t="n"/>
      <c r="L866" s="82" t="n"/>
      <c r="M866" s="82" t="n"/>
      <c r="N866" s="83" t="n"/>
      <c r="O866" s="83" t="n"/>
      <c r="P866" s="66">
        <f>IF(OR($N866="",$O866=""),"",$O866-$N866)</f>
        <v/>
      </c>
      <c r="Q866" s="84">
        <f>IF($K866="","",IF($M866&lt;&gt;"",$M866-$K866,TODAY()-$K866))</f>
        <v/>
      </c>
      <c r="R866" s="85">
        <f>IF(OR($L866="",$I866="Completed",$I866="Cancelled"),"",IF(AND($L866&lt;TODAY(),$I866&lt;&gt;"Completed",$I866&lt;&gt;"Cancelled"),"Overdue","On Track"))</f>
        <v/>
      </c>
      <c r="S866" s="65">
        <f>IF($L866="","",TEXT($L866,"yyyy-mm"))</f>
        <v/>
      </c>
      <c r="T866" s="86">
        <f>IF($I866="","",IFERROR(INDEX(Action_Status_Map!$C$5:$C$11,MATCH($I866,Action_Status_Map!$A$5:$A$11,0)),""))</f>
        <v/>
      </c>
      <c r="U866" s="81" t="n"/>
      <c r="V866" s="82" t="n"/>
      <c r="W866" s="65">
        <f>IF(OR($I866&lt;&gt;"Completed",$M866="",$L866=""),"",IF($M866&lt;=$L866,"Yes","No"))</f>
        <v/>
      </c>
      <c r="X866" s="84">
        <f>IF($A866="","",COUNTIF(Task_Steps!$B$5:$B$2004,$A866))</f>
        <v/>
      </c>
      <c r="Y866" s="86">
        <f>IF($X866=0,"",COUNTIFS(Task_Steps!$B$5:$B$2004,$A866,Task_Steps!$H$5:$H$2004,"Completed")/$X866)</f>
        <v/>
      </c>
      <c r="Z866" s="81" t="n"/>
      <c r="AA866" s="81" t="n"/>
      <c r="AB866" s="67">
        <f>IF($F866="","",IFERROR(INDEX(Employee_Master!$E$5:$E$204,MATCH($F866,Employee_Master!$B$5:$B$204,0)),""))</f>
        <v/>
      </c>
      <c r="AC866" s="65">
        <f>IF(OR($A866="",$AB866=""),"",IF(OR($I866="Completed",$I866="Cancelled"),"Closed - in Manager Report","Active - in Manager Report"))</f>
        <v/>
      </c>
      <c r="AD866" s="81">
        <f>IF($A866="","",IFERROR(TEXTJOIN(", ",TRUE,FILTER(Task_Steps!$A$5:$A$2004,Task_Steps!$B$5:$B$2004=$A866)),""))</f>
        <v/>
      </c>
      <c r="AE866" s="84">
        <f>IF($A866="","",COUNTIFS(Task_Steps!$B$5:$B$2004,$A866,Task_Steps!$H$5:$H$2004,"&lt;&gt;Completed",Task_Steps!$H$5:$H$2004,"&lt;&gt;Cancelled"))</f>
        <v/>
      </c>
      <c r="AF866" s="81">
        <f>IF(OR($B866="",$A866=""),"",$B866&amp;" | "&amp;$A866)</f>
        <v/>
      </c>
    </row>
    <row r="867" ht="15" customHeight="1" s="40">
      <c r="A867" s="65">
        <f>IF(COUNTA(B867:F867)=0,"","TSK-"&amp;TEXT(ROW()-4,"0000"))</f>
        <v/>
      </c>
      <c r="B867" s="78" t="n"/>
      <c r="C867" s="78" t="n"/>
      <c r="D867" s="81" t="n"/>
      <c r="E867" s="81" t="n"/>
      <c r="F867" s="78" t="n"/>
      <c r="G867" s="67">
        <f>IF($F867="","",IFERROR(INDEX(Employee_Master!$C$5:$C$204,MATCH($F867,Employee_Master!$B$5:$B$204,0)),""))</f>
        <v/>
      </c>
      <c r="H867" s="78" t="n"/>
      <c r="I867" s="78" t="n"/>
      <c r="J867" s="67">
        <f>IF($I867="","",IFERROR(INDEX(Action_Status_Map!$B$5:$B$11,MATCH($I867,Action_Status_Map!$A$5:$A$11,0)),""))</f>
        <v/>
      </c>
      <c r="K867" s="82" t="n"/>
      <c r="L867" s="82" t="n"/>
      <c r="M867" s="82" t="n"/>
      <c r="N867" s="83" t="n"/>
      <c r="O867" s="83" t="n"/>
      <c r="P867" s="66">
        <f>IF(OR($N867="",$O867=""),"",$O867-$N867)</f>
        <v/>
      </c>
      <c r="Q867" s="84">
        <f>IF($K867="","",IF($M867&lt;&gt;"",$M867-$K867,TODAY()-$K867))</f>
        <v/>
      </c>
      <c r="R867" s="85">
        <f>IF(OR($L867="",$I867="Completed",$I867="Cancelled"),"",IF(AND($L867&lt;TODAY(),$I867&lt;&gt;"Completed",$I867&lt;&gt;"Cancelled"),"Overdue","On Track"))</f>
        <v/>
      </c>
      <c r="S867" s="65">
        <f>IF($L867="","",TEXT($L867,"yyyy-mm"))</f>
        <v/>
      </c>
      <c r="T867" s="86">
        <f>IF($I867="","",IFERROR(INDEX(Action_Status_Map!$C$5:$C$11,MATCH($I867,Action_Status_Map!$A$5:$A$11,0)),""))</f>
        <v/>
      </c>
      <c r="U867" s="81" t="n"/>
      <c r="V867" s="82" t="n"/>
      <c r="W867" s="65">
        <f>IF(OR($I867&lt;&gt;"Completed",$M867="",$L867=""),"",IF($M867&lt;=$L867,"Yes","No"))</f>
        <v/>
      </c>
      <c r="X867" s="84">
        <f>IF($A867="","",COUNTIF(Task_Steps!$B$5:$B$2004,$A867))</f>
        <v/>
      </c>
      <c r="Y867" s="86">
        <f>IF($X867=0,"",COUNTIFS(Task_Steps!$B$5:$B$2004,$A867,Task_Steps!$H$5:$H$2004,"Completed")/$X867)</f>
        <v/>
      </c>
      <c r="Z867" s="81" t="n"/>
      <c r="AA867" s="81" t="n"/>
      <c r="AB867" s="67">
        <f>IF($F867="","",IFERROR(INDEX(Employee_Master!$E$5:$E$204,MATCH($F867,Employee_Master!$B$5:$B$204,0)),""))</f>
        <v/>
      </c>
      <c r="AC867" s="65">
        <f>IF(OR($A867="",$AB867=""),"",IF(OR($I867="Completed",$I867="Cancelled"),"Closed - in Manager Report","Active - in Manager Report"))</f>
        <v/>
      </c>
      <c r="AD867" s="81">
        <f>IF($A867="","",IFERROR(TEXTJOIN(", ",TRUE,FILTER(Task_Steps!$A$5:$A$2004,Task_Steps!$B$5:$B$2004=$A867)),""))</f>
        <v/>
      </c>
      <c r="AE867" s="84">
        <f>IF($A867="","",COUNTIFS(Task_Steps!$B$5:$B$2004,$A867,Task_Steps!$H$5:$H$2004,"&lt;&gt;Completed",Task_Steps!$H$5:$H$2004,"&lt;&gt;Cancelled"))</f>
        <v/>
      </c>
      <c r="AF867" s="81">
        <f>IF(OR($B867="",$A867=""),"",$B867&amp;" | "&amp;$A867)</f>
        <v/>
      </c>
    </row>
    <row r="868" ht="15" customHeight="1" s="40">
      <c r="A868" s="65">
        <f>IF(COUNTA(B868:F868)=0,"","TSK-"&amp;TEXT(ROW()-4,"0000"))</f>
        <v/>
      </c>
      <c r="B868" s="78" t="n"/>
      <c r="C868" s="78" t="n"/>
      <c r="D868" s="81" t="n"/>
      <c r="E868" s="81" t="n"/>
      <c r="F868" s="78" t="n"/>
      <c r="G868" s="67">
        <f>IF($F868="","",IFERROR(INDEX(Employee_Master!$C$5:$C$204,MATCH($F868,Employee_Master!$B$5:$B$204,0)),""))</f>
        <v/>
      </c>
      <c r="H868" s="78" t="n"/>
      <c r="I868" s="78" t="n"/>
      <c r="J868" s="67">
        <f>IF($I868="","",IFERROR(INDEX(Action_Status_Map!$B$5:$B$11,MATCH($I868,Action_Status_Map!$A$5:$A$11,0)),""))</f>
        <v/>
      </c>
      <c r="K868" s="82" t="n"/>
      <c r="L868" s="82" t="n"/>
      <c r="M868" s="82" t="n"/>
      <c r="N868" s="83" t="n"/>
      <c r="O868" s="83" t="n"/>
      <c r="P868" s="66">
        <f>IF(OR($N868="",$O868=""),"",$O868-$N868)</f>
        <v/>
      </c>
      <c r="Q868" s="84">
        <f>IF($K868="","",IF($M868&lt;&gt;"",$M868-$K868,TODAY()-$K868))</f>
        <v/>
      </c>
      <c r="R868" s="85">
        <f>IF(OR($L868="",$I868="Completed",$I868="Cancelled"),"",IF(AND($L868&lt;TODAY(),$I868&lt;&gt;"Completed",$I868&lt;&gt;"Cancelled"),"Overdue","On Track"))</f>
        <v/>
      </c>
      <c r="S868" s="65">
        <f>IF($L868="","",TEXT($L868,"yyyy-mm"))</f>
        <v/>
      </c>
      <c r="T868" s="86">
        <f>IF($I868="","",IFERROR(INDEX(Action_Status_Map!$C$5:$C$11,MATCH($I868,Action_Status_Map!$A$5:$A$11,0)),""))</f>
        <v/>
      </c>
      <c r="U868" s="81" t="n"/>
      <c r="V868" s="82" t="n"/>
      <c r="W868" s="65">
        <f>IF(OR($I868&lt;&gt;"Completed",$M868="",$L868=""),"",IF($M868&lt;=$L868,"Yes","No"))</f>
        <v/>
      </c>
      <c r="X868" s="84">
        <f>IF($A868="","",COUNTIF(Task_Steps!$B$5:$B$2004,$A868))</f>
        <v/>
      </c>
      <c r="Y868" s="86">
        <f>IF($X868=0,"",COUNTIFS(Task_Steps!$B$5:$B$2004,$A868,Task_Steps!$H$5:$H$2004,"Completed")/$X868)</f>
        <v/>
      </c>
      <c r="Z868" s="81" t="n"/>
      <c r="AA868" s="81" t="n"/>
      <c r="AB868" s="67">
        <f>IF($F868="","",IFERROR(INDEX(Employee_Master!$E$5:$E$204,MATCH($F868,Employee_Master!$B$5:$B$204,0)),""))</f>
        <v/>
      </c>
      <c r="AC868" s="65">
        <f>IF(OR($A868="",$AB868=""),"",IF(OR($I868="Completed",$I868="Cancelled"),"Closed - in Manager Report","Active - in Manager Report"))</f>
        <v/>
      </c>
      <c r="AD868" s="81">
        <f>IF($A868="","",IFERROR(TEXTJOIN(", ",TRUE,FILTER(Task_Steps!$A$5:$A$2004,Task_Steps!$B$5:$B$2004=$A868)),""))</f>
        <v/>
      </c>
      <c r="AE868" s="84">
        <f>IF($A868="","",COUNTIFS(Task_Steps!$B$5:$B$2004,$A868,Task_Steps!$H$5:$H$2004,"&lt;&gt;Completed",Task_Steps!$H$5:$H$2004,"&lt;&gt;Cancelled"))</f>
        <v/>
      </c>
      <c r="AF868" s="81">
        <f>IF(OR($B868="",$A868=""),"",$B868&amp;" | "&amp;$A868)</f>
        <v/>
      </c>
    </row>
    <row r="869" ht="15" customHeight="1" s="40">
      <c r="A869" s="65">
        <f>IF(COUNTA(B869:F869)=0,"","TSK-"&amp;TEXT(ROW()-4,"0000"))</f>
        <v/>
      </c>
      <c r="B869" s="78" t="n"/>
      <c r="C869" s="78" t="n"/>
      <c r="D869" s="81" t="n"/>
      <c r="E869" s="81" t="n"/>
      <c r="F869" s="78" t="n"/>
      <c r="G869" s="67">
        <f>IF($F869="","",IFERROR(INDEX(Employee_Master!$C$5:$C$204,MATCH($F869,Employee_Master!$B$5:$B$204,0)),""))</f>
        <v/>
      </c>
      <c r="H869" s="78" t="n"/>
      <c r="I869" s="78" t="n"/>
      <c r="J869" s="67">
        <f>IF($I869="","",IFERROR(INDEX(Action_Status_Map!$B$5:$B$11,MATCH($I869,Action_Status_Map!$A$5:$A$11,0)),""))</f>
        <v/>
      </c>
      <c r="K869" s="82" t="n"/>
      <c r="L869" s="82" t="n"/>
      <c r="M869" s="82" t="n"/>
      <c r="N869" s="83" t="n"/>
      <c r="O869" s="83" t="n"/>
      <c r="P869" s="66">
        <f>IF(OR($N869="",$O869=""),"",$O869-$N869)</f>
        <v/>
      </c>
      <c r="Q869" s="84">
        <f>IF($K869="","",IF($M869&lt;&gt;"",$M869-$K869,TODAY()-$K869))</f>
        <v/>
      </c>
      <c r="R869" s="85">
        <f>IF(OR($L869="",$I869="Completed",$I869="Cancelled"),"",IF(AND($L869&lt;TODAY(),$I869&lt;&gt;"Completed",$I869&lt;&gt;"Cancelled"),"Overdue","On Track"))</f>
        <v/>
      </c>
      <c r="S869" s="65">
        <f>IF($L869="","",TEXT($L869,"yyyy-mm"))</f>
        <v/>
      </c>
      <c r="T869" s="86">
        <f>IF($I869="","",IFERROR(INDEX(Action_Status_Map!$C$5:$C$11,MATCH($I869,Action_Status_Map!$A$5:$A$11,0)),""))</f>
        <v/>
      </c>
      <c r="U869" s="81" t="n"/>
      <c r="V869" s="82" t="n"/>
      <c r="W869" s="65">
        <f>IF(OR($I869&lt;&gt;"Completed",$M869="",$L869=""),"",IF($M869&lt;=$L869,"Yes","No"))</f>
        <v/>
      </c>
      <c r="X869" s="84">
        <f>IF($A869="","",COUNTIF(Task_Steps!$B$5:$B$2004,$A869))</f>
        <v/>
      </c>
      <c r="Y869" s="86">
        <f>IF($X869=0,"",COUNTIFS(Task_Steps!$B$5:$B$2004,$A869,Task_Steps!$H$5:$H$2004,"Completed")/$X869)</f>
        <v/>
      </c>
      <c r="Z869" s="81" t="n"/>
      <c r="AA869" s="81" t="n"/>
      <c r="AB869" s="67">
        <f>IF($F869="","",IFERROR(INDEX(Employee_Master!$E$5:$E$204,MATCH($F869,Employee_Master!$B$5:$B$204,0)),""))</f>
        <v/>
      </c>
      <c r="AC869" s="65">
        <f>IF(OR($A869="",$AB869=""),"",IF(OR($I869="Completed",$I869="Cancelled"),"Closed - in Manager Report","Active - in Manager Report"))</f>
        <v/>
      </c>
      <c r="AD869" s="81">
        <f>IF($A869="","",IFERROR(TEXTJOIN(", ",TRUE,FILTER(Task_Steps!$A$5:$A$2004,Task_Steps!$B$5:$B$2004=$A869)),""))</f>
        <v/>
      </c>
      <c r="AE869" s="84">
        <f>IF($A869="","",COUNTIFS(Task_Steps!$B$5:$B$2004,$A869,Task_Steps!$H$5:$H$2004,"&lt;&gt;Completed",Task_Steps!$H$5:$H$2004,"&lt;&gt;Cancelled"))</f>
        <v/>
      </c>
      <c r="AF869" s="81">
        <f>IF(OR($B869="",$A869=""),"",$B869&amp;" | "&amp;$A869)</f>
        <v/>
      </c>
    </row>
    <row r="870" ht="15" customHeight="1" s="40">
      <c r="A870" s="65">
        <f>IF(COUNTA(B870:F870)=0,"","TSK-"&amp;TEXT(ROW()-4,"0000"))</f>
        <v/>
      </c>
      <c r="B870" s="78" t="n"/>
      <c r="C870" s="78" t="n"/>
      <c r="D870" s="81" t="n"/>
      <c r="E870" s="81" t="n"/>
      <c r="F870" s="78" t="n"/>
      <c r="G870" s="67">
        <f>IF($F870="","",IFERROR(INDEX(Employee_Master!$C$5:$C$204,MATCH($F870,Employee_Master!$B$5:$B$204,0)),""))</f>
        <v/>
      </c>
      <c r="H870" s="78" t="n"/>
      <c r="I870" s="78" t="n"/>
      <c r="J870" s="67">
        <f>IF($I870="","",IFERROR(INDEX(Action_Status_Map!$B$5:$B$11,MATCH($I870,Action_Status_Map!$A$5:$A$11,0)),""))</f>
        <v/>
      </c>
      <c r="K870" s="82" t="n"/>
      <c r="L870" s="82" t="n"/>
      <c r="M870" s="82" t="n"/>
      <c r="N870" s="83" t="n"/>
      <c r="O870" s="83" t="n"/>
      <c r="P870" s="66">
        <f>IF(OR($N870="",$O870=""),"",$O870-$N870)</f>
        <v/>
      </c>
      <c r="Q870" s="84">
        <f>IF($K870="","",IF($M870&lt;&gt;"",$M870-$K870,TODAY()-$K870))</f>
        <v/>
      </c>
      <c r="R870" s="85">
        <f>IF(OR($L870="",$I870="Completed",$I870="Cancelled"),"",IF(AND($L870&lt;TODAY(),$I870&lt;&gt;"Completed",$I870&lt;&gt;"Cancelled"),"Overdue","On Track"))</f>
        <v/>
      </c>
      <c r="S870" s="65">
        <f>IF($L870="","",TEXT($L870,"yyyy-mm"))</f>
        <v/>
      </c>
      <c r="T870" s="86">
        <f>IF($I870="","",IFERROR(INDEX(Action_Status_Map!$C$5:$C$11,MATCH($I870,Action_Status_Map!$A$5:$A$11,0)),""))</f>
        <v/>
      </c>
      <c r="U870" s="81" t="n"/>
      <c r="V870" s="82" t="n"/>
      <c r="W870" s="65">
        <f>IF(OR($I870&lt;&gt;"Completed",$M870="",$L870=""),"",IF($M870&lt;=$L870,"Yes","No"))</f>
        <v/>
      </c>
      <c r="X870" s="84">
        <f>IF($A870="","",COUNTIF(Task_Steps!$B$5:$B$2004,$A870))</f>
        <v/>
      </c>
      <c r="Y870" s="86">
        <f>IF($X870=0,"",COUNTIFS(Task_Steps!$B$5:$B$2004,$A870,Task_Steps!$H$5:$H$2004,"Completed")/$X870)</f>
        <v/>
      </c>
      <c r="Z870" s="81" t="n"/>
      <c r="AA870" s="81" t="n"/>
      <c r="AB870" s="67">
        <f>IF($F870="","",IFERROR(INDEX(Employee_Master!$E$5:$E$204,MATCH($F870,Employee_Master!$B$5:$B$204,0)),""))</f>
        <v/>
      </c>
      <c r="AC870" s="65">
        <f>IF(OR($A870="",$AB870=""),"",IF(OR($I870="Completed",$I870="Cancelled"),"Closed - in Manager Report","Active - in Manager Report"))</f>
        <v/>
      </c>
      <c r="AD870" s="81">
        <f>IF($A870="","",IFERROR(TEXTJOIN(", ",TRUE,FILTER(Task_Steps!$A$5:$A$2004,Task_Steps!$B$5:$B$2004=$A870)),""))</f>
        <v/>
      </c>
      <c r="AE870" s="84">
        <f>IF($A870="","",COUNTIFS(Task_Steps!$B$5:$B$2004,$A870,Task_Steps!$H$5:$H$2004,"&lt;&gt;Completed",Task_Steps!$H$5:$H$2004,"&lt;&gt;Cancelled"))</f>
        <v/>
      </c>
      <c r="AF870" s="81">
        <f>IF(OR($B870="",$A870=""),"",$B870&amp;" | "&amp;$A870)</f>
        <v/>
      </c>
    </row>
    <row r="871" ht="15" customHeight="1" s="40">
      <c r="A871" s="65">
        <f>IF(COUNTA(B871:F871)=0,"","TSK-"&amp;TEXT(ROW()-4,"0000"))</f>
        <v/>
      </c>
      <c r="B871" s="78" t="n"/>
      <c r="C871" s="78" t="n"/>
      <c r="D871" s="81" t="n"/>
      <c r="E871" s="81" t="n"/>
      <c r="F871" s="78" t="n"/>
      <c r="G871" s="67">
        <f>IF($F871="","",IFERROR(INDEX(Employee_Master!$C$5:$C$204,MATCH($F871,Employee_Master!$B$5:$B$204,0)),""))</f>
        <v/>
      </c>
      <c r="H871" s="78" t="n"/>
      <c r="I871" s="78" t="n"/>
      <c r="J871" s="67">
        <f>IF($I871="","",IFERROR(INDEX(Action_Status_Map!$B$5:$B$11,MATCH($I871,Action_Status_Map!$A$5:$A$11,0)),""))</f>
        <v/>
      </c>
      <c r="K871" s="82" t="n"/>
      <c r="L871" s="82" t="n"/>
      <c r="M871" s="82" t="n"/>
      <c r="N871" s="83" t="n"/>
      <c r="O871" s="83" t="n"/>
      <c r="P871" s="66">
        <f>IF(OR($N871="",$O871=""),"",$O871-$N871)</f>
        <v/>
      </c>
      <c r="Q871" s="84">
        <f>IF($K871="","",IF($M871&lt;&gt;"",$M871-$K871,TODAY()-$K871))</f>
        <v/>
      </c>
      <c r="R871" s="85">
        <f>IF(OR($L871="",$I871="Completed",$I871="Cancelled"),"",IF(AND($L871&lt;TODAY(),$I871&lt;&gt;"Completed",$I871&lt;&gt;"Cancelled"),"Overdue","On Track"))</f>
        <v/>
      </c>
      <c r="S871" s="65">
        <f>IF($L871="","",TEXT($L871,"yyyy-mm"))</f>
        <v/>
      </c>
      <c r="T871" s="86">
        <f>IF($I871="","",IFERROR(INDEX(Action_Status_Map!$C$5:$C$11,MATCH($I871,Action_Status_Map!$A$5:$A$11,0)),""))</f>
        <v/>
      </c>
      <c r="U871" s="81" t="n"/>
      <c r="V871" s="82" t="n"/>
      <c r="W871" s="65">
        <f>IF(OR($I871&lt;&gt;"Completed",$M871="",$L871=""),"",IF($M871&lt;=$L871,"Yes","No"))</f>
        <v/>
      </c>
      <c r="X871" s="84">
        <f>IF($A871="","",COUNTIF(Task_Steps!$B$5:$B$2004,$A871))</f>
        <v/>
      </c>
      <c r="Y871" s="86">
        <f>IF($X871=0,"",COUNTIFS(Task_Steps!$B$5:$B$2004,$A871,Task_Steps!$H$5:$H$2004,"Completed")/$X871)</f>
        <v/>
      </c>
      <c r="Z871" s="81" t="n"/>
      <c r="AA871" s="81" t="n"/>
      <c r="AB871" s="67">
        <f>IF($F871="","",IFERROR(INDEX(Employee_Master!$E$5:$E$204,MATCH($F871,Employee_Master!$B$5:$B$204,0)),""))</f>
        <v/>
      </c>
      <c r="AC871" s="65">
        <f>IF(OR($A871="",$AB871=""),"",IF(OR($I871="Completed",$I871="Cancelled"),"Closed - in Manager Report","Active - in Manager Report"))</f>
        <v/>
      </c>
      <c r="AD871" s="81">
        <f>IF($A871="","",IFERROR(TEXTJOIN(", ",TRUE,FILTER(Task_Steps!$A$5:$A$2004,Task_Steps!$B$5:$B$2004=$A871)),""))</f>
        <v/>
      </c>
      <c r="AE871" s="84">
        <f>IF($A871="","",COUNTIFS(Task_Steps!$B$5:$B$2004,$A871,Task_Steps!$H$5:$H$2004,"&lt;&gt;Completed",Task_Steps!$H$5:$H$2004,"&lt;&gt;Cancelled"))</f>
        <v/>
      </c>
      <c r="AF871" s="81">
        <f>IF(OR($B871="",$A871=""),"",$B871&amp;" | "&amp;$A871)</f>
        <v/>
      </c>
    </row>
    <row r="872" ht="15" customHeight="1" s="40">
      <c r="A872" s="65">
        <f>IF(COUNTA(B872:F872)=0,"","TSK-"&amp;TEXT(ROW()-4,"0000"))</f>
        <v/>
      </c>
      <c r="B872" s="78" t="n"/>
      <c r="C872" s="78" t="n"/>
      <c r="D872" s="81" t="n"/>
      <c r="E872" s="81" t="n"/>
      <c r="F872" s="78" t="n"/>
      <c r="G872" s="67">
        <f>IF($F872="","",IFERROR(INDEX(Employee_Master!$C$5:$C$204,MATCH($F872,Employee_Master!$B$5:$B$204,0)),""))</f>
        <v/>
      </c>
      <c r="H872" s="78" t="n"/>
      <c r="I872" s="78" t="n"/>
      <c r="J872" s="67">
        <f>IF($I872="","",IFERROR(INDEX(Action_Status_Map!$B$5:$B$11,MATCH($I872,Action_Status_Map!$A$5:$A$11,0)),""))</f>
        <v/>
      </c>
      <c r="K872" s="82" t="n"/>
      <c r="L872" s="82" t="n"/>
      <c r="M872" s="82" t="n"/>
      <c r="N872" s="83" t="n"/>
      <c r="O872" s="83" t="n"/>
      <c r="P872" s="66">
        <f>IF(OR($N872="",$O872=""),"",$O872-$N872)</f>
        <v/>
      </c>
      <c r="Q872" s="84">
        <f>IF($K872="","",IF($M872&lt;&gt;"",$M872-$K872,TODAY()-$K872))</f>
        <v/>
      </c>
      <c r="R872" s="85">
        <f>IF(OR($L872="",$I872="Completed",$I872="Cancelled"),"",IF(AND($L872&lt;TODAY(),$I872&lt;&gt;"Completed",$I872&lt;&gt;"Cancelled"),"Overdue","On Track"))</f>
        <v/>
      </c>
      <c r="S872" s="65">
        <f>IF($L872="","",TEXT($L872,"yyyy-mm"))</f>
        <v/>
      </c>
      <c r="T872" s="86">
        <f>IF($I872="","",IFERROR(INDEX(Action_Status_Map!$C$5:$C$11,MATCH($I872,Action_Status_Map!$A$5:$A$11,0)),""))</f>
        <v/>
      </c>
      <c r="U872" s="81" t="n"/>
      <c r="V872" s="82" t="n"/>
      <c r="W872" s="65">
        <f>IF(OR($I872&lt;&gt;"Completed",$M872="",$L872=""),"",IF($M872&lt;=$L872,"Yes","No"))</f>
        <v/>
      </c>
      <c r="X872" s="84">
        <f>IF($A872="","",COUNTIF(Task_Steps!$B$5:$B$2004,$A872))</f>
        <v/>
      </c>
      <c r="Y872" s="86">
        <f>IF($X872=0,"",COUNTIFS(Task_Steps!$B$5:$B$2004,$A872,Task_Steps!$H$5:$H$2004,"Completed")/$X872)</f>
        <v/>
      </c>
      <c r="Z872" s="81" t="n"/>
      <c r="AA872" s="81" t="n"/>
      <c r="AB872" s="67">
        <f>IF($F872="","",IFERROR(INDEX(Employee_Master!$E$5:$E$204,MATCH($F872,Employee_Master!$B$5:$B$204,0)),""))</f>
        <v/>
      </c>
      <c r="AC872" s="65">
        <f>IF(OR($A872="",$AB872=""),"",IF(OR($I872="Completed",$I872="Cancelled"),"Closed - in Manager Report","Active - in Manager Report"))</f>
        <v/>
      </c>
      <c r="AD872" s="81">
        <f>IF($A872="","",IFERROR(TEXTJOIN(", ",TRUE,FILTER(Task_Steps!$A$5:$A$2004,Task_Steps!$B$5:$B$2004=$A872)),""))</f>
        <v/>
      </c>
      <c r="AE872" s="84">
        <f>IF($A872="","",COUNTIFS(Task_Steps!$B$5:$B$2004,$A872,Task_Steps!$H$5:$H$2004,"&lt;&gt;Completed",Task_Steps!$H$5:$H$2004,"&lt;&gt;Cancelled"))</f>
        <v/>
      </c>
      <c r="AF872" s="81">
        <f>IF(OR($B872="",$A872=""),"",$B872&amp;" | "&amp;$A872)</f>
        <v/>
      </c>
    </row>
    <row r="873" ht="15" customHeight="1" s="40">
      <c r="A873" s="65">
        <f>IF(COUNTA(B873:F873)=0,"","TSK-"&amp;TEXT(ROW()-4,"0000"))</f>
        <v/>
      </c>
      <c r="B873" s="78" t="n"/>
      <c r="C873" s="78" t="n"/>
      <c r="D873" s="81" t="n"/>
      <c r="E873" s="81" t="n"/>
      <c r="F873" s="78" t="n"/>
      <c r="G873" s="67">
        <f>IF($F873="","",IFERROR(INDEX(Employee_Master!$C$5:$C$204,MATCH($F873,Employee_Master!$B$5:$B$204,0)),""))</f>
        <v/>
      </c>
      <c r="H873" s="78" t="n"/>
      <c r="I873" s="78" t="n"/>
      <c r="J873" s="67">
        <f>IF($I873="","",IFERROR(INDEX(Action_Status_Map!$B$5:$B$11,MATCH($I873,Action_Status_Map!$A$5:$A$11,0)),""))</f>
        <v/>
      </c>
      <c r="K873" s="82" t="n"/>
      <c r="L873" s="82" t="n"/>
      <c r="M873" s="82" t="n"/>
      <c r="N873" s="83" t="n"/>
      <c r="O873" s="83" t="n"/>
      <c r="P873" s="66">
        <f>IF(OR($N873="",$O873=""),"",$O873-$N873)</f>
        <v/>
      </c>
      <c r="Q873" s="84">
        <f>IF($K873="","",IF($M873&lt;&gt;"",$M873-$K873,TODAY()-$K873))</f>
        <v/>
      </c>
      <c r="R873" s="85">
        <f>IF(OR($L873="",$I873="Completed",$I873="Cancelled"),"",IF(AND($L873&lt;TODAY(),$I873&lt;&gt;"Completed",$I873&lt;&gt;"Cancelled"),"Overdue","On Track"))</f>
        <v/>
      </c>
      <c r="S873" s="65">
        <f>IF($L873="","",TEXT($L873,"yyyy-mm"))</f>
        <v/>
      </c>
      <c r="T873" s="86">
        <f>IF($I873="","",IFERROR(INDEX(Action_Status_Map!$C$5:$C$11,MATCH($I873,Action_Status_Map!$A$5:$A$11,0)),""))</f>
        <v/>
      </c>
      <c r="U873" s="81" t="n"/>
      <c r="V873" s="82" t="n"/>
      <c r="W873" s="65">
        <f>IF(OR($I873&lt;&gt;"Completed",$M873="",$L873=""),"",IF($M873&lt;=$L873,"Yes","No"))</f>
        <v/>
      </c>
      <c r="X873" s="84">
        <f>IF($A873="","",COUNTIF(Task_Steps!$B$5:$B$2004,$A873))</f>
        <v/>
      </c>
      <c r="Y873" s="86">
        <f>IF($X873=0,"",COUNTIFS(Task_Steps!$B$5:$B$2004,$A873,Task_Steps!$H$5:$H$2004,"Completed")/$X873)</f>
        <v/>
      </c>
      <c r="Z873" s="81" t="n"/>
      <c r="AA873" s="81" t="n"/>
      <c r="AB873" s="67">
        <f>IF($F873="","",IFERROR(INDEX(Employee_Master!$E$5:$E$204,MATCH($F873,Employee_Master!$B$5:$B$204,0)),""))</f>
        <v/>
      </c>
      <c r="AC873" s="65">
        <f>IF(OR($A873="",$AB873=""),"",IF(OR($I873="Completed",$I873="Cancelled"),"Closed - in Manager Report","Active - in Manager Report"))</f>
        <v/>
      </c>
      <c r="AD873" s="81">
        <f>IF($A873="","",IFERROR(TEXTJOIN(", ",TRUE,FILTER(Task_Steps!$A$5:$A$2004,Task_Steps!$B$5:$B$2004=$A873)),""))</f>
        <v/>
      </c>
      <c r="AE873" s="84">
        <f>IF($A873="","",COUNTIFS(Task_Steps!$B$5:$B$2004,$A873,Task_Steps!$H$5:$H$2004,"&lt;&gt;Completed",Task_Steps!$H$5:$H$2004,"&lt;&gt;Cancelled"))</f>
        <v/>
      </c>
      <c r="AF873" s="81">
        <f>IF(OR($B873="",$A873=""),"",$B873&amp;" | "&amp;$A873)</f>
        <v/>
      </c>
    </row>
    <row r="874" ht="15" customHeight="1" s="40">
      <c r="A874" s="65">
        <f>IF(COUNTA(B874:F874)=0,"","TSK-"&amp;TEXT(ROW()-4,"0000"))</f>
        <v/>
      </c>
      <c r="B874" s="78" t="n"/>
      <c r="C874" s="78" t="n"/>
      <c r="D874" s="81" t="n"/>
      <c r="E874" s="81" t="n"/>
      <c r="F874" s="78" t="n"/>
      <c r="G874" s="67">
        <f>IF($F874="","",IFERROR(INDEX(Employee_Master!$C$5:$C$204,MATCH($F874,Employee_Master!$B$5:$B$204,0)),""))</f>
        <v/>
      </c>
      <c r="H874" s="78" t="n"/>
      <c r="I874" s="78" t="n"/>
      <c r="J874" s="67">
        <f>IF($I874="","",IFERROR(INDEX(Action_Status_Map!$B$5:$B$11,MATCH($I874,Action_Status_Map!$A$5:$A$11,0)),""))</f>
        <v/>
      </c>
      <c r="K874" s="82" t="n"/>
      <c r="L874" s="82" t="n"/>
      <c r="M874" s="82" t="n"/>
      <c r="N874" s="83" t="n"/>
      <c r="O874" s="83" t="n"/>
      <c r="P874" s="66">
        <f>IF(OR($N874="",$O874=""),"",$O874-$N874)</f>
        <v/>
      </c>
      <c r="Q874" s="84">
        <f>IF($K874="","",IF($M874&lt;&gt;"",$M874-$K874,TODAY()-$K874))</f>
        <v/>
      </c>
      <c r="R874" s="85">
        <f>IF(OR($L874="",$I874="Completed",$I874="Cancelled"),"",IF(AND($L874&lt;TODAY(),$I874&lt;&gt;"Completed",$I874&lt;&gt;"Cancelled"),"Overdue","On Track"))</f>
        <v/>
      </c>
      <c r="S874" s="65">
        <f>IF($L874="","",TEXT($L874,"yyyy-mm"))</f>
        <v/>
      </c>
      <c r="T874" s="86">
        <f>IF($I874="","",IFERROR(INDEX(Action_Status_Map!$C$5:$C$11,MATCH($I874,Action_Status_Map!$A$5:$A$11,0)),""))</f>
        <v/>
      </c>
      <c r="U874" s="81" t="n"/>
      <c r="V874" s="82" t="n"/>
      <c r="W874" s="65">
        <f>IF(OR($I874&lt;&gt;"Completed",$M874="",$L874=""),"",IF($M874&lt;=$L874,"Yes","No"))</f>
        <v/>
      </c>
      <c r="X874" s="84">
        <f>IF($A874="","",COUNTIF(Task_Steps!$B$5:$B$2004,$A874))</f>
        <v/>
      </c>
      <c r="Y874" s="86">
        <f>IF($X874=0,"",COUNTIFS(Task_Steps!$B$5:$B$2004,$A874,Task_Steps!$H$5:$H$2004,"Completed")/$X874)</f>
        <v/>
      </c>
      <c r="Z874" s="81" t="n"/>
      <c r="AA874" s="81" t="n"/>
      <c r="AB874" s="67">
        <f>IF($F874="","",IFERROR(INDEX(Employee_Master!$E$5:$E$204,MATCH($F874,Employee_Master!$B$5:$B$204,0)),""))</f>
        <v/>
      </c>
      <c r="AC874" s="65">
        <f>IF(OR($A874="",$AB874=""),"",IF(OR($I874="Completed",$I874="Cancelled"),"Closed - in Manager Report","Active - in Manager Report"))</f>
        <v/>
      </c>
      <c r="AD874" s="81">
        <f>IF($A874="","",IFERROR(TEXTJOIN(", ",TRUE,FILTER(Task_Steps!$A$5:$A$2004,Task_Steps!$B$5:$B$2004=$A874)),""))</f>
        <v/>
      </c>
      <c r="AE874" s="84">
        <f>IF($A874="","",COUNTIFS(Task_Steps!$B$5:$B$2004,$A874,Task_Steps!$H$5:$H$2004,"&lt;&gt;Completed",Task_Steps!$H$5:$H$2004,"&lt;&gt;Cancelled"))</f>
        <v/>
      </c>
      <c r="AF874" s="81">
        <f>IF(OR($B874="",$A874=""),"",$B874&amp;" | "&amp;$A874)</f>
        <v/>
      </c>
    </row>
    <row r="875" ht="15" customHeight="1" s="40">
      <c r="A875" s="65">
        <f>IF(COUNTA(B875:F875)=0,"","TSK-"&amp;TEXT(ROW()-4,"0000"))</f>
        <v/>
      </c>
      <c r="B875" s="78" t="n"/>
      <c r="C875" s="78" t="n"/>
      <c r="D875" s="81" t="n"/>
      <c r="E875" s="81" t="n"/>
      <c r="F875" s="78" t="n"/>
      <c r="G875" s="67">
        <f>IF($F875="","",IFERROR(INDEX(Employee_Master!$C$5:$C$204,MATCH($F875,Employee_Master!$B$5:$B$204,0)),""))</f>
        <v/>
      </c>
      <c r="H875" s="78" t="n"/>
      <c r="I875" s="78" t="n"/>
      <c r="J875" s="67">
        <f>IF($I875="","",IFERROR(INDEX(Action_Status_Map!$B$5:$B$11,MATCH($I875,Action_Status_Map!$A$5:$A$11,0)),""))</f>
        <v/>
      </c>
      <c r="K875" s="82" t="n"/>
      <c r="L875" s="82" t="n"/>
      <c r="M875" s="82" t="n"/>
      <c r="N875" s="83" t="n"/>
      <c r="O875" s="83" t="n"/>
      <c r="P875" s="66">
        <f>IF(OR($N875="",$O875=""),"",$O875-$N875)</f>
        <v/>
      </c>
      <c r="Q875" s="84">
        <f>IF($K875="","",IF($M875&lt;&gt;"",$M875-$K875,TODAY()-$K875))</f>
        <v/>
      </c>
      <c r="R875" s="85">
        <f>IF(OR($L875="",$I875="Completed",$I875="Cancelled"),"",IF(AND($L875&lt;TODAY(),$I875&lt;&gt;"Completed",$I875&lt;&gt;"Cancelled"),"Overdue","On Track"))</f>
        <v/>
      </c>
      <c r="S875" s="65">
        <f>IF($L875="","",TEXT($L875,"yyyy-mm"))</f>
        <v/>
      </c>
      <c r="T875" s="86">
        <f>IF($I875="","",IFERROR(INDEX(Action_Status_Map!$C$5:$C$11,MATCH($I875,Action_Status_Map!$A$5:$A$11,0)),""))</f>
        <v/>
      </c>
      <c r="U875" s="81" t="n"/>
      <c r="V875" s="82" t="n"/>
      <c r="W875" s="65">
        <f>IF(OR($I875&lt;&gt;"Completed",$M875="",$L875=""),"",IF($M875&lt;=$L875,"Yes","No"))</f>
        <v/>
      </c>
      <c r="X875" s="84">
        <f>IF($A875="","",COUNTIF(Task_Steps!$B$5:$B$2004,$A875))</f>
        <v/>
      </c>
      <c r="Y875" s="86">
        <f>IF($X875=0,"",COUNTIFS(Task_Steps!$B$5:$B$2004,$A875,Task_Steps!$H$5:$H$2004,"Completed")/$X875)</f>
        <v/>
      </c>
      <c r="Z875" s="81" t="n"/>
      <c r="AA875" s="81" t="n"/>
      <c r="AB875" s="67">
        <f>IF($F875="","",IFERROR(INDEX(Employee_Master!$E$5:$E$204,MATCH($F875,Employee_Master!$B$5:$B$204,0)),""))</f>
        <v/>
      </c>
      <c r="AC875" s="65">
        <f>IF(OR($A875="",$AB875=""),"",IF(OR($I875="Completed",$I875="Cancelled"),"Closed - in Manager Report","Active - in Manager Report"))</f>
        <v/>
      </c>
      <c r="AD875" s="81">
        <f>IF($A875="","",IFERROR(TEXTJOIN(", ",TRUE,FILTER(Task_Steps!$A$5:$A$2004,Task_Steps!$B$5:$B$2004=$A875)),""))</f>
        <v/>
      </c>
      <c r="AE875" s="84">
        <f>IF($A875="","",COUNTIFS(Task_Steps!$B$5:$B$2004,$A875,Task_Steps!$H$5:$H$2004,"&lt;&gt;Completed",Task_Steps!$H$5:$H$2004,"&lt;&gt;Cancelled"))</f>
        <v/>
      </c>
      <c r="AF875" s="81">
        <f>IF(OR($B875="",$A875=""),"",$B875&amp;" | "&amp;$A875)</f>
        <v/>
      </c>
    </row>
    <row r="876" ht="15" customHeight="1" s="40">
      <c r="A876" s="65">
        <f>IF(COUNTA(B876:F876)=0,"","TSK-"&amp;TEXT(ROW()-4,"0000"))</f>
        <v/>
      </c>
      <c r="B876" s="78" t="n"/>
      <c r="C876" s="78" t="n"/>
      <c r="D876" s="81" t="n"/>
      <c r="E876" s="81" t="n"/>
      <c r="F876" s="78" t="n"/>
      <c r="G876" s="67">
        <f>IF($F876="","",IFERROR(INDEX(Employee_Master!$C$5:$C$204,MATCH($F876,Employee_Master!$B$5:$B$204,0)),""))</f>
        <v/>
      </c>
      <c r="H876" s="78" t="n"/>
      <c r="I876" s="78" t="n"/>
      <c r="J876" s="67">
        <f>IF($I876="","",IFERROR(INDEX(Action_Status_Map!$B$5:$B$11,MATCH($I876,Action_Status_Map!$A$5:$A$11,0)),""))</f>
        <v/>
      </c>
      <c r="K876" s="82" t="n"/>
      <c r="L876" s="82" t="n"/>
      <c r="M876" s="82" t="n"/>
      <c r="N876" s="83" t="n"/>
      <c r="O876" s="83" t="n"/>
      <c r="P876" s="66">
        <f>IF(OR($N876="",$O876=""),"",$O876-$N876)</f>
        <v/>
      </c>
      <c r="Q876" s="84">
        <f>IF($K876="","",IF($M876&lt;&gt;"",$M876-$K876,TODAY()-$K876))</f>
        <v/>
      </c>
      <c r="R876" s="85">
        <f>IF(OR($L876="",$I876="Completed",$I876="Cancelled"),"",IF(AND($L876&lt;TODAY(),$I876&lt;&gt;"Completed",$I876&lt;&gt;"Cancelled"),"Overdue","On Track"))</f>
        <v/>
      </c>
      <c r="S876" s="65">
        <f>IF($L876="","",TEXT($L876,"yyyy-mm"))</f>
        <v/>
      </c>
      <c r="T876" s="86">
        <f>IF($I876="","",IFERROR(INDEX(Action_Status_Map!$C$5:$C$11,MATCH($I876,Action_Status_Map!$A$5:$A$11,0)),""))</f>
        <v/>
      </c>
      <c r="U876" s="81" t="n"/>
      <c r="V876" s="82" t="n"/>
      <c r="W876" s="65">
        <f>IF(OR($I876&lt;&gt;"Completed",$M876="",$L876=""),"",IF($M876&lt;=$L876,"Yes","No"))</f>
        <v/>
      </c>
      <c r="X876" s="84">
        <f>IF($A876="","",COUNTIF(Task_Steps!$B$5:$B$2004,$A876))</f>
        <v/>
      </c>
      <c r="Y876" s="86">
        <f>IF($X876=0,"",COUNTIFS(Task_Steps!$B$5:$B$2004,$A876,Task_Steps!$H$5:$H$2004,"Completed")/$X876)</f>
        <v/>
      </c>
      <c r="Z876" s="81" t="n"/>
      <c r="AA876" s="81" t="n"/>
      <c r="AB876" s="67">
        <f>IF($F876="","",IFERROR(INDEX(Employee_Master!$E$5:$E$204,MATCH($F876,Employee_Master!$B$5:$B$204,0)),""))</f>
        <v/>
      </c>
      <c r="AC876" s="65">
        <f>IF(OR($A876="",$AB876=""),"",IF(OR($I876="Completed",$I876="Cancelled"),"Closed - in Manager Report","Active - in Manager Report"))</f>
        <v/>
      </c>
      <c r="AD876" s="81">
        <f>IF($A876="","",IFERROR(TEXTJOIN(", ",TRUE,FILTER(Task_Steps!$A$5:$A$2004,Task_Steps!$B$5:$B$2004=$A876)),""))</f>
        <v/>
      </c>
      <c r="AE876" s="84">
        <f>IF($A876="","",COUNTIFS(Task_Steps!$B$5:$B$2004,$A876,Task_Steps!$H$5:$H$2004,"&lt;&gt;Completed",Task_Steps!$H$5:$H$2004,"&lt;&gt;Cancelled"))</f>
        <v/>
      </c>
      <c r="AF876" s="81">
        <f>IF(OR($B876="",$A876=""),"",$B876&amp;" | "&amp;$A876)</f>
        <v/>
      </c>
    </row>
    <row r="877" ht="15" customHeight="1" s="40">
      <c r="A877" s="65">
        <f>IF(COUNTA(B877:F877)=0,"","TSK-"&amp;TEXT(ROW()-4,"0000"))</f>
        <v/>
      </c>
      <c r="B877" s="78" t="n"/>
      <c r="C877" s="78" t="n"/>
      <c r="D877" s="81" t="n"/>
      <c r="E877" s="81" t="n"/>
      <c r="F877" s="78" t="n"/>
      <c r="G877" s="67">
        <f>IF($F877="","",IFERROR(INDEX(Employee_Master!$C$5:$C$204,MATCH($F877,Employee_Master!$B$5:$B$204,0)),""))</f>
        <v/>
      </c>
      <c r="H877" s="78" t="n"/>
      <c r="I877" s="78" t="n"/>
      <c r="J877" s="67">
        <f>IF($I877="","",IFERROR(INDEX(Action_Status_Map!$B$5:$B$11,MATCH($I877,Action_Status_Map!$A$5:$A$11,0)),""))</f>
        <v/>
      </c>
      <c r="K877" s="82" t="n"/>
      <c r="L877" s="82" t="n"/>
      <c r="M877" s="82" t="n"/>
      <c r="N877" s="83" t="n"/>
      <c r="O877" s="83" t="n"/>
      <c r="P877" s="66">
        <f>IF(OR($N877="",$O877=""),"",$O877-$N877)</f>
        <v/>
      </c>
      <c r="Q877" s="84">
        <f>IF($K877="","",IF($M877&lt;&gt;"",$M877-$K877,TODAY()-$K877))</f>
        <v/>
      </c>
      <c r="R877" s="85">
        <f>IF(OR($L877="",$I877="Completed",$I877="Cancelled"),"",IF(AND($L877&lt;TODAY(),$I877&lt;&gt;"Completed",$I877&lt;&gt;"Cancelled"),"Overdue","On Track"))</f>
        <v/>
      </c>
      <c r="S877" s="65">
        <f>IF($L877="","",TEXT($L877,"yyyy-mm"))</f>
        <v/>
      </c>
      <c r="T877" s="86">
        <f>IF($I877="","",IFERROR(INDEX(Action_Status_Map!$C$5:$C$11,MATCH($I877,Action_Status_Map!$A$5:$A$11,0)),""))</f>
        <v/>
      </c>
      <c r="U877" s="81" t="n"/>
      <c r="V877" s="82" t="n"/>
      <c r="W877" s="65">
        <f>IF(OR($I877&lt;&gt;"Completed",$M877="",$L877=""),"",IF($M877&lt;=$L877,"Yes","No"))</f>
        <v/>
      </c>
      <c r="X877" s="84">
        <f>IF($A877="","",COUNTIF(Task_Steps!$B$5:$B$2004,$A877))</f>
        <v/>
      </c>
      <c r="Y877" s="86">
        <f>IF($X877=0,"",COUNTIFS(Task_Steps!$B$5:$B$2004,$A877,Task_Steps!$H$5:$H$2004,"Completed")/$X877)</f>
        <v/>
      </c>
      <c r="Z877" s="81" t="n"/>
      <c r="AA877" s="81" t="n"/>
      <c r="AB877" s="67">
        <f>IF($F877="","",IFERROR(INDEX(Employee_Master!$E$5:$E$204,MATCH($F877,Employee_Master!$B$5:$B$204,0)),""))</f>
        <v/>
      </c>
      <c r="AC877" s="65">
        <f>IF(OR($A877="",$AB877=""),"",IF(OR($I877="Completed",$I877="Cancelled"),"Closed - in Manager Report","Active - in Manager Report"))</f>
        <v/>
      </c>
      <c r="AD877" s="81">
        <f>IF($A877="","",IFERROR(TEXTJOIN(", ",TRUE,FILTER(Task_Steps!$A$5:$A$2004,Task_Steps!$B$5:$B$2004=$A877)),""))</f>
        <v/>
      </c>
      <c r="AE877" s="84">
        <f>IF($A877="","",COUNTIFS(Task_Steps!$B$5:$B$2004,$A877,Task_Steps!$H$5:$H$2004,"&lt;&gt;Completed",Task_Steps!$H$5:$H$2004,"&lt;&gt;Cancelled"))</f>
        <v/>
      </c>
      <c r="AF877" s="81">
        <f>IF(OR($B877="",$A877=""),"",$B877&amp;" | "&amp;$A877)</f>
        <v/>
      </c>
    </row>
    <row r="878" ht="15" customHeight="1" s="40">
      <c r="A878" s="65">
        <f>IF(COUNTA(B878:F878)=0,"","TSK-"&amp;TEXT(ROW()-4,"0000"))</f>
        <v/>
      </c>
      <c r="B878" s="78" t="n"/>
      <c r="C878" s="78" t="n"/>
      <c r="D878" s="81" t="n"/>
      <c r="E878" s="81" t="n"/>
      <c r="F878" s="78" t="n"/>
      <c r="G878" s="67">
        <f>IF($F878="","",IFERROR(INDEX(Employee_Master!$C$5:$C$204,MATCH($F878,Employee_Master!$B$5:$B$204,0)),""))</f>
        <v/>
      </c>
      <c r="H878" s="78" t="n"/>
      <c r="I878" s="78" t="n"/>
      <c r="J878" s="67">
        <f>IF($I878="","",IFERROR(INDEX(Action_Status_Map!$B$5:$B$11,MATCH($I878,Action_Status_Map!$A$5:$A$11,0)),""))</f>
        <v/>
      </c>
      <c r="K878" s="82" t="n"/>
      <c r="L878" s="82" t="n"/>
      <c r="M878" s="82" t="n"/>
      <c r="N878" s="83" t="n"/>
      <c r="O878" s="83" t="n"/>
      <c r="P878" s="66">
        <f>IF(OR($N878="",$O878=""),"",$O878-$N878)</f>
        <v/>
      </c>
      <c r="Q878" s="84">
        <f>IF($K878="","",IF($M878&lt;&gt;"",$M878-$K878,TODAY()-$K878))</f>
        <v/>
      </c>
      <c r="R878" s="85">
        <f>IF(OR($L878="",$I878="Completed",$I878="Cancelled"),"",IF(AND($L878&lt;TODAY(),$I878&lt;&gt;"Completed",$I878&lt;&gt;"Cancelled"),"Overdue","On Track"))</f>
        <v/>
      </c>
      <c r="S878" s="65">
        <f>IF($L878="","",TEXT($L878,"yyyy-mm"))</f>
        <v/>
      </c>
      <c r="T878" s="86">
        <f>IF($I878="","",IFERROR(INDEX(Action_Status_Map!$C$5:$C$11,MATCH($I878,Action_Status_Map!$A$5:$A$11,0)),""))</f>
        <v/>
      </c>
      <c r="U878" s="81" t="n"/>
      <c r="V878" s="82" t="n"/>
      <c r="W878" s="65">
        <f>IF(OR($I878&lt;&gt;"Completed",$M878="",$L878=""),"",IF($M878&lt;=$L878,"Yes","No"))</f>
        <v/>
      </c>
      <c r="X878" s="84">
        <f>IF($A878="","",COUNTIF(Task_Steps!$B$5:$B$2004,$A878))</f>
        <v/>
      </c>
      <c r="Y878" s="86">
        <f>IF($X878=0,"",COUNTIFS(Task_Steps!$B$5:$B$2004,$A878,Task_Steps!$H$5:$H$2004,"Completed")/$X878)</f>
        <v/>
      </c>
      <c r="Z878" s="81" t="n"/>
      <c r="AA878" s="81" t="n"/>
      <c r="AB878" s="67">
        <f>IF($F878="","",IFERROR(INDEX(Employee_Master!$E$5:$E$204,MATCH($F878,Employee_Master!$B$5:$B$204,0)),""))</f>
        <v/>
      </c>
      <c r="AC878" s="65">
        <f>IF(OR($A878="",$AB878=""),"",IF(OR($I878="Completed",$I878="Cancelled"),"Closed - in Manager Report","Active - in Manager Report"))</f>
        <v/>
      </c>
      <c r="AD878" s="81">
        <f>IF($A878="","",IFERROR(TEXTJOIN(", ",TRUE,FILTER(Task_Steps!$A$5:$A$2004,Task_Steps!$B$5:$B$2004=$A878)),""))</f>
        <v/>
      </c>
      <c r="AE878" s="84">
        <f>IF($A878="","",COUNTIFS(Task_Steps!$B$5:$B$2004,$A878,Task_Steps!$H$5:$H$2004,"&lt;&gt;Completed",Task_Steps!$H$5:$H$2004,"&lt;&gt;Cancelled"))</f>
        <v/>
      </c>
      <c r="AF878" s="81">
        <f>IF(OR($B878="",$A878=""),"",$B878&amp;" | "&amp;$A878)</f>
        <v/>
      </c>
    </row>
    <row r="879" ht="15" customHeight="1" s="40">
      <c r="A879" s="65">
        <f>IF(COUNTA(B879:F879)=0,"","TSK-"&amp;TEXT(ROW()-4,"0000"))</f>
        <v/>
      </c>
      <c r="B879" s="78" t="n"/>
      <c r="C879" s="78" t="n"/>
      <c r="D879" s="81" t="n"/>
      <c r="E879" s="81" t="n"/>
      <c r="F879" s="78" t="n"/>
      <c r="G879" s="67">
        <f>IF($F879="","",IFERROR(INDEX(Employee_Master!$C$5:$C$204,MATCH($F879,Employee_Master!$B$5:$B$204,0)),""))</f>
        <v/>
      </c>
      <c r="H879" s="78" t="n"/>
      <c r="I879" s="78" t="n"/>
      <c r="J879" s="67">
        <f>IF($I879="","",IFERROR(INDEX(Action_Status_Map!$B$5:$B$11,MATCH($I879,Action_Status_Map!$A$5:$A$11,0)),""))</f>
        <v/>
      </c>
      <c r="K879" s="82" t="n"/>
      <c r="L879" s="82" t="n"/>
      <c r="M879" s="82" t="n"/>
      <c r="N879" s="83" t="n"/>
      <c r="O879" s="83" t="n"/>
      <c r="P879" s="66">
        <f>IF(OR($N879="",$O879=""),"",$O879-$N879)</f>
        <v/>
      </c>
      <c r="Q879" s="84">
        <f>IF($K879="","",IF($M879&lt;&gt;"",$M879-$K879,TODAY()-$K879))</f>
        <v/>
      </c>
      <c r="R879" s="85">
        <f>IF(OR($L879="",$I879="Completed",$I879="Cancelled"),"",IF(AND($L879&lt;TODAY(),$I879&lt;&gt;"Completed",$I879&lt;&gt;"Cancelled"),"Overdue","On Track"))</f>
        <v/>
      </c>
      <c r="S879" s="65">
        <f>IF($L879="","",TEXT($L879,"yyyy-mm"))</f>
        <v/>
      </c>
      <c r="T879" s="86">
        <f>IF($I879="","",IFERROR(INDEX(Action_Status_Map!$C$5:$C$11,MATCH($I879,Action_Status_Map!$A$5:$A$11,0)),""))</f>
        <v/>
      </c>
      <c r="U879" s="81" t="n"/>
      <c r="V879" s="82" t="n"/>
      <c r="W879" s="65">
        <f>IF(OR($I879&lt;&gt;"Completed",$M879="",$L879=""),"",IF($M879&lt;=$L879,"Yes","No"))</f>
        <v/>
      </c>
      <c r="X879" s="84">
        <f>IF($A879="","",COUNTIF(Task_Steps!$B$5:$B$2004,$A879))</f>
        <v/>
      </c>
      <c r="Y879" s="86">
        <f>IF($X879=0,"",COUNTIFS(Task_Steps!$B$5:$B$2004,$A879,Task_Steps!$H$5:$H$2004,"Completed")/$X879)</f>
        <v/>
      </c>
      <c r="Z879" s="81" t="n"/>
      <c r="AA879" s="81" t="n"/>
      <c r="AB879" s="67">
        <f>IF($F879="","",IFERROR(INDEX(Employee_Master!$E$5:$E$204,MATCH($F879,Employee_Master!$B$5:$B$204,0)),""))</f>
        <v/>
      </c>
      <c r="AC879" s="65">
        <f>IF(OR($A879="",$AB879=""),"",IF(OR($I879="Completed",$I879="Cancelled"),"Closed - in Manager Report","Active - in Manager Report"))</f>
        <v/>
      </c>
      <c r="AD879" s="81">
        <f>IF($A879="","",IFERROR(TEXTJOIN(", ",TRUE,FILTER(Task_Steps!$A$5:$A$2004,Task_Steps!$B$5:$B$2004=$A879)),""))</f>
        <v/>
      </c>
      <c r="AE879" s="84">
        <f>IF($A879="","",COUNTIFS(Task_Steps!$B$5:$B$2004,$A879,Task_Steps!$H$5:$H$2004,"&lt;&gt;Completed",Task_Steps!$H$5:$H$2004,"&lt;&gt;Cancelled"))</f>
        <v/>
      </c>
      <c r="AF879" s="81">
        <f>IF(OR($B879="",$A879=""),"",$B879&amp;" | "&amp;$A879)</f>
        <v/>
      </c>
    </row>
    <row r="880" ht="15" customHeight="1" s="40">
      <c r="A880" s="65">
        <f>IF(COUNTA(B880:F880)=0,"","TSK-"&amp;TEXT(ROW()-4,"0000"))</f>
        <v/>
      </c>
      <c r="B880" s="78" t="n"/>
      <c r="C880" s="78" t="n"/>
      <c r="D880" s="81" t="n"/>
      <c r="E880" s="81" t="n"/>
      <c r="F880" s="78" t="n"/>
      <c r="G880" s="67">
        <f>IF($F880="","",IFERROR(INDEX(Employee_Master!$C$5:$C$204,MATCH($F880,Employee_Master!$B$5:$B$204,0)),""))</f>
        <v/>
      </c>
      <c r="H880" s="78" t="n"/>
      <c r="I880" s="78" t="n"/>
      <c r="J880" s="67">
        <f>IF($I880="","",IFERROR(INDEX(Action_Status_Map!$B$5:$B$11,MATCH($I880,Action_Status_Map!$A$5:$A$11,0)),""))</f>
        <v/>
      </c>
      <c r="K880" s="82" t="n"/>
      <c r="L880" s="82" t="n"/>
      <c r="M880" s="82" t="n"/>
      <c r="N880" s="83" t="n"/>
      <c r="O880" s="83" t="n"/>
      <c r="P880" s="66">
        <f>IF(OR($N880="",$O880=""),"",$O880-$N880)</f>
        <v/>
      </c>
      <c r="Q880" s="84">
        <f>IF($K880="","",IF($M880&lt;&gt;"",$M880-$K880,TODAY()-$K880))</f>
        <v/>
      </c>
      <c r="R880" s="85">
        <f>IF(OR($L880="",$I880="Completed",$I880="Cancelled"),"",IF(AND($L880&lt;TODAY(),$I880&lt;&gt;"Completed",$I880&lt;&gt;"Cancelled"),"Overdue","On Track"))</f>
        <v/>
      </c>
      <c r="S880" s="65">
        <f>IF($L880="","",TEXT($L880,"yyyy-mm"))</f>
        <v/>
      </c>
      <c r="T880" s="86">
        <f>IF($I880="","",IFERROR(INDEX(Action_Status_Map!$C$5:$C$11,MATCH($I880,Action_Status_Map!$A$5:$A$11,0)),""))</f>
        <v/>
      </c>
      <c r="U880" s="81" t="n"/>
      <c r="V880" s="82" t="n"/>
      <c r="W880" s="65">
        <f>IF(OR($I880&lt;&gt;"Completed",$M880="",$L880=""),"",IF($M880&lt;=$L880,"Yes","No"))</f>
        <v/>
      </c>
      <c r="X880" s="84">
        <f>IF($A880="","",COUNTIF(Task_Steps!$B$5:$B$2004,$A880))</f>
        <v/>
      </c>
      <c r="Y880" s="86">
        <f>IF($X880=0,"",COUNTIFS(Task_Steps!$B$5:$B$2004,$A880,Task_Steps!$H$5:$H$2004,"Completed")/$X880)</f>
        <v/>
      </c>
      <c r="Z880" s="81" t="n"/>
      <c r="AA880" s="81" t="n"/>
      <c r="AB880" s="67">
        <f>IF($F880="","",IFERROR(INDEX(Employee_Master!$E$5:$E$204,MATCH($F880,Employee_Master!$B$5:$B$204,0)),""))</f>
        <v/>
      </c>
      <c r="AC880" s="65">
        <f>IF(OR($A880="",$AB880=""),"",IF(OR($I880="Completed",$I880="Cancelled"),"Closed - in Manager Report","Active - in Manager Report"))</f>
        <v/>
      </c>
      <c r="AD880" s="81">
        <f>IF($A880="","",IFERROR(TEXTJOIN(", ",TRUE,FILTER(Task_Steps!$A$5:$A$2004,Task_Steps!$B$5:$B$2004=$A880)),""))</f>
        <v/>
      </c>
      <c r="AE880" s="84">
        <f>IF($A880="","",COUNTIFS(Task_Steps!$B$5:$B$2004,$A880,Task_Steps!$H$5:$H$2004,"&lt;&gt;Completed",Task_Steps!$H$5:$H$2004,"&lt;&gt;Cancelled"))</f>
        <v/>
      </c>
      <c r="AF880" s="81">
        <f>IF(OR($B880="",$A880=""),"",$B880&amp;" | "&amp;$A880)</f>
        <v/>
      </c>
    </row>
    <row r="881" ht="15" customHeight="1" s="40">
      <c r="A881" s="65">
        <f>IF(COUNTA(B881:F881)=0,"","TSK-"&amp;TEXT(ROW()-4,"0000"))</f>
        <v/>
      </c>
      <c r="B881" s="78" t="n"/>
      <c r="C881" s="78" t="n"/>
      <c r="D881" s="81" t="n"/>
      <c r="E881" s="81" t="n"/>
      <c r="F881" s="78" t="n"/>
      <c r="G881" s="67">
        <f>IF($F881="","",IFERROR(INDEX(Employee_Master!$C$5:$C$204,MATCH($F881,Employee_Master!$B$5:$B$204,0)),""))</f>
        <v/>
      </c>
      <c r="H881" s="78" t="n"/>
      <c r="I881" s="78" t="n"/>
      <c r="J881" s="67">
        <f>IF($I881="","",IFERROR(INDEX(Action_Status_Map!$B$5:$B$11,MATCH($I881,Action_Status_Map!$A$5:$A$11,0)),""))</f>
        <v/>
      </c>
      <c r="K881" s="82" t="n"/>
      <c r="L881" s="82" t="n"/>
      <c r="M881" s="82" t="n"/>
      <c r="N881" s="83" t="n"/>
      <c r="O881" s="83" t="n"/>
      <c r="P881" s="66">
        <f>IF(OR($N881="",$O881=""),"",$O881-$N881)</f>
        <v/>
      </c>
      <c r="Q881" s="84">
        <f>IF($K881="","",IF($M881&lt;&gt;"",$M881-$K881,TODAY()-$K881))</f>
        <v/>
      </c>
      <c r="R881" s="85">
        <f>IF(OR($L881="",$I881="Completed",$I881="Cancelled"),"",IF(AND($L881&lt;TODAY(),$I881&lt;&gt;"Completed",$I881&lt;&gt;"Cancelled"),"Overdue","On Track"))</f>
        <v/>
      </c>
      <c r="S881" s="65">
        <f>IF($L881="","",TEXT($L881,"yyyy-mm"))</f>
        <v/>
      </c>
      <c r="T881" s="86">
        <f>IF($I881="","",IFERROR(INDEX(Action_Status_Map!$C$5:$C$11,MATCH($I881,Action_Status_Map!$A$5:$A$11,0)),""))</f>
        <v/>
      </c>
      <c r="U881" s="81" t="n"/>
      <c r="V881" s="82" t="n"/>
      <c r="W881" s="65">
        <f>IF(OR($I881&lt;&gt;"Completed",$M881="",$L881=""),"",IF($M881&lt;=$L881,"Yes","No"))</f>
        <v/>
      </c>
      <c r="X881" s="84">
        <f>IF($A881="","",COUNTIF(Task_Steps!$B$5:$B$2004,$A881))</f>
        <v/>
      </c>
      <c r="Y881" s="86">
        <f>IF($X881=0,"",COUNTIFS(Task_Steps!$B$5:$B$2004,$A881,Task_Steps!$H$5:$H$2004,"Completed")/$X881)</f>
        <v/>
      </c>
      <c r="Z881" s="81" t="n"/>
      <c r="AA881" s="81" t="n"/>
      <c r="AB881" s="67">
        <f>IF($F881="","",IFERROR(INDEX(Employee_Master!$E$5:$E$204,MATCH($F881,Employee_Master!$B$5:$B$204,0)),""))</f>
        <v/>
      </c>
      <c r="AC881" s="65">
        <f>IF(OR($A881="",$AB881=""),"",IF(OR($I881="Completed",$I881="Cancelled"),"Closed - in Manager Report","Active - in Manager Report"))</f>
        <v/>
      </c>
      <c r="AD881" s="81">
        <f>IF($A881="","",IFERROR(TEXTJOIN(", ",TRUE,FILTER(Task_Steps!$A$5:$A$2004,Task_Steps!$B$5:$B$2004=$A881)),""))</f>
        <v/>
      </c>
      <c r="AE881" s="84">
        <f>IF($A881="","",COUNTIFS(Task_Steps!$B$5:$B$2004,$A881,Task_Steps!$H$5:$H$2004,"&lt;&gt;Completed",Task_Steps!$H$5:$H$2004,"&lt;&gt;Cancelled"))</f>
        <v/>
      </c>
      <c r="AF881" s="81">
        <f>IF(OR($B881="",$A881=""),"",$B881&amp;" | "&amp;$A881)</f>
        <v/>
      </c>
    </row>
    <row r="882" ht="15" customHeight="1" s="40">
      <c r="A882" s="65">
        <f>IF(COUNTA(B882:F882)=0,"","TSK-"&amp;TEXT(ROW()-4,"0000"))</f>
        <v/>
      </c>
      <c r="B882" s="78" t="n"/>
      <c r="C882" s="78" t="n"/>
      <c r="D882" s="81" t="n"/>
      <c r="E882" s="81" t="n"/>
      <c r="F882" s="78" t="n"/>
      <c r="G882" s="67">
        <f>IF($F882="","",IFERROR(INDEX(Employee_Master!$C$5:$C$204,MATCH($F882,Employee_Master!$B$5:$B$204,0)),""))</f>
        <v/>
      </c>
      <c r="H882" s="78" t="n"/>
      <c r="I882" s="78" t="n"/>
      <c r="J882" s="67">
        <f>IF($I882="","",IFERROR(INDEX(Action_Status_Map!$B$5:$B$11,MATCH($I882,Action_Status_Map!$A$5:$A$11,0)),""))</f>
        <v/>
      </c>
      <c r="K882" s="82" t="n"/>
      <c r="L882" s="82" t="n"/>
      <c r="M882" s="82" t="n"/>
      <c r="N882" s="83" t="n"/>
      <c r="O882" s="83" t="n"/>
      <c r="P882" s="66">
        <f>IF(OR($N882="",$O882=""),"",$O882-$N882)</f>
        <v/>
      </c>
      <c r="Q882" s="84">
        <f>IF($K882="","",IF($M882&lt;&gt;"",$M882-$K882,TODAY()-$K882))</f>
        <v/>
      </c>
      <c r="R882" s="85">
        <f>IF(OR($L882="",$I882="Completed",$I882="Cancelled"),"",IF(AND($L882&lt;TODAY(),$I882&lt;&gt;"Completed",$I882&lt;&gt;"Cancelled"),"Overdue","On Track"))</f>
        <v/>
      </c>
      <c r="S882" s="65">
        <f>IF($L882="","",TEXT($L882,"yyyy-mm"))</f>
        <v/>
      </c>
      <c r="T882" s="86">
        <f>IF($I882="","",IFERROR(INDEX(Action_Status_Map!$C$5:$C$11,MATCH($I882,Action_Status_Map!$A$5:$A$11,0)),""))</f>
        <v/>
      </c>
      <c r="U882" s="81" t="n"/>
      <c r="V882" s="82" t="n"/>
      <c r="W882" s="65">
        <f>IF(OR($I882&lt;&gt;"Completed",$M882="",$L882=""),"",IF($M882&lt;=$L882,"Yes","No"))</f>
        <v/>
      </c>
      <c r="X882" s="84">
        <f>IF($A882="","",COUNTIF(Task_Steps!$B$5:$B$2004,$A882))</f>
        <v/>
      </c>
      <c r="Y882" s="86">
        <f>IF($X882=0,"",COUNTIFS(Task_Steps!$B$5:$B$2004,$A882,Task_Steps!$H$5:$H$2004,"Completed")/$X882)</f>
        <v/>
      </c>
      <c r="Z882" s="81" t="n"/>
      <c r="AA882" s="81" t="n"/>
      <c r="AB882" s="67">
        <f>IF($F882="","",IFERROR(INDEX(Employee_Master!$E$5:$E$204,MATCH($F882,Employee_Master!$B$5:$B$204,0)),""))</f>
        <v/>
      </c>
      <c r="AC882" s="65">
        <f>IF(OR($A882="",$AB882=""),"",IF(OR($I882="Completed",$I882="Cancelled"),"Closed - in Manager Report","Active - in Manager Report"))</f>
        <v/>
      </c>
      <c r="AD882" s="81">
        <f>IF($A882="","",IFERROR(TEXTJOIN(", ",TRUE,FILTER(Task_Steps!$A$5:$A$2004,Task_Steps!$B$5:$B$2004=$A882)),""))</f>
        <v/>
      </c>
      <c r="AE882" s="84">
        <f>IF($A882="","",COUNTIFS(Task_Steps!$B$5:$B$2004,$A882,Task_Steps!$H$5:$H$2004,"&lt;&gt;Completed",Task_Steps!$H$5:$H$2004,"&lt;&gt;Cancelled"))</f>
        <v/>
      </c>
      <c r="AF882" s="81">
        <f>IF(OR($B882="",$A882=""),"",$B882&amp;" | "&amp;$A882)</f>
        <v/>
      </c>
    </row>
    <row r="883" ht="15" customHeight="1" s="40">
      <c r="A883" s="65">
        <f>IF(COUNTA(B883:F883)=0,"","TSK-"&amp;TEXT(ROW()-4,"0000"))</f>
        <v/>
      </c>
      <c r="B883" s="78" t="n"/>
      <c r="C883" s="78" t="n"/>
      <c r="D883" s="81" t="n"/>
      <c r="E883" s="81" t="n"/>
      <c r="F883" s="78" t="n"/>
      <c r="G883" s="67">
        <f>IF($F883="","",IFERROR(INDEX(Employee_Master!$C$5:$C$204,MATCH($F883,Employee_Master!$B$5:$B$204,0)),""))</f>
        <v/>
      </c>
      <c r="H883" s="78" t="n"/>
      <c r="I883" s="78" t="n"/>
      <c r="J883" s="67">
        <f>IF($I883="","",IFERROR(INDEX(Action_Status_Map!$B$5:$B$11,MATCH($I883,Action_Status_Map!$A$5:$A$11,0)),""))</f>
        <v/>
      </c>
      <c r="K883" s="82" t="n"/>
      <c r="L883" s="82" t="n"/>
      <c r="M883" s="82" t="n"/>
      <c r="N883" s="83" t="n"/>
      <c r="O883" s="83" t="n"/>
      <c r="P883" s="66">
        <f>IF(OR($N883="",$O883=""),"",$O883-$N883)</f>
        <v/>
      </c>
      <c r="Q883" s="84">
        <f>IF($K883="","",IF($M883&lt;&gt;"",$M883-$K883,TODAY()-$K883))</f>
        <v/>
      </c>
      <c r="R883" s="85">
        <f>IF(OR($L883="",$I883="Completed",$I883="Cancelled"),"",IF(AND($L883&lt;TODAY(),$I883&lt;&gt;"Completed",$I883&lt;&gt;"Cancelled"),"Overdue","On Track"))</f>
        <v/>
      </c>
      <c r="S883" s="65">
        <f>IF($L883="","",TEXT($L883,"yyyy-mm"))</f>
        <v/>
      </c>
      <c r="T883" s="86">
        <f>IF($I883="","",IFERROR(INDEX(Action_Status_Map!$C$5:$C$11,MATCH($I883,Action_Status_Map!$A$5:$A$11,0)),""))</f>
        <v/>
      </c>
      <c r="U883" s="81" t="n"/>
      <c r="V883" s="82" t="n"/>
      <c r="W883" s="65">
        <f>IF(OR($I883&lt;&gt;"Completed",$M883="",$L883=""),"",IF($M883&lt;=$L883,"Yes","No"))</f>
        <v/>
      </c>
      <c r="X883" s="84">
        <f>IF($A883="","",COUNTIF(Task_Steps!$B$5:$B$2004,$A883))</f>
        <v/>
      </c>
      <c r="Y883" s="86">
        <f>IF($X883=0,"",COUNTIFS(Task_Steps!$B$5:$B$2004,$A883,Task_Steps!$H$5:$H$2004,"Completed")/$X883)</f>
        <v/>
      </c>
      <c r="Z883" s="81" t="n"/>
      <c r="AA883" s="81" t="n"/>
      <c r="AB883" s="67">
        <f>IF($F883="","",IFERROR(INDEX(Employee_Master!$E$5:$E$204,MATCH($F883,Employee_Master!$B$5:$B$204,0)),""))</f>
        <v/>
      </c>
      <c r="AC883" s="65">
        <f>IF(OR($A883="",$AB883=""),"",IF(OR($I883="Completed",$I883="Cancelled"),"Closed - in Manager Report","Active - in Manager Report"))</f>
        <v/>
      </c>
      <c r="AD883" s="81">
        <f>IF($A883="","",IFERROR(TEXTJOIN(", ",TRUE,FILTER(Task_Steps!$A$5:$A$2004,Task_Steps!$B$5:$B$2004=$A883)),""))</f>
        <v/>
      </c>
      <c r="AE883" s="84">
        <f>IF($A883="","",COUNTIFS(Task_Steps!$B$5:$B$2004,$A883,Task_Steps!$H$5:$H$2004,"&lt;&gt;Completed",Task_Steps!$H$5:$H$2004,"&lt;&gt;Cancelled"))</f>
        <v/>
      </c>
      <c r="AF883" s="81">
        <f>IF(OR($B883="",$A883=""),"",$B883&amp;" | "&amp;$A883)</f>
        <v/>
      </c>
    </row>
    <row r="884" ht="15" customHeight="1" s="40">
      <c r="A884" s="65">
        <f>IF(COUNTA(B884:F884)=0,"","TSK-"&amp;TEXT(ROW()-4,"0000"))</f>
        <v/>
      </c>
      <c r="B884" s="78" t="n"/>
      <c r="C884" s="78" t="n"/>
      <c r="D884" s="81" t="n"/>
      <c r="E884" s="81" t="n"/>
      <c r="F884" s="78" t="n"/>
      <c r="G884" s="67">
        <f>IF($F884="","",IFERROR(INDEX(Employee_Master!$C$5:$C$204,MATCH($F884,Employee_Master!$B$5:$B$204,0)),""))</f>
        <v/>
      </c>
      <c r="H884" s="78" t="n"/>
      <c r="I884" s="78" t="n"/>
      <c r="J884" s="67">
        <f>IF($I884="","",IFERROR(INDEX(Action_Status_Map!$B$5:$B$11,MATCH($I884,Action_Status_Map!$A$5:$A$11,0)),""))</f>
        <v/>
      </c>
      <c r="K884" s="82" t="n"/>
      <c r="L884" s="82" t="n"/>
      <c r="M884" s="82" t="n"/>
      <c r="N884" s="83" t="n"/>
      <c r="O884" s="83" t="n"/>
      <c r="P884" s="66">
        <f>IF(OR($N884="",$O884=""),"",$O884-$N884)</f>
        <v/>
      </c>
      <c r="Q884" s="84">
        <f>IF($K884="","",IF($M884&lt;&gt;"",$M884-$K884,TODAY()-$K884))</f>
        <v/>
      </c>
      <c r="R884" s="85">
        <f>IF(OR($L884="",$I884="Completed",$I884="Cancelled"),"",IF(AND($L884&lt;TODAY(),$I884&lt;&gt;"Completed",$I884&lt;&gt;"Cancelled"),"Overdue","On Track"))</f>
        <v/>
      </c>
      <c r="S884" s="65">
        <f>IF($L884="","",TEXT($L884,"yyyy-mm"))</f>
        <v/>
      </c>
      <c r="T884" s="86">
        <f>IF($I884="","",IFERROR(INDEX(Action_Status_Map!$C$5:$C$11,MATCH($I884,Action_Status_Map!$A$5:$A$11,0)),""))</f>
        <v/>
      </c>
      <c r="U884" s="81" t="n"/>
      <c r="V884" s="82" t="n"/>
      <c r="W884" s="65">
        <f>IF(OR($I884&lt;&gt;"Completed",$M884="",$L884=""),"",IF($M884&lt;=$L884,"Yes","No"))</f>
        <v/>
      </c>
      <c r="X884" s="84">
        <f>IF($A884="","",COUNTIF(Task_Steps!$B$5:$B$2004,$A884))</f>
        <v/>
      </c>
      <c r="Y884" s="86">
        <f>IF($X884=0,"",COUNTIFS(Task_Steps!$B$5:$B$2004,$A884,Task_Steps!$H$5:$H$2004,"Completed")/$X884)</f>
        <v/>
      </c>
      <c r="Z884" s="81" t="n"/>
      <c r="AA884" s="81" t="n"/>
      <c r="AB884" s="67">
        <f>IF($F884="","",IFERROR(INDEX(Employee_Master!$E$5:$E$204,MATCH($F884,Employee_Master!$B$5:$B$204,0)),""))</f>
        <v/>
      </c>
      <c r="AC884" s="65">
        <f>IF(OR($A884="",$AB884=""),"",IF(OR($I884="Completed",$I884="Cancelled"),"Closed - in Manager Report","Active - in Manager Report"))</f>
        <v/>
      </c>
      <c r="AD884" s="81">
        <f>IF($A884="","",IFERROR(TEXTJOIN(", ",TRUE,FILTER(Task_Steps!$A$5:$A$2004,Task_Steps!$B$5:$B$2004=$A884)),""))</f>
        <v/>
      </c>
      <c r="AE884" s="84">
        <f>IF($A884="","",COUNTIFS(Task_Steps!$B$5:$B$2004,$A884,Task_Steps!$H$5:$H$2004,"&lt;&gt;Completed",Task_Steps!$H$5:$H$2004,"&lt;&gt;Cancelled"))</f>
        <v/>
      </c>
      <c r="AF884" s="81">
        <f>IF(OR($B884="",$A884=""),"",$B884&amp;" | "&amp;$A884)</f>
        <v/>
      </c>
    </row>
    <row r="885" ht="15" customHeight="1" s="40">
      <c r="A885" s="65">
        <f>IF(COUNTA(B885:F885)=0,"","TSK-"&amp;TEXT(ROW()-4,"0000"))</f>
        <v/>
      </c>
      <c r="B885" s="78" t="n"/>
      <c r="C885" s="78" t="n"/>
      <c r="D885" s="81" t="n"/>
      <c r="E885" s="81" t="n"/>
      <c r="F885" s="78" t="n"/>
      <c r="G885" s="67">
        <f>IF($F885="","",IFERROR(INDEX(Employee_Master!$C$5:$C$204,MATCH($F885,Employee_Master!$B$5:$B$204,0)),""))</f>
        <v/>
      </c>
      <c r="H885" s="78" t="n"/>
      <c r="I885" s="78" t="n"/>
      <c r="J885" s="67">
        <f>IF($I885="","",IFERROR(INDEX(Action_Status_Map!$B$5:$B$11,MATCH($I885,Action_Status_Map!$A$5:$A$11,0)),""))</f>
        <v/>
      </c>
      <c r="K885" s="82" t="n"/>
      <c r="L885" s="82" t="n"/>
      <c r="M885" s="82" t="n"/>
      <c r="N885" s="83" t="n"/>
      <c r="O885" s="83" t="n"/>
      <c r="P885" s="66">
        <f>IF(OR($N885="",$O885=""),"",$O885-$N885)</f>
        <v/>
      </c>
      <c r="Q885" s="84">
        <f>IF($K885="","",IF($M885&lt;&gt;"",$M885-$K885,TODAY()-$K885))</f>
        <v/>
      </c>
      <c r="R885" s="85">
        <f>IF(OR($L885="",$I885="Completed",$I885="Cancelled"),"",IF(AND($L885&lt;TODAY(),$I885&lt;&gt;"Completed",$I885&lt;&gt;"Cancelled"),"Overdue","On Track"))</f>
        <v/>
      </c>
      <c r="S885" s="65">
        <f>IF($L885="","",TEXT($L885,"yyyy-mm"))</f>
        <v/>
      </c>
      <c r="T885" s="86">
        <f>IF($I885="","",IFERROR(INDEX(Action_Status_Map!$C$5:$C$11,MATCH($I885,Action_Status_Map!$A$5:$A$11,0)),""))</f>
        <v/>
      </c>
      <c r="U885" s="81" t="n"/>
      <c r="V885" s="82" t="n"/>
      <c r="W885" s="65">
        <f>IF(OR($I885&lt;&gt;"Completed",$M885="",$L885=""),"",IF($M885&lt;=$L885,"Yes","No"))</f>
        <v/>
      </c>
      <c r="X885" s="84">
        <f>IF($A885="","",COUNTIF(Task_Steps!$B$5:$B$2004,$A885))</f>
        <v/>
      </c>
      <c r="Y885" s="86">
        <f>IF($X885=0,"",COUNTIFS(Task_Steps!$B$5:$B$2004,$A885,Task_Steps!$H$5:$H$2004,"Completed")/$X885)</f>
        <v/>
      </c>
      <c r="Z885" s="81" t="n"/>
      <c r="AA885" s="81" t="n"/>
      <c r="AB885" s="67">
        <f>IF($F885="","",IFERROR(INDEX(Employee_Master!$E$5:$E$204,MATCH($F885,Employee_Master!$B$5:$B$204,0)),""))</f>
        <v/>
      </c>
      <c r="AC885" s="65">
        <f>IF(OR($A885="",$AB885=""),"",IF(OR($I885="Completed",$I885="Cancelled"),"Closed - in Manager Report","Active - in Manager Report"))</f>
        <v/>
      </c>
      <c r="AD885" s="81">
        <f>IF($A885="","",IFERROR(TEXTJOIN(", ",TRUE,FILTER(Task_Steps!$A$5:$A$2004,Task_Steps!$B$5:$B$2004=$A885)),""))</f>
        <v/>
      </c>
      <c r="AE885" s="84">
        <f>IF($A885="","",COUNTIFS(Task_Steps!$B$5:$B$2004,$A885,Task_Steps!$H$5:$H$2004,"&lt;&gt;Completed",Task_Steps!$H$5:$H$2004,"&lt;&gt;Cancelled"))</f>
        <v/>
      </c>
      <c r="AF885" s="81">
        <f>IF(OR($B885="",$A885=""),"",$B885&amp;" | "&amp;$A885)</f>
        <v/>
      </c>
    </row>
    <row r="886" ht="15" customHeight="1" s="40">
      <c r="A886" s="65">
        <f>IF(COUNTA(B886:F886)=0,"","TSK-"&amp;TEXT(ROW()-4,"0000"))</f>
        <v/>
      </c>
      <c r="B886" s="78" t="n"/>
      <c r="C886" s="78" t="n"/>
      <c r="D886" s="81" t="n"/>
      <c r="E886" s="81" t="n"/>
      <c r="F886" s="78" t="n"/>
      <c r="G886" s="67">
        <f>IF($F886="","",IFERROR(INDEX(Employee_Master!$C$5:$C$204,MATCH($F886,Employee_Master!$B$5:$B$204,0)),""))</f>
        <v/>
      </c>
      <c r="H886" s="78" t="n"/>
      <c r="I886" s="78" t="n"/>
      <c r="J886" s="67">
        <f>IF($I886="","",IFERROR(INDEX(Action_Status_Map!$B$5:$B$11,MATCH($I886,Action_Status_Map!$A$5:$A$11,0)),""))</f>
        <v/>
      </c>
      <c r="K886" s="82" t="n"/>
      <c r="L886" s="82" t="n"/>
      <c r="M886" s="82" t="n"/>
      <c r="N886" s="83" t="n"/>
      <c r="O886" s="83" t="n"/>
      <c r="P886" s="66">
        <f>IF(OR($N886="",$O886=""),"",$O886-$N886)</f>
        <v/>
      </c>
      <c r="Q886" s="84">
        <f>IF($K886="","",IF($M886&lt;&gt;"",$M886-$K886,TODAY()-$K886))</f>
        <v/>
      </c>
      <c r="R886" s="85">
        <f>IF(OR($L886="",$I886="Completed",$I886="Cancelled"),"",IF(AND($L886&lt;TODAY(),$I886&lt;&gt;"Completed",$I886&lt;&gt;"Cancelled"),"Overdue","On Track"))</f>
        <v/>
      </c>
      <c r="S886" s="65">
        <f>IF($L886="","",TEXT($L886,"yyyy-mm"))</f>
        <v/>
      </c>
      <c r="T886" s="86">
        <f>IF($I886="","",IFERROR(INDEX(Action_Status_Map!$C$5:$C$11,MATCH($I886,Action_Status_Map!$A$5:$A$11,0)),""))</f>
        <v/>
      </c>
      <c r="U886" s="81" t="n"/>
      <c r="V886" s="82" t="n"/>
      <c r="W886" s="65">
        <f>IF(OR($I886&lt;&gt;"Completed",$M886="",$L886=""),"",IF($M886&lt;=$L886,"Yes","No"))</f>
        <v/>
      </c>
      <c r="X886" s="84">
        <f>IF($A886="","",COUNTIF(Task_Steps!$B$5:$B$2004,$A886))</f>
        <v/>
      </c>
      <c r="Y886" s="86">
        <f>IF($X886=0,"",COUNTIFS(Task_Steps!$B$5:$B$2004,$A886,Task_Steps!$H$5:$H$2004,"Completed")/$X886)</f>
        <v/>
      </c>
      <c r="Z886" s="81" t="n"/>
      <c r="AA886" s="81" t="n"/>
      <c r="AB886" s="67">
        <f>IF($F886="","",IFERROR(INDEX(Employee_Master!$E$5:$E$204,MATCH($F886,Employee_Master!$B$5:$B$204,0)),""))</f>
        <v/>
      </c>
      <c r="AC886" s="65">
        <f>IF(OR($A886="",$AB886=""),"",IF(OR($I886="Completed",$I886="Cancelled"),"Closed - in Manager Report","Active - in Manager Report"))</f>
        <v/>
      </c>
      <c r="AD886" s="81">
        <f>IF($A886="","",IFERROR(TEXTJOIN(", ",TRUE,FILTER(Task_Steps!$A$5:$A$2004,Task_Steps!$B$5:$B$2004=$A886)),""))</f>
        <v/>
      </c>
      <c r="AE886" s="84">
        <f>IF($A886="","",COUNTIFS(Task_Steps!$B$5:$B$2004,$A886,Task_Steps!$H$5:$H$2004,"&lt;&gt;Completed",Task_Steps!$H$5:$H$2004,"&lt;&gt;Cancelled"))</f>
        <v/>
      </c>
      <c r="AF886" s="81">
        <f>IF(OR($B886="",$A886=""),"",$B886&amp;" | "&amp;$A886)</f>
        <v/>
      </c>
    </row>
    <row r="887" ht="15" customHeight="1" s="40">
      <c r="A887" s="65">
        <f>IF(COUNTA(B887:F887)=0,"","TSK-"&amp;TEXT(ROW()-4,"0000"))</f>
        <v/>
      </c>
      <c r="B887" s="78" t="n"/>
      <c r="C887" s="78" t="n"/>
      <c r="D887" s="81" t="n"/>
      <c r="E887" s="81" t="n"/>
      <c r="F887" s="78" t="n"/>
      <c r="G887" s="67">
        <f>IF($F887="","",IFERROR(INDEX(Employee_Master!$C$5:$C$204,MATCH($F887,Employee_Master!$B$5:$B$204,0)),""))</f>
        <v/>
      </c>
      <c r="H887" s="78" t="n"/>
      <c r="I887" s="78" t="n"/>
      <c r="J887" s="67">
        <f>IF($I887="","",IFERROR(INDEX(Action_Status_Map!$B$5:$B$11,MATCH($I887,Action_Status_Map!$A$5:$A$11,0)),""))</f>
        <v/>
      </c>
      <c r="K887" s="82" t="n"/>
      <c r="L887" s="82" t="n"/>
      <c r="M887" s="82" t="n"/>
      <c r="N887" s="83" t="n"/>
      <c r="O887" s="83" t="n"/>
      <c r="P887" s="66">
        <f>IF(OR($N887="",$O887=""),"",$O887-$N887)</f>
        <v/>
      </c>
      <c r="Q887" s="84">
        <f>IF($K887="","",IF($M887&lt;&gt;"",$M887-$K887,TODAY()-$K887))</f>
        <v/>
      </c>
      <c r="R887" s="85">
        <f>IF(OR($L887="",$I887="Completed",$I887="Cancelled"),"",IF(AND($L887&lt;TODAY(),$I887&lt;&gt;"Completed",$I887&lt;&gt;"Cancelled"),"Overdue","On Track"))</f>
        <v/>
      </c>
      <c r="S887" s="65">
        <f>IF($L887="","",TEXT($L887,"yyyy-mm"))</f>
        <v/>
      </c>
      <c r="T887" s="86">
        <f>IF($I887="","",IFERROR(INDEX(Action_Status_Map!$C$5:$C$11,MATCH($I887,Action_Status_Map!$A$5:$A$11,0)),""))</f>
        <v/>
      </c>
      <c r="U887" s="81" t="n"/>
      <c r="V887" s="82" t="n"/>
      <c r="W887" s="65">
        <f>IF(OR($I887&lt;&gt;"Completed",$M887="",$L887=""),"",IF($M887&lt;=$L887,"Yes","No"))</f>
        <v/>
      </c>
      <c r="X887" s="84">
        <f>IF($A887="","",COUNTIF(Task_Steps!$B$5:$B$2004,$A887))</f>
        <v/>
      </c>
      <c r="Y887" s="86">
        <f>IF($X887=0,"",COUNTIFS(Task_Steps!$B$5:$B$2004,$A887,Task_Steps!$H$5:$H$2004,"Completed")/$X887)</f>
        <v/>
      </c>
      <c r="Z887" s="81" t="n"/>
      <c r="AA887" s="81" t="n"/>
      <c r="AB887" s="67">
        <f>IF($F887="","",IFERROR(INDEX(Employee_Master!$E$5:$E$204,MATCH($F887,Employee_Master!$B$5:$B$204,0)),""))</f>
        <v/>
      </c>
      <c r="AC887" s="65">
        <f>IF(OR($A887="",$AB887=""),"",IF(OR($I887="Completed",$I887="Cancelled"),"Closed - in Manager Report","Active - in Manager Report"))</f>
        <v/>
      </c>
      <c r="AD887" s="81">
        <f>IF($A887="","",IFERROR(TEXTJOIN(", ",TRUE,FILTER(Task_Steps!$A$5:$A$2004,Task_Steps!$B$5:$B$2004=$A887)),""))</f>
        <v/>
      </c>
      <c r="AE887" s="84">
        <f>IF($A887="","",COUNTIFS(Task_Steps!$B$5:$B$2004,$A887,Task_Steps!$H$5:$H$2004,"&lt;&gt;Completed",Task_Steps!$H$5:$H$2004,"&lt;&gt;Cancelled"))</f>
        <v/>
      </c>
      <c r="AF887" s="81">
        <f>IF(OR($B887="",$A887=""),"",$B887&amp;" | "&amp;$A887)</f>
        <v/>
      </c>
    </row>
    <row r="888" ht="15" customHeight="1" s="40">
      <c r="A888" s="65">
        <f>IF(COUNTA(B888:F888)=0,"","TSK-"&amp;TEXT(ROW()-4,"0000"))</f>
        <v/>
      </c>
      <c r="B888" s="78" t="n"/>
      <c r="C888" s="78" t="n"/>
      <c r="D888" s="81" t="n"/>
      <c r="E888" s="81" t="n"/>
      <c r="F888" s="78" t="n"/>
      <c r="G888" s="67">
        <f>IF($F888="","",IFERROR(INDEX(Employee_Master!$C$5:$C$204,MATCH($F888,Employee_Master!$B$5:$B$204,0)),""))</f>
        <v/>
      </c>
      <c r="H888" s="78" t="n"/>
      <c r="I888" s="78" t="n"/>
      <c r="J888" s="67">
        <f>IF($I888="","",IFERROR(INDEX(Action_Status_Map!$B$5:$B$11,MATCH($I888,Action_Status_Map!$A$5:$A$11,0)),""))</f>
        <v/>
      </c>
      <c r="K888" s="82" t="n"/>
      <c r="L888" s="82" t="n"/>
      <c r="M888" s="82" t="n"/>
      <c r="N888" s="83" t="n"/>
      <c r="O888" s="83" t="n"/>
      <c r="P888" s="66">
        <f>IF(OR($N888="",$O888=""),"",$O888-$N888)</f>
        <v/>
      </c>
      <c r="Q888" s="84">
        <f>IF($K888="","",IF($M888&lt;&gt;"",$M888-$K888,TODAY()-$K888))</f>
        <v/>
      </c>
      <c r="R888" s="85">
        <f>IF(OR($L888="",$I888="Completed",$I888="Cancelled"),"",IF(AND($L888&lt;TODAY(),$I888&lt;&gt;"Completed",$I888&lt;&gt;"Cancelled"),"Overdue","On Track"))</f>
        <v/>
      </c>
      <c r="S888" s="65">
        <f>IF($L888="","",TEXT($L888,"yyyy-mm"))</f>
        <v/>
      </c>
      <c r="T888" s="86">
        <f>IF($I888="","",IFERROR(INDEX(Action_Status_Map!$C$5:$C$11,MATCH($I888,Action_Status_Map!$A$5:$A$11,0)),""))</f>
        <v/>
      </c>
      <c r="U888" s="81" t="n"/>
      <c r="V888" s="82" t="n"/>
      <c r="W888" s="65">
        <f>IF(OR($I888&lt;&gt;"Completed",$M888="",$L888=""),"",IF($M888&lt;=$L888,"Yes","No"))</f>
        <v/>
      </c>
      <c r="X888" s="84">
        <f>IF($A888="","",COUNTIF(Task_Steps!$B$5:$B$2004,$A888))</f>
        <v/>
      </c>
      <c r="Y888" s="86">
        <f>IF($X888=0,"",COUNTIFS(Task_Steps!$B$5:$B$2004,$A888,Task_Steps!$H$5:$H$2004,"Completed")/$X888)</f>
        <v/>
      </c>
      <c r="Z888" s="81" t="n"/>
      <c r="AA888" s="81" t="n"/>
      <c r="AB888" s="67">
        <f>IF($F888="","",IFERROR(INDEX(Employee_Master!$E$5:$E$204,MATCH($F888,Employee_Master!$B$5:$B$204,0)),""))</f>
        <v/>
      </c>
      <c r="AC888" s="65">
        <f>IF(OR($A888="",$AB888=""),"",IF(OR($I888="Completed",$I888="Cancelled"),"Closed - in Manager Report","Active - in Manager Report"))</f>
        <v/>
      </c>
      <c r="AD888" s="81">
        <f>IF($A888="","",IFERROR(TEXTJOIN(", ",TRUE,FILTER(Task_Steps!$A$5:$A$2004,Task_Steps!$B$5:$B$2004=$A888)),""))</f>
        <v/>
      </c>
      <c r="AE888" s="84">
        <f>IF($A888="","",COUNTIFS(Task_Steps!$B$5:$B$2004,$A888,Task_Steps!$H$5:$H$2004,"&lt;&gt;Completed",Task_Steps!$H$5:$H$2004,"&lt;&gt;Cancelled"))</f>
        <v/>
      </c>
      <c r="AF888" s="81">
        <f>IF(OR($B888="",$A888=""),"",$B888&amp;" | "&amp;$A888)</f>
        <v/>
      </c>
    </row>
    <row r="889" ht="15" customHeight="1" s="40">
      <c r="A889" s="65">
        <f>IF(COUNTA(B889:F889)=0,"","TSK-"&amp;TEXT(ROW()-4,"0000"))</f>
        <v/>
      </c>
      <c r="B889" s="78" t="n"/>
      <c r="C889" s="78" t="n"/>
      <c r="D889" s="81" t="n"/>
      <c r="E889" s="81" t="n"/>
      <c r="F889" s="78" t="n"/>
      <c r="G889" s="67">
        <f>IF($F889="","",IFERROR(INDEX(Employee_Master!$C$5:$C$204,MATCH($F889,Employee_Master!$B$5:$B$204,0)),""))</f>
        <v/>
      </c>
      <c r="H889" s="78" t="n"/>
      <c r="I889" s="78" t="n"/>
      <c r="J889" s="67">
        <f>IF($I889="","",IFERROR(INDEX(Action_Status_Map!$B$5:$B$11,MATCH($I889,Action_Status_Map!$A$5:$A$11,0)),""))</f>
        <v/>
      </c>
      <c r="K889" s="82" t="n"/>
      <c r="L889" s="82" t="n"/>
      <c r="M889" s="82" t="n"/>
      <c r="N889" s="83" t="n"/>
      <c r="O889" s="83" t="n"/>
      <c r="P889" s="66">
        <f>IF(OR($N889="",$O889=""),"",$O889-$N889)</f>
        <v/>
      </c>
      <c r="Q889" s="84">
        <f>IF($K889="","",IF($M889&lt;&gt;"",$M889-$K889,TODAY()-$K889))</f>
        <v/>
      </c>
      <c r="R889" s="85">
        <f>IF(OR($L889="",$I889="Completed",$I889="Cancelled"),"",IF(AND($L889&lt;TODAY(),$I889&lt;&gt;"Completed",$I889&lt;&gt;"Cancelled"),"Overdue","On Track"))</f>
        <v/>
      </c>
      <c r="S889" s="65">
        <f>IF($L889="","",TEXT($L889,"yyyy-mm"))</f>
        <v/>
      </c>
      <c r="T889" s="86">
        <f>IF($I889="","",IFERROR(INDEX(Action_Status_Map!$C$5:$C$11,MATCH($I889,Action_Status_Map!$A$5:$A$11,0)),""))</f>
        <v/>
      </c>
      <c r="U889" s="81" t="n"/>
      <c r="V889" s="82" t="n"/>
      <c r="W889" s="65">
        <f>IF(OR($I889&lt;&gt;"Completed",$M889="",$L889=""),"",IF($M889&lt;=$L889,"Yes","No"))</f>
        <v/>
      </c>
      <c r="X889" s="84">
        <f>IF($A889="","",COUNTIF(Task_Steps!$B$5:$B$2004,$A889))</f>
        <v/>
      </c>
      <c r="Y889" s="86">
        <f>IF($X889=0,"",COUNTIFS(Task_Steps!$B$5:$B$2004,$A889,Task_Steps!$H$5:$H$2004,"Completed")/$X889)</f>
        <v/>
      </c>
      <c r="Z889" s="81" t="n"/>
      <c r="AA889" s="81" t="n"/>
      <c r="AB889" s="67">
        <f>IF($F889="","",IFERROR(INDEX(Employee_Master!$E$5:$E$204,MATCH($F889,Employee_Master!$B$5:$B$204,0)),""))</f>
        <v/>
      </c>
      <c r="AC889" s="65">
        <f>IF(OR($A889="",$AB889=""),"",IF(OR($I889="Completed",$I889="Cancelled"),"Closed - in Manager Report","Active - in Manager Report"))</f>
        <v/>
      </c>
      <c r="AD889" s="81">
        <f>IF($A889="","",IFERROR(TEXTJOIN(", ",TRUE,FILTER(Task_Steps!$A$5:$A$2004,Task_Steps!$B$5:$B$2004=$A889)),""))</f>
        <v/>
      </c>
      <c r="AE889" s="84">
        <f>IF($A889="","",COUNTIFS(Task_Steps!$B$5:$B$2004,$A889,Task_Steps!$H$5:$H$2004,"&lt;&gt;Completed",Task_Steps!$H$5:$H$2004,"&lt;&gt;Cancelled"))</f>
        <v/>
      </c>
      <c r="AF889" s="81">
        <f>IF(OR($B889="",$A889=""),"",$B889&amp;" | "&amp;$A889)</f>
        <v/>
      </c>
    </row>
    <row r="890" ht="15" customHeight="1" s="40">
      <c r="A890" s="65">
        <f>IF(COUNTA(B890:F890)=0,"","TSK-"&amp;TEXT(ROW()-4,"0000"))</f>
        <v/>
      </c>
      <c r="B890" s="78" t="n"/>
      <c r="C890" s="78" t="n"/>
      <c r="D890" s="81" t="n"/>
      <c r="E890" s="81" t="n"/>
      <c r="F890" s="78" t="n"/>
      <c r="G890" s="67">
        <f>IF($F890="","",IFERROR(INDEX(Employee_Master!$C$5:$C$204,MATCH($F890,Employee_Master!$B$5:$B$204,0)),""))</f>
        <v/>
      </c>
      <c r="H890" s="78" t="n"/>
      <c r="I890" s="78" t="n"/>
      <c r="J890" s="67">
        <f>IF($I890="","",IFERROR(INDEX(Action_Status_Map!$B$5:$B$11,MATCH($I890,Action_Status_Map!$A$5:$A$11,0)),""))</f>
        <v/>
      </c>
      <c r="K890" s="82" t="n"/>
      <c r="L890" s="82" t="n"/>
      <c r="M890" s="82" t="n"/>
      <c r="N890" s="83" t="n"/>
      <c r="O890" s="83" t="n"/>
      <c r="P890" s="66">
        <f>IF(OR($N890="",$O890=""),"",$O890-$N890)</f>
        <v/>
      </c>
      <c r="Q890" s="84">
        <f>IF($K890="","",IF($M890&lt;&gt;"",$M890-$K890,TODAY()-$K890))</f>
        <v/>
      </c>
      <c r="R890" s="85">
        <f>IF(OR($L890="",$I890="Completed",$I890="Cancelled"),"",IF(AND($L890&lt;TODAY(),$I890&lt;&gt;"Completed",$I890&lt;&gt;"Cancelled"),"Overdue","On Track"))</f>
        <v/>
      </c>
      <c r="S890" s="65">
        <f>IF($L890="","",TEXT($L890,"yyyy-mm"))</f>
        <v/>
      </c>
      <c r="T890" s="86">
        <f>IF($I890="","",IFERROR(INDEX(Action_Status_Map!$C$5:$C$11,MATCH($I890,Action_Status_Map!$A$5:$A$11,0)),""))</f>
        <v/>
      </c>
      <c r="U890" s="81" t="n"/>
      <c r="V890" s="82" t="n"/>
      <c r="W890" s="65">
        <f>IF(OR($I890&lt;&gt;"Completed",$M890="",$L890=""),"",IF($M890&lt;=$L890,"Yes","No"))</f>
        <v/>
      </c>
      <c r="X890" s="84">
        <f>IF($A890="","",COUNTIF(Task_Steps!$B$5:$B$2004,$A890))</f>
        <v/>
      </c>
      <c r="Y890" s="86">
        <f>IF($X890=0,"",COUNTIFS(Task_Steps!$B$5:$B$2004,$A890,Task_Steps!$H$5:$H$2004,"Completed")/$X890)</f>
        <v/>
      </c>
      <c r="Z890" s="81" t="n"/>
      <c r="AA890" s="81" t="n"/>
      <c r="AB890" s="67">
        <f>IF($F890="","",IFERROR(INDEX(Employee_Master!$E$5:$E$204,MATCH($F890,Employee_Master!$B$5:$B$204,0)),""))</f>
        <v/>
      </c>
      <c r="AC890" s="65">
        <f>IF(OR($A890="",$AB890=""),"",IF(OR($I890="Completed",$I890="Cancelled"),"Closed - in Manager Report","Active - in Manager Report"))</f>
        <v/>
      </c>
      <c r="AD890" s="81">
        <f>IF($A890="","",IFERROR(TEXTJOIN(", ",TRUE,FILTER(Task_Steps!$A$5:$A$2004,Task_Steps!$B$5:$B$2004=$A890)),""))</f>
        <v/>
      </c>
      <c r="AE890" s="84">
        <f>IF($A890="","",COUNTIFS(Task_Steps!$B$5:$B$2004,$A890,Task_Steps!$H$5:$H$2004,"&lt;&gt;Completed",Task_Steps!$H$5:$H$2004,"&lt;&gt;Cancelled"))</f>
        <v/>
      </c>
      <c r="AF890" s="81">
        <f>IF(OR($B890="",$A890=""),"",$B890&amp;" | "&amp;$A890)</f>
        <v/>
      </c>
    </row>
    <row r="891" ht="15" customHeight="1" s="40">
      <c r="A891" s="65">
        <f>IF(COUNTA(B891:F891)=0,"","TSK-"&amp;TEXT(ROW()-4,"0000"))</f>
        <v/>
      </c>
      <c r="B891" s="78" t="n"/>
      <c r="C891" s="78" t="n"/>
      <c r="D891" s="81" t="n"/>
      <c r="E891" s="81" t="n"/>
      <c r="F891" s="78" t="n"/>
      <c r="G891" s="67">
        <f>IF($F891="","",IFERROR(INDEX(Employee_Master!$C$5:$C$204,MATCH($F891,Employee_Master!$B$5:$B$204,0)),""))</f>
        <v/>
      </c>
      <c r="H891" s="78" t="n"/>
      <c r="I891" s="78" t="n"/>
      <c r="J891" s="67">
        <f>IF($I891="","",IFERROR(INDEX(Action_Status_Map!$B$5:$B$11,MATCH($I891,Action_Status_Map!$A$5:$A$11,0)),""))</f>
        <v/>
      </c>
      <c r="K891" s="82" t="n"/>
      <c r="L891" s="82" t="n"/>
      <c r="M891" s="82" t="n"/>
      <c r="N891" s="83" t="n"/>
      <c r="O891" s="83" t="n"/>
      <c r="P891" s="66">
        <f>IF(OR($N891="",$O891=""),"",$O891-$N891)</f>
        <v/>
      </c>
      <c r="Q891" s="84">
        <f>IF($K891="","",IF($M891&lt;&gt;"",$M891-$K891,TODAY()-$K891))</f>
        <v/>
      </c>
      <c r="R891" s="85">
        <f>IF(OR($L891="",$I891="Completed",$I891="Cancelled"),"",IF(AND($L891&lt;TODAY(),$I891&lt;&gt;"Completed",$I891&lt;&gt;"Cancelled"),"Overdue","On Track"))</f>
        <v/>
      </c>
      <c r="S891" s="65">
        <f>IF($L891="","",TEXT($L891,"yyyy-mm"))</f>
        <v/>
      </c>
      <c r="T891" s="86">
        <f>IF($I891="","",IFERROR(INDEX(Action_Status_Map!$C$5:$C$11,MATCH($I891,Action_Status_Map!$A$5:$A$11,0)),""))</f>
        <v/>
      </c>
      <c r="U891" s="81" t="n"/>
      <c r="V891" s="82" t="n"/>
      <c r="W891" s="65">
        <f>IF(OR($I891&lt;&gt;"Completed",$M891="",$L891=""),"",IF($M891&lt;=$L891,"Yes","No"))</f>
        <v/>
      </c>
      <c r="X891" s="84">
        <f>IF($A891="","",COUNTIF(Task_Steps!$B$5:$B$2004,$A891))</f>
        <v/>
      </c>
      <c r="Y891" s="86">
        <f>IF($X891=0,"",COUNTIFS(Task_Steps!$B$5:$B$2004,$A891,Task_Steps!$H$5:$H$2004,"Completed")/$X891)</f>
        <v/>
      </c>
      <c r="Z891" s="81" t="n"/>
      <c r="AA891" s="81" t="n"/>
      <c r="AB891" s="67">
        <f>IF($F891="","",IFERROR(INDEX(Employee_Master!$E$5:$E$204,MATCH($F891,Employee_Master!$B$5:$B$204,0)),""))</f>
        <v/>
      </c>
      <c r="AC891" s="65">
        <f>IF(OR($A891="",$AB891=""),"",IF(OR($I891="Completed",$I891="Cancelled"),"Closed - in Manager Report","Active - in Manager Report"))</f>
        <v/>
      </c>
      <c r="AD891" s="81">
        <f>IF($A891="","",IFERROR(TEXTJOIN(", ",TRUE,FILTER(Task_Steps!$A$5:$A$2004,Task_Steps!$B$5:$B$2004=$A891)),""))</f>
        <v/>
      </c>
      <c r="AE891" s="84">
        <f>IF($A891="","",COUNTIFS(Task_Steps!$B$5:$B$2004,$A891,Task_Steps!$H$5:$H$2004,"&lt;&gt;Completed",Task_Steps!$H$5:$H$2004,"&lt;&gt;Cancelled"))</f>
        <v/>
      </c>
      <c r="AF891" s="81">
        <f>IF(OR($B891="",$A891=""),"",$B891&amp;" | "&amp;$A891)</f>
        <v/>
      </c>
    </row>
    <row r="892" ht="15" customHeight="1" s="40">
      <c r="A892" s="65">
        <f>IF(COUNTA(B892:F892)=0,"","TSK-"&amp;TEXT(ROW()-4,"0000"))</f>
        <v/>
      </c>
      <c r="B892" s="78" t="n"/>
      <c r="C892" s="78" t="n"/>
      <c r="D892" s="81" t="n"/>
      <c r="E892" s="81" t="n"/>
      <c r="F892" s="78" t="n"/>
      <c r="G892" s="67">
        <f>IF($F892="","",IFERROR(INDEX(Employee_Master!$C$5:$C$204,MATCH($F892,Employee_Master!$B$5:$B$204,0)),""))</f>
        <v/>
      </c>
      <c r="H892" s="78" t="n"/>
      <c r="I892" s="78" t="n"/>
      <c r="J892" s="67">
        <f>IF($I892="","",IFERROR(INDEX(Action_Status_Map!$B$5:$B$11,MATCH($I892,Action_Status_Map!$A$5:$A$11,0)),""))</f>
        <v/>
      </c>
      <c r="K892" s="82" t="n"/>
      <c r="L892" s="82" t="n"/>
      <c r="M892" s="82" t="n"/>
      <c r="N892" s="83" t="n"/>
      <c r="O892" s="83" t="n"/>
      <c r="P892" s="66">
        <f>IF(OR($N892="",$O892=""),"",$O892-$N892)</f>
        <v/>
      </c>
      <c r="Q892" s="84">
        <f>IF($K892="","",IF($M892&lt;&gt;"",$M892-$K892,TODAY()-$K892))</f>
        <v/>
      </c>
      <c r="R892" s="85">
        <f>IF(OR($L892="",$I892="Completed",$I892="Cancelled"),"",IF(AND($L892&lt;TODAY(),$I892&lt;&gt;"Completed",$I892&lt;&gt;"Cancelled"),"Overdue","On Track"))</f>
        <v/>
      </c>
      <c r="S892" s="65">
        <f>IF($L892="","",TEXT($L892,"yyyy-mm"))</f>
        <v/>
      </c>
      <c r="T892" s="86">
        <f>IF($I892="","",IFERROR(INDEX(Action_Status_Map!$C$5:$C$11,MATCH($I892,Action_Status_Map!$A$5:$A$11,0)),""))</f>
        <v/>
      </c>
      <c r="U892" s="81" t="n"/>
      <c r="V892" s="82" t="n"/>
      <c r="W892" s="65">
        <f>IF(OR($I892&lt;&gt;"Completed",$M892="",$L892=""),"",IF($M892&lt;=$L892,"Yes","No"))</f>
        <v/>
      </c>
      <c r="X892" s="84">
        <f>IF($A892="","",COUNTIF(Task_Steps!$B$5:$B$2004,$A892))</f>
        <v/>
      </c>
      <c r="Y892" s="86">
        <f>IF($X892=0,"",COUNTIFS(Task_Steps!$B$5:$B$2004,$A892,Task_Steps!$H$5:$H$2004,"Completed")/$X892)</f>
        <v/>
      </c>
      <c r="Z892" s="81" t="n"/>
      <c r="AA892" s="81" t="n"/>
      <c r="AB892" s="67">
        <f>IF($F892="","",IFERROR(INDEX(Employee_Master!$E$5:$E$204,MATCH($F892,Employee_Master!$B$5:$B$204,0)),""))</f>
        <v/>
      </c>
      <c r="AC892" s="65">
        <f>IF(OR($A892="",$AB892=""),"",IF(OR($I892="Completed",$I892="Cancelled"),"Closed - in Manager Report","Active - in Manager Report"))</f>
        <v/>
      </c>
      <c r="AD892" s="81">
        <f>IF($A892="","",IFERROR(TEXTJOIN(", ",TRUE,FILTER(Task_Steps!$A$5:$A$2004,Task_Steps!$B$5:$B$2004=$A892)),""))</f>
        <v/>
      </c>
      <c r="AE892" s="84">
        <f>IF($A892="","",COUNTIFS(Task_Steps!$B$5:$B$2004,$A892,Task_Steps!$H$5:$H$2004,"&lt;&gt;Completed",Task_Steps!$H$5:$H$2004,"&lt;&gt;Cancelled"))</f>
        <v/>
      </c>
      <c r="AF892" s="81">
        <f>IF(OR($B892="",$A892=""),"",$B892&amp;" | "&amp;$A892)</f>
        <v/>
      </c>
    </row>
    <row r="893" ht="15" customHeight="1" s="40">
      <c r="A893" s="65">
        <f>IF(COUNTA(B893:F893)=0,"","TSK-"&amp;TEXT(ROW()-4,"0000"))</f>
        <v/>
      </c>
      <c r="B893" s="78" t="n"/>
      <c r="C893" s="78" t="n"/>
      <c r="D893" s="81" t="n"/>
      <c r="E893" s="81" t="n"/>
      <c r="F893" s="78" t="n"/>
      <c r="G893" s="67">
        <f>IF($F893="","",IFERROR(INDEX(Employee_Master!$C$5:$C$204,MATCH($F893,Employee_Master!$B$5:$B$204,0)),""))</f>
        <v/>
      </c>
      <c r="H893" s="78" t="n"/>
      <c r="I893" s="78" t="n"/>
      <c r="J893" s="67">
        <f>IF($I893="","",IFERROR(INDEX(Action_Status_Map!$B$5:$B$11,MATCH($I893,Action_Status_Map!$A$5:$A$11,0)),""))</f>
        <v/>
      </c>
      <c r="K893" s="82" t="n"/>
      <c r="L893" s="82" t="n"/>
      <c r="M893" s="82" t="n"/>
      <c r="N893" s="83" t="n"/>
      <c r="O893" s="83" t="n"/>
      <c r="P893" s="66">
        <f>IF(OR($N893="",$O893=""),"",$O893-$N893)</f>
        <v/>
      </c>
      <c r="Q893" s="84">
        <f>IF($K893="","",IF($M893&lt;&gt;"",$M893-$K893,TODAY()-$K893))</f>
        <v/>
      </c>
      <c r="R893" s="85">
        <f>IF(OR($L893="",$I893="Completed",$I893="Cancelled"),"",IF(AND($L893&lt;TODAY(),$I893&lt;&gt;"Completed",$I893&lt;&gt;"Cancelled"),"Overdue","On Track"))</f>
        <v/>
      </c>
      <c r="S893" s="65">
        <f>IF($L893="","",TEXT($L893,"yyyy-mm"))</f>
        <v/>
      </c>
      <c r="T893" s="86">
        <f>IF($I893="","",IFERROR(INDEX(Action_Status_Map!$C$5:$C$11,MATCH($I893,Action_Status_Map!$A$5:$A$11,0)),""))</f>
        <v/>
      </c>
      <c r="U893" s="81" t="n"/>
      <c r="V893" s="82" t="n"/>
      <c r="W893" s="65">
        <f>IF(OR($I893&lt;&gt;"Completed",$M893="",$L893=""),"",IF($M893&lt;=$L893,"Yes","No"))</f>
        <v/>
      </c>
      <c r="X893" s="84">
        <f>IF($A893="","",COUNTIF(Task_Steps!$B$5:$B$2004,$A893))</f>
        <v/>
      </c>
      <c r="Y893" s="86">
        <f>IF($X893=0,"",COUNTIFS(Task_Steps!$B$5:$B$2004,$A893,Task_Steps!$H$5:$H$2004,"Completed")/$X893)</f>
        <v/>
      </c>
      <c r="Z893" s="81" t="n"/>
      <c r="AA893" s="81" t="n"/>
      <c r="AB893" s="67">
        <f>IF($F893="","",IFERROR(INDEX(Employee_Master!$E$5:$E$204,MATCH($F893,Employee_Master!$B$5:$B$204,0)),""))</f>
        <v/>
      </c>
      <c r="AC893" s="65">
        <f>IF(OR($A893="",$AB893=""),"",IF(OR($I893="Completed",$I893="Cancelled"),"Closed - in Manager Report","Active - in Manager Report"))</f>
        <v/>
      </c>
      <c r="AD893" s="81">
        <f>IF($A893="","",IFERROR(TEXTJOIN(", ",TRUE,FILTER(Task_Steps!$A$5:$A$2004,Task_Steps!$B$5:$B$2004=$A893)),""))</f>
        <v/>
      </c>
      <c r="AE893" s="84">
        <f>IF($A893="","",COUNTIFS(Task_Steps!$B$5:$B$2004,$A893,Task_Steps!$H$5:$H$2004,"&lt;&gt;Completed",Task_Steps!$H$5:$H$2004,"&lt;&gt;Cancelled"))</f>
        <v/>
      </c>
      <c r="AF893" s="81">
        <f>IF(OR($B893="",$A893=""),"",$B893&amp;" | "&amp;$A893)</f>
        <v/>
      </c>
    </row>
    <row r="894" ht="15" customHeight="1" s="40">
      <c r="A894" s="65">
        <f>IF(COUNTA(B894:F894)=0,"","TSK-"&amp;TEXT(ROW()-4,"0000"))</f>
        <v/>
      </c>
      <c r="B894" s="78" t="n"/>
      <c r="C894" s="78" t="n"/>
      <c r="D894" s="81" t="n"/>
      <c r="E894" s="81" t="n"/>
      <c r="F894" s="78" t="n"/>
      <c r="G894" s="67">
        <f>IF($F894="","",IFERROR(INDEX(Employee_Master!$C$5:$C$204,MATCH($F894,Employee_Master!$B$5:$B$204,0)),""))</f>
        <v/>
      </c>
      <c r="H894" s="78" t="n"/>
      <c r="I894" s="78" t="n"/>
      <c r="J894" s="67">
        <f>IF($I894="","",IFERROR(INDEX(Action_Status_Map!$B$5:$B$11,MATCH($I894,Action_Status_Map!$A$5:$A$11,0)),""))</f>
        <v/>
      </c>
      <c r="K894" s="82" t="n"/>
      <c r="L894" s="82" t="n"/>
      <c r="M894" s="82" t="n"/>
      <c r="N894" s="83" t="n"/>
      <c r="O894" s="83" t="n"/>
      <c r="P894" s="66">
        <f>IF(OR($N894="",$O894=""),"",$O894-$N894)</f>
        <v/>
      </c>
      <c r="Q894" s="84">
        <f>IF($K894="","",IF($M894&lt;&gt;"",$M894-$K894,TODAY()-$K894))</f>
        <v/>
      </c>
      <c r="R894" s="85">
        <f>IF(OR($L894="",$I894="Completed",$I894="Cancelled"),"",IF(AND($L894&lt;TODAY(),$I894&lt;&gt;"Completed",$I894&lt;&gt;"Cancelled"),"Overdue","On Track"))</f>
        <v/>
      </c>
      <c r="S894" s="65">
        <f>IF($L894="","",TEXT($L894,"yyyy-mm"))</f>
        <v/>
      </c>
      <c r="T894" s="86">
        <f>IF($I894="","",IFERROR(INDEX(Action_Status_Map!$C$5:$C$11,MATCH($I894,Action_Status_Map!$A$5:$A$11,0)),""))</f>
        <v/>
      </c>
      <c r="U894" s="81" t="n"/>
      <c r="V894" s="82" t="n"/>
      <c r="W894" s="65">
        <f>IF(OR($I894&lt;&gt;"Completed",$M894="",$L894=""),"",IF($M894&lt;=$L894,"Yes","No"))</f>
        <v/>
      </c>
      <c r="X894" s="84">
        <f>IF($A894="","",COUNTIF(Task_Steps!$B$5:$B$2004,$A894))</f>
        <v/>
      </c>
      <c r="Y894" s="86">
        <f>IF($X894=0,"",COUNTIFS(Task_Steps!$B$5:$B$2004,$A894,Task_Steps!$H$5:$H$2004,"Completed")/$X894)</f>
        <v/>
      </c>
      <c r="Z894" s="81" t="n"/>
      <c r="AA894" s="81" t="n"/>
      <c r="AB894" s="67">
        <f>IF($F894="","",IFERROR(INDEX(Employee_Master!$E$5:$E$204,MATCH($F894,Employee_Master!$B$5:$B$204,0)),""))</f>
        <v/>
      </c>
      <c r="AC894" s="65">
        <f>IF(OR($A894="",$AB894=""),"",IF(OR($I894="Completed",$I894="Cancelled"),"Closed - in Manager Report","Active - in Manager Report"))</f>
        <v/>
      </c>
      <c r="AD894" s="81">
        <f>IF($A894="","",IFERROR(TEXTJOIN(", ",TRUE,FILTER(Task_Steps!$A$5:$A$2004,Task_Steps!$B$5:$B$2004=$A894)),""))</f>
        <v/>
      </c>
      <c r="AE894" s="84">
        <f>IF($A894="","",COUNTIFS(Task_Steps!$B$5:$B$2004,$A894,Task_Steps!$H$5:$H$2004,"&lt;&gt;Completed",Task_Steps!$H$5:$H$2004,"&lt;&gt;Cancelled"))</f>
        <v/>
      </c>
      <c r="AF894" s="81">
        <f>IF(OR($B894="",$A894=""),"",$B894&amp;" | "&amp;$A894)</f>
        <v/>
      </c>
    </row>
    <row r="895" ht="15" customHeight="1" s="40">
      <c r="A895" s="65">
        <f>IF(COUNTA(B895:F895)=0,"","TSK-"&amp;TEXT(ROW()-4,"0000"))</f>
        <v/>
      </c>
      <c r="B895" s="78" t="n"/>
      <c r="C895" s="78" t="n"/>
      <c r="D895" s="81" t="n"/>
      <c r="E895" s="81" t="n"/>
      <c r="F895" s="78" t="n"/>
      <c r="G895" s="67">
        <f>IF($F895="","",IFERROR(INDEX(Employee_Master!$C$5:$C$204,MATCH($F895,Employee_Master!$B$5:$B$204,0)),""))</f>
        <v/>
      </c>
      <c r="H895" s="78" t="n"/>
      <c r="I895" s="78" t="n"/>
      <c r="J895" s="67">
        <f>IF($I895="","",IFERROR(INDEX(Action_Status_Map!$B$5:$B$11,MATCH($I895,Action_Status_Map!$A$5:$A$11,0)),""))</f>
        <v/>
      </c>
      <c r="K895" s="82" t="n"/>
      <c r="L895" s="82" t="n"/>
      <c r="M895" s="82" t="n"/>
      <c r="N895" s="83" t="n"/>
      <c r="O895" s="83" t="n"/>
      <c r="P895" s="66">
        <f>IF(OR($N895="",$O895=""),"",$O895-$N895)</f>
        <v/>
      </c>
      <c r="Q895" s="84">
        <f>IF($K895="","",IF($M895&lt;&gt;"",$M895-$K895,TODAY()-$K895))</f>
        <v/>
      </c>
      <c r="R895" s="85">
        <f>IF(OR($L895="",$I895="Completed",$I895="Cancelled"),"",IF(AND($L895&lt;TODAY(),$I895&lt;&gt;"Completed",$I895&lt;&gt;"Cancelled"),"Overdue","On Track"))</f>
        <v/>
      </c>
      <c r="S895" s="65">
        <f>IF($L895="","",TEXT($L895,"yyyy-mm"))</f>
        <v/>
      </c>
      <c r="T895" s="86">
        <f>IF($I895="","",IFERROR(INDEX(Action_Status_Map!$C$5:$C$11,MATCH($I895,Action_Status_Map!$A$5:$A$11,0)),""))</f>
        <v/>
      </c>
      <c r="U895" s="81" t="n"/>
      <c r="V895" s="82" t="n"/>
      <c r="W895" s="65">
        <f>IF(OR($I895&lt;&gt;"Completed",$M895="",$L895=""),"",IF($M895&lt;=$L895,"Yes","No"))</f>
        <v/>
      </c>
      <c r="X895" s="84">
        <f>IF($A895="","",COUNTIF(Task_Steps!$B$5:$B$2004,$A895))</f>
        <v/>
      </c>
      <c r="Y895" s="86">
        <f>IF($X895=0,"",COUNTIFS(Task_Steps!$B$5:$B$2004,$A895,Task_Steps!$H$5:$H$2004,"Completed")/$X895)</f>
        <v/>
      </c>
      <c r="Z895" s="81" t="n"/>
      <c r="AA895" s="81" t="n"/>
      <c r="AB895" s="67">
        <f>IF($F895="","",IFERROR(INDEX(Employee_Master!$E$5:$E$204,MATCH($F895,Employee_Master!$B$5:$B$204,0)),""))</f>
        <v/>
      </c>
      <c r="AC895" s="65">
        <f>IF(OR($A895="",$AB895=""),"",IF(OR($I895="Completed",$I895="Cancelled"),"Closed - in Manager Report","Active - in Manager Report"))</f>
        <v/>
      </c>
      <c r="AD895" s="81">
        <f>IF($A895="","",IFERROR(TEXTJOIN(", ",TRUE,FILTER(Task_Steps!$A$5:$A$2004,Task_Steps!$B$5:$B$2004=$A895)),""))</f>
        <v/>
      </c>
      <c r="AE895" s="84">
        <f>IF($A895="","",COUNTIFS(Task_Steps!$B$5:$B$2004,$A895,Task_Steps!$H$5:$H$2004,"&lt;&gt;Completed",Task_Steps!$H$5:$H$2004,"&lt;&gt;Cancelled"))</f>
        <v/>
      </c>
      <c r="AF895" s="81">
        <f>IF(OR($B895="",$A895=""),"",$B895&amp;" | "&amp;$A895)</f>
        <v/>
      </c>
    </row>
    <row r="896" ht="15" customHeight="1" s="40">
      <c r="A896" s="65">
        <f>IF(COUNTA(B896:F896)=0,"","TSK-"&amp;TEXT(ROW()-4,"0000"))</f>
        <v/>
      </c>
      <c r="B896" s="78" t="n"/>
      <c r="C896" s="78" t="n"/>
      <c r="D896" s="81" t="n"/>
      <c r="E896" s="81" t="n"/>
      <c r="F896" s="78" t="n"/>
      <c r="G896" s="67">
        <f>IF($F896="","",IFERROR(INDEX(Employee_Master!$C$5:$C$204,MATCH($F896,Employee_Master!$B$5:$B$204,0)),""))</f>
        <v/>
      </c>
      <c r="H896" s="78" t="n"/>
      <c r="I896" s="78" t="n"/>
      <c r="J896" s="67">
        <f>IF($I896="","",IFERROR(INDEX(Action_Status_Map!$B$5:$B$11,MATCH($I896,Action_Status_Map!$A$5:$A$11,0)),""))</f>
        <v/>
      </c>
      <c r="K896" s="82" t="n"/>
      <c r="L896" s="82" t="n"/>
      <c r="M896" s="82" t="n"/>
      <c r="N896" s="83" t="n"/>
      <c r="O896" s="83" t="n"/>
      <c r="P896" s="66">
        <f>IF(OR($N896="",$O896=""),"",$O896-$N896)</f>
        <v/>
      </c>
      <c r="Q896" s="84">
        <f>IF($K896="","",IF($M896&lt;&gt;"",$M896-$K896,TODAY()-$K896))</f>
        <v/>
      </c>
      <c r="R896" s="85">
        <f>IF(OR($L896="",$I896="Completed",$I896="Cancelled"),"",IF(AND($L896&lt;TODAY(),$I896&lt;&gt;"Completed",$I896&lt;&gt;"Cancelled"),"Overdue","On Track"))</f>
        <v/>
      </c>
      <c r="S896" s="65">
        <f>IF($L896="","",TEXT($L896,"yyyy-mm"))</f>
        <v/>
      </c>
      <c r="T896" s="86">
        <f>IF($I896="","",IFERROR(INDEX(Action_Status_Map!$C$5:$C$11,MATCH($I896,Action_Status_Map!$A$5:$A$11,0)),""))</f>
        <v/>
      </c>
      <c r="U896" s="81" t="n"/>
      <c r="V896" s="82" t="n"/>
      <c r="W896" s="65">
        <f>IF(OR($I896&lt;&gt;"Completed",$M896="",$L896=""),"",IF($M896&lt;=$L896,"Yes","No"))</f>
        <v/>
      </c>
      <c r="X896" s="84">
        <f>IF($A896="","",COUNTIF(Task_Steps!$B$5:$B$2004,$A896))</f>
        <v/>
      </c>
      <c r="Y896" s="86">
        <f>IF($X896=0,"",COUNTIFS(Task_Steps!$B$5:$B$2004,$A896,Task_Steps!$H$5:$H$2004,"Completed")/$X896)</f>
        <v/>
      </c>
      <c r="Z896" s="81" t="n"/>
      <c r="AA896" s="81" t="n"/>
      <c r="AB896" s="67">
        <f>IF($F896="","",IFERROR(INDEX(Employee_Master!$E$5:$E$204,MATCH($F896,Employee_Master!$B$5:$B$204,0)),""))</f>
        <v/>
      </c>
      <c r="AC896" s="65">
        <f>IF(OR($A896="",$AB896=""),"",IF(OR($I896="Completed",$I896="Cancelled"),"Closed - in Manager Report","Active - in Manager Report"))</f>
        <v/>
      </c>
      <c r="AD896" s="81">
        <f>IF($A896="","",IFERROR(TEXTJOIN(", ",TRUE,FILTER(Task_Steps!$A$5:$A$2004,Task_Steps!$B$5:$B$2004=$A896)),""))</f>
        <v/>
      </c>
      <c r="AE896" s="84">
        <f>IF($A896="","",COUNTIFS(Task_Steps!$B$5:$B$2004,$A896,Task_Steps!$H$5:$H$2004,"&lt;&gt;Completed",Task_Steps!$H$5:$H$2004,"&lt;&gt;Cancelled"))</f>
        <v/>
      </c>
      <c r="AF896" s="81">
        <f>IF(OR($B896="",$A896=""),"",$B896&amp;" | "&amp;$A896)</f>
        <v/>
      </c>
    </row>
    <row r="897" ht="15" customHeight="1" s="40">
      <c r="A897" s="65">
        <f>IF(COUNTA(B897:F897)=0,"","TSK-"&amp;TEXT(ROW()-4,"0000"))</f>
        <v/>
      </c>
      <c r="B897" s="78" t="n"/>
      <c r="C897" s="78" t="n"/>
      <c r="D897" s="81" t="n"/>
      <c r="E897" s="81" t="n"/>
      <c r="F897" s="78" t="n"/>
      <c r="G897" s="67">
        <f>IF($F897="","",IFERROR(INDEX(Employee_Master!$C$5:$C$204,MATCH($F897,Employee_Master!$B$5:$B$204,0)),""))</f>
        <v/>
      </c>
      <c r="H897" s="78" t="n"/>
      <c r="I897" s="78" t="n"/>
      <c r="J897" s="67">
        <f>IF($I897="","",IFERROR(INDEX(Action_Status_Map!$B$5:$B$11,MATCH($I897,Action_Status_Map!$A$5:$A$11,0)),""))</f>
        <v/>
      </c>
      <c r="K897" s="82" t="n"/>
      <c r="L897" s="82" t="n"/>
      <c r="M897" s="82" t="n"/>
      <c r="N897" s="83" t="n"/>
      <c r="O897" s="83" t="n"/>
      <c r="P897" s="66">
        <f>IF(OR($N897="",$O897=""),"",$O897-$N897)</f>
        <v/>
      </c>
      <c r="Q897" s="84">
        <f>IF($K897="","",IF($M897&lt;&gt;"",$M897-$K897,TODAY()-$K897))</f>
        <v/>
      </c>
      <c r="R897" s="85">
        <f>IF(OR($L897="",$I897="Completed",$I897="Cancelled"),"",IF(AND($L897&lt;TODAY(),$I897&lt;&gt;"Completed",$I897&lt;&gt;"Cancelled"),"Overdue","On Track"))</f>
        <v/>
      </c>
      <c r="S897" s="65">
        <f>IF($L897="","",TEXT($L897,"yyyy-mm"))</f>
        <v/>
      </c>
      <c r="T897" s="86">
        <f>IF($I897="","",IFERROR(INDEX(Action_Status_Map!$C$5:$C$11,MATCH($I897,Action_Status_Map!$A$5:$A$11,0)),""))</f>
        <v/>
      </c>
      <c r="U897" s="81" t="n"/>
      <c r="V897" s="82" t="n"/>
      <c r="W897" s="65">
        <f>IF(OR($I897&lt;&gt;"Completed",$M897="",$L897=""),"",IF($M897&lt;=$L897,"Yes","No"))</f>
        <v/>
      </c>
      <c r="X897" s="84">
        <f>IF($A897="","",COUNTIF(Task_Steps!$B$5:$B$2004,$A897))</f>
        <v/>
      </c>
      <c r="Y897" s="86">
        <f>IF($X897=0,"",COUNTIFS(Task_Steps!$B$5:$B$2004,$A897,Task_Steps!$H$5:$H$2004,"Completed")/$X897)</f>
        <v/>
      </c>
      <c r="Z897" s="81" t="n"/>
      <c r="AA897" s="81" t="n"/>
      <c r="AB897" s="67">
        <f>IF($F897="","",IFERROR(INDEX(Employee_Master!$E$5:$E$204,MATCH($F897,Employee_Master!$B$5:$B$204,0)),""))</f>
        <v/>
      </c>
      <c r="AC897" s="65">
        <f>IF(OR($A897="",$AB897=""),"",IF(OR($I897="Completed",$I897="Cancelled"),"Closed - in Manager Report","Active - in Manager Report"))</f>
        <v/>
      </c>
      <c r="AD897" s="81">
        <f>IF($A897="","",IFERROR(TEXTJOIN(", ",TRUE,FILTER(Task_Steps!$A$5:$A$2004,Task_Steps!$B$5:$B$2004=$A897)),""))</f>
        <v/>
      </c>
      <c r="AE897" s="84">
        <f>IF($A897="","",COUNTIFS(Task_Steps!$B$5:$B$2004,$A897,Task_Steps!$H$5:$H$2004,"&lt;&gt;Completed",Task_Steps!$H$5:$H$2004,"&lt;&gt;Cancelled"))</f>
        <v/>
      </c>
      <c r="AF897" s="81">
        <f>IF(OR($B897="",$A897=""),"",$B897&amp;" | "&amp;$A897)</f>
        <v/>
      </c>
    </row>
    <row r="898" ht="15" customHeight="1" s="40">
      <c r="A898" s="65">
        <f>IF(COUNTA(B898:F898)=0,"","TSK-"&amp;TEXT(ROW()-4,"0000"))</f>
        <v/>
      </c>
      <c r="B898" s="78" t="n"/>
      <c r="C898" s="78" t="n"/>
      <c r="D898" s="81" t="n"/>
      <c r="E898" s="81" t="n"/>
      <c r="F898" s="78" t="n"/>
      <c r="G898" s="67">
        <f>IF($F898="","",IFERROR(INDEX(Employee_Master!$C$5:$C$204,MATCH($F898,Employee_Master!$B$5:$B$204,0)),""))</f>
        <v/>
      </c>
      <c r="H898" s="78" t="n"/>
      <c r="I898" s="78" t="n"/>
      <c r="J898" s="67">
        <f>IF($I898="","",IFERROR(INDEX(Action_Status_Map!$B$5:$B$11,MATCH($I898,Action_Status_Map!$A$5:$A$11,0)),""))</f>
        <v/>
      </c>
      <c r="K898" s="82" t="n"/>
      <c r="L898" s="82" t="n"/>
      <c r="M898" s="82" t="n"/>
      <c r="N898" s="83" t="n"/>
      <c r="O898" s="83" t="n"/>
      <c r="P898" s="66">
        <f>IF(OR($N898="",$O898=""),"",$O898-$N898)</f>
        <v/>
      </c>
      <c r="Q898" s="84">
        <f>IF($K898="","",IF($M898&lt;&gt;"",$M898-$K898,TODAY()-$K898))</f>
        <v/>
      </c>
      <c r="R898" s="85">
        <f>IF(OR($L898="",$I898="Completed",$I898="Cancelled"),"",IF(AND($L898&lt;TODAY(),$I898&lt;&gt;"Completed",$I898&lt;&gt;"Cancelled"),"Overdue","On Track"))</f>
        <v/>
      </c>
      <c r="S898" s="65">
        <f>IF($L898="","",TEXT($L898,"yyyy-mm"))</f>
        <v/>
      </c>
      <c r="T898" s="86">
        <f>IF($I898="","",IFERROR(INDEX(Action_Status_Map!$C$5:$C$11,MATCH($I898,Action_Status_Map!$A$5:$A$11,0)),""))</f>
        <v/>
      </c>
      <c r="U898" s="81" t="n"/>
      <c r="V898" s="82" t="n"/>
      <c r="W898" s="65">
        <f>IF(OR($I898&lt;&gt;"Completed",$M898="",$L898=""),"",IF($M898&lt;=$L898,"Yes","No"))</f>
        <v/>
      </c>
      <c r="X898" s="84">
        <f>IF($A898="","",COUNTIF(Task_Steps!$B$5:$B$2004,$A898))</f>
        <v/>
      </c>
      <c r="Y898" s="86">
        <f>IF($X898=0,"",COUNTIFS(Task_Steps!$B$5:$B$2004,$A898,Task_Steps!$H$5:$H$2004,"Completed")/$X898)</f>
        <v/>
      </c>
      <c r="Z898" s="81" t="n"/>
      <c r="AA898" s="81" t="n"/>
      <c r="AB898" s="67">
        <f>IF($F898="","",IFERROR(INDEX(Employee_Master!$E$5:$E$204,MATCH($F898,Employee_Master!$B$5:$B$204,0)),""))</f>
        <v/>
      </c>
      <c r="AC898" s="65">
        <f>IF(OR($A898="",$AB898=""),"",IF(OR($I898="Completed",$I898="Cancelled"),"Closed - in Manager Report","Active - in Manager Report"))</f>
        <v/>
      </c>
      <c r="AD898" s="81">
        <f>IF($A898="","",IFERROR(TEXTJOIN(", ",TRUE,FILTER(Task_Steps!$A$5:$A$2004,Task_Steps!$B$5:$B$2004=$A898)),""))</f>
        <v/>
      </c>
      <c r="AE898" s="84">
        <f>IF($A898="","",COUNTIFS(Task_Steps!$B$5:$B$2004,$A898,Task_Steps!$H$5:$H$2004,"&lt;&gt;Completed",Task_Steps!$H$5:$H$2004,"&lt;&gt;Cancelled"))</f>
        <v/>
      </c>
      <c r="AF898" s="81">
        <f>IF(OR($B898="",$A898=""),"",$B898&amp;" | "&amp;$A898)</f>
        <v/>
      </c>
    </row>
    <row r="899" ht="15" customHeight="1" s="40">
      <c r="A899" s="65">
        <f>IF(COUNTA(B899:F899)=0,"","TSK-"&amp;TEXT(ROW()-4,"0000"))</f>
        <v/>
      </c>
      <c r="B899" s="78" t="n"/>
      <c r="C899" s="78" t="n"/>
      <c r="D899" s="81" t="n"/>
      <c r="E899" s="81" t="n"/>
      <c r="F899" s="78" t="n"/>
      <c r="G899" s="67">
        <f>IF($F899="","",IFERROR(INDEX(Employee_Master!$C$5:$C$204,MATCH($F899,Employee_Master!$B$5:$B$204,0)),""))</f>
        <v/>
      </c>
      <c r="H899" s="78" t="n"/>
      <c r="I899" s="78" t="n"/>
      <c r="J899" s="67">
        <f>IF($I899="","",IFERROR(INDEX(Action_Status_Map!$B$5:$B$11,MATCH($I899,Action_Status_Map!$A$5:$A$11,0)),""))</f>
        <v/>
      </c>
      <c r="K899" s="82" t="n"/>
      <c r="L899" s="82" t="n"/>
      <c r="M899" s="82" t="n"/>
      <c r="N899" s="83" t="n"/>
      <c r="O899" s="83" t="n"/>
      <c r="P899" s="66">
        <f>IF(OR($N899="",$O899=""),"",$O899-$N899)</f>
        <v/>
      </c>
      <c r="Q899" s="84">
        <f>IF($K899="","",IF($M899&lt;&gt;"",$M899-$K899,TODAY()-$K899))</f>
        <v/>
      </c>
      <c r="R899" s="85">
        <f>IF(OR($L899="",$I899="Completed",$I899="Cancelled"),"",IF(AND($L899&lt;TODAY(),$I899&lt;&gt;"Completed",$I899&lt;&gt;"Cancelled"),"Overdue","On Track"))</f>
        <v/>
      </c>
      <c r="S899" s="65">
        <f>IF($L899="","",TEXT($L899,"yyyy-mm"))</f>
        <v/>
      </c>
      <c r="T899" s="86">
        <f>IF($I899="","",IFERROR(INDEX(Action_Status_Map!$C$5:$C$11,MATCH($I899,Action_Status_Map!$A$5:$A$11,0)),""))</f>
        <v/>
      </c>
      <c r="U899" s="81" t="n"/>
      <c r="V899" s="82" t="n"/>
      <c r="W899" s="65">
        <f>IF(OR($I899&lt;&gt;"Completed",$M899="",$L899=""),"",IF($M899&lt;=$L899,"Yes","No"))</f>
        <v/>
      </c>
      <c r="X899" s="84">
        <f>IF($A899="","",COUNTIF(Task_Steps!$B$5:$B$2004,$A899))</f>
        <v/>
      </c>
      <c r="Y899" s="86">
        <f>IF($X899=0,"",COUNTIFS(Task_Steps!$B$5:$B$2004,$A899,Task_Steps!$H$5:$H$2004,"Completed")/$X899)</f>
        <v/>
      </c>
      <c r="Z899" s="81" t="n"/>
      <c r="AA899" s="81" t="n"/>
      <c r="AB899" s="67">
        <f>IF($F899="","",IFERROR(INDEX(Employee_Master!$E$5:$E$204,MATCH($F899,Employee_Master!$B$5:$B$204,0)),""))</f>
        <v/>
      </c>
      <c r="AC899" s="65">
        <f>IF(OR($A899="",$AB899=""),"",IF(OR($I899="Completed",$I899="Cancelled"),"Closed - in Manager Report","Active - in Manager Report"))</f>
        <v/>
      </c>
      <c r="AD899" s="81">
        <f>IF($A899="","",IFERROR(TEXTJOIN(", ",TRUE,FILTER(Task_Steps!$A$5:$A$2004,Task_Steps!$B$5:$B$2004=$A899)),""))</f>
        <v/>
      </c>
      <c r="AE899" s="84">
        <f>IF($A899="","",COUNTIFS(Task_Steps!$B$5:$B$2004,$A899,Task_Steps!$H$5:$H$2004,"&lt;&gt;Completed",Task_Steps!$H$5:$H$2004,"&lt;&gt;Cancelled"))</f>
        <v/>
      </c>
      <c r="AF899" s="81">
        <f>IF(OR($B899="",$A899=""),"",$B899&amp;" | "&amp;$A899)</f>
        <v/>
      </c>
    </row>
    <row r="900" ht="15" customHeight="1" s="40">
      <c r="A900" s="65">
        <f>IF(COUNTA(B900:F900)=0,"","TSK-"&amp;TEXT(ROW()-4,"0000"))</f>
        <v/>
      </c>
      <c r="B900" s="78" t="n"/>
      <c r="C900" s="78" t="n"/>
      <c r="D900" s="81" t="n"/>
      <c r="E900" s="81" t="n"/>
      <c r="F900" s="78" t="n"/>
      <c r="G900" s="67">
        <f>IF($F900="","",IFERROR(INDEX(Employee_Master!$C$5:$C$204,MATCH($F900,Employee_Master!$B$5:$B$204,0)),""))</f>
        <v/>
      </c>
      <c r="H900" s="78" t="n"/>
      <c r="I900" s="78" t="n"/>
      <c r="J900" s="67">
        <f>IF($I900="","",IFERROR(INDEX(Action_Status_Map!$B$5:$B$11,MATCH($I900,Action_Status_Map!$A$5:$A$11,0)),""))</f>
        <v/>
      </c>
      <c r="K900" s="82" t="n"/>
      <c r="L900" s="82" t="n"/>
      <c r="M900" s="82" t="n"/>
      <c r="N900" s="83" t="n"/>
      <c r="O900" s="83" t="n"/>
      <c r="P900" s="66">
        <f>IF(OR($N900="",$O900=""),"",$O900-$N900)</f>
        <v/>
      </c>
      <c r="Q900" s="84">
        <f>IF($K900="","",IF($M900&lt;&gt;"",$M900-$K900,TODAY()-$K900))</f>
        <v/>
      </c>
      <c r="R900" s="85">
        <f>IF(OR($L900="",$I900="Completed",$I900="Cancelled"),"",IF(AND($L900&lt;TODAY(),$I900&lt;&gt;"Completed",$I900&lt;&gt;"Cancelled"),"Overdue","On Track"))</f>
        <v/>
      </c>
      <c r="S900" s="65">
        <f>IF($L900="","",TEXT($L900,"yyyy-mm"))</f>
        <v/>
      </c>
      <c r="T900" s="86">
        <f>IF($I900="","",IFERROR(INDEX(Action_Status_Map!$C$5:$C$11,MATCH($I900,Action_Status_Map!$A$5:$A$11,0)),""))</f>
        <v/>
      </c>
      <c r="U900" s="81" t="n"/>
      <c r="V900" s="82" t="n"/>
      <c r="W900" s="65">
        <f>IF(OR($I900&lt;&gt;"Completed",$M900="",$L900=""),"",IF($M900&lt;=$L900,"Yes","No"))</f>
        <v/>
      </c>
      <c r="X900" s="84">
        <f>IF($A900="","",COUNTIF(Task_Steps!$B$5:$B$2004,$A900))</f>
        <v/>
      </c>
      <c r="Y900" s="86">
        <f>IF($X900=0,"",COUNTIFS(Task_Steps!$B$5:$B$2004,$A900,Task_Steps!$H$5:$H$2004,"Completed")/$X900)</f>
        <v/>
      </c>
      <c r="Z900" s="81" t="n"/>
      <c r="AA900" s="81" t="n"/>
      <c r="AB900" s="67">
        <f>IF($F900="","",IFERROR(INDEX(Employee_Master!$E$5:$E$204,MATCH($F900,Employee_Master!$B$5:$B$204,0)),""))</f>
        <v/>
      </c>
      <c r="AC900" s="65">
        <f>IF(OR($A900="",$AB900=""),"",IF(OR($I900="Completed",$I900="Cancelled"),"Closed - in Manager Report","Active - in Manager Report"))</f>
        <v/>
      </c>
      <c r="AD900" s="81">
        <f>IF($A900="","",IFERROR(TEXTJOIN(", ",TRUE,FILTER(Task_Steps!$A$5:$A$2004,Task_Steps!$B$5:$B$2004=$A900)),""))</f>
        <v/>
      </c>
      <c r="AE900" s="84">
        <f>IF($A900="","",COUNTIFS(Task_Steps!$B$5:$B$2004,$A900,Task_Steps!$H$5:$H$2004,"&lt;&gt;Completed",Task_Steps!$H$5:$H$2004,"&lt;&gt;Cancelled"))</f>
        <v/>
      </c>
      <c r="AF900" s="81">
        <f>IF(OR($B900="",$A900=""),"",$B900&amp;" | "&amp;$A900)</f>
        <v/>
      </c>
    </row>
    <row r="901" ht="15" customHeight="1" s="40">
      <c r="A901" s="65">
        <f>IF(COUNTA(B901:F901)=0,"","TSK-"&amp;TEXT(ROW()-4,"0000"))</f>
        <v/>
      </c>
      <c r="B901" s="78" t="n"/>
      <c r="C901" s="78" t="n"/>
      <c r="D901" s="81" t="n"/>
      <c r="E901" s="81" t="n"/>
      <c r="F901" s="78" t="n"/>
      <c r="G901" s="67">
        <f>IF($F901="","",IFERROR(INDEX(Employee_Master!$C$5:$C$204,MATCH($F901,Employee_Master!$B$5:$B$204,0)),""))</f>
        <v/>
      </c>
      <c r="H901" s="78" t="n"/>
      <c r="I901" s="78" t="n"/>
      <c r="J901" s="67">
        <f>IF($I901="","",IFERROR(INDEX(Action_Status_Map!$B$5:$B$11,MATCH($I901,Action_Status_Map!$A$5:$A$11,0)),""))</f>
        <v/>
      </c>
      <c r="K901" s="82" t="n"/>
      <c r="L901" s="82" t="n"/>
      <c r="M901" s="82" t="n"/>
      <c r="N901" s="83" t="n"/>
      <c r="O901" s="83" t="n"/>
      <c r="P901" s="66">
        <f>IF(OR($N901="",$O901=""),"",$O901-$N901)</f>
        <v/>
      </c>
      <c r="Q901" s="84">
        <f>IF($K901="","",IF($M901&lt;&gt;"",$M901-$K901,TODAY()-$K901))</f>
        <v/>
      </c>
      <c r="R901" s="85">
        <f>IF(OR($L901="",$I901="Completed",$I901="Cancelled"),"",IF(AND($L901&lt;TODAY(),$I901&lt;&gt;"Completed",$I901&lt;&gt;"Cancelled"),"Overdue","On Track"))</f>
        <v/>
      </c>
      <c r="S901" s="65">
        <f>IF($L901="","",TEXT($L901,"yyyy-mm"))</f>
        <v/>
      </c>
      <c r="T901" s="86">
        <f>IF($I901="","",IFERROR(INDEX(Action_Status_Map!$C$5:$C$11,MATCH($I901,Action_Status_Map!$A$5:$A$11,0)),""))</f>
        <v/>
      </c>
      <c r="U901" s="81" t="n"/>
      <c r="V901" s="82" t="n"/>
      <c r="W901" s="65">
        <f>IF(OR($I901&lt;&gt;"Completed",$M901="",$L901=""),"",IF($M901&lt;=$L901,"Yes","No"))</f>
        <v/>
      </c>
      <c r="X901" s="84">
        <f>IF($A901="","",COUNTIF(Task_Steps!$B$5:$B$2004,$A901))</f>
        <v/>
      </c>
      <c r="Y901" s="86">
        <f>IF($X901=0,"",COUNTIFS(Task_Steps!$B$5:$B$2004,$A901,Task_Steps!$H$5:$H$2004,"Completed")/$X901)</f>
        <v/>
      </c>
      <c r="Z901" s="81" t="n"/>
      <c r="AA901" s="81" t="n"/>
      <c r="AB901" s="67">
        <f>IF($F901="","",IFERROR(INDEX(Employee_Master!$E$5:$E$204,MATCH($F901,Employee_Master!$B$5:$B$204,0)),""))</f>
        <v/>
      </c>
      <c r="AC901" s="65">
        <f>IF(OR($A901="",$AB901=""),"",IF(OR($I901="Completed",$I901="Cancelled"),"Closed - in Manager Report","Active - in Manager Report"))</f>
        <v/>
      </c>
      <c r="AD901" s="81">
        <f>IF($A901="","",IFERROR(TEXTJOIN(", ",TRUE,FILTER(Task_Steps!$A$5:$A$2004,Task_Steps!$B$5:$B$2004=$A901)),""))</f>
        <v/>
      </c>
      <c r="AE901" s="84">
        <f>IF($A901="","",COUNTIFS(Task_Steps!$B$5:$B$2004,$A901,Task_Steps!$H$5:$H$2004,"&lt;&gt;Completed",Task_Steps!$H$5:$H$2004,"&lt;&gt;Cancelled"))</f>
        <v/>
      </c>
      <c r="AF901" s="81">
        <f>IF(OR($B901="",$A901=""),"",$B901&amp;" | "&amp;$A901)</f>
        <v/>
      </c>
    </row>
    <row r="902" ht="15" customHeight="1" s="40">
      <c r="A902" s="65">
        <f>IF(COUNTA(B902:F902)=0,"","TSK-"&amp;TEXT(ROW()-4,"0000"))</f>
        <v/>
      </c>
      <c r="B902" s="78" t="n"/>
      <c r="C902" s="78" t="n"/>
      <c r="D902" s="81" t="n"/>
      <c r="E902" s="81" t="n"/>
      <c r="F902" s="78" t="n"/>
      <c r="G902" s="67">
        <f>IF($F902="","",IFERROR(INDEX(Employee_Master!$C$5:$C$204,MATCH($F902,Employee_Master!$B$5:$B$204,0)),""))</f>
        <v/>
      </c>
      <c r="H902" s="78" t="n"/>
      <c r="I902" s="78" t="n"/>
      <c r="J902" s="67">
        <f>IF($I902="","",IFERROR(INDEX(Action_Status_Map!$B$5:$B$11,MATCH($I902,Action_Status_Map!$A$5:$A$11,0)),""))</f>
        <v/>
      </c>
      <c r="K902" s="82" t="n"/>
      <c r="L902" s="82" t="n"/>
      <c r="M902" s="82" t="n"/>
      <c r="N902" s="83" t="n"/>
      <c r="O902" s="83" t="n"/>
      <c r="P902" s="66">
        <f>IF(OR($N902="",$O902=""),"",$O902-$N902)</f>
        <v/>
      </c>
      <c r="Q902" s="84">
        <f>IF($K902="","",IF($M902&lt;&gt;"",$M902-$K902,TODAY()-$K902))</f>
        <v/>
      </c>
      <c r="R902" s="85">
        <f>IF(OR($L902="",$I902="Completed",$I902="Cancelled"),"",IF(AND($L902&lt;TODAY(),$I902&lt;&gt;"Completed",$I902&lt;&gt;"Cancelled"),"Overdue","On Track"))</f>
        <v/>
      </c>
      <c r="S902" s="65">
        <f>IF($L902="","",TEXT($L902,"yyyy-mm"))</f>
        <v/>
      </c>
      <c r="T902" s="86">
        <f>IF($I902="","",IFERROR(INDEX(Action_Status_Map!$C$5:$C$11,MATCH($I902,Action_Status_Map!$A$5:$A$11,0)),""))</f>
        <v/>
      </c>
      <c r="U902" s="81" t="n"/>
      <c r="V902" s="82" t="n"/>
      <c r="W902" s="65">
        <f>IF(OR($I902&lt;&gt;"Completed",$M902="",$L902=""),"",IF($M902&lt;=$L902,"Yes","No"))</f>
        <v/>
      </c>
      <c r="X902" s="84">
        <f>IF($A902="","",COUNTIF(Task_Steps!$B$5:$B$2004,$A902))</f>
        <v/>
      </c>
      <c r="Y902" s="86">
        <f>IF($X902=0,"",COUNTIFS(Task_Steps!$B$5:$B$2004,$A902,Task_Steps!$H$5:$H$2004,"Completed")/$X902)</f>
        <v/>
      </c>
      <c r="Z902" s="81" t="n"/>
      <c r="AA902" s="81" t="n"/>
      <c r="AB902" s="67">
        <f>IF($F902="","",IFERROR(INDEX(Employee_Master!$E$5:$E$204,MATCH($F902,Employee_Master!$B$5:$B$204,0)),""))</f>
        <v/>
      </c>
      <c r="AC902" s="65">
        <f>IF(OR($A902="",$AB902=""),"",IF(OR($I902="Completed",$I902="Cancelled"),"Closed - in Manager Report","Active - in Manager Report"))</f>
        <v/>
      </c>
      <c r="AD902" s="81">
        <f>IF($A902="","",IFERROR(TEXTJOIN(", ",TRUE,FILTER(Task_Steps!$A$5:$A$2004,Task_Steps!$B$5:$B$2004=$A902)),""))</f>
        <v/>
      </c>
      <c r="AE902" s="84">
        <f>IF($A902="","",COUNTIFS(Task_Steps!$B$5:$B$2004,$A902,Task_Steps!$H$5:$H$2004,"&lt;&gt;Completed",Task_Steps!$H$5:$H$2004,"&lt;&gt;Cancelled"))</f>
        <v/>
      </c>
      <c r="AF902" s="81">
        <f>IF(OR($B902="",$A902=""),"",$B902&amp;" | "&amp;$A902)</f>
        <v/>
      </c>
    </row>
    <row r="903" ht="15" customHeight="1" s="40">
      <c r="A903" s="65">
        <f>IF(COUNTA(B903:F903)=0,"","TSK-"&amp;TEXT(ROW()-4,"0000"))</f>
        <v/>
      </c>
      <c r="B903" s="78" t="n"/>
      <c r="C903" s="78" t="n"/>
      <c r="D903" s="81" t="n"/>
      <c r="E903" s="81" t="n"/>
      <c r="F903" s="78" t="n"/>
      <c r="G903" s="67">
        <f>IF($F903="","",IFERROR(INDEX(Employee_Master!$C$5:$C$204,MATCH($F903,Employee_Master!$B$5:$B$204,0)),""))</f>
        <v/>
      </c>
      <c r="H903" s="78" t="n"/>
      <c r="I903" s="78" t="n"/>
      <c r="J903" s="67">
        <f>IF($I903="","",IFERROR(INDEX(Action_Status_Map!$B$5:$B$11,MATCH($I903,Action_Status_Map!$A$5:$A$11,0)),""))</f>
        <v/>
      </c>
      <c r="K903" s="82" t="n"/>
      <c r="L903" s="82" t="n"/>
      <c r="M903" s="82" t="n"/>
      <c r="N903" s="83" t="n"/>
      <c r="O903" s="83" t="n"/>
      <c r="P903" s="66">
        <f>IF(OR($N903="",$O903=""),"",$O903-$N903)</f>
        <v/>
      </c>
      <c r="Q903" s="84">
        <f>IF($K903="","",IF($M903&lt;&gt;"",$M903-$K903,TODAY()-$K903))</f>
        <v/>
      </c>
      <c r="R903" s="85">
        <f>IF(OR($L903="",$I903="Completed",$I903="Cancelled"),"",IF(AND($L903&lt;TODAY(),$I903&lt;&gt;"Completed",$I903&lt;&gt;"Cancelled"),"Overdue","On Track"))</f>
        <v/>
      </c>
      <c r="S903" s="65">
        <f>IF($L903="","",TEXT($L903,"yyyy-mm"))</f>
        <v/>
      </c>
      <c r="T903" s="86">
        <f>IF($I903="","",IFERROR(INDEX(Action_Status_Map!$C$5:$C$11,MATCH($I903,Action_Status_Map!$A$5:$A$11,0)),""))</f>
        <v/>
      </c>
      <c r="U903" s="81" t="n"/>
      <c r="V903" s="82" t="n"/>
      <c r="W903" s="65">
        <f>IF(OR($I903&lt;&gt;"Completed",$M903="",$L903=""),"",IF($M903&lt;=$L903,"Yes","No"))</f>
        <v/>
      </c>
      <c r="X903" s="84">
        <f>IF($A903="","",COUNTIF(Task_Steps!$B$5:$B$2004,$A903))</f>
        <v/>
      </c>
      <c r="Y903" s="86">
        <f>IF($X903=0,"",COUNTIFS(Task_Steps!$B$5:$B$2004,$A903,Task_Steps!$H$5:$H$2004,"Completed")/$X903)</f>
        <v/>
      </c>
      <c r="Z903" s="81" t="n"/>
      <c r="AA903" s="81" t="n"/>
      <c r="AB903" s="67">
        <f>IF($F903="","",IFERROR(INDEX(Employee_Master!$E$5:$E$204,MATCH($F903,Employee_Master!$B$5:$B$204,0)),""))</f>
        <v/>
      </c>
      <c r="AC903" s="65">
        <f>IF(OR($A903="",$AB903=""),"",IF(OR($I903="Completed",$I903="Cancelled"),"Closed - in Manager Report","Active - in Manager Report"))</f>
        <v/>
      </c>
      <c r="AD903" s="81">
        <f>IF($A903="","",IFERROR(TEXTJOIN(", ",TRUE,FILTER(Task_Steps!$A$5:$A$2004,Task_Steps!$B$5:$B$2004=$A903)),""))</f>
        <v/>
      </c>
      <c r="AE903" s="84">
        <f>IF($A903="","",COUNTIFS(Task_Steps!$B$5:$B$2004,$A903,Task_Steps!$H$5:$H$2004,"&lt;&gt;Completed",Task_Steps!$H$5:$H$2004,"&lt;&gt;Cancelled"))</f>
        <v/>
      </c>
      <c r="AF903" s="81">
        <f>IF(OR($B903="",$A903=""),"",$B903&amp;" | "&amp;$A903)</f>
        <v/>
      </c>
    </row>
    <row r="904" ht="15" customHeight="1" s="40">
      <c r="A904" s="65">
        <f>IF(COUNTA(B904:F904)=0,"","TSK-"&amp;TEXT(ROW()-4,"0000"))</f>
        <v/>
      </c>
      <c r="B904" s="78" t="n"/>
      <c r="C904" s="78" t="n"/>
      <c r="D904" s="81" t="n"/>
      <c r="E904" s="81" t="n"/>
      <c r="F904" s="78" t="n"/>
      <c r="G904" s="67">
        <f>IF($F904="","",IFERROR(INDEX(Employee_Master!$C$5:$C$204,MATCH($F904,Employee_Master!$B$5:$B$204,0)),""))</f>
        <v/>
      </c>
      <c r="H904" s="78" t="n"/>
      <c r="I904" s="78" t="n"/>
      <c r="J904" s="67">
        <f>IF($I904="","",IFERROR(INDEX(Action_Status_Map!$B$5:$B$11,MATCH($I904,Action_Status_Map!$A$5:$A$11,0)),""))</f>
        <v/>
      </c>
      <c r="K904" s="82" t="n"/>
      <c r="L904" s="82" t="n"/>
      <c r="M904" s="82" t="n"/>
      <c r="N904" s="83" t="n"/>
      <c r="O904" s="83" t="n"/>
      <c r="P904" s="66">
        <f>IF(OR($N904="",$O904=""),"",$O904-$N904)</f>
        <v/>
      </c>
      <c r="Q904" s="84">
        <f>IF($K904="","",IF($M904&lt;&gt;"",$M904-$K904,TODAY()-$K904))</f>
        <v/>
      </c>
      <c r="R904" s="85">
        <f>IF(OR($L904="",$I904="Completed",$I904="Cancelled"),"",IF(AND($L904&lt;TODAY(),$I904&lt;&gt;"Completed",$I904&lt;&gt;"Cancelled"),"Overdue","On Track"))</f>
        <v/>
      </c>
      <c r="S904" s="65">
        <f>IF($L904="","",TEXT($L904,"yyyy-mm"))</f>
        <v/>
      </c>
      <c r="T904" s="86">
        <f>IF($I904="","",IFERROR(INDEX(Action_Status_Map!$C$5:$C$11,MATCH($I904,Action_Status_Map!$A$5:$A$11,0)),""))</f>
        <v/>
      </c>
      <c r="U904" s="81" t="n"/>
      <c r="V904" s="82" t="n"/>
      <c r="W904" s="65">
        <f>IF(OR($I904&lt;&gt;"Completed",$M904="",$L904=""),"",IF($M904&lt;=$L904,"Yes","No"))</f>
        <v/>
      </c>
      <c r="X904" s="84">
        <f>IF($A904="","",COUNTIF(Task_Steps!$B$5:$B$2004,$A904))</f>
        <v/>
      </c>
      <c r="Y904" s="86">
        <f>IF($X904=0,"",COUNTIFS(Task_Steps!$B$5:$B$2004,$A904,Task_Steps!$H$5:$H$2004,"Completed")/$X904)</f>
        <v/>
      </c>
      <c r="Z904" s="81" t="n"/>
      <c r="AA904" s="81" t="n"/>
      <c r="AB904" s="67">
        <f>IF($F904="","",IFERROR(INDEX(Employee_Master!$E$5:$E$204,MATCH($F904,Employee_Master!$B$5:$B$204,0)),""))</f>
        <v/>
      </c>
      <c r="AC904" s="65">
        <f>IF(OR($A904="",$AB904=""),"",IF(OR($I904="Completed",$I904="Cancelled"),"Closed - in Manager Report","Active - in Manager Report"))</f>
        <v/>
      </c>
      <c r="AD904" s="81">
        <f>IF($A904="","",IFERROR(TEXTJOIN(", ",TRUE,FILTER(Task_Steps!$A$5:$A$2004,Task_Steps!$B$5:$B$2004=$A904)),""))</f>
        <v/>
      </c>
      <c r="AE904" s="84">
        <f>IF($A904="","",COUNTIFS(Task_Steps!$B$5:$B$2004,$A904,Task_Steps!$H$5:$H$2004,"&lt;&gt;Completed",Task_Steps!$H$5:$H$2004,"&lt;&gt;Cancelled"))</f>
        <v/>
      </c>
      <c r="AF904" s="81">
        <f>IF(OR($B904="",$A904=""),"",$B904&amp;" | "&amp;$A904)</f>
        <v/>
      </c>
    </row>
    <row r="905" ht="15" customHeight="1" s="40">
      <c r="A905" s="65">
        <f>IF(COUNTA(B905:F905)=0,"","TSK-"&amp;TEXT(ROW()-4,"0000"))</f>
        <v/>
      </c>
      <c r="B905" s="78" t="n"/>
      <c r="C905" s="78" t="n"/>
      <c r="D905" s="81" t="n"/>
      <c r="E905" s="81" t="n"/>
      <c r="F905" s="78" t="n"/>
      <c r="G905" s="67">
        <f>IF($F905="","",IFERROR(INDEX(Employee_Master!$C$5:$C$204,MATCH($F905,Employee_Master!$B$5:$B$204,0)),""))</f>
        <v/>
      </c>
      <c r="H905" s="78" t="n"/>
      <c r="I905" s="78" t="n"/>
      <c r="J905" s="67">
        <f>IF($I905="","",IFERROR(INDEX(Action_Status_Map!$B$5:$B$11,MATCH($I905,Action_Status_Map!$A$5:$A$11,0)),""))</f>
        <v/>
      </c>
      <c r="K905" s="82" t="n"/>
      <c r="L905" s="82" t="n"/>
      <c r="M905" s="82" t="n"/>
      <c r="N905" s="83" t="n"/>
      <c r="O905" s="83" t="n"/>
      <c r="P905" s="66">
        <f>IF(OR($N905="",$O905=""),"",$O905-$N905)</f>
        <v/>
      </c>
      <c r="Q905" s="84">
        <f>IF($K905="","",IF($M905&lt;&gt;"",$M905-$K905,TODAY()-$K905))</f>
        <v/>
      </c>
      <c r="R905" s="85">
        <f>IF(OR($L905="",$I905="Completed",$I905="Cancelled"),"",IF(AND($L905&lt;TODAY(),$I905&lt;&gt;"Completed",$I905&lt;&gt;"Cancelled"),"Overdue","On Track"))</f>
        <v/>
      </c>
      <c r="S905" s="65">
        <f>IF($L905="","",TEXT($L905,"yyyy-mm"))</f>
        <v/>
      </c>
      <c r="T905" s="86">
        <f>IF($I905="","",IFERROR(INDEX(Action_Status_Map!$C$5:$C$11,MATCH($I905,Action_Status_Map!$A$5:$A$11,0)),""))</f>
        <v/>
      </c>
      <c r="U905" s="81" t="n"/>
      <c r="V905" s="82" t="n"/>
      <c r="W905" s="65">
        <f>IF(OR($I905&lt;&gt;"Completed",$M905="",$L905=""),"",IF($M905&lt;=$L905,"Yes","No"))</f>
        <v/>
      </c>
      <c r="X905" s="84">
        <f>IF($A905="","",COUNTIF(Task_Steps!$B$5:$B$2004,$A905))</f>
        <v/>
      </c>
      <c r="Y905" s="86">
        <f>IF($X905=0,"",COUNTIFS(Task_Steps!$B$5:$B$2004,$A905,Task_Steps!$H$5:$H$2004,"Completed")/$X905)</f>
        <v/>
      </c>
      <c r="Z905" s="81" t="n"/>
      <c r="AA905" s="81" t="n"/>
      <c r="AB905" s="67">
        <f>IF($F905="","",IFERROR(INDEX(Employee_Master!$E$5:$E$204,MATCH($F905,Employee_Master!$B$5:$B$204,0)),""))</f>
        <v/>
      </c>
      <c r="AC905" s="65">
        <f>IF(OR($A905="",$AB905=""),"",IF(OR($I905="Completed",$I905="Cancelled"),"Closed - in Manager Report","Active - in Manager Report"))</f>
        <v/>
      </c>
      <c r="AD905" s="81">
        <f>IF($A905="","",IFERROR(TEXTJOIN(", ",TRUE,FILTER(Task_Steps!$A$5:$A$2004,Task_Steps!$B$5:$B$2004=$A905)),""))</f>
        <v/>
      </c>
      <c r="AE905" s="84">
        <f>IF($A905="","",COUNTIFS(Task_Steps!$B$5:$B$2004,$A905,Task_Steps!$H$5:$H$2004,"&lt;&gt;Completed",Task_Steps!$H$5:$H$2004,"&lt;&gt;Cancelled"))</f>
        <v/>
      </c>
      <c r="AF905" s="81">
        <f>IF(OR($B905="",$A905=""),"",$B905&amp;" | "&amp;$A905)</f>
        <v/>
      </c>
    </row>
    <row r="906" ht="15" customHeight="1" s="40">
      <c r="A906" s="65">
        <f>IF(COUNTA(B906:F906)=0,"","TSK-"&amp;TEXT(ROW()-4,"0000"))</f>
        <v/>
      </c>
      <c r="B906" s="78" t="n"/>
      <c r="C906" s="78" t="n"/>
      <c r="D906" s="81" t="n"/>
      <c r="E906" s="81" t="n"/>
      <c r="F906" s="78" t="n"/>
      <c r="G906" s="67">
        <f>IF($F906="","",IFERROR(INDEX(Employee_Master!$C$5:$C$204,MATCH($F906,Employee_Master!$B$5:$B$204,0)),""))</f>
        <v/>
      </c>
      <c r="H906" s="78" t="n"/>
      <c r="I906" s="78" t="n"/>
      <c r="J906" s="67">
        <f>IF($I906="","",IFERROR(INDEX(Action_Status_Map!$B$5:$B$11,MATCH($I906,Action_Status_Map!$A$5:$A$11,0)),""))</f>
        <v/>
      </c>
      <c r="K906" s="82" t="n"/>
      <c r="L906" s="82" t="n"/>
      <c r="M906" s="82" t="n"/>
      <c r="N906" s="83" t="n"/>
      <c r="O906" s="83" t="n"/>
      <c r="P906" s="66">
        <f>IF(OR($N906="",$O906=""),"",$O906-$N906)</f>
        <v/>
      </c>
      <c r="Q906" s="84">
        <f>IF($K906="","",IF($M906&lt;&gt;"",$M906-$K906,TODAY()-$K906))</f>
        <v/>
      </c>
      <c r="R906" s="85">
        <f>IF(OR($L906="",$I906="Completed",$I906="Cancelled"),"",IF(AND($L906&lt;TODAY(),$I906&lt;&gt;"Completed",$I906&lt;&gt;"Cancelled"),"Overdue","On Track"))</f>
        <v/>
      </c>
      <c r="S906" s="65">
        <f>IF($L906="","",TEXT($L906,"yyyy-mm"))</f>
        <v/>
      </c>
      <c r="T906" s="86">
        <f>IF($I906="","",IFERROR(INDEX(Action_Status_Map!$C$5:$C$11,MATCH($I906,Action_Status_Map!$A$5:$A$11,0)),""))</f>
        <v/>
      </c>
      <c r="U906" s="81" t="n"/>
      <c r="V906" s="82" t="n"/>
      <c r="W906" s="65">
        <f>IF(OR($I906&lt;&gt;"Completed",$M906="",$L906=""),"",IF($M906&lt;=$L906,"Yes","No"))</f>
        <v/>
      </c>
      <c r="X906" s="84">
        <f>IF($A906="","",COUNTIF(Task_Steps!$B$5:$B$2004,$A906))</f>
        <v/>
      </c>
      <c r="Y906" s="86">
        <f>IF($X906=0,"",COUNTIFS(Task_Steps!$B$5:$B$2004,$A906,Task_Steps!$H$5:$H$2004,"Completed")/$X906)</f>
        <v/>
      </c>
      <c r="Z906" s="81" t="n"/>
      <c r="AA906" s="81" t="n"/>
      <c r="AB906" s="67">
        <f>IF($F906="","",IFERROR(INDEX(Employee_Master!$E$5:$E$204,MATCH($F906,Employee_Master!$B$5:$B$204,0)),""))</f>
        <v/>
      </c>
      <c r="AC906" s="65">
        <f>IF(OR($A906="",$AB906=""),"",IF(OR($I906="Completed",$I906="Cancelled"),"Closed - in Manager Report","Active - in Manager Report"))</f>
        <v/>
      </c>
      <c r="AD906" s="81">
        <f>IF($A906="","",IFERROR(TEXTJOIN(", ",TRUE,FILTER(Task_Steps!$A$5:$A$2004,Task_Steps!$B$5:$B$2004=$A906)),""))</f>
        <v/>
      </c>
      <c r="AE906" s="84">
        <f>IF($A906="","",COUNTIFS(Task_Steps!$B$5:$B$2004,$A906,Task_Steps!$H$5:$H$2004,"&lt;&gt;Completed",Task_Steps!$H$5:$H$2004,"&lt;&gt;Cancelled"))</f>
        <v/>
      </c>
      <c r="AF906" s="81">
        <f>IF(OR($B906="",$A906=""),"",$B906&amp;" | "&amp;$A906)</f>
        <v/>
      </c>
    </row>
    <row r="907" ht="15" customHeight="1" s="40">
      <c r="A907" s="65">
        <f>IF(COUNTA(B907:F907)=0,"","TSK-"&amp;TEXT(ROW()-4,"0000"))</f>
        <v/>
      </c>
      <c r="B907" s="78" t="n"/>
      <c r="C907" s="78" t="n"/>
      <c r="D907" s="81" t="n"/>
      <c r="E907" s="81" t="n"/>
      <c r="F907" s="78" t="n"/>
      <c r="G907" s="67">
        <f>IF($F907="","",IFERROR(INDEX(Employee_Master!$C$5:$C$204,MATCH($F907,Employee_Master!$B$5:$B$204,0)),""))</f>
        <v/>
      </c>
      <c r="H907" s="78" t="n"/>
      <c r="I907" s="78" t="n"/>
      <c r="J907" s="67">
        <f>IF($I907="","",IFERROR(INDEX(Action_Status_Map!$B$5:$B$11,MATCH($I907,Action_Status_Map!$A$5:$A$11,0)),""))</f>
        <v/>
      </c>
      <c r="K907" s="82" t="n"/>
      <c r="L907" s="82" t="n"/>
      <c r="M907" s="82" t="n"/>
      <c r="N907" s="83" t="n"/>
      <c r="O907" s="83" t="n"/>
      <c r="P907" s="66">
        <f>IF(OR($N907="",$O907=""),"",$O907-$N907)</f>
        <v/>
      </c>
      <c r="Q907" s="84">
        <f>IF($K907="","",IF($M907&lt;&gt;"",$M907-$K907,TODAY()-$K907))</f>
        <v/>
      </c>
      <c r="R907" s="85">
        <f>IF(OR($L907="",$I907="Completed",$I907="Cancelled"),"",IF(AND($L907&lt;TODAY(),$I907&lt;&gt;"Completed",$I907&lt;&gt;"Cancelled"),"Overdue","On Track"))</f>
        <v/>
      </c>
      <c r="S907" s="65">
        <f>IF($L907="","",TEXT($L907,"yyyy-mm"))</f>
        <v/>
      </c>
      <c r="T907" s="86">
        <f>IF($I907="","",IFERROR(INDEX(Action_Status_Map!$C$5:$C$11,MATCH($I907,Action_Status_Map!$A$5:$A$11,0)),""))</f>
        <v/>
      </c>
      <c r="U907" s="81" t="n"/>
      <c r="V907" s="82" t="n"/>
      <c r="W907" s="65">
        <f>IF(OR($I907&lt;&gt;"Completed",$M907="",$L907=""),"",IF($M907&lt;=$L907,"Yes","No"))</f>
        <v/>
      </c>
      <c r="X907" s="84">
        <f>IF($A907="","",COUNTIF(Task_Steps!$B$5:$B$2004,$A907))</f>
        <v/>
      </c>
      <c r="Y907" s="86">
        <f>IF($X907=0,"",COUNTIFS(Task_Steps!$B$5:$B$2004,$A907,Task_Steps!$H$5:$H$2004,"Completed")/$X907)</f>
        <v/>
      </c>
      <c r="Z907" s="81" t="n"/>
      <c r="AA907" s="81" t="n"/>
      <c r="AB907" s="67">
        <f>IF($F907="","",IFERROR(INDEX(Employee_Master!$E$5:$E$204,MATCH($F907,Employee_Master!$B$5:$B$204,0)),""))</f>
        <v/>
      </c>
      <c r="AC907" s="65">
        <f>IF(OR($A907="",$AB907=""),"",IF(OR($I907="Completed",$I907="Cancelled"),"Closed - in Manager Report","Active - in Manager Report"))</f>
        <v/>
      </c>
      <c r="AD907" s="81">
        <f>IF($A907="","",IFERROR(TEXTJOIN(", ",TRUE,FILTER(Task_Steps!$A$5:$A$2004,Task_Steps!$B$5:$B$2004=$A907)),""))</f>
        <v/>
      </c>
      <c r="AE907" s="84">
        <f>IF($A907="","",COUNTIFS(Task_Steps!$B$5:$B$2004,$A907,Task_Steps!$H$5:$H$2004,"&lt;&gt;Completed",Task_Steps!$H$5:$H$2004,"&lt;&gt;Cancelled"))</f>
        <v/>
      </c>
      <c r="AF907" s="81">
        <f>IF(OR($B907="",$A907=""),"",$B907&amp;" | "&amp;$A907)</f>
        <v/>
      </c>
    </row>
    <row r="908" ht="15" customHeight="1" s="40">
      <c r="A908" s="65">
        <f>IF(COUNTA(B908:F908)=0,"","TSK-"&amp;TEXT(ROW()-4,"0000"))</f>
        <v/>
      </c>
      <c r="B908" s="78" t="n"/>
      <c r="C908" s="78" t="n"/>
      <c r="D908" s="81" t="n"/>
      <c r="E908" s="81" t="n"/>
      <c r="F908" s="78" t="n"/>
      <c r="G908" s="67">
        <f>IF($F908="","",IFERROR(INDEX(Employee_Master!$C$5:$C$204,MATCH($F908,Employee_Master!$B$5:$B$204,0)),""))</f>
        <v/>
      </c>
      <c r="H908" s="78" t="n"/>
      <c r="I908" s="78" t="n"/>
      <c r="J908" s="67">
        <f>IF($I908="","",IFERROR(INDEX(Action_Status_Map!$B$5:$B$11,MATCH($I908,Action_Status_Map!$A$5:$A$11,0)),""))</f>
        <v/>
      </c>
      <c r="K908" s="82" t="n"/>
      <c r="L908" s="82" t="n"/>
      <c r="M908" s="82" t="n"/>
      <c r="N908" s="83" t="n"/>
      <c r="O908" s="83" t="n"/>
      <c r="P908" s="66">
        <f>IF(OR($N908="",$O908=""),"",$O908-$N908)</f>
        <v/>
      </c>
      <c r="Q908" s="84">
        <f>IF($K908="","",IF($M908&lt;&gt;"",$M908-$K908,TODAY()-$K908))</f>
        <v/>
      </c>
      <c r="R908" s="85">
        <f>IF(OR($L908="",$I908="Completed",$I908="Cancelled"),"",IF(AND($L908&lt;TODAY(),$I908&lt;&gt;"Completed",$I908&lt;&gt;"Cancelled"),"Overdue","On Track"))</f>
        <v/>
      </c>
      <c r="S908" s="65">
        <f>IF($L908="","",TEXT($L908,"yyyy-mm"))</f>
        <v/>
      </c>
      <c r="T908" s="86">
        <f>IF($I908="","",IFERROR(INDEX(Action_Status_Map!$C$5:$C$11,MATCH($I908,Action_Status_Map!$A$5:$A$11,0)),""))</f>
        <v/>
      </c>
      <c r="U908" s="81" t="n"/>
      <c r="V908" s="82" t="n"/>
      <c r="W908" s="65">
        <f>IF(OR($I908&lt;&gt;"Completed",$M908="",$L908=""),"",IF($M908&lt;=$L908,"Yes","No"))</f>
        <v/>
      </c>
      <c r="X908" s="84">
        <f>IF($A908="","",COUNTIF(Task_Steps!$B$5:$B$2004,$A908))</f>
        <v/>
      </c>
      <c r="Y908" s="86">
        <f>IF($X908=0,"",COUNTIFS(Task_Steps!$B$5:$B$2004,$A908,Task_Steps!$H$5:$H$2004,"Completed")/$X908)</f>
        <v/>
      </c>
      <c r="Z908" s="81" t="n"/>
      <c r="AA908" s="81" t="n"/>
      <c r="AB908" s="67">
        <f>IF($F908="","",IFERROR(INDEX(Employee_Master!$E$5:$E$204,MATCH($F908,Employee_Master!$B$5:$B$204,0)),""))</f>
        <v/>
      </c>
      <c r="AC908" s="65">
        <f>IF(OR($A908="",$AB908=""),"",IF(OR($I908="Completed",$I908="Cancelled"),"Closed - in Manager Report","Active - in Manager Report"))</f>
        <v/>
      </c>
      <c r="AD908" s="81">
        <f>IF($A908="","",IFERROR(TEXTJOIN(", ",TRUE,FILTER(Task_Steps!$A$5:$A$2004,Task_Steps!$B$5:$B$2004=$A908)),""))</f>
        <v/>
      </c>
      <c r="AE908" s="84">
        <f>IF($A908="","",COUNTIFS(Task_Steps!$B$5:$B$2004,$A908,Task_Steps!$H$5:$H$2004,"&lt;&gt;Completed",Task_Steps!$H$5:$H$2004,"&lt;&gt;Cancelled"))</f>
        <v/>
      </c>
      <c r="AF908" s="81">
        <f>IF(OR($B908="",$A908=""),"",$B908&amp;" | "&amp;$A908)</f>
        <v/>
      </c>
    </row>
    <row r="909" ht="15" customHeight="1" s="40">
      <c r="A909" s="65">
        <f>IF(COUNTA(B909:F909)=0,"","TSK-"&amp;TEXT(ROW()-4,"0000"))</f>
        <v/>
      </c>
      <c r="B909" s="78" t="n"/>
      <c r="C909" s="78" t="n"/>
      <c r="D909" s="81" t="n"/>
      <c r="E909" s="81" t="n"/>
      <c r="F909" s="78" t="n"/>
      <c r="G909" s="67">
        <f>IF($F909="","",IFERROR(INDEX(Employee_Master!$C$5:$C$204,MATCH($F909,Employee_Master!$B$5:$B$204,0)),""))</f>
        <v/>
      </c>
      <c r="H909" s="78" t="n"/>
      <c r="I909" s="78" t="n"/>
      <c r="J909" s="67">
        <f>IF($I909="","",IFERROR(INDEX(Action_Status_Map!$B$5:$B$11,MATCH($I909,Action_Status_Map!$A$5:$A$11,0)),""))</f>
        <v/>
      </c>
      <c r="K909" s="82" t="n"/>
      <c r="L909" s="82" t="n"/>
      <c r="M909" s="82" t="n"/>
      <c r="N909" s="83" t="n"/>
      <c r="O909" s="83" t="n"/>
      <c r="P909" s="66">
        <f>IF(OR($N909="",$O909=""),"",$O909-$N909)</f>
        <v/>
      </c>
      <c r="Q909" s="84">
        <f>IF($K909="","",IF($M909&lt;&gt;"",$M909-$K909,TODAY()-$K909))</f>
        <v/>
      </c>
      <c r="R909" s="85">
        <f>IF(OR($L909="",$I909="Completed",$I909="Cancelled"),"",IF(AND($L909&lt;TODAY(),$I909&lt;&gt;"Completed",$I909&lt;&gt;"Cancelled"),"Overdue","On Track"))</f>
        <v/>
      </c>
      <c r="S909" s="65">
        <f>IF($L909="","",TEXT($L909,"yyyy-mm"))</f>
        <v/>
      </c>
      <c r="T909" s="86">
        <f>IF($I909="","",IFERROR(INDEX(Action_Status_Map!$C$5:$C$11,MATCH($I909,Action_Status_Map!$A$5:$A$11,0)),""))</f>
        <v/>
      </c>
      <c r="U909" s="81" t="n"/>
      <c r="V909" s="82" t="n"/>
      <c r="W909" s="65">
        <f>IF(OR($I909&lt;&gt;"Completed",$M909="",$L909=""),"",IF($M909&lt;=$L909,"Yes","No"))</f>
        <v/>
      </c>
      <c r="X909" s="84">
        <f>IF($A909="","",COUNTIF(Task_Steps!$B$5:$B$2004,$A909))</f>
        <v/>
      </c>
      <c r="Y909" s="86">
        <f>IF($X909=0,"",COUNTIFS(Task_Steps!$B$5:$B$2004,$A909,Task_Steps!$H$5:$H$2004,"Completed")/$X909)</f>
        <v/>
      </c>
      <c r="Z909" s="81" t="n"/>
      <c r="AA909" s="81" t="n"/>
      <c r="AB909" s="67">
        <f>IF($F909="","",IFERROR(INDEX(Employee_Master!$E$5:$E$204,MATCH($F909,Employee_Master!$B$5:$B$204,0)),""))</f>
        <v/>
      </c>
      <c r="AC909" s="65">
        <f>IF(OR($A909="",$AB909=""),"",IF(OR($I909="Completed",$I909="Cancelled"),"Closed - in Manager Report","Active - in Manager Report"))</f>
        <v/>
      </c>
      <c r="AD909" s="81">
        <f>IF($A909="","",IFERROR(TEXTJOIN(", ",TRUE,FILTER(Task_Steps!$A$5:$A$2004,Task_Steps!$B$5:$B$2004=$A909)),""))</f>
        <v/>
      </c>
      <c r="AE909" s="84">
        <f>IF($A909="","",COUNTIFS(Task_Steps!$B$5:$B$2004,$A909,Task_Steps!$H$5:$H$2004,"&lt;&gt;Completed",Task_Steps!$H$5:$H$2004,"&lt;&gt;Cancelled"))</f>
        <v/>
      </c>
      <c r="AF909" s="81">
        <f>IF(OR($B909="",$A909=""),"",$B909&amp;" | "&amp;$A909)</f>
        <v/>
      </c>
    </row>
    <row r="910" ht="15" customHeight="1" s="40">
      <c r="A910" s="65">
        <f>IF(COUNTA(B910:F910)=0,"","TSK-"&amp;TEXT(ROW()-4,"0000"))</f>
        <v/>
      </c>
      <c r="B910" s="78" t="n"/>
      <c r="C910" s="78" t="n"/>
      <c r="D910" s="81" t="n"/>
      <c r="E910" s="81" t="n"/>
      <c r="F910" s="78" t="n"/>
      <c r="G910" s="67">
        <f>IF($F910="","",IFERROR(INDEX(Employee_Master!$C$5:$C$204,MATCH($F910,Employee_Master!$B$5:$B$204,0)),""))</f>
        <v/>
      </c>
      <c r="H910" s="78" t="n"/>
      <c r="I910" s="78" t="n"/>
      <c r="J910" s="67">
        <f>IF($I910="","",IFERROR(INDEX(Action_Status_Map!$B$5:$B$11,MATCH($I910,Action_Status_Map!$A$5:$A$11,0)),""))</f>
        <v/>
      </c>
      <c r="K910" s="82" t="n"/>
      <c r="L910" s="82" t="n"/>
      <c r="M910" s="82" t="n"/>
      <c r="N910" s="83" t="n"/>
      <c r="O910" s="83" t="n"/>
      <c r="P910" s="66">
        <f>IF(OR($N910="",$O910=""),"",$O910-$N910)</f>
        <v/>
      </c>
      <c r="Q910" s="84">
        <f>IF($K910="","",IF($M910&lt;&gt;"",$M910-$K910,TODAY()-$K910))</f>
        <v/>
      </c>
      <c r="R910" s="85">
        <f>IF(OR($L910="",$I910="Completed",$I910="Cancelled"),"",IF(AND($L910&lt;TODAY(),$I910&lt;&gt;"Completed",$I910&lt;&gt;"Cancelled"),"Overdue","On Track"))</f>
        <v/>
      </c>
      <c r="S910" s="65">
        <f>IF($L910="","",TEXT($L910,"yyyy-mm"))</f>
        <v/>
      </c>
      <c r="T910" s="86">
        <f>IF($I910="","",IFERROR(INDEX(Action_Status_Map!$C$5:$C$11,MATCH($I910,Action_Status_Map!$A$5:$A$11,0)),""))</f>
        <v/>
      </c>
      <c r="U910" s="81" t="n"/>
      <c r="V910" s="82" t="n"/>
      <c r="W910" s="65">
        <f>IF(OR($I910&lt;&gt;"Completed",$M910="",$L910=""),"",IF($M910&lt;=$L910,"Yes","No"))</f>
        <v/>
      </c>
      <c r="X910" s="84">
        <f>IF($A910="","",COUNTIF(Task_Steps!$B$5:$B$2004,$A910))</f>
        <v/>
      </c>
      <c r="Y910" s="86">
        <f>IF($X910=0,"",COUNTIFS(Task_Steps!$B$5:$B$2004,$A910,Task_Steps!$H$5:$H$2004,"Completed")/$X910)</f>
        <v/>
      </c>
      <c r="Z910" s="81" t="n"/>
      <c r="AA910" s="81" t="n"/>
      <c r="AB910" s="67">
        <f>IF($F910="","",IFERROR(INDEX(Employee_Master!$E$5:$E$204,MATCH($F910,Employee_Master!$B$5:$B$204,0)),""))</f>
        <v/>
      </c>
      <c r="AC910" s="65">
        <f>IF(OR($A910="",$AB910=""),"",IF(OR($I910="Completed",$I910="Cancelled"),"Closed - in Manager Report","Active - in Manager Report"))</f>
        <v/>
      </c>
      <c r="AD910" s="81">
        <f>IF($A910="","",IFERROR(TEXTJOIN(", ",TRUE,FILTER(Task_Steps!$A$5:$A$2004,Task_Steps!$B$5:$B$2004=$A910)),""))</f>
        <v/>
      </c>
      <c r="AE910" s="84">
        <f>IF($A910="","",COUNTIFS(Task_Steps!$B$5:$B$2004,$A910,Task_Steps!$H$5:$H$2004,"&lt;&gt;Completed",Task_Steps!$H$5:$H$2004,"&lt;&gt;Cancelled"))</f>
        <v/>
      </c>
      <c r="AF910" s="81">
        <f>IF(OR($B910="",$A910=""),"",$B910&amp;" | "&amp;$A910)</f>
        <v/>
      </c>
    </row>
    <row r="911" ht="15" customHeight="1" s="40">
      <c r="A911" s="65">
        <f>IF(COUNTA(B911:F911)=0,"","TSK-"&amp;TEXT(ROW()-4,"0000"))</f>
        <v/>
      </c>
      <c r="B911" s="78" t="n"/>
      <c r="C911" s="78" t="n"/>
      <c r="D911" s="81" t="n"/>
      <c r="E911" s="81" t="n"/>
      <c r="F911" s="78" t="n"/>
      <c r="G911" s="67">
        <f>IF($F911="","",IFERROR(INDEX(Employee_Master!$C$5:$C$204,MATCH($F911,Employee_Master!$B$5:$B$204,0)),""))</f>
        <v/>
      </c>
      <c r="H911" s="78" t="n"/>
      <c r="I911" s="78" t="n"/>
      <c r="J911" s="67">
        <f>IF($I911="","",IFERROR(INDEX(Action_Status_Map!$B$5:$B$11,MATCH($I911,Action_Status_Map!$A$5:$A$11,0)),""))</f>
        <v/>
      </c>
      <c r="K911" s="82" t="n"/>
      <c r="L911" s="82" t="n"/>
      <c r="M911" s="82" t="n"/>
      <c r="N911" s="83" t="n"/>
      <c r="O911" s="83" t="n"/>
      <c r="P911" s="66">
        <f>IF(OR($N911="",$O911=""),"",$O911-$N911)</f>
        <v/>
      </c>
      <c r="Q911" s="84">
        <f>IF($K911="","",IF($M911&lt;&gt;"",$M911-$K911,TODAY()-$K911))</f>
        <v/>
      </c>
      <c r="R911" s="85">
        <f>IF(OR($L911="",$I911="Completed",$I911="Cancelled"),"",IF(AND($L911&lt;TODAY(),$I911&lt;&gt;"Completed",$I911&lt;&gt;"Cancelled"),"Overdue","On Track"))</f>
        <v/>
      </c>
      <c r="S911" s="65">
        <f>IF($L911="","",TEXT($L911,"yyyy-mm"))</f>
        <v/>
      </c>
      <c r="T911" s="86">
        <f>IF($I911="","",IFERROR(INDEX(Action_Status_Map!$C$5:$C$11,MATCH($I911,Action_Status_Map!$A$5:$A$11,0)),""))</f>
        <v/>
      </c>
      <c r="U911" s="81" t="n"/>
      <c r="V911" s="82" t="n"/>
      <c r="W911" s="65">
        <f>IF(OR($I911&lt;&gt;"Completed",$M911="",$L911=""),"",IF($M911&lt;=$L911,"Yes","No"))</f>
        <v/>
      </c>
      <c r="X911" s="84">
        <f>IF($A911="","",COUNTIF(Task_Steps!$B$5:$B$2004,$A911))</f>
        <v/>
      </c>
      <c r="Y911" s="86">
        <f>IF($X911=0,"",COUNTIFS(Task_Steps!$B$5:$B$2004,$A911,Task_Steps!$H$5:$H$2004,"Completed")/$X911)</f>
        <v/>
      </c>
      <c r="Z911" s="81" t="n"/>
      <c r="AA911" s="81" t="n"/>
      <c r="AB911" s="67">
        <f>IF($F911="","",IFERROR(INDEX(Employee_Master!$E$5:$E$204,MATCH($F911,Employee_Master!$B$5:$B$204,0)),""))</f>
        <v/>
      </c>
      <c r="AC911" s="65">
        <f>IF(OR($A911="",$AB911=""),"",IF(OR($I911="Completed",$I911="Cancelled"),"Closed - in Manager Report","Active - in Manager Report"))</f>
        <v/>
      </c>
      <c r="AD911" s="81">
        <f>IF($A911="","",IFERROR(TEXTJOIN(", ",TRUE,FILTER(Task_Steps!$A$5:$A$2004,Task_Steps!$B$5:$B$2004=$A911)),""))</f>
        <v/>
      </c>
      <c r="AE911" s="84">
        <f>IF($A911="","",COUNTIFS(Task_Steps!$B$5:$B$2004,$A911,Task_Steps!$H$5:$H$2004,"&lt;&gt;Completed",Task_Steps!$H$5:$H$2004,"&lt;&gt;Cancelled"))</f>
        <v/>
      </c>
      <c r="AF911" s="81">
        <f>IF(OR($B911="",$A911=""),"",$B911&amp;" | "&amp;$A911)</f>
        <v/>
      </c>
    </row>
    <row r="912" ht="15" customHeight="1" s="40">
      <c r="A912" s="65">
        <f>IF(COUNTA(B912:F912)=0,"","TSK-"&amp;TEXT(ROW()-4,"0000"))</f>
        <v/>
      </c>
      <c r="B912" s="78" t="n"/>
      <c r="C912" s="78" t="n"/>
      <c r="D912" s="81" t="n"/>
      <c r="E912" s="81" t="n"/>
      <c r="F912" s="78" t="n"/>
      <c r="G912" s="67">
        <f>IF($F912="","",IFERROR(INDEX(Employee_Master!$C$5:$C$204,MATCH($F912,Employee_Master!$B$5:$B$204,0)),""))</f>
        <v/>
      </c>
      <c r="H912" s="78" t="n"/>
      <c r="I912" s="78" t="n"/>
      <c r="J912" s="67">
        <f>IF($I912="","",IFERROR(INDEX(Action_Status_Map!$B$5:$B$11,MATCH($I912,Action_Status_Map!$A$5:$A$11,0)),""))</f>
        <v/>
      </c>
      <c r="K912" s="82" t="n"/>
      <c r="L912" s="82" t="n"/>
      <c r="M912" s="82" t="n"/>
      <c r="N912" s="83" t="n"/>
      <c r="O912" s="83" t="n"/>
      <c r="P912" s="66">
        <f>IF(OR($N912="",$O912=""),"",$O912-$N912)</f>
        <v/>
      </c>
      <c r="Q912" s="84">
        <f>IF($K912="","",IF($M912&lt;&gt;"",$M912-$K912,TODAY()-$K912))</f>
        <v/>
      </c>
      <c r="R912" s="85">
        <f>IF(OR($L912="",$I912="Completed",$I912="Cancelled"),"",IF(AND($L912&lt;TODAY(),$I912&lt;&gt;"Completed",$I912&lt;&gt;"Cancelled"),"Overdue","On Track"))</f>
        <v/>
      </c>
      <c r="S912" s="65">
        <f>IF($L912="","",TEXT($L912,"yyyy-mm"))</f>
        <v/>
      </c>
      <c r="T912" s="86">
        <f>IF($I912="","",IFERROR(INDEX(Action_Status_Map!$C$5:$C$11,MATCH($I912,Action_Status_Map!$A$5:$A$11,0)),""))</f>
        <v/>
      </c>
      <c r="U912" s="81" t="n"/>
      <c r="V912" s="82" t="n"/>
      <c r="W912" s="65">
        <f>IF(OR($I912&lt;&gt;"Completed",$M912="",$L912=""),"",IF($M912&lt;=$L912,"Yes","No"))</f>
        <v/>
      </c>
      <c r="X912" s="84">
        <f>IF($A912="","",COUNTIF(Task_Steps!$B$5:$B$2004,$A912))</f>
        <v/>
      </c>
      <c r="Y912" s="86">
        <f>IF($X912=0,"",COUNTIFS(Task_Steps!$B$5:$B$2004,$A912,Task_Steps!$H$5:$H$2004,"Completed")/$X912)</f>
        <v/>
      </c>
      <c r="Z912" s="81" t="n"/>
      <c r="AA912" s="81" t="n"/>
      <c r="AB912" s="67">
        <f>IF($F912="","",IFERROR(INDEX(Employee_Master!$E$5:$E$204,MATCH($F912,Employee_Master!$B$5:$B$204,0)),""))</f>
        <v/>
      </c>
      <c r="AC912" s="65">
        <f>IF(OR($A912="",$AB912=""),"",IF(OR($I912="Completed",$I912="Cancelled"),"Closed - in Manager Report","Active - in Manager Report"))</f>
        <v/>
      </c>
      <c r="AD912" s="81">
        <f>IF($A912="","",IFERROR(TEXTJOIN(", ",TRUE,FILTER(Task_Steps!$A$5:$A$2004,Task_Steps!$B$5:$B$2004=$A912)),""))</f>
        <v/>
      </c>
      <c r="AE912" s="84">
        <f>IF($A912="","",COUNTIFS(Task_Steps!$B$5:$B$2004,$A912,Task_Steps!$H$5:$H$2004,"&lt;&gt;Completed",Task_Steps!$H$5:$H$2004,"&lt;&gt;Cancelled"))</f>
        <v/>
      </c>
      <c r="AF912" s="81">
        <f>IF(OR($B912="",$A912=""),"",$B912&amp;" | "&amp;$A912)</f>
        <v/>
      </c>
    </row>
    <row r="913" ht="15" customHeight="1" s="40">
      <c r="A913" s="65">
        <f>IF(COUNTA(B913:F913)=0,"","TSK-"&amp;TEXT(ROW()-4,"0000"))</f>
        <v/>
      </c>
      <c r="B913" s="78" t="n"/>
      <c r="C913" s="78" t="n"/>
      <c r="D913" s="81" t="n"/>
      <c r="E913" s="81" t="n"/>
      <c r="F913" s="78" t="n"/>
      <c r="G913" s="67">
        <f>IF($F913="","",IFERROR(INDEX(Employee_Master!$C$5:$C$204,MATCH($F913,Employee_Master!$B$5:$B$204,0)),""))</f>
        <v/>
      </c>
      <c r="H913" s="78" t="n"/>
      <c r="I913" s="78" t="n"/>
      <c r="J913" s="67">
        <f>IF($I913="","",IFERROR(INDEX(Action_Status_Map!$B$5:$B$11,MATCH($I913,Action_Status_Map!$A$5:$A$11,0)),""))</f>
        <v/>
      </c>
      <c r="K913" s="82" t="n"/>
      <c r="L913" s="82" t="n"/>
      <c r="M913" s="82" t="n"/>
      <c r="N913" s="83" t="n"/>
      <c r="O913" s="83" t="n"/>
      <c r="P913" s="66">
        <f>IF(OR($N913="",$O913=""),"",$O913-$N913)</f>
        <v/>
      </c>
      <c r="Q913" s="84">
        <f>IF($K913="","",IF($M913&lt;&gt;"",$M913-$K913,TODAY()-$K913))</f>
        <v/>
      </c>
      <c r="R913" s="85">
        <f>IF(OR($L913="",$I913="Completed",$I913="Cancelled"),"",IF(AND($L913&lt;TODAY(),$I913&lt;&gt;"Completed",$I913&lt;&gt;"Cancelled"),"Overdue","On Track"))</f>
        <v/>
      </c>
      <c r="S913" s="65">
        <f>IF($L913="","",TEXT($L913,"yyyy-mm"))</f>
        <v/>
      </c>
      <c r="T913" s="86">
        <f>IF($I913="","",IFERROR(INDEX(Action_Status_Map!$C$5:$C$11,MATCH($I913,Action_Status_Map!$A$5:$A$11,0)),""))</f>
        <v/>
      </c>
      <c r="U913" s="81" t="n"/>
      <c r="V913" s="82" t="n"/>
      <c r="W913" s="65">
        <f>IF(OR($I913&lt;&gt;"Completed",$M913="",$L913=""),"",IF($M913&lt;=$L913,"Yes","No"))</f>
        <v/>
      </c>
      <c r="X913" s="84">
        <f>IF($A913="","",COUNTIF(Task_Steps!$B$5:$B$2004,$A913))</f>
        <v/>
      </c>
      <c r="Y913" s="86">
        <f>IF($X913=0,"",COUNTIFS(Task_Steps!$B$5:$B$2004,$A913,Task_Steps!$H$5:$H$2004,"Completed")/$X913)</f>
        <v/>
      </c>
      <c r="Z913" s="81" t="n"/>
      <c r="AA913" s="81" t="n"/>
      <c r="AB913" s="67">
        <f>IF($F913="","",IFERROR(INDEX(Employee_Master!$E$5:$E$204,MATCH($F913,Employee_Master!$B$5:$B$204,0)),""))</f>
        <v/>
      </c>
      <c r="AC913" s="65">
        <f>IF(OR($A913="",$AB913=""),"",IF(OR($I913="Completed",$I913="Cancelled"),"Closed - in Manager Report","Active - in Manager Report"))</f>
        <v/>
      </c>
      <c r="AD913" s="81">
        <f>IF($A913="","",IFERROR(TEXTJOIN(", ",TRUE,FILTER(Task_Steps!$A$5:$A$2004,Task_Steps!$B$5:$B$2004=$A913)),""))</f>
        <v/>
      </c>
      <c r="AE913" s="84">
        <f>IF($A913="","",COUNTIFS(Task_Steps!$B$5:$B$2004,$A913,Task_Steps!$H$5:$H$2004,"&lt;&gt;Completed",Task_Steps!$H$5:$H$2004,"&lt;&gt;Cancelled"))</f>
        <v/>
      </c>
      <c r="AF913" s="81">
        <f>IF(OR($B913="",$A913=""),"",$B913&amp;" | "&amp;$A913)</f>
        <v/>
      </c>
    </row>
    <row r="914" ht="15" customHeight="1" s="40">
      <c r="A914" s="65">
        <f>IF(COUNTA(B914:F914)=0,"","TSK-"&amp;TEXT(ROW()-4,"0000"))</f>
        <v/>
      </c>
      <c r="B914" s="78" t="n"/>
      <c r="C914" s="78" t="n"/>
      <c r="D914" s="81" t="n"/>
      <c r="E914" s="81" t="n"/>
      <c r="F914" s="78" t="n"/>
      <c r="G914" s="67">
        <f>IF($F914="","",IFERROR(INDEX(Employee_Master!$C$5:$C$204,MATCH($F914,Employee_Master!$B$5:$B$204,0)),""))</f>
        <v/>
      </c>
      <c r="H914" s="78" t="n"/>
      <c r="I914" s="78" t="n"/>
      <c r="J914" s="67">
        <f>IF($I914="","",IFERROR(INDEX(Action_Status_Map!$B$5:$B$11,MATCH($I914,Action_Status_Map!$A$5:$A$11,0)),""))</f>
        <v/>
      </c>
      <c r="K914" s="82" t="n"/>
      <c r="L914" s="82" t="n"/>
      <c r="M914" s="82" t="n"/>
      <c r="N914" s="83" t="n"/>
      <c r="O914" s="83" t="n"/>
      <c r="P914" s="66">
        <f>IF(OR($N914="",$O914=""),"",$O914-$N914)</f>
        <v/>
      </c>
      <c r="Q914" s="84">
        <f>IF($K914="","",IF($M914&lt;&gt;"",$M914-$K914,TODAY()-$K914))</f>
        <v/>
      </c>
      <c r="R914" s="85">
        <f>IF(OR($L914="",$I914="Completed",$I914="Cancelled"),"",IF(AND($L914&lt;TODAY(),$I914&lt;&gt;"Completed",$I914&lt;&gt;"Cancelled"),"Overdue","On Track"))</f>
        <v/>
      </c>
      <c r="S914" s="65">
        <f>IF($L914="","",TEXT($L914,"yyyy-mm"))</f>
        <v/>
      </c>
      <c r="T914" s="86">
        <f>IF($I914="","",IFERROR(INDEX(Action_Status_Map!$C$5:$C$11,MATCH($I914,Action_Status_Map!$A$5:$A$11,0)),""))</f>
        <v/>
      </c>
      <c r="U914" s="81" t="n"/>
      <c r="V914" s="82" t="n"/>
      <c r="W914" s="65">
        <f>IF(OR($I914&lt;&gt;"Completed",$M914="",$L914=""),"",IF($M914&lt;=$L914,"Yes","No"))</f>
        <v/>
      </c>
      <c r="X914" s="84">
        <f>IF($A914="","",COUNTIF(Task_Steps!$B$5:$B$2004,$A914))</f>
        <v/>
      </c>
      <c r="Y914" s="86">
        <f>IF($X914=0,"",COUNTIFS(Task_Steps!$B$5:$B$2004,$A914,Task_Steps!$H$5:$H$2004,"Completed")/$X914)</f>
        <v/>
      </c>
      <c r="Z914" s="81" t="n"/>
      <c r="AA914" s="81" t="n"/>
      <c r="AB914" s="67">
        <f>IF($F914="","",IFERROR(INDEX(Employee_Master!$E$5:$E$204,MATCH($F914,Employee_Master!$B$5:$B$204,0)),""))</f>
        <v/>
      </c>
      <c r="AC914" s="65">
        <f>IF(OR($A914="",$AB914=""),"",IF(OR($I914="Completed",$I914="Cancelled"),"Closed - in Manager Report","Active - in Manager Report"))</f>
        <v/>
      </c>
      <c r="AD914" s="81">
        <f>IF($A914="","",IFERROR(TEXTJOIN(", ",TRUE,FILTER(Task_Steps!$A$5:$A$2004,Task_Steps!$B$5:$B$2004=$A914)),""))</f>
        <v/>
      </c>
      <c r="AE914" s="84">
        <f>IF($A914="","",COUNTIFS(Task_Steps!$B$5:$B$2004,$A914,Task_Steps!$H$5:$H$2004,"&lt;&gt;Completed",Task_Steps!$H$5:$H$2004,"&lt;&gt;Cancelled"))</f>
        <v/>
      </c>
      <c r="AF914" s="81">
        <f>IF(OR($B914="",$A914=""),"",$B914&amp;" | "&amp;$A914)</f>
        <v/>
      </c>
    </row>
    <row r="915" ht="15" customHeight="1" s="40">
      <c r="A915" s="65">
        <f>IF(COUNTA(B915:F915)=0,"","TSK-"&amp;TEXT(ROW()-4,"0000"))</f>
        <v/>
      </c>
      <c r="B915" s="78" t="n"/>
      <c r="C915" s="78" t="n"/>
      <c r="D915" s="81" t="n"/>
      <c r="E915" s="81" t="n"/>
      <c r="F915" s="78" t="n"/>
      <c r="G915" s="67">
        <f>IF($F915="","",IFERROR(INDEX(Employee_Master!$C$5:$C$204,MATCH($F915,Employee_Master!$B$5:$B$204,0)),""))</f>
        <v/>
      </c>
      <c r="H915" s="78" t="n"/>
      <c r="I915" s="78" t="n"/>
      <c r="J915" s="67">
        <f>IF($I915="","",IFERROR(INDEX(Action_Status_Map!$B$5:$B$11,MATCH($I915,Action_Status_Map!$A$5:$A$11,0)),""))</f>
        <v/>
      </c>
      <c r="K915" s="82" t="n"/>
      <c r="L915" s="82" t="n"/>
      <c r="M915" s="82" t="n"/>
      <c r="N915" s="83" t="n"/>
      <c r="O915" s="83" t="n"/>
      <c r="P915" s="66">
        <f>IF(OR($N915="",$O915=""),"",$O915-$N915)</f>
        <v/>
      </c>
      <c r="Q915" s="84">
        <f>IF($K915="","",IF($M915&lt;&gt;"",$M915-$K915,TODAY()-$K915))</f>
        <v/>
      </c>
      <c r="R915" s="85">
        <f>IF(OR($L915="",$I915="Completed",$I915="Cancelled"),"",IF(AND($L915&lt;TODAY(),$I915&lt;&gt;"Completed",$I915&lt;&gt;"Cancelled"),"Overdue","On Track"))</f>
        <v/>
      </c>
      <c r="S915" s="65">
        <f>IF($L915="","",TEXT($L915,"yyyy-mm"))</f>
        <v/>
      </c>
      <c r="T915" s="86">
        <f>IF($I915="","",IFERROR(INDEX(Action_Status_Map!$C$5:$C$11,MATCH($I915,Action_Status_Map!$A$5:$A$11,0)),""))</f>
        <v/>
      </c>
      <c r="U915" s="81" t="n"/>
      <c r="V915" s="82" t="n"/>
      <c r="W915" s="65">
        <f>IF(OR($I915&lt;&gt;"Completed",$M915="",$L915=""),"",IF($M915&lt;=$L915,"Yes","No"))</f>
        <v/>
      </c>
      <c r="X915" s="84">
        <f>IF($A915="","",COUNTIF(Task_Steps!$B$5:$B$2004,$A915))</f>
        <v/>
      </c>
      <c r="Y915" s="86">
        <f>IF($X915=0,"",COUNTIFS(Task_Steps!$B$5:$B$2004,$A915,Task_Steps!$H$5:$H$2004,"Completed")/$X915)</f>
        <v/>
      </c>
      <c r="Z915" s="81" t="n"/>
      <c r="AA915" s="81" t="n"/>
      <c r="AB915" s="67">
        <f>IF($F915="","",IFERROR(INDEX(Employee_Master!$E$5:$E$204,MATCH($F915,Employee_Master!$B$5:$B$204,0)),""))</f>
        <v/>
      </c>
      <c r="AC915" s="65">
        <f>IF(OR($A915="",$AB915=""),"",IF(OR($I915="Completed",$I915="Cancelled"),"Closed - in Manager Report","Active - in Manager Report"))</f>
        <v/>
      </c>
      <c r="AD915" s="81">
        <f>IF($A915="","",IFERROR(TEXTJOIN(", ",TRUE,FILTER(Task_Steps!$A$5:$A$2004,Task_Steps!$B$5:$B$2004=$A915)),""))</f>
        <v/>
      </c>
      <c r="AE915" s="84">
        <f>IF($A915="","",COUNTIFS(Task_Steps!$B$5:$B$2004,$A915,Task_Steps!$H$5:$H$2004,"&lt;&gt;Completed",Task_Steps!$H$5:$H$2004,"&lt;&gt;Cancelled"))</f>
        <v/>
      </c>
      <c r="AF915" s="81">
        <f>IF(OR($B915="",$A915=""),"",$B915&amp;" | "&amp;$A915)</f>
        <v/>
      </c>
    </row>
    <row r="916" ht="15" customHeight="1" s="40">
      <c r="A916" s="65">
        <f>IF(COUNTA(B916:F916)=0,"","TSK-"&amp;TEXT(ROW()-4,"0000"))</f>
        <v/>
      </c>
      <c r="B916" s="78" t="n"/>
      <c r="C916" s="78" t="n"/>
      <c r="D916" s="81" t="n"/>
      <c r="E916" s="81" t="n"/>
      <c r="F916" s="78" t="n"/>
      <c r="G916" s="67">
        <f>IF($F916="","",IFERROR(INDEX(Employee_Master!$C$5:$C$204,MATCH($F916,Employee_Master!$B$5:$B$204,0)),""))</f>
        <v/>
      </c>
      <c r="H916" s="78" t="n"/>
      <c r="I916" s="78" t="n"/>
      <c r="J916" s="67">
        <f>IF($I916="","",IFERROR(INDEX(Action_Status_Map!$B$5:$B$11,MATCH($I916,Action_Status_Map!$A$5:$A$11,0)),""))</f>
        <v/>
      </c>
      <c r="K916" s="82" t="n"/>
      <c r="L916" s="82" t="n"/>
      <c r="M916" s="82" t="n"/>
      <c r="N916" s="83" t="n"/>
      <c r="O916" s="83" t="n"/>
      <c r="P916" s="66">
        <f>IF(OR($N916="",$O916=""),"",$O916-$N916)</f>
        <v/>
      </c>
      <c r="Q916" s="84">
        <f>IF($K916="","",IF($M916&lt;&gt;"",$M916-$K916,TODAY()-$K916))</f>
        <v/>
      </c>
      <c r="R916" s="85">
        <f>IF(OR($L916="",$I916="Completed",$I916="Cancelled"),"",IF(AND($L916&lt;TODAY(),$I916&lt;&gt;"Completed",$I916&lt;&gt;"Cancelled"),"Overdue","On Track"))</f>
        <v/>
      </c>
      <c r="S916" s="65">
        <f>IF($L916="","",TEXT($L916,"yyyy-mm"))</f>
        <v/>
      </c>
      <c r="T916" s="86">
        <f>IF($I916="","",IFERROR(INDEX(Action_Status_Map!$C$5:$C$11,MATCH($I916,Action_Status_Map!$A$5:$A$11,0)),""))</f>
        <v/>
      </c>
      <c r="U916" s="81" t="n"/>
      <c r="V916" s="82" t="n"/>
      <c r="W916" s="65">
        <f>IF(OR($I916&lt;&gt;"Completed",$M916="",$L916=""),"",IF($M916&lt;=$L916,"Yes","No"))</f>
        <v/>
      </c>
      <c r="X916" s="84">
        <f>IF($A916="","",COUNTIF(Task_Steps!$B$5:$B$2004,$A916))</f>
        <v/>
      </c>
      <c r="Y916" s="86">
        <f>IF($X916=0,"",COUNTIFS(Task_Steps!$B$5:$B$2004,$A916,Task_Steps!$H$5:$H$2004,"Completed")/$X916)</f>
        <v/>
      </c>
      <c r="Z916" s="81" t="n"/>
      <c r="AA916" s="81" t="n"/>
      <c r="AB916" s="67">
        <f>IF($F916="","",IFERROR(INDEX(Employee_Master!$E$5:$E$204,MATCH($F916,Employee_Master!$B$5:$B$204,0)),""))</f>
        <v/>
      </c>
      <c r="AC916" s="65">
        <f>IF(OR($A916="",$AB916=""),"",IF(OR($I916="Completed",$I916="Cancelled"),"Closed - in Manager Report","Active - in Manager Report"))</f>
        <v/>
      </c>
      <c r="AD916" s="81">
        <f>IF($A916="","",IFERROR(TEXTJOIN(", ",TRUE,FILTER(Task_Steps!$A$5:$A$2004,Task_Steps!$B$5:$B$2004=$A916)),""))</f>
        <v/>
      </c>
      <c r="AE916" s="84">
        <f>IF($A916="","",COUNTIFS(Task_Steps!$B$5:$B$2004,$A916,Task_Steps!$H$5:$H$2004,"&lt;&gt;Completed",Task_Steps!$H$5:$H$2004,"&lt;&gt;Cancelled"))</f>
        <v/>
      </c>
      <c r="AF916" s="81">
        <f>IF(OR($B916="",$A916=""),"",$B916&amp;" | "&amp;$A916)</f>
        <v/>
      </c>
    </row>
    <row r="917" ht="15" customHeight="1" s="40">
      <c r="A917" s="65">
        <f>IF(COUNTA(B917:F917)=0,"","TSK-"&amp;TEXT(ROW()-4,"0000"))</f>
        <v/>
      </c>
      <c r="B917" s="78" t="n"/>
      <c r="C917" s="78" t="n"/>
      <c r="D917" s="81" t="n"/>
      <c r="E917" s="81" t="n"/>
      <c r="F917" s="78" t="n"/>
      <c r="G917" s="67">
        <f>IF($F917="","",IFERROR(INDEX(Employee_Master!$C$5:$C$204,MATCH($F917,Employee_Master!$B$5:$B$204,0)),""))</f>
        <v/>
      </c>
      <c r="H917" s="78" t="n"/>
      <c r="I917" s="78" t="n"/>
      <c r="J917" s="67">
        <f>IF($I917="","",IFERROR(INDEX(Action_Status_Map!$B$5:$B$11,MATCH($I917,Action_Status_Map!$A$5:$A$11,0)),""))</f>
        <v/>
      </c>
      <c r="K917" s="82" t="n"/>
      <c r="L917" s="82" t="n"/>
      <c r="M917" s="82" t="n"/>
      <c r="N917" s="83" t="n"/>
      <c r="O917" s="83" t="n"/>
      <c r="P917" s="66">
        <f>IF(OR($N917="",$O917=""),"",$O917-$N917)</f>
        <v/>
      </c>
      <c r="Q917" s="84">
        <f>IF($K917="","",IF($M917&lt;&gt;"",$M917-$K917,TODAY()-$K917))</f>
        <v/>
      </c>
      <c r="R917" s="85">
        <f>IF(OR($L917="",$I917="Completed",$I917="Cancelled"),"",IF(AND($L917&lt;TODAY(),$I917&lt;&gt;"Completed",$I917&lt;&gt;"Cancelled"),"Overdue","On Track"))</f>
        <v/>
      </c>
      <c r="S917" s="65">
        <f>IF($L917="","",TEXT($L917,"yyyy-mm"))</f>
        <v/>
      </c>
      <c r="T917" s="86">
        <f>IF($I917="","",IFERROR(INDEX(Action_Status_Map!$C$5:$C$11,MATCH($I917,Action_Status_Map!$A$5:$A$11,0)),""))</f>
        <v/>
      </c>
      <c r="U917" s="81" t="n"/>
      <c r="V917" s="82" t="n"/>
      <c r="W917" s="65">
        <f>IF(OR($I917&lt;&gt;"Completed",$M917="",$L917=""),"",IF($M917&lt;=$L917,"Yes","No"))</f>
        <v/>
      </c>
      <c r="X917" s="84">
        <f>IF($A917="","",COUNTIF(Task_Steps!$B$5:$B$2004,$A917))</f>
        <v/>
      </c>
      <c r="Y917" s="86">
        <f>IF($X917=0,"",COUNTIFS(Task_Steps!$B$5:$B$2004,$A917,Task_Steps!$H$5:$H$2004,"Completed")/$X917)</f>
        <v/>
      </c>
      <c r="Z917" s="81" t="n"/>
      <c r="AA917" s="81" t="n"/>
      <c r="AB917" s="67">
        <f>IF($F917="","",IFERROR(INDEX(Employee_Master!$E$5:$E$204,MATCH($F917,Employee_Master!$B$5:$B$204,0)),""))</f>
        <v/>
      </c>
      <c r="AC917" s="65">
        <f>IF(OR($A917="",$AB917=""),"",IF(OR($I917="Completed",$I917="Cancelled"),"Closed - in Manager Report","Active - in Manager Report"))</f>
        <v/>
      </c>
      <c r="AD917" s="81">
        <f>IF($A917="","",IFERROR(TEXTJOIN(", ",TRUE,FILTER(Task_Steps!$A$5:$A$2004,Task_Steps!$B$5:$B$2004=$A917)),""))</f>
        <v/>
      </c>
      <c r="AE917" s="84">
        <f>IF($A917="","",COUNTIFS(Task_Steps!$B$5:$B$2004,$A917,Task_Steps!$H$5:$H$2004,"&lt;&gt;Completed",Task_Steps!$H$5:$H$2004,"&lt;&gt;Cancelled"))</f>
        <v/>
      </c>
      <c r="AF917" s="81">
        <f>IF(OR($B917="",$A917=""),"",$B917&amp;" | "&amp;$A917)</f>
        <v/>
      </c>
    </row>
    <row r="918" ht="15" customHeight="1" s="40">
      <c r="A918" s="65">
        <f>IF(COUNTA(B918:F918)=0,"","TSK-"&amp;TEXT(ROW()-4,"0000"))</f>
        <v/>
      </c>
      <c r="B918" s="78" t="n"/>
      <c r="C918" s="78" t="n"/>
      <c r="D918" s="81" t="n"/>
      <c r="E918" s="81" t="n"/>
      <c r="F918" s="78" t="n"/>
      <c r="G918" s="67">
        <f>IF($F918="","",IFERROR(INDEX(Employee_Master!$C$5:$C$204,MATCH($F918,Employee_Master!$B$5:$B$204,0)),""))</f>
        <v/>
      </c>
      <c r="H918" s="78" t="n"/>
      <c r="I918" s="78" t="n"/>
      <c r="J918" s="67">
        <f>IF($I918="","",IFERROR(INDEX(Action_Status_Map!$B$5:$B$11,MATCH($I918,Action_Status_Map!$A$5:$A$11,0)),""))</f>
        <v/>
      </c>
      <c r="K918" s="82" t="n"/>
      <c r="L918" s="82" t="n"/>
      <c r="M918" s="82" t="n"/>
      <c r="N918" s="83" t="n"/>
      <c r="O918" s="83" t="n"/>
      <c r="P918" s="66">
        <f>IF(OR($N918="",$O918=""),"",$O918-$N918)</f>
        <v/>
      </c>
      <c r="Q918" s="84">
        <f>IF($K918="","",IF($M918&lt;&gt;"",$M918-$K918,TODAY()-$K918))</f>
        <v/>
      </c>
      <c r="R918" s="85">
        <f>IF(OR($L918="",$I918="Completed",$I918="Cancelled"),"",IF(AND($L918&lt;TODAY(),$I918&lt;&gt;"Completed",$I918&lt;&gt;"Cancelled"),"Overdue","On Track"))</f>
        <v/>
      </c>
      <c r="S918" s="65">
        <f>IF($L918="","",TEXT($L918,"yyyy-mm"))</f>
        <v/>
      </c>
      <c r="T918" s="86">
        <f>IF($I918="","",IFERROR(INDEX(Action_Status_Map!$C$5:$C$11,MATCH($I918,Action_Status_Map!$A$5:$A$11,0)),""))</f>
        <v/>
      </c>
      <c r="U918" s="81" t="n"/>
      <c r="V918" s="82" t="n"/>
      <c r="W918" s="65">
        <f>IF(OR($I918&lt;&gt;"Completed",$M918="",$L918=""),"",IF($M918&lt;=$L918,"Yes","No"))</f>
        <v/>
      </c>
      <c r="X918" s="84">
        <f>IF($A918="","",COUNTIF(Task_Steps!$B$5:$B$2004,$A918))</f>
        <v/>
      </c>
      <c r="Y918" s="86">
        <f>IF($X918=0,"",COUNTIFS(Task_Steps!$B$5:$B$2004,$A918,Task_Steps!$H$5:$H$2004,"Completed")/$X918)</f>
        <v/>
      </c>
      <c r="Z918" s="81" t="n"/>
      <c r="AA918" s="81" t="n"/>
      <c r="AB918" s="67">
        <f>IF($F918="","",IFERROR(INDEX(Employee_Master!$E$5:$E$204,MATCH($F918,Employee_Master!$B$5:$B$204,0)),""))</f>
        <v/>
      </c>
      <c r="AC918" s="65">
        <f>IF(OR($A918="",$AB918=""),"",IF(OR($I918="Completed",$I918="Cancelled"),"Closed - in Manager Report","Active - in Manager Report"))</f>
        <v/>
      </c>
      <c r="AD918" s="81">
        <f>IF($A918="","",IFERROR(TEXTJOIN(", ",TRUE,FILTER(Task_Steps!$A$5:$A$2004,Task_Steps!$B$5:$B$2004=$A918)),""))</f>
        <v/>
      </c>
      <c r="AE918" s="84">
        <f>IF($A918="","",COUNTIFS(Task_Steps!$B$5:$B$2004,$A918,Task_Steps!$H$5:$H$2004,"&lt;&gt;Completed",Task_Steps!$H$5:$H$2004,"&lt;&gt;Cancelled"))</f>
        <v/>
      </c>
      <c r="AF918" s="81">
        <f>IF(OR($B918="",$A918=""),"",$B918&amp;" | "&amp;$A918)</f>
        <v/>
      </c>
    </row>
    <row r="919" ht="15" customHeight="1" s="40">
      <c r="A919" s="65">
        <f>IF(COUNTA(B919:F919)=0,"","TSK-"&amp;TEXT(ROW()-4,"0000"))</f>
        <v/>
      </c>
      <c r="B919" s="78" t="n"/>
      <c r="C919" s="78" t="n"/>
      <c r="D919" s="81" t="n"/>
      <c r="E919" s="81" t="n"/>
      <c r="F919" s="78" t="n"/>
      <c r="G919" s="67">
        <f>IF($F919="","",IFERROR(INDEX(Employee_Master!$C$5:$C$204,MATCH($F919,Employee_Master!$B$5:$B$204,0)),""))</f>
        <v/>
      </c>
      <c r="H919" s="78" t="n"/>
      <c r="I919" s="78" t="n"/>
      <c r="J919" s="67">
        <f>IF($I919="","",IFERROR(INDEX(Action_Status_Map!$B$5:$B$11,MATCH($I919,Action_Status_Map!$A$5:$A$11,0)),""))</f>
        <v/>
      </c>
      <c r="K919" s="82" t="n"/>
      <c r="L919" s="82" t="n"/>
      <c r="M919" s="82" t="n"/>
      <c r="N919" s="83" t="n"/>
      <c r="O919" s="83" t="n"/>
      <c r="P919" s="66">
        <f>IF(OR($N919="",$O919=""),"",$O919-$N919)</f>
        <v/>
      </c>
      <c r="Q919" s="84">
        <f>IF($K919="","",IF($M919&lt;&gt;"",$M919-$K919,TODAY()-$K919))</f>
        <v/>
      </c>
      <c r="R919" s="85">
        <f>IF(OR($L919="",$I919="Completed",$I919="Cancelled"),"",IF(AND($L919&lt;TODAY(),$I919&lt;&gt;"Completed",$I919&lt;&gt;"Cancelled"),"Overdue","On Track"))</f>
        <v/>
      </c>
      <c r="S919" s="65">
        <f>IF($L919="","",TEXT($L919,"yyyy-mm"))</f>
        <v/>
      </c>
      <c r="T919" s="86">
        <f>IF($I919="","",IFERROR(INDEX(Action_Status_Map!$C$5:$C$11,MATCH($I919,Action_Status_Map!$A$5:$A$11,0)),""))</f>
        <v/>
      </c>
      <c r="U919" s="81" t="n"/>
      <c r="V919" s="82" t="n"/>
      <c r="W919" s="65">
        <f>IF(OR($I919&lt;&gt;"Completed",$M919="",$L919=""),"",IF($M919&lt;=$L919,"Yes","No"))</f>
        <v/>
      </c>
      <c r="X919" s="84">
        <f>IF($A919="","",COUNTIF(Task_Steps!$B$5:$B$2004,$A919))</f>
        <v/>
      </c>
      <c r="Y919" s="86">
        <f>IF($X919=0,"",COUNTIFS(Task_Steps!$B$5:$B$2004,$A919,Task_Steps!$H$5:$H$2004,"Completed")/$X919)</f>
        <v/>
      </c>
      <c r="Z919" s="81" t="n"/>
      <c r="AA919" s="81" t="n"/>
      <c r="AB919" s="67">
        <f>IF($F919="","",IFERROR(INDEX(Employee_Master!$E$5:$E$204,MATCH($F919,Employee_Master!$B$5:$B$204,0)),""))</f>
        <v/>
      </c>
      <c r="AC919" s="65">
        <f>IF(OR($A919="",$AB919=""),"",IF(OR($I919="Completed",$I919="Cancelled"),"Closed - in Manager Report","Active - in Manager Report"))</f>
        <v/>
      </c>
      <c r="AD919" s="81">
        <f>IF($A919="","",IFERROR(TEXTJOIN(", ",TRUE,FILTER(Task_Steps!$A$5:$A$2004,Task_Steps!$B$5:$B$2004=$A919)),""))</f>
        <v/>
      </c>
      <c r="AE919" s="84">
        <f>IF($A919="","",COUNTIFS(Task_Steps!$B$5:$B$2004,$A919,Task_Steps!$H$5:$H$2004,"&lt;&gt;Completed",Task_Steps!$H$5:$H$2004,"&lt;&gt;Cancelled"))</f>
        <v/>
      </c>
      <c r="AF919" s="81">
        <f>IF(OR($B919="",$A919=""),"",$B919&amp;" | "&amp;$A919)</f>
        <v/>
      </c>
    </row>
    <row r="920" ht="15" customHeight="1" s="40">
      <c r="A920" s="65">
        <f>IF(COUNTA(B920:F920)=0,"","TSK-"&amp;TEXT(ROW()-4,"0000"))</f>
        <v/>
      </c>
      <c r="B920" s="78" t="n"/>
      <c r="C920" s="78" t="n"/>
      <c r="D920" s="81" t="n"/>
      <c r="E920" s="81" t="n"/>
      <c r="F920" s="78" t="n"/>
      <c r="G920" s="67">
        <f>IF($F920="","",IFERROR(INDEX(Employee_Master!$C$5:$C$204,MATCH($F920,Employee_Master!$B$5:$B$204,0)),""))</f>
        <v/>
      </c>
      <c r="H920" s="78" t="n"/>
      <c r="I920" s="78" t="n"/>
      <c r="J920" s="67">
        <f>IF($I920="","",IFERROR(INDEX(Action_Status_Map!$B$5:$B$11,MATCH($I920,Action_Status_Map!$A$5:$A$11,0)),""))</f>
        <v/>
      </c>
      <c r="K920" s="82" t="n"/>
      <c r="L920" s="82" t="n"/>
      <c r="M920" s="82" t="n"/>
      <c r="N920" s="83" t="n"/>
      <c r="O920" s="83" t="n"/>
      <c r="P920" s="66">
        <f>IF(OR($N920="",$O920=""),"",$O920-$N920)</f>
        <v/>
      </c>
      <c r="Q920" s="84">
        <f>IF($K920="","",IF($M920&lt;&gt;"",$M920-$K920,TODAY()-$K920))</f>
        <v/>
      </c>
      <c r="R920" s="85">
        <f>IF(OR($L920="",$I920="Completed",$I920="Cancelled"),"",IF(AND($L920&lt;TODAY(),$I920&lt;&gt;"Completed",$I920&lt;&gt;"Cancelled"),"Overdue","On Track"))</f>
        <v/>
      </c>
      <c r="S920" s="65">
        <f>IF($L920="","",TEXT($L920,"yyyy-mm"))</f>
        <v/>
      </c>
      <c r="T920" s="86">
        <f>IF($I920="","",IFERROR(INDEX(Action_Status_Map!$C$5:$C$11,MATCH($I920,Action_Status_Map!$A$5:$A$11,0)),""))</f>
        <v/>
      </c>
      <c r="U920" s="81" t="n"/>
      <c r="V920" s="82" t="n"/>
      <c r="W920" s="65">
        <f>IF(OR($I920&lt;&gt;"Completed",$M920="",$L920=""),"",IF($M920&lt;=$L920,"Yes","No"))</f>
        <v/>
      </c>
      <c r="X920" s="84">
        <f>IF($A920="","",COUNTIF(Task_Steps!$B$5:$B$2004,$A920))</f>
        <v/>
      </c>
      <c r="Y920" s="86">
        <f>IF($X920=0,"",COUNTIFS(Task_Steps!$B$5:$B$2004,$A920,Task_Steps!$H$5:$H$2004,"Completed")/$X920)</f>
        <v/>
      </c>
      <c r="Z920" s="81" t="n"/>
      <c r="AA920" s="81" t="n"/>
      <c r="AB920" s="67">
        <f>IF($F920="","",IFERROR(INDEX(Employee_Master!$E$5:$E$204,MATCH($F920,Employee_Master!$B$5:$B$204,0)),""))</f>
        <v/>
      </c>
      <c r="AC920" s="65">
        <f>IF(OR($A920="",$AB920=""),"",IF(OR($I920="Completed",$I920="Cancelled"),"Closed - in Manager Report","Active - in Manager Report"))</f>
        <v/>
      </c>
      <c r="AD920" s="81">
        <f>IF($A920="","",IFERROR(TEXTJOIN(", ",TRUE,FILTER(Task_Steps!$A$5:$A$2004,Task_Steps!$B$5:$B$2004=$A920)),""))</f>
        <v/>
      </c>
      <c r="AE920" s="84">
        <f>IF($A920="","",COUNTIFS(Task_Steps!$B$5:$B$2004,$A920,Task_Steps!$H$5:$H$2004,"&lt;&gt;Completed",Task_Steps!$H$5:$H$2004,"&lt;&gt;Cancelled"))</f>
        <v/>
      </c>
      <c r="AF920" s="81">
        <f>IF(OR($B920="",$A920=""),"",$B920&amp;" | "&amp;$A920)</f>
        <v/>
      </c>
    </row>
    <row r="921" ht="15" customHeight="1" s="40">
      <c r="A921" s="65">
        <f>IF(COUNTA(B921:F921)=0,"","TSK-"&amp;TEXT(ROW()-4,"0000"))</f>
        <v/>
      </c>
      <c r="B921" s="78" t="n"/>
      <c r="C921" s="78" t="n"/>
      <c r="D921" s="81" t="n"/>
      <c r="E921" s="81" t="n"/>
      <c r="F921" s="78" t="n"/>
      <c r="G921" s="67">
        <f>IF($F921="","",IFERROR(INDEX(Employee_Master!$C$5:$C$204,MATCH($F921,Employee_Master!$B$5:$B$204,0)),""))</f>
        <v/>
      </c>
      <c r="H921" s="78" t="n"/>
      <c r="I921" s="78" t="n"/>
      <c r="J921" s="67">
        <f>IF($I921="","",IFERROR(INDEX(Action_Status_Map!$B$5:$B$11,MATCH($I921,Action_Status_Map!$A$5:$A$11,0)),""))</f>
        <v/>
      </c>
      <c r="K921" s="82" t="n"/>
      <c r="L921" s="82" t="n"/>
      <c r="M921" s="82" t="n"/>
      <c r="N921" s="83" t="n"/>
      <c r="O921" s="83" t="n"/>
      <c r="P921" s="66">
        <f>IF(OR($N921="",$O921=""),"",$O921-$N921)</f>
        <v/>
      </c>
      <c r="Q921" s="84">
        <f>IF($K921="","",IF($M921&lt;&gt;"",$M921-$K921,TODAY()-$K921))</f>
        <v/>
      </c>
      <c r="R921" s="85">
        <f>IF(OR($L921="",$I921="Completed",$I921="Cancelled"),"",IF(AND($L921&lt;TODAY(),$I921&lt;&gt;"Completed",$I921&lt;&gt;"Cancelled"),"Overdue","On Track"))</f>
        <v/>
      </c>
      <c r="S921" s="65">
        <f>IF($L921="","",TEXT($L921,"yyyy-mm"))</f>
        <v/>
      </c>
      <c r="T921" s="86">
        <f>IF($I921="","",IFERROR(INDEX(Action_Status_Map!$C$5:$C$11,MATCH($I921,Action_Status_Map!$A$5:$A$11,0)),""))</f>
        <v/>
      </c>
      <c r="U921" s="81" t="n"/>
      <c r="V921" s="82" t="n"/>
      <c r="W921" s="65">
        <f>IF(OR($I921&lt;&gt;"Completed",$M921="",$L921=""),"",IF($M921&lt;=$L921,"Yes","No"))</f>
        <v/>
      </c>
      <c r="X921" s="84">
        <f>IF($A921="","",COUNTIF(Task_Steps!$B$5:$B$2004,$A921))</f>
        <v/>
      </c>
      <c r="Y921" s="86">
        <f>IF($X921=0,"",COUNTIFS(Task_Steps!$B$5:$B$2004,$A921,Task_Steps!$H$5:$H$2004,"Completed")/$X921)</f>
        <v/>
      </c>
      <c r="Z921" s="81" t="n"/>
      <c r="AA921" s="81" t="n"/>
      <c r="AB921" s="67">
        <f>IF($F921="","",IFERROR(INDEX(Employee_Master!$E$5:$E$204,MATCH($F921,Employee_Master!$B$5:$B$204,0)),""))</f>
        <v/>
      </c>
      <c r="AC921" s="65">
        <f>IF(OR($A921="",$AB921=""),"",IF(OR($I921="Completed",$I921="Cancelled"),"Closed - in Manager Report","Active - in Manager Report"))</f>
        <v/>
      </c>
      <c r="AD921" s="81">
        <f>IF($A921="","",IFERROR(TEXTJOIN(", ",TRUE,FILTER(Task_Steps!$A$5:$A$2004,Task_Steps!$B$5:$B$2004=$A921)),""))</f>
        <v/>
      </c>
      <c r="AE921" s="84">
        <f>IF($A921="","",COUNTIFS(Task_Steps!$B$5:$B$2004,$A921,Task_Steps!$H$5:$H$2004,"&lt;&gt;Completed",Task_Steps!$H$5:$H$2004,"&lt;&gt;Cancelled"))</f>
        <v/>
      </c>
      <c r="AF921" s="81">
        <f>IF(OR($B921="",$A921=""),"",$B921&amp;" | "&amp;$A921)</f>
        <v/>
      </c>
    </row>
    <row r="922" ht="15" customHeight="1" s="40">
      <c r="A922" s="65">
        <f>IF(COUNTA(B922:F922)=0,"","TSK-"&amp;TEXT(ROW()-4,"0000"))</f>
        <v/>
      </c>
      <c r="B922" s="78" t="n"/>
      <c r="C922" s="78" t="n"/>
      <c r="D922" s="81" t="n"/>
      <c r="E922" s="81" t="n"/>
      <c r="F922" s="78" t="n"/>
      <c r="G922" s="67">
        <f>IF($F922="","",IFERROR(INDEX(Employee_Master!$C$5:$C$204,MATCH($F922,Employee_Master!$B$5:$B$204,0)),""))</f>
        <v/>
      </c>
      <c r="H922" s="78" t="n"/>
      <c r="I922" s="78" t="n"/>
      <c r="J922" s="67">
        <f>IF($I922="","",IFERROR(INDEX(Action_Status_Map!$B$5:$B$11,MATCH($I922,Action_Status_Map!$A$5:$A$11,0)),""))</f>
        <v/>
      </c>
      <c r="K922" s="82" t="n"/>
      <c r="L922" s="82" t="n"/>
      <c r="M922" s="82" t="n"/>
      <c r="N922" s="83" t="n"/>
      <c r="O922" s="83" t="n"/>
      <c r="P922" s="66">
        <f>IF(OR($N922="",$O922=""),"",$O922-$N922)</f>
        <v/>
      </c>
      <c r="Q922" s="84">
        <f>IF($K922="","",IF($M922&lt;&gt;"",$M922-$K922,TODAY()-$K922))</f>
        <v/>
      </c>
      <c r="R922" s="85">
        <f>IF(OR($L922="",$I922="Completed",$I922="Cancelled"),"",IF(AND($L922&lt;TODAY(),$I922&lt;&gt;"Completed",$I922&lt;&gt;"Cancelled"),"Overdue","On Track"))</f>
        <v/>
      </c>
      <c r="S922" s="65">
        <f>IF($L922="","",TEXT($L922,"yyyy-mm"))</f>
        <v/>
      </c>
      <c r="T922" s="86">
        <f>IF($I922="","",IFERROR(INDEX(Action_Status_Map!$C$5:$C$11,MATCH($I922,Action_Status_Map!$A$5:$A$11,0)),""))</f>
        <v/>
      </c>
      <c r="U922" s="81" t="n"/>
      <c r="V922" s="82" t="n"/>
      <c r="W922" s="65">
        <f>IF(OR($I922&lt;&gt;"Completed",$M922="",$L922=""),"",IF($M922&lt;=$L922,"Yes","No"))</f>
        <v/>
      </c>
      <c r="X922" s="84">
        <f>IF($A922="","",COUNTIF(Task_Steps!$B$5:$B$2004,$A922))</f>
        <v/>
      </c>
      <c r="Y922" s="86">
        <f>IF($X922=0,"",COUNTIFS(Task_Steps!$B$5:$B$2004,$A922,Task_Steps!$H$5:$H$2004,"Completed")/$X922)</f>
        <v/>
      </c>
      <c r="Z922" s="81" t="n"/>
      <c r="AA922" s="81" t="n"/>
      <c r="AB922" s="67">
        <f>IF($F922="","",IFERROR(INDEX(Employee_Master!$E$5:$E$204,MATCH($F922,Employee_Master!$B$5:$B$204,0)),""))</f>
        <v/>
      </c>
      <c r="AC922" s="65">
        <f>IF(OR($A922="",$AB922=""),"",IF(OR($I922="Completed",$I922="Cancelled"),"Closed - in Manager Report","Active - in Manager Report"))</f>
        <v/>
      </c>
      <c r="AD922" s="81">
        <f>IF($A922="","",IFERROR(TEXTJOIN(", ",TRUE,FILTER(Task_Steps!$A$5:$A$2004,Task_Steps!$B$5:$B$2004=$A922)),""))</f>
        <v/>
      </c>
      <c r="AE922" s="84">
        <f>IF($A922="","",COUNTIFS(Task_Steps!$B$5:$B$2004,$A922,Task_Steps!$H$5:$H$2004,"&lt;&gt;Completed",Task_Steps!$H$5:$H$2004,"&lt;&gt;Cancelled"))</f>
        <v/>
      </c>
      <c r="AF922" s="81">
        <f>IF(OR($B922="",$A922=""),"",$B922&amp;" | "&amp;$A922)</f>
        <v/>
      </c>
    </row>
    <row r="923" ht="15" customHeight="1" s="40">
      <c r="A923" s="65">
        <f>IF(COUNTA(B923:F923)=0,"","TSK-"&amp;TEXT(ROW()-4,"0000"))</f>
        <v/>
      </c>
      <c r="B923" s="78" t="n"/>
      <c r="C923" s="78" t="n"/>
      <c r="D923" s="81" t="n"/>
      <c r="E923" s="81" t="n"/>
      <c r="F923" s="78" t="n"/>
      <c r="G923" s="67">
        <f>IF($F923="","",IFERROR(INDEX(Employee_Master!$C$5:$C$204,MATCH($F923,Employee_Master!$B$5:$B$204,0)),""))</f>
        <v/>
      </c>
      <c r="H923" s="78" t="n"/>
      <c r="I923" s="78" t="n"/>
      <c r="J923" s="67">
        <f>IF($I923="","",IFERROR(INDEX(Action_Status_Map!$B$5:$B$11,MATCH($I923,Action_Status_Map!$A$5:$A$11,0)),""))</f>
        <v/>
      </c>
      <c r="K923" s="82" t="n"/>
      <c r="L923" s="82" t="n"/>
      <c r="M923" s="82" t="n"/>
      <c r="N923" s="83" t="n"/>
      <c r="O923" s="83" t="n"/>
      <c r="P923" s="66">
        <f>IF(OR($N923="",$O923=""),"",$O923-$N923)</f>
        <v/>
      </c>
      <c r="Q923" s="84">
        <f>IF($K923="","",IF($M923&lt;&gt;"",$M923-$K923,TODAY()-$K923))</f>
        <v/>
      </c>
      <c r="R923" s="85">
        <f>IF(OR($L923="",$I923="Completed",$I923="Cancelled"),"",IF(AND($L923&lt;TODAY(),$I923&lt;&gt;"Completed",$I923&lt;&gt;"Cancelled"),"Overdue","On Track"))</f>
        <v/>
      </c>
      <c r="S923" s="65">
        <f>IF($L923="","",TEXT($L923,"yyyy-mm"))</f>
        <v/>
      </c>
      <c r="T923" s="86">
        <f>IF($I923="","",IFERROR(INDEX(Action_Status_Map!$C$5:$C$11,MATCH($I923,Action_Status_Map!$A$5:$A$11,0)),""))</f>
        <v/>
      </c>
      <c r="U923" s="81" t="n"/>
      <c r="V923" s="82" t="n"/>
      <c r="W923" s="65">
        <f>IF(OR($I923&lt;&gt;"Completed",$M923="",$L923=""),"",IF($M923&lt;=$L923,"Yes","No"))</f>
        <v/>
      </c>
      <c r="X923" s="84">
        <f>IF($A923="","",COUNTIF(Task_Steps!$B$5:$B$2004,$A923))</f>
        <v/>
      </c>
      <c r="Y923" s="86">
        <f>IF($X923=0,"",COUNTIFS(Task_Steps!$B$5:$B$2004,$A923,Task_Steps!$H$5:$H$2004,"Completed")/$X923)</f>
        <v/>
      </c>
      <c r="Z923" s="81" t="n"/>
      <c r="AA923" s="81" t="n"/>
      <c r="AB923" s="67">
        <f>IF($F923="","",IFERROR(INDEX(Employee_Master!$E$5:$E$204,MATCH($F923,Employee_Master!$B$5:$B$204,0)),""))</f>
        <v/>
      </c>
      <c r="AC923" s="65">
        <f>IF(OR($A923="",$AB923=""),"",IF(OR($I923="Completed",$I923="Cancelled"),"Closed - in Manager Report","Active - in Manager Report"))</f>
        <v/>
      </c>
      <c r="AD923" s="81">
        <f>IF($A923="","",IFERROR(TEXTJOIN(", ",TRUE,FILTER(Task_Steps!$A$5:$A$2004,Task_Steps!$B$5:$B$2004=$A923)),""))</f>
        <v/>
      </c>
      <c r="AE923" s="84">
        <f>IF($A923="","",COUNTIFS(Task_Steps!$B$5:$B$2004,$A923,Task_Steps!$H$5:$H$2004,"&lt;&gt;Completed",Task_Steps!$H$5:$H$2004,"&lt;&gt;Cancelled"))</f>
        <v/>
      </c>
      <c r="AF923" s="81">
        <f>IF(OR($B923="",$A923=""),"",$B923&amp;" | "&amp;$A923)</f>
        <v/>
      </c>
    </row>
    <row r="924" ht="15" customHeight="1" s="40">
      <c r="A924" s="65">
        <f>IF(COUNTA(B924:F924)=0,"","TSK-"&amp;TEXT(ROW()-4,"0000"))</f>
        <v/>
      </c>
      <c r="B924" s="78" t="n"/>
      <c r="C924" s="78" t="n"/>
      <c r="D924" s="81" t="n"/>
      <c r="E924" s="81" t="n"/>
      <c r="F924" s="78" t="n"/>
      <c r="G924" s="67">
        <f>IF($F924="","",IFERROR(INDEX(Employee_Master!$C$5:$C$204,MATCH($F924,Employee_Master!$B$5:$B$204,0)),""))</f>
        <v/>
      </c>
      <c r="H924" s="78" t="n"/>
      <c r="I924" s="78" t="n"/>
      <c r="J924" s="67">
        <f>IF($I924="","",IFERROR(INDEX(Action_Status_Map!$B$5:$B$11,MATCH($I924,Action_Status_Map!$A$5:$A$11,0)),""))</f>
        <v/>
      </c>
      <c r="K924" s="82" t="n"/>
      <c r="L924" s="82" t="n"/>
      <c r="M924" s="82" t="n"/>
      <c r="N924" s="83" t="n"/>
      <c r="O924" s="83" t="n"/>
      <c r="P924" s="66">
        <f>IF(OR($N924="",$O924=""),"",$O924-$N924)</f>
        <v/>
      </c>
      <c r="Q924" s="84">
        <f>IF($K924="","",IF($M924&lt;&gt;"",$M924-$K924,TODAY()-$K924))</f>
        <v/>
      </c>
      <c r="R924" s="85">
        <f>IF(OR($L924="",$I924="Completed",$I924="Cancelled"),"",IF(AND($L924&lt;TODAY(),$I924&lt;&gt;"Completed",$I924&lt;&gt;"Cancelled"),"Overdue","On Track"))</f>
        <v/>
      </c>
      <c r="S924" s="65">
        <f>IF($L924="","",TEXT($L924,"yyyy-mm"))</f>
        <v/>
      </c>
      <c r="T924" s="86">
        <f>IF($I924="","",IFERROR(INDEX(Action_Status_Map!$C$5:$C$11,MATCH($I924,Action_Status_Map!$A$5:$A$11,0)),""))</f>
        <v/>
      </c>
      <c r="U924" s="81" t="n"/>
      <c r="V924" s="82" t="n"/>
      <c r="W924" s="65">
        <f>IF(OR($I924&lt;&gt;"Completed",$M924="",$L924=""),"",IF($M924&lt;=$L924,"Yes","No"))</f>
        <v/>
      </c>
      <c r="X924" s="84">
        <f>IF($A924="","",COUNTIF(Task_Steps!$B$5:$B$2004,$A924))</f>
        <v/>
      </c>
      <c r="Y924" s="86">
        <f>IF($X924=0,"",COUNTIFS(Task_Steps!$B$5:$B$2004,$A924,Task_Steps!$H$5:$H$2004,"Completed")/$X924)</f>
        <v/>
      </c>
      <c r="Z924" s="81" t="n"/>
      <c r="AA924" s="81" t="n"/>
      <c r="AB924" s="67">
        <f>IF($F924="","",IFERROR(INDEX(Employee_Master!$E$5:$E$204,MATCH($F924,Employee_Master!$B$5:$B$204,0)),""))</f>
        <v/>
      </c>
      <c r="AC924" s="65">
        <f>IF(OR($A924="",$AB924=""),"",IF(OR($I924="Completed",$I924="Cancelled"),"Closed - in Manager Report","Active - in Manager Report"))</f>
        <v/>
      </c>
      <c r="AD924" s="81">
        <f>IF($A924="","",IFERROR(TEXTJOIN(", ",TRUE,FILTER(Task_Steps!$A$5:$A$2004,Task_Steps!$B$5:$B$2004=$A924)),""))</f>
        <v/>
      </c>
      <c r="AE924" s="84">
        <f>IF($A924="","",COUNTIFS(Task_Steps!$B$5:$B$2004,$A924,Task_Steps!$H$5:$H$2004,"&lt;&gt;Completed",Task_Steps!$H$5:$H$2004,"&lt;&gt;Cancelled"))</f>
        <v/>
      </c>
      <c r="AF924" s="81">
        <f>IF(OR($B924="",$A924=""),"",$B924&amp;" | "&amp;$A924)</f>
        <v/>
      </c>
    </row>
    <row r="925" ht="15" customHeight="1" s="40">
      <c r="A925" s="65">
        <f>IF(COUNTA(B925:F925)=0,"","TSK-"&amp;TEXT(ROW()-4,"0000"))</f>
        <v/>
      </c>
      <c r="B925" s="78" t="n"/>
      <c r="C925" s="78" t="n"/>
      <c r="D925" s="81" t="n"/>
      <c r="E925" s="81" t="n"/>
      <c r="F925" s="78" t="n"/>
      <c r="G925" s="67">
        <f>IF($F925="","",IFERROR(INDEX(Employee_Master!$C$5:$C$204,MATCH($F925,Employee_Master!$B$5:$B$204,0)),""))</f>
        <v/>
      </c>
      <c r="H925" s="78" t="n"/>
      <c r="I925" s="78" t="n"/>
      <c r="J925" s="67">
        <f>IF($I925="","",IFERROR(INDEX(Action_Status_Map!$B$5:$B$11,MATCH($I925,Action_Status_Map!$A$5:$A$11,0)),""))</f>
        <v/>
      </c>
      <c r="K925" s="82" t="n"/>
      <c r="L925" s="82" t="n"/>
      <c r="M925" s="82" t="n"/>
      <c r="N925" s="83" t="n"/>
      <c r="O925" s="83" t="n"/>
      <c r="P925" s="66">
        <f>IF(OR($N925="",$O925=""),"",$O925-$N925)</f>
        <v/>
      </c>
      <c r="Q925" s="84">
        <f>IF($K925="","",IF($M925&lt;&gt;"",$M925-$K925,TODAY()-$K925))</f>
        <v/>
      </c>
      <c r="R925" s="85">
        <f>IF(OR($L925="",$I925="Completed",$I925="Cancelled"),"",IF(AND($L925&lt;TODAY(),$I925&lt;&gt;"Completed",$I925&lt;&gt;"Cancelled"),"Overdue","On Track"))</f>
        <v/>
      </c>
      <c r="S925" s="65">
        <f>IF($L925="","",TEXT($L925,"yyyy-mm"))</f>
        <v/>
      </c>
      <c r="T925" s="86">
        <f>IF($I925="","",IFERROR(INDEX(Action_Status_Map!$C$5:$C$11,MATCH($I925,Action_Status_Map!$A$5:$A$11,0)),""))</f>
        <v/>
      </c>
      <c r="U925" s="81" t="n"/>
      <c r="V925" s="82" t="n"/>
      <c r="W925" s="65">
        <f>IF(OR($I925&lt;&gt;"Completed",$M925="",$L925=""),"",IF($M925&lt;=$L925,"Yes","No"))</f>
        <v/>
      </c>
      <c r="X925" s="84">
        <f>IF($A925="","",COUNTIF(Task_Steps!$B$5:$B$2004,$A925))</f>
        <v/>
      </c>
      <c r="Y925" s="86">
        <f>IF($X925=0,"",COUNTIFS(Task_Steps!$B$5:$B$2004,$A925,Task_Steps!$H$5:$H$2004,"Completed")/$X925)</f>
        <v/>
      </c>
      <c r="Z925" s="81" t="n"/>
      <c r="AA925" s="81" t="n"/>
      <c r="AB925" s="67">
        <f>IF($F925="","",IFERROR(INDEX(Employee_Master!$E$5:$E$204,MATCH($F925,Employee_Master!$B$5:$B$204,0)),""))</f>
        <v/>
      </c>
      <c r="AC925" s="65">
        <f>IF(OR($A925="",$AB925=""),"",IF(OR($I925="Completed",$I925="Cancelled"),"Closed - in Manager Report","Active - in Manager Report"))</f>
        <v/>
      </c>
      <c r="AD925" s="81">
        <f>IF($A925="","",IFERROR(TEXTJOIN(", ",TRUE,FILTER(Task_Steps!$A$5:$A$2004,Task_Steps!$B$5:$B$2004=$A925)),""))</f>
        <v/>
      </c>
      <c r="AE925" s="84">
        <f>IF($A925="","",COUNTIFS(Task_Steps!$B$5:$B$2004,$A925,Task_Steps!$H$5:$H$2004,"&lt;&gt;Completed",Task_Steps!$H$5:$H$2004,"&lt;&gt;Cancelled"))</f>
        <v/>
      </c>
      <c r="AF925" s="81">
        <f>IF(OR($B925="",$A925=""),"",$B925&amp;" | "&amp;$A925)</f>
        <v/>
      </c>
    </row>
    <row r="926" ht="15" customHeight="1" s="40">
      <c r="A926" s="65">
        <f>IF(COUNTA(B926:F926)=0,"","TSK-"&amp;TEXT(ROW()-4,"0000"))</f>
        <v/>
      </c>
      <c r="B926" s="78" t="n"/>
      <c r="C926" s="78" t="n"/>
      <c r="D926" s="81" t="n"/>
      <c r="E926" s="81" t="n"/>
      <c r="F926" s="78" t="n"/>
      <c r="G926" s="67">
        <f>IF($F926="","",IFERROR(INDEX(Employee_Master!$C$5:$C$204,MATCH($F926,Employee_Master!$B$5:$B$204,0)),""))</f>
        <v/>
      </c>
      <c r="H926" s="78" t="n"/>
      <c r="I926" s="78" t="n"/>
      <c r="J926" s="67">
        <f>IF($I926="","",IFERROR(INDEX(Action_Status_Map!$B$5:$B$11,MATCH($I926,Action_Status_Map!$A$5:$A$11,0)),""))</f>
        <v/>
      </c>
      <c r="K926" s="82" t="n"/>
      <c r="L926" s="82" t="n"/>
      <c r="M926" s="82" t="n"/>
      <c r="N926" s="83" t="n"/>
      <c r="O926" s="83" t="n"/>
      <c r="P926" s="66">
        <f>IF(OR($N926="",$O926=""),"",$O926-$N926)</f>
        <v/>
      </c>
      <c r="Q926" s="84">
        <f>IF($K926="","",IF($M926&lt;&gt;"",$M926-$K926,TODAY()-$K926))</f>
        <v/>
      </c>
      <c r="R926" s="85">
        <f>IF(OR($L926="",$I926="Completed",$I926="Cancelled"),"",IF(AND($L926&lt;TODAY(),$I926&lt;&gt;"Completed",$I926&lt;&gt;"Cancelled"),"Overdue","On Track"))</f>
        <v/>
      </c>
      <c r="S926" s="65">
        <f>IF($L926="","",TEXT($L926,"yyyy-mm"))</f>
        <v/>
      </c>
      <c r="T926" s="86">
        <f>IF($I926="","",IFERROR(INDEX(Action_Status_Map!$C$5:$C$11,MATCH($I926,Action_Status_Map!$A$5:$A$11,0)),""))</f>
        <v/>
      </c>
      <c r="U926" s="81" t="n"/>
      <c r="V926" s="82" t="n"/>
      <c r="W926" s="65">
        <f>IF(OR($I926&lt;&gt;"Completed",$M926="",$L926=""),"",IF($M926&lt;=$L926,"Yes","No"))</f>
        <v/>
      </c>
      <c r="X926" s="84">
        <f>IF($A926="","",COUNTIF(Task_Steps!$B$5:$B$2004,$A926))</f>
        <v/>
      </c>
      <c r="Y926" s="86">
        <f>IF($X926=0,"",COUNTIFS(Task_Steps!$B$5:$B$2004,$A926,Task_Steps!$H$5:$H$2004,"Completed")/$X926)</f>
        <v/>
      </c>
      <c r="Z926" s="81" t="n"/>
      <c r="AA926" s="81" t="n"/>
      <c r="AB926" s="67">
        <f>IF($F926="","",IFERROR(INDEX(Employee_Master!$E$5:$E$204,MATCH($F926,Employee_Master!$B$5:$B$204,0)),""))</f>
        <v/>
      </c>
      <c r="AC926" s="65">
        <f>IF(OR($A926="",$AB926=""),"",IF(OR($I926="Completed",$I926="Cancelled"),"Closed - in Manager Report","Active - in Manager Report"))</f>
        <v/>
      </c>
      <c r="AD926" s="81">
        <f>IF($A926="","",IFERROR(TEXTJOIN(", ",TRUE,FILTER(Task_Steps!$A$5:$A$2004,Task_Steps!$B$5:$B$2004=$A926)),""))</f>
        <v/>
      </c>
      <c r="AE926" s="84">
        <f>IF($A926="","",COUNTIFS(Task_Steps!$B$5:$B$2004,$A926,Task_Steps!$H$5:$H$2004,"&lt;&gt;Completed",Task_Steps!$H$5:$H$2004,"&lt;&gt;Cancelled"))</f>
        <v/>
      </c>
      <c r="AF926" s="81">
        <f>IF(OR($B926="",$A926=""),"",$B926&amp;" | "&amp;$A926)</f>
        <v/>
      </c>
    </row>
    <row r="927" ht="15" customHeight="1" s="40">
      <c r="A927" s="65">
        <f>IF(COUNTA(B927:F927)=0,"","TSK-"&amp;TEXT(ROW()-4,"0000"))</f>
        <v/>
      </c>
      <c r="B927" s="78" t="n"/>
      <c r="C927" s="78" t="n"/>
      <c r="D927" s="81" t="n"/>
      <c r="E927" s="81" t="n"/>
      <c r="F927" s="78" t="n"/>
      <c r="G927" s="67">
        <f>IF($F927="","",IFERROR(INDEX(Employee_Master!$C$5:$C$204,MATCH($F927,Employee_Master!$B$5:$B$204,0)),""))</f>
        <v/>
      </c>
      <c r="H927" s="78" t="n"/>
      <c r="I927" s="78" t="n"/>
      <c r="J927" s="67">
        <f>IF($I927="","",IFERROR(INDEX(Action_Status_Map!$B$5:$B$11,MATCH($I927,Action_Status_Map!$A$5:$A$11,0)),""))</f>
        <v/>
      </c>
      <c r="K927" s="82" t="n"/>
      <c r="L927" s="82" t="n"/>
      <c r="M927" s="82" t="n"/>
      <c r="N927" s="83" t="n"/>
      <c r="O927" s="83" t="n"/>
      <c r="P927" s="66">
        <f>IF(OR($N927="",$O927=""),"",$O927-$N927)</f>
        <v/>
      </c>
      <c r="Q927" s="84">
        <f>IF($K927="","",IF($M927&lt;&gt;"",$M927-$K927,TODAY()-$K927))</f>
        <v/>
      </c>
      <c r="R927" s="85">
        <f>IF(OR($L927="",$I927="Completed",$I927="Cancelled"),"",IF(AND($L927&lt;TODAY(),$I927&lt;&gt;"Completed",$I927&lt;&gt;"Cancelled"),"Overdue","On Track"))</f>
        <v/>
      </c>
      <c r="S927" s="65">
        <f>IF($L927="","",TEXT($L927,"yyyy-mm"))</f>
        <v/>
      </c>
      <c r="T927" s="86">
        <f>IF($I927="","",IFERROR(INDEX(Action_Status_Map!$C$5:$C$11,MATCH($I927,Action_Status_Map!$A$5:$A$11,0)),""))</f>
        <v/>
      </c>
      <c r="U927" s="81" t="n"/>
      <c r="V927" s="82" t="n"/>
      <c r="W927" s="65">
        <f>IF(OR($I927&lt;&gt;"Completed",$M927="",$L927=""),"",IF($M927&lt;=$L927,"Yes","No"))</f>
        <v/>
      </c>
      <c r="X927" s="84">
        <f>IF($A927="","",COUNTIF(Task_Steps!$B$5:$B$2004,$A927))</f>
        <v/>
      </c>
      <c r="Y927" s="86">
        <f>IF($X927=0,"",COUNTIFS(Task_Steps!$B$5:$B$2004,$A927,Task_Steps!$H$5:$H$2004,"Completed")/$X927)</f>
        <v/>
      </c>
      <c r="Z927" s="81" t="n"/>
      <c r="AA927" s="81" t="n"/>
      <c r="AB927" s="67">
        <f>IF($F927="","",IFERROR(INDEX(Employee_Master!$E$5:$E$204,MATCH($F927,Employee_Master!$B$5:$B$204,0)),""))</f>
        <v/>
      </c>
      <c r="AC927" s="65">
        <f>IF(OR($A927="",$AB927=""),"",IF(OR($I927="Completed",$I927="Cancelled"),"Closed - in Manager Report","Active - in Manager Report"))</f>
        <v/>
      </c>
      <c r="AD927" s="81">
        <f>IF($A927="","",IFERROR(TEXTJOIN(", ",TRUE,FILTER(Task_Steps!$A$5:$A$2004,Task_Steps!$B$5:$B$2004=$A927)),""))</f>
        <v/>
      </c>
      <c r="AE927" s="84">
        <f>IF($A927="","",COUNTIFS(Task_Steps!$B$5:$B$2004,$A927,Task_Steps!$H$5:$H$2004,"&lt;&gt;Completed",Task_Steps!$H$5:$H$2004,"&lt;&gt;Cancelled"))</f>
        <v/>
      </c>
      <c r="AF927" s="81">
        <f>IF(OR($B927="",$A927=""),"",$B927&amp;" | "&amp;$A927)</f>
        <v/>
      </c>
    </row>
    <row r="928" ht="15" customHeight="1" s="40">
      <c r="A928" s="65">
        <f>IF(COUNTA(B928:F928)=0,"","TSK-"&amp;TEXT(ROW()-4,"0000"))</f>
        <v/>
      </c>
      <c r="B928" s="78" t="n"/>
      <c r="C928" s="78" t="n"/>
      <c r="D928" s="81" t="n"/>
      <c r="E928" s="81" t="n"/>
      <c r="F928" s="78" t="n"/>
      <c r="G928" s="67">
        <f>IF($F928="","",IFERROR(INDEX(Employee_Master!$C$5:$C$204,MATCH($F928,Employee_Master!$B$5:$B$204,0)),""))</f>
        <v/>
      </c>
      <c r="H928" s="78" t="n"/>
      <c r="I928" s="78" t="n"/>
      <c r="J928" s="67">
        <f>IF($I928="","",IFERROR(INDEX(Action_Status_Map!$B$5:$B$11,MATCH($I928,Action_Status_Map!$A$5:$A$11,0)),""))</f>
        <v/>
      </c>
      <c r="K928" s="82" t="n"/>
      <c r="L928" s="82" t="n"/>
      <c r="M928" s="82" t="n"/>
      <c r="N928" s="83" t="n"/>
      <c r="O928" s="83" t="n"/>
      <c r="P928" s="66">
        <f>IF(OR($N928="",$O928=""),"",$O928-$N928)</f>
        <v/>
      </c>
      <c r="Q928" s="84">
        <f>IF($K928="","",IF($M928&lt;&gt;"",$M928-$K928,TODAY()-$K928))</f>
        <v/>
      </c>
      <c r="R928" s="85">
        <f>IF(OR($L928="",$I928="Completed",$I928="Cancelled"),"",IF(AND($L928&lt;TODAY(),$I928&lt;&gt;"Completed",$I928&lt;&gt;"Cancelled"),"Overdue","On Track"))</f>
        <v/>
      </c>
      <c r="S928" s="65">
        <f>IF($L928="","",TEXT($L928,"yyyy-mm"))</f>
        <v/>
      </c>
      <c r="T928" s="86">
        <f>IF($I928="","",IFERROR(INDEX(Action_Status_Map!$C$5:$C$11,MATCH($I928,Action_Status_Map!$A$5:$A$11,0)),""))</f>
        <v/>
      </c>
      <c r="U928" s="81" t="n"/>
      <c r="V928" s="82" t="n"/>
      <c r="W928" s="65">
        <f>IF(OR($I928&lt;&gt;"Completed",$M928="",$L928=""),"",IF($M928&lt;=$L928,"Yes","No"))</f>
        <v/>
      </c>
      <c r="X928" s="84">
        <f>IF($A928="","",COUNTIF(Task_Steps!$B$5:$B$2004,$A928))</f>
        <v/>
      </c>
      <c r="Y928" s="86">
        <f>IF($X928=0,"",COUNTIFS(Task_Steps!$B$5:$B$2004,$A928,Task_Steps!$H$5:$H$2004,"Completed")/$X928)</f>
        <v/>
      </c>
      <c r="Z928" s="81" t="n"/>
      <c r="AA928" s="81" t="n"/>
      <c r="AB928" s="67">
        <f>IF($F928="","",IFERROR(INDEX(Employee_Master!$E$5:$E$204,MATCH($F928,Employee_Master!$B$5:$B$204,0)),""))</f>
        <v/>
      </c>
      <c r="AC928" s="65">
        <f>IF(OR($A928="",$AB928=""),"",IF(OR($I928="Completed",$I928="Cancelled"),"Closed - in Manager Report","Active - in Manager Report"))</f>
        <v/>
      </c>
      <c r="AD928" s="81">
        <f>IF($A928="","",IFERROR(TEXTJOIN(", ",TRUE,FILTER(Task_Steps!$A$5:$A$2004,Task_Steps!$B$5:$B$2004=$A928)),""))</f>
        <v/>
      </c>
      <c r="AE928" s="84">
        <f>IF($A928="","",COUNTIFS(Task_Steps!$B$5:$B$2004,$A928,Task_Steps!$H$5:$H$2004,"&lt;&gt;Completed",Task_Steps!$H$5:$H$2004,"&lt;&gt;Cancelled"))</f>
        <v/>
      </c>
      <c r="AF928" s="81">
        <f>IF(OR($B928="",$A928=""),"",$B928&amp;" | "&amp;$A928)</f>
        <v/>
      </c>
    </row>
    <row r="929" ht="15" customHeight="1" s="40">
      <c r="A929" s="65">
        <f>IF(COUNTA(B929:F929)=0,"","TSK-"&amp;TEXT(ROW()-4,"0000"))</f>
        <v/>
      </c>
      <c r="B929" s="78" t="n"/>
      <c r="C929" s="78" t="n"/>
      <c r="D929" s="81" t="n"/>
      <c r="E929" s="81" t="n"/>
      <c r="F929" s="78" t="n"/>
      <c r="G929" s="67">
        <f>IF($F929="","",IFERROR(INDEX(Employee_Master!$C$5:$C$204,MATCH($F929,Employee_Master!$B$5:$B$204,0)),""))</f>
        <v/>
      </c>
      <c r="H929" s="78" t="n"/>
      <c r="I929" s="78" t="n"/>
      <c r="J929" s="67">
        <f>IF($I929="","",IFERROR(INDEX(Action_Status_Map!$B$5:$B$11,MATCH($I929,Action_Status_Map!$A$5:$A$11,0)),""))</f>
        <v/>
      </c>
      <c r="K929" s="82" t="n"/>
      <c r="L929" s="82" t="n"/>
      <c r="M929" s="82" t="n"/>
      <c r="N929" s="83" t="n"/>
      <c r="O929" s="83" t="n"/>
      <c r="P929" s="66">
        <f>IF(OR($N929="",$O929=""),"",$O929-$N929)</f>
        <v/>
      </c>
      <c r="Q929" s="84">
        <f>IF($K929="","",IF($M929&lt;&gt;"",$M929-$K929,TODAY()-$K929))</f>
        <v/>
      </c>
      <c r="R929" s="85">
        <f>IF(OR($L929="",$I929="Completed",$I929="Cancelled"),"",IF(AND($L929&lt;TODAY(),$I929&lt;&gt;"Completed",$I929&lt;&gt;"Cancelled"),"Overdue","On Track"))</f>
        <v/>
      </c>
      <c r="S929" s="65">
        <f>IF($L929="","",TEXT($L929,"yyyy-mm"))</f>
        <v/>
      </c>
      <c r="T929" s="86">
        <f>IF($I929="","",IFERROR(INDEX(Action_Status_Map!$C$5:$C$11,MATCH($I929,Action_Status_Map!$A$5:$A$11,0)),""))</f>
        <v/>
      </c>
      <c r="U929" s="81" t="n"/>
      <c r="V929" s="82" t="n"/>
      <c r="W929" s="65">
        <f>IF(OR($I929&lt;&gt;"Completed",$M929="",$L929=""),"",IF($M929&lt;=$L929,"Yes","No"))</f>
        <v/>
      </c>
      <c r="X929" s="84">
        <f>IF($A929="","",COUNTIF(Task_Steps!$B$5:$B$2004,$A929))</f>
        <v/>
      </c>
      <c r="Y929" s="86">
        <f>IF($X929=0,"",COUNTIFS(Task_Steps!$B$5:$B$2004,$A929,Task_Steps!$H$5:$H$2004,"Completed")/$X929)</f>
        <v/>
      </c>
      <c r="Z929" s="81" t="n"/>
      <c r="AA929" s="81" t="n"/>
      <c r="AB929" s="67">
        <f>IF($F929="","",IFERROR(INDEX(Employee_Master!$E$5:$E$204,MATCH($F929,Employee_Master!$B$5:$B$204,0)),""))</f>
        <v/>
      </c>
      <c r="AC929" s="65">
        <f>IF(OR($A929="",$AB929=""),"",IF(OR($I929="Completed",$I929="Cancelled"),"Closed - in Manager Report","Active - in Manager Report"))</f>
        <v/>
      </c>
      <c r="AD929" s="81">
        <f>IF($A929="","",IFERROR(TEXTJOIN(", ",TRUE,FILTER(Task_Steps!$A$5:$A$2004,Task_Steps!$B$5:$B$2004=$A929)),""))</f>
        <v/>
      </c>
      <c r="AE929" s="84">
        <f>IF($A929="","",COUNTIFS(Task_Steps!$B$5:$B$2004,$A929,Task_Steps!$H$5:$H$2004,"&lt;&gt;Completed",Task_Steps!$H$5:$H$2004,"&lt;&gt;Cancelled"))</f>
        <v/>
      </c>
      <c r="AF929" s="81">
        <f>IF(OR($B929="",$A929=""),"",$B929&amp;" | "&amp;$A929)</f>
        <v/>
      </c>
    </row>
    <row r="930" ht="15" customHeight="1" s="40">
      <c r="A930" s="65">
        <f>IF(COUNTA(B930:F930)=0,"","TSK-"&amp;TEXT(ROW()-4,"0000"))</f>
        <v/>
      </c>
      <c r="B930" s="78" t="n"/>
      <c r="C930" s="78" t="n"/>
      <c r="D930" s="81" t="n"/>
      <c r="E930" s="81" t="n"/>
      <c r="F930" s="78" t="n"/>
      <c r="G930" s="67">
        <f>IF($F930="","",IFERROR(INDEX(Employee_Master!$C$5:$C$204,MATCH($F930,Employee_Master!$B$5:$B$204,0)),""))</f>
        <v/>
      </c>
      <c r="H930" s="78" t="n"/>
      <c r="I930" s="78" t="n"/>
      <c r="J930" s="67">
        <f>IF($I930="","",IFERROR(INDEX(Action_Status_Map!$B$5:$B$11,MATCH($I930,Action_Status_Map!$A$5:$A$11,0)),""))</f>
        <v/>
      </c>
      <c r="K930" s="82" t="n"/>
      <c r="L930" s="82" t="n"/>
      <c r="M930" s="82" t="n"/>
      <c r="N930" s="83" t="n"/>
      <c r="O930" s="83" t="n"/>
      <c r="P930" s="66">
        <f>IF(OR($N930="",$O930=""),"",$O930-$N930)</f>
        <v/>
      </c>
      <c r="Q930" s="84">
        <f>IF($K930="","",IF($M930&lt;&gt;"",$M930-$K930,TODAY()-$K930))</f>
        <v/>
      </c>
      <c r="R930" s="85">
        <f>IF(OR($L930="",$I930="Completed",$I930="Cancelled"),"",IF(AND($L930&lt;TODAY(),$I930&lt;&gt;"Completed",$I930&lt;&gt;"Cancelled"),"Overdue","On Track"))</f>
        <v/>
      </c>
      <c r="S930" s="65">
        <f>IF($L930="","",TEXT($L930,"yyyy-mm"))</f>
        <v/>
      </c>
      <c r="T930" s="86">
        <f>IF($I930="","",IFERROR(INDEX(Action_Status_Map!$C$5:$C$11,MATCH($I930,Action_Status_Map!$A$5:$A$11,0)),""))</f>
        <v/>
      </c>
      <c r="U930" s="81" t="n"/>
      <c r="V930" s="82" t="n"/>
      <c r="W930" s="65">
        <f>IF(OR($I930&lt;&gt;"Completed",$M930="",$L930=""),"",IF($M930&lt;=$L930,"Yes","No"))</f>
        <v/>
      </c>
      <c r="X930" s="84">
        <f>IF($A930="","",COUNTIF(Task_Steps!$B$5:$B$2004,$A930))</f>
        <v/>
      </c>
      <c r="Y930" s="86">
        <f>IF($X930=0,"",COUNTIFS(Task_Steps!$B$5:$B$2004,$A930,Task_Steps!$H$5:$H$2004,"Completed")/$X930)</f>
        <v/>
      </c>
      <c r="Z930" s="81" t="n"/>
      <c r="AA930" s="81" t="n"/>
      <c r="AB930" s="67">
        <f>IF($F930="","",IFERROR(INDEX(Employee_Master!$E$5:$E$204,MATCH($F930,Employee_Master!$B$5:$B$204,0)),""))</f>
        <v/>
      </c>
      <c r="AC930" s="65">
        <f>IF(OR($A930="",$AB930=""),"",IF(OR($I930="Completed",$I930="Cancelled"),"Closed - in Manager Report","Active - in Manager Report"))</f>
        <v/>
      </c>
      <c r="AD930" s="81">
        <f>IF($A930="","",IFERROR(TEXTJOIN(", ",TRUE,FILTER(Task_Steps!$A$5:$A$2004,Task_Steps!$B$5:$B$2004=$A930)),""))</f>
        <v/>
      </c>
      <c r="AE930" s="84">
        <f>IF($A930="","",COUNTIFS(Task_Steps!$B$5:$B$2004,$A930,Task_Steps!$H$5:$H$2004,"&lt;&gt;Completed",Task_Steps!$H$5:$H$2004,"&lt;&gt;Cancelled"))</f>
        <v/>
      </c>
      <c r="AF930" s="81">
        <f>IF(OR($B930="",$A930=""),"",$B930&amp;" | "&amp;$A930)</f>
        <v/>
      </c>
    </row>
    <row r="931" ht="15" customHeight="1" s="40">
      <c r="A931" s="65">
        <f>IF(COUNTA(B931:F931)=0,"","TSK-"&amp;TEXT(ROW()-4,"0000"))</f>
        <v/>
      </c>
      <c r="B931" s="78" t="n"/>
      <c r="C931" s="78" t="n"/>
      <c r="D931" s="81" t="n"/>
      <c r="E931" s="81" t="n"/>
      <c r="F931" s="78" t="n"/>
      <c r="G931" s="67">
        <f>IF($F931="","",IFERROR(INDEX(Employee_Master!$C$5:$C$204,MATCH($F931,Employee_Master!$B$5:$B$204,0)),""))</f>
        <v/>
      </c>
      <c r="H931" s="78" t="n"/>
      <c r="I931" s="78" t="n"/>
      <c r="J931" s="67">
        <f>IF($I931="","",IFERROR(INDEX(Action_Status_Map!$B$5:$B$11,MATCH($I931,Action_Status_Map!$A$5:$A$11,0)),""))</f>
        <v/>
      </c>
      <c r="K931" s="82" t="n"/>
      <c r="L931" s="82" t="n"/>
      <c r="M931" s="82" t="n"/>
      <c r="N931" s="83" t="n"/>
      <c r="O931" s="83" t="n"/>
      <c r="P931" s="66">
        <f>IF(OR($N931="",$O931=""),"",$O931-$N931)</f>
        <v/>
      </c>
      <c r="Q931" s="84">
        <f>IF($K931="","",IF($M931&lt;&gt;"",$M931-$K931,TODAY()-$K931))</f>
        <v/>
      </c>
      <c r="R931" s="85">
        <f>IF(OR($L931="",$I931="Completed",$I931="Cancelled"),"",IF(AND($L931&lt;TODAY(),$I931&lt;&gt;"Completed",$I931&lt;&gt;"Cancelled"),"Overdue","On Track"))</f>
        <v/>
      </c>
      <c r="S931" s="65">
        <f>IF($L931="","",TEXT($L931,"yyyy-mm"))</f>
        <v/>
      </c>
      <c r="T931" s="86">
        <f>IF($I931="","",IFERROR(INDEX(Action_Status_Map!$C$5:$C$11,MATCH($I931,Action_Status_Map!$A$5:$A$11,0)),""))</f>
        <v/>
      </c>
      <c r="U931" s="81" t="n"/>
      <c r="V931" s="82" t="n"/>
      <c r="W931" s="65">
        <f>IF(OR($I931&lt;&gt;"Completed",$M931="",$L931=""),"",IF($M931&lt;=$L931,"Yes","No"))</f>
        <v/>
      </c>
      <c r="X931" s="84">
        <f>IF($A931="","",COUNTIF(Task_Steps!$B$5:$B$2004,$A931))</f>
        <v/>
      </c>
      <c r="Y931" s="86">
        <f>IF($X931=0,"",COUNTIFS(Task_Steps!$B$5:$B$2004,$A931,Task_Steps!$H$5:$H$2004,"Completed")/$X931)</f>
        <v/>
      </c>
      <c r="Z931" s="81" t="n"/>
      <c r="AA931" s="81" t="n"/>
      <c r="AB931" s="67">
        <f>IF($F931="","",IFERROR(INDEX(Employee_Master!$E$5:$E$204,MATCH($F931,Employee_Master!$B$5:$B$204,0)),""))</f>
        <v/>
      </c>
      <c r="AC931" s="65">
        <f>IF(OR($A931="",$AB931=""),"",IF(OR($I931="Completed",$I931="Cancelled"),"Closed - in Manager Report","Active - in Manager Report"))</f>
        <v/>
      </c>
      <c r="AD931" s="81">
        <f>IF($A931="","",IFERROR(TEXTJOIN(", ",TRUE,FILTER(Task_Steps!$A$5:$A$2004,Task_Steps!$B$5:$B$2004=$A931)),""))</f>
        <v/>
      </c>
      <c r="AE931" s="84">
        <f>IF($A931="","",COUNTIFS(Task_Steps!$B$5:$B$2004,$A931,Task_Steps!$H$5:$H$2004,"&lt;&gt;Completed",Task_Steps!$H$5:$H$2004,"&lt;&gt;Cancelled"))</f>
        <v/>
      </c>
      <c r="AF931" s="81">
        <f>IF(OR($B931="",$A931=""),"",$B931&amp;" | "&amp;$A931)</f>
        <v/>
      </c>
    </row>
    <row r="932" ht="15" customHeight="1" s="40">
      <c r="A932" s="65">
        <f>IF(COUNTA(B932:F932)=0,"","TSK-"&amp;TEXT(ROW()-4,"0000"))</f>
        <v/>
      </c>
      <c r="B932" s="78" t="n"/>
      <c r="C932" s="78" t="n"/>
      <c r="D932" s="81" t="n"/>
      <c r="E932" s="81" t="n"/>
      <c r="F932" s="78" t="n"/>
      <c r="G932" s="67">
        <f>IF($F932="","",IFERROR(INDEX(Employee_Master!$C$5:$C$204,MATCH($F932,Employee_Master!$B$5:$B$204,0)),""))</f>
        <v/>
      </c>
      <c r="H932" s="78" t="n"/>
      <c r="I932" s="78" t="n"/>
      <c r="J932" s="67">
        <f>IF($I932="","",IFERROR(INDEX(Action_Status_Map!$B$5:$B$11,MATCH($I932,Action_Status_Map!$A$5:$A$11,0)),""))</f>
        <v/>
      </c>
      <c r="K932" s="82" t="n"/>
      <c r="L932" s="82" t="n"/>
      <c r="M932" s="82" t="n"/>
      <c r="N932" s="83" t="n"/>
      <c r="O932" s="83" t="n"/>
      <c r="P932" s="66">
        <f>IF(OR($N932="",$O932=""),"",$O932-$N932)</f>
        <v/>
      </c>
      <c r="Q932" s="84">
        <f>IF($K932="","",IF($M932&lt;&gt;"",$M932-$K932,TODAY()-$K932))</f>
        <v/>
      </c>
      <c r="R932" s="85">
        <f>IF(OR($L932="",$I932="Completed",$I932="Cancelled"),"",IF(AND($L932&lt;TODAY(),$I932&lt;&gt;"Completed",$I932&lt;&gt;"Cancelled"),"Overdue","On Track"))</f>
        <v/>
      </c>
      <c r="S932" s="65">
        <f>IF($L932="","",TEXT($L932,"yyyy-mm"))</f>
        <v/>
      </c>
      <c r="T932" s="86">
        <f>IF($I932="","",IFERROR(INDEX(Action_Status_Map!$C$5:$C$11,MATCH($I932,Action_Status_Map!$A$5:$A$11,0)),""))</f>
        <v/>
      </c>
      <c r="U932" s="81" t="n"/>
      <c r="V932" s="82" t="n"/>
      <c r="W932" s="65">
        <f>IF(OR($I932&lt;&gt;"Completed",$M932="",$L932=""),"",IF($M932&lt;=$L932,"Yes","No"))</f>
        <v/>
      </c>
      <c r="X932" s="84">
        <f>IF($A932="","",COUNTIF(Task_Steps!$B$5:$B$2004,$A932))</f>
        <v/>
      </c>
      <c r="Y932" s="86">
        <f>IF($X932=0,"",COUNTIFS(Task_Steps!$B$5:$B$2004,$A932,Task_Steps!$H$5:$H$2004,"Completed")/$X932)</f>
        <v/>
      </c>
      <c r="Z932" s="81" t="n"/>
      <c r="AA932" s="81" t="n"/>
      <c r="AB932" s="67">
        <f>IF($F932="","",IFERROR(INDEX(Employee_Master!$E$5:$E$204,MATCH($F932,Employee_Master!$B$5:$B$204,0)),""))</f>
        <v/>
      </c>
      <c r="AC932" s="65">
        <f>IF(OR($A932="",$AB932=""),"",IF(OR($I932="Completed",$I932="Cancelled"),"Closed - in Manager Report","Active - in Manager Report"))</f>
        <v/>
      </c>
      <c r="AD932" s="81">
        <f>IF($A932="","",IFERROR(TEXTJOIN(", ",TRUE,FILTER(Task_Steps!$A$5:$A$2004,Task_Steps!$B$5:$B$2004=$A932)),""))</f>
        <v/>
      </c>
      <c r="AE932" s="84">
        <f>IF($A932="","",COUNTIFS(Task_Steps!$B$5:$B$2004,$A932,Task_Steps!$H$5:$H$2004,"&lt;&gt;Completed",Task_Steps!$H$5:$H$2004,"&lt;&gt;Cancelled"))</f>
        <v/>
      </c>
      <c r="AF932" s="81">
        <f>IF(OR($B932="",$A932=""),"",$B932&amp;" | "&amp;$A932)</f>
        <v/>
      </c>
    </row>
    <row r="933" ht="15" customHeight="1" s="40">
      <c r="A933" s="65">
        <f>IF(COUNTA(B933:F933)=0,"","TSK-"&amp;TEXT(ROW()-4,"0000"))</f>
        <v/>
      </c>
      <c r="B933" s="78" t="n"/>
      <c r="C933" s="78" t="n"/>
      <c r="D933" s="81" t="n"/>
      <c r="E933" s="81" t="n"/>
      <c r="F933" s="78" t="n"/>
      <c r="G933" s="67">
        <f>IF($F933="","",IFERROR(INDEX(Employee_Master!$C$5:$C$204,MATCH($F933,Employee_Master!$B$5:$B$204,0)),""))</f>
        <v/>
      </c>
      <c r="H933" s="78" t="n"/>
      <c r="I933" s="78" t="n"/>
      <c r="J933" s="67">
        <f>IF($I933="","",IFERROR(INDEX(Action_Status_Map!$B$5:$B$11,MATCH($I933,Action_Status_Map!$A$5:$A$11,0)),""))</f>
        <v/>
      </c>
      <c r="K933" s="82" t="n"/>
      <c r="L933" s="82" t="n"/>
      <c r="M933" s="82" t="n"/>
      <c r="N933" s="83" t="n"/>
      <c r="O933" s="83" t="n"/>
      <c r="P933" s="66">
        <f>IF(OR($N933="",$O933=""),"",$O933-$N933)</f>
        <v/>
      </c>
      <c r="Q933" s="84">
        <f>IF($K933="","",IF($M933&lt;&gt;"",$M933-$K933,TODAY()-$K933))</f>
        <v/>
      </c>
      <c r="R933" s="85">
        <f>IF(OR($L933="",$I933="Completed",$I933="Cancelled"),"",IF(AND($L933&lt;TODAY(),$I933&lt;&gt;"Completed",$I933&lt;&gt;"Cancelled"),"Overdue","On Track"))</f>
        <v/>
      </c>
      <c r="S933" s="65">
        <f>IF($L933="","",TEXT($L933,"yyyy-mm"))</f>
        <v/>
      </c>
      <c r="T933" s="86">
        <f>IF($I933="","",IFERROR(INDEX(Action_Status_Map!$C$5:$C$11,MATCH($I933,Action_Status_Map!$A$5:$A$11,0)),""))</f>
        <v/>
      </c>
      <c r="U933" s="81" t="n"/>
      <c r="V933" s="82" t="n"/>
      <c r="W933" s="65">
        <f>IF(OR($I933&lt;&gt;"Completed",$M933="",$L933=""),"",IF($M933&lt;=$L933,"Yes","No"))</f>
        <v/>
      </c>
      <c r="X933" s="84">
        <f>IF($A933="","",COUNTIF(Task_Steps!$B$5:$B$2004,$A933))</f>
        <v/>
      </c>
      <c r="Y933" s="86">
        <f>IF($X933=0,"",COUNTIFS(Task_Steps!$B$5:$B$2004,$A933,Task_Steps!$H$5:$H$2004,"Completed")/$X933)</f>
        <v/>
      </c>
      <c r="Z933" s="81" t="n"/>
      <c r="AA933" s="81" t="n"/>
      <c r="AB933" s="67">
        <f>IF($F933="","",IFERROR(INDEX(Employee_Master!$E$5:$E$204,MATCH($F933,Employee_Master!$B$5:$B$204,0)),""))</f>
        <v/>
      </c>
      <c r="AC933" s="65">
        <f>IF(OR($A933="",$AB933=""),"",IF(OR($I933="Completed",$I933="Cancelled"),"Closed - in Manager Report","Active - in Manager Report"))</f>
        <v/>
      </c>
      <c r="AD933" s="81">
        <f>IF($A933="","",IFERROR(TEXTJOIN(", ",TRUE,FILTER(Task_Steps!$A$5:$A$2004,Task_Steps!$B$5:$B$2004=$A933)),""))</f>
        <v/>
      </c>
      <c r="AE933" s="84">
        <f>IF($A933="","",COUNTIFS(Task_Steps!$B$5:$B$2004,$A933,Task_Steps!$H$5:$H$2004,"&lt;&gt;Completed",Task_Steps!$H$5:$H$2004,"&lt;&gt;Cancelled"))</f>
        <v/>
      </c>
      <c r="AF933" s="81">
        <f>IF(OR($B933="",$A933=""),"",$B933&amp;" | "&amp;$A933)</f>
        <v/>
      </c>
    </row>
    <row r="934" ht="15" customHeight="1" s="40">
      <c r="A934" s="65">
        <f>IF(COUNTA(B934:F934)=0,"","TSK-"&amp;TEXT(ROW()-4,"0000"))</f>
        <v/>
      </c>
      <c r="B934" s="78" t="n"/>
      <c r="C934" s="78" t="n"/>
      <c r="D934" s="81" t="n"/>
      <c r="E934" s="81" t="n"/>
      <c r="F934" s="78" t="n"/>
      <c r="G934" s="67">
        <f>IF($F934="","",IFERROR(INDEX(Employee_Master!$C$5:$C$204,MATCH($F934,Employee_Master!$B$5:$B$204,0)),""))</f>
        <v/>
      </c>
      <c r="H934" s="78" t="n"/>
      <c r="I934" s="78" t="n"/>
      <c r="J934" s="67">
        <f>IF($I934="","",IFERROR(INDEX(Action_Status_Map!$B$5:$B$11,MATCH($I934,Action_Status_Map!$A$5:$A$11,0)),""))</f>
        <v/>
      </c>
      <c r="K934" s="82" t="n"/>
      <c r="L934" s="82" t="n"/>
      <c r="M934" s="82" t="n"/>
      <c r="N934" s="83" t="n"/>
      <c r="O934" s="83" t="n"/>
      <c r="P934" s="66">
        <f>IF(OR($N934="",$O934=""),"",$O934-$N934)</f>
        <v/>
      </c>
      <c r="Q934" s="84">
        <f>IF($K934="","",IF($M934&lt;&gt;"",$M934-$K934,TODAY()-$K934))</f>
        <v/>
      </c>
      <c r="R934" s="85">
        <f>IF(OR($L934="",$I934="Completed",$I934="Cancelled"),"",IF(AND($L934&lt;TODAY(),$I934&lt;&gt;"Completed",$I934&lt;&gt;"Cancelled"),"Overdue","On Track"))</f>
        <v/>
      </c>
      <c r="S934" s="65">
        <f>IF($L934="","",TEXT($L934,"yyyy-mm"))</f>
        <v/>
      </c>
      <c r="T934" s="86">
        <f>IF($I934="","",IFERROR(INDEX(Action_Status_Map!$C$5:$C$11,MATCH($I934,Action_Status_Map!$A$5:$A$11,0)),""))</f>
        <v/>
      </c>
      <c r="U934" s="81" t="n"/>
      <c r="V934" s="82" t="n"/>
      <c r="W934" s="65">
        <f>IF(OR($I934&lt;&gt;"Completed",$M934="",$L934=""),"",IF($M934&lt;=$L934,"Yes","No"))</f>
        <v/>
      </c>
      <c r="X934" s="84">
        <f>IF($A934="","",COUNTIF(Task_Steps!$B$5:$B$2004,$A934))</f>
        <v/>
      </c>
      <c r="Y934" s="86">
        <f>IF($X934=0,"",COUNTIFS(Task_Steps!$B$5:$B$2004,$A934,Task_Steps!$H$5:$H$2004,"Completed")/$X934)</f>
        <v/>
      </c>
      <c r="Z934" s="81" t="n"/>
      <c r="AA934" s="81" t="n"/>
      <c r="AB934" s="67">
        <f>IF($F934="","",IFERROR(INDEX(Employee_Master!$E$5:$E$204,MATCH($F934,Employee_Master!$B$5:$B$204,0)),""))</f>
        <v/>
      </c>
      <c r="AC934" s="65">
        <f>IF(OR($A934="",$AB934=""),"",IF(OR($I934="Completed",$I934="Cancelled"),"Closed - in Manager Report","Active - in Manager Report"))</f>
        <v/>
      </c>
      <c r="AD934" s="81">
        <f>IF($A934="","",IFERROR(TEXTJOIN(", ",TRUE,FILTER(Task_Steps!$A$5:$A$2004,Task_Steps!$B$5:$B$2004=$A934)),""))</f>
        <v/>
      </c>
      <c r="AE934" s="84">
        <f>IF($A934="","",COUNTIFS(Task_Steps!$B$5:$B$2004,$A934,Task_Steps!$H$5:$H$2004,"&lt;&gt;Completed",Task_Steps!$H$5:$H$2004,"&lt;&gt;Cancelled"))</f>
        <v/>
      </c>
      <c r="AF934" s="81">
        <f>IF(OR($B934="",$A934=""),"",$B934&amp;" | "&amp;$A934)</f>
        <v/>
      </c>
    </row>
    <row r="935" ht="15" customHeight="1" s="40">
      <c r="A935" s="65">
        <f>IF(COUNTA(B935:F935)=0,"","TSK-"&amp;TEXT(ROW()-4,"0000"))</f>
        <v/>
      </c>
      <c r="B935" s="78" t="n"/>
      <c r="C935" s="78" t="n"/>
      <c r="D935" s="81" t="n"/>
      <c r="E935" s="81" t="n"/>
      <c r="F935" s="78" t="n"/>
      <c r="G935" s="67">
        <f>IF($F935="","",IFERROR(INDEX(Employee_Master!$C$5:$C$204,MATCH($F935,Employee_Master!$B$5:$B$204,0)),""))</f>
        <v/>
      </c>
      <c r="H935" s="78" t="n"/>
      <c r="I935" s="78" t="n"/>
      <c r="J935" s="67">
        <f>IF($I935="","",IFERROR(INDEX(Action_Status_Map!$B$5:$B$11,MATCH($I935,Action_Status_Map!$A$5:$A$11,0)),""))</f>
        <v/>
      </c>
      <c r="K935" s="82" t="n"/>
      <c r="L935" s="82" t="n"/>
      <c r="M935" s="82" t="n"/>
      <c r="N935" s="83" t="n"/>
      <c r="O935" s="83" t="n"/>
      <c r="P935" s="66">
        <f>IF(OR($N935="",$O935=""),"",$O935-$N935)</f>
        <v/>
      </c>
      <c r="Q935" s="84">
        <f>IF($K935="","",IF($M935&lt;&gt;"",$M935-$K935,TODAY()-$K935))</f>
        <v/>
      </c>
      <c r="R935" s="85">
        <f>IF(OR($L935="",$I935="Completed",$I935="Cancelled"),"",IF(AND($L935&lt;TODAY(),$I935&lt;&gt;"Completed",$I935&lt;&gt;"Cancelled"),"Overdue","On Track"))</f>
        <v/>
      </c>
      <c r="S935" s="65">
        <f>IF($L935="","",TEXT($L935,"yyyy-mm"))</f>
        <v/>
      </c>
      <c r="T935" s="86">
        <f>IF($I935="","",IFERROR(INDEX(Action_Status_Map!$C$5:$C$11,MATCH($I935,Action_Status_Map!$A$5:$A$11,0)),""))</f>
        <v/>
      </c>
      <c r="U935" s="81" t="n"/>
      <c r="V935" s="82" t="n"/>
      <c r="W935" s="65">
        <f>IF(OR($I935&lt;&gt;"Completed",$M935="",$L935=""),"",IF($M935&lt;=$L935,"Yes","No"))</f>
        <v/>
      </c>
      <c r="X935" s="84">
        <f>IF($A935="","",COUNTIF(Task_Steps!$B$5:$B$2004,$A935))</f>
        <v/>
      </c>
      <c r="Y935" s="86">
        <f>IF($X935=0,"",COUNTIFS(Task_Steps!$B$5:$B$2004,$A935,Task_Steps!$H$5:$H$2004,"Completed")/$X935)</f>
        <v/>
      </c>
      <c r="Z935" s="81" t="n"/>
      <c r="AA935" s="81" t="n"/>
      <c r="AB935" s="67">
        <f>IF($F935="","",IFERROR(INDEX(Employee_Master!$E$5:$E$204,MATCH($F935,Employee_Master!$B$5:$B$204,0)),""))</f>
        <v/>
      </c>
      <c r="AC935" s="65">
        <f>IF(OR($A935="",$AB935=""),"",IF(OR($I935="Completed",$I935="Cancelled"),"Closed - in Manager Report","Active - in Manager Report"))</f>
        <v/>
      </c>
      <c r="AD935" s="81">
        <f>IF($A935="","",IFERROR(TEXTJOIN(", ",TRUE,FILTER(Task_Steps!$A$5:$A$2004,Task_Steps!$B$5:$B$2004=$A935)),""))</f>
        <v/>
      </c>
      <c r="AE935" s="84">
        <f>IF($A935="","",COUNTIFS(Task_Steps!$B$5:$B$2004,$A935,Task_Steps!$H$5:$H$2004,"&lt;&gt;Completed",Task_Steps!$H$5:$H$2004,"&lt;&gt;Cancelled"))</f>
        <v/>
      </c>
      <c r="AF935" s="81">
        <f>IF(OR($B935="",$A935=""),"",$B935&amp;" | "&amp;$A935)</f>
        <v/>
      </c>
    </row>
    <row r="936" ht="15" customHeight="1" s="40">
      <c r="A936" s="65">
        <f>IF(COUNTA(B936:F936)=0,"","TSK-"&amp;TEXT(ROW()-4,"0000"))</f>
        <v/>
      </c>
      <c r="B936" s="78" t="n"/>
      <c r="C936" s="78" t="n"/>
      <c r="D936" s="81" t="n"/>
      <c r="E936" s="81" t="n"/>
      <c r="F936" s="78" t="n"/>
      <c r="G936" s="67">
        <f>IF($F936="","",IFERROR(INDEX(Employee_Master!$C$5:$C$204,MATCH($F936,Employee_Master!$B$5:$B$204,0)),""))</f>
        <v/>
      </c>
      <c r="H936" s="78" t="n"/>
      <c r="I936" s="78" t="n"/>
      <c r="J936" s="67">
        <f>IF($I936="","",IFERROR(INDEX(Action_Status_Map!$B$5:$B$11,MATCH($I936,Action_Status_Map!$A$5:$A$11,0)),""))</f>
        <v/>
      </c>
      <c r="K936" s="82" t="n"/>
      <c r="L936" s="82" t="n"/>
      <c r="M936" s="82" t="n"/>
      <c r="N936" s="83" t="n"/>
      <c r="O936" s="83" t="n"/>
      <c r="P936" s="66">
        <f>IF(OR($N936="",$O936=""),"",$O936-$N936)</f>
        <v/>
      </c>
      <c r="Q936" s="84">
        <f>IF($K936="","",IF($M936&lt;&gt;"",$M936-$K936,TODAY()-$K936))</f>
        <v/>
      </c>
      <c r="R936" s="85">
        <f>IF(OR($L936="",$I936="Completed",$I936="Cancelled"),"",IF(AND($L936&lt;TODAY(),$I936&lt;&gt;"Completed",$I936&lt;&gt;"Cancelled"),"Overdue","On Track"))</f>
        <v/>
      </c>
      <c r="S936" s="65">
        <f>IF($L936="","",TEXT($L936,"yyyy-mm"))</f>
        <v/>
      </c>
      <c r="T936" s="86">
        <f>IF($I936="","",IFERROR(INDEX(Action_Status_Map!$C$5:$C$11,MATCH($I936,Action_Status_Map!$A$5:$A$11,0)),""))</f>
        <v/>
      </c>
      <c r="U936" s="81" t="n"/>
      <c r="V936" s="82" t="n"/>
      <c r="W936" s="65">
        <f>IF(OR($I936&lt;&gt;"Completed",$M936="",$L936=""),"",IF($M936&lt;=$L936,"Yes","No"))</f>
        <v/>
      </c>
      <c r="X936" s="84">
        <f>IF($A936="","",COUNTIF(Task_Steps!$B$5:$B$2004,$A936))</f>
        <v/>
      </c>
      <c r="Y936" s="86">
        <f>IF($X936=0,"",COUNTIFS(Task_Steps!$B$5:$B$2004,$A936,Task_Steps!$H$5:$H$2004,"Completed")/$X936)</f>
        <v/>
      </c>
      <c r="Z936" s="81" t="n"/>
      <c r="AA936" s="81" t="n"/>
      <c r="AB936" s="67">
        <f>IF($F936="","",IFERROR(INDEX(Employee_Master!$E$5:$E$204,MATCH($F936,Employee_Master!$B$5:$B$204,0)),""))</f>
        <v/>
      </c>
      <c r="AC936" s="65">
        <f>IF(OR($A936="",$AB936=""),"",IF(OR($I936="Completed",$I936="Cancelled"),"Closed - in Manager Report","Active - in Manager Report"))</f>
        <v/>
      </c>
      <c r="AD936" s="81">
        <f>IF($A936="","",IFERROR(TEXTJOIN(", ",TRUE,FILTER(Task_Steps!$A$5:$A$2004,Task_Steps!$B$5:$B$2004=$A936)),""))</f>
        <v/>
      </c>
      <c r="AE936" s="84">
        <f>IF($A936="","",COUNTIFS(Task_Steps!$B$5:$B$2004,$A936,Task_Steps!$H$5:$H$2004,"&lt;&gt;Completed",Task_Steps!$H$5:$H$2004,"&lt;&gt;Cancelled"))</f>
        <v/>
      </c>
      <c r="AF936" s="81">
        <f>IF(OR($B936="",$A936=""),"",$B936&amp;" | "&amp;$A936)</f>
        <v/>
      </c>
    </row>
    <row r="937" ht="15" customHeight="1" s="40">
      <c r="A937" s="65">
        <f>IF(COUNTA(B937:F937)=0,"","TSK-"&amp;TEXT(ROW()-4,"0000"))</f>
        <v/>
      </c>
      <c r="B937" s="78" t="n"/>
      <c r="C937" s="78" t="n"/>
      <c r="D937" s="81" t="n"/>
      <c r="E937" s="81" t="n"/>
      <c r="F937" s="78" t="n"/>
      <c r="G937" s="67">
        <f>IF($F937="","",IFERROR(INDEX(Employee_Master!$C$5:$C$204,MATCH($F937,Employee_Master!$B$5:$B$204,0)),""))</f>
        <v/>
      </c>
      <c r="H937" s="78" t="n"/>
      <c r="I937" s="78" t="n"/>
      <c r="J937" s="67">
        <f>IF($I937="","",IFERROR(INDEX(Action_Status_Map!$B$5:$B$11,MATCH($I937,Action_Status_Map!$A$5:$A$11,0)),""))</f>
        <v/>
      </c>
      <c r="K937" s="82" t="n"/>
      <c r="L937" s="82" t="n"/>
      <c r="M937" s="82" t="n"/>
      <c r="N937" s="83" t="n"/>
      <c r="O937" s="83" t="n"/>
      <c r="P937" s="66">
        <f>IF(OR($N937="",$O937=""),"",$O937-$N937)</f>
        <v/>
      </c>
      <c r="Q937" s="84">
        <f>IF($K937="","",IF($M937&lt;&gt;"",$M937-$K937,TODAY()-$K937))</f>
        <v/>
      </c>
      <c r="R937" s="85">
        <f>IF(OR($L937="",$I937="Completed",$I937="Cancelled"),"",IF(AND($L937&lt;TODAY(),$I937&lt;&gt;"Completed",$I937&lt;&gt;"Cancelled"),"Overdue","On Track"))</f>
        <v/>
      </c>
      <c r="S937" s="65">
        <f>IF($L937="","",TEXT($L937,"yyyy-mm"))</f>
        <v/>
      </c>
      <c r="T937" s="86">
        <f>IF($I937="","",IFERROR(INDEX(Action_Status_Map!$C$5:$C$11,MATCH($I937,Action_Status_Map!$A$5:$A$11,0)),""))</f>
        <v/>
      </c>
      <c r="U937" s="81" t="n"/>
      <c r="V937" s="82" t="n"/>
      <c r="W937" s="65">
        <f>IF(OR($I937&lt;&gt;"Completed",$M937="",$L937=""),"",IF($M937&lt;=$L937,"Yes","No"))</f>
        <v/>
      </c>
      <c r="X937" s="84">
        <f>IF($A937="","",COUNTIF(Task_Steps!$B$5:$B$2004,$A937))</f>
        <v/>
      </c>
      <c r="Y937" s="86">
        <f>IF($X937=0,"",COUNTIFS(Task_Steps!$B$5:$B$2004,$A937,Task_Steps!$H$5:$H$2004,"Completed")/$X937)</f>
        <v/>
      </c>
      <c r="Z937" s="81" t="n"/>
      <c r="AA937" s="81" t="n"/>
      <c r="AB937" s="67">
        <f>IF($F937="","",IFERROR(INDEX(Employee_Master!$E$5:$E$204,MATCH($F937,Employee_Master!$B$5:$B$204,0)),""))</f>
        <v/>
      </c>
      <c r="AC937" s="65">
        <f>IF(OR($A937="",$AB937=""),"",IF(OR($I937="Completed",$I937="Cancelled"),"Closed - in Manager Report","Active - in Manager Report"))</f>
        <v/>
      </c>
      <c r="AD937" s="81">
        <f>IF($A937="","",IFERROR(TEXTJOIN(", ",TRUE,FILTER(Task_Steps!$A$5:$A$2004,Task_Steps!$B$5:$B$2004=$A937)),""))</f>
        <v/>
      </c>
      <c r="AE937" s="84">
        <f>IF($A937="","",COUNTIFS(Task_Steps!$B$5:$B$2004,$A937,Task_Steps!$H$5:$H$2004,"&lt;&gt;Completed",Task_Steps!$H$5:$H$2004,"&lt;&gt;Cancelled"))</f>
        <v/>
      </c>
      <c r="AF937" s="81">
        <f>IF(OR($B937="",$A937=""),"",$B937&amp;" | "&amp;$A937)</f>
        <v/>
      </c>
    </row>
    <row r="938" ht="15" customHeight="1" s="40">
      <c r="A938" s="65">
        <f>IF(COUNTA(B938:F938)=0,"","TSK-"&amp;TEXT(ROW()-4,"0000"))</f>
        <v/>
      </c>
      <c r="B938" s="78" t="n"/>
      <c r="C938" s="78" t="n"/>
      <c r="D938" s="81" t="n"/>
      <c r="E938" s="81" t="n"/>
      <c r="F938" s="78" t="n"/>
      <c r="G938" s="67">
        <f>IF($F938="","",IFERROR(INDEX(Employee_Master!$C$5:$C$204,MATCH($F938,Employee_Master!$B$5:$B$204,0)),""))</f>
        <v/>
      </c>
      <c r="H938" s="78" t="n"/>
      <c r="I938" s="78" t="n"/>
      <c r="J938" s="67">
        <f>IF($I938="","",IFERROR(INDEX(Action_Status_Map!$B$5:$B$11,MATCH($I938,Action_Status_Map!$A$5:$A$11,0)),""))</f>
        <v/>
      </c>
      <c r="K938" s="82" t="n"/>
      <c r="L938" s="82" t="n"/>
      <c r="M938" s="82" t="n"/>
      <c r="N938" s="83" t="n"/>
      <c r="O938" s="83" t="n"/>
      <c r="P938" s="66">
        <f>IF(OR($N938="",$O938=""),"",$O938-$N938)</f>
        <v/>
      </c>
      <c r="Q938" s="84">
        <f>IF($K938="","",IF($M938&lt;&gt;"",$M938-$K938,TODAY()-$K938))</f>
        <v/>
      </c>
      <c r="R938" s="85">
        <f>IF(OR($L938="",$I938="Completed",$I938="Cancelled"),"",IF(AND($L938&lt;TODAY(),$I938&lt;&gt;"Completed",$I938&lt;&gt;"Cancelled"),"Overdue","On Track"))</f>
        <v/>
      </c>
      <c r="S938" s="65">
        <f>IF($L938="","",TEXT($L938,"yyyy-mm"))</f>
        <v/>
      </c>
      <c r="T938" s="86">
        <f>IF($I938="","",IFERROR(INDEX(Action_Status_Map!$C$5:$C$11,MATCH($I938,Action_Status_Map!$A$5:$A$11,0)),""))</f>
        <v/>
      </c>
      <c r="U938" s="81" t="n"/>
      <c r="V938" s="82" t="n"/>
      <c r="W938" s="65">
        <f>IF(OR($I938&lt;&gt;"Completed",$M938="",$L938=""),"",IF($M938&lt;=$L938,"Yes","No"))</f>
        <v/>
      </c>
      <c r="X938" s="84">
        <f>IF($A938="","",COUNTIF(Task_Steps!$B$5:$B$2004,$A938))</f>
        <v/>
      </c>
      <c r="Y938" s="86">
        <f>IF($X938=0,"",COUNTIFS(Task_Steps!$B$5:$B$2004,$A938,Task_Steps!$H$5:$H$2004,"Completed")/$X938)</f>
        <v/>
      </c>
      <c r="Z938" s="81" t="n"/>
      <c r="AA938" s="81" t="n"/>
      <c r="AB938" s="67">
        <f>IF($F938="","",IFERROR(INDEX(Employee_Master!$E$5:$E$204,MATCH($F938,Employee_Master!$B$5:$B$204,0)),""))</f>
        <v/>
      </c>
      <c r="AC938" s="65">
        <f>IF(OR($A938="",$AB938=""),"",IF(OR($I938="Completed",$I938="Cancelled"),"Closed - in Manager Report","Active - in Manager Report"))</f>
        <v/>
      </c>
      <c r="AD938" s="81">
        <f>IF($A938="","",IFERROR(TEXTJOIN(", ",TRUE,FILTER(Task_Steps!$A$5:$A$2004,Task_Steps!$B$5:$B$2004=$A938)),""))</f>
        <v/>
      </c>
      <c r="AE938" s="84">
        <f>IF($A938="","",COUNTIFS(Task_Steps!$B$5:$B$2004,$A938,Task_Steps!$H$5:$H$2004,"&lt;&gt;Completed",Task_Steps!$H$5:$H$2004,"&lt;&gt;Cancelled"))</f>
        <v/>
      </c>
      <c r="AF938" s="81">
        <f>IF(OR($B938="",$A938=""),"",$B938&amp;" | "&amp;$A938)</f>
        <v/>
      </c>
    </row>
    <row r="939" ht="15" customHeight="1" s="40">
      <c r="A939" s="65">
        <f>IF(COUNTA(B939:F939)=0,"","TSK-"&amp;TEXT(ROW()-4,"0000"))</f>
        <v/>
      </c>
      <c r="B939" s="78" t="n"/>
      <c r="C939" s="78" t="n"/>
      <c r="D939" s="81" t="n"/>
      <c r="E939" s="81" t="n"/>
      <c r="F939" s="78" t="n"/>
      <c r="G939" s="67">
        <f>IF($F939="","",IFERROR(INDEX(Employee_Master!$C$5:$C$204,MATCH($F939,Employee_Master!$B$5:$B$204,0)),""))</f>
        <v/>
      </c>
      <c r="H939" s="78" t="n"/>
      <c r="I939" s="78" t="n"/>
      <c r="J939" s="67">
        <f>IF($I939="","",IFERROR(INDEX(Action_Status_Map!$B$5:$B$11,MATCH($I939,Action_Status_Map!$A$5:$A$11,0)),""))</f>
        <v/>
      </c>
      <c r="K939" s="82" t="n"/>
      <c r="L939" s="82" t="n"/>
      <c r="M939" s="82" t="n"/>
      <c r="N939" s="83" t="n"/>
      <c r="O939" s="83" t="n"/>
      <c r="P939" s="66">
        <f>IF(OR($N939="",$O939=""),"",$O939-$N939)</f>
        <v/>
      </c>
      <c r="Q939" s="84">
        <f>IF($K939="","",IF($M939&lt;&gt;"",$M939-$K939,TODAY()-$K939))</f>
        <v/>
      </c>
      <c r="R939" s="85">
        <f>IF(OR($L939="",$I939="Completed",$I939="Cancelled"),"",IF(AND($L939&lt;TODAY(),$I939&lt;&gt;"Completed",$I939&lt;&gt;"Cancelled"),"Overdue","On Track"))</f>
        <v/>
      </c>
      <c r="S939" s="65">
        <f>IF($L939="","",TEXT($L939,"yyyy-mm"))</f>
        <v/>
      </c>
      <c r="T939" s="86">
        <f>IF($I939="","",IFERROR(INDEX(Action_Status_Map!$C$5:$C$11,MATCH($I939,Action_Status_Map!$A$5:$A$11,0)),""))</f>
        <v/>
      </c>
      <c r="U939" s="81" t="n"/>
      <c r="V939" s="82" t="n"/>
      <c r="W939" s="65">
        <f>IF(OR($I939&lt;&gt;"Completed",$M939="",$L939=""),"",IF($M939&lt;=$L939,"Yes","No"))</f>
        <v/>
      </c>
      <c r="X939" s="84">
        <f>IF($A939="","",COUNTIF(Task_Steps!$B$5:$B$2004,$A939))</f>
        <v/>
      </c>
      <c r="Y939" s="86">
        <f>IF($X939=0,"",COUNTIFS(Task_Steps!$B$5:$B$2004,$A939,Task_Steps!$H$5:$H$2004,"Completed")/$X939)</f>
        <v/>
      </c>
      <c r="Z939" s="81" t="n"/>
      <c r="AA939" s="81" t="n"/>
      <c r="AB939" s="67">
        <f>IF($F939="","",IFERROR(INDEX(Employee_Master!$E$5:$E$204,MATCH($F939,Employee_Master!$B$5:$B$204,0)),""))</f>
        <v/>
      </c>
      <c r="AC939" s="65">
        <f>IF(OR($A939="",$AB939=""),"",IF(OR($I939="Completed",$I939="Cancelled"),"Closed - in Manager Report","Active - in Manager Report"))</f>
        <v/>
      </c>
      <c r="AD939" s="81">
        <f>IF($A939="","",IFERROR(TEXTJOIN(", ",TRUE,FILTER(Task_Steps!$A$5:$A$2004,Task_Steps!$B$5:$B$2004=$A939)),""))</f>
        <v/>
      </c>
      <c r="AE939" s="84">
        <f>IF($A939="","",COUNTIFS(Task_Steps!$B$5:$B$2004,$A939,Task_Steps!$H$5:$H$2004,"&lt;&gt;Completed",Task_Steps!$H$5:$H$2004,"&lt;&gt;Cancelled"))</f>
        <v/>
      </c>
      <c r="AF939" s="81">
        <f>IF(OR($B939="",$A939=""),"",$B939&amp;" | "&amp;$A939)</f>
        <v/>
      </c>
    </row>
    <row r="940" ht="15" customHeight="1" s="40">
      <c r="A940" s="65">
        <f>IF(COUNTA(B940:F940)=0,"","TSK-"&amp;TEXT(ROW()-4,"0000"))</f>
        <v/>
      </c>
      <c r="B940" s="78" t="n"/>
      <c r="C940" s="78" t="n"/>
      <c r="D940" s="81" t="n"/>
      <c r="E940" s="81" t="n"/>
      <c r="F940" s="78" t="n"/>
      <c r="G940" s="67">
        <f>IF($F940="","",IFERROR(INDEX(Employee_Master!$C$5:$C$204,MATCH($F940,Employee_Master!$B$5:$B$204,0)),""))</f>
        <v/>
      </c>
      <c r="H940" s="78" t="n"/>
      <c r="I940" s="78" t="n"/>
      <c r="J940" s="67">
        <f>IF($I940="","",IFERROR(INDEX(Action_Status_Map!$B$5:$B$11,MATCH($I940,Action_Status_Map!$A$5:$A$11,0)),""))</f>
        <v/>
      </c>
      <c r="K940" s="82" t="n"/>
      <c r="L940" s="82" t="n"/>
      <c r="M940" s="82" t="n"/>
      <c r="N940" s="83" t="n"/>
      <c r="O940" s="83" t="n"/>
      <c r="P940" s="66">
        <f>IF(OR($N940="",$O940=""),"",$O940-$N940)</f>
        <v/>
      </c>
      <c r="Q940" s="84">
        <f>IF($K940="","",IF($M940&lt;&gt;"",$M940-$K940,TODAY()-$K940))</f>
        <v/>
      </c>
      <c r="R940" s="85">
        <f>IF(OR($L940="",$I940="Completed",$I940="Cancelled"),"",IF(AND($L940&lt;TODAY(),$I940&lt;&gt;"Completed",$I940&lt;&gt;"Cancelled"),"Overdue","On Track"))</f>
        <v/>
      </c>
      <c r="S940" s="65">
        <f>IF($L940="","",TEXT($L940,"yyyy-mm"))</f>
        <v/>
      </c>
      <c r="T940" s="86">
        <f>IF($I940="","",IFERROR(INDEX(Action_Status_Map!$C$5:$C$11,MATCH($I940,Action_Status_Map!$A$5:$A$11,0)),""))</f>
        <v/>
      </c>
      <c r="U940" s="81" t="n"/>
      <c r="V940" s="82" t="n"/>
      <c r="W940" s="65">
        <f>IF(OR($I940&lt;&gt;"Completed",$M940="",$L940=""),"",IF($M940&lt;=$L940,"Yes","No"))</f>
        <v/>
      </c>
      <c r="X940" s="84">
        <f>IF($A940="","",COUNTIF(Task_Steps!$B$5:$B$2004,$A940))</f>
        <v/>
      </c>
      <c r="Y940" s="86">
        <f>IF($X940=0,"",COUNTIFS(Task_Steps!$B$5:$B$2004,$A940,Task_Steps!$H$5:$H$2004,"Completed")/$X940)</f>
        <v/>
      </c>
      <c r="Z940" s="81" t="n"/>
      <c r="AA940" s="81" t="n"/>
      <c r="AB940" s="67">
        <f>IF($F940="","",IFERROR(INDEX(Employee_Master!$E$5:$E$204,MATCH($F940,Employee_Master!$B$5:$B$204,0)),""))</f>
        <v/>
      </c>
      <c r="AC940" s="65">
        <f>IF(OR($A940="",$AB940=""),"",IF(OR($I940="Completed",$I940="Cancelled"),"Closed - in Manager Report","Active - in Manager Report"))</f>
        <v/>
      </c>
      <c r="AD940" s="81">
        <f>IF($A940="","",IFERROR(TEXTJOIN(", ",TRUE,FILTER(Task_Steps!$A$5:$A$2004,Task_Steps!$B$5:$B$2004=$A940)),""))</f>
        <v/>
      </c>
      <c r="AE940" s="84">
        <f>IF($A940="","",COUNTIFS(Task_Steps!$B$5:$B$2004,$A940,Task_Steps!$H$5:$H$2004,"&lt;&gt;Completed",Task_Steps!$H$5:$H$2004,"&lt;&gt;Cancelled"))</f>
        <v/>
      </c>
      <c r="AF940" s="81">
        <f>IF(OR($B940="",$A940=""),"",$B940&amp;" | "&amp;$A940)</f>
        <v/>
      </c>
    </row>
    <row r="941" ht="15" customHeight="1" s="40">
      <c r="A941" s="65">
        <f>IF(COUNTA(B941:F941)=0,"","TSK-"&amp;TEXT(ROW()-4,"0000"))</f>
        <v/>
      </c>
      <c r="B941" s="78" t="n"/>
      <c r="C941" s="78" t="n"/>
      <c r="D941" s="81" t="n"/>
      <c r="E941" s="81" t="n"/>
      <c r="F941" s="78" t="n"/>
      <c r="G941" s="67">
        <f>IF($F941="","",IFERROR(INDEX(Employee_Master!$C$5:$C$204,MATCH($F941,Employee_Master!$B$5:$B$204,0)),""))</f>
        <v/>
      </c>
      <c r="H941" s="78" t="n"/>
      <c r="I941" s="78" t="n"/>
      <c r="J941" s="67">
        <f>IF($I941="","",IFERROR(INDEX(Action_Status_Map!$B$5:$B$11,MATCH($I941,Action_Status_Map!$A$5:$A$11,0)),""))</f>
        <v/>
      </c>
      <c r="K941" s="82" t="n"/>
      <c r="L941" s="82" t="n"/>
      <c r="M941" s="82" t="n"/>
      <c r="N941" s="83" t="n"/>
      <c r="O941" s="83" t="n"/>
      <c r="P941" s="66">
        <f>IF(OR($N941="",$O941=""),"",$O941-$N941)</f>
        <v/>
      </c>
      <c r="Q941" s="84">
        <f>IF($K941="","",IF($M941&lt;&gt;"",$M941-$K941,TODAY()-$K941))</f>
        <v/>
      </c>
      <c r="R941" s="85">
        <f>IF(OR($L941="",$I941="Completed",$I941="Cancelled"),"",IF(AND($L941&lt;TODAY(),$I941&lt;&gt;"Completed",$I941&lt;&gt;"Cancelled"),"Overdue","On Track"))</f>
        <v/>
      </c>
      <c r="S941" s="65">
        <f>IF($L941="","",TEXT($L941,"yyyy-mm"))</f>
        <v/>
      </c>
      <c r="T941" s="86">
        <f>IF($I941="","",IFERROR(INDEX(Action_Status_Map!$C$5:$C$11,MATCH($I941,Action_Status_Map!$A$5:$A$11,0)),""))</f>
        <v/>
      </c>
      <c r="U941" s="81" t="n"/>
      <c r="V941" s="82" t="n"/>
      <c r="W941" s="65">
        <f>IF(OR($I941&lt;&gt;"Completed",$M941="",$L941=""),"",IF($M941&lt;=$L941,"Yes","No"))</f>
        <v/>
      </c>
      <c r="X941" s="84">
        <f>IF($A941="","",COUNTIF(Task_Steps!$B$5:$B$2004,$A941))</f>
        <v/>
      </c>
      <c r="Y941" s="86">
        <f>IF($X941=0,"",COUNTIFS(Task_Steps!$B$5:$B$2004,$A941,Task_Steps!$H$5:$H$2004,"Completed")/$X941)</f>
        <v/>
      </c>
      <c r="Z941" s="81" t="n"/>
      <c r="AA941" s="81" t="n"/>
      <c r="AB941" s="67">
        <f>IF($F941="","",IFERROR(INDEX(Employee_Master!$E$5:$E$204,MATCH($F941,Employee_Master!$B$5:$B$204,0)),""))</f>
        <v/>
      </c>
      <c r="AC941" s="65">
        <f>IF(OR($A941="",$AB941=""),"",IF(OR($I941="Completed",$I941="Cancelled"),"Closed - in Manager Report","Active - in Manager Report"))</f>
        <v/>
      </c>
      <c r="AD941" s="81">
        <f>IF($A941="","",IFERROR(TEXTJOIN(", ",TRUE,FILTER(Task_Steps!$A$5:$A$2004,Task_Steps!$B$5:$B$2004=$A941)),""))</f>
        <v/>
      </c>
      <c r="AE941" s="84">
        <f>IF($A941="","",COUNTIFS(Task_Steps!$B$5:$B$2004,$A941,Task_Steps!$H$5:$H$2004,"&lt;&gt;Completed",Task_Steps!$H$5:$H$2004,"&lt;&gt;Cancelled"))</f>
        <v/>
      </c>
      <c r="AF941" s="81">
        <f>IF(OR($B941="",$A941=""),"",$B941&amp;" | "&amp;$A941)</f>
        <v/>
      </c>
    </row>
    <row r="942" ht="15" customHeight="1" s="40">
      <c r="A942" s="65">
        <f>IF(COUNTA(B942:F942)=0,"","TSK-"&amp;TEXT(ROW()-4,"0000"))</f>
        <v/>
      </c>
      <c r="B942" s="78" t="n"/>
      <c r="C942" s="78" t="n"/>
      <c r="D942" s="81" t="n"/>
      <c r="E942" s="81" t="n"/>
      <c r="F942" s="78" t="n"/>
      <c r="G942" s="67">
        <f>IF($F942="","",IFERROR(INDEX(Employee_Master!$C$5:$C$204,MATCH($F942,Employee_Master!$B$5:$B$204,0)),""))</f>
        <v/>
      </c>
      <c r="H942" s="78" t="n"/>
      <c r="I942" s="78" t="n"/>
      <c r="J942" s="67">
        <f>IF($I942="","",IFERROR(INDEX(Action_Status_Map!$B$5:$B$11,MATCH($I942,Action_Status_Map!$A$5:$A$11,0)),""))</f>
        <v/>
      </c>
      <c r="K942" s="82" t="n"/>
      <c r="L942" s="82" t="n"/>
      <c r="M942" s="82" t="n"/>
      <c r="N942" s="83" t="n"/>
      <c r="O942" s="83" t="n"/>
      <c r="P942" s="66">
        <f>IF(OR($N942="",$O942=""),"",$O942-$N942)</f>
        <v/>
      </c>
      <c r="Q942" s="84">
        <f>IF($K942="","",IF($M942&lt;&gt;"",$M942-$K942,TODAY()-$K942))</f>
        <v/>
      </c>
      <c r="R942" s="85">
        <f>IF(OR($L942="",$I942="Completed",$I942="Cancelled"),"",IF(AND($L942&lt;TODAY(),$I942&lt;&gt;"Completed",$I942&lt;&gt;"Cancelled"),"Overdue","On Track"))</f>
        <v/>
      </c>
      <c r="S942" s="65">
        <f>IF($L942="","",TEXT($L942,"yyyy-mm"))</f>
        <v/>
      </c>
      <c r="T942" s="86">
        <f>IF($I942="","",IFERROR(INDEX(Action_Status_Map!$C$5:$C$11,MATCH($I942,Action_Status_Map!$A$5:$A$11,0)),""))</f>
        <v/>
      </c>
      <c r="U942" s="81" t="n"/>
      <c r="V942" s="82" t="n"/>
      <c r="W942" s="65">
        <f>IF(OR($I942&lt;&gt;"Completed",$M942="",$L942=""),"",IF($M942&lt;=$L942,"Yes","No"))</f>
        <v/>
      </c>
      <c r="X942" s="84">
        <f>IF($A942="","",COUNTIF(Task_Steps!$B$5:$B$2004,$A942))</f>
        <v/>
      </c>
      <c r="Y942" s="86">
        <f>IF($X942=0,"",COUNTIFS(Task_Steps!$B$5:$B$2004,$A942,Task_Steps!$H$5:$H$2004,"Completed")/$X942)</f>
        <v/>
      </c>
      <c r="Z942" s="81" t="n"/>
      <c r="AA942" s="81" t="n"/>
      <c r="AB942" s="67">
        <f>IF($F942="","",IFERROR(INDEX(Employee_Master!$E$5:$E$204,MATCH($F942,Employee_Master!$B$5:$B$204,0)),""))</f>
        <v/>
      </c>
      <c r="AC942" s="65">
        <f>IF(OR($A942="",$AB942=""),"",IF(OR($I942="Completed",$I942="Cancelled"),"Closed - in Manager Report","Active - in Manager Report"))</f>
        <v/>
      </c>
      <c r="AD942" s="81">
        <f>IF($A942="","",IFERROR(TEXTJOIN(", ",TRUE,FILTER(Task_Steps!$A$5:$A$2004,Task_Steps!$B$5:$B$2004=$A942)),""))</f>
        <v/>
      </c>
      <c r="AE942" s="84">
        <f>IF($A942="","",COUNTIFS(Task_Steps!$B$5:$B$2004,$A942,Task_Steps!$H$5:$H$2004,"&lt;&gt;Completed",Task_Steps!$H$5:$H$2004,"&lt;&gt;Cancelled"))</f>
        <v/>
      </c>
      <c r="AF942" s="81">
        <f>IF(OR($B942="",$A942=""),"",$B942&amp;" | "&amp;$A942)</f>
        <v/>
      </c>
    </row>
    <row r="943" ht="15" customHeight="1" s="40">
      <c r="A943" s="65">
        <f>IF(COUNTA(B943:F943)=0,"","TSK-"&amp;TEXT(ROW()-4,"0000"))</f>
        <v/>
      </c>
      <c r="B943" s="78" t="n"/>
      <c r="C943" s="78" t="n"/>
      <c r="D943" s="81" t="n"/>
      <c r="E943" s="81" t="n"/>
      <c r="F943" s="78" t="n"/>
      <c r="G943" s="67">
        <f>IF($F943="","",IFERROR(INDEX(Employee_Master!$C$5:$C$204,MATCH($F943,Employee_Master!$B$5:$B$204,0)),""))</f>
        <v/>
      </c>
      <c r="H943" s="78" t="n"/>
      <c r="I943" s="78" t="n"/>
      <c r="J943" s="67">
        <f>IF($I943="","",IFERROR(INDEX(Action_Status_Map!$B$5:$B$11,MATCH($I943,Action_Status_Map!$A$5:$A$11,0)),""))</f>
        <v/>
      </c>
      <c r="K943" s="82" t="n"/>
      <c r="L943" s="82" t="n"/>
      <c r="M943" s="82" t="n"/>
      <c r="N943" s="83" t="n"/>
      <c r="O943" s="83" t="n"/>
      <c r="P943" s="66">
        <f>IF(OR($N943="",$O943=""),"",$O943-$N943)</f>
        <v/>
      </c>
      <c r="Q943" s="84">
        <f>IF($K943="","",IF($M943&lt;&gt;"",$M943-$K943,TODAY()-$K943))</f>
        <v/>
      </c>
      <c r="R943" s="85">
        <f>IF(OR($L943="",$I943="Completed",$I943="Cancelled"),"",IF(AND($L943&lt;TODAY(),$I943&lt;&gt;"Completed",$I943&lt;&gt;"Cancelled"),"Overdue","On Track"))</f>
        <v/>
      </c>
      <c r="S943" s="65">
        <f>IF($L943="","",TEXT($L943,"yyyy-mm"))</f>
        <v/>
      </c>
      <c r="T943" s="86">
        <f>IF($I943="","",IFERROR(INDEX(Action_Status_Map!$C$5:$C$11,MATCH($I943,Action_Status_Map!$A$5:$A$11,0)),""))</f>
        <v/>
      </c>
      <c r="U943" s="81" t="n"/>
      <c r="V943" s="82" t="n"/>
      <c r="W943" s="65">
        <f>IF(OR($I943&lt;&gt;"Completed",$M943="",$L943=""),"",IF($M943&lt;=$L943,"Yes","No"))</f>
        <v/>
      </c>
      <c r="X943" s="84">
        <f>IF($A943="","",COUNTIF(Task_Steps!$B$5:$B$2004,$A943))</f>
        <v/>
      </c>
      <c r="Y943" s="86">
        <f>IF($X943=0,"",COUNTIFS(Task_Steps!$B$5:$B$2004,$A943,Task_Steps!$H$5:$H$2004,"Completed")/$X943)</f>
        <v/>
      </c>
      <c r="Z943" s="81" t="n"/>
      <c r="AA943" s="81" t="n"/>
      <c r="AB943" s="67">
        <f>IF($F943="","",IFERROR(INDEX(Employee_Master!$E$5:$E$204,MATCH($F943,Employee_Master!$B$5:$B$204,0)),""))</f>
        <v/>
      </c>
      <c r="AC943" s="65">
        <f>IF(OR($A943="",$AB943=""),"",IF(OR($I943="Completed",$I943="Cancelled"),"Closed - in Manager Report","Active - in Manager Report"))</f>
        <v/>
      </c>
      <c r="AD943" s="81">
        <f>IF($A943="","",IFERROR(TEXTJOIN(", ",TRUE,FILTER(Task_Steps!$A$5:$A$2004,Task_Steps!$B$5:$B$2004=$A943)),""))</f>
        <v/>
      </c>
      <c r="AE943" s="84">
        <f>IF($A943="","",COUNTIFS(Task_Steps!$B$5:$B$2004,$A943,Task_Steps!$H$5:$H$2004,"&lt;&gt;Completed",Task_Steps!$H$5:$H$2004,"&lt;&gt;Cancelled"))</f>
        <v/>
      </c>
      <c r="AF943" s="81">
        <f>IF(OR($B943="",$A943=""),"",$B943&amp;" | "&amp;$A943)</f>
        <v/>
      </c>
    </row>
    <row r="944" ht="15" customHeight="1" s="40">
      <c r="A944" s="65">
        <f>IF(COUNTA(B944:F944)=0,"","TSK-"&amp;TEXT(ROW()-4,"0000"))</f>
        <v/>
      </c>
      <c r="B944" s="78" t="n"/>
      <c r="C944" s="78" t="n"/>
      <c r="D944" s="81" t="n"/>
      <c r="E944" s="81" t="n"/>
      <c r="F944" s="78" t="n"/>
      <c r="G944" s="67">
        <f>IF($F944="","",IFERROR(INDEX(Employee_Master!$C$5:$C$204,MATCH($F944,Employee_Master!$B$5:$B$204,0)),""))</f>
        <v/>
      </c>
      <c r="H944" s="78" t="n"/>
      <c r="I944" s="78" t="n"/>
      <c r="J944" s="67">
        <f>IF($I944="","",IFERROR(INDEX(Action_Status_Map!$B$5:$B$11,MATCH($I944,Action_Status_Map!$A$5:$A$11,0)),""))</f>
        <v/>
      </c>
      <c r="K944" s="82" t="n"/>
      <c r="L944" s="82" t="n"/>
      <c r="M944" s="82" t="n"/>
      <c r="N944" s="83" t="n"/>
      <c r="O944" s="83" t="n"/>
      <c r="P944" s="66">
        <f>IF(OR($N944="",$O944=""),"",$O944-$N944)</f>
        <v/>
      </c>
      <c r="Q944" s="84">
        <f>IF($K944="","",IF($M944&lt;&gt;"",$M944-$K944,TODAY()-$K944))</f>
        <v/>
      </c>
      <c r="R944" s="85">
        <f>IF(OR($L944="",$I944="Completed",$I944="Cancelled"),"",IF(AND($L944&lt;TODAY(),$I944&lt;&gt;"Completed",$I944&lt;&gt;"Cancelled"),"Overdue","On Track"))</f>
        <v/>
      </c>
      <c r="S944" s="65">
        <f>IF($L944="","",TEXT($L944,"yyyy-mm"))</f>
        <v/>
      </c>
      <c r="T944" s="86">
        <f>IF($I944="","",IFERROR(INDEX(Action_Status_Map!$C$5:$C$11,MATCH($I944,Action_Status_Map!$A$5:$A$11,0)),""))</f>
        <v/>
      </c>
      <c r="U944" s="81" t="n"/>
      <c r="V944" s="82" t="n"/>
      <c r="W944" s="65">
        <f>IF(OR($I944&lt;&gt;"Completed",$M944="",$L944=""),"",IF($M944&lt;=$L944,"Yes","No"))</f>
        <v/>
      </c>
      <c r="X944" s="84">
        <f>IF($A944="","",COUNTIF(Task_Steps!$B$5:$B$2004,$A944))</f>
        <v/>
      </c>
      <c r="Y944" s="86">
        <f>IF($X944=0,"",COUNTIFS(Task_Steps!$B$5:$B$2004,$A944,Task_Steps!$H$5:$H$2004,"Completed")/$X944)</f>
        <v/>
      </c>
      <c r="Z944" s="81" t="n"/>
      <c r="AA944" s="81" t="n"/>
      <c r="AB944" s="67">
        <f>IF($F944="","",IFERROR(INDEX(Employee_Master!$E$5:$E$204,MATCH($F944,Employee_Master!$B$5:$B$204,0)),""))</f>
        <v/>
      </c>
      <c r="AC944" s="65">
        <f>IF(OR($A944="",$AB944=""),"",IF(OR($I944="Completed",$I944="Cancelled"),"Closed - in Manager Report","Active - in Manager Report"))</f>
        <v/>
      </c>
      <c r="AD944" s="81">
        <f>IF($A944="","",IFERROR(TEXTJOIN(", ",TRUE,FILTER(Task_Steps!$A$5:$A$2004,Task_Steps!$B$5:$B$2004=$A944)),""))</f>
        <v/>
      </c>
      <c r="AE944" s="84">
        <f>IF($A944="","",COUNTIFS(Task_Steps!$B$5:$B$2004,$A944,Task_Steps!$H$5:$H$2004,"&lt;&gt;Completed",Task_Steps!$H$5:$H$2004,"&lt;&gt;Cancelled"))</f>
        <v/>
      </c>
      <c r="AF944" s="81">
        <f>IF(OR($B944="",$A944=""),"",$B944&amp;" | "&amp;$A944)</f>
        <v/>
      </c>
    </row>
    <row r="945" ht="15" customHeight="1" s="40">
      <c r="A945" s="65">
        <f>IF(COUNTA(B945:F945)=0,"","TSK-"&amp;TEXT(ROW()-4,"0000"))</f>
        <v/>
      </c>
      <c r="B945" s="78" t="n"/>
      <c r="C945" s="78" t="n"/>
      <c r="D945" s="81" t="n"/>
      <c r="E945" s="81" t="n"/>
      <c r="F945" s="78" t="n"/>
      <c r="G945" s="67">
        <f>IF($F945="","",IFERROR(INDEX(Employee_Master!$C$5:$C$204,MATCH($F945,Employee_Master!$B$5:$B$204,0)),""))</f>
        <v/>
      </c>
      <c r="H945" s="78" t="n"/>
      <c r="I945" s="78" t="n"/>
      <c r="J945" s="67">
        <f>IF($I945="","",IFERROR(INDEX(Action_Status_Map!$B$5:$B$11,MATCH($I945,Action_Status_Map!$A$5:$A$11,0)),""))</f>
        <v/>
      </c>
      <c r="K945" s="82" t="n"/>
      <c r="L945" s="82" t="n"/>
      <c r="M945" s="82" t="n"/>
      <c r="N945" s="83" t="n"/>
      <c r="O945" s="83" t="n"/>
      <c r="P945" s="66">
        <f>IF(OR($N945="",$O945=""),"",$O945-$N945)</f>
        <v/>
      </c>
      <c r="Q945" s="84">
        <f>IF($K945="","",IF($M945&lt;&gt;"",$M945-$K945,TODAY()-$K945))</f>
        <v/>
      </c>
      <c r="R945" s="85">
        <f>IF(OR($L945="",$I945="Completed",$I945="Cancelled"),"",IF(AND($L945&lt;TODAY(),$I945&lt;&gt;"Completed",$I945&lt;&gt;"Cancelled"),"Overdue","On Track"))</f>
        <v/>
      </c>
      <c r="S945" s="65">
        <f>IF($L945="","",TEXT($L945,"yyyy-mm"))</f>
        <v/>
      </c>
      <c r="T945" s="86">
        <f>IF($I945="","",IFERROR(INDEX(Action_Status_Map!$C$5:$C$11,MATCH($I945,Action_Status_Map!$A$5:$A$11,0)),""))</f>
        <v/>
      </c>
      <c r="U945" s="81" t="n"/>
      <c r="V945" s="82" t="n"/>
      <c r="W945" s="65">
        <f>IF(OR($I945&lt;&gt;"Completed",$M945="",$L945=""),"",IF($M945&lt;=$L945,"Yes","No"))</f>
        <v/>
      </c>
      <c r="X945" s="84">
        <f>IF($A945="","",COUNTIF(Task_Steps!$B$5:$B$2004,$A945))</f>
        <v/>
      </c>
      <c r="Y945" s="86">
        <f>IF($X945=0,"",COUNTIFS(Task_Steps!$B$5:$B$2004,$A945,Task_Steps!$H$5:$H$2004,"Completed")/$X945)</f>
        <v/>
      </c>
      <c r="Z945" s="81" t="n"/>
      <c r="AA945" s="81" t="n"/>
      <c r="AB945" s="67">
        <f>IF($F945="","",IFERROR(INDEX(Employee_Master!$E$5:$E$204,MATCH($F945,Employee_Master!$B$5:$B$204,0)),""))</f>
        <v/>
      </c>
      <c r="AC945" s="65">
        <f>IF(OR($A945="",$AB945=""),"",IF(OR($I945="Completed",$I945="Cancelled"),"Closed - in Manager Report","Active - in Manager Report"))</f>
        <v/>
      </c>
      <c r="AD945" s="81">
        <f>IF($A945="","",IFERROR(TEXTJOIN(", ",TRUE,FILTER(Task_Steps!$A$5:$A$2004,Task_Steps!$B$5:$B$2004=$A945)),""))</f>
        <v/>
      </c>
      <c r="AE945" s="84">
        <f>IF($A945="","",COUNTIFS(Task_Steps!$B$5:$B$2004,$A945,Task_Steps!$H$5:$H$2004,"&lt;&gt;Completed",Task_Steps!$H$5:$H$2004,"&lt;&gt;Cancelled"))</f>
        <v/>
      </c>
      <c r="AF945" s="81">
        <f>IF(OR($B945="",$A945=""),"",$B945&amp;" | "&amp;$A945)</f>
        <v/>
      </c>
    </row>
    <row r="946" ht="15" customHeight="1" s="40">
      <c r="A946" s="65">
        <f>IF(COUNTA(B946:F946)=0,"","TSK-"&amp;TEXT(ROW()-4,"0000"))</f>
        <v/>
      </c>
      <c r="B946" s="78" t="n"/>
      <c r="C946" s="78" t="n"/>
      <c r="D946" s="81" t="n"/>
      <c r="E946" s="81" t="n"/>
      <c r="F946" s="78" t="n"/>
      <c r="G946" s="67">
        <f>IF($F946="","",IFERROR(INDEX(Employee_Master!$C$5:$C$204,MATCH($F946,Employee_Master!$B$5:$B$204,0)),""))</f>
        <v/>
      </c>
      <c r="H946" s="78" t="n"/>
      <c r="I946" s="78" t="n"/>
      <c r="J946" s="67">
        <f>IF($I946="","",IFERROR(INDEX(Action_Status_Map!$B$5:$B$11,MATCH($I946,Action_Status_Map!$A$5:$A$11,0)),""))</f>
        <v/>
      </c>
      <c r="K946" s="82" t="n"/>
      <c r="L946" s="82" t="n"/>
      <c r="M946" s="82" t="n"/>
      <c r="N946" s="83" t="n"/>
      <c r="O946" s="83" t="n"/>
      <c r="P946" s="66">
        <f>IF(OR($N946="",$O946=""),"",$O946-$N946)</f>
        <v/>
      </c>
      <c r="Q946" s="84">
        <f>IF($K946="","",IF($M946&lt;&gt;"",$M946-$K946,TODAY()-$K946))</f>
        <v/>
      </c>
      <c r="R946" s="85">
        <f>IF(OR($L946="",$I946="Completed",$I946="Cancelled"),"",IF(AND($L946&lt;TODAY(),$I946&lt;&gt;"Completed",$I946&lt;&gt;"Cancelled"),"Overdue","On Track"))</f>
        <v/>
      </c>
      <c r="S946" s="65">
        <f>IF($L946="","",TEXT($L946,"yyyy-mm"))</f>
        <v/>
      </c>
      <c r="T946" s="86">
        <f>IF($I946="","",IFERROR(INDEX(Action_Status_Map!$C$5:$C$11,MATCH($I946,Action_Status_Map!$A$5:$A$11,0)),""))</f>
        <v/>
      </c>
      <c r="U946" s="81" t="n"/>
      <c r="V946" s="82" t="n"/>
      <c r="W946" s="65">
        <f>IF(OR($I946&lt;&gt;"Completed",$M946="",$L946=""),"",IF($M946&lt;=$L946,"Yes","No"))</f>
        <v/>
      </c>
      <c r="X946" s="84">
        <f>IF($A946="","",COUNTIF(Task_Steps!$B$5:$B$2004,$A946))</f>
        <v/>
      </c>
      <c r="Y946" s="86">
        <f>IF($X946=0,"",COUNTIFS(Task_Steps!$B$5:$B$2004,$A946,Task_Steps!$H$5:$H$2004,"Completed")/$X946)</f>
        <v/>
      </c>
      <c r="Z946" s="81" t="n"/>
      <c r="AA946" s="81" t="n"/>
      <c r="AB946" s="67">
        <f>IF($F946="","",IFERROR(INDEX(Employee_Master!$E$5:$E$204,MATCH($F946,Employee_Master!$B$5:$B$204,0)),""))</f>
        <v/>
      </c>
      <c r="AC946" s="65">
        <f>IF(OR($A946="",$AB946=""),"",IF(OR($I946="Completed",$I946="Cancelled"),"Closed - in Manager Report","Active - in Manager Report"))</f>
        <v/>
      </c>
      <c r="AD946" s="81">
        <f>IF($A946="","",IFERROR(TEXTJOIN(", ",TRUE,FILTER(Task_Steps!$A$5:$A$2004,Task_Steps!$B$5:$B$2004=$A946)),""))</f>
        <v/>
      </c>
      <c r="AE946" s="84">
        <f>IF($A946="","",COUNTIFS(Task_Steps!$B$5:$B$2004,$A946,Task_Steps!$H$5:$H$2004,"&lt;&gt;Completed",Task_Steps!$H$5:$H$2004,"&lt;&gt;Cancelled"))</f>
        <v/>
      </c>
      <c r="AF946" s="81">
        <f>IF(OR($B946="",$A946=""),"",$B946&amp;" | "&amp;$A946)</f>
        <v/>
      </c>
    </row>
    <row r="947" ht="15" customHeight="1" s="40">
      <c r="A947" s="65">
        <f>IF(COUNTA(B947:F947)=0,"","TSK-"&amp;TEXT(ROW()-4,"0000"))</f>
        <v/>
      </c>
      <c r="B947" s="78" t="n"/>
      <c r="C947" s="78" t="n"/>
      <c r="D947" s="81" t="n"/>
      <c r="E947" s="81" t="n"/>
      <c r="F947" s="78" t="n"/>
      <c r="G947" s="67">
        <f>IF($F947="","",IFERROR(INDEX(Employee_Master!$C$5:$C$204,MATCH($F947,Employee_Master!$B$5:$B$204,0)),""))</f>
        <v/>
      </c>
      <c r="H947" s="78" t="n"/>
      <c r="I947" s="78" t="n"/>
      <c r="J947" s="67">
        <f>IF($I947="","",IFERROR(INDEX(Action_Status_Map!$B$5:$B$11,MATCH($I947,Action_Status_Map!$A$5:$A$11,0)),""))</f>
        <v/>
      </c>
      <c r="K947" s="82" t="n"/>
      <c r="L947" s="82" t="n"/>
      <c r="M947" s="82" t="n"/>
      <c r="N947" s="83" t="n"/>
      <c r="O947" s="83" t="n"/>
      <c r="P947" s="66">
        <f>IF(OR($N947="",$O947=""),"",$O947-$N947)</f>
        <v/>
      </c>
      <c r="Q947" s="84">
        <f>IF($K947="","",IF($M947&lt;&gt;"",$M947-$K947,TODAY()-$K947))</f>
        <v/>
      </c>
      <c r="R947" s="85">
        <f>IF(OR($L947="",$I947="Completed",$I947="Cancelled"),"",IF(AND($L947&lt;TODAY(),$I947&lt;&gt;"Completed",$I947&lt;&gt;"Cancelled"),"Overdue","On Track"))</f>
        <v/>
      </c>
      <c r="S947" s="65">
        <f>IF($L947="","",TEXT($L947,"yyyy-mm"))</f>
        <v/>
      </c>
      <c r="T947" s="86">
        <f>IF($I947="","",IFERROR(INDEX(Action_Status_Map!$C$5:$C$11,MATCH($I947,Action_Status_Map!$A$5:$A$11,0)),""))</f>
        <v/>
      </c>
      <c r="U947" s="81" t="n"/>
      <c r="V947" s="82" t="n"/>
      <c r="W947" s="65">
        <f>IF(OR($I947&lt;&gt;"Completed",$M947="",$L947=""),"",IF($M947&lt;=$L947,"Yes","No"))</f>
        <v/>
      </c>
      <c r="X947" s="84">
        <f>IF($A947="","",COUNTIF(Task_Steps!$B$5:$B$2004,$A947))</f>
        <v/>
      </c>
      <c r="Y947" s="86">
        <f>IF($X947=0,"",COUNTIFS(Task_Steps!$B$5:$B$2004,$A947,Task_Steps!$H$5:$H$2004,"Completed")/$X947)</f>
        <v/>
      </c>
      <c r="Z947" s="81" t="n"/>
      <c r="AA947" s="81" t="n"/>
      <c r="AB947" s="67">
        <f>IF($F947="","",IFERROR(INDEX(Employee_Master!$E$5:$E$204,MATCH($F947,Employee_Master!$B$5:$B$204,0)),""))</f>
        <v/>
      </c>
      <c r="AC947" s="65">
        <f>IF(OR($A947="",$AB947=""),"",IF(OR($I947="Completed",$I947="Cancelled"),"Closed - in Manager Report","Active - in Manager Report"))</f>
        <v/>
      </c>
      <c r="AD947" s="81">
        <f>IF($A947="","",IFERROR(TEXTJOIN(", ",TRUE,FILTER(Task_Steps!$A$5:$A$2004,Task_Steps!$B$5:$B$2004=$A947)),""))</f>
        <v/>
      </c>
      <c r="AE947" s="84">
        <f>IF($A947="","",COUNTIFS(Task_Steps!$B$5:$B$2004,$A947,Task_Steps!$H$5:$H$2004,"&lt;&gt;Completed",Task_Steps!$H$5:$H$2004,"&lt;&gt;Cancelled"))</f>
        <v/>
      </c>
      <c r="AF947" s="81">
        <f>IF(OR($B947="",$A947=""),"",$B947&amp;" | "&amp;$A947)</f>
        <v/>
      </c>
    </row>
    <row r="948" ht="15" customHeight="1" s="40">
      <c r="A948" s="65">
        <f>IF(COUNTA(B948:F948)=0,"","TSK-"&amp;TEXT(ROW()-4,"0000"))</f>
        <v/>
      </c>
      <c r="B948" s="78" t="n"/>
      <c r="C948" s="78" t="n"/>
      <c r="D948" s="81" t="n"/>
      <c r="E948" s="81" t="n"/>
      <c r="F948" s="78" t="n"/>
      <c r="G948" s="67">
        <f>IF($F948="","",IFERROR(INDEX(Employee_Master!$C$5:$C$204,MATCH($F948,Employee_Master!$B$5:$B$204,0)),""))</f>
        <v/>
      </c>
      <c r="H948" s="78" t="n"/>
      <c r="I948" s="78" t="n"/>
      <c r="J948" s="67">
        <f>IF($I948="","",IFERROR(INDEX(Action_Status_Map!$B$5:$B$11,MATCH($I948,Action_Status_Map!$A$5:$A$11,0)),""))</f>
        <v/>
      </c>
      <c r="K948" s="82" t="n"/>
      <c r="L948" s="82" t="n"/>
      <c r="M948" s="82" t="n"/>
      <c r="N948" s="83" t="n"/>
      <c r="O948" s="83" t="n"/>
      <c r="P948" s="66">
        <f>IF(OR($N948="",$O948=""),"",$O948-$N948)</f>
        <v/>
      </c>
      <c r="Q948" s="84">
        <f>IF($K948="","",IF($M948&lt;&gt;"",$M948-$K948,TODAY()-$K948))</f>
        <v/>
      </c>
      <c r="R948" s="85">
        <f>IF(OR($L948="",$I948="Completed",$I948="Cancelled"),"",IF(AND($L948&lt;TODAY(),$I948&lt;&gt;"Completed",$I948&lt;&gt;"Cancelled"),"Overdue","On Track"))</f>
        <v/>
      </c>
      <c r="S948" s="65">
        <f>IF($L948="","",TEXT($L948,"yyyy-mm"))</f>
        <v/>
      </c>
      <c r="T948" s="86">
        <f>IF($I948="","",IFERROR(INDEX(Action_Status_Map!$C$5:$C$11,MATCH($I948,Action_Status_Map!$A$5:$A$11,0)),""))</f>
        <v/>
      </c>
      <c r="U948" s="81" t="n"/>
      <c r="V948" s="82" t="n"/>
      <c r="W948" s="65">
        <f>IF(OR($I948&lt;&gt;"Completed",$M948="",$L948=""),"",IF($M948&lt;=$L948,"Yes","No"))</f>
        <v/>
      </c>
      <c r="X948" s="84">
        <f>IF($A948="","",COUNTIF(Task_Steps!$B$5:$B$2004,$A948))</f>
        <v/>
      </c>
      <c r="Y948" s="86">
        <f>IF($X948=0,"",COUNTIFS(Task_Steps!$B$5:$B$2004,$A948,Task_Steps!$H$5:$H$2004,"Completed")/$X948)</f>
        <v/>
      </c>
      <c r="Z948" s="81" t="n"/>
      <c r="AA948" s="81" t="n"/>
      <c r="AB948" s="67">
        <f>IF($F948="","",IFERROR(INDEX(Employee_Master!$E$5:$E$204,MATCH($F948,Employee_Master!$B$5:$B$204,0)),""))</f>
        <v/>
      </c>
      <c r="AC948" s="65">
        <f>IF(OR($A948="",$AB948=""),"",IF(OR($I948="Completed",$I948="Cancelled"),"Closed - in Manager Report","Active - in Manager Report"))</f>
        <v/>
      </c>
      <c r="AD948" s="81">
        <f>IF($A948="","",IFERROR(TEXTJOIN(", ",TRUE,FILTER(Task_Steps!$A$5:$A$2004,Task_Steps!$B$5:$B$2004=$A948)),""))</f>
        <v/>
      </c>
      <c r="AE948" s="84">
        <f>IF($A948="","",COUNTIFS(Task_Steps!$B$5:$B$2004,$A948,Task_Steps!$H$5:$H$2004,"&lt;&gt;Completed",Task_Steps!$H$5:$H$2004,"&lt;&gt;Cancelled"))</f>
        <v/>
      </c>
      <c r="AF948" s="81">
        <f>IF(OR($B948="",$A948=""),"",$B948&amp;" | "&amp;$A948)</f>
        <v/>
      </c>
    </row>
    <row r="949" ht="15" customHeight="1" s="40">
      <c r="A949" s="65">
        <f>IF(COUNTA(B949:F949)=0,"","TSK-"&amp;TEXT(ROW()-4,"0000"))</f>
        <v/>
      </c>
      <c r="B949" s="78" t="n"/>
      <c r="C949" s="78" t="n"/>
      <c r="D949" s="81" t="n"/>
      <c r="E949" s="81" t="n"/>
      <c r="F949" s="78" t="n"/>
      <c r="G949" s="67">
        <f>IF($F949="","",IFERROR(INDEX(Employee_Master!$C$5:$C$204,MATCH($F949,Employee_Master!$B$5:$B$204,0)),""))</f>
        <v/>
      </c>
      <c r="H949" s="78" t="n"/>
      <c r="I949" s="78" t="n"/>
      <c r="J949" s="67">
        <f>IF($I949="","",IFERROR(INDEX(Action_Status_Map!$B$5:$B$11,MATCH($I949,Action_Status_Map!$A$5:$A$11,0)),""))</f>
        <v/>
      </c>
      <c r="K949" s="82" t="n"/>
      <c r="L949" s="82" t="n"/>
      <c r="M949" s="82" t="n"/>
      <c r="N949" s="83" t="n"/>
      <c r="O949" s="83" t="n"/>
      <c r="P949" s="66">
        <f>IF(OR($N949="",$O949=""),"",$O949-$N949)</f>
        <v/>
      </c>
      <c r="Q949" s="84">
        <f>IF($K949="","",IF($M949&lt;&gt;"",$M949-$K949,TODAY()-$K949))</f>
        <v/>
      </c>
      <c r="R949" s="85">
        <f>IF(OR($L949="",$I949="Completed",$I949="Cancelled"),"",IF(AND($L949&lt;TODAY(),$I949&lt;&gt;"Completed",$I949&lt;&gt;"Cancelled"),"Overdue","On Track"))</f>
        <v/>
      </c>
      <c r="S949" s="65">
        <f>IF($L949="","",TEXT($L949,"yyyy-mm"))</f>
        <v/>
      </c>
      <c r="T949" s="86">
        <f>IF($I949="","",IFERROR(INDEX(Action_Status_Map!$C$5:$C$11,MATCH($I949,Action_Status_Map!$A$5:$A$11,0)),""))</f>
        <v/>
      </c>
      <c r="U949" s="81" t="n"/>
      <c r="V949" s="82" t="n"/>
      <c r="W949" s="65">
        <f>IF(OR($I949&lt;&gt;"Completed",$M949="",$L949=""),"",IF($M949&lt;=$L949,"Yes","No"))</f>
        <v/>
      </c>
      <c r="X949" s="84">
        <f>IF($A949="","",COUNTIF(Task_Steps!$B$5:$B$2004,$A949))</f>
        <v/>
      </c>
      <c r="Y949" s="86">
        <f>IF($X949=0,"",COUNTIFS(Task_Steps!$B$5:$B$2004,$A949,Task_Steps!$H$5:$H$2004,"Completed")/$X949)</f>
        <v/>
      </c>
      <c r="Z949" s="81" t="n"/>
      <c r="AA949" s="81" t="n"/>
      <c r="AB949" s="67">
        <f>IF($F949="","",IFERROR(INDEX(Employee_Master!$E$5:$E$204,MATCH($F949,Employee_Master!$B$5:$B$204,0)),""))</f>
        <v/>
      </c>
      <c r="AC949" s="65">
        <f>IF(OR($A949="",$AB949=""),"",IF(OR($I949="Completed",$I949="Cancelled"),"Closed - in Manager Report","Active - in Manager Report"))</f>
        <v/>
      </c>
      <c r="AD949" s="81">
        <f>IF($A949="","",IFERROR(TEXTJOIN(", ",TRUE,FILTER(Task_Steps!$A$5:$A$2004,Task_Steps!$B$5:$B$2004=$A949)),""))</f>
        <v/>
      </c>
      <c r="AE949" s="84">
        <f>IF($A949="","",COUNTIFS(Task_Steps!$B$5:$B$2004,$A949,Task_Steps!$H$5:$H$2004,"&lt;&gt;Completed",Task_Steps!$H$5:$H$2004,"&lt;&gt;Cancelled"))</f>
        <v/>
      </c>
      <c r="AF949" s="81">
        <f>IF(OR($B949="",$A949=""),"",$B949&amp;" | "&amp;$A949)</f>
        <v/>
      </c>
    </row>
    <row r="950" ht="15" customHeight="1" s="40">
      <c r="A950" s="65">
        <f>IF(COUNTA(B950:F950)=0,"","TSK-"&amp;TEXT(ROW()-4,"0000"))</f>
        <v/>
      </c>
      <c r="B950" s="78" t="n"/>
      <c r="C950" s="78" t="n"/>
      <c r="D950" s="81" t="n"/>
      <c r="E950" s="81" t="n"/>
      <c r="F950" s="78" t="n"/>
      <c r="G950" s="67">
        <f>IF($F950="","",IFERROR(INDEX(Employee_Master!$C$5:$C$204,MATCH($F950,Employee_Master!$B$5:$B$204,0)),""))</f>
        <v/>
      </c>
      <c r="H950" s="78" t="n"/>
      <c r="I950" s="78" t="n"/>
      <c r="J950" s="67">
        <f>IF($I950="","",IFERROR(INDEX(Action_Status_Map!$B$5:$B$11,MATCH($I950,Action_Status_Map!$A$5:$A$11,0)),""))</f>
        <v/>
      </c>
      <c r="K950" s="82" t="n"/>
      <c r="L950" s="82" t="n"/>
      <c r="M950" s="82" t="n"/>
      <c r="N950" s="83" t="n"/>
      <c r="O950" s="83" t="n"/>
      <c r="P950" s="66">
        <f>IF(OR($N950="",$O950=""),"",$O950-$N950)</f>
        <v/>
      </c>
      <c r="Q950" s="84">
        <f>IF($K950="","",IF($M950&lt;&gt;"",$M950-$K950,TODAY()-$K950))</f>
        <v/>
      </c>
      <c r="R950" s="85">
        <f>IF(OR($L950="",$I950="Completed",$I950="Cancelled"),"",IF(AND($L950&lt;TODAY(),$I950&lt;&gt;"Completed",$I950&lt;&gt;"Cancelled"),"Overdue","On Track"))</f>
        <v/>
      </c>
      <c r="S950" s="65">
        <f>IF($L950="","",TEXT($L950,"yyyy-mm"))</f>
        <v/>
      </c>
      <c r="T950" s="86">
        <f>IF($I950="","",IFERROR(INDEX(Action_Status_Map!$C$5:$C$11,MATCH($I950,Action_Status_Map!$A$5:$A$11,0)),""))</f>
        <v/>
      </c>
      <c r="U950" s="81" t="n"/>
      <c r="V950" s="82" t="n"/>
      <c r="W950" s="65">
        <f>IF(OR($I950&lt;&gt;"Completed",$M950="",$L950=""),"",IF($M950&lt;=$L950,"Yes","No"))</f>
        <v/>
      </c>
      <c r="X950" s="84">
        <f>IF($A950="","",COUNTIF(Task_Steps!$B$5:$B$2004,$A950))</f>
        <v/>
      </c>
      <c r="Y950" s="86">
        <f>IF($X950=0,"",COUNTIFS(Task_Steps!$B$5:$B$2004,$A950,Task_Steps!$H$5:$H$2004,"Completed")/$X950)</f>
        <v/>
      </c>
      <c r="Z950" s="81" t="n"/>
      <c r="AA950" s="81" t="n"/>
      <c r="AB950" s="67">
        <f>IF($F950="","",IFERROR(INDEX(Employee_Master!$E$5:$E$204,MATCH($F950,Employee_Master!$B$5:$B$204,0)),""))</f>
        <v/>
      </c>
      <c r="AC950" s="65">
        <f>IF(OR($A950="",$AB950=""),"",IF(OR($I950="Completed",$I950="Cancelled"),"Closed - in Manager Report","Active - in Manager Report"))</f>
        <v/>
      </c>
      <c r="AD950" s="81">
        <f>IF($A950="","",IFERROR(TEXTJOIN(", ",TRUE,FILTER(Task_Steps!$A$5:$A$2004,Task_Steps!$B$5:$B$2004=$A950)),""))</f>
        <v/>
      </c>
      <c r="AE950" s="84">
        <f>IF($A950="","",COUNTIFS(Task_Steps!$B$5:$B$2004,$A950,Task_Steps!$H$5:$H$2004,"&lt;&gt;Completed",Task_Steps!$H$5:$H$2004,"&lt;&gt;Cancelled"))</f>
        <v/>
      </c>
      <c r="AF950" s="81">
        <f>IF(OR($B950="",$A950=""),"",$B950&amp;" | "&amp;$A950)</f>
        <v/>
      </c>
    </row>
    <row r="951" ht="15" customHeight="1" s="40">
      <c r="A951" s="65">
        <f>IF(COUNTA(B951:F951)=0,"","TSK-"&amp;TEXT(ROW()-4,"0000"))</f>
        <v/>
      </c>
      <c r="B951" s="78" t="n"/>
      <c r="C951" s="78" t="n"/>
      <c r="D951" s="81" t="n"/>
      <c r="E951" s="81" t="n"/>
      <c r="F951" s="78" t="n"/>
      <c r="G951" s="67">
        <f>IF($F951="","",IFERROR(INDEX(Employee_Master!$C$5:$C$204,MATCH($F951,Employee_Master!$B$5:$B$204,0)),""))</f>
        <v/>
      </c>
      <c r="H951" s="78" t="n"/>
      <c r="I951" s="78" t="n"/>
      <c r="J951" s="67">
        <f>IF($I951="","",IFERROR(INDEX(Action_Status_Map!$B$5:$B$11,MATCH($I951,Action_Status_Map!$A$5:$A$11,0)),""))</f>
        <v/>
      </c>
      <c r="K951" s="82" t="n"/>
      <c r="L951" s="82" t="n"/>
      <c r="M951" s="82" t="n"/>
      <c r="N951" s="83" t="n"/>
      <c r="O951" s="83" t="n"/>
      <c r="P951" s="66">
        <f>IF(OR($N951="",$O951=""),"",$O951-$N951)</f>
        <v/>
      </c>
      <c r="Q951" s="84">
        <f>IF($K951="","",IF($M951&lt;&gt;"",$M951-$K951,TODAY()-$K951))</f>
        <v/>
      </c>
      <c r="R951" s="85">
        <f>IF(OR($L951="",$I951="Completed",$I951="Cancelled"),"",IF(AND($L951&lt;TODAY(),$I951&lt;&gt;"Completed",$I951&lt;&gt;"Cancelled"),"Overdue","On Track"))</f>
        <v/>
      </c>
      <c r="S951" s="65">
        <f>IF($L951="","",TEXT($L951,"yyyy-mm"))</f>
        <v/>
      </c>
      <c r="T951" s="86">
        <f>IF($I951="","",IFERROR(INDEX(Action_Status_Map!$C$5:$C$11,MATCH($I951,Action_Status_Map!$A$5:$A$11,0)),""))</f>
        <v/>
      </c>
      <c r="U951" s="81" t="n"/>
      <c r="V951" s="82" t="n"/>
      <c r="W951" s="65">
        <f>IF(OR($I951&lt;&gt;"Completed",$M951="",$L951=""),"",IF($M951&lt;=$L951,"Yes","No"))</f>
        <v/>
      </c>
      <c r="X951" s="84">
        <f>IF($A951="","",COUNTIF(Task_Steps!$B$5:$B$2004,$A951))</f>
        <v/>
      </c>
      <c r="Y951" s="86">
        <f>IF($X951=0,"",COUNTIFS(Task_Steps!$B$5:$B$2004,$A951,Task_Steps!$H$5:$H$2004,"Completed")/$X951)</f>
        <v/>
      </c>
      <c r="Z951" s="81" t="n"/>
      <c r="AA951" s="81" t="n"/>
      <c r="AB951" s="67">
        <f>IF($F951="","",IFERROR(INDEX(Employee_Master!$E$5:$E$204,MATCH($F951,Employee_Master!$B$5:$B$204,0)),""))</f>
        <v/>
      </c>
      <c r="AC951" s="65">
        <f>IF(OR($A951="",$AB951=""),"",IF(OR($I951="Completed",$I951="Cancelled"),"Closed - in Manager Report","Active - in Manager Report"))</f>
        <v/>
      </c>
      <c r="AD951" s="81">
        <f>IF($A951="","",IFERROR(TEXTJOIN(", ",TRUE,FILTER(Task_Steps!$A$5:$A$2004,Task_Steps!$B$5:$B$2004=$A951)),""))</f>
        <v/>
      </c>
      <c r="AE951" s="84">
        <f>IF($A951="","",COUNTIFS(Task_Steps!$B$5:$B$2004,$A951,Task_Steps!$H$5:$H$2004,"&lt;&gt;Completed",Task_Steps!$H$5:$H$2004,"&lt;&gt;Cancelled"))</f>
        <v/>
      </c>
      <c r="AF951" s="81">
        <f>IF(OR($B951="",$A951=""),"",$B951&amp;" | "&amp;$A951)</f>
        <v/>
      </c>
    </row>
    <row r="952" ht="15" customHeight="1" s="40">
      <c r="A952" s="65">
        <f>IF(COUNTA(B952:F952)=0,"","TSK-"&amp;TEXT(ROW()-4,"0000"))</f>
        <v/>
      </c>
      <c r="B952" s="78" t="n"/>
      <c r="C952" s="78" t="n"/>
      <c r="D952" s="81" t="n"/>
      <c r="E952" s="81" t="n"/>
      <c r="F952" s="78" t="n"/>
      <c r="G952" s="67">
        <f>IF($F952="","",IFERROR(INDEX(Employee_Master!$C$5:$C$204,MATCH($F952,Employee_Master!$B$5:$B$204,0)),""))</f>
        <v/>
      </c>
      <c r="H952" s="78" t="n"/>
      <c r="I952" s="78" t="n"/>
      <c r="J952" s="67">
        <f>IF($I952="","",IFERROR(INDEX(Action_Status_Map!$B$5:$B$11,MATCH($I952,Action_Status_Map!$A$5:$A$11,0)),""))</f>
        <v/>
      </c>
      <c r="K952" s="82" t="n"/>
      <c r="L952" s="82" t="n"/>
      <c r="M952" s="82" t="n"/>
      <c r="N952" s="83" t="n"/>
      <c r="O952" s="83" t="n"/>
      <c r="P952" s="66">
        <f>IF(OR($N952="",$O952=""),"",$O952-$N952)</f>
        <v/>
      </c>
      <c r="Q952" s="84">
        <f>IF($K952="","",IF($M952&lt;&gt;"",$M952-$K952,TODAY()-$K952))</f>
        <v/>
      </c>
      <c r="R952" s="85">
        <f>IF(OR($L952="",$I952="Completed",$I952="Cancelled"),"",IF(AND($L952&lt;TODAY(),$I952&lt;&gt;"Completed",$I952&lt;&gt;"Cancelled"),"Overdue","On Track"))</f>
        <v/>
      </c>
      <c r="S952" s="65">
        <f>IF($L952="","",TEXT($L952,"yyyy-mm"))</f>
        <v/>
      </c>
      <c r="T952" s="86">
        <f>IF($I952="","",IFERROR(INDEX(Action_Status_Map!$C$5:$C$11,MATCH($I952,Action_Status_Map!$A$5:$A$11,0)),""))</f>
        <v/>
      </c>
      <c r="U952" s="81" t="n"/>
      <c r="V952" s="82" t="n"/>
      <c r="W952" s="65">
        <f>IF(OR($I952&lt;&gt;"Completed",$M952="",$L952=""),"",IF($M952&lt;=$L952,"Yes","No"))</f>
        <v/>
      </c>
      <c r="X952" s="84">
        <f>IF($A952="","",COUNTIF(Task_Steps!$B$5:$B$2004,$A952))</f>
        <v/>
      </c>
      <c r="Y952" s="86">
        <f>IF($X952=0,"",COUNTIFS(Task_Steps!$B$5:$B$2004,$A952,Task_Steps!$H$5:$H$2004,"Completed")/$X952)</f>
        <v/>
      </c>
      <c r="Z952" s="81" t="n"/>
      <c r="AA952" s="81" t="n"/>
      <c r="AB952" s="67">
        <f>IF($F952="","",IFERROR(INDEX(Employee_Master!$E$5:$E$204,MATCH($F952,Employee_Master!$B$5:$B$204,0)),""))</f>
        <v/>
      </c>
      <c r="AC952" s="65">
        <f>IF(OR($A952="",$AB952=""),"",IF(OR($I952="Completed",$I952="Cancelled"),"Closed - in Manager Report","Active - in Manager Report"))</f>
        <v/>
      </c>
      <c r="AD952" s="81">
        <f>IF($A952="","",IFERROR(TEXTJOIN(", ",TRUE,FILTER(Task_Steps!$A$5:$A$2004,Task_Steps!$B$5:$B$2004=$A952)),""))</f>
        <v/>
      </c>
      <c r="AE952" s="84">
        <f>IF($A952="","",COUNTIFS(Task_Steps!$B$5:$B$2004,$A952,Task_Steps!$H$5:$H$2004,"&lt;&gt;Completed",Task_Steps!$H$5:$H$2004,"&lt;&gt;Cancelled"))</f>
        <v/>
      </c>
      <c r="AF952" s="81">
        <f>IF(OR($B952="",$A952=""),"",$B952&amp;" | "&amp;$A952)</f>
        <v/>
      </c>
    </row>
    <row r="953" ht="15" customHeight="1" s="40">
      <c r="A953" s="65">
        <f>IF(COUNTA(B953:F953)=0,"","TSK-"&amp;TEXT(ROW()-4,"0000"))</f>
        <v/>
      </c>
      <c r="B953" s="78" t="n"/>
      <c r="C953" s="78" t="n"/>
      <c r="D953" s="81" t="n"/>
      <c r="E953" s="81" t="n"/>
      <c r="F953" s="78" t="n"/>
      <c r="G953" s="67">
        <f>IF($F953="","",IFERROR(INDEX(Employee_Master!$C$5:$C$204,MATCH($F953,Employee_Master!$B$5:$B$204,0)),""))</f>
        <v/>
      </c>
      <c r="H953" s="78" t="n"/>
      <c r="I953" s="78" t="n"/>
      <c r="J953" s="67">
        <f>IF($I953="","",IFERROR(INDEX(Action_Status_Map!$B$5:$B$11,MATCH($I953,Action_Status_Map!$A$5:$A$11,0)),""))</f>
        <v/>
      </c>
      <c r="K953" s="82" t="n"/>
      <c r="L953" s="82" t="n"/>
      <c r="M953" s="82" t="n"/>
      <c r="N953" s="83" t="n"/>
      <c r="O953" s="83" t="n"/>
      <c r="P953" s="66">
        <f>IF(OR($N953="",$O953=""),"",$O953-$N953)</f>
        <v/>
      </c>
      <c r="Q953" s="84">
        <f>IF($K953="","",IF($M953&lt;&gt;"",$M953-$K953,TODAY()-$K953))</f>
        <v/>
      </c>
      <c r="R953" s="85">
        <f>IF(OR($L953="",$I953="Completed",$I953="Cancelled"),"",IF(AND($L953&lt;TODAY(),$I953&lt;&gt;"Completed",$I953&lt;&gt;"Cancelled"),"Overdue","On Track"))</f>
        <v/>
      </c>
      <c r="S953" s="65">
        <f>IF($L953="","",TEXT($L953,"yyyy-mm"))</f>
        <v/>
      </c>
      <c r="T953" s="86">
        <f>IF($I953="","",IFERROR(INDEX(Action_Status_Map!$C$5:$C$11,MATCH($I953,Action_Status_Map!$A$5:$A$11,0)),""))</f>
        <v/>
      </c>
      <c r="U953" s="81" t="n"/>
      <c r="V953" s="82" t="n"/>
      <c r="W953" s="65">
        <f>IF(OR($I953&lt;&gt;"Completed",$M953="",$L953=""),"",IF($M953&lt;=$L953,"Yes","No"))</f>
        <v/>
      </c>
      <c r="X953" s="84">
        <f>IF($A953="","",COUNTIF(Task_Steps!$B$5:$B$2004,$A953))</f>
        <v/>
      </c>
      <c r="Y953" s="86">
        <f>IF($X953=0,"",COUNTIFS(Task_Steps!$B$5:$B$2004,$A953,Task_Steps!$H$5:$H$2004,"Completed")/$X953)</f>
        <v/>
      </c>
      <c r="Z953" s="81" t="n"/>
      <c r="AA953" s="81" t="n"/>
      <c r="AB953" s="67">
        <f>IF($F953="","",IFERROR(INDEX(Employee_Master!$E$5:$E$204,MATCH($F953,Employee_Master!$B$5:$B$204,0)),""))</f>
        <v/>
      </c>
      <c r="AC953" s="65">
        <f>IF(OR($A953="",$AB953=""),"",IF(OR($I953="Completed",$I953="Cancelled"),"Closed - in Manager Report","Active - in Manager Report"))</f>
        <v/>
      </c>
      <c r="AD953" s="81">
        <f>IF($A953="","",IFERROR(TEXTJOIN(", ",TRUE,FILTER(Task_Steps!$A$5:$A$2004,Task_Steps!$B$5:$B$2004=$A953)),""))</f>
        <v/>
      </c>
      <c r="AE953" s="84">
        <f>IF($A953="","",COUNTIFS(Task_Steps!$B$5:$B$2004,$A953,Task_Steps!$H$5:$H$2004,"&lt;&gt;Completed",Task_Steps!$H$5:$H$2004,"&lt;&gt;Cancelled"))</f>
        <v/>
      </c>
      <c r="AF953" s="81">
        <f>IF(OR($B953="",$A953=""),"",$B953&amp;" | "&amp;$A953)</f>
        <v/>
      </c>
    </row>
    <row r="954" ht="15" customHeight="1" s="40">
      <c r="A954" s="65">
        <f>IF(COUNTA(B954:F954)=0,"","TSK-"&amp;TEXT(ROW()-4,"0000"))</f>
        <v/>
      </c>
      <c r="B954" s="78" t="n"/>
      <c r="C954" s="78" t="n"/>
      <c r="D954" s="81" t="n"/>
      <c r="E954" s="81" t="n"/>
      <c r="F954" s="78" t="n"/>
      <c r="G954" s="67">
        <f>IF($F954="","",IFERROR(INDEX(Employee_Master!$C$5:$C$204,MATCH($F954,Employee_Master!$B$5:$B$204,0)),""))</f>
        <v/>
      </c>
      <c r="H954" s="78" t="n"/>
      <c r="I954" s="78" t="n"/>
      <c r="J954" s="67">
        <f>IF($I954="","",IFERROR(INDEX(Action_Status_Map!$B$5:$B$11,MATCH($I954,Action_Status_Map!$A$5:$A$11,0)),""))</f>
        <v/>
      </c>
      <c r="K954" s="82" t="n"/>
      <c r="L954" s="82" t="n"/>
      <c r="M954" s="82" t="n"/>
      <c r="N954" s="83" t="n"/>
      <c r="O954" s="83" t="n"/>
      <c r="P954" s="66">
        <f>IF(OR($N954="",$O954=""),"",$O954-$N954)</f>
        <v/>
      </c>
      <c r="Q954" s="84">
        <f>IF($K954="","",IF($M954&lt;&gt;"",$M954-$K954,TODAY()-$K954))</f>
        <v/>
      </c>
      <c r="R954" s="85">
        <f>IF(OR($L954="",$I954="Completed",$I954="Cancelled"),"",IF(AND($L954&lt;TODAY(),$I954&lt;&gt;"Completed",$I954&lt;&gt;"Cancelled"),"Overdue","On Track"))</f>
        <v/>
      </c>
      <c r="S954" s="65">
        <f>IF($L954="","",TEXT($L954,"yyyy-mm"))</f>
        <v/>
      </c>
      <c r="T954" s="86">
        <f>IF($I954="","",IFERROR(INDEX(Action_Status_Map!$C$5:$C$11,MATCH($I954,Action_Status_Map!$A$5:$A$11,0)),""))</f>
        <v/>
      </c>
      <c r="U954" s="81" t="n"/>
      <c r="V954" s="82" t="n"/>
      <c r="W954" s="65">
        <f>IF(OR($I954&lt;&gt;"Completed",$M954="",$L954=""),"",IF($M954&lt;=$L954,"Yes","No"))</f>
        <v/>
      </c>
      <c r="X954" s="84">
        <f>IF($A954="","",COUNTIF(Task_Steps!$B$5:$B$2004,$A954))</f>
        <v/>
      </c>
      <c r="Y954" s="86">
        <f>IF($X954=0,"",COUNTIFS(Task_Steps!$B$5:$B$2004,$A954,Task_Steps!$H$5:$H$2004,"Completed")/$X954)</f>
        <v/>
      </c>
      <c r="Z954" s="81" t="n"/>
      <c r="AA954" s="81" t="n"/>
      <c r="AB954" s="67">
        <f>IF($F954="","",IFERROR(INDEX(Employee_Master!$E$5:$E$204,MATCH($F954,Employee_Master!$B$5:$B$204,0)),""))</f>
        <v/>
      </c>
      <c r="AC954" s="65">
        <f>IF(OR($A954="",$AB954=""),"",IF(OR($I954="Completed",$I954="Cancelled"),"Closed - in Manager Report","Active - in Manager Report"))</f>
        <v/>
      </c>
      <c r="AD954" s="81">
        <f>IF($A954="","",IFERROR(TEXTJOIN(", ",TRUE,FILTER(Task_Steps!$A$5:$A$2004,Task_Steps!$B$5:$B$2004=$A954)),""))</f>
        <v/>
      </c>
      <c r="AE954" s="84">
        <f>IF($A954="","",COUNTIFS(Task_Steps!$B$5:$B$2004,$A954,Task_Steps!$H$5:$H$2004,"&lt;&gt;Completed",Task_Steps!$H$5:$H$2004,"&lt;&gt;Cancelled"))</f>
        <v/>
      </c>
      <c r="AF954" s="81">
        <f>IF(OR($B954="",$A954=""),"",$B954&amp;" | "&amp;$A954)</f>
        <v/>
      </c>
    </row>
    <row r="955" ht="15" customHeight="1" s="40">
      <c r="A955" s="65">
        <f>IF(COUNTA(B955:F955)=0,"","TSK-"&amp;TEXT(ROW()-4,"0000"))</f>
        <v/>
      </c>
      <c r="B955" s="78" t="n"/>
      <c r="C955" s="78" t="n"/>
      <c r="D955" s="81" t="n"/>
      <c r="E955" s="81" t="n"/>
      <c r="F955" s="78" t="n"/>
      <c r="G955" s="67">
        <f>IF($F955="","",IFERROR(INDEX(Employee_Master!$C$5:$C$204,MATCH($F955,Employee_Master!$B$5:$B$204,0)),""))</f>
        <v/>
      </c>
      <c r="H955" s="78" t="n"/>
      <c r="I955" s="78" t="n"/>
      <c r="J955" s="67">
        <f>IF($I955="","",IFERROR(INDEX(Action_Status_Map!$B$5:$B$11,MATCH($I955,Action_Status_Map!$A$5:$A$11,0)),""))</f>
        <v/>
      </c>
      <c r="K955" s="82" t="n"/>
      <c r="L955" s="82" t="n"/>
      <c r="M955" s="82" t="n"/>
      <c r="N955" s="83" t="n"/>
      <c r="O955" s="83" t="n"/>
      <c r="P955" s="66">
        <f>IF(OR($N955="",$O955=""),"",$O955-$N955)</f>
        <v/>
      </c>
      <c r="Q955" s="84">
        <f>IF($K955="","",IF($M955&lt;&gt;"",$M955-$K955,TODAY()-$K955))</f>
        <v/>
      </c>
      <c r="R955" s="85">
        <f>IF(OR($L955="",$I955="Completed",$I955="Cancelled"),"",IF(AND($L955&lt;TODAY(),$I955&lt;&gt;"Completed",$I955&lt;&gt;"Cancelled"),"Overdue","On Track"))</f>
        <v/>
      </c>
      <c r="S955" s="65">
        <f>IF($L955="","",TEXT($L955,"yyyy-mm"))</f>
        <v/>
      </c>
      <c r="T955" s="86">
        <f>IF($I955="","",IFERROR(INDEX(Action_Status_Map!$C$5:$C$11,MATCH($I955,Action_Status_Map!$A$5:$A$11,0)),""))</f>
        <v/>
      </c>
      <c r="U955" s="81" t="n"/>
      <c r="V955" s="82" t="n"/>
      <c r="W955" s="65">
        <f>IF(OR($I955&lt;&gt;"Completed",$M955="",$L955=""),"",IF($M955&lt;=$L955,"Yes","No"))</f>
        <v/>
      </c>
      <c r="X955" s="84">
        <f>IF($A955="","",COUNTIF(Task_Steps!$B$5:$B$2004,$A955))</f>
        <v/>
      </c>
      <c r="Y955" s="86">
        <f>IF($X955=0,"",COUNTIFS(Task_Steps!$B$5:$B$2004,$A955,Task_Steps!$H$5:$H$2004,"Completed")/$X955)</f>
        <v/>
      </c>
      <c r="Z955" s="81" t="n"/>
      <c r="AA955" s="81" t="n"/>
      <c r="AB955" s="67">
        <f>IF($F955="","",IFERROR(INDEX(Employee_Master!$E$5:$E$204,MATCH($F955,Employee_Master!$B$5:$B$204,0)),""))</f>
        <v/>
      </c>
      <c r="AC955" s="65">
        <f>IF(OR($A955="",$AB955=""),"",IF(OR($I955="Completed",$I955="Cancelled"),"Closed - in Manager Report","Active - in Manager Report"))</f>
        <v/>
      </c>
      <c r="AD955" s="81">
        <f>IF($A955="","",IFERROR(TEXTJOIN(", ",TRUE,FILTER(Task_Steps!$A$5:$A$2004,Task_Steps!$B$5:$B$2004=$A955)),""))</f>
        <v/>
      </c>
      <c r="AE955" s="84">
        <f>IF($A955="","",COUNTIFS(Task_Steps!$B$5:$B$2004,$A955,Task_Steps!$H$5:$H$2004,"&lt;&gt;Completed",Task_Steps!$H$5:$H$2004,"&lt;&gt;Cancelled"))</f>
        <v/>
      </c>
      <c r="AF955" s="81">
        <f>IF(OR($B955="",$A955=""),"",$B955&amp;" | "&amp;$A955)</f>
        <v/>
      </c>
    </row>
    <row r="956" ht="15" customHeight="1" s="40">
      <c r="A956" s="65">
        <f>IF(COUNTA(B956:F956)=0,"","TSK-"&amp;TEXT(ROW()-4,"0000"))</f>
        <v/>
      </c>
      <c r="B956" s="78" t="n"/>
      <c r="C956" s="78" t="n"/>
      <c r="D956" s="81" t="n"/>
      <c r="E956" s="81" t="n"/>
      <c r="F956" s="78" t="n"/>
      <c r="G956" s="67">
        <f>IF($F956="","",IFERROR(INDEX(Employee_Master!$C$5:$C$204,MATCH($F956,Employee_Master!$B$5:$B$204,0)),""))</f>
        <v/>
      </c>
      <c r="H956" s="78" t="n"/>
      <c r="I956" s="78" t="n"/>
      <c r="J956" s="67">
        <f>IF($I956="","",IFERROR(INDEX(Action_Status_Map!$B$5:$B$11,MATCH($I956,Action_Status_Map!$A$5:$A$11,0)),""))</f>
        <v/>
      </c>
      <c r="K956" s="82" t="n"/>
      <c r="L956" s="82" t="n"/>
      <c r="M956" s="82" t="n"/>
      <c r="N956" s="83" t="n"/>
      <c r="O956" s="83" t="n"/>
      <c r="P956" s="66">
        <f>IF(OR($N956="",$O956=""),"",$O956-$N956)</f>
        <v/>
      </c>
      <c r="Q956" s="84">
        <f>IF($K956="","",IF($M956&lt;&gt;"",$M956-$K956,TODAY()-$K956))</f>
        <v/>
      </c>
      <c r="R956" s="85">
        <f>IF(OR($L956="",$I956="Completed",$I956="Cancelled"),"",IF(AND($L956&lt;TODAY(),$I956&lt;&gt;"Completed",$I956&lt;&gt;"Cancelled"),"Overdue","On Track"))</f>
        <v/>
      </c>
      <c r="S956" s="65">
        <f>IF($L956="","",TEXT($L956,"yyyy-mm"))</f>
        <v/>
      </c>
      <c r="T956" s="86">
        <f>IF($I956="","",IFERROR(INDEX(Action_Status_Map!$C$5:$C$11,MATCH($I956,Action_Status_Map!$A$5:$A$11,0)),""))</f>
        <v/>
      </c>
      <c r="U956" s="81" t="n"/>
      <c r="V956" s="82" t="n"/>
      <c r="W956" s="65">
        <f>IF(OR($I956&lt;&gt;"Completed",$M956="",$L956=""),"",IF($M956&lt;=$L956,"Yes","No"))</f>
        <v/>
      </c>
      <c r="X956" s="84">
        <f>IF($A956="","",COUNTIF(Task_Steps!$B$5:$B$2004,$A956))</f>
        <v/>
      </c>
      <c r="Y956" s="86">
        <f>IF($X956=0,"",COUNTIFS(Task_Steps!$B$5:$B$2004,$A956,Task_Steps!$H$5:$H$2004,"Completed")/$X956)</f>
        <v/>
      </c>
      <c r="Z956" s="81" t="n"/>
      <c r="AA956" s="81" t="n"/>
      <c r="AB956" s="67">
        <f>IF($F956="","",IFERROR(INDEX(Employee_Master!$E$5:$E$204,MATCH($F956,Employee_Master!$B$5:$B$204,0)),""))</f>
        <v/>
      </c>
      <c r="AC956" s="65">
        <f>IF(OR($A956="",$AB956=""),"",IF(OR($I956="Completed",$I956="Cancelled"),"Closed - in Manager Report","Active - in Manager Report"))</f>
        <v/>
      </c>
      <c r="AD956" s="81">
        <f>IF($A956="","",IFERROR(TEXTJOIN(", ",TRUE,FILTER(Task_Steps!$A$5:$A$2004,Task_Steps!$B$5:$B$2004=$A956)),""))</f>
        <v/>
      </c>
      <c r="AE956" s="84">
        <f>IF($A956="","",COUNTIFS(Task_Steps!$B$5:$B$2004,$A956,Task_Steps!$H$5:$H$2004,"&lt;&gt;Completed",Task_Steps!$H$5:$H$2004,"&lt;&gt;Cancelled"))</f>
        <v/>
      </c>
      <c r="AF956" s="81">
        <f>IF(OR($B956="",$A956=""),"",$B956&amp;" | "&amp;$A956)</f>
        <v/>
      </c>
    </row>
    <row r="957" ht="15" customHeight="1" s="40">
      <c r="A957" s="65">
        <f>IF(COUNTA(B957:F957)=0,"","TSK-"&amp;TEXT(ROW()-4,"0000"))</f>
        <v/>
      </c>
      <c r="B957" s="78" t="n"/>
      <c r="C957" s="78" t="n"/>
      <c r="D957" s="81" t="n"/>
      <c r="E957" s="81" t="n"/>
      <c r="F957" s="78" t="n"/>
      <c r="G957" s="67">
        <f>IF($F957="","",IFERROR(INDEX(Employee_Master!$C$5:$C$204,MATCH($F957,Employee_Master!$B$5:$B$204,0)),""))</f>
        <v/>
      </c>
      <c r="H957" s="78" t="n"/>
      <c r="I957" s="78" t="n"/>
      <c r="J957" s="67">
        <f>IF($I957="","",IFERROR(INDEX(Action_Status_Map!$B$5:$B$11,MATCH($I957,Action_Status_Map!$A$5:$A$11,0)),""))</f>
        <v/>
      </c>
      <c r="K957" s="82" t="n"/>
      <c r="L957" s="82" t="n"/>
      <c r="M957" s="82" t="n"/>
      <c r="N957" s="83" t="n"/>
      <c r="O957" s="83" t="n"/>
      <c r="P957" s="66">
        <f>IF(OR($N957="",$O957=""),"",$O957-$N957)</f>
        <v/>
      </c>
      <c r="Q957" s="84">
        <f>IF($K957="","",IF($M957&lt;&gt;"",$M957-$K957,TODAY()-$K957))</f>
        <v/>
      </c>
      <c r="R957" s="85">
        <f>IF(OR($L957="",$I957="Completed",$I957="Cancelled"),"",IF(AND($L957&lt;TODAY(),$I957&lt;&gt;"Completed",$I957&lt;&gt;"Cancelled"),"Overdue","On Track"))</f>
        <v/>
      </c>
      <c r="S957" s="65">
        <f>IF($L957="","",TEXT($L957,"yyyy-mm"))</f>
        <v/>
      </c>
      <c r="T957" s="86">
        <f>IF($I957="","",IFERROR(INDEX(Action_Status_Map!$C$5:$C$11,MATCH($I957,Action_Status_Map!$A$5:$A$11,0)),""))</f>
        <v/>
      </c>
      <c r="U957" s="81" t="n"/>
      <c r="V957" s="82" t="n"/>
      <c r="W957" s="65">
        <f>IF(OR($I957&lt;&gt;"Completed",$M957="",$L957=""),"",IF($M957&lt;=$L957,"Yes","No"))</f>
        <v/>
      </c>
      <c r="X957" s="84">
        <f>IF($A957="","",COUNTIF(Task_Steps!$B$5:$B$2004,$A957))</f>
        <v/>
      </c>
      <c r="Y957" s="86">
        <f>IF($X957=0,"",COUNTIFS(Task_Steps!$B$5:$B$2004,$A957,Task_Steps!$H$5:$H$2004,"Completed")/$X957)</f>
        <v/>
      </c>
      <c r="Z957" s="81" t="n"/>
      <c r="AA957" s="81" t="n"/>
      <c r="AB957" s="67">
        <f>IF($F957="","",IFERROR(INDEX(Employee_Master!$E$5:$E$204,MATCH($F957,Employee_Master!$B$5:$B$204,0)),""))</f>
        <v/>
      </c>
      <c r="AC957" s="65">
        <f>IF(OR($A957="",$AB957=""),"",IF(OR($I957="Completed",$I957="Cancelled"),"Closed - in Manager Report","Active - in Manager Report"))</f>
        <v/>
      </c>
      <c r="AD957" s="81">
        <f>IF($A957="","",IFERROR(TEXTJOIN(", ",TRUE,FILTER(Task_Steps!$A$5:$A$2004,Task_Steps!$B$5:$B$2004=$A957)),""))</f>
        <v/>
      </c>
      <c r="AE957" s="84">
        <f>IF($A957="","",COUNTIFS(Task_Steps!$B$5:$B$2004,$A957,Task_Steps!$H$5:$H$2004,"&lt;&gt;Completed",Task_Steps!$H$5:$H$2004,"&lt;&gt;Cancelled"))</f>
        <v/>
      </c>
      <c r="AF957" s="81">
        <f>IF(OR($B957="",$A957=""),"",$B957&amp;" | "&amp;$A957)</f>
        <v/>
      </c>
    </row>
    <row r="958" ht="15" customHeight="1" s="40">
      <c r="A958" s="65">
        <f>IF(COUNTA(B958:F958)=0,"","TSK-"&amp;TEXT(ROW()-4,"0000"))</f>
        <v/>
      </c>
      <c r="B958" s="78" t="n"/>
      <c r="C958" s="78" t="n"/>
      <c r="D958" s="81" t="n"/>
      <c r="E958" s="81" t="n"/>
      <c r="F958" s="78" t="n"/>
      <c r="G958" s="67">
        <f>IF($F958="","",IFERROR(INDEX(Employee_Master!$C$5:$C$204,MATCH($F958,Employee_Master!$B$5:$B$204,0)),""))</f>
        <v/>
      </c>
      <c r="H958" s="78" t="n"/>
      <c r="I958" s="78" t="n"/>
      <c r="J958" s="67">
        <f>IF($I958="","",IFERROR(INDEX(Action_Status_Map!$B$5:$B$11,MATCH($I958,Action_Status_Map!$A$5:$A$11,0)),""))</f>
        <v/>
      </c>
      <c r="K958" s="82" t="n"/>
      <c r="L958" s="82" t="n"/>
      <c r="M958" s="82" t="n"/>
      <c r="N958" s="83" t="n"/>
      <c r="O958" s="83" t="n"/>
      <c r="P958" s="66">
        <f>IF(OR($N958="",$O958=""),"",$O958-$N958)</f>
        <v/>
      </c>
      <c r="Q958" s="84">
        <f>IF($K958="","",IF($M958&lt;&gt;"",$M958-$K958,TODAY()-$K958))</f>
        <v/>
      </c>
      <c r="R958" s="85">
        <f>IF(OR($L958="",$I958="Completed",$I958="Cancelled"),"",IF(AND($L958&lt;TODAY(),$I958&lt;&gt;"Completed",$I958&lt;&gt;"Cancelled"),"Overdue","On Track"))</f>
        <v/>
      </c>
      <c r="S958" s="65">
        <f>IF($L958="","",TEXT($L958,"yyyy-mm"))</f>
        <v/>
      </c>
      <c r="T958" s="86">
        <f>IF($I958="","",IFERROR(INDEX(Action_Status_Map!$C$5:$C$11,MATCH($I958,Action_Status_Map!$A$5:$A$11,0)),""))</f>
        <v/>
      </c>
      <c r="U958" s="81" t="n"/>
      <c r="V958" s="82" t="n"/>
      <c r="W958" s="65">
        <f>IF(OR($I958&lt;&gt;"Completed",$M958="",$L958=""),"",IF($M958&lt;=$L958,"Yes","No"))</f>
        <v/>
      </c>
      <c r="X958" s="84">
        <f>IF($A958="","",COUNTIF(Task_Steps!$B$5:$B$2004,$A958))</f>
        <v/>
      </c>
      <c r="Y958" s="86">
        <f>IF($X958=0,"",COUNTIFS(Task_Steps!$B$5:$B$2004,$A958,Task_Steps!$H$5:$H$2004,"Completed")/$X958)</f>
        <v/>
      </c>
      <c r="Z958" s="81" t="n"/>
      <c r="AA958" s="81" t="n"/>
      <c r="AB958" s="67">
        <f>IF($F958="","",IFERROR(INDEX(Employee_Master!$E$5:$E$204,MATCH($F958,Employee_Master!$B$5:$B$204,0)),""))</f>
        <v/>
      </c>
      <c r="AC958" s="65">
        <f>IF(OR($A958="",$AB958=""),"",IF(OR($I958="Completed",$I958="Cancelled"),"Closed - in Manager Report","Active - in Manager Report"))</f>
        <v/>
      </c>
      <c r="AD958" s="81">
        <f>IF($A958="","",IFERROR(TEXTJOIN(", ",TRUE,FILTER(Task_Steps!$A$5:$A$2004,Task_Steps!$B$5:$B$2004=$A958)),""))</f>
        <v/>
      </c>
      <c r="AE958" s="84">
        <f>IF($A958="","",COUNTIFS(Task_Steps!$B$5:$B$2004,$A958,Task_Steps!$H$5:$H$2004,"&lt;&gt;Completed",Task_Steps!$H$5:$H$2004,"&lt;&gt;Cancelled"))</f>
        <v/>
      </c>
      <c r="AF958" s="81">
        <f>IF(OR($B958="",$A958=""),"",$B958&amp;" | "&amp;$A958)</f>
        <v/>
      </c>
    </row>
    <row r="959" ht="15" customHeight="1" s="40">
      <c r="A959" s="65">
        <f>IF(COUNTA(B959:F959)=0,"","TSK-"&amp;TEXT(ROW()-4,"0000"))</f>
        <v/>
      </c>
      <c r="B959" s="78" t="n"/>
      <c r="C959" s="78" t="n"/>
      <c r="D959" s="81" t="n"/>
      <c r="E959" s="81" t="n"/>
      <c r="F959" s="78" t="n"/>
      <c r="G959" s="67">
        <f>IF($F959="","",IFERROR(INDEX(Employee_Master!$C$5:$C$204,MATCH($F959,Employee_Master!$B$5:$B$204,0)),""))</f>
        <v/>
      </c>
      <c r="H959" s="78" t="n"/>
      <c r="I959" s="78" t="n"/>
      <c r="J959" s="67">
        <f>IF($I959="","",IFERROR(INDEX(Action_Status_Map!$B$5:$B$11,MATCH($I959,Action_Status_Map!$A$5:$A$11,0)),""))</f>
        <v/>
      </c>
      <c r="K959" s="82" t="n"/>
      <c r="L959" s="82" t="n"/>
      <c r="M959" s="82" t="n"/>
      <c r="N959" s="83" t="n"/>
      <c r="O959" s="83" t="n"/>
      <c r="P959" s="66">
        <f>IF(OR($N959="",$O959=""),"",$O959-$N959)</f>
        <v/>
      </c>
      <c r="Q959" s="84">
        <f>IF($K959="","",IF($M959&lt;&gt;"",$M959-$K959,TODAY()-$K959))</f>
        <v/>
      </c>
      <c r="R959" s="85">
        <f>IF(OR($L959="",$I959="Completed",$I959="Cancelled"),"",IF(AND($L959&lt;TODAY(),$I959&lt;&gt;"Completed",$I959&lt;&gt;"Cancelled"),"Overdue","On Track"))</f>
        <v/>
      </c>
      <c r="S959" s="65">
        <f>IF($L959="","",TEXT($L959,"yyyy-mm"))</f>
        <v/>
      </c>
      <c r="T959" s="86">
        <f>IF($I959="","",IFERROR(INDEX(Action_Status_Map!$C$5:$C$11,MATCH($I959,Action_Status_Map!$A$5:$A$11,0)),""))</f>
        <v/>
      </c>
      <c r="U959" s="81" t="n"/>
      <c r="V959" s="82" t="n"/>
      <c r="W959" s="65">
        <f>IF(OR($I959&lt;&gt;"Completed",$M959="",$L959=""),"",IF($M959&lt;=$L959,"Yes","No"))</f>
        <v/>
      </c>
      <c r="X959" s="84">
        <f>IF($A959="","",COUNTIF(Task_Steps!$B$5:$B$2004,$A959))</f>
        <v/>
      </c>
      <c r="Y959" s="86">
        <f>IF($X959=0,"",COUNTIFS(Task_Steps!$B$5:$B$2004,$A959,Task_Steps!$H$5:$H$2004,"Completed")/$X959)</f>
        <v/>
      </c>
      <c r="Z959" s="81" t="n"/>
      <c r="AA959" s="81" t="n"/>
      <c r="AB959" s="67">
        <f>IF($F959="","",IFERROR(INDEX(Employee_Master!$E$5:$E$204,MATCH($F959,Employee_Master!$B$5:$B$204,0)),""))</f>
        <v/>
      </c>
      <c r="AC959" s="65">
        <f>IF(OR($A959="",$AB959=""),"",IF(OR($I959="Completed",$I959="Cancelled"),"Closed - in Manager Report","Active - in Manager Report"))</f>
        <v/>
      </c>
      <c r="AD959" s="81">
        <f>IF($A959="","",IFERROR(TEXTJOIN(", ",TRUE,FILTER(Task_Steps!$A$5:$A$2004,Task_Steps!$B$5:$B$2004=$A959)),""))</f>
        <v/>
      </c>
      <c r="AE959" s="84">
        <f>IF($A959="","",COUNTIFS(Task_Steps!$B$5:$B$2004,$A959,Task_Steps!$H$5:$H$2004,"&lt;&gt;Completed",Task_Steps!$H$5:$H$2004,"&lt;&gt;Cancelled"))</f>
        <v/>
      </c>
      <c r="AF959" s="81">
        <f>IF(OR($B959="",$A959=""),"",$B959&amp;" | "&amp;$A959)</f>
        <v/>
      </c>
    </row>
    <row r="960" ht="15" customHeight="1" s="40">
      <c r="A960" s="65">
        <f>IF(COUNTA(B960:F960)=0,"","TSK-"&amp;TEXT(ROW()-4,"0000"))</f>
        <v/>
      </c>
      <c r="B960" s="78" t="n"/>
      <c r="C960" s="78" t="n"/>
      <c r="D960" s="81" t="n"/>
      <c r="E960" s="81" t="n"/>
      <c r="F960" s="78" t="n"/>
      <c r="G960" s="67">
        <f>IF($F960="","",IFERROR(INDEX(Employee_Master!$C$5:$C$204,MATCH($F960,Employee_Master!$B$5:$B$204,0)),""))</f>
        <v/>
      </c>
      <c r="H960" s="78" t="n"/>
      <c r="I960" s="78" t="n"/>
      <c r="J960" s="67">
        <f>IF($I960="","",IFERROR(INDEX(Action_Status_Map!$B$5:$B$11,MATCH($I960,Action_Status_Map!$A$5:$A$11,0)),""))</f>
        <v/>
      </c>
      <c r="K960" s="82" t="n"/>
      <c r="L960" s="82" t="n"/>
      <c r="M960" s="82" t="n"/>
      <c r="N960" s="83" t="n"/>
      <c r="O960" s="83" t="n"/>
      <c r="P960" s="66">
        <f>IF(OR($N960="",$O960=""),"",$O960-$N960)</f>
        <v/>
      </c>
      <c r="Q960" s="84">
        <f>IF($K960="","",IF($M960&lt;&gt;"",$M960-$K960,TODAY()-$K960))</f>
        <v/>
      </c>
      <c r="R960" s="85">
        <f>IF(OR($L960="",$I960="Completed",$I960="Cancelled"),"",IF(AND($L960&lt;TODAY(),$I960&lt;&gt;"Completed",$I960&lt;&gt;"Cancelled"),"Overdue","On Track"))</f>
        <v/>
      </c>
      <c r="S960" s="65">
        <f>IF($L960="","",TEXT($L960,"yyyy-mm"))</f>
        <v/>
      </c>
      <c r="T960" s="86">
        <f>IF($I960="","",IFERROR(INDEX(Action_Status_Map!$C$5:$C$11,MATCH($I960,Action_Status_Map!$A$5:$A$11,0)),""))</f>
        <v/>
      </c>
      <c r="U960" s="81" t="n"/>
      <c r="V960" s="82" t="n"/>
      <c r="W960" s="65">
        <f>IF(OR($I960&lt;&gt;"Completed",$M960="",$L960=""),"",IF($M960&lt;=$L960,"Yes","No"))</f>
        <v/>
      </c>
      <c r="X960" s="84">
        <f>IF($A960="","",COUNTIF(Task_Steps!$B$5:$B$2004,$A960))</f>
        <v/>
      </c>
      <c r="Y960" s="86">
        <f>IF($X960=0,"",COUNTIFS(Task_Steps!$B$5:$B$2004,$A960,Task_Steps!$H$5:$H$2004,"Completed")/$X960)</f>
        <v/>
      </c>
      <c r="Z960" s="81" t="n"/>
      <c r="AA960" s="81" t="n"/>
      <c r="AB960" s="67">
        <f>IF($F960="","",IFERROR(INDEX(Employee_Master!$E$5:$E$204,MATCH($F960,Employee_Master!$B$5:$B$204,0)),""))</f>
        <v/>
      </c>
      <c r="AC960" s="65">
        <f>IF(OR($A960="",$AB960=""),"",IF(OR($I960="Completed",$I960="Cancelled"),"Closed - in Manager Report","Active - in Manager Report"))</f>
        <v/>
      </c>
      <c r="AD960" s="81">
        <f>IF($A960="","",IFERROR(TEXTJOIN(", ",TRUE,FILTER(Task_Steps!$A$5:$A$2004,Task_Steps!$B$5:$B$2004=$A960)),""))</f>
        <v/>
      </c>
      <c r="AE960" s="84">
        <f>IF($A960="","",COUNTIFS(Task_Steps!$B$5:$B$2004,$A960,Task_Steps!$H$5:$H$2004,"&lt;&gt;Completed",Task_Steps!$H$5:$H$2004,"&lt;&gt;Cancelled"))</f>
        <v/>
      </c>
      <c r="AF960" s="81">
        <f>IF(OR($B960="",$A960=""),"",$B960&amp;" | "&amp;$A960)</f>
        <v/>
      </c>
    </row>
    <row r="961" ht="15" customHeight="1" s="40">
      <c r="A961" s="65">
        <f>IF(COUNTA(B961:F961)=0,"","TSK-"&amp;TEXT(ROW()-4,"0000"))</f>
        <v/>
      </c>
      <c r="B961" s="78" t="n"/>
      <c r="C961" s="78" t="n"/>
      <c r="D961" s="81" t="n"/>
      <c r="E961" s="81" t="n"/>
      <c r="F961" s="78" t="n"/>
      <c r="G961" s="67">
        <f>IF($F961="","",IFERROR(INDEX(Employee_Master!$C$5:$C$204,MATCH($F961,Employee_Master!$B$5:$B$204,0)),""))</f>
        <v/>
      </c>
      <c r="H961" s="78" t="n"/>
      <c r="I961" s="78" t="n"/>
      <c r="J961" s="67">
        <f>IF($I961="","",IFERROR(INDEX(Action_Status_Map!$B$5:$B$11,MATCH($I961,Action_Status_Map!$A$5:$A$11,0)),""))</f>
        <v/>
      </c>
      <c r="K961" s="82" t="n"/>
      <c r="L961" s="82" t="n"/>
      <c r="M961" s="82" t="n"/>
      <c r="N961" s="83" t="n"/>
      <c r="O961" s="83" t="n"/>
      <c r="P961" s="66">
        <f>IF(OR($N961="",$O961=""),"",$O961-$N961)</f>
        <v/>
      </c>
      <c r="Q961" s="84">
        <f>IF($K961="","",IF($M961&lt;&gt;"",$M961-$K961,TODAY()-$K961))</f>
        <v/>
      </c>
      <c r="R961" s="85">
        <f>IF(OR($L961="",$I961="Completed",$I961="Cancelled"),"",IF(AND($L961&lt;TODAY(),$I961&lt;&gt;"Completed",$I961&lt;&gt;"Cancelled"),"Overdue","On Track"))</f>
        <v/>
      </c>
      <c r="S961" s="65">
        <f>IF($L961="","",TEXT($L961,"yyyy-mm"))</f>
        <v/>
      </c>
      <c r="T961" s="86">
        <f>IF($I961="","",IFERROR(INDEX(Action_Status_Map!$C$5:$C$11,MATCH($I961,Action_Status_Map!$A$5:$A$11,0)),""))</f>
        <v/>
      </c>
      <c r="U961" s="81" t="n"/>
      <c r="V961" s="82" t="n"/>
      <c r="W961" s="65">
        <f>IF(OR($I961&lt;&gt;"Completed",$M961="",$L961=""),"",IF($M961&lt;=$L961,"Yes","No"))</f>
        <v/>
      </c>
      <c r="X961" s="84">
        <f>IF($A961="","",COUNTIF(Task_Steps!$B$5:$B$2004,$A961))</f>
        <v/>
      </c>
      <c r="Y961" s="86">
        <f>IF($X961=0,"",COUNTIFS(Task_Steps!$B$5:$B$2004,$A961,Task_Steps!$H$5:$H$2004,"Completed")/$X961)</f>
        <v/>
      </c>
      <c r="Z961" s="81" t="n"/>
      <c r="AA961" s="81" t="n"/>
      <c r="AB961" s="67">
        <f>IF($F961="","",IFERROR(INDEX(Employee_Master!$E$5:$E$204,MATCH($F961,Employee_Master!$B$5:$B$204,0)),""))</f>
        <v/>
      </c>
      <c r="AC961" s="65">
        <f>IF(OR($A961="",$AB961=""),"",IF(OR($I961="Completed",$I961="Cancelled"),"Closed - in Manager Report","Active - in Manager Report"))</f>
        <v/>
      </c>
      <c r="AD961" s="81">
        <f>IF($A961="","",IFERROR(TEXTJOIN(", ",TRUE,FILTER(Task_Steps!$A$5:$A$2004,Task_Steps!$B$5:$B$2004=$A961)),""))</f>
        <v/>
      </c>
      <c r="AE961" s="84">
        <f>IF($A961="","",COUNTIFS(Task_Steps!$B$5:$B$2004,$A961,Task_Steps!$H$5:$H$2004,"&lt;&gt;Completed",Task_Steps!$H$5:$H$2004,"&lt;&gt;Cancelled"))</f>
        <v/>
      </c>
      <c r="AF961" s="81">
        <f>IF(OR($B961="",$A961=""),"",$B961&amp;" | "&amp;$A961)</f>
        <v/>
      </c>
    </row>
    <row r="962" ht="15" customHeight="1" s="40">
      <c r="A962" s="65">
        <f>IF(COUNTA(B962:F962)=0,"","TSK-"&amp;TEXT(ROW()-4,"0000"))</f>
        <v/>
      </c>
      <c r="B962" s="78" t="n"/>
      <c r="C962" s="78" t="n"/>
      <c r="D962" s="81" t="n"/>
      <c r="E962" s="81" t="n"/>
      <c r="F962" s="78" t="n"/>
      <c r="G962" s="67">
        <f>IF($F962="","",IFERROR(INDEX(Employee_Master!$C$5:$C$204,MATCH($F962,Employee_Master!$B$5:$B$204,0)),""))</f>
        <v/>
      </c>
      <c r="H962" s="78" t="n"/>
      <c r="I962" s="78" t="n"/>
      <c r="J962" s="67">
        <f>IF($I962="","",IFERROR(INDEX(Action_Status_Map!$B$5:$B$11,MATCH($I962,Action_Status_Map!$A$5:$A$11,0)),""))</f>
        <v/>
      </c>
      <c r="K962" s="82" t="n"/>
      <c r="L962" s="82" t="n"/>
      <c r="M962" s="82" t="n"/>
      <c r="N962" s="83" t="n"/>
      <c r="O962" s="83" t="n"/>
      <c r="P962" s="66">
        <f>IF(OR($N962="",$O962=""),"",$O962-$N962)</f>
        <v/>
      </c>
      <c r="Q962" s="84">
        <f>IF($K962="","",IF($M962&lt;&gt;"",$M962-$K962,TODAY()-$K962))</f>
        <v/>
      </c>
      <c r="R962" s="85">
        <f>IF(OR($L962="",$I962="Completed",$I962="Cancelled"),"",IF(AND($L962&lt;TODAY(),$I962&lt;&gt;"Completed",$I962&lt;&gt;"Cancelled"),"Overdue","On Track"))</f>
        <v/>
      </c>
      <c r="S962" s="65">
        <f>IF($L962="","",TEXT($L962,"yyyy-mm"))</f>
        <v/>
      </c>
      <c r="T962" s="86">
        <f>IF($I962="","",IFERROR(INDEX(Action_Status_Map!$C$5:$C$11,MATCH($I962,Action_Status_Map!$A$5:$A$11,0)),""))</f>
        <v/>
      </c>
      <c r="U962" s="81" t="n"/>
      <c r="V962" s="82" t="n"/>
      <c r="W962" s="65">
        <f>IF(OR($I962&lt;&gt;"Completed",$M962="",$L962=""),"",IF($M962&lt;=$L962,"Yes","No"))</f>
        <v/>
      </c>
      <c r="X962" s="84">
        <f>IF($A962="","",COUNTIF(Task_Steps!$B$5:$B$2004,$A962))</f>
        <v/>
      </c>
      <c r="Y962" s="86">
        <f>IF($X962=0,"",COUNTIFS(Task_Steps!$B$5:$B$2004,$A962,Task_Steps!$H$5:$H$2004,"Completed")/$X962)</f>
        <v/>
      </c>
      <c r="Z962" s="81" t="n"/>
      <c r="AA962" s="81" t="n"/>
      <c r="AB962" s="67">
        <f>IF($F962="","",IFERROR(INDEX(Employee_Master!$E$5:$E$204,MATCH($F962,Employee_Master!$B$5:$B$204,0)),""))</f>
        <v/>
      </c>
      <c r="AC962" s="65">
        <f>IF(OR($A962="",$AB962=""),"",IF(OR($I962="Completed",$I962="Cancelled"),"Closed - in Manager Report","Active - in Manager Report"))</f>
        <v/>
      </c>
      <c r="AD962" s="81">
        <f>IF($A962="","",IFERROR(TEXTJOIN(", ",TRUE,FILTER(Task_Steps!$A$5:$A$2004,Task_Steps!$B$5:$B$2004=$A962)),""))</f>
        <v/>
      </c>
      <c r="AE962" s="84">
        <f>IF($A962="","",COUNTIFS(Task_Steps!$B$5:$B$2004,$A962,Task_Steps!$H$5:$H$2004,"&lt;&gt;Completed",Task_Steps!$H$5:$H$2004,"&lt;&gt;Cancelled"))</f>
        <v/>
      </c>
      <c r="AF962" s="81">
        <f>IF(OR($B962="",$A962=""),"",$B962&amp;" | "&amp;$A962)</f>
        <v/>
      </c>
    </row>
    <row r="963" ht="15" customHeight="1" s="40">
      <c r="A963" s="65">
        <f>IF(COUNTA(B963:F963)=0,"","TSK-"&amp;TEXT(ROW()-4,"0000"))</f>
        <v/>
      </c>
      <c r="B963" s="78" t="n"/>
      <c r="C963" s="78" t="n"/>
      <c r="D963" s="81" t="n"/>
      <c r="E963" s="81" t="n"/>
      <c r="F963" s="78" t="n"/>
      <c r="G963" s="67">
        <f>IF($F963="","",IFERROR(INDEX(Employee_Master!$C$5:$C$204,MATCH($F963,Employee_Master!$B$5:$B$204,0)),""))</f>
        <v/>
      </c>
      <c r="H963" s="78" t="n"/>
      <c r="I963" s="78" t="n"/>
      <c r="J963" s="67">
        <f>IF($I963="","",IFERROR(INDEX(Action_Status_Map!$B$5:$B$11,MATCH($I963,Action_Status_Map!$A$5:$A$11,0)),""))</f>
        <v/>
      </c>
      <c r="K963" s="82" t="n"/>
      <c r="L963" s="82" t="n"/>
      <c r="M963" s="82" t="n"/>
      <c r="N963" s="83" t="n"/>
      <c r="O963" s="83" t="n"/>
      <c r="P963" s="66">
        <f>IF(OR($N963="",$O963=""),"",$O963-$N963)</f>
        <v/>
      </c>
      <c r="Q963" s="84">
        <f>IF($K963="","",IF($M963&lt;&gt;"",$M963-$K963,TODAY()-$K963))</f>
        <v/>
      </c>
      <c r="R963" s="85">
        <f>IF(OR($L963="",$I963="Completed",$I963="Cancelled"),"",IF(AND($L963&lt;TODAY(),$I963&lt;&gt;"Completed",$I963&lt;&gt;"Cancelled"),"Overdue","On Track"))</f>
        <v/>
      </c>
      <c r="S963" s="65">
        <f>IF($L963="","",TEXT($L963,"yyyy-mm"))</f>
        <v/>
      </c>
      <c r="T963" s="86">
        <f>IF($I963="","",IFERROR(INDEX(Action_Status_Map!$C$5:$C$11,MATCH($I963,Action_Status_Map!$A$5:$A$11,0)),""))</f>
        <v/>
      </c>
      <c r="U963" s="81" t="n"/>
      <c r="V963" s="82" t="n"/>
      <c r="W963" s="65">
        <f>IF(OR($I963&lt;&gt;"Completed",$M963="",$L963=""),"",IF($M963&lt;=$L963,"Yes","No"))</f>
        <v/>
      </c>
      <c r="X963" s="84">
        <f>IF($A963="","",COUNTIF(Task_Steps!$B$5:$B$2004,$A963))</f>
        <v/>
      </c>
      <c r="Y963" s="86">
        <f>IF($X963=0,"",COUNTIFS(Task_Steps!$B$5:$B$2004,$A963,Task_Steps!$H$5:$H$2004,"Completed")/$X963)</f>
        <v/>
      </c>
      <c r="Z963" s="81" t="n"/>
      <c r="AA963" s="81" t="n"/>
      <c r="AB963" s="67">
        <f>IF($F963="","",IFERROR(INDEX(Employee_Master!$E$5:$E$204,MATCH($F963,Employee_Master!$B$5:$B$204,0)),""))</f>
        <v/>
      </c>
      <c r="AC963" s="65">
        <f>IF(OR($A963="",$AB963=""),"",IF(OR($I963="Completed",$I963="Cancelled"),"Closed - in Manager Report","Active - in Manager Report"))</f>
        <v/>
      </c>
      <c r="AD963" s="81">
        <f>IF($A963="","",IFERROR(TEXTJOIN(", ",TRUE,FILTER(Task_Steps!$A$5:$A$2004,Task_Steps!$B$5:$B$2004=$A963)),""))</f>
        <v/>
      </c>
      <c r="AE963" s="84">
        <f>IF($A963="","",COUNTIFS(Task_Steps!$B$5:$B$2004,$A963,Task_Steps!$H$5:$H$2004,"&lt;&gt;Completed",Task_Steps!$H$5:$H$2004,"&lt;&gt;Cancelled"))</f>
        <v/>
      </c>
      <c r="AF963" s="81">
        <f>IF(OR($B963="",$A963=""),"",$B963&amp;" | "&amp;$A963)</f>
        <v/>
      </c>
    </row>
    <row r="964" ht="15" customHeight="1" s="40">
      <c r="A964" s="65">
        <f>IF(COUNTA(B964:F964)=0,"","TSK-"&amp;TEXT(ROW()-4,"0000"))</f>
        <v/>
      </c>
      <c r="B964" s="78" t="n"/>
      <c r="C964" s="78" t="n"/>
      <c r="D964" s="81" t="n"/>
      <c r="E964" s="81" t="n"/>
      <c r="F964" s="78" t="n"/>
      <c r="G964" s="67">
        <f>IF($F964="","",IFERROR(INDEX(Employee_Master!$C$5:$C$204,MATCH($F964,Employee_Master!$B$5:$B$204,0)),""))</f>
        <v/>
      </c>
      <c r="H964" s="78" t="n"/>
      <c r="I964" s="78" t="n"/>
      <c r="J964" s="67">
        <f>IF($I964="","",IFERROR(INDEX(Action_Status_Map!$B$5:$B$11,MATCH($I964,Action_Status_Map!$A$5:$A$11,0)),""))</f>
        <v/>
      </c>
      <c r="K964" s="82" t="n"/>
      <c r="L964" s="82" t="n"/>
      <c r="M964" s="82" t="n"/>
      <c r="N964" s="83" t="n"/>
      <c r="O964" s="83" t="n"/>
      <c r="P964" s="66">
        <f>IF(OR($N964="",$O964=""),"",$O964-$N964)</f>
        <v/>
      </c>
      <c r="Q964" s="84">
        <f>IF($K964="","",IF($M964&lt;&gt;"",$M964-$K964,TODAY()-$K964))</f>
        <v/>
      </c>
      <c r="R964" s="85">
        <f>IF(OR($L964="",$I964="Completed",$I964="Cancelled"),"",IF(AND($L964&lt;TODAY(),$I964&lt;&gt;"Completed",$I964&lt;&gt;"Cancelled"),"Overdue","On Track"))</f>
        <v/>
      </c>
      <c r="S964" s="65">
        <f>IF($L964="","",TEXT($L964,"yyyy-mm"))</f>
        <v/>
      </c>
      <c r="T964" s="86">
        <f>IF($I964="","",IFERROR(INDEX(Action_Status_Map!$C$5:$C$11,MATCH($I964,Action_Status_Map!$A$5:$A$11,0)),""))</f>
        <v/>
      </c>
      <c r="U964" s="81" t="n"/>
      <c r="V964" s="82" t="n"/>
      <c r="W964" s="65">
        <f>IF(OR($I964&lt;&gt;"Completed",$M964="",$L964=""),"",IF($M964&lt;=$L964,"Yes","No"))</f>
        <v/>
      </c>
      <c r="X964" s="84">
        <f>IF($A964="","",COUNTIF(Task_Steps!$B$5:$B$2004,$A964))</f>
        <v/>
      </c>
      <c r="Y964" s="86">
        <f>IF($X964=0,"",COUNTIFS(Task_Steps!$B$5:$B$2004,$A964,Task_Steps!$H$5:$H$2004,"Completed")/$X964)</f>
        <v/>
      </c>
      <c r="Z964" s="81" t="n"/>
      <c r="AA964" s="81" t="n"/>
      <c r="AB964" s="67">
        <f>IF($F964="","",IFERROR(INDEX(Employee_Master!$E$5:$E$204,MATCH($F964,Employee_Master!$B$5:$B$204,0)),""))</f>
        <v/>
      </c>
      <c r="AC964" s="65">
        <f>IF(OR($A964="",$AB964=""),"",IF(OR($I964="Completed",$I964="Cancelled"),"Closed - in Manager Report","Active - in Manager Report"))</f>
        <v/>
      </c>
      <c r="AD964" s="81">
        <f>IF($A964="","",IFERROR(TEXTJOIN(", ",TRUE,FILTER(Task_Steps!$A$5:$A$2004,Task_Steps!$B$5:$B$2004=$A964)),""))</f>
        <v/>
      </c>
      <c r="AE964" s="84">
        <f>IF($A964="","",COUNTIFS(Task_Steps!$B$5:$B$2004,$A964,Task_Steps!$H$5:$H$2004,"&lt;&gt;Completed",Task_Steps!$H$5:$H$2004,"&lt;&gt;Cancelled"))</f>
        <v/>
      </c>
      <c r="AF964" s="81">
        <f>IF(OR($B964="",$A964=""),"",$B964&amp;" | "&amp;$A964)</f>
        <v/>
      </c>
    </row>
    <row r="965" ht="15" customHeight="1" s="40">
      <c r="A965" s="65">
        <f>IF(COUNTA(B965:F965)=0,"","TSK-"&amp;TEXT(ROW()-4,"0000"))</f>
        <v/>
      </c>
      <c r="B965" s="78" t="n"/>
      <c r="C965" s="78" t="n"/>
      <c r="D965" s="81" t="n"/>
      <c r="E965" s="81" t="n"/>
      <c r="F965" s="78" t="n"/>
      <c r="G965" s="67">
        <f>IF($F965="","",IFERROR(INDEX(Employee_Master!$C$5:$C$204,MATCH($F965,Employee_Master!$B$5:$B$204,0)),""))</f>
        <v/>
      </c>
      <c r="H965" s="78" t="n"/>
      <c r="I965" s="78" t="n"/>
      <c r="J965" s="67">
        <f>IF($I965="","",IFERROR(INDEX(Action_Status_Map!$B$5:$B$11,MATCH($I965,Action_Status_Map!$A$5:$A$11,0)),""))</f>
        <v/>
      </c>
      <c r="K965" s="82" t="n"/>
      <c r="L965" s="82" t="n"/>
      <c r="M965" s="82" t="n"/>
      <c r="N965" s="83" t="n"/>
      <c r="O965" s="83" t="n"/>
      <c r="P965" s="66">
        <f>IF(OR($N965="",$O965=""),"",$O965-$N965)</f>
        <v/>
      </c>
      <c r="Q965" s="84">
        <f>IF($K965="","",IF($M965&lt;&gt;"",$M965-$K965,TODAY()-$K965))</f>
        <v/>
      </c>
      <c r="R965" s="85">
        <f>IF(OR($L965="",$I965="Completed",$I965="Cancelled"),"",IF(AND($L965&lt;TODAY(),$I965&lt;&gt;"Completed",$I965&lt;&gt;"Cancelled"),"Overdue","On Track"))</f>
        <v/>
      </c>
      <c r="S965" s="65">
        <f>IF($L965="","",TEXT($L965,"yyyy-mm"))</f>
        <v/>
      </c>
      <c r="T965" s="86">
        <f>IF($I965="","",IFERROR(INDEX(Action_Status_Map!$C$5:$C$11,MATCH($I965,Action_Status_Map!$A$5:$A$11,0)),""))</f>
        <v/>
      </c>
      <c r="U965" s="81" t="n"/>
      <c r="V965" s="82" t="n"/>
      <c r="W965" s="65">
        <f>IF(OR($I965&lt;&gt;"Completed",$M965="",$L965=""),"",IF($M965&lt;=$L965,"Yes","No"))</f>
        <v/>
      </c>
      <c r="X965" s="84">
        <f>IF($A965="","",COUNTIF(Task_Steps!$B$5:$B$2004,$A965))</f>
        <v/>
      </c>
      <c r="Y965" s="86">
        <f>IF($X965=0,"",COUNTIFS(Task_Steps!$B$5:$B$2004,$A965,Task_Steps!$H$5:$H$2004,"Completed")/$X965)</f>
        <v/>
      </c>
      <c r="Z965" s="81" t="n"/>
      <c r="AA965" s="81" t="n"/>
      <c r="AB965" s="67">
        <f>IF($F965="","",IFERROR(INDEX(Employee_Master!$E$5:$E$204,MATCH($F965,Employee_Master!$B$5:$B$204,0)),""))</f>
        <v/>
      </c>
      <c r="AC965" s="65">
        <f>IF(OR($A965="",$AB965=""),"",IF(OR($I965="Completed",$I965="Cancelled"),"Closed - in Manager Report","Active - in Manager Report"))</f>
        <v/>
      </c>
      <c r="AD965" s="81">
        <f>IF($A965="","",IFERROR(TEXTJOIN(", ",TRUE,FILTER(Task_Steps!$A$5:$A$2004,Task_Steps!$B$5:$B$2004=$A965)),""))</f>
        <v/>
      </c>
      <c r="AE965" s="84">
        <f>IF($A965="","",COUNTIFS(Task_Steps!$B$5:$B$2004,$A965,Task_Steps!$H$5:$H$2004,"&lt;&gt;Completed",Task_Steps!$H$5:$H$2004,"&lt;&gt;Cancelled"))</f>
        <v/>
      </c>
      <c r="AF965" s="81">
        <f>IF(OR($B965="",$A965=""),"",$B965&amp;" | "&amp;$A965)</f>
        <v/>
      </c>
    </row>
    <row r="966" ht="15" customHeight="1" s="40">
      <c r="A966" s="65">
        <f>IF(COUNTA(B966:F966)=0,"","TSK-"&amp;TEXT(ROW()-4,"0000"))</f>
        <v/>
      </c>
      <c r="B966" s="78" t="n"/>
      <c r="C966" s="78" t="n"/>
      <c r="D966" s="81" t="n"/>
      <c r="E966" s="81" t="n"/>
      <c r="F966" s="78" t="n"/>
      <c r="G966" s="67">
        <f>IF($F966="","",IFERROR(INDEX(Employee_Master!$C$5:$C$204,MATCH($F966,Employee_Master!$B$5:$B$204,0)),""))</f>
        <v/>
      </c>
      <c r="H966" s="78" t="n"/>
      <c r="I966" s="78" t="n"/>
      <c r="J966" s="67">
        <f>IF($I966="","",IFERROR(INDEX(Action_Status_Map!$B$5:$B$11,MATCH($I966,Action_Status_Map!$A$5:$A$11,0)),""))</f>
        <v/>
      </c>
      <c r="K966" s="82" t="n"/>
      <c r="L966" s="82" t="n"/>
      <c r="M966" s="82" t="n"/>
      <c r="N966" s="83" t="n"/>
      <c r="O966" s="83" t="n"/>
      <c r="P966" s="66">
        <f>IF(OR($N966="",$O966=""),"",$O966-$N966)</f>
        <v/>
      </c>
      <c r="Q966" s="84">
        <f>IF($K966="","",IF($M966&lt;&gt;"",$M966-$K966,TODAY()-$K966))</f>
        <v/>
      </c>
      <c r="R966" s="85">
        <f>IF(OR($L966="",$I966="Completed",$I966="Cancelled"),"",IF(AND($L966&lt;TODAY(),$I966&lt;&gt;"Completed",$I966&lt;&gt;"Cancelled"),"Overdue","On Track"))</f>
        <v/>
      </c>
      <c r="S966" s="65">
        <f>IF($L966="","",TEXT($L966,"yyyy-mm"))</f>
        <v/>
      </c>
      <c r="T966" s="86">
        <f>IF($I966="","",IFERROR(INDEX(Action_Status_Map!$C$5:$C$11,MATCH($I966,Action_Status_Map!$A$5:$A$11,0)),""))</f>
        <v/>
      </c>
      <c r="U966" s="81" t="n"/>
      <c r="V966" s="82" t="n"/>
      <c r="W966" s="65">
        <f>IF(OR($I966&lt;&gt;"Completed",$M966="",$L966=""),"",IF($M966&lt;=$L966,"Yes","No"))</f>
        <v/>
      </c>
      <c r="X966" s="84">
        <f>IF($A966="","",COUNTIF(Task_Steps!$B$5:$B$2004,$A966))</f>
        <v/>
      </c>
      <c r="Y966" s="86">
        <f>IF($X966=0,"",COUNTIFS(Task_Steps!$B$5:$B$2004,$A966,Task_Steps!$H$5:$H$2004,"Completed")/$X966)</f>
        <v/>
      </c>
      <c r="Z966" s="81" t="n"/>
      <c r="AA966" s="81" t="n"/>
      <c r="AB966" s="67">
        <f>IF($F966="","",IFERROR(INDEX(Employee_Master!$E$5:$E$204,MATCH($F966,Employee_Master!$B$5:$B$204,0)),""))</f>
        <v/>
      </c>
      <c r="AC966" s="65">
        <f>IF(OR($A966="",$AB966=""),"",IF(OR($I966="Completed",$I966="Cancelled"),"Closed - in Manager Report","Active - in Manager Report"))</f>
        <v/>
      </c>
      <c r="AD966" s="81">
        <f>IF($A966="","",IFERROR(TEXTJOIN(", ",TRUE,FILTER(Task_Steps!$A$5:$A$2004,Task_Steps!$B$5:$B$2004=$A966)),""))</f>
        <v/>
      </c>
      <c r="AE966" s="84">
        <f>IF($A966="","",COUNTIFS(Task_Steps!$B$5:$B$2004,$A966,Task_Steps!$H$5:$H$2004,"&lt;&gt;Completed",Task_Steps!$H$5:$H$2004,"&lt;&gt;Cancelled"))</f>
        <v/>
      </c>
      <c r="AF966" s="81">
        <f>IF(OR($B966="",$A966=""),"",$B966&amp;" | "&amp;$A966)</f>
        <v/>
      </c>
    </row>
    <row r="967" ht="15" customHeight="1" s="40">
      <c r="A967" s="65">
        <f>IF(COUNTA(B967:F967)=0,"","TSK-"&amp;TEXT(ROW()-4,"0000"))</f>
        <v/>
      </c>
      <c r="B967" s="78" t="n"/>
      <c r="C967" s="78" t="n"/>
      <c r="D967" s="81" t="n"/>
      <c r="E967" s="81" t="n"/>
      <c r="F967" s="78" t="n"/>
      <c r="G967" s="67">
        <f>IF($F967="","",IFERROR(INDEX(Employee_Master!$C$5:$C$204,MATCH($F967,Employee_Master!$B$5:$B$204,0)),""))</f>
        <v/>
      </c>
      <c r="H967" s="78" t="n"/>
      <c r="I967" s="78" t="n"/>
      <c r="J967" s="67">
        <f>IF($I967="","",IFERROR(INDEX(Action_Status_Map!$B$5:$B$11,MATCH($I967,Action_Status_Map!$A$5:$A$11,0)),""))</f>
        <v/>
      </c>
      <c r="K967" s="82" t="n"/>
      <c r="L967" s="82" t="n"/>
      <c r="M967" s="82" t="n"/>
      <c r="N967" s="83" t="n"/>
      <c r="O967" s="83" t="n"/>
      <c r="P967" s="66">
        <f>IF(OR($N967="",$O967=""),"",$O967-$N967)</f>
        <v/>
      </c>
      <c r="Q967" s="84">
        <f>IF($K967="","",IF($M967&lt;&gt;"",$M967-$K967,TODAY()-$K967))</f>
        <v/>
      </c>
      <c r="R967" s="85">
        <f>IF(OR($L967="",$I967="Completed",$I967="Cancelled"),"",IF(AND($L967&lt;TODAY(),$I967&lt;&gt;"Completed",$I967&lt;&gt;"Cancelled"),"Overdue","On Track"))</f>
        <v/>
      </c>
      <c r="S967" s="65">
        <f>IF($L967="","",TEXT($L967,"yyyy-mm"))</f>
        <v/>
      </c>
      <c r="T967" s="86">
        <f>IF($I967="","",IFERROR(INDEX(Action_Status_Map!$C$5:$C$11,MATCH($I967,Action_Status_Map!$A$5:$A$11,0)),""))</f>
        <v/>
      </c>
      <c r="U967" s="81" t="n"/>
      <c r="V967" s="82" t="n"/>
      <c r="W967" s="65">
        <f>IF(OR($I967&lt;&gt;"Completed",$M967="",$L967=""),"",IF($M967&lt;=$L967,"Yes","No"))</f>
        <v/>
      </c>
      <c r="X967" s="84">
        <f>IF($A967="","",COUNTIF(Task_Steps!$B$5:$B$2004,$A967))</f>
        <v/>
      </c>
      <c r="Y967" s="86">
        <f>IF($X967=0,"",COUNTIFS(Task_Steps!$B$5:$B$2004,$A967,Task_Steps!$H$5:$H$2004,"Completed")/$X967)</f>
        <v/>
      </c>
      <c r="Z967" s="81" t="n"/>
      <c r="AA967" s="81" t="n"/>
      <c r="AB967" s="67">
        <f>IF($F967="","",IFERROR(INDEX(Employee_Master!$E$5:$E$204,MATCH($F967,Employee_Master!$B$5:$B$204,0)),""))</f>
        <v/>
      </c>
      <c r="AC967" s="65">
        <f>IF(OR($A967="",$AB967=""),"",IF(OR($I967="Completed",$I967="Cancelled"),"Closed - in Manager Report","Active - in Manager Report"))</f>
        <v/>
      </c>
      <c r="AD967" s="81">
        <f>IF($A967="","",IFERROR(TEXTJOIN(", ",TRUE,FILTER(Task_Steps!$A$5:$A$2004,Task_Steps!$B$5:$B$2004=$A967)),""))</f>
        <v/>
      </c>
      <c r="AE967" s="84">
        <f>IF($A967="","",COUNTIFS(Task_Steps!$B$5:$B$2004,$A967,Task_Steps!$H$5:$H$2004,"&lt;&gt;Completed",Task_Steps!$H$5:$H$2004,"&lt;&gt;Cancelled"))</f>
        <v/>
      </c>
      <c r="AF967" s="81">
        <f>IF(OR($B967="",$A967=""),"",$B967&amp;" | "&amp;$A967)</f>
        <v/>
      </c>
    </row>
    <row r="968" ht="15" customHeight="1" s="40">
      <c r="A968" s="65">
        <f>IF(COUNTA(B968:F968)=0,"","TSK-"&amp;TEXT(ROW()-4,"0000"))</f>
        <v/>
      </c>
      <c r="B968" s="78" t="n"/>
      <c r="C968" s="78" t="n"/>
      <c r="D968" s="81" t="n"/>
      <c r="E968" s="81" t="n"/>
      <c r="F968" s="78" t="n"/>
      <c r="G968" s="67">
        <f>IF($F968="","",IFERROR(INDEX(Employee_Master!$C$5:$C$204,MATCH($F968,Employee_Master!$B$5:$B$204,0)),""))</f>
        <v/>
      </c>
      <c r="H968" s="78" t="n"/>
      <c r="I968" s="78" t="n"/>
      <c r="J968" s="67">
        <f>IF($I968="","",IFERROR(INDEX(Action_Status_Map!$B$5:$B$11,MATCH($I968,Action_Status_Map!$A$5:$A$11,0)),""))</f>
        <v/>
      </c>
      <c r="K968" s="82" t="n"/>
      <c r="L968" s="82" t="n"/>
      <c r="M968" s="82" t="n"/>
      <c r="N968" s="83" t="n"/>
      <c r="O968" s="83" t="n"/>
      <c r="P968" s="66">
        <f>IF(OR($N968="",$O968=""),"",$O968-$N968)</f>
        <v/>
      </c>
      <c r="Q968" s="84">
        <f>IF($K968="","",IF($M968&lt;&gt;"",$M968-$K968,TODAY()-$K968))</f>
        <v/>
      </c>
      <c r="R968" s="85">
        <f>IF(OR($L968="",$I968="Completed",$I968="Cancelled"),"",IF(AND($L968&lt;TODAY(),$I968&lt;&gt;"Completed",$I968&lt;&gt;"Cancelled"),"Overdue","On Track"))</f>
        <v/>
      </c>
      <c r="S968" s="65">
        <f>IF($L968="","",TEXT($L968,"yyyy-mm"))</f>
        <v/>
      </c>
      <c r="T968" s="86">
        <f>IF($I968="","",IFERROR(INDEX(Action_Status_Map!$C$5:$C$11,MATCH($I968,Action_Status_Map!$A$5:$A$11,0)),""))</f>
        <v/>
      </c>
      <c r="U968" s="81" t="n"/>
      <c r="V968" s="82" t="n"/>
      <c r="W968" s="65">
        <f>IF(OR($I968&lt;&gt;"Completed",$M968="",$L968=""),"",IF($M968&lt;=$L968,"Yes","No"))</f>
        <v/>
      </c>
      <c r="X968" s="84">
        <f>IF($A968="","",COUNTIF(Task_Steps!$B$5:$B$2004,$A968))</f>
        <v/>
      </c>
      <c r="Y968" s="86">
        <f>IF($X968=0,"",COUNTIFS(Task_Steps!$B$5:$B$2004,$A968,Task_Steps!$H$5:$H$2004,"Completed")/$X968)</f>
        <v/>
      </c>
      <c r="Z968" s="81" t="n"/>
      <c r="AA968" s="81" t="n"/>
      <c r="AB968" s="67">
        <f>IF($F968="","",IFERROR(INDEX(Employee_Master!$E$5:$E$204,MATCH($F968,Employee_Master!$B$5:$B$204,0)),""))</f>
        <v/>
      </c>
      <c r="AC968" s="65">
        <f>IF(OR($A968="",$AB968=""),"",IF(OR($I968="Completed",$I968="Cancelled"),"Closed - in Manager Report","Active - in Manager Report"))</f>
        <v/>
      </c>
      <c r="AD968" s="81">
        <f>IF($A968="","",IFERROR(TEXTJOIN(", ",TRUE,FILTER(Task_Steps!$A$5:$A$2004,Task_Steps!$B$5:$B$2004=$A968)),""))</f>
        <v/>
      </c>
      <c r="AE968" s="84">
        <f>IF($A968="","",COUNTIFS(Task_Steps!$B$5:$B$2004,$A968,Task_Steps!$H$5:$H$2004,"&lt;&gt;Completed",Task_Steps!$H$5:$H$2004,"&lt;&gt;Cancelled"))</f>
        <v/>
      </c>
      <c r="AF968" s="81">
        <f>IF(OR($B968="",$A968=""),"",$B968&amp;" | "&amp;$A968)</f>
        <v/>
      </c>
    </row>
    <row r="969" ht="15" customHeight="1" s="40">
      <c r="A969" s="65">
        <f>IF(COUNTA(B969:F969)=0,"","TSK-"&amp;TEXT(ROW()-4,"0000"))</f>
        <v/>
      </c>
      <c r="B969" s="78" t="n"/>
      <c r="C969" s="78" t="n"/>
      <c r="D969" s="81" t="n"/>
      <c r="E969" s="81" t="n"/>
      <c r="F969" s="78" t="n"/>
      <c r="G969" s="67">
        <f>IF($F969="","",IFERROR(INDEX(Employee_Master!$C$5:$C$204,MATCH($F969,Employee_Master!$B$5:$B$204,0)),""))</f>
        <v/>
      </c>
      <c r="H969" s="78" t="n"/>
      <c r="I969" s="78" t="n"/>
      <c r="J969" s="67">
        <f>IF($I969="","",IFERROR(INDEX(Action_Status_Map!$B$5:$B$11,MATCH($I969,Action_Status_Map!$A$5:$A$11,0)),""))</f>
        <v/>
      </c>
      <c r="K969" s="82" t="n"/>
      <c r="L969" s="82" t="n"/>
      <c r="M969" s="82" t="n"/>
      <c r="N969" s="83" t="n"/>
      <c r="O969" s="83" t="n"/>
      <c r="P969" s="66">
        <f>IF(OR($N969="",$O969=""),"",$O969-$N969)</f>
        <v/>
      </c>
      <c r="Q969" s="84">
        <f>IF($K969="","",IF($M969&lt;&gt;"",$M969-$K969,TODAY()-$K969))</f>
        <v/>
      </c>
      <c r="R969" s="85">
        <f>IF(OR($L969="",$I969="Completed",$I969="Cancelled"),"",IF(AND($L969&lt;TODAY(),$I969&lt;&gt;"Completed",$I969&lt;&gt;"Cancelled"),"Overdue","On Track"))</f>
        <v/>
      </c>
      <c r="S969" s="65">
        <f>IF($L969="","",TEXT($L969,"yyyy-mm"))</f>
        <v/>
      </c>
      <c r="T969" s="86">
        <f>IF($I969="","",IFERROR(INDEX(Action_Status_Map!$C$5:$C$11,MATCH($I969,Action_Status_Map!$A$5:$A$11,0)),""))</f>
        <v/>
      </c>
      <c r="U969" s="81" t="n"/>
      <c r="V969" s="82" t="n"/>
      <c r="W969" s="65">
        <f>IF(OR($I969&lt;&gt;"Completed",$M969="",$L969=""),"",IF($M969&lt;=$L969,"Yes","No"))</f>
        <v/>
      </c>
      <c r="X969" s="84">
        <f>IF($A969="","",COUNTIF(Task_Steps!$B$5:$B$2004,$A969))</f>
        <v/>
      </c>
      <c r="Y969" s="86">
        <f>IF($X969=0,"",COUNTIFS(Task_Steps!$B$5:$B$2004,$A969,Task_Steps!$H$5:$H$2004,"Completed")/$X969)</f>
        <v/>
      </c>
      <c r="Z969" s="81" t="n"/>
      <c r="AA969" s="81" t="n"/>
      <c r="AB969" s="67">
        <f>IF($F969="","",IFERROR(INDEX(Employee_Master!$E$5:$E$204,MATCH($F969,Employee_Master!$B$5:$B$204,0)),""))</f>
        <v/>
      </c>
      <c r="AC969" s="65">
        <f>IF(OR($A969="",$AB969=""),"",IF(OR($I969="Completed",$I969="Cancelled"),"Closed - in Manager Report","Active - in Manager Report"))</f>
        <v/>
      </c>
      <c r="AD969" s="81">
        <f>IF($A969="","",IFERROR(TEXTJOIN(", ",TRUE,FILTER(Task_Steps!$A$5:$A$2004,Task_Steps!$B$5:$B$2004=$A969)),""))</f>
        <v/>
      </c>
      <c r="AE969" s="84">
        <f>IF($A969="","",COUNTIFS(Task_Steps!$B$5:$B$2004,$A969,Task_Steps!$H$5:$H$2004,"&lt;&gt;Completed",Task_Steps!$H$5:$H$2004,"&lt;&gt;Cancelled"))</f>
        <v/>
      </c>
      <c r="AF969" s="81">
        <f>IF(OR($B969="",$A969=""),"",$B969&amp;" | "&amp;$A969)</f>
        <v/>
      </c>
    </row>
    <row r="970" ht="15" customHeight="1" s="40">
      <c r="A970" s="65">
        <f>IF(COUNTA(B970:F970)=0,"","TSK-"&amp;TEXT(ROW()-4,"0000"))</f>
        <v/>
      </c>
      <c r="B970" s="78" t="n"/>
      <c r="C970" s="78" t="n"/>
      <c r="D970" s="81" t="n"/>
      <c r="E970" s="81" t="n"/>
      <c r="F970" s="78" t="n"/>
      <c r="G970" s="67">
        <f>IF($F970="","",IFERROR(INDEX(Employee_Master!$C$5:$C$204,MATCH($F970,Employee_Master!$B$5:$B$204,0)),""))</f>
        <v/>
      </c>
      <c r="H970" s="78" t="n"/>
      <c r="I970" s="78" t="n"/>
      <c r="J970" s="67">
        <f>IF($I970="","",IFERROR(INDEX(Action_Status_Map!$B$5:$B$11,MATCH($I970,Action_Status_Map!$A$5:$A$11,0)),""))</f>
        <v/>
      </c>
      <c r="K970" s="82" t="n"/>
      <c r="L970" s="82" t="n"/>
      <c r="M970" s="82" t="n"/>
      <c r="N970" s="83" t="n"/>
      <c r="O970" s="83" t="n"/>
      <c r="P970" s="66">
        <f>IF(OR($N970="",$O970=""),"",$O970-$N970)</f>
        <v/>
      </c>
      <c r="Q970" s="84">
        <f>IF($K970="","",IF($M970&lt;&gt;"",$M970-$K970,TODAY()-$K970))</f>
        <v/>
      </c>
      <c r="R970" s="85">
        <f>IF(OR($L970="",$I970="Completed",$I970="Cancelled"),"",IF(AND($L970&lt;TODAY(),$I970&lt;&gt;"Completed",$I970&lt;&gt;"Cancelled"),"Overdue","On Track"))</f>
        <v/>
      </c>
      <c r="S970" s="65">
        <f>IF($L970="","",TEXT($L970,"yyyy-mm"))</f>
        <v/>
      </c>
      <c r="T970" s="86">
        <f>IF($I970="","",IFERROR(INDEX(Action_Status_Map!$C$5:$C$11,MATCH($I970,Action_Status_Map!$A$5:$A$11,0)),""))</f>
        <v/>
      </c>
      <c r="U970" s="81" t="n"/>
      <c r="V970" s="82" t="n"/>
      <c r="W970" s="65">
        <f>IF(OR($I970&lt;&gt;"Completed",$M970="",$L970=""),"",IF($M970&lt;=$L970,"Yes","No"))</f>
        <v/>
      </c>
      <c r="X970" s="84">
        <f>IF($A970="","",COUNTIF(Task_Steps!$B$5:$B$2004,$A970))</f>
        <v/>
      </c>
      <c r="Y970" s="86">
        <f>IF($X970=0,"",COUNTIFS(Task_Steps!$B$5:$B$2004,$A970,Task_Steps!$H$5:$H$2004,"Completed")/$X970)</f>
        <v/>
      </c>
      <c r="Z970" s="81" t="n"/>
      <c r="AA970" s="81" t="n"/>
      <c r="AB970" s="67">
        <f>IF($F970="","",IFERROR(INDEX(Employee_Master!$E$5:$E$204,MATCH($F970,Employee_Master!$B$5:$B$204,0)),""))</f>
        <v/>
      </c>
      <c r="AC970" s="65">
        <f>IF(OR($A970="",$AB970=""),"",IF(OR($I970="Completed",$I970="Cancelled"),"Closed - in Manager Report","Active - in Manager Report"))</f>
        <v/>
      </c>
      <c r="AD970" s="81">
        <f>IF($A970="","",IFERROR(TEXTJOIN(", ",TRUE,FILTER(Task_Steps!$A$5:$A$2004,Task_Steps!$B$5:$B$2004=$A970)),""))</f>
        <v/>
      </c>
      <c r="AE970" s="84">
        <f>IF($A970="","",COUNTIFS(Task_Steps!$B$5:$B$2004,$A970,Task_Steps!$H$5:$H$2004,"&lt;&gt;Completed",Task_Steps!$H$5:$H$2004,"&lt;&gt;Cancelled"))</f>
        <v/>
      </c>
      <c r="AF970" s="81">
        <f>IF(OR($B970="",$A970=""),"",$B970&amp;" | "&amp;$A970)</f>
        <v/>
      </c>
    </row>
    <row r="971" ht="15" customHeight="1" s="40">
      <c r="A971" s="65">
        <f>IF(COUNTA(B971:F971)=0,"","TSK-"&amp;TEXT(ROW()-4,"0000"))</f>
        <v/>
      </c>
      <c r="B971" s="78" t="n"/>
      <c r="C971" s="78" t="n"/>
      <c r="D971" s="81" t="n"/>
      <c r="E971" s="81" t="n"/>
      <c r="F971" s="78" t="n"/>
      <c r="G971" s="67">
        <f>IF($F971="","",IFERROR(INDEX(Employee_Master!$C$5:$C$204,MATCH($F971,Employee_Master!$B$5:$B$204,0)),""))</f>
        <v/>
      </c>
      <c r="H971" s="78" t="n"/>
      <c r="I971" s="78" t="n"/>
      <c r="J971" s="67">
        <f>IF($I971="","",IFERROR(INDEX(Action_Status_Map!$B$5:$B$11,MATCH($I971,Action_Status_Map!$A$5:$A$11,0)),""))</f>
        <v/>
      </c>
      <c r="K971" s="82" t="n"/>
      <c r="L971" s="82" t="n"/>
      <c r="M971" s="82" t="n"/>
      <c r="N971" s="83" t="n"/>
      <c r="O971" s="83" t="n"/>
      <c r="P971" s="66">
        <f>IF(OR($N971="",$O971=""),"",$O971-$N971)</f>
        <v/>
      </c>
      <c r="Q971" s="84">
        <f>IF($K971="","",IF($M971&lt;&gt;"",$M971-$K971,TODAY()-$K971))</f>
        <v/>
      </c>
      <c r="R971" s="85">
        <f>IF(OR($L971="",$I971="Completed",$I971="Cancelled"),"",IF(AND($L971&lt;TODAY(),$I971&lt;&gt;"Completed",$I971&lt;&gt;"Cancelled"),"Overdue","On Track"))</f>
        <v/>
      </c>
      <c r="S971" s="65">
        <f>IF($L971="","",TEXT($L971,"yyyy-mm"))</f>
        <v/>
      </c>
      <c r="T971" s="86">
        <f>IF($I971="","",IFERROR(INDEX(Action_Status_Map!$C$5:$C$11,MATCH($I971,Action_Status_Map!$A$5:$A$11,0)),""))</f>
        <v/>
      </c>
      <c r="U971" s="81" t="n"/>
      <c r="V971" s="82" t="n"/>
      <c r="W971" s="65">
        <f>IF(OR($I971&lt;&gt;"Completed",$M971="",$L971=""),"",IF($M971&lt;=$L971,"Yes","No"))</f>
        <v/>
      </c>
      <c r="X971" s="84">
        <f>IF($A971="","",COUNTIF(Task_Steps!$B$5:$B$2004,$A971))</f>
        <v/>
      </c>
      <c r="Y971" s="86">
        <f>IF($X971=0,"",COUNTIFS(Task_Steps!$B$5:$B$2004,$A971,Task_Steps!$H$5:$H$2004,"Completed")/$X971)</f>
        <v/>
      </c>
      <c r="Z971" s="81" t="n"/>
      <c r="AA971" s="81" t="n"/>
      <c r="AB971" s="67">
        <f>IF($F971="","",IFERROR(INDEX(Employee_Master!$E$5:$E$204,MATCH($F971,Employee_Master!$B$5:$B$204,0)),""))</f>
        <v/>
      </c>
      <c r="AC971" s="65">
        <f>IF(OR($A971="",$AB971=""),"",IF(OR($I971="Completed",$I971="Cancelled"),"Closed - in Manager Report","Active - in Manager Report"))</f>
        <v/>
      </c>
      <c r="AD971" s="81">
        <f>IF($A971="","",IFERROR(TEXTJOIN(", ",TRUE,FILTER(Task_Steps!$A$5:$A$2004,Task_Steps!$B$5:$B$2004=$A971)),""))</f>
        <v/>
      </c>
      <c r="AE971" s="84">
        <f>IF($A971="","",COUNTIFS(Task_Steps!$B$5:$B$2004,$A971,Task_Steps!$H$5:$H$2004,"&lt;&gt;Completed",Task_Steps!$H$5:$H$2004,"&lt;&gt;Cancelled"))</f>
        <v/>
      </c>
      <c r="AF971" s="81">
        <f>IF(OR($B971="",$A971=""),"",$B971&amp;" | "&amp;$A971)</f>
        <v/>
      </c>
    </row>
    <row r="972" ht="15" customHeight="1" s="40">
      <c r="A972" s="65">
        <f>IF(COUNTA(B972:F972)=0,"","TSK-"&amp;TEXT(ROW()-4,"0000"))</f>
        <v/>
      </c>
      <c r="B972" s="78" t="n"/>
      <c r="C972" s="78" t="n"/>
      <c r="D972" s="81" t="n"/>
      <c r="E972" s="81" t="n"/>
      <c r="F972" s="78" t="n"/>
      <c r="G972" s="67">
        <f>IF($F972="","",IFERROR(INDEX(Employee_Master!$C$5:$C$204,MATCH($F972,Employee_Master!$B$5:$B$204,0)),""))</f>
        <v/>
      </c>
      <c r="H972" s="78" t="n"/>
      <c r="I972" s="78" t="n"/>
      <c r="J972" s="67">
        <f>IF($I972="","",IFERROR(INDEX(Action_Status_Map!$B$5:$B$11,MATCH($I972,Action_Status_Map!$A$5:$A$11,0)),""))</f>
        <v/>
      </c>
      <c r="K972" s="82" t="n"/>
      <c r="L972" s="82" t="n"/>
      <c r="M972" s="82" t="n"/>
      <c r="N972" s="83" t="n"/>
      <c r="O972" s="83" t="n"/>
      <c r="P972" s="66">
        <f>IF(OR($N972="",$O972=""),"",$O972-$N972)</f>
        <v/>
      </c>
      <c r="Q972" s="84">
        <f>IF($K972="","",IF($M972&lt;&gt;"",$M972-$K972,TODAY()-$K972))</f>
        <v/>
      </c>
      <c r="R972" s="85">
        <f>IF(OR($L972="",$I972="Completed",$I972="Cancelled"),"",IF(AND($L972&lt;TODAY(),$I972&lt;&gt;"Completed",$I972&lt;&gt;"Cancelled"),"Overdue","On Track"))</f>
        <v/>
      </c>
      <c r="S972" s="65">
        <f>IF($L972="","",TEXT($L972,"yyyy-mm"))</f>
        <v/>
      </c>
      <c r="T972" s="86">
        <f>IF($I972="","",IFERROR(INDEX(Action_Status_Map!$C$5:$C$11,MATCH($I972,Action_Status_Map!$A$5:$A$11,0)),""))</f>
        <v/>
      </c>
      <c r="U972" s="81" t="n"/>
      <c r="V972" s="82" t="n"/>
      <c r="W972" s="65">
        <f>IF(OR($I972&lt;&gt;"Completed",$M972="",$L972=""),"",IF($M972&lt;=$L972,"Yes","No"))</f>
        <v/>
      </c>
      <c r="X972" s="84">
        <f>IF($A972="","",COUNTIF(Task_Steps!$B$5:$B$2004,$A972))</f>
        <v/>
      </c>
      <c r="Y972" s="86">
        <f>IF($X972=0,"",COUNTIFS(Task_Steps!$B$5:$B$2004,$A972,Task_Steps!$H$5:$H$2004,"Completed")/$X972)</f>
        <v/>
      </c>
      <c r="Z972" s="81" t="n"/>
      <c r="AA972" s="81" t="n"/>
      <c r="AB972" s="67">
        <f>IF($F972="","",IFERROR(INDEX(Employee_Master!$E$5:$E$204,MATCH($F972,Employee_Master!$B$5:$B$204,0)),""))</f>
        <v/>
      </c>
      <c r="AC972" s="65">
        <f>IF(OR($A972="",$AB972=""),"",IF(OR($I972="Completed",$I972="Cancelled"),"Closed - in Manager Report","Active - in Manager Report"))</f>
        <v/>
      </c>
      <c r="AD972" s="81">
        <f>IF($A972="","",IFERROR(TEXTJOIN(", ",TRUE,FILTER(Task_Steps!$A$5:$A$2004,Task_Steps!$B$5:$B$2004=$A972)),""))</f>
        <v/>
      </c>
      <c r="AE972" s="84">
        <f>IF($A972="","",COUNTIFS(Task_Steps!$B$5:$B$2004,$A972,Task_Steps!$H$5:$H$2004,"&lt;&gt;Completed",Task_Steps!$H$5:$H$2004,"&lt;&gt;Cancelled"))</f>
        <v/>
      </c>
      <c r="AF972" s="81">
        <f>IF(OR($B972="",$A972=""),"",$B972&amp;" | "&amp;$A972)</f>
        <v/>
      </c>
    </row>
    <row r="973" ht="15" customHeight="1" s="40">
      <c r="A973" s="65">
        <f>IF(COUNTA(B973:F973)=0,"","TSK-"&amp;TEXT(ROW()-4,"0000"))</f>
        <v/>
      </c>
      <c r="B973" s="78" t="n"/>
      <c r="C973" s="78" t="n"/>
      <c r="D973" s="81" t="n"/>
      <c r="E973" s="81" t="n"/>
      <c r="F973" s="78" t="n"/>
      <c r="G973" s="67">
        <f>IF($F973="","",IFERROR(INDEX(Employee_Master!$C$5:$C$204,MATCH($F973,Employee_Master!$B$5:$B$204,0)),""))</f>
        <v/>
      </c>
      <c r="H973" s="78" t="n"/>
      <c r="I973" s="78" t="n"/>
      <c r="J973" s="67">
        <f>IF($I973="","",IFERROR(INDEX(Action_Status_Map!$B$5:$B$11,MATCH($I973,Action_Status_Map!$A$5:$A$11,0)),""))</f>
        <v/>
      </c>
      <c r="K973" s="82" t="n"/>
      <c r="L973" s="82" t="n"/>
      <c r="M973" s="82" t="n"/>
      <c r="N973" s="83" t="n"/>
      <c r="O973" s="83" t="n"/>
      <c r="P973" s="66">
        <f>IF(OR($N973="",$O973=""),"",$O973-$N973)</f>
        <v/>
      </c>
      <c r="Q973" s="84">
        <f>IF($K973="","",IF($M973&lt;&gt;"",$M973-$K973,TODAY()-$K973))</f>
        <v/>
      </c>
      <c r="R973" s="85">
        <f>IF(OR($L973="",$I973="Completed",$I973="Cancelled"),"",IF(AND($L973&lt;TODAY(),$I973&lt;&gt;"Completed",$I973&lt;&gt;"Cancelled"),"Overdue","On Track"))</f>
        <v/>
      </c>
      <c r="S973" s="65">
        <f>IF($L973="","",TEXT($L973,"yyyy-mm"))</f>
        <v/>
      </c>
      <c r="T973" s="86">
        <f>IF($I973="","",IFERROR(INDEX(Action_Status_Map!$C$5:$C$11,MATCH($I973,Action_Status_Map!$A$5:$A$11,0)),""))</f>
        <v/>
      </c>
      <c r="U973" s="81" t="n"/>
      <c r="V973" s="82" t="n"/>
      <c r="W973" s="65">
        <f>IF(OR($I973&lt;&gt;"Completed",$M973="",$L973=""),"",IF($M973&lt;=$L973,"Yes","No"))</f>
        <v/>
      </c>
      <c r="X973" s="84">
        <f>IF($A973="","",COUNTIF(Task_Steps!$B$5:$B$2004,$A973))</f>
        <v/>
      </c>
      <c r="Y973" s="86">
        <f>IF($X973=0,"",COUNTIFS(Task_Steps!$B$5:$B$2004,$A973,Task_Steps!$H$5:$H$2004,"Completed")/$X973)</f>
        <v/>
      </c>
      <c r="Z973" s="81" t="n"/>
      <c r="AA973" s="81" t="n"/>
      <c r="AB973" s="67">
        <f>IF($F973="","",IFERROR(INDEX(Employee_Master!$E$5:$E$204,MATCH($F973,Employee_Master!$B$5:$B$204,0)),""))</f>
        <v/>
      </c>
      <c r="AC973" s="65">
        <f>IF(OR($A973="",$AB973=""),"",IF(OR($I973="Completed",$I973="Cancelled"),"Closed - in Manager Report","Active - in Manager Report"))</f>
        <v/>
      </c>
      <c r="AD973" s="81">
        <f>IF($A973="","",IFERROR(TEXTJOIN(", ",TRUE,FILTER(Task_Steps!$A$5:$A$2004,Task_Steps!$B$5:$B$2004=$A973)),""))</f>
        <v/>
      </c>
      <c r="AE973" s="84">
        <f>IF($A973="","",COUNTIFS(Task_Steps!$B$5:$B$2004,$A973,Task_Steps!$H$5:$H$2004,"&lt;&gt;Completed",Task_Steps!$H$5:$H$2004,"&lt;&gt;Cancelled"))</f>
        <v/>
      </c>
      <c r="AF973" s="81">
        <f>IF(OR($B973="",$A973=""),"",$B973&amp;" | "&amp;$A973)</f>
        <v/>
      </c>
    </row>
    <row r="974" ht="15" customHeight="1" s="40">
      <c r="A974" s="65">
        <f>IF(COUNTA(B974:F974)=0,"","TSK-"&amp;TEXT(ROW()-4,"0000"))</f>
        <v/>
      </c>
      <c r="B974" s="78" t="n"/>
      <c r="C974" s="78" t="n"/>
      <c r="D974" s="81" t="n"/>
      <c r="E974" s="81" t="n"/>
      <c r="F974" s="78" t="n"/>
      <c r="G974" s="67">
        <f>IF($F974="","",IFERROR(INDEX(Employee_Master!$C$5:$C$204,MATCH($F974,Employee_Master!$B$5:$B$204,0)),""))</f>
        <v/>
      </c>
      <c r="H974" s="78" t="n"/>
      <c r="I974" s="78" t="n"/>
      <c r="J974" s="67">
        <f>IF($I974="","",IFERROR(INDEX(Action_Status_Map!$B$5:$B$11,MATCH($I974,Action_Status_Map!$A$5:$A$11,0)),""))</f>
        <v/>
      </c>
      <c r="K974" s="82" t="n"/>
      <c r="L974" s="82" t="n"/>
      <c r="M974" s="82" t="n"/>
      <c r="N974" s="83" t="n"/>
      <c r="O974" s="83" t="n"/>
      <c r="P974" s="66">
        <f>IF(OR($N974="",$O974=""),"",$O974-$N974)</f>
        <v/>
      </c>
      <c r="Q974" s="84">
        <f>IF($K974="","",IF($M974&lt;&gt;"",$M974-$K974,TODAY()-$K974))</f>
        <v/>
      </c>
      <c r="R974" s="85">
        <f>IF(OR($L974="",$I974="Completed",$I974="Cancelled"),"",IF(AND($L974&lt;TODAY(),$I974&lt;&gt;"Completed",$I974&lt;&gt;"Cancelled"),"Overdue","On Track"))</f>
        <v/>
      </c>
      <c r="S974" s="65">
        <f>IF($L974="","",TEXT($L974,"yyyy-mm"))</f>
        <v/>
      </c>
      <c r="T974" s="86">
        <f>IF($I974="","",IFERROR(INDEX(Action_Status_Map!$C$5:$C$11,MATCH($I974,Action_Status_Map!$A$5:$A$11,0)),""))</f>
        <v/>
      </c>
      <c r="U974" s="81" t="n"/>
      <c r="V974" s="82" t="n"/>
      <c r="W974" s="65">
        <f>IF(OR($I974&lt;&gt;"Completed",$M974="",$L974=""),"",IF($M974&lt;=$L974,"Yes","No"))</f>
        <v/>
      </c>
      <c r="X974" s="84">
        <f>IF($A974="","",COUNTIF(Task_Steps!$B$5:$B$2004,$A974))</f>
        <v/>
      </c>
      <c r="Y974" s="86">
        <f>IF($X974=0,"",COUNTIFS(Task_Steps!$B$5:$B$2004,$A974,Task_Steps!$H$5:$H$2004,"Completed")/$X974)</f>
        <v/>
      </c>
      <c r="Z974" s="81" t="n"/>
      <c r="AA974" s="81" t="n"/>
      <c r="AB974" s="67">
        <f>IF($F974="","",IFERROR(INDEX(Employee_Master!$E$5:$E$204,MATCH($F974,Employee_Master!$B$5:$B$204,0)),""))</f>
        <v/>
      </c>
      <c r="AC974" s="65">
        <f>IF(OR($A974="",$AB974=""),"",IF(OR($I974="Completed",$I974="Cancelled"),"Closed - in Manager Report","Active - in Manager Report"))</f>
        <v/>
      </c>
      <c r="AD974" s="81">
        <f>IF($A974="","",IFERROR(TEXTJOIN(", ",TRUE,FILTER(Task_Steps!$A$5:$A$2004,Task_Steps!$B$5:$B$2004=$A974)),""))</f>
        <v/>
      </c>
      <c r="AE974" s="84">
        <f>IF($A974="","",COUNTIFS(Task_Steps!$B$5:$B$2004,$A974,Task_Steps!$H$5:$H$2004,"&lt;&gt;Completed",Task_Steps!$H$5:$H$2004,"&lt;&gt;Cancelled"))</f>
        <v/>
      </c>
      <c r="AF974" s="81">
        <f>IF(OR($B974="",$A974=""),"",$B974&amp;" | "&amp;$A974)</f>
        <v/>
      </c>
    </row>
    <row r="975" ht="15" customHeight="1" s="40">
      <c r="A975" s="65">
        <f>IF(COUNTA(B975:F975)=0,"","TSK-"&amp;TEXT(ROW()-4,"0000"))</f>
        <v/>
      </c>
      <c r="B975" s="78" t="n"/>
      <c r="C975" s="78" t="n"/>
      <c r="D975" s="81" t="n"/>
      <c r="E975" s="81" t="n"/>
      <c r="F975" s="78" t="n"/>
      <c r="G975" s="67">
        <f>IF($F975="","",IFERROR(INDEX(Employee_Master!$C$5:$C$204,MATCH($F975,Employee_Master!$B$5:$B$204,0)),""))</f>
        <v/>
      </c>
      <c r="H975" s="78" t="n"/>
      <c r="I975" s="78" t="n"/>
      <c r="J975" s="67">
        <f>IF($I975="","",IFERROR(INDEX(Action_Status_Map!$B$5:$B$11,MATCH($I975,Action_Status_Map!$A$5:$A$11,0)),""))</f>
        <v/>
      </c>
      <c r="K975" s="82" t="n"/>
      <c r="L975" s="82" t="n"/>
      <c r="M975" s="82" t="n"/>
      <c r="N975" s="83" t="n"/>
      <c r="O975" s="83" t="n"/>
      <c r="P975" s="66">
        <f>IF(OR($N975="",$O975=""),"",$O975-$N975)</f>
        <v/>
      </c>
      <c r="Q975" s="84">
        <f>IF($K975="","",IF($M975&lt;&gt;"",$M975-$K975,TODAY()-$K975))</f>
        <v/>
      </c>
      <c r="R975" s="85">
        <f>IF(OR($L975="",$I975="Completed",$I975="Cancelled"),"",IF(AND($L975&lt;TODAY(),$I975&lt;&gt;"Completed",$I975&lt;&gt;"Cancelled"),"Overdue","On Track"))</f>
        <v/>
      </c>
      <c r="S975" s="65">
        <f>IF($L975="","",TEXT($L975,"yyyy-mm"))</f>
        <v/>
      </c>
      <c r="T975" s="86">
        <f>IF($I975="","",IFERROR(INDEX(Action_Status_Map!$C$5:$C$11,MATCH($I975,Action_Status_Map!$A$5:$A$11,0)),""))</f>
        <v/>
      </c>
      <c r="U975" s="81" t="n"/>
      <c r="V975" s="82" t="n"/>
      <c r="W975" s="65">
        <f>IF(OR($I975&lt;&gt;"Completed",$M975="",$L975=""),"",IF($M975&lt;=$L975,"Yes","No"))</f>
        <v/>
      </c>
      <c r="X975" s="84">
        <f>IF($A975="","",COUNTIF(Task_Steps!$B$5:$B$2004,$A975))</f>
        <v/>
      </c>
      <c r="Y975" s="86">
        <f>IF($X975=0,"",COUNTIFS(Task_Steps!$B$5:$B$2004,$A975,Task_Steps!$H$5:$H$2004,"Completed")/$X975)</f>
        <v/>
      </c>
      <c r="Z975" s="81" t="n"/>
      <c r="AA975" s="81" t="n"/>
      <c r="AB975" s="67">
        <f>IF($F975="","",IFERROR(INDEX(Employee_Master!$E$5:$E$204,MATCH($F975,Employee_Master!$B$5:$B$204,0)),""))</f>
        <v/>
      </c>
      <c r="AC975" s="65">
        <f>IF(OR($A975="",$AB975=""),"",IF(OR($I975="Completed",$I975="Cancelled"),"Closed - in Manager Report","Active - in Manager Report"))</f>
        <v/>
      </c>
      <c r="AD975" s="81">
        <f>IF($A975="","",IFERROR(TEXTJOIN(", ",TRUE,FILTER(Task_Steps!$A$5:$A$2004,Task_Steps!$B$5:$B$2004=$A975)),""))</f>
        <v/>
      </c>
      <c r="AE975" s="84">
        <f>IF($A975="","",COUNTIFS(Task_Steps!$B$5:$B$2004,$A975,Task_Steps!$H$5:$H$2004,"&lt;&gt;Completed",Task_Steps!$H$5:$H$2004,"&lt;&gt;Cancelled"))</f>
        <v/>
      </c>
      <c r="AF975" s="81">
        <f>IF(OR($B975="",$A975=""),"",$B975&amp;" | "&amp;$A975)</f>
        <v/>
      </c>
    </row>
    <row r="976" ht="15" customHeight="1" s="40">
      <c r="A976" s="65">
        <f>IF(COUNTA(B976:F976)=0,"","TSK-"&amp;TEXT(ROW()-4,"0000"))</f>
        <v/>
      </c>
      <c r="B976" s="78" t="n"/>
      <c r="C976" s="78" t="n"/>
      <c r="D976" s="81" t="n"/>
      <c r="E976" s="81" t="n"/>
      <c r="F976" s="78" t="n"/>
      <c r="G976" s="67">
        <f>IF($F976="","",IFERROR(INDEX(Employee_Master!$C$5:$C$204,MATCH($F976,Employee_Master!$B$5:$B$204,0)),""))</f>
        <v/>
      </c>
      <c r="H976" s="78" t="n"/>
      <c r="I976" s="78" t="n"/>
      <c r="J976" s="67">
        <f>IF($I976="","",IFERROR(INDEX(Action_Status_Map!$B$5:$B$11,MATCH($I976,Action_Status_Map!$A$5:$A$11,0)),""))</f>
        <v/>
      </c>
      <c r="K976" s="82" t="n"/>
      <c r="L976" s="82" t="n"/>
      <c r="M976" s="82" t="n"/>
      <c r="N976" s="83" t="n"/>
      <c r="O976" s="83" t="n"/>
      <c r="P976" s="66">
        <f>IF(OR($N976="",$O976=""),"",$O976-$N976)</f>
        <v/>
      </c>
      <c r="Q976" s="84">
        <f>IF($K976="","",IF($M976&lt;&gt;"",$M976-$K976,TODAY()-$K976))</f>
        <v/>
      </c>
      <c r="R976" s="85">
        <f>IF(OR($L976="",$I976="Completed",$I976="Cancelled"),"",IF(AND($L976&lt;TODAY(),$I976&lt;&gt;"Completed",$I976&lt;&gt;"Cancelled"),"Overdue","On Track"))</f>
        <v/>
      </c>
      <c r="S976" s="65">
        <f>IF($L976="","",TEXT($L976,"yyyy-mm"))</f>
        <v/>
      </c>
      <c r="T976" s="86">
        <f>IF($I976="","",IFERROR(INDEX(Action_Status_Map!$C$5:$C$11,MATCH($I976,Action_Status_Map!$A$5:$A$11,0)),""))</f>
        <v/>
      </c>
      <c r="U976" s="81" t="n"/>
      <c r="V976" s="82" t="n"/>
      <c r="W976" s="65">
        <f>IF(OR($I976&lt;&gt;"Completed",$M976="",$L976=""),"",IF($M976&lt;=$L976,"Yes","No"))</f>
        <v/>
      </c>
      <c r="X976" s="84">
        <f>IF($A976="","",COUNTIF(Task_Steps!$B$5:$B$2004,$A976))</f>
        <v/>
      </c>
      <c r="Y976" s="86">
        <f>IF($X976=0,"",COUNTIFS(Task_Steps!$B$5:$B$2004,$A976,Task_Steps!$H$5:$H$2004,"Completed")/$X976)</f>
        <v/>
      </c>
      <c r="Z976" s="81" t="n"/>
      <c r="AA976" s="81" t="n"/>
      <c r="AB976" s="67">
        <f>IF($F976="","",IFERROR(INDEX(Employee_Master!$E$5:$E$204,MATCH($F976,Employee_Master!$B$5:$B$204,0)),""))</f>
        <v/>
      </c>
      <c r="AC976" s="65">
        <f>IF(OR($A976="",$AB976=""),"",IF(OR($I976="Completed",$I976="Cancelled"),"Closed - in Manager Report","Active - in Manager Report"))</f>
        <v/>
      </c>
      <c r="AD976" s="81">
        <f>IF($A976="","",IFERROR(TEXTJOIN(", ",TRUE,FILTER(Task_Steps!$A$5:$A$2004,Task_Steps!$B$5:$B$2004=$A976)),""))</f>
        <v/>
      </c>
      <c r="AE976" s="84">
        <f>IF($A976="","",COUNTIFS(Task_Steps!$B$5:$B$2004,$A976,Task_Steps!$H$5:$H$2004,"&lt;&gt;Completed",Task_Steps!$H$5:$H$2004,"&lt;&gt;Cancelled"))</f>
        <v/>
      </c>
      <c r="AF976" s="81">
        <f>IF(OR($B976="",$A976=""),"",$B976&amp;" | "&amp;$A976)</f>
        <v/>
      </c>
    </row>
    <row r="977" ht="15" customHeight="1" s="40">
      <c r="A977" s="65">
        <f>IF(COUNTA(B977:F977)=0,"","TSK-"&amp;TEXT(ROW()-4,"0000"))</f>
        <v/>
      </c>
      <c r="B977" s="78" t="n"/>
      <c r="C977" s="78" t="n"/>
      <c r="D977" s="81" t="n"/>
      <c r="E977" s="81" t="n"/>
      <c r="F977" s="78" t="n"/>
      <c r="G977" s="67">
        <f>IF($F977="","",IFERROR(INDEX(Employee_Master!$C$5:$C$204,MATCH($F977,Employee_Master!$B$5:$B$204,0)),""))</f>
        <v/>
      </c>
      <c r="H977" s="78" t="n"/>
      <c r="I977" s="78" t="n"/>
      <c r="J977" s="67">
        <f>IF($I977="","",IFERROR(INDEX(Action_Status_Map!$B$5:$B$11,MATCH($I977,Action_Status_Map!$A$5:$A$11,0)),""))</f>
        <v/>
      </c>
      <c r="K977" s="82" t="n"/>
      <c r="L977" s="82" t="n"/>
      <c r="M977" s="82" t="n"/>
      <c r="N977" s="83" t="n"/>
      <c r="O977" s="83" t="n"/>
      <c r="P977" s="66">
        <f>IF(OR($N977="",$O977=""),"",$O977-$N977)</f>
        <v/>
      </c>
      <c r="Q977" s="84">
        <f>IF($K977="","",IF($M977&lt;&gt;"",$M977-$K977,TODAY()-$K977))</f>
        <v/>
      </c>
      <c r="R977" s="85">
        <f>IF(OR($L977="",$I977="Completed",$I977="Cancelled"),"",IF(AND($L977&lt;TODAY(),$I977&lt;&gt;"Completed",$I977&lt;&gt;"Cancelled"),"Overdue","On Track"))</f>
        <v/>
      </c>
      <c r="S977" s="65">
        <f>IF($L977="","",TEXT($L977,"yyyy-mm"))</f>
        <v/>
      </c>
      <c r="T977" s="86">
        <f>IF($I977="","",IFERROR(INDEX(Action_Status_Map!$C$5:$C$11,MATCH($I977,Action_Status_Map!$A$5:$A$11,0)),""))</f>
        <v/>
      </c>
      <c r="U977" s="81" t="n"/>
      <c r="V977" s="82" t="n"/>
      <c r="W977" s="65">
        <f>IF(OR($I977&lt;&gt;"Completed",$M977="",$L977=""),"",IF($M977&lt;=$L977,"Yes","No"))</f>
        <v/>
      </c>
      <c r="X977" s="84">
        <f>IF($A977="","",COUNTIF(Task_Steps!$B$5:$B$2004,$A977))</f>
        <v/>
      </c>
      <c r="Y977" s="86">
        <f>IF($X977=0,"",COUNTIFS(Task_Steps!$B$5:$B$2004,$A977,Task_Steps!$H$5:$H$2004,"Completed")/$X977)</f>
        <v/>
      </c>
      <c r="Z977" s="81" t="n"/>
      <c r="AA977" s="81" t="n"/>
      <c r="AB977" s="67">
        <f>IF($F977="","",IFERROR(INDEX(Employee_Master!$E$5:$E$204,MATCH($F977,Employee_Master!$B$5:$B$204,0)),""))</f>
        <v/>
      </c>
      <c r="AC977" s="65">
        <f>IF(OR($A977="",$AB977=""),"",IF(OR($I977="Completed",$I977="Cancelled"),"Closed - in Manager Report","Active - in Manager Report"))</f>
        <v/>
      </c>
      <c r="AD977" s="81">
        <f>IF($A977="","",IFERROR(TEXTJOIN(", ",TRUE,FILTER(Task_Steps!$A$5:$A$2004,Task_Steps!$B$5:$B$2004=$A977)),""))</f>
        <v/>
      </c>
      <c r="AE977" s="84">
        <f>IF($A977="","",COUNTIFS(Task_Steps!$B$5:$B$2004,$A977,Task_Steps!$H$5:$H$2004,"&lt;&gt;Completed",Task_Steps!$H$5:$H$2004,"&lt;&gt;Cancelled"))</f>
        <v/>
      </c>
      <c r="AF977" s="81">
        <f>IF(OR($B977="",$A977=""),"",$B977&amp;" | "&amp;$A977)</f>
        <v/>
      </c>
    </row>
    <row r="978" ht="15" customHeight="1" s="40">
      <c r="A978" s="65">
        <f>IF(COUNTA(B978:F978)=0,"","TSK-"&amp;TEXT(ROW()-4,"0000"))</f>
        <v/>
      </c>
      <c r="B978" s="78" t="n"/>
      <c r="C978" s="78" t="n"/>
      <c r="D978" s="81" t="n"/>
      <c r="E978" s="81" t="n"/>
      <c r="F978" s="78" t="n"/>
      <c r="G978" s="67">
        <f>IF($F978="","",IFERROR(INDEX(Employee_Master!$C$5:$C$204,MATCH($F978,Employee_Master!$B$5:$B$204,0)),""))</f>
        <v/>
      </c>
      <c r="H978" s="78" t="n"/>
      <c r="I978" s="78" t="n"/>
      <c r="J978" s="67">
        <f>IF($I978="","",IFERROR(INDEX(Action_Status_Map!$B$5:$B$11,MATCH($I978,Action_Status_Map!$A$5:$A$11,0)),""))</f>
        <v/>
      </c>
      <c r="K978" s="82" t="n"/>
      <c r="L978" s="82" t="n"/>
      <c r="M978" s="82" t="n"/>
      <c r="N978" s="83" t="n"/>
      <c r="O978" s="83" t="n"/>
      <c r="P978" s="66">
        <f>IF(OR($N978="",$O978=""),"",$O978-$N978)</f>
        <v/>
      </c>
      <c r="Q978" s="84">
        <f>IF($K978="","",IF($M978&lt;&gt;"",$M978-$K978,TODAY()-$K978))</f>
        <v/>
      </c>
      <c r="R978" s="85">
        <f>IF(OR($L978="",$I978="Completed",$I978="Cancelled"),"",IF(AND($L978&lt;TODAY(),$I978&lt;&gt;"Completed",$I978&lt;&gt;"Cancelled"),"Overdue","On Track"))</f>
        <v/>
      </c>
      <c r="S978" s="65">
        <f>IF($L978="","",TEXT($L978,"yyyy-mm"))</f>
        <v/>
      </c>
      <c r="T978" s="86">
        <f>IF($I978="","",IFERROR(INDEX(Action_Status_Map!$C$5:$C$11,MATCH($I978,Action_Status_Map!$A$5:$A$11,0)),""))</f>
        <v/>
      </c>
      <c r="U978" s="81" t="n"/>
      <c r="V978" s="82" t="n"/>
      <c r="W978" s="65">
        <f>IF(OR($I978&lt;&gt;"Completed",$M978="",$L978=""),"",IF($M978&lt;=$L978,"Yes","No"))</f>
        <v/>
      </c>
      <c r="X978" s="84">
        <f>IF($A978="","",COUNTIF(Task_Steps!$B$5:$B$2004,$A978))</f>
        <v/>
      </c>
      <c r="Y978" s="86">
        <f>IF($X978=0,"",COUNTIFS(Task_Steps!$B$5:$B$2004,$A978,Task_Steps!$H$5:$H$2004,"Completed")/$X978)</f>
        <v/>
      </c>
      <c r="Z978" s="81" t="n"/>
      <c r="AA978" s="81" t="n"/>
      <c r="AB978" s="67">
        <f>IF($F978="","",IFERROR(INDEX(Employee_Master!$E$5:$E$204,MATCH($F978,Employee_Master!$B$5:$B$204,0)),""))</f>
        <v/>
      </c>
      <c r="AC978" s="65">
        <f>IF(OR($A978="",$AB978=""),"",IF(OR($I978="Completed",$I978="Cancelled"),"Closed - in Manager Report","Active - in Manager Report"))</f>
        <v/>
      </c>
      <c r="AD978" s="81">
        <f>IF($A978="","",IFERROR(TEXTJOIN(", ",TRUE,FILTER(Task_Steps!$A$5:$A$2004,Task_Steps!$B$5:$B$2004=$A978)),""))</f>
        <v/>
      </c>
      <c r="AE978" s="84">
        <f>IF($A978="","",COUNTIFS(Task_Steps!$B$5:$B$2004,$A978,Task_Steps!$H$5:$H$2004,"&lt;&gt;Completed",Task_Steps!$H$5:$H$2004,"&lt;&gt;Cancelled"))</f>
        <v/>
      </c>
      <c r="AF978" s="81">
        <f>IF(OR($B978="",$A978=""),"",$B978&amp;" | "&amp;$A978)</f>
        <v/>
      </c>
    </row>
    <row r="979" ht="15" customHeight="1" s="40">
      <c r="A979" s="65">
        <f>IF(COUNTA(B979:F979)=0,"","TSK-"&amp;TEXT(ROW()-4,"0000"))</f>
        <v/>
      </c>
      <c r="B979" s="78" t="n"/>
      <c r="C979" s="78" t="n"/>
      <c r="D979" s="81" t="n"/>
      <c r="E979" s="81" t="n"/>
      <c r="F979" s="78" t="n"/>
      <c r="G979" s="67">
        <f>IF($F979="","",IFERROR(INDEX(Employee_Master!$C$5:$C$204,MATCH($F979,Employee_Master!$B$5:$B$204,0)),""))</f>
        <v/>
      </c>
      <c r="H979" s="78" t="n"/>
      <c r="I979" s="78" t="n"/>
      <c r="J979" s="67">
        <f>IF($I979="","",IFERROR(INDEX(Action_Status_Map!$B$5:$B$11,MATCH($I979,Action_Status_Map!$A$5:$A$11,0)),""))</f>
        <v/>
      </c>
      <c r="K979" s="82" t="n"/>
      <c r="L979" s="82" t="n"/>
      <c r="M979" s="82" t="n"/>
      <c r="N979" s="83" t="n"/>
      <c r="O979" s="83" t="n"/>
      <c r="P979" s="66">
        <f>IF(OR($N979="",$O979=""),"",$O979-$N979)</f>
        <v/>
      </c>
      <c r="Q979" s="84">
        <f>IF($K979="","",IF($M979&lt;&gt;"",$M979-$K979,TODAY()-$K979))</f>
        <v/>
      </c>
      <c r="R979" s="85">
        <f>IF(OR($L979="",$I979="Completed",$I979="Cancelled"),"",IF(AND($L979&lt;TODAY(),$I979&lt;&gt;"Completed",$I979&lt;&gt;"Cancelled"),"Overdue","On Track"))</f>
        <v/>
      </c>
      <c r="S979" s="65">
        <f>IF($L979="","",TEXT($L979,"yyyy-mm"))</f>
        <v/>
      </c>
      <c r="T979" s="86">
        <f>IF($I979="","",IFERROR(INDEX(Action_Status_Map!$C$5:$C$11,MATCH($I979,Action_Status_Map!$A$5:$A$11,0)),""))</f>
        <v/>
      </c>
      <c r="U979" s="81" t="n"/>
      <c r="V979" s="82" t="n"/>
      <c r="W979" s="65">
        <f>IF(OR($I979&lt;&gt;"Completed",$M979="",$L979=""),"",IF($M979&lt;=$L979,"Yes","No"))</f>
        <v/>
      </c>
      <c r="X979" s="84">
        <f>IF($A979="","",COUNTIF(Task_Steps!$B$5:$B$2004,$A979))</f>
        <v/>
      </c>
      <c r="Y979" s="86">
        <f>IF($X979=0,"",COUNTIFS(Task_Steps!$B$5:$B$2004,$A979,Task_Steps!$H$5:$H$2004,"Completed")/$X979)</f>
        <v/>
      </c>
      <c r="Z979" s="81" t="n"/>
      <c r="AA979" s="81" t="n"/>
      <c r="AB979" s="67">
        <f>IF($F979="","",IFERROR(INDEX(Employee_Master!$E$5:$E$204,MATCH($F979,Employee_Master!$B$5:$B$204,0)),""))</f>
        <v/>
      </c>
      <c r="AC979" s="65">
        <f>IF(OR($A979="",$AB979=""),"",IF(OR($I979="Completed",$I979="Cancelled"),"Closed - in Manager Report","Active - in Manager Report"))</f>
        <v/>
      </c>
      <c r="AD979" s="81">
        <f>IF($A979="","",IFERROR(TEXTJOIN(", ",TRUE,FILTER(Task_Steps!$A$5:$A$2004,Task_Steps!$B$5:$B$2004=$A979)),""))</f>
        <v/>
      </c>
      <c r="AE979" s="84">
        <f>IF($A979="","",COUNTIFS(Task_Steps!$B$5:$B$2004,$A979,Task_Steps!$H$5:$H$2004,"&lt;&gt;Completed",Task_Steps!$H$5:$H$2004,"&lt;&gt;Cancelled"))</f>
        <v/>
      </c>
      <c r="AF979" s="81">
        <f>IF(OR($B979="",$A979=""),"",$B979&amp;" | "&amp;$A979)</f>
        <v/>
      </c>
    </row>
    <row r="980" ht="15" customHeight="1" s="40">
      <c r="A980" s="65">
        <f>IF(COUNTA(B980:F980)=0,"","TSK-"&amp;TEXT(ROW()-4,"0000"))</f>
        <v/>
      </c>
      <c r="B980" s="78" t="n"/>
      <c r="C980" s="78" t="n"/>
      <c r="D980" s="81" t="n"/>
      <c r="E980" s="81" t="n"/>
      <c r="F980" s="78" t="n"/>
      <c r="G980" s="67">
        <f>IF($F980="","",IFERROR(INDEX(Employee_Master!$C$5:$C$204,MATCH($F980,Employee_Master!$B$5:$B$204,0)),""))</f>
        <v/>
      </c>
      <c r="H980" s="78" t="n"/>
      <c r="I980" s="78" t="n"/>
      <c r="J980" s="67">
        <f>IF($I980="","",IFERROR(INDEX(Action_Status_Map!$B$5:$B$11,MATCH($I980,Action_Status_Map!$A$5:$A$11,0)),""))</f>
        <v/>
      </c>
      <c r="K980" s="82" t="n"/>
      <c r="L980" s="82" t="n"/>
      <c r="M980" s="82" t="n"/>
      <c r="N980" s="83" t="n"/>
      <c r="O980" s="83" t="n"/>
      <c r="P980" s="66">
        <f>IF(OR($N980="",$O980=""),"",$O980-$N980)</f>
        <v/>
      </c>
      <c r="Q980" s="84">
        <f>IF($K980="","",IF($M980&lt;&gt;"",$M980-$K980,TODAY()-$K980))</f>
        <v/>
      </c>
      <c r="R980" s="85">
        <f>IF(OR($L980="",$I980="Completed",$I980="Cancelled"),"",IF(AND($L980&lt;TODAY(),$I980&lt;&gt;"Completed",$I980&lt;&gt;"Cancelled"),"Overdue","On Track"))</f>
        <v/>
      </c>
      <c r="S980" s="65">
        <f>IF($L980="","",TEXT($L980,"yyyy-mm"))</f>
        <v/>
      </c>
      <c r="T980" s="86">
        <f>IF($I980="","",IFERROR(INDEX(Action_Status_Map!$C$5:$C$11,MATCH($I980,Action_Status_Map!$A$5:$A$11,0)),""))</f>
        <v/>
      </c>
      <c r="U980" s="81" t="n"/>
      <c r="V980" s="82" t="n"/>
      <c r="W980" s="65">
        <f>IF(OR($I980&lt;&gt;"Completed",$M980="",$L980=""),"",IF($M980&lt;=$L980,"Yes","No"))</f>
        <v/>
      </c>
      <c r="X980" s="84">
        <f>IF($A980="","",COUNTIF(Task_Steps!$B$5:$B$2004,$A980))</f>
        <v/>
      </c>
      <c r="Y980" s="86">
        <f>IF($X980=0,"",COUNTIFS(Task_Steps!$B$5:$B$2004,$A980,Task_Steps!$H$5:$H$2004,"Completed")/$X980)</f>
        <v/>
      </c>
      <c r="Z980" s="81" t="n"/>
      <c r="AA980" s="81" t="n"/>
      <c r="AB980" s="67">
        <f>IF($F980="","",IFERROR(INDEX(Employee_Master!$E$5:$E$204,MATCH($F980,Employee_Master!$B$5:$B$204,0)),""))</f>
        <v/>
      </c>
      <c r="AC980" s="65">
        <f>IF(OR($A980="",$AB980=""),"",IF(OR($I980="Completed",$I980="Cancelled"),"Closed - in Manager Report","Active - in Manager Report"))</f>
        <v/>
      </c>
      <c r="AD980" s="81">
        <f>IF($A980="","",IFERROR(TEXTJOIN(", ",TRUE,FILTER(Task_Steps!$A$5:$A$2004,Task_Steps!$B$5:$B$2004=$A980)),""))</f>
        <v/>
      </c>
      <c r="AE980" s="84">
        <f>IF($A980="","",COUNTIFS(Task_Steps!$B$5:$B$2004,$A980,Task_Steps!$H$5:$H$2004,"&lt;&gt;Completed",Task_Steps!$H$5:$H$2004,"&lt;&gt;Cancelled"))</f>
        <v/>
      </c>
      <c r="AF980" s="81">
        <f>IF(OR($B980="",$A980=""),"",$B980&amp;" | "&amp;$A980)</f>
        <v/>
      </c>
    </row>
    <row r="981" ht="15" customHeight="1" s="40">
      <c r="A981" s="65">
        <f>IF(COUNTA(B981:F981)=0,"","TSK-"&amp;TEXT(ROW()-4,"0000"))</f>
        <v/>
      </c>
      <c r="B981" s="78" t="n"/>
      <c r="C981" s="78" t="n"/>
      <c r="D981" s="81" t="n"/>
      <c r="E981" s="81" t="n"/>
      <c r="F981" s="78" t="n"/>
      <c r="G981" s="67">
        <f>IF($F981="","",IFERROR(INDEX(Employee_Master!$C$5:$C$204,MATCH($F981,Employee_Master!$B$5:$B$204,0)),""))</f>
        <v/>
      </c>
      <c r="H981" s="78" t="n"/>
      <c r="I981" s="78" t="n"/>
      <c r="J981" s="67">
        <f>IF($I981="","",IFERROR(INDEX(Action_Status_Map!$B$5:$B$11,MATCH($I981,Action_Status_Map!$A$5:$A$11,0)),""))</f>
        <v/>
      </c>
      <c r="K981" s="82" t="n"/>
      <c r="L981" s="82" t="n"/>
      <c r="M981" s="82" t="n"/>
      <c r="N981" s="83" t="n"/>
      <c r="O981" s="83" t="n"/>
      <c r="P981" s="66">
        <f>IF(OR($N981="",$O981=""),"",$O981-$N981)</f>
        <v/>
      </c>
      <c r="Q981" s="84">
        <f>IF($K981="","",IF($M981&lt;&gt;"",$M981-$K981,TODAY()-$K981))</f>
        <v/>
      </c>
      <c r="R981" s="85">
        <f>IF(OR($L981="",$I981="Completed",$I981="Cancelled"),"",IF(AND($L981&lt;TODAY(),$I981&lt;&gt;"Completed",$I981&lt;&gt;"Cancelled"),"Overdue","On Track"))</f>
        <v/>
      </c>
      <c r="S981" s="65">
        <f>IF($L981="","",TEXT($L981,"yyyy-mm"))</f>
        <v/>
      </c>
      <c r="T981" s="86">
        <f>IF($I981="","",IFERROR(INDEX(Action_Status_Map!$C$5:$C$11,MATCH($I981,Action_Status_Map!$A$5:$A$11,0)),""))</f>
        <v/>
      </c>
      <c r="U981" s="81" t="n"/>
      <c r="V981" s="82" t="n"/>
      <c r="W981" s="65">
        <f>IF(OR($I981&lt;&gt;"Completed",$M981="",$L981=""),"",IF($M981&lt;=$L981,"Yes","No"))</f>
        <v/>
      </c>
      <c r="X981" s="84">
        <f>IF($A981="","",COUNTIF(Task_Steps!$B$5:$B$2004,$A981))</f>
        <v/>
      </c>
      <c r="Y981" s="86">
        <f>IF($X981=0,"",COUNTIFS(Task_Steps!$B$5:$B$2004,$A981,Task_Steps!$H$5:$H$2004,"Completed")/$X981)</f>
        <v/>
      </c>
      <c r="Z981" s="81" t="n"/>
      <c r="AA981" s="81" t="n"/>
      <c r="AB981" s="67">
        <f>IF($F981="","",IFERROR(INDEX(Employee_Master!$E$5:$E$204,MATCH($F981,Employee_Master!$B$5:$B$204,0)),""))</f>
        <v/>
      </c>
      <c r="AC981" s="65">
        <f>IF(OR($A981="",$AB981=""),"",IF(OR($I981="Completed",$I981="Cancelled"),"Closed - in Manager Report","Active - in Manager Report"))</f>
        <v/>
      </c>
      <c r="AD981" s="81">
        <f>IF($A981="","",IFERROR(TEXTJOIN(", ",TRUE,FILTER(Task_Steps!$A$5:$A$2004,Task_Steps!$B$5:$B$2004=$A981)),""))</f>
        <v/>
      </c>
      <c r="AE981" s="84">
        <f>IF($A981="","",COUNTIFS(Task_Steps!$B$5:$B$2004,$A981,Task_Steps!$H$5:$H$2004,"&lt;&gt;Completed",Task_Steps!$H$5:$H$2004,"&lt;&gt;Cancelled"))</f>
        <v/>
      </c>
      <c r="AF981" s="81">
        <f>IF(OR($B981="",$A981=""),"",$B981&amp;" | "&amp;$A981)</f>
        <v/>
      </c>
    </row>
    <row r="982" ht="15" customHeight="1" s="40">
      <c r="A982" s="65">
        <f>IF(COUNTA(B982:F982)=0,"","TSK-"&amp;TEXT(ROW()-4,"0000"))</f>
        <v/>
      </c>
      <c r="B982" s="78" t="n"/>
      <c r="C982" s="78" t="n"/>
      <c r="D982" s="81" t="n"/>
      <c r="E982" s="81" t="n"/>
      <c r="F982" s="78" t="n"/>
      <c r="G982" s="67">
        <f>IF($F982="","",IFERROR(INDEX(Employee_Master!$C$5:$C$204,MATCH($F982,Employee_Master!$B$5:$B$204,0)),""))</f>
        <v/>
      </c>
      <c r="H982" s="78" t="n"/>
      <c r="I982" s="78" t="n"/>
      <c r="J982" s="67">
        <f>IF($I982="","",IFERROR(INDEX(Action_Status_Map!$B$5:$B$11,MATCH($I982,Action_Status_Map!$A$5:$A$11,0)),""))</f>
        <v/>
      </c>
      <c r="K982" s="82" t="n"/>
      <c r="L982" s="82" t="n"/>
      <c r="M982" s="82" t="n"/>
      <c r="N982" s="83" t="n"/>
      <c r="O982" s="83" t="n"/>
      <c r="P982" s="66">
        <f>IF(OR($N982="",$O982=""),"",$O982-$N982)</f>
        <v/>
      </c>
      <c r="Q982" s="84">
        <f>IF($K982="","",IF($M982&lt;&gt;"",$M982-$K982,TODAY()-$K982))</f>
        <v/>
      </c>
      <c r="R982" s="85">
        <f>IF(OR($L982="",$I982="Completed",$I982="Cancelled"),"",IF(AND($L982&lt;TODAY(),$I982&lt;&gt;"Completed",$I982&lt;&gt;"Cancelled"),"Overdue","On Track"))</f>
        <v/>
      </c>
      <c r="S982" s="65">
        <f>IF($L982="","",TEXT($L982,"yyyy-mm"))</f>
        <v/>
      </c>
      <c r="T982" s="86">
        <f>IF($I982="","",IFERROR(INDEX(Action_Status_Map!$C$5:$C$11,MATCH($I982,Action_Status_Map!$A$5:$A$11,0)),""))</f>
        <v/>
      </c>
      <c r="U982" s="81" t="n"/>
      <c r="V982" s="82" t="n"/>
      <c r="W982" s="65">
        <f>IF(OR($I982&lt;&gt;"Completed",$M982="",$L982=""),"",IF($M982&lt;=$L982,"Yes","No"))</f>
        <v/>
      </c>
      <c r="X982" s="84">
        <f>IF($A982="","",COUNTIF(Task_Steps!$B$5:$B$2004,$A982))</f>
        <v/>
      </c>
      <c r="Y982" s="86">
        <f>IF($X982=0,"",COUNTIFS(Task_Steps!$B$5:$B$2004,$A982,Task_Steps!$H$5:$H$2004,"Completed")/$X982)</f>
        <v/>
      </c>
      <c r="Z982" s="81" t="n"/>
      <c r="AA982" s="81" t="n"/>
      <c r="AB982" s="67">
        <f>IF($F982="","",IFERROR(INDEX(Employee_Master!$E$5:$E$204,MATCH($F982,Employee_Master!$B$5:$B$204,0)),""))</f>
        <v/>
      </c>
      <c r="AC982" s="65">
        <f>IF(OR($A982="",$AB982=""),"",IF(OR($I982="Completed",$I982="Cancelled"),"Closed - in Manager Report","Active - in Manager Report"))</f>
        <v/>
      </c>
      <c r="AD982" s="81">
        <f>IF($A982="","",IFERROR(TEXTJOIN(", ",TRUE,FILTER(Task_Steps!$A$5:$A$2004,Task_Steps!$B$5:$B$2004=$A982)),""))</f>
        <v/>
      </c>
      <c r="AE982" s="84">
        <f>IF($A982="","",COUNTIFS(Task_Steps!$B$5:$B$2004,$A982,Task_Steps!$H$5:$H$2004,"&lt;&gt;Completed",Task_Steps!$H$5:$H$2004,"&lt;&gt;Cancelled"))</f>
        <v/>
      </c>
      <c r="AF982" s="81">
        <f>IF(OR($B982="",$A982=""),"",$B982&amp;" | "&amp;$A982)</f>
        <v/>
      </c>
    </row>
    <row r="983" ht="15" customHeight="1" s="40">
      <c r="A983" s="65">
        <f>IF(COUNTA(B983:F983)=0,"","TSK-"&amp;TEXT(ROW()-4,"0000"))</f>
        <v/>
      </c>
      <c r="B983" s="78" t="n"/>
      <c r="C983" s="78" t="n"/>
      <c r="D983" s="81" t="n"/>
      <c r="E983" s="81" t="n"/>
      <c r="F983" s="78" t="n"/>
      <c r="G983" s="67">
        <f>IF($F983="","",IFERROR(INDEX(Employee_Master!$C$5:$C$204,MATCH($F983,Employee_Master!$B$5:$B$204,0)),""))</f>
        <v/>
      </c>
      <c r="H983" s="78" t="n"/>
      <c r="I983" s="78" t="n"/>
      <c r="J983" s="67">
        <f>IF($I983="","",IFERROR(INDEX(Action_Status_Map!$B$5:$B$11,MATCH($I983,Action_Status_Map!$A$5:$A$11,0)),""))</f>
        <v/>
      </c>
      <c r="K983" s="82" t="n"/>
      <c r="L983" s="82" t="n"/>
      <c r="M983" s="82" t="n"/>
      <c r="N983" s="83" t="n"/>
      <c r="O983" s="83" t="n"/>
      <c r="P983" s="66">
        <f>IF(OR($N983="",$O983=""),"",$O983-$N983)</f>
        <v/>
      </c>
      <c r="Q983" s="84">
        <f>IF($K983="","",IF($M983&lt;&gt;"",$M983-$K983,TODAY()-$K983))</f>
        <v/>
      </c>
      <c r="R983" s="85">
        <f>IF(OR($L983="",$I983="Completed",$I983="Cancelled"),"",IF(AND($L983&lt;TODAY(),$I983&lt;&gt;"Completed",$I983&lt;&gt;"Cancelled"),"Overdue","On Track"))</f>
        <v/>
      </c>
      <c r="S983" s="65">
        <f>IF($L983="","",TEXT($L983,"yyyy-mm"))</f>
        <v/>
      </c>
      <c r="T983" s="86">
        <f>IF($I983="","",IFERROR(INDEX(Action_Status_Map!$C$5:$C$11,MATCH($I983,Action_Status_Map!$A$5:$A$11,0)),""))</f>
        <v/>
      </c>
      <c r="U983" s="81" t="n"/>
      <c r="V983" s="82" t="n"/>
      <c r="W983" s="65">
        <f>IF(OR($I983&lt;&gt;"Completed",$M983="",$L983=""),"",IF($M983&lt;=$L983,"Yes","No"))</f>
        <v/>
      </c>
      <c r="X983" s="84">
        <f>IF($A983="","",COUNTIF(Task_Steps!$B$5:$B$2004,$A983))</f>
        <v/>
      </c>
      <c r="Y983" s="86">
        <f>IF($X983=0,"",COUNTIFS(Task_Steps!$B$5:$B$2004,$A983,Task_Steps!$H$5:$H$2004,"Completed")/$X983)</f>
        <v/>
      </c>
      <c r="Z983" s="81" t="n"/>
      <c r="AA983" s="81" t="n"/>
      <c r="AB983" s="67">
        <f>IF($F983="","",IFERROR(INDEX(Employee_Master!$E$5:$E$204,MATCH($F983,Employee_Master!$B$5:$B$204,0)),""))</f>
        <v/>
      </c>
      <c r="AC983" s="65">
        <f>IF(OR($A983="",$AB983=""),"",IF(OR($I983="Completed",$I983="Cancelled"),"Closed - in Manager Report","Active - in Manager Report"))</f>
        <v/>
      </c>
      <c r="AD983" s="81">
        <f>IF($A983="","",IFERROR(TEXTJOIN(", ",TRUE,FILTER(Task_Steps!$A$5:$A$2004,Task_Steps!$B$5:$B$2004=$A983)),""))</f>
        <v/>
      </c>
      <c r="AE983" s="84">
        <f>IF($A983="","",COUNTIFS(Task_Steps!$B$5:$B$2004,$A983,Task_Steps!$H$5:$H$2004,"&lt;&gt;Completed",Task_Steps!$H$5:$H$2004,"&lt;&gt;Cancelled"))</f>
        <v/>
      </c>
      <c r="AF983" s="81">
        <f>IF(OR($B983="",$A983=""),"",$B983&amp;" | "&amp;$A983)</f>
        <v/>
      </c>
    </row>
    <row r="984" ht="15" customHeight="1" s="40">
      <c r="A984" s="65">
        <f>IF(COUNTA(B984:F984)=0,"","TSK-"&amp;TEXT(ROW()-4,"0000"))</f>
        <v/>
      </c>
      <c r="B984" s="78" t="n"/>
      <c r="C984" s="78" t="n"/>
      <c r="D984" s="81" t="n"/>
      <c r="E984" s="81" t="n"/>
      <c r="F984" s="78" t="n"/>
      <c r="G984" s="67">
        <f>IF($F984="","",IFERROR(INDEX(Employee_Master!$C$5:$C$204,MATCH($F984,Employee_Master!$B$5:$B$204,0)),""))</f>
        <v/>
      </c>
      <c r="H984" s="78" t="n"/>
      <c r="I984" s="78" t="n"/>
      <c r="J984" s="67">
        <f>IF($I984="","",IFERROR(INDEX(Action_Status_Map!$B$5:$B$11,MATCH($I984,Action_Status_Map!$A$5:$A$11,0)),""))</f>
        <v/>
      </c>
      <c r="K984" s="82" t="n"/>
      <c r="L984" s="82" t="n"/>
      <c r="M984" s="82" t="n"/>
      <c r="N984" s="83" t="n"/>
      <c r="O984" s="83" t="n"/>
      <c r="P984" s="66">
        <f>IF(OR($N984="",$O984=""),"",$O984-$N984)</f>
        <v/>
      </c>
      <c r="Q984" s="84">
        <f>IF($K984="","",IF($M984&lt;&gt;"",$M984-$K984,TODAY()-$K984))</f>
        <v/>
      </c>
      <c r="R984" s="85">
        <f>IF(OR($L984="",$I984="Completed",$I984="Cancelled"),"",IF(AND($L984&lt;TODAY(),$I984&lt;&gt;"Completed",$I984&lt;&gt;"Cancelled"),"Overdue","On Track"))</f>
        <v/>
      </c>
      <c r="S984" s="65">
        <f>IF($L984="","",TEXT($L984,"yyyy-mm"))</f>
        <v/>
      </c>
      <c r="T984" s="86">
        <f>IF($I984="","",IFERROR(INDEX(Action_Status_Map!$C$5:$C$11,MATCH($I984,Action_Status_Map!$A$5:$A$11,0)),""))</f>
        <v/>
      </c>
      <c r="U984" s="81" t="n"/>
      <c r="V984" s="82" t="n"/>
      <c r="W984" s="65">
        <f>IF(OR($I984&lt;&gt;"Completed",$M984="",$L984=""),"",IF($M984&lt;=$L984,"Yes","No"))</f>
        <v/>
      </c>
      <c r="X984" s="84">
        <f>IF($A984="","",COUNTIF(Task_Steps!$B$5:$B$2004,$A984))</f>
        <v/>
      </c>
      <c r="Y984" s="86">
        <f>IF($X984=0,"",COUNTIFS(Task_Steps!$B$5:$B$2004,$A984,Task_Steps!$H$5:$H$2004,"Completed")/$X984)</f>
        <v/>
      </c>
      <c r="Z984" s="81" t="n"/>
      <c r="AA984" s="81" t="n"/>
      <c r="AB984" s="67">
        <f>IF($F984="","",IFERROR(INDEX(Employee_Master!$E$5:$E$204,MATCH($F984,Employee_Master!$B$5:$B$204,0)),""))</f>
        <v/>
      </c>
      <c r="AC984" s="65">
        <f>IF(OR($A984="",$AB984=""),"",IF(OR($I984="Completed",$I984="Cancelled"),"Closed - in Manager Report","Active - in Manager Report"))</f>
        <v/>
      </c>
      <c r="AD984" s="81">
        <f>IF($A984="","",IFERROR(TEXTJOIN(", ",TRUE,FILTER(Task_Steps!$A$5:$A$2004,Task_Steps!$B$5:$B$2004=$A984)),""))</f>
        <v/>
      </c>
      <c r="AE984" s="84">
        <f>IF($A984="","",COUNTIFS(Task_Steps!$B$5:$B$2004,$A984,Task_Steps!$H$5:$H$2004,"&lt;&gt;Completed",Task_Steps!$H$5:$H$2004,"&lt;&gt;Cancelled"))</f>
        <v/>
      </c>
      <c r="AF984" s="81">
        <f>IF(OR($B984="",$A984=""),"",$B984&amp;" | "&amp;$A984)</f>
        <v/>
      </c>
    </row>
    <row r="985" ht="15" customHeight="1" s="40">
      <c r="A985" s="65">
        <f>IF(COUNTA(B985:F985)=0,"","TSK-"&amp;TEXT(ROW()-4,"0000"))</f>
        <v/>
      </c>
      <c r="B985" s="78" t="n"/>
      <c r="C985" s="78" t="n"/>
      <c r="D985" s="81" t="n"/>
      <c r="E985" s="81" t="n"/>
      <c r="F985" s="78" t="n"/>
      <c r="G985" s="67">
        <f>IF($F985="","",IFERROR(INDEX(Employee_Master!$C$5:$C$204,MATCH($F985,Employee_Master!$B$5:$B$204,0)),""))</f>
        <v/>
      </c>
      <c r="H985" s="78" t="n"/>
      <c r="I985" s="78" t="n"/>
      <c r="J985" s="67">
        <f>IF($I985="","",IFERROR(INDEX(Action_Status_Map!$B$5:$B$11,MATCH($I985,Action_Status_Map!$A$5:$A$11,0)),""))</f>
        <v/>
      </c>
      <c r="K985" s="82" t="n"/>
      <c r="L985" s="82" t="n"/>
      <c r="M985" s="82" t="n"/>
      <c r="N985" s="83" t="n"/>
      <c r="O985" s="83" t="n"/>
      <c r="P985" s="66">
        <f>IF(OR($N985="",$O985=""),"",$O985-$N985)</f>
        <v/>
      </c>
      <c r="Q985" s="84">
        <f>IF($K985="","",IF($M985&lt;&gt;"",$M985-$K985,TODAY()-$K985))</f>
        <v/>
      </c>
      <c r="R985" s="85">
        <f>IF(OR($L985="",$I985="Completed",$I985="Cancelled"),"",IF(AND($L985&lt;TODAY(),$I985&lt;&gt;"Completed",$I985&lt;&gt;"Cancelled"),"Overdue","On Track"))</f>
        <v/>
      </c>
      <c r="S985" s="65">
        <f>IF($L985="","",TEXT($L985,"yyyy-mm"))</f>
        <v/>
      </c>
      <c r="T985" s="86">
        <f>IF($I985="","",IFERROR(INDEX(Action_Status_Map!$C$5:$C$11,MATCH($I985,Action_Status_Map!$A$5:$A$11,0)),""))</f>
        <v/>
      </c>
      <c r="U985" s="81" t="n"/>
      <c r="V985" s="82" t="n"/>
      <c r="W985" s="65">
        <f>IF(OR($I985&lt;&gt;"Completed",$M985="",$L985=""),"",IF($M985&lt;=$L985,"Yes","No"))</f>
        <v/>
      </c>
      <c r="X985" s="84">
        <f>IF($A985="","",COUNTIF(Task_Steps!$B$5:$B$2004,$A985))</f>
        <v/>
      </c>
      <c r="Y985" s="86">
        <f>IF($X985=0,"",COUNTIFS(Task_Steps!$B$5:$B$2004,$A985,Task_Steps!$H$5:$H$2004,"Completed")/$X985)</f>
        <v/>
      </c>
      <c r="Z985" s="81" t="n"/>
      <c r="AA985" s="81" t="n"/>
      <c r="AB985" s="67">
        <f>IF($F985="","",IFERROR(INDEX(Employee_Master!$E$5:$E$204,MATCH($F985,Employee_Master!$B$5:$B$204,0)),""))</f>
        <v/>
      </c>
      <c r="AC985" s="65">
        <f>IF(OR($A985="",$AB985=""),"",IF(OR($I985="Completed",$I985="Cancelled"),"Closed - in Manager Report","Active - in Manager Report"))</f>
        <v/>
      </c>
      <c r="AD985" s="81">
        <f>IF($A985="","",IFERROR(TEXTJOIN(", ",TRUE,FILTER(Task_Steps!$A$5:$A$2004,Task_Steps!$B$5:$B$2004=$A985)),""))</f>
        <v/>
      </c>
      <c r="AE985" s="84">
        <f>IF($A985="","",COUNTIFS(Task_Steps!$B$5:$B$2004,$A985,Task_Steps!$H$5:$H$2004,"&lt;&gt;Completed",Task_Steps!$H$5:$H$2004,"&lt;&gt;Cancelled"))</f>
        <v/>
      </c>
      <c r="AF985" s="81">
        <f>IF(OR($B985="",$A985=""),"",$B985&amp;" | "&amp;$A985)</f>
        <v/>
      </c>
    </row>
    <row r="986" ht="15" customHeight="1" s="40">
      <c r="A986" s="65">
        <f>IF(COUNTA(B986:F986)=0,"","TSK-"&amp;TEXT(ROW()-4,"0000"))</f>
        <v/>
      </c>
      <c r="B986" s="78" t="n"/>
      <c r="C986" s="78" t="n"/>
      <c r="D986" s="81" t="n"/>
      <c r="E986" s="81" t="n"/>
      <c r="F986" s="78" t="n"/>
      <c r="G986" s="67">
        <f>IF($F986="","",IFERROR(INDEX(Employee_Master!$C$5:$C$204,MATCH($F986,Employee_Master!$B$5:$B$204,0)),""))</f>
        <v/>
      </c>
      <c r="H986" s="78" t="n"/>
      <c r="I986" s="78" t="n"/>
      <c r="J986" s="67">
        <f>IF($I986="","",IFERROR(INDEX(Action_Status_Map!$B$5:$B$11,MATCH($I986,Action_Status_Map!$A$5:$A$11,0)),""))</f>
        <v/>
      </c>
      <c r="K986" s="82" t="n"/>
      <c r="L986" s="82" t="n"/>
      <c r="M986" s="82" t="n"/>
      <c r="N986" s="83" t="n"/>
      <c r="O986" s="83" t="n"/>
      <c r="P986" s="66">
        <f>IF(OR($N986="",$O986=""),"",$O986-$N986)</f>
        <v/>
      </c>
      <c r="Q986" s="84">
        <f>IF($K986="","",IF($M986&lt;&gt;"",$M986-$K986,TODAY()-$K986))</f>
        <v/>
      </c>
      <c r="R986" s="85">
        <f>IF(OR($L986="",$I986="Completed",$I986="Cancelled"),"",IF(AND($L986&lt;TODAY(),$I986&lt;&gt;"Completed",$I986&lt;&gt;"Cancelled"),"Overdue","On Track"))</f>
        <v/>
      </c>
      <c r="S986" s="65">
        <f>IF($L986="","",TEXT($L986,"yyyy-mm"))</f>
        <v/>
      </c>
      <c r="T986" s="86">
        <f>IF($I986="","",IFERROR(INDEX(Action_Status_Map!$C$5:$C$11,MATCH($I986,Action_Status_Map!$A$5:$A$11,0)),""))</f>
        <v/>
      </c>
      <c r="U986" s="81" t="n"/>
      <c r="V986" s="82" t="n"/>
      <c r="W986" s="65">
        <f>IF(OR($I986&lt;&gt;"Completed",$M986="",$L986=""),"",IF($M986&lt;=$L986,"Yes","No"))</f>
        <v/>
      </c>
      <c r="X986" s="84">
        <f>IF($A986="","",COUNTIF(Task_Steps!$B$5:$B$2004,$A986))</f>
        <v/>
      </c>
      <c r="Y986" s="86">
        <f>IF($X986=0,"",COUNTIFS(Task_Steps!$B$5:$B$2004,$A986,Task_Steps!$H$5:$H$2004,"Completed")/$X986)</f>
        <v/>
      </c>
      <c r="Z986" s="81" t="n"/>
      <c r="AA986" s="81" t="n"/>
      <c r="AB986" s="67">
        <f>IF($F986="","",IFERROR(INDEX(Employee_Master!$E$5:$E$204,MATCH($F986,Employee_Master!$B$5:$B$204,0)),""))</f>
        <v/>
      </c>
      <c r="AC986" s="65">
        <f>IF(OR($A986="",$AB986=""),"",IF(OR($I986="Completed",$I986="Cancelled"),"Closed - in Manager Report","Active - in Manager Report"))</f>
        <v/>
      </c>
      <c r="AD986" s="81">
        <f>IF($A986="","",IFERROR(TEXTJOIN(", ",TRUE,FILTER(Task_Steps!$A$5:$A$2004,Task_Steps!$B$5:$B$2004=$A986)),""))</f>
        <v/>
      </c>
      <c r="AE986" s="84">
        <f>IF($A986="","",COUNTIFS(Task_Steps!$B$5:$B$2004,$A986,Task_Steps!$H$5:$H$2004,"&lt;&gt;Completed",Task_Steps!$H$5:$H$2004,"&lt;&gt;Cancelled"))</f>
        <v/>
      </c>
      <c r="AF986" s="81">
        <f>IF(OR($B986="",$A986=""),"",$B986&amp;" | "&amp;$A986)</f>
        <v/>
      </c>
    </row>
    <row r="987" ht="15" customHeight="1" s="40">
      <c r="A987" s="65">
        <f>IF(COUNTA(B987:F987)=0,"","TSK-"&amp;TEXT(ROW()-4,"0000"))</f>
        <v/>
      </c>
      <c r="B987" s="78" t="n"/>
      <c r="C987" s="78" t="n"/>
      <c r="D987" s="81" t="n"/>
      <c r="E987" s="81" t="n"/>
      <c r="F987" s="78" t="n"/>
      <c r="G987" s="67">
        <f>IF($F987="","",IFERROR(INDEX(Employee_Master!$C$5:$C$204,MATCH($F987,Employee_Master!$B$5:$B$204,0)),""))</f>
        <v/>
      </c>
      <c r="H987" s="78" t="n"/>
      <c r="I987" s="78" t="n"/>
      <c r="J987" s="67">
        <f>IF($I987="","",IFERROR(INDEX(Action_Status_Map!$B$5:$B$11,MATCH($I987,Action_Status_Map!$A$5:$A$11,0)),""))</f>
        <v/>
      </c>
      <c r="K987" s="82" t="n"/>
      <c r="L987" s="82" t="n"/>
      <c r="M987" s="82" t="n"/>
      <c r="N987" s="83" t="n"/>
      <c r="O987" s="83" t="n"/>
      <c r="P987" s="66">
        <f>IF(OR($N987="",$O987=""),"",$O987-$N987)</f>
        <v/>
      </c>
      <c r="Q987" s="84">
        <f>IF($K987="","",IF($M987&lt;&gt;"",$M987-$K987,TODAY()-$K987))</f>
        <v/>
      </c>
      <c r="R987" s="85">
        <f>IF(OR($L987="",$I987="Completed",$I987="Cancelled"),"",IF(AND($L987&lt;TODAY(),$I987&lt;&gt;"Completed",$I987&lt;&gt;"Cancelled"),"Overdue","On Track"))</f>
        <v/>
      </c>
      <c r="S987" s="65">
        <f>IF($L987="","",TEXT($L987,"yyyy-mm"))</f>
        <v/>
      </c>
      <c r="T987" s="86">
        <f>IF($I987="","",IFERROR(INDEX(Action_Status_Map!$C$5:$C$11,MATCH($I987,Action_Status_Map!$A$5:$A$11,0)),""))</f>
        <v/>
      </c>
      <c r="U987" s="81" t="n"/>
      <c r="V987" s="82" t="n"/>
      <c r="W987" s="65">
        <f>IF(OR($I987&lt;&gt;"Completed",$M987="",$L987=""),"",IF($M987&lt;=$L987,"Yes","No"))</f>
        <v/>
      </c>
      <c r="X987" s="84">
        <f>IF($A987="","",COUNTIF(Task_Steps!$B$5:$B$2004,$A987))</f>
        <v/>
      </c>
      <c r="Y987" s="86">
        <f>IF($X987=0,"",COUNTIFS(Task_Steps!$B$5:$B$2004,$A987,Task_Steps!$H$5:$H$2004,"Completed")/$X987)</f>
        <v/>
      </c>
      <c r="Z987" s="81" t="n"/>
      <c r="AA987" s="81" t="n"/>
      <c r="AB987" s="67">
        <f>IF($F987="","",IFERROR(INDEX(Employee_Master!$E$5:$E$204,MATCH($F987,Employee_Master!$B$5:$B$204,0)),""))</f>
        <v/>
      </c>
      <c r="AC987" s="65">
        <f>IF(OR($A987="",$AB987=""),"",IF(OR($I987="Completed",$I987="Cancelled"),"Closed - in Manager Report","Active - in Manager Report"))</f>
        <v/>
      </c>
      <c r="AD987" s="81">
        <f>IF($A987="","",IFERROR(TEXTJOIN(", ",TRUE,FILTER(Task_Steps!$A$5:$A$2004,Task_Steps!$B$5:$B$2004=$A987)),""))</f>
        <v/>
      </c>
      <c r="AE987" s="84">
        <f>IF($A987="","",COUNTIFS(Task_Steps!$B$5:$B$2004,$A987,Task_Steps!$H$5:$H$2004,"&lt;&gt;Completed",Task_Steps!$H$5:$H$2004,"&lt;&gt;Cancelled"))</f>
        <v/>
      </c>
      <c r="AF987" s="81">
        <f>IF(OR($B987="",$A987=""),"",$B987&amp;" | "&amp;$A987)</f>
        <v/>
      </c>
    </row>
    <row r="988" ht="15" customHeight="1" s="40">
      <c r="A988" s="65">
        <f>IF(COUNTA(B988:F988)=0,"","TSK-"&amp;TEXT(ROW()-4,"0000"))</f>
        <v/>
      </c>
      <c r="B988" s="78" t="n"/>
      <c r="C988" s="78" t="n"/>
      <c r="D988" s="81" t="n"/>
      <c r="E988" s="81" t="n"/>
      <c r="F988" s="78" t="n"/>
      <c r="G988" s="67">
        <f>IF($F988="","",IFERROR(INDEX(Employee_Master!$C$5:$C$204,MATCH($F988,Employee_Master!$B$5:$B$204,0)),""))</f>
        <v/>
      </c>
      <c r="H988" s="78" t="n"/>
      <c r="I988" s="78" t="n"/>
      <c r="J988" s="67">
        <f>IF($I988="","",IFERROR(INDEX(Action_Status_Map!$B$5:$B$11,MATCH($I988,Action_Status_Map!$A$5:$A$11,0)),""))</f>
        <v/>
      </c>
      <c r="K988" s="82" t="n"/>
      <c r="L988" s="82" t="n"/>
      <c r="M988" s="82" t="n"/>
      <c r="N988" s="83" t="n"/>
      <c r="O988" s="83" t="n"/>
      <c r="P988" s="66">
        <f>IF(OR($N988="",$O988=""),"",$O988-$N988)</f>
        <v/>
      </c>
      <c r="Q988" s="84">
        <f>IF($K988="","",IF($M988&lt;&gt;"",$M988-$K988,TODAY()-$K988))</f>
        <v/>
      </c>
      <c r="R988" s="85">
        <f>IF(OR($L988="",$I988="Completed",$I988="Cancelled"),"",IF(AND($L988&lt;TODAY(),$I988&lt;&gt;"Completed",$I988&lt;&gt;"Cancelled"),"Overdue","On Track"))</f>
        <v/>
      </c>
      <c r="S988" s="65">
        <f>IF($L988="","",TEXT($L988,"yyyy-mm"))</f>
        <v/>
      </c>
      <c r="T988" s="86">
        <f>IF($I988="","",IFERROR(INDEX(Action_Status_Map!$C$5:$C$11,MATCH($I988,Action_Status_Map!$A$5:$A$11,0)),""))</f>
        <v/>
      </c>
      <c r="U988" s="81" t="n"/>
      <c r="V988" s="82" t="n"/>
      <c r="W988" s="65">
        <f>IF(OR($I988&lt;&gt;"Completed",$M988="",$L988=""),"",IF($M988&lt;=$L988,"Yes","No"))</f>
        <v/>
      </c>
      <c r="X988" s="84">
        <f>IF($A988="","",COUNTIF(Task_Steps!$B$5:$B$2004,$A988))</f>
        <v/>
      </c>
      <c r="Y988" s="86">
        <f>IF($X988=0,"",COUNTIFS(Task_Steps!$B$5:$B$2004,$A988,Task_Steps!$H$5:$H$2004,"Completed")/$X988)</f>
        <v/>
      </c>
      <c r="Z988" s="81" t="n"/>
      <c r="AA988" s="81" t="n"/>
      <c r="AB988" s="67">
        <f>IF($F988="","",IFERROR(INDEX(Employee_Master!$E$5:$E$204,MATCH($F988,Employee_Master!$B$5:$B$204,0)),""))</f>
        <v/>
      </c>
      <c r="AC988" s="65">
        <f>IF(OR($A988="",$AB988=""),"",IF(OR($I988="Completed",$I988="Cancelled"),"Closed - in Manager Report","Active - in Manager Report"))</f>
        <v/>
      </c>
      <c r="AD988" s="81">
        <f>IF($A988="","",IFERROR(TEXTJOIN(", ",TRUE,FILTER(Task_Steps!$A$5:$A$2004,Task_Steps!$B$5:$B$2004=$A988)),""))</f>
        <v/>
      </c>
      <c r="AE988" s="84">
        <f>IF($A988="","",COUNTIFS(Task_Steps!$B$5:$B$2004,$A988,Task_Steps!$H$5:$H$2004,"&lt;&gt;Completed",Task_Steps!$H$5:$H$2004,"&lt;&gt;Cancelled"))</f>
        <v/>
      </c>
      <c r="AF988" s="81">
        <f>IF(OR($B988="",$A988=""),"",$B988&amp;" | "&amp;$A988)</f>
        <v/>
      </c>
    </row>
    <row r="989" ht="15" customHeight="1" s="40">
      <c r="A989" s="65">
        <f>IF(COUNTA(B989:F989)=0,"","TSK-"&amp;TEXT(ROW()-4,"0000"))</f>
        <v/>
      </c>
      <c r="B989" s="78" t="n"/>
      <c r="C989" s="78" t="n"/>
      <c r="D989" s="81" t="n"/>
      <c r="E989" s="81" t="n"/>
      <c r="F989" s="78" t="n"/>
      <c r="G989" s="67">
        <f>IF($F989="","",IFERROR(INDEX(Employee_Master!$C$5:$C$204,MATCH($F989,Employee_Master!$B$5:$B$204,0)),""))</f>
        <v/>
      </c>
      <c r="H989" s="78" t="n"/>
      <c r="I989" s="78" t="n"/>
      <c r="J989" s="67">
        <f>IF($I989="","",IFERROR(INDEX(Action_Status_Map!$B$5:$B$11,MATCH($I989,Action_Status_Map!$A$5:$A$11,0)),""))</f>
        <v/>
      </c>
      <c r="K989" s="82" t="n"/>
      <c r="L989" s="82" t="n"/>
      <c r="M989" s="82" t="n"/>
      <c r="N989" s="83" t="n"/>
      <c r="O989" s="83" t="n"/>
      <c r="P989" s="66">
        <f>IF(OR($N989="",$O989=""),"",$O989-$N989)</f>
        <v/>
      </c>
      <c r="Q989" s="84">
        <f>IF($K989="","",IF($M989&lt;&gt;"",$M989-$K989,TODAY()-$K989))</f>
        <v/>
      </c>
      <c r="R989" s="85">
        <f>IF(OR($L989="",$I989="Completed",$I989="Cancelled"),"",IF(AND($L989&lt;TODAY(),$I989&lt;&gt;"Completed",$I989&lt;&gt;"Cancelled"),"Overdue","On Track"))</f>
        <v/>
      </c>
      <c r="S989" s="65">
        <f>IF($L989="","",TEXT($L989,"yyyy-mm"))</f>
        <v/>
      </c>
      <c r="T989" s="86">
        <f>IF($I989="","",IFERROR(INDEX(Action_Status_Map!$C$5:$C$11,MATCH($I989,Action_Status_Map!$A$5:$A$11,0)),""))</f>
        <v/>
      </c>
      <c r="U989" s="81" t="n"/>
      <c r="V989" s="82" t="n"/>
      <c r="W989" s="65">
        <f>IF(OR($I989&lt;&gt;"Completed",$M989="",$L989=""),"",IF($M989&lt;=$L989,"Yes","No"))</f>
        <v/>
      </c>
      <c r="X989" s="84">
        <f>IF($A989="","",COUNTIF(Task_Steps!$B$5:$B$2004,$A989))</f>
        <v/>
      </c>
      <c r="Y989" s="86">
        <f>IF($X989=0,"",COUNTIFS(Task_Steps!$B$5:$B$2004,$A989,Task_Steps!$H$5:$H$2004,"Completed")/$X989)</f>
        <v/>
      </c>
      <c r="Z989" s="81" t="n"/>
      <c r="AA989" s="81" t="n"/>
      <c r="AB989" s="67">
        <f>IF($F989="","",IFERROR(INDEX(Employee_Master!$E$5:$E$204,MATCH($F989,Employee_Master!$B$5:$B$204,0)),""))</f>
        <v/>
      </c>
      <c r="AC989" s="65">
        <f>IF(OR($A989="",$AB989=""),"",IF(OR($I989="Completed",$I989="Cancelled"),"Closed - in Manager Report","Active - in Manager Report"))</f>
        <v/>
      </c>
      <c r="AD989" s="81">
        <f>IF($A989="","",IFERROR(TEXTJOIN(", ",TRUE,FILTER(Task_Steps!$A$5:$A$2004,Task_Steps!$B$5:$B$2004=$A989)),""))</f>
        <v/>
      </c>
      <c r="AE989" s="84">
        <f>IF($A989="","",COUNTIFS(Task_Steps!$B$5:$B$2004,$A989,Task_Steps!$H$5:$H$2004,"&lt;&gt;Completed",Task_Steps!$H$5:$H$2004,"&lt;&gt;Cancelled"))</f>
        <v/>
      </c>
      <c r="AF989" s="81">
        <f>IF(OR($B989="",$A989=""),"",$B989&amp;" | "&amp;$A989)</f>
        <v/>
      </c>
    </row>
    <row r="990" ht="15" customHeight="1" s="40">
      <c r="A990" s="65">
        <f>IF(COUNTA(B990:F990)=0,"","TSK-"&amp;TEXT(ROW()-4,"0000"))</f>
        <v/>
      </c>
      <c r="B990" s="78" t="n"/>
      <c r="C990" s="78" t="n"/>
      <c r="D990" s="81" t="n"/>
      <c r="E990" s="81" t="n"/>
      <c r="F990" s="78" t="n"/>
      <c r="G990" s="67">
        <f>IF($F990="","",IFERROR(INDEX(Employee_Master!$C$5:$C$204,MATCH($F990,Employee_Master!$B$5:$B$204,0)),""))</f>
        <v/>
      </c>
      <c r="H990" s="78" t="n"/>
      <c r="I990" s="78" t="n"/>
      <c r="J990" s="67">
        <f>IF($I990="","",IFERROR(INDEX(Action_Status_Map!$B$5:$B$11,MATCH($I990,Action_Status_Map!$A$5:$A$11,0)),""))</f>
        <v/>
      </c>
      <c r="K990" s="82" t="n"/>
      <c r="L990" s="82" t="n"/>
      <c r="M990" s="82" t="n"/>
      <c r="N990" s="83" t="n"/>
      <c r="O990" s="83" t="n"/>
      <c r="P990" s="66">
        <f>IF(OR($N990="",$O990=""),"",$O990-$N990)</f>
        <v/>
      </c>
      <c r="Q990" s="84">
        <f>IF($K990="","",IF($M990&lt;&gt;"",$M990-$K990,TODAY()-$K990))</f>
        <v/>
      </c>
      <c r="R990" s="85">
        <f>IF(OR($L990="",$I990="Completed",$I990="Cancelled"),"",IF(AND($L990&lt;TODAY(),$I990&lt;&gt;"Completed",$I990&lt;&gt;"Cancelled"),"Overdue","On Track"))</f>
        <v/>
      </c>
      <c r="S990" s="65">
        <f>IF($L990="","",TEXT($L990,"yyyy-mm"))</f>
        <v/>
      </c>
      <c r="T990" s="86">
        <f>IF($I990="","",IFERROR(INDEX(Action_Status_Map!$C$5:$C$11,MATCH($I990,Action_Status_Map!$A$5:$A$11,0)),""))</f>
        <v/>
      </c>
      <c r="U990" s="81" t="n"/>
      <c r="V990" s="82" t="n"/>
      <c r="W990" s="65">
        <f>IF(OR($I990&lt;&gt;"Completed",$M990="",$L990=""),"",IF($M990&lt;=$L990,"Yes","No"))</f>
        <v/>
      </c>
      <c r="X990" s="84">
        <f>IF($A990="","",COUNTIF(Task_Steps!$B$5:$B$2004,$A990))</f>
        <v/>
      </c>
      <c r="Y990" s="86">
        <f>IF($X990=0,"",COUNTIFS(Task_Steps!$B$5:$B$2004,$A990,Task_Steps!$H$5:$H$2004,"Completed")/$X990)</f>
        <v/>
      </c>
      <c r="Z990" s="81" t="n"/>
      <c r="AA990" s="81" t="n"/>
      <c r="AB990" s="67">
        <f>IF($F990="","",IFERROR(INDEX(Employee_Master!$E$5:$E$204,MATCH($F990,Employee_Master!$B$5:$B$204,0)),""))</f>
        <v/>
      </c>
      <c r="AC990" s="65">
        <f>IF(OR($A990="",$AB990=""),"",IF(OR($I990="Completed",$I990="Cancelled"),"Closed - in Manager Report","Active - in Manager Report"))</f>
        <v/>
      </c>
      <c r="AD990" s="81">
        <f>IF($A990="","",IFERROR(TEXTJOIN(", ",TRUE,FILTER(Task_Steps!$A$5:$A$2004,Task_Steps!$B$5:$B$2004=$A990)),""))</f>
        <v/>
      </c>
      <c r="AE990" s="84">
        <f>IF($A990="","",COUNTIFS(Task_Steps!$B$5:$B$2004,$A990,Task_Steps!$H$5:$H$2004,"&lt;&gt;Completed",Task_Steps!$H$5:$H$2004,"&lt;&gt;Cancelled"))</f>
        <v/>
      </c>
      <c r="AF990" s="81">
        <f>IF(OR($B990="",$A990=""),"",$B990&amp;" | "&amp;$A990)</f>
        <v/>
      </c>
    </row>
    <row r="991" ht="15" customHeight="1" s="40">
      <c r="A991" s="65">
        <f>IF(COUNTA(B991:F991)=0,"","TSK-"&amp;TEXT(ROW()-4,"0000"))</f>
        <v/>
      </c>
      <c r="B991" s="78" t="n"/>
      <c r="C991" s="78" t="n"/>
      <c r="D991" s="81" t="n"/>
      <c r="E991" s="81" t="n"/>
      <c r="F991" s="78" t="n"/>
      <c r="G991" s="67">
        <f>IF($F991="","",IFERROR(INDEX(Employee_Master!$C$5:$C$204,MATCH($F991,Employee_Master!$B$5:$B$204,0)),""))</f>
        <v/>
      </c>
      <c r="H991" s="78" t="n"/>
      <c r="I991" s="78" t="n"/>
      <c r="J991" s="67">
        <f>IF($I991="","",IFERROR(INDEX(Action_Status_Map!$B$5:$B$11,MATCH($I991,Action_Status_Map!$A$5:$A$11,0)),""))</f>
        <v/>
      </c>
      <c r="K991" s="82" t="n"/>
      <c r="L991" s="82" t="n"/>
      <c r="M991" s="82" t="n"/>
      <c r="N991" s="83" t="n"/>
      <c r="O991" s="83" t="n"/>
      <c r="P991" s="66">
        <f>IF(OR($N991="",$O991=""),"",$O991-$N991)</f>
        <v/>
      </c>
      <c r="Q991" s="84">
        <f>IF($K991="","",IF($M991&lt;&gt;"",$M991-$K991,TODAY()-$K991))</f>
        <v/>
      </c>
      <c r="R991" s="85">
        <f>IF(OR($L991="",$I991="Completed",$I991="Cancelled"),"",IF(AND($L991&lt;TODAY(),$I991&lt;&gt;"Completed",$I991&lt;&gt;"Cancelled"),"Overdue","On Track"))</f>
        <v/>
      </c>
      <c r="S991" s="65">
        <f>IF($L991="","",TEXT($L991,"yyyy-mm"))</f>
        <v/>
      </c>
      <c r="T991" s="86">
        <f>IF($I991="","",IFERROR(INDEX(Action_Status_Map!$C$5:$C$11,MATCH($I991,Action_Status_Map!$A$5:$A$11,0)),""))</f>
        <v/>
      </c>
      <c r="U991" s="81" t="n"/>
      <c r="V991" s="82" t="n"/>
      <c r="W991" s="65">
        <f>IF(OR($I991&lt;&gt;"Completed",$M991="",$L991=""),"",IF($M991&lt;=$L991,"Yes","No"))</f>
        <v/>
      </c>
      <c r="X991" s="84">
        <f>IF($A991="","",COUNTIF(Task_Steps!$B$5:$B$2004,$A991))</f>
        <v/>
      </c>
      <c r="Y991" s="86">
        <f>IF($X991=0,"",COUNTIFS(Task_Steps!$B$5:$B$2004,$A991,Task_Steps!$H$5:$H$2004,"Completed")/$X991)</f>
        <v/>
      </c>
      <c r="Z991" s="81" t="n"/>
      <c r="AA991" s="81" t="n"/>
      <c r="AB991" s="67">
        <f>IF($F991="","",IFERROR(INDEX(Employee_Master!$E$5:$E$204,MATCH($F991,Employee_Master!$B$5:$B$204,0)),""))</f>
        <v/>
      </c>
      <c r="AC991" s="65">
        <f>IF(OR($A991="",$AB991=""),"",IF(OR($I991="Completed",$I991="Cancelled"),"Closed - in Manager Report","Active - in Manager Report"))</f>
        <v/>
      </c>
      <c r="AD991" s="81">
        <f>IF($A991="","",IFERROR(TEXTJOIN(", ",TRUE,FILTER(Task_Steps!$A$5:$A$2004,Task_Steps!$B$5:$B$2004=$A991)),""))</f>
        <v/>
      </c>
      <c r="AE991" s="84">
        <f>IF($A991="","",COUNTIFS(Task_Steps!$B$5:$B$2004,$A991,Task_Steps!$H$5:$H$2004,"&lt;&gt;Completed",Task_Steps!$H$5:$H$2004,"&lt;&gt;Cancelled"))</f>
        <v/>
      </c>
      <c r="AF991" s="81">
        <f>IF(OR($B991="",$A991=""),"",$B991&amp;" | "&amp;$A991)</f>
        <v/>
      </c>
    </row>
    <row r="992" ht="15" customHeight="1" s="40">
      <c r="A992" s="65">
        <f>IF(COUNTA(B992:F992)=0,"","TSK-"&amp;TEXT(ROW()-4,"0000"))</f>
        <v/>
      </c>
      <c r="B992" s="78" t="n"/>
      <c r="C992" s="78" t="n"/>
      <c r="D992" s="81" t="n"/>
      <c r="E992" s="81" t="n"/>
      <c r="F992" s="78" t="n"/>
      <c r="G992" s="67">
        <f>IF($F992="","",IFERROR(INDEX(Employee_Master!$C$5:$C$204,MATCH($F992,Employee_Master!$B$5:$B$204,0)),""))</f>
        <v/>
      </c>
      <c r="H992" s="78" t="n"/>
      <c r="I992" s="78" t="n"/>
      <c r="J992" s="67">
        <f>IF($I992="","",IFERROR(INDEX(Action_Status_Map!$B$5:$B$11,MATCH($I992,Action_Status_Map!$A$5:$A$11,0)),""))</f>
        <v/>
      </c>
      <c r="K992" s="82" t="n"/>
      <c r="L992" s="82" t="n"/>
      <c r="M992" s="82" t="n"/>
      <c r="N992" s="83" t="n"/>
      <c r="O992" s="83" t="n"/>
      <c r="P992" s="66">
        <f>IF(OR($N992="",$O992=""),"",$O992-$N992)</f>
        <v/>
      </c>
      <c r="Q992" s="84">
        <f>IF($K992="","",IF($M992&lt;&gt;"",$M992-$K992,TODAY()-$K992))</f>
        <v/>
      </c>
      <c r="R992" s="85">
        <f>IF(OR($L992="",$I992="Completed",$I992="Cancelled"),"",IF(AND($L992&lt;TODAY(),$I992&lt;&gt;"Completed",$I992&lt;&gt;"Cancelled"),"Overdue","On Track"))</f>
        <v/>
      </c>
      <c r="S992" s="65">
        <f>IF($L992="","",TEXT($L992,"yyyy-mm"))</f>
        <v/>
      </c>
      <c r="T992" s="86">
        <f>IF($I992="","",IFERROR(INDEX(Action_Status_Map!$C$5:$C$11,MATCH($I992,Action_Status_Map!$A$5:$A$11,0)),""))</f>
        <v/>
      </c>
      <c r="U992" s="81" t="n"/>
      <c r="V992" s="82" t="n"/>
      <c r="W992" s="65">
        <f>IF(OR($I992&lt;&gt;"Completed",$M992="",$L992=""),"",IF($M992&lt;=$L992,"Yes","No"))</f>
        <v/>
      </c>
      <c r="X992" s="84">
        <f>IF($A992="","",COUNTIF(Task_Steps!$B$5:$B$2004,$A992))</f>
        <v/>
      </c>
      <c r="Y992" s="86">
        <f>IF($X992=0,"",COUNTIFS(Task_Steps!$B$5:$B$2004,$A992,Task_Steps!$H$5:$H$2004,"Completed")/$X992)</f>
        <v/>
      </c>
      <c r="Z992" s="81" t="n"/>
      <c r="AA992" s="81" t="n"/>
      <c r="AB992" s="67">
        <f>IF($F992="","",IFERROR(INDEX(Employee_Master!$E$5:$E$204,MATCH($F992,Employee_Master!$B$5:$B$204,0)),""))</f>
        <v/>
      </c>
      <c r="AC992" s="65">
        <f>IF(OR($A992="",$AB992=""),"",IF(OR($I992="Completed",$I992="Cancelled"),"Closed - in Manager Report","Active - in Manager Report"))</f>
        <v/>
      </c>
      <c r="AD992" s="81">
        <f>IF($A992="","",IFERROR(TEXTJOIN(", ",TRUE,FILTER(Task_Steps!$A$5:$A$2004,Task_Steps!$B$5:$B$2004=$A992)),""))</f>
        <v/>
      </c>
      <c r="AE992" s="84">
        <f>IF($A992="","",COUNTIFS(Task_Steps!$B$5:$B$2004,$A992,Task_Steps!$H$5:$H$2004,"&lt;&gt;Completed",Task_Steps!$H$5:$H$2004,"&lt;&gt;Cancelled"))</f>
        <v/>
      </c>
      <c r="AF992" s="81">
        <f>IF(OR($B992="",$A992=""),"",$B992&amp;" | "&amp;$A992)</f>
        <v/>
      </c>
    </row>
    <row r="993" ht="15" customHeight="1" s="40">
      <c r="A993" s="65">
        <f>IF(COUNTA(B993:F993)=0,"","TSK-"&amp;TEXT(ROW()-4,"0000"))</f>
        <v/>
      </c>
      <c r="B993" s="78" t="n"/>
      <c r="C993" s="78" t="n"/>
      <c r="D993" s="81" t="n"/>
      <c r="E993" s="81" t="n"/>
      <c r="F993" s="78" t="n"/>
      <c r="G993" s="67">
        <f>IF($F993="","",IFERROR(INDEX(Employee_Master!$C$5:$C$204,MATCH($F993,Employee_Master!$B$5:$B$204,0)),""))</f>
        <v/>
      </c>
      <c r="H993" s="78" t="n"/>
      <c r="I993" s="78" t="n"/>
      <c r="J993" s="67">
        <f>IF($I993="","",IFERROR(INDEX(Action_Status_Map!$B$5:$B$11,MATCH($I993,Action_Status_Map!$A$5:$A$11,0)),""))</f>
        <v/>
      </c>
      <c r="K993" s="82" t="n"/>
      <c r="L993" s="82" t="n"/>
      <c r="M993" s="82" t="n"/>
      <c r="N993" s="83" t="n"/>
      <c r="O993" s="83" t="n"/>
      <c r="P993" s="66">
        <f>IF(OR($N993="",$O993=""),"",$O993-$N993)</f>
        <v/>
      </c>
      <c r="Q993" s="84">
        <f>IF($K993="","",IF($M993&lt;&gt;"",$M993-$K993,TODAY()-$K993))</f>
        <v/>
      </c>
      <c r="R993" s="85">
        <f>IF(OR($L993="",$I993="Completed",$I993="Cancelled"),"",IF(AND($L993&lt;TODAY(),$I993&lt;&gt;"Completed",$I993&lt;&gt;"Cancelled"),"Overdue","On Track"))</f>
        <v/>
      </c>
      <c r="S993" s="65">
        <f>IF($L993="","",TEXT($L993,"yyyy-mm"))</f>
        <v/>
      </c>
      <c r="T993" s="86">
        <f>IF($I993="","",IFERROR(INDEX(Action_Status_Map!$C$5:$C$11,MATCH($I993,Action_Status_Map!$A$5:$A$11,0)),""))</f>
        <v/>
      </c>
      <c r="U993" s="81" t="n"/>
      <c r="V993" s="82" t="n"/>
      <c r="W993" s="65">
        <f>IF(OR($I993&lt;&gt;"Completed",$M993="",$L993=""),"",IF($M993&lt;=$L993,"Yes","No"))</f>
        <v/>
      </c>
      <c r="X993" s="84">
        <f>IF($A993="","",COUNTIF(Task_Steps!$B$5:$B$2004,$A993))</f>
        <v/>
      </c>
      <c r="Y993" s="86">
        <f>IF($X993=0,"",COUNTIFS(Task_Steps!$B$5:$B$2004,$A993,Task_Steps!$H$5:$H$2004,"Completed")/$X993)</f>
        <v/>
      </c>
      <c r="Z993" s="81" t="n"/>
      <c r="AA993" s="81" t="n"/>
      <c r="AB993" s="67">
        <f>IF($F993="","",IFERROR(INDEX(Employee_Master!$E$5:$E$204,MATCH($F993,Employee_Master!$B$5:$B$204,0)),""))</f>
        <v/>
      </c>
      <c r="AC993" s="65">
        <f>IF(OR($A993="",$AB993=""),"",IF(OR($I993="Completed",$I993="Cancelled"),"Closed - in Manager Report","Active - in Manager Report"))</f>
        <v/>
      </c>
      <c r="AD993" s="81">
        <f>IF($A993="","",IFERROR(TEXTJOIN(", ",TRUE,FILTER(Task_Steps!$A$5:$A$2004,Task_Steps!$B$5:$B$2004=$A993)),""))</f>
        <v/>
      </c>
      <c r="AE993" s="84">
        <f>IF($A993="","",COUNTIFS(Task_Steps!$B$5:$B$2004,$A993,Task_Steps!$H$5:$H$2004,"&lt;&gt;Completed",Task_Steps!$H$5:$H$2004,"&lt;&gt;Cancelled"))</f>
        <v/>
      </c>
      <c r="AF993" s="81">
        <f>IF(OR($B993="",$A993=""),"",$B993&amp;" | "&amp;$A993)</f>
        <v/>
      </c>
    </row>
    <row r="994" ht="15" customHeight="1" s="40">
      <c r="A994" s="65">
        <f>IF(COUNTA(B994:F994)=0,"","TSK-"&amp;TEXT(ROW()-4,"0000"))</f>
        <v/>
      </c>
      <c r="B994" s="78" t="n"/>
      <c r="C994" s="78" t="n"/>
      <c r="D994" s="81" t="n"/>
      <c r="E994" s="81" t="n"/>
      <c r="F994" s="78" t="n"/>
      <c r="G994" s="67">
        <f>IF($F994="","",IFERROR(INDEX(Employee_Master!$C$5:$C$204,MATCH($F994,Employee_Master!$B$5:$B$204,0)),""))</f>
        <v/>
      </c>
      <c r="H994" s="78" t="n"/>
      <c r="I994" s="78" t="n"/>
      <c r="J994" s="67">
        <f>IF($I994="","",IFERROR(INDEX(Action_Status_Map!$B$5:$B$11,MATCH($I994,Action_Status_Map!$A$5:$A$11,0)),""))</f>
        <v/>
      </c>
      <c r="K994" s="82" t="n"/>
      <c r="L994" s="82" t="n"/>
      <c r="M994" s="82" t="n"/>
      <c r="N994" s="83" t="n"/>
      <c r="O994" s="83" t="n"/>
      <c r="P994" s="66">
        <f>IF(OR($N994="",$O994=""),"",$O994-$N994)</f>
        <v/>
      </c>
      <c r="Q994" s="84">
        <f>IF($K994="","",IF($M994&lt;&gt;"",$M994-$K994,TODAY()-$K994))</f>
        <v/>
      </c>
      <c r="R994" s="85">
        <f>IF(OR($L994="",$I994="Completed",$I994="Cancelled"),"",IF(AND($L994&lt;TODAY(),$I994&lt;&gt;"Completed",$I994&lt;&gt;"Cancelled"),"Overdue","On Track"))</f>
        <v/>
      </c>
      <c r="S994" s="65">
        <f>IF($L994="","",TEXT($L994,"yyyy-mm"))</f>
        <v/>
      </c>
      <c r="T994" s="86">
        <f>IF($I994="","",IFERROR(INDEX(Action_Status_Map!$C$5:$C$11,MATCH($I994,Action_Status_Map!$A$5:$A$11,0)),""))</f>
        <v/>
      </c>
      <c r="U994" s="81" t="n"/>
      <c r="V994" s="82" t="n"/>
      <c r="W994" s="65">
        <f>IF(OR($I994&lt;&gt;"Completed",$M994="",$L994=""),"",IF($M994&lt;=$L994,"Yes","No"))</f>
        <v/>
      </c>
      <c r="X994" s="84">
        <f>IF($A994="","",COUNTIF(Task_Steps!$B$5:$B$2004,$A994))</f>
        <v/>
      </c>
      <c r="Y994" s="86">
        <f>IF($X994=0,"",COUNTIFS(Task_Steps!$B$5:$B$2004,$A994,Task_Steps!$H$5:$H$2004,"Completed")/$X994)</f>
        <v/>
      </c>
      <c r="Z994" s="81" t="n"/>
      <c r="AA994" s="81" t="n"/>
      <c r="AB994" s="67">
        <f>IF($F994="","",IFERROR(INDEX(Employee_Master!$E$5:$E$204,MATCH($F994,Employee_Master!$B$5:$B$204,0)),""))</f>
        <v/>
      </c>
      <c r="AC994" s="65">
        <f>IF(OR($A994="",$AB994=""),"",IF(OR($I994="Completed",$I994="Cancelled"),"Closed - in Manager Report","Active - in Manager Report"))</f>
        <v/>
      </c>
      <c r="AD994" s="81">
        <f>IF($A994="","",IFERROR(TEXTJOIN(", ",TRUE,FILTER(Task_Steps!$A$5:$A$2004,Task_Steps!$B$5:$B$2004=$A994)),""))</f>
        <v/>
      </c>
      <c r="AE994" s="84">
        <f>IF($A994="","",COUNTIFS(Task_Steps!$B$5:$B$2004,$A994,Task_Steps!$H$5:$H$2004,"&lt;&gt;Completed",Task_Steps!$H$5:$H$2004,"&lt;&gt;Cancelled"))</f>
        <v/>
      </c>
      <c r="AF994" s="81">
        <f>IF(OR($B994="",$A994=""),"",$B994&amp;" | "&amp;$A994)</f>
        <v/>
      </c>
    </row>
    <row r="995" ht="15" customHeight="1" s="40">
      <c r="A995" s="65">
        <f>IF(COUNTA(B995:F995)=0,"","TSK-"&amp;TEXT(ROW()-4,"0000"))</f>
        <v/>
      </c>
      <c r="B995" s="78" t="n"/>
      <c r="C995" s="78" t="n"/>
      <c r="D995" s="81" t="n"/>
      <c r="E995" s="81" t="n"/>
      <c r="F995" s="78" t="n"/>
      <c r="G995" s="67">
        <f>IF($F995="","",IFERROR(INDEX(Employee_Master!$C$5:$C$204,MATCH($F995,Employee_Master!$B$5:$B$204,0)),""))</f>
        <v/>
      </c>
      <c r="H995" s="78" t="n"/>
      <c r="I995" s="78" t="n"/>
      <c r="J995" s="67">
        <f>IF($I995="","",IFERROR(INDEX(Action_Status_Map!$B$5:$B$11,MATCH($I995,Action_Status_Map!$A$5:$A$11,0)),""))</f>
        <v/>
      </c>
      <c r="K995" s="82" t="n"/>
      <c r="L995" s="82" t="n"/>
      <c r="M995" s="82" t="n"/>
      <c r="N995" s="83" t="n"/>
      <c r="O995" s="83" t="n"/>
      <c r="P995" s="66">
        <f>IF(OR($N995="",$O995=""),"",$O995-$N995)</f>
        <v/>
      </c>
      <c r="Q995" s="84">
        <f>IF($K995="","",IF($M995&lt;&gt;"",$M995-$K995,TODAY()-$K995))</f>
        <v/>
      </c>
      <c r="R995" s="85">
        <f>IF(OR($L995="",$I995="Completed",$I995="Cancelled"),"",IF(AND($L995&lt;TODAY(),$I995&lt;&gt;"Completed",$I995&lt;&gt;"Cancelled"),"Overdue","On Track"))</f>
        <v/>
      </c>
      <c r="S995" s="65">
        <f>IF($L995="","",TEXT($L995,"yyyy-mm"))</f>
        <v/>
      </c>
      <c r="T995" s="86">
        <f>IF($I995="","",IFERROR(INDEX(Action_Status_Map!$C$5:$C$11,MATCH($I995,Action_Status_Map!$A$5:$A$11,0)),""))</f>
        <v/>
      </c>
      <c r="U995" s="81" t="n"/>
      <c r="V995" s="82" t="n"/>
      <c r="W995" s="65">
        <f>IF(OR($I995&lt;&gt;"Completed",$M995="",$L995=""),"",IF($M995&lt;=$L995,"Yes","No"))</f>
        <v/>
      </c>
      <c r="X995" s="84">
        <f>IF($A995="","",COUNTIF(Task_Steps!$B$5:$B$2004,$A995))</f>
        <v/>
      </c>
      <c r="Y995" s="86">
        <f>IF($X995=0,"",COUNTIFS(Task_Steps!$B$5:$B$2004,$A995,Task_Steps!$H$5:$H$2004,"Completed")/$X995)</f>
        <v/>
      </c>
      <c r="Z995" s="81" t="n"/>
      <c r="AA995" s="81" t="n"/>
      <c r="AB995" s="67">
        <f>IF($F995="","",IFERROR(INDEX(Employee_Master!$E$5:$E$204,MATCH($F995,Employee_Master!$B$5:$B$204,0)),""))</f>
        <v/>
      </c>
      <c r="AC995" s="65">
        <f>IF(OR($A995="",$AB995=""),"",IF(OR($I995="Completed",$I995="Cancelled"),"Closed - in Manager Report","Active - in Manager Report"))</f>
        <v/>
      </c>
      <c r="AD995" s="81">
        <f>IF($A995="","",IFERROR(TEXTJOIN(", ",TRUE,FILTER(Task_Steps!$A$5:$A$2004,Task_Steps!$B$5:$B$2004=$A995)),""))</f>
        <v/>
      </c>
      <c r="AE995" s="84">
        <f>IF($A995="","",COUNTIFS(Task_Steps!$B$5:$B$2004,$A995,Task_Steps!$H$5:$H$2004,"&lt;&gt;Completed",Task_Steps!$H$5:$H$2004,"&lt;&gt;Cancelled"))</f>
        <v/>
      </c>
      <c r="AF995" s="81">
        <f>IF(OR($B995="",$A995=""),"",$B995&amp;" | "&amp;$A995)</f>
        <v/>
      </c>
    </row>
    <row r="996" ht="15" customHeight="1" s="40">
      <c r="A996" s="65">
        <f>IF(COUNTA(B996:F996)=0,"","TSK-"&amp;TEXT(ROW()-4,"0000"))</f>
        <v/>
      </c>
      <c r="B996" s="78" t="n"/>
      <c r="C996" s="78" t="n"/>
      <c r="D996" s="81" t="n"/>
      <c r="E996" s="81" t="n"/>
      <c r="F996" s="78" t="n"/>
      <c r="G996" s="67">
        <f>IF($F996="","",IFERROR(INDEX(Employee_Master!$C$5:$C$204,MATCH($F996,Employee_Master!$B$5:$B$204,0)),""))</f>
        <v/>
      </c>
      <c r="H996" s="78" t="n"/>
      <c r="I996" s="78" t="n"/>
      <c r="J996" s="67">
        <f>IF($I996="","",IFERROR(INDEX(Action_Status_Map!$B$5:$B$11,MATCH($I996,Action_Status_Map!$A$5:$A$11,0)),""))</f>
        <v/>
      </c>
      <c r="K996" s="82" t="n"/>
      <c r="L996" s="82" t="n"/>
      <c r="M996" s="82" t="n"/>
      <c r="N996" s="83" t="n"/>
      <c r="O996" s="83" t="n"/>
      <c r="P996" s="66">
        <f>IF(OR($N996="",$O996=""),"",$O996-$N996)</f>
        <v/>
      </c>
      <c r="Q996" s="84">
        <f>IF($K996="","",IF($M996&lt;&gt;"",$M996-$K996,TODAY()-$K996))</f>
        <v/>
      </c>
      <c r="R996" s="85">
        <f>IF(OR($L996="",$I996="Completed",$I996="Cancelled"),"",IF(AND($L996&lt;TODAY(),$I996&lt;&gt;"Completed",$I996&lt;&gt;"Cancelled"),"Overdue","On Track"))</f>
        <v/>
      </c>
      <c r="S996" s="65">
        <f>IF($L996="","",TEXT($L996,"yyyy-mm"))</f>
        <v/>
      </c>
      <c r="T996" s="86">
        <f>IF($I996="","",IFERROR(INDEX(Action_Status_Map!$C$5:$C$11,MATCH($I996,Action_Status_Map!$A$5:$A$11,0)),""))</f>
        <v/>
      </c>
      <c r="U996" s="81" t="n"/>
      <c r="V996" s="82" t="n"/>
      <c r="W996" s="65">
        <f>IF(OR($I996&lt;&gt;"Completed",$M996="",$L996=""),"",IF($M996&lt;=$L996,"Yes","No"))</f>
        <v/>
      </c>
      <c r="X996" s="84">
        <f>IF($A996="","",COUNTIF(Task_Steps!$B$5:$B$2004,$A996))</f>
        <v/>
      </c>
      <c r="Y996" s="86">
        <f>IF($X996=0,"",COUNTIFS(Task_Steps!$B$5:$B$2004,$A996,Task_Steps!$H$5:$H$2004,"Completed")/$X996)</f>
        <v/>
      </c>
      <c r="Z996" s="81" t="n"/>
      <c r="AA996" s="81" t="n"/>
      <c r="AB996" s="67">
        <f>IF($F996="","",IFERROR(INDEX(Employee_Master!$E$5:$E$204,MATCH($F996,Employee_Master!$B$5:$B$204,0)),""))</f>
        <v/>
      </c>
      <c r="AC996" s="65">
        <f>IF(OR($A996="",$AB996=""),"",IF(OR($I996="Completed",$I996="Cancelled"),"Closed - in Manager Report","Active - in Manager Report"))</f>
        <v/>
      </c>
      <c r="AD996" s="81">
        <f>IF($A996="","",IFERROR(TEXTJOIN(", ",TRUE,FILTER(Task_Steps!$A$5:$A$2004,Task_Steps!$B$5:$B$2004=$A996)),""))</f>
        <v/>
      </c>
      <c r="AE996" s="84">
        <f>IF($A996="","",COUNTIFS(Task_Steps!$B$5:$B$2004,$A996,Task_Steps!$H$5:$H$2004,"&lt;&gt;Completed",Task_Steps!$H$5:$H$2004,"&lt;&gt;Cancelled"))</f>
        <v/>
      </c>
      <c r="AF996" s="81">
        <f>IF(OR($B996="",$A996=""),"",$B996&amp;" | "&amp;$A996)</f>
        <v/>
      </c>
    </row>
    <row r="997" ht="15" customHeight="1" s="40">
      <c r="A997" s="65">
        <f>IF(COUNTA(B997:F997)=0,"","TSK-"&amp;TEXT(ROW()-4,"0000"))</f>
        <v/>
      </c>
      <c r="B997" s="78" t="n"/>
      <c r="C997" s="78" t="n"/>
      <c r="D997" s="81" t="n"/>
      <c r="E997" s="81" t="n"/>
      <c r="F997" s="78" t="n"/>
      <c r="G997" s="67">
        <f>IF($F997="","",IFERROR(INDEX(Employee_Master!$C$5:$C$204,MATCH($F997,Employee_Master!$B$5:$B$204,0)),""))</f>
        <v/>
      </c>
      <c r="H997" s="78" t="n"/>
      <c r="I997" s="78" t="n"/>
      <c r="J997" s="67">
        <f>IF($I997="","",IFERROR(INDEX(Action_Status_Map!$B$5:$B$11,MATCH($I997,Action_Status_Map!$A$5:$A$11,0)),""))</f>
        <v/>
      </c>
      <c r="K997" s="82" t="n"/>
      <c r="L997" s="82" t="n"/>
      <c r="M997" s="82" t="n"/>
      <c r="N997" s="83" t="n"/>
      <c r="O997" s="83" t="n"/>
      <c r="P997" s="66">
        <f>IF(OR($N997="",$O997=""),"",$O997-$N997)</f>
        <v/>
      </c>
      <c r="Q997" s="84">
        <f>IF($K997="","",IF($M997&lt;&gt;"",$M997-$K997,TODAY()-$K997))</f>
        <v/>
      </c>
      <c r="R997" s="85">
        <f>IF(OR($L997="",$I997="Completed",$I997="Cancelled"),"",IF(AND($L997&lt;TODAY(),$I997&lt;&gt;"Completed",$I997&lt;&gt;"Cancelled"),"Overdue","On Track"))</f>
        <v/>
      </c>
      <c r="S997" s="65">
        <f>IF($L997="","",TEXT($L997,"yyyy-mm"))</f>
        <v/>
      </c>
      <c r="T997" s="86">
        <f>IF($I997="","",IFERROR(INDEX(Action_Status_Map!$C$5:$C$11,MATCH($I997,Action_Status_Map!$A$5:$A$11,0)),""))</f>
        <v/>
      </c>
      <c r="U997" s="81" t="n"/>
      <c r="V997" s="82" t="n"/>
      <c r="W997" s="65">
        <f>IF(OR($I997&lt;&gt;"Completed",$M997="",$L997=""),"",IF($M997&lt;=$L997,"Yes","No"))</f>
        <v/>
      </c>
      <c r="X997" s="84">
        <f>IF($A997="","",COUNTIF(Task_Steps!$B$5:$B$2004,$A997))</f>
        <v/>
      </c>
      <c r="Y997" s="86">
        <f>IF($X997=0,"",COUNTIFS(Task_Steps!$B$5:$B$2004,$A997,Task_Steps!$H$5:$H$2004,"Completed")/$X997)</f>
        <v/>
      </c>
      <c r="Z997" s="81" t="n"/>
      <c r="AA997" s="81" t="n"/>
      <c r="AB997" s="67">
        <f>IF($F997="","",IFERROR(INDEX(Employee_Master!$E$5:$E$204,MATCH($F997,Employee_Master!$B$5:$B$204,0)),""))</f>
        <v/>
      </c>
      <c r="AC997" s="65">
        <f>IF(OR($A997="",$AB997=""),"",IF(OR($I997="Completed",$I997="Cancelled"),"Closed - in Manager Report","Active - in Manager Report"))</f>
        <v/>
      </c>
      <c r="AD997" s="81">
        <f>IF($A997="","",IFERROR(TEXTJOIN(", ",TRUE,FILTER(Task_Steps!$A$5:$A$2004,Task_Steps!$B$5:$B$2004=$A997)),""))</f>
        <v/>
      </c>
      <c r="AE997" s="84">
        <f>IF($A997="","",COUNTIFS(Task_Steps!$B$5:$B$2004,$A997,Task_Steps!$H$5:$H$2004,"&lt;&gt;Completed",Task_Steps!$H$5:$H$2004,"&lt;&gt;Cancelled"))</f>
        <v/>
      </c>
      <c r="AF997" s="81">
        <f>IF(OR($B997="",$A997=""),"",$B997&amp;" | "&amp;$A997)</f>
        <v/>
      </c>
    </row>
    <row r="998" ht="15" customHeight="1" s="40">
      <c r="A998" s="65">
        <f>IF(COUNTA(B998:F998)=0,"","TSK-"&amp;TEXT(ROW()-4,"0000"))</f>
        <v/>
      </c>
      <c r="B998" s="78" t="n"/>
      <c r="C998" s="78" t="n"/>
      <c r="D998" s="81" t="n"/>
      <c r="E998" s="81" t="n"/>
      <c r="F998" s="78" t="n"/>
      <c r="G998" s="67">
        <f>IF($F998="","",IFERROR(INDEX(Employee_Master!$C$5:$C$204,MATCH($F998,Employee_Master!$B$5:$B$204,0)),""))</f>
        <v/>
      </c>
      <c r="H998" s="78" t="n"/>
      <c r="I998" s="78" t="n"/>
      <c r="J998" s="67">
        <f>IF($I998="","",IFERROR(INDEX(Action_Status_Map!$B$5:$B$11,MATCH($I998,Action_Status_Map!$A$5:$A$11,0)),""))</f>
        <v/>
      </c>
      <c r="K998" s="82" t="n"/>
      <c r="L998" s="82" t="n"/>
      <c r="M998" s="82" t="n"/>
      <c r="N998" s="83" t="n"/>
      <c r="O998" s="83" t="n"/>
      <c r="P998" s="66">
        <f>IF(OR($N998="",$O998=""),"",$O998-$N998)</f>
        <v/>
      </c>
      <c r="Q998" s="84">
        <f>IF($K998="","",IF($M998&lt;&gt;"",$M998-$K998,TODAY()-$K998))</f>
        <v/>
      </c>
      <c r="R998" s="85">
        <f>IF(OR($L998="",$I998="Completed",$I998="Cancelled"),"",IF(AND($L998&lt;TODAY(),$I998&lt;&gt;"Completed",$I998&lt;&gt;"Cancelled"),"Overdue","On Track"))</f>
        <v/>
      </c>
      <c r="S998" s="65">
        <f>IF($L998="","",TEXT($L998,"yyyy-mm"))</f>
        <v/>
      </c>
      <c r="T998" s="86">
        <f>IF($I998="","",IFERROR(INDEX(Action_Status_Map!$C$5:$C$11,MATCH($I998,Action_Status_Map!$A$5:$A$11,0)),""))</f>
        <v/>
      </c>
      <c r="U998" s="81" t="n"/>
      <c r="V998" s="82" t="n"/>
      <c r="W998" s="65">
        <f>IF(OR($I998&lt;&gt;"Completed",$M998="",$L998=""),"",IF($M998&lt;=$L998,"Yes","No"))</f>
        <v/>
      </c>
      <c r="X998" s="84">
        <f>IF($A998="","",COUNTIF(Task_Steps!$B$5:$B$2004,$A998))</f>
        <v/>
      </c>
      <c r="Y998" s="86">
        <f>IF($X998=0,"",COUNTIFS(Task_Steps!$B$5:$B$2004,$A998,Task_Steps!$H$5:$H$2004,"Completed")/$X998)</f>
        <v/>
      </c>
      <c r="Z998" s="81" t="n"/>
      <c r="AA998" s="81" t="n"/>
      <c r="AB998" s="67">
        <f>IF($F998="","",IFERROR(INDEX(Employee_Master!$E$5:$E$204,MATCH($F998,Employee_Master!$B$5:$B$204,0)),""))</f>
        <v/>
      </c>
      <c r="AC998" s="65">
        <f>IF(OR($A998="",$AB998=""),"",IF(OR($I998="Completed",$I998="Cancelled"),"Closed - in Manager Report","Active - in Manager Report"))</f>
        <v/>
      </c>
      <c r="AD998" s="81">
        <f>IF($A998="","",IFERROR(TEXTJOIN(", ",TRUE,FILTER(Task_Steps!$A$5:$A$2004,Task_Steps!$B$5:$B$2004=$A998)),""))</f>
        <v/>
      </c>
      <c r="AE998" s="84">
        <f>IF($A998="","",COUNTIFS(Task_Steps!$B$5:$B$2004,$A998,Task_Steps!$H$5:$H$2004,"&lt;&gt;Completed",Task_Steps!$H$5:$H$2004,"&lt;&gt;Cancelled"))</f>
        <v/>
      </c>
      <c r="AF998" s="81">
        <f>IF(OR($B998="",$A998=""),"",$B998&amp;" | "&amp;$A998)</f>
        <v/>
      </c>
    </row>
    <row r="999" ht="15" customHeight="1" s="40">
      <c r="A999" s="65">
        <f>IF(COUNTA(B999:F999)=0,"","TSK-"&amp;TEXT(ROW()-4,"0000"))</f>
        <v/>
      </c>
      <c r="B999" s="78" t="n"/>
      <c r="C999" s="78" t="n"/>
      <c r="D999" s="81" t="n"/>
      <c r="E999" s="81" t="n"/>
      <c r="F999" s="78" t="n"/>
      <c r="G999" s="67">
        <f>IF($F999="","",IFERROR(INDEX(Employee_Master!$C$5:$C$204,MATCH($F999,Employee_Master!$B$5:$B$204,0)),""))</f>
        <v/>
      </c>
      <c r="H999" s="78" t="n"/>
      <c r="I999" s="78" t="n"/>
      <c r="J999" s="67">
        <f>IF($I999="","",IFERROR(INDEX(Action_Status_Map!$B$5:$B$11,MATCH($I999,Action_Status_Map!$A$5:$A$11,0)),""))</f>
        <v/>
      </c>
      <c r="K999" s="82" t="n"/>
      <c r="L999" s="82" t="n"/>
      <c r="M999" s="82" t="n"/>
      <c r="N999" s="83" t="n"/>
      <c r="O999" s="83" t="n"/>
      <c r="P999" s="66">
        <f>IF(OR($N999="",$O999=""),"",$O999-$N999)</f>
        <v/>
      </c>
      <c r="Q999" s="84">
        <f>IF($K999="","",IF($M999&lt;&gt;"",$M999-$K999,TODAY()-$K999))</f>
        <v/>
      </c>
      <c r="R999" s="85">
        <f>IF(OR($L999="",$I999="Completed",$I999="Cancelled"),"",IF(AND($L999&lt;TODAY(),$I999&lt;&gt;"Completed",$I999&lt;&gt;"Cancelled"),"Overdue","On Track"))</f>
        <v/>
      </c>
      <c r="S999" s="65">
        <f>IF($L999="","",TEXT($L999,"yyyy-mm"))</f>
        <v/>
      </c>
      <c r="T999" s="86">
        <f>IF($I999="","",IFERROR(INDEX(Action_Status_Map!$C$5:$C$11,MATCH($I999,Action_Status_Map!$A$5:$A$11,0)),""))</f>
        <v/>
      </c>
      <c r="U999" s="81" t="n"/>
      <c r="V999" s="82" t="n"/>
      <c r="W999" s="65">
        <f>IF(OR($I999&lt;&gt;"Completed",$M999="",$L999=""),"",IF($M999&lt;=$L999,"Yes","No"))</f>
        <v/>
      </c>
      <c r="X999" s="84">
        <f>IF($A999="","",COUNTIF(Task_Steps!$B$5:$B$2004,$A999))</f>
        <v/>
      </c>
      <c r="Y999" s="86">
        <f>IF($X999=0,"",COUNTIFS(Task_Steps!$B$5:$B$2004,$A999,Task_Steps!$H$5:$H$2004,"Completed")/$X999)</f>
        <v/>
      </c>
      <c r="Z999" s="81" t="n"/>
      <c r="AA999" s="81" t="n"/>
      <c r="AB999" s="67">
        <f>IF($F999="","",IFERROR(INDEX(Employee_Master!$E$5:$E$204,MATCH($F999,Employee_Master!$B$5:$B$204,0)),""))</f>
        <v/>
      </c>
      <c r="AC999" s="65">
        <f>IF(OR($A999="",$AB999=""),"",IF(OR($I999="Completed",$I999="Cancelled"),"Closed - in Manager Report","Active - in Manager Report"))</f>
        <v/>
      </c>
      <c r="AD999" s="81">
        <f>IF($A999="","",IFERROR(TEXTJOIN(", ",TRUE,FILTER(Task_Steps!$A$5:$A$2004,Task_Steps!$B$5:$B$2004=$A999)),""))</f>
        <v/>
      </c>
      <c r="AE999" s="84">
        <f>IF($A999="","",COUNTIFS(Task_Steps!$B$5:$B$2004,$A999,Task_Steps!$H$5:$H$2004,"&lt;&gt;Completed",Task_Steps!$H$5:$H$2004,"&lt;&gt;Cancelled"))</f>
        <v/>
      </c>
      <c r="AF999" s="81">
        <f>IF(OR($B999="",$A999=""),"",$B999&amp;" | "&amp;$A999)</f>
        <v/>
      </c>
    </row>
    <row r="1000" ht="15" customHeight="1" s="40">
      <c r="A1000" s="65">
        <f>IF(COUNTA(B1000:F1000)=0,"","TSK-"&amp;TEXT(ROW()-4,"0000"))</f>
        <v/>
      </c>
      <c r="B1000" s="78" t="n"/>
      <c r="C1000" s="78" t="n"/>
      <c r="D1000" s="81" t="n"/>
      <c r="E1000" s="81" t="n"/>
      <c r="F1000" s="78" t="n"/>
      <c r="G1000" s="67">
        <f>IF($F1000="","",IFERROR(INDEX(Employee_Master!$C$5:$C$204,MATCH($F1000,Employee_Master!$B$5:$B$204,0)),""))</f>
        <v/>
      </c>
      <c r="H1000" s="78" t="n"/>
      <c r="I1000" s="78" t="n"/>
      <c r="J1000" s="67">
        <f>IF($I1000="","",IFERROR(INDEX(Action_Status_Map!$B$5:$B$11,MATCH($I1000,Action_Status_Map!$A$5:$A$11,0)),""))</f>
        <v/>
      </c>
      <c r="K1000" s="82" t="n"/>
      <c r="L1000" s="82" t="n"/>
      <c r="M1000" s="82" t="n"/>
      <c r="N1000" s="83" t="n"/>
      <c r="O1000" s="83" t="n"/>
      <c r="P1000" s="66">
        <f>IF(OR($N1000="",$O1000=""),"",$O1000-$N1000)</f>
        <v/>
      </c>
      <c r="Q1000" s="84">
        <f>IF($K1000="","",IF($M1000&lt;&gt;"",$M1000-$K1000,TODAY()-$K1000))</f>
        <v/>
      </c>
      <c r="R1000" s="85">
        <f>IF(OR($L1000="",$I1000="Completed",$I1000="Cancelled"),"",IF(AND($L1000&lt;TODAY(),$I1000&lt;&gt;"Completed",$I1000&lt;&gt;"Cancelled"),"Overdue","On Track"))</f>
        <v/>
      </c>
      <c r="S1000" s="65">
        <f>IF($L1000="","",TEXT($L1000,"yyyy-mm"))</f>
        <v/>
      </c>
      <c r="T1000" s="86">
        <f>IF($I1000="","",IFERROR(INDEX(Action_Status_Map!$C$5:$C$11,MATCH($I1000,Action_Status_Map!$A$5:$A$11,0)),""))</f>
        <v/>
      </c>
      <c r="U1000" s="81" t="n"/>
      <c r="V1000" s="82" t="n"/>
      <c r="W1000" s="65">
        <f>IF(OR($I1000&lt;&gt;"Completed",$M1000="",$L1000=""),"",IF($M1000&lt;=$L1000,"Yes","No"))</f>
        <v/>
      </c>
      <c r="X1000" s="84">
        <f>IF($A1000="","",COUNTIF(Task_Steps!$B$5:$B$2004,$A1000))</f>
        <v/>
      </c>
      <c r="Y1000" s="86">
        <f>IF($X1000=0,"",COUNTIFS(Task_Steps!$B$5:$B$2004,$A1000,Task_Steps!$H$5:$H$2004,"Completed")/$X1000)</f>
        <v/>
      </c>
      <c r="Z1000" s="81" t="n"/>
      <c r="AA1000" s="81" t="n"/>
      <c r="AB1000" s="67">
        <f>IF($F1000="","",IFERROR(INDEX(Employee_Master!$E$5:$E$204,MATCH($F1000,Employee_Master!$B$5:$B$204,0)),""))</f>
        <v/>
      </c>
      <c r="AC1000" s="65">
        <f>IF(OR($A1000="",$AB1000=""),"",IF(OR($I1000="Completed",$I1000="Cancelled"),"Closed - in Manager Report","Active - in Manager Report"))</f>
        <v/>
      </c>
      <c r="AD1000" s="81">
        <f>IF($A1000="","",IFERROR(TEXTJOIN(", ",TRUE,FILTER(Task_Steps!$A$5:$A$2004,Task_Steps!$B$5:$B$2004=$A1000)),""))</f>
        <v/>
      </c>
      <c r="AE1000" s="84">
        <f>IF($A1000="","",COUNTIFS(Task_Steps!$B$5:$B$2004,$A1000,Task_Steps!$H$5:$H$2004,"&lt;&gt;Completed",Task_Steps!$H$5:$H$2004,"&lt;&gt;Cancelled"))</f>
        <v/>
      </c>
      <c r="AF1000" s="81">
        <f>IF(OR($B1000="",$A1000=""),"",$B1000&amp;" | "&amp;$A1000)</f>
        <v/>
      </c>
    </row>
    <row r="1001" ht="15" customHeight="1" s="40">
      <c r="A1001" s="65">
        <f>IF(COUNTA(B1001:F1001)=0,"","TSK-"&amp;TEXT(ROW()-4,"0000"))</f>
        <v/>
      </c>
      <c r="B1001" s="78" t="n"/>
      <c r="C1001" s="78" t="n"/>
      <c r="D1001" s="81" t="n"/>
      <c r="E1001" s="81" t="n"/>
      <c r="F1001" s="78" t="n"/>
      <c r="G1001" s="67">
        <f>IF($F1001="","",IFERROR(INDEX(Employee_Master!$C$5:$C$204,MATCH($F1001,Employee_Master!$B$5:$B$204,0)),""))</f>
        <v/>
      </c>
      <c r="H1001" s="78" t="n"/>
      <c r="I1001" s="78" t="n"/>
      <c r="J1001" s="67">
        <f>IF($I1001="","",IFERROR(INDEX(Action_Status_Map!$B$5:$B$11,MATCH($I1001,Action_Status_Map!$A$5:$A$11,0)),""))</f>
        <v/>
      </c>
      <c r="K1001" s="82" t="n"/>
      <c r="L1001" s="82" t="n"/>
      <c r="M1001" s="82" t="n"/>
      <c r="N1001" s="83" t="n"/>
      <c r="O1001" s="83" t="n"/>
      <c r="P1001" s="66">
        <f>IF(OR($N1001="",$O1001=""),"",$O1001-$N1001)</f>
        <v/>
      </c>
      <c r="Q1001" s="84">
        <f>IF($K1001="","",IF($M1001&lt;&gt;"",$M1001-$K1001,TODAY()-$K1001))</f>
        <v/>
      </c>
      <c r="R1001" s="85">
        <f>IF(OR($L1001="",$I1001="Completed",$I1001="Cancelled"),"",IF(AND($L1001&lt;TODAY(),$I1001&lt;&gt;"Completed",$I1001&lt;&gt;"Cancelled"),"Overdue","On Track"))</f>
        <v/>
      </c>
      <c r="S1001" s="65">
        <f>IF($L1001="","",TEXT($L1001,"yyyy-mm"))</f>
        <v/>
      </c>
      <c r="T1001" s="86">
        <f>IF($I1001="","",IFERROR(INDEX(Action_Status_Map!$C$5:$C$11,MATCH($I1001,Action_Status_Map!$A$5:$A$11,0)),""))</f>
        <v/>
      </c>
      <c r="U1001" s="81" t="n"/>
      <c r="V1001" s="82" t="n"/>
      <c r="W1001" s="65">
        <f>IF(OR($I1001&lt;&gt;"Completed",$M1001="",$L1001=""),"",IF($M1001&lt;=$L1001,"Yes","No"))</f>
        <v/>
      </c>
      <c r="X1001" s="84">
        <f>IF($A1001="","",COUNTIF(Task_Steps!$B$5:$B$2004,$A1001))</f>
        <v/>
      </c>
      <c r="Y1001" s="86">
        <f>IF($X1001=0,"",COUNTIFS(Task_Steps!$B$5:$B$2004,$A1001,Task_Steps!$H$5:$H$2004,"Completed")/$X1001)</f>
        <v/>
      </c>
      <c r="Z1001" s="81" t="n"/>
      <c r="AA1001" s="81" t="n"/>
      <c r="AB1001" s="67">
        <f>IF($F1001="","",IFERROR(INDEX(Employee_Master!$E$5:$E$204,MATCH($F1001,Employee_Master!$B$5:$B$204,0)),""))</f>
        <v/>
      </c>
      <c r="AC1001" s="65">
        <f>IF(OR($A1001="",$AB1001=""),"",IF(OR($I1001="Completed",$I1001="Cancelled"),"Closed - in Manager Report","Active - in Manager Report"))</f>
        <v/>
      </c>
      <c r="AD1001" s="81">
        <f>IF($A1001="","",IFERROR(TEXTJOIN(", ",TRUE,FILTER(Task_Steps!$A$5:$A$2004,Task_Steps!$B$5:$B$2004=$A1001)),""))</f>
        <v/>
      </c>
      <c r="AE1001" s="84">
        <f>IF($A1001="","",COUNTIFS(Task_Steps!$B$5:$B$2004,$A1001,Task_Steps!$H$5:$H$2004,"&lt;&gt;Completed",Task_Steps!$H$5:$H$2004,"&lt;&gt;Cancelled"))</f>
        <v/>
      </c>
      <c r="AF1001" s="81">
        <f>IF(OR($B1001="",$A1001=""),"",$B1001&amp;" | "&amp;$A1001)</f>
        <v/>
      </c>
    </row>
    <row r="1002" ht="15" customHeight="1" s="40">
      <c r="A1002" s="65">
        <f>IF(COUNTA(B1002:F1002)=0,"","TSK-"&amp;TEXT(ROW()-4,"0000"))</f>
        <v/>
      </c>
      <c r="B1002" s="78" t="n"/>
      <c r="C1002" s="78" t="n"/>
      <c r="D1002" s="81" t="n"/>
      <c r="E1002" s="81" t="n"/>
      <c r="F1002" s="78" t="n"/>
      <c r="G1002" s="67">
        <f>IF($F1002="","",IFERROR(INDEX(Employee_Master!$C$5:$C$204,MATCH($F1002,Employee_Master!$B$5:$B$204,0)),""))</f>
        <v/>
      </c>
      <c r="H1002" s="78" t="n"/>
      <c r="I1002" s="78" t="n"/>
      <c r="J1002" s="67">
        <f>IF($I1002="","",IFERROR(INDEX(Action_Status_Map!$B$5:$B$11,MATCH($I1002,Action_Status_Map!$A$5:$A$11,0)),""))</f>
        <v/>
      </c>
      <c r="K1002" s="82" t="n"/>
      <c r="L1002" s="82" t="n"/>
      <c r="M1002" s="82" t="n"/>
      <c r="N1002" s="83" t="n"/>
      <c r="O1002" s="83" t="n"/>
      <c r="P1002" s="66">
        <f>IF(OR($N1002="",$O1002=""),"",$O1002-$N1002)</f>
        <v/>
      </c>
      <c r="Q1002" s="84">
        <f>IF($K1002="","",IF($M1002&lt;&gt;"",$M1002-$K1002,TODAY()-$K1002))</f>
        <v/>
      </c>
      <c r="R1002" s="85">
        <f>IF(OR($L1002="",$I1002="Completed",$I1002="Cancelled"),"",IF(AND($L1002&lt;TODAY(),$I1002&lt;&gt;"Completed",$I1002&lt;&gt;"Cancelled"),"Overdue","On Track"))</f>
        <v/>
      </c>
      <c r="S1002" s="65">
        <f>IF($L1002="","",TEXT($L1002,"yyyy-mm"))</f>
        <v/>
      </c>
      <c r="T1002" s="86">
        <f>IF($I1002="","",IFERROR(INDEX(Action_Status_Map!$C$5:$C$11,MATCH($I1002,Action_Status_Map!$A$5:$A$11,0)),""))</f>
        <v/>
      </c>
      <c r="U1002" s="81" t="n"/>
      <c r="V1002" s="82" t="n"/>
      <c r="W1002" s="65">
        <f>IF(OR($I1002&lt;&gt;"Completed",$M1002="",$L1002=""),"",IF($M1002&lt;=$L1002,"Yes","No"))</f>
        <v/>
      </c>
      <c r="X1002" s="84">
        <f>IF($A1002="","",COUNTIF(Task_Steps!$B$5:$B$2004,$A1002))</f>
        <v/>
      </c>
      <c r="Y1002" s="86">
        <f>IF($X1002=0,"",COUNTIFS(Task_Steps!$B$5:$B$2004,$A1002,Task_Steps!$H$5:$H$2004,"Completed")/$X1002)</f>
        <v/>
      </c>
      <c r="Z1002" s="81" t="n"/>
      <c r="AA1002" s="81" t="n"/>
      <c r="AB1002" s="67">
        <f>IF($F1002="","",IFERROR(INDEX(Employee_Master!$E$5:$E$204,MATCH($F1002,Employee_Master!$B$5:$B$204,0)),""))</f>
        <v/>
      </c>
      <c r="AC1002" s="65">
        <f>IF(OR($A1002="",$AB1002=""),"",IF(OR($I1002="Completed",$I1002="Cancelled"),"Closed - in Manager Report","Active - in Manager Report"))</f>
        <v/>
      </c>
      <c r="AD1002" s="81">
        <f>IF($A1002="","",IFERROR(TEXTJOIN(", ",TRUE,FILTER(Task_Steps!$A$5:$A$2004,Task_Steps!$B$5:$B$2004=$A1002)),""))</f>
        <v/>
      </c>
      <c r="AE1002" s="84">
        <f>IF($A1002="","",COUNTIFS(Task_Steps!$B$5:$B$2004,$A1002,Task_Steps!$H$5:$H$2004,"&lt;&gt;Completed",Task_Steps!$H$5:$H$2004,"&lt;&gt;Cancelled"))</f>
        <v/>
      </c>
      <c r="AF1002" s="81">
        <f>IF(OR($B1002="",$A1002=""),"",$B1002&amp;" | "&amp;$A1002)</f>
        <v/>
      </c>
    </row>
    <row r="1003" ht="15" customHeight="1" s="40">
      <c r="A1003" s="65">
        <f>IF(COUNTA(B1003:F1003)=0,"","TSK-"&amp;TEXT(ROW()-4,"0000"))</f>
        <v/>
      </c>
      <c r="B1003" s="78" t="n"/>
      <c r="C1003" s="78" t="n"/>
      <c r="D1003" s="81" t="n"/>
      <c r="E1003" s="81" t="n"/>
      <c r="F1003" s="78" t="n"/>
      <c r="G1003" s="67">
        <f>IF($F1003="","",IFERROR(INDEX(Employee_Master!$C$5:$C$204,MATCH($F1003,Employee_Master!$B$5:$B$204,0)),""))</f>
        <v/>
      </c>
      <c r="H1003" s="78" t="n"/>
      <c r="I1003" s="78" t="n"/>
      <c r="J1003" s="67">
        <f>IF($I1003="","",IFERROR(INDEX(Action_Status_Map!$B$5:$B$11,MATCH($I1003,Action_Status_Map!$A$5:$A$11,0)),""))</f>
        <v/>
      </c>
      <c r="K1003" s="82" t="n"/>
      <c r="L1003" s="82" t="n"/>
      <c r="M1003" s="82" t="n"/>
      <c r="N1003" s="83" t="n"/>
      <c r="O1003" s="83" t="n"/>
      <c r="P1003" s="66">
        <f>IF(OR($N1003="",$O1003=""),"",$O1003-$N1003)</f>
        <v/>
      </c>
      <c r="Q1003" s="84">
        <f>IF($K1003="","",IF($M1003&lt;&gt;"",$M1003-$K1003,TODAY()-$K1003))</f>
        <v/>
      </c>
      <c r="R1003" s="85">
        <f>IF(OR($L1003="",$I1003="Completed",$I1003="Cancelled"),"",IF(AND($L1003&lt;TODAY(),$I1003&lt;&gt;"Completed",$I1003&lt;&gt;"Cancelled"),"Overdue","On Track"))</f>
        <v/>
      </c>
      <c r="S1003" s="65">
        <f>IF($L1003="","",TEXT($L1003,"yyyy-mm"))</f>
        <v/>
      </c>
      <c r="T1003" s="86">
        <f>IF($I1003="","",IFERROR(INDEX(Action_Status_Map!$C$5:$C$11,MATCH($I1003,Action_Status_Map!$A$5:$A$11,0)),""))</f>
        <v/>
      </c>
      <c r="U1003" s="81" t="n"/>
      <c r="V1003" s="82" t="n"/>
      <c r="W1003" s="65">
        <f>IF(OR($I1003&lt;&gt;"Completed",$M1003="",$L1003=""),"",IF($M1003&lt;=$L1003,"Yes","No"))</f>
        <v/>
      </c>
      <c r="X1003" s="84">
        <f>IF($A1003="","",COUNTIF(Task_Steps!$B$5:$B$2004,$A1003))</f>
        <v/>
      </c>
      <c r="Y1003" s="86">
        <f>IF($X1003=0,"",COUNTIFS(Task_Steps!$B$5:$B$2004,$A1003,Task_Steps!$H$5:$H$2004,"Completed")/$X1003)</f>
        <v/>
      </c>
      <c r="Z1003" s="81" t="n"/>
      <c r="AA1003" s="81" t="n"/>
      <c r="AB1003" s="67">
        <f>IF($F1003="","",IFERROR(INDEX(Employee_Master!$E$5:$E$204,MATCH($F1003,Employee_Master!$B$5:$B$204,0)),""))</f>
        <v/>
      </c>
      <c r="AC1003" s="65">
        <f>IF(OR($A1003="",$AB1003=""),"",IF(OR($I1003="Completed",$I1003="Cancelled"),"Closed - in Manager Report","Active - in Manager Report"))</f>
        <v/>
      </c>
      <c r="AD1003" s="81">
        <f>IF($A1003="","",IFERROR(TEXTJOIN(", ",TRUE,FILTER(Task_Steps!$A$5:$A$2004,Task_Steps!$B$5:$B$2004=$A1003)),""))</f>
        <v/>
      </c>
      <c r="AE1003" s="84">
        <f>IF($A1003="","",COUNTIFS(Task_Steps!$B$5:$B$2004,$A1003,Task_Steps!$H$5:$H$2004,"&lt;&gt;Completed",Task_Steps!$H$5:$H$2004,"&lt;&gt;Cancelled"))</f>
        <v/>
      </c>
      <c r="AF1003" s="81">
        <f>IF(OR($B1003="",$A1003=""),"",$B1003&amp;" | "&amp;$A1003)</f>
        <v/>
      </c>
    </row>
    <row r="1004" ht="15" customHeight="1" s="40">
      <c r="A1004" s="65">
        <f>IF(COUNTA(B1004:F1004)=0,"","TSK-"&amp;TEXT(ROW()-4,"0000"))</f>
        <v/>
      </c>
      <c r="B1004" s="78" t="n"/>
      <c r="C1004" s="78" t="n"/>
      <c r="D1004" s="81" t="n"/>
      <c r="E1004" s="81" t="n"/>
      <c r="F1004" s="78" t="n"/>
      <c r="G1004" s="67">
        <f>IF($F1004="","",IFERROR(INDEX(Employee_Master!$C$5:$C$204,MATCH($F1004,Employee_Master!$B$5:$B$204,0)),""))</f>
        <v/>
      </c>
      <c r="H1004" s="78" t="n"/>
      <c r="I1004" s="78" t="n"/>
      <c r="J1004" s="67">
        <f>IF($I1004="","",IFERROR(INDEX(Action_Status_Map!$B$5:$B$11,MATCH($I1004,Action_Status_Map!$A$5:$A$11,0)),""))</f>
        <v/>
      </c>
      <c r="K1004" s="82" t="n"/>
      <c r="L1004" s="82" t="n"/>
      <c r="M1004" s="82" t="n"/>
      <c r="N1004" s="83" t="n"/>
      <c r="O1004" s="83" t="n"/>
      <c r="P1004" s="66">
        <f>IF(OR($N1004="",$O1004=""),"",$O1004-$N1004)</f>
        <v/>
      </c>
      <c r="Q1004" s="84">
        <f>IF($K1004="","",IF($M1004&lt;&gt;"",$M1004-$K1004,TODAY()-$K1004))</f>
        <v/>
      </c>
      <c r="R1004" s="85">
        <f>IF(OR($L1004="",$I1004="Completed",$I1004="Cancelled"),"",IF(AND($L1004&lt;TODAY(),$I1004&lt;&gt;"Completed",$I1004&lt;&gt;"Cancelled"),"Overdue","On Track"))</f>
        <v/>
      </c>
      <c r="S1004" s="65">
        <f>IF($L1004="","",TEXT($L1004,"yyyy-mm"))</f>
        <v/>
      </c>
      <c r="T1004" s="86">
        <f>IF($I1004="","",IFERROR(INDEX(Action_Status_Map!$C$5:$C$11,MATCH($I1004,Action_Status_Map!$A$5:$A$11,0)),""))</f>
        <v/>
      </c>
      <c r="U1004" s="81" t="n"/>
      <c r="V1004" s="82" t="n"/>
      <c r="W1004" s="65">
        <f>IF(OR($I1004&lt;&gt;"Completed",$M1004="",$L1004=""),"",IF($M1004&lt;=$L1004,"Yes","No"))</f>
        <v/>
      </c>
      <c r="X1004" s="84">
        <f>IF($A1004="","",COUNTIF(Task_Steps!$B$5:$B$2004,$A1004))</f>
        <v/>
      </c>
      <c r="Y1004" s="86">
        <f>IF($X1004=0,"",COUNTIFS(Task_Steps!$B$5:$B$2004,$A1004,Task_Steps!$H$5:$H$2004,"Completed")/$X1004)</f>
        <v/>
      </c>
      <c r="Z1004" s="81" t="n"/>
      <c r="AA1004" s="81" t="n"/>
      <c r="AB1004" s="67">
        <f>IF($F1004="","",IFERROR(INDEX(Employee_Master!$E$5:$E$204,MATCH($F1004,Employee_Master!$B$5:$B$204,0)),""))</f>
        <v/>
      </c>
      <c r="AC1004" s="65">
        <f>IF(OR($A1004="",$AB1004=""),"",IF(OR($I1004="Completed",$I1004="Cancelled"),"Closed - in Manager Report","Active - in Manager Report"))</f>
        <v/>
      </c>
      <c r="AD1004" s="81">
        <f>IF($A1004="","",IFERROR(TEXTJOIN(", ",TRUE,FILTER(Task_Steps!$A$5:$A$2004,Task_Steps!$B$5:$B$2004=$A1004)),""))</f>
        <v/>
      </c>
      <c r="AE1004" s="84">
        <f>IF($A1004="","",COUNTIFS(Task_Steps!$B$5:$B$2004,$A1004,Task_Steps!$H$5:$H$2004,"&lt;&gt;Completed",Task_Steps!$H$5:$H$2004,"&lt;&gt;Cancelled"))</f>
        <v/>
      </c>
      <c r="AF1004" s="81">
        <f>IF(OR($B1004="",$A1004=""),"",$B1004&amp;" | "&amp;$A1004)</f>
        <v/>
      </c>
    </row>
  </sheetData>
  <autoFilter ref="A4:Z1004"/>
  <mergeCells count="2">
    <mergeCell ref="A1:Z1"/>
    <mergeCell ref="A2:Z2"/>
  </mergeCells>
  <conditionalFormatting sqref="A5:Z1004">
    <cfRule type="expression" rank="0" priority="2" equalAverage="0" aboveAverage="0" dxfId="9" text="" percent="0" bottom="0">
      <formula>$R5="Overdue"</formula>
    </cfRule>
    <cfRule type="expression" rank="0" priority="3" equalAverage="0" aboveAverage="0" dxfId="10" text="" percent="0" bottom="0">
      <formula>$I5="Completed"</formula>
    </cfRule>
    <cfRule type="expression" rank="0" priority="4" equalAverage="0" aboveAverage="0" dxfId="11" text="" percent="0" bottom="0">
      <formula>$I5="Blocked"</formula>
    </cfRule>
  </conditionalFormatting>
  <conditionalFormatting sqref="T5:T1004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5:Y1004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3">
    <dataValidation sqref="F5:F1004" showDropDown="0" showInputMessage="0" showErrorMessage="0" allowBlank="1" type="list" errorStyle="stop" operator="between">
      <formula1>EmployeeNames</formula1>
      <formula2>0</formula2>
    </dataValidation>
    <dataValidation sqref="H5:H1004" showDropDown="0" showInputMessage="0" showErrorMessage="0" allowBlank="1" type="list" errorStyle="stop" operator="between">
      <formula1>PriorityList</formula1>
      <formula2>0</formula2>
    </dataValidation>
    <dataValidation sqref="I5:I1004" showDropDown="0" showInputMessage="0" showErrorMessage="0" allowBlank="1" type="list" errorStyle="stop" operator="between">
      <formula1>StatusList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Y2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39" min="1" max="1"/>
    <col width="14" customWidth="1" style="39" min="2" max="2"/>
    <col width="24" customWidth="1" style="39" min="3" max="3"/>
    <col width="18" customWidth="1" style="39" min="4" max="4"/>
    <col width="20" customWidth="1" style="39" min="5" max="5"/>
    <col width="28" customWidth="1" style="39" min="6" max="6"/>
    <col width="20" customWidth="1" style="39" min="7" max="7"/>
    <col width="14" customWidth="1" style="39" min="8" max="8"/>
    <col width="15" customWidth="1" style="39" min="9" max="9"/>
    <col width="13" customWidth="1" style="39" min="10" max="11"/>
    <col width="15" customWidth="1" style="39" min="12" max="12"/>
    <col width="11" customWidth="1" style="39" min="13" max="14"/>
    <col width="13" customWidth="1" style="39" min="15" max="15"/>
    <col width="11" customWidth="1" style="39" min="16" max="16"/>
    <col width="12" customWidth="1" style="39" min="17" max="17"/>
    <col width="28" customWidth="1" style="39" min="18" max="18"/>
    <col width="18" customWidth="1" style="40" min="19" max="19"/>
    <col width="18" customWidth="1" style="40" min="20" max="20"/>
    <col width="18" customWidth="1" style="40" min="21" max="21"/>
    <col width="16" customWidth="1" style="40" min="22" max="22"/>
    <col width="22" customWidth="1" style="40" min="23" max="23"/>
    <col width="16" customWidth="1" style="40" min="24" max="24"/>
    <col width="22" customWidth="1" style="40" min="25" max="25"/>
  </cols>
  <sheetData>
    <row r="1" ht="19.5" customHeight="1" s="40">
      <c r="A1" s="53" t="inlineStr">
        <is>
          <t>Task Steps</t>
        </is>
      </c>
    </row>
    <row r="2" ht="15" customHeight="1" s="40">
      <c r="A2" s="77" t="inlineStr">
        <is>
          <t>Enter Parent Task ID for each step. Project, source, employee, status, and manager mapping pull automatically from Task_Tracker.</t>
        </is>
      </c>
    </row>
    <row r="4" ht="21.75" customHeight="1" s="40">
      <c r="A4" s="63" t="inlineStr">
        <is>
          <t>Step ID</t>
        </is>
      </c>
      <c r="B4" s="63" t="inlineStr">
        <is>
          <t>Parent Task ID</t>
        </is>
      </c>
      <c r="C4" s="63" t="inlineStr">
        <is>
          <t>Parent Task Title</t>
        </is>
      </c>
      <c r="D4" s="63" t="inlineStr">
        <is>
          <t>Parent Project</t>
        </is>
      </c>
      <c r="E4" s="63" t="inlineStr">
        <is>
          <t>Step Name</t>
        </is>
      </c>
      <c r="F4" s="63" t="inlineStr">
        <is>
          <t>Step Description</t>
        </is>
      </c>
      <c r="G4" s="63" t="inlineStr">
        <is>
          <t>Step Owner</t>
        </is>
      </c>
      <c r="H4" s="63" t="inlineStr">
        <is>
          <t>Step Status</t>
        </is>
      </c>
      <c r="I4" s="63" t="inlineStr">
        <is>
          <t>Action Type</t>
        </is>
      </c>
      <c r="J4" s="63" t="inlineStr">
        <is>
          <t>Planned Date</t>
        </is>
      </c>
      <c r="K4" s="63" t="inlineStr">
        <is>
          <t>Due Date</t>
        </is>
      </c>
      <c r="L4" s="63" t="inlineStr">
        <is>
          <t>Completed Date</t>
        </is>
      </c>
      <c r="M4" s="63" t="inlineStr">
        <is>
          <t>Est. Hours</t>
        </is>
      </c>
      <c r="N4" s="63" t="inlineStr">
        <is>
          <t>Actual Hours</t>
        </is>
      </c>
      <c r="O4" s="63" t="inlineStr">
        <is>
          <t>Hours Variance</t>
        </is>
      </c>
      <c r="P4" s="63" t="inlineStr">
        <is>
          <t>Days Open</t>
        </is>
      </c>
      <c r="Q4" s="63" t="inlineStr">
        <is>
          <t>Overdue</t>
        </is>
      </c>
      <c r="R4" s="63" t="inlineStr">
        <is>
          <t>Notes</t>
        </is>
      </c>
      <c r="S4" s="63" t="inlineStr">
        <is>
          <t>Parent Source</t>
        </is>
      </c>
      <c r="T4" s="63" t="inlineStr">
        <is>
          <t>Parent Manager</t>
        </is>
      </c>
      <c r="U4" s="63" t="inlineStr">
        <is>
          <t>Parent Employee</t>
        </is>
      </c>
      <c r="V4" s="63" t="inlineStr">
        <is>
          <t>Parent Task Status</t>
        </is>
      </c>
      <c r="W4" s="63" t="inlineStr">
        <is>
          <t>Project Key</t>
        </is>
      </c>
      <c r="X4" s="63" t="inlineStr">
        <is>
          <t>Step Month Bucket</t>
        </is>
      </c>
      <c r="Y4" s="63" t="inlineStr">
        <is>
          <t>Manager Report</t>
        </is>
      </c>
    </row>
    <row r="5" ht="15" customHeight="1" s="40">
      <c r="A5" s="65">
        <f>IF(COUNTA(B5:G5)=0,"","STP-"&amp;TEXT(ROW()-4,"0000"))</f>
        <v/>
      </c>
      <c r="B5" s="78" t="inlineStr">
        <is>
          <t>TSK-0001</t>
        </is>
      </c>
      <c r="C5" s="67">
        <f>IF($B5="","",IFERROR(INDEX(Task_Tracker!$D$5:$D$1004,MATCH($B5,Task_Tracker!$A$5:$A$1004,0)),""))</f>
        <v/>
      </c>
      <c r="D5" s="67">
        <f>IF($B5="","",IFERROR(INDEX(Task_Tracker!$B$5:$B$1004,MATCH($B5,Task_Tracker!$A$5:$A$1004,0)),""))</f>
        <v/>
      </c>
      <c r="E5" s="81" t="inlineStr">
        <is>
          <t>Gather kickoff notes</t>
        </is>
      </c>
      <c r="F5" s="81" t="inlineStr">
        <is>
          <t>Collect client and internal kickoff requirements.</t>
        </is>
      </c>
      <c r="G5" s="78" t="inlineStr">
        <is>
          <t>Pammi Gaur</t>
        </is>
      </c>
      <c r="H5" s="78" t="inlineStr">
        <is>
          <t>Completed</t>
        </is>
      </c>
      <c r="I5" s="67">
        <f>IF($H5="","",IFERROR(INDEX(Action_Status_Map!$B$5:$B$11,MATCH($H5,Action_Status_Map!$A$5:$A$11,0)),""))</f>
        <v/>
      </c>
      <c r="J5" s="82" t="n">
        <v>46113</v>
      </c>
      <c r="K5" s="82" t="n">
        <v>46114</v>
      </c>
      <c r="L5" s="82" t="n">
        <v>46113</v>
      </c>
      <c r="M5" s="83" t="n">
        <v>3</v>
      </c>
      <c r="N5" s="83" t="n">
        <v>3</v>
      </c>
      <c r="O5" s="66">
        <f>IF(OR($M5="",$N5=""),"",$N5-$M5)</f>
        <v/>
      </c>
      <c r="P5" s="84">
        <f>IF($J5="","",IF($L5&lt;&gt;"",$L5-$J5,TODAY()-$J5))</f>
        <v/>
      </c>
      <c r="Q5" s="85">
        <f>IF(OR($K5="",$H5="Completed",$H5="Cancelled"),"",IF(AND($K5&lt;TODAY(),$H5&lt;&gt;"Completed",$H5&lt;&gt;"Cancelled"),"Overdue","On Track"))</f>
        <v/>
      </c>
      <c r="R5" s="81" t="inlineStr">
        <is>
          <t>Kickoff notes documented.</t>
        </is>
      </c>
      <c r="S5" s="81">
        <f>IF($B5="","",IFERROR(INDEX(Task_Tracker!$AA$5:$AA$1004,MATCH($B5,Task_Tracker!$A$5:$A$1004,0)),""))</f>
        <v/>
      </c>
      <c r="T5" s="81">
        <f>IF($B5="","",IFERROR(INDEX(Task_Tracker!$AB$5:$AB$1004,MATCH($B5,Task_Tracker!$A$5:$A$1004,0)),""))</f>
        <v/>
      </c>
      <c r="U5" s="78">
        <f>IF($B5="","",IFERROR(INDEX(Task_Tracker!$F$5:$F$1004,MATCH($B5,Task_Tracker!$A$5:$A$1004,0)),""))</f>
        <v/>
      </c>
      <c r="V5" s="78">
        <f>IF($B5="","",IFERROR(INDEX(Task_Tracker!$I$5:$I$1004,MATCH($B5,Task_Tracker!$A$5:$A$1004,0)),""))</f>
        <v/>
      </c>
      <c r="W5" s="81">
        <f>IF(OR($D5="",$B5=""),"",$D5&amp;" | "&amp;$B5)</f>
        <v/>
      </c>
      <c r="X5" s="85">
        <f>IF($K5="","",TEXT($K5,"yyyy-mm"))</f>
        <v/>
      </c>
      <c r="Y5" s="81">
        <f>IF(OR($A5="",$T5=""),"","Included in Manager_Report")</f>
        <v/>
      </c>
    </row>
    <row r="6" ht="15" customHeight="1" s="40">
      <c r="A6" s="65">
        <f>IF(COUNTA(B6:G6)=0,"","STP-"&amp;TEXT(ROW()-4,"0000"))</f>
        <v/>
      </c>
      <c r="B6" s="78" t="inlineStr">
        <is>
          <t>TSK-0001</t>
        </is>
      </c>
      <c r="C6" s="67">
        <f>IF($B6="","",IFERROR(INDEX(Task_Tracker!$D$5:$D$1004,MATCH($B6,Task_Tracker!$A$5:$A$1004,0)),""))</f>
        <v/>
      </c>
      <c r="D6" s="67">
        <f>IF($B6="","",IFERROR(INDEX(Task_Tracker!$B$5:$B$1004,MATCH($B6,Task_Tracker!$A$5:$A$1004,0)),""))</f>
        <v/>
      </c>
      <c r="E6" s="81" t="inlineStr">
        <is>
          <t>Prepare requirement template</t>
        </is>
      </c>
      <c r="F6" s="81" t="inlineStr">
        <is>
          <t>Draft the requirement capture template.</t>
        </is>
      </c>
      <c r="G6" s="78" t="inlineStr">
        <is>
          <t>Pammi Gaur</t>
        </is>
      </c>
      <c r="H6" s="78" t="inlineStr">
        <is>
          <t>Completed</t>
        </is>
      </c>
      <c r="I6" s="67">
        <f>IF($H6="","",IFERROR(INDEX(Action_Status_Map!$B$5:$B$11,MATCH($H6,Action_Status_Map!$A$5:$A$11,0)),""))</f>
        <v/>
      </c>
      <c r="J6" s="82" t="n">
        <v>46113</v>
      </c>
      <c r="K6" s="82" t="n">
        <v>46115</v>
      </c>
      <c r="L6" s="82" t="n">
        <v>46115</v>
      </c>
      <c r="M6" s="83" t="n">
        <v>4</v>
      </c>
      <c r="N6" s="83" t="n">
        <v>4</v>
      </c>
      <c r="O6" s="66">
        <f>IF(OR($M6="",$N6=""),"",$N6-$M6)</f>
        <v/>
      </c>
      <c r="P6" s="84">
        <f>IF($J6="","",IF($L6&lt;&gt;"",$L6-$J6,TODAY()-$J6))</f>
        <v/>
      </c>
      <c r="Q6" s="85">
        <f>IF(OR($K6="",$H6="Completed",$H6="Cancelled"),"",IF(AND($K6&lt;TODAY(),$H6&lt;&gt;"Completed",$H6&lt;&gt;"Cancelled"),"Overdue","On Track"))</f>
        <v/>
      </c>
      <c r="R6" s="81" t="inlineStr">
        <is>
          <t>Template approved.</t>
        </is>
      </c>
      <c r="S6" s="81">
        <f>IF($B6="","",IFERROR(INDEX(Task_Tracker!$AA$5:$AA$1004,MATCH($B6,Task_Tracker!$A$5:$A$1004,0)),""))</f>
        <v/>
      </c>
      <c r="T6" s="81">
        <f>IF($B6="","",IFERROR(INDEX(Task_Tracker!$AB$5:$AB$1004,MATCH($B6,Task_Tracker!$A$5:$A$1004,0)),""))</f>
        <v/>
      </c>
      <c r="U6" s="78">
        <f>IF($B6="","",IFERROR(INDEX(Task_Tracker!$F$5:$F$1004,MATCH($B6,Task_Tracker!$A$5:$A$1004,0)),""))</f>
        <v/>
      </c>
      <c r="V6" s="78">
        <f>IF($B6="","",IFERROR(INDEX(Task_Tracker!$I$5:$I$1004,MATCH($B6,Task_Tracker!$A$5:$A$1004,0)),""))</f>
        <v/>
      </c>
      <c r="W6" s="81">
        <f>IF(OR($D6="",$B6=""),"",$D6&amp;" | "&amp;$B6)</f>
        <v/>
      </c>
      <c r="X6" s="85">
        <f>IF($K6="","",TEXT($K6,"yyyy-mm"))</f>
        <v/>
      </c>
      <c r="Y6" s="81">
        <f>IF(OR($A6="",$T6=""),"","Included in Manager_Report")</f>
        <v/>
      </c>
    </row>
    <row r="7" ht="15" customHeight="1" s="40">
      <c r="A7" s="65">
        <f>IF(COUNTA(B7:G7)=0,"","STP-"&amp;TEXT(ROW()-4,"0000"))</f>
        <v/>
      </c>
      <c r="B7" s="78" t="inlineStr">
        <is>
          <t>TSK-0001</t>
        </is>
      </c>
      <c r="C7" s="67">
        <f>IF($B7="","",IFERROR(INDEX(Task_Tracker!$D$5:$D$1004,MATCH($B7,Task_Tracker!$A$5:$A$1004,0)),""))</f>
        <v/>
      </c>
      <c r="D7" s="67">
        <f>IF($B7="","",IFERROR(INDEX(Task_Tracker!$B$5:$B$1004,MATCH($B7,Task_Tracker!$A$5:$A$1004,0)),""))</f>
        <v/>
      </c>
      <c r="E7" s="81" t="inlineStr">
        <is>
          <t>Finalize signed scope</t>
        </is>
      </c>
      <c r="F7" s="81" t="inlineStr">
        <is>
          <t>Close open questions and secure signoff.</t>
        </is>
      </c>
      <c r="G7" s="78" t="inlineStr">
        <is>
          <t>Pammi Gaur</t>
        </is>
      </c>
      <c r="H7" s="78" t="inlineStr">
        <is>
          <t>Completed</t>
        </is>
      </c>
      <c r="I7" s="67">
        <f>IF($H7="","",IFERROR(INDEX(Action_Status_Map!$B$5:$B$11,MATCH($H7,Action_Status_Map!$A$5:$A$11,0)),""))</f>
        <v/>
      </c>
      <c r="J7" s="82" t="n">
        <v>46115</v>
      </c>
      <c r="K7" s="82" t="n">
        <v>46117</v>
      </c>
      <c r="L7" s="82" t="n">
        <v>46116</v>
      </c>
      <c r="M7" s="83" t="n">
        <v>5</v>
      </c>
      <c r="N7" s="83" t="n">
        <v>4</v>
      </c>
      <c r="O7" s="66">
        <f>IF(OR($M7="",$N7=""),"",$N7-$M7)</f>
        <v/>
      </c>
      <c r="P7" s="84">
        <f>IF($J7="","",IF($L7&lt;&gt;"",$L7-$J7,TODAY()-$J7))</f>
        <v/>
      </c>
      <c r="Q7" s="85">
        <f>IF(OR($K7="",$H7="Completed",$H7="Cancelled"),"",IF(AND($K7&lt;TODAY(),$H7&lt;&gt;"Completed",$H7&lt;&gt;"Cancelled"),"Overdue","On Track"))</f>
        <v/>
      </c>
      <c r="R7" s="81" t="inlineStr">
        <is>
          <t>Signoff received.</t>
        </is>
      </c>
      <c r="S7" s="81">
        <f>IF($B7="","",IFERROR(INDEX(Task_Tracker!$AA$5:$AA$1004,MATCH($B7,Task_Tracker!$A$5:$A$1004,0)),""))</f>
        <v/>
      </c>
      <c r="T7" s="81">
        <f>IF($B7="","",IFERROR(INDEX(Task_Tracker!$AB$5:$AB$1004,MATCH($B7,Task_Tracker!$A$5:$A$1004,0)),""))</f>
        <v/>
      </c>
      <c r="U7" s="78">
        <f>IF($B7="","",IFERROR(INDEX(Task_Tracker!$F$5:$F$1004,MATCH($B7,Task_Tracker!$A$5:$A$1004,0)),""))</f>
        <v/>
      </c>
      <c r="V7" s="78">
        <f>IF($B7="","",IFERROR(INDEX(Task_Tracker!$I$5:$I$1004,MATCH($B7,Task_Tracker!$A$5:$A$1004,0)),""))</f>
        <v/>
      </c>
      <c r="W7" s="81">
        <f>IF(OR($D7="",$B7=""),"",$D7&amp;" | "&amp;$B7)</f>
        <v/>
      </c>
      <c r="X7" s="85">
        <f>IF($K7="","",TEXT($K7,"yyyy-mm"))</f>
        <v/>
      </c>
      <c r="Y7" s="81">
        <f>IF(OR($A7="",$T7=""),"","Included in Manager_Report")</f>
        <v/>
      </c>
    </row>
    <row r="8" ht="15" customHeight="1" s="40">
      <c r="A8" s="65">
        <f>IF(COUNTA(B8:G8)=0,"","STP-"&amp;TEXT(ROW()-4,"0000"))</f>
        <v/>
      </c>
      <c r="B8" s="78" t="inlineStr">
        <is>
          <t>TSK-0002</t>
        </is>
      </c>
      <c r="C8" s="67">
        <f>IF($B8="","",IFERROR(INDEX(Task_Tracker!$D$5:$D$1004,MATCH($B8,Task_Tracker!$A$5:$A$1004,0)),""))</f>
        <v/>
      </c>
      <c r="D8" s="67">
        <f>IF($B8="","",IFERROR(INDEX(Task_Tracker!$B$5:$B$1004,MATCH($B8,Task_Tracker!$A$5:$A$1004,0)),""))</f>
        <v/>
      </c>
      <c r="E8" s="81" t="inlineStr">
        <is>
          <t>Draft checklist structure</t>
        </is>
      </c>
      <c r="F8" s="81" t="inlineStr">
        <is>
          <t>Create the first version of the onboarding checklist.</t>
        </is>
      </c>
      <c r="G8" s="78" t="inlineStr">
        <is>
          <t>Pammi Gaur</t>
        </is>
      </c>
      <c r="H8" s="78" t="inlineStr">
        <is>
          <t>Completed</t>
        </is>
      </c>
      <c r="I8" s="67">
        <f>IF($H8="","",IFERROR(INDEX(Action_Status_Map!$B$5:$B$11,MATCH($H8,Action_Status_Map!$A$5:$A$11,0)),""))</f>
        <v/>
      </c>
      <c r="J8" s="82" t="n">
        <v>46118</v>
      </c>
      <c r="K8" s="82" t="n">
        <v>46119</v>
      </c>
      <c r="L8" s="82" t="n">
        <v>46119</v>
      </c>
      <c r="M8" s="83" t="n">
        <v>3</v>
      </c>
      <c r="N8" s="83" t="n">
        <v>3</v>
      </c>
      <c r="O8" s="66">
        <f>IF(OR($M8="",$N8=""),"",$N8-$M8)</f>
        <v/>
      </c>
      <c r="P8" s="84">
        <f>IF($J8="","",IF($L8&lt;&gt;"",$L8-$J8,TODAY()-$J8))</f>
        <v/>
      </c>
      <c r="Q8" s="85">
        <f>IF(OR($K8="",$H8="Completed",$H8="Cancelled"),"",IF(AND($K8&lt;TODAY(),$H8&lt;&gt;"Completed",$H8&lt;&gt;"Cancelled"),"Overdue","On Track"))</f>
        <v/>
      </c>
      <c r="R8" s="81" t="inlineStr">
        <is>
          <t>Version 1 completed.</t>
        </is>
      </c>
      <c r="S8" s="81">
        <f>IF($B8="","",IFERROR(INDEX(Task_Tracker!$AA$5:$AA$1004,MATCH($B8,Task_Tracker!$A$5:$A$1004,0)),""))</f>
        <v/>
      </c>
      <c r="T8" s="81">
        <f>IF($B8="","",IFERROR(INDEX(Task_Tracker!$AB$5:$AB$1004,MATCH($B8,Task_Tracker!$A$5:$A$1004,0)),""))</f>
        <v/>
      </c>
      <c r="U8" s="78">
        <f>IF($B8="","",IFERROR(INDEX(Task_Tracker!$F$5:$F$1004,MATCH($B8,Task_Tracker!$A$5:$A$1004,0)),""))</f>
        <v/>
      </c>
      <c r="V8" s="78">
        <f>IF($B8="","",IFERROR(INDEX(Task_Tracker!$I$5:$I$1004,MATCH($B8,Task_Tracker!$A$5:$A$1004,0)),""))</f>
        <v/>
      </c>
      <c r="W8" s="81">
        <f>IF(OR($D8="",$B8=""),"",$D8&amp;" | "&amp;$B8)</f>
        <v/>
      </c>
      <c r="X8" s="85">
        <f>IF($K8="","",TEXT($K8,"yyyy-mm"))</f>
        <v/>
      </c>
      <c r="Y8" s="81">
        <f>IF(OR($A8="",$T8=""),"","Included in Manager_Report")</f>
        <v/>
      </c>
    </row>
    <row r="9" ht="15" customHeight="1" s="40">
      <c r="A9" s="65">
        <f>IF(COUNTA(B9:G9)=0,"","STP-"&amp;TEXT(ROW()-4,"0000"))</f>
        <v/>
      </c>
      <c r="B9" s="78" t="inlineStr">
        <is>
          <t>TSK-0002</t>
        </is>
      </c>
      <c r="C9" s="67">
        <f>IF($B9="","",IFERROR(INDEX(Task_Tracker!$D$5:$D$1004,MATCH($B9,Task_Tracker!$A$5:$A$1004,0)),""))</f>
        <v/>
      </c>
      <c r="D9" s="67">
        <f>IF($B9="","",IFERROR(INDEX(Task_Tracker!$B$5:$B$1004,MATCH($B9,Task_Tracker!$A$5:$A$1004,0)),""))</f>
        <v/>
      </c>
      <c r="E9" s="81" t="inlineStr">
        <is>
          <t>Review checklist with ops</t>
        </is>
      </c>
      <c r="F9" s="81" t="inlineStr">
        <is>
          <t>Walk through checklist details with operations leads.</t>
        </is>
      </c>
      <c r="G9" s="78" t="inlineStr">
        <is>
          <t>Pammi Gaur</t>
        </is>
      </c>
      <c r="H9" s="78" t="inlineStr">
        <is>
          <t>In Progress</t>
        </is>
      </c>
      <c r="I9" s="67">
        <f>IF($H9="","",IFERROR(INDEX(Action_Status_Map!$B$5:$B$11,MATCH($H9,Action_Status_Map!$A$5:$A$11,0)),""))</f>
        <v/>
      </c>
      <c r="J9" s="82" t="n">
        <v>46120</v>
      </c>
      <c r="K9" s="82" t="n">
        <v>46122</v>
      </c>
      <c r="L9" s="82" t="n"/>
      <c r="M9" s="83" t="n">
        <v>4</v>
      </c>
      <c r="N9" s="83" t="n">
        <v>2</v>
      </c>
      <c r="O9" s="66">
        <f>IF(OR($M9="",$N9=""),"",$N9-$M9)</f>
        <v/>
      </c>
      <c r="P9" s="84">
        <f>IF($J9="","",IF($L9&lt;&gt;"",$L9-$J9,TODAY()-$J9))</f>
        <v/>
      </c>
      <c r="Q9" s="85">
        <f>IF(OR($K9="",$H9="Completed",$H9="Cancelled"),"",IF(AND($K9&lt;TODAY(),$H9&lt;&gt;"Completed",$H9&lt;&gt;"Cancelled"),"Overdue","On Track"))</f>
        <v/>
      </c>
      <c r="R9" s="81" t="inlineStr">
        <is>
          <t>Review in progress.</t>
        </is>
      </c>
      <c r="S9" s="81">
        <f>IF($B9="","",IFERROR(INDEX(Task_Tracker!$AA$5:$AA$1004,MATCH($B9,Task_Tracker!$A$5:$A$1004,0)),""))</f>
        <v/>
      </c>
      <c r="T9" s="81">
        <f>IF($B9="","",IFERROR(INDEX(Task_Tracker!$AB$5:$AB$1004,MATCH($B9,Task_Tracker!$A$5:$A$1004,0)),""))</f>
        <v/>
      </c>
      <c r="U9" s="78">
        <f>IF($B9="","",IFERROR(INDEX(Task_Tracker!$F$5:$F$1004,MATCH($B9,Task_Tracker!$A$5:$A$1004,0)),""))</f>
        <v/>
      </c>
      <c r="V9" s="78">
        <f>IF($B9="","",IFERROR(INDEX(Task_Tracker!$I$5:$I$1004,MATCH($B9,Task_Tracker!$A$5:$A$1004,0)),""))</f>
        <v/>
      </c>
      <c r="W9" s="81">
        <f>IF(OR($D9="",$B9=""),"",$D9&amp;" | "&amp;$B9)</f>
        <v/>
      </c>
      <c r="X9" s="85">
        <f>IF($K9="","",TEXT($K9,"yyyy-mm"))</f>
        <v/>
      </c>
      <c r="Y9" s="81">
        <f>IF(OR($A9="",$T9=""),"","Included in Manager_Report")</f>
        <v/>
      </c>
    </row>
    <row r="10" ht="15" customHeight="1" s="40">
      <c r="A10" s="65">
        <f>IF(COUNTA(B10:G10)=0,"","STP-"&amp;TEXT(ROW()-4,"0000"))</f>
        <v/>
      </c>
      <c r="B10" s="78" t="inlineStr">
        <is>
          <t>TSK-0002</t>
        </is>
      </c>
      <c r="C10" s="67">
        <f>IF($B10="","",IFERROR(INDEX(Task_Tracker!$D$5:$D$1004,MATCH($B10,Task_Tracker!$A$5:$A$1004,0)),""))</f>
        <v/>
      </c>
      <c r="D10" s="67">
        <f>IF($B10="","",IFERROR(INDEX(Task_Tracker!$B$5:$B$1004,MATCH($B10,Task_Tracker!$A$5:$A$1004,0)),""))</f>
        <v/>
      </c>
      <c r="E10" s="81" t="inlineStr">
        <is>
          <t>Publish final checklist</t>
        </is>
      </c>
      <c r="F10" s="81" t="inlineStr">
        <is>
          <t>Release the final checklist after review comments.</t>
        </is>
      </c>
      <c r="G10" s="78" t="inlineStr">
        <is>
          <t>Pammi Gaur</t>
        </is>
      </c>
      <c r="H10" s="78" t="inlineStr">
        <is>
          <t>Not Started</t>
        </is>
      </c>
      <c r="I10" s="67">
        <f>IF($H10="","",IFERROR(INDEX(Action_Status_Map!$B$5:$B$11,MATCH($H10,Action_Status_Map!$A$5:$A$11,0)),""))</f>
        <v/>
      </c>
      <c r="J10" s="82" t="n">
        <v>46122</v>
      </c>
      <c r="K10" s="82" t="n">
        <v>46124</v>
      </c>
      <c r="L10" s="82" t="n"/>
      <c r="M10" s="83" t="n">
        <v>3</v>
      </c>
      <c r="N10" s="83" t="n"/>
      <c r="O10" s="66">
        <f>IF(OR($M10="",$N10=""),"",$N10-$M10)</f>
        <v/>
      </c>
      <c r="P10" s="84">
        <f>IF($J10="","",IF($L10&lt;&gt;"",$L10-$J10,TODAY()-$J10))</f>
        <v/>
      </c>
      <c r="Q10" s="85">
        <f>IF(OR($K10="",$H10="Completed",$H10="Cancelled"),"",IF(AND($K10&lt;TODAY(),$H10&lt;&gt;"Completed",$H10&lt;&gt;"Cancelled"),"Overdue","On Track"))</f>
        <v/>
      </c>
      <c r="R10" s="81" t="inlineStr">
        <is>
          <t>Pending review completion.</t>
        </is>
      </c>
      <c r="S10" s="81">
        <f>IF($B10="","",IFERROR(INDEX(Task_Tracker!$AA$5:$AA$1004,MATCH($B10,Task_Tracker!$A$5:$A$1004,0)),""))</f>
        <v/>
      </c>
      <c r="T10" s="81">
        <f>IF($B10="","",IFERROR(INDEX(Task_Tracker!$AB$5:$AB$1004,MATCH($B10,Task_Tracker!$A$5:$A$1004,0)),""))</f>
        <v/>
      </c>
      <c r="U10" s="78">
        <f>IF($B10="","",IFERROR(INDEX(Task_Tracker!$F$5:$F$1004,MATCH($B10,Task_Tracker!$A$5:$A$1004,0)),""))</f>
        <v/>
      </c>
      <c r="V10" s="78">
        <f>IF($B10="","",IFERROR(INDEX(Task_Tracker!$I$5:$I$1004,MATCH($B10,Task_Tracker!$A$5:$A$1004,0)),""))</f>
        <v/>
      </c>
      <c r="W10" s="81">
        <f>IF(OR($D10="",$B10=""),"",$D10&amp;" | "&amp;$B10)</f>
        <v/>
      </c>
      <c r="X10" s="85">
        <f>IF($K10="","",TEXT($K10,"yyyy-mm"))</f>
        <v/>
      </c>
      <c r="Y10" s="81">
        <f>IF(OR($A10="",$T10=""),"","Included in Manager_Report")</f>
        <v/>
      </c>
    </row>
    <row r="11" ht="15" customHeight="1" s="40">
      <c r="A11" s="65">
        <f>IF(COUNTA(B11:G11)=0,"","STP-"&amp;TEXT(ROW()-4,"0000"))</f>
        <v/>
      </c>
      <c r="B11" s="78" t="inlineStr">
        <is>
          <t>TSK-0003</t>
        </is>
      </c>
      <c r="C11" s="67">
        <f>IF($B11="","",IFERROR(INDEX(Task_Tracker!$D$5:$D$1004,MATCH($B11,Task_Tracker!$A$5:$A$1004,0)),""))</f>
        <v/>
      </c>
      <c r="D11" s="67">
        <f>IF($B11="","",IFERROR(INDEX(Task_Tracker!$B$5:$B$1004,MATCH($B11,Task_Tracker!$A$5:$A$1004,0)),""))</f>
        <v/>
      </c>
      <c r="E11" s="81" t="inlineStr">
        <is>
          <t>Identify training topics</t>
        </is>
      </c>
      <c r="F11" s="81" t="inlineStr">
        <is>
          <t>Confirm the training modules and coverage.</t>
        </is>
      </c>
      <c r="G11" s="78" t="inlineStr">
        <is>
          <t>Pammi Gaur</t>
        </is>
      </c>
      <c r="H11" s="78" t="inlineStr">
        <is>
          <t>Completed</t>
        </is>
      </c>
      <c r="I11" s="67">
        <f>IF($H11="","",IFERROR(INDEX(Action_Status_Map!$B$5:$B$11,MATCH($H11,Action_Status_Map!$A$5:$A$11,0)),""))</f>
        <v/>
      </c>
      <c r="J11" s="82" t="n">
        <v>46120</v>
      </c>
      <c r="K11" s="82" t="n">
        <v>46121</v>
      </c>
      <c r="L11" s="82" t="n">
        <v>46121</v>
      </c>
      <c r="M11" s="83" t="n">
        <v>2</v>
      </c>
      <c r="N11" s="83" t="n">
        <v>2</v>
      </c>
      <c r="O11" s="66">
        <f>IF(OR($M11="",$N11=""),"",$N11-$M11)</f>
        <v/>
      </c>
      <c r="P11" s="84">
        <f>IF($J11="","",IF($L11&lt;&gt;"",$L11-$J11,TODAY()-$J11))</f>
        <v/>
      </c>
      <c r="Q11" s="85">
        <f>IF(OR($K11="",$H11="Completed",$H11="Cancelled"),"",IF(AND($K11&lt;TODAY(),$H11&lt;&gt;"Completed",$H11&lt;&gt;"Cancelled"),"Overdue","On Track"))</f>
        <v/>
      </c>
      <c r="R11" s="81" t="inlineStr">
        <is>
          <t>Topics confirmed.</t>
        </is>
      </c>
      <c r="S11" s="81">
        <f>IF($B11="","",IFERROR(INDEX(Task_Tracker!$AA$5:$AA$1004,MATCH($B11,Task_Tracker!$A$5:$A$1004,0)),""))</f>
        <v/>
      </c>
      <c r="T11" s="81">
        <f>IF($B11="","",IFERROR(INDEX(Task_Tracker!$AB$5:$AB$1004,MATCH($B11,Task_Tracker!$A$5:$A$1004,0)),""))</f>
        <v/>
      </c>
      <c r="U11" s="78">
        <f>IF($B11="","",IFERROR(INDEX(Task_Tracker!$F$5:$F$1004,MATCH($B11,Task_Tracker!$A$5:$A$1004,0)),""))</f>
        <v/>
      </c>
      <c r="V11" s="78">
        <f>IF($B11="","",IFERROR(INDEX(Task_Tracker!$I$5:$I$1004,MATCH($B11,Task_Tracker!$A$5:$A$1004,0)),""))</f>
        <v/>
      </c>
      <c r="W11" s="81">
        <f>IF(OR($D11="",$B11=""),"",$D11&amp;" | "&amp;$B11)</f>
        <v/>
      </c>
      <c r="X11" s="85">
        <f>IF($K11="","",TEXT($K11,"yyyy-mm"))</f>
        <v/>
      </c>
      <c r="Y11" s="81">
        <f>IF(OR($A11="",$T11=""),"","Included in Manager_Report")</f>
        <v/>
      </c>
    </row>
    <row r="12" ht="15" customHeight="1" s="40">
      <c r="A12" s="65">
        <f>IF(COUNTA(B12:G12)=0,"","STP-"&amp;TEXT(ROW()-4,"0000"))</f>
        <v/>
      </c>
      <c r="B12" s="78" t="inlineStr">
        <is>
          <t>TSK-0003</t>
        </is>
      </c>
      <c r="C12" s="67">
        <f>IF($B12="","",IFERROR(INDEX(Task_Tracker!$D$5:$D$1004,MATCH($B12,Task_Tracker!$A$5:$A$1004,0)),""))</f>
        <v/>
      </c>
      <c r="D12" s="67">
        <f>IF($B12="","",IFERROR(INDEX(Task_Tracker!$B$5:$B$1004,MATCH($B12,Task_Tracker!$A$5:$A$1004,0)),""))</f>
        <v/>
      </c>
      <c r="E12" s="81" t="inlineStr">
        <is>
          <t>Send proposed schedule</t>
        </is>
      </c>
      <c r="F12" s="81" t="inlineStr">
        <is>
          <t>Circulate the proposed training calendar.</t>
        </is>
      </c>
      <c r="G12" s="78" t="inlineStr">
        <is>
          <t>Pammi Gaur</t>
        </is>
      </c>
      <c r="H12" s="78" t="inlineStr">
        <is>
          <t>Review</t>
        </is>
      </c>
      <c r="I12" s="67">
        <f>IF($H12="","",IFERROR(INDEX(Action_Status_Map!$B$5:$B$11,MATCH($H12,Action_Status_Map!$A$5:$A$11,0)),""))</f>
        <v/>
      </c>
      <c r="J12" s="82" t="n">
        <v>46122</v>
      </c>
      <c r="K12" s="82" t="n">
        <v>46123</v>
      </c>
      <c r="L12" s="82" t="n"/>
      <c r="M12" s="83" t="n">
        <v>3</v>
      </c>
      <c r="N12" s="83" t="n">
        <v>3</v>
      </c>
      <c r="O12" s="66">
        <f>IF(OR($M12="",$N12=""),"",$N12-$M12)</f>
        <v/>
      </c>
      <c r="P12" s="84">
        <f>IF($J12="","",IF($L12&lt;&gt;"",$L12-$J12,TODAY()-$J12))</f>
        <v/>
      </c>
      <c r="Q12" s="85">
        <f>IF(OR($K12="",$H12="Completed",$H12="Cancelled"),"",IF(AND($K12&lt;TODAY(),$H12&lt;&gt;"Completed",$H12&lt;&gt;"Cancelled"),"Overdue","On Track"))</f>
        <v/>
      </c>
      <c r="R12" s="81" t="inlineStr">
        <is>
          <t>Shared for approval.</t>
        </is>
      </c>
      <c r="S12" s="81">
        <f>IF($B12="","",IFERROR(INDEX(Task_Tracker!$AA$5:$AA$1004,MATCH($B12,Task_Tracker!$A$5:$A$1004,0)),""))</f>
        <v/>
      </c>
      <c r="T12" s="81">
        <f>IF($B12="","",IFERROR(INDEX(Task_Tracker!$AB$5:$AB$1004,MATCH($B12,Task_Tracker!$A$5:$A$1004,0)),""))</f>
        <v/>
      </c>
      <c r="U12" s="78">
        <f>IF($B12="","",IFERROR(INDEX(Task_Tracker!$F$5:$F$1004,MATCH($B12,Task_Tracker!$A$5:$A$1004,0)),""))</f>
        <v/>
      </c>
      <c r="V12" s="78">
        <f>IF($B12="","",IFERROR(INDEX(Task_Tracker!$I$5:$I$1004,MATCH($B12,Task_Tracker!$A$5:$A$1004,0)),""))</f>
        <v/>
      </c>
      <c r="W12" s="81">
        <f>IF(OR($D12="",$B12=""),"",$D12&amp;" | "&amp;$B12)</f>
        <v/>
      </c>
      <c r="X12" s="85">
        <f>IF($K12="","",TEXT($K12,"yyyy-mm"))</f>
        <v/>
      </c>
      <c r="Y12" s="81">
        <f>IF(OR($A12="",$T12=""),"","Included in Manager_Report")</f>
        <v/>
      </c>
    </row>
    <row r="13" ht="15" customHeight="1" s="40">
      <c r="A13" s="65">
        <f>IF(COUNTA(B13:G13)=0,"","STP-"&amp;TEXT(ROW()-4,"0000"))</f>
        <v/>
      </c>
      <c r="B13" s="78" t="inlineStr">
        <is>
          <t>TSK-0003</t>
        </is>
      </c>
      <c r="C13" s="67">
        <f>IF($B13="","",IFERROR(INDEX(Task_Tracker!$D$5:$D$1004,MATCH($B13,Task_Tracker!$A$5:$A$1004,0)),""))</f>
        <v/>
      </c>
      <c r="D13" s="67">
        <f>IF($B13="","",IFERROR(INDEX(Task_Tracker!$B$5:$B$1004,MATCH($B13,Task_Tracker!$A$5:$A$1004,0)),""))</f>
        <v/>
      </c>
      <c r="E13" s="81" t="inlineStr">
        <is>
          <t>Confirm attendee list</t>
        </is>
      </c>
      <c r="F13" s="81" t="inlineStr">
        <is>
          <t>Validate final attendees with client stakeholders.</t>
        </is>
      </c>
      <c r="G13" s="78" t="inlineStr">
        <is>
          <t>Pammi Gaur</t>
        </is>
      </c>
      <c r="H13" s="78" t="inlineStr">
        <is>
          <t>In Progress</t>
        </is>
      </c>
      <c r="I13" s="67">
        <f>IF($H13="","",IFERROR(INDEX(Action_Status_Map!$B$5:$B$11,MATCH($H13,Action_Status_Map!$A$5:$A$11,0)),""))</f>
        <v/>
      </c>
      <c r="J13" s="82" t="n">
        <v>46123</v>
      </c>
      <c r="K13" s="82" t="n">
        <v>46126</v>
      </c>
      <c r="L13" s="82" t="n"/>
      <c r="M13" s="83" t="n">
        <v>3</v>
      </c>
      <c r="N13" s="83" t="n">
        <v>2</v>
      </c>
      <c r="O13" s="66">
        <f>IF(OR($M13="",$N13=""),"",$N13-$M13)</f>
        <v/>
      </c>
      <c r="P13" s="84">
        <f>IF($J13="","",IF($L13&lt;&gt;"",$L13-$J13,TODAY()-$J13))</f>
        <v/>
      </c>
      <c r="Q13" s="85">
        <f>IF(OR($K13="",$H13="Completed",$H13="Cancelled"),"",IF(AND($K13&lt;TODAY(),$H13&lt;&gt;"Completed",$H13&lt;&gt;"Cancelled"),"Overdue","On Track"))</f>
        <v/>
      </c>
      <c r="R13" s="81" t="inlineStr">
        <is>
          <t>Awaiting attendee confirmation.</t>
        </is>
      </c>
      <c r="S13" s="81">
        <f>IF($B13="","",IFERROR(INDEX(Task_Tracker!$AA$5:$AA$1004,MATCH($B13,Task_Tracker!$A$5:$A$1004,0)),""))</f>
        <v/>
      </c>
      <c r="T13" s="81">
        <f>IF($B13="","",IFERROR(INDEX(Task_Tracker!$AB$5:$AB$1004,MATCH($B13,Task_Tracker!$A$5:$A$1004,0)),""))</f>
        <v/>
      </c>
      <c r="U13" s="78">
        <f>IF($B13="","",IFERROR(INDEX(Task_Tracker!$F$5:$F$1004,MATCH($B13,Task_Tracker!$A$5:$A$1004,0)),""))</f>
        <v/>
      </c>
      <c r="V13" s="78">
        <f>IF($B13="","",IFERROR(INDEX(Task_Tracker!$I$5:$I$1004,MATCH($B13,Task_Tracker!$A$5:$A$1004,0)),""))</f>
        <v/>
      </c>
      <c r="W13" s="81">
        <f>IF(OR($D13="",$B13=""),"",$D13&amp;" | "&amp;$B13)</f>
        <v/>
      </c>
      <c r="X13" s="85">
        <f>IF($K13="","",TEXT($K13,"yyyy-mm"))</f>
        <v/>
      </c>
      <c r="Y13" s="81">
        <f>IF(OR($A13="",$T13=""),"","Included in Manager_Report")</f>
        <v/>
      </c>
    </row>
    <row r="14" ht="15" customHeight="1" s="40">
      <c r="A14" s="65">
        <f>IF(COUNTA(B14:G14)=0,"","STP-"&amp;TEXT(ROW()-4,"0000"))</f>
        <v/>
      </c>
      <c r="B14" s="78" t="inlineStr">
        <is>
          <t>TSK-0004</t>
        </is>
      </c>
      <c r="C14" s="67">
        <f>IF($B14="","",IFERROR(INDEX(Task_Tracker!$D$5:$D$1004,MATCH($B14,Task_Tracker!$A$5:$A$1004,0)),""))</f>
        <v/>
      </c>
      <c r="D14" s="67">
        <f>IF($B14="","",IFERROR(INDEX(Task_Tracker!$B$5:$B$1004,MATCH($B14,Task_Tracker!$A$5:$A$1004,0)),""))</f>
        <v/>
      </c>
      <c r="E14" s="81" t="inlineStr">
        <is>
          <t>Freeze content list</t>
        </is>
      </c>
      <c r="F14" s="81" t="inlineStr">
        <is>
          <t>Lock the website content inventory.</t>
        </is>
      </c>
      <c r="G14" s="78" t="inlineStr">
        <is>
          <t>Pammi Gaur</t>
        </is>
      </c>
      <c r="H14" s="78" t="inlineStr">
        <is>
          <t>Completed</t>
        </is>
      </c>
      <c r="I14" s="67">
        <f>IF($H14="","",IFERROR(INDEX(Action_Status_Map!$B$5:$B$11,MATCH($H14,Action_Status_Map!$A$5:$A$11,0)),""))</f>
        <v/>
      </c>
      <c r="J14" s="82" t="n">
        <v>46115</v>
      </c>
      <c r="K14" s="82" t="n">
        <v>46116</v>
      </c>
      <c r="L14" s="82" t="n">
        <v>46116</v>
      </c>
      <c r="M14" s="83" t="n">
        <v>2</v>
      </c>
      <c r="N14" s="83" t="n">
        <v>2</v>
      </c>
      <c r="O14" s="66">
        <f>IF(OR($M14="",$N14=""),"",$N14-$M14)</f>
        <v/>
      </c>
      <c r="P14" s="84">
        <f>IF($J14="","",IF($L14&lt;&gt;"",$L14-$J14,TODAY()-$J14))</f>
        <v/>
      </c>
      <c r="Q14" s="85">
        <f>IF(OR($K14="",$H14="Completed",$H14="Cancelled"),"",IF(AND($K14&lt;TODAY(),$H14&lt;&gt;"Completed",$H14&lt;&gt;"Cancelled"),"Overdue","On Track"))</f>
        <v/>
      </c>
      <c r="R14" s="81" t="inlineStr">
        <is>
          <t>Content list frozen.</t>
        </is>
      </c>
      <c r="S14" s="81">
        <f>IF($B14="","",IFERROR(INDEX(Task_Tracker!$AA$5:$AA$1004,MATCH($B14,Task_Tracker!$A$5:$A$1004,0)),""))</f>
        <v/>
      </c>
      <c r="T14" s="81">
        <f>IF($B14="","",IFERROR(INDEX(Task_Tracker!$AB$5:$AB$1004,MATCH($B14,Task_Tracker!$A$5:$A$1004,0)),""))</f>
        <v/>
      </c>
      <c r="U14" s="78">
        <f>IF($B14="","",IFERROR(INDEX(Task_Tracker!$F$5:$F$1004,MATCH($B14,Task_Tracker!$A$5:$A$1004,0)),""))</f>
        <v/>
      </c>
      <c r="V14" s="78">
        <f>IF($B14="","",IFERROR(INDEX(Task_Tracker!$I$5:$I$1004,MATCH($B14,Task_Tracker!$A$5:$A$1004,0)),""))</f>
        <v/>
      </c>
      <c r="W14" s="81">
        <f>IF(OR($D14="",$B14=""),"",$D14&amp;" | "&amp;$B14)</f>
        <v/>
      </c>
      <c r="X14" s="85">
        <f>IF($K14="","",TEXT($K14,"yyyy-mm"))</f>
        <v/>
      </c>
      <c r="Y14" s="81">
        <f>IF(OR($A14="",$T14=""),"","Included in Manager_Report")</f>
        <v/>
      </c>
    </row>
    <row r="15" ht="15" customHeight="1" s="40">
      <c r="A15" s="65">
        <f>IF(COUNTA(B15:G15)=0,"","STP-"&amp;TEXT(ROW()-4,"0000"))</f>
        <v/>
      </c>
      <c r="B15" s="78" t="inlineStr">
        <is>
          <t>TSK-0004</t>
        </is>
      </c>
      <c r="C15" s="67">
        <f>IF($B15="","",IFERROR(INDEX(Task_Tracker!$D$5:$D$1004,MATCH($B15,Task_Tracker!$A$5:$A$1004,0)),""))</f>
        <v/>
      </c>
      <c r="D15" s="67">
        <f>IF($B15="","",IFERROR(INDEX(Task_Tracker!$B$5:$B$1004,MATCH($B15,Task_Tracker!$A$5:$A$1004,0)),""))</f>
        <v/>
      </c>
      <c r="E15" s="81" t="inlineStr">
        <is>
          <t>Vendor approval for freeze</t>
        </is>
      </c>
      <c r="F15" s="81" t="inlineStr">
        <is>
          <t>Obtain vendor confirmation for freeze window.</t>
        </is>
      </c>
      <c r="G15" s="78" t="inlineStr">
        <is>
          <t>Pammi Gaur</t>
        </is>
      </c>
      <c r="H15" s="78" t="inlineStr">
        <is>
          <t>Blocked</t>
        </is>
      </c>
      <c r="I15" s="67">
        <f>IF($H15="","",IFERROR(INDEX(Action_Status_Map!$B$5:$B$11,MATCH($H15,Action_Status_Map!$A$5:$A$11,0)),""))</f>
        <v/>
      </c>
      <c r="J15" s="82" t="n">
        <v>46117</v>
      </c>
      <c r="K15" s="82" t="n">
        <v>46120</v>
      </c>
      <c r="L15" s="82" t="n"/>
      <c r="M15" s="83" t="n">
        <v>4</v>
      </c>
      <c r="N15" s="83" t="n">
        <v>1</v>
      </c>
      <c r="O15" s="66">
        <f>IF(OR($M15="",$N15=""),"",$N15-$M15)</f>
        <v/>
      </c>
      <c r="P15" s="84">
        <f>IF($J15="","",IF($L15&lt;&gt;"",$L15-$J15,TODAY()-$J15))</f>
        <v/>
      </c>
      <c r="Q15" s="85">
        <f>IF(OR($K15="",$H15="Completed",$H15="Cancelled"),"",IF(AND($K15&lt;TODAY(),$H15&lt;&gt;"Completed",$H15&lt;&gt;"Cancelled"),"Overdue","On Track"))</f>
        <v/>
      </c>
      <c r="R15" s="81" t="inlineStr">
        <is>
          <t>Vendor confirmation still pending.</t>
        </is>
      </c>
      <c r="S15" s="81">
        <f>IF($B15="","",IFERROR(INDEX(Task_Tracker!$AA$5:$AA$1004,MATCH($B15,Task_Tracker!$A$5:$A$1004,0)),""))</f>
        <v/>
      </c>
      <c r="T15" s="81">
        <f>IF($B15="","",IFERROR(INDEX(Task_Tracker!$AB$5:$AB$1004,MATCH($B15,Task_Tracker!$A$5:$A$1004,0)),""))</f>
        <v/>
      </c>
      <c r="U15" s="78">
        <f>IF($B15="","",IFERROR(INDEX(Task_Tracker!$F$5:$F$1004,MATCH($B15,Task_Tracker!$A$5:$A$1004,0)),""))</f>
        <v/>
      </c>
      <c r="V15" s="78">
        <f>IF($B15="","",IFERROR(INDEX(Task_Tracker!$I$5:$I$1004,MATCH($B15,Task_Tracker!$A$5:$A$1004,0)),""))</f>
        <v/>
      </c>
      <c r="W15" s="81">
        <f>IF(OR($D15="",$B15=""),"",$D15&amp;" | "&amp;$B15)</f>
        <v/>
      </c>
      <c r="X15" s="85">
        <f>IF($K15="","",TEXT($K15,"yyyy-mm"))</f>
        <v/>
      </c>
      <c r="Y15" s="81">
        <f>IF(OR($A15="",$T15=""),"","Included in Manager_Report")</f>
        <v/>
      </c>
    </row>
    <row r="16" ht="15" customHeight="1" s="40">
      <c r="A16" s="65">
        <f>IF(COUNTA(B16:G16)=0,"","STP-"&amp;TEXT(ROW()-4,"0000"))</f>
        <v/>
      </c>
      <c r="B16" s="78" t="inlineStr">
        <is>
          <t>TSK-0005</t>
        </is>
      </c>
      <c r="C16" s="67">
        <f>IF($B16="","",IFERROR(INDEX(Task_Tracker!$D$5:$D$1004,MATCH($B16,Task_Tracker!$A$5:$A$1004,0)),""))</f>
        <v/>
      </c>
      <c r="D16" s="67">
        <f>IF($B16="","",IFERROR(INDEX(Task_Tracker!$B$5:$B$1004,MATCH($B16,Task_Tracker!$A$5:$A$1004,0)),""))</f>
        <v/>
      </c>
      <c r="E16" s="81" t="inlineStr">
        <is>
          <t>Outline readiness criteria</t>
        </is>
      </c>
      <c r="F16" s="81" t="inlineStr">
        <is>
          <t>Define the readiness criteria for go-live.</t>
        </is>
      </c>
      <c r="G16" s="78" t="inlineStr">
        <is>
          <t>Pammi Gaur</t>
        </is>
      </c>
      <c r="H16" s="78" t="inlineStr">
        <is>
          <t>Not Started</t>
        </is>
      </c>
      <c r="I16" s="67">
        <f>IF($H16="","",IFERROR(INDEX(Action_Status_Map!$B$5:$B$11,MATCH($H16,Action_Status_Map!$A$5:$A$11,0)),""))</f>
        <v/>
      </c>
      <c r="J16" s="82" t="n">
        <v>46143</v>
      </c>
      <c r="K16" s="82" t="n">
        <v>46145</v>
      </c>
      <c r="L16" s="82" t="n"/>
      <c r="M16" s="83" t="n">
        <v>3</v>
      </c>
      <c r="N16" s="83" t="n"/>
      <c r="O16" s="66">
        <f>IF(OR($M16="",$N16=""),"",$N16-$M16)</f>
        <v/>
      </c>
      <c r="P16" s="84">
        <f>IF($J16="","",IF($L16&lt;&gt;"",$L16-$J16,TODAY()-$J16))</f>
        <v/>
      </c>
      <c r="Q16" s="85">
        <f>IF(OR($K16="",$H16="Completed",$H16="Cancelled"),"",IF(AND($K16&lt;TODAY(),$H16&lt;&gt;"Completed",$H16&lt;&gt;"Cancelled"),"Overdue","On Track"))</f>
        <v/>
      </c>
      <c r="R16" s="81" t="inlineStr">
        <is>
          <t>Planned for May.</t>
        </is>
      </c>
      <c r="S16" s="81">
        <f>IF($B16="","",IFERROR(INDEX(Task_Tracker!$AA$5:$AA$1004,MATCH($B16,Task_Tracker!$A$5:$A$1004,0)),""))</f>
        <v/>
      </c>
      <c r="T16" s="81">
        <f>IF($B16="","",IFERROR(INDEX(Task_Tracker!$AB$5:$AB$1004,MATCH($B16,Task_Tracker!$A$5:$A$1004,0)),""))</f>
        <v/>
      </c>
      <c r="U16" s="78">
        <f>IF($B16="","",IFERROR(INDEX(Task_Tracker!$F$5:$F$1004,MATCH($B16,Task_Tracker!$A$5:$A$1004,0)),""))</f>
        <v/>
      </c>
      <c r="V16" s="78">
        <f>IF($B16="","",IFERROR(INDEX(Task_Tracker!$I$5:$I$1004,MATCH($B16,Task_Tracker!$A$5:$A$1004,0)),""))</f>
        <v/>
      </c>
      <c r="W16" s="81">
        <f>IF(OR($D16="",$B16=""),"",$D16&amp;" | "&amp;$B16)</f>
        <v/>
      </c>
      <c r="X16" s="85">
        <f>IF($K16="","",TEXT($K16,"yyyy-mm"))</f>
        <v/>
      </c>
      <c r="Y16" s="81">
        <f>IF(OR($A16="",$T16=""),"","Included in Manager_Report")</f>
        <v/>
      </c>
    </row>
    <row r="17" ht="15" customHeight="1" s="40">
      <c r="A17" s="65">
        <f>IF(COUNTA(B17:G17)=0,"","STP-"&amp;TEXT(ROW()-4,"0000"))</f>
        <v/>
      </c>
      <c r="B17" s="78" t="inlineStr">
        <is>
          <t>TSK-0005</t>
        </is>
      </c>
      <c r="C17" s="67">
        <f>IF($B17="","",IFERROR(INDEX(Task_Tracker!$D$5:$D$1004,MATCH($B17,Task_Tracker!$A$5:$A$1004,0)),""))</f>
        <v/>
      </c>
      <c r="D17" s="67">
        <f>IF($B17="","",IFERROR(INDEX(Task_Tracker!$B$5:$B$1004,MATCH($B17,Task_Tracker!$A$5:$A$1004,0)),""))</f>
        <v/>
      </c>
      <c r="E17" s="81" t="inlineStr">
        <is>
          <t>Collect owner signoff dates</t>
        </is>
      </c>
      <c r="F17" s="81" t="inlineStr">
        <is>
          <t>Gather owner confirmations and availability.</t>
        </is>
      </c>
      <c r="G17" s="78" t="inlineStr">
        <is>
          <t>Pammi Gaur</t>
        </is>
      </c>
      <c r="H17" s="78" t="inlineStr">
        <is>
          <t>Not Started</t>
        </is>
      </c>
      <c r="I17" s="67">
        <f>IF($H17="","",IFERROR(INDEX(Action_Status_Map!$B$5:$B$11,MATCH($H17,Action_Status_Map!$A$5:$A$11,0)),""))</f>
        <v/>
      </c>
      <c r="J17" s="82" t="n">
        <v>46146</v>
      </c>
      <c r="K17" s="82" t="n">
        <v>46148</v>
      </c>
      <c r="L17" s="82" t="n"/>
      <c r="M17" s="83" t="n">
        <v>2</v>
      </c>
      <c r="N17" s="83" t="n"/>
      <c r="O17" s="66">
        <f>IF(OR($M17="",$N17=""),"",$N17-$M17)</f>
        <v/>
      </c>
      <c r="P17" s="84">
        <f>IF($J17="","",IF($L17&lt;&gt;"",$L17-$J17,TODAY()-$J17))</f>
        <v/>
      </c>
      <c r="Q17" s="85">
        <f>IF(OR($K17="",$H17="Completed",$H17="Cancelled"),"",IF(AND($K17&lt;TODAY(),$H17&lt;&gt;"Completed",$H17&lt;&gt;"Cancelled"),"Overdue","On Track"))</f>
        <v/>
      </c>
      <c r="R17" s="81" t="inlineStr">
        <is>
          <t>Not yet started.</t>
        </is>
      </c>
      <c r="S17" s="81">
        <f>IF($B17="","",IFERROR(INDEX(Task_Tracker!$AA$5:$AA$1004,MATCH($B17,Task_Tracker!$A$5:$A$1004,0)),""))</f>
        <v/>
      </c>
      <c r="T17" s="81">
        <f>IF($B17="","",IFERROR(INDEX(Task_Tracker!$AB$5:$AB$1004,MATCH($B17,Task_Tracker!$A$5:$A$1004,0)),""))</f>
        <v/>
      </c>
      <c r="U17" s="78">
        <f>IF($B17="","",IFERROR(INDEX(Task_Tracker!$F$5:$F$1004,MATCH($B17,Task_Tracker!$A$5:$A$1004,0)),""))</f>
        <v/>
      </c>
      <c r="V17" s="78">
        <f>IF($B17="","",IFERROR(INDEX(Task_Tracker!$I$5:$I$1004,MATCH($B17,Task_Tracker!$A$5:$A$1004,0)),""))</f>
        <v/>
      </c>
      <c r="W17" s="81">
        <f>IF(OR($D17="",$B17=""),"",$D17&amp;" | "&amp;$B17)</f>
        <v/>
      </c>
      <c r="X17" s="85">
        <f>IF($K17="","",TEXT($K17,"yyyy-mm"))</f>
        <v/>
      </c>
      <c r="Y17" s="81">
        <f>IF(OR($A17="",$T17=""),"","Included in Manager_Report")</f>
        <v/>
      </c>
    </row>
    <row r="18" ht="15" customHeight="1" s="40">
      <c r="A18" s="65">
        <f>IF(COUNTA(B18:G18)=0,"","STP-"&amp;TEXT(ROW()-4,"0000"))</f>
        <v/>
      </c>
      <c r="B18" s="78" t="inlineStr">
        <is>
          <t>TSK-0005</t>
        </is>
      </c>
      <c r="C18" s="67">
        <f>IF($B18="","",IFERROR(INDEX(Task_Tracker!$D$5:$D$1004,MATCH($B18,Task_Tracker!$A$5:$A$1004,0)),""))</f>
        <v/>
      </c>
      <c r="D18" s="67">
        <f>IF($B18="","",IFERROR(INDEX(Task_Tracker!$B$5:$B$1004,MATCH($B18,Task_Tracker!$A$5:$A$1004,0)),""))</f>
        <v/>
      </c>
      <c r="E18" s="81" t="inlineStr">
        <is>
          <t>Publish launch checklist</t>
        </is>
      </c>
      <c r="F18" s="81" t="inlineStr">
        <is>
          <t>Share final launch readiness checklist.</t>
        </is>
      </c>
      <c r="G18" s="78" t="inlineStr">
        <is>
          <t>Pammi Gaur</t>
        </is>
      </c>
      <c r="H18" s="78" t="inlineStr">
        <is>
          <t>Not Started</t>
        </is>
      </c>
      <c r="I18" s="67">
        <f>IF($H18="","",IFERROR(INDEX(Action_Status_Map!$B$5:$B$11,MATCH($H18,Action_Status_Map!$A$5:$A$11,0)),""))</f>
        <v/>
      </c>
      <c r="J18" s="82" t="n">
        <v>46148</v>
      </c>
      <c r="K18" s="82" t="n">
        <v>46150</v>
      </c>
      <c r="L18" s="82" t="n"/>
      <c r="M18" s="83" t="n">
        <v>2</v>
      </c>
      <c r="N18" s="83" t="n"/>
      <c r="O18" s="66">
        <f>IF(OR($M18="",$N18=""),"",$N18-$M18)</f>
        <v/>
      </c>
      <c r="P18" s="84">
        <f>IF($J18="","",IF($L18&lt;&gt;"",$L18-$J18,TODAY()-$J18))</f>
        <v/>
      </c>
      <c r="Q18" s="85">
        <f>IF(OR($K18="",$H18="Completed",$H18="Cancelled"),"",IF(AND($K18&lt;TODAY(),$H18&lt;&gt;"Completed",$H18&lt;&gt;"Cancelled"),"Overdue","On Track"))</f>
        <v/>
      </c>
      <c r="R18" s="81" t="inlineStr">
        <is>
          <t>Scheduled after signoffs.</t>
        </is>
      </c>
      <c r="S18" s="81">
        <f>IF($B18="","",IFERROR(INDEX(Task_Tracker!$AA$5:$AA$1004,MATCH($B18,Task_Tracker!$A$5:$A$1004,0)),""))</f>
        <v/>
      </c>
      <c r="T18" s="81">
        <f>IF($B18="","",IFERROR(INDEX(Task_Tracker!$AB$5:$AB$1004,MATCH($B18,Task_Tracker!$A$5:$A$1004,0)),""))</f>
        <v/>
      </c>
      <c r="U18" s="78">
        <f>IF($B18="","",IFERROR(INDEX(Task_Tracker!$F$5:$F$1004,MATCH($B18,Task_Tracker!$A$5:$A$1004,0)),""))</f>
        <v/>
      </c>
      <c r="V18" s="78">
        <f>IF($B18="","",IFERROR(INDEX(Task_Tracker!$I$5:$I$1004,MATCH($B18,Task_Tracker!$A$5:$A$1004,0)),""))</f>
        <v/>
      </c>
      <c r="W18" s="81">
        <f>IF(OR($D18="",$B18=""),"",$D18&amp;" | "&amp;$B18)</f>
        <v/>
      </c>
      <c r="X18" s="85">
        <f>IF($K18="","",TEXT($K18,"yyyy-mm"))</f>
        <v/>
      </c>
      <c r="Y18" s="81">
        <f>IF(OR($A18="",$T18=""),"","Included in Manager_Report")</f>
        <v/>
      </c>
    </row>
    <row r="19" ht="15" customHeight="1" s="40">
      <c r="A19" s="65">
        <f>IF(COUNTA(B19:G19)=0,"","STP-"&amp;TEXT(ROW()-4,"0000"))</f>
        <v/>
      </c>
      <c r="B19" s="78" t="inlineStr">
        <is>
          <t>TSK-0006</t>
        </is>
      </c>
      <c r="C19" s="67">
        <f>IF($B19="","",IFERROR(INDEX(Task_Tracker!$D$5:$D$1004,MATCH($B19,Task_Tracker!$A$5:$A$1004,0)),""))</f>
        <v/>
      </c>
      <c r="D19" s="67">
        <f>IF($B19="","",IFERROR(INDEX(Task_Tracker!$B$5:$B$1004,MATCH($B19,Task_Tracker!$A$5:$A$1004,0)),""))</f>
        <v/>
      </c>
      <c r="E19" s="81" t="inlineStr">
        <is>
          <t>Create defect categories</t>
        </is>
      </c>
      <c r="F19" s="81" t="inlineStr">
        <is>
          <t>Set defect categories and severity rules.</t>
        </is>
      </c>
      <c r="G19" s="78" t="inlineStr">
        <is>
          <t>Pankaj Vairagade</t>
        </is>
      </c>
      <c r="H19" s="78" t="inlineStr">
        <is>
          <t>Completed</t>
        </is>
      </c>
      <c r="I19" s="67">
        <f>IF($H19="","",IFERROR(INDEX(Action_Status_Map!$B$5:$B$11,MATCH($H19,Action_Status_Map!$A$5:$A$11,0)),""))</f>
        <v/>
      </c>
      <c r="J19" s="82" t="n">
        <v>46114</v>
      </c>
      <c r="K19" s="82" t="n">
        <v>46115</v>
      </c>
      <c r="L19" s="82" t="n">
        <v>46115</v>
      </c>
      <c r="M19" s="83" t="n">
        <v>3</v>
      </c>
      <c r="N19" s="83" t="n">
        <v>3</v>
      </c>
      <c r="O19" s="66">
        <f>IF(OR($M19="",$N19=""),"",$N19-$M19)</f>
        <v/>
      </c>
      <c r="P19" s="84">
        <f>IF($J19="","",IF($L19&lt;&gt;"",$L19-$J19,TODAY()-$J19))</f>
        <v/>
      </c>
      <c r="Q19" s="85">
        <f>IF(OR($K19="",$H19="Completed",$H19="Cancelled"),"",IF(AND($K19&lt;TODAY(),$H19&lt;&gt;"Completed",$H19&lt;&gt;"Cancelled"),"Overdue","On Track"))</f>
        <v/>
      </c>
      <c r="R19" s="81" t="inlineStr">
        <is>
          <t>Categories created.</t>
        </is>
      </c>
      <c r="S19" s="81">
        <f>IF($B19="","",IFERROR(INDEX(Task_Tracker!$AA$5:$AA$1004,MATCH($B19,Task_Tracker!$A$5:$A$1004,0)),""))</f>
        <v/>
      </c>
      <c r="T19" s="81">
        <f>IF($B19="","",IFERROR(INDEX(Task_Tracker!$AB$5:$AB$1004,MATCH($B19,Task_Tracker!$A$5:$A$1004,0)),""))</f>
        <v/>
      </c>
      <c r="U19" s="78">
        <f>IF($B19="","",IFERROR(INDEX(Task_Tracker!$F$5:$F$1004,MATCH($B19,Task_Tracker!$A$5:$A$1004,0)),""))</f>
        <v/>
      </c>
      <c r="V19" s="78">
        <f>IF($B19="","",IFERROR(INDEX(Task_Tracker!$I$5:$I$1004,MATCH($B19,Task_Tracker!$A$5:$A$1004,0)),""))</f>
        <v/>
      </c>
      <c r="W19" s="81">
        <f>IF(OR($D19="",$B19=""),"",$D19&amp;" | "&amp;$B19)</f>
        <v/>
      </c>
      <c r="X19" s="85">
        <f>IF($K19="","",TEXT($K19,"yyyy-mm"))</f>
        <v/>
      </c>
      <c r="Y19" s="81">
        <f>IF(OR($A19="",$T19=""),"","Included in Manager_Report")</f>
        <v/>
      </c>
    </row>
    <row r="20" ht="15" customHeight="1" s="40">
      <c r="A20" s="65">
        <f>IF(COUNTA(B20:G20)=0,"","STP-"&amp;TEXT(ROW()-4,"0000"))</f>
        <v/>
      </c>
      <c r="B20" s="78" t="inlineStr">
        <is>
          <t>TSK-0006</t>
        </is>
      </c>
      <c r="C20" s="67">
        <f>IF($B20="","",IFERROR(INDEX(Task_Tracker!$D$5:$D$1004,MATCH($B20,Task_Tracker!$A$5:$A$1004,0)),""))</f>
        <v/>
      </c>
      <c r="D20" s="67">
        <f>IF($B20="","",IFERROR(INDEX(Task_Tracker!$B$5:$B$1004,MATCH($B20,Task_Tracker!$A$5:$A$1004,0)),""))</f>
        <v/>
      </c>
      <c r="E20" s="81" t="inlineStr">
        <is>
          <t>Add testing owner matrix</t>
        </is>
      </c>
      <c r="F20" s="81" t="inlineStr">
        <is>
          <t>Assign owners and areas for UAT coverage.</t>
        </is>
      </c>
      <c r="G20" s="78" t="inlineStr">
        <is>
          <t>Pankaj Vairagade</t>
        </is>
      </c>
      <c r="H20" s="78" t="inlineStr">
        <is>
          <t>Completed</t>
        </is>
      </c>
      <c r="I20" s="67">
        <f>IF($H20="","",IFERROR(INDEX(Action_Status_Map!$B$5:$B$11,MATCH($H20,Action_Status_Map!$A$5:$A$11,0)),""))</f>
        <v/>
      </c>
      <c r="J20" s="82" t="n">
        <v>46115</v>
      </c>
      <c r="K20" s="82" t="n">
        <v>46117</v>
      </c>
      <c r="L20" s="82" t="n">
        <v>46117</v>
      </c>
      <c r="M20" s="83" t="n">
        <v>4</v>
      </c>
      <c r="N20" s="83" t="n">
        <v>5</v>
      </c>
      <c r="O20" s="66">
        <f>IF(OR($M20="",$N20=""),"",$N20-$M20)</f>
        <v/>
      </c>
      <c r="P20" s="84">
        <f>IF($J20="","",IF($L20&lt;&gt;"",$L20-$J20,TODAY()-$J20))</f>
        <v/>
      </c>
      <c r="Q20" s="85">
        <f>IF(OR($K20="",$H20="Completed",$H20="Cancelled"),"",IF(AND($K20&lt;TODAY(),$H20&lt;&gt;"Completed",$H20&lt;&gt;"Cancelled"),"Overdue","On Track"))</f>
        <v/>
      </c>
      <c r="R20" s="81" t="inlineStr">
        <is>
          <t>Owner matrix completed.</t>
        </is>
      </c>
      <c r="S20" s="81">
        <f>IF($B20="","",IFERROR(INDEX(Task_Tracker!$AA$5:$AA$1004,MATCH($B20,Task_Tracker!$A$5:$A$1004,0)),""))</f>
        <v/>
      </c>
      <c r="T20" s="81">
        <f>IF($B20="","",IFERROR(INDEX(Task_Tracker!$AB$5:$AB$1004,MATCH($B20,Task_Tracker!$A$5:$A$1004,0)),""))</f>
        <v/>
      </c>
      <c r="U20" s="78">
        <f>IF($B20="","",IFERROR(INDEX(Task_Tracker!$F$5:$F$1004,MATCH($B20,Task_Tracker!$A$5:$A$1004,0)),""))</f>
        <v/>
      </c>
      <c r="V20" s="78">
        <f>IF($B20="","",IFERROR(INDEX(Task_Tracker!$I$5:$I$1004,MATCH($B20,Task_Tracker!$A$5:$A$1004,0)),""))</f>
        <v/>
      </c>
      <c r="W20" s="81">
        <f>IF(OR($D20="",$B20=""),"",$D20&amp;" | "&amp;$B20)</f>
        <v/>
      </c>
      <c r="X20" s="85">
        <f>IF($K20="","",TEXT($K20,"yyyy-mm"))</f>
        <v/>
      </c>
      <c r="Y20" s="81">
        <f>IF(OR($A20="",$T20=""),"","Included in Manager_Report")</f>
        <v/>
      </c>
    </row>
    <row r="21" ht="15" customHeight="1" s="40">
      <c r="A21" s="65">
        <f>IF(COUNTA(B21:G21)=0,"","STP-"&amp;TEXT(ROW()-4,"0000"))</f>
        <v/>
      </c>
      <c r="B21" s="78" t="inlineStr">
        <is>
          <t>TSK-0006</t>
        </is>
      </c>
      <c r="C21" s="67">
        <f>IF($B21="","",IFERROR(INDEX(Task_Tracker!$D$5:$D$1004,MATCH($B21,Task_Tracker!$A$5:$A$1004,0)),""))</f>
        <v/>
      </c>
      <c r="D21" s="67">
        <f>IF($B21="","",IFERROR(INDEX(Task_Tracker!$B$5:$B$1004,MATCH($B21,Task_Tracker!$A$5:$A$1004,0)),""))</f>
        <v/>
      </c>
      <c r="E21" s="81" t="inlineStr">
        <is>
          <t>Share defect log template</t>
        </is>
      </c>
      <c r="F21" s="81" t="inlineStr">
        <is>
          <t>Issue the log template to the testing team.</t>
        </is>
      </c>
      <c r="G21" s="78" t="inlineStr">
        <is>
          <t>Pankaj Vairagade</t>
        </is>
      </c>
      <c r="H21" s="78" t="inlineStr">
        <is>
          <t>Completed</t>
        </is>
      </c>
      <c r="I21" s="67">
        <f>IF($H21="","",IFERROR(INDEX(Action_Status_Map!$B$5:$B$11,MATCH($H21,Action_Status_Map!$A$5:$A$11,0)),""))</f>
        <v/>
      </c>
      <c r="J21" s="82" t="n">
        <v>46118</v>
      </c>
      <c r="K21" s="82" t="n">
        <v>46119</v>
      </c>
      <c r="L21" s="82" t="n">
        <v>46119</v>
      </c>
      <c r="M21" s="83" t="n">
        <v>2</v>
      </c>
      <c r="N21" s="83" t="n">
        <v>2</v>
      </c>
      <c r="O21" s="66">
        <f>IF(OR($M21="",$N21=""),"",$N21-$M21)</f>
        <v/>
      </c>
      <c r="P21" s="84">
        <f>IF($J21="","",IF($L21&lt;&gt;"",$L21-$J21,TODAY()-$J21))</f>
        <v/>
      </c>
      <c r="Q21" s="85">
        <f>IF(OR($K21="",$H21="Completed",$H21="Cancelled"),"",IF(AND($K21&lt;TODAY(),$H21&lt;&gt;"Completed",$H21&lt;&gt;"Cancelled"),"Overdue","On Track"))</f>
        <v/>
      </c>
      <c r="R21" s="81" t="inlineStr">
        <is>
          <t>Template published.</t>
        </is>
      </c>
      <c r="S21" s="81">
        <f>IF($B21="","",IFERROR(INDEX(Task_Tracker!$AA$5:$AA$1004,MATCH($B21,Task_Tracker!$A$5:$A$1004,0)),""))</f>
        <v/>
      </c>
      <c r="T21" s="81">
        <f>IF($B21="","",IFERROR(INDEX(Task_Tracker!$AB$5:$AB$1004,MATCH($B21,Task_Tracker!$A$5:$A$1004,0)),""))</f>
        <v/>
      </c>
      <c r="U21" s="78">
        <f>IF($B21="","",IFERROR(INDEX(Task_Tracker!$F$5:$F$1004,MATCH($B21,Task_Tracker!$A$5:$A$1004,0)),""))</f>
        <v/>
      </c>
      <c r="V21" s="78">
        <f>IF($B21="","",IFERROR(INDEX(Task_Tracker!$I$5:$I$1004,MATCH($B21,Task_Tracker!$A$5:$A$1004,0)),""))</f>
        <v/>
      </c>
      <c r="W21" s="81">
        <f>IF(OR($D21="",$B21=""),"",$D21&amp;" | "&amp;$B21)</f>
        <v/>
      </c>
      <c r="X21" s="85">
        <f>IF($K21="","",TEXT($K21,"yyyy-mm"))</f>
        <v/>
      </c>
      <c r="Y21" s="81">
        <f>IF(OR($A21="",$T21=""),"","Included in Manager_Report")</f>
        <v/>
      </c>
    </row>
    <row r="22" ht="15" customHeight="1" s="40">
      <c r="A22" s="65">
        <f>IF(COUNTA(B22:G22)=0,"","STP-"&amp;TEXT(ROW()-4,"0000"))</f>
        <v/>
      </c>
      <c r="B22" s="78" t="inlineStr">
        <is>
          <t>TSK-0007</t>
        </is>
      </c>
      <c r="C22" s="67">
        <f>IF($B22="","",IFERROR(INDEX(Task_Tracker!$D$5:$D$1004,MATCH($B22,Task_Tracker!$A$5:$A$1004,0)),""))</f>
        <v/>
      </c>
      <c r="D22" s="67">
        <f>IF($B22="","",IFERROR(INDEX(Task_Tracker!$B$5:$B$1004,MATCH($B22,Task_Tracker!$A$5:$A$1004,0)),""))</f>
        <v/>
      </c>
      <c r="E22" s="81" t="inlineStr">
        <is>
          <t>Pull weekly raw metrics</t>
        </is>
      </c>
      <c r="F22" s="81" t="inlineStr">
        <is>
          <t>Collect weekly metrics from source sheets.</t>
        </is>
      </c>
      <c r="G22" s="78" t="inlineStr">
        <is>
          <t>Pankaj Vairagade</t>
        </is>
      </c>
      <c r="H22" s="78" t="inlineStr">
        <is>
          <t>Completed</t>
        </is>
      </c>
      <c r="I22" s="67">
        <f>IF($H22="","",IFERROR(INDEX(Action_Status_Map!$B$5:$B$11,MATCH($H22,Action_Status_Map!$A$5:$A$11,0)),""))</f>
        <v/>
      </c>
      <c r="J22" s="82" t="n">
        <v>46117</v>
      </c>
      <c r="K22" s="82" t="n">
        <v>46119</v>
      </c>
      <c r="L22" s="82" t="n">
        <v>46119</v>
      </c>
      <c r="M22" s="83" t="n">
        <v>4</v>
      </c>
      <c r="N22" s="83" t="n">
        <v>4</v>
      </c>
      <c r="O22" s="66">
        <f>IF(OR($M22="",$N22=""),"",$N22-$M22)</f>
        <v/>
      </c>
      <c r="P22" s="84">
        <f>IF($J22="","",IF($L22&lt;&gt;"",$L22-$J22,TODAY()-$J22))</f>
        <v/>
      </c>
      <c r="Q22" s="85">
        <f>IF(OR($K22="",$H22="Completed",$H22="Cancelled"),"",IF(AND($K22&lt;TODAY(),$H22&lt;&gt;"Completed",$H22&lt;&gt;"Cancelled"),"Overdue","On Track"))</f>
        <v/>
      </c>
      <c r="R22" s="81" t="inlineStr">
        <is>
          <t>Raw data ready.</t>
        </is>
      </c>
      <c r="S22" s="81">
        <f>IF($B22="","",IFERROR(INDEX(Task_Tracker!$AA$5:$AA$1004,MATCH($B22,Task_Tracker!$A$5:$A$1004,0)),""))</f>
        <v/>
      </c>
      <c r="T22" s="81">
        <f>IF($B22="","",IFERROR(INDEX(Task_Tracker!$AB$5:$AB$1004,MATCH($B22,Task_Tracker!$A$5:$A$1004,0)),""))</f>
        <v/>
      </c>
      <c r="U22" s="78">
        <f>IF($B22="","",IFERROR(INDEX(Task_Tracker!$F$5:$F$1004,MATCH($B22,Task_Tracker!$A$5:$A$1004,0)),""))</f>
        <v/>
      </c>
      <c r="V22" s="78">
        <f>IF($B22="","",IFERROR(INDEX(Task_Tracker!$I$5:$I$1004,MATCH($B22,Task_Tracker!$A$5:$A$1004,0)),""))</f>
        <v/>
      </c>
      <c r="W22" s="81">
        <f>IF(OR($D22="",$B22=""),"",$D22&amp;" | "&amp;$B22)</f>
        <v/>
      </c>
      <c r="X22" s="85">
        <f>IF($K22="","",TEXT($K22,"yyyy-mm"))</f>
        <v/>
      </c>
      <c r="Y22" s="81">
        <f>IF(OR($A22="",$T22=""),"","Included in Manager_Report")</f>
        <v/>
      </c>
    </row>
    <row r="23" ht="15" customHeight="1" s="40">
      <c r="A23" s="65">
        <f>IF(COUNTA(B23:G23)=0,"","STP-"&amp;TEXT(ROW()-4,"0000"))</f>
        <v/>
      </c>
      <c r="B23" s="78" t="inlineStr">
        <is>
          <t>TSK-0007</t>
        </is>
      </c>
      <c r="C23" s="67">
        <f>IF($B23="","",IFERROR(INDEX(Task_Tracker!$D$5:$D$1004,MATCH($B23,Task_Tracker!$A$5:$A$1004,0)),""))</f>
        <v/>
      </c>
      <c r="D23" s="67">
        <f>IF($B23="","",IFERROR(INDEX(Task_Tracker!$B$5:$B$1004,MATCH($B23,Task_Tracker!$A$5:$A$1004,0)),""))</f>
        <v/>
      </c>
      <c r="E23" s="81" t="inlineStr">
        <is>
          <t>Build leadership view</t>
        </is>
      </c>
      <c r="F23" s="81" t="inlineStr">
        <is>
          <t>Create the executive dashboard view.</t>
        </is>
      </c>
      <c r="G23" s="78" t="inlineStr">
        <is>
          <t>Pankaj Vairagade</t>
        </is>
      </c>
      <c r="H23" s="78" t="inlineStr">
        <is>
          <t>In Progress</t>
        </is>
      </c>
      <c r="I23" s="67">
        <f>IF($H23="","",IFERROR(INDEX(Action_Status_Map!$B$5:$B$11,MATCH($H23,Action_Status_Map!$A$5:$A$11,0)),""))</f>
        <v/>
      </c>
      <c r="J23" s="82" t="n">
        <v>46120</v>
      </c>
      <c r="K23" s="82" t="n">
        <v>46123</v>
      </c>
      <c r="L23" s="82" t="n"/>
      <c r="M23" s="83" t="n">
        <v>6</v>
      </c>
      <c r="N23" s="83" t="n">
        <v>4</v>
      </c>
      <c r="O23" s="66">
        <f>IF(OR($M23="",$N23=""),"",$N23-$M23)</f>
        <v/>
      </c>
      <c r="P23" s="84">
        <f>IF($J23="","",IF($L23&lt;&gt;"",$L23-$J23,TODAY()-$J23))</f>
        <v/>
      </c>
      <c r="Q23" s="85">
        <f>IF(OR($K23="",$H23="Completed",$H23="Cancelled"),"",IF(AND($K23&lt;TODAY(),$H23&lt;&gt;"Completed",$H23&lt;&gt;"Cancelled"),"Overdue","On Track"))</f>
        <v/>
      </c>
      <c r="R23" s="81" t="inlineStr">
        <is>
          <t>Core dashboard under build.</t>
        </is>
      </c>
      <c r="S23" s="81">
        <f>IF($B23="","",IFERROR(INDEX(Task_Tracker!$AA$5:$AA$1004,MATCH($B23,Task_Tracker!$A$5:$A$1004,0)),""))</f>
        <v/>
      </c>
      <c r="T23" s="81">
        <f>IF($B23="","",IFERROR(INDEX(Task_Tracker!$AB$5:$AB$1004,MATCH($B23,Task_Tracker!$A$5:$A$1004,0)),""))</f>
        <v/>
      </c>
      <c r="U23" s="78">
        <f>IF($B23="","",IFERROR(INDEX(Task_Tracker!$F$5:$F$1004,MATCH($B23,Task_Tracker!$A$5:$A$1004,0)),""))</f>
        <v/>
      </c>
      <c r="V23" s="78">
        <f>IF($B23="","",IFERROR(INDEX(Task_Tracker!$I$5:$I$1004,MATCH($B23,Task_Tracker!$A$5:$A$1004,0)),""))</f>
        <v/>
      </c>
      <c r="W23" s="81">
        <f>IF(OR($D23="",$B23=""),"",$D23&amp;" | "&amp;$B23)</f>
        <v/>
      </c>
      <c r="X23" s="85">
        <f>IF($K23="","",TEXT($K23,"yyyy-mm"))</f>
        <v/>
      </c>
      <c r="Y23" s="81">
        <f>IF(OR($A23="",$T23=""),"","Included in Manager_Report")</f>
        <v/>
      </c>
    </row>
    <row r="24" ht="15" customHeight="1" s="40">
      <c r="A24" s="65">
        <f>IF(COUNTA(B24:G24)=0,"","STP-"&amp;TEXT(ROW()-4,"0000"))</f>
        <v/>
      </c>
      <c r="B24" s="78" t="inlineStr">
        <is>
          <t>TSK-0007</t>
        </is>
      </c>
      <c r="C24" s="67">
        <f>IF($B24="","",IFERROR(INDEX(Task_Tracker!$D$5:$D$1004,MATCH($B24,Task_Tracker!$A$5:$A$1004,0)),""))</f>
        <v/>
      </c>
      <c r="D24" s="67">
        <f>IF($B24="","",IFERROR(INDEX(Task_Tracker!$B$5:$B$1004,MATCH($B24,Task_Tracker!$A$5:$A$1004,0)),""))</f>
        <v/>
      </c>
      <c r="E24" s="81" t="inlineStr">
        <is>
          <t>QA formulas and refresh</t>
        </is>
      </c>
      <c r="F24" s="81" t="inlineStr">
        <is>
          <t>QA formulas and refresh process before publishing.</t>
        </is>
      </c>
      <c r="G24" s="78" t="inlineStr">
        <is>
          <t>Pankaj Vairagade</t>
        </is>
      </c>
      <c r="H24" s="78" t="inlineStr">
        <is>
          <t>Not Started</t>
        </is>
      </c>
      <c r="I24" s="67">
        <f>IF($H24="","",IFERROR(INDEX(Action_Status_Map!$B$5:$B$11,MATCH($H24,Action_Status_Map!$A$5:$A$11,0)),""))</f>
        <v/>
      </c>
      <c r="J24" s="82" t="n">
        <v>46123</v>
      </c>
      <c r="K24" s="82" t="n">
        <v>46127</v>
      </c>
      <c r="L24" s="82" t="n"/>
      <c r="M24" s="83" t="n">
        <v>4</v>
      </c>
      <c r="N24" s="83" t="n">
        <v>1</v>
      </c>
      <c r="O24" s="66">
        <f>IF(OR($M24="",$N24=""),"",$N24-$M24)</f>
        <v/>
      </c>
      <c r="P24" s="84">
        <f>IF($J24="","",IF($L24&lt;&gt;"",$L24-$J24,TODAY()-$J24))</f>
        <v/>
      </c>
      <c r="Q24" s="85">
        <f>IF(OR($K24="",$H24="Completed",$H24="Cancelled"),"",IF(AND($K24&lt;TODAY(),$H24&lt;&gt;"Completed",$H24&lt;&gt;"Cancelled"),"Overdue","On Track"))</f>
        <v/>
      </c>
      <c r="R24" s="81" t="inlineStr">
        <is>
          <t>Initial setup done; QA pending.</t>
        </is>
      </c>
      <c r="S24" s="81">
        <f>IF($B24="","",IFERROR(INDEX(Task_Tracker!$AA$5:$AA$1004,MATCH($B24,Task_Tracker!$A$5:$A$1004,0)),""))</f>
        <v/>
      </c>
      <c r="T24" s="81">
        <f>IF($B24="","",IFERROR(INDEX(Task_Tracker!$AB$5:$AB$1004,MATCH($B24,Task_Tracker!$A$5:$A$1004,0)),""))</f>
        <v/>
      </c>
      <c r="U24" s="78">
        <f>IF($B24="","",IFERROR(INDEX(Task_Tracker!$F$5:$F$1004,MATCH($B24,Task_Tracker!$A$5:$A$1004,0)),""))</f>
        <v/>
      </c>
      <c r="V24" s="78">
        <f>IF($B24="","",IFERROR(INDEX(Task_Tracker!$I$5:$I$1004,MATCH($B24,Task_Tracker!$A$5:$A$1004,0)),""))</f>
        <v/>
      </c>
      <c r="W24" s="81">
        <f>IF(OR($D24="",$B24=""),"",$D24&amp;" | "&amp;$B24)</f>
        <v/>
      </c>
      <c r="X24" s="85">
        <f>IF($K24="","",TEXT($K24,"yyyy-mm"))</f>
        <v/>
      </c>
      <c r="Y24" s="81">
        <f>IF(OR($A24="",$T24=""),"","Included in Manager_Report")</f>
        <v/>
      </c>
    </row>
    <row r="25" ht="15" customHeight="1" s="40">
      <c r="A25" s="65">
        <f>IF(COUNTA(B25:G25)=0,"","STP-"&amp;TEXT(ROW()-4,"0000"))</f>
        <v/>
      </c>
      <c r="B25" s="78" t="inlineStr">
        <is>
          <t>TSK-0008</t>
        </is>
      </c>
      <c r="C25" s="67">
        <f>IF($B25="","",IFERROR(INDEX(Task_Tracker!$D$5:$D$1004,MATCH($B25,Task_Tracker!$A$5:$A$1004,0)),""))</f>
        <v/>
      </c>
      <c r="D25" s="67">
        <f>IF($B25="","",IFERROR(INDEX(Task_Tracker!$B$5:$B$1004,MATCH($B25,Task_Tracker!$A$5:$A$1004,0)),""))</f>
        <v/>
      </c>
      <c r="E25" s="81" t="inlineStr">
        <is>
          <t>Collect policy docs</t>
        </is>
      </c>
      <c r="F25" s="81" t="inlineStr">
        <is>
          <t>Collect current policy files and approvals.</t>
        </is>
      </c>
      <c r="G25" s="78" t="inlineStr">
        <is>
          <t>Pankaj Vairagade</t>
        </is>
      </c>
      <c r="H25" s="78" t="inlineStr">
        <is>
          <t>Completed</t>
        </is>
      </c>
      <c r="I25" s="67">
        <f>IF($H25="","",IFERROR(INDEX(Action_Status_Map!$B$5:$B$11,MATCH($H25,Action_Status_Map!$A$5:$A$11,0)),""))</f>
        <v/>
      </c>
      <c r="J25" s="82" t="n">
        <v>46116</v>
      </c>
      <c r="K25" s="82" t="n">
        <v>46118</v>
      </c>
      <c r="L25" s="82" t="n">
        <v>46118</v>
      </c>
      <c r="M25" s="83" t="n">
        <v>6</v>
      </c>
      <c r="N25" s="83" t="n">
        <v>5</v>
      </c>
      <c r="O25" s="66">
        <f>IF(OR($M25="",$N25=""),"",$N25-$M25)</f>
        <v/>
      </c>
      <c r="P25" s="84">
        <f>IF($J25="","",IF($L25&lt;&gt;"",$L25-$J25,TODAY()-$J25))</f>
        <v/>
      </c>
      <c r="Q25" s="85">
        <f>IF(OR($K25="",$H25="Completed",$H25="Cancelled"),"",IF(AND($K25&lt;TODAY(),$H25&lt;&gt;"Completed",$H25&lt;&gt;"Cancelled"),"Overdue","On Track"))</f>
        <v/>
      </c>
      <c r="R25" s="81" t="inlineStr">
        <is>
          <t>Most policy documents received.</t>
        </is>
      </c>
      <c r="S25" s="81">
        <f>IF($B25="","",IFERROR(INDEX(Task_Tracker!$AA$5:$AA$1004,MATCH($B25,Task_Tracker!$A$5:$A$1004,0)),""))</f>
        <v/>
      </c>
      <c r="T25" s="81">
        <f>IF($B25="","",IFERROR(INDEX(Task_Tracker!$AB$5:$AB$1004,MATCH($B25,Task_Tracker!$A$5:$A$1004,0)),""))</f>
        <v/>
      </c>
      <c r="U25" s="78">
        <f>IF($B25="","",IFERROR(INDEX(Task_Tracker!$F$5:$F$1004,MATCH($B25,Task_Tracker!$A$5:$A$1004,0)),""))</f>
        <v/>
      </c>
      <c r="V25" s="78">
        <f>IF($B25="","",IFERROR(INDEX(Task_Tracker!$I$5:$I$1004,MATCH($B25,Task_Tracker!$A$5:$A$1004,0)),""))</f>
        <v/>
      </c>
      <c r="W25" s="81">
        <f>IF(OR($D25="",$B25=""),"",$D25&amp;" | "&amp;$B25)</f>
        <v/>
      </c>
      <c r="X25" s="85">
        <f>IF($K25="","",TEXT($K25,"yyyy-mm"))</f>
        <v/>
      </c>
      <c r="Y25" s="81">
        <f>IF(OR($A25="",$T25=""),"","Included in Manager_Report")</f>
        <v/>
      </c>
    </row>
    <row r="26" ht="15" customHeight="1" s="40">
      <c r="A26" s="65">
        <f>IF(COUNTA(B26:G26)=0,"","STP-"&amp;TEXT(ROW()-4,"0000"))</f>
        <v/>
      </c>
      <c r="B26" s="78" t="inlineStr">
        <is>
          <t>TSK-0008</t>
        </is>
      </c>
      <c r="C26" s="67">
        <f>IF($B26="","",IFERROR(INDEX(Task_Tracker!$D$5:$D$1004,MATCH($B26,Task_Tracker!$A$5:$A$1004,0)),""))</f>
        <v/>
      </c>
      <c r="D26" s="67">
        <f>IF($B26="","",IFERROR(INDEX(Task_Tracker!$B$5:$B$1004,MATCH($B26,Task_Tracker!$A$5:$A$1004,0)),""))</f>
        <v/>
      </c>
      <c r="E26" s="81" t="inlineStr">
        <is>
          <t>Request legal confirmation</t>
        </is>
      </c>
      <c r="F26" s="81" t="inlineStr">
        <is>
          <t>Follow up with legal for missing approvals.</t>
        </is>
      </c>
      <c r="G26" s="78" t="inlineStr">
        <is>
          <t>Pankaj Vairagade</t>
        </is>
      </c>
      <c r="H26" s="78" t="inlineStr">
        <is>
          <t>On Hold</t>
        </is>
      </c>
      <c r="I26" s="67">
        <f>IF($H26="","",IFERROR(INDEX(Action_Status_Map!$B$5:$B$11,MATCH($H26,Action_Status_Map!$A$5:$A$11,0)),""))</f>
        <v/>
      </c>
      <c r="J26" s="82" t="n">
        <v>46118</v>
      </c>
      <c r="K26" s="82" t="n">
        <v>46120</v>
      </c>
      <c r="L26" s="82" t="n"/>
      <c r="M26" s="83" t="n">
        <v>5</v>
      </c>
      <c r="N26" s="83" t="n"/>
      <c r="O26" s="66">
        <f>IF(OR($M26="",$N26=""),"",$N26-$M26)</f>
        <v/>
      </c>
      <c r="P26" s="84">
        <f>IF($J26="","",IF($L26&lt;&gt;"",$L26-$J26,TODAY()-$J26))</f>
        <v/>
      </c>
      <c r="Q26" s="85">
        <f>IF(OR($K26="",$H26="Completed",$H26="Cancelled"),"",IF(AND($K26&lt;TODAY(),$H26&lt;&gt;"Completed",$H26&lt;&gt;"Cancelled"),"Overdue","On Track"))</f>
        <v/>
      </c>
      <c r="R26" s="81" t="inlineStr">
        <is>
          <t>Waiting on legal team.</t>
        </is>
      </c>
      <c r="S26" s="81">
        <f>IF($B26="","",IFERROR(INDEX(Task_Tracker!$AA$5:$AA$1004,MATCH($B26,Task_Tracker!$A$5:$A$1004,0)),""))</f>
        <v/>
      </c>
      <c r="T26" s="81">
        <f>IF($B26="","",IFERROR(INDEX(Task_Tracker!$AB$5:$AB$1004,MATCH($B26,Task_Tracker!$A$5:$A$1004,0)),""))</f>
        <v/>
      </c>
      <c r="U26" s="78">
        <f>IF($B26="","",IFERROR(INDEX(Task_Tracker!$F$5:$F$1004,MATCH($B26,Task_Tracker!$A$5:$A$1004,0)),""))</f>
        <v/>
      </c>
      <c r="V26" s="78">
        <f>IF($B26="","",IFERROR(INDEX(Task_Tracker!$I$5:$I$1004,MATCH($B26,Task_Tracker!$A$5:$A$1004,0)),""))</f>
        <v/>
      </c>
      <c r="W26" s="81">
        <f>IF(OR($D26="",$B26=""),"",$D26&amp;" | "&amp;$B26)</f>
        <v/>
      </c>
      <c r="X26" s="85">
        <f>IF($K26="","",TEXT($K26,"yyyy-mm"))</f>
        <v/>
      </c>
      <c r="Y26" s="81">
        <f>IF(OR($A26="",$T26=""),"","Included in Manager_Report")</f>
        <v/>
      </c>
    </row>
    <row r="27" ht="15" customHeight="1" s="40">
      <c r="A27" s="65">
        <f>IF(COUNTA(B27:G27)=0,"","STP-"&amp;TEXT(ROW()-4,"0000"))</f>
        <v/>
      </c>
      <c r="B27" s="78" t="inlineStr">
        <is>
          <t>TSK-0008</t>
        </is>
      </c>
      <c r="C27" s="67">
        <f>IF($B27="","",IFERROR(INDEX(Task_Tracker!$D$5:$D$1004,MATCH($B27,Task_Tracker!$A$5:$A$1004,0)),""))</f>
        <v/>
      </c>
      <c r="D27" s="67">
        <f>IF($B27="","",IFERROR(INDEX(Task_Tracker!$B$5:$B$1004,MATCH($B27,Task_Tracker!$A$5:$A$1004,0)),""))</f>
        <v/>
      </c>
      <c r="E27" s="81" t="inlineStr">
        <is>
          <t>Assemble evidence pack</t>
        </is>
      </c>
      <c r="F27" s="81" t="inlineStr">
        <is>
          <t>Compile final evidence pack for review.</t>
        </is>
      </c>
      <c r="G27" s="78" t="inlineStr">
        <is>
          <t>Pankaj Vairagade</t>
        </is>
      </c>
      <c r="H27" s="78" t="inlineStr">
        <is>
          <t>On Hold</t>
        </is>
      </c>
      <c r="I27" s="67">
        <f>IF($H27="","",IFERROR(INDEX(Action_Status_Map!$B$5:$B$11,MATCH($H27,Action_Status_Map!$A$5:$A$11,0)),""))</f>
        <v/>
      </c>
      <c r="J27" s="82" t="n">
        <v>46120</v>
      </c>
      <c r="K27" s="82" t="n">
        <v>46122</v>
      </c>
      <c r="L27" s="82" t="n"/>
      <c r="M27" s="83" t="n">
        <v>5</v>
      </c>
      <c r="N27" s="83" t="n"/>
      <c r="O27" s="66">
        <f>IF(OR($M27="",$N27=""),"",$N27-$M27)</f>
        <v/>
      </c>
      <c r="P27" s="84">
        <f>IF($J27="","",IF($L27&lt;&gt;"",$L27-$J27,TODAY()-$J27))</f>
        <v/>
      </c>
      <c r="Q27" s="85">
        <f>IF(OR($K27="",$H27="Completed",$H27="Cancelled"),"",IF(AND($K27&lt;TODAY(),$H27&lt;&gt;"Completed",$H27&lt;&gt;"Cancelled"),"Overdue","On Track"))</f>
        <v/>
      </c>
      <c r="R27" s="81" t="inlineStr">
        <is>
          <t>Blocked until legal confirmation.</t>
        </is>
      </c>
      <c r="S27" s="81">
        <f>IF($B27="","",IFERROR(INDEX(Task_Tracker!$AA$5:$AA$1004,MATCH($B27,Task_Tracker!$A$5:$A$1004,0)),""))</f>
        <v/>
      </c>
      <c r="T27" s="81">
        <f>IF($B27="","",IFERROR(INDEX(Task_Tracker!$AB$5:$AB$1004,MATCH($B27,Task_Tracker!$A$5:$A$1004,0)),""))</f>
        <v/>
      </c>
      <c r="U27" s="78">
        <f>IF($B27="","",IFERROR(INDEX(Task_Tracker!$F$5:$F$1004,MATCH($B27,Task_Tracker!$A$5:$A$1004,0)),""))</f>
        <v/>
      </c>
      <c r="V27" s="78">
        <f>IF($B27="","",IFERROR(INDEX(Task_Tracker!$I$5:$I$1004,MATCH($B27,Task_Tracker!$A$5:$A$1004,0)),""))</f>
        <v/>
      </c>
      <c r="W27" s="81">
        <f>IF(OR($D27="",$B27=""),"",$D27&amp;" | "&amp;$B27)</f>
        <v/>
      </c>
      <c r="X27" s="85">
        <f>IF($K27="","",TEXT($K27,"yyyy-mm"))</f>
        <v/>
      </c>
      <c r="Y27" s="81">
        <f>IF(OR($A27="",$T27=""),"","Included in Manager_Report")</f>
        <v/>
      </c>
    </row>
    <row r="28" ht="15" customHeight="1" s="40">
      <c r="A28" s="65">
        <f>IF(COUNTA(B28:G28)=0,"","STP-"&amp;TEXT(ROW()-4,"0000"))</f>
        <v/>
      </c>
      <c r="B28" s="78" t="inlineStr">
        <is>
          <t>TSK-0009</t>
        </is>
      </c>
      <c r="C28" s="67">
        <f>IF($B28="","",IFERROR(INDEX(Task_Tracker!$D$5:$D$1004,MATCH($B28,Task_Tracker!$A$5:$A$1004,0)),""))</f>
        <v/>
      </c>
      <c r="D28" s="67">
        <f>IF($B28="","",IFERROR(INDEX(Task_Tracker!$B$5:$B$1004,MATCH($B28,Task_Tracker!$A$5:$A$1004,0)),""))</f>
        <v/>
      </c>
      <c r="E28" s="81" t="inlineStr">
        <is>
          <t>Document current checklist</t>
        </is>
      </c>
      <c r="F28" s="81" t="inlineStr">
        <is>
          <t>Capture the current manual control checklist.</t>
        </is>
      </c>
      <c r="G28" s="78" t="inlineStr">
        <is>
          <t>Pankaj Vairagade</t>
        </is>
      </c>
      <c r="H28" s="78" t="inlineStr">
        <is>
          <t>Not Started</t>
        </is>
      </c>
      <c r="I28" s="67">
        <f>IF($H28="","",IFERROR(INDEX(Action_Status_Map!$B$5:$B$11,MATCH($H28,Action_Status_Map!$A$5:$A$11,0)),""))</f>
        <v/>
      </c>
      <c r="J28" s="82" t="n">
        <v>46123</v>
      </c>
      <c r="K28" s="82" t="n">
        <v>46126</v>
      </c>
      <c r="L28" s="82" t="n"/>
      <c r="M28" s="83" t="n">
        <v>6</v>
      </c>
      <c r="N28" s="83" t="n"/>
      <c r="O28" s="66">
        <f>IF(OR($M28="",$N28=""),"",$N28-$M28)</f>
        <v/>
      </c>
      <c r="P28" s="84">
        <f>IF($J28="","",IF($L28&lt;&gt;"",$L28-$J28,TODAY()-$J28))</f>
        <v/>
      </c>
      <c r="Q28" s="85">
        <f>IF(OR($K28="",$H28="Completed",$H28="Cancelled"),"",IF(AND($K28&lt;TODAY(),$H28&lt;&gt;"Completed",$H28&lt;&gt;"Cancelled"),"Overdue","On Track"))</f>
        <v/>
      </c>
      <c r="R28" s="81" t="inlineStr">
        <is>
          <t>Planned for later in April.</t>
        </is>
      </c>
      <c r="S28" s="81">
        <f>IF($B28="","",IFERROR(INDEX(Task_Tracker!$AA$5:$AA$1004,MATCH($B28,Task_Tracker!$A$5:$A$1004,0)),""))</f>
        <v/>
      </c>
      <c r="T28" s="81">
        <f>IF($B28="","",IFERROR(INDEX(Task_Tracker!$AB$5:$AB$1004,MATCH($B28,Task_Tracker!$A$5:$A$1004,0)),""))</f>
        <v/>
      </c>
      <c r="U28" s="78">
        <f>IF($B28="","",IFERROR(INDEX(Task_Tracker!$F$5:$F$1004,MATCH($B28,Task_Tracker!$A$5:$A$1004,0)),""))</f>
        <v/>
      </c>
      <c r="V28" s="78">
        <f>IF($B28="","",IFERROR(INDEX(Task_Tracker!$I$5:$I$1004,MATCH($B28,Task_Tracker!$A$5:$A$1004,0)),""))</f>
        <v/>
      </c>
      <c r="W28" s="81">
        <f>IF(OR($D28="",$B28=""),"",$D28&amp;" | "&amp;$B28)</f>
        <v/>
      </c>
      <c r="X28" s="85">
        <f>IF($K28="","",TEXT($K28,"yyyy-mm"))</f>
        <v/>
      </c>
      <c r="Y28" s="81">
        <f>IF(OR($A28="",$T28=""),"","Included in Manager_Report")</f>
        <v/>
      </c>
    </row>
    <row r="29" ht="15" customHeight="1" s="40">
      <c r="A29" s="65">
        <f>IF(COUNTA(B29:G29)=0,"","STP-"&amp;TEXT(ROW()-4,"0000"))</f>
        <v/>
      </c>
      <c r="B29" s="78" t="inlineStr">
        <is>
          <t>TSK-0009</t>
        </is>
      </c>
      <c r="C29" s="67">
        <f>IF($B29="","",IFERROR(INDEX(Task_Tracker!$D$5:$D$1004,MATCH($B29,Task_Tracker!$A$5:$A$1004,0)),""))</f>
        <v/>
      </c>
      <c r="D29" s="67">
        <f>IF($B29="","",IFERROR(INDEX(Task_Tracker!$B$5:$B$1004,MATCH($B29,Task_Tracker!$A$5:$A$1004,0)),""))</f>
        <v/>
      </c>
      <c r="E29" s="81" t="inlineStr">
        <is>
          <t>Review automation fields</t>
        </is>
      </c>
      <c r="F29" s="81" t="inlineStr">
        <is>
          <t>Review required fields and approval logic.</t>
        </is>
      </c>
      <c r="G29" s="78" t="inlineStr">
        <is>
          <t>Pankaj Vairagade</t>
        </is>
      </c>
      <c r="H29" s="78" t="inlineStr">
        <is>
          <t>Not Started</t>
        </is>
      </c>
      <c r="I29" s="67">
        <f>IF($H29="","",IFERROR(INDEX(Action_Status_Map!$B$5:$B$11,MATCH($H29,Action_Status_Map!$A$5:$A$11,0)),""))</f>
        <v/>
      </c>
      <c r="J29" s="82" t="n">
        <v>46127</v>
      </c>
      <c r="K29" s="82" t="n">
        <v>46130</v>
      </c>
      <c r="L29" s="82" t="n"/>
      <c r="M29" s="83" t="n">
        <v>6</v>
      </c>
      <c r="N29" s="83" t="n"/>
      <c r="O29" s="66">
        <f>IF(OR($M29="",$N29=""),"",$N29-$M29)</f>
        <v/>
      </c>
      <c r="P29" s="84">
        <f>IF($J29="","",IF($L29&lt;&gt;"",$L29-$J29,TODAY()-$J29))</f>
        <v/>
      </c>
      <c r="Q29" s="85">
        <f>IF(OR($K29="",$H29="Completed",$H29="Cancelled"),"",IF(AND($K29&lt;TODAY(),$H29&lt;&gt;"Completed",$H29&lt;&gt;"Cancelled"),"Overdue","On Track"))</f>
        <v/>
      </c>
      <c r="R29" s="81" t="inlineStr">
        <is>
          <t>Awaiting kickoff.</t>
        </is>
      </c>
      <c r="S29" s="81">
        <f>IF($B29="","",IFERROR(INDEX(Task_Tracker!$AA$5:$AA$1004,MATCH($B29,Task_Tracker!$A$5:$A$1004,0)),""))</f>
        <v/>
      </c>
      <c r="T29" s="81">
        <f>IF($B29="","",IFERROR(INDEX(Task_Tracker!$AB$5:$AB$1004,MATCH($B29,Task_Tracker!$A$5:$A$1004,0)),""))</f>
        <v/>
      </c>
      <c r="U29" s="78">
        <f>IF($B29="","",IFERROR(INDEX(Task_Tracker!$F$5:$F$1004,MATCH($B29,Task_Tracker!$A$5:$A$1004,0)),""))</f>
        <v/>
      </c>
      <c r="V29" s="78">
        <f>IF($B29="","",IFERROR(INDEX(Task_Tracker!$I$5:$I$1004,MATCH($B29,Task_Tracker!$A$5:$A$1004,0)),""))</f>
        <v/>
      </c>
      <c r="W29" s="81">
        <f>IF(OR($D29="",$B29=""),"",$D29&amp;" | "&amp;$B29)</f>
        <v/>
      </c>
      <c r="X29" s="85">
        <f>IF($K29="","",TEXT($K29,"yyyy-mm"))</f>
        <v/>
      </c>
      <c r="Y29" s="81">
        <f>IF(OR($A29="",$T29=""),"","Included in Manager_Report")</f>
        <v/>
      </c>
    </row>
    <row r="30" ht="15" customHeight="1" s="40">
      <c r="A30" s="65">
        <f>IF(COUNTA(B30:G30)=0,"","STP-"&amp;TEXT(ROW()-4,"0000"))</f>
        <v/>
      </c>
      <c r="B30" s="78" t="inlineStr">
        <is>
          <t>TSK-0009</t>
        </is>
      </c>
      <c r="C30" s="67">
        <f>IF($B30="","",IFERROR(INDEX(Task_Tracker!$D$5:$D$1004,MATCH($B30,Task_Tracker!$A$5:$A$1004,0)),""))</f>
        <v/>
      </c>
      <c r="D30" s="67">
        <f>IF($B30="","",IFERROR(INDEX(Task_Tracker!$B$5:$B$1004,MATCH($B30,Task_Tracker!$A$5:$A$1004,0)),""))</f>
        <v/>
      </c>
      <c r="E30" s="81" t="inlineStr">
        <is>
          <t>Configure final template</t>
        </is>
      </c>
      <c r="F30" s="81" t="inlineStr">
        <is>
          <t>Build the automated checklist template.</t>
        </is>
      </c>
      <c r="G30" s="78" t="inlineStr">
        <is>
          <t>Pankaj Vairagade</t>
        </is>
      </c>
      <c r="H30" s="78" t="inlineStr">
        <is>
          <t>Not Started</t>
        </is>
      </c>
      <c r="I30" s="67">
        <f>IF($H30="","",IFERROR(INDEX(Action_Status_Map!$B$5:$B$11,MATCH($H30,Action_Status_Map!$A$5:$A$11,0)),""))</f>
        <v/>
      </c>
      <c r="J30" s="82" t="n">
        <v>46130</v>
      </c>
      <c r="K30" s="82" t="n">
        <v>46134</v>
      </c>
      <c r="L30" s="82" t="n"/>
      <c r="M30" s="83" t="n">
        <v>6</v>
      </c>
      <c r="N30" s="83" t="n"/>
      <c r="O30" s="66">
        <f>IF(OR($M30="",$N30=""),"",$N30-$M30)</f>
        <v/>
      </c>
      <c r="P30" s="84">
        <f>IF($J30="","",IF($L30&lt;&gt;"",$L30-$J30,TODAY()-$J30))</f>
        <v/>
      </c>
      <c r="Q30" s="85">
        <f>IF(OR($K30="",$H30="Completed",$H30="Cancelled"),"",IF(AND($K30&lt;TODAY(),$H30&lt;&gt;"Completed",$H30&lt;&gt;"Cancelled"),"Overdue","On Track"))</f>
        <v/>
      </c>
      <c r="R30" s="81" t="inlineStr">
        <is>
          <t>Start after design review.</t>
        </is>
      </c>
      <c r="S30" s="81">
        <f>IF($B30="","",IFERROR(INDEX(Task_Tracker!$AA$5:$AA$1004,MATCH($B30,Task_Tracker!$A$5:$A$1004,0)),""))</f>
        <v/>
      </c>
      <c r="T30" s="81">
        <f>IF($B30="","",IFERROR(INDEX(Task_Tracker!$AB$5:$AB$1004,MATCH($B30,Task_Tracker!$A$5:$A$1004,0)),""))</f>
        <v/>
      </c>
      <c r="U30" s="78">
        <f>IF($B30="","",IFERROR(INDEX(Task_Tracker!$F$5:$F$1004,MATCH($B30,Task_Tracker!$A$5:$A$1004,0)),""))</f>
        <v/>
      </c>
      <c r="V30" s="78">
        <f>IF($B30="","",IFERROR(INDEX(Task_Tracker!$I$5:$I$1004,MATCH($B30,Task_Tracker!$A$5:$A$1004,0)),""))</f>
        <v/>
      </c>
      <c r="W30" s="81">
        <f>IF(OR($D30="",$B30=""),"",$D30&amp;" | "&amp;$B30)</f>
        <v/>
      </c>
      <c r="X30" s="85">
        <f>IF($K30="","",TEXT($K30,"yyyy-mm"))</f>
        <v/>
      </c>
      <c r="Y30" s="81">
        <f>IF(OR($A30="",$T30=""),"","Included in Manager_Report")</f>
        <v/>
      </c>
    </row>
    <row r="31" ht="15" customHeight="1" s="40">
      <c r="A31" s="65">
        <f>IF(COUNTA(B31:G31)=0,"","STP-"&amp;TEXT(ROW()-4,"0000"))</f>
        <v/>
      </c>
      <c r="B31" s="78" t="inlineStr">
        <is>
          <t>TSK-0010</t>
        </is>
      </c>
      <c r="C31" s="67">
        <f>IF($B31="","",IFERROR(INDEX(Task_Tracker!$D$5:$D$1004,MATCH($B31,Task_Tracker!$A$5:$A$1004,0)),""))</f>
        <v/>
      </c>
      <c r="D31" s="67">
        <f>IF($B31="","",IFERROR(INDEX(Task_Tracker!$B$5:$B$1004,MATCH($B31,Task_Tracker!$A$5:$A$1004,0)),""))</f>
        <v/>
      </c>
      <c r="E31" s="81" t="inlineStr">
        <is>
          <t>Review old workbook tabs</t>
        </is>
      </c>
      <c r="F31" s="81" t="inlineStr">
        <is>
          <t>Review and archive outdated workbook tabs.</t>
        </is>
      </c>
      <c r="G31" s="78" t="inlineStr">
        <is>
          <t>Pankaj Vairagade</t>
        </is>
      </c>
      <c r="H31" s="78" t="inlineStr">
        <is>
          <t>Completed</t>
        </is>
      </c>
      <c r="I31" s="67">
        <f>IF($H31="","",IFERROR(INDEX(Action_Status_Map!$B$5:$B$11,MATCH($H31,Action_Status_Map!$A$5:$A$11,0)),""))</f>
        <v/>
      </c>
      <c r="J31" s="82" t="n">
        <v>46105</v>
      </c>
      <c r="K31" s="82" t="n">
        <v>46106</v>
      </c>
      <c r="L31" s="82" t="n">
        <v>46105</v>
      </c>
      <c r="M31" s="83" t="n">
        <v>2</v>
      </c>
      <c r="N31" s="83" t="n">
        <v>1</v>
      </c>
      <c r="O31" s="66">
        <f>IF(OR($M31="",$N31=""),"",$N31-$M31)</f>
        <v/>
      </c>
      <c r="P31" s="84">
        <f>IF($J31="","",IF($L31&lt;&gt;"",$L31-$J31,TODAY()-$J31))</f>
        <v/>
      </c>
      <c r="Q31" s="85">
        <f>IF(OR($K31="",$H31="Completed",$H31="Cancelled"),"",IF(AND($K31&lt;TODAY(),$H31&lt;&gt;"Completed",$H31&lt;&gt;"Cancelled"),"Overdue","On Track"))</f>
        <v/>
      </c>
      <c r="R31" s="81" t="inlineStr">
        <is>
          <t>Old tabs reviewed.</t>
        </is>
      </c>
      <c r="S31" s="81">
        <f>IF($B31="","",IFERROR(INDEX(Task_Tracker!$AA$5:$AA$1004,MATCH($B31,Task_Tracker!$A$5:$A$1004,0)),""))</f>
        <v/>
      </c>
      <c r="T31" s="81">
        <f>IF($B31="","",IFERROR(INDEX(Task_Tracker!$AB$5:$AB$1004,MATCH($B31,Task_Tracker!$A$5:$A$1004,0)),""))</f>
        <v/>
      </c>
      <c r="U31" s="78">
        <f>IF($B31="","",IFERROR(INDEX(Task_Tracker!$F$5:$F$1004,MATCH($B31,Task_Tracker!$A$5:$A$1004,0)),""))</f>
        <v/>
      </c>
      <c r="V31" s="78">
        <f>IF($B31="","",IFERROR(INDEX(Task_Tracker!$I$5:$I$1004,MATCH($B31,Task_Tracker!$A$5:$A$1004,0)),""))</f>
        <v/>
      </c>
      <c r="W31" s="81">
        <f>IF(OR($D31="",$B31=""),"",$D31&amp;" | "&amp;$B31)</f>
        <v/>
      </c>
      <c r="X31" s="85">
        <f>IF($K31="","",TEXT($K31,"yyyy-mm"))</f>
        <v/>
      </c>
      <c r="Y31" s="81">
        <f>IF(OR($A31="",$T31=""),"","Included in Manager_Report")</f>
        <v/>
      </c>
    </row>
    <row r="32" ht="15" customHeight="1" s="40">
      <c r="A32" s="65">
        <f>IF(COUNTA(B32:G32)=0,"","STP-"&amp;TEXT(ROW()-4,"0000"))</f>
        <v/>
      </c>
      <c r="B32" s="78" t="inlineStr">
        <is>
          <t>TSK-0010</t>
        </is>
      </c>
      <c r="C32" s="67">
        <f>IF($B32="","",IFERROR(INDEX(Task_Tracker!$D$5:$D$1004,MATCH($B32,Task_Tracker!$A$5:$A$1004,0)),""))</f>
        <v/>
      </c>
      <c r="D32" s="67">
        <f>IF($B32="","",IFERROR(INDEX(Task_Tracker!$B$5:$B$1004,MATCH($B32,Task_Tracker!$A$5:$A$1004,0)),""))</f>
        <v/>
      </c>
      <c r="E32" s="81" t="inlineStr">
        <is>
          <t>Remove broken formulas</t>
        </is>
      </c>
      <c r="F32" s="81" t="inlineStr">
        <is>
          <t>Fix broken formulas and broken references.</t>
        </is>
      </c>
      <c r="G32" s="78" t="inlineStr">
        <is>
          <t>Pankaj Vairagade</t>
        </is>
      </c>
      <c r="H32" s="78" t="inlineStr">
        <is>
          <t>Completed</t>
        </is>
      </c>
      <c r="I32" s="67">
        <f>IF($H32="","",IFERROR(INDEX(Action_Status_Map!$B$5:$B$11,MATCH($H32,Action_Status_Map!$A$5:$A$11,0)),""))</f>
        <v/>
      </c>
      <c r="J32" s="82" t="n">
        <v>46106</v>
      </c>
      <c r="K32" s="82" t="n">
        <v>46108</v>
      </c>
      <c r="L32" s="82" t="n">
        <v>46108</v>
      </c>
      <c r="M32" s="83" t="n">
        <v>2</v>
      </c>
      <c r="N32" s="83" t="n">
        <v>2</v>
      </c>
      <c r="O32" s="66">
        <f>IF(OR($M32="",$N32=""),"",$N32-$M32)</f>
        <v/>
      </c>
      <c r="P32" s="84">
        <f>IF($J32="","",IF($L32&lt;&gt;"",$L32-$J32,TODAY()-$J32))</f>
        <v/>
      </c>
      <c r="Q32" s="85">
        <f>IF(OR($K32="",$H32="Completed",$H32="Cancelled"),"",IF(AND($K32&lt;TODAY(),$H32&lt;&gt;"Completed",$H32&lt;&gt;"Cancelled"),"Overdue","On Track"))</f>
        <v/>
      </c>
      <c r="R32" s="81" t="inlineStr">
        <is>
          <t>Formula cleanup complete.</t>
        </is>
      </c>
      <c r="S32" s="81">
        <f>IF($B32="","",IFERROR(INDEX(Task_Tracker!$AA$5:$AA$1004,MATCH($B32,Task_Tracker!$A$5:$A$1004,0)),""))</f>
        <v/>
      </c>
      <c r="T32" s="81">
        <f>IF($B32="","",IFERROR(INDEX(Task_Tracker!$AB$5:$AB$1004,MATCH($B32,Task_Tracker!$A$5:$A$1004,0)),""))</f>
        <v/>
      </c>
      <c r="U32" s="78">
        <f>IF($B32="","",IFERROR(INDEX(Task_Tracker!$F$5:$F$1004,MATCH($B32,Task_Tracker!$A$5:$A$1004,0)),""))</f>
        <v/>
      </c>
      <c r="V32" s="78">
        <f>IF($B32="","",IFERROR(INDEX(Task_Tracker!$I$5:$I$1004,MATCH($B32,Task_Tracker!$A$5:$A$1004,0)),""))</f>
        <v/>
      </c>
      <c r="W32" s="81">
        <f>IF(OR($D32="",$B32=""),"",$D32&amp;" | "&amp;$B32)</f>
        <v/>
      </c>
      <c r="X32" s="85">
        <f>IF($K32="","",TEXT($K32,"yyyy-mm"))</f>
        <v/>
      </c>
      <c r="Y32" s="81">
        <f>IF(OR($A32="",$T32=""),"","Included in Manager_Report")</f>
        <v/>
      </c>
    </row>
    <row r="33" ht="15" customHeight="1" s="40">
      <c r="A33" s="65">
        <f>IF(COUNTA(B33:G33)=0,"","STP-"&amp;TEXT(ROW()-4,"0000"))</f>
        <v/>
      </c>
      <c r="B33" s="78" t="inlineStr">
        <is>
          <t>TSK-0010</t>
        </is>
      </c>
      <c r="C33" s="67">
        <f>IF($B33="","",IFERROR(INDEX(Task_Tracker!$D$5:$D$1004,MATCH($B33,Task_Tracker!$A$5:$A$1004,0)),""))</f>
        <v/>
      </c>
      <c r="D33" s="67">
        <f>IF($B33="","",IFERROR(INDEX(Task_Tracker!$B$5:$B$1004,MATCH($B33,Task_Tracker!$A$5:$A$1004,0)),""))</f>
        <v/>
      </c>
      <c r="E33" s="81" t="inlineStr">
        <is>
          <t>Final QA and publish</t>
        </is>
      </c>
      <c r="F33" s="81" t="inlineStr">
        <is>
          <t>Final quality check and workbook publishing.</t>
        </is>
      </c>
      <c r="G33" s="78" t="inlineStr">
        <is>
          <t>Pankaj Vairagade</t>
        </is>
      </c>
      <c r="H33" s="78" t="inlineStr">
        <is>
          <t>Completed</t>
        </is>
      </c>
      <c r="I33" s="67">
        <f>IF($H33="","",IFERROR(INDEX(Action_Status_Map!$B$5:$B$11,MATCH($H33,Action_Status_Map!$A$5:$A$11,0)),""))</f>
        <v/>
      </c>
      <c r="J33" s="82" t="n">
        <v>46108</v>
      </c>
      <c r="K33" s="82" t="n">
        <v>46110</v>
      </c>
      <c r="L33" s="82" t="n">
        <v>46109</v>
      </c>
      <c r="M33" s="83" t="n">
        <v>1</v>
      </c>
      <c r="N33" s="83" t="n">
        <v>1</v>
      </c>
      <c r="O33" s="66">
        <f>IF(OR($M33="",$N33=""),"",$N33-$M33)</f>
        <v/>
      </c>
      <c r="P33" s="84">
        <f>IF($J33="","",IF($L33&lt;&gt;"",$L33-$J33,TODAY()-$J33))</f>
        <v/>
      </c>
      <c r="Q33" s="85">
        <f>IF(OR($K33="",$H33="Completed",$H33="Cancelled"),"",IF(AND($K33&lt;TODAY(),$H33&lt;&gt;"Completed",$H33&lt;&gt;"Cancelled"),"Overdue","On Track"))</f>
        <v/>
      </c>
      <c r="R33" s="81" t="inlineStr">
        <is>
          <t>Final workbook published.</t>
        </is>
      </c>
      <c r="S33" s="81">
        <f>IF($B33="","",IFERROR(INDEX(Task_Tracker!$AA$5:$AA$1004,MATCH($B33,Task_Tracker!$A$5:$A$1004,0)),""))</f>
        <v/>
      </c>
      <c r="T33" s="81">
        <f>IF($B33="","",IFERROR(INDEX(Task_Tracker!$AB$5:$AB$1004,MATCH($B33,Task_Tracker!$A$5:$A$1004,0)),""))</f>
        <v/>
      </c>
      <c r="U33" s="78">
        <f>IF($B33="","",IFERROR(INDEX(Task_Tracker!$F$5:$F$1004,MATCH($B33,Task_Tracker!$A$5:$A$1004,0)),""))</f>
        <v/>
      </c>
      <c r="V33" s="78">
        <f>IF($B33="","",IFERROR(INDEX(Task_Tracker!$I$5:$I$1004,MATCH($B33,Task_Tracker!$A$5:$A$1004,0)),""))</f>
        <v/>
      </c>
      <c r="W33" s="81">
        <f>IF(OR($D33="",$B33=""),"",$D33&amp;" | "&amp;$B33)</f>
        <v/>
      </c>
      <c r="X33" s="85">
        <f>IF($K33="","",TEXT($K33,"yyyy-mm"))</f>
        <v/>
      </c>
      <c r="Y33" s="81">
        <f>IF(OR($A33="",$T33=""),"","Included in Manager_Report")</f>
        <v/>
      </c>
    </row>
    <row r="34" ht="15" customHeight="1" s="40">
      <c r="A34" s="65">
        <f>IF(COUNTA(B34:G34)=0,"","STP-"&amp;TEXT(ROW()-4,"0000"))</f>
        <v/>
      </c>
      <c r="B34" s="78" t="n"/>
      <c r="C34" s="67">
        <f>IF($B34="","",IFERROR(INDEX(Task_Tracker!$D$5:$D$1004,MATCH($B34,Task_Tracker!$A$5:$A$1004,0)),""))</f>
        <v/>
      </c>
      <c r="D34" s="67">
        <f>IF($B34="","",IFERROR(INDEX(Task_Tracker!$B$5:$B$1004,MATCH($B34,Task_Tracker!$A$5:$A$1004,0)),""))</f>
        <v/>
      </c>
      <c r="E34" s="81" t="n"/>
      <c r="F34" s="81" t="n"/>
      <c r="G34" s="78" t="n"/>
      <c r="H34" s="78" t="n"/>
      <c r="I34" s="67">
        <f>IF($H34="","",IFERROR(INDEX(Action_Status_Map!$B$5:$B$11,MATCH($H34,Action_Status_Map!$A$5:$A$11,0)),""))</f>
        <v/>
      </c>
      <c r="J34" s="82" t="n"/>
      <c r="K34" s="82" t="n"/>
      <c r="L34" s="82" t="n"/>
      <c r="M34" s="83" t="n"/>
      <c r="N34" s="83" t="n"/>
      <c r="O34" s="66">
        <f>IF(OR($M34="",$N34=""),"",$N34-$M34)</f>
        <v/>
      </c>
      <c r="P34" s="84">
        <f>IF($J34="","",IF($L34&lt;&gt;"",$L34-$J34,TODAY()-$J34))</f>
        <v/>
      </c>
      <c r="Q34" s="85">
        <f>IF(OR($K34="",$H34="Completed",$H34="Cancelled"),"",IF(AND($K34&lt;TODAY(),$H34&lt;&gt;"Completed",$H34&lt;&gt;"Cancelled"),"Overdue","On Track"))</f>
        <v/>
      </c>
      <c r="R34" s="81" t="n"/>
      <c r="S34" s="81">
        <f>IF($B34="","",IFERROR(INDEX(Task_Tracker!$AA$5:$AA$1004,MATCH($B34,Task_Tracker!$A$5:$A$1004,0)),""))</f>
        <v/>
      </c>
      <c r="T34" s="81">
        <f>IF($B34="","",IFERROR(INDEX(Task_Tracker!$AB$5:$AB$1004,MATCH($B34,Task_Tracker!$A$5:$A$1004,0)),""))</f>
        <v/>
      </c>
      <c r="U34" s="78">
        <f>IF($B34="","",IFERROR(INDEX(Task_Tracker!$F$5:$F$1004,MATCH($B34,Task_Tracker!$A$5:$A$1004,0)),""))</f>
        <v/>
      </c>
      <c r="V34" s="78">
        <f>IF($B34="","",IFERROR(INDEX(Task_Tracker!$I$5:$I$1004,MATCH($B34,Task_Tracker!$A$5:$A$1004,0)),""))</f>
        <v/>
      </c>
      <c r="W34" s="81">
        <f>IF(OR($D34="",$B34=""),"",$D34&amp;" | "&amp;$B34)</f>
        <v/>
      </c>
      <c r="X34" s="85">
        <f>IF($K34="","",TEXT($K34,"yyyy-mm"))</f>
        <v/>
      </c>
      <c r="Y34" s="81">
        <f>IF(OR($A34="",$T34=""),"","Included in Manager_Report")</f>
        <v/>
      </c>
    </row>
    <row r="35" ht="15" customHeight="1" s="40">
      <c r="A35" s="65">
        <f>IF(COUNTA(B35:G35)=0,"","STP-"&amp;TEXT(ROW()-4,"0000"))</f>
        <v/>
      </c>
      <c r="B35" s="78">
        <f>Task_Tracker!$A$15</f>
        <v/>
      </c>
      <c r="C35" s="67">
        <f>IF($B35="","",IFERROR(INDEX(Task_Tracker!$D$5:$D$1004,MATCH($B35,Task_Tracker!$A$5:$A$1004,0)),""))</f>
        <v/>
      </c>
      <c r="D35" s="67">
        <f>IF($B35="","",IFERROR(INDEX(Task_Tracker!$B$5:$B$1004,MATCH($B35,Task_Tracker!$A$5:$A$1004,0)),""))</f>
        <v/>
      </c>
      <c r="E35" s="81" t="inlineStr">
        <is>
          <t>Compile signoff evidence</t>
        </is>
      </c>
      <c r="F35" s="81" t="inlineStr">
        <is>
          <t>Gather UAT evidence and approval mails.</t>
        </is>
      </c>
      <c r="G35" s="78" t="inlineStr">
        <is>
          <t>Pammi Gaur</t>
        </is>
      </c>
      <c r="H35" s="78" t="inlineStr">
        <is>
          <t>Completed</t>
        </is>
      </c>
      <c r="I35" s="67">
        <f>IF($H35="","",IFERROR(INDEX(Action_Status_Map!$B$5:$B$11,MATCH($H35,Action_Status_Map!$A$5:$A$11,0)),""))</f>
        <v/>
      </c>
      <c r="J35" s="82" t="n">
        <v>46151</v>
      </c>
      <c r="K35" s="82" t="n">
        <v>46156</v>
      </c>
      <c r="L35" s="82" t="n">
        <v>46155</v>
      </c>
      <c r="M35" s="83" t="n">
        <v>3</v>
      </c>
      <c r="N35" s="83" t="n">
        <v>3</v>
      </c>
      <c r="O35" s="66">
        <f>IF(OR($M35="",$N35=""),"",$N35-$M35)</f>
        <v/>
      </c>
      <c r="P35" s="84">
        <f>IF($J35="","",IF($L35&lt;&gt;"",$L35-$J35,TODAY()-$J35))</f>
        <v/>
      </c>
      <c r="Q35" s="85">
        <f>IF(OR($K35="",$H35="Completed",$H35="Cancelled"),"",IF(AND($K35&lt;TODAY(),$H35&lt;&gt;"Completed",$H35&lt;&gt;"Cancelled"),"Overdue","On Track"))</f>
        <v/>
      </c>
      <c r="R35" s="81" t="inlineStr">
        <is>
          <t>Evidence compiled.</t>
        </is>
      </c>
      <c r="S35" s="81">
        <f>IF($B35="","",IFERROR(INDEX(Task_Tracker!$AA$5:$AA$1004,MATCH($B35,Task_Tracker!$A$5:$A$1004,0)),""))</f>
        <v/>
      </c>
      <c r="T35" s="81">
        <f>IF($B35="","",IFERROR(INDEX(Task_Tracker!$AB$5:$AB$1004,MATCH($B35,Task_Tracker!$A$5:$A$1004,0)),""))</f>
        <v/>
      </c>
      <c r="U35" s="78">
        <f>IF($B35="","",IFERROR(INDEX(Task_Tracker!$F$5:$F$1004,MATCH($B35,Task_Tracker!$A$5:$A$1004,0)),""))</f>
        <v/>
      </c>
      <c r="V35" s="78">
        <f>IF($B35="","",IFERROR(INDEX(Task_Tracker!$I$5:$I$1004,MATCH($B35,Task_Tracker!$A$5:$A$1004,0)),""))</f>
        <v/>
      </c>
      <c r="W35" s="81">
        <f>IF(OR($D35="",$B35=""),"",$D35&amp;" | "&amp;$B35)</f>
        <v/>
      </c>
      <c r="X35" s="85">
        <f>IF($K35="","",TEXT($K35,"yyyy-mm"))</f>
        <v/>
      </c>
      <c r="Y35" s="81">
        <f>IF(OR($A35="",$T35=""),"","Included in Manager_Report")</f>
        <v/>
      </c>
    </row>
    <row r="36" ht="15" customHeight="1" s="40">
      <c r="A36" s="65">
        <f>IF(COUNTA(B36:G36)=0,"","STP-"&amp;TEXT(ROW()-4,"0000"))</f>
        <v/>
      </c>
      <c r="B36" s="78">
        <f>Task_Tracker!$A$15</f>
        <v/>
      </c>
      <c r="C36" s="67">
        <f>IF($B36="","",IFERROR(INDEX(Task_Tracker!$D$5:$D$1004,MATCH($B36,Task_Tracker!$A$5:$A$1004,0)),""))</f>
        <v/>
      </c>
      <c r="D36" s="67">
        <f>IF($B36="","",IFERROR(INDEX(Task_Tracker!$B$5:$B$1004,MATCH($B36,Task_Tracker!$A$5:$A$1004,0)),""))</f>
        <v/>
      </c>
      <c r="E36" s="81" t="inlineStr">
        <is>
          <t>Prepare release summary</t>
        </is>
      </c>
      <c r="F36" s="81" t="inlineStr">
        <is>
          <t>Draft final release notes and open items.</t>
        </is>
      </c>
      <c r="G36" s="78" t="inlineStr">
        <is>
          <t>Pammi Gaur</t>
        </is>
      </c>
      <c r="H36" s="78" t="inlineStr">
        <is>
          <t>Completed</t>
        </is>
      </c>
      <c r="I36" s="67">
        <f>IF($H36="","",IFERROR(INDEX(Action_Status_Map!$B$5:$B$11,MATCH($H36,Action_Status_Map!$A$5:$A$11,0)),""))</f>
        <v/>
      </c>
      <c r="J36" s="82" t="n">
        <v>46156</v>
      </c>
      <c r="K36" s="82" t="n">
        <v>46160</v>
      </c>
      <c r="L36" s="82" t="n">
        <v>46160</v>
      </c>
      <c r="M36" s="83" t="n">
        <v>3</v>
      </c>
      <c r="N36" s="83" t="n">
        <v>4</v>
      </c>
      <c r="O36" s="66">
        <f>IF(OR($M36="",$N36=""),"",$N36-$M36)</f>
        <v/>
      </c>
      <c r="P36" s="84">
        <f>IF($J36="","",IF($L36&lt;&gt;"",$L36-$J36,TODAY()-$J36))</f>
        <v/>
      </c>
      <c r="Q36" s="85">
        <f>IF(OR($K36="",$H36="Completed",$H36="Cancelled"),"",IF(AND($K36&lt;TODAY(),$H36&lt;&gt;"Completed",$H36&lt;&gt;"Cancelled"),"Overdue","On Track"))</f>
        <v/>
      </c>
      <c r="R36" s="81" t="inlineStr">
        <is>
          <t>Summary shared.</t>
        </is>
      </c>
      <c r="S36" s="81">
        <f>IF($B36="","",IFERROR(INDEX(Task_Tracker!$AA$5:$AA$1004,MATCH($B36,Task_Tracker!$A$5:$A$1004,0)),""))</f>
        <v/>
      </c>
      <c r="T36" s="81">
        <f>IF($B36="","",IFERROR(INDEX(Task_Tracker!$AB$5:$AB$1004,MATCH($B36,Task_Tracker!$A$5:$A$1004,0)),""))</f>
        <v/>
      </c>
      <c r="U36" s="78">
        <f>IF($B36="","",IFERROR(INDEX(Task_Tracker!$F$5:$F$1004,MATCH($B36,Task_Tracker!$A$5:$A$1004,0)),""))</f>
        <v/>
      </c>
      <c r="V36" s="78">
        <f>IF($B36="","",IFERROR(INDEX(Task_Tracker!$I$5:$I$1004,MATCH($B36,Task_Tracker!$A$5:$A$1004,0)),""))</f>
        <v/>
      </c>
      <c r="W36" s="81">
        <f>IF(OR($D36="",$B36=""),"",$D36&amp;" | "&amp;$B36)</f>
        <v/>
      </c>
      <c r="X36" s="85">
        <f>IF($K36="","",TEXT($K36,"yyyy-mm"))</f>
        <v/>
      </c>
      <c r="Y36" s="81">
        <f>IF(OR($A36="",$T36=""),"","Included in Manager_Report")</f>
        <v/>
      </c>
    </row>
    <row r="37" ht="15" customHeight="1" s="40">
      <c r="A37" s="65">
        <f>IF(COUNTA(B37:G37)=0,"","STP-"&amp;TEXT(ROW()-4,"0000"))</f>
        <v/>
      </c>
      <c r="B37" s="78">
        <f>Task_Tracker!$A$15</f>
        <v/>
      </c>
      <c r="C37" s="67">
        <f>IF($B37="","",IFERROR(INDEX(Task_Tracker!$D$5:$D$1004,MATCH($B37,Task_Tracker!$A$5:$A$1004,0)),""))</f>
        <v/>
      </c>
      <c r="D37" s="67">
        <f>IF($B37="","",IFERROR(INDEX(Task_Tracker!$B$5:$B$1004,MATCH($B37,Task_Tracker!$A$5:$A$1004,0)),""))</f>
        <v/>
      </c>
      <c r="E37" s="81" t="inlineStr">
        <is>
          <t>Obtain final signoff</t>
        </is>
      </c>
      <c r="F37" s="81" t="inlineStr">
        <is>
          <t>Secure sponsor approval for go-live readiness.</t>
        </is>
      </c>
      <c r="G37" s="78" t="inlineStr">
        <is>
          <t>Pammi Gaur</t>
        </is>
      </c>
      <c r="H37" s="78" t="inlineStr">
        <is>
          <t>Completed</t>
        </is>
      </c>
      <c r="I37" s="67">
        <f>IF($H37="","",IFERROR(INDEX(Action_Status_Map!$B$5:$B$11,MATCH($H37,Action_Status_Map!$A$5:$A$11,0)),""))</f>
        <v/>
      </c>
      <c r="J37" s="82" t="n">
        <v>46160</v>
      </c>
      <c r="K37" s="82" t="n">
        <v>46162</v>
      </c>
      <c r="L37" s="82" t="n">
        <v>46161</v>
      </c>
      <c r="M37" s="83" t="n">
        <v>2</v>
      </c>
      <c r="N37" s="83" t="n">
        <v>2</v>
      </c>
      <c r="O37" s="66">
        <f>IF(OR($M37="",$N37=""),"",$N37-$M37)</f>
        <v/>
      </c>
      <c r="P37" s="84">
        <f>IF($J37="","",IF($L37&lt;&gt;"",$L37-$J37,TODAY()-$J37))</f>
        <v/>
      </c>
      <c r="Q37" s="85">
        <f>IF(OR($K37="",$H37="Completed",$H37="Cancelled"),"",IF(AND($K37&lt;TODAY(),$H37&lt;&gt;"Completed",$H37&lt;&gt;"Cancelled"),"Overdue","On Track"))</f>
        <v/>
      </c>
      <c r="R37" s="81" t="inlineStr">
        <is>
          <t>Signoff received early.</t>
        </is>
      </c>
      <c r="S37" s="81">
        <f>IF($B37="","",IFERROR(INDEX(Task_Tracker!$AA$5:$AA$1004,MATCH($B37,Task_Tracker!$A$5:$A$1004,0)),""))</f>
        <v/>
      </c>
      <c r="T37" s="81">
        <f>IF($B37="","",IFERROR(INDEX(Task_Tracker!$AB$5:$AB$1004,MATCH($B37,Task_Tracker!$A$5:$A$1004,0)),""))</f>
        <v/>
      </c>
      <c r="U37" s="78">
        <f>IF($B37="","",IFERROR(INDEX(Task_Tracker!$F$5:$F$1004,MATCH($B37,Task_Tracker!$A$5:$A$1004,0)),""))</f>
        <v/>
      </c>
      <c r="V37" s="78">
        <f>IF($B37="","",IFERROR(INDEX(Task_Tracker!$I$5:$I$1004,MATCH($B37,Task_Tracker!$A$5:$A$1004,0)),""))</f>
        <v/>
      </c>
      <c r="W37" s="81">
        <f>IF(OR($D37="",$B37=""),"",$D37&amp;" | "&amp;$B37)</f>
        <v/>
      </c>
      <c r="X37" s="85">
        <f>IF($K37="","",TEXT($K37,"yyyy-mm"))</f>
        <v/>
      </c>
      <c r="Y37" s="81">
        <f>IF(OR($A37="",$T37=""),"","Included in Manager_Report")</f>
        <v/>
      </c>
    </row>
    <row r="38" ht="15" customHeight="1" s="40">
      <c r="A38" s="65">
        <f>IF(COUNTA(B38:G38)=0,"","STP-"&amp;TEXT(ROW()-4,"0000"))</f>
        <v/>
      </c>
      <c r="B38" s="78">
        <f>Task_Tracker!$A$16</f>
        <v/>
      </c>
      <c r="C38" s="67">
        <f>IF($B38="","",IFERROR(INDEX(Task_Tracker!$D$5:$D$1004,MATCH($B38,Task_Tracker!$A$5:$A$1004,0)),""))</f>
        <v/>
      </c>
      <c r="D38" s="67">
        <f>IF($B38="","",IFERROR(INDEX(Task_Tracker!$B$5:$B$1004,MATCH($B38,Task_Tracker!$A$5:$A$1004,0)),""))</f>
        <v/>
      </c>
      <c r="E38" s="81" t="inlineStr">
        <is>
          <t>Draft cutover checklist</t>
        </is>
      </c>
      <c r="F38" s="81" t="inlineStr">
        <is>
          <t>Prepare the version 1 cutover task list.</t>
        </is>
      </c>
      <c r="G38" s="78" t="inlineStr">
        <is>
          <t>Pammi Gaur</t>
        </is>
      </c>
      <c r="H38" s="78" t="inlineStr">
        <is>
          <t>Completed</t>
        </is>
      </c>
      <c r="I38" s="67">
        <f>IF($H38="","",IFERROR(INDEX(Action_Status_Map!$B$5:$B$11,MATCH($H38,Action_Status_Map!$A$5:$A$11,0)),""))</f>
        <v/>
      </c>
      <c r="J38" s="82" t="n">
        <v>46174</v>
      </c>
      <c r="K38" s="82" t="n">
        <v>46175</v>
      </c>
      <c r="L38" s="82" t="n">
        <v>46175</v>
      </c>
      <c r="M38" s="83" t="n">
        <v>3</v>
      </c>
      <c r="N38" s="83" t="n">
        <v>3</v>
      </c>
      <c r="O38" s="66">
        <f>IF(OR($M38="",$N38=""),"",$N38-$M38)</f>
        <v/>
      </c>
      <c r="P38" s="84">
        <f>IF($J38="","",IF($L38&lt;&gt;"",$L38-$J38,TODAY()-$J38))</f>
        <v/>
      </c>
      <c r="Q38" s="85">
        <f>IF(OR($K38="",$H38="Completed",$H38="Cancelled"),"",IF(AND($K38&lt;TODAY(),$H38&lt;&gt;"Completed",$H38&lt;&gt;"Cancelled"),"Overdue","On Track"))</f>
        <v/>
      </c>
      <c r="R38" s="81" t="inlineStr">
        <is>
          <t>Version 1 ready.</t>
        </is>
      </c>
      <c r="S38" s="81">
        <f>IF($B38="","",IFERROR(INDEX(Task_Tracker!$AA$5:$AA$1004,MATCH($B38,Task_Tracker!$A$5:$A$1004,0)),""))</f>
        <v/>
      </c>
      <c r="T38" s="81">
        <f>IF($B38="","",IFERROR(INDEX(Task_Tracker!$AB$5:$AB$1004,MATCH($B38,Task_Tracker!$A$5:$A$1004,0)),""))</f>
        <v/>
      </c>
      <c r="U38" s="78">
        <f>IF($B38="","",IFERROR(INDEX(Task_Tracker!$F$5:$F$1004,MATCH($B38,Task_Tracker!$A$5:$A$1004,0)),""))</f>
        <v/>
      </c>
      <c r="V38" s="78">
        <f>IF($B38="","",IFERROR(INDEX(Task_Tracker!$I$5:$I$1004,MATCH($B38,Task_Tracker!$A$5:$A$1004,0)),""))</f>
        <v/>
      </c>
      <c r="W38" s="81">
        <f>IF(OR($D38="",$B38=""),"",$D38&amp;" | "&amp;$B38)</f>
        <v/>
      </c>
      <c r="X38" s="85">
        <f>IF($K38="","",TEXT($K38,"yyyy-mm"))</f>
        <v/>
      </c>
      <c r="Y38" s="81">
        <f>IF(OR($A38="",$T38=""),"","Included in Manager_Report")</f>
        <v/>
      </c>
    </row>
    <row r="39" ht="15" customHeight="1" s="40">
      <c r="A39" s="65">
        <f>IF(COUNTA(B39:G39)=0,"","STP-"&amp;TEXT(ROW()-4,"0000"))</f>
        <v/>
      </c>
      <c r="B39" s="78">
        <f>Task_Tracker!$A$16</f>
        <v/>
      </c>
      <c r="C39" s="67">
        <f>IF($B39="","",IFERROR(INDEX(Task_Tracker!$D$5:$D$1004,MATCH($B39,Task_Tracker!$A$5:$A$1004,0)),""))</f>
        <v/>
      </c>
      <c r="D39" s="67">
        <f>IF($B39="","",IFERROR(INDEX(Task_Tracker!$B$5:$B$1004,MATCH($B39,Task_Tracker!$A$5:$A$1004,0)),""))</f>
        <v/>
      </c>
      <c r="E39" s="81" t="inlineStr">
        <is>
          <t>Review dependencies</t>
        </is>
      </c>
      <c r="F39" s="81" t="inlineStr">
        <is>
          <t>Confirm owners, timings, and dependencies.</t>
        </is>
      </c>
      <c r="G39" s="78" t="inlineStr">
        <is>
          <t>Pammi Gaur</t>
        </is>
      </c>
      <c r="H39" s="78" t="inlineStr">
        <is>
          <t>In Progress</t>
        </is>
      </c>
      <c r="I39" s="67">
        <f>IF($H39="","",IFERROR(INDEX(Action_Status_Map!$B$5:$B$11,MATCH($H39,Action_Status_Map!$A$5:$A$11,0)),""))</f>
        <v/>
      </c>
      <c r="J39" s="82" t="n">
        <v>46175</v>
      </c>
      <c r="K39" s="82" t="n">
        <v>46177</v>
      </c>
      <c r="L39" s="82" t="n"/>
      <c r="M39" s="83" t="n">
        <v>4</v>
      </c>
      <c r="N39" s="83" t="n">
        <v>1</v>
      </c>
      <c r="O39" s="66">
        <f>IF(OR($M39="",$N39=""),"",$N39-$M39)</f>
        <v/>
      </c>
      <c r="P39" s="84">
        <f>IF($J39="","",IF($L39&lt;&gt;"",$L39-$J39,TODAY()-$J39))</f>
        <v/>
      </c>
      <c r="Q39" s="85">
        <f>IF(OR($K39="",$H39="Completed",$H39="Cancelled"),"",IF(AND($K39&lt;TODAY(),$H39&lt;&gt;"Completed",$H39&lt;&gt;"Cancelled"),"Overdue","On Track"))</f>
        <v/>
      </c>
      <c r="R39" s="81" t="inlineStr">
        <is>
          <t>Dependency review ongoing.</t>
        </is>
      </c>
      <c r="S39" s="81">
        <f>IF($B39="","",IFERROR(INDEX(Task_Tracker!$AA$5:$AA$1004,MATCH($B39,Task_Tracker!$A$5:$A$1004,0)),""))</f>
        <v/>
      </c>
      <c r="T39" s="81">
        <f>IF($B39="","",IFERROR(INDEX(Task_Tracker!$AB$5:$AB$1004,MATCH($B39,Task_Tracker!$A$5:$A$1004,0)),""))</f>
        <v/>
      </c>
      <c r="U39" s="78">
        <f>IF($B39="","",IFERROR(INDEX(Task_Tracker!$F$5:$F$1004,MATCH($B39,Task_Tracker!$A$5:$A$1004,0)),""))</f>
        <v/>
      </c>
      <c r="V39" s="78">
        <f>IF($B39="","",IFERROR(INDEX(Task_Tracker!$I$5:$I$1004,MATCH($B39,Task_Tracker!$A$5:$A$1004,0)),""))</f>
        <v/>
      </c>
      <c r="W39" s="81">
        <f>IF(OR($D39="",$B39=""),"",$D39&amp;" | "&amp;$B39)</f>
        <v/>
      </c>
      <c r="X39" s="85">
        <f>IF($K39="","",TEXT($K39,"yyyy-mm"))</f>
        <v/>
      </c>
      <c r="Y39" s="81">
        <f>IF(OR($A39="",$T39=""),"","Included in Manager_Report")</f>
        <v/>
      </c>
    </row>
    <row r="40" ht="15" customHeight="1" s="40">
      <c r="A40" s="65">
        <f>IF(COUNTA(B40:G40)=0,"","STP-"&amp;TEXT(ROW()-4,"0000"))</f>
        <v/>
      </c>
      <c r="B40" s="78">
        <f>Task_Tracker!$A$16</f>
        <v/>
      </c>
      <c r="C40" s="67">
        <f>IF($B40="","",IFERROR(INDEX(Task_Tracker!$D$5:$D$1004,MATCH($B40,Task_Tracker!$A$5:$A$1004,0)),""))</f>
        <v/>
      </c>
      <c r="D40" s="67">
        <f>IF($B40="","",IFERROR(INDEX(Task_Tracker!$B$5:$B$1004,MATCH($B40,Task_Tracker!$A$5:$A$1004,0)),""))</f>
        <v/>
      </c>
      <c r="E40" s="81" t="inlineStr">
        <is>
          <t>Finalize rollback plan</t>
        </is>
      </c>
      <c r="F40" s="81" t="inlineStr">
        <is>
          <t>Complete rollback and escalation details.</t>
        </is>
      </c>
      <c r="G40" s="78" t="inlineStr">
        <is>
          <t>Pammi Gaur</t>
        </is>
      </c>
      <c r="H40" s="78" t="inlineStr">
        <is>
          <t>Not Started</t>
        </is>
      </c>
      <c r="I40" s="67">
        <f>IF($H40="","",IFERROR(INDEX(Action_Status_Map!$B$5:$B$11,MATCH($H40,Action_Status_Map!$A$5:$A$11,0)),""))</f>
        <v/>
      </c>
      <c r="J40" s="82" t="n">
        <v>46177</v>
      </c>
      <c r="K40" s="82" t="n">
        <v>46179</v>
      </c>
      <c r="L40" s="82" t="n"/>
      <c r="M40" s="83" t="n">
        <v>3</v>
      </c>
      <c r="N40" s="83" t="n"/>
      <c r="O40" s="66">
        <f>IF(OR($M40="",$N40=""),"",$N40-$M40)</f>
        <v/>
      </c>
      <c r="P40" s="84">
        <f>IF($J40="","",IF($L40&lt;&gt;"",$L40-$J40,TODAY()-$J40))</f>
        <v/>
      </c>
      <c r="Q40" s="85">
        <f>IF(OR($K40="",$H40="Completed",$H40="Cancelled"),"",IF(AND($K40&lt;TODAY(),$H40&lt;&gt;"Completed",$H40&lt;&gt;"Cancelled"),"Overdue","On Track"))</f>
        <v/>
      </c>
      <c r="R40" s="81" t="inlineStr">
        <is>
          <t>Pending final approval.</t>
        </is>
      </c>
      <c r="S40" s="81">
        <f>IF($B40="","",IFERROR(INDEX(Task_Tracker!$AA$5:$AA$1004,MATCH($B40,Task_Tracker!$A$5:$A$1004,0)),""))</f>
        <v/>
      </c>
      <c r="T40" s="81">
        <f>IF($B40="","",IFERROR(INDEX(Task_Tracker!$AB$5:$AB$1004,MATCH($B40,Task_Tracker!$A$5:$A$1004,0)),""))</f>
        <v/>
      </c>
      <c r="U40" s="78">
        <f>IF($B40="","",IFERROR(INDEX(Task_Tracker!$F$5:$F$1004,MATCH($B40,Task_Tracker!$A$5:$A$1004,0)),""))</f>
        <v/>
      </c>
      <c r="V40" s="78">
        <f>IF($B40="","",IFERROR(INDEX(Task_Tracker!$I$5:$I$1004,MATCH($B40,Task_Tracker!$A$5:$A$1004,0)),""))</f>
        <v/>
      </c>
      <c r="W40" s="81">
        <f>IF(OR($D40="",$B40=""),"",$D40&amp;" | "&amp;$B40)</f>
        <v/>
      </c>
      <c r="X40" s="85">
        <f>IF($K40="","",TEXT($K40,"yyyy-mm"))</f>
        <v/>
      </c>
      <c r="Y40" s="81">
        <f>IF(OR($A40="",$T40=""),"","Included in Manager_Report")</f>
        <v/>
      </c>
    </row>
    <row r="41" ht="15" customHeight="1" s="40">
      <c r="A41" s="65">
        <f>IF(COUNTA(B41:G41)=0,"","STP-"&amp;TEXT(ROW()-4,"0000"))</f>
        <v/>
      </c>
      <c r="B41" s="78">
        <f>Task_Tracker!$A$17</f>
        <v/>
      </c>
      <c r="C41" s="67">
        <f>IF($B41="","",IFERROR(INDEX(Task_Tracker!$D$5:$D$1004,MATCH($B41,Task_Tracker!$A$5:$A$1004,0)),""))</f>
        <v/>
      </c>
      <c r="D41" s="67">
        <f>IF($B41="","",IFERROR(INDEX(Task_Tracker!$B$5:$B$1004,MATCH($B41,Task_Tracker!$A$5:$A$1004,0)),""))</f>
        <v/>
      </c>
      <c r="E41" s="81" t="inlineStr">
        <is>
          <t>Build dashboard draft</t>
        </is>
      </c>
      <c r="F41" s="81" t="inlineStr">
        <is>
          <t>Create the first pack with required charts.</t>
        </is>
      </c>
      <c r="G41" s="78" t="inlineStr">
        <is>
          <t>Pankaj Vairagade</t>
        </is>
      </c>
      <c r="H41" s="78" t="inlineStr">
        <is>
          <t>Completed</t>
        </is>
      </c>
      <c r="I41" s="67">
        <f>IF($H41="","",IFERROR(INDEX(Action_Status_Map!$B$5:$B$11,MATCH($H41,Action_Status_Map!$A$5:$A$11,0)),""))</f>
        <v/>
      </c>
      <c r="J41" s="82" t="n">
        <v>46156</v>
      </c>
      <c r="K41" s="82" t="n">
        <v>46160</v>
      </c>
      <c r="L41" s="82" t="n">
        <v>46160</v>
      </c>
      <c r="M41" s="83" t="n">
        <v>4</v>
      </c>
      <c r="N41" s="83" t="n">
        <v>4</v>
      </c>
      <c r="O41" s="66">
        <f>IF(OR($M41="",$N41=""),"",$N41-$M41)</f>
        <v/>
      </c>
      <c r="P41" s="84">
        <f>IF($J41="","",IF($L41&lt;&gt;"",$L41-$J41,TODAY()-$J41))</f>
        <v/>
      </c>
      <c r="Q41" s="85">
        <f>IF(OR($K41="",$H41="Completed",$H41="Cancelled"),"",IF(AND($K41&lt;TODAY(),$H41&lt;&gt;"Completed",$H41&lt;&gt;"Cancelled"),"Overdue","On Track"))</f>
        <v/>
      </c>
      <c r="R41" s="81" t="inlineStr">
        <is>
          <t>Draft built.</t>
        </is>
      </c>
      <c r="S41" s="81">
        <f>IF($B41="","",IFERROR(INDEX(Task_Tracker!$AA$5:$AA$1004,MATCH($B41,Task_Tracker!$A$5:$A$1004,0)),""))</f>
        <v/>
      </c>
      <c r="T41" s="81">
        <f>IF($B41="","",IFERROR(INDEX(Task_Tracker!$AB$5:$AB$1004,MATCH($B41,Task_Tracker!$A$5:$A$1004,0)),""))</f>
        <v/>
      </c>
      <c r="U41" s="78">
        <f>IF($B41="","",IFERROR(INDEX(Task_Tracker!$F$5:$F$1004,MATCH($B41,Task_Tracker!$A$5:$A$1004,0)),""))</f>
        <v/>
      </c>
      <c r="V41" s="78">
        <f>IF($B41="","",IFERROR(INDEX(Task_Tracker!$I$5:$I$1004,MATCH($B41,Task_Tracker!$A$5:$A$1004,0)),""))</f>
        <v/>
      </c>
      <c r="W41" s="81">
        <f>IF(OR($D41="",$B41=""),"",$D41&amp;" | "&amp;$B41)</f>
        <v/>
      </c>
      <c r="X41" s="85">
        <f>IF($K41="","",TEXT($K41,"yyyy-mm"))</f>
        <v/>
      </c>
      <c r="Y41" s="81">
        <f>IF(OR($A41="",$T41=""),"","Included in Manager_Report")</f>
        <v/>
      </c>
    </row>
    <row r="42" ht="15" customHeight="1" s="40">
      <c r="A42" s="65">
        <f>IF(COUNTA(B42:G42)=0,"","STP-"&amp;TEXT(ROW()-4,"0000"))</f>
        <v/>
      </c>
      <c r="B42" s="78">
        <f>Task_Tracker!$A$17</f>
        <v/>
      </c>
      <c r="C42" s="67">
        <f>IF($B42="","",IFERROR(INDEX(Task_Tracker!$D$5:$D$1004,MATCH($B42,Task_Tracker!$A$5:$A$1004,0)),""))</f>
        <v/>
      </c>
      <c r="D42" s="67">
        <f>IF($B42="","",IFERROR(INDEX(Task_Tracker!$B$5:$B$1004,MATCH($B42,Task_Tracker!$A$5:$A$1004,0)),""))</f>
        <v/>
      </c>
      <c r="E42" s="81" t="inlineStr">
        <is>
          <t>Validate audit numbers</t>
        </is>
      </c>
      <c r="F42" s="81" t="inlineStr">
        <is>
          <t>Cross-check source data and totals.</t>
        </is>
      </c>
      <c r="G42" s="78" t="inlineStr">
        <is>
          <t>Pankaj Vairagade</t>
        </is>
      </c>
      <c r="H42" s="78" t="inlineStr">
        <is>
          <t>Review</t>
        </is>
      </c>
      <c r="I42" s="67">
        <f>IF($H42="","",IFERROR(INDEX(Action_Status_Map!$B$5:$B$11,MATCH($H42,Action_Status_Map!$A$5:$A$11,0)),""))</f>
        <v/>
      </c>
      <c r="J42" s="82" t="n">
        <v>46160</v>
      </c>
      <c r="K42" s="82" t="n">
        <v>46164</v>
      </c>
      <c r="L42" s="82" t="n"/>
      <c r="M42" s="83" t="n">
        <v>4</v>
      </c>
      <c r="N42" s="83" t="n">
        <v>4</v>
      </c>
      <c r="O42" s="66">
        <f>IF(OR($M42="",$N42=""),"",$N42-$M42)</f>
        <v/>
      </c>
      <c r="P42" s="84">
        <f>IF($J42="","",IF($L42&lt;&gt;"",$L42-$J42,TODAY()-$J42))</f>
        <v/>
      </c>
      <c r="Q42" s="85">
        <f>IF(OR($K42="",$H42="Completed",$H42="Cancelled"),"",IF(AND($K42&lt;TODAY(),$H42&lt;&gt;"Completed",$H42&lt;&gt;"Cancelled"),"Overdue","On Track"))</f>
        <v/>
      </c>
      <c r="R42" s="81" t="inlineStr">
        <is>
          <t>Under QA review.</t>
        </is>
      </c>
      <c r="S42" s="81">
        <f>IF($B42="","",IFERROR(INDEX(Task_Tracker!$AA$5:$AA$1004,MATCH($B42,Task_Tracker!$A$5:$A$1004,0)),""))</f>
        <v/>
      </c>
      <c r="T42" s="81">
        <f>IF($B42="","",IFERROR(INDEX(Task_Tracker!$AB$5:$AB$1004,MATCH($B42,Task_Tracker!$A$5:$A$1004,0)),""))</f>
        <v/>
      </c>
      <c r="U42" s="78">
        <f>IF($B42="","",IFERROR(INDEX(Task_Tracker!$F$5:$F$1004,MATCH($B42,Task_Tracker!$A$5:$A$1004,0)),""))</f>
        <v/>
      </c>
      <c r="V42" s="78">
        <f>IF($B42="","",IFERROR(INDEX(Task_Tracker!$I$5:$I$1004,MATCH($B42,Task_Tracker!$A$5:$A$1004,0)),""))</f>
        <v/>
      </c>
      <c r="W42" s="81">
        <f>IF(OR($D42="",$B42=""),"",$D42&amp;" | "&amp;$B42)</f>
        <v/>
      </c>
      <c r="X42" s="85">
        <f>IF($K42="","",TEXT($K42,"yyyy-mm"))</f>
        <v/>
      </c>
      <c r="Y42" s="81">
        <f>IF(OR($A42="",$T42=""),"","Included in Manager_Report")</f>
        <v/>
      </c>
    </row>
    <row r="43" ht="15" customHeight="1" s="40">
      <c r="A43" s="65">
        <f>IF(COUNTA(B43:G43)=0,"","STP-"&amp;TEXT(ROW()-4,"0000"))</f>
        <v/>
      </c>
      <c r="B43" s="78">
        <f>Task_Tracker!$A$17</f>
        <v/>
      </c>
      <c r="C43" s="67">
        <f>IF($B43="","",IFERROR(INDEX(Task_Tracker!$D$5:$D$1004,MATCH($B43,Task_Tracker!$A$5:$A$1004,0)),""))</f>
        <v/>
      </c>
      <c r="D43" s="67">
        <f>IF($B43="","",IFERROR(INDEX(Task_Tracker!$B$5:$B$1004,MATCH($B43,Task_Tracker!$A$5:$A$1004,0)),""))</f>
        <v/>
      </c>
      <c r="E43" s="81" t="inlineStr">
        <is>
          <t>Finalize management pack</t>
        </is>
      </c>
      <c r="F43" s="81" t="inlineStr">
        <is>
          <t>Freeze the final version for circulation.</t>
        </is>
      </c>
      <c r="G43" s="78" t="inlineStr">
        <is>
          <t>Pankaj Vairagade</t>
        </is>
      </c>
      <c r="H43" s="78" t="inlineStr">
        <is>
          <t>Not Started</t>
        </is>
      </c>
      <c r="I43" s="67">
        <f>IF($H43="","",IFERROR(INDEX(Action_Status_Map!$B$5:$B$11,MATCH($H43,Action_Status_Map!$A$5:$A$11,0)),""))</f>
        <v/>
      </c>
      <c r="J43" s="82" t="n">
        <v>46164</v>
      </c>
      <c r="K43" s="82" t="n">
        <v>46167</v>
      </c>
      <c r="L43" s="82" t="n"/>
      <c r="M43" s="83" t="n">
        <v>3</v>
      </c>
      <c r="N43" s="83" t="n">
        <v>2</v>
      </c>
      <c r="O43" s="66">
        <f>IF(OR($M43="",$N43=""),"",$N43-$M43)</f>
        <v/>
      </c>
      <c r="P43" s="84">
        <f>IF($J43="","",IF($L43&lt;&gt;"",$L43-$J43,TODAY()-$J43))</f>
        <v/>
      </c>
      <c r="Q43" s="85">
        <f>IF(OR($K43="",$H43="Completed",$H43="Cancelled"),"",IF(AND($K43&lt;TODAY(),$H43&lt;&gt;"Completed",$H43&lt;&gt;"Cancelled"),"Overdue","On Track"))</f>
        <v/>
      </c>
      <c r="R43" s="81" t="inlineStr">
        <is>
          <t>Awaiting comments.</t>
        </is>
      </c>
      <c r="S43" s="81">
        <f>IF($B43="","",IFERROR(INDEX(Task_Tracker!$AA$5:$AA$1004,MATCH($B43,Task_Tracker!$A$5:$A$1004,0)),""))</f>
        <v/>
      </c>
      <c r="T43" s="81">
        <f>IF($B43="","",IFERROR(INDEX(Task_Tracker!$AB$5:$AB$1004,MATCH($B43,Task_Tracker!$A$5:$A$1004,0)),""))</f>
        <v/>
      </c>
      <c r="U43" s="78">
        <f>IF($B43="","",IFERROR(INDEX(Task_Tracker!$F$5:$F$1004,MATCH($B43,Task_Tracker!$A$5:$A$1004,0)),""))</f>
        <v/>
      </c>
      <c r="V43" s="78">
        <f>IF($B43="","",IFERROR(INDEX(Task_Tracker!$I$5:$I$1004,MATCH($B43,Task_Tracker!$A$5:$A$1004,0)),""))</f>
        <v/>
      </c>
      <c r="W43" s="81">
        <f>IF(OR($D43="",$B43=""),"",$D43&amp;" | "&amp;$B43)</f>
        <v/>
      </c>
      <c r="X43" s="85">
        <f>IF($K43="","",TEXT($K43,"yyyy-mm"))</f>
        <v/>
      </c>
      <c r="Y43" s="81">
        <f>IF(OR($A43="",$T43=""),"","Included in Manager_Report")</f>
        <v/>
      </c>
    </row>
    <row r="44" ht="15" customHeight="1" s="40">
      <c r="A44" s="65">
        <f>IF(COUNTA(B44:G44)=0,"","STP-"&amp;TEXT(ROW()-4,"0000"))</f>
        <v/>
      </c>
      <c r="B44" s="78">
        <f>Task_Tracker!$A$18</f>
        <v/>
      </c>
      <c r="C44" s="67">
        <f>IF($B44="","",IFERROR(INDEX(Task_Tracker!$D$5:$D$1004,MATCH($B44,Task_Tracker!$A$5:$A$1004,0)),""))</f>
        <v/>
      </c>
      <c r="D44" s="67">
        <f>IF($B44="","",IFERROR(INDEX(Task_Tracker!$B$5:$B$1004,MATCH($B44,Task_Tracker!$A$5:$A$1004,0)),""))</f>
        <v/>
      </c>
      <c r="E44" s="81" t="inlineStr">
        <is>
          <t>Collect SOP change requests</t>
        </is>
      </c>
      <c r="F44" s="81" t="inlineStr">
        <is>
          <t>Gather updates from process owners.</t>
        </is>
      </c>
      <c r="G44" s="78" t="inlineStr">
        <is>
          <t>Pankaj Vairagade</t>
        </is>
      </c>
      <c r="H44" s="78" t="inlineStr">
        <is>
          <t>Not Started</t>
        </is>
      </c>
      <c r="I44" s="67">
        <f>IF($H44="","",IFERROR(INDEX(Action_Status_Map!$B$5:$B$11,MATCH($H44,Action_Status_Map!$A$5:$A$11,0)),""))</f>
        <v/>
      </c>
      <c r="J44" s="82" t="n">
        <v>46176</v>
      </c>
      <c r="K44" s="82" t="n">
        <v>46178</v>
      </c>
      <c r="L44" s="82" t="n"/>
      <c r="M44" s="83" t="n">
        <v>4</v>
      </c>
      <c r="N44" s="83" t="n"/>
      <c r="O44" s="66">
        <f>IF(OR($M44="",$N44=""),"",$N44-$M44)</f>
        <v/>
      </c>
      <c r="P44" s="84">
        <f>IF($J44="","",IF($L44&lt;&gt;"",$L44-$J44,TODAY()-$J44))</f>
        <v/>
      </c>
      <c r="Q44" s="85">
        <f>IF(OR($K44="",$H44="Completed",$H44="Cancelled"),"",IF(AND($K44&lt;TODAY(),$H44&lt;&gt;"Completed",$H44&lt;&gt;"Cancelled"),"Overdue","On Track"))</f>
        <v/>
      </c>
      <c r="R44" s="81" t="inlineStr">
        <is>
          <t>Planned.</t>
        </is>
      </c>
      <c r="S44" s="81">
        <f>IF($B44="","",IFERROR(INDEX(Task_Tracker!$AA$5:$AA$1004,MATCH($B44,Task_Tracker!$A$5:$A$1004,0)),""))</f>
        <v/>
      </c>
      <c r="T44" s="81">
        <f>IF($B44="","",IFERROR(INDEX(Task_Tracker!$AB$5:$AB$1004,MATCH($B44,Task_Tracker!$A$5:$A$1004,0)),""))</f>
        <v/>
      </c>
      <c r="U44" s="78">
        <f>IF($B44="","",IFERROR(INDEX(Task_Tracker!$F$5:$F$1004,MATCH($B44,Task_Tracker!$A$5:$A$1004,0)),""))</f>
        <v/>
      </c>
      <c r="V44" s="78">
        <f>IF($B44="","",IFERROR(INDEX(Task_Tracker!$I$5:$I$1004,MATCH($B44,Task_Tracker!$A$5:$A$1004,0)),""))</f>
        <v/>
      </c>
      <c r="W44" s="81">
        <f>IF(OR($D44="",$B44=""),"",$D44&amp;" | "&amp;$B44)</f>
        <v/>
      </c>
      <c r="X44" s="85">
        <f>IF($K44="","",TEXT($K44,"yyyy-mm"))</f>
        <v/>
      </c>
      <c r="Y44" s="81">
        <f>IF(OR($A44="",$T44=""),"","Included in Manager_Report")</f>
        <v/>
      </c>
    </row>
    <row r="45" ht="15" customHeight="1" s="40">
      <c r="A45" s="65">
        <f>IF(COUNTA(B45:G45)=0,"","STP-"&amp;TEXT(ROW()-4,"0000"))</f>
        <v/>
      </c>
      <c r="B45" s="78">
        <f>Task_Tracker!$A$18</f>
        <v/>
      </c>
      <c r="C45" s="67">
        <f>IF($B45="","",IFERROR(INDEX(Task_Tracker!$D$5:$D$1004,MATCH($B45,Task_Tracker!$A$5:$A$1004,0)),""))</f>
        <v/>
      </c>
      <c r="D45" s="67">
        <f>IF($B45="","",IFERROR(INDEX(Task_Tracker!$B$5:$B$1004,MATCH($B45,Task_Tracker!$A$5:$A$1004,0)),""))</f>
        <v/>
      </c>
      <c r="E45" s="81" t="inlineStr">
        <is>
          <t>Update SOP draft</t>
        </is>
      </c>
      <c r="F45" s="81" t="inlineStr">
        <is>
          <t>Incorporate changes and examples.</t>
        </is>
      </c>
      <c r="G45" s="78" t="inlineStr">
        <is>
          <t>Pankaj Vairagade</t>
        </is>
      </c>
      <c r="H45" s="78" t="inlineStr">
        <is>
          <t>Not Started</t>
        </is>
      </c>
      <c r="I45" s="67">
        <f>IF($H45="","",IFERROR(INDEX(Action_Status_Map!$B$5:$B$11,MATCH($H45,Action_Status_Map!$A$5:$A$11,0)),""))</f>
        <v/>
      </c>
      <c r="J45" s="82" t="n">
        <v>46178</v>
      </c>
      <c r="K45" s="82" t="n">
        <v>46181</v>
      </c>
      <c r="L45" s="82" t="n"/>
      <c r="M45" s="83" t="n">
        <v>5</v>
      </c>
      <c r="N45" s="83" t="n"/>
      <c r="O45" s="66">
        <f>IF(OR($M45="",$N45=""),"",$N45-$M45)</f>
        <v/>
      </c>
      <c r="P45" s="84">
        <f>IF($J45="","",IF($L45&lt;&gt;"",$L45-$J45,TODAY()-$J45))</f>
        <v/>
      </c>
      <c r="Q45" s="85">
        <f>IF(OR($K45="",$H45="Completed",$H45="Cancelled"),"",IF(AND($K45&lt;TODAY(),$H45&lt;&gt;"Completed",$H45&lt;&gt;"Cancelled"),"Overdue","On Track"))</f>
        <v/>
      </c>
      <c r="R45" s="81" t="inlineStr">
        <is>
          <t>Not started.</t>
        </is>
      </c>
      <c r="S45" s="81">
        <f>IF($B45="","",IFERROR(INDEX(Task_Tracker!$AA$5:$AA$1004,MATCH($B45,Task_Tracker!$A$5:$A$1004,0)),""))</f>
        <v/>
      </c>
      <c r="T45" s="81">
        <f>IF($B45="","",IFERROR(INDEX(Task_Tracker!$AB$5:$AB$1004,MATCH($B45,Task_Tracker!$A$5:$A$1004,0)),""))</f>
        <v/>
      </c>
      <c r="U45" s="78">
        <f>IF($B45="","",IFERROR(INDEX(Task_Tracker!$F$5:$F$1004,MATCH($B45,Task_Tracker!$A$5:$A$1004,0)),""))</f>
        <v/>
      </c>
      <c r="V45" s="78">
        <f>IF($B45="","",IFERROR(INDEX(Task_Tracker!$I$5:$I$1004,MATCH($B45,Task_Tracker!$A$5:$A$1004,0)),""))</f>
        <v/>
      </c>
      <c r="W45" s="81">
        <f>IF(OR($D45="",$B45=""),"",$D45&amp;" | "&amp;$B45)</f>
        <v/>
      </c>
      <c r="X45" s="85">
        <f>IF($K45="","",TEXT($K45,"yyyy-mm"))</f>
        <v/>
      </c>
      <c r="Y45" s="81">
        <f>IF(OR($A45="",$T45=""),"","Included in Manager_Report")</f>
        <v/>
      </c>
    </row>
    <row r="46" ht="15" customHeight="1" s="40">
      <c r="A46" s="65">
        <f>IF(COUNTA(B46:G46)=0,"","STP-"&amp;TEXT(ROW()-4,"0000"))</f>
        <v/>
      </c>
      <c r="B46" s="78">
        <f>Task_Tracker!$A$18</f>
        <v/>
      </c>
      <c r="C46" s="67">
        <f>IF($B46="","",IFERROR(INDEX(Task_Tracker!$D$5:$D$1004,MATCH($B46,Task_Tracker!$A$5:$A$1004,0)),""))</f>
        <v/>
      </c>
      <c r="D46" s="67">
        <f>IF($B46="","",IFERROR(INDEX(Task_Tracker!$B$5:$B$1004,MATCH($B46,Task_Tracker!$A$5:$A$1004,0)),""))</f>
        <v/>
      </c>
      <c r="E46" s="81" t="inlineStr">
        <is>
          <t>Publish final SOP</t>
        </is>
      </c>
      <c r="F46" s="81" t="inlineStr">
        <is>
          <t>Release approved SOP version 2.</t>
        </is>
      </c>
      <c r="G46" s="78" t="inlineStr">
        <is>
          <t>Pankaj Vairagade</t>
        </is>
      </c>
      <c r="H46" s="78" t="inlineStr">
        <is>
          <t>Not Started</t>
        </is>
      </c>
      <c r="I46" s="67">
        <f>IF($H46="","",IFERROR(INDEX(Action_Status_Map!$B$5:$B$11,MATCH($H46,Action_Status_Map!$A$5:$A$11,0)),""))</f>
        <v/>
      </c>
      <c r="J46" s="82" t="n">
        <v>46181</v>
      </c>
      <c r="K46" s="82" t="n">
        <v>46183</v>
      </c>
      <c r="L46" s="82" t="n"/>
      <c r="M46" s="83" t="n">
        <v>3</v>
      </c>
      <c r="N46" s="83" t="n"/>
      <c r="O46" s="66">
        <f>IF(OR($M46="",$N46=""),"",$N46-$M46)</f>
        <v/>
      </c>
      <c r="P46" s="84">
        <f>IF($J46="","",IF($L46&lt;&gt;"",$L46-$J46,TODAY()-$J46))</f>
        <v/>
      </c>
      <c r="Q46" s="85">
        <f>IF(OR($K46="",$H46="Completed",$H46="Cancelled"),"",IF(AND($K46&lt;TODAY(),$H46&lt;&gt;"Completed",$H46&lt;&gt;"Cancelled"),"Overdue","On Track"))</f>
        <v/>
      </c>
      <c r="R46" s="81" t="inlineStr">
        <is>
          <t>Pending review.</t>
        </is>
      </c>
      <c r="S46" s="81">
        <f>IF($B46="","",IFERROR(INDEX(Task_Tracker!$AA$5:$AA$1004,MATCH($B46,Task_Tracker!$A$5:$A$1004,0)),""))</f>
        <v/>
      </c>
      <c r="T46" s="81">
        <f>IF($B46="","",IFERROR(INDEX(Task_Tracker!$AB$5:$AB$1004,MATCH($B46,Task_Tracker!$A$5:$A$1004,0)),""))</f>
        <v/>
      </c>
      <c r="U46" s="78">
        <f>IF($B46="","",IFERROR(INDEX(Task_Tracker!$F$5:$F$1004,MATCH($B46,Task_Tracker!$A$5:$A$1004,0)),""))</f>
        <v/>
      </c>
      <c r="V46" s="78">
        <f>IF($B46="","",IFERROR(INDEX(Task_Tracker!$I$5:$I$1004,MATCH($B46,Task_Tracker!$A$5:$A$1004,0)),""))</f>
        <v/>
      </c>
      <c r="W46" s="81">
        <f>IF(OR($D46="",$B46=""),"",$D46&amp;" | "&amp;$B46)</f>
        <v/>
      </c>
      <c r="X46" s="85">
        <f>IF($K46="","",TEXT($K46,"yyyy-mm"))</f>
        <v/>
      </c>
      <c r="Y46" s="81">
        <f>IF(OR($A46="",$T46=""),"","Included in Manager_Report")</f>
        <v/>
      </c>
    </row>
    <row r="47" ht="15" customHeight="1" s="40">
      <c r="A47" s="65">
        <f>IF(COUNTA(B47:G47)=0,"","STP-"&amp;TEXT(ROW()-4,"0000"))</f>
        <v/>
      </c>
      <c r="B47" s="78">
        <f>Task_Tracker!$A$19</f>
        <v/>
      </c>
      <c r="C47" s="67">
        <f>IF($B47="","",IFERROR(INDEX(Task_Tracker!$D$5:$D$1004,MATCH($B47,Task_Tracker!$A$5:$A$1004,0)),""))</f>
        <v/>
      </c>
      <c r="D47" s="67">
        <f>IF($B47="","",IFERROR(INDEX(Task_Tracker!$B$5:$B$1004,MATCH($B47,Task_Tracker!$A$5:$A$1004,0)),""))</f>
        <v/>
      </c>
      <c r="E47" s="81" t="inlineStr">
        <is>
          <t>Collect readiness inputs</t>
        </is>
      </c>
      <c r="F47" s="81" t="inlineStr">
        <is>
          <t>Request launch readiness updates from teams.</t>
        </is>
      </c>
      <c r="G47" s="78" t="inlineStr">
        <is>
          <t>Pammi Gaur</t>
        </is>
      </c>
      <c r="H47" s="78" t="inlineStr">
        <is>
          <t>Not Started</t>
        </is>
      </c>
      <c r="I47" s="67">
        <f>IF($H47="","",IFERROR(INDEX(Action_Status_Map!$B$5:$B$11,MATCH($H47,Action_Status_Map!$A$5:$A$11,0)),""))</f>
        <v/>
      </c>
      <c r="J47" s="82" t="n">
        <v>46204</v>
      </c>
      <c r="K47" s="82" t="n">
        <v>46205</v>
      </c>
      <c r="L47" s="82" t="n"/>
      <c r="M47" s="83" t="n">
        <v>2</v>
      </c>
      <c r="N47" s="83" t="n"/>
      <c r="O47" s="66">
        <f>IF(OR($M47="",$N47=""),"",$N47-$M47)</f>
        <v/>
      </c>
      <c r="P47" s="84">
        <f>IF($J47="","",IF($L47&lt;&gt;"",$L47-$J47,TODAY()-$J47))</f>
        <v/>
      </c>
      <c r="Q47" s="85">
        <f>IF(OR($K47="",$H47="Completed",$H47="Cancelled"),"",IF(AND($K47&lt;TODAY(),$H47&lt;&gt;"Completed",$H47&lt;&gt;"Cancelled"),"Overdue","On Track"))</f>
        <v/>
      </c>
      <c r="R47" s="81" t="inlineStr">
        <is>
          <t>Planned.</t>
        </is>
      </c>
      <c r="S47" s="81">
        <f>IF($B47="","",IFERROR(INDEX(Task_Tracker!$AA$5:$AA$1004,MATCH($B47,Task_Tracker!$A$5:$A$1004,0)),""))</f>
        <v/>
      </c>
      <c r="T47" s="81">
        <f>IF($B47="","",IFERROR(INDEX(Task_Tracker!$AB$5:$AB$1004,MATCH($B47,Task_Tracker!$A$5:$A$1004,0)),""))</f>
        <v/>
      </c>
      <c r="U47" s="78">
        <f>IF($B47="","",IFERROR(INDEX(Task_Tracker!$F$5:$F$1004,MATCH($B47,Task_Tracker!$A$5:$A$1004,0)),""))</f>
        <v/>
      </c>
      <c r="V47" s="78">
        <f>IF($B47="","",IFERROR(INDEX(Task_Tracker!$I$5:$I$1004,MATCH($B47,Task_Tracker!$A$5:$A$1004,0)),""))</f>
        <v/>
      </c>
      <c r="W47" s="81">
        <f>IF(OR($D47="",$B47=""),"",$D47&amp;" | "&amp;$B47)</f>
        <v/>
      </c>
      <c r="X47" s="85">
        <f>IF($K47="","",TEXT($K47,"yyyy-mm"))</f>
        <v/>
      </c>
      <c r="Y47" s="81">
        <f>IF(OR($A47="",$T47=""),"","Included in Manager_Report")</f>
        <v/>
      </c>
    </row>
    <row r="48" ht="15" customHeight="1" s="40">
      <c r="A48" s="65">
        <f>IF(COUNTA(B48:G48)=0,"","STP-"&amp;TEXT(ROW()-4,"0000"))</f>
        <v/>
      </c>
      <c r="B48" s="78">
        <f>Task_Tracker!$A$19</f>
        <v/>
      </c>
      <c r="C48" s="67">
        <f>IF($B48="","",IFERROR(INDEX(Task_Tracker!$D$5:$D$1004,MATCH($B48,Task_Tracker!$A$5:$A$1004,0)),""))</f>
        <v/>
      </c>
      <c r="D48" s="67">
        <f>IF($B48="","",IFERROR(INDEX(Task_Tracker!$B$5:$B$1004,MATCH($B48,Task_Tracker!$A$5:$A$1004,0)),""))</f>
        <v/>
      </c>
      <c r="E48" s="81" t="inlineStr">
        <is>
          <t>Review risks and mitigations</t>
        </is>
      </c>
      <c r="F48" s="81" t="inlineStr">
        <is>
          <t>Update final risk log and owners.</t>
        </is>
      </c>
      <c r="G48" s="78" t="inlineStr">
        <is>
          <t>Pammi Gaur</t>
        </is>
      </c>
      <c r="H48" s="78" t="inlineStr">
        <is>
          <t>Not Started</t>
        </is>
      </c>
      <c r="I48" s="67">
        <f>IF($H48="","",IFERROR(INDEX(Action_Status_Map!$B$5:$B$11,MATCH($H48,Action_Status_Map!$A$5:$A$11,0)),""))</f>
        <v/>
      </c>
      <c r="J48" s="82" t="n">
        <v>46205</v>
      </c>
      <c r="K48" s="82" t="n">
        <v>46207</v>
      </c>
      <c r="L48" s="82" t="n"/>
      <c r="M48" s="83" t="n">
        <v>3</v>
      </c>
      <c r="N48" s="83" t="n"/>
      <c r="O48" s="66">
        <f>IF(OR($M48="",$N48=""),"",$N48-$M48)</f>
        <v/>
      </c>
      <c r="P48" s="84">
        <f>IF($J48="","",IF($L48&lt;&gt;"",$L48-$J48,TODAY()-$J48))</f>
        <v/>
      </c>
      <c r="Q48" s="85">
        <f>IF(OR($K48="",$H48="Completed",$H48="Cancelled"),"",IF(AND($K48&lt;TODAY(),$H48&lt;&gt;"Completed",$H48&lt;&gt;"Cancelled"),"Overdue","On Track"))</f>
        <v/>
      </c>
      <c r="R48" s="81" t="inlineStr">
        <is>
          <t>Planned.</t>
        </is>
      </c>
      <c r="S48" s="81">
        <f>IF($B48="","",IFERROR(INDEX(Task_Tracker!$AA$5:$AA$1004,MATCH($B48,Task_Tracker!$A$5:$A$1004,0)),""))</f>
        <v/>
      </c>
      <c r="T48" s="81">
        <f>IF($B48="","",IFERROR(INDEX(Task_Tracker!$AB$5:$AB$1004,MATCH($B48,Task_Tracker!$A$5:$A$1004,0)),""))</f>
        <v/>
      </c>
      <c r="U48" s="78">
        <f>IF($B48="","",IFERROR(INDEX(Task_Tracker!$F$5:$F$1004,MATCH($B48,Task_Tracker!$A$5:$A$1004,0)),""))</f>
        <v/>
      </c>
      <c r="V48" s="78">
        <f>IF($B48="","",IFERROR(INDEX(Task_Tracker!$I$5:$I$1004,MATCH($B48,Task_Tracker!$A$5:$A$1004,0)),""))</f>
        <v/>
      </c>
      <c r="W48" s="81">
        <f>IF(OR($D48="",$B48=""),"",$D48&amp;" | "&amp;$B48)</f>
        <v/>
      </c>
      <c r="X48" s="85">
        <f>IF($K48="","",TEXT($K48,"yyyy-mm"))</f>
        <v/>
      </c>
      <c r="Y48" s="81">
        <f>IF(OR($A48="",$T48=""),"","Included in Manager_Report")</f>
        <v/>
      </c>
    </row>
    <row r="49" ht="15" customHeight="1" s="40">
      <c r="A49" s="65">
        <f>IF(COUNTA(B49:G49)=0,"","STP-"&amp;TEXT(ROW()-4,"0000"))</f>
        <v/>
      </c>
      <c r="B49" s="78">
        <f>Task_Tracker!$A$19</f>
        <v/>
      </c>
      <c r="C49" s="67">
        <f>IF($B49="","",IFERROR(INDEX(Task_Tracker!$D$5:$D$1004,MATCH($B49,Task_Tracker!$A$5:$A$1004,0)),""))</f>
        <v/>
      </c>
      <c r="D49" s="67">
        <f>IF($B49="","",IFERROR(INDEX(Task_Tracker!$B$5:$B$1004,MATCH($B49,Task_Tracker!$A$5:$A$1004,0)),""))</f>
        <v/>
      </c>
      <c r="E49" s="81" t="inlineStr">
        <is>
          <t>Run readiness review</t>
        </is>
      </c>
      <c r="F49" s="81" t="inlineStr">
        <is>
          <t>Conduct final go-live checkpoint meeting.</t>
        </is>
      </c>
      <c r="G49" s="78" t="inlineStr">
        <is>
          <t>Pammi Gaur</t>
        </is>
      </c>
      <c r="H49" s="78" t="inlineStr">
        <is>
          <t>Not Started</t>
        </is>
      </c>
      <c r="I49" s="67">
        <f>IF($H49="","",IFERROR(INDEX(Action_Status_Map!$B$5:$B$11,MATCH($H49,Action_Status_Map!$A$5:$A$11,0)),""))</f>
        <v/>
      </c>
      <c r="J49" s="82" t="n">
        <v>46207</v>
      </c>
      <c r="K49" s="82" t="n">
        <v>46208</v>
      </c>
      <c r="L49" s="82" t="n"/>
      <c r="M49" s="83" t="n">
        <v>2</v>
      </c>
      <c r="N49" s="83" t="n"/>
      <c r="O49" s="66">
        <f>IF(OR($M49="",$N49=""),"",$N49-$M49)</f>
        <v/>
      </c>
      <c r="P49" s="84">
        <f>IF($J49="","",IF($L49&lt;&gt;"",$L49-$J49,TODAY()-$J49))</f>
        <v/>
      </c>
      <c r="Q49" s="85">
        <f>IF(OR($K49="",$H49="Completed",$H49="Cancelled"),"",IF(AND($K49&lt;TODAY(),$H49&lt;&gt;"Completed",$H49&lt;&gt;"Cancelled"),"Overdue","On Track"))</f>
        <v/>
      </c>
      <c r="R49" s="81" t="inlineStr">
        <is>
          <t>Planned.</t>
        </is>
      </c>
      <c r="S49" s="81">
        <f>IF($B49="","",IFERROR(INDEX(Task_Tracker!$AA$5:$AA$1004,MATCH($B49,Task_Tracker!$A$5:$A$1004,0)),""))</f>
        <v/>
      </c>
      <c r="T49" s="81">
        <f>IF($B49="","",IFERROR(INDEX(Task_Tracker!$AB$5:$AB$1004,MATCH($B49,Task_Tracker!$A$5:$A$1004,0)),""))</f>
        <v/>
      </c>
      <c r="U49" s="78">
        <f>IF($B49="","",IFERROR(INDEX(Task_Tracker!$F$5:$F$1004,MATCH($B49,Task_Tracker!$A$5:$A$1004,0)),""))</f>
        <v/>
      </c>
      <c r="V49" s="78">
        <f>IF($B49="","",IFERROR(INDEX(Task_Tracker!$I$5:$I$1004,MATCH($B49,Task_Tracker!$A$5:$A$1004,0)),""))</f>
        <v/>
      </c>
      <c r="W49" s="81">
        <f>IF(OR($D49="",$B49=""),"",$D49&amp;" | "&amp;$B49)</f>
        <v/>
      </c>
      <c r="X49" s="85">
        <f>IF($K49="","",TEXT($K49,"yyyy-mm"))</f>
        <v/>
      </c>
      <c r="Y49" s="81">
        <f>IF(OR($A49="",$T49=""),"","Included in Manager_Report")</f>
        <v/>
      </c>
    </row>
    <row r="50" ht="15" customHeight="1" s="40">
      <c r="A50" s="65">
        <f>IF(COUNTA(B50:G50)=0,"","STP-"&amp;TEXT(ROW()-4,"0000"))</f>
        <v/>
      </c>
      <c r="B50" s="78">
        <f>Task_Tracker!$A$20</f>
        <v/>
      </c>
      <c r="C50" s="67">
        <f>IF($B50="","",IFERROR(INDEX(Task_Tracker!$D$5:$D$1004,MATCH($B50,Task_Tracker!$A$5:$A$1004,0)),""))</f>
        <v/>
      </c>
      <c r="D50" s="67">
        <f>IF($B50="","",IFERROR(INDEX(Task_Tracker!$B$5:$B$1004,MATCH($B50,Task_Tracker!$A$5:$A$1004,0)),""))</f>
        <v/>
      </c>
      <c r="E50" s="81" t="inlineStr">
        <is>
          <t>Map board data sources</t>
        </is>
      </c>
      <c r="F50" s="81" t="inlineStr">
        <is>
          <t>Finalize mapping to source systems.</t>
        </is>
      </c>
      <c r="G50" s="78" t="inlineStr">
        <is>
          <t>Pankaj Vairagade</t>
        </is>
      </c>
      <c r="H50" s="78" t="inlineStr">
        <is>
          <t>Completed</t>
        </is>
      </c>
      <c r="I50" s="67">
        <f>IF($H50="","",IFERROR(INDEX(Action_Status_Map!$B$5:$B$11,MATCH($H50,Action_Status_Map!$A$5:$A$11,0)),""))</f>
        <v/>
      </c>
      <c r="J50" s="82" t="n">
        <v>46209</v>
      </c>
      <c r="K50" s="82" t="n">
        <v>46211</v>
      </c>
      <c r="L50" s="82" t="n">
        <v>46211</v>
      </c>
      <c r="M50" s="83" t="n">
        <v>3</v>
      </c>
      <c r="N50" s="83" t="n">
        <v>3</v>
      </c>
      <c r="O50" s="66">
        <f>IF(OR($M50="",$N50=""),"",$N50-$M50)</f>
        <v/>
      </c>
      <c r="P50" s="84">
        <f>IF($J50="","",IF($L50&lt;&gt;"",$L50-$J50,TODAY()-$J50))</f>
        <v/>
      </c>
      <c r="Q50" s="85">
        <f>IF(OR($K50="",$H50="Completed",$H50="Cancelled"),"",IF(AND($K50&lt;TODAY(),$H50&lt;&gt;"Completed",$H50&lt;&gt;"Cancelled"),"Overdue","On Track"))</f>
        <v/>
      </c>
      <c r="R50" s="81" t="inlineStr">
        <is>
          <t>Initial mapping done.</t>
        </is>
      </c>
      <c r="S50" s="81">
        <f>IF($B50="","",IFERROR(INDEX(Task_Tracker!$AA$5:$AA$1004,MATCH($B50,Task_Tracker!$A$5:$A$1004,0)),""))</f>
        <v/>
      </c>
      <c r="T50" s="81">
        <f>IF($B50="","",IFERROR(INDEX(Task_Tracker!$AB$5:$AB$1004,MATCH($B50,Task_Tracker!$A$5:$A$1004,0)),""))</f>
        <v/>
      </c>
      <c r="U50" s="78">
        <f>IF($B50="","",IFERROR(INDEX(Task_Tracker!$F$5:$F$1004,MATCH($B50,Task_Tracker!$A$5:$A$1004,0)),""))</f>
        <v/>
      </c>
      <c r="V50" s="78">
        <f>IF($B50="","",IFERROR(INDEX(Task_Tracker!$I$5:$I$1004,MATCH($B50,Task_Tracker!$A$5:$A$1004,0)),""))</f>
        <v/>
      </c>
      <c r="W50" s="81">
        <f>IF(OR($D50="",$B50=""),"",$D50&amp;" | "&amp;$B50)</f>
        <v/>
      </c>
      <c r="X50" s="85">
        <f>IF($K50="","",TEXT($K50,"yyyy-mm"))</f>
        <v/>
      </c>
      <c r="Y50" s="81">
        <f>IF(OR($A50="",$T50=""),"","Included in Manager_Report")</f>
        <v/>
      </c>
    </row>
    <row r="51" ht="15" customHeight="1" s="40">
      <c r="A51" s="65">
        <f>IF(COUNTA(B51:G51)=0,"","STP-"&amp;TEXT(ROW()-4,"0000"))</f>
        <v/>
      </c>
      <c r="B51" s="78">
        <f>Task_Tracker!$A$20</f>
        <v/>
      </c>
      <c r="C51" s="67">
        <f>IF($B51="","",IFERROR(INDEX(Task_Tracker!$D$5:$D$1004,MATCH($B51,Task_Tracker!$A$5:$A$1004,0)),""))</f>
        <v/>
      </c>
      <c r="D51" s="67">
        <f>IF($B51="","",IFERROR(INDEX(Task_Tracker!$B$5:$B$1004,MATCH($B51,Task_Tracker!$A$5:$A$1004,0)),""))</f>
        <v/>
      </c>
      <c r="E51" s="81" t="inlineStr">
        <is>
          <t>Build QA rules</t>
        </is>
      </c>
      <c r="F51" s="81" t="inlineStr">
        <is>
          <t>Create automated validation checks.</t>
        </is>
      </c>
      <c r="G51" s="78" t="inlineStr">
        <is>
          <t>Pankaj Vairagade</t>
        </is>
      </c>
      <c r="H51" s="78" t="inlineStr">
        <is>
          <t>On Hold</t>
        </is>
      </c>
      <c r="I51" s="67">
        <f>IF($H51="","",IFERROR(INDEX(Action_Status_Map!$B$5:$B$11,MATCH($H51,Action_Status_Map!$A$5:$A$11,0)),""))</f>
        <v/>
      </c>
      <c r="J51" s="82" t="n">
        <v>46211</v>
      </c>
      <c r="K51" s="82" t="n">
        <v>46215</v>
      </c>
      <c r="L51" s="82" t="n"/>
      <c r="M51" s="83" t="n">
        <v>6</v>
      </c>
      <c r="N51" s="83" t="n"/>
      <c r="O51" s="66">
        <f>IF(OR($M51="",$N51=""),"",$N51-$M51)</f>
        <v/>
      </c>
      <c r="P51" s="84">
        <f>IF($J51="","",IF($L51&lt;&gt;"",$L51-$J51,TODAY()-$J51))</f>
        <v/>
      </c>
      <c r="Q51" s="85">
        <f>IF(OR($K51="",$H51="Completed",$H51="Cancelled"),"",IF(AND($K51&lt;TODAY(),$H51&lt;&gt;"Completed",$H51&lt;&gt;"Cancelled"),"Overdue","On Track"))</f>
        <v/>
      </c>
      <c r="R51" s="81" t="inlineStr">
        <is>
          <t>Paused.</t>
        </is>
      </c>
      <c r="S51" s="81">
        <f>IF($B51="","",IFERROR(INDEX(Task_Tracker!$AA$5:$AA$1004,MATCH($B51,Task_Tracker!$A$5:$A$1004,0)),""))</f>
        <v/>
      </c>
      <c r="T51" s="81">
        <f>IF($B51="","",IFERROR(INDEX(Task_Tracker!$AB$5:$AB$1004,MATCH($B51,Task_Tracker!$A$5:$A$1004,0)),""))</f>
        <v/>
      </c>
      <c r="U51" s="78">
        <f>IF($B51="","",IFERROR(INDEX(Task_Tracker!$F$5:$F$1004,MATCH($B51,Task_Tracker!$A$5:$A$1004,0)),""))</f>
        <v/>
      </c>
      <c r="V51" s="78">
        <f>IF($B51="","",IFERROR(INDEX(Task_Tracker!$I$5:$I$1004,MATCH($B51,Task_Tracker!$A$5:$A$1004,0)),""))</f>
        <v/>
      </c>
      <c r="W51" s="81">
        <f>IF(OR($D51="",$B51=""),"",$D51&amp;" | "&amp;$B51)</f>
        <v/>
      </c>
      <c r="X51" s="85">
        <f>IF($K51="","",TEXT($K51,"yyyy-mm"))</f>
        <v/>
      </c>
      <c r="Y51" s="81">
        <f>IF(OR($A51="",$T51=""),"","Included in Manager_Report")</f>
        <v/>
      </c>
    </row>
    <row r="52" ht="15" customHeight="1" s="40">
      <c r="A52" s="65">
        <f>IF(COUNTA(B52:G52)=0,"","STP-"&amp;TEXT(ROW()-4,"0000"))</f>
        <v/>
      </c>
      <c r="B52" s="78">
        <f>Task_Tracker!$A$20</f>
        <v/>
      </c>
      <c r="C52" s="67">
        <f>IF($B52="","",IFERROR(INDEX(Task_Tracker!$D$5:$D$1004,MATCH($B52,Task_Tracker!$A$5:$A$1004,0)),""))</f>
        <v/>
      </c>
      <c r="D52" s="67">
        <f>IF($B52="","",IFERROR(INDEX(Task_Tracker!$B$5:$B$1004,MATCH($B52,Task_Tracker!$A$5:$A$1004,0)),""))</f>
        <v/>
      </c>
      <c r="E52" s="81" t="inlineStr">
        <is>
          <t>Pilot monthly run</t>
        </is>
      </c>
      <c r="F52" s="81" t="inlineStr">
        <is>
          <t>Test the automation with one board cycle.</t>
        </is>
      </c>
      <c r="G52" s="78" t="inlineStr">
        <is>
          <t>Pankaj Vairagade</t>
        </is>
      </c>
      <c r="H52" s="78" t="inlineStr">
        <is>
          <t>Not Started</t>
        </is>
      </c>
      <c r="I52" s="67">
        <f>IF($H52="","",IFERROR(INDEX(Action_Status_Map!$B$5:$B$11,MATCH($H52,Action_Status_Map!$A$5:$A$11,0)),""))</f>
        <v/>
      </c>
      <c r="J52" s="82" t="n">
        <v>46215</v>
      </c>
      <c r="K52" s="82" t="n">
        <v>46218</v>
      </c>
      <c r="L52" s="82" t="n"/>
      <c r="M52" s="83" t="n">
        <v>6</v>
      </c>
      <c r="N52" s="83" t="n"/>
      <c r="O52" s="66">
        <f>IF(OR($M52="",$N52=""),"",$N52-$M52)</f>
        <v/>
      </c>
      <c r="P52" s="84">
        <f>IF($J52="","",IF($L52&lt;&gt;"",$L52-$J52,TODAY()-$J52))</f>
        <v/>
      </c>
      <c r="Q52" s="85">
        <f>IF(OR($K52="",$H52="Completed",$H52="Cancelled"),"",IF(AND($K52&lt;TODAY(),$H52&lt;&gt;"Completed",$H52&lt;&gt;"Cancelled"),"Overdue","On Track"))</f>
        <v/>
      </c>
      <c r="R52" s="81" t="inlineStr">
        <is>
          <t>Waiting for unblock.</t>
        </is>
      </c>
      <c r="S52" s="81">
        <f>IF($B52="","",IFERROR(INDEX(Task_Tracker!$AA$5:$AA$1004,MATCH($B52,Task_Tracker!$A$5:$A$1004,0)),""))</f>
        <v/>
      </c>
      <c r="T52" s="81">
        <f>IF($B52="","",IFERROR(INDEX(Task_Tracker!$AB$5:$AB$1004,MATCH($B52,Task_Tracker!$A$5:$A$1004,0)),""))</f>
        <v/>
      </c>
      <c r="U52" s="78">
        <f>IF($B52="","",IFERROR(INDEX(Task_Tracker!$F$5:$F$1004,MATCH($B52,Task_Tracker!$A$5:$A$1004,0)),""))</f>
        <v/>
      </c>
      <c r="V52" s="78">
        <f>IF($B52="","",IFERROR(INDEX(Task_Tracker!$I$5:$I$1004,MATCH($B52,Task_Tracker!$A$5:$A$1004,0)),""))</f>
        <v/>
      </c>
      <c r="W52" s="81">
        <f>IF(OR($D52="",$B52=""),"",$D52&amp;" | "&amp;$B52)</f>
        <v/>
      </c>
      <c r="X52" s="85">
        <f>IF($K52="","",TEXT($K52,"yyyy-mm"))</f>
        <v/>
      </c>
      <c r="Y52" s="81">
        <f>IF(OR($A52="",$T52=""),"","Included in Manager_Report")</f>
        <v/>
      </c>
    </row>
    <row r="53" ht="15" customHeight="1" s="40">
      <c r="A53" s="65">
        <f>IF(COUNTA(B53:G53)=0,"","STP-"&amp;TEXT(ROW()-4,"0000"))</f>
        <v/>
      </c>
      <c r="B53" s="78" t="n"/>
      <c r="C53" s="67">
        <f>IF($B53="","",IFERROR(INDEX(Task_Tracker!$D$5:$D$1004,MATCH($B53,Task_Tracker!$A$5:$A$1004,0)),""))</f>
        <v/>
      </c>
      <c r="D53" s="67">
        <f>IF($B53="","",IFERROR(INDEX(Task_Tracker!$B$5:$B$1004,MATCH($B53,Task_Tracker!$A$5:$A$1004,0)),""))</f>
        <v/>
      </c>
      <c r="E53" s="81" t="n"/>
      <c r="F53" s="81" t="n"/>
      <c r="G53" s="78" t="n"/>
      <c r="H53" s="78" t="n"/>
      <c r="I53" s="67">
        <f>IF($H53="","",IFERROR(INDEX(Action_Status_Map!$B$5:$B$11,MATCH($H53,Action_Status_Map!$A$5:$A$11,0)),""))</f>
        <v/>
      </c>
      <c r="J53" s="82" t="n"/>
      <c r="K53" s="82" t="n"/>
      <c r="L53" s="82" t="n"/>
      <c r="M53" s="83" t="n"/>
      <c r="N53" s="83" t="n"/>
      <c r="O53" s="66">
        <f>IF(OR($M53="",$N53=""),"",$N53-$M53)</f>
        <v/>
      </c>
      <c r="P53" s="84">
        <f>IF($J53="","",IF($L53&lt;&gt;"",$L53-$J53,TODAY()-$J53))</f>
        <v/>
      </c>
      <c r="Q53" s="85">
        <f>IF(OR($K53="",$H53="Completed",$H53="Cancelled"),"",IF(AND($K53&lt;TODAY(),$H53&lt;&gt;"Completed",$H53&lt;&gt;"Cancelled"),"Overdue","On Track"))</f>
        <v/>
      </c>
      <c r="R53" s="81" t="n"/>
      <c r="S53" s="81">
        <f>IF($B53="","",IFERROR(INDEX(Task_Tracker!$AA$5:$AA$1004,MATCH($B53,Task_Tracker!$A$5:$A$1004,0)),""))</f>
        <v/>
      </c>
      <c r="T53" s="81">
        <f>IF($B53="","",IFERROR(INDEX(Task_Tracker!$AB$5:$AB$1004,MATCH($B53,Task_Tracker!$A$5:$A$1004,0)),""))</f>
        <v/>
      </c>
      <c r="U53" s="78">
        <f>IF($B53="","",IFERROR(INDEX(Task_Tracker!$F$5:$F$1004,MATCH($B53,Task_Tracker!$A$5:$A$1004,0)),""))</f>
        <v/>
      </c>
      <c r="V53" s="78">
        <f>IF($B53="","",IFERROR(INDEX(Task_Tracker!$I$5:$I$1004,MATCH($B53,Task_Tracker!$A$5:$A$1004,0)),""))</f>
        <v/>
      </c>
      <c r="W53" s="81">
        <f>IF(OR($D53="",$B53=""),"",$D53&amp;" | "&amp;$B53)</f>
        <v/>
      </c>
      <c r="X53" s="85">
        <f>IF($K53="","",TEXT($K53,"yyyy-mm"))</f>
        <v/>
      </c>
      <c r="Y53" s="81">
        <f>IF(OR($A53="",$T53=""),"","Included in Manager_Report")</f>
        <v/>
      </c>
    </row>
    <row r="54" ht="15" customHeight="1" s="40">
      <c r="A54" s="65">
        <f>IF(COUNTA(B54:G54)=0,"","STP-"&amp;TEXT(ROW()-4,"0000"))</f>
        <v/>
      </c>
      <c r="B54" s="78" t="n"/>
      <c r="C54" s="67">
        <f>IF($B54="","",IFERROR(INDEX(Task_Tracker!$D$5:$D$1004,MATCH($B54,Task_Tracker!$A$5:$A$1004,0)),""))</f>
        <v/>
      </c>
      <c r="D54" s="67">
        <f>IF($B54="","",IFERROR(INDEX(Task_Tracker!$B$5:$B$1004,MATCH($B54,Task_Tracker!$A$5:$A$1004,0)),""))</f>
        <v/>
      </c>
      <c r="E54" s="81" t="n"/>
      <c r="F54" s="81" t="n"/>
      <c r="G54" s="78" t="n"/>
      <c r="H54" s="78" t="n"/>
      <c r="I54" s="67">
        <f>IF($H54="","",IFERROR(INDEX(Action_Status_Map!$B$5:$B$11,MATCH($H54,Action_Status_Map!$A$5:$A$11,0)),""))</f>
        <v/>
      </c>
      <c r="J54" s="82" t="n"/>
      <c r="K54" s="82" t="n"/>
      <c r="L54" s="82" t="n"/>
      <c r="M54" s="83" t="n"/>
      <c r="N54" s="83" t="n"/>
      <c r="O54" s="66">
        <f>IF(OR($M54="",$N54=""),"",$N54-$M54)</f>
        <v/>
      </c>
      <c r="P54" s="84">
        <f>IF($J54="","",IF($L54&lt;&gt;"",$L54-$J54,TODAY()-$J54))</f>
        <v/>
      </c>
      <c r="Q54" s="85">
        <f>IF(OR($K54="",$H54="Completed",$H54="Cancelled"),"",IF(AND($K54&lt;TODAY(),$H54&lt;&gt;"Completed",$H54&lt;&gt;"Cancelled"),"Overdue","On Track"))</f>
        <v/>
      </c>
      <c r="R54" s="81" t="n"/>
      <c r="S54" s="81">
        <f>IF($B54="","",IFERROR(INDEX(Task_Tracker!$AA$5:$AA$1004,MATCH($B54,Task_Tracker!$A$5:$A$1004,0)),""))</f>
        <v/>
      </c>
      <c r="T54" s="81">
        <f>IF($B54="","",IFERROR(INDEX(Task_Tracker!$AB$5:$AB$1004,MATCH($B54,Task_Tracker!$A$5:$A$1004,0)),""))</f>
        <v/>
      </c>
      <c r="U54" s="78">
        <f>IF($B54="","",IFERROR(INDEX(Task_Tracker!$F$5:$F$1004,MATCH($B54,Task_Tracker!$A$5:$A$1004,0)),""))</f>
        <v/>
      </c>
      <c r="V54" s="78">
        <f>IF($B54="","",IFERROR(INDEX(Task_Tracker!$I$5:$I$1004,MATCH($B54,Task_Tracker!$A$5:$A$1004,0)),""))</f>
        <v/>
      </c>
      <c r="W54" s="81">
        <f>IF(OR($D54="",$B54=""),"",$D54&amp;" | "&amp;$B54)</f>
        <v/>
      </c>
      <c r="X54" s="85">
        <f>IF($K54="","",TEXT($K54,"yyyy-mm"))</f>
        <v/>
      </c>
      <c r="Y54" s="81">
        <f>IF(OR($A54="",$T54=""),"","Included in Manager_Report")</f>
        <v/>
      </c>
    </row>
    <row r="55" ht="15" customHeight="1" s="40">
      <c r="A55" s="65">
        <f>IF(COUNTA(B55:G55)=0,"","STP-"&amp;TEXT(ROW()-4,"0000"))</f>
        <v/>
      </c>
      <c r="B55" s="78" t="n"/>
      <c r="C55" s="67">
        <f>IF($B55="","",IFERROR(INDEX(Task_Tracker!$D$5:$D$1004,MATCH($B55,Task_Tracker!$A$5:$A$1004,0)),""))</f>
        <v/>
      </c>
      <c r="D55" s="67">
        <f>IF($B55="","",IFERROR(INDEX(Task_Tracker!$B$5:$B$1004,MATCH($B55,Task_Tracker!$A$5:$A$1004,0)),""))</f>
        <v/>
      </c>
      <c r="E55" s="81" t="n"/>
      <c r="F55" s="81" t="n"/>
      <c r="G55" s="78" t="n"/>
      <c r="H55" s="78" t="n"/>
      <c r="I55" s="67">
        <f>IF($H55="","",IFERROR(INDEX(Action_Status_Map!$B$5:$B$11,MATCH($H55,Action_Status_Map!$A$5:$A$11,0)),""))</f>
        <v/>
      </c>
      <c r="J55" s="82" t="n"/>
      <c r="K55" s="82" t="n"/>
      <c r="L55" s="82" t="n"/>
      <c r="M55" s="83" t="n"/>
      <c r="N55" s="83" t="n"/>
      <c r="O55" s="66">
        <f>IF(OR($M55="",$N55=""),"",$N55-$M55)</f>
        <v/>
      </c>
      <c r="P55" s="84">
        <f>IF($J55="","",IF($L55&lt;&gt;"",$L55-$J55,TODAY()-$J55))</f>
        <v/>
      </c>
      <c r="Q55" s="85">
        <f>IF(OR($K55="",$H55="Completed",$H55="Cancelled"),"",IF(AND($K55&lt;TODAY(),$H55&lt;&gt;"Completed",$H55&lt;&gt;"Cancelled"),"Overdue","On Track"))</f>
        <v/>
      </c>
      <c r="R55" s="81" t="n"/>
      <c r="S55" s="81">
        <f>IF($B55="","",IFERROR(INDEX(Task_Tracker!$AA$5:$AA$1004,MATCH($B55,Task_Tracker!$A$5:$A$1004,0)),""))</f>
        <v/>
      </c>
      <c r="T55" s="81">
        <f>IF($B55="","",IFERROR(INDEX(Task_Tracker!$AB$5:$AB$1004,MATCH($B55,Task_Tracker!$A$5:$A$1004,0)),""))</f>
        <v/>
      </c>
      <c r="U55" s="78">
        <f>IF($B55="","",IFERROR(INDEX(Task_Tracker!$F$5:$F$1004,MATCH($B55,Task_Tracker!$A$5:$A$1004,0)),""))</f>
        <v/>
      </c>
      <c r="V55" s="78">
        <f>IF($B55="","",IFERROR(INDEX(Task_Tracker!$I$5:$I$1004,MATCH($B55,Task_Tracker!$A$5:$A$1004,0)),""))</f>
        <v/>
      </c>
      <c r="W55" s="81">
        <f>IF(OR($D55="",$B55=""),"",$D55&amp;" | "&amp;$B55)</f>
        <v/>
      </c>
      <c r="X55" s="85">
        <f>IF($K55="","",TEXT($K55,"yyyy-mm"))</f>
        <v/>
      </c>
      <c r="Y55" s="81">
        <f>IF(OR($A55="",$T55=""),"","Included in Manager_Report")</f>
        <v/>
      </c>
    </row>
    <row r="56" ht="15" customHeight="1" s="40">
      <c r="A56" s="65">
        <f>IF(COUNTA(B56:G56)=0,"","STP-"&amp;TEXT(ROW()-4,"0000"))</f>
        <v/>
      </c>
      <c r="B56" s="78" t="n"/>
      <c r="C56" s="67">
        <f>IF($B56="","",IFERROR(INDEX(Task_Tracker!$D$5:$D$1004,MATCH($B56,Task_Tracker!$A$5:$A$1004,0)),""))</f>
        <v/>
      </c>
      <c r="D56" s="67">
        <f>IF($B56="","",IFERROR(INDEX(Task_Tracker!$B$5:$B$1004,MATCH($B56,Task_Tracker!$A$5:$A$1004,0)),""))</f>
        <v/>
      </c>
      <c r="E56" s="81" t="n"/>
      <c r="F56" s="81" t="n"/>
      <c r="G56" s="78" t="n"/>
      <c r="H56" s="78" t="n"/>
      <c r="I56" s="67">
        <f>IF($H56="","",IFERROR(INDEX(Action_Status_Map!$B$5:$B$11,MATCH($H56,Action_Status_Map!$A$5:$A$11,0)),""))</f>
        <v/>
      </c>
      <c r="J56" s="82" t="n"/>
      <c r="K56" s="82" t="n"/>
      <c r="L56" s="82" t="n"/>
      <c r="M56" s="83" t="n"/>
      <c r="N56" s="83" t="n"/>
      <c r="O56" s="66">
        <f>IF(OR($M56="",$N56=""),"",$N56-$M56)</f>
        <v/>
      </c>
      <c r="P56" s="84">
        <f>IF($J56="","",IF($L56&lt;&gt;"",$L56-$J56,TODAY()-$J56))</f>
        <v/>
      </c>
      <c r="Q56" s="85">
        <f>IF(OR($K56="",$H56="Completed",$H56="Cancelled"),"",IF(AND($K56&lt;TODAY(),$H56&lt;&gt;"Completed",$H56&lt;&gt;"Cancelled"),"Overdue","On Track"))</f>
        <v/>
      </c>
      <c r="R56" s="81" t="n"/>
      <c r="S56" s="81">
        <f>IF($B56="","",IFERROR(INDEX(Task_Tracker!$AA$5:$AA$1004,MATCH($B56,Task_Tracker!$A$5:$A$1004,0)),""))</f>
        <v/>
      </c>
      <c r="T56" s="81">
        <f>IF($B56="","",IFERROR(INDEX(Task_Tracker!$AB$5:$AB$1004,MATCH($B56,Task_Tracker!$A$5:$A$1004,0)),""))</f>
        <v/>
      </c>
      <c r="U56" s="78">
        <f>IF($B56="","",IFERROR(INDEX(Task_Tracker!$F$5:$F$1004,MATCH($B56,Task_Tracker!$A$5:$A$1004,0)),""))</f>
        <v/>
      </c>
      <c r="V56" s="78">
        <f>IF($B56="","",IFERROR(INDEX(Task_Tracker!$I$5:$I$1004,MATCH($B56,Task_Tracker!$A$5:$A$1004,0)),""))</f>
        <v/>
      </c>
      <c r="W56" s="81">
        <f>IF(OR($D56="",$B56=""),"",$D56&amp;" | "&amp;$B56)</f>
        <v/>
      </c>
      <c r="X56" s="85">
        <f>IF($K56="","",TEXT($K56,"yyyy-mm"))</f>
        <v/>
      </c>
      <c r="Y56" s="81">
        <f>IF(OR($A56="",$T56=""),"","Included in Manager_Report")</f>
        <v/>
      </c>
    </row>
    <row r="57" ht="15" customHeight="1" s="40">
      <c r="A57" s="65">
        <f>IF(COUNTA(B57:G57)=0,"","STP-"&amp;TEXT(ROW()-4,"0000"))</f>
        <v/>
      </c>
      <c r="B57" s="78" t="n"/>
      <c r="C57" s="67">
        <f>IF($B57="","",IFERROR(INDEX(Task_Tracker!$D$5:$D$1004,MATCH($B57,Task_Tracker!$A$5:$A$1004,0)),""))</f>
        <v/>
      </c>
      <c r="D57" s="67">
        <f>IF($B57="","",IFERROR(INDEX(Task_Tracker!$B$5:$B$1004,MATCH($B57,Task_Tracker!$A$5:$A$1004,0)),""))</f>
        <v/>
      </c>
      <c r="E57" s="81" t="n"/>
      <c r="F57" s="81" t="n"/>
      <c r="G57" s="78" t="n"/>
      <c r="H57" s="78" t="n"/>
      <c r="I57" s="67">
        <f>IF($H57="","",IFERROR(INDEX(Action_Status_Map!$B$5:$B$11,MATCH($H57,Action_Status_Map!$A$5:$A$11,0)),""))</f>
        <v/>
      </c>
      <c r="J57" s="82" t="n"/>
      <c r="K57" s="82" t="n"/>
      <c r="L57" s="82" t="n"/>
      <c r="M57" s="83" t="n"/>
      <c r="N57" s="83" t="n"/>
      <c r="O57" s="66">
        <f>IF(OR($M57="",$N57=""),"",$N57-$M57)</f>
        <v/>
      </c>
      <c r="P57" s="84">
        <f>IF($J57="","",IF($L57&lt;&gt;"",$L57-$J57,TODAY()-$J57))</f>
        <v/>
      </c>
      <c r="Q57" s="85">
        <f>IF(OR($K57="",$H57="Completed",$H57="Cancelled"),"",IF(AND($K57&lt;TODAY(),$H57&lt;&gt;"Completed",$H57&lt;&gt;"Cancelled"),"Overdue","On Track"))</f>
        <v/>
      </c>
      <c r="R57" s="81" t="n"/>
      <c r="S57" s="81">
        <f>IF($B57="","",IFERROR(INDEX(Task_Tracker!$AA$5:$AA$1004,MATCH($B57,Task_Tracker!$A$5:$A$1004,0)),""))</f>
        <v/>
      </c>
      <c r="T57" s="81">
        <f>IF($B57="","",IFERROR(INDEX(Task_Tracker!$AB$5:$AB$1004,MATCH($B57,Task_Tracker!$A$5:$A$1004,0)),""))</f>
        <v/>
      </c>
      <c r="U57" s="78">
        <f>IF($B57="","",IFERROR(INDEX(Task_Tracker!$F$5:$F$1004,MATCH($B57,Task_Tracker!$A$5:$A$1004,0)),""))</f>
        <v/>
      </c>
      <c r="V57" s="78">
        <f>IF($B57="","",IFERROR(INDEX(Task_Tracker!$I$5:$I$1004,MATCH($B57,Task_Tracker!$A$5:$A$1004,0)),""))</f>
        <v/>
      </c>
      <c r="W57" s="81">
        <f>IF(OR($D57="",$B57=""),"",$D57&amp;" | "&amp;$B57)</f>
        <v/>
      </c>
      <c r="X57" s="85">
        <f>IF($K57="","",TEXT($K57,"yyyy-mm"))</f>
        <v/>
      </c>
      <c r="Y57" s="81">
        <f>IF(OR($A57="",$T57=""),"","Included in Manager_Report")</f>
        <v/>
      </c>
    </row>
    <row r="58" ht="15" customHeight="1" s="40">
      <c r="A58" s="65">
        <f>IF(COUNTA(B58:G58)=0,"","STP-"&amp;TEXT(ROW()-4,"0000"))</f>
        <v/>
      </c>
      <c r="B58" s="78" t="n"/>
      <c r="C58" s="67">
        <f>IF($B58="","",IFERROR(INDEX(Task_Tracker!$D$5:$D$1004,MATCH($B58,Task_Tracker!$A$5:$A$1004,0)),""))</f>
        <v/>
      </c>
      <c r="D58" s="67">
        <f>IF($B58="","",IFERROR(INDEX(Task_Tracker!$B$5:$B$1004,MATCH($B58,Task_Tracker!$A$5:$A$1004,0)),""))</f>
        <v/>
      </c>
      <c r="E58" s="81" t="n"/>
      <c r="F58" s="81" t="n"/>
      <c r="G58" s="78" t="n"/>
      <c r="H58" s="78" t="n"/>
      <c r="I58" s="67">
        <f>IF($H58="","",IFERROR(INDEX(Action_Status_Map!$B$5:$B$11,MATCH($H58,Action_Status_Map!$A$5:$A$11,0)),""))</f>
        <v/>
      </c>
      <c r="J58" s="82" t="n"/>
      <c r="K58" s="82" t="n"/>
      <c r="L58" s="82" t="n"/>
      <c r="M58" s="83" t="n"/>
      <c r="N58" s="83" t="n"/>
      <c r="O58" s="66">
        <f>IF(OR($M58="",$N58=""),"",$N58-$M58)</f>
        <v/>
      </c>
      <c r="P58" s="84">
        <f>IF($J58="","",IF($L58&lt;&gt;"",$L58-$J58,TODAY()-$J58))</f>
        <v/>
      </c>
      <c r="Q58" s="85">
        <f>IF(OR($K58="",$H58="Completed",$H58="Cancelled"),"",IF(AND($K58&lt;TODAY(),$H58&lt;&gt;"Completed",$H58&lt;&gt;"Cancelled"),"Overdue","On Track"))</f>
        <v/>
      </c>
      <c r="R58" s="81" t="n"/>
      <c r="S58" s="81">
        <f>IF($B58="","",IFERROR(INDEX(Task_Tracker!$AA$5:$AA$1004,MATCH($B58,Task_Tracker!$A$5:$A$1004,0)),""))</f>
        <v/>
      </c>
      <c r="T58" s="81">
        <f>IF($B58="","",IFERROR(INDEX(Task_Tracker!$AB$5:$AB$1004,MATCH($B58,Task_Tracker!$A$5:$A$1004,0)),""))</f>
        <v/>
      </c>
      <c r="U58" s="78">
        <f>IF($B58="","",IFERROR(INDEX(Task_Tracker!$F$5:$F$1004,MATCH($B58,Task_Tracker!$A$5:$A$1004,0)),""))</f>
        <v/>
      </c>
      <c r="V58" s="78">
        <f>IF($B58="","",IFERROR(INDEX(Task_Tracker!$I$5:$I$1004,MATCH($B58,Task_Tracker!$A$5:$A$1004,0)),""))</f>
        <v/>
      </c>
      <c r="W58" s="81">
        <f>IF(OR($D58="",$B58=""),"",$D58&amp;" | "&amp;$B58)</f>
        <v/>
      </c>
      <c r="X58" s="85">
        <f>IF($K58="","",TEXT($K58,"yyyy-mm"))</f>
        <v/>
      </c>
      <c r="Y58" s="81">
        <f>IF(OR($A58="",$T58=""),"","Included in Manager_Report")</f>
        <v/>
      </c>
    </row>
    <row r="59" ht="15" customHeight="1" s="40">
      <c r="A59" s="65">
        <f>IF(COUNTA(B59:G59)=0,"","STP-"&amp;TEXT(ROW()-4,"0000"))</f>
        <v/>
      </c>
      <c r="B59" s="78" t="n"/>
      <c r="C59" s="67">
        <f>IF($B59="","",IFERROR(INDEX(Task_Tracker!$D$5:$D$1004,MATCH($B59,Task_Tracker!$A$5:$A$1004,0)),""))</f>
        <v/>
      </c>
      <c r="D59" s="67">
        <f>IF($B59="","",IFERROR(INDEX(Task_Tracker!$B$5:$B$1004,MATCH($B59,Task_Tracker!$A$5:$A$1004,0)),""))</f>
        <v/>
      </c>
      <c r="E59" s="81" t="n"/>
      <c r="F59" s="81" t="n"/>
      <c r="G59" s="78" t="n"/>
      <c r="H59" s="78" t="n"/>
      <c r="I59" s="67">
        <f>IF($H59="","",IFERROR(INDEX(Action_Status_Map!$B$5:$B$11,MATCH($H59,Action_Status_Map!$A$5:$A$11,0)),""))</f>
        <v/>
      </c>
      <c r="J59" s="82" t="n"/>
      <c r="K59" s="82" t="n"/>
      <c r="L59" s="82" t="n"/>
      <c r="M59" s="83" t="n"/>
      <c r="N59" s="83" t="n"/>
      <c r="O59" s="66">
        <f>IF(OR($M59="",$N59=""),"",$N59-$M59)</f>
        <v/>
      </c>
      <c r="P59" s="84">
        <f>IF($J59="","",IF($L59&lt;&gt;"",$L59-$J59,TODAY()-$J59))</f>
        <v/>
      </c>
      <c r="Q59" s="85">
        <f>IF(OR($K59="",$H59="Completed",$H59="Cancelled"),"",IF(AND($K59&lt;TODAY(),$H59&lt;&gt;"Completed",$H59&lt;&gt;"Cancelled"),"Overdue","On Track"))</f>
        <v/>
      </c>
      <c r="R59" s="81" t="n"/>
      <c r="S59" s="81">
        <f>IF($B59="","",IFERROR(INDEX(Task_Tracker!$AA$5:$AA$1004,MATCH($B59,Task_Tracker!$A$5:$A$1004,0)),""))</f>
        <v/>
      </c>
      <c r="T59" s="81">
        <f>IF($B59="","",IFERROR(INDEX(Task_Tracker!$AB$5:$AB$1004,MATCH($B59,Task_Tracker!$A$5:$A$1004,0)),""))</f>
        <v/>
      </c>
      <c r="U59" s="78">
        <f>IF($B59="","",IFERROR(INDEX(Task_Tracker!$F$5:$F$1004,MATCH($B59,Task_Tracker!$A$5:$A$1004,0)),""))</f>
        <v/>
      </c>
      <c r="V59" s="78">
        <f>IF($B59="","",IFERROR(INDEX(Task_Tracker!$I$5:$I$1004,MATCH($B59,Task_Tracker!$A$5:$A$1004,0)),""))</f>
        <v/>
      </c>
      <c r="W59" s="81">
        <f>IF(OR($D59="",$B59=""),"",$D59&amp;" | "&amp;$B59)</f>
        <v/>
      </c>
      <c r="X59" s="85">
        <f>IF($K59="","",TEXT($K59,"yyyy-mm"))</f>
        <v/>
      </c>
      <c r="Y59" s="81">
        <f>IF(OR($A59="",$T59=""),"","Included in Manager_Report")</f>
        <v/>
      </c>
    </row>
    <row r="60" ht="15" customHeight="1" s="40">
      <c r="A60" s="65">
        <f>IF(COUNTA(B60:G60)=0,"","STP-"&amp;TEXT(ROW()-4,"0000"))</f>
        <v/>
      </c>
      <c r="B60" s="78" t="n"/>
      <c r="C60" s="67">
        <f>IF($B60="","",IFERROR(INDEX(Task_Tracker!$D$5:$D$1004,MATCH($B60,Task_Tracker!$A$5:$A$1004,0)),""))</f>
        <v/>
      </c>
      <c r="D60" s="67">
        <f>IF($B60="","",IFERROR(INDEX(Task_Tracker!$B$5:$B$1004,MATCH($B60,Task_Tracker!$A$5:$A$1004,0)),""))</f>
        <v/>
      </c>
      <c r="E60" s="81" t="n"/>
      <c r="F60" s="81" t="n"/>
      <c r="G60" s="78" t="n"/>
      <c r="H60" s="78" t="n"/>
      <c r="I60" s="67">
        <f>IF($H60="","",IFERROR(INDEX(Action_Status_Map!$B$5:$B$11,MATCH($H60,Action_Status_Map!$A$5:$A$11,0)),""))</f>
        <v/>
      </c>
      <c r="J60" s="82" t="n"/>
      <c r="K60" s="82" t="n"/>
      <c r="L60" s="82" t="n"/>
      <c r="M60" s="83" t="n"/>
      <c r="N60" s="83" t="n"/>
      <c r="O60" s="66">
        <f>IF(OR($M60="",$N60=""),"",$N60-$M60)</f>
        <v/>
      </c>
      <c r="P60" s="84">
        <f>IF($J60="","",IF($L60&lt;&gt;"",$L60-$J60,TODAY()-$J60))</f>
        <v/>
      </c>
      <c r="Q60" s="85">
        <f>IF(OR($K60="",$H60="Completed",$H60="Cancelled"),"",IF(AND($K60&lt;TODAY(),$H60&lt;&gt;"Completed",$H60&lt;&gt;"Cancelled"),"Overdue","On Track"))</f>
        <v/>
      </c>
      <c r="R60" s="81" t="n"/>
      <c r="S60" s="81">
        <f>IF($B60="","",IFERROR(INDEX(Task_Tracker!$AA$5:$AA$1004,MATCH($B60,Task_Tracker!$A$5:$A$1004,0)),""))</f>
        <v/>
      </c>
      <c r="T60" s="81">
        <f>IF($B60="","",IFERROR(INDEX(Task_Tracker!$AB$5:$AB$1004,MATCH($B60,Task_Tracker!$A$5:$A$1004,0)),""))</f>
        <v/>
      </c>
      <c r="U60" s="78">
        <f>IF($B60="","",IFERROR(INDEX(Task_Tracker!$F$5:$F$1004,MATCH($B60,Task_Tracker!$A$5:$A$1004,0)),""))</f>
        <v/>
      </c>
      <c r="V60" s="78">
        <f>IF($B60="","",IFERROR(INDEX(Task_Tracker!$I$5:$I$1004,MATCH($B60,Task_Tracker!$A$5:$A$1004,0)),""))</f>
        <v/>
      </c>
      <c r="W60" s="81">
        <f>IF(OR($D60="",$B60=""),"",$D60&amp;" | "&amp;$B60)</f>
        <v/>
      </c>
      <c r="X60" s="85">
        <f>IF($K60="","",TEXT($K60,"yyyy-mm"))</f>
        <v/>
      </c>
      <c r="Y60" s="81">
        <f>IF(OR($A60="",$T60=""),"","Included in Manager_Report")</f>
        <v/>
      </c>
    </row>
    <row r="61" ht="15" customHeight="1" s="40">
      <c r="A61" s="65">
        <f>IF(COUNTA(B61:G61)=0,"","STP-"&amp;TEXT(ROW()-4,"0000"))</f>
        <v/>
      </c>
      <c r="B61" s="78" t="n"/>
      <c r="C61" s="67">
        <f>IF($B61="","",IFERROR(INDEX(Task_Tracker!$D$5:$D$1004,MATCH($B61,Task_Tracker!$A$5:$A$1004,0)),""))</f>
        <v/>
      </c>
      <c r="D61" s="67">
        <f>IF($B61="","",IFERROR(INDEX(Task_Tracker!$B$5:$B$1004,MATCH($B61,Task_Tracker!$A$5:$A$1004,0)),""))</f>
        <v/>
      </c>
      <c r="E61" s="81" t="n"/>
      <c r="F61" s="81" t="n"/>
      <c r="G61" s="78" t="n"/>
      <c r="H61" s="78" t="n"/>
      <c r="I61" s="67">
        <f>IF($H61="","",IFERROR(INDEX(Action_Status_Map!$B$5:$B$11,MATCH($H61,Action_Status_Map!$A$5:$A$11,0)),""))</f>
        <v/>
      </c>
      <c r="J61" s="82" t="n"/>
      <c r="K61" s="82" t="n"/>
      <c r="L61" s="82" t="n"/>
      <c r="M61" s="83" t="n"/>
      <c r="N61" s="83" t="n"/>
      <c r="O61" s="66">
        <f>IF(OR($M61="",$N61=""),"",$N61-$M61)</f>
        <v/>
      </c>
      <c r="P61" s="84">
        <f>IF($J61="","",IF($L61&lt;&gt;"",$L61-$J61,TODAY()-$J61))</f>
        <v/>
      </c>
      <c r="Q61" s="85">
        <f>IF(OR($K61="",$H61="Completed",$H61="Cancelled"),"",IF(AND($K61&lt;TODAY(),$H61&lt;&gt;"Completed",$H61&lt;&gt;"Cancelled"),"Overdue","On Track"))</f>
        <v/>
      </c>
      <c r="R61" s="81" t="n"/>
      <c r="S61" s="81">
        <f>IF($B61="","",IFERROR(INDEX(Task_Tracker!$AA$5:$AA$1004,MATCH($B61,Task_Tracker!$A$5:$A$1004,0)),""))</f>
        <v/>
      </c>
      <c r="T61" s="81">
        <f>IF($B61="","",IFERROR(INDEX(Task_Tracker!$AB$5:$AB$1004,MATCH($B61,Task_Tracker!$A$5:$A$1004,0)),""))</f>
        <v/>
      </c>
      <c r="U61" s="78">
        <f>IF($B61="","",IFERROR(INDEX(Task_Tracker!$F$5:$F$1004,MATCH($B61,Task_Tracker!$A$5:$A$1004,0)),""))</f>
        <v/>
      </c>
      <c r="V61" s="78">
        <f>IF($B61="","",IFERROR(INDEX(Task_Tracker!$I$5:$I$1004,MATCH($B61,Task_Tracker!$A$5:$A$1004,0)),""))</f>
        <v/>
      </c>
      <c r="W61" s="81">
        <f>IF(OR($D61="",$B61=""),"",$D61&amp;" | "&amp;$B61)</f>
        <v/>
      </c>
      <c r="X61" s="85">
        <f>IF($K61="","",TEXT($K61,"yyyy-mm"))</f>
        <v/>
      </c>
      <c r="Y61" s="81">
        <f>IF(OR($A61="",$T61=""),"","Included in Manager_Report")</f>
        <v/>
      </c>
    </row>
    <row r="62" ht="15" customHeight="1" s="40">
      <c r="A62" s="65">
        <f>IF(COUNTA(B62:G62)=0,"","STP-"&amp;TEXT(ROW()-4,"0000"))</f>
        <v/>
      </c>
      <c r="B62" s="78" t="n"/>
      <c r="C62" s="67">
        <f>IF($B62="","",IFERROR(INDEX(Task_Tracker!$D$5:$D$1004,MATCH($B62,Task_Tracker!$A$5:$A$1004,0)),""))</f>
        <v/>
      </c>
      <c r="D62" s="67">
        <f>IF($B62="","",IFERROR(INDEX(Task_Tracker!$B$5:$B$1004,MATCH($B62,Task_Tracker!$A$5:$A$1004,0)),""))</f>
        <v/>
      </c>
      <c r="E62" s="81" t="n"/>
      <c r="F62" s="81" t="n"/>
      <c r="G62" s="78" t="n"/>
      <c r="H62" s="78" t="n"/>
      <c r="I62" s="67">
        <f>IF($H62="","",IFERROR(INDEX(Action_Status_Map!$B$5:$B$11,MATCH($H62,Action_Status_Map!$A$5:$A$11,0)),""))</f>
        <v/>
      </c>
      <c r="J62" s="82" t="n"/>
      <c r="K62" s="82" t="n"/>
      <c r="L62" s="82" t="n"/>
      <c r="M62" s="83" t="n"/>
      <c r="N62" s="83" t="n"/>
      <c r="O62" s="66">
        <f>IF(OR($M62="",$N62=""),"",$N62-$M62)</f>
        <v/>
      </c>
      <c r="P62" s="84">
        <f>IF($J62="","",IF($L62&lt;&gt;"",$L62-$J62,TODAY()-$J62))</f>
        <v/>
      </c>
      <c r="Q62" s="85">
        <f>IF(OR($K62="",$H62="Completed",$H62="Cancelled"),"",IF(AND($K62&lt;TODAY(),$H62&lt;&gt;"Completed",$H62&lt;&gt;"Cancelled"),"Overdue","On Track"))</f>
        <v/>
      </c>
      <c r="R62" s="81" t="n"/>
      <c r="S62" s="81">
        <f>IF($B62="","",IFERROR(INDEX(Task_Tracker!$AA$5:$AA$1004,MATCH($B62,Task_Tracker!$A$5:$A$1004,0)),""))</f>
        <v/>
      </c>
      <c r="T62" s="81">
        <f>IF($B62="","",IFERROR(INDEX(Task_Tracker!$AB$5:$AB$1004,MATCH($B62,Task_Tracker!$A$5:$A$1004,0)),""))</f>
        <v/>
      </c>
      <c r="U62" s="78">
        <f>IF($B62="","",IFERROR(INDEX(Task_Tracker!$F$5:$F$1004,MATCH($B62,Task_Tracker!$A$5:$A$1004,0)),""))</f>
        <v/>
      </c>
      <c r="V62" s="78">
        <f>IF($B62="","",IFERROR(INDEX(Task_Tracker!$I$5:$I$1004,MATCH($B62,Task_Tracker!$A$5:$A$1004,0)),""))</f>
        <v/>
      </c>
      <c r="W62" s="81">
        <f>IF(OR($D62="",$B62=""),"",$D62&amp;" | "&amp;$B62)</f>
        <v/>
      </c>
      <c r="X62" s="85">
        <f>IF($K62="","",TEXT($K62,"yyyy-mm"))</f>
        <v/>
      </c>
      <c r="Y62" s="81">
        <f>IF(OR($A62="",$T62=""),"","Included in Manager_Report")</f>
        <v/>
      </c>
    </row>
    <row r="63" ht="15" customHeight="1" s="40">
      <c r="A63" s="65">
        <f>IF(COUNTA(B63:G63)=0,"","STP-"&amp;TEXT(ROW()-4,"0000"))</f>
        <v/>
      </c>
      <c r="B63" s="78" t="n"/>
      <c r="C63" s="67">
        <f>IF($B63="","",IFERROR(INDEX(Task_Tracker!$D$5:$D$1004,MATCH($B63,Task_Tracker!$A$5:$A$1004,0)),""))</f>
        <v/>
      </c>
      <c r="D63" s="67">
        <f>IF($B63="","",IFERROR(INDEX(Task_Tracker!$B$5:$B$1004,MATCH($B63,Task_Tracker!$A$5:$A$1004,0)),""))</f>
        <v/>
      </c>
      <c r="E63" s="81" t="n"/>
      <c r="F63" s="81" t="n"/>
      <c r="G63" s="78" t="n"/>
      <c r="H63" s="78" t="n"/>
      <c r="I63" s="67">
        <f>IF($H63="","",IFERROR(INDEX(Action_Status_Map!$B$5:$B$11,MATCH($H63,Action_Status_Map!$A$5:$A$11,0)),""))</f>
        <v/>
      </c>
      <c r="J63" s="82" t="n"/>
      <c r="K63" s="82" t="n"/>
      <c r="L63" s="82" t="n"/>
      <c r="M63" s="83" t="n"/>
      <c r="N63" s="83" t="n"/>
      <c r="O63" s="66">
        <f>IF(OR($M63="",$N63=""),"",$N63-$M63)</f>
        <v/>
      </c>
      <c r="P63" s="84">
        <f>IF($J63="","",IF($L63&lt;&gt;"",$L63-$J63,TODAY()-$J63))</f>
        <v/>
      </c>
      <c r="Q63" s="85">
        <f>IF(OR($K63="",$H63="Completed",$H63="Cancelled"),"",IF(AND($K63&lt;TODAY(),$H63&lt;&gt;"Completed",$H63&lt;&gt;"Cancelled"),"Overdue","On Track"))</f>
        <v/>
      </c>
      <c r="R63" s="81" t="n"/>
      <c r="S63" s="81">
        <f>IF($B63="","",IFERROR(INDEX(Task_Tracker!$AA$5:$AA$1004,MATCH($B63,Task_Tracker!$A$5:$A$1004,0)),""))</f>
        <v/>
      </c>
      <c r="T63" s="81">
        <f>IF($B63="","",IFERROR(INDEX(Task_Tracker!$AB$5:$AB$1004,MATCH($B63,Task_Tracker!$A$5:$A$1004,0)),""))</f>
        <v/>
      </c>
      <c r="U63" s="78">
        <f>IF($B63="","",IFERROR(INDEX(Task_Tracker!$F$5:$F$1004,MATCH($B63,Task_Tracker!$A$5:$A$1004,0)),""))</f>
        <v/>
      </c>
      <c r="V63" s="78">
        <f>IF($B63="","",IFERROR(INDEX(Task_Tracker!$I$5:$I$1004,MATCH($B63,Task_Tracker!$A$5:$A$1004,0)),""))</f>
        <v/>
      </c>
      <c r="W63" s="81">
        <f>IF(OR($D63="",$B63=""),"",$D63&amp;" | "&amp;$B63)</f>
        <v/>
      </c>
      <c r="X63" s="85">
        <f>IF($K63="","",TEXT($K63,"yyyy-mm"))</f>
        <v/>
      </c>
      <c r="Y63" s="81">
        <f>IF(OR($A63="",$T63=""),"","Included in Manager_Report")</f>
        <v/>
      </c>
    </row>
    <row r="64" ht="15" customHeight="1" s="40">
      <c r="A64" s="65">
        <f>IF(COUNTA(B64:G64)=0,"","STP-"&amp;TEXT(ROW()-4,"0000"))</f>
        <v/>
      </c>
      <c r="B64" s="78" t="n"/>
      <c r="C64" s="67">
        <f>IF($B64="","",IFERROR(INDEX(Task_Tracker!$D$5:$D$1004,MATCH($B64,Task_Tracker!$A$5:$A$1004,0)),""))</f>
        <v/>
      </c>
      <c r="D64" s="67">
        <f>IF($B64="","",IFERROR(INDEX(Task_Tracker!$B$5:$B$1004,MATCH($B64,Task_Tracker!$A$5:$A$1004,0)),""))</f>
        <v/>
      </c>
      <c r="E64" s="81" t="n"/>
      <c r="F64" s="81" t="n"/>
      <c r="G64" s="78" t="n"/>
      <c r="H64" s="78" t="n"/>
      <c r="I64" s="67">
        <f>IF($H64="","",IFERROR(INDEX(Action_Status_Map!$B$5:$B$11,MATCH($H64,Action_Status_Map!$A$5:$A$11,0)),""))</f>
        <v/>
      </c>
      <c r="J64" s="82" t="n"/>
      <c r="K64" s="82" t="n"/>
      <c r="L64" s="82" t="n"/>
      <c r="M64" s="83" t="n"/>
      <c r="N64" s="83" t="n"/>
      <c r="O64" s="66">
        <f>IF(OR($M64="",$N64=""),"",$N64-$M64)</f>
        <v/>
      </c>
      <c r="P64" s="84">
        <f>IF($J64="","",IF($L64&lt;&gt;"",$L64-$J64,TODAY()-$J64))</f>
        <v/>
      </c>
      <c r="Q64" s="85">
        <f>IF(OR($K64="",$H64="Completed",$H64="Cancelled"),"",IF(AND($K64&lt;TODAY(),$H64&lt;&gt;"Completed",$H64&lt;&gt;"Cancelled"),"Overdue","On Track"))</f>
        <v/>
      </c>
      <c r="R64" s="81" t="n"/>
      <c r="S64" s="81">
        <f>IF($B64="","",IFERROR(INDEX(Task_Tracker!$AA$5:$AA$1004,MATCH($B64,Task_Tracker!$A$5:$A$1004,0)),""))</f>
        <v/>
      </c>
      <c r="T64" s="81">
        <f>IF($B64="","",IFERROR(INDEX(Task_Tracker!$AB$5:$AB$1004,MATCH($B64,Task_Tracker!$A$5:$A$1004,0)),""))</f>
        <v/>
      </c>
      <c r="U64" s="78">
        <f>IF($B64="","",IFERROR(INDEX(Task_Tracker!$F$5:$F$1004,MATCH($B64,Task_Tracker!$A$5:$A$1004,0)),""))</f>
        <v/>
      </c>
      <c r="V64" s="78">
        <f>IF($B64="","",IFERROR(INDEX(Task_Tracker!$I$5:$I$1004,MATCH($B64,Task_Tracker!$A$5:$A$1004,0)),""))</f>
        <v/>
      </c>
      <c r="W64" s="81">
        <f>IF(OR($D64="",$B64=""),"",$D64&amp;" | "&amp;$B64)</f>
        <v/>
      </c>
      <c r="X64" s="85">
        <f>IF($K64="","",TEXT($K64,"yyyy-mm"))</f>
        <v/>
      </c>
      <c r="Y64" s="81">
        <f>IF(OR($A64="",$T64=""),"","Included in Manager_Report")</f>
        <v/>
      </c>
    </row>
    <row r="65" ht="15" customHeight="1" s="40">
      <c r="A65" s="65">
        <f>IF(COUNTA(B65:G65)=0,"","STP-"&amp;TEXT(ROW()-4,"0000"))</f>
        <v/>
      </c>
      <c r="B65" s="78" t="n"/>
      <c r="C65" s="67">
        <f>IF($B65="","",IFERROR(INDEX(Task_Tracker!$D$5:$D$1004,MATCH($B65,Task_Tracker!$A$5:$A$1004,0)),""))</f>
        <v/>
      </c>
      <c r="D65" s="67">
        <f>IF($B65="","",IFERROR(INDEX(Task_Tracker!$B$5:$B$1004,MATCH($B65,Task_Tracker!$A$5:$A$1004,0)),""))</f>
        <v/>
      </c>
      <c r="E65" s="81" t="n"/>
      <c r="F65" s="81" t="n"/>
      <c r="G65" s="78" t="n"/>
      <c r="H65" s="78" t="n"/>
      <c r="I65" s="67">
        <f>IF($H65="","",IFERROR(INDEX(Action_Status_Map!$B$5:$B$11,MATCH($H65,Action_Status_Map!$A$5:$A$11,0)),""))</f>
        <v/>
      </c>
      <c r="J65" s="82" t="n"/>
      <c r="K65" s="82" t="n"/>
      <c r="L65" s="82" t="n"/>
      <c r="M65" s="83" t="n"/>
      <c r="N65" s="83" t="n"/>
      <c r="O65" s="66">
        <f>IF(OR($M65="",$N65=""),"",$N65-$M65)</f>
        <v/>
      </c>
      <c r="P65" s="84">
        <f>IF($J65="","",IF($L65&lt;&gt;"",$L65-$J65,TODAY()-$J65))</f>
        <v/>
      </c>
      <c r="Q65" s="85">
        <f>IF(OR($K65="",$H65="Completed",$H65="Cancelled"),"",IF(AND($K65&lt;TODAY(),$H65&lt;&gt;"Completed",$H65&lt;&gt;"Cancelled"),"Overdue","On Track"))</f>
        <v/>
      </c>
      <c r="R65" s="81" t="n"/>
      <c r="S65" s="81">
        <f>IF($B65="","",IFERROR(INDEX(Task_Tracker!$AA$5:$AA$1004,MATCH($B65,Task_Tracker!$A$5:$A$1004,0)),""))</f>
        <v/>
      </c>
      <c r="T65" s="81">
        <f>IF($B65="","",IFERROR(INDEX(Task_Tracker!$AB$5:$AB$1004,MATCH($B65,Task_Tracker!$A$5:$A$1004,0)),""))</f>
        <v/>
      </c>
      <c r="U65" s="78">
        <f>IF($B65="","",IFERROR(INDEX(Task_Tracker!$F$5:$F$1004,MATCH($B65,Task_Tracker!$A$5:$A$1004,0)),""))</f>
        <v/>
      </c>
      <c r="V65" s="78">
        <f>IF($B65="","",IFERROR(INDEX(Task_Tracker!$I$5:$I$1004,MATCH($B65,Task_Tracker!$A$5:$A$1004,0)),""))</f>
        <v/>
      </c>
      <c r="W65" s="81">
        <f>IF(OR($D65="",$B65=""),"",$D65&amp;" | "&amp;$B65)</f>
        <v/>
      </c>
      <c r="X65" s="85">
        <f>IF($K65="","",TEXT($K65,"yyyy-mm"))</f>
        <v/>
      </c>
      <c r="Y65" s="81">
        <f>IF(OR($A65="",$T65=""),"","Included in Manager_Report")</f>
        <v/>
      </c>
    </row>
    <row r="66" ht="15" customHeight="1" s="40">
      <c r="A66" s="65">
        <f>IF(COUNTA(B66:G66)=0,"","STP-"&amp;TEXT(ROW()-4,"0000"))</f>
        <v/>
      </c>
      <c r="B66" s="78" t="n"/>
      <c r="C66" s="67">
        <f>IF($B66="","",IFERROR(INDEX(Task_Tracker!$D$5:$D$1004,MATCH($B66,Task_Tracker!$A$5:$A$1004,0)),""))</f>
        <v/>
      </c>
      <c r="D66" s="67">
        <f>IF($B66="","",IFERROR(INDEX(Task_Tracker!$B$5:$B$1004,MATCH($B66,Task_Tracker!$A$5:$A$1004,0)),""))</f>
        <v/>
      </c>
      <c r="E66" s="81" t="n"/>
      <c r="F66" s="81" t="n"/>
      <c r="G66" s="78" t="n"/>
      <c r="H66" s="78" t="n"/>
      <c r="I66" s="67">
        <f>IF($H66="","",IFERROR(INDEX(Action_Status_Map!$B$5:$B$11,MATCH($H66,Action_Status_Map!$A$5:$A$11,0)),""))</f>
        <v/>
      </c>
      <c r="J66" s="82" t="n"/>
      <c r="K66" s="82" t="n"/>
      <c r="L66" s="82" t="n"/>
      <c r="M66" s="83" t="n"/>
      <c r="N66" s="83" t="n"/>
      <c r="O66" s="66">
        <f>IF(OR($M66="",$N66=""),"",$N66-$M66)</f>
        <v/>
      </c>
      <c r="P66" s="84">
        <f>IF($J66="","",IF($L66&lt;&gt;"",$L66-$J66,TODAY()-$J66))</f>
        <v/>
      </c>
      <c r="Q66" s="85">
        <f>IF(OR($K66="",$H66="Completed",$H66="Cancelled"),"",IF(AND($K66&lt;TODAY(),$H66&lt;&gt;"Completed",$H66&lt;&gt;"Cancelled"),"Overdue","On Track"))</f>
        <v/>
      </c>
      <c r="R66" s="81" t="n"/>
      <c r="S66" s="81">
        <f>IF($B66="","",IFERROR(INDEX(Task_Tracker!$AA$5:$AA$1004,MATCH($B66,Task_Tracker!$A$5:$A$1004,0)),""))</f>
        <v/>
      </c>
      <c r="T66" s="81">
        <f>IF($B66="","",IFERROR(INDEX(Task_Tracker!$AB$5:$AB$1004,MATCH($B66,Task_Tracker!$A$5:$A$1004,0)),""))</f>
        <v/>
      </c>
      <c r="U66" s="78">
        <f>IF($B66="","",IFERROR(INDEX(Task_Tracker!$F$5:$F$1004,MATCH($B66,Task_Tracker!$A$5:$A$1004,0)),""))</f>
        <v/>
      </c>
      <c r="V66" s="78">
        <f>IF($B66="","",IFERROR(INDEX(Task_Tracker!$I$5:$I$1004,MATCH($B66,Task_Tracker!$A$5:$A$1004,0)),""))</f>
        <v/>
      </c>
      <c r="W66" s="81">
        <f>IF(OR($D66="",$B66=""),"",$D66&amp;" | "&amp;$B66)</f>
        <v/>
      </c>
      <c r="X66" s="85">
        <f>IF($K66="","",TEXT($K66,"yyyy-mm"))</f>
        <v/>
      </c>
      <c r="Y66" s="81">
        <f>IF(OR($A66="",$T66=""),"","Included in Manager_Report")</f>
        <v/>
      </c>
    </row>
    <row r="67" ht="15" customHeight="1" s="40">
      <c r="A67" s="65">
        <f>IF(COUNTA(B67:G67)=0,"","STP-"&amp;TEXT(ROW()-4,"0000"))</f>
        <v/>
      </c>
      <c r="B67" s="78" t="n"/>
      <c r="C67" s="67">
        <f>IF($B67="","",IFERROR(INDEX(Task_Tracker!$D$5:$D$1004,MATCH($B67,Task_Tracker!$A$5:$A$1004,0)),""))</f>
        <v/>
      </c>
      <c r="D67" s="67">
        <f>IF($B67="","",IFERROR(INDEX(Task_Tracker!$B$5:$B$1004,MATCH($B67,Task_Tracker!$A$5:$A$1004,0)),""))</f>
        <v/>
      </c>
      <c r="E67" s="81" t="n"/>
      <c r="F67" s="81" t="n"/>
      <c r="G67" s="78" t="n"/>
      <c r="H67" s="78" t="n"/>
      <c r="I67" s="67">
        <f>IF($H67="","",IFERROR(INDEX(Action_Status_Map!$B$5:$B$11,MATCH($H67,Action_Status_Map!$A$5:$A$11,0)),""))</f>
        <v/>
      </c>
      <c r="J67" s="82" t="n"/>
      <c r="K67" s="82" t="n"/>
      <c r="L67" s="82" t="n"/>
      <c r="M67" s="83" t="n"/>
      <c r="N67" s="83" t="n"/>
      <c r="O67" s="66">
        <f>IF(OR($M67="",$N67=""),"",$N67-$M67)</f>
        <v/>
      </c>
      <c r="P67" s="84">
        <f>IF($J67="","",IF($L67&lt;&gt;"",$L67-$J67,TODAY()-$J67))</f>
        <v/>
      </c>
      <c r="Q67" s="85">
        <f>IF(OR($K67="",$H67="Completed",$H67="Cancelled"),"",IF(AND($K67&lt;TODAY(),$H67&lt;&gt;"Completed",$H67&lt;&gt;"Cancelled"),"Overdue","On Track"))</f>
        <v/>
      </c>
      <c r="R67" s="81" t="n"/>
      <c r="S67" s="81">
        <f>IF($B67="","",IFERROR(INDEX(Task_Tracker!$AA$5:$AA$1004,MATCH($B67,Task_Tracker!$A$5:$A$1004,0)),""))</f>
        <v/>
      </c>
      <c r="T67" s="81">
        <f>IF($B67="","",IFERROR(INDEX(Task_Tracker!$AB$5:$AB$1004,MATCH($B67,Task_Tracker!$A$5:$A$1004,0)),""))</f>
        <v/>
      </c>
      <c r="U67" s="78">
        <f>IF($B67="","",IFERROR(INDEX(Task_Tracker!$F$5:$F$1004,MATCH($B67,Task_Tracker!$A$5:$A$1004,0)),""))</f>
        <v/>
      </c>
      <c r="V67" s="78">
        <f>IF($B67="","",IFERROR(INDEX(Task_Tracker!$I$5:$I$1004,MATCH($B67,Task_Tracker!$A$5:$A$1004,0)),""))</f>
        <v/>
      </c>
      <c r="W67" s="81">
        <f>IF(OR($D67="",$B67=""),"",$D67&amp;" | "&amp;$B67)</f>
        <v/>
      </c>
      <c r="X67" s="85">
        <f>IF($K67="","",TEXT($K67,"yyyy-mm"))</f>
        <v/>
      </c>
      <c r="Y67" s="81">
        <f>IF(OR($A67="",$T67=""),"","Included in Manager_Report")</f>
        <v/>
      </c>
    </row>
    <row r="68" ht="15" customHeight="1" s="40">
      <c r="A68" s="65">
        <f>IF(COUNTA(B68:G68)=0,"","STP-"&amp;TEXT(ROW()-4,"0000"))</f>
        <v/>
      </c>
      <c r="B68" s="78" t="n"/>
      <c r="C68" s="67">
        <f>IF($B68="","",IFERROR(INDEX(Task_Tracker!$D$5:$D$1004,MATCH($B68,Task_Tracker!$A$5:$A$1004,0)),""))</f>
        <v/>
      </c>
      <c r="D68" s="67">
        <f>IF($B68="","",IFERROR(INDEX(Task_Tracker!$B$5:$B$1004,MATCH($B68,Task_Tracker!$A$5:$A$1004,0)),""))</f>
        <v/>
      </c>
      <c r="E68" s="81" t="n"/>
      <c r="F68" s="81" t="n"/>
      <c r="G68" s="78" t="n"/>
      <c r="H68" s="78" t="n"/>
      <c r="I68" s="67">
        <f>IF($H68="","",IFERROR(INDEX(Action_Status_Map!$B$5:$B$11,MATCH($H68,Action_Status_Map!$A$5:$A$11,0)),""))</f>
        <v/>
      </c>
      <c r="J68" s="82" t="n"/>
      <c r="K68" s="82" t="n"/>
      <c r="L68" s="82" t="n"/>
      <c r="M68" s="83" t="n"/>
      <c r="N68" s="83" t="n"/>
      <c r="O68" s="66">
        <f>IF(OR($M68="",$N68=""),"",$N68-$M68)</f>
        <v/>
      </c>
      <c r="P68" s="84">
        <f>IF($J68="","",IF($L68&lt;&gt;"",$L68-$J68,TODAY()-$J68))</f>
        <v/>
      </c>
      <c r="Q68" s="85">
        <f>IF(OR($K68="",$H68="Completed",$H68="Cancelled"),"",IF(AND($K68&lt;TODAY(),$H68&lt;&gt;"Completed",$H68&lt;&gt;"Cancelled"),"Overdue","On Track"))</f>
        <v/>
      </c>
      <c r="R68" s="81" t="n"/>
      <c r="S68" s="81">
        <f>IF($B68="","",IFERROR(INDEX(Task_Tracker!$AA$5:$AA$1004,MATCH($B68,Task_Tracker!$A$5:$A$1004,0)),""))</f>
        <v/>
      </c>
      <c r="T68" s="81">
        <f>IF($B68="","",IFERROR(INDEX(Task_Tracker!$AB$5:$AB$1004,MATCH($B68,Task_Tracker!$A$5:$A$1004,0)),""))</f>
        <v/>
      </c>
      <c r="U68" s="78">
        <f>IF($B68="","",IFERROR(INDEX(Task_Tracker!$F$5:$F$1004,MATCH($B68,Task_Tracker!$A$5:$A$1004,0)),""))</f>
        <v/>
      </c>
      <c r="V68" s="78">
        <f>IF($B68="","",IFERROR(INDEX(Task_Tracker!$I$5:$I$1004,MATCH($B68,Task_Tracker!$A$5:$A$1004,0)),""))</f>
        <v/>
      </c>
      <c r="W68" s="81">
        <f>IF(OR($D68="",$B68=""),"",$D68&amp;" | "&amp;$B68)</f>
        <v/>
      </c>
      <c r="X68" s="85">
        <f>IF($K68="","",TEXT($K68,"yyyy-mm"))</f>
        <v/>
      </c>
      <c r="Y68" s="81">
        <f>IF(OR($A68="",$T68=""),"","Included in Manager_Report")</f>
        <v/>
      </c>
    </row>
    <row r="69" ht="15" customHeight="1" s="40">
      <c r="A69" s="65">
        <f>IF(COUNTA(B69:G69)=0,"","STP-"&amp;TEXT(ROW()-4,"0000"))</f>
        <v/>
      </c>
      <c r="B69" s="78" t="n"/>
      <c r="C69" s="67">
        <f>IF($B69="","",IFERROR(INDEX(Task_Tracker!$D$5:$D$1004,MATCH($B69,Task_Tracker!$A$5:$A$1004,0)),""))</f>
        <v/>
      </c>
      <c r="D69" s="67">
        <f>IF($B69="","",IFERROR(INDEX(Task_Tracker!$B$5:$B$1004,MATCH($B69,Task_Tracker!$A$5:$A$1004,0)),""))</f>
        <v/>
      </c>
      <c r="E69" s="81" t="n"/>
      <c r="F69" s="81" t="n"/>
      <c r="G69" s="78" t="n"/>
      <c r="H69" s="78" t="n"/>
      <c r="I69" s="67">
        <f>IF($H69="","",IFERROR(INDEX(Action_Status_Map!$B$5:$B$11,MATCH($H69,Action_Status_Map!$A$5:$A$11,0)),""))</f>
        <v/>
      </c>
      <c r="J69" s="82" t="n"/>
      <c r="K69" s="82" t="n"/>
      <c r="L69" s="82" t="n"/>
      <c r="M69" s="83" t="n"/>
      <c r="N69" s="83" t="n"/>
      <c r="O69" s="66">
        <f>IF(OR($M69="",$N69=""),"",$N69-$M69)</f>
        <v/>
      </c>
      <c r="P69" s="84">
        <f>IF($J69="","",IF($L69&lt;&gt;"",$L69-$J69,TODAY()-$J69))</f>
        <v/>
      </c>
      <c r="Q69" s="85">
        <f>IF(OR($K69="",$H69="Completed",$H69="Cancelled"),"",IF(AND($K69&lt;TODAY(),$H69&lt;&gt;"Completed",$H69&lt;&gt;"Cancelled"),"Overdue","On Track"))</f>
        <v/>
      </c>
      <c r="R69" s="81" t="n"/>
      <c r="S69" s="81">
        <f>IF($B69="","",IFERROR(INDEX(Task_Tracker!$AA$5:$AA$1004,MATCH($B69,Task_Tracker!$A$5:$A$1004,0)),""))</f>
        <v/>
      </c>
      <c r="T69" s="81">
        <f>IF($B69="","",IFERROR(INDEX(Task_Tracker!$AB$5:$AB$1004,MATCH($B69,Task_Tracker!$A$5:$A$1004,0)),""))</f>
        <v/>
      </c>
      <c r="U69" s="78">
        <f>IF($B69="","",IFERROR(INDEX(Task_Tracker!$F$5:$F$1004,MATCH($B69,Task_Tracker!$A$5:$A$1004,0)),""))</f>
        <v/>
      </c>
      <c r="V69" s="78">
        <f>IF($B69="","",IFERROR(INDEX(Task_Tracker!$I$5:$I$1004,MATCH($B69,Task_Tracker!$A$5:$A$1004,0)),""))</f>
        <v/>
      </c>
      <c r="W69" s="81">
        <f>IF(OR($D69="",$B69=""),"",$D69&amp;" | "&amp;$B69)</f>
        <v/>
      </c>
      <c r="X69" s="85">
        <f>IF($K69="","",TEXT($K69,"yyyy-mm"))</f>
        <v/>
      </c>
      <c r="Y69" s="81">
        <f>IF(OR($A69="",$T69=""),"","Included in Manager_Report")</f>
        <v/>
      </c>
    </row>
    <row r="70" ht="15" customHeight="1" s="40">
      <c r="A70" s="65">
        <f>IF(COUNTA(B70:G70)=0,"","STP-"&amp;TEXT(ROW()-4,"0000"))</f>
        <v/>
      </c>
      <c r="B70" s="78" t="n"/>
      <c r="C70" s="67">
        <f>IF($B70="","",IFERROR(INDEX(Task_Tracker!$D$5:$D$1004,MATCH($B70,Task_Tracker!$A$5:$A$1004,0)),""))</f>
        <v/>
      </c>
      <c r="D70" s="67">
        <f>IF($B70="","",IFERROR(INDEX(Task_Tracker!$B$5:$B$1004,MATCH($B70,Task_Tracker!$A$5:$A$1004,0)),""))</f>
        <v/>
      </c>
      <c r="E70" s="81" t="n"/>
      <c r="F70" s="81" t="n"/>
      <c r="G70" s="78" t="n"/>
      <c r="H70" s="78" t="n"/>
      <c r="I70" s="67">
        <f>IF($H70="","",IFERROR(INDEX(Action_Status_Map!$B$5:$B$11,MATCH($H70,Action_Status_Map!$A$5:$A$11,0)),""))</f>
        <v/>
      </c>
      <c r="J70" s="82" t="n"/>
      <c r="K70" s="82" t="n"/>
      <c r="L70" s="82" t="n"/>
      <c r="M70" s="83" t="n"/>
      <c r="N70" s="83" t="n"/>
      <c r="O70" s="66">
        <f>IF(OR($M70="",$N70=""),"",$N70-$M70)</f>
        <v/>
      </c>
      <c r="P70" s="84">
        <f>IF($J70="","",IF($L70&lt;&gt;"",$L70-$J70,TODAY()-$J70))</f>
        <v/>
      </c>
      <c r="Q70" s="85">
        <f>IF(OR($K70="",$H70="Completed",$H70="Cancelled"),"",IF(AND($K70&lt;TODAY(),$H70&lt;&gt;"Completed",$H70&lt;&gt;"Cancelled"),"Overdue","On Track"))</f>
        <v/>
      </c>
      <c r="R70" s="81" t="n"/>
      <c r="S70" s="81">
        <f>IF($B70="","",IFERROR(INDEX(Task_Tracker!$AA$5:$AA$1004,MATCH($B70,Task_Tracker!$A$5:$A$1004,0)),""))</f>
        <v/>
      </c>
      <c r="T70" s="81">
        <f>IF($B70="","",IFERROR(INDEX(Task_Tracker!$AB$5:$AB$1004,MATCH($B70,Task_Tracker!$A$5:$A$1004,0)),""))</f>
        <v/>
      </c>
      <c r="U70" s="78">
        <f>IF($B70="","",IFERROR(INDEX(Task_Tracker!$F$5:$F$1004,MATCH($B70,Task_Tracker!$A$5:$A$1004,0)),""))</f>
        <v/>
      </c>
      <c r="V70" s="78">
        <f>IF($B70="","",IFERROR(INDEX(Task_Tracker!$I$5:$I$1004,MATCH($B70,Task_Tracker!$A$5:$A$1004,0)),""))</f>
        <v/>
      </c>
      <c r="W70" s="81">
        <f>IF(OR($D70="",$B70=""),"",$D70&amp;" | "&amp;$B70)</f>
        <v/>
      </c>
      <c r="X70" s="85">
        <f>IF($K70="","",TEXT($K70,"yyyy-mm"))</f>
        <v/>
      </c>
      <c r="Y70" s="81">
        <f>IF(OR($A70="",$T70=""),"","Included in Manager_Report")</f>
        <v/>
      </c>
    </row>
    <row r="71" ht="15" customHeight="1" s="40">
      <c r="A71" s="65">
        <f>IF(COUNTA(B71:G71)=0,"","STP-"&amp;TEXT(ROW()-4,"0000"))</f>
        <v/>
      </c>
      <c r="B71" s="78" t="n"/>
      <c r="C71" s="67">
        <f>IF($B71="","",IFERROR(INDEX(Task_Tracker!$D$5:$D$1004,MATCH($B71,Task_Tracker!$A$5:$A$1004,0)),""))</f>
        <v/>
      </c>
      <c r="D71" s="67">
        <f>IF($B71="","",IFERROR(INDEX(Task_Tracker!$B$5:$B$1004,MATCH($B71,Task_Tracker!$A$5:$A$1004,0)),""))</f>
        <v/>
      </c>
      <c r="E71" s="81" t="n"/>
      <c r="F71" s="81" t="n"/>
      <c r="G71" s="78" t="n"/>
      <c r="H71" s="78" t="n"/>
      <c r="I71" s="67">
        <f>IF($H71="","",IFERROR(INDEX(Action_Status_Map!$B$5:$B$11,MATCH($H71,Action_Status_Map!$A$5:$A$11,0)),""))</f>
        <v/>
      </c>
      <c r="J71" s="82" t="n"/>
      <c r="K71" s="82" t="n"/>
      <c r="L71" s="82" t="n"/>
      <c r="M71" s="83" t="n"/>
      <c r="N71" s="83" t="n"/>
      <c r="O71" s="66">
        <f>IF(OR($M71="",$N71=""),"",$N71-$M71)</f>
        <v/>
      </c>
      <c r="P71" s="84">
        <f>IF($J71="","",IF($L71&lt;&gt;"",$L71-$J71,TODAY()-$J71))</f>
        <v/>
      </c>
      <c r="Q71" s="85">
        <f>IF(OR($K71="",$H71="Completed",$H71="Cancelled"),"",IF(AND($K71&lt;TODAY(),$H71&lt;&gt;"Completed",$H71&lt;&gt;"Cancelled"),"Overdue","On Track"))</f>
        <v/>
      </c>
      <c r="R71" s="81" t="n"/>
      <c r="S71" s="81">
        <f>IF($B71="","",IFERROR(INDEX(Task_Tracker!$AA$5:$AA$1004,MATCH($B71,Task_Tracker!$A$5:$A$1004,0)),""))</f>
        <v/>
      </c>
      <c r="T71" s="81">
        <f>IF($B71="","",IFERROR(INDEX(Task_Tracker!$AB$5:$AB$1004,MATCH($B71,Task_Tracker!$A$5:$A$1004,0)),""))</f>
        <v/>
      </c>
      <c r="U71" s="78">
        <f>IF($B71="","",IFERROR(INDEX(Task_Tracker!$F$5:$F$1004,MATCH($B71,Task_Tracker!$A$5:$A$1004,0)),""))</f>
        <v/>
      </c>
      <c r="V71" s="78">
        <f>IF($B71="","",IFERROR(INDEX(Task_Tracker!$I$5:$I$1004,MATCH($B71,Task_Tracker!$A$5:$A$1004,0)),""))</f>
        <v/>
      </c>
      <c r="W71" s="81">
        <f>IF(OR($D71="",$B71=""),"",$D71&amp;" | "&amp;$B71)</f>
        <v/>
      </c>
      <c r="X71" s="85">
        <f>IF($K71="","",TEXT($K71,"yyyy-mm"))</f>
        <v/>
      </c>
      <c r="Y71" s="81">
        <f>IF(OR($A71="",$T71=""),"","Included in Manager_Report")</f>
        <v/>
      </c>
    </row>
    <row r="72" ht="15" customHeight="1" s="40">
      <c r="A72" s="65">
        <f>IF(COUNTA(B72:G72)=0,"","STP-"&amp;TEXT(ROW()-4,"0000"))</f>
        <v/>
      </c>
      <c r="B72" s="78" t="n"/>
      <c r="C72" s="67">
        <f>IF($B72="","",IFERROR(INDEX(Task_Tracker!$D$5:$D$1004,MATCH($B72,Task_Tracker!$A$5:$A$1004,0)),""))</f>
        <v/>
      </c>
      <c r="D72" s="67">
        <f>IF($B72="","",IFERROR(INDEX(Task_Tracker!$B$5:$B$1004,MATCH($B72,Task_Tracker!$A$5:$A$1004,0)),""))</f>
        <v/>
      </c>
      <c r="E72" s="81" t="n"/>
      <c r="F72" s="81" t="n"/>
      <c r="G72" s="78" t="n"/>
      <c r="H72" s="78" t="n"/>
      <c r="I72" s="67">
        <f>IF($H72="","",IFERROR(INDEX(Action_Status_Map!$B$5:$B$11,MATCH($H72,Action_Status_Map!$A$5:$A$11,0)),""))</f>
        <v/>
      </c>
      <c r="J72" s="82" t="n"/>
      <c r="K72" s="82" t="n"/>
      <c r="L72" s="82" t="n"/>
      <c r="M72" s="83" t="n"/>
      <c r="N72" s="83" t="n"/>
      <c r="O72" s="66">
        <f>IF(OR($M72="",$N72=""),"",$N72-$M72)</f>
        <v/>
      </c>
      <c r="P72" s="84">
        <f>IF($J72="","",IF($L72&lt;&gt;"",$L72-$J72,TODAY()-$J72))</f>
        <v/>
      </c>
      <c r="Q72" s="85">
        <f>IF(OR($K72="",$H72="Completed",$H72="Cancelled"),"",IF(AND($K72&lt;TODAY(),$H72&lt;&gt;"Completed",$H72&lt;&gt;"Cancelled"),"Overdue","On Track"))</f>
        <v/>
      </c>
      <c r="R72" s="81" t="n"/>
      <c r="S72" s="81">
        <f>IF($B72="","",IFERROR(INDEX(Task_Tracker!$AA$5:$AA$1004,MATCH($B72,Task_Tracker!$A$5:$A$1004,0)),""))</f>
        <v/>
      </c>
      <c r="T72" s="81">
        <f>IF($B72="","",IFERROR(INDEX(Task_Tracker!$AB$5:$AB$1004,MATCH($B72,Task_Tracker!$A$5:$A$1004,0)),""))</f>
        <v/>
      </c>
      <c r="U72" s="78">
        <f>IF($B72="","",IFERROR(INDEX(Task_Tracker!$F$5:$F$1004,MATCH($B72,Task_Tracker!$A$5:$A$1004,0)),""))</f>
        <v/>
      </c>
      <c r="V72" s="78">
        <f>IF($B72="","",IFERROR(INDEX(Task_Tracker!$I$5:$I$1004,MATCH($B72,Task_Tracker!$A$5:$A$1004,0)),""))</f>
        <v/>
      </c>
      <c r="W72" s="81">
        <f>IF(OR($D72="",$B72=""),"",$D72&amp;" | "&amp;$B72)</f>
        <v/>
      </c>
      <c r="X72" s="85">
        <f>IF($K72="","",TEXT($K72,"yyyy-mm"))</f>
        <v/>
      </c>
      <c r="Y72" s="81">
        <f>IF(OR($A72="",$T72=""),"","Included in Manager_Report")</f>
        <v/>
      </c>
    </row>
    <row r="73" ht="15" customHeight="1" s="40">
      <c r="A73" s="65">
        <f>IF(COUNTA(B73:G73)=0,"","STP-"&amp;TEXT(ROW()-4,"0000"))</f>
        <v/>
      </c>
      <c r="B73" s="78" t="n"/>
      <c r="C73" s="67">
        <f>IF($B73="","",IFERROR(INDEX(Task_Tracker!$D$5:$D$1004,MATCH($B73,Task_Tracker!$A$5:$A$1004,0)),""))</f>
        <v/>
      </c>
      <c r="D73" s="67">
        <f>IF($B73="","",IFERROR(INDEX(Task_Tracker!$B$5:$B$1004,MATCH($B73,Task_Tracker!$A$5:$A$1004,0)),""))</f>
        <v/>
      </c>
      <c r="E73" s="81" t="n"/>
      <c r="F73" s="81" t="n"/>
      <c r="G73" s="78" t="n"/>
      <c r="H73" s="78" t="n"/>
      <c r="I73" s="67">
        <f>IF($H73="","",IFERROR(INDEX(Action_Status_Map!$B$5:$B$11,MATCH($H73,Action_Status_Map!$A$5:$A$11,0)),""))</f>
        <v/>
      </c>
      <c r="J73" s="82" t="n"/>
      <c r="K73" s="82" t="n"/>
      <c r="L73" s="82" t="n"/>
      <c r="M73" s="83" t="n"/>
      <c r="N73" s="83" t="n"/>
      <c r="O73" s="66">
        <f>IF(OR($M73="",$N73=""),"",$N73-$M73)</f>
        <v/>
      </c>
      <c r="P73" s="84">
        <f>IF($J73="","",IF($L73&lt;&gt;"",$L73-$J73,TODAY()-$J73))</f>
        <v/>
      </c>
      <c r="Q73" s="85">
        <f>IF(OR($K73="",$H73="Completed",$H73="Cancelled"),"",IF(AND($K73&lt;TODAY(),$H73&lt;&gt;"Completed",$H73&lt;&gt;"Cancelled"),"Overdue","On Track"))</f>
        <v/>
      </c>
      <c r="R73" s="81" t="n"/>
      <c r="S73" s="81">
        <f>IF($B73="","",IFERROR(INDEX(Task_Tracker!$AA$5:$AA$1004,MATCH($B73,Task_Tracker!$A$5:$A$1004,0)),""))</f>
        <v/>
      </c>
      <c r="T73" s="81">
        <f>IF($B73="","",IFERROR(INDEX(Task_Tracker!$AB$5:$AB$1004,MATCH($B73,Task_Tracker!$A$5:$A$1004,0)),""))</f>
        <v/>
      </c>
      <c r="U73" s="78">
        <f>IF($B73="","",IFERROR(INDEX(Task_Tracker!$F$5:$F$1004,MATCH($B73,Task_Tracker!$A$5:$A$1004,0)),""))</f>
        <v/>
      </c>
      <c r="V73" s="78">
        <f>IF($B73="","",IFERROR(INDEX(Task_Tracker!$I$5:$I$1004,MATCH($B73,Task_Tracker!$A$5:$A$1004,0)),""))</f>
        <v/>
      </c>
      <c r="W73" s="81">
        <f>IF(OR($D73="",$B73=""),"",$D73&amp;" | "&amp;$B73)</f>
        <v/>
      </c>
      <c r="X73" s="85">
        <f>IF($K73="","",TEXT($K73,"yyyy-mm"))</f>
        <v/>
      </c>
      <c r="Y73" s="81">
        <f>IF(OR($A73="",$T73=""),"","Included in Manager_Report")</f>
        <v/>
      </c>
    </row>
    <row r="74" ht="15" customHeight="1" s="40">
      <c r="A74" s="65">
        <f>IF(COUNTA(B74:G74)=0,"","STP-"&amp;TEXT(ROW()-4,"0000"))</f>
        <v/>
      </c>
      <c r="B74" s="78" t="n"/>
      <c r="C74" s="67">
        <f>IF($B74="","",IFERROR(INDEX(Task_Tracker!$D$5:$D$1004,MATCH($B74,Task_Tracker!$A$5:$A$1004,0)),""))</f>
        <v/>
      </c>
      <c r="D74" s="67">
        <f>IF($B74="","",IFERROR(INDEX(Task_Tracker!$B$5:$B$1004,MATCH($B74,Task_Tracker!$A$5:$A$1004,0)),""))</f>
        <v/>
      </c>
      <c r="E74" s="81" t="n"/>
      <c r="F74" s="81" t="n"/>
      <c r="G74" s="78" t="n"/>
      <c r="H74" s="78" t="n"/>
      <c r="I74" s="67">
        <f>IF($H74="","",IFERROR(INDEX(Action_Status_Map!$B$5:$B$11,MATCH($H74,Action_Status_Map!$A$5:$A$11,0)),""))</f>
        <v/>
      </c>
      <c r="J74" s="82" t="n"/>
      <c r="K74" s="82" t="n"/>
      <c r="L74" s="82" t="n"/>
      <c r="M74" s="83" t="n"/>
      <c r="N74" s="83" t="n"/>
      <c r="O74" s="66">
        <f>IF(OR($M74="",$N74=""),"",$N74-$M74)</f>
        <v/>
      </c>
      <c r="P74" s="84">
        <f>IF($J74="","",IF($L74&lt;&gt;"",$L74-$J74,TODAY()-$J74))</f>
        <v/>
      </c>
      <c r="Q74" s="85">
        <f>IF(OR($K74="",$H74="Completed",$H74="Cancelled"),"",IF(AND($K74&lt;TODAY(),$H74&lt;&gt;"Completed",$H74&lt;&gt;"Cancelled"),"Overdue","On Track"))</f>
        <v/>
      </c>
      <c r="R74" s="81" t="n"/>
      <c r="S74" s="81">
        <f>IF($B74="","",IFERROR(INDEX(Task_Tracker!$AA$5:$AA$1004,MATCH($B74,Task_Tracker!$A$5:$A$1004,0)),""))</f>
        <v/>
      </c>
      <c r="T74" s="81">
        <f>IF($B74="","",IFERROR(INDEX(Task_Tracker!$AB$5:$AB$1004,MATCH($B74,Task_Tracker!$A$5:$A$1004,0)),""))</f>
        <v/>
      </c>
      <c r="U74" s="78">
        <f>IF($B74="","",IFERROR(INDEX(Task_Tracker!$F$5:$F$1004,MATCH($B74,Task_Tracker!$A$5:$A$1004,0)),""))</f>
        <v/>
      </c>
      <c r="V74" s="78">
        <f>IF($B74="","",IFERROR(INDEX(Task_Tracker!$I$5:$I$1004,MATCH($B74,Task_Tracker!$A$5:$A$1004,0)),""))</f>
        <v/>
      </c>
      <c r="W74" s="81">
        <f>IF(OR($D74="",$B74=""),"",$D74&amp;" | "&amp;$B74)</f>
        <v/>
      </c>
      <c r="X74" s="85">
        <f>IF($K74="","",TEXT($K74,"yyyy-mm"))</f>
        <v/>
      </c>
      <c r="Y74" s="81">
        <f>IF(OR($A74="",$T74=""),"","Included in Manager_Report")</f>
        <v/>
      </c>
    </row>
    <row r="75" ht="15" customHeight="1" s="40">
      <c r="A75" s="65">
        <f>IF(COUNTA(B75:G75)=0,"","STP-"&amp;TEXT(ROW()-4,"0000"))</f>
        <v/>
      </c>
      <c r="B75" s="78" t="n"/>
      <c r="C75" s="67">
        <f>IF($B75="","",IFERROR(INDEX(Task_Tracker!$D$5:$D$1004,MATCH($B75,Task_Tracker!$A$5:$A$1004,0)),""))</f>
        <v/>
      </c>
      <c r="D75" s="67">
        <f>IF($B75="","",IFERROR(INDEX(Task_Tracker!$B$5:$B$1004,MATCH($B75,Task_Tracker!$A$5:$A$1004,0)),""))</f>
        <v/>
      </c>
      <c r="E75" s="81" t="n"/>
      <c r="F75" s="81" t="n"/>
      <c r="G75" s="78" t="n"/>
      <c r="H75" s="78" t="n"/>
      <c r="I75" s="67">
        <f>IF($H75="","",IFERROR(INDEX(Action_Status_Map!$B$5:$B$11,MATCH($H75,Action_Status_Map!$A$5:$A$11,0)),""))</f>
        <v/>
      </c>
      <c r="J75" s="82" t="n"/>
      <c r="K75" s="82" t="n"/>
      <c r="L75" s="82" t="n"/>
      <c r="M75" s="83" t="n"/>
      <c r="N75" s="83" t="n"/>
      <c r="O75" s="66">
        <f>IF(OR($M75="",$N75=""),"",$N75-$M75)</f>
        <v/>
      </c>
      <c r="P75" s="84">
        <f>IF($J75="","",IF($L75&lt;&gt;"",$L75-$J75,TODAY()-$J75))</f>
        <v/>
      </c>
      <c r="Q75" s="85">
        <f>IF(OR($K75="",$H75="Completed",$H75="Cancelled"),"",IF(AND($K75&lt;TODAY(),$H75&lt;&gt;"Completed",$H75&lt;&gt;"Cancelled"),"Overdue","On Track"))</f>
        <v/>
      </c>
      <c r="R75" s="81" t="n"/>
      <c r="S75" s="81">
        <f>IF($B75="","",IFERROR(INDEX(Task_Tracker!$AA$5:$AA$1004,MATCH($B75,Task_Tracker!$A$5:$A$1004,0)),""))</f>
        <v/>
      </c>
      <c r="T75" s="81">
        <f>IF($B75="","",IFERROR(INDEX(Task_Tracker!$AB$5:$AB$1004,MATCH($B75,Task_Tracker!$A$5:$A$1004,0)),""))</f>
        <v/>
      </c>
      <c r="U75" s="78">
        <f>IF($B75="","",IFERROR(INDEX(Task_Tracker!$F$5:$F$1004,MATCH($B75,Task_Tracker!$A$5:$A$1004,0)),""))</f>
        <v/>
      </c>
      <c r="V75" s="78">
        <f>IF($B75="","",IFERROR(INDEX(Task_Tracker!$I$5:$I$1004,MATCH($B75,Task_Tracker!$A$5:$A$1004,0)),""))</f>
        <v/>
      </c>
      <c r="W75" s="81">
        <f>IF(OR($D75="",$B75=""),"",$D75&amp;" | "&amp;$B75)</f>
        <v/>
      </c>
      <c r="X75" s="85">
        <f>IF($K75="","",TEXT($K75,"yyyy-mm"))</f>
        <v/>
      </c>
      <c r="Y75" s="81">
        <f>IF(OR($A75="",$T75=""),"","Included in Manager_Report")</f>
        <v/>
      </c>
    </row>
    <row r="76" ht="15" customHeight="1" s="40">
      <c r="A76" s="65">
        <f>IF(COUNTA(B76:G76)=0,"","STP-"&amp;TEXT(ROW()-4,"0000"))</f>
        <v/>
      </c>
      <c r="B76" s="78" t="n"/>
      <c r="C76" s="67">
        <f>IF($B76="","",IFERROR(INDEX(Task_Tracker!$D$5:$D$1004,MATCH($B76,Task_Tracker!$A$5:$A$1004,0)),""))</f>
        <v/>
      </c>
      <c r="D76" s="67">
        <f>IF($B76="","",IFERROR(INDEX(Task_Tracker!$B$5:$B$1004,MATCH($B76,Task_Tracker!$A$5:$A$1004,0)),""))</f>
        <v/>
      </c>
      <c r="E76" s="81" t="n"/>
      <c r="F76" s="81" t="n"/>
      <c r="G76" s="78" t="n"/>
      <c r="H76" s="78" t="n"/>
      <c r="I76" s="67">
        <f>IF($H76="","",IFERROR(INDEX(Action_Status_Map!$B$5:$B$11,MATCH($H76,Action_Status_Map!$A$5:$A$11,0)),""))</f>
        <v/>
      </c>
      <c r="J76" s="82" t="n"/>
      <c r="K76" s="82" t="n"/>
      <c r="L76" s="82" t="n"/>
      <c r="M76" s="83" t="n"/>
      <c r="N76" s="83" t="n"/>
      <c r="O76" s="66">
        <f>IF(OR($M76="",$N76=""),"",$N76-$M76)</f>
        <v/>
      </c>
      <c r="P76" s="84">
        <f>IF($J76="","",IF($L76&lt;&gt;"",$L76-$J76,TODAY()-$J76))</f>
        <v/>
      </c>
      <c r="Q76" s="85">
        <f>IF(OR($K76="",$H76="Completed",$H76="Cancelled"),"",IF(AND($K76&lt;TODAY(),$H76&lt;&gt;"Completed",$H76&lt;&gt;"Cancelled"),"Overdue","On Track"))</f>
        <v/>
      </c>
      <c r="R76" s="81" t="n"/>
      <c r="S76" s="81">
        <f>IF($B76="","",IFERROR(INDEX(Task_Tracker!$AA$5:$AA$1004,MATCH($B76,Task_Tracker!$A$5:$A$1004,0)),""))</f>
        <v/>
      </c>
      <c r="T76" s="81">
        <f>IF($B76="","",IFERROR(INDEX(Task_Tracker!$AB$5:$AB$1004,MATCH($B76,Task_Tracker!$A$5:$A$1004,0)),""))</f>
        <v/>
      </c>
      <c r="U76" s="78">
        <f>IF($B76="","",IFERROR(INDEX(Task_Tracker!$F$5:$F$1004,MATCH($B76,Task_Tracker!$A$5:$A$1004,0)),""))</f>
        <v/>
      </c>
      <c r="V76" s="78">
        <f>IF($B76="","",IFERROR(INDEX(Task_Tracker!$I$5:$I$1004,MATCH($B76,Task_Tracker!$A$5:$A$1004,0)),""))</f>
        <v/>
      </c>
      <c r="W76" s="81">
        <f>IF(OR($D76="",$B76=""),"",$D76&amp;" | "&amp;$B76)</f>
        <v/>
      </c>
      <c r="X76" s="85">
        <f>IF($K76="","",TEXT($K76,"yyyy-mm"))</f>
        <v/>
      </c>
      <c r="Y76" s="81">
        <f>IF(OR($A76="",$T76=""),"","Included in Manager_Report")</f>
        <v/>
      </c>
    </row>
    <row r="77" ht="15" customHeight="1" s="40">
      <c r="A77" s="65">
        <f>IF(COUNTA(B77:G77)=0,"","STP-"&amp;TEXT(ROW()-4,"0000"))</f>
        <v/>
      </c>
      <c r="B77" s="78" t="n"/>
      <c r="C77" s="67">
        <f>IF($B77="","",IFERROR(INDEX(Task_Tracker!$D$5:$D$1004,MATCH($B77,Task_Tracker!$A$5:$A$1004,0)),""))</f>
        <v/>
      </c>
      <c r="D77" s="67">
        <f>IF($B77="","",IFERROR(INDEX(Task_Tracker!$B$5:$B$1004,MATCH($B77,Task_Tracker!$A$5:$A$1004,0)),""))</f>
        <v/>
      </c>
      <c r="E77" s="81" t="n"/>
      <c r="F77" s="81" t="n"/>
      <c r="G77" s="78" t="n"/>
      <c r="H77" s="78" t="n"/>
      <c r="I77" s="67">
        <f>IF($H77="","",IFERROR(INDEX(Action_Status_Map!$B$5:$B$11,MATCH($H77,Action_Status_Map!$A$5:$A$11,0)),""))</f>
        <v/>
      </c>
      <c r="J77" s="82" t="n"/>
      <c r="K77" s="82" t="n"/>
      <c r="L77" s="82" t="n"/>
      <c r="M77" s="83" t="n"/>
      <c r="N77" s="83" t="n"/>
      <c r="O77" s="66">
        <f>IF(OR($M77="",$N77=""),"",$N77-$M77)</f>
        <v/>
      </c>
      <c r="P77" s="84">
        <f>IF($J77="","",IF($L77&lt;&gt;"",$L77-$J77,TODAY()-$J77))</f>
        <v/>
      </c>
      <c r="Q77" s="85">
        <f>IF(OR($K77="",$H77="Completed",$H77="Cancelled"),"",IF(AND($K77&lt;TODAY(),$H77&lt;&gt;"Completed",$H77&lt;&gt;"Cancelled"),"Overdue","On Track"))</f>
        <v/>
      </c>
      <c r="R77" s="81" t="n"/>
      <c r="S77" s="81">
        <f>IF($B77="","",IFERROR(INDEX(Task_Tracker!$AA$5:$AA$1004,MATCH($B77,Task_Tracker!$A$5:$A$1004,0)),""))</f>
        <v/>
      </c>
      <c r="T77" s="81">
        <f>IF($B77="","",IFERROR(INDEX(Task_Tracker!$AB$5:$AB$1004,MATCH($B77,Task_Tracker!$A$5:$A$1004,0)),""))</f>
        <v/>
      </c>
      <c r="U77" s="78">
        <f>IF($B77="","",IFERROR(INDEX(Task_Tracker!$F$5:$F$1004,MATCH($B77,Task_Tracker!$A$5:$A$1004,0)),""))</f>
        <v/>
      </c>
      <c r="V77" s="78">
        <f>IF($B77="","",IFERROR(INDEX(Task_Tracker!$I$5:$I$1004,MATCH($B77,Task_Tracker!$A$5:$A$1004,0)),""))</f>
        <v/>
      </c>
      <c r="W77" s="81">
        <f>IF(OR($D77="",$B77=""),"",$D77&amp;" | "&amp;$B77)</f>
        <v/>
      </c>
      <c r="X77" s="85">
        <f>IF($K77="","",TEXT($K77,"yyyy-mm"))</f>
        <v/>
      </c>
      <c r="Y77" s="81">
        <f>IF(OR($A77="",$T77=""),"","Included in Manager_Report")</f>
        <v/>
      </c>
    </row>
    <row r="78" ht="15" customHeight="1" s="40">
      <c r="A78" s="65">
        <f>IF(COUNTA(B78:G78)=0,"","STP-"&amp;TEXT(ROW()-4,"0000"))</f>
        <v/>
      </c>
      <c r="B78" s="78" t="n"/>
      <c r="C78" s="67">
        <f>IF($B78="","",IFERROR(INDEX(Task_Tracker!$D$5:$D$1004,MATCH($B78,Task_Tracker!$A$5:$A$1004,0)),""))</f>
        <v/>
      </c>
      <c r="D78" s="67">
        <f>IF($B78="","",IFERROR(INDEX(Task_Tracker!$B$5:$B$1004,MATCH($B78,Task_Tracker!$A$5:$A$1004,0)),""))</f>
        <v/>
      </c>
      <c r="E78" s="81" t="n"/>
      <c r="F78" s="81" t="n"/>
      <c r="G78" s="78" t="n"/>
      <c r="H78" s="78" t="n"/>
      <c r="I78" s="67">
        <f>IF($H78="","",IFERROR(INDEX(Action_Status_Map!$B$5:$B$11,MATCH($H78,Action_Status_Map!$A$5:$A$11,0)),""))</f>
        <v/>
      </c>
      <c r="J78" s="82" t="n"/>
      <c r="K78" s="82" t="n"/>
      <c r="L78" s="82" t="n"/>
      <c r="M78" s="83" t="n"/>
      <c r="N78" s="83" t="n"/>
      <c r="O78" s="66">
        <f>IF(OR($M78="",$N78=""),"",$N78-$M78)</f>
        <v/>
      </c>
      <c r="P78" s="84">
        <f>IF($J78="","",IF($L78&lt;&gt;"",$L78-$J78,TODAY()-$J78))</f>
        <v/>
      </c>
      <c r="Q78" s="85">
        <f>IF(OR($K78="",$H78="Completed",$H78="Cancelled"),"",IF(AND($K78&lt;TODAY(),$H78&lt;&gt;"Completed",$H78&lt;&gt;"Cancelled"),"Overdue","On Track"))</f>
        <v/>
      </c>
      <c r="R78" s="81" t="n"/>
      <c r="S78" s="81">
        <f>IF($B78="","",IFERROR(INDEX(Task_Tracker!$AA$5:$AA$1004,MATCH($B78,Task_Tracker!$A$5:$A$1004,0)),""))</f>
        <v/>
      </c>
      <c r="T78" s="81">
        <f>IF($B78="","",IFERROR(INDEX(Task_Tracker!$AB$5:$AB$1004,MATCH($B78,Task_Tracker!$A$5:$A$1004,0)),""))</f>
        <v/>
      </c>
      <c r="U78" s="78">
        <f>IF($B78="","",IFERROR(INDEX(Task_Tracker!$F$5:$F$1004,MATCH($B78,Task_Tracker!$A$5:$A$1004,0)),""))</f>
        <v/>
      </c>
      <c r="V78" s="78">
        <f>IF($B78="","",IFERROR(INDEX(Task_Tracker!$I$5:$I$1004,MATCH($B78,Task_Tracker!$A$5:$A$1004,0)),""))</f>
        <v/>
      </c>
      <c r="W78" s="81">
        <f>IF(OR($D78="",$B78=""),"",$D78&amp;" | "&amp;$B78)</f>
        <v/>
      </c>
      <c r="X78" s="85">
        <f>IF($K78="","",TEXT($K78,"yyyy-mm"))</f>
        <v/>
      </c>
      <c r="Y78" s="81">
        <f>IF(OR($A78="",$T78=""),"","Included in Manager_Report")</f>
        <v/>
      </c>
    </row>
    <row r="79" ht="15" customHeight="1" s="40">
      <c r="A79" s="65">
        <f>IF(COUNTA(B79:G79)=0,"","STP-"&amp;TEXT(ROW()-4,"0000"))</f>
        <v/>
      </c>
      <c r="B79" s="78" t="n"/>
      <c r="C79" s="67">
        <f>IF($B79="","",IFERROR(INDEX(Task_Tracker!$D$5:$D$1004,MATCH($B79,Task_Tracker!$A$5:$A$1004,0)),""))</f>
        <v/>
      </c>
      <c r="D79" s="67">
        <f>IF($B79="","",IFERROR(INDEX(Task_Tracker!$B$5:$B$1004,MATCH($B79,Task_Tracker!$A$5:$A$1004,0)),""))</f>
        <v/>
      </c>
      <c r="E79" s="81" t="n"/>
      <c r="F79" s="81" t="n"/>
      <c r="G79" s="78" t="n"/>
      <c r="H79" s="78" t="n"/>
      <c r="I79" s="67">
        <f>IF($H79="","",IFERROR(INDEX(Action_Status_Map!$B$5:$B$11,MATCH($H79,Action_Status_Map!$A$5:$A$11,0)),""))</f>
        <v/>
      </c>
      <c r="J79" s="82" t="n"/>
      <c r="K79" s="82" t="n"/>
      <c r="L79" s="82" t="n"/>
      <c r="M79" s="83" t="n"/>
      <c r="N79" s="83" t="n"/>
      <c r="O79" s="66">
        <f>IF(OR($M79="",$N79=""),"",$N79-$M79)</f>
        <v/>
      </c>
      <c r="P79" s="84">
        <f>IF($J79="","",IF($L79&lt;&gt;"",$L79-$J79,TODAY()-$J79))</f>
        <v/>
      </c>
      <c r="Q79" s="85">
        <f>IF(OR($K79="",$H79="Completed",$H79="Cancelled"),"",IF(AND($K79&lt;TODAY(),$H79&lt;&gt;"Completed",$H79&lt;&gt;"Cancelled"),"Overdue","On Track"))</f>
        <v/>
      </c>
      <c r="R79" s="81" t="n"/>
      <c r="S79" s="81">
        <f>IF($B79="","",IFERROR(INDEX(Task_Tracker!$AA$5:$AA$1004,MATCH($B79,Task_Tracker!$A$5:$A$1004,0)),""))</f>
        <v/>
      </c>
      <c r="T79" s="81">
        <f>IF($B79="","",IFERROR(INDEX(Task_Tracker!$AB$5:$AB$1004,MATCH($B79,Task_Tracker!$A$5:$A$1004,0)),""))</f>
        <v/>
      </c>
      <c r="U79" s="78">
        <f>IF($B79="","",IFERROR(INDEX(Task_Tracker!$F$5:$F$1004,MATCH($B79,Task_Tracker!$A$5:$A$1004,0)),""))</f>
        <v/>
      </c>
      <c r="V79" s="78">
        <f>IF($B79="","",IFERROR(INDEX(Task_Tracker!$I$5:$I$1004,MATCH($B79,Task_Tracker!$A$5:$A$1004,0)),""))</f>
        <v/>
      </c>
      <c r="W79" s="81">
        <f>IF(OR($D79="",$B79=""),"",$D79&amp;" | "&amp;$B79)</f>
        <v/>
      </c>
      <c r="X79" s="85">
        <f>IF($K79="","",TEXT($K79,"yyyy-mm"))</f>
        <v/>
      </c>
      <c r="Y79" s="81">
        <f>IF(OR($A79="",$T79=""),"","Included in Manager_Report")</f>
        <v/>
      </c>
    </row>
    <row r="80" ht="15" customHeight="1" s="40">
      <c r="A80" s="65">
        <f>IF(COUNTA(B80:G80)=0,"","STP-"&amp;TEXT(ROW()-4,"0000"))</f>
        <v/>
      </c>
      <c r="B80" s="78" t="n"/>
      <c r="C80" s="67">
        <f>IF($B80="","",IFERROR(INDEX(Task_Tracker!$D$5:$D$1004,MATCH($B80,Task_Tracker!$A$5:$A$1004,0)),""))</f>
        <v/>
      </c>
      <c r="D80" s="67">
        <f>IF($B80="","",IFERROR(INDEX(Task_Tracker!$B$5:$B$1004,MATCH($B80,Task_Tracker!$A$5:$A$1004,0)),""))</f>
        <v/>
      </c>
      <c r="E80" s="81" t="n"/>
      <c r="F80" s="81" t="n"/>
      <c r="G80" s="78" t="n"/>
      <c r="H80" s="78" t="n"/>
      <c r="I80" s="67">
        <f>IF($H80="","",IFERROR(INDEX(Action_Status_Map!$B$5:$B$11,MATCH($H80,Action_Status_Map!$A$5:$A$11,0)),""))</f>
        <v/>
      </c>
      <c r="J80" s="82" t="n"/>
      <c r="K80" s="82" t="n"/>
      <c r="L80" s="82" t="n"/>
      <c r="M80" s="83" t="n"/>
      <c r="N80" s="83" t="n"/>
      <c r="O80" s="66">
        <f>IF(OR($M80="",$N80=""),"",$N80-$M80)</f>
        <v/>
      </c>
      <c r="P80" s="84">
        <f>IF($J80="","",IF($L80&lt;&gt;"",$L80-$J80,TODAY()-$J80))</f>
        <v/>
      </c>
      <c r="Q80" s="85">
        <f>IF(OR($K80="",$H80="Completed",$H80="Cancelled"),"",IF(AND($K80&lt;TODAY(),$H80&lt;&gt;"Completed",$H80&lt;&gt;"Cancelled"),"Overdue","On Track"))</f>
        <v/>
      </c>
      <c r="R80" s="81" t="n"/>
      <c r="S80" s="81">
        <f>IF($B80="","",IFERROR(INDEX(Task_Tracker!$AA$5:$AA$1004,MATCH($B80,Task_Tracker!$A$5:$A$1004,0)),""))</f>
        <v/>
      </c>
      <c r="T80" s="81">
        <f>IF($B80="","",IFERROR(INDEX(Task_Tracker!$AB$5:$AB$1004,MATCH($B80,Task_Tracker!$A$5:$A$1004,0)),""))</f>
        <v/>
      </c>
      <c r="U80" s="78">
        <f>IF($B80="","",IFERROR(INDEX(Task_Tracker!$F$5:$F$1004,MATCH($B80,Task_Tracker!$A$5:$A$1004,0)),""))</f>
        <v/>
      </c>
      <c r="V80" s="78">
        <f>IF($B80="","",IFERROR(INDEX(Task_Tracker!$I$5:$I$1004,MATCH($B80,Task_Tracker!$A$5:$A$1004,0)),""))</f>
        <v/>
      </c>
      <c r="W80" s="81">
        <f>IF(OR($D80="",$B80=""),"",$D80&amp;" | "&amp;$B80)</f>
        <v/>
      </c>
      <c r="X80" s="85">
        <f>IF($K80="","",TEXT($K80,"yyyy-mm"))</f>
        <v/>
      </c>
      <c r="Y80" s="81">
        <f>IF(OR($A80="",$T80=""),"","Included in Manager_Report")</f>
        <v/>
      </c>
    </row>
    <row r="81" ht="15" customHeight="1" s="40">
      <c r="A81" s="65">
        <f>IF(COUNTA(B81:G81)=0,"","STP-"&amp;TEXT(ROW()-4,"0000"))</f>
        <v/>
      </c>
      <c r="B81" s="78" t="n"/>
      <c r="C81" s="67">
        <f>IF($B81="","",IFERROR(INDEX(Task_Tracker!$D$5:$D$1004,MATCH($B81,Task_Tracker!$A$5:$A$1004,0)),""))</f>
        <v/>
      </c>
      <c r="D81" s="67">
        <f>IF($B81="","",IFERROR(INDEX(Task_Tracker!$B$5:$B$1004,MATCH($B81,Task_Tracker!$A$5:$A$1004,0)),""))</f>
        <v/>
      </c>
      <c r="E81" s="81" t="n"/>
      <c r="F81" s="81" t="n"/>
      <c r="G81" s="78" t="n"/>
      <c r="H81" s="78" t="n"/>
      <c r="I81" s="67">
        <f>IF($H81="","",IFERROR(INDEX(Action_Status_Map!$B$5:$B$11,MATCH($H81,Action_Status_Map!$A$5:$A$11,0)),""))</f>
        <v/>
      </c>
      <c r="J81" s="82" t="n"/>
      <c r="K81" s="82" t="n"/>
      <c r="L81" s="82" t="n"/>
      <c r="M81" s="83" t="n"/>
      <c r="N81" s="83" t="n"/>
      <c r="O81" s="66">
        <f>IF(OR($M81="",$N81=""),"",$N81-$M81)</f>
        <v/>
      </c>
      <c r="P81" s="84">
        <f>IF($J81="","",IF($L81&lt;&gt;"",$L81-$J81,TODAY()-$J81))</f>
        <v/>
      </c>
      <c r="Q81" s="85">
        <f>IF(OR($K81="",$H81="Completed",$H81="Cancelled"),"",IF(AND($K81&lt;TODAY(),$H81&lt;&gt;"Completed",$H81&lt;&gt;"Cancelled"),"Overdue","On Track"))</f>
        <v/>
      </c>
      <c r="R81" s="81" t="n"/>
      <c r="S81" s="81">
        <f>IF($B81="","",IFERROR(INDEX(Task_Tracker!$AA$5:$AA$1004,MATCH($B81,Task_Tracker!$A$5:$A$1004,0)),""))</f>
        <v/>
      </c>
      <c r="T81" s="81">
        <f>IF($B81="","",IFERROR(INDEX(Task_Tracker!$AB$5:$AB$1004,MATCH($B81,Task_Tracker!$A$5:$A$1004,0)),""))</f>
        <v/>
      </c>
      <c r="U81" s="78">
        <f>IF($B81="","",IFERROR(INDEX(Task_Tracker!$F$5:$F$1004,MATCH($B81,Task_Tracker!$A$5:$A$1004,0)),""))</f>
        <v/>
      </c>
      <c r="V81" s="78">
        <f>IF($B81="","",IFERROR(INDEX(Task_Tracker!$I$5:$I$1004,MATCH($B81,Task_Tracker!$A$5:$A$1004,0)),""))</f>
        <v/>
      </c>
      <c r="W81" s="81">
        <f>IF(OR($D81="",$B81=""),"",$D81&amp;" | "&amp;$B81)</f>
        <v/>
      </c>
      <c r="X81" s="85">
        <f>IF($K81="","",TEXT($K81,"yyyy-mm"))</f>
        <v/>
      </c>
      <c r="Y81" s="81">
        <f>IF(OR($A81="",$T81=""),"","Included in Manager_Report")</f>
        <v/>
      </c>
    </row>
    <row r="82" ht="15" customHeight="1" s="40">
      <c r="A82" s="65">
        <f>IF(COUNTA(B82:G82)=0,"","STP-"&amp;TEXT(ROW()-4,"0000"))</f>
        <v/>
      </c>
      <c r="B82" s="78" t="n"/>
      <c r="C82" s="67">
        <f>IF($B82="","",IFERROR(INDEX(Task_Tracker!$D$5:$D$1004,MATCH($B82,Task_Tracker!$A$5:$A$1004,0)),""))</f>
        <v/>
      </c>
      <c r="D82" s="67">
        <f>IF($B82="","",IFERROR(INDEX(Task_Tracker!$B$5:$B$1004,MATCH($B82,Task_Tracker!$A$5:$A$1004,0)),""))</f>
        <v/>
      </c>
      <c r="E82" s="81" t="n"/>
      <c r="F82" s="81" t="n"/>
      <c r="G82" s="78" t="n"/>
      <c r="H82" s="78" t="n"/>
      <c r="I82" s="67">
        <f>IF($H82="","",IFERROR(INDEX(Action_Status_Map!$B$5:$B$11,MATCH($H82,Action_Status_Map!$A$5:$A$11,0)),""))</f>
        <v/>
      </c>
      <c r="J82" s="82" t="n"/>
      <c r="K82" s="82" t="n"/>
      <c r="L82" s="82" t="n"/>
      <c r="M82" s="83" t="n"/>
      <c r="N82" s="83" t="n"/>
      <c r="O82" s="66">
        <f>IF(OR($M82="",$N82=""),"",$N82-$M82)</f>
        <v/>
      </c>
      <c r="P82" s="84">
        <f>IF($J82="","",IF($L82&lt;&gt;"",$L82-$J82,TODAY()-$J82))</f>
        <v/>
      </c>
      <c r="Q82" s="85">
        <f>IF(OR($K82="",$H82="Completed",$H82="Cancelled"),"",IF(AND($K82&lt;TODAY(),$H82&lt;&gt;"Completed",$H82&lt;&gt;"Cancelled"),"Overdue","On Track"))</f>
        <v/>
      </c>
      <c r="R82" s="81" t="n"/>
      <c r="S82" s="81">
        <f>IF($B82="","",IFERROR(INDEX(Task_Tracker!$AA$5:$AA$1004,MATCH($B82,Task_Tracker!$A$5:$A$1004,0)),""))</f>
        <v/>
      </c>
      <c r="T82" s="81">
        <f>IF($B82="","",IFERROR(INDEX(Task_Tracker!$AB$5:$AB$1004,MATCH($B82,Task_Tracker!$A$5:$A$1004,0)),""))</f>
        <v/>
      </c>
      <c r="U82" s="78">
        <f>IF($B82="","",IFERROR(INDEX(Task_Tracker!$F$5:$F$1004,MATCH($B82,Task_Tracker!$A$5:$A$1004,0)),""))</f>
        <v/>
      </c>
      <c r="V82" s="78">
        <f>IF($B82="","",IFERROR(INDEX(Task_Tracker!$I$5:$I$1004,MATCH($B82,Task_Tracker!$A$5:$A$1004,0)),""))</f>
        <v/>
      </c>
      <c r="W82" s="81">
        <f>IF(OR($D82="",$B82=""),"",$D82&amp;" | "&amp;$B82)</f>
        <v/>
      </c>
      <c r="X82" s="85">
        <f>IF($K82="","",TEXT($K82,"yyyy-mm"))</f>
        <v/>
      </c>
      <c r="Y82" s="81">
        <f>IF(OR($A82="",$T82=""),"","Included in Manager_Report")</f>
        <v/>
      </c>
    </row>
    <row r="83" ht="15" customHeight="1" s="40">
      <c r="A83" s="65">
        <f>IF(COUNTA(B83:G83)=0,"","STP-"&amp;TEXT(ROW()-4,"0000"))</f>
        <v/>
      </c>
      <c r="B83" s="78" t="n"/>
      <c r="C83" s="67">
        <f>IF($B83="","",IFERROR(INDEX(Task_Tracker!$D$5:$D$1004,MATCH($B83,Task_Tracker!$A$5:$A$1004,0)),""))</f>
        <v/>
      </c>
      <c r="D83" s="67">
        <f>IF($B83="","",IFERROR(INDEX(Task_Tracker!$B$5:$B$1004,MATCH($B83,Task_Tracker!$A$5:$A$1004,0)),""))</f>
        <v/>
      </c>
      <c r="E83" s="81" t="n"/>
      <c r="F83" s="81" t="n"/>
      <c r="G83" s="78" t="n"/>
      <c r="H83" s="78" t="n"/>
      <c r="I83" s="67">
        <f>IF($H83="","",IFERROR(INDEX(Action_Status_Map!$B$5:$B$11,MATCH($H83,Action_Status_Map!$A$5:$A$11,0)),""))</f>
        <v/>
      </c>
      <c r="J83" s="82" t="n"/>
      <c r="K83" s="82" t="n"/>
      <c r="L83" s="82" t="n"/>
      <c r="M83" s="83" t="n"/>
      <c r="N83" s="83" t="n"/>
      <c r="O83" s="66">
        <f>IF(OR($M83="",$N83=""),"",$N83-$M83)</f>
        <v/>
      </c>
      <c r="P83" s="84">
        <f>IF($J83="","",IF($L83&lt;&gt;"",$L83-$J83,TODAY()-$J83))</f>
        <v/>
      </c>
      <c r="Q83" s="85">
        <f>IF(OR($K83="",$H83="Completed",$H83="Cancelled"),"",IF(AND($K83&lt;TODAY(),$H83&lt;&gt;"Completed",$H83&lt;&gt;"Cancelled"),"Overdue","On Track"))</f>
        <v/>
      </c>
      <c r="R83" s="81" t="n"/>
      <c r="S83" s="81">
        <f>IF($B83="","",IFERROR(INDEX(Task_Tracker!$AA$5:$AA$1004,MATCH($B83,Task_Tracker!$A$5:$A$1004,0)),""))</f>
        <v/>
      </c>
      <c r="T83" s="81">
        <f>IF($B83="","",IFERROR(INDEX(Task_Tracker!$AB$5:$AB$1004,MATCH($B83,Task_Tracker!$A$5:$A$1004,0)),""))</f>
        <v/>
      </c>
      <c r="U83" s="78">
        <f>IF($B83="","",IFERROR(INDEX(Task_Tracker!$F$5:$F$1004,MATCH($B83,Task_Tracker!$A$5:$A$1004,0)),""))</f>
        <v/>
      </c>
      <c r="V83" s="78">
        <f>IF($B83="","",IFERROR(INDEX(Task_Tracker!$I$5:$I$1004,MATCH($B83,Task_Tracker!$A$5:$A$1004,0)),""))</f>
        <v/>
      </c>
      <c r="W83" s="81">
        <f>IF(OR($D83="",$B83=""),"",$D83&amp;" | "&amp;$B83)</f>
        <v/>
      </c>
      <c r="X83" s="85">
        <f>IF($K83="","",TEXT($K83,"yyyy-mm"))</f>
        <v/>
      </c>
      <c r="Y83" s="81">
        <f>IF(OR($A83="",$T83=""),"","Included in Manager_Report")</f>
        <v/>
      </c>
    </row>
    <row r="84" ht="15" customHeight="1" s="40">
      <c r="A84" s="65">
        <f>IF(COUNTA(B84:G84)=0,"","STP-"&amp;TEXT(ROW()-4,"0000"))</f>
        <v/>
      </c>
      <c r="B84" s="78" t="n"/>
      <c r="C84" s="67">
        <f>IF($B84="","",IFERROR(INDEX(Task_Tracker!$D$5:$D$1004,MATCH($B84,Task_Tracker!$A$5:$A$1004,0)),""))</f>
        <v/>
      </c>
      <c r="D84" s="67">
        <f>IF($B84="","",IFERROR(INDEX(Task_Tracker!$B$5:$B$1004,MATCH($B84,Task_Tracker!$A$5:$A$1004,0)),""))</f>
        <v/>
      </c>
      <c r="E84" s="81" t="n"/>
      <c r="F84" s="81" t="n"/>
      <c r="G84" s="78" t="n"/>
      <c r="H84" s="78" t="n"/>
      <c r="I84" s="67">
        <f>IF($H84="","",IFERROR(INDEX(Action_Status_Map!$B$5:$B$11,MATCH($H84,Action_Status_Map!$A$5:$A$11,0)),""))</f>
        <v/>
      </c>
      <c r="J84" s="82" t="n"/>
      <c r="K84" s="82" t="n"/>
      <c r="L84" s="82" t="n"/>
      <c r="M84" s="83" t="n"/>
      <c r="N84" s="83" t="n"/>
      <c r="O84" s="66">
        <f>IF(OR($M84="",$N84=""),"",$N84-$M84)</f>
        <v/>
      </c>
      <c r="P84" s="84">
        <f>IF($J84="","",IF($L84&lt;&gt;"",$L84-$J84,TODAY()-$J84))</f>
        <v/>
      </c>
      <c r="Q84" s="85">
        <f>IF(OR($K84="",$H84="Completed",$H84="Cancelled"),"",IF(AND($K84&lt;TODAY(),$H84&lt;&gt;"Completed",$H84&lt;&gt;"Cancelled"),"Overdue","On Track"))</f>
        <v/>
      </c>
      <c r="R84" s="81" t="n"/>
      <c r="S84" s="81">
        <f>IF($B84="","",IFERROR(INDEX(Task_Tracker!$AA$5:$AA$1004,MATCH($B84,Task_Tracker!$A$5:$A$1004,0)),""))</f>
        <v/>
      </c>
      <c r="T84" s="81">
        <f>IF($B84="","",IFERROR(INDEX(Task_Tracker!$AB$5:$AB$1004,MATCH($B84,Task_Tracker!$A$5:$A$1004,0)),""))</f>
        <v/>
      </c>
      <c r="U84" s="78">
        <f>IF($B84="","",IFERROR(INDEX(Task_Tracker!$F$5:$F$1004,MATCH($B84,Task_Tracker!$A$5:$A$1004,0)),""))</f>
        <v/>
      </c>
      <c r="V84" s="78">
        <f>IF($B84="","",IFERROR(INDEX(Task_Tracker!$I$5:$I$1004,MATCH($B84,Task_Tracker!$A$5:$A$1004,0)),""))</f>
        <v/>
      </c>
      <c r="W84" s="81">
        <f>IF(OR($D84="",$B84=""),"",$D84&amp;" | "&amp;$B84)</f>
        <v/>
      </c>
      <c r="X84" s="85">
        <f>IF($K84="","",TEXT($K84,"yyyy-mm"))</f>
        <v/>
      </c>
      <c r="Y84" s="81">
        <f>IF(OR($A84="",$T84=""),"","Included in Manager_Report")</f>
        <v/>
      </c>
    </row>
    <row r="85" ht="15" customHeight="1" s="40">
      <c r="A85" s="65">
        <f>IF(COUNTA(B85:G85)=0,"","STP-"&amp;TEXT(ROW()-4,"0000"))</f>
        <v/>
      </c>
      <c r="B85" s="78" t="n"/>
      <c r="C85" s="67">
        <f>IF($B85="","",IFERROR(INDEX(Task_Tracker!$D$5:$D$1004,MATCH($B85,Task_Tracker!$A$5:$A$1004,0)),""))</f>
        <v/>
      </c>
      <c r="D85" s="67">
        <f>IF($B85="","",IFERROR(INDEX(Task_Tracker!$B$5:$B$1004,MATCH($B85,Task_Tracker!$A$5:$A$1004,0)),""))</f>
        <v/>
      </c>
      <c r="E85" s="81" t="n"/>
      <c r="F85" s="81" t="n"/>
      <c r="G85" s="78" t="n"/>
      <c r="H85" s="78" t="n"/>
      <c r="I85" s="67">
        <f>IF($H85="","",IFERROR(INDEX(Action_Status_Map!$B$5:$B$11,MATCH($H85,Action_Status_Map!$A$5:$A$11,0)),""))</f>
        <v/>
      </c>
      <c r="J85" s="82" t="n"/>
      <c r="K85" s="82" t="n"/>
      <c r="L85" s="82" t="n"/>
      <c r="M85" s="83" t="n"/>
      <c r="N85" s="83" t="n"/>
      <c r="O85" s="66">
        <f>IF(OR($M85="",$N85=""),"",$N85-$M85)</f>
        <v/>
      </c>
      <c r="P85" s="84">
        <f>IF($J85="","",IF($L85&lt;&gt;"",$L85-$J85,TODAY()-$J85))</f>
        <v/>
      </c>
      <c r="Q85" s="85">
        <f>IF(OR($K85="",$H85="Completed",$H85="Cancelled"),"",IF(AND($K85&lt;TODAY(),$H85&lt;&gt;"Completed",$H85&lt;&gt;"Cancelled"),"Overdue","On Track"))</f>
        <v/>
      </c>
      <c r="R85" s="81" t="n"/>
      <c r="S85" s="81">
        <f>IF($B85="","",IFERROR(INDEX(Task_Tracker!$AA$5:$AA$1004,MATCH($B85,Task_Tracker!$A$5:$A$1004,0)),""))</f>
        <v/>
      </c>
      <c r="T85" s="81">
        <f>IF($B85="","",IFERROR(INDEX(Task_Tracker!$AB$5:$AB$1004,MATCH($B85,Task_Tracker!$A$5:$A$1004,0)),""))</f>
        <v/>
      </c>
      <c r="U85" s="78">
        <f>IF($B85="","",IFERROR(INDEX(Task_Tracker!$F$5:$F$1004,MATCH($B85,Task_Tracker!$A$5:$A$1004,0)),""))</f>
        <v/>
      </c>
      <c r="V85" s="78">
        <f>IF($B85="","",IFERROR(INDEX(Task_Tracker!$I$5:$I$1004,MATCH($B85,Task_Tracker!$A$5:$A$1004,0)),""))</f>
        <v/>
      </c>
      <c r="W85" s="81">
        <f>IF(OR($D85="",$B85=""),"",$D85&amp;" | "&amp;$B85)</f>
        <v/>
      </c>
      <c r="X85" s="85">
        <f>IF($K85="","",TEXT($K85,"yyyy-mm"))</f>
        <v/>
      </c>
      <c r="Y85" s="81">
        <f>IF(OR($A85="",$T85=""),"","Included in Manager_Report")</f>
        <v/>
      </c>
    </row>
    <row r="86" ht="15" customHeight="1" s="40">
      <c r="A86" s="65">
        <f>IF(COUNTA(B86:G86)=0,"","STP-"&amp;TEXT(ROW()-4,"0000"))</f>
        <v/>
      </c>
      <c r="B86" s="78" t="n"/>
      <c r="C86" s="67">
        <f>IF($B86="","",IFERROR(INDEX(Task_Tracker!$D$5:$D$1004,MATCH($B86,Task_Tracker!$A$5:$A$1004,0)),""))</f>
        <v/>
      </c>
      <c r="D86" s="67">
        <f>IF($B86="","",IFERROR(INDEX(Task_Tracker!$B$5:$B$1004,MATCH($B86,Task_Tracker!$A$5:$A$1004,0)),""))</f>
        <v/>
      </c>
      <c r="E86" s="81" t="n"/>
      <c r="F86" s="81" t="n"/>
      <c r="G86" s="78" t="n"/>
      <c r="H86" s="78" t="n"/>
      <c r="I86" s="67">
        <f>IF($H86="","",IFERROR(INDEX(Action_Status_Map!$B$5:$B$11,MATCH($H86,Action_Status_Map!$A$5:$A$11,0)),""))</f>
        <v/>
      </c>
      <c r="J86" s="82" t="n"/>
      <c r="K86" s="82" t="n"/>
      <c r="L86" s="82" t="n"/>
      <c r="M86" s="83" t="n"/>
      <c r="N86" s="83" t="n"/>
      <c r="O86" s="66">
        <f>IF(OR($M86="",$N86=""),"",$N86-$M86)</f>
        <v/>
      </c>
      <c r="P86" s="84">
        <f>IF($J86="","",IF($L86&lt;&gt;"",$L86-$J86,TODAY()-$J86))</f>
        <v/>
      </c>
      <c r="Q86" s="85">
        <f>IF(OR($K86="",$H86="Completed",$H86="Cancelled"),"",IF(AND($K86&lt;TODAY(),$H86&lt;&gt;"Completed",$H86&lt;&gt;"Cancelled"),"Overdue","On Track"))</f>
        <v/>
      </c>
      <c r="R86" s="81" t="n"/>
      <c r="S86" s="81">
        <f>IF($B86="","",IFERROR(INDEX(Task_Tracker!$AA$5:$AA$1004,MATCH($B86,Task_Tracker!$A$5:$A$1004,0)),""))</f>
        <v/>
      </c>
      <c r="T86" s="81">
        <f>IF($B86="","",IFERROR(INDEX(Task_Tracker!$AB$5:$AB$1004,MATCH($B86,Task_Tracker!$A$5:$A$1004,0)),""))</f>
        <v/>
      </c>
      <c r="U86" s="78">
        <f>IF($B86="","",IFERROR(INDEX(Task_Tracker!$F$5:$F$1004,MATCH($B86,Task_Tracker!$A$5:$A$1004,0)),""))</f>
        <v/>
      </c>
      <c r="V86" s="78">
        <f>IF($B86="","",IFERROR(INDEX(Task_Tracker!$I$5:$I$1004,MATCH($B86,Task_Tracker!$A$5:$A$1004,0)),""))</f>
        <v/>
      </c>
      <c r="W86" s="81">
        <f>IF(OR($D86="",$B86=""),"",$D86&amp;" | "&amp;$B86)</f>
        <v/>
      </c>
      <c r="X86" s="85">
        <f>IF($K86="","",TEXT($K86,"yyyy-mm"))</f>
        <v/>
      </c>
      <c r="Y86" s="81">
        <f>IF(OR($A86="",$T86=""),"","Included in Manager_Report")</f>
        <v/>
      </c>
    </row>
    <row r="87" ht="15" customHeight="1" s="40">
      <c r="A87" s="65">
        <f>IF(COUNTA(B87:G87)=0,"","STP-"&amp;TEXT(ROW()-4,"0000"))</f>
        <v/>
      </c>
      <c r="B87" s="78" t="n"/>
      <c r="C87" s="67">
        <f>IF($B87="","",IFERROR(INDEX(Task_Tracker!$D$5:$D$1004,MATCH($B87,Task_Tracker!$A$5:$A$1004,0)),""))</f>
        <v/>
      </c>
      <c r="D87" s="67">
        <f>IF($B87="","",IFERROR(INDEX(Task_Tracker!$B$5:$B$1004,MATCH($B87,Task_Tracker!$A$5:$A$1004,0)),""))</f>
        <v/>
      </c>
      <c r="E87" s="81" t="n"/>
      <c r="F87" s="81" t="n"/>
      <c r="G87" s="78" t="n"/>
      <c r="H87" s="78" t="n"/>
      <c r="I87" s="67">
        <f>IF($H87="","",IFERROR(INDEX(Action_Status_Map!$B$5:$B$11,MATCH($H87,Action_Status_Map!$A$5:$A$11,0)),""))</f>
        <v/>
      </c>
      <c r="J87" s="82" t="n"/>
      <c r="K87" s="82" t="n"/>
      <c r="L87" s="82" t="n"/>
      <c r="M87" s="83" t="n"/>
      <c r="N87" s="83" t="n"/>
      <c r="O87" s="66">
        <f>IF(OR($M87="",$N87=""),"",$N87-$M87)</f>
        <v/>
      </c>
      <c r="P87" s="84">
        <f>IF($J87="","",IF($L87&lt;&gt;"",$L87-$J87,TODAY()-$J87))</f>
        <v/>
      </c>
      <c r="Q87" s="85">
        <f>IF(OR($K87="",$H87="Completed",$H87="Cancelled"),"",IF(AND($K87&lt;TODAY(),$H87&lt;&gt;"Completed",$H87&lt;&gt;"Cancelled"),"Overdue","On Track"))</f>
        <v/>
      </c>
      <c r="R87" s="81" t="n"/>
      <c r="S87" s="81">
        <f>IF($B87="","",IFERROR(INDEX(Task_Tracker!$AA$5:$AA$1004,MATCH($B87,Task_Tracker!$A$5:$A$1004,0)),""))</f>
        <v/>
      </c>
      <c r="T87" s="81">
        <f>IF($B87="","",IFERROR(INDEX(Task_Tracker!$AB$5:$AB$1004,MATCH($B87,Task_Tracker!$A$5:$A$1004,0)),""))</f>
        <v/>
      </c>
      <c r="U87" s="78">
        <f>IF($B87="","",IFERROR(INDEX(Task_Tracker!$F$5:$F$1004,MATCH($B87,Task_Tracker!$A$5:$A$1004,0)),""))</f>
        <v/>
      </c>
      <c r="V87" s="78">
        <f>IF($B87="","",IFERROR(INDEX(Task_Tracker!$I$5:$I$1004,MATCH($B87,Task_Tracker!$A$5:$A$1004,0)),""))</f>
        <v/>
      </c>
      <c r="W87" s="81">
        <f>IF(OR($D87="",$B87=""),"",$D87&amp;" | "&amp;$B87)</f>
        <v/>
      </c>
      <c r="X87" s="85">
        <f>IF($K87="","",TEXT($K87,"yyyy-mm"))</f>
        <v/>
      </c>
      <c r="Y87" s="81">
        <f>IF(OR($A87="",$T87=""),"","Included in Manager_Report")</f>
        <v/>
      </c>
    </row>
    <row r="88" ht="15" customHeight="1" s="40">
      <c r="A88" s="65">
        <f>IF(COUNTA(B88:G88)=0,"","STP-"&amp;TEXT(ROW()-4,"0000"))</f>
        <v/>
      </c>
      <c r="B88" s="78" t="n"/>
      <c r="C88" s="67">
        <f>IF($B88="","",IFERROR(INDEX(Task_Tracker!$D$5:$D$1004,MATCH($B88,Task_Tracker!$A$5:$A$1004,0)),""))</f>
        <v/>
      </c>
      <c r="D88" s="67">
        <f>IF($B88="","",IFERROR(INDEX(Task_Tracker!$B$5:$B$1004,MATCH($B88,Task_Tracker!$A$5:$A$1004,0)),""))</f>
        <v/>
      </c>
      <c r="E88" s="81" t="n"/>
      <c r="F88" s="81" t="n"/>
      <c r="G88" s="78" t="n"/>
      <c r="H88" s="78" t="n"/>
      <c r="I88" s="67">
        <f>IF($H88="","",IFERROR(INDEX(Action_Status_Map!$B$5:$B$11,MATCH($H88,Action_Status_Map!$A$5:$A$11,0)),""))</f>
        <v/>
      </c>
      <c r="J88" s="82" t="n"/>
      <c r="K88" s="82" t="n"/>
      <c r="L88" s="82" t="n"/>
      <c r="M88" s="83" t="n"/>
      <c r="N88" s="83" t="n"/>
      <c r="O88" s="66">
        <f>IF(OR($M88="",$N88=""),"",$N88-$M88)</f>
        <v/>
      </c>
      <c r="P88" s="84">
        <f>IF($J88="","",IF($L88&lt;&gt;"",$L88-$J88,TODAY()-$J88))</f>
        <v/>
      </c>
      <c r="Q88" s="85">
        <f>IF(OR($K88="",$H88="Completed",$H88="Cancelled"),"",IF(AND($K88&lt;TODAY(),$H88&lt;&gt;"Completed",$H88&lt;&gt;"Cancelled"),"Overdue","On Track"))</f>
        <v/>
      </c>
      <c r="R88" s="81" t="n"/>
      <c r="S88" s="81">
        <f>IF($B88="","",IFERROR(INDEX(Task_Tracker!$AA$5:$AA$1004,MATCH($B88,Task_Tracker!$A$5:$A$1004,0)),""))</f>
        <v/>
      </c>
      <c r="T88" s="81">
        <f>IF($B88="","",IFERROR(INDEX(Task_Tracker!$AB$5:$AB$1004,MATCH($B88,Task_Tracker!$A$5:$A$1004,0)),""))</f>
        <v/>
      </c>
      <c r="U88" s="78">
        <f>IF($B88="","",IFERROR(INDEX(Task_Tracker!$F$5:$F$1004,MATCH($B88,Task_Tracker!$A$5:$A$1004,0)),""))</f>
        <v/>
      </c>
      <c r="V88" s="78">
        <f>IF($B88="","",IFERROR(INDEX(Task_Tracker!$I$5:$I$1004,MATCH($B88,Task_Tracker!$A$5:$A$1004,0)),""))</f>
        <v/>
      </c>
      <c r="W88" s="81">
        <f>IF(OR($D88="",$B88=""),"",$D88&amp;" | "&amp;$B88)</f>
        <v/>
      </c>
      <c r="X88" s="85">
        <f>IF($K88="","",TEXT($K88,"yyyy-mm"))</f>
        <v/>
      </c>
      <c r="Y88" s="81">
        <f>IF(OR($A88="",$T88=""),"","Included in Manager_Report")</f>
        <v/>
      </c>
    </row>
    <row r="89" ht="15" customHeight="1" s="40">
      <c r="A89" s="65">
        <f>IF(COUNTA(B89:G89)=0,"","STP-"&amp;TEXT(ROW()-4,"0000"))</f>
        <v/>
      </c>
      <c r="B89" s="78" t="n"/>
      <c r="C89" s="67">
        <f>IF($B89="","",IFERROR(INDEX(Task_Tracker!$D$5:$D$1004,MATCH($B89,Task_Tracker!$A$5:$A$1004,0)),""))</f>
        <v/>
      </c>
      <c r="D89" s="67">
        <f>IF($B89="","",IFERROR(INDEX(Task_Tracker!$B$5:$B$1004,MATCH($B89,Task_Tracker!$A$5:$A$1004,0)),""))</f>
        <v/>
      </c>
      <c r="E89" s="81" t="n"/>
      <c r="F89" s="81" t="n"/>
      <c r="G89" s="78" t="n"/>
      <c r="H89" s="78" t="n"/>
      <c r="I89" s="67">
        <f>IF($H89="","",IFERROR(INDEX(Action_Status_Map!$B$5:$B$11,MATCH($H89,Action_Status_Map!$A$5:$A$11,0)),""))</f>
        <v/>
      </c>
      <c r="J89" s="82" t="n"/>
      <c r="K89" s="82" t="n"/>
      <c r="L89" s="82" t="n"/>
      <c r="M89" s="83" t="n"/>
      <c r="N89" s="83" t="n"/>
      <c r="O89" s="66">
        <f>IF(OR($M89="",$N89=""),"",$N89-$M89)</f>
        <v/>
      </c>
      <c r="P89" s="84">
        <f>IF($J89="","",IF($L89&lt;&gt;"",$L89-$J89,TODAY()-$J89))</f>
        <v/>
      </c>
      <c r="Q89" s="85">
        <f>IF(OR($K89="",$H89="Completed",$H89="Cancelled"),"",IF(AND($K89&lt;TODAY(),$H89&lt;&gt;"Completed",$H89&lt;&gt;"Cancelled"),"Overdue","On Track"))</f>
        <v/>
      </c>
      <c r="R89" s="81" t="n"/>
      <c r="S89" s="81">
        <f>IF($B89="","",IFERROR(INDEX(Task_Tracker!$AA$5:$AA$1004,MATCH($B89,Task_Tracker!$A$5:$A$1004,0)),""))</f>
        <v/>
      </c>
      <c r="T89" s="81">
        <f>IF($B89="","",IFERROR(INDEX(Task_Tracker!$AB$5:$AB$1004,MATCH($B89,Task_Tracker!$A$5:$A$1004,0)),""))</f>
        <v/>
      </c>
      <c r="U89" s="78">
        <f>IF($B89="","",IFERROR(INDEX(Task_Tracker!$F$5:$F$1004,MATCH($B89,Task_Tracker!$A$5:$A$1004,0)),""))</f>
        <v/>
      </c>
      <c r="V89" s="78">
        <f>IF($B89="","",IFERROR(INDEX(Task_Tracker!$I$5:$I$1004,MATCH($B89,Task_Tracker!$A$5:$A$1004,0)),""))</f>
        <v/>
      </c>
      <c r="W89" s="81">
        <f>IF(OR($D89="",$B89=""),"",$D89&amp;" | "&amp;$B89)</f>
        <v/>
      </c>
      <c r="X89" s="85">
        <f>IF($K89="","",TEXT($K89,"yyyy-mm"))</f>
        <v/>
      </c>
      <c r="Y89" s="81">
        <f>IF(OR($A89="",$T89=""),"","Included in Manager_Report")</f>
        <v/>
      </c>
    </row>
    <row r="90" ht="15" customHeight="1" s="40">
      <c r="A90" s="65">
        <f>IF(COUNTA(B90:G90)=0,"","STP-"&amp;TEXT(ROW()-4,"0000"))</f>
        <v/>
      </c>
      <c r="B90" s="78" t="n"/>
      <c r="C90" s="67">
        <f>IF($B90="","",IFERROR(INDEX(Task_Tracker!$D$5:$D$1004,MATCH($B90,Task_Tracker!$A$5:$A$1004,0)),""))</f>
        <v/>
      </c>
      <c r="D90" s="67">
        <f>IF($B90="","",IFERROR(INDEX(Task_Tracker!$B$5:$B$1004,MATCH($B90,Task_Tracker!$A$5:$A$1004,0)),""))</f>
        <v/>
      </c>
      <c r="E90" s="81" t="n"/>
      <c r="F90" s="81" t="n"/>
      <c r="G90" s="78" t="n"/>
      <c r="H90" s="78" t="n"/>
      <c r="I90" s="67">
        <f>IF($H90="","",IFERROR(INDEX(Action_Status_Map!$B$5:$B$11,MATCH($H90,Action_Status_Map!$A$5:$A$11,0)),""))</f>
        <v/>
      </c>
      <c r="J90" s="82" t="n"/>
      <c r="K90" s="82" t="n"/>
      <c r="L90" s="82" t="n"/>
      <c r="M90" s="83" t="n"/>
      <c r="N90" s="83" t="n"/>
      <c r="O90" s="66">
        <f>IF(OR($M90="",$N90=""),"",$N90-$M90)</f>
        <v/>
      </c>
      <c r="P90" s="84">
        <f>IF($J90="","",IF($L90&lt;&gt;"",$L90-$J90,TODAY()-$J90))</f>
        <v/>
      </c>
      <c r="Q90" s="85">
        <f>IF(OR($K90="",$H90="Completed",$H90="Cancelled"),"",IF(AND($K90&lt;TODAY(),$H90&lt;&gt;"Completed",$H90&lt;&gt;"Cancelled"),"Overdue","On Track"))</f>
        <v/>
      </c>
      <c r="R90" s="81" t="n"/>
      <c r="S90" s="81">
        <f>IF($B90="","",IFERROR(INDEX(Task_Tracker!$AA$5:$AA$1004,MATCH($B90,Task_Tracker!$A$5:$A$1004,0)),""))</f>
        <v/>
      </c>
      <c r="T90" s="81">
        <f>IF($B90="","",IFERROR(INDEX(Task_Tracker!$AB$5:$AB$1004,MATCH($B90,Task_Tracker!$A$5:$A$1004,0)),""))</f>
        <v/>
      </c>
      <c r="U90" s="78">
        <f>IF($B90="","",IFERROR(INDEX(Task_Tracker!$F$5:$F$1004,MATCH($B90,Task_Tracker!$A$5:$A$1004,0)),""))</f>
        <v/>
      </c>
      <c r="V90" s="78">
        <f>IF($B90="","",IFERROR(INDEX(Task_Tracker!$I$5:$I$1004,MATCH($B90,Task_Tracker!$A$5:$A$1004,0)),""))</f>
        <v/>
      </c>
      <c r="W90" s="81">
        <f>IF(OR($D90="",$B90=""),"",$D90&amp;" | "&amp;$B90)</f>
        <v/>
      </c>
      <c r="X90" s="85">
        <f>IF($K90="","",TEXT($K90,"yyyy-mm"))</f>
        <v/>
      </c>
      <c r="Y90" s="81">
        <f>IF(OR($A90="",$T90=""),"","Included in Manager_Report")</f>
        <v/>
      </c>
    </row>
    <row r="91" ht="15" customHeight="1" s="40">
      <c r="A91" s="65">
        <f>IF(COUNTA(B91:G91)=0,"","STP-"&amp;TEXT(ROW()-4,"0000"))</f>
        <v/>
      </c>
      <c r="B91" s="78" t="n"/>
      <c r="C91" s="67">
        <f>IF($B91="","",IFERROR(INDEX(Task_Tracker!$D$5:$D$1004,MATCH($B91,Task_Tracker!$A$5:$A$1004,0)),""))</f>
        <v/>
      </c>
      <c r="D91" s="67">
        <f>IF($B91="","",IFERROR(INDEX(Task_Tracker!$B$5:$B$1004,MATCH($B91,Task_Tracker!$A$5:$A$1004,0)),""))</f>
        <v/>
      </c>
      <c r="E91" s="81" t="n"/>
      <c r="F91" s="81" t="n"/>
      <c r="G91" s="78" t="n"/>
      <c r="H91" s="78" t="n"/>
      <c r="I91" s="67">
        <f>IF($H91="","",IFERROR(INDEX(Action_Status_Map!$B$5:$B$11,MATCH($H91,Action_Status_Map!$A$5:$A$11,0)),""))</f>
        <v/>
      </c>
      <c r="J91" s="82" t="n"/>
      <c r="K91" s="82" t="n"/>
      <c r="L91" s="82" t="n"/>
      <c r="M91" s="83" t="n"/>
      <c r="N91" s="83" t="n"/>
      <c r="O91" s="66">
        <f>IF(OR($M91="",$N91=""),"",$N91-$M91)</f>
        <v/>
      </c>
      <c r="P91" s="84">
        <f>IF($J91="","",IF($L91&lt;&gt;"",$L91-$J91,TODAY()-$J91))</f>
        <v/>
      </c>
      <c r="Q91" s="85">
        <f>IF(OR($K91="",$H91="Completed",$H91="Cancelled"),"",IF(AND($K91&lt;TODAY(),$H91&lt;&gt;"Completed",$H91&lt;&gt;"Cancelled"),"Overdue","On Track"))</f>
        <v/>
      </c>
      <c r="R91" s="81" t="n"/>
      <c r="S91" s="81">
        <f>IF($B91="","",IFERROR(INDEX(Task_Tracker!$AA$5:$AA$1004,MATCH($B91,Task_Tracker!$A$5:$A$1004,0)),""))</f>
        <v/>
      </c>
      <c r="T91" s="81">
        <f>IF($B91="","",IFERROR(INDEX(Task_Tracker!$AB$5:$AB$1004,MATCH($B91,Task_Tracker!$A$5:$A$1004,0)),""))</f>
        <v/>
      </c>
      <c r="U91" s="78">
        <f>IF($B91="","",IFERROR(INDEX(Task_Tracker!$F$5:$F$1004,MATCH($B91,Task_Tracker!$A$5:$A$1004,0)),""))</f>
        <v/>
      </c>
      <c r="V91" s="78">
        <f>IF($B91="","",IFERROR(INDEX(Task_Tracker!$I$5:$I$1004,MATCH($B91,Task_Tracker!$A$5:$A$1004,0)),""))</f>
        <v/>
      </c>
      <c r="W91" s="81">
        <f>IF(OR($D91="",$B91=""),"",$D91&amp;" | "&amp;$B91)</f>
        <v/>
      </c>
      <c r="X91" s="85">
        <f>IF($K91="","",TEXT($K91,"yyyy-mm"))</f>
        <v/>
      </c>
      <c r="Y91" s="81">
        <f>IF(OR($A91="",$T91=""),"","Included in Manager_Report")</f>
        <v/>
      </c>
    </row>
    <row r="92" ht="15" customHeight="1" s="40">
      <c r="A92" s="65">
        <f>IF(COUNTA(B92:G92)=0,"","STP-"&amp;TEXT(ROW()-4,"0000"))</f>
        <v/>
      </c>
      <c r="B92" s="78" t="n"/>
      <c r="C92" s="67">
        <f>IF($B92="","",IFERROR(INDEX(Task_Tracker!$D$5:$D$1004,MATCH($B92,Task_Tracker!$A$5:$A$1004,0)),""))</f>
        <v/>
      </c>
      <c r="D92" s="67">
        <f>IF($B92="","",IFERROR(INDEX(Task_Tracker!$B$5:$B$1004,MATCH($B92,Task_Tracker!$A$5:$A$1004,0)),""))</f>
        <v/>
      </c>
      <c r="E92" s="81" t="n"/>
      <c r="F92" s="81" t="n"/>
      <c r="G92" s="78" t="n"/>
      <c r="H92" s="78" t="n"/>
      <c r="I92" s="67">
        <f>IF($H92="","",IFERROR(INDEX(Action_Status_Map!$B$5:$B$11,MATCH($H92,Action_Status_Map!$A$5:$A$11,0)),""))</f>
        <v/>
      </c>
      <c r="J92" s="82" t="n"/>
      <c r="K92" s="82" t="n"/>
      <c r="L92" s="82" t="n"/>
      <c r="M92" s="83" t="n"/>
      <c r="N92" s="83" t="n"/>
      <c r="O92" s="66">
        <f>IF(OR($M92="",$N92=""),"",$N92-$M92)</f>
        <v/>
      </c>
      <c r="P92" s="84">
        <f>IF($J92="","",IF($L92&lt;&gt;"",$L92-$J92,TODAY()-$J92))</f>
        <v/>
      </c>
      <c r="Q92" s="85">
        <f>IF(OR($K92="",$H92="Completed",$H92="Cancelled"),"",IF(AND($K92&lt;TODAY(),$H92&lt;&gt;"Completed",$H92&lt;&gt;"Cancelled"),"Overdue","On Track"))</f>
        <v/>
      </c>
      <c r="R92" s="81" t="n"/>
      <c r="S92" s="81">
        <f>IF($B92="","",IFERROR(INDEX(Task_Tracker!$AA$5:$AA$1004,MATCH($B92,Task_Tracker!$A$5:$A$1004,0)),""))</f>
        <v/>
      </c>
      <c r="T92" s="81">
        <f>IF($B92="","",IFERROR(INDEX(Task_Tracker!$AB$5:$AB$1004,MATCH($B92,Task_Tracker!$A$5:$A$1004,0)),""))</f>
        <v/>
      </c>
      <c r="U92" s="78">
        <f>IF($B92="","",IFERROR(INDEX(Task_Tracker!$F$5:$F$1004,MATCH($B92,Task_Tracker!$A$5:$A$1004,0)),""))</f>
        <v/>
      </c>
      <c r="V92" s="78">
        <f>IF($B92="","",IFERROR(INDEX(Task_Tracker!$I$5:$I$1004,MATCH($B92,Task_Tracker!$A$5:$A$1004,0)),""))</f>
        <v/>
      </c>
      <c r="W92" s="81">
        <f>IF(OR($D92="",$B92=""),"",$D92&amp;" | "&amp;$B92)</f>
        <v/>
      </c>
      <c r="X92" s="85">
        <f>IF($K92="","",TEXT($K92,"yyyy-mm"))</f>
        <v/>
      </c>
      <c r="Y92" s="81">
        <f>IF(OR($A92="",$T92=""),"","Included in Manager_Report")</f>
        <v/>
      </c>
    </row>
    <row r="93" ht="15" customHeight="1" s="40">
      <c r="A93" s="65">
        <f>IF(COUNTA(B93:G93)=0,"","STP-"&amp;TEXT(ROW()-4,"0000"))</f>
        <v/>
      </c>
      <c r="B93" s="78" t="n"/>
      <c r="C93" s="67">
        <f>IF($B93="","",IFERROR(INDEX(Task_Tracker!$D$5:$D$1004,MATCH($B93,Task_Tracker!$A$5:$A$1004,0)),""))</f>
        <v/>
      </c>
      <c r="D93" s="67">
        <f>IF($B93="","",IFERROR(INDEX(Task_Tracker!$B$5:$B$1004,MATCH($B93,Task_Tracker!$A$5:$A$1004,0)),""))</f>
        <v/>
      </c>
      <c r="E93" s="81" t="n"/>
      <c r="F93" s="81" t="n"/>
      <c r="G93" s="78" t="n"/>
      <c r="H93" s="78" t="n"/>
      <c r="I93" s="67">
        <f>IF($H93="","",IFERROR(INDEX(Action_Status_Map!$B$5:$B$11,MATCH($H93,Action_Status_Map!$A$5:$A$11,0)),""))</f>
        <v/>
      </c>
      <c r="J93" s="82" t="n"/>
      <c r="K93" s="82" t="n"/>
      <c r="L93" s="82" t="n"/>
      <c r="M93" s="83" t="n"/>
      <c r="N93" s="83" t="n"/>
      <c r="O93" s="66">
        <f>IF(OR($M93="",$N93=""),"",$N93-$M93)</f>
        <v/>
      </c>
      <c r="P93" s="84">
        <f>IF($J93="","",IF($L93&lt;&gt;"",$L93-$J93,TODAY()-$J93))</f>
        <v/>
      </c>
      <c r="Q93" s="85">
        <f>IF(OR($K93="",$H93="Completed",$H93="Cancelled"),"",IF(AND($K93&lt;TODAY(),$H93&lt;&gt;"Completed",$H93&lt;&gt;"Cancelled"),"Overdue","On Track"))</f>
        <v/>
      </c>
      <c r="R93" s="81" t="n"/>
      <c r="S93" s="81">
        <f>IF($B93="","",IFERROR(INDEX(Task_Tracker!$AA$5:$AA$1004,MATCH($B93,Task_Tracker!$A$5:$A$1004,0)),""))</f>
        <v/>
      </c>
      <c r="T93" s="81">
        <f>IF($B93="","",IFERROR(INDEX(Task_Tracker!$AB$5:$AB$1004,MATCH($B93,Task_Tracker!$A$5:$A$1004,0)),""))</f>
        <v/>
      </c>
      <c r="U93" s="78">
        <f>IF($B93="","",IFERROR(INDEX(Task_Tracker!$F$5:$F$1004,MATCH($B93,Task_Tracker!$A$5:$A$1004,0)),""))</f>
        <v/>
      </c>
      <c r="V93" s="78">
        <f>IF($B93="","",IFERROR(INDEX(Task_Tracker!$I$5:$I$1004,MATCH($B93,Task_Tracker!$A$5:$A$1004,0)),""))</f>
        <v/>
      </c>
      <c r="W93" s="81">
        <f>IF(OR($D93="",$B93=""),"",$D93&amp;" | "&amp;$B93)</f>
        <v/>
      </c>
      <c r="X93" s="85">
        <f>IF($K93="","",TEXT($K93,"yyyy-mm"))</f>
        <v/>
      </c>
      <c r="Y93" s="81">
        <f>IF(OR($A93="",$T93=""),"","Included in Manager_Report")</f>
        <v/>
      </c>
    </row>
    <row r="94" ht="15" customHeight="1" s="40">
      <c r="A94" s="65">
        <f>IF(COUNTA(B94:G94)=0,"","STP-"&amp;TEXT(ROW()-4,"0000"))</f>
        <v/>
      </c>
      <c r="B94" s="78" t="n"/>
      <c r="C94" s="67">
        <f>IF($B94="","",IFERROR(INDEX(Task_Tracker!$D$5:$D$1004,MATCH($B94,Task_Tracker!$A$5:$A$1004,0)),""))</f>
        <v/>
      </c>
      <c r="D94" s="67">
        <f>IF($B94="","",IFERROR(INDEX(Task_Tracker!$B$5:$B$1004,MATCH($B94,Task_Tracker!$A$5:$A$1004,0)),""))</f>
        <v/>
      </c>
      <c r="E94" s="81" t="n"/>
      <c r="F94" s="81" t="n"/>
      <c r="G94" s="78" t="n"/>
      <c r="H94" s="78" t="n"/>
      <c r="I94" s="67">
        <f>IF($H94="","",IFERROR(INDEX(Action_Status_Map!$B$5:$B$11,MATCH($H94,Action_Status_Map!$A$5:$A$11,0)),""))</f>
        <v/>
      </c>
      <c r="J94" s="82" t="n"/>
      <c r="K94" s="82" t="n"/>
      <c r="L94" s="82" t="n"/>
      <c r="M94" s="83" t="n"/>
      <c r="N94" s="83" t="n"/>
      <c r="O94" s="66">
        <f>IF(OR($M94="",$N94=""),"",$N94-$M94)</f>
        <v/>
      </c>
      <c r="P94" s="84">
        <f>IF($J94="","",IF($L94&lt;&gt;"",$L94-$J94,TODAY()-$J94))</f>
        <v/>
      </c>
      <c r="Q94" s="85">
        <f>IF(OR($K94="",$H94="Completed",$H94="Cancelled"),"",IF(AND($K94&lt;TODAY(),$H94&lt;&gt;"Completed",$H94&lt;&gt;"Cancelled"),"Overdue","On Track"))</f>
        <v/>
      </c>
      <c r="R94" s="81" t="n"/>
      <c r="S94" s="81">
        <f>IF($B94="","",IFERROR(INDEX(Task_Tracker!$AA$5:$AA$1004,MATCH($B94,Task_Tracker!$A$5:$A$1004,0)),""))</f>
        <v/>
      </c>
      <c r="T94" s="81">
        <f>IF($B94="","",IFERROR(INDEX(Task_Tracker!$AB$5:$AB$1004,MATCH($B94,Task_Tracker!$A$5:$A$1004,0)),""))</f>
        <v/>
      </c>
      <c r="U94" s="78">
        <f>IF($B94="","",IFERROR(INDEX(Task_Tracker!$F$5:$F$1004,MATCH($B94,Task_Tracker!$A$5:$A$1004,0)),""))</f>
        <v/>
      </c>
      <c r="V94" s="78">
        <f>IF($B94="","",IFERROR(INDEX(Task_Tracker!$I$5:$I$1004,MATCH($B94,Task_Tracker!$A$5:$A$1004,0)),""))</f>
        <v/>
      </c>
      <c r="W94" s="81">
        <f>IF(OR($D94="",$B94=""),"",$D94&amp;" | "&amp;$B94)</f>
        <v/>
      </c>
      <c r="X94" s="85">
        <f>IF($K94="","",TEXT($K94,"yyyy-mm"))</f>
        <v/>
      </c>
      <c r="Y94" s="81">
        <f>IF(OR($A94="",$T94=""),"","Included in Manager_Report")</f>
        <v/>
      </c>
    </row>
    <row r="95" ht="15" customHeight="1" s="40">
      <c r="A95" s="65">
        <f>IF(COUNTA(B95:G95)=0,"","STP-"&amp;TEXT(ROW()-4,"0000"))</f>
        <v/>
      </c>
      <c r="B95" s="78" t="n"/>
      <c r="C95" s="67">
        <f>IF($B95="","",IFERROR(INDEX(Task_Tracker!$D$5:$D$1004,MATCH($B95,Task_Tracker!$A$5:$A$1004,0)),""))</f>
        <v/>
      </c>
      <c r="D95" s="67">
        <f>IF($B95="","",IFERROR(INDEX(Task_Tracker!$B$5:$B$1004,MATCH($B95,Task_Tracker!$A$5:$A$1004,0)),""))</f>
        <v/>
      </c>
      <c r="E95" s="81" t="n"/>
      <c r="F95" s="81" t="n"/>
      <c r="G95" s="78" t="n"/>
      <c r="H95" s="78" t="n"/>
      <c r="I95" s="67">
        <f>IF($H95="","",IFERROR(INDEX(Action_Status_Map!$B$5:$B$11,MATCH($H95,Action_Status_Map!$A$5:$A$11,0)),""))</f>
        <v/>
      </c>
      <c r="J95" s="82" t="n"/>
      <c r="K95" s="82" t="n"/>
      <c r="L95" s="82" t="n"/>
      <c r="M95" s="83" t="n"/>
      <c r="N95" s="83" t="n"/>
      <c r="O95" s="66">
        <f>IF(OR($M95="",$N95=""),"",$N95-$M95)</f>
        <v/>
      </c>
      <c r="P95" s="84">
        <f>IF($J95="","",IF($L95&lt;&gt;"",$L95-$J95,TODAY()-$J95))</f>
        <v/>
      </c>
      <c r="Q95" s="85">
        <f>IF(OR($K95="",$H95="Completed",$H95="Cancelled"),"",IF(AND($K95&lt;TODAY(),$H95&lt;&gt;"Completed",$H95&lt;&gt;"Cancelled"),"Overdue","On Track"))</f>
        <v/>
      </c>
      <c r="R95" s="81" t="n"/>
      <c r="S95" s="81">
        <f>IF($B95="","",IFERROR(INDEX(Task_Tracker!$AA$5:$AA$1004,MATCH($B95,Task_Tracker!$A$5:$A$1004,0)),""))</f>
        <v/>
      </c>
      <c r="T95" s="81">
        <f>IF($B95="","",IFERROR(INDEX(Task_Tracker!$AB$5:$AB$1004,MATCH($B95,Task_Tracker!$A$5:$A$1004,0)),""))</f>
        <v/>
      </c>
      <c r="U95" s="78">
        <f>IF($B95="","",IFERROR(INDEX(Task_Tracker!$F$5:$F$1004,MATCH($B95,Task_Tracker!$A$5:$A$1004,0)),""))</f>
        <v/>
      </c>
      <c r="V95" s="78">
        <f>IF($B95="","",IFERROR(INDEX(Task_Tracker!$I$5:$I$1004,MATCH($B95,Task_Tracker!$A$5:$A$1004,0)),""))</f>
        <v/>
      </c>
      <c r="W95" s="81">
        <f>IF(OR($D95="",$B95=""),"",$D95&amp;" | "&amp;$B95)</f>
        <v/>
      </c>
      <c r="X95" s="85">
        <f>IF($K95="","",TEXT($K95,"yyyy-mm"))</f>
        <v/>
      </c>
      <c r="Y95" s="81">
        <f>IF(OR($A95="",$T95=""),"","Included in Manager_Report")</f>
        <v/>
      </c>
    </row>
    <row r="96" ht="15" customHeight="1" s="40">
      <c r="A96" s="65">
        <f>IF(COUNTA(B96:G96)=0,"","STP-"&amp;TEXT(ROW()-4,"0000"))</f>
        <v/>
      </c>
      <c r="B96" s="78" t="n"/>
      <c r="C96" s="67">
        <f>IF($B96="","",IFERROR(INDEX(Task_Tracker!$D$5:$D$1004,MATCH($B96,Task_Tracker!$A$5:$A$1004,0)),""))</f>
        <v/>
      </c>
      <c r="D96" s="67">
        <f>IF($B96="","",IFERROR(INDEX(Task_Tracker!$B$5:$B$1004,MATCH($B96,Task_Tracker!$A$5:$A$1004,0)),""))</f>
        <v/>
      </c>
      <c r="E96" s="81" t="n"/>
      <c r="F96" s="81" t="n"/>
      <c r="G96" s="78" t="n"/>
      <c r="H96" s="78" t="n"/>
      <c r="I96" s="67">
        <f>IF($H96="","",IFERROR(INDEX(Action_Status_Map!$B$5:$B$11,MATCH($H96,Action_Status_Map!$A$5:$A$11,0)),""))</f>
        <v/>
      </c>
      <c r="J96" s="82" t="n"/>
      <c r="K96" s="82" t="n"/>
      <c r="L96" s="82" t="n"/>
      <c r="M96" s="83" t="n"/>
      <c r="N96" s="83" t="n"/>
      <c r="O96" s="66">
        <f>IF(OR($M96="",$N96=""),"",$N96-$M96)</f>
        <v/>
      </c>
      <c r="P96" s="84">
        <f>IF($J96="","",IF($L96&lt;&gt;"",$L96-$J96,TODAY()-$J96))</f>
        <v/>
      </c>
      <c r="Q96" s="85">
        <f>IF(OR($K96="",$H96="Completed",$H96="Cancelled"),"",IF(AND($K96&lt;TODAY(),$H96&lt;&gt;"Completed",$H96&lt;&gt;"Cancelled"),"Overdue","On Track"))</f>
        <v/>
      </c>
      <c r="R96" s="81" t="n"/>
      <c r="S96" s="81">
        <f>IF($B96="","",IFERROR(INDEX(Task_Tracker!$AA$5:$AA$1004,MATCH($B96,Task_Tracker!$A$5:$A$1004,0)),""))</f>
        <v/>
      </c>
      <c r="T96" s="81">
        <f>IF($B96="","",IFERROR(INDEX(Task_Tracker!$AB$5:$AB$1004,MATCH($B96,Task_Tracker!$A$5:$A$1004,0)),""))</f>
        <v/>
      </c>
      <c r="U96" s="78">
        <f>IF($B96="","",IFERROR(INDEX(Task_Tracker!$F$5:$F$1004,MATCH($B96,Task_Tracker!$A$5:$A$1004,0)),""))</f>
        <v/>
      </c>
      <c r="V96" s="78">
        <f>IF($B96="","",IFERROR(INDEX(Task_Tracker!$I$5:$I$1004,MATCH($B96,Task_Tracker!$A$5:$A$1004,0)),""))</f>
        <v/>
      </c>
      <c r="W96" s="81">
        <f>IF(OR($D96="",$B96=""),"",$D96&amp;" | "&amp;$B96)</f>
        <v/>
      </c>
      <c r="X96" s="85">
        <f>IF($K96="","",TEXT($K96,"yyyy-mm"))</f>
        <v/>
      </c>
      <c r="Y96" s="81">
        <f>IF(OR($A96="",$T96=""),"","Included in Manager_Report")</f>
        <v/>
      </c>
    </row>
    <row r="97" ht="15" customHeight="1" s="40">
      <c r="A97" s="65">
        <f>IF(COUNTA(B97:G97)=0,"","STP-"&amp;TEXT(ROW()-4,"0000"))</f>
        <v/>
      </c>
      <c r="B97" s="78" t="n"/>
      <c r="C97" s="67">
        <f>IF($B97="","",IFERROR(INDEX(Task_Tracker!$D$5:$D$1004,MATCH($B97,Task_Tracker!$A$5:$A$1004,0)),""))</f>
        <v/>
      </c>
      <c r="D97" s="67">
        <f>IF($B97="","",IFERROR(INDEX(Task_Tracker!$B$5:$B$1004,MATCH($B97,Task_Tracker!$A$5:$A$1004,0)),""))</f>
        <v/>
      </c>
      <c r="E97" s="81" t="n"/>
      <c r="F97" s="81" t="n"/>
      <c r="G97" s="78" t="n"/>
      <c r="H97" s="78" t="n"/>
      <c r="I97" s="67">
        <f>IF($H97="","",IFERROR(INDEX(Action_Status_Map!$B$5:$B$11,MATCH($H97,Action_Status_Map!$A$5:$A$11,0)),""))</f>
        <v/>
      </c>
      <c r="J97" s="82" t="n"/>
      <c r="K97" s="82" t="n"/>
      <c r="L97" s="82" t="n"/>
      <c r="M97" s="83" t="n"/>
      <c r="N97" s="83" t="n"/>
      <c r="O97" s="66">
        <f>IF(OR($M97="",$N97=""),"",$N97-$M97)</f>
        <v/>
      </c>
      <c r="P97" s="84">
        <f>IF($J97="","",IF($L97&lt;&gt;"",$L97-$J97,TODAY()-$J97))</f>
        <v/>
      </c>
      <c r="Q97" s="85">
        <f>IF(OR($K97="",$H97="Completed",$H97="Cancelled"),"",IF(AND($K97&lt;TODAY(),$H97&lt;&gt;"Completed",$H97&lt;&gt;"Cancelled"),"Overdue","On Track"))</f>
        <v/>
      </c>
      <c r="R97" s="81" t="n"/>
      <c r="S97" s="81">
        <f>IF($B97="","",IFERROR(INDEX(Task_Tracker!$AA$5:$AA$1004,MATCH($B97,Task_Tracker!$A$5:$A$1004,0)),""))</f>
        <v/>
      </c>
      <c r="T97" s="81">
        <f>IF($B97="","",IFERROR(INDEX(Task_Tracker!$AB$5:$AB$1004,MATCH($B97,Task_Tracker!$A$5:$A$1004,0)),""))</f>
        <v/>
      </c>
      <c r="U97" s="78">
        <f>IF($B97="","",IFERROR(INDEX(Task_Tracker!$F$5:$F$1004,MATCH($B97,Task_Tracker!$A$5:$A$1004,0)),""))</f>
        <v/>
      </c>
      <c r="V97" s="78">
        <f>IF($B97="","",IFERROR(INDEX(Task_Tracker!$I$5:$I$1004,MATCH($B97,Task_Tracker!$A$5:$A$1004,0)),""))</f>
        <v/>
      </c>
      <c r="W97" s="81">
        <f>IF(OR($D97="",$B97=""),"",$D97&amp;" | "&amp;$B97)</f>
        <v/>
      </c>
      <c r="X97" s="85">
        <f>IF($K97="","",TEXT($K97,"yyyy-mm"))</f>
        <v/>
      </c>
      <c r="Y97" s="81">
        <f>IF(OR($A97="",$T97=""),"","Included in Manager_Report")</f>
        <v/>
      </c>
    </row>
    <row r="98" ht="15" customHeight="1" s="40">
      <c r="A98" s="65">
        <f>IF(COUNTA(B98:G98)=0,"","STP-"&amp;TEXT(ROW()-4,"0000"))</f>
        <v/>
      </c>
      <c r="B98" s="78" t="n"/>
      <c r="C98" s="67">
        <f>IF($B98="","",IFERROR(INDEX(Task_Tracker!$D$5:$D$1004,MATCH($B98,Task_Tracker!$A$5:$A$1004,0)),""))</f>
        <v/>
      </c>
      <c r="D98" s="67">
        <f>IF($B98="","",IFERROR(INDEX(Task_Tracker!$B$5:$B$1004,MATCH($B98,Task_Tracker!$A$5:$A$1004,0)),""))</f>
        <v/>
      </c>
      <c r="E98" s="81" t="n"/>
      <c r="F98" s="81" t="n"/>
      <c r="G98" s="78" t="n"/>
      <c r="H98" s="78" t="n"/>
      <c r="I98" s="67">
        <f>IF($H98="","",IFERROR(INDEX(Action_Status_Map!$B$5:$B$11,MATCH($H98,Action_Status_Map!$A$5:$A$11,0)),""))</f>
        <v/>
      </c>
      <c r="J98" s="82" t="n"/>
      <c r="K98" s="82" t="n"/>
      <c r="L98" s="82" t="n"/>
      <c r="M98" s="83" t="n"/>
      <c r="N98" s="83" t="n"/>
      <c r="O98" s="66">
        <f>IF(OR($M98="",$N98=""),"",$N98-$M98)</f>
        <v/>
      </c>
      <c r="P98" s="84">
        <f>IF($J98="","",IF($L98&lt;&gt;"",$L98-$J98,TODAY()-$J98))</f>
        <v/>
      </c>
      <c r="Q98" s="85">
        <f>IF(OR($K98="",$H98="Completed",$H98="Cancelled"),"",IF(AND($K98&lt;TODAY(),$H98&lt;&gt;"Completed",$H98&lt;&gt;"Cancelled"),"Overdue","On Track"))</f>
        <v/>
      </c>
      <c r="R98" s="81" t="n"/>
      <c r="S98" s="81">
        <f>IF($B98="","",IFERROR(INDEX(Task_Tracker!$AA$5:$AA$1004,MATCH($B98,Task_Tracker!$A$5:$A$1004,0)),""))</f>
        <v/>
      </c>
      <c r="T98" s="81">
        <f>IF($B98="","",IFERROR(INDEX(Task_Tracker!$AB$5:$AB$1004,MATCH($B98,Task_Tracker!$A$5:$A$1004,0)),""))</f>
        <v/>
      </c>
      <c r="U98" s="78">
        <f>IF($B98="","",IFERROR(INDEX(Task_Tracker!$F$5:$F$1004,MATCH($B98,Task_Tracker!$A$5:$A$1004,0)),""))</f>
        <v/>
      </c>
      <c r="V98" s="78">
        <f>IF($B98="","",IFERROR(INDEX(Task_Tracker!$I$5:$I$1004,MATCH($B98,Task_Tracker!$A$5:$A$1004,0)),""))</f>
        <v/>
      </c>
      <c r="W98" s="81">
        <f>IF(OR($D98="",$B98=""),"",$D98&amp;" | "&amp;$B98)</f>
        <v/>
      </c>
      <c r="X98" s="85">
        <f>IF($K98="","",TEXT($K98,"yyyy-mm"))</f>
        <v/>
      </c>
      <c r="Y98" s="81">
        <f>IF(OR($A98="",$T98=""),"","Included in Manager_Report")</f>
        <v/>
      </c>
    </row>
    <row r="99" ht="15" customHeight="1" s="40">
      <c r="A99" s="65">
        <f>IF(COUNTA(B99:G99)=0,"","STP-"&amp;TEXT(ROW()-4,"0000"))</f>
        <v/>
      </c>
      <c r="B99" s="78" t="n"/>
      <c r="C99" s="67">
        <f>IF($B99="","",IFERROR(INDEX(Task_Tracker!$D$5:$D$1004,MATCH($B99,Task_Tracker!$A$5:$A$1004,0)),""))</f>
        <v/>
      </c>
      <c r="D99" s="67">
        <f>IF($B99="","",IFERROR(INDEX(Task_Tracker!$B$5:$B$1004,MATCH($B99,Task_Tracker!$A$5:$A$1004,0)),""))</f>
        <v/>
      </c>
      <c r="E99" s="81" t="n"/>
      <c r="F99" s="81" t="n"/>
      <c r="G99" s="78" t="n"/>
      <c r="H99" s="78" t="n"/>
      <c r="I99" s="67">
        <f>IF($H99="","",IFERROR(INDEX(Action_Status_Map!$B$5:$B$11,MATCH($H99,Action_Status_Map!$A$5:$A$11,0)),""))</f>
        <v/>
      </c>
      <c r="J99" s="82" t="n"/>
      <c r="K99" s="82" t="n"/>
      <c r="L99" s="82" t="n"/>
      <c r="M99" s="83" t="n"/>
      <c r="N99" s="83" t="n"/>
      <c r="O99" s="66">
        <f>IF(OR($M99="",$N99=""),"",$N99-$M99)</f>
        <v/>
      </c>
      <c r="P99" s="84">
        <f>IF($J99="","",IF($L99&lt;&gt;"",$L99-$J99,TODAY()-$J99))</f>
        <v/>
      </c>
      <c r="Q99" s="85">
        <f>IF(OR($K99="",$H99="Completed",$H99="Cancelled"),"",IF(AND($K99&lt;TODAY(),$H99&lt;&gt;"Completed",$H99&lt;&gt;"Cancelled"),"Overdue","On Track"))</f>
        <v/>
      </c>
      <c r="R99" s="81" t="n"/>
      <c r="S99" s="81">
        <f>IF($B99="","",IFERROR(INDEX(Task_Tracker!$AA$5:$AA$1004,MATCH($B99,Task_Tracker!$A$5:$A$1004,0)),""))</f>
        <v/>
      </c>
      <c r="T99" s="81">
        <f>IF($B99="","",IFERROR(INDEX(Task_Tracker!$AB$5:$AB$1004,MATCH($B99,Task_Tracker!$A$5:$A$1004,0)),""))</f>
        <v/>
      </c>
      <c r="U99" s="78">
        <f>IF($B99="","",IFERROR(INDEX(Task_Tracker!$F$5:$F$1004,MATCH($B99,Task_Tracker!$A$5:$A$1004,0)),""))</f>
        <v/>
      </c>
      <c r="V99" s="78">
        <f>IF($B99="","",IFERROR(INDEX(Task_Tracker!$I$5:$I$1004,MATCH($B99,Task_Tracker!$A$5:$A$1004,0)),""))</f>
        <v/>
      </c>
      <c r="W99" s="81">
        <f>IF(OR($D99="",$B99=""),"",$D99&amp;" | "&amp;$B99)</f>
        <v/>
      </c>
      <c r="X99" s="85">
        <f>IF($K99="","",TEXT($K99,"yyyy-mm"))</f>
        <v/>
      </c>
      <c r="Y99" s="81">
        <f>IF(OR($A99="",$T99=""),"","Included in Manager_Report")</f>
        <v/>
      </c>
    </row>
    <row r="100" ht="15" customHeight="1" s="40">
      <c r="A100" s="65">
        <f>IF(COUNTA(B100:G100)=0,"","STP-"&amp;TEXT(ROW()-4,"0000"))</f>
        <v/>
      </c>
      <c r="B100" s="78" t="n"/>
      <c r="C100" s="67">
        <f>IF($B100="","",IFERROR(INDEX(Task_Tracker!$D$5:$D$1004,MATCH($B100,Task_Tracker!$A$5:$A$1004,0)),""))</f>
        <v/>
      </c>
      <c r="D100" s="67">
        <f>IF($B100="","",IFERROR(INDEX(Task_Tracker!$B$5:$B$1004,MATCH($B100,Task_Tracker!$A$5:$A$1004,0)),""))</f>
        <v/>
      </c>
      <c r="E100" s="81" t="n"/>
      <c r="F100" s="81" t="n"/>
      <c r="G100" s="78" t="n"/>
      <c r="H100" s="78" t="n"/>
      <c r="I100" s="67">
        <f>IF($H100="","",IFERROR(INDEX(Action_Status_Map!$B$5:$B$11,MATCH($H100,Action_Status_Map!$A$5:$A$11,0)),""))</f>
        <v/>
      </c>
      <c r="J100" s="82" t="n"/>
      <c r="K100" s="82" t="n"/>
      <c r="L100" s="82" t="n"/>
      <c r="M100" s="83" t="n"/>
      <c r="N100" s="83" t="n"/>
      <c r="O100" s="66">
        <f>IF(OR($M100="",$N100=""),"",$N100-$M100)</f>
        <v/>
      </c>
      <c r="P100" s="84">
        <f>IF($J100="","",IF($L100&lt;&gt;"",$L100-$J100,TODAY()-$J100))</f>
        <v/>
      </c>
      <c r="Q100" s="85">
        <f>IF(OR($K100="",$H100="Completed",$H100="Cancelled"),"",IF(AND($K100&lt;TODAY(),$H100&lt;&gt;"Completed",$H100&lt;&gt;"Cancelled"),"Overdue","On Track"))</f>
        <v/>
      </c>
      <c r="R100" s="81" t="n"/>
      <c r="S100" s="81">
        <f>IF($B100="","",IFERROR(INDEX(Task_Tracker!$AA$5:$AA$1004,MATCH($B100,Task_Tracker!$A$5:$A$1004,0)),""))</f>
        <v/>
      </c>
      <c r="T100" s="81">
        <f>IF($B100="","",IFERROR(INDEX(Task_Tracker!$AB$5:$AB$1004,MATCH($B100,Task_Tracker!$A$5:$A$1004,0)),""))</f>
        <v/>
      </c>
      <c r="U100" s="78">
        <f>IF($B100="","",IFERROR(INDEX(Task_Tracker!$F$5:$F$1004,MATCH($B100,Task_Tracker!$A$5:$A$1004,0)),""))</f>
        <v/>
      </c>
      <c r="V100" s="78">
        <f>IF($B100="","",IFERROR(INDEX(Task_Tracker!$I$5:$I$1004,MATCH($B100,Task_Tracker!$A$5:$A$1004,0)),""))</f>
        <v/>
      </c>
      <c r="W100" s="81">
        <f>IF(OR($D100="",$B100=""),"",$D100&amp;" | "&amp;$B100)</f>
        <v/>
      </c>
      <c r="X100" s="85">
        <f>IF($K100="","",TEXT($K100,"yyyy-mm"))</f>
        <v/>
      </c>
      <c r="Y100" s="81">
        <f>IF(OR($A100="",$T100=""),"","Included in Manager_Report")</f>
        <v/>
      </c>
    </row>
    <row r="101" ht="15" customHeight="1" s="40">
      <c r="A101" s="65">
        <f>IF(COUNTA(B101:G101)=0,"","STP-"&amp;TEXT(ROW()-4,"0000"))</f>
        <v/>
      </c>
      <c r="B101" s="78" t="n"/>
      <c r="C101" s="67">
        <f>IF($B101="","",IFERROR(INDEX(Task_Tracker!$D$5:$D$1004,MATCH($B101,Task_Tracker!$A$5:$A$1004,0)),""))</f>
        <v/>
      </c>
      <c r="D101" s="67">
        <f>IF($B101="","",IFERROR(INDEX(Task_Tracker!$B$5:$B$1004,MATCH($B101,Task_Tracker!$A$5:$A$1004,0)),""))</f>
        <v/>
      </c>
      <c r="E101" s="81" t="n"/>
      <c r="F101" s="81" t="n"/>
      <c r="G101" s="78" t="n"/>
      <c r="H101" s="78" t="n"/>
      <c r="I101" s="67">
        <f>IF($H101="","",IFERROR(INDEX(Action_Status_Map!$B$5:$B$11,MATCH($H101,Action_Status_Map!$A$5:$A$11,0)),""))</f>
        <v/>
      </c>
      <c r="J101" s="82" t="n"/>
      <c r="K101" s="82" t="n"/>
      <c r="L101" s="82" t="n"/>
      <c r="M101" s="83" t="n"/>
      <c r="N101" s="83" t="n"/>
      <c r="O101" s="66">
        <f>IF(OR($M101="",$N101=""),"",$N101-$M101)</f>
        <v/>
      </c>
      <c r="P101" s="84">
        <f>IF($J101="","",IF($L101&lt;&gt;"",$L101-$J101,TODAY()-$J101))</f>
        <v/>
      </c>
      <c r="Q101" s="85">
        <f>IF(OR($K101="",$H101="Completed",$H101="Cancelled"),"",IF(AND($K101&lt;TODAY(),$H101&lt;&gt;"Completed",$H101&lt;&gt;"Cancelled"),"Overdue","On Track"))</f>
        <v/>
      </c>
      <c r="R101" s="81" t="n"/>
      <c r="S101" s="81">
        <f>IF($B101="","",IFERROR(INDEX(Task_Tracker!$AA$5:$AA$1004,MATCH($B101,Task_Tracker!$A$5:$A$1004,0)),""))</f>
        <v/>
      </c>
      <c r="T101" s="81">
        <f>IF($B101="","",IFERROR(INDEX(Task_Tracker!$AB$5:$AB$1004,MATCH($B101,Task_Tracker!$A$5:$A$1004,0)),""))</f>
        <v/>
      </c>
      <c r="U101" s="78">
        <f>IF($B101="","",IFERROR(INDEX(Task_Tracker!$F$5:$F$1004,MATCH($B101,Task_Tracker!$A$5:$A$1004,0)),""))</f>
        <v/>
      </c>
      <c r="V101" s="78">
        <f>IF($B101="","",IFERROR(INDEX(Task_Tracker!$I$5:$I$1004,MATCH($B101,Task_Tracker!$A$5:$A$1004,0)),""))</f>
        <v/>
      </c>
      <c r="W101" s="81">
        <f>IF(OR($D101="",$B101=""),"",$D101&amp;" | "&amp;$B101)</f>
        <v/>
      </c>
      <c r="X101" s="85">
        <f>IF($K101="","",TEXT($K101,"yyyy-mm"))</f>
        <v/>
      </c>
      <c r="Y101" s="81">
        <f>IF(OR($A101="",$T101=""),"","Included in Manager_Report")</f>
        <v/>
      </c>
    </row>
    <row r="102" ht="15" customHeight="1" s="40">
      <c r="A102" s="65">
        <f>IF(COUNTA(B102:G102)=0,"","STP-"&amp;TEXT(ROW()-4,"0000"))</f>
        <v/>
      </c>
      <c r="B102" s="78" t="n"/>
      <c r="C102" s="67">
        <f>IF($B102="","",IFERROR(INDEX(Task_Tracker!$D$5:$D$1004,MATCH($B102,Task_Tracker!$A$5:$A$1004,0)),""))</f>
        <v/>
      </c>
      <c r="D102" s="67">
        <f>IF($B102="","",IFERROR(INDEX(Task_Tracker!$B$5:$B$1004,MATCH($B102,Task_Tracker!$A$5:$A$1004,0)),""))</f>
        <v/>
      </c>
      <c r="E102" s="81" t="n"/>
      <c r="F102" s="81" t="n"/>
      <c r="G102" s="78" t="n"/>
      <c r="H102" s="78" t="n"/>
      <c r="I102" s="67">
        <f>IF($H102="","",IFERROR(INDEX(Action_Status_Map!$B$5:$B$11,MATCH($H102,Action_Status_Map!$A$5:$A$11,0)),""))</f>
        <v/>
      </c>
      <c r="J102" s="82" t="n"/>
      <c r="K102" s="82" t="n"/>
      <c r="L102" s="82" t="n"/>
      <c r="M102" s="83" t="n"/>
      <c r="N102" s="83" t="n"/>
      <c r="O102" s="66">
        <f>IF(OR($M102="",$N102=""),"",$N102-$M102)</f>
        <v/>
      </c>
      <c r="P102" s="84">
        <f>IF($J102="","",IF($L102&lt;&gt;"",$L102-$J102,TODAY()-$J102))</f>
        <v/>
      </c>
      <c r="Q102" s="85">
        <f>IF(OR($K102="",$H102="Completed",$H102="Cancelled"),"",IF(AND($K102&lt;TODAY(),$H102&lt;&gt;"Completed",$H102&lt;&gt;"Cancelled"),"Overdue","On Track"))</f>
        <v/>
      </c>
      <c r="R102" s="81" t="n"/>
      <c r="S102" s="81">
        <f>IF($B102="","",IFERROR(INDEX(Task_Tracker!$AA$5:$AA$1004,MATCH($B102,Task_Tracker!$A$5:$A$1004,0)),""))</f>
        <v/>
      </c>
      <c r="T102" s="81">
        <f>IF($B102="","",IFERROR(INDEX(Task_Tracker!$AB$5:$AB$1004,MATCH($B102,Task_Tracker!$A$5:$A$1004,0)),""))</f>
        <v/>
      </c>
      <c r="U102" s="78">
        <f>IF($B102="","",IFERROR(INDEX(Task_Tracker!$F$5:$F$1004,MATCH($B102,Task_Tracker!$A$5:$A$1004,0)),""))</f>
        <v/>
      </c>
      <c r="V102" s="78">
        <f>IF($B102="","",IFERROR(INDEX(Task_Tracker!$I$5:$I$1004,MATCH($B102,Task_Tracker!$A$5:$A$1004,0)),""))</f>
        <v/>
      </c>
      <c r="W102" s="81">
        <f>IF(OR($D102="",$B102=""),"",$D102&amp;" | "&amp;$B102)</f>
        <v/>
      </c>
      <c r="X102" s="85">
        <f>IF($K102="","",TEXT($K102,"yyyy-mm"))</f>
        <v/>
      </c>
      <c r="Y102" s="81">
        <f>IF(OR($A102="",$T102=""),"","Included in Manager_Report")</f>
        <v/>
      </c>
    </row>
    <row r="103" ht="15" customHeight="1" s="40">
      <c r="A103" s="65">
        <f>IF(COUNTA(B103:G103)=0,"","STP-"&amp;TEXT(ROW()-4,"0000"))</f>
        <v/>
      </c>
      <c r="B103" s="78" t="n"/>
      <c r="C103" s="67">
        <f>IF($B103="","",IFERROR(INDEX(Task_Tracker!$D$5:$D$1004,MATCH($B103,Task_Tracker!$A$5:$A$1004,0)),""))</f>
        <v/>
      </c>
      <c r="D103" s="67">
        <f>IF($B103="","",IFERROR(INDEX(Task_Tracker!$B$5:$B$1004,MATCH($B103,Task_Tracker!$A$5:$A$1004,0)),""))</f>
        <v/>
      </c>
      <c r="E103" s="81" t="n"/>
      <c r="F103" s="81" t="n"/>
      <c r="G103" s="78" t="n"/>
      <c r="H103" s="78" t="n"/>
      <c r="I103" s="67">
        <f>IF($H103="","",IFERROR(INDEX(Action_Status_Map!$B$5:$B$11,MATCH($H103,Action_Status_Map!$A$5:$A$11,0)),""))</f>
        <v/>
      </c>
      <c r="J103" s="82" t="n"/>
      <c r="K103" s="82" t="n"/>
      <c r="L103" s="82" t="n"/>
      <c r="M103" s="83" t="n"/>
      <c r="N103" s="83" t="n"/>
      <c r="O103" s="66">
        <f>IF(OR($M103="",$N103=""),"",$N103-$M103)</f>
        <v/>
      </c>
      <c r="P103" s="84">
        <f>IF($J103="","",IF($L103&lt;&gt;"",$L103-$J103,TODAY()-$J103))</f>
        <v/>
      </c>
      <c r="Q103" s="85">
        <f>IF(OR($K103="",$H103="Completed",$H103="Cancelled"),"",IF(AND($K103&lt;TODAY(),$H103&lt;&gt;"Completed",$H103&lt;&gt;"Cancelled"),"Overdue","On Track"))</f>
        <v/>
      </c>
      <c r="R103" s="81" t="n"/>
      <c r="S103" s="81">
        <f>IF($B103="","",IFERROR(INDEX(Task_Tracker!$AA$5:$AA$1004,MATCH($B103,Task_Tracker!$A$5:$A$1004,0)),""))</f>
        <v/>
      </c>
      <c r="T103" s="81">
        <f>IF($B103="","",IFERROR(INDEX(Task_Tracker!$AB$5:$AB$1004,MATCH($B103,Task_Tracker!$A$5:$A$1004,0)),""))</f>
        <v/>
      </c>
      <c r="U103" s="78">
        <f>IF($B103="","",IFERROR(INDEX(Task_Tracker!$F$5:$F$1004,MATCH($B103,Task_Tracker!$A$5:$A$1004,0)),""))</f>
        <v/>
      </c>
      <c r="V103" s="78">
        <f>IF($B103="","",IFERROR(INDEX(Task_Tracker!$I$5:$I$1004,MATCH($B103,Task_Tracker!$A$5:$A$1004,0)),""))</f>
        <v/>
      </c>
      <c r="W103" s="81">
        <f>IF(OR($D103="",$B103=""),"",$D103&amp;" | "&amp;$B103)</f>
        <v/>
      </c>
      <c r="X103" s="85">
        <f>IF($K103="","",TEXT($K103,"yyyy-mm"))</f>
        <v/>
      </c>
      <c r="Y103" s="81">
        <f>IF(OR($A103="",$T103=""),"","Included in Manager_Report")</f>
        <v/>
      </c>
    </row>
    <row r="104" ht="15" customHeight="1" s="40">
      <c r="A104" s="65">
        <f>IF(COUNTA(B104:G104)=0,"","STP-"&amp;TEXT(ROW()-4,"0000"))</f>
        <v/>
      </c>
      <c r="B104" s="78" t="n"/>
      <c r="C104" s="67">
        <f>IF($B104="","",IFERROR(INDEX(Task_Tracker!$D$5:$D$1004,MATCH($B104,Task_Tracker!$A$5:$A$1004,0)),""))</f>
        <v/>
      </c>
      <c r="D104" s="67">
        <f>IF($B104="","",IFERROR(INDEX(Task_Tracker!$B$5:$B$1004,MATCH($B104,Task_Tracker!$A$5:$A$1004,0)),""))</f>
        <v/>
      </c>
      <c r="E104" s="81" t="n"/>
      <c r="F104" s="81" t="n"/>
      <c r="G104" s="78" t="n"/>
      <c r="H104" s="78" t="n"/>
      <c r="I104" s="67">
        <f>IF($H104="","",IFERROR(INDEX(Action_Status_Map!$B$5:$B$11,MATCH($H104,Action_Status_Map!$A$5:$A$11,0)),""))</f>
        <v/>
      </c>
      <c r="J104" s="82" t="n"/>
      <c r="K104" s="82" t="n"/>
      <c r="L104" s="82" t="n"/>
      <c r="M104" s="83" t="n"/>
      <c r="N104" s="83" t="n"/>
      <c r="O104" s="66">
        <f>IF(OR($M104="",$N104=""),"",$N104-$M104)</f>
        <v/>
      </c>
      <c r="P104" s="84">
        <f>IF($J104="","",IF($L104&lt;&gt;"",$L104-$J104,TODAY()-$J104))</f>
        <v/>
      </c>
      <c r="Q104" s="85">
        <f>IF(OR($K104="",$H104="Completed",$H104="Cancelled"),"",IF(AND($K104&lt;TODAY(),$H104&lt;&gt;"Completed",$H104&lt;&gt;"Cancelled"),"Overdue","On Track"))</f>
        <v/>
      </c>
      <c r="R104" s="81" t="n"/>
      <c r="S104" s="81">
        <f>IF($B104="","",IFERROR(INDEX(Task_Tracker!$AA$5:$AA$1004,MATCH($B104,Task_Tracker!$A$5:$A$1004,0)),""))</f>
        <v/>
      </c>
      <c r="T104" s="81">
        <f>IF($B104="","",IFERROR(INDEX(Task_Tracker!$AB$5:$AB$1004,MATCH($B104,Task_Tracker!$A$5:$A$1004,0)),""))</f>
        <v/>
      </c>
      <c r="U104" s="78">
        <f>IF($B104="","",IFERROR(INDEX(Task_Tracker!$F$5:$F$1004,MATCH($B104,Task_Tracker!$A$5:$A$1004,0)),""))</f>
        <v/>
      </c>
      <c r="V104" s="78">
        <f>IF($B104="","",IFERROR(INDEX(Task_Tracker!$I$5:$I$1004,MATCH($B104,Task_Tracker!$A$5:$A$1004,0)),""))</f>
        <v/>
      </c>
      <c r="W104" s="81">
        <f>IF(OR($D104="",$B104=""),"",$D104&amp;" | "&amp;$B104)</f>
        <v/>
      </c>
      <c r="X104" s="85">
        <f>IF($K104="","",TEXT($K104,"yyyy-mm"))</f>
        <v/>
      </c>
      <c r="Y104" s="81">
        <f>IF(OR($A104="",$T104=""),"","Included in Manager_Report")</f>
        <v/>
      </c>
    </row>
    <row r="105" ht="15" customHeight="1" s="40">
      <c r="A105" s="65">
        <f>IF(COUNTA(B105:G105)=0,"","STP-"&amp;TEXT(ROW()-4,"0000"))</f>
        <v/>
      </c>
      <c r="B105" s="78" t="n"/>
      <c r="C105" s="67">
        <f>IF($B105="","",IFERROR(INDEX(Task_Tracker!$D$5:$D$1004,MATCH($B105,Task_Tracker!$A$5:$A$1004,0)),""))</f>
        <v/>
      </c>
      <c r="D105" s="67">
        <f>IF($B105="","",IFERROR(INDEX(Task_Tracker!$B$5:$B$1004,MATCH($B105,Task_Tracker!$A$5:$A$1004,0)),""))</f>
        <v/>
      </c>
      <c r="E105" s="81" t="n"/>
      <c r="F105" s="81" t="n"/>
      <c r="G105" s="78" t="n"/>
      <c r="H105" s="78" t="n"/>
      <c r="I105" s="67">
        <f>IF($H105="","",IFERROR(INDEX(Action_Status_Map!$B$5:$B$11,MATCH($H105,Action_Status_Map!$A$5:$A$11,0)),""))</f>
        <v/>
      </c>
      <c r="J105" s="82" t="n"/>
      <c r="K105" s="82" t="n"/>
      <c r="L105" s="82" t="n"/>
      <c r="M105" s="83" t="n"/>
      <c r="N105" s="83" t="n"/>
      <c r="O105" s="66">
        <f>IF(OR($M105="",$N105=""),"",$N105-$M105)</f>
        <v/>
      </c>
      <c r="P105" s="84">
        <f>IF($J105="","",IF($L105&lt;&gt;"",$L105-$J105,TODAY()-$J105))</f>
        <v/>
      </c>
      <c r="Q105" s="85">
        <f>IF(OR($K105="",$H105="Completed",$H105="Cancelled"),"",IF(AND($K105&lt;TODAY(),$H105&lt;&gt;"Completed",$H105&lt;&gt;"Cancelled"),"Overdue","On Track"))</f>
        <v/>
      </c>
      <c r="R105" s="81" t="n"/>
      <c r="S105" s="81">
        <f>IF($B105="","",IFERROR(INDEX(Task_Tracker!$AA$5:$AA$1004,MATCH($B105,Task_Tracker!$A$5:$A$1004,0)),""))</f>
        <v/>
      </c>
      <c r="T105" s="81">
        <f>IF($B105="","",IFERROR(INDEX(Task_Tracker!$AB$5:$AB$1004,MATCH($B105,Task_Tracker!$A$5:$A$1004,0)),""))</f>
        <v/>
      </c>
      <c r="U105" s="78">
        <f>IF($B105="","",IFERROR(INDEX(Task_Tracker!$F$5:$F$1004,MATCH($B105,Task_Tracker!$A$5:$A$1004,0)),""))</f>
        <v/>
      </c>
      <c r="V105" s="78">
        <f>IF($B105="","",IFERROR(INDEX(Task_Tracker!$I$5:$I$1004,MATCH($B105,Task_Tracker!$A$5:$A$1004,0)),""))</f>
        <v/>
      </c>
      <c r="W105" s="81">
        <f>IF(OR($D105="",$B105=""),"",$D105&amp;" | "&amp;$B105)</f>
        <v/>
      </c>
      <c r="X105" s="85">
        <f>IF($K105="","",TEXT($K105,"yyyy-mm"))</f>
        <v/>
      </c>
      <c r="Y105" s="81">
        <f>IF(OR($A105="",$T105=""),"","Included in Manager_Report")</f>
        <v/>
      </c>
    </row>
    <row r="106" ht="15" customHeight="1" s="40">
      <c r="A106" s="65">
        <f>IF(COUNTA(B106:G106)=0,"","STP-"&amp;TEXT(ROW()-4,"0000"))</f>
        <v/>
      </c>
      <c r="B106" s="78" t="n"/>
      <c r="C106" s="67">
        <f>IF($B106="","",IFERROR(INDEX(Task_Tracker!$D$5:$D$1004,MATCH($B106,Task_Tracker!$A$5:$A$1004,0)),""))</f>
        <v/>
      </c>
      <c r="D106" s="67">
        <f>IF($B106="","",IFERROR(INDEX(Task_Tracker!$B$5:$B$1004,MATCH($B106,Task_Tracker!$A$5:$A$1004,0)),""))</f>
        <v/>
      </c>
      <c r="E106" s="81" t="n"/>
      <c r="F106" s="81" t="n"/>
      <c r="G106" s="78" t="n"/>
      <c r="H106" s="78" t="n"/>
      <c r="I106" s="67">
        <f>IF($H106="","",IFERROR(INDEX(Action_Status_Map!$B$5:$B$11,MATCH($H106,Action_Status_Map!$A$5:$A$11,0)),""))</f>
        <v/>
      </c>
      <c r="J106" s="82" t="n"/>
      <c r="K106" s="82" t="n"/>
      <c r="L106" s="82" t="n"/>
      <c r="M106" s="83" t="n"/>
      <c r="N106" s="83" t="n"/>
      <c r="O106" s="66">
        <f>IF(OR($M106="",$N106=""),"",$N106-$M106)</f>
        <v/>
      </c>
      <c r="P106" s="84">
        <f>IF($J106="","",IF($L106&lt;&gt;"",$L106-$J106,TODAY()-$J106))</f>
        <v/>
      </c>
      <c r="Q106" s="85">
        <f>IF(OR($K106="",$H106="Completed",$H106="Cancelled"),"",IF(AND($K106&lt;TODAY(),$H106&lt;&gt;"Completed",$H106&lt;&gt;"Cancelled"),"Overdue","On Track"))</f>
        <v/>
      </c>
      <c r="R106" s="81" t="n"/>
      <c r="S106" s="81">
        <f>IF($B106="","",IFERROR(INDEX(Task_Tracker!$AA$5:$AA$1004,MATCH($B106,Task_Tracker!$A$5:$A$1004,0)),""))</f>
        <v/>
      </c>
      <c r="T106" s="81">
        <f>IF($B106="","",IFERROR(INDEX(Task_Tracker!$AB$5:$AB$1004,MATCH($B106,Task_Tracker!$A$5:$A$1004,0)),""))</f>
        <v/>
      </c>
      <c r="U106" s="78">
        <f>IF($B106="","",IFERROR(INDEX(Task_Tracker!$F$5:$F$1004,MATCH($B106,Task_Tracker!$A$5:$A$1004,0)),""))</f>
        <v/>
      </c>
      <c r="V106" s="78">
        <f>IF($B106="","",IFERROR(INDEX(Task_Tracker!$I$5:$I$1004,MATCH($B106,Task_Tracker!$A$5:$A$1004,0)),""))</f>
        <v/>
      </c>
      <c r="W106" s="81">
        <f>IF(OR($D106="",$B106=""),"",$D106&amp;" | "&amp;$B106)</f>
        <v/>
      </c>
      <c r="X106" s="85">
        <f>IF($K106="","",TEXT($K106,"yyyy-mm"))</f>
        <v/>
      </c>
      <c r="Y106" s="81">
        <f>IF(OR($A106="",$T106=""),"","Included in Manager_Report")</f>
        <v/>
      </c>
    </row>
    <row r="107" ht="15" customHeight="1" s="40">
      <c r="A107" s="65">
        <f>IF(COUNTA(B107:G107)=0,"","STP-"&amp;TEXT(ROW()-4,"0000"))</f>
        <v/>
      </c>
      <c r="B107" s="78" t="n"/>
      <c r="C107" s="67">
        <f>IF($B107="","",IFERROR(INDEX(Task_Tracker!$D$5:$D$1004,MATCH($B107,Task_Tracker!$A$5:$A$1004,0)),""))</f>
        <v/>
      </c>
      <c r="D107" s="67">
        <f>IF($B107="","",IFERROR(INDEX(Task_Tracker!$B$5:$B$1004,MATCH($B107,Task_Tracker!$A$5:$A$1004,0)),""))</f>
        <v/>
      </c>
      <c r="E107" s="81" t="n"/>
      <c r="F107" s="81" t="n"/>
      <c r="G107" s="78" t="n"/>
      <c r="H107" s="78" t="n"/>
      <c r="I107" s="67">
        <f>IF($H107="","",IFERROR(INDEX(Action_Status_Map!$B$5:$B$11,MATCH($H107,Action_Status_Map!$A$5:$A$11,0)),""))</f>
        <v/>
      </c>
      <c r="J107" s="82" t="n"/>
      <c r="K107" s="82" t="n"/>
      <c r="L107" s="82" t="n"/>
      <c r="M107" s="83" t="n"/>
      <c r="N107" s="83" t="n"/>
      <c r="O107" s="66">
        <f>IF(OR($M107="",$N107=""),"",$N107-$M107)</f>
        <v/>
      </c>
      <c r="P107" s="84">
        <f>IF($J107="","",IF($L107&lt;&gt;"",$L107-$J107,TODAY()-$J107))</f>
        <v/>
      </c>
      <c r="Q107" s="85">
        <f>IF(OR($K107="",$H107="Completed",$H107="Cancelled"),"",IF(AND($K107&lt;TODAY(),$H107&lt;&gt;"Completed",$H107&lt;&gt;"Cancelled"),"Overdue","On Track"))</f>
        <v/>
      </c>
      <c r="R107" s="81" t="n"/>
      <c r="S107" s="81">
        <f>IF($B107="","",IFERROR(INDEX(Task_Tracker!$AA$5:$AA$1004,MATCH($B107,Task_Tracker!$A$5:$A$1004,0)),""))</f>
        <v/>
      </c>
      <c r="T107" s="81">
        <f>IF($B107="","",IFERROR(INDEX(Task_Tracker!$AB$5:$AB$1004,MATCH($B107,Task_Tracker!$A$5:$A$1004,0)),""))</f>
        <v/>
      </c>
      <c r="U107" s="78">
        <f>IF($B107="","",IFERROR(INDEX(Task_Tracker!$F$5:$F$1004,MATCH($B107,Task_Tracker!$A$5:$A$1004,0)),""))</f>
        <v/>
      </c>
      <c r="V107" s="78">
        <f>IF($B107="","",IFERROR(INDEX(Task_Tracker!$I$5:$I$1004,MATCH($B107,Task_Tracker!$A$5:$A$1004,0)),""))</f>
        <v/>
      </c>
      <c r="W107" s="81">
        <f>IF(OR($D107="",$B107=""),"",$D107&amp;" | "&amp;$B107)</f>
        <v/>
      </c>
      <c r="X107" s="85">
        <f>IF($K107="","",TEXT($K107,"yyyy-mm"))</f>
        <v/>
      </c>
      <c r="Y107" s="81">
        <f>IF(OR($A107="",$T107=""),"","Included in Manager_Report")</f>
        <v/>
      </c>
    </row>
    <row r="108" ht="15" customHeight="1" s="40">
      <c r="A108" s="65">
        <f>IF(COUNTA(B108:G108)=0,"","STP-"&amp;TEXT(ROW()-4,"0000"))</f>
        <v/>
      </c>
      <c r="B108" s="78" t="n"/>
      <c r="C108" s="67">
        <f>IF($B108="","",IFERROR(INDEX(Task_Tracker!$D$5:$D$1004,MATCH($B108,Task_Tracker!$A$5:$A$1004,0)),""))</f>
        <v/>
      </c>
      <c r="D108" s="67">
        <f>IF($B108="","",IFERROR(INDEX(Task_Tracker!$B$5:$B$1004,MATCH($B108,Task_Tracker!$A$5:$A$1004,0)),""))</f>
        <v/>
      </c>
      <c r="E108" s="81" t="n"/>
      <c r="F108" s="81" t="n"/>
      <c r="G108" s="78" t="n"/>
      <c r="H108" s="78" t="n"/>
      <c r="I108" s="67">
        <f>IF($H108="","",IFERROR(INDEX(Action_Status_Map!$B$5:$B$11,MATCH($H108,Action_Status_Map!$A$5:$A$11,0)),""))</f>
        <v/>
      </c>
      <c r="J108" s="82" t="n"/>
      <c r="K108" s="82" t="n"/>
      <c r="L108" s="82" t="n"/>
      <c r="M108" s="83" t="n"/>
      <c r="N108" s="83" t="n"/>
      <c r="O108" s="66">
        <f>IF(OR($M108="",$N108=""),"",$N108-$M108)</f>
        <v/>
      </c>
      <c r="P108" s="84">
        <f>IF($J108="","",IF($L108&lt;&gt;"",$L108-$J108,TODAY()-$J108))</f>
        <v/>
      </c>
      <c r="Q108" s="85">
        <f>IF(OR($K108="",$H108="Completed",$H108="Cancelled"),"",IF(AND($K108&lt;TODAY(),$H108&lt;&gt;"Completed",$H108&lt;&gt;"Cancelled"),"Overdue","On Track"))</f>
        <v/>
      </c>
      <c r="R108" s="81" t="n"/>
      <c r="S108" s="81">
        <f>IF($B108="","",IFERROR(INDEX(Task_Tracker!$AA$5:$AA$1004,MATCH($B108,Task_Tracker!$A$5:$A$1004,0)),""))</f>
        <v/>
      </c>
      <c r="T108" s="81">
        <f>IF($B108="","",IFERROR(INDEX(Task_Tracker!$AB$5:$AB$1004,MATCH($B108,Task_Tracker!$A$5:$A$1004,0)),""))</f>
        <v/>
      </c>
      <c r="U108" s="78">
        <f>IF($B108="","",IFERROR(INDEX(Task_Tracker!$F$5:$F$1004,MATCH($B108,Task_Tracker!$A$5:$A$1004,0)),""))</f>
        <v/>
      </c>
      <c r="V108" s="78">
        <f>IF($B108="","",IFERROR(INDEX(Task_Tracker!$I$5:$I$1004,MATCH($B108,Task_Tracker!$A$5:$A$1004,0)),""))</f>
        <v/>
      </c>
      <c r="W108" s="81">
        <f>IF(OR($D108="",$B108=""),"",$D108&amp;" | "&amp;$B108)</f>
        <v/>
      </c>
      <c r="X108" s="85">
        <f>IF($K108="","",TEXT($K108,"yyyy-mm"))</f>
        <v/>
      </c>
      <c r="Y108" s="81">
        <f>IF(OR($A108="",$T108=""),"","Included in Manager_Report")</f>
        <v/>
      </c>
    </row>
    <row r="109" ht="15" customHeight="1" s="40">
      <c r="A109" s="65">
        <f>IF(COUNTA(B109:G109)=0,"","STP-"&amp;TEXT(ROW()-4,"0000"))</f>
        <v/>
      </c>
      <c r="B109" s="78" t="n"/>
      <c r="C109" s="67">
        <f>IF($B109="","",IFERROR(INDEX(Task_Tracker!$D$5:$D$1004,MATCH($B109,Task_Tracker!$A$5:$A$1004,0)),""))</f>
        <v/>
      </c>
      <c r="D109" s="67">
        <f>IF($B109="","",IFERROR(INDEX(Task_Tracker!$B$5:$B$1004,MATCH($B109,Task_Tracker!$A$5:$A$1004,0)),""))</f>
        <v/>
      </c>
      <c r="E109" s="81" t="n"/>
      <c r="F109" s="81" t="n"/>
      <c r="G109" s="78" t="n"/>
      <c r="H109" s="78" t="n"/>
      <c r="I109" s="67">
        <f>IF($H109="","",IFERROR(INDEX(Action_Status_Map!$B$5:$B$11,MATCH($H109,Action_Status_Map!$A$5:$A$11,0)),""))</f>
        <v/>
      </c>
      <c r="J109" s="82" t="n"/>
      <c r="K109" s="82" t="n"/>
      <c r="L109" s="82" t="n"/>
      <c r="M109" s="83" t="n"/>
      <c r="N109" s="83" t="n"/>
      <c r="O109" s="66">
        <f>IF(OR($M109="",$N109=""),"",$N109-$M109)</f>
        <v/>
      </c>
      <c r="P109" s="84">
        <f>IF($J109="","",IF($L109&lt;&gt;"",$L109-$J109,TODAY()-$J109))</f>
        <v/>
      </c>
      <c r="Q109" s="85">
        <f>IF(OR($K109="",$H109="Completed",$H109="Cancelled"),"",IF(AND($K109&lt;TODAY(),$H109&lt;&gt;"Completed",$H109&lt;&gt;"Cancelled"),"Overdue","On Track"))</f>
        <v/>
      </c>
      <c r="R109" s="81" t="n"/>
      <c r="S109" s="81">
        <f>IF($B109="","",IFERROR(INDEX(Task_Tracker!$AA$5:$AA$1004,MATCH($B109,Task_Tracker!$A$5:$A$1004,0)),""))</f>
        <v/>
      </c>
      <c r="T109" s="81">
        <f>IF($B109="","",IFERROR(INDEX(Task_Tracker!$AB$5:$AB$1004,MATCH($B109,Task_Tracker!$A$5:$A$1004,0)),""))</f>
        <v/>
      </c>
      <c r="U109" s="78">
        <f>IF($B109="","",IFERROR(INDEX(Task_Tracker!$F$5:$F$1004,MATCH($B109,Task_Tracker!$A$5:$A$1004,0)),""))</f>
        <v/>
      </c>
      <c r="V109" s="78">
        <f>IF($B109="","",IFERROR(INDEX(Task_Tracker!$I$5:$I$1004,MATCH($B109,Task_Tracker!$A$5:$A$1004,0)),""))</f>
        <v/>
      </c>
      <c r="W109" s="81">
        <f>IF(OR($D109="",$B109=""),"",$D109&amp;" | "&amp;$B109)</f>
        <v/>
      </c>
      <c r="X109" s="85">
        <f>IF($K109="","",TEXT($K109,"yyyy-mm"))</f>
        <v/>
      </c>
      <c r="Y109" s="81">
        <f>IF(OR($A109="",$T109=""),"","Included in Manager_Report")</f>
        <v/>
      </c>
    </row>
    <row r="110" ht="15" customHeight="1" s="40">
      <c r="A110" s="65">
        <f>IF(COUNTA(B110:G110)=0,"","STP-"&amp;TEXT(ROW()-4,"0000"))</f>
        <v/>
      </c>
      <c r="B110" s="78" t="n"/>
      <c r="C110" s="67">
        <f>IF($B110="","",IFERROR(INDEX(Task_Tracker!$D$5:$D$1004,MATCH($B110,Task_Tracker!$A$5:$A$1004,0)),""))</f>
        <v/>
      </c>
      <c r="D110" s="67">
        <f>IF($B110="","",IFERROR(INDEX(Task_Tracker!$B$5:$B$1004,MATCH($B110,Task_Tracker!$A$5:$A$1004,0)),""))</f>
        <v/>
      </c>
      <c r="E110" s="81" t="n"/>
      <c r="F110" s="81" t="n"/>
      <c r="G110" s="78" t="n"/>
      <c r="H110" s="78" t="n"/>
      <c r="I110" s="67">
        <f>IF($H110="","",IFERROR(INDEX(Action_Status_Map!$B$5:$B$11,MATCH($H110,Action_Status_Map!$A$5:$A$11,0)),""))</f>
        <v/>
      </c>
      <c r="J110" s="82" t="n"/>
      <c r="K110" s="82" t="n"/>
      <c r="L110" s="82" t="n"/>
      <c r="M110" s="83" t="n"/>
      <c r="N110" s="83" t="n"/>
      <c r="O110" s="66">
        <f>IF(OR($M110="",$N110=""),"",$N110-$M110)</f>
        <v/>
      </c>
      <c r="P110" s="84">
        <f>IF($J110="","",IF($L110&lt;&gt;"",$L110-$J110,TODAY()-$J110))</f>
        <v/>
      </c>
      <c r="Q110" s="85">
        <f>IF(OR($K110="",$H110="Completed",$H110="Cancelled"),"",IF(AND($K110&lt;TODAY(),$H110&lt;&gt;"Completed",$H110&lt;&gt;"Cancelled"),"Overdue","On Track"))</f>
        <v/>
      </c>
      <c r="R110" s="81" t="n"/>
      <c r="S110" s="81">
        <f>IF($B110="","",IFERROR(INDEX(Task_Tracker!$AA$5:$AA$1004,MATCH($B110,Task_Tracker!$A$5:$A$1004,0)),""))</f>
        <v/>
      </c>
      <c r="T110" s="81">
        <f>IF($B110="","",IFERROR(INDEX(Task_Tracker!$AB$5:$AB$1004,MATCH($B110,Task_Tracker!$A$5:$A$1004,0)),""))</f>
        <v/>
      </c>
      <c r="U110" s="78">
        <f>IF($B110="","",IFERROR(INDEX(Task_Tracker!$F$5:$F$1004,MATCH($B110,Task_Tracker!$A$5:$A$1004,0)),""))</f>
        <v/>
      </c>
      <c r="V110" s="78">
        <f>IF($B110="","",IFERROR(INDEX(Task_Tracker!$I$5:$I$1004,MATCH($B110,Task_Tracker!$A$5:$A$1004,0)),""))</f>
        <v/>
      </c>
      <c r="W110" s="81">
        <f>IF(OR($D110="",$B110=""),"",$D110&amp;" | "&amp;$B110)</f>
        <v/>
      </c>
      <c r="X110" s="85">
        <f>IF($K110="","",TEXT($K110,"yyyy-mm"))</f>
        <v/>
      </c>
      <c r="Y110" s="81">
        <f>IF(OR($A110="",$T110=""),"","Included in Manager_Report")</f>
        <v/>
      </c>
    </row>
    <row r="111" ht="15" customHeight="1" s="40">
      <c r="A111" s="65">
        <f>IF(COUNTA(B111:G111)=0,"","STP-"&amp;TEXT(ROW()-4,"0000"))</f>
        <v/>
      </c>
      <c r="B111" s="78" t="n"/>
      <c r="C111" s="67">
        <f>IF($B111="","",IFERROR(INDEX(Task_Tracker!$D$5:$D$1004,MATCH($B111,Task_Tracker!$A$5:$A$1004,0)),""))</f>
        <v/>
      </c>
      <c r="D111" s="67">
        <f>IF($B111="","",IFERROR(INDEX(Task_Tracker!$B$5:$B$1004,MATCH($B111,Task_Tracker!$A$5:$A$1004,0)),""))</f>
        <v/>
      </c>
      <c r="E111" s="81" t="n"/>
      <c r="F111" s="81" t="n"/>
      <c r="G111" s="78" t="n"/>
      <c r="H111" s="78" t="n"/>
      <c r="I111" s="67">
        <f>IF($H111="","",IFERROR(INDEX(Action_Status_Map!$B$5:$B$11,MATCH($H111,Action_Status_Map!$A$5:$A$11,0)),""))</f>
        <v/>
      </c>
      <c r="J111" s="82" t="n"/>
      <c r="K111" s="82" t="n"/>
      <c r="L111" s="82" t="n"/>
      <c r="M111" s="83" t="n"/>
      <c r="N111" s="83" t="n"/>
      <c r="O111" s="66">
        <f>IF(OR($M111="",$N111=""),"",$N111-$M111)</f>
        <v/>
      </c>
      <c r="P111" s="84">
        <f>IF($J111="","",IF($L111&lt;&gt;"",$L111-$J111,TODAY()-$J111))</f>
        <v/>
      </c>
      <c r="Q111" s="85">
        <f>IF(OR($K111="",$H111="Completed",$H111="Cancelled"),"",IF(AND($K111&lt;TODAY(),$H111&lt;&gt;"Completed",$H111&lt;&gt;"Cancelled"),"Overdue","On Track"))</f>
        <v/>
      </c>
      <c r="R111" s="81" t="n"/>
      <c r="S111" s="81">
        <f>IF($B111="","",IFERROR(INDEX(Task_Tracker!$AA$5:$AA$1004,MATCH($B111,Task_Tracker!$A$5:$A$1004,0)),""))</f>
        <v/>
      </c>
      <c r="T111" s="81">
        <f>IF($B111="","",IFERROR(INDEX(Task_Tracker!$AB$5:$AB$1004,MATCH($B111,Task_Tracker!$A$5:$A$1004,0)),""))</f>
        <v/>
      </c>
      <c r="U111" s="78">
        <f>IF($B111="","",IFERROR(INDEX(Task_Tracker!$F$5:$F$1004,MATCH($B111,Task_Tracker!$A$5:$A$1004,0)),""))</f>
        <v/>
      </c>
      <c r="V111" s="78">
        <f>IF($B111="","",IFERROR(INDEX(Task_Tracker!$I$5:$I$1004,MATCH($B111,Task_Tracker!$A$5:$A$1004,0)),""))</f>
        <v/>
      </c>
      <c r="W111" s="81">
        <f>IF(OR($D111="",$B111=""),"",$D111&amp;" | "&amp;$B111)</f>
        <v/>
      </c>
      <c r="X111" s="85">
        <f>IF($K111="","",TEXT($K111,"yyyy-mm"))</f>
        <v/>
      </c>
      <c r="Y111" s="81">
        <f>IF(OR($A111="",$T111=""),"","Included in Manager_Report")</f>
        <v/>
      </c>
    </row>
    <row r="112" ht="15" customHeight="1" s="40">
      <c r="A112" s="65">
        <f>IF(COUNTA(B112:G112)=0,"","STP-"&amp;TEXT(ROW()-4,"0000"))</f>
        <v/>
      </c>
      <c r="B112" s="78" t="n"/>
      <c r="C112" s="67">
        <f>IF($B112="","",IFERROR(INDEX(Task_Tracker!$D$5:$D$1004,MATCH($B112,Task_Tracker!$A$5:$A$1004,0)),""))</f>
        <v/>
      </c>
      <c r="D112" s="67">
        <f>IF($B112="","",IFERROR(INDEX(Task_Tracker!$B$5:$B$1004,MATCH($B112,Task_Tracker!$A$5:$A$1004,0)),""))</f>
        <v/>
      </c>
      <c r="E112" s="81" t="n"/>
      <c r="F112" s="81" t="n"/>
      <c r="G112" s="78" t="n"/>
      <c r="H112" s="78" t="n"/>
      <c r="I112" s="67">
        <f>IF($H112="","",IFERROR(INDEX(Action_Status_Map!$B$5:$B$11,MATCH($H112,Action_Status_Map!$A$5:$A$11,0)),""))</f>
        <v/>
      </c>
      <c r="J112" s="82" t="n"/>
      <c r="K112" s="82" t="n"/>
      <c r="L112" s="82" t="n"/>
      <c r="M112" s="83" t="n"/>
      <c r="N112" s="83" t="n"/>
      <c r="O112" s="66">
        <f>IF(OR($M112="",$N112=""),"",$N112-$M112)</f>
        <v/>
      </c>
      <c r="P112" s="84">
        <f>IF($J112="","",IF($L112&lt;&gt;"",$L112-$J112,TODAY()-$J112))</f>
        <v/>
      </c>
      <c r="Q112" s="85">
        <f>IF(OR($K112="",$H112="Completed",$H112="Cancelled"),"",IF(AND($K112&lt;TODAY(),$H112&lt;&gt;"Completed",$H112&lt;&gt;"Cancelled"),"Overdue","On Track"))</f>
        <v/>
      </c>
      <c r="R112" s="81" t="n"/>
      <c r="S112" s="81">
        <f>IF($B112="","",IFERROR(INDEX(Task_Tracker!$AA$5:$AA$1004,MATCH($B112,Task_Tracker!$A$5:$A$1004,0)),""))</f>
        <v/>
      </c>
      <c r="T112" s="81">
        <f>IF($B112="","",IFERROR(INDEX(Task_Tracker!$AB$5:$AB$1004,MATCH($B112,Task_Tracker!$A$5:$A$1004,0)),""))</f>
        <v/>
      </c>
      <c r="U112" s="78">
        <f>IF($B112="","",IFERROR(INDEX(Task_Tracker!$F$5:$F$1004,MATCH($B112,Task_Tracker!$A$5:$A$1004,0)),""))</f>
        <v/>
      </c>
      <c r="V112" s="78">
        <f>IF($B112="","",IFERROR(INDEX(Task_Tracker!$I$5:$I$1004,MATCH($B112,Task_Tracker!$A$5:$A$1004,0)),""))</f>
        <v/>
      </c>
      <c r="W112" s="81">
        <f>IF(OR($D112="",$B112=""),"",$D112&amp;" | "&amp;$B112)</f>
        <v/>
      </c>
      <c r="X112" s="85">
        <f>IF($K112="","",TEXT($K112,"yyyy-mm"))</f>
        <v/>
      </c>
      <c r="Y112" s="81">
        <f>IF(OR($A112="",$T112=""),"","Included in Manager_Report")</f>
        <v/>
      </c>
    </row>
    <row r="113" ht="15" customHeight="1" s="40">
      <c r="A113" s="65">
        <f>IF(COUNTA(B113:G113)=0,"","STP-"&amp;TEXT(ROW()-4,"0000"))</f>
        <v/>
      </c>
      <c r="B113" s="78" t="n"/>
      <c r="C113" s="67">
        <f>IF($B113="","",IFERROR(INDEX(Task_Tracker!$D$5:$D$1004,MATCH($B113,Task_Tracker!$A$5:$A$1004,0)),""))</f>
        <v/>
      </c>
      <c r="D113" s="67">
        <f>IF($B113="","",IFERROR(INDEX(Task_Tracker!$B$5:$B$1004,MATCH($B113,Task_Tracker!$A$5:$A$1004,0)),""))</f>
        <v/>
      </c>
      <c r="E113" s="81" t="n"/>
      <c r="F113" s="81" t="n"/>
      <c r="G113" s="78" t="n"/>
      <c r="H113" s="78" t="n"/>
      <c r="I113" s="67">
        <f>IF($H113="","",IFERROR(INDEX(Action_Status_Map!$B$5:$B$11,MATCH($H113,Action_Status_Map!$A$5:$A$11,0)),""))</f>
        <v/>
      </c>
      <c r="J113" s="82" t="n"/>
      <c r="K113" s="82" t="n"/>
      <c r="L113" s="82" t="n"/>
      <c r="M113" s="83" t="n"/>
      <c r="N113" s="83" t="n"/>
      <c r="O113" s="66">
        <f>IF(OR($M113="",$N113=""),"",$N113-$M113)</f>
        <v/>
      </c>
      <c r="P113" s="84">
        <f>IF($J113="","",IF($L113&lt;&gt;"",$L113-$J113,TODAY()-$J113))</f>
        <v/>
      </c>
      <c r="Q113" s="85">
        <f>IF(OR($K113="",$H113="Completed",$H113="Cancelled"),"",IF(AND($K113&lt;TODAY(),$H113&lt;&gt;"Completed",$H113&lt;&gt;"Cancelled"),"Overdue","On Track"))</f>
        <v/>
      </c>
      <c r="R113" s="81" t="n"/>
      <c r="S113" s="81">
        <f>IF($B113="","",IFERROR(INDEX(Task_Tracker!$AA$5:$AA$1004,MATCH($B113,Task_Tracker!$A$5:$A$1004,0)),""))</f>
        <v/>
      </c>
      <c r="T113" s="81">
        <f>IF($B113="","",IFERROR(INDEX(Task_Tracker!$AB$5:$AB$1004,MATCH($B113,Task_Tracker!$A$5:$A$1004,0)),""))</f>
        <v/>
      </c>
      <c r="U113" s="78">
        <f>IF($B113="","",IFERROR(INDEX(Task_Tracker!$F$5:$F$1004,MATCH($B113,Task_Tracker!$A$5:$A$1004,0)),""))</f>
        <v/>
      </c>
      <c r="V113" s="78">
        <f>IF($B113="","",IFERROR(INDEX(Task_Tracker!$I$5:$I$1004,MATCH($B113,Task_Tracker!$A$5:$A$1004,0)),""))</f>
        <v/>
      </c>
      <c r="W113" s="81">
        <f>IF(OR($D113="",$B113=""),"",$D113&amp;" | "&amp;$B113)</f>
        <v/>
      </c>
      <c r="X113" s="85">
        <f>IF($K113="","",TEXT($K113,"yyyy-mm"))</f>
        <v/>
      </c>
      <c r="Y113" s="81">
        <f>IF(OR($A113="",$T113=""),"","Included in Manager_Report")</f>
        <v/>
      </c>
    </row>
    <row r="114" ht="15" customHeight="1" s="40">
      <c r="A114" s="65">
        <f>IF(COUNTA(B114:G114)=0,"","STP-"&amp;TEXT(ROW()-4,"0000"))</f>
        <v/>
      </c>
      <c r="B114" s="78" t="n"/>
      <c r="C114" s="67">
        <f>IF($B114="","",IFERROR(INDEX(Task_Tracker!$D$5:$D$1004,MATCH($B114,Task_Tracker!$A$5:$A$1004,0)),""))</f>
        <v/>
      </c>
      <c r="D114" s="67">
        <f>IF($B114="","",IFERROR(INDEX(Task_Tracker!$B$5:$B$1004,MATCH($B114,Task_Tracker!$A$5:$A$1004,0)),""))</f>
        <v/>
      </c>
      <c r="E114" s="81" t="n"/>
      <c r="F114" s="81" t="n"/>
      <c r="G114" s="78" t="n"/>
      <c r="H114" s="78" t="n"/>
      <c r="I114" s="67">
        <f>IF($H114="","",IFERROR(INDEX(Action_Status_Map!$B$5:$B$11,MATCH($H114,Action_Status_Map!$A$5:$A$11,0)),""))</f>
        <v/>
      </c>
      <c r="J114" s="82" t="n"/>
      <c r="K114" s="82" t="n"/>
      <c r="L114" s="82" t="n"/>
      <c r="M114" s="83" t="n"/>
      <c r="N114" s="83" t="n"/>
      <c r="O114" s="66">
        <f>IF(OR($M114="",$N114=""),"",$N114-$M114)</f>
        <v/>
      </c>
      <c r="P114" s="84">
        <f>IF($J114="","",IF($L114&lt;&gt;"",$L114-$J114,TODAY()-$J114))</f>
        <v/>
      </c>
      <c r="Q114" s="85">
        <f>IF(OR($K114="",$H114="Completed",$H114="Cancelled"),"",IF(AND($K114&lt;TODAY(),$H114&lt;&gt;"Completed",$H114&lt;&gt;"Cancelled"),"Overdue","On Track"))</f>
        <v/>
      </c>
      <c r="R114" s="81" t="n"/>
      <c r="S114" s="81">
        <f>IF($B114="","",IFERROR(INDEX(Task_Tracker!$AA$5:$AA$1004,MATCH($B114,Task_Tracker!$A$5:$A$1004,0)),""))</f>
        <v/>
      </c>
      <c r="T114" s="81">
        <f>IF($B114="","",IFERROR(INDEX(Task_Tracker!$AB$5:$AB$1004,MATCH($B114,Task_Tracker!$A$5:$A$1004,0)),""))</f>
        <v/>
      </c>
      <c r="U114" s="78">
        <f>IF($B114="","",IFERROR(INDEX(Task_Tracker!$F$5:$F$1004,MATCH($B114,Task_Tracker!$A$5:$A$1004,0)),""))</f>
        <v/>
      </c>
      <c r="V114" s="78">
        <f>IF($B114="","",IFERROR(INDEX(Task_Tracker!$I$5:$I$1004,MATCH($B114,Task_Tracker!$A$5:$A$1004,0)),""))</f>
        <v/>
      </c>
      <c r="W114" s="81">
        <f>IF(OR($D114="",$B114=""),"",$D114&amp;" | "&amp;$B114)</f>
        <v/>
      </c>
      <c r="X114" s="85">
        <f>IF($K114="","",TEXT($K114,"yyyy-mm"))</f>
        <v/>
      </c>
      <c r="Y114" s="81">
        <f>IF(OR($A114="",$T114=""),"","Included in Manager_Report")</f>
        <v/>
      </c>
    </row>
    <row r="115" ht="15" customHeight="1" s="40">
      <c r="A115" s="65">
        <f>IF(COUNTA(B115:G115)=0,"","STP-"&amp;TEXT(ROW()-4,"0000"))</f>
        <v/>
      </c>
      <c r="B115" s="78" t="n"/>
      <c r="C115" s="67">
        <f>IF($B115="","",IFERROR(INDEX(Task_Tracker!$D$5:$D$1004,MATCH($B115,Task_Tracker!$A$5:$A$1004,0)),""))</f>
        <v/>
      </c>
      <c r="D115" s="67">
        <f>IF($B115="","",IFERROR(INDEX(Task_Tracker!$B$5:$B$1004,MATCH($B115,Task_Tracker!$A$5:$A$1004,0)),""))</f>
        <v/>
      </c>
      <c r="E115" s="81" t="n"/>
      <c r="F115" s="81" t="n"/>
      <c r="G115" s="78" t="n"/>
      <c r="H115" s="78" t="n"/>
      <c r="I115" s="67">
        <f>IF($H115="","",IFERROR(INDEX(Action_Status_Map!$B$5:$B$11,MATCH($H115,Action_Status_Map!$A$5:$A$11,0)),""))</f>
        <v/>
      </c>
      <c r="J115" s="82" t="n"/>
      <c r="K115" s="82" t="n"/>
      <c r="L115" s="82" t="n"/>
      <c r="M115" s="83" t="n"/>
      <c r="N115" s="83" t="n"/>
      <c r="O115" s="66">
        <f>IF(OR($M115="",$N115=""),"",$N115-$M115)</f>
        <v/>
      </c>
      <c r="P115" s="84">
        <f>IF($J115="","",IF($L115&lt;&gt;"",$L115-$J115,TODAY()-$J115))</f>
        <v/>
      </c>
      <c r="Q115" s="85">
        <f>IF(OR($K115="",$H115="Completed",$H115="Cancelled"),"",IF(AND($K115&lt;TODAY(),$H115&lt;&gt;"Completed",$H115&lt;&gt;"Cancelled"),"Overdue","On Track"))</f>
        <v/>
      </c>
      <c r="R115" s="81" t="n"/>
      <c r="S115" s="81">
        <f>IF($B115="","",IFERROR(INDEX(Task_Tracker!$AA$5:$AA$1004,MATCH($B115,Task_Tracker!$A$5:$A$1004,0)),""))</f>
        <v/>
      </c>
      <c r="T115" s="81">
        <f>IF($B115="","",IFERROR(INDEX(Task_Tracker!$AB$5:$AB$1004,MATCH($B115,Task_Tracker!$A$5:$A$1004,0)),""))</f>
        <v/>
      </c>
      <c r="U115" s="78">
        <f>IF($B115="","",IFERROR(INDEX(Task_Tracker!$F$5:$F$1004,MATCH($B115,Task_Tracker!$A$5:$A$1004,0)),""))</f>
        <v/>
      </c>
      <c r="V115" s="78">
        <f>IF($B115="","",IFERROR(INDEX(Task_Tracker!$I$5:$I$1004,MATCH($B115,Task_Tracker!$A$5:$A$1004,0)),""))</f>
        <v/>
      </c>
      <c r="W115" s="81">
        <f>IF(OR($D115="",$B115=""),"",$D115&amp;" | "&amp;$B115)</f>
        <v/>
      </c>
      <c r="X115" s="85">
        <f>IF($K115="","",TEXT($K115,"yyyy-mm"))</f>
        <v/>
      </c>
      <c r="Y115" s="81">
        <f>IF(OR($A115="",$T115=""),"","Included in Manager_Report")</f>
        <v/>
      </c>
    </row>
    <row r="116" ht="15" customHeight="1" s="40">
      <c r="A116" s="65">
        <f>IF(COUNTA(B116:G116)=0,"","STP-"&amp;TEXT(ROW()-4,"0000"))</f>
        <v/>
      </c>
      <c r="B116" s="78" t="n"/>
      <c r="C116" s="67">
        <f>IF($B116="","",IFERROR(INDEX(Task_Tracker!$D$5:$D$1004,MATCH($B116,Task_Tracker!$A$5:$A$1004,0)),""))</f>
        <v/>
      </c>
      <c r="D116" s="67">
        <f>IF($B116="","",IFERROR(INDEX(Task_Tracker!$B$5:$B$1004,MATCH($B116,Task_Tracker!$A$5:$A$1004,0)),""))</f>
        <v/>
      </c>
      <c r="E116" s="81" t="n"/>
      <c r="F116" s="81" t="n"/>
      <c r="G116" s="78" t="n"/>
      <c r="H116" s="78" t="n"/>
      <c r="I116" s="67">
        <f>IF($H116="","",IFERROR(INDEX(Action_Status_Map!$B$5:$B$11,MATCH($H116,Action_Status_Map!$A$5:$A$11,0)),""))</f>
        <v/>
      </c>
      <c r="J116" s="82" t="n"/>
      <c r="K116" s="82" t="n"/>
      <c r="L116" s="82" t="n"/>
      <c r="M116" s="83" t="n"/>
      <c r="N116" s="83" t="n"/>
      <c r="O116" s="66">
        <f>IF(OR($M116="",$N116=""),"",$N116-$M116)</f>
        <v/>
      </c>
      <c r="P116" s="84">
        <f>IF($J116="","",IF($L116&lt;&gt;"",$L116-$J116,TODAY()-$J116))</f>
        <v/>
      </c>
      <c r="Q116" s="85">
        <f>IF(OR($K116="",$H116="Completed",$H116="Cancelled"),"",IF(AND($K116&lt;TODAY(),$H116&lt;&gt;"Completed",$H116&lt;&gt;"Cancelled"),"Overdue","On Track"))</f>
        <v/>
      </c>
      <c r="R116" s="81" t="n"/>
      <c r="S116" s="81">
        <f>IF($B116="","",IFERROR(INDEX(Task_Tracker!$AA$5:$AA$1004,MATCH($B116,Task_Tracker!$A$5:$A$1004,0)),""))</f>
        <v/>
      </c>
      <c r="T116" s="81">
        <f>IF($B116="","",IFERROR(INDEX(Task_Tracker!$AB$5:$AB$1004,MATCH($B116,Task_Tracker!$A$5:$A$1004,0)),""))</f>
        <v/>
      </c>
      <c r="U116" s="78">
        <f>IF($B116="","",IFERROR(INDEX(Task_Tracker!$F$5:$F$1004,MATCH($B116,Task_Tracker!$A$5:$A$1004,0)),""))</f>
        <v/>
      </c>
      <c r="V116" s="78">
        <f>IF($B116="","",IFERROR(INDEX(Task_Tracker!$I$5:$I$1004,MATCH($B116,Task_Tracker!$A$5:$A$1004,0)),""))</f>
        <v/>
      </c>
      <c r="W116" s="81">
        <f>IF(OR($D116="",$B116=""),"",$D116&amp;" | "&amp;$B116)</f>
        <v/>
      </c>
      <c r="X116" s="85">
        <f>IF($K116="","",TEXT($K116,"yyyy-mm"))</f>
        <v/>
      </c>
      <c r="Y116" s="81">
        <f>IF(OR($A116="",$T116=""),"","Included in Manager_Report")</f>
        <v/>
      </c>
    </row>
    <row r="117" ht="15" customHeight="1" s="40">
      <c r="A117" s="65">
        <f>IF(COUNTA(B117:G117)=0,"","STP-"&amp;TEXT(ROW()-4,"0000"))</f>
        <v/>
      </c>
      <c r="B117" s="78" t="n"/>
      <c r="C117" s="67">
        <f>IF($B117="","",IFERROR(INDEX(Task_Tracker!$D$5:$D$1004,MATCH($B117,Task_Tracker!$A$5:$A$1004,0)),""))</f>
        <v/>
      </c>
      <c r="D117" s="67">
        <f>IF($B117="","",IFERROR(INDEX(Task_Tracker!$B$5:$B$1004,MATCH($B117,Task_Tracker!$A$5:$A$1004,0)),""))</f>
        <v/>
      </c>
      <c r="E117" s="81" t="n"/>
      <c r="F117" s="81" t="n"/>
      <c r="G117" s="78" t="n"/>
      <c r="H117" s="78" t="n"/>
      <c r="I117" s="67">
        <f>IF($H117="","",IFERROR(INDEX(Action_Status_Map!$B$5:$B$11,MATCH($H117,Action_Status_Map!$A$5:$A$11,0)),""))</f>
        <v/>
      </c>
      <c r="J117" s="82" t="n"/>
      <c r="K117" s="82" t="n"/>
      <c r="L117" s="82" t="n"/>
      <c r="M117" s="83" t="n"/>
      <c r="N117" s="83" t="n"/>
      <c r="O117" s="66">
        <f>IF(OR($M117="",$N117=""),"",$N117-$M117)</f>
        <v/>
      </c>
      <c r="P117" s="84">
        <f>IF($J117="","",IF($L117&lt;&gt;"",$L117-$J117,TODAY()-$J117))</f>
        <v/>
      </c>
      <c r="Q117" s="85">
        <f>IF(OR($K117="",$H117="Completed",$H117="Cancelled"),"",IF(AND($K117&lt;TODAY(),$H117&lt;&gt;"Completed",$H117&lt;&gt;"Cancelled"),"Overdue","On Track"))</f>
        <v/>
      </c>
      <c r="R117" s="81" t="n"/>
      <c r="S117" s="81">
        <f>IF($B117="","",IFERROR(INDEX(Task_Tracker!$AA$5:$AA$1004,MATCH($B117,Task_Tracker!$A$5:$A$1004,0)),""))</f>
        <v/>
      </c>
      <c r="T117" s="81">
        <f>IF($B117="","",IFERROR(INDEX(Task_Tracker!$AB$5:$AB$1004,MATCH($B117,Task_Tracker!$A$5:$A$1004,0)),""))</f>
        <v/>
      </c>
      <c r="U117" s="78">
        <f>IF($B117="","",IFERROR(INDEX(Task_Tracker!$F$5:$F$1004,MATCH($B117,Task_Tracker!$A$5:$A$1004,0)),""))</f>
        <v/>
      </c>
      <c r="V117" s="78">
        <f>IF($B117="","",IFERROR(INDEX(Task_Tracker!$I$5:$I$1004,MATCH($B117,Task_Tracker!$A$5:$A$1004,0)),""))</f>
        <v/>
      </c>
      <c r="W117" s="81">
        <f>IF(OR($D117="",$B117=""),"",$D117&amp;" | "&amp;$B117)</f>
        <v/>
      </c>
      <c r="X117" s="85">
        <f>IF($K117="","",TEXT($K117,"yyyy-mm"))</f>
        <v/>
      </c>
      <c r="Y117" s="81">
        <f>IF(OR($A117="",$T117=""),"","Included in Manager_Report")</f>
        <v/>
      </c>
    </row>
    <row r="118" ht="15" customHeight="1" s="40">
      <c r="A118" s="65">
        <f>IF(COUNTA(B118:G118)=0,"","STP-"&amp;TEXT(ROW()-4,"0000"))</f>
        <v/>
      </c>
      <c r="B118" s="78" t="n"/>
      <c r="C118" s="67">
        <f>IF($B118="","",IFERROR(INDEX(Task_Tracker!$D$5:$D$1004,MATCH($B118,Task_Tracker!$A$5:$A$1004,0)),""))</f>
        <v/>
      </c>
      <c r="D118" s="67">
        <f>IF($B118="","",IFERROR(INDEX(Task_Tracker!$B$5:$B$1004,MATCH($B118,Task_Tracker!$A$5:$A$1004,0)),""))</f>
        <v/>
      </c>
      <c r="E118" s="81" t="n"/>
      <c r="F118" s="81" t="n"/>
      <c r="G118" s="78" t="n"/>
      <c r="H118" s="78" t="n"/>
      <c r="I118" s="67">
        <f>IF($H118="","",IFERROR(INDEX(Action_Status_Map!$B$5:$B$11,MATCH($H118,Action_Status_Map!$A$5:$A$11,0)),""))</f>
        <v/>
      </c>
      <c r="J118" s="82" t="n"/>
      <c r="K118" s="82" t="n"/>
      <c r="L118" s="82" t="n"/>
      <c r="M118" s="83" t="n"/>
      <c r="N118" s="83" t="n"/>
      <c r="O118" s="66">
        <f>IF(OR($M118="",$N118=""),"",$N118-$M118)</f>
        <v/>
      </c>
      <c r="P118" s="84">
        <f>IF($J118="","",IF($L118&lt;&gt;"",$L118-$J118,TODAY()-$J118))</f>
        <v/>
      </c>
      <c r="Q118" s="85">
        <f>IF(OR($K118="",$H118="Completed",$H118="Cancelled"),"",IF(AND($K118&lt;TODAY(),$H118&lt;&gt;"Completed",$H118&lt;&gt;"Cancelled"),"Overdue","On Track"))</f>
        <v/>
      </c>
      <c r="R118" s="81" t="n"/>
      <c r="S118" s="81">
        <f>IF($B118="","",IFERROR(INDEX(Task_Tracker!$AA$5:$AA$1004,MATCH($B118,Task_Tracker!$A$5:$A$1004,0)),""))</f>
        <v/>
      </c>
      <c r="T118" s="81">
        <f>IF($B118="","",IFERROR(INDEX(Task_Tracker!$AB$5:$AB$1004,MATCH($B118,Task_Tracker!$A$5:$A$1004,0)),""))</f>
        <v/>
      </c>
      <c r="U118" s="78">
        <f>IF($B118="","",IFERROR(INDEX(Task_Tracker!$F$5:$F$1004,MATCH($B118,Task_Tracker!$A$5:$A$1004,0)),""))</f>
        <v/>
      </c>
      <c r="V118" s="78">
        <f>IF($B118="","",IFERROR(INDEX(Task_Tracker!$I$5:$I$1004,MATCH($B118,Task_Tracker!$A$5:$A$1004,0)),""))</f>
        <v/>
      </c>
      <c r="W118" s="81">
        <f>IF(OR($D118="",$B118=""),"",$D118&amp;" | "&amp;$B118)</f>
        <v/>
      </c>
      <c r="X118" s="85">
        <f>IF($K118="","",TEXT($K118,"yyyy-mm"))</f>
        <v/>
      </c>
      <c r="Y118" s="81">
        <f>IF(OR($A118="",$T118=""),"","Included in Manager_Report")</f>
        <v/>
      </c>
    </row>
    <row r="119" ht="15" customHeight="1" s="40">
      <c r="A119" s="65">
        <f>IF(COUNTA(B119:G119)=0,"","STP-"&amp;TEXT(ROW()-4,"0000"))</f>
        <v/>
      </c>
      <c r="B119" s="78" t="n"/>
      <c r="C119" s="67">
        <f>IF($B119="","",IFERROR(INDEX(Task_Tracker!$D$5:$D$1004,MATCH($B119,Task_Tracker!$A$5:$A$1004,0)),""))</f>
        <v/>
      </c>
      <c r="D119" s="67">
        <f>IF($B119="","",IFERROR(INDEX(Task_Tracker!$B$5:$B$1004,MATCH($B119,Task_Tracker!$A$5:$A$1004,0)),""))</f>
        <v/>
      </c>
      <c r="E119" s="81" t="n"/>
      <c r="F119" s="81" t="n"/>
      <c r="G119" s="78" t="n"/>
      <c r="H119" s="78" t="n"/>
      <c r="I119" s="67">
        <f>IF($H119="","",IFERROR(INDEX(Action_Status_Map!$B$5:$B$11,MATCH($H119,Action_Status_Map!$A$5:$A$11,0)),""))</f>
        <v/>
      </c>
      <c r="J119" s="82" t="n"/>
      <c r="K119" s="82" t="n"/>
      <c r="L119" s="82" t="n"/>
      <c r="M119" s="83" t="n"/>
      <c r="N119" s="83" t="n"/>
      <c r="O119" s="66">
        <f>IF(OR($M119="",$N119=""),"",$N119-$M119)</f>
        <v/>
      </c>
      <c r="P119" s="84">
        <f>IF($J119="","",IF($L119&lt;&gt;"",$L119-$J119,TODAY()-$J119))</f>
        <v/>
      </c>
      <c r="Q119" s="85">
        <f>IF(OR($K119="",$H119="Completed",$H119="Cancelled"),"",IF(AND($K119&lt;TODAY(),$H119&lt;&gt;"Completed",$H119&lt;&gt;"Cancelled"),"Overdue","On Track"))</f>
        <v/>
      </c>
      <c r="R119" s="81" t="n"/>
      <c r="S119" s="81">
        <f>IF($B119="","",IFERROR(INDEX(Task_Tracker!$AA$5:$AA$1004,MATCH($B119,Task_Tracker!$A$5:$A$1004,0)),""))</f>
        <v/>
      </c>
      <c r="T119" s="81">
        <f>IF($B119="","",IFERROR(INDEX(Task_Tracker!$AB$5:$AB$1004,MATCH($B119,Task_Tracker!$A$5:$A$1004,0)),""))</f>
        <v/>
      </c>
      <c r="U119" s="78">
        <f>IF($B119="","",IFERROR(INDEX(Task_Tracker!$F$5:$F$1004,MATCH($B119,Task_Tracker!$A$5:$A$1004,0)),""))</f>
        <v/>
      </c>
      <c r="V119" s="78">
        <f>IF($B119="","",IFERROR(INDEX(Task_Tracker!$I$5:$I$1004,MATCH($B119,Task_Tracker!$A$5:$A$1004,0)),""))</f>
        <v/>
      </c>
      <c r="W119" s="81">
        <f>IF(OR($D119="",$B119=""),"",$D119&amp;" | "&amp;$B119)</f>
        <v/>
      </c>
      <c r="X119" s="85">
        <f>IF($K119="","",TEXT($K119,"yyyy-mm"))</f>
        <v/>
      </c>
      <c r="Y119" s="81">
        <f>IF(OR($A119="",$T119=""),"","Included in Manager_Report")</f>
        <v/>
      </c>
    </row>
    <row r="120" ht="15" customHeight="1" s="40">
      <c r="A120" s="65">
        <f>IF(COUNTA(B120:G120)=0,"","STP-"&amp;TEXT(ROW()-4,"0000"))</f>
        <v/>
      </c>
      <c r="B120" s="78" t="n"/>
      <c r="C120" s="67">
        <f>IF($B120="","",IFERROR(INDEX(Task_Tracker!$D$5:$D$1004,MATCH($B120,Task_Tracker!$A$5:$A$1004,0)),""))</f>
        <v/>
      </c>
      <c r="D120" s="67">
        <f>IF($B120="","",IFERROR(INDEX(Task_Tracker!$B$5:$B$1004,MATCH($B120,Task_Tracker!$A$5:$A$1004,0)),""))</f>
        <v/>
      </c>
      <c r="E120" s="81" t="n"/>
      <c r="F120" s="81" t="n"/>
      <c r="G120" s="78" t="n"/>
      <c r="H120" s="78" t="n"/>
      <c r="I120" s="67">
        <f>IF($H120="","",IFERROR(INDEX(Action_Status_Map!$B$5:$B$11,MATCH($H120,Action_Status_Map!$A$5:$A$11,0)),""))</f>
        <v/>
      </c>
      <c r="J120" s="82" t="n"/>
      <c r="K120" s="82" t="n"/>
      <c r="L120" s="82" t="n"/>
      <c r="M120" s="83" t="n"/>
      <c r="N120" s="83" t="n"/>
      <c r="O120" s="66">
        <f>IF(OR($M120="",$N120=""),"",$N120-$M120)</f>
        <v/>
      </c>
      <c r="P120" s="84">
        <f>IF($J120="","",IF($L120&lt;&gt;"",$L120-$J120,TODAY()-$J120))</f>
        <v/>
      </c>
      <c r="Q120" s="85">
        <f>IF(OR($K120="",$H120="Completed",$H120="Cancelled"),"",IF(AND($K120&lt;TODAY(),$H120&lt;&gt;"Completed",$H120&lt;&gt;"Cancelled"),"Overdue","On Track"))</f>
        <v/>
      </c>
      <c r="R120" s="81" t="n"/>
      <c r="S120" s="81">
        <f>IF($B120="","",IFERROR(INDEX(Task_Tracker!$AA$5:$AA$1004,MATCH($B120,Task_Tracker!$A$5:$A$1004,0)),""))</f>
        <v/>
      </c>
      <c r="T120" s="81">
        <f>IF($B120="","",IFERROR(INDEX(Task_Tracker!$AB$5:$AB$1004,MATCH($B120,Task_Tracker!$A$5:$A$1004,0)),""))</f>
        <v/>
      </c>
      <c r="U120" s="78">
        <f>IF($B120="","",IFERROR(INDEX(Task_Tracker!$F$5:$F$1004,MATCH($B120,Task_Tracker!$A$5:$A$1004,0)),""))</f>
        <v/>
      </c>
      <c r="V120" s="78">
        <f>IF($B120="","",IFERROR(INDEX(Task_Tracker!$I$5:$I$1004,MATCH($B120,Task_Tracker!$A$5:$A$1004,0)),""))</f>
        <v/>
      </c>
      <c r="W120" s="81">
        <f>IF(OR($D120="",$B120=""),"",$D120&amp;" | "&amp;$B120)</f>
        <v/>
      </c>
      <c r="X120" s="85">
        <f>IF($K120="","",TEXT($K120,"yyyy-mm"))</f>
        <v/>
      </c>
      <c r="Y120" s="81">
        <f>IF(OR($A120="",$T120=""),"","Included in Manager_Report")</f>
        <v/>
      </c>
    </row>
    <row r="121" ht="15" customHeight="1" s="40">
      <c r="A121" s="65">
        <f>IF(COUNTA(B121:G121)=0,"","STP-"&amp;TEXT(ROW()-4,"0000"))</f>
        <v/>
      </c>
      <c r="B121" s="78" t="n"/>
      <c r="C121" s="67">
        <f>IF($B121="","",IFERROR(INDEX(Task_Tracker!$D$5:$D$1004,MATCH($B121,Task_Tracker!$A$5:$A$1004,0)),""))</f>
        <v/>
      </c>
      <c r="D121" s="67">
        <f>IF($B121="","",IFERROR(INDEX(Task_Tracker!$B$5:$B$1004,MATCH($B121,Task_Tracker!$A$5:$A$1004,0)),""))</f>
        <v/>
      </c>
      <c r="E121" s="81" t="n"/>
      <c r="F121" s="81" t="n"/>
      <c r="G121" s="78" t="n"/>
      <c r="H121" s="78" t="n"/>
      <c r="I121" s="67">
        <f>IF($H121="","",IFERROR(INDEX(Action_Status_Map!$B$5:$B$11,MATCH($H121,Action_Status_Map!$A$5:$A$11,0)),""))</f>
        <v/>
      </c>
      <c r="J121" s="82" t="n"/>
      <c r="K121" s="82" t="n"/>
      <c r="L121" s="82" t="n"/>
      <c r="M121" s="83" t="n"/>
      <c r="N121" s="83" t="n"/>
      <c r="O121" s="66">
        <f>IF(OR($M121="",$N121=""),"",$N121-$M121)</f>
        <v/>
      </c>
      <c r="P121" s="84">
        <f>IF($J121="","",IF($L121&lt;&gt;"",$L121-$J121,TODAY()-$J121))</f>
        <v/>
      </c>
      <c r="Q121" s="85">
        <f>IF(OR($K121="",$H121="Completed",$H121="Cancelled"),"",IF(AND($K121&lt;TODAY(),$H121&lt;&gt;"Completed",$H121&lt;&gt;"Cancelled"),"Overdue","On Track"))</f>
        <v/>
      </c>
      <c r="R121" s="81" t="n"/>
      <c r="S121" s="81">
        <f>IF($B121="","",IFERROR(INDEX(Task_Tracker!$AA$5:$AA$1004,MATCH($B121,Task_Tracker!$A$5:$A$1004,0)),""))</f>
        <v/>
      </c>
      <c r="T121" s="81">
        <f>IF($B121="","",IFERROR(INDEX(Task_Tracker!$AB$5:$AB$1004,MATCH($B121,Task_Tracker!$A$5:$A$1004,0)),""))</f>
        <v/>
      </c>
      <c r="U121" s="78">
        <f>IF($B121="","",IFERROR(INDEX(Task_Tracker!$F$5:$F$1004,MATCH($B121,Task_Tracker!$A$5:$A$1004,0)),""))</f>
        <v/>
      </c>
      <c r="V121" s="78">
        <f>IF($B121="","",IFERROR(INDEX(Task_Tracker!$I$5:$I$1004,MATCH($B121,Task_Tracker!$A$5:$A$1004,0)),""))</f>
        <v/>
      </c>
      <c r="W121" s="81">
        <f>IF(OR($D121="",$B121=""),"",$D121&amp;" | "&amp;$B121)</f>
        <v/>
      </c>
      <c r="X121" s="85">
        <f>IF($K121="","",TEXT($K121,"yyyy-mm"))</f>
        <v/>
      </c>
      <c r="Y121" s="81">
        <f>IF(OR($A121="",$T121=""),"","Included in Manager_Report")</f>
        <v/>
      </c>
    </row>
    <row r="122" ht="15" customHeight="1" s="40">
      <c r="A122" s="65">
        <f>IF(COUNTA(B122:G122)=0,"","STP-"&amp;TEXT(ROW()-4,"0000"))</f>
        <v/>
      </c>
      <c r="B122" s="78" t="n"/>
      <c r="C122" s="67">
        <f>IF($B122="","",IFERROR(INDEX(Task_Tracker!$D$5:$D$1004,MATCH($B122,Task_Tracker!$A$5:$A$1004,0)),""))</f>
        <v/>
      </c>
      <c r="D122" s="67">
        <f>IF($B122="","",IFERROR(INDEX(Task_Tracker!$B$5:$B$1004,MATCH($B122,Task_Tracker!$A$5:$A$1004,0)),""))</f>
        <v/>
      </c>
      <c r="E122" s="81" t="n"/>
      <c r="F122" s="81" t="n"/>
      <c r="G122" s="78" t="n"/>
      <c r="H122" s="78" t="n"/>
      <c r="I122" s="67">
        <f>IF($H122="","",IFERROR(INDEX(Action_Status_Map!$B$5:$B$11,MATCH($H122,Action_Status_Map!$A$5:$A$11,0)),""))</f>
        <v/>
      </c>
      <c r="J122" s="82" t="n"/>
      <c r="K122" s="82" t="n"/>
      <c r="L122" s="82" t="n"/>
      <c r="M122" s="83" t="n"/>
      <c r="N122" s="83" t="n"/>
      <c r="O122" s="66">
        <f>IF(OR($M122="",$N122=""),"",$N122-$M122)</f>
        <v/>
      </c>
      <c r="P122" s="84">
        <f>IF($J122="","",IF($L122&lt;&gt;"",$L122-$J122,TODAY()-$J122))</f>
        <v/>
      </c>
      <c r="Q122" s="85">
        <f>IF(OR($K122="",$H122="Completed",$H122="Cancelled"),"",IF(AND($K122&lt;TODAY(),$H122&lt;&gt;"Completed",$H122&lt;&gt;"Cancelled"),"Overdue","On Track"))</f>
        <v/>
      </c>
      <c r="R122" s="81" t="n"/>
      <c r="S122" s="81">
        <f>IF($B122="","",IFERROR(INDEX(Task_Tracker!$AA$5:$AA$1004,MATCH($B122,Task_Tracker!$A$5:$A$1004,0)),""))</f>
        <v/>
      </c>
      <c r="T122" s="81">
        <f>IF($B122="","",IFERROR(INDEX(Task_Tracker!$AB$5:$AB$1004,MATCH($B122,Task_Tracker!$A$5:$A$1004,0)),""))</f>
        <v/>
      </c>
      <c r="U122" s="78">
        <f>IF($B122="","",IFERROR(INDEX(Task_Tracker!$F$5:$F$1004,MATCH($B122,Task_Tracker!$A$5:$A$1004,0)),""))</f>
        <v/>
      </c>
      <c r="V122" s="78">
        <f>IF($B122="","",IFERROR(INDEX(Task_Tracker!$I$5:$I$1004,MATCH($B122,Task_Tracker!$A$5:$A$1004,0)),""))</f>
        <v/>
      </c>
      <c r="W122" s="81">
        <f>IF(OR($D122="",$B122=""),"",$D122&amp;" | "&amp;$B122)</f>
        <v/>
      </c>
      <c r="X122" s="85">
        <f>IF($K122="","",TEXT($K122,"yyyy-mm"))</f>
        <v/>
      </c>
      <c r="Y122" s="81">
        <f>IF(OR($A122="",$T122=""),"","Included in Manager_Report")</f>
        <v/>
      </c>
    </row>
    <row r="123" ht="15" customHeight="1" s="40">
      <c r="A123" s="65">
        <f>IF(COUNTA(B123:G123)=0,"","STP-"&amp;TEXT(ROW()-4,"0000"))</f>
        <v/>
      </c>
      <c r="B123" s="78" t="n"/>
      <c r="C123" s="67">
        <f>IF($B123="","",IFERROR(INDEX(Task_Tracker!$D$5:$D$1004,MATCH($B123,Task_Tracker!$A$5:$A$1004,0)),""))</f>
        <v/>
      </c>
      <c r="D123" s="67">
        <f>IF($B123="","",IFERROR(INDEX(Task_Tracker!$B$5:$B$1004,MATCH($B123,Task_Tracker!$A$5:$A$1004,0)),""))</f>
        <v/>
      </c>
      <c r="E123" s="81" t="n"/>
      <c r="F123" s="81" t="n"/>
      <c r="G123" s="78" t="n"/>
      <c r="H123" s="78" t="n"/>
      <c r="I123" s="67">
        <f>IF($H123="","",IFERROR(INDEX(Action_Status_Map!$B$5:$B$11,MATCH($H123,Action_Status_Map!$A$5:$A$11,0)),""))</f>
        <v/>
      </c>
      <c r="J123" s="82" t="n"/>
      <c r="K123" s="82" t="n"/>
      <c r="L123" s="82" t="n"/>
      <c r="M123" s="83" t="n"/>
      <c r="N123" s="83" t="n"/>
      <c r="O123" s="66">
        <f>IF(OR($M123="",$N123=""),"",$N123-$M123)</f>
        <v/>
      </c>
      <c r="P123" s="84">
        <f>IF($J123="","",IF($L123&lt;&gt;"",$L123-$J123,TODAY()-$J123))</f>
        <v/>
      </c>
      <c r="Q123" s="85">
        <f>IF(OR($K123="",$H123="Completed",$H123="Cancelled"),"",IF(AND($K123&lt;TODAY(),$H123&lt;&gt;"Completed",$H123&lt;&gt;"Cancelled"),"Overdue","On Track"))</f>
        <v/>
      </c>
      <c r="R123" s="81" t="n"/>
      <c r="S123" s="81">
        <f>IF($B123="","",IFERROR(INDEX(Task_Tracker!$AA$5:$AA$1004,MATCH($B123,Task_Tracker!$A$5:$A$1004,0)),""))</f>
        <v/>
      </c>
      <c r="T123" s="81">
        <f>IF($B123="","",IFERROR(INDEX(Task_Tracker!$AB$5:$AB$1004,MATCH($B123,Task_Tracker!$A$5:$A$1004,0)),""))</f>
        <v/>
      </c>
      <c r="U123" s="78">
        <f>IF($B123="","",IFERROR(INDEX(Task_Tracker!$F$5:$F$1004,MATCH($B123,Task_Tracker!$A$5:$A$1004,0)),""))</f>
        <v/>
      </c>
      <c r="V123" s="78">
        <f>IF($B123="","",IFERROR(INDEX(Task_Tracker!$I$5:$I$1004,MATCH($B123,Task_Tracker!$A$5:$A$1004,0)),""))</f>
        <v/>
      </c>
      <c r="W123" s="81">
        <f>IF(OR($D123="",$B123=""),"",$D123&amp;" | "&amp;$B123)</f>
        <v/>
      </c>
      <c r="X123" s="85">
        <f>IF($K123="","",TEXT($K123,"yyyy-mm"))</f>
        <v/>
      </c>
      <c r="Y123" s="81">
        <f>IF(OR($A123="",$T123=""),"","Included in Manager_Report")</f>
        <v/>
      </c>
    </row>
    <row r="124" ht="15" customHeight="1" s="40">
      <c r="A124" s="65">
        <f>IF(COUNTA(B124:G124)=0,"","STP-"&amp;TEXT(ROW()-4,"0000"))</f>
        <v/>
      </c>
      <c r="B124" s="78" t="n"/>
      <c r="C124" s="67">
        <f>IF($B124="","",IFERROR(INDEX(Task_Tracker!$D$5:$D$1004,MATCH($B124,Task_Tracker!$A$5:$A$1004,0)),""))</f>
        <v/>
      </c>
      <c r="D124" s="67">
        <f>IF($B124="","",IFERROR(INDEX(Task_Tracker!$B$5:$B$1004,MATCH($B124,Task_Tracker!$A$5:$A$1004,0)),""))</f>
        <v/>
      </c>
      <c r="E124" s="81" t="n"/>
      <c r="F124" s="81" t="n"/>
      <c r="G124" s="78" t="n"/>
      <c r="H124" s="78" t="n"/>
      <c r="I124" s="67">
        <f>IF($H124="","",IFERROR(INDEX(Action_Status_Map!$B$5:$B$11,MATCH($H124,Action_Status_Map!$A$5:$A$11,0)),""))</f>
        <v/>
      </c>
      <c r="J124" s="82" t="n"/>
      <c r="K124" s="82" t="n"/>
      <c r="L124" s="82" t="n"/>
      <c r="M124" s="83" t="n"/>
      <c r="N124" s="83" t="n"/>
      <c r="O124" s="66">
        <f>IF(OR($M124="",$N124=""),"",$N124-$M124)</f>
        <v/>
      </c>
      <c r="P124" s="84">
        <f>IF($J124="","",IF($L124&lt;&gt;"",$L124-$J124,TODAY()-$J124))</f>
        <v/>
      </c>
      <c r="Q124" s="85">
        <f>IF(OR($K124="",$H124="Completed",$H124="Cancelled"),"",IF(AND($K124&lt;TODAY(),$H124&lt;&gt;"Completed",$H124&lt;&gt;"Cancelled"),"Overdue","On Track"))</f>
        <v/>
      </c>
      <c r="R124" s="81" t="n"/>
      <c r="S124" s="81">
        <f>IF($B124="","",IFERROR(INDEX(Task_Tracker!$AA$5:$AA$1004,MATCH($B124,Task_Tracker!$A$5:$A$1004,0)),""))</f>
        <v/>
      </c>
      <c r="T124" s="81">
        <f>IF($B124="","",IFERROR(INDEX(Task_Tracker!$AB$5:$AB$1004,MATCH($B124,Task_Tracker!$A$5:$A$1004,0)),""))</f>
        <v/>
      </c>
      <c r="U124" s="78">
        <f>IF($B124="","",IFERROR(INDEX(Task_Tracker!$F$5:$F$1004,MATCH($B124,Task_Tracker!$A$5:$A$1004,0)),""))</f>
        <v/>
      </c>
      <c r="V124" s="78">
        <f>IF($B124="","",IFERROR(INDEX(Task_Tracker!$I$5:$I$1004,MATCH($B124,Task_Tracker!$A$5:$A$1004,0)),""))</f>
        <v/>
      </c>
      <c r="W124" s="81">
        <f>IF(OR($D124="",$B124=""),"",$D124&amp;" | "&amp;$B124)</f>
        <v/>
      </c>
      <c r="X124" s="85">
        <f>IF($K124="","",TEXT($K124,"yyyy-mm"))</f>
        <v/>
      </c>
      <c r="Y124" s="81">
        <f>IF(OR($A124="",$T124=""),"","Included in Manager_Report")</f>
        <v/>
      </c>
    </row>
    <row r="125" ht="15" customHeight="1" s="40">
      <c r="A125" s="65">
        <f>IF(COUNTA(B125:G125)=0,"","STP-"&amp;TEXT(ROW()-4,"0000"))</f>
        <v/>
      </c>
      <c r="B125" s="78" t="n"/>
      <c r="C125" s="67">
        <f>IF($B125="","",IFERROR(INDEX(Task_Tracker!$D$5:$D$1004,MATCH($B125,Task_Tracker!$A$5:$A$1004,0)),""))</f>
        <v/>
      </c>
      <c r="D125" s="67">
        <f>IF($B125="","",IFERROR(INDEX(Task_Tracker!$B$5:$B$1004,MATCH($B125,Task_Tracker!$A$5:$A$1004,0)),""))</f>
        <v/>
      </c>
      <c r="E125" s="81" t="n"/>
      <c r="F125" s="81" t="n"/>
      <c r="G125" s="78" t="n"/>
      <c r="H125" s="78" t="n"/>
      <c r="I125" s="67">
        <f>IF($H125="","",IFERROR(INDEX(Action_Status_Map!$B$5:$B$11,MATCH($H125,Action_Status_Map!$A$5:$A$11,0)),""))</f>
        <v/>
      </c>
      <c r="J125" s="82" t="n"/>
      <c r="K125" s="82" t="n"/>
      <c r="L125" s="82" t="n"/>
      <c r="M125" s="83" t="n"/>
      <c r="N125" s="83" t="n"/>
      <c r="O125" s="66">
        <f>IF(OR($M125="",$N125=""),"",$N125-$M125)</f>
        <v/>
      </c>
      <c r="P125" s="84">
        <f>IF($J125="","",IF($L125&lt;&gt;"",$L125-$J125,TODAY()-$J125))</f>
        <v/>
      </c>
      <c r="Q125" s="85">
        <f>IF(OR($K125="",$H125="Completed",$H125="Cancelled"),"",IF(AND($K125&lt;TODAY(),$H125&lt;&gt;"Completed",$H125&lt;&gt;"Cancelled"),"Overdue","On Track"))</f>
        <v/>
      </c>
      <c r="R125" s="81" t="n"/>
      <c r="S125" s="81">
        <f>IF($B125="","",IFERROR(INDEX(Task_Tracker!$AA$5:$AA$1004,MATCH($B125,Task_Tracker!$A$5:$A$1004,0)),""))</f>
        <v/>
      </c>
      <c r="T125" s="81">
        <f>IF($B125="","",IFERROR(INDEX(Task_Tracker!$AB$5:$AB$1004,MATCH($B125,Task_Tracker!$A$5:$A$1004,0)),""))</f>
        <v/>
      </c>
      <c r="U125" s="78">
        <f>IF($B125="","",IFERROR(INDEX(Task_Tracker!$F$5:$F$1004,MATCH($B125,Task_Tracker!$A$5:$A$1004,0)),""))</f>
        <v/>
      </c>
      <c r="V125" s="78">
        <f>IF($B125="","",IFERROR(INDEX(Task_Tracker!$I$5:$I$1004,MATCH($B125,Task_Tracker!$A$5:$A$1004,0)),""))</f>
        <v/>
      </c>
      <c r="W125" s="81">
        <f>IF(OR($D125="",$B125=""),"",$D125&amp;" | "&amp;$B125)</f>
        <v/>
      </c>
      <c r="X125" s="85">
        <f>IF($K125="","",TEXT($K125,"yyyy-mm"))</f>
        <v/>
      </c>
      <c r="Y125" s="81">
        <f>IF(OR($A125="",$T125=""),"","Included in Manager_Report")</f>
        <v/>
      </c>
    </row>
    <row r="126" ht="15" customHeight="1" s="40">
      <c r="A126" s="65">
        <f>IF(COUNTA(B126:G126)=0,"","STP-"&amp;TEXT(ROW()-4,"0000"))</f>
        <v/>
      </c>
      <c r="B126" s="78" t="n"/>
      <c r="C126" s="67">
        <f>IF($B126="","",IFERROR(INDEX(Task_Tracker!$D$5:$D$1004,MATCH($B126,Task_Tracker!$A$5:$A$1004,0)),""))</f>
        <v/>
      </c>
      <c r="D126" s="67">
        <f>IF($B126="","",IFERROR(INDEX(Task_Tracker!$B$5:$B$1004,MATCH($B126,Task_Tracker!$A$5:$A$1004,0)),""))</f>
        <v/>
      </c>
      <c r="E126" s="81" t="n"/>
      <c r="F126" s="81" t="n"/>
      <c r="G126" s="78" t="n"/>
      <c r="H126" s="78" t="n"/>
      <c r="I126" s="67">
        <f>IF($H126="","",IFERROR(INDEX(Action_Status_Map!$B$5:$B$11,MATCH($H126,Action_Status_Map!$A$5:$A$11,0)),""))</f>
        <v/>
      </c>
      <c r="J126" s="82" t="n"/>
      <c r="K126" s="82" t="n"/>
      <c r="L126" s="82" t="n"/>
      <c r="M126" s="83" t="n"/>
      <c r="N126" s="83" t="n"/>
      <c r="O126" s="66">
        <f>IF(OR($M126="",$N126=""),"",$N126-$M126)</f>
        <v/>
      </c>
      <c r="P126" s="84">
        <f>IF($J126="","",IF($L126&lt;&gt;"",$L126-$J126,TODAY()-$J126))</f>
        <v/>
      </c>
      <c r="Q126" s="85">
        <f>IF(OR($K126="",$H126="Completed",$H126="Cancelled"),"",IF(AND($K126&lt;TODAY(),$H126&lt;&gt;"Completed",$H126&lt;&gt;"Cancelled"),"Overdue","On Track"))</f>
        <v/>
      </c>
      <c r="R126" s="81" t="n"/>
      <c r="S126" s="81">
        <f>IF($B126="","",IFERROR(INDEX(Task_Tracker!$AA$5:$AA$1004,MATCH($B126,Task_Tracker!$A$5:$A$1004,0)),""))</f>
        <v/>
      </c>
      <c r="T126" s="81">
        <f>IF($B126="","",IFERROR(INDEX(Task_Tracker!$AB$5:$AB$1004,MATCH($B126,Task_Tracker!$A$5:$A$1004,0)),""))</f>
        <v/>
      </c>
      <c r="U126" s="78">
        <f>IF($B126="","",IFERROR(INDEX(Task_Tracker!$F$5:$F$1004,MATCH($B126,Task_Tracker!$A$5:$A$1004,0)),""))</f>
        <v/>
      </c>
      <c r="V126" s="78">
        <f>IF($B126="","",IFERROR(INDEX(Task_Tracker!$I$5:$I$1004,MATCH($B126,Task_Tracker!$A$5:$A$1004,0)),""))</f>
        <v/>
      </c>
      <c r="W126" s="81">
        <f>IF(OR($D126="",$B126=""),"",$D126&amp;" | "&amp;$B126)</f>
        <v/>
      </c>
      <c r="X126" s="85">
        <f>IF($K126="","",TEXT($K126,"yyyy-mm"))</f>
        <v/>
      </c>
      <c r="Y126" s="81">
        <f>IF(OR($A126="",$T126=""),"","Included in Manager_Report")</f>
        <v/>
      </c>
    </row>
    <row r="127" ht="15" customHeight="1" s="40">
      <c r="A127" s="65">
        <f>IF(COUNTA(B127:G127)=0,"","STP-"&amp;TEXT(ROW()-4,"0000"))</f>
        <v/>
      </c>
      <c r="B127" s="78" t="n"/>
      <c r="C127" s="67">
        <f>IF($B127="","",IFERROR(INDEX(Task_Tracker!$D$5:$D$1004,MATCH($B127,Task_Tracker!$A$5:$A$1004,0)),""))</f>
        <v/>
      </c>
      <c r="D127" s="67">
        <f>IF($B127="","",IFERROR(INDEX(Task_Tracker!$B$5:$B$1004,MATCH($B127,Task_Tracker!$A$5:$A$1004,0)),""))</f>
        <v/>
      </c>
      <c r="E127" s="81" t="n"/>
      <c r="F127" s="81" t="n"/>
      <c r="G127" s="78" t="n"/>
      <c r="H127" s="78" t="n"/>
      <c r="I127" s="67">
        <f>IF($H127="","",IFERROR(INDEX(Action_Status_Map!$B$5:$B$11,MATCH($H127,Action_Status_Map!$A$5:$A$11,0)),""))</f>
        <v/>
      </c>
      <c r="J127" s="82" t="n"/>
      <c r="K127" s="82" t="n"/>
      <c r="L127" s="82" t="n"/>
      <c r="M127" s="83" t="n"/>
      <c r="N127" s="83" t="n"/>
      <c r="O127" s="66">
        <f>IF(OR($M127="",$N127=""),"",$N127-$M127)</f>
        <v/>
      </c>
      <c r="P127" s="84">
        <f>IF($J127="","",IF($L127&lt;&gt;"",$L127-$J127,TODAY()-$J127))</f>
        <v/>
      </c>
      <c r="Q127" s="85">
        <f>IF(OR($K127="",$H127="Completed",$H127="Cancelled"),"",IF(AND($K127&lt;TODAY(),$H127&lt;&gt;"Completed",$H127&lt;&gt;"Cancelled"),"Overdue","On Track"))</f>
        <v/>
      </c>
      <c r="R127" s="81" t="n"/>
      <c r="S127" s="81">
        <f>IF($B127="","",IFERROR(INDEX(Task_Tracker!$AA$5:$AA$1004,MATCH($B127,Task_Tracker!$A$5:$A$1004,0)),""))</f>
        <v/>
      </c>
      <c r="T127" s="81">
        <f>IF($B127="","",IFERROR(INDEX(Task_Tracker!$AB$5:$AB$1004,MATCH($B127,Task_Tracker!$A$5:$A$1004,0)),""))</f>
        <v/>
      </c>
      <c r="U127" s="78">
        <f>IF($B127="","",IFERROR(INDEX(Task_Tracker!$F$5:$F$1004,MATCH($B127,Task_Tracker!$A$5:$A$1004,0)),""))</f>
        <v/>
      </c>
      <c r="V127" s="78">
        <f>IF($B127="","",IFERROR(INDEX(Task_Tracker!$I$5:$I$1004,MATCH($B127,Task_Tracker!$A$5:$A$1004,0)),""))</f>
        <v/>
      </c>
      <c r="W127" s="81">
        <f>IF(OR($D127="",$B127=""),"",$D127&amp;" | "&amp;$B127)</f>
        <v/>
      </c>
      <c r="X127" s="85">
        <f>IF($K127="","",TEXT($K127,"yyyy-mm"))</f>
        <v/>
      </c>
      <c r="Y127" s="81">
        <f>IF(OR($A127="",$T127=""),"","Included in Manager_Report")</f>
        <v/>
      </c>
    </row>
    <row r="128" ht="15" customHeight="1" s="40">
      <c r="A128" s="65">
        <f>IF(COUNTA(B128:G128)=0,"","STP-"&amp;TEXT(ROW()-4,"0000"))</f>
        <v/>
      </c>
      <c r="B128" s="78" t="n"/>
      <c r="C128" s="67">
        <f>IF($B128="","",IFERROR(INDEX(Task_Tracker!$D$5:$D$1004,MATCH($B128,Task_Tracker!$A$5:$A$1004,0)),""))</f>
        <v/>
      </c>
      <c r="D128" s="67">
        <f>IF($B128="","",IFERROR(INDEX(Task_Tracker!$B$5:$B$1004,MATCH($B128,Task_Tracker!$A$5:$A$1004,0)),""))</f>
        <v/>
      </c>
      <c r="E128" s="81" t="n"/>
      <c r="F128" s="81" t="n"/>
      <c r="G128" s="78" t="n"/>
      <c r="H128" s="78" t="n"/>
      <c r="I128" s="67">
        <f>IF($H128="","",IFERROR(INDEX(Action_Status_Map!$B$5:$B$11,MATCH($H128,Action_Status_Map!$A$5:$A$11,0)),""))</f>
        <v/>
      </c>
      <c r="J128" s="82" t="n"/>
      <c r="K128" s="82" t="n"/>
      <c r="L128" s="82" t="n"/>
      <c r="M128" s="83" t="n"/>
      <c r="N128" s="83" t="n"/>
      <c r="O128" s="66">
        <f>IF(OR($M128="",$N128=""),"",$N128-$M128)</f>
        <v/>
      </c>
      <c r="P128" s="84">
        <f>IF($J128="","",IF($L128&lt;&gt;"",$L128-$J128,TODAY()-$J128))</f>
        <v/>
      </c>
      <c r="Q128" s="85">
        <f>IF(OR($K128="",$H128="Completed",$H128="Cancelled"),"",IF(AND($K128&lt;TODAY(),$H128&lt;&gt;"Completed",$H128&lt;&gt;"Cancelled"),"Overdue","On Track"))</f>
        <v/>
      </c>
      <c r="R128" s="81" t="n"/>
      <c r="S128" s="81">
        <f>IF($B128="","",IFERROR(INDEX(Task_Tracker!$AA$5:$AA$1004,MATCH($B128,Task_Tracker!$A$5:$A$1004,0)),""))</f>
        <v/>
      </c>
      <c r="T128" s="81">
        <f>IF($B128="","",IFERROR(INDEX(Task_Tracker!$AB$5:$AB$1004,MATCH($B128,Task_Tracker!$A$5:$A$1004,0)),""))</f>
        <v/>
      </c>
      <c r="U128" s="78">
        <f>IF($B128="","",IFERROR(INDEX(Task_Tracker!$F$5:$F$1004,MATCH($B128,Task_Tracker!$A$5:$A$1004,0)),""))</f>
        <v/>
      </c>
      <c r="V128" s="78">
        <f>IF($B128="","",IFERROR(INDEX(Task_Tracker!$I$5:$I$1004,MATCH($B128,Task_Tracker!$A$5:$A$1004,0)),""))</f>
        <v/>
      </c>
      <c r="W128" s="81">
        <f>IF(OR($D128="",$B128=""),"",$D128&amp;" | "&amp;$B128)</f>
        <v/>
      </c>
      <c r="X128" s="85">
        <f>IF($K128="","",TEXT($K128,"yyyy-mm"))</f>
        <v/>
      </c>
      <c r="Y128" s="81">
        <f>IF(OR($A128="",$T128=""),"","Included in Manager_Report")</f>
        <v/>
      </c>
    </row>
    <row r="129" ht="15" customHeight="1" s="40">
      <c r="A129" s="65">
        <f>IF(COUNTA(B129:G129)=0,"","STP-"&amp;TEXT(ROW()-4,"0000"))</f>
        <v/>
      </c>
      <c r="B129" s="78" t="n"/>
      <c r="C129" s="67">
        <f>IF($B129="","",IFERROR(INDEX(Task_Tracker!$D$5:$D$1004,MATCH($B129,Task_Tracker!$A$5:$A$1004,0)),""))</f>
        <v/>
      </c>
      <c r="D129" s="67">
        <f>IF($B129="","",IFERROR(INDEX(Task_Tracker!$B$5:$B$1004,MATCH($B129,Task_Tracker!$A$5:$A$1004,0)),""))</f>
        <v/>
      </c>
      <c r="E129" s="81" t="n"/>
      <c r="F129" s="81" t="n"/>
      <c r="G129" s="78" t="n"/>
      <c r="H129" s="78" t="n"/>
      <c r="I129" s="67">
        <f>IF($H129="","",IFERROR(INDEX(Action_Status_Map!$B$5:$B$11,MATCH($H129,Action_Status_Map!$A$5:$A$11,0)),""))</f>
        <v/>
      </c>
      <c r="J129" s="82" t="n"/>
      <c r="K129" s="82" t="n"/>
      <c r="L129" s="82" t="n"/>
      <c r="M129" s="83" t="n"/>
      <c r="N129" s="83" t="n"/>
      <c r="O129" s="66">
        <f>IF(OR($M129="",$N129=""),"",$N129-$M129)</f>
        <v/>
      </c>
      <c r="P129" s="84">
        <f>IF($J129="","",IF($L129&lt;&gt;"",$L129-$J129,TODAY()-$J129))</f>
        <v/>
      </c>
      <c r="Q129" s="85">
        <f>IF(OR($K129="",$H129="Completed",$H129="Cancelled"),"",IF(AND($K129&lt;TODAY(),$H129&lt;&gt;"Completed",$H129&lt;&gt;"Cancelled"),"Overdue","On Track"))</f>
        <v/>
      </c>
      <c r="R129" s="81" t="n"/>
      <c r="S129" s="81">
        <f>IF($B129="","",IFERROR(INDEX(Task_Tracker!$AA$5:$AA$1004,MATCH($B129,Task_Tracker!$A$5:$A$1004,0)),""))</f>
        <v/>
      </c>
      <c r="T129" s="81">
        <f>IF($B129="","",IFERROR(INDEX(Task_Tracker!$AB$5:$AB$1004,MATCH($B129,Task_Tracker!$A$5:$A$1004,0)),""))</f>
        <v/>
      </c>
      <c r="U129" s="78">
        <f>IF($B129="","",IFERROR(INDEX(Task_Tracker!$F$5:$F$1004,MATCH($B129,Task_Tracker!$A$5:$A$1004,0)),""))</f>
        <v/>
      </c>
      <c r="V129" s="78">
        <f>IF($B129="","",IFERROR(INDEX(Task_Tracker!$I$5:$I$1004,MATCH($B129,Task_Tracker!$A$5:$A$1004,0)),""))</f>
        <v/>
      </c>
      <c r="W129" s="81">
        <f>IF(OR($D129="",$B129=""),"",$D129&amp;" | "&amp;$B129)</f>
        <v/>
      </c>
      <c r="X129" s="85">
        <f>IF($K129="","",TEXT($K129,"yyyy-mm"))</f>
        <v/>
      </c>
      <c r="Y129" s="81">
        <f>IF(OR($A129="",$T129=""),"","Included in Manager_Report")</f>
        <v/>
      </c>
    </row>
    <row r="130" ht="15" customHeight="1" s="40">
      <c r="A130" s="65">
        <f>IF(COUNTA(B130:G130)=0,"","STP-"&amp;TEXT(ROW()-4,"0000"))</f>
        <v/>
      </c>
      <c r="B130" s="78" t="n"/>
      <c r="C130" s="67">
        <f>IF($B130="","",IFERROR(INDEX(Task_Tracker!$D$5:$D$1004,MATCH($B130,Task_Tracker!$A$5:$A$1004,0)),""))</f>
        <v/>
      </c>
      <c r="D130" s="67">
        <f>IF($B130="","",IFERROR(INDEX(Task_Tracker!$B$5:$B$1004,MATCH($B130,Task_Tracker!$A$5:$A$1004,0)),""))</f>
        <v/>
      </c>
      <c r="E130" s="81" t="n"/>
      <c r="F130" s="81" t="n"/>
      <c r="G130" s="78" t="n"/>
      <c r="H130" s="78" t="n"/>
      <c r="I130" s="67">
        <f>IF($H130="","",IFERROR(INDEX(Action_Status_Map!$B$5:$B$11,MATCH($H130,Action_Status_Map!$A$5:$A$11,0)),""))</f>
        <v/>
      </c>
      <c r="J130" s="82" t="n"/>
      <c r="K130" s="82" t="n"/>
      <c r="L130" s="82" t="n"/>
      <c r="M130" s="83" t="n"/>
      <c r="N130" s="83" t="n"/>
      <c r="O130" s="66">
        <f>IF(OR($M130="",$N130=""),"",$N130-$M130)</f>
        <v/>
      </c>
      <c r="P130" s="84">
        <f>IF($J130="","",IF($L130&lt;&gt;"",$L130-$J130,TODAY()-$J130))</f>
        <v/>
      </c>
      <c r="Q130" s="85">
        <f>IF(OR($K130="",$H130="Completed",$H130="Cancelled"),"",IF(AND($K130&lt;TODAY(),$H130&lt;&gt;"Completed",$H130&lt;&gt;"Cancelled"),"Overdue","On Track"))</f>
        <v/>
      </c>
      <c r="R130" s="81" t="n"/>
      <c r="S130" s="81">
        <f>IF($B130="","",IFERROR(INDEX(Task_Tracker!$AA$5:$AA$1004,MATCH($B130,Task_Tracker!$A$5:$A$1004,0)),""))</f>
        <v/>
      </c>
      <c r="T130" s="81">
        <f>IF($B130="","",IFERROR(INDEX(Task_Tracker!$AB$5:$AB$1004,MATCH($B130,Task_Tracker!$A$5:$A$1004,0)),""))</f>
        <v/>
      </c>
      <c r="U130" s="78">
        <f>IF($B130="","",IFERROR(INDEX(Task_Tracker!$F$5:$F$1004,MATCH($B130,Task_Tracker!$A$5:$A$1004,0)),""))</f>
        <v/>
      </c>
      <c r="V130" s="78">
        <f>IF($B130="","",IFERROR(INDEX(Task_Tracker!$I$5:$I$1004,MATCH($B130,Task_Tracker!$A$5:$A$1004,0)),""))</f>
        <v/>
      </c>
      <c r="W130" s="81">
        <f>IF(OR($D130="",$B130=""),"",$D130&amp;" | "&amp;$B130)</f>
        <v/>
      </c>
      <c r="X130" s="85">
        <f>IF($K130="","",TEXT($K130,"yyyy-mm"))</f>
        <v/>
      </c>
      <c r="Y130" s="81">
        <f>IF(OR($A130="",$T130=""),"","Included in Manager_Report")</f>
        <v/>
      </c>
    </row>
    <row r="131" ht="15" customHeight="1" s="40">
      <c r="A131" s="65">
        <f>IF(COUNTA(B131:G131)=0,"","STP-"&amp;TEXT(ROW()-4,"0000"))</f>
        <v/>
      </c>
      <c r="B131" s="78" t="n"/>
      <c r="C131" s="67">
        <f>IF($B131="","",IFERROR(INDEX(Task_Tracker!$D$5:$D$1004,MATCH($B131,Task_Tracker!$A$5:$A$1004,0)),""))</f>
        <v/>
      </c>
      <c r="D131" s="67">
        <f>IF($B131="","",IFERROR(INDEX(Task_Tracker!$B$5:$B$1004,MATCH($B131,Task_Tracker!$A$5:$A$1004,0)),""))</f>
        <v/>
      </c>
      <c r="E131" s="81" t="n"/>
      <c r="F131" s="81" t="n"/>
      <c r="G131" s="78" t="n"/>
      <c r="H131" s="78" t="n"/>
      <c r="I131" s="67">
        <f>IF($H131="","",IFERROR(INDEX(Action_Status_Map!$B$5:$B$11,MATCH($H131,Action_Status_Map!$A$5:$A$11,0)),""))</f>
        <v/>
      </c>
      <c r="J131" s="82" t="n"/>
      <c r="K131" s="82" t="n"/>
      <c r="L131" s="82" t="n"/>
      <c r="M131" s="83" t="n"/>
      <c r="N131" s="83" t="n"/>
      <c r="O131" s="66">
        <f>IF(OR($M131="",$N131=""),"",$N131-$M131)</f>
        <v/>
      </c>
      <c r="P131" s="84">
        <f>IF($J131="","",IF($L131&lt;&gt;"",$L131-$J131,TODAY()-$J131))</f>
        <v/>
      </c>
      <c r="Q131" s="85">
        <f>IF(OR($K131="",$H131="Completed",$H131="Cancelled"),"",IF(AND($K131&lt;TODAY(),$H131&lt;&gt;"Completed",$H131&lt;&gt;"Cancelled"),"Overdue","On Track"))</f>
        <v/>
      </c>
      <c r="R131" s="81" t="n"/>
      <c r="S131" s="81">
        <f>IF($B131="","",IFERROR(INDEX(Task_Tracker!$AA$5:$AA$1004,MATCH($B131,Task_Tracker!$A$5:$A$1004,0)),""))</f>
        <v/>
      </c>
      <c r="T131" s="81">
        <f>IF($B131="","",IFERROR(INDEX(Task_Tracker!$AB$5:$AB$1004,MATCH($B131,Task_Tracker!$A$5:$A$1004,0)),""))</f>
        <v/>
      </c>
      <c r="U131" s="78">
        <f>IF($B131="","",IFERROR(INDEX(Task_Tracker!$F$5:$F$1004,MATCH($B131,Task_Tracker!$A$5:$A$1004,0)),""))</f>
        <v/>
      </c>
      <c r="V131" s="78">
        <f>IF($B131="","",IFERROR(INDEX(Task_Tracker!$I$5:$I$1004,MATCH($B131,Task_Tracker!$A$5:$A$1004,0)),""))</f>
        <v/>
      </c>
      <c r="W131" s="81">
        <f>IF(OR($D131="",$B131=""),"",$D131&amp;" | "&amp;$B131)</f>
        <v/>
      </c>
      <c r="X131" s="85">
        <f>IF($K131="","",TEXT($K131,"yyyy-mm"))</f>
        <v/>
      </c>
      <c r="Y131" s="81">
        <f>IF(OR($A131="",$T131=""),"","Included in Manager_Report")</f>
        <v/>
      </c>
    </row>
    <row r="132" ht="15" customHeight="1" s="40">
      <c r="A132" s="65">
        <f>IF(COUNTA(B132:G132)=0,"","STP-"&amp;TEXT(ROW()-4,"0000"))</f>
        <v/>
      </c>
      <c r="B132" s="78" t="n"/>
      <c r="C132" s="67">
        <f>IF($B132="","",IFERROR(INDEX(Task_Tracker!$D$5:$D$1004,MATCH($B132,Task_Tracker!$A$5:$A$1004,0)),""))</f>
        <v/>
      </c>
      <c r="D132" s="67">
        <f>IF($B132="","",IFERROR(INDEX(Task_Tracker!$B$5:$B$1004,MATCH($B132,Task_Tracker!$A$5:$A$1004,0)),""))</f>
        <v/>
      </c>
      <c r="E132" s="81" t="n"/>
      <c r="F132" s="81" t="n"/>
      <c r="G132" s="78" t="n"/>
      <c r="H132" s="78" t="n"/>
      <c r="I132" s="67">
        <f>IF($H132="","",IFERROR(INDEX(Action_Status_Map!$B$5:$B$11,MATCH($H132,Action_Status_Map!$A$5:$A$11,0)),""))</f>
        <v/>
      </c>
      <c r="J132" s="82" t="n"/>
      <c r="K132" s="82" t="n"/>
      <c r="L132" s="82" t="n"/>
      <c r="M132" s="83" t="n"/>
      <c r="N132" s="83" t="n"/>
      <c r="O132" s="66">
        <f>IF(OR($M132="",$N132=""),"",$N132-$M132)</f>
        <v/>
      </c>
      <c r="P132" s="84">
        <f>IF($J132="","",IF($L132&lt;&gt;"",$L132-$J132,TODAY()-$J132))</f>
        <v/>
      </c>
      <c r="Q132" s="85">
        <f>IF(OR($K132="",$H132="Completed",$H132="Cancelled"),"",IF(AND($K132&lt;TODAY(),$H132&lt;&gt;"Completed",$H132&lt;&gt;"Cancelled"),"Overdue","On Track"))</f>
        <v/>
      </c>
      <c r="R132" s="81" t="n"/>
      <c r="S132" s="81">
        <f>IF($B132="","",IFERROR(INDEX(Task_Tracker!$AA$5:$AA$1004,MATCH($B132,Task_Tracker!$A$5:$A$1004,0)),""))</f>
        <v/>
      </c>
      <c r="T132" s="81">
        <f>IF($B132="","",IFERROR(INDEX(Task_Tracker!$AB$5:$AB$1004,MATCH($B132,Task_Tracker!$A$5:$A$1004,0)),""))</f>
        <v/>
      </c>
      <c r="U132" s="78">
        <f>IF($B132="","",IFERROR(INDEX(Task_Tracker!$F$5:$F$1004,MATCH($B132,Task_Tracker!$A$5:$A$1004,0)),""))</f>
        <v/>
      </c>
      <c r="V132" s="78">
        <f>IF($B132="","",IFERROR(INDEX(Task_Tracker!$I$5:$I$1004,MATCH($B132,Task_Tracker!$A$5:$A$1004,0)),""))</f>
        <v/>
      </c>
      <c r="W132" s="81">
        <f>IF(OR($D132="",$B132=""),"",$D132&amp;" | "&amp;$B132)</f>
        <v/>
      </c>
      <c r="X132" s="85">
        <f>IF($K132="","",TEXT($K132,"yyyy-mm"))</f>
        <v/>
      </c>
      <c r="Y132" s="81">
        <f>IF(OR($A132="",$T132=""),"","Included in Manager_Report")</f>
        <v/>
      </c>
    </row>
    <row r="133" ht="15" customHeight="1" s="40">
      <c r="A133" s="65">
        <f>IF(COUNTA(B133:G133)=0,"","STP-"&amp;TEXT(ROW()-4,"0000"))</f>
        <v/>
      </c>
      <c r="B133" s="78" t="n"/>
      <c r="C133" s="67">
        <f>IF($B133="","",IFERROR(INDEX(Task_Tracker!$D$5:$D$1004,MATCH($B133,Task_Tracker!$A$5:$A$1004,0)),""))</f>
        <v/>
      </c>
      <c r="D133" s="67">
        <f>IF($B133="","",IFERROR(INDEX(Task_Tracker!$B$5:$B$1004,MATCH($B133,Task_Tracker!$A$5:$A$1004,0)),""))</f>
        <v/>
      </c>
      <c r="E133" s="81" t="n"/>
      <c r="F133" s="81" t="n"/>
      <c r="G133" s="78" t="n"/>
      <c r="H133" s="78" t="n"/>
      <c r="I133" s="67">
        <f>IF($H133="","",IFERROR(INDEX(Action_Status_Map!$B$5:$B$11,MATCH($H133,Action_Status_Map!$A$5:$A$11,0)),""))</f>
        <v/>
      </c>
      <c r="J133" s="82" t="n"/>
      <c r="K133" s="82" t="n"/>
      <c r="L133" s="82" t="n"/>
      <c r="M133" s="83" t="n"/>
      <c r="N133" s="83" t="n"/>
      <c r="O133" s="66">
        <f>IF(OR($M133="",$N133=""),"",$N133-$M133)</f>
        <v/>
      </c>
      <c r="P133" s="84">
        <f>IF($J133="","",IF($L133&lt;&gt;"",$L133-$J133,TODAY()-$J133))</f>
        <v/>
      </c>
      <c r="Q133" s="85">
        <f>IF(OR($K133="",$H133="Completed",$H133="Cancelled"),"",IF(AND($K133&lt;TODAY(),$H133&lt;&gt;"Completed",$H133&lt;&gt;"Cancelled"),"Overdue","On Track"))</f>
        <v/>
      </c>
      <c r="R133" s="81" t="n"/>
      <c r="S133" s="81">
        <f>IF($B133="","",IFERROR(INDEX(Task_Tracker!$AA$5:$AA$1004,MATCH($B133,Task_Tracker!$A$5:$A$1004,0)),""))</f>
        <v/>
      </c>
      <c r="T133" s="81">
        <f>IF($B133="","",IFERROR(INDEX(Task_Tracker!$AB$5:$AB$1004,MATCH($B133,Task_Tracker!$A$5:$A$1004,0)),""))</f>
        <v/>
      </c>
      <c r="U133" s="78">
        <f>IF($B133="","",IFERROR(INDEX(Task_Tracker!$F$5:$F$1004,MATCH($B133,Task_Tracker!$A$5:$A$1004,0)),""))</f>
        <v/>
      </c>
      <c r="V133" s="78">
        <f>IF($B133="","",IFERROR(INDEX(Task_Tracker!$I$5:$I$1004,MATCH($B133,Task_Tracker!$A$5:$A$1004,0)),""))</f>
        <v/>
      </c>
      <c r="W133" s="81">
        <f>IF(OR($D133="",$B133=""),"",$D133&amp;" | "&amp;$B133)</f>
        <v/>
      </c>
      <c r="X133" s="85">
        <f>IF($K133="","",TEXT($K133,"yyyy-mm"))</f>
        <v/>
      </c>
      <c r="Y133" s="81">
        <f>IF(OR($A133="",$T133=""),"","Included in Manager_Report")</f>
        <v/>
      </c>
    </row>
    <row r="134" ht="15" customHeight="1" s="40">
      <c r="A134" s="65">
        <f>IF(COUNTA(B134:G134)=0,"","STP-"&amp;TEXT(ROW()-4,"0000"))</f>
        <v/>
      </c>
      <c r="B134" s="78" t="n"/>
      <c r="C134" s="67">
        <f>IF($B134="","",IFERROR(INDEX(Task_Tracker!$D$5:$D$1004,MATCH($B134,Task_Tracker!$A$5:$A$1004,0)),""))</f>
        <v/>
      </c>
      <c r="D134" s="67">
        <f>IF($B134="","",IFERROR(INDEX(Task_Tracker!$B$5:$B$1004,MATCH($B134,Task_Tracker!$A$5:$A$1004,0)),""))</f>
        <v/>
      </c>
      <c r="E134" s="81" t="n"/>
      <c r="F134" s="81" t="n"/>
      <c r="G134" s="78" t="n"/>
      <c r="H134" s="78" t="n"/>
      <c r="I134" s="67">
        <f>IF($H134="","",IFERROR(INDEX(Action_Status_Map!$B$5:$B$11,MATCH($H134,Action_Status_Map!$A$5:$A$11,0)),""))</f>
        <v/>
      </c>
      <c r="J134" s="82" t="n"/>
      <c r="K134" s="82" t="n"/>
      <c r="L134" s="82" t="n"/>
      <c r="M134" s="83" t="n"/>
      <c r="N134" s="83" t="n"/>
      <c r="O134" s="66">
        <f>IF(OR($M134="",$N134=""),"",$N134-$M134)</f>
        <v/>
      </c>
      <c r="P134" s="84">
        <f>IF($J134="","",IF($L134&lt;&gt;"",$L134-$J134,TODAY()-$J134))</f>
        <v/>
      </c>
      <c r="Q134" s="85">
        <f>IF(OR($K134="",$H134="Completed",$H134="Cancelled"),"",IF(AND($K134&lt;TODAY(),$H134&lt;&gt;"Completed",$H134&lt;&gt;"Cancelled"),"Overdue","On Track"))</f>
        <v/>
      </c>
      <c r="R134" s="81" t="n"/>
      <c r="S134" s="81">
        <f>IF($B134="","",IFERROR(INDEX(Task_Tracker!$AA$5:$AA$1004,MATCH($B134,Task_Tracker!$A$5:$A$1004,0)),""))</f>
        <v/>
      </c>
      <c r="T134" s="81">
        <f>IF($B134="","",IFERROR(INDEX(Task_Tracker!$AB$5:$AB$1004,MATCH($B134,Task_Tracker!$A$5:$A$1004,0)),""))</f>
        <v/>
      </c>
      <c r="U134" s="78">
        <f>IF($B134="","",IFERROR(INDEX(Task_Tracker!$F$5:$F$1004,MATCH($B134,Task_Tracker!$A$5:$A$1004,0)),""))</f>
        <v/>
      </c>
      <c r="V134" s="78">
        <f>IF($B134="","",IFERROR(INDEX(Task_Tracker!$I$5:$I$1004,MATCH($B134,Task_Tracker!$A$5:$A$1004,0)),""))</f>
        <v/>
      </c>
      <c r="W134" s="81">
        <f>IF(OR($D134="",$B134=""),"",$D134&amp;" | "&amp;$B134)</f>
        <v/>
      </c>
      <c r="X134" s="85">
        <f>IF($K134="","",TEXT($K134,"yyyy-mm"))</f>
        <v/>
      </c>
      <c r="Y134" s="81">
        <f>IF(OR($A134="",$T134=""),"","Included in Manager_Report")</f>
        <v/>
      </c>
    </row>
    <row r="135" ht="15" customHeight="1" s="40">
      <c r="A135" s="65">
        <f>IF(COUNTA(B135:G135)=0,"","STP-"&amp;TEXT(ROW()-4,"0000"))</f>
        <v/>
      </c>
      <c r="B135" s="78" t="n"/>
      <c r="C135" s="67">
        <f>IF($B135="","",IFERROR(INDEX(Task_Tracker!$D$5:$D$1004,MATCH($B135,Task_Tracker!$A$5:$A$1004,0)),""))</f>
        <v/>
      </c>
      <c r="D135" s="67">
        <f>IF($B135="","",IFERROR(INDEX(Task_Tracker!$B$5:$B$1004,MATCH($B135,Task_Tracker!$A$5:$A$1004,0)),""))</f>
        <v/>
      </c>
      <c r="E135" s="81" t="n"/>
      <c r="F135" s="81" t="n"/>
      <c r="G135" s="78" t="n"/>
      <c r="H135" s="78" t="n"/>
      <c r="I135" s="67">
        <f>IF($H135="","",IFERROR(INDEX(Action_Status_Map!$B$5:$B$11,MATCH($H135,Action_Status_Map!$A$5:$A$11,0)),""))</f>
        <v/>
      </c>
      <c r="J135" s="82" t="n"/>
      <c r="K135" s="82" t="n"/>
      <c r="L135" s="82" t="n"/>
      <c r="M135" s="83" t="n"/>
      <c r="N135" s="83" t="n"/>
      <c r="O135" s="66">
        <f>IF(OR($M135="",$N135=""),"",$N135-$M135)</f>
        <v/>
      </c>
      <c r="P135" s="84">
        <f>IF($J135="","",IF($L135&lt;&gt;"",$L135-$J135,TODAY()-$J135))</f>
        <v/>
      </c>
      <c r="Q135" s="85">
        <f>IF(OR($K135="",$H135="Completed",$H135="Cancelled"),"",IF(AND($K135&lt;TODAY(),$H135&lt;&gt;"Completed",$H135&lt;&gt;"Cancelled"),"Overdue","On Track"))</f>
        <v/>
      </c>
      <c r="R135" s="81" t="n"/>
      <c r="S135" s="81">
        <f>IF($B135="","",IFERROR(INDEX(Task_Tracker!$AA$5:$AA$1004,MATCH($B135,Task_Tracker!$A$5:$A$1004,0)),""))</f>
        <v/>
      </c>
      <c r="T135" s="81">
        <f>IF($B135="","",IFERROR(INDEX(Task_Tracker!$AB$5:$AB$1004,MATCH($B135,Task_Tracker!$A$5:$A$1004,0)),""))</f>
        <v/>
      </c>
      <c r="U135" s="78">
        <f>IF($B135="","",IFERROR(INDEX(Task_Tracker!$F$5:$F$1004,MATCH($B135,Task_Tracker!$A$5:$A$1004,0)),""))</f>
        <v/>
      </c>
      <c r="V135" s="78">
        <f>IF($B135="","",IFERROR(INDEX(Task_Tracker!$I$5:$I$1004,MATCH($B135,Task_Tracker!$A$5:$A$1004,0)),""))</f>
        <v/>
      </c>
      <c r="W135" s="81">
        <f>IF(OR($D135="",$B135=""),"",$D135&amp;" | "&amp;$B135)</f>
        <v/>
      </c>
      <c r="X135" s="85">
        <f>IF($K135="","",TEXT($K135,"yyyy-mm"))</f>
        <v/>
      </c>
      <c r="Y135" s="81">
        <f>IF(OR($A135="",$T135=""),"","Included in Manager_Report")</f>
        <v/>
      </c>
    </row>
    <row r="136" ht="15" customHeight="1" s="40">
      <c r="A136" s="65">
        <f>IF(COUNTA(B136:G136)=0,"","STP-"&amp;TEXT(ROW()-4,"0000"))</f>
        <v/>
      </c>
      <c r="B136" s="78" t="n"/>
      <c r="C136" s="67">
        <f>IF($B136="","",IFERROR(INDEX(Task_Tracker!$D$5:$D$1004,MATCH($B136,Task_Tracker!$A$5:$A$1004,0)),""))</f>
        <v/>
      </c>
      <c r="D136" s="67">
        <f>IF($B136="","",IFERROR(INDEX(Task_Tracker!$B$5:$B$1004,MATCH($B136,Task_Tracker!$A$5:$A$1004,0)),""))</f>
        <v/>
      </c>
      <c r="E136" s="81" t="n"/>
      <c r="F136" s="81" t="n"/>
      <c r="G136" s="78" t="n"/>
      <c r="H136" s="78" t="n"/>
      <c r="I136" s="67">
        <f>IF($H136="","",IFERROR(INDEX(Action_Status_Map!$B$5:$B$11,MATCH($H136,Action_Status_Map!$A$5:$A$11,0)),""))</f>
        <v/>
      </c>
      <c r="J136" s="82" t="n"/>
      <c r="K136" s="82" t="n"/>
      <c r="L136" s="82" t="n"/>
      <c r="M136" s="83" t="n"/>
      <c r="N136" s="83" t="n"/>
      <c r="O136" s="66">
        <f>IF(OR($M136="",$N136=""),"",$N136-$M136)</f>
        <v/>
      </c>
      <c r="P136" s="84">
        <f>IF($J136="","",IF($L136&lt;&gt;"",$L136-$J136,TODAY()-$J136))</f>
        <v/>
      </c>
      <c r="Q136" s="85">
        <f>IF(OR($K136="",$H136="Completed",$H136="Cancelled"),"",IF(AND($K136&lt;TODAY(),$H136&lt;&gt;"Completed",$H136&lt;&gt;"Cancelled"),"Overdue","On Track"))</f>
        <v/>
      </c>
      <c r="R136" s="81" t="n"/>
      <c r="S136" s="81">
        <f>IF($B136="","",IFERROR(INDEX(Task_Tracker!$AA$5:$AA$1004,MATCH($B136,Task_Tracker!$A$5:$A$1004,0)),""))</f>
        <v/>
      </c>
      <c r="T136" s="81">
        <f>IF($B136="","",IFERROR(INDEX(Task_Tracker!$AB$5:$AB$1004,MATCH($B136,Task_Tracker!$A$5:$A$1004,0)),""))</f>
        <v/>
      </c>
      <c r="U136" s="78">
        <f>IF($B136="","",IFERROR(INDEX(Task_Tracker!$F$5:$F$1004,MATCH($B136,Task_Tracker!$A$5:$A$1004,0)),""))</f>
        <v/>
      </c>
      <c r="V136" s="78">
        <f>IF($B136="","",IFERROR(INDEX(Task_Tracker!$I$5:$I$1004,MATCH($B136,Task_Tracker!$A$5:$A$1004,0)),""))</f>
        <v/>
      </c>
      <c r="W136" s="81">
        <f>IF(OR($D136="",$B136=""),"",$D136&amp;" | "&amp;$B136)</f>
        <v/>
      </c>
      <c r="X136" s="85">
        <f>IF($K136="","",TEXT($K136,"yyyy-mm"))</f>
        <v/>
      </c>
      <c r="Y136" s="81">
        <f>IF(OR($A136="",$T136=""),"","Included in Manager_Report")</f>
        <v/>
      </c>
    </row>
    <row r="137" ht="15" customHeight="1" s="40">
      <c r="A137" s="65">
        <f>IF(COUNTA(B137:G137)=0,"","STP-"&amp;TEXT(ROW()-4,"0000"))</f>
        <v/>
      </c>
      <c r="B137" s="78" t="n"/>
      <c r="C137" s="67">
        <f>IF($B137="","",IFERROR(INDEX(Task_Tracker!$D$5:$D$1004,MATCH($B137,Task_Tracker!$A$5:$A$1004,0)),""))</f>
        <v/>
      </c>
      <c r="D137" s="67">
        <f>IF($B137="","",IFERROR(INDEX(Task_Tracker!$B$5:$B$1004,MATCH($B137,Task_Tracker!$A$5:$A$1004,0)),""))</f>
        <v/>
      </c>
      <c r="E137" s="81" t="n"/>
      <c r="F137" s="81" t="n"/>
      <c r="G137" s="78" t="n"/>
      <c r="H137" s="78" t="n"/>
      <c r="I137" s="67">
        <f>IF($H137="","",IFERROR(INDEX(Action_Status_Map!$B$5:$B$11,MATCH($H137,Action_Status_Map!$A$5:$A$11,0)),""))</f>
        <v/>
      </c>
      <c r="J137" s="82" t="n"/>
      <c r="K137" s="82" t="n"/>
      <c r="L137" s="82" t="n"/>
      <c r="M137" s="83" t="n"/>
      <c r="N137" s="83" t="n"/>
      <c r="O137" s="66">
        <f>IF(OR($M137="",$N137=""),"",$N137-$M137)</f>
        <v/>
      </c>
      <c r="P137" s="84">
        <f>IF($J137="","",IF($L137&lt;&gt;"",$L137-$J137,TODAY()-$J137))</f>
        <v/>
      </c>
      <c r="Q137" s="85">
        <f>IF(OR($K137="",$H137="Completed",$H137="Cancelled"),"",IF(AND($K137&lt;TODAY(),$H137&lt;&gt;"Completed",$H137&lt;&gt;"Cancelled"),"Overdue","On Track"))</f>
        <v/>
      </c>
      <c r="R137" s="81" t="n"/>
      <c r="S137" s="81">
        <f>IF($B137="","",IFERROR(INDEX(Task_Tracker!$AA$5:$AA$1004,MATCH($B137,Task_Tracker!$A$5:$A$1004,0)),""))</f>
        <v/>
      </c>
      <c r="T137" s="81">
        <f>IF($B137="","",IFERROR(INDEX(Task_Tracker!$AB$5:$AB$1004,MATCH($B137,Task_Tracker!$A$5:$A$1004,0)),""))</f>
        <v/>
      </c>
      <c r="U137" s="78">
        <f>IF($B137="","",IFERROR(INDEX(Task_Tracker!$F$5:$F$1004,MATCH($B137,Task_Tracker!$A$5:$A$1004,0)),""))</f>
        <v/>
      </c>
      <c r="V137" s="78">
        <f>IF($B137="","",IFERROR(INDEX(Task_Tracker!$I$5:$I$1004,MATCH($B137,Task_Tracker!$A$5:$A$1004,0)),""))</f>
        <v/>
      </c>
      <c r="W137" s="81">
        <f>IF(OR($D137="",$B137=""),"",$D137&amp;" | "&amp;$B137)</f>
        <v/>
      </c>
      <c r="X137" s="85">
        <f>IF($K137="","",TEXT($K137,"yyyy-mm"))</f>
        <v/>
      </c>
      <c r="Y137" s="81">
        <f>IF(OR($A137="",$T137=""),"","Included in Manager_Report")</f>
        <v/>
      </c>
    </row>
    <row r="138" ht="15" customHeight="1" s="40">
      <c r="A138" s="65">
        <f>IF(COUNTA(B138:G138)=0,"","STP-"&amp;TEXT(ROW()-4,"0000"))</f>
        <v/>
      </c>
      <c r="B138" s="78" t="n"/>
      <c r="C138" s="67">
        <f>IF($B138="","",IFERROR(INDEX(Task_Tracker!$D$5:$D$1004,MATCH($B138,Task_Tracker!$A$5:$A$1004,0)),""))</f>
        <v/>
      </c>
      <c r="D138" s="67">
        <f>IF($B138="","",IFERROR(INDEX(Task_Tracker!$B$5:$B$1004,MATCH($B138,Task_Tracker!$A$5:$A$1004,0)),""))</f>
        <v/>
      </c>
      <c r="E138" s="81" t="n"/>
      <c r="F138" s="81" t="n"/>
      <c r="G138" s="78" t="n"/>
      <c r="H138" s="78" t="n"/>
      <c r="I138" s="67">
        <f>IF($H138="","",IFERROR(INDEX(Action_Status_Map!$B$5:$B$11,MATCH($H138,Action_Status_Map!$A$5:$A$11,0)),""))</f>
        <v/>
      </c>
      <c r="J138" s="82" t="n"/>
      <c r="K138" s="82" t="n"/>
      <c r="L138" s="82" t="n"/>
      <c r="M138" s="83" t="n"/>
      <c r="N138" s="83" t="n"/>
      <c r="O138" s="66">
        <f>IF(OR($M138="",$N138=""),"",$N138-$M138)</f>
        <v/>
      </c>
      <c r="P138" s="84">
        <f>IF($J138="","",IF($L138&lt;&gt;"",$L138-$J138,TODAY()-$J138))</f>
        <v/>
      </c>
      <c r="Q138" s="85">
        <f>IF(OR($K138="",$H138="Completed",$H138="Cancelled"),"",IF(AND($K138&lt;TODAY(),$H138&lt;&gt;"Completed",$H138&lt;&gt;"Cancelled"),"Overdue","On Track"))</f>
        <v/>
      </c>
      <c r="R138" s="81" t="n"/>
      <c r="S138" s="81">
        <f>IF($B138="","",IFERROR(INDEX(Task_Tracker!$AA$5:$AA$1004,MATCH($B138,Task_Tracker!$A$5:$A$1004,0)),""))</f>
        <v/>
      </c>
      <c r="T138" s="81">
        <f>IF($B138="","",IFERROR(INDEX(Task_Tracker!$AB$5:$AB$1004,MATCH($B138,Task_Tracker!$A$5:$A$1004,0)),""))</f>
        <v/>
      </c>
      <c r="U138" s="78">
        <f>IF($B138="","",IFERROR(INDEX(Task_Tracker!$F$5:$F$1004,MATCH($B138,Task_Tracker!$A$5:$A$1004,0)),""))</f>
        <v/>
      </c>
      <c r="V138" s="78">
        <f>IF($B138="","",IFERROR(INDEX(Task_Tracker!$I$5:$I$1004,MATCH($B138,Task_Tracker!$A$5:$A$1004,0)),""))</f>
        <v/>
      </c>
      <c r="W138" s="81">
        <f>IF(OR($D138="",$B138=""),"",$D138&amp;" | "&amp;$B138)</f>
        <v/>
      </c>
      <c r="X138" s="85">
        <f>IF($K138="","",TEXT($K138,"yyyy-mm"))</f>
        <v/>
      </c>
      <c r="Y138" s="81">
        <f>IF(OR($A138="",$T138=""),"","Included in Manager_Report")</f>
        <v/>
      </c>
    </row>
    <row r="139" ht="15" customHeight="1" s="40">
      <c r="A139" s="65">
        <f>IF(COUNTA(B139:G139)=0,"","STP-"&amp;TEXT(ROW()-4,"0000"))</f>
        <v/>
      </c>
      <c r="B139" s="78" t="n"/>
      <c r="C139" s="67">
        <f>IF($B139="","",IFERROR(INDEX(Task_Tracker!$D$5:$D$1004,MATCH($B139,Task_Tracker!$A$5:$A$1004,0)),""))</f>
        <v/>
      </c>
      <c r="D139" s="67">
        <f>IF($B139="","",IFERROR(INDEX(Task_Tracker!$B$5:$B$1004,MATCH($B139,Task_Tracker!$A$5:$A$1004,0)),""))</f>
        <v/>
      </c>
      <c r="E139" s="81" t="n"/>
      <c r="F139" s="81" t="n"/>
      <c r="G139" s="78" t="n"/>
      <c r="H139" s="78" t="n"/>
      <c r="I139" s="67">
        <f>IF($H139="","",IFERROR(INDEX(Action_Status_Map!$B$5:$B$11,MATCH($H139,Action_Status_Map!$A$5:$A$11,0)),""))</f>
        <v/>
      </c>
      <c r="J139" s="82" t="n"/>
      <c r="K139" s="82" t="n"/>
      <c r="L139" s="82" t="n"/>
      <c r="M139" s="83" t="n"/>
      <c r="N139" s="83" t="n"/>
      <c r="O139" s="66">
        <f>IF(OR($M139="",$N139=""),"",$N139-$M139)</f>
        <v/>
      </c>
      <c r="P139" s="84">
        <f>IF($J139="","",IF($L139&lt;&gt;"",$L139-$J139,TODAY()-$J139))</f>
        <v/>
      </c>
      <c r="Q139" s="85">
        <f>IF(OR($K139="",$H139="Completed",$H139="Cancelled"),"",IF(AND($K139&lt;TODAY(),$H139&lt;&gt;"Completed",$H139&lt;&gt;"Cancelled"),"Overdue","On Track"))</f>
        <v/>
      </c>
      <c r="R139" s="81" t="n"/>
      <c r="S139" s="81">
        <f>IF($B139="","",IFERROR(INDEX(Task_Tracker!$AA$5:$AA$1004,MATCH($B139,Task_Tracker!$A$5:$A$1004,0)),""))</f>
        <v/>
      </c>
      <c r="T139" s="81">
        <f>IF($B139="","",IFERROR(INDEX(Task_Tracker!$AB$5:$AB$1004,MATCH($B139,Task_Tracker!$A$5:$A$1004,0)),""))</f>
        <v/>
      </c>
      <c r="U139" s="78">
        <f>IF($B139="","",IFERROR(INDEX(Task_Tracker!$F$5:$F$1004,MATCH($B139,Task_Tracker!$A$5:$A$1004,0)),""))</f>
        <v/>
      </c>
      <c r="V139" s="78">
        <f>IF($B139="","",IFERROR(INDEX(Task_Tracker!$I$5:$I$1004,MATCH($B139,Task_Tracker!$A$5:$A$1004,0)),""))</f>
        <v/>
      </c>
      <c r="W139" s="81">
        <f>IF(OR($D139="",$B139=""),"",$D139&amp;" | "&amp;$B139)</f>
        <v/>
      </c>
      <c r="X139" s="85">
        <f>IF($K139="","",TEXT($K139,"yyyy-mm"))</f>
        <v/>
      </c>
      <c r="Y139" s="81">
        <f>IF(OR($A139="",$T139=""),"","Included in Manager_Report")</f>
        <v/>
      </c>
    </row>
    <row r="140" ht="15" customHeight="1" s="40">
      <c r="A140" s="65">
        <f>IF(COUNTA(B140:G140)=0,"","STP-"&amp;TEXT(ROW()-4,"0000"))</f>
        <v/>
      </c>
      <c r="B140" s="78" t="n"/>
      <c r="C140" s="67">
        <f>IF($B140="","",IFERROR(INDEX(Task_Tracker!$D$5:$D$1004,MATCH($B140,Task_Tracker!$A$5:$A$1004,0)),""))</f>
        <v/>
      </c>
      <c r="D140" s="67">
        <f>IF($B140="","",IFERROR(INDEX(Task_Tracker!$B$5:$B$1004,MATCH($B140,Task_Tracker!$A$5:$A$1004,0)),""))</f>
        <v/>
      </c>
      <c r="E140" s="81" t="n"/>
      <c r="F140" s="81" t="n"/>
      <c r="G140" s="78" t="n"/>
      <c r="H140" s="78" t="n"/>
      <c r="I140" s="67">
        <f>IF($H140="","",IFERROR(INDEX(Action_Status_Map!$B$5:$B$11,MATCH($H140,Action_Status_Map!$A$5:$A$11,0)),""))</f>
        <v/>
      </c>
      <c r="J140" s="82" t="n"/>
      <c r="K140" s="82" t="n"/>
      <c r="L140" s="82" t="n"/>
      <c r="M140" s="83" t="n"/>
      <c r="N140" s="83" t="n"/>
      <c r="O140" s="66">
        <f>IF(OR($M140="",$N140=""),"",$N140-$M140)</f>
        <v/>
      </c>
      <c r="P140" s="84">
        <f>IF($J140="","",IF($L140&lt;&gt;"",$L140-$J140,TODAY()-$J140))</f>
        <v/>
      </c>
      <c r="Q140" s="85">
        <f>IF(OR($K140="",$H140="Completed",$H140="Cancelled"),"",IF(AND($K140&lt;TODAY(),$H140&lt;&gt;"Completed",$H140&lt;&gt;"Cancelled"),"Overdue","On Track"))</f>
        <v/>
      </c>
      <c r="R140" s="81" t="n"/>
      <c r="S140" s="81">
        <f>IF($B140="","",IFERROR(INDEX(Task_Tracker!$AA$5:$AA$1004,MATCH($B140,Task_Tracker!$A$5:$A$1004,0)),""))</f>
        <v/>
      </c>
      <c r="T140" s="81">
        <f>IF($B140="","",IFERROR(INDEX(Task_Tracker!$AB$5:$AB$1004,MATCH($B140,Task_Tracker!$A$5:$A$1004,0)),""))</f>
        <v/>
      </c>
      <c r="U140" s="78">
        <f>IF($B140="","",IFERROR(INDEX(Task_Tracker!$F$5:$F$1004,MATCH($B140,Task_Tracker!$A$5:$A$1004,0)),""))</f>
        <v/>
      </c>
      <c r="V140" s="78">
        <f>IF($B140="","",IFERROR(INDEX(Task_Tracker!$I$5:$I$1004,MATCH($B140,Task_Tracker!$A$5:$A$1004,0)),""))</f>
        <v/>
      </c>
      <c r="W140" s="81">
        <f>IF(OR($D140="",$B140=""),"",$D140&amp;" | "&amp;$B140)</f>
        <v/>
      </c>
      <c r="X140" s="85">
        <f>IF($K140="","",TEXT($K140,"yyyy-mm"))</f>
        <v/>
      </c>
      <c r="Y140" s="81">
        <f>IF(OR($A140="",$T140=""),"","Included in Manager_Report")</f>
        <v/>
      </c>
    </row>
    <row r="141" ht="15" customHeight="1" s="40">
      <c r="A141" s="65">
        <f>IF(COUNTA(B141:G141)=0,"","STP-"&amp;TEXT(ROW()-4,"0000"))</f>
        <v/>
      </c>
      <c r="B141" s="78" t="n"/>
      <c r="C141" s="67">
        <f>IF($B141="","",IFERROR(INDEX(Task_Tracker!$D$5:$D$1004,MATCH($B141,Task_Tracker!$A$5:$A$1004,0)),""))</f>
        <v/>
      </c>
      <c r="D141" s="67">
        <f>IF($B141="","",IFERROR(INDEX(Task_Tracker!$B$5:$B$1004,MATCH($B141,Task_Tracker!$A$5:$A$1004,0)),""))</f>
        <v/>
      </c>
      <c r="E141" s="81" t="n"/>
      <c r="F141" s="81" t="n"/>
      <c r="G141" s="78" t="n"/>
      <c r="H141" s="78" t="n"/>
      <c r="I141" s="67">
        <f>IF($H141="","",IFERROR(INDEX(Action_Status_Map!$B$5:$B$11,MATCH($H141,Action_Status_Map!$A$5:$A$11,0)),""))</f>
        <v/>
      </c>
      <c r="J141" s="82" t="n"/>
      <c r="K141" s="82" t="n"/>
      <c r="L141" s="82" t="n"/>
      <c r="M141" s="83" t="n"/>
      <c r="N141" s="83" t="n"/>
      <c r="O141" s="66">
        <f>IF(OR($M141="",$N141=""),"",$N141-$M141)</f>
        <v/>
      </c>
      <c r="P141" s="84">
        <f>IF($J141="","",IF($L141&lt;&gt;"",$L141-$J141,TODAY()-$J141))</f>
        <v/>
      </c>
      <c r="Q141" s="85">
        <f>IF(OR($K141="",$H141="Completed",$H141="Cancelled"),"",IF(AND($K141&lt;TODAY(),$H141&lt;&gt;"Completed",$H141&lt;&gt;"Cancelled"),"Overdue","On Track"))</f>
        <v/>
      </c>
      <c r="R141" s="81" t="n"/>
      <c r="S141" s="81">
        <f>IF($B141="","",IFERROR(INDEX(Task_Tracker!$AA$5:$AA$1004,MATCH($B141,Task_Tracker!$A$5:$A$1004,0)),""))</f>
        <v/>
      </c>
      <c r="T141" s="81">
        <f>IF($B141="","",IFERROR(INDEX(Task_Tracker!$AB$5:$AB$1004,MATCH($B141,Task_Tracker!$A$5:$A$1004,0)),""))</f>
        <v/>
      </c>
      <c r="U141" s="78">
        <f>IF($B141="","",IFERROR(INDEX(Task_Tracker!$F$5:$F$1004,MATCH($B141,Task_Tracker!$A$5:$A$1004,0)),""))</f>
        <v/>
      </c>
      <c r="V141" s="78">
        <f>IF($B141="","",IFERROR(INDEX(Task_Tracker!$I$5:$I$1004,MATCH($B141,Task_Tracker!$A$5:$A$1004,0)),""))</f>
        <v/>
      </c>
      <c r="W141" s="81">
        <f>IF(OR($D141="",$B141=""),"",$D141&amp;" | "&amp;$B141)</f>
        <v/>
      </c>
      <c r="X141" s="85">
        <f>IF($K141="","",TEXT($K141,"yyyy-mm"))</f>
        <v/>
      </c>
      <c r="Y141" s="81">
        <f>IF(OR($A141="",$T141=""),"","Included in Manager_Report")</f>
        <v/>
      </c>
    </row>
    <row r="142" ht="15" customHeight="1" s="40">
      <c r="A142" s="65">
        <f>IF(COUNTA(B142:G142)=0,"","STP-"&amp;TEXT(ROW()-4,"0000"))</f>
        <v/>
      </c>
      <c r="B142" s="78" t="n"/>
      <c r="C142" s="67">
        <f>IF($B142="","",IFERROR(INDEX(Task_Tracker!$D$5:$D$1004,MATCH($B142,Task_Tracker!$A$5:$A$1004,0)),""))</f>
        <v/>
      </c>
      <c r="D142" s="67">
        <f>IF($B142="","",IFERROR(INDEX(Task_Tracker!$B$5:$B$1004,MATCH($B142,Task_Tracker!$A$5:$A$1004,0)),""))</f>
        <v/>
      </c>
      <c r="E142" s="81" t="n"/>
      <c r="F142" s="81" t="n"/>
      <c r="G142" s="78" t="n"/>
      <c r="H142" s="78" t="n"/>
      <c r="I142" s="67">
        <f>IF($H142="","",IFERROR(INDEX(Action_Status_Map!$B$5:$B$11,MATCH($H142,Action_Status_Map!$A$5:$A$11,0)),""))</f>
        <v/>
      </c>
      <c r="J142" s="82" t="n"/>
      <c r="K142" s="82" t="n"/>
      <c r="L142" s="82" t="n"/>
      <c r="M142" s="83" t="n"/>
      <c r="N142" s="83" t="n"/>
      <c r="O142" s="66">
        <f>IF(OR($M142="",$N142=""),"",$N142-$M142)</f>
        <v/>
      </c>
      <c r="P142" s="84">
        <f>IF($J142="","",IF($L142&lt;&gt;"",$L142-$J142,TODAY()-$J142))</f>
        <v/>
      </c>
      <c r="Q142" s="85">
        <f>IF(OR($K142="",$H142="Completed",$H142="Cancelled"),"",IF(AND($K142&lt;TODAY(),$H142&lt;&gt;"Completed",$H142&lt;&gt;"Cancelled"),"Overdue","On Track"))</f>
        <v/>
      </c>
      <c r="R142" s="81" t="n"/>
      <c r="S142" s="81">
        <f>IF($B142="","",IFERROR(INDEX(Task_Tracker!$AA$5:$AA$1004,MATCH($B142,Task_Tracker!$A$5:$A$1004,0)),""))</f>
        <v/>
      </c>
      <c r="T142" s="81">
        <f>IF($B142="","",IFERROR(INDEX(Task_Tracker!$AB$5:$AB$1004,MATCH($B142,Task_Tracker!$A$5:$A$1004,0)),""))</f>
        <v/>
      </c>
      <c r="U142" s="78">
        <f>IF($B142="","",IFERROR(INDEX(Task_Tracker!$F$5:$F$1004,MATCH($B142,Task_Tracker!$A$5:$A$1004,0)),""))</f>
        <v/>
      </c>
      <c r="V142" s="78">
        <f>IF($B142="","",IFERROR(INDEX(Task_Tracker!$I$5:$I$1004,MATCH($B142,Task_Tracker!$A$5:$A$1004,0)),""))</f>
        <v/>
      </c>
      <c r="W142" s="81">
        <f>IF(OR($D142="",$B142=""),"",$D142&amp;" | "&amp;$B142)</f>
        <v/>
      </c>
      <c r="X142" s="85">
        <f>IF($K142="","",TEXT($K142,"yyyy-mm"))</f>
        <v/>
      </c>
      <c r="Y142" s="81">
        <f>IF(OR($A142="",$T142=""),"","Included in Manager_Report")</f>
        <v/>
      </c>
    </row>
    <row r="143" ht="15" customHeight="1" s="40">
      <c r="A143" s="65">
        <f>IF(COUNTA(B143:G143)=0,"","STP-"&amp;TEXT(ROW()-4,"0000"))</f>
        <v/>
      </c>
      <c r="B143" s="78" t="n"/>
      <c r="C143" s="67">
        <f>IF($B143="","",IFERROR(INDEX(Task_Tracker!$D$5:$D$1004,MATCH($B143,Task_Tracker!$A$5:$A$1004,0)),""))</f>
        <v/>
      </c>
      <c r="D143" s="67">
        <f>IF($B143="","",IFERROR(INDEX(Task_Tracker!$B$5:$B$1004,MATCH($B143,Task_Tracker!$A$5:$A$1004,0)),""))</f>
        <v/>
      </c>
      <c r="E143" s="81" t="n"/>
      <c r="F143" s="81" t="n"/>
      <c r="G143" s="78" t="n"/>
      <c r="H143" s="78" t="n"/>
      <c r="I143" s="67">
        <f>IF($H143="","",IFERROR(INDEX(Action_Status_Map!$B$5:$B$11,MATCH($H143,Action_Status_Map!$A$5:$A$11,0)),""))</f>
        <v/>
      </c>
      <c r="J143" s="82" t="n"/>
      <c r="K143" s="82" t="n"/>
      <c r="L143" s="82" t="n"/>
      <c r="M143" s="83" t="n"/>
      <c r="N143" s="83" t="n"/>
      <c r="O143" s="66">
        <f>IF(OR($M143="",$N143=""),"",$N143-$M143)</f>
        <v/>
      </c>
      <c r="P143" s="84">
        <f>IF($J143="","",IF($L143&lt;&gt;"",$L143-$J143,TODAY()-$J143))</f>
        <v/>
      </c>
      <c r="Q143" s="85">
        <f>IF(OR($K143="",$H143="Completed",$H143="Cancelled"),"",IF(AND($K143&lt;TODAY(),$H143&lt;&gt;"Completed",$H143&lt;&gt;"Cancelled"),"Overdue","On Track"))</f>
        <v/>
      </c>
      <c r="R143" s="81" t="n"/>
      <c r="S143" s="81">
        <f>IF($B143="","",IFERROR(INDEX(Task_Tracker!$AA$5:$AA$1004,MATCH($B143,Task_Tracker!$A$5:$A$1004,0)),""))</f>
        <v/>
      </c>
      <c r="T143" s="81">
        <f>IF($B143="","",IFERROR(INDEX(Task_Tracker!$AB$5:$AB$1004,MATCH($B143,Task_Tracker!$A$5:$A$1004,0)),""))</f>
        <v/>
      </c>
      <c r="U143" s="78">
        <f>IF($B143="","",IFERROR(INDEX(Task_Tracker!$F$5:$F$1004,MATCH($B143,Task_Tracker!$A$5:$A$1004,0)),""))</f>
        <v/>
      </c>
      <c r="V143" s="78">
        <f>IF($B143="","",IFERROR(INDEX(Task_Tracker!$I$5:$I$1004,MATCH($B143,Task_Tracker!$A$5:$A$1004,0)),""))</f>
        <v/>
      </c>
      <c r="W143" s="81">
        <f>IF(OR($D143="",$B143=""),"",$D143&amp;" | "&amp;$B143)</f>
        <v/>
      </c>
      <c r="X143" s="85">
        <f>IF($K143="","",TEXT($K143,"yyyy-mm"))</f>
        <v/>
      </c>
      <c r="Y143" s="81">
        <f>IF(OR($A143="",$T143=""),"","Included in Manager_Report")</f>
        <v/>
      </c>
    </row>
    <row r="144" ht="15" customHeight="1" s="40">
      <c r="A144" s="65">
        <f>IF(COUNTA(B144:G144)=0,"","STP-"&amp;TEXT(ROW()-4,"0000"))</f>
        <v/>
      </c>
      <c r="B144" s="78" t="n"/>
      <c r="C144" s="67">
        <f>IF($B144="","",IFERROR(INDEX(Task_Tracker!$D$5:$D$1004,MATCH($B144,Task_Tracker!$A$5:$A$1004,0)),""))</f>
        <v/>
      </c>
      <c r="D144" s="67">
        <f>IF($B144="","",IFERROR(INDEX(Task_Tracker!$B$5:$B$1004,MATCH($B144,Task_Tracker!$A$5:$A$1004,0)),""))</f>
        <v/>
      </c>
      <c r="E144" s="81" t="n"/>
      <c r="F144" s="81" t="n"/>
      <c r="G144" s="78" t="n"/>
      <c r="H144" s="78" t="n"/>
      <c r="I144" s="67">
        <f>IF($H144="","",IFERROR(INDEX(Action_Status_Map!$B$5:$B$11,MATCH($H144,Action_Status_Map!$A$5:$A$11,0)),""))</f>
        <v/>
      </c>
      <c r="J144" s="82" t="n"/>
      <c r="K144" s="82" t="n"/>
      <c r="L144" s="82" t="n"/>
      <c r="M144" s="83" t="n"/>
      <c r="N144" s="83" t="n"/>
      <c r="O144" s="66">
        <f>IF(OR($M144="",$N144=""),"",$N144-$M144)</f>
        <v/>
      </c>
      <c r="P144" s="84">
        <f>IF($J144="","",IF($L144&lt;&gt;"",$L144-$J144,TODAY()-$J144))</f>
        <v/>
      </c>
      <c r="Q144" s="85">
        <f>IF(OR($K144="",$H144="Completed",$H144="Cancelled"),"",IF(AND($K144&lt;TODAY(),$H144&lt;&gt;"Completed",$H144&lt;&gt;"Cancelled"),"Overdue","On Track"))</f>
        <v/>
      </c>
      <c r="R144" s="81" t="n"/>
      <c r="S144" s="81">
        <f>IF($B144="","",IFERROR(INDEX(Task_Tracker!$AA$5:$AA$1004,MATCH($B144,Task_Tracker!$A$5:$A$1004,0)),""))</f>
        <v/>
      </c>
      <c r="T144" s="81">
        <f>IF($B144="","",IFERROR(INDEX(Task_Tracker!$AB$5:$AB$1004,MATCH($B144,Task_Tracker!$A$5:$A$1004,0)),""))</f>
        <v/>
      </c>
      <c r="U144" s="78">
        <f>IF($B144="","",IFERROR(INDEX(Task_Tracker!$F$5:$F$1004,MATCH($B144,Task_Tracker!$A$5:$A$1004,0)),""))</f>
        <v/>
      </c>
      <c r="V144" s="78">
        <f>IF($B144="","",IFERROR(INDEX(Task_Tracker!$I$5:$I$1004,MATCH($B144,Task_Tracker!$A$5:$A$1004,0)),""))</f>
        <v/>
      </c>
      <c r="W144" s="81">
        <f>IF(OR($D144="",$B144=""),"",$D144&amp;" | "&amp;$B144)</f>
        <v/>
      </c>
      <c r="X144" s="85">
        <f>IF($K144="","",TEXT($K144,"yyyy-mm"))</f>
        <v/>
      </c>
      <c r="Y144" s="81">
        <f>IF(OR($A144="",$T144=""),"","Included in Manager_Report")</f>
        <v/>
      </c>
    </row>
    <row r="145" ht="15" customHeight="1" s="40">
      <c r="A145" s="65">
        <f>IF(COUNTA(B145:G145)=0,"","STP-"&amp;TEXT(ROW()-4,"0000"))</f>
        <v/>
      </c>
      <c r="B145" s="78" t="n"/>
      <c r="C145" s="67">
        <f>IF($B145="","",IFERROR(INDEX(Task_Tracker!$D$5:$D$1004,MATCH($B145,Task_Tracker!$A$5:$A$1004,0)),""))</f>
        <v/>
      </c>
      <c r="D145" s="67">
        <f>IF($B145="","",IFERROR(INDEX(Task_Tracker!$B$5:$B$1004,MATCH($B145,Task_Tracker!$A$5:$A$1004,0)),""))</f>
        <v/>
      </c>
      <c r="E145" s="81" t="n"/>
      <c r="F145" s="81" t="n"/>
      <c r="G145" s="78" t="n"/>
      <c r="H145" s="78" t="n"/>
      <c r="I145" s="67">
        <f>IF($H145="","",IFERROR(INDEX(Action_Status_Map!$B$5:$B$11,MATCH($H145,Action_Status_Map!$A$5:$A$11,0)),""))</f>
        <v/>
      </c>
      <c r="J145" s="82" t="n"/>
      <c r="K145" s="82" t="n"/>
      <c r="L145" s="82" t="n"/>
      <c r="M145" s="83" t="n"/>
      <c r="N145" s="83" t="n"/>
      <c r="O145" s="66">
        <f>IF(OR($M145="",$N145=""),"",$N145-$M145)</f>
        <v/>
      </c>
      <c r="P145" s="84">
        <f>IF($J145="","",IF($L145&lt;&gt;"",$L145-$J145,TODAY()-$J145))</f>
        <v/>
      </c>
      <c r="Q145" s="85">
        <f>IF(OR($K145="",$H145="Completed",$H145="Cancelled"),"",IF(AND($K145&lt;TODAY(),$H145&lt;&gt;"Completed",$H145&lt;&gt;"Cancelled"),"Overdue","On Track"))</f>
        <v/>
      </c>
      <c r="R145" s="81" t="n"/>
      <c r="S145" s="81">
        <f>IF($B145="","",IFERROR(INDEX(Task_Tracker!$AA$5:$AA$1004,MATCH($B145,Task_Tracker!$A$5:$A$1004,0)),""))</f>
        <v/>
      </c>
      <c r="T145" s="81">
        <f>IF($B145="","",IFERROR(INDEX(Task_Tracker!$AB$5:$AB$1004,MATCH($B145,Task_Tracker!$A$5:$A$1004,0)),""))</f>
        <v/>
      </c>
      <c r="U145" s="78">
        <f>IF($B145="","",IFERROR(INDEX(Task_Tracker!$F$5:$F$1004,MATCH($B145,Task_Tracker!$A$5:$A$1004,0)),""))</f>
        <v/>
      </c>
      <c r="V145" s="78">
        <f>IF($B145="","",IFERROR(INDEX(Task_Tracker!$I$5:$I$1004,MATCH($B145,Task_Tracker!$A$5:$A$1004,0)),""))</f>
        <v/>
      </c>
      <c r="W145" s="81">
        <f>IF(OR($D145="",$B145=""),"",$D145&amp;" | "&amp;$B145)</f>
        <v/>
      </c>
      <c r="X145" s="85">
        <f>IF($K145="","",TEXT($K145,"yyyy-mm"))</f>
        <v/>
      </c>
      <c r="Y145" s="81">
        <f>IF(OR($A145="",$T145=""),"","Included in Manager_Report")</f>
        <v/>
      </c>
    </row>
    <row r="146" ht="15" customHeight="1" s="40">
      <c r="A146" s="65">
        <f>IF(COUNTA(B146:G146)=0,"","STP-"&amp;TEXT(ROW()-4,"0000"))</f>
        <v/>
      </c>
      <c r="B146" s="78" t="n"/>
      <c r="C146" s="67">
        <f>IF($B146="","",IFERROR(INDEX(Task_Tracker!$D$5:$D$1004,MATCH($B146,Task_Tracker!$A$5:$A$1004,0)),""))</f>
        <v/>
      </c>
      <c r="D146" s="67">
        <f>IF($B146="","",IFERROR(INDEX(Task_Tracker!$B$5:$B$1004,MATCH($B146,Task_Tracker!$A$5:$A$1004,0)),""))</f>
        <v/>
      </c>
      <c r="E146" s="81" t="n"/>
      <c r="F146" s="81" t="n"/>
      <c r="G146" s="78" t="n"/>
      <c r="H146" s="78" t="n"/>
      <c r="I146" s="67">
        <f>IF($H146="","",IFERROR(INDEX(Action_Status_Map!$B$5:$B$11,MATCH($H146,Action_Status_Map!$A$5:$A$11,0)),""))</f>
        <v/>
      </c>
      <c r="J146" s="82" t="n"/>
      <c r="K146" s="82" t="n"/>
      <c r="L146" s="82" t="n"/>
      <c r="M146" s="83" t="n"/>
      <c r="N146" s="83" t="n"/>
      <c r="O146" s="66">
        <f>IF(OR($M146="",$N146=""),"",$N146-$M146)</f>
        <v/>
      </c>
      <c r="P146" s="84">
        <f>IF($J146="","",IF($L146&lt;&gt;"",$L146-$J146,TODAY()-$J146))</f>
        <v/>
      </c>
      <c r="Q146" s="85">
        <f>IF(OR($K146="",$H146="Completed",$H146="Cancelled"),"",IF(AND($K146&lt;TODAY(),$H146&lt;&gt;"Completed",$H146&lt;&gt;"Cancelled"),"Overdue","On Track"))</f>
        <v/>
      </c>
      <c r="R146" s="81" t="n"/>
      <c r="S146" s="81">
        <f>IF($B146="","",IFERROR(INDEX(Task_Tracker!$AA$5:$AA$1004,MATCH($B146,Task_Tracker!$A$5:$A$1004,0)),""))</f>
        <v/>
      </c>
      <c r="T146" s="81">
        <f>IF($B146="","",IFERROR(INDEX(Task_Tracker!$AB$5:$AB$1004,MATCH($B146,Task_Tracker!$A$5:$A$1004,0)),""))</f>
        <v/>
      </c>
      <c r="U146" s="78">
        <f>IF($B146="","",IFERROR(INDEX(Task_Tracker!$F$5:$F$1004,MATCH($B146,Task_Tracker!$A$5:$A$1004,0)),""))</f>
        <v/>
      </c>
      <c r="V146" s="78">
        <f>IF($B146="","",IFERROR(INDEX(Task_Tracker!$I$5:$I$1004,MATCH($B146,Task_Tracker!$A$5:$A$1004,0)),""))</f>
        <v/>
      </c>
      <c r="W146" s="81">
        <f>IF(OR($D146="",$B146=""),"",$D146&amp;" | "&amp;$B146)</f>
        <v/>
      </c>
      <c r="X146" s="85">
        <f>IF($K146="","",TEXT($K146,"yyyy-mm"))</f>
        <v/>
      </c>
      <c r="Y146" s="81">
        <f>IF(OR($A146="",$T146=""),"","Included in Manager_Report")</f>
        <v/>
      </c>
    </row>
    <row r="147" ht="15" customHeight="1" s="40">
      <c r="A147" s="65">
        <f>IF(COUNTA(B147:G147)=0,"","STP-"&amp;TEXT(ROW()-4,"0000"))</f>
        <v/>
      </c>
      <c r="B147" s="78" t="n"/>
      <c r="C147" s="67">
        <f>IF($B147="","",IFERROR(INDEX(Task_Tracker!$D$5:$D$1004,MATCH($B147,Task_Tracker!$A$5:$A$1004,0)),""))</f>
        <v/>
      </c>
      <c r="D147" s="67">
        <f>IF($B147="","",IFERROR(INDEX(Task_Tracker!$B$5:$B$1004,MATCH($B147,Task_Tracker!$A$5:$A$1004,0)),""))</f>
        <v/>
      </c>
      <c r="E147" s="81" t="n"/>
      <c r="F147" s="81" t="n"/>
      <c r="G147" s="78" t="n"/>
      <c r="H147" s="78" t="n"/>
      <c r="I147" s="67">
        <f>IF($H147="","",IFERROR(INDEX(Action_Status_Map!$B$5:$B$11,MATCH($H147,Action_Status_Map!$A$5:$A$11,0)),""))</f>
        <v/>
      </c>
      <c r="J147" s="82" t="n"/>
      <c r="K147" s="82" t="n"/>
      <c r="L147" s="82" t="n"/>
      <c r="M147" s="83" t="n"/>
      <c r="N147" s="83" t="n"/>
      <c r="O147" s="66">
        <f>IF(OR($M147="",$N147=""),"",$N147-$M147)</f>
        <v/>
      </c>
      <c r="P147" s="84">
        <f>IF($J147="","",IF($L147&lt;&gt;"",$L147-$J147,TODAY()-$J147))</f>
        <v/>
      </c>
      <c r="Q147" s="85">
        <f>IF(OR($K147="",$H147="Completed",$H147="Cancelled"),"",IF(AND($K147&lt;TODAY(),$H147&lt;&gt;"Completed",$H147&lt;&gt;"Cancelled"),"Overdue","On Track"))</f>
        <v/>
      </c>
      <c r="R147" s="81" t="n"/>
      <c r="S147" s="81">
        <f>IF($B147="","",IFERROR(INDEX(Task_Tracker!$AA$5:$AA$1004,MATCH($B147,Task_Tracker!$A$5:$A$1004,0)),""))</f>
        <v/>
      </c>
      <c r="T147" s="81">
        <f>IF($B147="","",IFERROR(INDEX(Task_Tracker!$AB$5:$AB$1004,MATCH($B147,Task_Tracker!$A$5:$A$1004,0)),""))</f>
        <v/>
      </c>
      <c r="U147" s="78">
        <f>IF($B147="","",IFERROR(INDEX(Task_Tracker!$F$5:$F$1004,MATCH($B147,Task_Tracker!$A$5:$A$1004,0)),""))</f>
        <v/>
      </c>
      <c r="V147" s="78">
        <f>IF($B147="","",IFERROR(INDEX(Task_Tracker!$I$5:$I$1004,MATCH($B147,Task_Tracker!$A$5:$A$1004,0)),""))</f>
        <v/>
      </c>
      <c r="W147" s="81">
        <f>IF(OR($D147="",$B147=""),"",$D147&amp;" | "&amp;$B147)</f>
        <v/>
      </c>
      <c r="X147" s="85">
        <f>IF($K147="","",TEXT($K147,"yyyy-mm"))</f>
        <v/>
      </c>
      <c r="Y147" s="81">
        <f>IF(OR($A147="",$T147=""),"","Included in Manager_Report")</f>
        <v/>
      </c>
    </row>
    <row r="148" ht="15" customHeight="1" s="40">
      <c r="A148" s="65">
        <f>IF(COUNTA(B148:G148)=0,"","STP-"&amp;TEXT(ROW()-4,"0000"))</f>
        <v/>
      </c>
      <c r="B148" s="78" t="n"/>
      <c r="C148" s="67">
        <f>IF($B148="","",IFERROR(INDEX(Task_Tracker!$D$5:$D$1004,MATCH($B148,Task_Tracker!$A$5:$A$1004,0)),""))</f>
        <v/>
      </c>
      <c r="D148" s="67">
        <f>IF($B148="","",IFERROR(INDEX(Task_Tracker!$B$5:$B$1004,MATCH($B148,Task_Tracker!$A$5:$A$1004,0)),""))</f>
        <v/>
      </c>
      <c r="E148" s="81" t="n"/>
      <c r="F148" s="81" t="n"/>
      <c r="G148" s="78" t="n"/>
      <c r="H148" s="78" t="n"/>
      <c r="I148" s="67">
        <f>IF($H148="","",IFERROR(INDEX(Action_Status_Map!$B$5:$B$11,MATCH($H148,Action_Status_Map!$A$5:$A$11,0)),""))</f>
        <v/>
      </c>
      <c r="J148" s="82" t="n"/>
      <c r="K148" s="82" t="n"/>
      <c r="L148" s="82" t="n"/>
      <c r="M148" s="83" t="n"/>
      <c r="N148" s="83" t="n"/>
      <c r="O148" s="66">
        <f>IF(OR($M148="",$N148=""),"",$N148-$M148)</f>
        <v/>
      </c>
      <c r="P148" s="84">
        <f>IF($J148="","",IF($L148&lt;&gt;"",$L148-$J148,TODAY()-$J148))</f>
        <v/>
      </c>
      <c r="Q148" s="85">
        <f>IF(OR($K148="",$H148="Completed",$H148="Cancelled"),"",IF(AND($K148&lt;TODAY(),$H148&lt;&gt;"Completed",$H148&lt;&gt;"Cancelled"),"Overdue","On Track"))</f>
        <v/>
      </c>
      <c r="R148" s="81" t="n"/>
      <c r="S148" s="81">
        <f>IF($B148="","",IFERROR(INDEX(Task_Tracker!$AA$5:$AA$1004,MATCH($B148,Task_Tracker!$A$5:$A$1004,0)),""))</f>
        <v/>
      </c>
      <c r="T148" s="81">
        <f>IF($B148="","",IFERROR(INDEX(Task_Tracker!$AB$5:$AB$1004,MATCH($B148,Task_Tracker!$A$5:$A$1004,0)),""))</f>
        <v/>
      </c>
      <c r="U148" s="78">
        <f>IF($B148="","",IFERROR(INDEX(Task_Tracker!$F$5:$F$1004,MATCH($B148,Task_Tracker!$A$5:$A$1004,0)),""))</f>
        <v/>
      </c>
      <c r="V148" s="78">
        <f>IF($B148="","",IFERROR(INDEX(Task_Tracker!$I$5:$I$1004,MATCH($B148,Task_Tracker!$A$5:$A$1004,0)),""))</f>
        <v/>
      </c>
      <c r="W148" s="81">
        <f>IF(OR($D148="",$B148=""),"",$D148&amp;" | "&amp;$B148)</f>
        <v/>
      </c>
      <c r="X148" s="85">
        <f>IF($K148="","",TEXT($K148,"yyyy-mm"))</f>
        <v/>
      </c>
      <c r="Y148" s="81">
        <f>IF(OR($A148="",$T148=""),"","Included in Manager_Report")</f>
        <v/>
      </c>
    </row>
    <row r="149" ht="15" customHeight="1" s="40">
      <c r="A149" s="65">
        <f>IF(COUNTA(B149:G149)=0,"","STP-"&amp;TEXT(ROW()-4,"0000"))</f>
        <v/>
      </c>
      <c r="B149" s="78" t="n"/>
      <c r="C149" s="67">
        <f>IF($B149="","",IFERROR(INDEX(Task_Tracker!$D$5:$D$1004,MATCH($B149,Task_Tracker!$A$5:$A$1004,0)),""))</f>
        <v/>
      </c>
      <c r="D149" s="67">
        <f>IF($B149="","",IFERROR(INDEX(Task_Tracker!$B$5:$B$1004,MATCH($B149,Task_Tracker!$A$5:$A$1004,0)),""))</f>
        <v/>
      </c>
      <c r="E149" s="81" t="n"/>
      <c r="F149" s="81" t="n"/>
      <c r="G149" s="78" t="n"/>
      <c r="H149" s="78" t="n"/>
      <c r="I149" s="67">
        <f>IF($H149="","",IFERROR(INDEX(Action_Status_Map!$B$5:$B$11,MATCH($H149,Action_Status_Map!$A$5:$A$11,0)),""))</f>
        <v/>
      </c>
      <c r="J149" s="82" t="n"/>
      <c r="K149" s="82" t="n"/>
      <c r="L149" s="82" t="n"/>
      <c r="M149" s="83" t="n"/>
      <c r="N149" s="83" t="n"/>
      <c r="O149" s="66">
        <f>IF(OR($M149="",$N149=""),"",$N149-$M149)</f>
        <v/>
      </c>
      <c r="P149" s="84">
        <f>IF($J149="","",IF($L149&lt;&gt;"",$L149-$J149,TODAY()-$J149))</f>
        <v/>
      </c>
      <c r="Q149" s="85">
        <f>IF(OR($K149="",$H149="Completed",$H149="Cancelled"),"",IF(AND($K149&lt;TODAY(),$H149&lt;&gt;"Completed",$H149&lt;&gt;"Cancelled"),"Overdue","On Track"))</f>
        <v/>
      </c>
      <c r="R149" s="81" t="n"/>
      <c r="S149" s="81">
        <f>IF($B149="","",IFERROR(INDEX(Task_Tracker!$AA$5:$AA$1004,MATCH($B149,Task_Tracker!$A$5:$A$1004,0)),""))</f>
        <v/>
      </c>
      <c r="T149" s="81">
        <f>IF($B149="","",IFERROR(INDEX(Task_Tracker!$AB$5:$AB$1004,MATCH($B149,Task_Tracker!$A$5:$A$1004,0)),""))</f>
        <v/>
      </c>
      <c r="U149" s="78">
        <f>IF($B149="","",IFERROR(INDEX(Task_Tracker!$F$5:$F$1004,MATCH($B149,Task_Tracker!$A$5:$A$1004,0)),""))</f>
        <v/>
      </c>
      <c r="V149" s="78">
        <f>IF($B149="","",IFERROR(INDEX(Task_Tracker!$I$5:$I$1004,MATCH($B149,Task_Tracker!$A$5:$A$1004,0)),""))</f>
        <v/>
      </c>
      <c r="W149" s="81">
        <f>IF(OR($D149="",$B149=""),"",$D149&amp;" | "&amp;$B149)</f>
        <v/>
      </c>
      <c r="X149" s="85">
        <f>IF($K149="","",TEXT($K149,"yyyy-mm"))</f>
        <v/>
      </c>
      <c r="Y149" s="81">
        <f>IF(OR($A149="",$T149=""),"","Included in Manager_Report")</f>
        <v/>
      </c>
    </row>
    <row r="150" ht="15" customHeight="1" s="40">
      <c r="A150" s="65">
        <f>IF(COUNTA(B150:G150)=0,"","STP-"&amp;TEXT(ROW()-4,"0000"))</f>
        <v/>
      </c>
      <c r="B150" s="78" t="n"/>
      <c r="C150" s="67">
        <f>IF($B150="","",IFERROR(INDEX(Task_Tracker!$D$5:$D$1004,MATCH($B150,Task_Tracker!$A$5:$A$1004,0)),""))</f>
        <v/>
      </c>
      <c r="D150" s="67">
        <f>IF($B150="","",IFERROR(INDEX(Task_Tracker!$B$5:$B$1004,MATCH($B150,Task_Tracker!$A$5:$A$1004,0)),""))</f>
        <v/>
      </c>
      <c r="E150" s="81" t="n"/>
      <c r="F150" s="81" t="n"/>
      <c r="G150" s="78" t="n"/>
      <c r="H150" s="78" t="n"/>
      <c r="I150" s="67">
        <f>IF($H150="","",IFERROR(INDEX(Action_Status_Map!$B$5:$B$11,MATCH($H150,Action_Status_Map!$A$5:$A$11,0)),""))</f>
        <v/>
      </c>
      <c r="J150" s="82" t="n"/>
      <c r="K150" s="82" t="n"/>
      <c r="L150" s="82" t="n"/>
      <c r="M150" s="83" t="n"/>
      <c r="N150" s="83" t="n"/>
      <c r="O150" s="66">
        <f>IF(OR($M150="",$N150=""),"",$N150-$M150)</f>
        <v/>
      </c>
      <c r="P150" s="84">
        <f>IF($J150="","",IF($L150&lt;&gt;"",$L150-$J150,TODAY()-$J150))</f>
        <v/>
      </c>
      <c r="Q150" s="85">
        <f>IF(OR($K150="",$H150="Completed",$H150="Cancelled"),"",IF(AND($K150&lt;TODAY(),$H150&lt;&gt;"Completed",$H150&lt;&gt;"Cancelled"),"Overdue","On Track"))</f>
        <v/>
      </c>
      <c r="R150" s="81" t="n"/>
      <c r="S150" s="81">
        <f>IF($B150="","",IFERROR(INDEX(Task_Tracker!$AA$5:$AA$1004,MATCH($B150,Task_Tracker!$A$5:$A$1004,0)),""))</f>
        <v/>
      </c>
      <c r="T150" s="81">
        <f>IF($B150="","",IFERROR(INDEX(Task_Tracker!$AB$5:$AB$1004,MATCH($B150,Task_Tracker!$A$5:$A$1004,0)),""))</f>
        <v/>
      </c>
      <c r="U150" s="78">
        <f>IF($B150="","",IFERROR(INDEX(Task_Tracker!$F$5:$F$1004,MATCH($B150,Task_Tracker!$A$5:$A$1004,0)),""))</f>
        <v/>
      </c>
      <c r="V150" s="78">
        <f>IF($B150="","",IFERROR(INDEX(Task_Tracker!$I$5:$I$1004,MATCH($B150,Task_Tracker!$A$5:$A$1004,0)),""))</f>
        <v/>
      </c>
      <c r="W150" s="81">
        <f>IF(OR($D150="",$B150=""),"",$D150&amp;" | "&amp;$B150)</f>
        <v/>
      </c>
      <c r="X150" s="85">
        <f>IF($K150="","",TEXT($K150,"yyyy-mm"))</f>
        <v/>
      </c>
      <c r="Y150" s="81">
        <f>IF(OR($A150="",$T150=""),"","Included in Manager_Report")</f>
        <v/>
      </c>
    </row>
    <row r="151" ht="15" customHeight="1" s="40">
      <c r="A151" s="65">
        <f>IF(COUNTA(B151:G151)=0,"","STP-"&amp;TEXT(ROW()-4,"0000"))</f>
        <v/>
      </c>
      <c r="B151" s="78" t="n"/>
      <c r="C151" s="67">
        <f>IF($B151="","",IFERROR(INDEX(Task_Tracker!$D$5:$D$1004,MATCH($B151,Task_Tracker!$A$5:$A$1004,0)),""))</f>
        <v/>
      </c>
      <c r="D151" s="67">
        <f>IF($B151="","",IFERROR(INDEX(Task_Tracker!$B$5:$B$1004,MATCH($B151,Task_Tracker!$A$5:$A$1004,0)),""))</f>
        <v/>
      </c>
      <c r="E151" s="81" t="n"/>
      <c r="F151" s="81" t="n"/>
      <c r="G151" s="78" t="n"/>
      <c r="H151" s="78" t="n"/>
      <c r="I151" s="67">
        <f>IF($H151="","",IFERROR(INDEX(Action_Status_Map!$B$5:$B$11,MATCH($H151,Action_Status_Map!$A$5:$A$11,0)),""))</f>
        <v/>
      </c>
      <c r="J151" s="82" t="n"/>
      <c r="K151" s="82" t="n"/>
      <c r="L151" s="82" t="n"/>
      <c r="M151" s="83" t="n"/>
      <c r="N151" s="83" t="n"/>
      <c r="O151" s="66">
        <f>IF(OR($M151="",$N151=""),"",$N151-$M151)</f>
        <v/>
      </c>
      <c r="P151" s="84">
        <f>IF($J151="","",IF($L151&lt;&gt;"",$L151-$J151,TODAY()-$J151))</f>
        <v/>
      </c>
      <c r="Q151" s="85">
        <f>IF(OR($K151="",$H151="Completed",$H151="Cancelled"),"",IF(AND($K151&lt;TODAY(),$H151&lt;&gt;"Completed",$H151&lt;&gt;"Cancelled"),"Overdue","On Track"))</f>
        <v/>
      </c>
      <c r="R151" s="81" t="n"/>
      <c r="S151" s="81">
        <f>IF($B151="","",IFERROR(INDEX(Task_Tracker!$AA$5:$AA$1004,MATCH($B151,Task_Tracker!$A$5:$A$1004,0)),""))</f>
        <v/>
      </c>
      <c r="T151" s="81">
        <f>IF($B151="","",IFERROR(INDEX(Task_Tracker!$AB$5:$AB$1004,MATCH($B151,Task_Tracker!$A$5:$A$1004,0)),""))</f>
        <v/>
      </c>
      <c r="U151" s="78">
        <f>IF($B151="","",IFERROR(INDEX(Task_Tracker!$F$5:$F$1004,MATCH($B151,Task_Tracker!$A$5:$A$1004,0)),""))</f>
        <v/>
      </c>
      <c r="V151" s="78">
        <f>IF($B151="","",IFERROR(INDEX(Task_Tracker!$I$5:$I$1004,MATCH($B151,Task_Tracker!$A$5:$A$1004,0)),""))</f>
        <v/>
      </c>
      <c r="W151" s="81">
        <f>IF(OR($D151="",$B151=""),"",$D151&amp;" | "&amp;$B151)</f>
        <v/>
      </c>
      <c r="X151" s="85">
        <f>IF($K151="","",TEXT($K151,"yyyy-mm"))</f>
        <v/>
      </c>
      <c r="Y151" s="81">
        <f>IF(OR($A151="",$T151=""),"","Included in Manager_Report")</f>
        <v/>
      </c>
    </row>
    <row r="152" ht="15" customHeight="1" s="40">
      <c r="A152" s="65">
        <f>IF(COUNTA(B152:G152)=0,"","STP-"&amp;TEXT(ROW()-4,"0000"))</f>
        <v/>
      </c>
      <c r="B152" s="78" t="n"/>
      <c r="C152" s="67">
        <f>IF($B152="","",IFERROR(INDEX(Task_Tracker!$D$5:$D$1004,MATCH($B152,Task_Tracker!$A$5:$A$1004,0)),""))</f>
        <v/>
      </c>
      <c r="D152" s="67">
        <f>IF($B152="","",IFERROR(INDEX(Task_Tracker!$B$5:$B$1004,MATCH($B152,Task_Tracker!$A$5:$A$1004,0)),""))</f>
        <v/>
      </c>
      <c r="E152" s="81" t="n"/>
      <c r="F152" s="81" t="n"/>
      <c r="G152" s="78" t="n"/>
      <c r="H152" s="78" t="n"/>
      <c r="I152" s="67">
        <f>IF($H152="","",IFERROR(INDEX(Action_Status_Map!$B$5:$B$11,MATCH($H152,Action_Status_Map!$A$5:$A$11,0)),""))</f>
        <v/>
      </c>
      <c r="J152" s="82" t="n"/>
      <c r="K152" s="82" t="n"/>
      <c r="L152" s="82" t="n"/>
      <c r="M152" s="83" t="n"/>
      <c r="N152" s="83" t="n"/>
      <c r="O152" s="66">
        <f>IF(OR($M152="",$N152=""),"",$N152-$M152)</f>
        <v/>
      </c>
      <c r="P152" s="84">
        <f>IF($J152="","",IF($L152&lt;&gt;"",$L152-$J152,TODAY()-$J152))</f>
        <v/>
      </c>
      <c r="Q152" s="85">
        <f>IF(OR($K152="",$H152="Completed",$H152="Cancelled"),"",IF(AND($K152&lt;TODAY(),$H152&lt;&gt;"Completed",$H152&lt;&gt;"Cancelled"),"Overdue","On Track"))</f>
        <v/>
      </c>
      <c r="R152" s="81" t="n"/>
      <c r="S152" s="81">
        <f>IF($B152="","",IFERROR(INDEX(Task_Tracker!$AA$5:$AA$1004,MATCH($B152,Task_Tracker!$A$5:$A$1004,0)),""))</f>
        <v/>
      </c>
      <c r="T152" s="81">
        <f>IF($B152="","",IFERROR(INDEX(Task_Tracker!$AB$5:$AB$1004,MATCH($B152,Task_Tracker!$A$5:$A$1004,0)),""))</f>
        <v/>
      </c>
      <c r="U152" s="78">
        <f>IF($B152="","",IFERROR(INDEX(Task_Tracker!$F$5:$F$1004,MATCH($B152,Task_Tracker!$A$5:$A$1004,0)),""))</f>
        <v/>
      </c>
      <c r="V152" s="78">
        <f>IF($B152="","",IFERROR(INDEX(Task_Tracker!$I$5:$I$1004,MATCH($B152,Task_Tracker!$A$5:$A$1004,0)),""))</f>
        <v/>
      </c>
      <c r="W152" s="81">
        <f>IF(OR($D152="",$B152=""),"",$D152&amp;" | "&amp;$B152)</f>
        <v/>
      </c>
      <c r="X152" s="85">
        <f>IF($K152="","",TEXT($K152,"yyyy-mm"))</f>
        <v/>
      </c>
      <c r="Y152" s="81">
        <f>IF(OR($A152="",$T152=""),"","Included in Manager_Report")</f>
        <v/>
      </c>
    </row>
    <row r="153" ht="15" customHeight="1" s="40">
      <c r="A153" s="65">
        <f>IF(COUNTA(B153:G153)=0,"","STP-"&amp;TEXT(ROW()-4,"0000"))</f>
        <v/>
      </c>
      <c r="B153" s="78" t="n"/>
      <c r="C153" s="67">
        <f>IF($B153="","",IFERROR(INDEX(Task_Tracker!$D$5:$D$1004,MATCH($B153,Task_Tracker!$A$5:$A$1004,0)),""))</f>
        <v/>
      </c>
      <c r="D153" s="67">
        <f>IF($B153="","",IFERROR(INDEX(Task_Tracker!$B$5:$B$1004,MATCH($B153,Task_Tracker!$A$5:$A$1004,0)),""))</f>
        <v/>
      </c>
      <c r="E153" s="81" t="n"/>
      <c r="F153" s="81" t="n"/>
      <c r="G153" s="78" t="n"/>
      <c r="H153" s="78" t="n"/>
      <c r="I153" s="67">
        <f>IF($H153="","",IFERROR(INDEX(Action_Status_Map!$B$5:$B$11,MATCH($H153,Action_Status_Map!$A$5:$A$11,0)),""))</f>
        <v/>
      </c>
      <c r="J153" s="82" t="n"/>
      <c r="K153" s="82" t="n"/>
      <c r="L153" s="82" t="n"/>
      <c r="M153" s="83" t="n"/>
      <c r="N153" s="83" t="n"/>
      <c r="O153" s="66">
        <f>IF(OR($M153="",$N153=""),"",$N153-$M153)</f>
        <v/>
      </c>
      <c r="P153" s="84">
        <f>IF($J153="","",IF($L153&lt;&gt;"",$L153-$J153,TODAY()-$J153))</f>
        <v/>
      </c>
      <c r="Q153" s="85">
        <f>IF(OR($K153="",$H153="Completed",$H153="Cancelled"),"",IF(AND($K153&lt;TODAY(),$H153&lt;&gt;"Completed",$H153&lt;&gt;"Cancelled"),"Overdue","On Track"))</f>
        <v/>
      </c>
      <c r="R153" s="81" t="n"/>
      <c r="S153" s="81">
        <f>IF($B153="","",IFERROR(INDEX(Task_Tracker!$AA$5:$AA$1004,MATCH($B153,Task_Tracker!$A$5:$A$1004,0)),""))</f>
        <v/>
      </c>
      <c r="T153" s="81">
        <f>IF($B153="","",IFERROR(INDEX(Task_Tracker!$AB$5:$AB$1004,MATCH($B153,Task_Tracker!$A$5:$A$1004,0)),""))</f>
        <v/>
      </c>
      <c r="U153" s="78">
        <f>IF($B153="","",IFERROR(INDEX(Task_Tracker!$F$5:$F$1004,MATCH($B153,Task_Tracker!$A$5:$A$1004,0)),""))</f>
        <v/>
      </c>
      <c r="V153" s="78">
        <f>IF($B153="","",IFERROR(INDEX(Task_Tracker!$I$5:$I$1004,MATCH($B153,Task_Tracker!$A$5:$A$1004,0)),""))</f>
        <v/>
      </c>
      <c r="W153" s="81">
        <f>IF(OR($D153="",$B153=""),"",$D153&amp;" | "&amp;$B153)</f>
        <v/>
      </c>
      <c r="X153" s="85">
        <f>IF($K153="","",TEXT($K153,"yyyy-mm"))</f>
        <v/>
      </c>
      <c r="Y153" s="81">
        <f>IF(OR($A153="",$T153=""),"","Included in Manager_Report")</f>
        <v/>
      </c>
    </row>
    <row r="154" ht="15" customHeight="1" s="40">
      <c r="A154" s="65">
        <f>IF(COUNTA(B154:G154)=0,"","STP-"&amp;TEXT(ROW()-4,"0000"))</f>
        <v/>
      </c>
      <c r="B154" s="78" t="n"/>
      <c r="C154" s="67">
        <f>IF($B154="","",IFERROR(INDEX(Task_Tracker!$D$5:$D$1004,MATCH($B154,Task_Tracker!$A$5:$A$1004,0)),""))</f>
        <v/>
      </c>
      <c r="D154" s="67">
        <f>IF($B154="","",IFERROR(INDEX(Task_Tracker!$B$5:$B$1004,MATCH($B154,Task_Tracker!$A$5:$A$1004,0)),""))</f>
        <v/>
      </c>
      <c r="E154" s="81" t="n"/>
      <c r="F154" s="81" t="n"/>
      <c r="G154" s="78" t="n"/>
      <c r="H154" s="78" t="n"/>
      <c r="I154" s="67">
        <f>IF($H154="","",IFERROR(INDEX(Action_Status_Map!$B$5:$B$11,MATCH($H154,Action_Status_Map!$A$5:$A$11,0)),""))</f>
        <v/>
      </c>
      <c r="J154" s="82" t="n"/>
      <c r="K154" s="82" t="n"/>
      <c r="L154" s="82" t="n"/>
      <c r="M154" s="83" t="n"/>
      <c r="N154" s="83" t="n"/>
      <c r="O154" s="66">
        <f>IF(OR($M154="",$N154=""),"",$N154-$M154)</f>
        <v/>
      </c>
      <c r="P154" s="84">
        <f>IF($J154="","",IF($L154&lt;&gt;"",$L154-$J154,TODAY()-$J154))</f>
        <v/>
      </c>
      <c r="Q154" s="85">
        <f>IF(OR($K154="",$H154="Completed",$H154="Cancelled"),"",IF(AND($K154&lt;TODAY(),$H154&lt;&gt;"Completed",$H154&lt;&gt;"Cancelled"),"Overdue","On Track"))</f>
        <v/>
      </c>
      <c r="R154" s="81" t="n"/>
      <c r="S154" s="81">
        <f>IF($B154="","",IFERROR(INDEX(Task_Tracker!$AA$5:$AA$1004,MATCH($B154,Task_Tracker!$A$5:$A$1004,0)),""))</f>
        <v/>
      </c>
      <c r="T154" s="81">
        <f>IF($B154="","",IFERROR(INDEX(Task_Tracker!$AB$5:$AB$1004,MATCH($B154,Task_Tracker!$A$5:$A$1004,0)),""))</f>
        <v/>
      </c>
      <c r="U154" s="78">
        <f>IF($B154="","",IFERROR(INDEX(Task_Tracker!$F$5:$F$1004,MATCH($B154,Task_Tracker!$A$5:$A$1004,0)),""))</f>
        <v/>
      </c>
      <c r="V154" s="78">
        <f>IF($B154="","",IFERROR(INDEX(Task_Tracker!$I$5:$I$1004,MATCH($B154,Task_Tracker!$A$5:$A$1004,0)),""))</f>
        <v/>
      </c>
      <c r="W154" s="81">
        <f>IF(OR($D154="",$B154=""),"",$D154&amp;" | "&amp;$B154)</f>
        <v/>
      </c>
      <c r="X154" s="85">
        <f>IF($K154="","",TEXT($K154,"yyyy-mm"))</f>
        <v/>
      </c>
      <c r="Y154" s="81">
        <f>IF(OR($A154="",$T154=""),"","Included in Manager_Report")</f>
        <v/>
      </c>
    </row>
    <row r="155" ht="15" customHeight="1" s="40">
      <c r="A155" s="65">
        <f>IF(COUNTA(B155:G155)=0,"","STP-"&amp;TEXT(ROW()-4,"0000"))</f>
        <v/>
      </c>
      <c r="B155" s="78" t="n"/>
      <c r="C155" s="67">
        <f>IF($B155="","",IFERROR(INDEX(Task_Tracker!$D$5:$D$1004,MATCH($B155,Task_Tracker!$A$5:$A$1004,0)),""))</f>
        <v/>
      </c>
      <c r="D155" s="67">
        <f>IF($B155="","",IFERROR(INDEX(Task_Tracker!$B$5:$B$1004,MATCH($B155,Task_Tracker!$A$5:$A$1004,0)),""))</f>
        <v/>
      </c>
      <c r="E155" s="81" t="n"/>
      <c r="F155" s="81" t="n"/>
      <c r="G155" s="78" t="n"/>
      <c r="H155" s="78" t="n"/>
      <c r="I155" s="67">
        <f>IF($H155="","",IFERROR(INDEX(Action_Status_Map!$B$5:$B$11,MATCH($H155,Action_Status_Map!$A$5:$A$11,0)),""))</f>
        <v/>
      </c>
      <c r="J155" s="82" t="n"/>
      <c r="K155" s="82" t="n"/>
      <c r="L155" s="82" t="n"/>
      <c r="M155" s="83" t="n"/>
      <c r="N155" s="83" t="n"/>
      <c r="O155" s="66">
        <f>IF(OR($M155="",$N155=""),"",$N155-$M155)</f>
        <v/>
      </c>
      <c r="P155" s="84">
        <f>IF($J155="","",IF($L155&lt;&gt;"",$L155-$J155,TODAY()-$J155))</f>
        <v/>
      </c>
      <c r="Q155" s="85">
        <f>IF(OR($K155="",$H155="Completed",$H155="Cancelled"),"",IF(AND($K155&lt;TODAY(),$H155&lt;&gt;"Completed",$H155&lt;&gt;"Cancelled"),"Overdue","On Track"))</f>
        <v/>
      </c>
      <c r="R155" s="81" t="n"/>
      <c r="S155" s="81">
        <f>IF($B155="","",IFERROR(INDEX(Task_Tracker!$AA$5:$AA$1004,MATCH($B155,Task_Tracker!$A$5:$A$1004,0)),""))</f>
        <v/>
      </c>
      <c r="T155" s="81">
        <f>IF($B155="","",IFERROR(INDEX(Task_Tracker!$AB$5:$AB$1004,MATCH($B155,Task_Tracker!$A$5:$A$1004,0)),""))</f>
        <v/>
      </c>
      <c r="U155" s="78">
        <f>IF($B155="","",IFERROR(INDEX(Task_Tracker!$F$5:$F$1004,MATCH($B155,Task_Tracker!$A$5:$A$1004,0)),""))</f>
        <v/>
      </c>
      <c r="V155" s="78">
        <f>IF($B155="","",IFERROR(INDEX(Task_Tracker!$I$5:$I$1004,MATCH($B155,Task_Tracker!$A$5:$A$1004,0)),""))</f>
        <v/>
      </c>
      <c r="W155" s="81">
        <f>IF(OR($D155="",$B155=""),"",$D155&amp;" | "&amp;$B155)</f>
        <v/>
      </c>
      <c r="X155" s="85">
        <f>IF($K155="","",TEXT($K155,"yyyy-mm"))</f>
        <v/>
      </c>
      <c r="Y155" s="81">
        <f>IF(OR($A155="",$T155=""),"","Included in Manager_Report")</f>
        <v/>
      </c>
    </row>
    <row r="156" ht="15" customHeight="1" s="40">
      <c r="A156" s="65">
        <f>IF(COUNTA(B156:G156)=0,"","STP-"&amp;TEXT(ROW()-4,"0000"))</f>
        <v/>
      </c>
      <c r="B156" s="78" t="n"/>
      <c r="C156" s="67">
        <f>IF($B156="","",IFERROR(INDEX(Task_Tracker!$D$5:$D$1004,MATCH($B156,Task_Tracker!$A$5:$A$1004,0)),""))</f>
        <v/>
      </c>
      <c r="D156" s="67">
        <f>IF($B156="","",IFERROR(INDEX(Task_Tracker!$B$5:$B$1004,MATCH($B156,Task_Tracker!$A$5:$A$1004,0)),""))</f>
        <v/>
      </c>
      <c r="E156" s="81" t="n"/>
      <c r="F156" s="81" t="n"/>
      <c r="G156" s="78" t="n"/>
      <c r="H156" s="78" t="n"/>
      <c r="I156" s="67">
        <f>IF($H156="","",IFERROR(INDEX(Action_Status_Map!$B$5:$B$11,MATCH($H156,Action_Status_Map!$A$5:$A$11,0)),""))</f>
        <v/>
      </c>
      <c r="J156" s="82" t="n"/>
      <c r="K156" s="82" t="n"/>
      <c r="L156" s="82" t="n"/>
      <c r="M156" s="83" t="n"/>
      <c r="N156" s="83" t="n"/>
      <c r="O156" s="66">
        <f>IF(OR($M156="",$N156=""),"",$N156-$M156)</f>
        <v/>
      </c>
      <c r="P156" s="84">
        <f>IF($J156="","",IF($L156&lt;&gt;"",$L156-$J156,TODAY()-$J156))</f>
        <v/>
      </c>
      <c r="Q156" s="85">
        <f>IF(OR($K156="",$H156="Completed",$H156="Cancelled"),"",IF(AND($K156&lt;TODAY(),$H156&lt;&gt;"Completed",$H156&lt;&gt;"Cancelled"),"Overdue","On Track"))</f>
        <v/>
      </c>
      <c r="R156" s="81" t="n"/>
      <c r="S156" s="81">
        <f>IF($B156="","",IFERROR(INDEX(Task_Tracker!$AA$5:$AA$1004,MATCH($B156,Task_Tracker!$A$5:$A$1004,0)),""))</f>
        <v/>
      </c>
      <c r="T156" s="81">
        <f>IF($B156="","",IFERROR(INDEX(Task_Tracker!$AB$5:$AB$1004,MATCH($B156,Task_Tracker!$A$5:$A$1004,0)),""))</f>
        <v/>
      </c>
      <c r="U156" s="78">
        <f>IF($B156="","",IFERROR(INDEX(Task_Tracker!$F$5:$F$1004,MATCH($B156,Task_Tracker!$A$5:$A$1004,0)),""))</f>
        <v/>
      </c>
      <c r="V156" s="78">
        <f>IF($B156="","",IFERROR(INDEX(Task_Tracker!$I$5:$I$1004,MATCH($B156,Task_Tracker!$A$5:$A$1004,0)),""))</f>
        <v/>
      </c>
      <c r="W156" s="81">
        <f>IF(OR($D156="",$B156=""),"",$D156&amp;" | "&amp;$B156)</f>
        <v/>
      </c>
      <c r="X156" s="85">
        <f>IF($K156="","",TEXT($K156,"yyyy-mm"))</f>
        <v/>
      </c>
      <c r="Y156" s="81">
        <f>IF(OR($A156="",$T156=""),"","Included in Manager_Report")</f>
        <v/>
      </c>
    </row>
    <row r="157" ht="15" customHeight="1" s="40">
      <c r="A157" s="65">
        <f>IF(COUNTA(B157:G157)=0,"","STP-"&amp;TEXT(ROW()-4,"0000"))</f>
        <v/>
      </c>
      <c r="B157" s="78" t="n"/>
      <c r="C157" s="67">
        <f>IF($B157="","",IFERROR(INDEX(Task_Tracker!$D$5:$D$1004,MATCH($B157,Task_Tracker!$A$5:$A$1004,0)),""))</f>
        <v/>
      </c>
      <c r="D157" s="67">
        <f>IF($B157="","",IFERROR(INDEX(Task_Tracker!$B$5:$B$1004,MATCH($B157,Task_Tracker!$A$5:$A$1004,0)),""))</f>
        <v/>
      </c>
      <c r="E157" s="81" t="n"/>
      <c r="F157" s="81" t="n"/>
      <c r="G157" s="78" t="n"/>
      <c r="H157" s="78" t="n"/>
      <c r="I157" s="67">
        <f>IF($H157="","",IFERROR(INDEX(Action_Status_Map!$B$5:$B$11,MATCH($H157,Action_Status_Map!$A$5:$A$11,0)),""))</f>
        <v/>
      </c>
      <c r="J157" s="82" t="n"/>
      <c r="K157" s="82" t="n"/>
      <c r="L157" s="82" t="n"/>
      <c r="M157" s="83" t="n"/>
      <c r="N157" s="83" t="n"/>
      <c r="O157" s="66">
        <f>IF(OR($M157="",$N157=""),"",$N157-$M157)</f>
        <v/>
      </c>
      <c r="P157" s="84">
        <f>IF($J157="","",IF($L157&lt;&gt;"",$L157-$J157,TODAY()-$J157))</f>
        <v/>
      </c>
      <c r="Q157" s="85">
        <f>IF(OR($K157="",$H157="Completed",$H157="Cancelled"),"",IF(AND($K157&lt;TODAY(),$H157&lt;&gt;"Completed",$H157&lt;&gt;"Cancelled"),"Overdue","On Track"))</f>
        <v/>
      </c>
      <c r="R157" s="81" t="n"/>
      <c r="S157" s="81">
        <f>IF($B157="","",IFERROR(INDEX(Task_Tracker!$AA$5:$AA$1004,MATCH($B157,Task_Tracker!$A$5:$A$1004,0)),""))</f>
        <v/>
      </c>
      <c r="T157" s="81">
        <f>IF($B157="","",IFERROR(INDEX(Task_Tracker!$AB$5:$AB$1004,MATCH($B157,Task_Tracker!$A$5:$A$1004,0)),""))</f>
        <v/>
      </c>
      <c r="U157" s="78">
        <f>IF($B157="","",IFERROR(INDEX(Task_Tracker!$F$5:$F$1004,MATCH($B157,Task_Tracker!$A$5:$A$1004,0)),""))</f>
        <v/>
      </c>
      <c r="V157" s="78">
        <f>IF($B157="","",IFERROR(INDEX(Task_Tracker!$I$5:$I$1004,MATCH($B157,Task_Tracker!$A$5:$A$1004,0)),""))</f>
        <v/>
      </c>
      <c r="W157" s="81">
        <f>IF(OR($D157="",$B157=""),"",$D157&amp;" | "&amp;$B157)</f>
        <v/>
      </c>
      <c r="X157" s="85">
        <f>IF($K157="","",TEXT($K157,"yyyy-mm"))</f>
        <v/>
      </c>
      <c r="Y157" s="81">
        <f>IF(OR($A157="",$T157=""),"","Included in Manager_Report")</f>
        <v/>
      </c>
    </row>
    <row r="158" ht="15" customHeight="1" s="40">
      <c r="A158" s="65">
        <f>IF(COUNTA(B158:G158)=0,"","STP-"&amp;TEXT(ROW()-4,"0000"))</f>
        <v/>
      </c>
      <c r="B158" s="78" t="n"/>
      <c r="C158" s="67">
        <f>IF($B158="","",IFERROR(INDEX(Task_Tracker!$D$5:$D$1004,MATCH($B158,Task_Tracker!$A$5:$A$1004,0)),""))</f>
        <v/>
      </c>
      <c r="D158" s="67">
        <f>IF($B158="","",IFERROR(INDEX(Task_Tracker!$B$5:$B$1004,MATCH($B158,Task_Tracker!$A$5:$A$1004,0)),""))</f>
        <v/>
      </c>
      <c r="E158" s="81" t="n"/>
      <c r="F158" s="81" t="n"/>
      <c r="G158" s="78" t="n"/>
      <c r="H158" s="78" t="n"/>
      <c r="I158" s="67">
        <f>IF($H158="","",IFERROR(INDEX(Action_Status_Map!$B$5:$B$11,MATCH($H158,Action_Status_Map!$A$5:$A$11,0)),""))</f>
        <v/>
      </c>
      <c r="J158" s="82" t="n"/>
      <c r="K158" s="82" t="n"/>
      <c r="L158" s="82" t="n"/>
      <c r="M158" s="83" t="n"/>
      <c r="N158" s="83" t="n"/>
      <c r="O158" s="66">
        <f>IF(OR($M158="",$N158=""),"",$N158-$M158)</f>
        <v/>
      </c>
      <c r="P158" s="84">
        <f>IF($J158="","",IF($L158&lt;&gt;"",$L158-$J158,TODAY()-$J158))</f>
        <v/>
      </c>
      <c r="Q158" s="85">
        <f>IF(OR($K158="",$H158="Completed",$H158="Cancelled"),"",IF(AND($K158&lt;TODAY(),$H158&lt;&gt;"Completed",$H158&lt;&gt;"Cancelled"),"Overdue","On Track"))</f>
        <v/>
      </c>
      <c r="R158" s="81" t="n"/>
      <c r="S158" s="81">
        <f>IF($B158="","",IFERROR(INDEX(Task_Tracker!$AA$5:$AA$1004,MATCH($B158,Task_Tracker!$A$5:$A$1004,0)),""))</f>
        <v/>
      </c>
      <c r="T158" s="81">
        <f>IF($B158="","",IFERROR(INDEX(Task_Tracker!$AB$5:$AB$1004,MATCH($B158,Task_Tracker!$A$5:$A$1004,0)),""))</f>
        <v/>
      </c>
      <c r="U158" s="78">
        <f>IF($B158="","",IFERROR(INDEX(Task_Tracker!$F$5:$F$1004,MATCH($B158,Task_Tracker!$A$5:$A$1004,0)),""))</f>
        <v/>
      </c>
      <c r="V158" s="78">
        <f>IF($B158="","",IFERROR(INDEX(Task_Tracker!$I$5:$I$1004,MATCH($B158,Task_Tracker!$A$5:$A$1004,0)),""))</f>
        <v/>
      </c>
      <c r="W158" s="81">
        <f>IF(OR($D158="",$B158=""),"",$D158&amp;" | "&amp;$B158)</f>
        <v/>
      </c>
      <c r="X158" s="85">
        <f>IF($K158="","",TEXT($K158,"yyyy-mm"))</f>
        <v/>
      </c>
      <c r="Y158" s="81">
        <f>IF(OR($A158="",$T158=""),"","Included in Manager_Report")</f>
        <v/>
      </c>
    </row>
    <row r="159" ht="15" customHeight="1" s="40">
      <c r="A159" s="65">
        <f>IF(COUNTA(B159:G159)=0,"","STP-"&amp;TEXT(ROW()-4,"0000"))</f>
        <v/>
      </c>
      <c r="B159" s="78" t="n"/>
      <c r="C159" s="67">
        <f>IF($B159="","",IFERROR(INDEX(Task_Tracker!$D$5:$D$1004,MATCH($B159,Task_Tracker!$A$5:$A$1004,0)),""))</f>
        <v/>
      </c>
      <c r="D159" s="67">
        <f>IF($B159="","",IFERROR(INDEX(Task_Tracker!$B$5:$B$1004,MATCH($B159,Task_Tracker!$A$5:$A$1004,0)),""))</f>
        <v/>
      </c>
      <c r="E159" s="81" t="n"/>
      <c r="F159" s="81" t="n"/>
      <c r="G159" s="78" t="n"/>
      <c r="H159" s="78" t="n"/>
      <c r="I159" s="67">
        <f>IF($H159="","",IFERROR(INDEX(Action_Status_Map!$B$5:$B$11,MATCH($H159,Action_Status_Map!$A$5:$A$11,0)),""))</f>
        <v/>
      </c>
      <c r="J159" s="82" t="n"/>
      <c r="K159" s="82" t="n"/>
      <c r="L159" s="82" t="n"/>
      <c r="M159" s="83" t="n"/>
      <c r="N159" s="83" t="n"/>
      <c r="O159" s="66">
        <f>IF(OR($M159="",$N159=""),"",$N159-$M159)</f>
        <v/>
      </c>
      <c r="P159" s="84">
        <f>IF($J159="","",IF($L159&lt;&gt;"",$L159-$J159,TODAY()-$J159))</f>
        <v/>
      </c>
      <c r="Q159" s="85">
        <f>IF(OR($K159="",$H159="Completed",$H159="Cancelled"),"",IF(AND($K159&lt;TODAY(),$H159&lt;&gt;"Completed",$H159&lt;&gt;"Cancelled"),"Overdue","On Track"))</f>
        <v/>
      </c>
      <c r="R159" s="81" t="n"/>
      <c r="S159" s="81">
        <f>IF($B159="","",IFERROR(INDEX(Task_Tracker!$AA$5:$AA$1004,MATCH($B159,Task_Tracker!$A$5:$A$1004,0)),""))</f>
        <v/>
      </c>
      <c r="T159" s="81">
        <f>IF($B159="","",IFERROR(INDEX(Task_Tracker!$AB$5:$AB$1004,MATCH($B159,Task_Tracker!$A$5:$A$1004,0)),""))</f>
        <v/>
      </c>
      <c r="U159" s="78">
        <f>IF($B159="","",IFERROR(INDEX(Task_Tracker!$F$5:$F$1004,MATCH($B159,Task_Tracker!$A$5:$A$1004,0)),""))</f>
        <v/>
      </c>
      <c r="V159" s="78">
        <f>IF($B159="","",IFERROR(INDEX(Task_Tracker!$I$5:$I$1004,MATCH($B159,Task_Tracker!$A$5:$A$1004,0)),""))</f>
        <v/>
      </c>
      <c r="W159" s="81">
        <f>IF(OR($D159="",$B159=""),"",$D159&amp;" | "&amp;$B159)</f>
        <v/>
      </c>
      <c r="X159" s="85">
        <f>IF($K159="","",TEXT($K159,"yyyy-mm"))</f>
        <v/>
      </c>
      <c r="Y159" s="81">
        <f>IF(OR($A159="",$T159=""),"","Included in Manager_Report")</f>
        <v/>
      </c>
    </row>
    <row r="160" ht="15" customHeight="1" s="40">
      <c r="A160" s="65">
        <f>IF(COUNTA(B160:G160)=0,"","STP-"&amp;TEXT(ROW()-4,"0000"))</f>
        <v/>
      </c>
      <c r="B160" s="78" t="n"/>
      <c r="C160" s="67">
        <f>IF($B160="","",IFERROR(INDEX(Task_Tracker!$D$5:$D$1004,MATCH($B160,Task_Tracker!$A$5:$A$1004,0)),""))</f>
        <v/>
      </c>
      <c r="D160" s="67">
        <f>IF($B160="","",IFERROR(INDEX(Task_Tracker!$B$5:$B$1004,MATCH($B160,Task_Tracker!$A$5:$A$1004,0)),""))</f>
        <v/>
      </c>
      <c r="E160" s="81" t="n"/>
      <c r="F160" s="81" t="n"/>
      <c r="G160" s="78" t="n"/>
      <c r="H160" s="78" t="n"/>
      <c r="I160" s="67">
        <f>IF($H160="","",IFERROR(INDEX(Action_Status_Map!$B$5:$B$11,MATCH($H160,Action_Status_Map!$A$5:$A$11,0)),""))</f>
        <v/>
      </c>
      <c r="J160" s="82" t="n"/>
      <c r="K160" s="82" t="n"/>
      <c r="L160" s="82" t="n"/>
      <c r="M160" s="83" t="n"/>
      <c r="N160" s="83" t="n"/>
      <c r="O160" s="66">
        <f>IF(OR($M160="",$N160=""),"",$N160-$M160)</f>
        <v/>
      </c>
      <c r="P160" s="84">
        <f>IF($J160="","",IF($L160&lt;&gt;"",$L160-$J160,TODAY()-$J160))</f>
        <v/>
      </c>
      <c r="Q160" s="85">
        <f>IF(OR($K160="",$H160="Completed",$H160="Cancelled"),"",IF(AND($K160&lt;TODAY(),$H160&lt;&gt;"Completed",$H160&lt;&gt;"Cancelled"),"Overdue","On Track"))</f>
        <v/>
      </c>
      <c r="R160" s="81" t="n"/>
      <c r="S160" s="81">
        <f>IF($B160="","",IFERROR(INDEX(Task_Tracker!$AA$5:$AA$1004,MATCH($B160,Task_Tracker!$A$5:$A$1004,0)),""))</f>
        <v/>
      </c>
      <c r="T160" s="81">
        <f>IF($B160="","",IFERROR(INDEX(Task_Tracker!$AB$5:$AB$1004,MATCH($B160,Task_Tracker!$A$5:$A$1004,0)),""))</f>
        <v/>
      </c>
      <c r="U160" s="78">
        <f>IF($B160="","",IFERROR(INDEX(Task_Tracker!$F$5:$F$1004,MATCH($B160,Task_Tracker!$A$5:$A$1004,0)),""))</f>
        <v/>
      </c>
      <c r="V160" s="78">
        <f>IF($B160="","",IFERROR(INDEX(Task_Tracker!$I$5:$I$1004,MATCH($B160,Task_Tracker!$A$5:$A$1004,0)),""))</f>
        <v/>
      </c>
      <c r="W160" s="81">
        <f>IF(OR($D160="",$B160=""),"",$D160&amp;" | "&amp;$B160)</f>
        <v/>
      </c>
      <c r="X160" s="85">
        <f>IF($K160="","",TEXT($K160,"yyyy-mm"))</f>
        <v/>
      </c>
      <c r="Y160" s="81">
        <f>IF(OR($A160="",$T160=""),"","Included in Manager_Report")</f>
        <v/>
      </c>
    </row>
    <row r="161" ht="15" customHeight="1" s="40">
      <c r="A161" s="65">
        <f>IF(COUNTA(B161:G161)=0,"","STP-"&amp;TEXT(ROW()-4,"0000"))</f>
        <v/>
      </c>
      <c r="B161" s="78" t="n"/>
      <c r="C161" s="67">
        <f>IF($B161="","",IFERROR(INDEX(Task_Tracker!$D$5:$D$1004,MATCH($B161,Task_Tracker!$A$5:$A$1004,0)),""))</f>
        <v/>
      </c>
      <c r="D161" s="67">
        <f>IF($B161="","",IFERROR(INDEX(Task_Tracker!$B$5:$B$1004,MATCH($B161,Task_Tracker!$A$5:$A$1004,0)),""))</f>
        <v/>
      </c>
      <c r="E161" s="81" t="n"/>
      <c r="F161" s="81" t="n"/>
      <c r="G161" s="78" t="n"/>
      <c r="H161" s="78" t="n"/>
      <c r="I161" s="67">
        <f>IF($H161="","",IFERROR(INDEX(Action_Status_Map!$B$5:$B$11,MATCH($H161,Action_Status_Map!$A$5:$A$11,0)),""))</f>
        <v/>
      </c>
      <c r="J161" s="82" t="n"/>
      <c r="K161" s="82" t="n"/>
      <c r="L161" s="82" t="n"/>
      <c r="M161" s="83" t="n"/>
      <c r="N161" s="83" t="n"/>
      <c r="O161" s="66">
        <f>IF(OR($M161="",$N161=""),"",$N161-$M161)</f>
        <v/>
      </c>
      <c r="P161" s="84">
        <f>IF($J161="","",IF($L161&lt;&gt;"",$L161-$J161,TODAY()-$J161))</f>
        <v/>
      </c>
      <c r="Q161" s="85">
        <f>IF(OR($K161="",$H161="Completed",$H161="Cancelled"),"",IF(AND($K161&lt;TODAY(),$H161&lt;&gt;"Completed",$H161&lt;&gt;"Cancelled"),"Overdue","On Track"))</f>
        <v/>
      </c>
      <c r="R161" s="81" t="n"/>
      <c r="S161" s="81">
        <f>IF($B161="","",IFERROR(INDEX(Task_Tracker!$AA$5:$AA$1004,MATCH($B161,Task_Tracker!$A$5:$A$1004,0)),""))</f>
        <v/>
      </c>
      <c r="T161" s="81">
        <f>IF($B161="","",IFERROR(INDEX(Task_Tracker!$AB$5:$AB$1004,MATCH($B161,Task_Tracker!$A$5:$A$1004,0)),""))</f>
        <v/>
      </c>
      <c r="U161" s="78">
        <f>IF($B161="","",IFERROR(INDEX(Task_Tracker!$F$5:$F$1004,MATCH($B161,Task_Tracker!$A$5:$A$1004,0)),""))</f>
        <v/>
      </c>
      <c r="V161" s="78">
        <f>IF($B161="","",IFERROR(INDEX(Task_Tracker!$I$5:$I$1004,MATCH($B161,Task_Tracker!$A$5:$A$1004,0)),""))</f>
        <v/>
      </c>
      <c r="W161" s="81">
        <f>IF(OR($D161="",$B161=""),"",$D161&amp;" | "&amp;$B161)</f>
        <v/>
      </c>
      <c r="X161" s="85">
        <f>IF($K161="","",TEXT($K161,"yyyy-mm"))</f>
        <v/>
      </c>
      <c r="Y161" s="81">
        <f>IF(OR($A161="",$T161=""),"","Included in Manager_Report")</f>
        <v/>
      </c>
    </row>
    <row r="162" ht="15" customHeight="1" s="40">
      <c r="A162" s="65">
        <f>IF(COUNTA(B162:G162)=0,"","STP-"&amp;TEXT(ROW()-4,"0000"))</f>
        <v/>
      </c>
      <c r="B162" s="78" t="n"/>
      <c r="C162" s="67">
        <f>IF($B162="","",IFERROR(INDEX(Task_Tracker!$D$5:$D$1004,MATCH($B162,Task_Tracker!$A$5:$A$1004,0)),""))</f>
        <v/>
      </c>
      <c r="D162" s="67">
        <f>IF($B162="","",IFERROR(INDEX(Task_Tracker!$B$5:$B$1004,MATCH($B162,Task_Tracker!$A$5:$A$1004,0)),""))</f>
        <v/>
      </c>
      <c r="E162" s="81" t="n"/>
      <c r="F162" s="81" t="n"/>
      <c r="G162" s="78" t="n"/>
      <c r="H162" s="78" t="n"/>
      <c r="I162" s="67">
        <f>IF($H162="","",IFERROR(INDEX(Action_Status_Map!$B$5:$B$11,MATCH($H162,Action_Status_Map!$A$5:$A$11,0)),""))</f>
        <v/>
      </c>
      <c r="J162" s="82" t="n"/>
      <c r="K162" s="82" t="n"/>
      <c r="L162" s="82" t="n"/>
      <c r="M162" s="83" t="n"/>
      <c r="N162" s="83" t="n"/>
      <c r="O162" s="66">
        <f>IF(OR($M162="",$N162=""),"",$N162-$M162)</f>
        <v/>
      </c>
      <c r="P162" s="84">
        <f>IF($J162="","",IF($L162&lt;&gt;"",$L162-$J162,TODAY()-$J162))</f>
        <v/>
      </c>
      <c r="Q162" s="85">
        <f>IF(OR($K162="",$H162="Completed",$H162="Cancelled"),"",IF(AND($K162&lt;TODAY(),$H162&lt;&gt;"Completed",$H162&lt;&gt;"Cancelled"),"Overdue","On Track"))</f>
        <v/>
      </c>
      <c r="R162" s="81" t="n"/>
      <c r="S162" s="81">
        <f>IF($B162="","",IFERROR(INDEX(Task_Tracker!$AA$5:$AA$1004,MATCH($B162,Task_Tracker!$A$5:$A$1004,0)),""))</f>
        <v/>
      </c>
      <c r="T162" s="81">
        <f>IF($B162="","",IFERROR(INDEX(Task_Tracker!$AB$5:$AB$1004,MATCH($B162,Task_Tracker!$A$5:$A$1004,0)),""))</f>
        <v/>
      </c>
      <c r="U162" s="78">
        <f>IF($B162="","",IFERROR(INDEX(Task_Tracker!$F$5:$F$1004,MATCH($B162,Task_Tracker!$A$5:$A$1004,0)),""))</f>
        <v/>
      </c>
      <c r="V162" s="78">
        <f>IF($B162="","",IFERROR(INDEX(Task_Tracker!$I$5:$I$1004,MATCH($B162,Task_Tracker!$A$5:$A$1004,0)),""))</f>
        <v/>
      </c>
      <c r="W162" s="81">
        <f>IF(OR($D162="",$B162=""),"",$D162&amp;" | "&amp;$B162)</f>
        <v/>
      </c>
      <c r="X162" s="85">
        <f>IF($K162="","",TEXT($K162,"yyyy-mm"))</f>
        <v/>
      </c>
      <c r="Y162" s="81">
        <f>IF(OR($A162="",$T162=""),"","Included in Manager_Report")</f>
        <v/>
      </c>
    </row>
    <row r="163" ht="15" customHeight="1" s="40">
      <c r="A163" s="65">
        <f>IF(COUNTA(B163:G163)=0,"","STP-"&amp;TEXT(ROW()-4,"0000"))</f>
        <v/>
      </c>
      <c r="B163" s="78" t="n"/>
      <c r="C163" s="67">
        <f>IF($B163="","",IFERROR(INDEX(Task_Tracker!$D$5:$D$1004,MATCH($B163,Task_Tracker!$A$5:$A$1004,0)),""))</f>
        <v/>
      </c>
      <c r="D163" s="67">
        <f>IF($B163="","",IFERROR(INDEX(Task_Tracker!$B$5:$B$1004,MATCH($B163,Task_Tracker!$A$5:$A$1004,0)),""))</f>
        <v/>
      </c>
      <c r="E163" s="81" t="n"/>
      <c r="F163" s="81" t="n"/>
      <c r="G163" s="78" t="n"/>
      <c r="H163" s="78" t="n"/>
      <c r="I163" s="67">
        <f>IF($H163="","",IFERROR(INDEX(Action_Status_Map!$B$5:$B$11,MATCH($H163,Action_Status_Map!$A$5:$A$11,0)),""))</f>
        <v/>
      </c>
      <c r="J163" s="82" t="n"/>
      <c r="K163" s="82" t="n"/>
      <c r="L163" s="82" t="n"/>
      <c r="M163" s="83" t="n"/>
      <c r="N163" s="83" t="n"/>
      <c r="O163" s="66">
        <f>IF(OR($M163="",$N163=""),"",$N163-$M163)</f>
        <v/>
      </c>
      <c r="P163" s="84">
        <f>IF($J163="","",IF($L163&lt;&gt;"",$L163-$J163,TODAY()-$J163))</f>
        <v/>
      </c>
      <c r="Q163" s="85">
        <f>IF(OR($K163="",$H163="Completed",$H163="Cancelled"),"",IF(AND($K163&lt;TODAY(),$H163&lt;&gt;"Completed",$H163&lt;&gt;"Cancelled"),"Overdue","On Track"))</f>
        <v/>
      </c>
      <c r="R163" s="81" t="n"/>
      <c r="S163" s="81">
        <f>IF($B163="","",IFERROR(INDEX(Task_Tracker!$AA$5:$AA$1004,MATCH($B163,Task_Tracker!$A$5:$A$1004,0)),""))</f>
        <v/>
      </c>
      <c r="T163" s="81">
        <f>IF($B163="","",IFERROR(INDEX(Task_Tracker!$AB$5:$AB$1004,MATCH($B163,Task_Tracker!$A$5:$A$1004,0)),""))</f>
        <v/>
      </c>
      <c r="U163" s="78">
        <f>IF($B163="","",IFERROR(INDEX(Task_Tracker!$F$5:$F$1004,MATCH($B163,Task_Tracker!$A$5:$A$1004,0)),""))</f>
        <v/>
      </c>
      <c r="V163" s="78">
        <f>IF($B163="","",IFERROR(INDEX(Task_Tracker!$I$5:$I$1004,MATCH($B163,Task_Tracker!$A$5:$A$1004,0)),""))</f>
        <v/>
      </c>
      <c r="W163" s="81">
        <f>IF(OR($D163="",$B163=""),"",$D163&amp;" | "&amp;$B163)</f>
        <v/>
      </c>
      <c r="X163" s="85">
        <f>IF($K163="","",TEXT($K163,"yyyy-mm"))</f>
        <v/>
      </c>
      <c r="Y163" s="81">
        <f>IF(OR($A163="",$T163=""),"","Included in Manager_Report")</f>
        <v/>
      </c>
    </row>
    <row r="164" ht="15" customHeight="1" s="40">
      <c r="A164" s="65">
        <f>IF(COUNTA(B164:G164)=0,"","STP-"&amp;TEXT(ROW()-4,"0000"))</f>
        <v/>
      </c>
      <c r="B164" s="78" t="n"/>
      <c r="C164" s="67">
        <f>IF($B164="","",IFERROR(INDEX(Task_Tracker!$D$5:$D$1004,MATCH($B164,Task_Tracker!$A$5:$A$1004,0)),""))</f>
        <v/>
      </c>
      <c r="D164" s="67">
        <f>IF($B164="","",IFERROR(INDEX(Task_Tracker!$B$5:$B$1004,MATCH($B164,Task_Tracker!$A$5:$A$1004,0)),""))</f>
        <v/>
      </c>
      <c r="E164" s="81" t="n"/>
      <c r="F164" s="81" t="n"/>
      <c r="G164" s="78" t="n"/>
      <c r="H164" s="78" t="n"/>
      <c r="I164" s="67">
        <f>IF($H164="","",IFERROR(INDEX(Action_Status_Map!$B$5:$B$11,MATCH($H164,Action_Status_Map!$A$5:$A$11,0)),""))</f>
        <v/>
      </c>
      <c r="J164" s="82" t="n"/>
      <c r="K164" s="82" t="n"/>
      <c r="L164" s="82" t="n"/>
      <c r="M164" s="83" t="n"/>
      <c r="N164" s="83" t="n"/>
      <c r="O164" s="66">
        <f>IF(OR($M164="",$N164=""),"",$N164-$M164)</f>
        <v/>
      </c>
      <c r="P164" s="84">
        <f>IF($J164="","",IF($L164&lt;&gt;"",$L164-$J164,TODAY()-$J164))</f>
        <v/>
      </c>
      <c r="Q164" s="85">
        <f>IF(OR($K164="",$H164="Completed",$H164="Cancelled"),"",IF(AND($K164&lt;TODAY(),$H164&lt;&gt;"Completed",$H164&lt;&gt;"Cancelled"),"Overdue","On Track"))</f>
        <v/>
      </c>
      <c r="R164" s="81" t="n"/>
      <c r="S164" s="81">
        <f>IF($B164="","",IFERROR(INDEX(Task_Tracker!$AA$5:$AA$1004,MATCH($B164,Task_Tracker!$A$5:$A$1004,0)),""))</f>
        <v/>
      </c>
      <c r="T164" s="81">
        <f>IF($B164="","",IFERROR(INDEX(Task_Tracker!$AB$5:$AB$1004,MATCH($B164,Task_Tracker!$A$5:$A$1004,0)),""))</f>
        <v/>
      </c>
      <c r="U164" s="78">
        <f>IF($B164="","",IFERROR(INDEX(Task_Tracker!$F$5:$F$1004,MATCH($B164,Task_Tracker!$A$5:$A$1004,0)),""))</f>
        <v/>
      </c>
      <c r="V164" s="78">
        <f>IF($B164="","",IFERROR(INDEX(Task_Tracker!$I$5:$I$1004,MATCH($B164,Task_Tracker!$A$5:$A$1004,0)),""))</f>
        <v/>
      </c>
      <c r="W164" s="81">
        <f>IF(OR($D164="",$B164=""),"",$D164&amp;" | "&amp;$B164)</f>
        <v/>
      </c>
      <c r="X164" s="85">
        <f>IF($K164="","",TEXT($K164,"yyyy-mm"))</f>
        <v/>
      </c>
      <c r="Y164" s="81">
        <f>IF(OR($A164="",$T164=""),"","Included in Manager_Report")</f>
        <v/>
      </c>
    </row>
    <row r="165" ht="15" customHeight="1" s="40">
      <c r="A165" s="65">
        <f>IF(COUNTA(B165:G165)=0,"","STP-"&amp;TEXT(ROW()-4,"0000"))</f>
        <v/>
      </c>
      <c r="B165" s="78" t="n"/>
      <c r="C165" s="67">
        <f>IF($B165="","",IFERROR(INDEX(Task_Tracker!$D$5:$D$1004,MATCH($B165,Task_Tracker!$A$5:$A$1004,0)),""))</f>
        <v/>
      </c>
      <c r="D165" s="67">
        <f>IF($B165="","",IFERROR(INDEX(Task_Tracker!$B$5:$B$1004,MATCH($B165,Task_Tracker!$A$5:$A$1004,0)),""))</f>
        <v/>
      </c>
      <c r="E165" s="81" t="n"/>
      <c r="F165" s="81" t="n"/>
      <c r="G165" s="78" t="n"/>
      <c r="H165" s="78" t="n"/>
      <c r="I165" s="67">
        <f>IF($H165="","",IFERROR(INDEX(Action_Status_Map!$B$5:$B$11,MATCH($H165,Action_Status_Map!$A$5:$A$11,0)),""))</f>
        <v/>
      </c>
      <c r="J165" s="82" t="n"/>
      <c r="K165" s="82" t="n"/>
      <c r="L165" s="82" t="n"/>
      <c r="M165" s="83" t="n"/>
      <c r="N165" s="83" t="n"/>
      <c r="O165" s="66">
        <f>IF(OR($M165="",$N165=""),"",$N165-$M165)</f>
        <v/>
      </c>
      <c r="P165" s="84">
        <f>IF($J165="","",IF($L165&lt;&gt;"",$L165-$J165,TODAY()-$J165))</f>
        <v/>
      </c>
      <c r="Q165" s="85">
        <f>IF(OR($K165="",$H165="Completed",$H165="Cancelled"),"",IF(AND($K165&lt;TODAY(),$H165&lt;&gt;"Completed",$H165&lt;&gt;"Cancelled"),"Overdue","On Track"))</f>
        <v/>
      </c>
      <c r="R165" s="81" t="n"/>
      <c r="S165" s="81">
        <f>IF($B165="","",IFERROR(INDEX(Task_Tracker!$AA$5:$AA$1004,MATCH($B165,Task_Tracker!$A$5:$A$1004,0)),""))</f>
        <v/>
      </c>
      <c r="T165" s="81">
        <f>IF($B165="","",IFERROR(INDEX(Task_Tracker!$AB$5:$AB$1004,MATCH($B165,Task_Tracker!$A$5:$A$1004,0)),""))</f>
        <v/>
      </c>
      <c r="U165" s="78">
        <f>IF($B165="","",IFERROR(INDEX(Task_Tracker!$F$5:$F$1004,MATCH($B165,Task_Tracker!$A$5:$A$1004,0)),""))</f>
        <v/>
      </c>
      <c r="V165" s="78">
        <f>IF($B165="","",IFERROR(INDEX(Task_Tracker!$I$5:$I$1004,MATCH($B165,Task_Tracker!$A$5:$A$1004,0)),""))</f>
        <v/>
      </c>
      <c r="W165" s="81">
        <f>IF(OR($D165="",$B165=""),"",$D165&amp;" | "&amp;$B165)</f>
        <v/>
      </c>
      <c r="X165" s="85">
        <f>IF($K165="","",TEXT($K165,"yyyy-mm"))</f>
        <v/>
      </c>
      <c r="Y165" s="81">
        <f>IF(OR($A165="",$T165=""),"","Included in Manager_Report")</f>
        <v/>
      </c>
    </row>
    <row r="166" ht="15" customHeight="1" s="40">
      <c r="A166" s="65">
        <f>IF(COUNTA(B166:G166)=0,"","STP-"&amp;TEXT(ROW()-4,"0000"))</f>
        <v/>
      </c>
      <c r="B166" s="78" t="n"/>
      <c r="C166" s="67">
        <f>IF($B166="","",IFERROR(INDEX(Task_Tracker!$D$5:$D$1004,MATCH($B166,Task_Tracker!$A$5:$A$1004,0)),""))</f>
        <v/>
      </c>
      <c r="D166" s="67">
        <f>IF($B166="","",IFERROR(INDEX(Task_Tracker!$B$5:$B$1004,MATCH($B166,Task_Tracker!$A$5:$A$1004,0)),""))</f>
        <v/>
      </c>
      <c r="E166" s="81" t="n"/>
      <c r="F166" s="81" t="n"/>
      <c r="G166" s="78" t="n"/>
      <c r="H166" s="78" t="n"/>
      <c r="I166" s="67">
        <f>IF($H166="","",IFERROR(INDEX(Action_Status_Map!$B$5:$B$11,MATCH($H166,Action_Status_Map!$A$5:$A$11,0)),""))</f>
        <v/>
      </c>
      <c r="J166" s="82" t="n"/>
      <c r="K166" s="82" t="n"/>
      <c r="L166" s="82" t="n"/>
      <c r="M166" s="83" t="n"/>
      <c r="N166" s="83" t="n"/>
      <c r="O166" s="66">
        <f>IF(OR($M166="",$N166=""),"",$N166-$M166)</f>
        <v/>
      </c>
      <c r="P166" s="84">
        <f>IF($J166="","",IF($L166&lt;&gt;"",$L166-$J166,TODAY()-$J166))</f>
        <v/>
      </c>
      <c r="Q166" s="85">
        <f>IF(OR($K166="",$H166="Completed",$H166="Cancelled"),"",IF(AND($K166&lt;TODAY(),$H166&lt;&gt;"Completed",$H166&lt;&gt;"Cancelled"),"Overdue","On Track"))</f>
        <v/>
      </c>
      <c r="R166" s="81" t="n"/>
      <c r="S166" s="81">
        <f>IF($B166="","",IFERROR(INDEX(Task_Tracker!$AA$5:$AA$1004,MATCH($B166,Task_Tracker!$A$5:$A$1004,0)),""))</f>
        <v/>
      </c>
      <c r="T166" s="81">
        <f>IF($B166="","",IFERROR(INDEX(Task_Tracker!$AB$5:$AB$1004,MATCH($B166,Task_Tracker!$A$5:$A$1004,0)),""))</f>
        <v/>
      </c>
      <c r="U166" s="78">
        <f>IF($B166="","",IFERROR(INDEX(Task_Tracker!$F$5:$F$1004,MATCH($B166,Task_Tracker!$A$5:$A$1004,0)),""))</f>
        <v/>
      </c>
      <c r="V166" s="78">
        <f>IF($B166="","",IFERROR(INDEX(Task_Tracker!$I$5:$I$1004,MATCH($B166,Task_Tracker!$A$5:$A$1004,0)),""))</f>
        <v/>
      </c>
      <c r="W166" s="81">
        <f>IF(OR($D166="",$B166=""),"",$D166&amp;" | "&amp;$B166)</f>
        <v/>
      </c>
      <c r="X166" s="85">
        <f>IF($K166="","",TEXT($K166,"yyyy-mm"))</f>
        <v/>
      </c>
      <c r="Y166" s="81">
        <f>IF(OR($A166="",$T166=""),"","Included in Manager_Report")</f>
        <v/>
      </c>
    </row>
    <row r="167" ht="15" customHeight="1" s="40">
      <c r="A167" s="65">
        <f>IF(COUNTA(B167:G167)=0,"","STP-"&amp;TEXT(ROW()-4,"0000"))</f>
        <v/>
      </c>
      <c r="B167" s="78" t="n"/>
      <c r="C167" s="67">
        <f>IF($B167="","",IFERROR(INDEX(Task_Tracker!$D$5:$D$1004,MATCH($B167,Task_Tracker!$A$5:$A$1004,0)),""))</f>
        <v/>
      </c>
      <c r="D167" s="67">
        <f>IF($B167="","",IFERROR(INDEX(Task_Tracker!$B$5:$B$1004,MATCH($B167,Task_Tracker!$A$5:$A$1004,0)),""))</f>
        <v/>
      </c>
      <c r="E167" s="81" t="n"/>
      <c r="F167" s="81" t="n"/>
      <c r="G167" s="78" t="n"/>
      <c r="H167" s="78" t="n"/>
      <c r="I167" s="67">
        <f>IF($H167="","",IFERROR(INDEX(Action_Status_Map!$B$5:$B$11,MATCH($H167,Action_Status_Map!$A$5:$A$11,0)),""))</f>
        <v/>
      </c>
      <c r="J167" s="82" t="n"/>
      <c r="K167" s="82" t="n"/>
      <c r="L167" s="82" t="n"/>
      <c r="M167" s="83" t="n"/>
      <c r="N167" s="83" t="n"/>
      <c r="O167" s="66">
        <f>IF(OR($M167="",$N167=""),"",$N167-$M167)</f>
        <v/>
      </c>
      <c r="P167" s="84">
        <f>IF($J167="","",IF($L167&lt;&gt;"",$L167-$J167,TODAY()-$J167))</f>
        <v/>
      </c>
      <c r="Q167" s="85">
        <f>IF(OR($K167="",$H167="Completed",$H167="Cancelled"),"",IF(AND($K167&lt;TODAY(),$H167&lt;&gt;"Completed",$H167&lt;&gt;"Cancelled"),"Overdue","On Track"))</f>
        <v/>
      </c>
      <c r="R167" s="81" t="n"/>
      <c r="S167" s="81">
        <f>IF($B167="","",IFERROR(INDEX(Task_Tracker!$AA$5:$AA$1004,MATCH($B167,Task_Tracker!$A$5:$A$1004,0)),""))</f>
        <v/>
      </c>
      <c r="T167" s="81">
        <f>IF($B167="","",IFERROR(INDEX(Task_Tracker!$AB$5:$AB$1004,MATCH($B167,Task_Tracker!$A$5:$A$1004,0)),""))</f>
        <v/>
      </c>
      <c r="U167" s="78">
        <f>IF($B167="","",IFERROR(INDEX(Task_Tracker!$F$5:$F$1004,MATCH($B167,Task_Tracker!$A$5:$A$1004,0)),""))</f>
        <v/>
      </c>
      <c r="V167" s="78">
        <f>IF($B167="","",IFERROR(INDEX(Task_Tracker!$I$5:$I$1004,MATCH($B167,Task_Tracker!$A$5:$A$1004,0)),""))</f>
        <v/>
      </c>
      <c r="W167" s="81">
        <f>IF(OR($D167="",$B167=""),"",$D167&amp;" | "&amp;$B167)</f>
        <v/>
      </c>
      <c r="X167" s="85">
        <f>IF($K167="","",TEXT($K167,"yyyy-mm"))</f>
        <v/>
      </c>
      <c r="Y167" s="81">
        <f>IF(OR($A167="",$T167=""),"","Included in Manager_Report")</f>
        <v/>
      </c>
    </row>
    <row r="168" ht="15" customHeight="1" s="40">
      <c r="A168" s="65">
        <f>IF(COUNTA(B168:G168)=0,"","STP-"&amp;TEXT(ROW()-4,"0000"))</f>
        <v/>
      </c>
      <c r="B168" s="78" t="n"/>
      <c r="C168" s="67">
        <f>IF($B168="","",IFERROR(INDEX(Task_Tracker!$D$5:$D$1004,MATCH($B168,Task_Tracker!$A$5:$A$1004,0)),""))</f>
        <v/>
      </c>
      <c r="D168" s="67">
        <f>IF($B168="","",IFERROR(INDEX(Task_Tracker!$B$5:$B$1004,MATCH($B168,Task_Tracker!$A$5:$A$1004,0)),""))</f>
        <v/>
      </c>
      <c r="E168" s="81" t="n"/>
      <c r="F168" s="81" t="n"/>
      <c r="G168" s="78" t="n"/>
      <c r="H168" s="78" t="n"/>
      <c r="I168" s="67">
        <f>IF($H168="","",IFERROR(INDEX(Action_Status_Map!$B$5:$B$11,MATCH($H168,Action_Status_Map!$A$5:$A$11,0)),""))</f>
        <v/>
      </c>
      <c r="J168" s="82" t="n"/>
      <c r="K168" s="82" t="n"/>
      <c r="L168" s="82" t="n"/>
      <c r="M168" s="83" t="n"/>
      <c r="N168" s="83" t="n"/>
      <c r="O168" s="66">
        <f>IF(OR($M168="",$N168=""),"",$N168-$M168)</f>
        <v/>
      </c>
      <c r="P168" s="84">
        <f>IF($J168="","",IF($L168&lt;&gt;"",$L168-$J168,TODAY()-$J168))</f>
        <v/>
      </c>
      <c r="Q168" s="85">
        <f>IF(OR($K168="",$H168="Completed",$H168="Cancelled"),"",IF(AND($K168&lt;TODAY(),$H168&lt;&gt;"Completed",$H168&lt;&gt;"Cancelled"),"Overdue","On Track"))</f>
        <v/>
      </c>
      <c r="R168" s="81" t="n"/>
      <c r="S168" s="81">
        <f>IF($B168="","",IFERROR(INDEX(Task_Tracker!$AA$5:$AA$1004,MATCH($B168,Task_Tracker!$A$5:$A$1004,0)),""))</f>
        <v/>
      </c>
      <c r="T168" s="81">
        <f>IF($B168="","",IFERROR(INDEX(Task_Tracker!$AB$5:$AB$1004,MATCH($B168,Task_Tracker!$A$5:$A$1004,0)),""))</f>
        <v/>
      </c>
      <c r="U168" s="78">
        <f>IF($B168="","",IFERROR(INDEX(Task_Tracker!$F$5:$F$1004,MATCH($B168,Task_Tracker!$A$5:$A$1004,0)),""))</f>
        <v/>
      </c>
      <c r="V168" s="78">
        <f>IF($B168="","",IFERROR(INDEX(Task_Tracker!$I$5:$I$1004,MATCH($B168,Task_Tracker!$A$5:$A$1004,0)),""))</f>
        <v/>
      </c>
      <c r="W168" s="81">
        <f>IF(OR($D168="",$B168=""),"",$D168&amp;" | "&amp;$B168)</f>
        <v/>
      </c>
      <c r="X168" s="85">
        <f>IF($K168="","",TEXT($K168,"yyyy-mm"))</f>
        <v/>
      </c>
      <c r="Y168" s="81">
        <f>IF(OR($A168="",$T168=""),"","Included in Manager_Report")</f>
        <v/>
      </c>
    </row>
    <row r="169" ht="15" customHeight="1" s="40">
      <c r="A169" s="65">
        <f>IF(COUNTA(B169:G169)=0,"","STP-"&amp;TEXT(ROW()-4,"0000"))</f>
        <v/>
      </c>
      <c r="B169" s="78" t="n"/>
      <c r="C169" s="67">
        <f>IF($B169="","",IFERROR(INDEX(Task_Tracker!$D$5:$D$1004,MATCH($B169,Task_Tracker!$A$5:$A$1004,0)),""))</f>
        <v/>
      </c>
      <c r="D169" s="67">
        <f>IF($B169="","",IFERROR(INDEX(Task_Tracker!$B$5:$B$1004,MATCH($B169,Task_Tracker!$A$5:$A$1004,0)),""))</f>
        <v/>
      </c>
      <c r="E169" s="81" t="n"/>
      <c r="F169" s="81" t="n"/>
      <c r="G169" s="78" t="n"/>
      <c r="H169" s="78" t="n"/>
      <c r="I169" s="67">
        <f>IF($H169="","",IFERROR(INDEX(Action_Status_Map!$B$5:$B$11,MATCH($H169,Action_Status_Map!$A$5:$A$11,0)),""))</f>
        <v/>
      </c>
      <c r="J169" s="82" t="n"/>
      <c r="K169" s="82" t="n"/>
      <c r="L169" s="82" t="n"/>
      <c r="M169" s="83" t="n"/>
      <c r="N169" s="83" t="n"/>
      <c r="O169" s="66">
        <f>IF(OR($M169="",$N169=""),"",$N169-$M169)</f>
        <v/>
      </c>
      <c r="P169" s="84">
        <f>IF($J169="","",IF($L169&lt;&gt;"",$L169-$J169,TODAY()-$J169))</f>
        <v/>
      </c>
      <c r="Q169" s="85">
        <f>IF(OR($K169="",$H169="Completed",$H169="Cancelled"),"",IF(AND($K169&lt;TODAY(),$H169&lt;&gt;"Completed",$H169&lt;&gt;"Cancelled"),"Overdue","On Track"))</f>
        <v/>
      </c>
      <c r="R169" s="81" t="n"/>
      <c r="S169" s="81">
        <f>IF($B169="","",IFERROR(INDEX(Task_Tracker!$AA$5:$AA$1004,MATCH($B169,Task_Tracker!$A$5:$A$1004,0)),""))</f>
        <v/>
      </c>
      <c r="T169" s="81">
        <f>IF($B169="","",IFERROR(INDEX(Task_Tracker!$AB$5:$AB$1004,MATCH($B169,Task_Tracker!$A$5:$A$1004,0)),""))</f>
        <v/>
      </c>
      <c r="U169" s="78">
        <f>IF($B169="","",IFERROR(INDEX(Task_Tracker!$F$5:$F$1004,MATCH($B169,Task_Tracker!$A$5:$A$1004,0)),""))</f>
        <v/>
      </c>
      <c r="V169" s="78">
        <f>IF($B169="","",IFERROR(INDEX(Task_Tracker!$I$5:$I$1004,MATCH($B169,Task_Tracker!$A$5:$A$1004,0)),""))</f>
        <v/>
      </c>
      <c r="W169" s="81">
        <f>IF(OR($D169="",$B169=""),"",$D169&amp;" | "&amp;$B169)</f>
        <v/>
      </c>
      <c r="X169" s="85">
        <f>IF($K169="","",TEXT($K169,"yyyy-mm"))</f>
        <v/>
      </c>
      <c r="Y169" s="81">
        <f>IF(OR($A169="",$T169=""),"","Included in Manager_Report")</f>
        <v/>
      </c>
    </row>
    <row r="170" ht="15" customHeight="1" s="40">
      <c r="A170" s="65">
        <f>IF(COUNTA(B170:G170)=0,"","STP-"&amp;TEXT(ROW()-4,"0000"))</f>
        <v/>
      </c>
      <c r="B170" s="78" t="n"/>
      <c r="C170" s="67">
        <f>IF($B170="","",IFERROR(INDEX(Task_Tracker!$D$5:$D$1004,MATCH($B170,Task_Tracker!$A$5:$A$1004,0)),""))</f>
        <v/>
      </c>
      <c r="D170" s="67">
        <f>IF($B170="","",IFERROR(INDEX(Task_Tracker!$B$5:$B$1004,MATCH($B170,Task_Tracker!$A$5:$A$1004,0)),""))</f>
        <v/>
      </c>
      <c r="E170" s="81" t="n"/>
      <c r="F170" s="81" t="n"/>
      <c r="G170" s="78" t="n"/>
      <c r="H170" s="78" t="n"/>
      <c r="I170" s="67">
        <f>IF($H170="","",IFERROR(INDEX(Action_Status_Map!$B$5:$B$11,MATCH($H170,Action_Status_Map!$A$5:$A$11,0)),""))</f>
        <v/>
      </c>
      <c r="J170" s="82" t="n"/>
      <c r="K170" s="82" t="n"/>
      <c r="L170" s="82" t="n"/>
      <c r="M170" s="83" t="n"/>
      <c r="N170" s="83" t="n"/>
      <c r="O170" s="66">
        <f>IF(OR($M170="",$N170=""),"",$N170-$M170)</f>
        <v/>
      </c>
      <c r="P170" s="84">
        <f>IF($J170="","",IF($L170&lt;&gt;"",$L170-$J170,TODAY()-$J170))</f>
        <v/>
      </c>
      <c r="Q170" s="85">
        <f>IF(OR($K170="",$H170="Completed",$H170="Cancelled"),"",IF(AND($K170&lt;TODAY(),$H170&lt;&gt;"Completed",$H170&lt;&gt;"Cancelled"),"Overdue","On Track"))</f>
        <v/>
      </c>
      <c r="R170" s="81" t="n"/>
      <c r="S170" s="81">
        <f>IF($B170="","",IFERROR(INDEX(Task_Tracker!$AA$5:$AA$1004,MATCH($B170,Task_Tracker!$A$5:$A$1004,0)),""))</f>
        <v/>
      </c>
      <c r="T170" s="81">
        <f>IF($B170="","",IFERROR(INDEX(Task_Tracker!$AB$5:$AB$1004,MATCH($B170,Task_Tracker!$A$5:$A$1004,0)),""))</f>
        <v/>
      </c>
      <c r="U170" s="78">
        <f>IF($B170="","",IFERROR(INDEX(Task_Tracker!$F$5:$F$1004,MATCH($B170,Task_Tracker!$A$5:$A$1004,0)),""))</f>
        <v/>
      </c>
      <c r="V170" s="78">
        <f>IF($B170="","",IFERROR(INDEX(Task_Tracker!$I$5:$I$1004,MATCH($B170,Task_Tracker!$A$5:$A$1004,0)),""))</f>
        <v/>
      </c>
      <c r="W170" s="81">
        <f>IF(OR($D170="",$B170=""),"",$D170&amp;" | "&amp;$B170)</f>
        <v/>
      </c>
      <c r="X170" s="85">
        <f>IF($K170="","",TEXT($K170,"yyyy-mm"))</f>
        <v/>
      </c>
      <c r="Y170" s="81">
        <f>IF(OR($A170="",$T170=""),"","Included in Manager_Report")</f>
        <v/>
      </c>
    </row>
    <row r="171" ht="15" customHeight="1" s="40">
      <c r="A171" s="65">
        <f>IF(COUNTA(B171:G171)=0,"","STP-"&amp;TEXT(ROW()-4,"0000"))</f>
        <v/>
      </c>
      <c r="B171" s="78" t="n"/>
      <c r="C171" s="67">
        <f>IF($B171="","",IFERROR(INDEX(Task_Tracker!$D$5:$D$1004,MATCH($B171,Task_Tracker!$A$5:$A$1004,0)),""))</f>
        <v/>
      </c>
      <c r="D171" s="67">
        <f>IF($B171="","",IFERROR(INDEX(Task_Tracker!$B$5:$B$1004,MATCH($B171,Task_Tracker!$A$5:$A$1004,0)),""))</f>
        <v/>
      </c>
      <c r="E171" s="81" t="n"/>
      <c r="F171" s="81" t="n"/>
      <c r="G171" s="78" t="n"/>
      <c r="H171" s="78" t="n"/>
      <c r="I171" s="67">
        <f>IF($H171="","",IFERROR(INDEX(Action_Status_Map!$B$5:$B$11,MATCH($H171,Action_Status_Map!$A$5:$A$11,0)),""))</f>
        <v/>
      </c>
      <c r="J171" s="82" t="n"/>
      <c r="K171" s="82" t="n"/>
      <c r="L171" s="82" t="n"/>
      <c r="M171" s="83" t="n"/>
      <c r="N171" s="83" t="n"/>
      <c r="O171" s="66">
        <f>IF(OR($M171="",$N171=""),"",$N171-$M171)</f>
        <v/>
      </c>
      <c r="P171" s="84">
        <f>IF($J171="","",IF($L171&lt;&gt;"",$L171-$J171,TODAY()-$J171))</f>
        <v/>
      </c>
      <c r="Q171" s="85">
        <f>IF(OR($K171="",$H171="Completed",$H171="Cancelled"),"",IF(AND($K171&lt;TODAY(),$H171&lt;&gt;"Completed",$H171&lt;&gt;"Cancelled"),"Overdue","On Track"))</f>
        <v/>
      </c>
      <c r="R171" s="81" t="n"/>
      <c r="S171" s="81">
        <f>IF($B171="","",IFERROR(INDEX(Task_Tracker!$AA$5:$AA$1004,MATCH($B171,Task_Tracker!$A$5:$A$1004,0)),""))</f>
        <v/>
      </c>
      <c r="T171" s="81">
        <f>IF($B171="","",IFERROR(INDEX(Task_Tracker!$AB$5:$AB$1004,MATCH($B171,Task_Tracker!$A$5:$A$1004,0)),""))</f>
        <v/>
      </c>
      <c r="U171" s="78">
        <f>IF($B171="","",IFERROR(INDEX(Task_Tracker!$F$5:$F$1004,MATCH($B171,Task_Tracker!$A$5:$A$1004,0)),""))</f>
        <v/>
      </c>
      <c r="V171" s="78">
        <f>IF($B171="","",IFERROR(INDEX(Task_Tracker!$I$5:$I$1004,MATCH($B171,Task_Tracker!$A$5:$A$1004,0)),""))</f>
        <v/>
      </c>
      <c r="W171" s="81">
        <f>IF(OR($D171="",$B171=""),"",$D171&amp;" | "&amp;$B171)</f>
        <v/>
      </c>
      <c r="X171" s="85">
        <f>IF($K171="","",TEXT($K171,"yyyy-mm"))</f>
        <v/>
      </c>
      <c r="Y171" s="81">
        <f>IF(OR($A171="",$T171=""),"","Included in Manager_Report")</f>
        <v/>
      </c>
    </row>
    <row r="172" ht="15" customHeight="1" s="40">
      <c r="A172" s="65">
        <f>IF(COUNTA(B172:G172)=0,"","STP-"&amp;TEXT(ROW()-4,"0000"))</f>
        <v/>
      </c>
      <c r="B172" s="78" t="n"/>
      <c r="C172" s="67">
        <f>IF($B172="","",IFERROR(INDEX(Task_Tracker!$D$5:$D$1004,MATCH($B172,Task_Tracker!$A$5:$A$1004,0)),""))</f>
        <v/>
      </c>
      <c r="D172" s="67">
        <f>IF($B172="","",IFERROR(INDEX(Task_Tracker!$B$5:$B$1004,MATCH($B172,Task_Tracker!$A$5:$A$1004,0)),""))</f>
        <v/>
      </c>
      <c r="E172" s="81" t="n"/>
      <c r="F172" s="81" t="n"/>
      <c r="G172" s="78" t="n"/>
      <c r="H172" s="78" t="n"/>
      <c r="I172" s="67">
        <f>IF($H172="","",IFERROR(INDEX(Action_Status_Map!$B$5:$B$11,MATCH($H172,Action_Status_Map!$A$5:$A$11,0)),""))</f>
        <v/>
      </c>
      <c r="J172" s="82" t="n"/>
      <c r="K172" s="82" t="n"/>
      <c r="L172" s="82" t="n"/>
      <c r="M172" s="83" t="n"/>
      <c r="N172" s="83" t="n"/>
      <c r="O172" s="66">
        <f>IF(OR($M172="",$N172=""),"",$N172-$M172)</f>
        <v/>
      </c>
      <c r="P172" s="84">
        <f>IF($J172="","",IF($L172&lt;&gt;"",$L172-$J172,TODAY()-$J172))</f>
        <v/>
      </c>
      <c r="Q172" s="85">
        <f>IF(OR($K172="",$H172="Completed",$H172="Cancelled"),"",IF(AND($K172&lt;TODAY(),$H172&lt;&gt;"Completed",$H172&lt;&gt;"Cancelled"),"Overdue","On Track"))</f>
        <v/>
      </c>
      <c r="R172" s="81" t="n"/>
      <c r="S172" s="81">
        <f>IF($B172="","",IFERROR(INDEX(Task_Tracker!$AA$5:$AA$1004,MATCH($B172,Task_Tracker!$A$5:$A$1004,0)),""))</f>
        <v/>
      </c>
      <c r="T172" s="81">
        <f>IF($B172="","",IFERROR(INDEX(Task_Tracker!$AB$5:$AB$1004,MATCH($B172,Task_Tracker!$A$5:$A$1004,0)),""))</f>
        <v/>
      </c>
      <c r="U172" s="78">
        <f>IF($B172="","",IFERROR(INDEX(Task_Tracker!$F$5:$F$1004,MATCH($B172,Task_Tracker!$A$5:$A$1004,0)),""))</f>
        <v/>
      </c>
      <c r="V172" s="78">
        <f>IF($B172="","",IFERROR(INDEX(Task_Tracker!$I$5:$I$1004,MATCH($B172,Task_Tracker!$A$5:$A$1004,0)),""))</f>
        <v/>
      </c>
      <c r="W172" s="81">
        <f>IF(OR($D172="",$B172=""),"",$D172&amp;" | "&amp;$B172)</f>
        <v/>
      </c>
      <c r="X172" s="85">
        <f>IF($K172="","",TEXT($K172,"yyyy-mm"))</f>
        <v/>
      </c>
      <c r="Y172" s="81">
        <f>IF(OR($A172="",$T172=""),"","Included in Manager_Report")</f>
        <v/>
      </c>
    </row>
    <row r="173" ht="15" customHeight="1" s="40">
      <c r="A173" s="65">
        <f>IF(COUNTA(B173:G173)=0,"","STP-"&amp;TEXT(ROW()-4,"0000"))</f>
        <v/>
      </c>
      <c r="B173" s="78" t="n"/>
      <c r="C173" s="67">
        <f>IF($B173="","",IFERROR(INDEX(Task_Tracker!$D$5:$D$1004,MATCH($B173,Task_Tracker!$A$5:$A$1004,0)),""))</f>
        <v/>
      </c>
      <c r="D173" s="67">
        <f>IF($B173="","",IFERROR(INDEX(Task_Tracker!$B$5:$B$1004,MATCH($B173,Task_Tracker!$A$5:$A$1004,0)),""))</f>
        <v/>
      </c>
      <c r="E173" s="81" t="n"/>
      <c r="F173" s="81" t="n"/>
      <c r="G173" s="78" t="n"/>
      <c r="H173" s="78" t="n"/>
      <c r="I173" s="67">
        <f>IF($H173="","",IFERROR(INDEX(Action_Status_Map!$B$5:$B$11,MATCH($H173,Action_Status_Map!$A$5:$A$11,0)),""))</f>
        <v/>
      </c>
      <c r="J173" s="82" t="n"/>
      <c r="K173" s="82" t="n"/>
      <c r="L173" s="82" t="n"/>
      <c r="M173" s="83" t="n"/>
      <c r="N173" s="83" t="n"/>
      <c r="O173" s="66">
        <f>IF(OR($M173="",$N173=""),"",$N173-$M173)</f>
        <v/>
      </c>
      <c r="P173" s="84">
        <f>IF($J173="","",IF($L173&lt;&gt;"",$L173-$J173,TODAY()-$J173))</f>
        <v/>
      </c>
      <c r="Q173" s="85">
        <f>IF(OR($K173="",$H173="Completed",$H173="Cancelled"),"",IF(AND($K173&lt;TODAY(),$H173&lt;&gt;"Completed",$H173&lt;&gt;"Cancelled"),"Overdue","On Track"))</f>
        <v/>
      </c>
      <c r="R173" s="81" t="n"/>
      <c r="S173" s="81">
        <f>IF($B173="","",IFERROR(INDEX(Task_Tracker!$AA$5:$AA$1004,MATCH($B173,Task_Tracker!$A$5:$A$1004,0)),""))</f>
        <v/>
      </c>
      <c r="T173" s="81">
        <f>IF($B173="","",IFERROR(INDEX(Task_Tracker!$AB$5:$AB$1004,MATCH($B173,Task_Tracker!$A$5:$A$1004,0)),""))</f>
        <v/>
      </c>
      <c r="U173" s="78">
        <f>IF($B173="","",IFERROR(INDEX(Task_Tracker!$F$5:$F$1004,MATCH($B173,Task_Tracker!$A$5:$A$1004,0)),""))</f>
        <v/>
      </c>
      <c r="V173" s="78">
        <f>IF($B173="","",IFERROR(INDEX(Task_Tracker!$I$5:$I$1004,MATCH($B173,Task_Tracker!$A$5:$A$1004,0)),""))</f>
        <v/>
      </c>
      <c r="W173" s="81">
        <f>IF(OR($D173="",$B173=""),"",$D173&amp;" | "&amp;$B173)</f>
        <v/>
      </c>
      <c r="X173" s="85">
        <f>IF($K173="","",TEXT($K173,"yyyy-mm"))</f>
        <v/>
      </c>
      <c r="Y173" s="81">
        <f>IF(OR($A173="",$T173=""),"","Included in Manager_Report")</f>
        <v/>
      </c>
    </row>
    <row r="174" ht="15" customHeight="1" s="40">
      <c r="A174" s="65">
        <f>IF(COUNTA(B174:G174)=0,"","STP-"&amp;TEXT(ROW()-4,"0000"))</f>
        <v/>
      </c>
      <c r="B174" s="78" t="n"/>
      <c r="C174" s="67">
        <f>IF($B174="","",IFERROR(INDEX(Task_Tracker!$D$5:$D$1004,MATCH($B174,Task_Tracker!$A$5:$A$1004,0)),""))</f>
        <v/>
      </c>
      <c r="D174" s="67">
        <f>IF($B174="","",IFERROR(INDEX(Task_Tracker!$B$5:$B$1004,MATCH($B174,Task_Tracker!$A$5:$A$1004,0)),""))</f>
        <v/>
      </c>
      <c r="E174" s="81" t="n"/>
      <c r="F174" s="81" t="n"/>
      <c r="G174" s="78" t="n"/>
      <c r="H174" s="78" t="n"/>
      <c r="I174" s="67">
        <f>IF($H174="","",IFERROR(INDEX(Action_Status_Map!$B$5:$B$11,MATCH($H174,Action_Status_Map!$A$5:$A$11,0)),""))</f>
        <v/>
      </c>
      <c r="J174" s="82" t="n"/>
      <c r="K174" s="82" t="n"/>
      <c r="L174" s="82" t="n"/>
      <c r="M174" s="83" t="n"/>
      <c r="N174" s="83" t="n"/>
      <c r="O174" s="66">
        <f>IF(OR($M174="",$N174=""),"",$N174-$M174)</f>
        <v/>
      </c>
      <c r="P174" s="84">
        <f>IF($J174="","",IF($L174&lt;&gt;"",$L174-$J174,TODAY()-$J174))</f>
        <v/>
      </c>
      <c r="Q174" s="85">
        <f>IF(OR($K174="",$H174="Completed",$H174="Cancelled"),"",IF(AND($K174&lt;TODAY(),$H174&lt;&gt;"Completed",$H174&lt;&gt;"Cancelled"),"Overdue","On Track"))</f>
        <v/>
      </c>
      <c r="R174" s="81" t="n"/>
      <c r="S174" s="81">
        <f>IF($B174="","",IFERROR(INDEX(Task_Tracker!$AA$5:$AA$1004,MATCH($B174,Task_Tracker!$A$5:$A$1004,0)),""))</f>
        <v/>
      </c>
      <c r="T174" s="81">
        <f>IF($B174="","",IFERROR(INDEX(Task_Tracker!$AB$5:$AB$1004,MATCH($B174,Task_Tracker!$A$5:$A$1004,0)),""))</f>
        <v/>
      </c>
      <c r="U174" s="78">
        <f>IF($B174="","",IFERROR(INDEX(Task_Tracker!$F$5:$F$1004,MATCH($B174,Task_Tracker!$A$5:$A$1004,0)),""))</f>
        <v/>
      </c>
      <c r="V174" s="78">
        <f>IF($B174="","",IFERROR(INDEX(Task_Tracker!$I$5:$I$1004,MATCH($B174,Task_Tracker!$A$5:$A$1004,0)),""))</f>
        <v/>
      </c>
      <c r="W174" s="81">
        <f>IF(OR($D174="",$B174=""),"",$D174&amp;" | "&amp;$B174)</f>
        <v/>
      </c>
      <c r="X174" s="85">
        <f>IF($K174="","",TEXT($K174,"yyyy-mm"))</f>
        <v/>
      </c>
      <c r="Y174" s="81">
        <f>IF(OR($A174="",$T174=""),"","Included in Manager_Report")</f>
        <v/>
      </c>
    </row>
    <row r="175" ht="15" customHeight="1" s="40">
      <c r="A175" s="65">
        <f>IF(COUNTA(B175:G175)=0,"","STP-"&amp;TEXT(ROW()-4,"0000"))</f>
        <v/>
      </c>
      <c r="B175" s="78" t="n"/>
      <c r="C175" s="67">
        <f>IF($B175="","",IFERROR(INDEX(Task_Tracker!$D$5:$D$1004,MATCH($B175,Task_Tracker!$A$5:$A$1004,0)),""))</f>
        <v/>
      </c>
      <c r="D175" s="67">
        <f>IF($B175="","",IFERROR(INDEX(Task_Tracker!$B$5:$B$1004,MATCH($B175,Task_Tracker!$A$5:$A$1004,0)),""))</f>
        <v/>
      </c>
      <c r="E175" s="81" t="n"/>
      <c r="F175" s="81" t="n"/>
      <c r="G175" s="78" t="n"/>
      <c r="H175" s="78" t="n"/>
      <c r="I175" s="67">
        <f>IF($H175="","",IFERROR(INDEX(Action_Status_Map!$B$5:$B$11,MATCH($H175,Action_Status_Map!$A$5:$A$11,0)),""))</f>
        <v/>
      </c>
      <c r="J175" s="82" t="n"/>
      <c r="K175" s="82" t="n"/>
      <c r="L175" s="82" t="n"/>
      <c r="M175" s="83" t="n"/>
      <c r="N175" s="83" t="n"/>
      <c r="O175" s="66">
        <f>IF(OR($M175="",$N175=""),"",$N175-$M175)</f>
        <v/>
      </c>
      <c r="P175" s="84">
        <f>IF($J175="","",IF($L175&lt;&gt;"",$L175-$J175,TODAY()-$J175))</f>
        <v/>
      </c>
      <c r="Q175" s="85">
        <f>IF(OR($K175="",$H175="Completed",$H175="Cancelled"),"",IF(AND($K175&lt;TODAY(),$H175&lt;&gt;"Completed",$H175&lt;&gt;"Cancelled"),"Overdue","On Track"))</f>
        <v/>
      </c>
      <c r="R175" s="81" t="n"/>
      <c r="S175" s="81">
        <f>IF($B175="","",IFERROR(INDEX(Task_Tracker!$AA$5:$AA$1004,MATCH($B175,Task_Tracker!$A$5:$A$1004,0)),""))</f>
        <v/>
      </c>
      <c r="T175" s="81">
        <f>IF($B175="","",IFERROR(INDEX(Task_Tracker!$AB$5:$AB$1004,MATCH($B175,Task_Tracker!$A$5:$A$1004,0)),""))</f>
        <v/>
      </c>
      <c r="U175" s="78">
        <f>IF($B175="","",IFERROR(INDEX(Task_Tracker!$F$5:$F$1004,MATCH($B175,Task_Tracker!$A$5:$A$1004,0)),""))</f>
        <v/>
      </c>
      <c r="V175" s="78">
        <f>IF($B175="","",IFERROR(INDEX(Task_Tracker!$I$5:$I$1004,MATCH($B175,Task_Tracker!$A$5:$A$1004,0)),""))</f>
        <v/>
      </c>
      <c r="W175" s="81">
        <f>IF(OR($D175="",$B175=""),"",$D175&amp;" | "&amp;$B175)</f>
        <v/>
      </c>
      <c r="X175" s="85">
        <f>IF($K175="","",TEXT($K175,"yyyy-mm"))</f>
        <v/>
      </c>
      <c r="Y175" s="81">
        <f>IF(OR($A175="",$T175=""),"","Included in Manager_Report")</f>
        <v/>
      </c>
    </row>
    <row r="176" ht="15" customHeight="1" s="40">
      <c r="A176" s="65">
        <f>IF(COUNTA(B176:G176)=0,"","STP-"&amp;TEXT(ROW()-4,"0000"))</f>
        <v/>
      </c>
      <c r="B176" s="78" t="n"/>
      <c r="C176" s="67">
        <f>IF($B176="","",IFERROR(INDEX(Task_Tracker!$D$5:$D$1004,MATCH($B176,Task_Tracker!$A$5:$A$1004,0)),""))</f>
        <v/>
      </c>
      <c r="D176" s="67">
        <f>IF($B176="","",IFERROR(INDEX(Task_Tracker!$B$5:$B$1004,MATCH($B176,Task_Tracker!$A$5:$A$1004,0)),""))</f>
        <v/>
      </c>
      <c r="E176" s="81" t="n"/>
      <c r="F176" s="81" t="n"/>
      <c r="G176" s="78" t="n"/>
      <c r="H176" s="78" t="n"/>
      <c r="I176" s="67">
        <f>IF($H176="","",IFERROR(INDEX(Action_Status_Map!$B$5:$B$11,MATCH($H176,Action_Status_Map!$A$5:$A$11,0)),""))</f>
        <v/>
      </c>
      <c r="J176" s="82" t="n"/>
      <c r="K176" s="82" t="n"/>
      <c r="L176" s="82" t="n"/>
      <c r="M176" s="83" t="n"/>
      <c r="N176" s="83" t="n"/>
      <c r="O176" s="66">
        <f>IF(OR($M176="",$N176=""),"",$N176-$M176)</f>
        <v/>
      </c>
      <c r="P176" s="84">
        <f>IF($J176="","",IF($L176&lt;&gt;"",$L176-$J176,TODAY()-$J176))</f>
        <v/>
      </c>
      <c r="Q176" s="85">
        <f>IF(OR($K176="",$H176="Completed",$H176="Cancelled"),"",IF(AND($K176&lt;TODAY(),$H176&lt;&gt;"Completed",$H176&lt;&gt;"Cancelled"),"Overdue","On Track"))</f>
        <v/>
      </c>
      <c r="R176" s="81" t="n"/>
      <c r="S176" s="81">
        <f>IF($B176="","",IFERROR(INDEX(Task_Tracker!$AA$5:$AA$1004,MATCH($B176,Task_Tracker!$A$5:$A$1004,0)),""))</f>
        <v/>
      </c>
      <c r="T176" s="81">
        <f>IF($B176="","",IFERROR(INDEX(Task_Tracker!$AB$5:$AB$1004,MATCH($B176,Task_Tracker!$A$5:$A$1004,0)),""))</f>
        <v/>
      </c>
      <c r="U176" s="78">
        <f>IF($B176="","",IFERROR(INDEX(Task_Tracker!$F$5:$F$1004,MATCH($B176,Task_Tracker!$A$5:$A$1004,0)),""))</f>
        <v/>
      </c>
      <c r="V176" s="78">
        <f>IF($B176="","",IFERROR(INDEX(Task_Tracker!$I$5:$I$1004,MATCH($B176,Task_Tracker!$A$5:$A$1004,0)),""))</f>
        <v/>
      </c>
      <c r="W176" s="81">
        <f>IF(OR($D176="",$B176=""),"",$D176&amp;" | "&amp;$B176)</f>
        <v/>
      </c>
      <c r="X176" s="85">
        <f>IF($K176="","",TEXT($K176,"yyyy-mm"))</f>
        <v/>
      </c>
      <c r="Y176" s="81">
        <f>IF(OR($A176="",$T176=""),"","Included in Manager_Report")</f>
        <v/>
      </c>
    </row>
    <row r="177" ht="15" customHeight="1" s="40">
      <c r="A177" s="65">
        <f>IF(COUNTA(B177:G177)=0,"","STP-"&amp;TEXT(ROW()-4,"0000"))</f>
        <v/>
      </c>
      <c r="B177" s="78" t="n"/>
      <c r="C177" s="67">
        <f>IF($B177="","",IFERROR(INDEX(Task_Tracker!$D$5:$D$1004,MATCH($B177,Task_Tracker!$A$5:$A$1004,0)),""))</f>
        <v/>
      </c>
      <c r="D177" s="67">
        <f>IF($B177="","",IFERROR(INDEX(Task_Tracker!$B$5:$B$1004,MATCH($B177,Task_Tracker!$A$5:$A$1004,0)),""))</f>
        <v/>
      </c>
      <c r="E177" s="81" t="n"/>
      <c r="F177" s="81" t="n"/>
      <c r="G177" s="78" t="n"/>
      <c r="H177" s="78" t="n"/>
      <c r="I177" s="67">
        <f>IF($H177="","",IFERROR(INDEX(Action_Status_Map!$B$5:$B$11,MATCH($H177,Action_Status_Map!$A$5:$A$11,0)),""))</f>
        <v/>
      </c>
      <c r="J177" s="82" t="n"/>
      <c r="K177" s="82" t="n"/>
      <c r="L177" s="82" t="n"/>
      <c r="M177" s="83" t="n"/>
      <c r="N177" s="83" t="n"/>
      <c r="O177" s="66">
        <f>IF(OR($M177="",$N177=""),"",$N177-$M177)</f>
        <v/>
      </c>
      <c r="P177" s="84">
        <f>IF($J177="","",IF($L177&lt;&gt;"",$L177-$J177,TODAY()-$J177))</f>
        <v/>
      </c>
      <c r="Q177" s="85">
        <f>IF(OR($K177="",$H177="Completed",$H177="Cancelled"),"",IF(AND($K177&lt;TODAY(),$H177&lt;&gt;"Completed",$H177&lt;&gt;"Cancelled"),"Overdue","On Track"))</f>
        <v/>
      </c>
      <c r="R177" s="81" t="n"/>
      <c r="S177" s="81">
        <f>IF($B177="","",IFERROR(INDEX(Task_Tracker!$AA$5:$AA$1004,MATCH($B177,Task_Tracker!$A$5:$A$1004,0)),""))</f>
        <v/>
      </c>
      <c r="T177" s="81">
        <f>IF($B177="","",IFERROR(INDEX(Task_Tracker!$AB$5:$AB$1004,MATCH($B177,Task_Tracker!$A$5:$A$1004,0)),""))</f>
        <v/>
      </c>
      <c r="U177" s="78">
        <f>IF($B177="","",IFERROR(INDEX(Task_Tracker!$F$5:$F$1004,MATCH($B177,Task_Tracker!$A$5:$A$1004,0)),""))</f>
        <v/>
      </c>
      <c r="V177" s="78">
        <f>IF($B177="","",IFERROR(INDEX(Task_Tracker!$I$5:$I$1004,MATCH($B177,Task_Tracker!$A$5:$A$1004,0)),""))</f>
        <v/>
      </c>
      <c r="W177" s="81">
        <f>IF(OR($D177="",$B177=""),"",$D177&amp;" | "&amp;$B177)</f>
        <v/>
      </c>
      <c r="X177" s="85">
        <f>IF($K177="","",TEXT($K177,"yyyy-mm"))</f>
        <v/>
      </c>
      <c r="Y177" s="81">
        <f>IF(OR($A177="",$T177=""),"","Included in Manager_Report")</f>
        <v/>
      </c>
    </row>
    <row r="178" ht="15" customHeight="1" s="40">
      <c r="A178" s="65">
        <f>IF(COUNTA(B178:G178)=0,"","STP-"&amp;TEXT(ROW()-4,"0000"))</f>
        <v/>
      </c>
      <c r="B178" s="78" t="n"/>
      <c r="C178" s="67">
        <f>IF($B178="","",IFERROR(INDEX(Task_Tracker!$D$5:$D$1004,MATCH($B178,Task_Tracker!$A$5:$A$1004,0)),""))</f>
        <v/>
      </c>
      <c r="D178" s="67">
        <f>IF($B178="","",IFERROR(INDEX(Task_Tracker!$B$5:$B$1004,MATCH($B178,Task_Tracker!$A$5:$A$1004,0)),""))</f>
        <v/>
      </c>
      <c r="E178" s="81" t="n"/>
      <c r="F178" s="81" t="n"/>
      <c r="G178" s="78" t="n"/>
      <c r="H178" s="78" t="n"/>
      <c r="I178" s="67">
        <f>IF($H178="","",IFERROR(INDEX(Action_Status_Map!$B$5:$B$11,MATCH($H178,Action_Status_Map!$A$5:$A$11,0)),""))</f>
        <v/>
      </c>
      <c r="J178" s="82" t="n"/>
      <c r="K178" s="82" t="n"/>
      <c r="L178" s="82" t="n"/>
      <c r="M178" s="83" t="n"/>
      <c r="N178" s="83" t="n"/>
      <c r="O178" s="66">
        <f>IF(OR($M178="",$N178=""),"",$N178-$M178)</f>
        <v/>
      </c>
      <c r="P178" s="84">
        <f>IF($J178="","",IF($L178&lt;&gt;"",$L178-$J178,TODAY()-$J178))</f>
        <v/>
      </c>
      <c r="Q178" s="85">
        <f>IF(OR($K178="",$H178="Completed",$H178="Cancelled"),"",IF(AND($K178&lt;TODAY(),$H178&lt;&gt;"Completed",$H178&lt;&gt;"Cancelled"),"Overdue","On Track"))</f>
        <v/>
      </c>
      <c r="R178" s="81" t="n"/>
      <c r="S178" s="81">
        <f>IF($B178="","",IFERROR(INDEX(Task_Tracker!$AA$5:$AA$1004,MATCH($B178,Task_Tracker!$A$5:$A$1004,0)),""))</f>
        <v/>
      </c>
      <c r="T178" s="81">
        <f>IF($B178="","",IFERROR(INDEX(Task_Tracker!$AB$5:$AB$1004,MATCH($B178,Task_Tracker!$A$5:$A$1004,0)),""))</f>
        <v/>
      </c>
      <c r="U178" s="78">
        <f>IF($B178="","",IFERROR(INDEX(Task_Tracker!$F$5:$F$1004,MATCH($B178,Task_Tracker!$A$5:$A$1004,0)),""))</f>
        <v/>
      </c>
      <c r="V178" s="78">
        <f>IF($B178="","",IFERROR(INDEX(Task_Tracker!$I$5:$I$1004,MATCH($B178,Task_Tracker!$A$5:$A$1004,0)),""))</f>
        <v/>
      </c>
      <c r="W178" s="81">
        <f>IF(OR($D178="",$B178=""),"",$D178&amp;" | "&amp;$B178)</f>
        <v/>
      </c>
      <c r="X178" s="85">
        <f>IF($K178="","",TEXT($K178,"yyyy-mm"))</f>
        <v/>
      </c>
      <c r="Y178" s="81">
        <f>IF(OR($A178="",$T178=""),"","Included in Manager_Report")</f>
        <v/>
      </c>
    </row>
    <row r="179" ht="15" customHeight="1" s="40">
      <c r="A179" s="65">
        <f>IF(COUNTA(B179:G179)=0,"","STP-"&amp;TEXT(ROW()-4,"0000"))</f>
        <v/>
      </c>
      <c r="B179" s="78" t="n"/>
      <c r="C179" s="67">
        <f>IF($B179="","",IFERROR(INDEX(Task_Tracker!$D$5:$D$1004,MATCH($B179,Task_Tracker!$A$5:$A$1004,0)),""))</f>
        <v/>
      </c>
      <c r="D179" s="67">
        <f>IF($B179="","",IFERROR(INDEX(Task_Tracker!$B$5:$B$1004,MATCH($B179,Task_Tracker!$A$5:$A$1004,0)),""))</f>
        <v/>
      </c>
      <c r="E179" s="81" t="n"/>
      <c r="F179" s="81" t="n"/>
      <c r="G179" s="78" t="n"/>
      <c r="H179" s="78" t="n"/>
      <c r="I179" s="67">
        <f>IF($H179="","",IFERROR(INDEX(Action_Status_Map!$B$5:$B$11,MATCH($H179,Action_Status_Map!$A$5:$A$11,0)),""))</f>
        <v/>
      </c>
      <c r="J179" s="82" t="n"/>
      <c r="K179" s="82" t="n"/>
      <c r="L179" s="82" t="n"/>
      <c r="M179" s="83" t="n"/>
      <c r="N179" s="83" t="n"/>
      <c r="O179" s="66">
        <f>IF(OR($M179="",$N179=""),"",$N179-$M179)</f>
        <v/>
      </c>
      <c r="P179" s="84">
        <f>IF($J179="","",IF($L179&lt;&gt;"",$L179-$J179,TODAY()-$J179))</f>
        <v/>
      </c>
      <c r="Q179" s="85">
        <f>IF(OR($K179="",$H179="Completed",$H179="Cancelled"),"",IF(AND($K179&lt;TODAY(),$H179&lt;&gt;"Completed",$H179&lt;&gt;"Cancelled"),"Overdue","On Track"))</f>
        <v/>
      </c>
      <c r="R179" s="81" t="n"/>
      <c r="S179" s="81">
        <f>IF($B179="","",IFERROR(INDEX(Task_Tracker!$AA$5:$AA$1004,MATCH($B179,Task_Tracker!$A$5:$A$1004,0)),""))</f>
        <v/>
      </c>
      <c r="T179" s="81">
        <f>IF($B179="","",IFERROR(INDEX(Task_Tracker!$AB$5:$AB$1004,MATCH($B179,Task_Tracker!$A$5:$A$1004,0)),""))</f>
        <v/>
      </c>
      <c r="U179" s="78">
        <f>IF($B179="","",IFERROR(INDEX(Task_Tracker!$F$5:$F$1004,MATCH($B179,Task_Tracker!$A$5:$A$1004,0)),""))</f>
        <v/>
      </c>
      <c r="V179" s="78">
        <f>IF($B179="","",IFERROR(INDEX(Task_Tracker!$I$5:$I$1004,MATCH($B179,Task_Tracker!$A$5:$A$1004,0)),""))</f>
        <v/>
      </c>
      <c r="W179" s="81">
        <f>IF(OR($D179="",$B179=""),"",$D179&amp;" | "&amp;$B179)</f>
        <v/>
      </c>
      <c r="X179" s="85">
        <f>IF($K179="","",TEXT($K179,"yyyy-mm"))</f>
        <v/>
      </c>
      <c r="Y179" s="81">
        <f>IF(OR($A179="",$T179=""),"","Included in Manager_Report")</f>
        <v/>
      </c>
    </row>
    <row r="180" ht="15" customHeight="1" s="40">
      <c r="A180" s="65">
        <f>IF(COUNTA(B180:G180)=0,"","STP-"&amp;TEXT(ROW()-4,"0000"))</f>
        <v/>
      </c>
      <c r="B180" s="78" t="n"/>
      <c r="C180" s="67">
        <f>IF($B180="","",IFERROR(INDEX(Task_Tracker!$D$5:$D$1004,MATCH($B180,Task_Tracker!$A$5:$A$1004,0)),""))</f>
        <v/>
      </c>
      <c r="D180" s="67">
        <f>IF($B180="","",IFERROR(INDEX(Task_Tracker!$B$5:$B$1004,MATCH($B180,Task_Tracker!$A$5:$A$1004,0)),""))</f>
        <v/>
      </c>
      <c r="E180" s="81" t="n"/>
      <c r="F180" s="81" t="n"/>
      <c r="G180" s="78" t="n"/>
      <c r="H180" s="78" t="n"/>
      <c r="I180" s="67">
        <f>IF($H180="","",IFERROR(INDEX(Action_Status_Map!$B$5:$B$11,MATCH($H180,Action_Status_Map!$A$5:$A$11,0)),""))</f>
        <v/>
      </c>
      <c r="J180" s="82" t="n"/>
      <c r="K180" s="82" t="n"/>
      <c r="L180" s="82" t="n"/>
      <c r="M180" s="83" t="n"/>
      <c r="N180" s="83" t="n"/>
      <c r="O180" s="66">
        <f>IF(OR($M180="",$N180=""),"",$N180-$M180)</f>
        <v/>
      </c>
      <c r="P180" s="84">
        <f>IF($J180="","",IF($L180&lt;&gt;"",$L180-$J180,TODAY()-$J180))</f>
        <v/>
      </c>
      <c r="Q180" s="85">
        <f>IF(OR($K180="",$H180="Completed",$H180="Cancelled"),"",IF(AND($K180&lt;TODAY(),$H180&lt;&gt;"Completed",$H180&lt;&gt;"Cancelled"),"Overdue","On Track"))</f>
        <v/>
      </c>
      <c r="R180" s="81" t="n"/>
      <c r="S180" s="81">
        <f>IF($B180="","",IFERROR(INDEX(Task_Tracker!$AA$5:$AA$1004,MATCH($B180,Task_Tracker!$A$5:$A$1004,0)),""))</f>
        <v/>
      </c>
      <c r="T180" s="81">
        <f>IF($B180="","",IFERROR(INDEX(Task_Tracker!$AB$5:$AB$1004,MATCH($B180,Task_Tracker!$A$5:$A$1004,0)),""))</f>
        <v/>
      </c>
      <c r="U180" s="78">
        <f>IF($B180="","",IFERROR(INDEX(Task_Tracker!$F$5:$F$1004,MATCH($B180,Task_Tracker!$A$5:$A$1004,0)),""))</f>
        <v/>
      </c>
      <c r="V180" s="78">
        <f>IF($B180="","",IFERROR(INDEX(Task_Tracker!$I$5:$I$1004,MATCH($B180,Task_Tracker!$A$5:$A$1004,0)),""))</f>
        <v/>
      </c>
      <c r="W180" s="81">
        <f>IF(OR($D180="",$B180=""),"",$D180&amp;" | "&amp;$B180)</f>
        <v/>
      </c>
      <c r="X180" s="85">
        <f>IF($K180="","",TEXT($K180,"yyyy-mm"))</f>
        <v/>
      </c>
      <c r="Y180" s="81">
        <f>IF(OR($A180="",$T180=""),"","Included in Manager_Report")</f>
        <v/>
      </c>
    </row>
    <row r="181" ht="15" customHeight="1" s="40">
      <c r="A181" s="65">
        <f>IF(COUNTA(B181:G181)=0,"","STP-"&amp;TEXT(ROW()-4,"0000"))</f>
        <v/>
      </c>
      <c r="B181" s="78" t="n"/>
      <c r="C181" s="67">
        <f>IF($B181="","",IFERROR(INDEX(Task_Tracker!$D$5:$D$1004,MATCH($B181,Task_Tracker!$A$5:$A$1004,0)),""))</f>
        <v/>
      </c>
      <c r="D181" s="67">
        <f>IF($B181="","",IFERROR(INDEX(Task_Tracker!$B$5:$B$1004,MATCH($B181,Task_Tracker!$A$5:$A$1004,0)),""))</f>
        <v/>
      </c>
      <c r="E181" s="81" t="n"/>
      <c r="F181" s="81" t="n"/>
      <c r="G181" s="78" t="n"/>
      <c r="H181" s="78" t="n"/>
      <c r="I181" s="67">
        <f>IF($H181="","",IFERROR(INDEX(Action_Status_Map!$B$5:$B$11,MATCH($H181,Action_Status_Map!$A$5:$A$11,0)),""))</f>
        <v/>
      </c>
      <c r="J181" s="82" t="n"/>
      <c r="K181" s="82" t="n"/>
      <c r="L181" s="82" t="n"/>
      <c r="M181" s="83" t="n"/>
      <c r="N181" s="83" t="n"/>
      <c r="O181" s="66">
        <f>IF(OR($M181="",$N181=""),"",$N181-$M181)</f>
        <v/>
      </c>
      <c r="P181" s="84">
        <f>IF($J181="","",IF($L181&lt;&gt;"",$L181-$J181,TODAY()-$J181))</f>
        <v/>
      </c>
      <c r="Q181" s="85">
        <f>IF(OR($K181="",$H181="Completed",$H181="Cancelled"),"",IF(AND($K181&lt;TODAY(),$H181&lt;&gt;"Completed",$H181&lt;&gt;"Cancelled"),"Overdue","On Track"))</f>
        <v/>
      </c>
      <c r="R181" s="81" t="n"/>
      <c r="S181" s="81">
        <f>IF($B181="","",IFERROR(INDEX(Task_Tracker!$AA$5:$AA$1004,MATCH($B181,Task_Tracker!$A$5:$A$1004,0)),""))</f>
        <v/>
      </c>
      <c r="T181" s="81">
        <f>IF($B181="","",IFERROR(INDEX(Task_Tracker!$AB$5:$AB$1004,MATCH($B181,Task_Tracker!$A$5:$A$1004,0)),""))</f>
        <v/>
      </c>
      <c r="U181" s="78">
        <f>IF($B181="","",IFERROR(INDEX(Task_Tracker!$F$5:$F$1004,MATCH($B181,Task_Tracker!$A$5:$A$1004,0)),""))</f>
        <v/>
      </c>
      <c r="V181" s="78">
        <f>IF($B181="","",IFERROR(INDEX(Task_Tracker!$I$5:$I$1004,MATCH($B181,Task_Tracker!$A$5:$A$1004,0)),""))</f>
        <v/>
      </c>
      <c r="W181" s="81">
        <f>IF(OR($D181="",$B181=""),"",$D181&amp;" | "&amp;$B181)</f>
        <v/>
      </c>
      <c r="X181" s="85">
        <f>IF($K181="","",TEXT($K181,"yyyy-mm"))</f>
        <v/>
      </c>
      <c r="Y181" s="81">
        <f>IF(OR($A181="",$T181=""),"","Included in Manager_Report")</f>
        <v/>
      </c>
    </row>
    <row r="182" ht="15" customHeight="1" s="40">
      <c r="A182" s="65">
        <f>IF(COUNTA(B182:G182)=0,"","STP-"&amp;TEXT(ROW()-4,"0000"))</f>
        <v/>
      </c>
      <c r="B182" s="78" t="n"/>
      <c r="C182" s="67">
        <f>IF($B182="","",IFERROR(INDEX(Task_Tracker!$D$5:$D$1004,MATCH($B182,Task_Tracker!$A$5:$A$1004,0)),""))</f>
        <v/>
      </c>
      <c r="D182" s="67">
        <f>IF($B182="","",IFERROR(INDEX(Task_Tracker!$B$5:$B$1004,MATCH($B182,Task_Tracker!$A$5:$A$1004,0)),""))</f>
        <v/>
      </c>
      <c r="E182" s="81" t="n"/>
      <c r="F182" s="81" t="n"/>
      <c r="G182" s="78" t="n"/>
      <c r="H182" s="78" t="n"/>
      <c r="I182" s="67">
        <f>IF($H182="","",IFERROR(INDEX(Action_Status_Map!$B$5:$B$11,MATCH($H182,Action_Status_Map!$A$5:$A$11,0)),""))</f>
        <v/>
      </c>
      <c r="J182" s="82" t="n"/>
      <c r="K182" s="82" t="n"/>
      <c r="L182" s="82" t="n"/>
      <c r="M182" s="83" t="n"/>
      <c r="N182" s="83" t="n"/>
      <c r="O182" s="66">
        <f>IF(OR($M182="",$N182=""),"",$N182-$M182)</f>
        <v/>
      </c>
      <c r="P182" s="84">
        <f>IF($J182="","",IF($L182&lt;&gt;"",$L182-$J182,TODAY()-$J182))</f>
        <v/>
      </c>
      <c r="Q182" s="85">
        <f>IF(OR($K182="",$H182="Completed",$H182="Cancelled"),"",IF(AND($K182&lt;TODAY(),$H182&lt;&gt;"Completed",$H182&lt;&gt;"Cancelled"),"Overdue","On Track"))</f>
        <v/>
      </c>
      <c r="R182" s="81" t="n"/>
      <c r="S182" s="81">
        <f>IF($B182="","",IFERROR(INDEX(Task_Tracker!$AA$5:$AA$1004,MATCH($B182,Task_Tracker!$A$5:$A$1004,0)),""))</f>
        <v/>
      </c>
      <c r="T182" s="81">
        <f>IF($B182="","",IFERROR(INDEX(Task_Tracker!$AB$5:$AB$1004,MATCH($B182,Task_Tracker!$A$5:$A$1004,0)),""))</f>
        <v/>
      </c>
      <c r="U182" s="78">
        <f>IF($B182="","",IFERROR(INDEX(Task_Tracker!$F$5:$F$1004,MATCH($B182,Task_Tracker!$A$5:$A$1004,0)),""))</f>
        <v/>
      </c>
      <c r="V182" s="78">
        <f>IF($B182="","",IFERROR(INDEX(Task_Tracker!$I$5:$I$1004,MATCH($B182,Task_Tracker!$A$5:$A$1004,0)),""))</f>
        <v/>
      </c>
      <c r="W182" s="81">
        <f>IF(OR($D182="",$B182=""),"",$D182&amp;" | "&amp;$B182)</f>
        <v/>
      </c>
      <c r="X182" s="85">
        <f>IF($K182="","",TEXT($K182,"yyyy-mm"))</f>
        <v/>
      </c>
      <c r="Y182" s="81">
        <f>IF(OR($A182="",$T182=""),"","Included in Manager_Report")</f>
        <v/>
      </c>
    </row>
    <row r="183" ht="15" customHeight="1" s="40">
      <c r="A183" s="65">
        <f>IF(COUNTA(B183:G183)=0,"","STP-"&amp;TEXT(ROW()-4,"0000"))</f>
        <v/>
      </c>
      <c r="B183" s="78" t="n"/>
      <c r="C183" s="67">
        <f>IF($B183="","",IFERROR(INDEX(Task_Tracker!$D$5:$D$1004,MATCH($B183,Task_Tracker!$A$5:$A$1004,0)),""))</f>
        <v/>
      </c>
      <c r="D183" s="67">
        <f>IF($B183="","",IFERROR(INDEX(Task_Tracker!$B$5:$B$1004,MATCH($B183,Task_Tracker!$A$5:$A$1004,0)),""))</f>
        <v/>
      </c>
      <c r="E183" s="81" t="n"/>
      <c r="F183" s="81" t="n"/>
      <c r="G183" s="78" t="n"/>
      <c r="H183" s="78" t="n"/>
      <c r="I183" s="67">
        <f>IF($H183="","",IFERROR(INDEX(Action_Status_Map!$B$5:$B$11,MATCH($H183,Action_Status_Map!$A$5:$A$11,0)),""))</f>
        <v/>
      </c>
      <c r="J183" s="82" t="n"/>
      <c r="K183" s="82" t="n"/>
      <c r="L183" s="82" t="n"/>
      <c r="M183" s="83" t="n"/>
      <c r="N183" s="83" t="n"/>
      <c r="O183" s="66">
        <f>IF(OR($M183="",$N183=""),"",$N183-$M183)</f>
        <v/>
      </c>
      <c r="P183" s="84">
        <f>IF($J183="","",IF($L183&lt;&gt;"",$L183-$J183,TODAY()-$J183))</f>
        <v/>
      </c>
      <c r="Q183" s="85">
        <f>IF(OR($K183="",$H183="Completed",$H183="Cancelled"),"",IF(AND($K183&lt;TODAY(),$H183&lt;&gt;"Completed",$H183&lt;&gt;"Cancelled"),"Overdue","On Track"))</f>
        <v/>
      </c>
      <c r="R183" s="81" t="n"/>
      <c r="S183" s="81">
        <f>IF($B183="","",IFERROR(INDEX(Task_Tracker!$AA$5:$AA$1004,MATCH($B183,Task_Tracker!$A$5:$A$1004,0)),""))</f>
        <v/>
      </c>
      <c r="T183" s="81">
        <f>IF($B183="","",IFERROR(INDEX(Task_Tracker!$AB$5:$AB$1004,MATCH($B183,Task_Tracker!$A$5:$A$1004,0)),""))</f>
        <v/>
      </c>
      <c r="U183" s="78">
        <f>IF($B183="","",IFERROR(INDEX(Task_Tracker!$F$5:$F$1004,MATCH($B183,Task_Tracker!$A$5:$A$1004,0)),""))</f>
        <v/>
      </c>
      <c r="V183" s="78">
        <f>IF($B183="","",IFERROR(INDEX(Task_Tracker!$I$5:$I$1004,MATCH($B183,Task_Tracker!$A$5:$A$1004,0)),""))</f>
        <v/>
      </c>
      <c r="W183" s="81">
        <f>IF(OR($D183="",$B183=""),"",$D183&amp;" | "&amp;$B183)</f>
        <v/>
      </c>
      <c r="X183" s="85">
        <f>IF($K183="","",TEXT($K183,"yyyy-mm"))</f>
        <v/>
      </c>
      <c r="Y183" s="81">
        <f>IF(OR($A183="",$T183=""),"","Included in Manager_Report")</f>
        <v/>
      </c>
    </row>
    <row r="184" ht="15" customHeight="1" s="40">
      <c r="A184" s="65">
        <f>IF(COUNTA(B184:G184)=0,"","STP-"&amp;TEXT(ROW()-4,"0000"))</f>
        <v/>
      </c>
      <c r="B184" s="78" t="n"/>
      <c r="C184" s="67">
        <f>IF($B184="","",IFERROR(INDEX(Task_Tracker!$D$5:$D$1004,MATCH($B184,Task_Tracker!$A$5:$A$1004,0)),""))</f>
        <v/>
      </c>
      <c r="D184" s="67">
        <f>IF($B184="","",IFERROR(INDEX(Task_Tracker!$B$5:$B$1004,MATCH($B184,Task_Tracker!$A$5:$A$1004,0)),""))</f>
        <v/>
      </c>
      <c r="E184" s="81" t="n"/>
      <c r="F184" s="81" t="n"/>
      <c r="G184" s="78" t="n"/>
      <c r="H184" s="78" t="n"/>
      <c r="I184" s="67">
        <f>IF($H184="","",IFERROR(INDEX(Action_Status_Map!$B$5:$B$11,MATCH($H184,Action_Status_Map!$A$5:$A$11,0)),""))</f>
        <v/>
      </c>
      <c r="J184" s="82" t="n"/>
      <c r="K184" s="82" t="n"/>
      <c r="L184" s="82" t="n"/>
      <c r="M184" s="83" t="n"/>
      <c r="N184" s="83" t="n"/>
      <c r="O184" s="66">
        <f>IF(OR($M184="",$N184=""),"",$N184-$M184)</f>
        <v/>
      </c>
      <c r="P184" s="84">
        <f>IF($J184="","",IF($L184&lt;&gt;"",$L184-$J184,TODAY()-$J184))</f>
        <v/>
      </c>
      <c r="Q184" s="85">
        <f>IF(OR($K184="",$H184="Completed",$H184="Cancelled"),"",IF(AND($K184&lt;TODAY(),$H184&lt;&gt;"Completed",$H184&lt;&gt;"Cancelled"),"Overdue","On Track"))</f>
        <v/>
      </c>
      <c r="R184" s="81" t="n"/>
      <c r="S184" s="81">
        <f>IF($B184="","",IFERROR(INDEX(Task_Tracker!$AA$5:$AA$1004,MATCH($B184,Task_Tracker!$A$5:$A$1004,0)),""))</f>
        <v/>
      </c>
      <c r="T184" s="81">
        <f>IF($B184="","",IFERROR(INDEX(Task_Tracker!$AB$5:$AB$1004,MATCH($B184,Task_Tracker!$A$5:$A$1004,0)),""))</f>
        <v/>
      </c>
      <c r="U184" s="78">
        <f>IF($B184="","",IFERROR(INDEX(Task_Tracker!$F$5:$F$1004,MATCH($B184,Task_Tracker!$A$5:$A$1004,0)),""))</f>
        <v/>
      </c>
      <c r="V184" s="78">
        <f>IF($B184="","",IFERROR(INDEX(Task_Tracker!$I$5:$I$1004,MATCH($B184,Task_Tracker!$A$5:$A$1004,0)),""))</f>
        <v/>
      </c>
      <c r="W184" s="81">
        <f>IF(OR($D184="",$B184=""),"",$D184&amp;" | "&amp;$B184)</f>
        <v/>
      </c>
      <c r="X184" s="85">
        <f>IF($K184="","",TEXT($K184,"yyyy-mm"))</f>
        <v/>
      </c>
      <c r="Y184" s="81">
        <f>IF(OR($A184="",$T184=""),"","Included in Manager_Report")</f>
        <v/>
      </c>
    </row>
    <row r="185" ht="15" customHeight="1" s="40">
      <c r="A185" s="65">
        <f>IF(COUNTA(B185:G185)=0,"","STP-"&amp;TEXT(ROW()-4,"0000"))</f>
        <v/>
      </c>
      <c r="B185" s="78" t="n"/>
      <c r="C185" s="67">
        <f>IF($B185="","",IFERROR(INDEX(Task_Tracker!$D$5:$D$1004,MATCH($B185,Task_Tracker!$A$5:$A$1004,0)),""))</f>
        <v/>
      </c>
      <c r="D185" s="67">
        <f>IF($B185="","",IFERROR(INDEX(Task_Tracker!$B$5:$B$1004,MATCH($B185,Task_Tracker!$A$5:$A$1004,0)),""))</f>
        <v/>
      </c>
      <c r="E185" s="81" t="n"/>
      <c r="F185" s="81" t="n"/>
      <c r="G185" s="78" t="n"/>
      <c r="H185" s="78" t="n"/>
      <c r="I185" s="67">
        <f>IF($H185="","",IFERROR(INDEX(Action_Status_Map!$B$5:$B$11,MATCH($H185,Action_Status_Map!$A$5:$A$11,0)),""))</f>
        <v/>
      </c>
      <c r="J185" s="82" t="n"/>
      <c r="K185" s="82" t="n"/>
      <c r="L185" s="82" t="n"/>
      <c r="M185" s="83" t="n"/>
      <c r="N185" s="83" t="n"/>
      <c r="O185" s="66">
        <f>IF(OR($M185="",$N185=""),"",$N185-$M185)</f>
        <v/>
      </c>
      <c r="P185" s="84">
        <f>IF($J185="","",IF($L185&lt;&gt;"",$L185-$J185,TODAY()-$J185))</f>
        <v/>
      </c>
      <c r="Q185" s="85">
        <f>IF(OR($K185="",$H185="Completed",$H185="Cancelled"),"",IF(AND($K185&lt;TODAY(),$H185&lt;&gt;"Completed",$H185&lt;&gt;"Cancelled"),"Overdue","On Track"))</f>
        <v/>
      </c>
      <c r="R185" s="81" t="n"/>
      <c r="S185" s="81">
        <f>IF($B185="","",IFERROR(INDEX(Task_Tracker!$AA$5:$AA$1004,MATCH($B185,Task_Tracker!$A$5:$A$1004,0)),""))</f>
        <v/>
      </c>
      <c r="T185" s="81">
        <f>IF($B185="","",IFERROR(INDEX(Task_Tracker!$AB$5:$AB$1004,MATCH($B185,Task_Tracker!$A$5:$A$1004,0)),""))</f>
        <v/>
      </c>
      <c r="U185" s="78">
        <f>IF($B185="","",IFERROR(INDEX(Task_Tracker!$F$5:$F$1004,MATCH($B185,Task_Tracker!$A$5:$A$1004,0)),""))</f>
        <v/>
      </c>
      <c r="V185" s="78">
        <f>IF($B185="","",IFERROR(INDEX(Task_Tracker!$I$5:$I$1004,MATCH($B185,Task_Tracker!$A$5:$A$1004,0)),""))</f>
        <v/>
      </c>
      <c r="W185" s="81">
        <f>IF(OR($D185="",$B185=""),"",$D185&amp;" | "&amp;$B185)</f>
        <v/>
      </c>
      <c r="X185" s="85">
        <f>IF($K185="","",TEXT($K185,"yyyy-mm"))</f>
        <v/>
      </c>
      <c r="Y185" s="81">
        <f>IF(OR($A185="",$T185=""),"","Included in Manager_Report")</f>
        <v/>
      </c>
    </row>
    <row r="186" ht="15" customHeight="1" s="40">
      <c r="A186" s="65">
        <f>IF(COUNTA(B186:G186)=0,"","STP-"&amp;TEXT(ROW()-4,"0000"))</f>
        <v/>
      </c>
      <c r="B186" s="78" t="n"/>
      <c r="C186" s="67">
        <f>IF($B186="","",IFERROR(INDEX(Task_Tracker!$D$5:$D$1004,MATCH($B186,Task_Tracker!$A$5:$A$1004,0)),""))</f>
        <v/>
      </c>
      <c r="D186" s="67">
        <f>IF($B186="","",IFERROR(INDEX(Task_Tracker!$B$5:$B$1004,MATCH($B186,Task_Tracker!$A$5:$A$1004,0)),""))</f>
        <v/>
      </c>
      <c r="E186" s="81" t="n"/>
      <c r="F186" s="81" t="n"/>
      <c r="G186" s="78" t="n"/>
      <c r="H186" s="78" t="n"/>
      <c r="I186" s="67">
        <f>IF($H186="","",IFERROR(INDEX(Action_Status_Map!$B$5:$B$11,MATCH($H186,Action_Status_Map!$A$5:$A$11,0)),""))</f>
        <v/>
      </c>
      <c r="J186" s="82" t="n"/>
      <c r="K186" s="82" t="n"/>
      <c r="L186" s="82" t="n"/>
      <c r="M186" s="83" t="n"/>
      <c r="N186" s="83" t="n"/>
      <c r="O186" s="66">
        <f>IF(OR($M186="",$N186=""),"",$N186-$M186)</f>
        <v/>
      </c>
      <c r="P186" s="84">
        <f>IF($J186="","",IF($L186&lt;&gt;"",$L186-$J186,TODAY()-$J186))</f>
        <v/>
      </c>
      <c r="Q186" s="85">
        <f>IF(OR($K186="",$H186="Completed",$H186="Cancelled"),"",IF(AND($K186&lt;TODAY(),$H186&lt;&gt;"Completed",$H186&lt;&gt;"Cancelled"),"Overdue","On Track"))</f>
        <v/>
      </c>
      <c r="R186" s="81" t="n"/>
      <c r="S186" s="81">
        <f>IF($B186="","",IFERROR(INDEX(Task_Tracker!$AA$5:$AA$1004,MATCH($B186,Task_Tracker!$A$5:$A$1004,0)),""))</f>
        <v/>
      </c>
      <c r="T186" s="81">
        <f>IF($B186="","",IFERROR(INDEX(Task_Tracker!$AB$5:$AB$1004,MATCH($B186,Task_Tracker!$A$5:$A$1004,0)),""))</f>
        <v/>
      </c>
      <c r="U186" s="78">
        <f>IF($B186="","",IFERROR(INDEX(Task_Tracker!$F$5:$F$1004,MATCH($B186,Task_Tracker!$A$5:$A$1004,0)),""))</f>
        <v/>
      </c>
      <c r="V186" s="78">
        <f>IF($B186="","",IFERROR(INDEX(Task_Tracker!$I$5:$I$1004,MATCH($B186,Task_Tracker!$A$5:$A$1004,0)),""))</f>
        <v/>
      </c>
      <c r="W186" s="81">
        <f>IF(OR($D186="",$B186=""),"",$D186&amp;" | "&amp;$B186)</f>
        <v/>
      </c>
      <c r="X186" s="85">
        <f>IF($K186="","",TEXT($K186,"yyyy-mm"))</f>
        <v/>
      </c>
      <c r="Y186" s="81">
        <f>IF(OR($A186="",$T186=""),"","Included in Manager_Report")</f>
        <v/>
      </c>
    </row>
    <row r="187" ht="15" customHeight="1" s="40">
      <c r="A187" s="65">
        <f>IF(COUNTA(B187:G187)=0,"","STP-"&amp;TEXT(ROW()-4,"0000"))</f>
        <v/>
      </c>
      <c r="B187" s="78" t="n"/>
      <c r="C187" s="67">
        <f>IF($B187="","",IFERROR(INDEX(Task_Tracker!$D$5:$D$1004,MATCH($B187,Task_Tracker!$A$5:$A$1004,0)),""))</f>
        <v/>
      </c>
      <c r="D187" s="67">
        <f>IF($B187="","",IFERROR(INDEX(Task_Tracker!$B$5:$B$1004,MATCH($B187,Task_Tracker!$A$5:$A$1004,0)),""))</f>
        <v/>
      </c>
      <c r="E187" s="81" t="n"/>
      <c r="F187" s="81" t="n"/>
      <c r="G187" s="78" t="n"/>
      <c r="H187" s="78" t="n"/>
      <c r="I187" s="67">
        <f>IF($H187="","",IFERROR(INDEX(Action_Status_Map!$B$5:$B$11,MATCH($H187,Action_Status_Map!$A$5:$A$11,0)),""))</f>
        <v/>
      </c>
      <c r="J187" s="82" t="n"/>
      <c r="K187" s="82" t="n"/>
      <c r="L187" s="82" t="n"/>
      <c r="M187" s="83" t="n"/>
      <c r="N187" s="83" t="n"/>
      <c r="O187" s="66">
        <f>IF(OR($M187="",$N187=""),"",$N187-$M187)</f>
        <v/>
      </c>
      <c r="P187" s="84">
        <f>IF($J187="","",IF($L187&lt;&gt;"",$L187-$J187,TODAY()-$J187))</f>
        <v/>
      </c>
      <c r="Q187" s="85">
        <f>IF(OR($K187="",$H187="Completed",$H187="Cancelled"),"",IF(AND($K187&lt;TODAY(),$H187&lt;&gt;"Completed",$H187&lt;&gt;"Cancelled"),"Overdue","On Track"))</f>
        <v/>
      </c>
      <c r="R187" s="81" t="n"/>
      <c r="S187" s="81">
        <f>IF($B187="","",IFERROR(INDEX(Task_Tracker!$AA$5:$AA$1004,MATCH($B187,Task_Tracker!$A$5:$A$1004,0)),""))</f>
        <v/>
      </c>
      <c r="T187" s="81">
        <f>IF($B187="","",IFERROR(INDEX(Task_Tracker!$AB$5:$AB$1004,MATCH($B187,Task_Tracker!$A$5:$A$1004,0)),""))</f>
        <v/>
      </c>
      <c r="U187" s="78">
        <f>IF($B187="","",IFERROR(INDEX(Task_Tracker!$F$5:$F$1004,MATCH($B187,Task_Tracker!$A$5:$A$1004,0)),""))</f>
        <v/>
      </c>
      <c r="V187" s="78">
        <f>IF($B187="","",IFERROR(INDEX(Task_Tracker!$I$5:$I$1004,MATCH($B187,Task_Tracker!$A$5:$A$1004,0)),""))</f>
        <v/>
      </c>
      <c r="W187" s="81">
        <f>IF(OR($D187="",$B187=""),"",$D187&amp;" | "&amp;$B187)</f>
        <v/>
      </c>
      <c r="X187" s="85">
        <f>IF($K187="","",TEXT($K187,"yyyy-mm"))</f>
        <v/>
      </c>
      <c r="Y187" s="81">
        <f>IF(OR($A187="",$T187=""),"","Included in Manager_Report")</f>
        <v/>
      </c>
    </row>
    <row r="188" ht="15" customHeight="1" s="40">
      <c r="A188" s="65">
        <f>IF(COUNTA(B188:G188)=0,"","STP-"&amp;TEXT(ROW()-4,"0000"))</f>
        <v/>
      </c>
      <c r="B188" s="78" t="n"/>
      <c r="C188" s="67">
        <f>IF($B188="","",IFERROR(INDEX(Task_Tracker!$D$5:$D$1004,MATCH($B188,Task_Tracker!$A$5:$A$1004,0)),""))</f>
        <v/>
      </c>
      <c r="D188" s="67">
        <f>IF($B188="","",IFERROR(INDEX(Task_Tracker!$B$5:$B$1004,MATCH($B188,Task_Tracker!$A$5:$A$1004,0)),""))</f>
        <v/>
      </c>
      <c r="E188" s="81" t="n"/>
      <c r="F188" s="81" t="n"/>
      <c r="G188" s="78" t="n"/>
      <c r="H188" s="78" t="n"/>
      <c r="I188" s="67">
        <f>IF($H188="","",IFERROR(INDEX(Action_Status_Map!$B$5:$B$11,MATCH($H188,Action_Status_Map!$A$5:$A$11,0)),""))</f>
        <v/>
      </c>
      <c r="J188" s="82" t="n"/>
      <c r="K188" s="82" t="n"/>
      <c r="L188" s="82" t="n"/>
      <c r="M188" s="83" t="n"/>
      <c r="N188" s="83" t="n"/>
      <c r="O188" s="66">
        <f>IF(OR($M188="",$N188=""),"",$N188-$M188)</f>
        <v/>
      </c>
      <c r="P188" s="84">
        <f>IF($J188="","",IF($L188&lt;&gt;"",$L188-$J188,TODAY()-$J188))</f>
        <v/>
      </c>
      <c r="Q188" s="85">
        <f>IF(OR($K188="",$H188="Completed",$H188="Cancelled"),"",IF(AND($K188&lt;TODAY(),$H188&lt;&gt;"Completed",$H188&lt;&gt;"Cancelled"),"Overdue","On Track"))</f>
        <v/>
      </c>
      <c r="R188" s="81" t="n"/>
      <c r="S188" s="81">
        <f>IF($B188="","",IFERROR(INDEX(Task_Tracker!$AA$5:$AA$1004,MATCH($B188,Task_Tracker!$A$5:$A$1004,0)),""))</f>
        <v/>
      </c>
      <c r="T188" s="81">
        <f>IF($B188="","",IFERROR(INDEX(Task_Tracker!$AB$5:$AB$1004,MATCH($B188,Task_Tracker!$A$5:$A$1004,0)),""))</f>
        <v/>
      </c>
      <c r="U188" s="78">
        <f>IF($B188="","",IFERROR(INDEX(Task_Tracker!$F$5:$F$1004,MATCH($B188,Task_Tracker!$A$5:$A$1004,0)),""))</f>
        <v/>
      </c>
      <c r="V188" s="78">
        <f>IF($B188="","",IFERROR(INDEX(Task_Tracker!$I$5:$I$1004,MATCH($B188,Task_Tracker!$A$5:$A$1004,0)),""))</f>
        <v/>
      </c>
      <c r="W188" s="81">
        <f>IF(OR($D188="",$B188=""),"",$D188&amp;" | "&amp;$B188)</f>
        <v/>
      </c>
      <c r="X188" s="85">
        <f>IF($K188="","",TEXT($K188,"yyyy-mm"))</f>
        <v/>
      </c>
      <c r="Y188" s="81">
        <f>IF(OR($A188="",$T188=""),"","Included in Manager_Report")</f>
        <v/>
      </c>
    </row>
    <row r="189" ht="15" customHeight="1" s="40">
      <c r="A189" s="65">
        <f>IF(COUNTA(B189:G189)=0,"","STP-"&amp;TEXT(ROW()-4,"0000"))</f>
        <v/>
      </c>
      <c r="B189" s="78" t="n"/>
      <c r="C189" s="67">
        <f>IF($B189="","",IFERROR(INDEX(Task_Tracker!$D$5:$D$1004,MATCH($B189,Task_Tracker!$A$5:$A$1004,0)),""))</f>
        <v/>
      </c>
      <c r="D189" s="67">
        <f>IF($B189="","",IFERROR(INDEX(Task_Tracker!$B$5:$B$1004,MATCH($B189,Task_Tracker!$A$5:$A$1004,0)),""))</f>
        <v/>
      </c>
      <c r="E189" s="81" t="n"/>
      <c r="F189" s="81" t="n"/>
      <c r="G189" s="78" t="n"/>
      <c r="H189" s="78" t="n"/>
      <c r="I189" s="67">
        <f>IF($H189="","",IFERROR(INDEX(Action_Status_Map!$B$5:$B$11,MATCH($H189,Action_Status_Map!$A$5:$A$11,0)),""))</f>
        <v/>
      </c>
      <c r="J189" s="82" t="n"/>
      <c r="K189" s="82" t="n"/>
      <c r="L189" s="82" t="n"/>
      <c r="M189" s="83" t="n"/>
      <c r="N189" s="83" t="n"/>
      <c r="O189" s="66">
        <f>IF(OR($M189="",$N189=""),"",$N189-$M189)</f>
        <v/>
      </c>
      <c r="P189" s="84">
        <f>IF($J189="","",IF($L189&lt;&gt;"",$L189-$J189,TODAY()-$J189))</f>
        <v/>
      </c>
      <c r="Q189" s="85">
        <f>IF(OR($K189="",$H189="Completed",$H189="Cancelled"),"",IF(AND($K189&lt;TODAY(),$H189&lt;&gt;"Completed",$H189&lt;&gt;"Cancelled"),"Overdue","On Track"))</f>
        <v/>
      </c>
      <c r="R189" s="81" t="n"/>
      <c r="S189" s="81">
        <f>IF($B189="","",IFERROR(INDEX(Task_Tracker!$AA$5:$AA$1004,MATCH($B189,Task_Tracker!$A$5:$A$1004,0)),""))</f>
        <v/>
      </c>
      <c r="T189" s="81">
        <f>IF($B189="","",IFERROR(INDEX(Task_Tracker!$AB$5:$AB$1004,MATCH($B189,Task_Tracker!$A$5:$A$1004,0)),""))</f>
        <v/>
      </c>
      <c r="U189" s="78">
        <f>IF($B189="","",IFERROR(INDEX(Task_Tracker!$F$5:$F$1004,MATCH($B189,Task_Tracker!$A$5:$A$1004,0)),""))</f>
        <v/>
      </c>
      <c r="V189" s="78">
        <f>IF($B189="","",IFERROR(INDEX(Task_Tracker!$I$5:$I$1004,MATCH($B189,Task_Tracker!$A$5:$A$1004,0)),""))</f>
        <v/>
      </c>
      <c r="W189" s="81">
        <f>IF(OR($D189="",$B189=""),"",$D189&amp;" | "&amp;$B189)</f>
        <v/>
      </c>
      <c r="X189" s="85">
        <f>IF($K189="","",TEXT($K189,"yyyy-mm"))</f>
        <v/>
      </c>
      <c r="Y189" s="81">
        <f>IF(OR($A189="",$T189=""),"","Included in Manager_Report")</f>
        <v/>
      </c>
    </row>
    <row r="190" ht="15" customHeight="1" s="40">
      <c r="A190" s="65">
        <f>IF(COUNTA(B190:G190)=0,"","STP-"&amp;TEXT(ROW()-4,"0000"))</f>
        <v/>
      </c>
      <c r="B190" s="78" t="n"/>
      <c r="C190" s="67">
        <f>IF($B190="","",IFERROR(INDEX(Task_Tracker!$D$5:$D$1004,MATCH($B190,Task_Tracker!$A$5:$A$1004,0)),""))</f>
        <v/>
      </c>
      <c r="D190" s="67">
        <f>IF($B190="","",IFERROR(INDEX(Task_Tracker!$B$5:$B$1004,MATCH($B190,Task_Tracker!$A$5:$A$1004,0)),""))</f>
        <v/>
      </c>
      <c r="E190" s="81" t="n"/>
      <c r="F190" s="81" t="n"/>
      <c r="G190" s="78" t="n"/>
      <c r="H190" s="78" t="n"/>
      <c r="I190" s="67">
        <f>IF($H190="","",IFERROR(INDEX(Action_Status_Map!$B$5:$B$11,MATCH($H190,Action_Status_Map!$A$5:$A$11,0)),""))</f>
        <v/>
      </c>
      <c r="J190" s="82" t="n"/>
      <c r="K190" s="82" t="n"/>
      <c r="L190" s="82" t="n"/>
      <c r="M190" s="83" t="n"/>
      <c r="N190" s="83" t="n"/>
      <c r="O190" s="66">
        <f>IF(OR($M190="",$N190=""),"",$N190-$M190)</f>
        <v/>
      </c>
      <c r="P190" s="84">
        <f>IF($J190="","",IF($L190&lt;&gt;"",$L190-$J190,TODAY()-$J190))</f>
        <v/>
      </c>
      <c r="Q190" s="85">
        <f>IF(OR($K190="",$H190="Completed",$H190="Cancelled"),"",IF(AND($K190&lt;TODAY(),$H190&lt;&gt;"Completed",$H190&lt;&gt;"Cancelled"),"Overdue","On Track"))</f>
        <v/>
      </c>
      <c r="R190" s="81" t="n"/>
      <c r="S190" s="81">
        <f>IF($B190="","",IFERROR(INDEX(Task_Tracker!$AA$5:$AA$1004,MATCH($B190,Task_Tracker!$A$5:$A$1004,0)),""))</f>
        <v/>
      </c>
      <c r="T190" s="81">
        <f>IF($B190="","",IFERROR(INDEX(Task_Tracker!$AB$5:$AB$1004,MATCH($B190,Task_Tracker!$A$5:$A$1004,0)),""))</f>
        <v/>
      </c>
      <c r="U190" s="78">
        <f>IF($B190="","",IFERROR(INDEX(Task_Tracker!$F$5:$F$1004,MATCH($B190,Task_Tracker!$A$5:$A$1004,0)),""))</f>
        <v/>
      </c>
      <c r="V190" s="78">
        <f>IF($B190="","",IFERROR(INDEX(Task_Tracker!$I$5:$I$1004,MATCH($B190,Task_Tracker!$A$5:$A$1004,0)),""))</f>
        <v/>
      </c>
      <c r="W190" s="81">
        <f>IF(OR($D190="",$B190=""),"",$D190&amp;" | "&amp;$B190)</f>
        <v/>
      </c>
      <c r="X190" s="85">
        <f>IF($K190="","",TEXT($K190,"yyyy-mm"))</f>
        <v/>
      </c>
      <c r="Y190" s="81">
        <f>IF(OR($A190="",$T190=""),"","Included in Manager_Report")</f>
        <v/>
      </c>
    </row>
    <row r="191" ht="15" customHeight="1" s="40">
      <c r="A191" s="65">
        <f>IF(COUNTA(B191:G191)=0,"","STP-"&amp;TEXT(ROW()-4,"0000"))</f>
        <v/>
      </c>
      <c r="B191" s="78" t="n"/>
      <c r="C191" s="67">
        <f>IF($B191="","",IFERROR(INDEX(Task_Tracker!$D$5:$D$1004,MATCH($B191,Task_Tracker!$A$5:$A$1004,0)),""))</f>
        <v/>
      </c>
      <c r="D191" s="67">
        <f>IF($B191="","",IFERROR(INDEX(Task_Tracker!$B$5:$B$1004,MATCH($B191,Task_Tracker!$A$5:$A$1004,0)),""))</f>
        <v/>
      </c>
      <c r="E191" s="81" t="n"/>
      <c r="F191" s="81" t="n"/>
      <c r="G191" s="78" t="n"/>
      <c r="H191" s="78" t="n"/>
      <c r="I191" s="67">
        <f>IF($H191="","",IFERROR(INDEX(Action_Status_Map!$B$5:$B$11,MATCH($H191,Action_Status_Map!$A$5:$A$11,0)),""))</f>
        <v/>
      </c>
      <c r="J191" s="82" t="n"/>
      <c r="K191" s="82" t="n"/>
      <c r="L191" s="82" t="n"/>
      <c r="M191" s="83" t="n"/>
      <c r="N191" s="83" t="n"/>
      <c r="O191" s="66">
        <f>IF(OR($M191="",$N191=""),"",$N191-$M191)</f>
        <v/>
      </c>
      <c r="P191" s="84">
        <f>IF($J191="","",IF($L191&lt;&gt;"",$L191-$J191,TODAY()-$J191))</f>
        <v/>
      </c>
      <c r="Q191" s="85">
        <f>IF(OR($K191="",$H191="Completed",$H191="Cancelled"),"",IF(AND($K191&lt;TODAY(),$H191&lt;&gt;"Completed",$H191&lt;&gt;"Cancelled"),"Overdue","On Track"))</f>
        <v/>
      </c>
      <c r="R191" s="81" t="n"/>
      <c r="S191" s="81">
        <f>IF($B191="","",IFERROR(INDEX(Task_Tracker!$AA$5:$AA$1004,MATCH($B191,Task_Tracker!$A$5:$A$1004,0)),""))</f>
        <v/>
      </c>
      <c r="T191" s="81">
        <f>IF($B191="","",IFERROR(INDEX(Task_Tracker!$AB$5:$AB$1004,MATCH($B191,Task_Tracker!$A$5:$A$1004,0)),""))</f>
        <v/>
      </c>
      <c r="U191" s="78">
        <f>IF($B191="","",IFERROR(INDEX(Task_Tracker!$F$5:$F$1004,MATCH($B191,Task_Tracker!$A$5:$A$1004,0)),""))</f>
        <v/>
      </c>
      <c r="V191" s="78">
        <f>IF($B191="","",IFERROR(INDEX(Task_Tracker!$I$5:$I$1004,MATCH($B191,Task_Tracker!$A$5:$A$1004,0)),""))</f>
        <v/>
      </c>
      <c r="W191" s="81">
        <f>IF(OR($D191="",$B191=""),"",$D191&amp;" | "&amp;$B191)</f>
        <v/>
      </c>
      <c r="X191" s="85">
        <f>IF($K191="","",TEXT($K191,"yyyy-mm"))</f>
        <v/>
      </c>
      <c r="Y191" s="81">
        <f>IF(OR($A191="",$T191=""),"","Included in Manager_Report")</f>
        <v/>
      </c>
    </row>
    <row r="192" ht="15" customHeight="1" s="40">
      <c r="A192" s="65">
        <f>IF(COUNTA(B192:G192)=0,"","STP-"&amp;TEXT(ROW()-4,"0000"))</f>
        <v/>
      </c>
      <c r="B192" s="78" t="n"/>
      <c r="C192" s="67">
        <f>IF($B192="","",IFERROR(INDEX(Task_Tracker!$D$5:$D$1004,MATCH($B192,Task_Tracker!$A$5:$A$1004,0)),""))</f>
        <v/>
      </c>
      <c r="D192" s="67">
        <f>IF($B192="","",IFERROR(INDEX(Task_Tracker!$B$5:$B$1004,MATCH($B192,Task_Tracker!$A$5:$A$1004,0)),""))</f>
        <v/>
      </c>
      <c r="E192" s="81" t="n"/>
      <c r="F192" s="81" t="n"/>
      <c r="G192" s="78" t="n"/>
      <c r="H192" s="78" t="n"/>
      <c r="I192" s="67">
        <f>IF($H192="","",IFERROR(INDEX(Action_Status_Map!$B$5:$B$11,MATCH($H192,Action_Status_Map!$A$5:$A$11,0)),""))</f>
        <v/>
      </c>
      <c r="J192" s="82" t="n"/>
      <c r="K192" s="82" t="n"/>
      <c r="L192" s="82" t="n"/>
      <c r="M192" s="83" t="n"/>
      <c r="N192" s="83" t="n"/>
      <c r="O192" s="66">
        <f>IF(OR($M192="",$N192=""),"",$N192-$M192)</f>
        <v/>
      </c>
      <c r="P192" s="84">
        <f>IF($J192="","",IF($L192&lt;&gt;"",$L192-$J192,TODAY()-$J192))</f>
        <v/>
      </c>
      <c r="Q192" s="85">
        <f>IF(OR($K192="",$H192="Completed",$H192="Cancelled"),"",IF(AND($K192&lt;TODAY(),$H192&lt;&gt;"Completed",$H192&lt;&gt;"Cancelled"),"Overdue","On Track"))</f>
        <v/>
      </c>
      <c r="R192" s="81" t="n"/>
      <c r="S192" s="81">
        <f>IF($B192="","",IFERROR(INDEX(Task_Tracker!$AA$5:$AA$1004,MATCH($B192,Task_Tracker!$A$5:$A$1004,0)),""))</f>
        <v/>
      </c>
      <c r="T192" s="81">
        <f>IF($B192="","",IFERROR(INDEX(Task_Tracker!$AB$5:$AB$1004,MATCH($B192,Task_Tracker!$A$5:$A$1004,0)),""))</f>
        <v/>
      </c>
      <c r="U192" s="78">
        <f>IF($B192="","",IFERROR(INDEX(Task_Tracker!$F$5:$F$1004,MATCH($B192,Task_Tracker!$A$5:$A$1004,0)),""))</f>
        <v/>
      </c>
      <c r="V192" s="78">
        <f>IF($B192="","",IFERROR(INDEX(Task_Tracker!$I$5:$I$1004,MATCH($B192,Task_Tracker!$A$5:$A$1004,0)),""))</f>
        <v/>
      </c>
      <c r="W192" s="81">
        <f>IF(OR($D192="",$B192=""),"",$D192&amp;" | "&amp;$B192)</f>
        <v/>
      </c>
      <c r="X192" s="85">
        <f>IF($K192="","",TEXT($K192,"yyyy-mm"))</f>
        <v/>
      </c>
      <c r="Y192" s="81">
        <f>IF(OR($A192="",$T192=""),"","Included in Manager_Report")</f>
        <v/>
      </c>
    </row>
    <row r="193" ht="15" customHeight="1" s="40">
      <c r="A193" s="65">
        <f>IF(COUNTA(B193:G193)=0,"","STP-"&amp;TEXT(ROW()-4,"0000"))</f>
        <v/>
      </c>
      <c r="B193" s="78" t="n"/>
      <c r="C193" s="67">
        <f>IF($B193="","",IFERROR(INDEX(Task_Tracker!$D$5:$D$1004,MATCH($B193,Task_Tracker!$A$5:$A$1004,0)),""))</f>
        <v/>
      </c>
      <c r="D193" s="67">
        <f>IF($B193="","",IFERROR(INDEX(Task_Tracker!$B$5:$B$1004,MATCH($B193,Task_Tracker!$A$5:$A$1004,0)),""))</f>
        <v/>
      </c>
      <c r="E193" s="81" t="n"/>
      <c r="F193" s="81" t="n"/>
      <c r="G193" s="78" t="n"/>
      <c r="H193" s="78" t="n"/>
      <c r="I193" s="67">
        <f>IF($H193="","",IFERROR(INDEX(Action_Status_Map!$B$5:$B$11,MATCH($H193,Action_Status_Map!$A$5:$A$11,0)),""))</f>
        <v/>
      </c>
      <c r="J193" s="82" t="n"/>
      <c r="K193" s="82" t="n"/>
      <c r="L193" s="82" t="n"/>
      <c r="M193" s="83" t="n"/>
      <c r="N193" s="83" t="n"/>
      <c r="O193" s="66">
        <f>IF(OR($M193="",$N193=""),"",$N193-$M193)</f>
        <v/>
      </c>
      <c r="P193" s="84">
        <f>IF($J193="","",IF($L193&lt;&gt;"",$L193-$J193,TODAY()-$J193))</f>
        <v/>
      </c>
      <c r="Q193" s="85">
        <f>IF(OR($K193="",$H193="Completed",$H193="Cancelled"),"",IF(AND($K193&lt;TODAY(),$H193&lt;&gt;"Completed",$H193&lt;&gt;"Cancelled"),"Overdue","On Track"))</f>
        <v/>
      </c>
      <c r="R193" s="81" t="n"/>
      <c r="S193" s="81">
        <f>IF($B193="","",IFERROR(INDEX(Task_Tracker!$AA$5:$AA$1004,MATCH($B193,Task_Tracker!$A$5:$A$1004,0)),""))</f>
        <v/>
      </c>
      <c r="T193" s="81">
        <f>IF($B193="","",IFERROR(INDEX(Task_Tracker!$AB$5:$AB$1004,MATCH($B193,Task_Tracker!$A$5:$A$1004,0)),""))</f>
        <v/>
      </c>
      <c r="U193" s="78">
        <f>IF($B193="","",IFERROR(INDEX(Task_Tracker!$F$5:$F$1004,MATCH($B193,Task_Tracker!$A$5:$A$1004,0)),""))</f>
        <v/>
      </c>
      <c r="V193" s="78">
        <f>IF($B193="","",IFERROR(INDEX(Task_Tracker!$I$5:$I$1004,MATCH($B193,Task_Tracker!$A$5:$A$1004,0)),""))</f>
        <v/>
      </c>
      <c r="W193" s="81">
        <f>IF(OR($D193="",$B193=""),"",$D193&amp;" | "&amp;$B193)</f>
        <v/>
      </c>
      <c r="X193" s="85">
        <f>IF($K193="","",TEXT($K193,"yyyy-mm"))</f>
        <v/>
      </c>
      <c r="Y193" s="81">
        <f>IF(OR($A193="",$T193=""),"","Included in Manager_Report")</f>
        <v/>
      </c>
    </row>
    <row r="194" ht="15" customHeight="1" s="40">
      <c r="A194" s="65">
        <f>IF(COUNTA(B194:G194)=0,"","STP-"&amp;TEXT(ROW()-4,"0000"))</f>
        <v/>
      </c>
      <c r="B194" s="78" t="n"/>
      <c r="C194" s="67">
        <f>IF($B194="","",IFERROR(INDEX(Task_Tracker!$D$5:$D$1004,MATCH($B194,Task_Tracker!$A$5:$A$1004,0)),""))</f>
        <v/>
      </c>
      <c r="D194" s="67">
        <f>IF($B194="","",IFERROR(INDEX(Task_Tracker!$B$5:$B$1004,MATCH($B194,Task_Tracker!$A$5:$A$1004,0)),""))</f>
        <v/>
      </c>
      <c r="E194" s="81" t="n"/>
      <c r="F194" s="81" t="n"/>
      <c r="G194" s="78" t="n"/>
      <c r="H194" s="78" t="n"/>
      <c r="I194" s="67">
        <f>IF($H194="","",IFERROR(INDEX(Action_Status_Map!$B$5:$B$11,MATCH($H194,Action_Status_Map!$A$5:$A$11,0)),""))</f>
        <v/>
      </c>
      <c r="J194" s="82" t="n"/>
      <c r="K194" s="82" t="n"/>
      <c r="L194" s="82" t="n"/>
      <c r="M194" s="83" t="n"/>
      <c r="N194" s="83" t="n"/>
      <c r="O194" s="66">
        <f>IF(OR($M194="",$N194=""),"",$N194-$M194)</f>
        <v/>
      </c>
      <c r="P194" s="84">
        <f>IF($J194="","",IF($L194&lt;&gt;"",$L194-$J194,TODAY()-$J194))</f>
        <v/>
      </c>
      <c r="Q194" s="85">
        <f>IF(OR($K194="",$H194="Completed",$H194="Cancelled"),"",IF(AND($K194&lt;TODAY(),$H194&lt;&gt;"Completed",$H194&lt;&gt;"Cancelled"),"Overdue","On Track"))</f>
        <v/>
      </c>
      <c r="R194" s="81" t="n"/>
      <c r="S194" s="81">
        <f>IF($B194="","",IFERROR(INDEX(Task_Tracker!$AA$5:$AA$1004,MATCH($B194,Task_Tracker!$A$5:$A$1004,0)),""))</f>
        <v/>
      </c>
      <c r="T194" s="81">
        <f>IF($B194="","",IFERROR(INDEX(Task_Tracker!$AB$5:$AB$1004,MATCH($B194,Task_Tracker!$A$5:$A$1004,0)),""))</f>
        <v/>
      </c>
      <c r="U194" s="78">
        <f>IF($B194="","",IFERROR(INDEX(Task_Tracker!$F$5:$F$1004,MATCH($B194,Task_Tracker!$A$5:$A$1004,0)),""))</f>
        <v/>
      </c>
      <c r="V194" s="78">
        <f>IF($B194="","",IFERROR(INDEX(Task_Tracker!$I$5:$I$1004,MATCH($B194,Task_Tracker!$A$5:$A$1004,0)),""))</f>
        <v/>
      </c>
      <c r="W194" s="81">
        <f>IF(OR($D194="",$B194=""),"",$D194&amp;" | "&amp;$B194)</f>
        <v/>
      </c>
      <c r="X194" s="85">
        <f>IF($K194="","",TEXT($K194,"yyyy-mm"))</f>
        <v/>
      </c>
      <c r="Y194" s="81">
        <f>IF(OR($A194="",$T194=""),"","Included in Manager_Report")</f>
        <v/>
      </c>
    </row>
    <row r="195" ht="15" customHeight="1" s="40">
      <c r="A195" s="65">
        <f>IF(COUNTA(B195:G195)=0,"","STP-"&amp;TEXT(ROW()-4,"0000"))</f>
        <v/>
      </c>
      <c r="B195" s="78" t="n"/>
      <c r="C195" s="67">
        <f>IF($B195="","",IFERROR(INDEX(Task_Tracker!$D$5:$D$1004,MATCH($B195,Task_Tracker!$A$5:$A$1004,0)),""))</f>
        <v/>
      </c>
      <c r="D195" s="67">
        <f>IF($B195="","",IFERROR(INDEX(Task_Tracker!$B$5:$B$1004,MATCH($B195,Task_Tracker!$A$5:$A$1004,0)),""))</f>
        <v/>
      </c>
      <c r="E195" s="81" t="n"/>
      <c r="F195" s="81" t="n"/>
      <c r="G195" s="78" t="n"/>
      <c r="H195" s="78" t="n"/>
      <c r="I195" s="67">
        <f>IF($H195="","",IFERROR(INDEX(Action_Status_Map!$B$5:$B$11,MATCH($H195,Action_Status_Map!$A$5:$A$11,0)),""))</f>
        <v/>
      </c>
      <c r="J195" s="82" t="n"/>
      <c r="K195" s="82" t="n"/>
      <c r="L195" s="82" t="n"/>
      <c r="M195" s="83" t="n"/>
      <c r="N195" s="83" t="n"/>
      <c r="O195" s="66">
        <f>IF(OR($M195="",$N195=""),"",$N195-$M195)</f>
        <v/>
      </c>
      <c r="P195" s="84">
        <f>IF($J195="","",IF($L195&lt;&gt;"",$L195-$J195,TODAY()-$J195))</f>
        <v/>
      </c>
      <c r="Q195" s="85">
        <f>IF(OR($K195="",$H195="Completed",$H195="Cancelled"),"",IF(AND($K195&lt;TODAY(),$H195&lt;&gt;"Completed",$H195&lt;&gt;"Cancelled"),"Overdue","On Track"))</f>
        <v/>
      </c>
      <c r="R195" s="81" t="n"/>
      <c r="S195" s="81">
        <f>IF($B195="","",IFERROR(INDEX(Task_Tracker!$AA$5:$AA$1004,MATCH($B195,Task_Tracker!$A$5:$A$1004,0)),""))</f>
        <v/>
      </c>
      <c r="T195" s="81">
        <f>IF($B195="","",IFERROR(INDEX(Task_Tracker!$AB$5:$AB$1004,MATCH($B195,Task_Tracker!$A$5:$A$1004,0)),""))</f>
        <v/>
      </c>
      <c r="U195" s="78">
        <f>IF($B195="","",IFERROR(INDEX(Task_Tracker!$F$5:$F$1004,MATCH($B195,Task_Tracker!$A$5:$A$1004,0)),""))</f>
        <v/>
      </c>
      <c r="V195" s="78">
        <f>IF($B195="","",IFERROR(INDEX(Task_Tracker!$I$5:$I$1004,MATCH($B195,Task_Tracker!$A$5:$A$1004,0)),""))</f>
        <v/>
      </c>
      <c r="W195" s="81">
        <f>IF(OR($D195="",$B195=""),"",$D195&amp;" | "&amp;$B195)</f>
        <v/>
      </c>
      <c r="X195" s="85">
        <f>IF($K195="","",TEXT($K195,"yyyy-mm"))</f>
        <v/>
      </c>
      <c r="Y195" s="81">
        <f>IF(OR($A195="",$T195=""),"","Included in Manager_Report")</f>
        <v/>
      </c>
    </row>
    <row r="196" ht="15" customHeight="1" s="40">
      <c r="A196" s="65">
        <f>IF(COUNTA(B196:G196)=0,"","STP-"&amp;TEXT(ROW()-4,"0000"))</f>
        <v/>
      </c>
      <c r="B196" s="78" t="n"/>
      <c r="C196" s="67">
        <f>IF($B196="","",IFERROR(INDEX(Task_Tracker!$D$5:$D$1004,MATCH($B196,Task_Tracker!$A$5:$A$1004,0)),""))</f>
        <v/>
      </c>
      <c r="D196" s="67">
        <f>IF($B196="","",IFERROR(INDEX(Task_Tracker!$B$5:$B$1004,MATCH($B196,Task_Tracker!$A$5:$A$1004,0)),""))</f>
        <v/>
      </c>
      <c r="E196" s="81" t="n"/>
      <c r="F196" s="81" t="n"/>
      <c r="G196" s="78" t="n"/>
      <c r="H196" s="78" t="n"/>
      <c r="I196" s="67">
        <f>IF($H196="","",IFERROR(INDEX(Action_Status_Map!$B$5:$B$11,MATCH($H196,Action_Status_Map!$A$5:$A$11,0)),""))</f>
        <v/>
      </c>
      <c r="J196" s="82" t="n"/>
      <c r="K196" s="82" t="n"/>
      <c r="L196" s="82" t="n"/>
      <c r="M196" s="83" t="n"/>
      <c r="N196" s="83" t="n"/>
      <c r="O196" s="66">
        <f>IF(OR($M196="",$N196=""),"",$N196-$M196)</f>
        <v/>
      </c>
      <c r="P196" s="84">
        <f>IF($J196="","",IF($L196&lt;&gt;"",$L196-$J196,TODAY()-$J196))</f>
        <v/>
      </c>
      <c r="Q196" s="85">
        <f>IF(OR($K196="",$H196="Completed",$H196="Cancelled"),"",IF(AND($K196&lt;TODAY(),$H196&lt;&gt;"Completed",$H196&lt;&gt;"Cancelled"),"Overdue","On Track"))</f>
        <v/>
      </c>
      <c r="R196" s="81" t="n"/>
      <c r="S196" s="81">
        <f>IF($B196="","",IFERROR(INDEX(Task_Tracker!$AA$5:$AA$1004,MATCH($B196,Task_Tracker!$A$5:$A$1004,0)),""))</f>
        <v/>
      </c>
      <c r="T196" s="81">
        <f>IF($B196="","",IFERROR(INDEX(Task_Tracker!$AB$5:$AB$1004,MATCH($B196,Task_Tracker!$A$5:$A$1004,0)),""))</f>
        <v/>
      </c>
      <c r="U196" s="78">
        <f>IF($B196="","",IFERROR(INDEX(Task_Tracker!$F$5:$F$1004,MATCH($B196,Task_Tracker!$A$5:$A$1004,0)),""))</f>
        <v/>
      </c>
      <c r="V196" s="78">
        <f>IF($B196="","",IFERROR(INDEX(Task_Tracker!$I$5:$I$1004,MATCH($B196,Task_Tracker!$A$5:$A$1004,0)),""))</f>
        <v/>
      </c>
      <c r="W196" s="81">
        <f>IF(OR($D196="",$B196=""),"",$D196&amp;" | "&amp;$B196)</f>
        <v/>
      </c>
      <c r="X196" s="85">
        <f>IF($K196="","",TEXT($K196,"yyyy-mm"))</f>
        <v/>
      </c>
      <c r="Y196" s="81">
        <f>IF(OR($A196="",$T196=""),"","Included in Manager_Report")</f>
        <v/>
      </c>
    </row>
    <row r="197" ht="15" customHeight="1" s="40">
      <c r="A197" s="65">
        <f>IF(COUNTA(B197:G197)=0,"","STP-"&amp;TEXT(ROW()-4,"0000"))</f>
        <v/>
      </c>
      <c r="B197" s="78" t="n"/>
      <c r="C197" s="67">
        <f>IF($B197="","",IFERROR(INDEX(Task_Tracker!$D$5:$D$1004,MATCH($B197,Task_Tracker!$A$5:$A$1004,0)),""))</f>
        <v/>
      </c>
      <c r="D197" s="67">
        <f>IF($B197="","",IFERROR(INDEX(Task_Tracker!$B$5:$B$1004,MATCH($B197,Task_Tracker!$A$5:$A$1004,0)),""))</f>
        <v/>
      </c>
      <c r="E197" s="81" t="n"/>
      <c r="F197" s="81" t="n"/>
      <c r="G197" s="78" t="n"/>
      <c r="H197" s="78" t="n"/>
      <c r="I197" s="67">
        <f>IF($H197="","",IFERROR(INDEX(Action_Status_Map!$B$5:$B$11,MATCH($H197,Action_Status_Map!$A$5:$A$11,0)),""))</f>
        <v/>
      </c>
      <c r="J197" s="82" t="n"/>
      <c r="K197" s="82" t="n"/>
      <c r="L197" s="82" t="n"/>
      <c r="M197" s="83" t="n"/>
      <c r="N197" s="83" t="n"/>
      <c r="O197" s="66">
        <f>IF(OR($M197="",$N197=""),"",$N197-$M197)</f>
        <v/>
      </c>
      <c r="P197" s="84">
        <f>IF($J197="","",IF($L197&lt;&gt;"",$L197-$J197,TODAY()-$J197))</f>
        <v/>
      </c>
      <c r="Q197" s="85">
        <f>IF(OR($K197="",$H197="Completed",$H197="Cancelled"),"",IF(AND($K197&lt;TODAY(),$H197&lt;&gt;"Completed",$H197&lt;&gt;"Cancelled"),"Overdue","On Track"))</f>
        <v/>
      </c>
      <c r="R197" s="81" t="n"/>
      <c r="S197" s="81">
        <f>IF($B197="","",IFERROR(INDEX(Task_Tracker!$AA$5:$AA$1004,MATCH($B197,Task_Tracker!$A$5:$A$1004,0)),""))</f>
        <v/>
      </c>
      <c r="T197" s="81">
        <f>IF($B197="","",IFERROR(INDEX(Task_Tracker!$AB$5:$AB$1004,MATCH($B197,Task_Tracker!$A$5:$A$1004,0)),""))</f>
        <v/>
      </c>
      <c r="U197" s="78">
        <f>IF($B197="","",IFERROR(INDEX(Task_Tracker!$F$5:$F$1004,MATCH($B197,Task_Tracker!$A$5:$A$1004,0)),""))</f>
        <v/>
      </c>
      <c r="V197" s="78">
        <f>IF($B197="","",IFERROR(INDEX(Task_Tracker!$I$5:$I$1004,MATCH($B197,Task_Tracker!$A$5:$A$1004,0)),""))</f>
        <v/>
      </c>
      <c r="W197" s="81">
        <f>IF(OR($D197="",$B197=""),"",$D197&amp;" | "&amp;$B197)</f>
        <v/>
      </c>
      <c r="X197" s="85">
        <f>IF($K197="","",TEXT($K197,"yyyy-mm"))</f>
        <v/>
      </c>
      <c r="Y197" s="81">
        <f>IF(OR($A197="",$T197=""),"","Included in Manager_Report")</f>
        <v/>
      </c>
    </row>
    <row r="198" ht="15" customHeight="1" s="40">
      <c r="A198" s="65">
        <f>IF(COUNTA(B198:G198)=0,"","STP-"&amp;TEXT(ROW()-4,"0000"))</f>
        <v/>
      </c>
      <c r="B198" s="78" t="n"/>
      <c r="C198" s="67">
        <f>IF($B198="","",IFERROR(INDEX(Task_Tracker!$D$5:$D$1004,MATCH($B198,Task_Tracker!$A$5:$A$1004,0)),""))</f>
        <v/>
      </c>
      <c r="D198" s="67">
        <f>IF($B198="","",IFERROR(INDEX(Task_Tracker!$B$5:$B$1004,MATCH($B198,Task_Tracker!$A$5:$A$1004,0)),""))</f>
        <v/>
      </c>
      <c r="E198" s="81" t="n"/>
      <c r="F198" s="81" t="n"/>
      <c r="G198" s="78" t="n"/>
      <c r="H198" s="78" t="n"/>
      <c r="I198" s="67">
        <f>IF($H198="","",IFERROR(INDEX(Action_Status_Map!$B$5:$B$11,MATCH($H198,Action_Status_Map!$A$5:$A$11,0)),""))</f>
        <v/>
      </c>
      <c r="J198" s="82" t="n"/>
      <c r="K198" s="82" t="n"/>
      <c r="L198" s="82" t="n"/>
      <c r="M198" s="83" t="n"/>
      <c r="N198" s="83" t="n"/>
      <c r="O198" s="66">
        <f>IF(OR($M198="",$N198=""),"",$N198-$M198)</f>
        <v/>
      </c>
      <c r="P198" s="84">
        <f>IF($J198="","",IF($L198&lt;&gt;"",$L198-$J198,TODAY()-$J198))</f>
        <v/>
      </c>
      <c r="Q198" s="85">
        <f>IF(OR($K198="",$H198="Completed",$H198="Cancelled"),"",IF(AND($K198&lt;TODAY(),$H198&lt;&gt;"Completed",$H198&lt;&gt;"Cancelled"),"Overdue","On Track"))</f>
        <v/>
      </c>
      <c r="R198" s="81" t="n"/>
      <c r="S198" s="81">
        <f>IF($B198="","",IFERROR(INDEX(Task_Tracker!$AA$5:$AA$1004,MATCH($B198,Task_Tracker!$A$5:$A$1004,0)),""))</f>
        <v/>
      </c>
      <c r="T198" s="81">
        <f>IF($B198="","",IFERROR(INDEX(Task_Tracker!$AB$5:$AB$1004,MATCH($B198,Task_Tracker!$A$5:$A$1004,0)),""))</f>
        <v/>
      </c>
      <c r="U198" s="78">
        <f>IF($B198="","",IFERROR(INDEX(Task_Tracker!$F$5:$F$1004,MATCH($B198,Task_Tracker!$A$5:$A$1004,0)),""))</f>
        <v/>
      </c>
      <c r="V198" s="78">
        <f>IF($B198="","",IFERROR(INDEX(Task_Tracker!$I$5:$I$1004,MATCH($B198,Task_Tracker!$A$5:$A$1004,0)),""))</f>
        <v/>
      </c>
      <c r="W198" s="81">
        <f>IF(OR($D198="",$B198=""),"",$D198&amp;" | "&amp;$B198)</f>
        <v/>
      </c>
      <c r="X198" s="85">
        <f>IF($K198="","",TEXT($K198,"yyyy-mm"))</f>
        <v/>
      </c>
      <c r="Y198" s="81">
        <f>IF(OR($A198="",$T198=""),"","Included in Manager_Report")</f>
        <v/>
      </c>
    </row>
    <row r="199" ht="15" customHeight="1" s="40">
      <c r="A199" s="65">
        <f>IF(COUNTA(B199:G199)=0,"","STP-"&amp;TEXT(ROW()-4,"0000"))</f>
        <v/>
      </c>
      <c r="B199" s="78" t="n"/>
      <c r="C199" s="67">
        <f>IF($B199="","",IFERROR(INDEX(Task_Tracker!$D$5:$D$1004,MATCH($B199,Task_Tracker!$A$5:$A$1004,0)),""))</f>
        <v/>
      </c>
      <c r="D199" s="67">
        <f>IF($B199="","",IFERROR(INDEX(Task_Tracker!$B$5:$B$1004,MATCH($B199,Task_Tracker!$A$5:$A$1004,0)),""))</f>
        <v/>
      </c>
      <c r="E199" s="81" t="n"/>
      <c r="F199" s="81" t="n"/>
      <c r="G199" s="78" t="n"/>
      <c r="H199" s="78" t="n"/>
      <c r="I199" s="67">
        <f>IF($H199="","",IFERROR(INDEX(Action_Status_Map!$B$5:$B$11,MATCH($H199,Action_Status_Map!$A$5:$A$11,0)),""))</f>
        <v/>
      </c>
      <c r="J199" s="82" t="n"/>
      <c r="K199" s="82" t="n"/>
      <c r="L199" s="82" t="n"/>
      <c r="M199" s="83" t="n"/>
      <c r="N199" s="83" t="n"/>
      <c r="O199" s="66">
        <f>IF(OR($M199="",$N199=""),"",$N199-$M199)</f>
        <v/>
      </c>
      <c r="P199" s="84">
        <f>IF($J199="","",IF($L199&lt;&gt;"",$L199-$J199,TODAY()-$J199))</f>
        <v/>
      </c>
      <c r="Q199" s="85">
        <f>IF(OR($K199="",$H199="Completed",$H199="Cancelled"),"",IF(AND($K199&lt;TODAY(),$H199&lt;&gt;"Completed",$H199&lt;&gt;"Cancelled"),"Overdue","On Track"))</f>
        <v/>
      </c>
      <c r="R199" s="81" t="n"/>
      <c r="S199" s="81">
        <f>IF($B199="","",IFERROR(INDEX(Task_Tracker!$AA$5:$AA$1004,MATCH($B199,Task_Tracker!$A$5:$A$1004,0)),""))</f>
        <v/>
      </c>
      <c r="T199" s="81">
        <f>IF($B199="","",IFERROR(INDEX(Task_Tracker!$AB$5:$AB$1004,MATCH($B199,Task_Tracker!$A$5:$A$1004,0)),""))</f>
        <v/>
      </c>
      <c r="U199" s="78">
        <f>IF($B199="","",IFERROR(INDEX(Task_Tracker!$F$5:$F$1004,MATCH($B199,Task_Tracker!$A$5:$A$1004,0)),""))</f>
        <v/>
      </c>
      <c r="V199" s="78">
        <f>IF($B199="","",IFERROR(INDEX(Task_Tracker!$I$5:$I$1004,MATCH($B199,Task_Tracker!$A$5:$A$1004,0)),""))</f>
        <v/>
      </c>
      <c r="W199" s="81">
        <f>IF(OR($D199="",$B199=""),"",$D199&amp;" | "&amp;$B199)</f>
        <v/>
      </c>
      <c r="X199" s="85">
        <f>IF($K199="","",TEXT($K199,"yyyy-mm"))</f>
        <v/>
      </c>
      <c r="Y199" s="81">
        <f>IF(OR($A199="",$T199=""),"","Included in Manager_Report")</f>
        <v/>
      </c>
    </row>
    <row r="200" ht="15" customHeight="1" s="40">
      <c r="A200" s="65">
        <f>IF(COUNTA(B200:G200)=0,"","STP-"&amp;TEXT(ROW()-4,"0000"))</f>
        <v/>
      </c>
      <c r="B200" s="78" t="n"/>
      <c r="C200" s="67">
        <f>IF($B200="","",IFERROR(INDEX(Task_Tracker!$D$5:$D$1004,MATCH($B200,Task_Tracker!$A$5:$A$1004,0)),""))</f>
        <v/>
      </c>
      <c r="D200" s="67">
        <f>IF($B200="","",IFERROR(INDEX(Task_Tracker!$B$5:$B$1004,MATCH($B200,Task_Tracker!$A$5:$A$1004,0)),""))</f>
        <v/>
      </c>
      <c r="E200" s="81" t="n"/>
      <c r="F200" s="81" t="n"/>
      <c r="G200" s="78" t="n"/>
      <c r="H200" s="78" t="n"/>
      <c r="I200" s="67">
        <f>IF($H200="","",IFERROR(INDEX(Action_Status_Map!$B$5:$B$11,MATCH($H200,Action_Status_Map!$A$5:$A$11,0)),""))</f>
        <v/>
      </c>
      <c r="J200" s="82" t="n"/>
      <c r="K200" s="82" t="n"/>
      <c r="L200" s="82" t="n"/>
      <c r="M200" s="83" t="n"/>
      <c r="N200" s="83" t="n"/>
      <c r="O200" s="66">
        <f>IF(OR($M200="",$N200=""),"",$N200-$M200)</f>
        <v/>
      </c>
      <c r="P200" s="84">
        <f>IF($J200="","",IF($L200&lt;&gt;"",$L200-$J200,TODAY()-$J200))</f>
        <v/>
      </c>
      <c r="Q200" s="85">
        <f>IF(OR($K200="",$H200="Completed",$H200="Cancelled"),"",IF(AND($K200&lt;TODAY(),$H200&lt;&gt;"Completed",$H200&lt;&gt;"Cancelled"),"Overdue","On Track"))</f>
        <v/>
      </c>
      <c r="R200" s="81" t="n"/>
      <c r="S200" s="81">
        <f>IF($B200="","",IFERROR(INDEX(Task_Tracker!$AA$5:$AA$1004,MATCH($B200,Task_Tracker!$A$5:$A$1004,0)),""))</f>
        <v/>
      </c>
      <c r="T200" s="81">
        <f>IF($B200="","",IFERROR(INDEX(Task_Tracker!$AB$5:$AB$1004,MATCH($B200,Task_Tracker!$A$5:$A$1004,0)),""))</f>
        <v/>
      </c>
      <c r="U200" s="78">
        <f>IF($B200="","",IFERROR(INDEX(Task_Tracker!$F$5:$F$1004,MATCH($B200,Task_Tracker!$A$5:$A$1004,0)),""))</f>
        <v/>
      </c>
      <c r="V200" s="78">
        <f>IF($B200="","",IFERROR(INDEX(Task_Tracker!$I$5:$I$1004,MATCH($B200,Task_Tracker!$A$5:$A$1004,0)),""))</f>
        <v/>
      </c>
      <c r="W200" s="81">
        <f>IF(OR($D200="",$B200=""),"",$D200&amp;" | "&amp;$B200)</f>
        <v/>
      </c>
      <c r="X200" s="85">
        <f>IF($K200="","",TEXT($K200,"yyyy-mm"))</f>
        <v/>
      </c>
      <c r="Y200" s="81">
        <f>IF(OR($A200="",$T200=""),"","Included in Manager_Report")</f>
        <v/>
      </c>
    </row>
    <row r="201" ht="15" customHeight="1" s="40">
      <c r="A201" s="65">
        <f>IF(COUNTA(B201:G201)=0,"","STP-"&amp;TEXT(ROW()-4,"0000"))</f>
        <v/>
      </c>
      <c r="B201" s="78" t="n"/>
      <c r="C201" s="67">
        <f>IF($B201="","",IFERROR(INDEX(Task_Tracker!$D$5:$D$1004,MATCH($B201,Task_Tracker!$A$5:$A$1004,0)),""))</f>
        <v/>
      </c>
      <c r="D201" s="67">
        <f>IF($B201="","",IFERROR(INDEX(Task_Tracker!$B$5:$B$1004,MATCH($B201,Task_Tracker!$A$5:$A$1004,0)),""))</f>
        <v/>
      </c>
      <c r="E201" s="81" t="n"/>
      <c r="F201" s="81" t="n"/>
      <c r="G201" s="78" t="n"/>
      <c r="H201" s="78" t="n"/>
      <c r="I201" s="67">
        <f>IF($H201="","",IFERROR(INDEX(Action_Status_Map!$B$5:$B$11,MATCH($H201,Action_Status_Map!$A$5:$A$11,0)),""))</f>
        <v/>
      </c>
      <c r="J201" s="82" t="n"/>
      <c r="K201" s="82" t="n"/>
      <c r="L201" s="82" t="n"/>
      <c r="M201" s="83" t="n"/>
      <c r="N201" s="83" t="n"/>
      <c r="O201" s="66">
        <f>IF(OR($M201="",$N201=""),"",$N201-$M201)</f>
        <v/>
      </c>
      <c r="P201" s="84">
        <f>IF($J201="","",IF($L201&lt;&gt;"",$L201-$J201,TODAY()-$J201))</f>
        <v/>
      </c>
      <c r="Q201" s="85">
        <f>IF(OR($K201="",$H201="Completed",$H201="Cancelled"),"",IF(AND($K201&lt;TODAY(),$H201&lt;&gt;"Completed",$H201&lt;&gt;"Cancelled"),"Overdue","On Track"))</f>
        <v/>
      </c>
      <c r="R201" s="81" t="n"/>
      <c r="S201" s="81">
        <f>IF($B201="","",IFERROR(INDEX(Task_Tracker!$AA$5:$AA$1004,MATCH($B201,Task_Tracker!$A$5:$A$1004,0)),""))</f>
        <v/>
      </c>
      <c r="T201" s="81">
        <f>IF($B201="","",IFERROR(INDEX(Task_Tracker!$AB$5:$AB$1004,MATCH($B201,Task_Tracker!$A$5:$A$1004,0)),""))</f>
        <v/>
      </c>
      <c r="U201" s="78">
        <f>IF($B201="","",IFERROR(INDEX(Task_Tracker!$F$5:$F$1004,MATCH($B201,Task_Tracker!$A$5:$A$1004,0)),""))</f>
        <v/>
      </c>
      <c r="V201" s="78">
        <f>IF($B201="","",IFERROR(INDEX(Task_Tracker!$I$5:$I$1004,MATCH($B201,Task_Tracker!$A$5:$A$1004,0)),""))</f>
        <v/>
      </c>
      <c r="W201" s="81">
        <f>IF(OR($D201="",$B201=""),"",$D201&amp;" | "&amp;$B201)</f>
        <v/>
      </c>
      <c r="X201" s="85">
        <f>IF($K201="","",TEXT($K201,"yyyy-mm"))</f>
        <v/>
      </c>
      <c r="Y201" s="81">
        <f>IF(OR($A201="",$T201=""),"","Included in Manager_Report")</f>
        <v/>
      </c>
    </row>
    <row r="202" ht="15" customHeight="1" s="40">
      <c r="A202" s="65">
        <f>IF(COUNTA(B202:G202)=0,"","STP-"&amp;TEXT(ROW()-4,"0000"))</f>
        <v/>
      </c>
      <c r="B202" s="78" t="n"/>
      <c r="C202" s="67">
        <f>IF($B202="","",IFERROR(INDEX(Task_Tracker!$D$5:$D$1004,MATCH($B202,Task_Tracker!$A$5:$A$1004,0)),""))</f>
        <v/>
      </c>
      <c r="D202" s="67">
        <f>IF($B202="","",IFERROR(INDEX(Task_Tracker!$B$5:$B$1004,MATCH($B202,Task_Tracker!$A$5:$A$1004,0)),""))</f>
        <v/>
      </c>
      <c r="E202" s="81" t="n"/>
      <c r="F202" s="81" t="n"/>
      <c r="G202" s="78" t="n"/>
      <c r="H202" s="78" t="n"/>
      <c r="I202" s="67">
        <f>IF($H202="","",IFERROR(INDEX(Action_Status_Map!$B$5:$B$11,MATCH($H202,Action_Status_Map!$A$5:$A$11,0)),""))</f>
        <v/>
      </c>
      <c r="J202" s="82" t="n"/>
      <c r="K202" s="82" t="n"/>
      <c r="L202" s="82" t="n"/>
      <c r="M202" s="83" t="n"/>
      <c r="N202" s="83" t="n"/>
      <c r="O202" s="66">
        <f>IF(OR($M202="",$N202=""),"",$N202-$M202)</f>
        <v/>
      </c>
      <c r="P202" s="84">
        <f>IF($J202="","",IF($L202&lt;&gt;"",$L202-$J202,TODAY()-$J202))</f>
        <v/>
      </c>
      <c r="Q202" s="85">
        <f>IF(OR($K202="",$H202="Completed",$H202="Cancelled"),"",IF(AND($K202&lt;TODAY(),$H202&lt;&gt;"Completed",$H202&lt;&gt;"Cancelled"),"Overdue","On Track"))</f>
        <v/>
      </c>
      <c r="R202" s="81" t="n"/>
      <c r="S202" s="81">
        <f>IF($B202="","",IFERROR(INDEX(Task_Tracker!$AA$5:$AA$1004,MATCH($B202,Task_Tracker!$A$5:$A$1004,0)),""))</f>
        <v/>
      </c>
      <c r="T202" s="81">
        <f>IF($B202="","",IFERROR(INDEX(Task_Tracker!$AB$5:$AB$1004,MATCH($B202,Task_Tracker!$A$5:$A$1004,0)),""))</f>
        <v/>
      </c>
      <c r="U202" s="78">
        <f>IF($B202="","",IFERROR(INDEX(Task_Tracker!$F$5:$F$1004,MATCH($B202,Task_Tracker!$A$5:$A$1004,0)),""))</f>
        <v/>
      </c>
      <c r="V202" s="78">
        <f>IF($B202="","",IFERROR(INDEX(Task_Tracker!$I$5:$I$1004,MATCH($B202,Task_Tracker!$A$5:$A$1004,0)),""))</f>
        <v/>
      </c>
      <c r="W202" s="81">
        <f>IF(OR($D202="",$B202=""),"",$D202&amp;" | "&amp;$B202)</f>
        <v/>
      </c>
      <c r="X202" s="85">
        <f>IF($K202="","",TEXT($K202,"yyyy-mm"))</f>
        <v/>
      </c>
      <c r="Y202" s="81">
        <f>IF(OR($A202="",$T202=""),"","Included in Manager_Report")</f>
        <v/>
      </c>
    </row>
    <row r="203" ht="15" customHeight="1" s="40">
      <c r="A203" s="65">
        <f>IF(COUNTA(B203:G203)=0,"","STP-"&amp;TEXT(ROW()-4,"0000"))</f>
        <v/>
      </c>
      <c r="B203" s="78" t="n"/>
      <c r="C203" s="67">
        <f>IF($B203="","",IFERROR(INDEX(Task_Tracker!$D$5:$D$1004,MATCH($B203,Task_Tracker!$A$5:$A$1004,0)),""))</f>
        <v/>
      </c>
      <c r="D203" s="67">
        <f>IF($B203="","",IFERROR(INDEX(Task_Tracker!$B$5:$B$1004,MATCH($B203,Task_Tracker!$A$5:$A$1004,0)),""))</f>
        <v/>
      </c>
      <c r="E203" s="81" t="n"/>
      <c r="F203" s="81" t="n"/>
      <c r="G203" s="78" t="n"/>
      <c r="H203" s="78" t="n"/>
      <c r="I203" s="67">
        <f>IF($H203="","",IFERROR(INDEX(Action_Status_Map!$B$5:$B$11,MATCH($H203,Action_Status_Map!$A$5:$A$11,0)),""))</f>
        <v/>
      </c>
      <c r="J203" s="82" t="n"/>
      <c r="K203" s="82" t="n"/>
      <c r="L203" s="82" t="n"/>
      <c r="M203" s="83" t="n"/>
      <c r="N203" s="83" t="n"/>
      <c r="O203" s="66">
        <f>IF(OR($M203="",$N203=""),"",$N203-$M203)</f>
        <v/>
      </c>
      <c r="P203" s="84">
        <f>IF($J203="","",IF($L203&lt;&gt;"",$L203-$J203,TODAY()-$J203))</f>
        <v/>
      </c>
      <c r="Q203" s="85">
        <f>IF(OR($K203="",$H203="Completed",$H203="Cancelled"),"",IF(AND($K203&lt;TODAY(),$H203&lt;&gt;"Completed",$H203&lt;&gt;"Cancelled"),"Overdue","On Track"))</f>
        <v/>
      </c>
      <c r="R203" s="81" t="n"/>
      <c r="S203" s="81">
        <f>IF($B203="","",IFERROR(INDEX(Task_Tracker!$AA$5:$AA$1004,MATCH($B203,Task_Tracker!$A$5:$A$1004,0)),""))</f>
        <v/>
      </c>
      <c r="T203" s="81">
        <f>IF($B203="","",IFERROR(INDEX(Task_Tracker!$AB$5:$AB$1004,MATCH($B203,Task_Tracker!$A$5:$A$1004,0)),""))</f>
        <v/>
      </c>
      <c r="U203" s="78">
        <f>IF($B203="","",IFERROR(INDEX(Task_Tracker!$F$5:$F$1004,MATCH($B203,Task_Tracker!$A$5:$A$1004,0)),""))</f>
        <v/>
      </c>
      <c r="V203" s="78">
        <f>IF($B203="","",IFERROR(INDEX(Task_Tracker!$I$5:$I$1004,MATCH($B203,Task_Tracker!$A$5:$A$1004,0)),""))</f>
        <v/>
      </c>
      <c r="W203" s="81">
        <f>IF(OR($D203="",$B203=""),"",$D203&amp;" | "&amp;$B203)</f>
        <v/>
      </c>
      <c r="X203" s="85">
        <f>IF($K203="","",TEXT($K203,"yyyy-mm"))</f>
        <v/>
      </c>
      <c r="Y203" s="81">
        <f>IF(OR($A203="",$T203=""),"","Included in Manager_Report")</f>
        <v/>
      </c>
    </row>
    <row r="204" ht="15" customHeight="1" s="40">
      <c r="A204" s="65">
        <f>IF(COUNTA(B204:G204)=0,"","STP-"&amp;TEXT(ROW()-4,"0000"))</f>
        <v/>
      </c>
      <c r="B204" s="78" t="n"/>
      <c r="C204" s="67">
        <f>IF($B204="","",IFERROR(INDEX(Task_Tracker!$D$5:$D$1004,MATCH($B204,Task_Tracker!$A$5:$A$1004,0)),""))</f>
        <v/>
      </c>
      <c r="D204" s="67">
        <f>IF($B204="","",IFERROR(INDEX(Task_Tracker!$B$5:$B$1004,MATCH($B204,Task_Tracker!$A$5:$A$1004,0)),""))</f>
        <v/>
      </c>
      <c r="E204" s="81" t="n"/>
      <c r="F204" s="81" t="n"/>
      <c r="G204" s="78" t="n"/>
      <c r="H204" s="78" t="n"/>
      <c r="I204" s="67">
        <f>IF($H204="","",IFERROR(INDEX(Action_Status_Map!$B$5:$B$11,MATCH($H204,Action_Status_Map!$A$5:$A$11,0)),""))</f>
        <v/>
      </c>
      <c r="J204" s="82" t="n"/>
      <c r="K204" s="82" t="n"/>
      <c r="L204" s="82" t="n"/>
      <c r="M204" s="83" t="n"/>
      <c r="N204" s="83" t="n"/>
      <c r="O204" s="66">
        <f>IF(OR($M204="",$N204=""),"",$N204-$M204)</f>
        <v/>
      </c>
      <c r="P204" s="84">
        <f>IF($J204="","",IF($L204&lt;&gt;"",$L204-$J204,TODAY()-$J204))</f>
        <v/>
      </c>
      <c r="Q204" s="85">
        <f>IF(OR($K204="",$H204="Completed",$H204="Cancelled"),"",IF(AND($K204&lt;TODAY(),$H204&lt;&gt;"Completed",$H204&lt;&gt;"Cancelled"),"Overdue","On Track"))</f>
        <v/>
      </c>
      <c r="R204" s="81" t="n"/>
      <c r="S204" s="81">
        <f>IF($B204="","",IFERROR(INDEX(Task_Tracker!$AA$5:$AA$1004,MATCH($B204,Task_Tracker!$A$5:$A$1004,0)),""))</f>
        <v/>
      </c>
      <c r="T204" s="81">
        <f>IF($B204="","",IFERROR(INDEX(Task_Tracker!$AB$5:$AB$1004,MATCH($B204,Task_Tracker!$A$5:$A$1004,0)),""))</f>
        <v/>
      </c>
      <c r="U204" s="78">
        <f>IF($B204="","",IFERROR(INDEX(Task_Tracker!$F$5:$F$1004,MATCH($B204,Task_Tracker!$A$5:$A$1004,0)),""))</f>
        <v/>
      </c>
      <c r="V204" s="78">
        <f>IF($B204="","",IFERROR(INDEX(Task_Tracker!$I$5:$I$1004,MATCH($B204,Task_Tracker!$A$5:$A$1004,0)),""))</f>
        <v/>
      </c>
      <c r="W204" s="81">
        <f>IF(OR($D204="",$B204=""),"",$D204&amp;" | "&amp;$B204)</f>
        <v/>
      </c>
      <c r="X204" s="85">
        <f>IF($K204="","",TEXT($K204,"yyyy-mm"))</f>
        <v/>
      </c>
      <c r="Y204" s="81">
        <f>IF(OR($A204="",$T204=""),"","Included in Manager_Report")</f>
        <v/>
      </c>
    </row>
    <row r="205" ht="15" customHeight="1" s="40">
      <c r="A205" s="65">
        <f>IF(COUNTA(B205:G205)=0,"","STP-"&amp;TEXT(ROW()-4,"0000"))</f>
        <v/>
      </c>
      <c r="B205" s="78" t="n"/>
      <c r="C205" s="67">
        <f>IF($B205="","",IFERROR(INDEX(Task_Tracker!$D$5:$D$1004,MATCH($B205,Task_Tracker!$A$5:$A$1004,0)),""))</f>
        <v/>
      </c>
      <c r="D205" s="67">
        <f>IF($B205="","",IFERROR(INDEX(Task_Tracker!$B$5:$B$1004,MATCH($B205,Task_Tracker!$A$5:$A$1004,0)),""))</f>
        <v/>
      </c>
      <c r="E205" s="81" t="n"/>
      <c r="F205" s="81" t="n"/>
      <c r="G205" s="78" t="n"/>
      <c r="H205" s="78" t="n"/>
      <c r="I205" s="67">
        <f>IF($H205="","",IFERROR(INDEX(Action_Status_Map!$B$5:$B$11,MATCH($H205,Action_Status_Map!$A$5:$A$11,0)),""))</f>
        <v/>
      </c>
      <c r="J205" s="82" t="n"/>
      <c r="K205" s="82" t="n"/>
      <c r="L205" s="82" t="n"/>
      <c r="M205" s="83" t="n"/>
      <c r="N205" s="83" t="n"/>
      <c r="O205" s="66">
        <f>IF(OR($M205="",$N205=""),"",$N205-$M205)</f>
        <v/>
      </c>
      <c r="P205" s="84">
        <f>IF($J205="","",IF($L205&lt;&gt;"",$L205-$J205,TODAY()-$J205))</f>
        <v/>
      </c>
      <c r="Q205" s="85">
        <f>IF(OR($K205="",$H205="Completed",$H205="Cancelled"),"",IF(AND($K205&lt;TODAY(),$H205&lt;&gt;"Completed",$H205&lt;&gt;"Cancelled"),"Overdue","On Track"))</f>
        <v/>
      </c>
      <c r="R205" s="81" t="n"/>
      <c r="S205" s="81">
        <f>IF($B205="","",IFERROR(INDEX(Task_Tracker!$AA$5:$AA$1004,MATCH($B205,Task_Tracker!$A$5:$A$1004,0)),""))</f>
        <v/>
      </c>
      <c r="T205" s="81">
        <f>IF($B205="","",IFERROR(INDEX(Task_Tracker!$AB$5:$AB$1004,MATCH($B205,Task_Tracker!$A$5:$A$1004,0)),""))</f>
        <v/>
      </c>
      <c r="U205" s="78">
        <f>IF($B205="","",IFERROR(INDEX(Task_Tracker!$F$5:$F$1004,MATCH($B205,Task_Tracker!$A$5:$A$1004,0)),""))</f>
        <v/>
      </c>
      <c r="V205" s="78">
        <f>IF($B205="","",IFERROR(INDEX(Task_Tracker!$I$5:$I$1004,MATCH($B205,Task_Tracker!$A$5:$A$1004,0)),""))</f>
        <v/>
      </c>
      <c r="W205" s="81">
        <f>IF(OR($D205="",$B205=""),"",$D205&amp;" | "&amp;$B205)</f>
        <v/>
      </c>
      <c r="X205" s="85">
        <f>IF($K205="","",TEXT($K205,"yyyy-mm"))</f>
        <v/>
      </c>
      <c r="Y205" s="81">
        <f>IF(OR($A205="",$T205=""),"","Included in Manager_Report")</f>
        <v/>
      </c>
    </row>
    <row r="206" ht="15" customHeight="1" s="40">
      <c r="A206" s="65">
        <f>IF(COUNTA(B206:G206)=0,"","STP-"&amp;TEXT(ROW()-4,"0000"))</f>
        <v/>
      </c>
      <c r="B206" s="78" t="n"/>
      <c r="C206" s="67">
        <f>IF($B206="","",IFERROR(INDEX(Task_Tracker!$D$5:$D$1004,MATCH($B206,Task_Tracker!$A$5:$A$1004,0)),""))</f>
        <v/>
      </c>
      <c r="D206" s="67">
        <f>IF($B206="","",IFERROR(INDEX(Task_Tracker!$B$5:$B$1004,MATCH($B206,Task_Tracker!$A$5:$A$1004,0)),""))</f>
        <v/>
      </c>
      <c r="E206" s="81" t="n"/>
      <c r="F206" s="81" t="n"/>
      <c r="G206" s="78" t="n"/>
      <c r="H206" s="78" t="n"/>
      <c r="I206" s="67">
        <f>IF($H206="","",IFERROR(INDEX(Action_Status_Map!$B$5:$B$11,MATCH($H206,Action_Status_Map!$A$5:$A$11,0)),""))</f>
        <v/>
      </c>
      <c r="J206" s="82" t="n"/>
      <c r="K206" s="82" t="n"/>
      <c r="L206" s="82" t="n"/>
      <c r="M206" s="83" t="n"/>
      <c r="N206" s="83" t="n"/>
      <c r="O206" s="66">
        <f>IF(OR($M206="",$N206=""),"",$N206-$M206)</f>
        <v/>
      </c>
      <c r="P206" s="84">
        <f>IF($J206="","",IF($L206&lt;&gt;"",$L206-$J206,TODAY()-$J206))</f>
        <v/>
      </c>
      <c r="Q206" s="85">
        <f>IF(OR($K206="",$H206="Completed",$H206="Cancelled"),"",IF(AND($K206&lt;TODAY(),$H206&lt;&gt;"Completed",$H206&lt;&gt;"Cancelled"),"Overdue","On Track"))</f>
        <v/>
      </c>
      <c r="R206" s="81" t="n"/>
      <c r="S206" s="81">
        <f>IF($B206="","",IFERROR(INDEX(Task_Tracker!$AA$5:$AA$1004,MATCH($B206,Task_Tracker!$A$5:$A$1004,0)),""))</f>
        <v/>
      </c>
      <c r="T206" s="81">
        <f>IF($B206="","",IFERROR(INDEX(Task_Tracker!$AB$5:$AB$1004,MATCH($B206,Task_Tracker!$A$5:$A$1004,0)),""))</f>
        <v/>
      </c>
      <c r="U206" s="78">
        <f>IF($B206="","",IFERROR(INDEX(Task_Tracker!$F$5:$F$1004,MATCH($B206,Task_Tracker!$A$5:$A$1004,0)),""))</f>
        <v/>
      </c>
      <c r="V206" s="78">
        <f>IF($B206="","",IFERROR(INDEX(Task_Tracker!$I$5:$I$1004,MATCH($B206,Task_Tracker!$A$5:$A$1004,0)),""))</f>
        <v/>
      </c>
      <c r="W206" s="81">
        <f>IF(OR($D206="",$B206=""),"",$D206&amp;" | "&amp;$B206)</f>
        <v/>
      </c>
      <c r="X206" s="85">
        <f>IF($K206="","",TEXT($K206,"yyyy-mm"))</f>
        <v/>
      </c>
      <c r="Y206" s="81">
        <f>IF(OR($A206="",$T206=""),"","Included in Manager_Report")</f>
        <v/>
      </c>
    </row>
    <row r="207" ht="15" customHeight="1" s="40">
      <c r="A207" s="65">
        <f>IF(COUNTA(B207:G207)=0,"","STP-"&amp;TEXT(ROW()-4,"0000"))</f>
        <v/>
      </c>
      <c r="B207" s="78" t="n"/>
      <c r="C207" s="67">
        <f>IF($B207="","",IFERROR(INDEX(Task_Tracker!$D$5:$D$1004,MATCH($B207,Task_Tracker!$A$5:$A$1004,0)),""))</f>
        <v/>
      </c>
      <c r="D207" s="67">
        <f>IF($B207="","",IFERROR(INDEX(Task_Tracker!$B$5:$B$1004,MATCH($B207,Task_Tracker!$A$5:$A$1004,0)),""))</f>
        <v/>
      </c>
      <c r="E207" s="81" t="n"/>
      <c r="F207" s="81" t="n"/>
      <c r="G207" s="78" t="n"/>
      <c r="H207" s="78" t="n"/>
      <c r="I207" s="67">
        <f>IF($H207="","",IFERROR(INDEX(Action_Status_Map!$B$5:$B$11,MATCH($H207,Action_Status_Map!$A$5:$A$11,0)),""))</f>
        <v/>
      </c>
      <c r="J207" s="82" t="n"/>
      <c r="K207" s="82" t="n"/>
      <c r="L207" s="82" t="n"/>
      <c r="M207" s="83" t="n"/>
      <c r="N207" s="83" t="n"/>
      <c r="O207" s="66">
        <f>IF(OR($M207="",$N207=""),"",$N207-$M207)</f>
        <v/>
      </c>
      <c r="P207" s="84">
        <f>IF($J207="","",IF($L207&lt;&gt;"",$L207-$J207,TODAY()-$J207))</f>
        <v/>
      </c>
      <c r="Q207" s="85">
        <f>IF(OR($K207="",$H207="Completed",$H207="Cancelled"),"",IF(AND($K207&lt;TODAY(),$H207&lt;&gt;"Completed",$H207&lt;&gt;"Cancelled"),"Overdue","On Track"))</f>
        <v/>
      </c>
      <c r="R207" s="81" t="n"/>
      <c r="S207" s="81">
        <f>IF($B207="","",IFERROR(INDEX(Task_Tracker!$AA$5:$AA$1004,MATCH($B207,Task_Tracker!$A$5:$A$1004,0)),""))</f>
        <v/>
      </c>
      <c r="T207" s="81">
        <f>IF($B207="","",IFERROR(INDEX(Task_Tracker!$AB$5:$AB$1004,MATCH($B207,Task_Tracker!$A$5:$A$1004,0)),""))</f>
        <v/>
      </c>
      <c r="U207" s="78">
        <f>IF($B207="","",IFERROR(INDEX(Task_Tracker!$F$5:$F$1004,MATCH($B207,Task_Tracker!$A$5:$A$1004,0)),""))</f>
        <v/>
      </c>
      <c r="V207" s="78">
        <f>IF($B207="","",IFERROR(INDEX(Task_Tracker!$I$5:$I$1004,MATCH($B207,Task_Tracker!$A$5:$A$1004,0)),""))</f>
        <v/>
      </c>
      <c r="W207" s="81">
        <f>IF(OR($D207="",$B207=""),"",$D207&amp;" | "&amp;$B207)</f>
        <v/>
      </c>
      <c r="X207" s="85">
        <f>IF($K207="","",TEXT($K207,"yyyy-mm"))</f>
        <v/>
      </c>
      <c r="Y207" s="81">
        <f>IF(OR($A207="",$T207=""),"","Included in Manager_Report")</f>
        <v/>
      </c>
    </row>
    <row r="208" ht="15" customHeight="1" s="40">
      <c r="A208" s="65">
        <f>IF(COUNTA(B208:G208)=0,"","STP-"&amp;TEXT(ROW()-4,"0000"))</f>
        <v/>
      </c>
      <c r="B208" s="78" t="n"/>
      <c r="C208" s="67">
        <f>IF($B208="","",IFERROR(INDEX(Task_Tracker!$D$5:$D$1004,MATCH($B208,Task_Tracker!$A$5:$A$1004,0)),""))</f>
        <v/>
      </c>
      <c r="D208" s="67">
        <f>IF($B208="","",IFERROR(INDEX(Task_Tracker!$B$5:$B$1004,MATCH($B208,Task_Tracker!$A$5:$A$1004,0)),""))</f>
        <v/>
      </c>
      <c r="E208" s="81" t="n"/>
      <c r="F208" s="81" t="n"/>
      <c r="G208" s="78" t="n"/>
      <c r="H208" s="78" t="n"/>
      <c r="I208" s="67">
        <f>IF($H208="","",IFERROR(INDEX(Action_Status_Map!$B$5:$B$11,MATCH($H208,Action_Status_Map!$A$5:$A$11,0)),""))</f>
        <v/>
      </c>
      <c r="J208" s="82" t="n"/>
      <c r="K208" s="82" t="n"/>
      <c r="L208" s="82" t="n"/>
      <c r="M208" s="83" t="n"/>
      <c r="N208" s="83" t="n"/>
      <c r="O208" s="66">
        <f>IF(OR($M208="",$N208=""),"",$N208-$M208)</f>
        <v/>
      </c>
      <c r="P208" s="84">
        <f>IF($J208="","",IF($L208&lt;&gt;"",$L208-$J208,TODAY()-$J208))</f>
        <v/>
      </c>
      <c r="Q208" s="85">
        <f>IF(OR($K208="",$H208="Completed",$H208="Cancelled"),"",IF(AND($K208&lt;TODAY(),$H208&lt;&gt;"Completed",$H208&lt;&gt;"Cancelled"),"Overdue","On Track"))</f>
        <v/>
      </c>
      <c r="R208" s="81" t="n"/>
      <c r="S208" s="81">
        <f>IF($B208="","",IFERROR(INDEX(Task_Tracker!$AA$5:$AA$1004,MATCH($B208,Task_Tracker!$A$5:$A$1004,0)),""))</f>
        <v/>
      </c>
      <c r="T208" s="81">
        <f>IF($B208="","",IFERROR(INDEX(Task_Tracker!$AB$5:$AB$1004,MATCH($B208,Task_Tracker!$A$5:$A$1004,0)),""))</f>
        <v/>
      </c>
      <c r="U208" s="78">
        <f>IF($B208="","",IFERROR(INDEX(Task_Tracker!$F$5:$F$1004,MATCH($B208,Task_Tracker!$A$5:$A$1004,0)),""))</f>
        <v/>
      </c>
      <c r="V208" s="78">
        <f>IF($B208="","",IFERROR(INDEX(Task_Tracker!$I$5:$I$1004,MATCH($B208,Task_Tracker!$A$5:$A$1004,0)),""))</f>
        <v/>
      </c>
      <c r="W208" s="81">
        <f>IF(OR($D208="",$B208=""),"",$D208&amp;" | "&amp;$B208)</f>
        <v/>
      </c>
      <c r="X208" s="85">
        <f>IF($K208="","",TEXT($K208,"yyyy-mm"))</f>
        <v/>
      </c>
      <c r="Y208" s="81">
        <f>IF(OR($A208="",$T208=""),"","Included in Manager_Report")</f>
        <v/>
      </c>
    </row>
    <row r="209" ht="15" customHeight="1" s="40">
      <c r="A209" s="65">
        <f>IF(COUNTA(B209:G209)=0,"","STP-"&amp;TEXT(ROW()-4,"0000"))</f>
        <v/>
      </c>
      <c r="B209" s="78" t="n"/>
      <c r="C209" s="67">
        <f>IF($B209="","",IFERROR(INDEX(Task_Tracker!$D$5:$D$1004,MATCH($B209,Task_Tracker!$A$5:$A$1004,0)),""))</f>
        <v/>
      </c>
      <c r="D209" s="67">
        <f>IF($B209="","",IFERROR(INDEX(Task_Tracker!$B$5:$B$1004,MATCH($B209,Task_Tracker!$A$5:$A$1004,0)),""))</f>
        <v/>
      </c>
      <c r="E209" s="81" t="n"/>
      <c r="F209" s="81" t="n"/>
      <c r="G209" s="78" t="n"/>
      <c r="H209" s="78" t="n"/>
      <c r="I209" s="67">
        <f>IF($H209="","",IFERROR(INDEX(Action_Status_Map!$B$5:$B$11,MATCH($H209,Action_Status_Map!$A$5:$A$11,0)),""))</f>
        <v/>
      </c>
      <c r="J209" s="82" t="n"/>
      <c r="K209" s="82" t="n"/>
      <c r="L209" s="82" t="n"/>
      <c r="M209" s="83" t="n"/>
      <c r="N209" s="83" t="n"/>
      <c r="O209" s="66">
        <f>IF(OR($M209="",$N209=""),"",$N209-$M209)</f>
        <v/>
      </c>
      <c r="P209" s="84">
        <f>IF($J209="","",IF($L209&lt;&gt;"",$L209-$J209,TODAY()-$J209))</f>
        <v/>
      </c>
      <c r="Q209" s="85">
        <f>IF(OR($K209="",$H209="Completed",$H209="Cancelled"),"",IF(AND($K209&lt;TODAY(),$H209&lt;&gt;"Completed",$H209&lt;&gt;"Cancelled"),"Overdue","On Track"))</f>
        <v/>
      </c>
      <c r="R209" s="81" t="n"/>
      <c r="S209" s="81">
        <f>IF($B209="","",IFERROR(INDEX(Task_Tracker!$AA$5:$AA$1004,MATCH($B209,Task_Tracker!$A$5:$A$1004,0)),""))</f>
        <v/>
      </c>
      <c r="T209" s="81">
        <f>IF($B209="","",IFERROR(INDEX(Task_Tracker!$AB$5:$AB$1004,MATCH($B209,Task_Tracker!$A$5:$A$1004,0)),""))</f>
        <v/>
      </c>
      <c r="U209" s="78">
        <f>IF($B209="","",IFERROR(INDEX(Task_Tracker!$F$5:$F$1004,MATCH($B209,Task_Tracker!$A$5:$A$1004,0)),""))</f>
        <v/>
      </c>
      <c r="V209" s="78">
        <f>IF($B209="","",IFERROR(INDEX(Task_Tracker!$I$5:$I$1004,MATCH($B209,Task_Tracker!$A$5:$A$1004,0)),""))</f>
        <v/>
      </c>
      <c r="W209" s="81">
        <f>IF(OR($D209="",$B209=""),"",$D209&amp;" | "&amp;$B209)</f>
        <v/>
      </c>
      <c r="X209" s="85">
        <f>IF($K209="","",TEXT($K209,"yyyy-mm"))</f>
        <v/>
      </c>
      <c r="Y209" s="81">
        <f>IF(OR($A209="",$T209=""),"","Included in Manager_Report")</f>
        <v/>
      </c>
    </row>
    <row r="210" ht="15" customHeight="1" s="40">
      <c r="A210" s="65">
        <f>IF(COUNTA(B210:G210)=0,"","STP-"&amp;TEXT(ROW()-4,"0000"))</f>
        <v/>
      </c>
      <c r="B210" s="78" t="n"/>
      <c r="C210" s="67">
        <f>IF($B210="","",IFERROR(INDEX(Task_Tracker!$D$5:$D$1004,MATCH($B210,Task_Tracker!$A$5:$A$1004,0)),""))</f>
        <v/>
      </c>
      <c r="D210" s="67">
        <f>IF($B210="","",IFERROR(INDEX(Task_Tracker!$B$5:$B$1004,MATCH($B210,Task_Tracker!$A$5:$A$1004,0)),""))</f>
        <v/>
      </c>
      <c r="E210" s="81" t="n"/>
      <c r="F210" s="81" t="n"/>
      <c r="G210" s="78" t="n"/>
      <c r="H210" s="78" t="n"/>
      <c r="I210" s="67">
        <f>IF($H210="","",IFERROR(INDEX(Action_Status_Map!$B$5:$B$11,MATCH($H210,Action_Status_Map!$A$5:$A$11,0)),""))</f>
        <v/>
      </c>
      <c r="J210" s="82" t="n"/>
      <c r="K210" s="82" t="n"/>
      <c r="L210" s="82" t="n"/>
      <c r="M210" s="83" t="n"/>
      <c r="N210" s="83" t="n"/>
      <c r="O210" s="66">
        <f>IF(OR($M210="",$N210=""),"",$N210-$M210)</f>
        <v/>
      </c>
      <c r="P210" s="84">
        <f>IF($J210="","",IF($L210&lt;&gt;"",$L210-$J210,TODAY()-$J210))</f>
        <v/>
      </c>
      <c r="Q210" s="85">
        <f>IF(OR($K210="",$H210="Completed",$H210="Cancelled"),"",IF(AND($K210&lt;TODAY(),$H210&lt;&gt;"Completed",$H210&lt;&gt;"Cancelled"),"Overdue","On Track"))</f>
        <v/>
      </c>
      <c r="R210" s="81" t="n"/>
      <c r="S210" s="81">
        <f>IF($B210="","",IFERROR(INDEX(Task_Tracker!$AA$5:$AA$1004,MATCH($B210,Task_Tracker!$A$5:$A$1004,0)),""))</f>
        <v/>
      </c>
      <c r="T210" s="81">
        <f>IF($B210="","",IFERROR(INDEX(Task_Tracker!$AB$5:$AB$1004,MATCH($B210,Task_Tracker!$A$5:$A$1004,0)),""))</f>
        <v/>
      </c>
      <c r="U210" s="78">
        <f>IF($B210="","",IFERROR(INDEX(Task_Tracker!$F$5:$F$1004,MATCH($B210,Task_Tracker!$A$5:$A$1004,0)),""))</f>
        <v/>
      </c>
      <c r="V210" s="78">
        <f>IF($B210="","",IFERROR(INDEX(Task_Tracker!$I$5:$I$1004,MATCH($B210,Task_Tracker!$A$5:$A$1004,0)),""))</f>
        <v/>
      </c>
      <c r="W210" s="81">
        <f>IF(OR($D210="",$B210=""),"",$D210&amp;" | "&amp;$B210)</f>
        <v/>
      </c>
      <c r="X210" s="85">
        <f>IF($K210="","",TEXT($K210,"yyyy-mm"))</f>
        <v/>
      </c>
      <c r="Y210" s="81">
        <f>IF(OR($A210="",$T210=""),"","Included in Manager_Report")</f>
        <v/>
      </c>
    </row>
    <row r="211" ht="15" customHeight="1" s="40">
      <c r="A211" s="65">
        <f>IF(COUNTA(B211:G211)=0,"","STP-"&amp;TEXT(ROW()-4,"0000"))</f>
        <v/>
      </c>
      <c r="B211" s="78" t="n"/>
      <c r="C211" s="67">
        <f>IF($B211="","",IFERROR(INDEX(Task_Tracker!$D$5:$D$1004,MATCH($B211,Task_Tracker!$A$5:$A$1004,0)),""))</f>
        <v/>
      </c>
      <c r="D211" s="67">
        <f>IF($B211="","",IFERROR(INDEX(Task_Tracker!$B$5:$B$1004,MATCH($B211,Task_Tracker!$A$5:$A$1004,0)),""))</f>
        <v/>
      </c>
      <c r="E211" s="81" t="n"/>
      <c r="F211" s="81" t="n"/>
      <c r="G211" s="78" t="n"/>
      <c r="H211" s="78" t="n"/>
      <c r="I211" s="67">
        <f>IF($H211="","",IFERROR(INDEX(Action_Status_Map!$B$5:$B$11,MATCH($H211,Action_Status_Map!$A$5:$A$11,0)),""))</f>
        <v/>
      </c>
      <c r="J211" s="82" t="n"/>
      <c r="K211" s="82" t="n"/>
      <c r="L211" s="82" t="n"/>
      <c r="M211" s="83" t="n"/>
      <c r="N211" s="83" t="n"/>
      <c r="O211" s="66">
        <f>IF(OR($M211="",$N211=""),"",$N211-$M211)</f>
        <v/>
      </c>
      <c r="P211" s="84">
        <f>IF($J211="","",IF($L211&lt;&gt;"",$L211-$J211,TODAY()-$J211))</f>
        <v/>
      </c>
      <c r="Q211" s="85">
        <f>IF(OR($K211="",$H211="Completed",$H211="Cancelled"),"",IF(AND($K211&lt;TODAY(),$H211&lt;&gt;"Completed",$H211&lt;&gt;"Cancelled"),"Overdue","On Track"))</f>
        <v/>
      </c>
      <c r="R211" s="81" t="n"/>
      <c r="S211" s="81">
        <f>IF($B211="","",IFERROR(INDEX(Task_Tracker!$AA$5:$AA$1004,MATCH($B211,Task_Tracker!$A$5:$A$1004,0)),""))</f>
        <v/>
      </c>
      <c r="T211" s="81">
        <f>IF($B211="","",IFERROR(INDEX(Task_Tracker!$AB$5:$AB$1004,MATCH($B211,Task_Tracker!$A$5:$A$1004,0)),""))</f>
        <v/>
      </c>
      <c r="U211" s="78">
        <f>IF($B211="","",IFERROR(INDEX(Task_Tracker!$F$5:$F$1004,MATCH($B211,Task_Tracker!$A$5:$A$1004,0)),""))</f>
        <v/>
      </c>
      <c r="V211" s="78">
        <f>IF($B211="","",IFERROR(INDEX(Task_Tracker!$I$5:$I$1004,MATCH($B211,Task_Tracker!$A$5:$A$1004,0)),""))</f>
        <v/>
      </c>
      <c r="W211" s="81">
        <f>IF(OR($D211="",$B211=""),"",$D211&amp;" | "&amp;$B211)</f>
        <v/>
      </c>
      <c r="X211" s="85">
        <f>IF($K211="","",TEXT($K211,"yyyy-mm"))</f>
        <v/>
      </c>
      <c r="Y211" s="81">
        <f>IF(OR($A211="",$T211=""),"","Included in Manager_Report")</f>
        <v/>
      </c>
    </row>
    <row r="212" ht="15" customHeight="1" s="40">
      <c r="A212" s="65">
        <f>IF(COUNTA(B212:G212)=0,"","STP-"&amp;TEXT(ROW()-4,"0000"))</f>
        <v/>
      </c>
      <c r="B212" s="78" t="n"/>
      <c r="C212" s="67">
        <f>IF($B212="","",IFERROR(INDEX(Task_Tracker!$D$5:$D$1004,MATCH($B212,Task_Tracker!$A$5:$A$1004,0)),""))</f>
        <v/>
      </c>
      <c r="D212" s="67">
        <f>IF($B212="","",IFERROR(INDEX(Task_Tracker!$B$5:$B$1004,MATCH($B212,Task_Tracker!$A$5:$A$1004,0)),""))</f>
        <v/>
      </c>
      <c r="E212" s="81" t="n"/>
      <c r="F212" s="81" t="n"/>
      <c r="G212" s="78" t="n"/>
      <c r="H212" s="78" t="n"/>
      <c r="I212" s="67">
        <f>IF($H212="","",IFERROR(INDEX(Action_Status_Map!$B$5:$B$11,MATCH($H212,Action_Status_Map!$A$5:$A$11,0)),""))</f>
        <v/>
      </c>
      <c r="J212" s="82" t="n"/>
      <c r="K212" s="82" t="n"/>
      <c r="L212" s="82" t="n"/>
      <c r="M212" s="83" t="n"/>
      <c r="N212" s="83" t="n"/>
      <c r="O212" s="66">
        <f>IF(OR($M212="",$N212=""),"",$N212-$M212)</f>
        <v/>
      </c>
      <c r="P212" s="84">
        <f>IF($J212="","",IF($L212&lt;&gt;"",$L212-$J212,TODAY()-$J212))</f>
        <v/>
      </c>
      <c r="Q212" s="85">
        <f>IF(OR($K212="",$H212="Completed",$H212="Cancelled"),"",IF(AND($K212&lt;TODAY(),$H212&lt;&gt;"Completed",$H212&lt;&gt;"Cancelled"),"Overdue","On Track"))</f>
        <v/>
      </c>
      <c r="R212" s="81" t="n"/>
      <c r="S212" s="81">
        <f>IF($B212="","",IFERROR(INDEX(Task_Tracker!$AA$5:$AA$1004,MATCH($B212,Task_Tracker!$A$5:$A$1004,0)),""))</f>
        <v/>
      </c>
      <c r="T212" s="81">
        <f>IF($B212="","",IFERROR(INDEX(Task_Tracker!$AB$5:$AB$1004,MATCH($B212,Task_Tracker!$A$5:$A$1004,0)),""))</f>
        <v/>
      </c>
      <c r="U212" s="78">
        <f>IF($B212="","",IFERROR(INDEX(Task_Tracker!$F$5:$F$1004,MATCH($B212,Task_Tracker!$A$5:$A$1004,0)),""))</f>
        <v/>
      </c>
      <c r="V212" s="78">
        <f>IF($B212="","",IFERROR(INDEX(Task_Tracker!$I$5:$I$1004,MATCH($B212,Task_Tracker!$A$5:$A$1004,0)),""))</f>
        <v/>
      </c>
      <c r="W212" s="81">
        <f>IF(OR($D212="",$B212=""),"",$D212&amp;" | "&amp;$B212)</f>
        <v/>
      </c>
      <c r="X212" s="85">
        <f>IF($K212="","",TEXT($K212,"yyyy-mm"))</f>
        <v/>
      </c>
      <c r="Y212" s="81">
        <f>IF(OR($A212="",$T212=""),"","Included in Manager_Report")</f>
        <v/>
      </c>
    </row>
    <row r="213" ht="15" customHeight="1" s="40">
      <c r="A213" s="65">
        <f>IF(COUNTA(B213:G213)=0,"","STP-"&amp;TEXT(ROW()-4,"0000"))</f>
        <v/>
      </c>
      <c r="B213" s="78" t="n"/>
      <c r="C213" s="67">
        <f>IF($B213="","",IFERROR(INDEX(Task_Tracker!$D$5:$D$1004,MATCH($B213,Task_Tracker!$A$5:$A$1004,0)),""))</f>
        <v/>
      </c>
      <c r="D213" s="67">
        <f>IF($B213="","",IFERROR(INDEX(Task_Tracker!$B$5:$B$1004,MATCH($B213,Task_Tracker!$A$5:$A$1004,0)),""))</f>
        <v/>
      </c>
      <c r="E213" s="81" t="n"/>
      <c r="F213" s="81" t="n"/>
      <c r="G213" s="78" t="n"/>
      <c r="H213" s="78" t="n"/>
      <c r="I213" s="67">
        <f>IF($H213="","",IFERROR(INDEX(Action_Status_Map!$B$5:$B$11,MATCH($H213,Action_Status_Map!$A$5:$A$11,0)),""))</f>
        <v/>
      </c>
      <c r="J213" s="82" t="n"/>
      <c r="K213" s="82" t="n"/>
      <c r="L213" s="82" t="n"/>
      <c r="M213" s="83" t="n"/>
      <c r="N213" s="83" t="n"/>
      <c r="O213" s="66">
        <f>IF(OR($M213="",$N213=""),"",$N213-$M213)</f>
        <v/>
      </c>
      <c r="P213" s="84">
        <f>IF($J213="","",IF($L213&lt;&gt;"",$L213-$J213,TODAY()-$J213))</f>
        <v/>
      </c>
      <c r="Q213" s="85">
        <f>IF(OR($K213="",$H213="Completed",$H213="Cancelled"),"",IF(AND($K213&lt;TODAY(),$H213&lt;&gt;"Completed",$H213&lt;&gt;"Cancelled"),"Overdue","On Track"))</f>
        <v/>
      </c>
      <c r="R213" s="81" t="n"/>
      <c r="S213" s="81">
        <f>IF($B213="","",IFERROR(INDEX(Task_Tracker!$AA$5:$AA$1004,MATCH($B213,Task_Tracker!$A$5:$A$1004,0)),""))</f>
        <v/>
      </c>
      <c r="T213" s="81">
        <f>IF($B213="","",IFERROR(INDEX(Task_Tracker!$AB$5:$AB$1004,MATCH($B213,Task_Tracker!$A$5:$A$1004,0)),""))</f>
        <v/>
      </c>
      <c r="U213" s="78">
        <f>IF($B213="","",IFERROR(INDEX(Task_Tracker!$F$5:$F$1004,MATCH($B213,Task_Tracker!$A$5:$A$1004,0)),""))</f>
        <v/>
      </c>
      <c r="V213" s="78">
        <f>IF($B213="","",IFERROR(INDEX(Task_Tracker!$I$5:$I$1004,MATCH($B213,Task_Tracker!$A$5:$A$1004,0)),""))</f>
        <v/>
      </c>
      <c r="W213" s="81">
        <f>IF(OR($D213="",$B213=""),"",$D213&amp;" | "&amp;$B213)</f>
        <v/>
      </c>
      <c r="X213" s="85">
        <f>IF($K213="","",TEXT($K213,"yyyy-mm"))</f>
        <v/>
      </c>
      <c r="Y213" s="81">
        <f>IF(OR($A213="",$T213=""),"","Included in Manager_Report")</f>
        <v/>
      </c>
    </row>
    <row r="214" ht="15" customHeight="1" s="40">
      <c r="A214" s="65">
        <f>IF(COUNTA(B214:G214)=0,"","STP-"&amp;TEXT(ROW()-4,"0000"))</f>
        <v/>
      </c>
      <c r="B214" s="78" t="n"/>
      <c r="C214" s="67">
        <f>IF($B214="","",IFERROR(INDEX(Task_Tracker!$D$5:$D$1004,MATCH($B214,Task_Tracker!$A$5:$A$1004,0)),""))</f>
        <v/>
      </c>
      <c r="D214" s="67">
        <f>IF($B214="","",IFERROR(INDEX(Task_Tracker!$B$5:$B$1004,MATCH($B214,Task_Tracker!$A$5:$A$1004,0)),""))</f>
        <v/>
      </c>
      <c r="E214" s="81" t="n"/>
      <c r="F214" s="81" t="n"/>
      <c r="G214" s="78" t="n"/>
      <c r="H214" s="78" t="n"/>
      <c r="I214" s="67">
        <f>IF($H214="","",IFERROR(INDEX(Action_Status_Map!$B$5:$B$11,MATCH($H214,Action_Status_Map!$A$5:$A$11,0)),""))</f>
        <v/>
      </c>
      <c r="J214" s="82" t="n"/>
      <c r="K214" s="82" t="n"/>
      <c r="L214" s="82" t="n"/>
      <c r="M214" s="83" t="n"/>
      <c r="N214" s="83" t="n"/>
      <c r="O214" s="66">
        <f>IF(OR($M214="",$N214=""),"",$N214-$M214)</f>
        <v/>
      </c>
      <c r="P214" s="84">
        <f>IF($J214="","",IF($L214&lt;&gt;"",$L214-$J214,TODAY()-$J214))</f>
        <v/>
      </c>
      <c r="Q214" s="85">
        <f>IF(OR($K214="",$H214="Completed",$H214="Cancelled"),"",IF(AND($K214&lt;TODAY(),$H214&lt;&gt;"Completed",$H214&lt;&gt;"Cancelled"),"Overdue","On Track"))</f>
        <v/>
      </c>
      <c r="R214" s="81" t="n"/>
      <c r="S214" s="81">
        <f>IF($B214="","",IFERROR(INDEX(Task_Tracker!$AA$5:$AA$1004,MATCH($B214,Task_Tracker!$A$5:$A$1004,0)),""))</f>
        <v/>
      </c>
      <c r="T214" s="81">
        <f>IF($B214="","",IFERROR(INDEX(Task_Tracker!$AB$5:$AB$1004,MATCH($B214,Task_Tracker!$A$5:$A$1004,0)),""))</f>
        <v/>
      </c>
      <c r="U214" s="78">
        <f>IF($B214="","",IFERROR(INDEX(Task_Tracker!$F$5:$F$1004,MATCH($B214,Task_Tracker!$A$5:$A$1004,0)),""))</f>
        <v/>
      </c>
      <c r="V214" s="78">
        <f>IF($B214="","",IFERROR(INDEX(Task_Tracker!$I$5:$I$1004,MATCH($B214,Task_Tracker!$A$5:$A$1004,0)),""))</f>
        <v/>
      </c>
      <c r="W214" s="81">
        <f>IF(OR($D214="",$B214=""),"",$D214&amp;" | "&amp;$B214)</f>
        <v/>
      </c>
      <c r="X214" s="85">
        <f>IF($K214="","",TEXT($K214,"yyyy-mm"))</f>
        <v/>
      </c>
      <c r="Y214" s="81">
        <f>IF(OR($A214="",$T214=""),"","Included in Manager_Report")</f>
        <v/>
      </c>
    </row>
    <row r="215" ht="15" customHeight="1" s="40">
      <c r="A215" s="65">
        <f>IF(COUNTA(B215:G215)=0,"","STP-"&amp;TEXT(ROW()-4,"0000"))</f>
        <v/>
      </c>
      <c r="B215" s="78" t="n"/>
      <c r="C215" s="67">
        <f>IF($B215="","",IFERROR(INDEX(Task_Tracker!$D$5:$D$1004,MATCH($B215,Task_Tracker!$A$5:$A$1004,0)),""))</f>
        <v/>
      </c>
      <c r="D215" s="67">
        <f>IF($B215="","",IFERROR(INDEX(Task_Tracker!$B$5:$B$1004,MATCH($B215,Task_Tracker!$A$5:$A$1004,0)),""))</f>
        <v/>
      </c>
      <c r="E215" s="81" t="n"/>
      <c r="F215" s="81" t="n"/>
      <c r="G215" s="78" t="n"/>
      <c r="H215" s="78" t="n"/>
      <c r="I215" s="67">
        <f>IF($H215="","",IFERROR(INDEX(Action_Status_Map!$B$5:$B$11,MATCH($H215,Action_Status_Map!$A$5:$A$11,0)),""))</f>
        <v/>
      </c>
      <c r="J215" s="82" t="n"/>
      <c r="K215" s="82" t="n"/>
      <c r="L215" s="82" t="n"/>
      <c r="M215" s="83" t="n"/>
      <c r="N215" s="83" t="n"/>
      <c r="O215" s="66">
        <f>IF(OR($M215="",$N215=""),"",$N215-$M215)</f>
        <v/>
      </c>
      <c r="P215" s="84">
        <f>IF($J215="","",IF($L215&lt;&gt;"",$L215-$J215,TODAY()-$J215))</f>
        <v/>
      </c>
      <c r="Q215" s="85">
        <f>IF(OR($K215="",$H215="Completed",$H215="Cancelled"),"",IF(AND($K215&lt;TODAY(),$H215&lt;&gt;"Completed",$H215&lt;&gt;"Cancelled"),"Overdue","On Track"))</f>
        <v/>
      </c>
      <c r="R215" s="81" t="n"/>
      <c r="S215" s="81">
        <f>IF($B215="","",IFERROR(INDEX(Task_Tracker!$AA$5:$AA$1004,MATCH($B215,Task_Tracker!$A$5:$A$1004,0)),""))</f>
        <v/>
      </c>
      <c r="T215" s="81">
        <f>IF($B215="","",IFERROR(INDEX(Task_Tracker!$AB$5:$AB$1004,MATCH($B215,Task_Tracker!$A$5:$A$1004,0)),""))</f>
        <v/>
      </c>
      <c r="U215" s="78">
        <f>IF($B215="","",IFERROR(INDEX(Task_Tracker!$F$5:$F$1004,MATCH($B215,Task_Tracker!$A$5:$A$1004,0)),""))</f>
        <v/>
      </c>
      <c r="V215" s="78">
        <f>IF($B215="","",IFERROR(INDEX(Task_Tracker!$I$5:$I$1004,MATCH($B215,Task_Tracker!$A$5:$A$1004,0)),""))</f>
        <v/>
      </c>
      <c r="W215" s="81">
        <f>IF(OR($D215="",$B215=""),"",$D215&amp;" | "&amp;$B215)</f>
        <v/>
      </c>
      <c r="X215" s="85">
        <f>IF($K215="","",TEXT($K215,"yyyy-mm"))</f>
        <v/>
      </c>
      <c r="Y215" s="81">
        <f>IF(OR($A215="",$T215=""),"","Included in Manager_Report")</f>
        <v/>
      </c>
    </row>
    <row r="216" ht="15" customHeight="1" s="40">
      <c r="A216" s="65">
        <f>IF(COUNTA(B216:G216)=0,"","STP-"&amp;TEXT(ROW()-4,"0000"))</f>
        <v/>
      </c>
      <c r="B216" s="78" t="n"/>
      <c r="C216" s="67">
        <f>IF($B216="","",IFERROR(INDEX(Task_Tracker!$D$5:$D$1004,MATCH($B216,Task_Tracker!$A$5:$A$1004,0)),""))</f>
        <v/>
      </c>
      <c r="D216" s="67">
        <f>IF($B216="","",IFERROR(INDEX(Task_Tracker!$B$5:$B$1004,MATCH($B216,Task_Tracker!$A$5:$A$1004,0)),""))</f>
        <v/>
      </c>
      <c r="E216" s="81" t="n"/>
      <c r="F216" s="81" t="n"/>
      <c r="G216" s="78" t="n"/>
      <c r="H216" s="78" t="n"/>
      <c r="I216" s="67">
        <f>IF($H216="","",IFERROR(INDEX(Action_Status_Map!$B$5:$B$11,MATCH($H216,Action_Status_Map!$A$5:$A$11,0)),""))</f>
        <v/>
      </c>
      <c r="J216" s="82" t="n"/>
      <c r="K216" s="82" t="n"/>
      <c r="L216" s="82" t="n"/>
      <c r="M216" s="83" t="n"/>
      <c r="N216" s="83" t="n"/>
      <c r="O216" s="66">
        <f>IF(OR($M216="",$N216=""),"",$N216-$M216)</f>
        <v/>
      </c>
      <c r="P216" s="84">
        <f>IF($J216="","",IF($L216&lt;&gt;"",$L216-$J216,TODAY()-$J216))</f>
        <v/>
      </c>
      <c r="Q216" s="85">
        <f>IF(OR($K216="",$H216="Completed",$H216="Cancelled"),"",IF(AND($K216&lt;TODAY(),$H216&lt;&gt;"Completed",$H216&lt;&gt;"Cancelled"),"Overdue","On Track"))</f>
        <v/>
      </c>
      <c r="R216" s="81" t="n"/>
      <c r="S216" s="81">
        <f>IF($B216="","",IFERROR(INDEX(Task_Tracker!$AA$5:$AA$1004,MATCH($B216,Task_Tracker!$A$5:$A$1004,0)),""))</f>
        <v/>
      </c>
      <c r="T216" s="81">
        <f>IF($B216="","",IFERROR(INDEX(Task_Tracker!$AB$5:$AB$1004,MATCH($B216,Task_Tracker!$A$5:$A$1004,0)),""))</f>
        <v/>
      </c>
      <c r="U216" s="78">
        <f>IF($B216="","",IFERROR(INDEX(Task_Tracker!$F$5:$F$1004,MATCH($B216,Task_Tracker!$A$5:$A$1004,0)),""))</f>
        <v/>
      </c>
      <c r="V216" s="78">
        <f>IF($B216="","",IFERROR(INDEX(Task_Tracker!$I$5:$I$1004,MATCH($B216,Task_Tracker!$A$5:$A$1004,0)),""))</f>
        <v/>
      </c>
      <c r="W216" s="81">
        <f>IF(OR($D216="",$B216=""),"",$D216&amp;" | "&amp;$B216)</f>
        <v/>
      </c>
      <c r="X216" s="85">
        <f>IF($K216="","",TEXT($K216,"yyyy-mm"))</f>
        <v/>
      </c>
      <c r="Y216" s="81">
        <f>IF(OR($A216="",$T216=""),"","Included in Manager_Report")</f>
        <v/>
      </c>
    </row>
    <row r="217" ht="15" customHeight="1" s="40">
      <c r="A217" s="65">
        <f>IF(COUNTA(B217:G217)=0,"","STP-"&amp;TEXT(ROW()-4,"0000"))</f>
        <v/>
      </c>
      <c r="B217" s="78" t="n"/>
      <c r="C217" s="67">
        <f>IF($B217="","",IFERROR(INDEX(Task_Tracker!$D$5:$D$1004,MATCH($B217,Task_Tracker!$A$5:$A$1004,0)),""))</f>
        <v/>
      </c>
      <c r="D217" s="67">
        <f>IF($B217="","",IFERROR(INDEX(Task_Tracker!$B$5:$B$1004,MATCH($B217,Task_Tracker!$A$5:$A$1004,0)),""))</f>
        <v/>
      </c>
      <c r="E217" s="81" t="n"/>
      <c r="F217" s="81" t="n"/>
      <c r="G217" s="78" t="n"/>
      <c r="H217" s="78" t="n"/>
      <c r="I217" s="67">
        <f>IF($H217="","",IFERROR(INDEX(Action_Status_Map!$B$5:$B$11,MATCH($H217,Action_Status_Map!$A$5:$A$11,0)),""))</f>
        <v/>
      </c>
      <c r="J217" s="82" t="n"/>
      <c r="K217" s="82" t="n"/>
      <c r="L217" s="82" t="n"/>
      <c r="M217" s="83" t="n"/>
      <c r="N217" s="83" t="n"/>
      <c r="O217" s="66">
        <f>IF(OR($M217="",$N217=""),"",$N217-$M217)</f>
        <v/>
      </c>
      <c r="P217" s="84">
        <f>IF($J217="","",IF($L217&lt;&gt;"",$L217-$J217,TODAY()-$J217))</f>
        <v/>
      </c>
      <c r="Q217" s="85">
        <f>IF(OR($K217="",$H217="Completed",$H217="Cancelled"),"",IF(AND($K217&lt;TODAY(),$H217&lt;&gt;"Completed",$H217&lt;&gt;"Cancelled"),"Overdue","On Track"))</f>
        <v/>
      </c>
      <c r="R217" s="81" t="n"/>
      <c r="S217" s="81">
        <f>IF($B217="","",IFERROR(INDEX(Task_Tracker!$AA$5:$AA$1004,MATCH($B217,Task_Tracker!$A$5:$A$1004,0)),""))</f>
        <v/>
      </c>
      <c r="T217" s="81">
        <f>IF($B217="","",IFERROR(INDEX(Task_Tracker!$AB$5:$AB$1004,MATCH($B217,Task_Tracker!$A$5:$A$1004,0)),""))</f>
        <v/>
      </c>
      <c r="U217" s="78">
        <f>IF($B217="","",IFERROR(INDEX(Task_Tracker!$F$5:$F$1004,MATCH($B217,Task_Tracker!$A$5:$A$1004,0)),""))</f>
        <v/>
      </c>
      <c r="V217" s="78">
        <f>IF($B217="","",IFERROR(INDEX(Task_Tracker!$I$5:$I$1004,MATCH($B217,Task_Tracker!$A$5:$A$1004,0)),""))</f>
        <v/>
      </c>
      <c r="W217" s="81">
        <f>IF(OR($D217="",$B217=""),"",$D217&amp;" | "&amp;$B217)</f>
        <v/>
      </c>
      <c r="X217" s="85">
        <f>IF($K217="","",TEXT($K217,"yyyy-mm"))</f>
        <v/>
      </c>
      <c r="Y217" s="81">
        <f>IF(OR($A217="",$T217=""),"","Included in Manager_Report")</f>
        <v/>
      </c>
    </row>
    <row r="218" ht="15" customHeight="1" s="40">
      <c r="A218" s="65">
        <f>IF(COUNTA(B218:G218)=0,"","STP-"&amp;TEXT(ROW()-4,"0000"))</f>
        <v/>
      </c>
      <c r="B218" s="78" t="n"/>
      <c r="C218" s="67">
        <f>IF($B218="","",IFERROR(INDEX(Task_Tracker!$D$5:$D$1004,MATCH($B218,Task_Tracker!$A$5:$A$1004,0)),""))</f>
        <v/>
      </c>
      <c r="D218" s="67">
        <f>IF($B218="","",IFERROR(INDEX(Task_Tracker!$B$5:$B$1004,MATCH($B218,Task_Tracker!$A$5:$A$1004,0)),""))</f>
        <v/>
      </c>
      <c r="E218" s="81" t="n"/>
      <c r="F218" s="81" t="n"/>
      <c r="G218" s="78" t="n"/>
      <c r="H218" s="78" t="n"/>
      <c r="I218" s="67">
        <f>IF($H218="","",IFERROR(INDEX(Action_Status_Map!$B$5:$B$11,MATCH($H218,Action_Status_Map!$A$5:$A$11,0)),""))</f>
        <v/>
      </c>
      <c r="J218" s="82" t="n"/>
      <c r="K218" s="82" t="n"/>
      <c r="L218" s="82" t="n"/>
      <c r="M218" s="83" t="n"/>
      <c r="N218" s="83" t="n"/>
      <c r="O218" s="66">
        <f>IF(OR($M218="",$N218=""),"",$N218-$M218)</f>
        <v/>
      </c>
      <c r="P218" s="84">
        <f>IF($J218="","",IF($L218&lt;&gt;"",$L218-$J218,TODAY()-$J218))</f>
        <v/>
      </c>
      <c r="Q218" s="85">
        <f>IF(OR($K218="",$H218="Completed",$H218="Cancelled"),"",IF(AND($K218&lt;TODAY(),$H218&lt;&gt;"Completed",$H218&lt;&gt;"Cancelled"),"Overdue","On Track"))</f>
        <v/>
      </c>
      <c r="R218" s="81" t="n"/>
      <c r="S218" s="81">
        <f>IF($B218="","",IFERROR(INDEX(Task_Tracker!$AA$5:$AA$1004,MATCH($B218,Task_Tracker!$A$5:$A$1004,0)),""))</f>
        <v/>
      </c>
      <c r="T218" s="81">
        <f>IF($B218="","",IFERROR(INDEX(Task_Tracker!$AB$5:$AB$1004,MATCH($B218,Task_Tracker!$A$5:$A$1004,0)),""))</f>
        <v/>
      </c>
      <c r="U218" s="78">
        <f>IF($B218="","",IFERROR(INDEX(Task_Tracker!$F$5:$F$1004,MATCH($B218,Task_Tracker!$A$5:$A$1004,0)),""))</f>
        <v/>
      </c>
      <c r="V218" s="78">
        <f>IF($B218="","",IFERROR(INDEX(Task_Tracker!$I$5:$I$1004,MATCH($B218,Task_Tracker!$A$5:$A$1004,0)),""))</f>
        <v/>
      </c>
      <c r="W218" s="81">
        <f>IF(OR($D218="",$B218=""),"",$D218&amp;" | "&amp;$B218)</f>
        <v/>
      </c>
      <c r="X218" s="85">
        <f>IF($K218="","",TEXT($K218,"yyyy-mm"))</f>
        <v/>
      </c>
      <c r="Y218" s="81">
        <f>IF(OR($A218="",$T218=""),"","Included in Manager_Report")</f>
        <v/>
      </c>
    </row>
    <row r="219" ht="15" customHeight="1" s="40">
      <c r="A219" s="65">
        <f>IF(COUNTA(B219:G219)=0,"","STP-"&amp;TEXT(ROW()-4,"0000"))</f>
        <v/>
      </c>
      <c r="B219" s="78" t="n"/>
      <c r="C219" s="67">
        <f>IF($B219="","",IFERROR(INDEX(Task_Tracker!$D$5:$D$1004,MATCH($B219,Task_Tracker!$A$5:$A$1004,0)),""))</f>
        <v/>
      </c>
      <c r="D219" s="67">
        <f>IF($B219="","",IFERROR(INDEX(Task_Tracker!$B$5:$B$1004,MATCH($B219,Task_Tracker!$A$5:$A$1004,0)),""))</f>
        <v/>
      </c>
      <c r="E219" s="81" t="n"/>
      <c r="F219" s="81" t="n"/>
      <c r="G219" s="78" t="n"/>
      <c r="H219" s="78" t="n"/>
      <c r="I219" s="67">
        <f>IF($H219="","",IFERROR(INDEX(Action_Status_Map!$B$5:$B$11,MATCH($H219,Action_Status_Map!$A$5:$A$11,0)),""))</f>
        <v/>
      </c>
      <c r="J219" s="82" t="n"/>
      <c r="K219" s="82" t="n"/>
      <c r="L219" s="82" t="n"/>
      <c r="M219" s="83" t="n"/>
      <c r="N219" s="83" t="n"/>
      <c r="O219" s="66">
        <f>IF(OR($M219="",$N219=""),"",$N219-$M219)</f>
        <v/>
      </c>
      <c r="P219" s="84">
        <f>IF($J219="","",IF($L219&lt;&gt;"",$L219-$J219,TODAY()-$J219))</f>
        <v/>
      </c>
      <c r="Q219" s="85">
        <f>IF(OR($K219="",$H219="Completed",$H219="Cancelled"),"",IF(AND($K219&lt;TODAY(),$H219&lt;&gt;"Completed",$H219&lt;&gt;"Cancelled"),"Overdue","On Track"))</f>
        <v/>
      </c>
      <c r="R219" s="81" t="n"/>
      <c r="S219" s="81">
        <f>IF($B219="","",IFERROR(INDEX(Task_Tracker!$AA$5:$AA$1004,MATCH($B219,Task_Tracker!$A$5:$A$1004,0)),""))</f>
        <v/>
      </c>
      <c r="T219" s="81">
        <f>IF($B219="","",IFERROR(INDEX(Task_Tracker!$AB$5:$AB$1004,MATCH($B219,Task_Tracker!$A$5:$A$1004,0)),""))</f>
        <v/>
      </c>
      <c r="U219" s="78">
        <f>IF($B219="","",IFERROR(INDEX(Task_Tracker!$F$5:$F$1004,MATCH($B219,Task_Tracker!$A$5:$A$1004,0)),""))</f>
        <v/>
      </c>
      <c r="V219" s="78">
        <f>IF($B219="","",IFERROR(INDEX(Task_Tracker!$I$5:$I$1004,MATCH($B219,Task_Tracker!$A$5:$A$1004,0)),""))</f>
        <v/>
      </c>
      <c r="W219" s="81">
        <f>IF(OR($D219="",$B219=""),"",$D219&amp;" | "&amp;$B219)</f>
        <v/>
      </c>
      <c r="X219" s="85">
        <f>IF($K219="","",TEXT($K219,"yyyy-mm"))</f>
        <v/>
      </c>
      <c r="Y219" s="81">
        <f>IF(OR($A219="",$T219=""),"","Included in Manager_Report")</f>
        <v/>
      </c>
    </row>
    <row r="220" ht="15" customHeight="1" s="40">
      <c r="A220" s="65">
        <f>IF(COUNTA(B220:G220)=0,"","STP-"&amp;TEXT(ROW()-4,"0000"))</f>
        <v/>
      </c>
      <c r="B220" s="78" t="n"/>
      <c r="C220" s="67">
        <f>IF($B220="","",IFERROR(INDEX(Task_Tracker!$D$5:$D$1004,MATCH($B220,Task_Tracker!$A$5:$A$1004,0)),""))</f>
        <v/>
      </c>
      <c r="D220" s="67">
        <f>IF($B220="","",IFERROR(INDEX(Task_Tracker!$B$5:$B$1004,MATCH($B220,Task_Tracker!$A$5:$A$1004,0)),""))</f>
        <v/>
      </c>
      <c r="E220" s="81" t="n"/>
      <c r="F220" s="81" t="n"/>
      <c r="G220" s="78" t="n"/>
      <c r="H220" s="78" t="n"/>
      <c r="I220" s="67">
        <f>IF($H220="","",IFERROR(INDEX(Action_Status_Map!$B$5:$B$11,MATCH($H220,Action_Status_Map!$A$5:$A$11,0)),""))</f>
        <v/>
      </c>
      <c r="J220" s="82" t="n"/>
      <c r="K220" s="82" t="n"/>
      <c r="L220" s="82" t="n"/>
      <c r="M220" s="83" t="n"/>
      <c r="N220" s="83" t="n"/>
      <c r="O220" s="66">
        <f>IF(OR($M220="",$N220=""),"",$N220-$M220)</f>
        <v/>
      </c>
      <c r="P220" s="84">
        <f>IF($J220="","",IF($L220&lt;&gt;"",$L220-$J220,TODAY()-$J220))</f>
        <v/>
      </c>
      <c r="Q220" s="85">
        <f>IF(OR($K220="",$H220="Completed",$H220="Cancelled"),"",IF(AND($K220&lt;TODAY(),$H220&lt;&gt;"Completed",$H220&lt;&gt;"Cancelled"),"Overdue","On Track"))</f>
        <v/>
      </c>
      <c r="R220" s="81" t="n"/>
      <c r="S220" s="81">
        <f>IF($B220="","",IFERROR(INDEX(Task_Tracker!$AA$5:$AA$1004,MATCH($B220,Task_Tracker!$A$5:$A$1004,0)),""))</f>
        <v/>
      </c>
      <c r="T220" s="81">
        <f>IF($B220="","",IFERROR(INDEX(Task_Tracker!$AB$5:$AB$1004,MATCH($B220,Task_Tracker!$A$5:$A$1004,0)),""))</f>
        <v/>
      </c>
      <c r="U220" s="78">
        <f>IF($B220="","",IFERROR(INDEX(Task_Tracker!$F$5:$F$1004,MATCH($B220,Task_Tracker!$A$5:$A$1004,0)),""))</f>
        <v/>
      </c>
      <c r="V220" s="78">
        <f>IF($B220="","",IFERROR(INDEX(Task_Tracker!$I$5:$I$1004,MATCH($B220,Task_Tracker!$A$5:$A$1004,0)),""))</f>
        <v/>
      </c>
      <c r="W220" s="81">
        <f>IF(OR($D220="",$B220=""),"",$D220&amp;" | "&amp;$B220)</f>
        <v/>
      </c>
      <c r="X220" s="85">
        <f>IF($K220="","",TEXT($K220,"yyyy-mm"))</f>
        <v/>
      </c>
      <c r="Y220" s="81">
        <f>IF(OR($A220="",$T220=""),"","Included in Manager_Report")</f>
        <v/>
      </c>
    </row>
    <row r="221" ht="15" customHeight="1" s="40">
      <c r="A221" s="65">
        <f>IF(COUNTA(B221:G221)=0,"","STP-"&amp;TEXT(ROW()-4,"0000"))</f>
        <v/>
      </c>
      <c r="B221" s="78" t="n"/>
      <c r="C221" s="67">
        <f>IF($B221="","",IFERROR(INDEX(Task_Tracker!$D$5:$D$1004,MATCH($B221,Task_Tracker!$A$5:$A$1004,0)),""))</f>
        <v/>
      </c>
      <c r="D221" s="67">
        <f>IF($B221="","",IFERROR(INDEX(Task_Tracker!$B$5:$B$1004,MATCH($B221,Task_Tracker!$A$5:$A$1004,0)),""))</f>
        <v/>
      </c>
      <c r="E221" s="81" t="n"/>
      <c r="F221" s="81" t="n"/>
      <c r="G221" s="78" t="n"/>
      <c r="H221" s="78" t="n"/>
      <c r="I221" s="67">
        <f>IF($H221="","",IFERROR(INDEX(Action_Status_Map!$B$5:$B$11,MATCH($H221,Action_Status_Map!$A$5:$A$11,0)),""))</f>
        <v/>
      </c>
      <c r="J221" s="82" t="n"/>
      <c r="K221" s="82" t="n"/>
      <c r="L221" s="82" t="n"/>
      <c r="M221" s="83" t="n"/>
      <c r="N221" s="83" t="n"/>
      <c r="O221" s="66">
        <f>IF(OR($M221="",$N221=""),"",$N221-$M221)</f>
        <v/>
      </c>
      <c r="P221" s="84">
        <f>IF($J221="","",IF($L221&lt;&gt;"",$L221-$J221,TODAY()-$J221))</f>
        <v/>
      </c>
      <c r="Q221" s="85">
        <f>IF(OR($K221="",$H221="Completed",$H221="Cancelled"),"",IF(AND($K221&lt;TODAY(),$H221&lt;&gt;"Completed",$H221&lt;&gt;"Cancelled"),"Overdue","On Track"))</f>
        <v/>
      </c>
      <c r="R221" s="81" t="n"/>
      <c r="S221" s="81">
        <f>IF($B221="","",IFERROR(INDEX(Task_Tracker!$AA$5:$AA$1004,MATCH($B221,Task_Tracker!$A$5:$A$1004,0)),""))</f>
        <v/>
      </c>
      <c r="T221" s="81">
        <f>IF($B221="","",IFERROR(INDEX(Task_Tracker!$AB$5:$AB$1004,MATCH($B221,Task_Tracker!$A$5:$A$1004,0)),""))</f>
        <v/>
      </c>
      <c r="U221" s="78">
        <f>IF($B221="","",IFERROR(INDEX(Task_Tracker!$F$5:$F$1004,MATCH($B221,Task_Tracker!$A$5:$A$1004,0)),""))</f>
        <v/>
      </c>
      <c r="V221" s="78">
        <f>IF($B221="","",IFERROR(INDEX(Task_Tracker!$I$5:$I$1004,MATCH($B221,Task_Tracker!$A$5:$A$1004,0)),""))</f>
        <v/>
      </c>
      <c r="W221" s="81">
        <f>IF(OR($D221="",$B221=""),"",$D221&amp;" | "&amp;$B221)</f>
        <v/>
      </c>
      <c r="X221" s="85">
        <f>IF($K221="","",TEXT($K221,"yyyy-mm"))</f>
        <v/>
      </c>
      <c r="Y221" s="81">
        <f>IF(OR($A221="",$T221=""),"","Included in Manager_Report")</f>
        <v/>
      </c>
    </row>
    <row r="222" ht="15" customHeight="1" s="40">
      <c r="A222" s="65">
        <f>IF(COUNTA(B222:G222)=0,"","STP-"&amp;TEXT(ROW()-4,"0000"))</f>
        <v/>
      </c>
      <c r="B222" s="78" t="n"/>
      <c r="C222" s="67">
        <f>IF($B222="","",IFERROR(INDEX(Task_Tracker!$D$5:$D$1004,MATCH($B222,Task_Tracker!$A$5:$A$1004,0)),""))</f>
        <v/>
      </c>
      <c r="D222" s="67">
        <f>IF($B222="","",IFERROR(INDEX(Task_Tracker!$B$5:$B$1004,MATCH($B222,Task_Tracker!$A$5:$A$1004,0)),""))</f>
        <v/>
      </c>
      <c r="E222" s="81" t="n"/>
      <c r="F222" s="81" t="n"/>
      <c r="G222" s="78" t="n"/>
      <c r="H222" s="78" t="n"/>
      <c r="I222" s="67">
        <f>IF($H222="","",IFERROR(INDEX(Action_Status_Map!$B$5:$B$11,MATCH($H222,Action_Status_Map!$A$5:$A$11,0)),""))</f>
        <v/>
      </c>
      <c r="J222" s="82" t="n"/>
      <c r="K222" s="82" t="n"/>
      <c r="L222" s="82" t="n"/>
      <c r="M222" s="83" t="n"/>
      <c r="N222" s="83" t="n"/>
      <c r="O222" s="66">
        <f>IF(OR($M222="",$N222=""),"",$N222-$M222)</f>
        <v/>
      </c>
      <c r="P222" s="84">
        <f>IF($J222="","",IF($L222&lt;&gt;"",$L222-$J222,TODAY()-$J222))</f>
        <v/>
      </c>
      <c r="Q222" s="85">
        <f>IF(OR($K222="",$H222="Completed",$H222="Cancelled"),"",IF(AND($K222&lt;TODAY(),$H222&lt;&gt;"Completed",$H222&lt;&gt;"Cancelled"),"Overdue","On Track"))</f>
        <v/>
      </c>
      <c r="R222" s="81" t="n"/>
      <c r="S222" s="81">
        <f>IF($B222="","",IFERROR(INDEX(Task_Tracker!$AA$5:$AA$1004,MATCH($B222,Task_Tracker!$A$5:$A$1004,0)),""))</f>
        <v/>
      </c>
      <c r="T222" s="81">
        <f>IF($B222="","",IFERROR(INDEX(Task_Tracker!$AB$5:$AB$1004,MATCH($B222,Task_Tracker!$A$5:$A$1004,0)),""))</f>
        <v/>
      </c>
      <c r="U222" s="78">
        <f>IF($B222="","",IFERROR(INDEX(Task_Tracker!$F$5:$F$1004,MATCH($B222,Task_Tracker!$A$5:$A$1004,0)),""))</f>
        <v/>
      </c>
      <c r="V222" s="78">
        <f>IF($B222="","",IFERROR(INDEX(Task_Tracker!$I$5:$I$1004,MATCH($B222,Task_Tracker!$A$5:$A$1004,0)),""))</f>
        <v/>
      </c>
      <c r="W222" s="81">
        <f>IF(OR($D222="",$B222=""),"",$D222&amp;" | "&amp;$B222)</f>
        <v/>
      </c>
      <c r="X222" s="85">
        <f>IF($K222="","",TEXT($K222,"yyyy-mm"))</f>
        <v/>
      </c>
      <c r="Y222" s="81">
        <f>IF(OR($A222="",$T222=""),"","Included in Manager_Report")</f>
        <v/>
      </c>
    </row>
    <row r="223" ht="15" customHeight="1" s="40">
      <c r="A223" s="65">
        <f>IF(COUNTA(B223:G223)=0,"","STP-"&amp;TEXT(ROW()-4,"0000"))</f>
        <v/>
      </c>
      <c r="B223" s="78" t="n"/>
      <c r="C223" s="67">
        <f>IF($B223="","",IFERROR(INDEX(Task_Tracker!$D$5:$D$1004,MATCH($B223,Task_Tracker!$A$5:$A$1004,0)),""))</f>
        <v/>
      </c>
      <c r="D223" s="67">
        <f>IF($B223="","",IFERROR(INDEX(Task_Tracker!$B$5:$B$1004,MATCH($B223,Task_Tracker!$A$5:$A$1004,0)),""))</f>
        <v/>
      </c>
      <c r="E223" s="81" t="n"/>
      <c r="F223" s="81" t="n"/>
      <c r="G223" s="78" t="n"/>
      <c r="H223" s="78" t="n"/>
      <c r="I223" s="67">
        <f>IF($H223="","",IFERROR(INDEX(Action_Status_Map!$B$5:$B$11,MATCH($H223,Action_Status_Map!$A$5:$A$11,0)),""))</f>
        <v/>
      </c>
      <c r="J223" s="82" t="n"/>
      <c r="K223" s="82" t="n"/>
      <c r="L223" s="82" t="n"/>
      <c r="M223" s="83" t="n"/>
      <c r="N223" s="83" t="n"/>
      <c r="O223" s="66">
        <f>IF(OR($M223="",$N223=""),"",$N223-$M223)</f>
        <v/>
      </c>
      <c r="P223" s="84">
        <f>IF($J223="","",IF($L223&lt;&gt;"",$L223-$J223,TODAY()-$J223))</f>
        <v/>
      </c>
      <c r="Q223" s="85">
        <f>IF(OR($K223="",$H223="Completed",$H223="Cancelled"),"",IF(AND($K223&lt;TODAY(),$H223&lt;&gt;"Completed",$H223&lt;&gt;"Cancelled"),"Overdue","On Track"))</f>
        <v/>
      </c>
      <c r="R223" s="81" t="n"/>
      <c r="S223" s="81">
        <f>IF($B223="","",IFERROR(INDEX(Task_Tracker!$AA$5:$AA$1004,MATCH($B223,Task_Tracker!$A$5:$A$1004,0)),""))</f>
        <v/>
      </c>
      <c r="T223" s="81">
        <f>IF($B223="","",IFERROR(INDEX(Task_Tracker!$AB$5:$AB$1004,MATCH($B223,Task_Tracker!$A$5:$A$1004,0)),""))</f>
        <v/>
      </c>
      <c r="U223" s="78">
        <f>IF($B223="","",IFERROR(INDEX(Task_Tracker!$F$5:$F$1004,MATCH($B223,Task_Tracker!$A$5:$A$1004,0)),""))</f>
        <v/>
      </c>
      <c r="V223" s="78">
        <f>IF($B223="","",IFERROR(INDEX(Task_Tracker!$I$5:$I$1004,MATCH($B223,Task_Tracker!$A$5:$A$1004,0)),""))</f>
        <v/>
      </c>
      <c r="W223" s="81">
        <f>IF(OR($D223="",$B223=""),"",$D223&amp;" | "&amp;$B223)</f>
        <v/>
      </c>
      <c r="X223" s="85">
        <f>IF($K223="","",TEXT($K223,"yyyy-mm"))</f>
        <v/>
      </c>
      <c r="Y223" s="81">
        <f>IF(OR($A223="",$T223=""),"","Included in Manager_Report")</f>
        <v/>
      </c>
    </row>
    <row r="224" ht="15" customHeight="1" s="40">
      <c r="A224" s="65">
        <f>IF(COUNTA(B224:G224)=0,"","STP-"&amp;TEXT(ROW()-4,"0000"))</f>
        <v/>
      </c>
      <c r="B224" s="78" t="n"/>
      <c r="C224" s="67">
        <f>IF($B224="","",IFERROR(INDEX(Task_Tracker!$D$5:$D$1004,MATCH($B224,Task_Tracker!$A$5:$A$1004,0)),""))</f>
        <v/>
      </c>
      <c r="D224" s="67">
        <f>IF($B224="","",IFERROR(INDEX(Task_Tracker!$B$5:$B$1004,MATCH($B224,Task_Tracker!$A$5:$A$1004,0)),""))</f>
        <v/>
      </c>
      <c r="E224" s="81" t="n"/>
      <c r="F224" s="81" t="n"/>
      <c r="G224" s="78" t="n"/>
      <c r="H224" s="78" t="n"/>
      <c r="I224" s="67">
        <f>IF($H224="","",IFERROR(INDEX(Action_Status_Map!$B$5:$B$11,MATCH($H224,Action_Status_Map!$A$5:$A$11,0)),""))</f>
        <v/>
      </c>
      <c r="J224" s="82" t="n"/>
      <c r="K224" s="82" t="n"/>
      <c r="L224" s="82" t="n"/>
      <c r="M224" s="83" t="n"/>
      <c r="N224" s="83" t="n"/>
      <c r="O224" s="66">
        <f>IF(OR($M224="",$N224=""),"",$N224-$M224)</f>
        <v/>
      </c>
      <c r="P224" s="84">
        <f>IF($J224="","",IF($L224&lt;&gt;"",$L224-$J224,TODAY()-$J224))</f>
        <v/>
      </c>
      <c r="Q224" s="85">
        <f>IF(OR($K224="",$H224="Completed",$H224="Cancelled"),"",IF(AND($K224&lt;TODAY(),$H224&lt;&gt;"Completed",$H224&lt;&gt;"Cancelled"),"Overdue","On Track"))</f>
        <v/>
      </c>
      <c r="R224" s="81" t="n"/>
      <c r="S224" s="81">
        <f>IF($B224="","",IFERROR(INDEX(Task_Tracker!$AA$5:$AA$1004,MATCH($B224,Task_Tracker!$A$5:$A$1004,0)),""))</f>
        <v/>
      </c>
      <c r="T224" s="81">
        <f>IF($B224="","",IFERROR(INDEX(Task_Tracker!$AB$5:$AB$1004,MATCH($B224,Task_Tracker!$A$5:$A$1004,0)),""))</f>
        <v/>
      </c>
      <c r="U224" s="78">
        <f>IF($B224="","",IFERROR(INDEX(Task_Tracker!$F$5:$F$1004,MATCH($B224,Task_Tracker!$A$5:$A$1004,0)),""))</f>
        <v/>
      </c>
      <c r="V224" s="78">
        <f>IF($B224="","",IFERROR(INDEX(Task_Tracker!$I$5:$I$1004,MATCH($B224,Task_Tracker!$A$5:$A$1004,0)),""))</f>
        <v/>
      </c>
      <c r="W224" s="81">
        <f>IF(OR($D224="",$B224=""),"",$D224&amp;" | "&amp;$B224)</f>
        <v/>
      </c>
      <c r="X224" s="85">
        <f>IF($K224="","",TEXT($K224,"yyyy-mm"))</f>
        <v/>
      </c>
      <c r="Y224" s="81">
        <f>IF(OR($A224="",$T224=""),"","Included in Manager_Report")</f>
        <v/>
      </c>
    </row>
    <row r="225" ht="15" customHeight="1" s="40">
      <c r="A225" s="65">
        <f>IF(COUNTA(B225:G225)=0,"","STP-"&amp;TEXT(ROW()-4,"0000"))</f>
        <v/>
      </c>
      <c r="B225" s="78" t="n"/>
      <c r="C225" s="67">
        <f>IF($B225="","",IFERROR(INDEX(Task_Tracker!$D$5:$D$1004,MATCH($B225,Task_Tracker!$A$5:$A$1004,0)),""))</f>
        <v/>
      </c>
      <c r="D225" s="67">
        <f>IF($B225="","",IFERROR(INDEX(Task_Tracker!$B$5:$B$1004,MATCH($B225,Task_Tracker!$A$5:$A$1004,0)),""))</f>
        <v/>
      </c>
      <c r="E225" s="81" t="n"/>
      <c r="F225" s="81" t="n"/>
      <c r="G225" s="78" t="n"/>
      <c r="H225" s="78" t="n"/>
      <c r="I225" s="67">
        <f>IF($H225="","",IFERROR(INDEX(Action_Status_Map!$B$5:$B$11,MATCH($H225,Action_Status_Map!$A$5:$A$11,0)),""))</f>
        <v/>
      </c>
      <c r="J225" s="82" t="n"/>
      <c r="K225" s="82" t="n"/>
      <c r="L225" s="82" t="n"/>
      <c r="M225" s="83" t="n"/>
      <c r="N225" s="83" t="n"/>
      <c r="O225" s="66">
        <f>IF(OR($M225="",$N225=""),"",$N225-$M225)</f>
        <v/>
      </c>
      <c r="P225" s="84">
        <f>IF($J225="","",IF($L225&lt;&gt;"",$L225-$J225,TODAY()-$J225))</f>
        <v/>
      </c>
      <c r="Q225" s="85">
        <f>IF(OR($K225="",$H225="Completed",$H225="Cancelled"),"",IF(AND($K225&lt;TODAY(),$H225&lt;&gt;"Completed",$H225&lt;&gt;"Cancelled"),"Overdue","On Track"))</f>
        <v/>
      </c>
      <c r="R225" s="81" t="n"/>
      <c r="S225" s="81">
        <f>IF($B225="","",IFERROR(INDEX(Task_Tracker!$AA$5:$AA$1004,MATCH($B225,Task_Tracker!$A$5:$A$1004,0)),""))</f>
        <v/>
      </c>
      <c r="T225" s="81">
        <f>IF($B225="","",IFERROR(INDEX(Task_Tracker!$AB$5:$AB$1004,MATCH($B225,Task_Tracker!$A$5:$A$1004,0)),""))</f>
        <v/>
      </c>
      <c r="U225" s="78">
        <f>IF($B225="","",IFERROR(INDEX(Task_Tracker!$F$5:$F$1004,MATCH($B225,Task_Tracker!$A$5:$A$1004,0)),""))</f>
        <v/>
      </c>
      <c r="V225" s="78">
        <f>IF($B225="","",IFERROR(INDEX(Task_Tracker!$I$5:$I$1004,MATCH($B225,Task_Tracker!$A$5:$A$1004,0)),""))</f>
        <v/>
      </c>
      <c r="W225" s="81">
        <f>IF(OR($D225="",$B225=""),"",$D225&amp;" | "&amp;$B225)</f>
        <v/>
      </c>
      <c r="X225" s="85">
        <f>IF($K225="","",TEXT($K225,"yyyy-mm"))</f>
        <v/>
      </c>
      <c r="Y225" s="81">
        <f>IF(OR($A225="",$T225=""),"","Included in Manager_Report")</f>
        <v/>
      </c>
    </row>
    <row r="226" ht="15" customHeight="1" s="40">
      <c r="A226" s="65">
        <f>IF(COUNTA(B226:G226)=0,"","STP-"&amp;TEXT(ROW()-4,"0000"))</f>
        <v/>
      </c>
      <c r="B226" s="78" t="n"/>
      <c r="C226" s="67">
        <f>IF($B226="","",IFERROR(INDEX(Task_Tracker!$D$5:$D$1004,MATCH($B226,Task_Tracker!$A$5:$A$1004,0)),""))</f>
        <v/>
      </c>
      <c r="D226" s="67">
        <f>IF($B226="","",IFERROR(INDEX(Task_Tracker!$B$5:$B$1004,MATCH($B226,Task_Tracker!$A$5:$A$1004,0)),""))</f>
        <v/>
      </c>
      <c r="E226" s="81" t="n"/>
      <c r="F226" s="81" t="n"/>
      <c r="G226" s="78" t="n"/>
      <c r="H226" s="78" t="n"/>
      <c r="I226" s="67">
        <f>IF($H226="","",IFERROR(INDEX(Action_Status_Map!$B$5:$B$11,MATCH($H226,Action_Status_Map!$A$5:$A$11,0)),""))</f>
        <v/>
      </c>
      <c r="J226" s="82" t="n"/>
      <c r="K226" s="82" t="n"/>
      <c r="L226" s="82" t="n"/>
      <c r="M226" s="83" t="n"/>
      <c r="N226" s="83" t="n"/>
      <c r="O226" s="66">
        <f>IF(OR($M226="",$N226=""),"",$N226-$M226)</f>
        <v/>
      </c>
      <c r="P226" s="84">
        <f>IF($J226="","",IF($L226&lt;&gt;"",$L226-$J226,TODAY()-$J226))</f>
        <v/>
      </c>
      <c r="Q226" s="85">
        <f>IF(OR($K226="",$H226="Completed",$H226="Cancelled"),"",IF(AND($K226&lt;TODAY(),$H226&lt;&gt;"Completed",$H226&lt;&gt;"Cancelled"),"Overdue","On Track"))</f>
        <v/>
      </c>
      <c r="R226" s="81" t="n"/>
      <c r="S226" s="81">
        <f>IF($B226="","",IFERROR(INDEX(Task_Tracker!$AA$5:$AA$1004,MATCH($B226,Task_Tracker!$A$5:$A$1004,0)),""))</f>
        <v/>
      </c>
      <c r="T226" s="81">
        <f>IF($B226="","",IFERROR(INDEX(Task_Tracker!$AB$5:$AB$1004,MATCH($B226,Task_Tracker!$A$5:$A$1004,0)),""))</f>
        <v/>
      </c>
      <c r="U226" s="78">
        <f>IF($B226="","",IFERROR(INDEX(Task_Tracker!$F$5:$F$1004,MATCH($B226,Task_Tracker!$A$5:$A$1004,0)),""))</f>
        <v/>
      </c>
      <c r="V226" s="78">
        <f>IF($B226="","",IFERROR(INDEX(Task_Tracker!$I$5:$I$1004,MATCH($B226,Task_Tracker!$A$5:$A$1004,0)),""))</f>
        <v/>
      </c>
      <c r="W226" s="81">
        <f>IF(OR($D226="",$B226=""),"",$D226&amp;" | "&amp;$B226)</f>
        <v/>
      </c>
      <c r="X226" s="85">
        <f>IF($K226="","",TEXT($K226,"yyyy-mm"))</f>
        <v/>
      </c>
      <c r="Y226" s="81">
        <f>IF(OR($A226="",$T226=""),"","Included in Manager_Report")</f>
        <v/>
      </c>
    </row>
    <row r="227" ht="15" customHeight="1" s="40">
      <c r="A227" s="65">
        <f>IF(COUNTA(B227:G227)=0,"","STP-"&amp;TEXT(ROW()-4,"0000"))</f>
        <v/>
      </c>
      <c r="B227" s="78" t="n"/>
      <c r="C227" s="67">
        <f>IF($B227="","",IFERROR(INDEX(Task_Tracker!$D$5:$D$1004,MATCH($B227,Task_Tracker!$A$5:$A$1004,0)),""))</f>
        <v/>
      </c>
      <c r="D227" s="67">
        <f>IF($B227="","",IFERROR(INDEX(Task_Tracker!$B$5:$B$1004,MATCH($B227,Task_Tracker!$A$5:$A$1004,0)),""))</f>
        <v/>
      </c>
      <c r="E227" s="81" t="n"/>
      <c r="F227" s="81" t="n"/>
      <c r="G227" s="78" t="n"/>
      <c r="H227" s="78" t="n"/>
      <c r="I227" s="67">
        <f>IF($H227="","",IFERROR(INDEX(Action_Status_Map!$B$5:$B$11,MATCH($H227,Action_Status_Map!$A$5:$A$11,0)),""))</f>
        <v/>
      </c>
      <c r="J227" s="82" t="n"/>
      <c r="K227" s="82" t="n"/>
      <c r="L227" s="82" t="n"/>
      <c r="M227" s="83" t="n"/>
      <c r="N227" s="83" t="n"/>
      <c r="O227" s="66">
        <f>IF(OR($M227="",$N227=""),"",$N227-$M227)</f>
        <v/>
      </c>
      <c r="P227" s="84">
        <f>IF($J227="","",IF($L227&lt;&gt;"",$L227-$J227,TODAY()-$J227))</f>
        <v/>
      </c>
      <c r="Q227" s="85">
        <f>IF(OR($K227="",$H227="Completed",$H227="Cancelled"),"",IF(AND($K227&lt;TODAY(),$H227&lt;&gt;"Completed",$H227&lt;&gt;"Cancelled"),"Overdue","On Track"))</f>
        <v/>
      </c>
      <c r="R227" s="81" t="n"/>
      <c r="S227" s="81">
        <f>IF($B227="","",IFERROR(INDEX(Task_Tracker!$AA$5:$AA$1004,MATCH($B227,Task_Tracker!$A$5:$A$1004,0)),""))</f>
        <v/>
      </c>
      <c r="T227" s="81">
        <f>IF($B227="","",IFERROR(INDEX(Task_Tracker!$AB$5:$AB$1004,MATCH($B227,Task_Tracker!$A$5:$A$1004,0)),""))</f>
        <v/>
      </c>
      <c r="U227" s="78">
        <f>IF($B227="","",IFERROR(INDEX(Task_Tracker!$F$5:$F$1004,MATCH($B227,Task_Tracker!$A$5:$A$1004,0)),""))</f>
        <v/>
      </c>
      <c r="V227" s="78">
        <f>IF($B227="","",IFERROR(INDEX(Task_Tracker!$I$5:$I$1004,MATCH($B227,Task_Tracker!$A$5:$A$1004,0)),""))</f>
        <v/>
      </c>
      <c r="W227" s="81">
        <f>IF(OR($D227="",$B227=""),"",$D227&amp;" | "&amp;$B227)</f>
        <v/>
      </c>
      <c r="X227" s="85">
        <f>IF($K227="","",TEXT($K227,"yyyy-mm"))</f>
        <v/>
      </c>
      <c r="Y227" s="81">
        <f>IF(OR($A227="",$T227=""),"","Included in Manager_Report")</f>
        <v/>
      </c>
    </row>
    <row r="228" ht="15" customHeight="1" s="40">
      <c r="A228" s="65">
        <f>IF(COUNTA(B228:G228)=0,"","STP-"&amp;TEXT(ROW()-4,"0000"))</f>
        <v/>
      </c>
      <c r="B228" s="78" t="n"/>
      <c r="C228" s="67">
        <f>IF($B228="","",IFERROR(INDEX(Task_Tracker!$D$5:$D$1004,MATCH($B228,Task_Tracker!$A$5:$A$1004,0)),""))</f>
        <v/>
      </c>
      <c r="D228" s="67">
        <f>IF($B228="","",IFERROR(INDEX(Task_Tracker!$B$5:$B$1004,MATCH($B228,Task_Tracker!$A$5:$A$1004,0)),""))</f>
        <v/>
      </c>
      <c r="E228" s="81" t="n"/>
      <c r="F228" s="81" t="n"/>
      <c r="G228" s="78" t="n"/>
      <c r="H228" s="78" t="n"/>
      <c r="I228" s="67">
        <f>IF($H228="","",IFERROR(INDEX(Action_Status_Map!$B$5:$B$11,MATCH($H228,Action_Status_Map!$A$5:$A$11,0)),""))</f>
        <v/>
      </c>
      <c r="J228" s="82" t="n"/>
      <c r="K228" s="82" t="n"/>
      <c r="L228" s="82" t="n"/>
      <c r="M228" s="83" t="n"/>
      <c r="N228" s="83" t="n"/>
      <c r="O228" s="66">
        <f>IF(OR($M228="",$N228=""),"",$N228-$M228)</f>
        <v/>
      </c>
      <c r="P228" s="84">
        <f>IF($J228="","",IF($L228&lt;&gt;"",$L228-$J228,TODAY()-$J228))</f>
        <v/>
      </c>
      <c r="Q228" s="85">
        <f>IF(OR($K228="",$H228="Completed",$H228="Cancelled"),"",IF(AND($K228&lt;TODAY(),$H228&lt;&gt;"Completed",$H228&lt;&gt;"Cancelled"),"Overdue","On Track"))</f>
        <v/>
      </c>
      <c r="R228" s="81" t="n"/>
      <c r="S228" s="81">
        <f>IF($B228="","",IFERROR(INDEX(Task_Tracker!$AA$5:$AA$1004,MATCH($B228,Task_Tracker!$A$5:$A$1004,0)),""))</f>
        <v/>
      </c>
      <c r="T228" s="81">
        <f>IF($B228="","",IFERROR(INDEX(Task_Tracker!$AB$5:$AB$1004,MATCH($B228,Task_Tracker!$A$5:$A$1004,0)),""))</f>
        <v/>
      </c>
      <c r="U228" s="78">
        <f>IF($B228="","",IFERROR(INDEX(Task_Tracker!$F$5:$F$1004,MATCH($B228,Task_Tracker!$A$5:$A$1004,0)),""))</f>
        <v/>
      </c>
      <c r="V228" s="78">
        <f>IF($B228="","",IFERROR(INDEX(Task_Tracker!$I$5:$I$1004,MATCH($B228,Task_Tracker!$A$5:$A$1004,0)),""))</f>
        <v/>
      </c>
      <c r="W228" s="81">
        <f>IF(OR($D228="",$B228=""),"",$D228&amp;" | "&amp;$B228)</f>
        <v/>
      </c>
      <c r="X228" s="85">
        <f>IF($K228="","",TEXT($K228,"yyyy-mm"))</f>
        <v/>
      </c>
      <c r="Y228" s="81">
        <f>IF(OR($A228="",$T228=""),"","Included in Manager_Report")</f>
        <v/>
      </c>
    </row>
    <row r="229" ht="15" customHeight="1" s="40">
      <c r="A229" s="65">
        <f>IF(COUNTA(B229:G229)=0,"","STP-"&amp;TEXT(ROW()-4,"0000"))</f>
        <v/>
      </c>
      <c r="B229" s="78" t="n"/>
      <c r="C229" s="67">
        <f>IF($B229="","",IFERROR(INDEX(Task_Tracker!$D$5:$D$1004,MATCH($B229,Task_Tracker!$A$5:$A$1004,0)),""))</f>
        <v/>
      </c>
      <c r="D229" s="67">
        <f>IF($B229="","",IFERROR(INDEX(Task_Tracker!$B$5:$B$1004,MATCH($B229,Task_Tracker!$A$5:$A$1004,0)),""))</f>
        <v/>
      </c>
      <c r="E229" s="81" t="n"/>
      <c r="F229" s="81" t="n"/>
      <c r="G229" s="78" t="n"/>
      <c r="H229" s="78" t="n"/>
      <c r="I229" s="67">
        <f>IF($H229="","",IFERROR(INDEX(Action_Status_Map!$B$5:$B$11,MATCH($H229,Action_Status_Map!$A$5:$A$11,0)),""))</f>
        <v/>
      </c>
      <c r="J229" s="82" t="n"/>
      <c r="K229" s="82" t="n"/>
      <c r="L229" s="82" t="n"/>
      <c r="M229" s="83" t="n"/>
      <c r="N229" s="83" t="n"/>
      <c r="O229" s="66">
        <f>IF(OR($M229="",$N229=""),"",$N229-$M229)</f>
        <v/>
      </c>
      <c r="P229" s="84">
        <f>IF($J229="","",IF($L229&lt;&gt;"",$L229-$J229,TODAY()-$J229))</f>
        <v/>
      </c>
      <c r="Q229" s="85">
        <f>IF(OR($K229="",$H229="Completed",$H229="Cancelled"),"",IF(AND($K229&lt;TODAY(),$H229&lt;&gt;"Completed",$H229&lt;&gt;"Cancelled"),"Overdue","On Track"))</f>
        <v/>
      </c>
      <c r="R229" s="81" t="n"/>
      <c r="S229" s="81">
        <f>IF($B229="","",IFERROR(INDEX(Task_Tracker!$AA$5:$AA$1004,MATCH($B229,Task_Tracker!$A$5:$A$1004,0)),""))</f>
        <v/>
      </c>
      <c r="T229" s="81">
        <f>IF($B229="","",IFERROR(INDEX(Task_Tracker!$AB$5:$AB$1004,MATCH($B229,Task_Tracker!$A$5:$A$1004,0)),""))</f>
        <v/>
      </c>
      <c r="U229" s="78">
        <f>IF($B229="","",IFERROR(INDEX(Task_Tracker!$F$5:$F$1004,MATCH($B229,Task_Tracker!$A$5:$A$1004,0)),""))</f>
        <v/>
      </c>
      <c r="V229" s="78">
        <f>IF($B229="","",IFERROR(INDEX(Task_Tracker!$I$5:$I$1004,MATCH($B229,Task_Tracker!$A$5:$A$1004,0)),""))</f>
        <v/>
      </c>
      <c r="W229" s="81">
        <f>IF(OR($D229="",$B229=""),"",$D229&amp;" | "&amp;$B229)</f>
        <v/>
      </c>
      <c r="X229" s="85">
        <f>IF($K229="","",TEXT($K229,"yyyy-mm"))</f>
        <v/>
      </c>
      <c r="Y229" s="81">
        <f>IF(OR($A229="",$T229=""),"","Included in Manager_Report")</f>
        <v/>
      </c>
    </row>
    <row r="230" ht="15" customHeight="1" s="40">
      <c r="A230" s="65">
        <f>IF(COUNTA(B230:G230)=0,"","STP-"&amp;TEXT(ROW()-4,"0000"))</f>
        <v/>
      </c>
      <c r="B230" s="78" t="n"/>
      <c r="C230" s="67">
        <f>IF($B230="","",IFERROR(INDEX(Task_Tracker!$D$5:$D$1004,MATCH($B230,Task_Tracker!$A$5:$A$1004,0)),""))</f>
        <v/>
      </c>
      <c r="D230" s="67">
        <f>IF($B230="","",IFERROR(INDEX(Task_Tracker!$B$5:$B$1004,MATCH($B230,Task_Tracker!$A$5:$A$1004,0)),""))</f>
        <v/>
      </c>
      <c r="E230" s="81" t="n"/>
      <c r="F230" s="81" t="n"/>
      <c r="G230" s="78" t="n"/>
      <c r="H230" s="78" t="n"/>
      <c r="I230" s="67">
        <f>IF($H230="","",IFERROR(INDEX(Action_Status_Map!$B$5:$B$11,MATCH($H230,Action_Status_Map!$A$5:$A$11,0)),""))</f>
        <v/>
      </c>
      <c r="J230" s="82" t="n"/>
      <c r="K230" s="82" t="n"/>
      <c r="L230" s="82" t="n"/>
      <c r="M230" s="83" t="n"/>
      <c r="N230" s="83" t="n"/>
      <c r="O230" s="66">
        <f>IF(OR($M230="",$N230=""),"",$N230-$M230)</f>
        <v/>
      </c>
      <c r="P230" s="84">
        <f>IF($J230="","",IF($L230&lt;&gt;"",$L230-$J230,TODAY()-$J230))</f>
        <v/>
      </c>
      <c r="Q230" s="85">
        <f>IF(OR($K230="",$H230="Completed",$H230="Cancelled"),"",IF(AND($K230&lt;TODAY(),$H230&lt;&gt;"Completed",$H230&lt;&gt;"Cancelled"),"Overdue","On Track"))</f>
        <v/>
      </c>
      <c r="R230" s="81" t="n"/>
      <c r="S230" s="81">
        <f>IF($B230="","",IFERROR(INDEX(Task_Tracker!$AA$5:$AA$1004,MATCH($B230,Task_Tracker!$A$5:$A$1004,0)),""))</f>
        <v/>
      </c>
      <c r="T230" s="81">
        <f>IF($B230="","",IFERROR(INDEX(Task_Tracker!$AB$5:$AB$1004,MATCH($B230,Task_Tracker!$A$5:$A$1004,0)),""))</f>
        <v/>
      </c>
      <c r="U230" s="78">
        <f>IF($B230="","",IFERROR(INDEX(Task_Tracker!$F$5:$F$1004,MATCH($B230,Task_Tracker!$A$5:$A$1004,0)),""))</f>
        <v/>
      </c>
      <c r="V230" s="78">
        <f>IF($B230="","",IFERROR(INDEX(Task_Tracker!$I$5:$I$1004,MATCH($B230,Task_Tracker!$A$5:$A$1004,0)),""))</f>
        <v/>
      </c>
      <c r="W230" s="81">
        <f>IF(OR($D230="",$B230=""),"",$D230&amp;" | "&amp;$B230)</f>
        <v/>
      </c>
      <c r="X230" s="85">
        <f>IF($K230="","",TEXT($K230,"yyyy-mm"))</f>
        <v/>
      </c>
      <c r="Y230" s="81">
        <f>IF(OR($A230="",$T230=""),"","Included in Manager_Report")</f>
        <v/>
      </c>
    </row>
    <row r="231" ht="15" customHeight="1" s="40">
      <c r="A231" s="65">
        <f>IF(COUNTA(B231:G231)=0,"","STP-"&amp;TEXT(ROW()-4,"0000"))</f>
        <v/>
      </c>
      <c r="B231" s="78" t="n"/>
      <c r="C231" s="67">
        <f>IF($B231="","",IFERROR(INDEX(Task_Tracker!$D$5:$D$1004,MATCH($B231,Task_Tracker!$A$5:$A$1004,0)),""))</f>
        <v/>
      </c>
      <c r="D231" s="67">
        <f>IF($B231="","",IFERROR(INDEX(Task_Tracker!$B$5:$B$1004,MATCH($B231,Task_Tracker!$A$5:$A$1004,0)),""))</f>
        <v/>
      </c>
      <c r="E231" s="81" t="n"/>
      <c r="F231" s="81" t="n"/>
      <c r="G231" s="78" t="n"/>
      <c r="H231" s="78" t="n"/>
      <c r="I231" s="67">
        <f>IF($H231="","",IFERROR(INDEX(Action_Status_Map!$B$5:$B$11,MATCH($H231,Action_Status_Map!$A$5:$A$11,0)),""))</f>
        <v/>
      </c>
      <c r="J231" s="82" t="n"/>
      <c r="K231" s="82" t="n"/>
      <c r="L231" s="82" t="n"/>
      <c r="M231" s="83" t="n"/>
      <c r="N231" s="83" t="n"/>
      <c r="O231" s="66">
        <f>IF(OR($M231="",$N231=""),"",$N231-$M231)</f>
        <v/>
      </c>
      <c r="P231" s="84">
        <f>IF($J231="","",IF($L231&lt;&gt;"",$L231-$J231,TODAY()-$J231))</f>
        <v/>
      </c>
      <c r="Q231" s="85">
        <f>IF(OR($K231="",$H231="Completed",$H231="Cancelled"),"",IF(AND($K231&lt;TODAY(),$H231&lt;&gt;"Completed",$H231&lt;&gt;"Cancelled"),"Overdue","On Track"))</f>
        <v/>
      </c>
      <c r="R231" s="81" t="n"/>
      <c r="S231" s="81">
        <f>IF($B231="","",IFERROR(INDEX(Task_Tracker!$AA$5:$AA$1004,MATCH($B231,Task_Tracker!$A$5:$A$1004,0)),""))</f>
        <v/>
      </c>
      <c r="T231" s="81">
        <f>IF($B231="","",IFERROR(INDEX(Task_Tracker!$AB$5:$AB$1004,MATCH($B231,Task_Tracker!$A$5:$A$1004,0)),""))</f>
        <v/>
      </c>
      <c r="U231" s="78">
        <f>IF($B231="","",IFERROR(INDEX(Task_Tracker!$F$5:$F$1004,MATCH($B231,Task_Tracker!$A$5:$A$1004,0)),""))</f>
        <v/>
      </c>
      <c r="V231" s="78">
        <f>IF($B231="","",IFERROR(INDEX(Task_Tracker!$I$5:$I$1004,MATCH($B231,Task_Tracker!$A$5:$A$1004,0)),""))</f>
        <v/>
      </c>
      <c r="W231" s="81">
        <f>IF(OR($D231="",$B231=""),"",$D231&amp;" | "&amp;$B231)</f>
        <v/>
      </c>
      <c r="X231" s="85">
        <f>IF($K231="","",TEXT($K231,"yyyy-mm"))</f>
        <v/>
      </c>
      <c r="Y231" s="81">
        <f>IF(OR($A231="",$T231=""),"","Included in Manager_Report")</f>
        <v/>
      </c>
    </row>
    <row r="232" ht="15" customHeight="1" s="40">
      <c r="A232" s="65">
        <f>IF(COUNTA(B232:G232)=0,"","STP-"&amp;TEXT(ROW()-4,"0000"))</f>
        <v/>
      </c>
      <c r="B232" s="78" t="n"/>
      <c r="C232" s="67">
        <f>IF($B232="","",IFERROR(INDEX(Task_Tracker!$D$5:$D$1004,MATCH($B232,Task_Tracker!$A$5:$A$1004,0)),""))</f>
        <v/>
      </c>
      <c r="D232" s="67">
        <f>IF($B232="","",IFERROR(INDEX(Task_Tracker!$B$5:$B$1004,MATCH($B232,Task_Tracker!$A$5:$A$1004,0)),""))</f>
        <v/>
      </c>
      <c r="E232" s="81" t="n"/>
      <c r="F232" s="81" t="n"/>
      <c r="G232" s="78" t="n"/>
      <c r="H232" s="78" t="n"/>
      <c r="I232" s="67">
        <f>IF($H232="","",IFERROR(INDEX(Action_Status_Map!$B$5:$B$11,MATCH($H232,Action_Status_Map!$A$5:$A$11,0)),""))</f>
        <v/>
      </c>
      <c r="J232" s="82" t="n"/>
      <c r="K232" s="82" t="n"/>
      <c r="L232" s="82" t="n"/>
      <c r="M232" s="83" t="n"/>
      <c r="N232" s="83" t="n"/>
      <c r="O232" s="66">
        <f>IF(OR($M232="",$N232=""),"",$N232-$M232)</f>
        <v/>
      </c>
      <c r="P232" s="84">
        <f>IF($J232="","",IF($L232&lt;&gt;"",$L232-$J232,TODAY()-$J232))</f>
        <v/>
      </c>
      <c r="Q232" s="85">
        <f>IF(OR($K232="",$H232="Completed",$H232="Cancelled"),"",IF(AND($K232&lt;TODAY(),$H232&lt;&gt;"Completed",$H232&lt;&gt;"Cancelled"),"Overdue","On Track"))</f>
        <v/>
      </c>
      <c r="R232" s="81" t="n"/>
      <c r="S232" s="81">
        <f>IF($B232="","",IFERROR(INDEX(Task_Tracker!$AA$5:$AA$1004,MATCH($B232,Task_Tracker!$A$5:$A$1004,0)),""))</f>
        <v/>
      </c>
      <c r="T232" s="81">
        <f>IF($B232="","",IFERROR(INDEX(Task_Tracker!$AB$5:$AB$1004,MATCH($B232,Task_Tracker!$A$5:$A$1004,0)),""))</f>
        <v/>
      </c>
      <c r="U232" s="78">
        <f>IF($B232="","",IFERROR(INDEX(Task_Tracker!$F$5:$F$1004,MATCH($B232,Task_Tracker!$A$5:$A$1004,0)),""))</f>
        <v/>
      </c>
      <c r="V232" s="78">
        <f>IF($B232="","",IFERROR(INDEX(Task_Tracker!$I$5:$I$1004,MATCH($B232,Task_Tracker!$A$5:$A$1004,0)),""))</f>
        <v/>
      </c>
      <c r="W232" s="81">
        <f>IF(OR($D232="",$B232=""),"",$D232&amp;" | "&amp;$B232)</f>
        <v/>
      </c>
      <c r="X232" s="85">
        <f>IF($K232="","",TEXT($K232,"yyyy-mm"))</f>
        <v/>
      </c>
      <c r="Y232" s="81">
        <f>IF(OR($A232="",$T232=""),"","Included in Manager_Report")</f>
        <v/>
      </c>
    </row>
    <row r="233" ht="15" customHeight="1" s="40">
      <c r="A233" s="65">
        <f>IF(COUNTA(B233:G233)=0,"","STP-"&amp;TEXT(ROW()-4,"0000"))</f>
        <v/>
      </c>
      <c r="B233" s="78" t="n"/>
      <c r="C233" s="67">
        <f>IF($B233="","",IFERROR(INDEX(Task_Tracker!$D$5:$D$1004,MATCH($B233,Task_Tracker!$A$5:$A$1004,0)),""))</f>
        <v/>
      </c>
      <c r="D233" s="67">
        <f>IF($B233="","",IFERROR(INDEX(Task_Tracker!$B$5:$B$1004,MATCH($B233,Task_Tracker!$A$5:$A$1004,0)),""))</f>
        <v/>
      </c>
      <c r="E233" s="81" t="n"/>
      <c r="F233" s="81" t="n"/>
      <c r="G233" s="78" t="n"/>
      <c r="H233" s="78" t="n"/>
      <c r="I233" s="67">
        <f>IF($H233="","",IFERROR(INDEX(Action_Status_Map!$B$5:$B$11,MATCH($H233,Action_Status_Map!$A$5:$A$11,0)),""))</f>
        <v/>
      </c>
      <c r="J233" s="82" t="n"/>
      <c r="K233" s="82" t="n"/>
      <c r="L233" s="82" t="n"/>
      <c r="M233" s="83" t="n"/>
      <c r="N233" s="83" t="n"/>
      <c r="O233" s="66">
        <f>IF(OR($M233="",$N233=""),"",$N233-$M233)</f>
        <v/>
      </c>
      <c r="P233" s="84">
        <f>IF($J233="","",IF($L233&lt;&gt;"",$L233-$J233,TODAY()-$J233))</f>
        <v/>
      </c>
      <c r="Q233" s="85">
        <f>IF(OR($K233="",$H233="Completed",$H233="Cancelled"),"",IF(AND($K233&lt;TODAY(),$H233&lt;&gt;"Completed",$H233&lt;&gt;"Cancelled"),"Overdue","On Track"))</f>
        <v/>
      </c>
      <c r="R233" s="81" t="n"/>
      <c r="S233" s="81">
        <f>IF($B233="","",IFERROR(INDEX(Task_Tracker!$AA$5:$AA$1004,MATCH($B233,Task_Tracker!$A$5:$A$1004,0)),""))</f>
        <v/>
      </c>
      <c r="T233" s="81">
        <f>IF($B233="","",IFERROR(INDEX(Task_Tracker!$AB$5:$AB$1004,MATCH($B233,Task_Tracker!$A$5:$A$1004,0)),""))</f>
        <v/>
      </c>
      <c r="U233" s="78">
        <f>IF($B233="","",IFERROR(INDEX(Task_Tracker!$F$5:$F$1004,MATCH($B233,Task_Tracker!$A$5:$A$1004,0)),""))</f>
        <v/>
      </c>
      <c r="V233" s="78">
        <f>IF($B233="","",IFERROR(INDEX(Task_Tracker!$I$5:$I$1004,MATCH($B233,Task_Tracker!$A$5:$A$1004,0)),""))</f>
        <v/>
      </c>
      <c r="W233" s="81">
        <f>IF(OR($D233="",$B233=""),"",$D233&amp;" | "&amp;$B233)</f>
        <v/>
      </c>
      <c r="X233" s="85">
        <f>IF($K233="","",TEXT($K233,"yyyy-mm"))</f>
        <v/>
      </c>
      <c r="Y233" s="81">
        <f>IF(OR($A233="",$T233=""),"","Included in Manager_Report")</f>
        <v/>
      </c>
    </row>
    <row r="234" ht="15" customHeight="1" s="40">
      <c r="A234" s="65">
        <f>IF(COUNTA(B234:G234)=0,"","STP-"&amp;TEXT(ROW()-4,"0000"))</f>
        <v/>
      </c>
      <c r="B234" s="78" t="n"/>
      <c r="C234" s="67">
        <f>IF($B234="","",IFERROR(INDEX(Task_Tracker!$D$5:$D$1004,MATCH($B234,Task_Tracker!$A$5:$A$1004,0)),""))</f>
        <v/>
      </c>
      <c r="D234" s="67">
        <f>IF($B234="","",IFERROR(INDEX(Task_Tracker!$B$5:$B$1004,MATCH($B234,Task_Tracker!$A$5:$A$1004,0)),""))</f>
        <v/>
      </c>
      <c r="E234" s="81" t="n"/>
      <c r="F234" s="81" t="n"/>
      <c r="G234" s="78" t="n"/>
      <c r="H234" s="78" t="n"/>
      <c r="I234" s="67">
        <f>IF($H234="","",IFERROR(INDEX(Action_Status_Map!$B$5:$B$11,MATCH($H234,Action_Status_Map!$A$5:$A$11,0)),""))</f>
        <v/>
      </c>
      <c r="J234" s="82" t="n"/>
      <c r="K234" s="82" t="n"/>
      <c r="L234" s="82" t="n"/>
      <c r="M234" s="83" t="n"/>
      <c r="N234" s="83" t="n"/>
      <c r="O234" s="66">
        <f>IF(OR($M234="",$N234=""),"",$N234-$M234)</f>
        <v/>
      </c>
      <c r="P234" s="84">
        <f>IF($J234="","",IF($L234&lt;&gt;"",$L234-$J234,TODAY()-$J234))</f>
        <v/>
      </c>
      <c r="Q234" s="85">
        <f>IF(OR($K234="",$H234="Completed",$H234="Cancelled"),"",IF(AND($K234&lt;TODAY(),$H234&lt;&gt;"Completed",$H234&lt;&gt;"Cancelled"),"Overdue","On Track"))</f>
        <v/>
      </c>
      <c r="R234" s="81" t="n"/>
      <c r="S234" s="81">
        <f>IF($B234="","",IFERROR(INDEX(Task_Tracker!$AA$5:$AA$1004,MATCH($B234,Task_Tracker!$A$5:$A$1004,0)),""))</f>
        <v/>
      </c>
      <c r="T234" s="81">
        <f>IF($B234="","",IFERROR(INDEX(Task_Tracker!$AB$5:$AB$1004,MATCH($B234,Task_Tracker!$A$5:$A$1004,0)),""))</f>
        <v/>
      </c>
      <c r="U234" s="78">
        <f>IF($B234="","",IFERROR(INDEX(Task_Tracker!$F$5:$F$1004,MATCH($B234,Task_Tracker!$A$5:$A$1004,0)),""))</f>
        <v/>
      </c>
      <c r="V234" s="78">
        <f>IF($B234="","",IFERROR(INDEX(Task_Tracker!$I$5:$I$1004,MATCH($B234,Task_Tracker!$A$5:$A$1004,0)),""))</f>
        <v/>
      </c>
      <c r="W234" s="81">
        <f>IF(OR($D234="",$B234=""),"",$D234&amp;" | "&amp;$B234)</f>
        <v/>
      </c>
      <c r="X234" s="85">
        <f>IF($K234="","",TEXT($K234,"yyyy-mm"))</f>
        <v/>
      </c>
      <c r="Y234" s="81">
        <f>IF(OR($A234="",$T234=""),"","Included in Manager_Report")</f>
        <v/>
      </c>
    </row>
    <row r="235" ht="15" customHeight="1" s="40">
      <c r="A235" s="65">
        <f>IF(COUNTA(B235:G235)=0,"","STP-"&amp;TEXT(ROW()-4,"0000"))</f>
        <v/>
      </c>
      <c r="B235" s="78" t="n"/>
      <c r="C235" s="67">
        <f>IF($B235="","",IFERROR(INDEX(Task_Tracker!$D$5:$D$1004,MATCH($B235,Task_Tracker!$A$5:$A$1004,0)),""))</f>
        <v/>
      </c>
      <c r="D235" s="67">
        <f>IF($B235="","",IFERROR(INDEX(Task_Tracker!$B$5:$B$1004,MATCH($B235,Task_Tracker!$A$5:$A$1004,0)),""))</f>
        <v/>
      </c>
      <c r="E235" s="81" t="n"/>
      <c r="F235" s="81" t="n"/>
      <c r="G235" s="78" t="n"/>
      <c r="H235" s="78" t="n"/>
      <c r="I235" s="67">
        <f>IF($H235="","",IFERROR(INDEX(Action_Status_Map!$B$5:$B$11,MATCH($H235,Action_Status_Map!$A$5:$A$11,0)),""))</f>
        <v/>
      </c>
      <c r="J235" s="82" t="n"/>
      <c r="K235" s="82" t="n"/>
      <c r="L235" s="82" t="n"/>
      <c r="M235" s="83" t="n"/>
      <c r="N235" s="83" t="n"/>
      <c r="O235" s="66">
        <f>IF(OR($M235="",$N235=""),"",$N235-$M235)</f>
        <v/>
      </c>
      <c r="P235" s="84">
        <f>IF($J235="","",IF($L235&lt;&gt;"",$L235-$J235,TODAY()-$J235))</f>
        <v/>
      </c>
      <c r="Q235" s="85">
        <f>IF(OR($K235="",$H235="Completed",$H235="Cancelled"),"",IF(AND($K235&lt;TODAY(),$H235&lt;&gt;"Completed",$H235&lt;&gt;"Cancelled"),"Overdue","On Track"))</f>
        <v/>
      </c>
      <c r="R235" s="81" t="n"/>
      <c r="S235" s="81">
        <f>IF($B235="","",IFERROR(INDEX(Task_Tracker!$AA$5:$AA$1004,MATCH($B235,Task_Tracker!$A$5:$A$1004,0)),""))</f>
        <v/>
      </c>
      <c r="T235" s="81">
        <f>IF($B235="","",IFERROR(INDEX(Task_Tracker!$AB$5:$AB$1004,MATCH($B235,Task_Tracker!$A$5:$A$1004,0)),""))</f>
        <v/>
      </c>
      <c r="U235" s="78">
        <f>IF($B235="","",IFERROR(INDEX(Task_Tracker!$F$5:$F$1004,MATCH($B235,Task_Tracker!$A$5:$A$1004,0)),""))</f>
        <v/>
      </c>
      <c r="V235" s="78">
        <f>IF($B235="","",IFERROR(INDEX(Task_Tracker!$I$5:$I$1004,MATCH($B235,Task_Tracker!$A$5:$A$1004,0)),""))</f>
        <v/>
      </c>
      <c r="W235" s="81">
        <f>IF(OR($D235="",$B235=""),"",$D235&amp;" | "&amp;$B235)</f>
        <v/>
      </c>
      <c r="X235" s="85">
        <f>IF($K235="","",TEXT($K235,"yyyy-mm"))</f>
        <v/>
      </c>
      <c r="Y235" s="81">
        <f>IF(OR($A235="",$T235=""),"","Included in Manager_Report")</f>
        <v/>
      </c>
    </row>
    <row r="236" ht="15" customHeight="1" s="40">
      <c r="A236" s="65">
        <f>IF(COUNTA(B236:G236)=0,"","STP-"&amp;TEXT(ROW()-4,"0000"))</f>
        <v/>
      </c>
      <c r="B236" s="78" t="n"/>
      <c r="C236" s="67">
        <f>IF($B236="","",IFERROR(INDEX(Task_Tracker!$D$5:$D$1004,MATCH($B236,Task_Tracker!$A$5:$A$1004,0)),""))</f>
        <v/>
      </c>
      <c r="D236" s="67">
        <f>IF($B236="","",IFERROR(INDEX(Task_Tracker!$B$5:$B$1004,MATCH($B236,Task_Tracker!$A$5:$A$1004,0)),""))</f>
        <v/>
      </c>
      <c r="E236" s="81" t="n"/>
      <c r="F236" s="81" t="n"/>
      <c r="G236" s="78" t="n"/>
      <c r="H236" s="78" t="n"/>
      <c r="I236" s="67">
        <f>IF($H236="","",IFERROR(INDEX(Action_Status_Map!$B$5:$B$11,MATCH($H236,Action_Status_Map!$A$5:$A$11,0)),""))</f>
        <v/>
      </c>
      <c r="J236" s="82" t="n"/>
      <c r="K236" s="82" t="n"/>
      <c r="L236" s="82" t="n"/>
      <c r="M236" s="83" t="n"/>
      <c r="N236" s="83" t="n"/>
      <c r="O236" s="66">
        <f>IF(OR($M236="",$N236=""),"",$N236-$M236)</f>
        <v/>
      </c>
      <c r="P236" s="84">
        <f>IF($J236="","",IF($L236&lt;&gt;"",$L236-$J236,TODAY()-$J236))</f>
        <v/>
      </c>
      <c r="Q236" s="85">
        <f>IF(OR($K236="",$H236="Completed",$H236="Cancelled"),"",IF(AND($K236&lt;TODAY(),$H236&lt;&gt;"Completed",$H236&lt;&gt;"Cancelled"),"Overdue","On Track"))</f>
        <v/>
      </c>
      <c r="R236" s="81" t="n"/>
      <c r="S236" s="81">
        <f>IF($B236="","",IFERROR(INDEX(Task_Tracker!$AA$5:$AA$1004,MATCH($B236,Task_Tracker!$A$5:$A$1004,0)),""))</f>
        <v/>
      </c>
      <c r="T236" s="81">
        <f>IF($B236="","",IFERROR(INDEX(Task_Tracker!$AB$5:$AB$1004,MATCH($B236,Task_Tracker!$A$5:$A$1004,0)),""))</f>
        <v/>
      </c>
      <c r="U236" s="78">
        <f>IF($B236="","",IFERROR(INDEX(Task_Tracker!$F$5:$F$1004,MATCH($B236,Task_Tracker!$A$5:$A$1004,0)),""))</f>
        <v/>
      </c>
      <c r="V236" s="78">
        <f>IF($B236="","",IFERROR(INDEX(Task_Tracker!$I$5:$I$1004,MATCH($B236,Task_Tracker!$A$5:$A$1004,0)),""))</f>
        <v/>
      </c>
      <c r="W236" s="81">
        <f>IF(OR($D236="",$B236=""),"",$D236&amp;" | "&amp;$B236)</f>
        <v/>
      </c>
      <c r="X236" s="85">
        <f>IF($K236="","",TEXT($K236,"yyyy-mm"))</f>
        <v/>
      </c>
      <c r="Y236" s="81">
        <f>IF(OR($A236="",$T236=""),"","Included in Manager_Report")</f>
        <v/>
      </c>
    </row>
    <row r="237" ht="15" customHeight="1" s="40">
      <c r="A237" s="65">
        <f>IF(COUNTA(B237:G237)=0,"","STP-"&amp;TEXT(ROW()-4,"0000"))</f>
        <v/>
      </c>
      <c r="B237" s="78" t="n"/>
      <c r="C237" s="67">
        <f>IF($B237="","",IFERROR(INDEX(Task_Tracker!$D$5:$D$1004,MATCH($B237,Task_Tracker!$A$5:$A$1004,0)),""))</f>
        <v/>
      </c>
      <c r="D237" s="67">
        <f>IF($B237="","",IFERROR(INDEX(Task_Tracker!$B$5:$B$1004,MATCH($B237,Task_Tracker!$A$5:$A$1004,0)),""))</f>
        <v/>
      </c>
      <c r="E237" s="81" t="n"/>
      <c r="F237" s="81" t="n"/>
      <c r="G237" s="78" t="n"/>
      <c r="H237" s="78" t="n"/>
      <c r="I237" s="67">
        <f>IF($H237="","",IFERROR(INDEX(Action_Status_Map!$B$5:$B$11,MATCH($H237,Action_Status_Map!$A$5:$A$11,0)),""))</f>
        <v/>
      </c>
      <c r="J237" s="82" t="n"/>
      <c r="K237" s="82" t="n"/>
      <c r="L237" s="82" t="n"/>
      <c r="M237" s="83" t="n"/>
      <c r="N237" s="83" t="n"/>
      <c r="O237" s="66">
        <f>IF(OR($M237="",$N237=""),"",$N237-$M237)</f>
        <v/>
      </c>
      <c r="P237" s="84">
        <f>IF($J237="","",IF($L237&lt;&gt;"",$L237-$J237,TODAY()-$J237))</f>
        <v/>
      </c>
      <c r="Q237" s="85">
        <f>IF(OR($K237="",$H237="Completed",$H237="Cancelled"),"",IF(AND($K237&lt;TODAY(),$H237&lt;&gt;"Completed",$H237&lt;&gt;"Cancelled"),"Overdue","On Track"))</f>
        <v/>
      </c>
      <c r="R237" s="81" t="n"/>
      <c r="S237" s="81">
        <f>IF($B237="","",IFERROR(INDEX(Task_Tracker!$AA$5:$AA$1004,MATCH($B237,Task_Tracker!$A$5:$A$1004,0)),""))</f>
        <v/>
      </c>
      <c r="T237" s="81">
        <f>IF($B237="","",IFERROR(INDEX(Task_Tracker!$AB$5:$AB$1004,MATCH($B237,Task_Tracker!$A$5:$A$1004,0)),""))</f>
        <v/>
      </c>
      <c r="U237" s="78">
        <f>IF($B237="","",IFERROR(INDEX(Task_Tracker!$F$5:$F$1004,MATCH($B237,Task_Tracker!$A$5:$A$1004,0)),""))</f>
        <v/>
      </c>
      <c r="V237" s="78">
        <f>IF($B237="","",IFERROR(INDEX(Task_Tracker!$I$5:$I$1004,MATCH($B237,Task_Tracker!$A$5:$A$1004,0)),""))</f>
        <v/>
      </c>
      <c r="W237" s="81">
        <f>IF(OR($D237="",$B237=""),"",$D237&amp;" | "&amp;$B237)</f>
        <v/>
      </c>
      <c r="X237" s="85">
        <f>IF($K237="","",TEXT($K237,"yyyy-mm"))</f>
        <v/>
      </c>
      <c r="Y237" s="81">
        <f>IF(OR($A237="",$T237=""),"","Included in Manager_Report")</f>
        <v/>
      </c>
    </row>
    <row r="238" ht="15" customHeight="1" s="40">
      <c r="A238" s="65">
        <f>IF(COUNTA(B238:G238)=0,"","STP-"&amp;TEXT(ROW()-4,"0000"))</f>
        <v/>
      </c>
      <c r="B238" s="78" t="n"/>
      <c r="C238" s="67">
        <f>IF($B238="","",IFERROR(INDEX(Task_Tracker!$D$5:$D$1004,MATCH($B238,Task_Tracker!$A$5:$A$1004,0)),""))</f>
        <v/>
      </c>
      <c r="D238" s="67">
        <f>IF($B238="","",IFERROR(INDEX(Task_Tracker!$B$5:$B$1004,MATCH($B238,Task_Tracker!$A$5:$A$1004,0)),""))</f>
        <v/>
      </c>
      <c r="E238" s="81" t="n"/>
      <c r="F238" s="81" t="n"/>
      <c r="G238" s="78" t="n"/>
      <c r="H238" s="78" t="n"/>
      <c r="I238" s="67">
        <f>IF($H238="","",IFERROR(INDEX(Action_Status_Map!$B$5:$B$11,MATCH($H238,Action_Status_Map!$A$5:$A$11,0)),""))</f>
        <v/>
      </c>
      <c r="J238" s="82" t="n"/>
      <c r="K238" s="82" t="n"/>
      <c r="L238" s="82" t="n"/>
      <c r="M238" s="83" t="n"/>
      <c r="N238" s="83" t="n"/>
      <c r="O238" s="66">
        <f>IF(OR($M238="",$N238=""),"",$N238-$M238)</f>
        <v/>
      </c>
      <c r="P238" s="84">
        <f>IF($J238="","",IF($L238&lt;&gt;"",$L238-$J238,TODAY()-$J238))</f>
        <v/>
      </c>
      <c r="Q238" s="85">
        <f>IF(OR($K238="",$H238="Completed",$H238="Cancelled"),"",IF(AND($K238&lt;TODAY(),$H238&lt;&gt;"Completed",$H238&lt;&gt;"Cancelled"),"Overdue","On Track"))</f>
        <v/>
      </c>
      <c r="R238" s="81" t="n"/>
      <c r="S238" s="81">
        <f>IF($B238="","",IFERROR(INDEX(Task_Tracker!$AA$5:$AA$1004,MATCH($B238,Task_Tracker!$A$5:$A$1004,0)),""))</f>
        <v/>
      </c>
      <c r="T238" s="81">
        <f>IF($B238="","",IFERROR(INDEX(Task_Tracker!$AB$5:$AB$1004,MATCH($B238,Task_Tracker!$A$5:$A$1004,0)),""))</f>
        <v/>
      </c>
      <c r="U238" s="78">
        <f>IF($B238="","",IFERROR(INDEX(Task_Tracker!$F$5:$F$1004,MATCH($B238,Task_Tracker!$A$5:$A$1004,0)),""))</f>
        <v/>
      </c>
      <c r="V238" s="78">
        <f>IF($B238="","",IFERROR(INDEX(Task_Tracker!$I$5:$I$1004,MATCH($B238,Task_Tracker!$A$5:$A$1004,0)),""))</f>
        <v/>
      </c>
      <c r="W238" s="81">
        <f>IF(OR($D238="",$B238=""),"",$D238&amp;" | "&amp;$B238)</f>
        <v/>
      </c>
      <c r="X238" s="85">
        <f>IF($K238="","",TEXT($K238,"yyyy-mm"))</f>
        <v/>
      </c>
      <c r="Y238" s="81">
        <f>IF(OR($A238="",$T238=""),"","Included in Manager_Report")</f>
        <v/>
      </c>
    </row>
    <row r="239" ht="15" customHeight="1" s="40">
      <c r="A239" s="65">
        <f>IF(COUNTA(B239:G239)=0,"","STP-"&amp;TEXT(ROW()-4,"0000"))</f>
        <v/>
      </c>
      <c r="B239" s="78" t="n"/>
      <c r="C239" s="67">
        <f>IF($B239="","",IFERROR(INDEX(Task_Tracker!$D$5:$D$1004,MATCH($B239,Task_Tracker!$A$5:$A$1004,0)),""))</f>
        <v/>
      </c>
      <c r="D239" s="67">
        <f>IF($B239="","",IFERROR(INDEX(Task_Tracker!$B$5:$B$1004,MATCH($B239,Task_Tracker!$A$5:$A$1004,0)),""))</f>
        <v/>
      </c>
      <c r="E239" s="81" t="n"/>
      <c r="F239" s="81" t="n"/>
      <c r="G239" s="78" t="n"/>
      <c r="H239" s="78" t="n"/>
      <c r="I239" s="67">
        <f>IF($H239="","",IFERROR(INDEX(Action_Status_Map!$B$5:$B$11,MATCH($H239,Action_Status_Map!$A$5:$A$11,0)),""))</f>
        <v/>
      </c>
      <c r="J239" s="82" t="n"/>
      <c r="K239" s="82" t="n"/>
      <c r="L239" s="82" t="n"/>
      <c r="M239" s="83" t="n"/>
      <c r="N239" s="83" t="n"/>
      <c r="O239" s="66">
        <f>IF(OR($M239="",$N239=""),"",$N239-$M239)</f>
        <v/>
      </c>
      <c r="P239" s="84">
        <f>IF($J239="","",IF($L239&lt;&gt;"",$L239-$J239,TODAY()-$J239))</f>
        <v/>
      </c>
      <c r="Q239" s="85">
        <f>IF(OR($K239="",$H239="Completed",$H239="Cancelled"),"",IF(AND($K239&lt;TODAY(),$H239&lt;&gt;"Completed",$H239&lt;&gt;"Cancelled"),"Overdue","On Track"))</f>
        <v/>
      </c>
      <c r="R239" s="81" t="n"/>
      <c r="S239" s="81">
        <f>IF($B239="","",IFERROR(INDEX(Task_Tracker!$AA$5:$AA$1004,MATCH($B239,Task_Tracker!$A$5:$A$1004,0)),""))</f>
        <v/>
      </c>
      <c r="T239" s="81">
        <f>IF($B239="","",IFERROR(INDEX(Task_Tracker!$AB$5:$AB$1004,MATCH($B239,Task_Tracker!$A$5:$A$1004,0)),""))</f>
        <v/>
      </c>
      <c r="U239" s="78">
        <f>IF($B239="","",IFERROR(INDEX(Task_Tracker!$F$5:$F$1004,MATCH($B239,Task_Tracker!$A$5:$A$1004,0)),""))</f>
        <v/>
      </c>
      <c r="V239" s="78">
        <f>IF($B239="","",IFERROR(INDEX(Task_Tracker!$I$5:$I$1004,MATCH($B239,Task_Tracker!$A$5:$A$1004,0)),""))</f>
        <v/>
      </c>
      <c r="W239" s="81">
        <f>IF(OR($D239="",$B239=""),"",$D239&amp;" | "&amp;$B239)</f>
        <v/>
      </c>
      <c r="X239" s="85">
        <f>IF($K239="","",TEXT($K239,"yyyy-mm"))</f>
        <v/>
      </c>
      <c r="Y239" s="81">
        <f>IF(OR($A239="",$T239=""),"","Included in Manager_Report")</f>
        <v/>
      </c>
    </row>
    <row r="240" ht="15" customHeight="1" s="40">
      <c r="A240" s="65">
        <f>IF(COUNTA(B240:G240)=0,"","STP-"&amp;TEXT(ROW()-4,"0000"))</f>
        <v/>
      </c>
      <c r="B240" s="78" t="n"/>
      <c r="C240" s="67">
        <f>IF($B240="","",IFERROR(INDEX(Task_Tracker!$D$5:$D$1004,MATCH($B240,Task_Tracker!$A$5:$A$1004,0)),""))</f>
        <v/>
      </c>
      <c r="D240" s="67">
        <f>IF($B240="","",IFERROR(INDEX(Task_Tracker!$B$5:$B$1004,MATCH($B240,Task_Tracker!$A$5:$A$1004,0)),""))</f>
        <v/>
      </c>
      <c r="E240" s="81" t="n"/>
      <c r="F240" s="81" t="n"/>
      <c r="G240" s="78" t="n"/>
      <c r="H240" s="78" t="n"/>
      <c r="I240" s="67">
        <f>IF($H240="","",IFERROR(INDEX(Action_Status_Map!$B$5:$B$11,MATCH($H240,Action_Status_Map!$A$5:$A$11,0)),""))</f>
        <v/>
      </c>
      <c r="J240" s="82" t="n"/>
      <c r="K240" s="82" t="n"/>
      <c r="L240" s="82" t="n"/>
      <c r="M240" s="83" t="n"/>
      <c r="N240" s="83" t="n"/>
      <c r="O240" s="66">
        <f>IF(OR($M240="",$N240=""),"",$N240-$M240)</f>
        <v/>
      </c>
      <c r="P240" s="84">
        <f>IF($J240="","",IF($L240&lt;&gt;"",$L240-$J240,TODAY()-$J240))</f>
        <v/>
      </c>
      <c r="Q240" s="85">
        <f>IF(OR($K240="",$H240="Completed",$H240="Cancelled"),"",IF(AND($K240&lt;TODAY(),$H240&lt;&gt;"Completed",$H240&lt;&gt;"Cancelled"),"Overdue","On Track"))</f>
        <v/>
      </c>
      <c r="R240" s="81" t="n"/>
      <c r="S240" s="81">
        <f>IF($B240="","",IFERROR(INDEX(Task_Tracker!$AA$5:$AA$1004,MATCH($B240,Task_Tracker!$A$5:$A$1004,0)),""))</f>
        <v/>
      </c>
      <c r="T240" s="81">
        <f>IF($B240="","",IFERROR(INDEX(Task_Tracker!$AB$5:$AB$1004,MATCH($B240,Task_Tracker!$A$5:$A$1004,0)),""))</f>
        <v/>
      </c>
      <c r="U240" s="78">
        <f>IF($B240="","",IFERROR(INDEX(Task_Tracker!$F$5:$F$1004,MATCH($B240,Task_Tracker!$A$5:$A$1004,0)),""))</f>
        <v/>
      </c>
      <c r="V240" s="78">
        <f>IF($B240="","",IFERROR(INDEX(Task_Tracker!$I$5:$I$1004,MATCH($B240,Task_Tracker!$A$5:$A$1004,0)),""))</f>
        <v/>
      </c>
      <c r="W240" s="81">
        <f>IF(OR($D240="",$B240=""),"",$D240&amp;" | "&amp;$B240)</f>
        <v/>
      </c>
      <c r="X240" s="85">
        <f>IF($K240="","",TEXT($K240,"yyyy-mm"))</f>
        <v/>
      </c>
      <c r="Y240" s="81">
        <f>IF(OR($A240="",$T240=""),"","Included in Manager_Report")</f>
        <v/>
      </c>
    </row>
    <row r="241" ht="15" customHeight="1" s="40">
      <c r="A241" s="65">
        <f>IF(COUNTA(B241:G241)=0,"","STP-"&amp;TEXT(ROW()-4,"0000"))</f>
        <v/>
      </c>
      <c r="B241" s="78" t="n"/>
      <c r="C241" s="67">
        <f>IF($B241="","",IFERROR(INDEX(Task_Tracker!$D$5:$D$1004,MATCH($B241,Task_Tracker!$A$5:$A$1004,0)),""))</f>
        <v/>
      </c>
      <c r="D241" s="67">
        <f>IF($B241="","",IFERROR(INDEX(Task_Tracker!$B$5:$B$1004,MATCH($B241,Task_Tracker!$A$5:$A$1004,0)),""))</f>
        <v/>
      </c>
      <c r="E241" s="81" t="n"/>
      <c r="F241" s="81" t="n"/>
      <c r="G241" s="78" t="n"/>
      <c r="H241" s="78" t="n"/>
      <c r="I241" s="67">
        <f>IF($H241="","",IFERROR(INDEX(Action_Status_Map!$B$5:$B$11,MATCH($H241,Action_Status_Map!$A$5:$A$11,0)),""))</f>
        <v/>
      </c>
      <c r="J241" s="82" t="n"/>
      <c r="K241" s="82" t="n"/>
      <c r="L241" s="82" t="n"/>
      <c r="M241" s="83" t="n"/>
      <c r="N241" s="83" t="n"/>
      <c r="O241" s="66">
        <f>IF(OR($M241="",$N241=""),"",$N241-$M241)</f>
        <v/>
      </c>
      <c r="P241" s="84">
        <f>IF($J241="","",IF($L241&lt;&gt;"",$L241-$J241,TODAY()-$J241))</f>
        <v/>
      </c>
      <c r="Q241" s="85">
        <f>IF(OR($K241="",$H241="Completed",$H241="Cancelled"),"",IF(AND($K241&lt;TODAY(),$H241&lt;&gt;"Completed",$H241&lt;&gt;"Cancelled"),"Overdue","On Track"))</f>
        <v/>
      </c>
      <c r="R241" s="81" t="n"/>
      <c r="S241" s="81">
        <f>IF($B241="","",IFERROR(INDEX(Task_Tracker!$AA$5:$AA$1004,MATCH($B241,Task_Tracker!$A$5:$A$1004,0)),""))</f>
        <v/>
      </c>
      <c r="T241" s="81">
        <f>IF($B241="","",IFERROR(INDEX(Task_Tracker!$AB$5:$AB$1004,MATCH($B241,Task_Tracker!$A$5:$A$1004,0)),""))</f>
        <v/>
      </c>
      <c r="U241" s="78">
        <f>IF($B241="","",IFERROR(INDEX(Task_Tracker!$F$5:$F$1004,MATCH($B241,Task_Tracker!$A$5:$A$1004,0)),""))</f>
        <v/>
      </c>
      <c r="V241" s="78">
        <f>IF($B241="","",IFERROR(INDEX(Task_Tracker!$I$5:$I$1004,MATCH($B241,Task_Tracker!$A$5:$A$1004,0)),""))</f>
        <v/>
      </c>
      <c r="W241" s="81">
        <f>IF(OR($D241="",$B241=""),"",$D241&amp;" | "&amp;$B241)</f>
        <v/>
      </c>
      <c r="X241" s="85">
        <f>IF($K241="","",TEXT($K241,"yyyy-mm"))</f>
        <v/>
      </c>
      <c r="Y241" s="81">
        <f>IF(OR($A241="",$T241=""),"","Included in Manager_Report")</f>
        <v/>
      </c>
    </row>
    <row r="242" ht="15" customHeight="1" s="40">
      <c r="A242" s="65">
        <f>IF(COUNTA(B242:G242)=0,"","STP-"&amp;TEXT(ROW()-4,"0000"))</f>
        <v/>
      </c>
      <c r="B242" s="78" t="n"/>
      <c r="C242" s="67">
        <f>IF($B242="","",IFERROR(INDEX(Task_Tracker!$D$5:$D$1004,MATCH($B242,Task_Tracker!$A$5:$A$1004,0)),""))</f>
        <v/>
      </c>
      <c r="D242" s="67">
        <f>IF($B242="","",IFERROR(INDEX(Task_Tracker!$B$5:$B$1004,MATCH($B242,Task_Tracker!$A$5:$A$1004,0)),""))</f>
        <v/>
      </c>
      <c r="E242" s="81" t="n"/>
      <c r="F242" s="81" t="n"/>
      <c r="G242" s="78" t="n"/>
      <c r="H242" s="78" t="n"/>
      <c r="I242" s="67">
        <f>IF($H242="","",IFERROR(INDEX(Action_Status_Map!$B$5:$B$11,MATCH($H242,Action_Status_Map!$A$5:$A$11,0)),""))</f>
        <v/>
      </c>
      <c r="J242" s="82" t="n"/>
      <c r="K242" s="82" t="n"/>
      <c r="L242" s="82" t="n"/>
      <c r="M242" s="83" t="n"/>
      <c r="N242" s="83" t="n"/>
      <c r="O242" s="66">
        <f>IF(OR($M242="",$N242=""),"",$N242-$M242)</f>
        <v/>
      </c>
      <c r="P242" s="84">
        <f>IF($J242="","",IF($L242&lt;&gt;"",$L242-$J242,TODAY()-$J242))</f>
        <v/>
      </c>
      <c r="Q242" s="85">
        <f>IF(OR($K242="",$H242="Completed",$H242="Cancelled"),"",IF(AND($K242&lt;TODAY(),$H242&lt;&gt;"Completed",$H242&lt;&gt;"Cancelled"),"Overdue","On Track"))</f>
        <v/>
      </c>
      <c r="R242" s="81" t="n"/>
      <c r="S242" s="81">
        <f>IF($B242="","",IFERROR(INDEX(Task_Tracker!$AA$5:$AA$1004,MATCH($B242,Task_Tracker!$A$5:$A$1004,0)),""))</f>
        <v/>
      </c>
      <c r="T242" s="81">
        <f>IF($B242="","",IFERROR(INDEX(Task_Tracker!$AB$5:$AB$1004,MATCH($B242,Task_Tracker!$A$5:$A$1004,0)),""))</f>
        <v/>
      </c>
      <c r="U242" s="78">
        <f>IF($B242="","",IFERROR(INDEX(Task_Tracker!$F$5:$F$1004,MATCH($B242,Task_Tracker!$A$5:$A$1004,0)),""))</f>
        <v/>
      </c>
      <c r="V242" s="78">
        <f>IF($B242="","",IFERROR(INDEX(Task_Tracker!$I$5:$I$1004,MATCH($B242,Task_Tracker!$A$5:$A$1004,0)),""))</f>
        <v/>
      </c>
      <c r="W242" s="81">
        <f>IF(OR($D242="",$B242=""),"",$D242&amp;" | "&amp;$B242)</f>
        <v/>
      </c>
      <c r="X242" s="85">
        <f>IF($K242="","",TEXT($K242,"yyyy-mm"))</f>
        <v/>
      </c>
      <c r="Y242" s="81">
        <f>IF(OR($A242="",$T242=""),"","Included in Manager_Report")</f>
        <v/>
      </c>
    </row>
    <row r="243" ht="15" customHeight="1" s="40">
      <c r="A243" s="65">
        <f>IF(COUNTA(B243:G243)=0,"","STP-"&amp;TEXT(ROW()-4,"0000"))</f>
        <v/>
      </c>
      <c r="B243" s="78" t="n"/>
      <c r="C243" s="67">
        <f>IF($B243="","",IFERROR(INDEX(Task_Tracker!$D$5:$D$1004,MATCH($B243,Task_Tracker!$A$5:$A$1004,0)),""))</f>
        <v/>
      </c>
      <c r="D243" s="67">
        <f>IF($B243="","",IFERROR(INDEX(Task_Tracker!$B$5:$B$1004,MATCH($B243,Task_Tracker!$A$5:$A$1004,0)),""))</f>
        <v/>
      </c>
      <c r="E243" s="81" t="n"/>
      <c r="F243" s="81" t="n"/>
      <c r="G243" s="78" t="n"/>
      <c r="H243" s="78" t="n"/>
      <c r="I243" s="67">
        <f>IF($H243="","",IFERROR(INDEX(Action_Status_Map!$B$5:$B$11,MATCH($H243,Action_Status_Map!$A$5:$A$11,0)),""))</f>
        <v/>
      </c>
      <c r="J243" s="82" t="n"/>
      <c r="K243" s="82" t="n"/>
      <c r="L243" s="82" t="n"/>
      <c r="M243" s="83" t="n"/>
      <c r="N243" s="83" t="n"/>
      <c r="O243" s="66">
        <f>IF(OR($M243="",$N243=""),"",$N243-$M243)</f>
        <v/>
      </c>
      <c r="P243" s="84">
        <f>IF($J243="","",IF($L243&lt;&gt;"",$L243-$J243,TODAY()-$J243))</f>
        <v/>
      </c>
      <c r="Q243" s="85">
        <f>IF(OR($K243="",$H243="Completed",$H243="Cancelled"),"",IF(AND($K243&lt;TODAY(),$H243&lt;&gt;"Completed",$H243&lt;&gt;"Cancelled"),"Overdue","On Track"))</f>
        <v/>
      </c>
      <c r="R243" s="81" t="n"/>
      <c r="S243" s="81">
        <f>IF($B243="","",IFERROR(INDEX(Task_Tracker!$AA$5:$AA$1004,MATCH($B243,Task_Tracker!$A$5:$A$1004,0)),""))</f>
        <v/>
      </c>
      <c r="T243" s="81">
        <f>IF($B243="","",IFERROR(INDEX(Task_Tracker!$AB$5:$AB$1004,MATCH($B243,Task_Tracker!$A$5:$A$1004,0)),""))</f>
        <v/>
      </c>
      <c r="U243" s="78">
        <f>IF($B243="","",IFERROR(INDEX(Task_Tracker!$F$5:$F$1004,MATCH($B243,Task_Tracker!$A$5:$A$1004,0)),""))</f>
        <v/>
      </c>
      <c r="V243" s="78">
        <f>IF($B243="","",IFERROR(INDEX(Task_Tracker!$I$5:$I$1004,MATCH($B243,Task_Tracker!$A$5:$A$1004,0)),""))</f>
        <v/>
      </c>
      <c r="W243" s="81">
        <f>IF(OR($D243="",$B243=""),"",$D243&amp;" | "&amp;$B243)</f>
        <v/>
      </c>
      <c r="X243" s="85">
        <f>IF($K243="","",TEXT($K243,"yyyy-mm"))</f>
        <v/>
      </c>
      <c r="Y243" s="81">
        <f>IF(OR($A243="",$T243=""),"","Included in Manager_Report")</f>
        <v/>
      </c>
    </row>
    <row r="244" ht="15" customHeight="1" s="40">
      <c r="A244" s="65">
        <f>IF(COUNTA(B244:G244)=0,"","STP-"&amp;TEXT(ROW()-4,"0000"))</f>
        <v/>
      </c>
      <c r="B244" s="78" t="n"/>
      <c r="C244" s="67">
        <f>IF($B244="","",IFERROR(INDEX(Task_Tracker!$D$5:$D$1004,MATCH($B244,Task_Tracker!$A$5:$A$1004,0)),""))</f>
        <v/>
      </c>
      <c r="D244" s="67">
        <f>IF($B244="","",IFERROR(INDEX(Task_Tracker!$B$5:$B$1004,MATCH($B244,Task_Tracker!$A$5:$A$1004,0)),""))</f>
        <v/>
      </c>
      <c r="E244" s="81" t="n"/>
      <c r="F244" s="81" t="n"/>
      <c r="G244" s="78" t="n"/>
      <c r="H244" s="78" t="n"/>
      <c r="I244" s="67">
        <f>IF($H244="","",IFERROR(INDEX(Action_Status_Map!$B$5:$B$11,MATCH($H244,Action_Status_Map!$A$5:$A$11,0)),""))</f>
        <v/>
      </c>
      <c r="J244" s="82" t="n"/>
      <c r="K244" s="82" t="n"/>
      <c r="L244" s="82" t="n"/>
      <c r="M244" s="83" t="n"/>
      <c r="N244" s="83" t="n"/>
      <c r="O244" s="66">
        <f>IF(OR($M244="",$N244=""),"",$N244-$M244)</f>
        <v/>
      </c>
      <c r="P244" s="84">
        <f>IF($J244="","",IF($L244&lt;&gt;"",$L244-$J244,TODAY()-$J244))</f>
        <v/>
      </c>
      <c r="Q244" s="85">
        <f>IF(OR($K244="",$H244="Completed",$H244="Cancelled"),"",IF(AND($K244&lt;TODAY(),$H244&lt;&gt;"Completed",$H244&lt;&gt;"Cancelled"),"Overdue","On Track"))</f>
        <v/>
      </c>
      <c r="R244" s="81" t="n"/>
      <c r="S244" s="81">
        <f>IF($B244="","",IFERROR(INDEX(Task_Tracker!$AA$5:$AA$1004,MATCH($B244,Task_Tracker!$A$5:$A$1004,0)),""))</f>
        <v/>
      </c>
      <c r="T244" s="81">
        <f>IF($B244="","",IFERROR(INDEX(Task_Tracker!$AB$5:$AB$1004,MATCH($B244,Task_Tracker!$A$5:$A$1004,0)),""))</f>
        <v/>
      </c>
      <c r="U244" s="78">
        <f>IF($B244="","",IFERROR(INDEX(Task_Tracker!$F$5:$F$1004,MATCH($B244,Task_Tracker!$A$5:$A$1004,0)),""))</f>
        <v/>
      </c>
      <c r="V244" s="78">
        <f>IF($B244="","",IFERROR(INDEX(Task_Tracker!$I$5:$I$1004,MATCH($B244,Task_Tracker!$A$5:$A$1004,0)),""))</f>
        <v/>
      </c>
      <c r="W244" s="81">
        <f>IF(OR($D244="",$B244=""),"",$D244&amp;" | "&amp;$B244)</f>
        <v/>
      </c>
      <c r="X244" s="85">
        <f>IF($K244="","",TEXT($K244,"yyyy-mm"))</f>
        <v/>
      </c>
      <c r="Y244" s="81">
        <f>IF(OR($A244="",$T244=""),"","Included in Manager_Report")</f>
        <v/>
      </c>
    </row>
    <row r="245" ht="15" customHeight="1" s="40">
      <c r="A245" s="65">
        <f>IF(COUNTA(B245:G245)=0,"","STP-"&amp;TEXT(ROW()-4,"0000"))</f>
        <v/>
      </c>
      <c r="B245" s="78" t="n"/>
      <c r="C245" s="67">
        <f>IF($B245="","",IFERROR(INDEX(Task_Tracker!$D$5:$D$1004,MATCH($B245,Task_Tracker!$A$5:$A$1004,0)),""))</f>
        <v/>
      </c>
      <c r="D245" s="67">
        <f>IF($B245="","",IFERROR(INDEX(Task_Tracker!$B$5:$B$1004,MATCH($B245,Task_Tracker!$A$5:$A$1004,0)),""))</f>
        <v/>
      </c>
      <c r="E245" s="81" t="n"/>
      <c r="F245" s="81" t="n"/>
      <c r="G245" s="78" t="n"/>
      <c r="H245" s="78" t="n"/>
      <c r="I245" s="67">
        <f>IF($H245="","",IFERROR(INDEX(Action_Status_Map!$B$5:$B$11,MATCH($H245,Action_Status_Map!$A$5:$A$11,0)),""))</f>
        <v/>
      </c>
      <c r="J245" s="82" t="n"/>
      <c r="K245" s="82" t="n"/>
      <c r="L245" s="82" t="n"/>
      <c r="M245" s="83" t="n"/>
      <c r="N245" s="83" t="n"/>
      <c r="O245" s="66">
        <f>IF(OR($M245="",$N245=""),"",$N245-$M245)</f>
        <v/>
      </c>
      <c r="P245" s="84">
        <f>IF($J245="","",IF($L245&lt;&gt;"",$L245-$J245,TODAY()-$J245))</f>
        <v/>
      </c>
      <c r="Q245" s="85">
        <f>IF(OR($K245="",$H245="Completed",$H245="Cancelled"),"",IF(AND($K245&lt;TODAY(),$H245&lt;&gt;"Completed",$H245&lt;&gt;"Cancelled"),"Overdue","On Track"))</f>
        <v/>
      </c>
      <c r="R245" s="81" t="n"/>
      <c r="S245" s="81">
        <f>IF($B245="","",IFERROR(INDEX(Task_Tracker!$AA$5:$AA$1004,MATCH($B245,Task_Tracker!$A$5:$A$1004,0)),""))</f>
        <v/>
      </c>
      <c r="T245" s="81">
        <f>IF($B245="","",IFERROR(INDEX(Task_Tracker!$AB$5:$AB$1004,MATCH($B245,Task_Tracker!$A$5:$A$1004,0)),""))</f>
        <v/>
      </c>
      <c r="U245" s="78">
        <f>IF($B245="","",IFERROR(INDEX(Task_Tracker!$F$5:$F$1004,MATCH($B245,Task_Tracker!$A$5:$A$1004,0)),""))</f>
        <v/>
      </c>
      <c r="V245" s="78">
        <f>IF($B245="","",IFERROR(INDEX(Task_Tracker!$I$5:$I$1004,MATCH($B245,Task_Tracker!$A$5:$A$1004,0)),""))</f>
        <v/>
      </c>
      <c r="W245" s="81">
        <f>IF(OR($D245="",$B245=""),"",$D245&amp;" | "&amp;$B245)</f>
        <v/>
      </c>
      <c r="X245" s="85">
        <f>IF($K245="","",TEXT($K245,"yyyy-mm"))</f>
        <v/>
      </c>
      <c r="Y245" s="81">
        <f>IF(OR($A245="",$T245=""),"","Included in Manager_Report")</f>
        <v/>
      </c>
    </row>
    <row r="246" ht="15" customHeight="1" s="40">
      <c r="A246" s="65">
        <f>IF(COUNTA(B246:G246)=0,"","STP-"&amp;TEXT(ROW()-4,"0000"))</f>
        <v/>
      </c>
      <c r="B246" s="78" t="n"/>
      <c r="C246" s="67">
        <f>IF($B246="","",IFERROR(INDEX(Task_Tracker!$D$5:$D$1004,MATCH($B246,Task_Tracker!$A$5:$A$1004,0)),""))</f>
        <v/>
      </c>
      <c r="D246" s="67">
        <f>IF($B246="","",IFERROR(INDEX(Task_Tracker!$B$5:$B$1004,MATCH($B246,Task_Tracker!$A$5:$A$1004,0)),""))</f>
        <v/>
      </c>
      <c r="E246" s="81" t="n"/>
      <c r="F246" s="81" t="n"/>
      <c r="G246" s="78" t="n"/>
      <c r="H246" s="78" t="n"/>
      <c r="I246" s="67">
        <f>IF($H246="","",IFERROR(INDEX(Action_Status_Map!$B$5:$B$11,MATCH($H246,Action_Status_Map!$A$5:$A$11,0)),""))</f>
        <v/>
      </c>
      <c r="J246" s="82" t="n"/>
      <c r="K246" s="82" t="n"/>
      <c r="L246" s="82" t="n"/>
      <c r="M246" s="83" t="n"/>
      <c r="N246" s="83" t="n"/>
      <c r="O246" s="66">
        <f>IF(OR($M246="",$N246=""),"",$N246-$M246)</f>
        <v/>
      </c>
      <c r="P246" s="84">
        <f>IF($J246="","",IF($L246&lt;&gt;"",$L246-$J246,TODAY()-$J246))</f>
        <v/>
      </c>
      <c r="Q246" s="85">
        <f>IF(OR($K246="",$H246="Completed",$H246="Cancelled"),"",IF(AND($K246&lt;TODAY(),$H246&lt;&gt;"Completed",$H246&lt;&gt;"Cancelled"),"Overdue","On Track"))</f>
        <v/>
      </c>
      <c r="R246" s="81" t="n"/>
      <c r="S246" s="81">
        <f>IF($B246="","",IFERROR(INDEX(Task_Tracker!$AA$5:$AA$1004,MATCH($B246,Task_Tracker!$A$5:$A$1004,0)),""))</f>
        <v/>
      </c>
      <c r="T246" s="81">
        <f>IF($B246="","",IFERROR(INDEX(Task_Tracker!$AB$5:$AB$1004,MATCH($B246,Task_Tracker!$A$5:$A$1004,0)),""))</f>
        <v/>
      </c>
      <c r="U246" s="78">
        <f>IF($B246="","",IFERROR(INDEX(Task_Tracker!$F$5:$F$1004,MATCH($B246,Task_Tracker!$A$5:$A$1004,0)),""))</f>
        <v/>
      </c>
      <c r="V246" s="78">
        <f>IF($B246="","",IFERROR(INDEX(Task_Tracker!$I$5:$I$1004,MATCH($B246,Task_Tracker!$A$5:$A$1004,0)),""))</f>
        <v/>
      </c>
      <c r="W246" s="81">
        <f>IF(OR($D246="",$B246=""),"",$D246&amp;" | "&amp;$B246)</f>
        <v/>
      </c>
      <c r="X246" s="85">
        <f>IF($K246="","",TEXT($K246,"yyyy-mm"))</f>
        <v/>
      </c>
      <c r="Y246" s="81">
        <f>IF(OR($A246="",$T246=""),"","Included in Manager_Report")</f>
        <v/>
      </c>
    </row>
    <row r="247" ht="15" customHeight="1" s="40">
      <c r="A247" s="65">
        <f>IF(COUNTA(B247:G247)=0,"","STP-"&amp;TEXT(ROW()-4,"0000"))</f>
        <v/>
      </c>
      <c r="B247" s="78" t="n"/>
      <c r="C247" s="67">
        <f>IF($B247="","",IFERROR(INDEX(Task_Tracker!$D$5:$D$1004,MATCH($B247,Task_Tracker!$A$5:$A$1004,0)),""))</f>
        <v/>
      </c>
      <c r="D247" s="67">
        <f>IF($B247="","",IFERROR(INDEX(Task_Tracker!$B$5:$B$1004,MATCH($B247,Task_Tracker!$A$5:$A$1004,0)),""))</f>
        <v/>
      </c>
      <c r="E247" s="81" t="n"/>
      <c r="F247" s="81" t="n"/>
      <c r="G247" s="78" t="n"/>
      <c r="H247" s="78" t="n"/>
      <c r="I247" s="67">
        <f>IF($H247="","",IFERROR(INDEX(Action_Status_Map!$B$5:$B$11,MATCH($H247,Action_Status_Map!$A$5:$A$11,0)),""))</f>
        <v/>
      </c>
      <c r="J247" s="82" t="n"/>
      <c r="K247" s="82" t="n"/>
      <c r="L247" s="82" t="n"/>
      <c r="M247" s="83" t="n"/>
      <c r="N247" s="83" t="n"/>
      <c r="O247" s="66">
        <f>IF(OR($M247="",$N247=""),"",$N247-$M247)</f>
        <v/>
      </c>
      <c r="P247" s="84">
        <f>IF($J247="","",IF($L247&lt;&gt;"",$L247-$J247,TODAY()-$J247))</f>
        <v/>
      </c>
      <c r="Q247" s="85">
        <f>IF(OR($K247="",$H247="Completed",$H247="Cancelled"),"",IF(AND($K247&lt;TODAY(),$H247&lt;&gt;"Completed",$H247&lt;&gt;"Cancelled"),"Overdue","On Track"))</f>
        <v/>
      </c>
      <c r="R247" s="81" t="n"/>
      <c r="S247" s="81">
        <f>IF($B247="","",IFERROR(INDEX(Task_Tracker!$AA$5:$AA$1004,MATCH($B247,Task_Tracker!$A$5:$A$1004,0)),""))</f>
        <v/>
      </c>
      <c r="T247" s="81">
        <f>IF($B247="","",IFERROR(INDEX(Task_Tracker!$AB$5:$AB$1004,MATCH($B247,Task_Tracker!$A$5:$A$1004,0)),""))</f>
        <v/>
      </c>
      <c r="U247" s="78">
        <f>IF($B247="","",IFERROR(INDEX(Task_Tracker!$F$5:$F$1004,MATCH($B247,Task_Tracker!$A$5:$A$1004,0)),""))</f>
        <v/>
      </c>
      <c r="V247" s="78">
        <f>IF($B247="","",IFERROR(INDEX(Task_Tracker!$I$5:$I$1004,MATCH($B247,Task_Tracker!$A$5:$A$1004,0)),""))</f>
        <v/>
      </c>
      <c r="W247" s="81">
        <f>IF(OR($D247="",$B247=""),"",$D247&amp;" | "&amp;$B247)</f>
        <v/>
      </c>
      <c r="X247" s="85">
        <f>IF($K247="","",TEXT($K247,"yyyy-mm"))</f>
        <v/>
      </c>
      <c r="Y247" s="81">
        <f>IF(OR($A247="",$T247=""),"","Included in Manager_Report")</f>
        <v/>
      </c>
    </row>
    <row r="248" ht="15" customHeight="1" s="40">
      <c r="A248" s="65">
        <f>IF(COUNTA(B248:G248)=0,"","STP-"&amp;TEXT(ROW()-4,"0000"))</f>
        <v/>
      </c>
      <c r="B248" s="78" t="n"/>
      <c r="C248" s="67">
        <f>IF($B248="","",IFERROR(INDEX(Task_Tracker!$D$5:$D$1004,MATCH($B248,Task_Tracker!$A$5:$A$1004,0)),""))</f>
        <v/>
      </c>
      <c r="D248" s="67">
        <f>IF($B248="","",IFERROR(INDEX(Task_Tracker!$B$5:$B$1004,MATCH($B248,Task_Tracker!$A$5:$A$1004,0)),""))</f>
        <v/>
      </c>
      <c r="E248" s="81" t="n"/>
      <c r="F248" s="81" t="n"/>
      <c r="G248" s="78" t="n"/>
      <c r="H248" s="78" t="n"/>
      <c r="I248" s="67">
        <f>IF($H248="","",IFERROR(INDEX(Action_Status_Map!$B$5:$B$11,MATCH($H248,Action_Status_Map!$A$5:$A$11,0)),""))</f>
        <v/>
      </c>
      <c r="J248" s="82" t="n"/>
      <c r="K248" s="82" t="n"/>
      <c r="L248" s="82" t="n"/>
      <c r="M248" s="83" t="n"/>
      <c r="N248" s="83" t="n"/>
      <c r="O248" s="66">
        <f>IF(OR($M248="",$N248=""),"",$N248-$M248)</f>
        <v/>
      </c>
      <c r="P248" s="84">
        <f>IF($J248="","",IF($L248&lt;&gt;"",$L248-$J248,TODAY()-$J248))</f>
        <v/>
      </c>
      <c r="Q248" s="85">
        <f>IF(OR($K248="",$H248="Completed",$H248="Cancelled"),"",IF(AND($K248&lt;TODAY(),$H248&lt;&gt;"Completed",$H248&lt;&gt;"Cancelled"),"Overdue","On Track"))</f>
        <v/>
      </c>
      <c r="R248" s="81" t="n"/>
      <c r="S248" s="81">
        <f>IF($B248="","",IFERROR(INDEX(Task_Tracker!$AA$5:$AA$1004,MATCH($B248,Task_Tracker!$A$5:$A$1004,0)),""))</f>
        <v/>
      </c>
      <c r="T248" s="81">
        <f>IF($B248="","",IFERROR(INDEX(Task_Tracker!$AB$5:$AB$1004,MATCH($B248,Task_Tracker!$A$5:$A$1004,0)),""))</f>
        <v/>
      </c>
      <c r="U248" s="78">
        <f>IF($B248="","",IFERROR(INDEX(Task_Tracker!$F$5:$F$1004,MATCH($B248,Task_Tracker!$A$5:$A$1004,0)),""))</f>
        <v/>
      </c>
      <c r="V248" s="78">
        <f>IF($B248="","",IFERROR(INDEX(Task_Tracker!$I$5:$I$1004,MATCH($B248,Task_Tracker!$A$5:$A$1004,0)),""))</f>
        <v/>
      </c>
      <c r="W248" s="81">
        <f>IF(OR($D248="",$B248=""),"",$D248&amp;" | "&amp;$B248)</f>
        <v/>
      </c>
      <c r="X248" s="85">
        <f>IF($K248="","",TEXT($K248,"yyyy-mm"))</f>
        <v/>
      </c>
      <c r="Y248" s="81">
        <f>IF(OR($A248="",$T248=""),"","Included in Manager_Report")</f>
        <v/>
      </c>
    </row>
    <row r="249" ht="15" customHeight="1" s="40">
      <c r="A249" s="65">
        <f>IF(COUNTA(B249:G249)=0,"","STP-"&amp;TEXT(ROW()-4,"0000"))</f>
        <v/>
      </c>
      <c r="B249" s="78" t="n"/>
      <c r="C249" s="67">
        <f>IF($B249="","",IFERROR(INDEX(Task_Tracker!$D$5:$D$1004,MATCH($B249,Task_Tracker!$A$5:$A$1004,0)),""))</f>
        <v/>
      </c>
      <c r="D249" s="67">
        <f>IF($B249="","",IFERROR(INDEX(Task_Tracker!$B$5:$B$1004,MATCH($B249,Task_Tracker!$A$5:$A$1004,0)),""))</f>
        <v/>
      </c>
      <c r="E249" s="81" t="n"/>
      <c r="F249" s="81" t="n"/>
      <c r="G249" s="78" t="n"/>
      <c r="H249" s="78" t="n"/>
      <c r="I249" s="67">
        <f>IF($H249="","",IFERROR(INDEX(Action_Status_Map!$B$5:$B$11,MATCH($H249,Action_Status_Map!$A$5:$A$11,0)),""))</f>
        <v/>
      </c>
      <c r="J249" s="82" t="n"/>
      <c r="K249" s="82" t="n"/>
      <c r="L249" s="82" t="n"/>
      <c r="M249" s="83" t="n"/>
      <c r="N249" s="83" t="n"/>
      <c r="O249" s="66">
        <f>IF(OR($M249="",$N249=""),"",$N249-$M249)</f>
        <v/>
      </c>
      <c r="P249" s="84">
        <f>IF($J249="","",IF($L249&lt;&gt;"",$L249-$J249,TODAY()-$J249))</f>
        <v/>
      </c>
      <c r="Q249" s="85">
        <f>IF(OR($K249="",$H249="Completed",$H249="Cancelled"),"",IF(AND($K249&lt;TODAY(),$H249&lt;&gt;"Completed",$H249&lt;&gt;"Cancelled"),"Overdue","On Track"))</f>
        <v/>
      </c>
      <c r="R249" s="81" t="n"/>
      <c r="S249" s="81">
        <f>IF($B249="","",IFERROR(INDEX(Task_Tracker!$AA$5:$AA$1004,MATCH($B249,Task_Tracker!$A$5:$A$1004,0)),""))</f>
        <v/>
      </c>
      <c r="T249" s="81">
        <f>IF($B249="","",IFERROR(INDEX(Task_Tracker!$AB$5:$AB$1004,MATCH($B249,Task_Tracker!$A$5:$A$1004,0)),""))</f>
        <v/>
      </c>
      <c r="U249" s="78">
        <f>IF($B249="","",IFERROR(INDEX(Task_Tracker!$F$5:$F$1004,MATCH($B249,Task_Tracker!$A$5:$A$1004,0)),""))</f>
        <v/>
      </c>
      <c r="V249" s="78">
        <f>IF($B249="","",IFERROR(INDEX(Task_Tracker!$I$5:$I$1004,MATCH($B249,Task_Tracker!$A$5:$A$1004,0)),""))</f>
        <v/>
      </c>
      <c r="W249" s="81">
        <f>IF(OR($D249="",$B249=""),"",$D249&amp;" | "&amp;$B249)</f>
        <v/>
      </c>
      <c r="X249" s="85">
        <f>IF($K249="","",TEXT($K249,"yyyy-mm"))</f>
        <v/>
      </c>
      <c r="Y249" s="81">
        <f>IF(OR($A249="",$T249=""),"","Included in Manager_Report")</f>
        <v/>
      </c>
    </row>
    <row r="250" ht="15" customHeight="1" s="40">
      <c r="A250" s="65">
        <f>IF(COUNTA(B250:G250)=0,"","STP-"&amp;TEXT(ROW()-4,"0000"))</f>
        <v/>
      </c>
      <c r="B250" s="78" t="n"/>
      <c r="C250" s="67">
        <f>IF($B250="","",IFERROR(INDEX(Task_Tracker!$D$5:$D$1004,MATCH($B250,Task_Tracker!$A$5:$A$1004,0)),""))</f>
        <v/>
      </c>
      <c r="D250" s="67">
        <f>IF($B250="","",IFERROR(INDEX(Task_Tracker!$B$5:$B$1004,MATCH($B250,Task_Tracker!$A$5:$A$1004,0)),""))</f>
        <v/>
      </c>
      <c r="E250" s="81" t="n"/>
      <c r="F250" s="81" t="n"/>
      <c r="G250" s="78" t="n"/>
      <c r="H250" s="78" t="n"/>
      <c r="I250" s="67">
        <f>IF($H250="","",IFERROR(INDEX(Action_Status_Map!$B$5:$B$11,MATCH($H250,Action_Status_Map!$A$5:$A$11,0)),""))</f>
        <v/>
      </c>
      <c r="J250" s="82" t="n"/>
      <c r="K250" s="82" t="n"/>
      <c r="L250" s="82" t="n"/>
      <c r="M250" s="83" t="n"/>
      <c r="N250" s="83" t="n"/>
      <c r="O250" s="66">
        <f>IF(OR($M250="",$N250=""),"",$N250-$M250)</f>
        <v/>
      </c>
      <c r="P250" s="84">
        <f>IF($J250="","",IF($L250&lt;&gt;"",$L250-$J250,TODAY()-$J250))</f>
        <v/>
      </c>
      <c r="Q250" s="85">
        <f>IF(OR($K250="",$H250="Completed",$H250="Cancelled"),"",IF(AND($K250&lt;TODAY(),$H250&lt;&gt;"Completed",$H250&lt;&gt;"Cancelled"),"Overdue","On Track"))</f>
        <v/>
      </c>
      <c r="R250" s="81" t="n"/>
      <c r="S250" s="81">
        <f>IF($B250="","",IFERROR(INDEX(Task_Tracker!$AA$5:$AA$1004,MATCH($B250,Task_Tracker!$A$5:$A$1004,0)),""))</f>
        <v/>
      </c>
      <c r="T250" s="81">
        <f>IF($B250="","",IFERROR(INDEX(Task_Tracker!$AB$5:$AB$1004,MATCH($B250,Task_Tracker!$A$5:$A$1004,0)),""))</f>
        <v/>
      </c>
      <c r="U250" s="78">
        <f>IF($B250="","",IFERROR(INDEX(Task_Tracker!$F$5:$F$1004,MATCH($B250,Task_Tracker!$A$5:$A$1004,0)),""))</f>
        <v/>
      </c>
      <c r="V250" s="78">
        <f>IF($B250="","",IFERROR(INDEX(Task_Tracker!$I$5:$I$1004,MATCH($B250,Task_Tracker!$A$5:$A$1004,0)),""))</f>
        <v/>
      </c>
      <c r="W250" s="81">
        <f>IF(OR($D250="",$B250=""),"",$D250&amp;" | "&amp;$B250)</f>
        <v/>
      </c>
      <c r="X250" s="85">
        <f>IF($K250="","",TEXT($K250,"yyyy-mm"))</f>
        <v/>
      </c>
      <c r="Y250" s="81">
        <f>IF(OR($A250="",$T250=""),"","Included in Manager_Report")</f>
        <v/>
      </c>
    </row>
    <row r="251" ht="15" customHeight="1" s="40">
      <c r="A251" s="65">
        <f>IF(COUNTA(B251:G251)=0,"","STP-"&amp;TEXT(ROW()-4,"0000"))</f>
        <v/>
      </c>
      <c r="B251" s="78" t="n"/>
      <c r="C251" s="67">
        <f>IF($B251="","",IFERROR(INDEX(Task_Tracker!$D$5:$D$1004,MATCH($B251,Task_Tracker!$A$5:$A$1004,0)),""))</f>
        <v/>
      </c>
      <c r="D251" s="67">
        <f>IF($B251="","",IFERROR(INDEX(Task_Tracker!$B$5:$B$1004,MATCH($B251,Task_Tracker!$A$5:$A$1004,0)),""))</f>
        <v/>
      </c>
      <c r="E251" s="81" t="n"/>
      <c r="F251" s="81" t="n"/>
      <c r="G251" s="78" t="n"/>
      <c r="H251" s="78" t="n"/>
      <c r="I251" s="67">
        <f>IF($H251="","",IFERROR(INDEX(Action_Status_Map!$B$5:$B$11,MATCH($H251,Action_Status_Map!$A$5:$A$11,0)),""))</f>
        <v/>
      </c>
      <c r="J251" s="82" t="n"/>
      <c r="K251" s="82" t="n"/>
      <c r="L251" s="82" t="n"/>
      <c r="M251" s="83" t="n"/>
      <c r="N251" s="83" t="n"/>
      <c r="O251" s="66">
        <f>IF(OR($M251="",$N251=""),"",$N251-$M251)</f>
        <v/>
      </c>
      <c r="P251" s="84">
        <f>IF($J251="","",IF($L251&lt;&gt;"",$L251-$J251,TODAY()-$J251))</f>
        <v/>
      </c>
      <c r="Q251" s="85">
        <f>IF(OR($K251="",$H251="Completed",$H251="Cancelled"),"",IF(AND($K251&lt;TODAY(),$H251&lt;&gt;"Completed",$H251&lt;&gt;"Cancelled"),"Overdue","On Track"))</f>
        <v/>
      </c>
      <c r="R251" s="81" t="n"/>
      <c r="S251" s="81">
        <f>IF($B251="","",IFERROR(INDEX(Task_Tracker!$AA$5:$AA$1004,MATCH($B251,Task_Tracker!$A$5:$A$1004,0)),""))</f>
        <v/>
      </c>
      <c r="T251" s="81">
        <f>IF($B251="","",IFERROR(INDEX(Task_Tracker!$AB$5:$AB$1004,MATCH($B251,Task_Tracker!$A$5:$A$1004,0)),""))</f>
        <v/>
      </c>
      <c r="U251" s="78">
        <f>IF($B251="","",IFERROR(INDEX(Task_Tracker!$F$5:$F$1004,MATCH($B251,Task_Tracker!$A$5:$A$1004,0)),""))</f>
        <v/>
      </c>
      <c r="V251" s="78">
        <f>IF($B251="","",IFERROR(INDEX(Task_Tracker!$I$5:$I$1004,MATCH($B251,Task_Tracker!$A$5:$A$1004,0)),""))</f>
        <v/>
      </c>
      <c r="W251" s="81">
        <f>IF(OR($D251="",$B251=""),"",$D251&amp;" | "&amp;$B251)</f>
        <v/>
      </c>
      <c r="X251" s="85">
        <f>IF($K251="","",TEXT($K251,"yyyy-mm"))</f>
        <v/>
      </c>
      <c r="Y251" s="81">
        <f>IF(OR($A251="",$T251=""),"","Included in Manager_Report")</f>
        <v/>
      </c>
    </row>
    <row r="252" ht="15" customHeight="1" s="40">
      <c r="A252" s="65">
        <f>IF(COUNTA(B252:G252)=0,"","STP-"&amp;TEXT(ROW()-4,"0000"))</f>
        <v/>
      </c>
      <c r="B252" s="78" t="n"/>
      <c r="C252" s="67">
        <f>IF($B252="","",IFERROR(INDEX(Task_Tracker!$D$5:$D$1004,MATCH($B252,Task_Tracker!$A$5:$A$1004,0)),""))</f>
        <v/>
      </c>
      <c r="D252" s="67">
        <f>IF($B252="","",IFERROR(INDEX(Task_Tracker!$B$5:$B$1004,MATCH($B252,Task_Tracker!$A$5:$A$1004,0)),""))</f>
        <v/>
      </c>
      <c r="E252" s="81" t="n"/>
      <c r="F252" s="81" t="n"/>
      <c r="G252" s="78" t="n"/>
      <c r="H252" s="78" t="n"/>
      <c r="I252" s="67">
        <f>IF($H252="","",IFERROR(INDEX(Action_Status_Map!$B$5:$B$11,MATCH($H252,Action_Status_Map!$A$5:$A$11,0)),""))</f>
        <v/>
      </c>
      <c r="J252" s="82" t="n"/>
      <c r="K252" s="82" t="n"/>
      <c r="L252" s="82" t="n"/>
      <c r="M252" s="83" t="n"/>
      <c r="N252" s="83" t="n"/>
      <c r="O252" s="66">
        <f>IF(OR($M252="",$N252=""),"",$N252-$M252)</f>
        <v/>
      </c>
      <c r="P252" s="84">
        <f>IF($J252="","",IF($L252&lt;&gt;"",$L252-$J252,TODAY()-$J252))</f>
        <v/>
      </c>
      <c r="Q252" s="85">
        <f>IF(OR($K252="",$H252="Completed",$H252="Cancelled"),"",IF(AND($K252&lt;TODAY(),$H252&lt;&gt;"Completed",$H252&lt;&gt;"Cancelled"),"Overdue","On Track"))</f>
        <v/>
      </c>
      <c r="R252" s="81" t="n"/>
      <c r="S252" s="81">
        <f>IF($B252="","",IFERROR(INDEX(Task_Tracker!$AA$5:$AA$1004,MATCH($B252,Task_Tracker!$A$5:$A$1004,0)),""))</f>
        <v/>
      </c>
      <c r="T252" s="81">
        <f>IF($B252="","",IFERROR(INDEX(Task_Tracker!$AB$5:$AB$1004,MATCH($B252,Task_Tracker!$A$5:$A$1004,0)),""))</f>
        <v/>
      </c>
      <c r="U252" s="78">
        <f>IF($B252="","",IFERROR(INDEX(Task_Tracker!$F$5:$F$1004,MATCH($B252,Task_Tracker!$A$5:$A$1004,0)),""))</f>
        <v/>
      </c>
      <c r="V252" s="78">
        <f>IF($B252="","",IFERROR(INDEX(Task_Tracker!$I$5:$I$1004,MATCH($B252,Task_Tracker!$A$5:$A$1004,0)),""))</f>
        <v/>
      </c>
      <c r="W252" s="81">
        <f>IF(OR($D252="",$B252=""),"",$D252&amp;" | "&amp;$B252)</f>
        <v/>
      </c>
      <c r="X252" s="85">
        <f>IF($K252="","",TEXT($K252,"yyyy-mm"))</f>
        <v/>
      </c>
      <c r="Y252" s="81">
        <f>IF(OR($A252="",$T252=""),"","Included in Manager_Report")</f>
        <v/>
      </c>
    </row>
    <row r="253" ht="15" customHeight="1" s="40">
      <c r="A253" s="65">
        <f>IF(COUNTA(B253:G253)=0,"","STP-"&amp;TEXT(ROW()-4,"0000"))</f>
        <v/>
      </c>
      <c r="B253" s="78" t="n"/>
      <c r="C253" s="67">
        <f>IF($B253="","",IFERROR(INDEX(Task_Tracker!$D$5:$D$1004,MATCH($B253,Task_Tracker!$A$5:$A$1004,0)),""))</f>
        <v/>
      </c>
      <c r="D253" s="67">
        <f>IF($B253="","",IFERROR(INDEX(Task_Tracker!$B$5:$B$1004,MATCH($B253,Task_Tracker!$A$5:$A$1004,0)),""))</f>
        <v/>
      </c>
      <c r="E253" s="81" t="n"/>
      <c r="F253" s="81" t="n"/>
      <c r="G253" s="78" t="n"/>
      <c r="H253" s="78" t="n"/>
      <c r="I253" s="67">
        <f>IF($H253="","",IFERROR(INDEX(Action_Status_Map!$B$5:$B$11,MATCH($H253,Action_Status_Map!$A$5:$A$11,0)),""))</f>
        <v/>
      </c>
      <c r="J253" s="82" t="n"/>
      <c r="K253" s="82" t="n"/>
      <c r="L253" s="82" t="n"/>
      <c r="M253" s="83" t="n"/>
      <c r="N253" s="83" t="n"/>
      <c r="O253" s="66">
        <f>IF(OR($M253="",$N253=""),"",$N253-$M253)</f>
        <v/>
      </c>
      <c r="P253" s="84">
        <f>IF($J253="","",IF($L253&lt;&gt;"",$L253-$J253,TODAY()-$J253))</f>
        <v/>
      </c>
      <c r="Q253" s="85">
        <f>IF(OR($K253="",$H253="Completed",$H253="Cancelled"),"",IF(AND($K253&lt;TODAY(),$H253&lt;&gt;"Completed",$H253&lt;&gt;"Cancelled"),"Overdue","On Track"))</f>
        <v/>
      </c>
      <c r="R253" s="81" t="n"/>
      <c r="S253" s="81">
        <f>IF($B253="","",IFERROR(INDEX(Task_Tracker!$AA$5:$AA$1004,MATCH($B253,Task_Tracker!$A$5:$A$1004,0)),""))</f>
        <v/>
      </c>
      <c r="T253" s="81">
        <f>IF($B253="","",IFERROR(INDEX(Task_Tracker!$AB$5:$AB$1004,MATCH($B253,Task_Tracker!$A$5:$A$1004,0)),""))</f>
        <v/>
      </c>
      <c r="U253" s="78">
        <f>IF($B253="","",IFERROR(INDEX(Task_Tracker!$F$5:$F$1004,MATCH($B253,Task_Tracker!$A$5:$A$1004,0)),""))</f>
        <v/>
      </c>
      <c r="V253" s="78">
        <f>IF($B253="","",IFERROR(INDEX(Task_Tracker!$I$5:$I$1004,MATCH($B253,Task_Tracker!$A$5:$A$1004,0)),""))</f>
        <v/>
      </c>
      <c r="W253" s="81">
        <f>IF(OR($D253="",$B253=""),"",$D253&amp;" | "&amp;$B253)</f>
        <v/>
      </c>
      <c r="X253" s="85">
        <f>IF($K253="","",TEXT($K253,"yyyy-mm"))</f>
        <v/>
      </c>
      <c r="Y253" s="81">
        <f>IF(OR($A253="",$T253=""),"","Included in Manager_Report")</f>
        <v/>
      </c>
    </row>
    <row r="254" ht="15" customHeight="1" s="40">
      <c r="A254" s="65">
        <f>IF(COUNTA(B254:G254)=0,"","STP-"&amp;TEXT(ROW()-4,"0000"))</f>
        <v/>
      </c>
      <c r="B254" s="78" t="n"/>
      <c r="C254" s="67">
        <f>IF($B254="","",IFERROR(INDEX(Task_Tracker!$D$5:$D$1004,MATCH($B254,Task_Tracker!$A$5:$A$1004,0)),""))</f>
        <v/>
      </c>
      <c r="D254" s="67">
        <f>IF($B254="","",IFERROR(INDEX(Task_Tracker!$B$5:$B$1004,MATCH($B254,Task_Tracker!$A$5:$A$1004,0)),""))</f>
        <v/>
      </c>
      <c r="E254" s="81" t="n"/>
      <c r="F254" s="81" t="n"/>
      <c r="G254" s="78" t="n"/>
      <c r="H254" s="78" t="n"/>
      <c r="I254" s="67">
        <f>IF($H254="","",IFERROR(INDEX(Action_Status_Map!$B$5:$B$11,MATCH($H254,Action_Status_Map!$A$5:$A$11,0)),""))</f>
        <v/>
      </c>
      <c r="J254" s="82" t="n"/>
      <c r="K254" s="82" t="n"/>
      <c r="L254" s="82" t="n"/>
      <c r="M254" s="83" t="n"/>
      <c r="N254" s="83" t="n"/>
      <c r="O254" s="66">
        <f>IF(OR($M254="",$N254=""),"",$N254-$M254)</f>
        <v/>
      </c>
      <c r="P254" s="84">
        <f>IF($J254="","",IF($L254&lt;&gt;"",$L254-$J254,TODAY()-$J254))</f>
        <v/>
      </c>
      <c r="Q254" s="85">
        <f>IF(OR($K254="",$H254="Completed",$H254="Cancelled"),"",IF(AND($K254&lt;TODAY(),$H254&lt;&gt;"Completed",$H254&lt;&gt;"Cancelled"),"Overdue","On Track"))</f>
        <v/>
      </c>
      <c r="R254" s="81" t="n"/>
      <c r="S254" s="81">
        <f>IF($B254="","",IFERROR(INDEX(Task_Tracker!$AA$5:$AA$1004,MATCH($B254,Task_Tracker!$A$5:$A$1004,0)),""))</f>
        <v/>
      </c>
      <c r="T254" s="81">
        <f>IF($B254="","",IFERROR(INDEX(Task_Tracker!$AB$5:$AB$1004,MATCH($B254,Task_Tracker!$A$5:$A$1004,0)),""))</f>
        <v/>
      </c>
      <c r="U254" s="78">
        <f>IF($B254="","",IFERROR(INDEX(Task_Tracker!$F$5:$F$1004,MATCH($B254,Task_Tracker!$A$5:$A$1004,0)),""))</f>
        <v/>
      </c>
      <c r="V254" s="78">
        <f>IF($B254="","",IFERROR(INDEX(Task_Tracker!$I$5:$I$1004,MATCH($B254,Task_Tracker!$A$5:$A$1004,0)),""))</f>
        <v/>
      </c>
      <c r="W254" s="81">
        <f>IF(OR($D254="",$B254=""),"",$D254&amp;" | "&amp;$B254)</f>
        <v/>
      </c>
      <c r="X254" s="85">
        <f>IF($K254="","",TEXT($K254,"yyyy-mm"))</f>
        <v/>
      </c>
      <c r="Y254" s="81">
        <f>IF(OR($A254="",$T254=""),"","Included in Manager_Report")</f>
        <v/>
      </c>
    </row>
    <row r="255" ht="15" customHeight="1" s="40">
      <c r="A255" s="65">
        <f>IF(COUNTA(B255:G255)=0,"","STP-"&amp;TEXT(ROW()-4,"0000"))</f>
        <v/>
      </c>
      <c r="B255" s="78" t="n"/>
      <c r="C255" s="67">
        <f>IF($B255="","",IFERROR(INDEX(Task_Tracker!$D$5:$D$1004,MATCH($B255,Task_Tracker!$A$5:$A$1004,0)),""))</f>
        <v/>
      </c>
      <c r="D255" s="67">
        <f>IF($B255="","",IFERROR(INDEX(Task_Tracker!$B$5:$B$1004,MATCH($B255,Task_Tracker!$A$5:$A$1004,0)),""))</f>
        <v/>
      </c>
      <c r="E255" s="81" t="n"/>
      <c r="F255" s="81" t="n"/>
      <c r="G255" s="78" t="n"/>
      <c r="H255" s="78" t="n"/>
      <c r="I255" s="67">
        <f>IF($H255="","",IFERROR(INDEX(Action_Status_Map!$B$5:$B$11,MATCH($H255,Action_Status_Map!$A$5:$A$11,0)),""))</f>
        <v/>
      </c>
      <c r="J255" s="82" t="n"/>
      <c r="K255" s="82" t="n"/>
      <c r="L255" s="82" t="n"/>
      <c r="M255" s="83" t="n"/>
      <c r="N255" s="83" t="n"/>
      <c r="O255" s="66">
        <f>IF(OR($M255="",$N255=""),"",$N255-$M255)</f>
        <v/>
      </c>
      <c r="P255" s="84">
        <f>IF($J255="","",IF($L255&lt;&gt;"",$L255-$J255,TODAY()-$J255))</f>
        <v/>
      </c>
      <c r="Q255" s="85">
        <f>IF(OR($K255="",$H255="Completed",$H255="Cancelled"),"",IF(AND($K255&lt;TODAY(),$H255&lt;&gt;"Completed",$H255&lt;&gt;"Cancelled"),"Overdue","On Track"))</f>
        <v/>
      </c>
      <c r="R255" s="81" t="n"/>
      <c r="S255" s="81">
        <f>IF($B255="","",IFERROR(INDEX(Task_Tracker!$AA$5:$AA$1004,MATCH($B255,Task_Tracker!$A$5:$A$1004,0)),""))</f>
        <v/>
      </c>
      <c r="T255" s="81">
        <f>IF($B255="","",IFERROR(INDEX(Task_Tracker!$AB$5:$AB$1004,MATCH($B255,Task_Tracker!$A$5:$A$1004,0)),""))</f>
        <v/>
      </c>
      <c r="U255" s="78">
        <f>IF($B255="","",IFERROR(INDEX(Task_Tracker!$F$5:$F$1004,MATCH($B255,Task_Tracker!$A$5:$A$1004,0)),""))</f>
        <v/>
      </c>
      <c r="V255" s="78">
        <f>IF($B255="","",IFERROR(INDEX(Task_Tracker!$I$5:$I$1004,MATCH($B255,Task_Tracker!$A$5:$A$1004,0)),""))</f>
        <v/>
      </c>
      <c r="W255" s="81">
        <f>IF(OR($D255="",$B255=""),"",$D255&amp;" | "&amp;$B255)</f>
        <v/>
      </c>
      <c r="X255" s="85">
        <f>IF($K255="","",TEXT($K255,"yyyy-mm"))</f>
        <v/>
      </c>
      <c r="Y255" s="81">
        <f>IF(OR($A255="",$T255=""),"","Included in Manager_Report")</f>
        <v/>
      </c>
    </row>
    <row r="256" ht="15" customHeight="1" s="40">
      <c r="A256" s="65">
        <f>IF(COUNTA(B256:G256)=0,"","STP-"&amp;TEXT(ROW()-4,"0000"))</f>
        <v/>
      </c>
      <c r="B256" s="78" t="n"/>
      <c r="C256" s="67">
        <f>IF($B256="","",IFERROR(INDEX(Task_Tracker!$D$5:$D$1004,MATCH($B256,Task_Tracker!$A$5:$A$1004,0)),""))</f>
        <v/>
      </c>
      <c r="D256" s="67">
        <f>IF($B256="","",IFERROR(INDEX(Task_Tracker!$B$5:$B$1004,MATCH($B256,Task_Tracker!$A$5:$A$1004,0)),""))</f>
        <v/>
      </c>
      <c r="E256" s="81" t="n"/>
      <c r="F256" s="81" t="n"/>
      <c r="G256" s="78" t="n"/>
      <c r="H256" s="78" t="n"/>
      <c r="I256" s="67">
        <f>IF($H256="","",IFERROR(INDEX(Action_Status_Map!$B$5:$B$11,MATCH($H256,Action_Status_Map!$A$5:$A$11,0)),""))</f>
        <v/>
      </c>
      <c r="J256" s="82" t="n"/>
      <c r="K256" s="82" t="n"/>
      <c r="L256" s="82" t="n"/>
      <c r="M256" s="83" t="n"/>
      <c r="N256" s="83" t="n"/>
      <c r="O256" s="66">
        <f>IF(OR($M256="",$N256=""),"",$N256-$M256)</f>
        <v/>
      </c>
      <c r="P256" s="84">
        <f>IF($J256="","",IF($L256&lt;&gt;"",$L256-$J256,TODAY()-$J256))</f>
        <v/>
      </c>
      <c r="Q256" s="85">
        <f>IF(OR($K256="",$H256="Completed",$H256="Cancelled"),"",IF(AND($K256&lt;TODAY(),$H256&lt;&gt;"Completed",$H256&lt;&gt;"Cancelled"),"Overdue","On Track"))</f>
        <v/>
      </c>
      <c r="R256" s="81" t="n"/>
      <c r="S256" s="81">
        <f>IF($B256="","",IFERROR(INDEX(Task_Tracker!$AA$5:$AA$1004,MATCH($B256,Task_Tracker!$A$5:$A$1004,0)),""))</f>
        <v/>
      </c>
      <c r="T256" s="81">
        <f>IF($B256="","",IFERROR(INDEX(Task_Tracker!$AB$5:$AB$1004,MATCH($B256,Task_Tracker!$A$5:$A$1004,0)),""))</f>
        <v/>
      </c>
      <c r="U256" s="78">
        <f>IF($B256="","",IFERROR(INDEX(Task_Tracker!$F$5:$F$1004,MATCH($B256,Task_Tracker!$A$5:$A$1004,0)),""))</f>
        <v/>
      </c>
      <c r="V256" s="78">
        <f>IF($B256="","",IFERROR(INDEX(Task_Tracker!$I$5:$I$1004,MATCH($B256,Task_Tracker!$A$5:$A$1004,0)),""))</f>
        <v/>
      </c>
      <c r="W256" s="81">
        <f>IF(OR($D256="",$B256=""),"",$D256&amp;" | "&amp;$B256)</f>
        <v/>
      </c>
      <c r="X256" s="85">
        <f>IF($K256="","",TEXT($K256,"yyyy-mm"))</f>
        <v/>
      </c>
      <c r="Y256" s="81">
        <f>IF(OR($A256="",$T256=""),"","Included in Manager_Report")</f>
        <v/>
      </c>
    </row>
    <row r="257" ht="15" customHeight="1" s="40">
      <c r="A257" s="65">
        <f>IF(COUNTA(B257:G257)=0,"","STP-"&amp;TEXT(ROW()-4,"0000"))</f>
        <v/>
      </c>
      <c r="B257" s="78" t="n"/>
      <c r="C257" s="67">
        <f>IF($B257="","",IFERROR(INDEX(Task_Tracker!$D$5:$D$1004,MATCH($B257,Task_Tracker!$A$5:$A$1004,0)),""))</f>
        <v/>
      </c>
      <c r="D257" s="67">
        <f>IF($B257="","",IFERROR(INDEX(Task_Tracker!$B$5:$B$1004,MATCH($B257,Task_Tracker!$A$5:$A$1004,0)),""))</f>
        <v/>
      </c>
      <c r="E257" s="81" t="n"/>
      <c r="F257" s="81" t="n"/>
      <c r="G257" s="78" t="n"/>
      <c r="H257" s="78" t="n"/>
      <c r="I257" s="67">
        <f>IF($H257="","",IFERROR(INDEX(Action_Status_Map!$B$5:$B$11,MATCH($H257,Action_Status_Map!$A$5:$A$11,0)),""))</f>
        <v/>
      </c>
      <c r="J257" s="82" t="n"/>
      <c r="K257" s="82" t="n"/>
      <c r="L257" s="82" t="n"/>
      <c r="M257" s="83" t="n"/>
      <c r="N257" s="83" t="n"/>
      <c r="O257" s="66">
        <f>IF(OR($M257="",$N257=""),"",$N257-$M257)</f>
        <v/>
      </c>
      <c r="P257" s="84">
        <f>IF($J257="","",IF($L257&lt;&gt;"",$L257-$J257,TODAY()-$J257))</f>
        <v/>
      </c>
      <c r="Q257" s="85">
        <f>IF(OR($K257="",$H257="Completed",$H257="Cancelled"),"",IF(AND($K257&lt;TODAY(),$H257&lt;&gt;"Completed",$H257&lt;&gt;"Cancelled"),"Overdue","On Track"))</f>
        <v/>
      </c>
      <c r="R257" s="81" t="n"/>
      <c r="S257" s="81">
        <f>IF($B257="","",IFERROR(INDEX(Task_Tracker!$AA$5:$AA$1004,MATCH($B257,Task_Tracker!$A$5:$A$1004,0)),""))</f>
        <v/>
      </c>
      <c r="T257" s="81">
        <f>IF($B257="","",IFERROR(INDEX(Task_Tracker!$AB$5:$AB$1004,MATCH($B257,Task_Tracker!$A$5:$A$1004,0)),""))</f>
        <v/>
      </c>
      <c r="U257" s="78">
        <f>IF($B257="","",IFERROR(INDEX(Task_Tracker!$F$5:$F$1004,MATCH($B257,Task_Tracker!$A$5:$A$1004,0)),""))</f>
        <v/>
      </c>
      <c r="V257" s="78">
        <f>IF($B257="","",IFERROR(INDEX(Task_Tracker!$I$5:$I$1004,MATCH($B257,Task_Tracker!$A$5:$A$1004,0)),""))</f>
        <v/>
      </c>
      <c r="W257" s="81">
        <f>IF(OR($D257="",$B257=""),"",$D257&amp;" | "&amp;$B257)</f>
        <v/>
      </c>
      <c r="X257" s="85">
        <f>IF($K257="","",TEXT($K257,"yyyy-mm"))</f>
        <v/>
      </c>
      <c r="Y257" s="81">
        <f>IF(OR($A257="",$T257=""),"","Included in Manager_Report")</f>
        <v/>
      </c>
    </row>
    <row r="258" ht="15" customHeight="1" s="40">
      <c r="A258" s="65">
        <f>IF(COUNTA(B258:G258)=0,"","STP-"&amp;TEXT(ROW()-4,"0000"))</f>
        <v/>
      </c>
      <c r="B258" s="78" t="n"/>
      <c r="C258" s="67">
        <f>IF($B258="","",IFERROR(INDEX(Task_Tracker!$D$5:$D$1004,MATCH($B258,Task_Tracker!$A$5:$A$1004,0)),""))</f>
        <v/>
      </c>
      <c r="D258" s="67">
        <f>IF($B258="","",IFERROR(INDEX(Task_Tracker!$B$5:$B$1004,MATCH($B258,Task_Tracker!$A$5:$A$1004,0)),""))</f>
        <v/>
      </c>
      <c r="E258" s="81" t="n"/>
      <c r="F258" s="81" t="n"/>
      <c r="G258" s="78" t="n"/>
      <c r="H258" s="78" t="n"/>
      <c r="I258" s="67">
        <f>IF($H258="","",IFERROR(INDEX(Action_Status_Map!$B$5:$B$11,MATCH($H258,Action_Status_Map!$A$5:$A$11,0)),""))</f>
        <v/>
      </c>
      <c r="J258" s="82" t="n"/>
      <c r="K258" s="82" t="n"/>
      <c r="L258" s="82" t="n"/>
      <c r="M258" s="83" t="n"/>
      <c r="N258" s="83" t="n"/>
      <c r="O258" s="66">
        <f>IF(OR($M258="",$N258=""),"",$N258-$M258)</f>
        <v/>
      </c>
      <c r="P258" s="84">
        <f>IF($J258="","",IF($L258&lt;&gt;"",$L258-$J258,TODAY()-$J258))</f>
        <v/>
      </c>
      <c r="Q258" s="85">
        <f>IF(OR($K258="",$H258="Completed",$H258="Cancelled"),"",IF(AND($K258&lt;TODAY(),$H258&lt;&gt;"Completed",$H258&lt;&gt;"Cancelled"),"Overdue","On Track"))</f>
        <v/>
      </c>
      <c r="R258" s="81" t="n"/>
      <c r="S258" s="81">
        <f>IF($B258="","",IFERROR(INDEX(Task_Tracker!$AA$5:$AA$1004,MATCH($B258,Task_Tracker!$A$5:$A$1004,0)),""))</f>
        <v/>
      </c>
      <c r="T258" s="81">
        <f>IF($B258="","",IFERROR(INDEX(Task_Tracker!$AB$5:$AB$1004,MATCH($B258,Task_Tracker!$A$5:$A$1004,0)),""))</f>
        <v/>
      </c>
      <c r="U258" s="78">
        <f>IF($B258="","",IFERROR(INDEX(Task_Tracker!$F$5:$F$1004,MATCH($B258,Task_Tracker!$A$5:$A$1004,0)),""))</f>
        <v/>
      </c>
      <c r="V258" s="78">
        <f>IF($B258="","",IFERROR(INDEX(Task_Tracker!$I$5:$I$1004,MATCH($B258,Task_Tracker!$A$5:$A$1004,0)),""))</f>
        <v/>
      </c>
      <c r="W258" s="81">
        <f>IF(OR($D258="",$B258=""),"",$D258&amp;" | "&amp;$B258)</f>
        <v/>
      </c>
      <c r="X258" s="85">
        <f>IF($K258="","",TEXT($K258,"yyyy-mm"))</f>
        <v/>
      </c>
      <c r="Y258" s="81">
        <f>IF(OR($A258="",$T258=""),"","Included in Manager_Report")</f>
        <v/>
      </c>
    </row>
    <row r="259" ht="15" customHeight="1" s="40">
      <c r="A259" s="65">
        <f>IF(COUNTA(B259:G259)=0,"","STP-"&amp;TEXT(ROW()-4,"0000"))</f>
        <v/>
      </c>
      <c r="B259" s="78" t="n"/>
      <c r="C259" s="67">
        <f>IF($B259="","",IFERROR(INDEX(Task_Tracker!$D$5:$D$1004,MATCH($B259,Task_Tracker!$A$5:$A$1004,0)),""))</f>
        <v/>
      </c>
      <c r="D259" s="67">
        <f>IF($B259="","",IFERROR(INDEX(Task_Tracker!$B$5:$B$1004,MATCH($B259,Task_Tracker!$A$5:$A$1004,0)),""))</f>
        <v/>
      </c>
      <c r="E259" s="81" t="n"/>
      <c r="F259" s="81" t="n"/>
      <c r="G259" s="78" t="n"/>
      <c r="H259" s="78" t="n"/>
      <c r="I259" s="67">
        <f>IF($H259="","",IFERROR(INDEX(Action_Status_Map!$B$5:$B$11,MATCH($H259,Action_Status_Map!$A$5:$A$11,0)),""))</f>
        <v/>
      </c>
      <c r="J259" s="82" t="n"/>
      <c r="K259" s="82" t="n"/>
      <c r="L259" s="82" t="n"/>
      <c r="M259" s="83" t="n"/>
      <c r="N259" s="83" t="n"/>
      <c r="O259" s="66">
        <f>IF(OR($M259="",$N259=""),"",$N259-$M259)</f>
        <v/>
      </c>
      <c r="P259" s="84">
        <f>IF($J259="","",IF($L259&lt;&gt;"",$L259-$J259,TODAY()-$J259))</f>
        <v/>
      </c>
      <c r="Q259" s="85">
        <f>IF(OR($K259="",$H259="Completed",$H259="Cancelled"),"",IF(AND($K259&lt;TODAY(),$H259&lt;&gt;"Completed",$H259&lt;&gt;"Cancelled"),"Overdue","On Track"))</f>
        <v/>
      </c>
      <c r="R259" s="81" t="n"/>
      <c r="S259" s="81">
        <f>IF($B259="","",IFERROR(INDEX(Task_Tracker!$AA$5:$AA$1004,MATCH($B259,Task_Tracker!$A$5:$A$1004,0)),""))</f>
        <v/>
      </c>
      <c r="T259" s="81">
        <f>IF($B259="","",IFERROR(INDEX(Task_Tracker!$AB$5:$AB$1004,MATCH($B259,Task_Tracker!$A$5:$A$1004,0)),""))</f>
        <v/>
      </c>
      <c r="U259" s="78">
        <f>IF($B259="","",IFERROR(INDEX(Task_Tracker!$F$5:$F$1004,MATCH($B259,Task_Tracker!$A$5:$A$1004,0)),""))</f>
        <v/>
      </c>
      <c r="V259" s="78">
        <f>IF($B259="","",IFERROR(INDEX(Task_Tracker!$I$5:$I$1004,MATCH($B259,Task_Tracker!$A$5:$A$1004,0)),""))</f>
        <v/>
      </c>
      <c r="W259" s="81">
        <f>IF(OR($D259="",$B259=""),"",$D259&amp;" | "&amp;$B259)</f>
        <v/>
      </c>
      <c r="X259" s="85">
        <f>IF($K259="","",TEXT($K259,"yyyy-mm"))</f>
        <v/>
      </c>
      <c r="Y259" s="81">
        <f>IF(OR($A259="",$T259=""),"","Included in Manager_Report")</f>
        <v/>
      </c>
    </row>
    <row r="260" ht="15" customHeight="1" s="40">
      <c r="A260" s="65">
        <f>IF(COUNTA(B260:G260)=0,"","STP-"&amp;TEXT(ROW()-4,"0000"))</f>
        <v/>
      </c>
      <c r="B260" s="78" t="n"/>
      <c r="C260" s="67">
        <f>IF($B260="","",IFERROR(INDEX(Task_Tracker!$D$5:$D$1004,MATCH($B260,Task_Tracker!$A$5:$A$1004,0)),""))</f>
        <v/>
      </c>
      <c r="D260" s="67">
        <f>IF($B260="","",IFERROR(INDEX(Task_Tracker!$B$5:$B$1004,MATCH($B260,Task_Tracker!$A$5:$A$1004,0)),""))</f>
        <v/>
      </c>
      <c r="E260" s="81" t="n"/>
      <c r="F260" s="81" t="n"/>
      <c r="G260" s="78" t="n"/>
      <c r="H260" s="78" t="n"/>
      <c r="I260" s="67">
        <f>IF($H260="","",IFERROR(INDEX(Action_Status_Map!$B$5:$B$11,MATCH($H260,Action_Status_Map!$A$5:$A$11,0)),""))</f>
        <v/>
      </c>
      <c r="J260" s="82" t="n"/>
      <c r="K260" s="82" t="n"/>
      <c r="L260" s="82" t="n"/>
      <c r="M260" s="83" t="n"/>
      <c r="N260" s="83" t="n"/>
      <c r="O260" s="66">
        <f>IF(OR($M260="",$N260=""),"",$N260-$M260)</f>
        <v/>
      </c>
      <c r="P260" s="84">
        <f>IF($J260="","",IF($L260&lt;&gt;"",$L260-$J260,TODAY()-$J260))</f>
        <v/>
      </c>
      <c r="Q260" s="85">
        <f>IF(OR($K260="",$H260="Completed",$H260="Cancelled"),"",IF(AND($K260&lt;TODAY(),$H260&lt;&gt;"Completed",$H260&lt;&gt;"Cancelled"),"Overdue","On Track"))</f>
        <v/>
      </c>
      <c r="R260" s="81" t="n"/>
      <c r="S260" s="81">
        <f>IF($B260="","",IFERROR(INDEX(Task_Tracker!$AA$5:$AA$1004,MATCH($B260,Task_Tracker!$A$5:$A$1004,0)),""))</f>
        <v/>
      </c>
      <c r="T260" s="81">
        <f>IF($B260="","",IFERROR(INDEX(Task_Tracker!$AB$5:$AB$1004,MATCH($B260,Task_Tracker!$A$5:$A$1004,0)),""))</f>
        <v/>
      </c>
      <c r="U260" s="78">
        <f>IF($B260="","",IFERROR(INDEX(Task_Tracker!$F$5:$F$1004,MATCH($B260,Task_Tracker!$A$5:$A$1004,0)),""))</f>
        <v/>
      </c>
      <c r="V260" s="78">
        <f>IF($B260="","",IFERROR(INDEX(Task_Tracker!$I$5:$I$1004,MATCH($B260,Task_Tracker!$A$5:$A$1004,0)),""))</f>
        <v/>
      </c>
      <c r="W260" s="81">
        <f>IF(OR($D260="",$B260=""),"",$D260&amp;" | "&amp;$B260)</f>
        <v/>
      </c>
      <c r="X260" s="85">
        <f>IF($K260="","",TEXT($K260,"yyyy-mm"))</f>
        <v/>
      </c>
      <c r="Y260" s="81">
        <f>IF(OR($A260="",$T260=""),"","Included in Manager_Report")</f>
        <v/>
      </c>
    </row>
    <row r="261" ht="15" customHeight="1" s="40">
      <c r="A261" s="65">
        <f>IF(COUNTA(B261:G261)=0,"","STP-"&amp;TEXT(ROW()-4,"0000"))</f>
        <v/>
      </c>
      <c r="B261" s="78" t="n"/>
      <c r="C261" s="67">
        <f>IF($B261="","",IFERROR(INDEX(Task_Tracker!$D$5:$D$1004,MATCH($B261,Task_Tracker!$A$5:$A$1004,0)),""))</f>
        <v/>
      </c>
      <c r="D261" s="67">
        <f>IF($B261="","",IFERROR(INDEX(Task_Tracker!$B$5:$B$1004,MATCH($B261,Task_Tracker!$A$5:$A$1004,0)),""))</f>
        <v/>
      </c>
      <c r="E261" s="81" t="n"/>
      <c r="F261" s="81" t="n"/>
      <c r="G261" s="78" t="n"/>
      <c r="H261" s="78" t="n"/>
      <c r="I261" s="67">
        <f>IF($H261="","",IFERROR(INDEX(Action_Status_Map!$B$5:$B$11,MATCH($H261,Action_Status_Map!$A$5:$A$11,0)),""))</f>
        <v/>
      </c>
      <c r="J261" s="82" t="n"/>
      <c r="K261" s="82" t="n"/>
      <c r="L261" s="82" t="n"/>
      <c r="M261" s="83" t="n"/>
      <c r="N261" s="83" t="n"/>
      <c r="O261" s="66">
        <f>IF(OR($M261="",$N261=""),"",$N261-$M261)</f>
        <v/>
      </c>
      <c r="P261" s="84">
        <f>IF($J261="","",IF($L261&lt;&gt;"",$L261-$J261,TODAY()-$J261))</f>
        <v/>
      </c>
      <c r="Q261" s="85">
        <f>IF(OR($K261="",$H261="Completed",$H261="Cancelled"),"",IF(AND($K261&lt;TODAY(),$H261&lt;&gt;"Completed",$H261&lt;&gt;"Cancelled"),"Overdue","On Track"))</f>
        <v/>
      </c>
      <c r="R261" s="81" t="n"/>
      <c r="S261" s="81">
        <f>IF($B261="","",IFERROR(INDEX(Task_Tracker!$AA$5:$AA$1004,MATCH($B261,Task_Tracker!$A$5:$A$1004,0)),""))</f>
        <v/>
      </c>
      <c r="T261" s="81">
        <f>IF($B261="","",IFERROR(INDEX(Task_Tracker!$AB$5:$AB$1004,MATCH($B261,Task_Tracker!$A$5:$A$1004,0)),""))</f>
        <v/>
      </c>
      <c r="U261" s="78">
        <f>IF($B261="","",IFERROR(INDEX(Task_Tracker!$F$5:$F$1004,MATCH($B261,Task_Tracker!$A$5:$A$1004,0)),""))</f>
        <v/>
      </c>
      <c r="V261" s="78">
        <f>IF($B261="","",IFERROR(INDEX(Task_Tracker!$I$5:$I$1004,MATCH($B261,Task_Tracker!$A$5:$A$1004,0)),""))</f>
        <v/>
      </c>
      <c r="W261" s="81">
        <f>IF(OR($D261="",$B261=""),"",$D261&amp;" | "&amp;$B261)</f>
        <v/>
      </c>
      <c r="X261" s="85">
        <f>IF($K261="","",TEXT($K261,"yyyy-mm"))</f>
        <v/>
      </c>
      <c r="Y261" s="81">
        <f>IF(OR($A261="",$T261=""),"","Included in Manager_Report")</f>
        <v/>
      </c>
    </row>
    <row r="262" ht="15" customHeight="1" s="40">
      <c r="A262" s="65">
        <f>IF(COUNTA(B262:G262)=0,"","STP-"&amp;TEXT(ROW()-4,"0000"))</f>
        <v/>
      </c>
      <c r="B262" s="78" t="n"/>
      <c r="C262" s="67">
        <f>IF($B262="","",IFERROR(INDEX(Task_Tracker!$D$5:$D$1004,MATCH($B262,Task_Tracker!$A$5:$A$1004,0)),""))</f>
        <v/>
      </c>
      <c r="D262" s="67">
        <f>IF($B262="","",IFERROR(INDEX(Task_Tracker!$B$5:$B$1004,MATCH($B262,Task_Tracker!$A$5:$A$1004,0)),""))</f>
        <v/>
      </c>
      <c r="E262" s="81" t="n"/>
      <c r="F262" s="81" t="n"/>
      <c r="G262" s="78" t="n"/>
      <c r="H262" s="78" t="n"/>
      <c r="I262" s="67">
        <f>IF($H262="","",IFERROR(INDEX(Action_Status_Map!$B$5:$B$11,MATCH($H262,Action_Status_Map!$A$5:$A$11,0)),""))</f>
        <v/>
      </c>
      <c r="J262" s="82" t="n"/>
      <c r="K262" s="82" t="n"/>
      <c r="L262" s="82" t="n"/>
      <c r="M262" s="83" t="n"/>
      <c r="N262" s="83" t="n"/>
      <c r="O262" s="66">
        <f>IF(OR($M262="",$N262=""),"",$N262-$M262)</f>
        <v/>
      </c>
      <c r="P262" s="84">
        <f>IF($J262="","",IF($L262&lt;&gt;"",$L262-$J262,TODAY()-$J262))</f>
        <v/>
      </c>
      <c r="Q262" s="85">
        <f>IF(OR($K262="",$H262="Completed",$H262="Cancelled"),"",IF(AND($K262&lt;TODAY(),$H262&lt;&gt;"Completed",$H262&lt;&gt;"Cancelled"),"Overdue","On Track"))</f>
        <v/>
      </c>
      <c r="R262" s="81" t="n"/>
      <c r="S262" s="81">
        <f>IF($B262="","",IFERROR(INDEX(Task_Tracker!$AA$5:$AA$1004,MATCH($B262,Task_Tracker!$A$5:$A$1004,0)),""))</f>
        <v/>
      </c>
      <c r="T262" s="81">
        <f>IF($B262="","",IFERROR(INDEX(Task_Tracker!$AB$5:$AB$1004,MATCH($B262,Task_Tracker!$A$5:$A$1004,0)),""))</f>
        <v/>
      </c>
      <c r="U262" s="78">
        <f>IF($B262="","",IFERROR(INDEX(Task_Tracker!$F$5:$F$1004,MATCH($B262,Task_Tracker!$A$5:$A$1004,0)),""))</f>
        <v/>
      </c>
      <c r="V262" s="78">
        <f>IF($B262="","",IFERROR(INDEX(Task_Tracker!$I$5:$I$1004,MATCH($B262,Task_Tracker!$A$5:$A$1004,0)),""))</f>
        <v/>
      </c>
      <c r="W262" s="81">
        <f>IF(OR($D262="",$B262=""),"",$D262&amp;" | "&amp;$B262)</f>
        <v/>
      </c>
      <c r="X262" s="85">
        <f>IF($K262="","",TEXT($K262,"yyyy-mm"))</f>
        <v/>
      </c>
      <c r="Y262" s="81">
        <f>IF(OR($A262="",$T262=""),"","Included in Manager_Report")</f>
        <v/>
      </c>
    </row>
    <row r="263" ht="15" customHeight="1" s="40">
      <c r="A263" s="65">
        <f>IF(COUNTA(B263:G263)=0,"","STP-"&amp;TEXT(ROW()-4,"0000"))</f>
        <v/>
      </c>
      <c r="B263" s="78" t="n"/>
      <c r="C263" s="67">
        <f>IF($B263="","",IFERROR(INDEX(Task_Tracker!$D$5:$D$1004,MATCH($B263,Task_Tracker!$A$5:$A$1004,0)),""))</f>
        <v/>
      </c>
      <c r="D263" s="67">
        <f>IF($B263="","",IFERROR(INDEX(Task_Tracker!$B$5:$B$1004,MATCH($B263,Task_Tracker!$A$5:$A$1004,0)),""))</f>
        <v/>
      </c>
      <c r="E263" s="81" t="n"/>
      <c r="F263" s="81" t="n"/>
      <c r="G263" s="78" t="n"/>
      <c r="H263" s="78" t="n"/>
      <c r="I263" s="67">
        <f>IF($H263="","",IFERROR(INDEX(Action_Status_Map!$B$5:$B$11,MATCH($H263,Action_Status_Map!$A$5:$A$11,0)),""))</f>
        <v/>
      </c>
      <c r="J263" s="82" t="n"/>
      <c r="K263" s="82" t="n"/>
      <c r="L263" s="82" t="n"/>
      <c r="M263" s="83" t="n"/>
      <c r="N263" s="83" t="n"/>
      <c r="O263" s="66">
        <f>IF(OR($M263="",$N263=""),"",$N263-$M263)</f>
        <v/>
      </c>
      <c r="P263" s="84">
        <f>IF($J263="","",IF($L263&lt;&gt;"",$L263-$J263,TODAY()-$J263))</f>
        <v/>
      </c>
      <c r="Q263" s="85">
        <f>IF(OR($K263="",$H263="Completed",$H263="Cancelled"),"",IF(AND($K263&lt;TODAY(),$H263&lt;&gt;"Completed",$H263&lt;&gt;"Cancelled"),"Overdue","On Track"))</f>
        <v/>
      </c>
      <c r="R263" s="81" t="n"/>
      <c r="S263" s="81">
        <f>IF($B263="","",IFERROR(INDEX(Task_Tracker!$AA$5:$AA$1004,MATCH($B263,Task_Tracker!$A$5:$A$1004,0)),""))</f>
        <v/>
      </c>
      <c r="T263" s="81">
        <f>IF($B263="","",IFERROR(INDEX(Task_Tracker!$AB$5:$AB$1004,MATCH($B263,Task_Tracker!$A$5:$A$1004,0)),""))</f>
        <v/>
      </c>
      <c r="U263" s="78">
        <f>IF($B263="","",IFERROR(INDEX(Task_Tracker!$F$5:$F$1004,MATCH($B263,Task_Tracker!$A$5:$A$1004,0)),""))</f>
        <v/>
      </c>
      <c r="V263" s="78">
        <f>IF($B263="","",IFERROR(INDEX(Task_Tracker!$I$5:$I$1004,MATCH($B263,Task_Tracker!$A$5:$A$1004,0)),""))</f>
        <v/>
      </c>
      <c r="W263" s="81">
        <f>IF(OR($D263="",$B263=""),"",$D263&amp;" | "&amp;$B263)</f>
        <v/>
      </c>
      <c r="X263" s="85">
        <f>IF($K263="","",TEXT($K263,"yyyy-mm"))</f>
        <v/>
      </c>
      <c r="Y263" s="81">
        <f>IF(OR($A263="",$T263=""),"","Included in Manager_Report")</f>
        <v/>
      </c>
    </row>
    <row r="264" ht="15" customHeight="1" s="40">
      <c r="A264" s="65">
        <f>IF(COUNTA(B264:G264)=0,"","STP-"&amp;TEXT(ROW()-4,"0000"))</f>
        <v/>
      </c>
      <c r="B264" s="78" t="n"/>
      <c r="C264" s="67">
        <f>IF($B264="","",IFERROR(INDEX(Task_Tracker!$D$5:$D$1004,MATCH($B264,Task_Tracker!$A$5:$A$1004,0)),""))</f>
        <v/>
      </c>
      <c r="D264" s="67">
        <f>IF($B264="","",IFERROR(INDEX(Task_Tracker!$B$5:$B$1004,MATCH($B264,Task_Tracker!$A$5:$A$1004,0)),""))</f>
        <v/>
      </c>
      <c r="E264" s="81" t="n"/>
      <c r="F264" s="81" t="n"/>
      <c r="G264" s="78" t="n"/>
      <c r="H264" s="78" t="n"/>
      <c r="I264" s="67">
        <f>IF($H264="","",IFERROR(INDEX(Action_Status_Map!$B$5:$B$11,MATCH($H264,Action_Status_Map!$A$5:$A$11,0)),""))</f>
        <v/>
      </c>
      <c r="J264" s="82" t="n"/>
      <c r="K264" s="82" t="n"/>
      <c r="L264" s="82" t="n"/>
      <c r="M264" s="83" t="n"/>
      <c r="N264" s="83" t="n"/>
      <c r="O264" s="66">
        <f>IF(OR($M264="",$N264=""),"",$N264-$M264)</f>
        <v/>
      </c>
      <c r="P264" s="84">
        <f>IF($J264="","",IF($L264&lt;&gt;"",$L264-$J264,TODAY()-$J264))</f>
        <v/>
      </c>
      <c r="Q264" s="85">
        <f>IF(OR($K264="",$H264="Completed",$H264="Cancelled"),"",IF(AND($K264&lt;TODAY(),$H264&lt;&gt;"Completed",$H264&lt;&gt;"Cancelled"),"Overdue","On Track"))</f>
        <v/>
      </c>
      <c r="R264" s="81" t="n"/>
      <c r="S264" s="81">
        <f>IF($B264="","",IFERROR(INDEX(Task_Tracker!$AA$5:$AA$1004,MATCH($B264,Task_Tracker!$A$5:$A$1004,0)),""))</f>
        <v/>
      </c>
      <c r="T264" s="81">
        <f>IF($B264="","",IFERROR(INDEX(Task_Tracker!$AB$5:$AB$1004,MATCH($B264,Task_Tracker!$A$5:$A$1004,0)),""))</f>
        <v/>
      </c>
      <c r="U264" s="78">
        <f>IF($B264="","",IFERROR(INDEX(Task_Tracker!$F$5:$F$1004,MATCH($B264,Task_Tracker!$A$5:$A$1004,0)),""))</f>
        <v/>
      </c>
      <c r="V264" s="78">
        <f>IF($B264="","",IFERROR(INDEX(Task_Tracker!$I$5:$I$1004,MATCH($B264,Task_Tracker!$A$5:$A$1004,0)),""))</f>
        <v/>
      </c>
      <c r="W264" s="81">
        <f>IF(OR($D264="",$B264=""),"",$D264&amp;" | "&amp;$B264)</f>
        <v/>
      </c>
      <c r="X264" s="85">
        <f>IF($K264="","",TEXT($K264,"yyyy-mm"))</f>
        <v/>
      </c>
      <c r="Y264" s="81">
        <f>IF(OR($A264="",$T264=""),"","Included in Manager_Report")</f>
        <v/>
      </c>
    </row>
    <row r="265" ht="15" customHeight="1" s="40">
      <c r="A265" s="65">
        <f>IF(COUNTA(B265:G265)=0,"","STP-"&amp;TEXT(ROW()-4,"0000"))</f>
        <v/>
      </c>
      <c r="B265" s="78" t="n"/>
      <c r="C265" s="67">
        <f>IF($B265="","",IFERROR(INDEX(Task_Tracker!$D$5:$D$1004,MATCH($B265,Task_Tracker!$A$5:$A$1004,0)),""))</f>
        <v/>
      </c>
      <c r="D265" s="67">
        <f>IF($B265="","",IFERROR(INDEX(Task_Tracker!$B$5:$B$1004,MATCH($B265,Task_Tracker!$A$5:$A$1004,0)),""))</f>
        <v/>
      </c>
      <c r="E265" s="81" t="n"/>
      <c r="F265" s="81" t="n"/>
      <c r="G265" s="78" t="n"/>
      <c r="H265" s="78" t="n"/>
      <c r="I265" s="67">
        <f>IF($H265="","",IFERROR(INDEX(Action_Status_Map!$B$5:$B$11,MATCH($H265,Action_Status_Map!$A$5:$A$11,0)),""))</f>
        <v/>
      </c>
      <c r="J265" s="82" t="n"/>
      <c r="K265" s="82" t="n"/>
      <c r="L265" s="82" t="n"/>
      <c r="M265" s="83" t="n"/>
      <c r="N265" s="83" t="n"/>
      <c r="O265" s="66">
        <f>IF(OR($M265="",$N265=""),"",$N265-$M265)</f>
        <v/>
      </c>
      <c r="P265" s="84">
        <f>IF($J265="","",IF($L265&lt;&gt;"",$L265-$J265,TODAY()-$J265))</f>
        <v/>
      </c>
      <c r="Q265" s="85">
        <f>IF(OR($K265="",$H265="Completed",$H265="Cancelled"),"",IF(AND($K265&lt;TODAY(),$H265&lt;&gt;"Completed",$H265&lt;&gt;"Cancelled"),"Overdue","On Track"))</f>
        <v/>
      </c>
      <c r="R265" s="81" t="n"/>
      <c r="S265" s="81">
        <f>IF($B265="","",IFERROR(INDEX(Task_Tracker!$AA$5:$AA$1004,MATCH($B265,Task_Tracker!$A$5:$A$1004,0)),""))</f>
        <v/>
      </c>
      <c r="T265" s="81">
        <f>IF($B265="","",IFERROR(INDEX(Task_Tracker!$AB$5:$AB$1004,MATCH($B265,Task_Tracker!$A$5:$A$1004,0)),""))</f>
        <v/>
      </c>
      <c r="U265" s="78">
        <f>IF($B265="","",IFERROR(INDEX(Task_Tracker!$F$5:$F$1004,MATCH($B265,Task_Tracker!$A$5:$A$1004,0)),""))</f>
        <v/>
      </c>
      <c r="V265" s="78">
        <f>IF($B265="","",IFERROR(INDEX(Task_Tracker!$I$5:$I$1004,MATCH($B265,Task_Tracker!$A$5:$A$1004,0)),""))</f>
        <v/>
      </c>
      <c r="W265" s="81">
        <f>IF(OR($D265="",$B265=""),"",$D265&amp;" | "&amp;$B265)</f>
        <v/>
      </c>
      <c r="X265" s="85">
        <f>IF($K265="","",TEXT($K265,"yyyy-mm"))</f>
        <v/>
      </c>
      <c r="Y265" s="81">
        <f>IF(OR($A265="",$T265=""),"","Included in Manager_Report")</f>
        <v/>
      </c>
    </row>
    <row r="266" ht="15" customHeight="1" s="40">
      <c r="A266" s="65">
        <f>IF(COUNTA(B266:G266)=0,"","STP-"&amp;TEXT(ROW()-4,"0000"))</f>
        <v/>
      </c>
      <c r="B266" s="78" t="n"/>
      <c r="C266" s="67">
        <f>IF($B266="","",IFERROR(INDEX(Task_Tracker!$D$5:$D$1004,MATCH($B266,Task_Tracker!$A$5:$A$1004,0)),""))</f>
        <v/>
      </c>
      <c r="D266" s="67">
        <f>IF($B266="","",IFERROR(INDEX(Task_Tracker!$B$5:$B$1004,MATCH($B266,Task_Tracker!$A$5:$A$1004,0)),""))</f>
        <v/>
      </c>
      <c r="E266" s="81" t="n"/>
      <c r="F266" s="81" t="n"/>
      <c r="G266" s="78" t="n"/>
      <c r="H266" s="78" t="n"/>
      <c r="I266" s="67">
        <f>IF($H266="","",IFERROR(INDEX(Action_Status_Map!$B$5:$B$11,MATCH($H266,Action_Status_Map!$A$5:$A$11,0)),""))</f>
        <v/>
      </c>
      <c r="J266" s="82" t="n"/>
      <c r="K266" s="82" t="n"/>
      <c r="L266" s="82" t="n"/>
      <c r="M266" s="83" t="n"/>
      <c r="N266" s="83" t="n"/>
      <c r="O266" s="66">
        <f>IF(OR($M266="",$N266=""),"",$N266-$M266)</f>
        <v/>
      </c>
      <c r="P266" s="84">
        <f>IF($J266="","",IF($L266&lt;&gt;"",$L266-$J266,TODAY()-$J266))</f>
        <v/>
      </c>
      <c r="Q266" s="85">
        <f>IF(OR($K266="",$H266="Completed",$H266="Cancelled"),"",IF(AND($K266&lt;TODAY(),$H266&lt;&gt;"Completed",$H266&lt;&gt;"Cancelled"),"Overdue","On Track"))</f>
        <v/>
      </c>
      <c r="R266" s="81" t="n"/>
      <c r="S266" s="81">
        <f>IF($B266="","",IFERROR(INDEX(Task_Tracker!$AA$5:$AA$1004,MATCH($B266,Task_Tracker!$A$5:$A$1004,0)),""))</f>
        <v/>
      </c>
      <c r="T266" s="81">
        <f>IF($B266="","",IFERROR(INDEX(Task_Tracker!$AB$5:$AB$1004,MATCH($B266,Task_Tracker!$A$5:$A$1004,0)),""))</f>
        <v/>
      </c>
      <c r="U266" s="78">
        <f>IF($B266="","",IFERROR(INDEX(Task_Tracker!$F$5:$F$1004,MATCH($B266,Task_Tracker!$A$5:$A$1004,0)),""))</f>
        <v/>
      </c>
      <c r="V266" s="78">
        <f>IF($B266="","",IFERROR(INDEX(Task_Tracker!$I$5:$I$1004,MATCH($B266,Task_Tracker!$A$5:$A$1004,0)),""))</f>
        <v/>
      </c>
      <c r="W266" s="81">
        <f>IF(OR($D266="",$B266=""),"",$D266&amp;" | "&amp;$B266)</f>
        <v/>
      </c>
      <c r="X266" s="85">
        <f>IF($K266="","",TEXT($K266,"yyyy-mm"))</f>
        <v/>
      </c>
      <c r="Y266" s="81">
        <f>IF(OR($A266="",$T266=""),"","Included in Manager_Report")</f>
        <v/>
      </c>
    </row>
    <row r="267" ht="15" customHeight="1" s="40">
      <c r="A267" s="65">
        <f>IF(COUNTA(B267:G267)=0,"","STP-"&amp;TEXT(ROW()-4,"0000"))</f>
        <v/>
      </c>
      <c r="B267" s="78" t="n"/>
      <c r="C267" s="67">
        <f>IF($B267="","",IFERROR(INDEX(Task_Tracker!$D$5:$D$1004,MATCH($B267,Task_Tracker!$A$5:$A$1004,0)),""))</f>
        <v/>
      </c>
      <c r="D267" s="67">
        <f>IF($B267="","",IFERROR(INDEX(Task_Tracker!$B$5:$B$1004,MATCH($B267,Task_Tracker!$A$5:$A$1004,0)),""))</f>
        <v/>
      </c>
      <c r="E267" s="81" t="n"/>
      <c r="F267" s="81" t="n"/>
      <c r="G267" s="78" t="n"/>
      <c r="H267" s="78" t="n"/>
      <c r="I267" s="67">
        <f>IF($H267="","",IFERROR(INDEX(Action_Status_Map!$B$5:$B$11,MATCH($H267,Action_Status_Map!$A$5:$A$11,0)),""))</f>
        <v/>
      </c>
      <c r="J267" s="82" t="n"/>
      <c r="K267" s="82" t="n"/>
      <c r="L267" s="82" t="n"/>
      <c r="M267" s="83" t="n"/>
      <c r="N267" s="83" t="n"/>
      <c r="O267" s="66">
        <f>IF(OR($M267="",$N267=""),"",$N267-$M267)</f>
        <v/>
      </c>
      <c r="P267" s="84">
        <f>IF($J267="","",IF($L267&lt;&gt;"",$L267-$J267,TODAY()-$J267))</f>
        <v/>
      </c>
      <c r="Q267" s="85">
        <f>IF(OR($K267="",$H267="Completed",$H267="Cancelled"),"",IF(AND($K267&lt;TODAY(),$H267&lt;&gt;"Completed",$H267&lt;&gt;"Cancelled"),"Overdue","On Track"))</f>
        <v/>
      </c>
      <c r="R267" s="81" t="n"/>
      <c r="S267" s="81">
        <f>IF($B267="","",IFERROR(INDEX(Task_Tracker!$AA$5:$AA$1004,MATCH($B267,Task_Tracker!$A$5:$A$1004,0)),""))</f>
        <v/>
      </c>
      <c r="T267" s="81">
        <f>IF($B267="","",IFERROR(INDEX(Task_Tracker!$AB$5:$AB$1004,MATCH($B267,Task_Tracker!$A$5:$A$1004,0)),""))</f>
        <v/>
      </c>
      <c r="U267" s="78">
        <f>IF($B267="","",IFERROR(INDEX(Task_Tracker!$F$5:$F$1004,MATCH($B267,Task_Tracker!$A$5:$A$1004,0)),""))</f>
        <v/>
      </c>
      <c r="V267" s="78">
        <f>IF($B267="","",IFERROR(INDEX(Task_Tracker!$I$5:$I$1004,MATCH($B267,Task_Tracker!$A$5:$A$1004,0)),""))</f>
        <v/>
      </c>
      <c r="W267" s="81">
        <f>IF(OR($D267="",$B267=""),"",$D267&amp;" | "&amp;$B267)</f>
        <v/>
      </c>
      <c r="X267" s="85">
        <f>IF($K267="","",TEXT($K267,"yyyy-mm"))</f>
        <v/>
      </c>
      <c r="Y267" s="81">
        <f>IF(OR($A267="",$T267=""),"","Included in Manager_Report")</f>
        <v/>
      </c>
    </row>
    <row r="268" ht="15" customHeight="1" s="40">
      <c r="A268" s="65">
        <f>IF(COUNTA(B268:G268)=0,"","STP-"&amp;TEXT(ROW()-4,"0000"))</f>
        <v/>
      </c>
      <c r="B268" s="78" t="n"/>
      <c r="C268" s="67">
        <f>IF($B268="","",IFERROR(INDEX(Task_Tracker!$D$5:$D$1004,MATCH($B268,Task_Tracker!$A$5:$A$1004,0)),""))</f>
        <v/>
      </c>
      <c r="D268" s="67">
        <f>IF($B268="","",IFERROR(INDEX(Task_Tracker!$B$5:$B$1004,MATCH($B268,Task_Tracker!$A$5:$A$1004,0)),""))</f>
        <v/>
      </c>
      <c r="E268" s="81" t="n"/>
      <c r="F268" s="81" t="n"/>
      <c r="G268" s="78" t="n"/>
      <c r="H268" s="78" t="n"/>
      <c r="I268" s="67">
        <f>IF($H268="","",IFERROR(INDEX(Action_Status_Map!$B$5:$B$11,MATCH($H268,Action_Status_Map!$A$5:$A$11,0)),""))</f>
        <v/>
      </c>
      <c r="J268" s="82" t="n"/>
      <c r="K268" s="82" t="n"/>
      <c r="L268" s="82" t="n"/>
      <c r="M268" s="83" t="n"/>
      <c r="N268" s="83" t="n"/>
      <c r="O268" s="66">
        <f>IF(OR($M268="",$N268=""),"",$N268-$M268)</f>
        <v/>
      </c>
      <c r="P268" s="84">
        <f>IF($J268="","",IF($L268&lt;&gt;"",$L268-$J268,TODAY()-$J268))</f>
        <v/>
      </c>
      <c r="Q268" s="85">
        <f>IF(OR($K268="",$H268="Completed",$H268="Cancelled"),"",IF(AND($K268&lt;TODAY(),$H268&lt;&gt;"Completed",$H268&lt;&gt;"Cancelled"),"Overdue","On Track"))</f>
        <v/>
      </c>
      <c r="R268" s="81" t="n"/>
      <c r="S268" s="81">
        <f>IF($B268="","",IFERROR(INDEX(Task_Tracker!$AA$5:$AA$1004,MATCH($B268,Task_Tracker!$A$5:$A$1004,0)),""))</f>
        <v/>
      </c>
      <c r="T268" s="81">
        <f>IF($B268="","",IFERROR(INDEX(Task_Tracker!$AB$5:$AB$1004,MATCH($B268,Task_Tracker!$A$5:$A$1004,0)),""))</f>
        <v/>
      </c>
      <c r="U268" s="78">
        <f>IF($B268="","",IFERROR(INDEX(Task_Tracker!$F$5:$F$1004,MATCH($B268,Task_Tracker!$A$5:$A$1004,0)),""))</f>
        <v/>
      </c>
      <c r="V268" s="78">
        <f>IF($B268="","",IFERROR(INDEX(Task_Tracker!$I$5:$I$1004,MATCH($B268,Task_Tracker!$A$5:$A$1004,0)),""))</f>
        <v/>
      </c>
      <c r="W268" s="81">
        <f>IF(OR($D268="",$B268=""),"",$D268&amp;" | "&amp;$B268)</f>
        <v/>
      </c>
      <c r="X268" s="85">
        <f>IF($K268="","",TEXT($K268,"yyyy-mm"))</f>
        <v/>
      </c>
      <c r="Y268" s="81">
        <f>IF(OR($A268="",$T268=""),"","Included in Manager_Report")</f>
        <v/>
      </c>
    </row>
    <row r="269" ht="15" customHeight="1" s="40">
      <c r="A269" s="65">
        <f>IF(COUNTA(B269:G269)=0,"","STP-"&amp;TEXT(ROW()-4,"0000"))</f>
        <v/>
      </c>
      <c r="B269" s="78" t="n"/>
      <c r="C269" s="67">
        <f>IF($B269="","",IFERROR(INDEX(Task_Tracker!$D$5:$D$1004,MATCH($B269,Task_Tracker!$A$5:$A$1004,0)),""))</f>
        <v/>
      </c>
      <c r="D269" s="67">
        <f>IF($B269="","",IFERROR(INDEX(Task_Tracker!$B$5:$B$1004,MATCH($B269,Task_Tracker!$A$5:$A$1004,0)),""))</f>
        <v/>
      </c>
      <c r="E269" s="81" t="n"/>
      <c r="F269" s="81" t="n"/>
      <c r="G269" s="78" t="n"/>
      <c r="H269" s="78" t="n"/>
      <c r="I269" s="67">
        <f>IF($H269="","",IFERROR(INDEX(Action_Status_Map!$B$5:$B$11,MATCH($H269,Action_Status_Map!$A$5:$A$11,0)),""))</f>
        <v/>
      </c>
      <c r="J269" s="82" t="n"/>
      <c r="K269" s="82" t="n"/>
      <c r="L269" s="82" t="n"/>
      <c r="M269" s="83" t="n"/>
      <c r="N269" s="83" t="n"/>
      <c r="O269" s="66">
        <f>IF(OR($M269="",$N269=""),"",$N269-$M269)</f>
        <v/>
      </c>
      <c r="P269" s="84">
        <f>IF($J269="","",IF($L269&lt;&gt;"",$L269-$J269,TODAY()-$J269))</f>
        <v/>
      </c>
      <c r="Q269" s="85">
        <f>IF(OR($K269="",$H269="Completed",$H269="Cancelled"),"",IF(AND($K269&lt;TODAY(),$H269&lt;&gt;"Completed",$H269&lt;&gt;"Cancelled"),"Overdue","On Track"))</f>
        <v/>
      </c>
      <c r="R269" s="81" t="n"/>
      <c r="S269" s="81">
        <f>IF($B269="","",IFERROR(INDEX(Task_Tracker!$AA$5:$AA$1004,MATCH($B269,Task_Tracker!$A$5:$A$1004,0)),""))</f>
        <v/>
      </c>
      <c r="T269" s="81">
        <f>IF($B269="","",IFERROR(INDEX(Task_Tracker!$AB$5:$AB$1004,MATCH($B269,Task_Tracker!$A$5:$A$1004,0)),""))</f>
        <v/>
      </c>
      <c r="U269" s="78">
        <f>IF($B269="","",IFERROR(INDEX(Task_Tracker!$F$5:$F$1004,MATCH($B269,Task_Tracker!$A$5:$A$1004,0)),""))</f>
        <v/>
      </c>
      <c r="V269" s="78">
        <f>IF($B269="","",IFERROR(INDEX(Task_Tracker!$I$5:$I$1004,MATCH($B269,Task_Tracker!$A$5:$A$1004,0)),""))</f>
        <v/>
      </c>
      <c r="W269" s="81">
        <f>IF(OR($D269="",$B269=""),"",$D269&amp;" | "&amp;$B269)</f>
        <v/>
      </c>
      <c r="X269" s="85">
        <f>IF($K269="","",TEXT($K269,"yyyy-mm"))</f>
        <v/>
      </c>
      <c r="Y269" s="81">
        <f>IF(OR($A269="",$T269=""),"","Included in Manager_Report")</f>
        <v/>
      </c>
    </row>
    <row r="270" ht="15" customHeight="1" s="40">
      <c r="A270" s="65">
        <f>IF(COUNTA(B270:G270)=0,"","STP-"&amp;TEXT(ROW()-4,"0000"))</f>
        <v/>
      </c>
      <c r="B270" s="78" t="n"/>
      <c r="C270" s="67">
        <f>IF($B270="","",IFERROR(INDEX(Task_Tracker!$D$5:$D$1004,MATCH($B270,Task_Tracker!$A$5:$A$1004,0)),""))</f>
        <v/>
      </c>
      <c r="D270" s="67">
        <f>IF($B270="","",IFERROR(INDEX(Task_Tracker!$B$5:$B$1004,MATCH($B270,Task_Tracker!$A$5:$A$1004,0)),""))</f>
        <v/>
      </c>
      <c r="E270" s="81" t="n"/>
      <c r="F270" s="81" t="n"/>
      <c r="G270" s="78" t="n"/>
      <c r="H270" s="78" t="n"/>
      <c r="I270" s="67">
        <f>IF($H270="","",IFERROR(INDEX(Action_Status_Map!$B$5:$B$11,MATCH($H270,Action_Status_Map!$A$5:$A$11,0)),""))</f>
        <v/>
      </c>
      <c r="J270" s="82" t="n"/>
      <c r="K270" s="82" t="n"/>
      <c r="L270" s="82" t="n"/>
      <c r="M270" s="83" t="n"/>
      <c r="N270" s="83" t="n"/>
      <c r="O270" s="66">
        <f>IF(OR($M270="",$N270=""),"",$N270-$M270)</f>
        <v/>
      </c>
      <c r="P270" s="84">
        <f>IF($J270="","",IF($L270&lt;&gt;"",$L270-$J270,TODAY()-$J270))</f>
        <v/>
      </c>
      <c r="Q270" s="85">
        <f>IF(OR($K270="",$H270="Completed",$H270="Cancelled"),"",IF(AND($K270&lt;TODAY(),$H270&lt;&gt;"Completed",$H270&lt;&gt;"Cancelled"),"Overdue","On Track"))</f>
        <v/>
      </c>
      <c r="R270" s="81" t="n"/>
      <c r="S270" s="81">
        <f>IF($B270="","",IFERROR(INDEX(Task_Tracker!$AA$5:$AA$1004,MATCH($B270,Task_Tracker!$A$5:$A$1004,0)),""))</f>
        <v/>
      </c>
      <c r="T270" s="81">
        <f>IF($B270="","",IFERROR(INDEX(Task_Tracker!$AB$5:$AB$1004,MATCH($B270,Task_Tracker!$A$5:$A$1004,0)),""))</f>
        <v/>
      </c>
      <c r="U270" s="78">
        <f>IF($B270="","",IFERROR(INDEX(Task_Tracker!$F$5:$F$1004,MATCH($B270,Task_Tracker!$A$5:$A$1004,0)),""))</f>
        <v/>
      </c>
      <c r="V270" s="78">
        <f>IF($B270="","",IFERROR(INDEX(Task_Tracker!$I$5:$I$1004,MATCH($B270,Task_Tracker!$A$5:$A$1004,0)),""))</f>
        <v/>
      </c>
      <c r="W270" s="81">
        <f>IF(OR($D270="",$B270=""),"",$D270&amp;" | "&amp;$B270)</f>
        <v/>
      </c>
      <c r="X270" s="85">
        <f>IF($K270="","",TEXT($K270,"yyyy-mm"))</f>
        <v/>
      </c>
      <c r="Y270" s="81">
        <f>IF(OR($A270="",$T270=""),"","Included in Manager_Report")</f>
        <v/>
      </c>
    </row>
    <row r="271" ht="15" customHeight="1" s="40">
      <c r="A271" s="65">
        <f>IF(COUNTA(B271:G271)=0,"","STP-"&amp;TEXT(ROW()-4,"0000"))</f>
        <v/>
      </c>
      <c r="B271" s="78" t="n"/>
      <c r="C271" s="67">
        <f>IF($B271="","",IFERROR(INDEX(Task_Tracker!$D$5:$D$1004,MATCH($B271,Task_Tracker!$A$5:$A$1004,0)),""))</f>
        <v/>
      </c>
      <c r="D271" s="67">
        <f>IF($B271="","",IFERROR(INDEX(Task_Tracker!$B$5:$B$1004,MATCH($B271,Task_Tracker!$A$5:$A$1004,0)),""))</f>
        <v/>
      </c>
      <c r="E271" s="81" t="n"/>
      <c r="F271" s="81" t="n"/>
      <c r="G271" s="78" t="n"/>
      <c r="H271" s="78" t="n"/>
      <c r="I271" s="67">
        <f>IF($H271="","",IFERROR(INDEX(Action_Status_Map!$B$5:$B$11,MATCH($H271,Action_Status_Map!$A$5:$A$11,0)),""))</f>
        <v/>
      </c>
      <c r="J271" s="82" t="n"/>
      <c r="K271" s="82" t="n"/>
      <c r="L271" s="82" t="n"/>
      <c r="M271" s="83" t="n"/>
      <c r="N271" s="83" t="n"/>
      <c r="O271" s="66">
        <f>IF(OR($M271="",$N271=""),"",$N271-$M271)</f>
        <v/>
      </c>
      <c r="P271" s="84">
        <f>IF($J271="","",IF($L271&lt;&gt;"",$L271-$J271,TODAY()-$J271))</f>
        <v/>
      </c>
      <c r="Q271" s="85">
        <f>IF(OR($K271="",$H271="Completed",$H271="Cancelled"),"",IF(AND($K271&lt;TODAY(),$H271&lt;&gt;"Completed",$H271&lt;&gt;"Cancelled"),"Overdue","On Track"))</f>
        <v/>
      </c>
      <c r="R271" s="81" t="n"/>
      <c r="S271" s="81">
        <f>IF($B271="","",IFERROR(INDEX(Task_Tracker!$AA$5:$AA$1004,MATCH($B271,Task_Tracker!$A$5:$A$1004,0)),""))</f>
        <v/>
      </c>
      <c r="T271" s="81">
        <f>IF($B271="","",IFERROR(INDEX(Task_Tracker!$AB$5:$AB$1004,MATCH($B271,Task_Tracker!$A$5:$A$1004,0)),""))</f>
        <v/>
      </c>
      <c r="U271" s="78">
        <f>IF($B271="","",IFERROR(INDEX(Task_Tracker!$F$5:$F$1004,MATCH($B271,Task_Tracker!$A$5:$A$1004,0)),""))</f>
        <v/>
      </c>
      <c r="V271" s="78">
        <f>IF($B271="","",IFERROR(INDEX(Task_Tracker!$I$5:$I$1004,MATCH($B271,Task_Tracker!$A$5:$A$1004,0)),""))</f>
        <v/>
      </c>
      <c r="W271" s="81">
        <f>IF(OR($D271="",$B271=""),"",$D271&amp;" | "&amp;$B271)</f>
        <v/>
      </c>
      <c r="X271" s="85">
        <f>IF($K271="","",TEXT($K271,"yyyy-mm"))</f>
        <v/>
      </c>
      <c r="Y271" s="81">
        <f>IF(OR($A271="",$T271=""),"","Included in Manager_Report")</f>
        <v/>
      </c>
    </row>
    <row r="272" ht="15" customHeight="1" s="40">
      <c r="A272" s="65">
        <f>IF(COUNTA(B272:G272)=0,"","STP-"&amp;TEXT(ROW()-4,"0000"))</f>
        <v/>
      </c>
      <c r="B272" s="78" t="n"/>
      <c r="C272" s="67">
        <f>IF($B272="","",IFERROR(INDEX(Task_Tracker!$D$5:$D$1004,MATCH($B272,Task_Tracker!$A$5:$A$1004,0)),""))</f>
        <v/>
      </c>
      <c r="D272" s="67">
        <f>IF($B272="","",IFERROR(INDEX(Task_Tracker!$B$5:$B$1004,MATCH($B272,Task_Tracker!$A$5:$A$1004,0)),""))</f>
        <v/>
      </c>
      <c r="E272" s="81" t="n"/>
      <c r="F272" s="81" t="n"/>
      <c r="G272" s="78" t="n"/>
      <c r="H272" s="78" t="n"/>
      <c r="I272" s="67">
        <f>IF($H272="","",IFERROR(INDEX(Action_Status_Map!$B$5:$B$11,MATCH($H272,Action_Status_Map!$A$5:$A$11,0)),""))</f>
        <v/>
      </c>
      <c r="J272" s="82" t="n"/>
      <c r="K272" s="82" t="n"/>
      <c r="L272" s="82" t="n"/>
      <c r="M272" s="83" t="n"/>
      <c r="N272" s="83" t="n"/>
      <c r="O272" s="66">
        <f>IF(OR($M272="",$N272=""),"",$N272-$M272)</f>
        <v/>
      </c>
      <c r="P272" s="84">
        <f>IF($J272="","",IF($L272&lt;&gt;"",$L272-$J272,TODAY()-$J272))</f>
        <v/>
      </c>
      <c r="Q272" s="85">
        <f>IF(OR($K272="",$H272="Completed",$H272="Cancelled"),"",IF(AND($K272&lt;TODAY(),$H272&lt;&gt;"Completed",$H272&lt;&gt;"Cancelled"),"Overdue","On Track"))</f>
        <v/>
      </c>
      <c r="R272" s="81" t="n"/>
      <c r="S272" s="81">
        <f>IF($B272="","",IFERROR(INDEX(Task_Tracker!$AA$5:$AA$1004,MATCH($B272,Task_Tracker!$A$5:$A$1004,0)),""))</f>
        <v/>
      </c>
      <c r="T272" s="81">
        <f>IF($B272="","",IFERROR(INDEX(Task_Tracker!$AB$5:$AB$1004,MATCH($B272,Task_Tracker!$A$5:$A$1004,0)),""))</f>
        <v/>
      </c>
      <c r="U272" s="78">
        <f>IF($B272="","",IFERROR(INDEX(Task_Tracker!$F$5:$F$1004,MATCH($B272,Task_Tracker!$A$5:$A$1004,0)),""))</f>
        <v/>
      </c>
      <c r="V272" s="78">
        <f>IF($B272="","",IFERROR(INDEX(Task_Tracker!$I$5:$I$1004,MATCH($B272,Task_Tracker!$A$5:$A$1004,0)),""))</f>
        <v/>
      </c>
      <c r="W272" s="81">
        <f>IF(OR($D272="",$B272=""),"",$D272&amp;" | "&amp;$B272)</f>
        <v/>
      </c>
      <c r="X272" s="85">
        <f>IF($K272="","",TEXT($K272,"yyyy-mm"))</f>
        <v/>
      </c>
      <c r="Y272" s="81">
        <f>IF(OR($A272="",$T272=""),"","Included in Manager_Report")</f>
        <v/>
      </c>
    </row>
    <row r="273" ht="15" customHeight="1" s="40">
      <c r="A273" s="65">
        <f>IF(COUNTA(B273:G273)=0,"","STP-"&amp;TEXT(ROW()-4,"0000"))</f>
        <v/>
      </c>
      <c r="B273" s="78" t="n"/>
      <c r="C273" s="67">
        <f>IF($B273="","",IFERROR(INDEX(Task_Tracker!$D$5:$D$1004,MATCH($B273,Task_Tracker!$A$5:$A$1004,0)),""))</f>
        <v/>
      </c>
      <c r="D273" s="67">
        <f>IF($B273="","",IFERROR(INDEX(Task_Tracker!$B$5:$B$1004,MATCH($B273,Task_Tracker!$A$5:$A$1004,0)),""))</f>
        <v/>
      </c>
      <c r="E273" s="81" t="n"/>
      <c r="F273" s="81" t="n"/>
      <c r="G273" s="78" t="n"/>
      <c r="H273" s="78" t="n"/>
      <c r="I273" s="67">
        <f>IF($H273="","",IFERROR(INDEX(Action_Status_Map!$B$5:$B$11,MATCH($H273,Action_Status_Map!$A$5:$A$11,0)),""))</f>
        <v/>
      </c>
      <c r="J273" s="82" t="n"/>
      <c r="K273" s="82" t="n"/>
      <c r="L273" s="82" t="n"/>
      <c r="M273" s="83" t="n"/>
      <c r="N273" s="83" t="n"/>
      <c r="O273" s="66">
        <f>IF(OR($M273="",$N273=""),"",$N273-$M273)</f>
        <v/>
      </c>
      <c r="P273" s="84">
        <f>IF($J273="","",IF($L273&lt;&gt;"",$L273-$J273,TODAY()-$J273))</f>
        <v/>
      </c>
      <c r="Q273" s="85">
        <f>IF(OR($K273="",$H273="Completed",$H273="Cancelled"),"",IF(AND($K273&lt;TODAY(),$H273&lt;&gt;"Completed",$H273&lt;&gt;"Cancelled"),"Overdue","On Track"))</f>
        <v/>
      </c>
      <c r="R273" s="81" t="n"/>
      <c r="S273" s="81">
        <f>IF($B273="","",IFERROR(INDEX(Task_Tracker!$AA$5:$AA$1004,MATCH($B273,Task_Tracker!$A$5:$A$1004,0)),""))</f>
        <v/>
      </c>
      <c r="T273" s="81">
        <f>IF($B273="","",IFERROR(INDEX(Task_Tracker!$AB$5:$AB$1004,MATCH($B273,Task_Tracker!$A$5:$A$1004,0)),""))</f>
        <v/>
      </c>
      <c r="U273" s="78">
        <f>IF($B273="","",IFERROR(INDEX(Task_Tracker!$F$5:$F$1004,MATCH($B273,Task_Tracker!$A$5:$A$1004,0)),""))</f>
        <v/>
      </c>
      <c r="V273" s="78">
        <f>IF($B273="","",IFERROR(INDEX(Task_Tracker!$I$5:$I$1004,MATCH($B273,Task_Tracker!$A$5:$A$1004,0)),""))</f>
        <v/>
      </c>
      <c r="W273" s="81">
        <f>IF(OR($D273="",$B273=""),"",$D273&amp;" | "&amp;$B273)</f>
        <v/>
      </c>
      <c r="X273" s="85">
        <f>IF($K273="","",TEXT($K273,"yyyy-mm"))</f>
        <v/>
      </c>
      <c r="Y273" s="81">
        <f>IF(OR($A273="",$T273=""),"","Included in Manager_Report")</f>
        <v/>
      </c>
    </row>
    <row r="274" ht="15" customHeight="1" s="40">
      <c r="A274" s="65">
        <f>IF(COUNTA(B274:G274)=0,"","STP-"&amp;TEXT(ROW()-4,"0000"))</f>
        <v/>
      </c>
      <c r="B274" s="78" t="n"/>
      <c r="C274" s="67">
        <f>IF($B274="","",IFERROR(INDEX(Task_Tracker!$D$5:$D$1004,MATCH($B274,Task_Tracker!$A$5:$A$1004,0)),""))</f>
        <v/>
      </c>
      <c r="D274" s="67">
        <f>IF($B274="","",IFERROR(INDEX(Task_Tracker!$B$5:$B$1004,MATCH($B274,Task_Tracker!$A$5:$A$1004,0)),""))</f>
        <v/>
      </c>
      <c r="E274" s="81" t="n"/>
      <c r="F274" s="81" t="n"/>
      <c r="G274" s="78" t="n"/>
      <c r="H274" s="78" t="n"/>
      <c r="I274" s="67">
        <f>IF($H274="","",IFERROR(INDEX(Action_Status_Map!$B$5:$B$11,MATCH($H274,Action_Status_Map!$A$5:$A$11,0)),""))</f>
        <v/>
      </c>
      <c r="J274" s="82" t="n"/>
      <c r="K274" s="82" t="n"/>
      <c r="L274" s="82" t="n"/>
      <c r="M274" s="83" t="n"/>
      <c r="N274" s="83" t="n"/>
      <c r="O274" s="66">
        <f>IF(OR($M274="",$N274=""),"",$N274-$M274)</f>
        <v/>
      </c>
      <c r="P274" s="84">
        <f>IF($J274="","",IF($L274&lt;&gt;"",$L274-$J274,TODAY()-$J274))</f>
        <v/>
      </c>
      <c r="Q274" s="85">
        <f>IF(OR($K274="",$H274="Completed",$H274="Cancelled"),"",IF(AND($K274&lt;TODAY(),$H274&lt;&gt;"Completed",$H274&lt;&gt;"Cancelled"),"Overdue","On Track"))</f>
        <v/>
      </c>
      <c r="R274" s="81" t="n"/>
      <c r="S274" s="81">
        <f>IF($B274="","",IFERROR(INDEX(Task_Tracker!$AA$5:$AA$1004,MATCH($B274,Task_Tracker!$A$5:$A$1004,0)),""))</f>
        <v/>
      </c>
      <c r="T274" s="81">
        <f>IF($B274="","",IFERROR(INDEX(Task_Tracker!$AB$5:$AB$1004,MATCH($B274,Task_Tracker!$A$5:$A$1004,0)),""))</f>
        <v/>
      </c>
      <c r="U274" s="78">
        <f>IF($B274="","",IFERROR(INDEX(Task_Tracker!$F$5:$F$1004,MATCH($B274,Task_Tracker!$A$5:$A$1004,0)),""))</f>
        <v/>
      </c>
      <c r="V274" s="78">
        <f>IF($B274="","",IFERROR(INDEX(Task_Tracker!$I$5:$I$1004,MATCH($B274,Task_Tracker!$A$5:$A$1004,0)),""))</f>
        <v/>
      </c>
      <c r="W274" s="81">
        <f>IF(OR($D274="",$B274=""),"",$D274&amp;" | "&amp;$B274)</f>
        <v/>
      </c>
      <c r="X274" s="85">
        <f>IF($K274="","",TEXT($K274,"yyyy-mm"))</f>
        <v/>
      </c>
      <c r="Y274" s="81">
        <f>IF(OR($A274="",$T274=""),"","Included in Manager_Report")</f>
        <v/>
      </c>
    </row>
    <row r="275" ht="15" customHeight="1" s="40">
      <c r="A275" s="65">
        <f>IF(COUNTA(B275:G275)=0,"","STP-"&amp;TEXT(ROW()-4,"0000"))</f>
        <v/>
      </c>
      <c r="B275" s="78" t="n"/>
      <c r="C275" s="67">
        <f>IF($B275="","",IFERROR(INDEX(Task_Tracker!$D$5:$D$1004,MATCH($B275,Task_Tracker!$A$5:$A$1004,0)),""))</f>
        <v/>
      </c>
      <c r="D275" s="67">
        <f>IF($B275="","",IFERROR(INDEX(Task_Tracker!$B$5:$B$1004,MATCH($B275,Task_Tracker!$A$5:$A$1004,0)),""))</f>
        <v/>
      </c>
      <c r="E275" s="81" t="n"/>
      <c r="F275" s="81" t="n"/>
      <c r="G275" s="78" t="n"/>
      <c r="H275" s="78" t="n"/>
      <c r="I275" s="67">
        <f>IF($H275="","",IFERROR(INDEX(Action_Status_Map!$B$5:$B$11,MATCH($H275,Action_Status_Map!$A$5:$A$11,0)),""))</f>
        <v/>
      </c>
      <c r="J275" s="82" t="n"/>
      <c r="K275" s="82" t="n"/>
      <c r="L275" s="82" t="n"/>
      <c r="M275" s="83" t="n"/>
      <c r="N275" s="83" t="n"/>
      <c r="O275" s="66">
        <f>IF(OR($M275="",$N275=""),"",$N275-$M275)</f>
        <v/>
      </c>
      <c r="P275" s="84">
        <f>IF($J275="","",IF($L275&lt;&gt;"",$L275-$J275,TODAY()-$J275))</f>
        <v/>
      </c>
      <c r="Q275" s="85">
        <f>IF(OR($K275="",$H275="Completed",$H275="Cancelled"),"",IF(AND($K275&lt;TODAY(),$H275&lt;&gt;"Completed",$H275&lt;&gt;"Cancelled"),"Overdue","On Track"))</f>
        <v/>
      </c>
      <c r="R275" s="81" t="n"/>
      <c r="S275" s="81">
        <f>IF($B275="","",IFERROR(INDEX(Task_Tracker!$AA$5:$AA$1004,MATCH($B275,Task_Tracker!$A$5:$A$1004,0)),""))</f>
        <v/>
      </c>
      <c r="T275" s="81">
        <f>IF($B275="","",IFERROR(INDEX(Task_Tracker!$AB$5:$AB$1004,MATCH($B275,Task_Tracker!$A$5:$A$1004,0)),""))</f>
        <v/>
      </c>
      <c r="U275" s="78">
        <f>IF($B275="","",IFERROR(INDEX(Task_Tracker!$F$5:$F$1004,MATCH($B275,Task_Tracker!$A$5:$A$1004,0)),""))</f>
        <v/>
      </c>
      <c r="V275" s="78">
        <f>IF($B275="","",IFERROR(INDEX(Task_Tracker!$I$5:$I$1004,MATCH($B275,Task_Tracker!$A$5:$A$1004,0)),""))</f>
        <v/>
      </c>
      <c r="W275" s="81">
        <f>IF(OR($D275="",$B275=""),"",$D275&amp;" | "&amp;$B275)</f>
        <v/>
      </c>
      <c r="X275" s="85">
        <f>IF($K275="","",TEXT($K275,"yyyy-mm"))</f>
        <v/>
      </c>
      <c r="Y275" s="81">
        <f>IF(OR($A275="",$T275=""),"","Included in Manager_Report")</f>
        <v/>
      </c>
    </row>
    <row r="276" ht="15" customHeight="1" s="40">
      <c r="A276" s="65">
        <f>IF(COUNTA(B276:G276)=0,"","STP-"&amp;TEXT(ROW()-4,"0000"))</f>
        <v/>
      </c>
      <c r="B276" s="78" t="n"/>
      <c r="C276" s="67">
        <f>IF($B276="","",IFERROR(INDEX(Task_Tracker!$D$5:$D$1004,MATCH($B276,Task_Tracker!$A$5:$A$1004,0)),""))</f>
        <v/>
      </c>
      <c r="D276" s="67">
        <f>IF($B276="","",IFERROR(INDEX(Task_Tracker!$B$5:$B$1004,MATCH($B276,Task_Tracker!$A$5:$A$1004,0)),""))</f>
        <v/>
      </c>
      <c r="E276" s="81" t="n"/>
      <c r="F276" s="81" t="n"/>
      <c r="G276" s="78" t="n"/>
      <c r="H276" s="78" t="n"/>
      <c r="I276" s="67">
        <f>IF($H276="","",IFERROR(INDEX(Action_Status_Map!$B$5:$B$11,MATCH($H276,Action_Status_Map!$A$5:$A$11,0)),""))</f>
        <v/>
      </c>
      <c r="J276" s="82" t="n"/>
      <c r="K276" s="82" t="n"/>
      <c r="L276" s="82" t="n"/>
      <c r="M276" s="83" t="n"/>
      <c r="N276" s="83" t="n"/>
      <c r="O276" s="66">
        <f>IF(OR($M276="",$N276=""),"",$N276-$M276)</f>
        <v/>
      </c>
      <c r="P276" s="84">
        <f>IF($J276="","",IF($L276&lt;&gt;"",$L276-$J276,TODAY()-$J276))</f>
        <v/>
      </c>
      <c r="Q276" s="85">
        <f>IF(OR($K276="",$H276="Completed",$H276="Cancelled"),"",IF(AND($K276&lt;TODAY(),$H276&lt;&gt;"Completed",$H276&lt;&gt;"Cancelled"),"Overdue","On Track"))</f>
        <v/>
      </c>
      <c r="R276" s="81" t="n"/>
      <c r="S276" s="81">
        <f>IF($B276="","",IFERROR(INDEX(Task_Tracker!$AA$5:$AA$1004,MATCH($B276,Task_Tracker!$A$5:$A$1004,0)),""))</f>
        <v/>
      </c>
      <c r="T276" s="81">
        <f>IF($B276="","",IFERROR(INDEX(Task_Tracker!$AB$5:$AB$1004,MATCH($B276,Task_Tracker!$A$5:$A$1004,0)),""))</f>
        <v/>
      </c>
      <c r="U276" s="78">
        <f>IF($B276="","",IFERROR(INDEX(Task_Tracker!$F$5:$F$1004,MATCH($B276,Task_Tracker!$A$5:$A$1004,0)),""))</f>
        <v/>
      </c>
      <c r="V276" s="78">
        <f>IF($B276="","",IFERROR(INDEX(Task_Tracker!$I$5:$I$1004,MATCH($B276,Task_Tracker!$A$5:$A$1004,0)),""))</f>
        <v/>
      </c>
      <c r="W276" s="81">
        <f>IF(OR($D276="",$B276=""),"",$D276&amp;" | "&amp;$B276)</f>
        <v/>
      </c>
      <c r="X276" s="85">
        <f>IF($K276="","",TEXT($K276,"yyyy-mm"))</f>
        <v/>
      </c>
      <c r="Y276" s="81">
        <f>IF(OR($A276="",$T276=""),"","Included in Manager_Report")</f>
        <v/>
      </c>
    </row>
    <row r="277" ht="15" customHeight="1" s="40">
      <c r="A277" s="65">
        <f>IF(COUNTA(B277:G277)=0,"","STP-"&amp;TEXT(ROW()-4,"0000"))</f>
        <v/>
      </c>
      <c r="B277" s="78" t="n"/>
      <c r="C277" s="67">
        <f>IF($B277="","",IFERROR(INDEX(Task_Tracker!$D$5:$D$1004,MATCH($B277,Task_Tracker!$A$5:$A$1004,0)),""))</f>
        <v/>
      </c>
      <c r="D277" s="67">
        <f>IF($B277="","",IFERROR(INDEX(Task_Tracker!$B$5:$B$1004,MATCH($B277,Task_Tracker!$A$5:$A$1004,0)),""))</f>
        <v/>
      </c>
      <c r="E277" s="81" t="n"/>
      <c r="F277" s="81" t="n"/>
      <c r="G277" s="78" t="n"/>
      <c r="H277" s="78" t="n"/>
      <c r="I277" s="67">
        <f>IF($H277="","",IFERROR(INDEX(Action_Status_Map!$B$5:$B$11,MATCH($H277,Action_Status_Map!$A$5:$A$11,0)),""))</f>
        <v/>
      </c>
      <c r="J277" s="82" t="n"/>
      <c r="K277" s="82" t="n"/>
      <c r="L277" s="82" t="n"/>
      <c r="M277" s="83" t="n"/>
      <c r="N277" s="83" t="n"/>
      <c r="O277" s="66">
        <f>IF(OR($M277="",$N277=""),"",$N277-$M277)</f>
        <v/>
      </c>
      <c r="P277" s="84">
        <f>IF($J277="","",IF($L277&lt;&gt;"",$L277-$J277,TODAY()-$J277))</f>
        <v/>
      </c>
      <c r="Q277" s="85">
        <f>IF(OR($K277="",$H277="Completed",$H277="Cancelled"),"",IF(AND($K277&lt;TODAY(),$H277&lt;&gt;"Completed",$H277&lt;&gt;"Cancelled"),"Overdue","On Track"))</f>
        <v/>
      </c>
      <c r="R277" s="81" t="n"/>
      <c r="S277" s="81">
        <f>IF($B277="","",IFERROR(INDEX(Task_Tracker!$AA$5:$AA$1004,MATCH($B277,Task_Tracker!$A$5:$A$1004,0)),""))</f>
        <v/>
      </c>
      <c r="T277" s="81">
        <f>IF($B277="","",IFERROR(INDEX(Task_Tracker!$AB$5:$AB$1004,MATCH($B277,Task_Tracker!$A$5:$A$1004,0)),""))</f>
        <v/>
      </c>
      <c r="U277" s="78">
        <f>IF($B277="","",IFERROR(INDEX(Task_Tracker!$F$5:$F$1004,MATCH($B277,Task_Tracker!$A$5:$A$1004,0)),""))</f>
        <v/>
      </c>
      <c r="V277" s="78">
        <f>IF($B277="","",IFERROR(INDEX(Task_Tracker!$I$5:$I$1004,MATCH($B277,Task_Tracker!$A$5:$A$1004,0)),""))</f>
        <v/>
      </c>
      <c r="W277" s="81">
        <f>IF(OR($D277="",$B277=""),"",$D277&amp;" | "&amp;$B277)</f>
        <v/>
      </c>
      <c r="X277" s="85">
        <f>IF($K277="","",TEXT($K277,"yyyy-mm"))</f>
        <v/>
      </c>
      <c r="Y277" s="81">
        <f>IF(OR($A277="",$T277=""),"","Included in Manager_Report")</f>
        <v/>
      </c>
    </row>
    <row r="278" ht="15" customHeight="1" s="40">
      <c r="A278" s="65">
        <f>IF(COUNTA(B278:G278)=0,"","STP-"&amp;TEXT(ROW()-4,"0000"))</f>
        <v/>
      </c>
      <c r="B278" s="78" t="n"/>
      <c r="C278" s="67">
        <f>IF($B278="","",IFERROR(INDEX(Task_Tracker!$D$5:$D$1004,MATCH($B278,Task_Tracker!$A$5:$A$1004,0)),""))</f>
        <v/>
      </c>
      <c r="D278" s="67">
        <f>IF($B278="","",IFERROR(INDEX(Task_Tracker!$B$5:$B$1004,MATCH($B278,Task_Tracker!$A$5:$A$1004,0)),""))</f>
        <v/>
      </c>
      <c r="E278" s="81" t="n"/>
      <c r="F278" s="81" t="n"/>
      <c r="G278" s="78" t="n"/>
      <c r="H278" s="78" t="n"/>
      <c r="I278" s="67">
        <f>IF($H278="","",IFERROR(INDEX(Action_Status_Map!$B$5:$B$11,MATCH($H278,Action_Status_Map!$A$5:$A$11,0)),""))</f>
        <v/>
      </c>
      <c r="J278" s="82" t="n"/>
      <c r="K278" s="82" t="n"/>
      <c r="L278" s="82" t="n"/>
      <c r="M278" s="83" t="n"/>
      <c r="N278" s="83" t="n"/>
      <c r="O278" s="66">
        <f>IF(OR($M278="",$N278=""),"",$N278-$M278)</f>
        <v/>
      </c>
      <c r="P278" s="84">
        <f>IF($J278="","",IF($L278&lt;&gt;"",$L278-$J278,TODAY()-$J278))</f>
        <v/>
      </c>
      <c r="Q278" s="85">
        <f>IF(OR($K278="",$H278="Completed",$H278="Cancelled"),"",IF(AND($K278&lt;TODAY(),$H278&lt;&gt;"Completed",$H278&lt;&gt;"Cancelled"),"Overdue","On Track"))</f>
        <v/>
      </c>
      <c r="R278" s="81" t="n"/>
      <c r="S278" s="81">
        <f>IF($B278="","",IFERROR(INDEX(Task_Tracker!$AA$5:$AA$1004,MATCH($B278,Task_Tracker!$A$5:$A$1004,0)),""))</f>
        <v/>
      </c>
      <c r="T278" s="81">
        <f>IF($B278="","",IFERROR(INDEX(Task_Tracker!$AB$5:$AB$1004,MATCH($B278,Task_Tracker!$A$5:$A$1004,0)),""))</f>
        <v/>
      </c>
      <c r="U278" s="78">
        <f>IF($B278="","",IFERROR(INDEX(Task_Tracker!$F$5:$F$1004,MATCH($B278,Task_Tracker!$A$5:$A$1004,0)),""))</f>
        <v/>
      </c>
      <c r="V278" s="78">
        <f>IF($B278="","",IFERROR(INDEX(Task_Tracker!$I$5:$I$1004,MATCH($B278,Task_Tracker!$A$5:$A$1004,0)),""))</f>
        <v/>
      </c>
      <c r="W278" s="81">
        <f>IF(OR($D278="",$B278=""),"",$D278&amp;" | "&amp;$B278)</f>
        <v/>
      </c>
      <c r="X278" s="85">
        <f>IF($K278="","",TEXT($K278,"yyyy-mm"))</f>
        <v/>
      </c>
      <c r="Y278" s="81">
        <f>IF(OR($A278="",$T278=""),"","Included in Manager_Report")</f>
        <v/>
      </c>
    </row>
    <row r="279" ht="15" customHeight="1" s="40">
      <c r="A279" s="65">
        <f>IF(COUNTA(B279:G279)=0,"","STP-"&amp;TEXT(ROW()-4,"0000"))</f>
        <v/>
      </c>
      <c r="B279" s="78" t="n"/>
      <c r="C279" s="67">
        <f>IF($B279="","",IFERROR(INDEX(Task_Tracker!$D$5:$D$1004,MATCH($B279,Task_Tracker!$A$5:$A$1004,0)),""))</f>
        <v/>
      </c>
      <c r="D279" s="67">
        <f>IF($B279="","",IFERROR(INDEX(Task_Tracker!$B$5:$B$1004,MATCH($B279,Task_Tracker!$A$5:$A$1004,0)),""))</f>
        <v/>
      </c>
      <c r="E279" s="81" t="n"/>
      <c r="F279" s="81" t="n"/>
      <c r="G279" s="78" t="n"/>
      <c r="H279" s="78" t="n"/>
      <c r="I279" s="67">
        <f>IF($H279="","",IFERROR(INDEX(Action_Status_Map!$B$5:$B$11,MATCH($H279,Action_Status_Map!$A$5:$A$11,0)),""))</f>
        <v/>
      </c>
      <c r="J279" s="82" t="n"/>
      <c r="K279" s="82" t="n"/>
      <c r="L279" s="82" t="n"/>
      <c r="M279" s="83" t="n"/>
      <c r="N279" s="83" t="n"/>
      <c r="O279" s="66">
        <f>IF(OR($M279="",$N279=""),"",$N279-$M279)</f>
        <v/>
      </c>
      <c r="P279" s="84">
        <f>IF($J279="","",IF($L279&lt;&gt;"",$L279-$J279,TODAY()-$J279))</f>
        <v/>
      </c>
      <c r="Q279" s="85">
        <f>IF(OR($K279="",$H279="Completed",$H279="Cancelled"),"",IF(AND($K279&lt;TODAY(),$H279&lt;&gt;"Completed",$H279&lt;&gt;"Cancelled"),"Overdue","On Track"))</f>
        <v/>
      </c>
      <c r="R279" s="81" t="n"/>
      <c r="S279" s="81">
        <f>IF($B279="","",IFERROR(INDEX(Task_Tracker!$AA$5:$AA$1004,MATCH($B279,Task_Tracker!$A$5:$A$1004,0)),""))</f>
        <v/>
      </c>
      <c r="T279" s="81">
        <f>IF($B279="","",IFERROR(INDEX(Task_Tracker!$AB$5:$AB$1004,MATCH($B279,Task_Tracker!$A$5:$A$1004,0)),""))</f>
        <v/>
      </c>
      <c r="U279" s="78">
        <f>IF($B279="","",IFERROR(INDEX(Task_Tracker!$F$5:$F$1004,MATCH($B279,Task_Tracker!$A$5:$A$1004,0)),""))</f>
        <v/>
      </c>
      <c r="V279" s="78">
        <f>IF($B279="","",IFERROR(INDEX(Task_Tracker!$I$5:$I$1004,MATCH($B279,Task_Tracker!$A$5:$A$1004,0)),""))</f>
        <v/>
      </c>
      <c r="W279" s="81">
        <f>IF(OR($D279="",$B279=""),"",$D279&amp;" | "&amp;$B279)</f>
        <v/>
      </c>
      <c r="X279" s="85">
        <f>IF($K279="","",TEXT($K279,"yyyy-mm"))</f>
        <v/>
      </c>
      <c r="Y279" s="81">
        <f>IF(OR($A279="",$T279=""),"","Included in Manager_Report")</f>
        <v/>
      </c>
    </row>
    <row r="280" ht="15" customHeight="1" s="40">
      <c r="A280" s="65">
        <f>IF(COUNTA(B280:G280)=0,"","STP-"&amp;TEXT(ROW()-4,"0000"))</f>
        <v/>
      </c>
      <c r="B280" s="78" t="n"/>
      <c r="C280" s="67">
        <f>IF($B280="","",IFERROR(INDEX(Task_Tracker!$D$5:$D$1004,MATCH($B280,Task_Tracker!$A$5:$A$1004,0)),""))</f>
        <v/>
      </c>
      <c r="D280" s="67">
        <f>IF($B280="","",IFERROR(INDEX(Task_Tracker!$B$5:$B$1004,MATCH($B280,Task_Tracker!$A$5:$A$1004,0)),""))</f>
        <v/>
      </c>
      <c r="E280" s="81" t="n"/>
      <c r="F280" s="81" t="n"/>
      <c r="G280" s="78" t="n"/>
      <c r="H280" s="78" t="n"/>
      <c r="I280" s="67">
        <f>IF($H280="","",IFERROR(INDEX(Action_Status_Map!$B$5:$B$11,MATCH($H280,Action_Status_Map!$A$5:$A$11,0)),""))</f>
        <v/>
      </c>
      <c r="J280" s="82" t="n"/>
      <c r="K280" s="82" t="n"/>
      <c r="L280" s="82" t="n"/>
      <c r="M280" s="83" t="n"/>
      <c r="N280" s="83" t="n"/>
      <c r="O280" s="66">
        <f>IF(OR($M280="",$N280=""),"",$N280-$M280)</f>
        <v/>
      </c>
      <c r="P280" s="84">
        <f>IF($J280="","",IF($L280&lt;&gt;"",$L280-$J280,TODAY()-$J280))</f>
        <v/>
      </c>
      <c r="Q280" s="85">
        <f>IF(OR($K280="",$H280="Completed",$H280="Cancelled"),"",IF(AND($K280&lt;TODAY(),$H280&lt;&gt;"Completed",$H280&lt;&gt;"Cancelled"),"Overdue","On Track"))</f>
        <v/>
      </c>
      <c r="R280" s="81" t="n"/>
      <c r="S280" s="81">
        <f>IF($B280="","",IFERROR(INDEX(Task_Tracker!$AA$5:$AA$1004,MATCH($B280,Task_Tracker!$A$5:$A$1004,0)),""))</f>
        <v/>
      </c>
      <c r="T280" s="81">
        <f>IF($B280="","",IFERROR(INDEX(Task_Tracker!$AB$5:$AB$1004,MATCH($B280,Task_Tracker!$A$5:$A$1004,0)),""))</f>
        <v/>
      </c>
      <c r="U280" s="78">
        <f>IF($B280="","",IFERROR(INDEX(Task_Tracker!$F$5:$F$1004,MATCH($B280,Task_Tracker!$A$5:$A$1004,0)),""))</f>
        <v/>
      </c>
      <c r="V280" s="78">
        <f>IF($B280="","",IFERROR(INDEX(Task_Tracker!$I$5:$I$1004,MATCH($B280,Task_Tracker!$A$5:$A$1004,0)),""))</f>
        <v/>
      </c>
      <c r="W280" s="81">
        <f>IF(OR($D280="",$B280=""),"",$D280&amp;" | "&amp;$B280)</f>
        <v/>
      </c>
      <c r="X280" s="85">
        <f>IF($K280="","",TEXT($K280,"yyyy-mm"))</f>
        <v/>
      </c>
      <c r="Y280" s="81">
        <f>IF(OR($A280="",$T280=""),"","Included in Manager_Report")</f>
        <v/>
      </c>
    </row>
    <row r="281" ht="15" customHeight="1" s="40">
      <c r="A281" s="65">
        <f>IF(COUNTA(B281:G281)=0,"","STP-"&amp;TEXT(ROW()-4,"0000"))</f>
        <v/>
      </c>
      <c r="B281" s="78" t="n"/>
      <c r="C281" s="67">
        <f>IF($B281="","",IFERROR(INDEX(Task_Tracker!$D$5:$D$1004,MATCH($B281,Task_Tracker!$A$5:$A$1004,0)),""))</f>
        <v/>
      </c>
      <c r="D281" s="67">
        <f>IF($B281="","",IFERROR(INDEX(Task_Tracker!$B$5:$B$1004,MATCH($B281,Task_Tracker!$A$5:$A$1004,0)),""))</f>
        <v/>
      </c>
      <c r="E281" s="81" t="n"/>
      <c r="F281" s="81" t="n"/>
      <c r="G281" s="78" t="n"/>
      <c r="H281" s="78" t="n"/>
      <c r="I281" s="67">
        <f>IF($H281="","",IFERROR(INDEX(Action_Status_Map!$B$5:$B$11,MATCH($H281,Action_Status_Map!$A$5:$A$11,0)),""))</f>
        <v/>
      </c>
      <c r="J281" s="82" t="n"/>
      <c r="K281" s="82" t="n"/>
      <c r="L281" s="82" t="n"/>
      <c r="M281" s="83" t="n"/>
      <c r="N281" s="83" t="n"/>
      <c r="O281" s="66">
        <f>IF(OR($M281="",$N281=""),"",$N281-$M281)</f>
        <v/>
      </c>
      <c r="P281" s="84">
        <f>IF($J281="","",IF($L281&lt;&gt;"",$L281-$J281,TODAY()-$J281))</f>
        <v/>
      </c>
      <c r="Q281" s="85">
        <f>IF(OR($K281="",$H281="Completed",$H281="Cancelled"),"",IF(AND($K281&lt;TODAY(),$H281&lt;&gt;"Completed",$H281&lt;&gt;"Cancelled"),"Overdue","On Track"))</f>
        <v/>
      </c>
      <c r="R281" s="81" t="n"/>
      <c r="S281" s="81">
        <f>IF($B281="","",IFERROR(INDEX(Task_Tracker!$AA$5:$AA$1004,MATCH($B281,Task_Tracker!$A$5:$A$1004,0)),""))</f>
        <v/>
      </c>
      <c r="T281" s="81">
        <f>IF($B281="","",IFERROR(INDEX(Task_Tracker!$AB$5:$AB$1004,MATCH($B281,Task_Tracker!$A$5:$A$1004,0)),""))</f>
        <v/>
      </c>
      <c r="U281" s="78">
        <f>IF($B281="","",IFERROR(INDEX(Task_Tracker!$F$5:$F$1004,MATCH($B281,Task_Tracker!$A$5:$A$1004,0)),""))</f>
        <v/>
      </c>
      <c r="V281" s="78">
        <f>IF($B281="","",IFERROR(INDEX(Task_Tracker!$I$5:$I$1004,MATCH($B281,Task_Tracker!$A$5:$A$1004,0)),""))</f>
        <v/>
      </c>
      <c r="W281" s="81">
        <f>IF(OR($D281="",$B281=""),"",$D281&amp;" | "&amp;$B281)</f>
        <v/>
      </c>
      <c r="X281" s="85">
        <f>IF($K281="","",TEXT($K281,"yyyy-mm"))</f>
        <v/>
      </c>
      <c r="Y281" s="81">
        <f>IF(OR($A281="",$T281=""),"","Included in Manager_Report")</f>
        <v/>
      </c>
    </row>
    <row r="282" ht="15" customHeight="1" s="40">
      <c r="A282" s="65">
        <f>IF(COUNTA(B282:G282)=0,"","STP-"&amp;TEXT(ROW()-4,"0000"))</f>
        <v/>
      </c>
      <c r="B282" s="78" t="n"/>
      <c r="C282" s="67">
        <f>IF($B282="","",IFERROR(INDEX(Task_Tracker!$D$5:$D$1004,MATCH($B282,Task_Tracker!$A$5:$A$1004,0)),""))</f>
        <v/>
      </c>
      <c r="D282" s="67">
        <f>IF($B282="","",IFERROR(INDEX(Task_Tracker!$B$5:$B$1004,MATCH($B282,Task_Tracker!$A$5:$A$1004,0)),""))</f>
        <v/>
      </c>
      <c r="E282" s="81" t="n"/>
      <c r="F282" s="81" t="n"/>
      <c r="G282" s="78" t="n"/>
      <c r="H282" s="78" t="n"/>
      <c r="I282" s="67">
        <f>IF($H282="","",IFERROR(INDEX(Action_Status_Map!$B$5:$B$11,MATCH($H282,Action_Status_Map!$A$5:$A$11,0)),""))</f>
        <v/>
      </c>
      <c r="J282" s="82" t="n"/>
      <c r="K282" s="82" t="n"/>
      <c r="L282" s="82" t="n"/>
      <c r="M282" s="83" t="n"/>
      <c r="N282" s="83" t="n"/>
      <c r="O282" s="66">
        <f>IF(OR($M282="",$N282=""),"",$N282-$M282)</f>
        <v/>
      </c>
      <c r="P282" s="84">
        <f>IF($J282="","",IF($L282&lt;&gt;"",$L282-$J282,TODAY()-$J282))</f>
        <v/>
      </c>
      <c r="Q282" s="85">
        <f>IF(OR($K282="",$H282="Completed",$H282="Cancelled"),"",IF(AND($K282&lt;TODAY(),$H282&lt;&gt;"Completed",$H282&lt;&gt;"Cancelled"),"Overdue","On Track"))</f>
        <v/>
      </c>
      <c r="R282" s="81" t="n"/>
      <c r="S282" s="81">
        <f>IF($B282="","",IFERROR(INDEX(Task_Tracker!$AA$5:$AA$1004,MATCH($B282,Task_Tracker!$A$5:$A$1004,0)),""))</f>
        <v/>
      </c>
      <c r="T282" s="81">
        <f>IF($B282="","",IFERROR(INDEX(Task_Tracker!$AB$5:$AB$1004,MATCH($B282,Task_Tracker!$A$5:$A$1004,0)),""))</f>
        <v/>
      </c>
      <c r="U282" s="78">
        <f>IF($B282="","",IFERROR(INDEX(Task_Tracker!$F$5:$F$1004,MATCH($B282,Task_Tracker!$A$5:$A$1004,0)),""))</f>
        <v/>
      </c>
      <c r="V282" s="78">
        <f>IF($B282="","",IFERROR(INDEX(Task_Tracker!$I$5:$I$1004,MATCH($B282,Task_Tracker!$A$5:$A$1004,0)),""))</f>
        <v/>
      </c>
      <c r="W282" s="81">
        <f>IF(OR($D282="",$B282=""),"",$D282&amp;" | "&amp;$B282)</f>
        <v/>
      </c>
      <c r="X282" s="85">
        <f>IF($K282="","",TEXT($K282,"yyyy-mm"))</f>
        <v/>
      </c>
      <c r="Y282" s="81">
        <f>IF(OR($A282="",$T282=""),"","Included in Manager_Report")</f>
        <v/>
      </c>
    </row>
    <row r="283" ht="15" customHeight="1" s="40">
      <c r="A283" s="65">
        <f>IF(COUNTA(B283:G283)=0,"","STP-"&amp;TEXT(ROW()-4,"0000"))</f>
        <v/>
      </c>
      <c r="B283" s="78" t="n"/>
      <c r="C283" s="67">
        <f>IF($B283="","",IFERROR(INDEX(Task_Tracker!$D$5:$D$1004,MATCH($B283,Task_Tracker!$A$5:$A$1004,0)),""))</f>
        <v/>
      </c>
      <c r="D283" s="67">
        <f>IF($B283="","",IFERROR(INDEX(Task_Tracker!$B$5:$B$1004,MATCH($B283,Task_Tracker!$A$5:$A$1004,0)),""))</f>
        <v/>
      </c>
      <c r="E283" s="81" t="n"/>
      <c r="F283" s="81" t="n"/>
      <c r="G283" s="78" t="n"/>
      <c r="H283" s="78" t="n"/>
      <c r="I283" s="67">
        <f>IF($H283="","",IFERROR(INDEX(Action_Status_Map!$B$5:$B$11,MATCH($H283,Action_Status_Map!$A$5:$A$11,0)),""))</f>
        <v/>
      </c>
      <c r="J283" s="82" t="n"/>
      <c r="K283" s="82" t="n"/>
      <c r="L283" s="82" t="n"/>
      <c r="M283" s="83" t="n"/>
      <c r="N283" s="83" t="n"/>
      <c r="O283" s="66">
        <f>IF(OR($M283="",$N283=""),"",$N283-$M283)</f>
        <v/>
      </c>
      <c r="P283" s="84">
        <f>IF($J283="","",IF($L283&lt;&gt;"",$L283-$J283,TODAY()-$J283))</f>
        <v/>
      </c>
      <c r="Q283" s="85">
        <f>IF(OR($K283="",$H283="Completed",$H283="Cancelled"),"",IF(AND($K283&lt;TODAY(),$H283&lt;&gt;"Completed",$H283&lt;&gt;"Cancelled"),"Overdue","On Track"))</f>
        <v/>
      </c>
      <c r="R283" s="81" t="n"/>
      <c r="S283" s="81">
        <f>IF($B283="","",IFERROR(INDEX(Task_Tracker!$AA$5:$AA$1004,MATCH($B283,Task_Tracker!$A$5:$A$1004,0)),""))</f>
        <v/>
      </c>
      <c r="T283" s="81">
        <f>IF($B283="","",IFERROR(INDEX(Task_Tracker!$AB$5:$AB$1004,MATCH($B283,Task_Tracker!$A$5:$A$1004,0)),""))</f>
        <v/>
      </c>
      <c r="U283" s="78">
        <f>IF($B283="","",IFERROR(INDEX(Task_Tracker!$F$5:$F$1004,MATCH($B283,Task_Tracker!$A$5:$A$1004,0)),""))</f>
        <v/>
      </c>
      <c r="V283" s="78">
        <f>IF($B283="","",IFERROR(INDEX(Task_Tracker!$I$5:$I$1004,MATCH($B283,Task_Tracker!$A$5:$A$1004,0)),""))</f>
        <v/>
      </c>
      <c r="W283" s="81">
        <f>IF(OR($D283="",$B283=""),"",$D283&amp;" | "&amp;$B283)</f>
        <v/>
      </c>
      <c r="X283" s="85">
        <f>IF($K283="","",TEXT($K283,"yyyy-mm"))</f>
        <v/>
      </c>
      <c r="Y283" s="81">
        <f>IF(OR($A283="",$T283=""),"","Included in Manager_Report")</f>
        <v/>
      </c>
    </row>
    <row r="284" ht="15" customHeight="1" s="40">
      <c r="A284" s="65">
        <f>IF(COUNTA(B284:G284)=0,"","STP-"&amp;TEXT(ROW()-4,"0000"))</f>
        <v/>
      </c>
      <c r="B284" s="78" t="n"/>
      <c r="C284" s="67">
        <f>IF($B284="","",IFERROR(INDEX(Task_Tracker!$D$5:$D$1004,MATCH($B284,Task_Tracker!$A$5:$A$1004,0)),""))</f>
        <v/>
      </c>
      <c r="D284" s="67">
        <f>IF($B284="","",IFERROR(INDEX(Task_Tracker!$B$5:$B$1004,MATCH($B284,Task_Tracker!$A$5:$A$1004,0)),""))</f>
        <v/>
      </c>
      <c r="E284" s="81" t="n"/>
      <c r="F284" s="81" t="n"/>
      <c r="G284" s="78" t="n"/>
      <c r="H284" s="78" t="n"/>
      <c r="I284" s="67">
        <f>IF($H284="","",IFERROR(INDEX(Action_Status_Map!$B$5:$B$11,MATCH($H284,Action_Status_Map!$A$5:$A$11,0)),""))</f>
        <v/>
      </c>
      <c r="J284" s="82" t="n"/>
      <c r="K284" s="82" t="n"/>
      <c r="L284" s="82" t="n"/>
      <c r="M284" s="83" t="n"/>
      <c r="N284" s="83" t="n"/>
      <c r="O284" s="66">
        <f>IF(OR($M284="",$N284=""),"",$N284-$M284)</f>
        <v/>
      </c>
      <c r="P284" s="84">
        <f>IF($J284="","",IF($L284&lt;&gt;"",$L284-$J284,TODAY()-$J284))</f>
        <v/>
      </c>
      <c r="Q284" s="85">
        <f>IF(OR($K284="",$H284="Completed",$H284="Cancelled"),"",IF(AND($K284&lt;TODAY(),$H284&lt;&gt;"Completed",$H284&lt;&gt;"Cancelled"),"Overdue","On Track"))</f>
        <v/>
      </c>
      <c r="R284" s="81" t="n"/>
      <c r="S284" s="81">
        <f>IF($B284="","",IFERROR(INDEX(Task_Tracker!$AA$5:$AA$1004,MATCH($B284,Task_Tracker!$A$5:$A$1004,0)),""))</f>
        <v/>
      </c>
      <c r="T284" s="81">
        <f>IF($B284="","",IFERROR(INDEX(Task_Tracker!$AB$5:$AB$1004,MATCH($B284,Task_Tracker!$A$5:$A$1004,0)),""))</f>
        <v/>
      </c>
      <c r="U284" s="78">
        <f>IF($B284="","",IFERROR(INDEX(Task_Tracker!$F$5:$F$1004,MATCH($B284,Task_Tracker!$A$5:$A$1004,0)),""))</f>
        <v/>
      </c>
      <c r="V284" s="78">
        <f>IF($B284="","",IFERROR(INDEX(Task_Tracker!$I$5:$I$1004,MATCH($B284,Task_Tracker!$A$5:$A$1004,0)),""))</f>
        <v/>
      </c>
      <c r="W284" s="81">
        <f>IF(OR($D284="",$B284=""),"",$D284&amp;" | "&amp;$B284)</f>
        <v/>
      </c>
      <c r="X284" s="85">
        <f>IF($K284="","",TEXT($K284,"yyyy-mm"))</f>
        <v/>
      </c>
      <c r="Y284" s="81">
        <f>IF(OR($A284="",$T284=""),"","Included in Manager_Report")</f>
        <v/>
      </c>
    </row>
    <row r="285" ht="15" customHeight="1" s="40">
      <c r="A285" s="65">
        <f>IF(COUNTA(B285:G285)=0,"","STP-"&amp;TEXT(ROW()-4,"0000"))</f>
        <v/>
      </c>
      <c r="B285" s="78" t="n"/>
      <c r="C285" s="67">
        <f>IF($B285="","",IFERROR(INDEX(Task_Tracker!$D$5:$D$1004,MATCH($B285,Task_Tracker!$A$5:$A$1004,0)),""))</f>
        <v/>
      </c>
      <c r="D285" s="67">
        <f>IF($B285="","",IFERROR(INDEX(Task_Tracker!$B$5:$B$1004,MATCH($B285,Task_Tracker!$A$5:$A$1004,0)),""))</f>
        <v/>
      </c>
      <c r="E285" s="81" t="n"/>
      <c r="F285" s="81" t="n"/>
      <c r="G285" s="78" t="n"/>
      <c r="H285" s="78" t="n"/>
      <c r="I285" s="67">
        <f>IF($H285="","",IFERROR(INDEX(Action_Status_Map!$B$5:$B$11,MATCH($H285,Action_Status_Map!$A$5:$A$11,0)),""))</f>
        <v/>
      </c>
      <c r="J285" s="82" t="n"/>
      <c r="K285" s="82" t="n"/>
      <c r="L285" s="82" t="n"/>
      <c r="M285" s="83" t="n"/>
      <c r="N285" s="83" t="n"/>
      <c r="O285" s="66">
        <f>IF(OR($M285="",$N285=""),"",$N285-$M285)</f>
        <v/>
      </c>
      <c r="P285" s="84">
        <f>IF($J285="","",IF($L285&lt;&gt;"",$L285-$J285,TODAY()-$J285))</f>
        <v/>
      </c>
      <c r="Q285" s="85">
        <f>IF(OR($K285="",$H285="Completed",$H285="Cancelled"),"",IF(AND($K285&lt;TODAY(),$H285&lt;&gt;"Completed",$H285&lt;&gt;"Cancelled"),"Overdue","On Track"))</f>
        <v/>
      </c>
      <c r="R285" s="81" t="n"/>
      <c r="S285" s="81">
        <f>IF($B285="","",IFERROR(INDEX(Task_Tracker!$AA$5:$AA$1004,MATCH($B285,Task_Tracker!$A$5:$A$1004,0)),""))</f>
        <v/>
      </c>
      <c r="T285" s="81">
        <f>IF($B285="","",IFERROR(INDEX(Task_Tracker!$AB$5:$AB$1004,MATCH($B285,Task_Tracker!$A$5:$A$1004,0)),""))</f>
        <v/>
      </c>
      <c r="U285" s="78">
        <f>IF($B285="","",IFERROR(INDEX(Task_Tracker!$F$5:$F$1004,MATCH($B285,Task_Tracker!$A$5:$A$1004,0)),""))</f>
        <v/>
      </c>
      <c r="V285" s="78">
        <f>IF($B285="","",IFERROR(INDEX(Task_Tracker!$I$5:$I$1004,MATCH($B285,Task_Tracker!$A$5:$A$1004,0)),""))</f>
        <v/>
      </c>
      <c r="W285" s="81">
        <f>IF(OR($D285="",$B285=""),"",$D285&amp;" | "&amp;$B285)</f>
        <v/>
      </c>
      <c r="X285" s="85">
        <f>IF($K285="","",TEXT($K285,"yyyy-mm"))</f>
        <v/>
      </c>
      <c r="Y285" s="81">
        <f>IF(OR($A285="",$T285=""),"","Included in Manager_Report")</f>
        <v/>
      </c>
    </row>
    <row r="286" ht="15" customHeight="1" s="40">
      <c r="A286" s="65">
        <f>IF(COUNTA(B286:G286)=0,"","STP-"&amp;TEXT(ROW()-4,"0000"))</f>
        <v/>
      </c>
      <c r="B286" s="78" t="n"/>
      <c r="C286" s="67">
        <f>IF($B286="","",IFERROR(INDEX(Task_Tracker!$D$5:$D$1004,MATCH($B286,Task_Tracker!$A$5:$A$1004,0)),""))</f>
        <v/>
      </c>
      <c r="D286" s="67">
        <f>IF($B286="","",IFERROR(INDEX(Task_Tracker!$B$5:$B$1004,MATCH($B286,Task_Tracker!$A$5:$A$1004,0)),""))</f>
        <v/>
      </c>
      <c r="E286" s="81" t="n"/>
      <c r="F286" s="81" t="n"/>
      <c r="G286" s="78" t="n"/>
      <c r="H286" s="78" t="n"/>
      <c r="I286" s="67">
        <f>IF($H286="","",IFERROR(INDEX(Action_Status_Map!$B$5:$B$11,MATCH($H286,Action_Status_Map!$A$5:$A$11,0)),""))</f>
        <v/>
      </c>
      <c r="J286" s="82" t="n"/>
      <c r="K286" s="82" t="n"/>
      <c r="L286" s="82" t="n"/>
      <c r="M286" s="83" t="n"/>
      <c r="N286" s="83" t="n"/>
      <c r="O286" s="66">
        <f>IF(OR($M286="",$N286=""),"",$N286-$M286)</f>
        <v/>
      </c>
      <c r="P286" s="84">
        <f>IF($J286="","",IF($L286&lt;&gt;"",$L286-$J286,TODAY()-$J286))</f>
        <v/>
      </c>
      <c r="Q286" s="85">
        <f>IF(OR($K286="",$H286="Completed",$H286="Cancelled"),"",IF(AND($K286&lt;TODAY(),$H286&lt;&gt;"Completed",$H286&lt;&gt;"Cancelled"),"Overdue","On Track"))</f>
        <v/>
      </c>
      <c r="R286" s="81" t="n"/>
      <c r="S286" s="81">
        <f>IF($B286="","",IFERROR(INDEX(Task_Tracker!$AA$5:$AA$1004,MATCH($B286,Task_Tracker!$A$5:$A$1004,0)),""))</f>
        <v/>
      </c>
      <c r="T286" s="81">
        <f>IF($B286="","",IFERROR(INDEX(Task_Tracker!$AB$5:$AB$1004,MATCH($B286,Task_Tracker!$A$5:$A$1004,0)),""))</f>
        <v/>
      </c>
      <c r="U286" s="78">
        <f>IF($B286="","",IFERROR(INDEX(Task_Tracker!$F$5:$F$1004,MATCH($B286,Task_Tracker!$A$5:$A$1004,0)),""))</f>
        <v/>
      </c>
      <c r="V286" s="78">
        <f>IF($B286="","",IFERROR(INDEX(Task_Tracker!$I$5:$I$1004,MATCH($B286,Task_Tracker!$A$5:$A$1004,0)),""))</f>
        <v/>
      </c>
      <c r="W286" s="81">
        <f>IF(OR($D286="",$B286=""),"",$D286&amp;" | "&amp;$B286)</f>
        <v/>
      </c>
      <c r="X286" s="85">
        <f>IF($K286="","",TEXT($K286,"yyyy-mm"))</f>
        <v/>
      </c>
      <c r="Y286" s="81">
        <f>IF(OR($A286="",$T286=""),"","Included in Manager_Report")</f>
        <v/>
      </c>
    </row>
    <row r="287" ht="15" customHeight="1" s="40">
      <c r="A287" s="65">
        <f>IF(COUNTA(B287:G287)=0,"","STP-"&amp;TEXT(ROW()-4,"0000"))</f>
        <v/>
      </c>
      <c r="B287" s="78" t="n"/>
      <c r="C287" s="67">
        <f>IF($B287="","",IFERROR(INDEX(Task_Tracker!$D$5:$D$1004,MATCH($B287,Task_Tracker!$A$5:$A$1004,0)),""))</f>
        <v/>
      </c>
      <c r="D287" s="67">
        <f>IF($B287="","",IFERROR(INDEX(Task_Tracker!$B$5:$B$1004,MATCH($B287,Task_Tracker!$A$5:$A$1004,0)),""))</f>
        <v/>
      </c>
      <c r="E287" s="81" t="n"/>
      <c r="F287" s="81" t="n"/>
      <c r="G287" s="78" t="n"/>
      <c r="H287" s="78" t="n"/>
      <c r="I287" s="67">
        <f>IF($H287="","",IFERROR(INDEX(Action_Status_Map!$B$5:$B$11,MATCH($H287,Action_Status_Map!$A$5:$A$11,0)),""))</f>
        <v/>
      </c>
      <c r="J287" s="82" t="n"/>
      <c r="K287" s="82" t="n"/>
      <c r="L287" s="82" t="n"/>
      <c r="M287" s="83" t="n"/>
      <c r="N287" s="83" t="n"/>
      <c r="O287" s="66">
        <f>IF(OR($M287="",$N287=""),"",$N287-$M287)</f>
        <v/>
      </c>
      <c r="P287" s="84">
        <f>IF($J287="","",IF($L287&lt;&gt;"",$L287-$J287,TODAY()-$J287))</f>
        <v/>
      </c>
      <c r="Q287" s="85">
        <f>IF(OR($K287="",$H287="Completed",$H287="Cancelled"),"",IF(AND($K287&lt;TODAY(),$H287&lt;&gt;"Completed",$H287&lt;&gt;"Cancelled"),"Overdue","On Track"))</f>
        <v/>
      </c>
      <c r="R287" s="81" t="n"/>
      <c r="S287" s="81">
        <f>IF($B287="","",IFERROR(INDEX(Task_Tracker!$AA$5:$AA$1004,MATCH($B287,Task_Tracker!$A$5:$A$1004,0)),""))</f>
        <v/>
      </c>
      <c r="T287" s="81">
        <f>IF($B287="","",IFERROR(INDEX(Task_Tracker!$AB$5:$AB$1004,MATCH($B287,Task_Tracker!$A$5:$A$1004,0)),""))</f>
        <v/>
      </c>
      <c r="U287" s="78">
        <f>IF($B287="","",IFERROR(INDEX(Task_Tracker!$F$5:$F$1004,MATCH($B287,Task_Tracker!$A$5:$A$1004,0)),""))</f>
        <v/>
      </c>
      <c r="V287" s="78">
        <f>IF($B287="","",IFERROR(INDEX(Task_Tracker!$I$5:$I$1004,MATCH($B287,Task_Tracker!$A$5:$A$1004,0)),""))</f>
        <v/>
      </c>
      <c r="W287" s="81">
        <f>IF(OR($D287="",$B287=""),"",$D287&amp;" | "&amp;$B287)</f>
        <v/>
      </c>
      <c r="X287" s="85">
        <f>IF($K287="","",TEXT($K287,"yyyy-mm"))</f>
        <v/>
      </c>
      <c r="Y287" s="81">
        <f>IF(OR($A287="",$T287=""),"","Included in Manager_Report")</f>
        <v/>
      </c>
    </row>
    <row r="288" ht="15" customHeight="1" s="40">
      <c r="A288" s="65">
        <f>IF(COUNTA(B288:G288)=0,"","STP-"&amp;TEXT(ROW()-4,"0000"))</f>
        <v/>
      </c>
      <c r="B288" s="78" t="n"/>
      <c r="C288" s="67">
        <f>IF($B288="","",IFERROR(INDEX(Task_Tracker!$D$5:$D$1004,MATCH($B288,Task_Tracker!$A$5:$A$1004,0)),""))</f>
        <v/>
      </c>
      <c r="D288" s="67">
        <f>IF($B288="","",IFERROR(INDEX(Task_Tracker!$B$5:$B$1004,MATCH($B288,Task_Tracker!$A$5:$A$1004,0)),""))</f>
        <v/>
      </c>
      <c r="E288" s="81" t="n"/>
      <c r="F288" s="81" t="n"/>
      <c r="G288" s="78" t="n"/>
      <c r="H288" s="78" t="n"/>
      <c r="I288" s="67">
        <f>IF($H288="","",IFERROR(INDEX(Action_Status_Map!$B$5:$B$11,MATCH($H288,Action_Status_Map!$A$5:$A$11,0)),""))</f>
        <v/>
      </c>
      <c r="J288" s="82" t="n"/>
      <c r="K288" s="82" t="n"/>
      <c r="L288" s="82" t="n"/>
      <c r="M288" s="83" t="n"/>
      <c r="N288" s="83" t="n"/>
      <c r="O288" s="66">
        <f>IF(OR($M288="",$N288=""),"",$N288-$M288)</f>
        <v/>
      </c>
      <c r="P288" s="84">
        <f>IF($J288="","",IF($L288&lt;&gt;"",$L288-$J288,TODAY()-$J288))</f>
        <v/>
      </c>
      <c r="Q288" s="85">
        <f>IF(OR($K288="",$H288="Completed",$H288="Cancelled"),"",IF(AND($K288&lt;TODAY(),$H288&lt;&gt;"Completed",$H288&lt;&gt;"Cancelled"),"Overdue","On Track"))</f>
        <v/>
      </c>
      <c r="R288" s="81" t="n"/>
      <c r="S288" s="81">
        <f>IF($B288="","",IFERROR(INDEX(Task_Tracker!$AA$5:$AA$1004,MATCH($B288,Task_Tracker!$A$5:$A$1004,0)),""))</f>
        <v/>
      </c>
      <c r="T288" s="81">
        <f>IF($B288="","",IFERROR(INDEX(Task_Tracker!$AB$5:$AB$1004,MATCH($B288,Task_Tracker!$A$5:$A$1004,0)),""))</f>
        <v/>
      </c>
      <c r="U288" s="78">
        <f>IF($B288="","",IFERROR(INDEX(Task_Tracker!$F$5:$F$1004,MATCH($B288,Task_Tracker!$A$5:$A$1004,0)),""))</f>
        <v/>
      </c>
      <c r="V288" s="78">
        <f>IF($B288="","",IFERROR(INDEX(Task_Tracker!$I$5:$I$1004,MATCH($B288,Task_Tracker!$A$5:$A$1004,0)),""))</f>
        <v/>
      </c>
      <c r="W288" s="81">
        <f>IF(OR($D288="",$B288=""),"",$D288&amp;" | "&amp;$B288)</f>
        <v/>
      </c>
      <c r="X288" s="85">
        <f>IF($K288="","",TEXT($K288,"yyyy-mm"))</f>
        <v/>
      </c>
      <c r="Y288" s="81">
        <f>IF(OR($A288="",$T288=""),"","Included in Manager_Report")</f>
        <v/>
      </c>
    </row>
    <row r="289" ht="15" customHeight="1" s="40">
      <c r="A289" s="65">
        <f>IF(COUNTA(B289:G289)=0,"","STP-"&amp;TEXT(ROW()-4,"0000"))</f>
        <v/>
      </c>
      <c r="B289" s="78" t="n"/>
      <c r="C289" s="67">
        <f>IF($B289="","",IFERROR(INDEX(Task_Tracker!$D$5:$D$1004,MATCH($B289,Task_Tracker!$A$5:$A$1004,0)),""))</f>
        <v/>
      </c>
      <c r="D289" s="67">
        <f>IF($B289="","",IFERROR(INDEX(Task_Tracker!$B$5:$B$1004,MATCH($B289,Task_Tracker!$A$5:$A$1004,0)),""))</f>
        <v/>
      </c>
      <c r="E289" s="81" t="n"/>
      <c r="F289" s="81" t="n"/>
      <c r="G289" s="78" t="n"/>
      <c r="H289" s="78" t="n"/>
      <c r="I289" s="67">
        <f>IF($H289="","",IFERROR(INDEX(Action_Status_Map!$B$5:$B$11,MATCH($H289,Action_Status_Map!$A$5:$A$11,0)),""))</f>
        <v/>
      </c>
      <c r="J289" s="82" t="n"/>
      <c r="K289" s="82" t="n"/>
      <c r="L289" s="82" t="n"/>
      <c r="M289" s="83" t="n"/>
      <c r="N289" s="83" t="n"/>
      <c r="O289" s="66">
        <f>IF(OR($M289="",$N289=""),"",$N289-$M289)</f>
        <v/>
      </c>
      <c r="P289" s="84">
        <f>IF($J289="","",IF($L289&lt;&gt;"",$L289-$J289,TODAY()-$J289))</f>
        <v/>
      </c>
      <c r="Q289" s="85">
        <f>IF(OR($K289="",$H289="Completed",$H289="Cancelled"),"",IF(AND($K289&lt;TODAY(),$H289&lt;&gt;"Completed",$H289&lt;&gt;"Cancelled"),"Overdue","On Track"))</f>
        <v/>
      </c>
      <c r="R289" s="81" t="n"/>
      <c r="S289" s="81">
        <f>IF($B289="","",IFERROR(INDEX(Task_Tracker!$AA$5:$AA$1004,MATCH($B289,Task_Tracker!$A$5:$A$1004,0)),""))</f>
        <v/>
      </c>
      <c r="T289" s="81">
        <f>IF($B289="","",IFERROR(INDEX(Task_Tracker!$AB$5:$AB$1004,MATCH($B289,Task_Tracker!$A$5:$A$1004,0)),""))</f>
        <v/>
      </c>
      <c r="U289" s="78">
        <f>IF($B289="","",IFERROR(INDEX(Task_Tracker!$F$5:$F$1004,MATCH($B289,Task_Tracker!$A$5:$A$1004,0)),""))</f>
        <v/>
      </c>
      <c r="V289" s="78">
        <f>IF($B289="","",IFERROR(INDEX(Task_Tracker!$I$5:$I$1004,MATCH($B289,Task_Tracker!$A$5:$A$1004,0)),""))</f>
        <v/>
      </c>
      <c r="W289" s="81">
        <f>IF(OR($D289="",$B289=""),"",$D289&amp;" | "&amp;$B289)</f>
        <v/>
      </c>
      <c r="X289" s="85">
        <f>IF($K289="","",TEXT($K289,"yyyy-mm"))</f>
        <v/>
      </c>
      <c r="Y289" s="81">
        <f>IF(OR($A289="",$T289=""),"","Included in Manager_Report")</f>
        <v/>
      </c>
    </row>
    <row r="290" ht="15" customHeight="1" s="40">
      <c r="A290" s="65">
        <f>IF(COUNTA(B290:G290)=0,"","STP-"&amp;TEXT(ROW()-4,"0000"))</f>
        <v/>
      </c>
      <c r="B290" s="78" t="n"/>
      <c r="C290" s="67">
        <f>IF($B290="","",IFERROR(INDEX(Task_Tracker!$D$5:$D$1004,MATCH($B290,Task_Tracker!$A$5:$A$1004,0)),""))</f>
        <v/>
      </c>
      <c r="D290" s="67">
        <f>IF($B290="","",IFERROR(INDEX(Task_Tracker!$B$5:$B$1004,MATCH($B290,Task_Tracker!$A$5:$A$1004,0)),""))</f>
        <v/>
      </c>
      <c r="E290" s="81" t="n"/>
      <c r="F290" s="81" t="n"/>
      <c r="G290" s="78" t="n"/>
      <c r="H290" s="78" t="n"/>
      <c r="I290" s="67">
        <f>IF($H290="","",IFERROR(INDEX(Action_Status_Map!$B$5:$B$11,MATCH($H290,Action_Status_Map!$A$5:$A$11,0)),""))</f>
        <v/>
      </c>
      <c r="J290" s="82" t="n"/>
      <c r="K290" s="82" t="n"/>
      <c r="L290" s="82" t="n"/>
      <c r="M290" s="83" t="n"/>
      <c r="N290" s="83" t="n"/>
      <c r="O290" s="66">
        <f>IF(OR($M290="",$N290=""),"",$N290-$M290)</f>
        <v/>
      </c>
      <c r="P290" s="84">
        <f>IF($J290="","",IF($L290&lt;&gt;"",$L290-$J290,TODAY()-$J290))</f>
        <v/>
      </c>
      <c r="Q290" s="85">
        <f>IF(OR($K290="",$H290="Completed",$H290="Cancelled"),"",IF(AND($K290&lt;TODAY(),$H290&lt;&gt;"Completed",$H290&lt;&gt;"Cancelled"),"Overdue","On Track"))</f>
        <v/>
      </c>
      <c r="R290" s="81" t="n"/>
      <c r="S290" s="81">
        <f>IF($B290="","",IFERROR(INDEX(Task_Tracker!$AA$5:$AA$1004,MATCH($B290,Task_Tracker!$A$5:$A$1004,0)),""))</f>
        <v/>
      </c>
      <c r="T290" s="81">
        <f>IF($B290="","",IFERROR(INDEX(Task_Tracker!$AB$5:$AB$1004,MATCH($B290,Task_Tracker!$A$5:$A$1004,0)),""))</f>
        <v/>
      </c>
      <c r="U290" s="78">
        <f>IF($B290="","",IFERROR(INDEX(Task_Tracker!$F$5:$F$1004,MATCH($B290,Task_Tracker!$A$5:$A$1004,0)),""))</f>
        <v/>
      </c>
      <c r="V290" s="78">
        <f>IF($B290="","",IFERROR(INDEX(Task_Tracker!$I$5:$I$1004,MATCH($B290,Task_Tracker!$A$5:$A$1004,0)),""))</f>
        <v/>
      </c>
      <c r="W290" s="81">
        <f>IF(OR($D290="",$B290=""),"",$D290&amp;" | "&amp;$B290)</f>
        <v/>
      </c>
      <c r="X290" s="85">
        <f>IF($K290="","",TEXT($K290,"yyyy-mm"))</f>
        <v/>
      </c>
      <c r="Y290" s="81">
        <f>IF(OR($A290="",$T290=""),"","Included in Manager_Report")</f>
        <v/>
      </c>
    </row>
    <row r="291" ht="15" customHeight="1" s="40">
      <c r="A291" s="65">
        <f>IF(COUNTA(B291:G291)=0,"","STP-"&amp;TEXT(ROW()-4,"0000"))</f>
        <v/>
      </c>
      <c r="B291" s="78" t="n"/>
      <c r="C291" s="67">
        <f>IF($B291="","",IFERROR(INDEX(Task_Tracker!$D$5:$D$1004,MATCH($B291,Task_Tracker!$A$5:$A$1004,0)),""))</f>
        <v/>
      </c>
      <c r="D291" s="67">
        <f>IF($B291="","",IFERROR(INDEX(Task_Tracker!$B$5:$B$1004,MATCH($B291,Task_Tracker!$A$5:$A$1004,0)),""))</f>
        <v/>
      </c>
      <c r="E291" s="81" t="n"/>
      <c r="F291" s="81" t="n"/>
      <c r="G291" s="78" t="n"/>
      <c r="H291" s="78" t="n"/>
      <c r="I291" s="67">
        <f>IF($H291="","",IFERROR(INDEX(Action_Status_Map!$B$5:$B$11,MATCH($H291,Action_Status_Map!$A$5:$A$11,0)),""))</f>
        <v/>
      </c>
      <c r="J291" s="82" t="n"/>
      <c r="K291" s="82" t="n"/>
      <c r="L291" s="82" t="n"/>
      <c r="M291" s="83" t="n"/>
      <c r="N291" s="83" t="n"/>
      <c r="O291" s="66">
        <f>IF(OR($M291="",$N291=""),"",$N291-$M291)</f>
        <v/>
      </c>
      <c r="P291" s="84">
        <f>IF($J291="","",IF($L291&lt;&gt;"",$L291-$J291,TODAY()-$J291))</f>
        <v/>
      </c>
      <c r="Q291" s="85">
        <f>IF(OR($K291="",$H291="Completed",$H291="Cancelled"),"",IF(AND($K291&lt;TODAY(),$H291&lt;&gt;"Completed",$H291&lt;&gt;"Cancelled"),"Overdue","On Track"))</f>
        <v/>
      </c>
      <c r="R291" s="81" t="n"/>
      <c r="S291" s="81">
        <f>IF($B291="","",IFERROR(INDEX(Task_Tracker!$AA$5:$AA$1004,MATCH($B291,Task_Tracker!$A$5:$A$1004,0)),""))</f>
        <v/>
      </c>
      <c r="T291" s="81">
        <f>IF($B291="","",IFERROR(INDEX(Task_Tracker!$AB$5:$AB$1004,MATCH($B291,Task_Tracker!$A$5:$A$1004,0)),""))</f>
        <v/>
      </c>
      <c r="U291" s="78">
        <f>IF($B291="","",IFERROR(INDEX(Task_Tracker!$F$5:$F$1004,MATCH($B291,Task_Tracker!$A$5:$A$1004,0)),""))</f>
        <v/>
      </c>
      <c r="V291" s="78">
        <f>IF($B291="","",IFERROR(INDEX(Task_Tracker!$I$5:$I$1004,MATCH($B291,Task_Tracker!$A$5:$A$1004,0)),""))</f>
        <v/>
      </c>
      <c r="W291" s="81">
        <f>IF(OR($D291="",$B291=""),"",$D291&amp;" | "&amp;$B291)</f>
        <v/>
      </c>
      <c r="X291" s="85">
        <f>IF($K291="","",TEXT($K291,"yyyy-mm"))</f>
        <v/>
      </c>
      <c r="Y291" s="81">
        <f>IF(OR($A291="",$T291=""),"","Included in Manager_Report")</f>
        <v/>
      </c>
    </row>
    <row r="292" ht="15" customHeight="1" s="40">
      <c r="A292" s="65">
        <f>IF(COUNTA(B292:G292)=0,"","STP-"&amp;TEXT(ROW()-4,"0000"))</f>
        <v/>
      </c>
      <c r="B292" s="78" t="n"/>
      <c r="C292" s="67">
        <f>IF($B292="","",IFERROR(INDEX(Task_Tracker!$D$5:$D$1004,MATCH($B292,Task_Tracker!$A$5:$A$1004,0)),""))</f>
        <v/>
      </c>
      <c r="D292" s="67">
        <f>IF($B292="","",IFERROR(INDEX(Task_Tracker!$B$5:$B$1004,MATCH($B292,Task_Tracker!$A$5:$A$1004,0)),""))</f>
        <v/>
      </c>
      <c r="E292" s="81" t="n"/>
      <c r="F292" s="81" t="n"/>
      <c r="G292" s="78" t="n"/>
      <c r="H292" s="78" t="n"/>
      <c r="I292" s="67">
        <f>IF($H292="","",IFERROR(INDEX(Action_Status_Map!$B$5:$B$11,MATCH($H292,Action_Status_Map!$A$5:$A$11,0)),""))</f>
        <v/>
      </c>
      <c r="J292" s="82" t="n"/>
      <c r="K292" s="82" t="n"/>
      <c r="L292" s="82" t="n"/>
      <c r="M292" s="83" t="n"/>
      <c r="N292" s="83" t="n"/>
      <c r="O292" s="66">
        <f>IF(OR($M292="",$N292=""),"",$N292-$M292)</f>
        <v/>
      </c>
      <c r="P292" s="84">
        <f>IF($J292="","",IF($L292&lt;&gt;"",$L292-$J292,TODAY()-$J292))</f>
        <v/>
      </c>
      <c r="Q292" s="85">
        <f>IF(OR($K292="",$H292="Completed",$H292="Cancelled"),"",IF(AND($K292&lt;TODAY(),$H292&lt;&gt;"Completed",$H292&lt;&gt;"Cancelled"),"Overdue","On Track"))</f>
        <v/>
      </c>
      <c r="R292" s="81" t="n"/>
      <c r="S292" s="81">
        <f>IF($B292="","",IFERROR(INDEX(Task_Tracker!$AA$5:$AA$1004,MATCH($B292,Task_Tracker!$A$5:$A$1004,0)),""))</f>
        <v/>
      </c>
      <c r="T292" s="81">
        <f>IF($B292="","",IFERROR(INDEX(Task_Tracker!$AB$5:$AB$1004,MATCH($B292,Task_Tracker!$A$5:$A$1004,0)),""))</f>
        <v/>
      </c>
      <c r="U292" s="78">
        <f>IF($B292="","",IFERROR(INDEX(Task_Tracker!$F$5:$F$1004,MATCH($B292,Task_Tracker!$A$5:$A$1004,0)),""))</f>
        <v/>
      </c>
      <c r="V292" s="78">
        <f>IF($B292="","",IFERROR(INDEX(Task_Tracker!$I$5:$I$1004,MATCH($B292,Task_Tracker!$A$5:$A$1004,0)),""))</f>
        <v/>
      </c>
      <c r="W292" s="81">
        <f>IF(OR($D292="",$B292=""),"",$D292&amp;" | "&amp;$B292)</f>
        <v/>
      </c>
      <c r="X292" s="85">
        <f>IF($K292="","",TEXT($K292,"yyyy-mm"))</f>
        <v/>
      </c>
      <c r="Y292" s="81">
        <f>IF(OR($A292="",$T292=""),"","Included in Manager_Report")</f>
        <v/>
      </c>
    </row>
    <row r="293" ht="15" customHeight="1" s="40">
      <c r="A293" s="65">
        <f>IF(COUNTA(B293:G293)=0,"","STP-"&amp;TEXT(ROW()-4,"0000"))</f>
        <v/>
      </c>
      <c r="B293" s="78" t="n"/>
      <c r="C293" s="67">
        <f>IF($B293="","",IFERROR(INDEX(Task_Tracker!$D$5:$D$1004,MATCH($B293,Task_Tracker!$A$5:$A$1004,0)),""))</f>
        <v/>
      </c>
      <c r="D293" s="67">
        <f>IF($B293="","",IFERROR(INDEX(Task_Tracker!$B$5:$B$1004,MATCH($B293,Task_Tracker!$A$5:$A$1004,0)),""))</f>
        <v/>
      </c>
      <c r="E293" s="81" t="n"/>
      <c r="F293" s="81" t="n"/>
      <c r="G293" s="78" t="n"/>
      <c r="H293" s="78" t="n"/>
      <c r="I293" s="67">
        <f>IF($H293="","",IFERROR(INDEX(Action_Status_Map!$B$5:$B$11,MATCH($H293,Action_Status_Map!$A$5:$A$11,0)),""))</f>
        <v/>
      </c>
      <c r="J293" s="82" t="n"/>
      <c r="K293" s="82" t="n"/>
      <c r="L293" s="82" t="n"/>
      <c r="M293" s="83" t="n"/>
      <c r="N293" s="83" t="n"/>
      <c r="O293" s="66">
        <f>IF(OR($M293="",$N293=""),"",$N293-$M293)</f>
        <v/>
      </c>
      <c r="P293" s="84">
        <f>IF($J293="","",IF($L293&lt;&gt;"",$L293-$J293,TODAY()-$J293))</f>
        <v/>
      </c>
      <c r="Q293" s="85">
        <f>IF(OR($K293="",$H293="Completed",$H293="Cancelled"),"",IF(AND($K293&lt;TODAY(),$H293&lt;&gt;"Completed",$H293&lt;&gt;"Cancelled"),"Overdue","On Track"))</f>
        <v/>
      </c>
      <c r="R293" s="81" t="n"/>
      <c r="S293" s="81">
        <f>IF($B293="","",IFERROR(INDEX(Task_Tracker!$AA$5:$AA$1004,MATCH($B293,Task_Tracker!$A$5:$A$1004,0)),""))</f>
        <v/>
      </c>
      <c r="T293" s="81">
        <f>IF($B293="","",IFERROR(INDEX(Task_Tracker!$AB$5:$AB$1004,MATCH($B293,Task_Tracker!$A$5:$A$1004,0)),""))</f>
        <v/>
      </c>
      <c r="U293" s="78">
        <f>IF($B293="","",IFERROR(INDEX(Task_Tracker!$F$5:$F$1004,MATCH($B293,Task_Tracker!$A$5:$A$1004,0)),""))</f>
        <v/>
      </c>
      <c r="V293" s="78">
        <f>IF($B293="","",IFERROR(INDEX(Task_Tracker!$I$5:$I$1004,MATCH($B293,Task_Tracker!$A$5:$A$1004,0)),""))</f>
        <v/>
      </c>
      <c r="W293" s="81">
        <f>IF(OR($D293="",$B293=""),"",$D293&amp;" | "&amp;$B293)</f>
        <v/>
      </c>
      <c r="X293" s="85">
        <f>IF($K293="","",TEXT($K293,"yyyy-mm"))</f>
        <v/>
      </c>
      <c r="Y293" s="81">
        <f>IF(OR($A293="",$T293=""),"","Included in Manager_Report")</f>
        <v/>
      </c>
    </row>
    <row r="294" ht="15" customHeight="1" s="40">
      <c r="A294" s="65">
        <f>IF(COUNTA(B294:G294)=0,"","STP-"&amp;TEXT(ROW()-4,"0000"))</f>
        <v/>
      </c>
      <c r="B294" s="78" t="n"/>
      <c r="C294" s="67">
        <f>IF($B294="","",IFERROR(INDEX(Task_Tracker!$D$5:$D$1004,MATCH($B294,Task_Tracker!$A$5:$A$1004,0)),""))</f>
        <v/>
      </c>
      <c r="D294" s="67">
        <f>IF($B294="","",IFERROR(INDEX(Task_Tracker!$B$5:$B$1004,MATCH($B294,Task_Tracker!$A$5:$A$1004,0)),""))</f>
        <v/>
      </c>
      <c r="E294" s="81" t="n"/>
      <c r="F294" s="81" t="n"/>
      <c r="G294" s="78" t="n"/>
      <c r="H294" s="78" t="n"/>
      <c r="I294" s="67">
        <f>IF($H294="","",IFERROR(INDEX(Action_Status_Map!$B$5:$B$11,MATCH($H294,Action_Status_Map!$A$5:$A$11,0)),""))</f>
        <v/>
      </c>
      <c r="J294" s="82" t="n"/>
      <c r="K294" s="82" t="n"/>
      <c r="L294" s="82" t="n"/>
      <c r="M294" s="83" t="n"/>
      <c r="N294" s="83" t="n"/>
      <c r="O294" s="66">
        <f>IF(OR($M294="",$N294=""),"",$N294-$M294)</f>
        <v/>
      </c>
      <c r="P294" s="84">
        <f>IF($J294="","",IF($L294&lt;&gt;"",$L294-$J294,TODAY()-$J294))</f>
        <v/>
      </c>
      <c r="Q294" s="85">
        <f>IF(OR($K294="",$H294="Completed",$H294="Cancelled"),"",IF(AND($K294&lt;TODAY(),$H294&lt;&gt;"Completed",$H294&lt;&gt;"Cancelled"),"Overdue","On Track"))</f>
        <v/>
      </c>
      <c r="R294" s="81" t="n"/>
      <c r="S294" s="81">
        <f>IF($B294="","",IFERROR(INDEX(Task_Tracker!$AA$5:$AA$1004,MATCH($B294,Task_Tracker!$A$5:$A$1004,0)),""))</f>
        <v/>
      </c>
      <c r="T294" s="81">
        <f>IF($B294="","",IFERROR(INDEX(Task_Tracker!$AB$5:$AB$1004,MATCH($B294,Task_Tracker!$A$5:$A$1004,0)),""))</f>
        <v/>
      </c>
      <c r="U294" s="78">
        <f>IF($B294="","",IFERROR(INDEX(Task_Tracker!$F$5:$F$1004,MATCH($B294,Task_Tracker!$A$5:$A$1004,0)),""))</f>
        <v/>
      </c>
      <c r="V294" s="78">
        <f>IF($B294="","",IFERROR(INDEX(Task_Tracker!$I$5:$I$1004,MATCH($B294,Task_Tracker!$A$5:$A$1004,0)),""))</f>
        <v/>
      </c>
      <c r="W294" s="81">
        <f>IF(OR($D294="",$B294=""),"",$D294&amp;" | "&amp;$B294)</f>
        <v/>
      </c>
      <c r="X294" s="85">
        <f>IF($K294="","",TEXT($K294,"yyyy-mm"))</f>
        <v/>
      </c>
      <c r="Y294" s="81">
        <f>IF(OR($A294="",$T294=""),"","Included in Manager_Report")</f>
        <v/>
      </c>
    </row>
    <row r="295" ht="15" customHeight="1" s="40">
      <c r="A295" s="65">
        <f>IF(COUNTA(B295:G295)=0,"","STP-"&amp;TEXT(ROW()-4,"0000"))</f>
        <v/>
      </c>
      <c r="B295" s="78" t="n"/>
      <c r="C295" s="67">
        <f>IF($B295="","",IFERROR(INDEX(Task_Tracker!$D$5:$D$1004,MATCH($B295,Task_Tracker!$A$5:$A$1004,0)),""))</f>
        <v/>
      </c>
      <c r="D295" s="67">
        <f>IF($B295="","",IFERROR(INDEX(Task_Tracker!$B$5:$B$1004,MATCH($B295,Task_Tracker!$A$5:$A$1004,0)),""))</f>
        <v/>
      </c>
      <c r="E295" s="81" t="n"/>
      <c r="F295" s="81" t="n"/>
      <c r="G295" s="78" t="n"/>
      <c r="H295" s="78" t="n"/>
      <c r="I295" s="67">
        <f>IF($H295="","",IFERROR(INDEX(Action_Status_Map!$B$5:$B$11,MATCH($H295,Action_Status_Map!$A$5:$A$11,0)),""))</f>
        <v/>
      </c>
      <c r="J295" s="82" t="n"/>
      <c r="K295" s="82" t="n"/>
      <c r="L295" s="82" t="n"/>
      <c r="M295" s="83" t="n"/>
      <c r="N295" s="83" t="n"/>
      <c r="O295" s="66">
        <f>IF(OR($M295="",$N295=""),"",$N295-$M295)</f>
        <v/>
      </c>
      <c r="P295" s="84">
        <f>IF($J295="","",IF($L295&lt;&gt;"",$L295-$J295,TODAY()-$J295))</f>
        <v/>
      </c>
      <c r="Q295" s="85">
        <f>IF(OR($K295="",$H295="Completed",$H295="Cancelled"),"",IF(AND($K295&lt;TODAY(),$H295&lt;&gt;"Completed",$H295&lt;&gt;"Cancelled"),"Overdue","On Track"))</f>
        <v/>
      </c>
      <c r="R295" s="81" t="n"/>
      <c r="S295" s="81">
        <f>IF($B295="","",IFERROR(INDEX(Task_Tracker!$AA$5:$AA$1004,MATCH($B295,Task_Tracker!$A$5:$A$1004,0)),""))</f>
        <v/>
      </c>
      <c r="T295" s="81">
        <f>IF($B295="","",IFERROR(INDEX(Task_Tracker!$AB$5:$AB$1004,MATCH($B295,Task_Tracker!$A$5:$A$1004,0)),""))</f>
        <v/>
      </c>
      <c r="U295" s="78">
        <f>IF($B295="","",IFERROR(INDEX(Task_Tracker!$F$5:$F$1004,MATCH($B295,Task_Tracker!$A$5:$A$1004,0)),""))</f>
        <v/>
      </c>
      <c r="V295" s="78">
        <f>IF($B295="","",IFERROR(INDEX(Task_Tracker!$I$5:$I$1004,MATCH($B295,Task_Tracker!$A$5:$A$1004,0)),""))</f>
        <v/>
      </c>
      <c r="W295" s="81">
        <f>IF(OR($D295="",$B295=""),"",$D295&amp;" | "&amp;$B295)</f>
        <v/>
      </c>
      <c r="X295" s="85">
        <f>IF($K295="","",TEXT($K295,"yyyy-mm"))</f>
        <v/>
      </c>
      <c r="Y295" s="81">
        <f>IF(OR($A295="",$T295=""),"","Included in Manager_Report")</f>
        <v/>
      </c>
    </row>
    <row r="296" ht="15" customHeight="1" s="40">
      <c r="A296" s="65">
        <f>IF(COUNTA(B296:G296)=0,"","STP-"&amp;TEXT(ROW()-4,"0000"))</f>
        <v/>
      </c>
      <c r="B296" s="78" t="n"/>
      <c r="C296" s="67">
        <f>IF($B296="","",IFERROR(INDEX(Task_Tracker!$D$5:$D$1004,MATCH($B296,Task_Tracker!$A$5:$A$1004,0)),""))</f>
        <v/>
      </c>
      <c r="D296" s="67">
        <f>IF($B296="","",IFERROR(INDEX(Task_Tracker!$B$5:$B$1004,MATCH($B296,Task_Tracker!$A$5:$A$1004,0)),""))</f>
        <v/>
      </c>
      <c r="E296" s="81" t="n"/>
      <c r="F296" s="81" t="n"/>
      <c r="G296" s="78" t="n"/>
      <c r="H296" s="78" t="n"/>
      <c r="I296" s="67">
        <f>IF($H296="","",IFERROR(INDEX(Action_Status_Map!$B$5:$B$11,MATCH($H296,Action_Status_Map!$A$5:$A$11,0)),""))</f>
        <v/>
      </c>
      <c r="J296" s="82" t="n"/>
      <c r="K296" s="82" t="n"/>
      <c r="L296" s="82" t="n"/>
      <c r="M296" s="83" t="n"/>
      <c r="N296" s="83" t="n"/>
      <c r="O296" s="66">
        <f>IF(OR($M296="",$N296=""),"",$N296-$M296)</f>
        <v/>
      </c>
      <c r="P296" s="84">
        <f>IF($J296="","",IF($L296&lt;&gt;"",$L296-$J296,TODAY()-$J296))</f>
        <v/>
      </c>
      <c r="Q296" s="85">
        <f>IF(OR($K296="",$H296="Completed",$H296="Cancelled"),"",IF(AND($K296&lt;TODAY(),$H296&lt;&gt;"Completed",$H296&lt;&gt;"Cancelled"),"Overdue","On Track"))</f>
        <v/>
      </c>
      <c r="R296" s="81" t="n"/>
      <c r="S296" s="81">
        <f>IF($B296="","",IFERROR(INDEX(Task_Tracker!$AA$5:$AA$1004,MATCH($B296,Task_Tracker!$A$5:$A$1004,0)),""))</f>
        <v/>
      </c>
      <c r="T296" s="81">
        <f>IF($B296="","",IFERROR(INDEX(Task_Tracker!$AB$5:$AB$1004,MATCH($B296,Task_Tracker!$A$5:$A$1004,0)),""))</f>
        <v/>
      </c>
      <c r="U296" s="78">
        <f>IF($B296="","",IFERROR(INDEX(Task_Tracker!$F$5:$F$1004,MATCH($B296,Task_Tracker!$A$5:$A$1004,0)),""))</f>
        <v/>
      </c>
      <c r="V296" s="78">
        <f>IF($B296="","",IFERROR(INDEX(Task_Tracker!$I$5:$I$1004,MATCH($B296,Task_Tracker!$A$5:$A$1004,0)),""))</f>
        <v/>
      </c>
      <c r="W296" s="81">
        <f>IF(OR($D296="",$B296=""),"",$D296&amp;" | "&amp;$B296)</f>
        <v/>
      </c>
      <c r="X296" s="85">
        <f>IF($K296="","",TEXT($K296,"yyyy-mm"))</f>
        <v/>
      </c>
      <c r="Y296" s="81">
        <f>IF(OR($A296="",$T296=""),"","Included in Manager_Report")</f>
        <v/>
      </c>
    </row>
    <row r="297" ht="15" customHeight="1" s="40">
      <c r="A297" s="65">
        <f>IF(COUNTA(B297:G297)=0,"","STP-"&amp;TEXT(ROW()-4,"0000"))</f>
        <v/>
      </c>
      <c r="B297" s="78" t="n"/>
      <c r="C297" s="67">
        <f>IF($B297="","",IFERROR(INDEX(Task_Tracker!$D$5:$D$1004,MATCH($B297,Task_Tracker!$A$5:$A$1004,0)),""))</f>
        <v/>
      </c>
      <c r="D297" s="67">
        <f>IF($B297="","",IFERROR(INDEX(Task_Tracker!$B$5:$B$1004,MATCH($B297,Task_Tracker!$A$5:$A$1004,0)),""))</f>
        <v/>
      </c>
      <c r="E297" s="81" t="n"/>
      <c r="F297" s="81" t="n"/>
      <c r="G297" s="78" t="n"/>
      <c r="H297" s="78" t="n"/>
      <c r="I297" s="67">
        <f>IF($H297="","",IFERROR(INDEX(Action_Status_Map!$B$5:$B$11,MATCH($H297,Action_Status_Map!$A$5:$A$11,0)),""))</f>
        <v/>
      </c>
      <c r="J297" s="82" t="n"/>
      <c r="K297" s="82" t="n"/>
      <c r="L297" s="82" t="n"/>
      <c r="M297" s="83" t="n"/>
      <c r="N297" s="83" t="n"/>
      <c r="O297" s="66">
        <f>IF(OR($M297="",$N297=""),"",$N297-$M297)</f>
        <v/>
      </c>
      <c r="P297" s="84">
        <f>IF($J297="","",IF($L297&lt;&gt;"",$L297-$J297,TODAY()-$J297))</f>
        <v/>
      </c>
      <c r="Q297" s="85">
        <f>IF(OR($K297="",$H297="Completed",$H297="Cancelled"),"",IF(AND($K297&lt;TODAY(),$H297&lt;&gt;"Completed",$H297&lt;&gt;"Cancelled"),"Overdue","On Track"))</f>
        <v/>
      </c>
      <c r="R297" s="81" t="n"/>
      <c r="S297" s="81">
        <f>IF($B297="","",IFERROR(INDEX(Task_Tracker!$AA$5:$AA$1004,MATCH($B297,Task_Tracker!$A$5:$A$1004,0)),""))</f>
        <v/>
      </c>
      <c r="T297" s="81">
        <f>IF($B297="","",IFERROR(INDEX(Task_Tracker!$AB$5:$AB$1004,MATCH($B297,Task_Tracker!$A$5:$A$1004,0)),""))</f>
        <v/>
      </c>
      <c r="U297" s="78">
        <f>IF($B297="","",IFERROR(INDEX(Task_Tracker!$F$5:$F$1004,MATCH($B297,Task_Tracker!$A$5:$A$1004,0)),""))</f>
        <v/>
      </c>
      <c r="V297" s="78">
        <f>IF($B297="","",IFERROR(INDEX(Task_Tracker!$I$5:$I$1004,MATCH($B297,Task_Tracker!$A$5:$A$1004,0)),""))</f>
        <v/>
      </c>
      <c r="W297" s="81">
        <f>IF(OR($D297="",$B297=""),"",$D297&amp;" | "&amp;$B297)</f>
        <v/>
      </c>
      <c r="X297" s="85">
        <f>IF($K297="","",TEXT($K297,"yyyy-mm"))</f>
        <v/>
      </c>
      <c r="Y297" s="81">
        <f>IF(OR($A297="",$T297=""),"","Included in Manager_Report")</f>
        <v/>
      </c>
    </row>
    <row r="298" ht="15" customHeight="1" s="40">
      <c r="A298" s="65">
        <f>IF(COUNTA(B298:G298)=0,"","STP-"&amp;TEXT(ROW()-4,"0000"))</f>
        <v/>
      </c>
      <c r="B298" s="78" t="n"/>
      <c r="C298" s="67">
        <f>IF($B298="","",IFERROR(INDEX(Task_Tracker!$D$5:$D$1004,MATCH($B298,Task_Tracker!$A$5:$A$1004,0)),""))</f>
        <v/>
      </c>
      <c r="D298" s="67">
        <f>IF($B298="","",IFERROR(INDEX(Task_Tracker!$B$5:$B$1004,MATCH($B298,Task_Tracker!$A$5:$A$1004,0)),""))</f>
        <v/>
      </c>
      <c r="E298" s="81" t="n"/>
      <c r="F298" s="81" t="n"/>
      <c r="G298" s="78" t="n"/>
      <c r="H298" s="78" t="n"/>
      <c r="I298" s="67">
        <f>IF($H298="","",IFERROR(INDEX(Action_Status_Map!$B$5:$B$11,MATCH($H298,Action_Status_Map!$A$5:$A$11,0)),""))</f>
        <v/>
      </c>
      <c r="J298" s="82" t="n"/>
      <c r="K298" s="82" t="n"/>
      <c r="L298" s="82" t="n"/>
      <c r="M298" s="83" t="n"/>
      <c r="N298" s="83" t="n"/>
      <c r="O298" s="66">
        <f>IF(OR($M298="",$N298=""),"",$N298-$M298)</f>
        <v/>
      </c>
      <c r="P298" s="84">
        <f>IF($J298="","",IF($L298&lt;&gt;"",$L298-$J298,TODAY()-$J298))</f>
        <v/>
      </c>
      <c r="Q298" s="85">
        <f>IF(OR($K298="",$H298="Completed",$H298="Cancelled"),"",IF(AND($K298&lt;TODAY(),$H298&lt;&gt;"Completed",$H298&lt;&gt;"Cancelled"),"Overdue","On Track"))</f>
        <v/>
      </c>
      <c r="R298" s="81" t="n"/>
      <c r="S298" s="81">
        <f>IF($B298="","",IFERROR(INDEX(Task_Tracker!$AA$5:$AA$1004,MATCH($B298,Task_Tracker!$A$5:$A$1004,0)),""))</f>
        <v/>
      </c>
      <c r="T298" s="81">
        <f>IF($B298="","",IFERROR(INDEX(Task_Tracker!$AB$5:$AB$1004,MATCH($B298,Task_Tracker!$A$5:$A$1004,0)),""))</f>
        <v/>
      </c>
      <c r="U298" s="78">
        <f>IF($B298="","",IFERROR(INDEX(Task_Tracker!$F$5:$F$1004,MATCH($B298,Task_Tracker!$A$5:$A$1004,0)),""))</f>
        <v/>
      </c>
      <c r="V298" s="78">
        <f>IF($B298="","",IFERROR(INDEX(Task_Tracker!$I$5:$I$1004,MATCH($B298,Task_Tracker!$A$5:$A$1004,0)),""))</f>
        <v/>
      </c>
      <c r="W298" s="81">
        <f>IF(OR($D298="",$B298=""),"",$D298&amp;" | "&amp;$B298)</f>
        <v/>
      </c>
      <c r="X298" s="85">
        <f>IF($K298="","",TEXT($K298,"yyyy-mm"))</f>
        <v/>
      </c>
      <c r="Y298" s="81">
        <f>IF(OR($A298="",$T298=""),"","Included in Manager_Report")</f>
        <v/>
      </c>
    </row>
    <row r="299" ht="15" customHeight="1" s="40">
      <c r="A299" s="65">
        <f>IF(COUNTA(B299:G299)=0,"","STP-"&amp;TEXT(ROW()-4,"0000"))</f>
        <v/>
      </c>
      <c r="B299" s="78" t="n"/>
      <c r="C299" s="67">
        <f>IF($B299="","",IFERROR(INDEX(Task_Tracker!$D$5:$D$1004,MATCH($B299,Task_Tracker!$A$5:$A$1004,0)),""))</f>
        <v/>
      </c>
      <c r="D299" s="67">
        <f>IF($B299="","",IFERROR(INDEX(Task_Tracker!$B$5:$B$1004,MATCH($B299,Task_Tracker!$A$5:$A$1004,0)),""))</f>
        <v/>
      </c>
      <c r="E299" s="81" t="n"/>
      <c r="F299" s="81" t="n"/>
      <c r="G299" s="78" t="n"/>
      <c r="H299" s="78" t="n"/>
      <c r="I299" s="67">
        <f>IF($H299="","",IFERROR(INDEX(Action_Status_Map!$B$5:$B$11,MATCH($H299,Action_Status_Map!$A$5:$A$11,0)),""))</f>
        <v/>
      </c>
      <c r="J299" s="82" t="n"/>
      <c r="K299" s="82" t="n"/>
      <c r="L299" s="82" t="n"/>
      <c r="M299" s="83" t="n"/>
      <c r="N299" s="83" t="n"/>
      <c r="O299" s="66">
        <f>IF(OR($M299="",$N299=""),"",$N299-$M299)</f>
        <v/>
      </c>
      <c r="P299" s="84">
        <f>IF($J299="","",IF($L299&lt;&gt;"",$L299-$J299,TODAY()-$J299))</f>
        <v/>
      </c>
      <c r="Q299" s="85">
        <f>IF(OR($K299="",$H299="Completed",$H299="Cancelled"),"",IF(AND($K299&lt;TODAY(),$H299&lt;&gt;"Completed",$H299&lt;&gt;"Cancelled"),"Overdue","On Track"))</f>
        <v/>
      </c>
      <c r="R299" s="81" t="n"/>
      <c r="S299" s="81">
        <f>IF($B299="","",IFERROR(INDEX(Task_Tracker!$AA$5:$AA$1004,MATCH($B299,Task_Tracker!$A$5:$A$1004,0)),""))</f>
        <v/>
      </c>
      <c r="T299" s="81">
        <f>IF($B299="","",IFERROR(INDEX(Task_Tracker!$AB$5:$AB$1004,MATCH($B299,Task_Tracker!$A$5:$A$1004,0)),""))</f>
        <v/>
      </c>
      <c r="U299" s="78">
        <f>IF($B299="","",IFERROR(INDEX(Task_Tracker!$F$5:$F$1004,MATCH($B299,Task_Tracker!$A$5:$A$1004,0)),""))</f>
        <v/>
      </c>
      <c r="V299" s="78">
        <f>IF($B299="","",IFERROR(INDEX(Task_Tracker!$I$5:$I$1004,MATCH($B299,Task_Tracker!$A$5:$A$1004,0)),""))</f>
        <v/>
      </c>
      <c r="W299" s="81">
        <f>IF(OR($D299="",$B299=""),"",$D299&amp;" | "&amp;$B299)</f>
        <v/>
      </c>
      <c r="X299" s="85">
        <f>IF($K299="","",TEXT($K299,"yyyy-mm"))</f>
        <v/>
      </c>
      <c r="Y299" s="81">
        <f>IF(OR($A299="",$T299=""),"","Included in Manager_Report")</f>
        <v/>
      </c>
    </row>
    <row r="300" ht="15" customHeight="1" s="40">
      <c r="A300" s="65">
        <f>IF(COUNTA(B300:G300)=0,"","STP-"&amp;TEXT(ROW()-4,"0000"))</f>
        <v/>
      </c>
      <c r="B300" s="78" t="n"/>
      <c r="C300" s="67">
        <f>IF($B300="","",IFERROR(INDEX(Task_Tracker!$D$5:$D$1004,MATCH($B300,Task_Tracker!$A$5:$A$1004,0)),""))</f>
        <v/>
      </c>
      <c r="D300" s="67">
        <f>IF($B300="","",IFERROR(INDEX(Task_Tracker!$B$5:$B$1004,MATCH($B300,Task_Tracker!$A$5:$A$1004,0)),""))</f>
        <v/>
      </c>
      <c r="E300" s="81" t="n"/>
      <c r="F300" s="81" t="n"/>
      <c r="G300" s="78" t="n"/>
      <c r="H300" s="78" t="n"/>
      <c r="I300" s="67">
        <f>IF($H300="","",IFERROR(INDEX(Action_Status_Map!$B$5:$B$11,MATCH($H300,Action_Status_Map!$A$5:$A$11,0)),""))</f>
        <v/>
      </c>
      <c r="J300" s="82" t="n"/>
      <c r="K300" s="82" t="n"/>
      <c r="L300" s="82" t="n"/>
      <c r="M300" s="83" t="n"/>
      <c r="N300" s="83" t="n"/>
      <c r="O300" s="66">
        <f>IF(OR($M300="",$N300=""),"",$N300-$M300)</f>
        <v/>
      </c>
      <c r="P300" s="84">
        <f>IF($J300="","",IF($L300&lt;&gt;"",$L300-$J300,TODAY()-$J300))</f>
        <v/>
      </c>
      <c r="Q300" s="85">
        <f>IF(OR($K300="",$H300="Completed",$H300="Cancelled"),"",IF(AND($K300&lt;TODAY(),$H300&lt;&gt;"Completed",$H300&lt;&gt;"Cancelled"),"Overdue","On Track"))</f>
        <v/>
      </c>
      <c r="R300" s="81" t="n"/>
      <c r="S300" s="81">
        <f>IF($B300="","",IFERROR(INDEX(Task_Tracker!$AA$5:$AA$1004,MATCH($B300,Task_Tracker!$A$5:$A$1004,0)),""))</f>
        <v/>
      </c>
      <c r="T300" s="81">
        <f>IF($B300="","",IFERROR(INDEX(Task_Tracker!$AB$5:$AB$1004,MATCH($B300,Task_Tracker!$A$5:$A$1004,0)),""))</f>
        <v/>
      </c>
      <c r="U300" s="78">
        <f>IF($B300="","",IFERROR(INDEX(Task_Tracker!$F$5:$F$1004,MATCH($B300,Task_Tracker!$A$5:$A$1004,0)),""))</f>
        <v/>
      </c>
      <c r="V300" s="78">
        <f>IF($B300="","",IFERROR(INDEX(Task_Tracker!$I$5:$I$1004,MATCH($B300,Task_Tracker!$A$5:$A$1004,0)),""))</f>
        <v/>
      </c>
      <c r="W300" s="81">
        <f>IF(OR($D300="",$B300=""),"",$D300&amp;" | "&amp;$B300)</f>
        <v/>
      </c>
      <c r="X300" s="85">
        <f>IF($K300="","",TEXT($K300,"yyyy-mm"))</f>
        <v/>
      </c>
      <c r="Y300" s="81">
        <f>IF(OR($A300="",$T300=""),"","Included in Manager_Report")</f>
        <v/>
      </c>
    </row>
    <row r="301" ht="15" customHeight="1" s="40">
      <c r="A301" s="65">
        <f>IF(COUNTA(B301:G301)=0,"","STP-"&amp;TEXT(ROW()-4,"0000"))</f>
        <v/>
      </c>
      <c r="B301" s="78" t="n"/>
      <c r="C301" s="67">
        <f>IF($B301="","",IFERROR(INDEX(Task_Tracker!$D$5:$D$1004,MATCH($B301,Task_Tracker!$A$5:$A$1004,0)),""))</f>
        <v/>
      </c>
      <c r="D301" s="67">
        <f>IF($B301="","",IFERROR(INDEX(Task_Tracker!$B$5:$B$1004,MATCH($B301,Task_Tracker!$A$5:$A$1004,0)),""))</f>
        <v/>
      </c>
      <c r="E301" s="81" t="n"/>
      <c r="F301" s="81" t="n"/>
      <c r="G301" s="78" t="n"/>
      <c r="H301" s="78" t="n"/>
      <c r="I301" s="67">
        <f>IF($H301="","",IFERROR(INDEX(Action_Status_Map!$B$5:$B$11,MATCH($H301,Action_Status_Map!$A$5:$A$11,0)),""))</f>
        <v/>
      </c>
      <c r="J301" s="82" t="n"/>
      <c r="K301" s="82" t="n"/>
      <c r="L301" s="82" t="n"/>
      <c r="M301" s="83" t="n"/>
      <c r="N301" s="83" t="n"/>
      <c r="O301" s="66">
        <f>IF(OR($M301="",$N301=""),"",$N301-$M301)</f>
        <v/>
      </c>
      <c r="P301" s="84">
        <f>IF($J301="","",IF($L301&lt;&gt;"",$L301-$J301,TODAY()-$J301))</f>
        <v/>
      </c>
      <c r="Q301" s="85">
        <f>IF(OR($K301="",$H301="Completed",$H301="Cancelled"),"",IF(AND($K301&lt;TODAY(),$H301&lt;&gt;"Completed",$H301&lt;&gt;"Cancelled"),"Overdue","On Track"))</f>
        <v/>
      </c>
      <c r="R301" s="81" t="n"/>
      <c r="S301" s="81">
        <f>IF($B301="","",IFERROR(INDEX(Task_Tracker!$AA$5:$AA$1004,MATCH($B301,Task_Tracker!$A$5:$A$1004,0)),""))</f>
        <v/>
      </c>
      <c r="T301" s="81">
        <f>IF($B301="","",IFERROR(INDEX(Task_Tracker!$AB$5:$AB$1004,MATCH($B301,Task_Tracker!$A$5:$A$1004,0)),""))</f>
        <v/>
      </c>
      <c r="U301" s="78">
        <f>IF($B301="","",IFERROR(INDEX(Task_Tracker!$F$5:$F$1004,MATCH($B301,Task_Tracker!$A$5:$A$1004,0)),""))</f>
        <v/>
      </c>
      <c r="V301" s="78">
        <f>IF($B301="","",IFERROR(INDEX(Task_Tracker!$I$5:$I$1004,MATCH($B301,Task_Tracker!$A$5:$A$1004,0)),""))</f>
        <v/>
      </c>
      <c r="W301" s="81">
        <f>IF(OR($D301="",$B301=""),"",$D301&amp;" | "&amp;$B301)</f>
        <v/>
      </c>
      <c r="X301" s="85">
        <f>IF($K301="","",TEXT($K301,"yyyy-mm"))</f>
        <v/>
      </c>
      <c r="Y301" s="81">
        <f>IF(OR($A301="",$T301=""),"","Included in Manager_Report")</f>
        <v/>
      </c>
    </row>
    <row r="302" ht="15" customHeight="1" s="40">
      <c r="A302" s="65">
        <f>IF(COUNTA(B302:G302)=0,"","STP-"&amp;TEXT(ROW()-4,"0000"))</f>
        <v/>
      </c>
      <c r="B302" s="78" t="n"/>
      <c r="C302" s="67">
        <f>IF($B302="","",IFERROR(INDEX(Task_Tracker!$D$5:$D$1004,MATCH($B302,Task_Tracker!$A$5:$A$1004,0)),""))</f>
        <v/>
      </c>
      <c r="D302" s="67">
        <f>IF($B302="","",IFERROR(INDEX(Task_Tracker!$B$5:$B$1004,MATCH($B302,Task_Tracker!$A$5:$A$1004,0)),""))</f>
        <v/>
      </c>
      <c r="E302" s="81" t="n"/>
      <c r="F302" s="81" t="n"/>
      <c r="G302" s="78" t="n"/>
      <c r="H302" s="78" t="n"/>
      <c r="I302" s="67">
        <f>IF($H302="","",IFERROR(INDEX(Action_Status_Map!$B$5:$B$11,MATCH($H302,Action_Status_Map!$A$5:$A$11,0)),""))</f>
        <v/>
      </c>
      <c r="J302" s="82" t="n"/>
      <c r="K302" s="82" t="n"/>
      <c r="L302" s="82" t="n"/>
      <c r="M302" s="83" t="n"/>
      <c r="N302" s="83" t="n"/>
      <c r="O302" s="66">
        <f>IF(OR($M302="",$N302=""),"",$N302-$M302)</f>
        <v/>
      </c>
      <c r="P302" s="84">
        <f>IF($J302="","",IF($L302&lt;&gt;"",$L302-$J302,TODAY()-$J302))</f>
        <v/>
      </c>
      <c r="Q302" s="85">
        <f>IF(OR($K302="",$H302="Completed",$H302="Cancelled"),"",IF(AND($K302&lt;TODAY(),$H302&lt;&gt;"Completed",$H302&lt;&gt;"Cancelled"),"Overdue","On Track"))</f>
        <v/>
      </c>
      <c r="R302" s="81" t="n"/>
      <c r="S302" s="81">
        <f>IF($B302="","",IFERROR(INDEX(Task_Tracker!$AA$5:$AA$1004,MATCH($B302,Task_Tracker!$A$5:$A$1004,0)),""))</f>
        <v/>
      </c>
      <c r="T302" s="81">
        <f>IF($B302="","",IFERROR(INDEX(Task_Tracker!$AB$5:$AB$1004,MATCH($B302,Task_Tracker!$A$5:$A$1004,0)),""))</f>
        <v/>
      </c>
      <c r="U302" s="78">
        <f>IF($B302="","",IFERROR(INDEX(Task_Tracker!$F$5:$F$1004,MATCH($B302,Task_Tracker!$A$5:$A$1004,0)),""))</f>
        <v/>
      </c>
      <c r="V302" s="78">
        <f>IF($B302="","",IFERROR(INDEX(Task_Tracker!$I$5:$I$1004,MATCH($B302,Task_Tracker!$A$5:$A$1004,0)),""))</f>
        <v/>
      </c>
      <c r="W302" s="81">
        <f>IF(OR($D302="",$B302=""),"",$D302&amp;" | "&amp;$B302)</f>
        <v/>
      </c>
      <c r="X302" s="85">
        <f>IF($K302="","",TEXT($K302,"yyyy-mm"))</f>
        <v/>
      </c>
      <c r="Y302" s="81">
        <f>IF(OR($A302="",$T302=""),"","Included in Manager_Report")</f>
        <v/>
      </c>
    </row>
    <row r="303" ht="15" customHeight="1" s="40">
      <c r="A303" s="65">
        <f>IF(COUNTA(B303:G303)=0,"","STP-"&amp;TEXT(ROW()-4,"0000"))</f>
        <v/>
      </c>
      <c r="B303" s="78" t="n"/>
      <c r="C303" s="67">
        <f>IF($B303="","",IFERROR(INDEX(Task_Tracker!$D$5:$D$1004,MATCH($B303,Task_Tracker!$A$5:$A$1004,0)),""))</f>
        <v/>
      </c>
      <c r="D303" s="67">
        <f>IF($B303="","",IFERROR(INDEX(Task_Tracker!$B$5:$B$1004,MATCH($B303,Task_Tracker!$A$5:$A$1004,0)),""))</f>
        <v/>
      </c>
      <c r="E303" s="81" t="n"/>
      <c r="F303" s="81" t="n"/>
      <c r="G303" s="78" t="n"/>
      <c r="H303" s="78" t="n"/>
      <c r="I303" s="67">
        <f>IF($H303="","",IFERROR(INDEX(Action_Status_Map!$B$5:$B$11,MATCH($H303,Action_Status_Map!$A$5:$A$11,0)),""))</f>
        <v/>
      </c>
      <c r="J303" s="82" t="n"/>
      <c r="K303" s="82" t="n"/>
      <c r="L303" s="82" t="n"/>
      <c r="M303" s="83" t="n"/>
      <c r="N303" s="83" t="n"/>
      <c r="O303" s="66">
        <f>IF(OR($M303="",$N303=""),"",$N303-$M303)</f>
        <v/>
      </c>
      <c r="P303" s="84">
        <f>IF($J303="","",IF($L303&lt;&gt;"",$L303-$J303,TODAY()-$J303))</f>
        <v/>
      </c>
      <c r="Q303" s="85">
        <f>IF(OR($K303="",$H303="Completed",$H303="Cancelled"),"",IF(AND($K303&lt;TODAY(),$H303&lt;&gt;"Completed",$H303&lt;&gt;"Cancelled"),"Overdue","On Track"))</f>
        <v/>
      </c>
      <c r="R303" s="81" t="n"/>
      <c r="S303" s="81">
        <f>IF($B303="","",IFERROR(INDEX(Task_Tracker!$AA$5:$AA$1004,MATCH($B303,Task_Tracker!$A$5:$A$1004,0)),""))</f>
        <v/>
      </c>
      <c r="T303" s="81">
        <f>IF($B303="","",IFERROR(INDEX(Task_Tracker!$AB$5:$AB$1004,MATCH($B303,Task_Tracker!$A$5:$A$1004,0)),""))</f>
        <v/>
      </c>
      <c r="U303" s="78">
        <f>IF($B303="","",IFERROR(INDEX(Task_Tracker!$F$5:$F$1004,MATCH($B303,Task_Tracker!$A$5:$A$1004,0)),""))</f>
        <v/>
      </c>
      <c r="V303" s="78">
        <f>IF($B303="","",IFERROR(INDEX(Task_Tracker!$I$5:$I$1004,MATCH($B303,Task_Tracker!$A$5:$A$1004,0)),""))</f>
        <v/>
      </c>
      <c r="W303" s="81">
        <f>IF(OR($D303="",$B303=""),"",$D303&amp;" | "&amp;$B303)</f>
        <v/>
      </c>
      <c r="X303" s="85">
        <f>IF($K303="","",TEXT($K303,"yyyy-mm"))</f>
        <v/>
      </c>
      <c r="Y303" s="81">
        <f>IF(OR($A303="",$T303=""),"","Included in Manager_Report")</f>
        <v/>
      </c>
    </row>
    <row r="304" ht="15" customHeight="1" s="40">
      <c r="A304" s="65">
        <f>IF(COUNTA(B304:G304)=0,"","STP-"&amp;TEXT(ROW()-4,"0000"))</f>
        <v/>
      </c>
      <c r="B304" s="78" t="n"/>
      <c r="C304" s="67">
        <f>IF($B304="","",IFERROR(INDEX(Task_Tracker!$D$5:$D$1004,MATCH($B304,Task_Tracker!$A$5:$A$1004,0)),""))</f>
        <v/>
      </c>
      <c r="D304" s="67">
        <f>IF($B304="","",IFERROR(INDEX(Task_Tracker!$B$5:$B$1004,MATCH($B304,Task_Tracker!$A$5:$A$1004,0)),""))</f>
        <v/>
      </c>
      <c r="E304" s="81" t="n"/>
      <c r="F304" s="81" t="n"/>
      <c r="G304" s="78" t="n"/>
      <c r="H304" s="78" t="n"/>
      <c r="I304" s="67">
        <f>IF($H304="","",IFERROR(INDEX(Action_Status_Map!$B$5:$B$11,MATCH($H304,Action_Status_Map!$A$5:$A$11,0)),""))</f>
        <v/>
      </c>
      <c r="J304" s="82" t="n"/>
      <c r="K304" s="82" t="n"/>
      <c r="L304" s="82" t="n"/>
      <c r="M304" s="83" t="n"/>
      <c r="N304" s="83" t="n"/>
      <c r="O304" s="66">
        <f>IF(OR($M304="",$N304=""),"",$N304-$M304)</f>
        <v/>
      </c>
      <c r="P304" s="84">
        <f>IF($J304="","",IF($L304&lt;&gt;"",$L304-$J304,TODAY()-$J304))</f>
        <v/>
      </c>
      <c r="Q304" s="85">
        <f>IF(OR($K304="",$H304="Completed",$H304="Cancelled"),"",IF(AND($K304&lt;TODAY(),$H304&lt;&gt;"Completed",$H304&lt;&gt;"Cancelled"),"Overdue","On Track"))</f>
        <v/>
      </c>
      <c r="R304" s="81" t="n"/>
      <c r="S304" s="81">
        <f>IF($B304="","",IFERROR(INDEX(Task_Tracker!$AA$5:$AA$1004,MATCH($B304,Task_Tracker!$A$5:$A$1004,0)),""))</f>
        <v/>
      </c>
      <c r="T304" s="81">
        <f>IF($B304="","",IFERROR(INDEX(Task_Tracker!$AB$5:$AB$1004,MATCH($B304,Task_Tracker!$A$5:$A$1004,0)),""))</f>
        <v/>
      </c>
      <c r="U304" s="78">
        <f>IF($B304="","",IFERROR(INDEX(Task_Tracker!$F$5:$F$1004,MATCH($B304,Task_Tracker!$A$5:$A$1004,0)),""))</f>
        <v/>
      </c>
      <c r="V304" s="78">
        <f>IF($B304="","",IFERROR(INDEX(Task_Tracker!$I$5:$I$1004,MATCH($B304,Task_Tracker!$A$5:$A$1004,0)),""))</f>
        <v/>
      </c>
      <c r="W304" s="81">
        <f>IF(OR($D304="",$B304=""),"",$D304&amp;" | "&amp;$B304)</f>
        <v/>
      </c>
      <c r="X304" s="85">
        <f>IF($K304="","",TEXT($K304,"yyyy-mm"))</f>
        <v/>
      </c>
      <c r="Y304" s="81">
        <f>IF(OR($A304="",$T304=""),"","Included in Manager_Report")</f>
        <v/>
      </c>
    </row>
    <row r="305" ht="15" customHeight="1" s="40">
      <c r="A305" s="65">
        <f>IF(COUNTA(B305:G305)=0,"","STP-"&amp;TEXT(ROW()-4,"0000"))</f>
        <v/>
      </c>
      <c r="B305" s="78" t="n"/>
      <c r="C305" s="67">
        <f>IF($B305="","",IFERROR(INDEX(Task_Tracker!$D$5:$D$1004,MATCH($B305,Task_Tracker!$A$5:$A$1004,0)),""))</f>
        <v/>
      </c>
      <c r="D305" s="67">
        <f>IF($B305="","",IFERROR(INDEX(Task_Tracker!$B$5:$B$1004,MATCH($B305,Task_Tracker!$A$5:$A$1004,0)),""))</f>
        <v/>
      </c>
      <c r="E305" s="81" t="n"/>
      <c r="F305" s="81" t="n"/>
      <c r="G305" s="78" t="n"/>
      <c r="H305" s="78" t="n"/>
      <c r="I305" s="67">
        <f>IF($H305="","",IFERROR(INDEX(Action_Status_Map!$B$5:$B$11,MATCH($H305,Action_Status_Map!$A$5:$A$11,0)),""))</f>
        <v/>
      </c>
      <c r="J305" s="82" t="n"/>
      <c r="K305" s="82" t="n"/>
      <c r="L305" s="82" t="n"/>
      <c r="M305" s="83" t="n"/>
      <c r="N305" s="83" t="n"/>
      <c r="O305" s="66">
        <f>IF(OR($M305="",$N305=""),"",$N305-$M305)</f>
        <v/>
      </c>
      <c r="P305" s="84">
        <f>IF($J305="","",IF($L305&lt;&gt;"",$L305-$J305,TODAY()-$J305))</f>
        <v/>
      </c>
      <c r="Q305" s="85">
        <f>IF(OR($K305="",$H305="Completed",$H305="Cancelled"),"",IF(AND($K305&lt;TODAY(),$H305&lt;&gt;"Completed",$H305&lt;&gt;"Cancelled"),"Overdue","On Track"))</f>
        <v/>
      </c>
      <c r="R305" s="81" t="n"/>
      <c r="S305" s="81">
        <f>IF($B305="","",IFERROR(INDEX(Task_Tracker!$AA$5:$AA$1004,MATCH($B305,Task_Tracker!$A$5:$A$1004,0)),""))</f>
        <v/>
      </c>
      <c r="T305" s="81">
        <f>IF($B305="","",IFERROR(INDEX(Task_Tracker!$AB$5:$AB$1004,MATCH($B305,Task_Tracker!$A$5:$A$1004,0)),""))</f>
        <v/>
      </c>
      <c r="U305" s="78">
        <f>IF($B305="","",IFERROR(INDEX(Task_Tracker!$F$5:$F$1004,MATCH($B305,Task_Tracker!$A$5:$A$1004,0)),""))</f>
        <v/>
      </c>
      <c r="V305" s="78">
        <f>IF($B305="","",IFERROR(INDEX(Task_Tracker!$I$5:$I$1004,MATCH($B305,Task_Tracker!$A$5:$A$1004,0)),""))</f>
        <v/>
      </c>
      <c r="W305" s="81">
        <f>IF(OR($D305="",$B305=""),"",$D305&amp;" | "&amp;$B305)</f>
        <v/>
      </c>
      <c r="X305" s="85">
        <f>IF($K305="","",TEXT($K305,"yyyy-mm"))</f>
        <v/>
      </c>
      <c r="Y305" s="81">
        <f>IF(OR($A305="",$T305=""),"","Included in Manager_Report")</f>
        <v/>
      </c>
    </row>
    <row r="306" ht="15" customHeight="1" s="40">
      <c r="A306" s="65">
        <f>IF(COUNTA(B306:G306)=0,"","STP-"&amp;TEXT(ROW()-4,"0000"))</f>
        <v/>
      </c>
      <c r="B306" s="78" t="n"/>
      <c r="C306" s="67">
        <f>IF($B306="","",IFERROR(INDEX(Task_Tracker!$D$5:$D$1004,MATCH($B306,Task_Tracker!$A$5:$A$1004,0)),""))</f>
        <v/>
      </c>
      <c r="D306" s="67">
        <f>IF($B306="","",IFERROR(INDEX(Task_Tracker!$B$5:$B$1004,MATCH($B306,Task_Tracker!$A$5:$A$1004,0)),""))</f>
        <v/>
      </c>
      <c r="E306" s="81" t="n"/>
      <c r="F306" s="81" t="n"/>
      <c r="G306" s="78" t="n"/>
      <c r="H306" s="78" t="n"/>
      <c r="I306" s="67">
        <f>IF($H306="","",IFERROR(INDEX(Action_Status_Map!$B$5:$B$11,MATCH($H306,Action_Status_Map!$A$5:$A$11,0)),""))</f>
        <v/>
      </c>
      <c r="J306" s="82" t="n"/>
      <c r="K306" s="82" t="n"/>
      <c r="L306" s="82" t="n"/>
      <c r="M306" s="83" t="n"/>
      <c r="N306" s="83" t="n"/>
      <c r="O306" s="66">
        <f>IF(OR($M306="",$N306=""),"",$N306-$M306)</f>
        <v/>
      </c>
      <c r="P306" s="84">
        <f>IF($J306="","",IF($L306&lt;&gt;"",$L306-$J306,TODAY()-$J306))</f>
        <v/>
      </c>
      <c r="Q306" s="85">
        <f>IF(OR($K306="",$H306="Completed",$H306="Cancelled"),"",IF(AND($K306&lt;TODAY(),$H306&lt;&gt;"Completed",$H306&lt;&gt;"Cancelled"),"Overdue","On Track"))</f>
        <v/>
      </c>
      <c r="R306" s="81" t="n"/>
      <c r="S306" s="81">
        <f>IF($B306="","",IFERROR(INDEX(Task_Tracker!$AA$5:$AA$1004,MATCH($B306,Task_Tracker!$A$5:$A$1004,0)),""))</f>
        <v/>
      </c>
      <c r="T306" s="81">
        <f>IF($B306="","",IFERROR(INDEX(Task_Tracker!$AB$5:$AB$1004,MATCH($B306,Task_Tracker!$A$5:$A$1004,0)),""))</f>
        <v/>
      </c>
      <c r="U306" s="78">
        <f>IF($B306="","",IFERROR(INDEX(Task_Tracker!$F$5:$F$1004,MATCH($B306,Task_Tracker!$A$5:$A$1004,0)),""))</f>
        <v/>
      </c>
      <c r="V306" s="78">
        <f>IF($B306="","",IFERROR(INDEX(Task_Tracker!$I$5:$I$1004,MATCH($B306,Task_Tracker!$A$5:$A$1004,0)),""))</f>
        <v/>
      </c>
      <c r="W306" s="81">
        <f>IF(OR($D306="",$B306=""),"",$D306&amp;" | "&amp;$B306)</f>
        <v/>
      </c>
      <c r="X306" s="85">
        <f>IF($K306="","",TEXT($K306,"yyyy-mm"))</f>
        <v/>
      </c>
      <c r="Y306" s="81">
        <f>IF(OR($A306="",$T306=""),"","Included in Manager_Report")</f>
        <v/>
      </c>
    </row>
    <row r="307" ht="15" customHeight="1" s="40">
      <c r="A307" s="65">
        <f>IF(COUNTA(B307:G307)=0,"","STP-"&amp;TEXT(ROW()-4,"0000"))</f>
        <v/>
      </c>
      <c r="B307" s="78" t="n"/>
      <c r="C307" s="67">
        <f>IF($B307="","",IFERROR(INDEX(Task_Tracker!$D$5:$D$1004,MATCH($B307,Task_Tracker!$A$5:$A$1004,0)),""))</f>
        <v/>
      </c>
      <c r="D307" s="67">
        <f>IF($B307="","",IFERROR(INDEX(Task_Tracker!$B$5:$B$1004,MATCH($B307,Task_Tracker!$A$5:$A$1004,0)),""))</f>
        <v/>
      </c>
      <c r="E307" s="81" t="n"/>
      <c r="F307" s="81" t="n"/>
      <c r="G307" s="78" t="n"/>
      <c r="H307" s="78" t="n"/>
      <c r="I307" s="67">
        <f>IF($H307="","",IFERROR(INDEX(Action_Status_Map!$B$5:$B$11,MATCH($H307,Action_Status_Map!$A$5:$A$11,0)),""))</f>
        <v/>
      </c>
      <c r="J307" s="82" t="n"/>
      <c r="K307" s="82" t="n"/>
      <c r="L307" s="82" t="n"/>
      <c r="M307" s="83" t="n"/>
      <c r="N307" s="83" t="n"/>
      <c r="O307" s="66">
        <f>IF(OR($M307="",$N307=""),"",$N307-$M307)</f>
        <v/>
      </c>
      <c r="P307" s="84">
        <f>IF($J307="","",IF($L307&lt;&gt;"",$L307-$J307,TODAY()-$J307))</f>
        <v/>
      </c>
      <c r="Q307" s="85">
        <f>IF(OR($K307="",$H307="Completed",$H307="Cancelled"),"",IF(AND($K307&lt;TODAY(),$H307&lt;&gt;"Completed",$H307&lt;&gt;"Cancelled"),"Overdue","On Track"))</f>
        <v/>
      </c>
      <c r="R307" s="81" t="n"/>
      <c r="S307" s="81">
        <f>IF($B307="","",IFERROR(INDEX(Task_Tracker!$AA$5:$AA$1004,MATCH($B307,Task_Tracker!$A$5:$A$1004,0)),""))</f>
        <v/>
      </c>
      <c r="T307" s="81">
        <f>IF($B307="","",IFERROR(INDEX(Task_Tracker!$AB$5:$AB$1004,MATCH($B307,Task_Tracker!$A$5:$A$1004,0)),""))</f>
        <v/>
      </c>
      <c r="U307" s="78">
        <f>IF($B307="","",IFERROR(INDEX(Task_Tracker!$F$5:$F$1004,MATCH($B307,Task_Tracker!$A$5:$A$1004,0)),""))</f>
        <v/>
      </c>
      <c r="V307" s="78">
        <f>IF($B307="","",IFERROR(INDEX(Task_Tracker!$I$5:$I$1004,MATCH($B307,Task_Tracker!$A$5:$A$1004,0)),""))</f>
        <v/>
      </c>
      <c r="W307" s="81">
        <f>IF(OR($D307="",$B307=""),"",$D307&amp;" | "&amp;$B307)</f>
        <v/>
      </c>
      <c r="X307" s="85">
        <f>IF($K307="","",TEXT($K307,"yyyy-mm"))</f>
        <v/>
      </c>
      <c r="Y307" s="81">
        <f>IF(OR($A307="",$T307=""),"","Included in Manager_Report")</f>
        <v/>
      </c>
    </row>
    <row r="308" ht="15" customHeight="1" s="40">
      <c r="A308" s="65">
        <f>IF(COUNTA(B308:G308)=0,"","STP-"&amp;TEXT(ROW()-4,"0000"))</f>
        <v/>
      </c>
      <c r="B308" s="78" t="n"/>
      <c r="C308" s="67">
        <f>IF($B308="","",IFERROR(INDEX(Task_Tracker!$D$5:$D$1004,MATCH($B308,Task_Tracker!$A$5:$A$1004,0)),""))</f>
        <v/>
      </c>
      <c r="D308" s="67">
        <f>IF($B308="","",IFERROR(INDEX(Task_Tracker!$B$5:$B$1004,MATCH($B308,Task_Tracker!$A$5:$A$1004,0)),""))</f>
        <v/>
      </c>
      <c r="E308" s="81" t="n"/>
      <c r="F308" s="81" t="n"/>
      <c r="G308" s="78" t="n"/>
      <c r="H308" s="78" t="n"/>
      <c r="I308" s="67">
        <f>IF($H308="","",IFERROR(INDEX(Action_Status_Map!$B$5:$B$11,MATCH($H308,Action_Status_Map!$A$5:$A$11,0)),""))</f>
        <v/>
      </c>
      <c r="J308" s="82" t="n"/>
      <c r="K308" s="82" t="n"/>
      <c r="L308" s="82" t="n"/>
      <c r="M308" s="83" t="n"/>
      <c r="N308" s="83" t="n"/>
      <c r="O308" s="66">
        <f>IF(OR($M308="",$N308=""),"",$N308-$M308)</f>
        <v/>
      </c>
      <c r="P308" s="84">
        <f>IF($J308="","",IF($L308&lt;&gt;"",$L308-$J308,TODAY()-$J308))</f>
        <v/>
      </c>
      <c r="Q308" s="85">
        <f>IF(OR($K308="",$H308="Completed",$H308="Cancelled"),"",IF(AND($K308&lt;TODAY(),$H308&lt;&gt;"Completed",$H308&lt;&gt;"Cancelled"),"Overdue","On Track"))</f>
        <v/>
      </c>
      <c r="R308" s="81" t="n"/>
      <c r="S308" s="81">
        <f>IF($B308="","",IFERROR(INDEX(Task_Tracker!$AA$5:$AA$1004,MATCH($B308,Task_Tracker!$A$5:$A$1004,0)),""))</f>
        <v/>
      </c>
      <c r="T308" s="81">
        <f>IF($B308="","",IFERROR(INDEX(Task_Tracker!$AB$5:$AB$1004,MATCH($B308,Task_Tracker!$A$5:$A$1004,0)),""))</f>
        <v/>
      </c>
      <c r="U308" s="78">
        <f>IF($B308="","",IFERROR(INDEX(Task_Tracker!$F$5:$F$1004,MATCH($B308,Task_Tracker!$A$5:$A$1004,0)),""))</f>
        <v/>
      </c>
      <c r="V308" s="78">
        <f>IF($B308="","",IFERROR(INDEX(Task_Tracker!$I$5:$I$1004,MATCH($B308,Task_Tracker!$A$5:$A$1004,0)),""))</f>
        <v/>
      </c>
      <c r="W308" s="81">
        <f>IF(OR($D308="",$B308=""),"",$D308&amp;" | "&amp;$B308)</f>
        <v/>
      </c>
      <c r="X308" s="85">
        <f>IF($K308="","",TEXT($K308,"yyyy-mm"))</f>
        <v/>
      </c>
      <c r="Y308" s="81">
        <f>IF(OR($A308="",$T308=""),"","Included in Manager_Report")</f>
        <v/>
      </c>
    </row>
    <row r="309" ht="15" customHeight="1" s="40">
      <c r="A309" s="65">
        <f>IF(COUNTA(B309:G309)=0,"","STP-"&amp;TEXT(ROW()-4,"0000"))</f>
        <v/>
      </c>
      <c r="B309" s="78" t="n"/>
      <c r="C309" s="67">
        <f>IF($B309="","",IFERROR(INDEX(Task_Tracker!$D$5:$D$1004,MATCH($B309,Task_Tracker!$A$5:$A$1004,0)),""))</f>
        <v/>
      </c>
      <c r="D309" s="67">
        <f>IF($B309="","",IFERROR(INDEX(Task_Tracker!$B$5:$B$1004,MATCH($B309,Task_Tracker!$A$5:$A$1004,0)),""))</f>
        <v/>
      </c>
      <c r="E309" s="81" t="n"/>
      <c r="F309" s="81" t="n"/>
      <c r="G309" s="78" t="n"/>
      <c r="H309" s="78" t="n"/>
      <c r="I309" s="67">
        <f>IF($H309="","",IFERROR(INDEX(Action_Status_Map!$B$5:$B$11,MATCH($H309,Action_Status_Map!$A$5:$A$11,0)),""))</f>
        <v/>
      </c>
      <c r="J309" s="82" t="n"/>
      <c r="K309" s="82" t="n"/>
      <c r="L309" s="82" t="n"/>
      <c r="M309" s="83" t="n"/>
      <c r="N309" s="83" t="n"/>
      <c r="O309" s="66">
        <f>IF(OR($M309="",$N309=""),"",$N309-$M309)</f>
        <v/>
      </c>
      <c r="P309" s="84">
        <f>IF($J309="","",IF($L309&lt;&gt;"",$L309-$J309,TODAY()-$J309))</f>
        <v/>
      </c>
      <c r="Q309" s="85">
        <f>IF(OR($K309="",$H309="Completed",$H309="Cancelled"),"",IF(AND($K309&lt;TODAY(),$H309&lt;&gt;"Completed",$H309&lt;&gt;"Cancelled"),"Overdue","On Track"))</f>
        <v/>
      </c>
      <c r="R309" s="81" t="n"/>
      <c r="S309" s="81">
        <f>IF($B309="","",IFERROR(INDEX(Task_Tracker!$AA$5:$AA$1004,MATCH($B309,Task_Tracker!$A$5:$A$1004,0)),""))</f>
        <v/>
      </c>
      <c r="T309" s="81">
        <f>IF($B309="","",IFERROR(INDEX(Task_Tracker!$AB$5:$AB$1004,MATCH($B309,Task_Tracker!$A$5:$A$1004,0)),""))</f>
        <v/>
      </c>
      <c r="U309" s="78">
        <f>IF($B309="","",IFERROR(INDEX(Task_Tracker!$F$5:$F$1004,MATCH($B309,Task_Tracker!$A$5:$A$1004,0)),""))</f>
        <v/>
      </c>
      <c r="V309" s="78">
        <f>IF($B309="","",IFERROR(INDEX(Task_Tracker!$I$5:$I$1004,MATCH($B309,Task_Tracker!$A$5:$A$1004,0)),""))</f>
        <v/>
      </c>
      <c r="W309" s="81">
        <f>IF(OR($D309="",$B309=""),"",$D309&amp;" | "&amp;$B309)</f>
        <v/>
      </c>
      <c r="X309" s="85">
        <f>IF($K309="","",TEXT($K309,"yyyy-mm"))</f>
        <v/>
      </c>
      <c r="Y309" s="81">
        <f>IF(OR($A309="",$T309=""),"","Included in Manager_Report")</f>
        <v/>
      </c>
    </row>
    <row r="310" ht="15" customHeight="1" s="40">
      <c r="A310" s="65">
        <f>IF(COUNTA(B310:G310)=0,"","STP-"&amp;TEXT(ROW()-4,"0000"))</f>
        <v/>
      </c>
      <c r="B310" s="78" t="n"/>
      <c r="C310" s="67">
        <f>IF($B310="","",IFERROR(INDEX(Task_Tracker!$D$5:$D$1004,MATCH($B310,Task_Tracker!$A$5:$A$1004,0)),""))</f>
        <v/>
      </c>
      <c r="D310" s="67">
        <f>IF($B310="","",IFERROR(INDEX(Task_Tracker!$B$5:$B$1004,MATCH($B310,Task_Tracker!$A$5:$A$1004,0)),""))</f>
        <v/>
      </c>
      <c r="E310" s="81" t="n"/>
      <c r="F310" s="81" t="n"/>
      <c r="G310" s="78" t="n"/>
      <c r="H310" s="78" t="n"/>
      <c r="I310" s="67">
        <f>IF($H310="","",IFERROR(INDEX(Action_Status_Map!$B$5:$B$11,MATCH($H310,Action_Status_Map!$A$5:$A$11,0)),""))</f>
        <v/>
      </c>
      <c r="J310" s="82" t="n"/>
      <c r="K310" s="82" t="n"/>
      <c r="L310" s="82" t="n"/>
      <c r="M310" s="83" t="n"/>
      <c r="N310" s="83" t="n"/>
      <c r="O310" s="66">
        <f>IF(OR($M310="",$N310=""),"",$N310-$M310)</f>
        <v/>
      </c>
      <c r="P310" s="84">
        <f>IF($J310="","",IF($L310&lt;&gt;"",$L310-$J310,TODAY()-$J310))</f>
        <v/>
      </c>
      <c r="Q310" s="85">
        <f>IF(OR($K310="",$H310="Completed",$H310="Cancelled"),"",IF(AND($K310&lt;TODAY(),$H310&lt;&gt;"Completed",$H310&lt;&gt;"Cancelled"),"Overdue","On Track"))</f>
        <v/>
      </c>
      <c r="R310" s="81" t="n"/>
      <c r="S310" s="81">
        <f>IF($B310="","",IFERROR(INDEX(Task_Tracker!$AA$5:$AA$1004,MATCH($B310,Task_Tracker!$A$5:$A$1004,0)),""))</f>
        <v/>
      </c>
      <c r="T310" s="81">
        <f>IF($B310="","",IFERROR(INDEX(Task_Tracker!$AB$5:$AB$1004,MATCH($B310,Task_Tracker!$A$5:$A$1004,0)),""))</f>
        <v/>
      </c>
      <c r="U310" s="78">
        <f>IF($B310="","",IFERROR(INDEX(Task_Tracker!$F$5:$F$1004,MATCH($B310,Task_Tracker!$A$5:$A$1004,0)),""))</f>
        <v/>
      </c>
      <c r="V310" s="78">
        <f>IF($B310="","",IFERROR(INDEX(Task_Tracker!$I$5:$I$1004,MATCH($B310,Task_Tracker!$A$5:$A$1004,0)),""))</f>
        <v/>
      </c>
      <c r="W310" s="81">
        <f>IF(OR($D310="",$B310=""),"",$D310&amp;" | "&amp;$B310)</f>
        <v/>
      </c>
      <c r="X310" s="85">
        <f>IF($K310="","",TEXT($K310,"yyyy-mm"))</f>
        <v/>
      </c>
      <c r="Y310" s="81">
        <f>IF(OR($A310="",$T310=""),"","Included in Manager_Report")</f>
        <v/>
      </c>
    </row>
    <row r="311" ht="15" customHeight="1" s="40">
      <c r="A311" s="65">
        <f>IF(COUNTA(B311:G311)=0,"","STP-"&amp;TEXT(ROW()-4,"0000"))</f>
        <v/>
      </c>
      <c r="B311" s="78" t="n"/>
      <c r="C311" s="67">
        <f>IF($B311="","",IFERROR(INDEX(Task_Tracker!$D$5:$D$1004,MATCH($B311,Task_Tracker!$A$5:$A$1004,0)),""))</f>
        <v/>
      </c>
      <c r="D311" s="67">
        <f>IF($B311="","",IFERROR(INDEX(Task_Tracker!$B$5:$B$1004,MATCH($B311,Task_Tracker!$A$5:$A$1004,0)),""))</f>
        <v/>
      </c>
      <c r="E311" s="81" t="n"/>
      <c r="F311" s="81" t="n"/>
      <c r="G311" s="78" t="n"/>
      <c r="H311" s="78" t="n"/>
      <c r="I311" s="67">
        <f>IF($H311="","",IFERROR(INDEX(Action_Status_Map!$B$5:$B$11,MATCH($H311,Action_Status_Map!$A$5:$A$11,0)),""))</f>
        <v/>
      </c>
      <c r="J311" s="82" t="n"/>
      <c r="K311" s="82" t="n"/>
      <c r="L311" s="82" t="n"/>
      <c r="M311" s="83" t="n"/>
      <c r="N311" s="83" t="n"/>
      <c r="O311" s="66">
        <f>IF(OR($M311="",$N311=""),"",$N311-$M311)</f>
        <v/>
      </c>
      <c r="P311" s="84">
        <f>IF($J311="","",IF($L311&lt;&gt;"",$L311-$J311,TODAY()-$J311))</f>
        <v/>
      </c>
      <c r="Q311" s="85">
        <f>IF(OR($K311="",$H311="Completed",$H311="Cancelled"),"",IF(AND($K311&lt;TODAY(),$H311&lt;&gt;"Completed",$H311&lt;&gt;"Cancelled"),"Overdue","On Track"))</f>
        <v/>
      </c>
      <c r="R311" s="81" t="n"/>
      <c r="S311" s="81">
        <f>IF($B311="","",IFERROR(INDEX(Task_Tracker!$AA$5:$AA$1004,MATCH($B311,Task_Tracker!$A$5:$A$1004,0)),""))</f>
        <v/>
      </c>
      <c r="T311" s="81">
        <f>IF($B311="","",IFERROR(INDEX(Task_Tracker!$AB$5:$AB$1004,MATCH($B311,Task_Tracker!$A$5:$A$1004,0)),""))</f>
        <v/>
      </c>
      <c r="U311" s="78">
        <f>IF($B311="","",IFERROR(INDEX(Task_Tracker!$F$5:$F$1004,MATCH($B311,Task_Tracker!$A$5:$A$1004,0)),""))</f>
        <v/>
      </c>
      <c r="V311" s="78">
        <f>IF($B311="","",IFERROR(INDEX(Task_Tracker!$I$5:$I$1004,MATCH($B311,Task_Tracker!$A$5:$A$1004,0)),""))</f>
        <v/>
      </c>
      <c r="W311" s="81">
        <f>IF(OR($D311="",$B311=""),"",$D311&amp;" | "&amp;$B311)</f>
        <v/>
      </c>
      <c r="X311" s="85">
        <f>IF($K311="","",TEXT($K311,"yyyy-mm"))</f>
        <v/>
      </c>
      <c r="Y311" s="81">
        <f>IF(OR($A311="",$T311=""),"","Included in Manager_Report")</f>
        <v/>
      </c>
    </row>
    <row r="312" ht="15" customHeight="1" s="40">
      <c r="A312" s="65">
        <f>IF(COUNTA(B312:G312)=0,"","STP-"&amp;TEXT(ROW()-4,"0000"))</f>
        <v/>
      </c>
      <c r="B312" s="78" t="n"/>
      <c r="C312" s="67">
        <f>IF($B312="","",IFERROR(INDEX(Task_Tracker!$D$5:$D$1004,MATCH($B312,Task_Tracker!$A$5:$A$1004,0)),""))</f>
        <v/>
      </c>
      <c r="D312" s="67">
        <f>IF($B312="","",IFERROR(INDEX(Task_Tracker!$B$5:$B$1004,MATCH($B312,Task_Tracker!$A$5:$A$1004,0)),""))</f>
        <v/>
      </c>
      <c r="E312" s="81" t="n"/>
      <c r="F312" s="81" t="n"/>
      <c r="G312" s="78" t="n"/>
      <c r="H312" s="78" t="n"/>
      <c r="I312" s="67">
        <f>IF($H312="","",IFERROR(INDEX(Action_Status_Map!$B$5:$B$11,MATCH($H312,Action_Status_Map!$A$5:$A$11,0)),""))</f>
        <v/>
      </c>
      <c r="J312" s="82" t="n"/>
      <c r="K312" s="82" t="n"/>
      <c r="L312" s="82" t="n"/>
      <c r="M312" s="83" t="n"/>
      <c r="N312" s="83" t="n"/>
      <c r="O312" s="66">
        <f>IF(OR($M312="",$N312=""),"",$N312-$M312)</f>
        <v/>
      </c>
      <c r="P312" s="84">
        <f>IF($J312="","",IF($L312&lt;&gt;"",$L312-$J312,TODAY()-$J312))</f>
        <v/>
      </c>
      <c r="Q312" s="85">
        <f>IF(OR($K312="",$H312="Completed",$H312="Cancelled"),"",IF(AND($K312&lt;TODAY(),$H312&lt;&gt;"Completed",$H312&lt;&gt;"Cancelled"),"Overdue","On Track"))</f>
        <v/>
      </c>
      <c r="R312" s="81" t="n"/>
      <c r="S312" s="81">
        <f>IF($B312="","",IFERROR(INDEX(Task_Tracker!$AA$5:$AA$1004,MATCH($B312,Task_Tracker!$A$5:$A$1004,0)),""))</f>
        <v/>
      </c>
      <c r="T312" s="81">
        <f>IF($B312="","",IFERROR(INDEX(Task_Tracker!$AB$5:$AB$1004,MATCH($B312,Task_Tracker!$A$5:$A$1004,0)),""))</f>
        <v/>
      </c>
      <c r="U312" s="78">
        <f>IF($B312="","",IFERROR(INDEX(Task_Tracker!$F$5:$F$1004,MATCH($B312,Task_Tracker!$A$5:$A$1004,0)),""))</f>
        <v/>
      </c>
      <c r="V312" s="78">
        <f>IF($B312="","",IFERROR(INDEX(Task_Tracker!$I$5:$I$1004,MATCH($B312,Task_Tracker!$A$5:$A$1004,0)),""))</f>
        <v/>
      </c>
      <c r="W312" s="81">
        <f>IF(OR($D312="",$B312=""),"",$D312&amp;" | "&amp;$B312)</f>
        <v/>
      </c>
      <c r="X312" s="85">
        <f>IF($K312="","",TEXT($K312,"yyyy-mm"))</f>
        <v/>
      </c>
      <c r="Y312" s="81">
        <f>IF(OR($A312="",$T312=""),"","Included in Manager_Report")</f>
        <v/>
      </c>
    </row>
    <row r="313" ht="15" customHeight="1" s="40">
      <c r="A313" s="65">
        <f>IF(COUNTA(B313:G313)=0,"","STP-"&amp;TEXT(ROW()-4,"0000"))</f>
        <v/>
      </c>
      <c r="B313" s="78" t="n"/>
      <c r="C313" s="67">
        <f>IF($B313="","",IFERROR(INDEX(Task_Tracker!$D$5:$D$1004,MATCH($B313,Task_Tracker!$A$5:$A$1004,0)),""))</f>
        <v/>
      </c>
      <c r="D313" s="67">
        <f>IF($B313="","",IFERROR(INDEX(Task_Tracker!$B$5:$B$1004,MATCH($B313,Task_Tracker!$A$5:$A$1004,0)),""))</f>
        <v/>
      </c>
      <c r="E313" s="81" t="n"/>
      <c r="F313" s="81" t="n"/>
      <c r="G313" s="78" t="n"/>
      <c r="H313" s="78" t="n"/>
      <c r="I313" s="67">
        <f>IF($H313="","",IFERROR(INDEX(Action_Status_Map!$B$5:$B$11,MATCH($H313,Action_Status_Map!$A$5:$A$11,0)),""))</f>
        <v/>
      </c>
      <c r="J313" s="82" t="n"/>
      <c r="K313" s="82" t="n"/>
      <c r="L313" s="82" t="n"/>
      <c r="M313" s="83" t="n"/>
      <c r="N313" s="83" t="n"/>
      <c r="O313" s="66">
        <f>IF(OR($M313="",$N313=""),"",$N313-$M313)</f>
        <v/>
      </c>
      <c r="P313" s="84">
        <f>IF($J313="","",IF($L313&lt;&gt;"",$L313-$J313,TODAY()-$J313))</f>
        <v/>
      </c>
      <c r="Q313" s="85">
        <f>IF(OR($K313="",$H313="Completed",$H313="Cancelled"),"",IF(AND($K313&lt;TODAY(),$H313&lt;&gt;"Completed",$H313&lt;&gt;"Cancelled"),"Overdue","On Track"))</f>
        <v/>
      </c>
      <c r="R313" s="81" t="n"/>
      <c r="S313" s="81">
        <f>IF($B313="","",IFERROR(INDEX(Task_Tracker!$AA$5:$AA$1004,MATCH($B313,Task_Tracker!$A$5:$A$1004,0)),""))</f>
        <v/>
      </c>
      <c r="T313" s="81">
        <f>IF($B313="","",IFERROR(INDEX(Task_Tracker!$AB$5:$AB$1004,MATCH($B313,Task_Tracker!$A$5:$A$1004,0)),""))</f>
        <v/>
      </c>
      <c r="U313" s="78">
        <f>IF($B313="","",IFERROR(INDEX(Task_Tracker!$F$5:$F$1004,MATCH($B313,Task_Tracker!$A$5:$A$1004,0)),""))</f>
        <v/>
      </c>
      <c r="V313" s="78">
        <f>IF($B313="","",IFERROR(INDEX(Task_Tracker!$I$5:$I$1004,MATCH($B313,Task_Tracker!$A$5:$A$1004,0)),""))</f>
        <v/>
      </c>
      <c r="W313" s="81">
        <f>IF(OR($D313="",$B313=""),"",$D313&amp;" | "&amp;$B313)</f>
        <v/>
      </c>
      <c r="X313" s="85">
        <f>IF($K313="","",TEXT($K313,"yyyy-mm"))</f>
        <v/>
      </c>
      <c r="Y313" s="81">
        <f>IF(OR($A313="",$T313=""),"","Included in Manager_Report")</f>
        <v/>
      </c>
    </row>
    <row r="314" ht="15" customHeight="1" s="40">
      <c r="A314" s="65">
        <f>IF(COUNTA(B314:G314)=0,"","STP-"&amp;TEXT(ROW()-4,"0000"))</f>
        <v/>
      </c>
      <c r="B314" s="78" t="n"/>
      <c r="C314" s="67">
        <f>IF($B314="","",IFERROR(INDEX(Task_Tracker!$D$5:$D$1004,MATCH($B314,Task_Tracker!$A$5:$A$1004,0)),""))</f>
        <v/>
      </c>
      <c r="D314" s="67">
        <f>IF($B314="","",IFERROR(INDEX(Task_Tracker!$B$5:$B$1004,MATCH($B314,Task_Tracker!$A$5:$A$1004,0)),""))</f>
        <v/>
      </c>
      <c r="E314" s="81" t="n"/>
      <c r="F314" s="81" t="n"/>
      <c r="G314" s="78" t="n"/>
      <c r="H314" s="78" t="n"/>
      <c r="I314" s="67">
        <f>IF($H314="","",IFERROR(INDEX(Action_Status_Map!$B$5:$B$11,MATCH($H314,Action_Status_Map!$A$5:$A$11,0)),""))</f>
        <v/>
      </c>
      <c r="J314" s="82" t="n"/>
      <c r="K314" s="82" t="n"/>
      <c r="L314" s="82" t="n"/>
      <c r="M314" s="83" t="n"/>
      <c r="N314" s="83" t="n"/>
      <c r="O314" s="66">
        <f>IF(OR($M314="",$N314=""),"",$N314-$M314)</f>
        <v/>
      </c>
      <c r="P314" s="84">
        <f>IF($J314="","",IF($L314&lt;&gt;"",$L314-$J314,TODAY()-$J314))</f>
        <v/>
      </c>
      <c r="Q314" s="85">
        <f>IF(OR($K314="",$H314="Completed",$H314="Cancelled"),"",IF(AND($K314&lt;TODAY(),$H314&lt;&gt;"Completed",$H314&lt;&gt;"Cancelled"),"Overdue","On Track"))</f>
        <v/>
      </c>
      <c r="R314" s="81" t="n"/>
      <c r="S314" s="81">
        <f>IF($B314="","",IFERROR(INDEX(Task_Tracker!$AA$5:$AA$1004,MATCH($B314,Task_Tracker!$A$5:$A$1004,0)),""))</f>
        <v/>
      </c>
      <c r="T314" s="81">
        <f>IF($B314="","",IFERROR(INDEX(Task_Tracker!$AB$5:$AB$1004,MATCH($B314,Task_Tracker!$A$5:$A$1004,0)),""))</f>
        <v/>
      </c>
      <c r="U314" s="78">
        <f>IF($B314="","",IFERROR(INDEX(Task_Tracker!$F$5:$F$1004,MATCH($B314,Task_Tracker!$A$5:$A$1004,0)),""))</f>
        <v/>
      </c>
      <c r="V314" s="78">
        <f>IF($B314="","",IFERROR(INDEX(Task_Tracker!$I$5:$I$1004,MATCH($B314,Task_Tracker!$A$5:$A$1004,0)),""))</f>
        <v/>
      </c>
      <c r="W314" s="81">
        <f>IF(OR($D314="",$B314=""),"",$D314&amp;" | "&amp;$B314)</f>
        <v/>
      </c>
      <c r="X314" s="85">
        <f>IF($K314="","",TEXT($K314,"yyyy-mm"))</f>
        <v/>
      </c>
      <c r="Y314" s="81">
        <f>IF(OR($A314="",$T314=""),"","Included in Manager_Report")</f>
        <v/>
      </c>
    </row>
    <row r="315" ht="15" customHeight="1" s="40">
      <c r="A315" s="65">
        <f>IF(COUNTA(B315:G315)=0,"","STP-"&amp;TEXT(ROW()-4,"0000"))</f>
        <v/>
      </c>
      <c r="B315" s="78" t="n"/>
      <c r="C315" s="67">
        <f>IF($B315="","",IFERROR(INDEX(Task_Tracker!$D$5:$D$1004,MATCH($B315,Task_Tracker!$A$5:$A$1004,0)),""))</f>
        <v/>
      </c>
      <c r="D315" s="67">
        <f>IF($B315="","",IFERROR(INDEX(Task_Tracker!$B$5:$B$1004,MATCH($B315,Task_Tracker!$A$5:$A$1004,0)),""))</f>
        <v/>
      </c>
      <c r="E315" s="81" t="n"/>
      <c r="F315" s="81" t="n"/>
      <c r="G315" s="78" t="n"/>
      <c r="H315" s="78" t="n"/>
      <c r="I315" s="67">
        <f>IF($H315="","",IFERROR(INDEX(Action_Status_Map!$B$5:$B$11,MATCH($H315,Action_Status_Map!$A$5:$A$11,0)),""))</f>
        <v/>
      </c>
      <c r="J315" s="82" t="n"/>
      <c r="K315" s="82" t="n"/>
      <c r="L315" s="82" t="n"/>
      <c r="M315" s="83" t="n"/>
      <c r="N315" s="83" t="n"/>
      <c r="O315" s="66">
        <f>IF(OR($M315="",$N315=""),"",$N315-$M315)</f>
        <v/>
      </c>
      <c r="P315" s="84">
        <f>IF($J315="","",IF($L315&lt;&gt;"",$L315-$J315,TODAY()-$J315))</f>
        <v/>
      </c>
      <c r="Q315" s="85">
        <f>IF(OR($K315="",$H315="Completed",$H315="Cancelled"),"",IF(AND($K315&lt;TODAY(),$H315&lt;&gt;"Completed",$H315&lt;&gt;"Cancelled"),"Overdue","On Track"))</f>
        <v/>
      </c>
      <c r="R315" s="81" t="n"/>
      <c r="S315" s="81">
        <f>IF($B315="","",IFERROR(INDEX(Task_Tracker!$AA$5:$AA$1004,MATCH($B315,Task_Tracker!$A$5:$A$1004,0)),""))</f>
        <v/>
      </c>
      <c r="T315" s="81">
        <f>IF($B315="","",IFERROR(INDEX(Task_Tracker!$AB$5:$AB$1004,MATCH($B315,Task_Tracker!$A$5:$A$1004,0)),""))</f>
        <v/>
      </c>
      <c r="U315" s="78">
        <f>IF($B315="","",IFERROR(INDEX(Task_Tracker!$F$5:$F$1004,MATCH($B315,Task_Tracker!$A$5:$A$1004,0)),""))</f>
        <v/>
      </c>
      <c r="V315" s="78">
        <f>IF($B315="","",IFERROR(INDEX(Task_Tracker!$I$5:$I$1004,MATCH($B315,Task_Tracker!$A$5:$A$1004,0)),""))</f>
        <v/>
      </c>
      <c r="W315" s="81">
        <f>IF(OR($D315="",$B315=""),"",$D315&amp;" | "&amp;$B315)</f>
        <v/>
      </c>
      <c r="X315" s="85">
        <f>IF($K315="","",TEXT($K315,"yyyy-mm"))</f>
        <v/>
      </c>
      <c r="Y315" s="81">
        <f>IF(OR($A315="",$T315=""),"","Included in Manager_Report")</f>
        <v/>
      </c>
    </row>
    <row r="316" ht="15" customHeight="1" s="40">
      <c r="A316" s="65">
        <f>IF(COUNTA(B316:G316)=0,"","STP-"&amp;TEXT(ROW()-4,"0000"))</f>
        <v/>
      </c>
      <c r="B316" s="78" t="n"/>
      <c r="C316" s="67">
        <f>IF($B316="","",IFERROR(INDEX(Task_Tracker!$D$5:$D$1004,MATCH($B316,Task_Tracker!$A$5:$A$1004,0)),""))</f>
        <v/>
      </c>
      <c r="D316" s="67">
        <f>IF($B316="","",IFERROR(INDEX(Task_Tracker!$B$5:$B$1004,MATCH($B316,Task_Tracker!$A$5:$A$1004,0)),""))</f>
        <v/>
      </c>
      <c r="E316" s="81" t="n"/>
      <c r="F316" s="81" t="n"/>
      <c r="G316" s="78" t="n"/>
      <c r="H316" s="78" t="n"/>
      <c r="I316" s="67">
        <f>IF($H316="","",IFERROR(INDEX(Action_Status_Map!$B$5:$B$11,MATCH($H316,Action_Status_Map!$A$5:$A$11,0)),""))</f>
        <v/>
      </c>
      <c r="J316" s="82" t="n"/>
      <c r="K316" s="82" t="n"/>
      <c r="L316" s="82" t="n"/>
      <c r="M316" s="83" t="n"/>
      <c r="N316" s="83" t="n"/>
      <c r="O316" s="66">
        <f>IF(OR($M316="",$N316=""),"",$N316-$M316)</f>
        <v/>
      </c>
      <c r="P316" s="84">
        <f>IF($J316="","",IF($L316&lt;&gt;"",$L316-$J316,TODAY()-$J316))</f>
        <v/>
      </c>
      <c r="Q316" s="85">
        <f>IF(OR($K316="",$H316="Completed",$H316="Cancelled"),"",IF(AND($K316&lt;TODAY(),$H316&lt;&gt;"Completed",$H316&lt;&gt;"Cancelled"),"Overdue","On Track"))</f>
        <v/>
      </c>
      <c r="R316" s="81" t="n"/>
      <c r="S316" s="81">
        <f>IF($B316="","",IFERROR(INDEX(Task_Tracker!$AA$5:$AA$1004,MATCH($B316,Task_Tracker!$A$5:$A$1004,0)),""))</f>
        <v/>
      </c>
      <c r="T316" s="81">
        <f>IF($B316="","",IFERROR(INDEX(Task_Tracker!$AB$5:$AB$1004,MATCH($B316,Task_Tracker!$A$5:$A$1004,0)),""))</f>
        <v/>
      </c>
      <c r="U316" s="78">
        <f>IF($B316="","",IFERROR(INDEX(Task_Tracker!$F$5:$F$1004,MATCH($B316,Task_Tracker!$A$5:$A$1004,0)),""))</f>
        <v/>
      </c>
      <c r="V316" s="78">
        <f>IF($B316="","",IFERROR(INDEX(Task_Tracker!$I$5:$I$1004,MATCH($B316,Task_Tracker!$A$5:$A$1004,0)),""))</f>
        <v/>
      </c>
      <c r="W316" s="81">
        <f>IF(OR($D316="",$B316=""),"",$D316&amp;" | "&amp;$B316)</f>
        <v/>
      </c>
      <c r="X316" s="85">
        <f>IF($K316="","",TEXT($K316,"yyyy-mm"))</f>
        <v/>
      </c>
      <c r="Y316" s="81">
        <f>IF(OR($A316="",$T316=""),"","Included in Manager_Report")</f>
        <v/>
      </c>
    </row>
    <row r="317" ht="15" customHeight="1" s="40">
      <c r="A317" s="65">
        <f>IF(COUNTA(B317:G317)=0,"","STP-"&amp;TEXT(ROW()-4,"0000"))</f>
        <v/>
      </c>
      <c r="B317" s="78" t="n"/>
      <c r="C317" s="67">
        <f>IF($B317="","",IFERROR(INDEX(Task_Tracker!$D$5:$D$1004,MATCH($B317,Task_Tracker!$A$5:$A$1004,0)),""))</f>
        <v/>
      </c>
      <c r="D317" s="67">
        <f>IF($B317="","",IFERROR(INDEX(Task_Tracker!$B$5:$B$1004,MATCH($B317,Task_Tracker!$A$5:$A$1004,0)),""))</f>
        <v/>
      </c>
      <c r="E317" s="81" t="n"/>
      <c r="F317" s="81" t="n"/>
      <c r="G317" s="78" t="n"/>
      <c r="H317" s="78" t="n"/>
      <c r="I317" s="67">
        <f>IF($H317="","",IFERROR(INDEX(Action_Status_Map!$B$5:$B$11,MATCH($H317,Action_Status_Map!$A$5:$A$11,0)),""))</f>
        <v/>
      </c>
      <c r="J317" s="82" t="n"/>
      <c r="K317" s="82" t="n"/>
      <c r="L317" s="82" t="n"/>
      <c r="M317" s="83" t="n"/>
      <c r="N317" s="83" t="n"/>
      <c r="O317" s="66">
        <f>IF(OR($M317="",$N317=""),"",$N317-$M317)</f>
        <v/>
      </c>
      <c r="P317" s="84">
        <f>IF($J317="","",IF($L317&lt;&gt;"",$L317-$J317,TODAY()-$J317))</f>
        <v/>
      </c>
      <c r="Q317" s="85">
        <f>IF(OR($K317="",$H317="Completed",$H317="Cancelled"),"",IF(AND($K317&lt;TODAY(),$H317&lt;&gt;"Completed",$H317&lt;&gt;"Cancelled"),"Overdue","On Track"))</f>
        <v/>
      </c>
      <c r="R317" s="81" t="n"/>
      <c r="S317" s="81">
        <f>IF($B317="","",IFERROR(INDEX(Task_Tracker!$AA$5:$AA$1004,MATCH($B317,Task_Tracker!$A$5:$A$1004,0)),""))</f>
        <v/>
      </c>
      <c r="T317" s="81">
        <f>IF($B317="","",IFERROR(INDEX(Task_Tracker!$AB$5:$AB$1004,MATCH($B317,Task_Tracker!$A$5:$A$1004,0)),""))</f>
        <v/>
      </c>
      <c r="U317" s="78">
        <f>IF($B317="","",IFERROR(INDEX(Task_Tracker!$F$5:$F$1004,MATCH($B317,Task_Tracker!$A$5:$A$1004,0)),""))</f>
        <v/>
      </c>
      <c r="V317" s="78">
        <f>IF($B317="","",IFERROR(INDEX(Task_Tracker!$I$5:$I$1004,MATCH($B317,Task_Tracker!$A$5:$A$1004,0)),""))</f>
        <v/>
      </c>
      <c r="W317" s="81">
        <f>IF(OR($D317="",$B317=""),"",$D317&amp;" | "&amp;$B317)</f>
        <v/>
      </c>
      <c r="X317" s="85">
        <f>IF($K317="","",TEXT($K317,"yyyy-mm"))</f>
        <v/>
      </c>
      <c r="Y317" s="81">
        <f>IF(OR($A317="",$T317=""),"","Included in Manager_Report")</f>
        <v/>
      </c>
    </row>
    <row r="318" ht="15" customHeight="1" s="40">
      <c r="A318" s="65">
        <f>IF(COUNTA(B318:G318)=0,"","STP-"&amp;TEXT(ROW()-4,"0000"))</f>
        <v/>
      </c>
      <c r="B318" s="78" t="n"/>
      <c r="C318" s="67">
        <f>IF($B318="","",IFERROR(INDEX(Task_Tracker!$D$5:$D$1004,MATCH($B318,Task_Tracker!$A$5:$A$1004,0)),""))</f>
        <v/>
      </c>
      <c r="D318" s="67">
        <f>IF($B318="","",IFERROR(INDEX(Task_Tracker!$B$5:$B$1004,MATCH($B318,Task_Tracker!$A$5:$A$1004,0)),""))</f>
        <v/>
      </c>
      <c r="E318" s="81" t="n"/>
      <c r="F318" s="81" t="n"/>
      <c r="G318" s="78" t="n"/>
      <c r="H318" s="78" t="n"/>
      <c r="I318" s="67">
        <f>IF($H318="","",IFERROR(INDEX(Action_Status_Map!$B$5:$B$11,MATCH($H318,Action_Status_Map!$A$5:$A$11,0)),""))</f>
        <v/>
      </c>
      <c r="J318" s="82" t="n"/>
      <c r="K318" s="82" t="n"/>
      <c r="L318" s="82" t="n"/>
      <c r="M318" s="83" t="n"/>
      <c r="N318" s="83" t="n"/>
      <c r="O318" s="66">
        <f>IF(OR($M318="",$N318=""),"",$N318-$M318)</f>
        <v/>
      </c>
      <c r="P318" s="84">
        <f>IF($J318="","",IF($L318&lt;&gt;"",$L318-$J318,TODAY()-$J318))</f>
        <v/>
      </c>
      <c r="Q318" s="85">
        <f>IF(OR($K318="",$H318="Completed",$H318="Cancelled"),"",IF(AND($K318&lt;TODAY(),$H318&lt;&gt;"Completed",$H318&lt;&gt;"Cancelled"),"Overdue","On Track"))</f>
        <v/>
      </c>
      <c r="R318" s="81" t="n"/>
      <c r="S318" s="81">
        <f>IF($B318="","",IFERROR(INDEX(Task_Tracker!$AA$5:$AA$1004,MATCH($B318,Task_Tracker!$A$5:$A$1004,0)),""))</f>
        <v/>
      </c>
      <c r="T318" s="81">
        <f>IF($B318="","",IFERROR(INDEX(Task_Tracker!$AB$5:$AB$1004,MATCH($B318,Task_Tracker!$A$5:$A$1004,0)),""))</f>
        <v/>
      </c>
      <c r="U318" s="78">
        <f>IF($B318="","",IFERROR(INDEX(Task_Tracker!$F$5:$F$1004,MATCH($B318,Task_Tracker!$A$5:$A$1004,0)),""))</f>
        <v/>
      </c>
      <c r="V318" s="78">
        <f>IF($B318="","",IFERROR(INDEX(Task_Tracker!$I$5:$I$1004,MATCH($B318,Task_Tracker!$A$5:$A$1004,0)),""))</f>
        <v/>
      </c>
      <c r="W318" s="81">
        <f>IF(OR($D318="",$B318=""),"",$D318&amp;" | "&amp;$B318)</f>
        <v/>
      </c>
      <c r="X318" s="85">
        <f>IF($K318="","",TEXT($K318,"yyyy-mm"))</f>
        <v/>
      </c>
      <c r="Y318" s="81">
        <f>IF(OR($A318="",$T318=""),"","Included in Manager_Report")</f>
        <v/>
      </c>
    </row>
    <row r="319" ht="15" customHeight="1" s="40">
      <c r="A319" s="65">
        <f>IF(COUNTA(B319:G319)=0,"","STP-"&amp;TEXT(ROW()-4,"0000"))</f>
        <v/>
      </c>
      <c r="B319" s="78" t="n"/>
      <c r="C319" s="67">
        <f>IF($B319="","",IFERROR(INDEX(Task_Tracker!$D$5:$D$1004,MATCH($B319,Task_Tracker!$A$5:$A$1004,0)),""))</f>
        <v/>
      </c>
      <c r="D319" s="67">
        <f>IF($B319="","",IFERROR(INDEX(Task_Tracker!$B$5:$B$1004,MATCH($B319,Task_Tracker!$A$5:$A$1004,0)),""))</f>
        <v/>
      </c>
      <c r="E319" s="81" t="n"/>
      <c r="F319" s="81" t="n"/>
      <c r="G319" s="78" t="n"/>
      <c r="H319" s="78" t="n"/>
      <c r="I319" s="67">
        <f>IF($H319="","",IFERROR(INDEX(Action_Status_Map!$B$5:$B$11,MATCH($H319,Action_Status_Map!$A$5:$A$11,0)),""))</f>
        <v/>
      </c>
      <c r="J319" s="82" t="n"/>
      <c r="K319" s="82" t="n"/>
      <c r="L319" s="82" t="n"/>
      <c r="M319" s="83" t="n"/>
      <c r="N319" s="83" t="n"/>
      <c r="O319" s="66">
        <f>IF(OR($M319="",$N319=""),"",$N319-$M319)</f>
        <v/>
      </c>
      <c r="P319" s="84">
        <f>IF($J319="","",IF($L319&lt;&gt;"",$L319-$J319,TODAY()-$J319))</f>
        <v/>
      </c>
      <c r="Q319" s="85">
        <f>IF(OR($K319="",$H319="Completed",$H319="Cancelled"),"",IF(AND($K319&lt;TODAY(),$H319&lt;&gt;"Completed",$H319&lt;&gt;"Cancelled"),"Overdue","On Track"))</f>
        <v/>
      </c>
      <c r="R319" s="81" t="n"/>
      <c r="S319" s="81">
        <f>IF($B319="","",IFERROR(INDEX(Task_Tracker!$AA$5:$AA$1004,MATCH($B319,Task_Tracker!$A$5:$A$1004,0)),""))</f>
        <v/>
      </c>
      <c r="T319" s="81">
        <f>IF($B319="","",IFERROR(INDEX(Task_Tracker!$AB$5:$AB$1004,MATCH($B319,Task_Tracker!$A$5:$A$1004,0)),""))</f>
        <v/>
      </c>
      <c r="U319" s="78">
        <f>IF($B319="","",IFERROR(INDEX(Task_Tracker!$F$5:$F$1004,MATCH($B319,Task_Tracker!$A$5:$A$1004,0)),""))</f>
        <v/>
      </c>
      <c r="V319" s="78">
        <f>IF($B319="","",IFERROR(INDEX(Task_Tracker!$I$5:$I$1004,MATCH($B319,Task_Tracker!$A$5:$A$1004,0)),""))</f>
        <v/>
      </c>
      <c r="W319" s="81">
        <f>IF(OR($D319="",$B319=""),"",$D319&amp;" | "&amp;$B319)</f>
        <v/>
      </c>
      <c r="X319" s="85">
        <f>IF($K319="","",TEXT($K319,"yyyy-mm"))</f>
        <v/>
      </c>
      <c r="Y319" s="81">
        <f>IF(OR($A319="",$T319=""),"","Included in Manager_Report")</f>
        <v/>
      </c>
    </row>
    <row r="320" ht="15" customHeight="1" s="40">
      <c r="A320" s="65">
        <f>IF(COUNTA(B320:G320)=0,"","STP-"&amp;TEXT(ROW()-4,"0000"))</f>
        <v/>
      </c>
      <c r="B320" s="78" t="n"/>
      <c r="C320" s="67">
        <f>IF($B320="","",IFERROR(INDEX(Task_Tracker!$D$5:$D$1004,MATCH($B320,Task_Tracker!$A$5:$A$1004,0)),""))</f>
        <v/>
      </c>
      <c r="D320" s="67">
        <f>IF($B320="","",IFERROR(INDEX(Task_Tracker!$B$5:$B$1004,MATCH($B320,Task_Tracker!$A$5:$A$1004,0)),""))</f>
        <v/>
      </c>
      <c r="E320" s="81" t="n"/>
      <c r="F320" s="81" t="n"/>
      <c r="G320" s="78" t="n"/>
      <c r="H320" s="78" t="n"/>
      <c r="I320" s="67">
        <f>IF($H320="","",IFERROR(INDEX(Action_Status_Map!$B$5:$B$11,MATCH($H320,Action_Status_Map!$A$5:$A$11,0)),""))</f>
        <v/>
      </c>
      <c r="J320" s="82" t="n"/>
      <c r="K320" s="82" t="n"/>
      <c r="L320" s="82" t="n"/>
      <c r="M320" s="83" t="n"/>
      <c r="N320" s="83" t="n"/>
      <c r="O320" s="66">
        <f>IF(OR($M320="",$N320=""),"",$N320-$M320)</f>
        <v/>
      </c>
      <c r="P320" s="84">
        <f>IF($J320="","",IF($L320&lt;&gt;"",$L320-$J320,TODAY()-$J320))</f>
        <v/>
      </c>
      <c r="Q320" s="85">
        <f>IF(OR($K320="",$H320="Completed",$H320="Cancelled"),"",IF(AND($K320&lt;TODAY(),$H320&lt;&gt;"Completed",$H320&lt;&gt;"Cancelled"),"Overdue","On Track"))</f>
        <v/>
      </c>
      <c r="R320" s="81" t="n"/>
      <c r="S320" s="81">
        <f>IF($B320="","",IFERROR(INDEX(Task_Tracker!$AA$5:$AA$1004,MATCH($B320,Task_Tracker!$A$5:$A$1004,0)),""))</f>
        <v/>
      </c>
      <c r="T320" s="81">
        <f>IF($B320="","",IFERROR(INDEX(Task_Tracker!$AB$5:$AB$1004,MATCH($B320,Task_Tracker!$A$5:$A$1004,0)),""))</f>
        <v/>
      </c>
      <c r="U320" s="78">
        <f>IF($B320="","",IFERROR(INDEX(Task_Tracker!$F$5:$F$1004,MATCH($B320,Task_Tracker!$A$5:$A$1004,0)),""))</f>
        <v/>
      </c>
      <c r="V320" s="78">
        <f>IF($B320="","",IFERROR(INDEX(Task_Tracker!$I$5:$I$1004,MATCH($B320,Task_Tracker!$A$5:$A$1004,0)),""))</f>
        <v/>
      </c>
      <c r="W320" s="81">
        <f>IF(OR($D320="",$B320=""),"",$D320&amp;" | "&amp;$B320)</f>
        <v/>
      </c>
      <c r="X320" s="85">
        <f>IF($K320="","",TEXT($K320,"yyyy-mm"))</f>
        <v/>
      </c>
      <c r="Y320" s="81">
        <f>IF(OR($A320="",$T320=""),"","Included in Manager_Report")</f>
        <v/>
      </c>
    </row>
    <row r="321" ht="15" customHeight="1" s="40">
      <c r="A321" s="65">
        <f>IF(COUNTA(B321:G321)=0,"","STP-"&amp;TEXT(ROW()-4,"0000"))</f>
        <v/>
      </c>
      <c r="B321" s="78" t="n"/>
      <c r="C321" s="67">
        <f>IF($B321="","",IFERROR(INDEX(Task_Tracker!$D$5:$D$1004,MATCH($B321,Task_Tracker!$A$5:$A$1004,0)),""))</f>
        <v/>
      </c>
      <c r="D321" s="67">
        <f>IF($B321="","",IFERROR(INDEX(Task_Tracker!$B$5:$B$1004,MATCH($B321,Task_Tracker!$A$5:$A$1004,0)),""))</f>
        <v/>
      </c>
      <c r="E321" s="81" t="n"/>
      <c r="F321" s="81" t="n"/>
      <c r="G321" s="78" t="n"/>
      <c r="H321" s="78" t="n"/>
      <c r="I321" s="67">
        <f>IF($H321="","",IFERROR(INDEX(Action_Status_Map!$B$5:$B$11,MATCH($H321,Action_Status_Map!$A$5:$A$11,0)),""))</f>
        <v/>
      </c>
      <c r="J321" s="82" t="n"/>
      <c r="K321" s="82" t="n"/>
      <c r="L321" s="82" t="n"/>
      <c r="M321" s="83" t="n"/>
      <c r="N321" s="83" t="n"/>
      <c r="O321" s="66">
        <f>IF(OR($M321="",$N321=""),"",$N321-$M321)</f>
        <v/>
      </c>
      <c r="P321" s="84">
        <f>IF($J321="","",IF($L321&lt;&gt;"",$L321-$J321,TODAY()-$J321))</f>
        <v/>
      </c>
      <c r="Q321" s="85">
        <f>IF(OR($K321="",$H321="Completed",$H321="Cancelled"),"",IF(AND($K321&lt;TODAY(),$H321&lt;&gt;"Completed",$H321&lt;&gt;"Cancelled"),"Overdue","On Track"))</f>
        <v/>
      </c>
      <c r="R321" s="81" t="n"/>
      <c r="S321" s="81">
        <f>IF($B321="","",IFERROR(INDEX(Task_Tracker!$AA$5:$AA$1004,MATCH($B321,Task_Tracker!$A$5:$A$1004,0)),""))</f>
        <v/>
      </c>
      <c r="T321" s="81">
        <f>IF($B321="","",IFERROR(INDEX(Task_Tracker!$AB$5:$AB$1004,MATCH($B321,Task_Tracker!$A$5:$A$1004,0)),""))</f>
        <v/>
      </c>
      <c r="U321" s="78">
        <f>IF($B321="","",IFERROR(INDEX(Task_Tracker!$F$5:$F$1004,MATCH($B321,Task_Tracker!$A$5:$A$1004,0)),""))</f>
        <v/>
      </c>
      <c r="V321" s="78">
        <f>IF($B321="","",IFERROR(INDEX(Task_Tracker!$I$5:$I$1004,MATCH($B321,Task_Tracker!$A$5:$A$1004,0)),""))</f>
        <v/>
      </c>
      <c r="W321" s="81">
        <f>IF(OR($D321="",$B321=""),"",$D321&amp;" | "&amp;$B321)</f>
        <v/>
      </c>
      <c r="X321" s="85">
        <f>IF($K321="","",TEXT($K321,"yyyy-mm"))</f>
        <v/>
      </c>
      <c r="Y321" s="81">
        <f>IF(OR($A321="",$T321=""),"","Included in Manager_Report")</f>
        <v/>
      </c>
    </row>
    <row r="322" ht="15" customHeight="1" s="40">
      <c r="A322" s="65">
        <f>IF(COUNTA(B322:G322)=0,"","STP-"&amp;TEXT(ROW()-4,"0000"))</f>
        <v/>
      </c>
      <c r="B322" s="78" t="n"/>
      <c r="C322" s="67">
        <f>IF($B322="","",IFERROR(INDEX(Task_Tracker!$D$5:$D$1004,MATCH($B322,Task_Tracker!$A$5:$A$1004,0)),""))</f>
        <v/>
      </c>
      <c r="D322" s="67">
        <f>IF($B322="","",IFERROR(INDEX(Task_Tracker!$B$5:$B$1004,MATCH($B322,Task_Tracker!$A$5:$A$1004,0)),""))</f>
        <v/>
      </c>
      <c r="E322" s="81" t="n"/>
      <c r="F322" s="81" t="n"/>
      <c r="G322" s="78" t="n"/>
      <c r="H322" s="78" t="n"/>
      <c r="I322" s="67">
        <f>IF($H322="","",IFERROR(INDEX(Action_Status_Map!$B$5:$B$11,MATCH($H322,Action_Status_Map!$A$5:$A$11,0)),""))</f>
        <v/>
      </c>
      <c r="J322" s="82" t="n"/>
      <c r="K322" s="82" t="n"/>
      <c r="L322" s="82" t="n"/>
      <c r="M322" s="83" t="n"/>
      <c r="N322" s="83" t="n"/>
      <c r="O322" s="66">
        <f>IF(OR($M322="",$N322=""),"",$N322-$M322)</f>
        <v/>
      </c>
      <c r="P322" s="84">
        <f>IF($J322="","",IF($L322&lt;&gt;"",$L322-$J322,TODAY()-$J322))</f>
        <v/>
      </c>
      <c r="Q322" s="85">
        <f>IF(OR($K322="",$H322="Completed",$H322="Cancelled"),"",IF(AND($K322&lt;TODAY(),$H322&lt;&gt;"Completed",$H322&lt;&gt;"Cancelled"),"Overdue","On Track"))</f>
        <v/>
      </c>
      <c r="R322" s="81" t="n"/>
      <c r="S322" s="81">
        <f>IF($B322="","",IFERROR(INDEX(Task_Tracker!$AA$5:$AA$1004,MATCH($B322,Task_Tracker!$A$5:$A$1004,0)),""))</f>
        <v/>
      </c>
      <c r="T322" s="81">
        <f>IF($B322="","",IFERROR(INDEX(Task_Tracker!$AB$5:$AB$1004,MATCH($B322,Task_Tracker!$A$5:$A$1004,0)),""))</f>
        <v/>
      </c>
      <c r="U322" s="78">
        <f>IF($B322="","",IFERROR(INDEX(Task_Tracker!$F$5:$F$1004,MATCH($B322,Task_Tracker!$A$5:$A$1004,0)),""))</f>
        <v/>
      </c>
      <c r="V322" s="78">
        <f>IF($B322="","",IFERROR(INDEX(Task_Tracker!$I$5:$I$1004,MATCH($B322,Task_Tracker!$A$5:$A$1004,0)),""))</f>
        <v/>
      </c>
      <c r="W322" s="81">
        <f>IF(OR($D322="",$B322=""),"",$D322&amp;" | "&amp;$B322)</f>
        <v/>
      </c>
      <c r="X322" s="85">
        <f>IF($K322="","",TEXT($K322,"yyyy-mm"))</f>
        <v/>
      </c>
      <c r="Y322" s="81">
        <f>IF(OR($A322="",$T322=""),"","Included in Manager_Report")</f>
        <v/>
      </c>
    </row>
    <row r="323" ht="15" customHeight="1" s="40">
      <c r="A323" s="65">
        <f>IF(COUNTA(B323:G323)=0,"","STP-"&amp;TEXT(ROW()-4,"0000"))</f>
        <v/>
      </c>
      <c r="B323" s="78" t="n"/>
      <c r="C323" s="67">
        <f>IF($B323="","",IFERROR(INDEX(Task_Tracker!$D$5:$D$1004,MATCH($B323,Task_Tracker!$A$5:$A$1004,0)),""))</f>
        <v/>
      </c>
      <c r="D323" s="67">
        <f>IF($B323="","",IFERROR(INDEX(Task_Tracker!$B$5:$B$1004,MATCH($B323,Task_Tracker!$A$5:$A$1004,0)),""))</f>
        <v/>
      </c>
      <c r="E323" s="81" t="n"/>
      <c r="F323" s="81" t="n"/>
      <c r="G323" s="78" t="n"/>
      <c r="H323" s="78" t="n"/>
      <c r="I323" s="67">
        <f>IF($H323="","",IFERROR(INDEX(Action_Status_Map!$B$5:$B$11,MATCH($H323,Action_Status_Map!$A$5:$A$11,0)),""))</f>
        <v/>
      </c>
      <c r="J323" s="82" t="n"/>
      <c r="K323" s="82" t="n"/>
      <c r="L323" s="82" t="n"/>
      <c r="M323" s="83" t="n"/>
      <c r="N323" s="83" t="n"/>
      <c r="O323" s="66">
        <f>IF(OR($M323="",$N323=""),"",$N323-$M323)</f>
        <v/>
      </c>
      <c r="P323" s="84">
        <f>IF($J323="","",IF($L323&lt;&gt;"",$L323-$J323,TODAY()-$J323))</f>
        <v/>
      </c>
      <c r="Q323" s="85">
        <f>IF(OR($K323="",$H323="Completed",$H323="Cancelled"),"",IF(AND($K323&lt;TODAY(),$H323&lt;&gt;"Completed",$H323&lt;&gt;"Cancelled"),"Overdue","On Track"))</f>
        <v/>
      </c>
      <c r="R323" s="81" t="n"/>
      <c r="S323" s="81">
        <f>IF($B323="","",IFERROR(INDEX(Task_Tracker!$AA$5:$AA$1004,MATCH($B323,Task_Tracker!$A$5:$A$1004,0)),""))</f>
        <v/>
      </c>
      <c r="T323" s="81">
        <f>IF($B323="","",IFERROR(INDEX(Task_Tracker!$AB$5:$AB$1004,MATCH($B323,Task_Tracker!$A$5:$A$1004,0)),""))</f>
        <v/>
      </c>
      <c r="U323" s="78">
        <f>IF($B323="","",IFERROR(INDEX(Task_Tracker!$F$5:$F$1004,MATCH($B323,Task_Tracker!$A$5:$A$1004,0)),""))</f>
        <v/>
      </c>
      <c r="V323" s="78">
        <f>IF($B323="","",IFERROR(INDEX(Task_Tracker!$I$5:$I$1004,MATCH($B323,Task_Tracker!$A$5:$A$1004,0)),""))</f>
        <v/>
      </c>
      <c r="W323" s="81">
        <f>IF(OR($D323="",$B323=""),"",$D323&amp;" | "&amp;$B323)</f>
        <v/>
      </c>
      <c r="X323" s="85">
        <f>IF($K323="","",TEXT($K323,"yyyy-mm"))</f>
        <v/>
      </c>
      <c r="Y323" s="81">
        <f>IF(OR($A323="",$T323=""),"","Included in Manager_Report")</f>
        <v/>
      </c>
    </row>
    <row r="324" ht="15" customHeight="1" s="40">
      <c r="A324" s="65">
        <f>IF(COUNTA(B324:G324)=0,"","STP-"&amp;TEXT(ROW()-4,"0000"))</f>
        <v/>
      </c>
      <c r="B324" s="78" t="n"/>
      <c r="C324" s="67">
        <f>IF($B324="","",IFERROR(INDEX(Task_Tracker!$D$5:$D$1004,MATCH($B324,Task_Tracker!$A$5:$A$1004,0)),""))</f>
        <v/>
      </c>
      <c r="D324" s="67">
        <f>IF($B324="","",IFERROR(INDEX(Task_Tracker!$B$5:$B$1004,MATCH($B324,Task_Tracker!$A$5:$A$1004,0)),""))</f>
        <v/>
      </c>
      <c r="E324" s="81" t="n"/>
      <c r="F324" s="81" t="n"/>
      <c r="G324" s="78" t="n"/>
      <c r="H324" s="78" t="n"/>
      <c r="I324" s="67">
        <f>IF($H324="","",IFERROR(INDEX(Action_Status_Map!$B$5:$B$11,MATCH($H324,Action_Status_Map!$A$5:$A$11,0)),""))</f>
        <v/>
      </c>
      <c r="J324" s="82" t="n"/>
      <c r="K324" s="82" t="n"/>
      <c r="L324" s="82" t="n"/>
      <c r="M324" s="83" t="n"/>
      <c r="N324" s="83" t="n"/>
      <c r="O324" s="66">
        <f>IF(OR($M324="",$N324=""),"",$N324-$M324)</f>
        <v/>
      </c>
      <c r="P324" s="84">
        <f>IF($J324="","",IF($L324&lt;&gt;"",$L324-$J324,TODAY()-$J324))</f>
        <v/>
      </c>
      <c r="Q324" s="85">
        <f>IF(OR($K324="",$H324="Completed",$H324="Cancelled"),"",IF(AND($K324&lt;TODAY(),$H324&lt;&gt;"Completed",$H324&lt;&gt;"Cancelled"),"Overdue","On Track"))</f>
        <v/>
      </c>
      <c r="R324" s="81" t="n"/>
      <c r="S324" s="81">
        <f>IF($B324="","",IFERROR(INDEX(Task_Tracker!$AA$5:$AA$1004,MATCH($B324,Task_Tracker!$A$5:$A$1004,0)),""))</f>
        <v/>
      </c>
      <c r="T324" s="81">
        <f>IF($B324="","",IFERROR(INDEX(Task_Tracker!$AB$5:$AB$1004,MATCH($B324,Task_Tracker!$A$5:$A$1004,0)),""))</f>
        <v/>
      </c>
      <c r="U324" s="78">
        <f>IF($B324="","",IFERROR(INDEX(Task_Tracker!$F$5:$F$1004,MATCH($B324,Task_Tracker!$A$5:$A$1004,0)),""))</f>
        <v/>
      </c>
      <c r="V324" s="78">
        <f>IF($B324="","",IFERROR(INDEX(Task_Tracker!$I$5:$I$1004,MATCH($B324,Task_Tracker!$A$5:$A$1004,0)),""))</f>
        <v/>
      </c>
      <c r="W324" s="81">
        <f>IF(OR($D324="",$B324=""),"",$D324&amp;" | "&amp;$B324)</f>
        <v/>
      </c>
      <c r="X324" s="85">
        <f>IF($K324="","",TEXT($K324,"yyyy-mm"))</f>
        <v/>
      </c>
      <c r="Y324" s="81">
        <f>IF(OR($A324="",$T324=""),"","Included in Manager_Report")</f>
        <v/>
      </c>
    </row>
    <row r="325" ht="15" customHeight="1" s="40">
      <c r="A325" s="65">
        <f>IF(COUNTA(B325:G325)=0,"","STP-"&amp;TEXT(ROW()-4,"0000"))</f>
        <v/>
      </c>
      <c r="B325" s="78" t="n"/>
      <c r="C325" s="67">
        <f>IF($B325="","",IFERROR(INDEX(Task_Tracker!$D$5:$D$1004,MATCH($B325,Task_Tracker!$A$5:$A$1004,0)),""))</f>
        <v/>
      </c>
      <c r="D325" s="67">
        <f>IF($B325="","",IFERROR(INDEX(Task_Tracker!$B$5:$B$1004,MATCH($B325,Task_Tracker!$A$5:$A$1004,0)),""))</f>
        <v/>
      </c>
      <c r="E325" s="81" t="n"/>
      <c r="F325" s="81" t="n"/>
      <c r="G325" s="78" t="n"/>
      <c r="H325" s="78" t="n"/>
      <c r="I325" s="67">
        <f>IF($H325="","",IFERROR(INDEX(Action_Status_Map!$B$5:$B$11,MATCH($H325,Action_Status_Map!$A$5:$A$11,0)),""))</f>
        <v/>
      </c>
      <c r="J325" s="82" t="n"/>
      <c r="K325" s="82" t="n"/>
      <c r="L325" s="82" t="n"/>
      <c r="M325" s="83" t="n"/>
      <c r="N325" s="83" t="n"/>
      <c r="O325" s="66">
        <f>IF(OR($M325="",$N325=""),"",$N325-$M325)</f>
        <v/>
      </c>
      <c r="P325" s="84">
        <f>IF($J325="","",IF($L325&lt;&gt;"",$L325-$J325,TODAY()-$J325))</f>
        <v/>
      </c>
      <c r="Q325" s="85">
        <f>IF(OR($K325="",$H325="Completed",$H325="Cancelled"),"",IF(AND($K325&lt;TODAY(),$H325&lt;&gt;"Completed",$H325&lt;&gt;"Cancelled"),"Overdue","On Track"))</f>
        <v/>
      </c>
      <c r="R325" s="81" t="n"/>
      <c r="S325" s="81">
        <f>IF($B325="","",IFERROR(INDEX(Task_Tracker!$AA$5:$AA$1004,MATCH($B325,Task_Tracker!$A$5:$A$1004,0)),""))</f>
        <v/>
      </c>
      <c r="T325" s="81">
        <f>IF($B325="","",IFERROR(INDEX(Task_Tracker!$AB$5:$AB$1004,MATCH($B325,Task_Tracker!$A$5:$A$1004,0)),""))</f>
        <v/>
      </c>
      <c r="U325" s="78">
        <f>IF($B325="","",IFERROR(INDEX(Task_Tracker!$F$5:$F$1004,MATCH($B325,Task_Tracker!$A$5:$A$1004,0)),""))</f>
        <v/>
      </c>
      <c r="V325" s="78">
        <f>IF($B325="","",IFERROR(INDEX(Task_Tracker!$I$5:$I$1004,MATCH($B325,Task_Tracker!$A$5:$A$1004,0)),""))</f>
        <v/>
      </c>
      <c r="W325" s="81">
        <f>IF(OR($D325="",$B325=""),"",$D325&amp;" | "&amp;$B325)</f>
        <v/>
      </c>
      <c r="X325" s="85">
        <f>IF($K325="","",TEXT($K325,"yyyy-mm"))</f>
        <v/>
      </c>
      <c r="Y325" s="81">
        <f>IF(OR($A325="",$T325=""),"","Included in Manager_Report")</f>
        <v/>
      </c>
    </row>
    <row r="326" ht="15" customHeight="1" s="40">
      <c r="A326" s="65">
        <f>IF(COUNTA(B326:G326)=0,"","STP-"&amp;TEXT(ROW()-4,"0000"))</f>
        <v/>
      </c>
      <c r="B326" s="78" t="n"/>
      <c r="C326" s="67">
        <f>IF($B326="","",IFERROR(INDEX(Task_Tracker!$D$5:$D$1004,MATCH($B326,Task_Tracker!$A$5:$A$1004,0)),""))</f>
        <v/>
      </c>
      <c r="D326" s="67">
        <f>IF($B326="","",IFERROR(INDEX(Task_Tracker!$B$5:$B$1004,MATCH($B326,Task_Tracker!$A$5:$A$1004,0)),""))</f>
        <v/>
      </c>
      <c r="E326" s="81" t="n"/>
      <c r="F326" s="81" t="n"/>
      <c r="G326" s="78" t="n"/>
      <c r="H326" s="78" t="n"/>
      <c r="I326" s="67">
        <f>IF($H326="","",IFERROR(INDEX(Action_Status_Map!$B$5:$B$11,MATCH($H326,Action_Status_Map!$A$5:$A$11,0)),""))</f>
        <v/>
      </c>
      <c r="J326" s="82" t="n"/>
      <c r="K326" s="82" t="n"/>
      <c r="L326" s="82" t="n"/>
      <c r="M326" s="83" t="n"/>
      <c r="N326" s="83" t="n"/>
      <c r="O326" s="66">
        <f>IF(OR($M326="",$N326=""),"",$N326-$M326)</f>
        <v/>
      </c>
      <c r="P326" s="84">
        <f>IF($J326="","",IF($L326&lt;&gt;"",$L326-$J326,TODAY()-$J326))</f>
        <v/>
      </c>
      <c r="Q326" s="85">
        <f>IF(OR($K326="",$H326="Completed",$H326="Cancelled"),"",IF(AND($K326&lt;TODAY(),$H326&lt;&gt;"Completed",$H326&lt;&gt;"Cancelled"),"Overdue","On Track"))</f>
        <v/>
      </c>
      <c r="R326" s="81" t="n"/>
      <c r="S326" s="81">
        <f>IF($B326="","",IFERROR(INDEX(Task_Tracker!$AA$5:$AA$1004,MATCH($B326,Task_Tracker!$A$5:$A$1004,0)),""))</f>
        <v/>
      </c>
      <c r="T326" s="81">
        <f>IF($B326="","",IFERROR(INDEX(Task_Tracker!$AB$5:$AB$1004,MATCH($B326,Task_Tracker!$A$5:$A$1004,0)),""))</f>
        <v/>
      </c>
      <c r="U326" s="78">
        <f>IF($B326="","",IFERROR(INDEX(Task_Tracker!$F$5:$F$1004,MATCH($B326,Task_Tracker!$A$5:$A$1004,0)),""))</f>
        <v/>
      </c>
      <c r="V326" s="78">
        <f>IF($B326="","",IFERROR(INDEX(Task_Tracker!$I$5:$I$1004,MATCH($B326,Task_Tracker!$A$5:$A$1004,0)),""))</f>
        <v/>
      </c>
      <c r="W326" s="81">
        <f>IF(OR($D326="",$B326=""),"",$D326&amp;" | "&amp;$B326)</f>
        <v/>
      </c>
      <c r="X326" s="85">
        <f>IF($K326="","",TEXT($K326,"yyyy-mm"))</f>
        <v/>
      </c>
      <c r="Y326" s="81">
        <f>IF(OR($A326="",$T326=""),"","Included in Manager_Report")</f>
        <v/>
      </c>
    </row>
    <row r="327" ht="15" customHeight="1" s="40">
      <c r="A327" s="65">
        <f>IF(COUNTA(B327:G327)=0,"","STP-"&amp;TEXT(ROW()-4,"0000"))</f>
        <v/>
      </c>
      <c r="B327" s="78" t="n"/>
      <c r="C327" s="67">
        <f>IF($B327="","",IFERROR(INDEX(Task_Tracker!$D$5:$D$1004,MATCH($B327,Task_Tracker!$A$5:$A$1004,0)),""))</f>
        <v/>
      </c>
      <c r="D327" s="67">
        <f>IF($B327="","",IFERROR(INDEX(Task_Tracker!$B$5:$B$1004,MATCH($B327,Task_Tracker!$A$5:$A$1004,0)),""))</f>
        <v/>
      </c>
      <c r="E327" s="81" t="n"/>
      <c r="F327" s="81" t="n"/>
      <c r="G327" s="78" t="n"/>
      <c r="H327" s="78" t="n"/>
      <c r="I327" s="67">
        <f>IF($H327="","",IFERROR(INDEX(Action_Status_Map!$B$5:$B$11,MATCH($H327,Action_Status_Map!$A$5:$A$11,0)),""))</f>
        <v/>
      </c>
      <c r="J327" s="82" t="n"/>
      <c r="K327" s="82" t="n"/>
      <c r="L327" s="82" t="n"/>
      <c r="M327" s="83" t="n"/>
      <c r="N327" s="83" t="n"/>
      <c r="O327" s="66">
        <f>IF(OR($M327="",$N327=""),"",$N327-$M327)</f>
        <v/>
      </c>
      <c r="P327" s="84">
        <f>IF($J327="","",IF($L327&lt;&gt;"",$L327-$J327,TODAY()-$J327))</f>
        <v/>
      </c>
      <c r="Q327" s="85">
        <f>IF(OR($K327="",$H327="Completed",$H327="Cancelled"),"",IF(AND($K327&lt;TODAY(),$H327&lt;&gt;"Completed",$H327&lt;&gt;"Cancelled"),"Overdue","On Track"))</f>
        <v/>
      </c>
      <c r="R327" s="81" t="n"/>
      <c r="S327" s="81">
        <f>IF($B327="","",IFERROR(INDEX(Task_Tracker!$AA$5:$AA$1004,MATCH($B327,Task_Tracker!$A$5:$A$1004,0)),""))</f>
        <v/>
      </c>
      <c r="T327" s="81">
        <f>IF($B327="","",IFERROR(INDEX(Task_Tracker!$AB$5:$AB$1004,MATCH($B327,Task_Tracker!$A$5:$A$1004,0)),""))</f>
        <v/>
      </c>
      <c r="U327" s="78">
        <f>IF($B327="","",IFERROR(INDEX(Task_Tracker!$F$5:$F$1004,MATCH($B327,Task_Tracker!$A$5:$A$1004,0)),""))</f>
        <v/>
      </c>
      <c r="V327" s="78">
        <f>IF($B327="","",IFERROR(INDEX(Task_Tracker!$I$5:$I$1004,MATCH($B327,Task_Tracker!$A$5:$A$1004,0)),""))</f>
        <v/>
      </c>
      <c r="W327" s="81">
        <f>IF(OR($D327="",$B327=""),"",$D327&amp;" | "&amp;$B327)</f>
        <v/>
      </c>
      <c r="X327" s="85">
        <f>IF($K327="","",TEXT($K327,"yyyy-mm"))</f>
        <v/>
      </c>
      <c r="Y327" s="81">
        <f>IF(OR($A327="",$T327=""),"","Included in Manager_Report")</f>
        <v/>
      </c>
    </row>
    <row r="328" ht="15" customHeight="1" s="40">
      <c r="A328" s="65">
        <f>IF(COUNTA(B328:G328)=0,"","STP-"&amp;TEXT(ROW()-4,"0000"))</f>
        <v/>
      </c>
      <c r="B328" s="78" t="n"/>
      <c r="C328" s="67">
        <f>IF($B328="","",IFERROR(INDEX(Task_Tracker!$D$5:$D$1004,MATCH($B328,Task_Tracker!$A$5:$A$1004,0)),""))</f>
        <v/>
      </c>
      <c r="D328" s="67">
        <f>IF($B328="","",IFERROR(INDEX(Task_Tracker!$B$5:$B$1004,MATCH($B328,Task_Tracker!$A$5:$A$1004,0)),""))</f>
        <v/>
      </c>
      <c r="E328" s="81" t="n"/>
      <c r="F328" s="81" t="n"/>
      <c r="G328" s="78" t="n"/>
      <c r="H328" s="78" t="n"/>
      <c r="I328" s="67">
        <f>IF($H328="","",IFERROR(INDEX(Action_Status_Map!$B$5:$B$11,MATCH($H328,Action_Status_Map!$A$5:$A$11,0)),""))</f>
        <v/>
      </c>
      <c r="J328" s="82" t="n"/>
      <c r="K328" s="82" t="n"/>
      <c r="L328" s="82" t="n"/>
      <c r="M328" s="83" t="n"/>
      <c r="N328" s="83" t="n"/>
      <c r="O328" s="66">
        <f>IF(OR($M328="",$N328=""),"",$N328-$M328)</f>
        <v/>
      </c>
      <c r="P328" s="84">
        <f>IF($J328="","",IF($L328&lt;&gt;"",$L328-$J328,TODAY()-$J328))</f>
        <v/>
      </c>
      <c r="Q328" s="85">
        <f>IF(OR($K328="",$H328="Completed",$H328="Cancelled"),"",IF(AND($K328&lt;TODAY(),$H328&lt;&gt;"Completed",$H328&lt;&gt;"Cancelled"),"Overdue","On Track"))</f>
        <v/>
      </c>
      <c r="R328" s="81" t="n"/>
      <c r="S328" s="81">
        <f>IF($B328="","",IFERROR(INDEX(Task_Tracker!$AA$5:$AA$1004,MATCH($B328,Task_Tracker!$A$5:$A$1004,0)),""))</f>
        <v/>
      </c>
      <c r="T328" s="81">
        <f>IF($B328="","",IFERROR(INDEX(Task_Tracker!$AB$5:$AB$1004,MATCH($B328,Task_Tracker!$A$5:$A$1004,0)),""))</f>
        <v/>
      </c>
      <c r="U328" s="78">
        <f>IF($B328="","",IFERROR(INDEX(Task_Tracker!$F$5:$F$1004,MATCH($B328,Task_Tracker!$A$5:$A$1004,0)),""))</f>
        <v/>
      </c>
      <c r="V328" s="78">
        <f>IF($B328="","",IFERROR(INDEX(Task_Tracker!$I$5:$I$1004,MATCH($B328,Task_Tracker!$A$5:$A$1004,0)),""))</f>
        <v/>
      </c>
      <c r="W328" s="81">
        <f>IF(OR($D328="",$B328=""),"",$D328&amp;" | "&amp;$B328)</f>
        <v/>
      </c>
      <c r="X328" s="85">
        <f>IF($K328="","",TEXT($K328,"yyyy-mm"))</f>
        <v/>
      </c>
      <c r="Y328" s="81">
        <f>IF(OR($A328="",$T328=""),"","Included in Manager_Report")</f>
        <v/>
      </c>
    </row>
    <row r="329" ht="15" customHeight="1" s="40">
      <c r="A329" s="65">
        <f>IF(COUNTA(B329:G329)=0,"","STP-"&amp;TEXT(ROW()-4,"0000"))</f>
        <v/>
      </c>
      <c r="B329" s="78" t="n"/>
      <c r="C329" s="67">
        <f>IF($B329="","",IFERROR(INDEX(Task_Tracker!$D$5:$D$1004,MATCH($B329,Task_Tracker!$A$5:$A$1004,0)),""))</f>
        <v/>
      </c>
      <c r="D329" s="67">
        <f>IF($B329="","",IFERROR(INDEX(Task_Tracker!$B$5:$B$1004,MATCH($B329,Task_Tracker!$A$5:$A$1004,0)),""))</f>
        <v/>
      </c>
      <c r="E329" s="81" t="n"/>
      <c r="F329" s="81" t="n"/>
      <c r="G329" s="78" t="n"/>
      <c r="H329" s="78" t="n"/>
      <c r="I329" s="67">
        <f>IF($H329="","",IFERROR(INDEX(Action_Status_Map!$B$5:$B$11,MATCH($H329,Action_Status_Map!$A$5:$A$11,0)),""))</f>
        <v/>
      </c>
      <c r="J329" s="82" t="n"/>
      <c r="K329" s="82" t="n"/>
      <c r="L329" s="82" t="n"/>
      <c r="M329" s="83" t="n"/>
      <c r="N329" s="83" t="n"/>
      <c r="O329" s="66">
        <f>IF(OR($M329="",$N329=""),"",$N329-$M329)</f>
        <v/>
      </c>
      <c r="P329" s="84">
        <f>IF($J329="","",IF($L329&lt;&gt;"",$L329-$J329,TODAY()-$J329))</f>
        <v/>
      </c>
      <c r="Q329" s="85">
        <f>IF(OR($K329="",$H329="Completed",$H329="Cancelled"),"",IF(AND($K329&lt;TODAY(),$H329&lt;&gt;"Completed",$H329&lt;&gt;"Cancelled"),"Overdue","On Track"))</f>
        <v/>
      </c>
      <c r="R329" s="81" t="n"/>
      <c r="S329" s="81">
        <f>IF($B329="","",IFERROR(INDEX(Task_Tracker!$AA$5:$AA$1004,MATCH($B329,Task_Tracker!$A$5:$A$1004,0)),""))</f>
        <v/>
      </c>
      <c r="T329" s="81">
        <f>IF($B329="","",IFERROR(INDEX(Task_Tracker!$AB$5:$AB$1004,MATCH($B329,Task_Tracker!$A$5:$A$1004,0)),""))</f>
        <v/>
      </c>
      <c r="U329" s="78">
        <f>IF($B329="","",IFERROR(INDEX(Task_Tracker!$F$5:$F$1004,MATCH($B329,Task_Tracker!$A$5:$A$1004,0)),""))</f>
        <v/>
      </c>
      <c r="V329" s="78">
        <f>IF($B329="","",IFERROR(INDEX(Task_Tracker!$I$5:$I$1004,MATCH($B329,Task_Tracker!$A$5:$A$1004,0)),""))</f>
        <v/>
      </c>
      <c r="W329" s="81">
        <f>IF(OR($D329="",$B329=""),"",$D329&amp;" | "&amp;$B329)</f>
        <v/>
      </c>
      <c r="X329" s="85">
        <f>IF($K329="","",TEXT($K329,"yyyy-mm"))</f>
        <v/>
      </c>
      <c r="Y329" s="81">
        <f>IF(OR($A329="",$T329=""),"","Included in Manager_Report")</f>
        <v/>
      </c>
    </row>
    <row r="330" ht="15" customHeight="1" s="40">
      <c r="A330" s="65">
        <f>IF(COUNTA(B330:G330)=0,"","STP-"&amp;TEXT(ROW()-4,"0000"))</f>
        <v/>
      </c>
      <c r="B330" s="78" t="n"/>
      <c r="C330" s="67">
        <f>IF($B330="","",IFERROR(INDEX(Task_Tracker!$D$5:$D$1004,MATCH($B330,Task_Tracker!$A$5:$A$1004,0)),""))</f>
        <v/>
      </c>
      <c r="D330" s="67">
        <f>IF($B330="","",IFERROR(INDEX(Task_Tracker!$B$5:$B$1004,MATCH($B330,Task_Tracker!$A$5:$A$1004,0)),""))</f>
        <v/>
      </c>
      <c r="E330" s="81" t="n"/>
      <c r="F330" s="81" t="n"/>
      <c r="G330" s="78" t="n"/>
      <c r="H330" s="78" t="n"/>
      <c r="I330" s="67">
        <f>IF($H330="","",IFERROR(INDEX(Action_Status_Map!$B$5:$B$11,MATCH($H330,Action_Status_Map!$A$5:$A$11,0)),""))</f>
        <v/>
      </c>
      <c r="J330" s="82" t="n"/>
      <c r="K330" s="82" t="n"/>
      <c r="L330" s="82" t="n"/>
      <c r="M330" s="83" t="n"/>
      <c r="N330" s="83" t="n"/>
      <c r="O330" s="66">
        <f>IF(OR($M330="",$N330=""),"",$N330-$M330)</f>
        <v/>
      </c>
      <c r="P330" s="84">
        <f>IF($J330="","",IF($L330&lt;&gt;"",$L330-$J330,TODAY()-$J330))</f>
        <v/>
      </c>
      <c r="Q330" s="85">
        <f>IF(OR($K330="",$H330="Completed",$H330="Cancelled"),"",IF(AND($K330&lt;TODAY(),$H330&lt;&gt;"Completed",$H330&lt;&gt;"Cancelled"),"Overdue","On Track"))</f>
        <v/>
      </c>
      <c r="R330" s="81" t="n"/>
      <c r="S330" s="81">
        <f>IF($B330="","",IFERROR(INDEX(Task_Tracker!$AA$5:$AA$1004,MATCH($B330,Task_Tracker!$A$5:$A$1004,0)),""))</f>
        <v/>
      </c>
      <c r="T330" s="81">
        <f>IF($B330="","",IFERROR(INDEX(Task_Tracker!$AB$5:$AB$1004,MATCH($B330,Task_Tracker!$A$5:$A$1004,0)),""))</f>
        <v/>
      </c>
      <c r="U330" s="78">
        <f>IF($B330="","",IFERROR(INDEX(Task_Tracker!$F$5:$F$1004,MATCH($B330,Task_Tracker!$A$5:$A$1004,0)),""))</f>
        <v/>
      </c>
      <c r="V330" s="78">
        <f>IF($B330="","",IFERROR(INDEX(Task_Tracker!$I$5:$I$1004,MATCH($B330,Task_Tracker!$A$5:$A$1004,0)),""))</f>
        <v/>
      </c>
      <c r="W330" s="81">
        <f>IF(OR($D330="",$B330=""),"",$D330&amp;" | "&amp;$B330)</f>
        <v/>
      </c>
      <c r="X330" s="85">
        <f>IF($K330="","",TEXT($K330,"yyyy-mm"))</f>
        <v/>
      </c>
      <c r="Y330" s="81">
        <f>IF(OR($A330="",$T330=""),"","Included in Manager_Report")</f>
        <v/>
      </c>
    </row>
    <row r="331" ht="15" customHeight="1" s="40">
      <c r="A331" s="65">
        <f>IF(COUNTA(B331:G331)=0,"","STP-"&amp;TEXT(ROW()-4,"0000"))</f>
        <v/>
      </c>
      <c r="B331" s="78" t="n"/>
      <c r="C331" s="67">
        <f>IF($B331="","",IFERROR(INDEX(Task_Tracker!$D$5:$D$1004,MATCH($B331,Task_Tracker!$A$5:$A$1004,0)),""))</f>
        <v/>
      </c>
      <c r="D331" s="67">
        <f>IF($B331="","",IFERROR(INDEX(Task_Tracker!$B$5:$B$1004,MATCH($B331,Task_Tracker!$A$5:$A$1004,0)),""))</f>
        <v/>
      </c>
      <c r="E331" s="81" t="n"/>
      <c r="F331" s="81" t="n"/>
      <c r="G331" s="78" t="n"/>
      <c r="H331" s="78" t="n"/>
      <c r="I331" s="67">
        <f>IF($H331="","",IFERROR(INDEX(Action_Status_Map!$B$5:$B$11,MATCH($H331,Action_Status_Map!$A$5:$A$11,0)),""))</f>
        <v/>
      </c>
      <c r="J331" s="82" t="n"/>
      <c r="K331" s="82" t="n"/>
      <c r="L331" s="82" t="n"/>
      <c r="M331" s="83" t="n"/>
      <c r="N331" s="83" t="n"/>
      <c r="O331" s="66">
        <f>IF(OR($M331="",$N331=""),"",$N331-$M331)</f>
        <v/>
      </c>
      <c r="P331" s="84">
        <f>IF($J331="","",IF($L331&lt;&gt;"",$L331-$J331,TODAY()-$J331))</f>
        <v/>
      </c>
      <c r="Q331" s="85">
        <f>IF(OR($K331="",$H331="Completed",$H331="Cancelled"),"",IF(AND($K331&lt;TODAY(),$H331&lt;&gt;"Completed",$H331&lt;&gt;"Cancelled"),"Overdue","On Track"))</f>
        <v/>
      </c>
      <c r="R331" s="81" t="n"/>
      <c r="S331" s="81">
        <f>IF($B331="","",IFERROR(INDEX(Task_Tracker!$AA$5:$AA$1004,MATCH($B331,Task_Tracker!$A$5:$A$1004,0)),""))</f>
        <v/>
      </c>
      <c r="T331" s="81">
        <f>IF($B331="","",IFERROR(INDEX(Task_Tracker!$AB$5:$AB$1004,MATCH($B331,Task_Tracker!$A$5:$A$1004,0)),""))</f>
        <v/>
      </c>
      <c r="U331" s="78">
        <f>IF($B331="","",IFERROR(INDEX(Task_Tracker!$F$5:$F$1004,MATCH($B331,Task_Tracker!$A$5:$A$1004,0)),""))</f>
        <v/>
      </c>
      <c r="V331" s="78">
        <f>IF($B331="","",IFERROR(INDEX(Task_Tracker!$I$5:$I$1004,MATCH($B331,Task_Tracker!$A$5:$A$1004,0)),""))</f>
        <v/>
      </c>
      <c r="W331" s="81">
        <f>IF(OR($D331="",$B331=""),"",$D331&amp;" | "&amp;$B331)</f>
        <v/>
      </c>
      <c r="X331" s="85">
        <f>IF($K331="","",TEXT($K331,"yyyy-mm"))</f>
        <v/>
      </c>
      <c r="Y331" s="81">
        <f>IF(OR($A331="",$T331=""),"","Included in Manager_Report")</f>
        <v/>
      </c>
    </row>
    <row r="332" ht="15" customHeight="1" s="40">
      <c r="A332" s="65">
        <f>IF(COUNTA(B332:G332)=0,"","STP-"&amp;TEXT(ROW()-4,"0000"))</f>
        <v/>
      </c>
      <c r="B332" s="78" t="n"/>
      <c r="C332" s="67">
        <f>IF($B332="","",IFERROR(INDEX(Task_Tracker!$D$5:$D$1004,MATCH($B332,Task_Tracker!$A$5:$A$1004,0)),""))</f>
        <v/>
      </c>
      <c r="D332" s="67">
        <f>IF($B332="","",IFERROR(INDEX(Task_Tracker!$B$5:$B$1004,MATCH($B332,Task_Tracker!$A$5:$A$1004,0)),""))</f>
        <v/>
      </c>
      <c r="E332" s="81" t="n"/>
      <c r="F332" s="81" t="n"/>
      <c r="G332" s="78" t="n"/>
      <c r="H332" s="78" t="n"/>
      <c r="I332" s="67">
        <f>IF($H332="","",IFERROR(INDEX(Action_Status_Map!$B$5:$B$11,MATCH($H332,Action_Status_Map!$A$5:$A$11,0)),""))</f>
        <v/>
      </c>
      <c r="J332" s="82" t="n"/>
      <c r="K332" s="82" t="n"/>
      <c r="L332" s="82" t="n"/>
      <c r="M332" s="83" t="n"/>
      <c r="N332" s="83" t="n"/>
      <c r="O332" s="66">
        <f>IF(OR($M332="",$N332=""),"",$N332-$M332)</f>
        <v/>
      </c>
      <c r="P332" s="84">
        <f>IF($J332="","",IF($L332&lt;&gt;"",$L332-$J332,TODAY()-$J332))</f>
        <v/>
      </c>
      <c r="Q332" s="85">
        <f>IF(OR($K332="",$H332="Completed",$H332="Cancelled"),"",IF(AND($K332&lt;TODAY(),$H332&lt;&gt;"Completed",$H332&lt;&gt;"Cancelled"),"Overdue","On Track"))</f>
        <v/>
      </c>
      <c r="R332" s="81" t="n"/>
      <c r="S332" s="81">
        <f>IF($B332="","",IFERROR(INDEX(Task_Tracker!$AA$5:$AA$1004,MATCH($B332,Task_Tracker!$A$5:$A$1004,0)),""))</f>
        <v/>
      </c>
      <c r="T332" s="81">
        <f>IF($B332="","",IFERROR(INDEX(Task_Tracker!$AB$5:$AB$1004,MATCH($B332,Task_Tracker!$A$5:$A$1004,0)),""))</f>
        <v/>
      </c>
      <c r="U332" s="78">
        <f>IF($B332="","",IFERROR(INDEX(Task_Tracker!$F$5:$F$1004,MATCH($B332,Task_Tracker!$A$5:$A$1004,0)),""))</f>
        <v/>
      </c>
      <c r="V332" s="78">
        <f>IF($B332="","",IFERROR(INDEX(Task_Tracker!$I$5:$I$1004,MATCH($B332,Task_Tracker!$A$5:$A$1004,0)),""))</f>
        <v/>
      </c>
      <c r="W332" s="81">
        <f>IF(OR($D332="",$B332=""),"",$D332&amp;" | "&amp;$B332)</f>
        <v/>
      </c>
      <c r="X332" s="85">
        <f>IF($K332="","",TEXT($K332,"yyyy-mm"))</f>
        <v/>
      </c>
      <c r="Y332" s="81">
        <f>IF(OR($A332="",$T332=""),"","Included in Manager_Report")</f>
        <v/>
      </c>
    </row>
    <row r="333" ht="15" customHeight="1" s="40">
      <c r="A333" s="65">
        <f>IF(COUNTA(B333:G333)=0,"","STP-"&amp;TEXT(ROW()-4,"0000"))</f>
        <v/>
      </c>
      <c r="B333" s="78" t="n"/>
      <c r="C333" s="67">
        <f>IF($B333="","",IFERROR(INDEX(Task_Tracker!$D$5:$D$1004,MATCH($B333,Task_Tracker!$A$5:$A$1004,0)),""))</f>
        <v/>
      </c>
      <c r="D333" s="67">
        <f>IF($B333="","",IFERROR(INDEX(Task_Tracker!$B$5:$B$1004,MATCH($B333,Task_Tracker!$A$5:$A$1004,0)),""))</f>
        <v/>
      </c>
      <c r="E333" s="81" t="n"/>
      <c r="F333" s="81" t="n"/>
      <c r="G333" s="78" t="n"/>
      <c r="H333" s="78" t="n"/>
      <c r="I333" s="67">
        <f>IF($H333="","",IFERROR(INDEX(Action_Status_Map!$B$5:$B$11,MATCH($H333,Action_Status_Map!$A$5:$A$11,0)),""))</f>
        <v/>
      </c>
      <c r="J333" s="82" t="n"/>
      <c r="K333" s="82" t="n"/>
      <c r="L333" s="82" t="n"/>
      <c r="M333" s="83" t="n"/>
      <c r="N333" s="83" t="n"/>
      <c r="O333" s="66">
        <f>IF(OR($M333="",$N333=""),"",$N333-$M333)</f>
        <v/>
      </c>
      <c r="P333" s="84">
        <f>IF($J333="","",IF($L333&lt;&gt;"",$L333-$J333,TODAY()-$J333))</f>
        <v/>
      </c>
      <c r="Q333" s="85">
        <f>IF(OR($K333="",$H333="Completed",$H333="Cancelled"),"",IF(AND($K333&lt;TODAY(),$H333&lt;&gt;"Completed",$H333&lt;&gt;"Cancelled"),"Overdue","On Track"))</f>
        <v/>
      </c>
      <c r="R333" s="81" t="n"/>
      <c r="S333" s="81">
        <f>IF($B333="","",IFERROR(INDEX(Task_Tracker!$AA$5:$AA$1004,MATCH($B333,Task_Tracker!$A$5:$A$1004,0)),""))</f>
        <v/>
      </c>
      <c r="T333" s="81">
        <f>IF($B333="","",IFERROR(INDEX(Task_Tracker!$AB$5:$AB$1004,MATCH($B333,Task_Tracker!$A$5:$A$1004,0)),""))</f>
        <v/>
      </c>
      <c r="U333" s="78">
        <f>IF($B333="","",IFERROR(INDEX(Task_Tracker!$F$5:$F$1004,MATCH($B333,Task_Tracker!$A$5:$A$1004,0)),""))</f>
        <v/>
      </c>
      <c r="V333" s="78">
        <f>IF($B333="","",IFERROR(INDEX(Task_Tracker!$I$5:$I$1004,MATCH($B333,Task_Tracker!$A$5:$A$1004,0)),""))</f>
        <v/>
      </c>
      <c r="W333" s="81">
        <f>IF(OR($D333="",$B333=""),"",$D333&amp;" | "&amp;$B333)</f>
        <v/>
      </c>
      <c r="X333" s="85">
        <f>IF($K333="","",TEXT($K333,"yyyy-mm"))</f>
        <v/>
      </c>
      <c r="Y333" s="81">
        <f>IF(OR($A333="",$T333=""),"","Included in Manager_Report")</f>
        <v/>
      </c>
    </row>
    <row r="334" ht="15" customHeight="1" s="40">
      <c r="A334" s="65">
        <f>IF(COUNTA(B334:G334)=0,"","STP-"&amp;TEXT(ROW()-4,"0000"))</f>
        <v/>
      </c>
      <c r="B334" s="78" t="n"/>
      <c r="C334" s="67">
        <f>IF($B334="","",IFERROR(INDEX(Task_Tracker!$D$5:$D$1004,MATCH($B334,Task_Tracker!$A$5:$A$1004,0)),""))</f>
        <v/>
      </c>
      <c r="D334" s="67">
        <f>IF($B334="","",IFERROR(INDEX(Task_Tracker!$B$5:$B$1004,MATCH($B334,Task_Tracker!$A$5:$A$1004,0)),""))</f>
        <v/>
      </c>
      <c r="E334" s="81" t="n"/>
      <c r="F334" s="81" t="n"/>
      <c r="G334" s="78" t="n"/>
      <c r="H334" s="78" t="n"/>
      <c r="I334" s="67">
        <f>IF($H334="","",IFERROR(INDEX(Action_Status_Map!$B$5:$B$11,MATCH($H334,Action_Status_Map!$A$5:$A$11,0)),""))</f>
        <v/>
      </c>
      <c r="J334" s="82" t="n"/>
      <c r="K334" s="82" t="n"/>
      <c r="L334" s="82" t="n"/>
      <c r="M334" s="83" t="n"/>
      <c r="N334" s="83" t="n"/>
      <c r="O334" s="66">
        <f>IF(OR($M334="",$N334=""),"",$N334-$M334)</f>
        <v/>
      </c>
      <c r="P334" s="84">
        <f>IF($J334="","",IF($L334&lt;&gt;"",$L334-$J334,TODAY()-$J334))</f>
        <v/>
      </c>
      <c r="Q334" s="85">
        <f>IF(OR($K334="",$H334="Completed",$H334="Cancelled"),"",IF(AND($K334&lt;TODAY(),$H334&lt;&gt;"Completed",$H334&lt;&gt;"Cancelled"),"Overdue","On Track"))</f>
        <v/>
      </c>
      <c r="R334" s="81" t="n"/>
      <c r="S334" s="81">
        <f>IF($B334="","",IFERROR(INDEX(Task_Tracker!$AA$5:$AA$1004,MATCH($B334,Task_Tracker!$A$5:$A$1004,0)),""))</f>
        <v/>
      </c>
      <c r="T334" s="81">
        <f>IF($B334="","",IFERROR(INDEX(Task_Tracker!$AB$5:$AB$1004,MATCH($B334,Task_Tracker!$A$5:$A$1004,0)),""))</f>
        <v/>
      </c>
      <c r="U334" s="78">
        <f>IF($B334="","",IFERROR(INDEX(Task_Tracker!$F$5:$F$1004,MATCH($B334,Task_Tracker!$A$5:$A$1004,0)),""))</f>
        <v/>
      </c>
      <c r="V334" s="78">
        <f>IF($B334="","",IFERROR(INDEX(Task_Tracker!$I$5:$I$1004,MATCH($B334,Task_Tracker!$A$5:$A$1004,0)),""))</f>
        <v/>
      </c>
      <c r="W334" s="81">
        <f>IF(OR($D334="",$B334=""),"",$D334&amp;" | "&amp;$B334)</f>
        <v/>
      </c>
      <c r="X334" s="85">
        <f>IF($K334="","",TEXT($K334,"yyyy-mm"))</f>
        <v/>
      </c>
      <c r="Y334" s="81">
        <f>IF(OR($A334="",$T334=""),"","Included in Manager_Report")</f>
        <v/>
      </c>
    </row>
    <row r="335" ht="15" customHeight="1" s="40">
      <c r="A335" s="65">
        <f>IF(COUNTA(B335:G335)=0,"","STP-"&amp;TEXT(ROW()-4,"0000"))</f>
        <v/>
      </c>
      <c r="B335" s="78" t="n"/>
      <c r="C335" s="67">
        <f>IF($B335="","",IFERROR(INDEX(Task_Tracker!$D$5:$D$1004,MATCH($B335,Task_Tracker!$A$5:$A$1004,0)),""))</f>
        <v/>
      </c>
      <c r="D335" s="67">
        <f>IF($B335="","",IFERROR(INDEX(Task_Tracker!$B$5:$B$1004,MATCH($B335,Task_Tracker!$A$5:$A$1004,0)),""))</f>
        <v/>
      </c>
      <c r="E335" s="81" t="n"/>
      <c r="F335" s="81" t="n"/>
      <c r="G335" s="78" t="n"/>
      <c r="H335" s="78" t="n"/>
      <c r="I335" s="67">
        <f>IF($H335="","",IFERROR(INDEX(Action_Status_Map!$B$5:$B$11,MATCH($H335,Action_Status_Map!$A$5:$A$11,0)),""))</f>
        <v/>
      </c>
      <c r="J335" s="82" t="n"/>
      <c r="K335" s="82" t="n"/>
      <c r="L335" s="82" t="n"/>
      <c r="M335" s="83" t="n"/>
      <c r="N335" s="83" t="n"/>
      <c r="O335" s="66">
        <f>IF(OR($M335="",$N335=""),"",$N335-$M335)</f>
        <v/>
      </c>
      <c r="P335" s="84">
        <f>IF($J335="","",IF($L335&lt;&gt;"",$L335-$J335,TODAY()-$J335))</f>
        <v/>
      </c>
      <c r="Q335" s="85">
        <f>IF(OR($K335="",$H335="Completed",$H335="Cancelled"),"",IF(AND($K335&lt;TODAY(),$H335&lt;&gt;"Completed",$H335&lt;&gt;"Cancelled"),"Overdue","On Track"))</f>
        <v/>
      </c>
      <c r="R335" s="81" t="n"/>
      <c r="S335" s="81">
        <f>IF($B335="","",IFERROR(INDEX(Task_Tracker!$AA$5:$AA$1004,MATCH($B335,Task_Tracker!$A$5:$A$1004,0)),""))</f>
        <v/>
      </c>
      <c r="T335" s="81">
        <f>IF($B335="","",IFERROR(INDEX(Task_Tracker!$AB$5:$AB$1004,MATCH($B335,Task_Tracker!$A$5:$A$1004,0)),""))</f>
        <v/>
      </c>
      <c r="U335" s="78">
        <f>IF($B335="","",IFERROR(INDEX(Task_Tracker!$F$5:$F$1004,MATCH($B335,Task_Tracker!$A$5:$A$1004,0)),""))</f>
        <v/>
      </c>
      <c r="V335" s="78">
        <f>IF($B335="","",IFERROR(INDEX(Task_Tracker!$I$5:$I$1004,MATCH($B335,Task_Tracker!$A$5:$A$1004,0)),""))</f>
        <v/>
      </c>
      <c r="W335" s="81">
        <f>IF(OR($D335="",$B335=""),"",$D335&amp;" | "&amp;$B335)</f>
        <v/>
      </c>
      <c r="X335" s="85">
        <f>IF($K335="","",TEXT($K335,"yyyy-mm"))</f>
        <v/>
      </c>
      <c r="Y335" s="81">
        <f>IF(OR($A335="",$T335=""),"","Included in Manager_Report")</f>
        <v/>
      </c>
    </row>
    <row r="336" ht="15" customHeight="1" s="40">
      <c r="A336" s="65">
        <f>IF(COUNTA(B336:G336)=0,"","STP-"&amp;TEXT(ROW()-4,"0000"))</f>
        <v/>
      </c>
      <c r="B336" s="78" t="n"/>
      <c r="C336" s="67">
        <f>IF($B336="","",IFERROR(INDEX(Task_Tracker!$D$5:$D$1004,MATCH($B336,Task_Tracker!$A$5:$A$1004,0)),""))</f>
        <v/>
      </c>
      <c r="D336" s="67">
        <f>IF($B336="","",IFERROR(INDEX(Task_Tracker!$B$5:$B$1004,MATCH($B336,Task_Tracker!$A$5:$A$1004,0)),""))</f>
        <v/>
      </c>
      <c r="E336" s="81" t="n"/>
      <c r="F336" s="81" t="n"/>
      <c r="G336" s="78" t="n"/>
      <c r="H336" s="78" t="n"/>
      <c r="I336" s="67">
        <f>IF($H336="","",IFERROR(INDEX(Action_Status_Map!$B$5:$B$11,MATCH($H336,Action_Status_Map!$A$5:$A$11,0)),""))</f>
        <v/>
      </c>
      <c r="J336" s="82" t="n"/>
      <c r="K336" s="82" t="n"/>
      <c r="L336" s="82" t="n"/>
      <c r="M336" s="83" t="n"/>
      <c r="N336" s="83" t="n"/>
      <c r="O336" s="66">
        <f>IF(OR($M336="",$N336=""),"",$N336-$M336)</f>
        <v/>
      </c>
      <c r="P336" s="84">
        <f>IF($J336="","",IF($L336&lt;&gt;"",$L336-$J336,TODAY()-$J336))</f>
        <v/>
      </c>
      <c r="Q336" s="85">
        <f>IF(OR($K336="",$H336="Completed",$H336="Cancelled"),"",IF(AND($K336&lt;TODAY(),$H336&lt;&gt;"Completed",$H336&lt;&gt;"Cancelled"),"Overdue","On Track"))</f>
        <v/>
      </c>
      <c r="R336" s="81" t="n"/>
      <c r="S336" s="81">
        <f>IF($B336="","",IFERROR(INDEX(Task_Tracker!$AA$5:$AA$1004,MATCH($B336,Task_Tracker!$A$5:$A$1004,0)),""))</f>
        <v/>
      </c>
      <c r="T336" s="81">
        <f>IF($B336="","",IFERROR(INDEX(Task_Tracker!$AB$5:$AB$1004,MATCH($B336,Task_Tracker!$A$5:$A$1004,0)),""))</f>
        <v/>
      </c>
      <c r="U336" s="78">
        <f>IF($B336="","",IFERROR(INDEX(Task_Tracker!$F$5:$F$1004,MATCH($B336,Task_Tracker!$A$5:$A$1004,0)),""))</f>
        <v/>
      </c>
      <c r="V336" s="78">
        <f>IF($B336="","",IFERROR(INDEX(Task_Tracker!$I$5:$I$1004,MATCH($B336,Task_Tracker!$A$5:$A$1004,0)),""))</f>
        <v/>
      </c>
      <c r="W336" s="81">
        <f>IF(OR($D336="",$B336=""),"",$D336&amp;" | "&amp;$B336)</f>
        <v/>
      </c>
      <c r="X336" s="85">
        <f>IF($K336="","",TEXT($K336,"yyyy-mm"))</f>
        <v/>
      </c>
      <c r="Y336" s="81">
        <f>IF(OR($A336="",$T336=""),"","Included in Manager_Report")</f>
        <v/>
      </c>
    </row>
    <row r="337" ht="15" customHeight="1" s="40">
      <c r="A337" s="65">
        <f>IF(COUNTA(B337:G337)=0,"","STP-"&amp;TEXT(ROW()-4,"0000"))</f>
        <v/>
      </c>
      <c r="B337" s="78" t="n"/>
      <c r="C337" s="67">
        <f>IF($B337="","",IFERROR(INDEX(Task_Tracker!$D$5:$D$1004,MATCH($B337,Task_Tracker!$A$5:$A$1004,0)),""))</f>
        <v/>
      </c>
      <c r="D337" s="67">
        <f>IF($B337="","",IFERROR(INDEX(Task_Tracker!$B$5:$B$1004,MATCH($B337,Task_Tracker!$A$5:$A$1004,0)),""))</f>
        <v/>
      </c>
      <c r="E337" s="81" t="n"/>
      <c r="F337" s="81" t="n"/>
      <c r="G337" s="78" t="n"/>
      <c r="H337" s="78" t="n"/>
      <c r="I337" s="67">
        <f>IF($H337="","",IFERROR(INDEX(Action_Status_Map!$B$5:$B$11,MATCH($H337,Action_Status_Map!$A$5:$A$11,0)),""))</f>
        <v/>
      </c>
      <c r="J337" s="82" t="n"/>
      <c r="K337" s="82" t="n"/>
      <c r="L337" s="82" t="n"/>
      <c r="M337" s="83" t="n"/>
      <c r="N337" s="83" t="n"/>
      <c r="O337" s="66">
        <f>IF(OR($M337="",$N337=""),"",$N337-$M337)</f>
        <v/>
      </c>
      <c r="P337" s="84">
        <f>IF($J337="","",IF($L337&lt;&gt;"",$L337-$J337,TODAY()-$J337))</f>
        <v/>
      </c>
      <c r="Q337" s="85">
        <f>IF(OR($K337="",$H337="Completed",$H337="Cancelled"),"",IF(AND($K337&lt;TODAY(),$H337&lt;&gt;"Completed",$H337&lt;&gt;"Cancelled"),"Overdue","On Track"))</f>
        <v/>
      </c>
      <c r="R337" s="81" t="n"/>
      <c r="S337" s="81">
        <f>IF($B337="","",IFERROR(INDEX(Task_Tracker!$AA$5:$AA$1004,MATCH($B337,Task_Tracker!$A$5:$A$1004,0)),""))</f>
        <v/>
      </c>
      <c r="T337" s="81">
        <f>IF($B337="","",IFERROR(INDEX(Task_Tracker!$AB$5:$AB$1004,MATCH($B337,Task_Tracker!$A$5:$A$1004,0)),""))</f>
        <v/>
      </c>
      <c r="U337" s="78">
        <f>IF($B337="","",IFERROR(INDEX(Task_Tracker!$F$5:$F$1004,MATCH($B337,Task_Tracker!$A$5:$A$1004,0)),""))</f>
        <v/>
      </c>
      <c r="V337" s="78">
        <f>IF($B337="","",IFERROR(INDEX(Task_Tracker!$I$5:$I$1004,MATCH($B337,Task_Tracker!$A$5:$A$1004,0)),""))</f>
        <v/>
      </c>
      <c r="W337" s="81">
        <f>IF(OR($D337="",$B337=""),"",$D337&amp;" | "&amp;$B337)</f>
        <v/>
      </c>
      <c r="X337" s="85">
        <f>IF($K337="","",TEXT($K337,"yyyy-mm"))</f>
        <v/>
      </c>
      <c r="Y337" s="81">
        <f>IF(OR($A337="",$T337=""),"","Included in Manager_Report")</f>
        <v/>
      </c>
    </row>
    <row r="338" ht="15" customHeight="1" s="40">
      <c r="A338" s="65">
        <f>IF(COUNTA(B338:G338)=0,"","STP-"&amp;TEXT(ROW()-4,"0000"))</f>
        <v/>
      </c>
      <c r="B338" s="78" t="n"/>
      <c r="C338" s="67">
        <f>IF($B338="","",IFERROR(INDEX(Task_Tracker!$D$5:$D$1004,MATCH($B338,Task_Tracker!$A$5:$A$1004,0)),""))</f>
        <v/>
      </c>
      <c r="D338" s="67">
        <f>IF($B338="","",IFERROR(INDEX(Task_Tracker!$B$5:$B$1004,MATCH($B338,Task_Tracker!$A$5:$A$1004,0)),""))</f>
        <v/>
      </c>
      <c r="E338" s="81" t="n"/>
      <c r="F338" s="81" t="n"/>
      <c r="G338" s="78" t="n"/>
      <c r="H338" s="78" t="n"/>
      <c r="I338" s="67">
        <f>IF($H338="","",IFERROR(INDEX(Action_Status_Map!$B$5:$B$11,MATCH($H338,Action_Status_Map!$A$5:$A$11,0)),""))</f>
        <v/>
      </c>
      <c r="J338" s="82" t="n"/>
      <c r="K338" s="82" t="n"/>
      <c r="L338" s="82" t="n"/>
      <c r="M338" s="83" t="n"/>
      <c r="N338" s="83" t="n"/>
      <c r="O338" s="66">
        <f>IF(OR($M338="",$N338=""),"",$N338-$M338)</f>
        <v/>
      </c>
      <c r="P338" s="84">
        <f>IF($J338="","",IF($L338&lt;&gt;"",$L338-$J338,TODAY()-$J338))</f>
        <v/>
      </c>
      <c r="Q338" s="85">
        <f>IF(OR($K338="",$H338="Completed",$H338="Cancelled"),"",IF(AND($K338&lt;TODAY(),$H338&lt;&gt;"Completed",$H338&lt;&gt;"Cancelled"),"Overdue","On Track"))</f>
        <v/>
      </c>
      <c r="R338" s="81" t="n"/>
      <c r="S338" s="81">
        <f>IF($B338="","",IFERROR(INDEX(Task_Tracker!$AA$5:$AA$1004,MATCH($B338,Task_Tracker!$A$5:$A$1004,0)),""))</f>
        <v/>
      </c>
      <c r="T338" s="81">
        <f>IF($B338="","",IFERROR(INDEX(Task_Tracker!$AB$5:$AB$1004,MATCH($B338,Task_Tracker!$A$5:$A$1004,0)),""))</f>
        <v/>
      </c>
      <c r="U338" s="78">
        <f>IF($B338="","",IFERROR(INDEX(Task_Tracker!$F$5:$F$1004,MATCH($B338,Task_Tracker!$A$5:$A$1004,0)),""))</f>
        <v/>
      </c>
      <c r="V338" s="78">
        <f>IF($B338="","",IFERROR(INDEX(Task_Tracker!$I$5:$I$1004,MATCH($B338,Task_Tracker!$A$5:$A$1004,0)),""))</f>
        <v/>
      </c>
      <c r="W338" s="81">
        <f>IF(OR($D338="",$B338=""),"",$D338&amp;" | "&amp;$B338)</f>
        <v/>
      </c>
      <c r="X338" s="85">
        <f>IF($K338="","",TEXT($K338,"yyyy-mm"))</f>
        <v/>
      </c>
      <c r="Y338" s="81">
        <f>IF(OR($A338="",$T338=""),"","Included in Manager_Report")</f>
        <v/>
      </c>
    </row>
    <row r="339" ht="15" customHeight="1" s="40">
      <c r="A339" s="65">
        <f>IF(COUNTA(B339:G339)=0,"","STP-"&amp;TEXT(ROW()-4,"0000"))</f>
        <v/>
      </c>
      <c r="B339" s="78" t="n"/>
      <c r="C339" s="67">
        <f>IF($B339="","",IFERROR(INDEX(Task_Tracker!$D$5:$D$1004,MATCH($B339,Task_Tracker!$A$5:$A$1004,0)),""))</f>
        <v/>
      </c>
      <c r="D339" s="67">
        <f>IF($B339="","",IFERROR(INDEX(Task_Tracker!$B$5:$B$1004,MATCH($B339,Task_Tracker!$A$5:$A$1004,0)),""))</f>
        <v/>
      </c>
      <c r="E339" s="81" t="n"/>
      <c r="F339" s="81" t="n"/>
      <c r="G339" s="78" t="n"/>
      <c r="H339" s="78" t="n"/>
      <c r="I339" s="67">
        <f>IF($H339="","",IFERROR(INDEX(Action_Status_Map!$B$5:$B$11,MATCH($H339,Action_Status_Map!$A$5:$A$11,0)),""))</f>
        <v/>
      </c>
      <c r="J339" s="82" t="n"/>
      <c r="K339" s="82" t="n"/>
      <c r="L339" s="82" t="n"/>
      <c r="M339" s="83" t="n"/>
      <c r="N339" s="83" t="n"/>
      <c r="O339" s="66">
        <f>IF(OR($M339="",$N339=""),"",$N339-$M339)</f>
        <v/>
      </c>
      <c r="P339" s="84">
        <f>IF($J339="","",IF($L339&lt;&gt;"",$L339-$J339,TODAY()-$J339))</f>
        <v/>
      </c>
      <c r="Q339" s="85">
        <f>IF(OR($K339="",$H339="Completed",$H339="Cancelled"),"",IF(AND($K339&lt;TODAY(),$H339&lt;&gt;"Completed",$H339&lt;&gt;"Cancelled"),"Overdue","On Track"))</f>
        <v/>
      </c>
      <c r="R339" s="81" t="n"/>
      <c r="S339" s="81">
        <f>IF($B339="","",IFERROR(INDEX(Task_Tracker!$AA$5:$AA$1004,MATCH($B339,Task_Tracker!$A$5:$A$1004,0)),""))</f>
        <v/>
      </c>
      <c r="T339" s="81">
        <f>IF($B339="","",IFERROR(INDEX(Task_Tracker!$AB$5:$AB$1004,MATCH($B339,Task_Tracker!$A$5:$A$1004,0)),""))</f>
        <v/>
      </c>
      <c r="U339" s="78">
        <f>IF($B339="","",IFERROR(INDEX(Task_Tracker!$F$5:$F$1004,MATCH($B339,Task_Tracker!$A$5:$A$1004,0)),""))</f>
        <v/>
      </c>
      <c r="V339" s="78">
        <f>IF($B339="","",IFERROR(INDEX(Task_Tracker!$I$5:$I$1004,MATCH($B339,Task_Tracker!$A$5:$A$1004,0)),""))</f>
        <v/>
      </c>
      <c r="W339" s="81">
        <f>IF(OR($D339="",$B339=""),"",$D339&amp;" | "&amp;$B339)</f>
        <v/>
      </c>
      <c r="X339" s="85">
        <f>IF($K339="","",TEXT($K339,"yyyy-mm"))</f>
        <v/>
      </c>
      <c r="Y339" s="81">
        <f>IF(OR($A339="",$T339=""),"","Included in Manager_Report")</f>
        <v/>
      </c>
    </row>
    <row r="340" ht="15" customHeight="1" s="40">
      <c r="A340" s="65">
        <f>IF(COUNTA(B340:G340)=0,"","STP-"&amp;TEXT(ROW()-4,"0000"))</f>
        <v/>
      </c>
      <c r="B340" s="78" t="n"/>
      <c r="C340" s="67">
        <f>IF($B340="","",IFERROR(INDEX(Task_Tracker!$D$5:$D$1004,MATCH($B340,Task_Tracker!$A$5:$A$1004,0)),""))</f>
        <v/>
      </c>
      <c r="D340" s="67">
        <f>IF($B340="","",IFERROR(INDEX(Task_Tracker!$B$5:$B$1004,MATCH($B340,Task_Tracker!$A$5:$A$1004,0)),""))</f>
        <v/>
      </c>
      <c r="E340" s="81" t="n"/>
      <c r="F340" s="81" t="n"/>
      <c r="G340" s="78" t="n"/>
      <c r="H340" s="78" t="n"/>
      <c r="I340" s="67">
        <f>IF($H340="","",IFERROR(INDEX(Action_Status_Map!$B$5:$B$11,MATCH($H340,Action_Status_Map!$A$5:$A$11,0)),""))</f>
        <v/>
      </c>
      <c r="J340" s="82" t="n"/>
      <c r="K340" s="82" t="n"/>
      <c r="L340" s="82" t="n"/>
      <c r="M340" s="83" t="n"/>
      <c r="N340" s="83" t="n"/>
      <c r="O340" s="66">
        <f>IF(OR($M340="",$N340=""),"",$N340-$M340)</f>
        <v/>
      </c>
      <c r="P340" s="84">
        <f>IF($J340="","",IF($L340&lt;&gt;"",$L340-$J340,TODAY()-$J340))</f>
        <v/>
      </c>
      <c r="Q340" s="85">
        <f>IF(OR($K340="",$H340="Completed",$H340="Cancelled"),"",IF(AND($K340&lt;TODAY(),$H340&lt;&gt;"Completed",$H340&lt;&gt;"Cancelled"),"Overdue","On Track"))</f>
        <v/>
      </c>
      <c r="R340" s="81" t="n"/>
      <c r="S340" s="81">
        <f>IF($B340="","",IFERROR(INDEX(Task_Tracker!$AA$5:$AA$1004,MATCH($B340,Task_Tracker!$A$5:$A$1004,0)),""))</f>
        <v/>
      </c>
      <c r="T340" s="81">
        <f>IF($B340="","",IFERROR(INDEX(Task_Tracker!$AB$5:$AB$1004,MATCH($B340,Task_Tracker!$A$5:$A$1004,0)),""))</f>
        <v/>
      </c>
      <c r="U340" s="78">
        <f>IF($B340="","",IFERROR(INDEX(Task_Tracker!$F$5:$F$1004,MATCH($B340,Task_Tracker!$A$5:$A$1004,0)),""))</f>
        <v/>
      </c>
      <c r="V340" s="78">
        <f>IF($B340="","",IFERROR(INDEX(Task_Tracker!$I$5:$I$1004,MATCH($B340,Task_Tracker!$A$5:$A$1004,0)),""))</f>
        <v/>
      </c>
      <c r="W340" s="81">
        <f>IF(OR($D340="",$B340=""),"",$D340&amp;" | "&amp;$B340)</f>
        <v/>
      </c>
      <c r="X340" s="85">
        <f>IF($K340="","",TEXT($K340,"yyyy-mm"))</f>
        <v/>
      </c>
      <c r="Y340" s="81">
        <f>IF(OR($A340="",$T340=""),"","Included in Manager_Report")</f>
        <v/>
      </c>
    </row>
    <row r="341" ht="15" customHeight="1" s="40">
      <c r="A341" s="65">
        <f>IF(COUNTA(B341:G341)=0,"","STP-"&amp;TEXT(ROW()-4,"0000"))</f>
        <v/>
      </c>
      <c r="B341" s="78" t="n"/>
      <c r="C341" s="67">
        <f>IF($B341="","",IFERROR(INDEX(Task_Tracker!$D$5:$D$1004,MATCH($B341,Task_Tracker!$A$5:$A$1004,0)),""))</f>
        <v/>
      </c>
      <c r="D341" s="67">
        <f>IF($B341="","",IFERROR(INDEX(Task_Tracker!$B$5:$B$1004,MATCH($B341,Task_Tracker!$A$5:$A$1004,0)),""))</f>
        <v/>
      </c>
      <c r="E341" s="81" t="n"/>
      <c r="F341" s="81" t="n"/>
      <c r="G341" s="78" t="n"/>
      <c r="H341" s="78" t="n"/>
      <c r="I341" s="67">
        <f>IF($H341="","",IFERROR(INDEX(Action_Status_Map!$B$5:$B$11,MATCH($H341,Action_Status_Map!$A$5:$A$11,0)),""))</f>
        <v/>
      </c>
      <c r="J341" s="82" t="n"/>
      <c r="K341" s="82" t="n"/>
      <c r="L341" s="82" t="n"/>
      <c r="M341" s="83" t="n"/>
      <c r="N341" s="83" t="n"/>
      <c r="O341" s="66">
        <f>IF(OR($M341="",$N341=""),"",$N341-$M341)</f>
        <v/>
      </c>
      <c r="P341" s="84">
        <f>IF($J341="","",IF($L341&lt;&gt;"",$L341-$J341,TODAY()-$J341))</f>
        <v/>
      </c>
      <c r="Q341" s="85">
        <f>IF(OR($K341="",$H341="Completed",$H341="Cancelled"),"",IF(AND($K341&lt;TODAY(),$H341&lt;&gt;"Completed",$H341&lt;&gt;"Cancelled"),"Overdue","On Track"))</f>
        <v/>
      </c>
      <c r="R341" s="81" t="n"/>
      <c r="S341" s="81">
        <f>IF($B341="","",IFERROR(INDEX(Task_Tracker!$AA$5:$AA$1004,MATCH($B341,Task_Tracker!$A$5:$A$1004,0)),""))</f>
        <v/>
      </c>
      <c r="T341" s="81">
        <f>IF($B341="","",IFERROR(INDEX(Task_Tracker!$AB$5:$AB$1004,MATCH($B341,Task_Tracker!$A$5:$A$1004,0)),""))</f>
        <v/>
      </c>
      <c r="U341" s="78">
        <f>IF($B341="","",IFERROR(INDEX(Task_Tracker!$F$5:$F$1004,MATCH($B341,Task_Tracker!$A$5:$A$1004,0)),""))</f>
        <v/>
      </c>
      <c r="V341" s="78">
        <f>IF($B341="","",IFERROR(INDEX(Task_Tracker!$I$5:$I$1004,MATCH($B341,Task_Tracker!$A$5:$A$1004,0)),""))</f>
        <v/>
      </c>
      <c r="W341" s="81">
        <f>IF(OR($D341="",$B341=""),"",$D341&amp;" | "&amp;$B341)</f>
        <v/>
      </c>
      <c r="X341" s="85">
        <f>IF($K341="","",TEXT($K341,"yyyy-mm"))</f>
        <v/>
      </c>
      <c r="Y341" s="81">
        <f>IF(OR($A341="",$T341=""),"","Included in Manager_Report")</f>
        <v/>
      </c>
    </row>
    <row r="342" ht="15" customHeight="1" s="40">
      <c r="A342" s="65">
        <f>IF(COUNTA(B342:G342)=0,"","STP-"&amp;TEXT(ROW()-4,"0000"))</f>
        <v/>
      </c>
      <c r="B342" s="78" t="n"/>
      <c r="C342" s="67">
        <f>IF($B342="","",IFERROR(INDEX(Task_Tracker!$D$5:$D$1004,MATCH($B342,Task_Tracker!$A$5:$A$1004,0)),""))</f>
        <v/>
      </c>
      <c r="D342" s="67">
        <f>IF($B342="","",IFERROR(INDEX(Task_Tracker!$B$5:$B$1004,MATCH($B342,Task_Tracker!$A$5:$A$1004,0)),""))</f>
        <v/>
      </c>
      <c r="E342" s="81" t="n"/>
      <c r="F342" s="81" t="n"/>
      <c r="G342" s="78" t="n"/>
      <c r="H342" s="78" t="n"/>
      <c r="I342" s="67">
        <f>IF($H342="","",IFERROR(INDEX(Action_Status_Map!$B$5:$B$11,MATCH($H342,Action_Status_Map!$A$5:$A$11,0)),""))</f>
        <v/>
      </c>
      <c r="J342" s="82" t="n"/>
      <c r="K342" s="82" t="n"/>
      <c r="L342" s="82" t="n"/>
      <c r="M342" s="83" t="n"/>
      <c r="N342" s="83" t="n"/>
      <c r="O342" s="66">
        <f>IF(OR($M342="",$N342=""),"",$N342-$M342)</f>
        <v/>
      </c>
      <c r="P342" s="84">
        <f>IF($J342="","",IF($L342&lt;&gt;"",$L342-$J342,TODAY()-$J342))</f>
        <v/>
      </c>
      <c r="Q342" s="85">
        <f>IF(OR($K342="",$H342="Completed",$H342="Cancelled"),"",IF(AND($K342&lt;TODAY(),$H342&lt;&gt;"Completed",$H342&lt;&gt;"Cancelled"),"Overdue","On Track"))</f>
        <v/>
      </c>
      <c r="R342" s="81" t="n"/>
      <c r="S342" s="81">
        <f>IF($B342="","",IFERROR(INDEX(Task_Tracker!$AA$5:$AA$1004,MATCH($B342,Task_Tracker!$A$5:$A$1004,0)),""))</f>
        <v/>
      </c>
      <c r="T342" s="81">
        <f>IF($B342="","",IFERROR(INDEX(Task_Tracker!$AB$5:$AB$1004,MATCH($B342,Task_Tracker!$A$5:$A$1004,0)),""))</f>
        <v/>
      </c>
      <c r="U342" s="78">
        <f>IF($B342="","",IFERROR(INDEX(Task_Tracker!$F$5:$F$1004,MATCH($B342,Task_Tracker!$A$5:$A$1004,0)),""))</f>
        <v/>
      </c>
      <c r="V342" s="78">
        <f>IF($B342="","",IFERROR(INDEX(Task_Tracker!$I$5:$I$1004,MATCH($B342,Task_Tracker!$A$5:$A$1004,0)),""))</f>
        <v/>
      </c>
      <c r="W342" s="81">
        <f>IF(OR($D342="",$B342=""),"",$D342&amp;" | "&amp;$B342)</f>
        <v/>
      </c>
      <c r="X342" s="85">
        <f>IF($K342="","",TEXT($K342,"yyyy-mm"))</f>
        <v/>
      </c>
      <c r="Y342" s="81">
        <f>IF(OR($A342="",$T342=""),"","Included in Manager_Report")</f>
        <v/>
      </c>
    </row>
    <row r="343" ht="15" customHeight="1" s="40">
      <c r="A343" s="65">
        <f>IF(COUNTA(B343:G343)=0,"","STP-"&amp;TEXT(ROW()-4,"0000"))</f>
        <v/>
      </c>
      <c r="B343" s="78" t="n"/>
      <c r="C343" s="67">
        <f>IF($B343="","",IFERROR(INDEX(Task_Tracker!$D$5:$D$1004,MATCH($B343,Task_Tracker!$A$5:$A$1004,0)),""))</f>
        <v/>
      </c>
      <c r="D343" s="67">
        <f>IF($B343="","",IFERROR(INDEX(Task_Tracker!$B$5:$B$1004,MATCH($B343,Task_Tracker!$A$5:$A$1004,0)),""))</f>
        <v/>
      </c>
      <c r="E343" s="81" t="n"/>
      <c r="F343" s="81" t="n"/>
      <c r="G343" s="78" t="n"/>
      <c r="H343" s="78" t="n"/>
      <c r="I343" s="67">
        <f>IF($H343="","",IFERROR(INDEX(Action_Status_Map!$B$5:$B$11,MATCH($H343,Action_Status_Map!$A$5:$A$11,0)),""))</f>
        <v/>
      </c>
      <c r="J343" s="82" t="n"/>
      <c r="K343" s="82" t="n"/>
      <c r="L343" s="82" t="n"/>
      <c r="M343" s="83" t="n"/>
      <c r="N343" s="83" t="n"/>
      <c r="O343" s="66">
        <f>IF(OR($M343="",$N343=""),"",$N343-$M343)</f>
        <v/>
      </c>
      <c r="P343" s="84">
        <f>IF($J343="","",IF($L343&lt;&gt;"",$L343-$J343,TODAY()-$J343))</f>
        <v/>
      </c>
      <c r="Q343" s="85">
        <f>IF(OR($K343="",$H343="Completed",$H343="Cancelled"),"",IF(AND($K343&lt;TODAY(),$H343&lt;&gt;"Completed",$H343&lt;&gt;"Cancelled"),"Overdue","On Track"))</f>
        <v/>
      </c>
      <c r="R343" s="81" t="n"/>
      <c r="S343" s="81">
        <f>IF($B343="","",IFERROR(INDEX(Task_Tracker!$AA$5:$AA$1004,MATCH($B343,Task_Tracker!$A$5:$A$1004,0)),""))</f>
        <v/>
      </c>
      <c r="T343" s="81">
        <f>IF($B343="","",IFERROR(INDEX(Task_Tracker!$AB$5:$AB$1004,MATCH($B343,Task_Tracker!$A$5:$A$1004,0)),""))</f>
        <v/>
      </c>
      <c r="U343" s="78">
        <f>IF($B343="","",IFERROR(INDEX(Task_Tracker!$F$5:$F$1004,MATCH($B343,Task_Tracker!$A$5:$A$1004,0)),""))</f>
        <v/>
      </c>
      <c r="V343" s="78">
        <f>IF($B343="","",IFERROR(INDEX(Task_Tracker!$I$5:$I$1004,MATCH($B343,Task_Tracker!$A$5:$A$1004,0)),""))</f>
        <v/>
      </c>
      <c r="W343" s="81">
        <f>IF(OR($D343="",$B343=""),"",$D343&amp;" | "&amp;$B343)</f>
        <v/>
      </c>
      <c r="X343" s="85">
        <f>IF($K343="","",TEXT($K343,"yyyy-mm"))</f>
        <v/>
      </c>
      <c r="Y343" s="81">
        <f>IF(OR($A343="",$T343=""),"","Included in Manager_Report")</f>
        <v/>
      </c>
    </row>
    <row r="344" ht="15" customHeight="1" s="40">
      <c r="A344" s="65">
        <f>IF(COUNTA(B344:G344)=0,"","STP-"&amp;TEXT(ROW()-4,"0000"))</f>
        <v/>
      </c>
      <c r="B344" s="78" t="n"/>
      <c r="C344" s="67">
        <f>IF($B344="","",IFERROR(INDEX(Task_Tracker!$D$5:$D$1004,MATCH($B344,Task_Tracker!$A$5:$A$1004,0)),""))</f>
        <v/>
      </c>
      <c r="D344" s="67">
        <f>IF($B344="","",IFERROR(INDEX(Task_Tracker!$B$5:$B$1004,MATCH($B344,Task_Tracker!$A$5:$A$1004,0)),""))</f>
        <v/>
      </c>
      <c r="E344" s="81" t="n"/>
      <c r="F344" s="81" t="n"/>
      <c r="G344" s="78" t="n"/>
      <c r="H344" s="78" t="n"/>
      <c r="I344" s="67">
        <f>IF($H344="","",IFERROR(INDEX(Action_Status_Map!$B$5:$B$11,MATCH($H344,Action_Status_Map!$A$5:$A$11,0)),""))</f>
        <v/>
      </c>
      <c r="J344" s="82" t="n"/>
      <c r="K344" s="82" t="n"/>
      <c r="L344" s="82" t="n"/>
      <c r="M344" s="83" t="n"/>
      <c r="N344" s="83" t="n"/>
      <c r="O344" s="66">
        <f>IF(OR($M344="",$N344=""),"",$N344-$M344)</f>
        <v/>
      </c>
      <c r="P344" s="84">
        <f>IF($J344="","",IF($L344&lt;&gt;"",$L344-$J344,TODAY()-$J344))</f>
        <v/>
      </c>
      <c r="Q344" s="85">
        <f>IF(OR($K344="",$H344="Completed",$H344="Cancelled"),"",IF(AND($K344&lt;TODAY(),$H344&lt;&gt;"Completed",$H344&lt;&gt;"Cancelled"),"Overdue","On Track"))</f>
        <v/>
      </c>
      <c r="R344" s="81" t="n"/>
      <c r="S344" s="81">
        <f>IF($B344="","",IFERROR(INDEX(Task_Tracker!$AA$5:$AA$1004,MATCH($B344,Task_Tracker!$A$5:$A$1004,0)),""))</f>
        <v/>
      </c>
      <c r="T344" s="81">
        <f>IF($B344="","",IFERROR(INDEX(Task_Tracker!$AB$5:$AB$1004,MATCH($B344,Task_Tracker!$A$5:$A$1004,0)),""))</f>
        <v/>
      </c>
      <c r="U344" s="78">
        <f>IF($B344="","",IFERROR(INDEX(Task_Tracker!$F$5:$F$1004,MATCH($B344,Task_Tracker!$A$5:$A$1004,0)),""))</f>
        <v/>
      </c>
      <c r="V344" s="78">
        <f>IF($B344="","",IFERROR(INDEX(Task_Tracker!$I$5:$I$1004,MATCH($B344,Task_Tracker!$A$5:$A$1004,0)),""))</f>
        <v/>
      </c>
      <c r="W344" s="81">
        <f>IF(OR($D344="",$B344=""),"",$D344&amp;" | "&amp;$B344)</f>
        <v/>
      </c>
      <c r="X344" s="85">
        <f>IF($K344="","",TEXT($K344,"yyyy-mm"))</f>
        <v/>
      </c>
      <c r="Y344" s="81">
        <f>IF(OR($A344="",$T344=""),"","Included in Manager_Report")</f>
        <v/>
      </c>
    </row>
    <row r="345" ht="15" customHeight="1" s="40">
      <c r="A345" s="65">
        <f>IF(COUNTA(B345:G345)=0,"","STP-"&amp;TEXT(ROW()-4,"0000"))</f>
        <v/>
      </c>
      <c r="B345" s="78" t="n"/>
      <c r="C345" s="67">
        <f>IF($B345="","",IFERROR(INDEX(Task_Tracker!$D$5:$D$1004,MATCH($B345,Task_Tracker!$A$5:$A$1004,0)),""))</f>
        <v/>
      </c>
      <c r="D345" s="67">
        <f>IF($B345="","",IFERROR(INDEX(Task_Tracker!$B$5:$B$1004,MATCH($B345,Task_Tracker!$A$5:$A$1004,0)),""))</f>
        <v/>
      </c>
      <c r="E345" s="81" t="n"/>
      <c r="F345" s="81" t="n"/>
      <c r="G345" s="78" t="n"/>
      <c r="H345" s="78" t="n"/>
      <c r="I345" s="67">
        <f>IF($H345="","",IFERROR(INDEX(Action_Status_Map!$B$5:$B$11,MATCH($H345,Action_Status_Map!$A$5:$A$11,0)),""))</f>
        <v/>
      </c>
      <c r="J345" s="82" t="n"/>
      <c r="K345" s="82" t="n"/>
      <c r="L345" s="82" t="n"/>
      <c r="M345" s="83" t="n"/>
      <c r="N345" s="83" t="n"/>
      <c r="O345" s="66">
        <f>IF(OR($M345="",$N345=""),"",$N345-$M345)</f>
        <v/>
      </c>
      <c r="P345" s="84">
        <f>IF($J345="","",IF($L345&lt;&gt;"",$L345-$J345,TODAY()-$J345))</f>
        <v/>
      </c>
      <c r="Q345" s="85">
        <f>IF(OR($K345="",$H345="Completed",$H345="Cancelled"),"",IF(AND($K345&lt;TODAY(),$H345&lt;&gt;"Completed",$H345&lt;&gt;"Cancelled"),"Overdue","On Track"))</f>
        <v/>
      </c>
      <c r="R345" s="81" t="n"/>
      <c r="S345" s="81">
        <f>IF($B345="","",IFERROR(INDEX(Task_Tracker!$AA$5:$AA$1004,MATCH($B345,Task_Tracker!$A$5:$A$1004,0)),""))</f>
        <v/>
      </c>
      <c r="T345" s="81">
        <f>IF($B345="","",IFERROR(INDEX(Task_Tracker!$AB$5:$AB$1004,MATCH($B345,Task_Tracker!$A$5:$A$1004,0)),""))</f>
        <v/>
      </c>
      <c r="U345" s="78">
        <f>IF($B345="","",IFERROR(INDEX(Task_Tracker!$F$5:$F$1004,MATCH($B345,Task_Tracker!$A$5:$A$1004,0)),""))</f>
        <v/>
      </c>
      <c r="V345" s="78">
        <f>IF($B345="","",IFERROR(INDEX(Task_Tracker!$I$5:$I$1004,MATCH($B345,Task_Tracker!$A$5:$A$1004,0)),""))</f>
        <v/>
      </c>
      <c r="W345" s="81">
        <f>IF(OR($D345="",$B345=""),"",$D345&amp;" | "&amp;$B345)</f>
        <v/>
      </c>
      <c r="X345" s="85">
        <f>IF($K345="","",TEXT($K345,"yyyy-mm"))</f>
        <v/>
      </c>
      <c r="Y345" s="81">
        <f>IF(OR($A345="",$T345=""),"","Included in Manager_Report")</f>
        <v/>
      </c>
    </row>
    <row r="346" ht="15" customHeight="1" s="40">
      <c r="A346" s="65">
        <f>IF(COUNTA(B346:G346)=0,"","STP-"&amp;TEXT(ROW()-4,"0000"))</f>
        <v/>
      </c>
      <c r="B346" s="78" t="n"/>
      <c r="C346" s="67">
        <f>IF($B346="","",IFERROR(INDEX(Task_Tracker!$D$5:$D$1004,MATCH($B346,Task_Tracker!$A$5:$A$1004,0)),""))</f>
        <v/>
      </c>
      <c r="D346" s="67">
        <f>IF($B346="","",IFERROR(INDEX(Task_Tracker!$B$5:$B$1004,MATCH($B346,Task_Tracker!$A$5:$A$1004,0)),""))</f>
        <v/>
      </c>
      <c r="E346" s="81" t="n"/>
      <c r="F346" s="81" t="n"/>
      <c r="G346" s="78" t="n"/>
      <c r="H346" s="78" t="n"/>
      <c r="I346" s="67">
        <f>IF($H346="","",IFERROR(INDEX(Action_Status_Map!$B$5:$B$11,MATCH($H346,Action_Status_Map!$A$5:$A$11,0)),""))</f>
        <v/>
      </c>
      <c r="J346" s="82" t="n"/>
      <c r="K346" s="82" t="n"/>
      <c r="L346" s="82" t="n"/>
      <c r="M346" s="83" t="n"/>
      <c r="N346" s="83" t="n"/>
      <c r="O346" s="66">
        <f>IF(OR($M346="",$N346=""),"",$N346-$M346)</f>
        <v/>
      </c>
      <c r="P346" s="84">
        <f>IF($J346="","",IF($L346&lt;&gt;"",$L346-$J346,TODAY()-$J346))</f>
        <v/>
      </c>
      <c r="Q346" s="85">
        <f>IF(OR($K346="",$H346="Completed",$H346="Cancelled"),"",IF(AND($K346&lt;TODAY(),$H346&lt;&gt;"Completed",$H346&lt;&gt;"Cancelled"),"Overdue","On Track"))</f>
        <v/>
      </c>
      <c r="R346" s="81" t="n"/>
      <c r="S346" s="81">
        <f>IF($B346="","",IFERROR(INDEX(Task_Tracker!$AA$5:$AA$1004,MATCH($B346,Task_Tracker!$A$5:$A$1004,0)),""))</f>
        <v/>
      </c>
      <c r="T346" s="81">
        <f>IF($B346="","",IFERROR(INDEX(Task_Tracker!$AB$5:$AB$1004,MATCH($B346,Task_Tracker!$A$5:$A$1004,0)),""))</f>
        <v/>
      </c>
      <c r="U346" s="78">
        <f>IF($B346="","",IFERROR(INDEX(Task_Tracker!$F$5:$F$1004,MATCH($B346,Task_Tracker!$A$5:$A$1004,0)),""))</f>
        <v/>
      </c>
      <c r="V346" s="78">
        <f>IF($B346="","",IFERROR(INDEX(Task_Tracker!$I$5:$I$1004,MATCH($B346,Task_Tracker!$A$5:$A$1004,0)),""))</f>
        <v/>
      </c>
      <c r="W346" s="81">
        <f>IF(OR($D346="",$B346=""),"",$D346&amp;" | "&amp;$B346)</f>
        <v/>
      </c>
      <c r="X346" s="85">
        <f>IF($K346="","",TEXT($K346,"yyyy-mm"))</f>
        <v/>
      </c>
      <c r="Y346" s="81">
        <f>IF(OR($A346="",$T346=""),"","Included in Manager_Report")</f>
        <v/>
      </c>
    </row>
    <row r="347" ht="15" customHeight="1" s="40">
      <c r="A347" s="65">
        <f>IF(COUNTA(B347:G347)=0,"","STP-"&amp;TEXT(ROW()-4,"0000"))</f>
        <v/>
      </c>
      <c r="B347" s="78" t="n"/>
      <c r="C347" s="67">
        <f>IF($B347="","",IFERROR(INDEX(Task_Tracker!$D$5:$D$1004,MATCH($B347,Task_Tracker!$A$5:$A$1004,0)),""))</f>
        <v/>
      </c>
      <c r="D347" s="67">
        <f>IF($B347="","",IFERROR(INDEX(Task_Tracker!$B$5:$B$1004,MATCH($B347,Task_Tracker!$A$5:$A$1004,0)),""))</f>
        <v/>
      </c>
      <c r="E347" s="81" t="n"/>
      <c r="F347" s="81" t="n"/>
      <c r="G347" s="78" t="n"/>
      <c r="H347" s="78" t="n"/>
      <c r="I347" s="67">
        <f>IF($H347="","",IFERROR(INDEX(Action_Status_Map!$B$5:$B$11,MATCH($H347,Action_Status_Map!$A$5:$A$11,0)),""))</f>
        <v/>
      </c>
      <c r="J347" s="82" t="n"/>
      <c r="K347" s="82" t="n"/>
      <c r="L347" s="82" t="n"/>
      <c r="M347" s="83" t="n"/>
      <c r="N347" s="83" t="n"/>
      <c r="O347" s="66">
        <f>IF(OR($M347="",$N347=""),"",$N347-$M347)</f>
        <v/>
      </c>
      <c r="P347" s="84">
        <f>IF($J347="","",IF($L347&lt;&gt;"",$L347-$J347,TODAY()-$J347))</f>
        <v/>
      </c>
      <c r="Q347" s="85">
        <f>IF(OR($K347="",$H347="Completed",$H347="Cancelled"),"",IF(AND($K347&lt;TODAY(),$H347&lt;&gt;"Completed",$H347&lt;&gt;"Cancelled"),"Overdue","On Track"))</f>
        <v/>
      </c>
      <c r="R347" s="81" t="n"/>
      <c r="S347" s="81">
        <f>IF($B347="","",IFERROR(INDEX(Task_Tracker!$AA$5:$AA$1004,MATCH($B347,Task_Tracker!$A$5:$A$1004,0)),""))</f>
        <v/>
      </c>
      <c r="T347" s="81">
        <f>IF($B347="","",IFERROR(INDEX(Task_Tracker!$AB$5:$AB$1004,MATCH($B347,Task_Tracker!$A$5:$A$1004,0)),""))</f>
        <v/>
      </c>
      <c r="U347" s="78">
        <f>IF($B347="","",IFERROR(INDEX(Task_Tracker!$F$5:$F$1004,MATCH($B347,Task_Tracker!$A$5:$A$1004,0)),""))</f>
        <v/>
      </c>
      <c r="V347" s="78">
        <f>IF($B347="","",IFERROR(INDEX(Task_Tracker!$I$5:$I$1004,MATCH($B347,Task_Tracker!$A$5:$A$1004,0)),""))</f>
        <v/>
      </c>
      <c r="W347" s="81">
        <f>IF(OR($D347="",$B347=""),"",$D347&amp;" | "&amp;$B347)</f>
        <v/>
      </c>
      <c r="X347" s="85">
        <f>IF($K347="","",TEXT($K347,"yyyy-mm"))</f>
        <v/>
      </c>
      <c r="Y347" s="81">
        <f>IF(OR($A347="",$T347=""),"","Included in Manager_Report")</f>
        <v/>
      </c>
    </row>
    <row r="348" ht="15" customHeight="1" s="40">
      <c r="A348" s="65">
        <f>IF(COUNTA(B348:G348)=0,"","STP-"&amp;TEXT(ROW()-4,"0000"))</f>
        <v/>
      </c>
      <c r="B348" s="78" t="n"/>
      <c r="C348" s="67">
        <f>IF($B348="","",IFERROR(INDEX(Task_Tracker!$D$5:$D$1004,MATCH($B348,Task_Tracker!$A$5:$A$1004,0)),""))</f>
        <v/>
      </c>
      <c r="D348" s="67">
        <f>IF($B348="","",IFERROR(INDEX(Task_Tracker!$B$5:$B$1004,MATCH($B348,Task_Tracker!$A$5:$A$1004,0)),""))</f>
        <v/>
      </c>
      <c r="E348" s="81" t="n"/>
      <c r="F348" s="81" t="n"/>
      <c r="G348" s="78" t="n"/>
      <c r="H348" s="78" t="n"/>
      <c r="I348" s="67">
        <f>IF($H348="","",IFERROR(INDEX(Action_Status_Map!$B$5:$B$11,MATCH($H348,Action_Status_Map!$A$5:$A$11,0)),""))</f>
        <v/>
      </c>
      <c r="J348" s="82" t="n"/>
      <c r="K348" s="82" t="n"/>
      <c r="L348" s="82" t="n"/>
      <c r="M348" s="83" t="n"/>
      <c r="N348" s="83" t="n"/>
      <c r="O348" s="66">
        <f>IF(OR($M348="",$N348=""),"",$N348-$M348)</f>
        <v/>
      </c>
      <c r="P348" s="84">
        <f>IF($J348="","",IF($L348&lt;&gt;"",$L348-$J348,TODAY()-$J348))</f>
        <v/>
      </c>
      <c r="Q348" s="85">
        <f>IF(OR($K348="",$H348="Completed",$H348="Cancelled"),"",IF(AND($K348&lt;TODAY(),$H348&lt;&gt;"Completed",$H348&lt;&gt;"Cancelled"),"Overdue","On Track"))</f>
        <v/>
      </c>
      <c r="R348" s="81" t="n"/>
      <c r="S348" s="81">
        <f>IF($B348="","",IFERROR(INDEX(Task_Tracker!$AA$5:$AA$1004,MATCH($B348,Task_Tracker!$A$5:$A$1004,0)),""))</f>
        <v/>
      </c>
      <c r="T348" s="81">
        <f>IF($B348="","",IFERROR(INDEX(Task_Tracker!$AB$5:$AB$1004,MATCH($B348,Task_Tracker!$A$5:$A$1004,0)),""))</f>
        <v/>
      </c>
      <c r="U348" s="78">
        <f>IF($B348="","",IFERROR(INDEX(Task_Tracker!$F$5:$F$1004,MATCH($B348,Task_Tracker!$A$5:$A$1004,0)),""))</f>
        <v/>
      </c>
      <c r="V348" s="78">
        <f>IF($B348="","",IFERROR(INDEX(Task_Tracker!$I$5:$I$1004,MATCH($B348,Task_Tracker!$A$5:$A$1004,0)),""))</f>
        <v/>
      </c>
      <c r="W348" s="81">
        <f>IF(OR($D348="",$B348=""),"",$D348&amp;" | "&amp;$B348)</f>
        <v/>
      </c>
      <c r="X348" s="85">
        <f>IF($K348="","",TEXT($K348,"yyyy-mm"))</f>
        <v/>
      </c>
      <c r="Y348" s="81">
        <f>IF(OR($A348="",$T348=""),"","Included in Manager_Report")</f>
        <v/>
      </c>
    </row>
    <row r="349" ht="15" customHeight="1" s="40">
      <c r="A349" s="65">
        <f>IF(COUNTA(B349:G349)=0,"","STP-"&amp;TEXT(ROW()-4,"0000"))</f>
        <v/>
      </c>
      <c r="B349" s="78" t="n"/>
      <c r="C349" s="67">
        <f>IF($B349="","",IFERROR(INDEX(Task_Tracker!$D$5:$D$1004,MATCH($B349,Task_Tracker!$A$5:$A$1004,0)),""))</f>
        <v/>
      </c>
      <c r="D349" s="67">
        <f>IF($B349="","",IFERROR(INDEX(Task_Tracker!$B$5:$B$1004,MATCH($B349,Task_Tracker!$A$5:$A$1004,0)),""))</f>
        <v/>
      </c>
      <c r="E349" s="81" t="n"/>
      <c r="F349" s="81" t="n"/>
      <c r="G349" s="78" t="n"/>
      <c r="H349" s="78" t="n"/>
      <c r="I349" s="67">
        <f>IF($H349="","",IFERROR(INDEX(Action_Status_Map!$B$5:$B$11,MATCH($H349,Action_Status_Map!$A$5:$A$11,0)),""))</f>
        <v/>
      </c>
      <c r="J349" s="82" t="n"/>
      <c r="K349" s="82" t="n"/>
      <c r="L349" s="82" t="n"/>
      <c r="M349" s="83" t="n"/>
      <c r="N349" s="83" t="n"/>
      <c r="O349" s="66">
        <f>IF(OR($M349="",$N349=""),"",$N349-$M349)</f>
        <v/>
      </c>
      <c r="P349" s="84">
        <f>IF($J349="","",IF($L349&lt;&gt;"",$L349-$J349,TODAY()-$J349))</f>
        <v/>
      </c>
      <c r="Q349" s="85">
        <f>IF(OR($K349="",$H349="Completed",$H349="Cancelled"),"",IF(AND($K349&lt;TODAY(),$H349&lt;&gt;"Completed",$H349&lt;&gt;"Cancelled"),"Overdue","On Track"))</f>
        <v/>
      </c>
      <c r="R349" s="81" t="n"/>
      <c r="S349" s="81">
        <f>IF($B349="","",IFERROR(INDEX(Task_Tracker!$AA$5:$AA$1004,MATCH($B349,Task_Tracker!$A$5:$A$1004,0)),""))</f>
        <v/>
      </c>
      <c r="T349" s="81">
        <f>IF($B349="","",IFERROR(INDEX(Task_Tracker!$AB$5:$AB$1004,MATCH($B349,Task_Tracker!$A$5:$A$1004,0)),""))</f>
        <v/>
      </c>
      <c r="U349" s="78">
        <f>IF($B349="","",IFERROR(INDEX(Task_Tracker!$F$5:$F$1004,MATCH($B349,Task_Tracker!$A$5:$A$1004,0)),""))</f>
        <v/>
      </c>
      <c r="V349" s="78">
        <f>IF($B349="","",IFERROR(INDEX(Task_Tracker!$I$5:$I$1004,MATCH($B349,Task_Tracker!$A$5:$A$1004,0)),""))</f>
        <v/>
      </c>
      <c r="W349" s="81">
        <f>IF(OR($D349="",$B349=""),"",$D349&amp;" | "&amp;$B349)</f>
        <v/>
      </c>
      <c r="X349" s="85">
        <f>IF($K349="","",TEXT($K349,"yyyy-mm"))</f>
        <v/>
      </c>
      <c r="Y349" s="81">
        <f>IF(OR($A349="",$T349=""),"","Included in Manager_Report")</f>
        <v/>
      </c>
    </row>
    <row r="350" ht="15" customHeight="1" s="40">
      <c r="A350" s="65">
        <f>IF(COUNTA(B350:G350)=0,"","STP-"&amp;TEXT(ROW()-4,"0000"))</f>
        <v/>
      </c>
      <c r="B350" s="78" t="n"/>
      <c r="C350" s="67">
        <f>IF($B350="","",IFERROR(INDEX(Task_Tracker!$D$5:$D$1004,MATCH($B350,Task_Tracker!$A$5:$A$1004,0)),""))</f>
        <v/>
      </c>
      <c r="D350" s="67">
        <f>IF($B350="","",IFERROR(INDEX(Task_Tracker!$B$5:$B$1004,MATCH($B350,Task_Tracker!$A$5:$A$1004,0)),""))</f>
        <v/>
      </c>
      <c r="E350" s="81" t="n"/>
      <c r="F350" s="81" t="n"/>
      <c r="G350" s="78" t="n"/>
      <c r="H350" s="78" t="n"/>
      <c r="I350" s="67">
        <f>IF($H350="","",IFERROR(INDEX(Action_Status_Map!$B$5:$B$11,MATCH($H350,Action_Status_Map!$A$5:$A$11,0)),""))</f>
        <v/>
      </c>
      <c r="J350" s="82" t="n"/>
      <c r="K350" s="82" t="n"/>
      <c r="L350" s="82" t="n"/>
      <c r="M350" s="83" t="n"/>
      <c r="N350" s="83" t="n"/>
      <c r="O350" s="66">
        <f>IF(OR($M350="",$N350=""),"",$N350-$M350)</f>
        <v/>
      </c>
      <c r="P350" s="84">
        <f>IF($J350="","",IF($L350&lt;&gt;"",$L350-$J350,TODAY()-$J350))</f>
        <v/>
      </c>
      <c r="Q350" s="85">
        <f>IF(OR($K350="",$H350="Completed",$H350="Cancelled"),"",IF(AND($K350&lt;TODAY(),$H350&lt;&gt;"Completed",$H350&lt;&gt;"Cancelled"),"Overdue","On Track"))</f>
        <v/>
      </c>
      <c r="R350" s="81" t="n"/>
      <c r="S350" s="81">
        <f>IF($B350="","",IFERROR(INDEX(Task_Tracker!$AA$5:$AA$1004,MATCH($B350,Task_Tracker!$A$5:$A$1004,0)),""))</f>
        <v/>
      </c>
      <c r="T350" s="81">
        <f>IF($B350="","",IFERROR(INDEX(Task_Tracker!$AB$5:$AB$1004,MATCH($B350,Task_Tracker!$A$5:$A$1004,0)),""))</f>
        <v/>
      </c>
      <c r="U350" s="78">
        <f>IF($B350="","",IFERROR(INDEX(Task_Tracker!$F$5:$F$1004,MATCH($B350,Task_Tracker!$A$5:$A$1004,0)),""))</f>
        <v/>
      </c>
      <c r="V350" s="78">
        <f>IF($B350="","",IFERROR(INDEX(Task_Tracker!$I$5:$I$1004,MATCH($B350,Task_Tracker!$A$5:$A$1004,0)),""))</f>
        <v/>
      </c>
      <c r="W350" s="81">
        <f>IF(OR($D350="",$B350=""),"",$D350&amp;" | "&amp;$B350)</f>
        <v/>
      </c>
      <c r="X350" s="85">
        <f>IF($K350="","",TEXT($K350,"yyyy-mm"))</f>
        <v/>
      </c>
      <c r="Y350" s="81">
        <f>IF(OR($A350="",$T350=""),"","Included in Manager_Report")</f>
        <v/>
      </c>
    </row>
    <row r="351" ht="15" customHeight="1" s="40">
      <c r="A351" s="65">
        <f>IF(COUNTA(B351:G351)=0,"","STP-"&amp;TEXT(ROW()-4,"0000"))</f>
        <v/>
      </c>
      <c r="B351" s="78" t="n"/>
      <c r="C351" s="67">
        <f>IF($B351="","",IFERROR(INDEX(Task_Tracker!$D$5:$D$1004,MATCH($B351,Task_Tracker!$A$5:$A$1004,0)),""))</f>
        <v/>
      </c>
      <c r="D351" s="67">
        <f>IF($B351="","",IFERROR(INDEX(Task_Tracker!$B$5:$B$1004,MATCH($B351,Task_Tracker!$A$5:$A$1004,0)),""))</f>
        <v/>
      </c>
      <c r="E351" s="81" t="n"/>
      <c r="F351" s="81" t="n"/>
      <c r="G351" s="78" t="n"/>
      <c r="H351" s="78" t="n"/>
      <c r="I351" s="67">
        <f>IF($H351="","",IFERROR(INDEX(Action_Status_Map!$B$5:$B$11,MATCH($H351,Action_Status_Map!$A$5:$A$11,0)),""))</f>
        <v/>
      </c>
      <c r="J351" s="82" t="n"/>
      <c r="K351" s="82" t="n"/>
      <c r="L351" s="82" t="n"/>
      <c r="M351" s="83" t="n"/>
      <c r="N351" s="83" t="n"/>
      <c r="O351" s="66">
        <f>IF(OR($M351="",$N351=""),"",$N351-$M351)</f>
        <v/>
      </c>
      <c r="P351" s="84">
        <f>IF($J351="","",IF($L351&lt;&gt;"",$L351-$J351,TODAY()-$J351))</f>
        <v/>
      </c>
      <c r="Q351" s="85">
        <f>IF(OR($K351="",$H351="Completed",$H351="Cancelled"),"",IF(AND($K351&lt;TODAY(),$H351&lt;&gt;"Completed",$H351&lt;&gt;"Cancelled"),"Overdue","On Track"))</f>
        <v/>
      </c>
      <c r="R351" s="81" t="n"/>
      <c r="S351" s="81">
        <f>IF($B351="","",IFERROR(INDEX(Task_Tracker!$AA$5:$AA$1004,MATCH($B351,Task_Tracker!$A$5:$A$1004,0)),""))</f>
        <v/>
      </c>
      <c r="T351" s="81">
        <f>IF($B351="","",IFERROR(INDEX(Task_Tracker!$AB$5:$AB$1004,MATCH($B351,Task_Tracker!$A$5:$A$1004,0)),""))</f>
        <v/>
      </c>
      <c r="U351" s="78">
        <f>IF($B351="","",IFERROR(INDEX(Task_Tracker!$F$5:$F$1004,MATCH($B351,Task_Tracker!$A$5:$A$1004,0)),""))</f>
        <v/>
      </c>
      <c r="V351" s="78">
        <f>IF($B351="","",IFERROR(INDEX(Task_Tracker!$I$5:$I$1004,MATCH($B351,Task_Tracker!$A$5:$A$1004,0)),""))</f>
        <v/>
      </c>
      <c r="W351" s="81">
        <f>IF(OR($D351="",$B351=""),"",$D351&amp;" | "&amp;$B351)</f>
        <v/>
      </c>
      <c r="X351" s="85">
        <f>IF($K351="","",TEXT($K351,"yyyy-mm"))</f>
        <v/>
      </c>
      <c r="Y351" s="81">
        <f>IF(OR($A351="",$T351=""),"","Included in Manager_Report")</f>
        <v/>
      </c>
    </row>
    <row r="352" ht="15" customHeight="1" s="40">
      <c r="A352" s="65">
        <f>IF(COUNTA(B352:G352)=0,"","STP-"&amp;TEXT(ROW()-4,"0000"))</f>
        <v/>
      </c>
      <c r="B352" s="78" t="n"/>
      <c r="C352" s="67">
        <f>IF($B352="","",IFERROR(INDEX(Task_Tracker!$D$5:$D$1004,MATCH($B352,Task_Tracker!$A$5:$A$1004,0)),""))</f>
        <v/>
      </c>
      <c r="D352" s="67">
        <f>IF($B352="","",IFERROR(INDEX(Task_Tracker!$B$5:$B$1004,MATCH($B352,Task_Tracker!$A$5:$A$1004,0)),""))</f>
        <v/>
      </c>
      <c r="E352" s="81" t="n"/>
      <c r="F352" s="81" t="n"/>
      <c r="G352" s="78" t="n"/>
      <c r="H352" s="78" t="n"/>
      <c r="I352" s="67">
        <f>IF($H352="","",IFERROR(INDEX(Action_Status_Map!$B$5:$B$11,MATCH($H352,Action_Status_Map!$A$5:$A$11,0)),""))</f>
        <v/>
      </c>
      <c r="J352" s="82" t="n"/>
      <c r="K352" s="82" t="n"/>
      <c r="L352" s="82" t="n"/>
      <c r="M352" s="83" t="n"/>
      <c r="N352" s="83" t="n"/>
      <c r="O352" s="66">
        <f>IF(OR($M352="",$N352=""),"",$N352-$M352)</f>
        <v/>
      </c>
      <c r="P352" s="84">
        <f>IF($J352="","",IF($L352&lt;&gt;"",$L352-$J352,TODAY()-$J352))</f>
        <v/>
      </c>
      <c r="Q352" s="85">
        <f>IF(OR($K352="",$H352="Completed",$H352="Cancelled"),"",IF(AND($K352&lt;TODAY(),$H352&lt;&gt;"Completed",$H352&lt;&gt;"Cancelled"),"Overdue","On Track"))</f>
        <v/>
      </c>
      <c r="R352" s="81" t="n"/>
      <c r="S352" s="81">
        <f>IF($B352="","",IFERROR(INDEX(Task_Tracker!$AA$5:$AA$1004,MATCH($B352,Task_Tracker!$A$5:$A$1004,0)),""))</f>
        <v/>
      </c>
      <c r="T352" s="81">
        <f>IF($B352="","",IFERROR(INDEX(Task_Tracker!$AB$5:$AB$1004,MATCH($B352,Task_Tracker!$A$5:$A$1004,0)),""))</f>
        <v/>
      </c>
      <c r="U352" s="78">
        <f>IF($B352="","",IFERROR(INDEX(Task_Tracker!$F$5:$F$1004,MATCH($B352,Task_Tracker!$A$5:$A$1004,0)),""))</f>
        <v/>
      </c>
      <c r="V352" s="78">
        <f>IF($B352="","",IFERROR(INDEX(Task_Tracker!$I$5:$I$1004,MATCH($B352,Task_Tracker!$A$5:$A$1004,0)),""))</f>
        <v/>
      </c>
      <c r="W352" s="81">
        <f>IF(OR($D352="",$B352=""),"",$D352&amp;" | "&amp;$B352)</f>
        <v/>
      </c>
      <c r="X352" s="85">
        <f>IF($K352="","",TEXT($K352,"yyyy-mm"))</f>
        <v/>
      </c>
      <c r="Y352" s="81">
        <f>IF(OR($A352="",$T352=""),"","Included in Manager_Report")</f>
        <v/>
      </c>
    </row>
    <row r="353" ht="15" customHeight="1" s="40">
      <c r="A353" s="65">
        <f>IF(COUNTA(B353:G353)=0,"","STP-"&amp;TEXT(ROW()-4,"0000"))</f>
        <v/>
      </c>
      <c r="B353" s="78" t="n"/>
      <c r="C353" s="67">
        <f>IF($B353="","",IFERROR(INDEX(Task_Tracker!$D$5:$D$1004,MATCH($B353,Task_Tracker!$A$5:$A$1004,0)),""))</f>
        <v/>
      </c>
      <c r="D353" s="67">
        <f>IF($B353="","",IFERROR(INDEX(Task_Tracker!$B$5:$B$1004,MATCH($B353,Task_Tracker!$A$5:$A$1004,0)),""))</f>
        <v/>
      </c>
      <c r="E353" s="81" t="n"/>
      <c r="F353" s="81" t="n"/>
      <c r="G353" s="78" t="n"/>
      <c r="H353" s="78" t="n"/>
      <c r="I353" s="67">
        <f>IF($H353="","",IFERROR(INDEX(Action_Status_Map!$B$5:$B$11,MATCH($H353,Action_Status_Map!$A$5:$A$11,0)),""))</f>
        <v/>
      </c>
      <c r="J353" s="82" t="n"/>
      <c r="K353" s="82" t="n"/>
      <c r="L353" s="82" t="n"/>
      <c r="M353" s="83" t="n"/>
      <c r="N353" s="83" t="n"/>
      <c r="O353" s="66">
        <f>IF(OR($M353="",$N353=""),"",$N353-$M353)</f>
        <v/>
      </c>
      <c r="P353" s="84">
        <f>IF($J353="","",IF($L353&lt;&gt;"",$L353-$J353,TODAY()-$J353))</f>
        <v/>
      </c>
      <c r="Q353" s="85">
        <f>IF(OR($K353="",$H353="Completed",$H353="Cancelled"),"",IF(AND($K353&lt;TODAY(),$H353&lt;&gt;"Completed",$H353&lt;&gt;"Cancelled"),"Overdue","On Track"))</f>
        <v/>
      </c>
      <c r="R353" s="81" t="n"/>
      <c r="S353" s="81">
        <f>IF($B353="","",IFERROR(INDEX(Task_Tracker!$AA$5:$AA$1004,MATCH($B353,Task_Tracker!$A$5:$A$1004,0)),""))</f>
        <v/>
      </c>
      <c r="T353" s="81">
        <f>IF($B353="","",IFERROR(INDEX(Task_Tracker!$AB$5:$AB$1004,MATCH($B353,Task_Tracker!$A$5:$A$1004,0)),""))</f>
        <v/>
      </c>
      <c r="U353" s="78">
        <f>IF($B353="","",IFERROR(INDEX(Task_Tracker!$F$5:$F$1004,MATCH($B353,Task_Tracker!$A$5:$A$1004,0)),""))</f>
        <v/>
      </c>
      <c r="V353" s="78">
        <f>IF($B353="","",IFERROR(INDEX(Task_Tracker!$I$5:$I$1004,MATCH($B353,Task_Tracker!$A$5:$A$1004,0)),""))</f>
        <v/>
      </c>
      <c r="W353" s="81">
        <f>IF(OR($D353="",$B353=""),"",$D353&amp;" | "&amp;$B353)</f>
        <v/>
      </c>
      <c r="X353" s="85">
        <f>IF($K353="","",TEXT($K353,"yyyy-mm"))</f>
        <v/>
      </c>
      <c r="Y353" s="81">
        <f>IF(OR($A353="",$T353=""),"","Included in Manager_Report")</f>
        <v/>
      </c>
    </row>
    <row r="354" ht="15" customHeight="1" s="40">
      <c r="A354" s="65">
        <f>IF(COUNTA(B354:G354)=0,"","STP-"&amp;TEXT(ROW()-4,"0000"))</f>
        <v/>
      </c>
      <c r="B354" s="78" t="n"/>
      <c r="C354" s="67">
        <f>IF($B354="","",IFERROR(INDEX(Task_Tracker!$D$5:$D$1004,MATCH($B354,Task_Tracker!$A$5:$A$1004,0)),""))</f>
        <v/>
      </c>
      <c r="D354" s="67">
        <f>IF($B354="","",IFERROR(INDEX(Task_Tracker!$B$5:$B$1004,MATCH($B354,Task_Tracker!$A$5:$A$1004,0)),""))</f>
        <v/>
      </c>
      <c r="E354" s="81" t="n"/>
      <c r="F354" s="81" t="n"/>
      <c r="G354" s="78" t="n"/>
      <c r="H354" s="78" t="n"/>
      <c r="I354" s="67">
        <f>IF($H354="","",IFERROR(INDEX(Action_Status_Map!$B$5:$B$11,MATCH($H354,Action_Status_Map!$A$5:$A$11,0)),""))</f>
        <v/>
      </c>
      <c r="J354" s="82" t="n"/>
      <c r="K354" s="82" t="n"/>
      <c r="L354" s="82" t="n"/>
      <c r="M354" s="83" t="n"/>
      <c r="N354" s="83" t="n"/>
      <c r="O354" s="66">
        <f>IF(OR($M354="",$N354=""),"",$N354-$M354)</f>
        <v/>
      </c>
      <c r="P354" s="84">
        <f>IF($J354="","",IF($L354&lt;&gt;"",$L354-$J354,TODAY()-$J354))</f>
        <v/>
      </c>
      <c r="Q354" s="85">
        <f>IF(OR($K354="",$H354="Completed",$H354="Cancelled"),"",IF(AND($K354&lt;TODAY(),$H354&lt;&gt;"Completed",$H354&lt;&gt;"Cancelled"),"Overdue","On Track"))</f>
        <v/>
      </c>
      <c r="R354" s="81" t="n"/>
      <c r="S354" s="81">
        <f>IF($B354="","",IFERROR(INDEX(Task_Tracker!$AA$5:$AA$1004,MATCH($B354,Task_Tracker!$A$5:$A$1004,0)),""))</f>
        <v/>
      </c>
      <c r="T354" s="81">
        <f>IF($B354="","",IFERROR(INDEX(Task_Tracker!$AB$5:$AB$1004,MATCH($B354,Task_Tracker!$A$5:$A$1004,0)),""))</f>
        <v/>
      </c>
      <c r="U354" s="78">
        <f>IF($B354="","",IFERROR(INDEX(Task_Tracker!$F$5:$F$1004,MATCH($B354,Task_Tracker!$A$5:$A$1004,0)),""))</f>
        <v/>
      </c>
      <c r="V354" s="78">
        <f>IF($B354="","",IFERROR(INDEX(Task_Tracker!$I$5:$I$1004,MATCH($B354,Task_Tracker!$A$5:$A$1004,0)),""))</f>
        <v/>
      </c>
      <c r="W354" s="81">
        <f>IF(OR($D354="",$B354=""),"",$D354&amp;" | "&amp;$B354)</f>
        <v/>
      </c>
      <c r="X354" s="85">
        <f>IF($K354="","",TEXT($K354,"yyyy-mm"))</f>
        <v/>
      </c>
      <c r="Y354" s="81">
        <f>IF(OR($A354="",$T354=""),"","Included in Manager_Report")</f>
        <v/>
      </c>
    </row>
    <row r="355" ht="15" customHeight="1" s="40">
      <c r="A355" s="65">
        <f>IF(COUNTA(B355:G355)=0,"","STP-"&amp;TEXT(ROW()-4,"0000"))</f>
        <v/>
      </c>
      <c r="B355" s="78" t="n"/>
      <c r="C355" s="67">
        <f>IF($B355="","",IFERROR(INDEX(Task_Tracker!$D$5:$D$1004,MATCH($B355,Task_Tracker!$A$5:$A$1004,0)),""))</f>
        <v/>
      </c>
      <c r="D355" s="67">
        <f>IF($B355="","",IFERROR(INDEX(Task_Tracker!$B$5:$B$1004,MATCH($B355,Task_Tracker!$A$5:$A$1004,0)),""))</f>
        <v/>
      </c>
      <c r="E355" s="81" t="n"/>
      <c r="F355" s="81" t="n"/>
      <c r="G355" s="78" t="n"/>
      <c r="H355" s="78" t="n"/>
      <c r="I355" s="67">
        <f>IF($H355="","",IFERROR(INDEX(Action_Status_Map!$B$5:$B$11,MATCH($H355,Action_Status_Map!$A$5:$A$11,0)),""))</f>
        <v/>
      </c>
      <c r="J355" s="82" t="n"/>
      <c r="K355" s="82" t="n"/>
      <c r="L355" s="82" t="n"/>
      <c r="M355" s="83" t="n"/>
      <c r="N355" s="83" t="n"/>
      <c r="O355" s="66">
        <f>IF(OR($M355="",$N355=""),"",$N355-$M355)</f>
        <v/>
      </c>
      <c r="P355" s="84">
        <f>IF($J355="","",IF($L355&lt;&gt;"",$L355-$J355,TODAY()-$J355))</f>
        <v/>
      </c>
      <c r="Q355" s="85">
        <f>IF(OR($K355="",$H355="Completed",$H355="Cancelled"),"",IF(AND($K355&lt;TODAY(),$H355&lt;&gt;"Completed",$H355&lt;&gt;"Cancelled"),"Overdue","On Track"))</f>
        <v/>
      </c>
      <c r="R355" s="81" t="n"/>
      <c r="S355" s="81">
        <f>IF($B355="","",IFERROR(INDEX(Task_Tracker!$AA$5:$AA$1004,MATCH($B355,Task_Tracker!$A$5:$A$1004,0)),""))</f>
        <v/>
      </c>
      <c r="T355" s="81">
        <f>IF($B355="","",IFERROR(INDEX(Task_Tracker!$AB$5:$AB$1004,MATCH($B355,Task_Tracker!$A$5:$A$1004,0)),""))</f>
        <v/>
      </c>
      <c r="U355" s="78">
        <f>IF($B355="","",IFERROR(INDEX(Task_Tracker!$F$5:$F$1004,MATCH($B355,Task_Tracker!$A$5:$A$1004,0)),""))</f>
        <v/>
      </c>
      <c r="V355" s="78">
        <f>IF($B355="","",IFERROR(INDEX(Task_Tracker!$I$5:$I$1004,MATCH($B355,Task_Tracker!$A$5:$A$1004,0)),""))</f>
        <v/>
      </c>
      <c r="W355" s="81">
        <f>IF(OR($D355="",$B355=""),"",$D355&amp;" | "&amp;$B355)</f>
        <v/>
      </c>
      <c r="X355" s="85">
        <f>IF($K355="","",TEXT($K355,"yyyy-mm"))</f>
        <v/>
      </c>
      <c r="Y355" s="81">
        <f>IF(OR($A355="",$T355=""),"","Included in Manager_Report")</f>
        <v/>
      </c>
    </row>
    <row r="356" ht="15" customHeight="1" s="40">
      <c r="A356" s="65">
        <f>IF(COUNTA(B356:G356)=0,"","STP-"&amp;TEXT(ROW()-4,"0000"))</f>
        <v/>
      </c>
      <c r="B356" s="78" t="n"/>
      <c r="C356" s="67">
        <f>IF($B356="","",IFERROR(INDEX(Task_Tracker!$D$5:$D$1004,MATCH($B356,Task_Tracker!$A$5:$A$1004,0)),""))</f>
        <v/>
      </c>
      <c r="D356" s="67">
        <f>IF($B356="","",IFERROR(INDEX(Task_Tracker!$B$5:$B$1004,MATCH($B356,Task_Tracker!$A$5:$A$1004,0)),""))</f>
        <v/>
      </c>
      <c r="E356" s="81" t="n"/>
      <c r="F356" s="81" t="n"/>
      <c r="G356" s="78" t="n"/>
      <c r="H356" s="78" t="n"/>
      <c r="I356" s="67">
        <f>IF($H356="","",IFERROR(INDEX(Action_Status_Map!$B$5:$B$11,MATCH($H356,Action_Status_Map!$A$5:$A$11,0)),""))</f>
        <v/>
      </c>
      <c r="J356" s="82" t="n"/>
      <c r="K356" s="82" t="n"/>
      <c r="L356" s="82" t="n"/>
      <c r="M356" s="83" t="n"/>
      <c r="N356" s="83" t="n"/>
      <c r="O356" s="66">
        <f>IF(OR($M356="",$N356=""),"",$N356-$M356)</f>
        <v/>
      </c>
      <c r="P356" s="84">
        <f>IF($J356="","",IF($L356&lt;&gt;"",$L356-$J356,TODAY()-$J356))</f>
        <v/>
      </c>
      <c r="Q356" s="85">
        <f>IF(OR($K356="",$H356="Completed",$H356="Cancelled"),"",IF(AND($K356&lt;TODAY(),$H356&lt;&gt;"Completed",$H356&lt;&gt;"Cancelled"),"Overdue","On Track"))</f>
        <v/>
      </c>
      <c r="R356" s="81" t="n"/>
      <c r="S356" s="81">
        <f>IF($B356="","",IFERROR(INDEX(Task_Tracker!$AA$5:$AA$1004,MATCH($B356,Task_Tracker!$A$5:$A$1004,0)),""))</f>
        <v/>
      </c>
      <c r="T356" s="81">
        <f>IF($B356="","",IFERROR(INDEX(Task_Tracker!$AB$5:$AB$1004,MATCH($B356,Task_Tracker!$A$5:$A$1004,0)),""))</f>
        <v/>
      </c>
      <c r="U356" s="78">
        <f>IF($B356="","",IFERROR(INDEX(Task_Tracker!$F$5:$F$1004,MATCH($B356,Task_Tracker!$A$5:$A$1004,0)),""))</f>
        <v/>
      </c>
      <c r="V356" s="78">
        <f>IF($B356="","",IFERROR(INDEX(Task_Tracker!$I$5:$I$1004,MATCH($B356,Task_Tracker!$A$5:$A$1004,0)),""))</f>
        <v/>
      </c>
      <c r="W356" s="81">
        <f>IF(OR($D356="",$B356=""),"",$D356&amp;" | "&amp;$B356)</f>
        <v/>
      </c>
      <c r="X356" s="85">
        <f>IF($K356="","",TEXT($K356,"yyyy-mm"))</f>
        <v/>
      </c>
      <c r="Y356" s="81">
        <f>IF(OR($A356="",$T356=""),"","Included in Manager_Report")</f>
        <v/>
      </c>
    </row>
    <row r="357" ht="15" customHeight="1" s="40">
      <c r="A357" s="65">
        <f>IF(COUNTA(B357:G357)=0,"","STP-"&amp;TEXT(ROW()-4,"0000"))</f>
        <v/>
      </c>
      <c r="B357" s="78" t="n"/>
      <c r="C357" s="67">
        <f>IF($B357="","",IFERROR(INDEX(Task_Tracker!$D$5:$D$1004,MATCH($B357,Task_Tracker!$A$5:$A$1004,0)),""))</f>
        <v/>
      </c>
      <c r="D357" s="67">
        <f>IF($B357="","",IFERROR(INDEX(Task_Tracker!$B$5:$B$1004,MATCH($B357,Task_Tracker!$A$5:$A$1004,0)),""))</f>
        <v/>
      </c>
      <c r="E357" s="81" t="n"/>
      <c r="F357" s="81" t="n"/>
      <c r="G357" s="78" t="n"/>
      <c r="H357" s="78" t="n"/>
      <c r="I357" s="67">
        <f>IF($H357="","",IFERROR(INDEX(Action_Status_Map!$B$5:$B$11,MATCH($H357,Action_Status_Map!$A$5:$A$11,0)),""))</f>
        <v/>
      </c>
      <c r="J357" s="82" t="n"/>
      <c r="K357" s="82" t="n"/>
      <c r="L357" s="82" t="n"/>
      <c r="M357" s="83" t="n"/>
      <c r="N357" s="83" t="n"/>
      <c r="O357" s="66">
        <f>IF(OR($M357="",$N357=""),"",$N357-$M357)</f>
        <v/>
      </c>
      <c r="P357" s="84">
        <f>IF($J357="","",IF($L357&lt;&gt;"",$L357-$J357,TODAY()-$J357))</f>
        <v/>
      </c>
      <c r="Q357" s="85">
        <f>IF(OR($K357="",$H357="Completed",$H357="Cancelled"),"",IF(AND($K357&lt;TODAY(),$H357&lt;&gt;"Completed",$H357&lt;&gt;"Cancelled"),"Overdue","On Track"))</f>
        <v/>
      </c>
      <c r="R357" s="81" t="n"/>
      <c r="S357" s="81">
        <f>IF($B357="","",IFERROR(INDEX(Task_Tracker!$AA$5:$AA$1004,MATCH($B357,Task_Tracker!$A$5:$A$1004,0)),""))</f>
        <v/>
      </c>
      <c r="T357" s="81">
        <f>IF($B357="","",IFERROR(INDEX(Task_Tracker!$AB$5:$AB$1004,MATCH($B357,Task_Tracker!$A$5:$A$1004,0)),""))</f>
        <v/>
      </c>
      <c r="U357" s="78">
        <f>IF($B357="","",IFERROR(INDEX(Task_Tracker!$F$5:$F$1004,MATCH($B357,Task_Tracker!$A$5:$A$1004,0)),""))</f>
        <v/>
      </c>
      <c r="V357" s="78">
        <f>IF($B357="","",IFERROR(INDEX(Task_Tracker!$I$5:$I$1004,MATCH($B357,Task_Tracker!$A$5:$A$1004,0)),""))</f>
        <v/>
      </c>
      <c r="W357" s="81">
        <f>IF(OR($D357="",$B357=""),"",$D357&amp;" | "&amp;$B357)</f>
        <v/>
      </c>
      <c r="X357" s="85">
        <f>IF($K357="","",TEXT($K357,"yyyy-mm"))</f>
        <v/>
      </c>
      <c r="Y357" s="81">
        <f>IF(OR($A357="",$T357=""),"","Included in Manager_Report")</f>
        <v/>
      </c>
    </row>
    <row r="358" ht="15" customHeight="1" s="40">
      <c r="A358" s="65">
        <f>IF(COUNTA(B358:G358)=0,"","STP-"&amp;TEXT(ROW()-4,"0000"))</f>
        <v/>
      </c>
      <c r="B358" s="78" t="n"/>
      <c r="C358" s="67">
        <f>IF($B358="","",IFERROR(INDEX(Task_Tracker!$D$5:$D$1004,MATCH($B358,Task_Tracker!$A$5:$A$1004,0)),""))</f>
        <v/>
      </c>
      <c r="D358" s="67">
        <f>IF($B358="","",IFERROR(INDEX(Task_Tracker!$B$5:$B$1004,MATCH($B358,Task_Tracker!$A$5:$A$1004,0)),""))</f>
        <v/>
      </c>
      <c r="E358" s="81" t="n"/>
      <c r="F358" s="81" t="n"/>
      <c r="G358" s="78" t="n"/>
      <c r="H358" s="78" t="n"/>
      <c r="I358" s="67">
        <f>IF($H358="","",IFERROR(INDEX(Action_Status_Map!$B$5:$B$11,MATCH($H358,Action_Status_Map!$A$5:$A$11,0)),""))</f>
        <v/>
      </c>
      <c r="J358" s="82" t="n"/>
      <c r="K358" s="82" t="n"/>
      <c r="L358" s="82" t="n"/>
      <c r="M358" s="83" t="n"/>
      <c r="N358" s="83" t="n"/>
      <c r="O358" s="66">
        <f>IF(OR($M358="",$N358=""),"",$N358-$M358)</f>
        <v/>
      </c>
      <c r="P358" s="84">
        <f>IF($J358="","",IF($L358&lt;&gt;"",$L358-$J358,TODAY()-$J358))</f>
        <v/>
      </c>
      <c r="Q358" s="85">
        <f>IF(OR($K358="",$H358="Completed",$H358="Cancelled"),"",IF(AND($K358&lt;TODAY(),$H358&lt;&gt;"Completed",$H358&lt;&gt;"Cancelled"),"Overdue","On Track"))</f>
        <v/>
      </c>
      <c r="R358" s="81" t="n"/>
      <c r="S358" s="81">
        <f>IF($B358="","",IFERROR(INDEX(Task_Tracker!$AA$5:$AA$1004,MATCH($B358,Task_Tracker!$A$5:$A$1004,0)),""))</f>
        <v/>
      </c>
      <c r="T358" s="81">
        <f>IF($B358="","",IFERROR(INDEX(Task_Tracker!$AB$5:$AB$1004,MATCH($B358,Task_Tracker!$A$5:$A$1004,0)),""))</f>
        <v/>
      </c>
      <c r="U358" s="78">
        <f>IF($B358="","",IFERROR(INDEX(Task_Tracker!$F$5:$F$1004,MATCH($B358,Task_Tracker!$A$5:$A$1004,0)),""))</f>
        <v/>
      </c>
      <c r="V358" s="78">
        <f>IF($B358="","",IFERROR(INDEX(Task_Tracker!$I$5:$I$1004,MATCH($B358,Task_Tracker!$A$5:$A$1004,0)),""))</f>
        <v/>
      </c>
      <c r="W358" s="81">
        <f>IF(OR($D358="",$B358=""),"",$D358&amp;" | "&amp;$B358)</f>
        <v/>
      </c>
      <c r="X358" s="85">
        <f>IF($K358="","",TEXT($K358,"yyyy-mm"))</f>
        <v/>
      </c>
      <c r="Y358" s="81">
        <f>IF(OR($A358="",$T358=""),"","Included in Manager_Report")</f>
        <v/>
      </c>
    </row>
    <row r="359" ht="15" customHeight="1" s="40">
      <c r="A359" s="65">
        <f>IF(COUNTA(B359:G359)=0,"","STP-"&amp;TEXT(ROW()-4,"0000"))</f>
        <v/>
      </c>
      <c r="B359" s="78" t="n"/>
      <c r="C359" s="67">
        <f>IF($B359="","",IFERROR(INDEX(Task_Tracker!$D$5:$D$1004,MATCH($B359,Task_Tracker!$A$5:$A$1004,0)),""))</f>
        <v/>
      </c>
      <c r="D359" s="67">
        <f>IF($B359="","",IFERROR(INDEX(Task_Tracker!$B$5:$B$1004,MATCH($B359,Task_Tracker!$A$5:$A$1004,0)),""))</f>
        <v/>
      </c>
      <c r="E359" s="81" t="n"/>
      <c r="F359" s="81" t="n"/>
      <c r="G359" s="78" t="n"/>
      <c r="H359" s="78" t="n"/>
      <c r="I359" s="67">
        <f>IF($H359="","",IFERROR(INDEX(Action_Status_Map!$B$5:$B$11,MATCH($H359,Action_Status_Map!$A$5:$A$11,0)),""))</f>
        <v/>
      </c>
      <c r="J359" s="82" t="n"/>
      <c r="K359" s="82" t="n"/>
      <c r="L359" s="82" t="n"/>
      <c r="M359" s="83" t="n"/>
      <c r="N359" s="83" t="n"/>
      <c r="O359" s="66">
        <f>IF(OR($M359="",$N359=""),"",$N359-$M359)</f>
        <v/>
      </c>
      <c r="P359" s="84">
        <f>IF($J359="","",IF($L359&lt;&gt;"",$L359-$J359,TODAY()-$J359))</f>
        <v/>
      </c>
      <c r="Q359" s="85">
        <f>IF(OR($K359="",$H359="Completed",$H359="Cancelled"),"",IF(AND($K359&lt;TODAY(),$H359&lt;&gt;"Completed",$H359&lt;&gt;"Cancelled"),"Overdue","On Track"))</f>
        <v/>
      </c>
      <c r="R359" s="81" t="n"/>
      <c r="S359" s="81">
        <f>IF($B359="","",IFERROR(INDEX(Task_Tracker!$AA$5:$AA$1004,MATCH($B359,Task_Tracker!$A$5:$A$1004,0)),""))</f>
        <v/>
      </c>
      <c r="T359" s="81">
        <f>IF($B359="","",IFERROR(INDEX(Task_Tracker!$AB$5:$AB$1004,MATCH($B359,Task_Tracker!$A$5:$A$1004,0)),""))</f>
        <v/>
      </c>
      <c r="U359" s="78">
        <f>IF($B359="","",IFERROR(INDEX(Task_Tracker!$F$5:$F$1004,MATCH($B359,Task_Tracker!$A$5:$A$1004,0)),""))</f>
        <v/>
      </c>
      <c r="V359" s="78">
        <f>IF($B359="","",IFERROR(INDEX(Task_Tracker!$I$5:$I$1004,MATCH($B359,Task_Tracker!$A$5:$A$1004,0)),""))</f>
        <v/>
      </c>
      <c r="W359" s="81">
        <f>IF(OR($D359="",$B359=""),"",$D359&amp;" | "&amp;$B359)</f>
        <v/>
      </c>
      <c r="X359" s="85">
        <f>IF($K359="","",TEXT($K359,"yyyy-mm"))</f>
        <v/>
      </c>
      <c r="Y359" s="81">
        <f>IF(OR($A359="",$T359=""),"","Included in Manager_Report")</f>
        <v/>
      </c>
    </row>
    <row r="360" ht="15" customHeight="1" s="40">
      <c r="A360" s="65">
        <f>IF(COUNTA(B360:G360)=0,"","STP-"&amp;TEXT(ROW()-4,"0000"))</f>
        <v/>
      </c>
      <c r="B360" s="78" t="n"/>
      <c r="C360" s="67">
        <f>IF($B360="","",IFERROR(INDEX(Task_Tracker!$D$5:$D$1004,MATCH($B360,Task_Tracker!$A$5:$A$1004,0)),""))</f>
        <v/>
      </c>
      <c r="D360" s="67">
        <f>IF($B360="","",IFERROR(INDEX(Task_Tracker!$B$5:$B$1004,MATCH($B360,Task_Tracker!$A$5:$A$1004,0)),""))</f>
        <v/>
      </c>
      <c r="E360" s="81" t="n"/>
      <c r="F360" s="81" t="n"/>
      <c r="G360" s="78" t="n"/>
      <c r="H360" s="78" t="n"/>
      <c r="I360" s="67">
        <f>IF($H360="","",IFERROR(INDEX(Action_Status_Map!$B$5:$B$11,MATCH($H360,Action_Status_Map!$A$5:$A$11,0)),""))</f>
        <v/>
      </c>
      <c r="J360" s="82" t="n"/>
      <c r="K360" s="82" t="n"/>
      <c r="L360" s="82" t="n"/>
      <c r="M360" s="83" t="n"/>
      <c r="N360" s="83" t="n"/>
      <c r="O360" s="66">
        <f>IF(OR($M360="",$N360=""),"",$N360-$M360)</f>
        <v/>
      </c>
      <c r="P360" s="84">
        <f>IF($J360="","",IF($L360&lt;&gt;"",$L360-$J360,TODAY()-$J360))</f>
        <v/>
      </c>
      <c r="Q360" s="85">
        <f>IF(OR($K360="",$H360="Completed",$H360="Cancelled"),"",IF(AND($K360&lt;TODAY(),$H360&lt;&gt;"Completed",$H360&lt;&gt;"Cancelled"),"Overdue","On Track"))</f>
        <v/>
      </c>
      <c r="R360" s="81" t="n"/>
      <c r="S360" s="81">
        <f>IF($B360="","",IFERROR(INDEX(Task_Tracker!$AA$5:$AA$1004,MATCH($B360,Task_Tracker!$A$5:$A$1004,0)),""))</f>
        <v/>
      </c>
      <c r="T360" s="81">
        <f>IF($B360="","",IFERROR(INDEX(Task_Tracker!$AB$5:$AB$1004,MATCH($B360,Task_Tracker!$A$5:$A$1004,0)),""))</f>
        <v/>
      </c>
      <c r="U360" s="78">
        <f>IF($B360="","",IFERROR(INDEX(Task_Tracker!$F$5:$F$1004,MATCH($B360,Task_Tracker!$A$5:$A$1004,0)),""))</f>
        <v/>
      </c>
      <c r="V360" s="78">
        <f>IF($B360="","",IFERROR(INDEX(Task_Tracker!$I$5:$I$1004,MATCH($B360,Task_Tracker!$A$5:$A$1004,0)),""))</f>
        <v/>
      </c>
      <c r="W360" s="81">
        <f>IF(OR($D360="",$B360=""),"",$D360&amp;" | "&amp;$B360)</f>
        <v/>
      </c>
      <c r="X360" s="85">
        <f>IF($K360="","",TEXT($K360,"yyyy-mm"))</f>
        <v/>
      </c>
      <c r="Y360" s="81">
        <f>IF(OR($A360="",$T360=""),"","Included in Manager_Report")</f>
        <v/>
      </c>
    </row>
    <row r="361" ht="15" customHeight="1" s="40">
      <c r="A361" s="65">
        <f>IF(COUNTA(B361:G361)=0,"","STP-"&amp;TEXT(ROW()-4,"0000"))</f>
        <v/>
      </c>
      <c r="B361" s="78" t="n"/>
      <c r="C361" s="67">
        <f>IF($B361="","",IFERROR(INDEX(Task_Tracker!$D$5:$D$1004,MATCH($B361,Task_Tracker!$A$5:$A$1004,0)),""))</f>
        <v/>
      </c>
      <c r="D361" s="67">
        <f>IF($B361="","",IFERROR(INDEX(Task_Tracker!$B$5:$B$1004,MATCH($B361,Task_Tracker!$A$5:$A$1004,0)),""))</f>
        <v/>
      </c>
      <c r="E361" s="81" t="n"/>
      <c r="F361" s="81" t="n"/>
      <c r="G361" s="78" t="n"/>
      <c r="H361" s="78" t="n"/>
      <c r="I361" s="67">
        <f>IF($H361="","",IFERROR(INDEX(Action_Status_Map!$B$5:$B$11,MATCH($H361,Action_Status_Map!$A$5:$A$11,0)),""))</f>
        <v/>
      </c>
      <c r="J361" s="82" t="n"/>
      <c r="K361" s="82" t="n"/>
      <c r="L361" s="82" t="n"/>
      <c r="M361" s="83" t="n"/>
      <c r="N361" s="83" t="n"/>
      <c r="O361" s="66">
        <f>IF(OR($M361="",$N361=""),"",$N361-$M361)</f>
        <v/>
      </c>
      <c r="P361" s="84">
        <f>IF($J361="","",IF($L361&lt;&gt;"",$L361-$J361,TODAY()-$J361))</f>
        <v/>
      </c>
      <c r="Q361" s="85">
        <f>IF(OR($K361="",$H361="Completed",$H361="Cancelled"),"",IF(AND($K361&lt;TODAY(),$H361&lt;&gt;"Completed",$H361&lt;&gt;"Cancelled"),"Overdue","On Track"))</f>
        <v/>
      </c>
      <c r="R361" s="81" t="n"/>
      <c r="S361" s="81">
        <f>IF($B361="","",IFERROR(INDEX(Task_Tracker!$AA$5:$AA$1004,MATCH($B361,Task_Tracker!$A$5:$A$1004,0)),""))</f>
        <v/>
      </c>
      <c r="T361" s="81">
        <f>IF($B361="","",IFERROR(INDEX(Task_Tracker!$AB$5:$AB$1004,MATCH($B361,Task_Tracker!$A$5:$A$1004,0)),""))</f>
        <v/>
      </c>
      <c r="U361" s="78">
        <f>IF($B361="","",IFERROR(INDEX(Task_Tracker!$F$5:$F$1004,MATCH($B361,Task_Tracker!$A$5:$A$1004,0)),""))</f>
        <v/>
      </c>
      <c r="V361" s="78">
        <f>IF($B361="","",IFERROR(INDEX(Task_Tracker!$I$5:$I$1004,MATCH($B361,Task_Tracker!$A$5:$A$1004,0)),""))</f>
        <v/>
      </c>
      <c r="W361" s="81">
        <f>IF(OR($D361="",$B361=""),"",$D361&amp;" | "&amp;$B361)</f>
        <v/>
      </c>
      <c r="X361" s="85">
        <f>IF($K361="","",TEXT($K361,"yyyy-mm"))</f>
        <v/>
      </c>
      <c r="Y361" s="81">
        <f>IF(OR($A361="",$T361=""),"","Included in Manager_Report")</f>
        <v/>
      </c>
    </row>
    <row r="362" ht="15" customHeight="1" s="40">
      <c r="A362" s="65">
        <f>IF(COUNTA(B362:G362)=0,"","STP-"&amp;TEXT(ROW()-4,"0000"))</f>
        <v/>
      </c>
      <c r="B362" s="78" t="n"/>
      <c r="C362" s="67">
        <f>IF($B362="","",IFERROR(INDEX(Task_Tracker!$D$5:$D$1004,MATCH($B362,Task_Tracker!$A$5:$A$1004,0)),""))</f>
        <v/>
      </c>
      <c r="D362" s="67">
        <f>IF($B362="","",IFERROR(INDEX(Task_Tracker!$B$5:$B$1004,MATCH($B362,Task_Tracker!$A$5:$A$1004,0)),""))</f>
        <v/>
      </c>
      <c r="E362" s="81" t="n"/>
      <c r="F362" s="81" t="n"/>
      <c r="G362" s="78" t="n"/>
      <c r="H362" s="78" t="n"/>
      <c r="I362" s="67">
        <f>IF($H362="","",IFERROR(INDEX(Action_Status_Map!$B$5:$B$11,MATCH($H362,Action_Status_Map!$A$5:$A$11,0)),""))</f>
        <v/>
      </c>
      <c r="J362" s="82" t="n"/>
      <c r="K362" s="82" t="n"/>
      <c r="L362" s="82" t="n"/>
      <c r="M362" s="83" t="n"/>
      <c r="N362" s="83" t="n"/>
      <c r="O362" s="66">
        <f>IF(OR($M362="",$N362=""),"",$N362-$M362)</f>
        <v/>
      </c>
      <c r="P362" s="84">
        <f>IF($J362="","",IF($L362&lt;&gt;"",$L362-$J362,TODAY()-$J362))</f>
        <v/>
      </c>
      <c r="Q362" s="85">
        <f>IF(OR($K362="",$H362="Completed",$H362="Cancelled"),"",IF(AND($K362&lt;TODAY(),$H362&lt;&gt;"Completed",$H362&lt;&gt;"Cancelled"),"Overdue","On Track"))</f>
        <v/>
      </c>
      <c r="R362" s="81" t="n"/>
      <c r="S362" s="81">
        <f>IF($B362="","",IFERROR(INDEX(Task_Tracker!$AA$5:$AA$1004,MATCH($B362,Task_Tracker!$A$5:$A$1004,0)),""))</f>
        <v/>
      </c>
      <c r="T362" s="81">
        <f>IF($B362="","",IFERROR(INDEX(Task_Tracker!$AB$5:$AB$1004,MATCH($B362,Task_Tracker!$A$5:$A$1004,0)),""))</f>
        <v/>
      </c>
      <c r="U362" s="78">
        <f>IF($B362="","",IFERROR(INDEX(Task_Tracker!$F$5:$F$1004,MATCH($B362,Task_Tracker!$A$5:$A$1004,0)),""))</f>
        <v/>
      </c>
      <c r="V362" s="78">
        <f>IF($B362="","",IFERROR(INDEX(Task_Tracker!$I$5:$I$1004,MATCH($B362,Task_Tracker!$A$5:$A$1004,0)),""))</f>
        <v/>
      </c>
      <c r="W362" s="81">
        <f>IF(OR($D362="",$B362=""),"",$D362&amp;" | "&amp;$B362)</f>
        <v/>
      </c>
      <c r="X362" s="85">
        <f>IF($K362="","",TEXT($K362,"yyyy-mm"))</f>
        <v/>
      </c>
      <c r="Y362" s="81">
        <f>IF(OR($A362="",$T362=""),"","Included in Manager_Report")</f>
        <v/>
      </c>
    </row>
    <row r="363" ht="15" customHeight="1" s="40">
      <c r="A363" s="65">
        <f>IF(COUNTA(B363:G363)=0,"","STP-"&amp;TEXT(ROW()-4,"0000"))</f>
        <v/>
      </c>
      <c r="B363" s="78" t="n"/>
      <c r="C363" s="67">
        <f>IF($B363="","",IFERROR(INDEX(Task_Tracker!$D$5:$D$1004,MATCH($B363,Task_Tracker!$A$5:$A$1004,0)),""))</f>
        <v/>
      </c>
      <c r="D363" s="67">
        <f>IF($B363="","",IFERROR(INDEX(Task_Tracker!$B$5:$B$1004,MATCH($B363,Task_Tracker!$A$5:$A$1004,0)),""))</f>
        <v/>
      </c>
      <c r="E363" s="81" t="n"/>
      <c r="F363" s="81" t="n"/>
      <c r="G363" s="78" t="n"/>
      <c r="H363" s="78" t="n"/>
      <c r="I363" s="67">
        <f>IF($H363="","",IFERROR(INDEX(Action_Status_Map!$B$5:$B$11,MATCH($H363,Action_Status_Map!$A$5:$A$11,0)),""))</f>
        <v/>
      </c>
      <c r="J363" s="82" t="n"/>
      <c r="K363" s="82" t="n"/>
      <c r="L363" s="82" t="n"/>
      <c r="M363" s="83" t="n"/>
      <c r="N363" s="83" t="n"/>
      <c r="O363" s="66">
        <f>IF(OR($M363="",$N363=""),"",$N363-$M363)</f>
        <v/>
      </c>
      <c r="P363" s="84">
        <f>IF($J363="","",IF($L363&lt;&gt;"",$L363-$J363,TODAY()-$J363))</f>
        <v/>
      </c>
      <c r="Q363" s="85">
        <f>IF(OR($K363="",$H363="Completed",$H363="Cancelled"),"",IF(AND($K363&lt;TODAY(),$H363&lt;&gt;"Completed",$H363&lt;&gt;"Cancelled"),"Overdue","On Track"))</f>
        <v/>
      </c>
      <c r="R363" s="81" t="n"/>
      <c r="S363" s="81">
        <f>IF($B363="","",IFERROR(INDEX(Task_Tracker!$AA$5:$AA$1004,MATCH($B363,Task_Tracker!$A$5:$A$1004,0)),""))</f>
        <v/>
      </c>
      <c r="T363" s="81">
        <f>IF($B363="","",IFERROR(INDEX(Task_Tracker!$AB$5:$AB$1004,MATCH($B363,Task_Tracker!$A$5:$A$1004,0)),""))</f>
        <v/>
      </c>
      <c r="U363" s="78">
        <f>IF($B363="","",IFERROR(INDEX(Task_Tracker!$F$5:$F$1004,MATCH($B363,Task_Tracker!$A$5:$A$1004,0)),""))</f>
        <v/>
      </c>
      <c r="V363" s="78">
        <f>IF($B363="","",IFERROR(INDEX(Task_Tracker!$I$5:$I$1004,MATCH($B363,Task_Tracker!$A$5:$A$1004,0)),""))</f>
        <v/>
      </c>
      <c r="W363" s="81">
        <f>IF(OR($D363="",$B363=""),"",$D363&amp;" | "&amp;$B363)</f>
        <v/>
      </c>
      <c r="X363" s="85">
        <f>IF($K363="","",TEXT($K363,"yyyy-mm"))</f>
        <v/>
      </c>
      <c r="Y363" s="81">
        <f>IF(OR($A363="",$T363=""),"","Included in Manager_Report")</f>
        <v/>
      </c>
    </row>
    <row r="364" ht="15" customHeight="1" s="40">
      <c r="A364" s="65">
        <f>IF(COUNTA(B364:G364)=0,"","STP-"&amp;TEXT(ROW()-4,"0000"))</f>
        <v/>
      </c>
      <c r="B364" s="78" t="n"/>
      <c r="C364" s="67">
        <f>IF($B364="","",IFERROR(INDEX(Task_Tracker!$D$5:$D$1004,MATCH($B364,Task_Tracker!$A$5:$A$1004,0)),""))</f>
        <v/>
      </c>
      <c r="D364" s="67">
        <f>IF($B364="","",IFERROR(INDEX(Task_Tracker!$B$5:$B$1004,MATCH($B364,Task_Tracker!$A$5:$A$1004,0)),""))</f>
        <v/>
      </c>
      <c r="E364" s="81" t="n"/>
      <c r="F364" s="81" t="n"/>
      <c r="G364" s="78" t="n"/>
      <c r="H364" s="78" t="n"/>
      <c r="I364" s="67">
        <f>IF($H364="","",IFERROR(INDEX(Action_Status_Map!$B$5:$B$11,MATCH($H364,Action_Status_Map!$A$5:$A$11,0)),""))</f>
        <v/>
      </c>
      <c r="J364" s="82" t="n"/>
      <c r="K364" s="82" t="n"/>
      <c r="L364" s="82" t="n"/>
      <c r="M364" s="83" t="n"/>
      <c r="N364" s="83" t="n"/>
      <c r="O364" s="66">
        <f>IF(OR($M364="",$N364=""),"",$N364-$M364)</f>
        <v/>
      </c>
      <c r="P364" s="84">
        <f>IF($J364="","",IF($L364&lt;&gt;"",$L364-$J364,TODAY()-$J364))</f>
        <v/>
      </c>
      <c r="Q364" s="85">
        <f>IF(OR($K364="",$H364="Completed",$H364="Cancelled"),"",IF(AND($K364&lt;TODAY(),$H364&lt;&gt;"Completed",$H364&lt;&gt;"Cancelled"),"Overdue","On Track"))</f>
        <v/>
      </c>
      <c r="R364" s="81" t="n"/>
      <c r="S364" s="81">
        <f>IF($B364="","",IFERROR(INDEX(Task_Tracker!$AA$5:$AA$1004,MATCH($B364,Task_Tracker!$A$5:$A$1004,0)),""))</f>
        <v/>
      </c>
      <c r="T364" s="81">
        <f>IF($B364="","",IFERROR(INDEX(Task_Tracker!$AB$5:$AB$1004,MATCH($B364,Task_Tracker!$A$5:$A$1004,0)),""))</f>
        <v/>
      </c>
      <c r="U364" s="78">
        <f>IF($B364="","",IFERROR(INDEX(Task_Tracker!$F$5:$F$1004,MATCH($B364,Task_Tracker!$A$5:$A$1004,0)),""))</f>
        <v/>
      </c>
      <c r="V364" s="78">
        <f>IF($B364="","",IFERROR(INDEX(Task_Tracker!$I$5:$I$1004,MATCH($B364,Task_Tracker!$A$5:$A$1004,0)),""))</f>
        <v/>
      </c>
      <c r="W364" s="81">
        <f>IF(OR($D364="",$B364=""),"",$D364&amp;" | "&amp;$B364)</f>
        <v/>
      </c>
      <c r="X364" s="85">
        <f>IF($K364="","",TEXT($K364,"yyyy-mm"))</f>
        <v/>
      </c>
      <c r="Y364" s="81">
        <f>IF(OR($A364="",$T364=""),"","Included in Manager_Report")</f>
        <v/>
      </c>
    </row>
    <row r="365" ht="15" customHeight="1" s="40">
      <c r="A365" s="65">
        <f>IF(COUNTA(B365:G365)=0,"","STP-"&amp;TEXT(ROW()-4,"0000"))</f>
        <v/>
      </c>
      <c r="B365" s="78" t="n"/>
      <c r="C365" s="67">
        <f>IF($B365="","",IFERROR(INDEX(Task_Tracker!$D$5:$D$1004,MATCH($B365,Task_Tracker!$A$5:$A$1004,0)),""))</f>
        <v/>
      </c>
      <c r="D365" s="67">
        <f>IF($B365="","",IFERROR(INDEX(Task_Tracker!$B$5:$B$1004,MATCH($B365,Task_Tracker!$A$5:$A$1004,0)),""))</f>
        <v/>
      </c>
      <c r="E365" s="81" t="n"/>
      <c r="F365" s="81" t="n"/>
      <c r="G365" s="78" t="n"/>
      <c r="H365" s="78" t="n"/>
      <c r="I365" s="67">
        <f>IF($H365="","",IFERROR(INDEX(Action_Status_Map!$B$5:$B$11,MATCH($H365,Action_Status_Map!$A$5:$A$11,0)),""))</f>
        <v/>
      </c>
      <c r="J365" s="82" t="n"/>
      <c r="K365" s="82" t="n"/>
      <c r="L365" s="82" t="n"/>
      <c r="M365" s="83" t="n"/>
      <c r="N365" s="83" t="n"/>
      <c r="O365" s="66">
        <f>IF(OR($M365="",$N365=""),"",$N365-$M365)</f>
        <v/>
      </c>
      <c r="P365" s="84">
        <f>IF($J365="","",IF($L365&lt;&gt;"",$L365-$J365,TODAY()-$J365))</f>
        <v/>
      </c>
      <c r="Q365" s="85">
        <f>IF(OR($K365="",$H365="Completed",$H365="Cancelled"),"",IF(AND($K365&lt;TODAY(),$H365&lt;&gt;"Completed",$H365&lt;&gt;"Cancelled"),"Overdue","On Track"))</f>
        <v/>
      </c>
      <c r="R365" s="81" t="n"/>
      <c r="S365" s="81">
        <f>IF($B365="","",IFERROR(INDEX(Task_Tracker!$AA$5:$AA$1004,MATCH($B365,Task_Tracker!$A$5:$A$1004,0)),""))</f>
        <v/>
      </c>
      <c r="T365" s="81">
        <f>IF($B365="","",IFERROR(INDEX(Task_Tracker!$AB$5:$AB$1004,MATCH($B365,Task_Tracker!$A$5:$A$1004,0)),""))</f>
        <v/>
      </c>
      <c r="U365" s="78">
        <f>IF($B365="","",IFERROR(INDEX(Task_Tracker!$F$5:$F$1004,MATCH($B365,Task_Tracker!$A$5:$A$1004,0)),""))</f>
        <v/>
      </c>
      <c r="V365" s="78">
        <f>IF($B365="","",IFERROR(INDEX(Task_Tracker!$I$5:$I$1004,MATCH($B365,Task_Tracker!$A$5:$A$1004,0)),""))</f>
        <v/>
      </c>
      <c r="W365" s="81">
        <f>IF(OR($D365="",$B365=""),"",$D365&amp;" | "&amp;$B365)</f>
        <v/>
      </c>
      <c r="X365" s="85">
        <f>IF($K365="","",TEXT($K365,"yyyy-mm"))</f>
        <v/>
      </c>
      <c r="Y365" s="81">
        <f>IF(OR($A365="",$T365=""),"","Included in Manager_Report")</f>
        <v/>
      </c>
    </row>
    <row r="366" ht="15" customHeight="1" s="40">
      <c r="A366" s="65">
        <f>IF(COUNTA(B366:G366)=0,"","STP-"&amp;TEXT(ROW()-4,"0000"))</f>
        <v/>
      </c>
      <c r="B366" s="78" t="n"/>
      <c r="C366" s="67">
        <f>IF($B366="","",IFERROR(INDEX(Task_Tracker!$D$5:$D$1004,MATCH($B366,Task_Tracker!$A$5:$A$1004,0)),""))</f>
        <v/>
      </c>
      <c r="D366" s="67">
        <f>IF($B366="","",IFERROR(INDEX(Task_Tracker!$B$5:$B$1004,MATCH($B366,Task_Tracker!$A$5:$A$1004,0)),""))</f>
        <v/>
      </c>
      <c r="E366" s="81" t="n"/>
      <c r="F366" s="81" t="n"/>
      <c r="G366" s="78" t="n"/>
      <c r="H366" s="78" t="n"/>
      <c r="I366" s="67">
        <f>IF($H366="","",IFERROR(INDEX(Action_Status_Map!$B$5:$B$11,MATCH($H366,Action_Status_Map!$A$5:$A$11,0)),""))</f>
        <v/>
      </c>
      <c r="J366" s="82" t="n"/>
      <c r="K366" s="82" t="n"/>
      <c r="L366" s="82" t="n"/>
      <c r="M366" s="83" t="n"/>
      <c r="N366" s="83" t="n"/>
      <c r="O366" s="66">
        <f>IF(OR($M366="",$N366=""),"",$N366-$M366)</f>
        <v/>
      </c>
      <c r="P366" s="84">
        <f>IF($J366="","",IF($L366&lt;&gt;"",$L366-$J366,TODAY()-$J366))</f>
        <v/>
      </c>
      <c r="Q366" s="85">
        <f>IF(OR($K366="",$H366="Completed",$H366="Cancelled"),"",IF(AND($K366&lt;TODAY(),$H366&lt;&gt;"Completed",$H366&lt;&gt;"Cancelled"),"Overdue","On Track"))</f>
        <v/>
      </c>
      <c r="R366" s="81" t="n"/>
      <c r="S366" s="81">
        <f>IF($B366="","",IFERROR(INDEX(Task_Tracker!$AA$5:$AA$1004,MATCH($B366,Task_Tracker!$A$5:$A$1004,0)),""))</f>
        <v/>
      </c>
      <c r="T366" s="81">
        <f>IF($B366="","",IFERROR(INDEX(Task_Tracker!$AB$5:$AB$1004,MATCH($B366,Task_Tracker!$A$5:$A$1004,0)),""))</f>
        <v/>
      </c>
      <c r="U366" s="78">
        <f>IF($B366="","",IFERROR(INDEX(Task_Tracker!$F$5:$F$1004,MATCH($B366,Task_Tracker!$A$5:$A$1004,0)),""))</f>
        <v/>
      </c>
      <c r="V366" s="78">
        <f>IF($B366="","",IFERROR(INDEX(Task_Tracker!$I$5:$I$1004,MATCH($B366,Task_Tracker!$A$5:$A$1004,0)),""))</f>
        <v/>
      </c>
      <c r="W366" s="81">
        <f>IF(OR($D366="",$B366=""),"",$D366&amp;" | "&amp;$B366)</f>
        <v/>
      </c>
      <c r="X366" s="85">
        <f>IF($K366="","",TEXT($K366,"yyyy-mm"))</f>
        <v/>
      </c>
      <c r="Y366" s="81">
        <f>IF(OR($A366="",$T366=""),"","Included in Manager_Report")</f>
        <v/>
      </c>
    </row>
    <row r="367" ht="15" customHeight="1" s="40">
      <c r="A367" s="65">
        <f>IF(COUNTA(B367:G367)=0,"","STP-"&amp;TEXT(ROW()-4,"0000"))</f>
        <v/>
      </c>
      <c r="B367" s="78" t="n"/>
      <c r="C367" s="67">
        <f>IF($B367="","",IFERROR(INDEX(Task_Tracker!$D$5:$D$1004,MATCH($B367,Task_Tracker!$A$5:$A$1004,0)),""))</f>
        <v/>
      </c>
      <c r="D367" s="67">
        <f>IF($B367="","",IFERROR(INDEX(Task_Tracker!$B$5:$B$1004,MATCH($B367,Task_Tracker!$A$5:$A$1004,0)),""))</f>
        <v/>
      </c>
      <c r="E367" s="81" t="n"/>
      <c r="F367" s="81" t="n"/>
      <c r="G367" s="78" t="n"/>
      <c r="H367" s="78" t="n"/>
      <c r="I367" s="67">
        <f>IF($H367="","",IFERROR(INDEX(Action_Status_Map!$B$5:$B$11,MATCH($H367,Action_Status_Map!$A$5:$A$11,0)),""))</f>
        <v/>
      </c>
      <c r="J367" s="82" t="n"/>
      <c r="K367" s="82" t="n"/>
      <c r="L367" s="82" t="n"/>
      <c r="M367" s="83" t="n"/>
      <c r="N367" s="83" t="n"/>
      <c r="O367" s="66">
        <f>IF(OR($M367="",$N367=""),"",$N367-$M367)</f>
        <v/>
      </c>
      <c r="P367" s="84">
        <f>IF($J367="","",IF($L367&lt;&gt;"",$L367-$J367,TODAY()-$J367))</f>
        <v/>
      </c>
      <c r="Q367" s="85">
        <f>IF(OR($K367="",$H367="Completed",$H367="Cancelled"),"",IF(AND($K367&lt;TODAY(),$H367&lt;&gt;"Completed",$H367&lt;&gt;"Cancelled"),"Overdue","On Track"))</f>
        <v/>
      </c>
      <c r="R367" s="81" t="n"/>
      <c r="S367" s="81">
        <f>IF($B367="","",IFERROR(INDEX(Task_Tracker!$AA$5:$AA$1004,MATCH($B367,Task_Tracker!$A$5:$A$1004,0)),""))</f>
        <v/>
      </c>
      <c r="T367" s="81">
        <f>IF($B367="","",IFERROR(INDEX(Task_Tracker!$AB$5:$AB$1004,MATCH($B367,Task_Tracker!$A$5:$A$1004,0)),""))</f>
        <v/>
      </c>
      <c r="U367" s="78">
        <f>IF($B367="","",IFERROR(INDEX(Task_Tracker!$F$5:$F$1004,MATCH($B367,Task_Tracker!$A$5:$A$1004,0)),""))</f>
        <v/>
      </c>
      <c r="V367" s="78">
        <f>IF($B367="","",IFERROR(INDEX(Task_Tracker!$I$5:$I$1004,MATCH($B367,Task_Tracker!$A$5:$A$1004,0)),""))</f>
        <v/>
      </c>
      <c r="W367" s="81">
        <f>IF(OR($D367="",$B367=""),"",$D367&amp;" | "&amp;$B367)</f>
        <v/>
      </c>
      <c r="X367" s="85">
        <f>IF($K367="","",TEXT($K367,"yyyy-mm"))</f>
        <v/>
      </c>
      <c r="Y367" s="81">
        <f>IF(OR($A367="",$T367=""),"","Included in Manager_Report")</f>
        <v/>
      </c>
    </row>
    <row r="368" ht="15" customHeight="1" s="40">
      <c r="A368" s="65">
        <f>IF(COUNTA(B368:G368)=0,"","STP-"&amp;TEXT(ROW()-4,"0000"))</f>
        <v/>
      </c>
      <c r="B368" s="78" t="n"/>
      <c r="C368" s="67">
        <f>IF($B368="","",IFERROR(INDEX(Task_Tracker!$D$5:$D$1004,MATCH($B368,Task_Tracker!$A$5:$A$1004,0)),""))</f>
        <v/>
      </c>
      <c r="D368" s="67">
        <f>IF($B368="","",IFERROR(INDEX(Task_Tracker!$B$5:$B$1004,MATCH($B368,Task_Tracker!$A$5:$A$1004,0)),""))</f>
        <v/>
      </c>
      <c r="E368" s="81" t="n"/>
      <c r="F368" s="81" t="n"/>
      <c r="G368" s="78" t="n"/>
      <c r="H368" s="78" t="n"/>
      <c r="I368" s="67">
        <f>IF($H368="","",IFERROR(INDEX(Action_Status_Map!$B$5:$B$11,MATCH($H368,Action_Status_Map!$A$5:$A$11,0)),""))</f>
        <v/>
      </c>
      <c r="J368" s="82" t="n"/>
      <c r="K368" s="82" t="n"/>
      <c r="L368" s="82" t="n"/>
      <c r="M368" s="83" t="n"/>
      <c r="N368" s="83" t="n"/>
      <c r="O368" s="66">
        <f>IF(OR($M368="",$N368=""),"",$N368-$M368)</f>
        <v/>
      </c>
      <c r="P368" s="84">
        <f>IF($J368="","",IF($L368&lt;&gt;"",$L368-$J368,TODAY()-$J368))</f>
        <v/>
      </c>
      <c r="Q368" s="85">
        <f>IF(OR($K368="",$H368="Completed",$H368="Cancelled"),"",IF(AND($K368&lt;TODAY(),$H368&lt;&gt;"Completed",$H368&lt;&gt;"Cancelled"),"Overdue","On Track"))</f>
        <v/>
      </c>
      <c r="R368" s="81" t="n"/>
      <c r="S368" s="81">
        <f>IF($B368="","",IFERROR(INDEX(Task_Tracker!$AA$5:$AA$1004,MATCH($B368,Task_Tracker!$A$5:$A$1004,0)),""))</f>
        <v/>
      </c>
      <c r="T368" s="81">
        <f>IF($B368="","",IFERROR(INDEX(Task_Tracker!$AB$5:$AB$1004,MATCH($B368,Task_Tracker!$A$5:$A$1004,0)),""))</f>
        <v/>
      </c>
      <c r="U368" s="78">
        <f>IF($B368="","",IFERROR(INDEX(Task_Tracker!$F$5:$F$1004,MATCH($B368,Task_Tracker!$A$5:$A$1004,0)),""))</f>
        <v/>
      </c>
      <c r="V368" s="78">
        <f>IF($B368="","",IFERROR(INDEX(Task_Tracker!$I$5:$I$1004,MATCH($B368,Task_Tracker!$A$5:$A$1004,0)),""))</f>
        <v/>
      </c>
      <c r="W368" s="81">
        <f>IF(OR($D368="",$B368=""),"",$D368&amp;" | "&amp;$B368)</f>
        <v/>
      </c>
      <c r="X368" s="85">
        <f>IF($K368="","",TEXT($K368,"yyyy-mm"))</f>
        <v/>
      </c>
      <c r="Y368" s="81">
        <f>IF(OR($A368="",$T368=""),"","Included in Manager_Report")</f>
        <v/>
      </c>
    </row>
    <row r="369" ht="15" customHeight="1" s="40">
      <c r="A369" s="65">
        <f>IF(COUNTA(B369:G369)=0,"","STP-"&amp;TEXT(ROW()-4,"0000"))</f>
        <v/>
      </c>
      <c r="B369" s="78" t="n"/>
      <c r="C369" s="67">
        <f>IF($B369="","",IFERROR(INDEX(Task_Tracker!$D$5:$D$1004,MATCH($B369,Task_Tracker!$A$5:$A$1004,0)),""))</f>
        <v/>
      </c>
      <c r="D369" s="67">
        <f>IF($B369="","",IFERROR(INDEX(Task_Tracker!$B$5:$B$1004,MATCH($B369,Task_Tracker!$A$5:$A$1004,0)),""))</f>
        <v/>
      </c>
      <c r="E369" s="81" t="n"/>
      <c r="F369" s="81" t="n"/>
      <c r="G369" s="78" t="n"/>
      <c r="H369" s="78" t="n"/>
      <c r="I369" s="67">
        <f>IF($H369="","",IFERROR(INDEX(Action_Status_Map!$B$5:$B$11,MATCH($H369,Action_Status_Map!$A$5:$A$11,0)),""))</f>
        <v/>
      </c>
      <c r="J369" s="82" t="n"/>
      <c r="K369" s="82" t="n"/>
      <c r="L369" s="82" t="n"/>
      <c r="M369" s="83" t="n"/>
      <c r="N369" s="83" t="n"/>
      <c r="O369" s="66">
        <f>IF(OR($M369="",$N369=""),"",$N369-$M369)</f>
        <v/>
      </c>
      <c r="P369" s="84">
        <f>IF($J369="","",IF($L369&lt;&gt;"",$L369-$J369,TODAY()-$J369))</f>
        <v/>
      </c>
      <c r="Q369" s="85">
        <f>IF(OR($K369="",$H369="Completed",$H369="Cancelled"),"",IF(AND($K369&lt;TODAY(),$H369&lt;&gt;"Completed",$H369&lt;&gt;"Cancelled"),"Overdue","On Track"))</f>
        <v/>
      </c>
      <c r="R369" s="81" t="n"/>
      <c r="S369" s="81">
        <f>IF($B369="","",IFERROR(INDEX(Task_Tracker!$AA$5:$AA$1004,MATCH($B369,Task_Tracker!$A$5:$A$1004,0)),""))</f>
        <v/>
      </c>
      <c r="T369" s="81">
        <f>IF($B369="","",IFERROR(INDEX(Task_Tracker!$AB$5:$AB$1004,MATCH($B369,Task_Tracker!$A$5:$A$1004,0)),""))</f>
        <v/>
      </c>
      <c r="U369" s="78">
        <f>IF($B369="","",IFERROR(INDEX(Task_Tracker!$F$5:$F$1004,MATCH($B369,Task_Tracker!$A$5:$A$1004,0)),""))</f>
        <v/>
      </c>
      <c r="V369" s="78">
        <f>IF($B369="","",IFERROR(INDEX(Task_Tracker!$I$5:$I$1004,MATCH($B369,Task_Tracker!$A$5:$A$1004,0)),""))</f>
        <v/>
      </c>
      <c r="W369" s="81">
        <f>IF(OR($D369="",$B369=""),"",$D369&amp;" | "&amp;$B369)</f>
        <v/>
      </c>
      <c r="X369" s="85">
        <f>IF($K369="","",TEXT($K369,"yyyy-mm"))</f>
        <v/>
      </c>
      <c r="Y369" s="81">
        <f>IF(OR($A369="",$T369=""),"","Included in Manager_Report")</f>
        <v/>
      </c>
    </row>
    <row r="370" ht="15" customHeight="1" s="40">
      <c r="A370" s="65">
        <f>IF(COUNTA(B370:G370)=0,"","STP-"&amp;TEXT(ROW()-4,"0000"))</f>
        <v/>
      </c>
      <c r="B370" s="78" t="n"/>
      <c r="C370" s="67">
        <f>IF($B370="","",IFERROR(INDEX(Task_Tracker!$D$5:$D$1004,MATCH($B370,Task_Tracker!$A$5:$A$1004,0)),""))</f>
        <v/>
      </c>
      <c r="D370" s="67">
        <f>IF($B370="","",IFERROR(INDEX(Task_Tracker!$B$5:$B$1004,MATCH($B370,Task_Tracker!$A$5:$A$1004,0)),""))</f>
        <v/>
      </c>
      <c r="E370" s="81" t="n"/>
      <c r="F370" s="81" t="n"/>
      <c r="G370" s="78" t="n"/>
      <c r="H370" s="78" t="n"/>
      <c r="I370" s="67">
        <f>IF($H370="","",IFERROR(INDEX(Action_Status_Map!$B$5:$B$11,MATCH($H370,Action_Status_Map!$A$5:$A$11,0)),""))</f>
        <v/>
      </c>
      <c r="J370" s="82" t="n"/>
      <c r="K370" s="82" t="n"/>
      <c r="L370" s="82" t="n"/>
      <c r="M370" s="83" t="n"/>
      <c r="N370" s="83" t="n"/>
      <c r="O370" s="66">
        <f>IF(OR($M370="",$N370=""),"",$N370-$M370)</f>
        <v/>
      </c>
      <c r="P370" s="84">
        <f>IF($J370="","",IF($L370&lt;&gt;"",$L370-$J370,TODAY()-$J370))</f>
        <v/>
      </c>
      <c r="Q370" s="85">
        <f>IF(OR($K370="",$H370="Completed",$H370="Cancelled"),"",IF(AND($K370&lt;TODAY(),$H370&lt;&gt;"Completed",$H370&lt;&gt;"Cancelled"),"Overdue","On Track"))</f>
        <v/>
      </c>
      <c r="R370" s="81" t="n"/>
      <c r="S370" s="81">
        <f>IF($B370="","",IFERROR(INDEX(Task_Tracker!$AA$5:$AA$1004,MATCH($B370,Task_Tracker!$A$5:$A$1004,0)),""))</f>
        <v/>
      </c>
      <c r="T370" s="81">
        <f>IF($B370="","",IFERROR(INDEX(Task_Tracker!$AB$5:$AB$1004,MATCH($B370,Task_Tracker!$A$5:$A$1004,0)),""))</f>
        <v/>
      </c>
      <c r="U370" s="78">
        <f>IF($B370="","",IFERROR(INDEX(Task_Tracker!$F$5:$F$1004,MATCH($B370,Task_Tracker!$A$5:$A$1004,0)),""))</f>
        <v/>
      </c>
      <c r="V370" s="78">
        <f>IF($B370="","",IFERROR(INDEX(Task_Tracker!$I$5:$I$1004,MATCH($B370,Task_Tracker!$A$5:$A$1004,0)),""))</f>
        <v/>
      </c>
      <c r="W370" s="81">
        <f>IF(OR($D370="",$B370=""),"",$D370&amp;" | "&amp;$B370)</f>
        <v/>
      </c>
      <c r="X370" s="85">
        <f>IF($K370="","",TEXT($K370,"yyyy-mm"))</f>
        <v/>
      </c>
      <c r="Y370" s="81">
        <f>IF(OR($A370="",$T370=""),"","Included in Manager_Report")</f>
        <v/>
      </c>
    </row>
    <row r="371" ht="15" customHeight="1" s="40">
      <c r="A371" s="65">
        <f>IF(COUNTA(B371:G371)=0,"","STP-"&amp;TEXT(ROW()-4,"0000"))</f>
        <v/>
      </c>
      <c r="B371" s="78" t="n"/>
      <c r="C371" s="67">
        <f>IF($B371="","",IFERROR(INDEX(Task_Tracker!$D$5:$D$1004,MATCH($B371,Task_Tracker!$A$5:$A$1004,0)),""))</f>
        <v/>
      </c>
      <c r="D371" s="67">
        <f>IF($B371="","",IFERROR(INDEX(Task_Tracker!$B$5:$B$1004,MATCH($B371,Task_Tracker!$A$5:$A$1004,0)),""))</f>
        <v/>
      </c>
      <c r="E371" s="81" t="n"/>
      <c r="F371" s="81" t="n"/>
      <c r="G371" s="78" t="n"/>
      <c r="H371" s="78" t="n"/>
      <c r="I371" s="67">
        <f>IF($H371="","",IFERROR(INDEX(Action_Status_Map!$B$5:$B$11,MATCH($H371,Action_Status_Map!$A$5:$A$11,0)),""))</f>
        <v/>
      </c>
      <c r="J371" s="82" t="n"/>
      <c r="K371" s="82" t="n"/>
      <c r="L371" s="82" t="n"/>
      <c r="M371" s="83" t="n"/>
      <c r="N371" s="83" t="n"/>
      <c r="O371" s="66">
        <f>IF(OR($M371="",$N371=""),"",$N371-$M371)</f>
        <v/>
      </c>
      <c r="P371" s="84">
        <f>IF($J371="","",IF($L371&lt;&gt;"",$L371-$J371,TODAY()-$J371))</f>
        <v/>
      </c>
      <c r="Q371" s="85">
        <f>IF(OR($K371="",$H371="Completed",$H371="Cancelled"),"",IF(AND($K371&lt;TODAY(),$H371&lt;&gt;"Completed",$H371&lt;&gt;"Cancelled"),"Overdue","On Track"))</f>
        <v/>
      </c>
      <c r="R371" s="81" t="n"/>
      <c r="S371" s="81">
        <f>IF($B371="","",IFERROR(INDEX(Task_Tracker!$AA$5:$AA$1004,MATCH($B371,Task_Tracker!$A$5:$A$1004,0)),""))</f>
        <v/>
      </c>
      <c r="T371" s="81">
        <f>IF($B371="","",IFERROR(INDEX(Task_Tracker!$AB$5:$AB$1004,MATCH($B371,Task_Tracker!$A$5:$A$1004,0)),""))</f>
        <v/>
      </c>
      <c r="U371" s="78">
        <f>IF($B371="","",IFERROR(INDEX(Task_Tracker!$F$5:$F$1004,MATCH($B371,Task_Tracker!$A$5:$A$1004,0)),""))</f>
        <v/>
      </c>
      <c r="V371" s="78">
        <f>IF($B371="","",IFERROR(INDEX(Task_Tracker!$I$5:$I$1004,MATCH($B371,Task_Tracker!$A$5:$A$1004,0)),""))</f>
        <v/>
      </c>
      <c r="W371" s="81">
        <f>IF(OR($D371="",$B371=""),"",$D371&amp;" | "&amp;$B371)</f>
        <v/>
      </c>
      <c r="X371" s="85">
        <f>IF($K371="","",TEXT($K371,"yyyy-mm"))</f>
        <v/>
      </c>
      <c r="Y371" s="81">
        <f>IF(OR($A371="",$T371=""),"","Included in Manager_Report")</f>
        <v/>
      </c>
    </row>
    <row r="372" ht="15" customHeight="1" s="40">
      <c r="A372" s="65">
        <f>IF(COUNTA(B372:G372)=0,"","STP-"&amp;TEXT(ROW()-4,"0000"))</f>
        <v/>
      </c>
      <c r="B372" s="78" t="n"/>
      <c r="C372" s="67">
        <f>IF($B372="","",IFERROR(INDEX(Task_Tracker!$D$5:$D$1004,MATCH($B372,Task_Tracker!$A$5:$A$1004,0)),""))</f>
        <v/>
      </c>
      <c r="D372" s="67">
        <f>IF($B372="","",IFERROR(INDEX(Task_Tracker!$B$5:$B$1004,MATCH($B372,Task_Tracker!$A$5:$A$1004,0)),""))</f>
        <v/>
      </c>
      <c r="E372" s="81" t="n"/>
      <c r="F372" s="81" t="n"/>
      <c r="G372" s="78" t="n"/>
      <c r="H372" s="78" t="n"/>
      <c r="I372" s="67">
        <f>IF($H372="","",IFERROR(INDEX(Action_Status_Map!$B$5:$B$11,MATCH($H372,Action_Status_Map!$A$5:$A$11,0)),""))</f>
        <v/>
      </c>
      <c r="J372" s="82" t="n"/>
      <c r="K372" s="82" t="n"/>
      <c r="L372" s="82" t="n"/>
      <c r="M372" s="83" t="n"/>
      <c r="N372" s="83" t="n"/>
      <c r="O372" s="66">
        <f>IF(OR($M372="",$N372=""),"",$N372-$M372)</f>
        <v/>
      </c>
      <c r="P372" s="84">
        <f>IF($J372="","",IF($L372&lt;&gt;"",$L372-$J372,TODAY()-$J372))</f>
        <v/>
      </c>
      <c r="Q372" s="85">
        <f>IF(OR($K372="",$H372="Completed",$H372="Cancelled"),"",IF(AND($K372&lt;TODAY(),$H372&lt;&gt;"Completed",$H372&lt;&gt;"Cancelled"),"Overdue","On Track"))</f>
        <v/>
      </c>
      <c r="R372" s="81" t="n"/>
      <c r="S372" s="81">
        <f>IF($B372="","",IFERROR(INDEX(Task_Tracker!$AA$5:$AA$1004,MATCH($B372,Task_Tracker!$A$5:$A$1004,0)),""))</f>
        <v/>
      </c>
      <c r="T372" s="81">
        <f>IF($B372="","",IFERROR(INDEX(Task_Tracker!$AB$5:$AB$1004,MATCH($B372,Task_Tracker!$A$5:$A$1004,0)),""))</f>
        <v/>
      </c>
      <c r="U372" s="78">
        <f>IF($B372="","",IFERROR(INDEX(Task_Tracker!$F$5:$F$1004,MATCH($B372,Task_Tracker!$A$5:$A$1004,0)),""))</f>
        <v/>
      </c>
      <c r="V372" s="78">
        <f>IF($B372="","",IFERROR(INDEX(Task_Tracker!$I$5:$I$1004,MATCH($B372,Task_Tracker!$A$5:$A$1004,0)),""))</f>
        <v/>
      </c>
      <c r="W372" s="81">
        <f>IF(OR($D372="",$B372=""),"",$D372&amp;" | "&amp;$B372)</f>
        <v/>
      </c>
      <c r="X372" s="85">
        <f>IF($K372="","",TEXT($K372,"yyyy-mm"))</f>
        <v/>
      </c>
      <c r="Y372" s="81">
        <f>IF(OR($A372="",$T372=""),"","Included in Manager_Report")</f>
        <v/>
      </c>
    </row>
    <row r="373" ht="15" customHeight="1" s="40">
      <c r="A373" s="65">
        <f>IF(COUNTA(B373:G373)=0,"","STP-"&amp;TEXT(ROW()-4,"0000"))</f>
        <v/>
      </c>
      <c r="B373" s="78" t="n"/>
      <c r="C373" s="67">
        <f>IF($B373="","",IFERROR(INDEX(Task_Tracker!$D$5:$D$1004,MATCH($B373,Task_Tracker!$A$5:$A$1004,0)),""))</f>
        <v/>
      </c>
      <c r="D373" s="67">
        <f>IF($B373="","",IFERROR(INDEX(Task_Tracker!$B$5:$B$1004,MATCH($B373,Task_Tracker!$A$5:$A$1004,0)),""))</f>
        <v/>
      </c>
      <c r="E373" s="81" t="n"/>
      <c r="F373" s="81" t="n"/>
      <c r="G373" s="78" t="n"/>
      <c r="H373" s="78" t="n"/>
      <c r="I373" s="67">
        <f>IF($H373="","",IFERROR(INDEX(Action_Status_Map!$B$5:$B$11,MATCH($H373,Action_Status_Map!$A$5:$A$11,0)),""))</f>
        <v/>
      </c>
      <c r="J373" s="82" t="n"/>
      <c r="K373" s="82" t="n"/>
      <c r="L373" s="82" t="n"/>
      <c r="M373" s="83" t="n"/>
      <c r="N373" s="83" t="n"/>
      <c r="O373" s="66">
        <f>IF(OR($M373="",$N373=""),"",$N373-$M373)</f>
        <v/>
      </c>
      <c r="P373" s="84">
        <f>IF($J373="","",IF($L373&lt;&gt;"",$L373-$J373,TODAY()-$J373))</f>
        <v/>
      </c>
      <c r="Q373" s="85">
        <f>IF(OR($K373="",$H373="Completed",$H373="Cancelled"),"",IF(AND($K373&lt;TODAY(),$H373&lt;&gt;"Completed",$H373&lt;&gt;"Cancelled"),"Overdue","On Track"))</f>
        <v/>
      </c>
      <c r="R373" s="81" t="n"/>
      <c r="S373" s="81">
        <f>IF($B373="","",IFERROR(INDEX(Task_Tracker!$AA$5:$AA$1004,MATCH($B373,Task_Tracker!$A$5:$A$1004,0)),""))</f>
        <v/>
      </c>
      <c r="T373" s="81">
        <f>IF($B373="","",IFERROR(INDEX(Task_Tracker!$AB$5:$AB$1004,MATCH($B373,Task_Tracker!$A$5:$A$1004,0)),""))</f>
        <v/>
      </c>
      <c r="U373" s="78">
        <f>IF($B373="","",IFERROR(INDEX(Task_Tracker!$F$5:$F$1004,MATCH($B373,Task_Tracker!$A$5:$A$1004,0)),""))</f>
        <v/>
      </c>
      <c r="V373" s="78">
        <f>IF($B373="","",IFERROR(INDEX(Task_Tracker!$I$5:$I$1004,MATCH($B373,Task_Tracker!$A$5:$A$1004,0)),""))</f>
        <v/>
      </c>
      <c r="W373" s="81">
        <f>IF(OR($D373="",$B373=""),"",$D373&amp;" | "&amp;$B373)</f>
        <v/>
      </c>
      <c r="X373" s="85">
        <f>IF($K373="","",TEXT($K373,"yyyy-mm"))</f>
        <v/>
      </c>
      <c r="Y373" s="81">
        <f>IF(OR($A373="",$T373=""),"","Included in Manager_Report")</f>
        <v/>
      </c>
    </row>
    <row r="374" ht="15" customHeight="1" s="40">
      <c r="A374" s="65">
        <f>IF(COUNTA(B374:G374)=0,"","STP-"&amp;TEXT(ROW()-4,"0000"))</f>
        <v/>
      </c>
      <c r="B374" s="78" t="n"/>
      <c r="C374" s="67">
        <f>IF($B374="","",IFERROR(INDEX(Task_Tracker!$D$5:$D$1004,MATCH($B374,Task_Tracker!$A$5:$A$1004,0)),""))</f>
        <v/>
      </c>
      <c r="D374" s="67">
        <f>IF($B374="","",IFERROR(INDEX(Task_Tracker!$B$5:$B$1004,MATCH($B374,Task_Tracker!$A$5:$A$1004,0)),""))</f>
        <v/>
      </c>
      <c r="E374" s="81" t="n"/>
      <c r="F374" s="81" t="n"/>
      <c r="G374" s="78" t="n"/>
      <c r="H374" s="78" t="n"/>
      <c r="I374" s="67">
        <f>IF($H374="","",IFERROR(INDEX(Action_Status_Map!$B$5:$B$11,MATCH($H374,Action_Status_Map!$A$5:$A$11,0)),""))</f>
        <v/>
      </c>
      <c r="J374" s="82" t="n"/>
      <c r="K374" s="82" t="n"/>
      <c r="L374" s="82" t="n"/>
      <c r="M374" s="83" t="n"/>
      <c r="N374" s="83" t="n"/>
      <c r="O374" s="66">
        <f>IF(OR($M374="",$N374=""),"",$N374-$M374)</f>
        <v/>
      </c>
      <c r="P374" s="84">
        <f>IF($J374="","",IF($L374&lt;&gt;"",$L374-$J374,TODAY()-$J374))</f>
        <v/>
      </c>
      <c r="Q374" s="85">
        <f>IF(OR($K374="",$H374="Completed",$H374="Cancelled"),"",IF(AND($K374&lt;TODAY(),$H374&lt;&gt;"Completed",$H374&lt;&gt;"Cancelled"),"Overdue","On Track"))</f>
        <v/>
      </c>
      <c r="R374" s="81" t="n"/>
      <c r="S374" s="81">
        <f>IF($B374="","",IFERROR(INDEX(Task_Tracker!$AA$5:$AA$1004,MATCH($B374,Task_Tracker!$A$5:$A$1004,0)),""))</f>
        <v/>
      </c>
      <c r="T374" s="81">
        <f>IF($B374="","",IFERROR(INDEX(Task_Tracker!$AB$5:$AB$1004,MATCH($B374,Task_Tracker!$A$5:$A$1004,0)),""))</f>
        <v/>
      </c>
      <c r="U374" s="78">
        <f>IF($B374="","",IFERROR(INDEX(Task_Tracker!$F$5:$F$1004,MATCH($B374,Task_Tracker!$A$5:$A$1004,0)),""))</f>
        <v/>
      </c>
      <c r="V374" s="78">
        <f>IF($B374="","",IFERROR(INDEX(Task_Tracker!$I$5:$I$1004,MATCH($B374,Task_Tracker!$A$5:$A$1004,0)),""))</f>
        <v/>
      </c>
      <c r="W374" s="81">
        <f>IF(OR($D374="",$B374=""),"",$D374&amp;" | "&amp;$B374)</f>
        <v/>
      </c>
      <c r="X374" s="85">
        <f>IF($K374="","",TEXT($K374,"yyyy-mm"))</f>
        <v/>
      </c>
      <c r="Y374" s="81">
        <f>IF(OR($A374="",$T374=""),"","Included in Manager_Report")</f>
        <v/>
      </c>
    </row>
    <row r="375" ht="15" customHeight="1" s="40">
      <c r="A375" s="65">
        <f>IF(COUNTA(B375:G375)=0,"","STP-"&amp;TEXT(ROW()-4,"0000"))</f>
        <v/>
      </c>
      <c r="B375" s="78" t="n"/>
      <c r="C375" s="67">
        <f>IF($B375="","",IFERROR(INDEX(Task_Tracker!$D$5:$D$1004,MATCH($B375,Task_Tracker!$A$5:$A$1004,0)),""))</f>
        <v/>
      </c>
      <c r="D375" s="67">
        <f>IF($B375="","",IFERROR(INDEX(Task_Tracker!$B$5:$B$1004,MATCH($B375,Task_Tracker!$A$5:$A$1004,0)),""))</f>
        <v/>
      </c>
      <c r="E375" s="81" t="n"/>
      <c r="F375" s="81" t="n"/>
      <c r="G375" s="78" t="n"/>
      <c r="H375" s="78" t="n"/>
      <c r="I375" s="67">
        <f>IF($H375="","",IFERROR(INDEX(Action_Status_Map!$B$5:$B$11,MATCH($H375,Action_Status_Map!$A$5:$A$11,0)),""))</f>
        <v/>
      </c>
      <c r="J375" s="82" t="n"/>
      <c r="K375" s="82" t="n"/>
      <c r="L375" s="82" t="n"/>
      <c r="M375" s="83" t="n"/>
      <c r="N375" s="83" t="n"/>
      <c r="O375" s="66">
        <f>IF(OR($M375="",$N375=""),"",$N375-$M375)</f>
        <v/>
      </c>
      <c r="P375" s="84">
        <f>IF($J375="","",IF($L375&lt;&gt;"",$L375-$J375,TODAY()-$J375))</f>
        <v/>
      </c>
      <c r="Q375" s="85">
        <f>IF(OR($K375="",$H375="Completed",$H375="Cancelled"),"",IF(AND($K375&lt;TODAY(),$H375&lt;&gt;"Completed",$H375&lt;&gt;"Cancelled"),"Overdue","On Track"))</f>
        <v/>
      </c>
      <c r="R375" s="81" t="n"/>
      <c r="S375" s="81">
        <f>IF($B375="","",IFERROR(INDEX(Task_Tracker!$AA$5:$AA$1004,MATCH($B375,Task_Tracker!$A$5:$A$1004,0)),""))</f>
        <v/>
      </c>
      <c r="T375" s="81">
        <f>IF($B375="","",IFERROR(INDEX(Task_Tracker!$AB$5:$AB$1004,MATCH($B375,Task_Tracker!$A$5:$A$1004,0)),""))</f>
        <v/>
      </c>
      <c r="U375" s="78">
        <f>IF($B375="","",IFERROR(INDEX(Task_Tracker!$F$5:$F$1004,MATCH($B375,Task_Tracker!$A$5:$A$1004,0)),""))</f>
        <v/>
      </c>
      <c r="V375" s="78">
        <f>IF($B375="","",IFERROR(INDEX(Task_Tracker!$I$5:$I$1004,MATCH($B375,Task_Tracker!$A$5:$A$1004,0)),""))</f>
        <v/>
      </c>
      <c r="W375" s="81">
        <f>IF(OR($D375="",$B375=""),"",$D375&amp;" | "&amp;$B375)</f>
        <v/>
      </c>
      <c r="X375" s="85">
        <f>IF($K375="","",TEXT($K375,"yyyy-mm"))</f>
        <v/>
      </c>
      <c r="Y375" s="81">
        <f>IF(OR($A375="",$T375=""),"","Included in Manager_Report")</f>
        <v/>
      </c>
    </row>
    <row r="376" ht="15" customHeight="1" s="40">
      <c r="A376" s="65">
        <f>IF(COUNTA(B376:G376)=0,"","STP-"&amp;TEXT(ROW()-4,"0000"))</f>
        <v/>
      </c>
      <c r="B376" s="78" t="n"/>
      <c r="C376" s="67">
        <f>IF($B376="","",IFERROR(INDEX(Task_Tracker!$D$5:$D$1004,MATCH($B376,Task_Tracker!$A$5:$A$1004,0)),""))</f>
        <v/>
      </c>
      <c r="D376" s="67">
        <f>IF($B376="","",IFERROR(INDEX(Task_Tracker!$B$5:$B$1004,MATCH($B376,Task_Tracker!$A$5:$A$1004,0)),""))</f>
        <v/>
      </c>
      <c r="E376" s="81" t="n"/>
      <c r="F376" s="81" t="n"/>
      <c r="G376" s="78" t="n"/>
      <c r="H376" s="78" t="n"/>
      <c r="I376" s="67">
        <f>IF($H376="","",IFERROR(INDEX(Action_Status_Map!$B$5:$B$11,MATCH($H376,Action_Status_Map!$A$5:$A$11,0)),""))</f>
        <v/>
      </c>
      <c r="J376" s="82" t="n"/>
      <c r="K376" s="82" t="n"/>
      <c r="L376" s="82" t="n"/>
      <c r="M376" s="83" t="n"/>
      <c r="N376" s="83" t="n"/>
      <c r="O376" s="66">
        <f>IF(OR($M376="",$N376=""),"",$N376-$M376)</f>
        <v/>
      </c>
      <c r="P376" s="84">
        <f>IF($J376="","",IF($L376&lt;&gt;"",$L376-$J376,TODAY()-$J376))</f>
        <v/>
      </c>
      <c r="Q376" s="85">
        <f>IF(OR($K376="",$H376="Completed",$H376="Cancelled"),"",IF(AND($K376&lt;TODAY(),$H376&lt;&gt;"Completed",$H376&lt;&gt;"Cancelled"),"Overdue","On Track"))</f>
        <v/>
      </c>
      <c r="R376" s="81" t="n"/>
      <c r="S376" s="81">
        <f>IF($B376="","",IFERROR(INDEX(Task_Tracker!$AA$5:$AA$1004,MATCH($B376,Task_Tracker!$A$5:$A$1004,0)),""))</f>
        <v/>
      </c>
      <c r="T376" s="81">
        <f>IF($B376="","",IFERROR(INDEX(Task_Tracker!$AB$5:$AB$1004,MATCH($B376,Task_Tracker!$A$5:$A$1004,0)),""))</f>
        <v/>
      </c>
      <c r="U376" s="78">
        <f>IF($B376="","",IFERROR(INDEX(Task_Tracker!$F$5:$F$1004,MATCH($B376,Task_Tracker!$A$5:$A$1004,0)),""))</f>
        <v/>
      </c>
      <c r="V376" s="78">
        <f>IF($B376="","",IFERROR(INDEX(Task_Tracker!$I$5:$I$1004,MATCH($B376,Task_Tracker!$A$5:$A$1004,0)),""))</f>
        <v/>
      </c>
      <c r="W376" s="81">
        <f>IF(OR($D376="",$B376=""),"",$D376&amp;" | "&amp;$B376)</f>
        <v/>
      </c>
      <c r="X376" s="85">
        <f>IF($K376="","",TEXT($K376,"yyyy-mm"))</f>
        <v/>
      </c>
      <c r="Y376" s="81">
        <f>IF(OR($A376="",$T376=""),"","Included in Manager_Report")</f>
        <v/>
      </c>
    </row>
    <row r="377" ht="15" customHeight="1" s="40">
      <c r="A377" s="65">
        <f>IF(COUNTA(B377:G377)=0,"","STP-"&amp;TEXT(ROW()-4,"0000"))</f>
        <v/>
      </c>
      <c r="B377" s="78" t="n"/>
      <c r="C377" s="67">
        <f>IF($B377="","",IFERROR(INDEX(Task_Tracker!$D$5:$D$1004,MATCH($B377,Task_Tracker!$A$5:$A$1004,0)),""))</f>
        <v/>
      </c>
      <c r="D377" s="67">
        <f>IF($B377="","",IFERROR(INDEX(Task_Tracker!$B$5:$B$1004,MATCH($B377,Task_Tracker!$A$5:$A$1004,0)),""))</f>
        <v/>
      </c>
      <c r="E377" s="81" t="n"/>
      <c r="F377" s="81" t="n"/>
      <c r="G377" s="78" t="n"/>
      <c r="H377" s="78" t="n"/>
      <c r="I377" s="67">
        <f>IF($H377="","",IFERROR(INDEX(Action_Status_Map!$B$5:$B$11,MATCH($H377,Action_Status_Map!$A$5:$A$11,0)),""))</f>
        <v/>
      </c>
      <c r="J377" s="82" t="n"/>
      <c r="K377" s="82" t="n"/>
      <c r="L377" s="82" t="n"/>
      <c r="M377" s="83" t="n"/>
      <c r="N377" s="83" t="n"/>
      <c r="O377" s="66">
        <f>IF(OR($M377="",$N377=""),"",$N377-$M377)</f>
        <v/>
      </c>
      <c r="P377" s="84">
        <f>IF($J377="","",IF($L377&lt;&gt;"",$L377-$J377,TODAY()-$J377))</f>
        <v/>
      </c>
      <c r="Q377" s="85">
        <f>IF(OR($K377="",$H377="Completed",$H377="Cancelled"),"",IF(AND($K377&lt;TODAY(),$H377&lt;&gt;"Completed",$H377&lt;&gt;"Cancelled"),"Overdue","On Track"))</f>
        <v/>
      </c>
      <c r="R377" s="81" t="n"/>
      <c r="S377" s="81">
        <f>IF($B377="","",IFERROR(INDEX(Task_Tracker!$AA$5:$AA$1004,MATCH($B377,Task_Tracker!$A$5:$A$1004,0)),""))</f>
        <v/>
      </c>
      <c r="T377" s="81">
        <f>IF($B377="","",IFERROR(INDEX(Task_Tracker!$AB$5:$AB$1004,MATCH($B377,Task_Tracker!$A$5:$A$1004,0)),""))</f>
        <v/>
      </c>
      <c r="U377" s="78">
        <f>IF($B377="","",IFERROR(INDEX(Task_Tracker!$F$5:$F$1004,MATCH($B377,Task_Tracker!$A$5:$A$1004,0)),""))</f>
        <v/>
      </c>
      <c r="V377" s="78">
        <f>IF($B377="","",IFERROR(INDEX(Task_Tracker!$I$5:$I$1004,MATCH($B377,Task_Tracker!$A$5:$A$1004,0)),""))</f>
        <v/>
      </c>
      <c r="W377" s="81">
        <f>IF(OR($D377="",$B377=""),"",$D377&amp;" | "&amp;$B377)</f>
        <v/>
      </c>
      <c r="X377" s="85">
        <f>IF($K377="","",TEXT($K377,"yyyy-mm"))</f>
        <v/>
      </c>
      <c r="Y377" s="81">
        <f>IF(OR($A377="",$T377=""),"","Included in Manager_Report")</f>
        <v/>
      </c>
    </row>
    <row r="378" ht="15" customHeight="1" s="40">
      <c r="A378" s="65">
        <f>IF(COUNTA(B378:G378)=0,"","STP-"&amp;TEXT(ROW()-4,"0000"))</f>
        <v/>
      </c>
      <c r="B378" s="78" t="n"/>
      <c r="C378" s="67">
        <f>IF($B378="","",IFERROR(INDEX(Task_Tracker!$D$5:$D$1004,MATCH($B378,Task_Tracker!$A$5:$A$1004,0)),""))</f>
        <v/>
      </c>
      <c r="D378" s="67">
        <f>IF($B378="","",IFERROR(INDEX(Task_Tracker!$B$5:$B$1004,MATCH($B378,Task_Tracker!$A$5:$A$1004,0)),""))</f>
        <v/>
      </c>
      <c r="E378" s="81" t="n"/>
      <c r="F378" s="81" t="n"/>
      <c r="G378" s="78" t="n"/>
      <c r="H378" s="78" t="n"/>
      <c r="I378" s="67">
        <f>IF($H378="","",IFERROR(INDEX(Action_Status_Map!$B$5:$B$11,MATCH($H378,Action_Status_Map!$A$5:$A$11,0)),""))</f>
        <v/>
      </c>
      <c r="J378" s="82" t="n"/>
      <c r="K378" s="82" t="n"/>
      <c r="L378" s="82" t="n"/>
      <c r="M378" s="83" t="n"/>
      <c r="N378" s="83" t="n"/>
      <c r="O378" s="66">
        <f>IF(OR($M378="",$N378=""),"",$N378-$M378)</f>
        <v/>
      </c>
      <c r="P378" s="84">
        <f>IF($J378="","",IF($L378&lt;&gt;"",$L378-$J378,TODAY()-$J378))</f>
        <v/>
      </c>
      <c r="Q378" s="85">
        <f>IF(OR($K378="",$H378="Completed",$H378="Cancelled"),"",IF(AND($K378&lt;TODAY(),$H378&lt;&gt;"Completed",$H378&lt;&gt;"Cancelled"),"Overdue","On Track"))</f>
        <v/>
      </c>
      <c r="R378" s="81" t="n"/>
      <c r="S378" s="81">
        <f>IF($B378="","",IFERROR(INDEX(Task_Tracker!$AA$5:$AA$1004,MATCH($B378,Task_Tracker!$A$5:$A$1004,0)),""))</f>
        <v/>
      </c>
      <c r="T378" s="81">
        <f>IF($B378="","",IFERROR(INDEX(Task_Tracker!$AB$5:$AB$1004,MATCH($B378,Task_Tracker!$A$5:$A$1004,0)),""))</f>
        <v/>
      </c>
      <c r="U378" s="78">
        <f>IF($B378="","",IFERROR(INDEX(Task_Tracker!$F$5:$F$1004,MATCH($B378,Task_Tracker!$A$5:$A$1004,0)),""))</f>
        <v/>
      </c>
      <c r="V378" s="78">
        <f>IF($B378="","",IFERROR(INDEX(Task_Tracker!$I$5:$I$1004,MATCH($B378,Task_Tracker!$A$5:$A$1004,0)),""))</f>
        <v/>
      </c>
      <c r="W378" s="81">
        <f>IF(OR($D378="",$B378=""),"",$D378&amp;" | "&amp;$B378)</f>
        <v/>
      </c>
      <c r="X378" s="85">
        <f>IF($K378="","",TEXT($K378,"yyyy-mm"))</f>
        <v/>
      </c>
      <c r="Y378" s="81">
        <f>IF(OR($A378="",$T378=""),"","Included in Manager_Report")</f>
        <v/>
      </c>
    </row>
    <row r="379" ht="15" customHeight="1" s="40">
      <c r="A379" s="65">
        <f>IF(COUNTA(B379:G379)=0,"","STP-"&amp;TEXT(ROW()-4,"0000"))</f>
        <v/>
      </c>
      <c r="B379" s="78" t="n"/>
      <c r="C379" s="67">
        <f>IF($B379="","",IFERROR(INDEX(Task_Tracker!$D$5:$D$1004,MATCH($B379,Task_Tracker!$A$5:$A$1004,0)),""))</f>
        <v/>
      </c>
      <c r="D379" s="67">
        <f>IF($B379="","",IFERROR(INDEX(Task_Tracker!$B$5:$B$1004,MATCH($B379,Task_Tracker!$A$5:$A$1004,0)),""))</f>
        <v/>
      </c>
      <c r="E379" s="81" t="n"/>
      <c r="F379" s="81" t="n"/>
      <c r="G379" s="78" t="n"/>
      <c r="H379" s="78" t="n"/>
      <c r="I379" s="67">
        <f>IF($H379="","",IFERROR(INDEX(Action_Status_Map!$B$5:$B$11,MATCH($H379,Action_Status_Map!$A$5:$A$11,0)),""))</f>
        <v/>
      </c>
      <c r="J379" s="82" t="n"/>
      <c r="K379" s="82" t="n"/>
      <c r="L379" s="82" t="n"/>
      <c r="M379" s="83" t="n"/>
      <c r="N379" s="83" t="n"/>
      <c r="O379" s="66">
        <f>IF(OR($M379="",$N379=""),"",$N379-$M379)</f>
        <v/>
      </c>
      <c r="P379" s="84">
        <f>IF($J379="","",IF($L379&lt;&gt;"",$L379-$J379,TODAY()-$J379))</f>
        <v/>
      </c>
      <c r="Q379" s="85">
        <f>IF(OR($K379="",$H379="Completed",$H379="Cancelled"),"",IF(AND($K379&lt;TODAY(),$H379&lt;&gt;"Completed",$H379&lt;&gt;"Cancelled"),"Overdue","On Track"))</f>
        <v/>
      </c>
      <c r="R379" s="81" t="n"/>
      <c r="S379" s="81">
        <f>IF($B379="","",IFERROR(INDEX(Task_Tracker!$AA$5:$AA$1004,MATCH($B379,Task_Tracker!$A$5:$A$1004,0)),""))</f>
        <v/>
      </c>
      <c r="T379" s="81">
        <f>IF($B379="","",IFERROR(INDEX(Task_Tracker!$AB$5:$AB$1004,MATCH($B379,Task_Tracker!$A$5:$A$1004,0)),""))</f>
        <v/>
      </c>
      <c r="U379" s="78">
        <f>IF($B379="","",IFERROR(INDEX(Task_Tracker!$F$5:$F$1004,MATCH($B379,Task_Tracker!$A$5:$A$1004,0)),""))</f>
        <v/>
      </c>
      <c r="V379" s="78">
        <f>IF($B379="","",IFERROR(INDEX(Task_Tracker!$I$5:$I$1004,MATCH($B379,Task_Tracker!$A$5:$A$1004,0)),""))</f>
        <v/>
      </c>
      <c r="W379" s="81">
        <f>IF(OR($D379="",$B379=""),"",$D379&amp;" | "&amp;$B379)</f>
        <v/>
      </c>
      <c r="X379" s="85">
        <f>IF($K379="","",TEXT($K379,"yyyy-mm"))</f>
        <v/>
      </c>
      <c r="Y379" s="81">
        <f>IF(OR($A379="",$T379=""),"","Included in Manager_Report")</f>
        <v/>
      </c>
    </row>
    <row r="380" ht="15" customHeight="1" s="40">
      <c r="A380" s="65">
        <f>IF(COUNTA(B380:G380)=0,"","STP-"&amp;TEXT(ROW()-4,"0000"))</f>
        <v/>
      </c>
      <c r="B380" s="78" t="n"/>
      <c r="C380" s="67">
        <f>IF($B380="","",IFERROR(INDEX(Task_Tracker!$D$5:$D$1004,MATCH($B380,Task_Tracker!$A$5:$A$1004,0)),""))</f>
        <v/>
      </c>
      <c r="D380" s="67">
        <f>IF($B380="","",IFERROR(INDEX(Task_Tracker!$B$5:$B$1004,MATCH($B380,Task_Tracker!$A$5:$A$1004,0)),""))</f>
        <v/>
      </c>
      <c r="E380" s="81" t="n"/>
      <c r="F380" s="81" t="n"/>
      <c r="G380" s="78" t="n"/>
      <c r="H380" s="78" t="n"/>
      <c r="I380" s="67">
        <f>IF($H380="","",IFERROR(INDEX(Action_Status_Map!$B$5:$B$11,MATCH($H380,Action_Status_Map!$A$5:$A$11,0)),""))</f>
        <v/>
      </c>
      <c r="J380" s="82" t="n"/>
      <c r="K380" s="82" t="n"/>
      <c r="L380" s="82" t="n"/>
      <c r="M380" s="83" t="n"/>
      <c r="N380" s="83" t="n"/>
      <c r="O380" s="66">
        <f>IF(OR($M380="",$N380=""),"",$N380-$M380)</f>
        <v/>
      </c>
      <c r="P380" s="84">
        <f>IF($J380="","",IF($L380&lt;&gt;"",$L380-$J380,TODAY()-$J380))</f>
        <v/>
      </c>
      <c r="Q380" s="85">
        <f>IF(OR($K380="",$H380="Completed",$H380="Cancelled"),"",IF(AND($K380&lt;TODAY(),$H380&lt;&gt;"Completed",$H380&lt;&gt;"Cancelled"),"Overdue","On Track"))</f>
        <v/>
      </c>
      <c r="R380" s="81" t="n"/>
      <c r="S380" s="81">
        <f>IF($B380="","",IFERROR(INDEX(Task_Tracker!$AA$5:$AA$1004,MATCH($B380,Task_Tracker!$A$5:$A$1004,0)),""))</f>
        <v/>
      </c>
      <c r="T380" s="81">
        <f>IF($B380="","",IFERROR(INDEX(Task_Tracker!$AB$5:$AB$1004,MATCH($B380,Task_Tracker!$A$5:$A$1004,0)),""))</f>
        <v/>
      </c>
      <c r="U380" s="78">
        <f>IF($B380="","",IFERROR(INDEX(Task_Tracker!$F$5:$F$1004,MATCH($B380,Task_Tracker!$A$5:$A$1004,0)),""))</f>
        <v/>
      </c>
      <c r="V380" s="78">
        <f>IF($B380="","",IFERROR(INDEX(Task_Tracker!$I$5:$I$1004,MATCH($B380,Task_Tracker!$A$5:$A$1004,0)),""))</f>
        <v/>
      </c>
      <c r="W380" s="81">
        <f>IF(OR($D380="",$B380=""),"",$D380&amp;" | "&amp;$B380)</f>
        <v/>
      </c>
      <c r="X380" s="85">
        <f>IF($K380="","",TEXT($K380,"yyyy-mm"))</f>
        <v/>
      </c>
      <c r="Y380" s="81">
        <f>IF(OR($A380="",$T380=""),"","Included in Manager_Report")</f>
        <v/>
      </c>
    </row>
    <row r="381" ht="15" customHeight="1" s="40">
      <c r="A381" s="65">
        <f>IF(COUNTA(B381:G381)=0,"","STP-"&amp;TEXT(ROW()-4,"0000"))</f>
        <v/>
      </c>
      <c r="B381" s="78" t="n"/>
      <c r="C381" s="67">
        <f>IF($B381="","",IFERROR(INDEX(Task_Tracker!$D$5:$D$1004,MATCH($B381,Task_Tracker!$A$5:$A$1004,0)),""))</f>
        <v/>
      </c>
      <c r="D381" s="67">
        <f>IF($B381="","",IFERROR(INDEX(Task_Tracker!$B$5:$B$1004,MATCH($B381,Task_Tracker!$A$5:$A$1004,0)),""))</f>
        <v/>
      </c>
      <c r="E381" s="81" t="n"/>
      <c r="F381" s="81" t="n"/>
      <c r="G381" s="78" t="n"/>
      <c r="H381" s="78" t="n"/>
      <c r="I381" s="67">
        <f>IF($H381="","",IFERROR(INDEX(Action_Status_Map!$B$5:$B$11,MATCH($H381,Action_Status_Map!$A$5:$A$11,0)),""))</f>
        <v/>
      </c>
      <c r="J381" s="82" t="n"/>
      <c r="K381" s="82" t="n"/>
      <c r="L381" s="82" t="n"/>
      <c r="M381" s="83" t="n"/>
      <c r="N381" s="83" t="n"/>
      <c r="O381" s="66">
        <f>IF(OR($M381="",$N381=""),"",$N381-$M381)</f>
        <v/>
      </c>
      <c r="P381" s="84">
        <f>IF($J381="","",IF($L381&lt;&gt;"",$L381-$J381,TODAY()-$J381))</f>
        <v/>
      </c>
      <c r="Q381" s="85">
        <f>IF(OR($K381="",$H381="Completed",$H381="Cancelled"),"",IF(AND($K381&lt;TODAY(),$H381&lt;&gt;"Completed",$H381&lt;&gt;"Cancelled"),"Overdue","On Track"))</f>
        <v/>
      </c>
      <c r="R381" s="81" t="n"/>
      <c r="S381" s="81">
        <f>IF($B381="","",IFERROR(INDEX(Task_Tracker!$AA$5:$AA$1004,MATCH($B381,Task_Tracker!$A$5:$A$1004,0)),""))</f>
        <v/>
      </c>
      <c r="T381" s="81">
        <f>IF($B381="","",IFERROR(INDEX(Task_Tracker!$AB$5:$AB$1004,MATCH($B381,Task_Tracker!$A$5:$A$1004,0)),""))</f>
        <v/>
      </c>
      <c r="U381" s="78">
        <f>IF($B381="","",IFERROR(INDEX(Task_Tracker!$F$5:$F$1004,MATCH($B381,Task_Tracker!$A$5:$A$1004,0)),""))</f>
        <v/>
      </c>
      <c r="V381" s="78">
        <f>IF($B381="","",IFERROR(INDEX(Task_Tracker!$I$5:$I$1004,MATCH($B381,Task_Tracker!$A$5:$A$1004,0)),""))</f>
        <v/>
      </c>
      <c r="W381" s="81">
        <f>IF(OR($D381="",$B381=""),"",$D381&amp;" | "&amp;$B381)</f>
        <v/>
      </c>
      <c r="X381" s="85">
        <f>IF($K381="","",TEXT($K381,"yyyy-mm"))</f>
        <v/>
      </c>
      <c r="Y381" s="81">
        <f>IF(OR($A381="",$T381=""),"","Included in Manager_Report")</f>
        <v/>
      </c>
    </row>
    <row r="382" ht="15" customHeight="1" s="40">
      <c r="A382" s="65">
        <f>IF(COUNTA(B382:G382)=0,"","STP-"&amp;TEXT(ROW()-4,"0000"))</f>
        <v/>
      </c>
      <c r="B382" s="78" t="n"/>
      <c r="C382" s="67">
        <f>IF($B382="","",IFERROR(INDEX(Task_Tracker!$D$5:$D$1004,MATCH($B382,Task_Tracker!$A$5:$A$1004,0)),""))</f>
        <v/>
      </c>
      <c r="D382" s="67">
        <f>IF($B382="","",IFERROR(INDEX(Task_Tracker!$B$5:$B$1004,MATCH($B382,Task_Tracker!$A$5:$A$1004,0)),""))</f>
        <v/>
      </c>
      <c r="E382" s="81" t="n"/>
      <c r="F382" s="81" t="n"/>
      <c r="G382" s="78" t="n"/>
      <c r="H382" s="78" t="n"/>
      <c r="I382" s="67">
        <f>IF($H382="","",IFERROR(INDEX(Action_Status_Map!$B$5:$B$11,MATCH($H382,Action_Status_Map!$A$5:$A$11,0)),""))</f>
        <v/>
      </c>
      <c r="J382" s="82" t="n"/>
      <c r="K382" s="82" t="n"/>
      <c r="L382" s="82" t="n"/>
      <c r="M382" s="83" t="n"/>
      <c r="N382" s="83" t="n"/>
      <c r="O382" s="66">
        <f>IF(OR($M382="",$N382=""),"",$N382-$M382)</f>
        <v/>
      </c>
      <c r="P382" s="84">
        <f>IF($J382="","",IF($L382&lt;&gt;"",$L382-$J382,TODAY()-$J382))</f>
        <v/>
      </c>
      <c r="Q382" s="85">
        <f>IF(OR($K382="",$H382="Completed",$H382="Cancelled"),"",IF(AND($K382&lt;TODAY(),$H382&lt;&gt;"Completed",$H382&lt;&gt;"Cancelled"),"Overdue","On Track"))</f>
        <v/>
      </c>
      <c r="R382" s="81" t="n"/>
      <c r="S382" s="81">
        <f>IF($B382="","",IFERROR(INDEX(Task_Tracker!$AA$5:$AA$1004,MATCH($B382,Task_Tracker!$A$5:$A$1004,0)),""))</f>
        <v/>
      </c>
      <c r="T382" s="81">
        <f>IF($B382="","",IFERROR(INDEX(Task_Tracker!$AB$5:$AB$1004,MATCH($B382,Task_Tracker!$A$5:$A$1004,0)),""))</f>
        <v/>
      </c>
      <c r="U382" s="78">
        <f>IF($B382="","",IFERROR(INDEX(Task_Tracker!$F$5:$F$1004,MATCH($B382,Task_Tracker!$A$5:$A$1004,0)),""))</f>
        <v/>
      </c>
      <c r="V382" s="78">
        <f>IF($B382="","",IFERROR(INDEX(Task_Tracker!$I$5:$I$1004,MATCH($B382,Task_Tracker!$A$5:$A$1004,0)),""))</f>
        <v/>
      </c>
      <c r="W382" s="81">
        <f>IF(OR($D382="",$B382=""),"",$D382&amp;" | "&amp;$B382)</f>
        <v/>
      </c>
      <c r="X382" s="85">
        <f>IF($K382="","",TEXT($K382,"yyyy-mm"))</f>
        <v/>
      </c>
      <c r="Y382" s="81">
        <f>IF(OR($A382="",$T382=""),"","Included in Manager_Report")</f>
        <v/>
      </c>
    </row>
    <row r="383" ht="15" customHeight="1" s="40">
      <c r="A383" s="65">
        <f>IF(COUNTA(B383:G383)=0,"","STP-"&amp;TEXT(ROW()-4,"0000"))</f>
        <v/>
      </c>
      <c r="B383" s="78" t="n"/>
      <c r="C383" s="67">
        <f>IF($B383="","",IFERROR(INDEX(Task_Tracker!$D$5:$D$1004,MATCH($B383,Task_Tracker!$A$5:$A$1004,0)),""))</f>
        <v/>
      </c>
      <c r="D383" s="67">
        <f>IF($B383="","",IFERROR(INDEX(Task_Tracker!$B$5:$B$1004,MATCH($B383,Task_Tracker!$A$5:$A$1004,0)),""))</f>
        <v/>
      </c>
      <c r="E383" s="81" t="n"/>
      <c r="F383" s="81" t="n"/>
      <c r="G383" s="78" t="n"/>
      <c r="H383" s="78" t="n"/>
      <c r="I383" s="67">
        <f>IF($H383="","",IFERROR(INDEX(Action_Status_Map!$B$5:$B$11,MATCH($H383,Action_Status_Map!$A$5:$A$11,0)),""))</f>
        <v/>
      </c>
      <c r="J383" s="82" t="n"/>
      <c r="K383" s="82" t="n"/>
      <c r="L383" s="82" t="n"/>
      <c r="M383" s="83" t="n"/>
      <c r="N383" s="83" t="n"/>
      <c r="O383" s="66">
        <f>IF(OR($M383="",$N383=""),"",$N383-$M383)</f>
        <v/>
      </c>
      <c r="P383" s="84">
        <f>IF($J383="","",IF($L383&lt;&gt;"",$L383-$J383,TODAY()-$J383))</f>
        <v/>
      </c>
      <c r="Q383" s="85">
        <f>IF(OR($K383="",$H383="Completed",$H383="Cancelled"),"",IF(AND($K383&lt;TODAY(),$H383&lt;&gt;"Completed",$H383&lt;&gt;"Cancelled"),"Overdue","On Track"))</f>
        <v/>
      </c>
      <c r="R383" s="81" t="n"/>
      <c r="S383" s="81">
        <f>IF($B383="","",IFERROR(INDEX(Task_Tracker!$AA$5:$AA$1004,MATCH($B383,Task_Tracker!$A$5:$A$1004,0)),""))</f>
        <v/>
      </c>
      <c r="T383" s="81">
        <f>IF($B383="","",IFERROR(INDEX(Task_Tracker!$AB$5:$AB$1004,MATCH($B383,Task_Tracker!$A$5:$A$1004,0)),""))</f>
        <v/>
      </c>
      <c r="U383" s="78">
        <f>IF($B383="","",IFERROR(INDEX(Task_Tracker!$F$5:$F$1004,MATCH($B383,Task_Tracker!$A$5:$A$1004,0)),""))</f>
        <v/>
      </c>
      <c r="V383" s="78">
        <f>IF($B383="","",IFERROR(INDEX(Task_Tracker!$I$5:$I$1004,MATCH($B383,Task_Tracker!$A$5:$A$1004,0)),""))</f>
        <v/>
      </c>
      <c r="W383" s="81">
        <f>IF(OR($D383="",$B383=""),"",$D383&amp;" | "&amp;$B383)</f>
        <v/>
      </c>
      <c r="X383" s="85">
        <f>IF($K383="","",TEXT($K383,"yyyy-mm"))</f>
        <v/>
      </c>
      <c r="Y383" s="81">
        <f>IF(OR($A383="",$T383=""),"","Included in Manager_Report")</f>
        <v/>
      </c>
    </row>
    <row r="384" ht="15" customHeight="1" s="40">
      <c r="A384" s="65">
        <f>IF(COUNTA(B384:G384)=0,"","STP-"&amp;TEXT(ROW()-4,"0000"))</f>
        <v/>
      </c>
      <c r="B384" s="78" t="n"/>
      <c r="C384" s="67">
        <f>IF($B384="","",IFERROR(INDEX(Task_Tracker!$D$5:$D$1004,MATCH($B384,Task_Tracker!$A$5:$A$1004,0)),""))</f>
        <v/>
      </c>
      <c r="D384" s="67">
        <f>IF($B384="","",IFERROR(INDEX(Task_Tracker!$B$5:$B$1004,MATCH($B384,Task_Tracker!$A$5:$A$1004,0)),""))</f>
        <v/>
      </c>
      <c r="E384" s="81" t="n"/>
      <c r="F384" s="81" t="n"/>
      <c r="G384" s="78" t="n"/>
      <c r="H384" s="78" t="n"/>
      <c r="I384" s="67">
        <f>IF($H384="","",IFERROR(INDEX(Action_Status_Map!$B$5:$B$11,MATCH($H384,Action_Status_Map!$A$5:$A$11,0)),""))</f>
        <v/>
      </c>
      <c r="J384" s="82" t="n"/>
      <c r="K384" s="82" t="n"/>
      <c r="L384" s="82" t="n"/>
      <c r="M384" s="83" t="n"/>
      <c r="N384" s="83" t="n"/>
      <c r="O384" s="66">
        <f>IF(OR($M384="",$N384=""),"",$N384-$M384)</f>
        <v/>
      </c>
      <c r="P384" s="84">
        <f>IF($J384="","",IF($L384&lt;&gt;"",$L384-$J384,TODAY()-$J384))</f>
        <v/>
      </c>
      <c r="Q384" s="85">
        <f>IF(OR($K384="",$H384="Completed",$H384="Cancelled"),"",IF(AND($K384&lt;TODAY(),$H384&lt;&gt;"Completed",$H384&lt;&gt;"Cancelled"),"Overdue","On Track"))</f>
        <v/>
      </c>
      <c r="R384" s="81" t="n"/>
      <c r="S384" s="81">
        <f>IF($B384="","",IFERROR(INDEX(Task_Tracker!$AA$5:$AA$1004,MATCH($B384,Task_Tracker!$A$5:$A$1004,0)),""))</f>
        <v/>
      </c>
      <c r="T384" s="81">
        <f>IF($B384="","",IFERROR(INDEX(Task_Tracker!$AB$5:$AB$1004,MATCH($B384,Task_Tracker!$A$5:$A$1004,0)),""))</f>
        <v/>
      </c>
      <c r="U384" s="78">
        <f>IF($B384="","",IFERROR(INDEX(Task_Tracker!$F$5:$F$1004,MATCH($B384,Task_Tracker!$A$5:$A$1004,0)),""))</f>
        <v/>
      </c>
      <c r="V384" s="78">
        <f>IF($B384="","",IFERROR(INDEX(Task_Tracker!$I$5:$I$1004,MATCH($B384,Task_Tracker!$A$5:$A$1004,0)),""))</f>
        <v/>
      </c>
      <c r="W384" s="81">
        <f>IF(OR($D384="",$B384=""),"",$D384&amp;" | "&amp;$B384)</f>
        <v/>
      </c>
      <c r="X384" s="85">
        <f>IF($K384="","",TEXT($K384,"yyyy-mm"))</f>
        <v/>
      </c>
      <c r="Y384" s="81">
        <f>IF(OR($A384="",$T384=""),"","Included in Manager_Report")</f>
        <v/>
      </c>
    </row>
    <row r="385" ht="15" customHeight="1" s="40">
      <c r="A385" s="65">
        <f>IF(COUNTA(B385:G385)=0,"","STP-"&amp;TEXT(ROW()-4,"0000"))</f>
        <v/>
      </c>
      <c r="B385" s="78" t="n"/>
      <c r="C385" s="67">
        <f>IF($B385="","",IFERROR(INDEX(Task_Tracker!$D$5:$D$1004,MATCH($B385,Task_Tracker!$A$5:$A$1004,0)),""))</f>
        <v/>
      </c>
      <c r="D385" s="67">
        <f>IF($B385="","",IFERROR(INDEX(Task_Tracker!$B$5:$B$1004,MATCH($B385,Task_Tracker!$A$5:$A$1004,0)),""))</f>
        <v/>
      </c>
      <c r="E385" s="81" t="n"/>
      <c r="F385" s="81" t="n"/>
      <c r="G385" s="78" t="n"/>
      <c r="H385" s="78" t="n"/>
      <c r="I385" s="67">
        <f>IF($H385="","",IFERROR(INDEX(Action_Status_Map!$B$5:$B$11,MATCH($H385,Action_Status_Map!$A$5:$A$11,0)),""))</f>
        <v/>
      </c>
      <c r="J385" s="82" t="n"/>
      <c r="K385" s="82" t="n"/>
      <c r="L385" s="82" t="n"/>
      <c r="M385" s="83" t="n"/>
      <c r="N385" s="83" t="n"/>
      <c r="O385" s="66">
        <f>IF(OR($M385="",$N385=""),"",$N385-$M385)</f>
        <v/>
      </c>
      <c r="P385" s="84">
        <f>IF($J385="","",IF($L385&lt;&gt;"",$L385-$J385,TODAY()-$J385))</f>
        <v/>
      </c>
      <c r="Q385" s="85">
        <f>IF(OR($K385="",$H385="Completed",$H385="Cancelled"),"",IF(AND($K385&lt;TODAY(),$H385&lt;&gt;"Completed",$H385&lt;&gt;"Cancelled"),"Overdue","On Track"))</f>
        <v/>
      </c>
      <c r="R385" s="81" t="n"/>
      <c r="S385" s="81">
        <f>IF($B385="","",IFERROR(INDEX(Task_Tracker!$AA$5:$AA$1004,MATCH($B385,Task_Tracker!$A$5:$A$1004,0)),""))</f>
        <v/>
      </c>
      <c r="T385" s="81">
        <f>IF($B385="","",IFERROR(INDEX(Task_Tracker!$AB$5:$AB$1004,MATCH($B385,Task_Tracker!$A$5:$A$1004,0)),""))</f>
        <v/>
      </c>
      <c r="U385" s="78">
        <f>IF($B385="","",IFERROR(INDEX(Task_Tracker!$F$5:$F$1004,MATCH($B385,Task_Tracker!$A$5:$A$1004,0)),""))</f>
        <v/>
      </c>
      <c r="V385" s="78">
        <f>IF($B385="","",IFERROR(INDEX(Task_Tracker!$I$5:$I$1004,MATCH($B385,Task_Tracker!$A$5:$A$1004,0)),""))</f>
        <v/>
      </c>
      <c r="W385" s="81">
        <f>IF(OR($D385="",$B385=""),"",$D385&amp;" | "&amp;$B385)</f>
        <v/>
      </c>
      <c r="X385" s="85">
        <f>IF($K385="","",TEXT($K385,"yyyy-mm"))</f>
        <v/>
      </c>
      <c r="Y385" s="81">
        <f>IF(OR($A385="",$T385=""),"","Included in Manager_Report")</f>
        <v/>
      </c>
    </row>
    <row r="386" ht="15" customHeight="1" s="40">
      <c r="A386" s="65">
        <f>IF(COUNTA(B386:G386)=0,"","STP-"&amp;TEXT(ROW()-4,"0000"))</f>
        <v/>
      </c>
      <c r="B386" s="78" t="n"/>
      <c r="C386" s="67">
        <f>IF($B386="","",IFERROR(INDEX(Task_Tracker!$D$5:$D$1004,MATCH($B386,Task_Tracker!$A$5:$A$1004,0)),""))</f>
        <v/>
      </c>
      <c r="D386" s="67">
        <f>IF($B386="","",IFERROR(INDEX(Task_Tracker!$B$5:$B$1004,MATCH($B386,Task_Tracker!$A$5:$A$1004,0)),""))</f>
        <v/>
      </c>
      <c r="E386" s="81" t="n"/>
      <c r="F386" s="81" t="n"/>
      <c r="G386" s="78" t="n"/>
      <c r="H386" s="78" t="n"/>
      <c r="I386" s="67">
        <f>IF($H386="","",IFERROR(INDEX(Action_Status_Map!$B$5:$B$11,MATCH($H386,Action_Status_Map!$A$5:$A$11,0)),""))</f>
        <v/>
      </c>
      <c r="J386" s="82" t="n"/>
      <c r="K386" s="82" t="n"/>
      <c r="L386" s="82" t="n"/>
      <c r="M386" s="83" t="n"/>
      <c r="N386" s="83" t="n"/>
      <c r="O386" s="66">
        <f>IF(OR($M386="",$N386=""),"",$N386-$M386)</f>
        <v/>
      </c>
      <c r="P386" s="84">
        <f>IF($J386="","",IF($L386&lt;&gt;"",$L386-$J386,TODAY()-$J386))</f>
        <v/>
      </c>
      <c r="Q386" s="85">
        <f>IF(OR($K386="",$H386="Completed",$H386="Cancelled"),"",IF(AND($K386&lt;TODAY(),$H386&lt;&gt;"Completed",$H386&lt;&gt;"Cancelled"),"Overdue","On Track"))</f>
        <v/>
      </c>
      <c r="R386" s="81" t="n"/>
      <c r="S386" s="81">
        <f>IF($B386="","",IFERROR(INDEX(Task_Tracker!$AA$5:$AA$1004,MATCH($B386,Task_Tracker!$A$5:$A$1004,0)),""))</f>
        <v/>
      </c>
      <c r="T386" s="81">
        <f>IF($B386="","",IFERROR(INDEX(Task_Tracker!$AB$5:$AB$1004,MATCH($B386,Task_Tracker!$A$5:$A$1004,0)),""))</f>
        <v/>
      </c>
      <c r="U386" s="78">
        <f>IF($B386="","",IFERROR(INDEX(Task_Tracker!$F$5:$F$1004,MATCH($B386,Task_Tracker!$A$5:$A$1004,0)),""))</f>
        <v/>
      </c>
      <c r="V386" s="78">
        <f>IF($B386="","",IFERROR(INDEX(Task_Tracker!$I$5:$I$1004,MATCH($B386,Task_Tracker!$A$5:$A$1004,0)),""))</f>
        <v/>
      </c>
      <c r="W386" s="81">
        <f>IF(OR($D386="",$B386=""),"",$D386&amp;" | "&amp;$B386)</f>
        <v/>
      </c>
      <c r="X386" s="85">
        <f>IF($K386="","",TEXT($K386,"yyyy-mm"))</f>
        <v/>
      </c>
      <c r="Y386" s="81">
        <f>IF(OR($A386="",$T386=""),"","Included in Manager_Report")</f>
        <v/>
      </c>
    </row>
    <row r="387" ht="15" customHeight="1" s="40">
      <c r="A387" s="65">
        <f>IF(COUNTA(B387:G387)=0,"","STP-"&amp;TEXT(ROW()-4,"0000"))</f>
        <v/>
      </c>
      <c r="B387" s="78" t="n"/>
      <c r="C387" s="67">
        <f>IF($B387="","",IFERROR(INDEX(Task_Tracker!$D$5:$D$1004,MATCH($B387,Task_Tracker!$A$5:$A$1004,0)),""))</f>
        <v/>
      </c>
      <c r="D387" s="67">
        <f>IF($B387="","",IFERROR(INDEX(Task_Tracker!$B$5:$B$1004,MATCH($B387,Task_Tracker!$A$5:$A$1004,0)),""))</f>
        <v/>
      </c>
      <c r="E387" s="81" t="n"/>
      <c r="F387" s="81" t="n"/>
      <c r="G387" s="78" t="n"/>
      <c r="H387" s="78" t="n"/>
      <c r="I387" s="67">
        <f>IF($H387="","",IFERROR(INDEX(Action_Status_Map!$B$5:$B$11,MATCH($H387,Action_Status_Map!$A$5:$A$11,0)),""))</f>
        <v/>
      </c>
      <c r="J387" s="82" t="n"/>
      <c r="K387" s="82" t="n"/>
      <c r="L387" s="82" t="n"/>
      <c r="M387" s="83" t="n"/>
      <c r="N387" s="83" t="n"/>
      <c r="O387" s="66">
        <f>IF(OR($M387="",$N387=""),"",$N387-$M387)</f>
        <v/>
      </c>
      <c r="P387" s="84">
        <f>IF($J387="","",IF($L387&lt;&gt;"",$L387-$J387,TODAY()-$J387))</f>
        <v/>
      </c>
      <c r="Q387" s="85">
        <f>IF(OR($K387="",$H387="Completed",$H387="Cancelled"),"",IF(AND($K387&lt;TODAY(),$H387&lt;&gt;"Completed",$H387&lt;&gt;"Cancelled"),"Overdue","On Track"))</f>
        <v/>
      </c>
      <c r="R387" s="81" t="n"/>
      <c r="S387" s="81">
        <f>IF($B387="","",IFERROR(INDEX(Task_Tracker!$AA$5:$AA$1004,MATCH($B387,Task_Tracker!$A$5:$A$1004,0)),""))</f>
        <v/>
      </c>
      <c r="T387" s="81">
        <f>IF($B387="","",IFERROR(INDEX(Task_Tracker!$AB$5:$AB$1004,MATCH($B387,Task_Tracker!$A$5:$A$1004,0)),""))</f>
        <v/>
      </c>
      <c r="U387" s="78">
        <f>IF($B387="","",IFERROR(INDEX(Task_Tracker!$F$5:$F$1004,MATCH($B387,Task_Tracker!$A$5:$A$1004,0)),""))</f>
        <v/>
      </c>
      <c r="V387" s="78">
        <f>IF($B387="","",IFERROR(INDEX(Task_Tracker!$I$5:$I$1004,MATCH($B387,Task_Tracker!$A$5:$A$1004,0)),""))</f>
        <v/>
      </c>
      <c r="W387" s="81">
        <f>IF(OR($D387="",$B387=""),"",$D387&amp;" | "&amp;$B387)</f>
        <v/>
      </c>
      <c r="X387" s="85">
        <f>IF($K387="","",TEXT($K387,"yyyy-mm"))</f>
        <v/>
      </c>
      <c r="Y387" s="81">
        <f>IF(OR($A387="",$T387=""),"","Included in Manager_Report")</f>
        <v/>
      </c>
    </row>
    <row r="388" ht="15" customHeight="1" s="40">
      <c r="A388" s="65">
        <f>IF(COUNTA(B388:G388)=0,"","STP-"&amp;TEXT(ROW()-4,"0000"))</f>
        <v/>
      </c>
      <c r="B388" s="78" t="n"/>
      <c r="C388" s="67">
        <f>IF($B388="","",IFERROR(INDEX(Task_Tracker!$D$5:$D$1004,MATCH($B388,Task_Tracker!$A$5:$A$1004,0)),""))</f>
        <v/>
      </c>
      <c r="D388" s="67">
        <f>IF($B388="","",IFERROR(INDEX(Task_Tracker!$B$5:$B$1004,MATCH($B388,Task_Tracker!$A$5:$A$1004,0)),""))</f>
        <v/>
      </c>
      <c r="E388" s="81" t="n"/>
      <c r="F388" s="81" t="n"/>
      <c r="G388" s="78" t="n"/>
      <c r="H388" s="78" t="n"/>
      <c r="I388" s="67">
        <f>IF($H388="","",IFERROR(INDEX(Action_Status_Map!$B$5:$B$11,MATCH($H388,Action_Status_Map!$A$5:$A$11,0)),""))</f>
        <v/>
      </c>
      <c r="J388" s="82" t="n"/>
      <c r="K388" s="82" t="n"/>
      <c r="L388" s="82" t="n"/>
      <c r="M388" s="83" t="n"/>
      <c r="N388" s="83" t="n"/>
      <c r="O388" s="66">
        <f>IF(OR($M388="",$N388=""),"",$N388-$M388)</f>
        <v/>
      </c>
      <c r="P388" s="84">
        <f>IF($J388="","",IF($L388&lt;&gt;"",$L388-$J388,TODAY()-$J388))</f>
        <v/>
      </c>
      <c r="Q388" s="85">
        <f>IF(OR($K388="",$H388="Completed",$H388="Cancelled"),"",IF(AND($K388&lt;TODAY(),$H388&lt;&gt;"Completed",$H388&lt;&gt;"Cancelled"),"Overdue","On Track"))</f>
        <v/>
      </c>
      <c r="R388" s="81" t="n"/>
      <c r="S388" s="81">
        <f>IF($B388="","",IFERROR(INDEX(Task_Tracker!$AA$5:$AA$1004,MATCH($B388,Task_Tracker!$A$5:$A$1004,0)),""))</f>
        <v/>
      </c>
      <c r="T388" s="81">
        <f>IF($B388="","",IFERROR(INDEX(Task_Tracker!$AB$5:$AB$1004,MATCH($B388,Task_Tracker!$A$5:$A$1004,0)),""))</f>
        <v/>
      </c>
      <c r="U388" s="78">
        <f>IF($B388="","",IFERROR(INDEX(Task_Tracker!$F$5:$F$1004,MATCH($B388,Task_Tracker!$A$5:$A$1004,0)),""))</f>
        <v/>
      </c>
      <c r="V388" s="78">
        <f>IF($B388="","",IFERROR(INDEX(Task_Tracker!$I$5:$I$1004,MATCH($B388,Task_Tracker!$A$5:$A$1004,0)),""))</f>
        <v/>
      </c>
      <c r="W388" s="81">
        <f>IF(OR($D388="",$B388=""),"",$D388&amp;" | "&amp;$B388)</f>
        <v/>
      </c>
      <c r="X388" s="85">
        <f>IF($K388="","",TEXT($K388,"yyyy-mm"))</f>
        <v/>
      </c>
      <c r="Y388" s="81">
        <f>IF(OR($A388="",$T388=""),"","Included in Manager_Report")</f>
        <v/>
      </c>
    </row>
    <row r="389" ht="15" customHeight="1" s="40">
      <c r="A389" s="65">
        <f>IF(COUNTA(B389:G389)=0,"","STP-"&amp;TEXT(ROW()-4,"0000"))</f>
        <v/>
      </c>
      <c r="B389" s="78" t="n"/>
      <c r="C389" s="67">
        <f>IF($B389="","",IFERROR(INDEX(Task_Tracker!$D$5:$D$1004,MATCH($B389,Task_Tracker!$A$5:$A$1004,0)),""))</f>
        <v/>
      </c>
      <c r="D389" s="67">
        <f>IF($B389="","",IFERROR(INDEX(Task_Tracker!$B$5:$B$1004,MATCH($B389,Task_Tracker!$A$5:$A$1004,0)),""))</f>
        <v/>
      </c>
      <c r="E389" s="81" t="n"/>
      <c r="F389" s="81" t="n"/>
      <c r="G389" s="78" t="n"/>
      <c r="H389" s="78" t="n"/>
      <c r="I389" s="67">
        <f>IF($H389="","",IFERROR(INDEX(Action_Status_Map!$B$5:$B$11,MATCH($H389,Action_Status_Map!$A$5:$A$11,0)),""))</f>
        <v/>
      </c>
      <c r="J389" s="82" t="n"/>
      <c r="K389" s="82" t="n"/>
      <c r="L389" s="82" t="n"/>
      <c r="M389" s="83" t="n"/>
      <c r="N389" s="83" t="n"/>
      <c r="O389" s="66">
        <f>IF(OR($M389="",$N389=""),"",$N389-$M389)</f>
        <v/>
      </c>
      <c r="P389" s="84">
        <f>IF($J389="","",IF($L389&lt;&gt;"",$L389-$J389,TODAY()-$J389))</f>
        <v/>
      </c>
      <c r="Q389" s="85">
        <f>IF(OR($K389="",$H389="Completed",$H389="Cancelled"),"",IF(AND($K389&lt;TODAY(),$H389&lt;&gt;"Completed",$H389&lt;&gt;"Cancelled"),"Overdue","On Track"))</f>
        <v/>
      </c>
      <c r="R389" s="81" t="n"/>
      <c r="S389" s="81">
        <f>IF($B389="","",IFERROR(INDEX(Task_Tracker!$AA$5:$AA$1004,MATCH($B389,Task_Tracker!$A$5:$A$1004,0)),""))</f>
        <v/>
      </c>
      <c r="T389" s="81">
        <f>IF($B389="","",IFERROR(INDEX(Task_Tracker!$AB$5:$AB$1004,MATCH($B389,Task_Tracker!$A$5:$A$1004,0)),""))</f>
        <v/>
      </c>
      <c r="U389" s="78">
        <f>IF($B389="","",IFERROR(INDEX(Task_Tracker!$F$5:$F$1004,MATCH($B389,Task_Tracker!$A$5:$A$1004,0)),""))</f>
        <v/>
      </c>
      <c r="V389" s="78">
        <f>IF($B389="","",IFERROR(INDEX(Task_Tracker!$I$5:$I$1004,MATCH($B389,Task_Tracker!$A$5:$A$1004,0)),""))</f>
        <v/>
      </c>
      <c r="W389" s="81">
        <f>IF(OR($D389="",$B389=""),"",$D389&amp;" | "&amp;$B389)</f>
        <v/>
      </c>
      <c r="X389" s="85">
        <f>IF($K389="","",TEXT($K389,"yyyy-mm"))</f>
        <v/>
      </c>
      <c r="Y389" s="81">
        <f>IF(OR($A389="",$T389=""),"","Included in Manager_Report")</f>
        <v/>
      </c>
    </row>
    <row r="390" ht="15" customHeight="1" s="40">
      <c r="A390" s="65">
        <f>IF(COUNTA(B390:G390)=0,"","STP-"&amp;TEXT(ROW()-4,"0000"))</f>
        <v/>
      </c>
      <c r="B390" s="78" t="n"/>
      <c r="C390" s="67">
        <f>IF($B390="","",IFERROR(INDEX(Task_Tracker!$D$5:$D$1004,MATCH($B390,Task_Tracker!$A$5:$A$1004,0)),""))</f>
        <v/>
      </c>
      <c r="D390" s="67">
        <f>IF($B390="","",IFERROR(INDEX(Task_Tracker!$B$5:$B$1004,MATCH($B390,Task_Tracker!$A$5:$A$1004,0)),""))</f>
        <v/>
      </c>
      <c r="E390" s="81" t="n"/>
      <c r="F390" s="81" t="n"/>
      <c r="G390" s="78" t="n"/>
      <c r="H390" s="78" t="n"/>
      <c r="I390" s="67">
        <f>IF($H390="","",IFERROR(INDEX(Action_Status_Map!$B$5:$B$11,MATCH($H390,Action_Status_Map!$A$5:$A$11,0)),""))</f>
        <v/>
      </c>
      <c r="J390" s="82" t="n"/>
      <c r="K390" s="82" t="n"/>
      <c r="L390" s="82" t="n"/>
      <c r="M390" s="83" t="n"/>
      <c r="N390" s="83" t="n"/>
      <c r="O390" s="66">
        <f>IF(OR($M390="",$N390=""),"",$N390-$M390)</f>
        <v/>
      </c>
      <c r="P390" s="84">
        <f>IF($J390="","",IF($L390&lt;&gt;"",$L390-$J390,TODAY()-$J390))</f>
        <v/>
      </c>
      <c r="Q390" s="85">
        <f>IF(OR($K390="",$H390="Completed",$H390="Cancelled"),"",IF(AND($K390&lt;TODAY(),$H390&lt;&gt;"Completed",$H390&lt;&gt;"Cancelled"),"Overdue","On Track"))</f>
        <v/>
      </c>
      <c r="R390" s="81" t="n"/>
      <c r="S390" s="81">
        <f>IF($B390="","",IFERROR(INDEX(Task_Tracker!$AA$5:$AA$1004,MATCH($B390,Task_Tracker!$A$5:$A$1004,0)),""))</f>
        <v/>
      </c>
      <c r="T390" s="81">
        <f>IF($B390="","",IFERROR(INDEX(Task_Tracker!$AB$5:$AB$1004,MATCH($B390,Task_Tracker!$A$5:$A$1004,0)),""))</f>
        <v/>
      </c>
      <c r="U390" s="78">
        <f>IF($B390="","",IFERROR(INDEX(Task_Tracker!$F$5:$F$1004,MATCH($B390,Task_Tracker!$A$5:$A$1004,0)),""))</f>
        <v/>
      </c>
      <c r="V390" s="78">
        <f>IF($B390="","",IFERROR(INDEX(Task_Tracker!$I$5:$I$1004,MATCH($B390,Task_Tracker!$A$5:$A$1004,0)),""))</f>
        <v/>
      </c>
      <c r="W390" s="81">
        <f>IF(OR($D390="",$B390=""),"",$D390&amp;" | "&amp;$B390)</f>
        <v/>
      </c>
      <c r="X390" s="85">
        <f>IF($K390="","",TEXT($K390,"yyyy-mm"))</f>
        <v/>
      </c>
      <c r="Y390" s="81">
        <f>IF(OR($A390="",$T390=""),"","Included in Manager_Report")</f>
        <v/>
      </c>
    </row>
    <row r="391" ht="15" customHeight="1" s="40">
      <c r="A391" s="65">
        <f>IF(COUNTA(B391:G391)=0,"","STP-"&amp;TEXT(ROW()-4,"0000"))</f>
        <v/>
      </c>
      <c r="B391" s="78" t="n"/>
      <c r="C391" s="67">
        <f>IF($B391="","",IFERROR(INDEX(Task_Tracker!$D$5:$D$1004,MATCH($B391,Task_Tracker!$A$5:$A$1004,0)),""))</f>
        <v/>
      </c>
      <c r="D391" s="67">
        <f>IF($B391="","",IFERROR(INDEX(Task_Tracker!$B$5:$B$1004,MATCH($B391,Task_Tracker!$A$5:$A$1004,0)),""))</f>
        <v/>
      </c>
      <c r="E391" s="81" t="n"/>
      <c r="F391" s="81" t="n"/>
      <c r="G391" s="78" t="n"/>
      <c r="H391" s="78" t="n"/>
      <c r="I391" s="67">
        <f>IF($H391="","",IFERROR(INDEX(Action_Status_Map!$B$5:$B$11,MATCH($H391,Action_Status_Map!$A$5:$A$11,0)),""))</f>
        <v/>
      </c>
      <c r="J391" s="82" t="n"/>
      <c r="K391" s="82" t="n"/>
      <c r="L391" s="82" t="n"/>
      <c r="M391" s="83" t="n"/>
      <c r="N391" s="83" t="n"/>
      <c r="O391" s="66">
        <f>IF(OR($M391="",$N391=""),"",$N391-$M391)</f>
        <v/>
      </c>
      <c r="P391" s="84">
        <f>IF($J391="","",IF($L391&lt;&gt;"",$L391-$J391,TODAY()-$J391))</f>
        <v/>
      </c>
      <c r="Q391" s="85">
        <f>IF(OR($K391="",$H391="Completed",$H391="Cancelled"),"",IF(AND($K391&lt;TODAY(),$H391&lt;&gt;"Completed",$H391&lt;&gt;"Cancelled"),"Overdue","On Track"))</f>
        <v/>
      </c>
      <c r="R391" s="81" t="n"/>
      <c r="S391" s="81">
        <f>IF($B391="","",IFERROR(INDEX(Task_Tracker!$AA$5:$AA$1004,MATCH($B391,Task_Tracker!$A$5:$A$1004,0)),""))</f>
        <v/>
      </c>
      <c r="T391" s="81">
        <f>IF($B391="","",IFERROR(INDEX(Task_Tracker!$AB$5:$AB$1004,MATCH($B391,Task_Tracker!$A$5:$A$1004,0)),""))</f>
        <v/>
      </c>
      <c r="U391" s="78">
        <f>IF($B391="","",IFERROR(INDEX(Task_Tracker!$F$5:$F$1004,MATCH($B391,Task_Tracker!$A$5:$A$1004,0)),""))</f>
        <v/>
      </c>
      <c r="V391" s="78">
        <f>IF($B391="","",IFERROR(INDEX(Task_Tracker!$I$5:$I$1004,MATCH($B391,Task_Tracker!$A$5:$A$1004,0)),""))</f>
        <v/>
      </c>
      <c r="W391" s="81">
        <f>IF(OR($D391="",$B391=""),"",$D391&amp;" | "&amp;$B391)</f>
        <v/>
      </c>
      <c r="X391" s="85">
        <f>IF($K391="","",TEXT($K391,"yyyy-mm"))</f>
        <v/>
      </c>
      <c r="Y391" s="81">
        <f>IF(OR($A391="",$T391=""),"","Included in Manager_Report")</f>
        <v/>
      </c>
    </row>
    <row r="392" ht="15" customHeight="1" s="40">
      <c r="A392" s="65">
        <f>IF(COUNTA(B392:G392)=0,"","STP-"&amp;TEXT(ROW()-4,"0000"))</f>
        <v/>
      </c>
      <c r="B392" s="78" t="n"/>
      <c r="C392" s="67">
        <f>IF($B392="","",IFERROR(INDEX(Task_Tracker!$D$5:$D$1004,MATCH($B392,Task_Tracker!$A$5:$A$1004,0)),""))</f>
        <v/>
      </c>
      <c r="D392" s="67">
        <f>IF($B392="","",IFERROR(INDEX(Task_Tracker!$B$5:$B$1004,MATCH($B392,Task_Tracker!$A$5:$A$1004,0)),""))</f>
        <v/>
      </c>
      <c r="E392" s="81" t="n"/>
      <c r="F392" s="81" t="n"/>
      <c r="G392" s="78" t="n"/>
      <c r="H392" s="78" t="n"/>
      <c r="I392" s="67">
        <f>IF($H392="","",IFERROR(INDEX(Action_Status_Map!$B$5:$B$11,MATCH($H392,Action_Status_Map!$A$5:$A$11,0)),""))</f>
        <v/>
      </c>
      <c r="J392" s="82" t="n"/>
      <c r="K392" s="82" t="n"/>
      <c r="L392" s="82" t="n"/>
      <c r="M392" s="83" t="n"/>
      <c r="N392" s="83" t="n"/>
      <c r="O392" s="66">
        <f>IF(OR($M392="",$N392=""),"",$N392-$M392)</f>
        <v/>
      </c>
      <c r="P392" s="84">
        <f>IF($J392="","",IF($L392&lt;&gt;"",$L392-$J392,TODAY()-$J392))</f>
        <v/>
      </c>
      <c r="Q392" s="85">
        <f>IF(OR($K392="",$H392="Completed",$H392="Cancelled"),"",IF(AND($K392&lt;TODAY(),$H392&lt;&gt;"Completed",$H392&lt;&gt;"Cancelled"),"Overdue","On Track"))</f>
        <v/>
      </c>
      <c r="R392" s="81" t="n"/>
      <c r="S392" s="81">
        <f>IF($B392="","",IFERROR(INDEX(Task_Tracker!$AA$5:$AA$1004,MATCH($B392,Task_Tracker!$A$5:$A$1004,0)),""))</f>
        <v/>
      </c>
      <c r="T392" s="81">
        <f>IF($B392="","",IFERROR(INDEX(Task_Tracker!$AB$5:$AB$1004,MATCH($B392,Task_Tracker!$A$5:$A$1004,0)),""))</f>
        <v/>
      </c>
      <c r="U392" s="78">
        <f>IF($B392="","",IFERROR(INDEX(Task_Tracker!$F$5:$F$1004,MATCH($B392,Task_Tracker!$A$5:$A$1004,0)),""))</f>
        <v/>
      </c>
      <c r="V392" s="78">
        <f>IF($B392="","",IFERROR(INDEX(Task_Tracker!$I$5:$I$1004,MATCH($B392,Task_Tracker!$A$5:$A$1004,0)),""))</f>
        <v/>
      </c>
      <c r="W392" s="81">
        <f>IF(OR($D392="",$B392=""),"",$D392&amp;" | "&amp;$B392)</f>
        <v/>
      </c>
      <c r="X392" s="85">
        <f>IF($K392="","",TEXT($K392,"yyyy-mm"))</f>
        <v/>
      </c>
      <c r="Y392" s="81">
        <f>IF(OR($A392="",$T392=""),"","Included in Manager_Report")</f>
        <v/>
      </c>
    </row>
    <row r="393" ht="15" customHeight="1" s="40">
      <c r="A393" s="65">
        <f>IF(COUNTA(B393:G393)=0,"","STP-"&amp;TEXT(ROW()-4,"0000"))</f>
        <v/>
      </c>
      <c r="B393" s="78" t="n"/>
      <c r="C393" s="67">
        <f>IF($B393="","",IFERROR(INDEX(Task_Tracker!$D$5:$D$1004,MATCH($B393,Task_Tracker!$A$5:$A$1004,0)),""))</f>
        <v/>
      </c>
      <c r="D393" s="67">
        <f>IF($B393="","",IFERROR(INDEX(Task_Tracker!$B$5:$B$1004,MATCH($B393,Task_Tracker!$A$5:$A$1004,0)),""))</f>
        <v/>
      </c>
      <c r="E393" s="81" t="n"/>
      <c r="F393" s="81" t="n"/>
      <c r="G393" s="78" t="n"/>
      <c r="H393" s="78" t="n"/>
      <c r="I393" s="67">
        <f>IF($H393="","",IFERROR(INDEX(Action_Status_Map!$B$5:$B$11,MATCH($H393,Action_Status_Map!$A$5:$A$11,0)),""))</f>
        <v/>
      </c>
      <c r="J393" s="82" t="n"/>
      <c r="K393" s="82" t="n"/>
      <c r="L393" s="82" t="n"/>
      <c r="M393" s="83" t="n"/>
      <c r="N393" s="83" t="n"/>
      <c r="O393" s="66">
        <f>IF(OR($M393="",$N393=""),"",$N393-$M393)</f>
        <v/>
      </c>
      <c r="P393" s="84">
        <f>IF($J393="","",IF($L393&lt;&gt;"",$L393-$J393,TODAY()-$J393))</f>
        <v/>
      </c>
      <c r="Q393" s="85">
        <f>IF(OR($K393="",$H393="Completed",$H393="Cancelled"),"",IF(AND($K393&lt;TODAY(),$H393&lt;&gt;"Completed",$H393&lt;&gt;"Cancelled"),"Overdue","On Track"))</f>
        <v/>
      </c>
      <c r="R393" s="81" t="n"/>
      <c r="S393" s="81">
        <f>IF($B393="","",IFERROR(INDEX(Task_Tracker!$AA$5:$AA$1004,MATCH($B393,Task_Tracker!$A$5:$A$1004,0)),""))</f>
        <v/>
      </c>
      <c r="T393" s="81">
        <f>IF($B393="","",IFERROR(INDEX(Task_Tracker!$AB$5:$AB$1004,MATCH($B393,Task_Tracker!$A$5:$A$1004,0)),""))</f>
        <v/>
      </c>
      <c r="U393" s="78">
        <f>IF($B393="","",IFERROR(INDEX(Task_Tracker!$F$5:$F$1004,MATCH($B393,Task_Tracker!$A$5:$A$1004,0)),""))</f>
        <v/>
      </c>
      <c r="V393" s="78">
        <f>IF($B393="","",IFERROR(INDEX(Task_Tracker!$I$5:$I$1004,MATCH($B393,Task_Tracker!$A$5:$A$1004,0)),""))</f>
        <v/>
      </c>
      <c r="W393" s="81">
        <f>IF(OR($D393="",$B393=""),"",$D393&amp;" | "&amp;$B393)</f>
        <v/>
      </c>
      <c r="X393" s="85">
        <f>IF($K393="","",TEXT($K393,"yyyy-mm"))</f>
        <v/>
      </c>
      <c r="Y393" s="81">
        <f>IF(OR($A393="",$T393=""),"","Included in Manager_Report")</f>
        <v/>
      </c>
    </row>
    <row r="394" ht="15" customHeight="1" s="40">
      <c r="A394" s="65">
        <f>IF(COUNTA(B394:G394)=0,"","STP-"&amp;TEXT(ROW()-4,"0000"))</f>
        <v/>
      </c>
      <c r="B394" s="78" t="n"/>
      <c r="C394" s="67">
        <f>IF($B394="","",IFERROR(INDEX(Task_Tracker!$D$5:$D$1004,MATCH($B394,Task_Tracker!$A$5:$A$1004,0)),""))</f>
        <v/>
      </c>
      <c r="D394" s="67">
        <f>IF($B394="","",IFERROR(INDEX(Task_Tracker!$B$5:$B$1004,MATCH($B394,Task_Tracker!$A$5:$A$1004,0)),""))</f>
        <v/>
      </c>
      <c r="E394" s="81" t="n"/>
      <c r="F394" s="81" t="n"/>
      <c r="G394" s="78" t="n"/>
      <c r="H394" s="78" t="n"/>
      <c r="I394" s="67">
        <f>IF($H394="","",IFERROR(INDEX(Action_Status_Map!$B$5:$B$11,MATCH($H394,Action_Status_Map!$A$5:$A$11,0)),""))</f>
        <v/>
      </c>
      <c r="J394" s="82" t="n"/>
      <c r="K394" s="82" t="n"/>
      <c r="L394" s="82" t="n"/>
      <c r="M394" s="83" t="n"/>
      <c r="N394" s="83" t="n"/>
      <c r="O394" s="66">
        <f>IF(OR($M394="",$N394=""),"",$N394-$M394)</f>
        <v/>
      </c>
      <c r="P394" s="84">
        <f>IF($J394="","",IF($L394&lt;&gt;"",$L394-$J394,TODAY()-$J394))</f>
        <v/>
      </c>
      <c r="Q394" s="85">
        <f>IF(OR($K394="",$H394="Completed",$H394="Cancelled"),"",IF(AND($K394&lt;TODAY(),$H394&lt;&gt;"Completed",$H394&lt;&gt;"Cancelled"),"Overdue","On Track"))</f>
        <v/>
      </c>
      <c r="R394" s="81" t="n"/>
      <c r="S394" s="81">
        <f>IF($B394="","",IFERROR(INDEX(Task_Tracker!$AA$5:$AA$1004,MATCH($B394,Task_Tracker!$A$5:$A$1004,0)),""))</f>
        <v/>
      </c>
      <c r="T394" s="81">
        <f>IF($B394="","",IFERROR(INDEX(Task_Tracker!$AB$5:$AB$1004,MATCH($B394,Task_Tracker!$A$5:$A$1004,0)),""))</f>
        <v/>
      </c>
      <c r="U394" s="78">
        <f>IF($B394="","",IFERROR(INDEX(Task_Tracker!$F$5:$F$1004,MATCH($B394,Task_Tracker!$A$5:$A$1004,0)),""))</f>
        <v/>
      </c>
      <c r="V394" s="78">
        <f>IF($B394="","",IFERROR(INDEX(Task_Tracker!$I$5:$I$1004,MATCH($B394,Task_Tracker!$A$5:$A$1004,0)),""))</f>
        <v/>
      </c>
      <c r="W394" s="81">
        <f>IF(OR($D394="",$B394=""),"",$D394&amp;" | "&amp;$B394)</f>
        <v/>
      </c>
      <c r="X394" s="85">
        <f>IF($K394="","",TEXT($K394,"yyyy-mm"))</f>
        <v/>
      </c>
      <c r="Y394" s="81">
        <f>IF(OR($A394="",$T394=""),"","Included in Manager_Report")</f>
        <v/>
      </c>
    </row>
    <row r="395" ht="15" customHeight="1" s="40">
      <c r="A395" s="65">
        <f>IF(COUNTA(B395:G395)=0,"","STP-"&amp;TEXT(ROW()-4,"0000"))</f>
        <v/>
      </c>
      <c r="B395" s="78" t="n"/>
      <c r="C395" s="67">
        <f>IF($B395="","",IFERROR(INDEX(Task_Tracker!$D$5:$D$1004,MATCH($B395,Task_Tracker!$A$5:$A$1004,0)),""))</f>
        <v/>
      </c>
      <c r="D395" s="67">
        <f>IF($B395="","",IFERROR(INDEX(Task_Tracker!$B$5:$B$1004,MATCH($B395,Task_Tracker!$A$5:$A$1004,0)),""))</f>
        <v/>
      </c>
      <c r="E395" s="81" t="n"/>
      <c r="F395" s="81" t="n"/>
      <c r="G395" s="78" t="n"/>
      <c r="H395" s="78" t="n"/>
      <c r="I395" s="67">
        <f>IF($H395="","",IFERROR(INDEX(Action_Status_Map!$B$5:$B$11,MATCH($H395,Action_Status_Map!$A$5:$A$11,0)),""))</f>
        <v/>
      </c>
      <c r="J395" s="82" t="n"/>
      <c r="K395" s="82" t="n"/>
      <c r="L395" s="82" t="n"/>
      <c r="M395" s="83" t="n"/>
      <c r="N395" s="83" t="n"/>
      <c r="O395" s="66">
        <f>IF(OR($M395="",$N395=""),"",$N395-$M395)</f>
        <v/>
      </c>
      <c r="P395" s="84">
        <f>IF($J395="","",IF($L395&lt;&gt;"",$L395-$J395,TODAY()-$J395))</f>
        <v/>
      </c>
      <c r="Q395" s="85">
        <f>IF(OR($K395="",$H395="Completed",$H395="Cancelled"),"",IF(AND($K395&lt;TODAY(),$H395&lt;&gt;"Completed",$H395&lt;&gt;"Cancelled"),"Overdue","On Track"))</f>
        <v/>
      </c>
      <c r="R395" s="81" t="n"/>
      <c r="S395" s="81">
        <f>IF($B395="","",IFERROR(INDEX(Task_Tracker!$AA$5:$AA$1004,MATCH($B395,Task_Tracker!$A$5:$A$1004,0)),""))</f>
        <v/>
      </c>
      <c r="T395" s="81">
        <f>IF($B395="","",IFERROR(INDEX(Task_Tracker!$AB$5:$AB$1004,MATCH($B395,Task_Tracker!$A$5:$A$1004,0)),""))</f>
        <v/>
      </c>
      <c r="U395" s="78">
        <f>IF($B395="","",IFERROR(INDEX(Task_Tracker!$F$5:$F$1004,MATCH($B395,Task_Tracker!$A$5:$A$1004,0)),""))</f>
        <v/>
      </c>
      <c r="V395" s="78">
        <f>IF($B395="","",IFERROR(INDEX(Task_Tracker!$I$5:$I$1004,MATCH($B395,Task_Tracker!$A$5:$A$1004,0)),""))</f>
        <v/>
      </c>
      <c r="W395" s="81">
        <f>IF(OR($D395="",$B395=""),"",$D395&amp;" | "&amp;$B395)</f>
        <v/>
      </c>
      <c r="X395" s="85">
        <f>IF($K395="","",TEXT($K395,"yyyy-mm"))</f>
        <v/>
      </c>
      <c r="Y395" s="81">
        <f>IF(OR($A395="",$T395=""),"","Included in Manager_Report")</f>
        <v/>
      </c>
    </row>
    <row r="396" ht="15" customHeight="1" s="40">
      <c r="A396" s="65">
        <f>IF(COUNTA(B396:G396)=0,"","STP-"&amp;TEXT(ROW()-4,"0000"))</f>
        <v/>
      </c>
      <c r="B396" s="78" t="n"/>
      <c r="C396" s="67">
        <f>IF($B396="","",IFERROR(INDEX(Task_Tracker!$D$5:$D$1004,MATCH($B396,Task_Tracker!$A$5:$A$1004,0)),""))</f>
        <v/>
      </c>
      <c r="D396" s="67">
        <f>IF($B396="","",IFERROR(INDEX(Task_Tracker!$B$5:$B$1004,MATCH($B396,Task_Tracker!$A$5:$A$1004,0)),""))</f>
        <v/>
      </c>
      <c r="E396" s="81" t="n"/>
      <c r="F396" s="81" t="n"/>
      <c r="G396" s="78" t="n"/>
      <c r="H396" s="78" t="n"/>
      <c r="I396" s="67">
        <f>IF($H396="","",IFERROR(INDEX(Action_Status_Map!$B$5:$B$11,MATCH($H396,Action_Status_Map!$A$5:$A$11,0)),""))</f>
        <v/>
      </c>
      <c r="J396" s="82" t="n"/>
      <c r="K396" s="82" t="n"/>
      <c r="L396" s="82" t="n"/>
      <c r="M396" s="83" t="n"/>
      <c r="N396" s="83" t="n"/>
      <c r="O396" s="66">
        <f>IF(OR($M396="",$N396=""),"",$N396-$M396)</f>
        <v/>
      </c>
      <c r="P396" s="84">
        <f>IF($J396="","",IF($L396&lt;&gt;"",$L396-$J396,TODAY()-$J396))</f>
        <v/>
      </c>
      <c r="Q396" s="85">
        <f>IF(OR($K396="",$H396="Completed",$H396="Cancelled"),"",IF(AND($K396&lt;TODAY(),$H396&lt;&gt;"Completed",$H396&lt;&gt;"Cancelled"),"Overdue","On Track"))</f>
        <v/>
      </c>
      <c r="R396" s="81" t="n"/>
      <c r="S396" s="81">
        <f>IF($B396="","",IFERROR(INDEX(Task_Tracker!$AA$5:$AA$1004,MATCH($B396,Task_Tracker!$A$5:$A$1004,0)),""))</f>
        <v/>
      </c>
      <c r="T396" s="81">
        <f>IF($B396="","",IFERROR(INDEX(Task_Tracker!$AB$5:$AB$1004,MATCH($B396,Task_Tracker!$A$5:$A$1004,0)),""))</f>
        <v/>
      </c>
      <c r="U396" s="78">
        <f>IF($B396="","",IFERROR(INDEX(Task_Tracker!$F$5:$F$1004,MATCH($B396,Task_Tracker!$A$5:$A$1004,0)),""))</f>
        <v/>
      </c>
      <c r="V396" s="78">
        <f>IF($B396="","",IFERROR(INDEX(Task_Tracker!$I$5:$I$1004,MATCH($B396,Task_Tracker!$A$5:$A$1004,0)),""))</f>
        <v/>
      </c>
      <c r="W396" s="81">
        <f>IF(OR($D396="",$B396=""),"",$D396&amp;" | "&amp;$B396)</f>
        <v/>
      </c>
      <c r="X396" s="85">
        <f>IF($K396="","",TEXT($K396,"yyyy-mm"))</f>
        <v/>
      </c>
      <c r="Y396" s="81">
        <f>IF(OR($A396="",$T396=""),"","Included in Manager_Report")</f>
        <v/>
      </c>
    </row>
    <row r="397" ht="15" customHeight="1" s="40">
      <c r="A397" s="65">
        <f>IF(COUNTA(B397:G397)=0,"","STP-"&amp;TEXT(ROW()-4,"0000"))</f>
        <v/>
      </c>
      <c r="B397" s="78" t="n"/>
      <c r="C397" s="67">
        <f>IF($B397="","",IFERROR(INDEX(Task_Tracker!$D$5:$D$1004,MATCH($B397,Task_Tracker!$A$5:$A$1004,0)),""))</f>
        <v/>
      </c>
      <c r="D397" s="67">
        <f>IF($B397="","",IFERROR(INDEX(Task_Tracker!$B$5:$B$1004,MATCH($B397,Task_Tracker!$A$5:$A$1004,0)),""))</f>
        <v/>
      </c>
      <c r="E397" s="81" t="n"/>
      <c r="F397" s="81" t="n"/>
      <c r="G397" s="78" t="n"/>
      <c r="H397" s="78" t="n"/>
      <c r="I397" s="67">
        <f>IF($H397="","",IFERROR(INDEX(Action_Status_Map!$B$5:$B$11,MATCH($H397,Action_Status_Map!$A$5:$A$11,0)),""))</f>
        <v/>
      </c>
      <c r="J397" s="82" t="n"/>
      <c r="K397" s="82" t="n"/>
      <c r="L397" s="82" t="n"/>
      <c r="M397" s="83" t="n"/>
      <c r="N397" s="83" t="n"/>
      <c r="O397" s="66">
        <f>IF(OR($M397="",$N397=""),"",$N397-$M397)</f>
        <v/>
      </c>
      <c r="P397" s="84">
        <f>IF($J397="","",IF($L397&lt;&gt;"",$L397-$J397,TODAY()-$J397))</f>
        <v/>
      </c>
      <c r="Q397" s="85">
        <f>IF(OR($K397="",$H397="Completed",$H397="Cancelled"),"",IF(AND($K397&lt;TODAY(),$H397&lt;&gt;"Completed",$H397&lt;&gt;"Cancelled"),"Overdue","On Track"))</f>
        <v/>
      </c>
      <c r="R397" s="81" t="n"/>
      <c r="S397" s="81">
        <f>IF($B397="","",IFERROR(INDEX(Task_Tracker!$AA$5:$AA$1004,MATCH($B397,Task_Tracker!$A$5:$A$1004,0)),""))</f>
        <v/>
      </c>
      <c r="T397" s="81">
        <f>IF($B397="","",IFERROR(INDEX(Task_Tracker!$AB$5:$AB$1004,MATCH($B397,Task_Tracker!$A$5:$A$1004,0)),""))</f>
        <v/>
      </c>
      <c r="U397" s="78">
        <f>IF($B397="","",IFERROR(INDEX(Task_Tracker!$F$5:$F$1004,MATCH($B397,Task_Tracker!$A$5:$A$1004,0)),""))</f>
        <v/>
      </c>
      <c r="V397" s="78">
        <f>IF($B397="","",IFERROR(INDEX(Task_Tracker!$I$5:$I$1004,MATCH($B397,Task_Tracker!$A$5:$A$1004,0)),""))</f>
        <v/>
      </c>
      <c r="W397" s="81">
        <f>IF(OR($D397="",$B397=""),"",$D397&amp;" | "&amp;$B397)</f>
        <v/>
      </c>
      <c r="X397" s="85">
        <f>IF($K397="","",TEXT($K397,"yyyy-mm"))</f>
        <v/>
      </c>
      <c r="Y397" s="81">
        <f>IF(OR($A397="",$T397=""),"","Included in Manager_Report")</f>
        <v/>
      </c>
    </row>
    <row r="398" ht="15" customHeight="1" s="40">
      <c r="A398" s="65">
        <f>IF(COUNTA(B398:G398)=0,"","STP-"&amp;TEXT(ROW()-4,"0000"))</f>
        <v/>
      </c>
      <c r="B398" s="78" t="n"/>
      <c r="C398" s="67">
        <f>IF($B398="","",IFERROR(INDEX(Task_Tracker!$D$5:$D$1004,MATCH($B398,Task_Tracker!$A$5:$A$1004,0)),""))</f>
        <v/>
      </c>
      <c r="D398" s="67">
        <f>IF($B398="","",IFERROR(INDEX(Task_Tracker!$B$5:$B$1004,MATCH($B398,Task_Tracker!$A$5:$A$1004,0)),""))</f>
        <v/>
      </c>
      <c r="E398" s="81" t="n"/>
      <c r="F398" s="81" t="n"/>
      <c r="G398" s="78" t="n"/>
      <c r="H398" s="78" t="n"/>
      <c r="I398" s="67">
        <f>IF($H398="","",IFERROR(INDEX(Action_Status_Map!$B$5:$B$11,MATCH($H398,Action_Status_Map!$A$5:$A$11,0)),""))</f>
        <v/>
      </c>
      <c r="J398" s="82" t="n"/>
      <c r="K398" s="82" t="n"/>
      <c r="L398" s="82" t="n"/>
      <c r="M398" s="83" t="n"/>
      <c r="N398" s="83" t="n"/>
      <c r="O398" s="66">
        <f>IF(OR($M398="",$N398=""),"",$N398-$M398)</f>
        <v/>
      </c>
      <c r="P398" s="84">
        <f>IF($J398="","",IF($L398&lt;&gt;"",$L398-$J398,TODAY()-$J398))</f>
        <v/>
      </c>
      <c r="Q398" s="85">
        <f>IF(OR($K398="",$H398="Completed",$H398="Cancelled"),"",IF(AND($K398&lt;TODAY(),$H398&lt;&gt;"Completed",$H398&lt;&gt;"Cancelled"),"Overdue","On Track"))</f>
        <v/>
      </c>
      <c r="R398" s="81" t="n"/>
      <c r="S398" s="81">
        <f>IF($B398="","",IFERROR(INDEX(Task_Tracker!$AA$5:$AA$1004,MATCH($B398,Task_Tracker!$A$5:$A$1004,0)),""))</f>
        <v/>
      </c>
      <c r="T398" s="81">
        <f>IF($B398="","",IFERROR(INDEX(Task_Tracker!$AB$5:$AB$1004,MATCH($B398,Task_Tracker!$A$5:$A$1004,0)),""))</f>
        <v/>
      </c>
      <c r="U398" s="78">
        <f>IF($B398="","",IFERROR(INDEX(Task_Tracker!$F$5:$F$1004,MATCH($B398,Task_Tracker!$A$5:$A$1004,0)),""))</f>
        <v/>
      </c>
      <c r="V398" s="78">
        <f>IF($B398="","",IFERROR(INDEX(Task_Tracker!$I$5:$I$1004,MATCH($B398,Task_Tracker!$A$5:$A$1004,0)),""))</f>
        <v/>
      </c>
      <c r="W398" s="81">
        <f>IF(OR($D398="",$B398=""),"",$D398&amp;" | "&amp;$B398)</f>
        <v/>
      </c>
      <c r="X398" s="85">
        <f>IF($K398="","",TEXT($K398,"yyyy-mm"))</f>
        <v/>
      </c>
      <c r="Y398" s="81">
        <f>IF(OR($A398="",$T398=""),"","Included in Manager_Report")</f>
        <v/>
      </c>
    </row>
    <row r="399" ht="15" customHeight="1" s="40">
      <c r="A399" s="65">
        <f>IF(COUNTA(B399:G399)=0,"","STP-"&amp;TEXT(ROW()-4,"0000"))</f>
        <v/>
      </c>
      <c r="B399" s="78" t="n"/>
      <c r="C399" s="67">
        <f>IF($B399="","",IFERROR(INDEX(Task_Tracker!$D$5:$D$1004,MATCH($B399,Task_Tracker!$A$5:$A$1004,0)),""))</f>
        <v/>
      </c>
      <c r="D399" s="67">
        <f>IF($B399="","",IFERROR(INDEX(Task_Tracker!$B$5:$B$1004,MATCH($B399,Task_Tracker!$A$5:$A$1004,0)),""))</f>
        <v/>
      </c>
      <c r="E399" s="81" t="n"/>
      <c r="F399" s="81" t="n"/>
      <c r="G399" s="78" t="n"/>
      <c r="H399" s="78" t="n"/>
      <c r="I399" s="67">
        <f>IF($H399="","",IFERROR(INDEX(Action_Status_Map!$B$5:$B$11,MATCH($H399,Action_Status_Map!$A$5:$A$11,0)),""))</f>
        <v/>
      </c>
      <c r="J399" s="82" t="n"/>
      <c r="K399" s="82" t="n"/>
      <c r="L399" s="82" t="n"/>
      <c r="M399" s="83" t="n"/>
      <c r="N399" s="83" t="n"/>
      <c r="O399" s="66">
        <f>IF(OR($M399="",$N399=""),"",$N399-$M399)</f>
        <v/>
      </c>
      <c r="P399" s="84">
        <f>IF($J399="","",IF($L399&lt;&gt;"",$L399-$J399,TODAY()-$J399))</f>
        <v/>
      </c>
      <c r="Q399" s="85">
        <f>IF(OR($K399="",$H399="Completed",$H399="Cancelled"),"",IF(AND($K399&lt;TODAY(),$H399&lt;&gt;"Completed",$H399&lt;&gt;"Cancelled"),"Overdue","On Track"))</f>
        <v/>
      </c>
      <c r="R399" s="81" t="n"/>
      <c r="S399" s="81">
        <f>IF($B399="","",IFERROR(INDEX(Task_Tracker!$AA$5:$AA$1004,MATCH($B399,Task_Tracker!$A$5:$A$1004,0)),""))</f>
        <v/>
      </c>
      <c r="T399" s="81">
        <f>IF($B399="","",IFERROR(INDEX(Task_Tracker!$AB$5:$AB$1004,MATCH($B399,Task_Tracker!$A$5:$A$1004,0)),""))</f>
        <v/>
      </c>
      <c r="U399" s="78">
        <f>IF($B399="","",IFERROR(INDEX(Task_Tracker!$F$5:$F$1004,MATCH($B399,Task_Tracker!$A$5:$A$1004,0)),""))</f>
        <v/>
      </c>
      <c r="V399" s="78">
        <f>IF($B399="","",IFERROR(INDEX(Task_Tracker!$I$5:$I$1004,MATCH($B399,Task_Tracker!$A$5:$A$1004,0)),""))</f>
        <v/>
      </c>
      <c r="W399" s="81">
        <f>IF(OR($D399="",$B399=""),"",$D399&amp;" | "&amp;$B399)</f>
        <v/>
      </c>
      <c r="X399" s="85">
        <f>IF($K399="","",TEXT($K399,"yyyy-mm"))</f>
        <v/>
      </c>
      <c r="Y399" s="81">
        <f>IF(OR($A399="",$T399=""),"","Included in Manager_Report")</f>
        <v/>
      </c>
    </row>
    <row r="400" ht="15" customHeight="1" s="40">
      <c r="A400" s="65">
        <f>IF(COUNTA(B400:G400)=0,"","STP-"&amp;TEXT(ROW()-4,"0000"))</f>
        <v/>
      </c>
      <c r="B400" s="78" t="n"/>
      <c r="C400" s="67">
        <f>IF($B400="","",IFERROR(INDEX(Task_Tracker!$D$5:$D$1004,MATCH($B400,Task_Tracker!$A$5:$A$1004,0)),""))</f>
        <v/>
      </c>
      <c r="D400" s="67">
        <f>IF($B400="","",IFERROR(INDEX(Task_Tracker!$B$5:$B$1004,MATCH($B400,Task_Tracker!$A$5:$A$1004,0)),""))</f>
        <v/>
      </c>
      <c r="E400" s="81" t="n"/>
      <c r="F400" s="81" t="n"/>
      <c r="G400" s="78" t="n"/>
      <c r="H400" s="78" t="n"/>
      <c r="I400" s="67">
        <f>IF($H400="","",IFERROR(INDEX(Action_Status_Map!$B$5:$B$11,MATCH($H400,Action_Status_Map!$A$5:$A$11,0)),""))</f>
        <v/>
      </c>
      <c r="J400" s="82" t="n"/>
      <c r="K400" s="82" t="n"/>
      <c r="L400" s="82" t="n"/>
      <c r="M400" s="83" t="n"/>
      <c r="N400" s="83" t="n"/>
      <c r="O400" s="66">
        <f>IF(OR($M400="",$N400=""),"",$N400-$M400)</f>
        <v/>
      </c>
      <c r="P400" s="84">
        <f>IF($J400="","",IF($L400&lt;&gt;"",$L400-$J400,TODAY()-$J400))</f>
        <v/>
      </c>
      <c r="Q400" s="85">
        <f>IF(OR($K400="",$H400="Completed",$H400="Cancelled"),"",IF(AND($K400&lt;TODAY(),$H400&lt;&gt;"Completed",$H400&lt;&gt;"Cancelled"),"Overdue","On Track"))</f>
        <v/>
      </c>
      <c r="R400" s="81" t="n"/>
      <c r="S400" s="81">
        <f>IF($B400="","",IFERROR(INDEX(Task_Tracker!$AA$5:$AA$1004,MATCH($B400,Task_Tracker!$A$5:$A$1004,0)),""))</f>
        <v/>
      </c>
      <c r="T400" s="81">
        <f>IF($B400="","",IFERROR(INDEX(Task_Tracker!$AB$5:$AB$1004,MATCH($B400,Task_Tracker!$A$5:$A$1004,0)),""))</f>
        <v/>
      </c>
      <c r="U400" s="78">
        <f>IF($B400="","",IFERROR(INDEX(Task_Tracker!$F$5:$F$1004,MATCH($B400,Task_Tracker!$A$5:$A$1004,0)),""))</f>
        <v/>
      </c>
      <c r="V400" s="78">
        <f>IF($B400="","",IFERROR(INDEX(Task_Tracker!$I$5:$I$1004,MATCH($B400,Task_Tracker!$A$5:$A$1004,0)),""))</f>
        <v/>
      </c>
      <c r="W400" s="81">
        <f>IF(OR($D400="",$B400=""),"",$D400&amp;" | "&amp;$B400)</f>
        <v/>
      </c>
      <c r="X400" s="85">
        <f>IF($K400="","",TEXT($K400,"yyyy-mm"))</f>
        <v/>
      </c>
      <c r="Y400" s="81">
        <f>IF(OR($A400="",$T400=""),"","Included in Manager_Report")</f>
        <v/>
      </c>
    </row>
    <row r="401" ht="15" customHeight="1" s="40">
      <c r="A401" s="65">
        <f>IF(COUNTA(B401:G401)=0,"","STP-"&amp;TEXT(ROW()-4,"0000"))</f>
        <v/>
      </c>
      <c r="B401" s="78" t="n"/>
      <c r="C401" s="67">
        <f>IF($B401="","",IFERROR(INDEX(Task_Tracker!$D$5:$D$1004,MATCH($B401,Task_Tracker!$A$5:$A$1004,0)),""))</f>
        <v/>
      </c>
      <c r="D401" s="67">
        <f>IF($B401="","",IFERROR(INDEX(Task_Tracker!$B$5:$B$1004,MATCH($B401,Task_Tracker!$A$5:$A$1004,0)),""))</f>
        <v/>
      </c>
      <c r="E401" s="81" t="n"/>
      <c r="F401" s="81" t="n"/>
      <c r="G401" s="78" t="n"/>
      <c r="H401" s="78" t="n"/>
      <c r="I401" s="67">
        <f>IF($H401="","",IFERROR(INDEX(Action_Status_Map!$B$5:$B$11,MATCH($H401,Action_Status_Map!$A$5:$A$11,0)),""))</f>
        <v/>
      </c>
      <c r="J401" s="82" t="n"/>
      <c r="K401" s="82" t="n"/>
      <c r="L401" s="82" t="n"/>
      <c r="M401" s="83" t="n"/>
      <c r="N401" s="83" t="n"/>
      <c r="O401" s="66">
        <f>IF(OR($M401="",$N401=""),"",$N401-$M401)</f>
        <v/>
      </c>
      <c r="P401" s="84">
        <f>IF($J401="","",IF($L401&lt;&gt;"",$L401-$J401,TODAY()-$J401))</f>
        <v/>
      </c>
      <c r="Q401" s="85">
        <f>IF(OR($K401="",$H401="Completed",$H401="Cancelled"),"",IF(AND($K401&lt;TODAY(),$H401&lt;&gt;"Completed",$H401&lt;&gt;"Cancelled"),"Overdue","On Track"))</f>
        <v/>
      </c>
      <c r="R401" s="81" t="n"/>
      <c r="S401" s="81">
        <f>IF($B401="","",IFERROR(INDEX(Task_Tracker!$AA$5:$AA$1004,MATCH($B401,Task_Tracker!$A$5:$A$1004,0)),""))</f>
        <v/>
      </c>
      <c r="T401" s="81">
        <f>IF($B401="","",IFERROR(INDEX(Task_Tracker!$AB$5:$AB$1004,MATCH($B401,Task_Tracker!$A$5:$A$1004,0)),""))</f>
        <v/>
      </c>
      <c r="U401" s="78">
        <f>IF($B401="","",IFERROR(INDEX(Task_Tracker!$F$5:$F$1004,MATCH($B401,Task_Tracker!$A$5:$A$1004,0)),""))</f>
        <v/>
      </c>
      <c r="V401" s="78">
        <f>IF($B401="","",IFERROR(INDEX(Task_Tracker!$I$5:$I$1004,MATCH($B401,Task_Tracker!$A$5:$A$1004,0)),""))</f>
        <v/>
      </c>
      <c r="W401" s="81">
        <f>IF(OR($D401="",$B401=""),"",$D401&amp;" | "&amp;$B401)</f>
        <v/>
      </c>
      <c r="X401" s="85">
        <f>IF($K401="","",TEXT($K401,"yyyy-mm"))</f>
        <v/>
      </c>
      <c r="Y401" s="81">
        <f>IF(OR($A401="",$T401=""),"","Included in Manager_Report")</f>
        <v/>
      </c>
    </row>
    <row r="402" ht="15" customHeight="1" s="40">
      <c r="A402" s="65">
        <f>IF(COUNTA(B402:G402)=0,"","STP-"&amp;TEXT(ROW()-4,"0000"))</f>
        <v/>
      </c>
      <c r="B402" s="78" t="n"/>
      <c r="C402" s="67">
        <f>IF($B402="","",IFERROR(INDEX(Task_Tracker!$D$5:$D$1004,MATCH($B402,Task_Tracker!$A$5:$A$1004,0)),""))</f>
        <v/>
      </c>
      <c r="D402" s="67">
        <f>IF($B402="","",IFERROR(INDEX(Task_Tracker!$B$5:$B$1004,MATCH($B402,Task_Tracker!$A$5:$A$1004,0)),""))</f>
        <v/>
      </c>
      <c r="E402" s="81" t="n"/>
      <c r="F402" s="81" t="n"/>
      <c r="G402" s="78" t="n"/>
      <c r="H402" s="78" t="n"/>
      <c r="I402" s="67">
        <f>IF($H402="","",IFERROR(INDEX(Action_Status_Map!$B$5:$B$11,MATCH($H402,Action_Status_Map!$A$5:$A$11,0)),""))</f>
        <v/>
      </c>
      <c r="J402" s="82" t="n"/>
      <c r="K402" s="82" t="n"/>
      <c r="L402" s="82" t="n"/>
      <c r="M402" s="83" t="n"/>
      <c r="N402" s="83" t="n"/>
      <c r="O402" s="66">
        <f>IF(OR($M402="",$N402=""),"",$N402-$M402)</f>
        <v/>
      </c>
      <c r="P402" s="84">
        <f>IF($J402="","",IF($L402&lt;&gt;"",$L402-$J402,TODAY()-$J402))</f>
        <v/>
      </c>
      <c r="Q402" s="85">
        <f>IF(OR($K402="",$H402="Completed",$H402="Cancelled"),"",IF(AND($K402&lt;TODAY(),$H402&lt;&gt;"Completed",$H402&lt;&gt;"Cancelled"),"Overdue","On Track"))</f>
        <v/>
      </c>
      <c r="R402" s="81" t="n"/>
      <c r="S402" s="81">
        <f>IF($B402="","",IFERROR(INDEX(Task_Tracker!$AA$5:$AA$1004,MATCH($B402,Task_Tracker!$A$5:$A$1004,0)),""))</f>
        <v/>
      </c>
      <c r="T402" s="81">
        <f>IF($B402="","",IFERROR(INDEX(Task_Tracker!$AB$5:$AB$1004,MATCH($B402,Task_Tracker!$A$5:$A$1004,0)),""))</f>
        <v/>
      </c>
      <c r="U402" s="78">
        <f>IF($B402="","",IFERROR(INDEX(Task_Tracker!$F$5:$F$1004,MATCH($B402,Task_Tracker!$A$5:$A$1004,0)),""))</f>
        <v/>
      </c>
      <c r="V402" s="78">
        <f>IF($B402="","",IFERROR(INDEX(Task_Tracker!$I$5:$I$1004,MATCH($B402,Task_Tracker!$A$5:$A$1004,0)),""))</f>
        <v/>
      </c>
      <c r="W402" s="81">
        <f>IF(OR($D402="",$B402=""),"",$D402&amp;" | "&amp;$B402)</f>
        <v/>
      </c>
      <c r="X402" s="85">
        <f>IF($K402="","",TEXT($K402,"yyyy-mm"))</f>
        <v/>
      </c>
      <c r="Y402" s="81">
        <f>IF(OR($A402="",$T402=""),"","Included in Manager_Report")</f>
        <v/>
      </c>
    </row>
    <row r="403" ht="15" customHeight="1" s="40">
      <c r="A403" s="65">
        <f>IF(COUNTA(B403:G403)=0,"","STP-"&amp;TEXT(ROW()-4,"0000"))</f>
        <v/>
      </c>
      <c r="B403" s="78" t="n"/>
      <c r="C403" s="67">
        <f>IF($B403="","",IFERROR(INDEX(Task_Tracker!$D$5:$D$1004,MATCH($B403,Task_Tracker!$A$5:$A$1004,0)),""))</f>
        <v/>
      </c>
      <c r="D403" s="67">
        <f>IF($B403="","",IFERROR(INDEX(Task_Tracker!$B$5:$B$1004,MATCH($B403,Task_Tracker!$A$5:$A$1004,0)),""))</f>
        <v/>
      </c>
      <c r="E403" s="81" t="n"/>
      <c r="F403" s="81" t="n"/>
      <c r="G403" s="78" t="n"/>
      <c r="H403" s="78" t="n"/>
      <c r="I403" s="67">
        <f>IF($H403="","",IFERROR(INDEX(Action_Status_Map!$B$5:$B$11,MATCH($H403,Action_Status_Map!$A$5:$A$11,0)),""))</f>
        <v/>
      </c>
      <c r="J403" s="82" t="n"/>
      <c r="K403" s="82" t="n"/>
      <c r="L403" s="82" t="n"/>
      <c r="M403" s="83" t="n"/>
      <c r="N403" s="83" t="n"/>
      <c r="O403" s="66">
        <f>IF(OR($M403="",$N403=""),"",$N403-$M403)</f>
        <v/>
      </c>
      <c r="P403" s="84">
        <f>IF($J403="","",IF($L403&lt;&gt;"",$L403-$J403,TODAY()-$J403))</f>
        <v/>
      </c>
      <c r="Q403" s="85">
        <f>IF(OR($K403="",$H403="Completed",$H403="Cancelled"),"",IF(AND($K403&lt;TODAY(),$H403&lt;&gt;"Completed",$H403&lt;&gt;"Cancelled"),"Overdue","On Track"))</f>
        <v/>
      </c>
      <c r="R403" s="81" t="n"/>
      <c r="S403" s="81">
        <f>IF($B403="","",IFERROR(INDEX(Task_Tracker!$AA$5:$AA$1004,MATCH($B403,Task_Tracker!$A$5:$A$1004,0)),""))</f>
        <v/>
      </c>
      <c r="T403" s="81">
        <f>IF($B403="","",IFERROR(INDEX(Task_Tracker!$AB$5:$AB$1004,MATCH($B403,Task_Tracker!$A$5:$A$1004,0)),""))</f>
        <v/>
      </c>
      <c r="U403" s="78">
        <f>IF($B403="","",IFERROR(INDEX(Task_Tracker!$F$5:$F$1004,MATCH($B403,Task_Tracker!$A$5:$A$1004,0)),""))</f>
        <v/>
      </c>
      <c r="V403" s="78">
        <f>IF($B403="","",IFERROR(INDEX(Task_Tracker!$I$5:$I$1004,MATCH($B403,Task_Tracker!$A$5:$A$1004,0)),""))</f>
        <v/>
      </c>
      <c r="W403" s="81">
        <f>IF(OR($D403="",$B403=""),"",$D403&amp;" | "&amp;$B403)</f>
        <v/>
      </c>
      <c r="X403" s="85">
        <f>IF($K403="","",TEXT($K403,"yyyy-mm"))</f>
        <v/>
      </c>
      <c r="Y403" s="81">
        <f>IF(OR($A403="",$T403=""),"","Included in Manager_Report")</f>
        <v/>
      </c>
    </row>
    <row r="404" ht="15" customHeight="1" s="40">
      <c r="A404" s="65">
        <f>IF(COUNTA(B404:G404)=0,"","STP-"&amp;TEXT(ROW()-4,"0000"))</f>
        <v/>
      </c>
      <c r="B404" s="78" t="n"/>
      <c r="C404" s="67">
        <f>IF($B404="","",IFERROR(INDEX(Task_Tracker!$D$5:$D$1004,MATCH($B404,Task_Tracker!$A$5:$A$1004,0)),""))</f>
        <v/>
      </c>
      <c r="D404" s="67">
        <f>IF($B404="","",IFERROR(INDEX(Task_Tracker!$B$5:$B$1004,MATCH($B404,Task_Tracker!$A$5:$A$1004,0)),""))</f>
        <v/>
      </c>
      <c r="E404" s="81" t="n"/>
      <c r="F404" s="81" t="n"/>
      <c r="G404" s="78" t="n"/>
      <c r="H404" s="78" t="n"/>
      <c r="I404" s="67">
        <f>IF($H404="","",IFERROR(INDEX(Action_Status_Map!$B$5:$B$11,MATCH($H404,Action_Status_Map!$A$5:$A$11,0)),""))</f>
        <v/>
      </c>
      <c r="J404" s="82" t="n"/>
      <c r="K404" s="82" t="n"/>
      <c r="L404" s="82" t="n"/>
      <c r="M404" s="83" t="n"/>
      <c r="N404" s="83" t="n"/>
      <c r="O404" s="66">
        <f>IF(OR($M404="",$N404=""),"",$N404-$M404)</f>
        <v/>
      </c>
      <c r="P404" s="84">
        <f>IF($J404="","",IF($L404&lt;&gt;"",$L404-$J404,TODAY()-$J404))</f>
        <v/>
      </c>
      <c r="Q404" s="85">
        <f>IF(OR($K404="",$H404="Completed",$H404="Cancelled"),"",IF(AND($K404&lt;TODAY(),$H404&lt;&gt;"Completed",$H404&lt;&gt;"Cancelled"),"Overdue","On Track"))</f>
        <v/>
      </c>
      <c r="R404" s="81" t="n"/>
      <c r="S404" s="81">
        <f>IF($B404="","",IFERROR(INDEX(Task_Tracker!$AA$5:$AA$1004,MATCH($B404,Task_Tracker!$A$5:$A$1004,0)),""))</f>
        <v/>
      </c>
      <c r="T404" s="81">
        <f>IF($B404="","",IFERROR(INDEX(Task_Tracker!$AB$5:$AB$1004,MATCH($B404,Task_Tracker!$A$5:$A$1004,0)),""))</f>
        <v/>
      </c>
      <c r="U404" s="78">
        <f>IF($B404="","",IFERROR(INDEX(Task_Tracker!$F$5:$F$1004,MATCH($B404,Task_Tracker!$A$5:$A$1004,0)),""))</f>
        <v/>
      </c>
      <c r="V404" s="78">
        <f>IF($B404="","",IFERROR(INDEX(Task_Tracker!$I$5:$I$1004,MATCH($B404,Task_Tracker!$A$5:$A$1004,0)),""))</f>
        <v/>
      </c>
      <c r="W404" s="81">
        <f>IF(OR($D404="",$B404=""),"",$D404&amp;" | "&amp;$B404)</f>
        <v/>
      </c>
      <c r="X404" s="85">
        <f>IF($K404="","",TEXT($K404,"yyyy-mm"))</f>
        <v/>
      </c>
      <c r="Y404" s="81">
        <f>IF(OR($A404="",$T404=""),"","Included in Manager_Report")</f>
        <v/>
      </c>
    </row>
    <row r="405" ht="15" customHeight="1" s="40">
      <c r="A405" s="65">
        <f>IF(COUNTA(B405:G405)=0,"","STP-"&amp;TEXT(ROW()-4,"0000"))</f>
        <v/>
      </c>
      <c r="B405" s="78" t="n"/>
      <c r="C405" s="67">
        <f>IF($B405="","",IFERROR(INDEX(Task_Tracker!$D$5:$D$1004,MATCH($B405,Task_Tracker!$A$5:$A$1004,0)),""))</f>
        <v/>
      </c>
      <c r="D405" s="67">
        <f>IF($B405="","",IFERROR(INDEX(Task_Tracker!$B$5:$B$1004,MATCH($B405,Task_Tracker!$A$5:$A$1004,0)),""))</f>
        <v/>
      </c>
      <c r="E405" s="81" t="n"/>
      <c r="F405" s="81" t="n"/>
      <c r="G405" s="78" t="n"/>
      <c r="H405" s="78" t="n"/>
      <c r="I405" s="67">
        <f>IF($H405="","",IFERROR(INDEX(Action_Status_Map!$B$5:$B$11,MATCH($H405,Action_Status_Map!$A$5:$A$11,0)),""))</f>
        <v/>
      </c>
      <c r="J405" s="82" t="n"/>
      <c r="K405" s="82" t="n"/>
      <c r="L405" s="82" t="n"/>
      <c r="M405" s="83" t="n"/>
      <c r="N405" s="83" t="n"/>
      <c r="O405" s="66">
        <f>IF(OR($M405="",$N405=""),"",$N405-$M405)</f>
        <v/>
      </c>
      <c r="P405" s="84">
        <f>IF($J405="","",IF($L405&lt;&gt;"",$L405-$J405,TODAY()-$J405))</f>
        <v/>
      </c>
      <c r="Q405" s="85">
        <f>IF(OR($K405="",$H405="Completed",$H405="Cancelled"),"",IF(AND($K405&lt;TODAY(),$H405&lt;&gt;"Completed",$H405&lt;&gt;"Cancelled"),"Overdue","On Track"))</f>
        <v/>
      </c>
      <c r="R405" s="81" t="n"/>
      <c r="S405" s="81">
        <f>IF($B405="","",IFERROR(INDEX(Task_Tracker!$AA$5:$AA$1004,MATCH($B405,Task_Tracker!$A$5:$A$1004,0)),""))</f>
        <v/>
      </c>
      <c r="T405" s="81">
        <f>IF($B405="","",IFERROR(INDEX(Task_Tracker!$AB$5:$AB$1004,MATCH($B405,Task_Tracker!$A$5:$A$1004,0)),""))</f>
        <v/>
      </c>
      <c r="U405" s="78">
        <f>IF($B405="","",IFERROR(INDEX(Task_Tracker!$F$5:$F$1004,MATCH($B405,Task_Tracker!$A$5:$A$1004,0)),""))</f>
        <v/>
      </c>
      <c r="V405" s="78">
        <f>IF($B405="","",IFERROR(INDEX(Task_Tracker!$I$5:$I$1004,MATCH($B405,Task_Tracker!$A$5:$A$1004,0)),""))</f>
        <v/>
      </c>
      <c r="W405" s="81">
        <f>IF(OR($D405="",$B405=""),"",$D405&amp;" | "&amp;$B405)</f>
        <v/>
      </c>
      <c r="X405" s="85">
        <f>IF($K405="","",TEXT($K405,"yyyy-mm"))</f>
        <v/>
      </c>
      <c r="Y405" s="81">
        <f>IF(OR($A405="",$T405=""),"","Included in Manager_Report")</f>
        <v/>
      </c>
    </row>
    <row r="406" ht="15" customHeight="1" s="40">
      <c r="A406" s="65">
        <f>IF(COUNTA(B406:G406)=0,"","STP-"&amp;TEXT(ROW()-4,"0000"))</f>
        <v/>
      </c>
      <c r="B406" s="78" t="n"/>
      <c r="C406" s="67">
        <f>IF($B406="","",IFERROR(INDEX(Task_Tracker!$D$5:$D$1004,MATCH($B406,Task_Tracker!$A$5:$A$1004,0)),""))</f>
        <v/>
      </c>
      <c r="D406" s="67">
        <f>IF($B406="","",IFERROR(INDEX(Task_Tracker!$B$5:$B$1004,MATCH($B406,Task_Tracker!$A$5:$A$1004,0)),""))</f>
        <v/>
      </c>
      <c r="E406" s="81" t="n"/>
      <c r="F406" s="81" t="n"/>
      <c r="G406" s="78" t="n"/>
      <c r="H406" s="78" t="n"/>
      <c r="I406" s="67">
        <f>IF($H406="","",IFERROR(INDEX(Action_Status_Map!$B$5:$B$11,MATCH($H406,Action_Status_Map!$A$5:$A$11,0)),""))</f>
        <v/>
      </c>
      <c r="J406" s="82" t="n"/>
      <c r="K406" s="82" t="n"/>
      <c r="L406" s="82" t="n"/>
      <c r="M406" s="83" t="n"/>
      <c r="N406" s="83" t="n"/>
      <c r="O406" s="66">
        <f>IF(OR($M406="",$N406=""),"",$N406-$M406)</f>
        <v/>
      </c>
      <c r="P406" s="84">
        <f>IF($J406="","",IF($L406&lt;&gt;"",$L406-$J406,TODAY()-$J406))</f>
        <v/>
      </c>
      <c r="Q406" s="85">
        <f>IF(OR($K406="",$H406="Completed",$H406="Cancelled"),"",IF(AND($K406&lt;TODAY(),$H406&lt;&gt;"Completed",$H406&lt;&gt;"Cancelled"),"Overdue","On Track"))</f>
        <v/>
      </c>
      <c r="R406" s="81" t="n"/>
      <c r="S406" s="81">
        <f>IF($B406="","",IFERROR(INDEX(Task_Tracker!$AA$5:$AA$1004,MATCH($B406,Task_Tracker!$A$5:$A$1004,0)),""))</f>
        <v/>
      </c>
      <c r="T406" s="81">
        <f>IF($B406="","",IFERROR(INDEX(Task_Tracker!$AB$5:$AB$1004,MATCH($B406,Task_Tracker!$A$5:$A$1004,0)),""))</f>
        <v/>
      </c>
      <c r="U406" s="78">
        <f>IF($B406="","",IFERROR(INDEX(Task_Tracker!$F$5:$F$1004,MATCH($B406,Task_Tracker!$A$5:$A$1004,0)),""))</f>
        <v/>
      </c>
      <c r="V406" s="78">
        <f>IF($B406="","",IFERROR(INDEX(Task_Tracker!$I$5:$I$1004,MATCH($B406,Task_Tracker!$A$5:$A$1004,0)),""))</f>
        <v/>
      </c>
      <c r="W406" s="81">
        <f>IF(OR($D406="",$B406=""),"",$D406&amp;" | "&amp;$B406)</f>
        <v/>
      </c>
      <c r="X406" s="85">
        <f>IF($K406="","",TEXT($K406,"yyyy-mm"))</f>
        <v/>
      </c>
      <c r="Y406" s="81">
        <f>IF(OR($A406="",$T406=""),"","Included in Manager_Report")</f>
        <v/>
      </c>
    </row>
    <row r="407" ht="15" customHeight="1" s="40">
      <c r="A407" s="65">
        <f>IF(COUNTA(B407:G407)=0,"","STP-"&amp;TEXT(ROW()-4,"0000"))</f>
        <v/>
      </c>
      <c r="B407" s="78" t="n"/>
      <c r="C407" s="67">
        <f>IF($B407="","",IFERROR(INDEX(Task_Tracker!$D$5:$D$1004,MATCH($B407,Task_Tracker!$A$5:$A$1004,0)),""))</f>
        <v/>
      </c>
      <c r="D407" s="67">
        <f>IF($B407="","",IFERROR(INDEX(Task_Tracker!$B$5:$B$1004,MATCH($B407,Task_Tracker!$A$5:$A$1004,0)),""))</f>
        <v/>
      </c>
      <c r="E407" s="81" t="n"/>
      <c r="F407" s="81" t="n"/>
      <c r="G407" s="78" t="n"/>
      <c r="H407" s="78" t="n"/>
      <c r="I407" s="67">
        <f>IF($H407="","",IFERROR(INDEX(Action_Status_Map!$B$5:$B$11,MATCH($H407,Action_Status_Map!$A$5:$A$11,0)),""))</f>
        <v/>
      </c>
      <c r="J407" s="82" t="n"/>
      <c r="K407" s="82" t="n"/>
      <c r="L407" s="82" t="n"/>
      <c r="M407" s="83" t="n"/>
      <c r="N407" s="83" t="n"/>
      <c r="O407" s="66">
        <f>IF(OR($M407="",$N407=""),"",$N407-$M407)</f>
        <v/>
      </c>
      <c r="P407" s="84">
        <f>IF($J407="","",IF($L407&lt;&gt;"",$L407-$J407,TODAY()-$J407))</f>
        <v/>
      </c>
      <c r="Q407" s="85">
        <f>IF(OR($K407="",$H407="Completed",$H407="Cancelled"),"",IF(AND($K407&lt;TODAY(),$H407&lt;&gt;"Completed",$H407&lt;&gt;"Cancelled"),"Overdue","On Track"))</f>
        <v/>
      </c>
      <c r="R407" s="81" t="n"/>
      <c r="S407" s="81">
        <f>IF($B407="","",IFERROR(INDEX(Task_Tracker!$AA$5:$AA$1004,MATCH($B407,Task_Tracker!$A$5:$A$1004,0)),""))</f>
        <v/>
      </c>
      <c r="T407" s="81">
        <f>IF($B407="","",IFERROR(INDEX(Task_Tracker!$AB$5:$AB$1004,MATCH($B407,Task_Tracker!$A$5:$A$1004,0)),""))</f>
        <v/>
      </c>
      <c r="U407" s="78">
        <f>IF($B407="","",IFERROR(INDEX(Task_Tracker!$F$5:$F$1004,MATCH($B407,Task_Tracker!$A$5:$A$1004,0)),""))</f>
        <v/>
      </c>
      <c r="V407" s="78">
        <f>IF($B407="","",IFERROR(INDEX(Task_Tracker!$I$5:$I$1004,MATCH($B407,Task_Tracker!$A$5:$A$1004,0)),""))</f>
        <v/>
      </c>
      <c r="W407" s="81">
        <f>IF(OR($D407="",$B407=""),"",$D407&amp;" | "&amp;$B407)</f>
        <v/>
      </c>
      <c r="X407" s="85">
        <f>IF($K407="","",TEXT($K407,"yyyy-mm"))</f>
        <v/>
      </c>
      <c r="Y407" s="81">
        <f>IF(OR($A407="",$T407=""),"","Included in Manager_Report")</f>
        <v/>
      </c>
    </row>
    <row r="408" ht="15" customHeight="1" s="40">
      <c r="A408" s="65">
        <f>IF(COUNTA(B408:G408)=0,"","STP-"&amp;TEXT(ROW()-4,"0000"))</f>
        <v/>
      </c>
      <c r="B408" s="78" t="n"/>
      <c r="C408" s="67">
        <f>IF($B408="","",IFERROR(INDEX(Task_Tracker!$D$5:$D$1004,MATCH($B408,Task_Tracker!$A$5:$A$1004,0)),""))</f>
        <v/>
      </c>
      <c r="D408" s="67">
        <f>IF($B408="","",IFERROR(INDEX(Task_Tracker!$B$5:$B$1004,MATCH($B408,Task_Tracker!$A$5:$A$1004,0)),""))</f>
        <v/>
      </c>
      <c r="E408" s="81" t="n"/>
      <c r="F408" s="81" t="n"/>
      <c r="G408" s="78" t="n"/>
      <c r="H408" s="78" t="n"/>
      <c r="I408" s="67">
        <f>IF($H408="","",IFERROR(INDEX(Action_Status_Map!$B$5:$B$11,MATCH($H408,Action_Status_Map!$A$5:$A$11,0)),""))</f>
        <v/>
      </c>
      <c r="J408" s="82" t="n"/>
      <c r="K408" s="82" t="n"/>
      <c r="L408" s="82" t="n"/>
      <c r="M408" s="83" t="n"/>
      <c r="N408" s="83" t="n"/>
      <c r="O408" s="66">
        <f>IF(OR($M408="",$N408=""),"",$N408-$M408)</f>
        <v/>
      </c>
      <c r="P408" s="84">
        <f>IF($J408="","",IF($L408&lt;&gt;"",$L408-$J408,TODAY()-$J408))</f>
        <v/>
      </c>
      <c r="Q408" s="85">
        <f>IF(OR($K408="",$H408="Completed",$H408="Cancelled"),"",IF(AND($K408&lt;TODAY(),$H408&lt;&gt;"Completed",$H408&lt;&gt;"Cancelled"),"Overdue","On Track"))</f>
        <v/>
      </c>
      <c r="R408" s="81" t="n"/>
      <c r="S408" s="81">
        <f>IF($B408="","",IFERROR(INDEX(Task_Tracker!$AA$5:$AA$1004,MATCH($B408,Task_Tracker!$A$5:$A$1004,0)),""))</f>
        <v/>
      </c>
      <c r="T408" s="81">
        <f>IF($B408="","",IFERROR(INDEX(Task_Tracker!$AB$5:$AB$1004,MATCH($B408,Task_Tracker!$A$5:$A$1004,0)),""))</f>
        <v/>
      </c>
      <c r="U408" s="78">
        <f>IF($B408="","",IFERROR(INDEX(Task_Tracker!$F$5:$F$1004,MATCH($B408,Task_Tracker!$A$5:$A$1004,0)),""))</f>
        <v/>
      </c>
      <c r="V408" s="78">
        <f>IF($B408="","",IFERROR(INDEX(Task_Tracker!$I$5:$I$1004,MATCH($B408,Task_Tracker!$A$5:$A$1004,0)),""))</f>
        <v/>
      </c>
      <c r="W408" s="81">
        <f>IF(OR($D408="",$B408=""),"",$D408&amp;" | "&amp;$B408)</f>
        <v/>
      </c>
      <c r="X408" s="85">
        <f>IF($K408="","",TEXT($K408,"yyyy-mm"))</f>
        <v/>
      </c>
      <c r="Y408" s="81">
        <f>IF(OR($A408="",$T408=""),"","Included in Manager_Report")</f>
        <v/>
      </c>
    </row>
    <row r="409" ht="15" customHeight="1" s="40">
      <c r="A409" s="65">
        <f>IF(COUNTA(B409:G409)=0,"","STP-"&amp;TEXT(ROW()-4,"0000"))</f>
        <v/>
      </c>
      <c r="B409" s="78" t="n"/>
      <c r="C409" s="67">
        <f>IF($B409="","",IFERROR(INDEX(Task_Tracker!$D$5:$D$1004,MATCH($B409,Task_Tracker!$A$5:$A$1004,0)),""))</f>
        <v/>
      </c>
      <c r="D409" s="67">
        <f>IF($B409="","",IFERROR(INDEX(Task_Tracker!$B$5:$B$1004,MATCH($B409,Task_Tracker!$A$5:$A$1004,0)),""))</f>
        <v/>
      </c>
      <c r="E409" s="81" t="n"/>
      <c r="F409" s="81" t="n"/>
      <c r="G409" s="78" t="n"/>
      <c r="H409" s="78" t="n"/>
      <c r="I409" s="67">
        <f>IF($H409="","",IFERROR(INDEX(Action_Status_Map!$B$5:$B$11,MATCH($H409,Action_Status_Map!$A$5:$A$11,0)),""))</f>
        <v/>
      </c>
      <c r="J409" s="82" t="n"/>
      <c r="K409" s="82" t="n"/>
      <c r="L409" s="82" t="n"/>
      <c r="M409" s="83" t="n"/>
      <c r="N409" s="83" t="n"/>
      <c r="O409" s="66">
        <f>IF(OR($M409="",$N409=""),"",$N409-$M409)</f>
        <v/>
      </c>
      <c r="P409" s="84">
        <f>IF($J409="","",IF($L409&lt;&gt;"",$L409-$J409,TODAY()-$J409))</f>
        <v/>
      </c>
      <c r="Q409" s="85">
        <f>IF(OR($K409="",$H409="Completed",$H409="Cancelled"),"",IF(AND($K409&lt;TODAY(),$H409&lt;&gt;"Completed",$H409&lt;&gt;"Cancelled"),"Overdue","On Track"))</f>
        <v/>
      </c>
      <c r="R409" s="81" t="n"/>
      <c r="S409" s="81">
        <f>IF($B409="","",IFERROR(INDEX(Task_Tracker!$AA$5:$AA$1004,MATCH($B409,Task_Tracker!$A$5:$A$1004,0)),""))</f>
        <v/>
      </c>
      <c r="T409" s="81">
        <f>IF($B409="","",IFERROR(INDEX(Task_Tracker!$AB$5:$AB$1004,MATCH($B409,Task_Tracker!$A$5:$A$1004,0)),""))</f>
        <v/>
      </c>
      <c r="U409" s="78">
        <f>IF($B409="","",IFERROR(INDEX(Task_Tracker!$F$5:$F$1004,MATCH($B409,Task_Tracker!$A$5:$A$1004,0)),""))</f>
        <v/>
      </c>
      <c r="V409" s="78">
        <f>IF($B409="","",IFERROR(INDEX(Task_Tracker!$I$5:$I$1004,MATCH($B409,Task_Tracker!$A$5:$A$1004,0)),""))</f>
        <v/>
      </c>
      <c r="W409" s="81">
        <f>IF(OR($D409="",$B409=""),"",$D409&amp;" | "&amp;$B409)</f>
        <v/>
      </c>
      <c r="X409" s="85">
        <f>IF($K409="","",TEXT($K409,"yyyy-mm"))</f>
        <v/>
      </c>
      <c r="Y409" s="81">
        <f>IF(OR($A409="",$T409=""),"","Included in Manager_Report")</f>
        <v/>
      </c>
    </row>
    <row r="410" ht="15" customHeight="1" s="40">
      <c r="A410" s="65">
        <f>IF(COUNTA(B410:G410)=0,"","STP-"&amp;TEXT(ROW()-4,"0000"))</f>
        <v/>
      </c>
      <c r="B410" s="78" t="n"/>
      <c r="C410" s="67">
        <f>IF($B410="","",IFERROR(INDEX(Task_Tracker!$D$5:$D$1004,MATCH($B410,Task_Tracker!$A$5:$A$1004,0)),""))</f>
        <v/>
      </c>
      <c r="D410" s="67">
        <f>IF($B410="","",IFERROR(INDEX(Task_Tracker!$B$5:$B$1004,MATCH($B410,Task_Tracker!$A$5:$A$1004,0)),""))</f>
        <v/>
      </c>
      <c r="E410" s="81" t="n"/>
      <c r="F410" s="81" t="n"/>
      <c r="G410" s="78" t="n"/>
      <c r="H410" s="78" t="n"/>
      <c r="I410" s="67">
        <f>IF($H410="","",IFERROR(INDEX(Action_Status_Map!$B$5:$B$11,MATCH($H410,Action_Status_Map!$A$5:$A$11,0)),""))</f>
        <v/>
      </c>
      <c r="J410" s="82" t="n"/>
      <c r="K410" s="82" t="n"/>
      <c r="L410" s="82" t="n"/>
      <c r="M410" s="83" t="n"/>
      <c r="N410" s="83" t="n"/>
      <c r="O410" s="66">
        <f>IF(OR($M410="",$N410=""),"",$N410-$M410)</f>
        <v/>
      </c>
      <c r="P410" s="84">
        <f>IF($J410="","",IF($L410&lt;&gt;"",$L410-$J410,TODAY()-$J410))</f>
        <v/>
      </c>
      <c r="Q410" s="85">
        <f>IF(OR($K410="",$H410="Completed",$H410="Cancelled"),"",IF(AND($K410&lt;TODAY(),$H410&lt;&gt;"Completed",$H410&lt;&gt;"Cancelled"),"Overdue","On Track"))</f>
        <v/>
      </c>
      <c r="R410" s="81" t="n"/>
      <c r="S410" s="81">
        <f>IF($B410="","",IFERROR(INDEX(Task_Tracker!$AA$5:$AA$1004,MATCH($B410,Task_Tracker!$A$5:$A$1004,0)),""))</f>
        <v/>
      </c>
      <c r="T410" s="81">
        <f>IF($B410="","",IFERROR(INDEX(Task_Tracker!$AB$5:$AB$1004,MATCH($B410,Task_Tracker!$A$5:$A$1004,0)),""))</f>
        <v/>
      </c>
      <c r="U410" s="78">
        <f>IF($B410="","",IFERROR(INDEX(Task_Tracker!$F$5:$F$1004,MATCH($B410,Task_Tracker!$A$5:$A$1004,0)),""))</f>
        <v/>
      </c>
      <c r="V410" s="78">
        <f>IF($B410="","",IFERROR(INDEX(Task_Tracker!$I$5:$I$1004,MATCH($B410,Task_Tracker!$A$5:$A$1004,0)),""))</f>
        <v/>
      </c>
      <c r="W410" s="81">
        <f>IF(OR($D410="",$B410=""),"",$D410&amp;" | "&amp;$B410)</f>
        <v/>
      </c>
      <c r="X410" s="85">
        <f>IF($K410="","",TEXT($K410,"yyyy-mm"))</f>
        <v/>
      </c>
      <c r="Y410" s="81">
        <f>IF(OR($A410="",$T410=""),"","Included in Manager_Report")</f>
        <v/>
      </c>
    </row>
    <row r="411" ht="15" customHeight="1" s="40">
      <c r="A411" s="65">
        <f>IF(COUNTA(B411:G411)=0,"","STP-"&amp;TEXT(ROW()-4,"0000"))</f>
        <v/>
      </c>
      <c r="B411" s="78" t="n"/>
      <c r="C411" s="67">
        <f>IF($B411="","",IFERROR(INDEX(Task_Tracker!$D$5:$D$1004,MATCH($B411,Task_Tracker!$A$5:$A$1004,0)),""))</f>
        <v/>
      </c>
      <c r="D411" s="67">
        <f>IF($B411="","",IFERROR(INDEX(Task_Tracker!$B$5:$B$1004,MATCH($B411,Task_Tracker!$A$5:$A$1004,0)),""))</f>
        <v/>
      </c>
      <c r="E411" s="81" t="n"/>
      <c r="F411" s="81" t="n"/>
      <c r="G411" s="78" t="n"/>
      <c r="H411" s="78" t="n"/>
      <c r="I411" s="67">
        <f>IF($H411="","",IFERROR(INDEX(Action_Status_Map!$B$5:$B$11,MATCH($H411,Action_Status_Map!$A$5:$A$11,0)),""))</f>
        <v/>
      </c>
      <c r="J411" s="82" t="n"/>
      <c r="K411" s="82" t="n"/>
      <c r="L411" s="82" t="n"/>
      <c r="M411" s="83" t="n"/>
      <c r="N411" s="83" t="n"/>
      <c r="O411" s="66">
        <f>IF(OR($M411="",$N411=""),"",$N411-$M411)</f>
        <v/>
      </c>
      <c r="P411" s="84">
        <f>IF($J411="","",IF($L411&lt;&gt;"",$L411-$J411,TODAY()-$J411))</f>
        <v/>
      </c>
      <c r="Q411" s="85">
        <f>IF(OR($K411="",$H411="Completed",$H411="Cancelled"),"",IF(AND($K411&lt;TODAY(),$H411&lt;&gt;"Completed",$H411&lt;&gt;"Cancelled"),"Overdue","On Track"))</f>
        <v/>
      </c>
      <c r="R411" s="81" t="n"/>
      <c r="S411" s="81">
        <f>IF($B411="","",IFERROR(INDEX(Task_Tracker!$AA$5:$AA$1004,MATCH($B411,Task_Tracker!$A$5:$A$1004,0)),""))</f>
        <v/>
      </c>
      <c r="T411" s="81">
        <f>IF($B411="","",IFERROR(INDEX(Task_Tracker!$AB$5:$AB$1004,MATCH($B411,Task_Tracker!$A$5:$A$1004,0)),""))</f>
        <v/>
      </c>
      <c r="U411" s="78">
        <f>IF($B411="","",IFERROR(INDEX(Task_Tracker!$F$5:$F$1004,MATCH($B411,Task_Tracker!$A$5:$A$1004,0)),""))</f>
        <v/>
      </c>
      <c r="V411" s="78">
        <f>IF($B411="","",IFERROR(INDEX(Task_Tracker!$I$5:$I$1004,MATCH($B411,Task_Tracker!$A$5:$A$1004,0)),""))</f>
        <v/>
      </c>
      <c r="W411" s="81">
        <f>IF(OR($D411="",$B411=""),"",$D411&amp;" | "&amp;$B411)</f>
        <v/>
      </c>
      <c r="X411" s="85">
        <f>IF($K411="","",TEXT($K411,"yyyy-mm"))</f>
        <v/>
      </c>
      <c r="Y411" s="81">
        <f>IF(OR($A411="",$T411=""),"","Included in Manager_Report")</f>
        <v/>
      </c>
    </row>
    <row r="412" ht="15" customHeight="1" s="40">
      <c r="A412" s="65">
        <f>IF(COUNTA(B412:G412)=0,"","STP-"&amp;TEXT(ROW()-4,"0000"))</f>
        <v/>
      </c>
      <c r="B412" s="78" t="n"/>
      <c r="C412" s="67">
        <f>IF($B412="","",IFERROR(INDEX(Task_Tracker!$D$5:$D$1004,MATCH($B412,Task_Tracker!$A$5:$A$1004,0)),""))</f>
        <v/>
      </c>
      <c r="D412" s="67">
        <f>IF($B412="","",IFERROR(INDEX(Task_Tracker!$B$5:$B$1004,MATCH($B412,Task_Tracker!$A$5:$A$1004,0)),""))</f>
        <v/>
      </c>
      <c r="E412" s="81" t="n"/>
      <c r="F412" s="81" t="n"/>
      <c r="G412" s="78" t="n"/>
      <c r="H412" s="78" t="n"/>
      <c r="I412" s="67">
        <f>IF($H412="","",IFERROR(INDEX(Action_Status_Map!$B$5:$B$11,MATCH($H412,Action_Status_Map!$A$5:$A$11,0)),""))</f>
        <v/>
      </c>
      <c r="J412" s="82" t="n"/>
      <c r="K412" s="82" t="n"/>
      <c r="L412" s="82" t="n"/>
      <c r="M412" s="83" t="n"/>
      <c r="N412" s="83" t="n"/>
      <c r="O412" s="66">
        <f>IF(OR($M412="",$N412=""),"",$N412-$M412)</f>
        <v/>
      </c>
      <c r="P412" s="84">
        <f>IF($J412="","",IF($L412&lt;&gt;"",$L412-$J412,TODAY()-$J412))</f>
        <v/>
      </c>
      <c r="Q412" s="85">
        <f>IF(OR($K412="",$H412="Completed",$H412="Cancelled"),"",IF(AND($K412&lt;TODAY(),$H412&lt;&gt;"Completed",$H412&lt;&gt;"Cancelled"),"Overdue","On Track"))</f>
        <v/>
      </c>
      <c r="R412" s="81" t="n"/>
      <c r="S412" s="81">
        <f>IF($B412="","",IFERROR(INDEX(Task_Tracker!$AA$5:$AA$1004,MATCH($B412,Task_Tracker!$A$5:$A$1004,0)),""))</f>
        <v/>
      </c>
      <c r="T412" s="81">
        <f>IF($B412="","",IFERROR(INDEX(Task_Tracker!$AB$5:$AB$1004,MATCH($B412,Task_Tracker!$A$5:$A$1004,0)),""))</f>
        <v/>
      </c>
      <c r="U412" s="78">
        <f>IF($B412="","",IFERROR(INDEX(Task_Tracker!$F$5:$F$1004,MATCH($B412,Task_Tracker!$A$5:$A$1004,0)),""))</f>
        <v/>
      </c>
      <c r="V412" s="78">
        <f>IF($B412="","",IFERROR(INDEX(Task_Tracker!$I$5:$I$1004,MATCH($B412,Task_Tracker!$A$5:$A$1004,0)),""))</f>
        <v/>
      </c>
      <c r="W412" s="81">
        <f>IF(OR($D412="",$B412=""),"",$D412&amp;" | "&amp;$B412)</f>
        <v/>
      </c>
      <c r="X412" s="85">
        <f>IF($K412="","",TEXT($K412,"yyyy-mm"))</f>
        <v/>
      </c>
      <c r="Y412" s="81">
        <f>IF(OR($A412="",$T412=""),"","Included in Manager_Report")</f>
        <v/>
      </c>
    </row>
    <row r="413" ht="15" customHeight="1" s="40">
      <c r="A413" s="65">
        <f>IF(COUNTA(B413:G413)=0,"","STP-"&amp;TEXT(ROW()-4,"0000"))</f>
        <v/>
      </c>
      <c r="B413" s="78" t="n"/>
      <c r="C413" s="67">
        <f>IF($B413="","",IFERROR(INDEX(Task_Tracker!$D$5:$D$1004,MATCH($B413,Task_Tracker!$A$5:$A$1004,0)),""))</f>
        <v/>
      </c>
      <c r="D413" s="67">
        <f>IF($B413="","",IFERROR(INDEX(Task_Tracker!$B$5:$B$1004,MATCH($B413,Task_Tracker!$A$5:$A$1004,0)),""))</f>
        <v/>
      </c>
      <c r="E413" s="81" t="n"/>
      <c r="F413" s="81" t="n"/>
      <c r="G413" s="78" t="n"/>
      <c r="H413" s="78" t="n"/>
      <c r="I413" s="67">
        <f>IF($H413="","",IFERROR(INDEX(Action_Status_Map!$B$5:$B$11,MATCH($H413,Action_Status_Map!$A$5:$A$11,0)),""))</f>
        <v/>
      </c>
      <c r="J413" s="82" t="n"/>
      <c r="K413" s="82" t="n"/>
      <c r="L413" s="82" t="n"/>
      <c r="M413" s="83" t="n"/>
      <c r="N413" s="83" t="n"/>
      <c r="O413" s="66">
        <f>IF(OR($M413="",$N413=""),"",$N413-$M413)</f>
        <v/>
      </c>
      <c r="P413" s="84">
        <f>IF($J413="","",IF($L413&lt;&gt;"",$L413-$J413,TODAY()-$J413))</f>
        <v/>
      </c>
      <c r="Q413" s="85">
        <f>IF(OR($K413="",$H413="Completed",$H413="Cancelled"),"",IF(AND($K413&lt;TODAY(),$H413&lt;&gt;"Completed",$H413&lt;&gt;"Cancelled"),"Overdue","On Track"))</f>
        <v/>
      </c>
      <c r="R413" s="81" t="n"/>
      <c r="S413" s="81">
        <f>IF($B413="","",IFERROR(INDEX(Task_Tracker!$AA$5:$AA$1004,MATCH($B413,Task_Tracker!$A$5:$A$1004,0)),""))</f>
        <v/>
      </c>
      <c r="T413" s="81">
        <f>IF($B413="","",IFERROR(INDEX(Task_Tracker!$AB$5:$AB$1004,MATCH($B413,Task_Tracker!$A$5:$A$1004,0)),""))</f>
        <v/>
      </c>
      <c r="U413" s="78">
        <f>IF($B413="","",IFERROR(INDEX(Task_Tracker!$F$5:$F$1004,MATCH($B413,Task_Tracker!$A$5:$A$1004,0)),""))</f>
        <v/>
      </c>
      <c r="V413" s="78">
        <f>IF($B413="","",IFERROR(INDEX(Task_Tracker!$I$5:$I$1004,MATCH($B413,Task_Tracker!$A$5:$A$1004,0)),""))</f>
        <v/>
      </c>
      <c r="W413" s="81">
        <f>IF(OR($D413="",$B413=""),"",$D413&amp;" | "&amp;$B413)</f>
        <v/>
      </c>
      <c r="X413" s="85">
        <f>IF($K413="","",TEXT($K413,"yyyy-mm"))</f>
        <v/>
      </c>
      <c r="Y413" s="81">
        <f>IF(OR($A413="",$T413=""),"","Included in Manager_Report")</f>
        <v/>
      </c>
    </row>
    <row r="414" ht="15" customHeight="1" s="40">
      <c r="A414" s="65">
        <f>IF(COUNTA(B414:G414)=0,"","STP-"&amp;TEXT(ROW()-4,"0000"))</f>
        <v/>
      </c>
      <c r="B414" s="78" t="n"/>
      <c r="C414" s="67">
        <f>IF($B414="","",IFERROR(INDEX(Task_Tracker!$D$5:$D$1004,MATCH($B414,Task_Tracker!$A$5:$A$1004,0)),""))</f>
        <v/>
      </c>
      <c r="D414" s="67">
        <f>IF($B414="","",IFERROR(INDEX(Task_Tracker!$B$5:$B$1004,MATCH($B414,Task_Tracker!$A$5:$A$1004,0)),""))</f>
        <v/>
      </c>
      <c r="E414" s="81" t="n"/>
      <c r="F414" s="81" t="n"/>
      <c r="G414" s="78" t="n"/>
      <c r="H414" s="78" t="n"/>
      <c r="I414" s="67">
        <f>IF($H414="","",IFERROR(INDEX(Action_Status_Map!$B$5:$B$11,MATCH($H414,Action_Status_Map!$A$5:$A$11,0)),""))</f>
        <v/>
      </c>
      <c r="J414" s="82" t="n"/>
      <c r="K414" s="82" t="n"/>
      <c r="L414" s="82" t="n"/>
      <c r="M414" s="83" t="n"/>
      <c r="N414" s="83" t="n"/>
      <c r="O414" s="66">
        <f>IF(OR($M414="",$N414=""),"",$N414-$M414)</f>
        <v/>
      </c>
      <c r="P414" s="84">
        <f>IF($J414="","",IF($L414&lt;&gt;"",$L414-$J414,TODAY()-$J414))</f>
        <v/>
      </c>
      <c r="Q414" s="85">
        <f>IF(OR($K414="",$H414="Completed",$H414="Cancelled"),"",IF(AND($K414&lt;TODAY(),$H414&lt;&gt;"Completed",$H414&lt;&gt;"Cancelled"),"Overdue","On Track"))</f>
        <v/>
      </c>
      <c r="R414" s="81" t="n"/>
      <c r="S414" s="81">
        <f>IF($B414="","",IFERROR(INDEX(Task_Tracker!$AA$5:$AA$1004,MATCH($B414,Task_Tracker!$A$5:$A$1004,0)),""))</f>
        <v/>
      </c>
      <c r="T414" s="81">
        <f>IF($B414="","",IFERROR(INDEX(Task_Tracker!$AB$5:$AB$1004,MATCH($B414,Task_Tracker!$A$5:$A$1004,0)),""))</f>
        <v/>
      </c>
      <c r="U414" s="78">
        <f>IF($B414="","",IFERROR(INDEX(Task_Tracker!$F$5:$F$1004,MATCH($B414,Task_Tracker!$A$5:$A$1004,0)),""))</f>
        <v/>
      </c>
      <c r="V414" s="78">
        <f>IF($B414="","",IFERROR(INDEX(Task_Tracker!$I$5:$I$1004,MATCH($B414,Task_Tracker!$A$5:$A$1004,0)),""))</f>
        <v/>
      </c>
      <c r="W414" s="81">
        <f>IF(OR($D414="",$B414=""),"",$D414&amp;" | "&amp;$B414)</f>
        <v/>
      </c>
      <c r="X414" s="85">
        <f>IF($K414="","",TEXT($K414,"yyyy-mm"))</f>
        <v/>
      </c>
      <c r="Y414" s="81">
        <f>IF(OR($A414="",$T414=""),"","Included in Manager_Report")</f>
        <v/>
      </c>
    </row>
    <row r="415" ht="15" customHeight="1" s="40">
      <c r="A415" s="65">
        <f>IF(COUNTA(B415:G415)=0,"","STP-"&amp;TEXT(ROW()-4,"0000"))</f>
        <v/>
      </c>
      <c r="B415" s="78" t="n"/>
      <c r="C415" s="67">
        <f>IF($B415="","",IFERROR(INDEX(Task_Tracker!$D$5:$D$1004,MATCH($B415,Task_Tracker!$A$5:$A$1004,0)),""))</f>
        <v/>
      </c>
      <c r="D415" s="67">
        <f>IF($B415="","",IFERROR(INDEX(Task_Tracker!$B$5:$B$1004,MATCH($B415,Task_Tracker!$A$5:$A$1004,0)),""))</f>
        <v/>
      </c>
      <c r="E415" s="81" t="n"/>
      <c r="F415" s="81" t="n"/>
      <c r="G415" s="78" t="n"/>
      <c r="H415" s="78" t="n"/>
      <c r="I415" s="67">
        <f>IF($H415="","",IFERROR(INDEX(Action_Status_Map!$B$5:$B$11,MATCH($H415,Action_Status_Map!$A$5:$A$11,0)),""))</f>
        <v/>
      </c>
      <c r="J415" s="82" t="n"/>
      <c r="K415" s="82" t="n"/>
      <c r="L415" s="82" t="n"/>
      <c r="M415" s="83" t="n"/>
      <c r="N415" s="83" t="n"/>
      <c r="O415" s="66">
        <f>IF(OR($M415="",$N415=""),"",$N415-$M415)</f>
        <v/>
      </c>
      <c r="P415" s="84">
        <f>IF($J415="","",IF($L415&lt;&gt;"",$L415-$J415,TODAY()-$J415))</f>
        <v/>
      </c>
      <c r="Q415" s="85">
        <f>IF(OR($K415="",$H415="Completed",$H415="Cancelled"),"",IF(AND($K415&lt;TODAY(),$H415&lt;&gt;"Completed",$H415&lt;&gt;"Cancelled"),"Overdue","On Track"))</f>
        <v/>
      </c>
      <c r="R415" s="81" t="n"/>
      <c r="S415" s="81">
        <f>IF($B415="","",IFERROR(INDEX(Task_Tracker!$AA$5:$AA$1004,MATCH($B415,Task_Tracker!$A$5:$A$1004,0)),""))</f>
        <v/>
      </c>
      <c r="T415" s="81">
        <f>IF($B415="","",IFERROR(INDEX(Task_Tracker!$AB$5:$AB$1004,MATCH($B415,Task_Tracker!$A$5:$A$1004,0)),""))</f>
        <v/>
      </c>
      <c r="U415" s="78">
        <f>IF($B415="","",IFERROR(INDEX(Task_Tracker!$F$5:$F$1004,MATCH($B415,Task_Tracker!$A$5:$A$1004,0)),""))</f>
        <v/>
      </c>
      <c r="V415" s="78">
        <f>IF($B415="","",IFERROR(INDEX(Task_Tracker!$I$5:$I$1004,MATCH($B415,Task_Tracker!$A$5:$A$1004,0)),""))</f>
        <v/>
      </c>
      <c r="W415" s="81">
        <f>IF(OR($D415="",$B415=""),"",$D415&amp;" | "&amp;$B415)</f>
        <v/>
      </c>
      <c r="X415" s="85">
        <f>IF($K415="","",TEXT($K415,"yyyy-mm"))</f>
        <v/>
      </c>
      <c r="Y415" s="81">
        <f>IF(OR($A415="",$T415=""),"","Included in Manager_Report")</f>
        <v/>
      </c>
    </row>
    <row r="416" ht="15" customHeight="1" s="40">
      <c r="A416" s="65">
        <f>IF(COUNTA(B416:G416)=0,"","STP-"&amp;TEXT(ROW()-4,"0000"))</f>
        <v/>
      </c>
      <c r="B416" s="78" t="n"/>
      <c r="C416" s="67">
        <f>IF($B416="","",IFERROR(INDEX(Task_Tracker!$D$5:$D$1004,MATCH($B416,Task_Tracker!$A$5:$A$1004,0)),""))</f>
        <v/>
      </c>
      <c r="D416" s="67">
        <f>IF($B416="","",IFERROR(INDEX(Task_Tracker!$B$5:$B$1004,MATCH($B416,Task_Tracker!$A$5:$A$1004,0)),""))</f>
        <v/>
      </c>
      <c r="E416" s="81" t="n"/>
      <c r="F416" s="81" t="n"/>
      <c r="G416" s="78" t="n"/>
      <c r="H416" s="78" t="n"/>
      <c r="I416" s="67">
        <f>IF($H416="","",IFERROR(INDEX(Action_Status_Map!$B$5:$B$11,MATCH($H416,Action_Status_Map!$A$5:$A$11,0)),""))</f>
        <v/>
      </c>
      <c r="J416" s="82" t="n"/>
      <c r="K416" s="82" t="n"/>
      <c r="L416" s="82" t="n"/>
      <c r="M416" s="83" t="n"/>
      <c r="N416" s="83" t="n"/>
      <c r="O416" s="66">
        <f>IF(OR($M416="",$N416=""),"",$N416-$M416)</f>
        <v/>
      </c>
      <c r="P416" s="84">
        <f>IF($J416="","",IF($L416&lt;&gt;"",$L416-$J416,TODAY()-$J416))</f>
        <v/>
      </c>
      <c r="Q416" s="85">
        <f>IF(OR($K416="",$H416="Completed",$H416="Cancelled"),"",IF(AND($K416&lt;TODAY(),$H416&lt;&gt;"Completed",$H416&lt;&gt;"Cancelled"),"Overdue","On Track"))</f>
        <v/>
      </c>
      <c r="R416" s="81" t="n"/>
      <c r="S416" s="81">
        <f>IF($B416="","",IFERROR(INDEX(Task_Tracker!$AA$5:$AA$1004,MATCH($B416,Task_Tracker!$A$5:$A$1004,0)),""))</f>
        <v/>
      </c>
      <c r="T416" s="81">
        <f>IF($B416="","",IFERROR(INDEX(Task_Tracker!$AB$5:$AB$1004,MATCH($B416,Task_Tracker!$A$5:$A$1004,0)),""))</f>
        <v/>
      </c>
      <c r="U416" s="78">
        <f>IF($B416="","",IFERROR(INDEX(Task_Tracker!$F$5:$F$1004,MATCH($B416,Task_Tracker!$A$5:$A$1004,0)),""))</f>
        <v/>
      </c>
      <c r="V416" s="78">
        <f>IF($B416="","",IFERROR(INDEX(Task_Tracker!$I$5:$I$1004,MATCH($B416,Task_Tracker!$A$5:$A$1004,0)),""))</f>
        <v/>
      </c>
      <c r="W416" s="81">
        <f>IF(OR($D416="",$B416=""),"",$D416&amp;" | "&amp;$B416)</f>
        <v/>
      </c>
      <c r="X416" s="85">
        <f>IF($K416="","",TEXT($K416,"yyyy-mm"))</f>
        <v/>
      </c>
      <c r="Y416" s="81">
        <f>IF(OR($A416="",$T416=""),"","Included in Manager_Report")</f>
        <v/>
      </c>
    </row>
    <row r="417" ht="15" customHeight="1" s="40">
      <c r="A417" s="65">
        <f>IF(COUNTA(B417:G417)=0,"","STP-"&amp;TEXT(ROW()-4,"0000"))</f>
        <v/>
      </c>
      <c r="B417" s="78" t="n"/>
      <c r="C417" s="67">
        <f>IF($B417="","",IFERROR(INDEX(Task_Tracker!$D$5:$D$1004,MATCH($B417,Task_Tracker!$A$5:$A$1004,0)),""))</f>
        <v/>
      </c>
      <c r="D417" s="67">
        <f>IF($B417="","",IFERROR(INDEX(Task_Tracker!$B$5:$B$1004,MATCH($B417,Task_Tracker!$A$5:$A$1004,0)),""))</f>
        <v/>
      </c>
      <c r="E417" s="81" t="n"/>
      <c r="F417" s="81" t="n"/>
      <c r="G417" s="78" t="n"/>
      <c r="H417" s="78" t="n"/>
      <c r="I417" s="67">
        <f>IF($H417="","",IFERROR(INDEX(Action_Status_Map!$B$5:$B$11,MATCH($H417,Action_Status_Map!$A$5:$A$11,0)),""))</f>
        <v/>
      </c>
      <c r="J417" s="82" t="n"/>
      <c r="K417" s="82" t="n"/>
      <c r="L417" s="82" t="n"/>
      <c r="M417" s="83" t="n"/>
      <c r="N417" s="83" t="n"/>
      <c r="O417" s="66">
        <f>IF(OR($M417="",$N417=""),"",$N417-$M417)</f>
        <v/>
      </c>
      <c r="P417" s="84">
        <f>IF($J417="","",IF($L417&lt;&gt;"",$L417-$J417,TODAY()-$J417))</f>
        <v/>
      </c>
      <c r="Q417" s="85">
        <f>IF(OR($K417="",$H417="Completed",$H417="Cancelled"),"",IF(AND($K417&lt;TODAY(),$H417&lt;&gt;"Completed",$H417&lt;&gt;"Cancelled"),"Overdue","On Track"))</f>
        <v/>
      </c>
      <c r="R417" s="81" t="n"/>
      <c r="S417" s="81">
        <f>IF($B417="","",IFERROR(INDEX(Task_Tracker!$AA$5:$AA$1004,MATCH($B417,Task_Tracker!$A$5:$A$1004,0)),""))</f>
        <v/>
      </c>
      <c r="T417" s="81">
        <f>IF($B417="","",IFERROR(INDEX(Task_Tracker!$AB$5:$AB$1004,MATCH($B417,Task_Tracker!$A$5:$A$1004,0)),""))</f>
        <v/>
      </c>
      <c r="U417" s="78">
        <f>IF($B417="","",IFERROR(INDEX(Task_Tracker!$F$5:$F$1004,MATCH($B417,Task_Tracker!$A$5:$A$1004,0)),""))</f>
        <v/>
      </c>
      <c r="V417" s="78">
        <f>IF($B417="","",IFERROR(INDEX(Task_Tracker!$I$5:$I$1004,MATCH($B417,Task_Tracker!$A$5:$A$1004,0)),""))</f>
        <v/>
      </c>
      <c r="W417" s="81">
        <f>IF(OR($D417="",$B417=""),"",$D417&amp;" | "&amp;$B417)</f>
        <v/>
      </c>
      <c r="X417" s="85">
        <f>IF($K417="","",TEXT($K417,"yyyy-mm"))</f>
        <v/>
      </c>
      <c r="Y417" s="81">
        <f>IF(OR($A417="",$T417=""),"","Included in Manager_Report")</f>
        <v/>
      </c>
    </row>
    <row r="418" ht="15" customHeight="1" s="40">
      <c r="A418" s="65">
        <f>IF(COUNTA(B418:G418)=0,"","STP-"&amp;TEXT(ROW()-4,"0000"))</f>
        <v/>
      </c>
      <c r="B418" s="78" t="n"/>
      <c r="C418" s="67">
        <f>IF($B418="","",IFERROR(INDEX(Task_Tracker!$D$5:$D$1004,MATCH($B418,Task_Tracker!$A$5:$A$1004,0)),""))</f>
        <v/>
      </c>
      <c r="D418" s="67">
        <f>IF($B418="","",IFERROR(INDEX(Task_Tracker!$B$5:$B$1004,MATCH($B418,Task_Tracker!$A$5:$A$1004,0)),""))</f>
        <v/>
      </c>
      <c r="E418" s="81" t="n"/>
      <c r="F418" s="81" t="n"/>
      <c r="G418" s="78" t="n"/>
      <c r="H418" s="78" t="n"/>
      <c r="I418" s="67">
        <f>IF($H418="","",IFERROR(INDEX(Action_Status_Map!$B$5:$B$11,MATCH($H418,Action_Status_Map!$A$5:$A$11,0)),""))</f>
        <v/>
      </c>
      <c r="J418" s="82" t="n"/>
      <c r="K418" s="82" t="n"/>
      <c r="L418" s="82" t="n"/>
      <c r="M418" s="83" t="n"/>
      <c r="N418" s="83" t="n"/>
      <c r="O418" s="66">
        <f>IF(OR($M418="",$N418=""),"",$N418-$M418)</f>
        <v/>
      </c>
      <c r="P418" s="84">
        <f>IF($J418="","",IF($L418&lt;&gt;"",$L418-$J418,TODAY()-$J418))</f>
        <v/>
      </c>
      <c r="Q418" s="85">
        <f>IF(OR($K418="",$H418="Completed",$H418="Cancelled"),"",IF(AND($K418&lt;TODAY(),$H418&lt;&gt;"Completed",$H418&lt;&gt;"Cancelled"),"Overdue","On Track"))</f>
        <v/>
      </c>
      <c r="R418" s="81" t="n"/>
      <c r="S418" s="81">
        <f>IF($B418="","",IFERROR(INDEX(Task_Tracker!$AA$5:$AA$1004,MATCH($B418,Task_Tracker!$A$5:$A$1004,0)),""))</f>
        <v/>
      </c>
      <c r="T418" s="81">
        <f>IF($B418="","",IFERROR(INDEX(Task_Tracker!$AB$5:$AB$1004,MATCH($B418,Task_Tracker!$A$5:$A$1004,0)),""))</f>
        <v/>
      </c>
      <c r="U418" s="78">
        <f>IF($B418="","",IFERROR(INDEX(Task_Tracker!$F$5:$F$1004,MATCH($B418,Task_Tracker!$A$5:$A$1004,0)),""))</f>
        <v/>
      </c>
      <c r="V418" s="78">
        <f>IF($B418="","",IFERROR(INDEX(Task_Tracker!$I$5:$I$1004,MATCH($B418,Task_Tracker!$A$5:$A$1004,0)),""))</f>
        <v/>
      </c>
      <c r="W418" s="81">
        <f>IF(OR($D418="",$B418=""),"",$D418&amp;" | "&amp;$B418)</f>
        <v/>
      </c>
      <c r="X418" s="85">
        <f>IF($K418="","",TEXT($K418,"yyyy-mm"))</f>
        <v/>
      </c>
      <c r="Y418" s="81">
        <f>IF(OR($A418="",$T418=""),"","Included in Manager_Report")</f>
        <v/>
      </c>
    </row>
    <row r="419" ht="15" customHeight="1" s="40">
      <c r="A419" s="65">
        <f>IF(COUNTA(B419:G419)=0,"","STP-"&amp;TEXT(ROW()-4,"0000"))</f>
        <v/>
      </c>
      <c r="B419" s="78" t="n"/>
      <c r="C419" s="67">
        <f>IF($B419="","",IFERROR(INDEX(Task_Tracker!$D$5:$D$1004,MATCH($B419,Task_Tracker!$A$5:$A$1004,0)),""))</f>
        <v/>
      </c>
      <c r="D419" s="67">
        <f>IF($B419="","",IFERROR(INDEX(Task_Tracker!$B$5:$B$1004,MATCH($B419,Task_Tracker!$A$5:$A$1004,0)),""))</f>
        <v/>
      </c>
      <c r="E419" s="81" t="n"/>
      <c r="F419" s="81" t="n"/>
      <c r="G419" s="78" t="n"/>
      <c r="H419" s="78" t="n"/>
      <c r="I419" s="67">
        <f>IF($H419="","",IFERROR(INDEX(Action_Status_Map!$B$5:$B$11,MATCH($H419,Action_Status_Map!$A$5:$A$11,0)),""))</f>
        <v/>
      </c>
      <c r="J419" s="82" t="n"/>
      <c r="K419" s="82" t="n"/>
      <c r="L419" s="82" t="n"/>
      <c r="M419" s="83" t="n"/>
      <c r="N419" s="83" t="n"/>
      <c r="O419" s="66">
        <f>IF(OR($M419="",$N419=""),"",$N419-$M419)</f>
        <v/>
      </c>
      <c r="P419" s="84">
        <f>IF($J419="","",IF($L419&lt;&gt;"",$L419-$J419,TODAY()-$J419))</f>
        <v/>
      </c>
      <c r="Q419" s="85">
        <f>IF(OR($K419="",$H419="Completed",$H419="Cancelled"),"",IF(AND($K419&lt;TODAY(),$H419&lt;&gt;"Completed",$H419&lt;&gt;"Cancelled"),"Overdue","On Track"))</f>
        <v/>
      </c>
      <c r="R419" s="81" t="n"/>
      <c r="S419" s="81">
        <f>IF($B419="","",IFERROR(INDEX(Task_Tracker!$AA$5:$AA$1004,MATCH($B419,Task_Tracker!$A$5:$A$1004,0)),""))</f>
        <v/>
      </c>
      <c r="T419" s="81">
        <f>IF($B419="","",IFERROR(INDEX(Task_Tracker!$AB$5:$AB$1004,MATCH($B419,Task_Tracker!$A$5:$A$1004,0)),""))</f>
        <v/>
      </c>
      <c r="U419" s="78">
        <f>IF($B419="","",IFERROR(INDEX(Task_Tracker!$F$5:$F$1004,MATCH($B419,Task_Tracker!$A$5:$A$1004,0)),""))</f>
        <v/>
      </c>
      <c r="V419" s="78">
        <f>IF($B419="","",IFERROR(INDEX(Task_Tracker!$I$5:$I$1004,MATCH($B419,Task_Tracker!$A$5:$A$1004,0)),""))</f>
        <v/>
      </c>
      <c r="W419" s="81">
        <f>IF(OR($D419="",$B419=""),"",$D419&amp;" | "&amp;$B419)</f>
        <v/>
      </c>
      <c r="X419" s="85">
        <f>IF($K419="","",TEXT($K419,"yyyy-mm"))</f>
        <v/>
      </c>
      <c r="Y419" s="81">
        <f>IF(OR($A419="",$T419=""),"","Included in Manager_Report")</f>
        <v/>
      </c>
    </row>
    <row r="420" ht="15" customHeight="1" s="40">
      <c r="A420" s="65">
        <f>IF(COUNTA(B420:G420)=0,"","STP-"&amp;TEXT(ROW()-4,"0000"))</f>
        <v/>
      </c>
      <c r="B420" s="78" t="n"/>
      <c r="C420" s="67">
        <f>IF($B420="","",IFERROR(INDEX(Task_Tracker!$D$5:$D$1004,MATCH($B420,Task_Tracker!$A$5:$A$1004,0)),""))</f>
        <v/>
      </c>
      <c r="D420" s="67">
        <f>IF($B420="","",IFERROR(INDEX(Task_Tracker!$B$5:$B$1004,MATCH($B420,Task_Tracker!$A$5:$A$1004,0)),""))</f>
        <v/>
      </c>
      <c r="E420" s="81" t="n"/>
      <c r="F420" s="81" t="n"/>
      <c r="G420" s="78" t="n"/>
      <c r="H420" s="78" t="n"/>
      <c r="I420" s="67">
        <f>IF($H420="","",IFERROR(INDEX(Action_Status_Map!$B$5:$B$11,MATCH($H420,Action_Status_Map!$A$5:$A$11,0)),""))</f>
        <v/>
      </c>
      <c r="J420" s="82" t="n"/>
      <c r="K420" s="82" t="n"/>
      <c r="L420" s="82" t="n"/>
      <c r="M420" s="83" t="n"/>
      <c r="N420" s="83" t="n"/>
      <c r="O420" s="66">
        <f>IF(OR($M420="",$N420=""),"",$N420-$M420)</f>
        <v/>
      </c>
      <c r="P420" s="84">
        <f>IF($J420="","",IF($L420&lt;&gt;"",$L420-$J420,TODAY()-$J420))</f>
        <v/>
      </c>
      <c r="Q420" s="85">
        <f>IF(OR($K420="",$H420="Completed",$H420="Cancelled"),"",IF(AND($K420&lt;TODAY(),$H420&lt;&gt;"Completed",$H420&lt;&gt;"Cancelled"),"Overdue","On Track"))</f>
        <v/>
      </c>
      <c r="R420" s="81" t="n"/>
      <c r="S420" s="81">
        <f>IF($B420="","",IFERROR(INDEX(Task_Tracker!$AA$5:$AA$1004,MATCH($B420,Task_Tracker!$A$5:$A$1004,0)),""))</f>
        <v/>
      </c>
      <c r="T420" s="81">
        <f>IF($B420="","",IFERROR(INDEX(Task_Tracker!$AB$5:$AB$1004,MATCH($B420,Task_Tracker!$A$5:$A$1004,0)),""))</f>
        <v/>
      </c>
      <c r="U420" s="78">
        <f>IF($B420="","",IFERROR(INDEX(Task_Tracker!$F$5:$F$1004,MATCH($B420,Task_Tracker!$A$5:$A$1004,0)),""))</f>
        <v/>
      </c>
      <c r="V420" s="78">
        <f>IF($B420="","",IFERROR(INDEX(Task_Tracker!$I$5:$I$1004,MATCH($B420,Task_Tracker!$A$5:$A$1004,0)),""))</f>
        <v/>
      </c>
      <c r="W420" s="81">
        <f>IF(OR($D420="",$B420=""),"",$D420&amp;" | "&amp;$B420)</f>
        <v/>
      </c>
      <c r="X420" s="85">
        <f>IF($K420="","",TEXT($K420,"yyyy-mm"))</f>
        <v/>
      </c>
      <c r="Y420" s="81">
        <f>IF(OR($A420="",$T420=""),"","Included in Manager_Report")</f>
        <v/>
      </c>
    </row>
    <row r="421" ht="15" customHeight="1" s="40">
      <c r="A421" s="65">
        <f>IF(COUNTA(B421:G421)=0,"","STP-"&amp;TEXT(ROW()-4,"0000"))</f>
        <v/>
      </c>
      <c r="B421" s="78" t="n"/>
      <c r="C421" s="67">
        <f>IF($B421="","",IFERROR(INDEX(Task_Tracker!$D$5:$D$1004,MATCH($B421,Task_Tracker!$A$5:$A$1004,0)),""))</f>
        <v/>
      </c>
      <c r="D421" s="67">
        <f>IF($B421="","",IFERROR(INDEX(Task_Tracker!$B$5:$B$1004,MATCH($B421,Task_Tracker!$A$5:$A$1004,0)),""))</f>
        <v/>
      </c>
      <c r="E421" s="81" t="n"/>
      <c r="F421" s="81" t="n"/>
      <c r="G421" s="78" t="n"/>
      <c r="H421" s="78" t="n"/>
      <c r="I421" s="67">
        <f>IF($H421="","",IFERROR(INDEX(Action_Status_Map!$B$5:$B$11,MATCH($H421,Action_Status_Map!$A$5:$A$11,0)),""))</f>
        <v/>
      </c>
      <c r="J421" s="82" t="n"/>
      <c r="K421" s="82" t="n"/>
      <c r="L421" s="82" t="n"/>
      <c r="M421" s="83" t="n"/>
      <c r="N421" s="83" t="n"/>
      <c r="O421" s="66">
        <f>IF(OR($M421="",$N421=""),"",$N421-$M421)</f>
        <v/>
      </c>
      <c r="P421" s="84">
        <f>IF($J421="","",IF($L421&lt;&gt;"",$L421-$J421,TODAY()-$J421))</f>
        <v/>
      </c>
      <c r="Q421" s="85">
        <f>IF(OR($K421="",$H421="Completed",$H421="Cancelled"),"",IF(AND($K421&lt;TODAY(),$H421&lt;&gt;"Completed",$H421&lt;&gt;"Cancelled"),"Overdue","On Track"))</f>
        <v/>
      </c>
      <c r="R421" s="81" t="n"/>
      <c r="S421" s="81">
        <f>IF($B421="","",IFERROR(INDEX(Task_Tracker!$AA$5:$AA$1004,MATCH($B421,Task_Tracker!$A$5:$A$1004,0)),""))</f>
        <v/>
      </c>
      <c r="T421" s="81">
        <f>IF($B421="","",IFERROR(INDEX(Task_Tracker!$AB$5:$AB$1004,MATCH($B421,Task_Tracker!$A$5:$A$1004,0)),""))</f>
        <v/>
      </c>
      <c r="U421" s="78">
        <f>IF($B421="","",IFERROR(INDEX(Task_Tracker!$F$5:$F$1004,MATCH($B421,Task_Tracker!$A$5:$A$1004,0)),""))</f>
        <v/>
      </c>
      <c r="V421" s="78">
        <f>IF($B421="","",IFERROR(INDEX(Task_Tracker!$I$5:$I$1004,MATCH($B421,Task_Tracker!$A$5:$A$1004,0)),""))</f>
        <v/>
      </c>
      <c r="W421" s="81">
        <f>IF(OR($D421="",$B421=""),"",$D421&amp;" | "&amp;$B421)</f>
        <v/>
      </c>
      <c r="X421" s="85">
        <f>IF($K421="","",TEXT($K421,"yyyy-mm"))</f>
        <v/>
      </c>
      <c r="Y421" s="81">
        <f>IF(OR($A421="",$T421=""),"","Included in Manager_Report")</f>
        <v/>
      </c>
    </row>
    <row r="422" ht="15" customHeight="1" s="40">
      <c r="A422" s="65">
        <f>IF(COUNTA(B422:G422)=0,"","STP-"&amp;TEXT(ROW()-4,"0000"))</f>
        <v/>
      </c>
      <c r="B422" s="78" t="n"/>
      <c r="C422" s="67">
        <f>IF($B422="","",IFERROR(INDEX(Task_Tracker!$D$5:$D$1004,MATCH($B422,Task_Tracker!$A$5:$A$1004,0)),""))</f>
        <v/>
      </c>
      <c r="D422" s="67">
        <f>IF($B422="","",IFERROR(INDEX(Task_Tracker!$B$5:$B$1004,MATCH($B422,Task_Tracker!$A$5:$A$1004,0)),""))</f>
        <v/>
      </c>
      <c r="E422" s="81" t="n"/>
      <c r="F422" s="81" t="n"/>
      <c r="G422" s="78" t="n"/>
      <c r="H422" s="78" t="n"/>
      <c r="I422" s="67">
        <f>IF($H422="","",IFERROR(INDEX(Action_Status_Map!$B$5:$B$11,MATCH($H422,Action_Status_Map!$A$5:$A$11,0)),""))</f>
        <v/>
      </c>
      <c r="J422" s="82" t="n"/>
      <c r="K422" s="82" t="n"/>
      <c r="L422" s="82" t="n"/>
      <c r="M422" s="83" t="n"/>
      <c r="N422" s="83" t="n"/>
      <c r="O422" s="66">
        <f>IF(OR($M422="",$N422=""),"",$N422-$M422)</f>
        <v/>
      </c>
      <c r="P422" s="84">
        <f>IF($J422="","",IF($L422&lt;&gt;"",$L422-$J422,TODAY()-$J422))</f>
        <v/>
      </c>
      <c r="Q422" s="85">
        <f>IF(OR($K422="",$H422="Completed",$H422="Cancelled"),"",IF(AND($K422&lt;TODAY(),$H422&lt;&gt;"Completed",$H422&lt;&gt;"Cancelled"),"Overdue","On Track"))</f>
        <v/>
      </c>
      <c r="R422" s="81" t="n"/>
      <c r="S422" s="81">
        <f>IF($B422="","",IFERROR(INDEX(Task_Tracker!$AA$5:$AA$1004,MATCH($B422,Task_Tracker!$A$5:$A$1004,0)),""))</f>
        <v/>
      </c>
      <c r="T422" s="81">
        <f>IF($B422="","",IFERROR(INDEX(Task_Tracker!$AB$5:$AB$1004,MATCH($B422,Task_Tracker!$A$5:$A$1004,0)),""))</f>
        <v/>
      </c>
      <c r="U422" s="78">
        <f>IF($B422="","",IFERROR(INDEX(Task_Tracker!$F$5:$F$1004,MATCH($B422,Task_Tracker!$A$5:$A$1004,0)),""))</f>
        <v/>
      </c>
      <c r="V422" s="78">
        <f>IF($B422="","",IFERROR(INDEX(Task_Tracker!$I$5:$I$1004,MATCH($B422,Task_Tracker!$A$5:$A$1004,0)),""))</f>
        <v/>
      </c>
      <c r="W422" s="81">
        <f>IF(OR($D422="",$B422=""),"",$D422&amp;" | "&amp;$B422)</f>
        <v/>
      </c>
      <c r="X422" s="85">
        <f>IF($K422="","",TEXT($K422,"yyyy-mm"))</f>
        <v/>
      </c>
      <c r="Y422" s="81">
        <f>IF(OR($A422="",$T422=""),"","Included in Manager_Report")</f>
        <v/>
      </c>
    </row>
    <row r="423" ht="15" customHeight="1" s="40">
      <c r="A423" s="65">
        <f>IF(COUNTA(B423:G423)=0,"","STP-"&amp;TEXT(ROW()-4,"0000"))</f>
        <v/>
      </c>
      <c r="B423" s="78" t="n"/>
      <c r="C423" s="67">
        <f>IF($B423="","",IFERROR(INDEX(Task_Tracker!$D$5:$D$1004,MATCH($B423,Task_Tracker!$A$5:$A$1004,0)),""))</f>
        <v/>
      </c>
      <c r="D423" s="67">
        <f>IF($B423="","",IFERROR(INDEX(Task_Tracker!$B$5:$B$1004,MATCH($B423,Task_Tracker!$A$5:$A$1004,0)),""))</f>
        <v/>
      </c>
      <c r="E423" s="81" t="n"/>
      <c r="F423" s="81" t="n"/>
      <c r="G423" s="78" t="n"/>
      <c r="H423" s="78" t="n"/>
      <c r="I423" s="67">
        <f>IF($H423="","",IFERROR(INDEX(Action_Status_Map!$B$5:$B$11,MATCH($H423,Action_Status_Map!$A$5:$A$11,0)),""))</f>
        <v/>
      </c>
      <c r="J423" s="82" t="n"/>
      <c r="K423" s="82" t="n"/>
      <c r="L423" s="82" t="n"/>
      <c r="M423" s="83" t="n"/>
      <c r="N423" s="83" t="n"/>
      <c r="O423" s="66">
        <f>IF(OR($M423="",$N423=""),"",$N423-$M423)</f>
        <v/>
      </c>
      <c r="P423" s="84">
        <f>IF($J423="","",IF($L423&lt;&gt;"",$L423-$J423,TODAY()-$J423))</f>
        <v/>
      </c>
      <c r="Q423" s="85">
        <f>IF(OR($K423="",$H423="Completed",$H423="Cancelled"),"",IF(AND($K423&lt;TODAY(),$H423&lt;&gt;"Completed",$H423&lt;&gt;"Cancelled"),"Overdue","On Track"))</f>
        <v/>
      </c>
      <c r="R423" s="81" t="n"/>
      <c r="S423" s="81">
        <f>IF($B423="","",IFERROR(INDEX(Task_Tracker!$AA$5:$AA$1004,MATCH($B423,Task_Tracker!$A$5:$A$1004,0)),""))</f>
        <v/>
      </c>
      <c r="T423" s="81">
        <f>IF($B423="","",IFERROR(INDEX(Task_Tracker!$AB$5:$AB$1004,MATCH($B423,Task_Tracker!$A$5:$A$1004,0)),""))</f>
        <v/>
      </c>
      <c r="U423" s="78">
        <f>IF($B423="","",IFERROR(INDEX(Task_Tracker!$F$5:$F$1004,MATCH($B423,Task_Tracker!$A$5:$A$1004,0)),""))</f>
        <v/>
      </c>
      <c r="V423" s="78">
        <f>IF($B423="","",IFERROR(INDEX(Task_Tracker!$I$5:$I$1004,MATCH($B423,Task_Tracker!$A$5:$A$1004,0)),""))</f>
        <v/>
      </c>
      <c r="W423" s="81">
        <f>IF(OR($D423="",$B423=""),"",$D423&amp;" | "&amp;$B423)</f>
        <v/>
      </c>
      <c r="X423" s="85">
        <f>IF($K423="","",TEXT($K423,"yyyy-mm"))</f>
        <v/>
      </c>
      <c r="Y423" s="81">
        <f>IF(OR($A423="",$T423=""),"","Included in Manager_Report")</f>
        <v/>
      </c>
    </row>
    <row r="424" ht="15" customHeight="1" s="40">
      <c r="A424" s="65">
        <f>IF(COUNTA(B424:G424)=0,"","STP-"&amp;TEXT(ROW()-4,"0000"))</f>
        <v/>
      </c>
      <c r="B424" s="78" t="n"/>
      <c r="C424" s="67">
        <f>IF($B424="","",IFERROR(INDEX(Task_Tracker!$D$5:$D$1004,MATCH($B424,Task_Tracker!$A$5:$A$1004,0)),""))</f>
        <v/>
      </c>
      <c r="D424" s="67">
        <f>IF($B424="","",IFERROR(INDEX(Task_Tracker!$B$5:$B$1004,MATCH($B424,Task_Tracker!$A$5:$A$1004,0)),""))</f>
        <v/>
      </c>
      <c r="E424" s="81" t="n"/>
      <c r="F424" s="81" t="n"/>
      <c r="G424" s="78" t="n"/>
      <c r="H424" s="78" t="n"/>
      <c r="I424" s="67">
        <f>IF($H424="","",IFERROR(INDEX(Action_Status_Map!$B$5:$B$11,MATCH($H424,Action_Status_Map!$A$5:$A$11,0)),""))</f>
        <v/>
      </c>
      <c r="J424" s="82" t="n"/>
      <c r="K424" s="82" t="n"/>
      <c r="L424" s="82" t="n"/>
      <c r="M424" s="83" t="n"/>
      <c r="N424" s="83" t="n"/>
      <c r="O424" s="66">
        <f>IF(OR($M424="",$N424=""),"",$N424-$M424)</f>
        <v/>
      </c>
      <c r="P424" s="84">
        <f>IF($J424="","",IF($L424&lt;&gt;"",$L424-$J424,TODAY()-$J424))</f>
        <v/>
      </c>
      <c r="Q424" s="85">
        <f>IF(OR($K424="",$H424="Completed",$H424="Cancelled"),"",IF(AND($K424&lt;TODAY(),$H424&lt;&gt;"Completed",$H424&lt;&gt;"Cancelled"),"Overdue","On Track"))</f>
        <v/>
      </c>
      <c r="R424" s="81" t="n"/>
      <c r="S424" s="81">
        <f>IF($B424="","",IFERROR(INDEX(Task_Tracker!$AA$5:$AA$1004,MATCH($B424,Task_Tracker!$A$5:$A$1004,0)),""))</f>
        <v/>
      </c>
      <c r="T424" s="81">
        <f>IF($B424="","",IFERROR(INDEX(Task_Tracker!$AB$5:$AB$1004,MATCH($B424,Task_Tracker!$A$5:$A$1004,0)),""))</f>
        <v/>
      </c>
      <c r="U424" s="78">
        <f>IF($B424="","",IFERROR(INDEX(Task_Tracker!$F$5:$F$1004,MATCH($B424,Task_Tracker!$A$5:$A$1004,0)),""))</f>
        <v/>
      </c>
      <c r="V424" s="78">
        <f>IF($B424="","",IFERROR(INDEX(Task_Tracker!$I$5:$I$1004,MATCH($B424,Task_Tracker!$A$5:$A$1004,0)),""))</f>
        <v/>
      </c>
      <c r="W424" s="81">
        <f>IF(OR($D424="",$B424=""),"",$D424&amp;" | "&amp;$B424)</f>
        <v/>
      </c>
      <c r="X424" s="85">
        <f>IF($K424="","",TEXT($K424,"yyyy-mm"))</f>
        <v/>
      </c>
      <c r="Y424" s="81">
        <f>IF(OR($A424="",$T424=""),"","Included in Manager_Report")</f>
        <v/>
      </c>
    </row>
    <row r="425" ht="15" customHeight="1" s="40">
      <c r="A425" s="65">
        <f>IF(COUNTA(B425:G425)=0,"","STP-"&amp;TEXT(ROW()-4,"0000"))</f>
        <v/>
      </c>
      <c r="B425" s="78" t="n"/>
      <c r="C425" s="67">
        <f>IF($B425="","",IFERROR(INDEX(Task_Tracker!$D$5:$D$1004,MATCH($B425,Task_Tracker!$A$5:$A$1004,0)),""))</f>
        <v/>
      </c>
      <c r="D425" s="67">
        <f>IF($B425="","",IFERROR(INDEX(Task_Tracker!$B$5:$B$1004,MATCH($B425,Task_Tracker!$A$5:$A$1004,0)),""))</f>
        <v/>
      </c>
      <c r="E425" s="81" t="n"/>
      <c r="F425" s="81" t="n"/>
      <c r="G425" s="78" t="n"/>
      <c r="H425" s="78" t="n"/>
      <c r="I425" s="67">
        <f>IF($H425="","",IFERROR(INDEX(Action_Status_Map!$B$5:$B$11,MATCH($H425,Action_Status_Map!$A$5:$A$11,0)),""))</f>
        <v/>
      </c>
      <c r="J425" s="82" t="n"/>
      <c r="K425" s="82" t="n"/>
      <c r="L425" s="82" t="n"/>
      <c r="M425" s="83" t="n"/>
      <c r="N425" s="83" t="n"/>
      <c r="O425" s="66">
        <f>IF(OR($M425="",$N425=""),"",$N425-$M425)</f>
        <v/>
      </c>
      <c r="P425" s="84">
        <f>IF($J425="","",IF($L425&lt;&gt;"",$L425-$J425,TODAY()-$J425))</f>
        <v/>
      </c>
      <c r="Q425" s="85">
        <f>IF(OR($K425="",$H425="Completed",$H425="Cancelled"),"",IF(AND($K425&lt;TODAY(),$H425&lt;&gt;"Completed",$H425&lt;&gt;"Cancelled"),"Overdue","On Track"))</f>
        <v/>
      </c>
      <c r="R425" s="81" t="n"/>
      <c r="S425" s="81">
        <f>IF($B425="","",IFERROR(INDEX(Task_Tracker!$AA$5:$AA$1004,MATCH($B425,Task_Tracker!$A$5:$A$1004,0)),""))</f>
        <v/>
      </c>
      <c r="T425" s="81">
        <f>IF($B425="","",IFERROR(INDEX(Task_Tracker!$AB$5:$AB$1004,MATCH($B425,Task_Tracker!$A$5:$A$1004,0)),""))</f>
        <v/>
      </c>
      <c r="U425" s="78">
        <f>IF($B425="","",IFERROR(INDEX(Task_Tracker!$F$5:$F$1004,MATCH($B425,Task_Tracker!$A$5:$A$1004,0)),""))</f>
        <v/>
      </c>
      <c r="V425" s="78">
        <f>IF($B425="","",IFERROR(INDEX(Task_Tracker!$I$5:$I$1004,MATCH($B425,Task_Tracker!$A$5:$A$1004,0)),""))</f>
        <v/>
      </c>
      <c r="W425" s="81">
        <f>IF(OR($D425="",$B425=""),"",$D425&amp;" | "&amp;$B425)</f>
        <v/>
      </c>
      <c r="X425" s="85">
        <f>IF($K425="","",TEXT($K425,"yyyy-mm"))</f>
        <v/>
      </c>
      <c r="Y425" s="81">
        <f>IF(OR($A425="",$T425=""),"","Included in Manager_Report")</f>
        <v/>
      </c>
    </row>
    <row r="426" ht="15" customHeight="1" s="40">
      <c r="A426" s="65">
        <f>IF(COUNTA(B426:G426)=0,"","STP-"&amp;TEXT(ROW()-4,"0000"))</f>
        <v/>
      </c>
      <c r="B426" s="78" t="n"/>
      <c r="C426" s="67">
        <f>IF($B426="","",IFERROR(INDEX(Task_Tracker!$D$5:$D$1004,MATCH($B426,Task_Tracker!$A$5:$A$1004,0)),""))</f>
        <v/>
      </c>
      <c r="D426" s="67">
        <f>IF($B426="","",IFERROR(INDEX(Task_Tracker!$B$5:$B$1004,MATCH($B426,Task_Tracker!$A$5:$A$1004,0)),""))</f>
        <v/>
      </c>
      <c r="E426" s="81" t="n"/>
      <c r="F426" s="81" t="n"/>
      <c r="G426" s="78" t="n"/>
      <c r="H426" s="78" t="n"/>
      <c r="I426" s="67">
        <f>IF($H426="","",IFERROR(INDEX(Action_Status_Map!$B$5:$B$11,MATCH($H426,Action_Status_Map!$A$5:$A$11,0)),""))</f>
        <v/>
      </c>
      <c r="J426" s="82" t="n"/>
      <c r="K426" s="82" t="n"/>
      <c r="L426" s="82" t="n"/>
      <c r="M426" s="83" t="n"/>
      <c r="N426" s="83" t="n"/>
      <c r="O426" s="66">
        <f>IF(OR($M426="",$N426=""),"",$N426-$M426)</f>
        <v/>
      </c>
      <c r="P426" s="84">
        <f>IF($J426="","",IF($L426&lt;&gt;"",$L426-$J426,TODAY()-$J426))</f>
        <v/>
      </c>
      <c r="Q426" s="85">
        <f>IF(OR($K426="",$H426="Completed",$H426="Cancelled"),"",IF(AND($K426&lt;TODAY(),$H426&lt;&gt;"Completed",$H426&lt;&gt;"Cancelled"),"Overdue","On Track"))</f>
        <v/>
      </c>
      <c r="R426" s="81" t="n"/>
      <c r="S426" s="81">
        <f>IF($B426="","",IFERROR(INDEX(Task_Tracker!$AA$5:$AA$1004,MATCH($B426,Task_Tracker!$A$5:$A$1004,0)),""))</f>
        <v/>
      </c>
      <c r="T426" s="81">
        <f>IF($B426="","",IFERROR(INDEX(Task_Tracker!$AB$5:$AB$1004,MATCH($B426,Task_Tracker!$A$5:$A$1004,0)),""))</f>
        <v/>
      </c>
      <c r="U426" s="78">
        <f>IF($B426="","",IFERROR(INDEX(Task_Tracker!$F$5:$F$1004,MATCH($B426,Task_Tracker!$A$5:$A$1004,0)),""))</f>
        <v/>
      </c>
      <c r="V426" s="78">
        <f>IF($B426="","",IFERROR(INDEX(Task_Tracker!$I$5:$I$1004,MATCH($B426,Task_Tracker!$A$5:$A$1004,0)),""))</f>
        <v/>
      </c>
      <c r="W426" s="81">
        <f>IF(OR($D426="",$B426=""),"",$D426&amp;" | "&amp;$B426)</f>
        <v/>
      </c>
      <c r="X426" s="85">
        <f>IF($K426="","",TEXT($K426,"yyyy-mm"))</f>
        <v/>
      </c>
      <c r="Y426" s="81">
        <f>IF(OR($A426="",$T426=""),"","Included in Manager_Report")</f>
        <v/>
      </c>
    </row>
    <row r="427" ht="15" customHeight="1" s="40">
      <c r="A427" s="65">
        <f>IF(COUNTA(B427:G427)=0,"","STP-"&amp;TEXT(ROW()-4,"0000"))</f>
        <v/>
      </c>
      <c r="B427" s="78" t="n"/>
      <c r="C427" s="67">
        <f>IF($B427="","",IFERROR(INDEX(Task_Tracker!$D$5:$D$1004,MATCH($B427,Task_Tracker!$A$5:$A$1004,0)),""))</f>
        <v/>
      </c>
      <c r="D427" s="67">
        <f>IF($B427="","",IFERROR(INDEX(Task_Tracker!$B$5:$B$1004,MATCH($B427,Task_Tracker!$A$5:$A$1004,0)),""))</f>
        <v/>
      </c>
      <c r="E427" s="81" t="n"/>
      <c r="F427" s="81" t="n"/>
      <c r="G427" s="78" t="n"/>
      <c r="H427" s="78" t="n"/>
      <c r="I427" s="67">
        <f>IF($H427="","",IFERROR(INDEX(Action_Status_Map!$B$5:$B$11,MATCH($H427,Action_Status_Map!$A$5:$A$11,0)),""))</f>
        <v/>
      </c>
      <c r="J427" s="82" t="n"/>
      <c r="K427" s="82" t="n"/>
      <c r="L427" s="82" t="n"/>
      <c r="M427" s="83" t="n"/>
      <c r="N427" s="83" t="n"/>
      <c r="O427" s="66">
        <f>IF(OR($M427="",$N427=""),"",$N427-$M427)</f>
        <v/>
      </c>
      <c r="P427" s="84">
        <f>IF($J427="","",IF($L427&lt;&gt;"",$L427-$J427,TODAY()-$J427))</f>
        <v/>
      </c>
      <c r="Q427" s="85">
        <f>IF(OR($K427="",$H427="Completed",$H427="Cancelled"),"",IF(AND($K427&lt;TODAY(),$H427&lt;&gt;"Completed",$H427&lt;&gt;"Cancelled"),"Overdue","On Track"))</f>
        <v/>
      </c>
      <c r="R427" s="81" t="n"/>
      <c r="S427" s="81">
        <f>IF($B427="","",IFERROR(INDEX(Task_Tracker!$AA$5:$AA$1004,MATCH($B427,Task_Tracker!$A$5:$A$1004,0)),""))</f>
        <v/>
      </c>
      <c r="T427" s="81">
        <f>IF($B427="","",IFERROR(INDEX(Task_Tracker!$AB$5:$AB$1004,MATCH($B427,Task_Tracker!$A$5:$A$1004,0)),""))</f>
        <v/>
      </c>
      <c r="U427" s="78">
        <f>IF($B427="","",IFERROR(INDEX(Task_Tracker!$F$5:$F$1004,MATCH($B427,Task_Tracker!$A$5:$A$1004,0)),""))</f>
        <v/>
      </c>
      <c r="V427" s="78">
        <f>IF($B427="","",IFERROR(INDEX(Task_Tracker!$I$5:$I$1004,MATCH($B427,Task_Tracker!$A$5:$A$1004,0)),""))</f>
        <v/>
      </c>
      <c r="W427" s="81">
        <f>IF(OR($D427="",$B427=""),"",$D427&amp;" | "&amp;$B427)</f>
        <v/>
      </c>
      <c r="X427" s="85">
        <f>IF($K427="","",TEXT($K427,"yyyy-mm"))</f>
        <v/>
      </c>
      <c r="Y427" s="81">
        <f>IF(OR($A427="",$T427=""),"","Included in Manager_Report")</f>
        <v/>
      </c>
    </row>
    <row r="428" ht="15" customHeight="1" s="40">
      <c r="A428" s="65">
        <f>IF(COUNTA(B428:G428)=0,"","STP-"&amp;TEXT(ROW()-4,"0000"))</f>
        <v/>
      </c>
      <c r="B428" s="78" t="n"/>
      <c r="C428" s="67">
        <f>IF($B428="","",IFERROR(INDEX(Task_Tracker!$D$5:$D$1004,MATCH($B428,Task_Tracker!$A$5:$A$1004,0)),""))</f>
        <v/>
      </c>
      <c r="D428" s="67">
        <f>IF($B428="","",IFERROR(INDEX(Task_Tracker!$B$5:$B$1004,MATCH($B428,Task_Tracker!$A$5:$A$1004,0)),""))</f>
        <v/>
      </c>
      <c r="E428" s="81" t="n"/>
      <c r="F428" s="81" t="n"/>
      <c r="G428" s="78" t="n"/>
      <c r="H428" s="78" t="n"/>
      <c r="I428" s="67">
        <f>IF($H428="","",IFERROR(INDEX(Action_Status_Map!$B$5:$B$11,MATCH($H428,Action_Status_Map!$A$5:$A$11,0)),""))</f>
        <v/>
      </c>
      <c r="J428" s="82" t="n"/>
      <c r="K428" s="82" t="n"/>
      <c r="L428" s="82" t="n"/>
      <c r="M428" s="83" t="n"/>
      <c r="N428" s="83" t="n"/>
      <c r="O428" s="66">
        <f>IF(OR($M428="",$N428=""),"",$N428-$M428)</f>
        <v/>
      </c>
      <c r="P428" s="84">
        <f>IF($J428="","",IF($L428&lt;&gt;"",$L428-$J428,TODAY()-$J428))</f>
        <v/>
      </c>
      <c r="Q428" s="85">
        <f>IF(OR($K428="",$H428="Completed",$H428="Cancelled"),"",IF(AND($K428&lt;TODAY(),$H428&lt;&gt;"Completed",$H428&lt;&gt;"Cancelled"),"Overdue","On Track"))</f>
        <v/>
      </c>
      <c r="R428" s="81" t="n"/>
      <c r="S428" s="81">
        <f>IF($B428="","",IFERROR(INDEX(Task_Tracker!$AA$5:$AA$1004,MATCH($B428,Task_Tracker!$A$5:$A$1004,0)),""))</f>
        <v/>
      </c>
      <c r="T428" s="81">
        <f>IF($B428="","",IFERROR(INDEX(Task_Tracker!$AB$5:$AB$1004,MATCH($B428,Task_Tracker!$A$5:$A$1004,0)),""))</f>
        <v/>
      </c>
      <c r="U428" s="78">
        <f>IF($B428="","",IFERROR(INDEX(Task_Tracker!$F$5:$F$1004,MATCH($B428,Task_Tracker!$A$5:$A$1004,0)),""))</f>
        <v/>
      </c>
      <c r="V428" s="78">
        <f>IF($B428="","",IFERROR(INDEX(Task_Tracker!$I$5:$I$1004,MATCH($B428,Task_Tracker!$A$5:$A$1004,0)),""))</f>
        <v/>
      </c>
      <c r="W428" s="81">
        <f>IF(OR($D428="",$B428=""),"",$D428&amp;" | "&amp;$B428)</f>
        <v/>
      </c>
      <c r="X428" s="85">
        <f>IF($K428="","",TEXT($K428,"yyyy-mm"))</f>
        <v/>
      </c>
      <c r="Y428" s="81">
        <f>IF(OR($A428="",$T428=""),"","Included in Manager_Report")</f>
        <v/>
      </c>
    </row>
    <row r="429" ht="15" customHeight="1" s="40">
      <c r="A429" s="65">
        <f>IF(COUNTA(B429:G429)=0,"","STP-"&amp;TEXT(ROW()-4,"0000"))</f>
        <v/>
      </c>
      <c r="B429" s="78" t="n"/>
      <c r="C429" s="67">
        <f>IF($B429="","",IFERROR(INDEX(Task_Tracker!$D$5:$D$1004,MATCH($B429,Task_Tracker!$A$5:$A$1004,0)),""))</f>
        <v/>
      </c>
      <c r="D429" s="67">
        <f>IF($B429="","",IFERROR(INDEX(Task_Tracker!$B$5:$B$1004,MATCH($B429,Task_Tracker!$A$5:$A$1004,0)),""))</f>
        <v/>
      </c>
      <c r="E429" s="81" t="n"/>
      <c r="F429" s="81" t="n"/>
      <c r="G429" s="78" t="n"/>
      <c r="H429" s="78" t="n"/>
      <c r="I429" s="67">
        <f>IF($H429="","",IFERROR(INDEX(Action_Status_Map!$B$5:$B$11,MATCH($H429,Action_Status_Map!$A$5:$A$11,0)),""))</f>
        <v/>
      </c>
      <c r="J429" s="82" t="n"/>
      <c r="K429" s="82" t="n"/>
      <c r="L429" s="82" t="n"/>
      <c r="M429" s="83" t="n"/>
      <c r="N429" s="83" t="n"/>
      <c r="O429" s="66">
        <f>IF(OR($M429="",$N429=""),"",$N429-$M429)</f>
        <v/>
      </c>
      <c r="P429" s="84">
        <f>IF($J429="","",IF($L429&lt;&gt;"",$L429-$J429,TODAY()-$J429))</f>
        <v/>
      </c>
      <c r="Q429" s="85">
        <f>IF(OR($K429="",$H429="Completed",$H429="Cancelled"),"",IF(AND($K429&lt;TODAY(),$H429&lt;&gt;"Completed",$H429&lt;&gt;"Cancelled"),"Overdue","On Track"))</f>
        <v/>
      </c>
      <c r="R429" s="81" t="n"/>
      <c r="S429" s="81">
        <f>IF($B429="","",IFERROR(INDEX(Task_Tracker!$AA$5:$AA$1004,MATCH($B429,Task_Tracker!$A$5:$A$1004,0)),""))</f>
        <v/>
      </c>
      <c r="T429" s="81">
        <f>IF($B429="","",IFERROR(INDEX(Task_Tracker!$AB$5:$AB$1004,MATCH($B429,Task_Tracker!$A$5:$A$1004,0)),""))</f>
        <v/>
      </c>
      <c r="U429" s="78">
        <f>IF($B429="","",IFERROR(INDEX(Task_Tracker!$F$5:$F$1004,MATCH($B429,Task_Tracker!$A$5:$A$1004,0)),""))</f>
        <v/>
      </c>
      <c r="V429" s="78">
        <f>IF($B429="","",IFERROR(INDEX(Task_Tracker!$I$5:$I$1004,MATCH($B429,Task_Tracker!$A$5:$A$1004,0)),""))</f>
        <v/>
      </c>
      <c r="W429" s="81">
        <f>IF(OR($D429="",$B429=""),"",$D429&amp;" | "&amp;$B429)</f>
        <v/>
      </c>
      <c r="X429" s="85">
        <f>IF($K429="","",TEXT($K429,"yyyy-mm"))</f>
        <v/>
      </c>
      <c r="Y429" s="81">
        <f>IF(OR($A429="",$T429=""),"","Included in Manager_Report")</f>
        <v/>
      </c>
    </row>
    <row r="430" ht="15" customHeight="1" s="40">
      <c r="A430" s="65">
        <f>IF(COUNTA(B430:G430)=0,"","STP-"&amp;TEXT(ROW()-4,"0000"))</f>
        <v/>
      </c>
      <c r="B430" s="78" t="n"/>
      <c r="C430" s="67">
        <f>IF($B430="","",IFERROR(INDEX(Task_Tracker!$D$5:$D$1004,MATCH($B430,Task_Tracker!$A$5:$A$1004,0)),""))</f>
        <v/>
      </c>
      <c r="D430" s="67">
        <f>IF($B430="","",IFERROR(INDEX(Task_Tracker!$B$5:$B$1004,MATCH($B430,Task_Tracker!$A$5:$A$1004,0)),""))</f>
        <v/>
      </c>
      <c r="E430" s="81" t="n"/>
      <c r="F430" s="81" t="n"/>
      <c r="G430" s="78" t="n"/>
      <c r="H430" s="78" t="n"/>
      <c r="I430" s="67">
        <f>IF($H430="","",IFERROR(INDEX(Action_Status_Map!$B$5:$B$11,MATCH($H430,Action_Status_Map!$A$5:$A$11,0)),""))</f>
        <v/>
      </c>
      <c r="J430" s="82" t="n"/>
      <c r="K430" s="82" t="n"/>
      <c r="L430" s="82" t="n"/>
      <c r="M430" s="83" t="n"/>
      <c r="N430" s="83" t="n"/>
      <c r="O430" s="66">
        <f>IF(OR($M430="",$N430=""),"",$N430-$M430)</f>
        <v/>
      </c>
      <c r="P430" s="84">
        <f>IF($J430="","",IF($L430&lt;&gt;"",$L430-$J430,TODAY()-$J430))</f>
        <v/>
      </c>
      <c r="Q430" s="85">
        <f>IF(OR($K430="",$H430="Completed",$H430="Cancelled"),"",IF(AND($K430&lt;TODAY(),$H430&lt;&gt;"Completed",$H430&lt;&gt;"Cancelled"),"Overdue","On Track"))</f>
        <v/>
      </c>
      <c r="R430" s="81" t="n"/>
      <c r="S430" s="81">
        <f>IF($B430="","",IFERROR(INDEX(Task_Tracker!$AA$5:$AA$1004,MATCH($B430,Task_Tracker!$A$5:$A$1004,0)),""))</f>
        <v/>
      </c>
      <c r="T430" s="81">
        <f>IF($B430="","",IFERROR(INDEX(Task_Tracker!$AB$5:$AB$1004,MATCH($B430,Task_Tracker!$A$5:$A$1004,0)),""))</f>
        <v/>
      </c>
      <c r="U430" s="78">
        <f>IF($B430="","",IFERROR(INDEX(Task_Tracker!$F$5:$F$1004,MATCH($B430,Task_Tracker!$A$5:$A$1004,0)),""))</f>
        <v/>
      </c>
      <c r="V430" s="78">
        <f>IF($B430="","",IFERROR(INDEX(Task_Tracker!$I$5:$I$1004,MATCH($B430,Task_Tracker!$A$5:$A$1004,0)),""))</f>
        <v/>
      </c>
      <c r="W430" s="81">
        <f>IF(OR($D430="",$B430=""),"",$D430&amp;" | "&amp;$B430)</f>
        <v/>
      </c>
      <c r="X430" s="85">
        <f>IF($K430="","",TEXT($K430,"yyyy-mm"))</f>
        <v/>
      </c>
      <c r="Y430" s="81">
        <f>IF(OR($A430="",$T430=""),"","Included in Manager_Report")</f>
        <v/>
      </c>
    </row>
    <row r="431" ht="15" customHeight="1" s="40">
      <c r="A431" s="65">
        <f>IF(COUNTA(B431:G431)=0,"","STP-"&amp;TEXT(ROW()-4,"0000"))</f>
        <v/>
      </c>
      <c r="B431" s="78" t="n"/>
      <c r="C431" s="67">
        <f>IF($B431="","",IFERROR(INDEX(Task_Tracker!$D$5:$D$1004,MATCH($B431,Task_Tracker!$A$5:$A$1004,0)),""))</f>
        <v/>
      </c>
      <c r="D431" s="67">
        <f>IF($B431="","",IFERROR(INDEX(Task_Tracker!$B$5:$B$1004,MATCH($B431,Task_Tracker!$A$5:$A$1004,0)),""))</f>
        <v/>
      </c>
      <c r="E431" s="81" t="n"/>
      <c r="F431" s="81" t="n"/>
      <c r="G431" s="78" t="n"/>
      <c r="H431" s="78" t="n"/>
      <c r="I431" s="67">
        <f>IF($H431="","",IFERROR(INDEX(Action_Status_Map!$B$5:$B$11,MATCH($H431,Action_Status_Map!$A$5:$A$11,0)),""))</f>
        <v/>
      </c>
      <c r="J431" s="82" t="n"/>
      <c r="K431" s="82" t="n"/>
      <c r="L431" s="82" t="n"/>
      <c r="M431" s="83" t="n"/>
      <c r="N431" s="83" t="n"/>
      <c r="O431" s="66">
        <f>IF(OR($M431="",$N431=""),"",$N431-$M431)</f>
        <v/>
      </c>
      <c r="P431" s="84">
        <f>IF($J431="","",IF($L431&lt;&gt;"",$L431-$J431,TODAY()-$J431))</f>
        <v/>
      </c>
      <c r="Q431" s="85">
        <f>IF(OR($K431="",$H431="Completed",$H431="Cancelled"),"",IF(AND($K431&lt;TODAY(),$H431&lt;&gt;"Completed",$H431&lt;&gt;"Cancelled"),"Overdue","On Track"))</f>
        <v/>
      </c>
      <c r="R431" s="81" t="n"/>
      <c r="S431" s="81">
        <f>IF($B431="","",IFERROR(INDEX(Task_Tracker!$AA$5:$AA$1004,MATCH($B431,Task_Tracker!$A$5:$A$1004,0)),""))</f>
        <v/>
      </c>
      <c r="T431" s="81">
        <f>IF($B431="","",IFERROR(INDEX(Task_Tracker!$AB$5:$AB$1004,MATCH($B431,Task_Tracker!$A$5:$A$1004,0)),""))</f>
        <v/>
      </c>
      <c r="U431" s="78">
        <f>IF($B431="","",IFERROR(INDEX(Task_Tracker!$F$5:$F$1004,MATCH($B431,Task_Tracker!$A$5:$A$1004,0)),""))</f>
        <v/>
      </c>
      <c r="V431" s="78">
        <f>IF($B431="","",IFERROR(INDEX(Task_Tracker!$I$5:$I$1004,MATCH($B431,Task_Tracker!$A$5:$A$1004,0)),""))</f>
        <v/>
      </c>
      <c r="W431" s="81">
        <f>IF(OR($D431="",$B431=""),"",$D431&amp;" | "&amp;$B431)</f>
        <v/>
      </c>
      <c r="X431" s="85">
        <f>IF($K431="","",TEXT($K431,"yyyy-mm"))</f>
        <v/>
      </c>
      <c r="Y431" s="81">
        <f>IF(OR($A431="",$T431=""),"","Included in Manager_Report")</f>
        <v/>
      </c>
    </row>
    <row r="432" ht="15" customHeight="1" s="40">
      <c r="A432" s="65">
        <f>IF(COUNTA(B432:G432)=0,"","STP-"&amp;TEXT(ROW()-4,"0000"))</f>
        <v/>
      </c>
      <c r="B432" s="78" t="n"/>
      <c r="C432" s="67">
        <f>IF($B432="","",IFERROR(INDEX(Task_Tracker!$D$5:$D$1004,MATCH($B432,Task_Tracker!$A$5:$A$1004,0)),""))</f>
        <v/>
      </c>
      <c r="D432" s="67">
        <f>IF($B432="","",IFERROR(INDEX(Task_Tracker!$B$5:$B$1004,MATCH($B432,Task_Tracker!$A$5:$A$1004,0)),""))</f>
        <v/>
      </c>
      <c r="E432" s="81" t="n"/>
      <c r="F432" s="81" t="n"/>
      <c r="G432" s="78" t="n"/>
      <c r="H432" s="78" t="n"/>
      <c r="I432" s="67">
        <f>IF($H432="","",IFERROR(INDEX(Action_Status_Map!$B$5:$B$11,MATCH($H432,Action_Status_Map!$A$5:$A$11,0)),""))</f>
        <v/>
      </c>
      <c r="J432" s="82" t="n"/>
      <c r="K432" s="82" t="n"/>
      <c r="L432" s="82" t="n"/>
      <c r="M432" s="83" t="n"/>
      <c r="N432" s="83" t="n"/>
      <c r="O432" s="66">
        <f>IF(OR($M432="",$N432=""),"",$N432-$M432)</f>
        <v/>
      </c>
      <c r="P432" s="84">
        <f>IF($J432="","",IF($L432&lt;&gt;"",$L432-$J432,TODAY()-$J432))</f>
        <v/>
      </c>
      <c r="Q432" s="85">
        <f>IF(OR($K432="",$H432="Completed",$H432="Cancelled"),"",IF(AND($K432&lt;TODAY(),$H432&lt;&gt;"Completed",$H432&lt;&gt;"Cancelled"),"Overdue","On Track"))</f>
        <v/>
      </c>
      <c r="R432" s="81" t="n"/>
      <c r="S432" s="81">
        <f>IF($B432="","",IFERROR(INDEX(Task_Tracker!$AA$5:$AA$1004,MATCH($B432,Task_Tracker!$A$5:$A$1004,0)),""))</f>
        <v/>
      </c>
      <c r="T432" s="81">
        <f>IF($B432="","",IFERROR(INDEX(Task_Tracker!$AB$5:$AB$1004,MATCH($B432,Task_Tracker!$A$5:$A$1004,0)),""))</f>
        <v/>
      </c>
      <c r="U432" s="78">
        <f>IF($B432="","",IFERROR(INDEX(Task_Tracker!$F$5:$F$1004,MATCH($B432,Task_Tracker!$A$5:$A$1004,0)),""))</f>
        <v/>
      </c>
      <c r="V432" s="78">
        <f>IF($B432="","",IFERROR(INDEX(Task_Tracker!$I$5:$I$1004,MATCH($B432,Task_Tracker!$A$5:$A$1004,0)),""))</f>
        <v/>
      </c>
      <c r="W432" s="81">
        <f>IF(OR($D432="",$B432=""),"",$D432&amp;" | "&amp;$B432)</f>
        <v/>
      </c>
      <c r="X432" s="85">
        <f>IF($K432="","",TEXT($K432,"yyyy-mm"))</f>
        <v/>
      </c>
      <c r="Y432" s="81">
        <f>IF(OR($A432="",$T432=""),"","Included in Manager_Report")</f>
        <v/>
      </c>
    </row>
    <row r="433" ht="15" customHeight="1" s="40">
      <c r="A433" s="65">
        <f>IF(COUNTA(B433:G433)=0,"","STP-"&amp;TEXT(ROW()-4,"0000"))</f>
        <v/>
      </c>
      <c r="B433" s="78" t="n"/>
      <c r="C433" s="67">
        <f>IF($B433="","",IFERROR(INDEX(Task_Tracker!$D$5:$D$1004,MATCH($B433,Task_Tracker!$A$5:$A$1004,0)),""))</f>
        <v/>
      </c>
      <c r="D433" s="67">
        <f>IF($B433="","",IFERROR(INDEX(Task_Tracker!$B$5:$B$1004,MATCH($B433,Task_Tracker!$A$5:$A$1004,0)),""))</f>
        <v/>
      </c>
      <c r="E433" s="81" t="n"/>
      <c r="F433" s="81" t="n"/>
      <c r="G433" s="78" t="n"/>
      <c r="H433" s="78" t="n"/>
      <c r="I433" s="67">
        <f>IF($H433="","",IFERROR(INDEX(Action_Status_Map!$B$5:$B$11,MATCH($H433,Action_Status_Map!$A$5:$A$11,0)),""))</f>
        <v/>
      </c>
      <c r="J433" s="82" t="n"/>
      <c r="K433" s="82" t="n"/>
      <c r="L433" s="82" t="n"/>
      <c r="M433" s="83" t="n"/>
      <c r="N433" s="83" t="n"/>
      <c r="O433" s="66">
        <f>IF(OR($M433="",$N433=""),"",$N433-$M433)</f>
        <v/>
      </c>
      <c r="P433" s="84">
        <f>IF($J433="","",IF($L433&lt;&gt;"",$L433-$J433,TODAY()-$J433))</f>
        <v/>
      </c>
      <c r="Q433" s="85">
        <f>IF(OR($K433="",$H433="Completed",$H433="Cancelled"),"",IF(AND($K433&lt;TODAY(),$H433&lt;&gt;"Completed",$H433&lt;&gt;"Cancelled"),"Overdue","On Track"))</f>
        <v/>
      </c>
      <c r="R433" s="81" t="n"/>
      <c r="S433" s="81">
        <f>IF($B433="","",IFERROR(INDEX(Task_Tracker!$AA$5:$AA$1004,MATCH($B433,Task_Tracker!$A$5:$A$1004,0)),""))</f>
        <v/>
      </c>
      <c r="T433" s="81">
        <f>IF($B433="","",IFERROR(INDEX(Task_Tracker!$AB$5:$AB$1004,MATCH($B433,Task_Tracker!$A$5:$A$1004,0)),""))</f>
        <v/>
      </c>
      <c r="U433" s="78">
        <f>IF($B433="","",IFERROR(INDEX(Task_Tracker!$F$5:$F$1004,MATCH($B433,Task_Tracker!$A$5:$A$1004,0)),""))</f>
        <v/>
      </c>
      <c r="V433" s="78">
        <f>IF($B433="","",IFERROR(INDEX(Task_Tracker!$I$5:$I$1004,MATCH($B433,Task_Tracker!$A$5:$A$1004,0)),""))</f>
        <v/>
      </c>
      <c r="W433" s="81">
        <f>IF(OR($D433="",$B433=""),"",$D433&amp;" | "&amp;$B433)</f>
        <v/>
      </c>
      <c r="X433" s="85">
        <f>IF($K433="","",TEXT($K433,"yyyy-mm"))</f>
        <v/>
      </c>
      <c r="Y433" s="81">
        <f>IF(OR($A433="",$T433=""),"","Included in Manager_Report")</f>
        <v/>
      </c>
    </row>
    <row r="434" ht="15" customHeight="1" s="40">
      <c r="A434" s="65">
        <f>IF(COUNTA(B434:G434)=0,"","STP-"&amp;TEXT(ROW()-4,"0000"))</f>
        <v/>
      </c>
      <c r="B434" s="78" t="n"/>
      <c r="C434" s="67">
        <f>IF($B434="","",IFERROR(INDEX(Task_Tracker!$D$5:$D$1004,MATCH($B434,Task_Tracker!$A$5:$A$1004,0)),""))</f>
        <v/>
      </c>
      <c r="D434" s="67">
        <f>IF($B434="","",IFERROR(INDEX(Task_Tracker!$B$5:$B$1004,MATCH($B434,Task_Tracker!$A$5:$A$1004,0)),""))</f>
        <v/>
      </c>
      <c r="E434" s="81" t="n"/>
      <c r="F434" s="81" t="n"/>
      <c r="G434" s="78" t="n"/>
      <c r="H434" s="78" t="n"/>
      <c r="I434" s="67">
        <f>IF($H434="","",IFERROR(INDEX(Action_Status_Map!$B$5:$B$11,MATCH($H434,Action_Status_Map!$A$5:$A$11,0)),""))</f>
        <v/>
      </c>
      <c r="J434" s="82" t="n"/>
      <c r="K434" s="82" t="n"/>
      <c r="L434" s="82" t="n"/>
      <c r="M434" s="83" t="n"/>
      <c r="N434" s="83" t="n"/>
      <c r="O434" s="66">
        <f>IF(OR($M434="",$N434=""),"",$N434-$M434)</f>
        <v/>
      </c>
      <c r="P434" s="84">
        <f>IF($J434="","",IF($L434&lt;&gt;"",$L434-$J434,TODAY()-$J434))</f>
        <v/>
      </c>
      <c r="Q434" s="85">
        <f>IF(OR($K434="",$H434="Completed",$H434="Cancelled"),"",IF(AND($K434&lt;TODAY(),$H434&lt;&gt;"Completed",$H434&lt;&gt;"Cancelled"),"Overdue","On Track"))</f>
        <v/>
      </c>
      <c r="R434" s="81" t="n"/>
      <c r="S434" s="81">
        <f>IF($B434="","",IFERROR(INDEX(Task_Tracker!$AA$5:$AA$1004,MATCH($B434,Task_Tracker!$A$5:$A$1004,0)),""))</f>
        <v/>
      </c>
      <c r="T434" s="81">
        <f>IF($B434="","",IFERROR(INDEX(Task_Tracker!$AB$5:$AB$1004,MATCH($B434,Task_Tracker!$A$5:$A$1004,0)),""))</f>
        <v/>
      </c>
      <c r="U434" s="78">
        <f>IF($B434="","",IFERROR(INDEX(Task_Tracker!$F$5:$F$1004,MATCH($B434,Task_Tracker!$A$5:$A$1004,0)),""))</f>
        <v/>
      </c>
      <c r="V434" s="78">
        <f>IF($B434="","",IFERROR(INDEX(Task_Tracker!$I$5:$I$1004,MATCH($B434,Task_Tracker!$A$5:$A$1004,0)),""))</f>
        <v/>
      </c>
      <c r="W434" s="81">
        <f>IF(OR($D434="",$B434=""),"",$D434&amp;" | "&amp;$B434)</f>
        <v/>
      </c>
      <c r="X434" s="85">
        <f>IF($K434="","",TEXT($K434,"yyyy-mm"))</f>
        <v/>
      </c>
      <c r="Y434" s="81">
        <f>IF(OR($A434="",$T434=""),"","Included in Manager_Report")</f>
        <v/>
      </c>
    </row>
    <row r="435" ht="15" customHeight="1" s="40">
      <c r="A435" s="65">
        <f>IF(COUNTA(B435:G435)=0,"","STP-"&amp;TEXT(ROW()-4,"0000"))</f>
        <v/>
      </c>
      <c r="B435" s="78" t="n"/>
      <c r="C435" s="67">
        <f>IF($B435="","",IFERROR(INDEX(Task_Tracker!$D$5:$D$1004,MATCH($B435,Task_Tracker!$A$5:$A$1004,0)),""))</f>
        <v/>
      </c>
      <c r="D435" s="67">
        <f>IF($B435="","",IFERROR(INDEX(Task_Tracker!$B$5:$B$1004,MATCH($B435,Task_Tracker!$A$5:$A$1004,0)),""))</f>
        <v/>
      </c>
      <c r="E435" s="81" t="n"/>
      <c r="F435" s="81" t="n"/>
      <c r="G435" s="78" t="n"/>
      <c r="H435" s="78" t="n"/>
      <c r="I435" s="67">
        <f>IF($H435="","",IFERROR(INDEX(Action_Status_Map!$B$5:$B$11,MATCH($H435,Action_Status_Map!$A$5:$A$11,0)),""))</f>
        <v/>
      </c>
      <c r="J435" s="82" t="n"/>
      <c r="K435" s="82" t="n"/>
      <c r="L435" s="82" t="n"/>
      <c r="M435" s="83" t="n"/>
      <c r="N435" s="83" t="n"/>
      <c r="O435" s="66">
        <f>IF(OR($M435="",$N435=""),"",$N435-$M435)</f>
        <v/>
      </c>
      <c r="P435" s="84">
        <f>IF($J435="","",IF($L435&lt;&gt;"",$L435-$J435,TODAY()-$J435))</f>
        <v/>
      </c>
      <c r="Q435" s="85">
        <f>IF(OR($K435="",$H435="Completed",$H435="Cancelled"),"",IF(AND($K435&lt;TODAY(),$H435&lt;&gt;"Completed",$H435&lt;&gt;"Cancelled"),"Overdue","On Track"))</f>
        <v/>
      </c>
      <c r="R435" s="81" t="n"/>
      <c r="S435" s="81">
        <f>IF($B435="","",IFERROR(INDEX(Task_Tracker!$AA$5:$AA$1004,MATCH($B435,Task_Tracker!$A$5:$A$1004,0)),""))</f>
        <v/>
      </c>
      <c r="T435" s="81">
        <f>IF($B435="","",IFERROR(INDEX(Task_Tracker!$AB$5:$AB$1004,MATCH($B435,Task_Tracker!$A$5:$A$1004,0)),""))</f>
        <v/>
      </c>
      <c r="U435" s="78">
        <f>IF($B435="","",IFERROR(INDEX(Task_Tracker!$F$5:$F$1004,MATCH($B435,Task_Tracker!$A$5:$A$1004,0)),""))</f>
        <v/>
      </c>
      <c r="V435" s="78">
        <f>IF($B435="","",IFERROR(INDEX(Task_Tracker!$I$5:$I$1004,MATCH($B435,Task_Tracker!$A$5:$A$1004,0)),""))</f>
        <v/>
      </c>
      <c r="W435" s="81">
        <f>IF(OR($D435="",$B435=""),"",$D435&amp;" | "&amp;$B435)</f>
        <v/>
      </c>
      <c r="X435" s="85">
        <f>IF($K435="","",TEXT($K435,"yyyy-mm"))</f>
        <v/>
      </c>
      <c r="Y435" s="81">
        <f>IF(OR($A435="",$T435=""),"","Included in Manager_Report")</f>
        <v/>
      </c>
    </row>
    <row r="436" ht="15" customHeight="1" s="40">
      <c r="A436" s="65">
        <f>IF(COUNTA(B436:G436)=0,"","STP-"&amp;TEXT(ROW()-4,"0000"))</f>
        <v/>
      </c>
      <c r="B436" s="78" t="n"/>
      <c r="C436" s="67">
        <f>IF($B436="","",IFERROR(INDEX(Task_Tracker!$D$5:$D$1004,MATCH($B436,Task_Tracker!$A$5:$A$1004,0)),""))</f>
        <v/>
      </c>
      <c r="D436" s="67">
        <f>IF($B436="","",IFERROR(INDEX(Task_Tracker!$B$5:$B$1004,MATCH($B436,Task_Tracker!$A$5:$A$1004,0)),""))</f>
        <v/>
      </c>
      <c r="E436" s="81" t="n"/>
      <c r="F436" s="81" t="n"/>
      <c r="G436" s="78" t="n"/>
      <c r="H436" s="78" t="n"/>
      <c r="I436" s="67">
        <f>IF($H436="","",IFERROR(INDEX(Action_Status_Map!$B$5:$B$11,MATCH($H436,Action_Status_Map!$A$5:$A$11,0)),""))</f>
        <v/>
      </c>
      <c r="J436" s="82" t="n"/>
      <c r="K436" s="82" t="n"/>
      <c r="L436" s="82" t="n"/>
      <c r="M436" s="83" t="n"/>
      <c r="N436" s="83" t="n"/>
      <c r="O436" s="66">
        <f>IF(OR($M436="",$N436=""),"",$N436-$M436)</f>
        <v/>
      </c>
      <c r="P436" s="84">
        <f>IF($J436="","",IF($L436&lt;&gt;"",$L436-$J436,TODAY()-$J436))</f>
        <v/>
      </c>
      <c r="Q436" s="85">
        <f>IF(OR($K436="",$H436="Completed",$H436="Cancelled"),"",IF(AND($K436&lt;TODAY(),$H436&lt;&gt;"Completed",$H436&lt;&gt;"Cancelled"),"Overdue","On Track"))</f>
        <v/>
      </c>
      <c r="R436" s="81" t="n"/>
      <c r="S436" s="81">
        <f>IF($B436="","",IFERROR(INDEX(Task_Tracker!$AA$5:$AA$1004,MATCH($B436,Task_Tracker!$A$5:$A$1004,0)),""))</f>
        <v/>
      </c>
      <c r="T436" s="81">
        <f>IF($B436="","",IFERROR(INDEX(Task_Tracker!$AB$5:$AB$1004,MATCH($B436,Task_Tracker!$A$5:$A$1004,0)),""))</f>
        <v/>
      </c>
      <c r="U436" s="78">
        <f>IF($B436="","",IFERROR(INDEX(Task_Tracker!$F$5:$F$1004,MATCH($B436,Task_Tracker!$A$5:$A$1004,0)),""))</f>
        <v/>
      </c>
      <c r="V436" s="78">
        <f>IF($B436="","",IFERROR(INDEX(Task_Tracker!$I$5:$I$1004,MATCH($B436,Task_Tracker!$A$5:$A$1004,0)),""))</f>
        <v/>
      </c>
      <c r="W436" s="81">
        <f>IF(OR($D436="",$B436=""),"",$D436&amp;" | "&amp;$B436)</f>
        <v/>
      </c>
      <c r="X436" s="85">
        <f>IF($K436="","",TEXT($K436,"yyyy-mm"))</f>
        <v/>
      </c>
      <c r="Y436" s="81">
        <f>IF(OR($A436="",$T436=""),"","Included in Manager_Report")</f>
        <v/>
      </c>
    </row>
    <row r="437" ht="15" customHeight="1" s="40">
      <c r="A437" s="65">
        <f>IF(COUNTA(B437:G437)=0,"","STP-"&amp;TEXT(ROW()-4,"0000"))</f>
        <v/>
      </c>
      <c r="B437" s="78" t="n"/>
      <c r="C437" s="67">
        <f>IF($B437="","",IFERROR(INDEX(Task_Tracker!$D$5:$D$1004,MATCH($B437,Task_Tracker!$A$5:$A$1004,0)),""))</f>
        <v/>
      </c>
      <c r="D437" s="67">
        <f>IF($B437="","",IFERROR(INDEX(Task_Tracker!$B$5:$B$1004,MATCH($B437,Task_Tracker!$A$5:$A$1004,0)),""))</f>
        <v/>
      </c>
      <c r="E437" s="81" t="n"/>
      <c r="F437" s="81" t="n"/>
      <c r="G437" s="78" t="n"/>
      <c r="H437" s="78" t="n"/>
      <c r="I437" s="67">
        <f>IF($H437="","",IFERROR(INDEX(Action_Status_Map!$B$5:$B$11,MATCH($H437,Action_Status_Map!$A$5:$A$11,0)),""))</f>
        <v/>
      </c>
      <c r="J437" s="82" t="n"/>
      <c r="K437" s="82" t="n"/>
      <c r="L437" s="82" t="n"/>
      <c r="M437" s="83" t="n"/>
      <c r="N437" s="83" t="n"/>
      <c r="O437" s="66">
        <f>IF(OR($M437="",$N437=""),"",$N437-$M437)</f>
        <v/>
      </c>
      <c r="P437" s="84">
        <f>IF($J437="","",IF($L437&lt;&gt;"",$L437-$J437,TODAY()-$J437))</f>
        <v/>
      </c>
      <c r="Q437" s="85">
        <f>IF(OR($K437="",$H437="Completed",$H437="Cancelled"),"",IF(AND($K437&lt;TODAY(),$H437&lt;&gt;"Completed",$H437&lt;&gt;"Cancelled"),"Overdue","On Track"))</f>
        <v/>
      </c>
      <c r="R437" s="81" t="n"/>
      <c r="S437" s="81">
        <f>IF($B437="","",IFERROR(INDEX(Task_Tracker!$AA$5:$AA$1004,MATCH($B437,Task_Tracker!$A$5:$A$1004,0)),""))</f>
        <v/>
      </c>
      <c r="T437" s="81">
        <f>IF($B437="","",IFERROR(INDEX(Task_Tracker!$AB$5:$AB$1004,MATCH($B437,Task_Tracker!$A$5:$A$1004,0)),""))</f>
        <v/>
      </c>
      <c r="U437" s="78">
        <f>IF($B437="","",IFERROR(INDEX(Task_Tracker!$F$5:$F$1004,MATCH($B437,Task_Tracker!$A$5:$A$1004,0)),""))</f>
        <v/>
      </c>
      <c r="V437" s="78">
        <f>IF($B437="","",IFERROR(INDEX(Task_Tracker!$I$5:$I$1004,MATCH($B437,Task_Tracker!$A$5:$A$1004,0)),""))</f>
        <v/>
      </c>
      <c r="W437" s="81">
        <f>IF(OR($D437="",$B437=""),"",$D437&amp;" | "&amp;$B437)</f>
        <v/>
      </c>
      <c r="X437" s="85">
        <f>IF($K437="","",TEXT($K437,"yyyy-mm"))</f>
        <v/>
      </c>
      <c r="Y437" s="81">
        <f>IF(OR($A437="",$T437=""),"","Included in Manager_Report")</f>
        <v/>
      </c>
    </row>
    <row r="438" ht="15" customHeight="1" s="40">
      <c r="A438" s="65">
        <f>IF(COUNTA(B438:G438)=0,"","STP-"&amp;TEXT(ROW()-4,"0000"))</f>
        <v/>
      </c>
      <c r="B438" s="78" t="n"/>
      <c r="C438" s="67">
        <f>IF($B438="","",IFERROR(INDEX(Task_Tracker!$D$5:$D$1004,MATCH($B438,Task_Tracker!$A$5:$A$1004,0)),""))</f>
        <v/>
      </c>
      <c r="D438" s="67">
        <f>IF($B438="","",IFERROR(INDEX(Task_Tracker!$B$5:$B$1004,MATCH($B438,Task_Tracker!$A$5:$A$1004,0)),""))</f>
        <v/>
      </c>
      <c r="E438" s="81" t="n"/>
      <c r="F438" s="81" t="n"/>
      <c r="G438" s="78" t="n"/>
      <c r="H438" s="78" t="n"/>
      <c r="I438" s="67">
        <f>IF($H438="","",IFERROR(INDEX(Action_Status_Map!$B$5:$B$11,MATCH($H438,Action_Status_Map!$A$5:$A$11,0)),""))</f>
        <v/>
      </c>
      <c r="J438" s="82" t="n"/>
      <c r="K438" s="82" t="n"/>
      <c r="L438" s="82" t="n"/>
      <c r="M438" s="83" t="n"/>
      <c r="N438" s="83" t="n"/>
      <c r="O438" s="66">
        <f>IF(OR($M438="",$N438=""),"",$N438-$M438)</f>
        <v/>
      </c>
      <c r="P438" s="84">
        <f>IF($J438="","",IF($L438&lt;&gt;"",$L438-$J438,TODAY()-$J438))</f>
        <v/>
      </c>
      <c r="Q438" s="85">
        <f>IF(OR($K438="",$H438="Completed",$H438="Cancelled"),"",IF(AND($K438&lt;TODAY(),$H438&lt;&gt;"Completed",$H438&lt;&gt;"Cancelled"),"Overdue","On Track"))</f>
        <v/>
      </c>
      <c r="R438" s="81" t="n"/>
      <c r="S438" s="81">
        <f>IF($B438="","",IFERROR(INDEX(Task_Tracker!$AA$5:$AA$1004,MATCH($B438,Task_Tracker!$A$5:$A$1004,0)),""))</f>
        <v/>
      </c>
      <c r="T438" s="81">
        <f>IF($B438="","",IFERROR(INDEX(Task_Tracker!$AB$5:$AB$1004,MATCH($B438,Task_Tracker!$A$5:$A$1004,0)),""))</f>
        <v/>
      </c>
      <c r="U438" s="78">
        <f>IF($B438="","",IFERROR(INDEX(Task_Tracker!$F$5:$F$1004,MATCH($B438,Task_Tracker!$A$5:$A$1004,0)),""))</f>
        <v/>
      </c>
      <c r="V438" s="78">
        <f>IF($B438="","",IFERROR(INDEX(Task_Tracker!$I$5:$I$1004,MATCH($B438,Task_Tracker!$A$5:$A$1004,0)),""))</f>
        <v/>
      </c>
      <c r="W438" s="81">
        <f>IF(OR($D438="",$B438=""),"",$D438&amp;" | "&amp;$B438)</f>
        <v/>
      </c>
      <c r="X438" s="85">
        <f>IF($K438="","",TEXT($K438,"yyyy-mm"))</f>
        <v/>
      </c>
      <c r="Y438" s="81">
        <f>IF(OR($A438="",$T438=""),"","Included in Manager_Report")</f>
        <v/>
      </c>
    </row>
    <row r="439" ht="15" customHeight="1" s="40">
      <c r="A439" s="65">
        <f>IF(COUNTA(B439:G439)=0,"","STP-"&amp;TEXT(ROW()-4,"0000"))</f>
        <v/>
      </c>
      <c r="B439" s="78" t="n"/>
      <c r="C439" s="67">
        <f>IF($B439="","",IFERROR(INDEX(Task_Tracker!$D$5:$D$1004,MATCH($B439,Task_Tracker!$A$5:$A$1004,0)),""))</f>
        <v/>
      </c>
      <c r="D439" s="67">
        <f>IF($B439="","",IFERROR(INDEX(Task_Tracker!$B$5:$B$1004,MATCH($B439,Task_Tracker!$A$5:$A$1004,0)),""))</f>
        <v/>
      </c>
      <c r="E439" s="81" t="n"/>
      <c r="F439" s="81" t="n"/>
      <c r="G439" s="78" t="n"/>
      <c r="H439" s="78" t="n"/>
      <c r="I439" s="67">
        <f>IF($H439="","",IFERROR(INDEX(Action_Status_Map!$B$5:$B$11,MATCH($H439,Action_Status_Map!$A$5:$A$11,0)),""))</f>
        <v/>
      </c>
      <c r="J439" s="82" t="n"/>
      <c r="K439" s="82" t="n"/>
      <c r="L439" s="82" t="n"/>
      <c r="M439" s="83" t="n"/>
      <c r="N439" s="83" t="n"/>
      <c r="O439" s="66">
        <f>IF(OR($M439="",$N439=""),"",$N439-$M439)</f>
        <v/>
      </c>
      <c r="P439" s="84">
        <f>IF($J439="","",IF($L439&lt;&gt;"",$L439-$J439,TODAY()-$J439))</f>
        <v/>
      </c>
      <c r="Q439" s="85">
        <f>IF(OR($K439="",$H439="Completed",$H439="Cancelled"),"",IF(AND($K439&lt;TODAY(),$H439&lt;&gt;"Completed",$H439&lt;&gt;"Cancelled"),"Overdue","On Track"))</f>
        <v/>
      </c>
      <c r="R439" s="81" t="n"/>
      <c r="S439" s="81">
        <f>IF($B439="","",IFERROR(INDEX(Task_Tracker!$AA$5:$AA$1004,MATCH($B439,Task_Tracker!$A$5:$A$1004,0)),""))</f>
        <v/>
      </c>
      <c r="T439" s="81">
        <f>IF($B439="","",IFERROR(INDEX(Task_Tracker!$AB$5:$AB$1004,MATCH($B439,Task_Tracker!$A$5:$A$1004,0)),""))</f>
        <v/>
      </c>
      <c r="U439" s="78">
        <f>IF($B439="","",IFERROR(INDEX(Task_Tracker!$F$5:$F$1004,MATCH($B439,Task_Tracker!$A$5:$A$1004,0)),""))</f>
        <v/>
      </c>
      <c r="V439" s="78">
        <f>IF($B439="","",IFERROR(INDEX(Task_Tracker!$I$5:$I$1004,MATCH($B439,Task_Tracker!$A$5:$A$1004,0)),""))</f>
        <v/>
      </c>
      <c r="W439" s="81">
        <f>IF(OR($D439="",$B439=""),"",$D439&amp;" | "&amp;$B439)</f>
        <v/>
      </c>
      <c r="X439" s="85">
        <f>IF($K439="","",TEXT($K439,"yyyy-mm"))</f>
        <v/>
      </c>
      <c r="Y439" s="81">
        <f>IF(OR($A439="",$T439=""),"","Included in Manager_Report")</f>
        <v/>
      </c>
    </row>
    <row r="440" ht="15" customHeight="1" s="40">
      <c r="A440" s="65">
        <f>IF(COUNTA(B440:G440)=0,"","STP-"&amp;TEXT(ROW()-4,"0000"))</f>
        <v/>
      </c>
      <c r="B440" s="78" t="n"/>
      <c r="C440" s="67">
        <f>IF($B440="","",IFERROR(INDEX(Task_Tracker!$D$5:$D$1004,MATCH($B440,Task_Tracker!$A$5:$A$1004,0)),""))</f>
        <v/>
      </c>
      <c r="D440" s="67">
        <f>IF($B440="","",IFERROR(INDEX(Task_Tracker!$B$5:$B$1004,MATCH($B440,Task_Tracker!$A$5:$A$1004,0)),""))</f>
        <v/>
      </c>
      <c r="E440" s="81" t="n"/>
      <c r="F440" s="81" t="n"/>
      <c r="G440" s="78" t="n"/>
      <c r="H440" s="78" t="n"/>
      <c r="I440" s="67">
        <f>IF($H440="","",IFERROR(INDEX(Action_Status_Map!$B$5:$B$11,MATCH($H440,Action_Status_Map!$A$5:$A$11,0)),""))</f>
        <v/>
      </c>
      <c r="J440" s="82" t="n"/>
      <c r="K440" s="82" t="n"/>
      <c r="L440" s="82" t="n"/>
      <c r="M440" s="83" t="n"/>
      <c r="N440" s="83" t="n"/>
      <c r="O440" s="66">
        <f>IF(OR($M440="",$N440=""),"",$N440-$M440)</f>
        <v/>
      </c>
      <c r="P440" s="84">
        <f>IF($J440="","",IF($L440&lt;&gt;"",$L440-$J440,TODAY()-$J440))</f>
        <v/>
      </c>
      <c r="Q440" s="85">
        <f>IF(OR($K440="",$H440="Completed",$H440="Cancelled"),"",IF(AND($K440&lt;TODAY(),$H440&lt;&gt;"Completed",$H440&lt;&gt;"Cancelled"),"Overdue","On Track"))</f>
        <v/>
      </c>
      <c r="R440" s="81" t="n"/>
      <c r="S440" s="81">
        <f>IF($B440="","",IFERROR(INDEX(Task_Tracker!$AA$5:$AA$1004,MATCH($B440,Task_Tracker!$A$5:$A$1004,0)),""))</f>
        <v/>
      </c>
      <c r="T440" s="81">
        <f>IF($B440="","",IFERROR(INDEX(Task_Tracker!$AB$5:$AB$1004,MATCH($B440,Task_Tracker!$A$5:$A$1004,0)),""))</f>
        <v/>
      </c>
      <c r="U440" s="78">
        <f>IF($B440="","",IFERROR(INDEX(Task_Tracker!$F$5:$F$1004,MATCH($B440,Task_Tracker!$A$5:$A$1004,0)),""))</f>
        <v/>
      </c>
      <c r="V440" s="78">
        <f>IF($B440="","",IFERROR(INDEX(Task_Tracker!$I$5:$I$1004,MATCH($B440,Task_Tracker!$A$5:$A$1004,0)),""))</f>
        <v/>
      </c>
      <c r="W440" s="81">
        <f>IF(OR($D440="",$B440=""),"",$D440&amp;" | "&amp;$B440)</f>
        <v/>
      </c>
      <c r="X440" s="85">
        <f>IF($K440="","",TEXT($K440,"yyyy-mm"))</f>
        <v/>
      </c>
      <c r="Y440" s="81">
        <f>IF(OR($A440="",$T440=""),"","Included in Manager_Report")</f>
        <v/>
      </c>
    </row>
    <row r="441" ht="15" customHeight="1" s="40">
      <c r="A441" s="65">
        <f>IF(COUNTA(B441:G441)=0,"","STP-"&amp;TEXT(ROW()-4,"0000"))</f>
        <v/>
      </c>
      <c r="B441" s="78" t="n"/>
      <c r="C441" s="67">
        <f>IF($B441="","",IFERROR(INDEX(Task_Tracker!$D$5:$D$1004,MATCH($B441,Task_Tracker!$A$5:$A$1004,0)),""))</f>
        <v/>
      </c>
      <c r="D441" s="67">
        <f>IF($B441="","",IFERROR(INDEX(Task_Tracker!$B$5:$B$1004,MATCH($B441,Task_Tracker!$A$5:$A$1004,0)),""))</f>
        <v/>
      </c>
      <c r="E441" s="81" t="n"/>
      <c r="F441" s="81" t="n"/>
      <c r="G441" s="78" t="n"/>
      <c r="H441" s="78" t="n"/>
      <c r="I441" s="67">
        <f>IF($H441="","",IFERROR(INDEX(Action_Status_Map!$B$5:$B$11,MATCH($H441,Action_Status_Map!$A$5:$A$11,0)),""))</f>
        <v/>
      </c>
      <c r="J441" s="82" t="n"/>
      <c r="K441" s="82" t="n"/>
      <c r="L441" s="82" t="n"/>
      <c r="M441" s="83" t="n"/>
      <c r="N441" s="83" t="n"/>
      <c r="O441" s="66">
        <f>IF(OR($M441="",$N441=""),"",$N441-$M441)</f>
        <v/>
      </c>
      <c r="P441" s="84">
        <f>IF($J441="","",IF($L441&lt;&gt;"",$L441-$J441,TODAY()-$J441))</f>
        <v/>
      </c>
      <c r="Q441" s="85">
        <f>IF(OR($K441="",$H441="Completed",$H441="Cancelled"),"",IF(AND($K441&lt;TODAY(),$H441&lt;&gt;"Completed",$H441&lt;&gt;"Cancelled"),"Overdue","On Track"))</f>
        <v/>
      </c>
      <c r="R441" s="81" t="n"/>
      <c r="S441" s="81">
        <f>IF($B441="","",IFERROR(INDEX(Task_Tracker!$AA$5:$AA$1004,MATCH($B441,Task_Tracker!$A$5:$A$1004,0)),""))</f>
        <v/>
      </c>
      <c r="T441" s="81">
        <f>IF($B441="","",IFERROR(INDEX(Task_Tracker!$AB$5:$AB$1004,MATCH($B441,Task_Tracker!$A$5:$A$1004,0)),""))</f>
        <v/>
      </c>
      <c r="U441" s="78">
        <f>IF($B441="","",IFERROR(INDEX(Task_Tracker!$F$5:$F$1004,MATCH($B441,Task_Tracker!$A$5:$A$1004,0)),""))</f>
        <v/>
      </c>
      <c r="V441" s="78">
        <f>IF($B441="","",IFERROR(INDEX(Task_Tracker!$I$5:$I$1004,MATCH($B441,Task_Tracker!$A$5:$A$1004,0)),""))</f>
        <v/>
      </c>
      <c r="W441" s="81">
        <f>IF(OR($D441="",$B441=""),"",$D441&amp;" | "&amp;$B441)</f>
        <v/>
      </c>
      <c r="X441" s="85">
        <f>IF($K441="","",TEXT($K441,"yyyy-mm"))</f>
        <v/>
      </c>
      <c r="Y441" s="81">
        <f>IF(OR($A441="",$T441=""),"","Included in Manager_Report")</f>
        <v/>
      </c>
    </row>
    <row r="442" ht="15" customHeight="1" s="40">
      <c r="A442" s="65">
        <f>IF(COUNTA(B442:G442)=0,"","STP-"&amp;TEXT(ROW()-4,"0000"))</f>
        <v/>
      </c>
      <c r="B442" s="78" t="n"/>
      <c r="C442" s="67">
        <f>IF($B442="","",IFERROR(INDEX(Task_Tracker!$D$5:$D$1004,MATCH($B442,Task_Tracker!$A$5:$A$1004,0)),""))</f>
        <v/>
      </c>
      <c r="D442" s="67">
        <f>IF($B442="","",IFERROR(INDEX(Task_Tracker!$B$5:$B$1004,MATCH($B442,Task_Tracker!$A$5:$A$1004,0)),""))</f>
        <v/>
      </c>
      <c r="E442" s="81" t="n"/>
      <c r="F442" s="81" t="n"/>
      <c r="G442" s="78" t="n"/>
      <c r="H442" s="78" t="n"/>
      <c r="I442" s="67">
        <f>IF($H442="","",IFERROR(INDEX(Action_Status_Map!$B$5:$B$11,MATCH($H442,Action_Status_Map!$A$5:$A$11,0)),""))</f>
        <v/>
      </c>
      <c r="J442" s="82" t="n"/>
      <c r="K442" s="82" t="n"/>
      <c r="L442" s="82" t="n"/>
      <c r="M442" s="83" t="n"/>
      <c r="N442" s="83" t="n"/>
      <c r="O442" s="66">
        <f>IF(OR($M442="",$N442=""),"",$N442-$M442)</f>
        <v/>
      </c>
      <c r="P442" s="84">
        <f>IF($J442="","",IF($L442&lt;&gt;"",$L442-$J442,TODAY()-$J442))</f>
        <v/>
      </c>
      <c r="Q442" s="85">
        <f>IF(OR($K442="",$H442="Completed",$H442="Cancelled"),"",IF(AND($K442&lt;TODAY(),$H442&lt;&gt;"Completed",$H442&lt;&gt;"Cancelled"),"Overdue","On Track"))</f>
        <v/>
      </c>
      <c r="R442" s="81" t="n"/>
      <c r="S442" s="81">
        <f>IF($B442="","",IFERROR(INDEX(Task_Tracker!$AA$5:$AA$1004,MATCH($B442,Task_Tracker!$A$5:$A$1004,0)),""))</f>
        <v/>
      </c>
      <c r="T442" s="81">
        <f>IF($B442="","",IFERROR(INDEX(Task_Tracker!$AB$5:$AB$1004,MATCH($B442,Task_Tracker!$A$5:$A$1004,0)),""))</f>
        <v/>
      </c>
      <c r="U442" s="78">
        <f>IF($B442="","",IFERROR(INDEX(Task_Tracker!$F$5:$F$1004,MATCH($B442,Task_Tracker!$A$5:$A$1004,0)),""))</f>
        <v/>
      </c>
      <c r="V442" s="78">
        <f>IF($B442="","",IFERROR(INDEX(Task_Tracker!$I$5:$I$1004,MATCH($B442,Task_Tracker!$A$5:$A$1004,0)),""))</f>
        <v/>
      </c>
      <c r="W442" s="81">
        <f>IF(OR($D442="",$B442=""),"",$D442&amp;" | "&amp;$B442)</f>
        <v/>
      </c>
      <c r="X442" s="85">
        <f>IF($K442="","",TEXT($K442,"yyyy-mm"))</f>
        <v/>
      </c>
      <c r="Y442" s="81">
        <f>IF(OR($A442="",$T442=""),"","Included in Manager_Report")</f>
        <v/>
      </c>
    </row>
    <row r="443" ht="15" customHeight="1" s="40">
      <c r="A443" s="65">
        <f>IF(COUNTA(B443:G443)=0,"","STP-"&amp;TEXT(ROW()-4,"0000"))</f>
        <v/>
      </c>
      <c r="B443" s="78" t="n"/>
      <c r="C443" s="67">
        <f>IF($B443="","",IFERROR(INDEX(Task_Tracker!$D$5:$D$1004,MATCH($B443,Task_Tracker!$A$5:$A$1004,0)),""))</f>
        <v/>
      </c>
      <c r="D443" s="67">
        <f>IF($B443="","",IFERROR(INDEX(Task_Tracker!$B$5:$B$1004,MATCH($B443,Task_Tracker!$A$5:$A$1004,0)),""))</f>
        <v/>
      </c>
      <c r="E443" s="81" t="n"/>
      <c r="F443" s="81" t="n"/>
      <c r="G443" s="78" t="n"/>
      <c r="H443" s="78" t="n"/>
      <c r="I443" s="67">
        <f>IF($H443="","",IFERROR(INDEX(Action_Status_Map!$B$5:$B$11,MATCH($H443,Action_Status_Map!$A$5:$A$11,0)),""))</f>
        <v/>
      </c>
      <c r="J443" s="82" t="n"/>
      <c r="K443" s="82" t="n"/>
      <c r="L443" s="82" t="n"/>
      <c r="M443" s="83" t="n"/>
      <c r="N443" s="83" t="n"/>
      <c r="O443" s="66">
        <f>IF(OR($M443="",$N443=""),"",$N443-$M443)</f>
        <v/>
      </c>
      <c r="P443" s="84">
        <f>IF($J443="","",IF($L443&lt;&gt;"",$L443-$J443,TODAY()-$J443))</f>
        <v/>
      </c>
      <c r="Q443" s="85">
        <f>IF(OR($K443="",$H443="Completed",$H443="Cancelled"),"",IF(AND($K443&lt;TODAY(),$H443&lt;&gt;"Completed",$H443&lt;&gt;"Cancelled"),"Overdue","On Track"))</f>
        <v/>
      </c>
      <c r="R443" s="81" t="n"/>
      <c r="S443" s="81">
        <f>IF($B443="","",IFERROR(INDEX(Task_Tracker!$AA$5:$AA$1004,MATCH($B443,Task_Tracker!$A$5:$A$1004,0)),""))</f>
        <v/>
      </c>
      <c r="T443" s="81">
        <f>IF($B443="","",IFERROR(INDEX(Task_Tracker!$AB$5:$AB$1004,MATCH($B443,Task_Tracker!$A$5:$A$1004,0)),""))</f>
        <v/>
      </c>
      <c r="U443" s="78">
        <f>IF($B443="","",IFERROR(INDEX(Task_Tracker!$F$5:$F$1004,MATCH($B443,Task_Tracker!$A$5:$A$1004,0)),""))</f>
        <v/>
      </c>
      <c r="V443" s="78">
        <f>IF($B443="","",IFERROR(INDEX(Task_Tracker!$I$5:$I$1004,MATCH($B443,Task_Tracker!$A$5:$A$1004,0)),""))</f>
        <v/>
      </c>
      <c r="W443" s="81">
        <f>IF(OR($D443="",$B443=""),"",$D443&amp;" | "&amp;$B443)</f>
        <v/>
      </c>
      <c r="X443" s="85">
        <f>IF($K443="","",TEXT($K443,"yyyy-mm"))</f>
        <v/>
      </c>
      <c r="Y443" s="81">
        <f>IF(OR($A443="",$T443=""),"","Included in Manager_Report")</f>
        <v/>
      </c>
    </row>
    <row r="444" ht="15" customHeight="1" s="40">
      <c r="A444" s="65">
        <f>IF(COUNTA(B444:G444)=0,"","STP-"&amp;TEXT(ROW()-4,"0000"))</f>
        <v/>
      </c>
      <c r="B444" s="78" t="n"/>
      <c r="C444" s="67">
        <f>IF($B444="","",IFERROR(INDEX(Task_Tracker!$D$5:$D$1004,MATCH($B444,Task_Tracker!$A$5:$A$1004,0)),""))</f>
        <v/>
      </c>
      <c r="D444" s="67">
        <f>IF($B444="","",IFERROR(INDEX(Task_Tracker!$B$5:$B$1004,MATCH($B444,Task_Tracker!$A$5:$A$1004,0)),""))</f>
        <v/>
      </c>
      <c r="E444" s="81" t="n"/>
      <c r="F444" s="81" t="n"/>
      <c r="G444" s="78" t="n"/>
      <c r="H444" s="78" t="n"/>
      <c r="I444" s="67">
        <f>IF($H444="","",IFERROR(INDEX(Action_Status_Map!$B$5:$B$11,MATCH($H444,Action_Status_Map!$A$5:$A$11,0)),""))</f>
        <v/>
      </c>
      <c r="J444" s="82" t="n"/>
      <c r="K444" s="82" t="n"/>
      <c r="L444" s="82" t="n"/>
      <c r="M444" s="83" t="n"/>
      <c r="N444" s="83" t="n"/>
      <c r="O444" s="66">
        <f>IF(OR($M444="",$N444=""),"",$N444-$M444)</f>
        <v/>
      </c>
      <c r="P444" s="84">
        <f>IF($J444="","",IF($L444&lt;&gt;"",$L444-$J444,TODAY()-$J444))</f>
        <v/>
      </c>
      <c r="Q444" s="85">
        <f>IF(OR($K444="",$H444="Completed",$H444="Cancelled"),"",IF(AND($K444&lt;TODAY(),$H444&lt;&gt;"Completed",$H444&lt;&gt;"Cancelled"),"Overdue","On Track"))</f>
        <v/>
      </c>
      <c r="R444" s="81" t="n"/>
      <c r="S444" s="81">
        <f>IF($B444="","",IFERROR(INDEX(Task_Tracker!$AA$5:$AA$1004,MATCH($B444,Task_Tracker!$A$5:$A$1004,0)),""))</f>
        <v/>
      </c>
      <c r="T444" s="81">
        <f>IF($B444="","",IFERROR(INDEX(Task_Tracker!$AB$5:$AB$1004,MATCH($B444,Task_Tracker!$A$5:$A$1004,0)),""))</f>
        <v/>
      </c>
      <c r="U444" s="78">
        <f>IF($B444="","",IFERROR(INDEX(Task_Tracker!$F$5:$F$1004,MATCH($B444,Task_Tracker!$A$5:$A$1004,0)),""))</f>
        <v/>
      </c>
      <c r="V444" s="78">
        <f>IF($B444="","",IFERROR(INDEX(Task_Tracker!$I$5:$I$1004,MATCH($B444,Task_Tracker!$A$5:$A$1004,0)),""))</f>
        <v/>
      </c>
      <c r="W444" s="81">
        <f>IF(OR($D444="",$B444=""),"",$D444&amp;" | "&amp;$B444)</f>
        <v/>
      </c>
      <c r="X444" s="85">
        <f>IF($K444="","",TEXT($K444,"yyyy-mm"))</f>
        <v/>
      </c>
      <c r="Y444" s="81">
        <f>IF(OR($A444="",$T444=""),"","Included in Manager_Report")</f>
        <v/>
      </c>
    </row>
    <row r="445" ht="15" customHeight="1" s="40">
      <c r="A445" s="65">
        <f>IF(COUNTA(B445:G445)=0,"","STP-"&amp;TEXT(ROW()-4,"0000"))</f>
        <v/>
      </c>
      <c r="B445" s="78" t="n"/>
      <c r="C445" s="67">
        <f>IF($B445="","",IFERROR(INDEX(Task_Tracker!$D$5:$D$1004,MATCH($B445,Task_Tracker!$A$5:$A$1004,0)),""))</f>
        <v/>
      </c>
      <c r="D445" s="67">
        <f>IF($B445="","",IFERROR(INDEX(Task_Tracker!$B$5:$B$1004,MATCH($B445,Task_Tracker!$A$5:$A$1004,0)),""))</f>
        <v/>
      </c>
      <c r="E445" s="81" t="n"/>
      <c r="F445" s="81" t="n"/>
      <c r="G445" s="78" t="n"/>
      <c r="H445" s="78" t="n"/>
      <c r="I445" s="67">
        <f>IF($H445="","",IFERROR(INDEX(Action_Status_Map!$B$5:$B$11,MATCH($H445,Action_Status_Map!$A$5:$A$11,0)),""))</f>
        <v/>
      </c>
      <c r="J445" s="82" t="n"/>
      <c r="K445" s="82" t="n"/>
      <c r="L445" s="82" t="n"/>
      <c r="M445" s="83" t="n"/>
      <c r="N445" s="83" t="n"/>
      <c r="O445" s="66">
        <f>IF(OR($M445="",$N445=""),"",$N445-$M445)</f>
        <v/>
      </c>
      <c r="P445" s="84">
        <f>IF($J445="","",IF($L445&lt;&gt;"",$L445-$J445,TODAY()-$J445))</f>
        <v/>
      </c>
      <c r="Q445" s="85">
        <f>IF(OR($K445="",$H445="Completed",$H445="Cancelled"),"",IF(AND($K445&lt;TODAY(),$H445&lt;&gt;"Completed",$H445&lt;&gt;"Cancelled"),"Overdue","On Track"))</f>
        <v/>
      </c>
      <c r="R445" s="81" t="n"/>
      <c r="S445" s="81">
        <f>IF($B445="","",IFERROR(INDEX(Task_Tracker!$AA$5:$AA$1004,MATCH($B445,Task_Tracker!$A$5:$A$1004,0)),""))</f>
        <v/>
      </c>
      <c r="T445" s="81">
        <f>IF($B445="","",IFERROR(INDEX(Task_Tracker!$AB$5:$AB$1004,MATCH($B445,Task_Tracker!$A$5:$A$1004,0)),""))</f>
        <v/>
      </c>
      <c r="U445" s="78">
        <f>IF($B445="","",IFERROR(INDEX(Task_Tracker!$F$5:$F$1004,MATCH($B445,Task_Tracker!$A$5:$A$1004,0)),""))</f>
        <v/>
      </c>
      <c r="V445" s="78">
        <f>IF($B445="","",IFERROR(INDEX(Task_Tracker!$I$5:$I$1004,MATCH($B445,Task_Tracker!$A$5:$A$1004,0)),""))</f>
        <v/>
      </c>
      <c r="W445" s="81">
        <f>IF(OR($D445="",$B445=""),"",$D445&amp;" | "&amp;$B445)</f>
        <v/>
      </c>
      <c r="X445" s="85">
        <f>IF($K445="","",TEXT($K445,"yyyy-mm"))</f>
        <v/>
      </c>
      <c r="Y445" s="81">
        <f>IF(OR($A445="",$T445=""),"","Included in Manager_Report")</f>
        <v/>
      </c>
    </row>
    <row r="446" ht="15" customHeight="1" s="40">
      <c r="A446" s="65">
        <f>IF(COUNTA(B446:G446)=0,"","STP-"&amp;TEXT(ROW()-4,"0000"))</f>
        <v/>
      </c>
      <c r="B446" s="78" t="n"/>
      <c r="C446" s="67">
        <f>IF($B446="","",IFERROR(INDEX(Task_Tracker!$D$5:$D$1004,MATCH($B446,Task_Tracker!$A$5:$A$1004,0)),""))</f>
        <v/>
      </c>
      <c r="D446" s="67">
        <f>IF($B446="","",IFERROR(INDEX(Task_Tracker!$B$5:$B$1004,MATCH($B446,Task_Tracker!$A$5:$A$1004,0)),""))</f>
        <v/>
      </c>
      <c r="E446" s="81" t="n"/>
      <c r="F446" s="81" t="n"/>
      <c r="G446" s="78" t="n"/>
      <c r="H446" s="78" t="n"/>
      <c r="I446" s="67">
        <f>IF($H446="","",IFERROR(INDEX(Action_Status_Map!$B$5:$B$11,MATCH($H446,Action_Status_Map!$A$5:$A$11,0)),""))</f>
        <v/>
      </c>
      <c r="J446" s="82" t="n"/>
      <c r="K446" s="82" t="n"/>
      <c r="L446" s="82" t="n"/>
      <c r="M446" s="83" t="n"/>
      <c r="N446" s="83" t="n"/>
      <c r="O446" s="66">
        <f>IF(OR($M446="",$N446=""),"",$N446-$M446)</f>
        <v/>
      </c>
      <c r="P446" s="84">
        <f>IF($J446="","",IF($L446&lt;&gt;"",$L446-$J446,TODAY()-$J446))</f>
        <v/>
      </c>
      <c r="Q446" s="85">
        <f>IF(OR($K446="",$H446="Completed",$H446="Cancelled"),"",IF(AND($K446&lt;TODAY(),$H446&lt;&gt;"Completed",$H446&lt;&gt;"Cancelled"),"Overdue","On Track"))</f>
        <v/>
      </c>
      <c r="R446" s="81" t="n"/>
      <c r="S446" s="81">
        <f>IF($B446="","",IFERROR(INDEX(Task_Tracker!$AA$5:$AA$1004,MATCH($B446,Task_Tracker!$A$5:$A$1004,0)),""))</f>
        <v/>
      </c>
      <c r="T446" s="81">
        <f>IF($B446="","",IFERROR(INDEX(Task_Tracker!$AB$5:$AB$1004,MATCH($B446,Task_Tracker!$A$5:$A$1004,0)),""))</f>
        <v/>
      </c>
      <c r="U446" s="78">
        <f>IF($B446="","",IFERROR(INDEX(Task_Tracker!$F$5:$F$1004,MATCH($B446,Task_Tracker!$A$5:$A$1004,0)),""))</f>
        <v/>
      </c>
      <c r="V446" s="78">
        <f>IF($B446="","",IFERROR(INDEX(Task_Tracker!$I$5:$I$1004,MATCH($B446,Task_Tracker!$A$5:$A$1004,0)),""))</f>
        <v/>
      </c>
      <c r="W446" s="81">
        <f>IF(OR($D446="",$B446=""),"",$D446&amp;" | "&amp;$B446)</f>
        <v/>
      </c>
      <c r="X446" s="85">
        <f>IF($K446="","",TEXT($K446,"yyyy-mm"))</f>
        <v/>
      </c>
      <c r="Y446" s="81">
        <f>IF(OR($A446="",$T446=""),"","Included in Manager_Report")</f>
        <v/>
      </c>
    </row>
    <row r="447" ht="15" customHeight="1" s="40">
      <c r="A447" s="65">
        <f>IF(COUNTA(B447:G447)=0,"","STP-"&amp;TEXT(ROW()-4,"0000"))</f>
        <v/>
      </c>
      <c r="B447" s="78" t="n"/>
      <c r="C447" s="67">
        <f>IF($B447="","",IFERROR(INDEX(Task_Tracker!$D$5:$D$1004,MATCH($B447,Task_Tracker!$A$5:$A$1004,0)),""))</f>
        <v/>
      </c>
      <c r="D447" s="67">
        <f>IF($B447="","",IFERROR(INDEX(Task_Tracker!$B$5:$B$1004,MATCH($B447,Task_Tracker!$A$5:$A$1004,0)),""))</f>
        <v/>
      </c>
      <c r="E447" s="81" t="n"/>
      <c r="F447" s="81" t="n"/>
      <c r="G447" s="78" t="n"/>
      <c r="H447" s="78" t="n"/>
      <c r="I447" s="67">
        <f>IF($H447="","",IFERROR(INDEX(Action_Status_Map!$B$5:$B$11,MATCH($H447,Action_Status_Map!$A$5:$A$11,0)),""))</f>
        <v/>
      </c>
      <c r="J447" s="82" t="n"/>
      <c r="K447" s="82" t="n"/>
      <c r="L447" s="82" t="n"/>
      <c r="M447" s="83" t="n"/>
      <c r="N447" s="83" t="n"/>
      <c r="O447" s="66">
        <f>IF(OR($M447="",$N447=""),"",$N447-$M447)</f>
        <v/>
      </c>
      <c r="P447" s="84">
        <f>IF($J447="","",IF($L447&lt;&gt;"",$L447-$J447,TODAY()-$J447))</f>
        <v/>
      </c>
      <c r="Q447" s="85">
        <f>IF(OR($K447="",$H447="Completed",$H447="Cancelled"),"",IF(AND($K447&lt;TODAY(),$H447&lt;&gt;"Completed",$H447&lt;&gt;"Cancelled"),"Overdue","On Track"))</f>
        <v/>
      </c>
      <c r="R447" s="81" t="n"/>
      <c r="S447" s="81">
        <f>IF($B447="","",IFERROR(INDEX(Task_Tracker!$AA$5:$AA$1004,MATCH($B447,Task_Tracker!$A$5:$A$1004,0)),""))</f>
        <v/>
      </c>
      <c r="T447" s="81">
        <f>IF($B447="","",IFERROR(INDEX(Task_Tracker!$AB$5:$AB$1004,MATCH($B447,Task_Tracker!$A$5:$A$1004,0)),""))</f>
        <v/>
      </c>
      <c r="U447" s="78">
        <f>IF($B447="","",IFERROR(INDEX(Task_Tracker!$F$5:$F$1004,MATCH($B447,Task_Tracker!$A$5:$A$1004,0)),""))</f>
        <v/>
      </c>
      <c r="V447" s="78">
        <f>IF($B447="","",IFERROR(INDEX(Task_Tracker!$I$5:$I$1004,MATCH($B447,Task_Tracker!$A$5:$A$1004,0)),""))</f>
        <v/>
      </c>
      <c r="W447" s="81">
        <f>IF(OR($D447="",$B447=""),"",$D447&amp;" | "&amp;$B447)</f>
        <v/>
      </c>
      <c r="X447" s="85">
        <f>IF($K447="","",TEXT($K447,"yyyy-mm"))</f>
        <v/>
      </c>
      <c r="Y447" s="81">
        <f>IF(OR($A447="",$T447=""),"","Included in Manager_Report")</f>
        <v/>
      </c>
    </row>
    <row r="448" ht="15" customHeight="1" s="40">
      <c r="A448" s="65">
        <f>IF(COUNTA(B448:G448)=0,"","STP-"&amp;TEXT(ROW()-4,"0000"))</f>
        <v/>
      </c>
      <c r="B448" s="78" t="n"/>
      <c r="C448" s="67">
        <f>IF($B448="","",IFERROR(INDEX(Task_Tracker!$D$5:$D$1004,MATCH($B448,Task_Tracker!$A$5:$A$1004,0)),""))</f>
        <v/>
      </c>
      <c r="D448" s="67">
        <f>IF($B448="","",IFERROR(INDEX(Task_Tracker!$B$5:$B$1004,MATCH($B448,Task_Tracker!$A$5:$A$1004,0)),""))</f>
        <v/>
      </c>
      <c r="E448" s="81" t="n"/>
      <c r="F448" s="81" t="n"/>
      <c r="G448" s="78" t="n"/>
      <c r="H448" s="78" t="n"/>
      <c r="I448" s="67">
        <f>IF($H448="","",IFERROR(INDEX(Action_Status_Map!$B$5:$B$11,MATCH($H448,Action_Status_Map!$A$5:$A$11,0)),""))</f>
        <v/>
      </c>
      <c r="J448" s="82" t="n"/>
      <c r="K448" s="82" t="n"/>
      <c r="L448" s="82" t="n"/>
      <c r="M448" s="83" t="n"/>
      <c r="N448" s="83" t="n"/>
      <c r="O448" s="66">
        <f>IF(OR($M448="",$N448=""),"",$N448-$M448)</f>
        <v/>
      </c>
      <c r="P448" s="84">
        <f>IF($J448="","",IF($L448&lt;&gt;"",$L448-$J448,TODAY()-$J448))</f>
        <v/>
      </c>
      <c r="Q448" s="85">
        <f>IF(OR($K448="",$H448="Completed",$H448="Cancelled"),"",IF(AND($K448&lt;TODAY(),$H448&lt;&gt;"Completed",$H448&lt;&gt;"Cancelled"),"Overdue","On Track"))</f>
        <v/>
      </c>
      <c r="R448" s="81" t="n"/>
      <c r="S448" s="81">
        <f>IF($B448="","",IFERROR(INDEX(Task_Tracker!$AA$5:$AA$1004,MATCH($B448,Task_Tracker!$A$5:$A$1004,0)),""))</f>
        <v/>
      </c>
      <c r="T448" s="81">
        <f>IF($B448="","",IFERROR(INDEX(Task_Tracker!$AB$5:$AB$1004,MATCH($B448,Task_Tracker!$A$5:$A$1004,0)),""))</f>
        <v/>
      </c>
      <c r="U448" s="78">
        <f>IF($B448="","",IFERROR(INDEX(Task_Tracker!$F$5:$F$1004,MATCH($B448,Task_Tracker!$A$5:$A$1004,0)),""))</f>
        <v/>
      </c>
      <c r="V448" s="78">
        <f>IF($B448="","",IFERROR(INDEX(Task_Tracker!$I$5:$I$1004,MATCH($B448,Task_Tracker!$A$5:$A$1004,0)),""))</f>
        <v/>
      </c>
      <c r="W448" s="81">
        <f>IF(OR($D448="",$B448=""),"",$D448&amp;" | "&amp;$B448)</f>
        <v/>
      </c>
      <c r="X448" s="85">
        <f>IF($K448="","",TEXT($K448,"yyyy-mm"))</f>
        <v/>
      </c>
      <c r="Y448" s="81">
        <f>IF(OR($A448="",$T448=""),"","Included in Manager_Report")</f>
        <v/>
      </c>
    </row>
    <row r="449" ht="15" customHeight="1" s="40">
      <c r="A449" s="65">
        <f>IF(COUNTA(B449:G449)=0,"","STP-"&amp;TEXT(ROW()-4,"0000"))</f>
        <v/>
      </c>
      <c r="B449" s="78" t="n"/>
      <c r="C449" s="67">
        <f>IF($B449="","",IFERROR(INDEX(Task_Tracker!$D$5:$D$1004,MATCH($B449,Task_Tracker!$A$5:$A$1004,0)),""))</f>
        <v/>
      </c>
      <c r="D449" s="67">
        <f>IF($B449="","",IFERROR(INDEX(Task_Tracker!$B$5:$B$1004,MATCH($B449,Task_Tracker!$A$5:$A$1004,0)),""))</f>
        <v/>
      </c>
      <c r="E449" s="81" t="n"/>
      <c r="F449" s="81" t="n"/>
      <c r="G449" s="78" t="n"/>
      <c r="H449" s="78" t="n"/>
      <c r="I449" s="67">
        <f>IF($H449="","",IFERROR(INDEX(Action_Status_Map!$B$5:$B$11,MATCH($H449,Action_Status_Map!$A$5:$A$11,0)),""))</f>
        <v/>
      </c>
      <c r="J449" s="82" t="n"/>
      <c r="K449" s="82" t="n"/>
      <c r="L449" s="82" t="n"/>
      <c r="M449" s="83" t="n"/>
      <c r="N449" s="83" t="n"/>
      <c r="O449" s="66">
        <f>IF(OR($M449="",$N449=""),"",$N449-$M449)</f>
        <v/>
      </c>
      <c r="P449" s="84">
        <f>IF($J449="","",IF($L449&lt;&gt;"",$L449-$J449,TODAY()-$J449))</f>
        <v/>
      </c>
      <c r="Q449" s="85">
        <f>IF(OR($K449="",$H449="Completed",$H449="Cancelled"),"",IF(AND($K449&lt;TODAY(),$H449&lt;&gt;"Completed",$H449&lt;&gt;"Cancelled"),"Overdue","On Track"))</f>
        <v/>
      </c>
      <c r="R449" s="81" t="n"/>
      <c r="S449" s="81">
        <f>IF($B449="","",IFERROR(INDEX(Task_Tracker!$AA$5:$AA$1004,MATCH($B449,Task_Tracker!$A$5:$A$1004,0)),""))</f>
        <v/>
      </c>
      <c r="T449" s="81">
        <f>IF($B449="","",IFERROR(INDEX(Task_Tracker!$AB$5:$AB$1004,MATCH($B449,Task_Tracker!$A$5:$A$1004,0)),""))</f>
        <v/>
      </c>
      <c r="U449" s="78">
        <f>IF($B449="","",IFERROR(INDEX(Task_Tracker!$F$5:$F$1004,MATCH($B449,Task_Tracker!$A$5:$A$1004,0)),""))</f>
        <v/>
      </c>
      <c r="V449" s="78">
        <f>IF($B449="","",IFERROR(INDEX(Task_Tracker!$I$5:$I$1004,MATCH($B449,Task_Tracker!$A$5:$A$1004,0)),""))</f>
        <v/>
      </c>
      <c r="W449" s="81">
        <f>IF(OR($D449="",$B449=""),"",$D449&amp;" | "&amp;$B449)</f>
        <v/>
      </c>
      <c r="X449" s="85">
        <f>IF($K449="","",TEXT($K449,"yyyy-mm"))</f>
        <v/>
      </c>
      <c r="Y449" s="81">
        <f>IF(OR($A449="",$T449=""),"","Included in Manager_Report")</f>
        <v/>
      </c>
    </row>
    <row r="450" ht="15" customHeight="1" s="40">
      <c r="A450" s="65">
        <f>IF(COUNTA(B450:G450)=0,"","STP-"&amp;TEXT(ROW()-4,"0000"))</f>
        <v/>
      </c>
      <c r="B450" s="78" t="n"/>
      <c r="C450" s="67">
        <f>IF($B450="","",IFERROR(INDEX(Task_Tracker!$D$5:$D$1004,MATCH($B450,Task_Tracker!$A$5:$A$1004,0)),""))</f>
        <v/>
      </c>
      <c r="D450" s="67">
        <f>IF($B450="","",IFERROR(INDEX(Task_Tracker!$B$5:$B$1004,MATCH($B450,Task_Tracker!$A$5:$A$1004,0)),""))</f>
        <v/>
      </c>
      <c r="E450" s="81" t="n"/>
      <c r="F450" s="81" t="n"/>
      <c r="G450" s="78" t="n"/>
      <c r="H450" s="78" t="n"/>
      <c r="I450" s="67">
        <f>IF($H450="","",IFERROR(INDEX(Action_Status_Map!$B$5:$B$11,MATCH($H450,Action_Status_Map!$A$5:$A$11,0)),""))</f>
        <v/>
      </c>
      <c r="J450" s="82" t="n"/>
      <c r="K450" s="82" t="n"/>
      <c r="L450" s="82" t="n"/>
      <c r="M450" s="83" t="n"/>
      <c r="N450" s="83" t="n"/>
      <c r="O450" s="66">
        <f>IF(OR($M450="",$N450=""),"",$N450-$M450)</f>
        <v/>
      </c>
      <c r="P450" s="84">
        <f>IF($J450="","",IF($L450&lt;&gt;"",$L450-$J450,TODAY()-$J450))</f>
        <v/>
      </c>
      <c r="Q450" s="85">
        <f>IF(OR($K450="",$H450="Completed",$H450="Cancelled"),"",IF(AND($K450&lt;TODAY(),$H450&lt;&gt;"Completed",$H450&lt;&gt;"Cancelled"),"Overdue","On Track"))</f>
        <v/>
      </c>
      <c r="R450" s="81" t="n"/>
      <c r="S450" s="81">
        <f>IF($B450="","",IFERROR(INDEX(Task_Tracker!$AA$5:$AA$1004,MATCH($B450,Task_Tracker!$A$5:$A$1004,0)),""))</f>
        <v/>
      </c>
      <c r="T450" s="81">
        <f>IF($B450="","",IFERROR(INDEX(Task_Tracker!$AB$5:$AB$1004,MATCH($B450,Task_Tracker!$A$5:$A$1004,0)),""))</f>
        <v/>
      </c>
      <c r="U450" s="78">
        <f>IF($B450="","",IFERROR(INDEX(Task_Tracker!$F$5:$F$1004,MATCH($B450,Task_Tracker!$A$5:$A$1004,0)),""))</f>
        <v/>
      </c>
      <c r="V450" s="78">
        <f>IF($B450="","",IFERROR(INDEX(Task_Tracker!$I$5:$I$1004,MATCH($B450,Task_Tracker!$A$5:$A$1004,0)),""))</f>
        <v/>
      </c>
      <c r="W450" s="81">
        <f>IF(OR($D450="",$B450=""),"",$D450&amp;" | "&amp;$B450)</f>
        <v/>
      </c>
      <c r="X450" s="85">
        <f>IF($K450="","",TEXT($K450,"yyyy-mm"))</f>
        <v/>
      </c>
      <c r="Y450" s="81">
        <f>IF(OR($A450="",$T450=""),"","Included in Manager_Report")</f>
        <v/>
      </c>
    </row>
    <row r="451" ht="15" customHeight="1" s="40">
      <c r="A451" s="65">
        <f>IF(COUNTA(B451:G451)=0,"","STP-"&amp;TEXT(ROW()-4,"0000"))</f>
        <v/>
      </c>
      <c r="B451" s="78" t="n"/>
      <c r="C451" s="67">
        <f>IF($B451="","",IFERROR(INDEX(Task_Tracker!$D$5:$D$1004,MATCH($B451,Task_Tracker!$A$5:$A$1004,0)),""))</f>
        <v/>
      </c>
      <c r="D451" s="67">
        <f>IF($B451="","",IFERROR(INDEX(Task_Tracker!$B$5:$B$1004,MATCH($B451,Task_Tracker!$A$5:$A$1004,0)),""))</f>
        <v/>
      </c>
      <c r="E451" s="81" t="n"/>
      <c r="F451" s="81" t="n"/>
      <c r="G451" s="78" t="n"/>
      <c r="H451" s="78" t="n"/>
      <c r="I451" s="67">
        <f>IF($H451="","",IFERROR(INDEX(Action_Status_Map!$B$5:$B$11,MATCH($H451,Action_Status_Map!$A$5:$A$11,0)),""))</f>
        <v/>
      </c>
      <c r="J451" s="82" t="n"/>
      <c r="K451" s="82" t="n"/>
      <c r="L451" s="82" t="n"/>
      <c r="M451" s="83" t="n"/>
      <c r="N451" s="83" t="n"/>
      <c r="O451" s="66">
        <f>IF(OR($M451="",$N451=""),"",$N451-$M451)</f>
        <v/>
      </c>
      <c r="P451" s="84">
        <f>IF($J451="","",IF($L451&lt;&gt;"",$L451-$J451,TODAY()-$J451))</f>
        <v/>
      </c>
      <c r="Q451" s="85">
        <f>IF(OR($K451="",$H451="Completed",$H451="Cancelled"),"",IF(AND($K451&lt;TODAY(),$H451&lt;&gt;"Completed",$H451&lt;&gt;"Cancelled"),"Overdue","On Track"))</f>
        <v/>
      </c>
      <c r="R451" s="81" t="n"/>
      <c r="S451" s="81">
        <f>IF($B451="","",IFERROR(INDEX(Task_Tracker!$AA$5:$AA$1004,MATCH($B451,Task_Tracker!$A$5:$A$1004,0)),""))</f>
        <v/>
      </c>
      <c r="T451" s="81">
        <f>IF($B451="","",IFERROR(INDEX(Task_Tracker!$AB$5:$AB$1004,MATCH($B451,Task_Tracker!$A$5:$A$1004,0)),""))</f>
        <v/>
      </c>
      <c r="U451" s="78">
        <f>IF($B451="","",IFERROR(INDEX(Task_Tracker!$F$5:$F$1004,MATCH($B451,Task_Tracker!$A$5:$A$1004,0)),""))</f>
        <v/>
      </c>
      <c r="V451" s="78">
        <f>IF($B451="","",IFERROR(INDEX(Task_Tracker!$I$5:$I$1004,MATCH($B451,Task_Tracker!$A$5:$A$1004,0)),""))</f>
        <v/>
      </c>
      <c r="W451" s="81">
        <f>IF(OR($D451="",$B451=""),"",$D451&amp;" | "&amp;$B451)</f>
        <v/>
      </c>
      <c r="X451" s="85">
        <f>IF($K451="","",TEXT($K451,"yyyy-mm"))</f>
        <v/>
      </c>
      <c r="Y451" s="81">
        <f>IF(OR($A451="",$T451=""),"","Included in Manager_Report")</f>
        <v/>
      </c>
    </row>
    <row r="452" ht="15" customHeight="1" s="40">
      <c r="A452" s="65">
        <f>IF(COUNTA(B452:G452)=0,"","STP-"&amp;TEXT(ROW()-4,"0000"))</f>
        <v/>
      </c>
      <c r="B452" s="78" t="n"/>
      <c r="C452" s="67">
        <f>IF($B452="","",IFERROR(INDEX(Task_Tracker!$D$5:$D$1004,MATCH($B452,Task_Tracker!$A$5:$A$1004,0)),""))</f>
        <v/>
      </c>
      <c r="D452" s="67">
        <f>IF($B452="","",IFERROR(INDEX(Task_Tracker!$B$5:$B$1004,MATCH($B452,Task_Tracker!$A$5:$A$1004,0)),""))</f>
        <v/>
      </c>
      <c r="E452" s="81" t="n"/>
      <c r="F452" s="81" t="n"/>
      <c r="G452" s="78" t="n"/>
      <c r="H452" s="78" t="n"/>
      <c r="I452" s="67">
        <f>IF($H452="","",IFERROR(INDEX(Action_Status_Map!$B$5:$B$11,MATCH($H452,Action_Status_Map!$A$5:$A$11,0)),""))</f>
        <v/>
      </c>
      <c r="J452" s="82" t="n"/>
      <c r="K452" s="82" t="n"/>
      <c r="L452" s="82" t="n"/>
      <c r="M452" s="83" t="n"/>
      <c r="N452" s="83" t="n"/>
      <c r="O452" s="66">
        <f>IF(OR($M452="",$N452=""),"",$N452-$M452)</f>
        <v/>
      </c>
      <c r="P452" s="84">
        <f>IF($J452="","",IF($L452&lt;&gt;"",$L452-$J452,TODAY()-$J452))</f>
        <v/>
      </c>
      <c r="Q452" s="85">
        <f>IF(OR($K452="",$H452="Completed",$H452="Cancelled"),"",IF(AND($K452&lt;TODAY(),$H452&lt;&gt;"Completed",$H452&lt;&gt;"Cancelled"),"Overdue","On Track"))</f>
        <v/>
      </c>
      <c r="R452" s="81" t="n"/>
      <c r="S452" s="81">
        <f>IF($B452="","",IFERROR(INDEX(Task_Tracker!$AA$5:$AA$1004,MATCH($B452,Task_Tracker!$A$5:$A$1004,0)),""))</f>
        <v/>
      </c>
      <c r="T452" s="81">
        <f>IF($B452="","",IFERROR(INDEX(Task_Tracker!$AB$5:$AB$1004,MATCH($B452,Task_Tracker!$A$5:$A$1004,0)),""))</f>
        <v/>
      </c>
      <c r="U452" s="78">
        <f>IF($B452="","",IFERROR(INDEX(Task_Tracker!$F$5:$F$1004,MATCH($B452,Task_Tracker!$A$5:$A$1004,0)),""))</f>
        <v/>
      </c>
      <c r="V452" s="78">
        <f>IF($B452="","",IFERROR(INDEX(Task_Tracker!$I$5:$I$1004,MATCH($B452,Task_Tracker!$A$5:$A$1004,0)),""))</f>
        <v/>
      </c>
      <c r="W452" s="81">
        <f>IF(OR($D452="",$B452=""),"",$D452&amp;" | "&amp;$B452)</f>
        <v/>
      </c>
      <c r="X452" s="85">
        <f>IF($K452="","",TEXT($K452,"yyyy-mm"))</f>
        <v/>
      </c>
      <c r="Y452" s="81">
        <f>IF(OR($A452="",$T452=""),"","Included in Manager_Report")</f>
        <v/>
      </c>
    </row>
    <row r="453" ht="15" customHeight="1" s="40">
      <c r="A453" s="65">
        <f>IF(COUNTA(B453:G453)=0,"","STP-"&amp;TEXT(ROW()-4,"0000"))</f>
        <v/>
      </c>
      <c r="B453" s="78" t="n"/>
      <c r="C453" s="67">
        <f>IF($B453="","",IFERROR(INDEX(Task_Tracker!$D$5:$D$1004,MATCH($B453,Task_Tracker!$A$5:$A$1004,0)),""))</f>
        <v/>
      </c>
      <c r="D453" s="67">
        <f>IF($B453="","",IFERROR(INDEX(Task_Tracker!$B$5:$B$1004,MATCH($B453,Task_Tracker!$A$5:$A$1004,0)),""))</f>
        <v/>
      </c>
      <c r="E453" s="81" t="n"/>
      <c r="F453" s="81" t="n"/>
      <c r="G453" s="78" t="n"/>
      <c r="H453" s="78" t="n"/>
      <c r="I453" s="67">
        <f>IF($H453="","",IFERROR(INDEX(Action_Status_Map!$B$5:$B$11,MATCH($H453,Action_Status_Map!$A$5:$A$11,0)),""))</f>
        <v/>
      </c>
      <c r="J453" s="82" t="n"/>
      <c r="K453" s="82" t="n"/>
      <c r="L453" s="82" t="n"/>
      <c r="M453" s="83" t="n"/>
      <c r="N453" s="83" t="n"/>
      <c r="O453" s="66">
        <f>IF(OR($M453="",$N453=""),"",$N453-$M453)</f>
        <v/>
      </c>
      <c r="P453" s="84">
        <f>IF($J453="","",IF($L453&lt;&gt;"",$L453-$J453,TODAY()-$J453))</f>
        <v/>
      </c>
      <c r="Q453" s="85">
        <f>IF(OR($K453="",$H453="Completed",$H453="Cancelled"),"",IF(AND($K453&lt;TODAY(),$H453&lt;&gt;"Completed",$H453&lt;&gt;"Cancelled"),"Overdue","On Track"))</f>
        <v/>
      </c>
      <c r="R453" s="81" t="n"/>
      <c r="S453" s="81">
        <f>IF($B453="","",IFERROR(INDEX(Task_Tracker!$AA$5:$AA$1004,MATCH($B453,Task_Tracker!$A$5:$A$1004,0)),""))</f>
        <v/>
      </c>
      <c r="T453" s="81">
        <f>IF($B453="","",IFERROR(INDEX(Task_Tracker!$AB$5:$AB$1004,MATCH($B453,Task_Tracker!$A$5:$A$1004,0)),""))</f>
        <v/>
      </c>
      <c r="U453" s="78">
        <f>IF($B453="","",IFERROR(INDEX(Task_Tracker!$F$5:$F$1004,MATCH($B453,Task_Tracker!$A$5:$A$1004,0)),""))</f>
        <v/>
      </c>
      <c r="V453" s="78">
        <f>IF($B453="","",IFERROR(INDEX(Task_Tracker!$I$5:$I$1004,MATCH($B453,Task_Tracker!$A$5:$A$1004,0)),""))</f>
        <v/>
      </c>
      <c r="W453" s="81">
        <f>IF(OR($D453="",$B453=""),"",$D453&amp;" | "&amp;$B453)</f>
        <v/>
      </c>
      <c r="X453" s="85">
        <f>IF($K453="","",TEXT($K453,"yyyy-mm"))</f>
        <v/>
      </c>
      <c r="Y453" s="81">
        <f>IF(OR($A453="",$T453=""),"","Included in Manager_Report")</f>
        <v/>
      </c>
    </row>
    <row r="454" ht="15" customHeight="1" s="40">
      <c r="A454" s="65">
        <f>IF(COUNTA(B454:G454)=0,"","STP-"&amp;TEXT(ROW()-4,"0000"))</f>
        <v/>
      </c>
      <c r="B454" s="78" t="n"/>
      <c r="C454" s="67">
        <f>IF($B454="","",IFERROR(INDEX(Task_Tracker!$D$5:$D$1004,MATCH($B454,Task_Tracker!$A$5:$A$1004,0)),""))</f>
        <v/>
      </c>
      <c r="D454" s="67">
        <f>IF($B454="","",IFERROR(INDEX(Task_Tracker!$B$5:$B$1004,MATCH($B454,Task_Tracker!$A$5:$A$1004,0)),""))</f>
        <v/>
      </c>
      <c r="E454" s="81" t="n"/>
      <c r="F454" s="81" t="n"/>
      <c r="G454" s="78" t="n"/>
      <c r="H454" s="78" t="n"/>
      <c r="I454" s="67">
        <f>IF($H454="","",IFERROR(INDEX(Action_Status_Map!$B$5:$B$11,MATCH($H454,Action_Status_Map!$A$5:$A$11,0)),""))</f>
        <v/>
      </c>
      <c r="J454" s="82" t="n"/>
      <c r="K454" s="82" t="n"/>
      <c r="L454" s="82" t="n"/>
      <c r="M454" s="83" t="n"/>
      <c r="N454" s="83" t="n"/>
      <c r="O454" s="66">
        <f>IF(OR($M454="",$N454=""),"",$N454-$M454)</f>
        <v/>
      </c>
      <c r="P454" s="84">
        <f>IF($J454="","",IF($L454&lt;&gt;"",$L454-$J454,TODAY()-$J454))</f>
        <v/>
      </c>
      <c r="Q454" s="85">
        <f>IF(OR($K454="",$H454="Completed",$H454="Cancelled"),"",IF(AND($K454&lt;TODAY(),$H454&lt;&gt;"Completed",$H454&lt;&gt;"Cancelled"),"Overdue","On Track"))</f>
        <v/>
      </c>
      <c r="R454" s="81" t="n"/>
      <c r="S454" s="81">
        <f>IF($B454="","",IFERROR(INDEX(Task_Tracker!$AA$5:$AA$1004,MATCH($B454,Task_Tracker!$A$5:$A$1004,0)),""))</f>
        <v/>
      </c>
      <c r="T454" s="81">
        <f>IF($B454="","",IFERROR(INDEX(Task_Tracker!$AB$5:$AB$1004,MATCH($B454,Task_Tracker!$A$5:$A$1004,0)),""))</f>
        <v/>
      </c>
      <c r="U454" s="78">
        <f>IF($B454="","",IFERROR(INDEX(Task_Tracker!$F$5:$F$1004,MATCH($B454,Task_Tracker!$A$5:$A$1004,0)),""))</f>
        <v/>
      </c>
      <c r="V454" s="78">
        <f>IF($B454="","",IFERROR(INDEX(Task_Tracker!$I$5:$I$1004,MATCH($B454,Task_Tracker!$A$5:$A$1004,0)),""))</f>
        <v/>
      </c>
      <c r="W454" s="81">
        <f>IF(OR($D454="",$B454=""),"",$D454&amp;" | "&amp;$B454)</f>
        <v/>
      </c>
      <c r="X454" s="85">
        <f>IF($K454="","",TEXT($K454,"yyyy-mm"))</f>
        <v/>
      </c>
      <c r="Y454" s="81">
        <f>IF(OR($A454="",$T454=""),"","Included in Manager_Report")</f>
        <v/>
      </c>
    </row>
    <row r="455" ht="15" customHeight="1" s="40">
      <c r="A455" s="65">
        <f>IF(COUNTA(B455:G455)=0,"","STP-"&amp;TEXT(ROW()-4,"0000"))</f>
        <v/>
      </c>
      <c r="B455" s="78" t="n"/>
      <c r="C455" s="67">
        <f>IF($B455="","",IFERROR(INDEX(Task_Tracker!$D$5:$D$1004,MATCH($B455,Task_Tracker!$A$5:$A$1004,0)),""))</f>
        <v/>
      </c>
      <c r="D455" s="67">
        <f>IF($B455="","",IFERROR(INDEX(Task_Tracker!$B$5:$B$1004,MATCH($B455,Task_Tracker!$A$5:$A$1004,0)),""))</f>
        <v/>
      </c>
      <c r="E455" s="81" t="n"/>
      <c r="F455" s="81" t="n"/>
      <c r="G455" s="78" t="n"/>
      <c r="H455" s="78" t="n"/>
      <c r="I455" s="67">
        <f>IF($H455="","",IFERROR(INDEX(Action_Status_Map!$B$5:$B$11,MATCH($H455,Action_Status_Map!$A$5:$A$11,0)),""))</f>
        <v/>
      </c>
      <c r="J455" s="82" t="n"/>
      <c r="K455" s="82" t="n"/>
      <c r="L455" s="82" t="n"/>
      <c r="M455" s="83" t="n"/>
      <c r="N455" s="83" t="n"/>
      <c r="O455" s="66">
        <f>IF(OR($M455="",$N455=""),"",$N455-$M455)</f>
        <v/>
      </c>
      <c r="P455" s="84">
        <f>IF($J455="","",IF($L455&lt;&gt;"",$L455-$J455,TODAY()-$J455))</f>
        <v/>
      </c>
      <c r="Q455" s="85">
        <f>IF(OR($K455="",$H455="Completed",$H455="Cancelled"),"",IF(AND($K455&lt;TODAY(),$H455&lt;&gt;"Completed",$H455&lt;&gt;"Cancelled"),"Overdue","On Track"))</f>
        <v/>
      </c>
      <c r="R455" s="81" t="n"/>
      <c r="S455" s="81">
        <f>IF($B455="","",IFERROR(INDEX(Task_Tracker!$AA$5:$AA$1004,MATCH($B455,Task_Tracker!$A$5:$A$1004,0)),""))</f>
        <v/>
      </c>
      <c r="T455" s="81">
        <f>IF($B455="","",IFERROR(INDEX(Task_Tracker!$AB$5:$AB$1004,MATCH($B455,Task_Tracker!$A$5:$A$1004,0)),""))</f>
        <v/>
      </c>
      <c r="U455" s="78">
        <f>IF($B455="","",IFERROR(INDEX(Task_Tracker!$F$5:$F$1004,MATCH($B455,Task_Tracker!$A$5:$A$1004,0)),""))</f>
        <v/>
      </c>
      <c r="V455" s="78">
        <f>IF($B455="","",IFERROR(INDEX(Task_Tracker!$I$5:$I$1004,MATCH($B455,Task_Tracker!$A$5:$A$1004,0)),""))</f>
        <v/>
      </c>
      <c r="W455" s="81">
        <f>IF(OR($D455="",$B455=""),"",$D455&amp;" | "&amp;$B455)</f>
        <v/>
      </c>
      <c r="X455" s="85">
        <f>IF($K455="","",TEXT($K455,"yyyy-mm"))</f>
        <v/>
      </c>
      <c r="Y455" s="81">
        <f>IF(OR($A455="",$T455=""),"","Included in Manager_Report")</f>
        <v/>
      </c>
    </row>
    <row r="456" ht="15" customHeight="1" s="40">
      <c r="A456" s="65">
        <f>IF(COUNTA(B456:G456)=0,"","STP-"&amp;TEXT(ROW()-4,"0000"))</f>
        <v/>
      </c>
      <c r="B456" s="78" t="n"/>
      <c r="C456" s="67">
        <f>IF($B456="","",IFERROR(INDEX(Task_Tracker!$D$5:$D$1004,MATCH($B456,Task_Tracker!$A$5:$A$1004,0)),""))</f>
        <v/>
      </c>
      <c r="D456" s="67">
        <f>IF($B456="","",IFERROR(INDEX(Task_Tracker!$B$5:$B$1004,MATCH($B456,Task_Tracker!$A$5:$A$1004,0)),""))</f>
        <v/>
      </c>
      <c r="E456" s="81" t="n"/>
      <c r="F456" s="81" t="n"/>
      <c r="G456" s="78" t="n"/>
      <c r="H456" s="78" t="n"/>
      <c r="I456" s="67">
        <f>IF($H456="","",IFERROR(INDEX(Action_Status_Map!$B$5:$B$11,MATCH($H456,Action_Status_Map!$A$5:$A$11,0)),""))</f>
        <v/>
      </c>
      <c r="J456" s="82" t="n"/>
      <c r="K456" s="82" t="n"/>
      <c r="L456" s="82" t="n"/>
      <c r="M456" s="83" t="n"/>
      <c r="N456" s="83" t="n"/>
      <c r="O456" s="66">
        <f>IF(OR($M456="",$N456=""),"",$N456-$M456)</f>
        <v/>
      </c>
      <c r="P456" s="84">
        <f>IF($J456="","",IF($L456&lt;&gt;"",$L456-$J456,TODAY()-$J456))</f>
        <v/>
      </c>
      <c r="Q456" s="85">
        <f>IF(OR($K456="",$H456="Completed",$H456="Cancelled"),"",IF(AND($K456&lt;TODAY(),$H456&lt;&gt;"Completed",$H456&lt;&gt;"Cancelled"),"Overdue","On Track"))</f>
        <v/>
      </c>
      <c r="R456" s="81" t="n"/>
      <c r="S456" s="81">
        <f>IF($B456="","",IFERROR(INDEX(Task_Tracker!$AA$5:$AA$1004,MATCH($B456,Task_Tracker!$A$5:$A$1004,0)),""))</f>
        <v/>
      </c>
      <c r="T456" s="81">
        <f>IF($B456="","",IFERROR(INDEX(Task_Tracker!$AB$5:$AB$1004,MATCH($B456,Task_Tracker!$A$5:$A$1004,0)),""))</f>
        <v/>
      </c>
      <c r="U456" s="78">
        <f>IF($B456="","",IFERROR(INDEX(Task_Tracker!$F$5:$F$1004,MATCH($B456,Task_Tracker!$A$5:$A$1004,0)),""))</f>
        <v/>
      </c>
      <c r="V456" s="78">
        <f>IF($B456="","",IFERROR(INDEX(Task_Tracker!$I$5:$I$1004,MATCH($B456,Task_Tracker!$A$5:$A$1004,0)),""))</f>
        <v/>
      </c>
      <c r="W456" s="81">
        <f>IF(OR($D456="",$B456=""),"",$D456&amp;" | "&amp;$B456)</f>
        <v/>
      </c>
      <c r="X456" s="85">
        <f>IF($K456="","",TEXT($K456,"yyyy-mm"))</f>
        <v/>
      </c>
      <c r="Y456" s="81">
        <f>IF(OR($A456="",$T456=""),"","Included in Manager_Report")</f>
        <v/>
      </c>
    </row>
    <row r="457" ht="15" customHeight="1" s="40">
      <c r="A457" s="65">
        <f>IF(COUNTA(B457:G457)=0,"","STP-"&amp;TEXT(ROW()-4,"0000"))</f>
        <v/>
      </c>
      <c r="B457" s="78" t="n"/>
      <c r="C457" s="67">
        <f>IF($B457="","",IFERROR(INDEX(Task_Tracker!$D$5:$D$1004,MATCH($B457,Task_Tracker!$A$5:$A$1004,0)),""))</f>
        <v/>
      </c>
      <c r="D457" s="67">
        <f>IF($B457="","",IFERROR(INDEX(Task_Tracker!$B$5:$B$1004,MATCH($B457,Task_Tracker!$A$5:$A$1004,0)),""))</f>
        <v/>
      </c>
      <c r="E457" s="81" t="n"/>
      <c r="F457" s="81" t="n"/>
      <c r="G457" s="78" t="n"/>
      <c r="H457" s="78" t="n"/>
      <c r="I457" s="67">
        <f>IF($H457="","",IFERROR(INDEX(Action_Status_Map!$B$5:$B$11,MATCH($H457,Action_Status_Map!$A$5:$A$11,0)),""))</f>
        <v/>
      </c>
      <c r="J457" s="82" t="n"/>
      <c r="K457" s="82" t="n"/>
      <c r="L457" s="82" t="n"/>
      <c r="M457" s="83" t="n"/>
      <c r="N457" s="83" t="n"/>
      <c r="O457" s="66">
        <f>IF(OR($M457="",$N457=""),"",$N457-$M457)</f>
        <v/>
      </c>
      <c r="P457" s="84">
        <f>IF($J457="","",IF($L457&lt;&gt;"",$L457-$J457,TODAY()-$J457))</f>
        <v/>
      </c>
      <c r="Q457" s="85">
        <f>IF(OR($K457="",$H457="Completed",$H457="Cancelled"),"",IF(AND($K457&lt;TODAY(),$H457&lt;&gt;"Completed",$H457&lt;&gt;"Cancelled"),"Overdue","On Track"))</f>
        <v/>
      </c>
      <c r="R457" s="81" t="n"/>
      <c r="S457" s="81">
        <f>IF($B457="","",IFERROR(INDEX(Task_Tracker!$AA$5:$AA$1004,MATCH($B457,Task_Tracker!$A$5:$A$1004,0)),""))</f>
        <v/>
      </c>
      <c r="T457" s="81">
        <f>IF($B457="","",IFERROR(INDEX(Task_Tracker!$AB$5:$AB$1004,MATCH($B457,Task_Tracker!$A$5:$A$1004,0)),""))</f>
        <v/>
      </c>
      <c r="U457" s="78">
        <f>IF($B457="","",IFERROR(INDEX(Task_Tracker!$F$5:$F$1004,MATCH($B457,Task_Tracker!$A$5:$A$1004,0)),""))</f>
        <v/>
      </c>
      <c r="V457" s="78">
        <f>IF($B457="","",IFERROR(INDEX(Task_Tracker!$I$5:$I$1004,MATCH($B457,Task_Tracker!$A$5:$A$1004,0)),""))</f>
        <v/>
      </c>
      <c r="W457" s="81">
        <f>IF(OR($D457="",$B457=""),"",$D457&amp;" | "&amp;$B457)</f>
        <v/>
      </c>
      <c r="X457" s="85">
        <f>IF($K457="","",TEXT($K457,"yyyy-mm"))</f>
        <v/>
      </c>
      <c r="Y457" s="81">
        <f>IF(OR($A457="",$T457=""),"","Included in Manager_Report")</f>
        <v/>
      </c>
    </row>
    <row r="458" ht="15" customHeight="1" s="40">
      <c r="A458" s="65">
        <f>IF(COUNTA(B458:G458)=0,"","STP-"&amp;TEXT(ROW()-4,"0000"))</f>
        <v/>
      </c>
      <c r="B458" s="78" t="n"/>
      <c r="C458" s="67">
        <f>IF($B458="","",IFERROR(INDEX(Task_Tracker!$D$5:$D$1004,MATCH($B458,Task_Tracker!$A$5:$A$1004,0)),""))</f>
        <v/>
      </c>
      <c r="D458" s="67">
        <f>IF($B458="","",IFERROR(INDEX(Task_Tracker!$B$5:$B$1004,MATCH($B458,Task_Tracker!$A$5:$A$1004,0)),""))</f>
        <v/>
      </c>
      <c r="E458" s="81" t="n"/>
      <c r="F458" s="81" t="n"/>
      <c r="G458" s="78" t="n"/>
      <c r="H458" s="78" t="n"/>
      <c r="I458" s="67">
        <f>IF($H458="","",IFERROR(INDEX(Action_Status_Map!$B$5:$B$11,MATCH($H458,Action_Status_Map!$A$5:$A$11,0)),""))</f>
        <v/>
      </c>
      <c r="J458" s="82" t="n"/>
      <c r="K458" s="82" t="n"/>
      <c r="L458" s="82" t="n"/>
      <c r="M458" s="83" t="n"/>
      <c r="N458" s="83" t="n"/>
      <c r="O458" s="66">
        <f>IF(OR($M458="",$N458=""),"",$N458-$M458)</f>
        <v/>
      </c>
      <c r="P458" s="84">
        <f>IF($J458="","",IF($L458&lt;&gt;"",$L458-$J458,TODAY()-$J458))</f>
        <v/>
      </c>
      <c r="Q458" s="85">
        <f>IF(OR($K458="",$H458="Completed",$H458="Cancelled"),"",IF(AND($K458&lt;TODAY(),$H458&lt;&gt;"Completed",$H458&lt;&gt;"Cancelled"),"Overdue","On Track"))</f>
        <v/>
      </c>
      <c r="R458" s="81" t="n"/>
      <c r="S458" s="81">
        <f>IF($B458="","",IFERROR(INDEX(Task_Tracker!$AA$5:$AA$1004,MATCH($B458,Task_Tracker!$A$5:$A$1004,0)),""))</f>
        <v/>
      </c>
      <c r="T458" s="81">
        <f>IF($B458="","",IFERROR(INDEX(Task_Tracker!$AB$5:$AB$1004,MATCH($B458,Task_Tracker!$A$5:$A$1004,0)),""))</f>
        <v/>
      </c>
      <c r="U458" s="78">
        <f>IF($B458="","",IFERROR(INDEX(Task_Tracker!$F$5:$F$1004,MATCH($B458,Task_Tracker!$A$5:$A$1004,0)),""))</f>
        <v/>
      </c>
      <c r="V458" s="78">
        <f>IF($B458="","",IFERROR(INDEX(Task_Tracker!$I$5:$I$1004,MATCH($B458,Task_Tracker!$A$5:$A$1004,0)),""))</f>
        <v/>
      </c>
      <c r="W458" s="81">
        <f>IF(OR($D458="",$B458=""),"",$D458&amp;" | "&amp;$B458)</f>
        <v/>
      </c>
      <c r="X458" s="85">
        <f>IF($K458="","",TEXT($K458,"yyyy-mm"))</f>
        <v/>
      </c>
      <c r="Y458" s="81">
        <f>IF(OR($A458="",$T458=""),"","Included in Manager_Report")</f>
        <v/>
      </c>
    </row>
    <row r="459" ht="15" customHeight="1" s="40">
      <c r="A459" s="65">
        <f>IF(COUNTA(B459:G459)=0,"","STP-"&amp;TEXT(ROW()-4,"0000"))</f>
        <v/>
      </c>
      <c r="B459" s="78" t="n"/>
      <c r="C459" s="67">
        <f>IF($B459="","",IFERROR(INDEX(Task_Tracker!$D$5:$D$1004,MATCH($B459,Task_Tracker!$A$5:$A$1004,0)),""))</f>
        <v/>
      </c>
      <c r="D459" s="67">
        <f>IF($B459="","",IFERROR(INDEX(Task_Tracker!$B$5:$B$1004,MATCH($B459,Task_Tracker!$A$5:$A$1004,0)),""))</f>
        <v/>
      </c>
      <c r="E459" s="81" t="n"/>
      <c r="F459" s="81" t="n"/>
      <c r="G459" s="78" t="n"/>
      <c r="H459" s="78" t="n"/>
      <c r="I459" s="67">
        <f>IF($H459="","",IFERROR(INDEX(Action_Status_Map!$B$5:$B$11,MATCH($H459,Action_Status_Map!$A$5:$A$11,0)),""))</f>
        <v/>
      </c>
      <c r="J459" s="82" t="n"/>
      <c r="K459" s="82" t="n"/>
      <c r="L459" s="82" t="n"/>
      <c r="M459" s="83" t="n"/>
      <c r="N459" s="83" t="n"/>
      <c r="O459" s="66">
        <f>IF(OR($M459="",$N459=""),"",$N459-$M459)</f>
        <v/>
      </c>
      <c r="P459" s="84">
        <f>IF($J459="","",IF($L459&lt;&gt;"",$L459-$J459,TODAY()-$J459))</f>
        <v/>
      </c>
      <c r="Q459" s="85">
        <f>IF(OR($K459="",$H459="Completed",$H459="Cancelled"),"",IF(AND($K459&lt;TODAY(),$H459&lt;&gt;"Completed",$H459&lt;&gt;"Cancelled"),"Overdue","On Track"))</f>
        <v/>
      </c>
      <c r="R459" s="81" t="n"/>
      <c r="S459" s="81">
        <f>IF($B459="","",IFERROR(INDEX(Task_Tracker!$AA$5:$AA$1004,MATCH($B459,Task_Tracker!$A$5:$A$1004,0)),""))</f>
        <v/>
      </c>
      <c r="T459" s="81">
        <f>IF($B459="","",IFERROR(INDEX(Task_Tracker!$AB$5:$AB$1004,MATCH($B459,Task_Tracker!$A$5:$A$1004,0)),""))</f>
        <v/>
      </c>
      <c r="U459" s="78">
        <f>IF($B459="","",IFERROR(INDEX(Task_Tracker!$F$5:$F$1004,MATCH($B459,Task_Tracker!$A$5:$A$1004,0)),""))</f>
        <v/>
      </c>
      <c r="V459" s="78">
        <f>IF($B459="","",IFERROR(INDEX(Task_Tracker!$I$5:$I$1004,MATCH($B459,Task_Tracker!$A$5:$A$1004,0)),""))</f>
        <v/>
      </c>
      <c r="W459" s="81">
        <f>IF(OR($D459="",$B459=""),"",$D459&amp;" | "&amp;$B459)</f>
        <v/>
      </c>
      <c r="X459" s="85">
        <f>IF($K459="","",TEXT($K459,"yyyy-mm"))</f>
        <v/>
      </c>
      <c r="Y459" s="81">
        <f>IF(OR($A459="",$T459=""),"","Included in Manager_Report")</f>
        <v/>
      </c>
    </row>
    <row r="460" ht="15" customHeight="1" s="40">
      <c r="A460" s="65">
        <f>IF(COUNTA(B460:G460)=0,"","STP-"&amp;TEXT(ROW()-4,"0000"))</f>
        <v/>
      </c>
      <c r="B460" s="78" t="n"/>
      <c r="C460" s="67">
        <f>IF($B460="","",IFERROR(INDEX(Task_Tracker!$D$5:$D$1004,MATCH($B460,Task_Tracker!$A$5:$A$1004,0)),""))</f>
        <v/>
      </c>
      <c r="D460" s="67">
        <f>IF($B460="","",IFERROR(INDEX(Task_Tracker!$B$5:$B$1004,MATCH($B460,Task_Tracker!$A$5:$A$1004,0)),""))</f>
        <v/>
      </c>
      <c r="E460" s="81" t="n"/>
      <c r="F460" s="81" t="n"/>
      <c r="G460" s="78" t="n"/>
      <c r="H460" s="78" t="n"/>
      <c r="I460" s="67">
        <f>IF($H460="","",IFERROR(INDEX(Action_Status_Map!$B$5:$B$11,MATCH($H460,Action_Status_Map!$A$5:$A$11,0)),""))</f>
        <v/>
      </c>
      <c r="J460" s="82" t="n"/>
      <c r="K460" s="82" t="n"/>
      <c r="L460" s="82" t="n"/>
      <c r="M460" s="83" t="n"/>
      <c r="N460" s="83" t="n"/>
      <c r="O460" s="66">
        <f>IF(OR($M460="",$N460=""),"",$N460-$M460)</f>
        <v/>
      </c>
      <c r="P460" s="84">
        <f>IF($J460="","",IF($L460&lt;&gt;"",$L460-$J460,TODAY()-$J460))</f>
        <v/>
      </c>
      <c r="Q460" s="85">
        <f>IF(OR($K460="",$H460="Completed",$H460="Cancelled"),"",IF(AND($K460&lt;TODAY(),$H460&lt;&gt;"Completed",$H460&lt;&gt;"Cancelled"),"Overdue","On Track"))</f>
        <v/>
      </c>
      <c r="R460" s="81" t="n"/>
      <c r="S460" s="81">
        <f>IF($B460="","",IFERROR(INDEX(Task_Tracker!$AA$5:$AA$1004,MATCH($B460,Task_Tracker!$A$5:$A$1004,0)),""))</f>
        <v/>
      </c>
      <c r="T460" s="81">
        <f>IF($B460="","",IFERROR(INDEX(Task_Tracker!$AB$5:$AB$1004,MATCH($B460,Task_Tracker!$A$5:$A$1004,0)),""))</f>
        <v/>
      </c>
      <c r="U460" s="78">
        <f>IF($B460="","",IFERROR(INDEX(Task_Tracker!$F$5:$F$1004,MATCH($B460,Task_Tracker!$A$5:$A$1004,0)),""))</f>
        <v/>
      </c>
      <c r="V460" s="78">
        <f>IF($B460="","",IFERROR(INDEX(Task_Tracker!$I$5:$I$1004,MATCH($B460,Task_Tracker!$A$5:$A$1004,0)),""))</f>
        <v/>
      </c>
      <c r="W460" s="81">
        <f>IF(OR($D460="",$B460=""),"",$D460&amp;" | "&amp;$B460)</f>
        <v/>
      </c>
      <c r="X460" s="85">
        <f>IF($K460="","",TEXT($K460,"yyyy-mm"))</f>
        <v/>
      </c>
      <c r="Y460" s="81">
        <f>IF(OR($A460="",$T460=""),"","Included in Manager_Report")</f>
        <v/>
      </c>
    </row>
    <row r="461" ht="15" customHeight="1" s="40">
      <c r="A461" s="65">
        <f>IF(COUNTA(B461:G461)=0,"","STP-"&amp;TEXT(ROW()-4,"0000"))</f>
        <v/>
      </c>
      <c r="B461" s="78" t="n"/>
      <c r="C461" s="67">
        <f>IF($B461="","",IFERROR(INDEX(Task_Tracker!$D$5:$D$1004,MATCH($B461,Task_Tracker!$A$5:$A$1004,0)),""))</f>
        <v/>
      </c>
      <c r="D461" s="67">
        <f>IF($B461="","",IFERROR(INDEX(Task_Tracker!$B$5:$B$1004,MATCH($B461,Task_Tracker!$A$5:$A$1004,0)),""))</f>
        <v/>
      </c>
      <c r="E461" s="81" t="n"/>
      <c r="F461" s="81" t="n"/>
      <c r="G461" s="78" t="n"/>
      <c r="H461" s="78" t="n"/>
      <c r="I461" s="67">
        <f>IF($H461="","",IFERROR(INDEX(Action_Status_Map!$B$5:$B$11,MATCH($H461,Action_Status_Map!$A$5:$A$11,0)),""))</f>
        <v/>
      </c>
      <c r="J461" s="82" t="n"/>
      <c r="K461" s="82" t="n"/>
      <c r="L461" s="82" t="n"/>
      <c r="M461" s="83" t="n"/>
      <c r="N461" s="83" t="n"/>
      <c r="O461" s="66">
        <f>IF(OR($M461="",$N461=""),"",$N461-$M461)</f>
        <v/>
      </c>
      <c r="P461" s="84">
        <f>IF($J461="","",IF($L461&lt;&gt;"",$L461-$J461,TODAY()-$J461))</f>
        <v/>
      </c>
      <c r="Q461" s="85">
        <f>IF(OR($K461="",$H461="Completed",$H461="Cancelled"),"",IF(AND($K461&lt;TODAY(),$H461&lt;&gt;"Completed",$H461&lt;&gt;"Cancelled"),"Overdue","On Track"))</f>
        <v/>
      </c>
      <c r="R461" s="81" t="n"/>
      <c r="S461" s="81">
        <f>IF($B461="","",IFERROR(INDEX(Task_Tracker!$AA$5:$AA$1004,MATCH($B461,Task_Tracker!$A$5:$A$1004,0)),""))</f>
        <v/>
      </c>
      <c r="T461" s="81">
        <f>IF($B461="","",IFERROR(INDEX(Task_Tracker!$AB$5:$AB$1004,MATCH($B461,Task_Tracker!$A$5:$A$1004,0)),""))</f>
        <v/>
      </c>
      <c r="U461" s="78">
        <f>IF($B461="","",IFERROR(INDEX(Task_Tracker!$F$5:$F$1004,MATCH($B461,Task_Tracker!$A$5:$A$1004,0)),""))</f>
        <v/>
      </c>
      <c r="V461" s="78">
        <f>IF($B461="","",IFERROR(INDEX(Task_Tracker!$I$5:$I$1004,MATCH($B461,Task_Tracker!$A$5:$A$1004,0)),""))</f>
        <v/>
      </c>
      <c r="W461" s="81">
        <f>IF(OR($D461="",$B461=""),"",$D461&amp;" | "&amp;$B461)</f>
        <v/>
      </c>
      <c r="X461" s="85">
        <f>IF($K461="","",TEXT($K461,"yyyy-mm"))</f>
        <v/>
      </c>
      <c r="Y461" s="81">
        <f>IF(OR($A461="",$T461=""),"","Included in Manager_Report")</f>
        <v/>
      </c>
    </row>
    <row r="462" ht="15" customHeight="1" s="40">
      <c r="A462" s="65">
        <f>IF(COUNTA(B462:G462)=0,"","STP-"&amp;TEXT(ROW()-4,"0000"))</f>
        <v/>
      </c>
      <c r="B462" s="78" t="n"/>
      <c r="C462" s="67">
        <f>IF($B462="","",IFERROR(INDEX(Task_Tracker!$D$5:$D$1004,MATCH($B462,Task_Tracker!$A$5:$A$1004,0)),""))</f>
        <v/>
      </c>
      <c r="D462" s="67">
        <f>IF($B462="","",IFERROR(INDEX(Task_Tracker!$B$5:$B$1004,MATCH($B462,Task_Tracker!$A$5:$A$1004,0)),""))</f>
        <v/>
      </c>
      <c r="E462" s="81" t="n"/>
      <c r="F462" s="81" t="n"/>
      <c r="G462" s="78" t="n"/>
      <c r="H462" s="78" t="n"/>
      <c r="I462" s="67">
        <f>IF($H462="","",IFERROR(INDEX(Action_Status_Map!$B$5:$B$11,MATCH($H462,Action_Status_Map!$A$5:$A$11,0)),""))</f>
        <v/>
      </c>
      <c r="J462" s="82" t="n"/>
      <c r="K462" s="82" t="n"/>
      <c r="L462" s="82" t="n"/>
      <c r="M462" s="83" t="n"/>
      <c r="N462" s="83" t="n"/>
      <c r="O462" s="66">
        <f>IF(OR($M462="",$N462=""),"",$N462-$M462)</f>
        <v/>
      </c>
      <c r="P462" s="84">
        <f>IF($J462="","",IF($L462&lt;&gt;"",$L462-$J462,TODAY()-$J462))</f>
        <v/>
      </c>
      <c r="Q462" s="85">
        <f>IF(OR($K462="",$H462="Completed",$H462="Cancelled"),"",IF(AND($K462&lt;TODAY(),$H462&lt;&gt;"Completed",$H462&lt;&gt;"Cancelled"),"Overdue","On Track"))</f>
        <v/>
      </c>
      <c r="R462" s="81" t="n"/>
      <c r="S462" s="81">
        <f>IF($B462="","",IFERROR(INDEX(Task_Tracker!$AA$5:$AA$1004,MATCH($B462,Task_Tracker!$A$5:$A$1004,0)),""))</f>
        <v/>
      </c>
      <c r="T462" s="81">
        <f>IF($B462="","",IFERROR(INDEX(Task_Tracker!$AB$5:$AB$1004,MATCH($B462,Task_Tracker!$A$5:$A$1004,0)),""))</f>
        <v/>
      </c>
      <c r="U462" s="78">
        <f>IF($B462="","",IFERROR(INDEX(Task_Tracker!$F$5:$F$1004,MATCH($B462,Task_Tracker!$A$5:$A$1004,0)),""))</f>
        <v/>
      </c>
      <c r="V462" s="78">
        <f>IF($B462="","",IFERROR(INDEX(Task_Tracker!$I$5:$I$1004,MATCH($B462,Task_Tracker!$A$5:$A$1004,0)),""))</f>
        <v/>
      </c>
      <c r="W462" s="81">
        <f>IF(OR($D462="",$B462=""),"",$D462&amp;" | "&amp;$B462)</f>
        <v/>
      </c>
      <c r="X462" s="85">
        <f>IF($K462="","",TEXT($K462,"yyyy-mm"))</f>
        <v/>
      </c>
      <c r="Y462" s="81">
        <f>IF(OR($A462="",$T462=""),"","Included in Manager_Report")</f>
        <v/>
      </c>
    </row>
    <row r="463" ht="15" customHeight="1" s="40">
      <c r="A463" s="65">
        <f>IF(COUNTA(B463:G463)=0,"","STP-"&amp;TEXT(ROW()-4,"0000"))</f>
        <v/>
      </c>
      <c r="B463" s="78" t="n"/>
      <c r="C463" s="67">
        <f>IF($B463="","",IFERROR(INDEX(Task_Tracker!$D$5:$D$1004,MATCH($B463,Task_Tracker!$A$5:$A$1004,0)),""))</f>
        <v/>
      </c>
      <c r="D463" s="67">
        <f>IF($B463="","",IFERROR(INDEX(Task_Tracker!$B$5:$B$1004,MATCH($B463,Task_Tracker!$A$5:$A$1004,0)),""))</f>
        <v/>
      </c>
      <c r="E463" s="81" t="n"/>
      <c r="F463" s="81" t="n"/>
      <c r="G463" s="78" t="n"/>
      <c r="H463" s="78" t="n"/>
      <c r="I463" s="67">
        <f>IF($H463="","",IFERROR(INDEX(Action_Status_Map!$B$5:$B$11,MATCH($H463,Action_Status_Map!$A$5:$A$11,0)),""))</f>
        <v/>
      </c>
      <c r="J463" s="82" t="n"/>
      <c r="K463" s="82" t="n"/>
      <c r="L463" s="82" t="n"/>
      <c r="M463" s="83" t="n"/>
      <c r="N463" s="83" t="n"/>
      <c r="O463" s="66">
        <f>IF(OR($M463="",$N463=""),"",$N463-$M463)</f>
        <v/>
      </c>
      <c r="P463" s="84">
        <f>IF($J463="","",IF($L463&lt;&gt;"",$L463-$J463,TODAY()-$J463))</f>
        <v/>
      </c>
      <c r="Q463" s="85">
        <f>IF(OR($K463="",$H463="Completed",$H463="Cancelled"),"",IF(AND($K463&lt;TODAY(),$H463&lt;&gt;"Completed",$H463&lt;&gt;"Cancelled"),"Overdue","On Track"))</f>
        <v/>
      </c>
      <c r="R463" s="81" t="n"/>
      <c r="S463" s="81">
        <f>IF($B463="","",IFERROR(INDEX(Task_Tracker!$AA$5:$AA$1004,MATCH($B463,Task_Tracker!$A$5:$A$1004,0)),""))</f>
        <v/>
      </c>
      <c r="T463" s="81">
        <f>IF($B463="","",IFERROR(INDEX(Task_Tracker!$AB$5:$AB$1004,MATCH($B463,Task_Tracker!$A$5:$A$1004,0)),""))</f>
        <v/>
      </c>
      <c r="U463" s="78">
        <f>IF($B463="","",IFERROR(INDEX(Task_Tracker!$F$5:$F$1004,MATCH($B463,Task_Tracker!$A$5:$A$1004,0)),""))</f>
        <v/>
      </c>
      <c r="V463" s="78">
        <f>IF($B463="","",IFERROR(INDEX(Task_Tracker!$I$5:$I$1004,MATCH($B463,Task_Tracker!$A$5:$A$1004,0)),""))</f>
        <v/>
      </c>
      <c r="W463" s="81">
        <f>IF(OR($D463="",$B463=""),"",$D463&amp;" | "&amp;$B463)</f>
        <v/>
      </c>
      <c r="X463" s="85">
        <f>IF($K463="","",TEXT($K463,"yyyy-mm"))</f>
        <v/>
      </c>
      <c r="Y463" s="81">
        <f>IF(OR($A463="",$T463=""),"","Included in Manager_Report")</f>
        <v/>
      </c>
    </row>
    <row r="464" ht="15" customHeight="1" s="40">
      <c r="A464" s="65">
        <f>IF(COUNTA(B464:G464)=0,"","STP-"&amp;TEXT(ROW()-4,"0000"))</f>
        <v/>
      </c>
      <c r="B464" s="78" t="n"/>
      <c r="C464" s="67">
        <f>IF($B464="","",IFERROR(INDEX(Task_Tracker!$D$5:$D$1004,MATCH($B464,Task_Tracker!$A$5:$A$1004,0)),""))</f>
        <v/>
      </c>
      <c r="D464" s="67">
        <f>IF($B464="","",IFERROR(INDEX(Task_Tracker!$B$5:$B$1004,MATCH($B464,Task_Tracker!$A$5:$A$1004,0)),""))</f>
        <v/>
      </c>
      <c r="E464" s="81" t="n"/>
      <c r="F464" s="81" t="n"/>
      <c r="G464" s="78" t="n"/>
      <c r="H464" s="78" t="n"/>
      <c r="I464" s="67">
        <f>IF($H464="","",IFERROR(INDEX(Action_Status_Map!$B$5:$B$11,MATCH($H464,Action_Status_Map!$A$5:$A$11,0)),""))</f>
        <v/>
      </c>
      <c r="J464" s="82" t="n"/>
      <c r="K464" s="82" t="n"/>
      <c r="L464" s="82" t="n"/>
      <c r="M464" s="83" t="n"/>
      <c r="N464" s="83" t="n"/>
      <c r="O464" s="66">
        <f>IF(OR($M464="",$N464=""),"",$N464-$M464)</f>
        <v/>
      </c>
      <c r="P464" s="84">
        <f>IF($J464="","",IF($L464&lt;&gt;"",$L464-$J464,TODAY()-$J464))</f>
        <v/>
      </c>
      <c r="Q464" s="85">
        <f>IF(OR($K464="",$H464="Completed",$H464="Cancelled"),"",IF(AND($K464&lt;TODAY(),$H464&lt;&gt;"Completed",$H464&lt;&gt;"Cancelled"),"Overdue","On Track"))</f>
        <v/>
      </c>
      <c r="R464" s="81" t="n"/>
      <c r="S464" s="81">
        <f>IF($B464="","",IFERROR(INDEX(Task_Tracker!$AA$5:$AA$1004,MATCH($B464,Task_Tracker!$A$5:$A$1004,0)),""))</f>
        <v/>
      </c>
      <c r="T464" s="81">
        <f>IF($B464="","",IFERROR(INDEX(Task_Tracker!$AB$5:$AB$1004,MATCH($B464,Task_Tracker!$A$5:$A$1004,0)),""))</f>
        <v/>
      </c>
      <c r="U464" s="78">
        <f>IF($B464="","",IFERROR(INDEX(Task_Tracker!$F$5:$F$1004,MATCH($B464,Task_Tracker!$A$5:$A$1004,0)),""))</f>
        <v/>
      </c>
      <c r="V464" s="78">
        <f>IF($B464="","",IFERROR(INDEX(Task_Tracker!$I$5:$I$1004,MATCH($B464,Task_Tracker!$A$5:$A$1004,0)),""))</f>
        <v/>
      </c>
      <c r="W464" s="81">
        <f>IF(OR($D464="",$B464=""),"",$D464&amp;" | "&amp;$B464)</f>
        <v/>
      </c>
      <c r="X464" s="85">
        <f>IF($K464="","",TEXT($K464,"yyyy-mm"))</f>
        <v/>
      </c>
      <c r="Y464" s="81">
        <f>IF(OR($A464="",$T464=""),"","Included in Manager_Report")</f>
        <v/>
      </c>
    </row>
    <row r="465" ht="15" customHeight="1" s="40">
      <c r="A465" s="65">
        <f>IF(COUNTA(B465:G465)=0,"","STP-"&amp;TEXT(ROW()-4,"0000"))</f>
        <v/>
      </c>
      <c r="B465" s="78" t="n"/>
      <c r="C465" s="67">
        <f>IF($B465="","",IFERROR(INDEX(Task_Tracker!$D$5:$D$1004,MATCH($B465,Task_Tracker!$A$5:$A$1004,0)),""))</f>
        <v/>
      </c>
      <c r="D465" s="67">
        <f>IF($B465="","",IFERROR(INDEX(Task_Tracker!$B$5:$B$1004,MATCH($B465,Task_Tracker!$A$5:$A$1004,0)),""))</f>
        <v/>
      </c>
      <c r="E465" s="81" t="n"/>
      <c r="F465" s="81" t="n"/>
      <c r="G465" s="78" t="n"/>
      <c r="H465" s="78" t="n"/>
      <c r="I465" s="67">
        <f>IF($H465="","",IFERROR(INDEX(Action_Status_Map!$B$5:$B$11,MATCH($H465,Action_Status_Map!$A$5:$A$11,0)),""))</f>
        <v/>
      </c>
      <c r="J465" s="82" t="n"/>
      <c r="K465" s="82" t="n"/>
      <c r="L465" s="82" t="n"/>
      <c r="M465" s="83" t="n"/>
      <c r="N465" s="83" t="n"/>
      <c r="O465" s="66">
        <f>IF(OR($M465="",$N465=""),"",$N465-$M465)</f>
        <v/>
      </c>
      <c r="P465" s="84">
        <f>IF($J465="","",IF($L465&lt;&gt;"",$L465-$J465,TODAY()-$J465))</f>
        <v/>
      </c>
      <c r="Q465" s="85">
        <f>IF(OR($K465="",$H465="Completed",$H465="Cancelled"),"",IF(AND($K465&lt;TODAY(),$H465&lt;&gt;"Completed",$H465&lt;&gt;"Cancelled"),"Overdue","On Track"))</f>
        <v/>
      </c>
      <c r="R465" s="81" t="n"/>
      <c r="S465" s="81">
        <f>IF($B465="","",IFERROR(INDEX(Task_Tracker!$AA$5:$AA$1004,MATCH($B465,Task_Tracker!$A$5:$A$1004,0)),""))</f>
        <v/>
      </c>
      <c r="T465" s="81">
        <f>IF($B465="","",IFERROR(INDEX(Task_Tracker!$AB$5:$AB$1004,MATCH($B465,Task_Tracker!$A$5:$A$1004,0)),""))</f>
        <v/>
      </c>
      <c r="U465" s="78">
        <f>IF($B465="","",IFERROR(INDEX(Task_Tracker!$F$5:$F$1004,MATCH($B465,Task_Tracker!$A$5:$A$1004,0)),""))</f>
        <v/>
      </c>
      <c r="V465" s="78">
        <f>IF($B465="","",IFERROR(INDEX(Task_Tracker!$I$5:$I$1004,MATCH($B465,Task_Tracker!$A$5:$A$1004,0)),""))</f>
        <v/>
      </c>
      <c r="W465" s="81">
        <f>IF(OR($D465="",$B465=""),"",$D465&amp;" | "&amp;$B465)</f>
        <v/>
      </c>
      <c r="X465" s="85">
        <f>IF($K465="","",TEXT($K465,"yyyy-mm"))</f>
        <v/>
      </c>
      <c r="Y465" s="81">
        <f>IF(OR($A465="",$T465=""),"","Included in Manager_Report")</f>
        <v/>
      </c>
    </row>
    <row r="466" ht="15" customHeight="1" s="40">
      <c r="A466" s="65">
        <f>IF(COUNTA(B466:G466)=0,"","STP-"&amp;TEXT(ROW()-4,"0000"))</f>
        <v/>
      </c>
      <c r="B466" s="78" t="n"/>
      <c r="C466" s="67">
        <f>IF($B466="","",IFERROR(INDEX(Task_Tracker!$D$5:$D$1004,MATCH($B466,Task_Tracker!$A$5:$A$1004,0)),""))</f>
        <v/>
      </c>
      <c r="D466" s="67">
        <f>IF($B466="","",IFERROR(INDEX(Task_Tracker!$B$5:$B$1004,MATCH($B466,Task_Tracker!$A$5:$A$1004,0)),""))</f>
        <v/>
      </c>
      <c r="E466" s="81" t="n"/>
      <c r="F466" s="81" t="n"/>
      <c r="G466" s="78" t="n"/>
      <c r="H466" s="78" t="n"/>
      <c r="I466" s="67">
        <f>IF($H466="","",IFERROR(INDEX(Action_Status_Map!$B$5:$B$11,MATCH($H466,Action_Status_Map!$A$5:$A$11,0)),""))</f>
        <v/>
      </c>
      <c r="J466" s="82" t="n"/>
      <c r="K466" s="82" t="n"/>
      <c r="L466" s="82" t="n"/>
      <c r="M466" s="83" t="n"/>
      <c r="N466" s="83" t="n"/>
      <c r="O466" s="66">
        <f>IF(OR($M466="",$N466=""),"",$N466-$M466)</f>
        <v/>
      </c>
      <c r="P466" s="84">
        <f>IF($J466="","",IF($L466&lt;&gt;"",$L466-$J466,TODAY()-$J466))</f>
        <v/>
      </c>
      <c r="Q466" s="85">
        <f>IF(OR($K466="",$H466="Completed",$H466="Cancelled"),"",IF(AND($K466&lt;TODAY(),$H466&lt;&gt;"Completed",$H466&lt;&gt;"Cancelled"),"Overdue","On Track"))</f>
        <v/>
      </c>
      <c r="R466" s="81" t="n"/>
      <c r="S466" s="81">
        <f>IF($B466="","",IFERROR(INDEX(Task_Tracker!$AA$5:$AA$1004,MATCH($B466,Task_Tracker!$A$5:$A$1004,0)),""))</f>
        <v/>
      </c>
      <c r="T466" s="81">
        <f>IF($B466="","",IFERROR(INDEX(Task_Tracker!$AB$5:$AB$1004,MATCH($B466,Task_Tracker!$A$5:$A$1004,0)),""))</f>
        <v/>
      </c>
      <c r="U466" s="78">
        <f>IF($B466="","",IFERROR(INDEX(Task_Tracker!$F$5:$F$1004,MATCH($B466,Task_Tracker!$A$5:$A$1004,0)),""))</f>
        <v/>
      </c>
      <c r="V466" s="78">
        <f>IF($B466="","",IFERROR(INDEX(Task_Tracker!$I$5:$I$1004,MATCH($B466,Task_Tracker!$A$5:$A$1004,0)),""))</f>
        <v/>
      </c>
      <c r="W466" s="81">
        <f>IF(OR($D466="",$B466=""),"",$D466&amp;" | "&amp;$B466)</f>
        <v/>
      </c>
      <c r="X466" s="85">
        <f>IF($K466="","",TEXT($K466,"yyyy-mm"))</f>
        <v/>
      </c>
      <c r="Y466" s="81">
        <f>IF(OR($A466="",$T466=""),"","Included in Manager_Report")</f>
        <v/>
      </c>
    </row>
    <row r="467" ht="15" customHeight="1" s="40">
      <c r="A467" s="65">
        <f>IF(COUNTA(B467:G467)=0,"","STP-"&amp;TEXT(ROW()-4,"0000"))</f>
        <v/>
      </c>
      <c r="B467" s="78" t="n"/>
      <c r="C467" s="67">
        <f>IF($B467="","",IFERROR(INDEX(Task_Tracker!$D$5:$D$1004,MATCH($B467,Task_Tracker!$A$5:$A$1004,0)),""))</f>
        <v/>
      </c>
      <c r="D467" s="67">
        <f>IF($B467="","",IFERROR(INDEX(Task_Tracker!$B$5:$B$1004,MATCH($B467,Task_Tracker!$A$5:$A$1004,0)),""))</f>
        <v/>
      </c>
      <c r="E467" s="81" t="n"/>
      <c r="F467" s="81" t="n"/>
      <c r="G467" s="78" t="n"/>
      <c r="H467" s="78" t="n"/>
      <c r="I467" s="67">
        <f>IF($H467="","",IFERROR(INDEX(Action_Status_Map!$B$5:$B$11,MATCH($H467,Action_Status_Map!$A$5:$A$11,0)),""))</f>
        <v/>
      </c>
      <c r="J467" s="82" t="n"/>
      <c r="K467" s="82" t="n"/>
      <c r="L467" s="82" t="n"/>
      <c r="M467" s="83" t="n"/>
      <c r="N467" s="83" t="n"/>
      <c r="O467" s="66">
        <f>IF(OR($M467="",$N467=""),"",$N467-$M467)</f>
        <v/>
      </c>
      <c r="P467" s="84">
        <f>IF($J467="","",IF($L467&lt;&gt;"",$L467-$J467,TODAY()-$J467))</f>
        <v/>
      </c>
      <c r="Q467" s="85">
        <f>IF(OR($K467="",$H467="Completed",$H467="Cancelled"),"",IF(AND($K467&lt;TODAY(),$H467&lt;&gt;"Completed",$H467&lt;&gt;"Cancelled"),"Overdue","On Track"))</f>
        <v/>
      </c>
      <c r="R467" s="81" t="n"/>
      <c r="S467" s="81">
        <f>IF($B467="","",IFERROR(INDEX(Task_Tracker!$AA$5:$AA$1004,MATCH($B467,Task_Tracker!$A$5:$A$1004,0)),""))</f>
        <v/>
      </c>
      <c r="T467" s="81">
        <f>IF($B467="","",IFERROR(INDEX(Task_Tracker!$AB$5:$AB$1004,MATCH($B467,Task_Tracker!$A$5:$A$1004,0)),""))</f>
        <v/>
      </c>
      <c r="U467" s="78">
        <f>IF($B467="","",IFERROR(INDEX(Task_Tracker!$F$5:$F$1004,MATCH($B467,Task_Tracker!$A$5:$A$1004,0)),""))</f>
        <v/>
      </c>
      <c r="V467" s="78">
        <f>IF($B467="","",IFERROR(INDEX(Task_Tracker!$I$5:$I$1004,MATCH($B467,Task_Tracker!$A$5:$A$1004,0)),""))</f>
        <v/>
      </c>
      <c r="W467" s="81">
        <f>IF(OR($D467="",$B467=""),"",$D467&amp;" | "&amp;$B467)</f>
        <v/>
      </c>
      <c r="X467" s="85">
        <f>IF($K467="","",TEXT($K467,"yyyy-mm"))</f>
        <v/>
      </c>
      <c r="Y467" s="81">
        <f>IF(OR($A467="",$T467=""),"","Included in Manager_Report")</f>
        <v/>
      </c>
    </row>
    <row r="468" ht="15" customHeight="1" s="40">
      <c r="A468" s="65">
        <f>IF(COUNTA(B468:G468)=0,"","STP-"&amp;TEXT(ROW()-4,"0000"))</f>
        <v/>
      </c>
      <c r="B468" s="78" t="n"/>
      <c r="C468" s="67">
        <f>IF($B468="","",IFERROR(INDEX(Task_Tracker!$D$5:$D$1004,MATCH($B468,Task_Tracker!$A$5:$A$1004,0)),""))</f>
        <v/>
      </c>
      <c r="D468" s="67">
        <f>IF($B468="","",IFERROR(INDEX(Task_Tracker!$B$5:$B$1004,MATCH($B468,Task_Tracker!$A$5:$A$1004,0)),""))</f>
        <v/>
      </c>
      <c r="E468" s="81" t="n"/>
      <c r="F468" s="81" t="n"/>
      <c r="G468" s="78" t="n"/>
      <c r="H468" s="78" t="n"/>
      <c r="I468" s="67">
        <f>IF($H468="","",IFERROR(INDEX(Action_Status_Map!$B$5:$B$11,MATCH($H468,Action_Status_Map!$A$5:$A$11,0)),""))</f>
        <v/>
      </c>
      <c r="J468" s="82" t="n"/>
      <c r="K468" s="82" t="n"/>
      <c r="L468" s="82" t="n"/>
      <c r="M468" s="83" t="n"/>
      <c r="N468" s="83" t="n"/>
      <c r="O468" s="66">
        <f>IF(OR($M468="",$N468=""),"",$N468-$M468)</f>
        <v/>
      </c>
      <c r="P468" s="84">
        <f>IF($J468="","",IF($L468&lt;&gt;"",$L468-$J468,TODAY()-$J468))</f>
        <v/>
      </c>
      <c r="Q468" s="85">
        <f>IF(OR($K468="",$H468="Completed",$H468="Cancelled"),"",IF(AND($K468&lt;TODAY(),$H468&lt;&gt;"Completed",$H468&lt;&gt;"Cancelled"),"Overdue","On Track"))</f>
        <v/>
      </c>
      <c r="R468" s="81" t="n"/>
      <c r="S468" s="81">
        <f>IF($B468="","",IFERROR(INDEX(Task_Tracker!$AA$5:$AA$1004,MATCH($B468,Task_Tracker!$A$5:$A$1004,0)),""))</f>
        <v/>
      </c>
      <c r="T468" s="81">
        <f>IF($B468="","",IFERROR(INDEX(Task_Tracker!$AB$5:$AB$1004,MATCH($B468,Task_Tracker!$A$5:$A$1004,0)),""))</f>
        <v/>
      </c>
      <c r="U468" s="78">
        <f>IF($B468="","",IFERROR(INDEX(Task_Tracker!$F$5:$F$1004,MATCH($B468,Task_Tracker!$A$5:$A$1004,0)),""))</f>
        <v/>
      </c>
      <c r="V468" s="78">
        <f>IF($B468="","",IFERROR(INDEX(Task_Tracker!$I$5:$I$1004,MATCH($B468,Task_Tracker!$A$5:$A$1004,0)),""))</f>
        <v/>
      </c>
      <c r="W468" s="81">
        <f>IF(OR($D468="",$B468=""),"",$D468&amp;" | "&amp;$B468)</f>
        <v/>
      </c>
      <c r="X468" s="85">
        <f>IF($K468="","",TEXT($K468,"yyyy-mm"))</f>
        <v/>
      </c>
      <c r="Y468" s="81">
        <f>IF(OR($A468="",$T468=""),"","Included in Manager_Report")</f>
        <v/>
      </c>
    </row>
    <row r="469" ht="15" customHeight="1" s="40">
      <c r="A469" s="65">
        <f>IF(COUNTA(B469:G469)=0,"","STP-"&amp;TEXT(ROW()-4,"0000"))</f>
        <v/>
      </c>
      <c r="B469" s="78" t="n"/>
      <c r="C469" s="67">
        <f>IF($B469="","",IFERROR(INDEX(Task_Tracker!$D$5:$D$1004,MATCH($B469,Task_Tracker!$A$5:$A$1004,0)),""))</f>
        <v/>
      </c>
      <c r="D469" s="67">
        <f>IF($B469="","",IFERROR(INDEX(Task_Tracker!$B$5:$B$1004,MATCH($B469,Task_Tracker!$A$5:$A$1004,0)),""))</f>
        <v/>
      </c>
      <c r="E469" s="81" t="n"/>
      <c r="F469" s="81" t="n"/>
      <c r="G469" s="78" t="n"/>
      <c r="H469" s="78" t="n"/>
      <c r="I469" s="67">
        <f>IF($H469="","",IFERROR(INDEX(Action_Status_Map!$B$5:$B$11,MATCH($H469,Action_Status_Map!$A$5:$A$11,0)),""))</f>
        <v/>
      </c>
      <c r="J469" s="82" t="n"/>
      <c r="K469" s="82" t="n"/>
      <c r="L469" s="82" t="n"/>
      <c r="M469" s="83" t="n"/>
      <c r="N469" s="83" t="n"/>
      <c r="O469" s="66">
        <f>IF(OR($M469="",$N469=""),"",$N469-$M469)</f>
        <v/>
      </c>
      <c r="P469" s="84">
        <f>IF($J469="","",IF($L469&lt;&gt;"",$L469-$J469,TODAY()-$J469))</f>
        <v/>
      </c>
      <c r="Q469" s="85">
        <f>IF(OR($K469="",$H469="Completed",$H469="Cancelled"),"",IF(AND($K469&lt;TODAY(),$H469&lt;&gt;"Completed",$H469&lt;&gt;"Cancelled"),"Overdue","On Track"))</f>
        <v/>
      </c>
      <c r="R469" s="81" t="n"/>
      <c r="S469" s="81">
        <f>IF($B469="","",IFERROR(INDEX(Task_Tracker!$AA$5:$AA$1004,MATCH($B469,Task_Tracker!$A$5:$A$1004,0)),""))</f>
        <v/>
      </c>
      <c r="T469" s="81">
        <f>IF($B469="","",IFERROR(INDEX(Task_Tracker!$AB$5:$AB$1004,MATCH($B469,Task_Tracker!$A$5:$A$1004,0)),""))</f>
        <v/>
      </c>
      <c r="U469" s="78">
        <f>IF($B469="","",IFERROR(INDEX(Task_Tracker!$F$5:$F$1004,MATCH($B469,Task_Tracker!$A$5:$A$1004,0)),""))</f>
        <v/>
      </c>
      <c r="V469" s="78">
        <f>IF($B469="","",IFERROR(INDEX(Task_Tracker!$I$5:$I$1004,MATCH($B469,Task_Tracker!$A$5:$A$1004,0)),""))</f>
        <v/>
      </c>
      <c r="W469" s="81">
        <f>IF(OR($D469="",$B469=""),"",$D469&amp;" | "&amp;$B469)</f>
        <v/>
      </c>
      <c r="X469" s="85">
        <f>IF($K469="","",TEXT($K469,"yyyy-mm"))</f>
        <v/>
      </c>
      <c r="Y469" s="81">
        <f>IF(OR($A469="",$T469=""),"","Included in Manager_Report")</f>
        <v/>
      </c>
    </row>
    <row r="470" ht="15" customHeight="1" s="40">
      <c r="A470" s="65">
        <f>IF(COUNTA(B470:G470)=0,"","STP-"&amp;TEXT(ROW()-4,"0000"))</f>
        <v/>
      </c>
      <c r="B470" s="78" t="n"/>
      <c r="C470" s="67">
        <f>IF($B470="","",IFERROR(INDEX(Task_Tracker!$D$5:$D$1004,MATCH($B470,Task_Tracker!$A$5:$A$1004,0)),""))</f>
        <v/>
      </c>
      <c r="D470" s="67">
        <f>IF($B470="","",IFERROR(INDEX(Task_Tracker!$B$5:$B$1004,MATCH($B470,Task_Tracker!$A$5:$A$1004,0)),""))</f>
        <v/>
      </c>
      <c r="E470" s="81" t="n"/>
      <c r="F470" s="81" t="n"/>
      <c r="G470" s="78" t="n"/>
      <c r="H470" s="78" t="n"/>
      <c r="I470" s="67">
        <f>IF($H470="","",IFERROR(INDEX(Action_Status_Map!$B$5:$B$11,MATCH($H470,Action_Status_Map!$A$5:$A$11,0)),""))</f>
        <v/>
      </c>
      <c r="J470" s="82" t="n"/>
      <c r="K470" s="82" t="n"/>
      <c r="L470" s="82" t="n"/>
      <c r="M470" s="83" t="n"/>
      <c r="N470" s="83" t="n"/>
      <c r="O470" s="66">
        <f>IF(OR($M470="",$N470=""),"",$N470-$M470)</f>
        <v/>
      </c>
      <c r="P470" s="84">
        <f>IF($J470="","",IF($L470&lt;&gt;"",$L470-$J470,TODAY()-$J470))</f>
        <v/>
      </c>
      <c r="Q470" s="85">
        <f>IF(OR($K470="",$H470="Completed",$H470="Cancelled"),"",IF(AND($K470&lt;TODAY(),$H470&lt;&gt;"Completed",$H470&lt;&gt;"Cancelled"),"Overdue","On Track"))</f>
        <v/>
      </c>
      <c r="R470" s="81" t="n"/>
      <c r="S470" s="81">
        <f>IF($B470="","",IFERROR(INDEX(Task_Tracker!$AA$5:$AA$1004,MATCH($B470,Task_Tracker!$A$5:$A$1004,0)),""))</f>
        <v/>
      </c>
      <c r="T470" s="81">
        <f>IF($B470="","",IFERROR(INDEX(Task_Tracker!$AB$5:$AB$1004,MATCH($B470,Task_Tracker!$A$5:$A$1004,0)),""))</f>
        <v/>
      </c>
      <c r="U470" s="78">
        <f>IF($B470="","",IFERROR(INDEX(Task_Tracker!$F$5:$F$1004,MATCH($B470,Task_Tracker!$A$5:$A$1004,0)),""))</f>
        <v/>
      </c>
      <c r="V470" s="78">
        <f>IF($B470="","",IFERROR(INDEX(Task_Tracker!$I$5:$I$1004,MATCH($B470,Task_Tracker!$A$5:$A$1004,0)),""))</f>
        <v/>
      </c>
      <c r="W470" s="81">
        <f>IF(OR($D470="",$B470=""),"",$D470&amp;" | "&amp;$B470)</f>
        <v/>
      </c>
      <c r="X470" s="85">
        <f>IF($K470="","",TEXT($K470,"yyyy-mm"))</f>
        <v/>
      </c>
      <c r="Y470" s="81">
        <f>IF(OR($A470="",$T470=""),"","Included in Manager_Report")</f>
        <v/>
      </c>
    </row>
    <row r="471" ht="15" customHeight="1" s="40">
      <c r="A471" s="65">
        <f>IF(COUNTA(B471:G471)=0,"","STP-"&amp;TEXT(ROW()-4,"0000"))</f>
        <v/>
      </c>
      <c r="B471" s="78" t="n"/>
      <c r="C471" s="67">
        <f>IF($B471="","",IFERROR(INDEX(Task_Tracker!$D$5:$D$1004,MATCH($B471,Task_Tracker!$A$5:$A$1004,0)),""))</f>
        <v/>
      </c>
      <c r="D471" s="67">
        <f>IF($B471="","",IFERROR(INDEX(Task_Tracker!$B$5:$B$1004,MATCH($B471,Task_Tracker!$A$5:$A$1004,0)),""))</f>
        <v/>
      </c>
      <c r="E471" s="81" t="n"/>
      <c r="F471" s="81" t="n"/>
      <c r="G471" s="78" t="n"/>
      <c r="H471" s="78" t="n"/>
      <c r="I471" s="67">
        <f>IF($H471="","",IFERROR(INDEX(Action_Status_Map!$B$5:$B$11,MATCH($H471,Action_Status_Map!$A$5:$A$11,0)),""))</f>
        <v/>
      </c>
      <c r="J471" s="82" t="n"/>
      <c r="K471" s="82" t="n"/>
      <c r="L471" s="82" t="n"/>
      <c r="M471" s="83" t="n"/>
      <c r="N471" s="83" t="n"/>
      <c r="O471" s="66">
        <f>IF(OR($M471="",$N471=""),"",$N471-$M471)</f>
        <v/>
      </c>
      <c r="P471" s="84">
        <f>IF($J471="","",IF($L471&lt;&gt;"",$L471-$J471,TODAY()-$J471))</f>
        <v/>
      </c>
      <c r="Q471" s="85">
        <f>IF(OR($K471="",$H471="Completed",$H471="Cancelled"),"",IF(AND($K471&lt;TODAY(),$H471&lt;&gt;"Completed",$H471&lt;&gt;"Cancelled"),"Overdue","On Track"))</f>
        <v/>
      </c>
      <c r="R471" s="81" t="n"/>
      <c r="S471" s="81">
        <f>IF($B471="","",IFERROR(INDEX(Task_Tracker!$AA$5:$AA$1004,MATCH($B471,Task_Tracker!$A$5:$A$1004,0)),""))</f>
        <v/>
      </c>
      <c r="T471" s="81">
        <f>IF($B471="","",IFERROR(INDEX(Task_Tracker!$AB$5:$AB$1004,MATCH($B471,Task_Tracker!$A$5:$A$1004,0)),""))</f>
        <v/>
      </c>
      <c r="U471" s="78">
        <f>IF($B471="","",IFERROR(INDEX(Task_Tracker!$F$5:$F$1004,MATCH($B471,Task_Tracker!$A$5:$A$1004,0)),""))</f>
        <v/>
      </c>
      <c r="V471" s="78">
        <f>IF($B471="","",IFERROR(INDEX(Task_Tracker!$I$5:$I$1004,MATCH($B471,Task_Tracker!$A$5:$A$1004,0)),""))</f>
        <v/>
      </c>
      <c r="W471" s="81">
        <f>IF(OR($D471="",$B471=""),"",$D471&amp;" | "&amp;$B471)</f>
        <v/>
      </c>
      <c r="X471" s="85">
        <f>IF($K471="","",TEXT($K471,"yyyy-mm"))</f>
        <v/>
      </c>
      <c r="Y471" s="81">
        <f>IF(OR($A471="",$T471=""),"","Included in Manager_Report")</f>
        <v/>
      </c>
    </row>
    <row r="472" ht="15" customHeight="1" s="40">
      <c r="A472" s="65">
        <f>IF(COUNTA(B472:G472)=0,"","STP-"&amp;TEXT(ROW()-4,"0000"))</f>
        <v/>
      </c>
      <c r="B472" s="78" t="n"/>
      <c r="C472" s="67">
        <f>IF($B472="","",IFERROR(INDEX(Task_Tracker!$D$5:$D$1004,MATCH($B472,Task_Tracker!$A$5:$A$1004,0)),""))</f>
        <v/>
      </c>
      <c r="D472" s="67">
        <f>IF($B472="","",IFERROR(INDEX(Task_Tracker!$B$5:$B$1004,MATCH($B472,Task_Tracker!$A$5:$A$1004,0)),""))</f>
        <v/>
      </c>
      <c r="E472" s="81" t="n"/>
      <c r="F472" s="81" t="n"/>
      <c r="G472" s="78" t="n"/>
      <c r="H472" s="78" t="n"/>
      <c r="I472" s="67">
        <f>IF($H472="","",IFERROR(INDEX(Action_Status_Map!$B$5:$B$11,MATCH($H472,Action_Status_Map!$A$5:$A$11,0)),""))</f>
        <v/>
      </c>
      <c r="J472" s="82" t="n"/>
      <c r="K472" s="82" t="n"/>
      <c r="L472" s="82" t="n"/>
      <c r="M472" s="83" t="n"/>
      <c r="N472" s="83" t="n"/>
      <c r="O472" s="66">
        <f>IF(OR($M472="",$N472=""),"",$N472-$M472)</f>
        <v/>
      </c>
      <c r="P472" s="84">
        <f>IF($J472="","",IF($L472&lt;&gt;"",$L472-$J472,TODAY()-$J472))</f>
        <v/>
      </c>
      <c r="Q472" s="85">
        <f>IF(OR($K472="",$H472="Completed",$H472="Cancelled"),"",IF(AND($K472&lt;TODAY(),$H472&lt;&gt;"Completed",$H472&lt;&gt;"Cancelled"),"Overdue","On Track"))</f>
        <v/>
      </c>
      <c r="R472" s="81" t="n"/>
      <c r="S472" s="81">
        <f>IF($B472="","",IFERROR(INDEX(Task_Tracker!$AA$5:$AA$1004,MATCH($B472,Task_Tracker!$A$5:$A$1004,0)),""))</f>
        <v/>
      </c>
      <c r="T472" s="81">
        <f>IF($B472="","",IFERROR(INDEX(Task_Tracker!$AB$5:$AB$1004,MATCH($B472,Task_Tracker!$A$5:$A$1004,0)),""))</f>
        <v/>
      </c>
      <c r="U472" s="78">
        <f>IF($B472="","",IFERROR(INDEX(Task_Tracker!$F$5:$F$1004,MATCH($B472,Task_Tracker!$A$5:$A$1004,0)),""))</f>
        <v/>
      </c>
      <c r="V472" s="78">
        <f>IF($B472="","",IFERROR(INDEX(Task_Tracker!$I$5:$I$1004,MATCH($B472,Task_Tracker!$A$5:$A$1004,0)),""))</f>
        <v/>
      </c>
      <c r="W472" s="81">
        <f>IF(OR($D472="",$B472=""),"",$D472&amp;" | "&amp;$B472)</f>
        <v/>
      </c>
      <c r="X472" s="85">
        <f>IF($K472="","",TEXT($K472,"yyyy-mm"))</f>
        <v/>
      </c>
      <c r="Y472" s="81">
        <f>IF(OR($A472="",$T472=""),"","Included in Manager_Report")</f>
        <v/>
      </c>
    </row>
    <row r="473" ht="15" customHeight="1" s="40">
      <c r="A473" s="65">
        <f>IF(COUNTA(B473:G473)=0,"","STP-"&amp;TEXT(ROW()-4,"0000"))</f>
        <v/>
      </c>
      <c r="B473" s="78" t="n"/>
      <c r="C473" s="67">
        <f>IF($B473="","",IFERROR(INDEX(Task_Tracker!$D$5:$D$1004,MATCH($B473,Task_Tracker!$A$5:$A$1004,0)),""))</f>
        <v/>
      </c>
      <c r="D473" s="67">
        <f>IF($B473="","",IFERROR(INDEX(Task_Tracker!$B$5:$B$1004,MATCH($B473,Task_Tracker!$A$5:$A$1004,0)),""))</f>
        <v/>
      </c>
      <c r="E473" s="81" t="n"/>
      <c r="F473" s="81" t="n"/>
      <c r="G473" s="78" t="n"/>
      <c r="H473" s="78" t="n"/>
      <c r="I473" s="67">
        <f>IF($H473="","",IFERROR(INDEX(Action_Status_Map!$B$5:$B$11,MATCH($H473,Action_Status_Map!$A$5:$A$11,0)),""))</f>
        <v/>
      </c>
      <c r="J473" s="82" t="n"/>
      <c r="K473" s="82" t="n"/>
      <c r="L473" s="82" t="n"/>
      <c r="M473" s="83" t="n"/>
      <c r="N473" s="83" t="n"/>
      <c r="O473" s="66">
        <f>IF(OR($M473="",$N473=""),"",$N473-$M473)</f>
        <v/>
      </c>
      <c r="P473" s="84">
        <f>IF($J473="","",IF($L473&lt;&gt;"",$L473-$J473,TODAY()-$J473))</f>
        <v/>
      </c>
      <c r="Q473" s="85">
        <f>IF(OR($K473="",$H473="Completed",$H473="Cancelled"),"",IF(AND($K473&lt;TODAY(),$H473&lt;&gt;"Completed",$H473&lt;&gt;"Cancelled"),"Overdue","On Track"))</f>
        <v/>
      </c>
      <c r="R473" s="81" t="n"/>
      <c r="S473" s="81">
        <f>IF($B473="","",IFERROR(INDEX(Task_Tracker!$AA$5:$AA$1004,MATCH($B473,Task_Tracker!$A$5:$A$1004,0)),""))</f>
        <v/>
      </c>
      <c r="T473" s="81">
        <f>IF($B473="","",IFERROR(INDEX(Task_Tracker!$AB$5:$AB$1004,MATCH($B473,Task_Tracker!$A$5:$A$1004,0)),""))</f>
        <v/>
      </c>
      <c r="U473" s="78">
        <f>IF($B473="","",IFERROR(INDEX(Task_Tracker!$F$5:$F$1004,MATCH($B473,Task_Tracker!$A$5:$A$1004,0)),""))</f>
        <v/>
      </c>
      <c r="V473" s="78">
        <f>IF($B473="","",IFERROR(INDEX(Task_Tracker!$I$5:$I$1004,MATCH($B473,Task_Tracker!$A$5:$A$1004,0)),""))</f>
        <v/>
      </c>
      <c r="W473" s="81">
        <f>IF(OR($D473="",$B473=""),"",$D473&amp;" | "&amp;$B473)</f>
        <v/>
      </c>
      <c r="X473" s="85">
        <f>IF($K473="","",TEXT($K473,"yyyy-mm"))</f>
        <v/>
      </c>
      <c r="Y473" s="81">
        <f>IF(OR($A473="",$T473=""),"","Included in Manager_Report")</f>
        <v/>
      </c>
    </row>
    <row r="474" ht="15" customHeight="1" s="40">
      <c r="A474" s="65">
        <f>IF(COUNTA(B474:G474)=0,"","STP-"&amp;TEXT(ROW()-4,"0000"))</f>
        <v/>
      </c>
      <c r="B474" s="78" t="n"/>
      <c r="C474" s="67">
        <f>IF($B474="","",IFERROR(INDEX(Task_Tracker!$D$5:$D$1004,MATCH($B474,Task_Tracker!$A$5:$A$1004,0)),""))</f>
        <v/>
      </c>
      <c r="D474" s="67">
        <f>IF($B474="","",IFERROR(INDEX(Task_Tracker!$B$5:$B$1004,MATCH($B474,Task_Tracker!$A$5:$A$1004,0)),""))</f>
        <v/>
      </c>
      <c r="E474" s="81" t="n"/>
      <c r="F474" s="81" t="n"/>
      <c r="G474" s="78" t="n"/>
      <c r="H474" s="78" t="n"/>
      <c r="I474" s="67">
        <f>IF($H474="","",IFERROR(INDEX(Action_Status_Map!$B$5:$B$11,MATCH($H474,Action_Status_Map!$A$5:$A$11,0)),""))</f>
        <v/>
      </c>
      <c r="J474" s="82" t="n"/>
      <c r="K474" s="82" t="n"/>
      <c r="L474" s="82" t="n"/>
      <c r="M474" s="83" t="n"/>
      <c r="N474" s="83" t="n"/>
      <c r="O474" s="66">
        <f>IF(OR($M474="",$N474=""),"",$N474-$M474)</f>
        <v/>
      </c>
      <c r="P474" s="84">
        <f>IF($J474="","",IF($L474&lt;&gt;"",$L474-$J474,TODAY()-$J474))</f>
        <v/>
      </c>
      <c r="Q474" s="85">
        <f>IF(OR($K474="",$H474="Completed",$H474="Cancelled"),"",IF(AND($K474&lt;TODAY(),$H474&lt;&gt;"Completed",$H474&lt;&gt;"Cancelled"),"Overdue","On Track"))</f>
        <v/>
      </c>
      <c r="R474" s="81" t="n"/>
      <c r="S474" s="81">
        <f>IF($B474="","",IFERROR(INDEX(Task_Tracker!$AA$5:$AA$1004,MATCH($B474,Task_Tracker!$A$5:$A$1004,0)),""))</f>
        <v/>
      </c>
      <c r="T474" s="81">
        <f>IF($B474="","",IFERROR(INDEX(Task_Tracker!$AB$5:$AB$1004,MATCH($B474,Task_Tracker!$A$5:$A$1004,0)),""))</f>
        <v/>
      </c>
      <c r="U474" s="78">
        <f>IF($B474="","",IFERROR(INDEX(Task_Tracker!$F$5:$F$1004,MATCH($B474,Task_Tracker!$A$5:$A$1004,0)),""))</f>
        <v/>
      </c>
      <c r="V474" s="78">
        <f>IF($B474="","",IFERROR(INDEX(Task_Tracker!$I$5:$I$1004,MATCH($B474,Task_Tracker!$A$5:$A$1004,0)),""))</f>
        <v/>
      </c>
      <c r="W474" s="81">
        <f>IF(OR($D474="",$B474=""),"",$D474&amp;" | "&amp;$B474)</f>
        <v/>
      </c>
      <c r="X474" s="85">
        <f>IF($K474="","",TEXT($K474,"yyyy-mm"))</f>
        <v/>
      </c>
      <c r="Y474" s="81">
        <f>IF(OR($A474="",$T474=""),"","Included in Manager_Report")</f>
        <v/>
      </c>
    </row>
    <row r="475" ht="15" customHeight="1" s="40">
      <c r="A475" s="65">
        <f>IF(COUNTA(B475:G475)=0,"","STP-"&amp;TEXT(ROW()-4,"0000"))</f>
        <v/>
      </c>
      <c r="B475" s="78" t="n"/>
      <c r="C475" s="67">
        <f>IF($B475="","",IFERROR(INDEX(Task_Tracker!$D$5:$D$1004,MATCH($B475,Task_Tracker!$A$5:$A$1004,0)),""))</f>
        <v/>
      </c>
      <c r="D475" s="67">
        <f>IF($B475="","",IFERROR(INDEX(Task_Tracker!$B$5:$B$1004,MATCH($B475,Task_Tracker!$A$5:$A$1004,0)),""))</f>
        <v/>
      </c>
      <c r="E475" s="81" t="n"/>
      <c r="F475" s="81" t="n"/>
      <c r="G475" s="78" t="n"/>
      <c r="H475" s="78" t="n"/>
      <c r="I475" s="67">
        <f>IF($H475="","",IFERROR(INDEX(Action_Status_Map!$B$5:$B$11,MATCH($H475,Action_Status_Map!$A$5:$A$11,0)),""))</f>
        <v/>
      </c>
      <c r="J475" s="82" t="n"/>
      <c r="K475" s="82" t="n"/>
      <c r="L475" s="82" t="n"/>
      <c r="M475" s="83" t="n"/>
      <c r="N475" s="83" t="n"/>
      <c r="O475" s="66">
        <f>IF(OR($M475="",$N475=""),"",$N475-$M475)</f>
        <v/>
      </c>
      <c r="P475" s="84">
        <f>IF($J475="","",IF($L475&lt;&gt;"",$L475-$J475,TODAY()-$J475))</f>
        <v/>
      </c>
      <c r="Q475" s="85">
        <f>IF(OR($K475="",$H475="Completed",$H475="Cancelled"),"",IF(AND($K475&lt;TODAY(),$H475&lt;&gt;"Completed",$H475&lt;&gt;"Cancelled"),"Overdue","On Track"))</f>
        <v/>
      </c>
      <c r="R475" s="81" t="n"/>
      <c r="S475" s="81">
        <f>IF($B475="","",IFERROR(INDEX(Task_Tracker!$AA$5:$AA$1004,MATCH($B475,Task_Tracker!$A$5:$A$1004,0)),""))</f>
        <v/>
      </c>
      <c r="T475" s="81">
        <f>IF($B475="","",IFERROR(INDEX(Task_Tracker!$AB$5:$AB$1004,MATCH($B475,Task_Tracker!$A$5:$A$1004,0)),""))</f>
        <v/>
      </c>
      <c r="U475" s="78">
        <f>IF($B475="","",IFERROR(INDEX(Task_Tracker!$F$5:$F$1004,MATCH($B475,Task_Tracker!$A$5:$A$1004,0)),""))</f>
        <v/>
      </c>
      <c r="V475" s="78">
        <f>IF($B475="","",IFERROR(INDEX(Task_Tracker!$I$5:$I$1004,MATCH($B475,Task_Tracker!$A$5:$A$1004,0)),""))</f>
        <v/>
      </c>
      <c r="W475" s="81">
        <f>IF(OR($D475="",$B475=""),"",$D475&amp;" | "&amp;$B475)</f>
        <v/>
      </c>
      <c r="X475" s="85">
        <f>IF($K475="","",TEXT($K475,"yyyy-mm"))</f>
        <v/>
      </c>
      <c r="Y475" s="81">
        <f>IF(OR($A475="",$T475=""),"","Included in Manager_Report")</f>
        <v/>
      </c>
    </row>
    <row r="476" ht="15" customHeight="1" s="40">
      <c r="A476" s="65">
        <f>IF(COUNTA(B476:G476)=0,"","STP-"&amp;TEXT(ROW()-4,"0000"))</f>
        <v/>
      </c>
      <c r="B476" s="78" t="n"/>
      <c r="C476" s="67">
        <f>IF($B476="","",IFERROR(INDEX(Task_Tracker!$D$5:$D$1004,MATCH($B476,Task_Tracker!$A$5:$A$1004,0)),""))</f>
        <v/>
      </c>
      <c r="D476" s="67">
        <f>IF($B476="","",IFERROR(INDEX(Task_Tracker!$B$5:$B$1004,MATCH($B476,Task_Tracker!$A$5:$A$1004,0)),""))</f>
        <v/>
      </c>
      <c r="E476" s="81" t="n"/>
      <c r="F476" s="81" t="n"/>
      <c r="G476" s="78" t="n"/>
      <c r="H476" s="78" t="n"/>
      <c r="I476" s="67">
        <f>IF($H476="","",IFERROR(INDEX(Action_Status_Map!$B$5:$B$11,MATCH($H476,Action_Status_Map!$A$5:$A$11,0)),""))</f>
        <v/>
      </c>
      <c r="J476" s="82" t="n"/>
      <c r="K476" s="82" t="n"/>
      <c r="L476" s="82" t="n"/>
      <c r="M476" s="83" t="n"/>
      <c r="N476" s="83" t="n"/>
      <c r="O476" s="66">
        <f>IF(OR($M476="",$N476=""),"",$N476-$M476)</f>
        <v/>
      </c>
      <c r="P476" s="84">
        <f>IF($J476="","",IF($L476&lt;&gt;"",$L476-$J476,TODAY()-$J476))</f>
        <v/>
      </c>
      <c r="Q476" s="85">
        <f>IF(OR($K476="",$H476="Completed",$H476="Cancelled"),"",IF(AND($K476&lt;TODAY(),$H476&lt;&gt;"Completed",$H476&lt;&gt;"Cancelled"),"Overdue","On Track"))</f>
        <v/>
      </c>
      <c r="R476" s="81" t="n"/>
      <c r="S476" s="81">
        <f>IF($B476="","",IFERROR(INDEX(Task_Tracker!$AA$5:$AA$1004,MATCH($B476,Task_Tracker!$A$5:$A$1004,0)),""))</f>
        <v/>
      </c>
      <c r="T476" s="81">
        <f>IF($B476="","",IFERROR(INDEX(Task_Tracker!$AB$5:$AB$1004,MATCH($B476,Task_Tracker!$A$5:$A$1004,0)),""))</f>
        <v/>
      </c>
      <c r="U476" s="78">
        <f>IF($B476="","",IFERROR(INDEX(Task_Tracker!$F$5:$F$1004,MATCH($B476,Task_Tracker!$A$5:$A$1004,0)),""))</f>
        <v/>
      </c>
      <c r="V476" s="78">
        <f>IF($B476="","",IFERROR(INDEX(Task_Tracker!$I$5:$I$1004,MATCH($B476,Task_Tracker!$A$5:$A$1004,0)),""))</f>
        <v/>
      </c>
      <c r="W476" s="81">
        <f>IF(OR($D476="",$B476=""),"",$D476&amp;" | "&amp;$B476)</f>
        <v/>
      </c>
      <c r="X476" s="85">
        <f>IF($K476="","",TEXT($K476,"yyyy-mm"))</f>
        <v/>
      </c>
      <c r="Y476" s="81">
        <f>IF(OR($A476="",$T476=""),"","Included in Manager_Report")</f>
        <v/>
      </c>
    </row>
    <row r="477" ht="15" customHeight="1" s="40">
      <c r="A477" s="65">
        <f>IF(COUNTA(B477:G477)=0,"","STP-"&amp;TEXT(ROW()-4,"0000"))</f>
        <v/>
      </c>
      <c r="B477" s="78" t="n"/>
      <c r="C477" s="67">
        <f>IF($B477="","",IFERROR(INDEX(Task_Tracker!$D$5:$D$1004,MATCH($B477,Task_Tracker!$A$5:$A$1004,0)),""))</f>
        <v/>
      </c>
      <c r="D477" s="67">
        <f>IF($B477="","",IFERROR(INDEX(Task_Tracker!$B$5:$B$1004,MATCH($B477,Task_Tracker!$A$5:$A$1004,0)),""))</f>
        <v/>
      </c>
      <c r="E477" s="81" t="n"/>
      <c r="F477" s="81" t="n"/>
      <c r="G477" s="78" t="n"/>
      <c r="H477" s="78" t="n"/>
      <c r="I477" s="67">
        <f>IF($H477="","",IFERROR(INDEX(Action_Status_Map!$B$5:$B$11,MATCH($H477,Action_Status_Map!$A$5:$A$11,0)),""))</f>
        <v/>
      </c>
      <c r="J477" s="82" t="n"/>
      <c r="K477" s="82" t="n"/>
      <c r="L477" s="82" t="n"/>
      <c r="M477" s="83" t="n"/>
      <c r="N477" s="83" t="n"/>
      <c r="O477" s="66">
        <f>IF(OR($M477="",$N477=""),"",$N477-$M477)</f>
        <v/>
      </c>
      <c r="P477" s="84">
        <f>IF($J477="","",IF($L477&lt;&gt;"",$L477-$J477,TODAY()-$J477))</f>
        <v/>
      </c>
      <c r="Q477" s="85">
        <f>IF(OR($K477="",$H477="Completed",$H477="Cancelled"),"",IF(AND($K477&lt;TODAY(),$H477&lt;&gt;"Completed",$H477&lt;&gt;"Cancelled"),"Overdue","On Track"))</f>
        <v/>
      </c>
      <c r="R477" s="81" t="n"/>
      <c r="S477" s="81">
        <f>IF($B477="","",IFERROR(INDEX(Task_Tracker!$AA$5:$AA$1004,MATCH($B477,Task_Tracker!$A$5:$A$1004,0)),""))</f>
        <v/>
      </c>
      <c r="T477" s="81">
        <f>IF($B477="","",IFERROR(INDEX(Task_Tracker!$AB$5:$AB$1004,MATCH($B477,Task_Tracker!$A$5:$A$1004,0)),""))</f>
        <v/>
      </c>
      <c r="U477" s="78">
        <f>IF($B477="","",IFERROR(INDEX(Task_Tracker!$F$5:$F$1004,MATCH($B477,Task_Tracker!$A$5:$A$1004,0)),""))</f>
        <v/>
      </c>
      <c r="V477" s="78">
        <f>IF($B477="","",IFERROR(INDEX(Task_Tracker!$I$5:$I$1004,MATCH($B477,Task_Tracker!$A$5:$A$1004,0)),""))</f>
        <v/>
      </c>
      <c r="W477" s="81">
        <f>IF(OR($D477="",$B477=""),"",$D477&amp;" | "&amp;$B477)</f>
        <v/>
      </c>
      <c r="X477" s="85">
        <f>IF($K477="","",TEXT($K477,"yyyy-mm"))</f>
        <v/>
      </c>
      <c r="Y477" s="81">
        <f>IF(OR($A477="",$T477=""),"","Included in Manager_Report")</f>
        <v/>
      </c>
    </row>
    <row r="478" ht="15" customHeight="1" s="40">
      <c r="A478" s="65">
        <f>IF(COUNTA(B478:G478)=0,"","STP-"&amp;TEXT(ROW()-4,"0000"))</f>
        <v/>
      </c>
      <c r="B478" s="78" t="n"/>
      <c r="C478" s="67">
        <f>IF($B478="","",IFERROR(INDEX(Task_Tracker!$D$5:$D$1004,MATCH($B478,Task_Tracker!$A$5:$A$1004,0)),""))</f>
        <v/>
      </c>
      <c r="D478" s="67">
        <f>IF($B478="","",IFERROR(INDEX(Task_Tracker!$B$5:$B$1004,MATCH($B478,Task_Tracker!$A$5:$A$1004,0)),""))</f>
        <v/>
      </c>
      <c r="E478" s="81" t="n"/>
      <c r="F478" s="81" t="n"/>
      <c r="G478" s="78" t="n"/>
      <c r="H478" s="78" t="n"/>
      <c r="I478" s="67">
        <f>IF($H478="","",IFERROR(INDEX(Action_Status_Map!$B$5:$B$11,MATCH($H478,Action_Status_Map!$A$5:$A$11,0)),""))</f>
        <v/>
      </c>
      <c r="J478" s="82" t="n"/>
      <c r="K478" s="82" t="n"/>
      <c r="L478" s="82" t="n"/>
      <c r="M478" s="83" t="n"/>
      <c r="N478" s="83" t="n"/>
      <c r="O478" s="66">
        <f>IF(OR($M478="",$N478=""),"",$N478-$M478)</f>
        <v/>
      </c>
      <c r="P478" s="84">
        <f>IF($J478="","",IF($L478&lt;&gt;"",$L478-$J478,TODAY()-$J478))</f>
        <v/>
      </c>
      <c r="Q478" s="85">
        <f>IF(OR($K478="",$H478="Completed",$H478="Cancelled"),"",IF(AND($K478&lt;TODAY(),$H478&lt;&gt;"Completed",$H478&lt;&gt;"Cancelled"),"Overdue","On Track"))</f>
        <v/>
      </c>
      <c r="R478" s="81" t="n"/>
      <c r="S478" s="81">
        <f>IF($B478="","",IFERROR(INDEX(Task_Tracker!$AA$5:$AA$1004,MATCH($B478,Task_Tracker!$A$5:$A$1004,0)),""))</f>
        <v/>
      </c>
      <c r="T478" s="81">
        <f>IF($B478="","",IFERROR(INDEX(Task_Tracker!$AB$5:$AB$1004,MATCH($B478,Task_Tracker!$A$5:$A$1004,0)),""))</f>
        <v/>
      </c>
      <c r="U478" s="78">
        <f>IF($B478="","",IFERROR(INDEX(Task_Tracker!$F$5:$F$1004,MATCH($B478,Task_Tracker!$A$5:$A$1004,0)),""))</f>
        <v/>
      </c>
      <c r="V478" s="78">
        <f>IF($B478="","",IFERROR(INDEX(Task_Tracker!$I$5:$I$1004,MATCH($B478,Task_Tracker!$A$5:$A$1004,0)),""))</f>
        <v/>
      </c>
      <c r="W478" s="81">
        <f>IF(OR($D478="",$B478=""),"",$D478&amp;" | "&amp;$B478)</f>
        <v/>
      </c>
      <c r="X478" s="85">
        <f>IF($K478="","",TEXT($K478,"yyyy-mm"))</f>
        <v/>
      </c>
      <c r="Y478" s="81">
        <f>IF(OR($A478="",$T478=""),"","Included in Manager_Report")</f>
        <v/>
      </c>
    </row>
    <row r="479" ht="15" customHeight="1" s="40">
      <c r="A479" s="65">
        <f>IF(COUNTA(B479:G479)=0,"","STP-"&amp;TEXT(ROW()-4,"0000"))</f>
        <v/>
      </c>
      <c r="B479" s="78" t="n"/>
      <c r="C479" s="67">
        <f>IF($B479="","",IFERROR(INDEX(Task_Tracker!$D$5:$D$1004,MATCH($B479,Task_Tracker!$A$5:$A$1004,0)),""))</f>
        <v/>
      </c>
      <c r="D479" s="67">
        <f>IF($B479="","",IFERROR(INDEX(Task_Tracker!$B$5:$B$1004,MATCH($B479,Task_Tracker!$A$5:$A$1004,0)),""))</f>
        <v/>
      </c>
      <c r="E479" s="81" t="n"/>
      <c r="F479" s="81" t="n"/>
      <c r="G479" s="78" t="n"/>
      <c r="H479" s="78" t="n"/>
      <c r="I479" s="67">
        <f>IF($H479="","",IFERROR(INDEX(Action_Status_Map!$B$5:$B$11,MATCH($H479,Action_Status_Map!$A$5:$A$11,0)),""))</f>
        <v/>
      </c>
      <c r="J479" s="82" t="n"/>
      <c r="K479" s="82" t="n"/>
      <c r="L479" s="82" t="n"/>
      <c r="M479" s="83" t="n"/>
      <c r="N479" s="83" t="n"/>
      <c r="O479" s="66">
        <f>IF(OR($M479="",$N479=""),"",$N479-$M479)</f>
        <v/>
      </c>
      <c r="P479" s="84">
        <f>IF($J479="","",IF($L479&lt;&gt;"",$L479-$J479,TODAY()-$J479))</f>
        <v/>
      </c>
      <c r="Q479" s="85">
        <f>IF(OR($K479="",$H479="Completed",$H479="Cancelled"),"",IF(AND($K479&lt;TODAY(),$H479&lt;&gt;"Completed",$H479&lt;&gt;"Cancelled"),"Overdue","On Track"))</f>
        <v/>
      </c>
      <c r="R479" s="81" t="n"/>
      <c r="S479" s="81">
        <f>IF($B479="","",IFERROR(INDEX(Task_Tracker!$AA$5:$AA$1004,MATCH($B479,Task_Tracker!$A$5:$A$1004,0)),""))</f>
        <v/>
      </c>
      <c r="T479" s="81">
        <f>IF($B479="","",IFERROR(INDEX(Task_Tracker!$AB$5:$AB$1004,MATCH($B479,Task_Tracker!$A$5:$A$1004,0)),""))</f>
        <v/>
      </c>
      <c r="U479" s="78">
        <f>IF($B479="","",IFERROR(INDEX(Task_Tracker!$F$5:$F$1004,MATCH($B479,Task_Tracker!$A$5:$A$1004,0)),""))</f>
        <v/>
      </c>
      <c r="V479" s="78">
        <f>IF($B479="","",IFERROR(INDEX(Task_Tracker!$I$5:$I$1004,MATCH($B479,Task_Tracker!$A$5:$A$1004,0)),""))</f>
        <v/>
      </c>
      <c r="W479" s="81">
        <f>IF(OR($D479="",$B479=""),"",$D479&amp;" | "&amp;$B479)</f>
        <v/>
      </c>
      <c r="X479" s="85">
        <f>IF($K479="","",TEXT($K479,"yyyy-mm"))</f>
        <v/>
      </c>
      <c r="Y479" s="81">
        <f>IF(OR($A479="",$T479=""),"","Included in Manager_Report")</f>
        <v/>
      </c>
    </row>
    <row r="480" ht="15" customHeight="1" s="40">
      <c r="A480" s="65">
        <f>IF(COUNTA(B480:G480)=0,"","STP-"&amp;TEXT(ROW()-4,"0000"))</f>
        <v/>
      </c>
      <c r="B480" s="78" t="n"/>
      <c r="C480" s="67">
        <f>IF($B480="","",IFERROR(INDEX(Task_Tracker!$D$5:$D$1004,MATCH($B480,Task_Tracker!$A$5:$A$1004,0)),""))</f>
        <v/>
      </c>
      <c r="D480" s="67">
        <f>IF($B480="","",IFERROR(INDEX(Task_Tracker!$B$5:$B$1004,MATCH($B480,Task_Tracker!$A$5:$A$1004,0)),""))</f>
        <v/>
      </c>
      <c r="E480" s="81" t="n"/>
      <c r="F480" s="81" t="n"/>
      <c r="G480" s="78" t="n"/>
      <c r="H480" s="78" t="n"/>
      <c r="I480" s="67">
        <f>IF($H480="","",IFERROR(INDEX(Action_Status_Map!$B$5:$B$11,MATCH($H480,Action_Status_Map!$A$5:$A$11,0)),""))</f>
        <v/>
      </c>
      <c r="J480" s="82" t="n"/>
      <c r="K480" s="82" t="n"/>
      <c r="L480" s="82" t="n"/>
      <c r="M480" s="83" t="n"/>
      <c r="N480" s="83" t="n"/>
      <c r="O480" s="66">
        <f>IF(OR($M480="",$N480=""),"",$N480-$M480)</f>
        <v/>
      </c>
      <c r="P480" s="84">
        <f>IF($J480="","",IF($L480&lt;&gt;"",$L480-$J480,TODAY()-$J480))</f>
        <v/>
      </c>
      <c r="Q480" s="85">
        <f>IF(OR($K480="",$H480="Completed",$H480="Cancelled"),"",IF(AND($K480&lt;TODAY(),$H480&lt;&gt;"Completed",$H480&lt;&gt;"Cancelled"),"Overdue","On Track"))</f>
        <v/>
      </c>
      <c r="R480" s="81" t="n"/>
      <c r="S480" s="81">
        <f>IF($B480="","",IFERROR(INDEX(Task_Tracker!$AA$5:$AA$1004,MATCH($B480,Task_Tracker!$A$5:$A$1004,0)),""))</f>
        <v/>
      </c>
      <c r="T480" s="81">
        <f>IF($B480="","",IFERROR(INDEX(Task_Tracker!$AB$5:$AB$1004,MATCH($B480,Task_Tracker!$A$5:$A$1004,0)),""))</f>
        <v/>
      </c>
      <c r="U480" s="78">
        <f>IF($B480="","",IFERROR(INDEX(Task_Tracker!$F$5:$F$1004,MATCH($B480,Task_Tracker!$A$5:$A$1004,0)),""))</f>
        <v/>
      </c>
      <c r="V480" s="78">
        <f>IF($B480="","",IFERROR(INDEX(Task_Tracker!$I$5:$I$1004,MATCH($B480,Task_Tracker!$A$5:$A$1004,0)),""))</f>
        <v/>
      </c>
      <c r="W480" s="81">
        <f>IF(OR($D480="",$B480=""),"",$D480&amp;" | "&amp;$B480)</f>
        <v/>
      </c>
      <c r="X480" s="85">
        <f>IF($K480="","",TEXT($K480,"yyyy-mm"))</f>
        <v/>
      </c>
      <c r="Y480" s="81">
        <f>IF(OR($A480="",$T480=""),"","Included in Manager_Report")</f>
        <v/>
      </c>
    </row>
    <row r="481" ht="15" customHeight="1" s="40">
      <c r="A481" s="65">
        <f>IF(COUNTA(B481:G481)=0,"","STP-"&amp;TEXT(ROW()-4,"0000"))</f>
        <v/>
      </c>
      <c r="B481" s="78" t="n"/>
      <c r="C481" s="67">
        <f>IF($B481="","",IFERROR(INDEX(Task_Tracker!$D$5:$D$1004,MATCH($B481,Task_Tracker!$A$5:$A$1004,0)),""))</f>
        <v/>
      </c>
      <c r="D481" s="67">
        <f>IF($B481="","",IFERROR(INDEX(Task_Tracker!$B$5:$B$1004,MATCH($B481,Task_Tracker!$A$5:$A$1004,0)),""))</f>
        <v/>
      </c>
      <c r="E481" s="81" t="n"/>
      <c r="F481" s="81" t="n"/>
      <c r="G481" s="78" t="n"/>
      <c r="H481" s="78" t="n"/>
      <c r="I481" s="67">
        <f>IF($H481="","",IFERROR(INDEX(Action_Status_Map!$B$5:$B$11,MATCH($H481,Action_Status_Map!$A$5:$A$11,0)),""))</f>
        <v/>
      </c>
      <c r="J481" s="82" t="n"/>
      <c r="K481" s="82" t="n"/>
      <c r="L481" s="82" t="n"/>
      <c r="M481" s="83" t="n"/>
      <c r="N481" s="83" t="n"/>
      <c r="O481" s="66">
        <f>IF(OR($M481="",$N481=""),"",$N481-$M481)</f>
        <v/>
      </c>
      <c r="P481" s="84">
        <f>IF($J481="","",IF($L481&lt;&gt;"",$L481-$J481,TODAY()-$J481))</f>
        <v/>
      </c>
      <c r="Q481" s="85">
        <f>IF(OR($K481="",$H481="Completed",$H481="Cancelled"),"",IF(AND($K481&lt;TODAY(),$H481&lt;&gt;"Completed",$H481&lt;&gt;"Cancelled"),"Overdue","On Track"))</f>
        <v/>
      </c>
      <c r="R481" s="81" t="n"/>
      <c r="S481" s="81">
        <f>IF($B481="","",IFERROR(INDEX(Task_Tracker!$AA$5:$AA$1004,MATCH($B481,Task_Tracker!$A$5:$A$1004,0)),""))</f>
        <v/>
      </c>
      <c r="T481" s="81">
        <f>IF($B481="","",IFERROR(INDEX(Task_Tracker!$AB$5:$AB$1004,MATCH($B481,Task_Tracker!$A$5:$A$1004,0)),""))</f>
        <v/>
      </c>
      <c r="U481" s="78">
        <f>IF($B481="","",IFERROR(INDEX(Task_Tracker!$F$5:$F$1004,MATCH($B481,Task_Tracker!$A$5:$A$1004,0)),""))</f>
        <v/>
      </c>
      <c r="V481" s="78">
        <f>IF($B481="","",IFERROR(INDEX(Task_Tracker!$I$5:$I$1004,MATCH($B481,Task_Tracker!$A$5:$A$1004,0)),""))</f>
        <v/>
      </c>
      <c r="W481" s="81">
        <f>IF(OR($D481="",$B481=""),"",$D481&amp;" | "&amp;$B481)</f>
        <v/>
      </c>
      <c r="X481" s="85">
        <f>IF($K481="","",TEXT($K481,"yyyy-mm"))</f>
        <v/>
      </c>
      <c r="Y481" s="81">
        <f>IF(OR($A481="",$T481=""),"","Included in Manager_Report")</f>
        <v/>
      </c>
    </row>
    <row r="482" ht="15" customHeight="1" s="40">
      <c r="A482" s="65">
        <f>IF(COUNTA(B482:G482)=0,"","STP-"&amp;TEXT(ROW()-4,"0000"))</f>
        <v/>
      </c>
      <c r="B482" s="78" t="n"/>
      <c r="C482" s="67">
        <f>IF($B482="","",IFERROR(INDEX(Task_Tracker!$D$5:$D$1004,MATCH($B482,Task_Tracker!$A$5:$A$1004,0)),""))</f>
        <v/>
      </c>
      <c r="D482" s="67">
        <f>IF($B482="","",IFERROR(INDEX(Task_Tracker!$B$5:$B$1004,MATCH($B482,Task_Tracker!$A$5:$A$1004,0)),""))</f>
        <v/>
      </c>
      <c r="E482" s="81" t="n"/>
      <c r="F482" s="81" t="n"/>
      <c r="G482" s="78" t="n"/>
      <c r="H482" s="78" t="n"/>
      <c r="I482" s="67">
        <f>IF($H482="","",IFERROR(INDEX(Action_Status_Map!$B$5:$B$11,MATCH($H482,Action_Status_Map!$A$5:$A$11,0)),""))</f>
        <v/>
      </c>
      <c r="J482" s="82" t="n"/>
      <c r="K482" s="82" t="n"/>
      <c r="L482" s="82" t="n"/>
      <c r="M482" s="83" t="n"/>
      <c r="N482" s="83" t="n"/>
      <c r="O482" s="66">
        <f>IF(OR($M482="",$N482=""),"",$N482-$M482)</f>
        <v/>
      </c>
      <c r="P482" s="84">
        <f>IF($J482="","",IF($L482&lt;&gt;"",$L482-$J482,TODAY()-$J482))</f>
        <v/>
      </c>
      <c r="Q482" s="85">
        <f>IF(OR($K482="",$H482="Completed",$H482="Cancelled"),"",IF(AND($K482&lt;TODAY(),$H482&lt;&gt;"Completed",$H482&lt;&gt;"Cancelled"),"Overdue","On Track"))</f>
        <v/>
      </c>
      <c r="R482" s="81" t="n"/>
      <c r="S482" s="81">
        <f>IF($B482="","",IFERROR(INDEX(Task_Tracker!$AA$5:$AA$1004,MATCH($B482,Task_Tracker!$A$5:$A$1004,0)),""))</f>
        <v/>
      </c>
      <c r="T482" s="81">
        <f>IF($B482="","",IFERROR(INDEX(Task_Tracker!$AB$5:$AB$1004,MATCH($B482,Task_Tracker!$A$5:$A$1004,0)),""))</f>
        <v/>
      </c>
      <c r="U482" s="78">
        <f>IF($B482="","",IFERROR(INDEX(Task_Tracker!$F$5:$F$1004,MATCH($B482,Task_Tracker!$A$5:$A$1004,0)),""))</f>
        <v/>
      </c>
      <c r="V482" s="78">
        <f>IF($B482="","",IFERROR(INDEX(Task_Tracker!$I$5:$I$1004,MATCH($B482,Task_Tracker!$A$5:$A$1004,0)),""))</f>
        <v/>
      </c>
      <c r="W482" s="81">
        <f>IF(OR($D482="",$B482=""),"",$D482&amp;" | "&amp;$B482)</f>
        <v/>
      </c>
      <c r="X482" s="85">
        <f>IF($K482="","",TEXT($K482,"yyyy-mm"))</f>
        <v/>
      </c>
      <c r="Y482" s="81">
        <f>IF(OR($A482="",$T482=""),"","Included in Manager_Report")</f>
        <v/>
      </c>
    </row>
    <row r="483" ht="15" customHeight="1" s="40">
      <c r="A483" s="65">
        <f>IF(COUNTA(B483:G483)=0,"","STP-"&amp;TEXT(ROW()-4,"0000"))</f>
        <v/>
      </c>
      <c r="B483" s="78" t="n"/>
      <c r="C483" s="67">
        <f>IF($B483="","",IFERROR(INDEX(Task_Tracker!$D$5:$D$1004,MATCH($B483,Task_Tracker!$A$5:$A$1004,0)),""))</f>
        <v/>
      </c>
      <c r="D483" s="67">
        <f>IF($B483="","",IFERROR(INDEX(Task_Tracker!$B$5:$B$1004,MATCH($B483,Task_Tracker!$A$5:$A$1004,0)),""))</f>
        <v/>
      </c>
      <c r="E483" s="81" t="n"/>
      <c r="F483" s="81" t="n"/>
      <c r="G483" s="78" t="n"/>
      <c r="H483" s="78" t="n"/>
      <c r="I483" s="67">
        <f>IF($H483="","",IFERROR(INDEX(Action_Status_Map!$B$5:$B$11,MATCH($H483,Action_Status_Map!$A$5:$A$11,0)),""))</f>
        <v/>
      </c>
      <c r="J483" s="82" t="n"/>
      <c r="K483" s="82" t="n"/>
      <c r="L483" s="82" t="n"/>
      <c r="M483" s="83" t="n"/>
      <c r="N483" s="83" t="n"/>
      <c r="O483" s="66">
        <f>IF(OR($M483="",$N483=""),"",$N483-$M483)</f>
        <v/>
      </c>
      <c r="P483" s="84">
        <f>IF($J483="","",IF($L483&lt;&gt;"",$L483-$J483,TODAY()-$J483))</f>
        <v/>
      </c>
      <c r="Q483" s="85">
        <f>IF(OR($K483="",$H483="Completed",$H483="Cancelled"),"",IF(AND($K483&lt;TODAY(),$H483&lt;&gt;"Completed",$H483&lt;&gt;"Cancelled"),"Overdue","On Track"))</f>
        <v/>
      </c>
      <c r="R483" s="81" t="n"/>
      <c r="S483" s="81">
        <f>IF($B483="","",IFERROR(INDEX(Task_Tracker!$AA$5:$AA$1004,MATCH($B483,Task_Tracker!$A$5:$A$1004,0)),""))</f>
        <v/>
      </c>
      <c r="T483" s="81">
        <f>IF($B483="","",IFERROR(INDEX(Task_Tracker!$AB$5:$AB$1004,MATCH($B483,Task_Tracker!$A$5:$A$1004,0)),""))</f>
        <v/>
      </c>
      <c r="U483" s="78">
        <f>IF($B483="","",IFERROR(INDEX(Task_Tracker!$F$5:$F$1004,MATCH($B483,Task_Tracker!$A$5:$A$1004,0)),""))</f>
        <v/>
      </c>
      <c r="V483" s="78">
        <f>IF($B483="","",IFERROR(INDEX(Task_Tracker!$I$5:$I$1004,MATCH($B483,Task_Tracker!$A$5:$A$1004,0)),""))</f>
        <v/>
      </c>
      <c r="W483" s="81">
        <f>IF(OR($D483="",$B483=""),"",$D483&amp;" | "&amp;$B483)</f>
        <v/>
      </c>
      <c r="X483" s="85">
        <f>IF($K483="","",TEXT($K483,"yyyy-mm"))</f>
        <v/>
      </c>
      <c r="Y483" s="81">
        <f>IF(OR($A483="",$T483=""),"","Included in Manager_Report")</f>
        <v/>
      </c>
    </row>
    <row r="484" ht="15" customHeight="1" s="40">
      <c r="A484" s="65">
        <f>IF(COUNTA(B484:G484)=0,"","STP-"&amp;TEXT(ROW()-4,"0000"))</f>
        <v/>
      </c>
      <c r="B484" s="78" t="n"/>
      <c r="C484" s="67">
        <f>IF($B484="","",IFERROR(INDEX(Task_Tracker!$D$5:$D$1004,MATCH($B484,Task_Tracker!$A$5:$A$1004,0)),""))</f>
        <v/>
      </c>
      <c r="D484" s="67">
        <f>IF($B484="","",IFERROR(INDEX(Task_Tracker!$B$5:$B$1004,MATCH($B484,Task_Tracker!$A$5:$A$1004,0)),""))</f>
        <v/>
      </c>
      <c r="E484" s="81" t="n"/>
      <c r="F484" s="81" t="n"/>
      <c r="G484" s="78" t="n"/>
      <c r="H484" s="78" t="n"/>
      <c r="I484" s="67">
        <f>IF($H484="","",IFERROR(INDEX(Action_Status_Map!$B$5:$B$11,MATCH($H484,Action_Status_Map!$A$5:$A$11,0)),""))</f>
        <v/>
      </c>
      <c r="J484" s="82" t="n"/>
      <c r="K484" s="82" t="n"/>
      <c r="L484" s="82" t="n"/>
      <c r="M484" s="83" t="n"/>
      <c r="N484" s="83" t="n"/>
      <c r="O484" s="66">
        <f>IF(OR($M484="",$N484=""),"",$N484-$M484)</f>
        <v/>
      </c>
      <c r="P484" s="84">
        <f>IF($J484="","",IF($L484&lt;&gt;"",$L484-$J484,TODAY()-$J484))</f>
        <v/>
      </c>
      <c r="Q484" s="85">
        <f>IF(OR($K484="",$H484="Completed",$H484="Cancelled"),"",IF(AND($K484&lt;TODAY(),$H484&lt;&gt;"Completed",$H484&lt;&gt;"Cancelled"),"Overdue","On Track"))</f>
        <v/>
      </c>
      <c r="R484" s="81" t="n"/>
      <c r="S484" s="81">
        <f>IF($B484="","",IFERROR(INDEX(Task_Tracker!$AA$5:$AA$1004,MATCH($B484,Task_Tracker!$A$5:$A$1004,0)),""))</f>
        <v/>
      </c>
      <c r="T484" s="81">
        <f>IF($B484="","",IFERROR(INDEX(Task_Tracker!$AB$5:$AB$1004,MATCH($B484,Task_Tracker!$A$5:$A$1004,0)),""))</f>
        <v/>
      </c>
      <c r="U484" s="78">
        <f>IF($B484="","",IFERROR(INDEX(Task_Tracker!$F$5:$F$1004,MATCH($B484,Task_Tracker!$A$5:$A$1004,0)),""))</f>
        <v/>
      </c>
      <c r="V484" s="78">
        <f>IF($B484="","",IFERROR(INDEX(Task_Tracker!$I$5:$I$1004,MATCH($B484,Task_Tracker!$A$5:$A$1004,0)),""))</f>
        <v/>
      </c>
      <c r="W484" s="81">
        <f>IF(OR($D484="",$B484=""),"",$D484&amp;" | "&amp;$B484)</f>
        <v/>
      </c>
      <c r="X484" s="85">
        <f>IF($K484="","",TEXT($K484,"yyyy-mm"))</f>
        <v/>
      </c>
      <c r="Y484" s="81">
        <f>IF(OR($A484="",$T484=""),"","Included in Manager_Report")</f>
        <v/>
      </c>
    </row>
    <row r="485" ht="15" customHeight="1" s="40">
      <c r="A485" s="65">
        <f>IF(COUNTA(B485:G485)=0,"","STP-"&amp;TEXT(ROW()-4,"0000"))</f>
        <v/>
      </c>
      <c r="B485" s="78" t="n"/>
      <c r="C485" s="67">
        <f>IF($B485="","",IFERROR(INDEX(Task_Tracker!$D$5:$D$1004,MATCH($B485,Task_Tracker!$A$5:$A$1004,0)),""))</f>
        <v/>
      </c>
      <c r="D485" s="67">
        <f>IF($B485="","",IFERROR(INDEX(Task_Tracker!$B$5:$B$1004,MATCH($B485,Task_Tracker!$A$5:$A$1004,0)),""))</f>
        <v/>
      </c>
      <c r="E485" s="81" t="n"/>
      <c r="F485" s="81" t="n"/>
      <c r="G485" s="78" t="n"/>
      <c r="H485" s="78" t="n"/>
      <c r="I485" s="67">
        <f>IF($H485="","",IFERROR(INDEX(Action_Status_Map!$B$5:$B$11,MATCH($H485,Action_Status_Map!$A$5:$A$11,0)),""))</f>
        <v/>
      </c>
      <c r="J485" s="82" t="n"/>
      <c r="K485" s="82" t="n"/>
      <c r="L485" s="82" t="n"/>
      <c r="M485" s="83" t="n"/>
      <c r="N485" s="83" t="n"/>
      <c r="O485" s="66">
        <f>IF(OR($M485="",$N485=""),"",$N485-$M485)</f>
        <v/>
      </c>
      <c r="P485" s="84">
        <f>IF($J485="","",IF($L485&lt;&gt;"",$L485-$J485,TODAY()-$J485))</f>
        <v/>
      </c>
      <c r="Q485" s="85">
        <f>IF(OR($K485="",$H485="Completed",$H485="Cancelled"),"",IF(AND($K485&lt;TODAY(),$H485&lt;&gt;"Completed",$H485&lt;&gt;"Cancelled"),"Overdue","On Track"))</f>
        <v/>
      </c>
      <c r="R485" s="81" t="n"/>
      <c r="S485" s="81">
        <f>IF($B485="","",IFERROR(INDEX(Task_Tracker!$AA$5:$AA$1004,MATCH($B485,Task_Tracker!$A$5:$A$1004,0)),""))</f>
        <v/>
      </c>
      <c r="T485" s="81">
        <f>IF($B485="","",IFERROR(INDEX(Task_Tracker!$AB$5:$AB$1004,MATCH($B485,Task_Tracker!$A$5:$A$1004,0)),""))</f>
        <v/>
      </c>
      <c r="U485" s="78">
        <f>IF($B485="","",IFERROR(INDEX(Task_Tracker!$F$5:$F$1004,MATCH($B485,Task_Tracker!$A$5:$A$1004,0)),""))</f>
        <v/>
      </c>
      <c r="V485" s="78">
        <f>IF($B485="","",IFERROR(INDEX(Task_Tracker!$I$5:$I$1004,MATCH($B485,Task_Tracker!$A$5:$A$1004,0)),""))</f>
        <v/>
      </c>
      <c r="W485" s="81">
        <f>IF(OR($D485="",$B485=""),"",$D485&amp;" | "&amp;$B485)</f>
        <v/>
      </c>
      <c r="X485" s="85">
        <f>IF($K485="","",TEXT($K485,"yyyy-mm"))</f>
        <v/>
      </c>
      <c r="Y485" s="81">
        <f>IF(OR($A485="",$T485=""),"","Included in Manager_Report")</f>
        <v/>
      </c>
    </row>
    <row r="486" ht="15" customHeight="1" s="40">
      <c r="A486" s="65">
        <f>IF(COUNTA(B486:G486)=0,"","STP-"&amp;TEXT(ROW()-4,"0000"))</f>
        <v/>
      </c>
      <c r="B486" s="78" t="n"/>
      <c r="C486" s="67">
        <f>IF($B486="","",IFERROR(INDEX(Task_Tracker!$D$5:$D$1004,MATCH($B486,Task_Tracker!$A$5:$A$1004,0)),""))</f>
        <v/>
      </c>
      <c r="D486" s="67">
        <f>IF($B486="","",IFERROR(INDEX(Task_Tracker!$B$5:$B$1004,MATCH($B486,Task_Tracker!$A$5:$A$1004,0)),""))</f>
        <v/>
      </c>
      <c r="E486" s="81" t="n"/>
      <c r="F486" s="81" t="n"/>
      <c r="G486" s="78" t="n"/>
      <c r="H486" s="78" t="n"/>
      <c r="I486" s="67">
        <f>IF($H486="","",IFERROR(INDEX(Action_Status_Map!$B$5:$B$11,MATCH($H486,Action_Status_Map!$A$5:$A$11,0)),""))</f>
        <v/>
      </c>
      <c r="J486" s="82" t="n"/>
      <c r="K486" s="82" t="n"/>
      <c r="L486" s="82" t="n"/>
      <c r="M486" s="83" t="n"/>
      <c r="N486" s="83" t="n"/>
      <c r="O486" s="66">
        <f>IF(OR($M486="",$N486=""),"",$N486-$M486)</f>
        <v/>
      </c>
      <c r="P486" s="84">
        <f>IF($J486="","",IF($L486&lt;&gt;"",$L486-$J486,TODAY()-$J486))</f>
        <v/>
      </c>
      <c r="Q486" s="85">
        <f>IF(OR($K486="",$H486="Completed",$H486="Cancelled"),"",IF(AND($K486&lt;TODAY(),$H486&lt;&gt;"Completed",$H486&lt;&gt;"Cancelled"),"Overdue","On Track"))</f>
        <v/>
      </c>
      <c r="R486" s="81" t="n"/>
      <c r="S486" s="81">
        <f>IF($B486="","",IFERROR(INDEX(Task_Tracker!$AA$5:$AA$1004,MATCH($B486,Task_Tracker!$A$5:$A$1004,0)),""))</f>
        <v/>
      </c>
      <c r="T486" s="81">
        <f>IF($B486="","",IFERROR(INDEX(Task_Tracker!$AB$5:$AB$1004,MATCH($B486,Task_Tracker!$A$5:$A$1004,0)),""))</f>
        <v/>
      </c>
      <c r="U486" s="78">
        <f>IF($B486="","",IFERROR(INDEX(Task_Tracker!$F$5:$F$1004,MATCH($B486,Task_Tracker!$A$5:$A$1004,0)),""))</f>
        <v/>
      </c>
      <c r="V486" s="78">
        <f>IF($B486="","",IFERROR(INDEX(Task_Tracker!$I$5:$I$1004,MATCH($B486,Task_Tracker!$A$5:$A$1004,0)),""))</f>
        <v/>
      </c>
      <c r="W486" s="81">
        <f>IF(OR($D486="",$B486=""),"",$D486&amp;" | "&amp;$B486)</f>
        <v/>
      </c>
      <c r="X486" s="85">
        <f>IF($K486="","",TEXT($K486,"yyyy-mm"))</f>
        <v/>
      </c>
      <c r="Y486" s="81">
        <f>IF(OR($A486="",$T486=""),"","Included in Manager_Report")</f>
        <v/>
      </c>
    </row>
    <row r="487" ht="15" customHeight="1" s="40">
      <c r="A487" s="65">
        <f>IF(COUNTA(B487:G487)=0,"","STP-"&amp;TEXT(ROW()-4,"0000"))</f>
        <v/>
      </c>
      <c r="B487" s="78" t="n"/>
      <c r="C487" s="67">
        <f>IF($B487="","",IFERROR(INDEX(Task_Tracker!$D$5:$D$1004,MATCH($B487,Task_Tracker!$A$5:$A$1004,0)),""))</f>
        <v/>
      </c>
      <c r="D487" s="67">
        <f>IF($B487="","",IFERROR(INDEX(Task_Tracker!$B$5:$B$1004,MATCH($B487,Task_Tracker!$A$5:$A$1004,0)),""))</f>
        <v/>
      </c>
      <c r="E487" s="81" t="n"/>
      <c r="F487" s="81" t="n"/>
      <c r="G487" s="78" t="n"/>
      <c r="H487" s="78" t="n"/>
      <c r="I487" s="67">
        <f>IF($H487="","",IFERROR(INDEX(Action_Status_Map!$B$5:$B$11,MATCH($H487,Action_Status_Map!$A$5:$A$11,0)),""))</f>
        <v/>
      </c>
      <c r="J487" s="82" t="n"/>
      <c r="K487" s="82" t="n"/>
      <c r="L487" s="82" t="n"/>
      <c r="M487" s="83" t="n"/>
      <c r="N487" s="83" t="n"/>
      <c r="O487" s="66">
        <f>IF(OR($M487="",$N487=""),"",$N487-$M487)</f>
        <v/>
      </c>
      <c r="P487" s="84">
        <f>IF($J487="","",IF($L487&lt;&gt;"",$L487-$J487,TODAY()-$J487))</f>
        <v/>
      </c>
      <c r="Q487" s="85">
        <f>IF(OR($K487="",$H487="Completed",$H487="Cancelled"),"",IF(AND($K487&lt;TODAY(),$H487&lt;&gt;"Completed",$H487&lt;&gt;"Cancelled"),"Overdue","On Track"))</f>
        <v/>
      </c>
      <c r="R487" s="81" t="n"/>
      <c r="S487" s="81">
        <f>IF($B487="","",IFERROR(INDEX(Task_Tracker!$AA$5:$AA$1004,MATCH($B487,Task_Tracker!$A$5:$A$1004,0)),""))</f>
        <v/>
      </c>
      <c r="T487" s="81">
        <f>IF($B487="","",IFERROR(INDEX(Task_Tracker!$AB$5:$AB$1004,MATCH($B487,Task_Tracker!$A$5:$A$1004,0)),""))</f>
        <v/>
      </c>
      <c r="U487" s="78">
        <f>IF($B487="","",IFERROR(INDEX(Task_Tracker!$F$5:$F$1004,MATCH($B487,Task_Tracker!$A$5:$A$1004,0)),""))</f>
        <v/>
      </c>
      <c r="V487" s="78">
        <f>IF($B487="","",IFERROR(INDEX(Task_Tracker!$I$5:$I$1004,MATCH($B487,Task_Tracker!$A$5:$A$1004,0)),""))</f>
        <v/>
      </c>
      <c r="W487" s="81">
        <f>IF(OR($D487="",$B487=""),"",$D487&amp;" | "&amp;$B487)</f>
        <v/>
      </c>
      <c r="X487" s="85">
        <f>IF($K487="","",TEXT($K487,"yyyy-mm"))</f>
        <v/>
      </c>
      <c r="Y487" s="81">
        <f>IF(OR($A487="",$T487=""),"","Included in Manager_Report")</f>
        <v/>
      </c>
    </row>
    <row r="488" ht="15" customHeight="1" s="40">
      <c r="A488" s="65">
        <f>IF(COUNTA(B488:G488)=0,"","STP-"&amp;TEXT(ROW()-4,"0000"))</f>
        <v/>
      </c>
      <c r="B488" s="78" t="n"/>
      <c r="C488" s="67">
        <f>IF($B488="","",IFERROR(INDEX(Task_Tracker!$D$5:$D$1004,MATCH($B488,Task_Tracker!$A$5:$A$1004,0)),""))</f>
        <v/>
      </c>
      <c r="D488" s="67">
        <f>IF($B488="","",IFERROR(INDEX(Task_Tracker!$B$5:$B$1004,MATCH($B488,Task_Tracker!$A$5:$A$1004,0)),""))</f>
        <v/>
      </c>
      <c r="E488" s="81" t="n"/>
      <c r="F488" s="81" t="n"/>
      <c r="G488" s="78" t="n"/>
      <c r="H488" s="78" t="n"/>
      <c r="I488" s="67">
        <f>IF($H488="","",IFERROR(INDEX(Action_Status_Map!$B$5:$B$11,MATCH($H488,Action_Status_Map!$A$5:$A$11,0)),""))</f>
        <v/>
      </c>
      <c r="J488" s="82" t="n"/>
      <c r="K488" s="82" t="n"/>
      <c r="L488" s="82" t="n"/>
      <c r="M488" s="83" t="n"/>
      <c r="N488" s="83" t="n"/>
      <c r="O488" s="66">
        <f>IF(OR($M488="",$N488=""),"",$N488-$M488)</f>
        <v/>
      </c>
      <c r="P488" s="84">
        <f>IF($J488="","",IF($L488&lt;&gt;"",$L488-$J488,TODAY()-$J488))</f>
        <v/>
      </c>
      <c r="Q488" s="85">
        <f>IF(OR($K488="",$H488="Completed",$H488="Cancelled"),"",IF(AND($K488&lt;TODAY(),$H488&lt;&gt;"Completed",$H488&lt;&gt;"Cancelled"),"Overdue","On Track"))</f>
        <v/>
      </c>
      <c r="R488" s="81" t="n"/>
      <c r="S488" s="81">
        <f>IF($B488="","",IFERROR(INDEX(Task_Tracker!$AA$5:$AA$1004,MATCH($B488,Task_Tracker!$A$5:$A$1004,0)),""))</f>
        <v/>
      </c>
      <c r="T488" s="81">
        <f>IF($B488="","",IFERROR(INDEX(Task_Tracker!$AB$5:$AB$1004,MATCH($B488,Task_Tracker!$A$5:$A$1004,0)),""))</f>
        <v/>
      </c>
      <c r="U488" s="78">
        <f>IF($B488="","",IFERROR(INDEX(Task_Tracker!$F$5:$F$1004,MATCH($B488,Task_Tracker!$A$5:$A$1004,0)),""))</f>
        <v/>
      </c>
      <c r="V488" s="78">
        <f>IF($B488="","",IFERROR(INDEX(Task_Tracker!$I$5:$I$1004,MATCH($B488,Task_Tracker!$A$5:$A$1004,0)),""))</f>
        <v/>
      </c>
      <c r="W488" s="81">
        <f>IF(OR($D488="",$B488=""),"",$D488&amp;" | "&amp;$B488)</f>
        <v/>
      </c>
      <c r="X488" s="85">
        <f>IF($K488="","",TEXT($K488,"yyyy-mm"))</f>
        <v/>
      </c>
      <c r="Y488" s="81">
        <f>IF(OR($A488="",$T488=""),"","Included in Manager_Report")</f>
        <v/>
      </c>
    </row>
    <row r="489" ht="15" customHeight="1" s="40">
      <c r="A489" s="65">
        <f>IF(COUNTA(B489:G489)=0,"","STP-"&amp;TEXT(ROW()-4,"0000"))</f>
        <v/>
      </c>
      <c r="B489" s="78" t="n"/>
      <c r="C489" s="67">
        <f>IF($B489="","",IFERROR(INDEX(Task_Tracker!$D$5:$D$1004,MATCH($B489,Task_Tracker!$A$5:$A$1004,0)),""))</f>
        <v/>
      </c>
      <c r="D489" s="67">
        <f>IF($B489="","",IFERROR(INDEX(Task_Tracker!$B$5:$B$1004,MATCH($B489,Task_Tracker!$A$5:$A$1004,0)),""))</f>
        <v/>
      </c>
      <c r="E489" s="81" t="n"/>
      <c r="F489" s="81" t="n"/>
      <c r="G489" s="78" t="n"/>
      <c r="H489" s="78" t="n"/>
      <c r="I489" s="67">
        <f>IF($H489="","",IFERROR(INDEX(Action_Status_Map!$B$5:$B$11,MATCH($H489,Action_Status_Map!$A$5:$A$11,0)),""))</f>
        <v/>
      </c>
      <c r="J489" s="82" t="n"/>
      <c r="K489" s="82" t="n"/>
      <c r="L489" s="82" t="n"/>
      <c r="M489" s="83" t="n"/>
      <c r="N489" s="83" t="n"/>
      <c r="O489" s="66">
        <f>IF(OR($M489="",$N489=""),"",$N489-$M489)</f>
        <v/>
      </c>
      <c r="P489" s="84">
        <f>IF($J489="","",IF($L489&lt;&gt;"",$L489-$J489,TODAY()-$J489))</f>
        <v/>
      </c>
      <c r="Q489" s="85">
        <f>IF(OR($K489="",$H489="Completed",$H489="Cancelled"),"",IF(AND($K489&lt;TODAY(),$H489&lt;&gt;"Completed",$H489&lt;&gt;"Cancelled"),"Overdue","On Track"))</f>
        <v/>
      </c>
      <c r="R489" s="81" t="n"/>
      <c r="S489" s="81">
        <f>IF($B489="","",IFERROR(INDEX(Task_Tracker!$AA$5:$AA$1004,MATCH($B489,Task_Tracker!$A$5:$A$1004,0)),""))</f>
        <v/>
      </c>
      <c r="T489" s="81">
        <f>IF($B489="","",IFERROR(INDEX(Task_Tracker!$AB$5:$AB$1004,MATCH($B489,Task_Tracker!$A$5:$A$1004,0)),""))</f>
        <v/>
      </c>
      <c r="U489" s="78">
        <f>IF($B489="","",IFERROR(INDEX(Task_Tracker!$F$5:$F$1004,MATCH($B489,Task_Tracker!$A$5:$A$1004,0)),""))</f>
        <v/>
      </c>
      <c r="V489" s="78">
        <f>IF($B489="","",IFERROR(INDEX(Task_Tracker!$I$5:$I$1004,MATCH($B489,Task_Tracker!$A$5:$A$1004,0)),""))</f>
        <v/>
      </c>
      <c r="W489" s="81">
        <f>IF(OR($D489="",$B489=""),"",$D489&amp;" | "&amp;$B489)</f>
        <v/>
      </c>
      <c r="X489" s="85">
        <f>IF($K489="","",TEXT($K489,"yyyy-mm"))</f>
        <v/>
      </c>
      <c r="Y489" s="81">
        <f>IF(OR($A489="",$T489=""),"","Included in Manager_Report")</f>
        <v/>
      </c>
    </row>
    <row r="490" ht="15" customHeight="1" s="40">
      <c r="A490" s="65">
        <f>IF(COUNTA(B490:G490)=0,"","STP-"&amp;TEXT(ROW()-4,"0000"))</f>
        <v/>
      </c>
      <c r="B490" s="78" t="n"/>
      <c r="C490" s="67">
        <f>IF($B490="","",IFERROR(INDEX(Task_Tracker!$D$5:$D$1004,MATCH($B490,Task_Tracker!$A$5:$A$1004,0)),""))</f>
        <v/>
      </c>
      <c r="D490" s="67">
        <f>IF($B490="","",IFERROR(INDEX(Task_Tracker!$B$5:$B$1004,MATCH($B490,Task_Tracker!$A$5:$A$1004,0)),""))</f>
        <v/>
      </c>
      <c r="E490" s="81" t="n"/>
      <c r="F490" s="81" t="n"/>
      <c r="G490" s="78" t="n"/>
      <c r="H490" s="78" t="n"/>
      <c r="I490" s="67">
        <f>IF($H490="","",IFERROR(INDEX(Action_Status_Map!$B$5:$B$11,MATCH($H490,Action_Status_Map!$A$5:$A$11,0)),""))</f>
        <v/>
      </c>
      <c r="J490" s="82" t="n"/>
      <c r="K490" s="82" t="n"/>
      <c r="L490" s="82" t="n"/>
      <c r="M490" s="83" t="n"/>
      <c r="N490" s="83" t="n"/>
      <c r="O490" s="66">
        <f>IF(OR($M490="",$N490=""),"",$N490-$M490)</f>
        <v/>
      </c>
      <c r="P490" s="84">
        <f>IF($J490="","",IF($L490&lt;&gt;"",$L490-$J490,TODAY()-$J490))</f>
        <v/>
      </c>
      <c r="Q490" s="85">
        <f>IF(OR($K490="",$H490="Completed",$H490="Cancelled"),"",IF(AND($K490&lt;TODAY(),$H490&lt;&gt;"Completed",$H490&lt;&gt;"Cancelled"),"Overdue","On Track"))</f>
        <v/>
      </c>
      <c r="R490" s="81" t="n"/>
      <c r="S490" s="81">
        <f>IF($B490="","",IFERROR(INDEX(Task_Tracker!$AA$5:$AA$1004,MATCH($B490,Task_Tracker!$A$5:$A$1004,0)),""))</f>
        <v/>
      </c>
      <c r="T490" s="81">
        <f>IF($B490="","",IFERROR(INDEX(Task_Tracker!$AB$5:$AB$1004,MATCH($B490,Task_Tracker!$A$5:$A$1004,0)),""))</f>
        <v/>
      </c>
      <c r="U490" s="78">
        <f>IF($B490="","",IFERROR(INDEX(Task_Tracker!$F$5:$F$1004,MATCH($B490,Task_Tracker!$A$5:$A$1004,0)),""))</f>
        <v/>
      </c>
      <c r="V490" s="78">
        <f>IF($B490="","",IFERROR(INDEX(Task_Tracker!$I$5:$I$1004,MATCH($B490,Task_Tracker!$A$5:$A$1004,0)),""))</f>
        <v/>
      </c>
      <c r="W490" s="81">
        <f>IF(OR($D490="",$B490=""),"",$D490&amp;" | "&amp;$B490)</f>
        <v/>
      </c>
      <c r="X490" s="85">
        <f>IF($K490="","",TEXT($K490,"yyyy-mm"))</f>
        <v/>
      </c>
      <c r="Y490" s="81">
        <f>IF(OR($A490="",$T490=""),"","Included in Manager_Report")</f>
        <v/>
      </c>
    </row>
    <row r="491" ht="15" customHeight="1" s="40">
      <c r="A491" s="65">
        <f>IF(COUNTA(B491:G491)=0,"","STP-"&amp;TEXT(ROW()-4,"0000"))</f>
        <v/>
      </c>
      <c r="B491" s="78" t="n"/>
      <c r="C491" s="67">
        <f>IF($B491="","",IFERROR(INDEX(Task_Tracker!$D$5:$D$1004,MATCH($B491,Task_Tracker!$A$5:$A$1004,0)),""))</f>
        <v/>
      </c>
      <c r="D491" s="67">
        <f>IF($B491="","",IFERROR(INDEX(Task_Tracker!$B$5:$B$1004,MATCH($B491,Task_Tracker!$A$5:$A$1004,0)),""))</f>
        <v/>
      </c>
      <c r="E491" s="81" t="n"/>
      <c r="F491" s="81" t="n"/>
      <c r="G491" s="78" t="n"/>
      <c r="H491" s="78" t="n"/>
      <c r="I491" s="67">
        <f>IF($H491="","",IFERROR(INDEX(Action_Status_Map!$B$5:$B$11,MATCH($H491,Action_Status_Map!$A$5:$A$11,0)),""))</f>
        <v/>
      </c>
      <c r="J491" s="82" t="n"/>
      <c r="K491" s="82" t="n"/>
      <c r="L491" s="82" t="n"/>
      <c r="M491" s="83" t="n"/>
      <c r="N491" s="83" t="n"/>
      <c r="O491" s="66">
        <f>IF(OR($M491="",$N491=""),"",$N491-$M491)</f>
        <v/>
      </c>
      <c r="P491" s="84">
        <f>IF($J491="","",IF($L491&lt;&gt;"",$L491-$J491,TODAY()-$J491))</f>
        <v/>
      </c>
      <c r="Q491" s="85">
        <f>IF(OR($K491="",$H491="Completed",$H491="Cancelled"),"",IF(AND($K491&lt;TODAY(),$H491&lt;&gt;"Completed",$H491&lt;&gt;"Cancelled"),"Overdue","On Track"))</f>
        <v/>
      </c>
      <c r="R491" s="81" t="n"/>
      <c r="S491" s="81">
        <f>IF($B491="","",IFERROR(INDEX(Task_Tracker!$AA$5:$AA$1004,MATCH($B491,Task_Tracker!$A$5:$A$1004,0)),""))</f>
        <v/>
      </c>
      <c r="T491" s="81">
        <f>IF($B491="","",IFERROR(INDEX(Task_Tracker!$AB$5:$AB$1004,MATCH($B491,Task_Tracker!$A$5:$A$1004,0)),""))</f>
        <v/>
      </c>
      <c r="U491" s="78">
        <f>IF($B491="","",IFERROR(INDEX(Task_Tracker!$F$5:$F$1004,MATCH($B491,Task_Tracker!$A$5:$A$1004,0)),""))</f>
        <v/>
      </c>
      <c r="V491" s="78">
        <f>IF($B491="","",IFERROR(INDEX(Task_Tracker!$I$5:$I$1004,MATCH($B491,Task_Tracker!$A$5:$A$1004,0)),""))</f>
        <v/>
      </c>
      <c r="W491" s="81">
        <f>IF(OR($D491="",$B491=""),"",$D491&amp;" | "&amp;$B491)</f>
        <v/>
      </c>
      <c r="X491" s="85">
        <f>IF($K491="","",TEXT($K491,"yyyy-mm"))</f>
        <v/>
      </c>
      <c r="Y491" s="81">
        <f>IF(OR($A491="",$T491=""),"","Included in Manager_Report")</f>
        <v/>
      </c>
    </row>
    <row r="492" ht="15" customHeight="1" s="40">
      <c r="A492" s="65">
        <f>IF(COUNTA(B492:G492)=0,"","STP-"&amp;TEXT(ROW()-4,"0000"))</f>
        <v/>
      </c>
      <c r="B492" s="78" t="n"/>
      <c r="C492" s="67">
        <f>IF($B492="","",IFERROR(INDEX(Task_Tracker!$D$5:$D$1004,MATCH($B492,Task_Tracker!$A$5:$A$1004,0)),""))</f>
        <v/>
      </c>
      <c r="D492" s="67">
        <f>IF($B492="","",IFERROR(INDEX(Task_Tracker!$B$5:$B$1004,MATCH($B492,Task_Tracker!$A$5:$A$1004,0)),""))</f>
        <v/>
      </c>
      <c r="E492" s="81" t="n"/>
      <c r="F492" s="81" t="n"/>
      <c r="G492" s="78" t="n"/>
      <c r="H492" s="78" t="n"/>
      <c r="I492" s="67">
        <f>IF($H492="","",IFERROR(INDEX(Action_Status_Map!$B$5:$B$11,MATCH($H492,Action_Status_Map!$A$5:$A$11,0)),""))</f>
        <v/>
      </c>
      <c r="J492" s="82" t="n"/>
      <c r="K492" s="82" t="n"/>
      <c r="L492" s="82" t="n"/>
      <c r="M492" s="83" t="n"/>
      <c r="N492" s="83" t="n"/>
      <c r="O492" s="66">
        <f>IF(OR($M492="",$N492=""),"",$N492-$M492)</f>
        <v/>
      </c>
      <c r="P492" s="84">
        <f>IF($J492="","",IF($L492&lt;&gt;"",$L492-$J492,TODAY()-$J492))</f>
        <v/>
      </c>
      <c r="Q492" s="85">
        <f>IF(OR($K492="",$H492="Completed",$H492="Cancelled"),"",IF(AND($K492&lt;TODAY(),$H492&lt;&gt;"Completed",$H492&lt;&gt;"Cancelled"),"Overdue","On Track"))</f>
        <v/>
      </c>
      <c r="R492" s="81" t="n"/>
      <c r="S492" s="81">
        <f>IF($B492="","",IFERROR(INDEX(Task_Tracker!$AA$5:$AA$1004,MATCH($B492,Task_Tracker!$A$5:$A$1004,0)),""))</f>
        <v/>
      </c>
      <c r="T492" s="81">
        <f>IF($B492="","",IFERROR(INDEX(Task_Tracker!$AB$5:$AB$1004,MATCH($B492,Task_Tracker!$A$5:$A$1004,0)),""))</f>
        <v/>
      </c>
      <c r="U492" s="78">
        <f>IF($B492="","",IFERROR(INDEX(Task_Tracker!$F$5:$F$1004,MATCH($B492,Task_Tracker!$A$5:$A$1004,0)),""))</f>
        <v/>
      </c>
      <c r="V492" s="78">
        <f>IF($B492="","",IFERROR(INDEX(Task_Tracker!$I$5:$I$1004,MATCH($B492,Task_Tracker!$A$5:$A$1004,0)),""))</f>
        <v/>
      </c>
      <c r="W492" s="81">
        <f>IF(OR($D492="",$B492=""),"",$D492&amp;" | "&amp;$B492)</f>
        <v/>
      </c>
      <c r="X492" s="85">
        <f>IF($K492="","",TEXT($K492,"yyyy-mm"))</f>
        <v/>
      </c>
      <c r="Y492" s="81">
        <f>IF(OR($A492="",$T492=""),"","Included in Manager_Report")</f>
        <v/>
      </c>
    </row>
    <row r="493" ht="15" customHeight="1" s="40">
      <c r="A493" s="65">
        <f>IF(COUNTA(B493:G493)=0,"","STP-"&amp;TEXT(ROW()-4,"0000"))</f>
        <v/>
      </c>
      <c r="B493" s="78" t="n"/>
      <c r="C493" s="67">
        <f>IF($B493="","",IFERROR(INDEX(Task_Tracker!$D$5:$D$1004,MATCH($B493,Task_Tracker!$A$5:$A$1004,0)),""))</f>
        <v/>
      </c>
      <c r="D493" s="67">
        <f>IF($B493="","",IFERROR(INDEX(Task_Tracker!$B$5:$B$1004,MATCH($B493,Task_Tracker!$A$5:$A$1004,0)),""))</f>
        <v/>
      </c>
      <c r="E493" s="81" t="n"/>
      <c r="F493" s="81" t="n"/>
      <c r="G493" s="78" t="n"/>
      <c r="H493" s="78" t="n"/>
      <c r="I493" s="67">
        <f>IF($H493="","",IFERROR(INDEX(Action_Status_Map!$B$5:$B$11,MATCH($H493,Action_Status_Map!$A$5:$A$11,0)),""))</f>
        <v/>
      </c>
      <c r="J493" s="82" t="n"/>
      <c r="K493" s="82" t="n"/>
      <c r="L493" s="82" t="n"/>
      <c r="M493" s="83" t="n"/>
      <c r="N493" s="83" t="n"/>
      <c r="O493" s="66">
        <f>IF(OR($M493="",$N493=""),"",$N493-$M493)</f>
        <v/>
      </c>
      <c r="P493" s="84">
        <f>IF($J493="","",IF($L493&lt;&gt;"",$L493-$J493,TODAY()-$J493))</f>
        <v/>
      </c>
      <c r="Q493" s="85">
        <f>IF(OR($K493="",$H493="Completed",$H493="Cancelled"),"",IF(AND($K493&lt;TODAY(),$H493&lt;&gt;"Completed",$H493&lt;&gt;"Cancelled"),"Overdue","On Track"))</f>
        <v/>
      </c>
      <c r="R493" s="81" t="n"/>
      <c r="S493" s="81">
        <f>IF($B493="","",IFERROR(INDEX(Task_Tracker!$AA$5:$AA$1004,MATCH($B493,Task_Tracker!$A$5:$A$1004,0)),""))</f>
        <v/>
      </c>
      <c r="T493" s="81">
        <f>IF($B493="","",IFERROR(INDEX(Task_Tracker!$AB$5:$AB$1004,MATCH($B493,Task_Tracker!$A$5:$A$1004,0)),""))</f>
        <v/>
      </c>
      <c r="U493" s="78">
        <f>IF($B493="","",IFERROR(INDEX(Task_Tracker!$F$5:$F$1004,MATCH($B493,Task_Tracker!$A$5:$A$1004,0)),""))</f>
        <v/>
      </c>
      <c r="V493" s="78">
        <f>IF($B493="","",IFERROR(INDEX(Task_Tracker!$I$5:$I$1004,MATCH($B493,Task_Tracker!$A$5:$A$1004,0)),""))</f>
        <v/>
      </c>
      <c r="W493" s="81">
        <f>IF(OR($D493="",$B493=""),"",$D493&amp;" | "&amp;$B493)</f>
        <v/>
      </c>
      <c r="X493" s="85">
        <f>IF($K493="","",TEXT($K493,"yyyy-mm"))</f>
        <v/>
      </c>
      <c r="Y493" s="81">
        <f>IF(OR($A493="",$T493=""),"","Included in Manager_Report")</f>
        <v/>
      </c>
    </row>
    <row r="494" ht="15" customHeight="1" s="40">
      <c r="A494" s="65">
        <f>IF(COUNTA(B494:G494)=0,"","STP-"&amp;TEXT(ROW()-4,"0000"))</f>
        <v/>
      </c>
      <c r="B494" s="78" t="n"/>
      <c r="C494" s="67">
        <f>IF($B494="","",IFERROR(INDEX(Task_Tracker!$D$5:$D$1004,MATCH($B494,Task_Tracker!$A$5:$A$1004,0)),""))</f>
        <v/>
      </c>
      <c r="D494" s="67">
        <f>IF($B494="","",IFERROR(INDEX(Task_Tracker!$B$5:$B$1004,MATCH($B494,Task_Tracker!$A$5:$A$1004,0)),""))</f>
        <v/>
      </c>
      <c r="E494" s="81" t="n"/>
      <c r="F494" s="81" t="n"/>
      <c r="G494" s="78" t="n"/>
      <c r="H494" s="78" t="n"/>
      <c r="I494" s="67">
        <f>IF($H494="","",IFERROR(INDEX(Action_Status_Map!$B$5:$B$11,MATCH($H494,Action_Status_Map!$A$5:$A$11,0)),""))</f>
        <v/>
      </c>
      <c r="J494" s="82" t="n"/>
      <c r="K494" s="82" t="n"/>
      <c r="L494" s="82" t="n"/>
      <c r="M494" s="83" t="n"/>
      <c r="N494" s="83" t="n"/>
      <c r="O494" s="66">
        <f>IF(OR($M494="",$N494=""),"",$N494-$M494)</f>
        <v/>
      </c>
      <c r="P494" s="84">
        <f>IF($J494="","",IF($L494&lt;&gt;"",$L494-$J494,TODAY()-$J494))</f>
        <v/>
      </c>
      <c r="Q494" s="85">
        <f>IF(OR($K494="",$H494="Completed",$H494="Cancelled"),"",IF(AND($K494&lt;TODAY(),$H494&lt;&gt;"Completed",$H494&lt;&gt;"Cancelled"),"Overdue","On Track"))</f>
        <v/>
      </c>
      <c r="R494" s="81" t="n"/>
      <c r="S494" s="81">
        <f>IF($B494="","",IFERROR(INDEX(Task_Tracker!$AA$5:$AA$1004,MATCH($B494,Task_Tracker!$A$5:$A$1004,0)),""))</f>
        <v/>
      </c>
      <c r="T494" s="81">
        <f>IF($B494="","",IFERROR(INDEX(Task_Tracker!$AB$5:$AB$1004,MATCH($B494,Task_Tracker!$A$5:$A$1004,0)),""))</f>
        <v/>
      </c>
      <c r="U494" s="78">
        <f>IF($B494="","",IFERROR(INDEX(Task_Tracker!$F$5:$F$1004,MATCH($B494,Task_Tracker!$A$5:$A$1004,0)),""))</f>
        <v/>
      </c>
      <c r="V494" s="78">
        <f>IF($B494="","",IFERROR(INDEX(Task_Tracker!$I$5:$I$1004,MATCH($B494,Task_Tracker!$A$5:$A$1004,0)),""))</f>
        <v/>
      </c>
      <c r="W494" s="81">
        <f>IF(OR($D494="",$B494=""),"",$D494&amp;" | "&amp;$B494)</f>
        <v/>
      </c>
      <c r="X494" s="85">
        <f>IF($K494="","",TEXT($K494,"yyyy-mm"))</f>
        <v/>
      </c>
      <c r="Y494" s="81">
        <f>IF(OR($A494="",$T494=""),"","Included in Manager_Report")</f>
        <v/>
      </c>
    </row>
    <row r="495" ht="15" customHeight="1" s="40">
      <c r="A495" s="65">
        <f>IF(COUNTA(B495:G495)=0,"","STP-"&amp;TEXT(ROW()-4,"0000"))</f>
        <v/>
      </c>
      <c r="B495" s="78" t="n"/>
      <c r="C495" s="67">
        <f>IF($B495="","",IFERROR(INDEX(Task_Tracker!$D$5:$D$1004,MATCH($B495,Task_Tracker!$A$5:$A$1004,0)),""))</f>
        <v/>
      </c>
      <c r="D495" s="67">
        <f>IF($B495="","",IFERROR(INDEX(Task_Tracker!$B$5:$B$1004,MATCH($B495,Task_Tracker!$A$5:$A$1004,0)),""))</f>
        <v/>
      </c>
      <c r="E495" s="81" t="n"/>
      <c r="F495" s="81" t="n"/>
      <c r="G495" s="78" t="n"/>
      <c r="H495" s="78" t="n"/>
      <c r="I495" s="67">
        <f>IF($H495="","",IFERROR(INDEX(Action_Status_Map!$B$5:$B$11,MATCH($H495,Action_Status_Map!$A$5:$A$11,0)),""))</f>
        <v/>
      </c>
      <c r="J495" s="82" t="n"/>
      <c r="K495" s="82" t="n"/>
      <c r="L495" s="82" t="n"/>
      <c r="M495" s="83" t="n"/>
      <c r="N495" s="83" t="n"/>
      <c r="O495" s="66">
        <f>IF(OR($M495="",$N495=""),"",$N495-$M495)</f>
        <v/>
      </c>
      <c r="P495" s="84">
        <f>IF($J495="","",IF($L495&lt;&gt;"",$L495-$J495,TODAY()-$J495))</f>
        <v/>
      </c>
      <c r="Q495" s="85">
        <f>IF(OR($K495="",$H495="Completed",$H495="Cancelled"),"",IF(AND($K495&lt;TODAY(),$H495&lt;&gt;"Completed",$H495&lt;&gt;"Cancelled"),"Overdue","On Track"))</f>
        <v/>
      </c>
      <c r="R495" s="81" t="n"/>
      <c r="S495" s="81">
        <f>IF($B495="","",IFERROR(INDEX(Task_Tracker!$AA$5:$AA$1004,MATCH($B495,Task_Tracker!$A$5:$A$1004,0)),""))</f>
        <v/>
      </c>
      <c r="T495" s="81">
        <f>IF($B495="","",IFERROR(INDEX(Task_Tracker!$AB$5:$AB$1004,MATCH($B495,Task_Tracker!$A$5:$A$1004,0)),""))</f>
        <v/>
      </c>
      <c r="U495" s="78">
        <f>IF($B495="","",IFERROR(INDEX(Task_Tracker!$F$5:$F$1004,MATCH($B495,Task_Tracker!$A$5:$A$1004,0)),""))</f>
        <v/>
      </c>
      <c r="V495" s="78">
        <f>IF($B495="","",IFERROR(INDEX(Task_Tracker!$I$5:$I$1004,MATCH($B495,Task_Tracker!$A$5:$A$1004,0)),""))</f>
        <v/>
      </c>
      <c r="W495" s="81">
        <f>IF(OR($D495="",$B495=""),"",$D495&amp;" | "&amp;$B495)</f>
        <v/>
      </c>
      <c r="X495" s="85">
        <f>IF($K495="","",TEXT($K495,"yyyy-mm"))</f>
        <v/>
      </c>
      <c r="Y495" s="81">
        <f>IF(OR($A495="",$T495=""),"","Included in Manager_Report")</f>
        <v/>
      </c>
    </row>
    <row r="496" ht="15" customHeight="1" s="40">
      <c r="A496" s="65">
        <f>IF(COUNTA(B496:G496)=0,"","STP-"&amp;TEXT(ROW()-4,"0000"))</f>
        <v/>
      </c>
      <c r="B496" s="78" t="n"/>
      <c r="C496" s="67">
        <f>IF($B496="","",IFERROR(INDEX(Task_Tracker!$D$5:$D$1004,MATCH($B496,Task_Tracker!$A$5:$A$1004,0)),""))</f>
        <v/>
      </c>
      <c r="D496" s="67">
        <f>IF($B496="","",IFERROR(INDEX(Task_Tracker!$B$5:$B$1004,MATCH($B496,Task_Tracker!$A$5:$A$1004,0)),""))</f>
        <v/>
      </c>
      <c r="E496" s="81" t="n"/>
      <c r="F496" s="81" t="n"/>
      <c r="G496" s="78" t="n"/>
      <c r="H496" s="78" t="n"/>
      <c r="I496" s="67">
        <f>IF($H496="","",IFERROR(INDEX(Action_Status_Map!$B$5:$B$11,MATCH($H496,Action_Status_Map!$A$5:$A$11,0)),""))</f>
        <v/>
      </c>
      <c r="J496" s="82" t="n"/>
      <c r="K496" s="82" t="n"/>
      <c r="L496" s="82" t="n"/>
      <c r="M496" s="83" t="n"/>
      <c r="N496" s="83" t="n"/>
      <c r="O496" s="66">
        <f>IF(OR($M496="",$N496=""),"",$N496-$M496)</f>
        <v/>
      </c>
      <c r="P496" s="84">
        <f>IF($J496="","",IF($L496&lt;&gt;"",$L496-$J496,TODAY()-$J496))</f>
        <v/>
      </c>
      <c r="Q496" s="85">
        <f>IF(OR($K496="",$H496="Completed",$H496="Cancelled"),"",IF(AND($K496&lt;TODAY(),$H496&lt;&gt;"Completed",$H496&lt;&gt;"Cancelled"),"Overdue","On Track"))</f>
        <v/>
      </c>
      <c r="R496" s="81" t="n"/>
      <c r="S496" s="81">
        <f>IF($B496="","",IFERROR(INDEX(Task_Tracker!$AA$5:$AA$1004,MATCH($B496,Task_Tracker!$A$5:$A$1004,0)),""))</f>
        <v/>
      </c>
      <c r="T496" s="81">
        <f>IF($B496="","",IFERROR(INDEX(Task_Tracker!$AB$5:$AB$1004,MATCH($B496,Task_Tracker!$A$5:$A$1004,0)),""))</f>
        <v/>
      </c>
      <c r="U496" s="78">
        <f>IF($B496="","",IFERROR(INDEX(Task_Tracker!$F$5:$F$1004,MATCH($B496,Task_Tracker!$A$5:$A$1004,0)),""))</f>
        <v/>
      </c>
      <c r="V496" s="78">
        <f>IF($B496="","",IFERROR(INDEX(Task_Tracker!$I$5:$I$1004,MATCH($B496,Task_Tracker!$A$5:$A$1004,0)),""))</f>
        <v/>
      </c>
      <c r="W496" s="81">
        <f>IF(OR($D496="",$B496=""),"",$D496&amp;" | "&amp;$B496)</f>
        <v/>
      </c>
      <c r="X496" s="85">
        <f>IF($K496="","",TEXT($K496,"yyyy-mm"))</f>
        <v/>
      </c>
      <c r="Y496" s="81">
        <f>IF(OR($A496="",$T496=""),"","Included in Manager_Report")</f>
        <v/>
      </c>
    </row>
    <row r="497" ht="15" customHeight="1" s="40">
      <c r="A497" s="65">
        <f>IF(COUNTA(B497:G497)=0,"","STP-"&amp;TEXT(ROW()-4,"0000"))</f>
        <v/>
      </c>
      <c r="B497" s="78" t="n"/>
      <c r="C497" s="67">
        <f>IF($B497="","",IFERROR(INDEX(Task_Tracker!$D$5:$D$1004,MATCH($B497,Task_Tracker!$A$5:$A$1004,0)),""))</f>
        <v/>
      </c>
      <c r="D497" s="67">
        <f>IF($B497="","",IFERROR(INDEX(Task_Tracker!$B$5:$B$1004,MATCH($B497,Task_Tracker!$A$5:$A$1004,0)),""))</f>
        <v/>
      </c>
      <c r="E497" s="81" t="n"/>
      <c r="F497" s="81" t="n"/>
      <c r="G497" s="78" t="n"/>
      <c r="H497" s="78" t="n"/>
      <c r="I497" s="67">
        <f>IF($H497="","",IFERROR(INDEX(Action_Status_Map!$B$5:$B$11,MATCH($H497,Action_Status_Map!$A$5:$A$11,0)),""))</f>
        <v/>
      </c>
      <c r="J497" s="82" t="n"/>
      <c r="K497" s="82" t="n"/>
      <c r="L497" s="82" t="n"/>
      <c r="M497" s="83" t="n"/>
      <c r="N497" s="83" t="n"/>
      <c r="O497" s="66">
        <f>IF(OR($M497="",$N497=""),"",$N497-$M497)</f>
        <v/>
      </c>
      <c r="P497" s="84">
        <f>IF($J497="","",IF($L497&lt;&gt;"",$L497-$J497,TODAY()-$J497))</f>
        <v/>
      </c>
      <c r="Q497" s="85">
        <f>IF(OR($K497="",$H497="Completed",$H497="Cancelled"),"",IF(AND($K497&lt;TODAY(),$H497&lt;&gt;"Completed",$H497&lt;&gt;"Cancelled"),"Overdue","On Track"))</f>
        <v/>
      </c>
      <c r="R497" s="81" t="n"/>
      <c r="S497" s="81">
        <f>IF($B497="","",IFERROR(INDEX(Task_Tracker!$AA$5:$AA$1004,MATCH($B497,Task_Tracker!$A$5:$A$1004,0)),""))</f>
        <v/>
      </c>
      <c r="T497" s="81">
        <f>IF($B497="","",IFERROR(INDEX(Task_Tracker!$AB$5:$AB$1004,MATCH($B497,Task_Tracker!$A$5:$A$1004,0)),""))</f>
        <v/>
      </c>
      <c r="U497" s="78">
        <f>IF($B497="","",IFERROR(INDEX(Task_Tracker!$F$5:$F$1004,MATCH($B497,Task_Tracker!$A$5:$A$1004,0)),""))</f>
        <v/>
      </c>
      <c r="V497" s="78">
        <f>IF($B497="","",IFERROR(INDEX(Task_Tracker!$I$5:$I$1004,MATCH($B497,Task_Tracker!$A$5:$A$1004,0)),""))</f>
        <v/>
      </c>
      <c r="W497" s="81">
        <f>IF(OR($D497="",$B497=""),"",$D497&amp;" | "&amp;$B497)</f>
        <v/>
      </c>
      <c r="X497" s="85">
        <f>IF($K497="","",TEXT($K497,"yyyy-mm"))</f>
        <v/>
      </c>
      <c r="Y497" s="81">
        <f>IF(OR($A497="",$T497=""),"","Included in Manager_Report")</f>
        <v/>
      </c>
    </row>
    <row r="498" ht="15" customHeight="1" s="40">
      <c r="A498" s="65">
        <f>IF(COUNTA(B498:G498)=0,"","STP-"&amp;TEXT(ROW()-4,"0000"))</f>
        <v/>
      </c>
      <c r="B498" s="78" t="n"/>
      <c r="C498" s="67">
        <f>IF($B498="","",IFERROR(INDEX(Task_Tracker!$D$5:$D$1004,MATCH($B498,Task_Tracker!$A$5:$A$1004,0)),""))</f>
        <v/>
      </c>
      <c r="D498" s="67">
        <f>IF($B498="","",IFERROR(INDEX(Task_Tracker!$B$5:$B$1004,MATCH($B498,Task_Tracker!$A$5:$A$1004,0)),""))</f>
        <v/>
      </c>
      <c r="E498" s="81" t="n"/>
      <c r="F498" s="81" t="n"/>
      <c r="G498" s="78" t="n"/>
      <c r="H498" s="78" t="n"/>
      <c r="I498" s="67">
        <f>IF($H498="","",IFERROR(INDEX(Action_Status_Map!$B$5:$B$11,MATCH($H498,Action_Status_Map!$A$5:$A$11,0)),""))</f>
        <v/>
      </c>
      <c r="J498" s="82" t="n"/>
      <c r="K498" s="82" t="n"/>
      <c r="L498" s="82" t="n"/>
      <c r="M498" s="83" t="n"/>
      <c r="N498" s="83" t="n"/>
      <c r="O498" s="66">
        <f>IF(OR($M498="",$N498=""),"",$N498-$M498)</f>
        <v/>
      </c>
      <c r="P498" s="84">
        <f>IF($J498="","",IF($L498&lt;&gt;"",$L498-$J498,TODAY()-$J498))</f>
        <v/>
      </c>
      <c r="Q498" s="85">
        <f>IF(OR($K498="",$H498="Completed",$H498="Cancelled"),"",IF(AND($K498&lt;TODAY(),$H498&lt;&gt;"Completed",$H498&lt;&gt;"Cancelled"),"Overdue","On Track"))</f>
        <v/>
      </c>
      <c r="R498" s="81" t="n"/>
      <c r="S498" s="81">
        <f>IF($B498="","",IFERROR(INDEX(Task_Tracker!$AA$5:$AA$1004,MATCH($B498,Task_Tracker!$A$5:$A$1004,0)),""))</f>
        <v/>
      </c>
      <c r="T498" s="81">
        <f>IF($B498="","",IFERROR(INDEX(Task_Tracker!$AB$5:$AB$1004,MATCH($B498,Task_Tracker!$A$5:$A$1004,0)),""))</f>
        <v/>
      </c>
      <c r="U498" s="78">
        <f>IF($B498="","",IFERROR(INDEX(Task_Tracker!$F$5:$F$1004,MATCH($B498,Task_Tracker!$A$5:$A$1004,0)),""))</f>
        <v/>
      </c>
      <c r="V498" s="78">
        <f>IF($B498="","",IFERROR(INDEX(Task_Tracker!$I$5:$I$1004,MATCH($B498,Task_Tracker!$A$5:$A$1004,0)),""))</f>
        <v/>
      </c>
      <c r="W498" s="81">
        <f>IF(OR($D498="",$B498=""),"",$D498&amp;" | "&amp;$B498)</f>
        <v/>
      </c>
      <c r="X498" s="85">
        <f>IF($K498="","",TEXT($K498,"yyyy-mm"))</f>
        <v/>
      </c>
      <c r="Y498" s="81">
        <f>IF(OR($A498="",$T498=""),"","Included in Manager_Report")</f>
        <v/>
      </c>
    </row>
    <row r="499" ht="15" customHeight="1" s="40">
      <c r="A499" s="65">
        <f>IF(COUNTA(B499:G499)=0,"","STP-"&amp;TEXT(ROW()-4,"0000"))</f>
        <v/>
      </c>
      <c r="B499" s="78" t="n"/>
      <c r="C499" s="67">
        <f>IF($B499="","",IFERROR(INDEX(Task_Tracker!$D$5:$D$1004,MATCH($B499,Task_Tracker!$A$5:$A$1004,0)),""))</f>
        <v/>
      </c>
      <c r="D499" s="67">
        <f>IF($B499="","",IFERROR(INDEX(Task_Tracker!$B$5:$B$1004,MATCH($B499,Task_Tracker!$A$5:$A$1004,0)),""))</f>
        <v/>
      </c>
      <c r="E499" s="81" t="n"/>
      <c r="F499" s="81" t="n"/>
      <c r="G499" s="78" t="n"/>
      <c r="H499" s="78" t="n"/>
      <c r="I499" s="67">
        <f>IF($H499="","",IFERROR(INDEX(Action_Status_Map!$B$5:$B$11,MATCH($H499,Action_Status_Map!$A$5:$A$11,0)),""))</f>
        <v/>
      </c>
      <c r="J499" s="82" t="n"/>
      <c r="K499" s="82" t="n"/>
      <c r="L499" s="82" t="n"/>
      <c r="M499" s="83" t="n"/>
      <c r="N499" s="83" t="n"/>
      <c r="O499" s="66">
        <f>IF(OR($M499="",$N499=""),"",$N499-$M499)</f>
        <v/>
      </c>
      <c r="P499" s="84">
        <f>IF($J499="","",IF($L499&lt;&gt;"",$L499-$J499,TODAY()-$J499))</f>
        <v/>
      </c>
      <c r="Q499" s="85">
        <f>IF(OR($K499="",$H499="Completed",$H499="Cancelled"),"",IF(AND($K499&lt;TODAY(),$H499&lt;&gt;"Completed",$H499&lt;&gt;"Cancelled"),"Overdue","On Track"))</f>
        <v/>
      </c>
      <c r="R499" s="81" t="n"/>
      <c r="S499" s="81">
        <f>IF($B499="","",IFERROR(INDEX(Task_Tracker!$AA$5:$AA$1004,MATCH($B499,Task_Tracker!$A$5:$A$1004,0)),""))</f>
        <v/>
      </c>
      <c r="T499" s="81">
        <f>IF($B499="","",IFERROR(INDEX(Task_Tracker!$AB$5:$AB$1004,MATCH($B499,Task_Tracker!$A$5:$A$1004,0)),""))</f>
        <v/>
      </c>
      <c r="U499" s="78">
        <f>IF($B499="","",IFERROR(INDEX(Task_Tracker!$F$5:$F$1004,MATCH($B499,Task_Tracker!$A$5:$A$1004,0)),""))</f>
        <v/>
      </c>
      <c r="V499" s="78">
        <f>IF($B499="","",IFERROR(INDEX(Task_Tracker!$I$5:$I$1004,MATCH($B499,Task_Tracker!$A$5:$A$1004,0)),""))</f>
        <v/>
      </c>
      <c r="W499" s="81">
        <f>IF(OR($D499="",$B499=""),"",$D499&amp;" | "&amp;$B499)</f>
        <v/>
      </c>
      <c r="X499" s="85">
        <f>IF($K499="","",TEXT($K499,"yyyy-mm"))</f>
        <v/>
      </c>
      <c r="Y499" s="81">
        <f>IF(OR($A499="",$T499=""),"","Included in Manager_Report")</f>
        <v/>
      </c>
    </row>
    <row r="500" ht="15" customHeight="1" s="40">
      <c r="A500" s="65">
        <f>IF(COUNTA(B500:G500)=0,"","STP-"&amp;TEXT(ROW()-4,"0000"))</f>
        <v/>
      </c>
      <c r="B500" s="78" t="n"/>
      <c r="C500" s="67">
        <f>IF($B500="","",IFERROR(INDEX(Task_Tracker!$D$5:$D$1004,MATCH($B500,Task_Tracker!$A$5:$A$1004,0)),""))</f>
        <v/>
      </c>
      <c r="D500" s="67">
        <f>IF($B500="","",IFERROR(INDEX(Task_Tracker!$B$5:$B$1004,MATCH($B500,Task_Tracker!$A$5:$A$1004,0)),""))</f>
        <v/>
      </c>
      <c r="E500" s="81" t="n"/>
      <c r="F500" s="81" t="n"/>
      <c r="G500" s="78" t="n"/>
      <c r="H500" s="78" t="n"/>
      <c r="I500" s="67">
        <f>IF($H500="","",IFERROR(INDEX(Action_Status_Map!$B$5:$B$11,MATCH($H500,Action_Status_Map!$A$5:$A$11,0)),""))</f>
        <v/>
      </c>
      <c r="J500" s="82" t="n"/>
      <c r="K500" s="82" t="n"/>
      <c r="L500" s="82" t="n"/>
      <c r="M500" s="83" t="n"/>
      <c r="N500" s="83" t="n"/>
      <c r="O500" s="66">
        <f>IF(OR($M500="",$N500=""),"",$N500-$M500)</f>
        <v/>
      </c>
      <c r="P500" s="84">
        <f>IF($J500="","",IF($L500&lt;&gt;"",$L500-$J500,TODAY()-$J500))</f>
        <v/>
      </c>
      <c r="Q500" s="85">
        <f>IF(OR($K500="",$H500="Completed",$H500="Cancelled"),"",IF(AND($K500&lt;TODAY(),$H500&lt;&gt;"Completed",$H500&lt;&gt;"Cancelled"),"Overdue","On Track"))</f>
        <v/>
      </c>
      <c r="R500" s="81" t="n"/>
      <c r="S500" s="81">
        <f>IF($B500="","",IFERROR(INDEX(Task_Tracker!$AA$5:$AA$1004,MATCH($B500,Task_Tracker!$A$5:$A$1004,0)),""))</f>
        <v/>
      </c>
      <c r="T500" s="81">
        <f>IF($B500="","",IFERROR(INDEX(Task_Tracker!$AB$5:$AB$1004,MATCH($B500,Task_Tracker!$A$5:$A$1004,0)),""))</f>
        <v/>
      </c>
      <c r="U500" s="78">
        <f>IF($B500="","",IFERROR(INDEX(Task_Tracker!$F$5:$F$1004,MATCH($B500,Task_Tracker!$A$5:$A$1004,0)),""))</f>
        <v/>
      </c>
      <c r="V500" s="78">
        <f>IF($B500="","",IFERROR(INDEX(Task_Tracker!$I$5:$I$1004,MATCH($B500,Task_Tracker!$A$5:$A$1004,0)),""))</f>
        <v/>
      </c>
      <c r="W500" s="81">
        <f>IF(OR($D500="",$B500=""),"",$D500&amp;" | "&amp;$B500)</f>
        <v/>
      </c>
      <c r="X500" s="85">
        <f>IF($K500="","",TEXT($K500,"yyyy-mm"))</f>
        <v/>
      </c>
      <c r="Y500" s="81">
        <f>IF(OR($A500="",$T500=""),"","Included in Manager_Report")</f>
        <v/>
      </c>
    </row>
    <row r="501" ht="15" customHeight="1" s="40">
      <c r="A501" s="65">
        <f>IF(COUNTA(B501:G501)=0,"","STP-"&amp;TEXT(ROW()-4,"0000"))</f>
        <v/>
      </c>
      <c r="B501" s="78" t="n"/>
      <c r="C501" s="67">
        <f>IF($B501="","",IFERROR(INDEX(Task_Tracker!$D$5:$D$1004,MATCH($B501,Task_Tracker!$A$5:$A$1004,0)),""))</f>
        <v/>
      </c>
      <c r="D501" s="67">
        <f>IF($B501="","",IFERROR(INDEX(Task_Tracker!$B$5:$B$1004,MATCH($B501,Task_Tracker!$A$5:$A$1004,0)),""))</f>
        <v/>
      </c>
      <c r="E501" s="81" t="n"/>
      <c r="F501" s="81" t="n"/>
      <c r="G501" s="78" t="n"/>
      <c r="H501" s="78" t="n"/>
      <c r="I501" s="67">
        <f>IF($H501="","",IFERROR(INDEX(Action_Status_Map!$B$5:$B$11,MATCH($H501,Action_Status_Map!$A$5:$A$11,0)),""))</f>
        <v/>
      </c>
      <c r="J501" s="82" t="n"/>
      <c r="K501" s="82" t="n"/>
      <c r="L501" s="82" t="n"/>
      <c r="M501" s="83" t="n"/>
      <c r="N501" s="83" t="n"/>
      <c r="O501" s="66">
        <f>IF(OR($M501="",$N501=""),"",$N501-$M501)</f>
        <v/>
      </c>
      <c r="P501" s="84">
        <f>IF($J501="","",IF($L501&lt;&gt;"",$L501-$J501,TODAY()-$J501))</f>
        <v/>
      </c>
      <c r="Q501" s="85">
        <f>IF(OR($K501="",$H501="Completed",$H501="Cancelled"),"",IF(AND($K501&lt;TODAY(),$H501&lt;&gt;"Completed",$H501&lt;&gt;"Cancelled"),"Overdue","On Track"))</f>
        <v/>
      </c>
      <c r="R501" s="81" t="n"/>
      <c r="S501" s="81">
        <f>IF($B501="","",IFERROR(INDEX(Task_Tracker!$AA$5:$AA$1004,MATCH($B501,Task_Tracker!$A$5:$A$1004,0)),""))</f>
        <v/>
      </c>
      <c r="T501" s="81">
        <f>IF($B501="","",IFERROR(INDEX(Task_Tracker!$AB$5:$AB$1004,MATCH($B501,Task_Tracker!$A$5:$A$1004,0)),""))</f>
        <v/>
      </c>
      <c r="U501" s="78">
        <f>IF($B501="","",IFERROR(INDEX(Task_Tracker!$F$5:$F$1004,MATCH($B501,Task_Tracker!$A$5:$A$1004,0)),""))</f>
        <v/>
      </c>
      <c r="V501" s="78">
        <f>IF($B501="","",IFERROR(INDEX(Task_Tracker!$I$5:$I$1004,MATCH($B501,Task_Tracker!$A$5:$A$1004,0)),""))</f>
        <v/>
      </c>
      <c r="W501" s="81">
        <f>IF(OR($D501="",$B501=""),"",$D501&amp;" | "&amp;$B501)</f>
        <v/>
      </c>
      <c r="X501" s="85">
        <f>IF($K501="","",TEXT($K501,"yyyy-mm"))</f>
        <v/>
      </c>
      <c r="Y501" s="81">
        <f>IF(OR($A501="",$T501=""),"","Included in Manager_Report")</f>
        <v/>
      </c>
    </row>
    <row r="502" ht="15" customHeight="1" s="40">
      <c r="A502" s="65">
        <f>IF(COUNTA(B502:G502)=0,"","STP-"&amp;TEXT(ROW()-4,"0000"))</f>
        <v/>
      </c>
      <c r="B502" s="78" t="n"/>
      <c r="C502" s="67">
        <f>IF($B502="","",IFERROR(INDEX(Task_Tracker!$D$5:$D$1004,MATCH($B502,Task_Tracker!$A$5:$A$1004,0)),""))</f>
        <v/>
      </c>
      <c r="D502" s="67">
        <f>IF($B502="","",IFERROR(INDEX(Task_Tracker!$B$5:$B$1004,MATCH($B502,Task_Tracker!$A$5:$A$1004,0)),""))</f>
        <v/>
      </c>
      <c r="E502" s="81" t="n"/>
      <c r="F502" s="81" t="n"/>
      <c r="G502" s="78" t="n"/>
      <c r="H502" s="78" t="n"/>
      <c r="I502" s="67">
        <f>IF($H502="","",IFERROR(INDEX(Action_Status_Map!$B$5:$B$11,MATCH($H502,Action_Status_Map!$A$5:$A$11,0)),""))</f>
        <v/>
      </c>
      <c r="J502" s="82" t="n"/>
      <c r="K502" s="82" t="n"/>
      <c r="L502" s="82" t="n"/>
      <c r="M502" s="83" t="n"/>
      <c r="N502" s="83" t="n"/>
      <c r="O502" s="66">
        <f>IF(OR($M502="",$N502=""),"",$N502-$M502)</f>
        <v/>
      </c>
      <c r="P502" s="84">
        <f>IF($J502="","",IF($L502&lt;&gt;"",$L502-$J502,TODAY()-$J502))</f>
        <v/>
      </c>
      <c r="Q502" s="85">
        <f>IF(OR($K502="",$H502="Completed",$H502="Cancelled"),"",IF(AND($K502&lt;TODAY(),$H502&lt;&gt;"Completed",$H502&lt;&gt;"Cancelled"),"Overdue","On Track"))</f>
        <v/>
      </c>
      <c r="R502" s="81" t="n"/>
      <c r="S502" s="81">
        <f>IF($B502="","",IFERROR(INDEX(Task_Tracker!$AA$5:$AA$1004,MATCH($B502,Task_Tracker!$A$5:$A$1004,0)),""))</f>
        <v/>
      </c>
      <c r="T502" s="81">
        <f>IF($B502="","",IFERROR(INDEX(Task_Tracker!$AB$5:$AB$1004,MATCH($B502,Task_Tracker!$A$5:$A$1004,0)),""))</f>
        <v/>
      </c>
      <c r="U502" s="78">
        <f>IF($B502="","",IFERROR(INDEX(Task_Tracker!$F$5:$F$1004,MATCH($B502,Task_Tracker!$A$5:$A$1004,0)),""))</f>
        <v/>
      </c>
      <c r="V502" s="78">
        <f>IF($B502="","",IFERROR(INDEX(Task_Tracker!$I$5:$I$1004,MATCH($B502,Task_Tracker!$A$5:$A$1004,0)),""))</f>
        <v/>
      </c>
      <c r="W502" s="81">
        <f>IF(OR($D502="",$B502=""),"",$D502&amp;" | "&amp;$B502)</f>
        <v/>
      </c>
      <c r="X502" s="85">
        <f>IF($K502="","",TEXT($K502,"yyyy-mm"))</f>
        <v/>
      </c>
      <c r="Y502" s="81">
        <f>IF(OR($A502="",$T502=""),"","Included in Manager_Report")</f>
        <v/>
      </c>
    </row>
    <row r="503" ht="15" customHeight="1" s="40">
      <c r="A503" s="65">
        <f>IF(COUNTA(B503:G503)=0,"","STP-"&amp;TEXT(ROW()-4,"0000"))</f>
        <v/>
      </c>
      <c r="B503" s="78" t="n"/>
      <c r="C503" s="67">
        <f>IF($B503="","",IFERROR(INDEX(Task_Tracker!$D$5:$D$1004,MATCH($B503,Task_Tracker!$A$5:$A$1004,0)),""))</f>
        <v/>
      </c>
      <c r="D503" s="67">
        <f>IF($B503="","",IFERROR(INDEX(Task_Tracker!$B$5:$B$1004,MATCH($B503,Task_Tracker!$A$5:$A$1004,0)),""))</f>
        <v/>
      </c>
      <c r="E503" s="81" t="n"/>
      <c r="F503" s="81" t="n"/>
      <c r="G503" s="78" t="n"/>
      <c r="H503" s="78" t="n"/>
      <c r="I503" s="67">
        <f>IF($H503="","",IFERROR(INDEX(Action_Status_Map!$B$5:$B$11,MATCH($H503,Action_Status_Map!$A$5:$A$11,0)),""))</f>
        <v/>
      </c>
      <c r="J503" s="82" t="n"/>
      <c r="K503" s="82" t="n"/>
      <c r="L503" s="82" t="n"/>
      <c r="M503" s="83" t="n"/>
      <c r="N503" s="83" t="n"/>
      <c r="O503" s="66">
        <f>IF(OR($M503="",$N503=""),"",$N503-$M503)</f>
        <v/>
      </c>
      <c r="P503" s="84">
        <f>IF($J503="","",IF($L503&lt;&gt;"",$L503-$J503,TODAY()-$J503))</f>
        <v/>
      </c>
      <c r="Q503" s="85">
        <f>IF(OR($K503="",$H503="Completed",$H503="Cancelled"),"",IF(AND($K503&lt;TODAY(),$H503&lt;&gt;"Completed",$H503&lt;&gt;"Cancelled"),"Overdue","On Track"))</f>
        <v/>
      </c>
      <c r="R503" s="81" t="n"/>
      <c r="S503" s="81">
        <f>IF($B503="","",IFERROR(INDEX(Task_Tracker!$AA$5:$AA$1004,MATCH($B503,Task_Tracker!$A$5:$A$1004,0)),""))</f>
        <v/>
      </c>
      <c r="T503" s="81">
        <f>IF($B503="","",IFERROR(INDEX(Task_Tracker!$AB$5:$AB$1004,MATCH($B503,Task_Tracker!$A$5:$A$1004,0)),""))</f>
        <v/>
      </c>
      <c r="U503" s="78">
        <f>IF($B503="","",IFERROR(INDEX(Task_Tracker!$F$5:$F$1004,MATCH($B503,Task_Tracker!$A$5:$A$1004,0)),""))</f>
        <v/>
      </c>
      <c r="V503" s="78">
        <f>IF($B503="","",IFERROR(INDEX(Task_Tracker!$I$5:$I$1004,MATCH($B503,Task_Tracker!$A$5:$A$1004,0)),""))</f>
        <v/>
      </c>
      <c r="W503" s="81">
        <f>IF(OR($D503="",$B503=""),"",$D503&amp;" | "&amp;$B503)</f>
        <v/>
      </c>
      <c r="X503" s="85">
        <f>IF($K503="","",TEXT($K503,"yyyy-mm"))</f>
        <v/>
      </c>
      <c r="Y503" s="81">
        <f>IF(OR($A503="",$T503=""),"","Included in Manager_Report")</f>
        <v/>
      </c>
    </row>
    <row r="504" ht="15" customHeight="1" s="40">
      <c r="A504" s="65">
        <f>IF(COUNTA(B504:G504)=0,"","STP-"&amp;TEXT(ROW()-4,"0000"))</f>
        <v/>
      </c>
      <c r="B504" s="78" t="n"/>
      <c r="C504" s="67">
        <f>IF($B504="","",IFERROR(INDEX(Task_Tracker!$D$5:$D$1004,MATCH($B504,Task_Tracker!$A$5:$A$1004,0)),""))</f>
        <v/>
      </c>
      <c r="D504" s="67">
        <f>IF($B504="","",IFERROR(INDEX(Task_Tracker!$B$5:$B$1004,MATCH($B504,Task_Tracker!$A$5:$A$1004,0)),""))</f>
        <v/>
      </c>
      <c r="E504" s="81" t="n"/>
      <c r="F504" s="81" t="n"/>
      <c r="G504" s="78" t="n"/>
      <c r="H504" s="78" t="n"/>
      <c r="I504" s="67">
        <f>IF($H504="","",IFERROR(INDEX(Action_Status_Map!$B$5:$B$11,MATCH($H504,Action_Status_Map!$A$5:$A$11,0)),""))</f>
        <v/>
      </c>
      <c r="J504" s="82" t="n"/>
      <c r="K504" s="82" t="n"/>
      <c r="L504" s="82" t="n"/>
      <c r="M504" s="83" t="n"/>
      <c r="N504" s="83" t="n"/>
      <c r="O504" s="66">
        <f>IF(OR($M504="",$N504=""),"",$N504-$M504)</f>
        <v/>
      </c>
      <c r="P504" s="84">
        <f>IF($J504="","",IF($L504&lt;&gt;"",$L504-$J504,TODAY()-$J504))</f>
        <v/>
      </c>
      <c r="Q504" s="85">
        <f>IF(OR($K504="",$H504="Completed",$H504="Cancelled"),"",IF(AND($K504&lt;TODAY(),$H504&lt;&gt;"Completed",$H504&lt;&gt;"Cancelled"),"Overdue","On Track"))</f>
        <v/>
      </c>
      <c r="R504" s="81" t="n"/>
      <c r="S504" s="81">
        <f>IF($B504="","",IFERROR(INDEX(Task_Tracker!$AA$5:$AA$1004,MATCH($B504,Task_Tracker!$A$5:$A$1004,0)),""))</f>
        <v/>
      </c>
      <c r="T504" s="81">
        <f>IF($B504="","",IFERROR(INDEX(Task_Tracker!$AB$5:$AB$1004,MATCH($B504,Task_Tracker!$A$5:$A$1004,0)),""))</f>
        <v/>
      </c>
      <c r="U504" s="78">
        <f>IF($B504="","",IFERROR(INDEX(Task_Tracker!$F$5:$F$1004,MATCH($B504,Task_Tracker!$A$5:$A$1004,0)),""))</f>
        <v/>
      </c>
      <c r="V504" s="78">
        <f>IF($B504="","",IFERROR(INDEX(Task_Tracker!$I$5:$I$1004,MATCH($B504,Task_Tracker!$A$5:$A$1004,0)),""))</f>
        <v/>
      </c>
      <c r="W504" s="81">
        <f>IF(OR($D504="",$B504=""),"",$D504&amp;" | "&amp;$B504)</f>
        <v/>
      </c>
      <c r="X504" s="85">
        <f>IF($K504="","",TEXT($K504,"yyyy-mm"))</f>
        <v/>
      </c>
      <c r="Y504" s="81">
        <f>IF(OR($A504="",$T504=""),"","Included in Manager_Report")</f>
        <v/>
      </c>
    </row>
    <row r="505" ht="15" customHeight="1" s="40">
      <c r="A505" s="65">
        <f>IF(COUNTA(B505:G505)=0,"","STP-"&amp;TEXT(ROW()-4,"0000"))</f>
        <v/>
      </c>
      <c r="B505" s="78" t="n"/>
      <c r="C505" s="67">
        <f>IF($B505="","",IFERROR(INDEX(Task_Tracker!$D$5:$D$1004,MATCH($B505,Task_Tracker!$A$5:$A$1004,0)),""))</f>
        <v/>
      </c>
      <c r="D505" s="67">
        <f>IF($B505="","",IFERROR(INDEX(Task_Tracker!$B$5:$B$1004,MATCH($B505,Task_Tracker!$A$5:$A$1004,0)),""))</f>
        <v/>
      </c>
      <c r="E505" s="81" t="n"/>
      <c r="F505" s="81" t="n"/>
      <c r="G505" s="78" t="n"/>
      <c r="H505" s="78" t="n"/>
      <c r="I505" s="67">
        <f>IF($H505="","",IFERROR(INDEX(Action_Status_Map!$B$5:$B$11,MATCH($H505,Action_Status_Map!$A$5:$A$11,0)),""))</f>
        <v/>
      </c>
      <c r="J505" s="82" t="n"/>
      <c r="K505" s="82" t="n"/>
      <c r="L505" s="82" t="n"/>
      <c r="M505" s="83" t="n"/>
      <c r="N505" s="83" t="n"/>
      <c r="O505" s="66">
        <f>IF(OR($M505="",$N505=""),"",$N505-$M505)</f>
        <v/>
      </c>
      <c r="P505" s="84">
        <f>IF($J505="","",IF($L505&lt;&gt;"",$L505-$J505,TODAY()-$J505))</f>
        <v/>
      </c>
      <c r="Q505" s="85">
        <f>IF(OR($K505="",$H505="Completed",$H505="Cancelled"),"",IF(AND($K505&lt;TODAY(),$H505&lt;&gt;"Completed",$H505&lt;&gt;"Cancelled"),"Overdue","On Track"))</f>
        <v/>
      </c>
      <c r="R505" s="81" t="n"/>
      <c r="S505" s="81">
        <f>IF($B505="","",IFERROR(INDEX(Task_Tracker!$AA$5:$AA$1004,MATCH($B505,Task_Tracker!$A$5:$A$1004,0)),""))</f>
        <v/>
      </c>
      <c r="T505" s="81">
        <f>IF($B505="","",IFERROR(INDEX(Task_Tracker!$AB$5:$AB$1004,MATCH($B505,Task_Tracker!$A$5:$A$1004,0)),""))</f>
        <v/>
      </c>
      <c r="U505" s="78">
        <f>IF($B505="","",IFERROR(INDEX(Task_Tracker!$F$5:$F$1004,MATCH($B505,Task_Tracker!$A$5:$A$1004,0)),""))</f>
        <v/>
      </c>
      <c r="V505" s="78">
        <f>IF($B505="","",IFERROR(INDEX(Task_Tracker!$I$5:$I$1004,MATCH($B505,Task_Tracker!$A$5:$A$1004,0)),""))</f>
        <v/>
      </c>
      <c r="W505" s="81">
        <f>IF(OR($D505="",$B505=""),"",$D505&amp;" | "&amp;$B505)</f>
        <v/>
      </c>
      <c r="X505" s="85">
        <f>IF($K505="","",TEXT($K505,"yyyy-mm"))</f>
        <v/>
      </c>
      <c r="Y505" s="81">
        <f>IF(OR($A505="",$T505=""),"","Included in Manager_Report")</f>
        <v/>
      </c>
    </row>
    <row r="506" ht="15" customHeight="1" s="40">
      <c r="A506" s="65">
        <f>IF(COUNTA(B506:G506)=0,"","STP-"&amp;TEXT(ROW()-4,"0000"))</f>
        <v/>
      </c>
      <c r="B506" s="78" t="n"/>
      <c r="C506" s="67">
        <f>IF($B506="","",IFERROR(INDEX(Task_Tracker!$D$5:$D$1004,MATCH($B506,Task_Tracker!$A$5:$A$1004,0)),""))</f>
        <v/>
      </c>
      <c r="D506" s="67">
        <f>IF($B506="","",IFERROR(INDEX(Task_Tracker!$B$5:$B$1004,MATCH($B506,Task_Tracker!$A$5:$A$1004,0)),""))</f>
        <v/>
      </c>
      <c r="E506" s="81" t="n"/>
      <c r="F506" s="81" t="n"/>
      <c r="G506" s="78" t="n"/>
      <c r="H506" s="78" t="n"/>
      <c r="I506" s="67">
        <f>IF($H506="","",IFERROR(INDEX(Action_Status_Map!$B$5:$B$11,MATCH($H506,Action_Status_Map!$A$5:$A$11,0)),""))</f>
        <v/>
      </c>
      <c r="J506" s="82" t="n"/>
      <c r="K506" s="82" t="n"/>
      <c r="L506" s="82" t="n"/>
      <c r="M506" s="83" t="n"/>
      <c r="N506" s="83" t="n"/>
      <c r="O506" s="66">
        <f>IF(OR($M506="",$N506=""),"",$N506-$M506)</f>
        <v/>
      </c>
      <c r="P506" s="84">
        <f>IF($J506="","",IF($L506&lt;&gt;"",$L506-$J506,TODAY()-$J506))</f>
        <v/>
      </c>
      <c r="Q506" s="85">
        <f>IF(OR($K506="",$H506="Completed",$H506="Cancelled"),"",IF(AND($K506&lt;TODAY(),$H506&lt;&gt;"Completed",$H506&lt;&gt;"Cancelled"),"Overdue","On Track"))</f>
        <v/>
      </c>
      <c r="R506" s="81" t="n"/>
      <c r="S506" s="81">
        <f>IF($B506="","",IFERROR(INDEX(Task_Tracker!$AA$5:$AA$1004,MATCH($B506,Task_Tracker!$A$5:$A$1004,0)),""))</f>
        <v/>
      </c>
      <c r="T506" s="81">
        <f>IF($B506="","",IFERROR(INDEX(Task_Tracker!$AB$5:$AB$1004,MATCH($B506,Task_Tracker!$A$5:$A$1004,0)),""))</f>
        <v/>
      </c>
      <c r="U506" s="78">
        <f>IF($B506="","",IFERROR(INDEX(Task_Tracker!$F$5:$F$1004,MATCH($B506,Task_Tracker!$A$5:$A$1004,0)),""))</f>
        <v/>
      </c>
      <c r="V506" s="78">
        <f>IF($B506="","",IFERROR(INDEX(Task_Tracker!$I$5:$I$1004,MATCH($B506,Task_Tracker!$A$5:$A$1004,0)),""))</f>
        <v/>
      </c>
      <c r="W506" s="81">
        <f>IF(OR($D506="",$B506=""),"",$D506&amp;" | "&amp;$B506)</f>
        <v/>
      </c>
      <c r="X506" s="85">
        <f>IF($K506="","",TEXT($K506,"yyyy-mm"))</f>
        <v/>
      </c>
      <c r="Y506" s="81">
        <f>IF(OR($A506="",$T506=""),"","Included in Manager_Report")</f>
        <v/>
      </c>
    </row>
    <row r="507" ht="15" customHeight="1" s="40">
      <c r="A507" s="65">
        <f>IF(COUNTA(B507:G507)=0,"","STP-"&amp;TEXT(ROW()-4,"0000"))</f>
        <v/>
      </c>
      <c r="B507" s="78" t="n"/>
      <c r="C507" s="67">
        <f>IF($B507="","",IFERROR(INDEX(Task_Tracker!$D$5:$D$1004,MATCH($B507,Task_Tracker!$A$5:$A$1004,0)),""))</f>
        <v/>
      </c>
      <c r="D507" s="67">
        <f>IF($B507="","",IFERROR(INDEX(Task_Tracker!$B$5:$B$1004,MATCH($B507,Task_Tracker!$A$5:$A$1004,0)),""))</f>
        <v/>
      </c>
      <c r="E507" s="81" t="n"/>
      <c r="F507" s="81" t="n"/>
      <c r="G507" s="78" t="n"/>
      <c r="H507" s="78" t="n"/>
      <c r="I507" s="67">
        <f>IF($H507="","",IFERROR(INDEX(Action_Status_Map!$B$5:$B$11,MATCH($H507,Action_Status_Map!$A$5:$A$11,0)),""))</f>
        <v/>
      </c>
      <c r="J507" s="82" t="n"/>
      <c r="K507" s="82" t="n"/>
      <c r="L507" s="82" t="n"/>
      <c r="M507" s="83" t="n"/>
      <c r="N507" s="83" t="n"/>
      <c r="O507" s="66">
        <f>IF(OR($M507="",$N507=""),"",$N507-$M507)</f>
        <v/>
      </c>
      <c r="P507" s="84">
        <f>IF($J507="","",IF($L507&lt;&gt;"",$L507-$J507,TODAY()-$J507))</f>
        <v/>
      </c>
      <c r="Q507" s="85">
        <f>IF(OR($K507="",$H507="Completed",$H507="Cancelled"),"",IF(AND($K507&lt;TODAY(),$H507&lt;&gt;"Completed",$H507&lt;&gt;"Cancelled"),"Overdue","On Track"))</f>
        <v/>
      </c>
      <c r="R507" s="81" t="n"/>
      <c r="S507" s="81">
        <f>IF($B507="","",IFERROR(INDEX(Task_Tracker!$AA$5:$AA$1004,MATCH($B507,Task_Tracker!$A$5:$A$1004,0)),""))</f>
        <v/>
      </c>
      <c r="T507" s="81">
        <f>IF($B507="","",IFERROR(INDEX(Task_Tracker!$AB$5:$AB$1004,MATCH($B507,Task_Tracker!$A$5:$A$1004,0)),""))</f>
        <v/>
      </c>
      <c r="U507" s="78">
        <f>IF($B507="","",IFERROR(INDEX(Task_Tracker!$F$5:$F$1004,MATCH($B507,Task_Tracker!$A$5:$A$1004,0)),""))</f>
        <v/>
      </c>
      <c r="V507" s="78">
        <f>IF($B507="","",IFERROR(INDEX(Task_Tracker!$I$5:$I$1004,MATCH($B507,Task_Tracker!$A$5:$A$1004,0)),""))</f>
        <v/>
      </c>
      <c r="W507" s="81">
        <f>IF(OR($D507="",$B507=""),"",$D507&amp;" | "&amp;$B507)</f>
        <v/>
      </c>
      <c r="X507" s="85">
        <f>IF($K507="","",TEXT($K507,"yyyy-mm"))</f>
        <v/>
      </c>
      <c r="Y507" s="81">
        <f>IF(OR($A507="",$T507=""),"","Included in Manager_Report")</f>
        <v/>
      </c>
    </row>
    <row r="508" ht="15" customHeight="1" s="40">
      <c r="A508" s="65">
        <f>IF(COUNTA(B508:G508)=0,"","STP-"&amp;TEXT(ROW()-4,"0000"))</f>
        <v/>
      </c>
      <c r="B508" s="78" t="n"/>
      <c r="C508" s="67">
        <f>IF($B508="","",IFERROR(INDEX(Task_Tracker!$D$5:$D$1004,MATCH($B508,Task_Tracker!$A$5:$A$1004,0)),""))</f>
        <v/>
      </c>
      <c r="D508" s="67">
        <f>IF($B508="","",IFERROR(INDEX(Task_Tracker!$B$5:$B$1004,MATCH($B508,Task_Tracker!$A$5:$A$1004,0)),""))</f>
        <v/>
      </c>
      <c r="E508" s="81" t="n"/>
      <c r="F508" s="81" t="n"/>
      <c r="G508" s="78" t="n"/>
      <c r="H508" s="78" t="n"/>
      <c r="I508" s="67">
        <f>IF($H508="","",IFERROR(INDEX(Action_Status_Map!$B$5:$B$11,MATCH($H508,Action_Status_Map!$A$5:$A$11,0)),""))</f>
        <v/>
      </c>
      <c r="J508" s="82" t="n"/>
      <c r="K508" s="82" t="n"/>
      <c r="L508" s="82" t="n"/>
      <c r="M508" s="83" t="n"/>
      <c r="N508" s="83" t="n"/>
      <c r="O508" s="66">
        <f>IF(OR($M508="",$N508=""),"",$N508-$M508)</f>
        <v/>
      </c>
      <c r="P508" s="84">
        <f>IF($J508="","",IF($L508&lt;&gt;"",$L508-$J508,TODAY()-$J508))</f>
        <v/>
      </c>
      <c r="Q508" s="85">
        <f>IF(OR($K508="",$H508="Completed",$H508="Cancelled"),"",IF(AND($K508&lt;TODAY(),$H508&lt;&gt;"Completed",$H508&lt;&gt;"Cancelled"),"Overdue","On Track"))</f>
        <v/>
      </c>
      <c r="R508" s="81" t="n"/>
      <c r="S508" s="81">
        <f>IF($B508="","",IFERROR(INDEX(Task_Tracker!$AA$5:$AA$1004,MATCH($B508,Task_Tracker!$A$5:$A$1004,0)),""))</f>
        <v/>
      </c>
      <c r="T508" s="81">
        <f>IF($B508="","",IFERROR(INDEX(Task_Tracker!$AB$5:$AB$1004,MATCH($B508,Task_Tracker!$A$5:$A$1004,0)),""))</f>
        <v/>
      </c>
      <c r="U508" s="78">
        <f>IF($B508="","",IFERROR(INDEX(Task_Tracker!$F$5:$F$1004,MATCH($B508,Task_Tracker!$A$5:$A$1004,0)),""))</f>
        <v/>
      </c>
      <c r="V508" s="78">
        <f>IF($B508="","",IFERROR(INDEX(Task_Tracker!$I$5:$I$1004,MATCH($B508,Task_Tracker!$A$5:$A$1004,0)),""))</f>
        <v/>
      </c>
      <c r="W508" s="81">
        <f>IF(OR($D508="",$B508=""),"",$D508&amp;" | "&amp;$B508)</f>
        <v/>
      </c>
      <c r="X508" s="85">
        <f>IF($K508="","",TEXT($K508,"yyyy-mm"))</f>
        <v/>
      </c>
      <c r="Y508" s="81">
        <f>IF(OR($A508="",$T508=""),"","Included in Manager_Report")</f>
        <v/>
      </c>
    </row>
    <row r="509" ht="15" customHeight="1" s="40">
      <c r="A509" s="65">
        <f>IF(COUNTA(B509:G509)=0,"","STP-"&amp;TEXT(ROW()-4,"0000"))</f>
        <v/>
      </c>
      <c r="B509" s="78" t="n"/>
      <c r="C509" s="67">
        <f>IF($B509="","",IFERROR(INDEX(Task_Tracker!$D$5:$D$1004,MATCH($B509,Task_Tracker!$A$5:$A$1004,0)),""))</f>
        <v/>
      </c>
      <c r="D509" s="67">
        <f>IF($B509="","",IFERROR(INDEX(Task_Tracker!$B$5:$B$1004,MATCH($B509,Task_Tracker!$A$5:$A$1004,0)),""))</f>
        <v/>
      </c>
      <c r="E509" s="81" t="n"/>
      <c r="F509" s="81" t="n"/>
      <c r="G509" s="78" t="n"/>
      <c r="H509" s="78" t="n"/>
      <c r="I509" s="67">
        <f>IF($H509="","",IFERROR(INDEX(Action_Status_Map!$B$5:$B$11,MATCH($H509,Action_Status_Map!$A$5:$A$11,0)),""))</f>
        <v/>
      </c>
      <c r="J509" s="82" t="n"/>
      <c r="K509" s="82" t="n"/>
      <c r="L509" s="82" t="n"/>
      <c r="M509" s="83" t="n"/>
      <c r="N509" s="83" t="n"/>
      <c r="O509" s="66">
        <f>IF(OR($M509="",$N509=""),"",$N509-$M509)</f>
        <v/>
      </c>
      <c r="P509" s="84">
        <f>IF($J509="","",IF($L509&lt;&gt;"",$L509-$J509,TODAY()-$J509))</f>
        <v/>
      </c>
      <c r="Q509" s="85">
        <f>IF(OR($K509="",$H509="Completed",$H509="Cancelled"),"",IF(AND($K509&lt;TODAY(),$H509&lt;&gt;"Completed",$H509&lt;&gt;"Cancelled"),"Overdue","On Track"))</f>
        <v/>
      </c>
      <c r="R509" s="81" t="n"/>
      <c r="S509" s="81">
        <f>IF($B509="","",IFERROR(INDEX(Task_Tracker!$AA$5:$AA$1004,MATCH($B509,Task_Tracker!$A$5:$A$1004,0)),""))</f>
        <v/>
      </c>
      <c r="T509" s="81">
        <f>IF($B509="","",IFERROR(INDEX(Task_Tracker!$AB$5:$AB$1004,MATCH($B509,Task_Tracker!$A$5:$A$1004,0)),""))</f>
        <v/>
      </c>
      <c r="U509" s="78">
        <f>IF($B509="","",IFERROR(INDEX(Task_Tracker!$F$5:$F$1004,MATCH($B509,Task_Tracker!$A$5:$A$1004,0)),""))</f>
        <v/>
      </c>
      <c r="V509" s="78">
        <f>IF($B509="","",IFERROR(INDEX(Task_Tracker!$I$5:$I$1004,MATCH($B509,Task_Tracker!$A$5:$A$1004,0)),""))</f>
        <v/>
      </c>
      <c r="W509" s="81">
        <f>IF(OR($D509="",$B509=""),"",$D509&amp;" | "&amp;$B509)</f>
        <v/>
      </c>
      <c r="X509" s="85">
        <f>IF($K509="","",TEXT($K509,"yyyy-mm"))</f>
        <v/>
      </c>
      <c r="Y509" s="81">
        <f>IF(OR($A509="",$T509=""),"","Included in Manager_Report")</f>
        <v/>
      </c>
    </row>
    <row r="510" ht="15" customHeight="1" s="40">
      <c r="A510" s="65">
        <f>IF(COUNTA(B510:G510)=0,"","STP-"&amp;TEXT(ROW()-4,"0000"))</f>
        <v/>
      </c>
      <c r="B510" s="78" t="n"/>
      <c r="C510" s="67">
        <f>IF($B510="","",IFERROR(INDEX(Task_Tracker!$D$5:$D$1004,MATCH($B510,Task_Tracker!$A$5:$A$1004,0)),""))</f>
        <v/>
      </c>
      <c r="D510" s="67">
        <f>IF($B510="","",IFERROR(INDEX(Task_Tracker!$B$5:$B$1004,MATCH($B510,Task_Tracker!$A$5:$A$1004,0)),""))</f>
        <v/>
      </c>
      <c r="E510" s="81" t="n"/>
      <c r="F510" s="81" t="n"/>
      <c r="G510" s="78" t="n"/>
      <c r="H510" s="78" t="n"/>
      <c r="I510" s="67">
        <f>IF($H510="","",IFERROR(INDEX(Action_Status_Map!$B$5:$B$11,MATCH($H510,Action_Status_Map!$A$5:$A$11,0)),""))</f>
        <v/>
      </c>
      <c r="J510" s="82" t="n"/>
      <c r="K510" s="82" t="n"/>
      <c r="L510" s="82" t="n"/>
      <c r="M510" s="83" t="n"/>
      <c r="N510" s="83" t="n"/>
      <c r="O510" s="66">
        <f>IF(OR($M510="",$N510=""),"",$N510-$M510)</f>
        <v/>
      </c>
      <c r="P510" s="84">
        <f>IF($J510="","",IF($L510&lt;&gt;"",$L510-$J510,TODAY()-$J510))</f>
        <v/>
      </c>
      <c r="Q510" s="85">
        <f>IF(OR($K510="",$H510="Completed",$H510="Cancelled"),"",IF(AND($K510&lt;TODAY(),$H510&lt;&gt;"Completed",$H510&lt;&gt;"Cancelled"),"Overdue","On Track"))</f>
        <v/>
      </c>
      <c r="R510" s="81" t="n"/>
      <c r="S510" s="81">
        <f>IF($B510="","",IFERROR(INDEX(Task_Tracker!$AA$5:$AA$1004,MATCH($B510,Task_Tracker!$A$5:$A$1004,0)),""))</f>
        <v/>
      </c>
      <c r="T510" s="81">
        <f>IF($B510="","",IFERROR(INDEX(Task_Tracker!$AB$5:$AB$1004,MATCH($B510,Task_Tracker!$A$5:$A$1004,0)),""))</f>
        <v/>
      </c>
      <c r="U510" s="78">
        <f>IF($B510="","",IFERROR(INDEX(Task_Tracker!$F$5:$F$1004,MATCH($B510,Task_Tracker!$A$5:$A$1004,0)),""))</f>
        <v/>
      </c>
      <c r="V510" s="78">
        <f>IF($B510="","",IFERROR(INDEX(Task_Tracker!$I$5:$I$1004,MATCH($B510,Task_Tracker!$A$5:$A$1004,0)),""))</f>
        <v/>
      </c>
      <c r="W510" s="81">
        <f>IF(OR($D510="",$B510=""),"",$D510&amp;" | "&amp;$B510)</f>
        <v/>
      </c>
      <c r="X510" s="85">
        <f>IF($K510="","",TEXT($K510,"yyyy-mm"))</f>
        <v/>
      </c>
      <c r="Y510" s="81">
        <f>IF(OR($A510="",$T510=""),"","Included in Manager_Report")</f>
        <v/>
      </c>
    </row>
    <row r="511" ht="15" customHeight="1" s="40">
      <c r="A511" s="65">
        <f>IF(COUNTA(B511:G511)=0,"","STP-"&amp;TEXT(ROW()-4,"0000"))</f>
        <v/>
      </c>
      <c r="B511" s="78" t="n"/>
      <c r="C511" s="67">
        <f>IF($B511="","",IFERROR(INDEX(Task_Tracker!$D$5:$D$1004,MATCH($B511,Task_Tracker!$A$5:$A$1004,0)),""))</f>
        <v/>
      </c>
      <c r="D511" s="67">
        <f>IF($B511="","",IFERROR(INDEX(Task_Tracker!$B$5:$B$1004,MATCH($B511,Task_Tracker!$A$5:$A$1004,0)),""))</f>
        <v/>
      </c>
      <c r="E511" s="81" t="n"/>
      <c r="F511" s="81" t="n"/>
      <c r="G511" s="78" t="n"/>
      <c r="H511" s="78" t="n"/>
      <c r="I511" s="67">
        <f>IF($H511="","",IFERROR(INDEX(Action_Status_Map!$B$5:$B$11,MATCH($H511,Action_Status_Map!$A$5:$A$11,0)),""))</f>
        <v/>
      </c>
      <c r="J511" s="82" t="n"/>
      <c r="K511" s="82" t="n"/>
      <c r="L511" s="82" t="n"/>
      <c r="M511" s="83" t="n"/>
      <c r="N511" s="83" t="n"/>
      <c r="O511" s="66">
        <f>IF(OR($M511="",$N511=""),"",$N511-$M511)</f>
        <v/>
      </c>
      <c r="P511" s="84">
        <f>IF($J511="","",IF($L511&lt;&gt;"",$L511-$J511,TODAY()-$J511))</f>
        <v/>
      </c>
      <c r="Q511" s="85">
        <f>IF(OR($K511="",$H511="Completed",$H511="Cancelled"),"",IF(AND($K511&lt;TODAY(),$H511&lt;&gt;"Completed",$H511&lt;&gt;"Cancelled"),"Overdue","On Track"))</f>
        <v/>
      </c>
      <c r="R511" s="81" t="n"/>
      <c r="S511" s="81">
        <f>IF($B511="","",IFERROR(INDEX(Task_Tracker!$AA$5:$AA$1004,MATCH($B511,Task_Tracker!$A$5:$A$1004,0)),""))</f>
        <v/>
      </c>
      <c r="T511" s="81">
        <f>IF($B511="","",IFERROR(INDEX(Task_Tracker!$AB$5:$AB$1004,MATCH($B511,Task_Tracker!$A$5:$A$1004,0)),""))</f>
        <v/>
      </c>
      <c r="U511" s="78">
        <f>IF($B511="","",IFERROR(INDEX(Task_Tracker!$F$5:$F$1004,MATCH($B511,Task_Tracker!$A$5:$A$1004,0)),""))</f>
        <v/>
      </c>
      <c r="V511" s="78">
        <f>IF($B511="","",IFERROR(INDEX(Task_Tracker!$I$5:$I$1004,MATCH($B511,Task_Tracker!$A$5:$A$1004,0)),""))</f>
        <v/>
      </c>
      <c r="W511" s="81">
        <f>IF(OR($D511="",$B511=""),"",$D511&amp;" | "&amp;$B511)</f>
        <v/>
      </c>
      <c r="X511" s="85">
        <f>IF($K511="","",TEXT($K511,"yyyy-mm"))</f>
        <v/>
      </c>
      <c r="Y511" s="81">
        <f>IF(OR($A511="",$T511=""),"","Included in Manager_Report")</f>
        <v/>
      </c>
    </row>
    <row r="512" ht="15" customHeight="1" s="40">
      <c r="A512" s="65">
        <f>IF(COUNTA(B512:G512)=0,"","STP-"&amp;TEXT(ROW()-4,"0000"))</f>
        <v/>
      </c>
      <c r="B512" s="78" t="n"/>
      <c r="C512" s="67">
        <f>IF($B512="","",IFERROR(INDEX(Task_Tracker!$D$5:$D$1004,MATCH($B512,Task_Tracker!$A$5:$A$1004,0)),""))</f>
        <v/>
      </c>
      <c r="D512" s="67">
        <f>IF($B512="","",IFERROR(INDEX(Task_Tracker!$B$5:$B$1004,MATCH($B512,Task_Tracker!$A$5:$A$1004,0)),""))</f>
        <v/>
      </c>
      <c r="E512" s="81" t="n"/>
      <c r="F512" s="81" t="n"/>
      <c r="G512" s="78" t="n"/>
      <c r="H512" s="78" t="n"/>
      <c r="I512" s="67">
        <f>IF($H512="","",IFERROR(INDEX(Action_Status_Map!$B$5:$B$11,MATCH($H512,Action_Status_Map!$A$5:$A$11,0)),""))</f>
        <v/>
      </c>
      <c r="J512" s="82" t="n"/>
      <c r="K512" s="82" t="n"/>
      <c r="L512" s="82" t="n"/>
      <c r="M512" s="83" t="n"/>
      <c r="N512" s="83" t="n"/>
      <c r="O512" s="66">
        <f>IF(OR($M512="",$N512=""),"",$N512-$M512)</f>
        <v/>
      </c>
      <c r="P512" s="84">
        <f>IF($J512="","",IF($L512&lt;&gt;"",$L512-$J512,TODAY()-$J512))</f>
        <v/>
      </c>
      <c r="Q512" s="85">
        <f>IF(OR($K512="",$H512="Completed",$H512="Cancelled"),"",IF(AND($K512&lt;TODAY(),$H512&lt;&gt;"Completed",$H512&lt;&gt;"Cancelled"),"Overdue","On Track"))</f>
        <v/>
      </c>
      <c r="R512" s="81" t="n"/>
      <c r="S512" s="81">
        <f>IF($B512="","",IFERROR(INDEX(Task_Tracker!$AA$5:$AA$1004,MATCH($B512,Task_Tracker!$A$5:$A$1004,0)),""))</f>
        <v/>
      </c>
      <c r="T512" s="81">
        <f>IF($B512="","",IFERROR(INDEX(Task_Tracker!$AB$5:$AB$1004,MATCH($B512,Task_Tracker!$A$5:$A$1004,0)),""))</f>
        <v/>
      </c>
      <c r="U512" s="78">
        <f>IF($B512="","",IFERROR(INDEX(Task_Tracker!$F$5:$F$1004,MATCH($B512,Task_Tracker!$A$5:$A$1004,0)),""))</f>
        <v/>
      </c>
      <c r="V512" s="78">
        <f>IF($B512="","",IFERROR(INDEX(Task_Tracker!$I$5:$I$1004,MATCH($B512,Task_Tracker!$A$5:$A$1004,0)),""))</f>
        <v/>
      </c>
      <c r="W512" s="81">
        <f>IF(OR($D512="",$B512=""),"",$D512&amp;" | "&amp;$B512)</f>
        <v/>
      </c>
      <c r="X512" s="85">
        <f>IF($K512="","",TEXT($K512,"yyyy-mm"))</f>
        <v/>
      </c>
      <c r="Y512" s="81">
        <f>IF(OR($A512="",$T512=""),"","Included in Manager_Report")</f>
        <v/>
      </c>
    </row>
    <row r="513" ht="15" customHeight="1" s="40">
      <c r="A513" s="65">
        <f>IF(COUNTA(B513:G513)=0,"","STP-"&amp;TEXT(ROW()-4,"0000"))</f>
        <v/>
      </c>
      <c r="B513" s="78" t="n"/>
      <c r="C513" s="67">
        <f>IF($B513="","",IFERROR(INDEX(Task_Tracker!$D$5:$D$1004,MATCH($B513,Task_Tracker!$A$5:$A$1004,0)),""))</f>
        <v/>
      </c>
      <c r="D513" s="67">
        <f>IF($B513="","",IFERROR(INDEX(Task_Tracker!$B$5:$B$1004,MATCH($B513,Task_Tracker!$A$5:$A$1004,0)),""))</f>
        <v/>
      </c>
      <c r="E513" s="81" t="n"/>
      <c r="F513" s="81" t="n"/>
      <c r="G513" s="78" t="n"/>
      <c r="H513" s="78" t="n"/>
      <c r="I513" s="67">
        <f>IF($H513="","",IFERROR(INDEX(Action_Status_Map!$B$5:$B$11,MATCH($H513,Action_Status_Map!$A$5:$A$11,0)),""))</f>
        <v/>
      </c>
      <c r="J513" s="82" t="n"/>
      <c r="K513" s="82" t="n"/>
      <c r="L513" s="82" t="n"/>
      <c r="M513" s="83" t="n"/>
      <c r="N513" s="83" t="n"/>
      <c r="O513" s="66">
        <f>IF(OR($M513="",$N513=""),"",$N513-$M513)</f>
        <v/>
      </c>
      <c r="P513" s="84">
        <f>IF($J513="","",IF($L513&lt;&gt;"",$L513-$J513,TODAY()-$J513))</f>
        <v/>
      </c>
      <c r="Q513" s="85">
        <f>IF(OR($K513="",$H513="Completed",$H513="Cancelled"),"",IF(AND($K513&lt;TODAY(),$H513&lt;&gt;"Completed",$H513&lt;&gt;"Cancelled"),"Overdue","On Track"))</f>
        <v/>
      </c>
      <c r="R513" s="81" t="n"/>
      <c r="S513" s="81">
        <f>IF($B513="","",IFERROR(INDEX(Task_Tracker!$AA$5:$AA$1004,MATCH($B513,Task_Tracker!$A$5:$A$1004,0)),""))</f>
        <v/>
      </c>
      <c r="T513" s="81">
        <f>IF($B513="","",IFERROR(INDEX(Task_Tracker!$AB$5:$AB$1004,MATCH($B513,Task_Tracker!$A$5:$A$1004,0)),""))</f>
        <v/>
      </c>
      <c r="U513" s="78">
        <f>IF($B513="","",IFERROR(INDEX(Task_Tracker!$F$5:$F$1004,MATCH($B513,Task_Tracker!$A$5:$A$1004,0)),""))</f>
        <v/>
      </c>
      <c r="V513" s="78">
        <f>IF($B513="","",IFERROR(INDEX(Task_Tracker!$I$5:$I$1004,MATCH($B513,Task_Tracker!$A$5:$A$1004,0)),""))</f>
        <v/>
      </c>
      <c r="W513" s="81">
        <f>IF(OR($D513="",$B513=""),"",$D513&amp;" | "&amp;$B513)</f>
        <v/>
      </c>
      <c r="X513" s="85">
        <f>IF($K513="","",TEXT($K513,"yyyy-mm"))</f>
        <v/>
      </c>
      <c r="Y513" s="81">
        <f>IF(OR($A513="",$T513=""),"","Included in Manager_Report")</f>
        <v/>
      </c>
    </row>
    <row r="514" ht="15" customHeight="1" s="40">
      <c r="A514" s="65">
        <f>IF(COUNTA(B514:G514)=0,"","STP-"&amp;TEXT(ROW()-4,"0000"))</f>
        <v/>
      </c>
      <c r="B514" s="78" t="n"/>
      <c r="C514" s="67">
        <f>IF($B514="","",IFERROR(INDEX(Task_Tracker!$D$5:$D$1004,MATCH($B514,Task_Tracker!$A$5:$A$1004,0)),""))</f>
        <v/>
      </c>
      <c r="D514" s="67">
        <f>IF($B514="","",IFERROR(INDEX(Task_Tracker!$B$5:$B$1004,MATCH($B514,Task_Tracker!$A$5:$A$1004,0)),""))</f>
        <v/>
      </c>
      <c r="E514" s="81" t="n"/>
      <c r="F514" s="81" t="n"/>
      <c r="G514" s="78" t="n"/>
      <c r="H514" s="78" t="n"/>
      <c r="I514" s="67">
        <f>IF($H514="","",IFERROR(INDEX(Action_Status_Map!$B$5:$B$11,MATCH($H514,Action_Status_Map!$A$5:$A$11,0)),""))</f>
        <v/>
      </c>
      <c r="J514" s="82" t="n"/>
      <c r="K514" s="82" t="n"/>
      <c r="L514" s="82" t="n"/>
      <c r="M514" s="83" t="n"/>
      <c r="N514" s="83" t="n"/>
      <c r="O514" s="66">
        <f>IF(OR($M514="",$N514=""),"",$N514-$M514)</f>
        <v/>
      </c>
      <c r="P514" s="84">
        <f>IF($J514="","",IF($L514&lt;&gt;"",$L514-$J514,TODAY()-$J514))</f>
        <v/>
      </c>
      <c r="Q514" s="85">
        <f>IF(OR($K514="",$H514="Completed",$H514="Cancelled"),"",IF(AND($K514&lt;TODAY(),$H514&lt;&gt;"Completed",$H514&lt;&gt;"Cancelled"),"Overdue","On Track"))</f>
        <v/>
      </c>
      <c r="R514" s="81" t="n"/>
      <c r="S514" s="81">
        <f>IF($B514="","",IFERROR(INDEX(Task_Tracker!$AA$5:$AA$1004,MATCH($B514,Task_Tracker!$A$5:$A$1004,0)),""))</f>
        <v/>
      </c>
      <c r="T514" s="81">
        <f>IF($B514="","",IFERROR(INDEX(Task_Tracker!$AB$5:$AB$1004,MATCH($B514,Task_Tracker!$A$5:$A$1004,0)),""))</f>
        <v/>
      </c>
      <c r="U514" s="78">
        <f>IF($B514="","",IFERROR(INDEX(Task_Tracker!$F$5:$F$1004,MATCH($B514,Task_Tracker!$A$5:$A$1004,0)),""))</f>
        <v/>
      </c>
      <c r="V514" s="78">
        <f>IF($B514="","",IFERROR(INDEX(Task_Tracker!$I$5:$I$1004,MATCH($B514,Task_Tracker!$A$5:$A$1004,0)),""))</f>
        <v/>
      </c>
      <c r="W514" s="81">
        <f>IF(OR($D514="",$B514=""),"",$D514&amp;" | "&amp;$B514)</f>
        <v/>
      </c>
      <c r="X514" s="85">
        <f>IF($K514="","",TEXT($K514,"yyyy-mm"))</f>
        <v/>
      </c>
      <c r="Y514" s="81">
        <f>IF(OR($A514="",$T514=""),"","Included in Manager_Report")</f>
        <v/>
      </c>
    </row>
    <row r="515" ht="15" customHeight="1" s="40">
      <c r="A515" s="65">
        <f>IF(COUNTA(B515:G515)=0,"","STP-"&amp;TEXT(ROW()-4,"0000"))</f>
        <v/>
      </c>
      <c r="B515" s="78" t="n"/>
      <c r="C515" s="67">
        <f>IF($B515="","",IFERROR(INDEX(Task_Tracker!$D$5:$D$1004,MATCH($B515,Task_Tracker!$A$5:$A$1004,0)),""))</f>
        <v/>
      </c>
      <c r="D515" s="67">
        <f>IF($B515="","",IFERROR(INDEX(Task_Tracker!$B$5:$B$1004,MATCH($B515,Task_Tracker!$A$5:$A$1004,0)),""))</f>
        <v/>
      </c>
      <c r="E515" s="81" t="n"/>
      <c r="F515" s="81" t="n"/>
      <c r="G515" s="78" t="n"/>
      <c r="H515" s="78" t="n"/>
      <c r="I515" s="67">
        <f>IF($H515="","",IFERROR(INDEX(Action_Status_Map!$B$5:$B$11,MATCH($H515,Action_Status_Map!$A$5:$A$11,0)),""))</f>
        <v/>
      </c>
      <c r="J515" s="82" t="n"/>
      <c r="K515" s="82" t="n"/>
      <c r="L515" s="82" t="n"/>
      <c r="M515" s="83" t="n"/>
      <c r="N515" s="83" t="n"/>
      <c r="O515" s="66">
        <f>IF(OR($M515="",$N515=""),"",$N515-$M515)</f>
        <v/>
      </c>
      <c r="P515" s="84">
        <f>IF($J515="","",IF($L515&lt;&gt;"",$L515-$J515,TODAY()-$J515))</f>
        <v/>
      </c>
      <c r="Q515" s="85">
        <f>IF(OR($K515="",$H515="Completed",$H515="Cancelled"),"",IF(AND($K515&lt;TODAY(),$H515&lt;&gt;"Completed",$H515&lt;&gt;"Cancelled"),"Overdue","On Track"))</f>
        <v/>
      </c>
      <c r="R515" s="81" t="n"/>
      <c r="S515" s="81">
        <f>IF($B515="","",IFERROR(INDEX(Task_Tracker!$AA$5:$AA$1004,MATCH($B515,Task_Tracker!$A$5:$A$1004,0)),""))</f>
        <v/>
      </c>
      <c r="T515" s="81">
        <f>IF($B515="","",IFERROR(INDEX(Task_Tracker!$AB$5:$AB$1004,MATCH($B515,Task_Tracker!$A$5:$A$1004,0)),""))</f>
        <v/>
      </c>
      <c r="U515" s="78">
        <f>IF($B515="","",IFERROR(INDEX(Task_Tracker!$F$5:$F$1004,MATCH($B515,Task_Tracker!$A$5:$A$1004,0)),""))</f>
        <v/>
      </c>
      <c r="V515" s="78">
        <f>IF($B515="","",IFERROR(INDEX(Task_Tracker!$I$5:$I$1004,MATCH($B515,Task_Tracker!$A$5:$A$1004,0)),""))</f>
        <v/>
      </c>
      <c r="W515" s="81">
        <f>IF(OR($D515="",$B515=""),"",$D515&amp;" | "&amp;$B515)</f>
        <v/>
      </c>
      <c r="X515" s="85">
        <f>IF($K515="","",TEXT($K515,"yyyy-mm"))</f>
        <v/>
      </c>
      <c r="Y515" s="81">
        <f>IF(OR($A515="",$T515=""),"","Included in Manager_Report")</f>
        <v/>
      </c>
    </row>
    <row r="516" ht="15" customHeight="1" s="40">
      <c r="A516" s="65">
        <f>IF(COUNTA(B516:G516)=0,"","STP-"&amp;TEXT(ROW()-4,"0000"))</f>
        <v/>
      </c>
      <c r="B516" s="78" t="n"/>
      <c r="C516" s="67">
        <f>IF($B516="","",IFERROR(INDEX(Task_Tracker!$D$5:$D$1004,MATCH($B516,Task_Tracker!$A$5:$A$1004,0)),""))</f>
        <v/>
      </c>
      <c r="D516" s="67">
        <f>IF($B516="","",IFERROR(INDEX(Task_Tracker!$B$5:$B$1004,MATCH($B516,Task_Tracker!$A$5:$A$1004,0)),""))</f>
        <v/>
      </c>
      <c r="E516" s="81" t="n"/>
      <c r="F516" s="81" t="n"/>
      <c r="G516" s="78" t="n"/>
      <c r="H516" s="78" t="n"/>
      <c r="I516" s="67">
        <f>IF($H516="","",IFERROR(INDEX(Action_Status_Map!$B$5:$B$11,MATCH($H516,Action_Status_Map!$A$5:$A$11,0)),""))</f>
        <v/>
      </c>
      <c r="J516" s="82" t="n"/>
      <c r="K516" s="82" t="n"/>
      <c r="L516" s="82" t="n"/>
      <c r="M516" s="83" t="n"/>
      <c r="N516" s="83" t="n"/>
      <c r="O516" s="66">
        <f>IF(OR($M516="",$N516=""),"",$N516-$M516)</f>
        <v/>
      </c>
      <c r="P516" s="84">
        <f>IF($J516="","",IF($L516&lt;&gt;"",$L516-$J516,TODAY()-$J516))</f>
        <v/>
      </c>
      <c r="Q516" s="85">
        <f>IF(OR($K516="",$H516="Completed",$H516="Cancelled"),"",IF(AND($K516&lt;TODAY(),$H516&lt;&gt;"Completed",$H516&lt;&gt;"Cancelled"),"Overdue","On Track"))</f>
        <v/>
      </c>
      <c r="R516" s="81" t="n"/>
      <c r="S516" s="81">
        <f>IF($B516="","",IFERROR(INDEX(Task_Tracker!$AA$5:$AA$1004,MATCH($B516,Task_Tracker!$A$5:$A$1004,0)),""))</f>
        <v/>
      </c>
      <c r="T516" s="81">
        <f>IF($B516="","",IFERROR(INDEX(Task_Tracker!$AB$5:$AB$1004,MATCH($B516,Task_Tracker!$A$5:$A$1004,0)),""))</f>
        <v/>
      </c>
      <c r="U516" s="78">
        <f>IF($B516="","",IFERROR(INDEX(Task_Tracker!$F$5:$F$1004,MATCH($B516,Task_Tracker!$A$5:$A$1004,0)),""))</f>
        <v/>
      </c>
      <c r="V516" s="78">
        <f>IF($B516="","",IFERROR(INDEX(Task_Tracker!$I$5:$I$1004,MATCH($B516,Task_Tracker!$A$5:$A$1004,0)),""))</f>
        <v/>
      </c>
      <c r="W516" s="81">
        <f>IF(OR($D516="",$B516=""),"",$D516&amp;" | "&amp;$B516)</f>
        <v/>
      </c>
      <c r="X516" s="85">
        <f>IF($K516="","",TEXT($K516,"yyyy-mm"))</f>
        <v/>
      </c>
      <c r="Y516" s="81">
        <f>IF(OR($A516="",$T516=""),"","Included in Manager_Report")</f>
        <v/>
      </c>
    </row>
    <row r="517" ht="15" customHeight="1" s="40">
      <c r="A517" s="65">
        <f>IF(COUNTA(B517:G517)=0,"","STP-"&amp;TEXT(ROW()-4,"0000"))</f>
        <v/>
      </c>
      <c r="B517" s="78" t="n"/>
      <c r="C517" s="67">
        <f>IF($B517="","",IFERROR(INDEX(Task_Tracker!$D$5:$D$1004,MATCH($B517,Task_Tracker!$A$5:$A$1004,0)),""))</f>
        <v/>
      </c>
      <c r="D517" s="67">
        <f>IF($B517="","",IFERROR(INDEX(Task_Tracker!$B$5:$B$1004,MATCH($B517,Task_Tracker!$A$5:$A$1004,0)),""))</f>
        <v/>
      </c>
      <c r="E517" s="81" t="n"/>
      <c r="F517" s="81" t="n"/>
      <c r="G517" s="78" t="n"/>
      <c r="H517" s="78" t="n"/>
      <c r="I517" s="67">
        <f>IF($H517="","",IFERROR(INDEX(Action_Status_Map!$B$5:$B$11,MATCH($H517,Action_Status_Map!$A$5:$A$11,0)),""))</f>
        <v/>
      </c>
      <c r="J517" s="82" t="n"/>
      <c r="K517" s="82" t="n"/>
      <c r="L517" s="82" t="n"/>
      <c r="M517" s="83" t="n"/>
      <c r="N517" s="83" t="n"/>
      <c r="O517" s="66">
        <f>IF(OR($M517="",$N517=""),"",$N517-$M517)</f>
        <v/>
      </c>
      <c r="P517" s="84">
        <f>IF($J517="","",IF($L517&lt;&gt;"",$L517-$J517,TODAY()-$J517))</f>
        <v/>
      </c>
      <c r="Q517" s="85">
        <f>IF(OR($K517="",$H517="Completed",$H517="Cancelled"),"",IF(AND($K517&lt;TODAY(),$H517&lt;&gt;"Completed",$H517&lt;&gt;"Cancelled"),"Overdue","On Track"))</f>
        <v/>
      </c>
      <c r="R517" s="81" t="n"/>
      <c r="S517" s="81">
        <f>IF($B517="","",IFERROR(INDEX(Task_Tracker!$AA$5:$AA$1004,MATCH($B517,Task_Tracker!$A$5:$A$1004,0)),""))</f>
        <v/>
      </c>
      <c r="T517" s="81">
        <f>IF($B517="","",IFERROR(INDEX(Task_Tracker!$AB$5:$AB$1004,MATCH($B517,Task_Tracker!$A$5:$A$1004,0)),""))</f>
        <v/>
      </c>
      <c r="U517" s="78">
        <f>IF($B517="","",IFERROR(INDEX(Task_Tracker!$F$5:$F$1004,MATCH($B517,Task_Tracker!$A$5:$A$1004,0)),""))</f>
        <v/>
      </c>
      <c r="V517" s="78">
        <f>IF($B517="","",IFERROR(INDEX(Task_Tracker!$I$5:$I$1004,MATCH($B517,Task_Tracker!$A$5:$A$1004,0)),""))</f>
        <v/>
      </c>
      <c r="W517" s="81">
        <f>IF(OR($D517="",$B517=""),"",$D517&amp;" | "&amp;$B517)</f>
        <v/>
      </c>
      <c r="X517" s="85">
        <f>IF($K517="","",TEXT($K517,"yyyy-mm"))</f>
        <v/>
      </c>
      <c r="Y517" s="81">
        <f>IF(OR($A517="",$T517=""),"","Included in Manager_Report")</f>
        <v/>
      </c>
    </row>
    <row r="518" ht="15" customHeight="1" s="40">
      <c r="A518" s="65">
        <f>IF(COUNTA(B518:G518)=0,"","STP-"&amp;TEXT(ROW()-4,"0000"))</f>
        <v/>
      </c>
      <c r="B518" s="78" t="n"/>
      <c r="C518" s="67">
        <f>IF($B518="","",IFERROR(INDEX(Task_Tracker!$D$5:$D$1004,MATCH($B518,Task_Tracker!$A$5:$A$1004,0)),""))</f>
        <v/>
      </c>
      <c r="D518" s="67">
        <f>IF($B518="","",IFERROR(INDEX(Task_Tracker!$B$5:$B$1004,MATCH($B518,Task_Tracker!$A$5:$A$1004,0)),""))</f>
        <v/>
      </c>
      <c r="E518" s="81" t="n"/>
      <c r="F518" s="81" t="n"/>
      <c r="G518" s="78" t="n"/>
      <c r="H518" s="78" t="n"/>
      <c r="I518" s="67">
        <f>IF($H518="","",IFERROR(INDEX(Action_Status_Map!$B$5:$B$11,MATCH($H518,Action_Status_Map!$A$5:$A$11,0)),""))</f>
        <v/>
      </c>
      <c r="J518" s="82" t="n"/>
      <c r="K518" s="82" t="n"/>
      <c r="L518" s="82" t="n"/>
      <c r="M518" s="83" t="n"/>
      <c r="N518" s="83" t="n"/>
      <c r="O518" s="66">
        <f>IF(OR($M518="",$N518=""),"",$N518-$M518)</f>
        <v/>
      </c>
      <c r="P518" s="84">
        <f>IF($J518="","",IF($L518&lt;&gt;"",$L518-$J518,TODAY()-$J518))</f>
        <v/>
      </c>
      <c r="Q518" s="85">
        <f>IF(OR($K518="",$H518="Completed",$H518="Cancelled"),"",IF(AND($K518&lt;TODAY(),$H518&lt;&gt;"Completed",$H518&lt;&gt;"Cancelled"),"Overdue","On Track"))</f>
        <v/>
      </c>
      <c r="R518" s="81" t="n"/>
      <c r="S518" s="81">
        <f>IF($B518="","",IFERROR(INDEX(Task_Tracker!$AA$5:$AA$1004,MATCH($B518,Task_Tracker!$A$5:$A$1004,0)),""))</f>
        <v/>
      </c>
      <c r="T518" s="81">
        <f>IF($B518="","",IFERROR(INDEX(Task_Tracker!$AB$5:$AB$1004,MATCH($B518,Task_Tracker!$A$5:$A$1004,0)),""))</f>
        <v/>
      </c>
      <c r="U518" s="78">
        <f>IF($B518="","",IFERROR(INDEX(Task_Tracker!$F$5:$F$1004,MATCH($B518,Task_Tracker!$A$5:$A$1004,0)),""))</f>
        <v/>
      </c>
      <c r="V518" s="78">
        <f>IF($B518="","",IFERROR(INDEX(Task_Tracker!$I$5:$I$1004,MATCH($B518,Task_Tracker!$A$5:$A$1004,0)),""))</f>
        <v/>
      </c>
      <c r="W518" s="81">
        <f>IF(OR($D518="",$B518=""),"",$D518&amp;" | "&amp;$B518)</f>
        <v/>
      </c>
      <c r="X518" s="85">
        <f>IF($K518="","",TEXT($K518,"yyyy-mm"))</f>
        <v/>
      </c>
      <c r="Y518" s="81">
        <f>IF(OR($A518="",$T518=""),"","Included in Manager_Report")</f>
        <v/>
      </c>
    </row>
    <row r="519" ht="15" customHeight="1" s="40">
      <c r="A519" s="65">
        <f>IF(COUNTA(B519:G519)=0,"","STP-"&amp;TEXT(ROW()-4,"0000"))</f>
        <v/>
      </c>
      <c r="B519" s="78" t="n"/>
      <c r="C519" s="67">
        <f>IF($B519="","",IFERROR(INDEX(Task_Tracker!$D$5:$D$1004,MATCH($B519,Task_Tracker!$A$5:$A$1004,0)),""))</f>
        <v/>
      </c>
      <c r="D519" s="67">
        <f>IF($B519="","",IFERROR(INDEX(Task_Tracker!$B$5:$B$1004,MATCH($B519,Task_Tracker!$A$5:$A$1004,0)),""))</f>
        <v/>
      </c>
      <c r="E519" s="81" t="n"/>
      <c r="F519" s="81" t="n"/>
      <c r="G519" s="78" t="n"/>
      <c r="H519" s="78" t="n"/>
      <c r="I519" s="67">
        <f>IF($H519="","",IFERROR(INDEX(Action_Status_Map!$B$5:$B$11,MATCH($H519,Action_Status_Map!$A$5:$A$11,0)),""))</f>
        <v/>
      </c>
      <c r="J519" s="82" t="n"/>
      <c r="K519" s="82" t="n"/>
      <c r="L519" s="82" t="n"/>
      <c r="M519" s="83" t="n"/>
      <c r="N519" s="83" t="n"/>
      <c r="O519" s="66">
        <f>IF(OR($M519="",$N519=""),"",$N519-$M519)</f>
        <v/>
      </c>
      <c r="P519" s="84">
        <f>IF($J519="","",IF($L519&lt;&gt;"",$L519-$J519,TODAY()-$J519))</f>
        <v/>
      </c>
      <c r="Q519" s="85">
        <f>IF(OR($K519="",$H519="Completed",$H519="Cancelled"),"",IF(AND($K519&lt;TODAY(),$H519&lt;&gt;"Completed",$H519&lt;&gt;"Cancelled"),"Overdue","On Track"))</f>
        <v/>
      </c>
      <c r="R519" s="81" t="n"/>
      <c r="S519" s="81">
        <f>IF($B519="","",IFERROR(INDEX(Task_Tracker!$AA$5:$AA$1004,MATCH($B519,Task_Tracker!$A$5:$A$1004,0)),""))</f>
        <v/>
      </c>
      <c r="T519" s="81">
        <f>IF($B519="","",IFERROR(INDEX(Task_Tracker!$AB$5:$AB$1004,MATCH($B519,Task_Tracker!$A$5:$A$1004,0)),""))</f>
        <v/>
      </c>
      <c r="U519" s="78">
        <f>IF($B519="","",IFERROR(INDEX(Task_Tracker!$F$5:$F$1004,MATCH($B519,Task_Tracker!$A$5:$A$1004,0)),""))</f>
        <v/>
      </c>
      <c r="V519" s="78">
        <f>IF($B519="","",IFERROR(INDEX(Task_Tracker!$I$5:$I$1004,MATCH($B519,Task_Tracker!$A$5:$A$1004,0)),""))</f>
        <v/>
      </c>
      <c r="W519" s="81">
        <f>IF(OR($D519="",$B519=""),"",$D519&amp;" | "&amp;$B519)</f>
        <v/>
      </c>
      <c r="X519" s="85">
        <f>IF($K519="","",TEXT($K519,"yyyy-mm"))</f>
        <v/>
      </c>
      <c r="Y519" s="81">
        <f>IF(OR($A519="",$T519=""),"","Included in Manager_Report")</f>
        <v/>
      </c>
    </row>
    <row r="520" ht="15" customHeight="1" s="40">
      <c r="A520" s="65">
        <f>IF(COUNTA(B520:G520)=0,"","STP-"&amp;TEXT(ROW()-4,"0000"))</f>
        <v/>
      </c>
      <c r="B520" s="78" t="n"/>
      <c r="C520" s="67">
        <f>IF($B520="","",IFERROR(INDEX(Task_Tracker!$D$5:$D$1004,MATCH($B520,Task_Tracker!$A$5:$A$1004,0)),""))</f>
        <v/>
      </c>
      <c r="D520" s="67">
        <f>IF($B520="","",IFERROR(INDEX(Task_Tracker!$B$5:$B$1004,MATCH($B520,Task_Tracker!$A$5:$A$1004,0)),""))</f>
        <v/>
      </c>
      <c r="E520" s="81" t="n"/>
      <c r="F520" s="81" t="n"/>
      <c r="G520" s="78" t="n"/>
      <c r="H520" s="78" t="n"/>
      <c r="I520" s="67">
        <f>IF($H520="","",IFERROR(INDEX(Action_Status_Map!$B$5:$B$11,MATCH($H520,Action_Status_Map!$A$5:$A$11,0)),""))</f>
        <v/>
      </c>
      <c r="J520" s="82" t="n"/>
      <c r="K520" s="82" t="n"/>
      <c r="L520" s="82" t="n"/>
      <c r="M520" s="83" t="n"/>
      <c r="N520" s="83" t="n"/>
      <c r="O520" s="66">
        <f>IF(OR($M520="",$N520=""),"",$N520-$M520)</f>
        <v/>
      </c>
      <c r="P520" s="84">
        <f>IF($J520="","",IF($L520&lt;&gt;"",$L520-$J520,TODAY()-$J520))</f>
        <v/>
      </c>
      <c r="Q520" s="85">
        <f>IF(OR($K520="",$H520="Completed",$H520="Cancelled"),"",IF(AND($K520&lt;TODAY(),$H520&lt;&gt;"Completed",$H520&lt;&gt;"Cancelled"),"Overdue","On Track"))</f>
        <v/>
      </c>
      <c r="R520" s="81" t="n"/>
      <c r="S520" s="81">
        <f>IF($B520="","",IFERROR(INDEX(Task_Tracker!$AA$5:$AA$1004,MATCH($B520,Task_Tracker!$A$5:$A$1004,0)),""))</f>
        <v/>
      </c>
      <c r="T520" s="81">
        <f>IF($B520="","",IFERROR(INDEX(Task_Tracker!$AB$5:$AB$1004,MATCH($B520,Task_Tracker!$A$5:$A$1004,0)),""))</f>
        <v/>
      </c>
      <c r="U520" s="78">
        <f>IF($B520="","",IFERROR(INDEX(Task_Tracker!$F$5:$F$1004,MATCH($B520,Task_Tracker!$A$5:$A$1004,0)),""))</f>
        <v/>
      </c>
      <c r="V520" s="78">
        <f>IF($B520="","",IFERROR(INDEX(Task_Tracker!$I$5:$I$1004,MATCH($B520,Task_Tracker!$A$5:$A$1004,0)),""))</f>
        <v/>
      </c>
      <c r="W520" s="81">
        <f>IF(OR($D520="",$B520=""),"",$D520&amp;" | "&amp;$B520)</f>
        <v/>
      </c>
      <c r="X520" s="85">
        <f>IF($K520="","",TEXT($K520,"yyyy-mm"))</f>
        <v/>
      </c>
      <c r="Y520" s="81">
        <f>IF(OR($A520="",$T520=""),"","Included in Manager_Report")</f>
        <v/>
      </c>
    </row>
    <row r="521" ht="15" customHeight="1" s="40">
      <c r="A521" s="65">
        <f>IF(COUNTA(B521:G521)=0,"","STP-"&amp;TEXT(ROW()-4,"0000"))</f>
        <v/>
      </c>
      <c r="B521" s="78" t="n"/>
      <c r="C521" s="67">
        <f>IF($B521="","",IFERROR(INDEX(Task_Tracker!$D$5:$D$1004,MATCH($B521,Task_Tracker!$A$5:$A$1004,0)),""))</f>
        <v/>
      </c>
      <c r="D521" s="67">
        <f>IF($B521="","",IFERROR(INDEX(Task_Tracker!$B$5:$B$1004,MATCH($B521,Task_Tracker!$A$5:$A$1004,0)),""))</f>
        <v/>
      </c>
      <c r="E521" s="81" t="n"/>
      <c r="F521" s="81" t="n"/>
      <c r="G521" s="78" t="n"/>
      <c r="H521" s="78" t="n"/>
      <c r="I521" s="67">
        <f>IF($H521="","",IFERROR(INDEX(Action_Status_Map!$B$5:$B$11,MATCH($H521,Action_Status_Map!$A$5:$A$11,0)),""))</f>
        <v/>
      </c>
      <c r="J521" s="82" t="n"/>
      <c r="K521" s="82" t="n"/>
      <c r="L521" s="82" t="n"/>
      <c r="M521" s="83" t="n"/>
      <c r="N521" s="83" t="n"/>
      <c r="O521" s="66">
        <f>IF(OR($M521="",$N521=""),"",$N521-$M521)</f>
        <v/>
      </c>
      <c r="P521" s="84">
        <f>IF($J521="","",IF($L521&lt;&gt;"",$L521-$J521,TODAY()-$J521))</f>
        <v/>
      </c>
      <c r="Q521" s="85">
        <f>IF(OR($K521="",$H521="Completed",$H521="Cancelled"),"",IF(AND($K521&lt;TODAY(),$H521&lt;&gt;"Completed",$H521&lt;&gt;"Cancelled"),"Overdue","On Track"))</f>
        <v/>
      </c>
      <c r="R521" s="81" t="n"/>
      <c r="S521" s="81">
        <f>IF($B521="","",IFERROR(INDEX(Task_Tracker!$AA$5:$AA$1004,MATCH($B521,Task_Tracker!$A$5:$A$1004,0)),""))</f>
        <v/>
      </c>
      <c r="T521" s="81">
        <f>IF($B521="","",IFERROR(INDEX(Task_Tracker!$AB$5:$AB$1004,MATCH($B521,Task_Tracker!$A$5:$A$1004,0)),""))</f>
        <v/>
      </c>
      <c r="U521" s="78">
        <f>IF($B521="","",IFERROR(INDEX(Task_Tracker!$F$5:$F$1004,MATCH($B521,Task_Tracker!$A$5:$A$1004,0)),""))</f>
        <v/>
      </c>
      <c r="V521" s="78">
        <f>IF($B521="","",IFERROR(INDEX(Task_Tracker!$I$5:$I$1004,MATCH($B521,Task_Tracker!$A$5:$A$1004,0)),""))</f>
        <v/>
      </c>
      <c r="W521" s="81">
        <f>IF(OR($D521="",$B521=""),"",$D521&amp;" | "&amp;$B521)</f>
        <v/>
      </c>
      <c r="X521" s="85">
        <f>IF($K521="","",TEXT($K521,"yyyy-mm"))</f>
        <v/>
      </c>
      <c r="Y521" s="81">
        <f>IF(OR($A521="",$T521=""),"","Included in Manager_Report")</f>
        <v/>
      </c>
    </row>
    <row r="522" ht="15" customHeight="1" s="40">
      <c r="A522" s="65">
        <f>IF(COUNTA(B522:G522)=0,"","STP-"&amp;TEXT(ROW()-4,"0000"))</f>
        <v/>
      </c>
      <c r="B522" s="78" t="n"/>
      <c r="C522" s="67">
        <f>IF($B522="","",IFERROR(INDEX(Task_Tracker!$D$5:$D$1004,MATCH($B522,Task_Tracker!$A$5:$A$1004,0)),""))</f>
        <v/>
      </c>
      <c r="D522" s="67">
        <f>IF($B522="","",IFERROR(INDEX(Task_Tracker!$B$5:$B$1004,MATCH($B522,Task_Tracker!$A$5:$A$1004,0)),""))</f>
        <v/>
      </c>
      <c r="E522" s="81" t="n"/>
      <c r="F522" s="81" t="n"/>
      <c r="G522" s="78" t="n"/>
      <c r="H522" s="78" t="n"/>
      <c r="I522" s="67">
        <f>IF($H522="","",IFERROR(INDEX(Action_Status_Map!$B$5:$B$11,MATCH($H522,Action_Status_Map!$A$5:$A$11,0)),""))</f>
        <v/>
      </c>
      <c r="J522" s="82" t="n"/>
      <c r="K522" s="82" t="n"/>
      <c r="L522" s="82" t="n"/>
      <c r="M522" s="83" t="n"/>
      <c r="N522" s="83" t="n"/>
      <c r="O522" s="66">
        <f>IF(OR($M522="",$N522=""),"",$N522-$M522)</f>
        <v/>
      </c>
      <c r="P522" s="84">
        <f>IF($J522="","",IF($L522&lt;&gt;"",$L522-$J522,TODAY()-$J522))</f>
        <v/>
      </c>
      <c r="Q522" s="85">
        <f>IF(OR($K522="",$H522="Completed",$H522="Cancelled"),"",IF(AND($K522&lt;TODAY(),$H522&lt;&gt;"Completed",$H522&lt;&gt;"Cancelled"),"Overdue","On Track"))</f>
        <v/>
      </c>
      <c r="R522" s="81" t="n"/>
      <c r="S522" s="81">
        <f>IF($B522="","",IFERROR(INDEX(Task_Tracker!$AA$5:$AA$1004,MATCH($B522,Task_Tracker!$A$5:$A$1004,0)),""))</f>
        <v/>
      </c>
      <c r="T522" s="81">
        <f>IF($B522="","",IFERROR(INDEX(Task_Tracker!$AB$5:$AB$1004,MATCH($B522,Task_Tracker!$A$5:$A$1004,0)),""))</f>
        <v/>
      </c>
      <c r="U522" s="78">
        <f>IF($B522="","",IFERROR(INDEX(Task_Tracker!$F$5:$F$1004,MATCH($B522,Task_Tracker!$A$5:$A$1004,0)),""))</f>
        <v/>
      </c>
      <c r="V522" s="78">
        <f>IF($B522="","",IFERROR(INDEX(Task_Tracker!$I$5:$I$1004,MATCH($B522,Task_Tracker!$A$5:$A$1004,0)),""))</f>
        <v/>
      </c>
      <c r="W522" s="81">
        <f>IF(OR($D522="",$B522=""),"",$D522&amp;" | "&amp;$B522)</f>
        <v/>
      </c>
      <c r="X522" s="85">
        <f>IF($K522="","",TEXT($K522,"yyyy-mm"))</f>
        <v/>
      </c>
      <c r="Y522" s="81">
        <f>IF(OR($A522="",$T522=""),"","Included in Manager_Report")</f>
        <v/>
      </c>
    </row>
    <row r="523" ht="15" customHeight="1" s="40">
      <c r="A523" s="65">
        <f>IF(COUNTA(B523:G523)=0,"","STP-"&amp;TEXT(ROW()-4,"0000"))</f>
        <v/>
      </c>
      <c r="B523" s="78" t="n"/>
      <c r="C523" s="67">
        <f>IF($B523="","",IFERROR(INDEX(Task_Tracker!$D$5:$D$1004,MATCH($B523,Task_Tracker!$A$5:$A$1004,0)),""))</f>
        <v/>
      </c>
      <c r="D523" s="67">
        <f>IF($B523="","",IFERROR(INDEX(Task_Tracker!$B$5:$B$1004,MATCH($B523,Task_Tracker!$A$5:$A$1004,0)),""))</f>
        <v/>
      </c>
      <c r="E523" s="81" t="n"/>
      <c r="F523" s="81" t="n"/>
      <c r="G523" s="78" t="n"/>
      <c r="H523" s="78" t="n"/>
      <c r="I523" s="67">
        <f>IF($H523="","",IFERROR(INDEX(Action_Status_Map!$B$5:$B$11,MATCH($H523,Action_Status_Map!$A$5:$A$11,0)),""))</f>
        <v/>
      </c>
      <c r="J523" s="82" t="n"/>
      <c r="K523" s="82" t="n"/>
      <c r="L523" s="82" t="n"/>
      <c r="M523" s="83" t="n"/>
      <c r="N523" s="83" t="n"/>
      <c r="O523" s="66">
        <f>IF(OR($M523="",$N523=""),"",$N523-$M523)</f>
        <v/>
      </c>
      <c r="P523" s="84">
        <f>IF($J523="","",IF($L523&lt;&gt;"",$L523-$J523,TODAY()-$J523))</f>
        <v/>
      </c>
      <c r="Q523" s="85">
        <f>IF(OR($K523="",$H523="Completed",$H523="Cancelled"),"",IF(AND($K523&lt;TODAY(),$H523&lt;&gt;"Completed",$H523&lt;&gt;"Cancelled"),"Overdue","On Track"))</f>
        <v/>
      </c>
      <c r="R523" s="81" t="n"/>
      <c r="S523" s="81">
        <f>IF($B523="","",IFERROR(INDEX(Task_Tracker!$AA$5:$AA$1004,MATCH($B523,Task_Tracker!$A$5:$A$1004,0)),""))</f>
        <v/>
      </c>
      <c r="T523" s="81">
        <f>IF($B523="","",IFERROR(INDEX(Task_Tracker!$AB$5:$AB$1004,MATCH($B523,Task_Tracker!$A$5:$A$1004,0)),""))</f>
        <v/>
      </c>
      <c r="U523" s="78">
        <f>IF($B523="","",IFERROR(INDEX(Task_Tracker!$F$5:$F$1004,MATCH($B523,Task_Tracker!$A$5:$A$1004,0)),""))</f>
        <v/>
      </c>
      <c r="V523" s="78">
        <f>IF($B523="","",IFERROR(INDEX(Task_Tracker!$I$5:$I$1004,MATCH($B523,Task_Tracker!$A$5:$A$1004,0)),""))</f>
        <v/>
      </c>
      <c r="W523" s="81">
        <f>IF(OR($D523="",$B523=""),"",$D523&amp;" | "&amp;$B523)</f>
        <v/>
      </c>
      <c r="X523" s="85">
        <f>IF($K523="","",TEXT($K523,"yyyy-mm"))</f>
        <v/>
      </c>
      <c r="Y523" s="81">
        <f>IF(OR($A523="",$T523=""),"","Included in Manager_Report")</f>
        <v/>
      </c>
    </row>
    <row r="524" ht="15" customHeight="1" s="40">
      <c r="A524" s="65">
        <f>IF(COUNTA(B524:G524)=0,"","STP-"&amp;TEXT(ROW()-4,"0000"))</f>
        <v/>
      </c>
      <c r="B524" s="78" t="n"/>
      <c r="C524" s="67">
        <f>IF($B524="","",IFERROR(INDEX(Task_Tracker!$D$5:$D$1004,MATCH($B524,Task_Tracker!$A$5:$A$1004,0)),""))</f>
        <v/>
      </c>
      <c r="D524" s="67">
        <f>IF($B524="","",IFERROR(INDEX(Task_Tracker!$B$5:$B$1004,MATCH($B524,Task_Tracker!$A$5:$A$1004,0)),""))</f>
        <v/>
      </c>
      <c r="E524" s="81" t="n"/>
      <c r="F524" s="81" t="n"/>
      <c r="G524" s="78" t="n"/>
      <c r="H524" s="78" t="n"/>
      <c r="I524" s="67">
        <f>IF($H524="","",IFERROR(INDEX(Action_Status_Map!$B$5:$B$11,MATCH($H524,Action_Status_Map!$A$5:$A$11,0)),""))</f>
        <v/>
      </c>
      <c r="J524" s="82" t="n"/>
      <c r="K524" s="82" t="n"/>
      <c r="L524" s="82" t="n"/>
      <c r="M524" s="83" t="n"/>
      <c r="N524" s="83" t="n"/>
      <c r="O524" s="66">
        <f>IF(OR($M524="",$N524=""),"",$N524-$M524)</f>
        <v/>
      </c>
      <c r="P524" s="84">
        <f>IF($J524="","",IF($L524&lt;&gt;"",$L524-$J524,TODAY()-$J524))</f>
        <v/>
      </c>
      <c r="Q524" s="85">
        <f>IF(OR($K524="",$H524="Completed",$H524="Cancelled"),"",IF(AND($K524&lt;TODAY(),$H524&lt;&gt;"Completed",$H524&lt;&gt;"Cancelled"),"Overdue","On Track"))</f>
        <v/>
      </c>
      <c r="R524" s="81" t="n"/>
      <c r="S524" s="81">
        <f>IF($B524="","",IFERROR(INDEX(Task_Tracker!$AA$5:$AA$1004,MATCH($B524,Task_Tracker!$A$5:$A$1004,0)),""))</f>
        <v/>
      </c>
      <c r="T524" s="81">
        <f>IF($B524="","",IFERROR(INDEX(Task_Tracker!$AB$5:$AB$1004,MATCH($B524,Task_Tracker!$A$5:$A$1004,0)),""))</f>
        <v/>
      </c>
      <c r="U524" s="78">
        <f>IF($B524="","",IFERROR(INDEX(Task_Tracker!$F$5:$F$1004,MATCH($B524,Task_Tracker!$A$5:$A$1004,0)),""))</f>
        <v/>
      </c>
      <c r="V524" s="78">
        <f>IF($B524="","",IFERROR(INDEX(Task_Tracker!$I$5:$I$1004,MATCH($B524,Task_Tracker!$A$5:$A$1004,0)),""))</f>
        <v/>
      </c>
      <c r="W524" s="81">
        <f>IF(OR($D524="",$B524=""),"",$D524&amp;" | "&amp;$B524)</f>
        <v/>
      </c>
      <c r="X524" s="85">
        <f>IF($K524="","",TEXT($K524,"yyyy-mm"))</f>
        <v/>
      </c>
      <c r="Y524" s="81">
        <f>IF(OR($A524="",$T524=""),"","Included in Manager_Report")</f>
        <v/>
      </c>
    </row>
    <row r="525" ht="15" customHeight="1" s="40">
      <c r="A525" s="65">
        <f>IF(COUNTA(B525:G525)=0,"","STP-"&amp;TEXT(ROW()-4,"0000"))</f>
        <v/>
      </c>
      <c r="B525" s="78" t="n"/>
      <c r="C525" s="67">
        <f>IF($B525="","",IFERROR(INDEX(Task_Tracker!$D$5:$D$1004,MATCH($B525,Task_Tracker!$A$5:$A$1004,0)),""))</f>
        <v/>
      </c>
      <c r="D525" s="67">
        <f>IF($B525="","",IFERROR(INDEX(Task_Tracker!$B$5:$B$1004,MATCH($B525,Task_Tracker!$A$5:$A$1004,0)),""))</f>
        <v/>
      </c>
      <c r="E525" s="81" t="n"/>
      <c r="F525" s="81" t="n"/>
      <c r="G525" s="78" t="n"/>
      <c r="H525" s="78" t="n"/>
      <c r="I525" s="67">
        <f>IF($H525="","",IFERROR(INDEX(Action_Status_Map!$B$5:$B$11,MATCH($H525,Action_Status_Map!$A$5:$A$11,0)),""))</f>
        <v/>
      </c>
      <c r="J525" s="82" t="n"/>
      <c r="K525" s="82" t="n"/>
      <c r="L525" s="82" t="n"/>
      <c r="M525" s="83" t="n"/>
      <c r="N525" s="83" t="n"/>
      <c r="O525" s="66">
        <f>IF(OR($M525="",$N525=""),"",$N525-$M525)</f>
        <v/>
      </c>
      <c r="P525" s="84">
        <f>IF($J525="","",IF($L525&lt;&gt;"",$L525-$J525,TODAY()-$J525))</f>
        <v/>
      </c>
      <c r="Q525" s="85">
        <f>IF(OR($K525="",$H525="Completed",$H525="Cancelled"),"",IF(AND($K525&lt;TODAY(),$H525&lt;&gt;"Completed",$H525&lt;&gt;"Cancelled"),"Overdue","On Track"))</f>
        <v/>
      </c>
      <c r="R525" s="81" t="n"/>
      <c r="S525" s="81">
        <f>IF($B525="","",IFERROR(INDEX(Task_Tracker!$AA$5:$AA$1004,MATCH($B525,Task_Tracker!$A$5:$A$1004,0)),""))</f>
        <v/>
      </c>
      <c r="T525" s="81">
        <f>IF($B525="","",IFERROR(INDEX(Task_Tracker!$AB$5:$AB$1004,MATCH($B525,Task_Tracker!$A$5:$A$1004,0)),""))</f>
        <v/>
      </c>
      <c r="U525" s="78">
        <f>IF($B525="","",IFERROR(INDEX(Task_Tracker!$F$5:$F$1004,MATCH($B525,Task_Tracker!$A$5:$A$1004,0)),""))</f>
        <v/>
      </c>
      <c r="V525" s="78">
        <f>IF($B525="","",IFERROR(INDEX(Task_Tracker!$I$5:$I$1004,MATCH($B525,Task_Tracker!$A$5:$A$1004,0)),""))</f>
        <v/>
      </c>
      <c r="W525" s="81">
        <f>IF(OR($D525="",$B525=""),"",$D525&amp;" | "&amp;$B525)</f>
        <v/>
      </c>
      <c r="X525" s="85">
        <f>IF($K525="","",TEXT($K525,"yyyy-mm"))</f>
        <v/>
      </c>
      <c r="Y525" s="81">
        <f>IF(OR($A525="",$T525=""),"","Included in Manager_Report")</f>
        <v/>
      </c>
    </row>
    <row r="526" ht="15" customHeight="1" s="40">
      <c r="A526" s="65">
        <f>IF(COUNTA(B526:G526)=0,"","STP-"&amp;TEXT(ROW()-4,"0000"))</f>
        <v/>
      </c>
      <c r="B526" s="78" t="n"/>
      <c r="C526" s="67">
        <f>IF($B526="","",IFERROR(INDEX(Task_Tracker!$D$5:$D$1004,MATCH($B526,Task_Tracker!$A$5:$A$1004,0)),""))</f>
        <v/>
      </c>
      <c r="D526" s="67">
        <f>IF($B526="","",IFERROR(INDEX(Task_Tracker!$B$5:$B$1004,MATCH($B526,Task_Tracker!$A$5:$A$1004,0)),""))</f>
        <v/>
      </c>
      <c r="E526" s="81" t="n"/>
      <c r="F526" s="81" t="n"/>
      <c r="G526" s="78" t="n"/>
      <c r="H526" s="78" t="n"/>
      <c r="I526" s="67">
        <f>IF($H526="","",IFERROR(INDEX(Action_Status_Map!$B$5:$B$11,MATCH($H526,Action_Status_Map!$A$5:$A$11,0)),""))</f>
        <v/>
      </c>
      <c r="J526" s="82" t="n"/>
      <c r="K526" s="82" t="n"/>
      <c r="L526" s="82" t="n"/>
      <c r="M526" s="83" t="n"/>
      <c r="N526" s="83" t="n"/>
      <c r="O526" s="66">
        <f>IF(OR($M526="",$N526=""),"",$N526-$M526)</f>
        <v/>
      </c>
      <c r="P526" s="84">
        <f>IF($J526="","",IF($L526&lt;&gt;"",$L526-$J526,TODAY()-$J526))</f>
        <v/>
      </c>
      <c r="Q526" s="85">
        <f>IF(OR($K526="",$H526="Completed",$H526="Cancelled"),"",IF(AND($K526&lt;TODAY(),$H526&lt;&gt;"Completed",$H526&lt;&gt;"Cancelled"),"Overdue","On Track"))</f>
        <v/>
      </c>
      <c r="R526" s="81" t="n"/>
      <c r="S526" s="81">
        <f>IF($B526="","",IFERROR(INDEX(Task_Tracker!$AA$5:$AA$1004,MATCH($B526,Task_Tracker!$A$5:$A$1004,0)),""))</f>
        <v/>
      </c>
      <c r="T526" s="81">
        <f>IF($B526="","",IFERROR(INDEX(Task_Tracker!$AB$5:$AB$1004,MATCH($B526,Task_Tracker!$A$5:$A$1004,0)),""))</f>
        <v/>
      </c>
      <c r="U526" s="78">
        <f>IF($B526="","",IFERROR(INDEX(Task_Tracker!$F$5:$F$1004,MATCH($B526,Task_Tracker!$A$5:$A$1004,0)),""))</f>
        <v/>
      </c>
      <c r="V526" s="78">
        <f>IF($B526="","",IFERROR(INDEX(Task_Tracker!$I$5:$I$1004,MATCH($B526,Task_Tracker!$A$5:$A$1004,0)),""))</f>
        <v/>
      </c>
      <c r="W526" s="81">
        <f>IF(OR($D526="",$B526=""),"",$D526&amp;" | "&amp;$B526)</f>
        <v/>
      </c>
      <c r="X526" s="85">
        <f>IF($K526="","",TEXT($K526,"yyyy-mm"))</f>
        <v/>
      </c>
      <c r="Y526" s="81">
        <f>IF(OR($A526="",$T526=""),"","Included in Manager_Report")</f>
        <v/>
      </c>
    </row>
    <row r="527" ht="15" customHeight="1" s="40">
      <c r="A527" s="65">
        <f>IF(COUNTA(B527:G527)=0,"","STP-"&amp;TEXT(ROW()-4,"0000"))</f>
        <v/>
      </c>
      <c r="B527" s="78" t="n"/>
      <c r="C527" s="67">
        <f>IF($B527="","",IFERROR(INDEX(Task_Tracker!$D$5:$D$1004,MATCH($B527,Task_Tracker!$A$5:$A$1004,0)),""))</f>
        <v/>
      </c>
      <c r="D527" s="67">
        <f>IF($B527="","",IFERROR(INDEX(Task_Tracker!$B$5:$B$1004,MATCH($B527,Task_Tracker!$A$5:$A$1004,0)),""))</f>
        <v/>
      </c>
      <c r="E527" s="81" t="n"/>
      <c r="F527" s="81" t="n"/>
      <c r="G527" s="78" t="n"/>
      <c r="H527" s="78" t="n"/>
      <c r="I527" s="67">
        <f>IF($H527="","",IFERROR(INDEX(Action_Status_Map!$B$5:$B$11,MATCH($H527,Action_Status_Map!$A$5:$A$11,0)),""))</f>
        <v/>
      </c>
      <c r="J527" s="82" t="n"/>
      <c r="K527" s="82" t="n"/>
      <c r="L527" s="82" t="n"/>
      <c r="M527" s="83" t="n"/>
      <c r="N527" s="83" t="n"/>
      <c r="O527" s="66">
        <f>IF(OR($M527="",$N527=""),"",$N527-$M527)</f>
        <v/>
      </c>
      <c r="P527" s="84">
        <f>IF($J527="","",IF($L527&lt;&gt;"",$L527-$J527,TODAY()-$J527))</f>
        <v/>
      </c>
      <c r="Q527" s="85">
        <f>IF(OR($K527="",$H527="Completed",$H527="Cancelled"),"",IF(AND($K527&lt;TODAY(),$H527&lt;&gt;"Completed",$H527&lt;&gt;"Cancelled"),"Overdue","On Track"))</f>
        <v/>
      </c>
      <c r="R527" s="81" t="n"/>
      <c r="S527" s="81">
        <f>IF($B527="","",IFERROR(INDEX(Task_Tracker!$AA$5:$AA$1004,MATCH($B527,Task_Tracker!$A$5:$A$1004,0)),""))</f>
        <v/>
      </c>
      <c r="T527" s="81">
        <f>IF($B527="","",IFERROR(INDEX(Task_Tracker!$AB$5:$AB$1004,MATCH($B527,Task_Tracker!$A$5:$A$1004,0)),""))</f>
        <v/>
      </c>
      <c r="U527" s="78">
        <f>IF($B527="","",IFERROR(INDEX(Task_Tracker!$F$5:$F$1004,MATCH($B527,Task_Tracker!$A$5:$A$1004,0)),""))</f>
        <v/>
      </c>
      <c r="V527" s="78">
        <f>IF($B527="","",IFERROR(INDEX(Task_Tracker!$I$5:$I$1004,MATCH($B527,Task_Tracker!$A$5:$A$1004,0)),""))</f>
        <v/>
      </c>
      <c r="W527" s="81">
        <f>IF(OR($D527="",$B527=""),"",$D527&amp;" | "&amp;$B527)</f>
        <v/>
      </c>
      <c r="X527" s="85">
        <f>IF($K527="","",TEXT($K527,"yyyy-mm"))</f>
        <v/>
      </c>
      <c r="Y527" s="81">
        <f>IF(OR($A527="",$T527=""),"","Included in Manager_Report")</f>
        <v/>
      </c>
    </row>
    <row r="528" ht="15" customHeight="1" s="40">
      <c r="A528" s="65">
        <f>IF(COUNTA(B528:G528)=0,"","STP-"&amp;TEXT(ROW()-4,"0000"))</f>
        <v/>
      </c>
      <c r="B528" s="78" t="n"/>
      <c r="C528" s="67">
        <f>IF($B528="","",IFERROR(INDEX(Task_Tracker!$D$5:$D$1004,MATCH($B528,Task_Tracker!$A$5:$A$1004,0)),""))</f>
        <v/>
      </c>
      <c r="D528" s="67">
        <f>IF($B528="","",IFERROR(INDEX(Task_Tracker!$B$5:$B$1004,MATCH($B528,Task_Tracker!$A$5:$A$1004,0)),""))</f>
        <v/>
      </c>
      <c r="E528" s="81" t="n"/>
      <c r="F528" s="81" t="n"/>
      <c r="G528" s="78" t="n"/>
      <c r="H528" s="78" t="n"/>
      <c r="I528" s="67">
        <f>IF($H528="","",IFERROR(INDEX(Action_Status_Map!$B$5:$B$11,MATCH($H528,Action_Status_Map!$A$5:$A$11,0)),""))</f>
        <v/>
      </c>
      <c r="J528" s="82" t="n"/>
      <c r="K528" s="82" t="n"/>
      <c r="L528" s="82" t="n"/>
      <c r="M528" s="83" t="n"/>
      <c r="N528" s="83" t="n"/>
      <c r="O528" s="66">
        <f>IF(OR($M528="",$N528=""),"",$N528-$M528)</f>
        <v/>
      </c>
      <c r="P528" s="84">
        <f>IF($J528="","",IF($L528&lt;&gt;"",$L528-$J528,TODAY()-$J528))</f>
        <v/>
      </c>
      <c r="Q528" s="85">
        <f>IF(OR($K528="",$H528="Completed",$H528="Cancelled"),"",IF(AND($K528&lt;TODAY(),$H528&lt;&gt;"Completed",$H528&lt;&gt;"Cancelled"),"Overdue","On Track"))</f>
        <v/>
      </c>
      <c r="R528" s="81" t="n"/>
      <c r="S528" s="81">
        <f>IF($B528="","",IFERROR(INDEX(Task_Tracker!$AA$5:$AA$1004,MATCH($B528,Task_Tracker!$A$5:$A$1004,0)),""))</f>
        <v/>
      </c>
      <c r="T528" s="81">
        <f>IF($B528="","",IFERROR(INDEX(Task_Tracker!$AB$5:$AB$1004,MATCH($B528,Task_Tracker!$A$5:$A$1004,0)),""))</f>
        <v/>
      </c>
      <c r="U528" s="78">
        <f>IF($B528="","",IFERROR(INDEX(Task_Tracker!$F$5:$F$1004,MATCH($B528,Task_Tracker!$A$5:$A$1004,0)),""))</f>
        <v/>
      </c>
      <c r="V528" s="78">
        <f>IF($B528="","",IFERROR(INDEX(Task_Tracker!$I$5:$I$1004,MATCH($B528,Task_Tracker!$A$5:$A$1004,0)),""))</f>
        <v/>
      </c>
      <c r="W528" s="81">
        <f>IF(OR($D528="",$B528=""),"",$D528&amp;" | "&amp;$B528)</f>
        <v/>
      </c>
      <c r="X528" s="85">
        <f>IF($K528="","",TEXT($K528,"yyyy-mm"))</f>
        <v/>
      </c>
      <c r="Y528" s="81">
        <f>IF(OR($A528="",$T528=""),"","Included in Manager_Report")</f>
        <v/>
      </c>
    </row>
    <row r="529" ht="15" customHeight="1" s="40">
      <c r="A529" s="65">
        <f>IF(COUNTA(B529:G529)=0,"","STP-"&amp;TEXT(ROW()-4,"0000"))</f>
        <v/>
      </c>
      <c r="B529" s="78" t="n"/>
      <c r="C529" s="67">
        <f>IF($B529="","",IFERROR(INDEX(Task_Tracker!$D$5:$D$1004,MATCH($B529,Task_Tracker!$A$5:$A$1004,0)),""))</f>
        <v/>
      </c>
      <c r="D529" s="67">
        <f>IF($B529="","",IFERROR(INDEX(Task_Tracker!$B$5:$B$1004,MATCH($B529,Task_Tracker!$A$5:$A$1004,0)),""))</f>
        <v/>
      </c>
      <c r="E529" s="81" t="n"/>
      <c r="F529" s="81" t="n"/>
      <c r="G529" s="78" t="n"/>
      <c r="H529" s="78" t="n"/>
      <c r="I529" s="67">
        <f>IF($H529="","",IFERROR(INDEX(Action_Status_Map!$B$5:$B$11,MATCH($H529,Action_Status_Map!$A$5:$A$11,0)),""))</f>
        <v/>
      </c>
      <c r="J529" s="82" t="n"/>
      <c r="K529" s="82" t="n"/>
      <c r="L529" s="82" t="n"/>
      <c r="M529" s="83" t="n"/>
      <c r="N529" s="83" t="n"/>
      <c r="O529" s="66">
        <f>IF(OR($M529="",$N529=""),"",$N529-$M529)</f>
        <v/>
      </c>
      <c r="P529" s="84">
        <f>IF($J529="","",IF($L529&lt;&gt;"",$L529-$J529,TODAY()-$J529))</f>
        <v/>
      </c>
      <c r="Q529" s="85">
        <f>IF(OR($K529="",$H529="Completed",$H529="Cancelled"),"",IF(AND($K529&lt;TODAY(),$H529&lt;&gt;"Completed",$H529&lt;&gt;"Cancelled"),"Overdue","On Track"))</f>
        <v/>
      </c>
      <c r="R529" s="81" t="n"/>
      <c r="S529" s="81">
        <f>IF($B529="","",IFERROR(INDEX(Task_Tracker!$AA$5:$AA$1004,MATCH($B529,Task_Tracker!$A$5:$A$1004,0)),""))</f>
        <v/>
      </c>
      <c r="T529" s="81">
        <f>IF($B529="","",IFERROR(INDEX(Task_Tracker!$AB$5:$AB$1004,MATCH($B529,Task_Tracker!$A$5:$A$1004,0)),""))</f>
        <v/>
      </c>
      <c r="U529" s="78">
        <f>IF($B529="","",IFERROR(INDEX(Task_Tracker!$F$5:$F$1004,MATCH($B529,Task_Tracker!$A$5:$A$1004,0)),""))</f>
        <v/>
      </c>
      <c r="V529" s="78">
        <f>IF($B529="","",IFERROR(INDEX(Task_Tracker!$I$5:$I$1004,MATCH($B529,Task_Tracker!$A$5:$A$1004,0)),""))</f>
        <v/>
      </c>
      <c r="W529" s="81">
        <f>IF(OR($D529="",$B529=""),"",$D529&amp;" | "&amp;$B529)</f>
        <v/>
      </c>
      <c r="X529" s="85">
        <f>IF($K529="","",TEXT($K529,"yyyy-mm"))</f>
        <v/>
      </c>
      <c r="Y529" s="81">
        <f>IF(OR($A529="",$T529=""),"","Included in Manager_Report")</f>
        <v/>
      </c>
    </row>
    <row r="530" ht="15" customHeight="1" s="40">
      <c r="A530" s="65">
        <f>IF(COUNTA(B530:G530)=0,"","STP-"&amp;TEXT(ROW()-4,"0000"))</f>
        <v/>
      </c>
      <c r="B530" s="78" t="n"/>
      <c r="C530" s="67">
        <f>IF($B530="","",IFERROR(INDEX(Task_Tracker!$D$5:$D$1004,MATCH($B530,Task_Tracker!$A$5:$A$1004,0)),""))</f>
        <v/>
      </c>
      <c r="D530" s="67">
        <f>IF($B530="","",IFERROR(INDEX(Task_Tracker!$B$5:$B$1004,MATCH($B530,Task_Tracker!$A$5:$A$1004,0)),""))</f>
        <v/>
      </c>
      <c r="E530" s="81" t="n"/>
      <c r="F530" s="81" t="n"/>
      <c r="G530" s="78" t="n"/>
      <c r="H530" s="78" t="n"/>
      <c r="I530" s="67">
        <f>IF($H530="","",IFERROR(INDEX(Action_Status_Map!$B$5:$B$11,MATCH($H530,Action_Status_Map!$A$5:$A$11,0)),""))</f>
        <v/>
      </c>
      <c r="J530" s="82" t="n"/>
      <c r="K530" s="82" t="n"/>
      <c r="L530" s="82" t="n"/>
      <c r="M530" s="83" t="n"/>
      <c r="N530" s="83" t="n"/>
      <c r="O530" s="66">
        <f>IF(OR($M530="",$N530=""),"",$N530-$M530)</f>
        <v/>
      </c>
      <c r="P530" s="84">
        <f>IF($J530="","",IF($L530&lt;&gt;"",$L530-$J530,TODAY()-$J530))</f>
        <v/>
      </c>
      <c r="Q530" s="85">
        <f>IF(OR($K530="",$H530="Completed",$H530="Cancelled"),"",IF(AND($K530&lt;TODAY(),$H530&lt;&gt;"Completed",$H530&lt;&gt;"Cancelled"),"Overdue","On Track"))</f>
        <v/>
      </c>
      <c r="R530" s="81" t="n"/>
      <c r="S530" s="81">
        <f>IF($B530="","",IFERROR(INDEX(Task_Tracker!$AA$5:$AA$1004,MATCH($B530,Task_Tracker!$A$5:$A$1004,0)),""))</f>
        <v/>
      </c>
      <c r="T530" s="81">
        <f>IF($B530="","",IFERROR(INDEX(Task_Tracker!$AB$5:$AB$1004,MATCH($B530,Task_Tracker!$A$5:$A$1004,0)),""))</f>
        <v/>
      </c>
      <c r="U530" s="78">
        <f>IF($B530="","",IFERROR(INDEX(Task_Tracker!$F$5:$F$1004,MATCH($B530,Task_Tracker!$A$5:$A$1004,0)),""))</f>
        <v/>
      </c>
      <c r="V530" s="78">
        <f>IF($B530="","",IFERROR(INDEX(Task_Tracker!$I$5:$I$1004,MATCH($B530,Task_Tracker!$A$5:$A$1004,0)),""))</f>
        <v/>
      </c>
      <c r="W530" s="81">
        <f>IF(OR($D530="",$B530=""),"",$D530&amp;" | "&amp;$B530)</f>
        <v/>
      </c>
      <c r="X530" s="85">
        <f>IF($K530="","",TEXT($K530,"yyyy-mm"))</f>
        <v/>
      </c>
      <c r="Y530" s="81">
        <f>IF(OR($A530="",$T530=""),"","Included in Manager_Report")</f>
        <v/>
      </c>
    </row>
    <row r="531" ht="15" customHeight="1" s="40">
      <c r="A531" s="65">
        <f>IF(COUNTA(B531:G531)=0,"","STP-"&amp;TEXT(ROW()-4,"0000"))</f>
        <v/>
      </c>
      <c r="B531" s="78" t="n"/>
      <c r="C531" s="67">
        <f>IF($B531="","",IFERROR(INDEX(Task_Tracker!$D$5:$D$1004,MATCH($B531,Task_Tracker!$A$5:$A$1004,0)),""))</f>
        <v/>
      </c>
      <c r="D531" s="67">
        <f>IF($B531="","",IFERROR(INDEX(Task_Tracker!$B$5:$B$1004,MATCH($B531,Task_Tracker!$A$5:$A$1004,0)),""))</f>
        <v/>
      </c>
      <c r="E531" s="81" t="n"/>
      <c r="F531" s="81" t="n"/>
      <c r="G531" s="78" t="n"/>
      <c r="H531" s="78" t="n"/>
      <c r="I531" s="67">
        <f>IF($H531="","",IFERROR(INDEX(Action_Status_Map!$B$5:$B$11,MATCH($H531,Action_Status_Map!$A$5:$A$11,0)),""))</f>
        <v/>
      </c>
      <c r="J531" s="82" t="n"/>
      <c r="K531" s="82" t="n"/>
      <c r="L531" s="82" t="n"/>
      <c r="M531" s="83" t="n"/>
      <c r="N531" s="83" t="n"/>
      <c r="O531" s="66">
        <f>IF(OR($M531="",$N531=""),"",$N531-$M531)</f>
        <v/>
      </c>
      <c r="P531" s="84">
        <f>IF($J531="","",IF($L531&lt;&gt;"",$L531-$J531,TODAY()-$J531))</f>
        <v/>
      </c>
      <c r="Q531" s="85">
        <f>IF(OR($K531="",$H531="Completed",$H531="Cancelled"),"",IF(AND($K531&lt;TODAY(),$H531&lt;&gt;"Completed",$H531&lt;&gt;"Cancelled"),"Overdue","On Track"))</f>
        <v/>
      </c>
      <c r="R531" s="81" t="n"/>
      <c r="S531" s="81">
        <f>IF($B531="","",IFERROR(INDEX(Task_Tracker!$AA$5:$AA$1004,MATCH($B531,Task_Tracker!$A$5:$A$1004,0)),""))</f>
        <v/>
      </c>
      <c r="T531" s="81">
        <f>IF($B531="","",IFERROR(INDEX(Task_Tracker!$AB$5:$AB$1004,MATCH($B531,Task_Tracker!$A$5:$A$1004,0)),""))</f>
        <v/>
      </c>
      <c r="U531" s="78">
        <f>IF($B531="","",IFERROR(INDEX(Task_Tracker!$F$5:$F$1004,MATCH($B531,Task_Tracker!$A$5:$A$1004,0)),""))</f>
        <v/>
      </c>
      <c r="V531" s="78">
        <f>IF($B531="","",IFERROR(INDEX(Task_Tracker!$I$5:$I$1004,MATCH($B531,Task_Tracker!$A$5:$A$1004,0)),""))</f>
        <v/>
      </c>
      <c r="W531" s="81">
        <f>IF(OR($D531="",$B531=""),"",$D531&amp;" | "&amp;$B531)</f>
        <v/>
      </c>
      <c r="X531" s="85">
        <f>IF($K531="","",TEXT($K531,"yyyy-mm"))</f>
        <v/>
      </c>
      <c r="Y531" s="81">
        <f>IF(OR($A531="",$T531=""),"","Included in Manager_Report")</f>
        <v/>
      </c>
    </row>
    <row r="532" ht="15" customHeight="1" s="40">
      <c r="A532" s="65">
        <f>IF(COUNTA(B532:G532)=0,"","STP-"&amp;TEXT(ROW()-4,"0000"))</f>
        <v/>
      </c>
      <c r="B532" s="78" t="n"/>
      <c r="C532" s="67">
        <f>IF($B532="","",IFERROR(INDEX(Task_Tracker!$D$5:$D$1004,MATCH($B532,Task_Tracker!$A$5:$A$1004,0)),""))</f>
        <v/>
      </c>
      <c r="D532" s="67">
        <f>IF($B532="","",IFERROR(INDEX(Task_Tracker!$B$5:$B$1004,MATCH($B532,Task_Tracker!$A$5:$A$1004,0)),""))</f>
        <v/>
      </c>
      <c r="E532" s="81" t="n"/>
      <c r="F532" s="81" t="n"/>
      <c r="G532" s="78" t="n"/>
      <c r="H532" s="78" t="n"/>
      <c r="I532" s="67">
        <f>IF($H532="","",IFERROR(INDEX(Action_Status_Map!$B$5:$B$11,MATCH($H532,Action_Status_Map!$A$5:$A$11,0)),""))</f>
        <v/>
      </c>
      <c r="J532" s="82" t="n"/>
      <c r="K532" s="82" t="n"/>
      <c r="L532" s="82" t="n"/>
      <c r="M532" s="83" t="n"/>
      <c r="N532" s="83" t="n"/>
      <c r="O532" s="66">
        <f>IF(OR($M532="",$N532=""),"",$N532-$M532)</f>
        <v/>
      </c>
      <c r="P532" s="84">
        <f>IF($J532="","",IF($L532&lt;&gt;"",$L532-$J532,TODAY()-$J532))</f>
        <v/>
      </c>
      <c r="Q532" s="85">
        <f>IF(OR($K532="",$H532="Completed",$H532="Cancelled"),"",IF(AND($K532&lt;TODAY(),$H532&lt;&gt;"Completed",$H532&lt;&gt;"Cancelled"),"Overdue","On Track"))</f>
        <v/>
      </c>
      <c r="R532" s="81" t="n"/>
      <c r="S532" s="81">
        <f>IF($B532="","",IFERROR(INDEX(Task_Tracker!$AA$5:$AA$1004,MATCH($B532,Task_Tracker!$A$5:$A$1004,0)),""))</f>
        <v/>
      </c>
      <c r="T532" s="81">
        <f>IF($B532="","",IFERROR(INDEX(Task_Tracker!$AB$5:$AB$1004,MATCH($B532,Task_Tracker!$A$5:$A$1004,0)),""))</f>
        <v/>
      </c>
      <c r="U532" s="78">
        <f>IF($B532="","",IFERROR(INDEX(Task_Tracker!$F$5:$F$1004,MATCH($B532,Task_Tracker!$A$5:$A$1004,0)),""))</f>
        <v/>
      </c>
      <c r="V532" s="78">
        <f>IF($B532="","",IFERROR(INDEX(Task_Tracker!$I$5:$I$1004,MATCH($B532,Task_Tracker!$A$5:$A$1004,0)),""))</f>
        <v/>
      </c>
      <c r="W532" s="81">
        <f>IF(OR($D532="",$B532=""),"",$D532&amp;" | "&amp;$B532)</f>
        <v/>
      </c>
      <c r="X532" s="85">
        <f>IF($K532="","",TEXT($K532,"yyyy-mm"))</f>
        <v/>
      </c>
      <c r="Y532" s="81">
        <f>IF(OR($A532="",$T532=""),"","Included in Manager_Report")</f>
        <v/>
      </c>
    </row>
    <row r="533" ht="15" customHeight="1" s="40">
      <c r="A533" s="65">
        <f>IF(COUNTA(B533:G533)=0,"","STP-"&amp;TEXT(ROW()-4,"0000"))</f>
        <v/>
      </c>
      <c r="B533" s="78" t="n"/>
      <c r="C533" s="67">
        <f>IF($B533="","",IFERROR(INDEX(Task_Tracker!$D$5:$D$1004,MATCH($B533,Task_Tracker!$A$5:$A$1004,0)),""))</f>
        <v/>
      </c>
      <c r="D533" s="67">
        <f>IF($B533="","",IFERROR(INDEX(Task_Tracker!$B$5:$B$1004,MATCH($B533,Task_Tracker!$A$5:$A$1004,0)),""))</f>
        <v/>
      </c>
      <c r="E533" s="81" t="n"/>
      <c r="F533" s="81" t="n"/>
      <c r="G533" s="78" t="n"/>
      <c r="H533" s="78" t="n"/>
      <c r="I533" s="67">
        <f>IF($H533="","",IFERROR(INDEX(Action_Status_Map!$B$5:$B$11,MATCH($H533,Action_Status_Map!$A$5:$A$11,0)),""))</f>
        <v/>
      </c>
      <c r="J533" s="82" t="n"/>
      <c r="K533" s="82" t="n"/>
      <c r="L533" s="82" t="n"/>
      <c r="M533" s="83" t="n"/>
      <c r="N533" s="83" t="n"/>
      <c r="O533" s="66">
        <f>IF(OR($M533="",$N533=""),"",$N533-$M533)</f>
        <v/>
      </c>
      <c r="P533" s="84">
        <f>IF($J533="","",IF($L533&lt;&gt;"",$L533-$J533,TODAY()-$J533))</f>
        <v/>
      </c>
      <c r="Q533" s="85">
        <f>IF(OR($K533="",$H533="Completed",$H533="Cancelled"),"",IF(AND($K533&lt;TODAY(),$H533&lt;&gt;"Completed",$H533&lt;&gt;"Cancelled"),"Overdue","On Track"))</f>
        <v/>
      </c>
      <c r="R533" s="81" t="n"/>
      <c r="S533" s="81">
        <f>IF($B533="","",IFERROR(INDEX(Task_Tracker!$AA$5:$AA$1004,MATCH($B533,Task_Tracker!$A$5:$A$1004,0)),""))</f>
        <v/>
      </c>
      <c r="T533" s="81">
        <f>IF($B533="","",IFERROR(INDEX(Task_Tracker!$AB$5:$AB$1004,MATCH($B533,Task_Tracker!$A$5:$A$1004,0)),""))</f>
        <v/>
      </c>
      <c r="U533" s="78">
        <f>IF($B533="","",IFERROR(INDEX(Task_Tracker!$F$5:$F$1004,MATCH($B533,Task_Tracker!$A$5:$A$1004,0)),""))</f>
        <v/>
      </c>
      <c r="V533" s="78">
        <f>IF($B533="","",IFERROR(INDEX(Task_Tracker!$I$5:$I$1004,MATCH($B533,Task_Tracker!$A$5:$A$1004,0)),""))</f>
        <v/>
      </c>
      <c r="W533" s="81">
        <f>IF(OR($D533="",$B533=""),"",$D533&amp;" | "&amp;$B533)</f>
        <v/>
      </c>
      <c r="X533" s="85">
        <f>IF($K533="","",TEXT($K533,"yyyy-mm"))</f>
        <v/>
      </c>
      <c r="Y533" s="81">
        <f>IF(OR($A533="",$T533=""),"","Included in Manager_Report")</f>
        <v/>
      </c>
    </row>
    <row r="534" ht="15" customHeight="1" s="40">
      <c r="A534" s="65">
        <f>IF(COUNTA(B534:G534)=0,"","STP-"&amp;TEXT(ROW()-4,"0000"))</f>
        <v/>
      </c>
      <c r="B534" s="78" t="n"/>
      <c r="C534" s="67">
        <f>IF($B534="","",IFERROR(INDEX(Task_Tracker!$D$5:$D$1004,MATCH($B534,Task_Tracker!$A$5:$A$1004,0)),""))</f>
        <v/>
      </c>
      <c r="D534" s="67">
        <f>IF($B534="","",IFERROR(INDEX(Task_Tracker!$B$5:$B$1004,MATCH($B534,Task_Tracker!$A$5:$A$1004,0)),""))</f>
        <v/>
      </c>
      <c r="E534" s="81" t="n"/>
      <c r="F534" s="81" t="n"/>
      <c r="G534" s="78" t="n"/>
      <c r="H534" s="78" t="n"/>
      <c r="I534" s="67">
        <f>IF($H534="","",IFERROR(INDEX(Action_Status_Map!$B$5:$B$11,MATCH($H534,Action_Status_Map!$A$5:$A$11,0)),""))</f>
        <v/>
      </c>
      <c r="J534" s="82" t="n"/>
      <c r="K534" s="82" t="n"/>
      <c r="L534" s="82" t="n"/>
      <c r="M534" s="83" t="n"/>
      <c r="N534" s="83" t="n"/>
      <c r="O534" s="66">
        <f>IF(OR($M534="",$N534=""),"",$N534-$M534)</f>
        <v/>
      </c>
      <c r="P534" s="84">
        <f>IF($J534="","",IF($L534&lt;&gt;"",$L534-$J534,TODAY()-$J534))</f>
        <v/>
      </c>
      <c r="Q534" s="85">
        <f>IF(OR($K534="",$H534="Completed",$H534="Cancelled"),"",IF(AND($K534&lt;TODAY(),$H534&lt;&gt;"Completed",$H534&lt;&gt;"Cancelled"),"Overdue","On Track"))</f>
        <v/>
      </c>
      <c r="R534" s="81" t="n"/>
      <c r="S534" s="81">
        <f>IF($B534="","",IFERROR(INDEX(Task_Tracker!$AA$5:$AA$1004,MATCH($B534,Task_Tracker!$A$5:$A$1004,0)),""))</f>
        <v/>
      </c>
      <c r="T534" s="81">
        <f>IF($B534="","",IFERROR(INDEX(Task_Tracker!$AB$5:$AB$1004,MATCH($B534,Task_Tracker!$A$5:$A$1004,0)),""))</f>
        <v/>
      </c>
      <c r="U534" s="78">
        <f>IF($B534="","",IFERROR(INDEX(Task_Tracker!$F$5:$F$1004,MATCH($B534,Task_Tracker!$A$5:$A$1004,0)),""))</f>
        <v/>
      </c>
      <c r="V534" s="78">
        <f>IF($B534="","",IFERROR(INDEX(Task_Tracker!$I$5:$I$1004,MATCH($B534,Task_Tracker!$A$5:$A$1004,0)),""))</f>
        <v/>
      </c>
      <c r="W534" s="81">
        <f>IF(OR($D534="",$B534=""),"",$D534&amp;" | "&amp;$B534)</f>
        <v/>
      </c>
      <c r="X534" s="85">
        <f>IF($K534="","",TEXT($K534,"yyyy-mm"))</f>
        <v/>
      </c>
      <c r="Y534" s="81">
        <f>IF(OR($A534="",$T534=""),"","Included in Manager_Report")</f>
        <v/>
      </c>
    </row>
    <row r="535" ht="15" customHeight="1" s="40">
      <c r="A535" s="65">
        <f>IF(COUNTA(B535:G535)=0,"","STP-"&amp;TEXT(ROW()-4,"0000"))</f>
        <v/>
      </c>
      <c r="B535" s="78" t="n"/>
      <c r="C535" s="67">
        <f>IF($B535="","",IFERROR(INDEX(Task_Tracker!$D$5:$D$1004,MATCH($B535,Task_Tracker!$A$5:$A$1004,0)),""))</f>
        <v/>
      </c>
      <c r="D535" s="67">
        <f>IF($B535="","",IFERROR(INDEX(Task_Tracker!$B$5:$B$1004,MATCH($B535,Task_Tracker!$A$5:$A$1004,0)),""))</f>
        <v/>
      </c>
      <c r="E535" s="81" t="n"/>
      <c r="F535" s="81" t="n"/>
      <c r="G535" s="78" t="n"/>
      <c r="H535" s="78" t="n"/>
      <c r="I535" s="67">
        <f>IF($H535="","",IFERROR(INDEX(Action_Status_Map!$B$5:$B$11,MATCH($H535,Action_Status_Map!$A$5:$A$11,0)),""))</f>
        <v/>
      </c>
      <c r="J535" s="82" t="n"/>
      <c r="K535" s="82" t="n"/>
      <c r="L535" s="82" t="n"/>
      <c r="M535" s="83" t="n"/>
      <c r="N535" s="83" t="n"/>
      <c r="O535" s="66">
        <f>IF(OR($M535="",$N535=""),"",$N535-$M535)</f>
        <v/>
      </c>
      <c r="P535" s="84">
        <f>IF($J535="","",IF($L535&lt;&gt;"",$L535-$J535,TODAY()-$J535))</f>
        <v/>
      </c>
      <c r="Q535" s="85">
        <f>IF(OR($K535="",$H535="Completed",$H535="Cancelled"),"",IF(AND($K535&lt;TODAY(),$H535&lt;&gt;"Completed",$H535&lt;&gt;"Cancelled"),"Overdue","On Track"))</f>
        <v/>
      </c>
      <c r="R535" s="81" t="n"/>
      <c r="S535" s="81">
        <f>IF($B535="","",IFERROR(INDEX(Task_Tracker!$AA$5:$AA$1004,MATCH($B535,Task_Tracker!$A$5:$A$1004,0)),""))</f>
        <v/>
      </c>
      <c r="T535" s="81">
        <f>IF($B535="","",IFERROR(INDEX(Task_Tracker!$AB$5:$AB$1004,MATCH($B535,Task_Tracker!$A$5:$A$1004,0)),""))</f>
        <v/>
      </c>
      <c r="U535" s="78">
        <f>IF($B535="","",IFERROR(INDEX(Task_Tracker!$F$5:$F$1004,MATCH($B535,Task_Tracker!$A$5:$A$1004,0)),""))</f>
        <v/>
      </c>
      <c r="V535" s="78">
        <f>IF($B535="","",IFERROR(INDEX(Task_Tracker!$I$5:$I$1004,MATCH($B535,Task_Tracker!$A$5:$A$1004,0)),""))</f>
        <v/>
      </c>
      <c r="W535" s="81">
        <f>IF(OR($D535="",$B535=""),"",$D535&amp;" | "&amp;$B535)</f>
        <v/>
      </c>
      <c r="X535" s="85">
        <f>IF($K535="","",TEXT($K535,"yyyy-mm"))</f>
        <v/>
      </c>
      <c r="Y535" s="81">
        <f>IF(OR($A535="",$T535=""),"","Included in Manager_Report")</f>
        <v/>
      </c>
    </row>
    <row r="536" ht="15" customHeight="1" s="40">
      <c r="A536" s="65">
        <f>IF(COUNTA(B536:G536)=0,"","STP-"&amp;TEXT(ROW()-4,"0000"))</f>
        <v/>
      </c>
      <c r="B536" s="78" t="n"/>
      <c r="C536" s="67">
        <f>IF($B536="","",IFERROR(INDEX(Task_Tracker!$D$5:$D$1004,MATCH($B536,Task_Tracker!$A$5:$A$1004,0)),""))</f>
        <v/>
      </c>
      <c r="D536" s="67">
        <f>IF($B536="","",IFERROR(INDEX(Task_Tracker!$B$5:$B$1004,MATCH($B536,Task_Tracker!$A$5:$A$1004,0)),""))</f>
        <v/>
      </c>
      <c r="E536" s="81" t="n"/>
      <c r="F536" s="81" t="n"/>
      <c r="G536" s="78" t="n"/>
      <c r="H536" s="78" t="n"/>
      <c r="I536" s="67">
        <f>IF($H536="","",IFERROR(INDEX(Action_Status_Map!$B$5:$B$11,MATCH($H536,Action_Status_Map!$A$5:$A$11,0)),""))</f>
        <v/>
      </c>
      <c r="J536" s="82" t="n"/>
      <c r="K536" s="82" t="n"/>
      <c r="L536" s="82" t="n"/>
      <c r="M536" s="83" t="n"/>
      <c r="N536" s="83" t="n"/>
      <c r="O536" s="66">
        <f>IF(OR($M536="",$N536=""),"",$N536-$M536)</f>
        <v/>
      </c>
      <c r="P536" s="84">
        <f>IF($J536="","",IF($L536&lt;&gt;"",$L536-$J536,TODAY()-$J536))</f>
        <v/>
      </c>
      <c r="Q536" s="85">
        <f>IF(OR($K536="",$H536="Completed",$H536="Cancelled"),"",IF(AND($K536&lt;TODAY(),$H536&lt;&gt;"Completed",$H536&lt;&gt;"Cancelled"),"Overdue","On Track"))</f>
        <v/>
      </c>
      <c r="R536" s="81" t="n"/>
      <c r="S536" s="81">
        <f>IF($B536="","",IFERROR(INDEX(Task_Tracker!$AA$5:$AA$1004,MATCH($B536,Task_Tracker!$A$5:$A$1004,0)),""))</f>
        <v/>
      </c>
      <c r="T536" s="81">
        <f>IF($B536="","",IFERROR(INDEX(Task_Tracker!$AB$5:$AB$1004,MATCH($B536,Task_Tracker!$A$5:$A$1004,0)),""))</f>
        <v/>
      </c>
      <c r="U536" s="78">
        <f>IF($B536="","",IFERROR(INDEX(Task_Tracker!$F$5:$F$1004,MATCH($B536,Task_Tracker!$A$5:$A$1004,0)),""))</f>
        <v/>
      </c>
      <c r="V536" s="78">
        <f>IF($B536="","",IFERROR(INDEX(Task_Tracker!$I$5:$I$1004,MATCH($B536,Task_Tracker!$A$5:$A$1004,0)),""))</f>
        <v/>
      </c>
      <c r="W536" s="81">
        <f>IF(OR($D536="",$B536=""),"",$D536&amp;" | "&amp;$B536)</f>
        <v/>
      </c>
      <c r="X536" s="85">
        <f>IF($K536="","",TEXT($K536,"yyyy-mm"))</f>
        <v/>
      </c>
      <c r="Y536" s="81">
        <f>IF(OR($A536="",$T536=""),"","Included in Manager_Report")</f>
        <v/>
      </c>
    </row>
    <row r="537" ht="15" customHeight="1" s="40">
      <c r="A537" s="65">
        <f>IF(COUNTA(B537:G537)=0,"","STP-"&amp;TEXT(ROW()-4,"0000"))</f>
        <v/>
      </c>
      <c r="B537" s="78" t="n"/>
      <c r="C537" s="67">
        <f>IF($B537="","",IFERROR(INDEX(Task_Tracker!$D$5:$D$1004,MATCH($B537,Task_Tracker!$A$5:$A$1004,0)),""))</f>
        <v/>
      </c>
      <c r="D537" s="67">
        <f>IF($B537="","",IFERROR(INDEX(Task_Tracker!$B$5:$B$1004,MATCH($B537,Task_Tracker!$A$5:$A$1004,0)),""))</f>
        <v/>
      </c>
      <c r="E537" s="81" t="n"/>
      <c r="F537" s="81" t="n"/>
      <c r="G537" s="78" t="n"/>
      <c r="H537" s="78" t="n"/>
      <c r="I537" s="67">
        <f>IF($H537="","",IFERROR(INDEX(Action_Status_Map!$B$5:$B$11,MATCH($H537,Action_Status_Map!$A$5:$A$11,0)),""))</f>
        <v/>
      </c>
      <c r="J537" s="82" t="n"/>
      <c r="K537" s="82" t="n"/>
      <c r="L537" s="82" t="n"/>
      <c r="M537" s="83" t="n"/>
      <c r="N537" s="83" t="n"/>
      <c r="O537" s="66">
        <f>IF(OR($M537="",$N537=""),"",$N537-$M537)</f>
        <v/>
      </c>
      <c r="P537" s="84">
        <f>IF($J537="","",IF($L537&lt;&gt;"",$L537-$J537,TODAY()-$J537))</f>
        <v/>
      </c>
      <c r="Q537" s="85">
        <f>IF(OR($K537="",$H537="Completed",$H537="Cancelled"),"",IF(AND($K537&lt;TODAY(),$H537&lt;&gt;"Completed",$H537&lt;&gt;"Cancelled"),"Overdue","On Track"))</f>
        <v/>
      </c>
      <c r="R537" s="81" t="n"/>
      <c r="S537" s="81">
        <f>IF($B537="","",IFERROR(INDEX(Task_Tracker!$AA$5:$AA$1004,MATCH($B537,Task_Tracker!$A$5:$A$1004,0)),""))</f>
        <v/>
      </c>
      <c r="T537" s="81">
        <f>IF($B537="","",IFERROR(INDEX(Task_Tracker!$AB$5:$AB$1004,MATCH($B537,Task_Tracker!$A$5:$A$1004,0)),""))</f>
        <v/>
      </c>
      <c r="U537" s="78">
        <f>IF($B537="","",IFERROR(INDEX(Task_Tracker!$F$5:$F$1004,MATCH($B537,Task_Tracker!$A$5:$A$1004,0)),""))</f>
        <v/>
      </c>
      <c r="V537" s="78">
        <f>IF($B537="","",IFERROR(INDEX(Task_Tracker!$I$5:$I$1004,MATCH($B537,Task_Tracker!$A$5:$A$1004,0)),""))</f>
        <v/>
      </c>
      <c r="W537" s="81">
        <f>IF(OR($D537="",$B537=""),"",$D537&amp;" | "&amp;$B537)</f>
        <v/>
      </c>
      <c r="X537" s="85">
        <f>IF($K537="","",TEXT($K537,"yyyy-mm"))</f>
        <v/>
      </c>
      <c r="Y537" s="81">
        <f>IF(OR($A537="",$T537=""),"","Included in Manager_Report")</f>
        <v/>
      </c>
    </row>
    <row r="538" ht="15" customHeight="1" s="40">
      <c r="A538" s="65">
        <f>IF(COUNTA(B538:G538)=0,"","STP-"&amp;TEXT(ROW()-4,"0000"))</f>
        <v/>
      </c>
      <c r="B538" s="78" t="n"/>
      <c r="C538" s="67">
        <f>IF($B538="","",IFERROR(INDEX(Task_Tracker!$D$5:$D$1004,MATCH($B538,Task_Tracker!$A$5:$A$1004,0)),""))</f>
        <v/>
      </c>
      <c r="D538" s="67">
        <f>IF($B538="","",IFERROR(INDEX(Task_Tracker!$B$5:$B$1004,MATCH($B538,Task_Tracker!$A$5:$A$1004,0)),""))</f>
        <v/>
      </c>
      <c r="E538" s="81" t="n"/>
      <c r="F538" s="81" t="n"/>
      <c r="G538" s="78" t="n"/>
      <c r="H538" s="78" t="n"/>
      <c r="I538" s="67">
        <f>IF($H538="","",IFERROR(INDEX(Action_Status_Map!$B$5:$B$11,MATCH($H538,Action_Status_Map!$A$5:$A$11,0)),""))</f>
        <v/>
      </c>
      <c r="J538" s="82" t="n"/>
      <c r="K538" s="82" t="n"/>
      <c r="L538" s="82" t="n"/>
      <c r="M538" s="83" t="n"/>
      <c r="N538" s="83" t="n"/>
      <c r="O538" s="66">
        <f>IF(OR($M538="",$N538=""),"",$N538-$M538)</f>
        <v/>
      </c>
      <c r="P538" s="84">
        <f>IF($J538="","",IF($L538&lt;&gt;"",$L538-$J538,TODAY()-$J538))</f>
        <v/>
      </c>
      <c r="Q538" s="85">
        <f>IF(OR($K538="",$H538="Completed",$H538="Cancelled"),"",IF(AND($K538&lt;TODAY(),$H538&lt;&gt;"Completed",$H538&lt;&gt;"Cancelled"),"Overdue","On Track"))</f>
        <v/>
      </c>
      <c r="R538" s="81" t="n"/>
      <c r="S538" s="81">
        <f>IF($B538="","",IFERROR(INDEX(Task_Tracker!$AA$5:$AA$1004,MATCH($B538,Task_Tracker!$A$5:$A$1004,0)),""))</f>
        <v/>
      </c>
      <c r="T538" s="81">
        <f>IF($B538="","",IFERROR(INDEX(Task_Tracker!$AB$5:$AB$1004,MATCH($B538,Task_Tracker!$A$5:$A$1004,0)),""))</f>
        <v/>
      </c>
      <c r="U538" s="78">
        <f>IF($B538="","",IFERROR(INDEX(Task_Tracker!$F$5:$F$1004,MATCH($B538,Task_Tracker!$A$5:$A$1004,0)),""))</f>
        <v/>
      </c>
      <c r="V538" s="78">
        <f>IF($B538="","",IFERROR(INDEX(Task_Tracker!$I$5:$I$1004,MATCH($B538,Task_Tracker!$A$5:$A$1004,0)),""))</f>
        <v/>
      </c>
      <c r="W538" s="81">
        <f>IF(OR($D538="",$B538=""),"",$D538&amp;" | "&amp;$B538)</f>
        <v/>
      </c>
      <c r="X538" s="85">
        <f>IF($K538="","",TEXT($K538,"yyyy-mm"))</f>
        <v/>
      </c>
      <c r="Y538" s="81">
        <f>IF(OR($A538="",$T538=""),"","Included in Manager_Report")</f>
        <v/>
      </c>
    </row>
    <row r="539" ht="15" customHeight="1" s="40">
      <c r="A539" s="65">
        <f>IF(COUNTA(B539:G539)=0,"","STP-"&amp;TEXT(ROW()-4,"0000"))</f>
        <v/>
      </c>
      <c r="B539" s="78" t="n"/>
      <c r="C539" s="67">
        <f>IF($B539="","",IFERROR(INDEX(Task_Tracker!$D$5:$D$1004,MATCH($B539,Task_Tracker!$A$5:$A$1004,0)),""))</f>
        <v/>
      </c>
      <c r="D539" s="67">
        <f>IF($B539="","",IFERROR(INDEX(Task_Tracker!$B$5:$B$1004,MATCH($B539,Task_Tracker!$A$5:$A$1004,0)),""))</f>
        <v/>
      </c>
      <c r="E539" s="81" t="n"/>
      <c r="F539" s="81" t="n"/>
      <c r="G539" s="78" t="n"/>
      <c r="H539" s="78" t="n"/>
      <c r="I539" s="67">
        <f>IF($H539="","",IFERROR(INDEX(Action_Status_Map!$B$5:$B$11,MATCH($H539,Action_Status_Map!$A$5:$A$11,0)),""))</f>
        <v/>
      </c>
      <c r="J539" s="82" t="n"/>
      <c r="K539" s="82" t="n"/>
      <c r="L539" s="82" t="n"/>
      <c r="M539" s="83" t="n"/>
      <c r="N539" s="83" t="n"/>
      <c r="O539" s="66">
        <f>IF(OR($M539="",$N539=""),"",$N539-$M539)</f>
        <v/>
      </c>
      <c r="P539" s="84">
        <f>IF($J539="","",IF($L539&lt;&gt;"",$L539-$J539,TODAY()-$J539))</f>
        <v/>
      </c>
      <c r="Q539" s="85">
        <f>IF(OR($K539="",$H539="Completed",$H539="Cancelled"),"",IF(AND($K539&lt;TODAY(),$H539&lt;&gt;"Completed",$H539&lt;&gt;"Cancelled"),"Overdue","On Track"))</f>
        <v/>
      </c>
      <c r="R539" s="81" t="n"/>
      <c r="S539" s="81">
        <f>IF($B539="","",IFERROR(INDEX(Task_Tracker!$AA$5:$AA$1004,MATCH($B539,Task_Tracker!$A$5:$A$1004,0)),""))</f>
        <v/>
      </c>
      <c r="T539" s="81">
        <f>IF($B539="","",IFERROR(INDEX(Task_Tracker!$AB$5:$AB$1004,MATCH($B539,Task_Tracker!$A$5:$A$1004,0)),""))</f>
        <v/>
      </c>
      <c r="U539" s="78">
        <f>IF($B539="","",IFERROR(INDEX(Task_Tracker!$F$5:$F$1004,MATCH($B539,Task_Tracker!$A$5:$A$1004,0)),""))</f>
        <v/>
      </c>
      <c r="V539" s="78">
        <f>IF($B539="","",IFERROR(INDEX(Task_Tracker!$I$5:$I$1004,MATCH($B539,Task_Tracker!$A$5:$A$1004,0)),""))</f>
        <v/>
      </c>
      <c r="W539" s="81">
        <f>IF(OR($D539="",$B539=""),"",$D539&amp;" | "&amp;$B539)</f>
        <v/>
      </c>
      <c r="X539" s="85">
        <f>IF($K539="","",TEXT($K539,"yyyy-mm"))</f>
        <v/>
      </c>
      <c r="Y539" s="81">
        <f>IF(OR($A539="",$T539=""),"","Included in Manager_Report")</f>
        <v/>
      </c>
    </row>
    <row r="540" ht="15" customHeight="1" s="40">
      <c r="A540" s="65">
        <f>IF(COUNTA(B540:G540)=0,"","STP-"&amp;TEXT(ROW()-4,"0000"))</f>
        <v/>
      </c>
      <c r="B540" s="78" t="n"/>
      <c r="C540" s="67">
        <f>IF($B540="","",IFERROR(INDEX(Task_Tracker!$D$5:$D$1004,MATCH($B540,Task_Tracker!$A$5:$A$1004,0)),""))</f>
        <v/>
      </c>
      <c r="D540" s="67">
        <f>IF($B540="","",IFERROR(INDEX(Task_Tracker!$B$5:$B$1004,MATCH($B540,Task_Tracker!$A$5:$A$1004,0)),""))</f>
        <v/>
      </c>
      <c r="E540" s="81" t="n"/>
      <c r="F540" s="81" t="n"/>
      <c r="G540" s="78" t="n"/>
      <c r="H540" s="78" t="n"/>
      <c r="I540" s="67">
        <f>IF($H540="","",IFERROR(INDEX(Action_Status_Map!$B$5:$B$11,MATCH($H540,Action_Status_Map!$A$5:$A$11,0)),""))</f>
        <v/>
      </c>
      <c r="J540" s="82" t="n"/>
      <c r="K540" s="82" t="n"/>
      <c r="L540" s="82" t="n"/>
      <c r="M540" s="83" t="n"/>
      <c r="N540" s="83" t="n"/>
      <c r="O540" s="66">
        <f>IF(OR($M540="",$N540=""),"",$N540-$M540)</f>
        <v/>
      </c>
      <c r="P540" s="84">
        <f>IF($J540="","",IF($L540&lt;&gt;"",$L540-$J540,TODAY()-$J540))</f>
        <v/>
      </c>
      <c r="Q540" s="85">
        <f>IF(OR($K540="",$H540="Completed",$H540="Cancelled"),"",IF(AND($K540&lt;TODAY(),$H540&lt;&gt;"Completed",$H540&lt;&gt;"Cancelled"),"Overdue","On Track"))</f>
        <v/>
      </c>
      <c r="R540" s="81" t="n"/>
      <c r="S540" s="81">
        <f>IF($B540="","",IFERROR(INDEX(Task_Tracker!$AA$5:$AA$1004,MATCH($B540,Task_Tracker!$A$5:$A$1004,0)),""))</f>
        <v/>
      </c>
      <c r="T540" s="81">
        <f>IF($B540="","",IFERROR(INDEX(Task_Tracker!$AB$5:$AB$1004,MATCH($B540,Task_Tracker!$A$5:$A$1004,0)),""))</f>
        <v/>
      </c>
      <c r="U540" s="78">
        <f>IF($B540="","",IFERROR(INDEX(Task_Tracker!$F$5:$F$1004,MATCH($B540,Task_Tracker!$A$5:$A$1004,0)),""))</f>
        <v/>
      </c>
      <c r="V540" s="78">
        <f>IF($B540="","",IFERROR(INDEX(Task_Tracker!$I$5:$I$1004,MATCH($B540,Task_Tracker!$A$5:$A$1004,0)),""))</f>
        <v/>
      </c>
      <c r="W540" s="81">
        <f>IF(OR($D540="",$B540=""),"",$D540&amp;" | "&amp;$B540)</f>
        <v/>
      </c>
      <c r="X540" s="85">
        <f>IF($K540="","",TEXT($K540,"yyyy-mm"))</f>
        <v/>
      </c>
      <c r="Y540" s="81">
        <f>IF(OR($A540="",$T540=""),"","Included in Manager_Report")</f>
        <v/>
      </c>
    </row>
    <row r="541" ht="15" customHeight="1" s="40">
      <c r="A541" s="65">
        <f>IF(COUNTA(B541:G541)=0,"","STP-"&amp;TEXT(ROW()-4,"0000"))</f>
        <v/>
      </c>
      <c r="B541" s="78" t="n"/>
      <c r="C541" s="67">
        <f>IF($B541="","",IFERROR(INDEX(Task_Tracker!$D$5:$D$1004,MATCH($B541,Task_Tracker!$A$5:$A$1004,0)),""))</f>
        <v/>
      </c>
      <c r="D541" s="67">
        <f>IF($B541="","",IFERROR(INDEX(Task_Tracker!$B$5:$B$1004,MATCH($B541,Task_Tracker!$A$5:$A$1004,0)),""))</f>
        <v/>
      </c>
      <c r="E541" s="81" t="n"/>
      <c r="F541" s="81" t="n"/>
      <c r="G541" s="78" t="n"/>
      <c r="H541" s="78" t="n"/>
      <c r="I541" s="67">
        <f>IF($H541="","",IFERROR(INDEX(Action_Status_Map!$B$5:$B$11,MATCH($H541,Action_Status_Map!$A$5:$A$11,0)),""))</f>
        <v/>
      </c>
      <c r="J541" s="82" t="n"/>
      <c r="K541" s="82" t="n"/>
      <c r="L541" s="82" t="n"/>
      <c r="M541" s="83" t="n"/>
      <c r="N541" s="83" t="n"/>
      <c r="O541" s="66">
        <f>IF(OR($M541="",$N541=""),"",$N541-$M541)</f>
        <v/>
      </c>
      <c r="P541" s="84">
        <f>IF($J541="","",IF($L541&lt;&gt;"",$L541-$J541,TODAY()-$J541))</f>
        <v/>
      </c>
      <c r="Q541" s="85">
        <f>IF(OR($K541="",$H541="Completed",$H541="Cancelled"),"",IF(AND($K541&lt;TODAY(),$H541&lt;&gt;"Completed",$H541&lt;&gt;"Cancelled"),"Overdue","On Track"))</f>
        <v/>
      </c>
      <c r="R541" s="81" t="n"/>
      <c r="S541" s="81">
        <f>IF($B541="","",IFERROR(INDEX(Task_Tracker!$AA$5:$AA$1004,MATCH($B541,Task_Tracker!$A$5:$A$1004,0)),""))</f>
        <v/>
      </c>
      <c r="T541" s="81">
        <f>IF($B541="","",IFERROR(INDEX(Task_Tracker!$AB$5:$AB$1004,MATCH($B541,Task_Tracker!$A$5:$A$1004,0)),""))</f>
        <v/>
      </c>
      <c r="U541" s="78">
        <f>IF($B541="","",IFERROR(INDEX(Task_Tracker!$F$5:$F$1004,MATCH($B541,Task_Tracker!$A$5:$A$1004,0)),""))</f>
        <v/>
      </c>
      <c r="V541" s="78">
        <f>IF($B541="","",IFERROR(INDEX(Task_Tracker!$I$5:$I$1004,MATCH($B541,Task_Tracker!$A$5:$A$1004,0)),""))</f>
        <v/>
      </c>
      <c r="W541" s="81">
        <f>IF(OR($D541="",$B541=""),"",$D541&amp;" | "&amp;$B541)</f>
        <v/>
      </c>
      <c r="X541" s="85">
        <f>IF($K541="","",TEXT($K541,"yyyy-mm"))</f>
        <v/>
      </c>
      <c r="Y541" s="81">
        <f>IF(OR($A541="",$T541=""),"","Included in Manager_Report")</f>
        <v/>
      </c>
    </row>
    <row r="542" ht="15" customHeight="1" s="40">
      <c r="A542" s="65">
        <f>IF(COUNTA(B542:G542)=0,"","STP-"&amp;TEXT(ROW()-4,"0000"))</f>
        <v/>
      </c>
      <c r="B542" s="78" t="n"/>
      <c r="C542" s="67">
        <f>IF($B542="","",IFERROR(INDEX(Task_Tracker!$D$5:$D$1004,MATCH($B542,Task_Tracker!$A$5:$A$1004,0)),""))</f>
        <v/>
      </c>
      <c r="D542" s="67">
        <f>IF($B542="","",IFERROR(INDEX(Task_Tracker!$B$5:$B$1004,MATCH($B542,Task_Tracker!$A$5:$A$1004,0)),""))</f>
        <v/>
      </c>
      <c r="E542" s="81" t="n"/>
      <c r="F542" s="81" t="n"/>
      <c r="G542" s="78" t="n"/>
      <c r="H542" s="78" t="n"/>
      <c r="I542" s="67">
        <f>IF($H542="","",IFERROR(INDEX(Action_Status_Map!$B$5:$B$11,MATCH($H542,Action_Status_Map!$A$5:$A$11,0)),""))</f>
        <v/>
      </c>
      <c r="J542" s="82" t="n"/>
      <c r="K542" s="82" t="n"/>
      <c r="L542" s="82" t="n"/>
      <c r="M542" s="83" t="n"/>
      <c r="N542" s="83" t="n"/>
      <c r="O542" s="66">
        <f>IF(OR($M542="",$N542=""),"",$N542-$M542)</f>
        <v/>
      </c>
      <c r="P542" s="84">
        <f>IF($J542="","",IF($L542&lt;&gt;"",$L542-$J542,TODAY()-$J542))</f>
        <v/>
      </c>
      <c r="Q542" s="85">
        <f>IF(OR($K542="",$H542="Completed",$H542="Cancelled"),"",IF(AND($K542&lt;TODAY(),$H542&lt;&gt;"Completed",$H542&lt;&gt;"Cancelled"),"Overdue","On Track"))</f>
        <v/>
      </c>
      <c r="R542" s="81" t="n"/>
      <c r="S542" s="81">
        <f>IF($B542="","",IFERROR(INDEX(Task_Tracker!$AA$5:$AA$1004,MATCH($B542,Task_Tracker!$A$5:$A$1004,0)),""))</f>
        <v/>
      </c>
      <c r="T542" s="81">
        <f>IF($B542="","",IFERROR(INDEX(Task_Tracker!$AB$5:$AB$1004,MATCH($B542,Task_Tracker!$A$5:$A$1004,0)),""))</f>
        <v/>
      </c>
      <c r="U542" s="78">
        <f>IF($B542="","",IFERROR(INDEX(Task_Tracker!$F$5:$F$1004,MATCH($B542,Task_Tracker!$A$5:$A$1004,0)),""))</f>
        <v/>
      </c>
      <c r="V542" s="78">
        <f>IF($B542="","",IFERROR(INDEX(Task_Tracker!$I$5:$I$1004,MATCH($B542,Task_Tracker!$A$5:$A$1004,0)),""))</f>
        <v/>
      </c>
      <c r="W542" s="81">
        <f>IF(OR($D542="",$B542=""),"",$D542&amp;" | "&amp;$B542)</f>
        <v/>
      </c>
      <c r="X542" s="85">
        <f>IF($K542="","",TEXT($K542,"yyyy-mm"))</f>
        <v/>
      </c>
      <c r="Y542" s="81">
        <f>IF(OR($A542="",$T542=""),"","Included in Manager_Report")</f>
        <v/>
      </c>
    </row>
    <row r="543" ht="15" customHeight="1" s="40">
      <c r="A543" s="65">
        <f>IF(COUNTA(B543:G543)=0,"","STP-"&amp;TEXT(ROW()-4,"0000"))</f>
        <v/>
      </c>
      <c r="B543" s="78" t="n"/>
      <c r="C543" s="67">
        <f>IF($B543="","",IFERROR(INDEX(Task_Tracker!$D$5:$D$1004,MATCH($B543,Task_Tracker!$A$5:$A$1004,0)),""))</f>
        <v/>
      </c>
      <c r="D543" s="67">
        <f>IF($B543="","",IFERROR(INDEX(Task_Tracker!$B$5:$B$1004,MATCH($B543,Task_Tracker!$A$5:$A$1004,0)),""))</f>
        <v/>
      </c>
      <c r="E543" s="81" t="n"/>
      <c r="F543" s="81" t="n"/>
      <c r="G543" s="78" t="n"/>
      <c r="H543" s="78" t="n"/>
      <c r="I543" s="67">
        <f>IF($H543="","",IFERROR(INDEX(Action_Status_Map!$B$5:$B$11,MATCH($H543,Action_Status_Map!$A$5:$A$11,0)),""))</f>
        <v/>
      </c>
      <c r="J543" s="82" t="n"/>
      <c r="K543" s="82" t="n"/>
      <c r="L543" s="82" t="n"/>
      <c r="M543" s="83" t="n"/>
      <c r="N543" s="83" t="n"/>
      <c r="O543" s="66">
        <f>IF(OR($M543="",$N543=""),"",$N543-$M543)</f>
        <v/>
      </c>
      <c r="P543" s="84">
        <f>IF($J543="","",IF($L543&lt;&gt;"",$L543-$J543,TODAY()-$J543))</f>
        <v/>
      </c>
      <c r="Q543" s="85">
        <f>IF(OR($K543="",$H543="Completed",$H543="Cancelled"),"",IF(AND($K543&lt;TODAY(),$H543&lt;&gt;"Completed",$H543&lt;&gt;"Cancelled"),"Overdue","On Track"))</f>
        <v/>
      </c>
      <c r="R543" s="81" t="n"/>
      <c r="S543" s="81">
        <f>IF($B543="","",IFERROR(INDEX(Task_Tracker!$AA$5:$AA$1004,MATCH($B543,Task_Tracker!$A$5:$A$1004,0)),""))</f>
        <v/>
      </c>
      <c r="T543" s="81">
        <f>IF($B543="","",IFERROR(INDEX(Task_Tracker!$AB$5:$AB$1004,MATCH($B543,Task_Tracker!$A$5:$A$1004,0)),""))</f>
        <v/>
      </c>
      <c r="U543" s="78">
        <f>IF($B543="","",IFERROR(INDEX(Task_Tracker!$F$5:$F$1004,MATCH($B543,Task_Tracker!$A$5:$A$1004,0)),""))</f>
        <v/>
      </c>
      <c r="V543" s="78">
        <f>IF($B543="","",IFERROR(INDEX(Task_Tracker!$I$5:$I$1004,MATCH($B543,Task_Tracker!$A$5:$A$1004,0)),""))</f>
        <v/>
      </c>
      <c r="W543" s="81">
        <f>IF(OR($D543="",$B543=""),"",$D543&amp;" | "&amp;$B543)</f>
        <v/>
      </c>
      <c r="X543" s="85">
        <f>IF($K543="","",TEXT($K543,"yyyy-mm"))</f>
        <v/>
      </c>
      <c r="Y543" s="81">
        <f>IF(OR($A543="",$T543=""),"","Included in Manager_Report")</f>
        <v/>
      </c>
    </row>
    <row r="544" ht="15" customHeight="1" s="40">
      <c r="A544" s="65">
        <f>IF(COUNTA(B544:G544)=0,"","STP-"&amp;TEXT(ROW()-4,"0000"))</f>
        <v/>
      </c>
      <c r="B544" s="78" t="n"/>
      <c r="C544" s="67">
        <f>IF($B544="","",IFERROR(INDEX(Task_Tracker!$D$5:$D$1004,MATCH($B544,Task_Tracker!$A$5:$A$1004,0)),""))</f>
        <v/>
      </c>
      <c r="D544" s="67">
        <f>IF($B544="","",IFERROR(INDEX(Task_Tracker!$B$5:$B$1004,MATCH($B544,Task_Tracker!$A$5:$A$1004,0)),""))</f>
        <v/>
      </c>
      <c r="E544" s="81" t="n"/>
      <c r="F544" s="81" t="n"/>
      <c r="G544" s="78" t="n"/>
      <c r="H544" s="78" t="n"/>
      <c r="I544" s="67">
        <f>IF($H544="","",IFERROR(INDEX(Action_Status_Map!$B$5:$B$11,MATCH($H544,Action_Status_Map!$A$5:$A$11,0)),""))</f>
        <v/>
      </c>
      <c r="J544" s="82" t="n"/>
      <c r="K544" s="82" t="n"/>
      <c r="L544" s="82" t="n"/>
      <c r="M544" s="83" t="n"/>
      <c r="N544" s="83" t="n"/>
      <c r="O544" s="66">
        <f>IF(OR($M544="",$N544=""),"",$N544-$M544)</f>
        <v/>
      </c>
      <c r="P544" s="84">
        <f>IF($J544="","",IF($L544&lt;&gt;"",$L544-$J544,TODAY()-$J544))</f>
        <v/>
      </c>
      <c r="Q544" s="85">
        <f>IF(OR($K544="",$H544="Completed",$H544="Cancelled"),"",IF(AND($K544&lt;TODAY(),$H544&lt;&gt;"Completed",$H544&lt;&gt;"Cancelled"),"Overdue","On Track"))</f>
        <v/>
      </c>
      <c r="R544" s="81" t="n"/>
      <c r="S544" s="81">
        <f>IF($B544="","",IFERROR(INDEX(Task_Tracker!$AA$5:$AA$1004,MATCH($B544,Task_Tracker!$A$5:$A$1004,0)),""))</f>
        <v/>
      </c>
      <c r="T544" s="81">
        <f>IF($B544="","",IFERROR(INDEX(Task_Tracker!$AB$5:$AB$1004,MATCH($B544,Task_Tracker!$A$5:$A$1004,0)),""))</f>
        <v/>
      </c>
      <c r="U544" s="78">
        <f>IF($B544="","",IFERROR(INDEX(Task_Tracker!$F$5:$F$1004,MATCH($B544,Task_Tracker!$A$5:$A$1004,0)),""))</f>
        <v/>
      </c>
      <c r="V544" s="78">
        <f>IF($B544="","",IFERROR(INDEX(Task_Tracker!$I$5:$I$1004,MATCH($B544,Task_Tracker!$A$5:$A$1004,0)),""))</f>
        <v/>
      </c>
      <c r="W544" s="81">
        <f>IF(OR($D544="",$B544=""),"",$D544&amp;" | "&amp;$B544)</f>
        <v/>
      </c>
      <c r="X544" s="85">
        <f>IF($K544="","",TEXT($K544,"yyyy-mm"))</f>
        <v/>
      </c>
      <c r="Y544" s="81">
        <f>IF(OR($A544="",$T544=""),"","Included in Manager_Report")</f>
        <v/>
      </c>
    </row>
    <row r="545" ht="15" customHeight="1" s="40">
      <c r="A545" s="65">
        <f>IF(COUNTA(B545:G545)=0,"","STP-"&amp;TEXT(ROW()-4,"0000"))</f>
        <v/>
      </c>
      <c r="B545" s="78" t="n"/>
      <c r="C545" s="67">
        <f>IF($B545="","",IFERROR(INDEX(Task_Tracker!$D$5:$D$1004,MATCH($B545,Task_Tracker!$A$5:$A$1004,0)),""))</f>
        <v/>
      </c>
      <c r="D545" s="67">
        <f>IF($B545="","",IFERROR(INDEX(Task_Tracker!$B$5:$B$1004,MATCH($B545,Task_Tracker!$A$5:$A$1004,0)),""))</f>
        <v/>
      </c>
      <c r="E545" s="81" t="n"/>
      <c r="F545" s="81" t="n"/>
      <c r="G545" s="78" t="n"/>
      <c r="H545" s="78" t="n"/>
      <c r="I545" s="67">
        <f>IF($H545="","",IFERROR(INDEX(Action_Status_Map!$B$5:$B$11,MATCH($H545,Action_Status_Map!$A$5:$A$11,0)),""))</f>
        <v/>
      </c>
      <c r="J545" s="82" t="n"/>
      <c r="K545" s="82" t="n"/>
      <c r="L545" s="82" t="n"/>
      <c r="M545" s="83" t="n"/>
      <c r="N545" s="83" t="n"/>
      <c r="O545" s="66">
        <f>IF(OR($M545="",$N545=""),"",$N545-$M545)</f>
        <v/>
      </c>
      <c r="P545" s="84">
        <f>IF($J545="","",IF($L545&lt;&gt;"",$L545-$J545,TODAY()-$J545))</f>
        <v/>
      </c>
      <c r="Q545" s="85">
        <f>IF(OR($K545="",$H545="Completed",$H545="Cancelled"),"",IF(AND($K545&lt;TODAY(),$H545&lt;&gt;"Completed",$H545&lt;&gt;"Cancelled"),"Overdue","On Track"))</f>
        <v/>
      </c>
      <c r="R545" s="81" t="n"/>
      <c r="S545" s="81">
        <f>IF($B545="","",IFERROR(INDEX(Task_Tracker!$AA$5:$AA$1004,MATCH($B545,Task_Tracker!$A$5:$A$1004,0)),""))</f>
        <v/>
      </c>
      <c r="T545" s="81">
        <f>IF($B545="","",IFERROR(INDEX(Task_Tracker!$AB$5:$AB$1004,MATCH($B545,Task_Tracker!$A$5:$A$1004,0)),""))</f>
        <v/>
      </c>
      <c r="U545" s="78">
        <f>IF($B545="","",IFERROR(INDEX(Task_Tracker!$F$5:$F$1004,MATCH($B545,Task_Tracker!$A$5:$A$1004,0)),""))</f>
        <v/>
      </c>
      <c r="V545" s="78">
        <f>IF($B545="","",IFERROR(INDEX(Task_Tracker!$I$5:$I$1004,MATCH($B545,Task_Tracker!$A$5:$A$1004,0)),""))</f>
        <v/>
      </c>
      <c r="W545" s="81">
        <f>IF(OR($D545="",$B545=""),"",$D545&amp;" | "&amp;$B545)</f>
        <v/>
      </c>
      <c r="X545" s="85">
        <f>IF($K545="","",TEXT($K545,"yyyy-mm"))</f>
        <v/>
      </c>
      <c r="Y545" s="81">
        <f>IF(OR($A545="",$T545=""),"","Included in Manager_Report")</f>
        <v/>
      </c>
    </row>
    <row r="546" ht="15" customHeight="1" s="40">
      <c r="A546" s="65">
        <f>IF(COUNTA(B546:G546)=0,"","STP-"&amp;TEXT(ROW()-4,"0000"))</f>
        <v/>
      </c>
      <c r="B546" s="78" t="n"/>
      <c r="C546" s="67">
        <f>IF($B546="","",IFERROR(INDEX(Task_Tracker!$D$5:$D$1004,MATCH($B546,Task_Tracker!$A$5:$A$1004,0)),""))</f>
        <v/>
      </c>
      <c r="D546" s="67">
        <f>IF($B546="","",IFERROR(INDEX(Task_Tracker!$B$5:$B$1004,MATCH($B546,Task_Tracker!$A$5:$A$1004,0)),""))</f>
        <v/>
      </c>
      <c r="E546" s="81" t="n"/>
      <c r="F546" s="81" t="n"/>
      <c r="G546" s="78" t="n"/>
      <c r="H546" s="78" t="n"/>
      <c r="I546" s="67">
        <f>IF($H546="","",IFERROR(INDEX(Action_Status_Map!$B$5:$B$11,MATCH($H546,Action_Status_Map!$A$5:$A$11,0)),""))</f>
        <v/>
      </c>
      <c r="J546" s="82" t="n"/>
      <c r="K546" s="82" t="n"/>
      <c r="L546" s="82" t="n"/>
      <c r="M546" s="83" t="n"/>
      <c r="N546" s="83" t="n"/>
      <c r="O546" s="66">
        <f>IF(OR($M546="",$N546=""),"",$N546-$M546)</f>
        <v/>
      </c>
      <c r="P546" s="84">
        <f>IF($J546="","",IF($L546&lt;&gt;"",$L546-$J546,TODAY()-$J546))</f>
        <v/>
      </c>
      <c r="Q546" s="85">
        <f>IF(OR($K546="",$H546="Completed",$H546="Cancelled"),"",IF(AND($K546&lt;TODAY(),$H546&lt;&gt;"Completed",$H546&lt;&gt;"Cancelled"),"Overdue","On Track"))</f>
        <v/>
      </c>
      <c r="R546" s="81" t="n"/>
      <c r="S546" s="81">
        <f>IF($B546="","",IFERROR(INDEX(Task_Tracker!$AA$5:$AA$1004,MATCH($B546,Task_Tracker!$A$5:$A$1004,0)),""))</f>
        <v/>
      </c>
      <c r="T546" s="81">
        <f>IF($B546="","",IFERROR(INDEX(Task_Tracker!$AB$5:$AB$1004,MATCH($B546,Task_Tracker!$A$5:$A$1004,0)),""))</f>
        <v/>
      </c>
      <c r="U546" s="78">
        <f>IF($B546="","",IFERROR(INDEX(Task_Tracker!$F$5:$F$1004,MATCH($B546,Task_Tracker!$A$5:$A$1004,0)),""))</f>
        <v/>
      </c>
      <c r="V546" s="78">
        <f>IF($B546="","",IFERROR(INDEX(Task_Tracker!$I$5:$I$1004,MATCH($B546,Task_Tracker!$A$5:$A$1004,0)),""))</f>
        <v/>
      </c>
      <c r="W546" s="81">
        <f>IF(OR($D546="",$B546=""),"",$D546&amp;" | "&amp;$B546)</f>
        <v/>
      </c>
      <c r="X546" s="85">
        <f>IF($K546="","",TEXT($K546,"yyyy-mm"))</f>
        <v/>
      </c>
      <c r="Y546" s="81">
        <f>IF(OR($A546="",$T546=""),"","Included in Manager_Report")</f>
        <v/>
      </c>
    </row>
    <row r="547" ht="15" customHeight="1" s="40">
      <c r="A547" s="65">
        <f>IF(COUNTA(B547:G547)=0,"","STP-"&amp;TEXT(ROW()-4,"0000"))</f>
        <v/>
      </c>
      <c r="B547" s="78" t="n"/>
      <c r="C547" s="67">
        <f>IF($B547="","",IFERROR(INDEX(Task_Tracker!$D$5:$D$1004,MATCH($B547,Task_Tracker!$A$5:$A$1004,0)),""))</f>
        <v/>
      </c>
      <c r="D547" s="67">
        <f>IF($B547="","",IFERROR(INDEX(Task_Tracker!$B$5:$B$1004,MATCH($B547,Task_Tracker!$A$5:$A$1004,0)),""))</f>
        <v/>
      </c>
      <c r="E547" s="81" t="n"/>
      <c r="F547" s="81" t="n"/>
      <c r="G547" s="78" t="n"/>
      <c r="H547" s="78" t="n"/>
      <c r="I547" s="67">
        <f>IF($H547="","",IFERROR(INDEX(Action_Status_Map!$B$5:$B$11,MATCH($H547,Action_Status_Map!$A$5:$A$11,0)),""))</f>
        <v/>
      </c>
      <c r="J547" s="82" t="n"/>
      <c r="K547" s="82" t="n"/>
      <c r="L547" s="82" t="n"/>
      <c r="M547" s="83" t="n"/>
      <c r="N547" s="83" t="n"/>
      <c r="O547" s="66">
        <f>IF(OR($M547="",$N547=""),"",$N547-$M547)</f>
        <v/>
      </c>
      <c r="P547" s="84">
        <f>IF($J547="","",IF($L547&lt;&gt;"",$L547-$J547,TODAY()-$J547))</f>
        <v/>
      </c>
      <c r="Q547" s="85">
        <f>IF(OR($K547="",$H547="Completed",$H547="Cancelled"),"",IF(AND($K547&lt;TODAY(),$H547&lt;&gt;"Completed",$H547&lt;&gt;"Cancelled"),"Overdue","On Track"))</f>
        <v/>
      </c>
      <c r="R547" s="81" t="n"/>
      <c r="S547" s="81">
        <f>IF($B547="","",IFERROR(INDEX(Task_Tracker!$AA$5:$AA$1004,MATCH($B547,Task_Tracker!$A$5:$A$1004,0)),""))</f>
        <v/>
      </c>
      <c r="T547" s="81">
        <f>IF($B547="","",IFERROR(INDEX(Task_Tracker!$AB$5:$AB$1004,MATCH($B547,Task_Tracker!$A$5:$A$1004,0)),""))</f>
        <v/>
      </c>
      <c r="U547" s="78">
        <f>IF($B547="","",IFERROR(INDEX(Task_Tracker!$F$5:$F$1004,MATCH($B547,Task_Tracker!$A$5:$A$1004,0)),""))</f>
        <v/>
      </c>
      <c r="V547" s="78">
        <f>IF($B547="","",IFERROR(INDEX(Task_Tracker!$I$5:$I$1004,MATCH($B547,Task_Tracker!$A$5:$A$1004,0)),""))</f>
        <v/>
      </c>
      <c r="W547" s="81">
        <f>IF(OR($D547="",$B547=""),"",$D547&amp;" | "&amp;$B547)</f>
        <v/>
      </c>
      <c r="X547" s="85">
        <f>IF($K547="","",TEXT($K547,"yyyy-mm"))</f>
        <v/>
      </c>
      <c r="Y547" s="81">
        <f>IF(OR($A547="",$T547=""),"","Included in Manager_Report")</f>
        <v/>
      </c>
    </row>
    <row r="548" ht="15" customHeight="1" s="40">
      <c r="A548" s="65">
        <f>IF(COUNTA(B548:G548)=0,"","STP-"&amp;TEXT(ROW()-4,"0000"))</f>
        <v/>
      </c>
      <c r="B548" s="78" t="n"/>
      <c r="C548" s="67">
        <f>IF($B548="","",IFERROR(INDEX(Task_Tracker!$D$5:$D$1004,MATCH($B548,Task_Tracker!$A$5:$A$1004,0)),""))</f>
        <v/>
      </c>
      <c r="D548" s="67">
        <f>IF($B548="","",IFERROR(INDEX(Task_Tracker!$B$5:$B$1004,MATCH($B548,Task_Tracker!$A$5:$A$1004,0)),""))</f>
        <v/>
      </c>
      <c r="E548" s="81" t="n"/>
      <c r="F548" s="81" t="n"/>
      <c r="G548" s="78" t="n"/>
      <c r="H548" s="78" t="n"/>
      <c r="I548" s="67">
        <f>IF($H548="","",IFERROR(INDEX(Action_Status_Map!$B$5:$B$11,MATCH($H548,Action_Status_Map!$A$5:$A$11,0)),""))</f>
        <v/>
      </c>
      <c r="J548" s="82" t="n"/>
      <c r="K548" s="82" t="n"/>
      <c r="L548" s="82" t="n"/>
      <c r="M548" s="83" t="n"/>
      <c r="N548" s="83" t="n"/>
      <c r="O548" s="66">
        <f>IF(OR($M548="",$N548=""),"",$N548-$M548)</f>
        <v/>
      </c>
      <c r="P548" s="84">
        <f>IF($J548="","",IF($L548&lt;&gt;"",$L548-$J548,TODAY()-$J548))</f>
        <v/>
      </c>
      <c r="Q548" s="85">
        <f>IF(OR($K548="",$H548="Completed",$H548="Cancelled"),"",IF(AND($K548&lt;TODAY(),$H548&lt;&gt;"Completed",$H548&lt;&gt;"Cancelled"),"Overdue","On Track"))</f>
        <v/>
      </c>
      <c r="R548" s="81" t="n"/>
      <c r="S548" s="81">
        <f>IF($B548="","",IFERROR(INDEX(Task_Tracker!$AA$5:$AA$1004,MATCH($B548,Task_Tracker!$A$5:$A$1004,0)),""))</f>
        <v/>
      </c>
      <c r="T548" s="81">
        <f>IF($B548="","",IFERROR(INDEX(Task_Tracker!$AB$5:$AB$1004,MATCH($B548,Task_Tracker!$A$5:$A$1004,0)),""))</f>
        <v/>
      </c>
      <c r="U548" s="78">
        <f>IF($B548="","",IFERROR(INDEX(Task_Tracker!$F$5:$F$1004,MATCH($B548,Task_Tracker!$A$5:$A$1004,0)),""))</f>
        <v/>
      </c>
      <c r="V548" s="78">
        <f>IF($B548="","",IFERROR(INDEX(Task_Tracker!$I$5:$I$1004,MATCH($B548,Task_Tracker!$A$5:$A$1004,0)),""))</f>
        <v/>
      </c>
      <c r="W548" s="81">
        <f>IF(OR($D548="",$B548=""),"",$D548&amp;" | "&amp;$B548)</f>
        <v/>
      </c>
      <c r="X548" s="85">
        <f>IF($K548="","",TEXT($K548,"yyyy-mm"))</f>
        <v/>
      </c>
      <c r="Y548" s="81">
        <f>IF(OR($A548="",$T548=""),"","Included in Manager_Report")</f>
        <v/>
      </c>
    </row>
    <row r="549" ht="15" customHeight="1" s="40">
      <c r="A549" s="65">
        <f>IF(COUNTA(B549:G549)=0,"","STP-"&amp;TEXT(ROW()-4,"0000"))</f>
        <v/>
      </c>
      <c r="B549" s="78" t="n"/>
      <c r="C549" s="67">
        <f>IF($B549="","",IFERROR(INDEX(Task_Tracker!$D$5:$D$1004,MATCH($B549,Task_Tracker!$A$5:$A$1004,0)),""))</f>
        <v/>
      </c>
      <c r="D549" s="67">
        <f>IF($B549="","",IFERROR(INDEX(Task_Tracker!$B$5:$B$1004,MATCH($B549,Task_Tracker!$A$5:$A$1004,0)),""))</f>
        <v/>
      </c>
      <c r="E549" s="81" t="n"/>
      <c r="F549" s="81" t="n"/>
      <c r="G549" s="78" t="n"/>
      <c r="H549" s="78" t="n"/>
      <c r="I549" s="67">
        <f>IF($H549="","",IFERROR(INDEX(Action_Status_Map!$B$5:$B$11,MATCH($H549,Action_Status_Map!$A$5:$A$11,0)),""))</f>
        <v/>
      </c>
      <c r="J549" s="82" t="n"/>
      <c r="K549" s="82" t="n"/>
      <c r="L549" s="82" t="n"/>
      <c r="M549" s="83" t="n"/>
      <c r="N549" s="83" t="n"/>
      <c r="O549" s="66">
        <f>IF(OR($M549="",$N549=""),"",$N549-$M549)</f>
        <v/>
      </c>
      <c r="P549" s="84">
        <f>IF($J549="","",IF($L549&lt;&gt;"",$L549-$J549,TODAY()-$J549))</f>
        <v/>
      </c>
      <c r="Q549" s="85">
        <f>IF(OR($K549="",$H549="Completed",$H549="Cancelled"),"",IF(AND($K549&lt;TODAY(),$H549&lt;&gt;"Completed",$H549&lt;&gt;"Cancelled"),"Overdue","On Track"))</f>
        <v/>
      </c>
      <c r="R549" s="81" t="n"/>
      <c r="S549" s="81">
        <f>IF($B549="","",IFERROR(INDEX(Task_Tracker!$AA$5:$AA$1004,MATCH($B549,Task_Tracker!$A$5:$A$1004,0)),""))</f>
        <v/>
      </c>
      <c r="T549" s="81">
        <f>IF($B549="","",IFERROR(INDEX(Task_Tracker!$AB$5:$AB$1004,MATCH($B549,Task_Tracker!$A$5:$A$1004,0)),""))</f>
        <v/>
      </c>
      <c r="U549" s="78">
        <f>IF($B549="","",IFERROR(INDEX(Task_Tracker!$F$5:$F$1004,MATCH($B549,Task_Tracker!$A$5:$A$1004,0)),""))</f>
        <v/>
      </c>
      <c r="V549" s="78">
        <f>IF($B549="","",IFERROR(INDEX(Task_Tracker!$I$5:$I$1004,MATCH($B549,Task_Tracker!$A$5:$A$1004,0)),""))</f>
        <v/>
      </c>
      <c r="W549" s="81">
        <f>IF(OR($D549="",$B549=""),"",$D549&amp;" | "&amp;$B549)</f>
        <v/>
      </c>
      <c r="X549" s="85">
        <f>IF($K549="","",TEXT($K549,"yyyy-mm"))</f>
        <v/>
      </c>
      <c r="Y549" s="81">
        <f>IF(OR($A549="",$T549=""),"","Included in Manager_Report")</f>
        <v/>
      </c>
    </row>
    <row r="550" ht="15" customHeight="1" s="40">
      <c r="A550" s="65">
        <f>IF(COUNTA(B550:G550)=0,"","STP-"&amp;TEXT(ROW()-4,"0000"))</f>
        <v/>
      </c>
      <c r="B550" s="78" t="n"/>
      <c r="C550" s="67">
        <f>IF($B550="","",IFERROR(INDEX(Task_Tracker!$D$5:$D$1004,MATCH($B550,Task_Tracker!$A$5:$A$1004,0)),""))</f>
        <v/>
      </c>
      <c r="D550" s="67">
        <f>IF($B550="","",IFERROR(INDEX(Task_Tracker!$B$5:$B$1004,MATCH($B550,Task_Tracker!$A$5:$A$1004,0)),""))</f>
        <v/>
      </c>
      <c r="E550" s="81" t="n"/>
      <c r="F550" s="81" t="n"/>
      <c r="G550" s="78" t="n"/>
      <c r="H550" s="78" t="n"/>
      <c r="I550" s="67">
        <f>IF($H550="","",IFERROR(INDEX(Action_Status_Map!$B$5:$B$11,MATCH($H550,Action_Status_Map!$A$5:$A$11,0)),""))</f>
        <v/>
      </c>
      <c r="J550" s="82" t="n"/>
      <c r="K550" s="82" t="n"/>
      <c r="L550" s="82" t="n"/>
      <c r="M550" s="83" t="n"/>
      <c r="N550" s="83" t="n"/>
      <c r="O550" s="66">
        <f>IF(OR($M550="",$N550=""),"",$N550-$M550)</f>
        <v/>
      </c>
      <c r="P550" s="84">
        <f>IF($J550="","",IF($L550&lt;&gt;"",$L550-$J550,TODAY()-$J550))</f>
        <v/>
      </c>
      <c r="Q550" s="85">
        <f>IF(OR($K550="",$H550="Completed",$H550="Cancelled"),"",IF(AND($K550&lt;TODAY(),$H550&lt;&gt;"Completed",$H550&lt;&gt;"Cancelled"),"Overdue","On Track"))</f>
        <v/>
      </c>
      <c r="R550" s="81" t="n"/>
      <c r="S550" s="81">
        <f>IF($B550="","",IFERROR(INDEX(Task_Tracker!$AA$5:$AA$1004,MATCH($B550,Task_Tracker!$A$5:$A$1004,0)),""))</f>
        <v/>
      </c>
      <c r="T550" s="81">
        <f>IF($B550="","",IFERROR(INDEX(Task_Tracker!$AB$5:$AB$1004,MATCH($B550,Task_Tracker!$A$5:$A$1004,0)),""))</f>
        <v/>
      </c>
      <c r="U550" s="78">
        <f>IF($B550="","",IFERROR(INDEX(Task_Tracker!$F$5:$F$1004,MATCH($B550,Task_Tracker!$A$5:$A$1004,0)),""))</f>
        <v/>
      </c>
      <c r="V550" s="78">
        <f>IF($B550="","",IFERROR(INDEX(Task_Tracker!$I$5:$I$1004,MATCH($B550,Task_Tracker!$A$5:$A$1004,0)),""))</f>
        <v/>
      </c>
      <c r="W550" s="81">
        <f>IF(OR($D550="",$B550=""),"",$D550&amp;" | "&amp;$B550)</f>
        <v/>
      </c>
      <c r="X550" s="85">
        <f>IF($K550="","",TEXT($K550,"yyyy-mm"))</f>
        <v/>
      </c>
      <c r="Y550" s="81">
        <f>IF(OR($A550="",$T550=""),"","Included in Manager_Report")</f>
        <v/>
      </c>
    </row>
    <row r="551" ht="15" customHeight="1" s="40">
      <c r="A551" s="65">
        <f>IF(COUNTA(B551:G551)=0,"","STP-"&amp;TEXT(ROW()-4,"0000"))</f>
        <v/>
      </c>
      <c r="B551" s="78" t="n"/>
      <c r="C551" s="67">
        <f>IF($B551="","",IFERROR(INDEX(Task_Tracker!$D$5:$D$1004,MATCH($B551,Task_Tracker!$A$5:$A$1004,0)),""))</f>
        <v/>
      </c>
      <c r="D551" s="67">
        <f>IF($B551="","",IFERROR(INDEX(Task_Tracker!$B$5:$B$1004,MATCH($B551,Task_Tracker!$A$5:$A$1004,0)),""))</f>
        <v/>
      </c>
      <c r="E551" s="81" t="n"/>
      <c r="F551" s="81" t="n"/>
      <c r="G551" s="78" t="n"/>
      <c r="H551" s="78" t="n"/>
      <c r="I551" s="67">
        <f>IF($H551="","",IFERROR(INDEX(Action_Status_Map!$B$5:$B$11,MATCH($H551,Action_Status_Map!$A$5:$A$11,0)),""))</f>
        <v/>
      </c>
      <c r="J551" s="82" t="n"/>
      <c r="K551" s="82" t="n"/>
      <c r="L551" s="82" t="n"/>
      <c r="M551" s="83" t="n"/>
      <c r="N551" s="83" t="n"/>
      <c r="O551" s="66">
        <f>IF(OR($M551="",$N551=""),"",$N551-$M551)</f>
        <v/>
      </c>
      <c r="P551" s="84">
        <f>IF($J551="","",IF($L551&lt;&gt;"",$L551-$J551,TODAY()-$J551))</f>
        <v/>
      </c>
      <c r="Q551" s="85">
        <f>IF(OR($K551="",$H551="Completed",$H551="Cancelled"),"",IF(AND($K551&lt;TODAY(),$H551&lt;&gt;"Completed",$H551&lt;&gt;"Cancelled"),"Overdue","On Track"))</f>
        <v/>
      </c>
      <c r="R551" s="81" t="n"/>
      <c r="S551" s="81">
        <f>IF($B551="","",IFERROR(INDEX(Task_Tracker!$AA$5:$AA$1004,MATCH($B551,Task_Tracker!$A$5:$A$1004,0)),""))</f>
        <v/>
      </c>
      <c r="T551" s="81">
        <f>IF($B551="","",IFERROR(INDEX(Task_Tracker!$AB$5:$AB$1004,MATCH($B551,Task_Tracker!$A$5:$A$1004,0)),""))</f>
        <v/>
      </c>
      <c r="U551" s="78">
        <f>IF($B551="","",IFERROR(INDEX(Task_Tracker!$F$5:$F$1004,MATCH($B551,Task_Tracker!$A$5:$A$1004,0)),""))</f>
        <v/>
      </c>
      <c r="V551" s="78">
        <f>IF($B551="","",IFERROR(INDEX(Task_Tracker!$I$5:$I$1004,MATCH($B551,Task_Tracker!$A$5:$A$1004,0)),""))</f>
        <v/>
      </c>
      <c r="W551" s="81">
        <f>IF(OR($D551="",$B551=""),"",$D551&amp;" | "&amp;$B551)</f>
        <v/>
      </c>
      <c r="X551" s="85">
        <f>IF($K551="","",TEXT($K551,"yyyy-mm"))</f>
        <v/>
      </c>
      <c r="Y551" s="81">
        <f>IF(OR($A551="",$T551=""),"","Included in Manager_Report")</f>
        <v/>
      </c>
    </row>
    <row r="552" ht="15" customHeight="1" s="40">
      <c r="A552" s="65">
        <f>IF(COUNTA(B552:G552)=0,"","STP-"&amp;TEXT(ROW()-4,"0000"))</f>
        <v/>
      </c>
      <c r="B552" s="78" t="n"/>
      <c r="C552" s="67">
        <f>IF($B552="","",IFERROR(INDEX(Task_Tracker!$D$5:$D$1004,MATCH($B552,Task_Tracker!$A$5:$A$1004,0)),""))</f>
        <v/>
      </c>
      <c r="D552" s="67">
        <f>IF($B552="","",IFERROR(INDEX(Task_Tracker!$B$5:$B$1004,MATCH($B552,Task_Tracker!$A$5:$A$1004,0)),""))</f>
        <v/>
      </c>
      <c r="E552" s="81" t="n"/>
      <c r="F552" s="81" t="n"/>
      <c r="G552" s="78" t="n"/>
      <c r="H552" s="78" t="n"/>
      <c r="I552" s="67">
        <f>IF($H552="","",IFERROR(INDEX(Action_Status_Map!$B$5:$B$11,MATCH($H552,Action_Status_Map!$A$5:$A$11,0)),""))</f>
        <v/>
      </c>
      <c r="J552" s="82" t="n"/>
      <c r="K552" s="82" t="n"/>
      <c r="L552" s="82" t="n"/>
      <c r="M552" s="83" t="n"/>
      <c r="N552" s="83" t="n"/>
      <c r="O552" s="66">
        <f>IF(OR($M552="",$N552=""),"",$N552-$M552)</f>
        <v/>
      </c>
      <c r="P552" s="84">
        <f>IF($J552="","",IF($L552&lt;&gt;"",$L552-$J552,TODAY()-$J552))</f>
        <v/>
      </c>
      <c r="Q552" s="85">
        <f>IF(OR($K552="",$H552="Completed",$H552="Cancelled"),"",IF(AND($K552&lt;TODAY(),$H552&lt;&gt;"Completed",$H552&lt;&gt;"Cancelled"),"Overdue","On Track"))</f>
        <v/>
      </c>
      <c r="R552" s="81" t="n"/>
      <c r="S552" s="81">
        <f>IF($B552="","",IFERROR(INDEX(Task_Tracker!$AA$5:$AA$1004,MATCH($B552,Task_Tracker!$A$5:$A$1004,0)),""))</f>
        <v/>
      </c>
      <c r="T552" s="81">
        <f>IF($B552="","",IFERROR(INDEX(Task_Tracker!$AB$5:$AB$1004,MATCH($B552,Task_Tracker!$A$5:$A$1004,0)),""))</f>
        <v/>
      </c>
      <c r="U552" s="78">
        <f>IF($B552="","",IFERROR(INDEX(Task_Tracker!$F$5:$F$1004,MATCH($B552,Task_Tracker!$A$5:$A$1004,0)),""))</f>
        <v/>
      </c>
      <c r="V552" s="78">
        <f>IF($B552="","",IFERROR(INDEX(Task_Tracker!$I$5:$I$1004,MATCH($B552,Task_Tracker!$A$5:$A$1004,0)),""))</f>
        <v/>
      </c>
      <c r="W552" s="81">
        <f>IF(OR($D552="",$B552=""),"",$D552&amp;" | "&amp;$B552)</f>
        <v/>
      </c>
      <c r="X552" s="85">
        <f>IF($K552="","",TEXT($K552,"yyyy-mm"))</f>
        <v/>
      </c>
      <c r="Y552" s="81">
        <f>IF(OR($A552="",$T552=""),"","Included in Manager_Report")</f>
        <v/>
      </c>
    </row>
    <row r="553" ht="15" customHeight="1" s="40">
      <c r="A553" s="65">
        <f>IF(COUNTA(B553:G553)=0,"","STP-"&amp;TEXT(ROW()-4,"0000"))</f>
        <v/>
      </c>
      <c r="B553" s="78" t="n"/>
      <c r="C553" s="67">
        <f>IF($B553="","",IFERROR(INDEX(Task_Tracker!$D$5:$D$1004,MATCH($B553,Task_Tracker!$A$5:$A$1004,0)),""))</f>
        <v/>
      </c>
      <c r="D553" s="67">
        <f>IF($B553="","",IFERROR(INDEX(Task_Tracker!$B$5:$B$1004,MATCH($B553,Task_Tracker!$A$5:$A$1004,0)),""))</f>
        <v/>
      </c>
      <c r="E553" s="81" t="n"/>
      <c r="F553" s="81" t="n"/>
      <c r="G553" s="78" t="n"/>
      <c r="H553" s="78" t="n"/>
      <c r="I553" s="67">
        <f>IF($H553="","",IFERROR(INDEX(Action_Status_Map!$B$5:$B$11,MATCH($H553,Action_Status_Map!$A$5:$A$11,0)),""))</f>
        <v/>
      </c>
      <c r="J553" s="82" t="n"/>
      <c r="K553" s="82" t="n"/>
      <c r="L553" s="82" t="n"/>
      <c r="M553" s="83" t="n"/>
      <c r="N553" s="83" t="n"/>
      <c r="O553" s="66">
        <f>IF(OR($M553="",$N553=""),"",$N553-$M553)</f>
        <v/>
      </c>
      <c r="P553" s="84">
        <f>IF($J553="","",IF($L553&lt;&gt;"",$L553-$J553,TODAY()-$J553))</f>
        <v/>
      </c>
      <c r="Q553" s="85">
        <f>IF(OR($K553="",$H553="Completed",$H553="Cancelled"),"",IF(AND($K553&lt;TODAY(),$H553&lt;&gt;"Completed",$H553&lt;&gt;"Cancelled"),"Overdue","On Track"))</f>
        <v/>
      </c>
      <c r="R553" s="81" t="n"/>
      <c r="S553" s="81">
        <f>IF($B553="","",IFERROR(INDEX(Task_Tracker!$AA$5:$AA$1004,MATCH($B553,Task_Tracker!$A$5:$A$1004,0)),""))</f>
        <v/>
      </c>
      <c r="T553" s="81">
        <f>IF($B553="","",IFERROR(INDEX(Task_Tracker!$AB$5:$AB$1004,MATCH($B553,Task_Tracker!$A$5:$A$1004,0)),""))</f>
        <v/>
      </c>
      <c r="U553" s="78">
        <f>IF($B553="","",IFERROR(INDEX(Task_Tracker!$F$5:$F$1004,MATCH($B553,Task_Tracker!$A$5:$A$1004,0)),""))</f>
        <v/>
      </c>
      <c r="V553" s="78">
        <f>IF($B553="","",IFERROR(INDEX(Task_Tracker!$I$5:$I$1004,MATCH($B553,Task_Tracker!$A$5:$A$1004,0)),""))</f>
        <v/>
      </c>
      <c r="W553" s="81">
        <f>IF(OR($D553="",$B553=""),"",$D553&amp;" | "&amp;$B553)</f>
        <v/>
      </c>
      <c r="X553" s="85">
        <f>IF($K553="","",TEXT($K553,"yyyy-mm"))</f>
        <v/>
      </c>
      <c r="Y553" s="81">
        <f>IF(OR($A553="",$T553=""),"","Included in Manager_Report")</f>
        <v/>
      </c>
    </row>
    <row r="554" ht="15" customHeight="1" s="40">
      <c r="A554" s="65">
        <f>IF(COUNTA(B554:G554)=0,"","STP-"&amp;TEXT(ROW()-4,"0000"))</f>
        <v/>
      </c>
      <c r="B554" s="78" t="n"/>
      <c r="C554" s="67">
        <f>IF($B554="","",IFERROR(INDEX(Task_Tracker!$D$5:$D$1004,MATCH($B554,Task_Tracker!$A$5:$A$1004,0)),""))</f>
        <v/>
      </c>
      <c r="D554" s="67">
        <f>IF($B554="","",IFERROR(INDEX(Task_Tracker!$B$5:$B$1004,MATCH($B554,Task_Tracker!$A$5:$A$1004,0)),""))</f>
        <v/>
      </c>
      <c r="E554" s="81" t="n"/>
      <c r="F554" s="81" t="n"/>
      <c r="G554" s="78" t="n"/>
      <c r="H554" s="78" t="n"/>
      <c r="I554" s="67">
        <f>IF($H554="","",IFERROR(INDEX(Action_Status_Map!$B$5:$B$11,MATCH($H554,Action_Status_Map!$A$5:$A$11,0)),""))</f>
        <v/>
      </c>
      <c r="J554" s="82" t="n"/>
      <c r="K554" s="82" t="n"/>
      <c r="L554" s="82" t="n"/>
      <c r="M554" s="83" t="n"/>
      <c r="N554" s="83" t="n"/>
      <c r="O554" s="66">
        <f>IF(OR($M554="",$N554=""),"",$N554-$M554)</f>
        <v/>
      </c>
      <c r="P554" s="84">
        <f>IF($J554="","",IF($L554&lt;&gt;"",$L554-$J554,TODAY()-$J554))</f>
        <v/>
      </c>
      <c r="Q554" s="85">
        <f>IF(OR($K554="",$H554="Completed",$H554="Cancelled"),"",IF(AND($K554&lt;TODAY(),$H554&lt;&gt;"Completed",$H554&lt;&gt;"Cancelled"),"Overdue","On Track"))</f>
        <v/>
      </c>
      <c r="R554" s="81" t="n"/>
      <c r="S554" s="81">
        <f>IF($B554="","",IFERROR(INDEX(Task_Tracker!$AA$5:$AA$1004,MATCH($B554,Task_Tracker!$A$5:$A$1004,0)),""))</f>
        <v/>
      </c>
      <c r="T554" s="81">
        <f>IF($B554="","",IFERROR(INDEX(Task_Tracker!$AB$5:$AB$1004,MATCH($B554,Task_Tracker!$A$5:$A$1004,0)),""))</f>
        <v/>
      </c>
      <c r="U554" s="78">
        <f>IF($B554="","",IFERROR(INDEX(Task_Tracker!$F$5:$F$1004,MATCH($B554,Task_Tracker!$A$5:$A$1004,0)),""))</f>
        <v/>
      </c>
      <c r="V554" s="78">
        <f>IF($B554="","",IFERROR(INDEX(Task_Tracker!$I$5:$I$1004,MATCH($B554,Task_Tracker!$A$5:$A$1004,0)),""))</f>
        <v/>
      </c>
      <c r="W554" s="81">
        <f>IF(OR($D554="",$B554=""),"",$D554&amp;" | "&amp;$B554)</f>
        <v/>
      </c>
      <c r="X554" s="85">
        <f>IF($K554="","",TEXT($K554,"yyyy-mm"))</f>
        <v/>
      </c>
      <c r="Y554" s="81">
        <f>IF(OR($A554="",$T554=""),"","Included in Manager_Report")</f>
        <v/>
      </c>
    </row>
    <row r="555" ht="15" customHeight="1" s="40">
      <c r="A555" s="65">
        <f>IF(COUNTA(B555:G555)=0,"","STP-"&amp;TEXT(ROW()-4,"0000"))</f>
        <v/>
      </c>
      <c r="B555" s="78" t="n"/>
      <c r="C555" s="67">
        <f>IF($B555="","",IFERROR(INDEX(Task_Tracker!$D$5:$D$1004,MATCH($B555,Task_Tracker!$A$5:$A$1004,0)),""))</f>
        <v/>
      </c>
      <c r="D555" s="67">
        <f>IF($B555="","",IFERROR(INDEX(Task_Tracker!$B$5:$B$1004,MATCH($B555,Task_Tracker!$A$5:$A$1004,0)),""))</f>
        <v/>
      </c>
      <c r="E555" s="81" t="n"/>
      <c r="F555" s="81" t="n"/>
      <c r="G555" s="78" t="n"/>
      <c r="H555" s="78" t="n"/>
      <c r="I555" s="67">
        <f>IF($H555="","",IFERROR(INDEX(Action_Status_Map!$B$5:$B$11,MATCH($H555,Action_Status_Map!$A$5:$A$11,0)),""))</f>
        <v/>
      </c>
      <c r="J555" s="82" t="n"/>
      <c r="K555" s="82" t="n"/>
      <c r="L555" s="82" t="n"/>
      <c r="M555" s="83" t="n"/>
      <c r="N555" s="83" t="n"/>
      <c r="O555" s="66">
        <f>IF(OR($M555="",$N555=""),"",$N555-$M555)</f>
        <v/>
      </c>
      <c r="P555" s="84">
        <f>IF($J555="","",IF($L555&lt;&gt;"",$L555-$J555,TODAY()-$J555))</f>
        <v/>
      </c>
      <c r="Q555" s="85">
        <f>IF(OR($K555="",$H555="Completed",$H555="Cancelled"),"",IF(AND($K555&lt;TODAY(),$H555&lt;&gt;"Completed",$H555&lt;&gt;"Cancelled"),"Overdue","On Track"))</f>
        <v/>
      </c>
      <c r="R555" s="81" t="n"/>
      <c r="S555" s="81">
        <f>IF($B555="","",IFERROR(INDEX(Task_Tracker!$AA$5:$AA$1004,MATCH($B555,Task_Tracker!$A$5:$A$1004,0)),""))</f>
        <v/>
      </c>
      <c r="T555" s="81">
        <f>IF($B555="","",IFERROR(INDEX(Task_Tracker!$AB$5:$AB$1004,MATCH($B555,Task_Tracker!$A$5:$A$1004,0)),""))</f>
        <v/>
      </c>
      <c r="U555" s="78">
        <f>IF($B555="","",IFERROR(INDEX(Task_Tracker!$F$5:$F$1004,MATCH($B555,Task_Tracker!$A$5:$A$1004,0)),""))</f>
        <v/>
      </c>
      <c r="V555" s="78">
        <f>IF($B555="","",IFERROR(INDEX(Task_Tracker!$I$5:$I$1004,MATCH($B555,Task_Tracker!$A$5:$A$1004,0)),""))</f>
        <v/>
      </c>
      <c r="W555" s="81">
        <f>IF(OR($D555="",$B555=""),"",$D555&amp;" | "&amp;$B555)</f>
        <v/>
      </c>
      <c r="X555" s="85">
        <f>IF($K555="","",TEXT($K555,"yyyy-mm"))</f>
        <v/>
      </c>
      <c r="Y555" s="81">
        <f>IF(OR($A555="",$T555=""),"","Included in Manager_Report")</f>
        <v/>
      </c>
    </row>
    <row r="556" ht="15" customHeight="1" s="40">
      <c r="A556" s="65">
        <f>IF(COUNTA(B556:G556)=0,"","STP-"&amp;TEXT(ROW()-4,"0000"))</f>
        <v/>
      </c>
      <c r="B556" s="78" t="n"/>
      <c r="C556" s="67">
        <f>IF($B556="","",IFERROR(INDEX(Task_Tracker!$D$5:$D$1004,MATCH($B556,Task_Tracker!$A$5:$A$1004,0)),""))</f>
        <v/>
      </c>
      <c r="D556" s="67">
        <f>IF($B556="","",IFERROR(INDEX(Task_Tracker!$B$5:$B$1004,MATCH($B556,Task_Tracker!$A$5:$A$1004,0)),""))</f>
        <v/>
      </c>
      <c r="E556" s="81" t="n"/>
      <c r="F556" s="81" t="n"/>
      <c r="G556" s="78" t="n"/>
      <c r="H556" s="78" t="n"/>
      <c r="I556" s="67">
        <f>IF($H556="","",IFERROR(INDEX(Action_Status_Map!$B$5:$B$11,MATCH($H556,Action_Status_Map!$A$5:$A$11,0)),""))</f>
        <v/>
      </c>
      <c r="J556" s="82" t="n"/>
      <c r="K556" s="82" t="n"/>
      <c r="L556" s="82" t="n"/>
      <c r="M556" s="83" t="n"/>
      <c r="N556" s="83" t="n"/>
      <c r="O556" s="66">
        <f>IF(OR($M556="",$N556=""),"",$N556-$M556)</f>
        <v/>
      </c>
      <c r="P556" s="84">
        <f>IF($J556="","",IF($L556&lt;&gt;"",$L556-$J556,TODAY()-$J556))</f>
        <v/>
      </c>
      <c r="Q556" s="85">
        <f>IF(OR($K556="",$H556="Completed",$H556="Cancelled"),"",IF(AND($K556&lt;TODAY(),$H556&lt;&gt;"Completed",$H556&lt;&gt;"Cancelled"),"Overdue","On Track"))</f>
        <v/>
      </c>
      <c r="R556" s="81" t="n"/>
      <c r="S556" s="81">
        <f>IF($B556="","",IFERROR(INDEX(Task_Tracker!$AA$5:$AA$1004,MATCH($B556,Task_Tracker!$A$5:$A$1004,0)),""))</f>
        <v/>
      </c>
      <c r="T556" s="81">
        <f>IF($B556="","",IFERROR(INDEX(Task_Tracker!$AB$5:$AB$1004,MATCH($B556,Task_Tracker!$A$5:$A$1004,0)),""))</f>
        <v/>
      </c>
      <c r="U556" s="78">
        <f>IF($B556="","",IFERROR(INDEX(Task_Tracker!$F$5:$F$1004,MATCH($B556,Task_Tracker!$A$5:$A$1004,0)),""))</f>
        <v/>
      </c>
      <c r="V556" s="78">
        <f>IF($B556="","",IFERROR(INDEX(Task_Tracker!$I$5:$I$1004,MATCH($B556,Task_Tracker!$A$5:$A$1004,0)),""))</f>
        <v/>
      </c>
      <c r="W556" s="81">
        <f>IF(OR($D556="",$B556=""),"",$D556&amp;" | "&amp;$B556)</f>
        <v/>
      </c>
      <c r="X556" s="85">
        <f>IF($K556="","",TEXT($K556,"yyyy-mm"))</f>
        <v/>
      </c>
      <c r="Y556" s="81">
        <f>IF(OR($A556="",$T556=""),"","Included in Manager_Report")</f>
        <v/>
      </c>
    </row>
    <row r="557" ht="15" customHeight="1" s="40">
      <c r="A557" s="65">
        <f>IF(COUNTA(B557:G557)=0,"","STP-"&amp;TEXT(ROW()-4,"0000"))</f>
        <v/>
      </c>
      <c r="B557" s="78" t="n"/>
      <c r="C557" s="67">
        <f>IF($B557="","",IFERROR(INDEX(Task_Tracker!$D$5:$D$1004,MATCH($B557,Task_Tracker!$A$5:$A$1004,0)),""))</f>
        <v/>
      </c>
      <c r="D557" s="67">
        <f>IF($B557="","",IFERROR(INDEX(Task_Tracker!$B$5:$B$1004,MATCH($B557,Task_Tracker!$A$5:$A$1004,0)),""))</f>
        <v/>
      </c>
      <c r="E557" s="81" t="n"/>
      <c r="F557" s="81" t="n"/>
      <c r="G557" s="78" t="n"/>
      <c r="H557" s="78" t="n"/>
      <c r="I557" s="67">
        <f>IF($H557="","",IFERROR(INDEX(Action_Status_Map!$B$5:$B$11,MATCH($H557,Action_Status_Map!$A$5:$A$11,0)),""))</f>
        <v/>
      </c>
      <c r="J557" s="82" t="n"/>
      <c r="K557" s="82" t="n"/>
      <c r="L557" s="82" t="n"/>
      <c r="M557" s="83" t="n"/>
      <c r="N557" s="83" t="n"/>
      <c r="O557" s="66">
        <f>IF(OR($M557="",$N557=""),"",$N557-$M557)</f>
        <v/>
      </c>
      <c r="P557" s="84">
        <f>IF($J557="","",IF($L557&lt;&gt;"",$L557-$J557,TODAY()-$J557))</f>
        <v/>
      </c>
      <c r="Q557" s="85">
        <f>IF(OR($K557="",$H557="Completed",$H557="Cancelled"),"",IF(AND($K557&lt;TODAY(),$H557&lt;&gt;"Completed",$H557&lt;&gt;"Cancelled"),"Overdue","On Track"))</f>
        <v/>
      </c>
      <c r="R557" s="81" t="n"/>
      <c r="S557" s="81">
        <f>IF($B557="","",IFERROR(INDEX(Task_Tracker!$AA$5:$AA$1004,MATCH($B557,Task_Tracker!$A$5:$A$1004,0)),""))</f>
        <v/>
      </c>
      <c r="T557" s="81">
        <f>IF($B557="","",IFERROR(INDEX(Task_Tracker!$AB$5:$AB$1004,MATCH($B557,Task_Tracker!$A$5:$A$1004,0)),""))</f>
        <v/>
      </c>
      <c r="U557" s="78">
        <f>IF($B557="","",IFERROR(INDEX(Task_Tracker!$F$5:$F$1004,MATCH($B557,Task_Tracker!$A$5:$A$1004,0)),""))</f>
        <v/>
      </c>
      <c r="V557" s="78">
        <f>IF($B557="","",IFERROR(INDEX(Task_Tracker!$I$5:$I$1004,MATCH($B557,Task_Tracker!$A$5:$A$1004,0)),""))</f>
        <v/>
      </c>
      <c r="W557" s="81">
        <f>IF(OR($D557="",$B557=""),"",$D557&amp;" | "&amp;$B557)</f>
        <v/>
      </c>
      <c r="X557" s="85">
        <f>IF($K557="","",TEXT($K557,"yyyy-mm"))</f>
        <v/>
      </c>
      <c r="Y557" s="81">
        <f>IF(OR($A557="",$T557=""),"","Included in Manager_Report")</f>
        <v/>
      </c>
    </row>
    <row r="558" ht="15" customHeight="1" s="40">
      <c r="A558" s="65">
        <f>IF(COUNTA(B558:G558)=0,"","STP-"&amp;TEXT(ROW()-4,"0000"))</f>
        <v/>
      </c>
      <c r="B558" s="78" t="n"/>
      <c r="C558" s="67">
        <f>IF($B558="","",IFERROR(INDEX(Task_Tracker!$D$5:$D$1004,MATCH($B558,Task_Tracker!$A$5:$A$1004,0)),""))</f>
        <v/>
      </c>
      <c r="D558" s="67">
        <f>IF($B558="","",IFERROR(INDEX(Task_Tracker!$B$5:$B$1004,MATCH($B558,Task_Tracker!$A$5:$A$1004,0)),""))</f>
        <v/>
      </c>
      <c r="E558" s="81" t="n"/>
      <c r="F558" s="81" t="n"/>
      <c r="G558" s="78" t="n"/>
      <c r="H558" s="78" t="n"/>
      <c r="I558" s="67">
        <f>IF($H558="","",IFERROR(INDEX(Action_Status_Map!$B$5:$B$11,MATCH($H558,Action_Status_Map!$A$5:$A$11,0)),""))</f>
        <v/>
      </c>
      <c r="J558" s="82" t="n"/>
      <c r="K558" s="82" t="n"/>
      <c r="L558" s="82" t="n"/>
      <c r="M558" s="83" t="n"/>
      <c r="N558" s="83" t="n"/>
      <c r="O558" s="66">
        <f>IF(OR($M558="",$N558=""),"",$N558-$M558)</f>
        <v/>
      </c>
      <c r="P558" s="84">
        <f>IF($J558="","",IF($L558&lt;&gt;"",$L558-$J558,TODAY()-$J558))</f>
        <v/>
      </c>
      <c r="Q558" s="85">
        <f>IF(OR($K558="",$H558="Completed",$H558="Cancelled"),"",IF(AND($K558&lt;TODAY(),$H558&lt;&gt;"Completed",$H558&lt;&gt;"Cancelled"),"Overdue","On Track"))</f>
        <v/>
      </c>
      <c r="R558" s="81" t="n"/>
      <c r="S558" s="81">
        <f>IF($B558="","",IFERROR(INDEX(Task_Tracker!$AA$5:$AA$1004,MATCH($B558,Task_Tracker!$A$5:$A$1004,0)),""))</f>
        <v/>
      </c>
      <c r="T558" s="81">
        <f>IF($B558="","",IFERROR(INDEX(Task_Tracker!$AB$5:$AB$1004,MATCH($B558,Task_Tracker!$A$5:$A$1004,0)),""))</f>
        <v/>
      </c>
      <c r="U558" s="78">
        <f>IF($B558="","",IFERROR(INDEX(Task_Tracker!$F$5:$F$1004,MATCH($B558,Task_Tracker!$A$5:$A$1004,0)),""))</f>
        <v/>
      </c>
      <c r="V558" s="78">
        <f>IF($B558="","",IFERROR(INDEX(Task_Tracker!$I$5:$I$1004,MATCH($B558,Task_Tracker!$A$5:$A$1004,0)),""))</f>
        <v/>
      </c>
      <c r="W558" s="81">
        <f>IF(OR($D558="",$B558=""),"",$D558&amp;" | "&amp;$B558)</f>
        <v/>
      </c>
      <c r="X558" s="85">
        <f>IF($K558="","",TEXT($K558,"yyyy-mm"))</f>
        <v/>
      </c>
      <c r="Y558" s="81">
        <f>IF(OR($A558="",$T558=""),"","Included in Manager_Report")</f>
        <v/>
      </c>
    </row>
    <row r="559" ht="15" customHeight="1" s="40">
      <c r="A559" s="65">
        <f>IF(COUNTA(B559:G559)=0,"","STP-"&amp;TEXT(ROW()-4,"0000"))</f>
        <v/>
      </c>
      <c r="B559" s="78" t="n"/>
      <c r="C559" s="67">
        <f>IF($B559="","",IFERROR(INDEX(Task_Tracker!$D$5:$D$1004,MATCH($B559,Task_Tracker!$A$5:$A$1004,0)),""))</f>
        <v/>
      </c>
      <c r="D559" s="67">
        <f>IF($B559="","",IFERROR(INDEX(Task_Tracker!$B$5:$B$1004,MATCH($B559,Task_Tracker!$A$5:$A$1004,0)),""))</f>
        <v/>
      </c>
      <c r="E559" s="81" t="n"/>
      <c r="F559" s="81" t="n"/>
      <c r="G559" s="78" t="n"/>
      <c r="H559" s="78" t="n"/>
      <c r="I559" s="67">
        <f>IF($H559="","",IFERROR(INDEX(Action_Status_Map!$B$5:$B$11,MATCH($H559,Action_Status_Map!$A$5:$A$11,0)),""))</f>
        <v/>
      </c>
      <c r="J559" s="82" t="n"/>
      <c r="K559" s="82" t="n"/>
      <c r="L559" s="82" t="n"/>
      <c r="M559" s="83" t="n"/>
      <c r="N559" s="83" t="n"/>
      <c r="O559" s="66">
        <f>IF(OR($M559="",$N559=""),"",$N559-$M559)</f>
        <v/>
      </c>
      <c r="P559" s="84">
        <f>IF($J559="","",IF($L559&lt;&gt;"",$L559-$J559,TODAY()-$J559))</f>
        <v/>
      </c>
      <c r="Q559" s="85">
        <f>IF(OR($K559="",$H559="Completed",$H559="Cancelled"),"",IF(AND($K559&lt;TODAY(),$H559&lt;&gt;"Completed",$H559&lt;&gt;"Cancelled"),"Overdue","On Track"))</f>
        <v/>
      </c>
      <c r="R559" s="81" t="n"/>
      <c r="S559" s="81">
        <f>IF($B559="","",IFERROR(INDEX(Task_Tracker!$AA$5:$AA$1004,MATCH($B559,Task_Tracker!$A$5:$A$1004,0)),""))</f>
        <v/>
      </c>
      <c r="T559" s="81">
        <f>IF($B559="","",IFERROR(INDEX(Task_Tracker!$AB$5:$AB$1004,MATCH($B559,Task_Tracker!$A$5:$A$1004,0)),""))</f>
        <v/>
      </c>
      <c r="U559" s="78">
        <f>IF($B559="","",IFERROR(INDEX(Task_Tracker!$F$5:$F$1004,MATCH($B559,Task_Tracker!$A$5:$A$1004,0)),""))</f>
        <v/>
      </c>
      <c r="V559" s="78">
        <f>IF($B559="","",IFERROR(INDEX(Task_Tracker!$I$5:$I$1004,MATCH($B559,Task_Tracker!$A$5:$A$1004,0)),""))</f>
        <v/>
      </c>
      <c r="W559" s="81">
        <f>IF(OR($D559="",$B559=""),"",$D559&amp;" | "&amp;$B559)</f>
        <v/>
      </c>
      <c r="X559" s="85">
        <f>IF($K559="","",TEXT($K559,"yyyy-mm"))</f>
        <v/>
      </c>
      <c r="Y559" s="81">
        <f>IF(OR($A559="",$T559=""),"","Included in Manager_Report")</f>
        <v/>
      </c>
    </row>
    <row r="560" ht="15" customHeight="1" s="40">
      <c r="A560" s="65">
        <f>IF(COUNTA(B560:G560)=0,"","STP-"&amp;TEXT(ROW()-4,"0000"))</f>
        <v/>
      </c>
      <c r="B560" s="78" t="n"/>
      <c r="C560" s="67">
        <f>IF($B560="","",IFERROR(INDEX(Task_Tracker!$D$5:$D$1004,MATCH($B560,Task_Tracker!$A$5:$A$1004,0)),""))</f>
        <v/>
      </c>
      <c r="D560" s="67">
        <f>IF($B560="","",IFERROR(INDEX(Task_Tracker!$B$5:$B$1004,MATCH($B560,Task_Tracker!$A$5:$A$1004,0)),""))</f>
        <v/>
      </c>
      <c r="E560" s="81" t="n"/>
      <c r="F560" s="81" t="n"/>
      <c r="G560" s="78" t="n"/>
      <c r="H560" s="78" t="n"/>
      <c r="I560" s="67">
        <f>IF($H560="","",IFERROR(INDEX(Action_Status_Map!$B$5:$B$11,MATCH($H560,Action_Status_Map!$A$5:$A$11,0)),""))</f>
        <v/>
      </c>
      <c r="J560" s="82" t="n"/>
      <c r="K560" s="82" t="n"/>
      <c r="L560" s="82" t="n"/>
      <c r="M560" s="83" t="n"/>
      <c r="N560" s="83" t="n"/>
      <c r="O560" s="66">
        <f>IF(OR($M560="",$N560=""),"",$N560-$M560)</f>
        <v/>
      </c>
      <c r="P560" s="84">
        <f>IF($J560="","",IF($L560&lt;&gt;"",$L560-$J560,TODAY()-$J560))</f>
        <v/>
      </c>
      <c r="Q560" s="85">
        <f>IF(OR($K560="",$H560="Completed",$H560="Cancelled"),"",IF(AND($K560&lt;TODAY(),$H560&lt;&gt;"Completed",$H560&lt;&gt;"Cancelled"),"Overdue","On Track"))</f>
        <v/>
      </c>
      <c r="R560" s="81" t="n"/>
      <c r="S560" s="81">
        <f>IF($B560="","",IFERROR(INDEX(Task_Tracker!$AA$5:$AA$1004,MATCH($B560,Task_Tracker!$A$5:$A$1004,0)),""))</f>
        <v/>
      </c>
      <c r="T560" s="81">
        <f>IF($B560="","",IFERROR(INDEX(Task_Tracker!$AB$5:$AB$1004,MATCH($B560,Task_Tracker!$A$5:$A$1004,0)),""))</f>
        <v/>
      </c>
      <c r="U560" s="78">
        <f>IF($B560="","",IFERROR(INDEX(Task_Tracker!$F$5:$F$1004,MATCH($B560,Task_Tracker!$A$5:$A$1004,0)),""))</f>
        <v/>
      </c>
      <c r="V560" s="78">
        <f>IF($B560="","",IFERROR(INDEX(Task_Tracker!$I$5:$I$1004,MATCH($B560,Task_Tracker!$A$5:$A$1004,0)),""))</f>
        <v/>
      </c>
      <c r="W560" s="81">
        <f>IF(OR($D560="",$B560=""),"",$D560&amp;" | "&amp;$B560)</f>
        <v/>
      </c>
      <c r="X560" s="85">
        <f>IF($K560="","",TEXT($K560,"yyyy-mm"))</f>
        <v/>
      </c>
      <c r="Y560" s="81">
        <f>IF(OR($A560="",$T560=""),"","Included in Manager_Report")</f>
        <v/>
      </c>
    </row>
    <row r="561" ht="15" customHeight="1" s="40">
      <c r="A561" s="65">
        <f>IF(COUNTA(B561:G561)=0,"","STP-"&amp;TEXT(ROW()-4,"0000"))</f>
        <v/>
      </c>
      <c r="B561" s="78" t="n"/>
      <c r="C561" s="67">
        <f>IF($B561="","",IFERROR(INDEX(Task_Tracker!$D$5:$D$1004,MATCH($B561,Task_Tracker!$A$5:$A$1004,0)),""))</f>
        <v/>
      </c>
      <c r="D561" s="67">
        <f>IF($B561="","",IFERROR(INDEX(Task_Tracker!$B$5:$B$1004,MATCH($B561,Task_Tracker!$A$5:$A$1004,0)),""))</f>
        <v/>
      </c>
      <c r="E561" s="81" t="n"/>
      <c r="F561" s="81" t="n"/>
      <c r="G561" s="78" t="n"/>
      <c r="H561" s="78" t="n"/>
      <c r="I561" s="67">
        <f>IF($H561="","",IFERROR(INDEX(Action_Status_Map!$B$5:$B$11,MATCH($H561,Action_Status_Map!$A$5:$A$11,0)),""))</f>
        <v/>
      </c>
      <c r="J561" s="82" t="n"/>
      <c r="K561" s="82" t="n"/>
      <c r="L561" s="82" t="n"/>
      <c r="M561" s="83" t="n"/>
      <c r="N561" s="83" t="n"/>
      <c r="O561" s="66">
        <f>IF(OR($M561="",$N561=""),"",$N561-$M561)</f>
        <v/>
      </c>
      <c r="P561" s="84">
        <f>IF($J561="","",IF($L561&lt;&gt;"",$L561-$J561,TODAY()-$J561))</f>
        <v/>
      </c>
      <c r="Q561" s="85">
        <f>IF(OR($K561="",$H561="Completed",$H561="Cancelled"),"",IF(AND($K561&lt;TODAY(),$H561&lt;&gt;"Completed",$H561&lt;&gt;"Cancelled"),"Overdue","On Track"))</f>
        <v/>
      </c>
      <c r="R561" s="81" t="n"/>
      <c r="S561" s="81">
        <f>IF($B561="","",IFERROR(INDEX(Task_Tracker!$AA$5:$AA$1004,MATCH($B561,Task_Tracker!$A$5:$A$1004,0)),""))</f>
        <v/>
      </c>
      <c r="T561" s="81">
        <f>IF($B561="","",IFERROR(INDEX(Task_Tracker!$AB$5:$AB$1004,MATCH($B561,Task_Tracker!$A$5:$A$1004,0)),""))</f>
        <v/>
      </c>
      <c r="U561" s="78">
        <f>IF($B561="","",IFERROR(INDEX(Task_Tracker!$F$5:$F$1004,MATCH($B561,Task_Tracker!$A$5:$A$1004,0)),""))</f>
        <v/>
      </c>
      <c r="V561" s="78">
        <f>IF($B561="","",IFERROR(INDEX(Task_Tracker!$I$5:$I$1004,MATCH($B561,Task_Tracker!$A$5:$A$1004,0)),""))</f>
        <v/>
      </c>
      <c r="W561" s="81">
        <f>IF(OR($D561="",$B561=""),"",$D561&amp;" | "&amp;$B561)</f>
        <v/>
      </c>
      <c r="X561" s="85">
        <f>IF($K561="","",TEXT($K561,"yyyy-mm"))</f>
        <v/>
      </c>
      <c r="Y561" s="81">
        <f>IF(OR($A561="",$T561=""),"","Included in Manager_Report")</f>
        <v/>
      </c>
    </row>
    <row r="562" ht="15" customHeight="1" s="40">
      <c r="A562" s="65">
        <f>IF(COUNTA(B562:G562)=0,"","STP-"&amp;TEXT(ROW()-4,"0000"))</f>
        <v/>
      </c>
      <c r="B562" s="78" t="n"/>
      <c r="C562" s="67">
        <f>IF($B562="","",IFERROR(INDEX(Task_Tracker!$D$5:$D$1004,MATCH($B562,Task_Tracker!$A$5:$A$1004,0)),""))</f>
        <v/>
      </c>
      <c r="D562" s="67">
        <f>IF($B562="","",IFERROR(INDEX(Task_Tracker!$B$5:$B$1004,MATCH($B562,Task_Tracker!$A$5:$A$1004,0)),""))</f>
        <v/>
      </c>
      <c r="E562" s="81" t="n"/>
      <c r="F562" s="81" t="n"/>
      <c r="G562" s="78" t="n"/>
      <c r="H562" s="78" t="n"/>
      <c r="I562" s="67">
        <f>IF($H562="","",IFERROR(INDEX(Action_Status_Map!$B$5:$B$11,MATCH($H562,Action_Status_Map!$A$5:$A$11,0)),""))</f>
        <v/>
      </c>
      <c r="J562" s="82" t="n"/>
      <c r="K562" s="82" t="n"/>
      <c r="L562" s="82" t="n"/>
      <c r="M562" s="83" t="n"/>
      <c r="N562" s="83" t="n"/>
      <c r="O562" s="66">
        <f>IF(OR($M562="",$N562=""),"",$N562-$M562)</f>
        <v/>
      </c>
      <c r="P562" s="84">
        <f>IF($J562="","",IF($L562&lt;&gt;"",$L562-$J562,TODAY()-$J562))</f>
        <v/>
      </c>
      <c r="Q562" s="85">
        <f>IF(OR($K562="",$H562="Completed",$H562="Cancelled"),"",IF(AND($K562&lt;TODAY(),$H562&lt;&gt;"Completed",$H562&lt;&gt;"Cancelled"),"Overdue","On Track"))</f>
        <v/>
      </c>
      <c r="R562" s="81" t="n"/>
      <c r="S562" s="81">
        <f>IF($B562="","",IFERROR(INDEX(Task_Tracker!$AA$5:$AA$1004,MATCH($B562,Task_Tracker!$A$5:$A$1004,0)),""))</f>
        <v/>
      </c>
      <c r="T562" s="81">
        <f>IF($B562="","",IFERROR(INDEX(Task_Tracker!$AB$5:$AB$1004,MATCH($B562,Task_Tracker!$A$5:$A$1004,0)),""))</f>
        <v/>
      </c>
      <c r="U562" s="78">
        <f>IF($B562="","",IFERROR(INDEX(Task_Tracker!$F$5:$F$1004,MATCH($B562,Task_Tracker!$A$5:$A$1004,0)),""))</f>
        <v/>
      </c>
      <c r="V562" s="78">
        <f>IF($B562="","",IFERROR(INDEX(Task_Tracker!$I$5:$I$1004,MATCH($B562,Task_Tracker!$A$5:$A$1004,0)),""))</f>
        <v/>
      </c>
      <c r="W562" s="81">
        <f>IF(OR($D562="",$B562=""),"",$D562&amp;" | "&amp;$B562)</f>
        <v/>
      </c>
      <c r="X562" s="85">
        <f>IF($K562="","",TEXT($K562,"yyyy-mm"))</f>
        <v/>
      </c>
      <c r="Y562" s="81">
        <f>IF(OR($A562="",$T562=""),"","Included in Manager_Report")</f>
        <v/>
      </c>
    </row>
    <row r="563" ht="15" customHeight="1" s="40">
      <c r="A563" s="65">
        <f>IF(COUNTA(B563:G563)=0,"","STP-"&amp;TEXT(ROW()-4,"0000"))</f>
        <v/>
      </c>
      <c r="B563" s="78" t="n"/>
      <c r="C563" s="67">
        <f>IF($B563="","",IFERROR(INDEX(Task_Tracker!$D$5:$D$1004,MATCH($B563,Task_Tracker!$A$5:$A$1004,0)),""))</f>
        <v/>
      </c>
      <c r="D563" s="67">
        <f>IF($B563="","",IFERROR(INDEX(Task_Tracker!$B$5:$B$1004,MATCH($B563,Task_Tracker!$A$5:$A$1004,0)),""))</f>
        <v/>
      </c>
      <c r="E563" s="81" t="n"/>
      <c r="F563" s="81" t="n"/>
      <c r="G563" s="78" t="n"/>
      <c r="H563" s="78" t="n"/>
      <c r="I563" s="67">
        <f>IF($H563="","",IFERROR(INDEX(Action_Status_Map!$B$5:$B$11,MATCH($H563,Action_Status_Map!$A$5:$A$11,0)),""))</f>
        <v/>
      </c>
      <c r="J563" s="82" t="n"/>
      <c r="K563" s="82" t="n"/>
      <c r="L563" s="82" t="n"/>
      <c r="M563" s="83" t="n"/>
      <c r="N563" s="83" t="n"/>
      <c r="O563" s="66">
        <f>IF(OR($M563="",$N563=""),"",$N563-$M563)</f>
        <v/>
      </c>
      <c r="P563" s="84">
        <f>IF($J563="","",IF($L563&lt;&gt;"",$L563-$J563,TODAY()-$J563))</f>
        <v/>
      </c>
      <c r="Q563" s="85">
        <f>IF(OR($K563="",$H563="Completed",$H563="Cancelled"),"",IF(AND($K563&lt;TODAY(),$H563&lt;&gt;"Completed",$H563&lt;&gt;"Cancelled"),"Overdue","On Track"))</f>
        <v/>
      </c>
      <c r="R563" s="81" t="n"/>
      <c r="S563" s="81">
        <f>IF($B563="","",IFERROR(INDEX(Task_Tracker!$AA$5:$AA$1004,MATCH($B563,Task_Tracker!$A$5:$A$1004,0)),""))</f>
        <v/>
      </c>
      <c r="T563" s="81">
        <f>IF($B563="","",IFERROR(INDEX(Task_Tracker!$AB$5:$AB$1004,MATCH($B563,Task_Tracker!$A$5:$A$1004,0)),""))</f>
        <v/>
      </c>
      <c r="U563" s="78">
        <f>IF($B563="","",IFERROR(INDEX(Task_Tracker!$F$5:$F$1004,MATCH($B563,Task_Tracker!$A$5:$A$1004,0)),""))</f>
        <v/>
      </c>
      <c r="V563" s="78">
        <f>IF($B563="","",IFERROR(INDEX(Task_Tracker!$I$5:$I$1004,MATCH($B563,Task_Tracker!$A$5:$A$1004,0)),""))</f>
        <v/>
      </c>
      <c r="W563" s="81">
        <f>IF(OR($D563="",$B563=""),"",$D563&amp;" | "&amp;$B563)</f>
        <v/>
      </c>
      <c r="X563" s="85">
        <f>IF($K563="","",TEXT($K563,"yyyy-mm"))</f>
        <v/>
      </c>
      <c r="Y563" s="81">
        <f>IF(OR($A563="",$T563=""),"","Included in Manager_Report")</f>
        <v/>
      </c>
    </row>
    <row r="564" ht="15" customHeight="1" s="40">
      <c r="A564" s="65">
        <f>IF(COUNTA(B564:G564)=0,"","STP-"&amp;TEXT(ROW()-4,"0000"))</f>
        <v/>
      </c>
      <c r="B564" s="78" t="n"/>
      <c r="C564" s="67">
        <f>IF($B564="","",IFERROR(INDEX(Task_Tracker!$D$5:$D$1004,MATCH($B564,Task_Tracker!$A$5:$A$1004,0)),""))</f>
        <v/>
      </c>
      <c r="D564" s="67">
        <f>IF($B564="","",IFERROR(INDEX(Task_Tracker!$B$5:$B$1004,MATCH($B564,Task_Tracker!$A$5:$A$1004,0)),""))</f>
        <v/>
      </c>
      <c r="E564" s="81" t="n"/>
      <c r="F564" s="81" t="n"/>
      <c r="G564" s="78" t="n"/>
      <c r="H564" s="78" t="n"/>
      <c r="I564" s="67">
        <f>IF($H564="","",IFERROR(INDEX(Action_Status_Map!$B$5:$B$11,MATCH($H564,Action_Status_Map!$A$5:$A$11,0)),""))</f>
        <v/>
      </c>
      <c r="J564" s="82" t="n"/>
      <c r="K564" s="82" t="n"/>
      <c r="L564" s="82" t="n"/>
      <c r="M564" s="83" t="n"/>
      <c r="N564" s="83" t="n"/>
      <c r="O564" s="66">
        <f>IF(OR($M564="",$N564=""),"",$N564-$M564)</f>
        <v/>
      </c>
      <c r="P564" s="84">
        <f>IF($J564="","",IF($L564&lt;&gt;"",$L564-$J564,TODAY()-$J564))</f>
        <v/>
      </c>
      <c r="Q564" s="85">
        <f>IF(OR($K564="",$H564="Completed",$H564="Cancelled"),"",IF(AND($K564&lt;TODAY(),$H564&lt;&gt;"Completed",$H564&lt;&gt;"Cancelled"),"Overdue","On Track"))</f>
        <v/>
      </c>
      <c r="R564" s="81" t="n"/>
      <c r="S564" s="81">
        <f>IF($B564="","",IFERROR(INDEX(Task_Tracker!$AA$5:$AA$1004,MATCH($B564,Task_Tracker!$A$5:$A$1004,0)),""))</f>
        <v/>
      </c>
      <c r="T564" s="81">
        <f>IF($B564="","",IFERROR(INDEX(Task_Tracker!$AB$5:$AB$1004,MATCH($B564,Task_Tracker!$A$5:$A$1004,0)),""))</f>
        <v/>
      </c>
      <c r="U564" s="78">
        <f>IF($B564="","",IFERROR(INDEX(Task_Tracker!$F$5:$F$1004,MATCH($B564,Task_Tracker!$A$5:$A$1004,0)),""))</f>
        <v/>
      </c>
      <c r="V564" s="78">
        <f>IF($B564="","",IFERROR(INDEX(Task_Tracker!$I$5:$I$1004,MATCH($B564,Task_Tracker!$A$5:$A$1004,0)),""))</f>
        <v/>
      </c>
      <c r="W564" s="81">
        <f>IF(OR($D564="",$B564=""),"",$D564&amp;" | "&amp;$B564)</f>
        <v/>
      </c>
      <c r="X564" s="85">
        <f>IF($K564="","",TEXT($K564,"yyyy-mm"))</f>
        <v/>
      </c>
      <c r="Y564" s="81">
        <f>IF(OR($A564="",$T564=""),"","Included in Manager_Report")</f>
        <v/>
      </c>
    </row>
    <row r="565" ht="15" customHeight="1" s="40">
      <c r="A565" s="65">
        <f>IF(COUNTA(B565:G565)=0,"","STP-"&amp;TEXT(ROW()-4,"0000"))</f>
        <v/>
      </c>
      <c r="B565" s="78" t="n"/>
      <c r="C565" s="67">
        <f>IF($B565="","",IFERROR(INDEX(Task_Tracker!$D$5:$D$1004,MATCH($B565,Task_Tracker!$A$5:$A$1004,0)),""))</f>
        <v/>
      </c>
      <c r="D565" s="67">
        <f>IF($B565="","",IFERROR(INDEX(Task_Tracker!$B$5:$B$1004,MATCH($B565,Task_Tracker!$A$5:$A$1004,0)),""))</f>
        <v/>
      </c>
      <c r="E565" s="81" t="n"/>
      <c r="F565" s="81" t="n"/>
      <c r="G565" s="78" t="n"/>
      <c r="H565" s="78" t="n"/>
      <c r="I565" s="67">
        <f>IF($H565="","",IFERROR(INDEX(Action_Status_Map!$B$5:$B$11,MATCH($H565,Action_Status_Map!$A$5:$A$11,0)),""))</f>
        <v/>
      </c>
      <c r="J565" s="82" t="n"/>
      <c r="K565" s="82" t="n"/>
      <c r="L565" s="82" t="n"/>
      <c r="M565" s="83" t="n"/>
      <c r="N565" s="83" t="n"/>
      <c r="O565" s="66">
        <f>IF(OR($M565="",$N565=""),"",$N565-$M565)</f>
        <v/>
      </c>
      <c r="P565" s="84">
        <f>IF($J565="","",IF($L565&lt;&gt;"",$L565-$J565,TODAY()-$J565))</f>
        <v/>
      </c>
      <c r="Q565" s="85">
        <f>IF(OR($K565="",$H565="Completed",$H565="Cancelled"),"",IF(AND($K565&lt;TODAY(),$H565&lt;&gt;"Completed",$H565&lt;&gt;"Cancelled"),"Overdue","On Track"))</f>
        <v/>
      </c>
      <c r="R565" s="81" t="n"/>
      <c r="S565" s="81">
        <f>IF($B565="","",IFERROR(INDEX(Task_Tracker!$AA$5:$AA$1004,MATCH($B565,Task_Tracker!$A$5:$A$1004,0)),""))</f>
        <v/>
      </c>
      <c r="T565" s="81">
        <f>IF($B565="","",IFERROR(INDEX(Task_Tracker!$AB$5:$AB$1004,MATCH($B565,Task_Tracker!$A$5:$A$1004,0)),""))</f>
        <v/>
      </c>
      <c r="U565" s="78">
        <f>IF($B565="","",IFERROR(INDEX(Task_Tracker!$F$5:$F$1004,MATCH($B565,Task_Tracker!$A$5:$A$1004,0)),""))</f>
        <v/>
      </c>
      <c r="V565" s="78">
        <f>IF($B565="","",IFERROR(INDEX(Task_Tracker!$I$5:$I$1004,MATCH($B565,Task_Tracker!$A$5:$A$1004,0)),""))</f>
        <v/>
      </c>
      <c r="W565" s="81">
        <f>IF(OR($D565="",$B565=""),"",$D565&amp;" | "&amp;$B565)</f>
        <v/>
      </c>
      <c r="X565" s="85">
        <f>IF($K565="","",TEXT($K565,"yyyy-mm"))</f>
        <v/>
      </c>
      <c r="Y565" s="81">
        <f>IF(OR($A565="",$T565=""),"","Included in Manager_Report")</f>
        <v/>
      </c>
    </row>
    <row r="566" ht="15" customHeight="1" s="40">
      <c r="A566" s="65">
        <f>IF(COUNTA(B566:G566)=0,"","STP-"&amp;TEXT(ROW()-4,"0000"))</f>
        <v/>
      </c>
      <c r="B566" s="78" t="n"/>
      <c r="C566" s="67">
        <f>IF($B566="","",IFERROR(INDEX(Task_Tracker!$D$5:$D$1004,MATCH($B566,Task_Tracker!$A$5:$A$1004,0)),""))</f>
        <v/>
      </c>
      <c r="D566" s="67">
        <f>IF($B566="","",IFERROR(INDEX(Task_Tracker!$B$5:$B$1004,MATCH($B566,Task_Tracker!$A$5:$A$1004,0)),""))</f>
        <v/>
      </c>
      <c r="E566" s="81" t="n"/>
      <c r="F566" s="81" t="n"/>
      <c r="G566" s="78" t="n"/>
      <c r="H566" s="78" t="n"/>
      <c r="I566" s="67">
        <f>IF($H566="","",IFERROR(INDEX(Action_Status_Map!$B$5:$B$11,MATCH($H566,Action_Status_Map!$A$5:$A$11,0)),""))</f>
        <v/>
      </c>
      <c r="J566" s="82" t="n"/>
      <c r="K566" s="82" t="n"/>
      <c r="L566" s="82" t="n"/>
      <c r="M566" s="83" t="n"/>
      <c r="N566" s="83" t="n"/>
      <c r="O566" s="66">
        <f>IF(OR($M566="",$N566=""),"",$N566-$M566)</f>
        <v/>
      </c>
      <c r="P566" s="84">
        <f>IF($J566="","",IF($L566&lt;&gt;"",$L566-$J566,TODAY()-$J566))</f>
        <v/>
      </c>
      <c r="Q566" s="85">
        <f>IF(OR($K566="",$H566="Completed",$H566="Cancelled"),"",IF(AND($K566&lt;TODAY(),$H566&lt;&gt;"Completed",$H566&lt;&gt;"Cancelled"),"Overdue","On Track"))</f>
        <v/>
      </c>
      <c r="R566" s="81" t="n"/>
      <c r="S566" s="81">
        <f>IF($B566="","",IFERROR(INDEX(Task_Tracker!$AA$5:$AA$1004,MATCH($B566,Task_Tracker!$A$5:$A$1004,0)),""))</f>
        <v/>
      </c>
      <c r="T566" s="81">
        <f>IF($B566="","",IFERROR(INDEX(Task_Tracker!$AB$5:$AB$1004,MATCH($B566,Task_Tracker!$A$5:$A$1004,0)),""))</f>
        <v/>
      </c>
      <c r="U566" s="78">
        <f>IF($B566="","",IFERROR(INDEX(Task_Tracker!$F$5:$F$1004,MATCH($B566,Task_Tracker!$A$5:$A$1004,0)),""))</f>
        <v/>
      </c>
      <c r="V566" s="78">
        <f>IF($B566="","",IFERROR(INDEX(Task_Tracker!$I$5:$I$1004,MATCH($B566,Task_Tracker!$A$5:$A$1004,0)),""))</f>
        <v/>
      </c>
      <c r="W566" s="81">
        <f>IF(OR($D566="",$B566=""),"",$D566&amp;" | "&amp;$B566)</f>
        <v/>
      </c>
      <c r="X566" s="85">
        <f>IF($K566="","",TEXT($K566,"yyyy-mm"))</f>
        <v/>
      </c>
      <c r="Y566" s="81">
        <f>IF(OR($A566="",$T566=""),"","Included in Manager_Report")</f>
        <v/>
      </c>
    </row>
    <row r="567" ht="15" customHeight="1" s="40">
      <c r="A567" s="65">
        <f>IF(COUNTA(B567:G567)=0,"","STP-"&amp;TEXT(ROW()-4,"0000"))</f>
        <v/>
      </c>
      <c r="B567" s="78" t="n"/>
      <c r="C567" s="67">
        <f>IF($B567="","",IFERROR(INDEX(Task_Tracker!$D$5:$D$1004,MATCH($B567,Task_Tracker!$A$5:$A$1004,0)),""))</f>
        <v/>
      </c>
      <c r="D567" s="67">
        <f>IF($B567="","",IFERROR(INDEX(Task_Tracker!$B$5:$B$1004,MATCH($B567,Task_Tracker!$A$5:$A$1004,0)),""))</f>
        <v/>
      </c>
      <c r="E567" s="81" t="n"/>
      <c r="F567" s="81" t="n"/>
      <c r="G567" s="78" t="n"/>
      <c r="H567" s="78" t="n"/>
      <c r="I567" s="67">
        <f>IF($H567="","",IFERROR(INDEX(Action_Status_Map!$B$5:$B$11,MATCH($H567,Action_Status_Map!$A$5:$A$11,0)),""))</f>
        <v/>
      </c>
      <c r="J567" s="82" t="n"/>
      <c r="K567" s="82" t="n"/>
      <c r="L567" s="82" t="n"/>
      <c r="M567" s="83" t="n"/>
      <c r="N567" s="83" t="n"/>
      <c r="O567" s="66">
        <f>IF(OR($M567="",$N567=""),"",$N567-$M567)</f>
        <v/>
      </c>
      <c r="P567" s="84">
        <f>IF($J567="","",IF($L567&lt;&gt;"",$L567-$J567,TODAY()-$J567))</f>
        <v/>
      </c>
      <c r="Q567" s="85">
        <f>IF(OR($K567="",$H567="Completed",$H567="Cancelled"),"",IF(AND($K567&lt;TODAY(),$H567&lt;&gt;"Completed",$H567&lt;&gt;"Cancelled"),"Overdue","On Track"))</f>
        <v/>
      </c>
      <c r="R567" s="81" t="n"/>
      <c r="S567" s="81">
        <f>IF($B567="","",IFERROR(INDEX(Task_Tracker!$AA$5:$AA$1004,MATCH($B567,Task_Tracker!$A$5:$A$1004,0)),""))</f>
        <v/>
      </c>
      <c r="T567" s="81">
        <f>IF($B567="","",IFERROR(INDEX(Task_Tracker!$AB$5:$AB$1004,MATCH($B567,Task_Tracker!$A$5:$A$1004,0)),""))</f>
        <v/>
      </c>
      <c r="U567" s="78">
        <f>IF($B567="","",IFERROR(INDEX(Task_Tracker!$F$5:$F$1004,MATCH($B567,Task_Tracker!$A$5:$A$1004,0)),""))</f>
        <v/>
      </c>
      <c r="V567" s="78">
        <f>IF($B567="","",IFERROR(INDEX(Task_Tracker!$I$5:$I$1004,MATCH($B567,Task_Tracker!$A$5:$A$1004,0)),""))</f>
        <v/>
      </c>
      <c r="W567" s="81">
        <f>IF(OR($D567="",$B567=""),"",$D567&amp;" | "&amp;$B567)</f>
        <v/>
      </c>
      <c r="X567" s="85">
        <f>IF($K567="","",TEXT($K567,"yyyy-mm"))</f>
        <v/>
      </c>
      <c r="Y567" s="81">
        <f>IF(OR($A567="",$T567=""),"","Included in Manager_Report")</f>
        <v/>
      </c>
    </row>
    <row r="568" ht="15" customHeight="1" s="40">
      <c r="A568" s="65">
        <f>IF(COUNTA(B568:G568)=0,"","STP-"&amp;TEXT(ROW()-4,"0000"))</f>
        <v/>
      </c>
      <c r="B568" s="78" t="n"/>
      <c r="C568" s="67">
        <f>IF($B568="","",IFERROR(INDEX(Task_Tracker!$D$5:$D$1004,MATCH($B568,Task_Tracker!$A$5:$A$1004,0)),""))</f>
        <v/>
      </c>
      <c r="D568" s="67">
        <f>IF($B568="","",IFERROR(INDEX(Task_Tracker!$B$5:$B$1004,MATCH($B568,Task_Tracker!$A$5:$A$1004,0)),""))</f>
        <v/>
      </c>
      <c r="E568" s="81" t="n"/>
      <c r="F568" s="81" t="n"/>
      <c r="G568" s="78" t="n"/>
      <c r="H568" s="78" t="n"/>
      <c r="I568" s="67">
        <f>IF($H568="","",IFERROR(INDEX(Action_Status_Map!$B$5:$B$11,MATCH($H568,Action_Status_Map!$A$5:$A$11,0)),""))</f>
        <v/>
      </c>
      <c r="J568" s="82" t="n"/>
      <c r="K568" s="82" t="n"/>
      <c r="L568" s="82" t="n"/>
      <c r="M568" s="83" t="n"/>
      <c r="N568" s="83" t="n"/>
      <c r="O568" s="66">
        <f>IF(OR($M568="",$N568=""),"",$N568-$M568)</f>
        <v/>
      </c>
      <c r="P568" s="84">
        <f>IF($J568="","",IF($L568&lt;&gt;"",$L568-$J568,TODAY()-$J568))</f>
        <v/>
      </c>
      <c r="Q568" s="85">
        <f>IF(OR($K568="",$H568="Completed",$H568="Cancelled"),"",IF(AND($K568&lt;TODAY(),$H568&lt;&gt;"Completed",$H568&lt;&gt;"Cancelled"),"Overdue","On Track"))</f>
        <v/>
      </c>
      <c r="R568" s="81" t="n"/>
      <c r="S568" s="81">
        <f>IF($B568="","",IFERROR(INDEX(Task_Tracker!$AA$5:$AA$1004,MATCH($B568,Task_Tracker!$A$5:$A$1004,0)),""))</f>
        <v/>
      </c>
      <c r="T568" s="81">
        <f>IF($B568="","",IFERROR(INDEX(Task_Tracker!$AB$5:$AB$1004,MATCH($B568,Task_Tracker!$A$5:$A$1004,0)),""))</f>
        <v/>
      </c>
      <c r="U568" s="78">
        <f>IF($B568="","",IFERROR(INDEX(Task_Tracker!$F$5:$F$1004,MATCH($B568,Task_Tracker!$A$5:$A$1004,0)),""))</f>
        <v/>
      </c>
      <c r="V568" s="78">
        <f>IF($B568="","",IFERROR(INDEX(Task_Tracker!$I$5:$I$1004,MATCH($B568,Task_Tracker!$A$5:$A$1004,0)),""))</f>
        <v/>
      </c>
      <c r="W568" s="81">
        <f>IF(OR($D568="",$B568=""),"",$D568&amp;" | "&amp;$B568)</f>
        <v/>
      </c>
      <c r="X568" s="85">
        <f>IF($K568="","",TEXT($K568,"yyyy-mm"))</f>
        <v/>
      </c>
      <c r="Y568" s="81">
        <f>IF(OR($A568="",$T568=""),"","Included in Manager_Report")</f>
        <v/>
      </c>
    </row>
    <row r="569" ht="15" customHeight="1" s="40">
      <c r="A569" s="65">
        <f>IF(COUNTA(B569:G569)=0,"","STP-"&amp;TEXT(ROW()-4,"0000"))</f>
        <v/>
      </c>
      <c r="B569" s="78" t="n"/>
      <c r="C569" s="67">
        <f>IF($B569="","",IFERROR(INDEX(Task_Tracker!$D$5:$D$1004,MATCH($B569,Task_Tracker!$A$5:$A$1004,0)),""))</f>
        <v/>
      </c>
      <c r="D569" s="67">
        <f>IF($B569="","",IFERROR(INDEX(Task_Tracker!$B$5:$B$1004,MATCH($B569,Task_Tracker!$A$5:$A$1004,0)),""))</f>
        <v/>
      </c>
      <c r="E569" s="81" t="n"/>
      <c r="F569" s="81" t="n"/>
      <c r="G569" s="78" t="n"/>
      <c r="H569" s="78" t="n"/>
      <c r="I569" s="67">
        <f>IF($H569="","",IFERROR(INDEX(Action_Status_Map!$B$5:$B$11,MATCH($H569,Action_Status_Map!$A$5:$A$11,0)),""))</f>
        <v/>
      </c>
      <c r="J569" s="82" t="n"/>
      <c r="K569" s="82" t="n"/>
      <c r="L569" s="82" t="n"/>
      <c r="M569" s="83" t="n"/>
      <c r="N569" s="83" t="n"/>
      <c r="O569" s="66">
        <f>IF(OR($M569="",$N569=""),"",$N569-$M569)</f>
        <v/>
      </c>
      <c r="P569" s="84">
        <f>IF($J569="","",IF($L569&lt;&gt;"",$L569-$J569,TODAY()-$J569))</f>
        <v/>
      </c>
      <c r="Q569" s="85">
        <f>IF(OR($K569="",$H569="Completed",$H569="Cancelled"),"",IF(AND($K569&lt;TODAY(),$H569&lt;&gt;"Completed",$H569&lt;&gt;"Cancelled"),"Overdue","On Track"))</f>
        <v/>
      </c>
      <c r="R569" s="81" t="n"/>
      <c r="S569" s="81">
        <f>IF($B569="","",IFERROR(INDEX(Task_Tracker!$AA$5:$AA$1004,MATCH($B569,Task_Tracker!$A$5:$A$1004,0)),""))</f>
        <v/>
      </c>
      <c r="T569" s="81">
        <f>IF($B569="","",IFERROR(INDEX(Task_Tracker!$AB$5:$AB$1004,MATCH($B569,Task_Tracker!$A$5:$A$1004,0)),""))</f>
        <v/>
      </c>
      <c r="U569" s="78">
        <f>IF($B569="","",IFERROR(INDEX(Task_Tracker!$F$5:$F$1004,MATCH($B569,Task_Tracker!$A$5:$A$1004,0)),""))</f>
        <v/>
      </c>
      <c r="V569" s="78">
        <f>IF($B569="","",IFERROR(INDEX(Task_Tracker!$I$5:$I$1004,MATCH($B569,Task_Tracker!$A$5:$A$1004,0)),""))</f>
        <v/>
      </c>
      <c r="W569" s="81">
        <f>IF(OR($D569="",$B569=""),"",$D569&amp;" | "&amp;$B569)</f>
        <v/>
      </c>
      <c r="X569" s="85">
        <f>IF($K569="","",TEXT($K569,"yyyy-mm"))</f>
        <v/>
      </c>
      <c r="Y569" s="81">
        <f>IF(OR($A569="",$T569=""),"","Included in Manager_Report")</f>
        <v/>
      </c>
    </row>
    <row r="570" ht="15" customHeight="1" s="40">
      <c r="A570" s="65">
        <f>IF(COUNTA(B570:G570)=0,"","STP-"&amp;TEXT(ROW()-4,"0000"))</f>
        <v/>
      </c>
      <c r="B570" s="78" t="n"/>
      <c r="C570" s="67">
        <f>IF($B570="","",IFERROR(INDEX(Task_Tracker!$D$5:$D$1004,MATCH($B570,Task_Tracker!$A$5:$A$1004,0)),""))</f>
        <v/>
      </c>
      <c r="D570" s="67">
        <f>IF($B570="","",IFERROR(INDEX(Task_Tracker!$B$5:$B$1004,MATCH($B570,Task_Tracker!$A$5:$A$1004,0)),""))</f>
        <v/>
      </c>
      <c r="E570" s="81" t="n"/>
      <c r="F570" s="81" t="n"/>
      <c r="G570" s="78" t="n"/>
      <c r="H570" s="78" t="n"/>
      <c r="I570" s="67">
        <f>IF($H570="","",IFERROR(INDEX(Action_Status_Map!$B$5:$B$11,MATCH($H570,Action_Status_Map!$A$5:$A$11,0)),""))</f>
        <v/>
      </c>
      <c r="J570" s="82" t="n"/>
      <c r="K570" s="82" t="n"/>
      <c r="L570" s="82" t="n"/>
      <c r="M570" s="83" t="n"/>
      <c r="N570" s="83" t="n"/>
      <c r="O570" s="66">
        <f>IF(OR($M570="",$N570=""),"",$N570-$M570)</f>
        <v/>
      </c>
      <c r="P570" s="84">
        <f>IF($J570="","",IF($L570&lt;&gt;"",$L570-$J570,TODAY()-$J570))</f>
        <v/>
      </c>
      <c r="Q570" s="85">
        <f>IF(OR($K570="",$H570="Completed",$H570="Cancelled"),"",IF(AND($K570&lt;TODAY(),$H570&lt;&gt;"Completed",$H570&lt;&gt;"Cancelled"),"Overdue","On Track"))</f>
        <v/>
      </c>
      <c r="R570" s="81" t="n"/>
      <c r="S570" s="81">
        <f>IF($B570="","",IFERROR(INDEX(Task_Tracker!$AA$5:$AA$1004,MATCH($B570,Task_Tracker!$A$5:$A$1004,0)),""))</f>
        <v/>
      </c>
      <c r="T570" s="81">
        <f>IF($B570="","",IFERROR(INDEX(Task_Tracker!$AB$5:$AB$1004,MATCH($B570,Task_Tracker!$A$5:$A$1004,0)),""))</f>
        <v/>
      </c>
      <c r="U570" s="78">
        <f>IF($B570="","",IFERROR(INDEX(Task_Tracker!$F$5:$F$1004,MATCH($B570,Task_Tracker!$A$5:$A$1004,0)),""))</f>
        <v/>
      </c>
      <c r="V570" s="78">
        <f>IF($B570="","",IFERROR(INDEX(Task_Tracker!$I$5:$I$1004,MATCH($B570,Task_Tracker!$A$5:$A$1004,0)),""))</f>
        <v/>
      </c>
      <c r="W570" s="81">
        <f>IF(OR($D570="",$B570=""),"",$D570&amp;" | "&amp;$B570)</f>
        <v/>
      </c>
      <c r="X570" s="85">
        <f>IF($K570="","",TEXT($K570,"yyyy-mm"))</f>
        <v/>
      </c>
      <c r="Y570" s="81">
        <f>IF(OR($A570="",$T570=""),"","Included in Manager_Report")</f>
        <v/>
      </c>
    </row>
    <row r="571" ht="15" customHeight="1" s="40">
      <c r="A571" s="65">
        <f>IF(COUNTA(B571:G571)=0,"","STP-"&amp;TEXT(ROW()-4,"0000"))</f>
        <v/>
      </c>
      <c r="B571" s="78" t="n"/>
      <c r="C571" s="67">
        <f>IF($B571="","",IFERROR(INDEX(Task_Tracker!$D$5:$D$1004,MATCH($B571,Task_Tracker!$A$5:$A$1004,0)),""))</f>
        <v/>
      </c>
      <c r="D571" s="67">
        <f>IF($B571="","",IFERROR(INDEX(Task_Tracker!$B$5:$B$1004,MATCH($B571,Task_Tracker!$A$5:$A$1004,0)),""))</f>
        <v/>
      </c>
      <c r="E571" s="81" t="n"/>
      <c r="F571" s="81" t="n"/>
      <c r="G571" s="78" t="n"/>
      <c r="H571" s="78" t="n"/>
      <c r="I571" s="67">
        <f>IF($H571="","",IFERROR(INDEX(Action_Status_Map!$B$5:$B$11,MATCH($H571,Action_Status_Map!$A$5:$A$11,0)),""))</f>
        <v/>
      </c>
      <c r="J571" s="82" t="n"/>
      <c r="K571" s="82" t="n"/>
      <c r="L571" s="82" t="n"/>
      <c r="M571" s="83" t="n"/>
      <c r="N571" s="83" t="n"/>
      <c r="O571" s="66">
        <f>IF(OR($M571="",$N571=""),"",$N571-$M571)</f>
        <v/>
      </c>
      <c r="P571" s="84">
        <f>IF($J571="","",IF($L571&lt;&gt;"",$L571-$J571,TODAY()-$J571))</f>
        <v/>
      </c>
      <c r="Q571" s="85">
        <f>IF(OR($K571="",$H571="Completed",$H571="Cancelled"),"",IF(AND($K571&lt;TODAY(),$H571&lt;&gt;"Completed",$H571&lt;&gt;"Cancelled"),"Overdue","On Track"))</f>
        <v/>
      </c>
      <c r="R571" s="81" t="n"/>
      <c r="S571" s="81">
        <f>IF($B571="","",IFERROR(INDEX(Task_Tracker!$AA$5:$AA$1004,MATCH($B571,Task_Tracker!$A$5:$A$1004,0)),""))</f>
        <v/>
      </c>
      <c r="T571" s="81">
        <f>IF($B571="","",IFERROR(INDEX(Task_Tracker!$AB$5:$AB$1004,MATCH($B571,Task_Tracker!$A$5:$A$1004,0)),""))</f>
        <v/>
      </c>
      <c r="U571" s="78">
        <f>IF($B571="","",IFERROR(INDEX(Task_Tracker!$F$5:$F$1004,MATCH($B571,Task_Tracker!$A$5:$A$1004,0)),""))</f>
        <v/>
      </c>
      <c r="V571" s="78">
        <f>IF($B571="","",IFERROR(INDEX(Task_Tracker!$I$5:$I$1004,MATCH($B571,Task_Tracker!$A$5:$A$1004,0)),""))</f>
        <v/>
      </c>
      <c r="W571" s="81">
        <f>IF(OR($D571="",$B571=""),"",$D571&amp;" | "&amp;$B571)</f>
        <v/>
      </c>
      <c r="X571" s="85">
        <f>IF($K571="","",TEXT($K571,"yyyy-mm"))</f>
        <v/>
      </c>
      <c r="Y571" s="81">
        <f>IF(OR($A571="",$T571=""),"","Included in Manager_Report")</f>
        <v/>
      </c>
    </row>
    <row r="572" ht="15" customHeight="1" s="40">
      <c r="A572" s="65">
        <f>IF(COUNTA(B572:G572)=0,"","STP-"&amp;TEXT(ROW()-4,"0000"))</f>
        <v/>
      </c>
      <c r="B572" s="78" t="n"/>
      <c r="C572" s="67">
        <f>IF($B572="","",IFERROR(INDEX(Task_Tracker!$D$5:$D$1004,MATCH($B572,Task_Tracker!$A$5:$A$1004,0)),""))</f>
        <v/>
      </c>
      <c r="D572" s="67">
        <f>IF($B572="","",IFERROR(INDEX(Task_Tracker!$B$5:$B$1004,MATCH($B572,Task_Tracker!$A$5:$A$1004,0)),""))</f>
        <v/>
      </c>
      <c r="E572" s="81" t="n"/>
      <c r="F572" s="81" t="n"/>
      <c r="G572" s="78" t="n"/>
      <c r="H572" s="78" t="n"/>
      <c r="I572" s="67">
        <f>IF($H572="","",IFERROR(INDEX(Action_Status_Map!$B$5:$B$11,MATCH($H572,Action_Status_Map!$A$5:$A$11,0)),""))</f>
        <v/>
      </c>
      <c r="J572" s="82" t="n"/>
      <c r="K572" s="82" t="n"/>
      <c r="L572" s="82" t="n"/>
      <c r="M572" s="83" t="n"/>
      <c r="N572" s="83" t="n"/>
      <c r="O572" s="66">
        <f>IF(OR($M572="",$N572=""),"",$N572-$M572)</f>
        <v/>
      </c>
      <c r="P572" s="84">
        <f>IF($J572="","",IF($L572&lt;&gt;"",$L572-$J572,TODAY()-$J572))</f>
        <v/>
      </c>
      <c r="Q572" s="85">
        <f>IF(OR($K572="",$H572="Completed",$H572="Cancelled"),"",IF(AND($K572&lt;TODAY(),$H572&lt;&gt;"Completed",$H572&lt;&gt;"Cancelled"),"Overdue","On Track"))</f>
        <v/>
      </c>
      <c r="R572" s="81" t="n"/>
      <c r="S572" s="81">
        <f>IF($B572="","",IFERROR(INDEX(Task_Tracker!$AA$5:$AA$1004,MATCH($B572,Task_Tracker!$A$5:$A$1004,0)),""))</f>
        <v/>
      </c>
      <c r="T572" s="81">
        <f>IF($B572="","",IFERROR(INDEX(Task_Tracker!$AB$5:$AB$1004,MATCH($B572,Task_Tracker!$A$5:$A$1004,0)),""))</f>
        <v/>
      </c>
      <c r="U572" s="78">
        <f>IF($B572="","",IFERROR(INDEX(Task_Tracker!$F$5:$F$1004,MATCH($B572,Task_Tracker!$A$5:$A$1004,0)),""))</f>
        <v/>
      </c>
      <c r="V572" s="78">
        <f>IF($B572="","",IFERROR(INDEX(Task_Tracker!$I$5:$I$1004,MATCH($B572,Task_Tracker!$A$5:$A$1004,0)),""))</f>
        <v/>
      </c>
      <c r="W572" s="81">
        <f>IF(OR($D572="",$B572=""),"",$D572&amp;" | "&amp;$B572)</f>
        <v/>
      </c>
      <c r="X572" s="85">
        <f>IF($K572="","",TEXT($K572,"yyyy-mm"))</f>
        <v/>
      </c>
      <c r="Y572" s="81">
        <f>IF(OR($A572="",$T572=""),"","Included in Manager_Report")</f>
        <v/>
      </c>
    </row>
    <row r="573" ht="15" customHeight="1" s="40">
      <c r="A573" s="65">
        <f>IF(COUNTA(B573:G573)=0,"","STP-"&amp;TEXT(ROW()-4,"0000"))</f>
        <v/>
      </c>
      <c r="B573" s="78" t="n"/>
      <c r="C573" s="67">
        <f>IF($B573="","",IFERROR(INDEX(Task_Tracker!$D$5:$D$1004,MATCH($B573,Task_Tracker!$A$5:$A$1004,0)),""))</f>
        <v/>
      </c>
      <c r="D573" s="67">
        <f>IF($B573="","",IFERROR(INDEX(Task_Tracker!$B$5:$B$1004,MATCH($B573,Task_Tracker!$A$5:$A$1004,0)),""))</f>
        <v/>
      </c>
      <c r="E573" s="81" t="n"/>
      <c r="F573" s="81" t="n"/>
      <c r="G573" s="78" t="n"/>
      <c r="H573" s="78" t="n"/>
      <c r="I573" s="67">
        <f>IF($H573="","",IFERROR(INDEX(Action_Status_Map!$B$5:$B$11,MATCH($H573,Action_Status_Map!$A$5:$A$11,0)),""))</f>
        <v/>
      </c>
      <c r="J573" s="82" t="n"/>
      <c r="K573" s="82" t="n"/>
      <c r="L573" s="82" t="n"/>
      <c r="M573" s="83" t="n"/>
      <c r="N573" s="83" t="n"/>
      <c r="O573" s="66">
        <f>IF(OR($M573="",$N573=""),"",$N573-$M573)</f>
        <v/>
      </c>
      <c r="P573" s="84">
        <f>IF($J573="","",IF($L573&lt;&gt;"",$L573-$J573,TODAY()-$J573))</f>
        <v/>
      </c>
      <c r="Q573" s="85">
        <f>IF(OR($K573="",$H573="Completed",$H573="Cancelled"),"",IF(AND($K573&lt;TODAY(),$H573&lt;&gt;"Completed",$H573&lt;&gt;"Cancelled"),"Overdue","On Track"))</f>
        <v/>
      </c>
      <c r="R573" s="81" t="n"/>
      <c r="S573" s="81">
        <f>IF($B573="","",IFERROR(INDEX(Task_Tracker!$AA$5:$AA$1004,MATCH($B573,Task_Tracker!$A$5:$A$1004,0)),""))</f>
        <v/>
      </c>
      <c r="T573" s="81">
        <f>IF($B573="","",IFERROR(INDEX(Task_Tracker!$AB$5:$AB$1004,MATCH($B573,Task_Tracker!$A$5:$A$1004,0)),""))</f>
        <v/>
      </c>
      <c r="U573" s="78">
        <f>IF($B573="","",IFERROR(INDEX(Task_Tracker!$F$5:$F$1004,MATCH($B573,Task_Tracker!$A$5:$A$1004,0)),""))</f>
        <v/>
      </c>
      <c r="V573" s="78">
        <f>IF($B573="","",IFERROR(INDEX(Task_Tracker!$I$5:$I$1004,MATCH($B573,Task_Tracker!$A$5:$A$1004,0)),""))</f>
        <v/>
      </c>
      <c r="W573" s="81">
        <f>IF(OR($D573="",$B573=""),"",$D573&amp;" | "&amp;$B573)</f>
        <v/>
      </c>
      <c r="X573" s="85">
        <f>IF($K573="","",TEXT($K573,"yyyy-mm"))</f>
        <v/>
      </c>
      <c r="Y573" s="81">
        <f>IF(OR($A573="",$T573=""),"","Included in Manager_Report")</f>
        <v/>
      </c>
    </row>
    <row r="574" ht="15" customHeight="1" s="40">
      <c r="A574" s="65">
        <f>IF(COUNTA(B574:G574)=0,"","STP-"&amp;TEXT(ROW()-4,"0000"))</f>
        <v/>
      </c>
      <c r="B574" s="78" t="n"/>
      <c r="C574" s="67">
        <f>IF($B574="","",IFERROR(INDEX(Task_Tracker!$D$5:$D$1004,MATCH($B574,Task_Tracker!$A$5:$A$1004,0)),""))</f>
        <v/>
      </c>
      <c r="D574" s="67">
        <f>IF($B574="","",IFERROR(INDEX(Task_Tracker!$B$5:$B$1004,MATCH($B574,Task_Tracker!$A$5:$A$1004,0)),""))</f>
        <v/>
      </c>
      <c r="E574" s="81" t="n"/>
      <c r="F574" s="81" t="n"/>
      <c r="G574" s="78" t="n"/>
      <c r="H574" s="78" t="n"/>
      <c r="I574" s="67">
        <f>IF($H574="","",IFERROR(INDEX(Action_Status_Map!$B$5:$B$11,MATCH($H574,Action_Status_Map!$A$5:$A$11,0)),""))</f>
        <v/>
      </c>
      <c r="J574" s="82" t="n"/>
      <c r="K574" s="82" t="n"/>
      <c r="L574" s="82" t="n"/>
      <c r="M574" s="83" t="n"/>
      <c r="N574" s="83" t="n"/>
      <c r="O574" s="66">
        <f>IF(OR($M574="",$N574=""),"",$N574-$M574)</f>
        <v/>
      </c>
      <c r="P574" s="84">
        <f>IF($J574="","",IF($L574&lt;&gt;"",$L574-$J574,TODAY()-$J574))</f>
        <v/>
      </c>
      <c r="Q574" s="85">
        <f>IF(OR($K574="",$H574="Completed",$H574="Cancelled"),"",IF(AND($K574&lt;TODAY(),$H574&lt;&gt;"Completed",$H574&lt;&gt;"Cancelled"),"Overdue","On Track"))</f>
        <v/>
      </c>
      <c r="R574" s="81" t="n"/>
      <c r="S574" s="81">
        <f>IF($B574="","",IFERROR(INDEX(Task_Tracker!$AA$5:$AA$1004,MATCH($B574,Task_Tracker!$A$5:$A$1004,0)),""))</f>
        <v/>
      </c>
      <c r="T574" s="81">
        <f>IF($B574="","",IFERROR(INDEX(Task_Tracker!$AB$5:$AB$1004,MATCH($B574,Task_Tracker!$A$5:$A$1004,0)),""))</f>
        <v/>
      </c>
      <c r="U574" s="78">
        <f>IF($B574="","",IFERROR(INDEX(Task_Tracker!$F$5:$F$1004,MATCH($B574,Task_Tracker!$A$5:$A$1004,0)),""))</f>
        <v/>
      </c>
      <c r="V574" s="78">
        <f>IF($B574="","",IFERROR(INDEX(Task_Tracker!$I$5:$I$1004,MATCH($B574,Task_Tracker!$A$5:$A$1004,0)),""))</f>
        <v/>
      </c>
      <c r="W574" s="81">
        <f>IF(OR($D574="",$B574=""),"",$D574&amp;" | "&amp;$B574)</f>
        <v/>
      </c>
      <c r="X574" s="85">
        <f>IF($K574="","",TEXT($K574,"yyyy-mm"))</f>
        <v/>
      </c>
      <c r="Y574" s="81">
        <f>IF(OR($A574="",$T574=""),"","Included in Manager_Report")</f>
        <v/>
      </c>
    </row>
    <row r="575" ht="15" customHeight="1" s="40">
      <c r="A575" s="65">
        <f>IF(COUNTA(B575:G575)=0,"","STP-"&amp;TEXT(ROW()-4,"0000"))</f>
        <v/>
      </c>
      <c r="B575" s="78" t="n"/>
      <c r="C575" s="67">
        <f>IF($B575="","",IFERROR(INDEX(Task_Tracker!$D$5:$D$1004,MATCH($B575,Task_Tracker!$A$5:$A$1004,0)),""))</f>
        <v/>
      </c>
      <c r="D575" s="67">
        <f>IF($B575="","",IFERROR(INDEX(Task_Tracker!$B$5:$B$1004,MATCH($B575,Task_Tracker!$A$5:$A$1004,0)),""))</f>
        <v/>
      </c>
      <c r="E575" s="81" t="n"/>
      <c r="F575" s="81" t="n"/>
      <c r="G575" s="78" t="n"/>
      <c r="H575" s="78" t="n"/>
      <c r="I575" s="67">
        <f>IF($H575="","",IFERROR(INDEX(Action_Status_Map!$B$5:$B$11,MATCH($H575,Action_Status_Map!$A$5:$A$11,0)),""))</f>
        <v/>
      </c>
      <c r="J575" s="82" t="n"/>
      <c r="K575" s="82" t="n"/>
      <c r="L575" s="82" t="n"/>
      <c r="M575" s="83" t="n"/>
      <c r="N575" s="83" t="n"/>
      <c r="O575" s="66">
        <f>IF(OR($M575="",$N575=""),"",$N575-$M575)</f>
        <v/>
      </c>
      <c r="P575" s="84">
        <f>IF($J575="","",IF($L575&lt;&gt;"",$L575-$J575,TODAY()-$J575))</f>
        <v/>
      </c>
      <c r="Q575" s="85">
        <f>IF(OR($K575="",$H575="Completed",$H575="Cancelled"),"",IF(AND($K575&lt;TODAY(),$H575&lt;&gt;"Completed",$H575&lt;&gt;"Cancelled"),"Overdue","On Track"))</f>
        <v/>
      </c>
      <c r="R575" s="81" t="n"/>
      <c r="S575" s="81">
        <f>IF($B575="","",IFERROR(INDEX(Task_Tracker!$AA$5:$AA$1004,MATCH($B575,Task_Tracker!$A$5:$A$1004,0)),""))</f>
        <v/>
      </c>
      <c r="T575" s="81">
        <f>IF($B575="","",IFERROR(INDEX(Task_Tracker!$AB$5:$AB$1004,MATCH($B575,Task_Tracker!$A$5:$A$1004,0)),""))</f>
        <v/>
      </c>
      <c r="U575" s="78">
        <f>IF($B575="","",IFERROR(INDEX(Task_Tracker!$F$5:$F$1004,MATCH($B575,Task_Tracker!$A$5:$A$1004,0)),""))</f>
        <v/>
      </c>
      <c r="V575" s="78">
        <f>IF($B575="","",IFERROR(INDEX(Task_Tracker!$I$5:$I$1004,MATCH($B575,Task_Tracker!$A$5:$A$1004,0)),""))</f>
        <v/>
      </c>
      <c r="W575" s="81">
        <f>IF(OR($D575="",$B575=""),"",$D575&amp;" | "&amp;$B575)</f>
        <v/>
      </c>
      <c r="X575" s="85">
        <f>IF($K575="","",TEXT($K575,"yyyy-mm"))</f>
        <v/>
      </c>
      <c r="Y575" s="81">
        <f>IF(OR($A575="",$T575=""),"","Included in Manager_Report")</f>
        <v/>
      </c>
    </row>
    <row r="576" ht="15" customHeight="1" s="40">
      <c r="A576" s="65">
        <f>IF(COUNTA(B576:G576)=0,"","STP-"&amp;TEXT(ROW()-4,"0000"))</f>
        <v/>
      </c>
      <c r="B576" s="78" t="n"/>
      <c r="C576" s="67">
        <f>IF($B576="","",IFERROR(INDEX(Task_Tracker!$D$5:$D$1004,MATCH($B576,Task_Tracker!$A$5:$A$1004,0)),""))</f>
        <v/>
      </c>
      <c r="D576" s="67">
        <f>IF($B576="","",IFERROR(INDEX(Task_Tracker!$B$5:$B$1004,MATCH($B576,Task_Tracker!$A$5:$A$1004,0)),""))</f>
        <v/>
      </c>
      <c r="E576" s="81" t="n"/>
      <c r="F576" s="81" t="n"/>
      <c r="G576" s="78" t="n"/>
      <c r="H576" s="78" t="n"/>
      <c r="I576" s="67">
        <f>IF($H576="","",IFERROR(INDEX(Action_Status_Map!$B$5:$B$11,MATCH($H576,Action_Status_Map!$A$5:$A$11,0)),""))</f>
        <v/>
      </c>
      <c r="J576" s="82" t="n"/>
      <c r="K576" s="82" t="n"/>
      <c r="L576" s="82" t="n"/>
      <c r="M576" s="83" t="n"/>
      <c r="N576" s="83" t="n"/>
      <c r="O576" s="66">
        <f>IF(OR($M576="",$N576=""),"",$N576-$M576)</f>
        <v/>
      </c>
      <c r="P576" s="84">
        <f>IF($J576="","",IF($L576&lt;&gt;"",$L576-$J576,TODAY()-$J576))</f>
        <v/>
      </c>
      <c r="Q576" s="85">
        <f>IF(OR($K576="",$H576="Completed",$H576="Cancelled"),"",IF(AND($K576&lt;TODAY(),$H576&lt;&gt;"Completed",$H576&lt;&gt;"Cancelled"),"Overdue","On Track"))</f>
        <v/>
      </c>
      <c r="R576" s="81" t="n"/>
      <c r="S576" s="81">
        <f>IF($B576="","",IFERROR(INDEX(Task_Tracker!$AA$5:$AA$1004,MATCH($B576,Task_Tracker!$A$5:$A$1004,0)),""))</f>
        <v/>
      </c>
      <c r="T576" s="81">
        <f>IF($B576="","",IFERROR(INDEX(Task_Tracker!$AB$5:$AB$1004,MATCH($B576,Task_Tracker!$A$5:$A$1004,0)),""))</f>
        <v/>
      </c>
      <c r="U576" s="78">
        <f>IF($B576="","",IFERROR(INDEX(Task_Tracker!$F$5:$F$1004,MATCH($B576,Task_Tracker!$A$5:$A$1004,0)),""))</f>
        <v/>
      </c>
      <c r="V576" s="78">
        <f>IF($B576="","",IFERROR(INDEX(Task_Tracker!$I$5:$I$1004,MATCH($B576,Task_Tracker!$A$5:$A$1004,0)),""))</f>
        <v/>
      </c>
      <c r="W576" s="81">
        <f>IF(OR($D576="",$B576=""),"",$D576&amp;" | "&amp;$B576)</f>
        <v/>
      </c>
      <c r="X576" s="85">
        <f>IF($K576="","",TEXT($K576,"yyyy-mm"))</f>
        <v/>
      </c>
      <c r="Y576" s="81">
        <f>IF(OR($A576="",$T576=""),"","Included in Manager_Report")</f>
        <v/>
      </c>
    </row>
    <row r="577" ht="15" customHeight="1" s="40">
      <c r="A577" s="65">
        <f>IF(COUNTA(B577:G577)=0,"","STP-"&amp;TEXT(ROW()-4,"0000"))</f>
        <v/>
      </c>
      <c r="B577" s="78" t="n"/>
      <c r="C577" s="67">
        <f>IF($B577="","",IFERROR(INDEX(Task_Tracker!$D$5:$D$1004,MATCH($B577,Task_Tracker!$A$5:$A$1004,0)),""))</f>
        <v/>
      </c>
      <c r="D577" s="67">
        <f>IF($B577="","",IFERROR(INDEX(Task_Tracker!$B$5:$B$1004,MATCH($B577,Task_Tracker!$A$5:$A$1004,0)),""))</f>
        <v/>
      </c>
      <c r="E577" s="81" t="n"/>
      <c r="F577" s="81" t="n"/>
      <c r="G577" s="78" t="n"/>
      <c r="H577" s="78" t="n"/>
      <c r="I577" s="67">
        <f>IF($H577="","",IFERROR(INDEX(Action_Status_Map!$B$5:$B$11,MATCH($H577,Action_Status_Map!$A$5:$A$11,0)),""))</f>
        <v/>
      </c>
      <c r="J577" s="82" t="n"/>
      <c r="K577" s="82" t="n"/>
      <c r="L577" s="82" t="n"/>
      <c r="M577" s="83" t="n"/>
      <c r="N577" s="83" t="n"/>
      <c r="O577" s="66">
        <f>IF(OR($M577="",$N577=""),"",$N577-$M577)</f>
        <v/>
      </c>
      <c r="P577" s="84">
        <f>IF($J577="","",IF($L577&lt;&gt;"",$L577-$J577,TODAY()-$J577))</f>
        <v/>
      </c>
      <c r="Q577" s="85">
        <f>IF(OR($K577="",$H577="Completed",$H577="Cancelled"),"",IF(AND($K577&lt;TODAY(),$H577&lt;&gt;"Completed",$H577&lt;&gt;"Cancelled"),"Overdue","On Track"))</f>
        <v/>
      </c>
      <c r="R577" s="81" t="n"/>
      <c r="S577" s="81">
        <f>IF($B577="","",IFERROR(INDEX(Task_Tracker!$AA$5:$AA$1004,MATCH($B577,Task_Tracker!$A$5:$A$1004,0)),""))</f>
        <v/>
      </c>
      <c r="T577" s="81">
        <f>IF($B577="","",IFERROR(INDEX(Task_Tracker!$AB$5:$AB$1004,MATCH($B577,Task_Tracker!$A$5:$A$1004,0)),""))</f>
        <v/>
      </c>
      <c r="U577" s="78">
        <f>IF($B577="","",IFERROR(INDEX(Task_Tracker!$F$5:$F$1004,MATCH($B577,Task_Tracker!$A$5:$A$1004,0)),""))</f>
        <v/>
      </c>
      <c r="V577" s="78">
        <f>IF($B577="","",IFERROR(INDEX(Task_Tracker!$I$5:$I$1004,MATCH($B577,Task_Tracker!$A$5:$A$1004,0)),""))</f>
        <v/>
      </c>
      <c r="W577" s="81">
        <f>IF(OR($D577="",$B577=""),"",$D577&amp;" | "&amp;$B577)</f>
        <v/>
      </c>
      <c r="X577" s="85">
        <f>IF($K577="","",TEXT($K577,"yyyy-mm"))</f>
        <v/>
      </c>
      <c r="Y577" s="81">
        <f>IF(OR($A577="",$T577=""),"","Included in Manager_Report")</f>
        <v/>
      </c>
    </row>
    <row r="578" ht="15" customHeight="1" s="40">
      <c r="A578" s="65">
        <f>IF(COUNTA(B578:G578)=0,"","STP-"&amp;TEXT(ROW()-4,"0000"))</f>
        <v/>
      </c>
      <c r="B578" s="78" t="n"/>
      <c r="C578" s="67">
        <f>IF($B578="","",IFERROR(INDEX(Task_Tracker!$D$5:$D$1004,MATCH($B578,Task_Tracker!$A$5:$A$1004,0)),""))</f>
        <v/>
      </c>
      <c r="D578" s="67">
        <f>IF($B578="","",IFERROR(INDEX(Task_Tracker!$B$5:$B$1004,MATCH($B578,Task_Tracker!$A$5:$A$1004,0)),""))</f>
        <v/>
      </c>
      <c r="E578" s="81" t="n"/>
      <c r="F578" s="81" t="n"/>
      <c r="G578" s="78" t="n"/>
      <c r="H578" s="78" t="n"/>
      <c r="I578" s="67">
        <f>IF($H578="","",IFERROR(INDEX(Action_Status_Map!$B$5:$B$11,MATCH($H578,Action_Status_Map!$A$5:$A$11,0)),""))</f>
        <v/>
      </c>
      <c r="J578" s="82" t="n"/>
      <c r="K578" s="82" t="n"/>
      <c r="L578" s="82" t="n"/>
      <c r="M578" s="83" t="n"/>
      <c r="N578" s="83" t="n"/>
      <c r="O578" s="66">
        <f>IF(OR($M578="",$N578=""),"",$N578-$M578)</f>
        <v/>
      </c>
      <c r="P578" s="84">
        <f>IF($J578="","",IF($L578&lt;&gt;"",$L578-$J578,TODAY()-$J578))</f>
        <v/>
      </c>
      <c r="Q578" s="85">
        <f>IF(OR($K578="",$H578="Completed",$H578="Cancelled"),"",IF(AND($K578&lt;TODAY(),$H578&lt;&gt;"Completed",$H578&lt;&gt;"Cancelled"),"Overdue","On Track"))</f>
        <v/>
      </c>
      <c r="R578" s="81" t="n"/>
      <c r="S578" s="81">
        <f>IF($B578="","",IFERROR(INDEX(Task_Tracker!$AA$5:$AA$1004,MATCH($B578,Task_Tracker!$A$5:$A$1004,0)),""))</f>
        <v/>
      </c>
      <c r="T578" s="81">
        <f>IF($B578="","",IFERROR(INDEX(Task_Tracker!$AB$5:$AB$1004,MATCH($B578,Task_Tracker!$A$5:$A$1004,0)),""))</f>
        <v/>
      </c>
      <c r="U578" s="78">
        <f>IF($B578="","",IFERROR(INDEX(Task_Tracker!$F$5:$F$1004,MATCH($B578,Task_Tracker!$A$5:$A$1004,0)),""))</f>
        <v/>
      </c>
      <c r="V578" s="78">
        <f>IF($B578="","",IFERROR(INDEX(Task_Tracker!$I$5:$I$1004,MATCH($B578,Task_Tracker!$A$5:$A$1004,0)),""))</f>
        <v/>
      </c>
      <c r="W578" s="81">
        <f>IF(OR($D578="",$B578=""),"",$D578&amp;" | "&amp;$B578)</f>
        <v/>
      </c>
      <c r="X578" s="85">
        <f>IF($K578="","",TEXT($K578,"yyyy-mm"))</f>
        <v/>
      </c>
      <c r="Y578" s="81">
        <f>IF(OR($A578="",$T578=""),"","Included in Manager_Report")</f>
        <v/>
      </c>
    </row>
    <row r="579" ht="15" customHeight="1" s="40">
      <c r="A579" s="65">
        <f>IF(COUNTA(B579:G579)=0,"","STP-"&amp;TEXT(ROW()-4,"0000"))</f>
        <v/>
      </c>
      <c r="B579" s="78" t="n"/>
      <c r="C579" s="67">
        <f>IF($B579="","",IFERROR(INDEX(Task_Tracker!$D$5:$D$1004,MATCH($B579,Task_Tracker!$A$5:$A$1004,0)),""))</f>
        <v/>
      </c>
      <c r="D579" s="67">
        <f>IF($B579="","",IFERROR(INDEX(Task_Tracker!$B$5:$B$1004,MATCH($B579,Task_Tracker!$A$5:$A$1004,0)),""))</f>
        <v/>
      </c>
      <c r="E579" s="81" t="n"/>
      <c r="F579" s="81" t="n"/>
      <c r="G579" s="78" t="n"/>
      <c r="H579" s="78" t="n"/>
      <c r="I579" s="67">
        <f>IF($H579="","",IFERROR(INDEX(Action_Status_Map!$B$5:$B$11,MATCH($H579,Action_Status_Map!$A$5:$A$11,0)),""))</f>
        <v/>
      </c>
      <c r="J579" s="82" t="n"/>
      <c r="K579" s="82" t="n"/>
      <c r="L579" s="82" t="n"/>
      <c r="M579" s="83" t="n"/>
      <c r="N579" s="83" t="n"/>
      <c r="O579" s="66">
        <f>IF(OR($M579="",$N579=""),"",$N579-$M579)</f>
        <v/>
      </c>
      <c r="P579" s="84">
        <f>IF($J579="","",IF($L579&lt;&gt;"",$L579-$J579,TODAY()-$J579))</f>
        <v/>
      </c>
      <c r="Q579" s="85">
        <f>IF(OR($K579="",$H579="Completed",$H579="Cancelled"),"",IF(AND($K579&lt;TODAY(),$H579&lt;&gt;"Completed",$H579&lt;&gt;"Cancelled"),"Overdue","On Track"))</f>
        <v/>
      </c>
      <c r="R579" s="81" t="n"/>
      <c r="S579" s="81">
        <f>IF($B579="","",IFERROR(INDEX(Task_Tracker!$AA$5:$AA$1004,MATCH($B579,Task_Tracker!$A$5:$A$1004,0)),""))</f>
        <v/>
      </c>
      <c r="T579" s="81">
        <f>IF($B579="","",IFERROR(INDEX(Task_Tracker!$AB$5:$AB$1004,MATCH($B579,Task_Tracker!$A$5:$A$1004,0)),""))</f>
        <v/>
      </c>
      <c r="U579" s="78">
        <f>IF($B579="","",IFERROR(INDEX(Task_Tracker!$F$5:$F$1004,MATCH($B579,Task_Tracker!$A$5:$A$1004,0)),""))</f>
        <v/>
      </c>
      <c r="V579" s="78">
        <f>IF($B579="","",IFERROR(INDEX(Task_Tracker!$I$5:$I$1004,MATCH($B579,Task_Tracker!$A$5:$A$1004,0)),""))</f>
        <v/>
      </c>
      <c r="W579" s="81">
        <f>IF(OR($D579="",$B579=""),"",$D579&amp;" | "&amp;$B579)</f>
        <v/>
      </c>
      <c r="X579" s="85">
        <f>IF($K579="","",TEXT($K579,"yyyy-mm"))</f>
        <v/>
      </c>
      <c r="Y579" s="81">
        <f>IF(OR($A579="",$T579=""),"","Included in Manager_Report")</f>
        <v/>
      </c>
    </row>
    <row r="580" ht="15" customHeight="1" s="40">
      <c r="A580" s="65">
        <f>IF(COUNTA(B580:G580)=0,"","STP-"&amp;TEXT(ROW()-4,"0000"))</f>
        <v/>
      </c>
      <c r="B580" s="78" t="n"/>
      <c r="C580" s="67">
        <f>IF($B580="","",IFERROR(INDEX(Task_Tracker!$D$5:$D$1004,MATCH($B580,Task_Tracker!$A$5:$A$1004,0)),""))</f>
        <v/>
      </c>
      <c r="D580" s="67">
        <f>IF($B580="","",IFERROR(INDEX(Task_Tracker!$B$5:$B$1004,MATCH($B580,Task_Tracker!$A$5:$A$1004,0)),""))</f>
        <v/>
      </c>
      <c r="E580" s="81" t="n"/>
      <c r="F580" s="81" t="n"/>
      <c r="G580" s="78" t="n"/>
      <c r="H580" s="78" t="n"/>
      <c r="I580" s="67">
        <f>IF($H580="","",IFERROR(INDEX(Action_Status_Map!$B$5:$B$11,MATCH($H580,Action_Status_Map!$A$5:$A$11,0)),""))</f>
        <v/>
      </c>
      <c r="J580" s="82" t="n"/>
      <c r="K580" s="82" t="n"/>
      <c r="L580" s="82" t="n"/>
      <c r="M580" s="83" t="n"/>
      <c r="N580" s="83" t="n"/>
      <c r="O580" s="66">
        <f>IF(OR($M580="",$N580=""),"",$N580-$M580)</f>
        <v/>
      </c>
      <c r="P580" s="84">
        <f>IF($J580="","",IF($L580&lt;&gt;"",$L580-$J580,TODAY()-$J580))</f>
        <v/>
      </c>
      <c r="Q580" s="85">
        <f>IF(OR($K580="",$H580="Completed",$H580="Cancelled"),"",IF(AND($K580&lt;TODAY(),$H580&lt;&gt;"Completed",$H580&lt;&gt;"Cancelled"),"Overdue","On Track"))</f>
        <v/>
      </c>
      <c r="R580" s="81" t="n"/>
      <c r="S580" s="81">
        <f>IF($B580="","",IFERROR(INDEX(Task_Tracker!$AA$5:$AA$1004,MATCH($B580,Task_Tracker!$A$5:$A$1004,0)),""))</f>
        <v/>
      </c>
      <c r="T580" s="81">
        <f>IF($B580="","",IFERROR(INDEX(Task_Tracker!$AB$5:$AB$1004,MATCH($B580,Task_Tracker!$A$5:$A$1004,0)),""))</f>
        <v/>
      </c>
      <c r="U580" s="78">
        <f>IF($B580="","",IFERROR(INDEX(Task_Tracker!$F$5:$F$1004,MATCH($B580,Task_Tracker!$A$5:$A$1004,0)),""))</f>
        <v/>
      </c>
      <c r="V580" s="78">
        <f>IF($B580="","",IFERROR(INDEX(Task_Tracker!$I$5:$I$1004,MATCH($B580,Task_Tracker!$A$5:$A$1004,0)),""))</f>
        <v/>
      </c>
      <c r="W580" s="81">
        <f>IF(OR($D580="",$B580=""),"",$D580&amp;" | "&amp;$B580)</f>
        <v/>
      </c>
      <c r="X580" s="85">
        <f>IF($K580="","",TEXT($K580,"yyyy-mm"))</f>
        <v/>
      </c>
      <c r="Y580" s="81">
        <f>IF(OR($A580="",$T580=""),"","Included in Manager_Report")</f>
        <v/>
      </c>
    </row>
    <row r="581" ht="15" customHeight="1" s="40">
      <c r="A581" s="65">
        <f>IF(COUNTA(B581:G581)=0,"","STP-"&amp;TEXT(ROW()-4,"0000"))</f>
        <v/>
      </c>
      <c r="B581" s="78" t="n"/>
      <c r="C581" s="67">
        <f>IF($B581="","",IFERROR(INDEX(Task_Tracker!$D$5:$D$1004,MATCH($B581,Task_Tracker!$A$5:$A$1004,0)),""))</f>
        <v/>
      </c>
      <c r="D581" s="67">
        <f>IF($B581="","",IFERROR(INDEX(Task_Tracker!$B$5:$B$1004,MATCH($B581,Task_Tracker!$A$5:$A$1004,0)),""))</f>
        <v/>
      </c>
      <c r="E581" s="81" t="n"/>
      <c r="F581" s="81" t="n"/>
      <c r="G581" s="78" t="n"/>
      <c r="H581" s="78" t="n"/>
      <c r="I581" s="67">
        <f>IF($H581="","",IFERROR(INDEX(Action_Status_Map!$B$5:$B$11,MATCH($H581,Action_Status_Map!$A$5:$A$11,0)),""))</f>
        <v/>
      </c>
      <c r="J581" s="82" t="n"/>
      <c r="K581" s="82" t="n"/>
      <c r="L581" s="82" t="n"/>
      <c r="M581" s="83" t="n"/>
      <c r="N581" s="83" t="n"/>
      <c r="O581" s="66">
        <f>IF(OR($M581="",$N581=""),"",$N581-$M581)</f>
        <v/>
      </c>
      <c r="P581" s="84">
        <f>IF($J581="","",IF($L581&lt;&gt;"",$L581-$J581,TODAY()-$J581))</f>
        <v/>
      </c>
      <c r="Q581" s="85">
        <f>IF(OR($K581="",$H581="Completed",$H581="Cancelled"),"",IF(AND($K581&lt;TODAY(),$H581&lt;&gt;"Completed",$H581&lt;&gt;"Cancelled"),"Overdue","On Track"))</f>
        <v/>
      </c>
      <c r="R581" s="81" t="n"/>
      <c r="S581" s="81">
        <f>IF($B581="","",IFERROR(INDEX(Task_Tracker!$AA$5:$AA$1004,MATCH($B581,Task_Tracker!$A$5:$A$1004,0)),""))</f>
        <v/>
      </c>
      <c r="T581" s="81">
        <f>IF($B581="","",IFERROR(INDEX(Task_Tracker!$AB$5:$AB$1004,MATCH($B581,Task_Tracker!$A$5:$A$1004,0)),""))</f>
        <v/>
      </c>
      <c r="U581" s="78">
        <f>IF($B581="","",IFERROR(INDEX(Task_Tracker!$F$5:$F$1004,MATCH($B581,Task_Tracker!$A$5:$A$1004,0)),""))</f>
        <v/>
      </c>
      <c r="V581" s="78">
        <f>IF($B581="","",IFERROR(INDEX(Task_Tracker!$I$5:$I$1004,MATCH($B581,Task_Tracker!$A$5:$A$1004,0)),""))</f>
        <v/>
      </c>
      <c r="W581" s="81">
        <f>IF(OR($D581="",$B581=""),"",$D581&amp;" | "&amp;$B581)</f>
        <v/>
      </c>
      <c r="X581" s="85">
        <f>IF($K581="","",TEXT($K581,"yyyy-mm"))</f>
        <v/>
      </c>
      <c r="Y581" s="81">
        <f>IF(OR($A581="",$T581=""),"","Included in Manager_Report")</f>
        <v/>
      </c>
    </row>
    <row r="582" ht="15" customHeight="1" s="40">
      <c r="A582" s="65">
        <f>IF(COUNTA(B582:G582)=0,"","STP-"&amp;TEXT(ROW()-4,"0000"))</f>
        <v/>
      </c>
      <c r="B582" s="78" t="n"/>
      <c r="C582" s="67">
        <f>IF($B582="","",IFERROR(INDEX(Task_Tracker!$D$5:$D$1004,MATCH($B582,Task_Tracker!$A$5:$A$1004,0)),""))</f>
        <v/>
      </c>
      <c r="D582" s="67">
        <f>IF($B582="","",IFERROR(INDEX(Task_Tracker!$B$5:$B$1004,MATCH($B582,Task_Tracker!$A$5:$A$1004,0)),""))</f>
        <v/>
      </c>
      <c r="E582" s="81" t="n"/>
      <c r="F582" s="81" t="n"/>
      <c r="G582" s="78" t="n"/>
      <c r="H582" s="78" t="n"/>
      <c r="I582" s="67">
        <f>IF($H582="","",IFERROR(INDEX(Action_Status_Map!$B$5:$B$11,MATCH($H582,Action_Status_Map!$A$5:$A$11,0)),""))</f>
        <v/>
      </c>
      <c r="J582" s="82" t="n"/>
      <c r="K582" s="82" t="n"/>
      <c r="L582" s="82" t="n"/>
      <c r="M582" s="83" t="n"/>
      <c r="N582" s="83" t="n"/>
      <c r="O582" s="66">
        <f>IF(OR($M582="",$N582=""),"",$N582-$M582)</f>
        <v/>
      </c>
      <c r="P582" s="84">
        <f>IF($J582="","",IF($L582&lt;&gt;"",$L582-$J582,TODAY()-$J582))</f>
        <v/>
      </c>
      <c r="Q582" s="85">
        <f>IF(OR($K582="",$H582="Completed",$H582="Cancelled"),"",IF(AND($K582&lt;TODAY(),$H582&lt;&gt;"Completed",$H582&lt;&gt;"Cancelled"),"Overdue","On Track"))</f>
        <v/>
      </c>
      <c r="R582" s="81" t="n"/>
      <c r="S582" s="81">
        <f>IF($B582="","",IFERROR(INDEX(Task_Tracker!$AA$5:$AA$1004,MATCH($B582,Task_Tracker!$A$5:$A$1004,0)),""))</f>
        <v/>
      </c>
      <c r="T582" s="81">
        <f>IF($B582="","",IFERROR(INDEX(Task_Tracker!$AB$5:$AB$1004,MATCH($B582,Task_Tracker!$A$5:$A$1004,0)),""))</f>
        <v/>
      </c>
      <c r="U582" s="78">
        <f>IF($B582="","",IFERROR(INDEX(Task_Tracker!$F$5:$F$1004,MATCH($B582,Task_Tracker!$A$5:$A$1004,0)),""))</f>
        <v/>
      </c>
      <c r="V582" s="78">
        <f>IF($B582="","",IFERROR(INDEX(Task_Tracker!$I$5:$I$1004,MATCH($B582,Task_Tracker!$A$5:$A$1004,0)),""))</f>
        <v/>
      </c>
      <c r="W582" s="81">
        <f>IF(OR($D582="",$B582=""),"",$D582&amp;" | "&amp;$B582)</f>
        <v/>
      </c>
      <c r="X582" s="85">
        <f>IF($K582="","",TEXT($K582,"yyyy-mm"))</f>
        <v/>
      </c>
      <c r="Y582" s="81">
        <f>IF(OR($A582="",$T582=""),"","Included in Manager_Report")</f>
        <v/>
      </c>
    </row>
    <row r="583" ht="15" customHeight="1" s="40">
      <c r="A583" s="65">
        <f>IF(COUNTA(B583:G583)=0,"","STP-"&amp;TEXT(ROW()-4,"0000"))</f>
        <v/>
      </c>
      <c r="B583" s="78" t="n"/>
      <c r="C583" s="67">
        <f>IF($B583="","",IFERROR(INDEX(Task_Tracker!$D$5:$D$1004,MATCH($B583,Task_Tracker!$A$5:$A$1004,0)),""))</f>
        <v/>
      </c>
      <c r="D583" s="67">
        <f>IF($B583="","",IFERROR(INDEX(Task_Tracker!$B$5:$B$1004,MATCH($B583,Task_Tracker!$A$5:$A$1004,0)),""))</f>
        <v/>
      </c>
      <c r="E583" s="81" t="n"/>
      <c r="F583" s="81" t="n"/>
      <c r="G583" s="78" t="n"/>
      <c r="H583" s="78" t="n"/>
      <c r="I583" s="67">
        <f>IF($H583="","",IFERROR(INDEX(Action_Status_Map!$B$5:$B$11,MATCH($H583,Action_Status_Map!$A$5:$A$11,0)),""))</f>
        <v/>
      </c>
      <c r="J583" s="82" t="n"/>
      <c r="K583" s="82" t="n"/>
      <c r="L583" s="82" t="n"/>
      <c r="M583" s="83" t="n"/>
      <c r="N583" s="83" t="n"/>
      <c r="O583" s="66">
        <f>IF(OR($M583="",$N583=""),"",$N583-$M583)</f>
        <v/>
      </c>
      <c r="P583" s="84">
        <f>IF($J583="","",IF($L583&lt;&gt;"",$L583-$J583,TODAY()-$J583))</f>
        <v/>
      </c>
      <c r="Q583" s="85">
        <f>IF(OR($K583="",$H583="Completed",$H583="Cancelled"),"",IF(AND($K583&lt;TODAY(),$H583&lt;&gt;"Completed",$H583&lt;&gt;"Cancelled"),"Overdue","On Track"))</f>
        <v/>
      </c>
      <c r="R583" s="81" t="n"/>
      <c r="S583" s="81">
        <f>IF($B583="","",IFERROR(INDEX(Task_Tracker!$AA$5:$AA$1004,MATCH($B583,Task_Tracker!$A$5:$A$1004,0)),""))</f>
        <v/>
      </c>
      <c r="T583" s="81">
        <f>IF($B583="","",IFERROR(INDEX(Task_Tracker!$AB$5:$AB$1004,MATCH($B583,Task_Tracker!$A$5:$A$1004,0)),""))</f>
        <v/>
      </c>
      <c r="U583" s="78">
        <f>IF($B583="","",IFERROR(INDEX(Task_Tracker!$F$5:$F$1004,MATCH($B583,Task_Tracker!$A$5:$A$1004,0)),""))</f>
        <v/>
      </c>
      <c r="V583" s="78">
        <f>IF($B583="","",IFERROR(INDEX(Task_Tracker!$I$5:$I$1004,MATCH($B583,Task_Tracker!$A$5:$A$1004,0)),""))</f>
        <v/>
      </c>
      <c r="W583" s="81">
        <f>IF(OR($D583="",$B583=""),"",$D583&amp;" | "&amp;$B583)</f>
        <v/>
      </c>
      <c r="X583" s="85">
        <f>IF($K583="","",TEXT($K583,"yyyy-mm"))</f>
        <v/>
      </c>
      <c r="Y583" s="81">
        <f>IF(OR($A583="",$T583=""),"","Included in Manager_Report")</f>
        <v/>
      </c>
    </row>
    <row r="584" ht="15" customHeight="1" s="40">
      <c r="A584" s="65">
        <f>IF(COUNTA(B584:G584)=0,"","STP-"&amp;TEXT(ROW()-4,"0000"))</f>
        <v/>
      </c>
      <c r="B584" s="78" t="n"/>
      <c r="C584" s="67">
        <f>IF($B584="","",IFERROR(INDEX(Task_Tracker!$D$5:$D$1004,MATCH($B584,Task_Tracker!$A$5:$A$1004,0)),""))</f>
        <v/>
      </c>
      <c r="D584" s="67">
        <f>IF($B584="","",IFERROR(INDEX(Task_Tracker!$B$5:$B$1004,MATCH($B584,Task_Tracker!$A$5:$A$1004,0)),""))</f>
        <v/>
      </c>
      <c r="E584" s="81" t="n"/>
      <c r="F584" s="81" t="n"/>
      <c r="G584" s="78" t="n"/>
      <c r="H584" s="78" t="n"/>
      <c r="I584" s="67">
        <f>IF($H584="","",IFERROR(INDEX(Action_Status_Map!$B$5:$B$11,MATCH($H584,Action_Status_Map!$A$5:$A$11,0)),""))</f>
        <v/>
      </c>
      <c r="J584" s="82" t="n"/>
      <c r="K584" s="82" t="n"/>
      <c r="L584" s="82" t="n"/>
      <c r="M584" s="83" t="n"/>
      <c r="N584" s="83" t="n"/>
      <c r="O584" s="66">
        <f>IF(OR($M584="",$N584=""),"",$N584-$M584)</f>
        <v/>
      </c>
      <c r="P584" s="84">
        <f>IF($J584="","",IF($L584&lt;&gt;"",$L584-$J584,TODAY()-$J584))</f>
        <v/>
      </c>
      <c r="Q584" s="85">
        <f>IF(OR($K584="",$H584="Completed",$H584="Cancelled"),"",IF(AND($K584&lt;TODAY(),$H584&lt;&gt;"Completed",$H584&lt;&gt;"Cancelled"),"Overdue","On Track"))</f>
        <v/>
      </c>
      <c r="R584" s="81" t="n"/>
      <c r="S584" s="81">
        <f>IF($B584="","",IFERROR(INDEX(Task_Tracker!$AA$5:$AA$1004,MATCH($B584,Task_Tracker!$A$5:$A$1004,0)),""))</f>
        <v/>
      </c>
      <c r="T584" s="81">
        <f>IF($B584="","",IFERROR(INDEX(Task_Tracker!$AB$5:$AB$1004,MATCH($B584,Task_Tracker!$A$5:$A$1004,0)),""))</f>
        <v/>
      </c>
      <c r="U584" s="78">
        <f>IF($B584="","",IFERROR(INDEX(Task_Tracker!$F$5:$F$1004,MATCH($B584,Task_Tracker!$A$5:$A$1004,0)),""))</f>
        <v/>
      </c>
      <c r="V584" s="78">
        <f>IF($B584="","",IFERROR(INDEX(Task_Tracker!$I$5:$I$1004,MATCH($B584,Task_Tracker!$A$5:$A$1004,0)),""))</f>
        <v/>
      </c>
      <c r="W584" s="81">
        <f>IF(OR($D584="",$B584=""),"",$D584&amp;" | "&amp;$B584)</f>
        <v/>
      </c>
      <c r="X584" s="85">
        <f>IF($K584="","",TEXT($K584,"yyyy-mm"))</f>
        <v/>
      </c>
      <c r="Y584" s="81">
        <f>IF(OR($A584="",$T584=""),"","Included in Manager_Report")</f>
        <v/>
      </c>
    </row>
    <row r="585" ht="15" customHeight="1" s="40">
      <c r="A585" s="65">
        <f>IF(COUNTA(B585:G585)=0,"","STP-"&amp;TEXT(ROW()-4,"0000"))</f>
        <v/>
      </c>
      <c r="B585" s="78" t="n"/>
      <c r="C585" s="67">
        <f>IF($B585="","",IFERROR(INDEX(Task_Tracker!$D$5:$D$1004,MATCH($B585,Task_Tracker!$A$5:$A$1004,0)),""))</f>
        <v/>
      </c>
      <c r="D585" s="67">
        <f>IF($B585="","",IFERROR(INDEX(Task_Tracker!$B$5:$B$1004,MATCH($B585,Task_Tracker!$A$5:$A$1004,0)),""))</f>
        <v/>
      </c>
      <c r="E585" s="81" t="n"/>
      <c r="F585" s="81" t="n"/>
      <c r="G585" s="78" t="n"/>
      <c r="H585" s="78" t="n"/>
      <c r="I585" s="67">
        <f>IF($H585="","",IFERROR(INDEX(Action_Status_Map!$B$5:$B$11,MATCH($H585,Action_Status_Map!$A$5:$A$11,0)),""))</f>
        <v/>
      </c>
      <c r="J585" s="82" t="n"/>
      <c r="K585" s="82" t="n"/>
      <c r="L585" s="82" t="n"/>
      <c r="M585" s="83" t="n"/>
      <c r="N585" s="83" t="n"/>
      <c r="O585" s="66">
        <f>IF(OR($M585="",$N585=""),"",$N585-$M585)</f>
        <v/>
      </c>
      <c r="P585" s="84">
        <f>IF($J585="","",IF($L585&lt;&gt;"",$L585-$J585,TODAY()-$J585))</f>
        <v/>
      </c>
      <c r="Q585" s="85">
        <f>IF(OR($K585="",$H585="Completed",$H585="Cancelled"),"",IF(AND($K585&lt;TODAY(),$H585&lt;&gt;"Completed",$H585&lt;&gt;"Cancelled"),"Overdue","On Track"))</f>
        <v/>
      </c>
      <c r="R585" s="81" t="n"/>
      <c r="S585" s="81">
        <f>IF($B585="","",IFERROR(INDEX(Task_Tracker!$AA$5:$AA$1004,MATCH($B585,Task_Tracker!$A$5:$A$1004,0)),""))</f>
        <v/>
      </c>
      <c r="T585" s="81">
        <f>IF($B585="","",IFERROR(INDEX(Task_Tracker!$AB$5:$AB$1004,MATCH($B585,Task_Tracker!$A$5:$A$1004,0)),""))</f>
        <v/>
      </c>
      <c r="U585" s="78">
        <f>IF($B585="","",IFERROR(INDEX(Task_Tracker!$F$5:$F$1004,MATCH($B585,Task_Tracker!$A$5:$A$1004,0)),""))</f>
        <v/>
      </c>
      <c r="V585" s="78">
        <f>IF($B585="","",IFERROR(INDEX(Task_Tracker!$I$5:$I$1004,MATCH($B585,Task_Tracker!$A$5:$A$1004,0)),""))</f>
        <v/>
      </c>
      <c r="W585" s="81">
        <f>IF(OR($D585="",$B585=""),"",$D585&amp;" | "&amp;$B585)</f>
        <v/>
      </c>
      <c r="X585" s="85">
        <f>IF($K585="","",TEXT($K585,"yyyy-mm"))</f>
        <v/>
      </c>
      <c r="Y585" s="81">
        <f>IF(OR($A585="",$T585=""),"","Included in Manager_Report")</f>
        <v/>
      </c>
    </row>
    <row r="586" ht="15" customHeight="1" s="40">
      <c r="A586" s="65">
        <f>IF(COUNTA(B586:G586)=0,"","STP-"&amp;TEXT(ROW()-4,"0000"))</f>
        <v/>
      </c>
      <c r="B586" s="78" t="n"/>
      <c r="C586" s="67">
        <f>IF($B586="","",IFERROR(INDEX(Task_Tracker!$D$5:$D$1004,MATCH($B586,Task_Tracker!$A$5:$A$1004,0)),""))</f>
        <v/>
      </c>
      <c r="D586" s="67">
        <f>IF($B586="","",IFERROR(INDEX(Task_Tracker!$B$5:$B$1004,MATCH($B586,Task_Tracker!$A$5:$A$1004,0)),""))</f>
        <v/>
      </c>
      <c r="E586" s="81" t="n"/>
      <c r="F586" s="81" t="n"/>
      <c r="G586" s="78" t="n"/>
      <c r="H586" s="78" t="n"/>
      <c r="I586" s="67">
        <f>IF($H586="","",IFERROR(INDEX(Action_Status_Map!$B$5:$B$11,MATCH($H586,Action_Status_Map!$A$5:$A$11,0)),""))</f>
        <v/>
      </c>
      <c r="J586" s="82" t="n"/>
      <c r="K586" s="82" t="n"/>
      <c r="L586" s="82" t="n"/>
      <c r="M586" s="83" t="n"/>
      <c r="N586" s="83" t="n"/>
      <c r="O586" s="66">
        <f>IF(OR($M586="",$N586=""),"",$N586-$M586)</f>
        <v/>
      </c>
      <c r="P586" s="84">
        <f>IF($J586="","",IF($L586&lt;&gt;"",$L586-$J586,TODAY()-$J586))</f>
        <v/>
      </c>
      <c r="Q586" s="85">
        <f>IF(OR($K586="",$H586="Completed",$H586="Cancelled"),"",IF(AND($K586&lt;TODAY(),$H586&lt;&gt;"Completed",$H586&lt;&gt;"Cancelled"),"Overdue","On Track"))</f>
        <v/>
      </c>
      <c r="R586" s="81" t="n"/>
      <c r="S586" s="81">
        <f>IF($B586="","",IFERROR(INDEX(Task_Tracker!$AA$5:$AA$1004,MATCH($B586,Task_Tracker!$A$5:$A$1004,0)),""))</f>
        <v/>
      </c>
      <c r="T586" s="81">
        <f>IF($B586="","",IFERROR(INDEX(Task_Tracker!$AB$5:$AB$1004,MATCH($B586,Task_Tracker!$A$5:$A$1004,0)),""))</f>
        <v/>
      </c>
      <c r="U586" s="78">
        <f>IF($B586="","",IFERROR(INDEX(Task_Tracker!$F$5:$F$1004,MATCH($B586,Task_Tracker!$A$5:$A$1004,0)),""))</f>
        <v/>
      </c>
      <c r="V586" s="78">
        <f>IF($B586="","",IFERROR(INDEX(Task_Tracker!$I$5:$I$1004,MATCH($B586,Task_Tracker!$A$5:$A$1004,0)),""))</f>
        <v/>
      </c>
      <c r="W586" s="81">
        <f>IF(OR($D586="",$B586=""),"",$D586&amp;" | "&amp;$B586)</f>
        <v/>
      </c>
      <c r="X586" s="85">
        <f>IF($K586="","",TEXT($K586,"yyyy-mm"))</f>
        <v/>
      </c>
      <c r="Y586" s="81">
        <f>IF(OR($A586="",$T586=""),"","Included in Manager_Report")</f>
        <v/>
      </c>
    </row>
    <row r="587" ht="15" customHeight="1" s="40">
      <c r="A587" s="65">
        <f>IF(COUNTA(B587:G587)=0,"","STP-"&amp;TEXT(ROW()-4,"0000"))</f>
        <v/>
      </c>
      <c r="B587" s="78" t="n"/>
      <c r="C587" s="67">
        <f>IF($B587="","",IFERROR(INDEX(Task_Tracker!$D$5:$D$1004,MATCH($B587,Task_Tracker!$A$5:$A$1004,0)),""))</f>
        <v/>
      </c>
      <c r="D587" s="67">
        <f>IF($B587="","",IFERROR(INDEX(Task_Tracker!$B$5:$B$1004,MATCH($B587,Task_Tracker!$A$5:$A$1004,0)),""))</f>
        <v/>
      </c>
      <c r="E587" s="81" t="n"/>
      <c r="F587" s="81" t="n"/>
      <c r="G587" s="78" t="n"/>
      <c r="H587" s="78" t="n"/>
      <c r="I587" s="67">
        <f>IF($H587="","",IFERROR(INDEX(Action_Status_Map!$B$5:$B$11,MATCH($H587,Action_Status_Map!$A$5:$A$11,0)),""))</f>
        <v/>
      </c>
      <c r="J587" s="82" t="n"/>
      <c r="K587" s="82" t="n"/>
      <c r="L587" s="82" t="n"/>
      <c r="M587" s="83" t="n"/>
      <c r="N587" s="83" t="n"/>
      <c r="O587" s="66">
        <f>IF(OR($M587="",$N587=""),"",$N587-$M587)</f>
        <v/>
      </c>
      <c r="P587" s="84">
        <f>IF($J587="","",IF($L587&lt;&gt;"",$L587-$J587,TODAY()-$J587))</f>
        <v/>
      </c>
      <c r="Q587" s="85">
        <f>IF(OR($K587="",$H587="Completed",$H587="Cancelled"),"",IF(AND($K587&lt;TODAY(),$H587&lt;&gt;"Completed",$H587&lt;&gt;"Cancelled"),"Overdue","On Track"))</f>
        <v/>
      </c>
      <c r="R587" s="81" t="n"/>
      <c r="S587" s="81">
        <f>IF($B587="","",IFERROR(INDEX(Task_Tracker!$AA$5:$AA$1004,MATCH($B587,Task_Tracker!$A$5:$A$1004,0)),""))</f>
        <v/>
      </c>
      <c r="T587" s="81">
        <f>IF($B587="","",IFERROR(INDEX(Task_Tracker!$AB$5:$AB$1004,MATCH($B587,Task_Tracker!$A$5:$A$1004,0)),""))</f>
        <v/>
      </c>
      <c r="U587" s="78">
        <f>IF($B587="","",IFERROR(INDEX(Task_Tracker!$F$5:$F$1004,MATCH($B587,Task_Tracker!$A$5:$A$1004,0)),""))</f>
        <v/>
      </c>
      <c r="V587" s="78">
        <f>IF($B587="","",IFERROR(INDEX(Task_Tracker!$I$5:$I$1004,MATCH($B587,Task_Tracker!$A$5:$A$1004,0)),""))</f>
        <v/>
      </c>
      <c r="W587" s="81">
        <f>IF(OR($D587="",$B587=""),"",$D587&amp;" | "&amp;$B587)</f>
        <v/>
      </c>
      <c r="X587" s="85">
        <f>IF($K587="","",TEXT($K587,"yyyy-mm"))</f>
        <v/>
      </c>
      <c r="Y587" s="81">
        <f>IF(OR($A587="",$T587=""),"","Included in Manager_Report")</f>
        <v/>
      </c>
    </row>
    <row r="588" ht="15" customHeight="1" s="40">
      <c r="A588" s="65">
        <f>IF(COUNTA(B588:G588)=0,"","STP-"&amp;TEXT(ROW()-4,"0000"))</f>
        <v/>
      </c>
      <c r="B588" s="78" t="n"/>
      <c r="C588" s="67">
        <f>IF($B588="","",IFERROR(INDEX(Task_Tracker!$D$5:$D$1004,MATCH($B588,Task_Tracker!$A$5:$A$1004,0)),""))</f>
        <v/>
      </c>
      <c r="D588" s="67">
        <f>IF($B588="","",IFERROR(INDEX(Task_Tracker!$B$5:$B$1004,MATCH($B588,Task_Tracker!$A$5:$A$1004,0)),""))</f>
        <v/>
      </c>
      <c r="E588" s="81" t="n"/>
      <c r="F588" s="81" t="n"/>
      <c r="G588" s="78" t="n"/>
      <c r="H588" s="78" t="n"/>
      <c r="I588" s="67">
        <f>IF($H588="","",IFERROR(INDEX(Action_Status_Map!$B$5:$B$11,MATCH($H588,Action_Status_Map!$A$5:$A$11,0)),""))</f>
        <v/>
      </c>
      <c r="J588" s="82" t="n"/>
      <c r="K588" s="82" t="n"/>
      <c r="L588" s="82" t="n"/>
      <c r="M588" s="83" t="n"/>
      <c r="N588" s="83" t="n"/>
      <c r="O588" s="66">
        <f>IF(OR($M588="",$N588=""),"",$N588-$M588)</f>
        <v/>
      </c>
      <c r="P588" s="84">
        <f>IF($J588="","",IF($L588&lt;&gt;"",$L588-$J588,TODAY()-$J588))</f>
        <v/>
      </c>
      <c r="Q588" s="85">
        <f>IF(OR($K588="",$H588="Completed",$H588="Cancelled"),"",IF(AND($K588&lt;TODAY(),$H588&lt;&gt;"Completed",$H588&lt;&gt;"Cancelled"),"Overdue","On Track"))</f>
        <v/>
      </c>
      <c r="R588" s="81" t="n"/>
      <c r="S588" s="81">
        <f>IF($B588="","",IFERROR(INDEX(Task_Tracker!$AA$5:$AA$1004,MATCH($B588,Task_Tracker!$A$5:$A$1004,0)),""))</f>
        <v/>
      </c>
      <c r="T588" s="81">
        <f>IF($B588="","",IFERROR(INDEX(Task_Tracker!$AB$5:$AB$1004,MATCH($B588,Task_Tracker!$A$5:$A$1004,0)),""))</f>
        <v/>
      </c>
      <c r="U588" s="78">
        <f>IF($B588="","",IFERROR(INDEX(Task_Tracker!$F$5:$F$1004,MATCH($B588,Task_Tracker!$A$5:$A$1004,0)),""))</f>
        <v/>
      </c>
      <c r="V588" s="78">
        <f>IF($B588="","",IFERROR(INDEX(Task_Tracker!$I$5:$I$1004,MATCH($B588,Task_Tracker!$A$5:$A$1004,0)),""))</f>
        <v/>
      </c>
      <c r="W588" s="81">
        <f>IF(OR($D588="",$B588=""),"",$D588&amp;" | "&amp;$B588)</f>
        <v/>
      </c>
      <c r="X588" s="85">
        <f>IF($K588="","",TEXT($K588,"yyyy-mm"))</f>
        <v/>
      </c>
      <c r="Y588" s="81">
        <f>IF(OR($A588="",$T588=""),"","Included in Manager_Report")</f>
        <v/>
      </c>
    </row>
    <row r="589" ht="15" customHeight="1" s="40">
      <c r="A589" s="65">
        <f>IF(COUNTA(B589:G589)=0,"","STP-"&amp;TEXT(ROW()-4,"0000"))</f>
        <v/>
      </c>
      <c r="B589" s="78" t="n"/>
      <c r="C589" s="67">
        <f>IF($B589="","",IFERROR(INDEX(Task_Tracker!$D$5:$D$1004,MATCH($B589,Task_Tracker!$A$5:$A$1004,0)),""))</f>
        <v/>
      </c>
      <c r="D589" s="67">
        <f>IF($B589="","",IFERROR(INDEX(Task_Tracker!$B$5:$B$1004,MATCH($B589,Task_Tracker!$A$5:$A$1004,0)),""))</f>
        <v/>
      </c>
      <c r="E589" s="81" t="n"/>
      <c r="F589" s="81" t="n"/>
      <c r="G589" s="78" t="n"/>
      <c r="H589" s="78" t="n"/>
      <c r="I589" s="67">
        <f>IF($H589="","",IFERROR(INDEX(Action_Status_Map!$B$5:$B$11,MATCH($H589,Action_Status_Map!$A$5:$A$11,0)),""))</f>
        <v/>
      </c>
      <c r="J589" s="82" t="n"/>
      <c r="K589" s="82" t="n"/>
      <c r="L589" s="82" t="n"/>
      <c r="M589" s="83" t="n"/>
      <c r="N589" s="83" t="n"/>
      <c r="O589" s="66">
        <f>IF(OR($M589="",$N589=""),"",$N589-$M589)</f>
        <v/>
      </c>
      <c r="P589" s="84">
        <f>IF($J589="","",IF($L589&lt;&gt;"",$L589-$J589,TODAY()-$J589))</f>
        <v/>
      </c>
      <c r="Q589" s="85">
        <f>IF(OR($K589="",$H589="Completed",$H589="Cancelled"),"",IF(AND($K589&lt;TODAY(),$H589&lt;&gt;"Completed",$H589&lt;&gt;"Cancelled"),"Overdue","On Track"))</f>
        <v/>
      </c>
      <c r="R589" s="81" t="n"/>
      <c r="S589" s="81">
        <f>IF($B589="","",IFERROR(INDEX(Task_Tracker!$AA$5:$AA$1004,MATCH($B589,Task_Tracker!$A$5:$A$1004,0)),""))</f>
        <v/>
      </c>
      <c r="T589" s="81">
        <f>IF($B589="","",IFERROR(INDEX(Task_Tracker!$AB$5:$AB$1004,MATCH($B589,Task_Tracker!$A$5:$A$1004,0)),""))</f>
        <v/>
      </c>
      <c r="U589" s="78">
        <f>IF($B589="","",IFERROR(INDEX(Task_Tracker!$F$5:$F$1004,MATCH($B589,Task_Tracker!$A$5:$A$1004,0)),""))</f>
        <v/>
      </c>
      <c r="V589" s="78">
        <f>IF($B589="","",IFERROR(INDEX(Task_Tracker!$I$5:$I$1004,MATCH($B589,Task_Tracker!$A$5:$A$1004,0)),""))</f>
        <v/>
      </c>
      <c r="W589" s="81">
        <f>IF(OR($D589="",$B589=""),"",$D589&amp;" | "&amp;$B589)</f>
        <v/>
      </c>
      <c r="X589" s="85">
        <f>IF($K589="","",TEXT($K589,"yyyy-mm"))</f>
        <v/>
      </c>
      <c r="Y589" s="81">
        <f>IF(OR($A589="",$T589=""),"","Included in Manager_Report")</f>
        <v/>
      </c>
    </row>
    <row r="590" ht="15" customHeight="1" s="40">
      <c r="A590" s="65">
        <f>IF(COUNTA(B590:G590)=0,"","STP-"&amp;TEXT(ROW()-4,"0000"))</f>
        <v/>
      </c>
      <c r="B590" s="78" t="n"/>
      <c r="C590" s="67">
        <f>IF($B590="","",IFERROR(INDEX(Task_Tracker!$D$5:$D$1004,MATCH($B590,Task_Tracker!$A$5:$A$1004,0)),""))</f>
        <v/>
      </c>
      <c r="D590" s="67">
        <f>IF($B590="","",IFERROR(INDEX(Task_Tracker!$B$5:$B$1004,MATCH($B590,Task_Tracker!$A$5:$A$1004,0)),""))</f>
        <v/>
      </c>
      <c r="E590" s="81" t="n"/>
      <c r="F590" s="81" t="n"/>
      <c r="G590" s="78" t="n"/>
      <c r="H590" s="78" t="n"/>
      <c r="I590" s="67">
        <f>IF($H590="","",IFERROR(INDEX(Action_Status_Map!$B$5:$B$11,MATCH($H590,Action_Status_Map!$A$5:$A$11,0)),""))</f>
        <v/>
      </c>
      <c r="J590" s="82" t="n"/>
      <c r="K590" s="82" t="n"/>
      <c r="L590" s="82" t="n"/>
      <c r="M590" s="83" t="n"/>
      <c r="N590" s="83" t="n"/>
      <c r="O590" s="66">
        <f>IF(OR($M590="",$N590=""),"",$N590-$M590)</f>
        <v/>
      </c>
      <c r="P590" s="84">
        <f>IF($J590="","",IF($L590&lt;&gt;"",$L590-$J590,TODAY()-$J590))</f>
        <v/>
      </c>
      <c r="Q590" s="85">
        <f>IF(OR($K590="",$H590="Completed",$H590="Cancelled"),"",IF(AND($K590&lt;TODAY(),$H590&lt;&gt;"Completed",$H590&lt;&gt;"Cancelled"),"Overdue","On Track"))</f>
        <v/>
      </c>
      <c r="R590" s="81" t="n"/>
      <c r="S590" s="81">
        <f>IF($B590="","",IFERROR(INDEX(Task_Tracker!$AA$5:$AA$1004,MATCH($B590,Task_Tracker!$A$5:$A$1004,0)),""))</f>
        <v/>
      </c>
      <c r="T590" s="81">
        <f>IF($B590="","",IFERROR(INDEX(Task_Tracker!$AB$5:$AB$1004,MATCH($B590,Task_Tracker!$A$5:$A$1004,0)),""))</f>
        <v/>
      </c>
      <c r="U590" s="78">
        <f>IF($B590="","",IFERROR(INDEX(Task_Tracker!$F$5:$F$1004,MATCH($B590,Task_Tracker!$A$5:$A$1004,0)),""))</f>
        <v/>
      </c>
      <c r="V590" s="78">
        <f>IF($B590="","",IFERROR(INDEX(Task_Tracker!$I$5:$I$1004,MATCH($B590,Task_Tracker!$A$5:$A$1004,0)),""))</f>
        <v/>
      </c>
      <c r="W590" s="81">
        <f>IF(OR($D590="",$B590=""),"",$D590&amp;" | "&amp;$B590)</f>
        <v/>
      </c>
      <c r="X590" s="85">
        <f>IF($K590="","",TEXT($K590,"yyyy-mm"))</f>
        <v/>
      </c>
      <c r="Y590" s="81">
        <f>IF(OR($A590="",$T590=""),"","Included in Manager_Report")</f>
        <v/>
      </c>
    </row>
    <row r="591" ht="15" customHeight="1" s="40">
      <c r="A591" s="65">
        <f>IF(COUNTA(B591:G591)=0,"","STP-"&amp;TEXT(ROW()-4,"0000"))</f>
        <v/>
      </c>
      <c r="B591" s="78" t="n"/>
      <c r="C591" s="67">
        <f>IF($B591="","",IFERROR(INDEX(Task_Tracker!$D$5:$D$1004,MATCH($B591,Task_Tracker!$A$5:$A$1004,0)),""))</f>
        <v/>
      </c>
      <c r="D591" s="67">
        <f>IF($B591="","",IFERROR(INDEX(Task_Tracker!$B$5:$B$1004,MATCH($B591,Task_Tracker!$A$5:$A$1004,0)),""))</f>
        <v/>
      </c>
      <c r="E591" s="81" t="n"/>
      <c r="F591" s="81" t="n"/>
      <c r="G591" s="78" t="n"/>
      <c r="H591" s="78" t="n"/>
      <c r="I591" s="67">
        <f>IF($H591="","",IFERROR(INDEX(Action_Status_Map!$B$5:$B$11,MATCH($H591,Action_Status_Map!$A$5:$A$11,0)),""))</f>
        <v/>
      </c>
      <c r="J591" s="82" t="n"/>
      <c r="K591" s="82" t="n"/>
      <c r="L591" s="82" t="n"/>
      <c r="M591" s="83" t="n"/>
      <c r="N591" s="83" t="n"/>
      <c r="O591" s="66">
        <f>IF(OR($M591="",$N591=""),"",$N591-$M591)</f>
        <v/>
      </c>
      <c r="P591" s="84">
        <f>IF($J591="","",IF($L591&lt;&gt;"",$L591-$J591,TODAY()-$J591))</f>
        <v/>
      </c>
      <c r="Q591" s="85">
        <f>IF(OR($K591="",$H591="Completed",$H591="Cancelled"),"",IF(AND($K591&lt;TODAY(),$H591&lt;&gt;"Completed",$H591&lt;&gt;"Cancelled"),"Overdue","On Track"))</f>
        <v/>
      </c>
      <c r="R591" s="81" t="n"/>
      <c r="S591" s="81">
        <f>IF($B591="","",IFERROR(INDEX(Task_Tracker!$AA$5:$AA$1004,MATCH($B591,Task_Tracker!$A$5:$A$1004,0)),""))</f>
        <v/>
      </c>
      <c r="T591" s="81">
        <f>IF($B591="","",IFERROR(INDEX(Task_Tracker!$AB$5:$AB$1004,MATCH($B591,Task_Tracker!$A$5:$A$1004,0)),""))</f>
        <v/>
      </c>
      <c r="U591" s="78">
        <f>IF($B591="","",IFERROR(INDEX(Task_Tracker!$F$5:$F$1004,MATCH($B591,Task_Tracker!$A$5:$A$1004,0)),""))</f>
        <v/>
      </c>
      <c r="V591" s="78">
        <f>IF($B591="","",IFERROR(INDEX(Task_Tracker!$I$5:$I$1004,MATCH($B591,Task_Tracker!$A$5:$A$1004,0)),""))</f>
        <v/>
      </c>
      <c r="W591" s="81">
        <f>IF(OR($D591="",$B591=""),"",$D591&amp;" | "&amp;$B591)</f>
        <v/>
      </c>
      <c r="X591" s="85">
        <f>IF($K591="","",TEXT($K591,"yyyy-mm"))</f>
        <v/>
      </c>
      <c r="Y591" s="81">
        <f>IF(OR($A591="",$T591=""),"","Included in Manager_Report")</f>
        <v/>
      </c>
    </row>
    <row r="592" ht="15" customHeight="1" s="40">
      <c r="A592" s="65">
        <f>IF(COUNTA(B592:G592)=0,"","STP-"&amp;TEXT(ROW()-4,"0000"))</f>
        <v/>
      </c>
      <c r="B592" s="78" t="n"/>
      <c r="C592" s="67">
        <f>IF($B592="","",IFERROR(INDEX(Task_Tracker!$D$5:$D$1004,MATCH($B592,Task_Tracker!$A$5:$A$1004,0)),""))</f>
        <v/>
      </c>
      <c r="D592" s="67">
        <f>IF($B592="","",IFERROR(INDEX(Task_Tracker!$B$5:$B$1004,MATCH($B592,Task_Tracker!$A$5:$A$1004,0)),""))</f>
        <v/>
      </c>
      <c r="E592" s="81" t="n"/>
      <c r="F592" s="81" t="n"/>
      <c r="G592" s="78" t="n"/>
      <c r="H592" s="78" t="n"/>
      <c r="I592" s="67">
        <f>IF($H592="","",IFERROR(INDEX(Action_Status_Map!$B$5:$B$11,MATCH($H592,Action_Status_Map!$A$5:$A$11,0)),""))</f>
        <v/>
      </c>
      <c r="J592" s="82" t="n"/>
      <c r="K592" s="82" t="n"/>
      <c r="L592" s="82" t="n"/>
      <c r="M592" s="83" t="n"/>
      <c r="N592" s="83" t="n"/>
      <c r="O592" s="66">
        <f>IF(OR($M592="",$N592=""),"",$N592-$M592)</f>
        <v/>
      </c>
      <c r="P592" s="84">
        <f>IF($J592="","",IF($L592&lt;&gt;"",$L592-$J592,TODAY()-$J592))</f>
        <v/>
      </c>
      <c r="Q592" s="85">
        <f>IF(OR($K592="",$H592="Completed",$H592="Cancelled"),"",IF(AND($K592&lt;TODAY(),$H592&lt;&gt;"Completed",$H592&lt;&gt;"Cancelled"),"Overdue","On Track"))</f>
        <v/>
      </c>
      <c r="R592" s="81" t="n"/>
      <c r="S592" s="81">
        <f>IF($B592="","",IFERROR(INDEX(Task_Tracker!$AA$5:$AA$1004,MATCH($B592,Task_Tracker!$A$5:$A$1004,0)),""))</f>
        <v/>
      </c>
      <c r="T592" s="81">
        <f>IF($B592="","",IFERROR(INDEX(Task_Tracker!$AB$5:$AB$1004,MATCH($B592,Task_Tracker!$A$5:$A$1004,0)),""))</f>
        <v/>
      </c>
      <c r="U592" s="78">
        <f>IF($B592="","",IFERROR(INDEX(Task_Tracker!$F$5:$F$1004,MATCH($B592,Task_Tracker!$A$5:$A$1004,0)),""))</f>
        <v/>
      </c>
      <c r="V592" s="78">
        <f>IF($B592="","",IFERROR(INDEX(Task_Tracker!$I$5:$I$1004,MATCH($B592,Task_Tracker!$A$5:$A$1004,0)),""))</f>
        <v/>
      </c>
      <c r="W592" s="81">
        <f>IF(OR($D592="",$B592=""),"",$D592&amp;" | "&amp;$B592)</f>
        <v/>
      </c>
      <c r="X592" s="85">
        <f>IF($K592="","",TEXT($K592,"yyyy-mm"))</f>
        <v/>
      </c>
      <c r="Y592" s="81">
        <f>IF(OR($A592="",$T592=""),"","Included in Manager_Report")</f>
        <v/>
      </c>
    </row>
    <row r="593" ht="15" customHeight="1" s="40">
      <c r="A593" s="65">
        <f>IF(COUNTA(B593:G593)=0,"","STP-"&amp;TEXT(ROW()-4,"0000"))</f>
        <v/>
      </c>
      <c r="B593" s="78" t="n"/>
      <c r="C593" s="67">
        <f>IF($B593="","",IFERROR(INDEX(Task_Tracker!$D$5:$D$1004,MATCH($B593,Task_Tracker!$A$5:$A$1004,0)),""))</f>
        <v/>
      </c>
      <c r="D593" s="67">
        <f>IF($B593="","",IFERROR(INDEX(Task_Tracker!$B$5:$B$1004,MATCH($B593,Task_Tracker!$A$5:$A$1004,0)),""))</f>
        <v/>
      </c>
      <c r="E593" s="81" t="n"/>
      <c r="F593" s="81" t="n"/>
      <c r="G593" s="78" t="n"/>
      <c r="H593" s="78" t="n"/>
      <c r="I593" s="67">
        <f>IF($H593="","",IFERROR(INDEX(Action_Status_Map!$B$5:$B$11,MATCH($H593,Action_Status_Map!$A$5:$A$11,0)),""))</f>
        <v/>
      </c>
      <c r="J593" s="82" t="n"/>
      <c r="K593" s="82" t="n"/>
      <c r="L593" s="82" t="n"/>
      <c r="M593" s="83" t="n"/>
      <c r="N593" s="83" t="n"/>
      <c r="O593" s="66">
        <f>IF(OR($M593="",$N593=""),"",$N593-$M593)</f>
        <v/>
      </c>
      <c r="P593" s="84">
        <f>IF($J593="","",IF($L593&lt;&gt;"",$L593-$J593,TODAY()-$J593))</f>
        <v/>
      </c>
      <c r="Q593" s="85">
        <f>IF(OR($K593="",$H593="Completed",$H593="Cancelled"),"",IF(AND($K593&lt;TODAY(),$H593&lt;&gt;"Completed",$H593&lt;&gt;"Cancelled"),"Overdue","On Track"))</f>
        <v/>
      </c>
      <c r="R593" s="81" t="n"/>
      <c r="S593" s="81">
        <f>IF($B593="","",IFERROR(INDEX(Task_Tracker!$AA$5:$AA$1004,MATCH($B593,Task_Tracker!$A$5:$A$1004,0)),""))</f>
        <v/>
      </c>
      <c r="T593" s="81">
        <f>IF($B593="","",IFERROR(INDEX(Task_Tracker!$AB$5:$AB$1004,MATCH($B593,Task_Tracker!$A$5:$A$1004,0)),""))</f>
        <v/>
      </c>
      <c r="U593" s="78">
        <f>IF($B593="","",IFERROR(INDEX(Task_Tracker!$F$5:$F$1004,MATCH($B593,Task_Tracker!$A$5:$A$1004,0)),""))</f>
        <v/>
      </c>
      <c r="V593" s="78">
        <f>IF($B593="","",IFERROR(INDEX(Task_Tracker!$I$5:$I$1004,MATCH($B593,Task_Tracker!$A$5:$A$1004,0)),""))</f>
        <v/>
      </c>
      <c r="W593" s="81">
        <f>IF(OR($D593="",$B593=""),"",$D593&amp;" | "&amp;$B593)</f>
        <v/>
      </c>
      <c r="X593" s="85">
        <f>IF($K593="","",TEXT($K593,"yyyy-mm"))</f>
        <v/>
      </c>
      <c r="Y593" s="81">
        <f>IF(OR($A593="",$T593=""),"","Included in Manager_Report")</f>
        <v/>
      </c>
    </row>
    <row r="594" ht="15" customHeight="1" s="40">
      <c r="A594" s="65">
        <f>IF(COUNTA(B594:G594)=0,"","STP-"&amp;TEXT(ROW()-4,"0000"))</f>
        <v/>
      </c>
      <c r="B594" s="78" t="n"/>
      <c r="C594" s="67">
        <f>IF($B594="","",IFERROR(INDEX(Task_Tracker!$D$5:$D$1004,MATCH($B594,Task_Tracker!$A$5:$A$1004,0)),""))</f>
        <v/>
      </c>
      <c r="D594" s="67">
        <f>IF($B594="","",IFERROR(INDEX(Task_Tracker!$B$5:$B$1004,MATCH($B594,Task_Tracker!$A$5:$A$1004,0)),""))</f>
        <v/>
      </c>
      <c r="E594" s="81" t="n"/>
      <c r="F594" s="81" t="n"/>
      <c r="G594" s="78" t="n"/>
      <c r="H594" s="78" t="n"/>
      <c r="I594" s="67">
        <f>IF($H594="","",IFERROR(INDEX(Action_Status_Map!$B$5:$B$11,MATCH($H594,Action_Status_Map!$A$5:$A$11,0)),""))</f>
        <v/>
      </c>
      <c r="J594" s="82" t="n"/>
      <c r="K594" s="82" t="n"/>
      <c r="L594" s="82" t="n"/>
      <c r="M594" s="83" t="n"/>
      <c r="N594" s="83" t="n"/>
      <c r="O594" s="66">
        <f>IF(OR($M594="",$N594=""),"",$N594-$M594)</f>
        <v/>
      </c>
      <c r="P594" s="84">
        <f>IF($J594="","",IF($L594&lt;&gt;"",$L594-$J594,TODAY()-$J594))</f>
        <v/>
      </c>
      <c r="Q594" s="85">
        <f>IF(OR($K594="",$H594="Completed",$H594="Cancelled"),"",IF(AND($K594&lt;TODAY(),$H594&lt;&gt;"Completed",$H594&lt;&gt;"Cancelled"),"Overdue","On Track"))</f>
        <v/>
      </c>
      <c r="R594" s="81" t="n"/>
      <c r="S594" s="81">
        <f>IF($B594="","",IFERROR(INDEX(Task_Tracker!$AA$5:$AA$1004,MATCH($B594,Task_Tracker!$A$5:$A$1004,0)),""))</f>
        <v/>
      </c>
      <c r="T594" s="81">
        <f>IF($B594="","",IFERROR(INDEX(Task_Tracker!$AB$5:$AB$1004,MATCH($B594,Task_Tracker!$A$5:$A$1004,0)),""))</f>
        <v/>
      </c>
      <c r="U594" s="78">
        <f>IF($B594="","",IFERROR(INDEX(Task_Tracker!$F$5:$F$1004,MATCH($B594,Task_Tracker!$A$5:$A$1004,0)),""))</f>
        <v/>
      </c>
      <c r="V594" s="78">
        <f>IF($B594="","",IFERROR(INDEX(Task_Tracker!$I$5:$I$1004,MATCH($B594,Task_Tracker!$A$5:$A$1004,0)),""))</f>
        <v/>
      </c>
      <c r="W594" s="81">
        <f>IF(OR($D594="",$B594=""),"",$D594&amp;" | "&amp;$B594)</f>
        <v/>
      </c>
      <c r="X594" s="85">
        <f>IF($K594="","",TEXT($K594,"yyyy-mm"))</f>
        <v/>
      </c>
      <c r="Y594" s="81">
        <f>IF(OR($A594="",$T594=""),"","Included in Manager_Report")</f>
        <v/>
      </c>
    </row>
    <row r="595" ht="15" customHeight="1" s="40">
      <c r="A595" s="65">
        <f>IF(COUNTA(B595:G595)=0,"","STP-"&amp;TEXT(ROW()-4,"0000"))</f>
        <v/>
      </c>
      <c r="B595" s="78" t="n"/>
      <c r="C595" s="67">
        <f>IF($B595="","",IFERROR(INDEX(Task_Tracker!$D$5:$D$1004,MATCH($B595,Task_Tracker!$A$5:$A$1004,0)),""))</f>
        <v/>
      </c>
      <c r="D595" s="67">
        <f>IF($B595="","",IFERROR(INDEX(Task_Tracker!$B$5:$B$1004,MATCH($B595,Task_Tracker!$A$5:$A$1004,0)),""))</f>
        <v/>
      </c>
      <c r="E595" s="81" t="n"/>
      <c r="F595" s="81" t="n"/>
      <c r="G595" s="78" t="n"/>
      <c r="H595" s="78" t="n"/>
      <c r="I595" s="67">
        <f>IF($H595="","",IFERROR(INDEX(Action_Status_Map!$B$5:$B$11,MATCH($H595,Action_Status_Map!$A$5:$A$11,0)),""))</f>
        <v/>
      </c>
      <c r="J595" s="82" t="n"/>
      <c r="K595" s="82" t="n"/>
      <c r="L595" s="82" t="n"/>
      <c r="M595" s="83" t="n"/>
      <c r="N595" s="83" t="n"/>
      <c r="O595" s="66">
        <f>IF(OR($M595="",$N595=""),"",$N595-$M595)</f>
        <v/>
      </c>
      <c r="P595" s="84">
        <f>IF($J595="","",IF($L595&lt;&gt;"",$L595-$J595,TODAY()-$J595))</f>
        <v/>
      </c>
      <c r="Q595" s="85">
        <f>IF(OR($K595="",$H595="Completed",$H595="Cancelled"),"",IF(AND($K595&lt;TODAY(),$H595&lt;&gt;"Completed",$H595&lt;&gt;"Cancelled"),"Overdue","On Track"))</f>
        <v/>
      </c>
      <c r="R595" s="81" t="n"/>
      <c r="S595" s="81">
        <f>IF($B595="","",IFERROR(INDEX(Task_Tracker!$AA$5:$AA$1004,MATCH($B595,Task_Tracker!$A$5:$A$1004,0)),""))</f>
        <v/>
      </c>
      <c r="T595" s="81">
        <f>IF($B595="","",IFERROR(INDEX(Task_Tracker!$AB$5:$AB$1004,MATCH($B595,Task_Tracker!$A$5:$A$1004,0)),""))</f>
        <v/>
      </c>
      <c r="U595" s="78">
        <f>IF($B595="","",IFERROR(INDEX(Task_Tracker!$F$5:$F$1004,MATCH($B595,Task_Tracker!$A$5:$A$1004,0)),""))</f>
        <v/>
      </c>
      <c r="V595" s="78">
        <f>IF($B595="","",IFERROR(INDEX(Task_Tracker!$I$5:$I$1004,MATCH($B595,Task_Tracker!$A$5:$A$1004,0)),""))</f>
        <v/>
      </c>
      <c r="W595" s="81">
        <f>IF(OR($D595="",$B595=""),"",$D595&amp;" | "&amp;$B595)</f>
        <v/>
      </c>
      <c r="X595" s="85">
        <f>IF($K595="","",TEXT($K595,"yyyy-mm"))</f>
        <v/>
      </c>
      <c r="Y595" s="81">
        <f>IF(OR($A595="",$T595=""),"","Included in Manager_Report")</f>
        <v/>
      </c>
    </row>
    <row r="596" ht="15" customHeight="1" s="40">
      <c r="A596" s="65">
        <f>IF(COUNTA(B596:G596)=0,"","STP-"&amp;TEXT(ROW()-4,"0000"))</f>
        <v/>
      </c>
      <c r="B596" s="78" t="n"/>
      <c r="C596" s="67">
        <f>IF($B596="","",IFERROR(INDEX(Task_Tracker!$D$5:$D$1004,MATCH($B596,Task_Tracker!$A$5:$A$1004,0)),""))</f>
        <v/>
      </c>
      <c r="D596" s="67">
        <f>IF($B596="","",IFERROR(INDEX(Task_Tracker!$B$5:$B$1004,MATCH($B596,Task_Tracker!$A$5:$A$1004,0)),""))</f>
        <v/>
      </c>
      <c r="E596" s="81" t="n"/>
      <c r="F596" s="81" t="n"/>
      <c r="G596" s="78" t="n"/>
      <c r="H596" s="78" t="n"/>
      <c r="I596" s="67">
        <f>IF($H596="","",IFERROR(INDEX(Action_Status_Map!$B$5:$B$11,MATCH($H596,Action_Status_Map!$A$5:$A$11,0)),""))</f>
        <v/>
      </c>
      <c r="J596" s="82" t="n"/>
      <c r="K596" s="82" t="n"/>
      <c r="L596" s="82" t="n"/>
      <c r="M596" s="83" t="n"/>
      <c r="N596" s="83" t="n"/>
      <c r="O596" s="66">
        <f>IF(OR($M596="",$N596=""),"",$N596-$M596)</f>
        <v/>
      </c>
      <c r="P596" s="84">
        <f>IF($J596="","",IF($L596&lt;&gt;"",$L596-$J596,TODAY()-$J596))</f>
        <v/>
      </c>
      <c r="Q596" s="85">
        <f>IF(OR($K596="",$H596="Completed",$H596="Cancelled"),"",IF(AND($K596&lt;TODAY(),$H596&lt;&gt;"Completed",$H596&lt;&gt;"Cancelled"),"Overdue","On Track"))</f>
        <v/>
      </c>
      <c r="R596" s="81" t="n"/>
      <c r="S596" s="81">
        <f>IF($B596="","",IFERROR(INDEX(Task_Tracker!$AA$5:$AA$1004,MATCH($B596,Task_Tracker!$A$5:$A$1004,0)),""))</f>
        <v/>
      </c>
      <c r="T596" s="81">
        <f>IF($B596="","",IFERROR(INDEX(Task_Tracker!$AB$5:$AB$1004,MATCH($B596,Task_Tracker!$A$5:$A$1004,0)),""))</f>
        <v/>
      </c>
      <c r="U596" s="78">
        <f>IF($B596="","",IFERROR(INDEX(Task_Tracker!$F$5:$F$1004,MATCH($B596,Task_Tracker!$A$5:$A$1004,0)),""))</f>
        <v/>
      </c>
      <c r="V596" s="78">
        <f>IF($B596="","",IFERROR(INDEX(Task_Tracker!$I$5:$I$1004,MATCH($B596,Task_Tracker!$A$5:$A$1004,0)),""))</f>
        <v/>
      </c>
      <c r="W596" s="81">
        <f>IF(OR($D596="",$B596=""),"",$D596&amp;" | "&amp;$B596)</f>
        <v/>
      </c>
      <c r="X596" s="85">
        <f>IF($K596="","",TEXT($K596,"yyyy-mm"))</f>
        <v/>
      </c>
      <c r="Y596" s="81">
        <f>IF(OR($A596="",$T596=""),"","Included in Manager_Report")</f>
        <v/>
      </c>
    </row>
    <row r="597" ht="15" customHeight="1" s="40">
      <c r="A597" s="65">
        <f>IF(COUNTA(B597:G597)=0,"","STP-"&amp;TEXT(ROW()-4,"0000"))</f>
        <v/>
      </c>
      <c r="B597" s="78" t="n"/>
      <c r="C597" s="67">
        <f>IF($B597="","",IFERROR(INDEX(Task_Tracker!$D$5:$D$1004,MATCH($B597,Task_Tracker!$A$5:$A$1004,0)),""))</f>
        <v/>
      </c>
      <c r="D597" s="67">
        <f>IF($B597="","",IFERROR(INDEX(Task_Tracker!$B$5:$B$1004,MATCH($B597,Task_Tracker!$A$5:$A$1004,0)),""))</f>
        <v/>
      </c>
      <c r="E597" s="81" t="n"/>
      <c r="F597" s="81" t="n"/>
      <c r="G597" s="78" t="n"/>
      <c r="H597" s="78" t="n"/>
      <c r="I597" s="67">
        <f>IF($H597="","",IFERROR(INDEX(Action_Status_Map!$B$5:$B$11,MATCH($H597,Action_Status_Map!$A$5:$A$11,0)),""))</f>
        <v/>
      </c>
      <c r="J597" s="82" t="n"/>
      <c r="K597" s="82" t="n"/>
      <c r="L597" s="82" t="n"/>
      <c r="M597" s="83" t="n"/>
      <c r="N597" s="83" t="n"/>
      <c r="O597" s="66">
        <f>IF(OR($M597="",$N597=""),"",$N597-$M597)</f>
        <v/>
      </c>
      <c r="P597" s="84">
        <f>IF($J597="","",IF($L597&lt;&gt;"",$L597-$J597,TODAY()-$J597))</f>
        <v/>
      </c>
      <c r="Q597" s="85">
        <f>IF(OR($K597="",$H597="Completed",$H597="Cancelled"),"",IF(AND($K597&lt;TODAY(),$H597&lt;&gt;"Completed",$H597&lt;&gt;"Cancelled"),"Overdue","On Track"))</f>
        <v/>
      </c>
      <c r="R597" s="81" t="n"/>
      <c r="S597" s="81">
        <f>IF($B597="","",IFERROR(INDEX(Task_Tracker!$AA$5:$AA$1004,MATCH($B597,Task_Tracker!$A$5:$A$1004,0)),""))</f>
        <v/>
      </c>
      <c r="T597" s="81">
        <f>IF($B597="","",IFERROR(INDEX(Task_Tracker!$AB$5:$AB$1004,MATCH($B597,Task_Tracker!$A$5:$A$1004,0)),""))</f>
        <v/>
      </c>
      <c r="U597" s="78">
        <f>IF($B597="","",IFERROR(INDEX(Task_Tracker!$F$5:$F$1004,MATCH($B597,Task_Tracker!$A$5:$A$1004,0)),""))</f>
        <v/>
      </c>
      <c r="V597" s="78">
        <f>IF($B597="","",IFERROR(INDEX(Task_Tracker!$I$5:$I$1004,MATCH($B597,Task_Tracker!$A$5:$A$1004,0)),""))</f>
        <v/>
      </c>
      <c r="W597" s="81">
        <f>IF(OR($D597="",$B597=""),"",$D597&amp;" | "&amp;$B597)</f>
        <v/>
      </c>
      <c r="X597" s="85">
        <f>IF($K597="","",TEXT($K597,"yyyy-mm"))</f>
        <v/>
      </c>
      <c r="Y597" s="81">
        <f>IF(OR($A597="",$T597=""),"","Included in Manager_Report")</f>
        <v/>
      </c>
    </row>
    <row r="598" ht="15" customHeight="1" s="40">
      <c r="A598" s="65">
        <f>IF(COUNTA(B598:G598)=0,"","STP-"&amp;TEXT(ROW()-4,"0000"))</f>
        <v/>
      </c>
      <c r="B598" s="78" t="n"/>
      <c r="C598" s="67">
        <f>IF($B598="","",IFERROR(INDEX(Task_Tracker!$D$5:$D$1004,MATCH($B598,Task_Tracker!$A$5:$A$1004,0)),""))</f>
        <v/>
      </c>
      <c r="D598" s="67">
        <f>IF($B598="","",IFERROR(INDEX(Task_Tracker!$B$5:$B$1004,MATCH($B598,Task_Tracker!$A$5:$A$1004,0)),""))</f>
        <v/>
      </c>
      <c r="E598" s="81" t="n"/>
      <c r="F598" s="81" t="n"/>
      <c r="G598" s="78" t="n"/>
      <c r="H598" s="78" t="n"/>
      <c r="I598" s="67">
        <f>IF($H598="","",IFERROR(INDEX(Action_Status_Map!$B$5:$B$11,MATCH($H598,Action_Status_Map!$A$5:$A$11,0)),""))</f>
        <v/>
      </c>
      <c r="J598" s="82" t="n"/>
      <c r="K598" s="82" t="n"/>
      <c r="L598" s="82" t="n"/>
      <c r="M598" s="83" t="n"/>
      <c r="N598" s="83" t="n"/>
      <c r="O598" s="66">
        <f>IF(OR($M598="",$N598=""),"",$N598-$M598)</f>
        <v/>
      </c>
      <c r="P598" s="84">
        <f>IF($J598="","",IF($L598&lt;&gt;"",$L598-$J598,TODAY()-$J598))</f>
        <v/>
      </c>
      <c r="Q598" s="85">
        <f>IF(OR($K598="",$H598="Completed",$H598="Cancelled"),"",IF(AND($K598&lt;TODAY(),$H598&lt;&gt;"Completed",$H598&lt;&gt;"Cancelled"),"Overdue","On Track"))</f>
        <v/>
      </c>
      <c r="R598" s="81" t="n"/>
      <c r="S598" s="81">
        <f>IF($B598="","",IFERROR(INDEX(Task_Tracker!$AA$5:$AA$1004,MATCH($B598,Task_Tracker!$A$5:$A$1004,0)),""))</f>
        <v/>
      </c>
      <c r="T598" s="81">
        <f>IF($B598="","",IFERROR(INDEX(Task_Tracker!$AB$5:$AB$1004,MATCH($B598,Task_Tracker!$A$5:$A$1004,0)),""))</f>
        <v/>
      </c>
      <c r="U598" s="78">
        <f>IF($B598="","",IFERROR(INDEX(Task_Tracker!$F$5:$F$1004,MATCH($B598,Task_Tracker!$A$5:$A$1004,0)),""))</f>
        <v/>
      </c>
      <c r="V598" s="78">
        <f>IF($B598="","",IFERROR(INDEX(Task_Tracker!$I$5:$I$1004,MATCH($B598,Task_Tracker!$A$5:$A$1004,0)),""))</f>
        <v/>
      </c>
      <c r="W598" s="81">
        <f>IF(OR($D598="",$B598=""),"",$D598&amp;" | "&amp;$B598)</f>
        <v/>
      </c>
      <c r="X598" s="85">
        <f>IF($K598="","",TEXT($K598,"yyyy-mm"))</f>
        <v/>
      </c>
      <c r="Y598" s="81">
        <f>IF(OR($A598="",$T598=""),"","Included in Manager_Report")</f>
        <v/>
      </c>
    </row>
    <row r="599" ht="15" customHeight="1" s="40">
      <c r="A599" s="65">
        <f>IF(COUNTA(B599:G599)=0,"","STP-"&amp;TEXT(ROW()-4,"0000"))</f>
        <v/>
      </c>
      <c r="B599" s="78" t="n"/>
      <c r="C599" s="67">
        <f>IF($B599="","",IFERROR(INDEX(Task_Tracker!$D$5:$D$1004,MATCH($B599,Task_Tracker!$A$5:$A$1004,0)),""))</f>
        <v/>
      </c>
      <c r="D599" s="67">
        <f>IF($B599="","",IFERROR(INDEX(Task_Tracker!$B$5:$B$1004,MATCH($B599,Task_Tracker!$A$5:$A$1004,0)),""))</f>
        <v/>
      </c>
      <c r="E599" s="81" t="n"/>
      <c r="F599" s="81" t="n"/>
      <c r="G599" s="78" t="n"/>
      <c r="H599" s="78" t="n"/>
      <c r="I599" s="67">
        <f>IF($H599="","",IFERROR(INDEX(Action_Status_Map!$B$5:$B$11,MATCH($H599,Action_Status_Map!$A$5:$A$11,0)),""))</f>
        <v/>
      </c>
      <c r="J599" s="82" t="n"/>
      <c r="K599" s="82" t="n"/>
      <c r="L599" s="82" t="n"/>
      <c r="M599" s="83" t="n"/>
      <c r="N599" s="83" t="n"/>
      <c r="O599" s="66">
        <f>IF(OR($M599="",$N599=""),"",$N599-$M599)</f>
        <v/>
      </c>
      <c r="P599" s="84">
        <f>IF($J599="","",IF($L599&lt;&gt;"",$L599-$J599,TODAY()-$J599))</f>
        <v/>
      </c>
      <c r="Q599" s="85">
        <f>IF(OR($K599="",$H599="Completed",$H599="Cancelled"),"",IF(AND($K599&lt;TODAY(),$H599&lt;&gt;"Completed",$H599&lt;&gt;"Cancelled"),"Overdue","On Track"))</f>
        <v/>
      </c>
      <c r="R599" s="81" t="n"/>
      <c r="S599" s="81">
        <f>IF($B599="","",IFERROR(INDEX(Task_Tracker!$AA$5:$AA$1004,MATCH($B599,Task_Tracker!$A$5:$A$1004,0)),""))</f>
        <v/>
      </c>
      <c r="T599" s="81">
        <f>IF($B599="","",IFERROR(INDEX(Task_Tracker!$AB$5:$AB$1004,MATCH($B599,Task_Tracker!$A$5:$A$1004,0)),""))</f>
        <v/>
      </c>
      <c r="U599" s="78">
        <f>IF($B599="","",IFERROR(INDEX(Task_Tracker!$F$5:$F$1004,MATCH($B599,Task_Tracker!$A$5:$A$1004,0)),""))</f>
        <v/>
      </c>
      <c r="V599" s="78">
        <f>IF($B599="","",IFERROR(INDEX(Task_Tracker!$I$5:$I$1004,MATCH($B599,Task_Tracker!$A$5:$A$1004,0)),""))</f>
        <v/>
      </c>
      <c r="W599" s="81">
        <f>IF(OR($D599="",$B599=""),"",$D599&amp;" | "&amp;$B599)</f>
        <v/>
      </c>
      <c r="X599" s="85">
        <f>IF($K599="","",TEXT($K599,"yyyy-mm"))</f>
        <v/>
      </c>
      <c r="Y599" s="81">
        <f>IF(OR($A599="",$T599=""),"","Included in Manager_Report")</f>
        <v/>
      </c>
    </row>
    <row r="600" ht="15" customHeight="1" s="40">
      <c r="A600" s="65">
        <f>IF(COUNTA(B600:G600)=0,"","STP-"&amp;TEXT(ROW()-4,"0000"))</f>
        <v/>
      </c>
      <c r="B600" s="78" t="n"/>
      <c r="C600" s="67">
        <f>IF($B600="","",IFERROR(INDEX(Task_Tracker!$D$5:$D$1004,MATCH($B600,Task_Tracker!$A$5:$A$1004,0)),""))</f>
        <v/>
      </c>
      <c r="D600" s="67">
        <f>IF($B600="","",IFERROR(INDEX(Task_Tracker!$B$5:$B$1004,MATCH($B600,Task_Tracker!$A$5:$A$1004,0)),""))</f>
        <v/>
      </c>
      <c r="E600" s="81" t="n"/>
      <c r="F600" s="81" t="n"/>
      <c r="G600" s="78" t="n"/>
      <c r="H600" s="78" t="n"/>
      <c r="I600" s="67">
        <f>IF($H600="","",IFERROR(INDEX(Action_Status_Map!$B$5:$B$11,MATCH($H600,Action_Status_Map!$A$5:$A$11,0)),""))</f>
        <v/>
      </c>
      <c r="J600" s="82" t="n"/>
      <c r="K600" s="82" t="n"/>
      <c r="L600" s="82" t="n"/>
      <c r="M600" s="83" t="n"/>
      <c r="N600" s="83" t="n"/>
      <c r="O600" s="66">
        <f>IF(OR($M600="",$N600=""),"",$N600-$M600)</f>
        <v/>
      </c>
      <c r="P600" s="84">
        <f>IF($J600="","",IF($L600&lt;&gt;"",$L600-$J600,TODAY()-$J600))</f>
        <v/>
      </c>
      <c r="Q600" s="85">
        <f>IF(OR($K600="",$H600="Completed",$H600="Cancelled"),"",IF(AND($K600&lt;TODAY(),$H600&lt;&gt;"Completed",$H600&lt;&gt;"Cancelled"),"Overdue","On Track"))</f>
        <v/>
      </c>
      <c r="R600" s="81" t="n"/>
      <c r="S600" s="81">
        <f>IF($B600="","",IFERROR(INDEX(Task_Tracker!$AA$5:$AA$1004,MATCH($B600,Task_Tracker!$A$5:$A$1004,0)),""))</f>
        <v/>
      </c>
      <c r="T600" s="81">
        <f>IF($B600="","",IFERROR(INDEX(Task_Tracker!$AB$5:$AB$1004,MATCH($B600,Task_Tracker!$A$5:$A$1004,0)),""))</f>
        <v/>
      </c>
      <c r="U600" s="78">
        <f>IF($B600="","",IFERROR(INDEX(Task_Tracker!$F$5:$F$1004,MATCH($B600,Task_Tracker!$A$5:$A$1004,0)),""))</f>
        <v/>
      </c>
      <c r="V600" s="78">
        <f>IF($B600="","",IFERROR(INDEX(Task_Tracker!$I$5:$I$1004,MATCH($B600,Task_Tracker!$A$5:$A$1004,0)),""))</f>
        <v/>
      </c>
      <c r="W600" s="81">
        <f>IF(OR($D600="",$B600=""),"",$D600&amp;" | "&amp;$B600)</f>
        <v/>
      </c>
      <c r="X600" s="85">
        <f>IF($K600="","",TEXT($K600,"yyyy-mm"))</f>
        <v/>
      </c>
      <c r="Y600" s="81">
        <f>IF(OR($A600="",$T600=""),"","Included in Manager_Report")</f>
        <v/>
      </c>
    </row>
    <row r="601" ht="15" customHeight="1" s="40">
      <c r="A601" s="65">
        <f>IF(COUNTA(B601:G601)=0,"","STP-"&amp;TEXT(ROW()-4,"0000"))</f>
        <v/>
      </c>
      <c r="B601" s="78" t="n"/>
      <c r="C601" s="67">
        <f>IF($B601="","",IFERROR(INDEX(Task_Tracker!$D$5:$D$1004,MATCH($B601,Task_Tracker!$A$5:$A$1004,0)),""))</f>
        <v/>
      </c>
      <c r="D601" s="67">
        <f>IF($B601="","",IFERROR(INDEX(Task_Tracker!$B$5:$B$1004,MATCH($B601,Task_Tracker!$A$5:$A$1004,0)),""))</f>
        <v/>
      </c>
      <c r="E601" s="81" t="n"/>
      <c r="F601" s="81" t="n"/>
      <c r="G601" s="78" t="n"/>
      <c r="H601" s="78" t="n"/>
      <c r="I601" s="67">
        <f>IF($H601="","",IFERROR(INDEX(Action_Status_Map!$B$5:$B$11,MATCH($H601,Action_Status_Map!$A$5:$A$11,0)),""))</f>
        <v/>
      </c>
      <c r="J601" s="82" t="n"/>
      <c r="K601" s="82" t="n"/>
      <c r="L601" s="82" t="n"/>
      <c r="M601" s="83" t="n"/>
      <c r="N601" s="83" t="n"/>
      <c r="O601" s="66">
        <f>IF(OR($M601="",$N601=""),"",$N601-$M601)</f>
        <v/>
      </c>
      <c r="P601" s="84">
        <f>IF($J601="","",IF($L601&lt;&gt;"",$L601-$J601,TODAY()-$J601))</f>
        <v/>
      </c>
      <c r="Q601" s="85">
        <f>IF(OR($K601="",$H601="Completed",$H601="Cancelled"),"",IF(AND($K601&lt;TODAY(),$H601&lt;&gt;"Completed",$H601&lt;&gt;"Cancelled"),"Overdue","On Track"))</f>
        <v/>
      </c>
      <c r="R601" s="81" t="n"/>
      <c r="S601" s="81">
        <f>IF($B601="","",IFERROR(INDEX(Task_Tracker!$AA$5:$AA$1004,MATCH($B601,Task_Tracker!$A$5:$A$1004,0)),""))</f>
        <v/>
      </c>
      <c r="T601" s="81">
        <f>IF($B601="","",IFERROR(INDEX(Task_Tracker!$AB$5:$AB$1004,MATCH($B601,Task_Tracker!$A$5:$A$1004,0)),""))</f>
        <v/>
      </c>
      <c r="U601" s="78">
        <f>IF($B601="","",IFERROR(INDEX(Task_Tracker!$F$5:$F$1004,MATCH($B601,Task_Tracker!$A$5:$A$1004,0)),""))</f>
        <v/>
      </c>
      <c r="V601" s="78">
        <f>IF($B601="","",IFERROR(INDEX(Task_Tracker!$I$5:$I$1004,MATCH($B601,Task_Tracker!$A$5:$A$1004,0)),""))</f>
        <v/>
      </c>
      <c r="W601" s="81">
        <f>IF(OR($D601="",$B601=""),"",$D601&amp;" | "&amp;$B601)</f>
        <v/>
      </c>
      <c r="X601" s="85">
        <f>IF($K601="","",TEXT($K601,"yyyy-mm"))</f>
        <v/>
      </c>
      <c r="Y601" s="81">
        <f>IF(OR($A601="",$T601=""),"","Included in Manager_Report")</f>
        <v/>
      </c>
    </row>
    <row r="602" ht="15" customHeight="1" s="40">
      <c r="A602" s="65">
        <f>IF(COUNTA(B602:G602)=0,"","STP-"&amp;TEXT(ROW()-4,"0000"))</f>
        <v/>
      </c>
      <c r="B602" s="78" t="n"/>
      <c r="C602" s="67">
        <f>IF($B602="","",IFERROR(INDEX(Task_Tracker!$D$5:$D$1004,MATCH($B602,Task_Tracker!$A$5:$A$1004,0)),""))</f>
        <v/>
      </c>
      <c r="D602" s="67">
        <f>IF($B602="","",IFERROR(INDEX(Task_Tracker!$B$5:$B$1004,MATCH($B602,Task_Tracker!$A$5:$A$1004,0)),""))</f>
        <v/>
      </c>
      <c r="E602" s="81" t="n"/>
      <c r="F602" s="81" t="n"/>
      <c r="G602" s="78" t="n"/>
      <c r="H602" s="78" t="n"/>
      <c r="I602" s="67">
        <f>IF($H602="","",IFERROR(INDEX(Action_Status_Map!$B$5:$B$11,MATCH($H602,Action_Status_Map!$A$5:$A$11,0)),""))</f>
        <v/>
      </c>
      <c r="J602" s="82" t="n"/>
      <c r="K602" s="82" t="n"/>
      <c r="L602" s="82" t="n"/>
      <c r="M602" s="83" t="n"/>
      <c r="N602" s="83" t="n"/>
      <c r="O602" s="66">
        <f>IF(OR($M602="",$N602=""),"",$N602-$M602)</f>
        <v/>
      </c>
      <c r="P602" s="84">
        <f>IF($J602="","",IF($L602&lt;&gt;"",$L602-$J602,TODAY()-$J602))</f>
        <v/>
      </c>
      <c r="Q602" s="85">
        <f>IF(OR($K602="",$H602="Completed",$H602="Cancelled"),"",IF(AND($K602&lt;TODAY(),$H602&lt;&gt;"Completed",$H602&lt;&gt;"Cancelled"),"Overdue","On Track"))</f>
        <v/>
      </c>
      <c r="R602" s="81" t="n"/>
      <c r="S602" s="81">
        <f>IF($B602="","",IFERROR(INDEX(Task_Tracker!$AA$5:$AA$1004,MATCH($B602,Task_Tracker!$A$5:$A$1004,0)),""))</f>
        <v/>
      </c>
      <c r="T602" s="81">
        <f>IF($B602="","",IFERROR(INDEX(Task_Tracker!$AB$5:$AB$1004,MATCH($B602,Task_Tracker!$A$5:$A$1004,0)),""))</f>
        <v/>
      </c>
      <c r="U602" s="78">
        <f>IF($B602="","",IFERROR(INDEX(Task_Tracker!$F$5:$F$1004,MATCH($B602,Task_Tracker!$A$5:$A$1004,0)),""))</f>
        <v/>
      </c>
      <c r="V602" s="78">
        <f>IF($B602="","",IFERROR(INDEX(Task_Tracker!$I$5:$I$1004,MATCH($B602,Task_Tracker!$A$5:$A$1004,0)),""))</f>
        <v/>
      </c>
      <c r="W602" s="81">
        <f>IF(OR($D602="",$B602=""),"",$D602&amp;" | "&amp;$B602)</f>
        <v/>
      </c>
      <c r="X602" s="85">
        <f>IF($K602="","",TEXT($K602,"yyyy-mm"))</f>
        <v/>
      </c>
      <c r="Y602" s="81">
        <f>IF(OR($A602="",$T602=""),"","Included in Manager_Report")</f>
        <v/>
      </c>
    </row>
    <row r="603" ht="15" customHeight="1" s="40">
      <c r="A603" s="65">
        <f>IF(COUNTA(B603:G603)=0,"","STP-"&amp;TEXT(ROW()-4,"0000"))</f>
        <v/>
      </c>
      <c r="B603" s="78" t="n"/>
      <c r="C603" s="67">
        <f>IF($B603="","",IFERROR(INDEX(Task_Tracker!$D$5:$D$1004,MATCH($B603,Task_Tracker!$A$5:$A$1004,0)),""))</f>
        <v/>
      </c>
      <c r="D603" s="67">
        <f>IF($B603="","",IFERROR(INDEX(Task_Tracker!$B$5:$B$1004,MATCH($B603,Task_Tracker!$A$5:$A$1004,0)),""))</f>
        <v/>
      </c>
      <c r="E603" s="81" t="n"/>
      <c r="F603" s="81" t="n"/>
      <c r="G603" s="78" t="n"/>
      <c r="H603" s="78" t="n"/>
      <c r="I603" s="67">
        <f>IF($H603="","",IFERROR(INDEX(Action_Status_Map!$B$5:$B$11,MATCH($H603,Action_Status_Map!$A$5:$A$11,0)),""))</f>
        <v/>
      </c>
      <c r="J603" s="82" t="n"/>
      <c r="K603" s="82" t="n"/>
      <c r="L603" s="82" t="n"/>
      <c r="M603" s="83" t="n"/>
      <c r="N603" s="83" t="n"/>
      <c r="O603" s="66">
        <f>IF(OR($M603="",$N603=""),"",$N603-$M603)</f>
        <v/>
      </c>
      <c r="P603" s="84">
        <f>IF($J603="","",IF($L603&lt;&gt;"",$L603-$J603,TODAY()-$J603))</f>
        <v/>
      </c>
      <c r="Q603" s="85">
        <f>IF(OR($K603="",$H603="Completed",$H603="Cancelled"),"",IF(AND($K603&lt;TODAY(),$H603&lt;&gt;"Completed",$H603&lt;&gt;"Cancelled"),"Overdue","On Track"))</f>
        <v/>
      </c>
      <c r="R603" s="81" t="n"/>
      <c r="S603" s="81">
        <f>IF($B603="","",IFERROR(INDEX(Task_Tracker!$AA$5:$AA$1004,MATCH($B603,Task_Tracker!$A$5:$A$1004,0)),""))</f>
        <v/>
      </c>
      <c r="T603" s="81">
        <f>IF($B603="","",IFERROR(INDEX(Task_Tracker!$AB$5:$AB$1004,MATCH($B603,Task_Tracker!$A$5:$A$1004,0)),""))</f>
        <v/>
      </c>
      <c r="U603" s="78">
        <f>IF($B603="","",IFERROR(INDEX(Task_Tracker!$F$5:$F$1004,MATCH($B603,Task_Tracker!$A$5:$A$1004,0)),""))</f>
        <v/>
      </c>
      <c r="V603" s="78">
        <f>IF($B603="","",IFERROR(INDEX(Task_Tracker!$I$5:$I$1004,MATCH($B603,Task_Tracker!$A$5:$A$1004,0)),""))</f>
        <v/>
      </c>
      <c r="W603" s="81">
        <f>IF(OR($D603="",$B603=""),"",$D603&amp;" | "&amp;$B603)</f>
        <v/>
      </c>
      <c r="X603" s="85">
        <f>IF($K603="","",TEXT($K603,"yyyy-mm"))</f>
        <v/>
      </c>
      <c r="Y603" s="81">
        <f>IF(OR($A603="",$T603=""),"","Included in Manager_Report")</f>
        <v/>
      </c>
    </row>
    <row r="604" ht="15" customHeight="1" s="40">
      <c r="A604" s="65">
        <f>IF(COUNTA(B604:G604)=0,"","STP-"&amp;TEXT(ROW()-4,"0000"))</f>
        <v/>
      </c>
      <c r="B604" s="78" t="n"/>
      <c r="C604" s="67">
        <f>IF($B604="","",IFERROR(INDEX(Task_Tracker!$D$5:$D$1004,MATCH($B604,Task_Tracker!$A$5:$A$1004,0)),""))</f>
        <v/>
      </c>
      <c r="D604" s="67">
        <f>IF($B604="","",IFERROR(INDEX(Task_Tracker!$B$5:$B$1004,MATCH($B604,Task_Tracker!$A$5:$A$1004,0)),""))</f>
        <v/>
      </c>
      <c r="E604" s="81" t="n"/>
      <c r="F604" s="81" t="n"/>
      <c r="G604" s="78" t="n"/>
      <c r="H604" s="78" t="n"/>
      <c r="I604" s="67">
        <f>IF($H604="","",IFERROR(INDEX(Action_Status_Map!$B$5:$B$11,MATCH($H604,Action_Status_Map!$A$5:$A$11,0)),""))</f>
        <v/>
      </c>
      <c r="J604" s="82" t="n"/>
      <c r="K604" s="82" t="n"/>
      <c r="L604" s="82" t="n"/>
      <c r="M604" s="83" t="n"/>
      <c r="N604" s="83" t="n"/>
      <c r="O604" s="66">
        <f>IF(OR($M604="",$N604=""),"",$N604-$M604)</f>
        <v/>
      </c>
      <c r="P604" s="84">
        <f>IF($J604="","",IF($L604&lt;&gt;"",$L604-$J604,TODAY()-$J604))</f>
        <v/>
      </c>
      <c r="Q604" s="85">
        <f>IF(OR($K604="",$H604="Completed",$H604="Cancelled"),"",IF(AND($K604&lt;TODAY(),$H604&lt;&gt;"Completed",$H604&lt;&gt;"Cancelled"),"Overdue","On Track"))</f>
        <v/>
      </c>
      <c r="R604" s="81" t="n"/>
      <c r="S604" s="81">
        <f>IF($B604="","",IFERROR(INDEX(Task_Tracker!$AA$5:$AA$1004,MATCH($B604,Task_Tracker!$A$5:$A$1004,0)),""))</f>
        <v/>
      </c>
      <c r="T604" s="81">
        <f>IF($B604="","",IFERROR(INDEX(Task_Tracker!$AB$5:$AB$1004,MATCH($B604,Task_Tracker!$A$5:$A$1004,0)),""))</f>
        <v/>
      </c>
      <c r="U604" s="78">
        <f>IF($B604="","",IFERROR(INDEX(Task_Tracker!$F$5:$F$1004,MATCH($B604,Task_Tracker!$A$5:$A$1004,0)),""))</f>
        <v/>
      </c>
      <c r="V604" s="78">
        <f>IF($B604="","",IFERROR(INDEX(Task_Tracker!$I$5:$I$1004,MATCH($B604,Task_Tracker!$A$5:$A$1004,0)),""))</f>
        <v/>
      </c>
      <c r="W604" s="81">
        <f>IF(OR($D604="",$B604=""),"",$D604&amp;" | "&amp;$B604)</f>
        <v/>
      </c>
      <c r="X604" s="85">
        <f>IF($K604="","",TEXT($K604,"yyyy-mm"))</f>
        <v/>
      </c>
      <c r="Y604" s="81">
        <f>IF(OR($A604="",$T604=""),"","Included in Manager_Report")</f>
        <v/>
      </c>
    </row>
    <row r="605" ht="15" customHeight="1" s="40">
      <c r="A605" s="65">
        <f>IF(COUNTA(B605:G605)=0,"","STP-"&amp;TEXT(ROW()-4,"0000"))</f>
        <v/>
      </c>
      <c r="B605" s="78" t="n"/>
      <c r="C605" s="67">
        <f>IF($B605="","",IFERROR(INDEX(Task_Tracker!$D$5:$D$1004,MATCH($B605,Task_Tracker!$A$5:$A$1004,0)),""))</f>
        <v/>
      </c>
      <c r="D605" s="67">
        <f>IF($B605="","",IFERROR(INDEX(Task_Tracker!$B$5:$B$1004,MATCH($B605,Task_Tracker!$A$5:$A$1004,0)),""))</f>
        <v/>
      </c>
      <c r="E605" s="81" t="n"/>
      <c r="F605" s="81" t="n"/>
      <c r="G605" s="78" t="n"/>
      <c r="H605" s="78" t="n"/>
      <c r="I605" s="67">
        <f>IF($H605="","",IFERROR(INDEX(Action_Status_Map!$B$5:$B$11,MATCH($H605,Action_Status_Map!$A$5:$A$11,0)),""))</f>
        <v/>
      </c>
      <c r="J605" s="82" t="n"/>
      <c r="K605" s="82" t="n"/>
      <c r="L605" s="82" t="n"/>
      <c r="M605" s="83" t="n"/>
      <c r="N605" s="83" t="n"/>
      <c r="O605" s="66">
        <f>IF(OR($M605="",$N605=""),"",$N605-$M605)</f>
        <v/>
      </c>
      <c r="P605" s="84">
        <f>IF($J605="","",IF($L605&lt;&gt;"",$L605-$J605,TODAY()-$J605))</f>
        <v/>
      </c>
      <c r="Q605" s="85">
        <f>IF(OR($K605="",$H605="Completed",$H605="Cancelled"),"",IF(AND($K605&lt;TODAY(),$H605&lt;&gt;"Completed",$H605&lt;&gt;"Cancelled"),"Overdue","On Track"))</f>
        <v/>
      </c>
      <c r="R605" s="81" t="n"/>
      <c r="S605" s="81">
        <f>IF($B605="","",IFERROR(INDEX(Task_Tracker!$AA$5:$AA$1004,MATCH($B605,Task_Tracker!$A$5:$A$1004,0)),""))</f>
        <v/>
      </c>
      <c r="T605" s="81">
        <f>IF($B605="","",IFERROR(INDEX(Task_Tracker!$AB$5:$AB$1004,MATCH($B605,Task_Tracker!$A$5:$A$1004,0)),""))</f>
        <v/>
      </c>
      <c r="U605" s="78">
        <f>IF($B605="","",IFERROR(INDEX(Task_Tracker!$F$5:$F$1004,MATCH($B605,Task_Tracker!$A$5:$A$1004,0)),""))</f>
        <v/>
      </c>
      <c r="V605" s="78">
        <f>IF($B605="","",IFERROR(INDEX(Task_Tracker!$I$5:$I$1004,MATCH($B605,Task_Tracker!$A$5:$A$1004,0)),""))</f>
        <v/>
      </c>
      <c r="W605" s="81">
        <f>IF(OR($D605="",$B605=""),"",$D605&amp;" | "&amp;$B605)</f>
        <v/>
      </c>
      <c r="X605" s="85">
        <f>IF($K605="","",TEXT($K605,"yyyy-mm"))</f>
        <v/>
      </c>
      <c r="Y605" s="81">
        <f>IF(OR($A605="",$T605=""),"","Included in Manager_Report")</f>
        <v/>
      </c>
    </row>
    <row r="606" ht="15" customHeight="1" s="40">
      <c r="A606" s="65">
        <f>IF(COUNTA(B606:G606)=0,"","STP-"&amp;TEXT(ROW()-4,"0000"))</f>
        <v/>
      </c>
      <c r="B606" s="78" t="n"/>
      <c r="C606" s="67">
        <f>IF($B606="","",IFERROR(INDEX(Task_Tracker!$D$5:$D$1004,MATCH($B606,Task_Tracker!$A$5:$A$1004,0)),""))</f>
        <v/>
      </c>
      <c r="D606" s="67">
        <f>IF($B606="","",IFERROR(INDEX(Task_Tracker!$B$5:$B$1004,MATCH($B606,Task_Tracker!$A$5:$A$1004,0)),""))</f>
        <v/>
      </c>
      <c r="E606" s="81" t="n"/>
      <c r="F606" s="81" t="n"/>
      <c r="G606" s="78" t="n"/>
      <c r="H606" s="78" t="n"/>
      <c r="I606" s="67">
        <f>IF($H606="","",IFERROR(INDEX(Action_Status_Map!$B$5:$B$11,MATCH($H606,Action_Status_Map!$A$5:$A$11,0)),""))</f>
        <v/>
      </c>
      <c r="J606" s="82" t="n"/>
      <c r="K606" s="82" t="n"/>
      <c r="L606" s="82" t="n"/>
      <c r="M606" s="83" t="n"/>
      <c r="N606" s="83" t="n"/>
      <c r="O606" s="66">
        <f>IF(OR($M606="",$N606=""),"",$N606-$M606)</f>
        <v/>
      </c>
      <c r="P606" s="84">
        <f>IF($J606="","",IF($L606&lt;&gt;"",$L606-$J606,TODAY()-$J606))</f>
        <v/>
      </c>
      <c r="Q606" s="85">
        <f>IF(OR($K606="",$H606="Completed",$H606="Cancelled"),"",IF(AND($K606&lt;TODAY(),$H606&lt;&gt;"Completed",$H606&lt;&gt;"Cancelled"),"Overdue","On Track"))</f>
        <v/>
      </c>
      <c r="R606" s="81" t="n"/>
      <c r="S606" s="81">
        <f>IF($B606="","",IFERROR(INDEX(Task_Tracker!$AA$5:$AA$1004,MATCH($B606,Task_Tracker!$A$5:$A$1004,0)),""))</f>
        <v/>
      </c>
      <c r="T606" s="81">
        <f>IF($B606="","",IFERROR(INDEX(Task_Tracker!$AB$5:$AB$1004,MATCH($B606,Task_Tracker!$A$5:$A$1004,0)),""))</f>
        <v/>
      </c>
      <c r="U606" s="78">
        <f>IF($B606="","",IFERROR(INDEX(Task_Tracker!$F$5:$F$1004,MATCH($B606,Task_Tracker!$A$5:$A$1004,0)),""))</f>
        <v/>
      </c>
      <c r="V606" s="78">
        <f>IF($B606="","",IFERROR(INDEX(Task_Tracker!$I$5:$I$1004,MATCH($B606,Task_Tracker!$A$5:$A$1004,0)),""))</f>
        <v/>
      </c>
      <c r="W606" s="81">
        <f>IF(OR($D606="",$B606=""),"",$D606&amp;" | "&amp;$B606)</f>
        <v/>
      </c>
      <c r="X606" s="85">
        <f>IF($K606="","",TEXT($K606,"yyyy-mm"))</f>
        <v/>
      </c>
      <c r="Y606" s="81">
        <f>IF(OR($A606="",$T606=""),"","Included in Manager_Report")</f>
        <v/>
      </c>
    </row>
    <row r="607" ht="15" customHeight="1" s="40">
      <c r="A607" s="65">
        <f>IF(COUNTA(B607:G607)=0,"","STP-"&amp;TEXT(ROW()-4,"0000"))</f>
        <v/>
      </c>
      <c r="B607" s="78" t="n"/>
      <c r="C607" s="67">
        <f>IF($B607="","",IFERROR(INDEX(Task_Tracker!$D$5:$D$1004,MATCH($B607,Task_Tracker!$A$5:$A$1004,0)),""))</f>
        <v/>
      </c>
      <c r="D607" s="67">
        <f>IF($B607="","",IFERROR(INDEX(Task_Tracker!$B$5:$B$1004,MATCH($B607,Task_Tracker!$A$5:$A$1004,0)),""))</f>
        <v/>
      </c>
      <c r="E607" s="81" t="n"/>
      <c r="F607" s="81" t="n"/>
      <c r="G607" s="78" t="n"/>
      <c r="H607" s="78" t="n"/>
      <c r="I607" s="67">
        <f>IF($H607="","",IFERROR(INDEX(Action_Status_Map!$B$5:$B$11,MATCH($H607,Action_Status_Map!$A$5:$A$11,0)),""))</f>
        <v/>
      </c>
      <c r="J607" s="82" t="n"/>
      <c r="K607" s="82" t="n"/>
      <c r="L607" s="82" t="n"/>
      <c r="M607" s="83" t="n"/>
      <c r="N607" s="83" t="n"/>
      <c r="O607" s="66">
        <f>IF(OR($M607="",$N607=""),"",$N607-$M607)</f>
        <v/>
      </c>
      <c r="P607" s="84">
        <f>IF($J607="","",IF($L607&lt;&gt;"",$L607-$J607,TODAY()-$J607))</f>
        <v/>
      </c>
      <c r="Q607" s="85">
        <f>IF(OR($K607="",$H607="Completed",$H607="Cancelled"),"",IF(AND($K607&lt;TODAY(),$H607&lt;&gt;"Completed",$H607&lt;&gt;"Cancelled"),"Overdue","On Track"))</f>
        <v/>
      </c>
      <c r="R607" s="81" t="n"/>
      <c r="S607" s="81">
        <f>IF($B607="","",IFERROR(INDEX(Task_Tracker!$AA$5:$AA$1004,MATCH($B607,Task_Tracker!$A$5:$A$1004,0)),""))</f>
        <v/>
      </c>
      <c r="T607" s="81">
        <f>IF($B607="","",IFERROR(INDEX(Task_Tracker!$AB$5:$AB$1004,MATCH($B607,Task_Tracker!$A$5:$A$1004,0)),""))</f>
        <v/>
      </c>
      <c r="U607" s="78">
        <f>IF($B607="","",IFERROR(INDEX(Task_Tracker!$F$5:$F$1004,MATCH($B607,Task_Tracker!$A$5:$A$1004,0)),""))</f>
        <v/>
      </c>
      <c r="V607" s="78">
        <f>IF($B607="","",IFERROR(INDEX(Task_Tracker!$I$5:$I$1004,MATCH($B607,Task_Tracker!$A$5:$A$1004,0)),""))</f>
        <v/>
      </c>
      <c r="W607" s="81">
        <f>IF(OR($D607="",$B607=""),"",$D607&amp;" | "&amp;$B607)</f>
        <v/>
      </c>
      <c r="X607" s="85">
        <f>IF($K607="","",TEXT($K607,"yyyy-mm"))</f>
        <v/>
      </c>
      <c r="Y607" s="81">
        <f>IF(OR($A607="",$T607=""),"","Included in Manager_Report")</f>
        <v/>
      </c>
    </row>
    <row r="608" ht="15" customHeight="1" s="40">
      <c r="A608" s="65">
        <f>IF(COUNTA(B608:G608)=0,"","STP-"&amp;TEXT(ROW()-4,"0000"))</f>
        <v/>
      </c>
      <c r="B608" s="78" t="n"/>
      <c r="C608" s="67">
        <f>IF($B608="","",IFERROR(INDEX(Task_Tracker!$D$5:$D$1004,MATCH($B608,Task_Tracker!$A$5:$A$1004,0)),""))</f>
        <v/>
      </c>
      <c r="D608" s="67">
        <f>IF($B608="","",IFERROR(INDEX(Task_Tracker!$B$5:$B$1004,MATCH($B608,Task_Tracker!$A$5:$A$1004,0)),""))</f>
        <v/>
      </c>
      <c r="E608" s="81" t="n"/>
      <c r="F608" s="81" t="n"/>
      <c r="G608" s="78" t="n"/>
      <c r="H608" s="78" t="n"/>
      <c r="I608" s="67">
        <f>IF($H608="","",IFERROR(INDEX(Action_Status_Map!$B$5:$B$11,MATCH($H608,Action_Status_Map!$A$5:$A$11,0)),""))</f>
        <v/>
      </c>
      <c r="J608" s="82" t="n"/>
      <c r="K608" s="82" t="n"/>
      <c r="L608" s="82" t="n"/>
      <c r="M608" s="83" t="n"/>
      <c r="N608" s="83" t="n"/>
      <c r="O608" s="66">
        <f>IF(OR($M608="",$N608=""),"",$N608-$M608)</f>
        <v/>
      </c>
      <c r="P608" s="84">
        <f>IF($J608="","",IF($L608&lt;&gt;"",$L608-$J608,TODAY()-$J608))</f>
        <v/>
      </c>
      <c r="Q608" s="85">
        <f>IF(OR($K608="",$H608="Completed",$H608="Cancelled"),"",IF(AND($K608&lt;TODAY(),$H608&lt;&gt;"Completed",$H608&lt;&gt;"Cancelled"),"Overdue","On Track"))</f>
        <v/>
      </c>
      <c r="R608" s="81" t="n"/>
      <c r="S608" s="81">
        <f>IF($B608="","",IFERROR(INDEX(Task_Tracker!$AA$5:$AA$1004,MATCH($B608,Task_Tracker!$A$5:$A$1004,0)),""))</f>
        <v/>
      </c>
      <c r="T608" s="81">
        <f>IF($B608="","",IFERROR(INDEX(Task_Tracker!$AB$5:$AB$1004,MATCH($B608,Task_Tracker!$A$5:$A$1004,0)),""))</f>
        <v/>
      </c>
      <c r="U608" s="78">
        <f>IF($B608="","",IFERROR(INDEX(Task_Tracker!$F$5:$F$1004,MATCH($B608,Task_Tracker!$A$5:$A$1004,0)),""))</f>
        <v/>
      </c>
      <c r="V608" s="78">
        <f>IF($B608="","",IFERROR(INDEX(Task_Tracker!$I$5:$I$1004,MATCH($B608,Task_Tracker!$A$5:$A$1004,0)),""))</f>
        <v/>
      </c>
      <c r="W608" s="81">
        <f>IF(OR($D608="",$B608=""),"",$D608&amp;" | "&amp;$B608)</f>
        <v/>
      </c>
      <c r="X608" s="85">
        <f>IF($K608="","",TEXT($K608,"yyyy-mm"))</f>
        <v/>
      </c>
      <c r="Y608" s="81">
        <f>IF(OR($A608="",$T608=""),"","Included in Manager_Report")</f>
        <v/>
      </c>
    </row>
    <row r="609" ht="15" customHeight="1" s="40">
      <c r="A609" s="65">
        <f>IF(COUNTA(B609:G609)=0,"","STP-"&amp;TEXT(ROW()-4,"0000"))</f>
        <v/>
      </c>
      <c r="B609" s="78" t="n"/>
      <c r="C609" s="67">
        <f>IF($B609="","",IFERROR(INDEX(Task_Tracker!$D$5:$D$1004,MATCH($B609,Task_Tracker!$A$5:$A$1004,0)),""))</f>
        <v/>
      </c>
      <c r="D609" s="67">
        <f>IF($B609="","",IFERROR(INDEX(Task_Tracker!$B$5:$B$1004,MATCH($B609,Task_Tracker!$A$5:$A$1004,0)),""))</f>
        <v/>
      </c>
      <c r="E609" s="81" t="n"/>
      <c r="F609" s="81" t="n"/>
      <c r="G609" s="78" t="n"/>
      <c r="H609" s="78" t="n"/>
      <c r="I609" s="67">
        <f>IF($H609="","",IFERROR(INDEX(Action_Status_Map!$B$5:$B$11,MATCH($H609,Action_Status_Map!$A$5:$A$11,0)),""))</f>
        <v/>
      </c>
      <c r="J609" s="82" t="n"/>
      <c r="K609" s="82" t="n"/>
      <c r="L609" s="82" t="n"/>
      <c r="M609" s="83" t="n"/>
      <c r="N609" s="83" t="n"/>
      <c r="O609" s="66">
        <f>IF(OR($M609="",$N609=""),"",$N609-$M609)</f>
        <v/>
      </c>
      <c r="P609" s="84">
        <f>IF($J609="","",IF($L609&lt;&gt;"",$L609-$J609,TODAY()-$J609))</f>
        <v/>
      </c>
      <c r="Q609" s="85">
        <f>IF(OR($K609="",$H609="Completed",$H609="Cancelled"),"",IF(AND($K609&lt;TODAY(),$H609&lt;&gt;"Completed",$H609&lt;&gt;"Cancelled"),"Overdue","On Track"))</f>
        <v/>
      </c>
      <c r="R609" s="81" t="n"/>
      <c r="S609" s="81">
        <f>IF($B609="","",IFERROR(INDEX(Task_Tracker!$AA$5:$AA$1004,MATCH($B609,Task_Tracker!$A$5:$A$1004,0)),""))</f>
        <v/>
      </c>
      <c r="T609" s="81">
        <f>IF($B609="","",IFERROR(INDEX(Task_Tracker!$AB$5:$AB$1004,MATCH($B609,Task_Tracker!$A$5:$A$1004,0)),""))</f>
        <v/>
      </c>
      <c r="U609" s="78">
        <f>IF($B609="","",IFERROR(INDEX(Task_Tracker!$F$5:$F$1004,MATCH($B609,Task_Tracker!$A$5:$A$1004,0)),""))</f>
        <v/>
      </c>
      <c r="V609" s="78">
        <f>IF($B609="","",IFERROR(INDEX(Task_Tracker!$I$5:$I$1004,MATCH($B609,Task_Tracker!$A$5:$A$1004,0)),""))</f>
        <v/>
      </c>
      <c r="W609" s="81">
        <f>IF(OR($D609="",$B609=""),"",$D609&amp;" | "&amp;$B609)</f>
        <v/>
      </c>
      <c r="X609" s="85">
        <f>IF($K609="","",TEXT($K609,"yyyy-mm"))</f>
        <v/>
      </c>
      <c r="Y609" s="81">
        <f>IF(OR($A609="",$T609=""),"","Included in Manager_Report")</f>
        <v/>
      </c>
    </row>
    <row r="610" ht="15" customHeight="1" s="40">
      <c r="A610" s="65">
        <f>IF(COUNTA(B610:G610)=0,"","STP-"&amp;TEXT(ROW()-4,"0000"))</f>
        <v/>
      </c>
      <c r="B610" s="78" t="n"/>
      <c r="C610" s="67">
        <f>IF($B610="","",IFERROR(INDEX(Task_Tracker!$D$5:$D$1004,MATCH($B610,Task_Tracker!$A$5:$A$1004,0)),""))</f>
        <v/>
      </c>
      <c r="D610" s="67">
        <f>IF($B610="","",IFERROR(INDEX(Task_Tracker!$B$5:$B$1004,MATCH($B610,Task_Tracker!$A$5:$A$1004,0)),""))</f>
        <v/>
      </c>
      <c r="E610" s="81" t="n"/>
      <c r="F610" s="81" t="n"/>
      <c r="G610" s="78" t="n"/>
      <c r="H610" s="78" t="n"/>
      <c r="I610" s="67">
        <f>IF($H610="","",IFERROR(INDEX(Action_Status_Map!$B$5:$B$11,MATCH($H610,Action_Status_Map!$A$5:$A$11,0)),""))</f>
        <v/>
      </c>
      <c r="J610" s="82" t="n"/>
      <c r="K610" s="82" t="n"/>
      <c r="L610" s="82" t="n"/>
      <c r="M610" s="83" t="n"/>
      <c r="N610" s="83" t="n"/>
      <c r="O610" s="66">
        <f>IF(OR($M610="",$N610=""),"",$N610-$M610)</f>
        <v/>
      </c>
      <c r="P610" s="84">
        <f>IF($J610="","",IF($L610&lt;&gt;"",$L610-$J610,TODAY()-$J610))</f>
        <v/>
      </c>
      <c r="Q610" s="85">
        <f>IF(OR($K610="",$H610="Completed",$H610="Cancelled"),"",IF(AND($K610&lt;TODAY(),$H610&lt;&gt;"Completed",$H610&lt;&gt;"Cancelled"),"Overdue","On Track"))</f>
        <v/>
      </c>
      <c r="R610" s="81" t="n"/>
      <c r="S610" s="81">
        <f>IF($B610="","",IFERROR(INDEX(Task_Tracker!$AA$5:$AA$1004,MATCH($B610,Task_Tracker!$A$5:$A$1004,0)),""))</f>
        <v/>
      </c>
      <c r="T610" s="81">
        <f>IF($B610="","",IFERROR(INDEX(Task_Tracker!$AB$5:$AB$1004,MATCH($B610,Task_Tracker!$A$5:$A$1004,0)),""))</f>
        <v/>
      </c>
      <c r="U610" s="78">
        <f>IF($B610="","",IFERROR(INDEX(Task_Tracker!$F$5:$F$1004,MATCH($B610,Task_Tracker!$A$5:$A$1004,0)),""))</f>
        <v/>
      </c>
      <c r="V610" s="78">
        <f>IF($B610="","",IFERROR(INDEX(Task_Tracker!$I$5:$I$1004,MATCH($B610,Task_Tracker!$A$5:$A$1004,0)),""))</f>
        <v/>
      </c>
      <c r="W610" s="81">
        <f>IF(OR($D610="",$B610=""),"",$D610&amp;" | "&amp;$B610)</f>
        <v/>
      </c>
      <c r="X610" s="85">
        <f>IF($K610="","",TEXT($K610,"yyyy-mm"))</f>
        <v/>
      </c>
      <c r="Y610" s="81">
        <f>IF(OR($A610="",$T610=""),"","Included in Manager_Report")</f>
        <v/>
      </c>
    </row>
    <row r="611" ht="15" customHeight="1" s="40">
      <c r="A611" s="65">
        <f>IF(COUNTA(B611:G611)=0,"","STP-"&amp;TEXT(ROW()-4,"0000"))</f>
        <v/>
      </c>
      <c r="B611" s="78" t="n"/>
      <c r="C611" s="67">
        <f>IF($B611="","",IFERROR(INDEX(Task_Tracker!$D$5:$D$1004,MATCH($B611,Task_Tracker!$A$5:$A$1004,0)),""))</f>
        <v/>
      </c>
      <c r="D611" s="67">
        <f>IF($B611="","",IFERROR(INDEX(Task_Tracker!$B$5:$B$1004,MATCH($B611,Task_Tracker!$A$5:$A$1004,0)),""))</f>
        <v/>
      </c>
      <c r="E611" s="81" t="n"/>
      <c r="F611" s="81" t="n"/>
      <c r="G611" s="78" t="n"/>
      <c r="H611" s="78" t="n"/>
      <c r="I611" s="67">
        <f>IF($H611="","",IFERROR(INDEX(Action_Status_Map!$B$5:$B$11,MATCH($H611,Action_Status_Map!$A$5:$A$11,0)),""))</f>
        <v/>
      </c>
      <c r="J611" s="82" t="n"/>
      <c r="K611" s="82" t="n"/>
      <c r="L611" s="82" t="n"/>
      <c r="M611" s="83" t="n"/>
      <c r="N611" s="83" t="n"/>
      <c r="O611" s="66">
        <f>IF(OR($M611="",$N611=""),"",$N611-$M611)</f>
        <v/>
      </c>
      <c r="P611" s="84">
        <f>IF($J611="","",IF($L611&lt;&gt;"",$L611-$J611,TODAY()-$J611))</f>
        <v/>
      </c>
      <c r="Q611" s="85">
        <f>IF(OR($K611="",$H611="Completed",$H611="Cancelled"),"",IF(AND($K611&lt;TODAY(),$H611&lt;&gt;"Completed",$H611&lt;&gt;"Cancelled"),"Overdue","On Track"))</f>
        <v/>
      </c>
      <c r="R611" s="81" t="n"/>
      <c r="S611" s="81">
        <f>IF($B611="","",IFERROR(INDEX(Task_Tracker!$AA$5:$AA$1004,MATCH($B611,Task_Tracker!$A$5:$A$1004,0)),""))</f>
        <v/>
      </c>
      <c r="T611" s="81">
        <f>IF($B611="","",IFERROR(INDEX(Task_Tracker!$AB$5:$AB$1004,MATCH($B611,Task_Tracker!$A$5:$A$1004,0)),""))</f>
        <v/>
      </c>
      <c r="U611" s="78">
        <f>IF($B611="","",IFERROR(INDEX(Task_Tracker!$F$5:$F$1004,MATCH($B611,Task_Tracker!$A$5:$A$1004,0)),""))</f>
        <v/>
      </c>
      <c r="V611" s="78">
        <f>IF($B611="","",IFERROR(INDEX(Task_Tracker!$I$5:$I$1004,MATCH($B611,Task_Tracker!$A$5:$A$1004,0)),""))</f>
        <v/>
      </c>
      <c r="W611" s="81">
        <f>IF(OR($D611="",$B611=""),"",$D611&amp;" | "&amp;$B611)</f>
        <v/>
      </c>
      <c r="X611" s="85">
        <f>IF($K611="","",TEXT($K611,"yyyy-mm"))</f>
        <v/>
      </c>
      <c r="Y611" s="81">
        <f>IF(OR($A611="",$T611=""),"","Included in Manager_Report")</f>
        <v/>
      </c>
    </row>
    <row r="612" ht="15" customHeight="1" s="40">
      <c r="A612" s="65">
        <f>IF(COUNTA(B612:G612)=0,"","STP-"&amp;TEXT(ROW()-4,"0000"))</f>
        <v/>
      </c>
      <c r="B612" s="78" t="n"/>
      <c r="C612" s="67">
        <f>IF($B612="","",IFERROR(INDEX(Task_Tracker!$D$5:$D$1004,MATCH($B612,Task_Tracker!$A$5:$A$1004,0)),""))</f>
        <v/>
      </c>
      <c r="D612" s="67">
        <f>IF($B612="","",IFERROR(INDEX(Task_Tracker!$B$5:$B$1004,MATCH($B612,Task_Tracker!$A$5:$A$1004,0)),""))</f>
        <v/>
      </c>
      <c r="E612" s="81" t="n"/>
      <c r="F612" s="81" t="n"/>
      <c r="G612" s="78" t="n"/>
      <c r="H612" s="78" t="n"/>
      <c r="I612" s="67">
        <f>IF($H612="","",IFERROR(INDEX(Action_Status_Map!$B$5:$B$11,MATCH($H612,Action_Status_Map!$A$5:$A$11,0)),""))</f>
        <v/>
      </c>
      <c r="J612" s="82" t="n"/>
      <c r="K612" s="82" t="n"/>
      <c r="L612" s="82" t="n"/>
      <c r="M612" s="83" t="n"/>
      <c r="N612" s="83" t="n"/>
      <c r="O612" s="66">
        <f>IF(OR($M612="",$N612=""),"",$N612-$M612)</f>
        <v/>
      </c>
      <c r="P612" s="84">
        <f>IF($J612="","",IF($L612&lt;&gt;"",$L612-$J612,TODAY()-$J612))</f>
        <v/>
      </c>
      <c r="Q612" s="85">
        <f>IF(OR($K612="",$H612="Completed",$H612="Cancelled"),"",IF(AND($K612&lt;TODAY(),$H612&lt;&gt;"Completed",$H612&lt;&gt;"Cancelled"),"Overdue","On Track"))</f>
        <v/>
      </c>
      <c r="R612" s="81" t="n"/>
      <c r="S612" s="81">
        <f>IF($B612="","",IFERROR(INDEX(Task_Tracker!$AA$5:$AA$1004,MATCH($B612,Task_Tracker!$A$5:$A$1004,0)),""))</f>
        <v/>
      </c>
      <c r="T612" s="81">
        <f>IF($B612="","",IFERROR(INDEX(Task_Tracker!$AB$5:$AB$1004,MATCH($B612,Task_Tracker!$A$5:$A$1004,0)),""))</f>
        <v/>
      </c>
      <c r="U612" s="78">
        <f>IF($B612="","",IFERROR(INDEX(Task_Tracker!$F$5:$F$1004,MATCH($B612,Task_Tracker!$A$5:$A$1004,0)),""))</f>
        <v/>
      </c>
      <c r="V612" s="78">
        <f>IF($B612="","",IFERROR(INDEX(Task_Tracker!$I$5:$I$1004,MATCH($B612,Task_Tracker!$A$5:$A$1004,0)),""))</f>
        <v/>
      </c>
      <c r="W612" s="81">
        <f>IF(OR($D612="",$B612=""),"",$D612&amp;" | "&amp;$B612)</f>
        <v/>
      </c>
      <c r="X612" s="85">
        <f>IF($K612="","",TEXT($K612,"yyyy-mm"))</f>
        <v/>
      </c>
      <c r="Y612" s="81">
        <f>IF(OR($A612="",$T612=""),"","Included in Manager_Report")</f>
        <v/>
      </c>
    </row>
    <row r="613" ht="15" customHeight="1" s="40">
      <c r="A613" s="65">
        <f>IF(COUNTA(B613:G613)=0,"","STP-"&amp;TEXT(ROW()-4,"0000"))</f>
        <v/>
      </c>
      <c r="B613" s="78" t="n"/>
      <c r="C613" s="67">
        <f>IF($B613="","",IFERROR(INDEX(Task_Tracker!$D$5:$D$1004,MATCH($B613,Task_Tracker!$A$5:$A$1004,0)),""))</f>
        <v/>
      </c>
      <c r="D613" s="67">
        <f>IF($B613="","",IFERROR(INDEX(Task_Tracker!$B$5:$B$1004,MATCH($B613,Task_Tracker!$A$5:$A$1004,0)),""))</f>
        <v/>
      </c>
      <c r="E613" s="81" t="n"/>
      <c r="F613" s="81" t="n"/>
      <c r="G613" s="78" t="n"/>
      <c r="H613" s="78" t="n"/>
      <c r="I613" s="67">
        <f>IF($H613="","",IFERROR(INDEX(Action_Status_Map!$B$5:$B$11,MATCH($H613,Action_Status_Map!$A$5:$A$11,0)),""))</f>
        <v/>
      </c>
      <c r="J613" s="82" t="n"/>
      <c r="K613" s="82" t="n"/>
      <c r="L613" s="82" t="n"/>
      <c r="M613" s="83" t="n"/>
      <c r="N613" s="83" t="n"/>
      <c r="O613" s="66">
        <f>IF(OR($M613="",$N613=""),"",$N613-$M613)</f>
        <v/>
      </c>
      <c r="P613" s="84">
        <f>IF($J613="","",IF($L613&lt;&gt;"",$L613-$J613,TODAY()-$J613))</f>
        <v/>
      </c>
      <c r="Q613" s="85">
        <f>IF(OR($K613="",$H613="Completed",$H613="Cancelled"),"",IF(AND($K613&lt;TODAY(),$H613&lt;&gt;"Completed",$H613&lt;&gt;"Cancelled"),"Overdue","On Track"))</f>
        <v/>
      </c>
      <c r="R613" s="81" t="n"/>
      <c r="S613" s="81">
        <f>IF($B613="","",IFERROR(INDEX(Task_Tracker!$AA$5:$AA$1004,MATCH($B613,Task_Tracker!$A$5:$A$1004,0)),""))</f>
        <v/>
      </c>
      <c r="T613" s="81">
        <f>IF($B613="","",IFERROR(INDEX(Task_Tracker!$AB$5:$AB$1004,MATCH($B613,Task_Tracker!$A$5:$A$1004,0)),""))</f>
        <v/>
      </c>
      <c r="U613" s="78">
        <f>IF($B613="","",IFERROR(INDEX(Task_Tracker!$F$5:$F$1004,MATCH($B613,Task_Tracker!$A$5:$A$1004,0)),""))</f>
        <v/>
      </c>
      <c r="V613" s="78">
        <f>IF($B613="","",IFERROR(INDEX(Task_Tracker!$I$5:$I$1004,MATCH($B613,Task_Tracker!$A$5:$A$1004,0)),""))</f>
        <v/>
      </c>
      <c r="W613" s="81">
        <f>IF(OR($D613="",$B613=""),"",$D613&amp;" | "&amp;$B613)</f>
        <v/>
      </c>
      <c r="X613" s="85">
        <f>IF($K613="","",TEXT($K613,"yyyy-mm"))</f>
        <v/>
      </c>
      <c r="Y613" s="81">
        <f>IF(OR($A613="",$T613=""),"","Included in Manager_Report")</f>
        <v/>
      </c>
    </row>
    <row r="614" ht="15" customHeight="1" s="40">
      <c r="A614" s="65">
        <f>IF(COUNTA(B614:G614)=0,"","STP-"&amp;TEXT(ROW()-4,"0000"))</f>
        <v/>
      </c>
      <c r="B614" s="78" t="n"/>
      <c r="C614" s="67">
        <f>IF($B614="","",IFERROR(INDEX(Task_Tracker!$D$5:$D$1004,MATCH($B614,Task_Tracker!$A$5:$A$1004,0)),""))</f>
        <v/>
      </c>
      <c r="D614" s="67">
        <f>IF($B614="","",IFERROR(INDEX(Task_Tracker!$B$5:$B$1004,MATCH($B614,Task_Tracker!$A$5:$A$1004,0)),""))</f>
        <v/>
      </c>
      <c r="E614" s="81" t="n"/>
      <c r="F614" s="81" t="n"/>
      <c r="G614" s="78" t="n"/>
      <c r="H614" s="78" t="n"/>
      <c r="I614" s="67">
        <f>IF($H614="","",IFERROR(INDEX(Action_Status_Map!$B$5:$B$11,MATCH($H614,Action_Status_Map!$A$5:$A$11,0)),""))</f>
        <v/>
      </c>
      <c r="J614" s="82" t="n"/>
      <c r="K614" s="82" t="n"/>
      <c r="L614" s="82" t="n"/>
      <c r="M614" s="83" t="n"/>
      <c r="N614" s="83" t="n"/>
      <c r="O614" s="66">
        <f>IF(OR($M614="",$N614=""),"",$N614-$M614)</f>
        <v/>
      </c>
      <c r="P614" s="84">
        <f>IF($J614="","",IF($L614&lt;&gt;"",$L614-$J614,TODAY()-$J614))</f>
        <v/>
      </c>
      <c r="Q614" s="85">
        <f>IF(OR($K614="",$H614="Completed",$H614="Cancelled"),"",IF(AND($K614&lt;TODAY(),$H614&lt;&gt;"Completed",$H614&lt;&gt;"Cancelled"),"Overdue","On Track"))</f>
        <v/>
      </c>
      <c r="R614" s="81" t="n"/>
      <c r="S614" s="81">
        <f>IF($B614="","",IFERROR(INDEX(Task_Tracker!$AA$5:$AA$1004,MATCH($B614,Task_Tracker!$A$5:$A$1004,0)),""))</f>
        <v/>
      </c>
      <c r="T614" s="81">
        <f>IF($B614="","",IFERROR(INDEX(Task_Tracker!$AB$5:$AB$1004,MATCH($B614,Task_Tracker!$A$5:$A$1004,0)),""))</f>
        <v/>
      </c>
      <c r="U614" s="78">
        <f>IF($B614="","",IFERROR(INDEX(Task_Tracker!$F$5:$F$1004,MATCH($B614,Task_Tracker!$A$5:$A$1004,0)),""))</f>
        <v/>
      </c>
      <c r="V614" s="78">
        <f>IF($B614="","",IFERROR(INDEX(Task_Tracker!$I$5:$I$1004,MATCH($B614,Task_Tracker!$A$5:$A$1004,0)),""))</f>
        <v/>
      </c>
      <c r="W614" s="81">
        <f>IF(OR($D614="",$B614=""),"",$D614&amp;" | "&amp;$B614)</f>
        <v/>
      </c>
      <c r="X614" s="85">
        <f>IF($K614="","",TEXT($K614,"yyyy-mm"))</f>
        <v/>
      </c>
      <c r="Y614" s="81">
        <f>IF(OR($A614="",$T614=""),"","Included in Manager_Report")</f>
        <v/>
      </c>
    </row>
    <row r="615" ht="15" customHeight="1" s="40">
      <c r="A615" s="65">
        <f>IF(COUNTA(B615:G615)=0,"","STP-"&amp;TEXT(ROW()-4,"0000"))</f>
        <v/>
      </c>
      <c r="B615" s="78" t="n"/>
      <c r="C615" s="67">
        <f>IF($B615="","",IFERROR(INDEX(Task_Tracker!$D$5:$D$1004,MATCH($B615,Task_Tracker!$A$5:$A$1004,0)),""))</f>
        <v/>
      </c>
      <c r="D615" s="67">
        <f>IF($B615="","",IFERROR(INDEX(Task_Tracker!$B$5:$B$1004,MATCH($B615,Task_Tracker!$A$5:$A$1004,0)),""))</f>
        <v/>
      </c>
      <c r="E615" s="81" t="n"/>
      <c r="F615" s="81" t="n"/>
      <c r="G615" s="78" t="n"/>
      <c r="H615" s="78" t="n"/>
      <c r="I615" s="67">
        <f>IF($H615="","",IFERROR(INDEX(Action_Status_Map!$B$5:$B$11,MATCH($H615,Action_Status_Map!$A$5:$A$11,0)),""))</f>
        <v/>
      </c>
      <c r="J615" s="82" t="n"/>
      <c r="K615" s="82" t="n"/>
      <c r="L615" s="82" t="n"/>
      <c r="M615" s="83" t="n"/>
      <c r="N615" s="83" t="n"/>
      <c r="O615" s="66">
        <f>IF(OR($M615="",$N615=""),"",$N615-$M615)</f>
        <v/>
      </c>
      <c r="P615" s="84">
        <f>IF($J615="","",IF($L615&lt;&gt;"",$L615-$J615,TODAY()-$J615))</f>
        <v/>
      </c>
      <c r="Q615" s="85">
        <f>IF(OR($K615="",$H615="Completed",$H615="Cancelled"),"",IF(AND($K615&lt;TODAY(),$H615&lt;&gt;"Completed",$H615&lt;&gt;"Cancelled"),"Overdue","On Track"))</f>
        <v/>
      </c>
      <c r="R615" s="81" t="n"/>
      <c r="S615" s="81">
        <f>IF($B615="","",IFERROR(INDEX(Task_Tracker!$AA$5:$AA$1004,MATCH($B615,Task_Tracker!$A$5:$A$1004,0)),""))</f>
        <v/>
      </c>
      <c r="T615" s="81">
        <f>IF($B615="","",IFERROR(INDEX(Task_Tracker!$AB$5:$AB$1004,MATCH($B615,Task_Tracker!$A$5:$A$1004,0)),""))</f>
        <v/>
      </c>
      <c r="U615" s="78">
        <f>IF($B615="","",IFERROR(INDEX(Task_Tracker!$F$5:$F$1004,MATCH($B615,Task_Tracker!$A$5:$A$1004,0)),""))</f>
        <v/>
      </c>
      <c r="V615" s="78">
        <f>IF($B615="","",IFERROR(INDEX(Task_Tracker!$I$5:$I$1004,MATCH($B615,Task_Tracker!$A$5:$A$1004,0)),""))</f>
        <v/>
      </c>
      <c r="W615" s="81">
        <f>IF(OR($D615="",$B615=""),"",$D615&amp;" | "&amp;$B615)</f>
        <v/>
      </c>
      <c r="X615" s="85">
        <f>IF($K615="","",TEXT($K615,"yyyy-mm"))</f>
        <v/>
      </c>
      <c r="Y615" s="81">
        <f>IF(OR($A615="",$T615=""),"","Included in Manager_Report")</f>
        <v/>
      </c>
    </row>
    <row r="616" ht="15" customHeight="1" s="40">
      <c r="A616" s="65">
        <f>IF(COUNTA(B616:G616)=0,"","STP-"&amp;TEXT(ROW()-4,"0000"))</f>
        <v/>
      </c>
      <c r="B616" s="78" t="n"/>
      <c r="C616" s="67">
        <f>IF($B616="","",IFERROR(INDEX(Task_Tracker!$D$5:$D$1004,MATCH($B616,Task_Tracker!$A$5:$A$1004,0)),""))</f>
        <v/>
      </c>
      <c r="D616" s="67">
        <f>IF($B616="","",IFERROR(INDEX(Task_Tracker!$B$5:$B$1004,MATCH($B616,Task_Tracker!$A$5:$A$1004,0)),""))</f>
        <v/>
      </c>
      <c r="E616" s="81" t="n"/>
      <c r="F616" s="81" t="n"/>
      <c r="G616" s="78" t="n"/>
      <c r="H616" s="78" t="n"/>
      <c r="I616" s="67">
        <f>IF($H616="","",IFERROR(INDEX(Action_Status_Map!$B$5:$B$11,MATCH($H616,Action_Status_Map!$A$5:$A$11,0)),""))</f>
        <v/>
      </c>
      <c r="J616" s="82" t="n"/>
      <c r="K616" s="82" t="n"/>
      <c r="L616" s="82" t="n"/>
      <c r="M616" s="83" t="n"/>
      <c r="N616" s="83" t="n"/>
      <c r="O616" s="66">
        <f>IF(OR($M616="",$N616=""),"",$N616-$M616)</f>
        <v/>
      </c>
      <c r="P616" s="84">
        <f>IF($J616="","",IF($L616&lt;&gt;"",$L616-$J616,TODAY()-$J616))</f>
        <v/>
      </c>
      <c r="Q616" s="85">
        <f>IF(OR($K616="",$H616="Completed",$H616="Cancelled"),"",IF(AND($K616&lt;TODAY(),$H616&lt;&gt;"Completed",$H616&lt;&gt;"Cancelled"),"Overdue","On Track"))</f>
        <v/>
      </c>
      <c r="R616" s="81" t="n"/>
      <c r="S616" s="81">
        <f>IF($B616="","",IFERROR(INDEX(Task_Tracker!$AA$5:$AA$1004,MATCH($B616,Task_Tracker!$A$5:$A$1004,0)),""))</f>
        <v/>
      </c>
      <c r="T616" s="81">
        <f>IF($B616="","",IFERROR(INDEX(Task_Tracker!$AB$5:$AB$1004,MATCH($B616,Task_Tracker!$A$5:$A$1004,0)),""))</f>
        <v/>
      </c>
      <c r="U616" s="78">
        <f>IF($B616="","",IFERROR(INDEX(Task_Tracker!$F$5:$F$1004,MATCH($B616,Task_Tracker!$A$5:$A$1004,0)),""))</f>
        <v/>
      </c>
      <c r="V616" s="78">
        <f>IF($B616="","",IFERROR(INDEX(Task_Tracker!$I$5:$I$1004,MATCH($B616,Task_Tracker!$A$5:$A$1004,0)),""))</f>
        <v/>
      </c>
      <c r="W616" s="81">
        <f>IF(OR($D616="",$B616=""),"",$D616&amp;" | "&amp;$B616)</f>
        <v/>
      </c>
      <c r="X616" s="85">
        <f>IF($K616="","",TEXT($K616,"yyyy-mm"))</f>
        <v/>
      </c>
      <c r="Y616" s="81">
        <f>IF(OR($A616="",$T616=""),"","Included in Manager_Report")</f>
        <v/>
      </c>
    </row>
    <row r="617" ht="15" customHeight="1" s="40">
      <c r="A617" s="65">
        <f>IF(COUNTA(B617:G617)=0,"","STP-"&amp;TEXT(ROW()-4,"0000"))</f>
        <v/>
      </c>
      <c r="B617" s="78" t="n"/>
      <c r="C617" s="67">
        <f>IF($B617="","",IFERROR(INDEX(Task_Tracker!$D$5:$D$1004,MATCH($B617,Task_Tracker!$A$5:$A$1004,0)),""))</f>
        <v/>
      </c>
      <c r="D617" s="67">
        <f>IF($B617="","",IFERROR(INDEX(Task_Tracker!$B$5:$B$1004,MATCH($B617,Task_Tracker!$A$5:$A$1004,0)),""))</f>
        <v/>
      </c>
      <c r="E617" s="81" t="n"/>
      <c r="F617" s="81" t="n"/>
      <c r="G617" s="78" t="n"/>
      <c r="H617" s="78" t="n"/>
      <c r="I617" s="67">
        <f>IF($H617="","",IFERROR(INDEX(Action_Status_Map!$B$5:$B$11,MATCH($H617,Action_Status_Map!$A$5:$A$11,0)),""))</f>
        <v/>
      </c>
      <c r="J617" s="82" t="n"/>
      <c r="K617" s="82" t="n"/>
      <c r="L617" s="82" t="n"/>
      <c r="M617" s="83" t="n"/>
      <c r="N617" s="83" t="n"/>
      <c r="O617" s="66">
        <f>IF(OR($M617="",$N617=""),"",$N617-$M617)</f>
        <v/>
      </c>
      <c r="P617" s="84">
        <f>IF($J617="","",IF($L617&lt;&gt;"",$L617-$J617,TODAY()-$J617))</f>
        <v/>
      </c>
      <c r="Q617" s="85">
        <f>IF(OR($K617="",$H617="Completed",$H617="Cancelled"),"",IF(AND($K617&lt;TODAY(),$H617&lt;&gt;"Completed",$H617&lt;&gt;"Cancelled"),"Overdue","On Track"))</f>
        <v/>
      </c>
      <c r="R617" s="81" t="n"/>
      <c r="S617" s="81">
        <f>IF($B617="","",IFERROR(INDEX(Task_Tracker!$AA$5:$AA$1004,MATCH($B617,Task_Tracker!$A$5:$A$1004,0)),""))</f>
        <v/>
      </c>
      <c r="T617" s="81">
        <f>IF($B617="","",IFERROR(INDEX(Task_Tracker!$AB$5:$AB$1004,MATCH($B617,Task_Tracker!$A$5:$A$1004,0)),""))</f>
        <v/>
      </c>
      <c r="U617" s="78">
        <f>IF($B617="","",IFERROR(INDEX(Task_Tracker!$F$5:$F$1004,MATCH($B617,Task_Tracker!$A$5:$A$1004,0)),""))</f>
        <v/>
      </c>
      <c r="V617" s="78">
        <f>IF($B617="","",IFERROR(INDEX(Task_Tracker!$I$5:$I$1004,MATCH($B617,Task_Tracker!$A$5:$A$1004,0)),""))</f>
        <v/>
      </c>
      <c r="W617" s="81">
        <f>IF(OR($D617="",$B617=""),"",$D617&amp;" | "&amp;$B617)</f>
        <v/>
      </c>
      <c r="X617" s="85">
        <f>IF($K617="","",TEXT($K617,"yyyy-mm"))</f>
        <v/>
      </c>
      <c r="Y617" s="81">
        <f>IF(OR($A617="",$T617=""),"","Included in Manager_Report")</f>
        <v/>
      </c>
    </row>
    <row r="618" ht="15" customHeight="1" s="40">
      <c r="A618" s="65">
        <f>IF(COUNTA(B618:G618)=0,"","STP-"&amp;TEXT(ROW()-4,"0000"))</f>
        <v/>
      </c>
      <c r="B618" s="78" t="n"/>
      <c r="C618" s="67">
        <f>IF($B618="","",IFERROR(INDEX(Task_Tracker!$D$5:$D$1004,MATCH($B618,Task_Tracker!$A$5:$A$1004,0)),""))</f>
        <v/>
      </c>
      <c r="D618" s="67">
        <f>IF($B618="","",IFERROR(INDEX(Task_Tracker!$B$5:$B$1004,MATCH($B618,Task_Tracker!$A$5:$A$1004,0)),""))</f>
        <v/>
      </c>
      <c r="E618" s="81" t="n"/>
      <c r="F618" s="81" t="n"/>
      <c r="G618" s="78" t="n"/>
      <c r="H618" s="78" t="n"/>
      <c r="I618" s="67">
        <f>IF($H618="","",IFERROR(INDEX(Action_Status_Map!$B$5:$B$11,MATCH($H618,Action_Status_Map!$A$5:$A$11,0)),""))</f>
        <v/>
      </c>
      <c r="J618" s="82" t="n"/>
      <c r="K618" s="82" t="n"/>
      <c r="L618" s="82" t="n"/>
      <c r="M618" s="83" t="n"/>
      <c r="N618" s="83" t="n"/>
      <c r="O618" s="66">
        <f>IF(OR($M618="",$N618=""),"",$N618-$M618)</f>
        <v/>
      </c>
      <c r="P618" s="84">
        <f>IF($J618="","",IF($L618&lt;&gt;"",$L618-$J618,TODAY()-$J618))</f>
        <v/>
      </c>
      <c r="Q618" s="85">
        <f>IF(OR($K618="",$H618="Completed",$H618="Cancelled"),"",IF(AND($K618&lt;TODAY(),$H618&lt;&gt;"Completed",$H618&lt;&gt;"Cancelled"),"Overdue","On Track"))</f>
        <v/>
      </c>
      <c r="R618" s="81" t="n"/>
      <c r="S618" s="81">
        <f>IF($B618="","",IFERROR(INDEX(Task_Tracker!$AA$5:$AA$1004,MATCH($B618,Task_Tracker!$A$5:$A$1004,0)),""))</f>
        <v/>
      </c>
      <c r="T618" s="81">
        <f>IF($B618="","",IFERROR(INDEX(Task_Tracker!$AB$5:$AB$1004,MATCH($B618,Task_Tracker!$A$5:$A$1004,0)),""))</f>
        <v/>
      </c>
      <c r="U618" s="78">
        <f>IF($B618="","",IFERROR(INDEX(Task_Tracker!$F$5:$F$1004,MATCH($B618,Task_Tracker!$A$5:$A$1004,0)),""))</f>
        <v/>
      </c>
      <c r="V618" s="78">
        <f>IF($B618="","",IFERROR(INDEX(Task_Tracker!$I$5:$I$1004,MATCH($B618,Task_Tracker!$A$5:$A$1004,0)),""))</f>
        <v/>
      </c>
      <c r="W618" s="81">
        <f>IF(OR($D618="",$B618=""),"",$D618&amp;" | "&amp;$B618)</f>
        <v/>
      </c>
      <c r="X618" s="85">
        <f>IF($K618="","",TEXT($K618,"yyyy-mm"))</f>
        <v/>
      </c>
      <c r="Y618" s="81">
        <f>IF(OR($A618="",$T618=""),"","Included in Manager_Report")</f>
        <v/>
      </c>
    </row>
    <row r="619" ht="15" customHeight="1" s="40">
      <c r="A619" s="65">
        <f>IF(COUNTA(B619:G619)=0,"","STP-"&amp;TEXT(ROW()-4,"0000"))</f>
        <v/>
      </c>
      <c r="B619" s="78" t="n"/>
      <c r="C619" s="67">
        <f>IF($B619="","",IFERROR(INDEX(Task_Tracker!$D$5:$D$1004,MATCH($B619,Task_Tracker!$A$5:$A$1004,0)),""))</f>
        <v/>
      </c>
      <c r="D619" s="67">
        <f>IF($B619="","",IFERROR(INDEX(Task_Tracker!$B$5:$B$1004,MATCH($B619,Task_Tracker!$A$5:$A$1004,0)),""))</f>
        <v/>
      </c>
      <c r="E619" s="81" t="n"/>
      <c r="F619" s="81" t="n"/>
      <c r="G619" s="78" t="n"/>
      <c r="H619" s="78" t="n"/>
      <c r="I619" s="67">
        <f>IF($H619="","",IFERROR(INDEX(Action_Status_Map!$B$5:$B$11,MATCH($H619,Action_Status_Map!$A$5:$A$11,0)),""))</f>
        <v/>
      </c>
      <c r="J619" s="82" t="n"/>
      <c r="K619" s="82" t="n"/>
      <c r="L619" s="82" t="n"/>
      <c r="M619" s="83" t="n"/>
      <c r="N619" s="83" t="n"/>
      <c r="O619" s="66">
        <f>IF(OR($M619="",$N619=""),"",$N619-$M619)</f>
        <v/>
      </c>
      <c r="P619" s="84">
        <f>IF($J619="","",IF($L619&lt;&gt;"",$L619-$J619,TODAY()-$J619))</f>
        <v/>
      </c>
      <c r="Q619" s="85">
        <f>IF(OR($K619="",$H619="Completed",$H619="Cancelled"),"",IF(AND($K619&lt;TODAY(),$H619&lt;&gt;"Completed",$H619&lt;&gt;"Cancelled"),"Overdue","On Track"))</f>
        <v/>
      </c>
      <c r="R619" s="81" t="n"/>
      <c r="S619" s="81">
        <f>IF($B619="","",IFERROR(INDEX(Task_Tracker!$AA$5:$AA$1004,MATCH($B619,Task_Tracker!$A$5:$A$1004,0)),""))</f>
        <v/>
      </c>
      <c r="T619" s="81">
        <f>IF($B619="","",IFERROR(INDEX(Task_Tracker!$AB$5:$AB$1004,MATCH($B619,Task_Tracker!$A$5:$A$1004,0)),""))</f>
        <v/>
      </c>
      <c r="U619" s="78">
        <f>IF($B619="","",IFERROR(INDEX(Task_Tracker!$F$5:$F$1004,MATCH($B619,Task_Tracker!$A$5:$A$1004,0)),""))</f>
        <v/>
      </c>
      <c r="V619" s="78">
        <f>IF($B619="","",IFERROR(INDEX(Task_Tracker!$I$5:$I$1004,MATCH($B619,Task_Tracker!$A$5:$A$1004,0)),""))</f>
        <v/>
      </c>
      <c r="W619" s="81">
        <f>IF(OR($D619="",$B619=""),"",$D619&amp;" | "&amp;$B619)</f>
        <v/>
      </c>
      <c r="X619" s="85">
        <f>IF($K619="","",TEXT($K619,"yyyy-mm"))</f>
        <v/>
      </c>
      <c r="Y619" s="81">
        <f>IF(OR($A619="",$T619=""),"","Included in Manager_Report")</f>
        <v/>
      </c>
    </row>
    <row r="620" ht="15" customHeight="1" s="40">
      <c r="A620" s="65">
        <f>IF(COUNTA(B620:G620)=0,"","STP-"&amp;TEXT(ROW()-4,"0000"))</f>
        <v/>
      </c>
      <c r="B620" s="78" t="n"/>
      <c r="C620" s="67">
        <f>IF($B620="","",IFERROR(INDEX(Task_Tracker!$D$5:$D$1004,MATCH($B620,Task_Tracker!$A$5:$A$1004,0)),""))</f>
        <v/>
      </c>
      <c r="D620" s="67">
        <f>IF($B620="","",IFERROR(INDEX(Task_Tracker!$B$5:$B$1004,MATCH($B620,Task_Tracker!$A$5:$A$1004,0)),""))</f>
        <v/>
      </c>
      <c r="E620" s="81" t="n"/>
      <c r="F620" s="81" t="n"/>
      <c r="G620" s="78" t="n"/>
      <c r="H620" s="78" t="n"/>
      <c r="I620" s="67">
        <f>IF($H620="","",IFERROR(INDEX(Action_Status_Map!$B$5:$B$11,MATCH($H620,Action_Status_Map!$A$5:$A$11,0)),""))</f>
        <v/>
      </c>
      <c r="J620" s="82" t="n"/>
      <c r="K620" s="82" t="n"/>
      <c r="L620" s="82" t="n"/>
      <c r="M620" s="83" t="n"/>
      <c r="N620" s="83" t="n"/>
      <c r="O620" s="66">
        <f>IF(OR($M620="",$N620=""),"",$N620-$M620)</f>
        <v/>
      </c>
      <c r="P620" s="84">
        <f>IF($J620="","",IF($L620&lt;&gt;"",$L620-$J620,TODAY()-$J620))</f>
        <v/>
      </c>
      <c r="Q620" s="85">
        <f>IF(OR($K620="",$H620="Completed",$H620="Cancelled"),"",IF(AND($K620&lt;TODAY(),$H620&lt;&gt;"Completed",$H620&lt;&gt;"Cancelled"),"Overdue","On Track"))</f>
        <v/>
      </c>
      <c r="R620" s="81" t="n"/>
      <c r="S620" s="81">
        <f>IF($B620="","",IFERROR(INDEX(Task_Tracker!$AA$5:$AA$1004,MATCH($B620,Task_Tracker!$A$5:$A$1004,0)),""))</f>
        <v/>
      </c>
      <c r="T620" s="81">
        <f>IF($B620="","",IFERROR(INDEX(Task_Tracker!$AB$5:$AB$1004,MATCH($B620,Task_Tracker!$A$5:$A$1004,0)),""))</f>
        <v/>
      </c>
      <c r="U620" s="78">
        <f>IF($B620="","",IFERROR(INDEX(Task_Tracker!$F$5:$F$1004,MATCH($B620,Task_Tracker!$A$5:$A$1004,0)),""))</f>
        <v/>
      </c>
      <c r="V620" s="78">
        <f>IF($B620="","",IFERROR(INDEX(Task_Tracker!$I$5:$I$1004,MATCH($B620,Task_Tracker!$A$5:$A$1004,0)),""))</f>
        <v/>
      </c>
      <c r="W620" s="81">
        <f>IF(OR($D620="",$B620=""),"",$D620&amp;" | "&amp;$B620)</f>
        <v/>
      </c>
      <c r="X620" s="85">
        <f>IF($K620="","",TEXT($K620,"yyyy-mm"))</f>
        <v/>
      </c>
      <c r="Y620" s="81">
        <f>IF(OR($A620="",$T620=""),"","Included in Manager_Report")</f>
        <v/>
      </c>
    </row>
    <row r="621" ht="15" customHeight="1" s="40">
      <c r="A621" s="65">
        <f>IF(COUNTA(B621:G621)=0,"","STP-"&amp;TEXT(ROW()-4,"0000"))</f>
        <v/>
      </c>
      <c r="B621" s="78" t="n"/>
      <c r="C621" s="67">
        <f>IF($B621="","",IFERROR(INDEX(Task_Tracker!$D$5:$D$1004,MATCH($B621,Task_Tracker!$A$5:$A$1004,0)),""))</f>
        <v/>
      </c>
      <c r="D621" s="67">
        <f>IF($B621="","",IFERROR(INDEX(Task_Tracker!$B$5:$B$1004,MATCH($B621,Task_Tracker!$A$5:$A$1004,0)),""))</f>
        <v/>
      </c>
      <c r="E621" s="81" t="n"/>
      <c r="F621" s="81" t="n"/>
      <c r="G621" s="78" t="n"/>
      <c r="H621" s="78" t="n"/>
      <c r="I621" s="67">
        <f>IF($H621="","",IFERROR(INDEX(Action_Status_Map!$B$5:$B$11,MATCH($H621,Action_Status_Map!$A$5:$A$11,0)),""))</f>
        <v/>
      </c>
      <c r="J621" s="82" t="n"/>
      <c r="K621" s="82" t="n"/>
      <c r="L621" s="82" t="n"/>
      <c r="M621" s="83" t="n"/>
      <c r="N621" s="83" t="n"/>
      <c r="O621" s="66">
        <f>IF(OR($M621="",$N621=""),"",$N621-$M621)</f>
        <v/>
      </c>
      <c r="P621" s="84">
        <f>IF($J621="","",IF($L621&lt;&gt;"",$L621-$J621,TODAY()-$J621))</f>
        <v/>
      </c>
      <c r="Q621" s="85">
        <f>IF(OR($K621="",$H621="Completed",$H621="Cancelled"),"",IF(AND($K621&lt;TODAY(),$H621&lt;&gt;"Completed",$H621&lt;&gt;"Cancelled"),"Overdue","On Track"))</f>
        <v/>
      </c>
      <c r="R621" s="81" t="n"/>
      <c r="S621" s="81">
        <f>IF($B621="","",IFERROR(INDEX(Task_Tracker!$AA$5:$AA$1004,MATCH($B621,Task_Tracker!$A$5:$A$1004,0)),""))</f>
        <v/>
      </c>
      <c r="T621" s="81">
        <f>IF($B621="","",IFERROR(INDEX(Task_Tracker!$AB$5:$AB$1004,MATCH($B621,Task_Tracker!$A$5:$A$1004,0)),""))</f>
        <v/>
      </c>
      <c r="U621" s="78">
        <f>IF($B621="","",IFERROR(INDEX(Task_Tracker!$F$5:$F$1004,MATCH($B621,Task_Tracker!$A$5:$A$1004,0)),""))</f>
        <v/>
      </c>
      <c r="V621" s="78">
        <f>IF($B621="","",IFERROR(INDEX(Task_Tracker!$I$5:$I$1004,MATCH($B621,Task_Tracker!$A$5:$A$1004,0)),""))</f>
        <v/>
      </c>
      <c r="W621" s="81">
        <f>IF(OR($D621="",$B621=""),"",$D621&amp;" | "&amp;$B621)</f>
        <v/>
      </c>
      <c r="X621" s="85">
        <f>IF($K621="","",TEXT($K621,"yyyy-mm"))</f>
        <v/>
      </c>
      <c r="Y621" s="81">
        <f>IF(OR($A621="",$T621=""),"","Included in Manager_Report")</f>
        <v/>
      </c>
    </row>
    <row r="622" ht="15" customHeight="1" s="40">
      <c r="A622" s="65">
        <f>IF(COUNTA(B622:G622)=0,"","STP-"&amp;TEXT(ROW()-4,"0000"))</f>
        <v/>
      </c>
      <c r="B622" s="78" t="n"/>
      <c r="C622" s="67">
        <f>IF($B622="","",IFERROR(INDEX(Task_Tracker!$D$5:$D$1004,MATCH($B622,Task_Tracker!$A$5:$A$1004,0)),""))</f>
        <v/>
      </c>
      <c r="D622" s="67">
        <f>IF($B622="","",IFERROR(INDEX(Task_Tracker!$B$5:$B$1004,MATCH($B622,Task_Tracker!$A$5:$A$1004,0)),""))</f>
        <v/>
      </c>
      <c r="E622" s="81" t="n"/>
      <c r="F622" s="81" t="n"/>
      <c r="G622" s="78" t="n"/>
      <c r="H622" s="78" t="n"/>
      <c r="I622" s="67">
        <f>IF($H622="","",IFERROR(INDEX(Action_Status_Map!$B$5:$B$11,MATCH($H622,Action_Status_Map!$A$5:$A$11,0)),""))</f>
        <v/>
      </c>
      <c r="J622" s="82" t="n"/>
      <c r="K622" s="82" t="n"/>
      <c r="L622" s="82" t="n"/>
      <c r="M622" s="83" t="n"/>
      <c r="N622" s="83" t="n"/>
      <c r="O622" s="66">
        <f>IF(OR($M622="",$N622=""),"",$N622-$M622)</f>
        <v/>
      </c>
      <c r="P622" s="84">
        <f>IF($J622="","",IF($L622&lt;&gt;"",$L622-$J622,TODAY()-$J622))</f>
        <v/>
      </c>
      <c r="Q622" s="85">
        <f>IF(OR($K622="",$H622="Completed",$H622="Cancelled"),"",IF(AND($K622&lt;TODAY(),$H622&lt;&gt;"Completed",$H622&lt;&gt;"Cancelled"),"Overdue","On Track"))</f>
        <v/>
      </c>
      <c r="R622" s="81" t="n"/>
      <c r="S622" s="81">
        <f>IF($B622="","",IFERROR(INDEX(Task_Tracker!$AA$5:$AA$1004,MATCH($B622,Task_Tracker!$A$5:$A$1004,0)),""))</f>
        <v/>
      </c>
      <c r="T622" s="81">
        <f>IF($B622="","",IFERROR(INDEX(Task_Tracker!$AB$5:$AB$1004,MATCH($B622,Task_Tracker!$A$5:$A$1004,0)),""))</f>
        <v/>
      </c>
      <c r="U622" s="78">
        <f>IF($B622="","",IFERROR(INDEX(Task_Tracker!$F$5:$F$1004,MATCH($B622,Task_Tracker!$A$5:$A$1004,0)),""))</f>
        <v/>
      </c>
      <c r="V622" s="78">
        <f>IF($B622="","",IFERROR(INDEX(Task_Tracker!$I$5:$I$1004,MATCH($B622,Task_Tracker!$A$5:$A$1004,0)),""))</f>
        <v/>
      </c>
      <c r="W622" s="81">
        <f>IF(OR($D622="",$B622=""),"",$D622&amp;" | "&amp;$B622)</f>
        <v/>
      </c>
      <c r="X622" s="85">
        <f>IF($K622="","",TEXT($K622,"yyyy-mm"))</f>
        <v/>
      </c>
      <c r="Y622" s="81">
        <f>IF(OR($A622="",$T622=""),"","Included in Manager_Report")</f>
        <v/>
      </c>
    </row>
    <row r="623" ht="15" customHeight="1" s="40">
      <c r="A623" s="65">
        <f>IF(COUNTA(B623:G623)=0,"","STP-"&amp;TEXT(ROW()-4,"0000"))</f>
        <v/>
      </c>
      <c r="B623" s="78" t="n"/>
      <c r="C623" s="67">
        <f>IF($B623="","",IFERROR(INDEX(Task_Tracker!$D$5:$D$1004,MATCH($B623,Task_Tracker!$A$5:$A$1004,0)),""))</f>
        <v/>
      </c>
      <c r="D623" s="67">
        <f>IF($B623="","",IFERROR(INDEX(Task_Tracker!$B$5:$B$1004,MATCH($B623,Task_Tracker!$A$5:$A$1004,0)),""))</f>
        <v/>
      </c>
      <c r="E623" s="81" t="n"/>
      <c r="F623" s="81" t="n"/>
      <c r="G623" s="78" t="n"/>
      <c r="H623" s="78" t="n"/>
      <c r="I623" s="67">
        <f>IF($H623="","",IFERROR(INDEX(Action_Status_Map!$B$5:$B$11,MATCH($H623,Action_Status_Map!$A$5:$A$11,0)),""))</f>
        <v/>
      </c>
      <c r="J623" s="82" t="n"/>
      <c r="K623" s="82" t="n"/>
      <c r="L623" s="82" t="n"/>
      <c r="M623" s="83" t="n"/>
      <c r="N623" s="83" t="n"/>
      <c r="O623" s="66">
        <f>IF(OR($M623="",$N623=""),"",$N623-$M623)</f>
        <v/>
      </c>
      <c r="P623" s="84">
        <f>IF($J623="","",IF($L623&lt;&gt;"",$L623-$J623,TODAY()-$J623))</f>
        <v/>
      </c>
      <c r="Q623" s="85">
        <f>IF(OR($K623="",$H623="Completed",$H623="Cancelled"),"",IF(AND($K623&lt;TODAY(),$H623&lt;&gt;"Completed",$H623&lt;&gt;"Cancelled"),"Overdue","On Track"))</f>
        <v/>
      </c>
      <c r="R623" s="81" t="n"/>
      <c r="S623" s="81">
        <f>IF($B623="","",IFERROR(INDEX(Task_Tracker!$AA$5:$AA$1004,MATCH($B623,Task_Tracker!$A$5:$A$1004,0)),""))</f>
        <v/>
      </c>
      <c r="T623" s="81">
        <f>IF($B623="","",IFERROR(INDEX(Task_Tracker!$AB$5:$AB$1004,MATCH($B623,Task_Tracker!$A$5:$A$1004,0)),""))</f>
        <v/>
      </c>
      <c r="U623" s="78">
        <f>IF($B623="","",IFERROR(INDEX(Task_Tracker!$F$5:$F$1004,MATCH($B623,Task_Tracker!$A$5:$A$1004,0)),""))</f>
        <v/>
      </c>
      <c r="V623" s="78">
        <f>IF($B623="","",IFERROR(INDEX(Task_Tracker!$I$5:$I$1004,MATCH($B623,Task_Tracker!$A$5:$A$1004,0)),""))</f>
        <v/>
      </c>
      <c r="W623" s="81">
        <f>IF(OR($D623="",$B623=""),"",$D623&amp;" | "&amp;$B623)</f>
        <v/>
      </c>
      <c r="X623" s="85">
        <f>IF($K623="","",TEXT($K623,"yyyy-mm"))</f>
        <v/>
      </c>
      <c r="Y623" s="81">
        <f>IF(OR($A623="",$T623=""),"","Included in Manager_Report")</f>
        <v/>
      </c>
    </row>
    <row r="624" ht="15" customHeight="1" s="40">
      <c r="A624" s="65">
        <f>IF(COUNTA(B624:G624)=0,"","STP-"&amp;TEXT(ROW()-4,"0000"))</f>
        <v/>
      </c>
      <c r="B624" s="78" t="n"/>
      <c r="C624" s="67">
        <f>IF($B624="","",IFERROR(INDEX(Task_Tracker!$D$5:$D$1004,MATCH($B624,Task_Tracker!$A$5:$A$1004,0)),""))</f>
        <v/>
      </c>
      <c r="D624" s="67">
        <f>IF($B624="","",IFERROR(INDEX(Task_Tracker!$B$5:$B$1004,MATCH($B624,Task_Tracker!$A$5:$A$1004,0)),""))</f>
        <v/>
      </c>
      <c r="E624" s="81" t="n"/>
      <c r="F624" s="81" t="n"/>
      <c r="G624" s="78" t="n"/>
      <c r="H624" s="78" t="n"/>
      <c r="I624" s="67">
        <f>IF($H624="","",IFERROR(INDEX(Action_Status_Map!$B$5:$B$11,MATCH($H624,Action_Status_Map!$A$5:$A$11,0)),""))</f>
        <v/>
      </c>
      <c r="J624" s="82" t="n"/>
      <c r="K624" s="82" t="n"/>
      <c r="L624" s="82" t="n"/>
      <c r="M624" s="83" t="n"/>
      <c r="N624" s="83" t="n"/>
      <c r="O624" s="66">
        <f>IF(OR($M624="",$N624=""),"",$N624-$M624)</f>
        <v/>
      </c>
      <c r="P624" s="84">
        <f>IF($J624="","",IF($L624&lt;&gt;"",$L624-$J624,TODAY()-$J624))</f>
        <v/>
      </c>
      <c r="Q624" s="85">
        <f>IF(OR($K624="",$H624="Completed",$H624="Cancelled"),"",IF(AND($K624&lt;TODAY(),$H624&lt;&gt;"Completed",$H624&lt;&gt;"Cancelled"),"Overdue","On Track"))</f>
        <v/>
      </c>
      <c r="R624" s="81" t="n"/>
      <c r="S624" s="81">
        <f>IF($B624="","",IFERROR(INDEX(Task_Tracker!$AA$5:$AA$1004,MATCH($B624,Task_Tracker!$A$5:$A$1004,0)),""))</f>
        <v/>
      </c>
      <c r="T624" s="81">
        <f>IF($B624="","",IFERROR(INDEX(Task_Tracker!$AB$5:$AB$1004,MATCH($B624,Task_Tracker!$A$5:$A$1004,0)),""))</f>
        <v/>
      </c>
      <c r="U624" s="78">
        <f>IF($B624="","",IFERROR(INDEX(Task_Tracker!$F$5:$F$1004,MATCH($B624,Task_Tracker!$A$5:$A$1004,0)),""))</f>
        <v/>
      </c>
      <c r="V624" s="78">
        <f>IF($B624="","",IFERROR(INDEX(Task_Tracker!$I$5:$I$1004,MATCH($B624,Task_Tracker!$A$5:$A$1004,0)),""))</f>
        <v/>
      </c>
      <c r="W624" s="81">
        <f>IF(OR($D624="",$B624=""),"",$D624&amp;" | "&amp;$B624)</f>
        <v/>
      </c>
      <c r="X624" s="85">
        <f>IF($K624="","",TEXT($K624,"yyyy-mm"))</f>
        <v/>
      </c>
      <c r="Y624" s="81">
        <f>IF(OR($A624="",$T624=""),"","Included in Manager_Report")</f>
        <v/>
      </c>
    </row>
    <row r="625" ht="15" customHeight="1" s="40">
      <c r="A625" s="65">
        <f>IF(COUNTA(B625:G625)=0,"","STP-"&amp;TEXT(ROW()-4,"0000"))</f>
        <v/>
      </c>
      <c r="B625" s="78" t="n"/>
      <c r="C625" s="67">
        <f>IF($B625="","",IFERROR(INDEX(Task_Tracker!$D$5:$D$1004,MATCH($B625,Task_Tracker!$A$5:$A$1004,0)),""))</f>
        <v/>
      </c>
      <c r="D625" s="67">
        <f>IF($B625="","",IFERROR(INDEX(Task_Tracker!$B$5:$B$1004,MATCH($B625,Task_Tracker!$A$5:$A$1004,0)),""))</f>
        <v/>
      </c>
      <c r="E625" s="81" t="n"/>
      <c r="F625" s="81" t="n"/>
      <c r="G625" s="78" t="n"/>
      <c r="H625" s="78" t="n"/>
      <c r="I625" s="67">
        <f>IF($H625="","",IFERROR(INDEX(Action_Status_Map!$B$5:$B$11,MATCH($H625,Action_Status_Map!$A$5:$A$11,0)),""))</f>
        <v/>
      </c>
      <c r="J625" s="82" t="n"/>
      <c r="K625" s="82" t="n"/>
      <c r="L625" s="82" t="n"/>
      <c r="M625" s="83" t="n"/>
      <c r="N625" s="83" t="n"/>
      <c r="O625" s="66">
        <f>IF(OR($M625="",$N625=""),"",$N625-$M625)</f>
        <v/>
      </c>
      <c r="P625" s="84">
        <f>IF($J625="","",IF($L625&lt;&gt;"",$L625-$J625,TODAY()-$J625))</f>
        <v/>
      </c>
      <c r="Q625" s="85">
        <f>IF(OR($K625="",$H625="Completed",$H625="Cancelled"),"",IF(AND($K625&lt;TODAY(),$H625&lt;&gt;"Completed",$H625&lt;&gt;"Cancelled"),"Overdue","On Track"))</f>
        <v/>
      </c>
      <c r="R625" s="81" t="n"/>
      <c r="S625" s="81">
        <f>IF($B625="","",IFERROR(INDEX(Task_Tracker!$AA$5:$AA$1004,MATCH($B625,Task_Tracker!$A$5:$A$1004,0)),""))</f>
        <v/>
      </c>
      <c r="T625" s="81">
        <f>IF($B625="","",IFERROR(INDEX(Task_Tracker!$AB$5:$AB$1004,MATCH($B625,Task_Tracker!$A$5:$A$1004,0)),""))</f>
        <v/>
      </c>
      <c r="U625" s="78">
        <f>IF($B625="","",IFERROR(INDEX(Task_Tracker!$F$5:$F$1004,MATCH($B625,Task_Tracker!$A$5:$A$1004,0)),""))</f>
        <v/>
      </c>
      <c r="V625" s="78">
        <f>IF($B625="","",IFERROR(INDEX(Task_Tracker!$I$5:$I$1004,MATCH($B625,Task_Tracker!$A$5:$A$1004,0)),""))</f>
        <v/>
      </c>
      <c r="W625" s="81">
        <f>IF(OR($D625="",$B625=""),"",$D625&amp;" | "&amp;$B625)</f>
        <v/>
      </c>
      <c r="X625" s="85">
        <f>IF($K625="","",TEXT($K625,"yyyy-mm"))</f>
        <v/>
      </c>
      <c r="Y625" s="81">
        <f>IF(OR($A625="",$T625=""),"","Included in Manager_Report")</f>
        <v/>
      </c>
    </row>
    <row r="626" ht="15" customHeight="1" s="40">
      <c r="A626" s="65">
        <f>IF(COUNTA(B626:G626)=0,"","STP-"&amp;TEXT(ROW()-4,"0000"))</f>
        <v/>
      </c>
      <c r="B626" s="78" t="n"/>
      <c r="C626" s="67">
        <f>IF($B626="","",IFERROR(INDEX(Task_Tracker!$D$5:$D$1004,MATCH($B626,Task_Tracker!$A$5:$A$1004,0)),""))</f>
        <v/>
      </c>
      <c r="D626" s="67">
        <f>IF($B626="","",IFERROR(INDEX(Task_Tracker!$B$5:$B$1004,MATCH($B626,Task_Tracker!$A$5:$A$1004,0)),""))</f>
        <v/>
      </c>
      <c r="E626" s="81" t="n"/>
      <c r="F626" s="81" t="n"/>
      <c r="G626" s="78" t="n"/>
      <c r="H626" s="78" t="n"/>
      <c r="I626" s="67">
        <f>IF($H626="","",IFERROR(INDEX(Action_Status_Map!$B$5:$B$11,MATCH($H626,Action_Status_Map!$A$5:$A$11,0)),""))</f>
        <v/>
      </c>
      <c r="J626" s="82" t="n"/>
      <c r="K626" s="82" t="n"/>
      <c r="L626" s="82" t="n"/>
      <c r="M626" s="83" t="n"/>
      <c r="N626" s="83" t="n"/>
      <c r="O626" s="66">
        <f>IF(OR($M626="",$N626=""),"",$N626-$M626)</f>
        <v/>
      </c>
      <c r="P626" s="84">
        <f>IF($J626="","",IF($L626&lt;&gt;"",$L626-$J626,TODAY()-$J626))</f>
        <v/>
      </c>
      <c r="Q626" s="85">
        <f>IF(OR($K626="",$H626="Completed",$H626="Cancelled"),"",IF(AND($K626&lt;TODAY(),$H626&lt;&gt;"Completed",$H626&lt;&gt;"Cancelled"),"Overdue","On Track"))</f>
        <v/>
      </c>
      <c r="R626" s="81" t="n"/>
      <c r="S626" s="81">
        <f>IF($B626="","",IFERROR(INDEX(Task_Tracker!$AA$5:$AA$1004,MATCH($B626,Task_Tracker!$A$5:$A$1004,0)),""))</f>
        <v/>
      </c>
      <c r="T626" s="81">
        <f>IF($B626="","",IFERROR(INDEX(Task_Tracker!$AB$5:$AB$1004,MATCH($B626,Task_Tracker!$A$5:$A$1004,0)),""))</f>
        <v/>
      </c>
      <c r="U626" s="78">
        <f>IF($B626="","",IFERROR(INDEX(Task_Tracker!$F$5:$F$1004,MATCH($B626,Task_Tracker!$A$5:$A$1004,0)),""))</f>
        <v/>
      </c>
      <c r="V626" s="78">
        <f>IF($B626="","",IFERROR(INDEX(Task_Tracker!$I$5:$I$1004,MATCH($B626,Task_Tracker!$A$5:$A$1004,0)),""))</f>
        <v/>
      </c>
      <c r="W626" s="81">
        <f>IF(OR($D626="",$B626=""),"",$D626&amp;" | "&amp;$B626)</f>
        <v/>
      </c>
      <c r="X626" s="85">
        <f>IF($K626="","",TEXT($K626,"yyyy-mm"))</f>
        <v/>
      </c>
      <c r="Y626" s="81">
        <f>IF(OR($A626="",$T626=""),"","Included in Manager_Report")</f>
        <v/>
      </c>
    </row>
    <row r="627" ht="15" customHeight="1" s="40">
      <c r="A627" s="65">
        <f>IF(COUNTA(B627:G627)=0,"","STP-"&amp;TEXT(ROW()-4,"0000"))</f>
        <v/>
      </c>
      <c r="B627" s="78" t="n"/>
      <c r="C627" s="67">
        <f>IF($B627="","",IFERROR(INDEX(Task_Tracker!$D$5:$D$1004,MATCH($B627,Task_Tracker!$A$5:$A$1004,0)),""))</f>
        <v/>
      </c>
      <c r="D627" s="67">
        <f>IF($B627="","",IFERROR(INDEX(Task_Tracker!$B$5:$B$1004,MATCH($B627,Task_Tracker!$A$5:$A$1004,0)),""))</f>
        <v/>
      </c>
      <c r="E627" s="81" t="n"/>
      <c r="F627" s="81" t="n"/>
      <c r="G627" s="78" t="n"/>
      <c r="H627" s="78" t="n"/>
      <c r="I627" s="67">
        <f>IF($H627="","",IFERROR(INDEX(Action_Status_Map!$B$5:$B$11,MATCH($H627,Action_Status_Map!$A$5:$A$11,0)),""))</f>
        <v/>
      </c>
      <c r="J627" s="82" t="n"/>
      <c r="K627" s="82" t="n"/>
      <c r="L627" s="82" t="n"/>
      <c r="M627" s="83" t="n"/>
      <c r="N627" s="83" t="n"/>
      <c r="O627" s="66">
        <f>IF(OR($M627="",$N627=""),"",$N627-$M627)</f>
        <v/>
      </c>
      <c r="P627" s="84">
        <f>IF($J627="","",IF($L627&lt;&gt;"",$L627-$J627,TODAY()-$J627))</f>
        <v/>
      </c>
      <c r="Q627" s="85">
        <f>IF(OR($K627="",$H627="Completed",$H627="Cancelled"),"",IF(AND($K627&lt;TODAY(),$H627&lt;&gt;"Completed",$H627&lt;&gt;"Cancelled"),"Overdue","On Track"))</f>
        <v/>
      </c>
      <c r="R627" s="81" t="n"/>
      <c r="S627" s="81">
        <f>IF($B627="","",IFERROR(INDEX(Task_Tracker!$AA$5:$AA$1004,MATCH($B627,Task_Tracker!$A$5:$A$1004,0)),""))</f>
        <v/>
      </c>
      <c r="T627" s="81">
        <f>IF($B627="","",IFERROR(INDEX(Task_Tracker!$AB$5:$AB$1004,MATCH($B627,Task_Tracker!$A$5:$A$1004,0)),""))</f>
        <v/>
      </c>
      <c r="U627" s="78">
        <f>IF($B627="","",IFERROR(INDEX(Task_Tracker!$F$5:$F$1004,MATCH($B627,Task_Tracker!$A$5:$A$1004,0)),""))</f>
        <v/>
      </c>
      <c r="V627" s="78">
        <f>IF($B627="","",IFERROR(INDEX(Task_Tracker!$I$5:$I$1004,MATCH($B627,Task_Tracker!$A$5:$A$1004,0)),""))</f>
        <v/>
      </c>
      <c r="W627" s="81">
        <f>IF(OR($D627="",$B627=""),"",$D627&amp;" | "&amp;$B627)</f>
        <v/>
      </c>
      <c r="X627" s="85">
        <f>IF($K627="","",TEXT($K627,"yyyy-mm"))</f>
        <v/>
      </c>
      <c r="Y627" s="81">
        <f>IF(OR($A627="",$T627=""),"","Included in Manager_Report")</f>
        <v/>
      </c>
    </row>
    <row r="628" ht="15" customHeight="1" s="40">
      <c r="A628" s="65">
        <f>IF(COUNTA(B628:G628)=0,"","STP-"&amp;TEXT(ROW()-4,"0000"))</f>
        <v/>
      </c>
      <c r="B628" s="78" t="n"/>
      <c r="C628" s="67">
        <f>IF($B628="","",IFERROR(INDEX(Task_Tracker!$D$5:$D$1004,MATCH($B628,Task_Tracker!$A$5:$A$1004,0)),""))</f>
        <v/>
      </c>
      <c r="D628" s="67">
        <f>IF($B628="","",IFERROR(INDEX(Task_Tracker!$B$5:$B$1004,MATCH($B628,Task_Tracker!$A$5:$A$1004,0)),""))</f>
        <v/>
      </c>
      <c r="E628" s="81" t="n"/>
      <c r="F628" s="81" t="n"/>
      <c r="G628" s="78" t="n"/>
      <c r="H628" s="78" t="n"/>
      <c r="I628" s="67">
        <f>IF($H628="","",IFERROR(INDEX(Action_Status_Map!$B$5:$B$11,MATCH($H628,Action_Status_Map!$A$5:$A$11,0)),""))</f>
        <v/>
      </c>
      <c r="J628" s="82" t="n"/>
      <c r="K628" s="82" t="n"/>
      <c r="L628" s="82" t="n"/>
      <c r="M628" s="83" t="n"/>
      <c r="N628" s="83" t="n"/>
      <c r="O628" s="66">
        <f>IF(OR($M628="",$N628=""),"",$N628-$M628)</f>
        <v/>
      </c>
      <c r="P628" s="84">
        <f>IF($J628="","",IF($L628&lt;&gt;"",$L628-$J628,TODAY()-$J628))</f>
        <v/>
      </c>
      <c r="Q628" s="85">
        <f>IF(OR($K628="",$H628="Completed",$H628="Cancelled"),"",IF(AND($K628&lt;TODAY(),$H628&lt;&gt;"Completed",$H628&lt;&gt;"Cancelled"),"Overdue","On Track"))</f>
        <v/>
      </c>
      <c r="R628" s="81" t="n"/>
      <c r="S628" s="81">
        <f>IF($B628="","",IFERROR(INDEX(Task_Tracker!$AA$5:$AA$1004,MATCH($B628,Task_Tracker!$A$5:$A$1004,0)),""))</f>
        <v/>
      </c>
      <c r="T628" s="81">
        <f>IF($B628="","",IFERROR(INDEX(Task_Tracker!$AB$5:$AB$1004,MATCH($B628,Task_Tracker!$A$5:$A$1004,0)),""))</f>
        <v/>
      </c>
      <c r="U628" s="78">
        <f>IF($B628="","",IFERROR(INDEX(Task_Tracker!$F$5:$F$1004,MATCH($B628,Task_Tracker!$A$5:$A$1004,0)),""))</f>
        <v/>
      </c>
      <c r="V628" s="78">
        <f>IF($B628="","",IFERROR(INDEX(Task_Tracker!$I$5:$I$1004,MATCH($B628,Task_Tracker!$A$5:$A$1004,0)),""))</f>
        <v/>
      </c>
      <c r="W628" s="81">
        <f>IF(OR($D628="",$B628=""),"",$D628&amp;" | "&amp;$B628)</f>
        <v/>
      </c>
      <c r="X628" s="85">
        <f>IF($K628="","",TEXT($K628,"yyyy-mm"))</f>
        <v/>
      </c>
      <c r="Y628" s="81">
        <f>IF(OR($A628="",$T628=""),"","Included in Manager_Report")</f>
        <v/>
      </c>
    </row>
    <row r="629" ht="15" customHeight="1" s="40">
      <c r="A629" s="65">
        <f>IF(COUNTA(B629:G629)=0,"","STP-"&amp;TEXT(ROW()-4,"0000"))</f>
        <v/>
      </c>
      <c r="B629" s="78" t="n"/>
      <c r="C629" s="67">
        <f>IF($B629="","",IFERROR(INDEX(Task_Tracker!$D$5:$D$1004,MATCH($B629,Task_Tracker!$A$5:$A$1004,0)),""))</f>
        <v/>
      </c>
      <c r="D629" s="67">
        <f>IF($B629="","",IFERROR(INDEX(Task_Tracker!$B$5:$B$1004,MATCH($B629,Task_Tracker!$A$5:$A$1004,0)),""))</f>
        <v/>
      </c>
      <c r="E629" s="81" t="n"/>
      <c r="F629" s="81" t="n"/>
      <c r="G629" s="78" t="n"/>
      <c r="H629" s="78" t="n"/>
      <c r="I629" s="67">
        <f>IF($H629="","",IFERROR(INDEX(Action_Status_Map!$B$5:$B$11,MATCH($H629,Action_Status_Map!$A$5:$A$11,0)),""))</f>
        <v/>
      </c>
      <c r="J629" s="82" t="n"/>
      <c r="K629" s="82" t="n"/>
      <c r="L629" s="82" t="n"/>
      <c r="M629" s="83" t="n"/>
      <c r="N629" s="83" t="n"/>
      <c r="O629" s="66">
        <f>IF(OR($M629="",$N629=""),"",$N629-$M629)</f>
        <v/>
      </c>
      <c r="P629" s="84">
        <f>IF($J629="","",IF($L629&lt;&gt;"",$L629-$J629,TODAY()-$J629))</f>
        <v/>
      </c>
      <c r="Q629" s="85">
        <f>IF(OR($K629="",$H629="Completed",$H629="Cancelled"),"",IF(AND($K629&lt;TODAY(),$H629&lt;&gt;"Completed",$H629&lt;&gt;"Cancelled"),"Overdue","On Track"))</f>
        <v/>
      </c>
      <c r="R629" s="81" t="n"/>
      <c r="S629" s="81">
        <f>IF($B629="","",IFERROR(INDEX(Task_Tracker!$AA$5:$AA$1004,MATCH($B629,Task_Tracker!$A$5:$A$1004,0)),""))</f>
        <v/>
      </c>
      <c r="T629" s="81">
        <f>IF($B629="","",IFERROR(INDEX(Task_Tracker!$AB$5:$AB$1004,MATCH($B629,Task_Tracker!$A$5:$A$1004,0)),""))</f>
        <v/>
      </c>
      <c r="U629" s="78">
        <f>IF($B629="","",IFERROR(INDEX(Task_Tracker!$F$5:$F$1004,MATCH($B629,Task_Tracker!$A$5:$A$1004,0)),""))</f>
        <v/>
      </c>
      <c r="V629" s="78">
        <f>IF($B629="","",IFERROR(INDEX(Task_Tracker!$I$5:$I$1004,MATCH($B629,Task_Tracker!$A$5:$A$1004,0)),""))</f>
        <v/>
      </c>
      <c r="W629" s="81">
        <f>IF(OR($D629="",$B629=""),"",$D629&amp;" | "&amp;$B629)</f>
        <v/>
      </c>
      <c r="X629" s="85">
        <f>IF($K629="","",TEXT($K629,"yyyy-mm"))</f>
        <v/>
      </c>
      <c r="Y629" s="81">
        <f>IF(OR($A629="",$T629=""),"","Included in Manager_Report")</f>
        <v/>
      </c>
    </row>
    <row r="630" ht="15" customHeight="1" s="40">
      <c r="A630" s="65">
        <f>IF(COUNTA(B630:G630)=0,"","STP-"&amp;TEXT(ROW()-4,"0000"))</f>
        <v/>
      </c>
      <c r="B630" s="78" t="n"/>
      <c r="C630" s="67">
        <f>IF($B630="","",IFERROR(INDEX(Task_Tracker!$D$5:$D$1004,MATCH($B630,Task_Tracker!$A$5:$A$1004,0)),""))</f>
        <v/>
      </c>
      <c r="D630" s="67">
        <f>IF($B630="","",IFERROR(INDEX(Task_Tracker!$B$5:$B$1004,MATCH($B630,Task_Tracker!$A$5:$A$1004,0)),""))</f>
        <v/>
      </c>
      <c r="E630" s="81" t="n"/>
      <c r="F630" s="81" t="n"/>
      <c r="G630" s="78" t="n"/>
      <c r="H630" s="78" t="n"/>
      <c r="I630" s="67">
        <f>IF($H630="","",IFERROR(INDEX(Action_Status_Map!$B$5:$B$11,MATCH($H630,Action_Status_Map!$A$5:$A$11,0)),""))</f>
        <v/>
      </c>
      <c r="J630" s="82" t="n"/>
      <c r="K630" s="82" t="n"/>
      <c r="L630" s="82" t="n"/>
      <c r="M630" s="83" t="n"/>
      <c r="N630" s="83" t="n"/>
      <c r="O630" s="66">
        <f>IF(OR($M630="",$N630=""),"",$N630-$M630)</f>
        <v/>
      </c>
      <c r="P630" s="84">
        <f>IF($J630="","",IF($L630&lt;&gt;"",$L630-$J630,TODAY()-$J630))</f>
        <v/>
      </c>
      <c r="Q630" s="85">
        <f>IF(OR($K630="",$H630="Completed",$H630="Cancelled"),"",IF(AND($K630&lt;TODAY(),$H630&lt;&gt;"Completed",$H630&lt;&gt;"Cancelled"),"Overdue","On Track"))</f>
        <v/>
      </c>
      <c r="R630" s="81" t="n"/>
      <c r="S630" s="81">
        <f>IF($B630="","",IFERROR(INDEX(Task_Tracker!$AA$5:$AA$1004,MATCH($B630,Task_Tracker!$A$5:$A$1004,0)),""))</f>
        <v/>
      </c>
      <c r="T630" s="81">
        <f>IF($B630="","",IFERROR(INDEX(Task_Tracker!$AB$5:$AB$1004,MATCH($B630,Task_Tracker!$A$5:$A$1004,0)),""))</f>
        <v/>
      </c>
      <c r="U630" s="78">
        <f>IF($B630="","",IFERROR(INDEX(Task_Tracker!$F$5:$F$1004,MATCH($B630,Task_Tracker!$A$5:$A$1004,0)),""))</f>
        <v/>
      </c>
      <c r="V630" s="78">
        <f>IF($B630="","",IFERROR(INDEX(Task_Tracker!$I$5:$I$1004,MATCH($B630,Task_Tracker!$A$5:$A$1004,0)),""))</f>
        <v/>
      </c>
      <c r="W630" s="81">
        <f>IF(OR($D630="",$B630=""),"",$D630&amp;" | "&amp;$B630)</f>
        <v/>
      </c>
      <c r="X630" s="85">
        <f>IF($K630="","",TEXT($K630,"yyyy-mm"))</f>
        <v/>
      </c>
      <c r="Y630" s="81">
        <f>IF(OR($A630="",$T630=""),"","Included in Manager_Report")</f>
        <v/>
      </c>
    </row>
    <row r="631" ht="15" customHeight="1" s="40">
      <c r="A631" s="65">
        <f>IF(COUNTA(B631:G631)=0,"","STP-"&amp;TEXT(ROW()-4,"0000"))</f>
        <v/>
      </c>
      <c r="B631" s="78" t="n"/>
      <c r="C631" s="67">
        <f>IF($B631="","",IFERROR(INDEX(Task_Tracker!$D$5:$D$1004,MATCH($B631,Task_Tracker!$A$5:$A$1004,0)),""))</f>
        <v/>
      </c>
      <c r="D631" s="67">
        <f>IF($B631="","",IFERROR(INDEX(Task_Tracker!$B$5:$B$1004,MATCH($B631,Task_Tracker!$A$5:$A$1004,0)),""))</f>
        <v/>
      </c>
      <c r="E631" s="81" t="n"/>
      <c r="F631" s="81" t="n"/>
      <c r="G631" s="78" t="n"/>
      <c r="H631" s="78" t="n"/>
      <c r="I631" s="67">
        <f>IF($H631="","",IFERROR(INDEX(Action_Status_Map!$B$5:$B$11,MATCH($H631,Action_Status_Map!$A$5:$A$11,0)),""))</f>
        <v/>
      </c>
      <c r="J631" s="82" t="n"/>
      <c r="K631" s="82" t="n"/>
      <c r="L631" s="82" t="n"/>
      <c r="M631" s="83" t="n"/>
      <c r="N631" s="83" t="n"/>
      <c r="O631" s="66">
        <f>IF(OR($M631="",$N631=""),"",$N631-$M631)</f>
        <v/>
      </c>
      <c r="P631" s="84">
        <f>IF($J631="","",IF($L631&lt;&gt;"",$L631-$J631,TODAY()-$J631))</f>
        <v/>
      </c>
      <c r="Q631" s="85">
        <f>IF(OR($K631="",$H631="Completed",$H631="Cancelled"),"",IF(AND($K631&lt;TODAY(),$H631&lt;&gt;"Completed",$H631&lt;&gt;"Cancelled"),"Overdue","On Track"))</f>
        <v/>
      </c>
      <c r="R631" s="81" t="n"/>
      <c r="S631" s="81">
        <f>IF($B631="","",IFERROR(INDEX(Task_Tracker!$AA$5:$AA$1004,MATCH($B631,Task_Tracker!$A$5:$A$1004,0)),""))</f>
        <v/>
      </c>
      <c r="T631" s="81">
        <f>IF($B631="","",IFERROR(INDEX(Task_Tracker!$AB$5:$AB$1004,MATCH($B631,Task_Tracker!$A$5:$A$1004,0)),""))</f>
        <v/>
      </c>
      <c r="U631" s="78">
        <f>IF($B631="","",IFERROR(INDEX(Task_Tracker!$F$5:$F$1004,MATCH($B631,Task_Tracker!$A$5:$A$1004,0)),""))</f>
        <v/>
      </c>
      <c r="V631" s="78">
        <f>IF($B631="","",IFERROR(INDEX(Task_Tracker!$I$5:$I$1004,MATCH($B631,Task_Tracker!$A$5:$A$1004,0)),""))</f>
        <v/>
      </c>
      <c r="W631" s="81">
        <f>IF(OR($D631="",$B631=""),"",$D631&amp;" | "&amp;$B631)</f>
        <v/>
      </c>
      <c r="X631" s="85">
        <f>IF($K631="","",TEXT($K631,"yyyy-mm"))</f>
        <v/>
      </c>
      <c r="Y631" s="81">
        <f>IF(OR($A631="",$T631=""),"","Included in Manager_Report")</f>
        <v/>
      </c>
    </row>
    <row r="632" ht="15" customHeight="1" s="40">
      <c r="A632" s="65">
        <f>IF(COUNTA(B632:G632)=0,"","STP-"&amp;TEXT(ROW()-4,"0000"))</f>
        <v/>
      </c>
      <c r="B632" s="78" t="n"/>
      <c r="C632" s="67">
        <f>IF($B632="","",IFERROR(INDEX(Task_Tracker!$D$5:$D$1004,MATCH($B632,Task_Tracker!$A$5:$A$1004,0)),""))</f>
        <v/>
      </c>
      <c r="D632" s="67">
        <f>IF($B632="","",IFERROR(INDEX(Task_Tracker!$B$5:$B$1004,MATCH($B632,Task_Tracker!$A$5:$A$1004,0)),""))</f>
        <v/>
      </c>
      <c r="E632" s="81" t="n"/>
      <c r="F632" s="81" t="n"/>
      <c r="G632" s="78" t="n"/>
      <c r="H632" s="78" t="n"/>
      <c r="I632" s="67">
        <f>IF($H632="","",IFERROR(INDEX(Action_Status_Map!$B$5:$B$11,MATCH($H632,Action_Status_Map!$A$5:$A$11,0)),""))</f>
        <v/>
      </c>
      <c r="J632" s="82" t="n"/>
      <c r="K632" s="82" t="n"/>
      <c r="L632" s="82" t="n"/>
      <c r="M632" s="83" t="n"/>
      <c r="N632" s="83" t="n"/>
      <c r="O632" s="66">
        <f>IF(OR($M632="",$N632=""),"",$N632-$M632)</f>
        <v/>
      </c>
      <c r="P632" s="84">
        <f>IF($J632="","",IF($L632&lt;&gt;"",$L632-$J632,TODAY()-$J632))</f>
        <v/>
      </c>
      <c r="Q632" s="85">
        <f>IF(OR($K632="",$H632="Completed",$H632="Cancelled"),"",IF(AND($K632&lt;TODAY(),$H632&lt;&gt;"Completed",$H632&lt;&gt;"Cancelled"),"Overdue","On Track"))</f>
        <v/>
      </c>
      <c r="R632" s="81" t="n"/>
      <c r="S632" s="81">
        <f>IF($B632="","",IFERROR(INDEX(Task_Tracker!$AA$5:$AA$1004,MATCH($B632,Task_Tracker!$A$5:$A$1004,0)),""))</f>
        <v/>
      </c>
      <c r="T632" s="81">
        <f>IF($B632="","",IFERROR(INDEX(Task_Tracker!$AB$5:$AB$1004,MATCH($B632,Task_Tracker!$A$5:$A$1004,0)),""))</f>
        <v/>
      </c>
      <c r="U632" s="78">
        <f>IF($B632="","",IFERROR(INDEX(Task_Tracker!$F$5:$F$1004,MATCH($B632,Task_Tracker!$A$5:$A$1004,0)),""))</f>
        <v/>
      </c>
      <c r="V632" s="78">
        <f>IF($B632="","",IFERROR(INDEX(Task_Tracker!$I$5:$I$1004,MATCH($B632,Task_Tracker!$A$5:$A$1004,0)),""))</f>
        <v/>
      </c>
      <c r="W632" s="81">
        <f>IF(OR($D632="",$B632=""),"",$D632&amp;" | "&amp;$B632)</f>
        <v/>
      </c>
      <c r="X632" s="85">
        <f>IF($K632="","",TEXT($K632,"yyyy-mm"))</f>
        <v/>
      </c>
      <c r="Y632" s="81">
        <f>IF(OR($A632="",$T632=""),"","Included in Manager_Report")</f>
        <v/>
      </c>
    </row>
    <row r="633" ht="15" customHeight="1" s="40">
      <c r="A633" s="65">
        <f>IF(COUNTA(B633:G633)=0,"","STP-"&amp;TEXT(ROW()-4,"0000"))</f>
        <v/>
      </c>
      <c r="B633" s="78" t="n"/>
      <c r="C633" s="67">
        <f>IF($B633="","",IFERROR(INDEX(Task_Tracker!$D$5:$D$1004,MATCH($B633,Task_Tracker!$A$5:$A$1004,0)),""))</f>
        <v/>
      </c>
      <c r="D633" s="67">
        <f>IF($B633="","",IFERROR(INDEX(Task_Tracker!$B$5:$B$1004,MATCH($B633,Task_Tracker!$A$5:$A$1004,0)),""))</f>
        <v/>
      </c>
      <c r="E633" s="81" t="n"/>
      <c r="F633" s="81" t="n"/>
      <c r="G633" s="78" t="n"/>
      <c r="H633" s="78" t="n"/>
      <c r="I633" s="67">
        <f>IF($H633="","",IFERROR(INDEX(Action_Status_Map!$B$5:$B$11,MATCH($H633,Action_Status_Map!$A$5:$A$11,0)),""))</f>
        <v/>
      </c>
      <c r="J633" s="82" t="n"/>
      <c r="K633" s="82" t="n"/>
      <c r="L633" s="82" t="n"/>
      <c r="M633" s="83" t="n"/>
      <c r="N633" s="83" t="n"/>
      <c r="O633" s="66">
        <f>IF(OR($M633="",$N633=""),"",$N633-$M633)</f>
        <v/>
      </c>
      <c r="P633" s="84">
        <f>IF($J633="","",IF($L633&lt;&gt;"",$L633-$J633,TODAY()-$J633))</f>
        <v/>
      </c>
      <c r="Q633" s="85">
        <f>IF(OR($K633="",$H633="Completed",$H633="Cancelled"),"",IF(AND($K633&lt;TODAY(),$H633&lt;&gt;"Completed",$H633&lt;&gt;"Cancelled"),"Overdue","On Track"))</f>
        <v/>
      </c>
      <c r="R633" s="81" t="n"/>
      <c r="S633" s="81">
        <f>IF($B633="","",IFERROR(INDEX(Task_Tracker!$AA$5:$AA$1004,MATCH($B633,Task_Tracker!$A$5:$A$1004,0)),""))</f>
        <v/>
      </c>
      <c r="T633" s="81">
        <f>IF($B633="","",IFERROR(INDEX(Task_Tracker!$AB$5:$AB$1004,MATCH($B633,Task_Tracker!$A$5:$A$1004,0)),""))</f>
        <v/>
      </c>
      <c r="U633" s="78">
        <f>IF($B633="","",IFERROR(INDEX(Task_Tracker!$F$5:$F$1004,MATCH($B633,Task_Tracker!$A$5:$A$1004,0)),""))</f>
        <v/>
      </c>
      <c r="V633" s="78">
        <f>IF($B633="","",IFERROR(INDEX(Task_Tracker!$I$5:$I$1004,MATCH($B633,Task_Tracker!$A$5:$A$1004,0)),""))</f>
        <v/>
      </c>
      <c r="W633" s="81">
        <f>IF(OR($D633="",$B633=""),"",$D633&amp;" | "&amp;$B633)</f>
        <v/>
      </c>
      <c r="X633" s="85">
        <f>IF($K633="","",TEXT($K633,"yyyy-mm"))</f>
        <v/>
      </c>
      <c r="Y633" s="81">
        <f>IF(OR($A633="",$T633=""),"","Included in Manager_Report")</f>
        <v/>
      </c>
    </row>
    <row r="634" ht="15" customHeight="1" s="40">
      <c r="A634" s="65">
        <f>IF(COUNTA(B634:G634)=0,"","STP-"&amp;TEXT(ROW()-4,"0000"))</f>
        <v/>
      </c>
      <c r="B634" s="78" t="n"/>
      <c r="C634" s="67">
        <f>IF($B634="","",IFERROR(INDEX(Task_Tracker!$D$5:$D$1004,MATCH($B634,Task_Tracker!$A$5:$A$1004,0)),""))</f>
        <v/>
      </c>
      <c r="D634" s="67">
        <f>IF($B634="","",IFERROR(INDEX(Task_Tracker!$B$5:$B$1004,MATCH($B634,Task_Tracker!$A$5:$A$1004,0)),""))</f>
        <v/>
      </c>
      <c r="E634" s="81" t="n"/>
      <c r="F634" s="81" t="n"/>
      <c r="G634" s="78" t="n"/>
      <c r="H634" s="78" t="n"/>
      <c r="I634" s="67">
        <f>IF($H634="","",IFERROR(INDEX(Action_Status_Map!$B$5:$B$11,MATCH($H634,Action_Status_Map!$A$5:$A$11,0)),""))</f>
        <v/>
      </c>
      <c r="J634" s="82" t="n"/>
      <c r="K634" s="82" t="n"/>
      <c r="L634" s="82" t="n"/>
      <c r="M634" s="83" t="n"/>
      <c r="N634" s="83" t="n"/>
      <c r="O634" s="66">
        <f>IF(OR($M634="",$N634=""),"",$N634-$M634)</f>
        <v/>
      </c>
      <c r="P634" s="84">
        <f>IF($J634="","",IF($L634&lt;&gt;"",$L634-$J634,TODAY()-$J634))</f>
        <v/>
      </c>
      <c r="Q634" s="85">
        <f>IF(OR($K634="",$H634="Completed",$H634="Cancelled"),"",IF(AND($K634&lt;TODAY(),$H634&lt;&gt;"Completed",$H634&lt;&gt;"Cancelled"),"Overdue","On Track"))</f>
        <v/>
      </c>
      <c r="R634" s="81" t="n"/>
      <c r="S634" s="81">
        <f>IF($B634="","",IFERROR(INDEX(Task_Tracker!$AA$5:$AA$1004,MATCH($B634,Task_Tracker!$A$5:$A$1004,0)),""))</f>
        <v/>
      </c>
      <c r="T634" s="81">
        <f>IF($B634="","",IFERROR(INDEX(Task_Tracker!$AB$5:$AB$1004,MATCH($B634,Task_Tracker!$A$5:$A$1004,0)),""))</f>
        <v/>
      </c>
      <c r="U634" s="78">
        <f>IF($B634="","",IFERROR(INDEX(Task_Tracker!$F$5:$F$1004,MATCH($B634,Task_Tracker!$A$5:$A$1004,0)),""))</f>
        <v/>
      </c>
      <c r="V634" s="78">
        <f>IF($B634="","",IFERROR(INDEX(Task_Tracker!$I$5:$I$1004,MATCH($B634,Task_Tracker!$A$5:$A$1004,0)),""))</f>
        <v/>
      </c>
      <c r="W634" s="81">
        <f>IF(OR($D634="",$B634=""),"",$D634&amp;" | "&amp;$B634)</f>
        <v/>
      </c>
      <c r="X634" s="85">
        <f>IF($K634="","",TEXT($K634,"yyyy-mm"))</f>
        <v/>
      </c>
      <c r="Y634" s="81">
        <f>IF(OR($A634="",$T634=""),"","Included in Manager_Report")</f>
        <v/>
      </c>
    </row>
    <row r="635" ht="15" customHeight="1" s="40">
      <c r="A635" s="65">
        <f>IF(COUNTA(B635:G635)=0,"","STP-"&amp;TEXT(ROW()-4,"0000"))</f>
        <v/>
      </c>
      <c r="B635" s="78" t="n"/>
      <c r="C635" s="67">
        <f>IF($B635="","",IFERROR(INDEX(Task_Tracker!$D$5:$D$1004,MATCH($B635,Task_Tracker!$A$5:$A$1004,0)),""))</f>
        <v/>
      </c>
      <c r="D635" s="67">
        <f>IF($B635="","",IFERROR(INDEX(Task_Tracker!$B$5:$B$1004,MATCH($B635,Task_Tracker!$A$5:$A$1004,0)),""))</f>
        <v/>
      </c>
      <c r="E635" s="81" t="n"/>
      <c r="F635" s="81" t="n"/>
      <c r="G635" s="78" t="n"/>
      <c r="H635" s="78" t="n"/>
      <c r="I635" s="67">
        <f>IF($H635="","",IFERROR(INDEX(Action_Status_Map!$B$5:$B$11,MATCH($H635,Action_Status_Map!$A$5:$A$11,0)),""))</f>
        <v/>
      </c>
      <c r="J635" s="82" t="n"/>
      <c r="K635" s="82" t="n"/>
      <c r="L635" s="82" t="n"/>
      <c r="M635" s="83" t="n"/>
      <c r="N635" s="83" t="n"/>
      <c r="O635" s="66">
        <f>IF(OR($M635="",$N635=""),"",$N635-$M635)</f>
        <v/>
      </c>
      <c r="P635" s="84">
        <f>IF($J635="","",IF($L635&lt;&gt;"",$L635-$J635,TODAY()-$J635))</f>
        <v/>
      </c>
      <c r="Q635" s="85">
        <f>IF(OR($K635="",$H635="Completed",$H635="Cancelled"),"",IF(AND($K635&lt;TODAY(),$H635&lt;&gt;"Completed",$H635&lt;&gt;"Cancelled"),"Overdue","On Track"))</f>
        <v/>
      </c>
      <c r="R635" s="81" t="n"/>
      <c r="S635" s="81">
        <f>IF($B635="","",IFERROR(INDEX(Task_Tracker!$AA$5:$AA$1004,MATCH($B635,Task_Tracker!$A$5:$A$1004,0)),""))</f>
        <v/>
      </c>
      <c r="T635" s="81">
        <f>IF($B635="","",IFERROR(INDEX(Task_Tracker!$AB$5:$AB$1004,MATCH($B635,Task_Tracker!$A$5:$A$1004,0)),""))</f>
        <v/>
      </c>
      <c r="U635" s="78">
        <f>IF($B635="","",IFERROR(INDEX(Task_Tracker!$F$5:$F$1004,MATCH($B635,Task_Tracker!$A$5:$A$1004,0)),""))</f>
        <v/>
      </c>
      <c r="V635" s="78">
        <f>IF($B635="","",IFERROR(INDEX(Task_Tracker!$I$5:$I$1004,MATCH($B635,Task_Tracker!$A$5:$A$1004,0)),""))</f>
        <v/>
      </c>
      <c r="W635" s="81">
        <f>IF(OR($D635="",$B635=""),"",$D635&amp;" | "&amp;$B635)</f>
        <v/>
      </c>
      <c r="X635" s="85">
        <f>IF($K635="","",TEXT($K635,"yyyy-mm"))</f>
        <v/>
      </c>
      <c r="Y635" s="81">
        <f>IF(OR($A635="",$T635=""),"","Included in Manager_Report")</f>
        <v/>
      </c>
    </row>
    <row r="636" ht="15" customHeight="1" s="40">
      <c r="A636" s="65">
        <f>IF(COUNTA(B636:G636)=0,"","STP-"&amp;TEXT(ROW()-4,"0000"))</f>
        <v/>
      </c>
      <c r="B636" s="78" t="n"/>
      <c r="C636" s="67">
        <f>IF($B636="","",IFERROR(INDEX(Task_Tracker!$D$5:$D$1004,MATCH($B636,Task_Tracker!$A$5:$A$1004,0)),""))</f>
        <v/>
      </c>
      <c r="D636" s="67">
        <f>IF($B636="","",IFERROR(INDEX(Task_Tracker!$B$5:$B$1004,MATCH($B636,Task_Tracker!$A$5:$A$1004,0)),""))</f>
        <v/>
      </c>
      <c r="E636" s="81" t="n"/>
      <c r="F636" s="81" t="n"/>
      <c r="G636" s="78" t="n"/>
      <c r="H636" s="78" t="n"/>
      <c r="I636" s="67">
        <f>IF($H636="","",IFERROR(INDEX(Action_Status_Map!$B$5:$B$11,MATCH($H636,Action_Status_Map!$A$5:$A$11,0)),""))</f>
        <v/>
      </c>
      <c r="J636" s="82" t="n"/>
      <c r="K636" s="82" t="n"/>
      <c r="L636" s="82" t="n"/>
      <c r="M636" s="83" t="n"/>
      <c r="N636" s="83" t="n"/>
      <c r="O636" s="66">
        <f>IF(OR($M636="",$N636=""),"",$N636-$M636)</f>
        <v/>
      </c>
      <c r="P636" s="84">
        <f>IF($J636="","",IF($L636&lt;&gt;"",$L636-$J636,TODAY()-$J636))</f>
        <v/>
      </c>
      <c r="Q636" s="85">
        <f>IF(OR($K636="",$H636="Completed",$H636="Cancelled"),"",IF(AND($K636&lt;TODAY(),$H636&lt;&gt;"Completed",$H636&lt;&gt;"Cancelled"),"Overdue","On Track"))</f>
        <v/>
      </c>
      <c r="R636" s="81" t="n"/>
      <c r="S636" s="81">
        <f>IF($B636="","",IFERROR(INDEX(Task_Tracker!$AA$5:$AA$1004,MATCH($B636,Task_Tracker!$A$5:$A$1004,0)),""))</f>
        <v/>
      </c>
      <c r="T636" s="81">
        <f>IF($B636="","",IFERROR(INDEX(Task_Tracker!$AB$5:$AB$1004,MATCH($B636,Task_Tracker!$A$5:$A$1004,0)),""))</f>
        <v/>
      </c>
      <c r="U636" s="78">
        <f>IF($B636="","",IFERROR(INDEX(Task_Tracker!$F$5:$F$1004,MATCH($B636,Task_Tracker!$A$5:$A$1004,0)),""))</f>
        <v/>
      </c>
      <c r="V636" s="78">
        <f>IF($B636="","",IFERROR(INDEX(Task_Tracker!$I$5:$I$1004,MATCH($B636,Task_Tracker!$A$5:$A$1004,0)),""))</f>
        <v/>
      </c>
      <c r="W636" s="81">
        <f>IF(OR($D636="",$B636=""),"",$D636&amp;" | "&amp;$B636)</f>
        <v/>
      </c>
      <c r="X636" s="85">
        <f>IF($K636="","",TEXT($K636,"yyyy-mm"))</f>
        <v/>
      </c>
      <c r="Y636" s="81">
        <f>IF(OR($A636="",$T636=""),"","Included in Manager_Report")</f>
        <v/>
      </c>
    </row>
    <row r="637" ht="15" customHeight="1" s="40">
      <c r="A637" s="65">
        <f>IF(COUNTA(B637:G637)=0,"","STP-"&amp;TEXT(ROW()-4,"0000"))</f>
        <v/>
      </c>
      <c r="B637" s="78" t="n"/>
      <c r="C637" s="67">
        <f>IF($B637="","",IFERROR(INDEX(Task_Tracker!$D$5:$D$1004,MATCH($B637,Task_Tracker!$A$5:$A$1004,0)),""))</f>
        <v/>
      </c>
      <c r="D637" s="67">
        <f>IF($B637="","",IFERROR(INDEX(Task_Tracker!$B$5:$B$1004,MATCH($B637,Task_Tracker!$A$5:$A$1004,0)),""))</f>
        <v/>
      </c>
      <c r="E637" s="81" t="n"/>
      <c r="F637" s="81" t="n"/>
      <c r="G637" s="78" t="n"/>
      <c r="H637" s="78" t="n"/>
      <c r="I637" s="67">
        <f>IF($H637="","",IFERROR(INDEX(Action_Status_Map!$B$5:$B$11,MATCH($H637,Action_Status_Map!$A$5:$A$11,0)),""))</f>
        <v/>
      </c>
      <c r="J637" s="82" t="n"/>
      <c r="K637" s="82" t="n"/>
      <c r="L637" s="82" t="n"/>
      <c r="M637" s="83" t="n"/>
      <c r="N637" s="83" t="n"/>
      <c r="O637" s="66">
        <f>IF(OR($M637="",$N637=""),"",$N637-$M637)</f>
        <v/>
      </c>
      <c r="P637" s="84">
        <f>IF($J637="","",IF($L637&lt;&gt;"",$L637-$J637,TODAY()-$J637))</f>
        <v/>
      </c>
      <c r="Q637" s="85">
        <f>IF(OR($K637="",$H637="Completed",$H637="Cancelled"),"",IF(AND($K637&lt;TODAY(),$H637&lt;&gt;"Completed",$H637&lt;&gt;"Cancelled"),"Overdue","On Track"))</f>
        <v/>
      </c>
      <c r="R637" s="81" t="n"/>
      <c r="S637" s="81">
        <f>IF($B637="","",IFERROR(INDEX(Task_Tracker!$AA$5:$AA$1004,MATCH($B637,Task_Tracker!$A$5:$A$1004,0)),""))</f>
        <v/>
      </c>
      <c r="T637" s="81">
        <f>IF($B637="","",IFERROR(INDEX(Task_Tracker!$AB$5:$AB$1004,MATCH($B637,Task_Tracker!$A$5:$A$1004,0)),""))</f>
        <v/>
      </c>
      <c r="U637" s="78">
        <f>IF($B637="","",IFERROR(INDEX(Task_Tracker!$F$5:$F$1004,MATCH($B637,Task_Tracker!$A$5:$A$1004,0)),""))</f>
        <v/>
      </c>
      <c r="V637" s="78">
        <f>IF($B637="","",IFERROR(INDEX(Task_Tracker!$I$5:$I$1004,MATCH($B637,Task_Tracker!$A$5:$A$1004,0)),""))</f>
        <v/>
      </c>
      <c r="W637" s="81">
        <f>IF(OR($D637="",$B637=""),"",$D637&amp;" | "&amp;$B637)</f>
        <v/>
      </c>
      <c r="X637" s="85">
        <f>IF($K637="","",TEXT($K637,"yyyy-mm"))</f>
        <v/>
      </c>
      <c r="Y637" s="81">
        <f>IF(OR($A637="",$T637=""),"","Included in Manager_Report")</f>
        <v/>
      </c>
    </row>
    <row r="638" ht="15" customHeight="1" s="40">
      <c r="A638" s="65">
        <f>IF(COUNTA(B638:G638)=0,"","STP-"&amp;TEXT(ROW()-4,"0000"))</f>
        <v/>
      </c>
      <c r="B638" s="78" t="n"/>
      <c r="C638" s="67">
        <f>IF($B638="","",IFERROR(INDEX(Task_Tracker!$D$5:$D$1004,MATCH($B638,Task_Tracker!$A$5:$A$1004,0)),""))</f>
        <v/>
      </c>
      <c r="D638" s="67">
        <f>IF($B638="","",IFERROR(INDEX(Task_Tracker!$B$5:$B$1004,MATCH($B638,Task_Tracker!$A$5:$A$1004,0)),""))</f>
        <v/>
      </c>
      <c r="E638" s="81" t="n"/>
      <c r="F638" s="81" t="n"/>
      <c r="G638" s="78" t="n"/>
      <c r="H638" s="78" t="n"/>
      <c r="I638" s="67">
        <f>IF($H638="","",IFERROR(INDEX(Action_Status_Map!$B$5:$B$11,MATCH($H638,Action_Status_Map!$A$5:$A$11,0)),""))</f>
        <v/>
      </c>
      <c r="J638" s="82" t="n"/>
      <c r="K638" s="82" t="n"/>
      <c r="L638" s="82" t="n"/>
      <c r="M638" s="83" t="n"/>
      <c r="N638" s="83" t="n"/>
      <c r="O638" s="66">
        <f>IF(OR($M638="",$N638=""),"",$N638-$M638)</f>
        <v/>
      </c>
      <c r="P638" s="84">
        <f>IF($J638="","",IF($L638&lt;&gt;"",$L638-$J638,TODAY()-$J638))</f>
        <v/>
      </c>
      <c r="Q638" s="85">
        <f>IF(OR($K638="",$H638="Completed",$H638="Cancelled"),"",IF(AND($K638&lt;TODAY(),$H638&lt;&gt;"Completed",$H638&lt;&gt;"Cancelled"),"Overdue","On Track"))</f>
        <v/>
      </c>
      <c r="R638" s="81" t="n"/>
      <c r="S638" s="81">
        <f>IF($B638="","",IFERROR(INDEX(Task_Tracker!$AA$5:$AA$1004,MATCH($B638,Task_Tracker!$A$5:$A$1004,0)),""))</f>
        <v/>
      </c>
      <c r="T638" s="81">
        <f>IF($B638="","",IFERROR(INDEX(Task_Tracker!$AB$5:$AB$1004,MATCH($B638,Task_Tracker!$A$5:$A$1004,0)),""))</f>
        <v/>
      </c>
      <c r="U638" s="78">
        <f>IF($B638="","",IFERROR(INDEX(Task_Tracker!$F$5:$F$1004,MATCH($B638,Task_Tracker!$A$5:$A$1004,0)),""))</f>
        <v/>
      </c>
      <c r="V638" s="78">
        <f>IF($B638="","",IFERROR(INDEX(Task_Tracker!$I$5:$I$1004,MATCH($B638,Task_Tracker!$A$5:$A$1004,0)),""))</f>
        <v/>
      </c>
      <c r="W638" s="81">
        <f>IF(OR($D638="",$B638=""),"",$D638&amp;" | "&amp;$B638)</f>
        <v/>
      </c>
      <c r="X638" s="85">
        <f>IF($K638="","",TEXT($K638,"yyyy-mm"))</f>
        <v/>
      </c>
      <c r="Y638" s="81">
        <f>IF(OR($A638="",$T638=""),"","Included in Manager_Report")</f>
        <v/>
      </c>
    </row>
    <row r="639" ht="15" customHeight="1" s="40">
      <c r="A639" s="65">
        <f>IF(COUNTA(B639:G639)=0,"","STP-"&amp;TEXT(ROW()-4,"0000"))</f>
        <v/>
      </c>
      <c r="B639" s="78" t="n"/>
      <c r="C639" s="67">
        <f>IF($B639="","",IFERROR(INDEX(Task_Tracker!$D$5:$D$1004,MATCH($B639,Task_Tracker!$A$5:$A$1004,0)),""))</f>
        <v/>
      </c>
      <c r="D639" s="67">
        <f>IF($B639="","",IFERROR(INDEX(Task_Tracker!$B$5:$B$1004,MATCH($B639,Task_Tracker!$A$5:$A$1004,0)),""))</f>
        <v/>
      </c>
      <c r="E639" s="81" t="n"/>
      <c r="F639" s="81" t="n"/>
      <c r="G639" s="78" t="n"/>
      <c r="H639" s="78" t="n"/>
      <c r="I639" s="67">
        <f>IF($H639="","",IFERROR(INDEX(Action_Status_Map!$B$5:$B$11,MATCH($H639,Action_Status_Map!$A$5:$A$11,0)),""))</f>
        <v/>
      </c>
      <c r="J639" s="82" t="n"/>
      <c r="K639" s="82" t="n"/>
      <c r="L639" s="82" t="n"/>
      <c r="M639" s="83" t="n"/>
      <c r="N639" s="83" t="n"/>
      <c r="O639" s="66">
        <f>IF(OR($M639="",$N639=""),"",$N639-$M639)</f>
        <v/>
      </c>
      <c r="P639" s="84">
        <f>IF($J639="","",IF($L639&lt;&gt;"",$L639-$J639,TODAY()-$J639))</f>
        <v/>
      </c>
      <c r="Q639" s="85">
        <f>IF(OR($K639="",$H639="Completed",$H639="Cancelled"),"",IF(AND($K639&lt;TODAY(),$H639&lt;&gt;"Completed",$H639&lt;&gt;"Cancelled"),"Overdue","On Track"))</f>
        <v/>
      </c>
      <c r="R639" s="81" t="n"/>
      <c r="S639" s="81">
        <f>IF($B639="","",IFERROR(INDEX(Task_Tracker!$AA$5:$AA$1004,MATCH($B639,Task_Tracker!$A$5:$A$1004,0)),""))</f>
        <v/>
      </c>
      <c r="T639" s="81">
        <f>IF($B639="","",IFERROR(INDEX(Task_Tracker!$AB$5:$AB$1004,MATCH($B639,Task_Tracker!$A$5:$A$1004,0)),""))</f>
        <v/>
      </c>
      <c r="U639" s="78">
        <f>IF($B639="","",IFERROR(INDEX(Task_Tracker!$F$5:$F$1004,MATCH($B639,Task_Tracker!$A$5:$A$1004,0)),""))</f>
        <v/>
      </c>
      <c r="V639" s="78">
        <f>IF($B639="","",IFERROR(INDEX(Task_Tracker!$I$5:$I$1004,MATCH($B639,Task_Tracker!$A$5:$A$1004,0)),""))</f>
        <v/>
      </c>
      <c r="W639" s="81">
        <f>IF(OR($D639="",$B639=""),"",$D639&amp;" | "&amp;$B639)</f>
        <v/>
      </c>
      <c r="X639" s="85">
        <f>IF($K639="","",TEXT($K639,"yyyy-mm"))</f>
        <v/>
      </c>
      <c r="Y639" s="81">
        <f>IF(OR($A639="",$T639=""),"","Included in Manager_Report")</f>
        <v/>
      </c>
    </row>
    <row r="640" ht="15" customHeight="1" s="40">
      <c r="A640" s="65">
        <f>IF(COUNTA(B640:G640)=0,"","STP-"&amp;TEXT(ROW()-4,"0000"))</f>
        <v/>
      </c>
      <c r="B640" s="78" t="n"/>
      <c r="C640" s="67">
        <f>IF($B640="","",IFERROR(INDEX(Task_Tracker!$D$5:$D$1004,MATCH($B640,Task_Tracker!$A$5:$A$1004,0)),""))</f>
        <v/>
      </c>
      <c r="D640" s="67">
        <f>IF($B640="","",IFERROR(INDEX(Task_Tracker!$B$5:$B$1004,MATCH($B640,Task_Tracker!$A$5:$A$1004,0)),""))</f>
        <v/>
      </c>
      <c r="E640" s="81" t="n"/>
      <c r="F640" s="81" t="n"/>
      <c r="G640" s="78" t="n"/>
      <c r="H640" s="78" t="n"/>
      <c r="I640" s="67">
        <f>IF($H640="","",IFERROR(INDEX(Action_Status_Map!$B$5:$B$11,MATCH($H640,Action_Status_Map!$A$5:$A$11,0)),""))</f>
        <v/>
      </c>
      <c r="J640" s="82" t="n"/>
      <c r="K640" s="82" t="n"/>
      <c r="L640" s="82" t="n"/>
      <c r="M640" s="83" t="n"/>
      <c r="N640" s="83" t="n"/>
      <c r="O640" s="66">
        <f>IF(OR($M640="",$N640=""),"",$N640-$M640)</f>
        <v/>
      </c>
      <c r="P640" s="84">
        <f>IF($J640="","",IF($L640&lt;&gt;"",$L640-$J640,TODAY()-$J640))</f>
        <v/>
      </c>
      <c r="Q640" s="85">
        <f>IF(OR($K640="",$H640="Completed",$H640="Cancelled"),"",IF(AND($K640&lt;TODAY(),$H640&lt;&gt;"Completed",$H640&lt;&gt;"Cancelled"),"Overdue","On Track"))</f>
        <v/>
      </c>
      <c r="R640" s="81" t="n"/>
      <c r="S640" s="81">
        <f>IF($B640="","",IFERROR(INDEX(Task_Tracker!$AA$5:$AA$1004,MATCH($B640,Task_Tracker!$A$5:$A$1004,0)),""))</f>
        <v/>
      </c>
      <c r="T640" s="81">
        <f>IF($B640="","",IFERROR(INDEX(Task_Tracker!$AB$5:$AB$1004,MATCH($B640,Task_Tracker!$A$5:$A$1004,0)),""))</f>
        <v/>
      </c>
      <c r="U640" s="78">
        <f>IF($B640="","",IFERROR(INDEX(Task_Tracker!$F$5:$F$1004,MATCH($B640,Task_Tracker!$A$5:$A$1004,0)),""))</f>
        <v/>
      </c>
      <c r="V640" s="78">
        <f>IF($B640="","",IFERROR(INDEX(Task_Tracker!$I$5:$I$1004,MATCH($B640,Task_Tracker!$A$5:$A$1004,0)),""))</f>
        <v/>
      </c>
      <c r="W640" s="81">
        <f>IF(OR($D640="",$B640=""),"",$D640&amp;" | "&amp;$B640)</f>
        <v/>
      </c>
      <c r="X640" s="85">
        <f>IF($K640="","",TEXT($K640,"yyyy-mm"))</f>
        <v/>
      </c>
      <c r="Y640" s="81">
        <f>IF(OR($A640="",$T640=""),"","Included in Manager_Report")</f>
        <v/>
      </c>
    </row>
    <row r="641" ht="15" customHeight="1" s="40">
      <c r="A641" s="65">
        <f>IF(COUNTA(B641:G641)=0,"","STP-"&amp;TEXT(ROW()-4,"0000"))</f>
        <v/>
      </c>
      <c r="B641" s="78" t="n"/>
      <c r="C641" s="67">
        <f>IF($B641="","",IFERROR(INDEX(Task_Tracker!$D$5:$D$1004,MATCH($B641,Task_Tracker!$A$5:$A$1004,0)),""))</f>
        <v/>
      </c>
      <c r="D641" s="67">
        <f>IF($B641="","",IFERROR(INDEX(Task_Tracker!$B$5:$B$1004,MATCH($B641,Task_Tracker!$A$5:$A$1004,0)),""))</f>
        <v/>
      </c>
      <c r="E641" s="81" t="n"/>
      <c r="F641" s="81" t="n"/>
      <c r="G641" s="78" t="n"/>
      <c r="H641" s="78" t="n"/>
      <c r="I641" s="67">
        <f>IF($H641="","",IFERROR(INDEX(Action_Status_Map!$B$5:$B$11,MATCH($H641,Action_Status_Map!$A$5:$A$11,0)),""))</f>
        <v/>
      </c>
      <c r="J641" s="82" t="n"/>
      <c r="K641" s="82" t="n"/>
      <c r="L641" s="82" t="n"/>
      <c r="M641" s="83" t="n"/>
      <c r="N641" s="83" t="n"/>
      <c r="O641" s="66">
        <f>IF(OR($M641="",$N641=""),"",$N641-$M641)</f>
        <v/>
      </c>
      <c r="P641" s="84">
        <f>IF($J641="","",IF($L641&lt;&gt;"",$L641-$J641,TODAY()-$J641))</f>
        <v/>
      </c>
      <c r="Q641" s="85">
        <f>IF(OR($K641="",$H641="Completed",$H641="Cancelled"),"",IF(AND($K641&lt;TODAY(),$H641&lt;&gt;"Completed",$H641&lt;&gt;"Cancelled"),"Overdue","On Track"))</f>
        <v/>
      </c>
      <c r="R641" s="81" t="n"/>
      <c r="S641" s="81">
        <f>IF($B641="","",IFERROR(INDEX(Task_Tracker!$AA$5:$AA$1004,MATCH($B641,Task_Tracker!$A$5:$A$1004,0)),""))</f>
        <v/>
      </c>
      <c r="T641" s="81">
        <f>IF($B641="","",IFERROR(INDEX(Task_Tracker!$AB$5:$AB$1004,MATCH($B641,Task_Tracker!$A$5:$A$1004,0)),""))</f>
        <v/>
      </c>
      <c r="U641" s="78">
        <f>IF($B641="","",IFERROR(INDEX(Task_Tracker!$F$5:$F$1004,MATCH($B641,Task_Tracker!$A$5:$A$1004,0)),""))</f>
        <v/>
      </c>
      <c r="V641" s="78">
        <f>IF($B641="","",IFERROR(INDEX(Task_Tracker!$I$5:$I$1004,MATCH($B641,Task_Tracker!$A$5:$A$1004,0)),""))</f>
        <v/>
      </c>
      <c r="W641" s="81">
        <f>IF(OR($D641="",$B641=""),"",$D641&amp;" | "&amp;$B641)</f>
        <v/>
      </c>
      <c r="X641" s="85">
        <f>IF($K641="","",TEXT($K641,"yyyy-mm"))</f>
        <v/>
      </c>
      <c r="Y641" s="81">
        <f>IF(OR($A641="",$T641=""),"","Included in Manager_Report")</f>
        <v/>
      </c>
    </row>
    <row r="642" ht="15" customHeight="1" s="40">
      <c r="A642" s="65">
        <f>IF(COUNTA(B642:G642)=0,"","STP-"&amp;TEXT(ROW()-4,"0000"))</f>
        <v/>
      </c>
      <c r="B642" s="78" t="n"/>
      <c r="C642" s="67">
        <f>IF($B642="","",IFERROR(INDEX(Task_Tracker!$D$5:$D$1004,MATCH($B642,Task_Tracker!$A$5:$A$1004,0)),""))</f>
        <v/>
      </c>
      <c r="D642" s="67">
        <f>IF($B642="","",IFERROR(INDEX(Task_Tracker!$B$5:$B$1004,MATCH($B642,Task_Tracker!$A$5:$A$1004,0)),""))</f>
        <v/>
      </c>
      <c r="E642" s="81" t="n"/>
      <c r="F642" s="81" t="n"/>
      <c r="G642" s="78" t="n"/>
      <c r="H642" s="78" t="n"/>
      <c r="I642" s="67">
        <f>IF($H642="","",IFERROR(INDEX(Action_Status_Map!$B$5:$B$11,MATCH($H642,Action_Status_Map!$A$5:$A$11,0)),""))</f>
        <v/>
      </c>
      <c r="J642" s="82" t="n"/>
      <c r="K642" s="82" t="n"/>
      <c r="L642" s="82" t="n"/>
      <c r="M642" s="83" t="n"/>
      <c r="N642" s="83" t="n"/>
      <c r="O642" s="66">
        <f>IF(OR($M642="",$N642=""),"",$N642-$M642)</f>
        <v/>
      </c>
      <c r="P642" s="84">
        <f>IF($J642="","",IF($L642&lt;&gt;"",$L642-$J642,TODAY()-$J642))</f>
        <v/>
      </c>
      <c r="Q642" s="85">
        <f>IF(OR($K642="",$H642="Completed",$H642="Cancelled"),"",IF(AND($K642&lt;TODAY(),$H642&lt;&gt;"Completed",$H642&lt;&gt;"Cancelled"),"Overdue","On Track"))</f>
        <v/>
      </c>
      <c r="R642" s="81" t="n"/>
      <c r="S642" s="81">
        <f>IF($B642="","",IFERROR(INDEX(Task_Tracker!$AA$5:$AA$1004,MATCH($B642,Task_Tracker!$A$5:$A$1004,0)),""))</f>
        <v/>
      </c>
      <c r="T642" s="81">
        <f>IF($B642="","",IFERROR(INDEX(Task_Tracker!$AB$5:$AB$1004,MATCH($B642,Task_Tracker!$A$5:$A$1004,0)),""))</f>
        <v/>
      </c>
      <c r="U642" s="78">
        <f>IF($B642="","",IFERROR(INDEX(Task_Tracker!$F$5:$F$1004,MATCH($B642,Task_Tracker!$A$5:$A$1004,0)),""))</f>
        <v/>
      </c>
      <c r="V642" s="78">
        <f>IF($B642="","",IFERROR(INDEX(Task_Tracker!$I$5:$I$1004,MATCH($B642,Task_Tracker!$A$5:$A$1004,0)),""))</f>
        <v/>
      </c>
      <c r="W642" s="81">
        <f>IF(OR($D642="",$B642=""),"",$D642&amp;" | "&amp;$B642)</f>
        <v/>
      </c>
      <c r="X642" s="85">
        <f>IF($K642="","",TEXT($K642,"yyyy-mm"))</f>
        <v/>
      </c>
      <c r="Y642" s="81">
        <f>IF(OR($A642="",$T642=""),"","Included in Manager_Report")</f>
        <v/>
      </c>
    </row>
    <row r="643" ht="15" customHeight="1" s="40">
      <c r="A643" s="65">
        <f>IF(COUNTA(B643:G643)=0,"","STP-"&amp;TEXT(ROW()-4,"0000"))</f>
        <v/>
      </c>
      <c r="B643" s="78" t="n"/>
      <c r="C643" s="67">
        <f>IF($B643="","",IFERROR(INDEX(Task_Tracker!$D$5:$D$1004,MATCH($B643,Task_Tracker!$A$5:$A$1004,0)),""))</f>
        <v/>
      </c>
      <c r="D643" s="67">
        <f>IF($B643="","",IFERROR(INDEX(Task_Tracker!$B$5:$B$1004,MATCH($B643,Task_Tracker!$A$5:$A$1004,0)),""))</f>
        <v/>
      </c>
      <c r="E643" s="81" t="n"/>
      <c r="F643" s="81" t="n"/>
      <c r="G643" s="78" t="n"/>
      <c r="H643" s="78" t="n"/>
      <c r="I643" s="67">
        <f>IF($H643="","",IFERROR(INDEX(Action_Status_Map!$B$5:$B$11,MATCH($H643,Action_Status_Map!$A$5:$A$11,0)),""))</f>
        <v/>
      </c>
      <c r="J643" s="82" t="n"/>
      <c r="K643" s="82" t="n"/>
      <c r="L643" s="82" t="n"/>
      <c r="M643" s="83" t="n"/>
      <c r="N643" s="83" t="n"/>
      <c r="O643" s="66">
        <f>IF(OR($M643="",$N643=""),"",$N643-$M643)</f>
        <v/>
      </c>
      <c r="P643" s="84">
        <f>IF($J643="","",IF($L643&lt;&gt;"",$L643-$J643,TODAY()-$J643))</f>
        <v/>
      </c>
      <c r="Q643" s="85">
        <f>IF(OR($K643="",$H643="Completed",$H643="Cancelled"),"",IF(AND($K643&lt;TODAY(),$H643&lt;&gt;"Completed",$H643&lt;&gt;"Cancelled"),"Overdue","On Track"))</f>
        <v/>
      </c>
      <c r="R643" s="81" t="n"/>
      <c r="S643" s="81">
        <f>IF($B643="","",IFERROR(INDEX(Task_Tracker!$AA$5:$AA$1004,MATCH($B643,Task_Tracker!$A$5:$A$1004,0)),""))</f>
        <v/>
      </c>
      <c r="T643" s="81">
        <f>IF($B643="","",IFERROR(INDEX(Task_Tracker!$AB$5:$AB$1004,MATCH($B643,Task_Tracker!$A$5:$A$1004,0)),""))</f>
        <v/>
      </c>
      <c r="U643" s="78">
        <f>IF($B643="","",IFERROR(INDEX(Task_Tracker!$F$5:$F$1004,MATCH($B643,Task_Tracker!$A$5:$A$1004,0)),""))</f>
        <v/>
      </c>
      <c r="V643" s="78">
        <f>IF($B643="","",IFERROR(INDEX(Task_Tracker!$I$5:$I$1004,MATCH($B643,Task_Tracker!$A$5:$A$1004,0)),""))</f>
        <v/>
      </c>
      <c r="W643" s="81">
        <f>IF(OR($D643="",$B643=""),"",$D643&amp;" | "&amp;$B643)</f>
        <v/>
      </c>
      <c r="X643" s="85">
        <f>IF($K643="","",TEXT($K643,"yyyy-mm"))</f>
        <v/>
      </c>
      <c r="Y643" s="81">
        <f>IF(OR($A643="",$T643=""),"","Included in Manager_Report")</f>
        <v/>
      </c>
    </row>
    <row r="644" ht="15" customHeight="1" s="40">
      <c r="A644" s="65">
        <f>IF(COUNTA(B644:G644)=0,"","STP-"&amp;TEXT(ROW()-4,"0000"))</f>
        <v/>
      </c>
      <c r="B644" s="78" t="n"/>
      <c r="C644" s="67">
        <f>IF($B644="","",IFERROR(INDEX(Task_Tracker!$D$5:$D$1004,MATCH($B644,Task_Tracker!$A$5:$A$1004,0)),""))</f>
        <v/>
      </c>
      <c r="D644" s="67">
        <f>IF($B644="","",IFERROR(INDEX(Task_Tracker!$B$5:$B$1004,MATCH($B644,Task_Tracker!$A$5:$A$1004,0)),""))</f>
        <v/>
      </c>
      <c r="E644" s="81" t="n"/>
      <c r="F644" s="81" t="n"/>
      <c r="G644" s="78" t="n"/>
      <c r="H644" s="78" t="n"/>
      <c r="I644" s="67">
        <f>IF($H644="","",IFERROR(INDEX(Action_Status_Map!$B$5:$B$11,MATCH($H644,Action_Status_Map!$A$5:$A$11,0)),""))</f>
        <v/>
      </c>
      <c r="J644" s="82" t="n"/>
      <c r="K644" s="82" t="n"/>
      <c r="L644" s="82" t="n"/>
      <c r="M644" s="83" t="n"/>
      <c r="N644" s="83" t="n"/>
      <c r="O644" s="66">
        <f>IF(OR($M644="",$N644=""),"",$N644-$M644)</f>
        <v/>
      </c>
      <c r="P644" s="84">
        <f>IF($J644="","",IF($L644&lt;&gt;"",$L644-$J644,TODAY()-$J644))</f>
        <v/>
      </c>
      <c r="Q644" s="85">
        <f>IF(OR($K644="",$H644="Completed",$H644="Cancelled"),"",IF(AND($K644&lt;TODAY(),$H644&lt;&gt;"Completed",$H644&lt;&gt;"Cancelled"),"Overdue","On Track"))</f>
        <v/>
      </c>
      <c r="R644" s="81" t="n"/>
      <c r="S644" s="81">
        <f>IF($B644="","",IFERROR(INDEX(Task_Tracker!$AA$5:$AA$1004,MATCH($B644,Task_Tracker!$A$5:$A$1004,0)),""))</f>
        <v/>
      </c>
      <c r="T644" s="81">
        <f>IF($B644="","",IFERROR(INDEX(Task_Tracker!$AB$5:$AB$1004,MATCH($B644,Task_Tracker!$A$5:$A$1004,0)),""))</f>
        <v/>
      </c>
      <c r="U644" s="78">
        <f>IF($B644="","",IFERROR(INDEX(Task_Tracker!$F$5:$F$1004,MATCH($B644,Task_Tracker!$A$5:$A$1004,0)),""))</f>
        <v/>
      </c>
      <c r="V644" s="78">
        <f>IF($B644="","",IFERROR(INDEX(Task_Tracker!$I$5:$I$1004,MATCH($B644,Task_Tracker!$A$5:$A$1004,0)),""))</f>
        <v/>
      </c>
      <c r="W644" s="81">
        <f>IF(OR($D644="",$B644=""),"",$D644&amp;" | "&amp;$B644)</f>
        <v/>
      </c>
      <c r="X644" s="85">
        <f>IF($K644="","",TEXT($K644,"yyyy-mm"))</f>
        <v/>
      </c>
      <c r="Y644" s="81">
        <f>IF(OR($A644="",$T644=""),"","Included in Manager_Report")</f>
        <v/>
      </c>
    </row>
    <row r="645" ht="15" customHeight="1" s="40">
      <c r="A645" s="65">
        <f>IF(COUNTA(B645:G645)=0,"","STP-"&amp;TEXT(ROW()-4,"0000"))</f>
        <v/>
      </c>
      <c r="B645" s="78" t="n"/>
      <c r="C645" s="67">
        <f>IF($B645="","",IFERROR(INDEX(Task_Tracker!$D$5:$D$1004,MATCH($B645,Task_Tracker!$A$5:$A$1004,0)),""))</f>
        <v/>
      </c>
      <c r="D645" s="67">
        <f>IF($B645="","",IFERROR(INDEX(Task_Tracker!$B$5:$B$1004,MATCH($B645,Task_Tracker!$A$5:$A$1004,0)),""))</f>
        <v/>
      </c>
      <c r="E645" s="81" t="n"/>
      <c r="F645" s="81" t="n"/>
      <c r="G645" s="78" t="n"/>
      <c r="H645" s="78" t="n"/>
      <c r="I645" s="67">
        <f>IF($H645="","",IFERROR(INDEX(Action_Status_Map!$B$5:$B$11,MATCH($H645,Action_Status_Map!$A$5:$A$11,0)),""))</f>
        <v/>
      </c>
      <c r="J645" s="82" t="n"/>
      <c r="K645" s="82" t="n"/>
      <c r="L645" s="82" t="n"/>
      <c r="M645" s="83" t="n"/>
      <c r="N645" s="83" t="n"/>
      <c r="O645" s="66">
        <f>IF(OR($M645="",$N645=""),"",$N645-$M645)</f>
        <v/>
      </c>
      <c r="P645" s="84">
        <f>IF($J645="","",IF($L645&lt;&gt;"",$L645-$J645,TODAY()-$J645))</f>
        <v/>
      </c>
      <c r="Q645" s="85">
        <f>IF(OR($K645="",$H645="Completed",$H645="Cancelled"),"",IF(AND($K645&lt;TODAY(),$H645&lt;&gt;"Completed",$H645&lt;&gt;"Cancelled"),"Overdue","On Track"))</f>
        <v/>
      </c>
      <c r="R645" s="81" t="n"/>
      <c r="S645" s="81">
        <f>IF($B645="","",IFERROR(INDEX(Task_Tracker!$AA$5:$AA$1004,MATCH($B645,Task_Tracker!$A$5:$A$1004,0)),""))</f>
        <v/>
      </c>
      <c r="T645" s="81">
        <f>IF($B645="","",IFERROR(INDEX(Task_Tracker!$AB$5:$AB$1004,MATCH($B645,Task_Tracker!$A$5:$A$1004,0)),""))</f>
        <v/>
      </c>
      <c r="U645" s="78">
        <f>IF($B645="","",IFERROR(INDEX(Task_Tracker!$F$5:$F$1004,MATCH($B645,Task_Tracker!$A$5:$A$1004,0)),""))</f>
        <v/>
      </c>
      <c r="V645" s="78">
        <f>IF($B645="","",IFERROR(INDEX(Task_Tracker!$I$5:$I$1004,MATCH($B645,Task_Tracker!$A$5:$A$1004,0)),""))</f>
        <v/>
      </c>
      <c r="W645" s="81">
        <f>IF(OR($D645="",$B645=""),"",$D645&amp;" | "&amp;$B645)</f>
        <v/>
      </c>
      <c r="X645" s="85">
        <f>IF($K645="","",TEXT($K645,"yyyy-mm"))</f>
        <v/>
      </c>
      <c r="Y645" s="81">
        <f>IF(OR($A645="",$T645=""),"","Included in Manager_Report")</f>
        <v/>
      </c>
    </row>
    <row r="646" ht="15" customHeight="1" s="40">
      <c r="A646" s="65">
        <f>IF(COUNTA(B646:G646)=0,"","STP-"&amp;TEXT(ROW()-4,"0000"))</f>
        <v/>
      </c>
      <c r="B646" s="78" t="n"/>
      <c r="C646" s="67">
        <f>IF($B646="","",IFERROR(INDEX(Task_Tracker!$D$5:$D$1004,MATCH($B646,Task_Tracker!$A$5:$A$1004,0)),""))</f>
        <v/>
      </c>
      <c r="D646" s="67">
        <f>IF($B646="","",IFERROR(INDEX(Task_Tracker!$B$5:$B$1004,MATCH($B646,Task_Tracker!$A$5:$A$1004,0)),""))</f>
        <v/>
      </c>
      <c r="E646" s="81" t="n"/>
      <c r="F646" s="81" t="n"/>
      <c r="G646" s="78" t="n"/>
      <c r="H646" s="78" t="n"/>
      <c r="I646" s="67">
        <f>IF($H646="","",IFERROR(INDEX(Action_Status_Map!$B$5:$B$11,MATCH($H646,Action_Status_Map!$A$5:$A$11,0)),""))</f>
        <v/>
      </c>
      <c r="J646" s="82" t="n"/>
      <c r="K646" s="82" t="n"/>
      <c r="L646" s="82" t="n"/>
      <c r="M646" s="83" t="n"/>
      <c r="N646" s="83" t="n"/>
      <c r="O646" s="66">
        <f>IF(OR($M646="",$N646=""),"",$N646-$M646)</f>
        <v/>
      </c>
      <c r="P646" s="84">
        <f>IF($J646="","",IF($L646&lt;&gt;"",$L646-$J646,TODAY()-$J646))</f>
        <v/>
      </c>
      <c r="Q646" s="85">
        <f>IF(OR($K646="",$H646="Completed",$H646="Cancelled"),"",IF(AND($K646&lt;TODAY(),$H646&lt;&gt;"Completed",$H646&lt;&gt;"Cancelled"),"Overdue","On Track"))</f>
        <v/>
      </c>
      <c r="R646" s="81" t="n"/>
      <c r="S646" s="81">
        <f>IF($B646="","",IFERROR(INDEX(Task_Tracker!$AA$5:$AA$1004,MATCH($B646,Task_Tracker!$A$5:$A$1004,0)),""))</f>
        <v/>
      </c>
      <c r="T646" s="81">
        <f>IF($B646="","",IFERROR(INDEX(Task_Tracker!$AB$5:$AB$1004,MATCH($B646,Task_Tracker!$A$5:$A$1004,0)),""))</f>
        <v/>
      </c>
      <c r="U646" s="78">
        <f>IF($B646="","",IFERROR(INDEX(Task_Tracker!$F$5:$F$1004,MATCH($B646,Task_Tracker!$A$5:$A$1004,0)),""))</f>
        <v/>
      </c>
      <c r="V646" s="78">
        <f>IF($B646="","",IFERROR(INDEX(Task_Tracker!$I$5:$I$1004,MATCH($B646,Task_Tracker!$A$5:$A$1004,0)),""))</f>
        <v/>
      </c>
      <c r="W646" s="81">
        <f>IF(OR($D646="",$B646=""),"",$D646&amp;" | "&amp;$B646)</f>
        <v/>
      </c>
      <c r="X646" s="85">
        <f>IF($K646="","",TEXT($K646,"yyyy-mm"))</f>
        <v/>
      </c>
      <c r="Y646" s="81">
        <f>IF(OR($A646="",$T646=""),"","Included in Manager_Report")</f>
        <v/>
      </c>
    </row>
    <row r="647" ht="15" customHeight="1" s="40">
      <c r="A647" s="65">
        <f>IF(COUNTA(B647:G647)=0,"","STP-"&amp;TEXT(ROW()-4,"0000"))</f>
        <v/>
      </c>
      <c r="B647" s="78" t="n"/>
      <c r="C647" s="67">
        <f>IF($B647="","",IFERROR(INDEX(Task_Tracker!$D$5:$D$1004,MATCH($B647,Task_Tracker!$A$5:$A$1004,0)),""))</f>
        <v/>
      </c>
      <c r="D647" s="67">
        <f>IF($B647="","",IFERROR(INDEX(Task_Tracker!$B$5:$B$1004,MATCH($B647,Task_Tracker!$A$5:$A$1004,0)),""))</f>
        <v/>
      </c>
      <c r="E647" s="81" t="n"/>
      <c r="F647" s="81" t="n"/>
      <c r="G647" s="78" t="n"/>
      <c r="H647" s="78" t="n"/>
      <c r="I647" s="67">
        <f>IF($H647="","",IFERROR(INDEX(Action_Status_Map!$B$5:$B$11,MATCH($H647,Action_Status_Map!$A$5:$A$11,0)),""))</f>
        <v/>
      </c>
      <c r="J647" s="82" t="n"/>
      <c r="K647" s="82" t="n"/>
      <c r="L647" s="82" t="n"/>
      <c r="M647" s="83" t="n"/>
      <c r="N647" s="83" t="n"/>
      <c r="O647" s="66">
        <f>IF(OR($M647="",$N647=""),"",$N647-$M647)</f>
        <v/>
      </c>
      <c r="P647" s="84">
        <f>IF($J647="","",IF($L647&lt;&gt;"",$L647-$J647,TODAY()-$J647))</f>
        <v/>
      </c>
      <c r="Q647" s="85">
        <f>IF(OR($K647="",$H647="Completed",$H647="Cancelled"),"",IF(AND($K647&lt;TODAY(),$H647&lt;&gt;"Completed",$H647&lt;&gt;"Cancelled"),"Overdue","On Track"))</f>
        <v/>
      </c>
      <c r="R647" s="81" t="n"/>
      <c r="S647" s="81">
        <f>IF($B647="","",IFERROR(INDEX(Task_Tracker!$AA$5:$AA$1004,MATCH($B647,Task_Tracker!$A$5:$A$1004,0)),""))</f>
        <v/>
      </c>
      <c r="T647" s="81">
        <f>IF($B647="","",IFERROR(INDEX(Task_Tracker!$AB$5:$AB$1004,MATCH($B647,Task_Tracker!$A$5:$A$1004,0)),""))</f>
        <v/>
      </c>
      <c r="U647" s="78">
        <f>IF($B647="","",IFERROR(INDEX(Task_Tracker!$F$5:$F$1004,MATCH($B647,Task_Tracker!$A$5:$A$1004,0)),""))</f>
        <v/>
      </c>
      <c r="V647" s="78">
        <f>IF($B647="","",IFERROR(INDEX(Task_Tracker!$I$5:$I$1004,MATCH($B647,Task_Tracker!$A$5:$A$1004,0)),""))</f>
        <v/>
      </c>
      <c r="W647" s="81">
        <f>IF(OR($D647="",$B647=""),"",$D647&amp;" | "&amp;$B647)</f>
        <v/>
      </c>
      <c r="X647" s="85">
        <f>IF($K647="","",TEXT($K647,"yyyy-mm"))</f>
        <v/>
      </c>
      <c r="Y647" s="81">
        <f>IF(OR($A647="",$T647=""),"","Included in Manager_Report")</f>
        <v/>
      </c>
    </row>
    <row r="648" ht="15" customHeight="1" s="40">
      <c r="A648" s="65">
        <f>IF(COUNTA(B648:G648)=0,"","STP-"&amp;TEXT(ROW()-4,"0000"))</f>
        <v/>
      </c>
      <c r="B648" s="78" t="n"/>
      <c r="C648" s="67">
        <f>IF($B648="","",IFERROR(INDEX(Task_Tracker!$D$5:$D$1004,MATCH($B648,Task_Tracker!$A$5:$A$1004,0)),""))</f>
        <v/>
      </c>
      <c r="D648" s="67">
        <f>IF($B648="","",IFERROR(INDEX(Task_Tracker!$B$5:$B$1004,MATCH($B648,Task_Tracker!$A$5:$A$1004,0)),""))</f>
        <v/>
      </c>
      <c r="E648" s="81" t="n"/>
      <c r="F648" s="81" t="n"/>
      <c r="G648" s="78" t="n"/>
      <c r="H648" s="78" t="n"/>
      <c r="I648" s="67">
        <f>IF($H648="","",IFERROR(INDEX(Action_Status_Map!$B$5:$B$11,MATCH($H648,Action_Status_Map!$A$5:$A$11,0)),""))</f>
        <v/>
      </c>
      <c r="J648" s="82" t="n"/>
      <c r="K648" s="82" t="n"/>
      <c r="L648" s="82" t="n"/>
      <c r="M648" s="83" t="n"/>
      <c r="N648" s="83" t="n"/>
      <c r="O648" s="66">
        <f>IF(OR($M648="",$N648=""),"",$N648-$M648)</f>
        <v/>
      </c>
      <c r="P648" s="84">
        <f>IF($J648="","",IF($L648&lt;&gt;"",$L648-$J648,TODAY()-$J648))</f>
        <v/>
      </c>
      <c r="Q648" s="85">
        <f>IF(OR($K648="",$H648="Completed",$H648="Cancelled"),"",IF(AND($K648&lt;TODAY(),$H648&lt;&gt;"Completed",$H648&lt;&gt;"Cancelled"),"Overdue","On Track"))</f>
        <v/>
      </c>
      <c r="R648" s="81" t="n"/>
      <c r="S648" s="81">
        <f>IF($B648="","",IFERROR(INDEX(Task_Tracker!$AA$5:$AA$1004,MATCH($B648,Task_Tracker!$A$5:$A$1004,0)),""))</f>
        <v/>
      </c>
      <c r="T648" s="81">
        <f>IF($B648="","",IFERROR(INDEX(Task_Tracker!$AB$5:$AB$1004,MATCH($B648,Task_Tracker!$A$5:$A$1004,0)),""))</f>
        <v/>
      </c>
      <c r="U648" s="78">
        <f>IF($B648="","",IFERROR(INDEX(Task_Tracker!$F$5:$F$1004,MATCH($B648,Task_Tracker!$A$5:$A$1004,0)),""))</f>
        <v/>
      </c>
      <c r="V648" s="78">
        <f>IF($B648="","",IFERROR(INDEX(Task_Tracker!$I$5:$I$1004,MATCH($B648,Task_Tracker!$A$5:$A$1004,0)),""))</f>
        <v/>
      </c>
      <c r="W648" s="81">
        <f>IF(OR($D648="",$B648=""),"",$D648&amp;" | "&amp;$B648)</f>
        <v/>
      </c>
      <c r="X648" s="85">
        <f>IF($K648="","",TEXT($K648,"yyyy-mm"))</f>
        <v/>
      </c>
      <c r="Y648" s="81">
        <f>IF(OR($A648="",$T648=""),"","Included in Manager_Report")</f>
        <v/>
      </c>
    </row>
    <row r="649" ht="15" customHeight="1" s="40">
      <c r="A649" s="65">
        <f>IF(COUNTA(B649:G649)=0,"","STP-"&amp;TEXT(ROW()-4,"0000"))</f>
        <v/>
      </c>
      <c r="B649" s="78" t="n"/>
      <c r="C649" s="67">
        <f>IF($B649="","",IFERROR(INDEX(Task_Tracker!$D$5:$D$1004,MATCH($B649,Task_Tracker!$A$5:$A$1004,0)),""))</f>
        <v/>
      </c>
      <c r="D649" s="67">
        <f>IF($B649="","",IFERROR(INDEX(Task_Tracker!$B$5:$B$1004,MATCH($B649,Task_Tracker!$A$5:$A$1004,0)),""))</f>
        <v/>
      </c>
      <c r="E649" s="81" t="n"/>
      <c r="F649" s="81" t="n"/>
      <c r="G649" s="78" t="n"/>
      <c r="H649" s="78" t="n"/>
      <c r="I649" s="67">
        <f>IF($H649="","",IFERROR(INDEX(Action_Status_Map!$B$5:$B$11,MATCH($H649,Action_Status_Map!$A$5:$A$11,0)),""))</f>
        <v/>
      </c>
      <c r="J649" s="82" t="n"/>
      <c r="K649" s="82" t="n"/>
      <c r="L649" s="82" t="n"/>
      <c r="M649" s="83" t="n"/>
      <c r="N649" s="83" t="n"/>
      <c r="O649" s="66">
        <f>IF(OR($M649="",$N649=""),"",$N649-$M649)</f>
        <v/>
      </c>
      <c r="P649" s="84">
        <f>IF($J649="","",IF($L649&lt;&gt;"",$L649-$J649,TODAY()-$J649))</f>
        <v/>
      </c>
      <c r="Q649" s="85">
        <f>IF(OR($K649="",$H649="Completed",$H649="Cancelled"),"",IF(AND($K649&lt;TODAY(),$H649&lt;&gt;"Completed",$H649&lt;&gt;"Cancelled"),"Overdue","On Track"))</f>
        <v/>
      </c>
      <c r="R649" s="81" t="n"/>
      <c r="S649" s="81">
        <f>IF($B649="","",IFERROR(INDEX(Task_Tracker!$AA$5:$AA$1004,MATCH($B649,Task_Tracker!$A$5:$A$1004,0)),""))</f>
        <v/>
      </c>
      <c r="T649" s="81">
        <f>IF($B649="","",IFERROR(INDEX(Task_Tracker!$AB$5:$AB$1004,MATCH($B649,Task_Tracker!$A$5:$A$1004,0)),""))</f>
        <v/>
      </c>
      <c r="U649" s="78">
        <f>IF($B649="","",IFERROR(INDEX(Task_Tracker!$F$5:$F$1004,MATCH($B649,Task_Tracker!$A$5:$A$1004,0)),""))</f>
        <v/>
      </c>
      <c r="V649" s="78">
        <f>IF($B649="","",IFERROR(INDEX(Task_Tracker!$I$5:$I$1004,MATCH($B649,Task_Tracker!$A$5:$A$1004,0)),""))</f>
        <v/>
      </c>
      <c r="W649" s="81">
        <f>IF(OR($D649="",$B649=""),"",$D649&amp;" | "&amp;$B649)</f>
        <v/>
      </c>
      <c r="X649" s="85">
        <f>IF($K649="","",TEXT($K649,"yyyy-mm"))</f>
        <v/>
      </c>
      <c r="Y649" s="81">
        <f>IF(OR($A649="",$T649=""),"","Included in Manager_Report")</f>
        <v/>
      </c>
    </row>
    <row r="650" ht="15" customHeight="1" s="40">
      <c r="A650" s="65">
        <f>IF(COUNTA(B650:G650)=0,"","STP-"&amp;TEXT(ROW()-4,"0000"))</f>
        <v/>
      </c>
      <c r="B650" s="78" t="n"/>
      <c r="C650" s="67">
        <f>IF($B650="","",IFERROR(INDEX(Task_Tracker!$D$5:$D$1004,MATCH($B650,Task_Tracker!$A$5:$A$1004,0)),""))</f>
        <v/>
      </c>
      <c r="D650" s="67">
        <f>IF($B650="","",IFERROR(INDEX(Task_Tracker!$B$5:$B$1004,MATCH($B650,Task_Tracker!$A$5:$A$1004,0)),""))</f>
        <v/>
      </c>
      <c r="E650" s="81" t="n"/>
      <c r="F650" s="81" t="n"/>
      <c r="G650" s="78" t="n"/>
      <c r="H650" s="78" t="n"/>
      <c r="I650" s="67">
        <f>IF($H650="","",IFERROR(INDEX(Action_Status_Map!$B$5:$B$11,MATCH($H650,Action_Status_Map!$A$5:$A$11,0)),""))</f>
        <v/>
      </c>
      <c r="J650" s="82" t="n"/>
      <c r="K650" s="82" t="n"/>
      <c r="L650" s="82" t="n"/>
      <c r="M650" s="83" t="n"/>
      <c r="N650" s="83" t="n"/>
      <c r="O650" s="66">
        <f>IF(OR($M650="",$N650=""),"",$N650-$M650)</f>
        <v/>
      </c>
      <c r="P650" s="84">
        <f>IF($J650="","",IF($L650&lt;&gt;"",$L650-$J650,TODAY()-$J650))</f>
        <v/>
      </c>
      <c r="Q650" s="85">
        <f>IF(OR($K650="",$H650="Completed",$H650="Cancelled"),"",IF(AND($K650&lt;TODAY(),$H650&lt;&gt;"Completed",$H650&lt;&gt;"Cancelled"),"Overdue","On Track"))</f>
        <v/>
      </c>
      <c r="R650" s="81" t="n"/>
      <c r="S650" s="81">
        <f>IF($B650="","",IFERROR(INDEX(Task_Tracker!$AA$5:$AA$1004,MATCH($B650,Task_Tracker!$A$5:$A$1004,0)),""))</f>
        <v/>
      </c>
      <c r="T650" s="81">
        <f>IF($B650="","",IFERROR(INDEX(Task_Tracker!$AB$5:$AB$1004,MATCH($B650,Task_Tracker!$A$5:$A$1004,0)),""))</f>
        <v/>
      </c>
      <c r="U650" s="78">
        <f>IF($B650="","",IFERROR(INDEX(Task_Tracker!$F$5:$F$1004,MATCH($B650,Task_Tracker!$A$5:$A$1004,0)),""))</f>
        <v/>
      </c>
      <c r="V650" s="78">
        <f>IF($B650="","",IFERROR(INDEX(Task_Tracker!$I$5:$I$1004,MATCH($B650,Task_Tracker!$A$5:$A$1004,0)),""))</f>
        <v/>
      </c>
      <c r="W650" s="81">
        <f>IF(OR($D650="",$B650=""),"",$D650&amp;" | "&amp;$B650)</f>
        <v/>
      </c>
      <c r="X650" s="85">
        <f>IF($K650="","",TEXT($K650,"yyyy-mm"))</f>
        <v/>
      </c>
      <c r="Y650" s="81">
        <f>IF(OR($A650="",$T650=""),"","Included in Manager_Report")</f>
        <v/>
      </c>
    </row>
    <row r="651" ht="15" customHeight="1" s="40">
      <c r="A651" s="65">
        <f>IF(COUNTA(B651:G651)=0,"","STP-"&amp;TEXT(ROW()-4,"0000"))</f>
        <v/>
      </c>
      <c r="B651" s="78" t="n"/>
      <c r="C651" s="67">
        <f>IF($B651="","",IFERROR(INDEX(Task_Tracker!$D$5:$D$1004,MATCH($B651,Task_Tracker!$A$5:$A$1004,0)),""))</f>
        <v/>
      </c>
      <c r="D651" s="67">
        <f>IF($B651="","",IFERROR(INDEX(Task_Tracker!$B$5:$B$1004,MATCH($B651,Task_Tracker!$A$5:$A$1004,0)),""))</f>
        <v/>
      </c>
      <c r="E651" s="81" t="n"/>
      <c r="F651" s="81" t="n"/>
      <c r="G651" s="78" t="n"/>
      <c r="H651" s="78" t="n"/>
      <c r="I651" s="67">
        <f>IF($H651="","",IFERROR(INDEX(Action_Status_Map!$B$5:$B$11,MATCH($H651,Action_Status_Map!$A$5:$A$11,0)),""))</f>
        <v/>
      </c>
      <c r="J651" s="82" t="n"/>
      <c r="K651" s="82" t="n"/>
      <c r="L651" s="82" t="n"/>
      <c r="M651" s="83" t="n"/>
      <c r="N651" s="83" t="n"/>
      <c r="O651" s="66">
        <f>IF(OR($M651="",$N651=""),"",$N651-$M651)</f>
        <v/>
      </c>
      <c r="P651" s="84">
        <f>IF($J651="","",IF($L651&lt;&gt;"",$L651-$J651,TODAY()-$J651))</f>
        <v/>
      </c>
      <c r="Q651" s="85">
        <f>IF(OR($K651="",$H651="Completed",$H651="Cancelled"),"",IF(AND($K651&lt;TODAY(),$H651&lt;&gt;"Completed",$H651&lt;&gt;"Cancelled"),"Overdue","On Track"))</f>
        <v/>
      </c>
      <c r="R651" s="81" t="n"/>
      <c r="S651" s="81">
        <f>IF($B651="","",IFERROR(INDEX(Task_Tracker!$AA$5:$AA$1004,MATCH($B651,Task_Tracker!$A$5:$A$1004,0)),""))</f>
        <v/>
      </c>
      <c r="T651" s="81">
        <f>IF($B651="","",IFERROR(INDEX(Task_Tracker!$AB$5:$AB$1004,MATCH($B651,Task_Tracker!$A$5:$A$1004,0)),""))</f>
        <v/>
      </c>
      <c r="U651" s="78">
        <f>IF($B651="","",IFERROR(INDEX(Task_Tracker!$F$5:$F$1004,MATCH($B651,Task_Tracker!$A$5:$A$1004,0)),""))</f>
        <v/>
      </c>
      <c r="V651" s="78">
        <f>IF($B651="","",IFERROR(INDEX(Task_Tracker!$I$5:$I$1004,MATCH($B651,Task_Tracker!$A$5:$A$1004,0)),""))</f>
        <v/>
      </c>
      <c r="W651" s="81">
        <f>IF(OR($D651="",$B651=""),"",$D651&amp;" | "&amp;$B651)</f>
        <v/>
      </c>
      <c r="X651" s="85">
        <f>IF($K651="","",TEXT($K651,"yyyy-mm"))</f>
        <v/>
      </c>
      <c r="Y651" s="81">
        <f>IF(OR($A651="",$T651=""),"","Included in Manager_Report")</f>
        <v/>
      </c>
    </row>
    <row r="652" ht="15" customHeight="1" s="40">
      <c r="A652" s="65">
        <f>IF(COUNTA(B652:G652)=0,"","STP-"&amp;TEXT(ROW()-4,"0000"))</f>
        <v/>
      </c>
      <c r="B652" s="78" t="n"/>
      <c r="C652" s="67">
        <f>IF($B652="","",IFERROR(INDEX(Task_Tracker!$D$5:$D$1004,MATCH($B652,Task_Tracker!$A$5:$A$1004,0)),""))</f>
        <v/>
      </c>
      <c r="D652" s="67">
        <f>IF($B652="","",IFERROR(INDEX(Task_Tracker!$B$5:$B$1004,MATCH($B652,Task_Tracker!$A$5:$A$1004,0)),""))</f>
        <v/>
      </c>
      <c r="E652" s="81" t="n"/>
      <c r="F652" s="81" t="n"/>
      <c r="G652" s="78" t="n"/>
      <c r="H652" s="78" t="n"/>
      <c r="I652" s="67">
        <f>IF($H652="","",IFERROR(INDEX(Action_Status_Map!$B$5:$B$11,MATCH($H652,Action_Status_Map!$A$5:$A$11,0)),""))</f>
        <v/>
      </c>
      <c r="J652" s="82" t="n"/>
      <c r="K652" s="82" t="n"/>
      <c r="L652" s="82" t="n"/>
      <c r="M652" s="83" t="n"/>
      <c r="N652" s="83" t="n"/>
      <c r="O652" s="66">
        <f>IF(OR($M652="",$N652=""),"",$N652-$M652)</f>
        <v/>
      </c>
      <c r="P652" s="84">
        <f>IF($J652="","",IF($L652&lt;&gt;"",$L652-$J652,TODAY()-$J652))</f>
        <v/>
      </c>
      <c r="Q652" s="85">
        <f>IF(OR($K652="",$H652="Completed",$H652="Cancelled"),"",IF(AND($K652&lt;TODAY(),$H652&lt;&gt;"Completed",$H652&lt;&gt;"Cancelled"),"Overdue","On Track"))</f>
        <v/>
      </c>
      <c r="R652" s="81" t="n"/>
      <c r="S652" s="81">
        <f>IF($B652="","",IFERROR(INDEX(Task_Tracker!$AA$5:$AA$1004,MATCH($B652,Task_Tracker!$A$5:$A$1004,0)),""))</f>
        <v/>
      </c>
      <c r="T652" s="81">
        <f>IF($B652="","",IFERROR(INDEX(Task_Tracker!$AB$5:$AB$1004,MATCH($B652,Task_Tracker!$A$5:$A$1004,0)),""))</f>
        <v/>
      </c>
      <c r="U652" s="78">
        <f>IF($B652="","",IFERROR(INDEX(Task_Tracker!$F$5:$F$1004,MATCH($B652,Task_Tracker!$A$5:$A$1004,0)),""))</f>
        <v/>
      </c>
      <c r="V652" s="78">
        <f>IF($B652="","",IFERROR(INDEX(Task_Tracker!$I$5:$I$1004,MATCH($B652,Task_Tracker!$A$5:$A$1004,0)),""))</f>
        <v/>
      </c>
      <c r="W652" s="81">
        <f>IF(OR($D652="",$B652=""),"",$D652&amp;" | "&amp;$B652)</f>
        <v/>
      </c>
      <c r="X652" s="85">
        <f>IF($K652="","",TEXT($K652,"yyyy-mm"))</f>
        <v/>
      </c>
      <c r="Y652" s="81">
        <f>IF(OR($A652="",$T652=""),"","Included in Manager_Report")</f>
        <v/>
      </c>
    </row>
    <row r="653" ht="15" customHeight="1" s="40">
      <c r="A653" s="65">
        <f>IF(COUNTA(B653:G653)=0,"","STP-"&amp;TEXT(ROW()-4,"0000"))</f>
        <v/>
      </c>
      <c r="B653" s="78" t="n"/>
      <c r="C653" s="67">
        <f>IF($B653="","",IFERROR(INDEX(Task_Tracker!$D$5:$D$1004,MATCH($B653,Task_Tracker!$A$5:$A$1004,0)),""))</f>
        <v/>
      </c>
      <c r="D653" s="67">
        <f>IF($B653="","",IFERROR(INDEX(Task_Tracker!$B$5:$B$1004,MATCH($B653,Task_Tracker!$A$5:$A$1004,0)),""))</f>
        <v/>
      </c>
      <c r="E653" s="81" t="n"/>
      <c r="F653" s="81" t="n"/>
      <c r="G653" s="78" t="n"/>
      <c r="H653" s="78" t="n"/>
      <c r="I653" s="67">
        <f>IF($H653="","",IFERROR(INDEX(Action_Status_Map!$B$5:$B$11,MATCH($H653,Action_Status_Map!$A$5:$A$11,0)),""))</f>
        <v/>
      </c>
      <c r="J653" s="82" t="n"/>
      <c r="K653" s="82" t="n"/>
      <c r="L653" s="82" t="n"/>
      <c r="M653" s="83" t="n"/>
      <c r="N653" s="83" t="n"/>
      <c r="O653" s="66">
        <f>IF(OR($M653="",$N653=""),"",$N653-$M653)</f>
        <v/>
      </c>
      <c r="P653" s="84">
        <f>IF($J653="","",IF($L653&lt;&gt;"",$L653-$J653,TODAY()-$J653))</f>
        <v/>
      </c>
      <c r="Q653" s="85">
        <f>IF(OR($K653="",$H653="Completed",$H653="Cancelled"),"",IF(AND($K653&lt;TODAY(),$H653&lt;&gt;"Completed",$H653&lt;&gt;"Cancelled"),"Overdue","On Track"))</f>
        <v/>
      </c>
      <c r="R653" s="81" t="n"/>
      <c r="S653" s="81">
        <f>IF($B653="","",IFERROR(INDEX(Task_Tracker!$AA$5:$AA$1004,MATCH($B653,Task_Tracker!$A$5:$A$1004,0)),""))</f>
        <v/>
      </c>
      <c r="T653" s="81">
        <f>IF($B653="","",IFERROR(INDEX(Task_Tracker!$AB$5:$AB$1004,MATCH($B653,Task_Tracker!$A$5:$A$1004,0)),""))</f>
        <v/>
      </c>
      <c r="U653" s="78">
        <f>IF($B653="","",IFERROR(INDEX(Task_Tracker!$F$5:$F$1004,MATCH($B653,Task_Tracker!$A$5:$A$1004,0)),""))</f>
        <v/>
      </c>
      <c r="V653" s="78">
        <f>IF($B653="","",IFERROR(INDEX(Task_Tracker!$I$5:$I$1004,MATCH($B653,Task_Tracker!$A$5:$A$1004,0)),""))</f>
        <v/>
      </c>
      <c r="W653" s="81">
        <f>IF(OR($D653="",$B653=""),"",$D653&amp;" | "&amp;$B653)</f>
        <v/>
      </c>
      <c r="X653" s="85">
        <f>IF($K653="","",TEXT($K653,"yyyy-mm"))</f>
        <v/>
      </c>
      <c r="Y653" s="81">
        <f>IF(OR($A653="",$T653=""),"","Included in Manager_Report")</f>
        <v/>
      </c>
    </row>
    <row r="654" ht="15" customHeight="1" s="40">
      <c r="A654" s="65">
        <f>IF(COUNTA(B654:G654)=0,"","STP-"&amp;TEXT(ROW()-4,"0000"))</f>
        <v/>
      </c>
      <c r="B654" s="78" t="n"/>
      <c r="C654" s="67">
        <f>IF($B654="","",IFERROR(INDEX(Task_Tracker!$D$5:$D$1004,MATCH($B654,Task_Tracker!$A$5:$A$1004,0)),""))</f>
        <v/>
      </c>
      <c r="D654" s="67">
        <f>IF($B654="","",IFERROR(INDEX(Task_Tracker!$B$5:$B$1004,MATCH($B654,Task_Tracker!$A$5:$A$1004,0)),""))</f>
        <v/>
      </c>
      <c r="E654" s="81" t="n"/>
      <c r="F654" s="81" t="n"/>
      <c r="G654" s="78" t="n"/>
      <c r="H654" s="78" t="n"/>
      <c r="I654" s="67">
        <f>IF($H654="","",IFERROR(INDEX(Action_Status_Map!$B$5:$B$11,MATCH($H654,Action_Status_Map!$A$5:$A$11,0)),""))</f>
        <v/>
      </c>
      <c r="J654" s="82" t="n"/>
      <c r="K654" s="82" t="n"/>
      <c r="L654" s="82" t="n"/>
      <c r="M654" s="83" t="n"/>
      <c r="N654" s="83" t="n"/>
      <c r="O654" s="66">
        <f>IF(OR($M654="",$N654=""),"",$N654-$M654)</f>
        <v/>
      </c>
      <c r="P654" s="84">
        <f>IF($J654="","",IF($L654&lt;&gt;"",$L654-$J654,TODAY()-$J654))</f>
        <v/>
      </c>
      <c r="Q654" s="85">
        <f>IF(OR($K654="",$H654="Completed",$H654="Cancelled"),"",IF(AND($K654&lt;TODAY(),$H654&lt;&gt;"Completed",$H654&lt;&gt;"Cancelled"),"Overdue","On Track"))</f>
        <v/>
      </c>
      <c r="R654" s="81" t="n"/>
      <c r="S654" s="81">
        <f>IF($B654="","",IFERROR(INDEX(Task_Tracker!$AA$5:$AA$1004,MATCH($B654,Task_Tracker!$A$5:$A$1004,0)),""))</f>
        <v/>
      </c>
      <c r="T654" s="81">
        <f>IF($B654="","",IFERROR(INDEX(Task_Tracker!$AB$5:$AB$1004,MATCH($B654,Task_Tracker!$A$5:$A$1004,0)),""))</f>
        <v/>
      </c>
      <c r="U654" s="78">
        <f>IF($B654="","",IFERROR(INDEX(Task_Tracker!$F$5:$F$1004,MATCH($B654,Task_Tracker!$A$5:$A$1004,0)),""))</f>
        <v/>
      </c>
      <c r="V654" s="78">
        <f>IF($B654="","",IFERROR(INDEX(Task_Tracker!$I$5:$I$1004,MATCH($B654,Task_Tracker!$A$5:$A$1004,0)),""))</f>
        <v/>
      </c>
      <c r="W654" s="81">
        <f>IF(OR($D654="",$B654=""),"",$D654&amp;" | "&amp;$B654)</f>
        <v/>
      </c>
      <c r="X654" s="85">
        <f>IF($K654="","",TEXT($K654,"yyyy-mm"))</f>
        <v/>
      </c>
      <c r="Y654" s="81">
        <f>IF(OR($A654="",$T654=""),"","Included in Manager_Report")</f>
        <v/>
      </c>
    </row>
    <row r="655" ht="15" customHeight="1" s="40">
      <c r="A655" s="65">
        <f>IF(COUNTA(B655:G655)=0,"","STP-"&amp;TEXT(ROW()-4,"0000"))</f>
        <v/>
      </c>
      <c r="B655" s="78" t="n"/>
      <c r="C655" s="67">
        <f>IF($B655="","",IFERROR(INDEX(Task_Tracker!$D$5:$D$1004,MATCH($B655,Task_Tracker!$A$5:$A$1004,0)),""))</f>
        <v/>
      </c>
      <c r="D655" s="67">
        <f>IF($B655="","",IFERROR(INDEX(Task_Tracker!$B$5:$B$1004,MATCH($B655,Task_Tracker!$A$5:$A$1004,0)),""))</f>
        <v/>
      </c>
      <c r="E655" s="81" t="n"/>
      <c r="F655" s="81" t="n"/>
      <c r="G655" s="78" t="n"/>
      <c r="H655" s="78" t="n"/>
      <c r="I655" s="67">
        <f>IF($H655="","",IFERROR(INDEX(Action_Status_Map!$B$5:$B$11,MATCH($H655,Action_Status_Map!$A$5:$A$11,0)),""))</f>
        <v/>
      </c>
      <c r="J655" s="82" t="n"/>
      <c r="K655" s="82" t="n"/>
      <c r="L655" s="82" t="n"/>
      <c r="M655" s="83" t="n"/>
      <c r="N655" s="83" t="n"/>
      <c r="O655" s="66">
        <f>IF(OR($M655="",$N655=""),"",$N655-$M655)</f>
        <v/>
      </c>
      <c r="P655" s="84">
        <f>IF($J655="","",IF($L655&lt;&gt;"",$L655-$J655,TODAY()-$J655))</f>
        <v/>
      </c>
      <c r="Q655" s="85">
        <f>IF(OR($K655="",$H655="Completed",$H655="Cancelled"),"",IF(AND($K655&lt;TODAY(),$H655&lt;&gt;"Completed",$H655&lt;&gt;"Cancelled"),"Overdue","On Track"))</f>
        <v/>
      </c>
      <c r="R655" s="81" t="n"/>
      <c r="S655" s="81">
        <f>IF($B655="","",IFERROR(INDEX(Task_Tracker!$AA$5:$AA$1004,MATCH($B655,Task_Tracker!$A$5:$A$1004,0)),""))</f>
        <v/>
      </c>
      <c r="T655" s="81">
        <f>IF($B655="","",IFERROR(INDEX(Task_Tracker!$AB$5:$AB$1004,MATCH($B655,Task_Tracker!$A$5:$A$1004,0)),""))</f>
        <v/>
      </c>
      <c r="U655" s="78">
        <f>IF($B655="","",IFERROR(INDEX(Task_Tracker!$F$5:$F$1004,MATCH($B655,Task_Tracker!$A$5:$A$1004,0)),""))</f>
        <v/>
      </c>
      <c r="V655" s="78">
        <f>IF($B655="","",IFERROR(INDEX(Task_Tracker!$I$5:$I$1004,MATCH($B655,Task_Tracker!$A$5:$A$1004,0)),""))</f>
        <v/>
      </c>
      <c r="W655" s="81">
        <f>IF(OR($D655="",$B655=""),"",$D655&amp;" | "&amp;$B655)</f>
        <v/>
      </c>
      <c r="X655" s="85">
        <f>IF($K655="","",TEXT($K655,"yyyy-mm"))</f>
        <v/>
      </c>
      <c r="Y655" s="81">
        <f>IF(OR($A655="",$T655=""),"","Included in Manager_Report")</f>
        <v/>
      </c>
    </row>
    <row r="656" ht="15" customHeight="1" s="40">
      <c r="A656" s="65">
        <f>IF(COUNTA(B656:G656)=0,"","STP-"&amp;TEXT(ROW()-4,"0000"))</f>
        <v/>
      </c>
      <c r="B656" s="78" t="n"/>
      <c r="C656" s="67">
        <f>IF($B656="","",IFERROR(INDEX(Task_Tracker!$D$5:$D$1004,MATCH($B656,Task_Tracker!$A$5:$A$1004,0)),""))</f>
        <v/>
      </c>
      <c r="D656" s="67">
        <f>IF($B656="","",IFERROR(INDEX(Task_Tracker!$B$5:$B$1004,MATCH($B656,Task_Tracker!$A$5:$A$1004,0)),""))</f>
        <v/>
      </c>
      <c r="E656" s="81" t="n"/>
      <c r="F656" s="81" t="n"/>
      <c r="G656" s="78" t="n"/>
      <c r="H656" s="78" t="n"/>
      <c r="I656" s="67">
        <f>IF($H656="","",IFERROR(INDEX(Action_Status_Map!$B$5:$B$11,MATCH($H656,Action_Status_Map!$A$5:$A$11,0)),""))</f>
        <v/>
      </c>
      <c r="J656" s="82" t="n"/>
      <c r="K656" s="82" t="n"/>
      <c r="L656" s="82" t="n"/>
      <c r="M656" s="83" t="n"/>
      <c r="N656" s="83" t="n"/>
      <c r="O656" s="66">
        <f>IF(OR($M656="",$N656=""),"",$N656-$M656)</f>
        <v/>
      </c>
      <c r="P656" s="84">
        <f>IF($J656="","",IF($L656&lt;&gt;"",$L656-$J656,TODAY()-$J656))</f>
        <v/>
      </c>
      <c r="Q656" s="85">
        <f>IF(OR($K656="",$H656="Completed",$H656="Cancelled"),"",IF(AND($K656&lt;TODAY(),$H656&lt;&gt;"Completed",$H656&lt;&gt;"Cancelled"),"Overdue","On Track"))</f>
        <v/>
      </c>
      <c r="R656" s="81" t="n"/>
      <c r="S656" s="81">
        <f>IF($B656="","",IFERROR(INDEX(Task_Tracker!$AA$5:$AA$1004,MATCH($B656,Task_Tracker!$A$5:$A$1004,0)),""))</f>
        <v/>
      </c>
      <c r="T656" s="81">
        <f>IF($B656="","",IFERROR(INDEX(Task_Tracker!$AB$5:$AB$1004,MATCH($B656,Task_Tracker!$A$5:$A$1004,0)),""))</f>
        <v/>
      </c>
      <c r="U656" s="78">
        <f>IF($B656="","",IFERROR(INDEX(Task_Tracker!$F$5:$F$1004,MATCH($B656,Task_Tracker!$A$5:$A$1004,0)),""))</f>
        <v/>
      </c>
      <c r="V656" s="78">
        <f>IF($B656="","",IFERROR(INDEX(Task_Tracker!$I$5:$I$1004,MATCH($B656,Task_Tracker!$A$5:$A$1004,0)),""))</f>
        <v/>
      </c>
      <c r="W656" s="81">
        <f>IF(OR($D656="",$B656=""),"",$D656&amp;" | "&amp;$B656)</f>
        <v/>
      </c>
      <c r="X656" s="85">
        <f>IF($K656="","",TEXT($K656,"yyyy-mm"))</f>
        <v/>
      </c>
      <c r="Y656" s="81">
        <f>IF(OR($A656="",$T656=""),"","Included in Manager_Report")</f>
        <v/>
      </c>
    </row>
    <row r="657" ht="15" customHeight="1" s="40">
      <c r="A657" s="65">
        <f>IF(COUNTA(B657:G657)=0,"","STP-"&amp;TEXT(ROW()-4,"0000"))</f>
        <v/>
      </c>
      <c r="B657" s="78" t="n"/>
      <c r="C657" s="67">
        <f>IF($B657="","",IFERROR(INDEX(Task_Tracker!$D$5:$D$1004,MATCH($B657,Task_Tracker!$A$5:$A$1004,0)),""))</f>
        <v/>
      </c>
      <c r="D657" s="67">
        <f>IF($B657="","",IFERROR(INDEX(Task_Tracker!$B$5:$B$1004,MATCH($B657,Task_Tracker!$A$5:$A$1004,0)),""))</f>
        <v/>
      </c>
      <c r="E657" s="81" t="n"/>
      <c r="F657" s="81" t="n"/>
      <c r="G657" s="78" t="n"/>
      <c r="H657" s="78" t="n"/>
      <c r="I657" s="67">
        <f>IF($H657="","",IFERROR(INDEX(Action_Status_Map!$B$5:$B$11,MATCH($H657,Action_Status_Map!$A$5:$A$11,0)),""))</f>
        <v/>
      </c>
      <c r="J657" s="82" t="n"/>
      <c r="K657" s="82" t="n"/>
      <c r="L657" s="82" t="n"/>
      <c r="M657" s="83" t="n"/>
      <c r="N657" s="83" t="n"/>
      <c r="O657" s="66">
        <f>IF(OR($M657="",$N657=""),"",$N657-$M657)</f>
        <v/>
      </c>
      <c r="P657" s="84">
        <f>IF($J657="","",IF($L657&lt;&gt;"",$L657-$J657,TODAY()-$J657))</f>
        <v/>
      </c>
      <c r="Q657" s="85">
        <f>IF(OR($K657="",$H657="Completed",$H657="Cancelled"),"",IF(AND($K657&lt;TODAY(),$H657&lt;&gt;"Completed",$H657&lt;&gt;"Cancelled"),"Overdue","On Track"))</f>
        <v/>
      </c>
      <c r="R657" s="81" t="n"/>
      <c r="S657" s="81">
        <f>IF($B657="","",IFERROR(INDEX(Task_Tracker!$AA$5:$AA$1004,MATCH($B657,Task_Tracker!$A$5:$A$1004,0)),""))</f>
        <v/>
      </c>
      <c r="T657" s="81">
        <f>IF($B657="","",IFERROR(INDEX(Task_Tracker!$AB$5:$AB$1004,MATCH($B657,Task_Tracker!$A$5:$A$1004,0)),""))</f>
        <v/>
      </c>
      <c r="U657" s="78">
        <f>IF($B657="","",IFERROR(INDEX(Task_Tracker!$F$5:$F$1004,MATCH($B657,Task_Tracker!$A$5:$A$1004,0)),""))</f>
        <v/>
      </c>
      <c r="V657" s="78">
        <f>IF($B657="","",IFERROR(INDEX(Task_Tracker!$I$5:$I$1004,MATCH($B657,Task_Tracker!$A$5:$A$1004,0)),""))</f>
        <v/>
      </c>
      <c r="W657" s="81">
        <f>IF(OR($D657="",$B657=""),"",$D657&amp;" | "&amp;$B657)</f>
        <v/>
      </c>
      <c r="X657" s="85">
        <f>IF($K657="","",TEXT($K657,"yyyy-mm"))</f>
        <v/>
      </c>
      <c r="Y657" s="81">
        <f>IF(OR($A657="",$T657=""),"","Included in Manager_Report")</f>
        <v/>
      </c>
    </row>
    <row r="658" ht="15" customHeight="1" s="40">
      <c r="A658" s="65">
        <f>IF(COUNTA(B658:G658)=0,"","STP-"&amp;TEXT(ROW()-4,"0000"))</f>
        <v/>
      </c>
      <c r="B658" s="78" t="n"/>
      <c r="C658" s="67">
        <f>IF($B658="","",IFERROR(INDEX(Task_Tracker!$D$5:$D$1004,MATCH($B658,Task_Tracker!$A$5:$A$1004,0)),""))</f>
        <v/>
      </c>
      <c r="D658" s="67">
        <f>IF($B658="","",IFERROR(INDEX(Task_Tracker!$B$5:$B$1004,MATCH($B658,Task_Tracker!$A$5:$A$1004,0)),""))</f>
        <v/>
      </c>
      <c r="E658" s="81" t="n"/>
      <c r="F658" s="81" t="n"/>
      <c r="G658" s="78" t="n"/>
      <c r="H658" s="78" t="n"/>
      <c r="I658" s="67">
        <f>IF($H658="","",IFERROR(INDEX(Action_Status_Map!$B$5:$B$11,MATCH($H658,Action_Status_Map!$A$5:$A$11,0)),""))</f>
        <v/>
      </c>
      <c r="J658" s="82" t="n"/>
      <c r="K658" s="82" t="n"/>
      <c r="L658" s="82" t="n"/>
      <c r="M658" s="83" t="n"/>
      <c r="N658" s="83" t="n"/>
      <c r="O658" s="66">
        <f>IF(OR($M658="",$N658=""),"",$N658-$M658)</f>
        <v/>
      </c>
      <c r="P658" s="84">
        <f>IF($J658="","",IF($L658&lt;&gt;"",$L658-$J658,TODAY()-$J658))</f>
        <v/>
      </c>
      <c r="Q658" s="85">
        <f>IF(OR($K658="",$H658="Completed",$H658="Cancelled"),"",IF(AND($K658&lt;TODAY(),$H658&lt;&gt;"Completed",$H658&lt;&gt;"Cancelled"),"Overdue","On Track"))</f>
        <v/>
      </c>
      <c r="R658" s="81" t="n"/>
      <c r="S658" s="81">
        <f>IF($B658="","",IFERROR(INDEX(Task_Tracker!$AA$5:$AA$1004,MATCH($B658,Task_Tracker!$A$5:$A$1004,0)),""))</f>
        <v/>
      </c>
      <c r="T658" s="81">
        <f>IF($B658="","",IFERROR(INDEX(Task_Tracker!$AB$5:$AB$1004,MATCH($B658,Task_Tracker!$A$5:$A$1004,0)),""))</f>
        <v/>
      </c>
      <c r="U658" s="78">
        <f>IF($B658="","",IFERROR(INDEX(Task_Tracker!$F$5:$F$1004,MATCH($B658,Task_Tracker!$A$5:$A$1004,0)),""))</f>
        <v/>
      </c>
      <c r="V658" s="78">
        <f>IF($B658="","",IFERROR(INDEX(Task_Tracker!$I$5:$I$1004,MATCH($B658,Task_Tracker!$A$5:$A$1004,0)),""))</f>
        <v/>
      </c>
      <c r="W658" s="81">
        <f>IF(OR($D658="",$B658=""),"",$D658&amp;" | "&amp;$B658)</f>
        <v/>
      </c>
      <c r="X658" s="85">
        <f>IF($K658="","",TEXT($K658,"yyyy-mm"))</f>
        <v/>
      </c>
      <c r="Y658" s="81">
        <f>IF(OR($A658="",$T658=""),"","Included in Manager_Report")</f>
        <v/>
      </c>
    </row>
    <row r="659" ht="15" customHeight="1" s="40">
      <c r="A659" s="65">
        <f>IF(COUNTA(B659:G659)=0,"","STP-"&amp;TEXT(ROW()-4,"0000"))</f>
        <v/>
      </c>
      <c r="B659" s="78" t="n"/>
      <c r="C659" s="67">
        <f>IF($B659="","",IFERROR(INDEX(Task_Tracker!$D$5:$D$1004,MATCH($B659,Task_Tracker!$A$5:$A$1004,0)),""))</f>
        <v/>
      </c>
      <c r="D659" s="67">
        <f>IF($B659="","",IFERROR(INDEX(Task_Tracker!$B$5:$B$1004,MATCH($B659,Task_Tracker!$A$5:$A$1004,0)),""))</f>
        <v/>
      </c>
      <c r="E659" s="81" t="n"/>
      <c r="F659" s="81" t="n"/>
      <c r="G659" s="78" t="n"/>
      <c r="H659" s="78" t="n"/>
      <c r="I659" s="67">
        <f>IF($H659="","",IFERROR(INDEX(Action_Status_Map!$B$5:$B$11,MATCH($H659,Action_Status_Map!$A$5:$A$11,0)),""))</f>
        <v/>
      </c>
      <c r="J659" s="82" t="n"/>
      <c r="K659" s="82" t="n"/>
      <c r="L659" s="82" t="n"/>
      <c r="M659" s="83" t="n"/>
      <c r="N659" s="83" t="n"/>
      <c r="O659" s="66">
        <f>IF(OR($M659="",$N659=""),"",$N659-$M659)</f>
        <v/>
      </c>
      <c r="P659" s="84">
        <f>IF($J659="","",IF($L659&lt;&gt;"",$L659-$J659,TODAY()-$J659))</f>
        <v/>
      </c>
      <c r="Q659" s="85">
        <f>IF(OR($K659="",$H659="Completed",$H659="Cancelled"),"",IF(AND($K659&lt;TODAY(),$H659&lt;&gt;"Completed",$H659&lt;&gt;"Cancelled"),"Overdue","On Track"))</f>
        <v/>
      </c>
      <c r="R659" s="81" t="n"/>
      <c r="S659" s="81">
        <f>IF($B659="","",IFERROR(INDEX(Task_Tracker!$AA$5:$AA$1004,MATCH($B659,Task_Tracker!$A$5:$A$1004,0)),""))</f>
        <v/>
      </c>
      <c r="T659" s="81">
        <f>IF($B659="","",IFERROR(INDEX(Task_Tracker!$AB$5:$AB$1004,MATCH($B659,Task_Tracker!$A$5:$A$1004,0)),""))</f>
        <v/>
      </c>
      <c r="U659" s="78">
        <f>IF($B659="","",IFERROR(INDEX(Task_Tracker!$F$5:$F$1004,MATCH($B659,Task_Tracker!$A$5:$A$1004,0)),""))</f>
        <v/>
      </c>
      <c r="V659" s="78">
        <f>IF($B659="","",IFERROR(INDEX(Task_Tracker!$I$5:$I$1004,MATCH($B659,Task_Tracker!$A$5:$A$1004,0)),""))</f>
        <v/>
      </c>
      <c r="W659" s="81">
        <f>IF(OR($D659="",$B659=""),"",$D659&amp;" | "&amp;$B659)</f>
        <v/>
      </c>
      <c r="X659" s="85">
        <f>IF($K659="","",TEXT($K659,"yyyy-mm"))</f>
        <v/>
      </c>
      <c r="Y659" s="81">
        <f>IF(OR($A659="",$T659=""),"","Included in Manager_Report")</f>
        <v/>
      </c>
    </row>
    <row r="660" ht="15" customHeight="1" s="40">
      <c r="A660" s="65">
        <f>IF(COUNTA(B660:G660)=0,"","STP-"&amp;TEXT(ROW()-4,"0000"))</f>
        <v/>
      </c>
      <c r="B660" s="78" t="n"/>
      <c r="C660" s="67">
        <f>IF($B660="","",IFERROR(INDEX(Task_Tracker!$D$5:$D$1004,MATCH($B660,Task_Tracker!$A$5:$A$1004,0)),""))</f>
        <v/>
      </c>
      <c r="D660" s="67">
        <f>IF($B660="","",IFERROR(INDEX(Task_Tracker!$B$5:$B$1004,MATCH($B660,Task_Tracker!$A$5:$A$1004,0)),""))</f>
        <v/>
      </c>
      <c r="E660" s="81" t="n"/>
      <c r="F660" s="81" t="n"/>
      <c r="G660" s="78" t="n"/>
      <c r="H660" s="78" t="n"/>
      <c r="I660" s="67">
        <f>IF($H660="","",IFERROR(INDEX(Action_Status_Map!$B$5:$B$11,MATCH($H660,Action_Status_Map!$A$5:$A$11,0)),""))</f>
        <v/>
      </c>
      <c r="J660" s="82" t="n"/>
      <c r="K660" s="82" t="n"/>
      <c r="L660" s="82" t="n"/>
      <c r="M660" s="83" t="n"/>
      <c r="N660" s="83" t="n"/>
      <c r="O660" s="66">
        <f>IF(OR($M660="",$N660=""),"",$N660-$M660)</f>
        <v/>
      </c>
      <c r="P660" s="84">
        <f>IF($J660="","",IF($L660&lt;&gt;"",$L660-$J660,TODAY()-$J660))</f>
        <v/>
      </c>
      <c r="Q660" s="85">
        <f>IF(OR($K660="",$H660="Completed",$H660="Cancelled"),"",IF(AND($K660&lt;TODAY(),$H660&lt;&gt;"Completed",$H660&lt;&gt;"Cancelled"),"Overdue","On Track"))</f>
        <v/>
      </c>
      <c r="R660" s="81" t="n"/>
      <c r="S660" s="81">
        <f>IF($B660="","",IFERROR(INDEX(Task_Tracker!$AA$5:$AA$1004,MATCH($B660,Task_Tracker!$A$5:$A$1004,0)),""))</f>
        <v/>
      </c>
      <c r="T660" s="81">
        <f>IF($B660="","",IFERROR(INDEX(Task_Tracker!$AB$5:$AB$1004,MATCH($B660,Task_Tracker!$A$5:$A$1004,0)),""))</f>
        <v/>
      </c>
      <c r="U660" s="78">
        <f>IF($B660="","",IFERROR(INDEX(Task_Tracker!$F$5:$F$1004,MATCH($B660,Task_Tracker!$A$5:$A$1004,0)),""))</f>
        <v/>
      </c>
      <c r="V660" s="78">
        <f>IF($B660="","",IFERROR(INDEX(Task_Tracker!$I$5:$I$1004,MATCH($B660,Task_Tracker!$A$5:$A$1004,0)),""))</f>
        <v/>
      </c>
      <c r="W660" s="81">
        <f>IF(OR($D660="",$B660=""),"",$D660&amp;" | "&amp;$B660)</f>
        <v/>
      </c>
      <c r="X660" s="85">
        <f>IF($K660="","",TEXT($K660,"yyyy-mm"))</f>
        <v/>
      </c>
      <c r="Y660" s="81">
        <f>IF(OR($A660="",$T660=""),"","Included in Manager_Report")</f>
        <v/>
      </c>
    </row>
    <row r="661" ht="15" customHeight="1" s="40">
      <c r="A661" s="65">
        <f>IF(COUNTA(B661:G661)=0,"","STP-"&amp;TEXT(ROW()-4,"0000"))</f>
        <v/>
      </c>
      <c r="B661" s="78" t="n"/>
      <c r="C661" s="67">
        <f>IF($B661="","",IFERROR(INDEX(Task_Tracker!$D$5:$D$1004,MATCH($B661,Task_Tracker!$A$5:$A$1004,0)),""))</f>
        <v/>
      </c>
      <c r="D661" s="67">
        <f>IF($B661="","",IFERROR(INDEX(Task_Tracker!$B$5:$B$1004,MATCH($B661,Task_Tracker!$A$5:$A$1004,0)),""))</f>
        <v/>
      </c>
      <c r="E661" s="81" t="n"/>
      <c r="F661" s="81" t="n"/>
      <c r="G661" s="78" t="n"/>
      <c r="H661" s="78" t="n"/>
      <c r="I661" s="67">
        <f>IF($H661="","",IFERROR(INDEX(Action_Status_Map!$B$5:$B$11,MATCH($H661,Action_Status_Map!$A$5:$A$11,0)),""))</f>
        <v/>
      </c>
      <c r="J661" s="82" t="n"/>
      <c r="K661" s="82" t="n"/>
      <c r="L661" s="82" t="n"/>
      <c r="M661" s="83" t="n"/>
      <c r="N661" s="83" t="n"/>
      <c r="O661" s="66">
        <f>IF(OR($M661="",$N661=""),"",$N661-$M661)</f>
        <v/>
      </c>
      <c r="P661" s="84">
        <f>IF($J661="","",IF($L661&lt;&gt;"",$L661-$J661,TODAY()-$J661))</f>
        <v/>
      </c>
      <c r="Q661" s="85">
        <f>IF(OR($K661="",$H661="Completed",$H661="Cancelled"),"",IF(AND($K661&lt;TODAY(),$H661&lt;&gt;"Completed",$H661&lt;&gt;"Cancelled"),"Overdue","On Track"))</f>
        <v/>
      </c>
      <c r="R661" s="81" t="n"/>
      <c r="S661" s="81">
        <f>IF($B661="","",IFERROR(INDEX(Task_Tracker!$AA$5:$AA$1004,MATCH($B661,Task_Tracker!$A$5:$A$1004,0)),""))</f>
        <v/>
      </c>
      <c r="T661" s="81">
        <f>IF($B661="","",IFERROR(INDEX(Task_Tracker!$AB$5:$AB$1004,MATCH($B661,Task_Tracker!$A$5:$A$1004,0)),""))</f>
        <v/>
      </c>
      <c r="U661" s="78">
        <f>IF($B661="","",IFERROR(INDEX(Task_Tracker!$F$5:$F$1004,MATCH($B661,Task_Tracker!$A$5:$A$1004,0)),""))</f>
        <v/>
      </c>
      <c r="V661" s="78">
        <f>IF($B661="","",IFERROR(INDEX(Task_Tracker!$I$5:$I$1004,MATCH($B661,Task_Tracker!$A$5:$A$1004,0)),""))</f>
        <v/>
      </c>
      <c r="W661" s="81">
        <f>IF(OR($D661="",$B661=""),"",$D661&amp;" | "&amp;$B661)</f>
        <v/>
      </c>
      <c r="X661" s="85">
        <f>IF($K661="","",TEXT($K661,"yyyy-mm"))</f>
        <v/>
      </c>
      <c r="Y661" s="81">
        <f>IF(OR($A661="",$T661=""),"","Included in Manager_Report")</f>
        <v/>
      </c>
    </row>
    <row r="662" ht="15" customHeight="1" s="40">
      <c r="A662" s="65">
        <f>IF(COUNTA(B662:G662)=0,"","STP-"&amp;TEXT(ROW()-4,"0000"))</f>
        <v/>
      </c>
      <c r="B662" s="78" t="n"/>
      <c r="C662" s="67">
        <f>IF($B662="","",IFERROR(INDEX(Task_Tracker!$D$5:$D$1004,MATCH($B662,Task_Tracker!$A$5:$A$1004,0)),""))</f>
        <v/>
      </c>
      <c r="D662" s="67">
        <f>IF($B662="","",IFERROR(INDEX(Task_Tracker!$B$5:$B$1004,MATCH($B662,Task_Tracker!$A$5:$A$1004,0)),""))</f>
        <v/>
      </c>
      <c r="E662" s="81" t="n"/>
      <c r="F662" s="81" t="n"/>
      <c r="G662" s="78" t="n"/>
      <c r="H662" s="78" t="n"/>
      <c r="I662" s="67">
        <f>IF($H662="","",IFERROR(INDEX(Action_Status_Map!$B$5:$B$11,MATCH($H662,Action_Status_Map!$A$5:$A$11,0)),""))</f>
        <v/>
      </c>
      <c r="J662" s="82" t="n"/>
      <c r="K662" s="82" t="n"/>
      <c r="L662" s="82" t="n"/>
      <c r="M662" s="83" t="n"/>
      <c r="N662" s="83" t="n"/>
      <c r="O662" s="66">
        <f>IF(OR($M662="",$N662=""),"",$N662-$M662)</f>
        <v/>
      </c>
      <c r="P662" s="84">
        <f>IF($J662="","",IF($L662&lt;&gt;"",$L662-$J662,TODAY()-$J662))</f>
        <v/>
      </c>
      <c r="Q662" s="85">
        <f>IF(OR($K662="",$H662="Completed",$H662="Cancelled"),"",IF(AND($K662&lt;TODAY(),$H662&lt;&gt;"Completed",$H662&lt;&gt;"Cancelled"),"Overdue","On Track"))</f>
        <v/>
      </c>
      <c r="R662" s="81" t="n"/>
      <c r="S662" s="81">
        <f>IF($B662="","",IFERROR(INDEX(Task_Tracker!$AA$5:$AA$1004,MATCH($B662,Task_Tracker!$A$5:$A$1004,0)),""))</f>
        <v/>
      </c>
      <c r="T662" s="81">
        <f>IF($B662="","",IFERROR(INDEX(Task_Tracker!$AB$5:$AB$1004,MATCH($B662,Task_Tracker!$A$5:$A$1004,0)),""))</f>
        <v/>
      </c>
      <c r="U662" s="78">
        <f>IF($B662="","",IFERROR(INDEX(Task_Tracker!$F$5:$F$1004,MATCH($B662,Task_Tracker!$A$5:$A$1004,0)),""))</f>
        <v/>
      </c>
      <c r="V662" s="78">
        <f>IF($B662="","",IFERROR(INDEX(Task_Tracker!$I$5:$I$1004,MATCH($B662,Task_Tracker!$A$5:$A$1004,0)),""))</f>
        <v/>
      </c>
      <c r="W662" s="81">
        <f>IF(OR($D662="",$B662=""),"",$D662&amp;" | "&amp;$B662)</f>
        <v/>
      </c>
      <c r="X662" s="85">
        <f>IF($K662="","",TEXT($K662,"yyyy-mm"))</f>
        <v/>
      </c>
      <c r="Y662" s="81">
        <f>IF(OR($A662="",$T662=""),"","Included in Manager_Report")</f>
        <v/>
      </c>
    </row>
    <row r="663" ht="15" customHeight="1" s="40">
      <c r="A663" s="65">
        <f>IF(COUNTA(B663:G663)=0,"","STP-"&amp;TEXT(ROW()-4,"0000"))</f>
        <v/>
      </c>
      <c r="B663" s="78" t="n"/>
      <c r="C663" s="67">
        <f>IF($B663="","",IFERROR(INDEX(Task_Tracker!$D$5:$D$1004,MATCH($B663,Task_Tracker!$A$5:$A$1004,0)),""))</f>
        <v/>
      </c>
      <c r="D663" s="67">
        <f>IF($B663="","",IFERROR(INDEX(Task_Tracker!$B$5:$B$1004,MATCH($B663,Task_Tracker!$A$5:$A$1004,0)),""))</f>
        <v/>
      </c>
      <c r="E663" s="81" t="n"/>
      <c r="F663" s="81" t="n"/>
      <c r="G663" s="78" t="n"/>
      <c r="H663" s="78" t="n"/>
      <c r="I663" s="67">
        <f>IF($H663="","",IFERROR(INDEX(Action_Status_Map!$B$5:$B$11,MATCH($H663,Action_Status_Map!$A$5:$A$11,0)),""))</f>
        <v/>
      </c>
      <c r="J663" s="82" t="n"/>
      <c r="K663" s="82" t="n"/>
      <c r="L663" s="82" t="n"/>
      <c r="M663" s="83" t="n"/>
      <c r="N663" s="83" t="n"/>
      <c r="O663" s="66">
        <f>IF(OR($M663="",$N663=""),"",$N663-$M663)</f>
        <v/>
      </c>
      <c r="P663" s="84">
        <f>IF($J663="","",IF($L663&lt;&gt;"",$L663-$J663,TODAY()-$J663))</f>
        <v/>
      </c>
      <c r="Q663" s="85">
        <f>IF(OR($K663="",$H663="Completed",$H663="Cancelled"),"",IF(AND($K663&lt;TODAY(),$H663&lt;&gt;"Completed",$H663&lt;&gt;"Cancelled"),"Overdue","On Track"))</f>
        <v/>
      </c>
      <c r="R663" s="81" t="n"/>
      <c r="S663" s="81">
        <f>IF($B663="","",IFERROR(INDEX(Task_Tracker!$AA$5:$AA$1004,MATCH($B663,Task_Tracker!$A$5:$A$1004,0)),""))</f>
        <v/>
      </c>
      <c r="T663" s="81">
        <f>IF($B663="","",IFERROR(INDEX(Task_Tracker!$AB$5:$AB$1004,MATCH($B663,Task_Tracker!$A$5:$A$1004,0)),""))</f>
        <v/>
      </c>
      <c r="U663" s="78">
        <f>IF($B663="","",IFERROR(INDEX(Task_Tracker!$F$5:$F$1004,MATCH($B663,Task_Tracker!$A$5:$A$1004,0)),""))</f>
        <v/>
      </c>
      <c r="V663" s="78">
        <f>IF($B663="","",IFERROR(INDEX(Task_Tracker!$I$5:$I$1004,MATCH($B663,Task_Tracker!$A$5:$A$1004,0)),""))</f>
        <v/>
      </c>
      <c r="W663" s="81">
        <f>IF(OR($D663="",$B663=""),"",$D663&amp;" | "&amp;$B663)</f>
        <v/>
      </c>
      <c r="X663" s="85">
        <f>IF($K663="","",TEXT($K663,"yyyy-mm"))</f>
        <v/>
      </c>
      <c r="Y663" s="81">
        <f>IF(OR($A663="",$T663=""),"","Included in Manager_Report")</f>
        <v/>
      </c>
    </row>
    <row r="664" ht="15" customHeight="1" s="40">
      <c r="A664" s="65">
        <f>IF(COUNTA(B664:G664)=0,"","STP-"&amp;TEXT(ROW()-4,"0000"))</f>
        <v/>
      </c>
      <c r="B664" s="78" t="n"/>
      <c r="C664" s="67">
        <f>IF($B664="","",IFERROR(INDEX(Task_Tracker!$D$5:$D$1004,MATCH($B664,Task_Tracker!$A$5:$A$1004,0)),""))</f>
        <v/>
      </c>
      <c r="D664" s="67">
        <f>IF($B664="","",IFERROR(INDEX(Task_Tracker!$B$5:$B$1004,MATCH($B664,Task_Tracker!$A$5:$A$1004,0)),""))</f>
        <v/>
      </c>
      <c r="E664" s="81" t="n"/>
      <c r="F664" s="81" t="n"/>
      <c r="G664" s="78" t="n"/>
      <c r="H664" s="78" t="n"/>
      <c r="I664" s="67">
        <f>IF($H664="","",IFERROR(INDEX(Action_Status_Map!$B$5:$B$11,MATCH($H664,Action_Status_Map!$A$5:$A$11,0)),""))</f>
        <v/>
      </c>
      <c r="J664" s="82" t="n"/>
      <c r="K664" s="82" t="n"/>
      <c r="L664" s="82" t="n"/>
      <c r="M664" s="83" t="n"/>
      <c r="N664" s="83" t="n"/>
      <c r="O664" s="66">
        <f>IF(OR($M664="",$N664=""),"",$N664-$M664)</f>
        <v/>
      </c>
      <c r="P664" s="84">
        <f>IF($J664="","",IF($L664&lt;&gt;"",$L664-$J664,TODAY()-$J664))</f>
        <v/>
      </c>
      <c r="Q664" s="85">
        <f>IF(OR($K664="",$H664="Completed",$H664="Cancelled"),"",IF(AND($K664&lt;TODAY(),$H664&lt;&gt;"Completed",$H664&lt;&gt;"Cancelled"),"Overdue","On Track"))</f>
        <v/>
      </c>
      <c r="R664" s="81" t="n"/>
      <c r="S664" s="81">
        <f>IF($B664="","",IFERROR(INDEX(Task_Tracker!$AA$5:$AA$1004,MATCH($B664,Task_Tracker!$A$5:$A$1004,0)),""))</f>
        <v/>
      </c>
      <c r="T664" s="81">
        <f>IF($B664="","",IFERROR(INDEX(Task_Tracker!$AB$5:$AB$1004,MATCH($B664,Task_Tracker!$A$5:$A$1004,0)),""))</f>
        <v/>
      </c>
      <c r="U664" s="78">
        <f>IF($B664="","",IFERROR(INDEX(Task_Tracker!$F$5:$F$1004,MATCH($B664,Task_Tracker!$A$5:$A$1004,0)),""))</f>
        <v/>
      </c>
      <c r="V664" s="78">
        <f>IF($B664="","",IFERROR(INDEX(Task_Tracker!$I$5:$I$1004,MATCH($B664,Task_Tracker!$A$5:$A$1004,0)),""))</f>
        <v/>
      </c>
      <c r="W664" s="81">
        <f>IF(OR($D664="",$B664=""),"",$D664&amp;" | "&amp;$B664)</f>
        <v/>
      </c>
      <c r="X664" s="85">
        <f>IF($K664="","",TEXT($K664,"yyyy-mm"))</f>
        <v/>
      </c>
      <c r="Y664" s="81">
        <f>IF(OR($A664="",$T664=""),"","Included in Manager_Report")</f>
        <v/>
      </c>
    </row>
    <row r="665" ht="15" customHeight="1" s="40">
      <c r="A665" s="65">
        <f>IF(COUNTA(B665:G665)=0,"","STP-"&amp;TEXT(ROW()-4,"0000"))</f>
        <v/>
      </c>
      <c r="B665" s="78" t="n"/>
      <c r="C665" s="67">
        <f>IF($B665="","",IFERROR(INDEX(Task_Tracker!$D$5:$D$1004,MATCH($B665,Task_Tracker!$A$5:$A$1004,0)),""))</f>
        <v/>
      </c>
      <c r="D665" s="67">
        <f>IF($B665="","",IFERROR(INDEX(Task_Tracker!$B$5:$B$1004,MATCH($B665,Task_Tracker!$A$5:$A$1004,0)),""))</f>
        <v/>
      </c>
      <c r="E665" s="81" t="n"/>
      <c r="F665" s="81" t="n"/>
      <c r="G665" s="78" t="n"/>
      <c r="H665" s="78" t="n"/>
      <c r="I665" s="67">
        <f>IF($H665="","",IFERROR(INDEX(Action_Status_Map!$B$5:$B$11,MATCH($H665,Action_Status_Map!$A$5:$A$11,0)),""))</f>
        <v/>
      </c>
      <c r="J665" s="82" t="n"/>
      <c r="K665" s="82" t="n"/>
      <c r="L665" s="82" t="n"/>
      <c r="M665" s="83" t="n"/>
      <c r="N665" s="83" t="n"/>
      <c r="O665" s="66">
        <f>IF(OR($M665="",$N665=""),"",$N665-$M665)</f>
        <v/>
      </c>
      <c r="P665" s="84">
        <f>IF($J665="","",IF($L665&lt;&gt;"",$L665-$J665,TODAY()-$J665))</f>
        <v/>
      </c>
      <c r="Q665" s="85">
        <f>IF(OR($K665="",$H665="Completed",$H665="Cancelled"),"",IF(AND($K665&lt;TODAY(),$H665&lt;&gt;"Completed",$H665&lt;&gt;"Cancelled"),"Overdue","On Track"))</f>
        <v/>
      </c>
      <c r="R665" s="81" t="n"/>
      <c r="S665" s="81">
        <f>IF($B665="","",IFERROR(INDEX(Task_Tracker!$AA$5:$AA$1004,MATCH($B665,Task_Tracker!$A$5:$A$1004,0)),""))</f>
        <v/>
      </c>
      <c r="T665" s="81">
        <f>IF($B665="","",IFERROR(INDEX(Task_Tracker!$AB$5:$AB$1004,MATCH($B665,Task_Tracker!$A$5:$A$1004,0)),""))</f>
        <v/>
      </c>
      <c r="U665" s="78">
        <f>IF($B665="","",IFERROR(INDEX(Task_Tracker!$F$5:$F$1004,MATCH($B665,Task_Tracker!$A$5:$A$1004,0)),""))</f>
        <v/>
      </c>
      <c r="V665" s="78">
        <f>IF($B665="","",IFERROR(INDEX(Task_Tracker!$I$5:$I$1004,MATCH($B665,Task_Tracker!$A$5:$A$1004,0)),""))</f>
        <v/>
      </c>
      <c r="W665" s="81">
        <f>IF(OR($D665="",$B665=""),"",$D665&amp;" | "&amp;$B665)</f>
        <v/>
      </c>
      <c r="X665" s="85">
        <f>IF($K665="","",TEXT($K665,"yyyy-mm"))</f>
        <v/>
      </c>
      <c r="Y665" s="81">
        <f>IF(OR($A665="",$T665=""),"","Included in Manager_Report")</f>
        <v/>
      </c>
    </row>
    <row r="666" ht="15" customHeight="1" s="40">
      <c r="A666" s="65">
        <f>IF(COUNTA(B666:G666)=0,"","STP-"&amp;TEXT(ROW()-4,"0000"))</f>
        <v/>
      </c>
      <c r="B666" s="78" t="n"/>
      <c r="C666" s="67">
        <f>IF($B666="","",IFERROR(INDEX(Task_Tracker!$D$5:$D$1004,MATCH($B666,Task_Tracker!$A$5:$A$1004,0)),""))</f>
        <v/>
      </c>
      <c r="D666" s="67">
        <f>IF($B666="","",IFERROR(INDEX(Task_Tracker!$B$5:$B$1004,MATCH($B666,Task_Tracker!$A$5:$A$1004,0)),""))</f>
        <v/>
      </c>
      <c r="E666" s="81" t="n"/>
      <c r="F666" s="81" t="n"/>
      <c r="G666" s="78" t="n"/>
      <c r="H666" s="78" t="n"/>
      <c r="I666" s="67">
        <f>IF($H666="","",IFERROR(INDEX(Action_Status_Map!$B$5:$B$11,MATCH($H666,Action_Status_Map!$A$5:$A$11,0)),""))</f>
        <v/>
      </c>
      <c r="J666" s="82" t="n"/>
      <c r="K666" s="82" t="n"/>
      <c r="L666" s="82" t="n"/>
      <c r="M666" s="83" t="n"/>
      <c r="N666" s="83" t="n"/>
      <c r="O666" s="66">
        <f>IF(OR($M666="",$N666=""),"",$N666-$M666)</f>
        <v/>
      </c>
      <c r="P666" s="84">
        <f>IF($J666="","",IF($L666&lt;&gt;"",$L666-$J666,TODAY()-$J666))</f>
        <v/>
      </c>
      <c r="Q666" s="85">
        <f>IF(OR($K666="",$H666="Completed",$H666="Cancelled"),"",IF(AND($K666&lt;TODAY(),$H666&lt;&gt;"Completed",$H666&lt;&gt;"Cancelled"),"Overdue","On Track"))</f>
        <v/>
      </c>
      <c r="R666" s="81" t="n"/>
      <c r="S666" s="81">
        <f>IF($B666="","",IFERROR(INDEX(Task_Tracker!$AA$5:$AA$1004,MATCH($B666,Task_Tracker!$A$5:$A$1004,0)),""))</f>
        <v/>
      </c>
      <c r="T666" s="81">
        <f>IF($B666="","",IFERROR(INDEX(Task_Tracker!$AB$5:$AB$1004,MATCH($B666,Task_Tracker!$A$5:$A$1004,0)),""))</f>
        <v/>
      </c>
      <c r="U666" s="78">
        <f>IF($B666="","",IFERROR(INDEX(Task_Tracker!$F$5:$F$1004,MATCH($B666,Task_Tracker!$A$5:$A$1004,0)),""))</f>
        <v/>
      </c>
      <c r="V666" s="78">
        <f>IF($B666="","",IFERROR(INDEX(Task_Tracker!$I$5:$I$1004,MATCH($B666,Task_Tracker!$A$5:$A$1004,0)),""))</f>
        <v/>
      </c>
      <c r="W666" s="81">
        <f>IF(OR($D666="",$B666=""),"",$D666&amp;" | "&amp;$B666)</f>
        <v/>
      </c>
      <c r="X666" s="85">
        <f>IF($K666="","",TEXT($K666,"yyyy-mm"))</f>
        <v/>
      </c>
      <c r="Y666" s="81">
        <f>IF(OR($A666="",$T666=""),"","Included in Manager_Report")</f>
        <v/>
      </c>
    </row>
    <row r="667" ht="15" customHeight="1" s="40">
      <c r="A667" s="65">
        <f>IF(COUNTA(B667:G667)=0,"","STP-"&amp;TEXT(ROW()-4,"0000"))</f>
        <v/>
      </c>
      <c r="B667" s="78" t="n"/>
      <c r="C667" s="67">
        <f>IF($B667="","",IFERROR(INDEX(Task_Tracker!$D$5:$D$1004,MATCH($B667,Task_Tracker!$A$5:$A$1004,0)),""))</f>
        <v/>
      </c>
      <c r="D667" s="67">
        <f>IF($B667="","",IFERROR(INDEX(Task_Tracker!$B$5:$B$1004,MATCH($B667,Task_Tracker!$A$5:$A$1004,0)),""))</f>
        <v/>
      </c>
      <c r="E667" s="81" t="n"/>
      <c r="F667" s="81" t="n"/>
      <c r="G667" s="78" t="n"/>
      <c r="H667" s="78" t="n"/>
      <c r="I667" s="67">
        <f>IF($H667="","",IFERROR(INDEX(Action_Status_Map!$B$5:$B$11,MATCH($H667,Action_Status_Map!$A$5:$A$11,0)),""))</f>
        <v/>
      </c>
      <c r="J667" s="82" t="n"/>
      <c r="K667" s="82" t="n"/>
      <c r="L667" s="82" t="n"/>
      <c r="M667" s="83" t="n"/>
      <c r="N667" s="83" t="n"/>
      <c r="O667" s="66">
        <f>IF(OR($M667="",$N667=""),"",$N667-$M667)</f>
        <v/>
      </c>
      <c r="P667" s="84">
        <f>IF($J667="","",IF($L667&lt;&gt;"",$L667-$J667,TODAY()-$J667))</f>
        <v/>
      </c>
      <c r="Q667" s="85">
        <f>IF(OR($K667="",$H667="Completed",$H667="Cancelled"),"",IF(AND($K667&lt;TODAY(),$H667&lt;&gt;"Completed",$H667&lt;&gt;"Cancelled"),"Overdue","On Track"))</f>
        <v/>
      </c>
      <c r="R667" s="81" t="n"/>
      <c r="S667" s="81">
        <f>IF($B667="","",IFERROR(INDEX(Task_Tracker!$AA$5:$AA$1004,MATCH($B667,Task_Tracker!$A$5:$A$1004,0)),""))</f>
        <v/>
      </c>
      <c r="T667" s="81">
        <f>IF($B667="","",IFERROR(INDEX(Task_Tracker!$AB$5:$AB$1004,MATCH($B667,Task_Tracker!$A$5:$A$1004,0)),""))</f>
        <v/>
      </c>
      <c r="U667" s="78">
        <f>IF($B667="","",IFERROR(INDEX(Task_Tracker!$F$5:$F$1004,MATCH($B667,Task_Tracker!$A$5:$A$1004,0)),""))</f>
        <v/>
      </c>
      <c r="V667" s="78">
        <f>IF($B667="","",IFERROR(INDEX(Task_Tracker!$I$5:$I$1004,MATCH($B667,Task_Tracker!$A$5:$A$1004,0)),""))</f>
        <v/>
      </c>
      <c r="W667" s="81">
        <f>IF(OR($D667="",$B667=""),"",$D667&amp;" | "&amp;$B667)</f>
        <v/>
      </c>
      <c r="X667" s="85">
        <f>IF($K667="","",TEXT($K667,"yyyy-mm"))</f>
        <v/>
      </c>
      <c r="Y667" s="81">
        <f>IF(OR($A667="",$T667=""),"","Included in Manager_Report")</f>
        <v/>
      </c>
    </row>
    <row r="668" ht="15" customHeight="1" s="40">
      <c r="A668" s="65">
        <f>IF(COUNTA(B668:G668)=0,"","STP-"&amp;TEXT(ROW()-4,"0000"))</f>
        <v/>
      </c>
      <c r="B668" s="78" t="n"/>
      <c r="C668" s="67">
        <f>IF($B668="","",IFERROR(INDEX(Task_Tracker!$D$5:$D$1004,MATCH($B668,Task_Tracker!$A$5:$A$1004,0)),""))</f>
        <v/>
      </c>
      <c r="D668" s="67">
        <f>IF($B668="","",IFERROR(INDEX(Task_Tracker!$B$5:$B$1004,MATCH($B668,Task_Tracker!$A$5:$A$1004,0)),""))</f>
        <v/>
      </c>
      <c r="E668" s="81" t="n"/>
      <c r="F668" s="81" t="n"/>
      <c r="G668" s="78" t="n"/>
      <c r="H668" s="78" t="n"/>
      <c r="I668" s="67">
        <f>IF($H668="","",IFERROR(INDEX(Action_Status_Map!$B$5:$B$11,MATCH($H668,Action_Status_Map!$A$5:$A$11,0)),""))</f>
        <v/>
      </c>
      <c r="J668" s="82" t="n"/>
      <c r="K668" s="82" t="n"/>
      <c r="L668" s="82" t="n"/>
      <c r="M668" s="83" t="n"/>
      <c r="N668" s="83" t="n"/>
      <c r="O668" s="66">
        <f>IF(OR($M668="",$N668=""),"",$N668-$M668)</f>
        <v/>
      </c>
      <c r="P668" s="84">
        <f>IF($J668="","",IF($L668&lt;&gt;"",$L668-$J668,TODAY()-$J668))</f>
        <v/>
      </c>
      <c r="Q668" s="85">
        <f>IF(OR($K668="",$H668="Completed",$H668="Cancelled"),"",IF(AND($K668&lt;TODAY(),$H668&lt;&gt;"Completed",$H668&lt;&gt;"Cancelled"),"Overdue","On Track"))</f>
        <v/>
      </c>
      <c r="R668" s="81" t="n"/>
      <c r="S668" s="81">
        <f>IF($B668="","",IFERROR(INDEX(Task_Tracker!$AA$5:$AA$1004,MATCH($B668,Task_Tracker!$A$5:$A$1004,0)),""))</f>
        <v/>
      </c>
      <c r="T668" s="81">
        <f>IF($B668="","",IFERROR(INDEX(Task_Tracker!$AB$5:$AB$1004,MATCH($B668,Task_Tracker!$A$5:$A$1004,0)),""))</f>
        <v/>
      </c>
      <c r="U668" s="78">
        <f>IF($B668="","",IFERROR(INDEX(Task_Tracker!$F$5:$F$1004,MATCH($B668,Task_Tracker!$A$5:$A$1004,0)),""))</f>
        <v/>
      </c>
      <c r="V668" s="78">
        <f>IF($B668="","",IFERROR(INDEX(Task_Tracker!$I$5:$I$1004,MATCH($B668,Task_Tracker!$A$5:$A$1004,0)),""))</f>
        <v/>
      </c>
      <c r="W668" s="81">
        <f>IF(OR($D668="",$B668=""),"",$D668&amp;" | "&amp;$B668)</f>
        <v/>
      </c>
      <c r="X668" s="85">
        <f>IF($K668="","",TEXT($K668,"yyyy-mm"))</f>
        <v/>
      </c>
      <c r="Y668" s="81">
        <f>IF(OR($A668="",$T668=""),"","Included in Manager_Report")</f>
        <v/>
      </c>
    </row>
    <row r="669" ht="15" customHeight="1" s="40">
      <c r="A669" s="65">
        <f>IF(COUNTA(B669:G669)=0,"","STP-"&amp;TEXT(ROW()-4,"0000"))</f>
        <v/>
      </c>
      <c r="B669" s="78" t="n"/>
      <c r="C669" s="67">
        <f>IF($B669="","",IFERROR(INDEX(Task_Tracker!$D$5:$D$1004,MATCH($B669,Task_Tracker!$A$5:$A$1004,0)),""))</f>
        <v/>
      </c>
      <c r="D669" s="67">
        <f>IF($B669="","",IFERROR(INDEX(Task_Tracker!$B$5:$B$1004,MATCH($B669,Task_Tracker!$A$5:$A$1004,0)),""))</f>
        <v/>
      </c>
      <c r="E669" s="81" t="n"/>
      <c r="F669" s="81" t="n"/>
      <c r="G669" s="78" t="n"/>
      <c r="H669" s="78" t="n"/>
      <c r="I669" s="67">
        <f>IF($H669="","",IFERROR(INDEX(Action_Status_Map!$B$5:$B$11,MATCH($H669,Action_Status_Map!$A$5:$A$11,0)),""))</f>
        <v/>
      </c>
      <c r="J669" s="82" t="n"/>
      <c r="K669" s="82" t="n"/>
      <c r="L669" s="82" t="n"/>
      <c r="M669" s="83" t="n"/>
      <c r="N669" s="83" t="n"/>
      <c r="O669" s="66">
        <f>IF(OR($M669="",$N669=""),"",$N669-$M669)</f>
        <v/>
      </c>
      <c r="P669" s="84">
        <f>IF($J669="","",IF($L669&lt;&gt;"",$L669-$J669,TODAY()-$J669))</f>
        <v/>
      </c>
      <c r="Q669" s="85">
        <f>IF(OR($K669="",$H669="Completed",$H669="Cancelled"),"",IF(AND($K669&lt;TODAY(),$H669&lt;&gt;"Completed",$H669&lt;&gt;"Cancelled"),"Overdue","On Track"))</f>
        <v/>
      </c>
      <c r="R669" s="81" t="n"/>
      <c r="S669" s="81">
        <f>IF($B669="","",IFERROR(INDEX(Task_Tracker!$AA$5:$AA$1004,MATCH($B669,Task_Tracker!$A$5:$A$1004,0)),""))</f>
        <v/>
      </c>
      <c r="T669" s="81">
        <f>IF($B669="","",IFERROR(INDEX(Task_Tracker!$AB$5:$AB$1004,MATCH($B669,Task_Tracker!$A$5:$A$1004,0)),""))</f>
        <v/>
      </c>
      <c r="U669" s="78">
        <f>IF($B669="","",IFERROR(INDEX(Task_Tracker!$F$5:$F$1004,MATCH($B669,Task_Tracker!$A$5:$A$1004,0)),""))</f>
        <v/>
      </c>
      <c r="V669" s="78">
        <f>IF($B669="","",IFERROR(INDEX(Task_Tracker!$I$5:$I$1004,MATCH($B669,Task_Tracker!$A$5:$A$1004,0)),""))</f>
        <v/>
      </c>
      <c r="W669" s="81">
        <f>IF(OR($D669="",$B669=""),"",$D669&amp;" | "&amp;$B669)</f>
        <v/>
      </c>
      <c r="X669" s="85">
        <f>IF($K669="","",TEXT($K669,"yyyy-mm"))</f>
        <v/>
      </c>
      <c r="Y669" s="81">
        <f>IF(OR($A669="",$T669=""),"","Included in Manager_Report")</f>
        <v/>
      </c>
    </row>
    <row r="670" ht="15" customHeight="1" s="40">
      <c r="A670" s="65">
        <f>IF(COUNTA(B670:G670)=0,"","STP-"&amp;TEXT(ROW()-4,"0000"))</f>
        <v/>
      </c>
      <c r="B670" s="78" t="n"/>
      <c r="C670" s="67">
        <f>IF($B670="","",IFERROR(INDEX(Task_Tracker!$D$5:$D$1004,MATCH($B670,Task_Tracker!$A$5:$A$1004,0)),""))</f>
        <v/>
      </c>
      <c r="D670" s="67">
        <f>IF($B670="","",IFERROR(INDEX(Task_Tracker!$B$5:$B$1004,MATCH($B670,Task_Tracker!$A$5:$A$1004,0)),""))</f>
        <v/>
      </c>
      <c r="E670" s="81" t="n"/>
      <c r="F670" s="81" t="n"/>
      <c r="G670" s="78" t="n"/>
      <c r="H670" s="78" t="n"/>
      <c r="I670" s="67">
        <f>IF($H670="","",IFERROR(INDEX(Action_Status_Map!$B$5:$B$11,MATCH($H670,Action_Status_Map!$A$5:$A$11,0)),""))</f>
        <v/>
      </c>
      <c r="J670" s="82" t="n"/>
      <c r="K670" s="82" t="n"/>
      <c r="L670" s="82" t="n"/>
      <c r="M670" s="83" t="n"/>
      <c r="N670" s="83" t="n"/>
      <c r="O670" s="66">
        <f>IF(OR($M670="",$N670=""),"",$N670-$M670)</f>
        <v/>
      </c>
      <c r="P670" s="84">
        <f>IF($J670="","",IF($L670&lt;&gt;"",$L670-$J670,TODAY()-$J670))</f>
        <v/>
      </c>
      <c r="Q670" s="85">
        <f>IF(OR($K670="",$H670="Completed",$H670="Cancelled"),"",IF(AND($K670&lt;TODAY(),$H670&lt;&gt;"Completed",$H670&lt;&gt;"Cancelled"),"Overdue","On Track"))</f>
        <v/>
      </c>
      <c r="R670" s="81" t="n"/>
      <c r="S670" s="81">
        <f>IF($B670="","",IFERROR(INDEX(Task_Tracker!$AA$5:$AA$1004,MATCH($B670,Task_Tracker!$A$5:$A$1004,0)),""))</f>
        <v/>
      </c>
      <c r="T670" s="81">
        <f>IF($B670="","",IFERROR(INDEX(Task_Tracker!$AB$5:$AB$1004,MATCH($B670,Task_Tracker!$A$5:$A$1004,0)),""))</f>
        <v/>
      </c>
      <c r="U670" s="78">
        <f>IF($B670="","",IFERROR(INDEX(Task_Tracker!$F$5:$F$1004,MATCH($B670,Task_Tracker!$A$5:$A$1004,0)),""))</f>
        <v/>
      </c>
      <c r="V670" s="78">
        <f>IF($B670="","",IFERROR(INDEX(Task_Tracker!$I$5:$I$1004,MATCH($B670,Task_Tracker!$A$5:$A$1004,0)),""))</f>
        <v/>
      </c>
      <c r="W670" s="81">
        <f>IF(OR($D670="",$B670=""),"",$D670&amp;" | "&amp;$B670)</f>
        <v/>
      </c>
      <c r="X670" s="85">
        <f>IF($K670="","",TEXT($K670,"yyyy-mm"))</f>
        <v/>
      </c>
      <c r="Y670" s="81">
        <f>IF(OR($A670="",$T670=""),"","Included in Manager_Report")</f>
        <v/>
      </c>
    </row>
    <row r="671" ht="15" customHeight="1" s="40">
      <c r="A671" s="65">
        <f>IF(COUNTA(B671:G671)=0,"","STP-"&amp;TEXT(ROW()-4,"0000"))</f>
        <v/>
      </c>
      <c r="B671" s="78" t="n"/>
      <c r="C671" s="67">
        <f>IF($B671="","",IFERROR(INDEX(Task_Tracker!$D$5:$D$1004,MATCH($B671,Task_Tracker!$A$5:$A$1004,0)),""))</f>
        <v/>
      </c>
      <c r="D671" s="67">
        <f>IF($B671="","",IFERROR(INDEX(Task_Tracker!$B$5:$B$1004,MATCH($B671,Task_Tracker!$A$5:$A$1004,0)),""))</f>
        <v/>
      </c>
      <c r="E671" s="81" t="n"/>
      <c r="F671" s="81" t="n"/>
      <c r="G671" s="78" t="n"/>
      <c r="H671" s="78" t="n"/>
      <c r="I671" s="67">
        <f>IF($H671="","",IFERROR(INDEX(Action_Status_Map!$B$5:$B$11,MATCH($H671,Action_Status_Map!$A$5:$A$11,0)),""))</f>
        <v/>
      </c>
      <c r="J671" s="82" t="n"/>
      <c r="K671" s="82" t="n"/>
      <c r="L671" s="82" t="n"/>
      <c r="M671" s="83" t="n"/>
      <c r="N671" s="83" t="n"/>
      <c r="O671" s="66">
        <f>IF(OR($M671="",$N671=""),"",$N671-$M671)</f>
        <v/>
      </c>
      <c r="P671" s="84">
        <f>IF($J671="","",IF($L671&lt;&gt;"",$L671-$J671,TODAY()-$J671))</f>
        <v/>
      </c>
      <c r="Q671" s="85">
        <f>IF(OR($K671="",$H671="Completed",$H671="Cancelled"),"",IF(AND($K671&lt;TODAY(),$H671&lt;&gt;"Completed",$H671&lt;&gt;"Cancelled"),"Overdue","On Track"))</f>
        <v/>
      </c>
      <c r="R671" s="81" t="n"/>
      <c r="S671" s="81">
        <f>IF($B671="","",IFERROR(INDEX(Task_Tracker!$AA$5:$AA$1004,MATCH($B671,Task_Tracker!$A$5:$A$1004,0)),""))</f>
        <v/>
      </c>
      <c r="T671" s="81">
        <f>IF($B671="","",IFERROR(INDEX(Task_Tracker!$AB$5:$AB$1004,MATCH($B671,Task_Tracker!$A$5:$A$1004,0)),""))</f>
        <v/>
      </c>
      <c r="U671" s="78">
        <f>IF($B671="","",IFERROR(INDEX(Task_Tracker!$F$5:$F$1004,MATCH($B671,Task_Tracker!$A$5:$A$1004,0)),""))</f>
        <v/>
      </c>
      <c r="V671" s="78">
        <f>IF($B671="","",IFERROR(INDEX(Task_Tracker!$I$5:$I$1004,MATCH($B671,Task_Tracker!$A$5:$A$1004,0)),""))</f>
        <v/>
      </c>
      <c r="W671" s="81">
        <f>IF(OR($D671="",$B671=""),"",$D671&amp;" | "&amp;$B671)</f>
        <v/>
      </c>
      <c r="X671" s="85">
        <f>IF($K671="","",TEXT($K671,"yyyy-mm"))</f>
        <v/>
      </c>
      <c r="Y671" s="81">
        <f>IF(OR($A671="",$T671=""),"","Included in Manager_Report")</f>
        <v/>
      </c>
    </row>
    <row r="672" ht="15" customHeight="1" s="40">
      <c r="A672" s="65">
        <f>IF(COUNTA(B672:G672)=0,"","STP-"&amp;TEXT(ROW()-4,"0000"))</f>
        <v/>
      </c>
      <c r="B672" s="78" t="n"/>
      <c r="C672" s="67">
        <f>IF($B672="","",IFERROR(INDEX(Task_Tracker!$D$5:$D$1004,MATCH($B672,Task_Tracker!$A$5:$A$1004,0)),""))</f>
        <v/>
      </c>
      <c r="D672" s="67">
        <f>IF($B672="","",IFERROR(INDEX(Task_Tracker!$B$5:$B$1004,MATCH($B672,Task_Tracker!$A$5:$A$1004,0)),""))</f>
        <v/>
      </c>
      <c r="E672" s="81" t="n"/>
      <c r="F672" s="81" t="n"/>
      <c r="G672" s="78" t="n"/>
      <c r="H672" s="78" t="n"/>
      <c r="I672" s="67">
        <f>IF($H672="","",IFERROR(INDEX(Action_Status_Map!$B$5:$B$11,MATCH($H672,Action_Status_Map!$A$5:$A$11,0)),""))</f>
        <v/>
      </c>
      <c r="J672" s="82" t="n"/>
      <c r="K672" s="82" t="n"/>
      <c r="L672" s="82" t="n"/>
      <c r="M672" s="83" t="n"/>
      <c r="N672" s="83" t="n"/>
      <c r="O672" s="66">
        <f>IF(OR($M672="",$N672=""),"",$N672-$M672)</f>
        <v/>
      </c>
      <c r="P672" s="84">
        <f>IF($J672="","",IF($L672&lt;&gt;"",$L672-$J672,TODAY()-$J672))</f>
        <v/>
      </c>
      <c r="Q672" s="85">
        <f>IF(OR($K672="",$H672="Completed",$H672="Cancelled"),"",IF(AND($K672&lt;TODAY(),$H672&lt;&gt;"Completed",$H672&lt;&gt;"Cancelled"),"Overdue","On Track"))</f>
        <v/>
      </c>
      <c r="R672" s="81" t="n"/>
      <c r="S672" s="81">
        <f>IF($B672="","",IFERROR(INDEX(Task_Tracker!$AA$5:$AA$1004,MATCH($B672,Task_Tracker!$A$5:$A$1004,0)),""))</f>
        <v/>
      </c>
      <c r="T672" s="81">
        <f>IF($B672="","",IFERROR(INDEX(Task_Tracker!$AB$5:$AB$1004,MATCH($B672,Task_Tracker!$A$5:$A$1004,0)),""))</f>
        <v/>
      </c>
      <c r="U672" s="78">
        <f>IF($B672="","",IFERROR(INDEX(Task_Tracker!$F$5:$F$1004,MATCH($B672,Task_Tracker!$A$5:$A$1004,0)),""))</f>
        <v/>
      </c>
      <c r="V672" s="78">
        <f>IF($B672="","",IFERROR(INDEX(Task_Tracker!$I$5:$I$1004,MATCH($B672,Task_Tracker!$A$5:$A$1004,0)),""))</f>
        <v/>
      </c>
      <c r="W672" s="81">
        <f>IF(OR($D672="",$B672=""),"",$D672&amp;" | "&amp;$B672)</f>
        <v/>
      </c>
      <c r="X672" s="85">
        <f>IF($K672="","",TEXT($K672,"yyyy-mm"))</f>
        <v/>
      </c>
      <c r="Y672" s="81">
        <f>IF(OR($A672="",$T672=""),"","Included in Manager_Report")</f>
        <v/>
      </c>
    </row>
    <row r="673" ht="15" customHeight="1" s="40">
      <c r="A673" s="65">
        <f>IF(COUNTA(B673:G673)=0,"","STP-"&amp;TEXT(ROW()-4,"0000"))</f>
        <v/>
      </c>
      <c r="B673" s="78" t="n"/>
      <c r="C673" s="67">
        <f>IF($B673="","",IFERROR(INDEX(Task_Tracker!$D$5:$D$1004,MATCH($B673,Task_Tracker!$A$5:$A$1004,0)),""))</f>
        <v/>
      </c>
      <c r="D673" s="67">
        <f>IF($B673="","",IFERROR(INDEX(Task_Tracker!$B$5:$B$1004,MATCH($B673,Task_Tracker!$A$5:$A$1004,0)),""))</f>
        <v/>
      </c>
      <c r="E673" s="81" t="n"/>
      <c r="F673" s="81" t="n"/>
      <c r="G673" s="78" t="n"/>
      <c r="H673" s="78" t="n"/>
      <c r="I673" s="67">
        <f>IF($H673="","",IFERROR(INDEX(Action_Status_Map!$B$5:$B$11,MATCH($H673,Action_Status_Map!$A$5:$A$11,0)),""))</f>
        <v/>
      </c>
      <c r="J673" s="82" t="n"/>
      <c r="K673" s="82" t="n"/>
      <c r="L673" s="82" t="n"/>
      <c r="M673" s="83" t="n"/>
      <c r="N673" s="83" t="n"/>
      <c r="O673" s="66">
        <f>IF(OR($M673="",$N673=""),"",$N673-$M673)</f>
        <v/>
      </c>
      <c r="P673" s="84">
        <f>IF($J673="","",IF($L673&lt;&gt;"",$L673-$J673,TODAY()-$J673))</f>
        <v/>
      </c>
      <c r="Q673" s="85">
        <f>IF(OR($K673="",$H673="Completed",$H673="Cancelled"),"",IF(AND($K673&lt;TODAY(),$H673&lt;&gt;"Completed",$H673&lt;&gt;"Cancelled"),"Overdue","On Track"))</f>
        <v/>
      </c>
      <c r="R673" s="81" t="n"/>
      <c r="S673" s="81">
        <f>IF($B673="","",IFERROR(INDEX(Task_Tracker!$AA$5:$AA$1004,MATCH($B673,Task_Tracker!$A$5:$A$1004,0)),""))</f>
        <v/>
      </c>
      <c r="T673" s="81">
        <f>IF($B673="","",IFERROR(INDEX(Task_Tracker!$AB$5:$AB$1004,MATCH($B673,Task_Tracker!$A$5:$A$1004,0)),""))</f>
        <v/>
      </c>
      <c r="U673" s="78">
        <f>IF($B673="","",IFERROR(INDEX(Task_Tracker!$F$5:$F$1004,MATCH($B673,Task_Tracker!$A$5:$A$1004,0)),""))</f>
        <v/>
      </c>
      <c r="V673" s="78">
        <f>IF($B673="","",IFERROR(INDEX(Task_Tracker!$I$5:$I$1004,MATCH($B673,Task_Tracker!$A$5:$A$1004,0)),""))</f>
        <v/>
      </c>
      <c r="W673" s="81">
        <f>IF(OR($D673="",$B673=""),"",$D673&amp;" | "&amp;$B673)</f>
        <v/>
      </c>
      <c r="X673" s="85">
        <f>IF($K673="","",TEXT($K673,"yyyy-mm"))</f>
        <v/>
      </c>
      <c r="Y673" s="81">
        <f>IF(OR($A673="",$T673=""),"","Included in Manager_Report")</f>
        <v/>
      </c>
    </row>
    <row r="674" ht="15" customHeight="1" s="40">
      <c r="A674" s="65">
        <f>IF(COUNTA(B674:G674)=0,"","STP-"&amp;TEXT(ROW()-4,"0000"))</f>
        <v/>
      </c>
      <c r="B674" s="78" t="n"/>
      <c r="C674" s="67">
        <f>IF($B674="","",IFERROR(INDEX(Task_Tracker!$D$5:$D$1004,MATCH($B674,Task_Tracker!$A$5:$A$1004,0)),""))</f>
        <v/>
      </c>
      <c r="D674" s="67">
        <f>IF($B674="","",IFERROR(INDEX(Task_Tracker!$B$5:$B$1004,MATCH($B674,Task_Tracker!$A$5:$A$1004,0)),""))</f>
        <v/>
      </c>
      <c r="E674" s="81" t="n"/>
      <c r="F674" s="81" t="n"/>
      <c r="G674" s="78" t="n"/>
      <c r="H674" s="78" t="n"/>
      <c r="I674" s="67">
        <f>IF($H674="","",IFERROR(INDEX(Action_Status_Map!$B$5:$B$11,MATCH($H674,Action_Status_Map!$A$5:$A$11,0)),""))</f>
        <v/>
      </c>
      <c r="J674" s="82" t="n"/>
      <c r="K674" s="82" t="n"/>
      <c r="L674" s="82" t="n"/>
      <c r="M674" s="83" t="n"/>
      <c r="N674" s="83" t="n"/>
      <c r="O674" s="66">
        <f>IF(OR($M674="",$N674=""),"",$N674-$M674)</f>
        <v/>
      </c>
      <c r="P674" s="84">
        <f>IF($J674="","",IF($L674&lt;&gt;"",$L674-$J674,TODAY()-$J674))</f>
        <v/>
      </c>
      <c r="Q674" s="85">
        <f>IF(OR($K674="",$H674="Completed",$H674="Cancelled"),"",IF(AND($K674&lt;TODAY(),$H674&lt;&gt;"Completed",$H674&lt;&gt;"Cancelled"),"Overdue","On Track"))</f>
        <v/>
      </c>
      <c r="R674" s="81" t="n"/>
      <c r="S674" s="81">
        <f>IF($B674="","",IFERROR(INDEX(Task_Tracker!$AA$5:$AA$1004,MATCH($B674,Task_Tracker!$A$5:$A$1004,0)),""))</f>
        <v/>
      </c>
      <c r="T674" s="81">
        <f>IF($B674="","",IFERROR(INDEX(Task_Tracker!$AB$5:$AB$1004,MATCH($B674,Task_Tracker!$A$5:$A$1004,0)),""))</f>
        <v/>
      </c>
      <c r="U674" s="78">
        <f>IF($B674="","",IFERROR(INDEX(Task_Tracker!$F$5:$F$1004,MATCH($B674,Task_Tracker!$A$5:$A$1004,0)),""))</f>
        <v/>
      </c>
      <c r="V674" s="78">
        <f>IF($B674="","",IFERROR(INDEX(Task_Tracker!$I$5:$I$1004,MATCH($B674,Task_Tracker!$A$5:$A$1004,0)),""))</f>
        <v/>
      </c>
      <c r="W674" s="81">
        <f>IF(OR($D674="",$B674=""),"",$D674&amp;" | "&amp;$B674)</f>
        <v/>
      </c>
      <c r="X674" s="85">
        <f>IF($K674="","",TEXT($K674,"yyyy-mm"))</f>
        <v/>
      </c>
      <c r="Y674" s="81">
        <f>IF(OR($A674="",$T674=""),"","Included in Manager_Report")</f>
        <v/>
      </c>
    </row>
    <row r="675" ht="15" customHeight="1" s="40">
      <c r="A675" s="65">
        <f>IF(COUNTA(B675:G675)=0,"","STP-"&amp;TEXT(ROW()-4,"0000"))</f>
        <v/>
      </c>
      <c r="B675" s="78" t="n"/>
      <c r="C675" s="67">
        <f>IF($B675="","",IFERROR(INDEX(Task_Tracker!$D$5:$D$1004,MATCH($B675,Task_Tracker!$A$5:$A$1004,0)),""))</f>
        <v/>
      </c>
      <c r="D675" s="67">
        <f>IF($B675="","",IFERROR(INDEX(Task_Tracker!$B$5:$B$1004,MATCH($B675,Task_Tracker!$A$5:$A$1004,0)),""))</f>
        <v/>
      </c>
      <c r="E675" s="81" t="n"/>
      <c r="F675" s="81" t="n"/>
      <c r="G675" s="78" t="n"/>
      <c r="H675" s="78" t="n"/>
      <c r="I675" s="67">
        <f>IF($H675="","",IFERROR(INDEX(Action_Status_Map!$B$5:$B$11,MATCH($H675,Action_Status_Map!$A$5:$A$11,0)),""))</f>
        <v/>
      </c>
      <c r="J675" s="82" t="n"/>
      <c r="K675" s="82" t="n"/>
      <c r="L675" s="82" t="n"/>
      <c r="M675" s="83" t="n"/>
      <c r="N675" s="83" t="n"/>
      <c r="O675" s="66">
        <f>IF(OR($M675="",$N675=""),"",$N675-$M675)</f>
        <v/>
      </c>
      <c r="P675" s="84">
        <f>IF($J675="","",IF($L675&lt;&gt;"",$L675-$J675,TODAY()-$J675))</f>
        <v/>
      </c>
      <c r="Q675" s="85">
        <f>IF(OR($K675="",$H675="Completed",$H675="Cancelled"),"",IF(AND($K675&lt;TODAY(),$H675&lt;&gt;"Completed",$H675&lt;&gt;"Cancelled"),"Overdue","On Track"))</f>
        <v/>
      </c>
      <c r="R675" s="81" t="n"/>
      <c r="S675" s="81">
        <f>IF($B675="","",IFERROR(INDEX(Task_Tracker!$AA$5:$AA$1004,MATCH($B675,Task_Tracker!$A$5:$A$1004,0)),""))</f>
        <v/>
      </c>
      <c r="T675" s="81">
        <f>IF($B675="","",IFERROR(INDEX(Task_Tracker!$AB$5:$AB$1004,MATCH($B675,Task_Tracker!$A$5:$A$1004,0)),""))</f>
        <v/>
      </c>
      <c r="U675" s="78">
        <f>IF($B675="","",IFERROR(INDEX(Task_Tracker!$F$5:$F$1004,MATCH($B675,Task_Tracker!$A$5:$A$1004,0)),""))</f>
        <v/>
      </c>
      <c r="V675" s="78">
        <f>IF($B675="","",IFERROR(INDEX(Task_Tracker!$I$5:$I$1004,MATCH($B675,Task_Tracker!$A$5:$A$1004,0)),""))</f>
        <v/>
      </c>
      <c r="W675" s="81">
        <f>IF(OR($D675="",$B675=""),"",$D675&amp;" | "&amp;$B675)</f>
        <v/>
      </c>
      <c r="X675" s="85">
        <f>IF($K675="","",TEXT($K675,"yyyy-mm"))</f>
        <v/>
      </c>
      <c r="Y675" s="81">
        <f>IF(OR($A675="",$T675=""),"","Included in Manager_Report")</f>
        <v/>
      </c>
    </row>
    <row r="676" ht="15" customHeight="1" s="40">
      <c r="A676" s="65">
        <f>IF(COUNTA(B676:G676)=0,"","STP-"&amp;TEXT(ROW()-4,"0000"))</f>
        <v/>
      </c>
      <c r="B676" s="78" t="n"/>
      <c r="C676" s="67">
        <f>IF($B676="","",IFERROR(INDEX(Task_Tracker!$D$5:$D$1004,MATCH($B676,Task_Tracker!$A$5:$A$1004,0)),""))</f>
        <v/>
      </c>
      <c r="D676" s="67">
        <f>IF($B676="","",IFERROR(INDEX(Task_Tracker!$B$5:$B$1004,MATCH($B676,Task_Tracker!$A$5:$A$1004,0)),""))</f>
        <v/>
      </c>
      <c r="E676" s="81" t="n"/>
      <c r="F676" s="81" t="n"/>
      <c r="G676" s="78" t="n"/>
      <c r="H676" s="78" t="n"/>
      <c r="I676" s="67">
        <f>IF($H676="","",IFERROR(INDEX(Action_Status_Map!$B$5:$B$11,MATCH($H676,Action_Status_Map!$A$5:$A$11,0)),""))</f>
        <v/>
      </c>
      <c r="J676" s="82" t="n"/>
      <c r="K676" s="82" t="n"/>
      <c r="L676" s="82" t="n"/>
      <c r="M676" s="83" t="n"/>
      <c r="N676" s="83" t="n"/>
      <c r="O676" s="66">
        <f>IF(OR($M676="",$N676=""),"",$N676-$M676)</f>
        <v/>
      </c>
      <c r="P676" s="84">
        <f>IF($J676="","",IF($L676&lt;&gt;"",$L676-$J676,TODAY()-$J676))</f>
        <v/>
      </c>
      <c r="Q676" s="85">
        <f>IF(OR($K676="",$H676="Completed",$H676="Cancelled"),"",IF(AND($K676&lt;TODAY(),$H676&lt;&gt;"Completed",$H676&lt;&gt;"Cancelled"),"Overdue","On Track"))</f>
        <v/>
      </c>
      <c r="R676" s="81" t="n"/>
      <c r="S676" s="81">
        <f>IF($B676="","",IFERROR(INDEX(Task_Tracker!$AA$5:$AA$1004,MATCH($B676,Task_Tracker!$A$5:$A$1004,0)),""))</f>
        <v/>
      </c>
      <c r="T676" s="81">
        <f>IF($B676="","",IFERROR(INDEX(Task_Tracker!$AB$5:$AB$1004,MATCH($B676,Task_Tracker!$A$5:$A$1004,0)),""))</f>
        <v/>
      </c>
      <c r="U676" s="78">
        <f>IF($B676="","",IFERROR(INDEX(Task_Tracker!$F$5:$F$1004,MATCH($B676,Task_Tracker!$A$5:$A$1004,0)),""))</f>
        <v/>
      </c>
      <c r="V676" s="78">
        <f>IF($B676="","",IFERROR(INDEX(Task_Tracker!$I$5:$I$1004,MATCH($B676,Task_Tracker!$A$5:$A$1004,0)),""))</f>
        <v/>
      </c>
      <c r="W676" s="81">
        <f>IF(OR($D676="",$B676=""),"",$D676&amp;" | "&amp;$B676)</f>
        <v/>
      </c>
      <c r="X676" s="85">
        <f>IF($K676="","",TEXT($K676,"yyyy-mm"))</f>
        <v/>
      </c>
      <c r="Y676" s="81">
        <f>IF(OR($A676="",$T676=""),"","Included in Manager_Report")</f>
        <v/>
      </c>
    </row>
    <row r="677" ht="15" customHeight="1" s="40">
      <c r="A677" s="65">
        <f>IF(COUNTA(B677:G677)=0,"","STP-"&amp;TEXT(ROW()-4,"0000"))</f>
        <v/>
      </c>
      <c r="B677" s="78" t="n"/>
      <c r="C677" s="67">
        <f>IF($B677="","",IFERROR(INDEX(Task_Tracker!$D$5:$D$1004,MATCH($B677,Task_Tracker!$A$5:$A$1004,0)),""))</f>
        <v/>
      </c>
      <c r="D677" s="67">
        <f>IF($B677="","",IFERROR(INDEX(Task_Tracker!$B$5:$B$1004,MATCH($B677,Task_Tracker!$A$5:$A$1004,0)),""))</f>
        <v/>
      </c>
      <c r="E677" s="81" t="n"/>
      <c r="F677" s="81" t="n"/>
      <c r="G677" s="78" t="n"/>
      <c r="H677" s="78" t="n"/>
      <c r="I677" s="67">
        <f>IF($H677="","",IFERROR(INDEX(Action_Status_Map!$B$5:$B$11,MATCH($H677,Action_Status_Map!$A$5:$A$11,0)),""))</f>
        <v/>
      </c>
      <c r="J677" s="82" t="n"/>
      <c r="K677" s="82" t="n"/>
      <c r="L677" s="82" t="n"/>
      <c r="M677" s="83" t="n"/>
      <c r="N677" s="83" t="n"/>
      <c r="O677" s="66">
        <f>IF(OR($M677="",$N677=""),"",$N677-$M677)</f>
        <v/>
      </c>
      <c r="P677" s="84">
        <f>IF($J677="","",IF($L677&lt;&gt;"",$L677-$J677,TODAY()-$J677))</f>
        <v/>
      </c>
      <c r="Q677" s="85">
        <f>IF(OR($K677="",$H677="Completed",$H677="Cancelled"),"",IF(AND($K677&lt;TODAY(),$H677&lt;&gt;"Completed",$H677&lt;&gt;"Cancelled"),"Overdue","On Track"))</f>
        <v/>
      </c>
      <c r="R677" s="81" t="n"/>
      <c r="S677" s="81">
        <f>IF($B677="","",IFERROR(INDEX(Task_Tracker!$AA$5:$AA$1004,MATCH($B677,Task_Tracker!$A$5:$A$1004,0)),""))</f>
        <v/>
      </c>
      <c r="T677" s="81">
        <f>IF($B677="","",IFERROR(INDEX(Task_Tracker!$AB$5:$AB$1004,MATCH($B677,Task_Tracker!$A$5:$A$1004,0)),""))</f>
        <v/>
      </c>
      <c r="U677" s="78">
        <f>IF($B677="","",IFERROR(INDEX(Task_Tracker!$F$5:$F$1004,MATCH($B677,Task_Tracker!$A$5:$A$1004,0)),""))</f>
        <v/>
      </c>
      <c r="V677" s="78">
        <f>IF($B677="","",IFERROR(INDEX(Task_Tracker!$I$5:$I$1004,MATCH($B677,Task_Tracker!$A$5:$A$1004,0)),""))</f>
        <v/>
      </c>
      <c r="W677" s="81">
        <f>IF(OR($D677="",$B677=""),"",$D677&amp;" | "&amp;$B677)</f>
        <v/>
      </c>
      <c r="X677" s="85">
        <f>IF($K677="","",TEXT($K677,"yyyy-mm"))</f>
        <v/>
      </c>
      <c r="Y677" s="81">
        <f>IF(OR($A677="",$T677=""),"","Included in Manager_Report")</f>
        <v/>
      </c>
    </row>
    <row r="678" ht="15" customHeight="1" s="40">
      <c r="A678" s="65">
        <f>IF(COUNTA(B678:G678)=0,"","STP-"&amp;TEXT(ROW()-4,"0000"))</f>
        <v/>
      </c>
      <c r="B678" s="78" t="n"/>
      <c r="C678" s="67">
        <f>IF($B678="","",IFERROR(INDEX(Task_Tracker!$D$5:$D$1004,MATCH($B678,Task_Tracker!$A$5:$A$1004,0)),""))</f>
        <v/>
      </c>
      <c r="D678" s="67">
        <f>IF($B678="","",IFERROR(INDEX(Task_Tracker!$B$5:$B$1004,MATCH($B678,Task_Tracker!$A$5:$A$1004,0)),""))</f>
        <v/>
      </c>
      <c r="E678" s="81" t="n"/>
      <c r="F678" s="81" t="n"/>
      <c r="G678" s="78" t="n"/>
      <c r="H678" s="78" t="n"/>
      <c r="I678" s="67">
        <f>IF($H678="","",IFERROR(INDEX(Action_Status_Map!$B$5:$B$11,MATCH($H678,Action_Status_Map!$A$5:$A$11,0)),""))</f>
        <v/>
      </c>
      <c r="J678" s="82" t="n"/>
      <c r="K678" s="82" t="n"/>
      <c r="L678" s="82" t="n"/>
      <c r="M678" s="83" t="n"/>
      <c r="N678" s="83" t="n"/>
      <c r="O678" s="66">
        <f>IF(OR($M678="",$N678=""),"",$N678-$M678)</f>
        <v/>
      </c>
      <c r="P678" s="84">
        <f>IF($J678="","",IF($L678&lt;&gt;"",$L678-$J678,TODAY()-$J678))</f>
        <v/>
      </c>
      <c r="Q678" s="85">
        <f>IF(OR($K678="",$H678="Completed",$H678="Cancelled"),"",IF(AND($K678&lt;TODAY(),$H678&lt;&gt;"Completed",$H678&lt;&gt;"Cancelled"),"Overdue","On Track"))</f>
        <v/>
      </c>
      <c r="R678" s="81" t="n"/>
      <c r="S678" s="81">
        <f>IF($B678="","",IFERROR(INDEX(Task_Tracker!$AA$5:$AA$1004,MATCH($B678,Task_Tracker!$A$5:$A$1004,0)),""))</f>
        <v/>
      </c>
      <c r="T678" s="81">
        <f>IF($B678="","",IFERROR(INDEX(Task_Tracker!$AB$5:$AB$1004,MATCH($B678,Task_Tracker!$A$5:$A$1004,0)),""))</f>
        <v/>
      </c>
      <c r="U678" s="78">
        <f>IF($B678="","",IFERROR(INDEX(Task_Tracker!$F$5:$F$1004,MATCH($B678,Task_Tracker!$A$5:$A$1004,0)),""))</f>
        <v/>
      </c>
      <c r="V678" s="78">
        <f>IF($B678="","",IFERROR(INDEX(Task_Tracker!$I$5:$I$1004,MATCH($B678,Task_Tracker!$A$5:$A$1004,0)),""))</f>
        <v/>
      </c>
      <c r="W678" s="81">
        <f>IF(OR($D678="",$B678=""),"",$D678&amp;" | "&amp;$B678)</f>
        <v/>
      </c>
      <c r="X678" s="85">
        <f>IF($K678="","",TEXT($K678,"yyyy-mm"))</f>
        <v/>
      </c>
      <c r="Y678" s="81">
        <f>IF(OR($A678="",$T678=""),"","Included in Manager_Report")</f>
        <v/>
      </c>
    </row>
    <row r="679" ht="15" customHeight="1" s="40">
      <c r="A679" s="65">
        <f>IF(COUNTA(B679:G679)=0,"","STP-"&amp;TEXT(ROW()-4,"0000"))</f>
        <v/>
      </c>
      <c r="B679" s="78" t="n"/>
      <c r="C679" s="67">
        <f>IF($B679="","",IFERROR(INDEX(Task_Tracker!$D$5:$D$1004,MATCH($B679,Task_Tracker!$A$5:$A$1004,0)),""))</f>
        <v/>
      </c>
      <c r="D679" s="67">
        <f>IF($B679="","",IFERROR(INDEX(Task_Tracker!$B$5:$B$1004,MATCH($B679,Task_Tracker!$A$5:$A$1004,0)),""))</f>
        <v/>
      </c>
      <c r="E679" s="81" t="n"/>
      <c r="F679" s="81" t="n"/>
      <c r="G679" s="78" t="n"/>
      <c r="H679" s="78" t="n"/>
      <c r="I679" s="67">
        <f>IF($H679="","",IFERROR(INDEX(Action_Status_Map!$B$5:$B$11,MATCH($H679,Action_Status_Map!$A$5:$A$11,0)),""))</f>
        <v/>
      </c>
      <c r="J679" s="82" t="n"/>
      <c r="K679" s="82" t="n"/>
      <c r="L679" s="82" t="n"/>
      <c r="M679" s="83" t="n"/>
      <c r="N679" s="83" t="n"/>
      <c r="O679" s="66">
        <f>IF(OR($M679="",$N679=""),"",$N679-$M679)</f>
        <v/>
      </c>
      <c r="P679" s="84">
        <f>IF($J679="","",IF($L679&lt;&gt;"",$L679-$J679,TODAY()-$J679))</f>
        <v/>
      </c>
      <c r="Q679" s="85">
        <f>IF(OR($K679="",$H679="Completed",$H679="Cancelled"),"",IF(AND($K679&lt;TODAY(),$H679&lt;&gt;"Completed",$H679&lt;&gt;"Cancelled"),"Overdue","On Track"))</f>
        <v/>
      </c>
      <c r="R679" s="81" t="n"/>
      <c r="S679" s="81">
        <f>IF($B679="","",IFERROR(INDEX(Task_Tracker!$AA$5:$AA$1004,MATCH($B679,Task_Tracker!$A$5:$A$1004,0)),""))</f>
        <v/>
      </c>
      <c r="T679" s="81">
        <f>IF($B679="","",IFERROR(INDEX(Task_Tracker!$AB$5:$AB$1004,MATCH($B679,Task_Tracker!$A$5:$A$1004,0)),""))</f>
        <v/>
      </c>
      <c r="U679" s="78">
        <f>IF($B679="","",IFERROR(INDEX(Task_Tracker!$F$5:$F$1004,MATCH($B679,Task_Tracker!$A$5:$A$1004,0)),""))</f>
        <v/>
      </c>
      <c r="V679" s="78">
        <f>IF($B679="","",IFERROR(INDEX(Task_Tracker!$I$5:$I$1004,MATCH($B679,Task_Tracker!$A$5:$A$1004,0)),""))</f>
        <v/>
      </c>
      <c r="W679" s="81">
        <f>IF(OR($D679="",$B679=""),"",$D679&amp;" | "&amp;$B679)</f>
        <v/>
      </c>
      <c r="X679" s="85">
        <f>IF($K679="","",TEXT($K679,"yyyy-mm"))</f>
        <v/>
      </c>
      <c r="Y679" s="81">
        <f>IF(OR($A679="",$T679=""),"","Included in Manager_Report")</f>
        <v/>
      </c>
    </row>
    <row r="680" ht="15" customHeight="1" s="40">
      <c r="A680" s="65">
        <f>IF(COUNTA(B680:G680)=0,"","STP-"&amp;TEXT(ROW()-4,"0000"))</f>
        <v/>
      </c>
      <c r="B680" s="78" t="n"/>
      <c r="C680" s="67">
        <f>IF($B680="","",IFERROR(INDEX(Task_Tracker!$D$5:$D$1004,MATCH($B680,Task_Tracker!$A$5:$A$1004,0)),""))</f>
        <v/>
      </c>
      <c r="D680" s="67">
        <f>IF($B680="","",IFERROR(INDEX(Task_Tracker!$B$5:$B$1004,MATCH($B680,Task_Tracker!$A$5:$A$1004,0)),""))</f>
        <v/>
      </c>
      <c r="E680" s="81" t="n"/>
      <c r="F680" s="81" t="n"/>
      <c r="G680" s="78" t="n"/>
      <c r="H680" s="78" t="n"/>
      <c r="I680" s="67">
        <f>IF($H680="","",IFERROR(INDEX(Action_Status_Map!$B$5:$B$11,MATCH($H680,Action_Status_Map!$A$5:$A$11,0)),""))</f>
        <v/>
      </c>
      <c r="J680" s="82" t="n"/>
      <c r="K680" s="82" t="n"/>
      <c r="L680" s="82" t="n"/>
      <c r="M680" s="83" t="n"/>
      <c r="N680" s="83" t="n"/>
      <c r="O680" s="66">
        <f>IF(OR($M680="",$N680=""),"",$N680-$M680)</f>
        <v/>
      </c>
      <c r="P680" s="84">
        <f>IF($J680="","",IF($L680&lt;&gt;"",$L680-$J680,TODAY()-$J680))</f>
        <v/>
      </c>
      <c r="Q680" s="85">
        <f>IF(OR($K680="",$H680="Completed",$H680="Cancelled"),"",IF(AND($K680&lt;TODAY(),$H680&lt;&gt;"Completed",$H680&lt;&gt;"Cancelled"),"Overdue","On Track"))</f>
        <v/>
      </c>
      <c r="R680" s="81" t="n"/>
      <c r="S680" s="81">
        <f>IF($B680="","",IFERROR(INDEX(Task_Tracker!$AA$5:$AA$1004,MATCH($B680,Task_Tracker!$A$5:$A$1004,0)),""))</f>
        <v/>
      </c>
      <c r="T680" s="81">
        <f>IF($B680="","",IFERROR(INDEX(Task_Tracker!$AB$5:$AB$1004,MATCH($B680,Task_Tracker!$A$5:$A$1004,0)),""))</f>
        <v/>
      </c>
      <c r="U680" s="78">
        <f>IF($B680="","",IFERROR(INDEX(Task_Tracker!$F$5:$F$1004,MATCH($B680,Task_Tracker!$A$5:$A$1004,0)),""))</f>
        <v/>
      </c>
      <c r="V680" s="78">
        <f>IF($B680="","",IFERROR(INDEX(Task_Tracker!$I$5:$I$1004,MATCH($B680,Task_Tracker!$A$5:$A$1004,0)),""))</f>
        <v/>
      </c>
      <c r="W680" s="81">
        <f>IF(OR($D680="",$B680=""),"",$D680&amp;" | "&amp;$B680)</f>
        <v/>
      </c>
      <c r="X680" s="85">
        <f>IF($K680="","",TEXT($K680,"yyyy-mm"))</f>
        <v/>
      </c>
      <c r="Y680" s="81">
        <f>IF(OR($A680="",$T680=""),"","Included in Manager_Report")</f>
        <v/>
      </c>
    </row>
    <row r="681" ht="15" customHeight="1" s="40">
      <c r="A681" s="65">
        <f>IF(COUNTA(B681:G681)=0,"","STP-"&amp;TEXT(ROW()-4,"0000"))</f>
        <v/>
      </c>
      <c r="B681" s="78" t="n"/>
      <c r="C681" s="67">
        <f>IF($B681="","",IFERROR(INDEX(Task_Tracker!$D$5:$D$1004,MATCH($B681,Task_Tracker!$A$5:$A$1004,0)),""))</f>
        <v/>
      </c>
      <c r="D681" s="67">
        <f>IF($B681="","",IFERROR(INDEX(Task_Tracker!$B$5:$B$1004,MATCH($B681,Task_Tracker!$A$5:$A$1004,0)),""))</f>
        <v/>
      </c>
      <c r="E681" s="81" t="n"/>
      <c r="F681" s="81" t="n"/>
      <c r="G681" s="78" t="n"/>
      <c r="H681" s="78" t="n"/>
      <c r="I681" s="67">
        <f>IF($H681="","",IFERROR(INDEX(Action_Status_Map!$B$5:$B$11,MATCH($H681,Action_Status_Map!$A$5:$A$11,0)),""))</f>
        <v/>
      </c>
      <c r="J681" s="82" t="n"/>
      <c r="K681" s="82" t="n"/>
      <c r="L681" s="82" t="n"/>
      <c r="M681" s="83" t="n"/>
      <c r="N681" s="83" t="n"/>
      <c r="O681" s="66">
        <f>IF(OR($M681="",$N681=""),"",$N681-$M681)</f>
        <v/>
      </c>
      <c r="P681" s="84">
        <f>IF($J681="","",IF($L681&lt;&gt;"",$L681-$J681,TODAY()-$J681))</f>
        <v/>
      </c>
      <c r="Q681" s="85">
        <f>IF(OR($K681="",$H681="Completed",$H681="Cancelled"),"",IF(AND($K681&lt;TODAY(),$H681&lt;&gt;"Completed",$H681&lt;&gt;"Cancelled"),"Overdue","On Track"))</f>
        <v/>
      </c>
      <c r="R681" s="81" t="n"/>
      <c r="S681" s="81">
        <f>IF($B681="","",IFERROR(INDEX(Task_Tracker!$AA$5:$AA$1004,MATCH($B681,Task_Tracker!$A$5:$A$1004,0)),""))</f>
        <v/>
      </c>
      <c r="T681" s="81">
        <f>IF($B681="","",IFERROR(INDEX(Task_Tracker!$AB$5:$AB$1004,MATCH($B681,Task_Tracker!$A$5:$A$1004,0)),""))</f>
        <v/>
      </c>
      <c r="U681" s="78">
        <f>IF($B681="","",IFERROR(INDEX(Task_Tracker!$F$5:$F$1004,MATCH($B681,Task_Tracker!$A$5:$A$1004,0)),""))</f>
        <v/>
      </c>
      <c r="V681" s="78">
        <f>IF($B681="","",IFERROR(INDEX(Task_Tracker!$I$5:$I$1004,MATCH($B681,Task_Tracker!$A$5:$A$1004,0)),""))</f>
        <v/>
      </c>
      <c r="W681" s="81">
        <f>IF(OR($D681="",$B681=""),"",$D681&amp;" | "&amp;$B681)</f>
        <v/>
      </c>
      <c r="X681" s="85">
        <f>IF($K681="","",TEXT($K681,"yyyy-mm"))</f>
        <v/>
      </c>
      <c r="Y681" s="81">
        <f>IF(OR($A681="",$T681=""),"","Included in Manager_Report")</f>
        <v/>
      </c>
    </row>
    <row r="682" ht="15" customHeight="1" s="40">
      <c r="A682" s="65">
        <f>IF(COUNTA(B682:G682)=0,"","STP-"&amp;TEXT(ROW()-4,"0000"))</f>
        <v/>
      </c>
      <c r="B682" s="78" t="n"/>
      <c r="C682" s="67">
        <f>IF($B682="","",IFERROR(INDEX(Task_Tracker!$D$5:$D$1004,MATCH($B682,Task_Tracker!$A$5:$A$1004,0)),""))</f>
        <v/>
      </c>
      <c r="D682" s="67">
        <f>IF($B682="","",IFERROR(INDEX(Task_Tracker!$B$5:$B$1004,MATCH($B682,Task_Tracker!$A$5:$A$1004,0)),""))</f>
        <v/>
      </c>
      <c r="E682" s="81" t="n"/>
      <c r="F682" s="81" t="n"/>
      <c r="G682" s="78" t="n"/>
      <c r="H682" s="78" t="n"/>
      <c r="I682" s="67">
        <f>IF($H682="","",IFERROR(INDEX(Action_Status_Map!$B$5:$B$11,MATCH($H682,Action_Status_Map!$A$5:$A$11,0)),""))</f>
        <v/>
      </c>
      <c r="J682" s="82" t="n"/>
      <c r="K682" s="82" t="n"/>
      <c r="L682" s="82" t="n"/>
      <c r="M682" s="83" t="n"/>
      <c r="N682" s="83" t="n"/>
      <c r="O682" s="66">
        <f>IF(OR($M682="",$N682=""),"",$N682-$M682)</f>
        <v/>
      </c>
      <c r="P682" s="84">
        <f>IF($J682="","",IF($L682&lt;&gt;"",$L682-$J682,TODAY()-$J682))</f>
        <v/>
      </c>
      <c r="Q682" s="85">
        <f>IF(OR($K682="",$H682="Completed",$H682="Cancelled"),"",IF(AND($K682&lt;TODAY(),$H682&lt;&gt;"Completed",$H682&lt;&gt;"Cancelled"),"Overdue","On Track"))</f>
        <v/>
      </c>
      <c r="R682" s="81" t="n"/>
      <c r="S682" s="81">
        <f>IF($B682="","",IFERROR(INDEX(Task_Tracker!$AA$5:$AA$1004,MATCH($B682,Task_Tracker!$A$5:$A$1004,0)),""))</f>
        <v/>
      </c>
      <c r="T682" s="81">
        <f>IF($B682="","",IFERROR(INDEX(Task_Tracker!$AB$5:$AB$1004,MATCH($B682,Task_Tracker!$A$5:$A$1004,0)),""))</f>
        <v/>
      </c>
      <c r="U682" s="78">
        <f>IF($B682="","",IFERROR(INDEX(Task_Tracker!$F$5:$F$1004,MATCH($B682,Task_Tracker!$A$5:$A$1004,0)),""))</f>
        <v/>
      </c>
      <c r="V682" s="78">
        <f>IF($B682="","",IFERROR(INDEX(Task_Tracker!$I$5:$I$1004,MATCH($B682,Task_Tracker!$A$5:$A$1004,0)),""))</f>
        <v/>
      </c>
      <c r="W682" s="81">
        <f>IF(OR($D682="",$B682=""),"",$D682&amp;" | "&amp;$B682)</f>
        <v/>
      </c>
      <c r="X682" s="85">
        <f>IF($K682="","",TEXT($K682,"yyyy-mm"))</f>
        <v/>
      </c>
      <c r="Y682" s="81">
        <f>IF(OR($A682="",$T682=""),"","Included in Manager_Report")</f>
        <v/>
      </c>
    </row>
    <row r="683" ht="15" customHeight="1" s="40">
      <c r="A683" s="65">
        <f>IF(COUNTA(B683:G683)=0,"","STP-"&amp;TEXT(ROW()-4,"0000"))</f>
        <v/>
      </c>
      <c r="B683" s="78" t="n"/>
      <c r="C683" s="67">
        <f>IF($B683="","",IFERROR(INDEX(Task_Tracker!$D$5:$D$1004,MATCH($B683,Task_Tracker!$A$5:$A$1004,0)),""))</f>
        <v/>
      </c>
      <c r="D683" s="67">
        <f>IF($B683="","",IFERROR(INDEX(Task_Tracker!$B$5:$B$1004,MATCH($B683,Task_Tracker!$A$5:$A$1004,0)),""))</f>
        <v/>
      </c>
      <c r="E683" s="81" t="n"/>
      <c r="F683" s="81" t="n"/>
      <c r="G683" s="78" t="n"/>
      <c r="H683" s="78" t="n"/>
      <c r="I683" s="67">
        <f>IF($H683="","",IFERROR(INDEX(Action_Status_Map!$B$5:$B$11,MATCH($H683,Action_Status_Map!$A$5:$A$11,0)),""))</f>
        <v/>
      </c>
      <c r="J683" s="82" t="n"/>
      <c r="K683" s="82" t="n"/>
      <c r="L683" s="82" t="n"/>
      <c r="M683" s="83" t="n"/>
      <c r="N683" s="83" t="n"/>
      <c r="O683" s="66">
        <f>IF(OR($M683="",$N683=""),"",$N683-$M683)</f>
        <v/>
      </c>
      <c r="P683" s="84">
        <f>IF($J683="","",IF($L683&lt;&gt;"",$L683-$J683,TODAY()-$J683))</f>
        <v/>
      </c>
      <c r="Q683" s="85">
        <f>IF(OR($K683="",$H683="Completed",$H683="Cancelled"),"",IF(AND($K683&lt;TODAY(),$H683&lt;&gt;"Completed",$H683&lt;&gt;"Cancelled"),"Overdue","On Track"))</f>
        <v/>
      </c>
      <c r="R683" s="81" t="n"/>
      <c r="S683" s="81">
        <f>IF($B683="","",IFERROR(INDEX(Task_Tracker!$AA$5:$AA$1004,MATCH($B683,Task_Tracker!$A$5:$A$1004,0)),""))</f>
        <v/>
      </c>
      <c r="T683" s="81">
        <f>IF($B683="","",IFERROR(INDEX(Task_Tracker!$AB$5:$AB$1004,MATCH($B683,Task_Tracker!$A$5:$A$1004,0)),""))</f>
        <v/>
      </c>
      <c r="U683" s="78">
        <f>IF($B683="","",IFERROR(INDEX(Task_Tracker!$F$5:$F$1004,MATCH($B683,Task_Tracker!$A$5:$A$1004,0)),""))</f>
        <v/>
      </c>
      <c r="V683" s="78">
        <f>IF($B683="","",IFERROR(INDEX(Task_Tracker!$I$5:$I$1004,MATCH($B683,Task_Tracker!$A$5:$A$1004,0)),""))</f>
        <v/>
      </c>
      <c r="W683" s="81">
        <f>IF(OR($D683="",$B683=""),"",$D683&amp;" | "&amp;$B683)</f>
        <v/>
      </c>
      <c r="X683" s="85">
        <f>IF($K683="","",TEXT($K683,"yyyy-mm"))</f>
        <v/>
      </c>
      <c r="Y683" s="81">
        <f>IF(OR($A683="",$T683=""),"","Included in Manager_Report")</f>
        <v/>
      </c>
    </row>
    <row r="684" ht="15" customHeight="1" s="40">
      <c r="A684" s="65">
        <f>IF(COUNTA(B684:G684)=0,"","STP-"&amp;TEXT(ROW()-4,"0000"))</f>
        <v/>
      </c>
      <c r="B684" s="78" t="n"/>
      <c r="C684" s="67">
        <f>IF($B684="","",IFERROR(INDEX(Task_Tracker!$D$5:$D$1004,MATCH($B684,Task_Tracker!$A$5:$A$1004,0)),""))</f>
        <v/>
      </c>
      <c r="D684" s="67">
        <f>IF($B684="","",IFERROR(INDEX(Task_Tracker!$B$5:$B$1004,MATCH($B684,Task_Tracker!$A$5:$A$1004,0)),""))</f>
        <v/>
      </c>
      <c r="E684" s="81" t="n"/>
      <c r="F684" s="81" t="n"/>
      <c r="G684" s="78" t="n"/>
      <c r="H684" s="78" t="n"/>
      <c r="I684" s="67">
        <f>IF($H684="","",IFERROR(INDEX(Action_Status_Map!$B$5:$B$11,MATCH($H684,Action_Status_Map!$A$5:$A$11,0)),""))</f>
        <v/>
      </c>
      <c r="J684" s="82" t="n"/>
      <c r="K684" s="82" t="n"/>
      <c r="L684" s="82" t="n"/>
      <c r="M684" s="83" t="n"/>
      <c r="N684" s="83" t="n"/>
      <c r="O684" s="66">
        <f>IF(OR($M684="",$N684=""),"",$N684-$M684)</f>
        <v/>
      </c>
      <c r="P684" s="84">
        <f>IF($J684="","",IF($L684&lt;&gt;"",$L684-$J684,TODAY()-$J684))</f>
        <v/>
      </c>
      <c r="Q684" s="85">
        <f>IF(OR($K684="",$H684="Completed",$H684="Cancelled"),"",IF(AND($K684&lt;TODAY(),$H684&lt;&gt;"Completed",$H684&lt;&gt;"Cancelled"),"Overdue","On Track"))</f>
        <v/>
      </c>
      <c r="R684" s="81" t="n"/>
      <c r="S684" s="81">
        <f>IF($B684="","",IFERROR(INDEX(Task_Tracker!$AA$5:$AA$1004,MATCH($B684,Task_Tracker!$A$5:$A$1004,0)),""))</f>
        <v/>
      </c>
      <c r="T684" s="81">
        <f>IF($B684="","",IFERROR(INDEX(Task_Tracker!$AB$5:$AB$1004,MATCH($B684,Task_Tracker!$A$5:$A$1004,0)),""))</f>
        <v/>
      </c>
      <c r="U684" s="78">
        <f>IF($B684="","",IFERROR(INDEX(Task_Tracker!$F$5:$F$1004,MATCH($B684,Task_Tracker!$A$5:$A$1004,0)),""))</f>
        <v/>
      </c>
      <c r="V684" s="78">
        <f>IF($B684="","",IFERROR(INDEX(Task_Tracker!$I$5:$I$1004,MATCH($B684,Task_Tracker!$A$5:$A$1004,0)),""))</f>
        <v/>
      </c>
      <c r="W684" s="81">
        <f>IF(OR($D684="",$B684=""),"",$D684&amp;" | "&amp;$B684)</f>
        <v/>
      </c>
      <c r="X684" s="85">
        <f>IF($K684="","",TEXT($K684,"yyyy-mm"))</f>
        <v/>
      </c>
      <c r="Y684" s="81">
        <f>IF(OR($A684="",$T684=""),"","Included in Manager_Report")</f>
        <v/>
      </c>
    </row>
    <row r="685" ht="15" customHeight="1" s="40">
      <c r="A685" s="65">
        <f>IF(COUNTA(B685:G685)=0,"","STP-"&amp;TEXT(ROW()-4,"0000"))</f>
        <v/>
      </c>
      <c r="B685" s="78" t="n"/>
      <c r="C685" s="67">
        <f>IF($B685="","",IFERROR(INDEX(Task_Tracker!$D$5:$D$1004,MATCH($B685,Task_Tracker!$A$5:$A$1004,0)),""))</f>
        <v/>
      </c>
      <c r="D685" s="67">
        <f>IF($B685="","",IFERROR(INDEX(Task_Tracker!$B$5:$B$1004,MATCH($B685,Task_Tracker!$A$5:$A$1004,0)),""))</f>
        <v/>
      </c>
      <c r="E685" s="81" t="n"/>
      <c r="F685" s="81" t="n"/>
      <c r="G685" s="78" t="n"/>
      <c r="H685" s="78" t="n"/>
      <c r="I685" s="67">
        <f>IF($H685="","",IFERROR(INDEX(Action_Status_Map!$B$5:$B$11,MATCH($H685,Action_Status_Map!$A$5:$A$11,0)),""))</f>
        <v/>
      </c>
      <c r="J685" s="82" t="n"/>
      <c r="K685" s="82" t="n"/>
      <c r="L685" s="82" t="n"/>
      <c r="M685" s="83" t="n"/>
      <c r="N685" s="83" t="n"/>
      <c r="O685" s="66">
        <f>IF(OR($M685="",$N685=""),"",$N685-$M685)</f>
        <v/>
      </c>
      <c r="P685" s="84">
        <f>IF($J685="","",IF($L685&lt;&gt;"",$L685-$J685,TODAY()-$J685))</f>
        <v/>
      </c>
      <c r="Q685" s="85">
        <f>IF(OR($K685="",$H685="Completed",$H685="Cancelled"),"",IF(AND($K685&lt;TODAY(),$H685&lt;&gt;"Completed",$H685&lt;&gt;"Cancelled"),"Overdue","On Track"))</f>
        <v/>
      </c>
      <c r="R685" s="81" t="n"/>
      <c r="S685" s="81">
        <f>IF($B685="","",IFERROR(INDEX(Task_Tracker!$AA$5:$AA$1004,MATCH($B685,Task_Tracker!$A$5:$A$1004,0)),""))</f>
        <v/>
      </c>
      <c r="T685" s="81">
        <f>IF($B685="","",IFERROR(INDEX(Task_Tracker!$AB$5:$AB$1004,MATCH($B685,Task_Tracker!$A$5:$A$1004,0)),""))</f>
        <v/>
      </c>
      <c r="U685" s="78">
        <f>IF($B685="","",IFERROR(INDEX(Task_Tracker!$F$5:$F$1004,MATCH($B685,Task_Tracker!$A$5:$A$1004,0)),""))</f>
        <v/>
      </c>
      <c r="V685" s="78">
        <f>IF($B685="","",IFERROR(INDEX(Task_Tracker!$I$5:$I$1004,MATCH($B685,Task_Tracker!$A$5:$A$1004,0)),""))</f>
        <v/>
      </c>
      <c r="W685" s="81">
        <f>IF(OR($D685="",$B685=""),"",$D685&amp;" | "&amp;$B685)</f>
        <v/>
      </c>
      <c r="X685" s="85">
        <f>IF($K685="","",TEXT($K685,"yyyy-mm"))</f>
        <v/>
      </c>
      <c r="Y685" s="81">
        <f>IF(OR($A685="",$T685=""),"","Included in Manager_Report")</f>
        <v/>
      </c>
    </row>
    <row r="686" ht="15" customHeight="1" s="40">
      <c r="A686" s="65">
        <f>IF(COUNTA(B686:G686)=0,"","STP-"&amp;TEXT(ROW()-4,"0000"))</f>
        <v/>
      </c>
      <c r="B686" s="78" t="n"/>
      <c r="C686" s="67">
        <f>IF($B686="","",IFERROR(INDEX(Task_Tracker!$D$5:$D$1004,MATCH($B686,Task_Tracker!$A$5:$A$1004,0)),""))</f>
        <v/>
      </c>
      <c r="D686" s="67">
        <f>IF($B686="","",IFERROR(INDEX(Task_Tracker!$B$5:$B$1004,MATCH($B686,Task_Tracker!$A$5:$A$1004,0)),""))</f>
        <v/>
      </c>
      <c r="E686" s="81" t="n"/>
      <c r="F686" s="81" t="n"/>
      <c r="G686" s="78" t="n"/>
      <c r="H686" s="78" t="n"/>
      <c r="I686" s="67">
        <f>IF($H686="","",IFERROR(INDEX(Action_Status_Map!$B$5:$B$11,MATCH($H686,Action_Status_Map!$A$5:$A$11,0)),""))</f>
        <v/>
      </c>
      <c r="J686" s="82" t="n"/>
      <c r="K686" s="82" t="n"/>
      <c r="L686" s="82" t="n"/>
      <c r="M686" s="83" t="n"/>
      <c r="N686" s="83" t="n"/>
      <c r="O686" s="66">
        <f>IF(OR($M686="",$N686=""),"",$N686-$M686)</f>
        <v/>
      </c>
      <c r="P686" s="84">
        <f>IF($J686="","",IF($L686&lt;&gt;"",$L686-$J686,TODAY()-$J686))</f>
        <v/>
      </c>
      <c r="Q686" s="85">
        <f>IF(OR($K686="",$H686="Completed",$H686="Cancelled"),"",IF(AND($K686&lt;TODAY(),$H686&lt;&gt;"Completed",$H686&lt;&gt;"Cancelled"),"Overdue","On Track"))</f>
        <v/>
      </c>
      <c r="R686" s="81" t="n"/>
      <c r="S686" s="81">
        <f>IF($B686="","",IFERROR(INDEX(Task_Tracker!$AA$5:$AA$1004,MATCH($B686,Task_Tracker!$A$5:$A$1004,0)),""))</f>
        <v/>
      </c>
      <c r="T686" s="81">
        <f>IF($B686="","",IFERROR(INDEX(Task_Tracker!$AB$5:$AB$1004,MATCH($B686,Task_Tracker!$A$5:$A$1004,0)),""))</f>
        <v/>
      </c>
      <c r="U686" s="78">
        <f>IF($B686="","",IFERROR(INDEX(Task_Tracker!$F$5:$F$1004,MATCH($B686,Task_Tracker!$A$5:$A$1004,0)),""))</f>
        <v/>
      </c>
      <c r="V686" s="78">
        <f>IF($B686="","",IFERROR(INDEX(Task_Tracker!$I$5:$I$1004,MATCH($B686,Task_Tracker!$A$5:$A$1004,0)),""))</f>
        <v/>
      </c>
      <c r="W686" s="81">
        <f>IF(OR($D686="",$B686=""),"",$D686&amp;" | "&amp;$B686)</f>
        <v/>
      </c>
      <c r="X686" s="85">
        <f>IF($K686="","",TEXT($K686,"yyyy-mm"))</f>
        <v/>
      </c>
      <c r="Y686" s="81">
        <f>IF(OR($A686="",$T686=""),"","Included in Manager_Report")</f>
        <v/>
      </c>
    </row>
    <row r="687" ht="15" customHeight="1" s="40">
      <c r="A687" s="65">
        <f>IF(COUNTA(B687:G687)=0,"","STP-"&amp;TEXT(ROW()-4,"0000"))</f>
        <v/>
      </c>
      <c r="B687" s="78" t="n"/>
      <c r="C687" s="67">
        <f>IF($B687="","",IFERROR(INDEX(Task_Tracker!$D$5:$D$1004,MATCH($B687,Task_Tracker!$A$5:$A$1004,0)),""))</f>
        <v/>
      </c>
      <c r="D687" s="67">
        <f>IF($B687="","",IFERROR(INDEX(Task_Tracker!$B$5:$B$1004,MATCH($B687,Task_Tracker!$A$5:$A$1004,0)),""))</f>
        <v/>
      </c>
      <c r="E687" s="81" t="n"/>
      <c r="F687" s="81" t="n"/>
      <c r="G687" s="78" t="n"/>
      <c r="H687" s="78" t="n"/>
      <c r="I687" s="67">
        <f>IF($H687="","",IFERROR(INDEX(Action_Status_Map!$B$5:$B$11,MATCH($H687,Action_Status_Map!$A$5:$A$11,0)),""))</f>
        <v/>
      </c>
      <c r="J687" s="82" t="n"/>
      <c r="K687" s="82" t="n"/>
      <c r="L687" s="82" t="n"/>
      <c r="M687" s="83" t="n"/>
      <c r="N687" s="83" t="n"/>
      <c r="O687" s="66">
        <f>IF(OR($M687="",$N687=""),"",$N687-$M687)</f>
        <v/>
      </c>
      <c r="P687" s="84">
        <f>IF($J687="","",IF($L687&lt;&gt;"",$L687-$J687,TODAY()-$J687))</f>
        <v/>
      </c>
      <c r="Q687" s="85">
        <f>IF(OR($K687="",$H687="Completed",$H687="Cancelled"),"",IF(AND($K687&lt;TODAY(),$H687&lt;&gt;"Completed",$H687&lt;&gt;"Cancelled"),"Overdue","On Track"))</f>
        <v/>
      </c>
      <c r="R687" s="81" t="n"/>
      <c r="S687" s="81">
        <f>IF($B687="","",IFERROR(INDEX(Task_Tracker!$AA$5:$AA$1004,MATCH($B687,Task_Tracker!$A$5:$A$1004,0)),""))</f>
        <v/>
      </c>
      <c r="T687" s="81">
        <f>IF($B687="","",IFERROR(INDEX(Task_Tracker!$AB$5:$AB$1004,MATCH($B687,Task_Tracker!$A$5:$A$1004,0)),""))</f>
        <v/>
      </c>
      <c r="U687" s="78">
        <f>IF($B687="","",IFERROR(INDEX(Task_Tracker!$F$5:$F$1004,MATCH($B687,Task_Tracker!$A$5:$A$1004,0)),""))</f>
        <v/>
      </c>
      <c r="V687" s="78">
        <f>IF($B687="","",IFERROR(INDEX(Task_Tracker!$I$5:$I$1004,MATCH($B687,Task_Tracker!$A$5:$A$1004,0)),""))</f>
        <v/>
      </c>
      <c r="W687" s="81">
        <f>IF(OR($D687="",$B687=""),"",$D687&amp;" | "&amp;$B687)</f>
        <v/>
      </c>
      <c r="X687" s="85">
        <f>IF($K687="","",TEXT($K687,"yyyy-mm"))</f>
        <v/>
      </c>
      <c r="Y687" s="81">
        <f>IF(OR($A687="",$T687=""),"","Included in Manager_Report")</f>
        <v/>
      </c>
    </row>
    <row r="688" ht="15" customHeight="1" s="40">
      <c r="A688" s="65">
        <f>IF(COUNTA(B688:G688)=0,"","STP-"&amp;TEXT(ROW()-4,"0000"))</f>
        <v/>
      </c>
      <c r="B688" s="78" t="n"/>
      <c r="C688" s="67">
        <f>IF($B688="","",IFERROR(INDEX(Task_Tracker!$D$5:$D$1004,MATCH($B688,Task_Tracker!$A$5:$A$1004,0)),""))</f>
        <v/>
      </c>
      <c r="D688" s="67">
        <f>IF($B688="","",IFERROR(INDEX(Task_Tracker!$B$5:$B$1004,MATCH($B688,Task_Tracker!$A$5:$A$1004,0)),""))</f>
        <v/>
      </c>
      <c r="E688" s="81" t="n"/>
      <c r="F688" s="81" t="n"/>
      <c r="G688" s="78" t="n"/>
      <c r="H688" s="78" t="n"/>
      <c r="I688" s="67">
        <f>IF($H688="","",IFERROR(INDEX(Action_Status_Map!$B$5:$B$11,MATCH($H688,Action_Status_Map!$A$5:$A$11,0)),""))</f>
        <v/>
      </c>
      <c r="J688" s="82" t="n"/>
      <c r="K688" s="82" t="n"/>
      <c r="L688" s="82" t="n"/>
      <c r="M688" s="83" t="n"/>
      <c r="N688" s="83" t="n"/>
      <c r="O688" s="66">
        <f>IF(OR($M688="",$N688=""),"",$N688-$M688)</f>
        <v/>
      </c>
      <c r="P688" s="84">
        <f>IF($J688="","",IF($L688&lt;&gt;"",$L688-$J688,TODAY()-$J688))</f>
        <v/>
      </c>
      <c r="Q688" s="85">
        <f>IF(OR($K688="",$H688="Completed",$H688="Cancelled"),"",IF(AND($K688&lt;TODAY(),$H688&lt;&gt;"Completed",$H688&lt;&gt;"Cancelled"),"Overdue","On Track"))</f>
        <v/>
      </c>
      <c r="R688" s="81" t="n"/>
      <c r="S688" s="81">
        <f>IF($B688="","",IFERROR(INDEX(Task_Tracker!$AA$5:$AA$1004,MATCH($B688,Task_Tracker!$A$5:$A$1004,0)),""))</f>
        <v/>
      </c>
      <c r="T688" s="81">
        <f>IF($B688="","",IFERROR(INDEX(Task_Tracker!$AB$5:$AB$1004,MATCH($B688,Task_Tracker!$A$5:$A$1004,0)),""))</f>
        <v/>
      </c>
      <c r="U688" s="78">
        <f>IF($B688="","",IFERROR(INDEX(Task_Tracker!$F$5:$F$1004,MATCH($B688,Task_Tracker!$A$5:$A$1004,0)),""))</f>
        <v/>
      </c>
      <c r="V688" s="78">
        <f>IF($B688="","",IFERROR(INDEX(Task_Tracker!$I$5:$I$1004,MATCH($B688,Task_Tracker!$A$5:$A$1004,0)),""))</f>
        <v/>
      </c>
      <c r="W688" s="81">
        <f>IF(OR($D688="",$B688=""),"",$D688&amp;" | "&amp;$B688)</f>
        <v/>
      </c>
      <c r="X688" s="85">
        <f>IF($K688="","",TEXT($K688,"yyyy-mm"))</f>
        <v/>
      </c>
      <c r="Y688" s="81">
        <f>IF(OR($A688="",$T688=""),"","Included in Manager_Report")</f>
        <v/>
      </c>
    </row>
    <row r="689" ht="15" customHeight="1" s="40">
      <c r="A689" s="65">
        <f>IF(COUNTA(B689:G689)=0,"","STP-"&amp;TEXT(ROW()-4,"0000"))</f>
        <v/>
      </c>
      <c r="B689" s="78" t="n"/>
      <c r="C689" s="67">
        <f>IF($B689="","",IFERROR(INDEX(Task_Tracker!$D$5:$D$1004,MATCH($B689,Task_Tracker!$A$5:$A$1004,0)),""))</f>
        <v/>
      </c>
      <c r="D689" s="67">
        <f>IF($B689="","",IFERROR(INDEX(Task_Tracker!$B$5:$B$1004,MATCH($B689,Task_Tracker!$A$5:$A$1004,0)),""))</f>
        <v/>
      </c>
      <c r="E689" s="81" t="n"/>
      <c r="F689" s="81" t="n"/>
      <c r="G689" s="78" t="n"/>
      <c r="H689" s="78" t="n"/>
      <c r="I689" s="67">
        <f>IF($H689="","",IFERROR(INDEX(Action_Status_Map!$B$5:$B$11,MATCH($H689,Action_Status_Map!$A$5:$A$11,0)),""))</f>
        <v/>
      </c>
      <c r="J689" s="82" t="n"/>
      <c r="K689" s="82" t="n"/>
      <c r="L689" s="82" t="n"/>
      <c r="M689" s="83" t="n"/>
      <c r="N689" s="83" t="n"/>
      <c r="O689" s="66">
        <f>IF(OR($M689="",$N689=""),"",$N689-$M689)</f>
        <v/>
      </c>
      <c r="P689" s="84">
        <f>IF($J689="","",IF($L689&lt;&gt;"",$L689-$J689,TODAY()-$J689))</f>
        <v/>
      </c>
      <c r="Q689" s="85">
        <f>IF(OR($K689="",$H689="Completed",$H689="Cancelled"),"",IF(AND($K689&lt;TODAY(),$H689&lt;&gt;"Completed",$H689&lt;&gt;"Cancelled"),"Overdue","On Track"))</f>
        <v/>
      </c>
      <c r="R689" s="81" t="n"/>
      <c r="S689" s="81">
        <f>IF($B689="","",IFERROR(INDEX(Task_Tracker!$AA$5:$AA$1004,MATCH($B689,Task_Tracker!$A$5:$A$1004,0)),""))</f>
        <v/>
      </c>
      <c r="T689" s="81">
        <f>IF($B689="","",IFERROR(INDEX(Task_Tracker!$AB$5:$AB$1004,MATCH($B689,Task_Tracker!$A$5:$A$1004,0)),""))</f>
        <v/>
      </c>
      <c r="U689" s="78">
        <f>IF($B689="","",IFERROR(INDEX(Task_Tracker!$F$5:$F$1004,MATCH($B689,Task_Tracker!$A$5:$A$1004,0)),""))</f>
        <v/>
      </c>
      <c r="V689" s="78">
        <f>IF($B689="","",IFERROR(INDEX(Task_Tracker!$I$5:$I$1004,MATCH($B689,Task_Tracker!$A$5:$A$1004,0)),""))</f>
        <v/>
      </c>
      <c r="W689" s="81">
        <f>IF(OR($D689="",$B689=""),"",$D689&amp;" | "&amp;$B689)</f>
        <v/>
      </c>
      <c r="X689" s="85">
        <f>IF($K689="","",TEXT($K689,"yyyy-mm"))</f>
        <v/>
      </c>
      <c r="Y689" s="81">
        <f>IF(OR($A689="",$T689=""),"","Included in Manager_Report")</f>
        <v/>
      </c>
    </row>
    <row r="690" ht="15" customHeight="1" s="40">
      <c r="A690" s="65">
        <f>IF(COUNTA(B690:G690)=0,"","STP-"&amp;TEXT(ROW()-4,"0000"))</f>
        <v/>
      </c>
      <c r="B690" s="78" t="n"/>
      <c r="C690" s="67">
        <f>IF($B690="","",IFERROR(INDEX(Task_Tracker!$D$5:$D$1004,MATCH($B690,Task_Tracker!$A$5:$A$1004,0)),""))</f>
        <v/>
      </c>
      <c r="D690" s="67">
        <f>IF($B690="","",IFERROR(INDEX(Task_Tracker!$B$5:$B$1004,MATCH($B690,Task_Tracker!$A$5:$A$1004,0)),""))</f>
        <v/>
      </c>
      <c r="E690" s="81" t="n"/>
      <c r="F690" s="81" t="n"/>
      <c r="G690" s="78" t="n"/>
      <c r="H690" s="78" t="n"/>
      <c r="I690" s="67">
        <f>IF($H690="","",IFERROR(INDEX(Action_Status_Map!$B$5:$B$11,MATCH($H690,Action_Status_Map!$A$5:$A$11,0)),""))</f>
        <v/>
      </c>
      <c r="J690" s="82" t="n"/>
      <c r="K690" s="82" t="n"/>
      <c r="L690" s="82" t="n"/>
      <c r="M690" s="83" t="n"/>
      <c r="N690" s="83" t="n"/>
      <c r="O690" s="66">
        <f>IF(OR($M690="",$N690=""),"",$N690-$M690)</f>
        <v/>
      </c>
      <c r="P690" s="84">
        <f>IF($J690="","",IF($L690&lt;&gt;"",$L690-$J690,TODAY()-$J690))</f>
        <v/>
      </c>
      <c r="Q690" s="85">
        <f>IF(OR($K690="",$H690="Completed",$H690="Cancelled"),"",IF(AND($K690&lt;TODAY(),$H690&lt;&gt;"Completed",$H690&lt;&gt;"Cancelled"),"Overdue","On Track"))</f>
        <v/>
      </c>
      <c r="R690" s="81" t="n"/>
      <c r="S690" s="81">
        <f>IF($B690="","",IFERROR(INDEX(Task_Tracker!$AA$5:$AA$1004,MATCH($B690,Task_Tracker!$A$5:$A$1004,0)),""))</f>
        <v/>
      </c>
      <c r="T690" s="81">
        <f>IF($B690="","",IFERROR(INDEX(Task_Tracker!$AB$5:$AB$1004,MATCH($B690,Task_Tracker!$A$5:$A$1004,0)),""))</f>
        <v/>
      </c>
      <c r="U690" s="78">
        <f>IF($B690="","",IFERROR(INDEX(Task_Tracker!$F$5:$F$1004,MATCH($B690,Task_Tracker!$A$5:$A$1004,0)),""))</f>
        <v/>
      </c>
      <c r="V690" s="78">
        <f>IF($B690="","",IFERROR(INDEX(Task_Tracker!$I$5:$I$1004,MATCH($B690,Task_Tracker!$A$5:$A$1004,0)),""))</f>
        <v/>
      </c>
      <c r="W690" s="81">
        <f>IF(OR($D690="",$B690=""),"",$D690&amp;" | "&amp;$B690)</f>
        <v/>
      </c>
      <c r="X690" s="85">
        <f>IF($K690="","",TEXT($K690,"yyyy-mm"))</f>
        <v/>
      </c>
      <c r="Y690" s="81">
        <f>IF(OR($A690="",$T690=""),"","Included in Manager_Report")</f>
        <v/>
      </c>
    </row>
    <row r="691" ht="15" customHeight="1" s="40">
      <c r="A691" s="65">
        <f>IF(COUNTA(B691:G691)=0,"","STP-"&amp;TEXT(ROW()-4,"0000"))</f>
        <v/>
      </c>
      <c r="B691" s="78" t="n"/>
      <c r="C691" s="67">
        <f>IF($B691="","",IFERROR(INDEX(Task_Tracker!$D$5:$D$1004,MATCH($B691,Task_Tracker!$A$5:$A$1004,0)),""))</f>
        <v/>
      </c>
      <c r="D691" s="67">
        <f>IF($B691="","",IFERROR(INDEX(Task_Tracker!$B$5:$B$1004,MATCH($B691,Task_Tracker!$A$5:$A$1004,0)),""))</f>
        <v/>
      </c>
      <c r="E691" s="81" t="n"/>
      <c r="F691" s="81" t="n"/>
      <c r="G691" s="78" t="n"/>
      <c r="H691" s="78" t="n"/>
      <c r="I691" s="67">
        <f>IF($H691="","",IFERROR(INDEX(Action_Status_Map!$B$5:$B$11,MATCH($H691,Action_Status_Map!$A$5:$A$11,0)),""))</f>
        <v/>
      </c>
      <c r="J691" s="82" t="n"/>
      <c r="K691" s="82" t="n"/>
      <c r="L691" s="82" t="n"/>
      <c r="M691" s="83" t="n"/>
      <c r="N691" s="83" t="n"/>
      <c r="O691" s="66">
        <f>IF(OR($M691="",$N691=""),"",$N691-$M691)</f>
        <v/>
      </c>
      <c r="P691" s="84">
        <f>IF($J691="","",IF($L691&lt;&gt;"",$L691-$J691,TODAY()-$J691))</f>
        <v/>
      </c>
      <c r="Q691" s="85">
        <f>IF(OR($K691="",$H691="Completed",$H691="Cancelled"),"",IF(AND($K691&lt;TODAY(),$H691&lt;&gt;"Completed",$H691&lt;&gt;"Cancelled"),"Overdue","On Track"))</f>
        <v/>
      </c>
      <c r="R691" s="81" t="n"/>
      <c r="S691" s="81">
        <f>IF($B691="","",IFERROR(INDEX(Task_Tracker!$AA$5:$AA$1004,MATCH($B691,Task_Tracker!$A$5:$A$1004,0)),""))</f>
        <v/>
      </c>
      <c r="T691" s="81">
        <f>IF($B691="","",IFERROR(INDEX(Task_Tracker!$AB$5:$AB$1004,MATCH($B691,Task_Tracker!$A$5:$A$1004,0)),""))</f>
        <v/>
      </c>
      <c r="U691" s="78">
        <f>IF($B691="","",IFERROR(INDEX(Task_Tracker!$F$5:$F$1004,MATCH($B691,Task_Tracker!$A$5:$A$1004,0)),""))</f>
        <v/>
      </c>
      <c r="V691" s="78">
        <f>IF($B691="","",IFERROR(INDEX(Task_Tracker!$I$5:$I$1004,MATCH($B691,Task_Tracker!$A$5:$A$1004,0)),""))</f>
        <v/>
      </c>
      <c r="W691" s="81">
        <f>IF(OR($D691="",$B691=""),"",$D691&amp;" | "&amp;$B691)</f>
        <v/>
      </c>
      <c r="X691" s="85">
        <f>IF($K691="","",TEXT($K691,"yyyy-mm"))</f>
        <v/>
      </c>
      <c r="Y691" s="81">
        <f>IF(OR($A691="",$T691=""),"","Included in Manager_Report")</f>
        <v/>
      </c>
    </row>
    <row r="692" ht="15" customHeight="1" s="40">
      <c r="A692" s="65">
        <f>IF(COUNTA(B692:G692)=0,"","STP-"&amp;TEXT(ROW()-4,"0000"))</f>
        <v/>
      </c>
      <c r="B692" s="78" t="n"/>
      <c r="C692" s="67">
        <f>IF($B692="","",IFERROR(INDEX(Task_Tracker!$D$5:$D$1004,MATCH($B692,Task_Tracker!$A$5:$A$1004,0)),""))</f>
        <v/>
      </c>
      <c r="D692" s="67">
        <f>IF($B692="","",IFERROR(INDEX(Task_Tracker!$B$5:$B$1004,MATCH($B692,Task_Tracker!$A$5:$A$1004,0)),""))</f>
        <v/>
      </c>
      <c r="E692" s="81" t="n"/>
      <c r="F692" s="81" t="n"/>
      <c r="G692" s="78" t="n"/>
      <c r="H692" s="78" t="n"/>
      <c r="I692" s="67">
        <f>IF($H692="","",IFERROR(INDEX(Action_Status_Map!$B$5:$B$11,MATCH($H692,Action_Status_Map!$A$5:$A$11,0)),""))</f>
        <v/>
      </c>
      <c r="J692" s="82" t="n"/>
      <c r="K692" s="82" t="n"/>
      <c r="L692" s="82" t="n"/>
      <c r="M692" s="83" t="n"/>
      <c r="N692" s="83" t="n"/>
      <c r="O692" s="66">
        <f>IF(OR($M692="",$N692=""),"",$N692-$M692)</f>
        <v/>
      </c>
      <c r="P692" s="84">
        <f>IF($J692="","",IF($L692&lt;&gt;"",$L692-$J692,TODAY()-$J692))</f>
        <v/>
      </c>
      <c r="Q692" s="85">
        <f>IF(OR($K692="",$H692="Completed",$H692="Cancelled"),"",IF(AND($K692&lt;TODAY(),$H692&lt;&gt;"Completed",$H692&lt;&gt;"Cancelled"),"Overdue","On Track"))</f>
        <v/>
      </c>
      <c r="R692" s="81" t="n"/>
      <c r="S692" s="81">
        <f>IF($B692="","",IFERROR(INDEX(Task_Tracker!$AA$5:$AA$1004,MATCH($B692,Task_Tracker!$A$5:$A$1004,0)),""))</f>
        <v/>
      </c>
      <c r="T692" s="81">
        <f>IF($B692="","",IFERROR(INDEX(Task_Tracker!$AB$5:$AB$1004,MATCH($B692,Task_Tracker!$A$5:$A$1004,0)),""))</f>
        <v/>
      </c>
      <c r="U692" s="78">
        <f>IF($B692="","",IFERROR(INDEX(Task_Tracker!$F$5:$F$1004,MATCH($B692,Task_Tracker!$A$5:$A$1004,0)),""))</f>
        <v/>
      </c>
      <c r="V692" s="78">
        <f>IF($B692="","",IFERROR(INDEX(Task_Tracker!$I$5:$I$1004,MATCH($B692,Task_Tracker!$A$5:$A$1004,0)),""))</f>
        <v/>
      </c>
      <c r="W692" s="81">
        <f>IF(OR($D692="",$B692=""),"",$D692&amp;" | "&amp;$B692)</f>
        <v/>
      </c>
      <c r="X692" s="85">
        <f>IF($K692="","",TEXT($K692,"yyyy-mm"))</f>
        <v/>
      </c>
      <c r="Y692" s="81">
        <f>IF(OR($A692="",$T692=""),"","Included in Manager_Report")</f>
        <v/>
      </c>
    </row>
    <row r="693" ht="15" customHeight="1" s="40">
      <c r="A693" s="65">
        <f>IF(COUNTA(B693:G693)=0,"","STP-"&amp;TEXT(ROW()-4,"0000"))</f>
        <v/>
      </c>
      <c r="B693" s="78" t="n"/>
      <c r="C693" s="67">
        <f>IF($B693="","",IFERROR(INDEX(Task_Tracker!$D$5:$D$1004,MATCH($B693,Task_Tracker!$A$5:$A$1004,0)),""))</f>
        <v/>
      </c>
      <c r="D693" s="67">
        <f>IF($B693="","",IFERROR(INDEX(Task_Tracker!$B$5:$B$1004,MATCH($B693,Task_Tracker!$A$5:$A$1004,0)),""))</f>
        <v/>
      </c>
      <c r="E693" s="81" t="n"/>
      <c r="F693" s="81" t="n"/>
      <c r="G693" s="78" t="n"/>
      <c r="H693" s="78" t="n"/>
      <c r="I693" s="67">
        <f>IF($H693="","",IFERROR(INDEX(Action_Status_Map!$B$5:$B$11,MATCH($H693,Action_Status_Map!$A$5:$A$11,0)),""))</f>
        <v/>
      </c>
      <c r="J693" s="82" t="n"/>
      <c r="K693" s="82" t="n"/>
      <c r="L693" s="82" t="n"/>
      <c r="M693" s="83" t="n"/>
      <c r="N693" s="83" t="n"/>
      <c r="O693" s="66">
        <f>IF(OR($M693="",$N693=""),"",$N693-$M693)</f>
        <v/>
      </c>
      <c r="P693" s="84">
        <f>IF($J693="","",IF($L693&lt;&gt;"",$L693-$J693,TODAY()-$J693))</f>
        <v/>
      </c>
      <c r="Q693" s="85">
        <f>IF(OR($K693="",$H693="Completed",$H693="Cancelled"),"",IF(AND($K693&lt;TODAY(),$H693&lt;&gt;"Completed",$H693&lt;&gt;"Cancelled"),"Overdue","On Track"))</f>
        <v/>
      </c>
      <c r="R693" s="81" t="n"/>
      <c r="S693" s="81">
        <f>IF($B693="","",IFERROR(INDEX(Task_Tracker!$AA$5:$AA$1004,MATCH($B693,Task_Tracker!$A$5:$A$1004,0)),""))</f>
        <v/>
      </c>
      <c r="T693" s="81">
        <f>IF($B693="","",IFERROR(INDEX(Task_Tracker!$AB$5:$AB$1004,MATCH($B693,Task_Tracker!$A$5:$A$1004,0)),""))</f>
        <v/>
      </c>
      <c r="U693" s="78">
        <f>IF($B693="","",IFERROR(INDEX(Task_Tracker!$F$5:$F$1004,MATCH($B693,Task_Tracker!$A$5:$A$1004,0)),""))</f>
        <v/>
      </c>
      <c r="V693" s="78">
        <f>IF($B693="","",IFERROR(INDEX(Task_Tracker!$I$5:$I$1004,MATCH($B693,Task_Tracker!$A$5:$A$1004,0)),""))</f>
        <v/>
      </c>
      <c r="W693" s="81">
        <f>IF(OR($D693="",$B693=""),"",$D693&amp;" | "&amp;$B693)</f>
        <v/>
      </c>
      <c r="X693" s="85">
        <f>IF($K693="","",TEXT($K693,"yyyy-mm"))</f>
        <v/>
      </c>
      <c r="Y693" s="81">
        <f>IF(OR($A693="",$T693=""),"","Included in Manager_Report")</f>
        <v/>
      </c>
    </row>
    <row r="694" ht="15" customHeight="1" s="40">
      <c r="A694" s="65">
        <f>IF(COUNTA(B694:G694)=0,"","STP-"&amp;TEXT(ROW()-4,"0000"))</f>
        <v/>
      </c>
      <c r="B694" s="78" t="n"/>
      <c r="C694" s="67">
        <f>IF($B694="","",IFERROR(INDEX(Task_Tracker!$D$5:$D$1004,MATCH($B694,Task_Tracker!$A$5:$A$1004,0)),""))</f>
        <v/>
      </c>
      <c r="D694" s="67">
        <f>IF($B694="","",IFERROR(INDEX(Task_Tracker!$B$5:$B$1004,MATCH($B694,Task_Tracker!$A$5:$A$1004,0)),""))</f>
        <v/>
      </c>
      <c r="E694" s="81" t="n"/>
      <c r="F694" s="81" t="n"/>
      <c r="G694" s="78" t="n"/>
      <c r="H694" s="78" t="n"/>
      <c r="I694" s="67">
        <f>IF($H694="","",IFERROR(INDEX(Action_Status_Map!$B$5:$B$11,MATCH($H694,Action_Status_Map!$A$5:$A$11,0)),""))</f>
        <v/>
      </c>
      <c r="J694" s="82" t="n"/>
      <c r="K694" s="82" t="n"/>
      <c r="L694" s="82" t="n"/>
      <c r="M694" s="83" t="n"/>
      <c r="N694" s="83" t="n"/>
      <c r="O694" s="66">
        <f>IF(OR($M694="",$N694=""),"",$N694-$M694)</f>
        <v/>
      </c>
      <c r="P694" s="84">
        <f>IF($J694="","",IF($L694&lt;&gt;"",$L694-$J694,TODAY()-$J694))</f>
        <v/>
      </c>
      <c r="Q694" s="85">
        <f>IF(OR($K694="",$H694="Completed",$H694="Cancelled"),"",IF(AND($K694&lt;TODAY(),$H694&lt;&gt;"Completed",$H694&lt;&gt;"Cancelled"),"Overdue","On Track"))</f>
        <v/>
      </c>
      <c r="R694" s="81" t="n"/>
      <c r="S694" s="81">
        <f>IF($B694="","",IFERROR(INDEX(Task_Tracker!$AA$5:$AA$1004,MATCH($B694,Task_Tracker!$A$5:$A$1004,0)),""))</f>
        <v/>
      </c>
      <c r="T694" s="81">
        <f>IF($B694="","",IFERROR(INDEX(Task_Tracker!$AB$5:$AB$1004,MATCH($B694,Task_Tracker!$A$5:$A$1004,0)),""))</f>
        <v/>
      </c>
      <c r="U694" s="78">
        <f>IF($B694="","",IFERROR(INDEX(Task_Tracker!$F$5:$F$1004,MATCH($B694,Task_Tracker!$A$5:$A$1004,0)),""))</f>
        <v/>
      </c>
      <c r="V694" s="78">
        <f>IF($B694="","",IFERROR(INDEX(Task_Tracker!$I$5:$I$1004,MATCH($B694,Task_Tracker!$A$5:$A$1004,0)),""))</f>
        <v/>
      </c>
      <c r="W694" s="81">
        <f>IF(OR($D694="",$B694=""),"",$D694&amp;" | "&amp;$B694)</f>
        <v/>
      </c>
      <c r="X694" s="85">
        <f>IF($K694="","",TEXT($K694,"yyyy-mm"))</f>
        <v/>
      </c>
      <c r="Y694" s="81">
        <f>IF(OR($A694="",$T694=""),"","Included in Manager_Report")</f>
        <v/>
      </c>
    </row>
    <row r="695" ht="15" customHeight="1" s="40">
      <c r="A695" s="65">
        <f>IF(COUNTA(B695:G695)=0,"","STP-"&amp;TEXT(ROW()-4,"0000"))</f>
        <v/>
      </c>
      <c r="B695" s="78" t="n"/>
      <c r="C695" s="67">
        <f>IF($B695="","",IFERROR(INDEX(Task_Tracker!$D$5:$D$1004,MATCH($B695,Task_Tracker!$A$5:$A$1004,0)),""))</f>
        <v/>
      </c>
      <c r="D695" s="67">
        <f>IF($B695="","",IFERROR(INDEX(Task_Tracker!$B$5:$B$1004,MATCH($B695,Task_Tracker!$A$5:$A$1004,0)),""))</f>
        <v/>
      </c>
      <c r="E695" s="81" t="n"/>
      <c r="F695" s="81" t="n"/>
      <c r="G695" s="78" t="n"/>
      <c r="H695" s="78" t="n"/>
      <c r="I695" s="67">
        <f>IF($H695="","",IFERROR(INDEX(Action_Status_Map!$B$5:$B$11,MATCH($H695,Action_Status_Map!$A$5:$A$11,0)),""))</f>
        <v/>
      </c>
      <c r="J695" s="82" t="n"/>
      <c r="K695" s="82" t="n"/>
      <c r="L695" s="82" t="n"/>
      <c r="M695" s="83" t="n"/>
      <c r="N695" s="83" t="n"/>
      <c r="O695" s="66">
        <f>IF(OR($M695="",$N695=""),"",$N695-$M695)</f>
        <v/>
      </c>
      <c r="P695" s="84">
        <f>IF($J695="","",IF($L695&lt;&gt;"",$L695-$J695,TODAY()-$J695))</f>
        <v/>
      </c>
      <c r="Q695" s="85">
        <f>IF(OR($K695="",$H695="Completed",$H695="Cancelled"),"",IF(AND($K695&lt;TODAY(),$H695&lt;&gt;"Completed",$H695&lt;&gt;"Cancelled"),"Overdue","On Track"))</f>
        <v/>
      </c>
      <c r="R695" s="81" t="n"/>
      <c r="S695" s="81">
        <f>IF($B695="","",IFERROR(INDEX(Task_Tracker!$AA$5:$AA$1004,MATCH($B695,Task_Tracker!$A$5:$A$1004,0)),""))</f>
        <v/>
      </c>
      <c r="T695" s="81">
        <f>IF($B695="","",IFERROR(INDEX(Task_Tracker!$AB$5:$AB$1004,MATCH($B695,Task_Tracker!$A$5:$A$1004,0)),""))</f>
        <v/>
      </c>
      <c r="U695" s="78">
        <f>IF($B695="","",IFERROR(INDEX(Task_Tracker!$F$5:$F$1004,MATCH($B695,Task_Tracker!$A$5:$A$1004,0)),""))</f>
        <v/>
      </c>
      <c r="V695" s="78">
        <f>IF($B695="","",IFERROR(INDEX(Task_Tracker!$I$5:$I$1004,MATCH($B695,Task_Tracker!$A$5:$A$1004,0)),""))</f>
        <v/>
      </c>
      <c r="W695" s="81">
        <f>IF(OR($D695="",$B695=""),"",$D695&amp;" | "&amp;$B695)</f>
        <v/>
      </c>
      <c r="X695" s="85">
        <f>IF($K695="","",TEXT($K695,"yyyy-mm"))</f>
        <v/>
      </c>
      <c r="Y695" s="81">
        <f>IF(OR($A695="",$T695=""),"","Included in Manager_Report")</f>
        <v/>
      </c>
    </row>
    <row r="696" ht="15" customHeight="1" s="40">
      <c r="A696" s="65">
        <f>IF(COUNTA(B696:G696)=0,"","STP-"&amp;TEXT(ROW()-4,"0000"))</f>
        <v/>
      </c>
      <c r="B696" s="78" t="n"/>
      <c r="C696" s="67">
        <f>IF($B696="","",IFERROR(INDEX(Task_Tracker!$D$5:$D$1004,MATCH($B696,Task_Tracker!$A$5:$A$1004,0)),""))</f>
        <v/>
      </c>
      <c r="D696" s="67">
        <f>IF($B696="","",IFERROR(INDEX(Task_Tracker!$B$5:$B$1004,MATCH($B696,Task_Tracker!$A$5:$A$1004,0)),""))</f>
        <v/>
      </c>
      <c r="E696" s="81" t="n"/>
      <c r="F696" s="81" t="n"/>
      <c r="G696" s="78" t="n"/>
      <c r="H696" s="78" t="n"/>
      <c r="I696" s="67">
        <f>IF($H696="","",IFERROR(INDEX(Action_Status_Map!$B$5:$B$11,MATCH($H696,Action_Status_Map!$A$5:$A$11,0)),""))</f>
        <v/>
      </c>
      <c r="J696" s="82" t="n"/>
      <c r="K696" s="82" t="n"/>
      <c r="L696" s="82" t="n"/>
      <c r="M696" s="83" t="n"/>
      <c r="N696" s="83" t="n"/>
      <c r="O696" s="66">
        <f>IF(OR($M696="",$N696=""),"",$N696-$M696)</f>
        <v/>
      </c>
      <c r="P696" s="84">
        <f>IF($J696="","",IF($L696&lt;&gt;"",$L696-$J696,TODAY()-$J696))</f>
        <v/>
      </c>
      <c r="Q696" s="85">
        <f>IF(OR($K696="",$H696="Completed",$H696="Cancelled"),"",IF(AND($K696&lt;TODAY(),$H696&lt;&gt;"Completed",$H696&lt;&gt;"Cancelled"),"Overdue","On Track"))</f>
        <v/>
      </c>
      <c r="R696" s="81" t="n"/>
      <c r="S696" s="81">
        <f>IF($B696="","",IFERROR(INDEX(Task_Tracker!$AA$5:$AA$1004,MATCH($B696,Task_Tracker!$A$5:$A$1004,0)),""))</f>
        <v/>
      </c>
      <c r="T696" s="81">
        <f>IF($B696="","",IFERROR(INDEX(Task_Tracker!$AB$5:$AB$1004,MATCH($B696,Task_Tracker!$A$5:$A$1004,0)),""))</f>
        <v/>
      </c>
      <c r="U696" s="78">
        <f>IF($B696="","",IFERROR(INDEX(Task_Tracker!$F$5:$F$1004,MATCH($B696,Task_Tracker!$A$5:$A$1004,0)),""))</f>
        <v/>
      </c>
      <c r="V696" s="78">
        <f>IF($B696="","",IFERROR(INDEX(Task_Tracker!$I$5:$I$1004,MATCH($B696,Task_Tracker!$A$5:$A$1004,0)),""))</f>
        <v/>
      </c>
      <c r="W696" s="81">
        <f>IF(OR($D696="",$B696=""),"",$D696&amp;" | "&amp;$B696)</f>
        <v/>
      </c>
      <c r="X696" s="85">
        <f>IF($K696="","",TEXT($K696,"yyyy-mm"))</f>
        <v/>
      </c>
      <c r="Y696" s="81">
        <f>IF(OR($A696="",$T696=""),"","Included in Manager_Report")</f>
        <v/>
      </c>
    </row>
    <row r="697" ht="15" customHeight="1" s="40">
      <c r="A697" s="65">
        <f>IF(COUNTA(B697:G697)=0,"","STP-"&amp;TEXT(ROW()-4,"0000"))</f>
        <v/>
      </c>
      <c r="B697" s="78" t="n"/>
      <c r="C697" s="67">
        <f>IF($B697="","",IFERROR(INDEX(Task_Tracker!$D$5:$D$1004,MATCH($B697,Task_Tracker!$A$5:$A$1004,0)),""))</f>
        <v/>
      </c>
      <c r="D697" s="67">
        <f>IF($B697="","",IFERROR(INDEX(Task_Tracker!$B$5:$B$1004,MATCH($B697,Task_Tracker!$A$5:$A$1004,0)),""))</f>
        <v/>
      </c>
      <c r="E697" s="81" t="n"/>
      <c r="F697" s="81" t="n"/>
      <c r="G697" s="78" t="n"/>
      <c r="H697" s="78" t="n"/>
      <c r="I697" s="67">
        <f>IF($H697="","",IFERROR(INDEX(Action_Status_Map!$B$5:$B$11,MATCH($H697,Action_Status_Map!$A$5:$A$11,0)),""))</f>
        <v/>
      </c>
      <c r="J697" s="82" t="n"/>
      <c r="K697" s="82" t="n"/>
      <c r="L697" s="82" t="n"/>
      <c r="M697" s="83" t="n"/>
      <c r="N697" s="83" t="n"/>
      <c r="O697" s="66">
        <f>IF(OR($M697="",$N697=""),"",$N697-$M697)</f>
        <v/>
      </c>
      <c r="P697" s="84">
        <f>IF($J697="","",IF($L697&lt;&gt;"",$L697-$J697,TODAY()-$J697))</f>
        <v/>
      </c>
      <c r="Q697" s="85">
        <f>IF(OR($K697="",$H697="Completed",$H697="Cancelled"),"",IF(AND($K697&lt;TODAY(),$H697&lt;&gt;"Completed",$H697&lt;&gt;"Cancelled"),"Overdue","On Track"))</f>
        <v/>
      </c>
      <c r="R697" s="81" t="n"/>
      <c r="S697" s="81">
        <f>IF($B697="","",IFERROR(INDEX(Task_Tracker!$AA$5:$AA$1004,MATCH($B697,Task_Tracker!$A$5:$A$1004,0)),""))</f>
        <v/>
      </c>
      <c r="T697" s="81">
        <f>IF($B697="","",IFERROR(INDEX(Task_Tracker!$AB$5:$AB$1004,MATCH($B697,Task_Tracker!$A$5:$A$1004,0)),""))</f>
        <v/>
      </c>
      <c r="U697" s="78">
        <f>IF($B697="","",IFERROR(INDEX(Task_Tracker!$F$5:$F$1004,MATCH($B697,Task_Tracker!$A$5:$A$1004,0)),""))</f>
        <v/>
      </c>
      <c r="V697" s="78">
        <f>IF($B697="","",IFERROR(INDEX(Task_Tracker!$I$5:$I$1004,MATCH($B697,Task_Tracker!$A$5:$A$1004,0)),""))</f>
        <v/>
      </c>
      <c r="W697" s="81">
        <f>IF(OR($D697="",$B697=""),"",$D697&amp;" | "&amp;$B697)</f>
        <v/>
      </c>
      <c r="X697" s="85">
        <f>IF($K697="","",TEXT($K697,"yyyy-mm"))</f>
        <v/>
      </c>
      <c r="Y697" s="81">
        <f>IF(OR($A697="",$T697=""),"","Included in Manager_Report")</f>
        <v/>
      </c>
    </row>
    <row r="698" ht="15" customHeight="1" s="40">
      <c r="A698" s="65">
        <f>IF(COUNTA(B698:G698)=0,"","STP-"&amp;TEXT(ROW()-4,"0000"))</f>
        <v/>
      </c>
      <c r="B698" s="78" t="n"/>
      <c r="C698" s="67">
        <f>IF($B698="","",IFERROR(INDEX(Task_Tracker!$D$5:$D$1004,MATCH($B698,Task_Tracker!$A$5:$A$1004,0)),""))</f>
        <v/>
      </c>
      <c r="D698" s="67">
        <f>IF($B698="","",IFERROR(INDEX(Task_Tracker!$B$5:$B$1004,MATCH($B698,Task_Tracker!$A$5:$A$1004,0)),""))</f>
        <v/>
      </c>
      <c r="E698" s="81" t="n"/>
      <c r="F698" s="81" t="n"/>
      <c r="G698" s="78" t="n"/>
      <c r="H698" s="78" t="n"/>
      <c r="I698" s="67">
        <f>IF($H698="","",IFERROR(INDEX(Action_Status_Map!$B$5:$B$11,MATCH($H698,Action_Status_Map!$A$5:$A$11,0)),""))</f>
        <v/>
      </c>
      <c r="J698" s="82" t="n"/>
      <c r="K698" s="82" t="n"/>
      <c r="L698" s="82" t="n"/>
      <c r="M698" s="83" t="n"/>
      <c r="N698" s="83" t="n"/>
      <c r="O698" s="66">
        <f>IF(OR($M698="",$N698=""),"",$N698-$M698)</f>
        <v/>
      </c>
      <c r="P698" s="84">
        <f>IF($J698="","",IF($L698&lt;&gt;"",$L698-$J698,TODAY()-$J698))</f>
        <v/>
      </c>
      <c r="Q698" s="85">
        <f>IF(OR($K698="",$H698="Completed",$H698="Cancelled"),"",IF(AND($K698&lt;TODAY(),$H698&lt;&gt;"Completed",$H698&lt;&gt;"Cancelled"),"Overdue","On Track"))</f>
        <v/>
      </c>
      <c r="R698" s="81" t="n"/>
      <c r="S698" s="81">
        <f>IF($B698="","",IFERROR(INDEX(Task_Tracker!$AA$5:$AA$1004,MATCH($B698,Task_Tracker!$A$5:$A$1004,0)),""))</f>
        <v/>
      </c>
      <c r="T698" s="81">
        <f>IF($B698="","",IFERROR(INDEX(Task_Tracker!$AB$5:$AB$1004,MATCH($B698,Task_Tracker!$A$5:$A$1004,0)),""))</f>
        <v/>
      </c>
      <c r="U698" s="78">
        <f>IF($B698="","",IFERROR(INDEX(Task_Tracker!$F$5:$F$1004,MATCH($B698,Task_Tracker!$A$5:$A$1004,0)),""))</f>
        <v/>
      </c>
      <c r="V698" s="78">
        <f>IF($B698="","",IFERROR(INDEX(Task_Tracker!$I$5:$I$1004,MATCH($B698,Task_Tracker!$A$5:$A$1004,0)),""))</f>
        <v/>
      </c>
      <c r="W698" s="81">
        <f>IF(OR($D698="",$B698=""),"",$D698&amp;" | "&amp;$B698)</f>
        <v/>
      </c>
      <c r="X698" s="85">
        <f>IF($K698="","",TEXT($K698,"yyyy-mm"))</f>
        <v/>
      </c>
      <c r="Y698" s="81">
        <f>IF(OR($A698="",$T698=""),"","Included in Manager_Report")</f>
        <v/>
      </c>
    </row>
    <row r="699" ht="15" customHeight="1" s="40">
      <c r="A699" s="65">
        <f>IF(COUNTA(B699:G699)=0,"","STP-"&amp;TEXT(ROW()-4,"0000"))</f>
        <v/>
      </c>
      <c r="B699" s="78" t="n"/>
      <c r="C699" s="67">
        <f>IF($B699="","",IFERROR(INDEX(Task_Tracker!$D$5:$D$1004,MATCH($B699,Task_Tracker!$A$5:$A$1004,0)),""))</f>
        <v/>
      </c>
      <c r="D699" s="67">
        <f>IF($B699="","",IFERROR(INDEX(Task_Tracker!$B$5:$B$1004,MATCH($B699,Task_Tracker!$A$5:$A$1004,0)),""))</f>
        <v/>
      </c>
      <c r="E699" s="81" t="n"/>
      <c r="F699" s="81" t="n"/>
      <c r="G699" s="78" t="n"/>
      <c r="H699" s="78" t="n"/>
      <c r="I699" s="67">
        <f>IF($H699="","",IFERROR(INDEX(Action_Status_Map!$B$5:$B$11,MATCH($H699,Action_Status_Map!$A$5:$A$11,0)),""))</f>
        <v/>
      </c>
      <c r="J699" s="82" t="n"/>
      <c r="K699" s="82" t="n"/>
      <c r="L699" s="82" t="n"/>
      <c r="M699" s="83" t="n"/>
      <c r="N699" s="83" t="n"/>
      <c r="O699" s="66">
        <f>IF(OR($M699="",$N699=""),"",$N699-$M699)</f>
        <v/>
      </c>
      <c r="P699" s="84">
        <f>IF($J699="","",IF($L699&lt;&gt;"",$L699-$J699,TODAY()-$J699))</f>
        <v/>
      </c>
      <c r="Q699" s="85">
        <f>IF(OR($K699="",$H699="Completed",$H699="Cancelled"),"",IF(AND($K699&lt;TODAY(),$H699&lt;&gt;"Completed",$H699&lt;&gt;"Cancelled"),"Overdue","On Track"))</f>
        <v/>
      </c>
      <c r="R699" s="81" t="n"/>
      <c r="S699" s="81">
        <f>IF($B699="","",IFERROR(INDEX(Task_Tracker!$AA$5:$AA$1004,MATCH($B699,Task_Tracker!$A$5:$A$1004,0)),""))</f>
        <v/>
      </c>
      <c r="T699" s="81">
        <f>IF($B699="","",IFERROR(INDEX(Task_Tracker!$AB$5:$AB$1004,MATCH($B699,Task_Tracker!$A$5:$A$1004,0)),""))</f>
        <v/>
      </c>
      <c r="U699" s="78">
        <f>IF($B699="","",IFERROR(INDEX(Task_Tracker!$F$5:$F$1004,MATCH($B699,Task_Tracker!$A$5:$A$1004,0)),""))</f>
        <v/>
      </c>
      <c r="V699" s="78">
        <f>IF($B699="","",IFERROR(INDEX(Task_Tracker!$I$5:$I$1004,MATCH($B699,Task_Tracker!$A$5:$A$1004,0)),""))</f>
        <v/>
      </c>
      <c r="W699" s="81">
        <f>IF(OR($D699="",$B699=""),"",$D699&amp;" | "&amp;$B699)</f>
        <v/>
      </c>
      <c r="X699" s="85">
        <f>IF($K699="","",TEXT($K699,"yyyy-mm"))</f>
        <v/>
      </c>
      <c r="Y699" s="81">
        <f>IF(OR($A699="",$T699=""),"","Included in Manager_Report")</f>
        <v/>
      </c>
    </row>
    <row r="700" ht="15" customHeight="1" s="40">
      <c r="A700" s="65">
        <f>IF(COUNTA(B700:G700)=0,"","STP-"&amp;TEXT(ROW()-4,"0000"))</f>
        <v/>
      </c>
      <c r="B700" s="78" t="n"/>
      <c r="C700" s="67">
        <f>IF($B700="","",IFERROR(INDEX(Task_Tracker!$D$5:$D$1004,MATCH($B700,Task_Tracker!$A$5:$A$1004,0)),""))</f>
        <v/>
      </c>
      <c r="D700" s="67">
        <f>IF($B700="","",IFERROR(INDEX(Task_Tracker!$B$5:$B$1004,MATCH($B700,Task_Tracker!$A$5:$A$1004,0)),""))</f>
        <v/>
      </c>
      <c r="E700" s="81" t="n"/>
      <c r="F700" s="81" t="n"/>
      <c r="G700" s="78" t="n"/>
      <c r="H700" s="78" t="n"/>
      <c r="I700" s="67">
        <f>IF($H700="","",IFERROR(INDEX(Action_Status_Map!$B$5:$B$11,MATCH($H700,Action_Status_Map!$A$5:$A$11,0)),""))</f>
        <v/>
      </c>
      <c r="J700" s="82" t="n"/>
      <c r="K700" s="82" t="n"/>
      <c r="L700" s="82" t="n"/>
      <c r="M700" s="83" t="n"/>
      <c r="N700" s="83" t="n"/>
      <c r="O700" s="66">
        <f>IF(OR($M700="",$N700=""),"",$N700-$M700)</f>
        <v/>
      </c>
      <c r="P700" s="84">
        <f>IF($J700="","",IF($L700&lt;&gt;"",$L700-$J700,TODAY()-$J700))</f>
        <v/>
      </c>
      <c r="Q700" s="85">
        <f>IF(OR($K700="",$H700="Completed",$H700="Cancelled"),"",IF(AND($K700&lt;TODAY(),$H700&lt;&gt;"Completed",$H700&lt;&gt;"Cancelled"),"Overdue","On Track"))</f>
        <v/>
      </c>
      <c r="R700" s="81" t="n"/>
      <c r="S700" s="81">
        <f>IF($B700="","",IFERROR(INDEX(Task_Tracker!$AA$5:$AA$1004,MATCH($B700,Task_Tracker!$A$5:$A$1004,0)),""))</f>
        <v/>
      </c>
      <c r="T700" s="81">
        <f>IF($B700="","",IFERROR(INDEX(Task_Tracker!$AB$5:$AB$1004,MATCH($B700,Task_Tracker!$A$5:$A$1004,0)),""))</f>
        <v/>
      </c>
      <c r="U700" s="78">
        <f>IF($B700="","",IFERROR(INDEX(Task_Tracker!$F$5:$F$1004,MATCH($B700,Task_Tracker!$A$5:$A$1004,0)),""))</f>
        <v/>
      </c>
      <c r="V700" s="78">
        <f>IF($B700="","",IFERROR(INDEX(Task_Tracker!$I$5:$I$1004,MATCH($B700,Task_Tracker!$A$5:$A$1004,0)),""))</f>
        <v/>
      </c>
      <c r="W700" s="81">
        <f>IF(OR($D700="",$B700=""),"",$D700&amp;" | "&amp;$B700)</f>
        <v/>
      </c>
      <c r="X700" s="85">
        <f>IF($K700="","",TEXT($K700,"yyyy-mm"))</f>
        <v/>
      </c>
      <c r="Y700" s="81">
        <f>IF(OR($A700="",$T700=""),"","Included in Manager_Report")</f>
        <v/>
      </c>
    </row>
    <row r="701" ht="15" customHeight="1" s="40">
      <c r="A701" s="65">
        <f>IF(COUNTA(B701:G701)=0,"","STP-"&amp;TEXT(ROW()-4,"0000"))</f>
        <v/>
      </c>
      <c r="B701" s="78" t="n"/>
      <c r="C701" s="67">
        <f>IF($B701="","",IFERROR(INDEX(Task_Tracker!$D$5:$D$1004,MATCH($B701,Task_Tracker!$A$5:$A$1004,0)),""))</f>
        <v/>
      </c>
      <c r="D701" s="67">
        <f>IF($B701="","",IFERROR(INDEX(Task_Tracker!$B$5:$B$1004,MATCH($B701,Task_Tracker!$A$5:$A$1004,0)),""))</f>
        <v/>
      </c>
      <c r="E701" s="81" t="n"/>
      <c r="F701" s="81" t="n"/>
      <c r="G701" s="78" t="n"/>
      <c r="H701" s="78" t="n"/>
      <c r="I701" s="67">
        <f>IF($H701="","",IFERROR(INDEX(Action_Status_Map!$B$5:$B$11,MATCH($H701,Action_Status_Map!$A$5:$A$11,0)),""))</f>
        <v/>
      </c>
      <c r="J701" s="82" t="n"/>
      <c r="K701" s="82" t="n"/>
      <c r="L701" s="82" t="n"/>
      <c r="M701" s="83" t="n"/>
      <c r="N701" s="83" t="n"/>
      <c r="O701" s="66">
        <f>IF(OR($M701="",$N701=""),"",$N701-$M701)</f>
        <v/>
      </c>
      <c r="P701" s="84">
        <f>IF($J701="","",IF($L701&lt;&gt;"",$L701-$J701,TODAY()-$J701))</f>
        <v/>
      </c>
      <c r="Q701" s="85">
        <f>IF(OR($K701="",$H701="Completed",$H701="Cancelled"),"",IF(AND($K701&lt;TODAY(),$H701&lt;&gt;"Completed",$H701&lt;&gt;"Cancelled"),"Overdue","On Track"))</f>
        <v/>
      </c>
      <c r="R701" s="81" t="n"/>
      <c r="S701" s="81">
        <f>IF($B701="","",IFERROR(INDEX(Task_Tracker!$AA$5:$AA$1004,MATCH($B701,Task_Tracker!$A$5:$A$1004,0)),""))</f>
        <v/>
      </c>
      <c r="T701" s="81">
        <f>IF($B701="","",IFERROR(INDEX(Task_Tracker!$AB$5:$AB$1004,MATCH($B701,Task_Tracker!$A$5:$A$1004,0)),""))</f>
        <v/>
      </c>
      <c r="U701" s="78">
        <f>IF($B701="","",IFERROR(INDEX(Task_Tracker!$F$5:$F$1004,MATCH($B701,Task_Tracker!$A$5:$A$1004,0)),""))</f>
        <v/>
      </c>
      <c r="V701" s="78">
        <f>IF($B701="","",IFERROR(INDEX(Task_Tracker!$I$5:$I$1004,MATCH($B701,Task_Tracker!$A$5:$A$1004,0)),""))</f>
        <v/>
      </c>
      <c r="W701" s="81">
        <f>IF(OR($D701="",$B701=""),"",$D701&amp;" | "&amp;$B701)</f>
        <v/>
      </c>
      <c r="X701" s="85">
        <f>IF($K701="","",TEXT($K701,"yyyy-mm"))</f>
        <v/>
      </c>
      <c r="Y701" s="81">
        <f>IF(OR($A701="",$T701=""),"","Included in Manager_Report")</f>
        <v/>
      </c>
    </row>
    <row r="702" ht="15" customHeight="1" s="40">
      <c r="A702" s="65">
        <f>IF(COUNTA(B702:G702)=0,"","STP-"&amp;TEXT(ROW()-4,"0000"))</f>
        <v/>
      </c>
      <c r="B702" s="78" t="n"/>
      <c r="C702" s="67">
        <f>IF($B702="","",IFERROR(INDEX(Task_Tracker!$D$5:$D$1004,MATCH($B702,Task_Tracker!$A$5:$A$1004,0)),""))</f>
        <v/>
      </c>
      <c r="D702" s="67">
        <f>IF($B702="","",IFERROR(INDEX(Task_Tracker!$B$5:$B$1004,MATCH($B702,Task_Tracker!$A$5:$A$1004,0)),""))</f>
        <v/>
      </c>
      <c r="E702" s="81" t="n"/>
      <c r="F702" s="81" t="n"/>
      <c r="G702" s="78" t="n"/>
      <c r="H702" s="78" t="n"/>
      <c r="I702" s="67">
        <f>IF($H702="","",IFERROR(INDEX(Action_Status_Map!$B$5:$B$11,MATCH($H702,Action_Status_Map!$A$5:$A$11,0)),""))</f>
        <v/>
      </c>
      <c r="J702" s="82" t="n"/>
      <c r="K702" s="82" t="n"/>
      <c r="L702" s="82" t="n"/>
      <c r="M702" s="83" t="n"/>
      <c r="N702" s="83" t="n"/>
      <c r="O702" s="66">
        <f>IF(OR($M702="",$N702=""),"",$N702-$M702)</f>
        <v/>
      </c>
      <c r="P702" s="84">
        <f>IF($J702="","",IF($L702&lt;&gt;"",$L702-$J702,TODAY()-$J702))</f>
        <v/>
      </c>
      <c r="Q702" s="85">
        <f>IF(OR($K702="",$H702="Completed",$H702="Cancelled"),"",IF(AND($K702&lt;TODAY(),$H702&lt;&gt;"Completed",$H702&lt;&gt;"Cancelled"),"Overdue","On Track"))</f>
        <v/>
      </c>
      <c r="R702" s="81" t="n"/>
      <c r="S702" s="81">
        <f>IF($B702="","",IFERROR(INDEX(Task_Tracker!$AA$5:$AA$1004,MATCH($B702,Task_Tracker!$A$5:$A$1004,0)),""))</f>
        <v/>
      </c>
      <c r="T702" s="81">
        <f>IF($B702="","",IFERROR(INDEX(Task_Tracker!$AB$5:$AB$1004,MATCH($B702,Task_Tracker!$A$5:$A$1004,0)),""))</f>
        <v/>
      </c>
      <c r="U702" s="78">
        <f>IF($B702="","",IFERROR(INDEX(Task_Tracker!$F$5:$F$1004,MATCH($B702,Task_Tracker!$A$5:$A$1004,0)),""))</f>
        <v/>
      </c>
      <c r="V702" s="78">
        <f>IF($B702="","",IFERROR(INDEX(Task_Tracker!$I$5:$I$1004,MATCH($B702,Task_Tracker!$A$5:$A$1004,0)),""))</f>
        <v/>
      </c>
      <c r="W702" s="81">
        <f>IF(OR($D702="",$B702=""),"",$D702&amp;" | "&amp;$B702)</f>
        <v/>
      </c>
      <c r="X702" s="85">
        <f>IF($K702="","",TEXT($K702,"yyyy-mm"))</f>
        <v/>
      </c>
      <c r="Y702" s="81">
        <f>IF(OR($A702="",$T702=""),"","Included in Manager_Report")</f>
        <v/>
      </c>
    </row>
    <row r="703" ht="15" customHeight="1" s="40">
      <c r="A703" s="65">
        <f>IF(COUNTA(B703:G703)=0,"","STP-"&amp;TEXT(ROW()-4,"0000"))</f>
        <v/>
      </c>
      <c r="B703" s="78" t="n"/>
      <c r="C703" s="67">
        <f>IF($B703="","",IFERROR(INDEX(Task_Tracker!$D$5:$D$1004,MATCH($B703,Task_Tracker!$A$5:$A$1004,0)),""))</f>
        <v/>
      </c>
      <c r="D703" s="67">
        <f>IF($B703="","",IFERROR(INDEX(Task_Tracker!$B$5:$B$1004,MATCH($B703,Task_Tracker!$A$5:$A$1004,0)),""))</f>
        <v/>
      </c>
      <c r="E703" s="81" t="n"/>
      <c r="F703" s="81" t="n"/>
      <c r="G703" s="78" t="n"/>
      <c r="H703" s="78" t="n"/>
      <c r="I703" s="67">
        <f>IF($H703="","",IFERROR(INDEX(Action_Status_Map!$B$5:$B$11,MATCH($H703,Action_Status_Map!$A$5:$A$11,0)),""))</f>
        <v/>
      </c>
      <c r="J703" s="82" t="n"/>
      <c r="K703" s="82" t="n"/>
      <c r="L703" s="82" t="n"/>
      <c r="M703" s="83" t="n"/>
      <c r="N703" s="83" t="n"/>
      <c r="O703" s="66">
        <f>IF(OR($M703="",$N703=""),"",$N703-$M703)</f>
        <v/>
      </c>
      <c r="P703" s="84">
        <f>IF($J703="","",IF($L703&lt;&gt;"",$L703-$J703,TODAY()-$J703))</f>
        <v/>
      </c>
      <c r="Q703" s="85">
        <f>IF(OR($K703="",$H703="Completed",$H703="Cancelled"),"",IF(AND($K703&lt;TODAY(),$H703&lt;&gt;"Completed",$H703&lt;&gt;"Cancelled"),"Overdue","On Track"))</f>
        <v/>
      </c>
      <c r="R703" s="81" t="n"/>
      <c r="S703" s="81">
        <f>IF($B703="","",IFERROR(INDEX(Task_Tracker!$AA$5:$AA$1004,MATCH($B703,Task_Tracker!$A$5:$A$1004,0)),""))</f>
        <v/>
      </c>
      <c r="T703" s="81">
        <f>IF($B703="","",IFERROR(INDEX(Task_Tracker!$AB$5:$AB$1004,MATCH($B703,Task_Tracker!$A$5:$A$1004,0)),""))</f>
        <v/>
      </c>
      <c r="U703" s="78">
        <f>IF($B703="","",IFERROR(INDEX(Task_Tracker!$F$5:$F$1004,MATCH($B703,Task_Tracker!$A$5:$A$1004,0)),""))</f>
        <v/>
      </c>
      <c r="V703" s="78">
        <f>IF($B703="","",IFERROR(INDEX(Task_Tracker!$I$5:$I$1004,MATCH($B703,Task_Tracker!$A$5:$A$1004,0)),""))</f>
        <v/>
      </c>
      <c r="W703" s="81">
        <f>IF(OR($D703="",$B703=""),"",$D703&amp;" | "&amp;$B703)</f>
        <v/>
      </c>
      <c r="X703" s="85">
        <f>IF($K703="","",TEXT($K703,"yyyy-mm"))</f>
        <v/>
      </c>
      <c r="Y703" s="81">
        <f>IF(OR($A703="",$T703=""),"","Included in Manager_Report")</f>
        <v/>
      </c>
    </row>
    <row r="704" ht="15" customHeight="1" s="40">
      <c r="A704" s="65">
        <f>IF(COUNTA(B704:G704)=0,"","STP-"&amp;TEXT(ROW()-4,"0000"))</f>
        <v/>
      </c>
      <c r="B704" s="78" t="n"/>
      <c r="C704" s="67">
        <f>IF($B704="","",IFERROR(INDEX(Task_Tracker!$D$5:$D$1004,MATCH($B704,Task_Tracker!$A$5:$A$1004,0)),""))</f>
        <v/>
      </c>
      <c r="D704" s="67">
        <f>IF($B704="","",IFERROR(INDEX(Task_Tracker!$B$5:$B$1004,MATCH($B704,Task_Tracker!$A$5:$A$1004,0)),""))</f>
        <v/>
      </c>
      <c r="E704" s="81" t="n"/>
      <c r="F704" s="81" t="n"/>
      <c r="G704" s="78" t="n"/>
      <c r="H704" s="78" t="n"/>
      <c r="I704" s="67">
        <f>IF($H704="","",IFERROR(INDEX(Action_Status_Map!$B$5:$B$11,MATCH($H704,Action_Status_Map!$A$5:$A$11,0)),""))</f>
        <v/>
      </c>
      <c r="J704" s="82" t="n"/>
      <c r="K704" s="82" t="n"/>
      <c r="L704" s="82" t="n"/>
      <c r="M704" s="83" t="n"/>
      <c r="N704" s="83" t="n"/>
      <c r="O704" s="66">
        <f>IF(OR($M704="",$N704=""),"",$N704-$M704)</f>
        <v/>
      </c>
      <c r="P704" s="84">
        <f>IF($J704="","",IF($L704&lt;&gt;"",$L704-$J704,TODAY()-$J704))</f>
        <v/>
      </c>
      <c r="Q704" s="85">
        <f>IF(OR($K704="",$H704="Completed",$H704="Cancelled"),"",IF(AND($K704&lt;TODAY(),$H704&lt;&gt;"Completed",$H704&lt;&gt;"Cancelled"),"Overdue","On Track"))</f>
        <v/>
      </c>
      <c r="R704" s="81" t="n"/>
      <c r="S704" s="81">
        <f>IF($B704="","",IFERROR(INDEX(Task_Tracker!$AA$5:$AA$1004,MATCH($B704,Task_Tracker!$A$5:$A$1004,0)),""))</f>
        <v/>
      </c>
      <c r="T704" s="81">
        <f>IF($B704="","",IFERROR(INDEX(Task_Tracker!$AB$5:$AB$1004,MATCH($B704,Task_Tracker!$A$5:$A$1004,0)),""))</f>
        <v/>
      </c>
      <c r="U704" s="78">
        <f>IF($B704="","",IFERROR(INDEX(Task_Tracker!$F$5:$F$1004,MATCH($B704,Task_Tracker!$A$5:$A$1004,0)),""))</f>
        <v/>
      </c>
      <c r="V704" s="78">
        <f>IF($B704="","",IFERROR(INDEX(Task_Tracker!$I$5:$I$1004,MATCH($B704,Task_Tracker!$A$5:$A$1004,0)),""))</f>
        <v/>
      </c>
      <c r="W704" s="81">
        <f>IF(OR($D704="",$B704=""),"",$D704&amp;" | "&amp;$B704)</f>
        <v/>
      </c>
      <c r="X704" s="85">
        <f>IF($K704="","",TEXT($K704,"yyyy-mm"))</f>
        <v/>
      </c>
      <c r="Y704" s="81">
        <f>IF(OR($A704="",$T704=""),"","Included in Manager_Report")</f>
        <v/>
      </c>
    </row>
    <row r="705" ht="15" customHeight="1" s="40">
      <c r="A705" s="65">
        <f>IF(COUNTA(B705:G705)=0,"","STP-"&amp;TEXT(ROW()-4,"0000"))</f>
        <v/>
      </c>
      <c r="B705" s="78" t="n"/>
      <c r="C705" s="67">
        <f>IF($B705="","",IFERROR(INDEX(Task_Tracker!$D$5:$D$1004,MATCH($B705,Task_Tracker!$A$5:$A$1004,0)),""))</f>
        <v/>
      </c>
      <c r="D705" s="67">
        <f>IF($B705="","",IFERROR(INDEX(Task_Tracker!$B$5:$B$1004,MATCH($B705,Task_Tracker!$A$5:$A$1004,0)),""))</f>
        <v/>
      </c>
      <c r="E705" s="81" t="n"/>
      <c r="F705" s="81" t="n"/>
      <c r="G705" s="78" t="n"/>
      <c r="H705" s="78" t="n"/>
      <c r="I705" s="67">
        <f>IF($H705="","",IFERROR(INDEX(Action_Status_Map!$B$5:$B$11,MATCH($H705,Action_Status_Map!$A$5:$A$11,0)),""))</f>
        <v/>
      </c>
      <c r="J705" s="82" t="n"/>
      <c r="K705" s="82" t="n"/>
      <c r="L705" s="82" t="n"/>
      <c r="M705" s="83" t="n"/>
      <c r="N705" s="83" t="n"/>
      <c r="O705" s="66">
        <f>IF(OR($M705="",$N705=""),"",$N705-$M705)</f>
        <v/>
      </c>
      <c r="P705" s="84">
        <f>IF($J705="","",IF($L705&lt;&gt;"",$L705-$J705,TODAY()-$J705))</f>
        <v/>
      </c>
      <c r="Q705" s="85">
        <f>IF(OR($K705="",$H705="Completed",$H705="Cancelled"),"",IF(AND($K705&lt;TODAY(),$H705&lt;&gt;"Completed",$H705&lt;&gt;"Cancelled"),"Overdue","On Track"))</f>
        <v/>
      </c>
      <c r="R705" s="81" t="n"/>
      <c r="S705" s="81">
        <f>IF($B705="","",IFERROR(INDEX(Task_Tracker!$AA$5:$AA$1004,MATCH($B705,Task_Tracker!$A$5:$A$1004,0)),""))</f>
        <v/>
      </c>
      <c r="T705" s="81">
        <f>IF($B705="","",IFERROR(INDEX(Task_Tracker!$AB$5:$AB$1004,MATCH($B705,Task_Tracker!$A$5:$A$1004,0)),""))</f>
        <v/>
      </c>
      <c r="U705" s="78">
        <f>IF($B705="","",IFERROR(INDEX(Task_Tracker!$F$5:$F$1004,MATCH($B705,Task_Tracker!$A$5:$A$1004,0)),""))</f>
        <v/>
      </c>
      <c r="V705" s="78">
        <f>IF($B705="","",IFERROR(INDEX(Task_Tracker!$I$5:$I$1004,MATCH($B705,Task_Tracker!$A$5:$A$1004,0)),""))</f>
        <v/>
      </c>
      <c r="W705" s="81">
        <f>IF(OR($D705="",$B705=""),"",$D705&amp;" | "&amp;$B705)</f>
        <v/>
      </c>
      <c r="X705" s="85">
        <f>IF($K705="","",TEXT($K705,"yyyy-mm"))</f>
        <v/>
      </c>
      <c r="Y705" s="81">
        <f>IF(OR($A705="",$T705=""),"","Included in Manager_Report")</f>
        <v/>
      </c>
    </row>
    <row r="706" ht="15" customHeight="1" s="40">
      <c r="A706" s="65">
        <f>IF(COUNTA(B706:G706)=0,"","STP-"&amp;TEXT(ROW()-4,"0000"))</f>
        <v/>
      </c>
      <c r="B706" s="78" t="n"/>
      <c r="C706" s="67">
        <f>IF($B706="","",IFERROR(INDEX(Task_Tracker!$D$5:$D$1004,MATCH($B706,Task_Tracker!$A$5:$A$1004,0)),""))</f>
        <v/>
      </c>
      <c r="D706" s="67">
        <f>IF($B706="","",IFERROR(INDEX(Task_Tracker!$B$5:$B$1004,MATCH($B706,Task_Tracker!$A$5:$A$1004,0)),""))</f>
        <v/>
      </c>
      <c r="E706" s="81" t="n"/>
      <c r="F706" s="81" t="n"/>
      <c r="G706" s="78" t="n"/>
      <c r="H706" s="78" t="n"/>
      <c r="I706" s="67">
        <f>IF($H706="","",IFERROR(INDEX(Action_Status_Map!$B$5:$B$11,MATCH($H706,Action_Status_Map!$A$5:$A$11,0)),""))</f>
        <v/>
      </c>
      <c r="J706" s="82" t="n"/>
      <c r="K706" s="82" t="n"/>
      <c r="L706" s="82" t="n"/>
      <c r="M706" s="83" t="n"/>
      <c r="N706" s="83" t="n"/>
      <c r="O706" s="66">
        <f>IF(OR($M706="",$N706=""),"",$N706-$M706)</f>
        <v/>
      </c>
      <c r="P706" s="84">
        <f>IF($J706="","",IF($L706&lt;&gt;"",$L706-$J706,TODAY()-$J706))</f>
        <v/>
      </c>
      <c r="Q706" s="85">
        <f>IF(OR($K706="",$H706="Completed",$H706="Cancelled"),"",IF(AND($K706&lt;TODAY(),$H706&lt;&gt;"Completed",$H706&lt;&gt;"Cancelled"),"Overdue","On Track"))</f>
        <v/>
      </c>
      <c r="R706" s="81" t="n"/>
      <c r="S706" s="81">
        <f>IF($B706="","",IFERROR(INDEX(Task_Tracker!$AA$5:$AA$1004,MATCH($B706,Task_Tracker!$A$5:$A$1004,0)),""))</f>
        <v/>
      </c>
      <c r="T706" s="81">
        <f>IF($B706="","",IFERROR(INDEX(Task_Tracker!$AB$5:$AB$1004,MATCH($B706,Task_Tracker!$A$5:$A$1004,0)),""))</f>
        <v/>
      </c>
      <c r="U706" s="78">
        <f>IF($B706="","",IFERROR(INDEX(Task_Tracker!$F$5:$F$1004,MATCH($B706,Task_Tracker!$A$5:$A$1004,0)),""))</f>
        <v/>
      </c>
      <c r="V706" s="78">
        <f>IF($B706="","",IFERROR(INDEX(Task_Tracker!$I$5:$I$1004,MATCH($B706,Task_Tracker!$A$5:$A$1004,0)),""))</f>
        <v/>
      </c>
      <c r="W706" s="81">
        <f>IF(OR($D706="",$B706=""),"",$D706&amp;" | "&amp;$B706)</f>
        <v/>
      </c>
      <c r="X706" s="85">
        <f>IF($K706="","",TEXT($K706,"yyyy-mm"))</f>
        <v/>
      </c>
      <c r="Y706" s="81">
        <f>IF(OR($A706="",$T706=""),"","Included in Manager_Report")</f>
        <v/>
      </c>
    </row>
    <row r="707" ht="15" customHeight="1" s="40">
      <c r="A707" s="65">
        <f>IF(COUNTA(B707:G707)=0,"","STP-"&amp;TEXT(ROW()-4,"0000"))</f>
        <v/>
      </c>
      <c r="B707" s="78" t="n"/>
      <c r="C707" s="67">
        <f>IF($B707="","",IFERROR(INDEX(Task_Tracker!$D$5:$D$1004,MATCH($B707,Task_Tracker!$A$5:$A$1004,0)),""))</f>
        <v/>
      </c>
      <c r="D707" s="67">
        <f>IF($B707="","",IFERROR(INDEX(Task_Tracker!$B$5:$B$1004,MATCH($B707,Task_Tracker!$A$5:$A$1004,0)),""))</f>
        <v/>
      </c>
      <c r="E707" s="81" t="n"/>
      <c r="F707" s="81" t="n"/>
      <c r="G707" s="78" t="n"/>
      <c r="H707" s="78" t="n"/>
      <c r="I707" s="67">
        <f>IF($H707="","",IFERROR(INDEX(Action_Status_Map!$B$5:$B$11,MATCH($H707,Action_Status_Map!$A$5:$A$11,0)),""))</f>
        <v/>
      </c>
      <c r="J707" s="82" t="n"/>
      <c r="K707" s="82" t="n"/>
      <c r="L707" s="82" t="n"/>
      <c r="M707" s="83" t="n"/>
      <c r="N707" s="83" t="n"/>
      <c r="O707" s="66">
        <f>IF(OR($M707="",$N707=""),"",$N707-$M707)</f>
        <v/>
      </c>
      <c r="P707" s="84">
        <f>IF($J707="","",IF($L707&lt;&gt;"",$L707-$J707,TODAY()-$J707))</f>
        <v/>
      </c>
      <c r="Q707" s="85">
        <f>IF(OR($K707="",$H707="Completed",$H707="Cancelled"),"",IF(AND($K707&lt;TODAY(),$H707&lt;&gt;"Completed",$H707&lt;&gt;"Cancelled"),"Overdue","On Track"))</f>
        <v/>
      </c>
      <c r="R707" s="81" t="n"/>
      <c r="S707" s="81">
        <f>IF($B707="","",IFERROR(INDEX(Task_Tracker!$AA$5:$AA$1004,MATCH($B707,Task_Tracker!$A$5:$A$1004,0)),""))</f>
        <v/>
      </c>
      <c r="T707" s="81">
        <f>IF($B707="","",IFERROR(INDEX(Task_Tracker!$AB$5:$AB$1004,MATCH($B707,Task_Tracker!$A$5:$A$1004,0)),""))</f>
        <v/>
      </c>
      <c r="U707" s="78">
        <f>IF($B707="","",IFERROR(INDEX(Task_Tracker!$F$5:$F$1004,MATCH($B707,Task_Tracker!$A$5:$A$1004,0)),""))</f>
        <v/>
      </c>
      <c r="V707" s="78">
        <f>IF($B707="","",IFERROR(INDEX(Task_Tracker!$I$5:$I$1004,MATCH($B707,Task_Tracker!$A$5:$A$1004,0)),""))</f>
        <v/>
      </c>
      <c r="W707" s="81">
        <f>IF(OR($D707="",$B707=""),"",$D707&amp;" | "&amp;$B707)</f>
        <v/>
      </c>
      <c r="X707" s="85">
        <f>IF($K707="","",TEXT($K707,"yyyy-mm"))</f>
        <v/>
      </c>
      <c r="Y707" s="81">
        <f>IF(OR($A707="",$T707=""),"","Included in Manager_Report")</f>
        <v/>
      </c>
    </row>
    <row r="708" ht="15" customHeight="1" s="40">
      <c r="A708" s="65">
        <f>IF(COUNTA(B708:G708)=0,"","STP-"&amp;TEXT(ROW()-4,"0000"))</f>
        <v/>
      </c>
      <c r="B708" s="78" t="n"/>
      <c r="C708" s="67">
        <f>IF($B708="","",IFERROR(INDEX(Task_Tracker!$D$5:$D$1004,MATCH($B708,Task_Tracker!$A$5:$A$1004,0)),""))</f>
        <v/>
      </c>
      <c r="D708" s="67">
        <f>IF($B708="","",IFERROR(INDEX(Task_Tracker!$B$5:$B$1004,MATCH($B708,Task_Tracker!$A$5:$A$1004,0)),""))</f>
        <v/>
      </c>
      <c r="E708" s="81" t="n"/>
      <c r="F708" s="81" t="n"/>
      <c r="G708" s="78" t="n"/>
      <c r="H708" s="78" t="n"/>
      <c r="I708" s="67">
        <f>IF($H708="","",IFERROR(INDEX(Action_Status_Map!$B$5:$B$11,MATCH($H708,Action_Status_Map!$A$5:$A$11,0)),""))</f>
        <v/>
      </c>
      <c r="J708" s="82" t="n"/>
      <c r="K708" s="82" t="n"/>
      <c r="L708" s="82" t="n"/>
      <c r="M708" s="83" t="n"/>
      <c r="N708" s="83" t="n"/>
      <c r="O708" s="66">
        <f>IF(OR($M708="",$N708=""),"",$N708-$M708)</f>
        <v/>
      </c>
      <c r="P708" s="84">
        <f>IF($J708="","",IF($L708&lt;&gt;"",$L708-$J708,TODAY()-$J708))</f>
        <v/>
      </c>
      <c r="Q708" s="85">
        <f>IF(OR($K708="",$H708="Completed",$H708="Cancelled"),"",IF(AND($K708&lt;TODAY(),$H708&lt;&gt;"Completed",$H708&lt;&gt;"Cancelled"),"Overdue","On Track"))</f>
        <v/>
      </c>
      <c r="R708" s="81" t="n"/>
      <c r="S708" s="81">
        <f>IF($B708="","",IFERROR(INDEX(Task_Tracker!$AA$5:$AA$1004,MATCH($B708,Task_Tracker!$A$5:$A$1004,0)),""))</f>
        <v/>
      </c>
      <c r="T708" s="81">
        <f>IF($B708="","",IFERROR(INDEX(Task_Tracker!$AB$5:$AB$1004,MATCH($B708,Task_Tracker!$A$5:$A$1004,0)),""))</f>
        <v/>
      </c>
      <c r="U708" s="78">
        <f>IF($B708="","",IFERROR(INDEX(Task_Tracker!$F$5:$F$1004,MATCH($B708,Task_Tracker!$A$5:$A$1004,0)),""))</f>
        <v/>
      </c>
      <c r="V708" s="78">
        <f>IF($B708="","",IFERROR(INDEX(Task_Tracker!$I$5:$I$1004,MATCH($B708,Task_Tracker!$A$5:$A$1004,0)),""))</f>
        <v/>
      </c>
      <c r="W708" s="81">
        <f>IF(OR($D708="",$B708=""),"",$D708&amp;" | "&amp;$B708)</f>
        <v/>
      </c>
      <c r="X708" s="85">
        <f>IF($K708="","",TEXT($K708,"yyyy-mm"))</f>
        <v/>
      </c>
      <c r="Y708" s="81">
        <f>IF(OR($A708="",$T708=""),"","Included in Manager_Report")</f>
        <v/>
      </c>
    </row>
    <row r="709" ht="15" customHeight="1" s="40">
      <c r="A709" s="65">
        <f>IF(COUNTA(B709:G709)=0,"","STP-"&amp;TEXT(ROW()-4,"0000"))</f>
        <v/>
      </c>
      <c r="B709" s="78" t="n"/>
      <c r="C709" s="67">
        <f>IF($B709="","",IFERROR(INDEX(Task_Tracker!$D$5:$D$1004,MATCH($B709,Task_Tracker!$A$5:$A$1004,0)),""))</f>
        <v/>
      </c>
      <c r="D709" s="67">
        <f>IF($B709="","",IFERROR(INDEX(Task_Tracker!$B$5:$B$1004,MATCH($B709,Task_Tracker!$A$5:$A$1004,0)),""))</f>
        <v/>
      </c>
      <c r="E709" s="81" t="n"/>
      <c r="F709" s="81" t="n"/>
      <c r="G709" s="78" t="n"/>
      <c r="H709" s="78" t="n"/>
      <c r="I709" s="67">
        <f>IF($H709="","",IFERROR(INDEX(Action_Status_Map!$B$5:$B$11,MATCH($H709,Action_Status_Map!$A$5:$A$11,0)),""))</f>
        <v/>
      </c>
      <c r="J709" s="82" t="n"/>
      <c r="K709" s="82" t="n"/>
      <c r="L709" s="82" t="n"/>
      <c r="M709" s="83" t="n"/>
      <c r="N709" s="83" t="n"/>
      <c r="O709" s="66">
        <f>IF(OR($M709="",$N709=""),"",$N709-$M709)</f>
        <v/>
      </c>
      <c r="P709" s="84">
        <f>IF($J709="","",IF($L709&lt;&gt;"",$L709-$J709,TODAY()-$J709))</f>
        <v/>
      </c>
      <c r="Q709" s="85">
        <f>IF(OR($K709="",$H709="Completed",$H709="Cancelled"),"",IF(AND($K709&lt;TODAY(),$H709&lt;&gt;"Completed",$H709&lt;&gt;"Cancelled"),"Overdue","On Track"))</f>
        <v/>
      </c>
      <c r="R709" s="81" t="n"/>
      <c r="S709" s="81">
        <f>IF($B709="","",IFERROR(INDEX(Task_Tracker!$AA$5:$AA$1004,MATCH($B709,Task_Tracker!$A$5:$A$1004,0)),""))</f>
        <v/>
      </c>
      <c r="T709" s="81">
        <f>IF($B709="","",IFERROR(INDEX(Task_Tracker!$AB$5:$AB$1004,MATCH($B709,Task_Tracker!$A$5:$A$1004,0)),""))</f>
        <v/>
      </c>
      <c r="U709" s="78">
        <f>IF($B709="","",IFERROR(INDEX(Task_Tracker!$F$5:$F$1004,MATCH($B709,Task_Tracker!$A$5:$A$1004,0)),""))</f>
        <v/>
      </c>
      <c r="V709" s="78">
        <f>IF($B709="","",IFERROR(INDEX(Task_Tracker!$I$5:$I$1004,MATCH($B709,Task_Tracker!$A$5:$A$1004,0)),""))</f>
        <v/>
      </c>
      <c r="W709" s="81">
        <f>IF(OR($D709="",$B709=""),"",$D709&amp;" | "&amp;$B709)</f>
        <v/>
      </c>
      <c r="X709" s="85">
        <f>IF($K709="","",TEXT($K709,"yyyy-mm"))</f>
        <v/>
      </c>
      <c r="Y709" s="81">
        <f>IF(OR($A709="",$T709=""),"","Included in Manager_Report")</f>
        <v/>
      </c>
    </row>
    <row r="710" ht="15" customHeight="1" s="40">
      <c r="A710" s="65">
        <f>IF(COUNTA(B710:G710)=0,"","STP-"&amp;TEXT(ROW()-4,"0000"))</f>
        <v/>
      </c>
      <c r="B710" s="78" t="n"/>
      <c r="C710" s="67">
        <f>IF($B710="","",IFERROR(INDEX(Task_Tracker!$D$5:$D$1004,MATCH($B710,Task_Tracker!$A$5:$A$1004,0)),""))</f>
        <v/>
      </c>
      <c r="D710" s="67">
        <f>IF($B710="","",IFERROR(INDEX(Task_Tracker!$B$5:$B$1004,MATCH($B710,Task_Tracker!$A$5:$A$1004,0)),""))</f>
        <v/>
      </c>
      <c r="E710" s="81" t="n"/>
      <c r="F710" s="81" t="n"/>
      <c r="G710" s="78" t="n"/>
      <c r="H710" s="78" t="n"/>
      <c r="I710" s="67">
        <f>IF($H710="","",IFERROR(INDEX(Action_Status_Map!$B$5:$B$11,MATCH($H710,Action_Status_Map!$A$5:$A$11,0)),""))</f>
        <v/>
      </c>
      <c r="J710" s="82" t="n"/>
      <c r="K710" s="82" t="n"/>
      <c r="L710" s="82" t="n"/>
      <c r="M710" s="83" t="n"/>
      <c r="N710" s="83" t="n"/>
      <c r="O710" s="66">
        <f>IF(OR($M710="",$N710=""),"",$N710-$M710)</f>
        <v/>
      </c>
      <c r="P710" s="84">
        <f>IF($J710="","",IF($L710&lt;&gt;"",$L710-$J710,TODAY()-$J710))</f>
        <v/>
      </c>
      <c r="Q710" s="85">
        <f>IF(OR($K710="",$H710="Completed",$H710="Cancelled"),"",IF(AND($K710&lt;TODAY(),$H710&lt;&gt;"Completed",$H710&lt;&gt;"Cancelled"),"Overdue","On Track"))</f>
        <v/>
      </c>
      <c r="R710" s="81" t="n"/>
      <c r="S710" s="81">
        <f>IF($B710="","",IFERROR(INDEX(Task_Tracker!$AA$5:$AA$1004,MATCH($B710,Task_Tracker!$A$5:$A$1004,0)),""))</f>
        <v/>
      </c>
      <c r="T710" s="81">
        <f>IF($B710="","",IFERROR(INDEX(Task_Tracker!$AB$5:$AB$1004,MATCH($B710,Task_Tracker!$A$5:$A$1004,0)),""))</f>
        <v/>
      </c>
      <c r="U710" s="78">
        <f>IF($B710="","",IFERROR(INDEX(Task_Tracker!$F$5:$F$1004,MATCH($B710,Task_Tracker!$A$5:$A$1004,0)),""))</f>
        <v/>
      </c>
      <c r="V710" s="78">
        <f>IF($B710="","",IFERROR(INDEX(Task_Tracker!$I$5:$I$1004,MATCH($B710,Task_Tracker!$A$5:$A$1004,0)),""))</f>
        <v/>
      </c>
      <c r="W710" s="81">
        <f>IF(OR($D710="",$B710=""),"",$D710&amp;" | "&amp;$B710)</f>
        <v/>
      </c>
      <c r="X710" s="85">
        <f>IF($K710="","",TEXT($K710,"yyyy-mm"))</f>
        <v/>
      </c>
      <c r="Y710" s="81">
        <f>IF(OR($A710="",$T710=""),"","Included in Manager_Report")</f>
        <v/>
      </c>
    </row>
    <row r="711" ht="15" customHeight="1" s="40">
      <c r="A711" s="65">
        <f>IF(COUNTA(B711:G711)=0,"","STP-"&amp;TEXT(ROW()-4,"0000"))</f>
        <v/>
      </c>
      <c r="B711" s="78" t="n"/>
      <c r="C711" s="67">
        <f>IF($B711="","",IFERROR(INDEX(Task_Tracker!$D$5:$D$1004,MATCH($B711,Task_Tracker!$A$5:$A$1004,0)),""))</f>
        <v/>
      </c>
      <c r="D711" s="67">
        <f>IF($B711="","",IFERROR(INDEX(Task_Tracker!$B$5:$B$1004,MATCH($B711,Task_Tracker!$A$5:$A$1004,0)),""))</f>
        <v/>
      </c>
      <c r="E711" s="81" t="n"/>
      <c r="F711" s="81" t="n"/>
      <c r="G711" s="78" t="n"/>
      <c r="H711" s="78" t="n"/>
      <c r="I711" s="67">
        <f>IF($H711="","",IFERROR(INDEX(Action_Status_Map!$B$5:$B$11,MATCH($H711,Action_Status_Map!$A$5:$A$11,0)),""))</f>
        <v/>
      </c>
      <c r="J711" s="82" t="n"/>
      <c r="K711" s="82" t="n"/>
      <c r="L711" s="82" t="n"/>
      <c r="M711" s="83" t="n"/>
      <c r="N711" s="83" t="n"/>
      <c r="O711" s="66">
        <f>IF(OR($M711="",$N711=""),"",$N711-$M711)</f>
        <v/>
      </c>
      <c r="P711" s="84">
        <f>IF($J711="","",IF($L711&lt;&gt;"",$L711-$J711,TODAY()-$J711))</f>
        <v/>
      </c>
      <c r="Q711" s="85">
        <f>IF(OR($K711="",$H711="Completed",$H711="Cancelled"),"",IF(AND($K711&lt;TODAY(),$H711&lt;&gt;"Completed",$H711&lt;&gt;"Cancelled"),"Overdue","On Track"))</f>
        <v/>
      </c>
      <c r="R711" s="81" t="n"/>
      <c r="S711" s="81">
        <f>IF($B711="","",IFERROR(INDEX(Task_Tracker!$AA$5:$AA$1004,MATCH($B711,Task_Tracker!$A$5:$A$1004,0)),""))</f>
        <v/>
      </c>
      <c r="T711" s="81">
        <f>IF($B711="","",IFERROR(INDEX(Task_Tracker!$AB$5:$AB$1004,MATCH($B711,Task_Tracker!$A$5:$A$1004,0)),""))</f>
        <v/>
      </c>
      <c r="U711" s="78">
        <f>IF($B711="","",IFERROR(INDEX(Task_Tracker!$F$5:$F$1004,MATCH($B711,Task_Tracker!$A$5:$A$1004,0)),""))</f>
        <v/>
      </c>
      <c r="V711" s="78">
        <f>IF($B711="","",IFERROR(INDEX(Task_Tracker!$I$5:$I$1004,MATCH($B711,Task_Tracker!$A$5:$A$1004,0)),""))</f>
        <v/>
      </c>
      <c r="W711" s="81">
        <f>IF(OR($D711="",$B711=""),"",$D711&amp;" | "&amp;$B711)</f>
        <v/>
      </c>
      <c r="X711" s="85">
        <f>IF($K711="","",TEXT($K711,"yyyy-mm"))</f>
        <v/>
      </c>
      <c r="Y711" s="81">
        <f>IF(OR($A711="",$T711=""),"","Included in Manager_Report")</f>
        <v/>
      </c>
    </row>
    <row r="712" ht="15" customHeight="1" s="40">
      <c r="A712" s="65">
        <f>IF(COUNTA(B712:G712)=0,"","STP-"&amp;TEXT(ROW()-4,"0000"))</f>
        <v/>
      </c>
      <c r="B712" s="78" t="n"/>
      <c r="C712" s="67">
        <f>IF($B712="","",IFERROR(INDEX(Task_Tracker!$D$5:$D$1004,MATCH($B712,Task_Tracker!$A$5:$A$1004,0)),""))</f>
        <v/>
      </c>
      <c r="D712" s="67">
        <f>IF($B712="","",IFERROR(INDEX(Task_Tracker!$B$5:$B$1004,MATCH($B712,Task_Tracker!$A$5:$A$1004,0)),""))</f>
        <v/>
      </c>
      <c r="E712" s="81" t="n"/>
      <c r="F712" s="81" t="n"/>
      <c r="G712" s="78" t="n"/>
      <c r="H712" s="78" t="n"/>
      <c r="I712" s="67">
        <f>IF($H712="","",IFERROR(INDEX(Action_Status_Map!$B$5:$B$11,MATCH($H712,Action_Status_Map!$A$5:$A$11,0)),""))</f>
        <v/>
      </c>
      <c r="J712" s="82" t="n"/>
      <c r="K712" s="82" t="n"/>
      <c r="L712" s="82" t="n"/>
      <c r="M712" s="83" t="n"/>
      <c r="N712" s="83" t="n"/>
      <c r="O712" s="66">
        <f>IF(OR($M712="",$N712=""),"",$N712-$M712)</f>
        <v/>
      </c>
      <c r="P712" s="84">
        <f>IF($J712="","",IF($L712&lt;&gt;"",$L712-$J712,TODAY()-$J712))</f>
        <v/>
      </c>
      <c r="Q712" s="85">
        <f>IF(OR($K712="",$H712="Completed",$H712="Cancelled"),"",IF(AND($K712&lt;TODAY(),$H712&lt;&gt;"Completed",$H712&lt;&gt;"Cancelled"),"Overdue","On Track"))</f>
        <v/>
      </c>
      <c r="R712" s="81" t="n"/>
      <c r="S712" s="81">
        <f>IF($B712="","",IFERROR(INDEX(Task_Tracker!$AA$5:$AA$1004,MATCH($B712,Task_Tracker!$A$5:$A$1004,0)),""))</f>
        <v/>
      </c>
      <c r="T712" s="81">
        <f>IF($B712="","",IFERROR(INDEX(Task_Tracker!$AB$5:$AB$1004,MATCH($B712,Task_Tracker!$A$5:$A$1004,0)),""))</f>
        <v/>
      </c>
      <c r="U712" s="78">
        <f>IF($B712="","",IFERROR(INDEX(Task_Tracker!$F$5:$F$1004,MATCH($B712,Task_Tracker!$A$5:$A$1004,0)),""))</f>
        <v/>
      </c>
      <c r="V712" s="78">
        <f>IF($B712="","",IFERROR(INDEX(Task_Tracker!$I$5:$I$1004,MATCH($B712,Task_Tracker!$A$5:$A$1004,0)),""))</f>
        <v/>
      </c>
      <c r="W712" s="81">
        <f>IF(OR($D712="",$B712=""),"",$D712&amp;" | "&amp;$B712)</f>
        <v/>
      </c>
      <c r="X712" s="85">
        <f>IF($K712="","",TEXT($K712,"yyyy-mm"))</f>
        <v/>
      </c>
      <c r="Y712" s="81">
        <f>IF(OR($A712="",$T712=""),"","Included in Manager_Report")</f>
        <v/>
      </c>
    </row>
    <row r="713" ht="15" customHeight="1" s="40">
      <c r="A713" s="65">
        <f>IF(COUNTA(B713:G713)=0,"","STP-"&amp;TEXT(ROW()-4,"0000"))</f>
        <v/>
      </c>
      <c r="B713" s="78" t="n"/>
      <c r="C713" s="67">
        <f>IF($B713="","",IFERROR(INDEX(Task_Tracker!$D$5:$D$1004,MATCH($B713,Task_Tracker!$A$5:$A$1004,0)),""))</f>
        <v/>
      </c>
      <c r="D713" s="67">
        <f>IF($B713="","",IFERROR(INDEX(Task_Tracker!$B$5:$B$1004,MATCH($B713,Task_Tracker!$A$5:$A$1004,0)),""))</f>
        <v/>
      </c>
      <c r="E713" s="81" t="n"/>
      <c r="F713" s="81" t="n"/>
      <c r="G713" s="78" t="n"/>
      <c r="H713" s="78" t="n"/>
      <c r="I713" s="67">
        <f>IF($H713="","",IFERROR(INDEX(Action_Status_Map!$B$5:$B$11,MATCH($H713,Action_Status_Map!$A$5:$A$11,0)),""))</f>
        <v/>
      </c>
      <c r="J713" s="82" t="n"/>
      <c r="K713" s="82" t="n"/>
      <c r="L713" s="82" t="n"/>
      <c r="M713" s="83" t="n"/>
      <c r="N713" s="83" t="n"/>
      <c r="O713" s="66">
        <f>IF(OR($M713="",$N713=""),"",$N713-$M713)</f>
        <v/>
      </c>
      <c r="P713" s="84">
        <f>IF($J713="","",IF($L713&lt;&gt;"",$L713-$J713,TODAY()-$J713))</f>
        <v/>
      </c>
      <c r="Q713" s="85">
        <f>IF(OR($K713="",$H713="Completed",$H713="Cancelled"),"",IF(AND($K713&lt;TODAY(),$H713&lt;&gt;"Completed",$H713&lt;&gt;"Cancelled"),"Overdue","On Track"))</f>
        <v/>
      </c>
      <c r="R713" s="81" t="n"/>
      <c r="S713" s="81">
        <f>IF($B713="","",IFERROR(INDEX(Task_Tracker!$AA$5:$AA$1004,MATCH($B713,Task_Tracker!$A$5:$A$1004,0)),""))</f>
        <v/>
      </c>
      <c r="T713" s="81">
        <f>IF($B713="","",IFERROR(INDEX(Task_Tracker!$AB$5:$AB$1004,MATCH($B713,Task_Tracker!$A$5:$A$1004,0)),""))</f>
        <v/>
      </c>
      <c r="U713" s="78">
        <f>IF($B713="","",IFERROR(INDEX(Task_Tracker!$F$5:$F$1004,MATCH($B713,Task_Tracker!$A$5:$A$1004,0)),""))</f>
        <v/>
      </c>
      <c r="V713" s="78">
        <f>IF($B713="","",IFERROR(INDEX(Task_Tracker!$I$5:$I$1004,MATCH($B713,Task_Tracker!$A$5:$A$1004,0)),""))</f>
        <v/>
      </c>
      <c r="W713" s="81">
        <f>IF(OR($D713="",$B713=""),"",$D713&amp;" | "&amp;$B713)</f>
        <v/>
      </c>
      <c r="X713" s="85">
        <f>IF($K713="","",TEXT($K713,"yyyy-mm"))</f>
        <v/>
      </c>
      <c r="Y713" s="81">
        <f>IF(OR($A713="",$T713=""),"","Included in Manager_Report")</f>
        <v/>
      </c>
    </row>
    <row r="714" ht="15" customHeight="1" s="40">
      <c r="A714" s="65">
        <f>IF(COUNTA(B714:G714)=0,"","STP-"&amp;TEXT(ROW()-4,"0000"))</f>
        <v/>
      </c>
      <c r="B714" s="78" t="n"/>
      <c r="C714" s="67">
        <f>IF($B714="","",IFERROR(INDEX(Task_Tracker!$D$5:$D$1004,MATCH($B714,Task_Tracker!$A$5:$A$1004,0)),""))</f>
        <v/>
      </c>
      <c r="D714" s="67">
        <f>IF($B714="","",IFERROR(INDEX(Task_Tracker!$B$5:$B$1004,MATCH($B714,Task_Tracker!$A$5:$A$1004,0)),""))</f>
        <v/>
      </c>
      <c r="E714" s="81" t="n"/>
      <c r="F714" s="81" t="n"/>
      <c r="G714" s="78" t="n"/>
      <c r="H714" s="78" t="n"/>
      <c r="I714" s="67">
        <f>IF($H714="","",IFERROR(INDEX(Action_Status_Map!$B$5:$B$11,MATCH($H714,Action_Status_Map!$A$5:$A$11,0)),""))</f>
        <v/>
      </c>
      <c r="J714" s="82" t="n"/>
      <c r="K714" s="82" t="n"/>
      <c r="L714" s="82" t="n"/>
      <c r="M714" s="83" t="n"/>
      <c r="N714" s="83" t="n"/>
      <c r="O714" s="66">
        <f>IF(OR($M714="",$N714=""),"",$N714-$M714)</f>
        <v/>
      </c>
      <c r="P714" s="84">
        <f>IF($J714="","",IF($L714&lt;&gt;"",$L714-$J714,TODAY()-$J714))</f>
        <v/>
      </c>
      <c r="Q714" s="85">
        <f>IF(OR($K714="",$H714="Completed",$H714="Cancelled"),"",IF(AND($K714&lt;TODAY(),$H714&lt;&gt;"Completed",$H714&lt;&gt;"Cancelled"),"Overdue","On Track"))</f>
        <v/>
      </c>
      <c r="R714" s="81" t="n"/>
      <c r="S714" s="81">
        <f>IF($B714="","",IFERROR(INDEX(Task_Tracker!$AA$5:$AA$1004,MATCH($B714,Task_Tracker!$A$5:$A$1004,0)),""))</f>
        <v/>
      </c>
      <c r="T714" s="81">
        <f>IF($B714="","",IFERROR(INDEX(Task_Tracker!$AB$5:$AB$1004,MATCH($B714,Task_Tracker!$A$5:$A$1004,0)),""))</f>
        <v/>
      </c>
      <c r="U714" s="78">
        <f>IF($B714="","",IFERROR(INDEX(Task_Tracker!$F$5:$F$1004,MATCH($B714,Task_Tracker!$A$5:$A$1004,0)),""))</f>
        <v/>
      </c>
      <c r="V714" s="78">
        <f>IF($B714="","",IFERROR(INDEX(Task_Tracker!$I$5:$I$1004,MATCH($B714,Task_Tracker!$A$5:$A$1004,0)),""))</f>
        <v/>
      </c>
      <c r="W714" s="81">
        <f>IF(OR($D714="",$B714=""),"",$D714&amp;" | "&amp;$B714)</f>
        <v/>
      </c>
      <c r="X714" s="85">
        <f>IF($K714="","",TEXT($K714,"yyyy-mm"))</f>
        <v/>
      </c>
      <c r="Y714" s="81">
        <f>IF(OR($A714="",$T714=""),"","Included in Manager_Report")</f>
        <v/>
      </c>
    </row>
    <row r="715" ht="15" customHeight="1" s="40">
      <c r="A715" s="65">
        <f>IF(COUNTA(B715:G715)=0,"","STP-"&amp;TEXT(ROW()-4,"0000"))</f>
        <v/>
      </c>
      <c r="B715" s="78" t="n"/>
      <c r="C715" s="67">
        <f>IF($B715="","",IFERROR(INDEX(Task_Tracker!$D$5:$D$1004,MATCH($B715,Task_Tracker!$A$5:$A$1004,0)),""))</f>
        <v/>
      </c>
      <c r="D715" s="67">
        <f>IF($B715="","",IFERROR(INDEX(Task_Tracker!$B$5:$B$1004,MATCH($B715,Task_Tracker!$A$5:$A$1004,0)),""))</f>
        <v/>
      </c>
      <c r="E715" s="81" t="n"/>
      <c r="F715" s="81" t="n"/>
      <c r="G715" s="78" t="n"/>
      <c r="H715" s="78" t="n"/>
      <c r="I715" s="67">
        <f>IF($H715="","",IFERROR(INDEX(Action_Status_Map!$B$5:$B$11,MATCH($H715,Action_Status_Map!$A$5:$A$11,0)),""))</f>
        <v/>
      </c>
      <c r="J715" s="82" t="n"/>
      <c r="K715" s="82" t="n"/>
      <c r="L715" s="82" t="n"/>
      <c r="M715" s="83" t="n"/>
      <c r="N715" s="83" t="n"/>
      <c r="O715" s="66">
        <f>IF(OR($M715="",$N715=""),"",$N715-$M715)</f>
        <v/>
      </c>
      <c r="P715" s="84">
        <f>IF($J715="","",IF($L715&lt;&gt;"",$L715-$J715,TODAY()-$J715))</f>
        <v/>
      </c>
      <c r="Q715" s="85">
        <f>IF(OR($K715="",$H715="Completed",$H715="Cancelled"),"",IF(AND($K715&lt;TODAY(),$H715&lt;&gt;"Completed",$H715&lt;&gt;"Cancelled"),"Overdue","On Track"))</f>
        <v/>
      </c>
      <c r="R715" s="81" t="n"/>
      <c r="S715" s="81">
        <f>IF($B715="","",IFERROR(INDEX(Task_Tracker!$AA$5:$AA$1004,MATCH($B715,Task_Tracker!$A$5:$A$1004,0)),""))</f>
        <v/>
      </c>
      <c r="T715" s="81">
        <f>IF($B715="","",IFERROR(INDEX(Task_Tracker!$AB$5:$AB$1004,MATCH($B715,Task_Tracker!$A$5:$A$1004,0)),""))</f>
        <v/>
      </c>
      <c r="U715" s="78">
        <f>IF($B715="","",IFERROR(INDEX(Task_Tracker!$F$5:$F$1004,MATCH($B715,Task_Tracker!$A$5:$A$1004,0)),""))</f>
        <v/>
      </c>
      <c r="V715" s="78">
        <f>IF($B715="","",IFERROR(INDEX(Task_Tracker!$I$5:$I$1004,MATCH($B715,Task_Tracker!$A$5:$A$1004,0)),""))</f>
        <v/>
      </c>
      <c r="W715" s="81">
        <f>IF(OR($D715="",$B715=""),"",$D715&amp;" | "&amp;$B715)</f>
        <v/>
      </c>
      <c r="X715" s="85">
        <f>IF($K715="","",TEXT($K715,"yyyy-mm"))</f>
        <v/>
      </c>
      <c r="Y715" s="81">
        <f>IF(OR($A715="",$T715=""),"","Included in Manager_Report")</f>
        <v/>
      </c>
    </row>
    <row r="716" ht="15" customHeight="1" s="40">
      <c r="A716" s="65">
        <f>IF(COUNTA(B716:G716)=0,"","STP-"&amp;TEXT(ROW()-4,"0000"))</f>
        <v/>
      </c>
      <c r="B716" s="78" t="n"/>
      <c r="C716" s="67">
        <f>IF($B716="","",IFERROR(INDEX(Task_Tracker!$D$5:$D$1004,MATCH($B716,Task_Tracker!$A$5:$A$1004,0)),""))</f>
        <v/>
      </c>
      <c r="D716" s="67">
        <f>IF($B716="","",IFERROR(INDEX(Task_Tracker!$B$5:$B$1004,MATCH($B716,Task_Tracker!$A$5:$A$1004,0)),""))</f>
        <v/>
      </c>
      <c r="E716" s="81" t="n"/>
      <c r="F716" s="81" t="n"/>
      <c r="G716" s="78" t="n"/>
      <c r="H716" s="78" t="n"/>
      <c r="I716" s="67">
        <f>IF($H716="","",IFERROR(INDEX(Action_Status_Map!$B$5:$B$11,MATCH($H716,Action_Status_Map!$A$5:$A$11,0)),""))</f>
        <v/>
      </c>
      <c r="J716" s="82" t="n"/>
      <c r="K716" s="82" t="n"/>
      <c r="L716" s="82" t="n"/>
      <c r="M716" s="83" t="n"/>
      <c r="N716" s="83" t="n"/>
      <c r="O716" s="66">
        <f>IF(OR($M716="",$N716=""),"",$N716-$M716)</f>
        <v/>
      </c>
      <c r="P716" s="84">
        <f>IF($J716="","",IF($L716&lt;&gt;"",$L716-$J716,TODAY()-$J716))</f>
        <v/>
      </c>
      <c r="Q716" s="85">
        <f>IF(OR($K716="",$H716="Completed",$H716="Cancelled"),"",IF(AND($K716&lt;TODAY(),$H716&lt;&gt;"Completed",$H716&lt;&gt;"Cancelled"),"Overdue","On Track"))</f>
        <v/>
      </c>
      <c r="R716" s="81" t="n"/>
      <c r="S716" s="81">
        <f>IF($B716="","",IFERROR(INDEX(Task_Tracker!$AA$5:$AA$1004,MATCH($B716,Task_Tracker!$A$5:$A$1004,0)),""))</f>
        <v/>
      </c>
      <c r="T716" s="81">
        <f>IF($B716="","",IFERROR(INDEX(Task_Tracker!$AB$5:$AB$1004,MATCH($B716,Task_Tracker!$A$5:$A$1004,0)),""))</f>
        <v/>
      </c>
      <c r="U716" s="78">
        <f>IF($B716="","",IFERROR(INDEX(Task_Tracker!$F$5:$F$1004,MATCH($B716,Task_Tracker!$A$5:$A$1004,0)),""))</f>
        <v/>
      </c>
      <c r="V716" s="78">
        <f>IF($B716="","",IFERROR(INDEX(Task_Tracker!$I$5:$I$1004,MATCH($B716,Task_Tracker!$A$5:$A$1004,0)),""))</f>
        <v/>
      </c>
      <c r="W716" s="81">
        <f>IF(OR($D716="",$B716=""),"",$D716&amp;" | "&amp;$B716)</f>
        <v/>
      </c>
      <c r="X716" s="85">
        <f>IF($K716="","",TEXT($K716,"yyyy-mm"))</f>
        <v/>
      </c>
      <c r="Y716" s="81">
        <f>IF(OR($A716="",$T716=""),"","Included in Manager_Report")</f>
        <v/>
      </c>
    </row>
    <row r="717" ht="15" customHeight="1" s="40">
      <c r="A717" s="65">
        <f>IF(COUNTA(B717:G717)=0,"","STP-"&amp;TEXT(ROW()-4,"0000"))</f>
        <v/>
      </c>
      <c r="B717" s="78" t="n"/>
      <c r="C717" s="67">
        <f>IF($B717="","",IFERROR(INDEX(Task_Tracker!$D$5:$D$1004,MATCH($B717,Task_Tracker!$A$5:$A$1004,0)),""))</f>
        <v/>
      </c>
      <c r="D717" s="67">
        <f>IF($B717="","",IFERROR(INDEX(Task_Tracker!$B$5:$B$1004,MATCH($B717,Task_Tracker!$A$5:$A$1004,0)),""))</f>
        <v/>
      </c>
      <c r="E717" s="81" t="n"/>
      <c r="F717" s="81" t="n"/>
      <c r="G717" s="78" t="n"/>
      <c r="H717" s="78" t="n"/>
      <c r="I717" s="67">
        <f>IF($H717="","",IFERROR(INDEX(Action_Status_Map!$B$5:$B$11,MATCH($H717,Action_Status_Map!$A$5:$A$11,0)),""))</f>
        <v/>
      </c>
      <c r="J717" s="82" t="n"/>
      <c r="K717" s="82" t="n"/>
      <c r="L717" s="82" t="n"/>
      <c r="M717" s="83" t="n"/>
      <c r="N717" s="83" t="n"/>
      <c r="O717" s="66">
        <f>IF(OR($M717="",$N717=""),"",$N717-$M717)</f>
        <v/>
      </c>
      <c r="P717" s="84">
        <f>IF($J717="","",IF($L717&lt;&gt;"",$L717-$J717,TODAY()-$J717))</f>
        <v/>
      </c>
      <c r="Q717" s="85">
        <f>IF(OR($K717="",$H717="Completed",$H717="Cancelled"),"",IF(AND($K717&lt;TODAY(),$H717&lt;&gt;"Completed",$H717&lt;&gt;"Cancelled"),"Overdue","On Track"))</f>
        <v/>
      </c>
      <c r="R717" s="81" t="n"/>
      <c r="S717" s="81">
        <f>IF($B717="","",IFERROR(INDEX(Task_Tracker!$AA$5:$AA$1004,MATCH($B717,Task_Tracker!$A$5:$A$1004,0)),""))</f>
        <v/>
      </c>
      <c r="T717" s="81">
        <f>IF($B717="","",IFERROR(INDEX(Task_Tracker!$AB$5:$AB$1004,MATCH($B717,Task_Tracker!$A$5:$A$1004,0)),""))</f>
        <v/>
      </c>
      <c r="U717" s="78">
        <f>IF($B717="","",IFERROR(INDEX(Task_Tracker!$F$5:$F$1004,MATCH($B717,Task_Tracker!$A$5:$A$1004,0)),""))</f>
        <v/>
      </c>
      <c r="V717" s="78">
        <f>IF($B717="","",IFERROR(INDEX(Task_Tracker!$I$5:$I$1004,MATCH($B717,Task_Tracker!$A$5:$A$1004,0)),""))</f>
        <v/>
      </c>
      <c r="W717" s="81">
        <f>IF(OR($D717="",$B717=""),"",$D717&amp;" | "&amp;$B717)</f>
        <v/>
      </c>
      <c r="X717" s="85">
        <f>IF($K717="","",TEXT($K717,"yyyy-mm"))</f>
        <v/>
      </c>
      <c r="Y717" s="81">
        <f>IF(OR($A717="",$T717=""),"","Included in Manager_Report")</f>
        <v/>
      </c>
    </row>
    <row r="718" ht="15" customHeight="1" s="40">
      <c r="A718" s="65">
        <f>IF(COUNTA(B718:G718)=0,"","STP-"&amp;TEXT(ROW()-4,"0000"))</f>
        <v/>
      </c>
      <c r="B718" s="78" t="n"/>
      <c r="C718" s="67">
        <f>IF($B718="","",IFERROR(INDEX(Task_Tracker!$D$5:$D$1004,MATCH($B718,Task_Tracker!$A$5:$A$1004,0)),""))</f>
        <v/>
      </c>
      <c r="D718" s="67">
        <f>IF($B718="","",IFERROR(INDEX(Task_Tracker!$B$5:$B$1004,MATCH($B718,Task_Tracker!$A$5:$A$1004,0)),""))</f>
        <v/>
      </c>
      <c r="E718" s="81" t="n"/>
      <c r="F718" s="81" t="n"/>
      <c r="G718" s="78" t="n"/>
      <c r="H718" s="78" t="n"/>
      <c r="I718" s="67">
        <f>IF($H718="","",IFERROR(INDEX(Action_Status_Map!$B$5:$B$11,MATCH($H718,Action_Status_Map!$A$5:$A$11,0)),""))</f>
        <v/>
      </c>
      <c r="J718" s="82" t="n"/>
      <c r="K718" s="82" t="n"/>
      <c r="L718" s="82" t="n"/>
      <c r="M718" s="83" t="n"/>
      <c r="N718" s="83" t="n"/>
      <c r="O718" s="66">
        <f>IF(OR($M718="",$N718=""),"",$N718-$M718)</f>
        <v/>
      </c>
      <c r="P718" s="84">
        <f>IF($J718="","",IF($L718&lt;&gt;"",$L718-$J718,TODAY()-$J718))</f>
        <v/>
      </c>
      <c r="Q718" s="85">
        <f>IF(OR($K718="",$H718="Completed",$H718="Cancelled"),"",IF(AND($K718&lt;TODAY(),$H718&lt;&gt;"Completed",$H718&lt;&gt;"Cancelled"),"Overdue","On Track"))</f>
        <v/>
      </c>
      <c r="R718" s="81" t="n"/>
      <c r="S718" s="81">
        <f>IF($B718="","",IFERROR(INDEX(Task_Tracker!$AA$5:$AA$1004,MATCH($B718,Task_Tracker!$A$5:$A$1004,0)),""))</f>
        <v/>
      </c>
      <c r="T718" s="81">
        <f>IF($B718="","",IFERROR(INDEX(Task_Tracker!$AB$5:$AB$1004,MATCH($B718,Task_Tracker!$A$5:$A$1004,0)),""))</f>
        <v/>
      </c>
      <c r="U718" s="78">
        <f>IF($B718="","",IFERROR(INDEX(Task_Tracker!$F$5:$F$1004,MATCH($B718,Task_Tracker!$A$5:$A$1004,0)),""))</f>
        <v/>
      </c>
      <c r="V718" s="78">
        <f>IF($B718="","",IFERROR(INDEX(Task_Tracker!$I$5:$I$1004,MATCH($B718,Task_Tracker!$A$5:$A$1004,0)),""))</f>
        <v/>
      </c>
      <c r="W718" s="81">
        <f>IF(OR($D718="",$B718=""),"",$D718&amp;" | "&amp;$B718)</f>
        <v/>
      </c>
      <c r="X718" s="85">
        <f>IF($K718="","",TEXT($K718,"yyyy-mm"))</f>
        <v/>
      </c>
      <c r="Y718" s="81">
        <f>IF(OR($A718="",$T718=""),"","Included in Manager_Report")</f>
        <v/>
      </c>
    </row>
    <row r="719" ht="15" customHeight="1" s="40">
      <c r="A719" s="65">
        <f>IF(COUNTA(B719:G719)=0,"","STP-"&amp;TEXT(ROW()-4,"0000"))</f>
        <v/>
      </c>
      <c r="B719" s="78" t="n"/>
      <c r="C719" s="67">
        <f>IF($B719="","",IFERROR(INDEX(Task_Tracker!$D$5:$D$1004,MATCH($B719,Task_Tracker!$A$5:$A$1004,0)),""))</f>
        <v/>
      </c>
      <c r="D719" s="67">
        <f>IF($B719="","",IFERROR(INDEX(Task_Tracker!$B$5:$B$1004,MATCH($B719,Task_Tracker!$A$5:$A$1004,0)),""))</f>
        <v/>
      </c>
      <c r="E719" s="81" t="n"/>
      <c r="F719" s="81" t="n"/>
      <c r="G719" s="78" t="n"/>
      <c r="H719" s="78" t="n"/>
      <c r="I719" s="67">
        <f>IF($H719="","",IFERROR(INDEX(Action_Status_Map!$B$5:$B$11,MATCH($H719,Action_Status_Map!$A$5:$A$11,0)),""))</f>
        <v/>
      </c>
      <c r="J719" s="82" t="n"/>
      <c r="K719" s="82" t="n"/>
      <c r="L719" s="82" t="n"/>
      <c r="M719" s="83" t="n"/>
      <c r="N719" s="83" t="n"/>
      <c r="O719" s="66">
        <f>IF(OR($M719="",$N719=""),"",$N719-$M719)</f>
        <v/>
      </c>
      <c r="P719" s="84">
        <f>IF($J719="","",IF($L719&lt;&gt;"",$L719-$J719,TODAY()-$J719))</f>
        <v/>
      </c>
      <c r="Q719" s="85">
        <f>IF(OR($K719="",$H719="Completed",$H719="Cancelled"),"",IF(AND($K719&lt;TODAY(),$H719&lt;&gt;"Completed",$H719&lt;&gt;"Cancelled"),"Overdue","On Track"))</f>
        <v/>
      </c>
      <c r="R719" s="81" t="n"/>
      <c r="S719" s="81">
        <f>IF($B719="","",IFERROR(INDEX(Task_Tracker!$AA$5:$AA$1004,MATCH($B719,Task_Tracker!$A$5:$A$1004,0)),""))</f>
        <v/>
      </c>
      <c r="T719" s="81">
        <f>IF($B719="","",IFERROR(INDEX(Task_Tracker!$AB$5:$AB$1004,MATCH($B719,Task_Tracker!$A$5:$A$1004,0)),""))</f>
        <v/>
      </c>
      <c r="U719" s="78">
        <f>IF($B719="","",IFERROR(INDEX(Task_Tracker!$F$5:$F$1004,MATCH($B719,Task_Tracker!$A$5:$A$1004,0)),""))</f>
        <v/>
      </c>
      <c r="V719" s="78">
        <f>IF($B719="","",IFERROR(INDEX(Task_Tracker!$I$5:$I$1004,MATCH($B719,Task_Tracker!$A$5:$A$1004,0)),""))</f>
        <v/>
      </c>
      <c r="W719" s="81">
        <f>IF(OR($D719="",$B719=""),"",$D719&amp;" | "&amp;$B719)</f>
        <v/>
      </c>
      <c r="X719" s="85">
        <f>IF($K719="","",TEXT($K719,"yyyy-mm"))</f>
        <v/>
      </c>
      <c r="Y719" s="81">
        <f>IF(OR($A719="",$T719=""),"","Included in Manager_Report")</f>
        <v/>
      </c>
    </row>
    <row r="720" ht="15" customHeight="1" s="40">
      <c r="A720" s="65">
        <f>IF(COUNTA(B720:G720)=0,"","STP-"&amp;TEXT(ROW()-4,"0000"))</f>
        <v/>
      </c>
      <c r="B720" s="78" t="n"/>
      <c r="C720" s="67">
        <f>IF($B720="","",IFERROR(INDEX(Task_Tracker!$D$5:$D$1004,MATCH($B720,Task_Tracker!$A$5:$A$1004,0)),""))</f>
        <v/>
      </c>
      <c r="D720" s="67">
        <f>IF($B720="","",IFERROR(INDEX(Task_Tracker!$B$5:$B$1004,MATCH($B720,Task_Tracker!$A$5:$A$1004,0)),""))</f>
        <v/>
      </c>
      <c r="E720" s="81" t="n"/>
      <c r="F720" s="81" t="n"/>
      <c r="G720" s="78" t="n"/>
      <c r="H720" s="78" t="n"/>
      <c r="I720" s="67">
        <f>IF($H720="","",IFERROR(INDEX(Action_Status_Map!$B$5:$B$11,MATCH($H720,Action_Status_Map!$A$5:$A$11,0)),""))</f>
        <v/>
      </c>
      <c r="J720" s="82" t="n"/>
      <c r="K720" s="82" t="n"/>
      <c r="L720" s="82" t="n"/>
      <c r="M720" s="83" t="n"/>
      <c r="N720" s="83" t="n"/>
      <c r="O720" s="66">
        <f>IF(OR($M720="",$N720=""),"",$N720-$M720)</f>
        <v/>
      </c>
      <c r="P720" s="84">
        <f>IF($J720="","",IF($L720&lt;&gt;"",$L720-$J720,TODAY()-$J720))</f>
        <v/>
      </c>
      <c r="Q720" s="85">
        <f>IF(OR($K720="",$H720="Completed",$H720="Cancelled"),"",IF(AND($K720&lt;TODAY(),$H720&lt;&gt;"Completed",$H720&lt;&gt;"Cancelled"),"Overdue","On Track"))</f>
        <v/>
      </c>
      <c r="R720" s="81" t="n"/>
      <c r="S720" s="81">
        <f>IF($B720="","",IFERROR(INDEX(Task_Tracker!$AA$5:$AA$1004,MATCH($B720,Task_Tracker!$A$5:$A$1004,0)),""))</f>
        <v/>
      </c>
      <c r="T720" s="81">
        <f>IF($B720="","",IFERROR(INDEX(Task_Tracker!$AB$5:$AB$1004,MATCH($B720,Task_Tracker!$A$5:$A$1004,0)),""))</f>
        <v/>
      </c>
      <c r="U720" s="78">
        <f>IF($B720="","",IFERROR(INDEX(Task_Tracker!$F$5:$F$1004,MATCH($B720,Task_Tracker!$A$5:$A$1004,0)),""))</f>
        <v/>
      </c>
      <c r="V720" s="78">
        <f>IF($B720="","",IFERROR(INDEX(Task_Tracker!$I$5:$I$1004,MATCH($B720,Task_Tracker!$A$5:$A$1004,0)),""))</f>
        <v/>
      </c>
      <c r="W720" s="81">
        <f>IF(OR($D720="",$B720=""),"",$D720&amp;" | "&amp;$B720)</f>
        <v/>
      </c>
      <c r="X720" s="85">
        <f>IF($K720="","",TEXT($K720,"yyyy-mm"))</f>
        <v/>
      </c>
      <c r="Y720" s="81">
        <f>IF(OR($A720="",$T720=""),"","Included in Manager_Report")</f>
        <v/>
      </c>
    </row>
    <row r="721" ht="15" customHeight="1" s="40">
      <c r="A721" s="65">
        <f>IF(COUNTA(B721:G721)=0,"","STP-"&amp;TEXT(ROW()-4,"0000"))</f>
        <v/>
      </c>
      <c r="B721" s="78" t="n"/>
      <c r="C721" s="67">
        <f>IF($B721="","",IFERROR(INDEX(Task_Tracker!$D$5:$D$1004,MATCH($B721,Task_Tracker!$A$5:$A$1004,0)),""))</f>
        <v/>
      </c>
      <c r="D721" s="67">
        <f>IF($B721="","",IFERROR(INDEX(Task_Tracker!$B$5:$B$1004,MATCH($B721,Task_Tracker!$A$5:$A$1004,0)),""))</f>
        <v/>
      </c>
      <c r="E721" s="81" t="n"/>
      <c r="F721" s="81" t="n"/>
      <c r="G721" s="78" t="n"/>
      <c r="H721" s="78" t="n"/>
      <c r="I721" s="67">
        <f>IF($H721="","",IFERROR(INDEX(Action_Status_Map!$B$5:$B$11,MATCH($H721,Action_Status_Map!$A$5:$A$11,0)),""))</f>
        <v/>
      </c>
      <c r="J721" s="82" t="n"/>
      <c r="K721" s="82" t="n"/>
      <c r="L721" s="82" t="n"/>
      <c r="M721" s="83" t="n"/>
      <c r="N721" s="83" t="n"/>
      <c r="O721" s="66">
        <f>IF(OR($M721="",$N721=""),"",$N721-$M721)</f>
        <v/>
      </c>
      <c r="P721" s="84">
        <f>IF($J721="","",IF($L721&lt;&gt;"",$L721-$J721,TODAY()-$J721))</f>
        <v/>
      </c>
      <c r="Q721" s="85">
        <f>IF(OR($K721="",$H721="Completed",$H721="Cancelled"),"",IF(AND($K721&lt;TODAY(),$H721&lt;&gt;"Completed",$H721&lt;&gt;"Cancelled"),"Overdue","On Track"))</f>
        <v/>
      </c>
      <c r="R721" s="81" t="n"/>
      <c r="S721" s="81">
        <f>IF($B721="","",IFERROR(INDEX(Task_Tracker!$AA$5:$AA$1004,MATCH($B721,Task_Tracker!$A$5:$A$1004,0)),""))</f>
        <v/>
      </c>
      <c r="T721" s="81">
        <f>IF($B721="","",IFERROR(INDEX(Task_Tracker!$AB$5:$AB$1004,MATCH($B721,Task_Tracker!$A$5:$A$1004,0)),""))</f>
        <v/>
      </c>
      <c r="U721" s="78">
        <f>IF($B721="","",IFERROR(INDEX(Task_Tracker!$F$5:$F$1004,MATCH($B721,Task_Tracker!$A$5:$A$1004,0)),""))</f>
        <v/>
      </c>
      <c r="V721" s="78">
        <f>IF($B721="","",IFERROR(INDEX(Task_Tracker!$I$5:$I$1004,MATCH($B721,Task_Tracker!$A$5:$A$1004,0)),""))</f>
        <v/>
      </c>
      <c r="W721" s="81">
        <f>IF(OR($D721="",$B721=""),"",$D721&amp;" | "&amp;$B721)</f>
        <v/>
      </c>
      <c r="X721" s="85">
        <f>IF($K721="","",TEXT($K721,"yyyy-mm"))</f>
        <v/>
      </c>
      <c r="Y721" s="81">
        <f>IF(OR($A721="",$T721=""),"","Included in Manager_Report")</f>
        <v/>
      </c>
    </row>
    <row r="722" ht="15" customHeight="1" s="40">
      <c r="A722" s="65">
        <f>IF(COUNTA(B722:G722)=0,"","STP-"&amp;TEXT(ROW()-4,"0000"))</f>
        <v/>
      </c>
      <c r="B722" s="78" t="n"/>
      <c r="C722" s="67">
        <f>IF($B722="","",IFERROR(INDEX(Task_Tracker!$D$5:$D$1004,MATCH($B722,Task_Tracker!$A$5:$A$1004,0)),""))</f>
        <v/>
      </c>
      <c r="D722" s="67">
        <f>IF($B722="","",IFERROR(INDEX(Task_Tracker!$B$5:$B$1004,MATCH($B722,Task_Tracker!$A$5:$A$1004,0)),""))</f>
        <v/>
      </c>
      <c r="E722" s="81" t="n"/>
      <c r="F722" s="81" t="n"/>
      <c r="G722" s="78" t="n"/>
      <c r="H722" s="78" t="n"/>
      <c r="I722" s="67">
        <f>IF($H722="","",IFERROR(INDEX(Action_Status_Map!$B$5:$B$11,MATCH($H722,Action_Status_Map!$A$5:$A$11,0)),""))</f>
        <v/>
      </c>
      <c r="J722" s="82" t="n"/>
      <c r="K722" s="82" t="n"/>
      <c r="L722" s="82" t="n"/>
      <c r="M722" s="83" t="n"/>
      <c r="N722" s="83" t="n"/>
      <c r="O722" s="66">
        <f>IF(OR($M722="",$N722=""),"",$N722-$M722)</f>
        <v/>
      </c>
      <c r="P722" s="84">
        <f>IF($J722="","",IF($L722&lt;&gt;"",$L722-$J722,TODAY()-$J722))</f>
        <v/>
      </c>
      <c r="Q722" s="85">
        <f>IF(OR($K722="",$H722="Completed",$H722="Cancelled"),"",IF(AND($K722&lt;TODAY(),$H722&lt;&gt;"Completed",$H722&lt;&gt;"Cancelled"),"Overdue","On Track"))</f>
        <v/>
      </c>
      <c r="R722" s="81" t="n"/>
      <c r="S722" s="81">
        <f>IF($B722="","",IFERROR(INDEX(Task_Tracker!$AA$5:$AA$1004,MATCH($B722,Task_Tracker!$A$5:$A$1004,0)),""))</f>
        <v/>
      </c>
      <c r="T722" s="81">
        <f>IF($B722="","",IFERROR(INDEX(Task_Tracker!$AB$5:$AB$1004,MATCH($B722,Task_Tracker!$A$5:$A$1004,0)),""))</f>
        <v/>
      </c>
      <c r="U722" s="78">
        <f>IF($B722="","",IFERROR(INDEX(Task_Tracker!$F$5:$F$1004,MATCH($B722,Task_Tracker!$A$5:$A$1004,0)),""))</f>
        <v/>
      </c>
      <c r="V722" s="78">
        <f>IF($B722="","",IFERROR(INDEX(Task_Tracker!$I$5:$I$1004,MATCH($B722,Task_Tracker!$A$5:$A$1004,0)),""))</f>
        <v/>
      </c>
      <c r="W722" s="81">
        <f>IF(OR($D722="",$B722=""),"",$D722&amp;" | "&amp;$B722)</f>
        <v/>
      </c>
      <c r="X722" s="85">
        <f>IF($K722="","",TEXT($K722,"yyyy-mm"))</f>
        <v/>
      </c>
      <c r="Y722" s="81">
        <f>IF(OR($A722="",$T722=""),"","Included in Manager_Report")</f>
        <v/>
      </c>
    </row>
    <row r="723" ht="15" customHeight="1" s="40">
      <c r="A723" s="65">
        <f>IF(COUNTA(B723:G723)=0,"","STP-"&amp;TEXT(ROW()-4,"0000"))</f>
        <v/>
      </c>
      <c r="B723" s="78" t="n"/>
      <c r="C723" s="67">
        <f>IF($B723="","",IFERROR(INDEX(Task_Tracker!$D$5:$D$1004,MATCH($B723,Task_Tracker!$A$5:$A$1004,0)),""))</f>
        <v/>
      </c>
      <c r="D723" s="67">
        <f>IF($B723="","",IFERROR(INDEX(Task_Tracker!$B$5:$B$1004,MATCH($B723,Task_Tracker!$A$5:$A$1004,0)),""))</f>
        <v/>
      </c>
      <c r="E723" s="81" t="n"/>
      <c r="F723" s="81" t="n"/>
      <c r="G723" s="78" t="n"/>
      <c r="H723" s="78" t="n"/>
      <c r="I723" s="67">
        <f>IF($H723="","",IFERROR(INDEX(Action_Status_Map!$B$5:$B$11,MATCH($H723,Action_Status_Map!$A$5:$A$11,0)),""))</f>
        <v/>
      </c>
      <c r="J723" s="82" t="n"/>
      <c r="K723" s="82" t="n"/>
      <c r="L723" s="82" t="n"/>
      <c r="M723" s="83" t="n"/>
      <c r="N723" s="83" t="n"/>
      <c r="O723" s="66">
        <f>IF(OR($M723="",$N723=""),"",$N723-$M723)</f>
        <v/>
      </c>
      <c r="P723" s="84">
        <f>IF($J723="","",IF($L723&lt;&gt;"",$L723-$J723,TODAY()-$J723))</f>
        <v/>
      </c>
      <c r="Q723" s="85">
        <f>IF(OR($K723="",$H723="Completed",$H723="Cancelled"),"",IF(AND($K723&lt;TODAY(),$H723&lt;&gt;"Completed",$H723&lt;&gt;"Cancelled"),"Overdue","On Track"))</f>
        <v/>
      </c>
      <c r="R723" s="81" t="n"/>
      <c r="S723" s="81">
        <f>IF($B723="","",IFERROR(INDEX(Task_Tracker!$AA$5:$AA$1004,MATCH($B723,Task_Tracker!$A$5:$A$1004,0)),""))</f>
        <v/>
      </c>
      <c r="T723" s="81">
        <f>IF($B723="","",IFERROR(INDEX(Task_Tracker!$AB$5:$AB$1004,MATCH($B723,Task_Tracker!$A$5:$A$1004,0)),""))</f>
        <v/>
      </c>
      <c r="U723" s="78">
        <f>IF($B723="","",IFERROR(INDEX(Task_Tracker!$F$5:$F$1004,MATCH($B723,Task_Tracker!$A$5:$A$1004,0)),""))</f>
        <v/>
      </c>
      <c r="V723" s="78">
        <f>IF($B723="","",IFERROR(INDEX(Task_Tracker!$I$5:$I$1004,MATCH($B723,Task_Tracker!$A$5:$A$1004,0)),""))</f>
        <v/>
      </c>
      <c r="W723" s="81">
        <f>IF(OR($D723="",$B723=""),"",$D723&amp;" | "&amp;$B723)</f>
        <v/>
      </c>
      <c r="X723" s="85">
        <f>IF($K723="","",TEXT($K723,"yyyy-mm"))</f>
        <v/>
      </c>
      <c r="Y723" s="81">
        <f>IF(OR($A723="",$T723=""),"","Included in Manager_Report")</f>
        <v/>
      </c>
    </row>
    <row r="724" ht="15" customHeight="1" s="40">
      <c r="A724" s="65">
        <f>IF(COUNTA(B724:G724)=0,"","STP-"&amp;TEXT(ROW()-4,"0000"))</f>
        <v/>
      </c>
      <c r="B724" s="78" t="n"/>
      <c r="C724" s="67">
        <f>IF($B724="","",IFERROR(INDEX(Task_Tracker!$D$5:$D$1004,MATCH($B724,Task_Tracker!$A$5:$A$1004,0)),""))</f>
        <v/>
      </c>
      <c r="D724" s="67">
        <f>IF($B724="","",IFERROR(INDEX(Task_Tracker!$B$5:$B$1004,MATCH($B724,Task_Tracker!$A$5:$A$1004,0)),""))</f>
        <v/>
      </c>
      <c r="E724" s="81" t="n"/>
      <c r="F724" s="81" t="n"/>
      <c r="G724" s="78" t="n"/>
      <c r="H724" s="78" t="n"/>
      <c r="I724" s="67">
        <f>IF($H724="","",IFERROR(INDEX(Action_Status_Map!$B$5:$B$11,MATCH($H724,Action_Status_Map!$A$5:$A$11,0)),""))</f>
        <v/>
      </c>
      <c r="J724" s="82" t="n"/>
      <c r="K724" s="82" t="n"/>
      <c r="L724" s="82" t="n"/>
      <c r="M724" s="83" t="n"/>
      <c r="N724" s="83" t="n"/>
      <c r="O724" s="66">
        <f>IF(OR($M724="",$N724=""),"",$N724-$M724)</f>
        <v/>
      </c>
      <c r="P724" s="84">
        <f>IF($J724="","",IF($L724&lt;&gt;"",$L724-$J724,TODAY()-$J724))</f>
        <v/>
      </c>
      <c r="Q724" s="85">
        <f>IF(OR($K724="",$H724="Completed",$H724="Cancelled"),"",IF(AND($K724&lt;TODAY(),$H724&lt;&gt;"Completed",$H724&lt;&gt;"Cancelled"),"Overdue","On Track"))</f>
        <v/>
      </c>
      <c r="R724" s="81" t="n"/>
      <c r="S724" s="81">
        <f>IF($B724="","",IFERROR(INDEX(Task_Tracker!$AA$5:$AA$1004,MATCH($B724,Task_Tracker!$A$5:$A$1004,0)),""))</f>
        <v/>
      </c>
      <c r="T724" s="81">
        <f>IF($B724="","",IFERROR(INDEX(Task_Tracker!$AB$5:$AB$1004,MATCH($B724,Task_Tracker!$A$5:$A$1004,0)),""))</f>
        <v/>
      </c>
      <c r="U724" s="78">
        <f>IF($B724="","",IFERROR(INDEX(Task_Tracker!$F$5:$F$1004,MATCH($B724,Task_Tracker!$A$5:$A$1004,0)),""))</f>
        <v/>
      </c>
      <c r="V724" s="78">
        <f>IF($B724="","",IFERROR(INDEX(Task_Tracker!$I$5:$I$1004,MATCH($B724,Task_Tracker!$A$5:$A$1004,0)),""))</f>
        <v/>
      </c>
      <c r="W724" s="81">
        <f>IF(OR($D724="",$B724=""),"",$D724&amp;" | "&amp;$B724)</f>
        <v/>
      </c>
      <c r="X724" s="85">
        <f>IF($K724="","",TEXT($K724,"yyyy-mm"))</f>
        <v/>
      </c>
      <c r="Y724" s="81">
        <f>IF(OR($A724="",$T724=""),"","Included in Manager_Report")</f>
        <v/>
      </c>
    </row>
    <row r="725" ht="15" customHeight="1" s="40">
      <c r="A725" s="65">
        <f>IF(COUNTA(B725:G725)=0,"","STP-"&amp;TEXT(ROW()-4,"0000"))</f>
        <v/>
      </c>
      <c r="B725" s="78" t="n"/>
      <c r="C725" s="67">
        <f>IF($B725="","",IFERROR(INDEX(Task_Tracker!$D$5:$D$1004,MATCH($B725,Task_Tracker!$A$5:$A$1004,0)),""))</f>
        <v/>
      </c>
      <c r="D725" s="67">
        <f>IF($B725="","",IFERROR(INDEX(Task_Tracker!$B$5:$B$1004,MATCH($B725,Task_Tracker!$A$5:$A$1004,0)),""))</f>
        <v/>
      </c>
      <c r="E725" s="81" t="n"/>
      <c r="F725" s="81" t="n"/>
      <c r="G725" s="78" t="n"/>
      <c r="H725" s="78" t="n"/>
      <c r="I725" s="67">
        <f>IF($H725="","",IFERROR(INDEX(Action_Status_Map!$B$5:$B$11,MATCH($H725,Action_Status_Map!$A$5:$A$11,0)),""))</f>
        <v/>
      </c>
      <c r="J725" s="82" t="n"/>
      <c r="K725" s="82" t="n"/>
      <c r="L725" s="82" t="n"/>
      <c r="M725" s="83" t="n"/>
      <c r="N725" s="83" t="n"/>
      <c r="O725" s="66">
        <f>IF(OR($M725="",$N725=""),"",$N725-$M725)</f>
        <v/>
      </c>
      <c r="P725" s="84">
        <f>IF($J725="","",IF($L725&lt;&gt;"",$L725-$J725,TODAY()-$J725))</f>
        <v/>
      </c>
      <c r="Q725" s="85">
        <f>IF(OR($K725="",$H725="Completed",$H725="Cancelled"),"",IF(AND($K725&lt;TODAY(),$H725&lt;&gt;"Completed",$H725&lt;&gt;"Cancelled"),"Overdue","On Track"))</f>
        <v/>
      </c>
      <c r="R725" s="81" t="n"/>
      <c r="S725" s="81">
        <f>IF($B725="","",IFERROR(INDEX(Task_Tracker!$AA$5:$AA$1004,MATCH($B725,Task_Tracker!$A$5:$A$1004,0)),""))</f>
        <v/>
      </c>
      <c r="T725" s="81">
        <f>IF($B725="","",IFERROR(INDEX(Task_Tracker!$AB$5:$AB$1004,MATCH($B725,Task_Tracker!$A$5:$A$1004,0)),""))</f>
        <v/>
      </c>
      <c r="U725" s="78">
        <f>IF($B725="","",IFERROR(INDEX(Task_Tracker!$F$5:$F$1004,MATCH($B725,Task_Tracker!$A$5:$A$1004,0)),""))</f>
        <v/>
      </c>
      <c r="V725" s="78">
        <f>IF($B725="","",IFERROR(INDEX(Task_Tracker!$I$5:$I$1004,MATCH($B725,Task_Tracker!$A$5:$A$1004,0)),""))</f>
        <v/>
      </c>
      <c r="W725" s="81">
        <f>IF(OR($D725="",$B725=""),"",$D725&amp;" | "&amp;$B725)</f>
        <v/>
      </c>
      <c r="X725" s="85">
        <f>IF($K725="","",TEXT($K725,"yyyy-mm"))</f>
        <v/>
      </c>
      <c r="Y725" s="81">
        <f>IF(OR($A725="",$T725=""),"","Included in Manager_Report")</f>
        <v/>
      </c>
    </row>
    <row r="726" ht="15" customHeight="1" s="40">
      <c r="A726" s="65">
        <f>IF(COUNTA(B726:G726)=0,"","STP-"&amp;TEXT(ROW()-4,"0000"))</f>
        <v/>
      </c>
      <c r="B726" s="78" t="n"/>
      <c r="C726" s="67">
        <f>IF($B726="","",IFERROR(INDEX(Task_Tracker!$D$5:$D$1004,MATCH($B726,Task_Tracker!$A$5:$A$1004,0)),""))</f>
        <v/>
      </c>
      <c r="D726" s="67">
        <f>IF($B726="","",IFERROR(INDEX(Task_Tracker!$B$5:$B$1004,MATCH($B726,Task_Tracker!$A$5:$A$1004,0)),""))</f>
        <v/>
      </c>
      <c r="E726" s="81" t="n"/>
      <c r="F726" s="81" t="n"/>
      <c r="G726" s="78" t="n"/>
      <c r="H726" s="78" t="n"/>
      <c r="I726" s="67">
        <f>IF($H726="","",IFERROR(INDEX(Action_Status_Map!$B$5:$B$11,MATCH($H726,Action_Status_Map!$A$5:$A$11,0)),""))</f>
        <v/>
      </c>
      <c r="J726" s="82" t="n"/>
      <c r="K726" s="82" t="n"/>
      <c r="L726" s="82" t="n"/>
      <c r="M726" s="83" t="n"/>
      <c r="N726" s="83" t="n"/>
      <c r="O726" s="66">
        <f>IF(OR($M726="",$N726=""),"",$N726-$M726)</f>
        <v/>
      </c>
      <c r="P726" s="84">
        <f>IF($J726="","",IF($L726&lt;&gt;"",$L726-$J726,TODAY()-$J726))</f>
        <v/>
      </c>
      <c r="Q726" s="85">
        <f>IF(OR($K726="",$H726="Completed",$H726="Cancelled"),"",IF(AND($K726&lt;TODAY(),$H726&lt;&gt;"Completed",$H726&lt;&gt;"Cancelled"),"Overdue","On Track"))</f>
        <v/>
      </c>
      <c r="R726" s="81" t="n"/>
      <c r="S726" s="81">
        <f>IF($B726="","",IFERROR(INDEX(Task_Tracker!$AA$5:$AA$1004,MATCH($B726,Task_Tracker!$A$5:$A$1004,0)),""))</f>
        <v/>
      </c>
      <c r="T726" s="81">
        <f>IF($B726="","",IFERROR(INDEX(Task_Tracker!$AB$5:$AB$1004,MATCH($B726,Task_Tracker!$A$5:$A$1004,0)),""))</f>
        <v/>
      </c>
      <c r="U726" s="78">
        <f>IF($B726="","",IFERROR(INDEX(Task_Tracker!$F$5:$F$1004,MATCH($B726,Task_Tracker!$A$5:$A$1004,0)),""))</f>
        <v/>
      </c>
      <c r="V726" s="78">
        <f>IF($B726="","",IFERROR(INDEX(Task_Tracker!$I$5:$I$1004,MATCH($B726,Task_Tracker!$A$5:$A$1004,0)),""))</f>
        <v/>
      </c>
      <c r="W726" s="81">
        <f>IF(OR($D726="",$B726=""),"",$D726&amp;" | "&amp;$B726)</f>
        <v/>
      </c>
      <c r="X726" s="85">
        <f>IF($K726="","",TEXT($K726,"yyyy-mm"))</f>
        <v/>
      </c>
      <c r="Y726" s="81">
        <f>IF(OR($A726="",$T726=""),"","Included in Manager_Report")</f>
        <v/>
      </c>
    </row>
    <row r="727" ht="15" customHeight="1" s="40">
      <c r="A727" s="65">
        <f>IF(COUNTA(B727:G727)=0,"","STP-"&amp;TEXT(ROW()-4,"0000"))</f>
        <v/>
      </c>
      <c r="B727" s="78" t="n"/>
      <c r="C727" s="67">
        <f>IF($B727="","",IFERROR(INDEX(Task_Tracker!$D$5:$D$1004,MATCH($B727,Task_Tracker!$A$5:$A$1004,0)),""))</f>
        <v/>
      </c>
      <c r="D727" s="67">
        <f>IF($B727="","",IFERROR(INDEX(Task_Tracker!$B$5:$B$1004,MATCH($B727,Task_Tracker!$A$5:$A$1004,0)),""))</f>
        <v/>
      </c>
      <c r="E727" s="81" t="n"/>
      <c r="F727" s="81" t="n"/>
      <c r="G727" s="78" t="n"/>
      <c r="H727" s="78" t="n"/>
      <c r="I727" s="67">
        <f>IF($H727="","",IFERROR(INDEX(Action_Status_Map!$B$5:$B$11,MATCH($H727,Action_Status_Map!$A$5:$A$11,0)),""))</f>
        <v/>
      </c>
      <c r="J727" s="82" t="n"/>
      <c r="K727" s="82" t="n"/>
      <c r="L727" s="82" t="n"/>
      <c r="M727" s="83" t="n"/>
      <c r="N727" s="83" t="n"/>
      <c r="O727" s="66">
        <f>IF(OR($M727="",$N727=""),"",$N727-$M727)</f>
        <v/>
      </c>
      <c r="P727" s="84">
        <f>IF($J727="","",IF($L727&lt;&gt;"",$L727-$J727,TODAY()-$J727))</f>
        <v/>
      </c>
      <c r="Q727" s="85">
        <f>IF(OR($K727="",$H727="Completed",$H727="Cancelled"),"",IF(AND($K727&lt;TODAY(),$H727&lt;&gt;"Completed",$H727&lt;&gt;"Cancelled"),"Overdue","On Track"))</f>
        <v/>
      </c>
      <c r="R727" s="81" t="n"/>
      <c r="S727" s="81">
        <f>IF($B727="","",IFERROR(INDEX(Task_Tracker!$AA$5:$AA$1004,MATCH($B727,Task_Tracker!$A$5:$A$1004,0)),""))</f>
        <v/>
      </c>
      <c r="T727" s="81">
        <f>IF($B727="","",IFERROR(INDEX(Task_Tracker!$AB$5:$AB$1004,MATCH($B727,Task_Tracker!$A$5:$A$1004,0)),""))</f>
        <v/>
      </c>
      <c r="U727" s="78">
        <f>IF($B727="","",IFERROR(INDEX(Task_Tracker!$F$5:$F$1004,MATCH($B727,Task_Tracker!$A$5:$A$1004,0)),""))</f>
        <v/>
      </c>
      <c r="V727" s="78">
        <f>IF($B727="","",IFERROR(INDEX(Task_Tracker!$I$5:$I$1004,MATCH($B727,Task_Tracker!$A$5:$A$1004,0)),""))</f>
        <v/>
      </c>
      <c r="W727" s="81">
        <f>IF(OR($D727="",$B727=""),"",$D727&amp;" | "&amp;$B727)</f>
        <v/>
      </c>
      <c r="X727" s="85">
        <f>IF($K727="","",TEXT($K727,"yyyy-mm"))</f>
        <v/>
      </c>
      <c r="Y727" s="81">
        <f>IF(OR($A727="",$T727=""),"","Included in Manager_Report")</f>
        <v/>
      </c>
    </row>
    <row r="728" ht="15" customHeight="1" s="40">
      <c r="A728" s="65">
        <f>IF(COUNTA(B728:G728)=0,"","STP-"&amp;TEXT(ROW()-4,"0000"))</f>
        <v/>
      </c>
      <c r="B728" s="78" t="n"/>
      <c r="C728" s="67">
        <f>IF($B728="","",IFERROR(INDEX(Task_Tracker!$D$5:$D$1004,MATCH($B728,Task_Tracker!$A$5:$A$1004,0)),""))</f>
        <v/>
      </c>
      <c r="D728" s="67">
        <f>IF($B728="","",IFERROR(INDEX(Task_Tracker!$B$5:$B$1004,MATCH($B728,Task_Tracker!$A$5:$A$1004,0)),""))</f>
        <v/>
      </c>
      <c r="E728" s="81" t="n"/>
      <c r="F728" s="81" t="n"/>
      <c r="G728" s="78" t="n"/>
      <c r="H728" s="78" t="n"/>
      <c r="I728" s="67">
        <f>IF($H728="","",IFERROR(INDEX(Action_Status_Map!$B$5:$B$11,MATCH($H728,Action_Status_Map!$A$5:$A$11,0)),""))</f>
        <v/>
      </c>
      <c r="J728" s="82" t="n"/>
      <c r="K728" s="82" t="n"/>
      <c r="L728" s="82" t="n"/>
      <c r="M728" s="83" t="n"/>
      <c r="N728" s="83" t="n"/>
      <c r="O728" s="66">
        <f>IF(OR($M728="",$N728=""),"",$N728-$M728)</f>
        <v/>
      </c>
      <c r="P728" s="84">
        <f>IF($J728="","",IF($L728&lt;&gt;"",$L728-$J728,TODAY()-$J728))</f>
        <v/>
      </c>
      <c r="Q728" s="85">
        <f>IF(OR($K728="",$H728="Completed",$H728="Cancelled"),"",IF(AND($K728&lt;TODAY(),$H728&lt;&gt;"Completed",$H728&lt;&gt;"Cancelled"),"Overdue","On Track"))</f>
        <v/>
      </c>
      <c r="R728" s="81" t="n"/>
      <c r="S728" s="81">
        <f>IF($B728="","",IFERROR(INDEX(Task_Tracker!$AA$5:$AA$1004,MATCH($B728,Task_Tracker!$A$5:$A$1004,0)),""))</f>
        <v/>
      </c>
      <c r="T728" s="81">
        <f>IF($B728="","",IFERROR(INDEX(Task_Tracker!$AB$5:$AB$1004,MATCH($B728,Task_Tracker!$A$5:$A$1004,0)),""))</f>
        <v/>
      </c>
      <c r="U728" s="78">
        <f>IF($B728="","",IFERROR(INDEX(Task_Tracker!$F$5:$F$1004,MATCH($B728,Task_Tracker!$A$5:$A$1004,0)),""))</f>
        <v/>
      </c>
      <c r="V728" s="78">
        <f>IF($B728="","",IFERROR(INDEX(Task_Tracker!$I$5:$I$1004,MATCH($B728,Task_Tracker!$A$5:$A$1004,0)),""))</f>
        <v/>
      </c>
      <c r="W728" s="81">
        <f>IF(OR($D728="",$B728=""),"",$D728&amp;" | "&amp;$B728)</f>
        <v/>
      </c>
      <c r="X728" s="85">
        <f>IF($K728="","",TEXT($K728,"yyyy-mm"))</f>
        <v/>
      </c>
      <c r="Y728" s="81">
        <f>IF(OR($A728="",$T728=""),"","Included in Manager_Report")</f>
        <v/>
      </c>
    </row>
    <row r="729" ht="15" customHeight="1" s="40">
      <c r="A729" s="65">
        <f>IF(COUNTA(B729:G729)=0,"","STP-"&amp;TEXT(ROW()-4,"0000"))</f>
        <v/>
      </c>
      <c r="B729" s="78" t="n"/>
      <c r="C729" s="67">
        <f>IF($B729="","",IFERROR(INDEX(Task_Tracker!$D$5:$D$1004,MATCH($B729,Task_Tracker!$A$5:$A$1004,0)),""))</f>
        <v/>
      </c>
      <c r="D729" s="67">
        <f>IF($B729="","",IFERROR(INDEX(Task_Tracker!$B$5:$B$1004,MATCH($B729,Task_Tracker!$A$5:$A$1004,0)),""))</f>
        <v/>
      </c>
      <c r="E729" s="81" t="n"/>
      <c r="F729" s="81" t="n"/>
      <c r="G729" s="78" t="n"/>
      <c r="H729" s="78" t="n"/>
      <c r="I729" s="67">
        <f>IF($H729="","",IFERROR(INDEX(Action_Status_Map!$B$5:$B$11,MATCH($H729,Action_Status_Map!$A$5:$A$11,0)),""))</f>
        <v/>
      </c>
      <c r="J729" s="82" t="n"/>
      <c r="K729" s="82" t="n"/>
      <c r="L729" s="82" t="n"/>
      <c r="M729" s="83" t="n"/>
      <c r="N729" s="83" t="n"/>
      <c r="O729" s="66">
        <f>IF(OR($M729="",$N729=""),"",$N729-$M729)</f>
        <v/>
      </c>
      <c r="P729" s="84">
        <f>IF($J729="","",IF($L729&lt;&gt;"",$L729-$J729,TODAY()-$J729))</f>
        <v/>
      </c>
      <c r="Q729" s="85">
        <f>IF(OR($K729="",$H729="Completed",$H729="Cancelled"),"",IF(AND($K729&lt;TODAY(),$H729&lt;&gt;"Completed",$H729&lt;&gt;"Cancelled"),"Overdue","On Track"))</f>
        <v/>
      </c>
      <c r="R729" s="81" t="n"/>
      <c r="S729" s="81">
        <f>IF($B729="","",IFERROR(INDEX(Task_Tracker!$AA$5:$AA$1004,MATCH($B729,Task_Tracker!$A$5:$A$1004,0)),""))</f>
        <v/>
      </c>
      <c r="T729" s="81">
        <f>IF($B729="","",IFERROR(INDEX(Task_Tracker!$AB$5:$AB$1004,MATCH($B729,Task_Tracker!$A$5:$A$1004,0)),""))</f>
        <v/>
      </c>
      <c r="U729" s="78">
        <f>IF($B729="","",IFERROR(INDEX(Task_Tracker!$F$5:$F$1004,MATCH($B729,Task_Tracker!$A$5:$A$1004,0)),""))</f>
        <v/>
      </c>
      <c r="V729" s="78">
        <f>IF($B729="","",IFERROR(INDEX(Task_Tracker!$I$5:$I$1004,MATCH($B729,Task_Tracker!$A$5:$A$1004,0)),""))</f>
        <v/>
      </c>
      <c r="W729" s="81">
        <f>IF(OR($D729="",$B729=""),"",$D729&amp;" | "&amp;$B729)</f>
        <v/>
      </c>
      <c r="X729" s="85">
        <f>IF($K729="","",TEXT($K729,"yyyy-mm"))</f>
        <v/>
      </c>
      <c r="Y729" s="81">
        <f>IF(OR($A729="",$T729=""),"","Included in Manager_Report")</f>
        <v/>
      </c>
    </row>
    <row r="730" ht="15" customHeight="1" s="40">
      <c r="A730" s="65">
        <f>IF(COUNTA(B730:G730)=0,"","STP-"&amp;TEXT(ROW()-4,"0000"))</f>
        <v/>
      </c>
      <c r="B730" s="78" t="n"/>
      <c r="C730" s="67">
        <f>IF($B730="","",IFERROR(INDEX(Task_Tracker!$D$5:$D$1004,MATCH($B730,Task_Tracker!$A$5:$A$1004,0)),""))</f>
        <v/>
      </c>
      <c r="D730" s="67">
        <f>IF($B730="","",IFERROR(INDEX(Task_Tracker!$B$5:$B$1004,MATCH($B730,Task_Tracker!$A$5:$A$1004,0)),""))</f>
        <v/>
      </c>
      <c r="E730" s="81" t="n"/>
      <c r="F730" s="81" t="n"/>
      <c r="G730" s="78" t="n"/>
      <c r="H730" s="78" t="n"/>
      <c r="I730" s="67">
        <f>IF($H730="","",IFERROR(INDEX(Action_Status_Map!$B$5:$B$11,MATCH($H730,Action_Status_Map!$A$5:$A$11,0)),""))</f>
        <v/>
      </c>
      <c r="J730" s="82" t="n"/>
      <c r="K730" s="82" t="n"/>
      <c r="L730" s="82" t="n"/>
      <c r="M730" s="83" t="n"/>
      <c r="N730" s="83" t="n"/>
      <c r="O730" s="66">
        <f>IF(OR($M730="",$N730=""),"",$N730-$M730)</f>
        <v/>
      </c>
      <c r="P730" s="84">
        <f>IF($J730="","",IF($L730&lt;&gt;"",$L730-$J730,TODAY()-$J730))</f>
        <v/>
      </c>
      <c r="Q730" s="85">
        <f>IF(OR($K730="",$H730="Completed",$H730="Cancelled"),"",IF(AND($K730&lt;TODAY(),$H730&lt;&gt;"Completed",$H730&lt;&gt;"Cancelled"),"Overdue","On Track"))</f>
        <v/>
      </c>
      <c r="R730" s="81" t="n"/>
      <c r="S730" s="81">
        <f>IF($B730="","",IFERROR(INDEX(Task_Tracker!$AA$5:$AA$1004,MATCH($B730,Task_Tracker!$A$5:$A$1004,0)),""))</f>
        <v/>
      </c>
      <c r="T730" s="81">
        <f>IF($B730="","",IFERROR(INDEX(Task_Tracker!$AB$5:$AB$1004,MATCH($B730,Task_Tracker!$A$5:$A$1004,0)),""))</f>
        <v/>
      </c>
      <c r="U730" s="78">
        <f>IF($B730="","",IFERROR(INDEX(Task_Tracker!$F$5:$F$1004,MATCH($B730,Task_Tracker!$A$5:$A$1004,0)),""))</f>
        <v/>
      </c>
      <c r="V730" s="78">
        <f>IF($B730="","",IFERROR(INDEX(Task_Tracker!$I$5:$I$1004,MATCH($B730,Task_Tracker!$A$5:$A$1004,0)),""))</f>
        <v/>
      </c>
      <c r="W730" s="81">
        <f>IF(OR($D730="",$B730=""),"",$D730&amp;" | "&amp;$B730)</f>
        <v/>
      </c>
      <c r="X730" s="85">
        <f>IF($K730="","",TEXT($K730,"yyyy-mm"))</f>
        <v/>
      </c>
      <c r="Y730" s="81">
        <f>IF(OR($A730="",$T730=""),"","Included in Manager_Report")</f>
        <v/>
      </c>
    </row>
    <row r="731" ht="15" customHeight="1" s="40">
      <c r="A731" s="65">
        <f>IF(COUNTA(B731:G731)=0,"","STP-"&amp;TEXT(ROW()-4,"0000"))</f>
        <v/>
      </c>
      <c r="B731" s="78" t="n"/>
      <c r="C731" s="67">
        <f>IF($B731="","",IFERROR(INDEX(Task_Tracker!$D$5:$D$1004,MATCH($B731,Task_Tracker!$A$5:$A$1004,0)),""))</f>
        <v/>
      </c>
      <c r="D731" s="67">
        <f>IF($B731="","",IFERROR(INDEX(Task_Tracker!$B$5:$B$1004,MATCH($B731,Task_Tracker!$A$5:$A$1004,0)),""))</f>
        <v/>
      </c>
      <c r="E731" s="81" t="n"/>
      <c r="F731" s="81" t="n"/>
      <c r="G731" s="78" t="n"/>
      <c r="H731" s="78" t="n"/>
      <c r="I731" s="67">
        <f>IF($H731="","",IFERROR(INDEX(Action_Status_Map!$B$5:$B$11,MATCH($H731,Action_Status_Map!$A$5:$A$11,0)),""))</f>
        <v/>
      </c>
      <c r="J731" s="82" t="n"/>
      <c r="K731" s="82" t="n"/>
      <c r="L731" s="82" t="n"/>
      <c r="M731" s="83" t="n"/>
      <c r="N731" s="83" t="n"/>
      <c r="O731" s="66">
        <f>IF(OR($M731="",$N731=""),"",$N731-$M731)</f>
        <v/>
      </c>
      <c r="P731" s="84">
        <f>IF($J731="","",IF($L731&lt;&gt;"",$L731-$J731,TODAY()-$J731))</f>
        <v/>
      </c>
      <c r="Q731" s="85">
        <f>IF(OR($K731="",$H731="Completed",$H731="Cancelled"),"",IF(AND($K731&lt;TODAY(),$H731&lt;&gt;"Completed",$H731&lt;&gt;"Cancelled"),"Overdue","On Track"))</f>
        <v/>
      </c>
      <c r="R731" s="81" t="n"/>
      <c r="S731" s="81">
        <f>IF($B731="","",IFERROR(INDEX(Task_Tracker!$AA$5:$AA$1004,MATCH($B731,Task_Tracker!$A$5:$A$1004,0)),""))</f>
        <v/>
      </c>
      <c r="T731" s="81">
        <f>IF($B731="","",IFERROR(INDEX(Task_Tracker!$AB$5:$AB$1004,MATCH($B731,Task_Tracker!$A$5:$A$1004,0)),""))</f>
        <v/>
      </c>
      <c r="U731" s="78">
        <f>IF($B731="","",IFERROR(INDEX(Task_Tracker!$F$5:$F$1004,MATCH($B731,Task_Tracker!$A$5:$A$1004,0)),""))</f>
        <v/>
      </c>
      <c r="V731" s="78">
        <f>IF($B731="","",IFERROR(INDEX(Task_Tracker!$I$5:$I$1004,MATCH($B731,Task_Tracker!$A$5:$A$1004,0)),""))</f>
        <v/>
      </c>
      <c r="W731" s="81">
        <f>IF(OR($D731="",$B731=""),"",$D731&amp;" | "&amp;$B731)</f>
        <v/>
      </c>
      <c r="X731" s="85">
        <f>IF($K731="","",TEXT($K731,"yyyy-mm"))</f>
        <v/>
      </c>
      <c r="Y731" s="81">
        <f>IF(OR($A731="",$T731=""),"","Included in Manager_Report")</f>
        <v/>
      </c>
    </row>
    <row r="732" ht="15" customHeight="1" s="40">
      <c r="A732" s="65">
        <f>IF(COUNTA(B732:G732)=0,"","STP-"&amp;TEXT(ROW()-4,"0000"))</f>
        <v/>
      </c>
      <c r="B732" s="78" t="n"/>
      <c r="C732" s="67">
        <f>IF($B732="","",IFERROR(INDEX(Task_Tracker!$D$5:$D$1004,MATCH($B732,Task_Tracker!$A$5:$A$1004,0)),""))</f>
        <v/>
      </c>
      <c r="D732" s="67">
        <f>IF($B732="","",IFERROR(INDEX(Task_Tracker!$B$5:$B$1004,MATCH($B732,Task_Tracker!$A$5:$A$1004,0)),""))</f>
        <v/>
      </c>
      <c r="E732" s="81" t="n"/>
      <c r="F732" s="81" t="n"/>
      <c r="G732" s="78" t="n"/>
      <c r="H732" s="78" t="n"/>
      <c r="I732" s="67">
        <f>IF($H732="","",IFERROR(INDEX(Action_Status_Map!$B$5:$B$11,MATCH($H732,Action_Status_Map!$A$5:$A$11,0)),""))</f>
        <v/>
      </c>
      <c r="J732" s="82" t="n"/>
      <c r="K732" s="82" t="n"/>
      <c r="L732" s="82" t="n"/>
      <c r="M732" s="83" t="n"/>
      <c r="N732" s="83" t="n"/>
      <c r="O732" s="66">
        <f>IF(OR($M732="",$N732=""),"",$N732-$M732)</f>
        <v/>
      </c>
      <c r="P732" s="84">
        <f>IF($J732="","",IF($L732&lt;&gt;"",$L732-$J732,TODAY()-$J732))</f>
        <v/>
      </c>
      <c r="Q732" s="85">
        <f>IF(OR($K732="",$H732="Completed",$H732="Cancelled"),"",IF(AND($K732&lt;TODAY(),$H732&lt;&gt;"Completed",$H732&lt;&gt;"Cancelled"),"Overdue","On Track"))</f>
        <v/>
      </c>
      <c r="R732" s="81" t="n"/>
      <c r="S732" s="81">
        <f>IF($B732="","",IFERROR(INDEX(Task_Tracker!$AA$5:$AA$1004,MATCH($B732,Task_Tracker!$A$5:$A$1004,0)),""))</f>
        <v/>
      </c>
      <c r="T732" s="81">
        <f>IF($B732="","",IFERROR(INDEX(Task_Tracker!$AB$5:$AB$1004,MATCH($B732,Task_Tracker!$A$5:$A$1004,0)),""))</f>
        <v/>
      </c>
      <c r="U732" s="78">
        <f>IF($B732="","",IFERROR(INDEX(Task_Tracker!$F$5:$F$1004,MATCH($B732,Task_Tracker!$A$5:$A$1004,0)),""))</f>
        <v/>
      </c>
      <c r="V732" s="78">
        <f>IF($B732="","",IFERROR(INDEX(Task_Tracker!$I$5:$I$1004,MATCH($B732,Task_Tracker!$A$5:$A$1004,0)),""))</f>
        <v/>
      </c>
      <c r="W732" s="81">
        <f>IF(OR($D732="",$B732=""),"",$D732&amp;" | "&amp;$B732)</f>
        <v/>
      </c>
      <c r="X732" s="85">
        <f>IF($K732="","",TEXT($K732,"yyyy-mm"))</f>
        <v/>
      </c>
      <c r="Y732" s="81">
        <f>IF(OR($A732="",$T732=""),"","Included in Manager_Report")</f>
        <v/>
      </c>
    </row>
    <row r="733" ht="15" customHeight="1" s="40">
      <c r="A733" s="65">
        <f>IF(COUNTA(B733:G733)=0,"","STP-"&amp;TEXT(ROW()-4,"0000"))</f>
        <v/>
      </c>
      <c r="B733" s="78" t="n"/>
      <c r="C733" s="67">
        <f>IF($B733="","",IFERROR(INDEX(Task_Tracker!$D$5:$D$1004,MATCH($B733,Task_Tracker!$A$5:$A$1004,0)),""))</f>
        <v/>
      </c>
      <c r="D733" s="67">
        <f>IF($B733="","",IFERROR(INDEX(Task_Tracker!$B$5:$B$1004,MATCH($B733,Task_Tracker!$A$5:$A$1004,0)),""))</f>
        <v/>
      </c>
      <c r="E733" s="81" t="n"/>
      <c r="F733" s="81" t="n"/>
      <c r="G733" s="78" t="n"/>
      <c r="H733" s="78" t="n"/>
      <c r="I733" s="67">
        <f>IF($H733="","",IFERROR(INDEX(Action_Status_Map!$B$5:$B$11,MATCH($H733,Action_Status_Map!$A$5:$A$11,0)),""))</f>
        <v/>
      </c>
      <c r="J733" s="82" t="n"/>
      <c r="K733" s="82" t="n"/>
      <c r="L733" s="82" t="n"/>
      <c r="M733" s="83" t="n"/>
      <c r="N733" s="83" t="n"/>
      <c r="O733" s="66">
        <f>IF(OR($M733="",$N733=""),"",$N733-$M733)</f>
        <v/>
      </c>
      <c r="P733" s="84">
        <f>IF($J733="","",IF($L733&lt;&gt;"",$L733-$J733,TODAY()-$J733))</f>
        <v/>
      </c>
      <c r="Q733" s="85">
        <f>IF(OR($K733="",$H733="Completed",$H733="Cancelled"),"",IF(AND($K733&lt;TODAY(),$H733&lt;&gt;"Completed",$H733&lt;&gt;"Cancelled"),"Overdue","On Track"))</f>
        <v/>
      </c>
      <c r="R733" s="81" t="n"/>
      <c r="S733" s="81">
        <f>IF($B733="","",IFERROR(INDEX(Task_Tracker!$AA$5:$AA$1004,MATCH($B733,Task_Tracker!$A$5:$A$1004,0)),""))</f>
        <v/>
      </c>
      <c r="T733" s="81">
        <f>IF($B733="","",IFERROR(INDEX(Task_Tracker!$AB$5:$AB$1004,MATCH($B733,Task_Tracker!$A$5:$A$1004,0)),""))</f>
        <v/>
      </c>
      <c r="U733" s="78">
        <f>IF($B733="","",IFERROR(INDEX(Task_Tracker!$F$5:$F$1004,MATCH($B733,Task_Tracker!$A$5:$A$1004,0)),""))</f>
        <v/>
      </c>
      <c r="V733" s="78">
        <f>IF($B733="","",IFERROR(INDEX(Task_Tracker!$I$5:$I$1004,MATCH($B733,Task_Tracker!$A$5:$A$1004,0)),""))</f>
        <v/>
      </c>
      <c r="W733" s="81">
        <f>IF(OR($D733="",$B733=""),"",$D733&amp;" | "&amp;$B733)</f>
        <v/>
      </c>
      <c r="X733" s="85">
        <f>IF($K733="","",TEXT($K733,"yyyy-mm"))</f>
        <v/>
      </c>
      <c r="Y733" s="81">
        <f>IF(OR($A733="",$T733=""),"","Included in Manager_Report")</f>
        <v/>
      </c>
    </row>
    <row r="734" ht="15" customHeight="1" s="40">
      <c r="A734" s="65">
        <f>IF(COUNTA(B734:G734)=0,"","STP-"&amp;TEXT(ROW()-4,"0000"))</f>
        <v/>
      </c>
      <c r="B734" s="78" t="n"/>
      <c r="C734" s="67">
        <f>IF($B734="","",IFERROR(INDEX(Task_Tracker!$D$5:$D$1004,MATCH($B734,Task_Tracker!$A$5:$A$1004,0)),""))</f>
        <v/>
      </c>
      <c r="D734" s="67">
        <f>IF($B734="","",IFERROR(INDEX(Task_Tracker!$B$5:$B$1004,MATCH($B734,Task_Tracker!$A$5:$A$1004,0)),""))</f>
        <v/>
      </c>
      <c r="E734" s="81" t="n"/>
      <c r="F734" s="81" t="n"/>
      <c r="G734" s="78" t="n"/>
      <c r="H734" s="78" t="n"/>
      <c r="I734" s="67">
        <f>IF($H734="","",IFERROR(INDEX(Action_Status_Map!$B$5:$B$11,MATCH($H734,Action_Status_Map!$A$5:$A$11,0)),""))</f>
        <v/>
      </c>
      <c r="J734" s="82" t="n"/>
      <c r="K734" s="82" t="n"/>
      <c r="L734" s="82" t="n"/>
      <c r="M734" s="83" t="n"/>
      <c r="N734" s="83" t="n"/>
      <c r="O734" s="66">
        <f>IF(OR($M734="",$N734=""),"",$N734-$M734)</f>
        <v/>
      </c>
      <c r="P734" s="84">
        <f>IF($J734="","",IF($L734&lt;&gt;"",$L734-$J734,TODAY()-$J734))</f>
        <v/>
      </c>
      <c r="Q734" s="85">
        <f>IF(OR($K734="",$H734="Completed",$H734="Cancelled"),"",IF(AND($K734&lt;TODAY(),$H734&lt;&gt;"Completed",$H734&lt;&gt;"Cancelled"),"Overdue","On Track"))</f>
        <v/>
      </c>
      <c r="R734" s="81" t="n"/>
      <c r="S734" s="81">
        <f>IF($B734="","",IFERROR(INDEX(Task_Tracker!$AA$5:$AA$1004,MATCH($B734,Task_Tracker!$A$5:$A$1004,0)),""))</f>
        <v/>
      </c>
      <c r="T734" s="81">
        <f>IF($B734="","",IFERROR(INDEX(Task_Tracker!$AB$5:$AB$1004,MATCH($B734,Task_Tracker!$A$5:$A$1004,0)),""))</f>
        <v/>
      </c>
      <c r="U734" s="78">
        <f>IF($B734="","",IFERROR(INDEX(Task_Tracker!$F$5:$F$1004,MATCH($B734,Task_Tracker!$A$5:$A$1004,0)),""))</f>
        <v/>
      </c>
      <c r="V734" s="78">
        <f>IF($B734="","",IFERROR(INDEX(Task_Tracker!$I$5:$I$1004,MATCH($B734,Task_Tracker!$A$5:$A$1004,0)),""))</f>
        <v/>
      </c>
      <c r="W734" s="81">
        <f>IF(OR($D734="",$B734=""),"",$D734&amp;" | "&amp;$B734)</f>
        <v/>
      </c>
      <c r="X734" s="85">
        <f>IF($K734="","",TEXT($K734,"yyyy-mm"))</f>
        <v/>
      </c>
      <c r="Y734" s="81">
        <f>IF(OR($A734="",$T734=""),"","Included in Manager_Report")</f>
        <v/>
      </c>
    </row>
    <row r="735" ht="15" customHeight="1" s="40">
      <c r="A735" s="65">
        <f>IF(COUNTA(B735:G735)=0,"","STP-"&amp;TEXT(ROW()-4,"0000"))</f>
        <v/>
      </c>
      <c r="B735" s="78" t="n"/>
      <c r="C735" s="67">
        <f>IF($B735="","",IFERROR(INDEX(Task_Tracker!$D$5:$D$1004,MATCH($B735,Task_Tracker!$A$5:$A$1004,0)),""))</f>
        <v/>
      </c>
      <c r="D735" s="67">
        <f>IF($B735="","",IFERROR(INDEX(Task_Tracker!$B$5:$B$1004,MATCH($B735,Task_Tracker!$A$5:$A$1004,0)),""))</f>
        <v/>
      </c>
      <c r="E735" s="81" t="n"/>
      <c r="F735" s="81" t="n"/>
      <c r="G735" s="78" t="n"/>
      <c r="H735" s="78" t="n"/>
      <c r="I735" s="67">
        <f>IF($H735="","",IFERROR(INDEX(Action_Status_Map!$B$5:$B$11,MATCH($H735,Action_Status_Map!$A$5:$A$11,0)),""))</f>
        <v/>
      </c>
      <c r="J735" s="82" t="n"/>
      <c r="K735" s="82" t="n"/>
      <c r="L735" s="82" t="n"/>
      <c r="M735" s="83" t="n"/>
      <c r="N735" s="83" t="n"/>
      <c r="O735" s="66">
        <f>IF(OR($M735="",$N735=""),"",$N735-$M735)</f>
        <v/>
      </c>
      <c r="P735" s="84">
        <f>IF($J735="","",IF($L735&lt;&gt;"",$L735-$J735,TODAY()-$J735))</f>
        <v/>
      </c>
      <c r="Q735" s="85">
        <f>IF(OR($K735="",$H735="Completed",$H735="Cancelled"),"",IF(AND($K735&lt;TODAY(),$H735&lt;&gt;"Completed",$H735&lt;&gt;"Cancelled"),"Overdue","On Track"))</f>
        <v/>
      </c>
      <c r="R735" s="81" t="n"/>
      <c r="S735" s="81">
        <f>IF($B735="","",IFERROR(INDEX(Task_Tracker!$AA$5:$AA$1004,MATCH($B735,Task_Tracker!$A$5:$A$1004,0)),""))</f>
        <v/>
      </c>
      <c r="T735" s="81">
        <f>IF($B735="","",IFERROR(INDEX(Task_Tracker!$AB$5:$AB$1004,MATCH($B735,Task_Tracker!$A$5:$A$1004,0)),""))</f>
        <v/>
      </c>
      <c r="U735" s="78">
        <f>IF($B735="","",IFERROR(INDEX(Task_Tracker!$F$5:$F$1004,MATCH($B735,Task_Tracker!$A$5:$A$1004,0)),""))</f>
        <v/>
      </c>
      <c r="V735" s="78">
        <f>IF($B735="","",IFERROR(INDEX(Task_Tracker!$I$5:$I$1004,MATCH($B735,Task_Tracker!$A$5:$A$1004,0)),""))</f>
        <v/>
      </c>
      <c r="W735" s="81">
        <f>IF(OR($D735="",$B735=""),"",$D735&amp;" | "&amp;$B735)</f>
        <v/>
      </c>
      <c r="X735" s="85">
        <f>IF($K735="","",TEXT($K735,"yyyy-mm"))</f>
        <v/>
      </c>
      <c r="Y735" s="81">
        <f>IF(OR($A735="",$T735=""),"","Included in Manager_Report")</f>
        <v/>
      </c>
    </row>
    <row r="736" ht="15" customHeight="1" s="40">
      <c r="A736" s="65">
        <f>IF(COUNTA(B736:G736)=0,"","STP-"&amp;TEXT(ROW()-4,"0000"))</f>
        <v/>
      </c>
      <c r="B736" s="78" t="n"/>
      <c r="C736" s="67">
        <f>IF($B736="","",IFERROR(INDEX(Task_Tracker!$D$5:$D$1004,MATCH($B736,Task_Tracker!$A$5:$A$1004,0)),""))</f>
        <v/>
      </c>
      <c r="D736" s="67">
        <f>IF($B736="","",IFERROR(INDEX(Task_Tracker!$B$5:$B$1004,MATCH($B736,Task_Tracker!$A$5:$A$1004,0)),""))</f>
        <v/>
      </c>
      <c r="E736" s="81" t="n"/>
      <c r="F736" s="81" t="n"/>
      <c r="G736" s="78" t="n"/>
      <c r="H736" s="78" t="n"/>
      <c r="I736" s="67">
        <f>IF($H736="","",IFERROR(INDEX(Action_Status_Map!$B$5:$B$11,MATCH($H736,Action_Status_Map!$A$5:$A$11,0)),""))</f>
        <v/>
      </c>
      <c r="J736" s="82" t="n"/>
      <c r="K736" s="82" t="n"/>
      <c r="L736" s="82" t="n"/>
      <c r="M736" s="83" t="n"/>
      <c r="N736" s="83" t="n"/>
      <c r="O736" s="66">
        <f>IF(OR($M736="",$N736=""),"",$N736-$M736)</f>
        <v/>
      </c>
      <c r="P736" s="84">
        <f>IF($J736="","",IF($L736&lt;&gt;"",$L736-$J736,TODAY()-$J736))</f>
        <v/>
      </c>
      <c r="Q736" s="85">
        <f>IF(OR($K736="",$H736="Completed",$H736="Cancelled"),"",IF(AND($K736&lt;TODAY(),$H736&lt;&gt;"Completed",$H736&lt;&gt;"Cancelled"),"Overdue","On Track"))</f>
        <v/>
      </c>
      <c r="R736" s="81" t="n"/>
      <c r="S736" s="81">
        <f>IF($B736="","",IFERROR(INDEX(Task_Tracker!$AA$5:$AA$1004,MATCH($B736,Task_Tracker!$A$5:$A$1004,0)),""))</f>
        <v/>
      </c>
      <c r="T736" s="81">
        <f>IF($B736="","",IFERROR(INDEX(Task_Tracker!$AB$5:$AB$1004,MATCH($B736,Task_Tracker!$A$5:$A$1004,0)),""))</f>
        <v/>
      </c>
      <c r="U736" s="78">
        <f>IF($B736="","",IFERROR(INDEX(Task_Tracker!$F$5:$F$1004,MATCH($B736,Task_Tracker!$A$5:$A$1004,0)),""))</f>
        <v/>
      </c>
      <c r="V736" s="78">
        <f>IF($B736="","",IFERROR(INDEX(Task_Tracker!$I$5:$I$1004,MATCH($B736,Task_Tracker!$A$5:$A$1004,0)),""))</f>
        <v/>
      </c>
      <c r="W736" s="81">
        <f>IF(OR($D736="",$B736=""),"",$D736&amp;" | "&amp;$B736)</f>
        <v/>
      </c>
      <c r="X736" s="85">
        <f>IF($K736="","",TEXT($K736,"yyyy-mm"))</f>
        <v/>
      </c>
      <c r="Y736" s="81">
        <f>IF(OR($A736="",$T736=""),"","Included in Manager_Report")</f>
        <v/>
      </c>
    </row>
    <row r="737" ht="15" customHeight="1" s="40">
      <c r="A737" s="65">
        <f>IF(COUNTA(B737:G737)=0,"","STP-"&amp;TEXT(ROW()-4,"0000"))</f>
        <v/>
      </c>
      <c r="B737" s="78" t="n"/>
      <c r="C737" s="67">
        <f>IF($B737="","",IFERROR(INDEX(Task_Tracker!$D$5:$D$1004,MATCH($B737,Task_Tracker!$A$5:$A$1004,0)),""))</f>
        <v/>
      </c>
      <c r="D737" s="67">
        <f>IF($B737="","",IFERROR(INDEX(Task_Tracker!$B$5:$B$1004,MATCH($B737,Task_Tracker!$A$5:$A$1004,0)),""))</f>
        <v/>
      </c>
      <c r="E737" s="81" t="n"/>
      <c r="F737" s="81" t="n"/>
      <c r="G737" s="78" t="n"/>
      <c r="H737" s="78" t="n"/>
      <c r="I737" s="67">
        <f>IF($H737="","",IFERROR(INDEX(Action_Status_Map!$B$5:$B$11,MATCH($H737,Action_Status_Map!$A$5:$A$11,0)),""))</f>
        <v/>
      </c>
      <c r="J737" s="82" t="n"/>
      <c r="K737" s="82" t="n"/>
      <c r="L737" s="82" t="n"/>
      <c r="M737" s="83" t="n"/>
      <c r="N737" s="83" t="n"/>
      <c r="O737" s="66">
        <f>IF(OR($M737="",$N737=""),"",$N737-$M737)</f>
        <v/>
      </c>
      <c r="P737" s="84">
        <f>IF($J737="","",IF($L737&lt;&gt;"",$L737-$J737,TODAY()-$J737))</f>
        <v/>
      </c>
      <c r="Q737" s="85">
        <f>IF(OR($K737="",$H737="Completed",$H737="Cancelled"),"",IF(AND($K737&lt;TODAY(),$H737&lt;&gt;"Completed",$H737&lt;&gt;"Cancelled"),"Overdue","On Track"))</f>
        <v/>
      </c>
      <c r="R737" s="81" t="n"/>
      <c r="S737" s="81">
        <f>IF($B737="","",IFERROR(INDEX(Task_Tracker!$AA$5:$AA$1004,MATCH($B737,Task_Tracker!$A$5:$A$1004,0)),""))</f>
        <v/>
      </c>
      <c r="T737" s="81">
        <f>IF($B737="","",IFERROR(INDEX(Task_Tracker!$AB$5:$AB$1004,MATCH($B737,Task_Tracker!$A$5:$A$1004,0)),""))</f>
        <v/>
      </c>
      <c r="U737" s="78">
        <f>IF($B737="","",IFERROR(INDEX(Task_Tracker!$F$5:$F$1004,MATCH($B737,Task_Tracker!$A$5:$A$1004,0)),""))</f>
        <v/>
      </c>
      <c r="V737" s="78">
        <f>IF($B737="","",IFERROR(INDEX(Task_Tracker!$I$5:$I$1004,MATCH($B737,Task_Tracker!$A$5:$A$1004,0)),""))</f>
        <v/>
      </c>
      <c r="W737" s="81">
        <f>IF(OR($D737="",$B737=""),"",$D737&amp;" | "&amp;$B737)</f>
        <v/>
      </c>
      <c r="X737" s="85">
        <f>IF($K737="","",TEXT($K737,"yyyy-mm"))</f>
        <v/>
      </c>
      <c r="Y737" s="81">
        <f>IF(OR($A737="",$T737=""),"","Included in Manager_Report")</f>
        <v/>
      </c>
    </row>
    <row r="738" ht="15" customHeight="1" s="40">
      <c r="A738" s="65">
        <f>IF(COUNTA(B738:G738)=0,"","STP-"&amp;TEXT(ROW()-4,"0000"))</f>
        <v/>
      </c>
      <c r="B738" s="78" t="n"/>
      <c r="C738" s="67">
        <f>IF($B738="","",IFERROR(INDEX(Task_Tracker!$D$5:$D$1004,MATCH($B738,Task_Tracker!$A$5:$A$1004,0)),""))</f>
        <v/>
      </c>
      <c r="D738" s="67">
        <f>IF($B738="","",IFERROR(INDEX(Task_Tracker!$B$5:$B$1004,MATCH($B738,Task_Tracker!$A$5:$A$1004,0)),""))</f>
        <v/>
      </c>
      <c r="E738" s="81" t="n"/>
      <c r="F738" s="81" t="n"/>
      <c r="G738" s="78" t="n"/>
      <c r="H738" s="78" t="n"/>
      <c r="I738" s="67">
        <f>IF($H738="","",IFERROR(INDEX(Action_Status_Map!$B$5:$B$11,MATCH($H738,Action_Status_Map!$A$5:$A$11,0)),""))</f>
        <v/>
      </c>
      <c r="J738" s="82" t="n"/>
      <c r="K738" s="82" t="n"/>
      <c r="L738" s="82" t="n"/>
      <c r="M738" s="83" t="n"/>
      <c r="N738" s="83" t="n"/>
      <c r="O738" s="66">
        <f>IF(OR($M738="",$N738=""),"",$N738-$M738)</f>
        <v/>
      </c>
      <c r="P738" s="84">
        <f>IF($J738="","",IF($L738&lt;&gt;"",$L738-$J738,TODAY()-$J738))</f>
        <v/>
      </c>
      <c r="Q738" s="85">
        <f>IF(OR($K738="",$H738="Completed",$H738="Cancelled"),"",IF(AND($K738&lt;TODAY(),$H738&lt;&gt;"Completed",$H738&lt;&gt;"Cancelled"),"Overdue","On Track"))</f>
        <v/>
      </c>
      <c r="R738" s="81" t="n"/>
      <c r="S738" s="81">
        <f>IF($B738="","",IFERROR(INDEX(Task_Tracker!$AA$5:$AA$1004,MATCH($B738,Task_Tracker!$A$5:$A$1004,0)),""))</f>
        <v/>
      </c>
      <c r="T738" s="81">
        <f>IF($B738="","",IFERROR(INDEX(Task_Tracker!$AB$5:$AB$1004,MATCH($B738,Task_Tracker!$A$5:$A$1004,0)),""))</f>
        <v/>
      </c>
      <c r="U738" s="78">
        <f>IF($B738="","",IFERROR(INDEX(Task_Tracker!$F$5:$F$1004,MATCH($B738,Task_Tracker!$A$5:$A$1004,0)),""))</f>
        <v/>
      </c>
      <c r="V738" s="78">
        <f>IF($B738="","",IFERROR(INDEX(Task_Tracker!$I$5:$I$1004,MATCH($B738,Task_Tracker!$A$5:$A$1004,0)),""))</f>
        <v/>
      </c>
      <c r="W738" s="81">
        <f>IF(OR($D738="",$B738=""),"",$D738&amp;" | "&amp;$B738)</f>
        <v/>
      </c>
      <c r="X738" s="85">
        <f>IF($K738="","",TEXT($K738,"yyyy-mm"))</f>
        <v/>
      </c>
      <c r="Y738" s="81">
        <f>IF(OR($A738="",$T738=""),"","Included in Manager_Report")</f>
        <v/>
      </c>
    </row>
    <row r="739" ht="15" customHeight="1" s="40">
      <c r="A739" s="65">
        <f>IF(COUNTA(B739:G739)=0,"","STP-"&amp;TEXT(ROW()-4,"0000"))</f>
        <v/>
      </c>
      <c r="B739" s="78" t="n"/>
      <c r="C739" s="67">
        <f>IF($B739="","",IFERROR(INDEX(Task_Tracker!$D$5:$D$1004,MATCH($B739,Task_Tracker!$A$5:$A$1004,0)),""))</f>
        <v/>
      </c>
      <c r="D739" s="67">
        <f>IF($B739="","",IFERROR(INDEX(Task_Tracker!$B$5:$B$1004,MATCH($B739,Task_Tracker!$A$5:$A$1004,0)),""))</f>
        <v/>
      </c>
      <c r="E739" s="81" t="n"/>
      <c r="F739" s="81" t="n"/>
      <c r="G739" s="78" t="n"/>
      <c r="H739" s="78" t="n"/>
      <c r="I739" s="67">
        <f>IF($H739="","",IFERROR(INDEX(Action_Status_Map!$B$5:$B$11,MATCH($H739,Action_Status_Map!$A$5:$A$11,0)),""))</f>
        <v/>
      </c>
      <c r="J739" s="82" t="n"/>
      <c r="K739" s="82" t="n"/>
      <c r="L739" s="82" t="n"/>
      <c r="M739" s="83" t="n"/>
      <c r="N739" s="83" t="n"/>
      <c r="O739" s="66">
        <f>IF(OR($M739="",$N739=""),"",$N739-$M739)</f>
        <v/>
      </c>
      <c r="P739" s="84">
        <f>IF($J739="","",IF($L739&lt;&gt;"",$L739-$J739,TODAY()-$J739))</f>
        <v/>
      </c>
      <c r="Q739" s="85">
        <f>IF(OR($K739="",$H739="Completed",$H739="Cancelled"),"",IF(AND($K739&lt;TODAY(),$H739&lt;&gt;"Completed",$H739&lt;&gt;"Cancelled"),"Overdue","On Track"))</f>
        <v/>
      </c>
      <c r="R739" s="81" t="n"/>
      <c r="S739" s="81">
        <f>IF($B739="","",IFERROR(INDEX(Task_Tracker!$AA$5:$AA$1004,MATCH($B739,Task_Tracker!$A$5:$A$1004,0)),""))</f>
        <v/>
      </c>
      <c r="T739" s="81">
        <f>IF($B739="","",IFERROR(INDEX(Task_Tracker!$AB$5:$AB$1004,MATCH($B739,Task_Tracker!$A$5:$A$1004,0)),""))</f>
        <v/>
      </c>
      <c r="U739" s="78">
        <f>IF($B739="","",IFERROR(INDEX(Task_Tracker!$F$5:$F$1004,MATCH($B739,Task_Tracker!$A$5:$A$1004,0)),""))</f>
        <v/>
      </c>
      <c r="V739" s="78">
        <f>IF($B739="","",IFERROR(INDEX(Task_Tracker!$I$5:$I$1004,MATCH($B739,Task_Tracker!$A$5:$A$1004,0)),""))</f>
        <v/>
      </c>
      <c r="W739" s="81">
        <f>IF(OR($D739="",$B739=""),"",$D739&amp;" | "&amp;$B739)</f>
        <v/>
      </c>
      <c r="X739" s="85">
        <f>IF($K739="","",TEXT($K739,"yyyy-mm"))</f>
        <v/>
      </c>
      <c r="Y739" s="81">
        <f>IF(OR($A739="",$T739=""),"","Included in Manager_Report")</f>
        <v/>
      </c>
    </row>
    <row r="740" ht="15" customHeight="1" s="40">
      <c r="A740" s="65">
        <f>IF(COUNTA(B740:G740)=0,"","STP-"&amp;TEXT(ROW()-4,"0000"))</f>
        <v/>
      </c>
      <c r="B740" s="78" t="n"/>
      <c r="C740" s="67">
        <f>IF($B740="","",IFERROR(INDEX(Task_Tracker!$D$5:$D$1004,MATCH($B740,Task_Tracker!$A$5:$A$1004,0)),""))</f>
        <v/>
      </c>
      <c r="D740" s="67">
        <f>IF($B740="","",IFERROR(INDEX(Task_Tracker!$B$5:$B$1004,MATCH($B740,Task_Tracker!$A$5:$A$1004,0)),""))</f>
        <v/>
      </c>
      <c r="E740" s="81" t="n"/>
      <c r="F740" s="81" t="n"/>
      <c r="G740" s="78" t="n"/>
      <c r="H740" s="78" t="n"/>
      <c r="I740" s="67">
        <f>IF($H740="","",IFERROR(INDEX(Action_Status_Map!$B$5:$B$11,MATCH($H740,Action_Status_Map!$A$5:$A$11,0)),""))</f>
        <v/>
      </c>
      <c r="J740" s="82" t="n"/>
      <c r="K740" s="82" t="n"/>
      <c r="L740" s="82" t="n"/>
      <c r="M740" s="83" t="n"/>
      <c r="N740" s="83" t="n"/>
      <c r="O740" s="66">
        <f>IF(OR($M740="",$N740=""),"",$N740-$M740)</f>
        <v/>
      </c>
      <c r="P740" s="84">
        <f>IF($J740="","",IF($L740&lt;&gt;"",$L740-$J740,TODAY()-$J740))</f>
        <v/>
      </c>
      <c r="Q740" s="85">
        <f>IF(OR($K740="",$H740="Completed",$H740="Cancelled"),"",IF(AND($K740&lt;TODAY(),$H740&lt;&gt;"Completed",$H740&lt;&gt;"Cancelled"),"Overdue","On Track"))</f>
        <v/>
      </c>
      <c r="R740" s="81" t="n"/>
      <c r="S740" s="81">
        <f>IF($B740="","",IFERROR(INDEX(Task_Tracker!$AA$5:$AA$1004,MATCH($B740,Task_Tracker!$A$5:$A$1004,0)),""))</f>
        <v/>
      </c>
      <c r="T740" s="81">
        <f>IF($B740="","",IFERROR(INDEX(Task_Tracker!$AB$5:$AB$1004,MATCH($B740,Task_Tracker!$A$5:$A$1004,0)),""))</f>
        <v/>
      </c>
      <c r="U740" s="78">
        <f>IF($B740="","",IFERROR(INDEX(Task_Tracker!$F$5:$F$1004,MATCH($B740,Task_Tracker!$A$5:$A$1004,0)),""))</f>
        <v/>
      </c>
      <c r="V740" s="78">
        <f>IF($B740="","",IFERROR(INDEX(Task_Tracker!$I$5:$I$1004,MATCH($B740,Task_Tracker!$A$5:$A$1004,0)),""))</f>
        <v/>
      </c>
      <c r="W740" s="81">
        <f>IF(OR($D740="",$B740=""),"",$D740&amp;" | "&amp;$B740)</f>
        <v/>
      </c>
      <c r="X740" s="85">
        <f>IF($K740="","",TEXT($K740,"yyyy-mm"))</f>
        <v/>
      </c>
      <c r="Y740" s="81">
        <f>IF(OR($A740="",$T740=""),"","Included in Manager_Report")</f>
        <v/>
      </c>
    </row>
    <row r="741" ht="15" customHeight="1" s="40">
      <c r="A741" s="65">
        <f>IF(COUNTA(B741:G741)=0,"","STP-"&amp;TEXT(ROW()-4,"0000"))</f>
        <v/>
      </c>
      <c r="B741" s="78" t="n"/>
      <c r="C741" s="67">
        <f>IF($B741="","",IFERROR(INDEX(Task_Tracker!$D$5:$D$1004,MATCH($B741,Task_Tracker!$A$5:$A$1004,0)),""))</f>
        <v/>
      </c>
      <c r="D741" s="67">
        <f>IF($B741="","",IFERROR(INDEX(Task_Tracker!$B$5:$B$1004,MATCH($B741,Task_Tracker!$A$5:$A$1004,0)),""))</f>
        <v/>
      </c>
      <c r="E741" s="81" t="n"/>
      <c r="F741" s="81" t="n"/>
      <c r="G741" s="78" t="n"/>
      <c r="H741" s="78" t="n"/>
      <c r="I741" s="67">
        <f>IF($H741="","",IFERROR(INDEX(Action_Status_Map!$B$5:$B$11,MATCH($H741,Action_Status_Map!$A$5:$A$11,0)),""))</f>
        <v/>
      </c>
      <c r="J741" s="82" t="n"/>
      <c r="K741" s="82" t="n"/>
      <c r="L741" s="82" t="n"/>
      <c r="M741" s="83" t="n"/>
      <c r="N741" s="83" t="n"/>
      <c r="O741" s="66">
        <f>IF(OR($M741="",$N741=""),"",$N741-$M741)</f>
        <v/>
      </c>
      <c r="P741" s="84">
        <f>IF($J741="","",IF($L741&lt;&gt;"",$L741-$J741,TODAY()-$J741))</f>
        <v/>
      </c>
      <c r="Q741" s="85">
        <f>IF(OR($K741="",$H741="Completed",$H741="Cancelled"),"",IF(AND($K741&lt;TODAY(),$H741&lt;&gt;"Completed",$H741&lt;&gt;"Cancelled"),"Overdue","On Track"))</f>
        <v/>
      </c>
      <c r="R741" s="81" t="n"/>
      <c r="S741" s="81">
        <f>IF($B741="","",IFERROR(INDEX(Task_Tracker!$AA$5:$AA$1004,MATCH($B741,Task_Tracker!$A$5:$A$1004,0)),""))</f>
        <v/>
      </c>
      <c r="T741" s="81">
        <f>IF($B741="","",IFERROR(INDEX(Task_Tracker!$AB$5:$AB$1004,MATCH($B741,Task_Tracker!$A$5:$A$1004,0)),""))</f>
        <v/>
      </c>
      <c r="U741" s="78">
        <f>IF($B741="","",IFERROR(INDEX(Task_Tracker!$F$5:$F$1004,MATCH($B741,Task_Tracker!$A$5:$A$1004,0)),""))</f>
        <v/>
      </c>
      <c r="V741" s="78">
        <f>IF($B741="","",IFERROR(INDEX(Task_Tracker!$I$5:$I$1004,MATCH($B741,Task_Tracker!$A$5:$A$1004,0)),""))</f>
        <v/>
      </c>
      <c r="W741" s="81">
        <f>IF(OR($D741="",$B741=""),"",$D741&amp;" | "&amp;$B741)</f>
        <v/>
      </c>
      <c r="X741" s="85">
        <f>IF($K741="","",TEXT($K741,"yyyy-mm"))</f>
        <v/>
      </c>
      <c r="Y741" s="81">
        <f>IF(OR($A741="",$T741=""),"","Included in Manager_Report")</f>
        <v/>
      </c>
    </row>
    <row r="742" ht="15" customHeight="1" s="40">
      <c r="A742" s="65">
        <f>IF(COUNTA(B742:G742)=0,"","STP-"&amp;TEXT(ROW()-4,"0000"))</f>
        <v/>
      </c>
      <c r="B742" s="78" t="n"/>
      <c r="C742" s="67">
        <f>IF($B742="","",IFERROR(INDEX(Task_Tracker!$D$5:$D$1004,MATCH($B742,Task_Tracker!$A$5:$A$1004,0)),""))</f>
        <v/>
      </c>
      <c r="D742" s="67">
        <f>IF($B742="","",IFERROR(INDEX(Task_Tracker!$B$5:$B$1004,MATCH($B742,Task_Tracker!$A$5:$A$1004,0)),""))</f>
        <v/>
      </c>
      <c r="E742" s="81" t="n"/>
      <c r="F742" s="81" t="n"/>
      <c r="G742" s="78" t="n"/>
      <c r="H742" s="78" t="n"/>
      <c r="I742" s="67">
        <f>IF($H742="","",IFERROR(INDEX(Action_Status_Map!$B$5:$B$11,MATCH($H742,Action_Status_Map!$A$5:$A$11,0)),""))</f>
        <v/>
      </c>
      <c r="J742" s="82" t="n"/>
      <c r="K742" s="82" t="n"/>
      <c r="L742" s="82" t="n"/>
      <c r="M742" s="83" t="n"/>
      <c r="N742" s="83" t="n"/>
      <c r="O742" s="66">
        <f>IF(OR($M742="",$N742=""),"",$N742-$M742)</f>
        <v/>
      </c>
      <c r="P742" s="84">
        <f>IF($J742="","",IF($L742&lt;&gt;"",$L742-$J742,TODAY()-$J742))</f>
        <v/>
      </c>
      <c r="Q742" s="85">
        <f>IF(OR($K742="",$H742="Completed",$H742="Cancelled"),"",IF(AND($K742&lt;TODAY(),$H742&lt;&gt;"Completed",$H742&lt;&gt;"Cancelled"),"Overdue","On Track"))</f>
        <v/>
      </c>
      <c r="R742" s="81" t="n"/>
      <c r="S742" s="81">
        <f>IF($B742="","",IFERROR(INDEX(Task_Tracker!$AA$5:$AA$1004,MATCH($B742,Task_Tracker!$A$5:$A$1004,0)),""))</f>
        <v/>
      </c>
      <c r="T742" s="81">
        <f>IF($B742="","",IFERROR(INDEX(Task_Tracker!$AB$5:$AB$1004,MATCH($B742,Task_Tracker!$A$5:$A$1004,0)),""))</f>
        <v/>
      </c>
      <c r="U742" s="78">
        <f>IF($B742="","",IFERROR(INDEX(Task_Tracker!$F$5:$F$1004,MATCH($B742,Task_Tracker!$A$5:$A$1004,0)),""))</f>
        <v/>
      </c>
      <c r="V742" s="78">
        <f>IF($B742="","",IFERROR(INDEX(Task_Tracker!$I$5:$I$1004,MATCH($B742,Task_Tracker!$A$5:$A$1004,0)),""))</f>
        <v/>
      </c>
      <c r="W742" s="81">
        <f>IF(OR($D742="",$B742=""),"",$D742&amp;" | "&amp;$B742)</f>
        <v/>
      </c>
      <c r="X742" s="85">
        <f>IF($K742="","",TEXT($K742,"yyyy-mm"))</f>
        <v/>
      </c>
      <c r="Y742" s="81">
        <f>IF(OR($A742="",$T742=""),"","Included in Manager_Report")</f>
        <v/>
      </c>
    </row>
    <row r="743" ht="15" customHeight="1" s="40">
      <c r="A743" s="65">
        <f>IF(COUNTA(B743:G743)=0,"","STP-"&amp;TEXT(ROW()-4,"0000"))</f>
        <v/>
      </c>
      <c r="B743" s="78" t="n"/>
      <c r="C743" s="67">
        <f>IF($B743="","",IFERROR(INDEX(Task_Tracker!$D$5:$D$1004,MATCH($B743,Task_Tracker!$A$5:$A$1004,0)),""))</f>
        <v/>
      </c>
      <c r="D743" s="67">
        <f>IF($B743="","",IFERROR(INDEX(Task_Tracker!$B$5:$B$1004,MATCH($B743,Task_Tracker!$A$5:$A$1004,0)),""))</f>
        <v/>
      </c>
      <c r="E743" s="81" t="n"/>
      <c r="F743" s="81" t="n"/>
      <c r="G743" s="78" t="n"/>
      <c r="H743" s="78" t="n"/>
      <c r="I743" s="67">
        <f>IF($H743="","",IFERROR(INDEX(Action_Status_Map!$B$5:$B$11,MATCH($H743,Action_Status_Map!$A$5:$A$11,0)),""))</f>
        <v/>
      </c>
      <c r="J743" s="82" t="n"/>
      <c r="K743" s="82" t="n"/>
      <c r="L743" s="82" t="n"/>
      <c r="M743" s="83" t="n"/>
      <c r="N743" s="83" t="n"/>
      <c r="O743" s="66">
        <f>IF(OR($M743="",$N743=""),"",$N743-$M743)</f>
        <v/>
      </c>
      <c r="P743" s="84">
        <f>IF($J743="","",IF($L743&lt;&gt;"",$L743-$J743,TODAY()-$J743))</f>
        <v/>
      </c>
      <c r="Q743" s="85">
        <f>IF(OR($K743="",$H743="Completed",$H743="Cancelled"),"",IF(AND($K743&lt;TODAY(),$H743&lt;&gt;"Completed",$H743&lt;&gt;"Cancelled"),"Overdue","On Track"))</f>
        <v/>
      </c>
      <c r="R743" s="81" t="n"/>
      <c r="S743" s="81">
        <f>IF($B743="","",IFERROR(INDEX(Task_Tracker!$AA$5:$AA$1004,MATCH($B743,Task_Tracker!$A$5:$A$1004,0)),""))</f>
        <v/>
      </c>
      <c r="T743" s="81">
        <f>IF($B743="","",IFERROR(INDEX(Task_Tracker!$AB$5:$AB$1004,MATCH($B743,Task_Tracker!$A$5:$A$1004,0)),""))</f>
        <v/>
      </c>
      <c r="U743" s="78">
        <f>IF($B743="","",IFERROR(INDEX(Task_Tracker!$F$5:$F$1004,MATCH($B743,Task_Tracker!$A$5:$A$1004,0)),""))</f>
        <v/>
      </c>
      <c r="V743" s="78">
        <f>IF($B743="","",IFERROR(INDEX(Task_Tracker!$I$5:$I$1004,MATCH($B743,Task_Tracker!$A$5:$A$1004,0)),""))</f>
        <v/>
      </c>
      <c r="W743" s="81">
        <f>IF(OR($D743="",$B743=""),"",$D743&amp;" | "&amp;$B743)</f>
        <v/>
      </c>
      <c r="X743" s="85">
        <f>IF($K743="","",TEXT($K743,"yyyy-mm"))</f>
        <v/>
      </c>
      <c r="Y743" s="81">
        <f>IF(OR($A743="",$T743=""),"","Included in Manager_Report")</f>
        <v/>
      </c>
    </row>
    <row r="744" ht="15" customHeight="1" s="40">
      <c r="A744" s="65">
        <f>IF(COUNTA(B744:G744)=0,"","STP-"&amp;TEXT(ROW()-4,"0000"))</f>
        <v/>
      </c>
      <c r="B744" s="78" t="n"/>
      <c r="C744" s="67">
        <f>IF($B744="","",IFERROR(INDEX(Task_Tracker!$D$5:$D$1004,MATCH($B744,Task_Tracker!$A$5:$A$1004,0)),""))</f>
        <v/>
      </c>
      <c r="D744" s="67">
        <f>IF($B744="","",IFERROR(INDEX(Task_Tracker!$B$5:$B$1004,MATCH($B744,Task_Tracker!$A$5:$A$1004,0)),""))</f>
        <v/>
      </c>
      <c r="E744" s="81" t="n"/>
      <c r="F744" s="81" t="n"/>
      <c r="G744" s="78" t="n"/>
      <c r="H744" s="78" t="n"/>
      <c r="I744" s="67">
        <f>IF($H744="","",IFERROR(INDEX(Action_Status_Map!$B$5:$B$11,MATCH($H744,Action_Status_Map!$A$5:$A$11,0)),""))</f>
        <v/>
      </c>
      <c r="J744" s="82" t="n"/>
      <c r="K744" s="82" t="n"/>
      <c r="L744" s="82" t="n"/>
      <c r="M744" s="83" t="n"/>
      <c r="N744" s="83" t="n"/>
      <c r="O744" s="66">
        <f>IF(OR($M744="",$N744=""),"",$N744-$M744)</f>
        <v/>
      </c>
      <c r="P744" s="84">
        <f>IF($J744="","",IF($L744&lt;&gt;"",$L744-$J744,TODAY()-$J744))</f>
        <v/>
      </c>
      <c r="Q744" s="85">
        <f>IF(OR($K744="",$H744="Completed",$H744="Cancelled"),"",IF(AND($K744&lt;TODAY(),$H744&lt;&gt;"Completed",$H744&lt;&gt;"Cancelled"),"Overdue","On Track"))</f>
        <v/>
      </c>
      <c r="R744" s="81" t="n"/>
      <c r="S744" s="81">
        <f>IF($B744="","",IFERROR(INDEX(Task_Tracker!$AA$5:$AA$1004,MATCH($B744,Task_Tracker!$A$5:$A$1004,0)),""))</f>
        <v/>
      </c>
      <c r="T744" s="81">
        <f>IF($B744="","",IFERROR(INDEX(Task_Tracker!$AB$5:$AB$1004,MATCH($B744,Task_Tracker!$A$5:$A$1004,0)),""))</f>
        <v/>
      </c>
      <c r="U744" s="78">
        <f>IF($B744="","",IFERROR(INDEX(Task_Tracker!$F$5:$F$1004,MATCH($B744,Task_Tracker!$A$5:$A$1004,0)),""))</f>
        <v/>
      </c>
      <c r="V744" s="78">
        <f>IF($B744="","",IFERROR(INDEX(Task_Tracker!$I$5:$I$1004,MATCH($B744,Task_Tracker!$A$5:$A$1004,0)),""))</f>
        <v/>
      </c>
      <c r="W744" s="81">
        <f>IF(OR($D744="",$B744=""),"",$D744&amp;" | "&amp;$B744)</f>
        <v/>
      </c>
      <c r="X744" s="85">
        <f>IF($K744="","",TEXT($K744,"yyyy-mm"))</f>
        <v/>
      </c>
      <c r="Y744" s="81">
        <f>IF(OR($A744="",$T744=""),"","Included in Manager_Report")</f>
        <v/>
      </c>
    </row>
    <row r="745" ht="15" customHeight="1" s="40">
      <c r="A745" s="65">
        <f>IF(COUNTA(B745:G745)=0,"","STP-"&amp;TEXT(ROW()-4,"0000"))</f>
        <v/>
      </c>
      <c r="B745" s="78" t="n"/>
      <c r="C745" s="67">
        <f>IF($B745="","",IFERROR(INDEX(Task_Tracker!$D$5:$D$1004,MATCH($B745,Task_Tracker!$A$5:$A$1004,0)),""))</f>
        <v/>
      </c>
      <c r="D745" s="67">
        <f>IF($B745="","",IFERROR(INDEX(Task_Tracker!$B$5:$B$1004,MATCH($B745,Task_Tracker!$A$5:$A$1004,0)),""))</f>
        <v/>
      </c>
      <c r="E745" s="81" t="n"/>
      <c r="F745" s="81" t="n"/>
      <c r="G745" s="78" t="n"/>
      <c r="H745" s="78" t="n"/>
      <c r="I745" s="67">
        <f>IF($H745="","",IFERROR(INDEX(Action_Status_Map!$B$5:$B$11,MATCH($H745,Action_Status_Map!$A$5:$A$11,0)),""))</f>
        <v/>
      </c>
      <c r="J745" s="82" t="n"/>
      <c r="K745" s="82" t="n"/>
      <c r="L745" s="82" t="n"/>
      <c r="M745" s="83" t="n"/>
      <c r="N745" s="83" t="n"/>
      <c r="O745" s="66">
        <f>IF(OR($M745="",$N745=""),"",$N745-$M745)</f>
        <v/>
      </c>
      <c r="P745" s="84">
        <f>IF($J745="","",IF($L745&lt;&gt;"",$L745-$J745,TODAY()-$J745))</f>
        <v/>
      </c>
      <c r="Q745" s="85">
        <f>IF(OR($K745="",$H745="Completed",$H745="Cancelled"),"",IF(AND($K745&lt;TODAY(),$H745&lt;&gt;"Completed",$H745&lt;&gt;"Cancelled"),"Overdue","On Track"))</f>
        <v/>
      </c>
      <c r="R745" s="81" t="n"/>
      <c r="S745" s="81">
        <f>IF($B745="","",IFERROR(INDEX(Task_Tracker!$AA$5:$AA$1004,MATCH($B745,Task_Tracker!$A$5:$A$1004,0)),""))</f>
        <v/>
      </c>
      <c r="T745" s="81">
        <f>IF($B745="","",IFERROR(INDEX(Task_Tracker!$AB$5:$AB$1004,MATCH($B745,Task_Tracker!$A$5:$A$1004,0)),""))</f>
        <v/>
      </c>
      <c r="U745" s="78">
        <f>IF($B745="","",IFERROR(INDEX(Task_Tracker!$F$5:$F$1004,MATCH($B745,Task_Tracker!$A$5:$A$1004,0)),""))</f>
        <v/>
      </c>
      <c r="V745" s="78">
        <f>IF($B745="","",IFERROR(INDEX(Task_Tracker!$I$5:$I$1004,MATCH($B745,Task_Tracker!$A$5:$A$1004,0)),""))</f>
        <v/>
      </c>
      <c r="W745" s="81">
        <f>IF(OR($D745="",$B745=""),"",$D745&amp;" | "&amp;$B745)</f>
        <v/>
      </c>
      <c r="X745" s="85">
        <f>IF($K745="","",TEXT($K745,"yyyy-mm"))</f>
        <v/>
      </c>
      <c r="Y745" s="81">
        <f>IF(OR($A745="",$T745=""),"","Included in Manager_Report")</f>
        <v/>
      </c>
    </row>
    <row r="746" ht="15" customHeight="1" s="40">
      <c r="A746" s="65">
        <f>IF(COUNTA(B746:G746)=0,"","STP-"&amp;TEXT(ROW()-4,"0000"))</f>
        <v/>
      </c>
      <c r="B746" s="78" t="n"/>
      <c r="C746" s="67">
        <f>IF($B746="","",IFERROR(INDEX(Task_Tracker!$D$5:$D$1004,MATCH($B746,Task_Tracker!$A$5:$A$1004,0)),""))</f>
        <v/>
      </c>
      <c r="D746" s="67">
        <f>IF($B746="","",IFERROR(INDEX(Task_Tracker!$B$5:$B$1004,MATCH($B746,Task_Tracker!$A$5:$A$1004,0)),""))</f>
        <v/>
      </c>
      <c r="E746" s="81" t="n"/>
      <c r="F746" s="81" t="n"/>
      <c r="G746" s="78" t="n"/>
      <c r="H746" s="78" t="n"/>
      <c r="I746" s="67">
        <f>IF($H746="","",IFERROR(INDEX(Action_Status_Map!$B$5:$B$11,MATCH($H746,Action_Status_Map!$A$5:$A$11,0)),""))</f>
        <v/>
      </c>
      <c r="J746" s="82" t="n"/>
      <c r="K746" s="82" t="n"/>
      <c r="L746" s="82" t="n"/>
      <c r="M746" s="83" t="n"/>
      <c r="N746" s="83" t="n"/>
      <c r="O746" s="66">
        <f>IF(OR($M746="",$N746=""),"",$N746-$M746)</f>
        <v/>
      </c>
      <c r="P746" s="84">
        <f>IF($J746="","",IF($L746&lt;&gt;"",$L746-$J746,TODAY()-$J746))</f>
        <v/>
      </c>
      <c r="Q746" s="85">
        <f>IF(OR($K746="",$H746="Completed",$H746="Cancelled"),"",IF(AND($K746&lt;TODAY(),$H746&lt;&gt;"Completed",$H746&lt;&gt;"Cancelled"),"Overdue","On Track"))</f>
        <v/>
      </c>
      <c r="R746" s="81" t="n"/>
      <c r="S746" s="81">
        <f>IF($B746="","",IFERROR(INDEX(Task_Tracker!$AA$5:$AA$1004,MATCH($B746,Task_Tracker!$A$5:$A$1004,0)),""))</f>
        <v/>
      </c>
      <c r="T746" s="81">
        <f>IF($B746="","",IFERROR(INDEX(Task_Tracker!$AB$5:$AB$1004,MATCH($B746,Task_Tracker!$A$5:$A$1004,0)),""))</f>
        <v/>
      </c>
      <c r="U746" s="78">
        <f>IF($B746="","",IFERROR(INDEX(Task_Tracker!$F$5:$F$1004,MATCH($B746,Task_Tracker!$A$5:$A$1004,0)),""))</f>
        <v/>
      </c>
      <c r="V746" s="78">
        <f>IF($B746="","",IFERROR(INDEX(Task_Tracker!$I$5:$I$1004,MATCH($B746,Task_Tracker!$A$5:$A$1004,0)),""))</f>
        <v/>
      </c>
      <c r="W746" s="81">
        <f>IF(OR($D746="",$B746=""),"",$D746&amp;" | "&amp;$B746)</f>
        <v/>
      </c>
      <c r="X746" s="85">
        <f>IF($K746="","",TEXT($K746,"yyyy-mm"))</f>
        <v/>
      </c>
      <c r="Y746" s="81">
        <f>IF(OR($A746="",$T746=""),"","Included in Manager_Report")</f>
        <v/>
      </c>
    </row>
    <row r="747" ht="15" customHeight="1" s="40">
      <c r="A747" s="65">
        <f>IF(COUNTA(B747:G747)=0,"","STP-"&amp;TEXT(ROW()-4,"0000"))</f>
        <v/>
      </c>
      <c r="B747" s="78" t="n"/>
      <c r="C747" s="67">
        <f>IF($B747="","",IFERROR(INDEX(Task_Tracker!$D$5:$D$1004,MATCH($B747,Task_Tracker!$A$5:$A$1004,0)),""))</f>
        <v/>
      </c>
      <c r="D747" s="67">
        <f>IF($B747="","",IFERROR(INDEX(Task_Tracker!$B$5:$B$1004,MATCH($B747,Task_Tracker!$A$5:$A$1004,0)),""))</f>
        <v/>
      </c>
      <c r="E747" s="81" t="n"/>
      <c r="F747" s="81" t="n"/>
      <c r="G747" s="78" t="n"/>
      <c r="H747" s="78" t="n"/>
      <c r="I747" s="67">
        <f>IF($H747="","",IFERROR(INDEX(Action_Status_Map!$B$5:$B$11,MATCH($H747,Action_Status_Map!$A$5:$A$11,0)),""))</f>
        <v/>
      </c>
      <c r="J747" s="82" t="n"/>
      <c r="K747" s="82" t="n"/>
      <c r="L747" s="82" t="n"/>
      <c r="M747" s="83" t="n"/>
      <c r="N747" s="83" t="n"/>
      <c r="O747" s="66">
        <f>IF(OR($M747="",$N747=""),"",$N747-$M747)</f>
        <v/>
      </c>
      <c r="P747" s="84">
        <f>IF($J747="","",IF($L747&lt;&gt;"",$L747-$J747,TODAY()-$J747))</f>
        <v/>
      </c>
      <c r="Q747" s="85">
        <f>IF(OR($K747="",$H747="Completed",$H747="Cancelled"),"",IF(AND($K747&lt;TODAY(),$H747&lt;&gt;"Completed",$H747&lt;&gt;"Cancelled"),"Overdue","On Track"))</f>
        <v/>
      </c>
      <c r="R747" s="81" t="n"/>
      <c r="S747" s="81">
        <f>IF($B747="","",IFERROR(INDEX(Task_Tracker!$AA$5:$AA$1004,MATCH($B747,Task_Tracker!$A$5:$A$1004,0)),""))</f>
        <v/>
      </c>
      <c r="T747" s="81">
        <f>IF($B747="","",IFERROR(INDEX(Task_Tracker!$AB$5:$AB$1004,MATCH($B747,Task_Tracker!$A$5:$A$1004,0)),""))</f>
        <v/>
      </c>
      <c r="U747" s="78">
        <f>IF($B747="","",IFERROR(INDEX(Task_Tracker!$F$5:$F$1004,MATCH($B747,Task_Tracker!$A$5:$A$1004,0)),""))</f>
        <v/>
      </c>
      <c r="V747" s="78">
        <f>IF($B747="","",IFERROR(INDEX(Task_Tracker!$I$5:$I$1004,MATCH($B747,Task_Tracker!$A$5:$A$1004,0)),""))</f>
        <v/>
      </c>
      <c r="W747" s="81">
        <f>IF(OR($D747="",$B747=""),"",$D747&amp;" | "&amp;$B747)</f>
        <v/>
      </c>
      <c r="X747" s="85">
        <f>IF($K747="","",TEXT($K747,"yyyy-mm"))</f>
        <v/>
      </c>
      <c r="Y747" s="81">
        <f>IF(OR($A747="",$T747=""),"","Included in Manager_Report")</f>
        <v/>
      </c>
    </row>
    <row r="748" ht="15" customHeight="1" s="40">
      <c r="A748" s="65">
        <f>IF(COUNTA(B748:G748)=0,"","STP-"&amp;TEXT(ROW()-4,"0000"))</f>
        <v/>
      </c>
      <c r="B748" s="78" t="n"/>
      <c r="C748" s="67">
        <f>IF($B748="","",IFERROR(INDEX(Task_Tracker!$D$5:$D$1004,MATCH($B748,Task_Tracker!$A$5:$A$1004,0)),""))</f>
        <v/>
      </c>
      <c r="D748" s="67">
        <f>IF($B748="","",IFERROR(INDEX(Task_Tracker!$B$5:$B$1004,MATCH($B748,Task_Tracker!$A$5:$A$1004,0)),""))</f>
        <v/>
      </c>
      <c r="E748" s="81" t="n"/>
      <c r="F748" s="81" t="n"/>
      <c r="G748" s="78" t="n"/>
      <c r="H748" s="78" t="n"/>
      <c r="I748" s="67">
        <f>IF($H748="","",IFERROR(INDEX(Action_Status_Map!$B$5:$B$11,MATCH($H748,Action_Status_Map!$A$5:$A$11,0)),""))</f>
        <v/>
      </c>
      <c r="J748" s="82" t="n"/>
      <c r="K748" s="82" t="n"/>
      <c r="L748" s="82" t="n"/>
      <c r="M748" s="83" t="n"/>
      <c r="N748" s="83" t="n"/>
      <c r="O748" s="66">
        <f>IF(OR($M748="",$N748=""),"",$N748-$M748)</f>
        <v/>
      </c>
      <c r="P748" s="84">
        <f>IF($J748="","",IF($L748&lt;&gt;"",$L748-$J748,TODAY()-$J748))</f>
        <v/>
      </c>
      <c r="Q748" s="85">
        <f>IF(OR($K748="",$H748="Completed",$H748="Cancelled"),"",IF(AND($K748&lt;TODAY(),$H748&lt;&gt;"Completed",$H748&lt;&gt;"Cancelled"),"Overdue","On Track"))</f>
        <v/>
      </c>
      <c r="R748" s="81" t="n"/>
      <c r="S748" s="81">
        <f>IF($B748="","",IFERROR(INDEX(Task_Tracker!$AA$5:$AA$1004,MATCH($B748,Task_Tracker!$A$5:$A$1004,0)),""))</f>
        <v/>
      </c>
      <c r="T748" s="81">
        <f>IF($B748="","",IFERROR(INDEX(Task_Tracker!$AB$5:$AB$1004,MATCH($B748,Task_Tracker!$A$5:$A$1004,0)),""))</f>
        <v/>
      </c>
      <c r="U748" s="78">
        <f>IF($B748="","",IFERROR(INDEX(Task_Tracker!$F$5:$F$1004,MATCH($B748,Task_Tracker!$A$5:$A$1004,0)),""))</f>
        <v/>
      </c>
      <c r="V748" s="78">
        <f>IF($B748="","",IFERROR(INDEX(Task_Tracker!$I$5:$I$1004,MATCH($B748,Task_Tracker!$A$5:$A$1004,0)),""))</f>
        <v/>
      </c>
      <c r="W748" s="81">
        <f>IF(OR($D748="",$B748=""),"",$D748&amp;" | "&amp;$B748)</f>
        <v/>
      </c>
      <c r="X748" s="85">
        <f>IF($K748="","",TEXT($K748,"yyyy-mm"))</f>
        <v/>
      </c>
      <c r="Y748" s="81">
        <f>IF(OR($A748="",$T748=""),"","Included in Manager_Report")</f>
        <v/>
      </c>
    </row>
    <row r="749" ht="15" customHeight="1" s="40">
      <c r="A749" s="65">
        <f>IF(COUNTA(B749:G749)=0,"","STP-"&amp;TEXT(ROW()-4,"0000"))</f>
        <v/>
      </c>
      <c r="B749" s="78" t="n"/>
      <c r="C749" s="67">
        <f>IF($B749="","",IFERROR(INDEX(Task_Tracker!$D$5:$D$1004,MATCH($B749,Task_Tracker!$A$5:$A$1004,0)),""))</f>
        <v/>
      </c>
      <c r="D749" s="67">
        <f>IF($B749="","",IFERROR(INDEX(Task_Tracker!$B$5:$B$1004,MATCH($B749,Task_Tracker!$A$5:$A$1004,0)),""))</f>
        <v/>
      </c>
      <c r="E749" s="81" t="n"/>
      <c r="F749" s="81" t="n"/>
      <c r="G749" s="78" t="n"/>
      <c r="H749" s="78" t="n"/>
      <c r="I749" s="67">
        <f>IF($H749="","",IFERROR(INDEX(Action_Status_Map!$B$5:$B$11,MATCH($H749,Action_Status_Map!$A$5:$A$11,0)),""))</f>
        <v/>
      </c>
      <c r="J749" s="82" t="n"/>
      <c r="K749" s="82" t="n"/>
      <c r="L749" s="82" t="n"/>
      <c r="M749" s="83" t="n"/>
      <c r="N749" s="83" t="n"/>
      <c r="O749" s="66">
        <f>IF(OR($M749="",$N749=""),"",$N749-$M749)</f>
        <v/>
      </c>
      <c r="P749" s="84">
        <f>IF($J749="","",IF($L749&lt;&gt;"",$L749-$J749,TODAY()-$J749))</f>
        <v/>
      </c>
      <c r="Q749" s="85">
        <f>IF(OR($K749="",$H749="Completed",$H749="Cancelled"),"",IF(AND($K749&lt;TODAY(),$H749&lt;&gt;"Completed",$H749&lt;&gt;"Cancelled"),"Overdue","On Track"))</f>
        <v/>
      </c>
      <c r="R749" s="81" t="n"/>
      <c r="S749" s="81">
        <f>IF($B749="","",IFERROR(INDEX(Task_Tracker!$AA$5:$AA$1004,MATCH($B749,Task_Tracker!$A$5:$A$1004,0)),""))</f>
        <v/>
      </c>
      <c r="T749" s="81">
        <f>IF($B749="","",IFERROR(INDEX(Task_Tracker!$AB$5:$AB$1004,MATCH($B749,Task_Tracker!$A$5:$A$1004,0)),""))</f>
        <v/>
      </c>
      <c r="U749" s="78">
        <f>IF($B749="","",IFERROR(INDEX(Task_Tracker!$F$5:$F$1004,MATCH($B749,Task_Tracker!$A$5:$A$1004,0)),""))</f>
        <v/>
      </c>
      <c r="V749" s="78">
        <f>IF($B749="","",IFERROR(INDEX(Task_Tracker!$I$5:$I$1004,MATCH($B749,Task_Tracker!$A$5:$A$1004,0)),""))</f>
        <v/>
      </c>
      <c r="W749" s="81">
        <f>IF(OR($D749="",$B749=""),"",$D749&amp;" | "&amp;$B749)</f>
        <v/>
      </c>
      <c r="X749" s="85">
        <f>IF($K749="","",TEXT($K749,"yyyy-mm"))</f>
        <v/>
      </c>
      <c r="Y749" s="81">
        <f>IF(OR($A749="",$T749=""),"","Included in Manager_Report")</f>
        <v/>
      </c>
    </row>
    <row r="750" ht="15" customHeight="1" s="40">
      <c r="A750" s="65">
        <f>IF(COUNTA(B750:G750)=0,"","STP-"&amp;TEXT(ROW()-4,"0000"))</f>
        <v/>
      </c>
      <c r="B750" s="78" t="n"/>
      <c r="C750" s="67">
        <f>IF($B750="","",IFERROR(INDEX(Task_Tracker!$D$5:$D$1004,MATCH($B750,Task_Tracker!$A$5:$A$1004,0)),""))</f>
        <v/>
      </c>
      <c r="D750" s="67">
        <f>IF($B750="","",IFERROR(INDEX(Task_Tracker!$B$5:$B$1004,MATCH($B750,Task_Tracker!$A$5:$A$1004,0)),""))</f>
        <v/>
      </c>
      <c r="E750" s="81" t="n"/>
      <c r="F750" s="81" t="n"/>
      <c r="G750" s="78" t="n"/>
      <c r="H750" s="78" t="n"/>
      <c r="I750" s="67">
        <f>IF($H750="","",IFERROR(INDEX(Action_Status_Map!$B$5:$B$11,MATCH($H750,Action_Status_Map!$A$5:$A$11,0)),""))</f>
        <v/>
      </c>
      <c r="J750" s="82" t="n"/>
      <c r="K750" s="82" t="n"/>
      <c r="L750" s="82" t="n"/>
      <c r="M750" s="83" t="n"/>
      <c r="N750" s="83" t="n"/>
      <c r="O750" s="66">
        <f>IF(OR($M750="",$N750=""),"",$N750-$M750)</f>
        <v/>
      </c>
      <c r="P750" s="84">
        <f>IF($J750="","",IF($L750&lt;&gt;"",$L750-$J750,TODAY()-$J750))</f>
        <v/>
      </c>
      <c r="Q750" s="85">
        <f>IF(OR($K750="",$H750="Completed",$H750="Cancelled"),"",IF(AND($K750&lt;TODAY(),$H750&lt;&gt;"Completed",$H750&lt;&gt;"Cancelled"),"Overdue","On Track"))</f>
        <v/>
      </c>
      <c r="R750" s="81" t="n"/>
      <c r="S750" s="81">
        <f>IF($B750="","",IFERROR(INDEX(Task_Tracker!$AA$5:$AA$1004,MATCH($B750,Task_Tracker!$A$5:$A$1004,0)),""))</f>
        <v/>
      </c>
      <c r="T750" s="81">
        <f>IF($B750="","",IFERROR(INDEX(Task_Tracker!$AB$5:$AB$1004,MATCH($B750,Task_Tracker!$A$5:$A$1004,0)),""))</f>
        <v/>
      </c>
      <c r="U750" s="78">
        <f>IF($B750="","",IFERROR(INDEX(Task_Tracker!$F$5:$F$1004,MATCH($B750,Task_Tracker!$A$5:$A$1004,0)),""))</f>
        <v/>
      </c>
      <c r="V750" s="78">
        <f>IF($B750="","",IFERROR(INDEX(Task_Tracker!$I$5:$I$1004,MATCH($B750,Task_Tracker!$A$5:$A$1004,0)),""))</f>
        <v/>
      </c>
      <c r="W750" s="81">
        <f>IF(OR($D750="",$B750=""),"",$D750&amp;" | "&amp;$B750)</f>
        <v/>
      </c>
      <c r="X750" s="85">
        <f>IF($K750="","",TEXT($K750,"yyyy-mm"))</f>
        <v/>
      </c>
      <c r="Y750" s="81">
        <f>IF(OR($A750="",$T750=""),"","Included in Manager_Report")</f>
        <v/>
      </c>
    </row>
    <row r="751" ht="15" customHeight="1" s="40">
      <c r="A751" s="65">
        <f>IF(COUNTA(B751:G751)=0,"","STP-"&amp;TEXT(ROW()-4,"0000"))</f>
        <v/>
      </c>
      <c r="B751" s="78" t="n"/>
      <c r="C751" s="67">
        <f>IF($B751="","",IFERROR(INDEX(Task_Tracker!$D$5:$D$1004,MATCH($B751,Task_Tracker!$A$5:$A$1004,0)),""))</f>
        <v/>
      </c>
      <c r="D751" s="67">
        <f>IF($B751="","",IFERROR(INDEX(Task_Tracker!$B$5:$B$1004,MATCH($B751,Task_Tracker!$A$5:$A$1004,0)),""))</f>
        <v/>
      </c>
      <c r="E751" s="81" t="n"/>
      <c r="F751" s="81" t="n"/>
      <c r="G751" s="78" t="n"/>
      <c r="H751" s="78" t="n"/>
      <c r="I751" s="67">
        <f>IF($H751="","",IFERROR(INDEX(Action_Status_Map!$B$5:$B$11,MATCH($H751,Action_Status_Map!$A$5:$A$11,0)),""))</f>
        <v/>
      </c>
      <c r="J751" s="82" t="n"/>
      <c r="K751" s="82" t="n"/>
      <c r="L751" s="82" t="n"/>
      <c r="M751" s="83" t="n"/>
      <c r="N751" s="83" t="n"/>
      <c r="O751" s="66">
        <f>IF(OR($M751="",$N751=""),"",$N751-$M751)</f>
        <v/>
      </c>
      <c r="P751" s="84">
        <f>IF($J751="","",IF($L751&lt;&gt;"",$L751-$J751,TODAY()-$J751))</f>
        <v/>
      </c>
      <c r="Q751" s="85">
        <f>IF(OR($K751="",$H751="Completed",$H751="Cancelled"),"",IF(AND($K751&lt;TODAY(),$H751&lt;&gt;"Completed",$H751&lt;&gt;"Cancelled"),"Overdue","On Track"))</f>
        <v/>
      </c>
      <c r="R751" s="81" t="n"/>
      <c r="S751" s="81">
        <f>IF($B751="","",IFERROR(INDEX(Task_Tracker!$AA$5:$AA$1004,MATCH($B751,Task_Tracker!$A$5:$A$1004,0)),""))</f>
        <v/>
      </c>
      <c r="T751" s="81">
        <f>IF($B751="","",IFERROR(INDEX(Task_Tracker!$AB$5:$AB$1004,MATCH($B751,Task_Tracker!$A$5:$A$1004,0)),""))</f>
        <v/>
      </c>
      <c r="U751" s="78">
        <f>IF($B751="","",IFERROR(INDEX(Task_Tracker!$F$5:$F$1004,MATCH($B751,Task_Tracker!$A$5:$A$1004,0)),""))</f>
        <v/>
      </c>
      <c r="V751" s="78">
        <f>IF($B751="","",IFERROR(INDEX(Task_Tracker!$I$5:$I$1004,MATCH($B751,Task_Tracker!$A$5:$A$1004,0)),""))</f>
        <v/>
      </c>
      <c r="W751" s="81">
        <f>IF(OR($D751="",$B751=""),"",$D751&amp;" | "&amp;$B751)</f>
        <v/>
      </c>
      <c r="X751" s="85">
        <f>IF($K751="","",TEXT($K751,"yyyy-mm"))</f>
        <v/>
      </c>
      <c r="Y751" s="81">
        <f>IF(OR($A751="",$T751=""),"","Included in Manager_Report")</f>
        <v/>
      </c>
    </row>
    <row r="752" ht="15" customHeight="1" s="40">
      <c r="A752" s="65">
        <f>IF(COUNTA(B752:G752)=0,"","STP-"&amp;TEXT(ROW()-4,"0000"))</f>
        <v/>
      </c>
      <c r="B752" s="78" t="n"/>
      <c r="C752" s="67">
        <f>IF($B752="","",IFERROR(INDEX(Task_Tracker!$D$5:$D$1004,MATCH($B752,Task_Tracker!$A$5:$A$1004,0)),""))</f>
        <v/>
      </c>
      <c r="D752" s="67">
        <f>IF($B752="","",IFERROR(INDEX(Task_Tracker!$B$5:$B$1004,MATCH($B752,Task_Tracker!$A$5:$A$1004,0)),""))</f>
        <v/>
      </c>
      <c r="E752" s="81" t="n"/>
      <c r="F752" s="81" t="n"/>
      <c r="G752" s="78" t="n"/>
      <c r="H752" s="78" t="n"/>
      <c r="I752" s="67">
        <f>IF($H752="","",IFERROR(INDEX(Action_Status_Map!$B$5:$B$11,MATCH($H752,Action_Status_Map!$A$5:$A$11,0)),""))</f>
        <v/>
      </c>
      <c r="J752" s="82" t="n"/>
      <c r="K752" s="82" t="n"/>
      <c r="L752" s="82" t="n"/>
      <c r="M752" s="83" t="n"/>
      <c r="N752" s="83" t="n"/>
      <c r="O752" s="66">
        <f>IF(OR($M752="",$N752=""),"",$N752-$M752)</f>
        <v/>
      </c>
      <c r="P752" s="84">
        <f>IF($J752="","",IF($L752&lt;&gt;"",$L752-$J752,TODAY()-$J752))</f>
        <v/>
      </c>
      <c r="Q752" s="85">
        <f>IF(OR($K752="",$H752="Completed",$H752="Cancelled"),"",IF(AND($K752&lt;TODAY(),$H752&lt;&gt;"Completed",$H752&lt;&gt;"Cancelled"),"Overdue","On Track"))</f>
        <v/>
      </c>
      <c r="R752" s="81" t="n"/>
      <c r="S752" s="81">
        <f>IF($B752="","",IFERROR(INDEX(Task_Tracker!$AA$5:$AA$1004,MATCH($B752,Task_Tracker!$A$5:$A$1004,0)),""))</f>
        <v/>
      </c>
      <c r="T752" s="81">
        <f>IF($B752="","",IFERROR(INDEX(Task_Tracker!$AB$5:$AB$1004,MATCH($B752,Task_Tracker!$A$5:$A$1004,0)),""))</f>
        <v/>
      </c>
      <c r="U752" s="78">
        <f>IF($B752="","",IFERROR(INDEX(Task_Tracker!$F$5:$F$1004,MATCH($B752,Task_Tracker!$A$5:$A$1004,0)),""))</f>
        <v/>
      </c>
      <c r="V752" s="78">
        <f>IF($B752="","",IFERROR(INDEX(Task_Tracker!$I$5:$I$1004,MATCH($B752,Task_Tracker!$A$5:$A$1004,0)),""))</f>
        <v/>
      </c>
      <c r="W752" s="81">
        <f>IF(OR($D752="",$B752=""),"",$D752&amp;" | "&amp;$B752)</f>
        <v/>
      </c>
      <c r="X752" s="85">
        <f>IF($K752="","",TEXT($K752,"yyyy-mm"))</f>
        <v/>
      </c>
      <c r="Y752" s="81">
        <f>IF(OR($A752="",$T752=""),"","Included in Manager_Report")</f>
        <v/>
      </c>
    </row>
    <row r="753" ht="15" customHeight="1" s="40">
      <c r="A753" s="65">
        <f>IF(COUNTA(B753:G753)=0,"","STP-"&amp;TEXT(ROW()-4,"0000"))</f>
        <v/>
      </c>
      <c r="B753" s="78" t="n"/>
      <c r="C753" s="67">
        <f>IF($B753="","",IFERROR(INDEX(Task_Tracker!$D$5:$D$1004,MATCH($B753,Task_Tracker!$A$5:$A$1004,0)),""))</f>
        <v/>
      </c>
      <c r="D753" s="67">
        <f>IF($B753="","",IFERROR(INDEX(Task_Tracker!$B$5:$B$1004,MATCH($B753,Task_Tracker!$A$5:$A$1004,0)),""))</f>
        <v/>
      </c>
      <c r="E753" s="81" t="n"/>
      <c r="F753" s="81" t="n"/>
      <c r="G753" s="78" t="n"/>
      <c r="H753" s="78" t="n"/>
      <c r="I753" s="67">
        <f>IF($H753="","",IFERROR(INDEX(Action_Status_Map!$B$5:$B$11,MATCH($H753,Action_Status_Map!$A$5:$A$11,0)),""))</f>
        <v/>
      </c>
      <c r="J753" s="82" t="n"/>
      <c r="K753" s="82" t="n"/>
      <c r="L753" s="82" t="n"/>
      <c r="M753" s="83" t="n"/>
      <c r="N753" s="83" t="n"/>
      <c r="O753" s="66">
        <f>IF(OR($M753="",$N753=""),"",$N753-$M753)</f>
        <v/>
      </c>
      <c r="P753" s="84">
        <f>IF($J753="","",IF($L753&lt;&gt;"",$L753-$J753,TODAY()-$J753))</f>
        <v/>
      </c>
      <c r="Q753" s="85">
        <f>IF(OR($K753="",$H753="Completed",$H753="Cancelled"),"",IF(AND($K753&lt;TODAY(),$H753&lt;&gt;"Completed",$H753&lt;&gt;"Cancelled"),"Overdue","On Track"))</f>
        <v/>
      </c>
      <c r="R753" s="81" t="n"/>
      <c r="S753" s="81">
        <f>IF($B753="","",IFERROR(INDEX(Task_Tracker!$AA$5:$AA$1004,MATCH($B753,Task_Tracker!$A$5:$A$1004,0)),""))</f>
        <v/>
      </c>
      <c r="T753" s="81">
        <f>IF($B753="","",IFERROR(INDEX(Task_Tracker!$AB$5:$AB$1004,MATCH($B753,Task_Tracker!$A$5:$A$1004,0)),""))</f>
        <v/>
      </c>
      <c r="U753" s="78">
        <f>IF($B753="","",IFERROR(INDEX(Task_Tracker!$F$5:$F$1004,MATCH($B753,Task_Tracker!$A$5:$A$1004,0)),""))</f>
        <v/>
      </c>
      <c r="V753" s="78">
        <f>IF($B753="","",IFERROR(INDEX(Task_Tracker!$I$5:$I$1004,MATCH($B753,Task_Tracker!$A$5:$A$1004,0)),""))</f>
        <v/>
      </c>
      <c r="W753" s="81">
        <f>IF(OR($D753="",$B753=""),"",$D753&amp;" | "&amp;$B753)</f>
        <v/>
      </c>
      <c r="X753" s="85">
        <f>IF($K753="","",TEXT($K753,"yyyy-mm"))</f>
        <v/>
      </c>
      <c r="Y753" s="81">
        <f>IF(OR($A753="",$T753=""),"","Included in Manager_Report")</f>
        <v/>
      </c>
    </row>
    <row r="754" ht="15" customHeight="1" s="40">
      <c r="A754" s="65">
        <f>IF(COUNTA(B754:G754)=0,"","STP-"&amp;TEXT(ROW()-4,"0000"))</f>
        <v/>
      </c>
      <c r="B754" s="78" t="n"/>
      <c r="C754" s="67">
        <f>IF($B754="","",IFERROR(INDEX(Task_Tracker!$D$5:$D$1004,MATCH($B754,Task_Tracker!$A$5:$A$1004,0)),""))</f>
        <v/>
      </c>
      <c r="D754" s="67">
        <f>IF($B754="","",IFERROR(INDEX(Task_Tracker!$B$5:$B$1004,MATCH($B754,Task_Tracker!$A$5:$A$1004,0)),""))</f>
        <v/>
      </c>
      <c r="E754" s="81" t="n"/>
      <c r="F754" s="81" t="n"/>
      <c r="G754" s="78" t="n"/>
      <c r="H754" s="78" t="n"/>
      <c r="I754" s="67">
        <f>IF($H754="","",IFERROR(INDEX(Action_Status_Map!$B$5:$B$11,MATCH($H754,Action_Status_Map!$A$5:$A$11,0)),""))</f>
        <v/>
      </c>
      <c r="J754" s="82" t="n"/>
      <c r="K754" s="82" t="n"/>
      <c r="L754" s="82" t="n"/>
      <c r="M754" s="83" t="n"/>
      <c r="N754" s="83" t="n"/>
      <c r="O754" s="66">
        <f>IF(OR($M754="",$N754=""),"",$N754-$M754)</f>
        <v/>
      </c>
      <c r="P754" s="84">
        <f>IF($J754="","",IF($L754&lt;&gt;"",$L754-$J754,TODAY()-$J754))</f>
        <v/>
      </c>
      <c r="Q754" s="85">
        <f>IF(OR($K754="",$H754="Completed",$H754="Cancelled"),"",IF(AND($K754&lt;TODAY(),$H754&lt;&gt;"Completed",$H754&lt;&gt;"Cancelled"),"Overdue","On Track"))</f>
        <v/>
      </c>
      <c r="R754" s="81" t="n"/>
      <c r="S754" s="81">
        <f>IF($B754="","",IFERROR(INDEX(Task_Tracker!$AA$5:$AA$1004,MATCH($B754,Task_Tracker!$A$5:$A$1004,0)),""))</f>
        <v/>
      </c>
      <c r="T754" s="81">
        <f>IF($B754="","",IFERROR(INDEX(Task_Tracker!$AB$5:$AB$1004,MATCH($B754,Task_Tracker!$A$5:$A$1004,0)),""))</f>
        <v/>
      </c>
      <c r="U754" s="78">
        <f>IF($B754="","",IFERROR(INDEX(Task_Tracker!$F$5:$F$1004,MATCH($B754,Task_Tracker!$A$5:$A$1004,0)),""))</f>
        <v/>
      </c>
      <c r="V754" s="78">
        <f>IF($B754="","",IFERROR(INDEX(Task_Tracker!$I$5:$I$1004,MATCH($B754,Task_Tracker!$A$5:$A$1004,0)),""))</f>
        <v/>
      </c>
      <c r="W754" s="81">
        <f>IF(OR($D754="",$B754=""),"",$D754&amp;" | "&amp;$B754)</f>
        <v/>
      </c>
      <c r="X754" s="85">
        <f>IF($K754="","",TEXT($K754,"yyyy-mm"))</f>
        <v/>
      </c>
      <c r="Y754" s="81">
        <f>IF(OR($A754="",$T754=""),"","Included in Manager_Report")</f>
        <v/>
      </c>
    </row>
    <row r="755" ht="15" customHeight="1" s="40">
      <c r="A755" s="65">
        <f>IF(COUNTA(B755:G755)=0,"","STP-"&amp;TEXT(ROW()-4,"0000"))</f>
        <v/>
      </c>
      <c r="B755" s="78" t="n"/>
      <c r="C755" s="67">
        <f>IF($B755="","",IFERROR(INDEX(Task_Tracker!$D$5:$D$1004,MATCH($B755,Task_Tracker!$A$5:$A$1004,0)),""))</f>
        <v/>
      </c>
      <c r="D755" s="67">
        <f>IF($B755="","",IFERROR(INDEX(Task_Tracker!$B$5:$B$1004,MATCH($B755,Task_Tracker!$A$5:$A$1004,0)),""))</f>
        <v/>
      </c>
      <c r="E755" s="81" t="n"/>
      <c r="F755" s="81" t="n"/>
      <c r="G755" s="78" t="n"/>
      <c r="H755" s="78" t="n"/>
      <c r="I755" s="67">
        <f>IF($H755="","",IFERROR(INDEX(Action_Status_Map!$B$5:$B$11,MATCH($H755,Action_Status_Map!$A$5:$A$11,0)),""))</f>
        <v/>
      </c>
      <c r="J755" s="82" t="n"/>
      <c r="K755" s="82" t="n"/>
      <c r="L755" s="82" t="n"/>
      <c r="M755" s="83" t="n"/>
      <c r="N755" s="83" t="n"/>
      <c r="O755" s="66">
        <f>IF(OR($M755="",$N755=""),"",$N755-$M755)</f>
        <v/>
      </c>
      <c r="P755" s="84">
        <f>IF($J755="","",IF($L755&lt;&gt;"",$L755-$J755,TODAY()-$J755))</f>
        <v/>
      </c>
      <c r="Q755" s="85">
        <f>IF(OR($K755="",$H755="Completed",$H755="Cancelled"),"",IF(AND($K755&lt;TODAY(),$H755&lt;&gt;"Completed",$H755&lt;&gt;"Cancelled"),"Overdue","On Track"))</f>
        <v/>
      </c>
      <c r="R755" s="81" t="n"/>
      <c r="S755" s="81">
        <f>IF($B755="","",IFERROR(INDEX(Task_Tracker!$AA$5:$AA$1004,MATCH($B755,Task_Tracker!$A$5:$A$1004,0)),""))</f>
        <v/>
      </c>
      <c r="T755" s="81">
        <f>IF($B755="","",IFERROR(INDEX(Task_Tracker!$AB$5:$AB$1004,MATCH($B755,Task_Tracker!$A$5:$A$1004,0)),""))</f>
        <v/>
      </c>
      <c r="U755" s="78">
        <f>IF($B755="","",IFERROR(INDEX(Task_Tracker!$F$5:$F$1004,MATCH($B755,Task_Tracker!$A$5:$A$1004,0)),""))</f>
        <v/>
      </c>
      <c r="V755" s="78">
        <f>IF($B755="","",IFERROR(INDEX(Task_Tracker!$I$5:$I$1004,MATCH($B755,Task_Tracker!$A$5:$A$1004,0)),""))</f>
        <v/>
      </c>
      <c r="W755" s="81">
        <f>IF(OR($D755="",$B755=""),"",$D755&amp;" | "&amp;$B755)</f>
        <v/>
      </c>
      <c r="X755" s="85">
        <f>IF($K755="","",TEXT($K755,"yyyy-mm"))</f>
        <v/>
      </c>
      <c r="Y755" s="81">
        <f>IF(OR($A755="",$T755=""),"","Included in Manager_Report")</f>
        <v/>
      </c>
    </row>
    <row r="756" ht="15" customHeight="1" s="40">
      <c r="A756" s="65">
        <f>IF(COUNTA(B756:G756)=0,"","STP-"&amp;TEXT(ROW()-4,"0000"))</f>
        <v/>
      </c>
      <c r="B756" s="78" t="n"/>
      <c r="C756" s="67">
        <f>IF($B756="","",IFERROR(INDEX(Task_Tracker!$D$5:$D$1004,MATCH($B756,Task_Tracker!$A$5:$A$1004,0)),""))</f>
        <v/>
      </c>
      <c r="D756" s="67">
        <f>IF($B756="","",IFERROR(INDEX(Task_Tracker!$B$5:$B$1004,MATCH($B756,Task_Tracker!$A$5:$A$1004,0)),""))</f>
        <v/>
      </c>
      <c r="E756" s="81" t="n"/>
      <c r="F756" s="81" t="n"/>
      <c r="G756" s="78" t="n"/>
      <c r="H756" s="78" t="n"/>
      <c r="I756" s="67">
        <f>IF($H756="","",IFERROR(INDEX(Action_Status_Map!$B$5:$B$11,MATCH($H756,Action_Status_Map!$A$5:$A$11,0)),""))</f>
        <v/>
      </c>
      <c r="J756" s="82" t="n"/>
      <c r="K756" s="82" t="n"/>
      <c r="L756" s="82" t="n"/>
      <c r="M756" s="83" t="n"/>
      <c r="N756" s="83" t="n"/>
      <c r="O756" s="66">
        <f>IF(OR($M756="",$N756=""),"",$N756-$M756)</f>
        <v/>
      </c>
      <c r="P756" s="84">
        <f>IF($J756="","",IF($L756&lt;&gt;"",$L756-$J756,TODAY()-$J756))</f>
        <v/>
      </c>
      <c r="Q756" s="85">
        <f>IF(OR($K756="",$H756="Completed",$H756="Cancelled"),"",IF(AND($K756&lt;TODAY(),$H756&lt;&gt;"Completed",$H756&lt;&gt;"Cancelled"),"Overdue","On Track"))</f>
        <v/>
      </c>
      <c r="R756" s="81" t="n"/>
      <c r="S756" s="81">
        <f>IF($B756="","",IFERROR(INDEX(Task_Tracker!$AA$5:$AA$1004,MATCH($B756,Task_Tracker!$A$5:$A$1004,0)),""))</f>
        <v/>
      </c>
      <c r="T756" s="81">
        <f>IF($B756="","",IFERROR(INDEX(Task_Tracker!$AB$5:$AB$1004,MATCH($B756,Task_Tracker!$A$5:$A$1004,0)),""))</f>
        <v/>
      </c>
      <c r="U756" s="78">
        <f>IF($B756="","",IFERROR(INDEX(Task_Tracker!$F$5:$F$1004,MATCH($B756,Task_Tracker!$A$5:$A$1004,0)),""))</f>
        <v/>
      </c>
      <c r="V756" s="78">
        <f>IF($B756="","",IFERROR(INDEX(Task_Tracker!$I$5:$I$1004,MATCH($B756,Task_Tracker!$A$5:$A$1004,0)),""))</f>
        <v/>
      </c>
      <c r="W756" s="81">
        <f>IF(OR($D756="",$B756=""),"",$D756&amp;" | "&amp;$B756)</f>
        <v/>
      </c>
      <c r="X756" s="85">
        <f>IF($K756="","",TEXT($K756,"yyyy-mm"))</f>
        <v/>
      </c>
      <c r="Y756" s="81">
        <f>IF(OR($A756="",$T756=""),"","Included in Manager_Report")</f>
        <v/>
      </c>
    </row>
    <row r="757" ht="15" customHeight="1" s="40">
      <c r="A757" s="65">
        <f>IF(COUNTA(B757:G757)=0,"","STP-"&amp;TEXT(ROW()-4,"0000"))</f>
        <v/>
      </c>
      <c r="B757" s="78" t="n"/>
      <c r="C757" s="67">
        <f>IF($B757="","",IFERROR(INDEX(Task_Tracker!$D$5:$D$1004,MATCH($B757,Task_Tracker!$A$5:$A$1004,0)),""))</f>
        <v/>
      </c>
      <c r="D757" s="67">
        <f>IF($B757="","",IFERROR(INDEX(Task_Tracker!$B$5:$B$1004,MATCH($B757,Task_Tracker!$A$5:$A$1004,0)),""))</f>
        <v/>
      </c>
      <c r="E757" s="81" t="n"/>
      <c r="F757" s="81" t="n"/>
      <c r="G757" s="78" t="n"/>
      <c r="H757" s="78" t="n"/>
      <c r="I757" s="67">
        <f>IF($H757="","",IFERROR(INDEX(Action_Status_Map!$B$5:$B$11,MATCH($H757,Action_Status_Map!$A$5:$A$11,0)),""))</f>
        <v/>
      </c>
      <c r="J757" s="82" t="n"/>
      <c r="K757" s="82" t="n"/>
      <c r="L757" s="82" t="n"/>
      <c r="M757" s="83" t="n"/>
      <c r="N757" s="83" t="n"/>
      <c r="O757" s="66">
        <f>IF(OR($M757="",$N757=""),"",$N757-$M757)</f>
        <v/>
      </c>
      <c r="P757" s="84">
        <f>IF($J757="","",IF($L757&lt;&gt;"",$L757-$J757,TODAY()-$J757))</f>
        <v/>
      </c>
      <c r="Q757" s="85">
        <f>IF(OR($K757="",$H757="Completed",$H757="Cancelled"),"",IF(AND($K757&lt;TODAY(),$H757&lt;&gt;"Completed",$H757&lt;&gt;"Cancelled"),"Overdue","On Track"))</f>
        <v/>
      </c>
      <c r="R757" s="81" t="n"/>
      <c r="S757" s="81">
        <f>IF($B757="","",IFERROR(INDEX(Task_Tracker!$AA$5:$AA$1004,MATCH($B757,Task_Tracker!$A$5:$A$1004,0)),""))</f>
        <v/>
      </c>
      <c r="T757" s="81">
        <f>IF($B757="","",IFERROR(INDEX(Task_Tracker!$AB$5:$AB$1004,MATCH($B757,Task_Tracker!$A$5:$A$1004,0)),""))</f>
        <v/>
      </c>
      <c r="U757" s="78">
        <f>IF($B757="","",IFERROR(INDEX(Task_Tracker!$F$5:$F$1004,MATCH($B757,Task_Tracker!$A$5:$A$1004,0)),""))</f>
        <v/>
      </c>
      <c r="V757" s="78">
        <f>IF($B757="","",IFERROR(INDEX(Task_Tracker!$I$5:$I$1004,MATCH($B757,Task_Tracker!$A$5:$A$1004,0)),""))</f>
        <v/>
      </c>
      <c r="W757" s="81">
        <f>IF(OR($D757="",$B757=""),"",$D757&amp;" | "&amp;$B757)</f>
        <v/>
      </c>
      <c r="X757" s="85">
        <f>IF($K757="","",TEXT($K757,"yyyy-mm"))</f>
        <v/>
      </c>
      <c r="Y757" s="81">
        <f>IF(OR($A757="",$T757=""),"","Included in Manager_Report")</f>
        <v/>
      </c>
    </row>
    <row r="758" ht="15" customHeight="1" s="40">
      <c r="A758" s="65">
        <f>IF(COUNTA(B758:G758)=0,"","STP-"&amp;TEXT(ROW()-4,"0000"))</f>
        <v/>
      </c>
      <c r="B758" s="78" t="n"/>
      <c r="C758" s="67">
        <f>IF($B758="","",IFERROR(INDEX(Task_Tracker!$D$5:$D$1004,MATCH($B758,Task_Tracker!$A$5:$A$1004,0)),""))</f>
        <v/>
      </c>
      <c r="D758" s="67">
        <f>IF($B758="","",IFERROR(INDEX(Task_Tracker!$B$5:$B$1004,MATCH($B758,Task_Tracker!$A$5:$A$1004,0)),""))</f>
        <v/>
      </c>
      <c r="E758" s="81" t="n"/>
      <c r="F758" s="81" t="n"/>
      <c r="G758" s="78" t="n"/>
      <c r="H758" s="78" t="n"/>
      <c r="I758" s="67">
        <f>IF($H758="","",IFERROR(INDEX(Action_Status_Map!$B$5:$B$11,MATCH($H758,Action_Status_Map!$A$5:$A$11,0)),""))</f>
        <v/>
      </c>
      <c r="J758" s="82" t="n"/>
      <c r="K758" s="82" t="n"/>
      <c r="L758" s="82" t="n"/>
      <c r="M758" s="83" t="n"/>
      <c r="N758" s="83" t="n"/>
      <c r="O758" s="66">
        <f>IF(OR($M758="",$N758=""),"",$N758-$M758)</f>
        <v/>
      </c>
      <c r="P758" s="84">
        <f>IF($J758="","",IF($L758&lt;&gt;"",$L758-$J758,TODAY()-$J758))</f>
        <v/>
      </c>
      <c r="Q758" s="85">
        <f>IF(OR($K758="",$H758="Completed",$H758="Cancelled"),"",IF(AND($K758&lt;TODAY(),$H758&lt;&gt;"Completed",$H758&lt;&gt;"Cancelled"),"Overdue","On Track"))</f>
        <v/>
      </c>
      <c r="R758" s="81" t="n"/>
      <c r="S758" s="81">
        <f>IF($B758="","",IFERROR(INDEX(Task_Tracker!$AA$5:$AA$1004,MATCH($B758,Task_Tracker!$A$5:$A$1004,0)),""))</f>
        <v/>
      </c>
      <c r="T758" s="81">
        <f>IF($B758="","",IFERROR(INDEX(Task_Tracker!$AB$5:$AB$1004,MATCH($B758,Task_Tracker!$A$5:$A$1004,0)),""))</f>
        <v/>
      </c>
      <c r="U758" s="78">
        <f>IF($B758="","",IFERROR(INDEX(Task_Tracker!$F$5:$F$1004,MATCH($B758,Task_Tracker!$A$5:$A$1004,0)),""))</f>
        <v/>
      </c>
      <c r="V758" s="78">
        <f>IF($B758="","",IFERROR(INDEX(Task_Tracker!$I$5:$I$1004,MATCH($B758,Task_Tracker!$A$5:$A$1004,0)),""))</f>
        <v/>
      </c>
      <c r="W758" s="81">
        <f>IF(OR($D758="",$B758=""),"",$D758&amp;" | "&amp;$B758)</f>
        <v/>
      </c>
      <c r="X758" s="85">
        <f>IF($K758="","",TEXT($K758,"yyyy-mm"))</f>
        <v/>
      </c>
      <c r="Y758" s="81">
        <f>IF(OR($A758="",$T758=""),"","Included in Manager_Report")</f>
        <v/>
      </c>
    </row>
    <row r="759" ht="15" customHeight="1" s="40">
      <c r="A759" s="65">
        <f>IF(COUNTA(B759:G759)=0,"","STP-"&amp;TEXT(ROW()-4,"0000"))</f>
        <v/>
      </c>
      <c r="B759" s="78" t="n"/>
      <c r="C759" s="67">
        <f>IF($B759="","",IFERROR(INDEX(Task_Tracker!$D$5:$D$1004,MATCH($B759,Task_Tracker!$A$5:$A$1004,0)),""))</f>
        <v/>
      </c>
      <c r="D759" s="67">
        <f>IF($B759="","",IFERROR(INDEX(Task_Tracker!$B$5:$B$1004,MATCH($B759,Task_Tracker!$A$5:$A$1004,0)),""))</f>
        <v/>
      </c>
      <c r="E759" s="81" t="n"/>
      <c r="F759" s="81" t="n"/>
      <c r="G759" s="78" t="n"/>
      <c r="H759" s="78" t="n"/>
      <c r="I759" s="67">
        <f>IF($H759="","",IFERROR(INDEX(Action_Status_Map!$B$5:$B$11,MATCH($H759,Action_Status_Map!$A$5:$A$11,0)),""))</f>
        <v/>
      </c>
      <c r="J759" s="82" t="n"/>
      <c r="K759" s="82" t="n"/>
      <c r="L759" s="82" t="n"/>
      <c r="M759" s="83" t="n"/>
      <c r="N759" s="83" t="n"/>
      <c r="O759" s="66">
        <f>IF(OR($M759="",$N759=""),"",$N759-$M759)</f>
        <v/>
      </c>
      <c r="P759" s="84">
        <f>IF($J759="","",IF($L759&lt;&gt;"",$L759-$J759,TODAY()-$J759))</f>
        <v/>
      </c>
      <c r="Q759" s="85">
        <f>IF(OR($K759="",$H759="Completed",$H759="Cancelled"),"",IF(AND($K759&lt;TODAY(),$H759&lt;&gt;"Completed",$H759&lt;&gt;"Cancelled"),"Overdue","On Track"))</f>
        <v/>
      </c>
      <c r="R759" s="81" t="n"/>
      <c r="S759" s="81">
        <f>IF($B759="","",IFERROR(INDEX(Task_Tracker!$AA$5:$AA$1004,MATCH($B759,Task_Tracker!$A$5:$A$1004,0)),""))</f>
        <v/>
      </c>
      <c r="T759" s="81">
        <f>IF($B759="","",IFERROR(INDEX(Task_Tracker!$AB$5:$AB$1004,MATCH($B759,Task_Tracker!$A$5:$A$1004,0)),""))</f>
        <v/>
      </c>
      <c r="U759" s="78">
        <f>IF($B759="","",IFERROR(INDEX(Task_Tracker!$F$5:$F$1004,MATCH($B759,Task_Tracker!$A$5:$A$1004,0)),""))</f>
        <v/>
      </c>
      <c r="V759" s="78">
        <f>IF($B759="","",IFERROR(INDEX(Task_Tracker!$I$5:$I$1004,MATCH($B759,Task_Tracker!$A$5:$A$1004,0)),""))</f>
        <v/>
      </c>
      <c r="W759" s="81">
        <f>IF(OR($D759="",$B759=""),"",$D759&amp;" | "&amp;$B759)</f>
        <v/>
      </c>
      <c r="X759" s="85">
        <f>IF($K759="","",TEXT($K759,"yyyy-mm"))</f>
        <v/>
      </c>
      <c r="Y759" s="81">
        <f>IF(OR($A759="",$T759=""),"","Included in Manager_Report")</f>
        <v/>
      </c>
    </row>
    <row r="760" ht="15" customHeight="1" s="40">
      <c r="A760" s="65">
        <f>IF(COUNTA(B760:G760)=0,"","STP-"&amp;TEXT(ROW()-4,"0000"))</f>
        <v/>
      </c>
      <c r="B760" s="78" t="n"/>
      <c r="C760" s="67">
        <f>IF($B760="","",IFERROR(INDEX(Task_Tracker!$D$5:$D$1004,MATCH($B760,Task_Tracker!$A$5:$A$1004,0)),""))</f>
        <v/>
      </c>
      <c r="D760" s="67">
        <f>IF($B760="","",IFERROR(INDEX(Task_Tracker!$B$5:$B$1004,MATCH($B760,Task_Tracker!$A$5:$A$1004,0)),""))</f>
        <v/>
      </c>
      <c r="E760" s="81" t="n"/>
      <c r="F760" s="81" t="n"/>
      <c r="G760" s="78" t="n"/>
      <c r="H760" s="78" t="n"/>
      <c r="I760" s="67">
        <f>IF($H760="","",IFERROR(INDEX(Action_Status_Map!$B$5:$B$11,MATCH($H760,Action_Status_Map!$A$5:$A$11,0)),""))</f>
        <v/>
      </c>
      <c r="J760" s="82" t="n"/>
      <c r="K760" s="82" t="n"/>
      <c r="L760" s="82" t="n"/>
      <c r="M760" s="83" t="n"/>
      <c r="N760" s="83" t="n"/>
      <c r="O760" s="66">
        <f>IF(OR($M760="",$N760=""),"",$N760-$M760)</f>
        <v/>
      </c>
      <c r="P760" s="84">
        <f>IF($J760="","",IF($L760&lt;&gt;"",$L760-$J760,TODAY()-$J760))</f>
        <v/>
      </c>
      <c r="Q760" s="85">
        <f>IF(OR($K760="",$H760="Completed",$H760="Cancelled"),"",IF(AND($K760&lt;TODAY(),$H760&lt;&gt;"Completed",$H760&lt;&gt;"Cancelled"),"Overdue","On Track"))</f>
        <v/>
      </c>
      <c r="R760" s="81" t="n"/>
      <c r="S760" s="81">
        <f>IF($B760="","",IFERROR(INDEX(Task_Tracker!$AA$5:$AA$1004,MATCH($B760,Task_Tracker!$A$5:$A$1004,0)),""))</f>
        <v/>
      </c>
      <c r="T760" s="81">
        <f>IF($B760="","",IFERROR(INDEX(Task_Tracker!$AB$5:$AB$1004,MATCH($B760,Task_Tracker!$A$5:$A$1004,0)),""))</f>
        <v/>
      </c>
      <c r="U760" s="78">
        <f>IF($B760="","",IFERROR(INDEX(Task_Tracker!$F$5:$F$1004,MATCH($B760,Task_Tracker!$A$5:$A$1004,0)),""))</f>
        <v/>
      </c>
      <c r="V760" s="78">
        <f>IF($B760="","",IFERROR(INDEX(Task_Tracker!$I$5:$I$1004,MATCH($B760,Task_Tracker!$A$5:$A$1004,0)),""))</f>
        <v/>
      </c>
      <c r="W760" s="81">
        <f>IF(OR($D760="",$B760=""),"",$D760&amp;" | "&amp;$B760)</f>
        <v/>
      </c>
      <c r="X760" s="85">
        <f>IF($K760="","",TEXT($K760,"yyyy-mm"))</f>
        <v/>
      </c>
      <c r="Y760" s="81">
        <f>IF(OR($A760="",$T760=""),"","Included in Manager_Report")</f>
        <v/>
      </c>
    </row>
    <row r="761" ht="15" customHeight="1" s="40">
      <c r="A761" s="65">
        <f>IF(COUNTA(B761:G761)=0,"","STP-"&amp;TEXT(ROW()-4,"0000"))</f>
        <v/>
      </c>
      <c r="B761" s="78" t="n"/>
      <c r="C761" s="67">
        <f>IF($B761="","",IFERROR(INDEX(Task_Tracker!$D$5:$D$1004,MATCH($B761,Task_Tracker!$A$5:$A$1004,0)),""))</f>
        <v/>
      </c>
      <c r="D761" s="67">
        <f>IF($B761="","",IFERROR(INDEX(Task_Tracker!$B$5:$B$1004,MATCH($B761,Task_Tracker!$A$5:$A$1004,0)),""))</f>
        <v/>
      </c>
      <c r="E761" s="81" t="n"/>
      <c r="F761" s="81" t="n"/>
      <c r="G761" s="78" t="n"/>
      <c r="H761" s="78" t="n"/>
      <c r="I761" s="67">
        <f>IF($H761="","",IFERROR(INDEX(Action_Status_Map!$B$5:$B$11,MATCH($H761,Action_Status_Map!$A$5:$A$11,0)),""))</f>
        <v/>
      </c>
      <c r="J761" s="82" t="n"/>
      <c r="K761" s="82" t="n"/>
      <c r="L761" s="82" t="n"/>
      <c r="M761" s="83" t="n"/>
      <c r="N761" s="83" t="n"/>
      <c r="O761" s="66">
        <f>IF(OR($M761="",$N761=""),"",$N761-$M761)</f>
        <v/>
      </c>
      <c r="P761" s="84">
        <f>IF($J761="","",IF($L761&lt;&gt;"",$L761-$J761,TODAY()-$J761))</f>
        <v/>
      </c>
      <c r="Q761" s="85">
        <f>IF(OR($K761="",$H761="Completed",$H761="Cancelled"),"",IF(AND($K761&lt;TODAY(),$H761&lt;&gt;"Completed",$H761&lt;&gt;"Cancelled"),"Overdue","On Track"))</f>
        <v/>
      </c>
      <c r="R761" s="81" t="n"/>
      <c r="S761" s="81">
        <f>IF($B761="","",IFERROR(INDEX(Task_Tracker!$AA$5:$AA$1004,MATCH($B761,Task_Tracker!$A$5:$A$1004,0)),""))</f>
        <v/>
      </c>
      <c r="T761" s="81">
        <f>IF($B761="","",IFERROR(INDEX(Task_Tracker!$AB$5:$AB$1004,MATCH($B761,Task_Tracker!$A$5:$A$1004,0)),""))</f>
        <v/>
      </c>
      <c r="U761" s="78">
        <f>IF($B761="","",IFERROR(INDEX(Task_Tracker!$F$5:$F$1004,MATCH($B761,Task_Tracker!$A$5:$A$1004,0)),""))</f>
        <v/>
      </c>
      <c r="V761" s="78">
        <f>IF($B761="","",IFERROR(INDEX(Task_Tracker!$I$5:$I$1004,MATCH($B761,Task_Tracker!$A$5:$A$1004,0)),""))</f>
        <v/>
      </c>
      <c r="W761" s="81">
        <f>IF(OR($D761="",$B761=""),"",$D761&amp;" | "&amp;$B761)</f>
        <v/>
      </c>
      <c r="X761" s="85">
        <f>IF($K761="","",TEXT($K761,"yyyy-mm"))</f>
        <v/>
      </c>
      <c r="Y761" s="81">
        <f>IF(OR($A761="",$T761=""),"","Included in Manager_Report")</f>
        <v/>
      </c>
    </row>
    <row r="762" ht="15" customHeight="1" s="40">
      <c r="A762" s="65">
        <f>IF(COUNTA(B762:G762)=0,"","STP-"&amp;TEXT(ROW()-4,"0000"))</f>
        <v/>
      </c>
      <c r="B762" s="78" t="n"/>
      <c r="C762" s="67">
        <f>IF($B762="","",IFERROR(INDEX(Task_Tracker!$D$5:$D$1004,MATCH($B762,Task_Tracker!$A$5:$A$1004,0)),""))</f>
        <v/>
      </c>
      <c r="D762" s="67">
        <f>IF($B762="","",IFERROR(INDEX(Task_Tracker!$B$5:$B$1004,MATCH($B762,Task_Tracker!$A$5:$A$1004,0)),""))</f>
        <v/>
      </c>
      <c r="E762" s="81" t="n"/>
      <c r="F762" s="81" t="n"/>
      <c r="G762" s="78" t="n"/>
      <c r="H762" s="78" t="n"/>
      <c r="I762" s="67">
        <f>IF($H762="","",IFERROR(INDEX(Action_Status_Map!$B$5:$B$11,MATCH($H762,Action_Status_Map!$A$5:$A$11,0)),""))</f>
        <v/>
      </c>
      <c r="J762" s="82" t="n"/>
      <c r="K762" s="82" t="n"/>
      <c r="L762" s="82" t="n"/>
      <c r="M762" s="83" t="n"/>
      <c r="N762" s="83" t="n"/>
      <c r="O762" s="66">
        <f>IF(OR($M762="",$N762=""),"",$N762-$M762)</f>
        <v/>
      </c>
      <c r="P762" s="84">
        <f>IF($J762="","",IF($L762&lt;&gt;"",$L762-$J762,TODAY()-$J762))</f>
        <v/>
      </c>
      <c r="Q762" s="85">
        <f>IF(OR($K762="",$H762="Completed",$H762="Cancelled"),"",IF(AND($K762&lt;TODAY(),$H762&lt;&gt;"Completed",$H762&lt;&gt;"Cancelled"),"Overdue","On Track"))</f>
        <v/>
      </c>
      <c r="R762" s="81" t="n"/>
      <c r="S762" s="81">
        <f>IF($B762="","",IFERROR(INDEX(Task_Tracker!$AA$5:$AA$1004,MATCH($B762,Task_Tracker!$A$5:$A$1004,0)),""))</f>
        <v/>
      </c>
      <c r="T762" s="81">
        <f>IF($B762="","",IFERROR(INDEX(Task_Tracker!$AB$5:$AB$1004,MATCH($B762,Task_Tracker!$A$5:$A$1004,0)),""))</f>
        <v/>
      </c>
      <c r="U762" s="78">
        <f>IF($B762="","",IFERROR(INDEX(Task_Tracker!$F$5:$F$1004,MATCH($B762,Task_Tracker!$A$5:$A$1004,0)),""))</f>
        <v/>
      </c>
      <c r="V762" s="78">
        <f>IF($B762="","",IFERROR(INDEX(Task_Tracker!$I$5:$I$1004,MATCH($B762,Task_Tracker!$A$5:$A$1004,0)),""))</f>
        <v/>
      </c>
      <c r="W762" s="81">
        <f>IF(OR($D762="",$B762=""),"",$D762&amp;" | "&amp;$B762)</f>
        <v/>
      </c>
      <c r="X762" s="85">
        <f>IF($K762="","",TEXT($K762,"yyyy-mm"))</f>
        <v/>
      </c>
      <c r="Y762" s="81">
        <f>IF(OR($A762="",$T762=""),"","Included in Manager_Report")</f>
        <v/>
      </c>
    </row>
    <row r="763" ht="15" customHeight="1" s="40">
      <c r="A763" s="65">
        <f>IF(COUNTA(B763:G763)=0,"","STP-"&amp;TEXT(ROW()-4,"0000"))</f>
        <v/>
      </c>
      <c r="B763" s="78" t="n"/>
      <c r="C763" s="67">
        <f>IF($B763="","",IFERROR(INDEX(Task_Tracker!$D$5:$D$1004,MATCH($B763,Task_Tracker!$A$5:$A$1004,0)),""))</f>
        <v/>
      </c>
      <c r="D763" s="67">
        <f>IF($B763="","",IFERROR(INDEX(Task_Tracker!$B$5:$B$1004,MATCH($B763,Task_Tracker!$A$5:$A$1004,0)),""))</f>
        <v/>
      </c>
      <c r="E763" s="81" t="n"/>
      <c r="F763" s="81" t="n"/>
      <c r="G763" s="78" t="n"/>
      <c r="H763" s="78" t="n"/>
      <c r="I763" s="67">
        <f>IF($H763="","",IFERROR(INDEX(Action_Status_Map!$B$5:$B$11,MATCH($H763,Action_Status_Map!$A$5:$A$11,0)),""))</f>
        <v/>
      </c>
      <c r="J763" s="82" t="n"/>
      <c r="K763" s="82" t="n"/>
      <c r="L763" s="82" t="n"/>
      <c r="M763" s="83" t="n"/>
      <c r="N763" s="83" t="n"/>
      <c r="O763" s="66">
        <f>IF(OR($M763="",$N763=""),"",$N763-$M763)</f>
        <v/>
      </c>
      <c r="P763" s="84">
        <f>IF($J763="","",IF($L763&lt;&gt;"",$L763-$J763,TODAY()-$J763))</f>
        <v/>
      </c>
      <c r="Q763" s="85">
        <f>IF(OR($K763="",$H763="Completed",$H763="Cancelled"),"",IF(AND($K763&lt;TODAY(),$H763&lt;&gt;"Completed",$H763&lt;&gt;"Cancelled"),"Overdue","On Track"))</f>
        <v/>
      </c>
      <c r="R763" s="81" t="n"/>
      <c r="S763" s="81">
        <f>IF($B763="","",IFERROR(INDEX(Task_Tracker!$AA$5:$AA$1004,MATCH($B763,Task_Tracker!$A$5:$A$1004,0)),""))</f>
        <v/>
      </c>
      <c r="T763" s="81">
        <f>IF($B763="","",IFERROR(INDEX(Task_Tracker!$AB$5:$AB$1004,MATCH($B763,Task_Tracker!$A$5:$A$1004,0)),""))</f>
        <v/>
      </c>
      <c r="U763" s="78">
        <f>IF($B763="","",IFERROR(INDEX(Task_Tracker!$F$5:$F$1004,MATCH($B763,Task_Tracker!$A$5:$A$1004,0)),""))</f>
        <v/>
      </c>
      <c r="V763" s="78">
        <f>IF($B763="","",IFERROR(INDEX(Task_Tracker!$I$5:$I$1004,MATCH($B763,Task_Tracker!$A$5:$A$1004,0)),""))</f>
        <v/>
      </c>
      <c r="W763" s="81">
        <f>IF(OR($D763="",$B763=""),"",$D763&amp;" | "&amp;$B763)</f>
        <v/>
      </c>
      <c r="X763" s="85">
        <f>IF($K763="","",TEXT($K763,"yyyy-mm"))</f>
        <v/>
      </c>
      <c r="Y763" s="81">
        <f>IF(OR($A763="",$T763=""),"","Included in Manager_Report")</f>
        <v/>
      </c>
    </row>
    <row r="764" ht="15" customHeight="1" s="40">
      <c r="A764" s="65">
        <f>IF(COUNTA(B764:G764)=0,"","STP-"&amp;TEXT(ROW()-4,"0000"))</f>
        <v/>
      </c>
      <c r="B764" s="78" t="n"/>
      <c r="C764" s="67">
        <f>IF($B764="","",IFERROR(INDEX(Task_Tracker!$D$5:$D$1004,MATCH($B764,Task_Tracker!$A$5:$A$1004,0)),""))</f>
        <v/>
      </c>
      <c r="D764" s="67">
        <f>IF($B764="","",IFERROR(INDEX(Task_Tracker!$B$5:$B$1004,MATCH($B764,Task_Tracker!$A$5:$A$1004,0)),""))</f>
        <v/>
      </c>
      <c r="E764" s="81" t="n"/>
      <c r="F764" s="81" t="n"/>
      <c r="G764" s="78" t="n"/>
      <c r="H764" s="78" t="n"/>
      <c r="I764" s="67">
        <f>IF($H764="","",IFERROR(INDEX(Action_Status_Map!$B$5:$B$11,MATCH($H764,Action_Status_Map!$A$5:$A$11,0)),""))</f>
        <v/>
      </c>
      <c r="J764" s="82" t="n"/>
      <c r="K764" s="82" t="n"/>
      <c r="L764" s="82" t="n"/>
      <c r="M764" s="83" t="n"/>
      <c r="N764" s="83" t="n"/>
      <c r="O764" s="66">
        <f>IF(OR($M764="",$N764=""),"",$N764-$M764)</f>
        <v/>
      </c>
      <c r="P764" s="84">
        <f>IF($J764="","",IF($L764&lt;&gt;"",$L764-$J764,TODAY()-$J764))</f>
        <v/>
      </c>
      <c r="Q764" s="85">
        <f>IF(OR($K764="",$H764="Completed",$H764="Cancelled"),"",IF(AND($K764&lt;TODAY(),$H764&lt;&gt;"Completed",$H764&lt;&gt;"Cancelled"),"Overdue","On Track"))</f>
        <v/>
      </c>
      <c r="R764" s="81" t="n"/>
      <c r="S764" s="81">
        <f>IF($B764="","",IFERROR(INDEX(Task_Tracker!$AA$5:$AA$1004,MATCH($B764,Task_Tracker!$A$5:$A$1004,0)),""))</f>
        <v/>
      </c>
      <c r="T764" s="81">
        <f>IF($B764="","",IFERROR(INDEX(Task_Tracker!$AB$5:$AB$1004,MATCH($B764,Task_Tracker!$A$5:$A$1004,0)),""))</f>
        <v/>
      </c>
      <c r="U764" s="78">
        <f>IF($B764="","",IFERROR(INDEX(Task_Tracker!$F$5:$F$1004,MATCH($B764,Task_Tracker!$A$5:$A$1004,0)),""))</f>
        <v/>
      </c>
      <c r="V764" s="78">
        <f>IF($B764="","",IFERROR(INDEX(Task_Tracker!$I$5:$I$1004,MATCH($B764,Task_Tracker!$A$5:$A$1004,0)),""))</f>
        <v/>
      </c>
      <c r="W764" s="81">
        <f>IF(OR($D764="",$B764=""),"",$D764&amp;" | "&amp;$B764)</f>
        <v/>
      </c>
      <c r="X764" s="85">
        <f>IF($K764="","",TEXT($K764,"yyyy-mm"))</f>
        <v/>
      </c>
      <c r="Y764" s="81">
        <f>IF(OR($A764="",$T764=""),"","Included in Manager_Report")</f>
        <v/>
      </c>
    </row>
    <row r="765" ht="15" customHeight="1" s="40">
      <c r="A765" s="65">
        <f>IF(COUNTA(B765:G765)=0,"","STP-"&amp;TEXT(ROW()-4,"0000"))</f>
        <v/>
      </c>
      <c r="B765" s="78" t="n"/>
      <c r="C765" s="67">
        <f>IF($B765="","",IFERROR(INDEX(Task_Tracker!$D$5:$D$1004,MATCH($B765,Task_Tracker!$A$5:$A$1004,0)),""))</f>
        <v/>
      </c>
      <c r="D765" s="67">
        <f>IF($B765="","",IFERROR(INDEX(Task_Tracker!$B$5:$B$1004,MATCH($B765,Task_Tracker!$A$5:$A$1004,0)),""))</f>
        <v/>
      </c>
      <c r="E765" s="81" t="n"/>
      <c r="F765" s="81" t="n"/>
      <c r="G765" s="78" t="n"/>
      <c r="H765" s="78" t="n"/>
      <c r="I765" s="67">
        <f>IF($H765="","",IFERROR(INDEX(Action_Status_Map!$B$5:$B$11,MATCH($H765,Action_Status_Map!$A$5:$A$11,0)),""))</f>
        <v/>
      </c>
      <c r="J765" s="82" t="n"/>
      <c r="K765" s="82" t="n"/>
      <c r="L765" s="82" t="n"/>
      <c r="M765" s="83" t="n"/>
      <c r="N765" s="83" t="n"/>
      <c r="O765" s="66">
        <f>IF(OR($M765="",$N765=""),"",$N765-$M765)</f>
        <v/>
      </c>
      <c r="P765" s="84">
        <f>IF($J765="","",IF($L765&lt;&gt;"",$L765-$J765,TODAY()-$J765))</f>
        <v/>
      </c>
      <c r="Q765" s="85">
        <f>IF(OR($K765="",$H765="Completed",$H765="Cancelled"),"",IF(AND($K765&lt;TODAY(),$H765&lt;&gt;"Completed",$H765&lt;&gt;"Cancelled"),"Overdue","On Track"))</f>
        <v/>
      </c>
      <c r="R765" s="81" t="n"/>
      <c r="S765" s="81">
        <f>IF($B765="","",IFERROR(INDEX(Task_Tracker!$AA$5:$AA$1004,MATCH($B765,Task_Tracker!$A$5:$A$1004,0)),""))</f>
        <v/>
      </c>
      <c r="T765" s="81">
        <f>IF($B765="","",IFERROR(INDEX(Task_Tracker!$AB$5:$AB$1004,MATCH($B765,Task_Tracker!$A$5:$A$1004,0)),""))</f>
        <v/>
      </c>
      <c r="U765" s="78">
        <f>IF($B765="","",IFERROR(INDEX(Task_Tracker!$F$5:$F$1004,MATCH($B765,Task_Tracker!$A$5:$A$1004,0)),""))</f>
        <v/>
      </c>
      <c r="V765" s="78">
        <f>IF($B765="","",IFERROR(INDEX(Task_Tracker!$I$5:$I$1004,MATCH($B765,Task_Tracker!$A$5:$A$1004,0)),""))</f>
        <v/>
      </c>
      <c r="W765" s="81">
        <f>IF(OR($D765="",$B765=""),"",$D765&amp;" | "&amp;$B765)</f>
        <v/>
      </c>
      <c r="X765" s="85">
        <f>IF($K765="","",TEXT($K765,"yyyy-mm"))</f>
        <v/>
      </c>
      <c r="Y765" s="81">
        <f>IF(OR($A765="",$T765=""),"","Included in Manager_Report")</f>
        <v/>
      </c>
    </row>
    <row r="766" ht="15" customHeight="1" s="40">
      <c r="A766" s="65">
        <f>IF(COUNTA(B766:G766)=0,"","STP-"&amp;TEXT(ROW()-4,"0000"))</f>
        <v/>
      </c>
      <c r="B766" s="78" t="n"/>
      <c r="C766" s="67">
        <f>IF($B766="","",IFERROR(INDEX(Task_Tracker!$D$5:$D$1004,MATCH($B766,Task_Tracker!$A$5:$A$1004,0)),""))</f>
        <v/>
      </c>
      <c r="D766" s="67">
        <f>IF($B766="","",IFERROR(INDEX(Task_Tracker!$B$5:$B$1004,MATCH($B766,Task_Tracker!$A$5:$A$1004,0)),""))</f>
        <v/>
      </c>
      <c r="E766" s="81" t="n"/>
      <c r="F766" s="81" t="n"/>
      <c r="G766" s="78" t="n"/>
      <c r="H766" s="78" t="n"/>
      <c r="I766" s="67">
        <f>IF($H766="","",IFERROR(INDEX(Action_Status_Map!$B$5:$B$11,MATCH($H766,Action_Status_Map!$A$5:$A$11,0)),""))</f>
        <v/>
      </c>
      <c r="J766" s="82" t="n"/>
      <c r="K766" s="82" t="n"/>
      <c r="L766" s="82" t="n"/>
      <c r="M766" s="83" t="n"/>
      <c r="N766" s="83" t="n"/>
      <c r="O766" s="66">
        <f>IF(OR($M766="",$N766=""),"",$N766-$M766)</f>
        <v/>
      </c>
      <c r="P766" s="84">
        <f>IF($J766="","",IF($L766&lt;&gt;"",$L766-$J766,TODAY()-$J766))</f>
        <v/>
      </c>
      <c r="Q766" s="85">
        <f>IF(OR($K766="",$H766="Completed",$H766="Cancelled"),"",IF(AND($K766&lt;TODAY(),$H766&lt;&gt;"Completed",$H766&lt;&gt;"Cancelled"),"Overdue","On Track"))</f>
        <v/>
      </c>
      <c r="R766" s="81" t="n"/>
      <c r="S766" s="81">
        <f>IF($B766="","",IFERROR(INDEX(Task_Tracker!$AA$5:$AA$1004,MATCH($B766,Task_Tracker!$A$5:$A$1004,0)),""))</f>
        <v/>
      </c>
      <c r="T766" s="81">
        <f>IF($B766="","",IFERROR(INDEX(Task_Tracker!$AB$5:$AB$1004,MATCH($B766,Task_Tracker!$A$5:$A$1004,0)),""))</f>
        <v/>
      </c>
      <c r="U766" s="78">
        <f>IF($B766="","",IFERROR(INDEX(Task_Tracker!$F$5:$F$1004,MATCH($B766,Task_Tracker!$A$5:$A$1004,0)),""))</f>
        <v/>
      </c>
      <c r="V766" s="78">
        <f>IF($B766="","",IFERROR(INDEX(Task_Tracker!$I$5:$I$1004,MATCH($B766,Task_Tracker!$A$5:$A$1004,0)),""))</f>
        <v/>
      </c>
      <c r="W766" s="81">
        <f>IF(OR($D766="",$B766=""),"",$D766&amp;" | "&amp;$B766)</f>
        <v/>
      </c>
      <c r="X766" s="85">
        <f>IF($K766="","",TEXT($K766,"yyyy-mm"))</f>
        <v/>
      </c>
      <c r="Y766" s="81">
        <f>IF(OR($A766="",$T766=""),"","Included in Manager_Report")</f>
        <v/>
      </c>
    </row>
    <row r="767" ht="15" customHeight="1" s="40">
      <c r="A767" s="65">
        <f>IF(COUNTA(B767:G767)=0,"","STP-"&amp;TEXT(ROW()-4,"0000"))</f>
        <v/>
      </c>
      <c r="B767" s="78" t="n"/>
      <c r="C767" s="67">
        <f>IF($B767="","",IFERROR(INDEX(Task_Tracker!$D$5:$D$1004,MATCH($B767,Task_Tracker!$A$5:$A$1004,0)),""))</f>
        <v/>
      </c>
      <c r="D767" s="67">
        <f>IF($B767="","",IFERROR(INDEX(Task_Tracker!$B$5:$B$1004,MATCH($B767,Task_Tracker!$A$5:$A$1004,0)),""))</f>
        <v/>
      </c>
      <c r="E767" s="81" t="n"/>
      <c r="F767" s="81" t="n"/>
      <c r="G767" s="78" t="n"/>
      <c r="H767" s="78" t="n"/>
      <c r="I767" s="67">
        <f>IF($H767="","",IFERROR(INDEX(Action_Status_Map!$B$5:$B$11,MATCH($H767,Action_Status_Map!$A$5:$A$11,0)),""))</f>
        <v/>
      </c>
      <c r="J767" s="82" t="n"/>
      <c r="K767" s="82" t="n"/>
      <c r="L767" s="82" t="n"/>
      <c r="M767" s="83" t="n"/>
      <c r="N767" s="83" t="n"/>
      <c r="O767" s="66">
        <f>IF(OR($M767="",$N767=""),"",$N767-$M767)</f>
        <v/>
      </c>
      <c r="P767" s="84">
        <f>IF($J767="","",IF($L767&lt;&gt;"",$L767-$J767,TODAY()-$J767))</f>
        <v/>
      </c>
      <c r="Q767" s="85">
        <f>IF(OR($K767="",$H767="Completed",$H767="Cancelled"),"",IF(AND($K767&lt;TODAY(),$H767&lt;&gt;"Completed",$H767&lt;&gt;"Cancelled"),"Overdue","On Track"))</f>
        <v/>
      </c>
      <c r="R767" s="81" t="n"/>
      <c r="S767" s="81">
        <f>IF($B767="","",IFERROR(INDEX(Task_Tracker!$AA$5:$AA$1004,MATCH($B767,Task_Tracker!$A$5:$A$1004,0)),""))</f>
        <v/>
      </c>
      <c r="T767" s="81">
        <f>IF($B767="","",IFERROR(INDEX(Task_Tracker!$AB$5:$AB$1004,MATCH($B767,Task_Tracker!$A$5:$A$1004,0)),""))</f>
        <v/>
      </c>
      <c r="U767" s="78">
        <f>IF($B767="","",IFERROR(INDEX(Task_Tracker!$F$5:$F$1004,MATCH($B767,Task_Tracker!$A$5:$A$1004,0)),""))</f>
        <v/>
      </c>
      <c r="V767" s="78">
        <f>IF($B767="","",IFERROR(INDEX(Task_Tracker!$I$5:$I$1004,MATCH($B767,Task_Tracker!$A$5:$A$1004,0)),""))</f>
        <v/>
      </c>
      <c r="W767" s="81">
        <f>IF(OR($D767="",$B767=""),"",$D767&amp;" | "&amp;$B767)</f>
        <v/>
      </c>
      <c r="X767" s="85">
        <f>IF($K767="","",TEXT($K767,"yyyy-mm"))</f>
        <v/>
      </c>
      <c r="Y767" s="81">
        <f>IF(OR($A767="",$T767=""),"","Included in Manager_Report")</f>
        <v/>
      </c>
    </row>
    <row r="768" ht="15" customHeight="1" s="40">
      <c r="A768" s="65">
        <f>IF(COUNTA(B768:G768)=0,"","STP-"&amp;TEXT(ROW()-4,"0000"))</f>
        <v/>
      </c>
      <c r="B768" s="78" t="n"/>
      <c r="C768" s="67">
        <f>IF($B768="","",IFERROR(INDEX(Task_Tracker!$D$5:$D$1004,MATCH($B768,Task_Tracker!$A$5:$A$1004,0)),""))</f>
        <v/>
      </c>
      <c r="D768" s="67">
        <f>IF($B768="","",IFERROR(INDEX(Task_Tracker!$B$5:$B$1004,MATCH($B768,Task_Tracker!$A$5:$A$1004,0)),""))</f>
        <v/>
      </c>
      <c r="E768" s="81" t="n"/>
      <c r="F768" s="81" t="n"/>
      <c r="G768" s="78" t="n"/>
      <c r="H768" s="78" t="n"/>
      <c r="I768" s="67">
        <f>IF($H768="","",IFERROR(INDEX(Action_Status_Map!$B$5:$B$11,MATCH($H768,Action_Status_Map!$A$5:$A$11,0)),""))</f>
        <v/>
      </c>
      <c r="J768" s="82" t="n"/>
      <c r="K768" s="82" t="n"/>
      <c r="L768" s="82" t="n"/>
      <c r="M768" s="83" t="n"/>
      <c r="N768" s="83" t="n"/>
      <c r="O768" s="66">
        <f>IF(OR($M768="",$N768=""),"",$N768-$M768)</f>
        <v/>
      </c>
      <c r="P768" s="84">
        <f>IF($J768="","",IF($L768&lt;&gt;"",$L768-$J768,TODAY()-$J768))</f>
        <v/>
      </c>
      <c r="Q768" s="85">
        <f>IF(OR($K768="",$H768="Completed",$H768="Cancelled"),"",IF(AND($K768&lt;TODAY(),$H768&lt;&gt;"Completed",$H768&lt;&gt;"Cancelled"),"Overdue","On Track"))</f>
        <v/>
      </c>
      <c r="R768" s="81" t="n"/>
      <c r="S768" s="81">
        <f>IF($B768="","",IFERROR(INDEX(Task_Tracker!$AA$5:$AA$1004,MATCH($B768,Task_Tracker!$A$5:$A$1004,0)),""))</f>
        <v/>
      </c>
      <c r="T768" s="81">
        <f>IF($B768="","",IFERROR(INDEX(Task_Tracker!$AB$5:$AB$1004,MATCH($B768,Task_Tracker!$A$5:$A$1004,0)),""))</f>
        <v/>
      </c>
      <c r="U768" s="78">
        <f>IF($B768="","",IFERROR(INDEX(Task_Tracker!$F$5:$F$1004,MATCH($B768,Task_Tracker!$A$5:$A$1004,0)),""))</f>
        <v/>
      </c>
      <c r="V768" s="78">
        <f>IF($B768="","",IFERROR(INDEX(Task_Tracker!$I$5:$I$1004,MATCH($B768,Task_Tracker!$A$5:$A$1004,0)),""))</f>
        <v/>
      </c>
      <c r="W768" s="81">
        <f>IF(OR($D768="",$B768=""),"",$D768&amp;" | "&amp;$B768)</f>
        <v/>
      </c>
      <c r="X768" s="85">
        <f>IF($K768="","",TEXT($K768,"yyyy-mm"))</f>
        <v/>
      </c>
      <c r="Y768" s="81">
        <f>IF(OR($A768="",$T768=""),"","Included in Manager_Report")</f>
        <v/>
      </c>
    </row>
    <row r="769" ht="15" customHeight="1" s="40">
      <c r="A769" s="65">
        <f>IF(COUNTA(B769:G769)=0,"","STP-"&amp;TEXT(ROW()-4,"0000"))</f>
        <v/>
      </c>
      <c r="B769" s="78" t="n"/>
      <c r="C769" s="67">
        <f>IF($B769="","",IFERROR(INDEX(Task_Tracker!$D$5:$D$1004,MATCH($B769,Task_Tracker!$A$5:$A$1004,0)),""))</f>
        <v/>
      </c>
      <c r="D769" s="67">
        <f>IF($B769="","",IFERROR(INDEX(Task_Tracker!$B$5:$B$1004,MATCH($B769,Task_Tracker!$A$5:$A$1004,0)),""))</f>
        <v/>
      </c>
      <c r="E769" s="81" t="n"/>
      <c r="F769" s="81" t="n"/>
      <c r="G769" s="78" t="n"/>
      <c r="H769" s="78" t="n"/>
      <c r="I769" s="67">
        <f>IF($H769="","",IFERROR(INDEX(Action_Status_Map!$B$5:$B$11,MATCH($H769,Action_Status_Map!$A$5:$A$11,0)),""))</f>
        <v/>
      </c>
      <c r="J769" s="82" t="n"/>
      <c r="K769" s="82" t="n"/>
      <c r="L769" s="82" t="n"/>
      <c r="M769" s="83" t="n"/>
      <c r="N769" s="83" t="n"/>
      <c r="O769" s="66">
        <f>IF(OR($M769="",$N769=""),"",$N769-$M769)</f>
        <v/>
      </c>
      <c r="P769" s="84">
        <f>IF($J769="","",IF($L769&lt;&gt;"",$L769-$J769,TODAY()-$J769))</f>
        <v/>
      </c>
      <c r="Q769" s="85">
        <f>IF(OR($K769="",$H769="Completed",$H769="Cancelled"),"",IF(AND($K769&lt;TODAY(),$H769&lt;&gt;"Completed",$H769&lt;&gt;"Cancelled"),"Overdue","On Track"))</f>
        <v/>
      </c>
      <c r="R769" s="81" t="n"/>
      <c r="S769" s="81">
        <f>IF($B769="","",IFERROR(INDEX(Task_Tracker!$AA$5:$AA$1004,MATCH($B769,Task_Tracker!$A$5:$A$1004,0)),""))</f>
        <v/>
      </c>
      <c r="T769" s="81">
        <f>IF($B769="","",IFERROR(INDEX(Task_Tracker!$AB$5:$AB$1004,MATCH($B769,Task_Tracker!$A$5:$A$1004,0)),""))</f>
        <v/>
      </c>
      <c r="U769" s="78">
        <f>IF($B769="","",IFERROR(INDEX(Task_Tracker!$F$5:$F$1004,MATCH($B769,Task_Tracker!$A$5:$A$1004,0)),""))</f>
        <v/>
      </c>
      <c r="V769" s="78">
        <f>IF($B769="","",IFERROR(INDEX(Task_Tracker!$I$5:$I$1004,MATCH($B769,Task_Tracker!$A$5:$A$1004,0)),""))</f>
        <v/>
      </c>
      <c r="W769" s="81">
        <f>IF(OR($D769="",$B769=""),"",$D769&amp;" | "&amp;$B769)</f>
        <v/>
      </c>
      <c r="X769" s="85">
        <f>IF($K769="","",TEXT($K769,"yyyy-mm"))</f>
        <v/>
      </c>
      <c r="Y769" s="81">
        <f>IF(OR($A769="",$T769=""),"","Included in Manager_Report")</f>
        <v/>
      </c>
    </row>
    <row r="770" ht="15" customHeight="1" s="40">
      <c r="A770" s="65">
        <f>IF(COUNTA(B770:G770)=0,"","STP-"&amp;TEXT(ROW()-4,"0000"))</f>
        <v/>
      </c>
      <c r="B770" s="78" t="n"/>
      <c r="C770" s="67">
        <f>IF($B770="","",IFERROR(INDEX(Task_Tracker!$D$5:$D$1004,MATCH($B770,Task_Tracker!$A$5:$A$1004,0)),""))</f>
        <v/>
      </c>
      <c r="D770" s="67">
        <f>IF($B770="","",IFERROR(INDEX(Task_Tracker!$B$5:$B$1004,MATCH($B770,Task_Tracker!$A$5:$A$1004,0)),""))</f>
        <v/>
      </c>
      <c r="E770" s="81" t="n"/>
      <c r="F770" s="81" t="n"/>
      <c r="G770" s="78" t="n"/>
      <c r="H770" s="78" t="n"/>
      <c r="I770" s="67">
        <f>IF($H770="","",IFERROR(INDEX(Action_Status_Map!$B$5:$B$11,MATCH($H770,Action_Status_Map!$A$5:$A$11,0)),""))</f>
        <v/>
      </c>
      <c r="J770" s="82" t="n"/>
      <c r="K770" s="82" t="n"/>
      <c r="L770" s="82" t="n"/>
      <c r="M770" s="83" t="n"/>
      <c r="N770" s="83" t="n"/>
      <c r="O770" s="66">
        <f>IF(OR($M770="",$N770=""),"",$N770-$M770)</f>
        <v/>
      </c>
      <c r="P770" s="84">
        <f>IF($J770="","",IF($L770&lt;&gt;"",$L770-$J770,TODAY()-$J770))</f>
        <v/>
      </c>
      <c r="Q770" s="85">
        <f>IF(OR($K770="",$H770="Completed",$H770="Cancelled"),"",IF(AND($K770&lt;TODAY(),$H770&lt;&gt;"Completed",$H770&lt;&gt;"Cancelled"),"Overdue","On Track"))</f>
        <v/>
      </c>
      <c r="R770" s="81" t="n"/>
      <c r="S770" s="81">
        <f>IF($B770="","",IFERROR(INDEX(Task_Tracker!$AA$5:$AA$1004,MATCH($B770,Task_Tracker!$A$5:$A$1004,0)),""))</f>
        <v/>
      </c>
      <c r="T770" s="81">
        <f>IF($B770="","",IFERROR(INDEX(Task_Tracker!$AB$5:$AB$1004,MATCH($B770,Task_Tracker!$A$5:$A$1004,0)),""))</f>
        <v/>
      </c>
      <c r="U770" s="78">
        <f>IF($B770="","",IFERROR(INDEX(Task_Tracker!$F$5:$F$1004,MATCH($B770,Task_Tracker!$A$5:$A$1004,0)),""))</f>
        <v/>
      </c>
      <c r="V770" s="78">
        <f>IF($B770="","",IFERROR(INDEX(Task_Tracker!$I$5:$I$1004,MATCH($B770,Task_Tracker!$A$5:$A$1004,0)),""))</f>
        <v/>
      </c>
      <c r="W770" s="81">
        <f>IF(OR($D770="",$B770=""),"",$D770&amp;" | "&amp;$B770)</f>
        <v/>
      </c>
      <c r="X770" s="85">
        <f>IF($K770="","",TEXT($K770,"yyyy-mm"))</f>
        <v/>
      </c>
      <c r="Y770" s="81">
        <f>IF(OR($A770="",$T770=""),"","Included in Manager_Report")</f>
        <v/>
      </c>
    </row>
    <row r="771" ht="15" customHeight="1" s="40">
      <c r="A771" s="65">
        <f>IF(COUNTA(B771:G771)=0,"","STP-"&amp;TEXT(ROW()-4,"0000"))</f>
        <v/>
      </c>
      <c r="B771" s="78" t="n"/>
      <c r="C771" s="67">
        <f>IF($B771="","",IFERROR(INDEX(Task_Tracker!$D$5:$D$1004,MATCH($B771,Task_Tracker!$A$5:$A$1004,0)),""))</f>
        <v/>
      </c>
      <c r="D771" s="67">
        <f>IF($B771="","",IFERROR(INDEX(Task_Tracker!$B$5:$B$1004,MATCH($B771,Task_Tracker!$A$5:$A$1004,0)),""))</f>
        <v/>
      </c>
      <c r="E771" s="81" t="n"/>
      <c r="F771" s="81" t="n"/>
      <c r="G771" s="78" t="n"/>
      <c r="H771" s="78" t="n"/>
      <c r="I771" s="67">
        <f>IF($H771="","",IFERROR(INDEX(Action_Status_Map!$B$5:$B$11,MATCH($H771,Action_Status_Map!$A$5:$A$11,0)),""))</f>
        <v/>
      </c>
      <c r="J771" s="82" t="n"/>
      <c r="K771" s="82" t="n"/>
      <c r="L771" s="82" t="n"/>
      <c r="M771" s="83" t="n"/>
      <c r="N771" s="83" t="n"/>
      <c r="O771" s="66">
        <f>IF(OR($M771="",$N771=""),"",$N771-$M771)</f>
        <v/>
      </c>
      <c r="P771" s="84">
        <f>IF($J771="","",IF($L771&lt;&gt;"",$L771-$J771,TODAY()-$J771))</f>
        <v/>
      </c>
      <c r="Q771" s="85">
        <f>IF(OR($K771="",$H771="Completed",$H771="Cancelled"),"",IF(AND($K771&lt;TODAY(),$H771&lt;&gt;"Completed",$H771&lt;&gt;"Cancelled"),"Overdue","On Track"))</f>
        <v/>
      </c>
      <c r="R771" s="81" t="n"/>
      <c r="S771" s="81">
        <f>IF($B771="","",IFERROR(INDEX(Task_Tracker!$AA$5:$AA$1004,MATCH($B771,Task_Tracker!$A$5:$A$1004,0)),""))</f>
        <v/>
      </c>
      <c r="T771" s="81">
        <f>IF($B771="","",IFERROR(INDEX(Task_Tracker!$AB$5:$AB$1004,MATCH($B771,Task_Tracker!$A$5:$A$1004,0)),""))</f>
        <v/>
      </c>
      <c r="U771" s="78">
        <f>IF($B771="","",IFERROR(INDEX(Task_Tracker!$F$5:$F$1004,MATCH($B771,Task_Tracker!$A$5:$A$1004,0)),""))</f>
        <v/>
      </c>
      <c r="V771" s="78">
        <f>IF($B771="","",IFERROR(INDEX(Task_Tracker!$I$5:$I$1004,MATCH($B771,Task_Tracker!$A$5:$A$1004,0)),""))</f>
        <v/>
      </c>
      <c r="W771" s="81">
        <f>IF(OR($D771="",$B771=""),"",$D771&amp;" | "&amp;$B771)</f>
        <v/>
      </c>
      <c r="X771" s="85">
        <f>IF($K771="","",TEXT($K771,"yyyy-mm"))</f>
        <v/>
      </c>
      <c r="Y771" s="81">
        <f>IF(OR($A771="",$T771=""),"","Included in Manager_Report")</f>
        <v/>
      </c>
    </row>
    <row r="772" ht="15" customHeight="1" s="40">
      <c r="A772" s="65">
        <f>IF(COUNTA(B772:G772)=0,"","STP-"&amp;TEXT(ROW()-4,"0000"))</f>
        <v/>
      </c>
      <c r="B772" s="78" t="n"/>
      <c r="C772" s="67">
        <f>IF($B772="","",IFERROR(INDEX(Task_Tracker!$D$5:$D$1004,MATCH($B772,Task_Tracker!$A$5:$A$1004,0)),""))</f>
        <v/>
      </c>
      <c r="D772" s="67">
        <f>IF($B772="","",IFERROR(INDEX(Task_Tracker!$B$5:$B$1004,MATCH($B772,Task_Tracker!$A$5:$A$1004,0)),""))</f>
        <v/>
      </c>
      <c r="E772" s="81" t="n"/>
      <c r="F772" s="81" t="n"/>
      <c r="G772" s="78" t="n"/>
      <c r="H772" s="78" t="n"/>
      <c r="I772" s="67">
        <f>IF($H772="","",IFERROR(INDEX(Action_Status_Map!$B$5:$B$11,MATCH($H772,Action_Status_Map!$A$5:$A$11,0)),""))</f>
        <v/>
      </c>
      <c r="J772" s="82" t="n"/>
      <c r="K772" s="82" t="n"/>
      <c r="L772" s="82" t="n"/>
      <c r="M772" s="83" t="n"/>
      <c r="N772" s="83" t="n"/>
      <c r="O772" s="66">
        <f>IF(OR($M772="",$N772=""),"",$N772-$M772)</f>
        <v/>
      </c>
      <c r="P772" s="84">
        <f>IF($J772="","",IF($L772&lt;&gt;"",$L772-$J772,TODAY()-$J772))</f>
        <v/>
      </c>
      <c r="Q772" s="85">
        <f>IF(OR($K772="",$H772="Completed",$H772="Cancelled"),"",IF(AND($K772&lt;TODAY(),$H772&lt;&gt;"Completed",$H772&lt;&gt;"Cancelled"),"Overdue","On Track"))</f>
        <v/>
      </c>
      <c r="R772" s="81" t="n"/>
      <c r="S772" s="81">
        <f>IF($B772="","",IFERROR(INDEX(Task_Tracker!$AA$5:$AA$1004,MATCH($B772,Task_Tracker!$A$5:$A$1004,0)),""))</f>
        <v/>
      </c>
      <c r="T772" s="81">
        <f>IF($B772="","",IFERROR(INDEX(Task_Tracker!$AB$5:$AB$1004,MATCH($B772,Task_Tracker!$A$5:$A$1004,0)),""))</f>
        <v/>
      </c>
      <c r="U772" s="78">
        <f>IF($B772="","",IFERROR(INDEX(Task_Tracker!$F$5:$F$1004,MATCH($B772,Task_Tracker!$A$5:$A$1004,0)),""))</f>
        <v/>
      </c>
      <c r="V772" s="78">
        <f>IF($B772="","",IFERROR(INDEX(Task_Tracker!$I$5:$I$1004,MATCH($B772,Task_Tracker!$A$5:$A$1004,0)),""))</f>
        <v/>
      </c>
      <c r="W772" s="81">
        <f>IF(OR($D772="",$B772=""),"",$D772&amp;" | "&amp;$B772)</f>
        <v/>
      </c>
      <c r="X772" s="85">
        <f>IF($K772="","",TEXT($K772,"yyyy-mm"))</f>
        <v/>
      </c>
      <c r="Y772" s="81">
        <f>IF(OR($A772="",$T772=""),"","Included in Manager_Report")</f>
        <v/>
      </c>
    </row>
    <row r="773" ht="15" customHeight="1" s="40">
      <c r="A773" s="65">
        <f>IF(COUNTA(B773:G773)=0,"","STP-"&amp;TEXT(ROW()-4,"0000"))</f>
        <v/>
      </c>
      <c r="B773" s="78" t="n"/>
      <c r="C773" s="67">
        <f>IF($B773="","",IFERROR(INDEX(Task_Tracker!$D$5:$D$1004,MATCH($B773,Task_Tracker!$A$5:$A$1004,0)),""))</f>
        <v/>
      </c>
      <c r="D773" s="67">
        <f>IF($B773="","",IFERROR(INDEX(Task_Tracker!$B$5:$B$1004,MATCH($B773,Task_Tracker!$A$5:$A$1004,0)),""))</f>
        <v/>
      </c>
      <c r="E773" s="81" t="n"/>
      <c r="F773" s="81" t="n"/>
      <c r="G773" s="78" t="n"/>
      <c r="H773" s="78" t="n"/>
      <c r="I773" s="67">
        <f>IF($H773="","",IFERROR(INDEX(Action_Status_Map!$B$5:$B$11,MATCH($H773,Action_Status_Map!$A$5:$A$11,0)),""))</f>
        <v/>
      </c>
      <c r="J773" s="82" t="n"/>
      <c r="K773" s="82" t="n"/>
      <c r="L773" s="82" t="n"/>
      <c r="M773" s="83" t="n"/>
      <c r="N773" s="83" t="n"/>
      <c r="O773" s="66">
        <f>IF(OR($M773="",$N773=""),"",$N773-$M773)</f>
        <v/>
      </c>
      <c r="P773" s="84">
        <f>IF($J773="","",IF($L773&lt;&gt;"",$L773-$J773,TODAY()-$J773))</f>
        <v/>
      </c>
      <c r="Q773" s="85">
        <f>IF(OR($K773="",$H773="Completed",$H773="Cancelled"),"",IF(AND($K773&lt;TODAY(),$H773&lt;&gt;"Completed",$H773&lt;&gt;"Cancelled"),"Overdue","On Track"))</f>
        <v/>
      </c>
      <c r="R773" s="81" t="n"/>
      <c r="S773" s="81">
        <f>IF($B773="","",IFERROR(INDEX(Task_Tracker!$AA$5:$AA$1004,MATCH($B773,Task_Tracker!$A$5:$A$1004,0)),""))</f>
        <v/>
      </c>
      <c r="T773" s="81">
        <f>IF($B773="","",IFERROR(INDEX(Task_Tracker!$AB$5:$AB$1004,MATCH($B773,Task_Tracker!$A$5:$A$1004,0)),""))</f>
        <v/>
      </c>
      <c r="U773" s="78">
        <f>IF($B773="","",IFERROR(INDEX(Task_Tracker!$F$5:$F$1004,MATCH($B773,Task_Tracker!$A$5:$A$1004,0)),""))</f>
        <v/>
      </c>
      <c r="V773" s="78">
        <f>IF($B773="","",IFERROR(INDEX(Task_Tracker!$I$5:$I$1004,MATCH($B773,Task_Tracker!$A$5:$A$1004,0)),""))</f>
        <v/>
      </c>
      <c r="W773" s="81">
        <f>IF(OR($D773="",$B773=""),"",$D773&amp;" | "&amp;$B773)</f>
        <v/>
      </c>
      <c r="X773" s="85">
        <f>IF($K773="","",TEXT($K773,"yyyy-mm"))</f>
        <v/>
      </c>
      <c r="Y773" s="81">
        <f>IF(OR($A773="",$T773=""),"","Included in Manager_Report")</f>
        <v/>
      </c>
    </row>
    <row r="774" ht="15" customHeight="1" s="40">
      <c r="A774" s="65">
        <f>IF(COUNTA(B774:G774)=0,"","STP-"&amp;TEXT(ROW()-4,"0000"))</f>
        <v/>
      </c>
      <c r="B774" s="78" t="n"/>
      <c r="C774" s="67">
        <f>IF($B774="","",IFERROR(INDEX(Task_Tracker!$D$5:$D$1004,MATCH($B774,Task_Tracker!$A$5:$A$1004,0)),""))</f>
        <v/>
      </c>
      <c r="D774" s="67">
        <f>IF($B774="","",IFERROR(INDEX(Task_Tracker!$B$5:$B$1004,MATCH($B774,Task_Tracker!$A$5:$A$1004,0)),""))</f>
        <v/>
      </c>
      <c r="E774" s="81" t="n"/>
      <c r="F774" s="81" t="n"/>
      <c r="G774" s="78" t="n"/>
      <c r="H774" s="78" t="n"/>
      <c r="I774" s="67">
        <f>IF($H774="","",IFERROR(INDEX(Action_Status_Map!$B$5:$B$11,MATCH($H774,Action_Status_Map!$A$5:$A$11,0)),""))</f>
        <v/>
      </c>
      <c r="J774" s="82" t="n"/>
      <c r="K774" s="82" t="n"/>
      <c r="L774" s="82" t="n"/>
      <c r="M774" s="83" t="n"/>
      <c r="N774" s="83" t="n"/>
      <c r="O774" s="66">
        <f>IF(OR($M774="",$N774=""),"",$N774-$M774)</f>
        <v/>
      </c>
      <c r="P774" s="84">
        <f>IF($J774="","",IF($L774&lt;&gt;"",$L774-$J774,TODAY()-$J774))</f>
        <v/>
      </c>
      <c r="Q774" s="85">
        <f>IF(OR($K774="",$H774="Completed",$H774="Cancelled"),"",IF(AND($K774&lt;TODAY(),$H774&lt;&gt;"Completed",$H774&lt;&gt;"Cancelled"),"Overdue","On Track"))</f>
        <v/>
      </c>
      <c r="R774" s="81" t="n"/>
      <c r="S774" s="81">
        <f>IF($B774="","",IFERROR(INDEX(Task_Tracker!$AA$5:$AA$1004,MATCH($B774,Task_Tracker!$A$5:$A$1004,0)),""))</f>
        <v/>
      </c>
      <c r="T774" s="81">
        <f>IF($B774="","",IFERROR(INDEX(Task_Tracker!$AB$5:$AB$1004,MATCH($B774,Task_Tracker!$A$5:$A$1004,0)),""))</f>
        <v/>
      </c>
      <c r="U774" s="78">
        <f>IF($B774="","",IFERROR(INDEX(Task_Tracker!$F$5:$F$1004,MATCH($B774,Task_Tracker!$A$5:$A$1004,0)),""))</f>
        <v/>
      </c>
      <c r="V774" s="78">
        <f>IF($B774="","",IFERROR(INDEX(Task_Tracker!$I$5:$I$1004,MATCH($B774,Task_Tracker!$A$5:$A$1004,0)),""))</f>
        <v/>
      </c>
      <c r="W774" s="81">
        <f>IF(OR($D774="",$B774=""),"",$D774&amp;" | "&amp;$B774)</f>
        <v/>
      </c>
      <c r="X774" s="85">
        <f>IF($K774="","",TEXT($K774,"yyyy-mm"))</f>
        <v/>
      </c>
      <c r="Y774" s="81">
        <f>IF(OR($A774="",$T774=""),"","Included in Manager_Report")</f>
        <v/>
      </c>
    </row>
    <row r="775" ht="15" customHeight="1" s="40">
      <c r="A775" s="65">
        <f>IF(COUNTA(B775:G775)=0,"","STP-"&amp;TEXT(ROW()-4,"0000"))</f>
        <v/>
      </c>
      <c r="B775" s="78" t="n"/>
      <c r="C775" s="67">
        <f>IF($B775="","",IFERROR(INDEX(Task_Tracker!$D$5:$D$1004,MATCH($B775,Task_Tracker!$A$5:$A$1004,0)),""))</f>
        <v/>
      </c>
      <c r="D775" s="67">
        <f>IF($B775="","",IFERROR(INDEX(Task_Tracker!$B$5:$B$1004,MATCH($B775,Task_Tracker!$A$5:$A$1004,0)),""))</f>
        <v/>
      </c>
      <c r="E775" s="81" t="n"/>
      <c r="F775" s="81" t="n"/>
      <c r="G775" s="78" t="n"/>
      <c r="H775" s="78" t="n"/>
      <c r="I775" s="67">
        <f>IF($H775="","",IFERROR(INDEX(Action_Status_Map!$B$5:$B$11,MATCH($H775,Action_Status_Map!$A$5:$A$11,0)),""))</f>
        <v/>
      </c>
      <c r="J775" s="82" t="n"/>
      <c r="K775" s="82" t="n"/>
      <c r="L775" s="82" t="n"/>
      <c r="M775" s="83" t="n"/>
      <c r="N775" s="83" t="n"/>
      <c r="O775" s="66">
        <f>IF(OR($M775="",$N775=""),"",$N775-$M775)</f>
        <v/>
      </c>
      <c r="P775" s="84">
        <f>IF($J775="","",IF($L775&lt;&gt;"",$L775-$J775,TODAY()-$J775))</f>
        <v/>
      </c>
      <c r="Q775" s="85">
        <f>IF(OR($K775="",$H775="Completed",$H775="Cancelled"),"",IF(AND($K775&lt;TODAY(),$H775&lt;&gt;"Completed",$H775&lt;&gt;"Cancelled"),"Overdue","On Track"))</f>
        <v/>
      </c>
      <c r="R775" s="81" t="n"/>
      <c r="S775" s="81">
        <f>IF($B775="","",IFERROR(INDEX(Task_Tracker!$AA$5:$AA$1004,MATCH($B775,Task_Tracker!$A$5:$A$1004,0)),""))</f>
        <v/>
      </c>
      <c r="T775" s="81">
        <f>IF($B775="","",IFERROR(INDEX(Task_Tracker!$AB$5:$AB$1004,MATCH($B775,Task_Tracker!$A$5:$A$1004,0)),""))</f>
        <v/>
      </c>
      <c r="U775" s="78">
        <f>IF($B775="","",IFERROR(INDEX(Task_Tracker!$F$5:$F$1004,MATCH($B775,Task_Tracker!$A$5:$A$1004,0)),""))</f>
        <v/>
      </c>
      <c r="V775" s="78">
        <f>IF($B775="","",IFERROR(INDEX(Task_Tracker!$I$5:$I$1004,MATCH($B775,Task_Tracker!$A$5:$A$1004,0)),""))</f>
        <v/>
      </c>
      <c r="W775" s="81">
        <f>IF(OR($D775="",$B775=""),"",$D775&amp;" | "&amp;$B775)</f>
        <v/>
      </c>
      <c r="X775" s="85">
        <f>IF($K775="","",TEXT($K775,"yyyy-mm"))</f>
        <v/>
      </c>
      <c r="Y775" s="81">
        <f>IF(OR($A775="",$T775=""),"","Included in Manager_Report")</f>
        <v/>
      </c>
    </row>
    <row r="776" ht="15" customHeight="1" s="40">
      <c r="A776" s="65">
        <f>IF(COUNTA(B776:G776)=0,"","STP-"&amp;TEXT(ROW()-4,"0000"))</f>
        <v/>
      </c>
      <c r="B776" s="78" t="n"/>
      <c r="C776" s="67">
        <f>IF($B776="","",IFERROR(INDEX(Task_Tracker!$D$5:$D$1004,MATCH($B776,Task_Tracker!$A$5:$A$1004,0)),""))</f>
        <v/>
      </c>
      <c r="D776" s="67">
        <f>IF($B776="","",IFERROR(INDEX(Task_Tracker!$B$5:$B$1004,MATCH($B776,Task_Tracker!$A$5:$A$1004,0)),""))</f>
        <v/>
      </c>
      <c r="E776" s="81" t="n"/>
      <c r="F776" s="81" t="n"/>
      <c r="G776" s="78" t="n"/>
      <c r="H776" s="78" t="n"/>
      <c r="I776" s="67">
        <f>IF($H776="","",IFERROR(INDEX(Action_Status_Map!$B$5:$B$11,MATCH($H776,Action_Status_Map!$A$5:$A$11,0)),""))</f>
        <v/>
      </c>
      <c r="J776" s="82" t="n"/>
      <c r="K776" s="82" t="n"/>
      <c r="L776" s="82" t="n"/>
      <c r="M776" s="83" t="n"/>
      <c r="N776" s="83" t="n"/>
      <c r="O776" s="66">
        <f>IF(OR($M776="",$N776=""),"",$N776-$M776)</f>
        <v/>
      </c>
      <c r="P776" s="84">
        <f>IF($J776="","",IF($L776&lt;&gt;"",$L776-$J776,TODAY()-$J776))</f>
        <v/>
      </c>
      <c r="Q776" s="85">
        <f>IF(OR($K776="",$H776="Completed",$H776="Cancelled"),"",IF(AND($K776&lt;TODAY(),$H776&lt;&gt;"Completed",$H776&lt;&gt;"Cancelled"),"Overdue","On Track"))</f>
        <v/>
      </c>
      <c r="R776" s="81" t="n"/>
      <c r="S776" s="81">
        <f>IF($B776="","",IFERROR(INDEX(Task_Tracker!$AA$5:$AA$1004,MATCH($B776,Task_Tracker!$A$5:$A$1004,0)),""))</f>
        <v/>
      </c>
      <c r="T776" s="81">
        <f>IF($B776="","",IFERROR(INDEX(Task_Tracker!$AB$5:$AB$1004,MATCH($B776,Task_Tracker!$A$5:$A$1004,0)),""))</f>
        <v/>
      </c>
      <c r="U776" s="78">
        <f>IF($B776="","",IFERROR(INDEX(Task_Tracker!$F$5:$F$1004,MATCH($B776,Task_Tracker!$A$5:$A$1004,0)),""))</f>
        <v/>
      </c>
      <c r="V776" s="78">
        <f>IF($B776="","",IFERROR(INDEX(Task_Tracker!$I$5:$I$1004,MATCH($B776,Task_Tracker!$A$5:$A$1004,0)),""))</f>
        <v/>
      </c>
      <c r="W776" s="81">
        <f>IF(OR($D776="",$B776=""),"",$D776&amp;" | "&amp;$B776)</f>
        <v/>
      </c>
      <c r="X776" s="85">
        <f>IF($K776="","",TEXT($K776,"yyyy-mm"))</f>
        <v/>
      </c>
      <c r="Y776" s="81">
        <f>IF(OR($A776="",$T776=""),"","Included in Manager_Report")</f>
        <v/>
      </c>
    </row>
    <row r="777" ht="15" customHeight="1" s="40">
      <c r="A777" s="65">
        <f>IF(COUNTA(B777:G777)=0,"","STP-"&amp;TEXT(ROW()-4,"0000"))</f>
        <v/>
      </c>
      <c r="B777" s="78" t="n"/>
      <c r="C777" s="67">
        <f>IF($B777="","",IFERROR(INDEX(Task_Tracker!$D$5:$D$1004,MATCH($B777,Task_Tracker!$A$5:$A$1004,0)),""))</f>
        <v/>
      </c>
      <c r="D777" s="67">
        <f>IF($B777="","",IFERROR(INDEX(Task_Tracker!$B$5:$B$1004,MATCH($B777,Task_Tracker!$A$5:$A$1004,0)),""))</f>
        <v/>
      </c>
      <c r="E777" s="81" t="n"/>
      <c r="F777" s="81" t="n"/>
      <c r="G777" s="78" t="n"/>
      <c r="H777" s="78" t="n"/>
      <c r="I777" s="67">
        <f>IF($H777="","",IFERROR(INDEX(Action_Status_Map!$B$5:$B$11,MATCH($H777,Action_Status_Map!$A$5:$A$11,0)),""))</f>
        <v/>
      </c>
      <c r="J777" s="82" t="n"/>
      <c r="K777" s="82" t="n"/>
      <c r="L777" s="82" t="n"/>
      <c r="M777" s="83" t="n"/>
      <c r="N777" s="83" t="n"/>
      <c r="O777" s="66">
        <f>IF(OR($M777="",$N777=""),"",$N777-$M777)</f>
        <v/>
      </c>
      <c r="P777" s="84">
        <f>IF($J777="","",IF($L777&lt;&gt;"",$L777-$J777,TODAY()-$J777))</f>
        <v/>
      </c>
      <c r="Q777" s="85">
        <f>IF(OR($K777="",$H777="Completed",$H777="Cancelled"),"",IF(AND($K777&lt;TODAY(),$H777&lt;&gt;"Completed",$H777&lt;&gt;"Cancelled"),"Overdue","On Track"))</f>
        <v/>
      </c>
      <c r="R777" s="81" t="n"/>
      <c r="S777" s="81">
        <f>IF($B777="","",IFERROR(INDEX(Task_Tracker!$AA$5:$AA$1004,MATCH($B777,Task_Tracker!$A$5:$A$1004,0)),""))</f>
        <v/>
      </c>
      <c r="T777" s="81">
        <f>IF($B777="","",IFERROR(INDEX(Task_Tracker!$AB$5:$AB$1004,MATCH($B777,Task_Tracker!$A$5:$A$1004,0)),""))</f>
        <v/>
      </c>
      <c r="U777" s="78">
        <f>IF($B777="","",IFERROR(INDEX(Task_Tracker!$F$5:$F$1004,MATCH($B777,Task_Tracker!$A$5:$A$1004,0)),""))</f>
        <v/>
      </c>
      <c r="V777" s="78">
        <f>IF($B777="","",IFERROR(INDEX(Task_Tracker!$I$5:$I$1004,MATCH($B777,Task_Tracker!$A$5:$A$1004,0)),""))</f>
        <v/>
      </c>
      <c r="W777" s="81">
        <f>IF(OR($D777="",$B777=""),"",$D777&amp;" | "&amp;$B777)</f>
        <v/>
      </c>
      <c r="X777" s="85">
        <f>IF($K777="","",TEXT($K777,"yyyy-mm"))</f>
        <v/>
      </c>
      <c r="Y777" s="81">
        <f>IF(OR($A777="",$T777=""),"","Included in Manager_Report")</f>
        <v/>
      </c>
    </row>
    <row r="778" ht="15" customHeight="1" s="40">
      <c r="A778" s="65">
        <f>IF(COUNTA(B778:G778)=0,"","STP-"&amp;TEXT(ROW()-4,"0000"))</f>
        <v/>
      </c>
      <c r="B778" s="78" t="n"/>
      <c r="C778" s="67">
        <f>IF($B778="","",IFERROR(INDEX(Task_Tracker!$D$5:$D$1004,MATCH($B778,Task_Tracker!$A$5:$A$1004,0)),""))</f>
        <v/>
      </c>
      <c r="D778" s="67">
        <f>IF($B778="","",IFERROR(INDEX(Task_Tracker!$B$5:$B$1004,MATCH($B778,Task_Tracker!$A$5:$A$1004,0)),""))</f>
        <v/>
      </c>
      <c r="E778" s="81" t="n"/>
      <c r="F778" s="81" t="n"/>
      <c r="G778" s="78" t="n"/>
      <c r="H778" s="78" t="n"/>
      <c r="I778" s="67">
        <f>IF($H778="","",IFERROR(INDEX(Action_Status_Map!$B$5:$B$11,MATCH($H778,Action_Status_Map!$A$5:$A$11,0)),""))</f>
        <v/>
      </c>
      <c r="J778" s="82" t="n"/>
      <c r="K778" s="82" t="n"/>
      <c r="L778" s="82" t="n"/>
      <c r="M778" s="83" t="n"/>
      <c r="N778" s="83" t="n"/>
      <c r="O778" s="66">
        <f>IF(OR($M778="",$N778=""),"",$N778-$M778)</f>
        <v/>
      </c>
      <c r="P778" s="84">
        <f>IF($J778="","",IF($L778&lt;&gt;"",$L778-$J778,TODAY()-$J778))</f>
        <v/>
      </c>
      <c r="Q778" s="85">
        <f>IF(OR($K778="",$H778="Completed",$H778="Cancelled"),"",IF(AND($K778&lt;TODAY(),$H778&lt;&gt;"Completed",$H778&lt;&gt;"Cancelled"),"Overdue","On Track"))</f>
        <v/>
      </c>
      <c r="R778" s="81" t="n"/>
      <c r="S778" s="81">
        <f>IF($B778="","",IFERROR(INDEX(Task_Tracker!$AA$5:$AA$1004,MATCH($B778,Task_Tracker!$A$5:$A$1004,0)),""))</f>
        <v/>
      </c>
      <c r="T778" s="81">
        <f>IF($B778="","",IFERROR(INDEX(Task_Tracker!$AB$5:$AB$1004,MATCH($B778,Task_Tracker!$A$5:$A$1004,0)),""))</f>
        <v/>
      </c>
      <c r="U778" s="78">
        <f>IF($B778="","",IFERROR(INDEX(Task_Tracker!$F$5:$F$1004,MATCH($B778,Task_Tracker!$A$5:$A$1004,0)),""))</f>
        <v/>
      </c>
      <c r="V778" s="78">
        <f>IF($B778="","",IFERROR(INDEX(Task_Tracker!$I$5:$I$1004,MATCH($B778,Task_Tracker!$A$5:$A$1004,0)),""))</f>
        <v/>
      </c>
      <c r="W778" s="81">
        <f>IF(OR($D778="",$B778=""),"",$D778&amp;" | "&amp;$B778)</f>
        <v/>
      </c>
      <c r="X778" s="85">
        <f>IF($K778="","",TEXT($K778,"yyyy-mm"))</f>
        <v/>
      </c>
      <c r="Y778" s="81">
        <f>IF(OR($A778="",$T778=""),"","Included in Manager_Report")</f>
        <v/>
      </c>
    </row>
    <row r="779" ht="15" customHeight="1" s="40">
      <c r="A779" s="65">
        <f>IF(COUNTA(B779:G779)=0,"","STP-"&amp;TEXT(ROW()-4,"0000"))</f>
        <v/>
      </c>
      <c r="B779" s="78" t="n"/>
      <c r="C779" s="67">
        <f>IF($B779="","",IFERROR(INDEX(Task_Tracker!$D$5:$D$1004,MATCH($B779,Task_Tracker!$A$5:$A$1004,0)),""))</f>
        <v/>
      </c>
      <c r="D779" s="67">
        <f>IF($B779="","",IFERROR(INDEX(Task_Tracker!$B$5:$B$1004,MATCH($B779,Task_Tracker!$A$5:$A$1004,0)),""))</f>
        <v/>
      </c>
      <c r="E779" s="81" t="n"/>
      <c r="F779" s="81" t="n"/>
      <c r="G779" s="78" t="n"/>
      <c r="H779" s="78" t="n"/>
      <c r="I779" s="67">
        <f>IF($H779="","",IFERROR(INDEX(Action_Status_Map!$B$5:$B$11,MATCH($H779,Action_Status_Map!$A$5:$A$11,0)),""))</f>
        <v/>
      </c>
      <c r="J779" s="82" t="n"/>
      <c r="K779" s="82" t="n"/>
      <c r="L779" s="82" t="n"/>
      <c r="M779" s="83" t="n"/>
      <c r="N779" s="83" t="n"/>
      <c r="O779" s="66">
        <f>IF(OR($M779="",$N779=""),"",$N779-$M779)</f>
        <v/>
      </c>
      <c r="P779" s="84">
        <f>IF($J779="","",IF($L779&lt;&gt;"",$L779-$J779,TODAY()-$J779))</f>
        <v/>
      </c>
      <c r="Q779" s="85">
        <f>IF(OR($K779="",$H779="Completed",$H779="Cancelled"),"",IF(AND($K779&lt;TODAY(),$H779&lt;&gt;"Completed",$H779&lt;&gt;"Cancelled"),"Overdue","On Track"))</f>
        <v/>
      </c>
      <c r="R779" s="81" t="n"/>
      <c r="S779" s="81">
        <f>IF($B779="","",IFERROR(INDEX(Task_Tracker!$AA$5:$AA$1004,MATCH($B779,Task_Tracker!$A$5:$A$1004,0)),""))</f>
        <v/>
      </c>
      <c r="T779" s="81">
        <f>IF($B779="","",IFERROR(INDEX(Task_Tracker!$AB$5:$AB$1004,MATCH($B779,Task_Tracker!$A$5:$A$1004,0)),""))</f>
        <v/>
      </c>
      <c r="U779" s="78">
        <f>IF($B779="","",IFERROR(INDEX(Task_Tracker!$F$5:$F$1004,MATCH($B779,Task_Tracker!$A$5:$A$1004,0)),""))</f>
        <v/>
      </c>
      <c r="V779" s="78">
        <f>IF($B779="","",IFERROR(INDEX(Task_Tracker!$I$5:$I$1004,MATCH($B779,Task_Tracker!$A$5:$A$1004,0)),""))</f>
        <v/>
      </c>
      <c r="W779" s="81">
        <f>IF(OR($D779="",$B779=""),"",$D779&amp;" | "&amp;$B779)</f>
        <v/>
      </c>
      <c r="X779" s="85">
        <f>IF($K779="","",TEXT($K779,"yyyy-mm"))</f>
        <v/>
      </c>
      <c r="Y779" s="81">
        <f>IF(OR($A779="",$T779=""),"","Included in Manager_Report")</f>
        <v/>
      </c>
    </row>
    <row r="780" ht="15" customHeight="1" s="40">
      <c r="A780" s="65">
        <f>IF(COUNTA(B780:G780)=0,"","STP-"&amp;TEXT(ROW()-4,"0000"))</f>
        <v/>
      </c>
      <c r="B780" s="78" t="n"/>
      <c r="C780" s="67">
        <f>IF($B780="","",IFERROR(INDEX(Task_Tracker!$D$5:$D$1004,MATCH($B780,Task_Tracker!$A$5:$A$1004,0)),""))</f>
        <v/>
      </c>
      <c r="D780" s="67">
        <f>IF($B780="","",IFERROR(INDEX(Task_Tracker!$B$5:$B$1004,MATCH($B780,Task_Tracker!$A$5:$A$1004,0)),""))</f>
        <v/>
      </c>
      <c r="E780" s="81" t="n"/>
      <c r="F780" s="81" t="n"/>
      <c r="G780" s="78" t="n"/>
      <c r="H780" s="78" t="n"/>
      <c r="I780" s="67">
        <f>IF($H780="","",IFERROR(INDEX(Action_Status_Map!$B$5:$B$11,MATCH($H780,Action_Status_Map!$A$5:$A$11,0)),""))</f>
        <v/>
      </c>
      <c r="J780" s="82" t="n"/>
      <c r="K780" s="82" t="n"/>
      <c r="L780" s="82" t="n"/>
      <c r="M780" s="83" t="n"/>
      <c r="N780" s="83" t="n"/>
      <c r="O780" s="66">
        <f>IF(OR($M780="",$N780=""),"",$N780-$M780)</f>
        <v/>
      </c>
      <c r="P780" s="84">
        <f>IF($J780="","",IF($L780&lt;&gt;"",$L780-$J780,TODAY()-$J780))</f>
        <v/>
      </c>
      <c r="Q780" s="85">
        <f>IF(OR($K780="",$H780="Completed",$H780="Cancelled"),"",IF(AND($K780&lt;TODAY(),$H780&lt;&gt;"Completed",$H780&lt;&gt;"Cancelled"),"Overdue","On Track"))</f>
        <v/>
      </c>
      <c r="R780" s="81" t="n"/>
      <c r="S780" s="81">
        <f>IF($B780="","",IFERROR(INDEX(Task_Tracker!$AA$5:$AA$1004,MATCH($B780,Task_Tracker!$A$5:$A$1004,0)),""))</f>
        <v/>
      </c>
      <c r="T780" s="81">
        <f>IF($B780="","",IFERROR(INDEX(Task_Tracker!$AB$5:$AB$1004,MATCH($B780,Task_Tracker!$A$5:$A$1004,0)),""))</f>
        <v/>
      </c>
      <c r="U780" s="78">
        <f>IF($B780="","",IFERROR(INDEX(Task_Tracker!$F$5:$F$1004,MATCH($B780,Task_Tracker!$A$5:$A$1004,0)),""))</f>
        <v/>
      </c>
      <c r="V780" s="78">
        <f>IF($B780="","",IFERROR(INDEX(Task_Tracker!$I$5:$I$1004,MATCH($B780,Task_Tracker!$A$5:$A$1004,0)),""))</f>
        <v/>
      </c>
      <c r="W780" s="81">
        <f>IF(OR($D780="",$B780=""),"",$D780&amp;" | "&amp;$B780)</f>
        <v/>
      </c>
      <c r="X780" s="85">
        <f>IF($K780="","",TEXT($K780,"yyyy-mm"))</f>
        <v/>
      </c>
      <c r="Y780" s="81">
        <f>IF(OR($A780="",$T780=""),"","Included in Manager_Report")</f>
        <v/>
      </c>
    </row>
    <row r="781" ht="15" customHeight="1" s="40">
      <c r="A781" s="65">
        <f>IF(COUNTA(B781:G781)=0,"","STP-"&amp;TEXT(ROW()-4,"0000"))</f>
        <v/>
      </c>
      <c r="B781" s="78" t="n"/>
      <c r="C781" s="67">
        <f>IF($B781="","",IFERROR(INDEX(Task_Tracker!$D$5:$D$1004,MATCH($B781,Task_Tracker!$A$5:$A$1004,0)),""))</f>
        <v/>
      </c>
      <c r="D781" s="67">
        <f>IF($B781="","",IFERROR(INDEX(Task_Tracker!$B$5:$B$1004,MATCH($B781,Task_Tracker!$A$5:$A$1004,0)),""))</f>
        <v/>
      </c>
      <c r="E781" s="81" t="n"/>
      <c r="F781" s="81" t="n"/>
      <c r="G781" s="78" t="n"/>
      <c r="H781" s="78" t="n"/>
      <c r="I781" s="67">
        <f>IF($H781="","",IFERROR(INDEX(Action_Status_Map!$B$5:$B$11,MATCH($H781,Action_Status_Map!$A$5:$A$11,0)),""))</f>
        <v/>
      </c>
      <c r="J781" s="82" t="n"/>
      <c r="K781" s="82" t="n"/>
      <c r="L781" s="82" t="n"/>
      <c r="M781" s="83" t="n"/>
      <c r="N781" s="83" t="n"/>
      <c r="O781" s="66">
        <f>IF(OR($M781="",$N781=""),"",$N781-$M781)</f>
        <v/>
      </c>
      <c r="P781" s="84">
        <f>IF($J781="","",IF($L781&lt;&gt;"",$L781-$J781,TODAY()-$J781))</f>
        <v/>
      </c>
      <c r="Q781" s="85">
        <f>IF(OR($K781="",$H781="Completed",$H781="Cancelled"),"",IF(AND($K781&lt;TODAY(),$H781&lt;&gt;"Completed",$H781&lt;&gt;"Cancelled"),"Overdue","On Track"))</f>
        <v/>
      </c>
      <c r="R781" s="81" t="n"/>
      <c r="S781" s="81">
        <f>IF($B781="","",IFERROR(INDEX(Task_Tracker!$AA$5:$AA$1004,MATCH($B781,Task_Tracker!$A$5:$A$1004,0)),""))</f>
        <v/>
      </c>
      <c r="T781" s="81">
        <f>IF($B781="","",IFERROR(INDEX(Task_Tracker!$AB$5:$AB$1004,MATCH($B781,Task_Tracker!$A$5:$A$1004,0)),""))</f>
        <v/>
      </c>
      <c r="U781" s="78">
        <f>IF($B781="","",IFERROR(INDEX(Task_Tracker!$F$5:$F$1004,MATCH($B781,Task_Tracker!$A$5:$A$1004,0)),""))</f>
        <v/>
      </c>
      <c r="V781" s="78">
        <f>IF($B781="","",IFERROR(INDEX(Task_Tracker!$I$5:$I$1004,MATCH($B781,Task_Tracker!$A$5:$A$1004,0)),""))</f>
        <v/>
      </c>
      <c r="W781" s="81">
        <f>IF(OR($D781="",$B781=""),"",$D781&amp;" | "&amp;$B781)</f>
        <v/>
      </c>
      <c r="X781" s="85">
        <f>IF($K781="","",TEXT($K781,"yyyy-mm"))</f>
        <v/>
      </c>
      <c r="Y781" s="81">
        <f>IF(OR($A781="",$T781=""),"","Included in Manager_Report")</f>
        <v/>
      </c>
    </row>
    <row r="782" ht="15" customHeight="1" s="40">
      <c r="A782" s="65">
        <f>IF(COUNTA(B782:G782)=0,"","STP-"&amp;TEXT(ROW()-4,"0000"))</f>
        <v/>
      </c>
      <c r="B782" s="78" t="n"/>
      <c r="C782" s="67">
        <f>IF($B782="","",IFERROR(INDEX(Task_Tracker!$D$5:$D$1004,MATCH($B782,Task_Tracker!$A$5:$A$1004,0)),""))</f>
        <v/>
      </c>
      <c r="D782" s="67">
        <f>IF($B782="","",IFERROR(INDEX(Task_Tracker!$B$5:$B$1004,MATCH($B782,Task_Tracker!$A$5:$A$1004,0)),""))</f>
        <v/>
      </c>
      <c r="E782" s="81" t="n"/>
      <c r="F782" s="81" t="n"/>
      <c r="G782" s="78" t="n"/>
      <c r="H782" s="78" t="n"/>
      <c r="I782" s="67">
        <f>IF($H782="","",IFERROR(INDEX(Action_Status_Map!$B$5:$B$11,MATCH($H782,Action_Status_Map!$A$5:$A$11,0)),""))</f>
        <v/>
      </c>
      <c r="J782" s="82" t="n"/>
      <c r="K782" s="82" t="n"/>
      <c r="L782" s="82" t="n"/>
      <c r="M782" s="83" t="n"/>
      <c r="N782" s="83" t="n"/>
      <c r="O782" s="66">
        <f>IF(OR($M782="",$N782=""),"",$N782-$M782)</f>
        <v/>
      </c>
      <c r="P782" s="84">
        <f>IF($J782="","",IF($L782&lt;&gt;"",$L782-$J782,TODAY()-$J782))</f>
        <v/>
      </c>
      <c r="Q782" s="85">
        <f>IF(OR($K782="",$H782="Completed",$H782="Cancelled"),"",IF(AND($K782&lt;TODAY(),$H782&lt;&gt;"Completed",$H782&lt;&gt;"Cancelled"),"Overdue","On Track"))</f>
        <v/>
      </c>
      <c r="R782" s="81" t="n"/>
      <c r="S782" s="81">
        <f>IF($B782="","",IFERROR(INDEX(Task_Tracker!$AA$5:$AA$1004,MATCH($B782,Task_Tracker!$A$5:$A$1004,0)),""))</f>
        <v/>
      </c>
      <c r="T782" s="81">
        <f>IF($B782="","",IFERROR(INDEX(Task_Tracker!$AB$5:$AB$1004,MATCH($B782,Task_Tracker!$A$5:$A$1004,0)),""))</f>
        <v/>
      </c>
      <c r="U782" s="78">
        <f>IF($B782="","",IFERROR(INDEX(Task_Tracker!$F$5:$F$1004,MATCH($B782,Task_Tracker!$A$5:$A$1004,0)),""))</f>
        <v/>
      </c>
      <c r="V782" s="78">
        <f>IF($B782="","",IFERROR(INDEX(Task_Tracker!$I$5:$I$1004,MATCH($B782,Task_Tracker!$A$5:$A$1004,0)),""))</f>
        <v/>
      </c>
      <c r="W782" s="81">
        <f>IF(OR($D782="",$B782=""),"",$D782&amp;" | "&amp;$B782)</f>
        <v/>
      </c>
      <c r="X782" s="85">
        <f>IF($K782="","",TEXT($K782,"yyyy-mm"))</f>
        <v/>
      </c>
      <c r="Y782" s="81">
        <f>IF(OR($A782="",$T782=""),"","Included in Manager_Report")</f>
        <v/>
      </c>
    </row>
    <row r="783" ht="15" customHeight="1" s="40">
      <c r="A783" s="65">
        <f>IF(COUNTA(B783:G783)=0,"","STP-"&amp;TEXT(ROW()-4,"0000"))</f>
        <v/>
      </c>
      <c r="B783" s="78" t="n"/>
      <c r="C783" s="67">
        <f>IF($B783="","",IFERROR(INDEX(Task_Tracker!$D$5:$D$1004,MATCH($B783,Task_Tracker!$A$5:$A$1004,0)),""))</f>
        <v/>
      </c>
      <c r="D783" s="67">
        <f>IF($B783="","",IFERROR(INDEX(Task_Tracker!$B$5:$B$1004,MATCH($B783,Task_Tracker!$A$5:$A$1004,0)),""))</f>
        <v/>
      </c>
      <c r="E783" s="81" t="n"/>
      <c r="F783" s="81" t="n"/>
      <c r="G783" s="78" t="n"/>
      <c r="H783" s="78" t="n"/>
      <c r="I783" s="67">
        <f>IF($H783="","",IFERROR(INDEX(Action_Status_Map!$B$5:$B$11,MATCH($H783,Action_Status_Map!$A$5:$A$11,0)),""))</f>
        <v/>
      </c>
      <c r="J783" s="82" t="n"/>
      <c r="K783" s="82" t="n"/>
      <c r="L783" s="82" t="n"/>
      <c r="M783" s="83" t="n"/>
      <c r="N783" s="83" t="n"/>
      <c r="O783" s="66">
        <f>IF(OR($M783="",$N783=""),"",$N783-$M783)</f>
        <v/>
      </c>
      <c r="P783" s="84">
        <f>IF($J783="","",IF($L783&lt;&gt;"",$L783-$J783,TODAY()-$J783))</f>
        <v/>
      </c>
      <c r="Q783" s="85">
        <f>IF(OR($K783="",$H783="Completed",$H783="Cancelled"),"",IF(AND($K783&lt;TODAY(),$H783&lt;&gt;"Completed",$H783&lt;&gt;"Cancelled"),"Overdue","On Track"))</f>
        <v/>
      </c>
      <c r="R783" s="81" t="n"/>
      <c r="S783" s="81">
        <f>IF($B783="","",IFERROR(INDEX(Task_Tracker!$AA$5:$AA$1004,MATCH($B783,Task_Tracker!$A$5:$A$1004,0)),""))</f>
        <v/>
      </c>
      <c r="T783" s="81">
        <f>IF($B783="","",IFERROR(INDEX(Task_Tracker!$AB$5:$AB$1004,MATCH($B783,Task_Tracker!$A$5:$A$1004,0)),""))</f>
        <v/>
      </c>
      <c r="U783" s="78">
        <f>IF($B783="","",IFERROR(INDEX(Task_Tracker!$F$5:$F$1004,MATCH($B783,Task_Tracker!$A$5:$A$1004,0)),""))</f>
        <v/>
      </c>
      <c r="V783" s="78">
        <f>IF($B783="","",IFERROR(INDEX(Task_Tracker!$I$5:$I$1004,MATCH($B783,Task_Tracker!$A$5:$A$1004,0)),""))</f>
        <v/>
      </c>
      <c r="W783" s="81">
        <f>IF(OR($D783="",$B783=""),"",$D783&amp;" | "&amp;$B783)</f>
        <v/>
      </c>
      <c r="X783" s="85">
        <f>IF($K783="","",TEXT($K783,"yyyy-mm"))</f>
        <v/>
      </c>
      <c r="Y783" s="81">
        <f>IF(OR($A783="",$T783=""),"","Included in Manager_Report")</f>
        <v/>
      </c>
    </row>
    <row r="784" ht="15" customHeight="1" s="40">
      <c r="A784" s="65">
        <f>IF(COUNTA(B784:G784)=0,"","STP-"&amp;TEXT(ROW()-4,"0000"))</f>
        <v/>
      </c>
      <c r="B784" s="78" t="n"/>
      <c r="C784" s="67">
        <f>IF($B784="","",IFERROR(INDEX(Task_Tracker!$D$5:$D$1004,MATCH($B784,Task_Tracker!$A$5:$A$1004,0)),""))</f>
        <v/>
      </c>
      <c r="D784" s="67">
        <f>IF($B784="","",IFERROR(INDEX(Task_Tracker!$B$5:$B$1004,MATCH($B784,Task_Tracker!$A$5:$A$1004,0)),""))</f>
        <v/>
      </c>
      <c r="E784" s="81" t="n"/>
      <c r="F784" s="81" t="n"/>
      <c r="G784" s="78" t="n"/>
      <c r="H784" s="78" t="n"/>
      <c r="I784" s="67">
        <f>IF($H784="","",IFERROR(INDEX(Action_Status_Map!$B$5:$B$11,MATCH($H784,Action_Status_Map!$A$5:$A$11,0)),""))</f>
        <v/>
      </c>
      <c r="J784" s="82" t="n"/>
      <c r="K784" s="82" t="n"/>
      <c r="L784" s="82" t="n"/>
      <c r="M784" s="83" t="n"/>
      <c r="N784" s="83" t="n"/>
      <c r="O784" s="66">
        <f>IF(OR($M784="",$N784=""),"",$N784-$M784)</f>
        <v/>
      </c>
      <c r="P784" s="84">
        <f>IF($J784="","",IF($L784&lt;&gt;"",$L784-$J784,TODAY()-$J784))</f>
        <v/>
      </c>
      <c r="Q784" s="85">
        <f>IF(OR($K784="",$H784="Completed",$H784="Cancelled"),"",IF(AND($K784&lt;TODAY(),$H784&lt;&gt;"Completed",$H784&lt;&gt;"Cancelled"),"Overdue","On Track"))</f>
        <v/>
      </c>
      <c r="R784" s="81" t="n"/>
      <c r="S784" s="81">
        <f>IF($B784="","",IFERROR(INDEX(Task_Tracker!$AA$5:$AA$1004,MATCH($B784,Task_Tracker!$A$5:$A$1004,0)),""))</f>
        <v/>
      </c>
      <c r="T784" s="81">
        <f>IF($B784="","",IFERROR(INDEX(Task_Tracker!$AB$5:$AB$1004,MATCH($B784,Task_Tracker!$A$5:$A$1004,0)),""))</f>
        <v/>
      </c>
      <c r="U784" s="78">
        <f>IF($B784="","",IFERROR(INDEX(Task_Tracker!$F$5:$F$1004,MATCH($B784,Task_Tracker!$A$5:$A$1004,0)),""))</f>
        <v/>
      </c>
      <c r="V784" s="78">
        <f>IF($B784="","",IFERROR(INDEX(Task_Tracker!$I$5:$I$1004,MATCH($B784,Task_Tracker!$A$5:$A$1004,0)),""))</f>
        <v/>
      </c>
      <c r="W784" s="81">
        <f>IF(OR($D784="",$B784=""),"",$D784&amp;" | "&amp;$B784)</f>
        <v/>
      </c>
      <c r="X784" s="85">
        <f>IF($K784="","",TEXT($K784,"yyyy-mm"))</f>
        <v/>
      </c>
      <c r="Y784" s="81">
        <f>IF(OR($A784="",$T784=""),"","Included in Manager_Report")</f>
        <v/>
      </c>
    </row>
    <row r="785" ht="15" customHeight="1" s="40">
      <c r="A785" s="65">
        <f>IF(COUNTA(B785:G785)=0,"","STP-"&amp;TEXT(ROW()-4,"0000"))</f>
        <v/>
      </c>
      <c r="B785" s="78" t="n"/>
      <c r="C785" s="67">
        <f>IF($B785="","",IFERROR(INDEX(Task_Tracker!$D$5:$D$1004,MATCH($B785,Task_Tracker!$A$5:$A$1004,0)),""))</f>
        <v/>
      </c>
      <c r="D785" s="67">
        <f>IF($B785="","",IFERROR(INDEX(Task_Tracker!$B$5:$B$1004,MATCH($B785,Task_Tracker!$A$5:$A$1004,0)),""))</f>
        <v/>
      </c>
      <c r="E785" s="81" t="n"/>
      <c r="F785" s="81" t="n"/>
      <c r="G785" s="78" t="n"/>
      <c r="H785" s="78" t="n"/>
      <c r="I785" s="67">
        <f>IF($H785="","",IFERROR(INDEX(Action_Status_Map!$B$5:$B$11,MATCH($H785,Action_Status_Map!$A$5:$A$11,0)),""))</f>
        <v/>
      </c>
      <c r="J785" s="82" t="n"/>
      <c r="K785" s="82" t="n"/>
      <c r="L785" s="82" t="n"/>
      <c r="M785" s="83" t="n"/>
      <c r="N785" s="83" t="n"/>
      <c r="O785" s="66">
        <f>IF(OR($M785="",$N785=""),"",$N785-$M785)</f>
        <v/>
      </c>
      <c r="P785" s="84">
        <f>IF($J785="","",IF($L785&lt;&gt;"",$L785-$J785,TODAY()-$J785))</f>
        <v/>
      </c>
      <c r="Q785" s="85">
        <f>IF(OR($K785="",$H785="Completed",$H785="Cancelled"),"",IF(AND($K785&lt;TODAY(),$H785&lt;&gt;"Completed",$H785&lt;&gt;"Cancelled"),"Overdue","On Track"))</f>
        <v/>
      </c>
      <c r="R785" s="81" t="n"/>
      <c r="S785" s="81">
        <f>IF($B785="","",IFERROR(INDEX(Task_Tracker!$AA$5:$AA$1004,MATCH($B785,Task_Tracker!$A$5:$A$1004,0)),""))</f>
        <v/>
      </c>
      <c r="T785" s="81">
        <f>IF($B785="","",IFERROR(INDEX(Task_Tracker!$AB$5:$AB$1004,MATCH($B785,Task_Tracker!$A$5:$A$1004,0)),""))</f>
        <v/>
      </c>
      <c r="U785" s="78">
        <f>IF($B785="","",IFERROR(INDEX(Task_Tracker!$F$5:$F$1004,MATCH($B785,Task_Tracker!$A$5:$A$1004,0)),""))</f>
        <v/>
      </c>
      <c r="V785" s="78">
        <f>IF($B785="","",IFERROR(INDEX(Task_Tracker!$I$5:$I$1004,MATCH($B785,Task_Tracker!$A$5:$A$1004,0)),""))</f>
        <v/>
      </c>
      <c r="W785" s="81">
        <f>IF(OR($D785="",$B785=""),"",$D785&amp;" | "&amp;$B785)</f>
        <v/>
      </c>
      <c r="X785" s="85">
        <f>IF($K785="","",TEXT($K785,"yyyy-mm"))</f>
        <v/>
      </c>
      <c r="Y785" s="81">
        <f>IF(OR($A785="",$T785=""),"","Included in Manager_Report")</f>
        <v/>
      </c>
    </row>
    <row r="786" ht="15" customHeight="1" s="40">
      <c r="A786" s="65">
        <f>IF(COUNTA(B786:G786)=0,"","STP-"&amp;TEXT(ROW()-4,"0000"))</f>
        <v/>
      </c>
      <c r="B786" s="78" t="n"/>
      <c r="C786" s="67">
        <f>IF($B786="","",IFERROR(INDEX(Task_Tracker!$D$5:$D$1004,MATCH($B786,Task_Tracker!$A$5:$A$1004,0)),""))</f>
        <v/>
      </c>
      <c r="D786" s="67">
        <f>IF($B786="","",IFERROR(INDEX(Task_Tracker!$B$5:$B$1004,MATCH($B786,Task_Tracker!$A$5:$A$1004,0)),""))</f>
        <v/>
      </c>
      <c r="E786" s="81" t="n"/>
      <c r="F786" s="81" t="n"/>
      <c r="G786" s="78" t="n"/>
      <c r="H786" s="78" t="n"/>
      <c r="I786" s="67">
        <f>IF($H786="","",IFERROR(INDEX(Action_Status_Map!$B$5:$B$11,MATCH($H786,Action_Status_Map!$A$5:$A$11,0)),""))</f>
        <v/>
      </c>
      <c r="J786" s="82" t="n"/>
      <c r="K786" s="82" t="n"/>
      <c r="L786" s="82" t="n"/>
      <c r="M786" s="83" t="n"/>
      <c r="N786" s="83" t="n"/>
      <c r="O786" s="66">
        <f>IF(OR($M786="",$N786=""),"",$N786-$M786)</f>
        <v/>
      </c>
      <c r="P786" s="84">
        <f>IF($J786="","",IF($L786&lt;&gt;"",$L786-$J786,TODAY()-$J786))</f>
        <v/>
      </c>
      <c r="Q786" s="85">
        <f>IF(OR($K786="",$H786="Completed",$H786="Cancelled"),"",IF(AND($K786&lt;TODAY(),$H786&lt;&gt;"Completed",$H786&lt;&gt;"Cancelled"),"Overdue","On Track"))</f>
        <v/>
      </c>
      <c r="R786" s="81" t="n"/>
      <c r="S786" s="81">
        <f>IF($B786="","",IFERROR(INDEX(Task_Tracker!$AA$5:$AA$1004,MATCH($B786,Task_Tracker!$A$5:$A$1004,0)),""))</f>
        <v/>
      </c>
      <c r="T786" s="81">
        <f>IF($B786="","",IFERROR(INDEX(Task_Tracker!$AB$5:$AB$1004,MATCH($B786,Task_Tracker!$A$5:$A$1004,0)),""))</f>
        <v/>
      </c>
      <c r="U786" s="78">
        <f>IF($B786="","",IFERROR(INDEX(Task_Tracker!$F$5:$F$1004,MATCH($B786,Task_Tracker!$A$5:$A$1004,0)),""))</f>
        <v/>
      </c>
      <c r="V786" s="78">
        <f>IF($B786="","",IFERROR(INDEX(Task_Tracker!$I$5:$I$1004,MATCH($B786,Task_Tracker!$A$5:$A$1004,0)),""))</f>
        <v/>
      </c>
      <c r="W786" s="81">
        <f>IF(OR($D786="",$B786=""),"",$D786&amp;" | "&amp;$B786)</f>
        <v/>
      </c>
      <c r="X786" s="85">
        <f>IF($K786="","",TEXT($K786,"yyyy-mm"))</f>
        <v/>
      </c>
      <c r="Y786" s="81">
        <f>IF(OR($A786="",$T786=""),"","Included in Manager_Report")</f>
        <v/>
      </c>
    </row>
    <row r="787" ht="15" customHeight="1" s="40">
      <c r="A787" s="65">
        <f>IF(COUNTA(B787:G787)=0,"","STP-"&amp;TEXT(ROW()-4,"0000"))</f>
        <v/>
      </c>
      <c r="B787" s="78" t="n"/>
      <c r="C787" s="67">
        <f>IF($B787="","",IFERROR(INDEX(Task_Tracker!$D$5:$D$1004,MATCH($B787,Task_Tracker!$A$5:$A$1004,0)),""))</f>
        <v/>
      </c>
      <c r="D787" s="67">
        <f>IF($B787="","",IFERROR(INDEX(Task_Tracker!$B$5:$B$1004,MATCH($B787,Task_Tracker!$A$5:$A$1004,0)),""))</f>
        <v/>
      </c>
      <c r="E787" s="81" t="n"/>
      <c r="F787" s="81" t="n"/>
      <c r="G787" s="78" t="n"/>
      <c r="H787" s="78" t="n"/>
      <c r="I787" s="67">
        <f>IF($H787="","",IFERROR(INDEX(Action_Status_Map!$B$5:$B$11,MATCH($H787,Action_Status_Map!$A$5:$A$11,0)),""))</f>
        <v/>
      </c>
      <c r="J787" s="82" t="n"/>
      <c r="K787" s="82" t="n"/>
      <c r="L787" s="82" t="n"/>
      <c r="M787" s="83" t="n"/>
      <c r="N787" s="83" t="n"/>
      <c r="O787" s="66">
        <f>IF(OR($M787="",$N787=""),"",$N787-$M787)</f>
        <v/>
      </c>
      <c r="P787" s="84">
        <f>IF($J787="","",IF($L787&lt;&gt;"",$L787-$J787,TODAY()-$J787))</f>
        <v/>
      </c>
      <c r="Q787" s="85">
        <f>IF(OR($K787="",$H787="Completed",$H787="Cancelled"),"",IF(AND($K787&lt;TODAY(),$H787&lt;&gt;"Completed",$H787&lt;&gt;"Cancelled"),"Overdue","On Track"))</f>
        <v/>
      </c>
      <c r="R787" s="81" t="n"/>
      <c r="S787" s="81">
        <f>IF($B787="","",IFERROR(INDEX(Task_Tracker!$AA$5:$AA$1004,MATCH($B787,Task_Tracker!$A$5:$A$1004,0)),""))</f>
        <v/>
      </c>
      <c r="T787" s="81">
        <f>IF($B787="","",IFERROR(INDEX(Task_Tracker!$AB$5:$AB$1004,MATCH($B787,Task_Tracker!$A$5:$A$1004,0)),""))</f>
        <v/>
      </c>
      <c r="U787" s="78">
        <f>IF($B787="","",IFERROR(INDEX(Task_Tracker!$F$5:$F$1004,MATCH($B787,Task_Tracker!$A$5:$A$1004,0)),""))</f>
        <v/>
      </c>
      <c r="V787" s="78">
        <f>IF($B787="","",IFERROR(INDEX(Task_Tracker!$I$5:$I$1004,MATCH($B787,Task_Tracker!$A$5:$A$1004,0)),""))</f>
        <v/>
      </c>
      <c r="W787" s="81">
        <f>IF(OR($D787="",$B787=""),"",$D787&amp;" | "&amp;$B787)</f>
        <v/>
      </c>
      <c r="X787" s="85">
        <f>IF($K787="","",TEXT($K787,"yyyy-mm"))</f>
        <v/>
      </c>
      <c r="Y787" s="81">
        <f>IF(OR($A787="",$T787=""),"","Included in Manager_Report")</f>
        <v/>
      </c>
    </row>
    <row r="788" ht="15" customHeight="1" s="40">
      <c r="A788" s="65">
        <f>IF(COUNTA(B788:G788)=0,"","STP-"&amp;TEXT(ROW()-4,"0000"))</f>
        <v/>
      </c>
      <c r="B788" s="78" t="n"/>
      <c r="C788" s="67">
        <f>IF($B788="","",IFERROR(INDEX(Task_Tracker!$D$5:$D$1004,MATCH($B788,Task_Tracker!$A$5:$A$1004,0)),""))</f>
        <v/>
      </c>
      <c r="D788" s="67">
        <f>IF($B788="","",IFERROR(INDEX(Task_Tracker!$B$5:$B$1004,MATCH($B788,Task_Tracker!$A$5:$A$1004,0)),""))</f>
        <v/>
      </c>
      <c r="E788" s="81" t="n"/>
      <c r="F788" s="81" t="n"/>
      <c r="G788" s="78" t="n"/>
      <c r="H788" s="78" t="n"/>
      <c r="I788" s="67">
        <f>IF($H788="","",IFERROR(INDEX(Action_Status_Map!$B$5:$B$11,MATCH($H788,Action_Status_Map!$A$5:$A$11,0)),""))</f>
        <v/>
      </c>
      <c r="J788" s="82" t="n"/>
      <c r="K788" s="82" t="n"/>
      <c r="L788" s="82" t="n"/>
      <c r="M788" s="83" t="n"/>
      <c r="N788" s="83" t="n"/>
      <c r="O788" s="66">
        <f>IF(OR($M788="",$N788=""),"",$N788-$M788)</f>
        <v/>
      </c>
      <c r="P788" s="84">
        <f>IF($J788="","",IF($L788&lt;&gt;"",$L788-$J788,TODAY()-$J788))</f>
        <v/>
      </c>
      <c r="Q788" s="85">
        <f>IF(OR($K788="",$H788="Completed",$H788="Cancelled"),"",IF(AND($K788&lt;TODAY(),$H788&lt;&gt;"Completed",$H788&lt;&gt;"Cancelled"),"Overdue","On Track"))</f>
        <v/>
      </c>
      <c r="R788" s="81" t="n"/>
      <c r="S788" s="81">
        <f>IF($B788="","",IFERROR(INDEX(Task_Tracker!$AA$5:$AA$1004,MATCH($B788,Task_Tracker!$A$5:$A$1004,0)),""))</f>
        <v/>
      </c>
      <c r="T788" s="81">
        <f>IF($B788="","",IFERROR(INDEX(Task_Tracker!$AB$5:$AB$1004,MATCH($B788,Task_Tracker!$A$5:$A$1004,0)),""))</f>
        <v/>
      </c>
      <c r="U788" s="78">
        <f>IF($B788="","",IFERROR(INDEX(Task_Tracker!$F$5:$F$1004,MATCH($B788,Task_Tracker!$A$5:$A$1004,0)),""))</f>
        <v/>
      </c>
      <c r="V788" s="78">
        <f>IF($B788="","",IFERROR(INDEX(Task_Tracker!$I$5:$I$1004,MATCH($B788,Task_Tracker!$A$5:$A$1004,0)),""))</f>
        <v/>
      </c>
      <c r="W788" s="81">
        <f>IF(OR($D788="",$B788=""),"",$D788&amp;" | "&amp;$B788)</f>
        <v/>
      </c>
      <c r="X788" s="85">
        <f>IF($K788="","",TEXT($K788,"yyyy-mm"))</f>
        <v/>
      </c>
      <c r="Y788" s="81">
        <f>IF(OR($A788="",$T788=""),"","Included in Manager_Report")</f>
        <v/>
      </c>
    </row>
    <row r="789" ht="15" customHeight="1" s="40">
      <c r="A789" s="65">
        <f>IF(COUNTA(B789:G789)=0,"","STP-"&amp;TEXT(ROW()-4,"0000"))</f>
        <v/>
      </c>
      <c r="B789" s="78" t="n"/>
      <c r="C789" s="67">
        <f>IF($B789="","",IFERROR(INDEX(Task_Tracker!$D$5:$D$1004,MATCH($B789,Task_Tracker!$A$5:$A$1004,0)),""))</f>
        <v/>
      </c>
      <c r="D789" s="67">
        <f>IF($B789="","",IFERROR(INDEX(Task_Tracker!$B$5:$B$1004,MATCH($B789,Task_Tracker!$A$5:$A$1004,0)),""))</f>
        <v/>
      </c>
      <c r="E789" s="81" t="n"/>
      <c r="F789" s="81" t="n"/>
      <c r="G789" s="78" t="n"/>
      <c r="H789" s="78" t="n"/>
      <c r="I789" s="67">
        <f>IF($H789="","",IFERROR(INDEX(Action_Status_Map!$B$5:$B$11,MATCH($H789,Action_Status_Map!$A$5:$A$11,0)),""))</f>
        <v/>
      </c>
      <c r="J789" s="82" t="n"/>
      <c r="K789" s="82" t="n"/>
      <c r="L789" s="82" t="n"/>
      <c r="M789" s="83" t="n"/>
      <c r="N789" s="83" t="n"/>
      <c r="O789" s="66">
        <f>IF(OR($M789="",$N789=""),"",$N789-$M789)</f>
        <v/>
      </c>
      <c r="P789" s="84">
        <f>IF($J789="","",IF($L789&lt;&gt;"",$L789-$J789,TODAY()-$J789))</f>
        <v/>
      </c>
      <c r="Q789" s="85">
        <f>IF(OR($K789="",$H789="Completed",$H789="Cancelled"),"",IF(AND($K789&lt;TODAY(),$H789&lt;&gt;"Completed",$H789&lt;&gt;"Cancelled"),"Overdue","On Track"))</f>
        <v/>
      </c>
      <c r="R789" s="81" t="n"/>
      <c r="S789" s="81">
        <f>IF($B789="","",IFERROR(INDEX(Task_Tracker!$AA$5:$AA$1004,MATCH($B789,Task_Tracker!$A$5:$A$1004,0)),""))</f>
        <v/>
      </c>
      <c r="T789" s="81">
        <f>IF($B789="","",IFERROR(INDEX(Task_Tracker!$AB$5:$AB$1004,MATCH($B789,Task_Tracker!$A$5:$A$1004,0)),""))</f>
        <v/>
      </c>
      <c r="U789" s="78">
        <f>IF($B789="","",IFERROR(INDEX(Task_Tracker!$F$5:$F$1004,MATCH($B789,Task_Tracker!$A$5:$A$1004,0)),""))</f>
        <v/>
      </c>
      <c r="V789" s="78">
        <f>IF($B789="","",IFERROR(INDEX(Task_Tracker!$I$5:$I$1004,MATCH($B789,Task_Tracker!$A$5:$A$1004,0)),""))</f>
        <v/>
      </c>
      <c r="W789" s="81">
        <f>IF(OR($D789="",$B789=""),"",$D789&amp;" | "&amp;$B789)</f>
        <v/>
      </c>
      <c r="X789" s="85">
        <f>IF($K789="","",TEXT($K789,"yyyy-mm"))</f>
        <v/>
      </c>
      <c r="Y789" s="81">
        <f>IF(OR($A789="",$T789=""),"","Included in Manager_Report")</f>
        <v/>
      </c>
    </row>
    <row r="790" ht="15" customHeight="1" s="40">
      <c r="A790" s="65">
        <f>IF(COUNTA(B790:G790)=0,"","STP-"&amp;TEXT(ROW()-4,"0000"))</f>
        <v/>
      </c>
      <c r="B790" s="78" t="n"/>
      <c r="C790" s="67">
        <f>IF($B790="","",IFERROR(INDEX(Task_Tracker!$D$5:$D$1004,MATCH($B790,Task_Tracker!$A$5:$A$1004,0)),""))</f>
        <v/>
      </c>
      <c r="D790" s="67">
        <f>IF($B790="","",IFERROR(INDEX(Task_Tracker!$B$5:$B$1004,MATCH($B790,Task_Tracker!$A$5:$A$1004,0)),""))</f>
        <v/>
      </c>
      <c r="E790" s="81" t="n"/>
      <c r="F790" s="81" t="n"/>
      <c r="G790" s="78" t="n"/>
      <c r="H790" s="78" t="n"/>
      <c r="I790" s="67">
        <f>IF($H790="","",IFERROR(INDEX(Action_Status_Map!$B$5:$B$11,MATCH($H790,Action_Status_Map!$A$5:$A$11,0)),""))</f>
        <v/>
      </c>
      <c r="J790" s="82" t="n"/>
      <c r="K790" s="82" t="n"/>
      <c r="L790" s="82" t="n"/>
      <c r="M790" s="83" t="n"/>
      <c r="N790" s="83" t="n"/>
      <c r="O790" s="66">
        <f>IF(OR($M790="",$N790=""),"",$N790-$M790)</f>
        <v/>
      </c>
      <c r="P790" s="84">
        <f>IF($J790="","",IF($L790&lt;&gt;"",$L790-$J790,TODAY()-$J790))</f>
        <v/>
      </c>
      <c r="Q790" s="85">
        <f>IF(OR($K790="",$H790="Completed",$H790="Cancelled"),"",IF(AND($K790&lt;TODAY(),$H790&lt;&gt;"Completed",$H790&lt;&gt;"Cancelled"),"Overdue","On Track"))</f>
        <v/>
      </c>
      <c r="R790" s="81" t="n"/>
      <c r="S790" s="81">
        <f>IF($B790="","",IFERROR(INDEX(Task_Tracker!$AA$5:$AA$1004,MATCH($B790,Task_Tracker!$A$5:$A$1004,0)),""))</f>
        <v/>
      </c>
      <c r="T790" s="81">
        <f>IF($B790="","",IFERROR(INDEX(Task_Tracker!$AB$5:$AB$1004,MATCH($B790,Task_Tracker!$A$5:$A$1004,0)),""))</f>
        <v/>
      </c>
      <c r="U790" s="78">
        <f>IF($B790="","",IFERROR(INDEX(Task_Tracker!$F$5:$F$1004,MATCH($B790,Task_Tracker!$A$5:$A$1004,0)),""))</f>
        <v/>
      </c>
      <c r="V790" s="78">
        <f>IF($B790="","",IFERROR(INDEX(Task_Tracker!$I$5:$I$1004,MATCH($B790,Task_Tracker!$A$5:$A$1004,0)),""))</f>
        <v/>
      </c>
      <c r="W790" s="81">
        <f>IF(OR($D790="",$B790=""),"",$D790&amp;" | "&amp;$B790)</f>
        <v/>
      </c>
      <c r="X790" s="85">
        <f>IF($K790="","",TEXT($K790,"yyyy-mm"))</f>
        <v/>
      </c>
      <c r="Y790" s="81">
        <f>IF(OR($A790="",$T790=""),"","Included in Manager_Report")</f>
        <v/>
      </c>
    </row>
    <row r="791" ht="15" customHeight="1" s="40">
      <c r="A791" s="65">
        <f>IF(COUNTA(B791:G791)=0,"","STP-"&amp;TEXT(ROW()-4,"0000"))</f>
        <v/>
      </c>
      <c r="B791" s="78" t="n"/>
      <c r="C791" s="67">
        <f>IF($B791="","",IFERROR(INDEX(Task_Tracker!$D$5:$D$1004,MATCH($B791,Task_Tracker!$A$5:$A$1004,0)),""))</f>
        <v/>
      </c>
      <c r="D791" s="67">
        <f>IF($B791="","",IFERROR(INDEX(Task_Tracker!$B$5:$B$1004,MATCH($B791,Task_Tracker!$A$5:$A$1004,0)),""))</f>
        <v/>
      </c>
      <c r="E791" s="81" t="n"/>
      <c r="F791" s="81" t="n"/>
      <c r="G791" s="78" t="n"/>
      <c r="H791" s="78" t="n"/>
      <c r="I791" s="67">
        <f>IF($H791="","",IFERROR(INDEX(Action_Status_Map!$B$5:$B$11,MATCH($H791,Action_Status_Map!$A$5:$A$11,0)),""))</f>
        <v/>
      </c>
      <c r="J791" s="82" t="n"/>
      <c r="K791" s="82" t="n"/>
      <c r="L791" s="82" t="n"/>
      <c r="M791" s="83" t="n"/>
      <c r="N791" s="83" t="n"/>
      <c r="O791" s="66">
        <f>IF(OR($M791="",$N791=""),"",$N791-$M791)</f>
        <v/>
      </c>
      <c r="P791" s="84">
        <f>IF($J791="","",IF($L791&lt;&gt;"",$L791-$J791,TODAY()-$J791))</f>
        <v/>
      </c>
      <c r="Q791" s="85">
        <f>IF(OR($K791="",$H791="Completed",$H791="Cancelled"),"",IF(AND($K791&lt;TODAY(),$H791&lt;&gt;"Completed",$H791&lt;&gt;"Cancelled"),"Overdue","On Track"))</f>
        <v/>
      </c>
      <c r="R791" s="81" t="n"/>
      <c r="S791" s="81">
        <f>IF($B791="","",IFERROR(INDEX(Task_Tracker!$AA$5:$AA$1004,MATCH($B791,Task_Tracker!$A$5:$A$1004,0)),""))</f>
        <v/>
      </c>
      <c r="T791" s="81">
        <f>IF($B791="","",IFERROR(INDEX(Task_Tracker!$AB$5:$AB$1004,MATCH($B791,Task_Tracker!$A$5:$A$1004,0)),""))</f>
        <v/>
      </c>
      <c r="U791" s="78">
        <f>IF($B791="","",IFERROR(INDEX(Task_Tracker!$F$5:$F$1004,MATCH($B791,Task_Tracker!$A$5:$A$1004,0)),""))</f>
        <v/>
      </c>
      <c r="V791" s="78">
        <f>IF($B791="","",IFERROR(INDEX(Task_Tracker!$I$5:$I$1004,MATCH($B791,Task_Tracker!$A$5:$A$1004,0)),""))</f>
        <v/>
      </c>
      <c r="W791" s="81">
        <f>IF(OR($D791="",$B791=""),"",$D791&amp;" | "&amp;$B791)</f>
        <v/>
      </c>
      <c r="X791" s="85">
        <f>IF($K791="","",TEXT($K791,"yyyy-mm"))</f>
        <v/>
      </c>
      <c r="Y791" s="81">
        <f>IF(OR($A791="",$T791=""),"","Included in Manager_Report")</f>
        <v/>
      </c>
    </row>
    <row r="792" ht="15" customHeight="1" s="40">
      <c r="A792" s="65">
        <f>IF(COUNTA(B792:G792)=0,"","STP-"&amp;TEXT(ROW()-4,"0000"))</f>
        <v/>
      </c>
      <c r="B792" s="78" t="n"/>
      <c r="C792" s="67">
        <f>IF($B792="","",IFERROR(INDEX(Task_Tracker!$D$5:$D$1004,MATCH($B792,Task_Tracker!$A$5:$A$1004,0)),""))</f>
        <v/>
      </c>
      <c r="D792" s="67">
        <f>IF($B792="","",IFERROR(INDEX(Task_Tracker!$B$5:$B$1004,MATCH($B792,Task_Tracker!$A$5:$A$1004,0)),""))</f>
        <v/>
      </c>
      <c r="E792" s="81" t="n"/>
      <c r="F792" s="81" t="n"/>
      <c r="G792" s="78" t="n"/>
      <c r="H792" s="78" t="n"/>
      <c r="I792" s="67">
        <f>IF($H792="","",IFERROR(INDEX(Action_Status_Map!$B$5:$B$11,MATCH($H792,Action_Status_Map!$A$5:$A$11,0)),""))</f>
        <v/>
      </c>
      <c r="J792" s="82" t="n"/>
      <c r="K792" s="82" t="n"/>
      <c r="L792" s="82" t="n"/>
      <c r="M792" s="83" t="n"/>
      <c r="N792" s="83" t="n"/>
      <c r="O792" s="66">
        <f>IF(OR($M792="",$N792=""),"",$N792-$M792)</f>
        <v/>
      </c>
      <c r="P792" s="84">
        <f>IF($J792="","",IF($L792&lt;&gt;"",$L792-$J792,TODAY()-$J792))</f>
        <v/>
      </c>
      <c r="Q792" s="85">
        <f>IF(OR($K792="",$H792="Completed",$H792="Cancelled"),"",IF(AND($K792&lt;TODAY(),$H792&lt;&gt;"Completed",$H792&lt;&gt;"Cancelled"),"Overdue","On Track"))</f>
        <v/>
      </c>
      <c r="R792" s="81" t="n"/>
      <c r="S792" s="81">
        <f>IF($B792="","",IFERROR(INDEX(Task_Tracker!$AA$5:$AA$1004,MATCH($B792,Task_Tracker!$A$5:$A$1004,0)),""))</f>
        <v/>
      </c>
      <c r="T792" s="81">
        <f>IF($B792="","",IFERROR(INDEX(Task_Tracker!$AB$5:$AB$1004,MATCH($B792,Task_Tracker!$A$5:$A$1004,0)),""))</f>
        <v/>
      </c>
      <c r="U792" s="78">
        <f>IF($B792="","",IFERROR(INDEX(Task_Tracker!$F$5:$F$1004,MATCH($B792,Task_Tracker!$A$5:$A$1004,0)),""))</f>
        <v/>
      </c>
      <c r="V792" s="78">
        <f>IF($B792="","",IFERROR(INDEX(Task_Tracker!$I$5:$I$1004,MATCH($B792,Task_Tracker!$A$5:$A$1004,0)),""))</f>
        <v/>
      </c>
      <c r="W792" s="81">
        <f>IF(OR($D792="",$B792=""),"",$D792&amp;" | "&amp;$B792)</f>
        <v/>
      </c>
      <c r="X792" s="85">
        <f>IF($K792="","",TEXT($K792,"yyyy-mm"))</f>
        <v/>
      </c>
      <c r="Y792" s="81">
        <f>IF(OR($A792="",$T792=""),"","Included in Manager_Report")</f>
        <v/>
      </c>
    </row>
    <row r="793" ht="15" customHeight="1" s="40">
      <c r="A793" s="65">
        <f>IF(COUNTA(B793:G793)=0,"","STP-"&amp;TEXT(ROW()-4,"0000"))</f>
        <v/>
      </c>
      <c r="B793" s="78" t="n"/>
      <c r="C793" s="67">
        <f>IF($B793="","",IFERROR(INDEX(Task_Tracker!$D$5:$D$1004,MATCH($B793,Task_Tracker!$A$5:$A$1004,0)),""))</f>
        <v/>
      </c>
      <c r="D793" s="67">
        <f>IF($B793="","",IFERROR(INDEX(Task_Tracker!$B$5:$B$1004,MATCH($B793,Task_Tracker!$A$5:$A$1004,0)),""))</f>
        <v/>
      </c>
      <c r="E793" s="81" t="n"/>
      <c r="F793" s="81" t="n"/>
      <c r="G793" s="78" t="n"/>
      <c r="H793" s="78" t="n"/>
      <c r="I793" s="67">
        <f>IF($H793="","",IFERROR(INDEX(Action_Status_Map!$B$5:$B$11,MATCH($H793,Action_Status_Map!$A$5:$A$11,0)),""))</f>
        <v/>
      </c>
      <c r="J793" s="82" t="n"/>
      <c r="K793" s="82" t="n"/>
      <c r="L793" s="82" t="n"/>
      <c r="M793" s="83" t="n"/>
      <c r="N793" s="83" t="n"/>
      <c r="O793" s="66">
        <f>IF(OR($M793="",$N793=""),"",$N793-$M793)</f>
        <v/>
      </c>
      <c r="P793" s="84">
        <f>IF($J793="","",IF($L793&lt;&gt;"",$L793-$J793,TODAY()-$J793))</f>
        <v/>
      </c>
      <c r="Q793" s="85">
        <f>IF(OR($K793="",$H793="Completed",$H793="Cancelled"),"",IF(AND($K793&lt;TODAY(),$H793&lt;&gt;"Completed",$H793&lt;&gt;"Cancelled"),"Overdue","On Track"))</f>
        <v/>
      </c>
      <c r="R793" s="81" t="n"/>
      <c r="S793" s="81">
        <f>IF($B793="","",IFERROR(INDEX(Task_Tracker!$AA$5:$AA$1004,MATCH($B793,Task_Tracker!$A$5:$A$1004,0)),""))</f>
        <v/>
      </c>
      <c r="T793" s="81">
        <f>IF($B793="","",IFERROR(INDEX(Task_Tracker!$AB$5:$AB$1004,MATCH($B793,Task_Tracker!$A$5:$A$1004,0)),""))</f>
        <v/>
      </c>
      <c r="U793" s="78">
        <f>IF($B793="","",IFERROR(INDEX(Task_Tracker!$F$5:$F$1004,MATCH($B793,Task_Tracker!$A$5:$A$1004,0)),""))</f>
        <v/>
      </c>
      <c r="V793" s="78">
        <f>IF($B793="","",IFERROR(INDEX(Task_Tracker!$I$5:$I$1004,MATCH($B793,Task_Tracker!$A$5:$A$1004,0)),""))</f>
        <v/>
      </c>
      <c r="W793" s="81">
        <f>IF(OR($D793="",$B793=""),"",$D793&amp;" | "&amp;$B793)</f>
        <v/>
      </c>
      <c r="X793" s="85">
        <f>IF($K793="","",TEXT($K793,"yyyy-mm"))</f>
        <v/>
      </c>
      <c r="Y793" s="81">
        <f>IF(OR($A793="",$T793=""),"","Included in Manager_Report")</f>
        <v/>
      </c>
    </row>
    <row r="794" ht="15" customHeight="1" s="40">
      <c r="A794" s="65">
        <f>IF(COUNTA(B794:G794)=0,"","STP-"&amp;TEXT(ROW()-4,"0000"))</f>
        <v/>
      </c>
      <c r="B794" s="78" t="n"/>
      <c r="C794" s="67">
        <f>IF($B794="","",IFERROR(INDEX(Task_Tracker!$D$5:$D$1004,MATCH($B794,Task_Tracker!$A$5:$A$1004,0)),""))</f>
        <v/>
      </c>
      <c r="D794" s="67">
        <f>IF($B794="","",IFERROR(INDEX(Task_Tracker!$B$5:$B$1004,MATCH($B794,Task_Tracker!$A$5:$A$1004,0)),""))</f>
        <v/>
      </c>
      <c r="E794" s="81" t="n"/>
      <c r="F794" s="81" t="n"/>
      <c r="G794" s="78" t="n"/>
      <c r="H794" s="78" t="n"/>
      <c r="I794" s="67">
        <f>IF($H794="","",IFERROR(INDEX(Action_Status_Map!$B$5:$B$11,MATCH($H794,Action_Status_Map!$A$5:$A$11,0)),""))</f>
        <v/>
      </c>
      <c r="J794" s="82" t="n"/>
      <c r="K794" s="82" t="n"/>
      <c r="L794" s="82" t="n"/>
      <c r="M794" s="83" t="n"/>
      <c r="N794" s="83" t="n"/>
      <c r="O794" s="66">
        <f>IF(OR($M794="",$N794=""),"",$N794-$M794)</f>
        <v/>
      </c>
      <c r="P794" s="84">
        <f>IF($J794="","",IF($L794&lt;&gt;"",$L794-$J794,TODAY()-$J794))</f>
        <v/>
      </c>
      <c r="Q794" s="85">
        <f>IF(OR($K794="",$H794="Completed",$H794="Cancelled"),"",IF(AND($K794&lt;TODAY(),$H794&lt;&gt;"Completed",$H794&lt;&gt;"Cancelled"),"Overdue","On Track"))</f>
        <v/>
      </c>
      <c r="R794" s="81" t="n"/>
      <c r="S794" s="81">
        <f>IF($B794="","",IFERROR(INDEX(Task_Tracker!$AA$5:$AA$1004,MATCH($B794,Task_Tracker!$A$5:$A$1004,0)),""))</f>
        <v/>
      </c>
      <c r="T794" s="81">
        <f>IF($B794="","",IFERROR(INDEX(Task_Tracker!$AB$5:$AB$1004,MATCH($B794,Task_Tracker!$A$5:$A$1004,0)),""))</f>
        <v/>
      </c>
      <c r="U794" s="78">
        <f>IF($B794="","",IFERROR(INDEX(Task_Tracker!$F$5:$F$1004,MATCH($B794,Task_Tracker!$A$5:$A$1004,0)),""))</f>
        <v/>
      </c>
      <c r="V794" s="78">
        <f>IF($B794="","",IFERROR(INDEX(Task_Tracker!$I$5:$I$1004,MATCH($B794,Task_Tracker!$A$5:$A$1004,0)),""))</f>
        <v/>
      </c>
      <c r="W794" s="81">
        <f>IF(OR($D794="",$B794=""),"",$D794&amp;" | "&amp;$B794)</f>
        <v/>
      </c>
      <c r="X794" s="85">
        <f>IF($K794="","",TEXT($K794,"yyyy-mm"))</f>
        <v/>
      </c>
      <c r="Y794" s="81">
        <f>IF(OR($A794="",$T794=""),"","Included in Manager_Report")</f>
        <v/>
      </c>
    </row>
    <row r="795" ht="15" customHeight="1" s="40">
      <c r="A795" s="65">
        <f>IF(COUNTA(B795:G795)=0,"","STP-"&amp;TEXT(ROW()-4,"0000"))</f>
        <v/>
      </c>
      <c r="B795" s="78" t="n"/>
      <c r="C795" s="67">
        <f>IF($B795="","",IFERROR(INDEX(Task_Tracker!$D$5:$D$1004,MATCH($B795,Task_Tracker!$A$5:$A$1004,0)),""))</f>
        <v/>
      </c>
      <c r="D795" s="67">
        <f>IF($B795="","",IFERROR(INDEX(Task_Tracker!$B$5:$B$1004,MATCH($B795,Task_Tracker!$A$5:$A$1004,0)),""))</f>
        <v/>
      </c>
      <c r="E795" s="81" t="n"/>
      <c r="F795" s="81" t="n"/>
      <c r="G795" s="78" t="n"/>
      <c r="H795" s="78" t="n"/>
      <c r="I795" s="67">
        <f>IF($H795="","",IFERROR(INDEX(Action_Status_Map!$B$5:$B$11,MATCH($H795,Action_Status_Map!$A$5:$A$11,0)),""))</f>
        <v/>
      </c>
      <c r="J795" s="82" t="n"/>
      <c r="K795" s="82" t="n"/>
      <c r="L795" s="82" t="n"/>
      <c r="M795" s="83" t="n"/>
      <c r="N795" s="83" t="n"/>
      <c r="O795" s="66">
        <f>IF(OR($M795="",$N795=""),"",$N795-$M795)</f>
        <v/>
      </c>
      <c r="P795" s="84">
        <f>IF($J795="","",IF($L795&lt;&gt;"",$L795-$J795,TODAY()-$J795))</f>
        <v/>
      </c>
      <c r="Q795" s="85">
        <f>IF(OR($K795="",$H795="Completed",$H795="Cancelled"),"",IF(AND($K795&lt;TODAY(),$H795&lt;&gt;"Completed",$H795&lt;&gt;"Cancelled"),"Overdue","On Track"))</f>
        <v/>
      </c>
      <c r="R795" s="81" t="n"/>
      <c r="S795" s="81">
        <f>IF($B795="","",IFERROR(INDEX(Task_Tracker!$AA$5:$AA$1004,MATCH($B795,Task_Tracker!$A$5:$A$1004,0)),""))</f>
        <v/>
      </c>
      <c r="T795" s="81">
        <f>IF($B795="","",IFERROR(INDEX(Task_Tracker!$AB$5:$AB$1004,MATCH($B795,Task_Tracker!$A$5:$A$1004,0)),""))</f>
        <v/>
      </c>
      <c r="U795" s="78">
        <f>IF($B795="","",IFERROR(INDEX(Task_Tracker!$F$5:$F$1004,MATCH($B795,Task_Tracker!$A$5:$A$1004,0)),""))</f>
        <v/>
      </c>
      <c r="V795" s="78">
        <f>IF($B795="","",IFERROR(INDEX(Task_Tracker!$I$5:$I$1004,MATCH($B795,Task_Tracker!$A$5:$A$1004,0)),""))</f>
        <v/>
      </c>
      <c r="W795" s="81">
        <f>IF(OR($D795="",$B795=""),"",$D795&amp;" | "&amp;$B795)</f>
        <v/>
      </c>
      <c r="X795" s="85">
        <f>IF($K795="","",TEXT($K795,"yyyy-mm"))</f>
        <v/>
      </c>
      <c r="Y795" s="81">
        <f>IF(OR($A795="",$T795=""),"","Included in Manager_Report")</f>
        <v/>
      </c>
    </row>
    <row r="796" ht="15" customHeight="1" s="40">
      <c r="A796" s="65">
        <f>IF(COUNTA(B796:G796)=0,"","STP-"&amp;TEXT(ROW()-4,"0000"))</f>
        <v/>
      </c>
      <c r="B796" s="78" t="n"/>
      <c r="C796" s="67">
        <f>IF($B796="","",IFERROR(INDEX(Task_Tracker!$D$5:$D$1004,MATCH($B796,Task_Tracker!$A$5:$A$1004,0)),""))</f>
        <v/>
      </c>
      <c r="D796" s="67">
        <f>IF($B796="","",IFERROR(INDEX(Task_Tracker!$B$5:$B$1004,MATCH($B796,Task_Tracker!$A$5:$A$1004,0)),""))</f>
        <v/>
      </c>
      <c r="E796" s="81" t="n"/>
      <c r="F796" s="81" t="n"/>
      <c r="G796" s="78" t="n"/>
      <c r="H796" s="78" t="n"/>
      <c r="I796" s="67">
        <f>IF($H796="","",IFERROR(INDEX(Action_Status_Map!$B$5:$B$11,MATCH($H796,Action_Status_Map!$A$5:$A$11,0)),""))</f>
        <v/>
      </c>
      <c r="J796" s="82" t="n"/>
      <c r="K796" s="82" t="n"/>
      <c r="L796" s="82" t="n"/>
      <c r="M796" s="83" t="n"/>
      <c r="N796" s="83" t="n"/>
      <c r="O796" s="66">
        <f>IF(OR($M796="",$N796=""),"",$N796-$M796)</f>
        <v/>
      </c>
      <c r="P796" s="84">
        <f>IF($J796="","",IF($L796&lt;&gt;"",$L796-$J796,TODAY()-$J796))</f>
        <v/>
      </c>
      <c r="Q796" s="85">
        <f>IF(OR($K796="",$H796="Completed",$H796="Cancelled"),"",IF(AND($K796&lt;TODAY(),$H796&lt;&gt;"Completed",$H796&lt;&gt;"Cancelled"),"Overdue","On Track"))</f>
        <v/>
      </c>
      <c r="R796" s="81" t="n"/>
      <c r="S796" s="81">
        <f>IF($B796="","",IFERROR(INDEX(Task_Tracker!$AA$5:$AA$1004,MATCH($B796,Task_Tracker!$A$5:$A$1004,0)),""))</f>
        <v/>
      </c>
      <c r="T796" s="81">
        <f>IF($B796="","",IFERROR(INDEX(Task_Tracker!$AB$5:$AB$1004,MATCH($B796,Task_Tracker!$A$5:$A$1004,0)),""))</f>
        <v/>
      </c>
      <c r="U796" s="78">
        <f>IF($B796="","",IFERROR(INDEX(Task_Tracker!$F$5:$F$1004,MATCH($B796,Task_Tracker!$A$5:$A$1004,0)),""))</f>
        <v/>
      </c>
      <c r="V796" s="78">
        <f>IF($B796="","",IFERROR(INDEX(Task_Tracker!$I$5:$I$1004,MATCH($B796,Task_Tracker!$A$5:$A$1004,0)),""))</f>
        <v/>
      </c>
      <c r="W796" s="81">
        <f>IF(OR($D796="",$B796=""),"",$D796&amp;" | "&amp;$B796)</f>
        <v/>
      </c>
      <c r="X796" s="85">
        <f>IF($K796="","",TEXT($K796,"yyyy-mm"))</f>
        <v/>
      </c>
      <c r="Y796" s="81">
        <f>IF(OR($A796="",$T796=""),"","Included in Manager_Report")</f>
        <v/>
      </c>
    </row>
    <row r="797" ht="15" customHeight="1" s="40">
      <c r="A797" s="65">
        <f>IF(COUNTA(B797:G797)=0,"","STP-"&amp;TEXT(ROW()-4,"0000"))</f>
        <v/>
      </c>
      <c r="B797" s="78" t="n"/>
      <c r="C797" s="67">
        <f>IF($B797="","",IFERROR(INDEX(Task_Tracker!$D$5:$D$1004,MATCH($B797,Task_Tracker!$A$5:$A$1004,0)),""))</f>
        <v/>
      </c>
      <c r="D797" s="67">
        <f>IF($B797="","",IFERROR(INDEX(Task_Tracker!$B$5:$B$1004,MATCH($B797,Task_Tracker!$A$5:$A$1004,0)),""))</f>
        <v/>
      </c>
      <c r="E797" s="81" t="n"/>
      <c r="F797" s="81" t="n"/>
      <c r="G797" s="78" t="n"/>
      <c r="H797" s="78" t="n"/>
      <c r="I797" s="67">
        <f>IF($H797="","",IFERROR(INDEX(Action_Status_Map!$B$5:$B$11,MATCH($H797,Action_Status_Map!$A$5:$A$11,0)),""))</f>
        <v/>
      </c>
      <c r="J797" s="82" t="n"/>
      <c r="K797" s="82" t="n"/>
      <c r="L797" s="82" t="n"/>
      <c r="M797" s="83" t="n"/>
      <c r="N797" s="83" t="n"/>
      <c r="O797" s="66">
        <f>IF(OR($M797="",$N797=""),"",$N797-$M797)</f>
        <v/>
      </c>
      <c r="P797" s="84">
        <f>IF($J797="","",IF($L797&lt;&gt;"",$L797-$J797,TODAY()-$J797))</f>
        <v/>
      </c>
      <c r="Q797" s="85">
        <f>IF(OR($K797="",$H797="Completed",$H797="Cancelled"),"",IF(AND($K797&lt;TODAY(),$H797&lt;&gt;"Completed",$H797&lt;&gt;"Cancelled"),"Overdue","On Track"))</f>
        <v/>
      </c>
      <c r="R797" s="81" t="n"/>
      <c r="S797" s="81">
        <f>IF($B797="","",IFERROR(INDEX(Task_Tracker!$AA$5:$AA$1004,MATCH($B797,Task_Tracker!$A$5:$A$1004,0)),""))</f>
        <v/>
      </c>
      <c r="T797" s="81">
        <f>IF($B797="","",IFERROR(INDEX(Task_Tracker!$AB$5:$AB$1004,MATCH($B797,Task_Tracker!$A$5:$A$1004,0)),""))</f>
        <v/>
      </c>
      <c r="U797" s="78">
        <f>IF($B797="","",IFERROR(INDEX(Task_Tracker!$F$5:$F$1004,MATCH($B797,Task_Tracker!$A$5:$A$1004,0)),""))</f>
        <v/>
      </c>
      <c r="V797" s="78">
        <f>IF($B797="","",IFERROR(INDEX(Task_Tracker!$I$5:$I$1004,MATCH($B797,Task_Tracker!$A$5:$A$1004,0)),""))</f>
        <v/>
      </c>
      <c r="W797" s="81">
        <f>IF(OR($D797="",$B797=""),"",$D797&amp;" | "&amp;$B797)</f>
        <v/>
      </c>
      <c r="X797" s="85">
        <f>IF($K797="","",TEXT($K797,"yyyy-mm"))</f>
        <v/>
      </c>
      <c r="Y797" s="81">
        <f>IF(OR($A797="",$T797=""),"","Included in Manager_Report")</f>
        <v/>
      </c>
    </row>
    <row r="798" ht="15" customHeight="1" s="40">
      <c r="A798" s="65">
        <f>IF(COUNTA(B798:G798)=0,"","STP-"&amp;TEXT(ROW()-4,"0000"))</f>
        <v/>
      </c>
      <c r="B798" s="78" t="n"/>
      <c r="C798" s="67">
        <f>IF($B798="","",IFERROR(INDEX(Task_Tracker!$D$5:$D$1004,MATCH($B798,Task_Tracker!$A$5:$A$1004,0)),""))</f>
        <v/>
      </c>
      <c r="D798" s="67">
        <f>IF($B798="","",IFERROR(INDEX(Task_Tracker!$B$5:$B$1004,MATCH($B798,Task_Tracker!$A$5:$A$1004,0)),""))</f>
        <v/>
      </c>
      <c r="E798" s="81" t="n"/>
      <c r="F798" s="81" t="n"/>
      <c r="G798" s="78" t="n"/>
      <c r="H798" s="78" t="n"/>
      <c r="I798" s="67">
        <f>IF($H798="","",IFERROR(INDEX(Action_Status_Map!$B$5:$B$11,MATCH($H798,Action_Status_Map!$A$5:$A$11,0)),""))</f>
        <v/>
      </c>
      <c r="J798" s="82" t="n"/>
      <c r="K798" s="82" t="n"/>
      <c r="L798" s="82" t="n"/>
      <c r="M798" s="83" t="n"/>
      <c r="N798" s="83" t="n"/>
      <c r="O798" s="66">
        <f>IF(OR($M798="",$N798=""),"",$N798-$M798)</f>
        <v/>
      </c>
      <c r="P798" s="84">
        <f>IF($J798="","",IF($L798&lt;&gt;"",$L798-$J798,TODAY()-$J798))</f>
        <v/>
      </c>
      <c r="Q798" s="85">
        <f>IF(OR($K798="",$H798="Completed",$H798="Cancelled"),"",IF(AND($K798&lt;TODAY(),$H798&lt;&gt;"Completed",$H798&lt;&gt;"Cancelled"),"Overdue","On Track"))</f>
        <v/>
      </c>
      <c r="R798" s="81" t="n"/>
      <c r="S798" s="81">
        <f>IF($B798="","",IFERROR(INDEX(Task_Tracker!$AA$5:$AA$1004,MATCH($B798,Task_Tracker!$A$5:$A$1004,0)),""))</f>
        <v/>
      </c>
      <c r="T798" s="81">
        <f>IF($B798="","",IFERROR(INDEX(Task_Tracker!$AB$5:$AB$1004,MATCH($B798,Task_Tracker!$A$5:$A$1004,0)),""))</f>
        <v/>
      </c>
      <c r="U798" s="78">
        <f>IF($B798="","",IFERROR(INDEX(Task_Tracker!$F$5:$F$1004,MATCH($B798,Task_Tracker!$A$5:$A$1004,0)),""))</f>
        <v/>
      </c>
      <c r="V798" s="78">
        <f>IF($B798="","",IFERROR(INDEX(Task_Tracker!$I$5:$I$1004,MATCH($B798,Task_Tracker!$A$5:$A$1004,0)),""))</f>
        <v/>
      </c>
      <c r="W798" s="81">
        <f>IF(OR($D798="",$B798=""),"",$D798&amp;" | "&amp;$B798)</f>
        <v/>
      </c>
      <c r="X798" s="85">
        <f>IF($K798="","",TEXT($K798,"yyyy-mm"))</f>
        <v/>
      </c>
      <c r="Y798" s="81">
        <f>IF(OR($A798="",$T798=""),"","Included in Manager_Report")</f>
        <v/>
      </c>
    </row>
    <row r="799" ht="15" customHeight="1" s="40">
      <c r="A799" s="65">
        <f>IF(COUNTA(B799:G799)=0,"","STP-"&amp;TEXT(ROW()-4,"0000"))</f>
        <v/>
      </c>
      <c r="B799" s="78" t="n"/>
      <c r="C799" s="67">
        <f>IF($B799="","",IFERROR(INDEX(Task_Tracker!$D$5:$D$1004,MATCH($B799,Task_Tracker!$A$5:$A$1004,0)),""))</f>
        <v/>
      </c>
      <c r="D799" s="67">
        <f>IF($B799="","",IFERROR(INDEX(Task_Tracker!$B$5:$B$1004,MATCH($B799,Task_Tracker!$A$5:$A$1004,0)),""))</f>
        <v/>
      </c>
      <c r="E799" s="81" t="n"/>
      <c r="F799" s="81" t="n"/>
      <c r="G799" s="78" t="n"/>
      <c r="H799" s="78" t="n"/>
      <c r="I799" s="67">
        <f>IF($H799="","",IFERROR(INDEX(Action_Status_Map!$B$5:$B$11,MATCH($H799,Action_Status_Map!$A$5:$A$11,0)),""))</f>
        <v/>
      </c>
      <c r="J799" s="82" t="n"/>
      <c r="K799" s="82" t="n"/>
      <c r="L799" s="82" t="n"/>
      <c r="M799" s="83" t="n"/>
      <c r="N799" s="83" t="n"/>
      <c r="O799" s="66">
        <f>IF(OR($M799="",$N799=""),"",$N799-$M799)</f>
        <v/>
      </c>
      <c r="P799" s="84">
        <f>IF($J799="","",IF($L799&lt;&gt;"",$L799-$J799,TODAY()-$J799))</f>
        <v/>
      </c>
      <c r="Q799" s="85">
        <f>IF(OR($K799="",$H799="Completed",$H799="Cancelled"),"",IF(AND($K799&lt;TODAY(),$H799&lt;&gt;"Completed",$H799&lt;&gt;"Cancelled"),"Overdue","On Track"))</f>
        <v/>
      </c>
      <c r="R799" s="81" t="n"/>
      <c r="S799" s="81">
        <f>IF($B799="","",IFERROR(INDEX(Task_Tracker!$AA$5:$AA$1004,MATCH($B799,Task_Tracker!$A$5:$A$1004,0)),""))</f>
        <v/>
      </c>
      <c r="T799" s="81">
        <f>IF($B799="","",IFERROR(INDEX(Task_Tracker!$AB$5:$AB$1004,MATCH($B799,Task_Tracker!$A$5:$A$1004,0)),""))</f>
        <v/>
      </c>
      <c r="U799" s="78">
        <f>IF($B799="","",IFERROR(INDEX(Task_Tracker!$F$5:$F$1004,MATCH($B799,Task_Tracker!$A$5:$A$1004,0)),""))</f>
        <v/>
      </c>
      <c r="V799" s="78">
        <f>IF($B799="","",IFERROR(INDEX(Task_Tracker!$I$5:$I$1004,MATCH($B799,Task_Tracker!$A$5:$A$1004,0)),""))</f>
        <v/>
      </c>
      <c r="W799" s="81">
        <f>IF(OR($D799="",$B799=""),"",$D799&amp;" | "&amp;$B799)</f>
        <v/>
      </c>
      <c r="X799" s="85">
        <f>IF($K799="","",TEXT($K799,"yyyy-mm"))</f>
        <v/>
      </c>
      <c r="Y799" s="81">
        <f>IF(OR($A799="",$T799=""),"","Included in Manager_Report")</f>
        <v/>
      </c>
    </row>
    <row r="800" ht="15" customHeight="1" s="40">
      <c r="A800" s="65">
        <f>IF(COUNTA(B800:G800)=0,"","STP-"&amp;TEXT(ROW()-4,"0000"))</f>
        <v/>
      </c>
      <c r="B800" s="78" t="n"/>
      <c r="C800" s="67">
        <f>IF($B800="","",IFERROR(INDEX(Task_Tracker!$D$5:$D$1004,MATCH($B800,Task_Tracker!$A$5:$A$1004,0)),""))</f>
        <v/>
      </c>
      <c r="D800" s="67">
        <f>IF($B800="","",IFERROR(INDEX(Task_Tracker!$B$5:$B$1004,MATCH($B800,Task_Tracker!$A$5:$A$1004,0)),""))</f>
        <v/>
      </c>
      <c r="E800" s="81" t="n"/>
      <c r="F800" s="81" t="n"/>
      <c r="G800" s="78" t="n"/>
      <c r="H800" s="78" t="n"/>
      <c r="I800" s="67">
        <f>IF($H800="","",IFERROR(INDEX(Action_Status_Map!$B$5:$B$11,MATCH($H800,Action_Status_Map!$A$5:$A$11,0)),""))</f>
        <v/>
      </c>
      <c r="J800" s="82" t="n"/>
      <c r="K800" s="82" t="n"/>
      <c r="L800" s="82" t="n"/>
      <c r="M800" s="83" t="n"/>
      <c r="N800" s="83" t="n"/>
      <c r="O800" s="66">
        <f>IF(OR($M800="",$N800=""),"",$N800-$M800)</f>
        <v/>
      </c>
      <c r="P800" s="84">
        <f>IF($J800="","",IF($L800&lt;&gt;"",$L800-$J800,TODAY()-$J800))</f>
        <v/>
      </c>
      <c r="Q800" s="85">
        <f>IF(OR($K800="",$H800="Completed",$H800="Cancelled"),"",IF(AND($K800&lt;TODAY(),$H800&lt;&gt;"Completed",$H800&lt;&gt;"Cancelled"),"Overdue","On Track"))</f>
        <v/>
      </c>
      <c r="R800" s="81" t="n"/>
      <c r="S800" s="81">
        <f>IF($B800="","",IFERROR(INDEX(Task_Tracker!$AA$5:$AA$1004,MATCH($B800,Task_Tracker!$A$5:$A$1004,0)),""))</f>
        <v/>
      </c>
      <c r="T800" s="81">
        <f>IF($B800="","",IFERROR(INDEX(Task_Tracker!$AB$5:$AB$1004,MATCH($B800,Task_Tracker!$A$5:$A$1004,0)),""))</f>
        <v/>
      </c>
      <c r="U800" s="78">
        <f>IF($B800="","",IFERROR(INDEX(Task_Tracker!$F$5:$F$1004,MATCH($B800,Task_Tracker!$A$5:$A$1004,0)),""))</f>
        <v/>
      </c>
      <c r="V800" s="78">
        <f>IF($B800="","",IFERROR(INDEX(Task_Tracker!$I$5:$I$1004,MATCH($B800,Task_Tracker!$A$5:$A$1004,0)),""))</f>
        <v/>
      </c>
      <c r="W800" s="81">
        <f>IF(OR($D800="",$B800=""),"",$D800&amp;" | "&amp;$B800)</f>
        <v/>
      </c>
      <c r="X800" s="85">
        <f>IF($K800="","",TEXT($K800,"yyyy-mm"))</f>
        <v/>
      </c>
      <c r="Y800" s="81">
        <f>IF(OR($A800="",$T800=""),"","Included in Manager_Report")</f>
        <v/>
      </c>
    </row>
    <row r="801" ht="15" customHeight="1" s="40">
      <c r="A801" s="65">
        <f>IF(COUNTA(B801:G801)=0,"","STP-"&amp;TEXT(ROW()-4,"0000"))</f>
        <v/>
      </c>
      <c r="B801" s="78" t="n"/>
      <c r="C801" s="67">
        <f>IF($B801="","",IFERROR(INDEX(Task_Tracker!$D$5:$D$1004,MATCH($B801,Task_Tracker!$A$5:$A$1004,0)),""))</f>
        <v/>
      </c>
      <c r="D801" s="67">
        <f>IF($B801="","",IFERROR(INDEX(Task_Tracker!$B$5:$B$1004,MATCH($B801,Task_Tracker!$A$5:$A$1004,0)),""))</f>
        <v/>
      </c>
      <c r="E801" s="81" t="n"/>
      <c r="F801" s="81" t="n"/>
      <c r="G801" s="78" t="n"/>
      <c r="H801" s="78" t="n"/>
      <c r="I801" s="67">
        <f>IF($H801="","",IFERROR(INDEX(Action_Status_Map!$B$5:$B$11,MATCH($H801,Action_Status_Map!$A$5:$A$11,0)),""))</f>
        <v/>
      </c>
      <c r="J801" s="82" t="n"/>
      <c r="K801" s="82" t="n"/>
      <c r="L801" s="82" t="n"/>
      <c r="M801" s="83" t="n"/>
      <c r="N801" s="83" t="n"/>
      <c r="O801" s="66">
        <f>IF(OR($M801="",$N801=""),"",$N801-$M801)</f>
        <v/>
      </c>
      <c r="P801" s="84">
        <f>IF($J801="","",IF($L801&lt;&gt;"",$L801-$J801,TODAY()-$J801))</f>
        <v/>
      </c>
      <c r="Q801" s="85">
        <f>IF(OR($K801="",$H801="Completed",$H801="Cancelled"),"",IF(AND($K801&lt;TODAY(),$H801&lt;&gt;"Completed",$H801&lt;&gt;"Cancelled"),"Overdue","On Track"))</f>
        <v/>
      </c>
      <c r="R801" s="81" t="n"/>
      <c r="S801" s="81">
        <f>IF($B801="","",IFERROR(INDEX(Task_Tracker!$AA$5:$AA$1004,MATCH($B801,Task_Tracker!$A$5:$A$1004,0)),""))</f>
        <v/>
      </c>
      <c r="T801" s="81">
        <f>IF($B801="","",IFERROR(INDEX(Task_Tracker!$AB$5:$AB$1004,MATCH($B801,Task_Tracker!$A$5:$A$1004,0)),""))</f>
        <v/>
      </c>
      <c r="U801" s="78">
        <f>IF($B801="","",IFERROR(INDEX(Task_Tracker!$F$5:$F$1004,MATCH($B801,Task_Tracker!$A$5:$A$1004,0)),""))</f>
        <v/>
      </c>
      <c r="V801" s="78">
        <f>IF($B801="","",IFERROR(INDEX(Task_Tracker!$I$5:$I$1004,MATCH($B801,Task_Tracker!$A$5:$A$1004,0)),""))</f>
        <v/>
      </c>
      <c r="W801" s="81">
        <f>IF(OR($D801="",$B801=""),"",$D801&amp;" | "&amp;$B801)</f>
        <v/>
      </c>
      <c r="X801" s="85">
        <f>IF($K801="","",TEXT($K801,"yyyy-mm"))</f>
        <v/>
      </c>
      <c r="Y801" s="81">
        <f>IF(OR($A801="",$T801=""),"","Included in Manager_Report")</f>
        <v/>
      </c>
    </row>
    <row r="802" ht="15" customHeight="1" s="40">
      <c r="A802" s="65">
        <f>IF(COUNTA(B802:G802)=0,"","STP-"&amp;TEXT(ROW()-4,"0000"))</f>
        <v/>
      </c>
      <c r="B802" s="78" t="n"/>
      <c r="C802" s="67">
        <f>IF($B802="","",IFERROR(INDEX(Task_Tracker!$D$5:$D$1004,MATCH($B802,Task_Tracker!$A$5:$A$1004,0)),""))</f>
        <v/>
      </c>
      <c r="D802" s="67">
        <f>IF($B802="","",IFERROR(INDEX(Task_Tracker!$B$5:$B$1004,MATCH($B802,Task_Tracker!$A$5:$A$1004,0)),""))</f>
        <v/>
      </c>
      <c r="E802" s="81" t="n"/>
      <c r="F802" s="81" t="n"/>
      <c r="G802" s="78" t="n"/>
      <c r="H802" s="78" t="n"/>
      <c r="I802" s="67">
        <f>IF($H802="","",IFERROR(INDEX(Action_Status_Map!$B$5:$B$11,MATCH($H802,Action_Status_Map!$A$5:$A$11,0)),""))</f>
        <v/>
      </c>
      <c r="J802" s="82" t="n"/>
      <c r="K802" s="82" t="n"/>
      <c r="L802" s="82" t="n"/>
      <c r="M802" s="83" t="n"/>
      <c r="N802" s="83" t="n"/>
      <c r="O802" s="66">
        <f>IF(OR($M802="",$N802=""),"",$N802-$M802)</f>
        <v/>
      </c>
      <c r="P802" s="84">
        <f>IF($J802="","",IF($L802&lt;&gt;"",$L802-$J802,TODAY()-$J802))</f>
        <v/>
      </c>
      <c r="Q802" s="85">
        <f>IF(OR($K802="",$H802="Completed",$H802="Cancelled"),"",IF(AND($K802&lt;TODAY(),$H802&lt;&gt;"Completed",$H802&lt;&gt;"Cancelled"),"Overdue","On Track"))</f>
        <v/>
      </c>
      <c r="R802" s="81" t="n"/>
      <c r="S802" s="81">
        <f>IF($B802="","",IFERROR(INDEX(Task_Tracker!$AA$5:$AA$1004,MATCH($B802,Task_Tracker!$A$5:$A$1004,0)),""))</f>
        <v/>
      </c>
      <c r="T802" s="81">
        <f>IF($B802="","",IFERROR(INDEX(Task_Tracker!$AB$5:$AB$1004,MATCH($B802,Task_Tracker!$A$5:$A$1004,0)),""))</f>
        <v/>
      </c>
      <c r="U802" s="78">
        <f>IF($B802="","",IFERROR(INDEX(Task_Tracker!$F$5:$F$1004,MATCH($B802,Task_Tracker!$A$5:$A$1004,0)),""))</f>
        <v/>
      </c>
      <c r="V802" s="78">
        <f>IF($B802="","",IFERROR(INDEX(Task_Tracker!$I$5:$I$1004,MATCH($B802,Task_Tracker!$A$5:$A$1004,0)),""))</f>
        <v/>
      </c>
      <c r="W802" s="81">
        <f>IF(OR($D802="",$B802=""),"",$D802&amp;" | "&amp;$B802)</f>
        <v/>
      </c>
      <c r="X802" s="85">
        <f>IF($K802="","",TEXT($K802,"yyyy-mm"))</f>
        <v/>
      </c>
      <c r="Y802" s="81">
        <f>IF(OR($A802="",$T802=""),"","Included in Manager_Report")</f>
        <v/>
      </c>
    </row>
    <row r="803" ht="15" customHeight="1" s="40">
      <c r="A803" s="65">
        <f>IF(COUNTA(B803:G803)=0,"","STP-"&amp;TEXT(ROW()-4,"0000"))</f>
        <v/>
      </c>
      <c r="B803" s="78" t="n"/>
      <c r="C803" s="67">
        <f>IF($B803="","",IFERROR(INDEX(Task_Tracker!$D$5:$D$1004,MATCH($B803,Task_Tracker!$A$5:$A$1004,0)),""))</f>
        <v/>
      </c>
      <c r="D803" s="67">
        <f>IF($B803="","",IFERROR(INDEX(Task_Tracker!$B$5:$B$1004,MATCH($B803,Task_Tracker!$A$5:$A$1004,0)),""))</f>
        <v/>
      </c>
      <c r="E803" s="81" t="n"/>
      <c r="F803" s="81" t="n"/>
      <c r="G803" s="78" t="n"/>
      <c r="H803" s="78" t="n"/>
      <c r="I803" s="67">
        <f>IF($H803="","",IFERROR(INDEX(Action_Status_Map!$B$5:$B$11,MATCH($H803,Action_Status_Map!$A$5:$A$11,0)),""))</f>
        <v/>
      </c>
      <c r="J803" s="82" t="n"/>
      <c r="K803" s="82" t="n"/>
      <c r="L803" s="82" t="n"/>
      <c r="M803" s="83" t="n"/>
      <c r="N803" s="83" t="n"/>
      <c r="O803" s="66">
        <f>IF(OR($M803="",$N803=""),"",$N803-$M803)</f>
        <v/>
      </c>
      <c r="P803" s="84">
        <f>IF($J803="","",IF($L803&lt;&gt;"",$L803-$J803,TODAY()-$J803))</f>
        <v/>
      </c>
      <c r="Q803" s="85">
        <f>IF(OR($K803="",$H803="Completed",$H803="Cancelled"),"",IF(AND($K803&lt;TODAY(),$H803&lt;&gt;"Completed",$H803&lt;&gt;"Cancelled"),"Overdue","On Track"))</f>
        <v/>
      </c>
      <c r="R803" s="81" t="n"/>
      <c r="S803" s="81">
        <f>IF($B803="","",IFERROR(INDEX(Task_Tracker!$AA$5:$AA$1004,MATCH($B803,Task_Tracker!$A$5:$A$1004,0)),""))</f>
        <v/>
      </c>
      <c r="T803" s="81">
        <f>IF($B803="","",IFERROR(INDEX(Task_Tracker!$AB$5:$AB$1004,MATCH($B803,Task_Tracker!$A$5:$A$1004,0)),""))</f>
        <v/>
      </c>
      <c r="U803" s="78">
        <f>IF($B803="","",IFERROR(INDEX(Task_Tracker!$F$5:$F$1004,MATCH($B803,Task_Tracker!$A$5:$A$1004,0)),""))</f>
        <v/>
      </c>
      <c r="V803" s="78">
        <f>IF($B803="","",IFERROR(INDEX(Task_Tracker!$I$5:$I$1004,MATCH($B803,Task_Tracker!$A$5:$A$1004,0)),""))</f>
        <v/>
      </c>
      <c r="W803" s="81">
        <f>IF(OR($D803="",$B803=""),"",$D803&amp;" | "&amp;$B803)</f>
        <v/>
      </c>
      <c r="X803" s="85">
        <f>IF($K803="","",TEXT($K803,"yyyy-mm"))</f>
        <v/>
      </c>
      <c r="Y803" s="81">
        <f>IF(OR($A803="",$T803=""),"","Included in Manager_Report")</f>
        <v/>
      </c>
    </row>
    <row r="804" ht="15" customHeight="1" s="40">
      <c r="A804" s="65">
        <f>IF(COUNTA(B804:G804)=0,"","STP-"&amp;TEXT(ROW()-4,"0000"))</f>
        <v/>
      </c>
      <c r="B804" s="78" t="n"/>
      <c r="C804" s="67">
        <f>IF($B804="","",IFERROR(INDEX(Task_Tracker!$D$5:$D$1004,MATCH($B804,Task_Tracker!$A$5:$A$1004,0)),""))</f>
        <v/>
      </c>
      <c r="D804" s="67">
        <f>IF($B804="","",IFERROR(INDEX(Task_Tracker!$B$5:$B$1004,MATCH($B804,Task_Tracker!$A$5:$A$1004,0)),""))</f>
        <v/>
      </c>
      <c r="E804" s="81" t="n"/>
      <c r="F804" s="81" t="n"/>
      <c r="G804" s="78" t="n"/>
      <c r="H804" s="78" t="n"/>
      <c r="I804" s="67">
        <f>IF($H804="","",IFERROR(INDEX(Action_Status_Map!$B$5:$B$11,MATCH($H804,Action_Status_Map!$A$5:$A$11,0)),""))</f>
        <v/>
      </c>
      <c r="J804" s="82" t="n"/>
      <c r="K804" s="82" t="n"/>
      <c r="L804" s="82" t="n"/>
      <c r="M804" s="83" t="n"/>
      <c r="N804" s="83" t="n"/>
      <c r="O804" s="66">
        <f>IF(OR($M804="",$N804=""),"",$N804-$M804)</f>
        <v/>
      </c>
      <c r="P804" s="84">
        <f>IF($J804="","",IF($L804&lt;&gt;"",$L804-$J804,TODAY()-$J804))</f>
        <v/>
      </c>
      <c r="Q804" s="85">
        <f>IF(OR($K804="",$H804="Completed",$H804="Cancelled"),"",IF(AND($K804&lt;TODAY(),$H804&lt;&gt;"Completed",$H804&lt;&gt;"Cancelled"),"Overdue","On Track"))</f>
        <v/>
      </c>
      <c r="R804" s="81" t="n"/>
      <c r="S804" s="81">
        <f>IF($B804="","",IFERROR(INDEX(Task_Tracker!$AA$5:$AA$1004,MATCH($B804,Task_Tracker!$A$5:$A$1004,0)),""))</f>
        <v/>
      </c>
      <c r="T804" s="81">
        <f>IF($B804="","",IFERROR(INDEX(Task_Tracker!$AB$5:$AB$1004,MATCH($B804,Task_Tracker!$A$5:$A$1004,0)),""))</f>
        <v/>
      </c>
      <c r="U804" s="78">
        <f>IF($B804="","",IFERROR(INDEX(Task_Tracker!$F$5:$F$1004,MATCH($B804,Task_Tracker!$A$5:$A$1004,0)),""))</f>
        <v/>
      </c>
      <c r="V804" s="78">
        <f>IF($B804="","",IFERROR(INDEX(Task_Tracker!$I$5:$I$1004,MATCH($B804,Task_Tracker!$A$5:$A$1004,0)),""))</f>
        <v/>
      </c>
      <c r="W804" s="81">
        <f>IF(OR($D804="",$B804=""),"",$D804&amp;" | "&amp;$B804)</f>
        <v/>
      </c>
      <c r="X804" s="85">
        <f>IF($K804="","",TEXT($K804,"yyyy-mm"))</f>
        <v/>
      </c>
      <c r="Y804" s="81">
        <f>IF(OR($A804="",$T804=""),"","Included in Manager_Report")</f>
        <v/>
      </c>
    </row>
    <row r="805" ht="15" customHeight="1" s="40">
      <c r="A805" s="65">
        <f>IF(COUNTA(B805:G805)=0,"","STP-"&amp;TEXT(ROW()-4,"0000"))</f>
        <v/>
      </c>
      <c r="B805" s="78" t="n"/>
      <c r="C805" s="67">
        <f>IF($B805="","",IFERROR(INDEX(Task_Tracker!$D$5:$D$1004,MATCH($B805,Task_Tracker!$A$5:$A$1004,0)),""))</f>
        <v/>
      </c>
      <c r="D805" s="67">
        <f>IF($B805="","",IFERROR(INDEX(Task_Tracker!$B$5:$B$1004,MATCH($B805,Task_Tracker!$A$5:$A$1004,0)),""))</f>
        <v/>
      </c>
      <c r="E805" s="81" t="n"/>
      <c r="F805" s="81" t="n"/>
      <c r="G805" s="78" t="n"/>
      <c r="H805" s="78" t="n"/>
      <c r="I805" s="67">
        <f>IF($H805="","",IFERROR(INDEX(Action_Status_Map!$B$5:$B$11,MATCH($H805,Action_Status_Map!$A$5:$A$11,0)),""))</f>
        <v/>
      </c>
      <c r="J805" s="82" t="n"/>
      <c r="K805" s="82" t="n"/>
      <c r="L805" s="82" t="n"/>
      <c r="M805" s="83" t="n"/>
      <c r="N805" s="83" t="n"/>
      <c r="O805" s="66">
        <f>IF(OR($M805="",$N805=""),"",$N805-$M805)</f>
        <v/>
      </c>
      <c r="P805" s="84">
        <f>IF($J805="","",IF($L805&lt;&gt;"",$L805-$J805,TODAY()-$J805))</f>
        <v/>
      </c>
      <c r="Q805" s="85">
        <f>IF(OR($K805="",$H805="Completed",$H805="Cancelled"),"",IF(AND($K805&lt;TODAY(),$H805&lt;&gt;"Completed",$H805&lt;&gt;"Cancelled"),"Overdue","On Track"))</f>
        <v/>
      </c>
      <c r="R805" s="81" t="n"/>
      <c r="S805" s="81">
        <f>IF($B805="","",IFERROR(INDEX(Task_Tracker!$AA$5:$AA$1004,MATCH($B805,Task_Tracker!$A$5:$A$1004,0)),""))</f>
        <v/>
      </c>
      <c r="T805" s="81">
        <f>IF($B805="","",IFERROR(INDEX(Task_Tracker!$AB$5:$AB$1004,MATCH($B805,Task_Tracker!$A$5:$A$1004,0)),""))</f>
        <v/>
      </c>
      <c r="U805" s="78">
        <f>IF($B805="","",IFERROR(INDEX(Task_Tracker!$F$5:$F$1004,MATCH($B805,Task_Tracker!$A$5:$A$1004,0)),""))</f>
        <v/>
      </c>
      <c r="V805" s="78">
        <f>IF($B805="","",IFERROR(INDEX(Task_Tracker!$I$5:$I$1004,MATCH($B805,Task_Tracker!$A$5:$A$1004,0)),""))</f>
        <v/>
      </c>
      <c r="W805" s="81">
        <f>IF(OR($D805="",$B805=""),"",$D805&amp;" | "&amp;$B805)</f>
        <v/>
      </c>
      <c r="X805" s="85">
        <f>IF($K805="","",TEXT($K805,"yyyy-mm"))</f>
        <v/>
      </c>
      <c r="Y805" s="81">
        <f>IF(OR($A805="",$T805=""),"","Included in Manager_Report")</f>
        <v/>
      </c>
    </row>
    <row r="806" ht="15" customHeight="1" s="40">
      <c r="A806" s="65">
        <f>IF(COUNTA(B806:G806)=0,"","STP-"&amp;TEXT(ROW()-4,"0000"))</f>
        <v/>
      </c>
      <c r="B806" s="78" t="n"/>
      <c r="C806" s="67">
        <f>IF($B806="","",IFERROR(INDEX(Task_Tracker!$D$5:$D$1004,MATCH($B806,Task_Tracker!$A$5:$A$1004,0)),""))</f>
        <v/>
      </c>
      <c r="D806" s="67">
        <f>IF($B806="","",IFERROR(INDEX(Task_Tracker!$B$5:$B$1004,MATCH($B806,Task_Tracker!$A$5:$A$1004,0)),""))</f>
        <v/>
      </c>
      <c r="E806" s="81" t="n"/>
      <c r="F806" s="81" t="n"/>
      <c r="G806" s="78" t="n"/>
      <c r="H806" s="78" t="n"/>
      <c r="I806" s="67">
        <f>IF($H806="","",IFERROR(INDEX(Action_Status_Map!$B$5:$B$11,MATCH($H806,Action_Status_Map!$A$5:$A$11,0)),""))</f>
        <v/>
      </c>
      <c r="J806" s="82" t="n"/>
      <c r="K806" s="82" t="n"/>
      <c r="L806" s="82" t="n"/>
      <c r="M806" s="83" t="n"/>
      <c r="N806" s="83" t="n"/>
      <c r="O806" s="66">
        <f>IF(OR($M806="",$N806=""),"",$N806-$M806)</f>
        <v/>
      </c>
      <c r="P806" s="84">
        <f>IF($J806="","",IF($L806&lt;&gt;"",$L806-$J806,TODAY()-$J806))</f>
        <v/>
      </c>
      <c r="Q806" s="85">
        <f>IF(OR($K806="",$H806="Completed",$H806="Cancelled"),"",IF(AND($K806&lt;TODAY(),$H806&lt;&gt;"Completed",$H806&lt;&gt;"Cancelled"),"Overdue","On Track"))</f>
        <v/>
      </c>
      <c r="R806" s="81" t="n"/>
      <c r="S806" s="81">
        <f>IF($B806="","",IFERROR(INDEX(Task_Tracker!$AA$5:$AA$1004,MATCH($B806,Task_Tracker!$A$5:$A$1004,0)),""))</f>
        <v/>
      </c>
      <c r="T806" s="81">
        <f>IF($B806="","",IFERROR(INDEX(Task_Tracker!$AB$5:$AB$1004,MATCH($B806,Task_Tracker!$A$5:$A$1004,0)),""))</f>
        <v/>
      </c>
      <c r="U806" s="78">
        <f>IF($B806="","",IFERROR(INDEX(Task_Tracker!$F$5:$F$1004,MATCH($B806,Task_Tracker!$A$5:$A$1004,0)),""))</f>
        <v/>
      </c>
      <c r="V806" s="78">
        <f>IF($B806="","",IFERROR(INDEX(Task_Tracker!$I$5:$I$1004,MATCH($B806,Task_Tracker!$A$5:$A$1004,0)),""))</f>
        <v/>
      </c>
      <c r="W806" s="81">
        <f>IF(OR($D806="",$B806=""),"",$D806&amp;" | "&amp;$B806)</f>
        <v/>
      </c>
      <c r="X806" s="85">
        <f>IF($K806="","",TEXT($K806,"yyyy-mm"))</f>
        <v/>
      </c>
      <c r="Y806" s="81">
        <f>IF(OR($A806="",$T806=""),"","Included in Manager_Report")</f>
        <v/>
      </c>
    </row>
    <row r="807" ht="15" customHeight="1" s="40">
      <c r="A807" s="65">
        <f>IF(COUNTA(B807:G807)=0,"","STP-"&amp;TEXT(ROW()-4,"0000"))</f>
        <v/>
      </c>
      <c r="B807" s="78" t="n"/>
      <c r="C807" s="67">
        <f>IF($B807="","",IFERROR(INDEX(Task_Tracker!$D$5:$D$1004,MATCH($B807,Task_Tracker!$A$5:$A$1004,0)),""))</f>
        <v/>
      </c>
      <c r="D807" s="67">
        <f>IF($B807="","",IFERROR(INDEX(Task_Tracker!$B$5:$B$1004,MATCH($B807,Task_Tracker!$A$5:$A$1004,0)),""))</f>
        <v/>
      </c>
      <c r="E807" s="81" t="n"/>
      <c r="F807" s="81" t="n"/>
      <c r="G807" s="78" t="n"/>
      <c r="H807" s="78" t="n"/>
      <c r="I807" s="67">
        <f>IF($H807="","",IFERROR(INDEX(Action_Status_Map!$B$5:$B$11,MATCH($H807,Action_Status_Map!$A$5:$A$11,0)),""))</f>
        <v/>
      </c>
      <c r="J807" s="82" t="n"/>
      <c r="K807" s="82" t="n"/>
      <c r="L807" s="82" t="n"/>
      <c r="M807" s="83" t="n"/>
      <c r="N807" s="83" t="n"/>
      <c r="O807" s="66">
        <f>IF(OR($M807="",$N807=""),"",$N807-$M807)</f>
        <v/>
      </c>
      <c r="P807" s="84">
        <f>IF($J807="","",IF($L807&lt;&gt;"",$L807-$J807,TODAY()-$J807))</f>
        <v/>
      </c>
      <c r="Q807" s="85">
        <f>IF(OR($K807="",$H807="Completed",$H807="Cancelled"),"",IF(AND($K807&lt;TODAY(),$H807&lt;&gt;"Completed",$H807&lt;&gt;"Cancelled"),"Overdue","On Track"))</f>
        <v/>
      </c>
      <c r="R807" s="81" t="n"/>
      <c r="S807" s="81">
        <f>IF($B807="","",IFERROR(INDEX(Task_Tracker!$AA$5:$AA$1004,MATCH($B807,Task_Tracker!$A$5:$A$1004,0)),""))</f>
        <v/>
      </c>
      <c r="T807" s="81">
        <f>IF($B807="","",IFERROR(INDEX(Task_Tracker!$AB$5:$AB$1004,MATCH($B807,Task_Tracker!$A$5:$A$1004,0)),""))</f>
        <v/>
      </c>
      <c r="U807" s="78">
        <f>IF($B807="","",IFERROR(INDEX(Task_Tracker!$F$5:$F$1004,MATCH($B807,Task_Tracker!$A$5:$A$1004,0)),""))</f>
        <v/>
      </c>
      <c r="V807" s="78">
        <f>IF($B807="","",IFERROR(INDEX(Task_Tracker!$I$5:$I$1004,MATCH($B807,Task_Tracker!$A$5:$A$1004,0)),""))</f>
        <v/>
      </c>
      <c r="W807" s="81">
        <f>IF(OR($D807="",$B807=""),"",$D807&amp;" | "&amp;$B807)</f>
        <v/>
      </c>
      <c r="X807" s="85">
        <f>IF($K807="","",TEXT($K807,"yyyy-mm"))</f>
        <v/>
      </c>
      <c r="Y807" s="81">
        <f>IF(OR($A807="",$T807=""),"","Included in Manager_Report")</f>
        <v/>
      </c>
    </row>
    <row r="808" ht="15" customHeight="1" s="40">
      <c r="A808" s="65">
        <f>IF(COUNTA(B808:G808)=0,"","STP-"&amp;TEXT(ROW()-4,"0000"))</f>
        <v/>
      </c>
      <c r="B808" s="78" t="n"/>
      <c r="C808" s="67">
        <f>IF($B808="","",IFERROR(INDEX(Task_Tracker!$D$5:$D$1004,MATCH($B808,Task_Tracker!$A$5:$A$1004,0)),""))</f>
        <v/>
      </c>
      <c r="D808" s="67">
        <f>IF($B808="","",IFERROR(INDEX(Task_Tracker!$B$5:$B$1004,MATCH($B808,Task_Tracker!$A$5:$A$1004,0)),""))</f>
        <v/>
      </c>
      <c r="E808" s="81" t="n"/>
      <c r="F808" s="81" t="n"/>
      <c r="G808" s="78" t="n"/>
      <c r="H808" s="78" t="n"/>
      <c r="I808" s="67">
        <f>IF($H808="","",IFERROR(INDEX(Action_Status_Map!$B$5:$B$11,MATCH($H808,Action_Status_Map!$A$5:$A$11,0)),""))</f>
        <v/>
      </c>
      <c r="J808" s="82" t="n"/>
      <c r="K808" s="82" t="n"/>
      <c r="L808" s="82" t="n"/>
      <c r="M808" s="83" t="n"/>
      <c r="N808" s="83" t="n"/>
      <c r="O808" s="66">
        <f>IF(OR($M808="",$N808=""),"",$N808-$M808)</f>
        <v/>
      </c>
      <c r="P808" s="84">
        <f>IF($J808="","",IF($L808&lt;&gt;"",$L808-$J808,TODAY()-$J808))</f>
        <v/>
      </c>
      <c r="Q808" s="85">
        <f>IF(OR($K808="",$H808="Completed",$H808="Cancelled"),"",IF(AND($K808&lt;TODAY(),$H808&lt;&gt;"Completed",$H808&lt;&gt;"Cancelled"),"Overdue","On Track"))</f>
        <v/>
      </c>
      <c r="R808" s="81" t="n"/>
      <c r="S808" s="81">
        <f>IF($B808="","",IFERROR(INDEX(Task_Tracker!$AA$5:$AA$1004,MATCH($B808,Task_Tracker!$A$5:$A$1004,0)),""))</f>
        <v/>
      </c>
      <c r="T808" s="81">
        <f>IF($B808="","",IFERROR(INDEX(Task_Tracker!$AB$5:$AB$1004,MATCH($B808,Task_Tracker!$A$5:$A$1004,0)),""))</f>
        <v/>
      </c>
      <c r="U808" s="78">
        <f>IF($B808="","",IFERROR(INDEX(Task_Tracker!$F$5:$F$1004,MATCH($B808,Task_Tracker!$A$5:$A$1004,0)),""))</f>
        <v/>
      </c>
      <c r="V808" s="78">
        <f>IF($B808="","",IFERROR(INDEX(Task_Tracker!$I$5:$I$1004,MATCH($B808,Task_Tracker!$A$5:$A$1004,0)),""))</f>
        <v/>
      </c>
      <c r="W808" s="81">
        <f>IF(OR($D808="",$B808=""),"",$D808&amp;" | "&amp;$B808)</f>
        <v/>
      </c>
      <c r="X808" s="85">
        <f>IF($K808="","",TEXT($K808,"yyyy-mm"))</f>
        <v/>
      </c>
      <c r="Y808" s="81">
        <f>IF(OR($A808="",$T808=""),"","Included in Manager_Report")</f>
        <v/>
      </c>
    </row>
    <row r="809" ht="15" customHeight="1" s="40">
      <c r="A809" s="65">
        <f>IF(COUNTA(B809:G809)=0,"","STP-"&amp;TEXT(ROW()-4,"0000"))</f>
        <v/>
      </c>
      <c r="B809" s="78" t="n"/>
      <c r="C809" s="67">
        <f>IF($B809="","",IFERROR(INDEX(Task_Tracker!$D$5:$D$1004,MATCH($B809,Task_Tracker!$A$5:$A$1004,0)),""))</f>
        <v/>
      </c>
      <c r="D809" s="67">
        <f>IF($B809="","",IFERROR(INDEX(Task_Tracker!$B$5:$B$1004,MATCH($B809,Task_Tracker!$A$5:$A$1004,0)),""))</f>
        <v/>
      </c>
      <c r="E809" s="81" t="n"/>
      <c r="F809" s="81" t="n"/>
      <c r="G809" s="78" t="n"/>
      <c r="H809" s="78" t="n"/>
      <c r="I809" s="67">
        <f>IF($H809="","",IFERROR(INDEX(Action_Status_Map!$B$5:$B$11,MATCH($H809,Action_Status_Map!$A$5:$A$11,0)),""))</f>
        <v/>
      </c>
      <c r="J809" s="82" t="n"/>
      <c r="K809" s="82" t="n"/>
      <c r="L809" s="82" t="n"/>
      <c r="M809" s="83" t="n"/>
      <c r="N809" s="83" t="n"/>
      <c r="O809" s="66">
        <f>IF(OR($M809="",$N809=""),"",$N809-$M809)</f>
        <v/>
      </c>
      <c r="P809" s="84">
        <f>IF($J809="","",IF($L809&lt;&gt;"",$L809-$J809,TODAY()-$J809))</f>
        <v/>
      </c>
      <c r="Q809" s="85">
        <f>IF(OR($K809="",$H809="Completed",$H809="Cancelled"),"",IF(AND($K809&lt;TODAY(),$H809&lt;&gt;"Completed",$H809&lt;&gt;"Cancelled"),"Overdue","On Track"))</f>
        <v/>
      </c>
      <c r="R809" s="81" t="n"/>
      <c r="S809" s="81">
        <f>IF($B809="","",IFERROR(INDEX(Task_Tracker!$AA$5:$AA$1004,MATCH($B809,Task_Tracker!$A$5:$A$1004,0)),""))</f>
        <v/>
      </c>
      <c r="T809" s="81">
        <f>IF($B809="","",IFERROR(INDEX(Task_Tracker!$AB$5:$AB$1004,MATCH($B809,Task_Tracker!$A$5:$A$1004,0)),""))</f>
        <v/>
      </c>
      <c r="U809" s="78">
        <f>IF($B809="","",IFERROR(INDEX(Task_Tracker!$F$5:$F$1004,MATCH($B809,Task_Tracker!$A$5:$A$1004,0)),""))</f>
        <v/>
      </c>
      <c r="V809" s="78">
        <f>IF($B809="","",IFERROR(INDEX(Task_Tracker!$I$5:$I$1004,MATCH($B809,Task_Tracker!$A$5:$A$1004,0)),""))</f>
        <v/>
      </c>
      <c r="W809" s="81">
        <f>IF(OR($D809="",$B809=""),"",$D809&amp;" | "&amp;$B809)</f>
        <v/>
      </c>
      <c r="X809" s="85">
        <f>IF($K809="","",TEXT($K809,"yyyy-mm"))</f>
        <v/>
      </c>
      <c r="Y809" s="81">
        <f>IF(OR($A809="",$T809=""),"","Included in Manager_Report")</f>
        <v/>
      </c>
    </row>
    <row r="810" ht="15" customHeight="1" s="40">
      <c r="A810" s="65">
        <f>IF(COUNTA(B810:G810)=0,"","STP-"&amp;TEXT(ROW()-4,"0000"))</f>
        <v/>
      </c>
      <c r="B810" s="78" t="n"/>
      <c r="C810" s="67">
        <f>IF($B810="","",IFERROR(INDEX(Task_Tracker!$D$5:$D$1004,MATCH($B810,Task_Tracker!$A$5:$A$1004,0)),""))</f>
        <v/>
      </c>
      <c r="D810" s="67">
        <f>IF($B810="","",IFERROR(INDEX(Task_Tracker!$B$5:$B$1004,MATCH($B810,Task_Tracker!$A$5:$A$1004,0)),""))</f>
        <v/>
      </c>
      <c r="E810" s="81" t="n"/>
      <c r="F810" s="81" t="n"/>
      <c r="G810" s="78" t="n"/>
      <c r="H810" s="78" t="n"/>
      <c r="I810" s="67">
        <f>IF($H810="","",IFERROR(INDEX(Action_Status_Map!$B$5:$B$11,MATCH($H810,Action_Status_Map!$A$5:$A$11,0)),""))</f>
        <v/>
      </c>
      <c r="J810" s="82" t="n"/>
      <c r="K810" s="82" t="n"/>
      <c r="L810" s="82" t="n"/>
      <c r="M810" s="83" t="n"/>
      <c r="N810" s="83" t="n"/>
      <c r="O810" s="66">
        <f>IF(OR($M810="",$N810=""),"",$N810-$M810)</f>
        <v/>
      </c>
      <c r="P810" s="84">
        <f>IF($J810="","",IF($L810&lt;&gt;"",$L810-$J810,TODAY()-$J810))</f>
        <v/>
      </c>
      <c r="Q810" s="85">
        <f>IF(OR($K810="",$H810="Completed",$H810="Cancelled"),"",IF(AND($K810&lt;TODAY(),$H810&lt;&gt;"Completed",$H810&lt;&gt;"Cancelled"),"Overdue","On Track"))</f>
        <v/>
      </c>
      <c r="R810" s="81" t="n"/>
      <c r="S810" s="81">
        <f>IF($B810="","",IFERROR(INDEX(Task_Tracker!$AA$5:$AA$1004,MATCH($B810,Task_Tracker!$A$5:$A$1004,0)),""))</f>
        <v/>
      </c>
      <c r="T810" s="81">
        <f>IF($B810="","",IFERROR(INDEX(Task_Tracker!$AB$5:$AB$1004,MATCH($B810,Task_Tracker!$A$5:$A$1004,0)),""))</f>
        <v/>
      </c>
      <c r="U810" s="78">
        <f>IF($B810="","",IFERROR(INDEX(Task_Tracker!$F$5:$F$1004,MATCH($B810,Task_Tracker!$A$5:$A$1004,0)),""))</f>
        <v/>
      </c>
      <c r="V810" s="78">
        <f>IF($B810="","",IFERROR(INDEX(Task_Tracker!$I$5:$I$1004,MATCH($B810,Task_Tracker!$A$5:$A$1004,0)),""))</f>
        <v/>
      </c>
      <c r="W810" s="81">
        <f>IF(OR($D810="",$B810=""),"",$D810&amp;" | "&amp;$B810)</f>
        <v/>
      </c>
      <c r="X810" s="85">
        <f>IF($K810="","",TEXT($K810,"yyyy-mm"))</f>
        <v/>
      </c>
      <c r="Y810" s="81">
        <f>IF(OR($A810="",$T810=""),"","Included in Manager_Report")</f>
        <v/>
      </c>
    </row>
    <row r="811" ht="15" customHeight="1" s="40">
      <c r="A811" s="65">
        <f>IF(COUNTA(B811:G811)=0,"","STP-"&amp;TEXT(ROW()-4,"0000"))</f>
        <v/>
      </c>
      <c r="B811" s="78" t="n"/>
      <c r="C811" s="67">
        <f>IF($B811="","",IFERROR(INDEX(Task_Tracker!$D$5:$D$1004,MATCH($B811,Task_Tracker!$A$5:$A$1004,0)),""))</f>
        <v/>
      </c>
      <c r="D811" s="67">
        <f>IF($B811="","",IFERROR(INDEX(Task_Tracker!$B$5:$B$1004,MATCH($B811,Task_Tracker!$A$5:$A$1004,0)),""))</f>
        <v/>
      </c>
      <c r="E811" s="81" t="n"/>
      <c r="F811" s="81" t="n"/>
      <c r="G811" s="78" t="n"/>
      <c r="H811" s="78" t="n"/>
      <c r="I811" s="67">
        <f>IF($H811="","",IFERROR(INDEX(Action_Status_Map!$B$5:$B$11,MATCH($H811,Action_Status_Map!$A$5:$A$11,0)),""))</f>
        <v/>
      </c>
      <c r="J811" s="82" t="n"/>
      <c r="K811" s="82" t="n"/>
      <c r="L811" s="82" t="n"/>
      <c r="M811" s="83" t="n"/>
      <c r="N811" s="83" t="n"/>
      <c r="O811" s="66">
        <f>IF(OR($M811="",$N811=""),"",$N811-$M811)</f>
        <v/>
      </c>
      <c r="P811" s="84">
        <f>IF($J811="","",IF($L811&lt;&gt;"",$L811-$J811,TODAY()-$J811))</f>
        <v/>
      </c>
      <c r="Q811" s="85">
        <f>IF(OR($K811="",$H811="Completed",$H811="Cancelled"),"",IF(AND($K811&lt;TODAY(),$H811&lt;&gt;"Completed",$H811&lt;&gt;"Cancelled"),"Overdue","On Track"))</f>
        <v/>
      </c>
      <c r="R811" s="81" t="n"/>
      <c r="S811" s="81">
        <f>IF($B811="","",IFERROR(INDEX(Task_Tracker!$AA$5:$AA$1004,MATCH($B811,Task_Tracker!$A$5:$A$1004,0)),""))</f>
        <v/>
      </c>
      <c r="T811" s="81">
        <f>IF($B811="","",IFERROR(INDEX(Task_Tracker!$AB$5:$AB$1004,MATCH($B811,Task_Tracker!$A$5:$A$1004,0)),""))</f>
        <v/>
      </c>
      <c r="U811" s="78">
        <f>IF($B811="","",IFERROR(INDEX(Task_Tracker!$F$5:$F$1004,MATCH($B811,Task_Tracker!$A$5:$A$1004,0)),""))</f>
        <v/>
      </c>
      <c r="V811" s="78">
        <f>IF($B811="","",IFERROR(INDEX(Task_Tracker!$I$5:$I$1004,MATCH($B811,Task_Tracker!$A$5:$A$1004,0)),""))</f>
        <v/>
      </c>
      <c r="W811" s="81">
        <f>IF(OR($D811="",$B811=""),"",$D811&amp;" | "&amp;$B811)</f>
        <v/>
      </c>
      <c r="X811" s="85">
        <f>IF($K811="","",TEXT($K811,"yyyy-mm"))</f>
        <v/>
      </c>
      <c r="Y811" s="81">
        <f>IF(OR($A811="",$T811=""),"","Included in Manager_Report")</f>
        <v/>
      </c>
    </row>
    <row r="812" ht="15" customHeight="1" s="40">
      <c r="A812" s="65">
        <f>IF(COUNTA(B812:G812)=0,"","STP-"&amp;TEXT(ROW()-4,"0000"))</f>
        <v/>
      </c>
      <c r="B812" s="78" t="n"/>
      <c r="C812" s="67">
        <f>IF($B812="","",IFERROR(INDEX(Task_Tracker!$D$5:$D$1004,MATCH($B812,Task_Tracker!$A$5:$A$1004,0)),""))</f>
        <v/>
      </c>
      <c r="D812" s="67">
        <f>IF($B812="","",IFERROR(INDEX(Task_Tracker!$B$5:$B$1004,MATCH($B812,Task_Tracker!$A$5:$A$1004,0)),""))</f>
        <v/>
      </c>
      <c r="E812" s="81" t="n"/>
      <c r="F812" s="81" t="n"/>
      <c r="G812" s="78" t="n"/>
      <c r="H812" s="78" t="n"/>
      <c r="I812" s="67">
        <f>IF($H812="","",IFERROR(INDEX(Action_Status_Map!$B$5:$B$11,MATCH($H812,Action_Status_Map!$A$5:$A$11,0)),""))</f>
        <v/>
      </c>
      <c r="J812" s="82" t="n"/>
      <c r="K812" s="82" t="n"/>
      <c r="L812" s="82" t="n"/>
      <c r="M812" s="83" t="n"/>
      <c r="N812" s="83" t="n"/>
      <c r="O812" s="66">
        <f>IF(OR($M812="",$N812=""),"",$N812-$M812)</f>
        <v/>
      </c>
      <c r="P812" s="84">
        <f>IF($J812="","",IF($L812&lt;&gt;"",$L812-$J812,TODAY()-$J812))</f>
        <v/>
      </c>
      <c r="Q812" s="85">
        <f>IF(OR($K812="",$H812="Completed",$H812="Cancelled"),"",IF(AND($K812&lt;TODAY(),$H812&lt;&gt;"Completed",$H812&lt;&gt;"Cancelled"),"Overdue","On Track"))</f>
        <v/>
      </c>
      <c r="R812" s="81" t="n"/>
      <c r="S812" s="81">
        <f>IF($B812="","",IFERROR(INDEX(Task_Tracker!$AA$5:$AA$1004,MATCH($B812,Task_Tracker!$A$5:$A$1004,0)),""))</f>
        <v/>
      </c>
      <c r="T812" s="81">
        <f>IF($B812="","",IFERROR(INDEX(Task_Tracker!$AB$5:$AB$1004,MATCH($B812,Task_Tracker!$A$5:$A$1004,0)),""))</f>
        <v/>
      </c>
      <c r="U812" s="78">
        <f>IF($B812="","",IFERROR(INDEX(Task_Tracker!$F$5:$F$1004,MATCH($B812,Task_Tracker!$A$5:$A$1004,0)),""))</f>
        <v/>
      </c>
      <c r="V812" s="78">
        <f>IF($B812="","",IFERROR(INDEX(Task_Tracker!$I$5:$I$1004,MATCH($B812,Task_Tracker!$A$5:$A$1004,0)),""))</f>
        <v/>
      </c>
      <c r="W812" s="81">
        <f>IF(OR($D812="",$B812=""),"",$D812&amp;" | "&amp;$B812)</f>
        <v/>
      </c>
      <c r="X812" s="85">
        <f>IF($K812="","",TEXT($K812,"yyyy-mm"))</f>
        <v/>
      </c>
      <c r="Y812" s="81">
        <f>IF(OR($A812="",$T812=""),"","Included in Manager_Report")</f>
        <v/>
      </c>
    </row>
    <row r="813" ht="15" customHeight="1" s="40">
      <c r="A813" s="65">
        <f>IF(COUNTA(B813:G813)=0,"","STP-"&amp;TEXT(ROW()-4,"0000"))</f>
        <v/>
      </c>
      <c r="B813" s="78" t="n"/>
      <c r="C813" s="67">
        <f>IF($B813="","",IFERROR(INDEX(Task_Tracker!$D$5:$D$1004,MATCH($B813,Task_Tracker!$A$5:$A$1004,0)),""))</f>
        <v/>
      </c>
      <c r="D813" s="67">
        <f>IF($B813="","",IFERROR(INDEX(Task_Tracker!$B$5:$B$1004,MATCH($B813,Task_Tracker!$A$5:$A$1004,0)),""))</f>
        <v/>
      </c>
      <c r="E813" s="81" t="n"/>
      <c r="F813" s="81" t="n"/>
      <c r="G813" s="78" t="n"/>
      <c r="H813" s="78" t="n"/>
      <c r="I813" s="67">
        <f>IF($H813="","",IFERROR(INDEX(Action_Status_Map!$B$5:$B$11,MATCH($H813,Action_Status_Map!$A$5:$A$11,0)),""))</f>
        <v/>
      </c>
      <c r="J813" s="82" t="n"/>
      <c r="K813" s="82" t="n"/>
      <c r="L813" s="82" t="n"/>
      <c r="M813" s="83" t="n"/>
      <c r="N813" s="83" t="n"/>
      <c r="O813" s="66">
        <f>IF(OR($M813="",$N813=""),"",$N813-$M813)</f>
        <v/>
      </c>
      <c r="P813" s="84">
        <f>IF($J813="","",IF($L813&lt;&gt;"",$L813-$J813,TODAY()-$J813))</f>
        <v/>
      </c>
      <c r="Q813" s="85">
        <f>IF(OR($K813="",$H813="Completed",$H813="Cancelled"),"",IF(AND($K813&lt;TODAY(),$H813&lt;&gt;"Completed",$H813&lt;&gt;"Cancelled"),"Overdue","On Track"))</f>
        <v/>
      </c>
      <c r="R813" s="81" t="n"/>
      <c r="S813" s="81">
        <f>IF($B813="","",IFERROR(INDEX(Task_Tracker!$AA$5:$AA$1004,MATCH($B813,Task_Tracker!$A$5:$A$1004,0)),""))</f>
        <v/>
      </c>
      <c r="T813" s="81">
        <f>IF($B813="","",IFERROR(INDEX(Task_Tracker!$AB$5:$AB$1004,MATCH($B813,Task_Tracker!$A$5:$A$1004,0)),""))</f>
        <v/>
      </c>
      <c r="U813" s="78">
        <f>IF($B813="","",IFERROR(INDEX(Task_Tracker!$F$5:$F$1004,MATCH($B813,Task_Tracker!$A$5:$A$1004,0)),""))</f>
        <v/>
      </c>
      <c r="V813" s="78">
        <f>IF($B813="","",IFERROR(INDEX(Task_Tracker!$I$5:$I$1004,MATCH($B813,Task_Tracker!$A$5:$A$1004,0)),""))</f>
        <v/>
      </c>
      <c r="W813" s="81">
        <f>IF(OR($D813="",$B813=""),"",$D813&amp;" | "&amp;$B813)</f>
        <v/>
      </c>
      <c r="X813" s="85">
        <f>IF($K813="","",TEXT($K813,"yyyy-mm"))</f>
        <v/>
      </c>
      <c r="Y813" s="81">
        <f>IF(OR($A813="",$T813=""),"","Included in Manager_Report")</f>
        <v/>
      </c>
    </row>
    <row r="814" ht="15" customHeight="1" s="40">
      <c r="A814" s="65">
        <f>IF(COUNTA(B814:G814)=0,"","STP-"&amp;TEXT(ROW()-4,"0000"))</f>
        <v/>
      </c>
      <c r="B814" s="78" t="n"/>
      <c r="C814" s="67">
        <f>IF($B814="","",IFERROR(INDEX(Task_Tracker!$D$5:$D$1004,MATCH($B814,Task_Tracker!$A$5:$A$1004,0)),""))</f>
        <v/>
      </c>
      <c r="D814" s="67">
        <f>IF($B814="","",IFERROR(INDEX(Task_Tracker!$B$5:$B$1004,MATCH($B814,Task_Tracker!$A$5:$A$1004,0)),""))</f>
        <v/>
      </c>
      <c r="E814" s="81" t="n"/>
      <c r="F814" s="81" t="n"/>
      <c r="G814" s="78" t="n"/>
      <c r="H814" s="78" t="n"/>
      <c r="I814" s="67">
        <f>IF($H814="","",IFERROR(INDEX(Action_Status_Map!$B$5:$B$11,MATCH($H814,Action_Status_Map!$A$5:$A$11,0)),""))</f>
        <v/>
      </c>
      <c r="J814" s="82" t="n"/>
      <c r="K814" s="82" t="n"/>
      <c r="L814" s="82" t="n"/>
      <c r="M814" s="83" t="n"/>
      <c r="N814" s="83" t="n"/>
      <c r="O814" s="66">
        <f>IF(OR($M814="",$N814=""),"",$N814-$M814)</f>
        <v/>
      </c>
      <c r="P814" s="84">
        <f>IF($J814="","",IF($L814&lt;&gt;"",$L814-$J814,TODAY()-$J814))</f>
        <v/>
      </c>
      <c r="Q814" s="85">
        <f>IF(OR($K814="",$H814="Completed",$H814="Cancelled"),"",IF(AND($K814&lt;TODAY(),$H814&lt;&gt;"Completed",$H814&lt;&gt;"Cancelled"),"Overdue","On Track"))</f>
        <v/>
      </c>
      <c r="R814" s="81" t="n"/>
      <c r="S814" s="81">
        <f>IF($B814="","",IFERROR(INDEX(Task_Tracker!$AA$5:$AA$1004,MATCH($B814,Task_Tracker!$A$5:$A$1004,0)),""))</f>
        <v/>
      </c>
      <c r="T814" s="81">
        <f>IF($B814="","",IFERROR(INDEX(Task_Tracker!$AB$5:$AB$1004,MATCH($B814,Task_Tracker!$A$5:$A$1004,0)),""))</f>
        <v/>
      </c>
      <c r="U814" s="78">
        <f>IF($B814="","",IFERROR(INDEX(Task_Tracker!$F$5:$F$1004,MATCH($B814,Task_Tracker!$A$5:$A$1004,0)),""))</f>
        <v/>
      </c>
      <c r="V814" s="78">
        <f>IF($B814="","",IFERROR(INDEX(Task_Tracker!$I$5:$I$1004,MATCH($B814,Task_Tracker!$A$5:$A$1004,0)),""))</f>
        <v/>
      </c>
      <c r="W814" s="81">
        <f>IF(OR($D814="",$B814=""),"",$D814&amp;" | "&amp;$B814)</f>
        <v/>
      </c>
      <c r="X814" s="85">
        <f>IF($K814="","",TEXT($K814,"yyyy-mm"))</f>
        <v/>
      </c>
      <c r="Y814" s="81">
        <f>IF(OR($A814="",$T814=""),"","Included in Manager_Report")</f>
        <v/>
      </c>
    </row>
    <row r="815" ht="15" customHeight="1" s="40">
      <c r="A815" s="65">
        <f>IF(COUNTA(B815:G815)=0,"","STP-"&amp;TEXT(ROW()-4,"0000"))</f>
        <v/>
      </c>
      <c r="B815" s="78" t="n"/>
      <c r="C815" s="67">
        <f>IF($B815="","",IFERROR(INDEX(Task_Tracker!$D$5:$D$1004,MATCH($B815,Task_Tracker!$A$5:$A$1004,0)),""))</f>
        <v/>
      </c>
      <c r="D815" s="67">
        <f>IF($B815="","",IFERROR(INDEX(Task_Tracker!$B$5:$B$1004,MATCH($B815,Task_Tracker!$A$5:$A$1004,0)),""))</f>
        <v/>
      </c>
      <c r="E815" s="81" t="n"/>
      <c r="F815" s="81" t="n"/>
      <c r="G815" s="78" t="n"/>
      <c r="H815" s="78" t="n"/>
      <c r="I815" s="67">
        <f>IF($H815="","",IFERROR(INDEX(Action_Status_Map!$B$5:$B$11,MATCH($H815,Action_Status_Map!$A$5:$A$11,0)),""))</f>
        <v/>
      </c>
      <c r="J815" s="82" t="n"/>
      <c r="K815" s="82" t="n"/>
      <c r="L815" s="82" t="n"/>
      <c r="M815" s="83" t="n"/>
      <c r="N815" s="83" t="n"/>
      <c r="O815" s="66">
        <f>IF(OR($M815="",$N815=""),"",$N815-$M815)</f>
        <v/>
      </c>
      <c r="P815" s="84">
        <f>IF($J815="","",IF($L815&lt;&gt;"",$L815-$J815,TODAY()-$J815))</f>
        <v/>
      </c>
      <c r="Q815" s="85">
        <f>IF(OR($K815="",$H815="Completed",$H815="Cancelled"),"",IF(AND($K815&lt;TODAY(),$H815&lt;&gt;"Completed",$H815&lt;&gt;"Cancelled"),"Overdue","On Track"))</f>
        <v/>
      </c>
      <c r="R815" s="81" t="n"/>
      <c r="S815" s="81">
        <f>IF($B815="","",IFERROR(INDEX(Task_Tracker!$AA$5:$AA$1004,MATCH($B815,Task_Tracker!$A$5:$A$1004,0)),""))</f>
        <v/>
      </c>
      <c r="T815" s="81">
        <f>IF($B815="","",IFERROR(INDEX(Task_Tracker!$AB$5:$AB$1004,MATCH($B815,Task_Tracker!$A$5:$A$1004,0)),""))</f>
        <v/>
      </c>
      <c r="U815" s="78">
        <f>IF($B815="","",IFERROR(INDEX(Task_Tracker!$F$5:$F$1004,MATCH($B815,Task_Tracker!$A$5:$A$1004,0)),""))</f>
        <v/>
      </c>
      <c r="V815" s="78">
        <f>IF($B815="","",IFERROR(INDEX(Task_Tracker!$I$5:$I$1004,MATCH($B815,Task_Tracker!$A$5:$A$1004,0)),""))</f>
        <v/>
      </c>
      <c r="W815" s="81">
        <f>IF(OR($D815="",$B815=""),"",$D815&amp;" | "&amp;$B815)</f>
        <v/>
      </c>
      <c r="X815" s="85">
        <f>IF($K815="","",TEXT($K815,"yyyy-mm"))</f>
        <v/>
      </c>
      <c r="Y815" s="81">
        <f>IF(OR($A815="",$T815=""),"","Included in Manager_Report")</f>
        <v/>
      </c>
    </row>
    <row r="816" ht="15" customHeight="1" s="40">
      <c r="A816" s="65">
        <f>IF(COUNTA(B816:G816)=0,"","STP-"&amp;TEXT(ROW()-4,"0000"))</f>
        <v/>
      </c>
      <c r="B816" s="78" t="n"/>
      <c r="C816" s="67">
        <f>IF($B816="","",IFERROR(INDEX(Task_Tracker!$D$5:$D$1004,MATCH($B816,Task_Tracker!$A$5:$A$1004,0)),""))</f>
        <v/>
      </c>
      <c r="D816" s="67">
        <f>IF($B816="","",IFERROR(INDEX(Task_Tracker!$B$5:$B$1004,MATCH($B816,Task_Tracker!$A$5:$A$1004,0)),""))</f>
        <v/>
      </c>
      <c r="E816" s="81" t="n"/>
      <c r="F816" s="81" t="n"/>
      <c r="G816" s="78" t="n"/>
      <c r="H816" s="78" t="n"/>
      <c r="I816" s="67">
        <f>IF($H816="","",IFERROR(INDEX(Action_Status_Map!$B$5:$B$11,MATCH($H816,Action_Status_Map!$A$5:$A$11,0)),""))</f>
        <v/>
      </c>
      <c r="J816" s="82" t="n"/>
      <c r="K816" s="82" t="n"/>
      <c r="L816" s="82" t="n"/>
      <c r="M816" s="83" t="n"/>
      <c r="N816" s="83" t="n"/>
      <c r="O816" s="66">
        <f>IF(OR($M816="",$N816=""),"",$N816-$M816)</f>
        <v/>
      </c>
      <c r="P816" s="84">
        <f>IF($J816="","",IF($L816&lt;&gt;"",$L816-$J816,TODAY()-$J816))</f>
        <v/>
      </c>
      <c r="Q816" s="85">
        <f>IF(OR($K816="",$H816="Completed",$H816="Cancelled"),"",IF(AND($K816&lt;TODAY(),$H816&lt;&gt;"Completed",$H816&lt;&gt;"Cancelled"),"Overdue","On Track"))</f>
        <v/>
      </c>
      <c r="R816" s="81" t="n"/>
      <c r="S816" s="81">
        <f>IF($B816="","",IFERROR(INDEX(Task_Tracker!$AA$5:$AA$1004,MATCH($B816,Task_Tracker!$A$5:$A$1004,0)),""))</f>
        <v/>
      </c>
      <c r="T816" s="81">
        <f>IF($B816="","",IFERROR(INDEX(Task_Tracker!$AB$5:$AB$1004,MATCH($B816,Task_Tracker!$A$5:$A$1004,0)),""))</f>
        <v/>
      </c>
      <c r="U816" s="78">
        <f>IF($B816="","",IFERROR(INDEX(Task_Tracker!$F$5:$F$1004,MATCH($B816,Task_Tracker!$A$5:$A$1004,0)),""))</f>
        <v/>
      </c>
      <c r="V816" s="78">
        <f>IF($B816="","",IFERROR(INDEX(Task_Tracker!$I$5:$I$1004,MATCH($B816,Task_Tracker!$A$5:$A$1004,0)),""))</f>
        <v/>
      </c>
      <c r="W816" s="81">
        <f>IF(OR($D816="",$B816=""),"",$D816&amp;" | "&amp;$B816)</f>
        <v/>
      </c>
      <c r="X816" s="85">
        <f>IF($K816="","",TEXT($K816,"yyyy-mm"))</f>
        <v/>
      </c>
      <c r="Y816" s="81">
        <f>IF(OR($A816="",$T816=""),"","Included in Manager_Report")</f>
        <v/>
      </c>
    </row>
    <row r="817" ht="15" customHeight="1" s="40">
      <c r="A817" s="65">
        <f>IF(COUNTA(B817:G817)=0,"","STP-"&amp;TEXT(ROW()-4,"0000"))</f>
        <v/>
      </c>
      <c r="B817" s="78" t="n"/>
      <c r="C817" s="67">
        <f>IF($B817="","",IFERROR(INDEX(Task_Tracker!$D$5:$D$1004,MATCH($B817,Task_Tracker!$A$5:$A$1004,0)),""))</f>
        <v/>
      </c>
      <c r="D817" s="67">
        <f>IF($B817="","",IFERROR(INDEX(Task_Tracker!$B$5:$B$1004,MATCH($B817,Task_Tracker!$A$5:$A$1004,0)),""))</f>
        <v/>
      </c>
      <c r="E817" s="81" t="n"/>
      <c r="F817" s="81" t="n"/>
      <c r="G817" s="78" t="n"/>
      <c r="H817" s="78" t="n"/>
      <c r="I817" s="67">
        <f>IF($H817="","",IFERROR(INDEX(Action_Status_Map!$B$5:$B$11,MATCH($H817,Action_Status_Map!$A$5:$A$11,0)),""))</f>
        <v/>
      </c>
      <c r="J817" s="82" t="n"/>
      <c r="K817" s="82" t="n"/>
      <c r="L817" s="82" t="n"/>
      <c r="M817" s="83" t="n"/>
      <c r="N817" s="83" t="n"/>
      <c r="O817" s="66">
        <f>IF(OR($M817="",$N817=""),"",$N817-$M817)</f>
        <v/>
      </c>
      <c r="P817" s="84">
        <f>IF($J817="","",IF($L817&lt;&gt;"",$L817-$J817,TODAY()-$J817))</f>
        <v/>
      </c>
      <c r="Q817" s="85">
        <f>IF(OR($K817="",$H817="Completed",$H817="Cancelled"),"",IF(AND($K817&lt;TODAY(),$H817&lt;&gt;"Completed",$H817&lt;&gt;"Cancelled"),"Overdue","On Track"))</f>
        <v/>
      </c>
      <c r="R817" s="81" t="n"/>
      <c r="S817" s="81">
        <f>IF($B817="","",IFERROR(INDEX(Task_Tracker!$AA$5:$AA$1004,MATCH($B817,Task_Tracker!$A$5:$A$1004,0)),""))</f>
        <v/>
      </c>
      <c r="T817" s="81">
        <f>IF($B817="","",IFERROR(INDEX(Task_Tracker!$AB$5:$AB$1004,MATCH($B817,Task_Tracker!$A$5:$A$1004,0)),""))</f>
        <v/>
      </c>
      <c r="U817" s="78">
        <f>IF($B817="","",IFERROR(INDEX(Task_Tracker!$F$5:$F$1004,MATCH($B817,Task_Tracker!$A$5:$A$1004,0)),""))</f>
        <v/>
      </c>
      <c r="V817" s="78">
        <f>IF($B817="","",IFERROR(INDEX(Task_Tracker!$I$5:$I$1004,MATCH($B817,Task_Tracker!$A$5:$A$1004,0)),""))</f>
        <v/>
      </c>
      <c r="W817" s="81">
        <f>IF(OR($D817="",$B817=""),"",$D817&amp;" | "&amp;$B817)</f>
        <v/>
      </c>
      <c r="X817" s="85">
        <f>IF($K817="","",TEXT($K817,"yyyy-mm"))</f>
        <v/>
      </c>
      <c r="Y817" s="81">
        <f>IF(OR($A817="",$T817=""),"","Included in Manager_Report")</f>
        <v/>
      </c>
    </row>
    <row r="818" ht="15" customHeight="1" s="40">
      <c r="A818" s="65">
        <f>IF(COUNTA(B818:G818)=0,"","STP-"&amp;TEXT(ROW()-4,"0000"))</f>
        <v/>
      </c>
      <c r="B818" s="78" t="n"/>
      <c r="C818" s="67">
        <f>IF($B818="","",IFERROR(INDEX(Task_Tracker!$D$5:$D$1004,MATCH($B818,Task_Tracker!$A$5:$A$1004,0)),""))</f>
        <v/>
      </c>
      <c r="D818" s="67">
        <f>IF($B818="","",IFERROR(INDEX(Task_Tracker!$B$5:$B$1004,MATCH($B818,Task_Tracker!$A$5:$A$1004,0)),""))</f>
        <v/>
      </c>
      <c r="E818" s="81" t="n"/>
      <c r="F818" s="81" t="n"/>
      <c r="G818" s="78" t="n"/>
      <c r="H818" s="78" t="n"/>
      <c r="I818" s="67">
        <f>IF($H818="","",IFERROR(INDEX(Action_Status_Map!$B$5:$B$11,MATCH($H818,Action_Status_Map!$A$5:$A$11,0)),""))</f>
        <v/>
      </c>
      <c r="J818" s="82" t="n"/>
      <c r="K818" s="82" t="n"/>
      <c r="L818" s="82" t="n"/>
      <c r="M818" s="83" t="n"/>
      <c r="N818" s="83" t="n"/>
      <c r="O818" s="66">
        <f>IF(OR($M818="",$N818=""),"",$N818-$M818)</f>
        <v/>
      </c>
      <c r="P818" s="84">
        <f>IF($J818="","",IF($L818&lt;&gt;"",$L818-$J818,TODAY()-$J818))</f>
        <v/>
      </c>
      <c r="Q818" s="85">
        <f>IF(OR($K818="",$H818="Completed",$H818="Cancelled"),"",IF(AND($K818&lt;TODAY(),$H818&lt;&gt;"Completed",$H818&lt;&gt;"Cancelled"),"Overdue","On Track"))</f>
        <v/>
      </c>
      <c r="R818" s="81" t="n"/>
      <c r="S818" s="81">
        <f>IF($B818="","",IFERROR(INDEX(Task_Tracker!$AA$5:$AA$1004,MATCH($B818,Task_Tracker!$A$5:$A$1004,0)),""))</f>
        <v/>
      </c>
      <c r="T818" s="81">
        <f>IF($B818="","",IFERROR(INDEX(Task_Tracker!$AB$5:$AB$1004,MATCH($B818,Task_Tracker!$A$5:$A$1004,0)),""))</f>
        <v/>
      </c>
      <c r="U818" s="78">
        <f>IF($B818="","",IFERROR(INDEX(Task_Tracker!$F$5:$F$1004,MATCH($B818,Task_Tracker!$A$5:$A$1004,0)),""))</f>
        <v/>
      </c>
      <c r="V818" s="78">
        <f>IF($B818="","",IFERROR(INDEX(Task_Tracker!$I$5:$I$1004,MATCH($B818,Task_Tracker!$A$5:$A$1004,0)),""))</f>
        <v/>
      </c>
      <c r="W818" s="81">
        <f>IF(OR($D818="",$B818=""),"",$D818&amp;" | "&amp;$B818)</f>
        <v/>
      </c>
      <c r="X818" s="85">
        <f>IF($K818="","",TEXT($K818,"yyyy-mm"))</f>
        <v/>
      </c>
      <c r="Y818" s="81">
        <f>IF(OR($A818="",$T818=""),"","Included in Manager_Report")</f>
        <v/>
      </c>
    </row>
    <row r="819" ht="15" customHeight="1" s="40">
      <c r="A819" s="65">
        <f>IF(COUNTA(B819:G819)=0,"","STP-"&amp;TEXT(ROW()-4,"0000"))</f>
        <v/>
      </c>
      <c r="B819" s="78" t="n"/>
      <c r="C819" s="67">
        <f>IF($B819="","",IFERROR(INDEX(Task_Tracker!$D$5:$D$1004,MATCH($B819,Task_Tracker!$A$5:$A$1004,0)),""))</f>
        <v/>
      </c>
      <c r="D819" s="67">
        <f>IF($B819="","",IFERROR(INDEX(Task_Tracker!$B$5:$B$1004,MATCH($B819,Task_Tracker!$A$5:$A$1004,0)),""))</f>
        <v/>
      </c>
      <c r="E819" s="81" t="n"/>
      <c r="F819" s="81" t="n"/>
      <c r="G819" s="78" t="n"/>
      <c r="H819" s="78" t="n"/>
      <c r="I819" s="67">
        <f>IF($H819="","",IFERROR(INDEX(Action_Status_Map!$B$5:$B$11,MATCH($H819,Action_Status_Map!$A$5:$A$11,0)),""))</f>
        <v/>
      </c>
      <c r="J819" s="82" t="n"/>
      <c r="K819" s="82" t="n"/>
      <c r="L819" s="82" t="n"/>
      <c r="M819" s="83" t="n"/>
      <c r="N819" s="83" t="n"/>
      <c r="O819" s="66">
        <f>IF(OR($M819="",$N819=""),"",$N819-$M819)</f>
        <v/>
      </c>
      <c r="P819" s="84">
        <f>IF($J819="","",IF($L819&lt;&gt;"",$L819-$J819,TODAY()-$J819))</f>
        <v/>
      </c>
      <c r="Q819" s="85">
        <f>IF(OR($K819="",$H819="Completed",$H819="Cancelled"),"",IF(AND($K819&lt;TODAY(),$H819&lt;&gt;"Completed",$H819&lt;&gt;"Cancelled"),"Overdue","On Track"))</f>
        <v/>
      </c>
      <c r="R819" s="81" t="n"/>
      <c r="S819" s="81">
        <f>IF($B819="","",IFERROR(INDEX(Task_Tracker!$AA$5:$AA$1004,MATCH($B819,Task_Tracker!$A$5:$A$1004,0)),""))</f>
        <v/>
      </c>
      <c r="T819" s="81">
        <f>IF($B819="","",IFERROR(INDEX(Task_Tracker!$AB$5:$AB$1004,MATCH($B819,Task_Tracker!$A$5:$A$1004,0)),""))</f>
        <v/>
      </c>
      <c r="U819" s="78">
        <f>IF($B819="","",IFERROR(INDEX(Task_Tracker!$F$5:$F$1004,MATCH($B819,Task_Tracker!$A$5:$A$1004,0)),""))</f>
        <v/>
      </c>
      <c r="V819" s="78">
        <f>IF($B819="","",IFERROR(INDEX(Task_Tracker!$I$5:$I$1004,MATCH($B819,Task_Tracker!$A$5:$A$1004,0)),""))</f>
        <v/>
      </c>
      <c r="W819" s="81">
        <f>IF(OR($D819="",$B819=""),"",$D819&amp;" | "&amp;$B819)</f>
        <v/>
      </c>
      <c r="X819" s="85">
        <f>IF($K819="","",TEXT($K819,"yyyy-mm"))</f>
        <v/>
      </c>
      <c r="Y819" s="81">
        <f>IF(OR($A819="",$T819=""),"","Included in Manager_Report")</f>
        <v/>
      </c>
    </row>
    <row r="820" ht="15" customHeight="1" s="40">
      <c r="A820" s="65">
        <f>IF(COUNTA(B820:G820)=0,"","STP-"&amp;TEXT(ROW()-4,"0000"))</f>
        <v/>
      </c>
      <c r="B820" s="78" t="n"/>
      <c r="C820" s="67">
        <f>IF($B820="","",IFERROR(INDEX(Task_Tracker!$D$5:$D$1004,MATCH($B820,Task_Tracker!$A$5:$A$1004,0)),""))</f>
        <v/>
      </c>
      <c r="D820" s="67">
        <f>IF($B820="","",IFERROR(INDEX(Task_Tracker!$B$5:$B$1004,MATCH($B820,Task_Tracker!$A$5:$A$1004,0)),""))</f>
        <v/>
      </c>
      <c r="E820" s="81" t="n"/>
      <c r="F820" s="81" t="n"/>
      <c r="G820" s="78" t="n"/>
      <c r="H820" s="78" t="n"/>
      <c r="I820" s="67">
        <f>IF($H820="","",IFERROR(INDEX(Action_Status_Map!$B$5:$B$11,MATCH($H820,Action_Status_Map!$A$5:$A$11,0)),""))</f>
        <v/>
      </c>
      <c r="J820" s="82" t="n"/>
      <c r="K820" s="82" t="n"/>
      <c r="L820" s="82" t="n"/>
      <c r="M820" s="83" t="n"/>
      <c r="N820" s="83" t="n"/>
      <c r="O820" s="66">
        <f>IF(OR($M820="",$N820=""),"",$N820-$M820)</f>
        <v/>
      </c>
      <c r="P820" s="84">
        <f>IF($J820="","",IF($L820&lt;&gt;"",$L820-$J820,TODAY()-$J820))</f>
        <v/>
      </c>
      <c r="Q820" s="85">
        <f>IF(OR($K820="",$H820="Completed",$H820="Cancelled"),"",IF(AND($K820&lt;TODAY(),$H820&lt;&gt;"Completed",$H820&lt;&gt;"Cancelled"),"Overdue","On Track"))</f>
        <v/>
      </c>
      <c r="R820" s="81" t="n"/>
      <c r="S820" s="81">
        <f>IF($B820="","",IFERROR(INDEX(Task_Tracker!$AA$5:$AA$1004,MATCH($B820,Task_Tracker!$A$5:$A$1004,0)),""))</f>
        <v/>
      </c>
      <c r="T820" s="81">
        <f>IF($B820="","",IFERROR(INDEX(Task_Tracker!$AB$5:$AB$1004,MATCH($B820,Task_Tracker!$A$5:$A$1004,0)),""))</f>
        <v/>
      </c>
      <c r="U820" s="78">
        <f>IF($B820="","",IFERROR(INDEX(Task_Tracker!$F$5:$F$1004,MATCH($B820,Task_Tracker!$A$5:$A$1004,0)),""))</f>
        <v/>
      </c>
      <c r="V820" s="78">
        <f>IF($B820="","",IFERROR(INDEX(Task_Tracker!$I$5:$I$1004,MATCH($B820,Task_Tracker!$A$5:$A$1004,0)),""))</f>
        <v/>
      </c>
      <c r="W820" s="81">
        <f>IF(OR($D820="",$B820=""),"",$D820&amp;" | "&amp;$B820)</f>
        <v/>
      </c>
      <c r="X820" s="85">
        <f>IF($K820="","",TEXT($K820,"yyyy-mm"))</f>
        <v/>
      </c>
      <c r="Y820" s="81">
        <f>IF(OR($A820="",$T820=""),"","Included in Manager_Report")</f>
        <v/>
      </c>
    </row>
    <row r="821" ht="15" customHeight="1" s="40">
      <c r="A821" s="65">
        <f>IF(COUNTA(B821:G821)=0,"","STP-"&amp;TEXT(ROW()-4,"0000"))</f>
        <v/>
      </c>
      <c r="B821" s="78" t="n"/>
      <c r="C821" s="67">
        <f>IF($B821="","",IFERROR(INDEX(Task_Tracker!$D$5:$D$1004,MATCH($B821,Task_Tracker!$A$5:$A$1004,0)),""))</f>
        <v/>
      </c>
      <c r="D821" s="67">
        <f>IF($B821="","",IFERROR(INDEX(Task_Tracker!$B$5:$B$1004,MATCH($B821,Task_Tracker!$A$5:$A$1004,0)),""))</f>
        <v/>
      </c>
      <c r="E821" s="81" t="n"/>
      <c r="F821" s="81" t="n"/>
      <c r="G821" s="78" t="n"/>
      <c r="H821" s="78" t="n"/>
      <c r="I821" s="67">
        <f>IF($H821="","",IFERROR(INDEX(Action_Status_Map!$B$5:$B$11,MATCH($H821,Action_Status_Map!$A$5:$A$11,0)),""))</f>
        <v/>
      </c>
      <c r="J821" s="82" t="n"/>
      <c r="K821" s="82" t="n"/>
      <c r="L821" s="82" t="n"/>
      <c r="M821" s="83" t="n"/>
      <c r="N821" s="83" t="n"/>
      <c r="O821" s="66">
        <f>IF(OR($M821="",$N821=""),"",$N821-$M821)</f>
        <v/>
      </c>
      <c r="P821" s="84">
        <f>IF($J821="","",IF($L821&lt;&gt;"",$L821-$J821,TODAY()-$J821))</f>
        <v/>
      </c>
      <c r="Q821" s="85">
        <f>IF(OR($K821="",$H821="Completed",$H821="Cancelled"),"",IF(AND($K821&lt;TODAY(),$H821&lt;&gt;"Completed",$H821&lt;&gt;"Cancelled"),"Overdue","On Track"))</f>
        <v/>
      </c>
      <c r="R821" s="81" t="n"/>
      <c r="S821" s="81">
        <f>IF($B821="","",IFERROR(INDEX(Task_Tracker!$AA$5:$AA$1004,MATCH($B821,Task_Tracker!$A$5:$A$1004,0)),""))</f>
        <v/>
      </c>
      <c r="T821" s="81">
        <f>IF($B821="","",IFERROR(INDEX(Task_Tracker!$AB$5:$AB$1004,MATCH($B821,Task_Tracker!$A$5:$A$1004,0)),""))</f>
        <v/>
      </c>
      <c r="U821" s="78">
        <f>IF($B821="","",IFERROR(INDEX(Task_Tracker!$F$5:$F$1004,MATCH($B821,Task_Tracker!$A$5:$A$1004,0)),""))</f>
        <v/>
      </c>
      <c r="V821" s="78">
        <f>IF($B821="","",IFERROR(INDEX(Task_Tracker!$I$5:$I$1004,MATCH($B821,Task_Tracker!$A$5:$A$1004,0)),""))</f>
        <v/>
      </c>
      <c r="W821" s="81">
        <f>IF(OR($D821="",$B821=""),"",$D821&amp;" | "&amp;$B821)</f>
        <v/>
      </c>
      <c r="X821" s="85">
        <f>IF($K821="","",TEXT($K821,"yyyy-mm"))</f>
        <v/>
      </c>
      <c r="Y821" s="81">
        <f>IF(OR($A821="",$T821=""),"","Included in Manager_Report")</f>
        <v/>
      </c>
    </row>
    <row r="822" ht="15" customHeight="1" s="40">
      <c r="A822" s="65">
        <f>IF(COUNTA(B822:G822)=0,"","STP-"&amp;TEXT(ROW()-4,"0000"))</f>
        <v/>
      </c>
      <c r="B822" s="78" t="n"/>
      <c r="C822" s="67">
        <f>IF($B822="","",IFERROR(INDEX(Task_Tracker!$D$5:$D$1004,MATCH($B822,Task_Tracker!$A$5:$A$1004,0)),""))</f>
        <v/>
      </c>
      <c r="D822" s="67">
        <f>IF($B822="","",IFERROR(INDEX(Task_Tracker!$B$5:$B$1004,MATCH($B822,Task_Tracker!$A$5:$A$1004,0)),""))</f>
        <v/>
      </c>
      <c r="E822" s="81" t="n"/>
      <c r="F822" s="81" t="n"/>
      <c r="G822" s="78" t="n"/>
      <c r="H822" s="78" t="n"/>
      <c r="I822" s="67">
        <f>IF($H822="","",IFERROR(INDEX(Action_Status_Map!$B$5:$B$11,MATCH($H822,Action_Status_Map!$A$5:$A$11,0)),""))</f>
        <v/>
      </c>
      <c r="J822" s="82" t="n"/>
      <c r="K822" s="82" t="n"/>
      <c r="L822" s="82" t="n"/>
      <c r="M822" s="83" t="n"/>
      <c r="N822" s="83" t="n"/>
      <c r="O822" s="66">
        <f>IF(OR($M822="",$N822=""),"",$N822-$M822)</f>
        <v/>
      </c>
      <c r="P822" s="84">
        <f>IF($J822="","",IF($L822&lt;&gt;"",$L822-$J822,TODAY()-$J822))</f>
        <v/>
      </c>
      <c r="Q822" s="85">
        <f>IF(OR($K822="",$H822="Completed",$H822="Cancelled"),"",IF(AND($K822&lt;TODAY(),$H822&lt;&gt;"Completed",$H822&lt;&gt;"Cancelled"),"Overdue","On Track"))</f>
        <v/>
      </c>
      <c r="R822" s="81" t="n"/>
      <c r="S822" s="81">
        <f>IF($B822="","",IFERROR(INDEX(Task_Tracker!$AA$5:$AA$1004,MATCH($B822,Task_Tracker!$A$5:$A$1004,0)),""))</f>
        <v/>
      </c>
      <c r="T822" s="81">
        <f>IF($B822="","",IFERROR(INDEX(Task_Tracker!$AB$5:$AB$1004,MATCH($B822,Task_Tracker!$A$5:$A$1004,0)),""))</f>
        <v/>
      </c>
      <c r="U822" s="78">
        <f>IF($B822="","",IFERROR(INDEX(Task_Tracker!$F$5:$F$1004,MATCH($B822,Task_Tracker!$A$5:$A$1004,0)),""))</f>
        <v/>
      </c>
      <c r="V822" s="78">
        <f>IF($B822="","",IFERROR(INDEX(Task_Tracker!$I$5:$I$1004,MATCH($B822,Task_Tracker!$A$5:$A$1004,0)),""))</f>
        <v/>
      </c>
      <c r="W822" s="81">
        <f>IF(OR($D822="",$B822=""),"",$D822&amp;" | "&amp;$B822)</f>
        <v/>
      </c>
      <c r="X822" s="85">
        <f>IF($K822="","",TEXT($K822,"yyyy-mm"))</f>
        <v/>
      </c>
      <c r="Y822" s="81">
        <f>IF(OR($A822="",$T822=""),"","Included in Manager_Report")</f>
        <v/>
      </c>
    </row>
    <row r="823" ht="15" customHeight="1" s="40">
      <c r="A823" s="65">
        <f>IF(COUNTA(B823:G823)=0,"","STP-"&amp;TEXT(ROW()-4,"0000"))</f>
        <v/>
      </c>
      <c r="B823" s="78" t="n"/>
      <c r="C823" s="67">
        <f>IF($B823="","",IFERROR(INDEX(Task_Tracker!$D$5:$D$1004,MATCH($B823,Task_Tracker!$A$5:$A$1004,0)),""))</f>
        <v/>
      </c>
      <c r="D823" s="67">
        <f>IF($B823="","",IFERROR(INDEX(Task_Tracker!$B$5:$B$1004,MATCH($B823,Task_Tracker!$A$5:$A$1004,0)),""))</f>
        <v/>
      </c>
      <c r="E823" s="81" t="n"/>
      <c r="F823" s="81" t="n"/>
      <c r="G823" s="78" t="n"/>
      <c r="H823" s="78" t="n"/>
      <c r="I823" s="67">
        <f>IF($H823="","",IFERROR(INDEX(Action_Status_Map!$B$5:$B$11,MATCH($H823,Action_Status_Map!$A$5:$A$11,0)),""))</f>
        <v/>
      </c>
      <c r="J823" s="82" t="n"/>
      <c r="K823" s="82" t="n"/>
      <c r="L823" s="82" t="n"/>
      <c r="M823" s="83" t="n"/>
      <c r="N823" s="83" t="n"/>
      <c r="O823" s="66">
        <f>IF(OR($M823="",$N823=""),"",$N823-$M823)</f>
        <v/>
      </c>
      <c r="P823" s="84">
        <f>IF($J823="","",IF($L823&lt;&gt;"",$L823-$J823,TODAY()-$J823))</f>
        <v/>
      </c>
      <c r="Q823" s="85">
        <f>IF(OR($K823="",$H823="Completed",$H823="Cancelled"),"",IF(AND($K823&lt;TODAY(),$H823&lt;&gt;"Completed",$H823&lt;&gt;"Cancelled"),"Overdue","On Track"))</f>
        <v/>
      </c>
      <c r="R823" s="81" t="n"/>
      <c r="S823" s="81">
        <f>IF($B823="","",IFERROR(INDEX(Task_Tracker!$AA$5:$AA$1004,MATCH($B823,Task_Tracker!$A$5:$A$1004,0)),""))</f>
        <v/>
      </c>
      <c r="T823" s="81">
        <f>IF($B823="","",IFERROR(INDEX(Task_Tracker!$AB$5:$AB$1004,MATCH($B823,Task_Tracker!$A$5:$A$1004,0)),""))</f>
        <v/>
      </c>
      <c r="U823" s="78">
        <f>IF($B823="","",IFERROR(INDEX(Task_Tracker!$F$5:$F$1004,MATCH($B823,Task_Tracker!$A$5:$A$1004,0)),""))</f>
        <v/>
      </c>
      <c r="V823" s="78">
        <f>IF($B823="","",IFERROR(INDEX(Task_Tracker!$I$5:$I$1004,MATCH($B823,Task_Tracker!$A$5:$A$1004,0)),""))</f>
        <v/>
      </c>
      <c r="W823" s="81">
        <f>IF(OR($D823="",$B823=""),"",$D823&amp;" | "&amp;$B823)</f>
        <v/>
      </c>
      <c r="X823" s="85">
        <f>IF($K823="","",TEXT($K823,"yyyy-mm"))</f>
        <v/>
      </c>
      <c r="Y823" s="81">
        <f>IF(OR($A823="",$T823=""),"","Included in Manager_Report")</f>
        <v/>
      </c>
    </row>
    <row r="824" ht="15" customHeight="1" s="40">
      <c r="A824" s="65">
        <f>IF(COUNTA(B824:G824)=0,"","STP-"&amp;TEXT(ROW()-4,"0000"))</f>
        <v/>
      </c>
      <c r="B824" s="78" t="n"/>
      <c r="C824" s="67">
        <f>IF($B824="","",IFERROR(INDEX(Task_Tracker!$D$5:$D$1004,MATCH($B824,Task_Tracker!$A$5:$A$1004,0)),""))</f>
        <v/>
      </c>
      <c r="D824" s="67">
        <f>IF($B824="","",IFERROR(INDEX(Task_Tracker!$B$5:$B$1004,MATCH($B824,Task_Tracker!$A$5:$A$1004,0)),""))</f>
        <v/>
      </c>
      <c r="E824" s="81" t="n"/>
      <c r="F824" s="81" t="n"/>
      <c r="G824" s="78" t="n"/>
      <c r="H824" s="78" t="n"/>
      <c r="I824" s="67">
        <f>IF($H824="","",IFERROR(INDEX(Action_Status_Map!$B$5:$B$11,MATCH($H824,Action_Status_Map!$A$5:$A$11,0)),""))</f>
        <v/>
      </c>
      <c r="J824" s="82" t="n"/>
      <c r="K824" s="82" t="n"/>
      <c r="L824" s="82" t="n"/>
      <c r="M824" s="83" t="n"/>
      <c r="N824" s="83" t="n"/>
      <c r="O824" s="66">
        <f>IF(OR($M824="",$N824=""),"",$N824-$M824)</f>
        <v/>
      </c>
      <c r="P824" s="84">
        <f>IF($J824="","",IF($L824&lt;&gt;"",$L824-$J824,TODAY()-$J824))</f>
        <v/>
      </c>
      <c r="Q824" s="85">
        <f>IF(OR($K824="",$H824="Completed",$H824="Cancelled"),"",IF(AND($K824&lt;TODAY(),$H824&lt;&gt;"Completed",$H824&lt;&gt;"Cancelled"),"Overdue","On Track"))</f>
        <v/>
      </c>
      <c r="R824" s="81" t="n"/>
      <c r="S824" s="81">
        <f>IF($B824="","",IFERROR(INDEX(Task_Tracker!$AA$5:$AA$1004,MATCH($B824,Task_Tracker!$A$5:$A$1004,0)),""))</f>
        <v/>
      </c>
      <c r="T824" s="81">
        <f>IF($B824="","",IFERROR(INDEX(Task_Tracker!$AB$5:$AB$1004,MATCH($B824,Task_Tracker!$A$5:$A$1004,0)),""))</f>
        <v/>
      </c>
      <c r="U824" s="78">
        <f>IF($B824="","",IFERROR(INDEX(Task_Tracker!$F$5:$F$1004,MATCH($B824,Task_Tracker!$A$5:$A$1004,0)),""))</f>
        <v/>
      </c>
      <c r="V824" s="78">
        <f>IF($B824="","",IFERROR(INDEX(Task_Tracker!$I$5:$I$1004,MATCH($B824,Task_Tracker!$A$5:$A$1004,0)),""))</f>
        <v/>
      </c>
      <c r="W824" s="81">
        <f>IF(OR($D824="",$B824=""),"",$D824&amp;" | "&amp;$B824)</f>
        <v/>
      </c>
      <c r="X824" s="85">
        <f>IF($K824="","",TEXT($K824,"yyyy-mm"))</f>
        <v/>
      </c>
      <c r="Y824" s="81">
        <f>IF(OR($A824="",$T824=""),"","Included in Manager_Report")</f>
        <v/>
      </c>
    </row>
    <row r="825" ht="15" customHeight="1" s="40">
      <c r="A825" s="65">
        <f>IF(COUNTA(B825:G825)=0,"","STP-"&amp;TEXT(ROW()-4,"0000"))</f>
        <v/>
      </c>
      <c r="B825" s="78" t="n"/>
      <c r="C825" s="67">
        <f>IF($B825="","",IFERROR(INDEX(Task_Tracker!$D$5:$D$1004,MATCH($B825,Task_Tracker!$A$5:$A$1004,0)),""))</f>
        <v/>
      </c>
      <c r="D825" s="67">
        <f>IF($B825="","",IFERROR(INDEX(Task_Tracker!$B$5:$B$1004,MATCH($B825,Task_Tracker!$A$5:$A$1004,0)),""))</f>
        <v/>
      </c>
      <c r="E825" s="81" t="n"/>
      <c r="F825" s="81" t="n"/>
      <c r="G825" s="78" t="n"/>
      <c r="H825" s="78" t="n"/>
      <c r="I825" s="67">
        <f>IF($H825="","",IFERROR(INDEX(Action_Status_Map!$B$5:$B$11,MATCH($H825,Action_Status_Map!$A$5:$A$11,0)),""))</f>
        <v/>
      </c>
      <c r="J825" s="82" t="n"/>
      <c r="K825" s="82" t="n"/>
      <c r="L825" s="82" t="n"/>
      <c r="M825" s="83" t="n"/>
      <c r="N825" s="83" t="n"/>
      <c r="O825" s="66">
        <f>IF(OR($M825="",$N825=""),"",$N825-$M825)</f>
        <v/>
      </c>
      <c r="P825" s="84">
        <f>IF($J825="","",IF($L825&lt;&gt;"",$L825-$J825,TODAY()-$J825))</f>
        <v/>
      </c>
      <c r="Q825" s="85">
        <f>IF(OR($K825="",$H825="Completed",$H825="Cancelled"),"",IF(AND($K825&lt;TODAY(),$H825&lt;&gt;"Completed",$H825&lt;&gt;"Cancelled"),"Overdue","On Track"))</f>
        <v/>
      </c>
      <c r="R825" s="81" t="n"/>
      <c r="S825" s="81">
        <f>IF($B825="","",IFERROR(INDEX(Task_Tracker!$AA$5:$AA$1004,MATCH($B825,Task_Tracker!$A$5:$A$1004,0)),""))</f>
        <v/>
      </c>
      <c r="T825" s="81">
        <f>IF($B825="","",IFERROR(INDEX(Task_Tracker!$AB$5:$AB$1004,MATCH($B825,Task_Tracker!$A$5:$A$1004,0)),""))</f>
        <v/>
      </c>
      <c r="U825" s="78">
        <f>IF($B825="","",IFERROR(INDEX(Task_Tracker!$F$5:$F$1004,MATCH($B825,Task_Tracker!$A$5:$A$1004,0)),""))</f>
        <v/>
      </c>
      <c r="V825" s="78">
        <f>IF($B825="","",IFERROR(INDEX(Task_Tracker!$I$5:$I$1004,MATCH($B825,Task_Tracker!$A$5:$A$1004,0)),""))</f>
        <v/>
      </c>
      <c r="W825" s="81">
        <f>IF(OR($D825="",$B825=""),"",$D825&amp;" | "&amp;$B825)</f>
        <v/>
      </c>
      <c r="X825" s="85">
        <f>IF($K825="","",TEXT($K825,"yyyy-mm"))</f>
        <v/>
      </c>
      <c r="Y825" s="81">
        <f>IF(OR($A825="",$T825=""),"","Included in Manager_Report")</f>
        <v/>
      </c>
    </row>
    <row r="826" ht="15" customHeight="1" s="40">
      <c r="A826" s="65">
        <f>IF(COUNTA(B826:G826)=0,"","STP-"&amp;TEXT(ROW()-4,"0000"))</f>
        <v/>
      </c>
      <c r="B826" s="78" t="n"/>
      <c r="C826" s="67">
        <f>IF($B826="","",IFERROR(INDEX(Task_Tracker!$D$5:$D$1004,MATCH($B826,Task_Tracker!$A$5:$A$1004,0)),""))</f>
        <v/>
      </c>
      <c r="D826" s="67">
        <f>IF($B826="","",IFERROR(INDEX(Task_Tracker!$B$5:$B$1004,MATCH($B826,Task_Tracker!$A$5:$A$1004,0)),""))</f>
        <v/>
      </c>
      <c r="E826" s="81" t="n"/>
      <c r="F826" s="81" t="n"/>
      <c r="G826" s="78" t="n"/>
      <c r="H826" s="78" t="n"/>
      <c r="I826" s="67">
        <f>IF($H826="","",IFERROR(INDEX(Action_Status_Map!$B$5:$B$11,MATCH($H826,Action_Status_Map!$A$5:$A$11,0)),""))</f>
        <v/>
      </c>
      <c r="J826" s="82" t="n"/>
      <c r="K826" s="82" t="n"/>
      <c r="L826" s="82" t="n"/>
      <c r="M826" s="83" t="n"/>
      <c r="N826" s="83" t="n"/>
      <c r="O826" s="66">
        <f>IF(OR($M826="",$N826=""),"",$N826-$M826)</f>
        <v/>
      </c>
      <c r="P826" s="84">
        <f>IF($J826="","",IF($L826&lt;&gt;"",$L826-$J826,TODAY()-$J826))</f>
        <v/>
      </c>
      <c r="Q826" s="85">
        <f>IF(OR($K826="",$H826="Completed",$H826="Cancelled"),"",IF(AND($K826&lt;TODAY(),$H826&lt;&gt;"Completed",$H826&lt;&gt;"Cancelled"),"Overdue","On Track"))</f>
        <v/>
      </c>
      <c r="R826" s="81" t="n"/>
      <c r="S826" s="81">
        <f>IF($B826="","",IFERROR(INDEX(Task_Tracker!$AA$5:$AA$1004,MATCH($B826,Task_Tracker!$A$5:$A$1004,0)),""))</f>
        <v/>
      </c>
      <c r="T826" s="81">
        <f>IF($B826="","",IFERROR(INDEX(Task_Tracker!$AB$5:$AB$1004,MATCH($B826,Task_Tracker!$A$5:$A$1004,0)),""))</f>
        <v/>
      </c>
      <c r="U826" s="78">
        <f>IF($B826="","",IFERROR(INDEX(Task_Tracker!$F$5:$F$1004,MATCH($B826,Task_Tracker!$A$5:$A$1004,0)),""))</f>
        <v/>
      </c>
      <c r="V826" s="78">
        <f>IF($B826="","",IFERROR(INDEX(Task_Tracker!$I$5:$I$1004,MATCH($B826,Task_Tracker!$A$5:$A$1004,0)),""))</f>
        <v/>
      </c>
      <c r="W826" s="81">
        <f>IF(OR($D826="",$B826=""),"",$D826&amp;" | "&amp;$B826)</f>
        <v/>
      </c>
      <c r="X826" s="85">
        <f>IF($K826="","",TEXT($K826,"yyyy-mm"))</f>
        <v/>
      </c>
      <c r="Y826" s="81">
        <f>IF(OR($A826="",$T826=""),"","Included in Manager_Report")</f>
        <v/>
      </c>
    </row>
    <row r="827" ht="15" customHeight="1" s="40">
      <c r="A827" s="65">
        <f>IF(COUNTA(B827:G827)=0,"","STP-"&amp;TEXT(ROW()-4,"0000"))</f>
        <v/>
      </c>
      <c r="B827" s="78" t="n"/>
      <c r="C827" s="67">
        <f>IF($B827="","",IFERROR(INDEX(Task_Tracker!$D$5:$D$1004,MATCH($B827,Task_Tracker!$A$5:$A$1004,0)),""))</f>
        <v/>
      </c>
      <c r="D827" s="67">
        <f>IF($B827="","",IFERROR(INDEX(Task_Tracker!$B$5:$B$1004,MATCH($B827,Task_Tracker!$A$5:$A$1004,0)),""))</f>
        <v/>
      </c>
      <c r="E827" s="81" t="n"/>
      <c r="F827" s="81" t="n"/>
      <c r="G827" s="78" t="n"/>
      <c r="H827" s="78" t="n"/>
      <c r="I827" s="67">
        <f>IF($H827="","",IFERROR(INDEX(Action_Status_Map!$B$5:$B$11,MATCH($H827,Action_Status_Map!$A$5:$A$11,0)),""))</f>
        <v/>
      </c>
      <c r="J827" s="82" t="n"/>
      <c r="K827" s="82" t="n"/>
      <c r="L827" s="82" t="n"/>
      <c r="M827" s="83" t="n"/>
      <c r="N827" s="83" t="n"/>
      <c r="O827" s="66">
        <f>IF(OR($M827="",$N827=""),"",$N827-$M827)</f>
        <v/>
      </c>
      <c r="P827" s="84">
        <f>IF($J827="","",IF($L827&lt;&gt;"",$L827-$J827,TODAY()-$J827))</f>
        <v/>
      </c>
      <c r="Q827" s="85">
        <f>IF(OR($K827="",$H827="Completed",$H827="Cancelled"),"",IF(AND($K827&lt;TODAY(),$H827&lt;&gt;"Completed",$H827&lt;&gt;"Cancelled"),"Overdue","On Track"))</f>
        <v/>
      </c>
      <c r="R827" s="81" t="n"/>
      <c r="S827" s="81">
        <f>IF($B827="","",IFERROR(INDEX(Task_Tracker!$AA$5:$AA$1004,MATCH($B827,Task_Tracker!$A$5:$A$1004,0)),""))</f>
        <v/>
      </c>
      <c r="T827" s="81">
        <f>IF($B827="","",IFERROR(INDEX(Task_Tracker!$AB$5:$AB$1004,MATCH($B827,Task_Tracker!$A$5:$A$1004,0)),""))</f>
        <v/>
      </c>
      <c r="U827" s="78">
        <f>IF($B827="","",IFERROR(INDEX(Task_Tracker!$F$5:$F$1004,MATCH($B827,Task_Tracker!$A$5:$A$1004,0)),""))</f>
        <v/>
      </c>
      <c r="V827" s="78">
        <f>IF($B827="","",IFERROR(INDEX(Task_Tracker!$I$5:$I$1004,MATCH($B827,Task_Tracker!$A$5:$A$1004,0)),""))</f>
        <v/>
      </c>
      <c r="W827" s="81">
        <f>IF(OR($D827="",$B827=""),"",$D827&amp;" | "&amp;$B827)</f>
        <v/>
      </c>
      <c r="X827" s="85">
        <f>IF($K827="","",TEXT($K827,"yyyy-mm"))</f>
        <v/>
      </c>
      <c r="Y827" s="81">
        <f>IF(OR($A827="",$T827=""),"","Included in Manager_Report")</f>
        <v/>
      </c>
    </row>
    <row r="828" ht="15" customHeight="1" s="40">
      <c r="A828" s="65">
        <f>IF(COUNTA(B828:G828)=0,"","STP-"&amp;TEXT(ROW()-4,"0000"))</f>
        <v/>
      </c>
      <c r="B828" s="78" t="n"/>
      <c r="C828" s="67">
        <f>IF($B828="","",IFERROR(INDEX(Task_Tracker!$D$5:$D$1004,MATCH($B828,Task_Tracker!$A$5:$A$1004,0)),""))</f>
        <v/>
      </c>
      <c r="D828" s="67">
        <f>IF($B828="","",IFERROR(INDEX(Task_Tracker!$B$5:$B$1004,MATCH($B828,Task_Tracker!$A$5:$A$1004,0)),""))</f>
        <v/>
      </c>
      <c r="E828" s="81" t="n"/>
      <c r="F828" s="81" t="n"/>
      <c r="G828" s="78" t="n"/>
      <c r="H828" s="78" t="n"/>
      <c r="I828" s="67">
        <f>IF($H828="","",IFERROR(INDEX(Action_Status_Map!$B$5:$B$11,MATCH($H828,Action_Status_Map!$A$5:$A$11,0)),""))</f>
        <v/>
      </c>
      <c r="J828" s="82" t="n"/>
      <c r="K828" s="82" t="n"/>
      <c r="L828" s="82" t="n"/>
      <c r="M828" s="83" t="n"/>
      <c r="N828" s="83" t="n"/>
      <c r="O828" s="66">
        <f>IF(OR($M828="",$N828=""),"",$N828-$M828)</f>
        <v/>
      </c>
      <c r="P828" s="84">
        <f>IF($J828="","",IF($L828&lt;&gt;"",$L828-$J828,TODAY()-$J828))</f>
        <v/>
      </c>
      <c r="Q828" s="85">
        <f>IF(OR($K828="",$H828="Completed",$H828="Cancelled"),"",IF(AND($K828&lt;TODAY(),$H828&lt;&gt;"Completed",$H828&lt;&gt;"Cancelled"),"Overdue","On Track"))</f>
        <v/>
      </c>
      <c r="R828" s="81" t="n"/>
      <c r="S828" s="81">
        <f>IF($B828="","",IFERROR(INDEX(Task_Tracker!$AA$5:$AA$1004,MATCH($B828,Task_Tracker!$A$5:$A$1004,0)),""))</f>
        <v/>
      </c>
      <c r="T828" s="81">
        <f>IF($B828="","",IFERROR(INDEX(Task_Tracker!$AB$5:$AB$1004,MATCH($B828,Task_Tracker!$A$5:$A$1004,0)),""))</f>
        <v/>
      </c>
      <c r="U828" s="78">
        <f>IF($B828="","",IFERROR(INDEX(Task_Tracker!$F$5:$F$1004,MATCH($B828,Task_Tracker!$A$5:$A$1004,0)),""))</f>
        <v/>
      </c>
      <c r="V828" s="78">
        <f>IF($B828="","",IFERROR(INDEX(Task_Tracker!$I$5:$I$1004,MATCH($B828,Task_Tracker!$A$5:$A$1004,0)),""))</f>
        <v/>
      </c>
      <c r="W828" s="81">
        <f>IF(OR($D828="",$B828=""),"",$D828&amp;" | "&amp;$B828)</f>
        <v/>
      </c>
      <c r="X828" s="85">
        <f>IF($K828="","",TEXT($K828,"yyyy-mm"))</f>
        <v/>
      </c>
      <c r="Y828" s="81">
        <f>IF(OR($A828="",$T828=""),"","Included in Manager_Report")</f>
        <v/>
      </c>
    </row>
    <row r="829" ht="15" customHeight="1" s="40">
      <c r="A829" s="65">
        <f>IF(COUNTA(B829:G829)=0,"","STP-"&amp;TEXT(ROW()-4,"0000"))</f>
        <v/>
      </c>
      <c r="B829" s="78" t="n"/>
      <c r="C829" s="67">
        <f>IF($B829="","",IFERROR(INDEX(Task_Tracker!$D$5:$D$1004,MATCH($B829,Task_Tracker!$A$5:$A$1004,0)),""))</f>
        <v/>
      </c>
      <c r="D829" s="67">
        <f>IF($B829="","",IFERROR(INDEX(Task_Tracker!$B$5:$B$1004,MATCH($B829,Task_Tracker!$A$5:$A$1004,0)),""))</f>
        <v/>
      </c>
      <c r="E829" s="81" t="n"/>
      <c r="F829" s="81" t="n"/>
      <c r="G829" s="78" t="n"/>
      <c r="H829" s="78" t="n"/>
      <c r="I829" s="67">
        <f>IF($H829="","",IFERROR(INDEX(Action_Status_Map!$B$5:$B$11,MATCH($H829,Action_Status_Map!$A$5:$A$11,0)),""))</f>
        <v/>
      </c>
      <c r="J829" s="82" t="n"/>
      <c r="K829" s="82" t="n"/>
      <c r="L829" s="82" t="n"/>
      <c r="M829" s="83" t="n"/>
      <c r="N829" s="83" t="n"/>
      <c r="O829" s="66">
        <f>IF(OR($M829="",$N829=""),"",$N829-$M829)</f>
        <v/>
      </c>
      <c r="P829" s="84">
        <f>IF($J829="","",IF($L829&lt;&gt;"",$L829-$J829,TODAY()-$J829))</f>
        <v/>
      </c>
      <c r="Q829" s="85">
        <f>IF(OR($K829="",$H829="Completed",$H829="Cancelled"),"",IF(AND($K829&lt;TODAY(),$H829&lt;&gt;"Completed",$H829&lt;&gt;"Cancelled"),"Overdue","On Track"))</f>
        <v/>
      </c>
      <c r="R829" s="81" t="n"/>
      <c r="S829" s="81">
        <f>IF($B829="","",IFERROR(INDEX(Task_Tracker!$AA$5:$AA$1004,MATCH($B829,Task_Tracker!$A$5:$A$1004,0)),""))</f>
        <v/>
      </c>
      <c r="T829" s="81">
        <f>IF($B829="","",IFERROR(INDEX(Task_Tracker!$AB$5:$AB$1004,MATCH($B829,Task_Tracker!$A$5:$A$1004,0)),""))</f>
        <v/>
      </c>
      <c r="U829" s="78">
        <f>IF($B829="","",IFERROR(INDEX(Task_Tracker!$F$5:$F$1004,MATCH($B829,Task_Tracker!$A$5:$A$1004,0)),""))</f>
        <v/>
      </c>
      <c r="V829" s="78">
        <f>IF($B829="","",IFERROR(INDEX(Task_Tracker!$I$5:$I$1004,MATCH($B829,Task_Tracker!$A$5:$A$1004,0)),""))</f>
        <v/>
      </c>
      <c r="W829" s="81">
        <f>IF(OR($D829="",$B829=""),"",$D829&amp;" | "&amp;$B829)</f>
        <v/>
      </c>
      <c r="X829" s="85">
        <f>IF($K829="","",TEXT($K829,"yyyy-mm"))</f>
        <v/>
      </c>
      <c r="Y829" s="81">
        <f>IF(OR($A829="",$T829=""),"","Included in Manager_Report")</f>
        <v/>
      </c>
    </row>
    <row r="830" ht="15" customHeight="1" s="40">
      <c r="A830" s="65">
        <f>IF(COUNTA(B830:G830)=0,"","STP-"&amp;TEXT(ROW()-4,"0000"))</f>
        <v/>
      </c>
      <c r="B830" s="78" t="n"/>
      <c r="C830" s="67">
        <f>IF($B830="","",IFERROR(INDEX(Task_Tracker!$D$5:$D$1004,MATCH($B830,Task_Tracker!$A$5:$A$1004,0)),""))</f>
        <v/>
      </c>
      <c r="D830" s="67">
        <f>IF($B830="","",IFERROR(INDEX(Task_Tracker!$B$5:$B$1004,MATCH($B830,Task_Tracker!$A$5:$A$1004,0)),""))</f>
        <v/>
      </c>
      <c r="E830" s="81" t="n"/>
      <c r="F830" s="81" t="n"/>
      <c r="G830" s="78" t="n"/>
      <c r="H830" s="78" t="n"/>
      <c r="I830" s="67">
        <f>IF($H830="","",IFERROR(INDEX(Action_Status_Map!$B$5:$B$11,MATCH($H830,Action_Status_Map!$A$5:$A$11,0)),""))</f>
        <v/>
      </c>
      <c r="J830" s="82" t="n"/>
      <c r="K830" s="82" t="n"/>
      <c r="L830" s="82" t="n"/>
      <c r="M830" s="83" t="n"/>
      <c r="N830" s="83" t="n"/>
      <c r="O830" s="66">
        <f>IF(OR($M830="",$N830=""),"",$N830-$M830)</f>
        <v/>
      </c>
      <c r="P830" s="84">
        <f>IF($J830="","",IF($L830&lt;&gt;"",$L830-$J830,TODAY()-$J830))</f>
        <v/>
      </c>
      <c r="Q830" s="85">
        <f>IF(OR($K830="",$H830="Completed",$H830="Cancelled"),"",IF(AND($K830&lt;TODAY(),$H830&lt;&gt;"Completed",$H830&lt;&gt;"Cancelled"),"Overdue","On Track"))</f>
        <v/>
      </c>
      <c r="R830" s="81" t="n"/>
      <c r="S830" s="81">
        <f>IF($B830="","",IFERROR(INDEX(Task_Tracker!$AA$5:$AA$1004,MATCH($B830,Task_Tracker!$A$5:$A$1004,0)),""))</f>
        <v/>
      </c>
      <c r="T830" s="81">
        <f>IF($B830="","",IFERROR(INDEX(Task_Tracker!$AB$5:$AB$1004,MATCH($B830,Task_Tracker!$A$5:$A$1004,0)),""))</f>
        <v/>
      </c>
      <c r="U830" s="78">
        <f>IF($B830="","",IFERROR(INDEX(Task_Tracker!$F$5:$F$1004,MATCH($B830,Task_Tracker!$A$5:$A$1004,0)),""))</f>
        <v/>
      </c>
      <c r="V830" s="78">
        <f>IF($B830="","",IFERROR(INDEX(Task_Tracker!$I$5:$I$1004,MATCH($B830,Task_Tracker!$A$5:$A$1004,0)),""))</f>
        <v/>
      </c>
      <c r="W830" s="81">
        <f>IF(OR($D830="",$B830=""),"",$D830&amp;" | "&amp;$B830)</f>
        <v/>
      </c>
      <c r="X830" s="85">
        <f>IF($K830="","",TEXT($K830,"yyyy-mm"))</f>
        <v/>
      </c>
      <c r="Y830" s="81">
        <f>IF(OR($A830="",$T830=""),"","Included in Manager_Report")</f>
        <v/>
      </c>
    </row>
    <row r="831" ht="15" customHeight="1" s="40">
      <c r="A831" s="65">
        <f>IF(COUNTA(B831:G831)=0,"","STP-"&amp;TEXT(ROW()-4,"0000"))</f>
        <v/>
      </c>
      <c r="B831" s="78" t="n"/>
      <c r="C831" s="67">
        <f>IF($B831="","",IFERROR(INDEX(Task_Tracker!$D$5:$D$1004,MATCH($B831,Task_Tracker!$A$5:$A$1004,0)),""))</f>
        <v/>
      </c>
      <c r="D831" s="67">
        <f>IF($B831="","",IFERROR(INDEX(Task_Tracker!$B$5:$B$1004,MATCH($B831,Task_Tracker!$A$5:$A$1004,0)),""))</f>
        <v/>
      </c>
      <c r="E831" s="81" t="n"/>
      <c r="F831" s="81" t="n"/>
      <c r="G831" s="78" t="n"/>
      <c r="H831" s="78" t="n"/>
      <c r="I831" s="67">
        <f>IF($H831="","",IFERROR(INDEX(Action_Status_Map!$B$5:$B$11,MATCH($H831,Action_Status_Map!$A$5:$A$11,0)),""))</f>
        <v/>
      </c>
      <c r="J831" s="82" t="n"/>
      <c r="K831" s="82" t="n"/>
      <c r="L831" s="82" t="n"/>
      <c r="M831" s="83" t="n"/>
      <c r="N831" s="83" t="n"/>
      <c r="O831" s="66">
        <f>IF(OR($M831="",$N831=""),"",$N831-$M831)</f>
        <v/>
      </c>
      <c r="P831" s="84">
        <f>IF($J831="","",IF($L831&lt;&gt;"",$L831-$J831,TODAY()-$J831))</f>
        <v/>
      </c>
      <c r="Q831" s="85">
        <f>IF(OR($K831="",$H831="Completed",$H831="Cancelled"),"",IF(AND($K831&lt;TODAY(),$H831&lt;&gt;"Completed",$H831&lt;&gt;"Cancelled"),"Overdue","On Track"))</f>
        <v/>
      </c>
      <c r="R831" s="81" t="n"/>
      <c r="S831" s="81">
        <f>IF($B831="","",IFERROR(INDEX(Task_Tracker!$AA$5:$AA$1004,MATCH($B831,Task_Tracker!$A$5:$A$1004,0)),""))</f>
        <v/>
      </c>
      <c r="T831" s="81">
        <f>IF($B831="","",IFERROR(INDEX(Task_Tracker!$AB$5:$AB$1004,MATCH($B831,Task_Tracker!$A$5:$A$1004,0)),""))</f>
        <v/>
      </c>
      <c r="U831" s="78">
        <f>IF($B831="","",IFERROR(INDEX(Task_Tracker!$F$5:$F$1004,MATCH($B831,Task_Tracker!$A$5:$A$1004,0)),""))</f>
        <v/>
      </c>
      <c r="V831" s="78">
        <f>IF($B831="","",IFERROR(INDEX(Task_Tracker!$I$5:$I$1004,MATCH($B831,Task_Tracker!$A$5:$A$1004,0)),""))</f>
        <v/>
      </c>
      <c r="W831" s="81">
        <f>IF(OR($D831="",$B831=""),"",$D831&amp;" | "&amp;$B831)</f>
        <v/>
      </c>
      <c r="X831" s="85">
        <f>IF($K831="","",TEXT($K831,"yyyy-mm"))</f>
        <v/>
      </c>
      <c r="Y831" s="81">
        <f>IF(OR($A831="",$T831=""),"","Included in Manager_Report")</f>
        <v/>
      </c>
    </row>
    <row r="832" ht="15" customHeight="1" s="40">
      <c r="A832" s="65">
        <f>IF(COUNTA(B832:G832)=0,"","STP-"&amp;TEXT(ROW()-4,"0000"))</f>
        <v/>
      </c>
      <c r="B832" s="78" t="n"/>
      <c r="C832" s="67">
        <f>IF($B832="","",IFERROR(INDEX(Task_Tracker!$D$5:$D$1004,MATCH($B832,Task_Tracker!$A$5:$A$1004,0)),""))</f>
        <v/>
      </c>
      <c r="D832" s="67">
        <f>IF($B832="","",IFERROR(INDEX(Task_Tracker!$B$5:$B$1004,MATCH($B832,Task_Tracker!$A$5:$A$1004,0)),""))</f>
        <v/>
      </c>
      <c r="E832" s="81" t="n"/>
      <c r="F832" s="81" t="n"/>
      <c r="G832" s="78" t="n"/>
      <c r="H832" s="78" t="n"/>
      <c r="I832" s="67">
        <f>IF($H832="","",IFERROR(INDEX(Action_Status_Map!$B$5:$B$11,MATCH($H832,Action_Status_Map!$A$5:$A$11,0)),""))</f>
        <v/>
      </c>
      <c r="J832" s="82" t="n"/>
      <c r="K832" s="82" t="n"/>
      <c r="L832" s="82" t="n"/>
      <c r="M832" s="83" t="n"/>
      <c r="N832" s="83" t="n"/>
      <c r="O832" s="66">
        <f>IF(OR($M832="",$N832=""),"",$N832-$M832)</f>
        <v/>
      </c>
      <c r="P832" s="84">
        <f>IF($J832="","",IF($L832&lt;&gt;"",$L832-$J832,TODAY()-$J832))</f>
        <v/>
      </c>
      <c r="Q832" s="85">
        <f>IF(OR($K832="",$H832="Completed",$H832="Cancelled"),"",IF(AND($K832&lt;TODAY(),$H832&lt;&gt;"Completed",$H832&lt;&gt;"Cancelled"),"Overdue","On Track"))</f>
        <v/>
      </c>
      <c r="R832" s="81" t="n"/>
      <c r="S832" s="81">
        <f>IF($B832="","",IFERROR(INDEX(Task_Tracker!$AA$5:$AA$1004,MATCH($B832,Task_Tracker!$A$5:$A$1004,0)),""))</f>
        <v/>
      </c>
      <c r="T832" s="81">
        <f>IF($B832="","",IFERROR(INDEX(Task_Tracker!$AB$5:$AB$1004,MATCH($B832,Task_Tracker!$A$5:$A$1004,0)),""))</f>
        <v/>
      </c>
      <c r="U832" s="78">
        <f>IF($B832="","",IFERROR(INDEX(Task_Tracker!$F$5:$F$1004,MATCH($B832,Task_Tracker!$A$5:$A$1004,0)),""))</f>
        <v/>
      </c>
      <c r="V832" s="78">
        <f>IF($B832="","",IFERROR(INDEX(Task_Tracker!$I$5:$I$1004,MATCH($B832,Task_Tracker!$A$5:$A$1004,0)),""))</f>
        <v/>
      </c>
      <c r="W832" s="81">
        <f>IF(OR($D832="",$B832=""),"",$D832&amp;" | "&amp;$B832)</f>
        <v/>
      </c>
      <c r="X832" s="85">
        <f>IF($K832="","",TEXT($K832,"yyyy-mm"))</f>
        <v/>
      </c>
      <c r="Y832" s="81">
        <f>IF(OR($A832="",$T832=""),"","Included in Manager_Report")</f>
        <v/>
      </c>
    </row>
    <row r="833" ht="15" customHeight="1" s="40">
      <c r="A833" s="65">
        <f>IF(COUNTA(B833:G833)=0,"","STP-"&amp;TEXT(ROW()-4,"0000"))</f>
        <v/>
      </c>
      <c r="B833" s="78" t="n"/>
      <c r="C833" s="67">
        <f>IF($B833="","",IFERROR(INDEX(Task_Tracker!$D$5:$D$1004,MATCH($B833,Task_Tracker!$A$5:$A$1004,0)),""))</f>
        <v/>
      </c>
      <c r="D833" s="67">
        <f>IF($B833="","",IFERROR(INDEX(Task_Tracker!$B$5:$B$1004,MATCH($B833,Task_Tracker!$A$5:$A$1004,0)),""))</f>
        <v/>
      </c>
      <c r="E833" s="81" t="n"/>
      <c r="F833" s="81" t="n"/>
      <c r="G833" s="78" t="n"/>
      <c r="H833" s="78" t="n"/>
      <c r="I833" s="67">
        <f>IF($H833="","",IFERROR(INDEX(Action_Status_Map!$B$5:$B$11,MATCH($H833,Action_Status_Map!$A$5:$A$11,0)),""))</f>
        <v/>
      </c>
      <c r="J833" s="82" t="n"/>
      <c r="K833" s="82" t="n"/>
      <c r="L833" s="82" t="n"/>
      <c r="M833" s="83" t="n"/>
      <c r="N833" s="83" t="n"/>
      <c r="O833" s="66">
        <f>IF(OR($M833="",$N833=""),"",$N833-$M833)</f>
        <v/>
      </c>
      <c r="P833" s="84">
        <f>IF($J833="","",IF($L833&lt;&gt;"",$L833-$J833,TODAY()-$J833))</f>
        <v/>
      </c>
      <c r="Q833" s="85">
        <f>IF(OR($K833="",$H833="Completed",$H833="Cancelled"),"",IF(AND($K833&lt;TODAY(),$H833&lt;&gt;"Completed",$H833&lt;&gt;"Cancelled"),"Overdue","On Track"))</f>
        <v/>
      </c>
      <c r="R833" s="81" t="n"/>
      <c r="S833" s="81">
        <f>IF($B833="","",IFERROR(INDEX(Task_Tracker!$AA$5:$AA$1004,MATCH($B833,Task_Tracker!$A$5:$A$1004,0)),""))</f>
        <v/>
      </c>
      <c r="T833" s="81">
        <f>IF($B833="","",IFERROR(INDEX(Task_Tracker!$AB$5:$AB$1004,MATCH($B833,Task_Tracker!$A$5:$A$1004,0)),""))</f>
        <v/>
      </c>
      <c r="U833" s="78">
        <f>IF($B833="","",IFERROR(INDEX(Task_Tracker!$F$5:$F$1004,MATCH($B833,Task_Tracker!$A$5:$A$1004,0)),""))</f>
        <v/>
      </c>
      <c r="V833" s="78">
        <f>IF($B833="","",IFERROR(INDEX(Task_Tracker!$I$5:$I$1004,MATCH($B833,Task_Tracker!$A$5:$A$1004,0)),""))</f>
        <v/>
      </c>
      <c r="W833" s="81">
        <f>IF(OR($D833="",$B833=""),"",$D833&amp;" | "&amp;$B833)</f>
        <v/>
      </c>
      <c r="X833" s="85">
        <f>IF($K833="","",TEXT($K833,"yyyy-mm"))</f>
        <v/>
      </c>
      <c r="Y833" s="81">
        <f>IF(OR($A833="",$T833=""),"","Included in Manager_Report")</f>
        <v/>
      </c>
    </row>
    <row r="834" ht="15" customHeight="1" s="40">
      <c r="A834" s="65">
        <f>IF(COUNTA(B834:G834)=0,"","STP-"&amp;TEXT(ROW()-4,"0000"))</f>
        <v/>
      </c>
      <c r="B834" s="78" t="n"/>
      <c r="C834" s="67">
        <f>IF($B834="","",IFERROR(INDEX(Task_Tracker!$D$5:$D$1004,MATCH($B834,Task_Tracker!$A$5:$A$1004,0)),""))</f>
        <v/>
      </c>
      <c r="D834" s="67">
        <f>IF($B834="","",IFERROR(INDEX(Task_Tracker!$B$5:$B$1004,MATCH($B834,Task_Tracker!$A$5:$A$1004,0)),""))</f>
        <v/>
      </c>
      <c r="E834" s="81" t="n"/>
      <c r="F834" s="81" t="n"/>
      <c r="G834" s="78" t="n"/>
      <c r="H834" s="78" t="n"/>
      <c r="I834" s="67">
        <f>IF($H834="","",IFERROR(INDEX(Action_Status_Map!$B$5:$B$11,MATCH($H834,Action_Status_Map!$A$5:$A$11,0)),""))</f>
        <v/>
      </c>
      <c r="J834" s="82" t="n"/>
      <c r="K834" s="82" t="n"/>
      <c r="L834" s="82" t="n"/>
      <c r="M834" s="83" t="n"/>
      <c r="N834" s="83" t="n"/>
      <c r="O834" s="66">
        <f>IF(OR($M834="",$N834=""),"",$N834-$M834)</f>
        <v/>
      </c>
      <c r="P834" s="84">
        <f>IF($J834="","",IF($L834&lt;&gt;"",$L834-$J834,TODAY()-$J834))</f>
        <v/>
      </c>
      <c r="Q834" s="85">
        <f>IF(OR($K834="",$H834="Completed",$H834="Cancelled"),"",IF(AND($K834&lt;TODAY(),$H834&lt;&gt;"Completed",$H834&lt;&gt;"Cancelled"),"Overdue","On Track"))</f>
        <v/>
      </c>
      <c r="R834" s="81" t="n"/>
      <c r="S834" s="81">
        <f>IF($B834="","",IFERROR(INDEX(Task_Tracker!$AA$5:$AA$1004,MATCH($B834,Task_Tracker!$A$5:$A$1004,0)),""))</f>
        <v/>
      </c>
      <c r="T834" s="81">
        <f>IF($B834="","",IFERROR(INDEX(Task_Tracker!$AB$5:$AB$1004,MATCH($B834,Task_Tracker!$A$5:$A$1004,0)),""))</f>
        <v/>
      </c>
      <c r="U834" s="78">
        <f>IF($B834="","",IFERROR(INDEX(Task_Tracker!$F$5:$F$1004,MATCH($B834,Task_Tracker!$A$5:$A$1004,0)),""))</f>
        <v/>
      </c>
      <c r="V834" s="78">
        <f>IF($B834="","",IFERROR(INDEX(Task_Tracker!$I$5:$I$1004,MATCH($B834,Task_Tracker!$A$5:$A$1004,0)),""))</f>
        <v/>
      </c>
      <c r="W834" s="81">
        <f>IF(OR($D834="",$B834=""),"",$D834&amp;" | "&amp;$B834)</f>
        <v/>
      </c>
      <c r="X834" s="85">
        <f>IF($K834="","",TEXT($K834,"yyyy-mm"))</f>
        <v/>
      </c>
      <c r="Y834" s="81">
        <f>IF(OR($A834="",$T834=""),"","Included in Manager_Report")</f>
        <v/>
      </c>
    </row>
    <row r="835" ht="15" customHeight="1" s="40">
      <c r="A835" s="65">
        <f>IF(COUNTA(B835:G835)=0,"","STP-"&amp;TEXT(ROW()-4,"0000"))</f>
        <v/>
      </c>
      <c r="B835" s="78" t="n"/>
      <c r="C835" s="67">
        <f>IF($B835="","",IFERROR(INDEX(Task_Tracker!$D$5:$D$1004,MATCH($B835,Task_Tracker!$A$5:$A$1004,0)),""))</f>
        <v/>
      </c>
      <c r="D835" s="67">
        <f>IF($B835="","",IFERROR(INDEX(Task_Tracker!$B$5:$B$1004,MATCH($B835,Task_Tracker!$A$5:$A$1004,0)),""))</f>
        <v/>
      </c>
      <c r="E835" s="81" t="n"/>
      <c r="F835" s="81" t="n"/>
      <c r="G835" s="78" t="n"/>
      <c r="H835" s="78" t="n"/>
      <c r="I835" s="67">
        <f>IF($H835="","",IFERROR(INDEX(Action_Status_Map!$B$5:$B$11,MATCH($H835,Action_Status_Map!$A$5:$A$11,0)),""))</f>
        <v/>
      </c>
      <c r="J835" s="82" t="n"/>
      <c r="K835" s="82" t="n"/>
      <c r="L835" s="82" t="n"/>
      <c r="M835" s="83" t="n"/>
      <c r="N835" s="83" t="n"/>
      <c r="O835" s="66">
        <f>IF(OR($M835="",$N835=""),"",$N835-$M835)</f>
        <v/>
      </c>
      <c r="P835" s="84">
        <f>IF($J835="","",IF($L835&lt;&gt;"",$L835-$J835,TODAY()-$J835))</f>
        <v/>
      </c>
      <c r="Q835" s="85">
        <f>IF(OR($K835="",$H835="Completed",$H835="Cancelled"),"",IF(AND($K835&lt;TODAY(),$H835&lt;&gt;"Completed",$H835&lt;&gt;"Cancelled"),"Overdue","On Track"))</f>
        <v/>
      </c>
      <c r="R835" s="81" t="n"/>
      <c r="S835" s="81">
        <f>IF($B835="","",IFERROR(INDEX(Task_Tracker!$AA$5:$AA$1004,MATCH($B835,Task_Tracker!$A$5:$A$1004,0)),""))</f>
        <v/>
      </c>
      <c r="T835" s="81">
        <f>IF($B835="","",IFERROR(INDEX(Task_Tracker!$AB$5:$AB$1004,MATCH($B835,Task_Tracker!$A$5:$A$1004,0)),""))</f>
        <v/>
      </c>
      <c r="U835" s="78">
        <f>IF($B835="","",IFERROR(INDEX(Task_Tracker!$F$5:$F$1004,MATCH($B835,Task_Tracker!$A$5:$A$1004,0)),""))</f>
        <v/>
      </c>
      <c r="V835" s="78">
        <f>IF($B835="","",IFERROR(INDEX(Task_Tracker!$I$5:$I$1004,MATCH($B835,Task_Tracker!$A$5:$A$1004,0)),""))</f>
        <v/>
      </c>
      <c r="W835" s="81">
        <f>IF(OR($D835="",$B835=""),"",$D835&amp;" | "&amp;$B835)</f>
        <v/>
      </c>
      <c r="X835" s="85">
        <f>IF($K835="","",TEXT($K835,"yyyy-mm"))</f>
        <v/>
      </c>
      <c r="Y835" s="81">
        <f>IF(OR($A835="",$T835=""),"","Included in Manager_Report")</f>
        <v/>
      </c>
    </row>
    <row r="836" ht="15" customHeight="1" s="40">
      <c r="A836" s="65">
        <f>IF(COUNTA(B836:G836)=0,"","STP-"&amp;TEXT(ROW()-4,"0000"))</f>
        <v/>
      </c>
      <c r="B836" s="78" t="n"/>
      <c r="C836" s="67">
        <f>IF($B836="","",IFERROR(INDEX(Task_Tracker!$D$5:$D$1004,MATCH($B836,Task_Tracker!$A$5:$A$1004,0)),""))</f>
        <v/>
      </c>
      <c r="D836" s="67">
        <f>IF($B836="","",IFERROR(INDEX(Task_Tracker!$B$5:$B$1004,MATCH($B836,Task_Tracker!$A$5:$A$1004,0)),""))</f>
        <v/>
      </c>
      <c r="E836" s="81" t="n"/>
      <c r="F836" s="81" t="n"/>
      <c r="G836" s="78" t="n"/>
      <c r="H836" s="78" t="n"/>
      <c r="I836" s="67">
        <f>IF($H836="","",IFERROR(INDEX(Action_Status_Map!$B$5:$B$11,MATCH($H836,Action_Status_Map!$A$5:$A$11,0)),""))</f>
        <v/>
      </c>
      <c r="J836" s="82" t="n"/>
      <c r="K836" s="82" t="n"/>
      <c r="L836" s="82" t="n"/>
      <c r="M836" s="83" t="n"/>
      <c r="N836" s="83" t="n"/>
      <c r="O836" s="66">
        <f>IF(OR($M836="",$N836=""),"",$N836-$M836)</f>
        <v/>
      </c>
      <c r="P836" s="84">
        <f>IF($J836="","",IF($L836&lt;&gt;"",$L836-$J836,TODAY()-$J836))</f>
        <v/>
      </c>
      <c r="Q836" s="85">
        <f>IF(OR($K836="",$H836="Completed",$H836="Cancelled"),"",IF(AND($K836&lt;TODAY(),$H836&lt;&gt;"Completed",$H836&lt;&gt;"Cancelled"),"Overdue","On Track"))</f>
        <v/>
      </c>
      <c r="R836" s="81" t="n"/>
      <c r="S836" s="81">
        <f>IF($B836="","",IFERROR(INDEX(Task_Tracker!$AA$5:$AA$1004,MATCH($B836,Task_Tracker!$A$5:$A$1004,0)),""))</f>
        <v/>
      </c>
      <c r="T836" s="81">
        <f>IF($B836="","",IFERROR(INDEX(Task_Tracker!$AB$5:$AB$1004,MATCH($B836,Task_Tracker!$A$5:$A$1004,0)),""))</f>
        <v/>
      </c>
      <c r="U836" s="78">
        <f>IF($B836="","",IFERROR(INDEX(Task_Tracker!$F$5:$F$1004,MATCH($B836,Task_Tracker!$A$5:$A$1004,0)),""))</f>
        <v/>
      </c>
      <c r="V836" s="78">
        <f>IF($B836="","",IFERROR(INDEX(Task_Tracker!$I$5:$I$1004,MATCH($B836,Task_Tracker!$A$5:$A$1004,0)),""))</f>
        <v/>
      </c>
      <c r="W836" s="81">
        <f>IF(OR($D836="",$B836=""),"",$D836&amp;" | "&amp;$B836)</f>
        <v/>
      </c>
      <c r="X836" s="85">
        <f>IF($K836="","",TEXT($K836,"yyyy-mm"))</f>
        <v/>
      </c>
      <c r="Y836" s="81">
        <f>IF(OR($A836="",$T836=""),"","Included in Manager_Report")</f>
        <v/>
      </c>
    </row>
    <row r="837" ht="15" customHeight="1" s="40">
      <c r="A837" s="65">
        <f>IF(COUNTA(B837:G837)=0,"","STP-"&amp;TEXT(ROW()-4,"0000"))</f>
        <v/>
      </c>
      <c r="B837" s="78" t="n"/>
      <c r="C837" s="67">
        <f>IF($B837="","",IFERROR(INDEX(Task_Tracker!$D$5:$D$1004,MATCH($B837,Task_Tracker!$A$5:$A$1004,0)),""))</f>
        <v/>
      </c>
      <c r="D837" s="67">
        <f>IF($B837="","",IFERROR(INDEX(Task_Tracker!$B$5:$B$1004,MATCH($B837,Task_Tracker!$A$5:$A$1004,0)),""))</f>
        <v/>
      </c>
      <c r="E837" s="81" t="n"/>
      <c r="F837" s="81" t="n"/>
      <c r="G837" s="78" t="n"/>
      <c r="H837" s="78" t="n"/>
      <c r="I837" s="67">
        <f>IF($H837="","",IFERROR(INDEX(Action_Status_Map!$B$5:$B$11,MATCH($H837,Action_Status_Map!$A$5:$A$11,0)),""))</f>
        <v/>
      </c>
      <c r="J837" s="82" t="n"/>
      <c r="K837" s="82" t="n"/>
      <c r="L837" s="82" t="n"/>
      <c r="M837" s="83" t="n"/>
      <c r="N837" s="83" t="n"/>
      <c r="O837" s="66">
        <f>IF(OR($M837="",$N837=""),"",$N837-$M837)</f>
        <v/>
      </c>
      <c r="P837" s="84">
        <f>IF($J837="","",IF($L837&lt;&gt;"",$L837-$J837,TODAY()-$J837))</f>
        <v/>
      </c>
      <c r="Q837" s="85">
        <f>IF(OR($K837="",$H837="Completed",$H837="Cancelled"),"",IF(AND($K837&lt;TODAY(),$H837&lt;&gt;"Completed",$H837&lt;&gt;"Cancelled"),"Overdue","On Track"))</f>
        <v/>
      </c>
      <c r="R837" s="81" t="n"/>
      <c r="S837" s="81">
        <f>IF($B837="","",IFERROR(INDEX(Task_Tracker!$AA$5:$AA$1004,MATCH($B837,Task_Tracker!$A$5:$A$1004,0)),""))</f>
        <v/>
      </c>
      <c r="T837" s="81">
        <f>IF($B837="","",IFERROR(INDEX(Task_Tracker!$AB$5:$AB$1004,MATCH($B837,Task_Tracker!$A$5:$A$1004,0)),""))</f>
        <v/>
      </c>
      <c r="U837" s="78">
        <f>IF($B837="","",IFERROR(INDEX(Task_Tracker!$F$5:$F$1004,MATCH($B837,Task_Tracker!$A$5:$A$1004,0)),""))</f>
        <v/>
      </c>
      <c r="V837" s="78">
        <f>IF($B837="","",IFERROR(INDEX(Task_Tracker!$I$5:$I$1004,MATCH($B837,Task_Tracker!$A$5:$A$1004,0)),""))</f>
        <v/>
      </c>
      <c r="W837" s="81">
        <f>IF(OR($D837="",$B837=""),"",$D837&amp;" | "&amp;$B837)</f>
        <v/>
      </c>
      <c r="X837" s="85">
        <f>IF($K837="","",TEXT($K837,"yyyy-mm"))</f>
        <v/>
      </c>
      <c r="Y837" s="81">
        <f>IF(OR($A837="",$T837=""),"","Included in Manager_Report")</f>
        <v/>
      </c>
    </row>
    <row r="838" ht="15" customHeight="1" s="40">
      <c r="A838" s="65">
        <f>IF(COUNTA(B838:G838)=0,"","STP-"&amp;TEXT(ROW()-4,"0000"))</f>
        <v/>
      </c>
      <c r="B838" s="78" t="n"/>
      <c r="C838" s="67">
        <f>IF($B838="","",IFERROR(INDEX(Task_Tracker!$D$5:$D$1004,MATCH($B838,Task_Tracker!$A$5:$A$1004,0)),""))</f>
        <v/>
      </c>
      <c r="D838" s="67">
        <f>IF($B838="","",IFERROR(INDEX(Task_Tracker!$B$5:$B$1004,MATCH($B838,Task_Tracker!$A$5:$A$1004,0)),""))</f>
        <v/>
      </c>
      <c r="E838" s="81" t="n"/>
      <c r="F838" s="81" t="n"/>
      <c r="G838" s="78" t="n"/>
      <c r="H838" s="78" t="n"/>
      <c r="I838" s="67">
        <f>IF($H838="","",IFERROR(INDEX(Action_Status_Map!$B$5:$B$11,MATCH($H838,Action_Status_Map!$A$5:$A$11,0)),""))</f>
        <v/>
      </c>
      <c r="J838" s="82" t="n"/>
      <c r="K838" s="82" t="n"/>
      <c r="L838" s="82" t="n"/>
      <c r="M838" s="83" t="n"/>
      <c r="N838" s="83" t="n"/>
      <c r="O838" s="66">
        <f>IF(OR($M838="",$N838=""),"",$N838-$M838)</f>
        <v/>
      </c>
      <c r="P838" s="84">
        <f>IF($J838="","",IF($L838&lt;&gt;"",$L838-$J838,TODAY()-$J838))</f>
        <v/>
      </c>
      <c r="Q838" s="85">
        <f>IF(OR($K838="",$H838="Completed",$H838="Cancelled"),"",IF(AND($K838&lt;TODAY(),$H838&lt;&gt;"Completed",$H838&lt;&gt;"Cancelled"),"Overdue","On Track"))</f>
        <v/>
      </c>
      <c r="R838" s="81" t="n"/>
      <c r="S838" s="81">
        <f>IF($B838="","",IFERROR(INDEX(Task_Tracker!$AA$5:$AA$1004,MATCH($B838,Task_Tracker!$A$5:$A$1004,0)),""))</f>
        <v/>
      </c>
      <c r="T838" s="81">
        <f>IF($B838="","",IFERROR(INDEX(Task_Tracker!$AB$5:$AB$1004,MATCH($B838,Task_Tracker!$A$5:$A$1004,0)),""))</f>
        <v/>
      </c>
      <c r="U838" s="78">
        <f>IF($B838="","",IFERROR(INDEX(Task_Tracker!$F$5:$F$1004,MATCH($B838,Task_Tracker!$A$5:$A$1004,0)),""))</f>
        <v/>
      </c>
      <c r="V838" s="78">
        <f>IF($B838="","",IFERROR(INDEX(Task_Tracker!$I$5:$I$1004,MATCH($B838,Task_Tracker!$A$5:$A$1004,0)),""))</f>
        <v/>
      </c>
      <c r="W838" s="81">
        <f>IF(OR($D838="",$B838=""),"",$D838&amp;" | "&amp;$B838)</f>
        <v/>
      </c>
      <c r="X838" s="85">
        <f>IF($K838="","",TEXT($K838,"yyyy-mm"))</f>
        <v/>
      </c>
      <c r="Y838" s="81">
        <f>IF(OR($A838="",$T838=""),"","Included in Manager_Report")</f>
        <v/>
      </c>
    </row>
    <row r="839" ht="15" customHeight="1" s="40">
      <c r="A839" s="65">
        <f>IF(COUNTA(B839:G839)=0,"","STP-"&amp;TEXT(ROW()-4,"0000"))</f>
        <v/>
      </c>
      <c r="B839" s="78" t="n"/>
      <c r="C839" s="67">
        <f>IF($B839="","",IFERROR(INDEX(Task_Tracker!$D$5:$D$1004,MATCH($B839,Task_Tracker!$A$5:$A$1004,0)),""))</f>
        <v/>
      </c>
      <c r="D839" s="67">
        <f>IF($B839="","",IFERROR(INDEX(Task_Tracker!$B$5:$B$1004,MATCH($B839,Task_Tracker!$A$5:$A$1004,0)),""))</f>
        <v/>
      </c>
      <c r="E839" s="81" t="n"/>
      <c r="F839" s="81" t="n"/>
      <c r="G839" s="78" t="n"/>
      <c r="H839" s="78" t="n"/>
      <c r="I839" s="67">
        <f>IF($H839="","",IFERROR(INDEX(Action_Status_Map!$B$5:$B$11,MATCH($H839,Action_Status_Map!$A$5:$A$11,0)),""))</f>
        <v/>
      </c>
      <c r="J839" s="82" t="n"/>
      <c r="K839" s="82" t="n"/>
      <c r="L839" s="82" t="n"/>
      <c r="M839" s="83" t="n"/>
      <c r="N839" s="83" t="n"/>
      <c r="O839" s="66">
        <f>IF(OR($M839="",$N839=""),"",$N839-$M839)</f>
        <v/>
      </c>
      <c r="P839" s="84">
        <f>IF($J839="","",IF($L839&lt;&gt;"",$L839-$J839,TODAY()-$J839))</f>
        <v/>
      </c>
      <c r="Q839" s="85">
        <f>IF(OR($K839="",$H839="Completed",$H839="Cancelled"),"",IF(AND($K839&lt;TODAY(),$H839&lt;&gt;"Completed",$H839&lt;&gt;"Cancelled"),"Overdue","On Track"))</f>
        <v/>
      </c>
      <c r="R839" s="81" t="n"/>
      <c r="S839" s="81">
        <f>IF($B839="","",IFERROR(INDEX(Task_Tracker!$AA$5:$AA$1004,MATCH($B839,Task_Tracker!$A$5:$A$1004,0)),""))</f>
        <v/>
      </c>
      <c r="T839" s="81">
        <f>IF($B839="","",IFERROR(INDEX(Task_Tracker!$AB$5:$AB$1004,MATCH($B839,Task_Tracker!$A$5:$A$1004,0)),""))</f>
        <v/>
      </c>
      <c r="U839" s="78">
        <f>IF($B839="","",IFERROR(INDEX(Task_Tracker!$F$5:$F$1004,MATCH($B839,Task_Tracker!$A$5:$A$1004,0)),""))</f>
        <v/>
      </c>
      <c r="V839" s="78">
        <f>IF($B839="","",IFERROR(INDEX(Task_Tracker!$I$5:$I$1004,MATCH($B839,Task_Tracker!$A$5:$A$1004,0)),""))</f>
        <v/>
      </c>
      <c r="W839" s="81">
        <f>IF(OR($D839="",$B839=""),"",$D839&amp;" | "&amp;$B839)</f>
        <v/>
      </c>
      <c r="X839" s="85">
        <f>IF($K839="","",TEXT($K839,"yyyy-mm"))</f>
        <v/>
      </c>
      <c r="Y839" s="81">
        <f>IF(OR($A839="",$T839=""),"","Included in Manager_Report")</f>
        <v/>
      </c>
    </row>
    <row r="840" ht="15" customHeight="1" s="40">
      <c r="A840" s="65">
        <f>IF(COUNTA(B840:G840)=0,"","STP-"&amp;TEXT(ROW()-4,"0000"))</f>
        <v/>
      </c>
      <c r="B840" s="78" t="n"/>
      <c r="C840" s="67">
        <f>IF($B840="","",IFERROR(INDEX(Task_Tracker!$D$5:$D$1004,MATCH($B840,Task_Tracker!$A$5:$A$1004,0)),""))</f>
        <v/>
      </c>
      <c r="D840" s="67">
        <f>IF($B840="","",IFERROR(INDEX(Task_Tracker!$B$5:$B$1004,MATCH($B840,Task_Tracker!$A$5:$A$1004,0)),""))</f>
        <v/>
      </c>
      <c r="E840" s="81" t="n"/>
      <c r="F840" s="81" t="n"/>
      <c r="G840" s="78" t="n"/>
      <c r="H840" s="78" t="n"/>
      <c r="I840" s="67">
        <f>IF($H840="","",IFERROR(INDEX(Action_Status_Map!$B$5:$B$11,MATCH($H840,Action_Status_Map!$A$5:$A$11,0)),""))</f>
        <v/>
      </c>
      <c r="J840" s="82" t="n"/>
      <c r="K840" s="82" t="n"/>
      <c r="L840" s="82" t="n"/>
      <c r="M840" s="83" t="n"/>
      <c r="N840" s="83" t="n"/>
      <c r="O840" s="66">
        <f>IF(OR($M840="",$N840=""),"",$N840-$M840)</f>
        <v/>
      </c>
      <c r="P840" s="84">
        <f>IF($J840="","",IF($L840&lt;&gt;"",$L840-$J840,TODAY()-$J840))</f>
        <v/>
      </c>
      <c r="Q840" s="85">
        <f>IF(OR($K840="",$H840="Completed",$H840="Cancelled"),"",IF(AND($K840&lt;TODAY(),$H840&lt;&gt;"Completed",$H840&lt;&gt;"Cancelled"),"Overdue","On Track"))</f>
        <v/>
      </c>
      <c r="R840" s="81" t="n"/>
      <c r="S840" s="81">
        <f>IF($B840="","",IFERROR(INDEX(Task_Tracker!$AA$5:$AA$1004,MATCH($B840,Task_Tracker!$A$5:$A$1004,0)),""))</f>
        <v/>
      </c>
      <c r="T840" s="81">
        <f>IF($B840="","",IFERROR(INDEX(Task_Tracker!$AB$5:$AB$1004,MATCH($B840,Task_Tracker!$A$5:$A$1004,0)),""))</f>
        <v/>
      </c>
      <c r="U840" s="78">
        <f>IF($B840="","",IFERROR(INDEX(Task_Tracker!$F$5:$F$1004,MATCH($B840,Task_Tracker!$A$5:$A$1004,0)),""))</f>
        <v/>
      </c>
      <c r="V840" s="78">
        <f>IF($B840="","",IFERROR(INDEX(Task_Tracker!$I$5:$I$1004,MATCH($B840,Task_Tracker!$A$5:$A$1004,0)),""))</f>
        <v/>
      </c>
      <c r="W840" s="81">
        <f>IF(OR($D840="",$B840=""),"",$D840&amp;" | "&amp;$B840)</f>
        <v/>
      </c>
      <c r="X840" s="85">
        <f>IF($K840="","",TEXT($K840,"yyyy-mm"))</f>
        <v/>
      </c>
      <c r="Y840" s="81">
        <f>IF(OR($A840="",$T840=""),"","Included in Manager_Report")</f>
        <v/>
      </c>
    </row>
    <row r="841" ht="15" customHeight="1" s="40">
      <c r="A841" s="65">
        <f>IF(COUNTA(B841:G841)=0,"","STP-"&amp;TEXT(ROW()-4,"0000"))</f>
        <v/>
      </c>
      <c r="B841" s="78" t="n"/>
      <c r="C841" s="67">
        <f>IF($B841="","",IFERROR(INDEX(Task_Tracker!$D$5:$D$1004,MATCH($B841,Task_Tracker!$A$5:$A$1004,0)),""))</f>
        <v/>
      </c>
      <c r="D841" s="67">
        <f>IF($B841="","",IFERROR(INDEX(Task_Tracker!$B$5:$B$1004,MATCH($B841,Task_Tracker!$A$5:$A$1004,0)),""))</f>
        <v/>
      </c>
      <c r="E841" s="81" t="n"/>
      <c r="F841" s="81" t="n"/>
      <c r="G841" s="78" t="n"/>
      <c r="H841" s="78" t="n"/>
      <c r="I841" s="67">
        <f>IF($H841="","",IFERROR(INDEX(Action_Status_Map!$B$5:$B$11,MATCH($H841,Action_Status_Map!$A$5:$A$11,0)),""))</f>
        <v/>
      </c>
      <c r="J841" s="82" t="n"/>
      <c r="K841" s="82" t="n"/>
      <c r="L841" s="82" t="n"/>
      <c r="M841" s="83" t="n"/>
      <c r="N841" s="83" t="n"/>
      <c r="O841" s="66">
        <f>IF(OR($M841="",$N841=""),"",$N841-$M841)</f>
        <v/>
      </c>
      <c r="P841" s="84">
        <f>IF($J841="","",IF($L841&lt;&gt;"",$L841-$J841,TODAY()-$J841))</f>
        <v/>
      </c>
      <c r="Q841" s="85">
        <f>IF(OR($K841="",$H841="Completed",$H841="Cancelled"),"",IF(AND($K841&lt;TODAY(),$H841&lt;&gt;"Completed",$H841&lt;&gt;"Cancelled"),"Overdue","On Track"))</f>
        <v/>
      </c>
      <c r="R841" s="81" t="n"/>
      <c r="S841" s="81">
        <f>IF($B841="","",IFERROR(INDEX(Task_Tracker!$AA$5:$AA$1004,MATCH($B841,Task_Tracker!$A$5:$A$1004,0)),""))</f>
        <v/>
      </c>
      <c r="T841" s="81">
        <f>IF($B841="","",IFERROR(INDEX(Task_Tracker!$AB$5:$AB$1004,MATCH($B841,Task_Tracker!$A$5:$A$1004,0)),""))</f>
        <v/>
      </c>
      <c r="U841" s="78">
        <f>IF($B841="","",IFERROR(INDEX(Task_Tracker!$F$5:$F$1004,MATCH($B841,Task_Tracker!$A$5:$A$1004,0)),""))</f>
        <v/>
      </c>
      <c r="V841" s="78">
        <f>IF($B841="","",IFERROR(INDEX(Task_Tracker!$I$5:$I$1004,MATCH($B841,Task_Tracker!$A$5:$A$1004,0)),""))</f>
        <v/>
      </c>
      <c r="W841" s="81">
        <f>IF(OR($D841="",$B841=""),"",$D841&amp;" | "&amp;$B841)</f>
        <v/>
      </c>
      <c r="X841" s="85">
        <f>IF($K841="","",TEXT($K841,"yyyy-mm"))</f>
        <v/>
      </c>
      <c r="Y841" s="81">
        <f>IF(OR($A841="",$T841=""),"","Included in Manager_Report")</f>
        <v/>
      </c>
    </row>
    <row r="842" ht="15" customHeight="1" s="40">
      <c r="A842" s="65">
        <f>IF(COUNTA(B842:G842)=0,"","STP-"&amp;TEXT(ROW()-4,"0000"))</f>
        <v/>
      </c>
      <c r="B842" s="78" t="n"/>
      <c r="C842" s="67">
        <f>IF($B842="","",IFERROR(INDEX(Task_Tracker!$D$5:$D$1004,MATCH($B842,Task_Tracker!$A$5:$A$1004,0)),""))</f>
        <v/>
      </c>
      <c r="D842" s="67">
        <f>IF($B842="","",IFERROR(INDEX(Task_Tracker!$B$5:$B$1004,MATCH($B842,Task_Tracker!$A$5:$A$1004,0)),""))</f>
        <v/>
      </c>
      <c r="E842" s="81" t="n"/>
      <c r="F842" s="81" t="n"/>
      <c r="G842" s="78" t="n"/>
      <c r="H842" s="78" t="n"/>
      <c r="I842" s="67">
        <f>IF($H842="","",IFERROR(INDEX(Action_Status_Map!$B$5:$B$11,MATCH($H842,Action_Status_Map!$A$5:$A$11,0)),""))</f>
        <v/>
      </c>
      <c r="J842" s="82" t="n"/>
      <c r="K842" s="82" t="n"/>
      <c r="L842" s="82" t="n"/>
      <c r="M842" s="83" t="n"/>
      <c r="N842" s="83" t="n"/>
      <c r="O842" s="66">
        <f>IF(OR($M842="",$N842=""),"",$N842-$M842)</f>
        <v/>
      </c>
      <c r="P842" s="84">
        <f>IF($J842="","",IF($L842&lt;&gt;"",$L842-$J842,TODAY()-$J842))</f>
        <v/>
      </c>
      <c r="Q842" s="85">
        <f>IF(OR($K842="",$H842="Completed",$H842="Cancelled"),"",IF(AND($K842&lt;TODAY(),$H842&lt;&gt;"Completed",$H842&lt;&gt;"Cancelled"),"Overdue","On Track"))</f>
        <v/>
      </c>
      <c r="R842" s="81" t="n"/>
      <c r="S842" s="81">
        <f>IF($B842="","",IFERROR(INDEX(Task_Tracker!$AA$5:$AA$1004,MATCH($B842,Task_Tracker!$A$5:$A$1004,0)),""))</f>
        <v/>
      </c>
      <c r="T842" s="81">
        <f>IF($B842="","",IFERROR(INDEX(Task_Tracker!$AB$5:$AB$1004,MATCH($B842,Task_Tracker!$A$5:$A$1004,0)),""))</f>
        <v/>
      </c>
      <c r="U842" s="78">
        <f>IF($B842="","",IFERROR(INDEX(Task_Tracker!$F$5:$F$1004,MATCH($B842,Task_Tracker!$A$5:$A$1004,0)),""))</f>
        <v/>
      </c>
      <c r="V842" s="78">
        <f>IF($B842="","",IFERROR(INDEX(Task_Tracker!$I$5:$I$1004,MATCH($B842,Task_Tracker!$A$5:$A$1004,0)),""))</f>
        <v/>
      </c>
      <c r="W842" s="81">
        <f>IF(OR($D842="",$B842=""),"",$D842&amp;" | "&amp;$B842)</f>
        <v/>
      </c>
      <c r="X842" s="85">
        <f>IF($K842="","",TEXT($K842,"yyyy-mm"))</f>
        <v/>
      </c>
      <c r="Y842" s="81">
        <f>IF(OR($A842="",$T842=""),"","Included in Manager_Report")</f>
        <v/>
      </c>
    </row>
    <row r="843" ht="15" customHeight="1" s="40">
      <c r="A843" s="65">
        <f>IF(COUNTA(B843:G843)=0,"","STP-"&amp;TEXT(ROW()-4,"0000"))</f>
        <v/>
      </c>
      <c r="B843" s="78" t="n"/>
      <c r="C843" s="67">
        <f>IF($B843="","",IFERROR(INDEX(Task_Tracker!$D$5:$D$1004,MATCH($B843,Task_Tracker!$A$5:$A$1004,0)),""))</f>
        <v/>
      </c>
      <c r="D843" s="67">
        <f>IF($B843="","",IFERROR(INDEX(Task_Tracker!$B$5:$B$1004,MATCH($B843,Task_Tracker!$A$5:$A$1004,0)),""))</f>
        <v/>
      </c>
      <c r="E843" s="81" t="n"/>
      <c r="F843" s="81" t="n"/>
      <c r="G843" s="78" t="n"/>
      <c r="H843" s="78" t="n"/>
      <c r="I843" s="67">
        <f>IF($H843="","",IFERROR(INDEX(Action_Status_Map!$B$5:$B$11,MATCH($H843,Action_Status_Map!$A$5:$A$11,0)),""))</f>
        <v/>
      </c>
      <c r="J843" s="82" t="n"/>
      <c r="K843" s="82" t="n"/>
      <c r="L843" s="82" t="n"/>
      <c r="M843" s="83" t="n"/>
      <c r="N843" s="83" t="n"/>
      <c r="O843" s="66">
        <f>IF(OR($M843="",$N843=""),"",$N843-$M843)</f>
        <v/>
      </c>
      <c r="P843" s="84">
        <f>IF($J843="","",IF($L843&lt;&gt;"",$L843-$J843,TODAY()-$J843))</f>
        <v/>
      </c>
      <c r="Q843" s="85">
        <f>IF(OR($K843="",$H843="Completed",$H843="Cancelled"),"",IF(AND($K843&lt;TODAY(),$H843&lt;&gt;"Completed",$H843&lt;&gt;"Cancelled"),"Overdue","On Track"))</f>
        <v/>
      </c>
      <c r="R843" s="81" t="n"/>
      <c r="S843" s="81">
        <f>IF($B843="","",IFERROR(INDEX(Task_Tracker!$AA$5:$AA$1004,MATCH($B843,Task_Tracker!$A$5:$A$1004,0)),""))</f>
        <v/>
      </c>
      <c r="T843" s="81">
        <f>IF($B843="","",IFERROR(INDEX(Task_Tracker!$AB$5:$AB$1004,MATCH($B843,Task_Tracker!$A$5:$A$1004,0)),""))</f>
        <v/>
      </c>
      <c r="U843" s="78">
        <f>IF($B843="","",IFERROR(INDEX(Task_Tracker!$F$5:$F$1004,MATCH($B843,Task_Tracker!$A$5:$A$1004,0)),""))</f>
        <v/>
      </c>
      <c r="V843" s="78">
        <f>IF($B843="","",IFERROR(INDEX(Task_Tracker!$I$5:$I$1004,MATCH($B843,Task_Tracker!$A$5:$A$1004,0)),""))</f>
        <v/>
      </c>
      <c r="W843" s="81">
        <f>IF(OR($D843="",$B843=""),"",$D843&amp;" | "&amp;$B843)</f>
        <v/>
      </c>
      <c r="X843" s="85">
        <f>IF($K843="","",TEXT($K843,"yyyy-mm"))</f>
        <v/>
      </c>
      <c r="Y843" s="81">
        <f>IF(OR($A843="",$T843=""),"","Included in Manager_Report")</f>
        <v/>
      </c>
    </row>
    <row r="844" ht="15" customHeight="1" s="40">
      <c r="A844" s="65">
        <f>IF(COUNTA(B844:G844)=0,"","STP-"&amp;TEXT(ROW()-4,"0000"))</f>
        <v/>
      </c>
      <c r="B844" s="78" t="n"/>
      <c r="C844" s="67">
        <f>IF($B844="","",IFERROR(INDEX(Task_Tracker!$D$5:$D$1004,MATCH($B844,Task_Tracker!$A$5:$A$1004,0)),""))</f>
        <v/>
      </c>
      <c r="D844" s="67">
        <f>IF($B844="","",IFERROR(INDEX(Task_Tracker!$B$5:$B$1004,MATCH($B844,Task_Tracker!$A$5:$A$1004,0)),""))</f>
        <v/>
      </c>
      <c r="E844" s="81" t="n"/>
      <c r="F844" s="81" t="n"/>
      <c r="G844" s="78" t="n"/>
      <c r="H844" s="78" t="n"/>
      <c r="I844" s="67">
        <f>IF($H844="","",IFERROR(INDEX(Action_Status_Map!$B$5:$B$11,MATCH($H844,Action_Status_Map!$A$5:$A$11,0)),""))</f>
        <v/>
      </c>
      <c r="J844" s="82" t="n"/>
      <c r="K844" s="82" t="n"/>
      <c r="L844" s="82" t="n"/>
      <c r="M844" s="83" t="n"/>
      <c r="N844" s="83" t="n"/>
      <c r="O844" s="66">
        <f>IF(OR($M844="",$N844=""),"",$N844-$M844)</f>
        <v/>
      </c>
      <c r="P844" s="84">
        <f>IF($J844="","",IF($L844&lt;&gt;"",$L844-$J844,TODAY()-$J844))</f>
        <v/>
      </c>
      <c r="Q844" s="85">
        <f>IF(OR($K844="",$H844="Completed",$H844="Cancelled"),"",IF(AND($K844&lt;TODAY(),$H844&lt;&gt;"Completed",$H844&lt;&gt;"Cancelled"),"Overdue","On Track"))</f>
        <v/>
      </c>
      <c r="R844" s="81" t="n"/>
      <c r="S844" s="81">
        <f>IF($B844="","",IFERROR(INDEX(Task_Tracker!$AA$5:$AA$1004,MATCH($B844,Task_Tracker!$A$5:$A$1004,0)),""))</f>
        <v/>
      </c>
      <c r="T844" s="81">
        <f>IF($B844="","",IFERROR(INDEX(Task_Tracker!$AB$5:$AB$1004,MATCH($B844,Task_Tracker!$A$5:$A$1004,0)),""))</f>
        <v/>
      </c>
      <c r="U844" s="78">
        <f>IF($B844="","",IFERROR(INDEX(Task_Tracker!$F$5:$F$1004,MATCH($B844,Task_Tracker!$A$5:$A$1004,0)),""))</f>
        <v/>
      </c>
      <c r="V844" s="78">
        <f>IF($B844="","",IFERROR(INDEX(Task_Tracker!$I$5:$I$1004,MATCH($B844,Task_Tracker!$A$5:$A$1004,0)),""))</f>
        <v/>
      </c>
      <c r="W844" s="81">
        <f>IF(OR($D844="",$B844=""),"",$D844&amp;" | "&amp;$B844)</f>
        <v/>
      </c>
      <c r="X844" s="85">
        <f>IF($K844="","",TEXT($K844,"yyyy-mm"))</f>
        <v/>
      </c>
      <c r="Y844" s="81">
        <f>IF(OR($A844="",$T844=""),"","Included in Manager_Report")</f>
        <v/>
      </c>
    </row>
    <row r="845" ht="15" customHeight="1" s="40">
      <c r="A845" s="65">
        <f>IF(COUNTA(B845:G845)=0,"","STP-"&amp;TEXT(ROW()-4,"0000"))</f>
        <v/>
      </c>
      <c r="B845" s="78" t="n"/>
      <c r="C845" s="67">
        <f>IF($B845="","",IFERROR(INDEX(Task_Tracker!$D$5:$D$1004,MATCH($B845,Task_Tracker!$A$5:$A$1004,0)),""))</f>
        <v/>
      </c>
      <c r="D845" s="67">
        <f>IF($B845="","",IFERROR(INDEX(Task_Tracker!$B$5:$B$1004,MATCH($B845,Task_Tracker!$A$5:$A$1004,0)),""))</f>
        <v/>
      </c>
      <c r="E845" s="81" t="n"/>
      <c r="F845" s="81" t="n"/>
      <c r="G845" s="78" t="n"/>
      <c r="H845" s="78" t="n"/>
      <c r="I845" s="67">
        <f>IF($H845="","",IFERROR(INDEX(Action_Status_Map!$B$5:$B$11,MATCH($H845,Action_Status_Map!$A$5:$A$11,0)),""))</f>
        <v/>
      </c>
      <c r="J845" s="82" t="n"/>
      <c r="K845" s="82" t="n"/>
      <c r="L845" s="82" t="n"/>
      <c r="M845" s="83" t="n"/>
      <c r="N845" s="83" t="n"/>
      <c r="O845" s="66">
        <f>IF(OR($M845="",$N845=""),"",$N845-$M845)</f>
        <v/>
      </c>
      <c r="P845" s="84">
        <f>IF($J845="","",IF($L845&lt;&gt;"",$L845-$J845,TODAY()-$J845))</f>
        <v/>
      </c>
      <c r="Q845" s="85">
        <f>IF(OR($K845="",$H845="Completed",$H845="Cancelled"),"",IF(AND($K845&lt;TODAY(),$H845&lt;&gt;"Completed",$H845&lt;&gt;"Cancelled"),"Overdue","On Track"))</f>
        <v/>
      </c>
      <c r="R845" s="81" t="n"/>
      <c r="S845" s="81">
        <f>IF($B845="","",IFERROR(INDEX(Task_Tracker!$AA$5:$AA$1004,MATCH($B845,Task_Tracker!$A$5:$A$1004,0)),""))</f>
        <v/>
      </c>
      <c r="T845" s="81">
        <f>IF($B845="","",IFERROR(INDEX(Task_Tracker!$AB$5:$AB$1004,MATCH($B845,Task_Tracker!$A$5:$A$1004,0)),""))</f>
        <v/>
      </c>
      <c r="U845" s="78">
        <f>IF($B845="","",IFERROR(INDEX(Task_Tracker!$F$5:$F$1004,MATCH($B845,Task_Tracker!$A$5:$A$1004,0)),""))</f>
        <v/>
      </c>
      <c r="V845" s="78">
        <f>IF($B845="","",IFERROR(INDEX(Task_Tracker!$I$5:$I$1004,MATCH($B845,Task_Tracker!$A$5:$A$1004,0)),""))</f>
        <v/>
      </c>
      <c r="W845" s="81">
        <f>IF(OR($D845="",$B845=""),"",$D845&amp;" | "&amp;$B845)</f>
        <v/>
      </c>
      <c r="X845" s="85">
        <f>IF($K845="","",TEXT($K845,"yyyy-mm"))</f>
        <v/>
      </c>
      <c r="Y845" s="81">
        <f>IF(OR($A845="",$T845=""),"","Included in Manager_Report")</f>
        <v/>
      </c>
    </row>
    <row r="846" ht="15" customHeight="1" s="40">
      <c r="A846" s="65">
        <f>IF(COUNTA(B846:G846)=0,"","STP-"&amp;TEXT(ROW()-4,"0000"))</f>
        <v/>
      </c>
      <c r="B846" s="78" t="n"/>
      <c r="C846" s="67">
        <f>IF($B846="","",IFERROR(INDEX(Task_Tracker!$D$5:$D$1004,MATCH($B846,Task_Tracker!$A$5:$A$1004,0)),""))</f>
        <v/>
      </c>
      <c r="D846" s="67">
        <f>IF($B846="","",IFERROR(INDEX(Task_Tracker!$B$5:$B$1004,MATCH($B846,Task_Tracker!$A$5:$A$1004,0)),""))</f>
        <v/>
      </c>
      <c r="E846" s="81" t="n"/>
      <c r="F846" s="81" t="n"/>
      <c r="G846" s="78" t="n"/>
      <c r="H846" s="78" t="n"/>
      <c r="I846" s="67">
        <f>IF($H846="","",IFERROR(INDEX(Action_Status_Map!$B$5:$B$11,MATCH($H846,Action_Status_Map!$A$5:$A$11,0)),""))</f>
        <v/>
      </c>
      <c r="J846" s="82" t="n"/>
      <c r="K846" s="82" t="n"/>
      <c r="L846" s="82" t="n"/>
      <c r="M846" s="83" t="n"/>
      <c r="N846" s="83" t="n"/>
      <c r="O846" s="66">
        <f>IF(OR($M846="",$N846=""),"",$N846-$M846)</f>
        <v/>
      </c>
      <c r="P846" s="84">
        <f>IF($J846="","",IF($L846&lt;&gt;"",$L846-$J846,TODAY()-$J846))</f>
        <v/>
      </c>
      <c r="Q846" s="85">
        <f>IF(OR($K846="",$H846="Completed",$H846="Cancelled"),"",IF(AND($K846&lt;TODAY(),$H846&lt;&gt;"Completed",$H846&lt;&gt;"Cancelled"),"Overdue","On Track"))</f>
        <v/>
      </c>
      <c r="R846" s="81" t="n"/>
      <c r="S846" s="81">
        <f>IF($B846="","",IFERROR(INDEX(Task_Tracker!$AA$5:$AA$1004,MATCH($B846,Task_Tracker!$A$5:$A$1004,0)),""))</f>
        <v/>
      </c>
      <c r="T846" s="81">
        <f>IF($B846="","",IFERROR(INDEX(Task_Tracker!$AB$5:$AB$1004,MATCH($B846,Task_Tracker!$A$5:$A$1004,0)),""))</f>
        <v/>
      </c>
      <c r="U846" s="78">
        <f>IF($B846="","",IFERROR(INDEX(Task_Tracker!$F$5:$F$1004,MATCH($B846,Task_Tracker!$A$5:$A$1004,0)),""))</f>
        <v/>
      </c>
      <c r="V846" s="78">
        <f>IF($B846="","",IFERROR(INDEX(Task_Tracker!$I$5:$I$1004,MATCH($B846,Task_Tracker!$A$5:$A$1004,0)),""))</f>
        <v/>
      </c>
      <c r="W846" s="81">
        <f>IF(OR($D846="",$B846=""),"",$D846&amp;" | "&amp;$B846)</f>
        <v/>
      </c>
      <c r="X846" s="85">
        <f>IF($K846="","",TEXT($K846,"yyyy-mm"))</f>
        <v/>
      </c>
      <c r="Y846" s="81">
        <f>IF(OR($A846="",$T846=""),"","Included in Manager_Report")</f>
        <v/>
      </c>
    </row>
    <row r="847" ht="15" customHeight="1" s="40">
      <c r="A847" s="65">
        <f>IF(COUNTA(B847:G847)=0,"","STP-"&amp;TEXT(ROW()-4,"0000"))</f>
        <v/>
      </c>
      <c r="B847" s="78" t="n"/>
      <c r="C847" s="67">
        <f>IF($B847="","",IFERROR(INDEX(Task_Tracker!$D$5:$D$1004,MATCH($B847,Task_Tracker!$A$5:$A$1004,0)),""))</f>
        <v/>
      </c>
      <c r="D847" s="67">
        <f>IF($B847="","",IFERROR(INDEX(Task_Tracker!$B$5:$B$1004,MATCH($B847,Task_Tracker!$A$5:$A$1004,0)),""))</f>
        <v/>
      </c>
      <c r="E847" s="81" t="n"/>
      <c r="F847" s="81" t="n"/>
      <c r="G847" s="78" t="n"/>
      <c r="H847" s="78" t="n"/>
      <c r="I847" s="67">
        <f>IF($H847="","",IFERROR(INDEX(Action_Status_Map!$B$5:$B$11,MATCH($H847,Action_Status_Map!$A$5:$A$11,0)),""))</f>
        <v/>
      </c>
      <c r="J847" s="82" t="n"/>
      <c r="K847" s="82" t="n"/>
      <c r="L847" s="82" t="n"/>
      <c r="M847" s="83" t="n"/>
      <c r="N847" s="83" t="n"/>
      <c r="O847" s="66">
        <f>IF(OR($M847="",$N847=""),"",$N847-$M847)</f>
        <v/>
      </c>
      <c r="P847" s="84">
        <f>IF($J847="","",IF($L847&lt;&gt;"",$L847-$J847,TODAY()-$J847))</f>
        <v/>
      </c>
      <c r="Q847" s="85">
        <f>IF(OR($K847="",$H847="Completed",$H847="Cancelled"),"",IF(AND($K847&lt;TODAY(),$H847&lt;&gt;"Completed",$H847&lt;&gt;"Cancelled"),"Overdue","On Track"))</f>
        <v/>
      </c>
      <c r="R847" s="81" t="n"/>
      <c r="S847" s="81">
        <f>IF($B847="","",IFERROR(INDEX(Task_Tracker!$AA$5:$AA$1004,MATCH($B847,Task_Tracker!$A$5:$A$1004,0)),""))</f>
        <v/>
      </c>
      <c r="T847" s="81">
        <f>IF($B847="","",IFERROR(INDEX(Task_Tracker!$AB$5:$AB$1004,MATCH($B847,Task_Tracker!$A$5:$A$1004,0)),""))</f>
        <v/>
      </c>
      <c r="U847" s="78">
        <f>IF($B847="","",IFERROR(INDEX(Task_Tracker!$F$5:$F$1004,MATCH($B847,Task_Tracker!$A$5:$A$1004,0)),""))</f>
        <v/>
      </c>
      <c r="V847" s="78">
        <f>IF($B847="","",IFERROR(INDEX(Task_Tracker!$I$5:$I$1004,MATCH($B847,Task_Tracker!$A$5:$A$1004,0)),""))</f>
        <v/>
      </c>
      <c r="W847" s="81">
        <f>IF(OR($D847="",$B847=""),"",$D847&amp;" | "&amp;$B847)</f>
        <v/>
      </c>
      <c r="X847" s="85">
        <f>IF($K847="","",TEXT($K847,"yyyy-mm"))</f>
        <v/>
      </c>
      <c r="Y847" s="81">
        <f>IF(OR($A847="",$T847=""),"","Included in Manager_Report")</f>
        <v/>
      </c>
    </row>
    <row r="848" ht="15" customHeight="1" s="40">
      <c r="A848" s="65">
        <f>IF(COUNTA(B848:G848)=0,"","STP-"&amp;TEXT(ROW()-4,"0000"))</f>
        <v/>
      </c>
      <c r="B848" s="78" t="n"/>
      <c r="C848" s="67">
        <f>IF($B848="","",IFERROR(INDEX(Task_Tracker!$D$5:$D$1004,MATCH($B848,Task_Tracker!$A$5:$A$1004,0)),""))</f>
        <v/>
      </c>
      <c r="D848" s="67">
        <f>IF($B848="","",IFERROR(INDEX(Task_Tracker!$B$5:$B$1004,MATCH($B848,Task_Tracker!$A$5:$A$1004,0)),""))</f>
        <v/>
      </c>
      <c r="E848" s="81" t="n"/>
      <c r="F848" s="81" t="n"/>
      <c r="G848" s="78" t="n"/>
      <c r="H848" s="78" t="n"/>
      <c r="I848" s="67">
        <f>IF($H848="","",IFERROR(INDEX(Action_Status_Map!$B$5:$B$11,MATCH($H848,Action_Status_Map!$A$5:$A$11,0)),""))</f>
        <v/>
      </c>
      <c r="J848" s="82" t="n"/>
      <c r="K848" s="82" t="n"/>
      <c r="L848" s="82" t="n"/>
      <c r="M848" s="83" t="n"/>
      <c r="N848" s="83" t="n"/>
      <c r="O848" s="66">
        <f>IF(OR($M848="",$N848=""),"",$N848-$M848)</f>
        <v/>
      </c>
      <c r="P848" s="84">
        <f>IF($J848="","",IF($L848&lt;&gt;"",$L848-$J848,TODAY()-$J848))</f>
        <v/>
      </c>
      <c r="Q848" s="85">
        <f>IF(OR($K848="",$H848="Completed",$H848="Cancelled"),"",IF(AND($K848&lt;TODAY(),$H848&lt;&gt;"Completed",$H848&lt;&gt;"Cancelled"),"Overdue","On Track"))</f>
        <v/>
      </c>
      <c r="R848" s="81" t="n"/>
      <c r="S848" s="81">
        <f>IF($B848="","",IFERROR(INDEX(Task_Tracker!$AA$5:$AA$1004,MATCH($B848,Task_Tracker!$A$5:$A$1004,0)),""))</f>
        <v/>
      </c>
      <c r="T848" s="81">
        <f>IF($B848="","",IFERROR(INDEX(Task_Tracker!$AB$5:$AB$1004,MATCH($B848,Task_Tracker!$A$5:$A$1004,0)),""))</f>
        <v/>
      </c>
      <c r="U848" s="78">
        <f>IF($B848="","",IFERROR(INDEX(Task_Tracker!$F$5:$F$1004,MATCH($B848,Task_Tracker!$A$5:$A$1004,0)),""))</f>
        <v/>
      </c>
      <c r="V848" s="78">
        <f>IF($B848="","",IFERROR(INDEX(Task_Tracker!$I$5:$I$1004,MATCH($B848,Task_Tracker!$A$5:$A$1004,0)),""))</f>
        <v/>
      </c>
      <c r="W848" s="81">
        <f>IF(OR($D848="",$B848=""),"",$D848&amp;" | "&amp;$B848)</f>
        <v/>
      </c>
      <c r="X848" s="85">
        <f>IF($K848="","",TEXT($K848,"yyyy-mm"))</f>
        <v/>
      </c>
      <c r="Y848" s="81">
        <f>IF(OR($A848="",$T848=""),"","Included in Manager_Report")</f>
        <v/>
      </c>
    </row>
    <row r="849" ht="15" customHeight="1" s="40">
      <c r="A849" s="65">
        <f>IF(COUNTA(B849:G849)=0,"","STP-"&amp;TEXT(ROW()-4,"0000"))</f>
        <v/>
      </c>
      <c r="B849" s="78" t="n"/>
      <c r="C849" s="67">
        <f>IF($B849="","",IFERROR(INDEX(Task_Tracker!$D$5:$D$1004,MATCH($B849,Task_Tracker!$A$5:$A$1004,0)),""))</f>
        <v/>
      </c>
      <c r="D849" s="67">
        <f>IF($B849="","",IFERROR(INDEX(Task_Tracker!$B$5:$B$1004,MATCH($B849,Task_Tracker!$A$5:$A$1004,0)),""))</f>
        <v/>
      </c>
      <c r="E849" s="81" t="n"/>
      <c r="F849" s="81" t="n"/>
      <c r="G849" s="78" t="n"/>
      <c r="H849" s="78" t="n"/>
      <c r="I849" s="67">
        <f>IF($H849="","",IFERROR(INDEX(Action_Status_Map!$B$5:$B$11,MATCH($H849,Action_Status_Map!$A$5:$A$11,0)),""))</f>
        <v/>
      </c>
      <c r="J849" s="82" t="n"/>
      <c r="K849" s="82" t="n"/>
      <c r="L849" s="82" t="n"/>
      <c r="M849" s="83" t="n"/>
      <c r="N849" s="83" t="n"/>
      <c r="O849" s="66">
        <f>IF(OR($M849="",$N849=""),"",$N849-$M849)</f>
        <v/>
      </c>
      <c r="P849" s="84">
        <f>IF($J849="","",IF($L849&lt;&gt;"",$L849-$J849,TODAY()-$J849))</f>
        <v/>
      </c>
      <c r="Q849" s="85">
        <f>IF(OR($K849="",$H849="Completed",$H849="Cancelled"),"",IF(AND($K849&lt;TODAY(),$H849&lt;&gt;"Completed",$H849&lt;&gt;"Cancelled"),"Overdue","On Track"))</f>
        <v/>
      </c>
      <c r="R849" s="81" t="n"/>
      <c r="S849" s="81">
        <f>IF($B849="","",IFERROR(INDEX(Task_Tracker!$AA$5:$AA$1004,MATCH($B849,Task_Tracker!$A$5:$A$1004,0)),""))</f>
        <v/>
      </c>
      <c r="T849" s="81">
        <f>IF($B849="","",IFERROR(INDEX(Task_Tracker!$AB$5:$AB$1004,MATCH($B849,Task_Tracker!$A$5:$A$1004,0)),""))</f>
        <v/>
      </c>
      <c r="U849" s="78">
        <f>IF($B849="","",IFERROR(INDEX(Task_Tracker!$F$5:$F$1004,MATCH($B849,Task_Tracker!$A$5:$A$1004,0)),""))</f>
        <v/>
      </c>
      <c r="V849" s="78">
        <f>IF($B849="","",IFERROR(INDEX(Task_Tracker!$I$5:$I$1004,MATCH($B849,Task_Tracker!$A$5:$A$1004,0)),""))</f>
        <v/>
      </c>
      <c r="W849" s="81">
        <f>IF(OR($D849="",$B849=""),"",$D849&amp;" | "&amp;$B849)</f>
        <v/>
      </c>
      <c r="X849" s="85">
        <f>IF($K849="","",TEXT($K849,"yyyy-mm"))</f>
        <v/>
      </c>
      <c r="Y849" s="81">
        <f>IF(OR($A849="",$T849=""),"","Included in Manager_Report")</f>
        <v/>
      </c>
    </row>
    <row r="850" ht="15" customHeight="1" s="40">
      <c r="A850" s="65">
        <f>IF(COUNTA(B850:G850)=0,"","STP-"&amp;TEXT(ROW()-4,"0000"))</f>
        <v/>
      </c>
      <c r="B850" s="78" t="n"/>
      <c r="C850" s="67">
        <f>IF($B850="","",IFERROR(INDEX(Task_Tracker!$D$5:$D$1004,MATCH($B850,Task_Tracker!$A$5:$A$1004,0)),""))</f>
        <v/>
      </c>
      <c r="D850" s="67">
        <f>IF($B850="","",IFERROR(INDEX(Task_Tracker!$B$5:$B$1004,MATCH($B850,Task_Tracker!$A$5:$A$1004,0)),""))</f>
        <v/>
      </c>
      <c r="E850" s="81" t="n"/>
      <c r="F850" s="81" t="n"/>
      <c r="G850" s="78" t="n"/>
      <c r="H850" s="78" t="n"/>
      <c r="I850" s="67">
        <f>IF($H850="","",IFERROR(INDEX(Action_Status_Map!$B$5:$B$11,MATCH($H850,Action_Status_Map!$A$5:$A$11,0)),""))</f>
        <v/>
      </c>
      <c r="J850" s="82" t="n"/>
      <c r="K850" s="82" t="n"/>
      <c r="L850" s="82" t="n"/>
      <c r="M850" s="83" t="n"/>
      <c r="N850" s="83" t="n"/>
      <c r="O850" s="66">
        <f>IF(OR($M850="",$N850=""),"",$N850-$M850)</f>
        <v/>
      </c>
      <c r="P850" s="84">
        <f>IF($J850="","",IF($L850&lt;&gt;"",$L850-$J850,TODAY()-$J850))</f>
        <v/>
      </c>
      <c r="Q850" s="85">
        <f>IF(OR($K850="",$H850="Completed",$H850="Cancelled"),"",IF(AND($K850&lt;TODAY(),$H850&lt;&gt;"Completed",$H850&lt;&gt;"Cancelled"),"Overdue","On Track"))</f>
        <v/>
      </c>
      <c r="R850" s="81" t="n"/>
      <c r="S850" s="81">
        <f>IF($B850="","",IFERROR(INDEX(Task_Tracker!$AA$5:$AA$1004,MATCH($B850,Task_Tracker!$A$5:$A$1004,0)),""))</f>
        <v/>
      </c>
      <c r="T850" s="81">
        <f>IF($B850="","",IFERROR(INDEX(Task_Tracker!$AB$5:$AB$1004,MATCH($B850,Task_Tracker!$A$5:$A$1004,0)),""))</f>
        <v/>
      </c>
      <c r="U850" s="78">
        <f>IF($B850="","",IFERROR(INDEX(Task_Tracker!$F$5:$F$1004,MATCH($B850,Task_Tracker!$A$5:$A$1004,0)),""))</f>
        <v/>
      </c>
      <c r="V850" s="78">
        <f>IF($B850="","",IFERROR(INDEX(Task_Tracker!$I$5:$I$1004,MATCH($B850,Task_Tracker!$A$5:$A$1004,0)),""))</f>
        <v/>
      </c>
      <c r="W850" s="81">
        <f>IF(OR($D850="",$B850=""),"",$D850&amp;" | "&amp;$B850)</f>
        <v/>
      </c>
      <c r="X850" s="85">
        <f>IF($K850="","",TEXT($K850,"yyyy-mm"))</f>
        <v/>
      </c>
      <c r="Y850" s="81">
        <f>IF(OR($A850="",$T850=""),"","Included in Manager_Report")</f>
        <v/>
      </c>
    </row>
    <row r="851" ht="15" customHeight="1" s="40">
      <c r="A851" s="65">
        <f>IF(COUNTA(B851:G851)=0,"","STP-"&amp;TEXT(ROW()-4,"0000"))</f>
        <v/>
      </c>
      <c r="B851" s="78" t="n"/>
      <c r="C851" s="67">
        <f>IF($B851="","",IFERROR(INDEX(Task_Tracker!$D$5:$D$1004,MATCH($B851,Task_Tracker!$A$5:$A$1004,0)),""))</f>
        <v/>
      </c>
      <c r="D851" s="67">
        <f>IF($B851="","",IFERROR(INDEX(Task_Tracker!$B$5:$B$1004,MATCH($B851,Task_Tracker!$A$5:$A$1004,0)),""))</f>
        <v/>
      </c>
      <c r="E851" s="81" t="n"/>
      <c r="F851" s="81" t="n"/>
      <c r="G851" s="78" t="n"/>
      <c r="H851" s="78" t="n"/>
      <c r="I851" s="67">
        <f>IF($H851="","",IFERROR(INDEX(Action_Status_Map!$B$5:$B$11,MATCH($H851,Action_Status_Map!$A$5:$A$11,0)),""))</f>
        <v/>
      </c>
      <c r="J851" s="82" t="n"/>
      <c r="K851" s="82" t="n"/>
      <c r="L851" s="82" t="n"/>
      <c r="M851" s="83" t="n"/>
      <c r="N851" s="83" t="n"/>
      <c r="O851" s="66">
        <f>IF(OR($M851="",$N851=""),"",$N851-$M851)</f>
        <v/>
      </c>
      <c r="P851" s="84">
        <f>IF($J851="","",IF($L851&lt;&gt;"",$L851-$J851,TODAY()-$J851))</f>
        <v/>
      </c>
      <c r="Q851" s="85">
        <f>IF(OR($K851="",$H851="Completed",$H851="Cancelled"),"",IF(AND($K851&lt;TODAY(),$H851&lt;&gt;"Completed",$H851&lt;&gt;"Cancelled"),"Overdue","On Track"))</f>
        <v/>
      </c>
      <c r="R851" s="81" t="n"/>
      <c r="S851" s="81">
        <f>IF($B851="","",IFERROR(INDEX(Task_Tracker!$AA$5:$AA$1004,MATCH($B851,Task_Tracker!$A$5:$A$1004,0)),""))</f>
        <v/>
      </c>
      <c r="T851" s="81">
        <f>IF($B851="","",IFERROR(INDEX(Task_Tracker!$AB$5:$AB$1004,MATCH($B851,Task_Tracker!$A$5:$A$1004,0)),""))</f>
        <v/>
      </c>
      <c r="U851" s="78">
        <f>IF($B851="","",IFERROR(INDEX(Task_Tracker!$F$5:$F$1004,MATCH($B851,Task_Tracker!$A$5:$A$1004,0)),""))</f>
        <v/>
      </c>
      <c r="V851" s="78">
        <f>IF($B851="","",IFERROR(INDEX(Task_Tracker!$I$5:$I$1004,MATCH($B851,Task_Tracker!$A$5:$A$1004,0)),""))</f>
        <v/>
      </c>
      <c r="W851" s="81">
        <f>IF(OR($D851="",$B851=""),"",$D851&amp;" | "&amp;$B851)</f>
        <v/>
      </c>
      <c r="X851" s="85">
        <f>IF($K851="","",TEXT($K851,"yyyy-mm"))</f>
        <v/>
      </c>
      <c r="Y851" s="81">
        <f>IF(OR($A851="",$T851=""),"","Included in Manager_Report")</f>
        <v/>
      </c>
    </row>
    <row r="852" ht="15" customHeight="1" s="40">
      <c r="A852" s="65">
        <f>IF(COUNTA(B852:G852)=0,"","STP-"&amp;TEXT(ROW()-4,"0000"))</f>
        <v/>
      </c>
      <c r="B852" s="78" t="n"/>
      <c r="C852" s="67">
        <f>IF($B852="","",IFERROR(INDEX(Task_Tracker!$D$5:$D$1004,MATCH($B852,Task_Tracker!$A$5:$A$1004,0)),""))</f>
        <v/>
      </c>
      <c r="D852" s="67">
        <f>IF($B852="","",IFERROR(INDEX(Task_Tracker!$B$5:$B$1004,MATCH($B852,Task_Tracker!$A$5:$A$1004,0)),""))</f>
        <v/>
      </c>
      <c r="E852" s="81" t="n"/>
      <c r="F852" s="81" t="n"/>
      <c r="G852" s="78" t="n"/>
      <c r="H852" s="78" t="n"/>
      <c r="I852" s="67">
        <f>IF($H852="","",IFERROR(INDEX(Action_Status_Map!$B$5:$B$11,MATCH($H852,Action_Status_Map!$A$5:$A$11,0)),""))</f>
        <v/>
      </c>
      <c r="J852" s="82" t="n"/>
      <c r="K852" s="82" t="n"/>
      <c r="L852" s="82" t="n"/>
      <c r="M852" s="83" t="n"/>
      <c r="N852" s="83" t="n"/>
      <c r="O852" s="66">
        <f>IF(OR($M852="",$N852=""),"",$N852-$M852)</f>
        <v/>
      </c>
      <c r="P852" s="84">
        <f>IF($J852="","",IF($L852&lt;&gt;"",$L852-$J852,TODAY()-$J852))</f>
        <v/>
      </c>
      <c r="Q852" s="85">
        <f>IF(OR($K852="",$H852="Completed",$H852="Cancelled"),"",IF(AND($K852&lt;TODAY(),$H852&lt;&gt;"Completed",$H852&lt;&gt;"Cancelled"),"Overdue","On Track"))</f>
        <v/>
      </c>
      <c r="R852" s="81" t="n"/>
      <c r="S852" s="81">
        <f>IF($B852="","",IFERROR(INDEX(Task_Tracker!$AA$5:$AA$1004,MATCH($B852,Task_Tracker!$A$5:$A$1004,0)),""))</f>
        <v/>
      </c>
      <c r="T852" s="81">
        <f>IF($B852="","",IFERROR(INDEX(Task_Tracker!$AB$5:$AB$1004,MATCH($B852,Task_Tracker!$A$5:$A$1004,0)),""))</f>
        <v/>
      </c>
      <c r="U852" s="78">
        <f>IF($B852="","",IFERROR(INDEX(Task_Tracker!$F$5:$F$1004,MATCH($B852,Task_Tracker!$A$5:$A$1004,0)),""))</f>
        <v/>
      </c>
      <c r="V852" s="78">
        <f>IF($B852="","",IFERROR(INDEX(Task_Tracker!$I$5:$I$1004,MATCH($B852,Task_Tracker!$A$5:$A$1004,0)),""))</f>
        <v/>
      </c>
      <c r="W852" s="81">
        <f>IF(OR($D852="",$B852=""),"",$D852&amp;" | "&amp;$B852)</f>
        <v/>
      </c>
      <c r="X852" s="85">
        <f>IF($K852="","",TEXT($K852,"yyyy-mm"))</f>
        <v/>
      </c>
      <c r="Y852" s="81">
        <f>IF(OR($A852="",$T852=""),"","Included in Manager_Report")</f>
        <v/>
      </c>
    </row>
    <row r="853" ht="15" customHeight="1" s="40">
      <c r="A853" s="65">
        <f>IF(COUNTA(B853:G853)=0,"","STP-"&amp;TEXT(ROW()-4,"0000"))</f>
        <v/>
      </c>
      <c r="B853" s="78" t="n"/>
      <c r="C853" s="67">
        <f>IF($B853="","",IFERROR(INDEX(Task_Tracker!$D$5:$D$1004,MATCH($B853,Task_Tracker!$A$5:$A$1004,0)),""))</f>
        <v/>
      </c>
      <c r="D853" s="67">
        <f>IF($B853="","",IFERROR(INDEX(Task_Tracker!$B$5:$B$1004,MATCH($B853,Task_Tracker!$A$5:$A$1004,0)),""))</f>
        <v/>
      </c>
      <c r="E853" s="81" t="n"/>
      <c r="F853" s="81" t="n"/>
      <c r="G853" s="78" t="n"/>
      <c r="H853" s="78" t="n"/>
      <c r="I853" s="67">
        <f>IF($H853="","",IFERROR(INDEX(Action_Status_Map!$B$5:$B$11,MATCH($H853,Action_Status_Map!$A$5:$A$11,0)),""))</f>
        <v/>
      </c>
      <c r="J853" s="82" t="n"/>
      <c r="K853" s="82" t="n"/>
      <c r="L853" s="82" t="n"/>
      <c r="M853" s="83" t="n"/>
      <c r="N853" s="83" t="n"/>
      <c r="O853" s="66">
        <f>IF(OR($M853="",$N853=""),"",$N853-$M853)</f>
        <v/>
      </c>
      <c r="P853" s="84">
        <f>IF($J853="","",IF($L853&lt;&gt;"",$L853-$J853,TODAY()-$J853))</f>
        <v/>
      </c>
      <c r="Q853" s="85">
        <f>IF(OR($K853="",$H853="Completed",$H853="Cancelled"),"",IF(AND($K853&lt;TODAY(),$H853&lt;&gt;"Completed",$H853&lt;&gt;"Cancelled"),"Overdue","On Track"))</f>
        <v/>
      </c>
      <c r="R853" s="81" t="n"/>
      <c r="S853" s="81">
        <f>IF($B853="","",IFERROR(INDEX(Task_Tracker!$AA$5:$AA$1004,MATCH($B853,Task_Tracker!$A$5:$A$1004,0)),""))</f>
        <v/>
      </c>
      <c r="T853" s="81">
        <f>IF($B853="","",IFERROR(INDEX(Task_Tracker!$AB$5:$AB$1004,MATCH($B853,Task_Tracker!$A$5:$A$1004,0)),""))</f>
        <v/>
      </c>
      <c r="U853" s="78">
        <f>IF($B853="","",IFERROR(INDEX(Task_Tracker!$F$5:$F$1004,MATCH($B853,Task_Tracker!$A$5:$A$1004,0)),""))</f>
        <v/>
      </c>
      <c r="V853" s="78">
        <f>IF($B853="","",IFERROR(INDEX(Task_Tracker!$I$5:$I$1004,MATCH($B853,Task_Tracker!$A$5:$A$1004,0)),""))</f>
        <v/>
      </c>
      <c r="W853" s="81">
        <f>IF(OR($D853="",$B853=""),"",$D853&amp;" | "&amp;$B853)</f>
        <v/>
      </c>
      <c r="X853" s="85">
        <f>IF($K853="","",TEXT($K853,"yyyy-mm"))</f>
        <v/>
      </c>
      <c r="Y853" s="81">
        <f>IF(OR($A853="",$T853=""),"","Included in Manager_Report")</f>
        <v/>
      </c>
    </row>
    <row r="854" ht="15" customHeight="1" s="40">
      <c r="A854" s="65">
        <f>IF(COUNTA(B854:G854)=0,"","STP-"&amp;TEXT(ROW()-4,"0000"))</f>
        <v/>
      </c>
      <c r="B854" s="78" t="n"/>
      <c r="C854" s="67">
        <f>IF($B854="","",IFERROR(INDEX(Task_Tracker!$D$5:$D$1004,MATCH($B854,Task_Tracker!$A$5:$A$1004,0)),""))</f>
        <v/>
      </c>
      <c r="D854" s="67">
        <f>IF($B854="","",IFERROR(INDEX(Task_Tracker!$B$5:$B$1004,MATCH($B854,Task_Tracker!$A$5:$A$1004,0)),""))</f>
        <v/>
      </c>
      <c r="E854" s="81" t="n"/>
      <c r="F854" s="81" t="n"/>
      <c r="G854" s="78" t="n"/>
      <c r="H854" s="78" t="n"/>
      <c r="I854" s="67">
        <f>IF($H854="","",IFERROR(INDEX(Action_Status_Map!$B$5:$B$11,MATCH($H854,Action_Status_Map!$A$5:$A$11,0)),""))</f>
        <v/>
      </c>
      <c r="J854" s="82" t="n"/>
      <c r="K854" s="82" t="n"/>
      <c r="L854" s="82" t="n"/>
      <c r="M854" s="83" t="n"/>
      <c r="N854" s="83" t="n"/>
      <c r="O854" s="66">
        <f>IF(OR($M854="",$N854=""),"",$N854-$M854)</f>
        <v/>
      </c>
      <c r="P854" s="84">
        <f>IF($J854="","",IF($L854&lt;&gt;"",$L854-$J854,TODAY()-$J854))</f>
        <v/>
      </c>
      <c r="Q854" s="85">
        <f>IF(OR($K854="",$H854="Completed",$H854="Cancelled"),"",IF(AND($K854&lt;TODAY(),$H854&lt;&gt;"Completed",$H854&lt;&gt;"Cancelled"),"Overdue","On Track"))</f>
        <v/>
      </c>
      <c r="R854" s="81" t="n"/>
      <c r="S854" s="81">
        <f>IF($B854="","",IFERROR(INDEX(Task_Tracker!$AA$5:$AA$1004,MATCH($B854,Task_Tracker!$A$5:$A$1004,0)),""))</f>
        <v/>
      </c>
      <c r="T854" s="81">
        <f>IF($B854="","",IFERROR(INDEX(Task_Tracker!$AB$5:$AB$1004,MATCH($B854,Task_Tracker!$A$5:$A$1004,0)),""))</f>
        <v/>
      </c>
      <c r="U854" s="78">
        <f>IF($B854="","",IFERROR(INDEX(Task_Tracker!$F$5:$F$1004,MATCH($B854,Task_Tracker!$A$5:$A$1004,0)),""))</f>
        <v/>
      </c>
      <c r="V854" s="78">
        <f>IF($B854="","",IFERROR(INDEX(Task_Tracker!$I$5:$I$1004,MATCH($B854,Task_Tracker!$A$5:$A$1004,0)),""))</f>
        <v/>
      </c>
      <c r="W854" s="81">
        <f>IF(OR($D854="",$B854=""),"",$D854&amp;" | "&amp;$B854)</f>
        <v/>
      </c>
      <c r="X854" s="85">
        <f>IF($K854="","",TEXT($K854,"yyyy-mm"))</f>
        <v/>
      </c>
      <c r="Y854" s="81">
        <f>IF(OR($A854="",$T854=""),"","Included in Manager_Report")</f>
        <v/>
      </c>
    </row>
    <row r="855" ht="15" customHeight="1" s="40">
      <c r="A855" s="65">
        <f>IF(COUNTA(B855:G855)=0,"","STP-"&amp;TEXT(ROW()-4,"0000"))</f>
        <v/>
      </c>
      <c r="B855" s="78" t="n"/>
      <c r="C855" s="67">
        <f>IF($B855="","",IFERROR(INDEX(Task_Tracker!$D$5:$D$1004,MATCH($B855,Task_Tracker!$A$5:$A$1004,0)),""))</f>
        <v/>
      </c>
      <c r="D855" s="67">
        <f>IF($B855="","",IFERROR(INDEX(Task_Tracker!$B$5:$B$1004,MATCH($B855,Task_Tracker!$A$5:$A$1004,0)),""))</f>
        <v/>
      </c>
      <c r="E855" s="81" t="n"/>
      <c r="F855" s="81" t="n"/>
      <c r="G855" s="78" t="n"/>
      <c r="H855" s="78" t="n"/>
      <c r="I855" s="67">
        <f>IF($H855="","",IFERROR(INDEX(Action_Status_Map!$B$5:$B$11,MATCH($H855,Action_Status_Map!$A$5:$A$11,0)),""))</f>
        <v/>
      </c>
      <c r="J855" s="82" t="n"/>
      <c r="K855" s="82" t="n"/>
      <c r="L855" s="82" t="n"/>
      <c r="M855" s="83" t="n"/>
      <c r="N855" s="83" t="n"/>
      <c r="O855" s="66">
        <f>IF(OR($M855="",$N855=""),"",$N855-$M855)</f>
        <v/>
      </c>
      <c r="P855" s="84">
        <f>IF($J855="","",IF($L855&lt;&gt;"",$L855-$J855,TODAY()-$J855))</f>
        <v/>
      </c>
      <c r="Q855" s="85">
        <f>IF(OR($K855="",$H855="Completed",$H855="Cancelled"),"",IF(AND($K855&lt;TODAY(),$H855&lt;&gt;"Completed",$H855&lt;&gt;"Cancelled"),"Overdue","On Track"))</f>
        <v/>
      </c>
      <c r="R855" s="81" t="n"/>
      <c r="S855" s="81">
        <f>IF($B855="","",IFERROR(INDEX(Task_Tracker!$AA$5:$AA$1004,MATCH($B855,Task_Tracker!$A$5:$A$1004,0)),""))</f>
        <v/>
      </c>
      <c r="T855" s="81">
        <f>IF($B855="","",IFERROR(INDEX(Task_Tracker!$AB$5:$AB$1004,MATCH($B855,Task_Tracker!$A$5:$A$1004,0)),""))</f>
        <v/>
      </c>
      <c r="U855" s="78">
        <f>IF($B855="","",IFERROR(INDEX(Task_Tracker!$F$5:$F$1004,MATCH($B855,Task_Tracker!$A$5:$A$1004,0)),""))</f>
        <v/>
      </c>
      <c r="V855" s="78">
        <f>IF($B855="","",IFERROR(INDEX(Task_Tracker!$I$5:$I$1004,MATCH($B855,Task_Tracker!$A$5:$A$1004,0)),""))</f>
        <v/>
      </c>
      <c r="W855" s="81">
        <f>IF(OR($D855="",$B855=""),"",$D855&amp;" | "&amp;$B855)</f>
        <v/>
      </c>
      <c r="X855" s="85">
        <f>IF($K855="","",TEXT($K855,"yyyy-mm"))</f>
        <v/>
      </c>
      <c r="Y855" s="81">
        <f>IF(OR($A855="",$T855=""),"","Included in Manager_Report")</f>
        <v/>
      </c>
    </row>
    <row r="856" ht="15" customHeight="1" s="40">
      <c r="A856" s="65">
        <f>IF(COUNTA(B856:G856)=0,"","STP-"&amp;TEXT(ROW()-4,"0000"))</f>
        <v/>
      </c>
      <c r="B856" s="78" t="n"/>
      <c r="C856" s="67">
        <f>IF($B856="","",IFERROR(INDEX(Task_Tracker!$D$5:$D$1004,MATCH($B856,Task_Tracker!$A$5:$A$1004,0)),""))</f>
        <v/>
      </c>
      <c r="D856" s="67">
        <f>IF($B856="","",IFERROR(INDEX(Task_Tracker!$B$5:$B$1004,MATCH($B856,Task_Tracker!$A$5:$A$1004,0)),""))</f>
        <v/>
      </c>
      <c r="E856" s="81" t="n"/>
      <c r="F856" s="81" t="n"/>
      <c r="G856" s="78" t="n"/>
      <c r="H856" s="78" t="n"/>
      <c r="I856" s="67">
        <f>IF($H856="","",IFERROR(INDEX(Action_Status_Map!$B$5:$B$11,MATCH($H856,Action_Status_Map!$A$5:$A$11,0)),""))</f>
        <v/>
      </c>
      <c r="J856" s="82" t="n"/>
      <c r="K856" s="82" t="n"/>
      <c r="L856" s="82" t="n"/>
      <c r="M856" s="83" t="n"/>
      <c r="N856" s="83" t="n"/>
      <c r="O856" s="66">
        <f>IF(OR($M856="",$N856=""),"",$N856-$M856)</f>
        <v/>
      </c>
      <c r="P856" s="84">
        <f>IF($J856="","",IF($L856&lt;&gt;"",$L856-$J856,TODAY()-$J856))</f>
        <v/>
      </c>
      <c r="Q856" s="85">
        <f>IF(OR($K856="",$H856="Completed",$H856="Cancelled"),"",IF(AND($K856&lt;TODAY(),$H856&lt;&gt;"Completed",$H856&lt;&gt;"Cancelled"),"Overdue","On Track"))</f>
        <v/>
      </c>
      <c r="R856" s="81" t="n"/>
      <c r="S856" s="81">
        <f>IF($B856="","",IFERROR(INDEX(Task_Tracker!$AA$5:$AA$1004,MATCH($B856,Task_Tracker!$A$5:$A$1004,0)),""))</f>
        <v/>
      </c>
      <c r="T856" s="81">
        <f>IF($B856="","",IFERROR(INDEX(Task_Tracker!$AB$5:$AB$1004,MATCH($B856,Task_Tracker!$A$5:$A$1004,0)),""))</f>
        <v/>
      </c>
      <c r="U856" s="78">
        <f>IF($B856="","",IFERROR(INDEX(Task_Tracker!$F$5:$F$1004,MATCH($B856,Task_Tracker!$A$5:$A$1004,0)),""))</f>
        <v/>
      </c>
      <c r="V856" s="78">
        <f>IF($B856="","",IFERROR(INDEX(Task_Tracker!$I$5:$I$1004,MATCH($B856,Task_Tracker!$A$5:$A$1004,0)),""))</f>
        <v/>
      </c>
      <c r="W856" s="81">
        <f>IF(OR($D856="",$B856=""),"",$D856&amp;" | "&amp;$B856)</f>
        <v/>
      </c>
      <c r="X856" s="85">
        <f>IF($K856="","",TEXT($K856,"yyyy-mm"))</f>
        <v/>
      </c>
      <c r="Y856" s="81">
        <f>IF(OR($A856="",$T856=""),"","Included in Manager_Report")</f>
        <v/>
      </c>
    </row>
    <row r="857" ht="15" customHeight="1" s="40">
      <c r="A857" s="65">
        <f>IF(COUNTA(B857:G857)=0,"","STP-"&amp;TEXT(ROW()-4,"0000"))</f>
        <v/>
      </c>
      <c r="B857" s="78" t="n"/>
      <c r="C857" s="67">
        <f>IF($B857="","",IFERROR(INDEX(Task_Tracker!$D$5:$D$1004,MATCH($B857,Task_Tracker!$A$5:$A$1004,0)),""))</f>
        <v/>
      </c>
      <c r="D857" s="67">
        <f>IF($B857="","",IFERROR(INDEX(Task_Tracker!$B$5:$B$1004,MATCH($B857,Task_Tracker!$A$5:$A$1004,0)),""))</f>
        <v/>
      </c>
      <c r="E857" s="81" t="n"/>
      <c r="F857" s="81" t="n"/>
      <c r="G857" s="78" t="n"/>
      <c r="H857" s="78" t="n"/>
      <c r="I857" s="67">
        <f>IF($H857="","",IFERROR(INDEX(Action_Status_Map!$B$5:$B$11,MATCH($H857,Action_Status_Map!$A$5:$A$11,0)),""))</f>
        <v/>
      </c>
      <c r="J857" s="82" t="n"/>
      <c r="K857" s="82" t="n"/>
      <c r="L857" s="82" t="n"/>
      <c r="M857" s="83" t="n"/>
      <c r="N857" s="83" t="n"/>
      <c r="O857" s="66">
        <f>IF(OR($M857="",$N857=""),"",$N857-$M857)</f>
        <v/>
      </c>
      <c r="P857" s="84">
        <f>IF($J857="","",IF($L857&lt;&gt;"",$L857-$J857,TODAY()-$J857))</f>
        <v/>
      </c>
      <c r="Q857" s="85">
        <f>IF(OR($K857="",$H857="Completed",$H857="Cancelled"),"",IF(AND($K857&lt;TODAY(),$H857&lt;&gt;"Completed",$H857&lt;&gt;"Cancelled"),"Overdue","On Track"))</f>
        <v/>
      </c>
      <c r="R857" s="81" t="n"/>
      <c r="S857" s="81">
        <f>IF($B857="","",IFERROR(INDEX(Task_Tracker!$AA$5:$AA$1004,MATCH($B857,Task_Tracker!$A$5:$A$1004,0)),""))</f>
        <v/>
      </c>
      <c r="T857" s="81">
        <f>IF($B857="","",IFERROR(INDEX(Task_Tracker!$AB$5:$AB$1004,MATCH($B857,Task_Tracker!$A$5:$A$1004,0)),""))</f>
        <v/>
      </c>
      <c r="U857" s="78">
        <f>IF($B857="","",IFERROR(INDEX(Task_Tracker!$F$5:$F$1004,MATCH($B857,Task_Tracker!$A$5:$A$1004,0)),""))</f>
        <v/>
      </c>
      <c r="V857" s="78">
        <f>IF($B857="","",IFERROR(INDEX(Task_Tracker!$I$5:$I$1004,MATCH($B857,Task_Tracker!$A$5:$A$1004,0)),""))</f>
        <v/>
      </c>
      <c r="W857" s="81">
        <f>IF(OR($D857="",$B857=""),"",$D857&amp;" | "&amp;$B857)</f>
        <v/>
      </c>
      <c r="X857" s="85">
        <f>IF($K857="","",TEXT($K857,"yyyy-mm"))</f>
        <v/>
      </c>
      <c r="Y857" s="81">
        <f>IF(OR($A857="",$T857=""),"","Included in Manager_Report")</f>
        <v/>
      </c>
    </row>
    <row r="858" ht="15" customHeight="1" s="40">
      <c r="A858" s="65">
        <f>IF(COUNTA(B858:G858)=0,"","STP-"&amp;TEXT(ROW()-4,"0000"))</f>
        <v/>
      </c>
      <c r="B858" s="78" t="n"/>
      <c r="C858" s="67">
        <f>IF($B858="","",IFERROR(INDEX(Task_Tracker!$D$5:$D$1004,MATCH($B858,Task_Tracker!$A$5:$A$1004,0)),""))</f>
        <v/>
      </c>
      <c r="D858" s="67">
        <f>IF($B858="","",IFERROR(INDEX(Task_Tracker!$B$5:$B$1004,MATCH($B858,Task_Tracker!$A$5:$A$1004,0)),""))</f>
        <v/>
      </c>
      <c r="E858" s="81" t="n"/>
      <c r="F858" s="81" t="n"/>
      <c r="G858" s="78" t="n"/>
      <c r="H858" s="78" t="n"/>
      <c r="I858" s="67">
        <f>IF($H858="","",IFERROR(INDEX(Action_Status_Map!$B$5:$B$11,MATCH($H858,Action_Status_Map!$A$5:$A$11,0)),""))</f>
        <v/>
      </c>
      <c r="J858" s="82" t="n"/>
      <c r="K858" s="82" t="n"/>
      <c r="L858" s="82" t="n"/>
      <c r="M858" s="83" t="n"/>
      <c r="N858" s="83" t="n"/>
      <c r="O858" s="66">
        <f>IF(OR($M858="",$N858=""),"",$N858-$M858)</f>
        <v/>
      </c>
      <c r="P858" s="84">
        <f>IF($J858="","",IF($L858&lt;&gt;"",$L858-$J858,TODAY()-$J858))</f>
        <v/>
      </c>
      <c r="Q858" s="85">
        <f>IF(OR($K858="",$H858="Completed",$H858="Cancelled"),"",IF(AND($K858&lt;TODAY(),$H858&lt;&gt;"Completed",$H858&lt;&gt;"Cancelled"),"Overdue","On Track"))</f>
        <v/>
      </c>
      <c r="R858" s="81" t="n"/>
      <c r="S858" s="81">
        <f>IF($B858="","",IFERROR(INDEX(Task_Tracker!$AA$5:$AA$1004,MATCH($B858,Task_Tracker!$A$5:$A$1004,0)),""))</f>
        <v/>
      </c>
      <c r="T858" s="81">
        <f>IF($B858="","",IFERROR(INDEX(Task_Tracker!$AB$5:$AB$1004,MATCH($B858,Task_Tracker!$A$5:$A$1004,0)),""))</f>
        <v/>
      </c>
      <c r="U858" s="78">
        <f>IF($B858="","",IFERROR(INDEX(Task_Tracker!$F$5:$F$1004,MATCH($B858,Task_Tracker!$A$5:$A$1004,0)),""))</f>
        <v/>
      </c>
      <c r="V858" s="78">
        <f>IF($B858="","",IFERROR(INDEX(Task_Tracker!$I$5:$I$1004,MATCH($B858,Task_Tracker!$A$5:$A$1004,0)),""))</f>
        <v/>
      </c>
      <c r="W858" s="81">
        <f>IF(OR($D858="",$B858=""),"",$D858&amp;" | "&amp;$B858)</f>
        <v/>
      </c>
      <c r="X858" s="85">
        <f>IF($K858="","",TEXT($K858,"yyyy-mm"))</f>
        <v/>
      </c>
      <c r="Y858" s="81">
        <f>IF(OR($A858="",$T858=""),"","Included in Manager_Report")</f>
        <v/>
      </c>
    </row>
    <row r="859" ht="15" customHeight="1" s="40">
      <c r="A859" s="65">
        <f>IF(COUNTA(B859:G859)=0,"","STP-"&amp;TEXT(ROW()-4,"0000"))</f>
        <v/>
      </c>
      <c r="B859" s="78" t="n"/>
      <c r="C859" s="67">
        <f>IF($B859="","",IFERROR(INDEX(Task_Tracker!$D$5:$D$1004,MATCH($B859,Task_Tracker!$A$5:$A$1004,0)),""))</f>
        <v/>
      </c>
      <c r="D859" s="67">
        <f>IF($B859="","",IFERROR(INDEX(Task_Tracker!$B$5:$B$1004,MATCH($B859,Task_Tracker!$A$5:$A$1004,0)),""))</f>
        <v/>
      </c>
      <c r="E859" s="81" t="n"/>
      <c r="F859" s="81" t="n"/>
      <c r="G859" s="78" t="n"/>
      <c r="H859" s="78" t="n"/>
      <c r="I859" s="67">
        <f>IF($H859="","",IFERROR(INDEX(Action_Status_Map!$B$5:$B$11,MATCH($H859,Action_Status_Map!$A$5:$A$11,0)),""))</f>
        <v/>
      </c>
      <c r="J859" s="82" t="n"/>
      <c r="K859" s="82" t="n"/>
      <c r="L859" s="82" t="n"/>
      <c r="M859" s="83" t="n"/>
      <c r="N859" s="83" t="n"/>
      <c r="O859" s="66">
        <f>IF(OR($M859="",$N859=""),"",$N859-$M859)</f>
        <v/>
      </c>
      <c r="P859" s="84">
        <f>IF($J859="","",IF($L859&lt;&gt;"",$L859-$J859,TODAY()-$J859))</f>
        <v/>
      </c>
      <c r="Q859" s="85">
        <f>IF(OR($K859="",$H859="Completed",$H859="Cancelled"),"",IF(AND($K859&lt;TODAY(),$H859&lt;&gt;"Completed",$H859&lt;&gt;"Cancelled"),"Overdue","On Track"))</f>
        <v/>
      </c>
      <c r="R859" s="81" t="n"/>
      <c r="S859" s="81">
        <f>IF($B859="","",IFERROR(INDEX(Task_Tracker!$AA$5:$AA$1004,MATCH($B859,Task_Tracker!$A$5:$A$1004,0)),""))</f>
        <v/>
      </c>
      <c r="T859" s="81">
        <f>IF($B859="","",IFERROR(INDEX(Task_Tracker!$AB$5:$AB$1004,MATCH($B859,Task_Tracker!$A$5:$A$1004,0)),""))</f>
        <v/>
      </c>
      <c r="U859" s="78">
        <f>IF($B859="","",IFERROR(INDEX(Task_Tracker!$F$5:$F$1004,MATCH($B859,Task_Tracker!$A$5:$A$1004,0)),""))</f>
        <v/>
      </c>
      <c r="V859" s="78">
        <f>IF($B859="","",IFERROR(INDEX(Task_Tracker!$I$5:$I$1004,MATCH($B859,Task_Tracker!$A$5:$A$1004,0)),""))</f>
        <v/>
      </c>
      <c r="W859" s="81">
        <f>IF(OR($D859="",$B859=""),"",$D859&amp;" | "&amp;$B859)</f>
        <v/>
      </c>
      <c r="X859" s="85">
        <f>IF($K859="","",TEXT($K859,"yyyy-mm"))</f>
        <v/>
      </c>
      <c r="Y859" s="81">
        <f>IF(OR($A859="",$T859=""),"","Included in Manager_Report")</f>
        <v/>
      </c>
    </row>
    <row r="860" ht="15" customHeight="1" s="40">
      <c r="A860" s="65">
        <f>IF(COUNTA(B860:G860)=0,"","STP-"&amp;TEXT(ROW()-4,"0000"))</f>
        <v/>
      </c>
      <c r="B860" s="78" t="n"/>
      <c r="C860" s="67">
        <f>IF($B860="","",IFERROR(INDEX(Task_Tracker!$D$5:$D$1004,MATCH($B860,Task_Tracker!$A$5:$A$1004,0)),""))</f>
        <v/>
      </c>
      <c r="D860" s="67">
        <f>IF($B860="","",IFERROR(INDEX(Task_Tracker!$B$5:$B$1004,MATCH($B860,Task_Tracker!$A$5:$A$1004,0)),""))</f>
        <v/>
      </c>
      <c r="E860" s="81" t="n"/>
      <c r="F860" s="81" t="n"/>
      <c r="G860" s="78" t="n"/>
      <c r="H860" s="78" t="n"/>
      <c r="I860" s="67">
        <f>IF($H860="","",IFERROR(INDEX(Action_Status_Map!$B$5:$B$11,MATCH($H860,Action_Status_Map!$A$5:$A$11,0)),""))</f>
        <v/>
      </c>
      <c r="J860" s="82" t="n"/>
      <c r="K860" s="82" t="n"/>
      <c r="L860" s="82" t="n"/>
      <c r="M860" s="83" t="n"/>
      <c r="N860" s="83" t="n"/>
      <c r="O860" s="66">
        <f>IF(OR($M860="",$N860=""),"",$N860-$M860)</f>
        <v/>
      </c>
      <c r="P860" s="84">
        <f>IF($J860="","",IF($L860&lt;&gt;"",$L860-$J860,TODAY()-$J860))</f>
        <v/>
      </c>
      <c r="Q860" s="85">
        <f>IF(OR($K860="",$H860="Completed",$H860="Cancelled"),"",IF(AND($K860&lt;TODAY(),$H860&lt;&gt;"Completed",$H860&lt;&gt;"Cancelled"),"Overdue","On Track"))</f>
        <v/>
      </c>
      <c r="R860" s="81" t="n"/>
      <c r="S860" s="81">
        <f>IF($B860="","",IFERROR(INDEX(Task_Tracker!$AA$5:$AA$1004,MATCH($B860,Task_Tracker!$A$5:$A$1004,0)),""))</f>
        <v/>
      </c>
      <c r="T860" s="81">
        <f>IF($B860="","",IFERROR(INDEX(Task_Tracker!$AB$5:$AB$1004,MATCH($B860,Task_Tracker!$A$5:$A$1004,0)),""))</f>
        <v/>
      </c>
      <c r="U860" s="78">
        <f>IF($B860="","",IFERROR(INDEX(Task_Tracker!$F$5:$F$1004,MATCH($B860,Task_Tracker!$A$5:$A$1004,0)),""))</f>
        <v/>
      </c>
      <c r="V860" s="78">
        <f>IF($B860="","",IFERROR(INDEX(Task_Tracker!$I$5:$I$1004,MATCH($B860,Task_Tracker!$A$5:$A$1004,0)),""))</f>
        <v/>
      </c>
      <c r="W860" s="81">
        <f>IF(OR($D860="",$B860=""),"",$D860&amp;" | "&amp;$B860)</f>
        <v/>
      </c>
      <c r="X860" s="85">
        <f>IF($K860="","",TEXT($K860,"yyyy-mm"))</f>
        <v/>
      </c>
      <c r="Y860" s="81">
        <f>IF(OR($A860="",$T860=""),"","Included in Manager_Report")</f>
        <v/>
      </c>
    </row>
    <row r="861" ht="15" customHeight="1" s="40">
      <c r="A861" s="65">
        <f>IF(COUNTA(B861:G861)=0,"","STP-"&amp;TEXT(ROW()-4,"0000"))</f>
        <v/>
      </c>
      <c r="B861" s="78" t="n"/>
      <c r="C861" s="67">
        <f>IF($B861="","",IFERROR(INDEX(Task_Tracker!$D$5:$D$1004,MATCH($B861,Task_Tracker!$A$5:$A$1004,0)),""))</f>
        <v/>
      </c>
      <c r="D861" s="67">
        <f>IF($B861="","",IFERROR(INDEX(Task_Tracker!$B$5:$B$1004,MATCH($B861,Task_Tracker!$A$5:$A$1004,0)),""))</f>
        <v/>
      </c>
      <c r="E861" s="81" t="n"/>
      <c r="F861" s="81" t="n"/>
      <c r="G861" s="78" t="n"/>
      <c r="H861" s="78" t="n"/>
      <c r="I861" s="67">
        <f>IF($H861="","",IFERROR(INDEX(Action_Status_Map!$B$5:$B$11,MATCH($H861,Action_Status_Map!$A$5:$A$11,0)),""))</f>
        <v/>
      </c>
      <c r="J861" s="82" t="n"/>
      <c r="K861" s="82" t="n"/>
      <c r="L861" s="82" t="n"/>
      <c r="M861" s="83" t="n"/>
      <c r="N861" s="83" t="n"/>
      <c r="O861" s="66">
        <f>IF(OR($M861="",$N861=""),"",$N861-$M861)</f>
        <v/>
      </c>
      <c r="P861" s="84">
        <f>IF($J861="","",IF($L861&lt;&gt;"",$L861-$J861,TODAY()-$J861))</f>
        <v/>
      </c>
      <c r="Q861" s="85">
        <f>IF(OR($K861="",$H861="Completed",$H861="Cancelled"),"",IF(AND($K861&lt;TODAY(),$H861&lt;&gt;"Completed",$H861&lt;&gt;"Cancelled"),"Overdue","On Track"))</f>
        <v/>
      </c>
      <c r="R861" s="81" t="n"/>
      <c r="S861" s="81">
        <f>IF($B861="","",IFERROR(INDEX(Task_Tracker!$AA$5:$AA$1004,MATCH($B861,Task_Tracker!$A$5:$A$1004,0)),""))</f>
        <v/>
      </c>
      <c r="T861" s="81">
        <f>IF($B861="","",IFERROR(INDEX(Task_Tracker!$AB$5:$AB$1004,MATCH($B861,Task_Tracker!$A$5:$A$1004,0)),""))</f>
        <v/>
      </c>
      <c r="U861" s="78">
        <f>IF($B861="","",IFERROR(INDEX(Task_Tracker!$F$5:$F$1004,MATCH($B861,Task_Tracker!$A$5:$A$1004,0)),""))</f>
        <v/>
      </c>
      <c r="V861" s="78">
        <f>IF($B861="","",IFERROR(INDEX(Task_Tracker!$I$5:$I$1004,MATCH($B861,Task_Tracker!$A$5:$A$1004,0)),""))</f>
        <v/>
      </c>
      <c r="W861" s="81">
        <f>IF(OR($D861="",$B861=""),"",$D861&amp;" | "&amp;$B861)</f>
        <v/>
      </c>
      <c r="X861" s="85">
        <f>IF($K861="","",TEXT($K861,"yyyy-mm"))</f>
        <v/>
      </c>
      <c r="Y861" s="81">
        <f>IF(OR($A861="",$T861=""),"","Included in Manager_Report")</f>
        <v/>
      </c>
    </row>
    <row r="862" ht="15" customHeight="1" s="40">
      <c r="A862" s="65">
        <f>IF(COUNTA(B862:G862)=0,"","STP-"&amp;TEXT(ROW()-4,"0000"))</f>
        <v/>
      </c>
      <c r="B862" s="78" t="n"/>
      <c r="C862" s="67">
        <f>IF($B862="","",IFERROR(INDEX(Task_Tracker!$D$5:$D$1004,MATCH($B862,Task_Tracker!$A$5:$A$1004,0)),""))</f>
        <v/>
      </c>
      <c r="D862" s="67">
        <f>IF($B862="","",IFERROR(INDEX(Task_Tracker!$B$5:$B$1004,MATCH($B862,Task_Tracker!$A$5:$A$1004,0)),""))</f>
        <v/>
      </c>
      <c r="E862" s="81" t="n"/>
      <c r="F862" s="81" t="n"/>
      <c r="G862" s="78" t="n"/>
      <c r="H862" s="78" t="n"/>
      <c r="I862" s="67">
        <f>IF($H862="","",IFERROR(INDEX(Action_Status_Map!$B$5:$B$11,MATCH($H862,Action_Status_Map!$A$5:$A$11,0)),""))</f>
        <v/>
      </c>
      <c r="J862" s="82" t="n"/>
      <c r="K862" s="82" t="n"/>
      <c r="L862" s="82" t="n"/>
      <c r="M862" s="83" t="n"/>
      <c r="N862" s="83" t="n"/>
      <c r="O862" s="66">
        <f>IF(OR($M862="",$N862=""),"",$N862-$M862)</f>
        <v/>
      </c>
      <c r="P862" s="84">
        <f>IF($J862="","",IF($L862&lt;&gt;"",$L862-$J862,TODAY()-$J862))</f>
        <v/>
      </c>
      <c r="Q862" s="85">
        <f>IF(OR($K862="",$H862="Completed",$H862="Cancelled"),"",IF(AND($K862&lt;TODAY(),$H862&lt;&gt;"Completed",$H862&lt;&gt;"Cancelled"),"Overdue","On Track"))</f>
        <v/>
      </c>
      <c r="R862" s="81" t="n"/>
      <c r="S862" s="81">
        <f>IF($B862="","",IFERROR(INDEX(Task_Tracker!$AA$5:$AA$1004,MATCH($B862,Task_Tracker!$A$5:$A$1004,0)),""))</f>
        <v/>
      </c>
      <c r="T862" s="81">
        <f>IF($B862="","",IFERROR(INDEX(Task_Tracker!$AB$5:$AB$1004,MATCH($B862,Task_Tracker!$A$5:$A$1004,0)),""))</f>
        <v/>
      </c>
      <c r="U862" s="78">
        <f>IF($B862="","",IFERROR(INDEX(Task_Tracker!$F$5:$F$1004,MATCH($B862,Task_Tracker!$A$5:$A$1004,0)),""))</f>
        <v/>
      </c>
      <c r="V862" s="78">
        <f>IF($B862="","",IFERROR(INDEX(Task_Tracker!$I$5:$I$1004,MATCH($B862,Task_Tracker!$A$5:$A$1004,0)),""))</f>
        <v/>
      </c>
      <c r="W862" s="81">
        <f>IF(OR($D862="",$B862=""),"",$D862&amp;" | "&amp;$B862)</f>
        <v/>
      </c>
      <c r="X862" s="85">
        <f>IF($K862="","",TEXT($K862,"yyyy-mm"))</f>
        <v/>
      </c>
      <c r="Y862" s="81">
        <f>IF(OR($A862="",$T862=""),"","Included in Manager_Report")</f>
        <v/>
      </c>
    </row>
    <row r="863" ht="15" customHeight="1" s="40">
      <c r="A863" s="65">
        <f>IF(COUNTA(B863:G863)=0,"","STP-"&amp;TEXT(ROW()-4,"0000"))</f>
        <v/>
      </c>
      <c r="B863" s="78" t="n"/>
      <c r="C863" s="67">
        <f>IF($B863="","",IFERROR(INDEX(Task_Tracker!$D$5:$D$1004,MATCH($B863,Task_Tracker!$A$5:$A$1004,0)),""))</f>
        <v/>
      </c>
      <c r="D863" s="67">
        <f>IF($B863="","",IFERROR(INDEX(Task_Tracker!$B$5:$B$1004,MATCH($B863,Task_Tracker!$A$5:$A$1004,0)),""))</f>
        <v/>
      </c>
      <c r="E863" s="81" t="n"/>
      <c r="F863" s="81" t="n"/>
      <c r="G863" s="78" t="n"/>
      <c r="H863" s="78" t="n"/>
      <c r="I863" s="67">
        <f>IF($H863="","",IFERROR(INDEX(Action_Status_Map!$B$5:$B$11,MATCH($H863,Action_Status_Map!$A$5:$A$11,0)),""))</f>
        <v/>
      </c>
      <c r="J863" s="82" t="n"/>
      <c r="K863" s="82" t="n"/>
      <c r="L863" s="82" t="n"/>
      <c r="M863" s="83" t="n"/>
      <c r="N863" s="83" t="n"/>
      <c r="O863" s="66">
        <f>IF(OR($M863="",$N863=""),"",$N863-$M863)</f>
        <v/>
      </c>
      <c r="P863" s="84">
        <f>IF($J863="","",IF($L863&lt;&gt;"",$L863-$J863,TODAY()-$J863))</f>
        <v/>
      </c>
      <c r="Q863" s="85">
        <f>IF(OR($K863="",$H863="Completed",$H863="Cancelled"),"",IF(AND($K863&lt;TODAY(),$H863&lt;&gt;"Completed",$H863&lt;&gt;"Cancelled"),"Overdue","On Track"))</f>
        <v/>
      </c>
      <c r="R863" s="81" t="n"/>
      <c r="S863" s="81">
        <f>IF($B863="","",IFERROR(INDEX(Task_Tracker!$AA$5:$AA$1004,MATCH($B863,Task_Tracker!$A$5:$A$1004,0)),""))</f>
        <v/>
      </c>
      <c r="T863" s="81">
        <f>IF($B863="","",IFERROR(INDEX(Task_Tracker!$AB$5:$AB$1004,MATCH($B863,Task_Tracker!$A$5:$A$1004,0)),""))</f>
        <v/>
      </c>
      <c r="U863" s="78">
        <f>IF($B863="","",IFERROR(INDEX(Task_Tracker!$F$5:$F$1004,MATCH($B863,Task_Tracker!$A$5:$A$1004,0)),""))</f>
        <v/>
      </c>
      <c r="V863" s="78">
        <f>IF($B863="","",IFERROR(INDEX(Task_Tracker!$I$5:$I$1004,MATCH($B863,Task_Tracker!$A$5:$A$1004,0)),""))</f>
        <v/>
      </c>
      <c r="W863" s="81">
        <f>IF(OR($D863="",$B863=""),"",$D863&amp;" | "&amp;$B863)</f>
        <v/>
      </c>
      <c r="X863" s="85">
        <f>IF($K863="","",TEXT($K863,"yyyy-mm"))</f>
        <v/>
      </c>
      <c r="Y863" s="81">
        <f>IF(OR($A863="",$T863=""),"","Included in Manager_Report")</f>
        <v/>
      </c>
    </row>
    <row r="864" ht="15" customHeight="1" s="40">
      <c r="A864" s="65">
        <f>IF(COUNTA(B864:G864)=0,"","STP-"&amp;TEXT(ROW()-4,"0000"))</f>
        <v/>
      </c>
      <c r="B864" s="78" t="n"/>
      <c r="C864" s="67">
        <f>IF($B864="","",IFERROR(INDEX(Task_Tracker!$D$5:$D$1004,MATCH($B864,Task_Tracker!$A$5:$A$1004,0)),""))</f>
        <v/>
      </c>
      <c r="D864" s="67">
        <f>IF($B864="","",IFERROR(INDEX(Task_Tracker!$B$5:$B$1004,MATCH($B864,Task_Tracker!$A$5:$A$1004,0)),""))</f>
        <v/>
      </c>
      <c r="E864" s="81" t="n"/>
      <c r="F864" s="81" t="n"/>
      <c r="G864" s="78" t="n"/>
      <c r="H864" s="78" t="n"/>
      <c r="I864" s="67">
        <f>IF($H864="","",IFERROR(INDEX(Action_Status_Map!$B$5:$B$11,MATCH($H864,Action_Status_Map!$A$5:$A$11,0)),""))</f>
        <v/>
      </c>
      <c r="J864" s="82" t="n"/>
      <c r="K864" s="82" t="n"/>
      <c r="L864" s="82" t="n"/>
      <c r="M864" s="83" t="n"/>
      <c r="N864" s="83" t="n"/>
      <c r="O864" s="66">
        <f>IF(OR($M864="",$N864=""),"",$N864-$M864)</f>
        <v/>
      </c>
      <c r="P864" s="84">
        <f>IF($J864="","",IF($L864&lt;&gt;"",$L864-$J864,TODAY()-$J864))</f>
        <v/>
      </c>
      <c r="Q864" s="85">
        <f>IF(OR($K864="",$H864="Completed",$H864="Cancelled"),"",IF(AND($K864&lt;TODAY(),$H864&lt;&gt;"Completed",$H864&lt;&gt;"Cancelled"),"Overdue","On Track"))</f>
        <v/>
      </c>
      <c r="R864" s="81" t="n"/>
      <c r="S864" s="81">
        <f>IF($B864="","",IFERROR(INDEX(Task_Tracker!$AA$5:$AA$1004,MATCH($B864,Task_Tracker!$A$5:$A$1004,0)),""))</f>
        <v/>
      </c>
      <c r="T864" s="81">
        <f>IF($B864="","",IFERROR(INDEX(Task_Tracker!$AB$5:$AB$1004,MATCH($B864,Task_Tracker!$A$5:$A$1004,0)),""))</f>
        <v/>
      </c>
      <c r="U864" s="78">
        <f>IF($B864="","",IFERROR(INDEX(Task_Tracker!$F$5:$F$1004,MATCH($B864,Task_Tracker!$A$5:$A$1004,0)),""))</f>
        <v/>
      </c>
      <c r="V864" s="78">
        <f>IF($B864="","",IFERROR(INDEX(Task_Tracker!$I$5:$I$1004,MATCH($B864,Task_Tracker!$A$5:$A$1004,0)),""))</f>
        <v/>
      </c>
      <c r="W864" s="81">
        <f>IF(OR($D864="",$B864=""),"",$D864&amp;" | "&amp;$B864)</f>
        <v/>
      </c>
      <c r="X864" s="85">
        <f>IF($K864="","",TEXT($K864,"yyyy-mm"))</f>
        <v/>
      </c>
      <c r="Y864" s="81">
        <f>IF(OR($A864="",$T864=""),"","Included in Manager_Report")</f>
        <v/>
      </c>
    </row>
    <row r="865" ht="15" customHeight="1" s="40">
      <c r="A865" s="65">
        <f>IF(COUNTA(B865:G865)=0,"","STP-"&amp;TEXT(ROW()-4,"0000"))</f>
        <v/>
      </c>
      <c r="B865" s="78" t="n"/>
      <c r="C865" s="67">
        <f>IF($B865="","",IFERROR(INDEX(Task_Tracker!$D$5:$D$1004,MATCH($B865,Task_Tracker!$A$5:$A$1004,0)),""))</f>
        <v/>
      </c>
      <c r="D865" s="67">
        <f>IF($B865="","",IFERROR(INDEX(Task_Tracker!$B$5:$B$1004,MATCH($B865,Task_Tracker!$A$5:$A$1004,0)),""))</f>
        <v/>
      </c>
      <c r="E865" s="81" t="n"/>
      <c r="F865" s="81" t="n"/>
      <c r="G865" s="78" t="n"/>
      <c r="H865" s="78" t="n"/>
      <c r="I865" s="67">
        <f>IF($H865="","",IFERROR(INDEX(Action_Status_Map!$B$5:$B$11,MATCH($H865,Action_Status_Map!$A$5:$A$11,0)),""))</f>
        <v/>
      </c>
      <c r="J865" s="82" t="n"/>
      <c r="K865" s="82" t="n"/>
      <c r="L865" s="82" t="n"/>
      <c r="M865" s="83" t="n"/>
      <c r="N865" s="83" t="n"/>
      <c r="O865" s="66">
        <f>IF(OR($M865="",$N865=""),"",$N865-$M865)</f>
        <v/>
      </c>
      <c r="P865" s="84">
        <f>IF($J865="","",IF($L865&lt;&gt;"",$L865-$J865,TODAY()-$J865))</f>
        <v/>
      </c>
      <c r="Q865" s="85">
        <f>IF(OR($K865="",$H865="Completed",$H865="Cancelled"),"",IF(AND($K865&lt;TODAY(),$H865&lt;&gt;"Completed",$H865&lt;&gt;"Cancelled"),"Overdue","On Track"))</f>
        <v/>
      </c>
      <c r="R865" s="81" t="n"/>
      <c r="S865" s="81">
        <f>IF($B865="","",IFERROR(INDEX(Task_Tracker!$AA$5:$AA$1004,MATCH($B865,Task_Tracker!$A$5:$A$1004,0)),""))</f>
        <v/>
      </c>
      <c r="T865" s="81">
        <f>IF($B865="","",IFERROR(INDEX(Task_Tracker!$AB$5:$AB$1004,MATCH($B865,Task_Tracker!$A$5:$A$1004,0)),""))</f>
        <v/>
      </c>
      <c r="U865" s="78">
        <f>IF($B865="","",IFERROR(INDEX(Task_Tracker!$F$5:$F$1004,MATCH($B865,Task_Tracker!$A$5:$A$1004,0)),""))</f>
        <v/>
      </c>
      <c r="V865" s="78">
        <f>IF($B865="","",IFERROR(INDEX(Task_Tracker!$I$5:$I$1004,MATCH($B865,Task_Tracker!$A$5:$A$1004,0)),""))</f>
        <v/>
      </c>
      <c r="W865" s="81">
        <f>IF(OR($D865="",$B865=""),"",$D865&amp;" | "&amp;$B865)</f>
        <v/>
      </c>
      <c r="X865" s="85">
        <f>IF($K865="","",TEXT($K865,"yyyy-mm"))</f>
        <v/>
      </c>
      <c r="Y865" s="81">
        <f>IF(OR($A865="",$T865=""),"","Included in Manager_Report")</f>
        <v/>
      </c>
    </row>
    <row r="866" ht="15" customHeight="1" s="40">
      <c r="A866" s="65">
        <f>IF(COUNTA(B866:G866)=0,"","STP-"&amp;TEXT(ROW()-4,"0000"))</f>
        <v/>
      </c>
      <c r="B866" s="78" t="n"/>
      <c r="C866" s="67">
        <f>IF($B866="","",IFERROR(INDEX(Task_Tracker!$D$5:$D$1004,MATCH($B866,Task_Tracker!$A$5:$A$1004,0)),""))</f>
        <v/>
      </c>
      <c r="D866" s="67">
        <f>IF($B866="","",IFERROR(INDEX(Task_Tracker!$B$5:$B$1004,MATCH($B866,Task_Tracker!$A$5:$A$1004,0)),""))</f>
        <v/>
      </c>
      <c r="E866" s="81" t="n"/>
      <c r="F866" s="81" t="n"/>
      <c r="G866" s="78" t="n"/>
      <c r="H866" s="78" t="n"/>
      <c r="I866" s="67">
        <f>IF($H866="","",IFERROR(INDEX(Action_Status_Map!$B$5:$B$11,MATCH($H866,Action_Status_Map!$A$5:$A$11,0)),""))</f>
        <v/>
      </c>
      <c r="J866" s="82" t="n"/>
      <c r="K866" s="82" t="n"/>
      <c r="L866" s="82" t="n"/>
      <c r="M866" s="83" t="n"/>
      <c r="N866" s="83" t="n"/>
      <c r="O866" s="66">
        <f>IF(OR($M866="",$N866=""),"",$N866-$M866)</f>
        <v/>
      </c>
      <c r="P866" s="84">
        <f>IF($J866="","",IF($L866&lt;&gt;"",$L866-$J866,TODAY()-$J866))</f>
        <v/>
      </c>
      <c r="Q866" s="85">
        <f>IF(OR($K866="",$H866="Completed",$H866="Cancelled"),"",IF(AND($K866&lt;TODAY(),$H866&lt;&gt;"Completed",$H866&lt;&gt;"Cancelled"),"Overdue","On Track"))</f>
        <v/>
      </c>
      <c r="R866" s="81" t="n"/>
      <c r="S866" s="81">
        <f>IF($B866="","",IFERROR(INDEX(Task_Tracker!$AA$5:$AA$1004,MATCH($B866,Task_Tracker!$A$5:$A$1004,0)),""))</f>
        <v/>
      </c>
      <c r="T866" s="81">
        <f>IF($B866="","",IFERROR(INDEX(Task_Tracker!$AB$5:$AB$1004,MATCH($B866,Task_Tracker!$A$5:$A$1004,0)),""))</f>
        <v/>
      </c>
      <c r="U866" s="78">
        <f>IF($B866="","",IFERROR(INDEX(Task_Tracker!$F$5:$F$1004,MATCH($B866,Task_Tracker!$A$5:$A$1004,0)),""))</f>
        <v/>
      </c>
      <c r="V866" s="78">
        <f>IF($B866="","",IFERROR(INDEX(Task_Tracker!$I$5:$I$1004,MATCH($B866,Task_Tracker!$A$5:$A$1004,0)),""))</f>
        <v/>
      </c>
      <c r="W866" s="81">
        <f>IF(OR($D866="",$B866=""),"",$D866&amp;" | "&amp;$B866)</f>
        <v/>
      </c>
      <c r="X866" s="85">
        <f>IF($K866="","",TEXT($K866,"yyyy-mm"))</f>
        <v/>
      </c>
      <c r="Y866" s="81">
        <f>IF(OR($A866="",$T866=""),"","Included in Manager_Report")</f>
        <v/>
      </c>
    </row>
    <row r="867" ht="15" customHeight="1" s="40">
      <c r="A867" s="65">
        <f>IF(COUNTA(B867:G867)=0,"","STP-"&amp;TEXT(ROW()-4,"0000"))</f>
        <v/>
      </c>
      <c r="B867" s="78" t="n"/>
      <c r="C867" s="67">
        <f>IF($B867="","",IFERROR(INDEX(Task_Tracker!$D$5:$D$1004,MATCH($B867,Task_Tracker!$A$5:$A$1004,0)),""))</f>
        <v/>
      </c>
      <c r="D867" s="67">
        <f>IF($B867="","",IFERROR(INDEX(Task_Tracker!$B$5:$B$1004,MATCH($B867,Task_Tracker!$A$5:$A$1004,0)),""))</f>
        <v/>
      </c>
      <c r="E867" s="81" t="n"/>
      <c r="F867" s="81" t="n"/>
      <c r="G867" s="78" t="n"/>
      <c r="H867" s="78" t="n"/>
      <c r="I867" s="67">
        <f>IF($H867="","",IFERROR(INDEX(Action_Status_Map!$B$5:$B$11,MATCH($H867,Action_Status_Map!$A$5:$A$11,0)),""))</f>
        <v/>
      </c>
      <c r="J867" s="82" t="n"/>
      <c r="K867" s="82" t="n"/>
      <c r="L867" s="82" t="n"/>
      <c r="M867" s="83" t="n"/>
      <c r="N867" s="83" t="n"/>
      <c r="O867" s="66">
        <f>IF(OR($M867="",$N867=""),"",$N867-$M867)</f>
        <v/>
      </c>
      <c r="P867" s="84">
        <f>IF($J867="","",IF($L867&lt;&gt;"",$L867-$J867,TODAY()-$J867))</f>
        <v/>
      </c>
      <c r="Q867" s="85">
        <f>IF(OR($K867="",$H867="Completed",$H867="Cancelled"),"",IF(AND($K867&lt;TODAY(),$H867&lt;&gt;"Completed",$H867&lt;&gt;"Cancelled"),"Overdue","On Track"))</f>
        <v/>
      </c>
      <c r="R867" s="81" t="n"/>
      <c r="S867" s="81">
        <f>IF($B867="","",IFERROR(INDEX(Task_Tracker!$AA$5:$AA$1004,MATCH($B867,Task_Tracker!$A$5:$A$1004,0)),""))</f>
        <v/>
      </c>
      <c r="T867" s="81">
        <f>IF($B867="","",IFERROR(INDEX(Task_Tracker!$AB$5:$AB$1004,MATCH($B867,Task_Tracker!$A$5:$A$1004,0)),""))</f>
        <v/>
      </c>
      <c r="U867" s="78">
        <f>IF($B867="","",IFERROR(INDEX(Task_Tracker!$F$5:$F$1004,MATCH($B867,Task_Tracker!$A$5:$A$1004,0)),""))</f>
        <v/>
      </c>
      <c r="V867" s="78">
        <f>IF($B867="","",IFERROR(INDEX(Task_Tracker!$I$5:$I$1004,MATCH($B867,Task_Tracker!$A$5:$A$1004,0)),""))</f>
        <v/>
      </c>
      <c r="W867" s="81">
        <f>IF(OR($D867="",$B867=""),"",$D867&amp;" | "&amp;$B867)</f>
        <v/>
      </c>
      <c r="X867" s="85">
        <f>IF($K867="","",TEXT($K867,"yyyy-mm"))</f>
        <v/>
      </c>
      <c r="Y867" s="81">
        <f>IF(OR($A867="",$T867=""),"","Included in Manager_Report")</f>
        <v/>
      </c>
    </row>
    <row r="868" ht="15" customHeight="1" s="40">
      <c r="A868" s="65">
        <f>IF(COUNTA(B868:G868)=0,"","STP-"&amp;TEXT(ROW()-4,"0000"))</f>
        <v/>
      </c>
      <c r="B868" s="78" t="n"/>
      <c r="C868" s="67">
        <f>IF($B868="","",IFERROR(INDEX(Task_Tracker!$D$5:$D$1004,MATCH($B868,Task_Tracker!$A$5:$A$1004,0)),""))</f>
        <v/>
      </c>
      <c r="D868" s="67">
        <f>IF($B868="","",IFERROR(INDEX(Task_Tracker!$B$5:$B$1004,MATCH($B868,Task_Tracker!$A$5:$A$1004,0)),""))</f>
        <v/>
      </c>
      <c r="E868" s="81" t="n"/>
      <c r="F868" s="81" t="n"/>
      <c r="G868" s="78" t="n"/>
      <c r="H868" s="78" t="n"/>
      <c r="I868" s="67">
        <f>IF($H868="","",IFERROR(INDEX(Action_Status_Map!$B$5:$B$11,MATCH($H868,Action_Status_Map!$A$5:$A$11,0)),""))</f>
        <v/>
      </c>
      <c r="J868" s="82" t="n"/>
      <c r="K868" s="82" t="n"/>
      <c r="L868" s="82" t="n"/>
      <c r="M868" s="83" t="n"/>
      <c r="N868" s="83" t="n"/>
      <c r="O868" s="66">
        <f>IF(OR($M868="",$N868=""),"",$N868-$M868)</f>
        <v/>
      </c>
      <c r="P868" s="84">
        <f>IF($J868="","",IF($L868&lt;&gt;"",$L868-$J868,TODAY()-$J868))</f>
        <v/>
      </c>
      <c r="Q868" s="85">
        <f>IF(OR($K868="",$H868="Completed",$H868="Cancelled"),"",IF(AND($K868&lt;TODAY(),$H868&lt;&gt;"Completed",$H868&lt;&gt;"Cancelled"),"Overdue","On Track"))</f>
        <v/>
      </c>
      <c r="R868" s="81" t="n"/>
      <c r="S868" s="81">
        <f>IF($B868="","",IFERROR(INDEX(Task_Tracker!$AA$5:$AA$1004,MATCH($B868,Task_Tracker!$A$5:$A$1004,0)),""))</f>
        <v/>
      </c>
      <c r="T868" s="81">
        <f>IF($B868="","",IFERROR(INDEX(Task_Tracker!$AB$5:$AB$1004,MATCH($B868,Task_Tracker!$A$5:$A$1004,0)),""))</f>
        <v/>
      </c>
      <c r="U868" s="78">
        <f>IF($B868="","",IFERROR(INDEX(Task_Tracker!$F$5:$F$1004,MATCH($B868,Task_Tracker!$A$5:$A$1004,0)),""))</f>
        <v/>
      </c>
      <c r="V868" s="78">
        <f>IF($B868="","",IFERROR(INDEX(Task_Tracker!$I$5:$I$1004,MATCH($B868,Task_Tracker!$A$5:$A$1004,0)),""))</f>
        <v/>
      </c>
      <c r="W868" s="81">
        <f>IF(OR($D868="",$B868=""),"",$D868&amp;" | "&amp;$B868)</f>
        <v/>
      </c>
      <c r="X868" s="85">
        <f>IF($K868="","",TEXT($K868,"yyyy-mm"))</f>
        <v/>
      </c>
      <c r="Y868" s="81">
        <f>IF(OR($A868="",$T868=""),"","Included in Manager_Report")</f>
        <v/>
      </c>
    </row>
    <row r="869" ht="15" customHeight="1" s="40">
      <c r="A869" s="65">
        <f>IF(COUNTA(B869:G869)=0,"","STP-"&amp;TEXT(ROW()-4,"0000"))</f>
        <v/>
      </c>
      <c r="B869" s="78" t="n"/>
      <c r="C869" s="67">
        <f>IF($B869="","",IFERROR(INDEX(Task_Tracker!$D$5:$D$1004,MATCH($B869,Task_Tracker!$A$5:$A$1004,0)),""))</f>
        <v/>
      </c>
      <c r="D869" s="67">
        <f>IF($B869="","",IFERROR(INDEX(Task_Tracker!$B$5:$B$1004,MATCH($B869,Task_Tracker!$A$5:$A$1004,0)),""))</f>
        <v/>
      </c>
      <c r="E869" s="81" t="n"/>
      <c r="F869" s="81" t="n"/>
      <c r="G869" s="78" t="n"/>
      <c r="H869" s="78" t="n"/>
      <c r="I869" s="67">
        <f>IF($H869="","",IFERROR(INDEX(Action_Status_Map!$B$5:$B$11,MATCH($H869,Action_Status_Map!$A$5:$A$11,0)),""))</f>
        <v/>
      </c>
      <c r="J869" s="82" t="n"/>
      <c r="K869" s="82" t="n"/>
      <c r="L869" s="82" t="n"/>
      <c r="M869" s="83" t="n"/>
      <c r="N869" s="83" t="n"/>
      <c r="O869" s="66">
        <f>IF(OR($M869="",$N869=""),"",$N869-$M869)</f>
        <v/>
      </c>
      <c r="P869" s="84">
        <f>IF($J869="","",IF($L869&lt;&gt;"",$L869-$J869,TODAY()-$J869))</f>
        <v/>
      </c>
      <c r="Q869" s="85">
        <f>IF(OR($K869="",$H869="Completed",$H869="Cancelled"),"",IF(AND($K869&lt;TODAY(),$H869&lt;&gt;"Completed",$H869&lt;&gt;"Cancelled"),"Overdue","On Track"))</f>
        <v/>
      </c>
      <c r="R869" s="81" t="n"/>
      <c r="S869" s="81">
        <f>IF($B869="","",IFERROR(INDEX(Task_Tracker!$AA$5:$AA$1004,MATCH($B869,Task_Tracker!$A$5:$A$1004,0)),""))</f>
        <v/>
      </c>
      <c r="T869" s="81">
        <f>IF($B869="","",IFERROR(INDEX(Task_Tracker!$AB$5:$AB$1004,MATCH($B869,Task_Tracker!$A$5:$A$1004,0)),""))</f>
        <v/>
      </c>
      <c r="U869" s="78">
        <f>IF($B869="","",IFERROR(INDEX(Task_Tracker!$F$5:$F$1004,MATCH($B869,Task_Tracker!$A$5:$A$1004,0)),""))</f>
        <v/>
      </c>
      <c r="V869" s="78">
        <f>IF($B869="","",IFERROR(INDEX(Task_Tracker!$I$5:$I$1004,MATCH($B869,Task_Tracker!$A$5:$A$1004,0)),""))</f>
        <v/>
      </c>
      <c r="W869" s="81">
        <f>IF(OR($D869="",$B869=""),"",$D869&amp;" | "&amp;$B869)</f>
        <v/>
      </c>
      <c r="X869" s="85">
        <f>IF($K869="","",TEXT($K869,"yyyy-mm"))</f>
        <v/>
      </c>
      <c r="Y869" s="81">
        <f>IF(OR($A869="",$T869=""),"","Included in Manager_Report")</f>
        <v/>
      </c>
    </row>
    <row r="870" ht="15" customHeight="1" s="40">
      <c r="A870" s="65">
        <f>IF(COUNTA(B870:G870)=0,"","STP-"&amp;TEXT(ROW()-4,"0000"))</f>
        <v/>
      </c>
      <c r="B870" s="78" t="n"/>
      <c r="C870" s="67">
        <f>IF($B870="","",IFERROR(INDEX(Task_Tracker!$D$5:$D$1004,MATCH($B870,Task_Tracker!$A$5:$A$1004,0)),""))</f>
        <v/>
      </c>
      <c r="D870" s="67">
        <f>IF($B870="","",IFERROR(INDEX(Task_Tracker!$B$5:$B$1004,MATCH($B870,Task_Tracker!$A$5:$A$1004,0)),""))</f>
        <v/>
      </c>
      <c r="E870" s="81" t="n"/>
      <c r="F870" s="81" t="n"/>
      <c r="G870" s="78" t="n"/>
      <c r="H870" s="78" t="n"/>
      <c r="I870" s="67">
        <f>IF($H870="","",IFERROR(INDEX(Action_Status_Map!$B$5:$B$11,MATCH($H870,Action_Status_Map!$A$5:$A$11,0)),""))</f>
        <v/>
      </c>
      <c r="J870" s="82" t="n"/>
      <c r="K870" s="82" t="n"/>
      <c r="L870" s="82" t="n"/>
      <c r="M870" s="83" t="n"/>
      <c r="N870" s="83" t="n"/>
      <c r="O870" s="66">
        <f>IF(OR($M870="",$N870=""),"",$N870-$M870)</f>
        <v/>
      </c>
      <c r="P870" s="84">
        <f>IF($J870="","",IF($L870&lt;&gt;"",$L870-$J870,TODAY()-$J870))</f>
        <v/>
      </c>
      <c r="Q870" s="85">
        <f>IF(OR($K870="",$H870="Completed",$H870="Cancelled"),"",IF(AND($K870&lt;TODAY(),$H870&lt;&gt;"Completed",$H870&lt;&gt;"Cancelled"),"Overdue","On Track"))</f>
        <v/>
      </c>
      <c r="R870" s="81" t="n"/>
      <c r="S870" s="81">
        <f>IF($B870="","",IFERROR(INDEX(Task_Tracker!$AA$5:$AA$1004,MATCH($B870,Task_Tracker!$A$5:$A$1004,0)),""))</f>
        <v/>
      </c>
      <c r="T870" s="81">
        <f>IF($B870="","",IFERROR(INDEX(Task_Tracker!$AB$5:$AB$1004,MATCH($B870,Task_Tracker!$A$5:$A$1004,0)),""))</f>
        <v/>
      </c>
      <c r="U870" s="78">
        <f>IF($B870="","",IFERROR(INDEX(Task_Tracker!$F$5:$F$1004,MATCH($B870,Task_Tracker!$A$5:$A$1004,0)),""))</f>
        <v/>
      </c>
      <c r="V870" s="78">
        <f>IF($B870="","",IFERROR(INDEX(Task_Tracker!$I$5:$I$1004,MATCH($B870,Task_Tracker!$A$5:$A$1004,0)),""))</f>
        <v/>
      </c>
      <c r="W870" s="81">
        <f>IF(OR($D870="",$B870=""),"",$D870&amp;" | "&amp;$B870)</f>
        <v/>
      </c>
      <c r="X870" s="85">
        <f>IF($K870="","",TEXT($K870,"yyyy-mm"))</f>
        <v/>
      </c>
      <c r="Y870" s="81">
        <f>IF(OR($A870="",$T870=""),"","Included in Manager_Report")</f>
        <v/>
      </c>
    </row>
    <row r="871" ht="15" customHeight="1" s="40">
      <c r="A871" s="65">
        <f>IF(COUNTA(B871:G871)=0,"","STP-"&amp;TEXT(ROW()-4,"0000"))</f>
        <v/>
      </c>
      <c r="B871" s="78" t="n"/>
      <c r="C871" s="67">
        <f>IF($B871="","",IFERROR(INDEX(Task_Tracker!$D$5:$D$1004,MATCH($B871,Task_Tracker!$A$5:$A$1004,0)),""))</f>
        <v/>
      </c>
      <c r="D871" s="67">
        <f>IF($B871="","",IFERROR(INDEX(Task_Tracker!$B$5:$B$1004,MATCH($B871,Task_Tracker!$A$5:$A$1004,0)),""))</f>
        <v/>
      </c>
      <c r="E871" s="81" t="n"/>
      <c r="F871" s="81" t="n"/>
      <c r="G871" s="78" t="n"/>
      <c r="H871" s="78" t="n"/>
      <c r="I871" s="67">
        <f>IF($H871="","",IFERROR(INDEX(Action_Status_Map!$B$5:$B$11,MATCH($H871,Action_Status_Map!$A$5:$A$11,0)),""))</f>
        <v/>
      </c>
      <c r="J871" s="82" t="n"/>
      <c r="K871" s="82" t="n"/>
      <c r="L871" s="82" t="n"/>
      <c r="M871" s="83" t="n"/>
      <c r="N871" s="83" t="n"/>
      <c r="O871" s="66">
        <f>IF(OR($M871="",$N871=""),"",$N871-$M871)</f>
        <v/>
      </c>
      <c r="P871" s="84">
        <f>IF($J871="","",IF($L871&lt;&gt;"",$L871-$J871,TODAY()-$J871))</f>
        <v/>
      </c>
      <c r="Q871" s="85">
        <f>IF(OR($K871="",$H871="Completed",$H871="Cancelled"),"",IF(AND($K871&lt;TODAY(),$H871&lt;&gt;"Completed",$H871&lt;&gt;"Cancelled"),"Overdue","On Track"))</f>
        <v/>
      </c>
      <c r="R871" s="81" t="n"/>
      <c r="S871" s="81">
        <f>IF($B871="","",IFERROR(INDEX(Task_Tracker!$AA$5:$AA$1004,MATCH($B871,Task_Tracker!$A$5:$A$1004,0)),""))</f>
        <v/>
      </c>
      <c r="T871" s="81">
        <f>IF($B871="","",IFERROR(INDEX(Task_Tracker!$AB$5:$AB$1004,MATCH($B871,Task_Tracker!$A$5:$A$1004,0)),""))</f>
        <v/>
      </c>
      <c r="U871" s="78">
        <f>IF($B871="","",IFERROR(INDEX(Task_Tracker!$F$5:$F$1004,MATCH($B871,Task_Tracker!$A$5:$A$1004,0)),""))</f>
        <v/>
      </c>
      <c r="V871" s="78">
        <f>IF($B871="","",IFERROR(INDEX(Task_Tracker!$I$5:$I$1004,MATCH($B871,Task_Tracker!$A$5:$A$1004,0)),""))</f>
        <v/>
      </c>
      <c r="W871" s="81">
        <f>IF(OR($D871="",$B871=""),"",$D871&amp;" | "&amp;$B871)</f>
        <v/>
      </c>
      <c r="X871" s="85">
        <f>IF($K871="","",TEXT($K871,"yyyy-mm"))</f>
        <v/>
      </c>
      <c r="Y871" s="81">
        <f>IF(OR($A871="",$T871=""),"","Included in Manager_Report")</f>
        <v/>
      </c>
    </row>
    <row r="872" ht="15" customHeight="1" s="40">
      <c r="A872" s="65">
        <f>IF(COUNTA(B872:G872)=0,"","STP-"&amp;TEXT(ROW()-4,"0000"))</f>
        <v/>
      </c>
      <c r="B872" s="78" t="n"/>
      <c r="C872" s="67">
        <f>IF($B872="","",IFERROR(INDEX(Task_Tracker!$D$5:$D$1004,MATCH($B872,Task_Tracker!$A$5:$A$1004,0)),""))</f>
        <v/>
      </c>
      <c r="D872" s="67">
        <f>IF($B872="","",IFERROR(INDEX(Task_Tracker!$B$5:$B$1004,MATCH($B872,Task_Tracker!$A$5:$A$1004,0)),""))</f>
        <v/>
      </c>
      <c r="E872" s="81" t="n"/>
      <c r="F872" s="81" t="n"/>
      <c r="G872" s="78" t="n"/>
      <c r="H872" s="78" t="n"/>
      <c r="I872" s="67">
        <f>IF($H872="","",IFERROR(INDEX(Action_Status_Map!$B$5:$B$11,MATCH($H872,Action_Status_Map!$A$5:$A$11,0)),""))</f>
        <v/>
      </c>
      <c r="J872" s="82" t="n"/>
      <c r="K872" s="82" t="n"/>
      <c r="L872" s="82" t="n"/>
      <c r="M872" s="83" t="n"/>
      <c r="N872" s="83" t="n"/>
      <c r="O872" s="66">
        <f>IF(OR($M872="",$N872=""),"",$N872-$M872)</f>
        <v/>
      </c>
      <c r="P872" s="84">
        <f>IF($J872="","",IF($L872&lt;&gt;"",$L872-$J872,TODAY()-$J872))</f>
        <v/>
      </c>
      <c r="Q872" s="85">
        <f>IF(OR($K872="",$H872="Completed",$H872="Cancelled"),"",IF(AND($K872&lt;TODAY(),$H872&lt;&gt;"Completed",$H872&lt;&gt;"Cancelled"),"Overdue","On Track"))</f>
        <v/>
      </c>
      <c r="R872" s="81" t="n"/>
      <c r="S872" s="81">
        <f>IF($B872="","",IFERROR(INDEX(Task_Tracker!$AA$5:$AA$1004,MATCH($B872,Task_Tracker!$A$5:$A$1004,0)),""))</f>
        <v/>
      </c>
      <c r="T872" s="81">
        <f>IF($B872="","",IFERROR(INDEX(Task_Tracker!$AB$5:$AB$1004,MATCH($B872,Task_Tracker!$A$5:$A$1004,0)),""))</f>
        <v/>
      </c>
      <c r="U872" s="78">
        <f>IF($B872="","",IFERROR(INDEX(Task_Tracker!$F$5:$F$1004,MATCH($B872,Task_Tracker!$A$5:$A$1004,0)),""))</f>
        <v/>
      </c>
      <c r="V872" s="78">
        <f>IF($B872="","",IFERROR(INDEX(Task_Tracker!$I$5:$I$1004,MATCH($B872,Task_Tracker!$A$5:$A$1004,0)),""))</f>
        <v/>
      </c>
      <c r="W872" s="81">
        <f>IF(OR($D872="",$B872=""),"",$D872&amp;" | "&amp;$B872)</f>
        <v/>
      </c>
      <c r="X872" s="85">
        <f>IF($K872="","",TEXT($K872,"yyyy-mm"))</f>
        <v/>
      </c>
      <c r="Y872" s="81">
        <f>IF(OR($A872="",$T872=""),"","Included in Manager_Report")</f>
        <v/>
      </c>
    </row>
    <row r="873" ht="15" customHeight="1" s="40">
      <c r="A873" s="65">
        <f>IF(COUNTA(B873:G873)=0,"","STP-"&amp;TEXT(ROW()-4,"0000"))</f>
        <v/>
      </c>
      <c r="B873" s="78" t="n"/>
      <c r="C873" s="67">
        <f>IF($B873="","",IFERROR(INDEX(Task_Tracker!$D$5:$D$1004,MATCH($B873,Task_Tracker!$A$5:$A$1004,0)),""))</f>
        <v/>
      </c>
      <c r="D873" s="67">
        <f>IF($B873="","",IFERROR(INDEX(Task_Tracker!$B$5:$B$1004,MATCH($B873,Task_Tracker!$A$5:$A$1004,0)),""))</f>
        <v/>
      </c>
      <c r="E873" s="81" t="n"/>
      <c r="F873" s="81" t="n"/>
      <c r="G873" s="78" t="n"/>
      <c r="H873" s="78" t="n"/>
      <c r="I873" s="67">
        <f>IF($H873="","",IFERROR(INDEX(Action_Status_Map!$B$5:$B$11,MATCH($H873,Action_Status_Map!$A$5:$A$11,0)),""))</f>
        <v/>
      </c>
      <c r="J873" s="82" t="n"/>
      <c r="K873" s="82" t="n"/>
      <c r="L873" s="82" t="n"/>
      <c r="M873" s="83" t="n"/>
      <c r="N873" s="83" t="n"/>
      <c r="O873" s="66">
        <f>IF(OR($M873="",$N873=""),"",$N873-$M873)</f>
        <v/>
      </c>
      <c r="P873" s="84">
        <f>IF($J873="","",IF($L873&lt;&gt;"",$L873-$J873,TODAY()-$J873))</f>
        <v/>
      </c>
      <c r="Q873" s="85">
        <f>IF(OR($K873="",$H873="Completed",$H873="Cancelled"),"",IF(AND($K873&lt;TODAY(),$H873&lt;&gt;"Completed",$H873&lt;&gt;"Cancelled"),"Overdue","On Track"))</f>
        <v/>
      </c>
      <c r="R873" s="81" t="n"/>
      <c r="S873" s="81">
        <f>IF($B873="","",IFERROR(INDEX(Task_Tracker!$AA$5:$AA$1004,MATCH($B873,Task_Tracker!$A$5:$A$1004,0)),""))</f>
        <v/>
      </c>
      <c r="T873" s="81">
        <f>IF($B873="","",IFERROR(INDEX(Task_Tracker!$AB$5:$AB$1004,MATCH($B873,Task_Tracker!$A$5:$A$1004,0)),""))</f>
        <v/>
      </c>
      <c r="U873" s="78">
        <f>IF($B873="","",IFERROR(INDEX(Task_Tracker!$F$5:$F$1004,MATCH($B873,Task_Tracker!$A$5:$A$1004,0)),""))</f>
        <v/>
      </c>
      <c r="V873" s="78">
        <f>IF($B873="","",IFERROR(INDEX(Task_Tracker!$I$5:$I$1004,MATCH($B873,Task_Tracker!$A$5:$A$1004,0)),""))</f>
        <v/>
      </c>
      <c r="W873" s="81">
        <f>IF(OR($D873="",$B873=""),"",$D873&amp;" | "&amp;$B873)</f>
        <v/>
      </c>
      <c r="X873" s="85">
        <f>IF($K873="","",TEXT($K873,"yyyy-mm"))</f>
        <v/>
      </c>
      <c r="Y873" s="81">
        <f>IF(OR($A873="",$T873=""),"","Included in Manager_Report")</f>
        <v/>
      </c>
    </row>
    <row r="874" ht="15" customHeight="1" s="40">
      <c r="A874" s="65">
        <f>IF(COUNTA(B874:G874)=0,"","STP-"&amp;TEXT(ROW()-4,"0000"))</f>
        <v/>
      </c>
      <c r="B874" s="78" t="n"/>
      <c r="C874" s="67">
        <f>IF($B874="","",IFERROR(INDEX(Task_Tracker!$D$5:$D$1004,MATCH($B874,Task_Tracker!$A$5:$A$1004,0)),""))</f>
        <v/>
      </c>
      <c r="D874" s="67">
        <f>IF($B874="","",IFERROR(INDEX(Task_Tracker!$B$5:$B$1004,MATCH($B874,Task_Tracker!$A$5:$A$1004,0)),""))</f>
        <v/>
      </c>
      <c r="E874" s="81" t="n"/>
      <c r="F874" s="81" t="n"/>
      <c r="G874" s="78" t="n"/>
      <c r="H874" s="78" t="n"/>
      <c r="I874" s="67">
        <f>IF($H874="","",IFERROR(INDEX(Action_Status_Map!$B$5:$B$11,MATCH($H874,Action_Status_Map!$A$5:$A$11,0)),""))</f>
        <v/>
      </c>
      <c r="J874" s="82" t="n"/>
      <c r="K874" s="82" t="n"/>
      <c r="L874" s="82" t="n"/>
      <c r="M874" s="83" t="n"/>
      <c r="N874" s="83" t="n"/>
      <c r="O874" s="66">
        <f>IF(OR($M874="",$N874=""),"",$N874-$M874)</f>
        <v/>
      </c>
      <c r="P874" s="84">
        <f>IF($J874="","",IF($L874&lt;&gt;"",$L874-$J874,TODAY()-$J874))</f>
        <v/>
      </c>
      <c r="Q874" s="85">
        <f>IF(OR($K874="",$H874="Completed",$H874="Cancelled"),"",IF(AND($K874&lt;TODAY(),$H874&lt;&gt;"Completed",$H874&lt;&gt;"Cancelled"),"Overdue","On Track"))</f>
        <v/>
      </c>
      <c r="R874" s="81" t="n"/>
      <c r="S874" s="81">
        <f>IF($B874="","",IFERROR(INDEX(Task_Tracker!$AA$5:$AA$1004,MATCH($B874,Task_Tracker!$A$5:$A$1004,0)),""))</f>
        <v/>
      </c>
      <c r="T874" s="81">
        <f>IF($B874="","",IFERROR(INDEX(Task_Tracker!$AB$5:$AB$1004,MATCH($B874,Task_Tracker!$A$5:$A$1004,0)),""))</f>
        <v/>
      </c>
      <c r="U874" s="78">
        <f>IF($B874="","",IFERROR(INDEX(Task_Tracker!$F$5:$F$1004,MATCH($B874,Task_Tracker!$A$5:$A$1004,0)),""))</f>
        <v/>
      </c>
      <c r="V874" s="78">
        <f>IF($B874="","",IFERROR(INDEX(Task_Tracker!$I$5:$I$1004,MATCH($B874,Task_Tracker!$A$5:$A$1004,0)),""))</f>
        <v/>
      </c>
      <c r="W874" s="81">
        <f>IF(OR($D874="",$B874=""),"",$D874&amp;" | "&amp;$B874)</f>
        <v/>
      </c>
      <c r="X874" s="85">
        <f>IF($K874="","",TEXT($K874,"yyyy-mm"))</f>
        <v/>
      </c>
      <c r="Y874" s="81">
        <f>IF(OR($A874="",$T874=""),"","Included in Manager_Report")</f>
        <v/>
      </c>
    </row>
    <row r="875" ht="15" customHeight="1" s="40">
      <c r="A875" s="65">
        <f>IF(COUNTA(B875:G875)=0,"","STP-"&amp;TEXT(ROW()-4,"0000"))</f>
        <v/>
      </c>
      <c r="B875" s="78" t="n"/>
      <c r="C875" s="67">
        <f>IF($B875="","",IFERROR(INDEX(Task_Tracker!$D$5:$D$1004,MATCH($B875,Task_Tracker!$A$5:$A$1004,0)),""))</f>
        <v/>
      </c>
      <c r="D875" s="67">
        <f>IF($B875="","",IFERROR(INDEX(Task_Tracker!$B$5:$B$1004,MATCH($B875,Task_Tracker!$A$5:$A$1004,0)),""))</f>
        <v/>
      </c>
      <c r="E875" s="81" t="n"/>
      <c r="F875" s="81" t="n"/>
      <c r="G875" s="78" t="n"/>
      <c r="H875" s="78" t="n"/>
      <c r="I875" s="67">
        <f>IF($H875="","",IFERROR(INDEX(Action_Status_Map!$B$5:$B$11,MATCH($H875,Action_Status_Map!$A$5:$A$11,0)),""))</f>
        <v/>
      </c>
      <c r="J875" s="82" t="n"/>
      <c r="K875" s="82" t="n"/>
      <c r="L875" s="82" t="n"/>
      <c r="M875" s="83" t="n"/>
      <c r="N875" s="83" t="n"/>
      <c r="O875" s="66">
        <f>IF(OR($M875="",$N875=""),"",$N875-$M875)</f>
        <v/>
      </c>
      <c r="P875" s="84">
        <f>IF($J875="","",IF($L875&lt;&gt;"",$L875-$J875,TODAY()-$J875))</f>
        <v/>
      </c>
      <c r="Q875" s="85">
        <f>IF(OR($K875="",$H875="Completed",$H875="Cancelled"),"",IF(AND($K875&lt;TODAY(),$H875&lt;&gt;"Completed",$H875&lt;&gt;"Cancelled"),"Overdue","On Track"))</f>
        <v/>
      </c>
      <c r="R875" s="81" t="n"/>
      <c r="S875" s="81">
        <f>IF($B875="","",IFERROR(INDEX(Task_Tracker!$AA$5:$AA$1004,MATCH($B875,Task_Tracker!$A$5:$A$1004,0)),""))</f>
        <v/>
      </c>
      <c r="T875" s="81">
        <f>IF($B875="","",IFERROR(INDEX(Task_Tracker!$AB$5:$AB$1004,MATCH($B875,Task_Tracker!$A$5:$A$1004,0)),""))</f>
        <v/>
      </c>
      <c r="U875" s="78">
        <f>IF($B875="","",IFERROR(INDEX(Task_Tracker!$F$5:$F$1004,MATCH($B875,Task_Tracker!$A$5:$A$1004,0)),""))</f>
        <v/>
      </c>
      <c r="V875" s="78">
        <f>IF($B875="","",IFERROR(INDEX(Task_Tracker!$I$5:$I$1004,MATCH($B875,Task_Tracker!$A$5:$A$1004,0)),""))</f>
        <v/>
      </c>
      <c r="W875" s="81">
        <f>IF(OR($D875="",$B875=""),"",$D875&amp;" | "&amp;$B875)</f>
        <v/>
      </c>
      <c r="X875" s="85">
        <f>IF($K875="","",TEXT($K875,"yyyy-mm"))</f>
        <v/>
      </c>
      <c r="Y875" s="81">
        <f>IF(OR($A875="",$T875=""),"","Included in Manager_Report")</f>
        <v/>
      </c>
    </row>
    <row r="876" ht="15" customHeight="1" s="40">
      <c r="A876" s="65">
        <f>IF(COUNTA(B876:G876)=0,"","STP-"&amp;TEXT(ROW()-4,"0000"))</f>
        <v/>
      </c>
      <c r="B876" s="78" t="n"/>
      <c r="C876" s="67">
        <f>IF($B876="","",IFERROR(INDEX(Task_Tracker!$D$5:$D$1004,MATCH($B876,Task_Tracker!$A$5:$A$1004,0)),""))</f>
        <v/>
      </c>
      <c r="D876" s="67">
        <f>IF($B876="","",IFERROR(INDEX(Task_Tracker!$B$5:$B$1004,MATCH($B876,Task_Tracker!$A$5:$A$1004,0)),""))</f>
        <v/>
      </c>
      <c r="E876" s="81" t="n"/>
      <c r="F876" s="81" t="n"/>
      <c r="G876" s="78" t="n"/>
      <c r="H876" s="78" t="n"/>
      <c r="I876" s="67">
        <f>IF($H876="","",IFERROR(INDEX(Action_Status_Map!$B$5:$B$11,MATCH($H876,Action_Status_Map!$A$5:$A$11,0)),""))</f>
        <v/>
      </c>
      <c r="J876" s="82" t="n"/>
      <c r="K876" s="82" t="n"/>
      <c r="L876" s="82" t="n"/>
      <c r="M876" s="83" t="n"/>
      <c r="N876" s="83" t="n"/>
      <c r="O876" s="66">
        <f>IF(OR($M876="",$N876=""),"",$N876-$M876)</f>
        <v/>
      </c>
      <c r="P876" s="84">
        <f>IF($J876="","",IF($L876&lt;&gt;"",$L876-$J876,TODAY()-$J876))</f>
        <v/>
      </c>
      <c r="Q876" s="85">
        <f>IF(OR($K876="",$H876="Completed",$H876="Cancelled"),"",IF(AND($K876&lt;TODAY(),$H876&lt;&gt;"Completed",$H876&lt;&gt;"Cancelled"),"Overdue","On Track"))</f>
        <v/>
      </c>
      <c r="R876" s="81" t="n"/>
      <c r="S876" s="81">
        <f>IF($B876="","",IFERROR(INDEX(Task_Tracker!$AA$5:$AA$1004,MATCH($B876,Task_Tracker!$A$5:$A$1004,0)),""))</f>
        <v/>
      </c>
      <c r="T876" s="81">
        <f>IF($B876="","",IFERROR(INDEX(Task_Tracker!$AB$5:$AB$1004,MATCH($B876,Task_Tracker!$A$5:$A$1004,0)),""))</f>
        <v/>
      </c>
      <c r="U876" s="78">
        <f>IF($B876="","",IFERROR(INDEX(Task_Tracker!$F$5:$F$1004,MATCH($B876,Task_Tracker!$A$5:$A$1004,0)),""))</f>
        <v/>
      </c>
      <c r="V876" s="78">
        <f>IF($B876="","",IFERROR(INDEX(Task_Tracker!$I$5:$I$1004,MATCH($B876,Task_Tracker!$A$5:$A$1004,0)),""))</f>
        <v/>
      </c>
      <c r="W876" s="81">
        <f>IF(OR($D876="",$B876=""),"",$D876&amp;" | "&amp;$B876)</f>
        <v/>
      </c>
      <c r="X876" s="85">
        <f>IF($K876="","",TEXT($K876,"yyyy-mm"))</f>
        <v/>
      </c>
      <c r="Y876" s="81">
        <f>IF(OR($A876="",$T876=""),"","Included in Manager_Report")</f>
        <v/>
      </c>
    </row>
    <row r="877" ht="15" customHeight="1" s="40">
      <c r="A877" s="65">
        <f>IF(COUNTA(B877:G877)=0,"","STP-"&amp;TEXT(ROW()-4,"0000"))</f>
        <v/>
      </c>
      <c r="B877" s="78" t="n"/>
      <c r="C877" s="67">
        <f>IF($B877="","",IFERROR(INDEX(Task_Tracker!$D$5:$D$1004,MATCH($B877,Task_Tracker!$A$5:$A$1004,0)),""))</f>
        <v/>
      </c>
      <c r="D877" s="67">
        <f>IF($B877="","",IFERROR(INDEX(Task_Tracker!$B$5:$B$1004,MATCH($B877,Task_Tracker!$A$5:$A$1004,0)),""))</f>
        <v/>
      </c>
      <c r="E877" s="81" t="n"/>
      <c r="F877" s="81" t="n"/>
      <c r="G877" s="78" t="n"/>
      <c r="H877" s="78" t="n"/>
      <c r="I877" s="67">
        <f>IF($H877="","",IFERROR(INDEX(Action_Status_Map!$B$5:$B$11,MATCH($H877,Action_Status_Map!$A$5:$A$11,0)),""))</f>
        <v/>
      </c>
      <c r="J877" s="82" t="n"/>
      <c r="K877" s="82" t="n"/>
      <c r="L877" s="82" t="n"/>
      <c r="M877" s="83" t="n"/>
      <c r="N877" s="83" t="n"/>
      <c r="O877" s="66">
        <f>IF(OR($M877="",$N877=""),"",$N877-$M877)</f>
        <v/>
      </c>
      <c r="P877" s="84">
        <f>IF($J877="","",IF($L877&lt;&gt;"",$L877-$J877,TODAY()-$J877))</f>
        <v/>
      </c>
      <c r="Q877" s="85">
        <f>IF(OR($K877="",$H877="Completed",$H877="Cancelled"),"",IF(AND($K877&lt;TODAY(),$H877&lt;&gt;"Completed",$H877&lt;&gt;"Cancelled"),"Overdue","On Track"))</f>
        <v/>
      </c>
      <c r="R877" s="81" t="n"/>
      <c r="S877" s="81">
        <f>IF($B877="","",IFERROR(INDEX(Task_Tracker!$AA$5:$AA$1004,MATCH($B877,Task_Tracker!$A$5:$A$1004,0)),""))</f>
        <v/>
      </c>
      <c r="T877" s="81">
        <f>IF($B877="","",IFERROR(INDEX(Task_Tracker!$AB$5:$AB$1004,MATCH($B877,Task_Tracker!$A$5:$A$1004,0)),""))</f>
        <v/>
      </c>
      <c r="U877" s="78">
        <f>IF($B877="","",IFERROR(INDEX(Task_Tracker!$F$5:$F$1004,MATCH($B877,Task_Tracker!$A$5:$A$1004,0)),""))</f>
        <v/>
      </c>
      <c r="V877" s="78">
        <f>IF($B877="","",IFERROR(INDEX(Task_Tracker!$I$5:$I$1004,MATCH($B877,Task_Tracker!$A$5:$A$1004,0)),""))</f>
        <v/>
      </c>
      <c r="W877" s="81">
        <f>IF(OR($D877="",$B877=""),"",$D877&amp;" | "&amp;$B877)</f>
        <v/>
      </c>
      <c r="X877" s="85">
        <f>IF($K877="","",TEXT($K877,"yyyy-mm"))</f>
        <v/>
      </c>
      <c r="Y877" s="81">
        <f>IF(OR($A877="",$T877=""),"","Included in Manager_Report")</f>
        <v/>
      </c>
    </row>
    <row r="878" ht="15" customHeight="1" s="40">
      <c r="A878" s="65">
        <f>IF(COUNTA(B878:G878)=0,"","STP-"&amp;TEXT(ROW()-4,"0000"))</f>
        <v/>
      </c>
      <c r="B878" s="78" t="n"/>
      <c r="C878" s="67">
        <f>IF($B878="","",IFERROR(INDEX(Task_Tracker!$D$5:$D$1004,MATCH($B878,Task_Tracker!$A$5:$A$1004,0)),""))</f>
        <v/>
      </c>
      <c r="D878" s="67">
        <f>IF($B878="","",IFERROR(INDEX(Task_Tracker!$B$5:$B$1004,MATCH($B878,Task_Tracker!$A$5:$A$1004,0)),""))</f>
        <v/>
      </c>
      <c r="E878" s="81" t="n"/>
      <c r="F878" s="81" t="n"/>
      <c r="G878" s="78" t="n"/>
      <c r="H878" s="78" t="n"/>
      <c r="I878" s="67">
        <f>IF($H878="","",IFERROR(INDEX(Action_Status_Map!$B$5:$B$11,MATCH($H878,Action_Status_Map!$A$5:$A$11,0)),""))</f>
        <v/>
      </c>
      <c r="J878" s="82" t="n"/>
      <c r="K878" s="82" t="n"/>
      <c r="L878" s="82" t="n"/>
      <c r="M878" s="83" t="n"/>
      <c r="N878" s="83" t="n"/>
      <c r="O878" s="66">
        <f>IF(OR($M878="",$N878=""),"",$N878-$M878)</f>
        <v/>
      </c>
      <c r="P878" s="84">
        <f>IF($J878="","",IF($L878&lt;&gt;"",$L878-$J878,TODAY()-$J878))</f>
        <v/>
      </c>
      <c r="Q878" s="85">
        <f>IF(OR($K878="",$H878="Completed",$H878="Cancelled"),"",IF(AND($K878&lt;TODAY(),$H878&lt;&gt;"Completed",$H878&lt;&gt;"Cancelled"),"Overdue","On Track"))</f>
        <v/>
      </c>
      <c r="R878" s="81" t="n"/>
      <c r="S878" s="81">
        <f>IF($B878="","",IFERROR(INDEX(Task_Tracker!$AA$5:$AA$1004,MATCH($B878,Task_Tracker!$A$5:$A$1004,0)),""))</f>
        <v/>
      </c>
      <c r="T878" s="81">
        <f>IF($B878="","",IFERROR(INDEX(Task_Tracker!$AB$5:$AB$1004,MATCH($B878,Task_Tracker!$A$5:$A$1004,0)),""))</f>
        <v/>
      </c>
      <c r="U878" s="78">
        <f>IF($B878="","",IFERROR(INDEX(Task_Tracker!$F$5:$F$1004,MATCH($B878,Task_Tracker!$A$5:$A$1004,0)),""))</f>
        <v/>
      </c>
      <c r="V878" s="78">
        <f>IF($B878="","",IFERROR(INDEX(Task_Tracker!$I$5:$I$1004,MATCH($B878,Task_Tracker!$A$5:$A$1004,0)),""))</f>
        <v/>
      </c>
      <c r="W878" s="81">
        <f>IF(OR($D878="",$B878=""),"",$D878&amp;" | "&amp;$B878)</f>
        <v/>
      </c>
      <c r="X878" s="85">
        <f>IF($K878="","",TEXT($K878,"yyyy-mm"))</f>
        <v/>
      </c>
      <c r="Y878" s="81">
        <f>IF(OR($A878="",$T878=""),"","Included in Manager_Report")</f>
        <v/>
      </c>
    </row>
    <row r="879" ht="15" customHeight="1" s="40">
      <c r="A879" s="65">
        <f>IF(COUNTA(B879:G879)=0,"","STP-"&amp;TEXT(ROW()-4,"0000"))</f>
        <v/>
      </c>
      <c r="B879" s="78" t="n"/>
      <c r="C879" s="67">
        <f>IF($B879="","",IFERROR(INDEX(Task_Tracker!$D$5:$D$1004,MATCH($B879,Task_Tracker!$A$5:$A$1004,0)),""))</f>
        <v/>
      </c>
      <c r="D879" s="67">
        <f>IF($B879="","",IFERROR(INDEX(Task_Tracker!$B$5:$B$1004,MATCH($B879,Task_Tracker!$A$5:$A$1004,0)),""))</f>
        <v/>
      </c>
      <c r="E879" s="81" t="n"/>
      <c r="F879" s="81" t="n"/>
      <c r="G879" s="78" t="n"/>
      <c r="H879" s="78" t="n"/>
      <c r="I879" s="67">
        <f>IF($H879="","",IFERROR(INDEX(Action_Status_Map!$B$5:$B$11,MATCH($H879,Action_Status_Map!$A$5:$A$11,0)),""))</f>
        <v/>
      </c>
      <c r="J879" s="82" t="n"/>
      <c r="K879" s="82" t="n"/>
      <c r="L879" s="82" t="n"/>
      <c r="M879" s="83" t="n"/>
      <c r="N879" s="83" t="n"/>
      <c r="O879" s="66">
        <f>IF(OR($M879="",$N879=""),"",$N879-$M879)</f>
        <v/>
      </c>
      <c r="P879" s="84">
        <f>IF($J879="","",IF($L879&lt;&gt;"",$L879-$J879,TODAY()-$J879))</f>
        <v/>
      </c>
      <c r="Q879" s="85">
        <f>IF(OR($K879="",$H879="Completed",$H879="Cancelled"),"",IF(AND($K879&lt;TODAY(),$H879&lt;&gt;"Completed",$H879&lt;&gt;"Cancelled"),"Overdue","On Track"))</f>
        <v/>
      </c>
      <c r="R879" s="81" t="n"/>
      <c r="S879" s="81">
        <f>IF($B879="","",IFERROR(INDEX(Task_Tracker!$AA$5:$AA$1004,MATCH($B879,Task_Tracker!$A$5:$A$1004,0)),""))</f>
        <v/>
      </c>
      <c r="T879" s="81">
        <f>IF($B879="","",IFERROR(INDEX(Task_Tracker!$AB$5:$AB$1004,MATCH($B879,Task_Tracker!$A$5:$A$1004,0)),""))</f>
        <v/>
      </c>
      <c r="U879" s="78">
        <f>IF($B879="","",IFERROR(INDEX(Task_Tracker!$F$5:$F$1004,MATCH($B879,Task_Tracker!$A$5:$A$1004,0)),""))</f>
        <v/>
      </c>
      <c r="V879" s="78">
        <f>IF($B879="","",IFERROR(INDEX(Task_Tracker!$I$5:$I$1004,MATCH($B879,Task_Tracker!$A$5:$A$1004,0)),""))</f>
        <v/>
      </c>
      <c r="W879" s="81">
        <f>IF(OR($D879="",$B879=""),"",$D879&amp;" | "&amp;$B879)</f>
        <v/>
      </c>
      <c r="X879" s="85">
        <f>IF($K879="","",TEXT($K879,"yyyy-mm"))</f>
        <v/>
      </c>
      <c r="Y879" s="81">
        <f>IF(OR($A879="",$T879=""),"","Included in Manager_Report")</f>
        <v/>
      </c>
    </row>
    <row r="880" ht="15" customHeight="1" s="40">
      <c r="A880" s="65">
        <f>IF(COUNTA(B880:G880)=0,"","STP-"&amp;TEXT(ROW()-4,"0000"))</f>
        <v/>
      </c>
      <c r="B880" s="78" t="n"/>
      <c r="C880" s="67">
        <f>IF($B880="","",IFERROR(INDEX(Task_Tracker!$D$5:$D$1004,MATCH($B880,Task_Tracker!$A$5:$A$1004,0)),""))</f>
        <v/>
      </c>
      <c r="D880" s="67">
        <f>IF($B880="","",IFERROR(INDEX(Task_Tracker!$B$5:$B$1004,MATCH($B880,Task_Tracker!$A$5:$A$1004,0)),""))</f>
        <v/>
      </c>
      <c r="E880" s="81" t="n"/>
      <c r="F880" s="81" t="n"/>
      <c r="G880" s="78" t="n"/>
      <c r="H880" s="78" t="n"/>
      <c r="I880" s="67">
        <f>IF($H880="","",IFERROR(INDEX(Action_Status_Map!$B$5:$B$11,MATCH($H880,Action_Status_Map!$A$5:$A$11,0)),""))</f>
        <v/>
      </c>
      <c r="J880" s="82" t="n"/>
      <c r="K880" s="82" t="n"/>
      <c r="L880" s="82" t="n"/>
      <c r="M880" s="83" t="n"/>
      <c r="N880" s="83" t="n"/>
      <c r="O880" s="66">
        <f>IF(OR($M880="",$N880=""),"",$N880-$M880)</f>
        <v/>
      </c>
      <c r="P880" s="84">
        <f>IF($J880="","",IF($L880&lt;&gt;"",$L880-$J880,TODAY()-$J880))</f>
        <v/>
      </c>
      <c r="Q880" s="85">
        <f>IF(OR($K880="",$H880="Completed",$H880="Cancelled"),"",IF(AND($K880&lt;TODAY(),$H880&lt;&gt;"Completed",$H880&lt;&gt;"Cancelled"),"Overdue","On Track"))</f>
        <v/>
      </c>
      <c r="R880" s="81" t="n"/>
      <c r="S880" s="81">
        <f>IF($B880="","",IFERROR(INDEX(Task_Tracker!$AA$5:$AA$1004,MATCH($B880,Task_Tracker!$A$5:$A$1004,0)),""))</f>
        <v/>
      </c>
      <c r="T880" s="81">
        <f>IF($B880="","",IFERROR(INDEX(Task_Tracker!$AB$5:$AB$1004,MATCH($B880,Task_Tracker!$A$5:$A$1004,0)),""))</f>
        <v/>
      </c>
      <c r="U880" s="78">
        <f>IF($B880="","",IFERROR(INDEX(Task_Tracker!$F$5:$F$1004,MATCH($B880,Task_Tracker!$A$5:$A$1004,0)),""))</f>
        <v/>
      </c>
      <c r="V880" s="78">
        <f>IF($B880="","",IFERROR(INDEX(Task_Tracker!$I$5:$I$1004,MATCH($B880,Task_Tracker!$A$5:$A$1004,0)),""))</f>
        <v/>
      </c>
      <c r="W880" s="81">
        <f>IF(OR($D880="",$B880=""),"",$D880&amp;" | "&amp;$B880)</f>
        <v/>
      </c>
      <c r="X880" s="85">
        <f>IF($K880="","",TEXT($K880,"yyyy-mm"))</f>
        <v/>
      </c>
      <c r="Y880" s="81">
        <f>IF(OR($A880="",$T880=""),"","Included in Manager_Report")</f>
        <v/>
      </c>
    </row>
    <row r="881" ht="15" customHeight="1" s="40">
      <c r="A881" s="65">
        <f>IF(COUNTA(B881:G881)=0,"","STP-"&amp;TEXT(ROW()-4,"0000"))</f>
        <v/>
      </c>
      <c r="B881" s="78" t="n"/>
      <c r="C881" s="67">
        <f>IF($B881="","",IFERROR(INDEX(Task_Tracker!$D$5:$D$1004,MATCH($B881,Task_Tracker!$A$5:$A$1004,0)),""))</f>
        <v/>
      </c>
      <c r="D881" s="67">
        <f>IF($B881="","",IFERROR(INDEX(Task_Tracker!$B$5:$B$1004,MATCH($B881,Task_Tracker!$A$5:$A$1004,0)),""))</f>
        <v/>
      </c>
      <c r="E881" s="81" t="n"/>
      <c r="F881" s="81" t="n"/>
      <c r="G881" s="78" t="n"/>
      <c r="H881" s="78" t="n"/>
      <c r="I881" s="67">
        <f>IF($H881="","",IFERROR(INDEX(Action_Status_Map!$B$5:$B$11,MATCH($H881,Action_Status_Map!$A$5:$A$11,0)),""))</f>
        <v/>
      </c>
      <c r="J881" s="82" t="n"/>
      <c r="K881" s="82" t="n"/>
      <c r="L881" s="82" t="n"/>
      <c r="M881" s="83" t="n"/>
      <c r="N881" s="83" t="n"/>
      <c r="O881" s="66">
        <f>IF(OR($M881="",$N881=""),"",$N881-$M881)</f>
        <v/>
      </c>
      <c r="P881" s="84">
        <f>IF($J881="","",IF($L881&lt;&gt;"",$L881-$J881,TODAY()-$J881))</f>
        <v/>
      </c>
      <c r="Q881" s="85">
        <f>IF(OR($K881="",$H881="Completed",$H881="Cancelled"),"",IF(AND($K881&lt;TODAY(),$H881&lt;&gt;"Completed",$H881&lt;&gt;"Cancelled"),"Overdue","On Track"))</f>
        <v/>
      </c>
      <c r="R881" s="81" t="n"/>
      <c r="S881" s="81">
        <f>IF($B881="","",IFERROR(INDEX(Task_Tracker!$AA$5:$AA$1004,MATCH($B881,Task_Tracker!$A$5:$A$1004,0)),""))</f>
        <v/>
      </c>
      <c r="T881" s="81">
        <f>IF($B881="","",IFERROR(INDEX(Task_Tracker!$AB$5:$AB$1004,MATCH($B881,Task_Tracker!$A$5:$A$1004,0)),""))</f>
        <v/>
      </c>
      <c r="U881" s="78">
        <f>IF($B881="","",IFERROR(INDEX(Task_Tracker!$F$5:$F$1004,MATCH($B881,Task_Tracker!$A$5:$A$1004,0)),""))</f>
        <v/>
      </c>
      <c r="V881" s="78">
        <f>IF($B881="","",IFERROR(INDEX(Task_Tracker!$I$5:$I$1004,MATCH($B881,Task_Tracker!$A$5:$A$1004,0)),""))</f>
        <v/>
      </c>
      <c r="W881" s="81">
        <f>IF(OR($D881="",$B881=""),"",$D881&amp;" | "&amp;$B881)</f>
        <v/>
      </c>
      <c r="X881" s="85">
        <f>IF($K881="","",TEXT($K881,"yyyy-mm"))</f>
        <v/>
      </c>
      <c r="Y881" s="81">
        <f>IF(OR($A881="",$T881=""),"","Included in Manager_Report")</f>
        <v/>
      </c>
    </row>
    <row r="882" ht="15" customHeight="1" s="40">
      <c r="A882" s="65">
        <f>IF(COUNTA(B882:G882)=0,"","STP-"&amp;TEXT(ROW()-4,"0000"))</f>
        <v/>
      </c>
      <c r="B882" s="78" t="n"/>
      <c r="C882" s="67">
        <f>IF($B882="","",IFERROR(INDEX(Task_Tracker!$D$5:$D$1004,MATCH($B882,Task_Tracker!$A$5:$A$1004,0)),""))</f>
        <v/>
      </c>
      <c r="D882" s="67">
        <f>IF($B882="","",IFERROR(INDEX(Task_Tracker!$B$5:$B$1004,MATCH($B882,Task_Tracker!$A$5:$A$1004,0)),""))</f>
        <v/>
      </c>
      <c r="E882" s="81" t="n"/>
      <c r="F882" s="81" t="n"/>
      <c r="G882" s="78" t="n"/>
      <c r="H882" s="78" t="n"/>
      <c r="I882" s="67">
        <f>IF($H882="","",IFERROR(INDEX(Action_Status_Map!$B$5:$B$11,MATCH($H882,Action_Status_Map!$A$5:$A$11,0)),""))</f>
        <v/>
      </c>
      <c r="J882" s="82" t="n"/>
      <c r="K882" s="82" t="n"/>
      <c r="L882" s="82" t="n"/>
      <c r="M882" s="83" t="n"/>
      <c r="N882" s="83" t="n"/>
      <c r="O882" s="66">
        <f>IF(OR($M882="",$N882=""),"",$N882-$M882)</f>
        <v/>
      </c>
      <c r="P882" s="84">
        <f>IF($J882="","",IF($L882&lt;&gt;"",$L882-$J882,TODAY()-$J882))</f>
        <v/>
      </c>
      <c r="Q882" s="85">
        <f>IF(OR($K882="",$H882="Completed",$H882="Cancelled"),"",IF(AND($K882&lt;TODAY(),$H882&lt;&gt;"Completed",$H882&lt;&gt;"Cancelled"),"Overdue","On Track"))</f>
        <v/>
      </c>
      <c r="R882" s="81" t="n"/>
      <c r="S882" s="81">
        <f>IF($B882="","",IFERROR(INDEX(Task_Tracker!$AA$5:$AA$1004,MATCH($B882,Task_Tracker!$A$5:$A$1004,0)),""))</f>
        <v/>
      </c>
      <c r="T882" s="81">
        <f>IF($B882="","",IFERROR(INDEX(Task_Tracker!$AB$5:$AB$1004,MATCH($B882,Task_Tracker!$A$5:$A$1004,0)),""))</f>
        <v/>
      </c>
      <c r="U882" s="78">
        <f>IF($B882="","",IFERROR(INDEX(Task_Tracker!$F$5:$F$1004,MATCH($B882,Task_Tracker!$A$5:$A$1004,0)),""))</f>
        <v/>
      </c>
      <c r="V882" s="78">
        <f>IF($B882="","",IFERROR(INDEX(Task_Tracker!$I$5:$I$1004,MATCH($B882,Task_Tracker!$A$5:$A$1004,0)),""))</f>
        <v/>
      </c>
      <c r="W882" s="81">
        <f>IF(OR($D882="",$B882=""),"",$D882&amp;" | "&amp;$B882)</f>
        <v/>
      </c>
      <c r="X882" s="85">
        <f>IF($K882="","",TEXT($K882,"yyyy-mm"))</f>
        <v/>
      </c>
      <c r="Y882" s="81">
        <f>IF(OR($A882="",$T882=""),"","Included in Manager_Report")</f>
        <v/>
      </c>
    </row>
    <row r="883" ht="15" customHeight="1" s="40">
      <c r="A883" s="65">
        <f>IF(COUNTA(B883:G883)=0,"","STP-"&amp;TEXT(ROW()-4,"0000"))</f>
        <v/>
      </c>
      <c r="B883" s="78" t="n"/>
      <c r="C883" s="67">
        <f>IF($B883="","",IFERROR(INDEX(Task_Tracker!$D$5:$D$1004,MATCH($B883,Task_Tracker!$A$5:$A$1004,0)),""))</f>
        <v/>
      </c>
      <c r="D883" s="67">
        <f>IF($B883="","",IFERROR(INDEX(Task_Tracker!$B$5:$B$1004,MATCH($B883,Task_Tracker!$A$5:$A$1004,0)),""))</f>
        <v/>
      </c>
      <c r="E883" s="81" t="n"/>
      <c r="F883" s="81" t="n"/>
      <c r="G883" s="78" t="n"/>
      <c r="H883" s="78" t="n"/>
      <c r="I883" s="67">
        <f>IF($H883="","",IFERROR(INDEX(Action_Status_Map!$B$5:$B$11,MATCH($H883,Action_Status_Map!$A$5:$A$11,0)),""))</f>
        <v/>
      </c>
      <c r="J883" s="82" t="n"/>
      <c r="K883" s="82" t="n"/>
      <c r="L883" s="82" t="n"/>
      <c r="M883" s="83" t="n"/>
      <c r="N883" s="83" t="n"/>
      <c r="O883" s="66">
        <f>IF(OR($M883="",$N883=""),"",$N883-$M883)</f>
        <v/>
      </c>
      <c r="P883" s="84">
        <f>IF($J883="","",IF($L883&lt;&gt;"",$L883-$J883,TODAY()-$J883))</f>
        <v/>
      </c>
      <c r="Q883" s="85">
        <f>IF(OR($K883="",$H883="Completed",$H883="Cancelled"),"",IF(AND($K883&lt;TODAY(),$H883&lt;&gt;"Completed",$H883&lt;&gt;"Cancelled"),"Overdue","On Track"))</f>
        <v/>
      </c>
      <c r="R883" s="81" t="n"/>
      <c r="S883" s="81">
        <f>IF($B883="","",IFERROR(INDEX(Task_Tracker!$AA$5:$AA$1004,MATCH($B883,Task_Tracker!$A$5:$A$1004,0)),""))</f>
        <v/>
      </c>
      <c r="T883" s="81">
        <f>IF($B883="","",IFERROR(INDEX(Task_Tracker!$AB$5:$AB$1004,MATCH($B883,Task_Tracker!$A$5:$A$1004,0)),""))</f>
        <v/>
      </c>
      <c r="U883" s="78">
        <f>IF($B883="","",IFERROR(INDEX(Task_Tracker!$F$5:$F$1004,MATCH($B883,Task_Tracker!$A$5:$A$1004,0)),""))</f>
        <v/>
      </c>
      <c r="V883" s="78">
        <f>IF($B883="","",IFERROR(INDEX(Task_Tracker!$I$5:$I$1004,MATCH($B883,Task_Tracker!$A$5:$A$1004,0)),""))</f>
        <v/>
      </c>
      <c r="W883" s="81">
        <f>IF(OR($D883="",$B883=""),"",$D883&amp;" | "&amp;$B883)</f>
        <v/>
      </c>
      <c r="X883" s="85">
        <f>IF($K883="","",TEXT($K883,"yyyy-mm"))</f>
        <v/>
      </c>
      <c r="Y883" s="81">
        <f>IF(OR($A883="",$T883=""),"","Included in Manager_Report")</f>
        <v/>
      </c>
    </row>
    <row r="884" ht="15" customHeight="1" s="40">
      <c r="A884" s="65">
        <f>IF(COUNTA(B884:G884)=0,"","STP-"&amp;TEXT(ROW()-4,"0000"))</f>
        <v/>
      </c>
      <c r="B884" s="78" t="n"/>
      <c r="C884" s="67">
        <f>IF($B884="","",IFERROR(INDEX(Task_Tracker!$D$5:$D$1004,MATCH($B884,Task_Tracker!$A$5:$A$1004,0)),""))</f>
        <v/>
      </c>
      <c r="D884" s="67">
        <f>IF($B884="","",IFERROR(INDEX(Task_Tracker!$B$5:$B$1004,MATCH($B884,Task_Tracker!$A$5:$A$1004,0)),""))</f>
        <v/>
      </c>
      <c r="E884" s="81" t="n"/>
      <c r="F884" s="81" t="n"/>
      <c r="G884" s="78" t="n"/>
      <c r="H884" s="78" t="n"/>
      <c r="I884" s="67">
        <f>IF($H884="","",IFERROR(INDEX(Action_Status_Map!$B$5:$B$11,MATCH($H884,Action_Status_Map!$A$5:$A$11,0)),""))</f>
        <v/>
      </c>
      <c r="J884" s="82" t="n"/>
      <c r="K884" s="82" t="n"/>
      <c r="L884" s="82" t="n"/>
      <c r="M884" s="83" t="n"/>
      <c r="N884" s="83" t="n"/>
      <c r="O884" s="66">
        <f>IF(OR($M884="",$N884=""),"",$N884-$M884)</f>
        <v/>
      </c>
      <c r="P884" s="84">
        <f>IF($J884="","",IF($L884&lt;&gt;"",$L884-$J884,TODAY()-$J884))</f>
        <v/>
      </c>
      <c r="Q884" s="85">
        <f>IF(OR($K884="",$H884="Completed",$H884="Cancelled"),"",IF(AND($K884&lt;TODAY(),$H884&lt;&gt;"Completed",$H884&lt;&gt;"Cancelled"),"Overdue","On Track"))</f>
        <v/>
      </c>
      <c r="R884" s="81" t="n"/>
      <c r="S884" s="81">
        <f>IF($B884="","",IFERROR(INDEX(Task_Tracker!$AA$5:$AA$1004,MATCH($B884,Task_Tracker!$A$5:$A$1004,0)),""))</f>
        <v/>
      </c>
      <c r="T884" s="81">
        <f>IF($B884="","",IFERROR(INDEX(Task_Tracker!$AB$5:$AB$1004,MATCH($B884,Task_Tracker!$A$5:$A$1004,0)),""))</f>
        <v/>
      </c>
      <c r="U884" s="78">
        <f>IF($B884="","",IFERROR(INDEX(Task_Tracker!$F$5:$F$1004,MATCH($B884,Task_Tracker!$A$5:$A$1004,0)),""))</f>
        <v/>
      </c>
      <c r="V884" s="78">
        <f>IF($B884="","",IFERROR(INDEX(Task_Tracker!$I$5:$I$1004,MATCH($B884,Task_Tracker!$A$5:$A$1004,0)),""))</f>
        <v/>
      </c>
      <c r="W884" s="81">
        <f>IF(OR($D884="",$B884=""),"",$D884&amp;" | "&amp;$B884)</f>
        <v/>
      </c>
      <c r="X884" s="85">
        <f>IF($K884="","",TEXT($K884,"yyyy-mm"))</f>
        <v/>
      </c>
      <c r="Y884" s="81">
        <f>IF(OR($A884="",$T884=""),"","Included in Manager_Report")</f>
        <v/>
      </c>
    </row>
    <row r="885" ht="15" customHeight="1" s="40">
      <c r="A885" s="65">
        <f>IF(COUNTA(B885:G885)=0,"","STP-"&amp;TEXT(ROW()-4,"0000"))</f>
        <v/>
      </c>
      <c r="B885" s="78" t="n"/>
      <c r="C885" s="67">
        <f>IF($B885="","",IFERROR(INDEX(Task_Tracker!$D$5:$D$1004,MATCH($B885,Task_Tracker!$A$5:$A$1004,0)),""))</f>
        <v/>
      </c>
      <c r="D885" s="67">
        <f>IF($B885="","",IFERROR(INDEX(Task_Tracker!$B$5:$B$1004,MATCH($B885,Task_Tracker!$A$5:$A$1004,0)),""))</f>
        <v/>
      </c>
      <c r="E885" s="81" t="n"/>
      <c r="F885" s="81" t="n"/>
      <c r="G885" s="78" t="n"/>
      <c r="H885" s="78" t="n"/>
      <c r="I885" s="67">
        <f>IF($H885="","",IFERROR(INDEX(Action_Status_Map!$B$5:$B$11,MATCH($H885,Action_Status_Map!$A$5:$A$11,0)),""))</f>
        <v/>
      </c>
      <c r="J885" s="82" t="n"/>
      <c r="K885" s="82" t="n"/>
      <c r="L885" s="82" t="n"/>
      <c r="M885" s="83" t="n"/>
      <c r="N885" s="83" t="n"/>
      <c r="O885" s="66">
        <f>IF(OR($M885="",$N885=""),"",$N885-$M885)</f>
        <v/>
      </c>
      <c r="P885" s="84">
        <f>IF($J885="","",IF($L885&lt;&gt;"",$L885-$J885,TODAY()-$J885))</f>
        <v/>
      </c>
      <c r="Q885" s="85">
        <f>IF(OR($K885="",$H885="Completed",$H885="Cancelled"),"",IF(AND($K885&lt;TODAY(),$H885&lt;&gt;"Completed",$H885&lt;&gt;"Cancelled"),"Overdue","On Track"))</f>
        <v/>
      </c>
      <c r="R885" s="81" t="n"/>
      <c r="S885" s="81">
        <f>IF($B885="","",IFERROR(INDEX(Task_Tracker!$AA$5:$AA$1004,MATCH($B885,Task_Tracker!$A$5:$A$1004,0)),""))</f>
        <v/>
      </c>
      <c r="T885" s="81">
        <f>IF($B885="","",IFERROR(INDEX(Task_Tracker!$AB$5:$AB$1004,MATCH($B885,Task_Tracker!$A$5:$A$1004,0)),""))</f>
        <v/>
      </c>
      <c r="U885" s="78">
        <f>IF($B885="","",IFERROR(INDEX(Task_Tracker!$F$5:$F$1004,MATCH($B885,Task_Tracker!$A$5:$A$1004,0)),""))</f>
        <v/>
      </c>
      <c r="V885" s="78">
        <f>IF($B885="","",IFERROR(INDEX(Task_Tracker!$I$5:$I$1004,MATCH($B885,Task_Tracker!$A$5:$A$1004,0)),""))</f>
        <v/>
      </c>
      <c r="W885" s="81">
        <f>IF(OR($D885="",$B885=""),"",$D885&amp;" | "&amp;$B885)</f>
        <v/>
      </c>
      <c r="X885" s="85">
        <f>IF($K885="","",TEXT($K885,"yyyy-mm"))</f>
        <v/>
      </c>
      <c r="Y885" s="81">
        <f>IF(OR($A885="",$T885=""),"","Included in Manager_Report")</f>
        <v/>
      </c>
    </row>
    <row r="886" ht="15" customHeight="1" s="40">
      <c r="A886" s="65">
        <f>IF(COUNTA(B886:G886)=0,"","STP-"&amp;TEXT(ROW()-4,"0000"))</f>
        <v/>
      </c>
      <c r="B886" s="78" t="n"/>
      <c r="C886" s="67">
        <f>IF($B886="","",IFERROR(INDEX(Task_Tracker!$D$5:$D$1004,MATCH($B886,Task_Tracker!$A$5:$A$1004,0)),""))</f>
        <v/>
      </c>
      <c r="D886" s="67">
        <f>IF($B886="","",IFERROR(INDEX(Task_Tracker!$B$5:$B$1004,MATCH($B886,Task_Tracker!$A$5:$A$1004,0)),""))</f>
        <v/>
      </c>
      <c r="E886" s="81" t="n"/>
      <c r="F886" s="81" t="n"/>
      <c r="G886" s="78" t="n"/>
      <c r="H886" s="78" t="n"/>
      <c r="I886" s="67">
        <f>IF($H886="","",IFERROR(INDEX(Action_Status_Map!$B$5:$B$11,MATCH($H886,Action_Status_Map!$A$5:$A$11,0)),""))</f>
        <v/>
      </c>
      <c r="J886" s="82" t="n"/>
      <c r="K886" s="82" t="n"/>
      <c r="L886" s="82" t="n"/>
      <c r="M886" s="83" t="n"/>
      <c r="N886" s="83" t="n"/>
      <c r="O886" s="66">
        <f>IF(OR($M886="",$N886=""),"",$N886-$M886)</f>
        <v/>
      </c>
      <c r="P886" s="84">
        <f>IF($J886="","",IF($L886&lt;&gt;"",$L886-$J886,TODAY()-$J886))</f>
        <v/>
      </c>
      <c r="Q886" s="85">
        <f>IF(OR($K886="",$H886="Completed",$H886="Cancelled"),"",IF(AND($K886&lt;TODAY(),$H886&lt;&gt;"Completed",$H886&lt;&gt;"Cancelled"),"Overdue","On Track"))</f>
        <v/>
      </c>
      <c r="R886" s="81" t="n"/>
      <c r="S886" s="81">
        <f>IF($B886="","",IFERROR(INDEX(Task_Tracker!$AA$5:$AA$1004,MATCH($B886,Task_Tracker!$A$5:$A$1004,0)),""))</f>
        <v/>
      </c>
      <c r="T886" s="81">
        <f>IF($B886="","",IFERROR(INDEX(Task_Tracker!$AB$5:$AB$1004,MATCH($B886,Task_Tracker!$A$5:$A$1004,0)),""))</f>
        <v/>
      </c>
      <c r="U886" s="78">
        <f>IF($B886="","",IFERROR(INDEX(Task_Tracker!$F$5:$F$1004,MATCH($B886,Task_Tracker!$A$5:$A$1004,0)),""))</f>
        <v/>
      </c>
      <c r="V886" s="78">
        <f>IF($B886="","",IFERROR(INDEX(Task_Tracker!$I$5:$I$1004,MATCH($B886,Task_Tracker!$A$5:$A$1004,0)),""))</f>
        <v/>
      </c>
      <c r="W886" s="81">
        <f>IF(OR($D886="",$B886=""),"",$D886&amp;" | "&amp;$B886)</f>
        <v/>
      </c>
      <c r="X886" s="85">
        <f>IF($K886="","",TEXT($K886,"yyyy-mm"))</f>
        <v/>
      </c>
      <c r="Y886" s="81">
        <f>IF(OR($A886="",$T886=""),"","Included in Manager_Report")</f>
        <v/>
      </c>
    </row>
    <row r="887" ht="15" customHeight="1" s="40">
      <c r="A887" s="65">
        <f>IF(COUNTA(B887:G887)=0,"","STP-"&amp;TEXT(ROW()-4,"0000"))</f>
        <v/>
      </c>
      <c r="B887" s="78" t="n"/>
      <c r="C887" s="67">
        <f>IF($B887="","",IFERROR(INDEX(Task_Tracker!$D$5:$D$1004,MATCH($B887,Task_Tracker!$A$5:$A$1004,0)),""))</f>
        <v/>
      </c>
      <c r="D887" s="67">
        <f>IF($B887="","",IFERROR(INDEX(Task_Tracker!$B$5:$B$1004,MATCH($B887,Task_Tracker!$A$5:$A$1004,0)),""))</f>
        <v/>
      </c>
      <c r="E887" s="81" t="n"/>
      <c r="F887" s="81" t="n"/>
      <c r="G887" s="78" t="n"/>
      <c r="H887" s="78" t="n"/>
      <c r="I887" s="67">
        <f>IF($H887="","",IFERROR(INDEX(Action_Status_Map!$B$5:$B$11,MATCH($H887,Action_Status_Map!$A$5:$A$11,0)),""))</f>
        <v/>
      </c>
      <c r="J887" s="82" t="n"/>
      <c r="K887" s="82" t="n"/>
      <c r="L887" s="82" t="n"/>
      <c r="M887" s="83" t="n"/>
      <c r="N887" s="83" t="n"/>
      <c r="O887" s="66">
        <f>IF(OR($M887="",$N887=""),"",$N887-$M887)</f>
        <v/>
      </c>
      <c r="P887" s="84">
        <f>IF($J887="","",IF($L887&lt;&gt;"",$L887-$J887,TODAY()-$J887))</f>
        <v/>
      </c>
      <c r="Q887" s="85">
        <f>IF(OR($K887="",$H887="Completed",$H887="Cancelled"),"",IF(AND($K887&lt;TODAY(),$H887&lt;&gt;"Completed",$H887&lt;&gt;"Cancelled"),"Overdue","On Track"))</f>
        <v/>
      </c>
      <c r="R887" s="81" t="n"/>
      <c r="S887" s="81">
        <f>IF($B887="","",IFERROR(INDEX(Task_Tracker!$AA$5:$AA$1004,MATCH($B887,Task_Tracker!$A$5:$A$1004,0)),""))</f>
        <v/>
      </c>
      <c r="T887" s="81">
        <f>IF($B887="","",IFERROR(INDEX(Task_Tracker!$AB$5:$AB$1004,MATCH($B887,Task_Tracker!$A$5:$A$1004,0)),""))</f>
        <v/>
      </c>
      <c r="U887" s="78">
        <f>IF($B887="","",IFERROR(INDEX(Task_Tracker!$F$5:$F$1004,MATCH($B887,Task_Tracker!$A$5:$A$1004,0)),""))</f>
        <v/>
      </c>
      <c r="V887" s="78">
        <f>IF($B887="","",IFERROR(INDEX(Task_Tracker!$I$5:$I$1004,MATCH($B887,Task_Tracker!$A$5:$A$1004,0)),""))</f>
        <v/>
      </c>
      <c r="W887" s="81">
        <f>IF(OR($D887="",$B887=""),"",$D887&amp;" | "&amp;$B887)</f>
        <v/>
      </c>
      <c r="X887" s="85">
        <f>IF($K887="","",TEXT($K887,"yyyy-mm"))</f>
        <v/>
      </c>
      <c r="Y887" s="81">
        <f>IF(OR($A887="",$T887=""),"","Included in Manager_Report")</f>
        <v/>
      </c>
    </row>
    <row r="888" ht="15" customHeight="1" s="40">
      <c r="A888" s="65">
        <f>IF(COUNTA(B888:G888)=0,"","STP-"&amp;TEXT(ROW()-4,"0000"))</f>
        <v/>
      </c>
      <c r="B888" s="78" t="n"/>
      <c r="C888" s="67">
        <f>IF($B888="","",IFERROR(INDEX(Task_Tracker!$D$5:$D$1004,MATCH($B888,Task_Tracker!$A$5:$A$1004,0)),""))</f>
        <v/>
      </c>
      <c r="D888" s="67">
        <f>IF($B888="","",IFERROR(INDEX(Task_Tracker!$B$5:$B$1004,MATCH($B888,Task_Tracker!$A$5:$A$1004,0)),""))</f>
        <v/>
      </c>
      <c r="E888" s="81" t="n"/>
      <c r="F888" s="81" t="n"/>
      <c r="G888" s="78" t="n"/>
      <c r="H888" s="78" t="n"/>
      <c r="I888" s="67">
        <f>IF($H888="","",IFERROR(INDEX(Action_Status_Map!$B$5:$B$11,MATCH($H888,Action_Status_Map!$A$5:$A$11,0)),""))</f>
        <v/>
      </c>
      <c r="J888" s="82" t="n"/>
      <c r="K888" s="82" t="n"/>
      <c r="L888" s="82" t="n"/>
      <c r="M888" s="83" t="n"/>
      <c r="N888" s="83" t="n"/>
      <c r="O888" s="66">
        <f>IF(OR($M888="",$N888=""),"",$N888-$M888)</f>
        <v/>
      </c>
      <c r="P888" s="84">
        <f>IF($J888="","",IF($L888&lt;&gt;"",$L888-$J888,TODAY()-$J888))</f>
        <v/>
      </c>
      <c r="Q888" s="85">
        <f>IF(OR($K888="",$H888="Completed",$H888="Cancelled"),"",IF(AND($K888&lt;TODAY(),$H888&lt;&gt;"Completed",$H888&lt;&gt;"Cancelled"),"Overdue","On Track"))</f>
        <v/>
      </c>
      <c r="R888" s="81" t="n"/>
      <c r="S888" s="81">
        <f>IF($B888="","",IFERROR(INDEX(Task_Tracker!$AA$5:$AA$1004,MATCH($B888,Task_Tracker!$A$5:$A$1004,0)),""))</f>
        <v/>
      </c>
      <c r="T888" s="81">
        <f>IF($B888="","",IFERROR(INDEX(Task_Tracker!$AB$5:$AB$1004,MATCH($B888,Task_Tracker!$A$5:$A$1004,0)),""))</f>
        <v/>
      </c>
      <c r="U888" s="78">
        <f>IF($B888="","",IFERROR(INDEX(Task_Tracker!$F$5:$F$1004,MATCH($B888,Task_Tracker!$A$5:$A$1004,0)),""))</f>
        <v/>
      </c>
      <c r="V888" s="78">
        <f>IF($B888="","",IFERROR(INDEX(Task_Tracker!$I$5:$I$1004,MATCH($B888,Task_Tracker!$A$5:$A$1004,0)),""))</f>
        <v/>
      </c>
      <c r="W888" s="81">
        <f>IF(OR($D888="",$B888=""),"",$D888&amp;" | "&amp;$B888)</f>
        <v/>
      </c>
      <c r="X888" s="85">
        <f>IF($K888="","",TEXT($K888,"yyyy-mm"))</f>
        <v/>
      </c>
      <c r="Y888" s="81">
        <f>IF(OR($A888="",$T888=""),"","Included in Manager_Report")</f>
        <v/>
      </c>
    </row>
    <row r="889" ht="15" customHeight="1" s="40">
      <c r="A889" s="65">
        <f>IF(COUNTA(B889:G889)=0,"","STP-"&amp;TEXT(ROW()-4,"0000"))</f>
        <v/>
      </c>
      <c r="B889" s="78" t="n"/>
      <c r="C889" s="67">
        <f>IF($B889="","",IFERROR(INDEX(Task_Tracker!$D$5:$D$1004,MATCH($B889,Task_Tracker!$A$5:$A$1004,0)),""))</f>
        <v/>
      </c>
      <c r="D889" s="67">
        <f>IF($B889="","",IFERROR(INDEX(Task_Tracker!$B$5:$B$1004,MATCH($B889,Task_Tracker!$A$5:$A$1004,0)),""))</f>
        <v/>
      </c>
      <c r="E889" s="81" t="n"/>
      <c r="F889" s="81" t="n"/>
      <c r="G889" s="78" t="n"/>
      <c r="H889" s="78" t="n"/>
      <c r="I889" s="67">
        <f>IF($H889="","",IFERROR(INDEX(Action_Status_Map!$B$5:$B$11,MATCH($H889,Action_Status_Map!$A$5:$A$11,0)),""))</f>
        <v/>
      </c>
      <c r="J889" s="82" t="n"/>
      <c r="K889" s="82" t="n"/>
      <c r="L889" s="82" t="n"/>
      <c r="M889" s="83" t="n"/>
      <c r="N889" s="83" t="n"/>
      <c r="O889" s="66">
        <f>IF(OR($M889="",$N889=""),"",$N889-$M889)</f>
        <v/>
      </c>
      <c r="P889" s="84">
        <f>IF($J889="","",IF($L889&lt;&gt;"",$L889-$J889,TODAY()-$J889))</f>
        <v/>
      </c>
      <c r="Q889" s="85">
        <f>IF(OR($K889="",$H889="Completed",$H889="Cancelled"),"",IF(AND($K889&lt;TODAY(),$H889&lt;&gt;"Completed",$H889&lt;&gt;"Cancelled"),"Overdue","On Track"))</f>
        <v/>
      </c>
      <c r="R889" s="81" t="n"/>
      <c r="S889" s="81">
        <f>IF($B889="","",IFERROR(INDEX(Task_Tracker!$AA$5:$AA$1004,MATCH($B889,Task_Tracker!$A$5:$A$1004,0)),""))</f>
        <v/>
      </c>
      <c r="T889" s="81">
        <f>IF($B889="","",IFERROR(INDEX(Task_Tracker!$AB$5:$AB$1004,MATCH($B889,Task_Tracker!$A$5:$A$1004,0)),""))</f>
        <v/>
      </c>
      <c r="U889" s="78">
        <f>IF($B889="","",IFERROR(INDEX(Task_Tracker!$F$5:$F$1004,MATCH($B889,Task_Tracker!$A$5:$A$1004,0)),""))</f>
        <v/>
      </c>
      <c r="V889" s="78">
        <f>IF($B889="","",IFERROR(INDEX(Task_Tracker!$I$5:$I$1004,MATCH($B889,Task_Tracker!$A$5:$A$1004,0)),""))</f>
        <v/>
      </c>
      <c r="W889" s="81">
        <f>IF(OR($D889="",$B889=""),"",$D889&amp;" | "&amp;$B889)</f>
        <v/>
      </c>
      <c r="X889" s="85">
        <f>IF($K889="","",TEXT($K889,"yyyy-mm"))</f>
        <v/>
      </c>
      <c r="Y889" s="81">
        <f>IF(OR($A889="",$T889=""),"","Included in Manager_Report")</f>
        <v/>
      </c>
    </row>
    <row r="890" ht="15" customHeight="1" s="40">
      <c r="A890" s="65">
        <f>IF(COUNTA(B890:G890)=0,"","STP-"&amp;TEXT(ROW()-4,"0000"))</f>
        <v/>
      </c>
      <c r="B890" s="78" t="n"/>
      <c r="C890" s="67">
        <f>IF($B890="","",IFERROR(INDEX(Task_Tracker!$D$5:$D$1004,MATCH($B890,Task_Tracker!$A$5:$A$1004,0)),""))</f>
        <v/>
      </c>
      <c r="D890" s="67">
        <f>IF($B890="","",IFERROR(INDEX(Task_Tracker!$B$5:$B$1004,MATCH($B890,Task_Tracker!$A$5:$A$1004,0)),""))</f>
        <v/>
      </c>
      <c r="E890" s="81" t="n"/>
      <c r="F890" s="81" t="n"/>
      <c r="G890" s="78" t="n"/>
      <c r="H890" s="78" t="n"/>
      <c r="I890" s="67">
        <f>IF($H890="","",IFERROR(INDEX(Action_Status_Map!$B$5:$B$11,MATCH($H890,Action_Status_Map!$A$5:$A$11,0)),""))</f>
        <v/>
      </c>
      <c r="J890" s="82" t="n"/>
      <c r="K890" s="82" t="n"/>
      <c r="L890" s="82" t="n"/>
      <c r="M890" s="83" t="n"/>
      <c r="N890" s="83" t="n"/>
      <c r="O890" s="66">
        <f>IF(OR($M890="",$N890=""),"",$N890-$M890)</f>
        <v/>
      </c>
      <c r="P890" s="84">
        <f>IF($J890="","",IF($L890&lt;&gt;"",$L890-$J890,TODAY()-$J890))</f>
        <v/>
      </c>
      <c r="Q890" s="85">
        <f>IF(OR($K890="",$H890="Completed",$H890="Cancelled"),"",IF(AND($K890&lt;TODAY(),$H890&lt;&gt;"Completed",$H890&lt;&gt;"Cancelled"),"Overdue","On Track"))</f>
        <v/>
      </c>
      <c r="R890" s="81" t="n"/>
      <c r="S890" s="81">
        <f>IF($B890="","",IFERROR(INDEX(Task_Tracker!$AA$5:$AA$1004,MATCH($B890,Task_Tracker!$A$5:$A$1004,0)),""))</f>
        <v/>
      </c>
      <c r="T890" s="81">
        <f>IF($B890="","",IFERROR(INDEX(Task_Tracker!$AB$5:$AB$1004,MATCH($B890,Task_Tracker!$A$5:$A$1004,0)),""))</f>
        <v/>
      </c>
      <c r="U890" s="78">
        <f>IF($B890="","",IFERROR(INDEX(Task_Tracker!$F$5:$F$1004,MATCH($B890,Task_Tracker!$A$5:$A$1004,0)),""))</f>
        <v/>
      </c>
      <c r="V890" s="78">
        <f>IF($B890="","",IFERROR(INDEX(Task_Tracker!$I$5:$I$1004,MATCH($B890,Task_Tracker!$A$5:$A$1004,0)),""))</f>
        <v/>
      </c>
      <c r="W890" s="81">
        <f>IF(OR($D890="",$B890=""),"",$D890&amp;" | "&amp;$B890)</f>
        <v/>
      </c>
      <c r="X890" s="85">
        <f>IF($K890="","",TEXT($K890,"yyyy-mm"))</f>
        <v/>
      </c>
      <c r="Y890" s="81">
        <f>IF(OR($A890="",$T890=""),"","Included in Manager_Report")</f>
        <v/>
      </c>
    </row>
    <row r="891" ht="15" customHeight="1" s="40">
      <c r="A891" s="65">
        <f>IF(COUNTA(B891:G891)=0,"","STP-"&amp;TEXT(ROW()-4,"0000"))</f>
        <v/>
      </c>
      <c r="B891" s="78" t="n"/>
      <c r="C891" s="67">
        <f>IF($B891="","",IFERROR(INDEX(Task_Tracker!$D$5:$D$1004,MATCH($B891,Task_Tracker!$A$5:$A$1004,0)),""))</f>
        <v/>
      </c>
      <c r="D891" s="67">
        <f>IF($B891="","",IFERROR(INDEX(Task_Tracker!$B$5:$B$1004,MATCH($B891,Task_Tracker!$A$5:$A$1004,0)),""))</f>
        <v/>
      </c>
      <c r="E891" s="81" t="n"/>
      <c r="F891" s="81" t="n"/>
      <c r="G891" s="78" t="n"/>
      <c r="H891" s="78" t="n"/>
      <c r="I891" s="67">
        <f>IF($H891="","",IFERROR(INDEX(Action_Status_Map!$B$5:$B$11,MATCH($H891,Action_Status_Map!$A$5:$A$11,0)),""))</f>
        <v/>
      </c>
      <c r="J891" s="82" t="n"/>
      <c r="K891" s="82" t="n"/>
      <c r="L891" s="82" t="n"/>
      <c r="M891" s="83" t="n"/>
      <c r="N891" s="83" t="n"/>
      <c r="O891" s="66">
        <f>IF(OR($M891="",$N891=""),"",$N891-$M891)</f>
        <v/>
      </c>
      <c r="P891" s="84">
        <f>IF($J891="","",IF($L891&lt;&gt;"",$L891-$J891,TODAY()-$J891))</f>
        <v/>
      </c>
      <c r="Q891" s="85">
        <f>IF(OR($K891="",$H891="Completed",$H891="Cancelled"),"",IF(AND($K891&lt;TODAY(),$H891&lt;&gt;"Completed",$H891&lt;&gt;"Cancelled"),"Overdue","On Track"))</f>
        <v/>
      </c>
      <c r="R891" s="81" t="n"/>
      <c r="S891" s="81">
        <f>IF($B891="","",IFERROR(INDEX(Task_Tracker!$AA$5:$AA$1004,MATCH($B891,Task_Tracker!$A$5:$A$1004,0)),""))</f>
        <v/>
      </c>
      <c r="T891" s="81">
        <f>IF($B891="","",IFERROR(INDEX(Task_Tracker!$AB$5:$AB$1004,MATCH($B891,Task_Tracker!$A$5:$A$1004,0)),""))</f>
        <v/>
      </c>
      <c r="U891" s="78">
        <f>IF($B891="","",IFERROR(INDEX(Task_Tracker!$F$5:$F$1004,MATCH($B891,Task_Tracker!$A$5:$A$1004,0)),""))</f>
        <v/>
      </c>
      <c r="V891" s="78">
        <f>IF($B891="","",IFERROR(INDEX(Task_Tracker!$I$5:$I$1004,MATCH($B891,Task_Tracker!$A$5:$A$1004,0)),""))</f>
        <v/>
      </c>
      <c r="W891" s="81">
        <f>IF(OR($D891="",$B891=""),"",$D891&amp;" | "&amp;$B891)</f>
        <v/>
      </c>
      <c r="X891" s="85">
        <f>IF($K891="","",TEXT($K891,"yyyy-mm"))</f>
        <v/>
      </c>
      <c r="Y891" s="81">
        <f>IF(OR($A891="",$T891=""),"","Included in Manager_Report")</f>
        <v/>
      </c>
    </row>
    <row r="892" ht="15" customHeight="1" s="40">
      <c r="A892" s="65">
        <f>IF(COUNTA(B892:G892)=0,"","STP-"&amp;TEXT(ROW()-4,"0000"))</f>
        <v/>
      </c>
      <c r="B892" s="78" t="n"/>
      <c r="C892" s="67">
        <f>IF($B892="","",IFERROR(INDEX(Task_Tracker!$D$5:$D$1004,MATCH($B892,Task_Tracker!$A$5:$A$1004,0)),""))</f>
        <v/>
      </c>
      <c r="D892" s="67">
        <f>IF($B892="","",IFERROR(INDEX(Task_Tracker!$B$5:$B$1004,MATCH($B892,Task_Tracker!$A$5:$A$1004,0)),""))</f>
        <v/>
      </c>
      <c r="E892" s="81" t="n"/>
      <c r="F892" s="81" t="n"/>
      <c r="G892" s="78" t="n"/>
      <c r="H892" s="78" t="n"/>
      <c r="I892" s="67">
        <f>IF($H892="","",IFERROR(INDEX(Action_Status_Map!$B$5:$B$11,MATCH($H892,Action_Status_Map!$A$5:$A$11,0)),""))</f>
        <v/>
      </c>
      <c r="J892" s="82" t="n"/>
      <c r="K892" s="82" t="n"/>
      <c r="L892" s="82" t="n"/>
      <c r="M892" s="83" t="n"/>
      <c r="N892" s="83" t="n"/>
      <c r="O892" s="66">
        <f>IF(OR($M892="",$N892=""),"",$N892-$M892)</f>
        <v/>
      </c>
      <c r="P892" s="84">
        <f>IF($J892="","",IF($L892&lt;&gt;"",$L892-$J892,TODAY()-$J892))</f>
        <v/>
      </c>
      <c r="Q892" s="85">
        <f>IF(OR($K892="",$H892="Completed",$H892="Cancelled"),"",IF(AND($K892&lt;TODAY(),$H892&lt;&gt;"Completed",$H892&lt;&gt;"Cancelled"),"Overdue","On Track"))</f>
        <v/>
      </c>
      <c r="R892" s="81" t="n"/>
      <c r="S892" s="81">
        <f>IF($B892="","",IFERROR(INDEX(Task_Tracker!$AA$5:$AA$1004,MATCH($B892,Task_Tracker!$A$5:$A$1004,0)),""))</f>
        <v/>
      </c>
      <c r="T892" s="81">
        <f>IF($B892="","",IFERROR(INDEX(Task_Tracker!$AB$5:$AB$1004,MATCH($B892,Task_Tracker!$A$5:$A$1004,0)),""))</f>
        <v/>
      </c>
      <c r="U892" s="78">
        <f>IF($B892="","",IFERROR(INDEX(Task_Tracker!$F$5:$F$1004,MATCH($B892,Task_Tracker!$A$5:$A$1004,0)),""))</f>
        <v/>
      </c>
      <c r="V892" s="78">
        <f>IF($B892="","",IFERROR(INDEX(Task_Tracker!$I$5:$I$1004,MATCH($B892,Task_Tracker!$A$5:$A$1004,0)),""))</f>
        <v/>
      </c>
      <c r="W892" s="81">
        <f>IF(OR($D892="",$B892=""),"",$D892&amp;" | "&amp;$B892)</f>
        <v/>
      </c>
      <c r="X892" s="85">
        <f>IF($K892="","",TEXT($K892,"yyyy-mm"))</f>
        <v/>
      </c>
      <c r="Y892" s="81">
        <f>IF(OR($A892="",$T892=""),"","Included in Manager_Report")</f>
        <v/>
      </c>
    </row>
    <row r="893" ht="15" customHeight="1" s="40">
      <c r="A893" s="65">
        <f>IF(COUNTA(B893:G893)=0,"","STP-"&amp;TEXT(ROW()-4,"0000"))</f>
        <v/>
      </c>
      <c r="B893" s="78" t="n"/>
      <c r="C893" s="67">
        <f>IF($B893="","",IFERROR(INDEX(Task_Tracker!$D$5:$D$1004,MATCH($B893,Task_Tracker!$A$5:$A$1004,0)),""))</f>
        <v/>
      </c>
      <c r="D893" s="67">
        <f>IF($B893="","",IFERROR(INDEX(Task_Tracker!$B$5:$B$1004,MATCH($B893,Task_Tracker!$A$5:$A$1004,0)),""))</f>
        <v/>
      </c>
      <c r="E893" s="81" t="n"/>
      <c r="F893" s="81" t="n"/>
      <c r="G893" s="78" t="n"/>
      <c r="H893" s="78" t="n"/>
      <c r="I893" s="67">
        <f>IF($H893="","",IFERROR(INDEX(Action_Status_Map!$B$5:$B$11,MATCH($H893,Action_Status_Map!$A$5:$A$11,0)),""))</f>
        <v/>
      </c>
      <c r="J893" s="82" t="n"/>
      <c r="K893" s="82" t="n"/>
      <c r="L893" s="82" t="n"/>
      <c r="M893" s="83" t="n"/>
      <c r="N893" s="83" t="n"/>
      <c r="O893" s="66">
        <f>IF(OR($M893="",$N893=""),"",$N893-$M893)</f>
        <v/>
      </c>
      <c r="P893" s="84">
        <f>IF($J893="","",IF($L893&lt;&gt;"",$L893-$J893,TODAY()-$J893))</f>
        <v/>
      </c>
      <c r="Q893" s="85">
        <f>IF(OR($K893="",$H893="Completed",$H893="Cancelled"),"",IF(AND($K893&lt;TODAY(),$H893&lt;&gt;"Completed",$H893&lt;&gt;"Cancelled"),"Overdue","On Track"))</f>
        <v/>
      </c>
      <c r="R893" s="81" t="n"/>
      <c r="S893" s="81">
        <f>IF($B893="","",IFERROR(INDEX(Task_Tracker!$AA$5:$AA$1004,MATCH($B893,Task_Tracker!$A$5:$A$1004,0)),""))</f>
        <v/>
      </c>
      <c r="T893" s="81">
        <f>IF($B893="","",IFERROR(INDEX(Task_Tracker!$AB$5:$AB$1004,MATCH($B893,Task_Tracker!$A$5:$A$1004,0)),""))</f>
        <v/>
      </c>
      <c r="U893" s="78">
        <f>IF($B893="","",IFERROR(INDEX(Task_Tracker!$F$5:$F$1004,MATCH($B893,Task_Tracker!$A$5:$A$1004,0)),""))</f>
        <v/>
      </c>
      <c r="V893" s="78">
        <f>IF($B893="","",IFERROR(INDEX(Task_Tracker!$I$5:$I$1004,MATCH($B893,Task_Tracker!$A$5:$A$1004,0)),""))</f>
        <v/>
      </c>
      <c r="W893" s="81">
        <f>IF(OR($D893="",$B893=""),"",$D893&amp;" | "&amp;$B893)</f>
        <v/>
      </c>
      <c r="X893" s="85">
        <f>IF($K893="","",TEXT($K893,"yyyy-mm"))</f>
        <v/>
      </c>
      <c r="Y893" s="81">
        <f>IF(OR($A893="",$T893=""),"","Included in Manager_Report")</f>
        <v/>
      </c>
    </row>
    <row r="894" ht="15" customHeight="1" s="40">
      <c r="A894" s="65">
        <f>IF(COUNTA(B894:G894)=0,"","STP-"&amp;TEXT(ROW()-4,"0000"))</f>
        <v/>
      </c>
      <c r="B894" s="78" t="n"/>
      <c r="C894" s="67">
        <f>IF($B894="","",IFERROR(INDEX(Task_Tracker!$D$5:$D$1004,MATCH($B894,Task_Tracker!$A$5:$A$1004,0)),""))</f>
        <v/>
      </c>
      <c r="D894" s="67">
        <f>IF($B894="","",IFERROR(INDEX(Task_Tracker!$B$5:$B$1004,MATCH($B894,Task_Tracker!$A$5:$A$1004,0)),""))</f>
        <v/>
      </c>
      <c r="E894" s="81" t="n"/>
      <c r="F894" s="81" t="n"/>
      <c r="G894" s="78" t="n"/>
      <c r="H894" s="78" t="n"/>
      <c r="I894" s="67">
        <f>IF($H894="","",IFERROR(INDEX(Action_Status_Map!$B$5:$B$11,MATCH($H894,Action_Status_Map!$A$5:$A$11,0)),""))</f>
        <v/>
      </c>
      <c r="J894" s="82" t="n"/>
      <c r="K894" s="82" t="n"/>
      <c r="L894" s="82" t="n"/>
      <c r="M894" s="83" t="n"/>
      <c r="N894" s="83" t="n"/>
      <c r="O894" s="66">
        <f>IF(OR($M894="",$N894=""),"",$N894-$M894)</f>
        <v/>
      </c>
      <c r="P894" s="84">
        <f>IF($J894="","",IF($L894&lt;&gt;"",$L894-$J894,TODAY()-$J894))</f>
        <v/>
      </c>
      <c r="Q894" s="85">
        <f>IF(OR($K894="",$H894="Completed",$H894="Cancelled"),"",IF(AND($K894&lt;TODAY(),$H894&lt;&gt;"Completed",$H894&lt;&gt;"Cancelled"),"Overdue","On Track"))</f>
        <v/>
      </c>
      <c r="R894" s="81" t="n"/>
      <c r="S894" s="81">
        <f>IF($B894="","",IFERROR(INDEX(Task_Tracker!$AA$5:$AA$1004,MATCH($B894,Task_Tracker!$A$5:$A$1004,0)),""))</f>
        <v/>
      </c>
      <c r="T894" s="81">
        <f>IF($B894="","",IFERROR(INDEX(Task_Tracker!$AB$5:$AB$1004,MATCH($B894,Task_Tracker!$A$5:$A$1004,0)),""))</f>
        <v/>
      </c>
      <c r="U894" s="78">
        <f>IF($B894="","",IFERROR(INDEX(Task_Tracker!$F$5:$F$1004,MATCH($B894,Task_Tracker!$A$5:$A$1004,0)),""))</f>
        <v/>
      </c>
      <c r="V894" s="78">
        <f>IF($B894="","",IFERROR(INDEX(Task_Tracker!$I$5:$I$1004,MATCH($B894,Task_Tracker!$A$5:$A$1004,0)),""))</f>
        <v/>
      </c>
      <c r="W894" s="81">
        <f>IF(OR($D894="",$B894=""),"",$D894&amp;" | "&amp;$B894)</f>
        <v/>
      </c>
      <c r="X894" s="85">
        <f>IF($K894="","",TEXT($K894,"yyyy-mm"))</f>
        <v/>
      </c>
      <c r="Y894" s="81">
        <f>IF(OR($A894="",$T894=""),"","Included in Manager_Report")</f>
        <v/>
      </c>
    </row>
    <row r="895" ht="15" customHeight="1" s="40">
      <c r="A895" s="65">
        <f>IF(COUNTA(B895:G895)=0,"","STP-"&amp;TEXT(ROW()-4,"0000"))</f>
        <v/>
      </c>
      <c r="B895" s="78" t="n"/>
      <c r="C895" s="67">
        <f>IF($B895="","",IFERROR(INDEX(Task_Tracker!$D$5:$D$1004,MATCH($B895,Task_Tracker!$A$5:$A$1004,0)),""))</f>
        <v/>
      </c>
      <c r="D895" s="67">
        <f>IF($B895="","",IFERROR(INDEX(Task_Tracker!$B$5:$B$1004,MATCH($B895,Task_Tracker!$A$5:$A$1004,0)),""))</f>
        <v/>
      </c>
      <c r="E895" s="81" t="n"/>
      <c r="F895" s="81" t="n"/>
      <c r="G895" s="78" t="n"/>
      <c r="H895" s="78" t="n"/>
      <c r="I895" s="67">
        <f>IF($H895="","",IFERROR(INDEX(Action_Status_Map!$B$5:$B$11,MATCH($H895,Action_Status_Map!$A$5:$A$11,0)),""))</f>
        <v/>
      </c>
      <c r="J895" s="82" t="n"/>
      <c r="K895" s="82" t="n"/>
      <c r="L895" s="82" t="n"/>
      <c r="M895" s="83" t="n"/>
      <c r="N895" s="83" t="n"/>
      <c r="O895" s="66">
        <f>IF(OR($M895="",$N895=""),"",$N895-$M895)</f>
        <v/>
      </c>
      <c r="P895" s="84">
        <f>IF($J895="","",IF($L895&lt;&gt;"",$L895-$J895,TODAY()-$J895))</f>
        <v/>
      </c>
      <c r="Q895" s="85">
        <f>IF(OR($K895="",$H895="Completed",$H895="Cancelled"),"",IF(AND($K895&lt;TODAY(),$H895&lt;&gt;"Completed",$H895&lt;&gt;"Cancelled"),"Overdue","On Track"))</f>
        <v/>
      </c>
      <c r="R895" s="81" t="n"/>
      <c r="S895" s="81">
        <f>IF($B895="","",IFERROR(INDEX(Task_Tracker!$AA$5:$AA$1004,MATCH($B895,Task_Tracker!$A$5:$A$1004,0)),""))</f>
        <v/>
      </c>
      <c r="T895" s="81">
        <f>IF($B895="","",IFERROR(INDEX(Task_Tracker!$AB$5:$AB$1004,MATCH($B895,Task_Tracker!$A$5:$A$1004,0)),""))</f>
        <v/>
      </c>
      <c r="U895" s="78">
        <f>IF($B895="","",IFERROR(INDEX(Task_Tracker!$F$5:$F$1004,MATCH($B895,Task_Tracker!$A$5:$A$1004,0)),""))</f>
        <v/>
      </c>
      <c r="V895" s="78">
        <f>IF($B895="","",IFERROR(INDEX(Task_Tracker!$I$5:$I$1004,MATCH($B895,Task_Tracker!$A$5:$A$1004,0)),""))</f>
        <v/>
      </c>
      <c r="W895" s="81">
        <f>IF(OR($D895="",$B895=""),"",$D895&amp;" | "&amp;$B895)</f>
        <v/>
      </c>
      <c r="X895" s="85">
        <f>IF($K895="","",TEXT($K895,"yyyy-mm"))</f>
        <v/>
      </c>
      <c r="Y895" s="81">
        <f>IF(OR($A895="",$T895=""),"","Included in Manager_Report")</f>
        <v/>
      </c>
    </row>
    <row r="896" ht="15" customHeight="1" s="40">
      <c r="A896" s="65">
        <f>IF(COUNTA(B896:G896)=0,"","STP-"&amp;TEXT(ROW()-4,"0000"))</f>
        <v/>
      </c>
      <c r="B896" s="78" t="n"/>
      <c r="C896" s="67">
        <f>IF($B896="","",IFERROR(INDEX(Task_Tracker!$D$5:$D$1004,MATCH($B896,Task_Tracker!$A$5:$A$1004,0)),""))</f>
        <v/>
      </c>
      <c r="D896" s="67">
        <f>IF($B896="","",IFERROR(INDEX(Task_Tracker!$B$5:$B$1004,MATCH($B896,Task_Tracker!$A$5:$A$1004,0)),""))</f>
        <v/>
      </c>
      <c r="E896" s="81" t="n"/>
      <c r="F896" s="81" t="n"/>
      <c r="G896" s="78" t="n"/>
      <c r="H896" s="78" t="n"/>
      <c r="I896" s="67">
        <f>IF($H896="","",IFERROR(INDEX(Action_Status_Map!$B$5:$B$11,MATCH($H896,Action_Status_Map!$A$5:$A$11,0)),""))</f>
        <v/>
      </c>
      <c r="J896" s="82" t="n"/>
      <c r="K896" s="82" t="n"/>
      <c r="L896" s="82" t="n"/>
      <c r="M896" s="83" t="n"/>
      <c r="N896" s="83" t="n"/>
      <c r="O896" s="66">
        <f>IF(OR($M896="",$N896=""),"",$N896-$M896)</f>
        <v/>
      </c>
      <c r="P896" s="84">
        <f>IF($J896="","",IF($L896&lt;&gt;"",$L896-$J896,TODAY()-$J896))</f>
        <v/>
      </c>
      <c r="Q896" s="85">
        <f>IF(OR($K896="",$H896="Completed",$H896="Cancelled"),"",IF(AND($K896&lt;TODAY(),$H896&lt;&gt;"Completed",$H896&lt;&gt;"Cancelled"),"Overdue","On Track"))</f>
        <v/>
      </c>
      <c r="R896" s="81" t="n"/>
      <c r="S896" s="81">
        <f>IF($B896="","",IFERROR(INDEX(Task_Tracker!$AA$5:$AA$1004,MATCH($B896,Task_Tracker!$A$5:$A$1004,0)),""))</f>
        <v/>
      </c>
      <c r="T896" s="81">
        <f>IF($B896="","",IFERROR(INDEX(Task_Tracker!$AB$5:$AB$1004,MATCH($B896,Task_Tracker!$A$5:$A$1004,0)),""))</f>
        <v/>
      </c>
      <c r="U896" s="78">
        <f>IF($B896="","",IFERROR(INDEX(Task_Tracker!$F$5:$F$1004,MATCH($B896,Task_Tracker!$A$5:$A$1004,0)),""))</f>
        <v/>
      </c>
      <c r="V896" s="78">
        <f>IF($B896="","",IFERROR(INDEX(Task_Tracker!$I$5:$I$1004,MATCH($B896,Task_Tracker!$A$5:$A$1004,0)),""))</f>
        <v/>
      </c>
      <c r="W896" s="81">
        <f>IF(OR($D896="",$B896=""),"",$D896&amp;" | "&amp;$B896)</f>
        <v/>
      </c>
      <c r="X896" s="85">
        <f>IF($K896="","",TEXT($K896,"yyyy-mm"))</f>
        <v/>
      </c>
      <c r="Y896" s="81">
        <f>IF(OR($A896="",$T896=""),"","Included in Manager_Report")</f>
        <v/>
      </c>
    </row>
    <row r="897" ht="15" customHeight="1" s="40">
      <c r="A897" s="65">
        <f>IF(COUNTA(B897:G897)=0,"","STP-"&amp;TEXT(ROW()-4,"0000"))</f>
        <v/>
      </c>
      <c r="B897" s="78" t="n"/>
      <c r="C897" s="67">
        <f>IF($B897="","",IFERROR(INDEX(Task_Tracker!$D$5:$D$1004,MATCH($B897,Task_Tracker!$A$5:$A$1004,0)),""))</f>
        <v/>
      </c>
      <c r="D897" s="67">
        <f>IF($B897="","",IFERROR(INDEX(Task_Tracker!$B$5:$B$1004,MATCH($B897,Task_Tracker!$A$5:$A$1004,0)),""))</f>
        <v/>
      </c>
      <c r="E897" s="81" t="n"/>
      <c r="F897" s="81" t="n"/>
      <c r="G897" s="78" t="n"/>
      <c r="H897" s="78" t="n"/>
      <c r="I897" s="67">
        <f>IF($H897="","",IFERROR(INDEX(Action_Status_Map!$B$5:$B$11,MATCH($H897,Action_Status_Map!$A$5:$A$11,0)),""))</f>
        <v/>
      </c>
      <c r="J897" s="82" t="n"/>
      <c r="K897" s="82" t="n"/>
      <c r="L897" s="82" t="n"/>
      <c r="M897" s="83" t="n"/>
      <c r="N897" s="83" t="n"/>
      <c r="O897" s="66">
        <f>IF(OR($M897="",$N897=""),"",$N897-$M897)</f>
        <v/>
      </c>
      <c r="P897" s="84">
        <f>IF($J897="","",IF($L897&lt;&gt;"",$L897-$J897,TODAY()-$J897))</f>
        <v/>
      </c>
      <c r="Q897" s="85">
        <f>IF(OR($K897="",$H897="Completed",$H897="Cancelled"),"",IF(AND($K897&lt;TODAY(),$H897&lt;&gt;"Completed",$H897&lt;&gt;"Cancelled"),"Overdue","On Track"))</f>
        <v/>
      </c>
      <c r="R897" s="81" t="n"/>
      <c r="S897" s="81">
        <f>IF($B897="","",IFERROR(INDEX(Task_Tracker!$AA$5:$AA$1004,MATCH($B897,Task_Tracker!$A$5:$A$1004,0)),""))</f>
        <v/>
      </c>
      <c r="T897" s="81">
        <f>IF($B897="","",IFERROR(INDEX(Task_Tracker!$AB$5:$AB$1004,MATCH($B897,Task_Tracker!$A$5:$A$1004,0)),""))</f>
        <v/>
      </c>
      <c r="U897" s="78">
        <f>IF($B897="","",IFERROR(INDEX(Task_Tracker!$F$5:$F$1004,MATCH($B897,Task_Tracker!$A$5:$A$1004,0)),""))</f>
        <v/>
      </c>
      <c r="V897" s="78">
        <f>IF($B897="","",IFERROR(INDEX(Task_Tracker!$I$5:$I$1004,MATCH($B897,Task_Tracker!$A$5:$A$1004,0)),""))</f>
        <v/>
      </c>
      <c r="W897" s="81">
        <f>IF(OR($D897="",$B897=""),"",$D897&amp;" | "&amp;$B897)</f>
        <v/>
      </c>
      <c r="X897" s="85">
        <f>IF($K897="","",TEXT($K897,"yyyy-mm"))</f>
        <v/>
      </c>
      <c r="Y897" s="81">
        <f>IF(OR($A897="",$T897=""),"","Included in Manager_Report")</f>
        <v/>
      </c>
    </row>
    <row r="898" ht="15" customHeight="1" s="40">
      <c r="A898" s="65">
        <f>IF(COUNTA(B898:G898)=0,"","STP-"&amp;TEXT(ROW()-4,"0000"))</f>
        <v/>
      </c>
      <c r="B898" s="78" t="n"/>
      <c r="C898" s="67">
        <f>IF($B898="","",IFERROR(INDEX(Task_Tracker!$D$5:$D$1004,MATCH($B898,Task_Tracker!$A$5:$A$1004,0)),""))</f>
        <v/>
      </c>
      <c r="D898" s="67">
        <f>IF($B898="","",IFERROR(INDEX(Task_Tracker!$B$5:$B$1004,MATCH($B898,Task_Tracker!$A$5:$A$1004,0)),""))</f>
        <v/>
      </c>
      <c r="E898" s="81" t="n"/>
      <c r="F898" s="81" t="n"/>
      <c r="G898" s="78" t="n"/>
      <c r="H898" s="78" t="n"/>
      <c r="I898" s="67">
        <f>IF($H898="","",IFERROR(INDEX(Action_Status_Map!$B$5:$B$11,MATCH($H898,Action_Status_Map!$A$5:$A$11,0)),""))</f>
        <v/>
      </c>
      <c r="J898" s="82" t="n"/>
      <c r="K898" s="82" t="n"/>
      <c r="L898" s="82" t="n"/>
      <c r="M898" s="83" t="n"/>
      <c r="N898" s="83" t="n"/>
      <c r="O898" s="66">
        <f>IF(OR($M898="",$N898=""),"",$N898-$M898)</f>
        <v/>
      </c>
      <c r="P898" s="84">
        <f>IF($J898="","",IF($L898&lt;&gt;"",$L898-$J898,TODAY()-$J898))</f>
        <v/>
      </c>
      <c r="Q898" s="85">
        <f>IF(OR($K898="",$H898="Completed",$H898="Cancelled"),"",IF(AND($K898&lt;TODAY(),$H898&lt;&gt;"Completed",$H898&lt;&gt;"Cancelled"),"Overdue","On Track"))</f>
        <v/>
      </c>
      <c r="R898" s="81" t="n"/>
      <c r="S898" s="81">
        <f>IF($B898="","",IFERROR(INDEX(Task_Tracker!$AA$5:$AA$1004,MATCH($B898,Task_Tracker!$A$5:$A$1004,0)),""))</f>
        <v/>
      </c>
      <c r="T898" s="81">
        <f>IF($B898="","",IFERROR(INDEX(Task_Tracker!$AB$5:$AB$1004,MATCH($B898,Task_Tracker!$A$5:$A$1004,0)),""))</f>
        <v/>
      </c>
      <c r="U898" s="78">
        <f>IF($B898="","",IFERROR(INDEX(Task_Tracker!$F$5:$F$1004,MATCH($B898,Task_Tracker!$A$5:$A$1004,0)),""))</f>
        <v/>
      </c>
      <c r="V898" s="78">
        <f>IF($B898="","",IFERROR(INDEX(Task_Tracker!$I$5:$I$1004,MATCH($B898,Task_Tracker!$A$5:$A$1004,0)),""))</f>
        <v/>
      </c>
      <c r="W898" s="81">
        <f>IF(OR($D898="",$B898=""),"",$D898&amp;" | "&amp;$B898)</f>
        <v/>
      </c>
      <c r="X898" s="85">
        <f>IF($K898="","",TEXT($K898,"yyyy-mm"))</f>
        <v/>
      </c>
      <c r="Y898" s="81">
        <f>IF(OR($A898="",$T898=""),"","Included in Manager_Report")</f>
        <v/>
      </c>
    </row>
    <row r="899" ht="15" customHeight="1" s="40">
      <c r="A899" s="65">
        <f>IF(COUNTA(B899:G899)=0,"","STP-"&amp;TEXT(ROW()-4,"0000"))</f>
        <v/>
      </c>
      <c r="B899" s="78" t="n"/>
      <c r="C899" s="67">
        <f>IF($B899="","",IFERROR(INDEX(Task_Tracker!$D$5:$D$1004,MATCH($B899,Task_Tracker!$A$5:$A$1004,0)),""))</f>
        <v/>
      </c>
      <c r="D899" s="67">
        <f>IF($B899="","",IFERROR(INDEX(Task_Tracker!$B$5:$B$1004,MATCH($B899,Task_Tracker!$A$5:$A$1004,0)),""))</f>
        <v/>
      </c>
      <c r="E899" s="81" t="n"/>
      <c r="F899" s="81" t="n"/>
      <c r="G899" s="78" t="n"/>
      <c r="H899" s="78" t="n"/>
      <c r="I899" s="67">
        <f>IF($H899="","",IFERROR(INDEX(Action_Status_Map!$B$5:$B$11,MATCH($H899,Action_Status_Map!$A$5:$A$11,0)),""))</f>
        <v/>
      </c>
      <c r="J899" s="82" t="n"/>
      <c r="K899" s="82" t="n"/>
      <c r="L899" s="82" t="n"/>
      <c r="M899" s="83" t="n"/>
      <c r="N899" s="83" t="n"/>
      <c r="O899" s="66">
        <f>IF(OR($M899="",$N899=""),"",$N899-$M899)</f>
        <v/>
      </c>
      <c r="P899" s="84">
        <f>IF($J899="","",IF($L899&lt;&gt;"",$L899-$J899,TODAY()-$J899))</f>
        <v/>
      </c>
      <c r="Q899" s="85">
        <f>IF(OR($K899="",$H899="Completed",$H899="Cancelled"),"",IF(AND($K899&lt;TODAY(),$H899&lt;&gt;"Completed",$H899&lt;&gt;"Cancelled"),"Overdue","On Track"))</f>
        <v/>
      </c>
      <c r="R899" s="81" t="n"/>
      <c r="S899" s="81">
        <f>IF($B899="","",IFERROR(INDEX(Task_Tracker!$AA$5:$AA$1004,MATCH($B899,Task_Tracker!$A$5:$A$1004,0)),""))</f>
        <v/>
      </c>
      <c r="T899" s="81">
        <f>IF($B899="","",IFERROR(INDEX(Task_Tracker!$AB$5:$AB$1004,MATCH($B899,Task_Tracker!$A$5:$A$1004,0)),""))</f>
        <v/>
      </c>
      <c r="U899" s="78">
        <f>IF($B899="","",IFERROR(INDEX(Task_Tracker!$F$5:$F$1004,MATCH($B899,Task_Tracker!$A$5:$A$1004,0)),""))</f>
        <v/>
      </c>
      <c r="V899" s="78">
        <f>IF($B899="","",IFERROR(INDEX(Task_Tracker!$I$5:$I$1004,MATCH($B899,Task_Tracker!$A$5:$A$1004,0)),""))</f>
        <v/>
      </c>
      <c r="W899" s="81">
        <f>IF(OR($D899="",$B899=""),"",$D899&amp;" | "&amp;$B899)</f>
        <v/>
      </c>
      <c r="X899" s="85">
        <f>IF($K899="","",TEXT($K899,"yyyy-mm"))</f>
        <v/>
      </c>
      <c r="Y899" s="81">
        <f>IF(OR($A899="",$T899=""),"","Included in Manager_Report")</f>
        <v/>
      </c>
    </row>
    <row r="900" ht="15" customHeight="1" s="40">
      <c r="A900" s="65">
        <f>IF(COUNTA(B900:G900)=0,"","STP-"&amp;TEXT(ROW()-4,"0000"))</f>
        <v/>
      </c>
      <c r="B900" s="78" t="n"/>
      <c r="C900" s="67">
        <f>IF($B900="","",IFERROR(INDEX(Task_Tracker!$D$5:$D$1004,MATCH($B900,Task_Tracker!$A$5:$A$1004,0)),""))</f>
        <v/>
      </c>
      <c r="D900" s="67">
        <f>IF($B900="","",IFERROR(INDEX(Task_Tracker!$B$5:$B$1004,MATCH($B900,Task_Tracker!$A$5:$A$1004,0)),""))</f>
        <v/>
      </c>
      <c r="E900" s="81" t="n"/>
      <c r="F900" s="81" t="n"/>
      <c r="G900" s="78" t="n"/>
      <c r="H900" s="78" t="n"/>
      <c r="I900" s="67">
        <f>IF($H900="","",IFERROR(INDEX(Action_Status_Map!$B$5:$B$11,MATCH($H900,Action_Status_Map!$A$5:$A$11,0)),""))</f>
        <v/>
      </c>
      <c r="J900" s="82" t="n"/>
      <c r="K900" s="82" t="n"/>
      <c r="L900" s="82" t="n"/>
      <c r="M900" s="83" t="n"/>
      <c r="N900" s="83" t="n"/>
      <c r="O900" s="66">
        <f>IF(OR($M900="",$N900=""),"",$N900-$M900)</f>
        <v/>
      </c>
      <c r="P900" s="84">
        <f>IF($J900="","",IF($L900&lt;&gt;"",$L900-$J900,TODAY()-$J900))</f>
        <v/>
      </c>
      <c r="Q900" s="85">
        <f>IF(OR($K900="",$H900="Completed",$H900="Cancelled"),"",IF(AND($K900&lt;TODAY(),$H900&lt;&gt;"Completed",$H900&lt;&gt;"Cancelled"),"Overdue","On Track"))</f>
        <v/>
      </c>
      <c r="R900" s="81" t="n"/>
      <c r="S900" s="81">
        <f>IF($B900="","",IFERROR(INDEX(Task_Tracker!$AA$5:$AA$1004,MATCH($B900,Task_Tracker!$A$5:$A$1004,0)),""))</f>
        <v/>
      </c>
      <c r="T900" s="81">
        <f>IF($B900="","",IFERROR(INDEX(Task_Tracker!$AB$5:$AB$1004,MATCH($B900,Task_Tracker!$A$5:$A$1004,0)),""))</f>
        <v/>
      </c>
      <c r="U900" s="78">
        <f>IF($B900="","",IFERROR(INDEX(Task_Tracker!$F$5:$F$1004,MATCH($B900,Task_Tracker!$A$5:$A$1004,0)),""))</f>
        <v/>
      </c>
      <c r="V900" s="78">
        <f>IF($B900="","",IFERROR(INDEX(Task_Tracker!$I$5:$I$1004,MATCH($B900,Task_Tracker!$A$5:$A$1004,0)),""))</f>
        <v/>
      </c>
      <c r="W900" s="81">
        <f>IF(OR($D900="",$B900=""),"",$D900&amp;" | "&amp;$B900)</f>
        <v/>
      </c>
      <c r="X900" s="85">
        <f>IF($K900="","",TEXT($K900,"yyyy-mm"))</f>
        <v/>
      </c>
      <c r="Y900" s="81">
        <f>IF(OR($A900="",$T900=""),"","Included in Manager_Report")</f>
        <v/>
      </c>
    </row>
    <row r="901" ht="15" customHeight="1" s="40">
      <c r="A901" s="65">
        <f>IF(COUNTA(B901:G901)=0,"","STP-"&amp;TEXT(ROW()-4,"0000"))</f>
        <v/>
      </c>
      <c r="B901" s="78" t="n"/>
      <c r="C901" s="67">
        <f>IF($B901="","",IFERROR(INDEX(Task_Tracker!$D$5:$D$1004,MATCH($B901,Task_Tracker!$A$5:$A$1004,0)),""))</f>
        <v/>
      </c>
      <c r="D901" s="67">
        <f>IF($B901="","",IFERROR(INDEX(Task_Tracker!$B$5:$B$1004,MATCH($B901,Task_Tracker!$A$5:$A$1004,0)),""))</f>
        <v/>
      </c>
      <c r="E901" s="81" t="n"/>
      <c r="F901" s="81" t="n"/>
      <c r="G901" s="78" t="n"/>
      <c r="H901" s="78" t="n"/>
      <c r="I901" s="67">
        <f>IF($H901="","",IFERROR(INDEX(Action_Status_Map!$B$5:$B$11,MATCH($H901,Action_Status_Map!$A$5:$A$11,0)),""))</f>
        <v/>
      </c>
      <c r="J901" s="82" t="n"/>
      <c r="K901" s="82" t="n"/>
      <c r="L901" s="82" t="n"/>
      <c r="M901" s="83" t="n"/>
      <c r="N901" s="83" t="n"/>
      <c r="O901" s="66">
        <f>IF(OR($M901="",$N901=""),"",$N901-$M901)</f>
        <v/>
      </c>
      <c r="P901" s="84">
        <f>IF($J901="","",IF($L901&lt;&gt;"",$L901-$J901,TODAY()-$J901))</f>
        <v/>
      </c>
      <c r="Q901" s="85">
        <f>IF(OR($K901="",$H901="Completed",$H901="Cancelled"),"",IF(AND($K901&lt;TODAY(),$H901&lt;&gt;"Completed",$H901&lt;&gt;"Cancelled"),"Overdue","On Track"))</f>
        <v/>
      </c>
      <c r="R901" s="81" t="n"/>
      <c r="S901" s="81">
        <f>IF($B901="","",IFERROR(INDEX(Task_Tracker!$AA$5:$AA$1004,MATCH($B901,Task_Tracker!$A$5:$A$1004,0)),""))</f>
        <v/>
      </c>
      <c r="T901" s="81">
        <f>IF($B901="","",IFERROR(INDEX(Task_Tracker!$AB$5:$AB$1004,MATCH($B901,Task_Tracker!$A$5:$A$1004,0)),""))</f>
        <v/>
      </c>
      <c r="U901" s="78">
        <f>IF($B901="","",IFERROR(INDEX(Task_Tracker!$F$5:$F$1004,MATCH($B901,Task_Tracker!$A$5:$A$1004,0)),""))</f>
        <v/>
      </c>
      <c r="V901" s="78">
        <f>IF($B901="","",IFERROR(INDEX(Task_Tracker!$I$5:$I$1004,MATCH($B901,Task_Tracker!$A$5:$A$1004,0)),""))</f>
        <v/>
      </c>
      <c r="W901" s="81">
        <f>IF(OR($D901="",$B901=""),"",$D901&amp;" | "&amp;$B901)</f>
        <v/>
      </c>
      <c r="X901" s="85">
        <f>IF($K901="","",TEXT($K901,"yyyy-mm"))</f>
        <v/>
      </c>
      <c r="Y901" s="81">
        <f>IF(OR($A901="",$T901=""),"","Included in Manager_Report")</f>
        <v/>
      </c>
    </row>
    <row r="902" ht="15" customHeight="1" s="40">
      <c r="A902" s="65">
        <f>IF(COUNTA(B902:G902)=0,"","STP-"&amp;TEXT(ROW()-4,"0000"))</f>
        <v/>
      </c>
      <c r="B902" s="78" t="n"/>
      <c r="C902" s="67">
        <f>IF($B902="","",IFERROR(INDEX(Task_Tracker!$D$5:$D$1004,MATCH($B902,Task_Tracker!$A$5:$A$1004,0)),""))</f>
        <v/>
      </c>
      <c r="D902" s="67">
        <f>IF($B902="","",IFERROR(INDEX(Task_Tracker!$B$5:$B$1004,MATCH($B902,Task_Tracker!$A$5:$A$1004,0)),""))</f>
        <v/>
      </c>
      <c r="E902" s="81" t="n"/>
      <c r="F902" s="81" t="n"/>
      <c r="G902" s="78" t="n"/>
      <c r="H902" s="78" t="n"/>
      <c r="I902" s="67">
        <f>IF($H902="","",IFERROR(INDEX(Action_Status_Map!$B$5:$B$11,MATCH($H902,Action_Status_Map!$A$5:$A$11,0)),""))</f>
        <v/>
      </c>
      <c r="J902" s="82" t="n"/>
      <c r="K902" s="82" t="n"/>
      <c r="L902" s="82" t="n"/>
      <c r="M902" s="83" t="n"/>
      <c r="N902" s="83" t="n"/>
      <c r="O902" s="66">
        <f>IF(OR($M902="",$N902=""),"",$N902-$M902)</f>
        <v/>
      </c>
      <c r="P902" s="84">
        <f>IF($J902="","",IF($L902&lt;&gt;"",$L902-$J902,TODAY()-$J902))</f>
        <v/>
      </c>
      <c r="Q902" s="85">
        <f>IF(OR($K902="",$H902="Completed",$H902="Cancelled"),"",IF(AND($K902&lt;TODAY(),$H902&lt;&gt;"Completed",$H902&lt;&gt;"Cancelled"),"Overdue","On Track"))</f>
        <v/>
      </c>
      <c r="R902" s="81" t="n"/>
      <c r="S902" s="81">
        <f>IF($B902="","",IFERROR(INDEX(Task_Tracker!$AA$5:$AA$1004,MATCH($B902,Task_Tracker!$A$5:$A$1004,0)),""))</f>
        <v/>
      </c>
      <c r="T902" s="81">
        <f>IF($B902="","",IFERROR(INDEX(Task_Tracker!$AB$5:$AB$1004,MATCH($B902,Task_Tracker!$A$5:$A$1004,0)),""))</f>
        <v/>
      </c>
      <c r="U902" s="78">
        <f>IF($B902="","",IFERROR(INDEX(Task_Tracker!$F$5:$F$1004,MATCH($B902,Task_Tracker!$A$5:$A$1004,0)),""))</f>
        <v/>
      </c>
      <c r="V902" s="78">
        <f>IF($B902="","",IFERROR(INDEX(Task_Tracker!$I$5:$I$1004,MATCH($B902,Task_Tracker!$A$5:$A$1004,0)),""))</f>
        <v/>
      </c>
      <c r="W902" s="81">
        <f>IF(OR($D902="",$B902=""),"",$D902&amp;" | "&amp;$B902)</f>
        <v/>
      </c>
      <c r="X902" s="85">
        <f>IF($K902="","",TEXT($K902,"yyyy-mm"))</f>
        <v/>
      </c>
      <c r="Y902" s="81">
        <f>IF(OR($A902="",$T902=""),"","Included in Manager_Report")</f>
        <v/>
      </c>
    </row>
    <row r="903" ht="15" customHeight="1" s="40">
      <c r="A903" s="65">
        <f>IF(COUNTA(B903:G903)=0,"","STP-"&amp;TEXT(ROW()-4,"0000"))</f>
        <v/>
      </c>
      <c r="B903" s="78" t="n"/>
      <c r="C903" s="67">
        <f>IF($B903="","",IFERROR(INDEX(Task_Tracker!$D$5:$D$1004,MATCH($B903,Task_Tracker!$A$5:$A$1004,0)),""))</f>
        <v/>
      </c>
      <c r="D903" s="67">
        <f>IF($B903="","",IFERROR(INDEX(Task_Tracker!$B$5:$B$1004,MATCH($B903,Task_Tracker!$A$5:$A$1004,0)),""))</f>
        <v/>
      </c>
      <c r="E903" s="81" t="n"/>
      <c r="F903" s="81" t="n"/>
      <c r="G903" s="78" t="n"/>
      <c r="H903" s="78" t="n"/>
      <c r="I903" s="67">
        <f>IF($H903="","",IFERROR(INDEX(Action_Status_Map!$B$5:$B$11,MATCH($H903,Action_Status_Map!$A$5:$A$11,0)),""))</f>
        <v/>
      </c>
      <c r="J903" s="82" t="n"/>
      <c r="K903" s="82" t="n"/>
      <c r="L903" s="82" t="n"/>
      <c r="M903" s="83" t="n"/>
      <c r="N903" s="83" t="n"/>
      <c r="O903" s="66">
        <f>IF(OR($M903="",$N903=""),"",$N903-$M903)</f>
        <v/>
      </c>
      <c r="P903" s="84">
        <f>IF($J903="","",IF($L903&lt;&gt;"",$L903-$J903,TODAY()-$J903))</f>
        <v/>
      </c>
      <c r="Q903" s="85">
        <f>IF(OR($K903="",$H903="Completed",$H903="Cancelled"),"",IF(AND($K903&lt;TODAY(),$H903&lt;&gt;"Completed",$H903&lt;&gt;"Cancelled"),"Overdue","On Track"))</f>
        <v/>
      </c>
      <c r="R903" s="81" t="n"/>
      <c r="S903" s="81">
        <f>IF($B903="","",IFERROR(INDEX(Task_Tracker!$AA$5:$AA$1004,MATCH($B903,Task_Tracker!$A$5:$A$1004,0)),""))</f>
        <v/>
      </c>
      <c r="T903" s="81">
        <f>IF($B903="","",IFERROR(INDEX(Task_Tracker!$AB$5:$AB$1004,MATCH($B903,Task_Tracker!$A$5:$A$1004,0)),""))</f>
        <v/>
      </c>
      <c r="U903" s="78">
        <f>IF($B903="","",IFERROR(INDEX(Task_Tracker!$F$5:$F$1004,MATCH($B903,Task_Tracker!$A$5:$A$1004,0)),""))</f>
        <v/>
      </c>
      <c r="V903" s="78">
        <f>IF($B903="","",IFERROR(INDEX(Task_Tracker!$I$5:$I$1004,MATCH($B903,Task_Tracker!$A$5:$A$1004,0)),""))</f>
        <v/>
      </c>
      <c r="W903" s="81">
        <f>IF(OR($D903="",$B903=""),"",$D903&amp;" | "&amp;$B903)</f>
        <v/>
      </c>
      <c r="X903" s="85">
        <f>IF($K903="","",TEXT($K903,"yyyy-mm"))</f>
        <v/>
      </c>
      <c r="Y903" s="81">
        <f>IF(OR($A903="",$T903=""),"","Included in Manager_Report")</f>
        <v/>
      </c>
    </row>
    <row r="904" ht="15" customHeight="1" s="40">
      <c r="A904" s="65">
        <f>IF(COUNTA(B904:G904)=0,"","STP-"&amp;TEXT(ROW()-4,"0000"))</f>
        <v/>
      </c>
      <c r="B904" s="78" t="n"/>
      <c r="C904" s="67">
        <f>IF($B904="","",IFERROR(INDEX(Task_Tracker!$D$5:$D$1004,MATCH($B904,Task_Tracker!$A$5:$A$1004,0)),""))</f>
        <v/>
      </c>
      <c r="D904" s="67">
        <f>IF($B904="","",IFERROR(INDEX(Task_Tracker!$B$5:$B$1004,MATCH($B904,Task_Tracker!$A$5:$A$1004,0)),""))</f>
        <v/>
      </c>
      <c r="E904" s="81" t="n"/>
      <c r="F904" s="81" t="n"/>
      <c r="G904" s="78" t="n"/>
      <c r="H904" s="78" t="n"/>
      <c r="I904" s="67">
        <f>IF($H904="","",IFERROR(INDEX(Action_Status_Map!$B$5:$B$11,MATCH($H904,Action_Status_Map!$A$5:$A$11,0)),""))</f>
        <v/>
      </c>
      <c r="J904" s="82" t="n"/>
      <c r="K904" s="82" t="n"/>
      <c r="L904" s="82" t="n"/>
      <c r="M904" s="83" t="n"/>
      <c r="N904" s="83" t="n"/>
      <c r="O904" s="66">
        <f>IF(OR($M904="",$N904=""),"",$N904-$M904)</f>
        <v/>
      </c>
      <c r="P904" s="84">
        <f>IF($J904="","",IF($L904&lt;&gt;"",$L904-$J904,TODAY()-$J904))</f>
        <v/>
      </c>
      <c r="Q904" s="85">
        <f>IF(OR($K904="",$H904="Completed",$H904="Cancelled"),"",IF(AND($K904&lt;TODAY(),$H904&lt;&gt;"Completed",$H904&lt;&gt;"Cancelled"),"Overdue","On Track"))</f>
        <v/>
      </c>
      <c r="R904" s="81" t="n"/>
      <c r="S904" s="81">
        <f>IF($B904="","",IFERROR(INDEX(Task_Tracker!$AA$5:$AA$1004,MATCH($B904,Task_Tracker!$A$5:$A$1004,0)),""))</f>
        <v/>
      </c>
      <c r="T904" s="81">
        <f>IF($B904="","",IFERROR(INDEX(Task_Tracker!$AB$5:$AB$1004,MATCH($B904,Task_Tracker!$A$5:$A$1004,0)),""))</f>
        <v/>
      </c>
      <c r="U904" s="78">
        <f>IF($B904="","",IFERROR(INDEX(Task_Tracker!$F$5:$F$1004,MATCH($B904,Task_Tracker!$A$5:$A$1004,0)),""))</f>
        <v/>
      </c>
      <c r="V904" s="78">
        <f>IF($B904="","",IFERROR(INDEX(Task_Tracker!$I$5:$I$1004,MATCH($B904,Task_Tracker!$A$5:$A$1004,0)),""))</f>
        <v/>
      </c>
      <c r="W904" s="81">
        <f>IF(OR($D904="",$B904=""),"",$D904&amp;" | "&amp;$B904)</f>
        <v/>
      </c>
      <c r="X904" s="85">
        <f>IF($K904="","",TEXT($K904,"yyyy-mm"))</f>
        <v/>
      </c>
      <c r="Y904" s="81">
        <f>IF(OR($A904="",$T904=""),"","Included in Manager_Report")</f>
        <v/>
      </c>
    </row>
    <row r="905" ht="15" customHeight="1" s="40">
      <c r="A905" s="65">
        <f>IF(COUNTA(B905:G905)=0,"","STP-"&amp;TEXT(ROW()-4,"0000"))</f>
        <v/>
      </c>
      <c r="B905" s="78" t="n"/>
      <c r="C905" s="67">
        <f>IF($B905="","",IFERROR(INDEX(Task_Tracker!$D$5:$D$1004,MATCH($B905,Task_Tracker!$A$5:$A$1004,0)),""))</f>
        <v/>
      </c>
      <c r="D905" s="67">
        <f>IF($B905="","",IFERROR(INDEX(Task_Tracker!$B$5:$B$1004,MATCH($B905,Task_Tracker!$A$5:$A$1004,0)),""))</f>
        <v/>
      </c>
      <c r="E905" s="81" t="n"/>
      <c r="F905" s="81" t="n"/>
      <c r="G905" s="78" t="n"/>
      <c r="H905" s="78" t="n"/>
      <c r="I905" s="67">
        <f>IF($H905="","",IFERROR(INDEX(Action_Status_Map!$B$5:$B$11,MATCH($H905,Action_Status_Map!$A$5:$A$11,0)),""))</f>
        <v/>
      </c>
      <c r="J905" s="82" t="n"/>
      <c r="K905" s="82" t="n"/>
      <c r="L905" s="82" t="n"/>
      <c r="M905" s="83" t="n"/>
      <c r="N905" s="83" t="n"/>
      <c r="O905" s="66">
        <f>IF(OR($M905="",$N905=""),"",$N905-$M905)</f>
        <v/>
      </c>
      <c r="P905" s="84">
        <f>IF($J905="","",IF($L905&lt;&gt;"",$L905-$J905,TODAY()-$J905))</f>
        <v/>
      </c>
      <c r="Q905" s="85">
        <f>IF(OR($K905="",$H905="Completed",$H905="Cancelled"),"",IF(AND($K905&lt;TODAY(),$H905&lt;&gt;"Completed",$H905&lt;&gt;"Cancelled"),"Overdue","On Track"))</f>
        <v/>
      </c>
      <c r="R905" s="81" t="n"/>
      <c r="S905" s="81">
        <f>IF($B905="","",IFERROR(INDEX(Task_Tracker!$AA$5:$AA$1004,MATCH($B905,Task_Tracker!$A$5:$A$1004,0)),""))</f>
        <v/>
      </c>
      <c r="T905" s="81">
        <f>IF($B905="","",IFERROR(INDEX(Task_Tracker!$AB$5:$AB$1004,MATCH($B905,Task_Tracker!$A$5:$A$1004,0)),""))</f>
        <v/>
      </c>
      <c r="U905" s="78">
        <f>IF($B905="","",IFERROR(INDEX(Task_Tracker!$F$5:$F$1004,MATCH($B905,Task_Tracker!$A$5:$A$1004,0)),""))</f>
        <v/>
      </c>
      <c r="V905" s="78">
        <f>IF($B905="","",IFERROR(INDEX(Task_Tracker!$I$5:$I$1004,MATCH($B905,Task_Tracker!$A$5:$A$1004,0)),""))</f>
        <v/>
      </c>
      <c r="W905" s="81">
        <f>IF(OR($D905="",$B905=""),"",$D905&amp;" | "&amp;$B905)</f>
        <v/>
      </c>
      <c r="X905" s="85">
        <f>IF($K905="","",TEXT($K905,"yyyy-mm"))</f>
        <v/>
      </c>
      <c r="Y905" s="81">
        <f>IF(OR($A905="",$T905=""),"","Included in Manager_Report")</f>
        <v/>
      </c>
    </row>
    <row r="906" ht="15" customHeight="1" s="40">
      <c r="A906" s="65">
        <f>IF(COUNTA(B906:G906)=0,"","STP-"&amp;TEXT(ROW()-4,"0000"))</f>
        <v/>
      </c>
      <c r="B906" s="78" t="n"/>
      <c r="C906" s="67">
        <f>IF($B906="","",IFERROR(INDEX(Task_Tracker!$D$5:$D$1004,MATCH($B906,Task_Tracker!$A$5:$A$1004,0)),""))</f>
        <v/>
      </c>
      <c r="D906" s="67">
        <f>IF($B906="","",IFERROR(INDEX(Task_Tracker!$B$5:$B$1004,MATCH($B906,Task_Tracker!$A$5:$A$1004,0)),""))</f>
        <v/>
      </c>
      <c r="E906" s="81" t="n"/>
      <c r="F906" s="81" t="n"/>
      <c r="G906" s="78" t="n"/>
      <c r="H906" s="78" t="n"/>
      <c r="I906" s="67">
        <f>IF($H906="","",IFERROR(INDEX(Action_Status_Map!$B$5:$B$11,MATCH($H906,Action_Status_Map!$A$5:$A$11,0)),""))</f>
        <v/>
      </c>
      <c r="J906" s="82" t="n"/>
      <c r="K906" s="82" t="n"/>
      <c r="L906" s="82" t="n"/>
      <c r="M906" s="83" t="n"/>
      <c r="N906" s="83" t="n"/>
      <c r="O906" s="66">
        <f>IF(OR($M906="",$N906=""),"",$N906-$M906)</f>
        <v/>
      </c>
      <c r="P906" s="84">
        <f>IF($J906="","",IF($L906&lt;&gt;"",$L906-$J906,TODAY()-$J906))</f>
        <v/>
      </c>
      <c r="Q906" s="85">
        <f>IF(OR($K906="",$H906="Completed",$H906="Cancelled"),"",IF(AND($K906&lt;TODAY(),$H906&lt;&gt;"Completed",$H906&lt;&gt;"Cancelled"),"Overdue","On Track"))</f>
        <v/>
      </c>
      <c r="R906" s="81" t="n"/>
      <c r="S906" s="81">
        <f>IF($B906="","",IFERROR(INDEX(Task_Tracker!$AA$5:$AA$1004,MATCH($B906,Task_Tracker!$A$5:$A$1004,0)),""))</f>
        <v/>
      </c>
      <c r="T906" s="81">
        <f>IF($B906="","",IFERROR(INDEX(Task_Tracker!$AB$5:$AB$1004,MATCH($B906,Task_Tracker!$A$5:$A$1004,0)),""))</f>
        <v/>
      </c>
      <c r="U906" s="78">
        <f>IF($B906="","",IFERROR(INDEX(Task_Tracker!$F$5:$F$1004,MATCH($B906,Task_Tracker!$A$5:$A$1004,0)),""))</f>
        <v/>
      </c>
      <c r="V906" s="78">
        <f>IF($B906="","",IFERROR(INDEX(Task_Tracker!$I$5:$I$1004,MATCH($B906,Task_Tracker!$A$5:$A$1004,0)),""))</f>
        <v/>
      </c>
      <c r="W906" s="81">
        <f>IF(OR($D906="",$B906=""),"",$D906&amp;" | "&amp;$B906)</f>
        <v/>
      </c>
      <c r="X906" s="85">
        <f>IF($K906="","",TEXT($K906,"yyyy-mm"))</f>
        <v/>
      </c>
      <c r="Y906" s="81">
        <f>IF(OR($A906="",$T906=""),"","Included in Manager_Report")</f>
        <v/>
      </c>
    </row>
    <row r="907" ht="15" customHeight="1" s="40">
      <c r="A907" s="65">
        <f>IF(COUNTA(B907:G907)=0,"","STP-"&amp;TEXT(ROW()-4,"0000"))</f>
        <v/>
      </c>
      <c r="B907" s="78" t="n"/>
      <c r="C907" s="67">
        <f>IF($B907="","",IFERROR(INDEX(Task_Tracker!$D$5:$D$1004,MATCH($B907,Task_Tracker!$A$5:$A$1004,0)),""))</f>
        <v/>
      </c>
      <c r="D907" s="67">
        <f>IF($B907="","",IFERROR(INDEX(Task_Tracker!$B$5:$B$1004,MATCH($B907,Task_Tracker!$A$5:$A$1004,0)),""))</f>
        <v/>
      </c>
      <c r="E907" s="81" t="n"/>
      <c r="F907" s="81" t="n"/>
      <c r="G907" s="78" t="n"/>
      <c r="H907" s="78" t="n"/>
      <c r="I907" s="67">
        <f>IF($H907="","",IFERROR(INDEX(Action_Status_Map!$B$5:$B$11,MATCH($H907,Action_Status_Map!$A$5:$A$11,0)),""))</f>
        <v/>
      </c>
      <c r="J907" s="82" t="n"/>
      <c r="K907" s="82" t="n"/>
      <c r="L907" s="82" t="n"/>
      <c r="M907" s="83" t="n"/>
      <c r="N907" s="83" t="n"/>
      <c r="O907" s="66">
        <f>IF(OR($M907="",$N907=""),"",$N907-$M907)</f>
        <v/>
      </c>
      <c r="P907" s="84">
        <f>IF($J907="","",IF($L907&lt;&gt;"",$L907-$J907,TODAY()-$J907))</f>
        <v/>
      </c>
      <c r="Q907" s="85">
        <f>IF(OR($K907="",$H907="Completed",$H907="Cancelled"),"",IF(AND($K907&lt;TODAY(),$H907&lt;&gt;"Completed",$H907&lt;&gt;"Cancelled"),"Overdue","On Track"))</f>
        <v/>
      </c>
      <c r="R907" s="81" t="n"/>
      <c r="S907" s="81">
        <f>IF($B907="","",IFERROR(INDEX(Task_Tracker!$AA$5:$AA$1004,MATCH($B907,Task_Tracker!$A$5:$A$1004,0)),""))</f>
        <v/>
      </c>
      <c r="T907" s="81">
        <f>IF($B907="","",IFERROR(INDEX(Task_Tracker!$AB$5:$AB$1004,MATCH($B907,Task_Tracker!$A$5:$A$1004,0)),""))</f>
        <v/>
      </c>
      <c r="U907" s="78">
        <f>IF($B907="","",IFERROR(INDEX(Task_Tracker!$F$5:$F$1004,MATCH($B907,Task_Tracker!$A$5:$A$1004,0)),""))</f>
        <v/>
      </c>
      <c r="V907" s="78">
        <f>IF($B907="","",IFERROR(INDEX(Task_Tracker!$I$5:$I$1004,MATCH($B907,Task_Tracker!$A$5:$A$1004,0)),""))</f>
        <v/>
      </c>
      <c r="W907" s="81">
        <f>IF(OR($D907="",$B907=""),"",$D907&amp;" | "&amp;$B907)</f>
        <v/>
      </c>
      <c r="X907" s="85">
        <f>IF($K907="","",TEXT($K907,"yyyy-mm"))</f>
        <v/>
      </c>
      <c r="Y907" s="81">
        <f>IF(OR($A907="",$T907=""),"","Included in Manager_Report")</f>
        <v/>
      </c>
    </row>
    <row r="908" ht="15" customHeight="1" s="40">
      <c r="A908" s="65">
        <f>IF(COUNTA(B908:G908)=0,"","STP-"&amp;TEXT(ROW()-4,"0000"))</f>
        <v/>
      </c>
      <c r="B908" s="78" t="n"/>
      <c r="C908" s="67">
        <f>IF($B908="","",IFERROR(INDEX(Task_Tracker!$D$5:$D$1004,MATCH($B908,Task_Tracker!$A$5:$A$1004,0)),""))</f>
        <v/>
      </c>
      <c r="D908" s="67">
        <f>IF($B908="","",IFERROR(INDEX(Task_Tracker!$B$5:$B$1004,MATCH($B908,Task_Tracker!$A$5:$A$1004,0)),""))</f>
        <v/>
      </c>
      <c r="E908" s="81" t="n"/>
      <c r="F908" s="81" t="n"/>
      <c r="G908" s="78" t="n"/>
      <c r="H908" s="78" t="n"/>
      <c r="I908" s="67">
        <f>IF($H908="","",IFERROR(INDEX(Action_Status_Map!$B$5:$B$11,MATCH($H908,Action_Status_Map!$A$5:$A$11,0)),""))</f>
        <v/>
      </c>
      <c r="J908" s="82" t="n"/>
      <c r="K908" s="82" t="n"/>
      <c r="L908" s="82" t="n"/>
      <c r="M908" s="83" t="n"/>
      <c r="N908" s="83" t="n"/>
      <c r="O908" s="66">
        <f>IF(OR($M908="",$N908=""),"",$N908-$M908)</f>
        <v/>
      </c>
      <c r="P908" s="84">
        <f>IF($J908="","",IF($L908&lt;&gt;"",$L908-$J908,TODAY()-$J908))</f>
        <v/>
      </c>
      <c r="Q908" s="85">
        <f>IF(OR($K908="",$H908="Completed",$H908="Cancelled"),"",IF(AND($K908&lt;TODAY(),$H908&lt;&gt;"Completed",$H908&lt;&gt;"Cancelled"),"Overdue","On Track"))</f>
        <v/>
      </c>
      <c r="R908" s="81" t="n"/>
      <c r="S908" s="81">
        <f>IF($B908="","",IFERROR(INDEX(Task_Tracker!$AA$5:$AA$1004,MATCH($B908,Task_Tracker!$A$5:$A$1004,0)),""))</f>
        <v/>
      </c>
      <c r="T908" s="81">
        <f>IF($B908="","",IFERROR(INDEX(Task_Tracker!$AB$5:$AB$1004,MATCH($B908,Task_Tracker!$A$5:$A$1004,0)),""))</f>
        <v/>
      </c>
      <c r="U908" s="78">
        <f>IF($B908="","",IFERROR(INDEX(Task_Tracker!$F$5:$F$1004,MATCH($B908,Task_Tracker!$A$5:$A$1004,0)),""))</f>
        <v/>
      </c>
      <c r="V908" s="78">
        <f>IF($B908="","",IFERROR(INDEX(Task_Tracker!$I$5:$I$1004,MATCH($B908,Task_Tracker!$A$5:$A$1004,0)),""))</f>
        <v/>
      </c>
      <c r="W908" s="81">
        <f>IF(OR($D908="",$B908=""),"",$D908&amp;" | "&amp;$B908)</f>
        <v/>
      </c>
      <c r="X908" s="85">
        <f>IF($K908="","",TEXT($K908,"yyyy-mm"))</f>
        <v/>
      </c>
      <c r="Y908" s="81">
        <f>IF(OR($A908="",$T908=""),"","Included in Manager_Report")</f>
        <v/>
      </c>
    </row>
    <row r="909" ht="15" customHeight="1" s="40">
      <c r="A909" s="65">
        <f>IF(COUNTA(B909:G909)=0,"","STP-"&amp;TEXT(ROW()-4,"0000"))</f>
        <v/>
      </c>
      <c r="B909" s="78" t="n"/>
      <c r="C909" s="67">
        <f>IF($B909="","",IFERROR(INDEX(Task_Tracker!$D$5:$D$1004,MATCH($B909,Task_Tracker!$A$5:$A$1004,0)),""))</f>
        <v/>
      </c>
      <c r="D909" s="67">
        <f>IF($B909="","",IFERROR(INDEX(Task_Tracker!$B$5:$B$1004,MATCH($B909,Task_Tracker!$A$5:$A$1004,0)),""))</f>
        <v/>
      </c>
      <c r="E909" s="81" t="n"/>
      <c r="F909" s="81" t="n"/>
      <c r="G909" s="78" t="n"/>
      <c r="H909" s="78" t="n"/>
      <c r="I909" s="67">
        <f>IF($H909="","",IFERROR(INDEX(Action_Status_Map!$B$5:$B$11,MATCH($H909,Action_Status_Map!$A$5:$A$11,0)),""))</f>
        <v/>
      </c>
      <c r="J909" s="82" t="n"/>
      <c r="K909" s="82" t="n"/>
      <c r="L909" s="82" t="n"/>
      <c r="M909" s="83" t="n"/>
      <c r="N909" s="83" t="n"/>
      <c r="O909" s="66">
        <f>IF(OR($M909="",$N909=""),"",$N909-$M909)</f>
        <v/>
      </c>
      <c r="P909" s="84">
        <f>IF($J909="","",IF($L909&lt;&gt;"",$L909-$J909,TODAY()-$J909))</f>
        <v/>
      </c>
      <c r="Q909" s="85">
        <f>IF(OR($K909="",$H909="Completed",$H909="Cancelled"),"",IF(AND($K909&lt;TODAY(),$H909&lt;&gt;"Completed",$H909&lt;&gt;"Cancelled"),"Overdue","On Track"))</f>
        <v/>
      </c>
      <c r="R909" s="81" t="n"/>
      <c r="S909" s="81">
        <f>IF($B909="","",IFERROR(INDEX(Task_Tracker!$AA$5:$AA$1004,MATCH($B909,Task_Tracker!$A$5:$A$1004,0)),""))</f>
        <v/>
      </c>
      <c r="T909" s="81">
        <f>IF($B909="","",IFERROR(INDEX(Task_Tracker!$AB$5:$AB$1004,MATCH($B909,Task_Tracker!$A$5:$A$1004,0)),""))</f>
        <v/>
      </c>
      <c r="U909" s="78">
        <f>IF($B909="","",IFERROR(INDEX(Task_Tracker!$F$5:$F$1004,MATCH($B909,Task_Tracker!$A$5:$A$1004,0)),""))</f>
        <v/>
      </c>
      <c r="V909" s="78">
        <f>IF($B909="","",IFERROR(INDEX(Task_Tracker!$I$5:$I$1004,MATCH($B909,Task_Tracker!$A$5:$A$1004,0)),""))</f>
        <v/>
      </c>
      <c r="W909" s="81">
        <f>IF(OR($D909="",$B909=""),"",$D909&amp;" | "&amp;$B909)</f>
        <v/>
      </c>
      <c r="X909" s="85">
        <f>IF($K909="","",TEXT($K909,"yyyy-mm"))</f>
        <v/>
      </c>
      <c r="Y909" s="81">
        <f>IF(OR($A909="",$T909=""),"","Included in Manager_Report")</f>
        <v/>
      </c>
    </row>
    <row r="910" ht="15" customHeight="1" s="40">
      <c r="A910" s="65">
        <f>IF(COUNTA(B910:G910)=0,"","STP-"&amp;TEXT(ROW()-4,"0000"))</f>
        <v/>
      </c>
      <c r="B910" s="78" t="n"/>
      <c r="C910" s="67">
        <f>IF($B910="","",IFERROR(INDEX(Task_Tracker!$D$5:$D$1004,MATCH($B910,Task_Tracker!$A$5:$A$1004,0)),""))</f>
        <v/>
      </c>
      <c r="D910" s="67">
        <f>IF($B910="","",IFERROR(INDEX(Task_Tracker!$B$5:$B$1004,MATCH($B910,Task_Tracker!$A$5:$A$1004,0)),""))</f>
        <v/>
      </c>
      <c r="E910" s="81" t="n"/>
      <c r="F910" s="81" t="n"/>
      <c r="G910" s="78" t="n"/>
      <c r="H910" s="78" t="n"/>
      <c r="I910" s="67">
        <f>IF($H910="","",IFERROR(INDEX(Action_Status_Map!$B$5:$B$11,MATCH($H910,Action_Status_Map!$A$5:$A$11,0)),""))</f>
        <v/>
      </c>
      <c r="J910" s="82" t="n"/>
      <c r="K910" s="82" t="n"/>
      <c r="L910" s="82" t="n"/>
      <c r="M910" s="83" t="n"/>
      <c r="N910" s="83" t="n"/>
      <c r="O910" s="66">
        <f>IF(OR($M910="",$N910=""),"",$N910-$M910)</f>
        <v/>
      </c>
      <c r="P910" s="84">
        <f>IF($J910="","",IF($L910&lt;&gt;"",$L910-$J910,TODAY()-$J910))</f>
        <v/>
      </c>
      <c r="Q910" s="85">
        <f>IF(OR($K910="",$H910="Completed",$H910="Cancelled"),"",IF(AND($K910&lt;TODAY(),$H910&lt;&gt;"Completed",$H910&lt;&gt;"Cancelled"),"Overdue","On Track"))</f>
        <v/>
      </c>
      <c r="R910" s="81" t="n"/>
      <c r="S910" s="81">
        <f>IF($B910="","",IFERROR(INDEX(Task_Tracker!$AA$5:$AA$1004,MATCH($B910,Task_Tracker!$A$5:$A$1004,0)),""))</f>
        <v/>
      </c>
      <c r="T910" s="81">
        <f>IF($B910="","",IFERROR(INDEX(Task_Tracker!$AB$5:$AB$1004,MATCH($B910,Task_Tracker!$A$5:$A$1004,0)),""))</f>
        <v/>
      </c>
      <c r="U910" s="78">
        <f>IF($B910="","",IFERROR(INDEX(Task_Tracker!$F$5:$F$1004,MATCH($B910,Task_Tracker!$A$5:$A$1004,0)),""))</f>
        <v/>
      </c>
      <c r="V910" s="78">
        <f>IF($B910="","",IFERROR(INDEX(Task_Tracker!$I$5:$I$1004,MATCH($B910,Task_Tracker!$A$5:$A$1004,0)),""))</f>
        <v/>
      </c>
      <c r="W910" s="81">
        <f>IF(OR($D910="",$B910=""),"",$D910&amp;" | "&amp;$B910)</f>
        <v/>
      </c>
      <c r="X910" s="85">
        <f>IF($K910="","",TEXT($K910,"yyyy-mm"))</f>
        <v/>
      </c>
      <c r="Y910" s="81">
        <f>IF(OR($A910="",$T910=""),"","Included in Manager_Report")</f>
        <v/>
      </c>
    </row>
    <row r="911" ht="15" customHeight="1" s="40">
      <c r="A911" s="65">
        <f>IF(COUNTA(B911:G911)=0,"","STP-"&amp;TEXT(ROW()-4,"0000"))</f>
        <v/>
      </c>
      <c r="B911" s="78" t="n"/>
      <c r="C911" s="67">
        <f>IF($B911="","",IFERROR(INDEX(Task_Tracker!$D$5:$D$1004,MATCH($B911,Task_Tracker!$A$5:$A$1004,0)),""))</f>
        <v/>
      </c>
      <c r="D911" s="67">
        <f>IF($B911="","",IFERROR(INDEX(Task_Tracker!$B$5:$B$1004,MATCH($B911,Task_Tracker!$A$5:$A$1004,0)),""))</f>
        <v/>
      </c>
      <c r="E911" s="81" t="n"/>
      <c r="F911" s="81" t="n"/>
      <c r="G911" s="78" t="n"/>
      <c r="H911" s="78" t="n"/>
      <c r="I911" s="67">
        <f>IF($H911="","",IFERROR(INDEX(Action_Status_Map!$B$5:$B$11,MATCH($H911,Action_Status_Map!$A$5:$A$11,0)),""))</f>
        <v/>
      </c>
      <c r="J911" s="82" t="n"/>
      <c r="K911" s="82" t="n"/>
      <c r="L911" s="82" t="n"/>
      <c r="M911" s="83" t="n"/>
      <c r="N911" s="83" t="n"/>
      <c r="O911" s="66">
        <f>IF(OR($M911="",$N911=""),"",$N911-$M911)</f>
        <v/>
      </c>
      <c r="P911" s="84">
        <f>IF($J911="","",IF($L911&lt;&gt;"",$L911-$J911,TODAY()-$J911))</f>
        <v/>
      </c>
      <c r="Q911" s="85">
        <f>IF(OR($K911="",$H911="Completed",$H911="Cancelled"),"",IF(AND($K911&lt;TODAY(),$H911&lt;&gt;"Completed",$H911&lt;&gt;"Cancelled"),"Overdue","On Track"))</f>
        <v/>
      </c>
      <c r="R911" s="81" t="n"/>
      <c r="S911" s="81">
        <f>IF($B911="","",IFERROR(INDEX(Task_Tracker!$AA$5:$AA$1004,MATCH($B911,Task_Tracker!$A$5:$A$1004,0)),""))</f>
        <v/>
      </c>
      <c r="T911" s="81">
        <f>IF($B911="","",IFERROR(INDEX(Task_Tracker!$AB$5:$AB$1004,MATCH($B911,Task_Tracker!$A$5:$A$1004,0)),""))</f>
        <v/>
      </c>
      <c r="U911" s="78">
        <f>IF($B911="","",IFERROR(INDEX(Task_Tracker!$F$5:$F$1004,MATCH($B911,Task_Tracker!$A$5:$A$1004,0)),""))</f>
        <v/>
      </c>
      <c r="V911" s="78">
        <f>IF($B911="","",IFERROR(INDEX(Task_Tracker!$I$5:$I$1004,MATCH($B911,Task_Tracker!$A$5:$A$1004,0)),""))</f>
        <v/>
      </c>
      <c r="W911" s="81">
        <f>IF(OR($D911="",$B911=""),"",$D911&amp;" | "&amp;$B911)</f>
        <v/>
      </c>
      <c r="X911" s="85">
        <f>IF($K911="","",TEXT($K911,"yyyy-mm"))</f>
        <v/>
      </c>
      <c r="Y911" s="81">
        <f>IF(OR($A911="",$T911=""),"","Included in Manager_Report")</f>
        <v/>
      </c>
    </row>
    <row r="912" ht="15" customHeight="1" s="40">
      <c r="A912" s="65">
        <f>IF(COUNTA(B912:G912)=0,"","STP-"&amp;TEXT(ROW()-4,"0000"))</f>
        <v/>
      </c>
      <c r="B912" s="78" t="n"/>
      <c r="C912" s="67">
        <f>IF($B912="","",IFERROR(INDEX(Task_Tracker!$D$5:$D$1004,MATCH($B912,Task_Tracker!$A$5:$A$1004,0)),""))</f>
        <v/>
      </c>
      <c r="D912" s="67">
        <f>IF($B912="","",IFERROR(INDEX(Task_Tracker!$B$5:$B$1004,MATCH($B912,Task_Tracker!$A$5:$A$1004,0)),""))</f>
        <v/>
      </c>
      <c r="E912" s="81" t="n"/>
      <c r="F912" s="81" t="n"/>
      <c r="G912" s="78" t="n"/>
      <c r="H912" s="78" t="n"/>
      <c r="I912" s="67">
        <f>IF($H912="","",IFERROR(INDEX(Action_Status_Map!$B$5:$B$11,MATCH($H912,Action_Status_Map!$A$5:$A$11,0)),""))</f>
        <v/>
      </c>
      <c r="J912" s="82" t="n"/>
      <c r="K912" s="82" t="n"/>
      <c r="L912" s="82" t="n"/>
      <c r="M912" s="83" t="n"/>
      <c r="N912" s="83" t="n"/>
      <c r="O912" s="66">
        <f>IF(OR($M912="",$N912=""),"",$N912-$M912)</f>
        <v/>
      </c>
      <c r="P912" s="84">
        <f>IF($J912="","",IF($L912&lt;&gt;"",$L912-$J912,TODAY()-$J912))</f>
        <v/>
      </c>
      <c r="Q912" s="85">
        <f>IF(OR($K912="",$H912="Completed",$H912="Cancelled"),"",IF(AND($K912&lt;TODAY(),$H912&lt;&gt;"Completed",$H912&lt;&gt;"Cancelled"),"Overdue","On Track"))</f>
        <v/>
      </c>
      <c r="R912" s="81" t="n"/>
      <c r="S912" s="81">
        <f>IF($B912="","",IFERROR(INDEX(Task_Tracker!$AA$5:$AA$1004,MATCH($B912,Task_Tracker!$A$5:$A$1004,0)),""))</f>
        <v/>
      </c>
      <c r="T912" s="81">
        <f>IF($B912="","",IFERROR(INDEX(Task_Tracker!$AB$5:$AB$1004,MATCH($B912,Task_Tracker!$A$5:$A$1004,0)),""))</f>
        <v/>
      </c>
      <c r="U912" s="78">
        <f>IF($B912="","",IFERROR(INDEX(Task_Tracker!$F$5:$F$1004,MATCH($B912,Task_Tracker!$A$5:$A$1004,0)),""))</f>
        <v/>
      </c>
      <c r="V912" s="78">
        <f>IF($B912="","",IFERROR(INDEX(Task_Tracker!$I$5:$I$1004,MATCH($B912,Task_Tracker!$A$5:$A$1004,0)),""))</f>
        <v/>
      </c>
      <c r="W912" s="81">
        <f>IF(OR($D912="",$B912=""),"",$D912&amp;" | "&amp;$B912)</f>
        <v/>
      </c>
      <c r="X912" s="85">
        <f>IF($K912="","",TEXT($K912,"yyyy-mm"))</f>
        <v/>
      </c>
      <c r="Y912" s="81">
        <f>IF(OR($A912="",$T912=""),"","Included in Manager_Report")</f>
        <v/>
      </c>
    </row>
    <row r="913" ht="15" customHeight="1" s="40">
      <c r="A913" s="65">
        <f>IF(COUNTA(B913:G913)=0,"","STP-"&amp;TEXT(ROW()-4,"0000"))</f>
        <v/>
      </c>
      <c r="B913" s="78" t="n"/>
      <c r="C913" s="67">
        <f>IF($B913="","",IFERROR(INDEX(Task_Tracker!$D$5:$D$1004,MATCH($B913,Task_Tracker!$A$5:$A$1004,0)),""))</f>
        <v/>
      </c>
      <c r="D913" s="67">
        <f>IF($B913="","",IFERROR(INDEX(Task_Tracker!$B$5:$B$1004,MATCH($B913,Task_Tracker!$A$5:$A$1004,0)),""))</f>
        <v/>
      </c>
      <c r="E913" s="81" t="n"/>
      <c r="F913" s="81" t="n"/>
      <c r="G913" s="78" t="n"/>
      <c r="H913" s="78" t="n"/>
      <c r="I913" s="67">
        <f>IF($H913="","",IFERROR(INDEX(Action_Status_Map!$B$5:$B$11,MATCH($H913,Action_Status_Map!$A$5:$A$11,0)),""))</f>
        <v/>
      </c>
      <c r="J913" s="82" t="n"/>
      <c r="K913" s="82" t="n"/>
      <c r="L913" s="82" t="n"/>
      <c r="M913" s="83" t="n"/>
      <c r="N913" s="83" t="n"/>
      <c r="O913" s="66">
        <f>IF(OR($M913="",$N913=""),"",$N913-$M913)</f>
        <v/>
      </c>
      <c r="P913" s="84">
        <f>IF($J913="","",IF($L913&lt;&gt;"",$L913-$J913,TODAY()-$J913))</f>
        <v/>
      </c>
      <c r="Q913" s="85">
        <f>IF(OR($K913="",$H913="Completed",$H913="Cancelled"),"",IF(AND($K913&lt;TODAY(),$H913&lt;&gt;"Completed",$H913&lt;&gt;"Cancelled"),"Overdue","On Track"))</f>
        <v/>
      </c>
      <c r="R913" s="81" t="n"/>
      <c r="S913" s="81">
        <f>IF($B913="","",IFERROR(INDEX(Task_Tracker!$AA$5:$AA$1004,MATCH($B913,Task_Tracker!$A$5:$A$1004,0)),""))</f>
        <v/>
      </c>
      <c r="T913" s="81">
        <f>IF($B913="","",IFERROR(INDEX(Task_Tracker!$AB$5:$AB$1004,MATCH($B913,Task_Tracker!$A$5:$A$1004,0)),""))</f>
        <v/>
      </c>
      <c r="U913" s="78">
        <f>IF($B913="","",IFERROR(INDEX(Task_Tracker!$F$5:$F$1004,MATCH($B913,Task_Tracker!$A$5:$A$1004,0)),""))</f>
        <v/>
      </c>
      <c r="V913" s="78">
        <f>IF($B913="","",IFERROR(INDEX(Task_Tracker!$I$5:$I$1004,MATCH($B913,Task_Tracker!$A$5:$A$1004,0)),""))</f>
        <v/>
      </c>
      <c r="W913" s="81">
        <f>IF(OR($D913="",$B913=""),"",$D913&amp;" | "&amp;$B913)</f>
        <v/>
      </c>
      <c r="X913" s="85">
        <f>IF($K913="","",TEXT($K913,"yyyy-mm"))</f>
        <v/>
      </c>
      <c r="Y913" s="81">
        <f>IF(OR($A913="",$T913=""),"","Included in Manager_Report")</f>
        <v/>
      </c>
    </row>
    <row r="914" ht="15" customHeight="1" s="40">
      <c r="A914" s="65">
        <f>IF(COUNTA(B914:G914)=0,"","STP-"&amp;TEXT(ROW()-4,"0000"))</f>
        <v/>
      </c>
      <c r="B914" s="78" t="n"/>
      <c r="C914" s="67">
        <f>IF($B914="","",IFERROR(INDEX(Task_Tracker!$D$5:$D$1004,MATCH($B914,Task_Tracker!$A$5:$A$1004,0)),""))</f>
        <v/>
      </c>
      <c r="D914" s="67">
        <f>IF($B914="","",IFERROR(INDEX(Task_Tracker!$B$5:$B$1004,MATCH($B914,Task_Tracker!$A$5:$A$1004,0)),""))</f>
        <v/>
      </c>
      <c r="E914" s="81" t="n"/>
      <c r="F914" s="81" t="n"/>
      <c r="G914" s="78" t="n"/>
      <c r="H914" s="78" t="n"/>
      <c r="I914" s="67">
        <f>IF($H914="","",IFERROR(INDEX(Action_Status_Map!$B$5:$B$11,MATCH($H914,Action_Status_Map!$A$5:$A$11,0)),""))</f>
        <v/>
      </c>
      <c r="J914" s="82" t="n"/>
      <c r="K914" s="82" t="n"/>
      <c r="L914" s="82" t="n"/>
      <c r="M914" s="83" t="n"/>
      <c r="N914" s="83" t="n"/>
      <c r="O914" s="66">
        <f>IF(OR($M914="",$N914=""),"",$N914-$M914)</f>
        <v/>
      </c>
      <c r="P914" s="84">
        <f>IF($J914="","",IF($L914&lt;&gt;"",$L914-$J914,TODAY()-$J914))</f>
        <v/>
      </c>
      <c r="Q914" s="85">
        <f>IF(OR($K914="",$H914="Completed",$H914="Cancelled"),"",IF(AND($K914&lt;TODAY(),$H914&lt;&gt;"Completed",$H914&lt;&gt;"Cancelled"),"Overdue","On Track"))</f>
        <v/>
      </c>
      <c r="R914" s="81" t="n"/>
      <c r="S914" s="81">
        <f>IF($B914="","",IFERROR(INDEX(Task_Tracker!$AA$5:$AA$1004,MATCH($B914,Task_Tracker!$A$5:$A$1004,0)),""))</f>
        <v/>
      </c>
      <c r="T914" s="81">
        <f>IF($B914="","",IFERROR(INDEX(Task_Tracker!$AB$5:$AB$1004,MATCH($B914,Task_Tracker!$A$5:$A$1004,0)),""))</f>
        <v/>
      </c>
      <c r="U914" s="78">
        <f>IF($B914="","",IFERROR(INDEX(Task_Tracker!$F$5:$F$1004,MATCH($B914,Task_Tracker!$A$5:$A$1004,0)),""))</f>
        <v/>
      </c>
      <c r="V914" s="78">
        <f>IF($B914="","",IFERROR(INDEX(Task_Tracker!$I$5:$I$1004,MATCH($B914,Task_Tracker!$A$5:$A$1004,0)),""))</f>
        <v/>
      </c>
      <c r="W914" s="81">
        <f>IF(OR($D914="",$B914=""),"",$D914&amp;" | "&amp;$B914)</f>
        <v/>
      </c>
      <c r="X914" s="85">
        <f>IF($K914="","",TEXT($K914,"yyyy-mm"))</f>
        <v/>
      </c>
      <c r="Y914" s="81">
        <f>IF(OR($A914="",$T914=""),"","Included in Manager_Report")</f>
        <v/>
      </c>
    </row>
    <row r="915" ht="15" customHeight="1" s="40">
      <c r="A915" s="65">
        <f>IF(COUNTA(B915:G915)=0,"","STP-"&amp;TEXT(ROW()-4,"0000"))</f>
        <v/>
      </c>
      <c r="B915" s="78" t="n"/>
      <c r="C915" s="67">
        <f>IF($B915="","",IFERROR(INDEX(Task_Tracker!$D$5:$D$1004,MATCH($B915,Task_Tracker!$A$5:$A$1004,0)),""))</f>
        <v/>
      </c>
      <c r="D915" s="67">
        <f>IF($B915="","",IFERROR(INDEX(Task_Tracker!$B$5:$B$1004,MATCH($B915,Task_Tracker!$A$5:$A$1004,0)),""))</f>
        <v/>
      </c>
      <c r="E915" s="81" t="n"/>
      <c r="F915" s="81" t="n"/>
      <c r="G915" s="78" t="n"/>
      <c r="H915" s="78" t="n"/>
      <c r="I915" s="67">
        <f>IF($H915="","",IFERROR(INDEX(Action_Status_Map!$B$5:$B$11,MATCH($H915,Action_Status_Map!$A$5:$A$11,0)),""))</f>
        <v/>
      </c>
      <c r="J915" s="82" t="n"/>
      <c r="K915" s="82" t="n"/>
      <c r="L915" s="82" t="n"/>
      <c r="M915" s="83" t="n"/>
      <c r="N915" s="83" t="n"/>
      <c r="O915" s="66">
        <f>IF(OR($M915="",$N915=""),"",$N915-$M915)</f>
        <v/>
      </c>
      <c r="P915" s="84">
        <f>IF($J915="","",IF($L915&lt;&gt;"",$L915-$J915,TODAY()-$J915))</f>
        <v/>
      </c>
      <c r="Q915" s="85">
        <f>IF(OR($K915="",$H915="Completed",$H915="Cancelled"),"",IF(AND($K915&lt;TODAY(),$H915&lt;&gt;"Completed",$H915&lt;&gt;"Cancelled"),"Overdue","On Track"))</f>
        <v/>
      </c>
      <c r="R915" s="81" t="n"/>
      <c r="S915" s="81">
        <f>IF($B915="","",IFERROR(INDEX(Task_Tracker!$AA$5:$AA$1004,MATCH($B915,Task_Tracker!$A$5:$A$1004,0)),""))</f>
        <v/>
      </c>
      <c r="T915" s="81">
        <f>IF($B915="","",IFERROR(INDEX(Task_Tracker!$AB$5:$AB$1004,MATCH($B915,Task_Tracker!$A$5:$A$1004,0)),""))</f>
        <v/>
      </c>
      <c r="U915" s="78">
        <f>IF($B915="","",IFERROR(INDEX(Task_Tracker!$F$5:$F$1004,MATCH($B915,Task_Tracker!$A$5:$A$1004,0)),""))</f>
        <v/>
      </c>
      <c r="V915" s="78">
        <f>IF($B915="","",IFERROR(INDEX(Task_Tracker!$I$5:$I$1004,MATCH($B915,Task_Tracker!$A$5:$A$1004,0)),""))</f>
        <v/>
      </c>
      <c r="W915" s="81">
        <f>IF(OR($D915="",$B915=""),"",$D915&amp;" | "&amp;$B915)</f>
        <v/>
      </c>
      <c r="X915" s="85">
        <f>IF($K915="","",TEXT($K915,"yyyy-mm"))</f>
        <v/>
      </c>
      <c r="Y915" s="81">
        <f>IF(OR($A915="",$T915=""),"","Included in Manager_Report")</f>
        <v/>
      </c>
    </row>
    <row r="916" ht="15" customHeight="1" s="40">
      <c r="A916" s="65">
        <f>IF(COUNTA(B916:G916)=0,"","STP-"&amp;TEXT(ROW()-4,"0000"))</f>
        <v/>
      </c>
      <c r="B916" s="78" t="n"/>
      <c r="C916" s="67">
        <f>IF($B916="","",IFERROR(INDEX(Task_Tracker!$D$5:$D$1004,MATCH($B916,Task_Tracker!$A$5:$A$1004,0)),""))</f>
        <v/>
      </c>
      <c r="D916" s="67">
        <f>IF($B916="","",IFERROR(INDEX(Task_Tracker!$B$5:$B$1004,MATCH($B916,Task_Tracker!$A$5:$A$1004,0)),""))</f>
        <v/>
      </c>
      <c r="E916" s="81" t="n"/>
      <c r="F916" s="81" t="n"/>
      <c r="G916" s="78" t="n"/>
      <c r="H916" s="78" t="n"/>
      <c r="I916" s="67">
        <f>IF($H916="","",IFERROR(INDEX(Action_Status_Map!$B$5:$B$11,MATCH($H916,Action_Status_Map!$A$5:$A$11,0)),""))</f>
        <v/>
      </c>
      <c r="J916" s="82" t="n"/>
      <c r="K916" s="82" t="n"/>
      <c r="L916" s="82" t="n"/>
      <c r="M916" s="83" t="n"/>
      <c r="N916" s="83" t="n"/>
      <c r="O916" s="66">
        <f>IF(OR($M916="",$N916=""),"",$N916-$M916)</f>
        <v/>
      </c>
      <c r="P916" s="84">
        <f>IF($J916="","",IF($L916&lt;&gt;"",$L916-$J916,TODAY()-$J916))</f>
        <v/>
      </c>
      <c r="Q916" s="85">
        <f>IF(OR($K916="",$H916="Completed",$H916="Cancelled"),"",IF(AND($K916&lt;TODAY(),$H916&lt;&gt;"Completed",$H916&lt;&gt;"Cancelled"),"Overdue","On Track"))</f>
        <v/>
      </c>
      <c r="R916" s="81" t="n"/>
      <c r="S916" s="81">
        <f>IF($B916="","",IFERROR(INDEX(Task_Tracker!$AA$5:$AA$1004,MATCH($B916,Task_Tracker!$A$5:$A$1004,0)),""))</f>
        <v/>
      </c>
      <c r="T916" s="81">
        <f>IF($B916="","",IFERROR(INDEX(Task_Tracker!$AB$5:$AB$1004,MATCH($B916,Task_Tracker!$A$5:$A$1004,0)),""))</f>
        <v/>
      </c>
      <c r="U916" s="78">
        <f>IF($B916="","",IFERROR(INDEX(Task_Tracker!$F$5:$F$1004,MATCH($B916,Task_Tracker!$A$5:$A$1004,0)),""))</f>
        <v/>
      </c>
      <c r="V916" s="78">
        <f>IF($B916="","",IFERROR(INDEX(Task_Tracker!$I$5:$I$1004,MATCH($B916,Task_Tracker!$A$5:$A$1004,0)),""))</f>
        <v/>
      </c>
      <c r="W916" s="81">
        <f>IF(OR($D916="",$B916=""),"",$D916&amp;" | "&amp;$B916)</f>
        <v/>
      </c>
      <c r="X916" s="85">
        <f>IF($K916="","",TEXT($K916,"yyyy-mm"))</f>
        <v/>
      </c>
      <c r="Y916" s="81">
        <f>IF(OR($A916="",$T916=""),"","Included in Manager_Report")</f>
        <v/>
      </c>
    </row>
    <row r="917" ht="15" customHeight="1" s="40">
      <c r="A917" s="65">
        <f>IF(COUNTA(B917:G917)=0,"","STP-"&amp;TEXT(ROW()-4,"0000"))</f>
        <v/>
      </c>
      <c r="B917" s="78" t="n"/>
      <c r="C917" s="67">
        <f>IF($B917="","",IFERROR(INDEX(Task_Tracker!$D$5:$D$1004,MATCH($B917,Task_Tracker!$A$5:$A$1004,0)),""))</f>
        <v/>
      </c>
      <c r="D917" s="67">
        <f>IF($B917="","",IFERROR(INDEX(Task_Tracker!$B$5:$B$1004,MATCH($B917,Task_Tracker!$A$5:$A$1004,0)),""))</f>
        <v/>
      </c>
      <c r="E917" s="81" t="n"/>
      <c r="F917" s="81" t="n"/>
      <c r="G917" s="78" t="n"/>
      <c r="H917" s="78" t="n"/>
      <c r="I917" s="67">
        <f>IF($H917="","",IFERROR(INDEX(Action_Status_Map!$B$5:$B$11,MATCH($H917,Action_Status_Map!$A$5:$A$11,0)),""))</f>
        <v/>
      </c>
      <c r="J917" s="82" t="n"/>
      <c r="K917" s="82" t="n"/>
      <c r="L917" s="82" t="n"/>
      <c r="M917" s="83" t="n"/>
      <c r="N917" s="83" t="n"/>
      <c r="O917" s="66">
        <f>IF(OR($M917="",$N917=""),"",$N917-$M917)</f>
        <v/>
      </c>
      <c r="P917" s="84">
        <f>IF($J917="","",IF($L917&lt;&gt;"",$L917-$J917,TODAY()-$J917))</f>
        <v/>
      </c>
      <c r="Q917" s="85">
        <f>IF(OR($K917="",$H917="Completed",$H917="Cancelled"),"",IF(AND($K917&lt;TODAY(),$H917&lt;&gt;"Completed",$H917&lt;&gt;"Cancelled"),"Overdue","On Track"))</f>
        <v/>
      </c>
      <c r="R917" s="81" t="n"/>
      <c r="S917" s="81">
        <f>IF($B917="","",IFERROR(INDEX(Task_Tracker!$AA$5:$AA$1004,MATCH($B917,Task_Tracker!$A$5:$A$1004,0)),""))</f>
        <v/>
      </c>
      <c r="T917" s="81">
        <f>IF($B917="","",IFERROR(INDEX(Task_Tracker!$AB$5:$AB$1004,MATCH($B917,Task_Tracker!$A$5:$A$1004,0)),""))</f>
        <v/>
      </c>
      <c r="U917" s="78">
        <f>IF($B917="","",IFERROR(INDEX(Task_Tracker!$F$5:$F$1004,MATCH($B917,Task_Tracker!$A$5:$A$1004,0)),""))</f>
        <v/>
      </c>
      <c r="V917" s="78">
        <f>IF($B917="","",IFERROR(INDEX(Task_Tracker!$I$5:$I$1004,MATCH($B917,Task_Tracker!$A$5:$A$1004,0)),""))</f>
        <v/>
      </c>
      <c r="W917" s="81">
        <f>IF(OR($D917="",$B917=""),"",$D917&amp;" | "&amp;$B917)</f>
        <v/>
      </c>
      <c r="X917" s="85">
        <f>IF($K917="","",TEXT($K917,"yyyy-mm"))</f>
        <v/>
      </c>
      <c r="Y917" s="81">
        <f>IF(OR($A917="",$T917=""),"","Included in Manager_Report")</f>
        <v/>
      </c>
    </row>
    <row r="918" ht="15" customHeight="1" s="40">
      <c r="A918" s="65">
        <f>IF(COUNTA(B918:G918)=0,"","STP-"&amp;TEXT(ROW()-4,"0000"))</f>
        <v/>
      </c>
      <c r="B918" s="78" t="n"/>
      <c r="C918" s="67">
        <f>IF($B918="","",IFERROR(INDEX(Task_Tracker!$D$5:$D$1004,MATCH($B918,Task_Tracker!$A$5:$A$1004,0)),""))</f>
        <v/>
      </c>
      <c r="D918" s="67">
        <f>IF($B918="","",IFERROR(INDEX(Task_Tracker!$B$5:$B$1004,MATCH($B918,Task_Tracker!$A$5:$A$1004,0)),""))</f>
        <v/>
      </c>
      <c r="E918" s="81" t="n"/>
      <c r="F918" s="81" t="n"/>
      <c r="G918" s="78" t="n"/>
      <c r="H918" s="78" t="n"/>
      <c r="I918" s="67">
        <f>IF($H918="","",IFERROR(INDEX(Action_Status_Map!$B$5:$B$11,MATCH($H918,Action_Status_Map!$A$5:$A$11,0)),""))</f>
        <v/>
      </c>
      <c r="J918" s="82" t="n"/>
      <c r="K918" s="82" t="n"/>
      <c r="L918" s="82" t="n"/>
      <c r="M918" s="83" t="n"/>
      <c r="N918" s="83" t="n"/>
      <c r="O918" s="66">
        <f>IF(OR($M918="",$N918=""),"",$N918-$M918)</f>
        <v/>
      </c>
      <c r="P918" s="84">
        <f>IF($J918="","",IF($L918&lt;&gt;"",$L918-$J918,TODAY()-$J918))</f>
        <v/>
      </c>
      <c r="Q918" s="85">
        <f>IF(OR($K918="",$H918="Completed",$H918="Cancelled"),"",IF(AND($K918&lt;TODAY(),$H918&lt;&gt;"Completed",$H918&lt;&gt;"Cancelled"),"Overdue","On Track"))</f>
        <v/>
      </c>
      <c r="R918" s="81" t="n"/>
      <c r="S918" s="81">
        <f>IF($B918="","",IFERROR(INDEX(Task_Tracker!$AA$5:$AA$1004,MATCH($B918,Task_Tracker!$A$5:$A$1004,0)),""))</f>
        <v/>
      </c>
      <c r="T918" s="81">
        <f>IF($B918="","",IFERROR(INDEX(Task_Tracker!$AB$5:$AB$1004,MATCH($B918,Task_Tracker!$A$5:$A$1004,0)),""))</f>
        <v/>
      </c>
      <c r="U918" s="78">
        <f>IF($B918="","",IFERROR(INDEX(Task_Tracker!$F$5:$F$1004,MATCH($B918,Task_Tracker!$A$5:$A$1004,0)),""))</f>
        <v/>
      </c>
      <c r="V918" s="78">
        <f>IF($B918="","",IFERROR(INDEX(Task_Tracker!$I$5:$I$1004,MATCH($B918,Task_Tracker!$A$5:$A$1004,0)),""))</f>
        <v/>
      </c>
      <c r="W918" s="81">
        <f>IF(OR($D918="",$B918=""),"",$D918&amp;" | "&amp;$B918)</f>
        <v/>
      </c>
      <c r="X918" s="85">
        <f>IF($K918="","",TEXT($K918,"yyyy-mm"))</f>
        <v/>
      </c>
      <c r="Y918" s="81">
        <f>IF(OR($A918="",$T918=""),"","Included in Manager_Report")</f>
        <v/>
      </c>
    </row>
    <row r="919" ht="15" customHeight="1" s="40">
      <c r="A919" s="65">
        <f>IF(COUNTA(B919:G919)=0,"","STP-"&amp;TEXT(ROW()-4,"0000"))</f>
        <v/>
      </c>
      <c r="B919" s="78" t="n"/>
      <c r="C919" s="67">
        <f>IF($B919="","",IFERROR(INDEX(Task_Tracker!$D$5:$D$1004,MATCH($B919,Task_Tracker!$A$5:$A$1004,0)),""))</f>
        <v/>
      </c>
      <c r="D919" s="67">
        <f>IF($B919="","",IFERROR(INDEX(Task_Tracker!$B$5:$B$1004,MATCH($B919,Task_Tracker!$A$5:$A$1004,0)),""))</f>
        <v/>
      </c>
      <c r="E919" s="81" t="n"/>
      <c r="F919" s="81" t="n"/>
      <c r="G919" s="78" t="n"/>
      <c r="H919" s="78" t="n"/>
      <c r="I919" s="67">
        <f>IF($H919="","",IFERROR(INDEX(Action_Status_Map!$B$5:$B$11,MATCH($H919,Action_Status_Map!$A$5:$A$11,0)),""))</f>
        <v/>
      </c>
      <c r="J919" s="82" t="n"/>
      <c r="K919" s="82" t="n"/>
      <c r="L919" s="82" t="n"/>
      <c r="M919" s="83" t="n"/>
      <c r="N919" s="83" t="n"/>
      <c r="O919" s="66">
        <f>IF(OR($M919="",$N919=""),"",$N919-$M919)</f>
        <v/>
      </c>
      <c r="P919" s="84">
        <f>IF($J919="","",IF($L919&lt;&gt;"",$L919-$J919,TODAY()-$J919))</f>
        <v/>
      </c>
      <c r="Q919" s="85">
        <f>IF(OR($K919="",$H919="Completed",$H919="Cancelled"),"",IF(AND($K919&lt;TODAY(),$H919&lt;&gt;"Completed",$H919&lt;&gt;"Cancelled"),"Overdue","On Track"))</f>
        <v/>
      </c>
      <c r="R919" s="81" t="n"/>
      <c r="S919" s="81">
        <f>IF($B919="","",IFERROR(INDEX(Task_Tracker!$AA$5:$AA$1004,MATCH($B919,Task_Tracker!$A$5:$A$1004,0)),""))</f>
        <v/>
      </c>
      <c r="T919" s="81">
        <f>IF($B919="","",IFERROR(INDEX(Task_Tracker!$AB$5:$AB$1004,MATCH($B919,Task_Tracker!$A$5:$A$1004,0)),""))</f>
        <v/>
      </c>
      <c r="U919" s="78">
        <f>IF($B919="","",IFERROR(INDEX(Task_Tracker!$F$5:$F$1004,MATCH($B919,Task_Tracker!$A$5:$A$1004,0)),""))</f>
        <v/>
      </c>
      <c r="V919" s="78">
        <f>IF($B919="","",IFERROR(INDEX(Task_Tracker!$I$5:$I$1004,MATCH($B919,Task_Tracker!$A$5:$A$1004,0)),""))</f>
        <v/>
      </c>
      <c r="W919" s="81">
        <f>IF(OR($D919="",$B919=""),"",$D919&amp;" | "&amp;$B919)</f>
        <v/>
      </c>
      <c r="X919" s="85">
        <f>IF($K919="","",TEXT($K919,"yyyy-mm"))</f>
        <v/>
      </c>
      <c r="Y919" s="81">
        <f>IF(OR($A919="",$T919=""),"","Included in Manager_Report")</f>
        <v/>
      </c>
    </row>
    <row r="920" ht="15" customHeight="1" s="40">
      <c r="A920" s="65">
        <f>IF(COUNTA(B920:G920)=0,"","STP-"&amp;TEXT(ROW()-4,"0000"))</f>
        <v/>
      </c>
      <c r="B920" s="78" t="n"/>
      <c r="C920" s="67">
        <f>IF($B920="","",IFERROR(INDEX(Task_Tracker!$D$5:$D$1004,MATCH($B920,Task_Tracker!$A$5:$A$1004,0)),""))</f>
        <v/>
      </c>
      <c r="D920" s="67">
        <f>IF($B920="","",IFERROR(INDEX(Task_Tracker!$B$5:$B$1004,MATCH($B920,Task_Tracker!$A$5:$A$1004,0)),""))</f>
        <v/>
      </c>
      <c r="E920" s="81" t="n"/>
      <c r="F920" s="81" t="n"/>
      <c r="G920" s="78" t="n"/>
      <c r="H920" s="78" t="n"/>
      <c r="I920" s="67">
        <f>IF($H920="","",IFERROR(INDEX(Action_Status_Map!$B$5:$B$11,MATCH($H920,Action_Status_Map!$A$5:$A$11,0)),""))</f>
        <v/>
      </c>
      <c r="J920" s="82" t="n"/>
      <c r="K920" s="82" t="n"/>
      <c r="L920" s="82" t="n"/>
      <c r="M920" s="83" t="n"/>
      <c r="N920" s="83" t="n"/>
      <c r="O920" s="66">
        <f>IF(OR($M920="",$N920=""),"",$N920-$M920)</f>
        <v/>
      </c>
      <c r="P920" s="84">
        <f>IF($J920="","",IF($L920&lt;&gt;"",$L920-$J920,TODAY()-$J920))</f>
        <v/>
      </c>
      <c r="Q920" s="85">
        <f>IF(OR($K920="",$H920="Completed",$H920="Cancelled"),"",IF(AND($K920&lt;TODAY(),$H920&lt;&gt;"Completed",$H920&lt;&gt;"Cancelled"),"Overdue","On Track"))</f>
        <v/>
      </c>
      <c r="R920" s="81" t="n"/>
      <c r="S920" s="81">
        <f>IF($B920="","",IFERROR(INDEX(Task_Tracker!$AA$5:$AA$1004,MATCH($B920,Task_Tracker!$A$5:$A$1004,0)),""))</f>
        <v/>
      </c>
      <c r="T920" s="81">
        <f>IF($B920="","",IFERROR(INDEX(Task_Tracker!$AB$5:$AB$1004,MATCH($B920,Task_Tracker!$A$5:$A$1004,0)),""))</f>
        <v/>
      </c>
      <c r="U920" s="78">
        <f>IF($B920="","",IFERROR(INDEX(Task_Tracker!$F$5:$F$1004,MATCH($B920,Task_Tracker!$A$5:$A$1004,0)),""))</f>
        <v/>
      </c>
      <c r="V920" s="78">
        <f>IF($B920="","",IFERROR(INDEX(Task_Tracker!$I$5:$I$1004,MATCH($B920,Task_Tracker!$A$5:$A$1004,0)),""))</f>
        <v/>
      </c>
      <c r="W920" s="81">
        <f>IF(OR($D920="",$B920=""),"",$D920&amp;" | "&amp;$B920)</f>
        <v/>
      </c>
      <c r="X920" s="85">
        <f>IF($K920="","",TEXT($K920,"yyyy-mm"))</f>
        <v/>
      </c>
      <c r="Y920" s="81">
        <f>IF(OR($A920="",$T920=""),"","Included in Manager_Report")</f>
        <v/>
      </c>
    </row>
    <row r="921" ht="15" customHeight="1" s="40">
      <c r="A921" s="65">
        <f>IF(COUNTA(B921:G921)=0,"","STP-"&amp;TEXT(ROW()-4,"0000"))</f>
        <v/>
      </c>
      <c r="B921" s="78" t="n"/>
      <c r="C921" s="67">
        <f>IF($B921="","",IFERROR(INDEX(Task_Tracker!$D$5:$D$1004,MATCH($B921,Task_Tracker!$A$5:$A$1004,0)),""))</f>
        <v/>
      </c>
      <c r="D921" s="67">
        <f>IF($B921="","",IFERROR(INDEX(Task_Tracker!$B$5:$B$1004,MATCH($B921,Task_Tracker!$A$5:$A$1004,0)),""))</f>
        <v/>
      </c>
      <c r="E921" s="81" t="n"/>
      <c r="F921" s="81" t="n"/>
      <c r="G921" s="78" t="n"/>
      <c r="H921" s="78" t="n"/>
      <c r="I921" s="67">
        <f>IF($H921="","",IFERROR(INDEX(Action_Status_Map!$B$5:$B$11,MATCH($H921,Action_Status_Map!$A$5:$A$11,0)),""))</f>
        <v/>
      </c>
      <c r="J921" s="82" t="n"/>
      <c r="K921" s="82" t="n"/>
      <c r="L921" s="82" t="n"/>
      <c r="M921" s="83" t="n"/>
      <c r="N921" s="83" t="n"/>
      <c r="O921" s="66">
        <f>IF(OR($M921="",$N921=""),"",$N921-$M921)</f>
        <v/>
      </c>
      <c r="P921" s="84">
        <f>IF($J921="","",IF($L921&lt;&gt;"",$L921-$J921,TODAY()-$J921))</f>
        <v/>
      </c>
      <c r="Q921" s="85">
        <f>IF(OR($K921="",$H921="Completed",$H921="Cancelled"),"",IF(AND($K921&lt;TODAY(),$H921&lt;&gt;"Completed",$H921&lt;&gt;"Cancelled"),"Overdue","On Track"))</f>
        <v/>
      </c>
      <c r="R921" s="81" t="n"/>
      <c r="S921" s="81">
        <f>IF($B921="","",IFERROR(INDEX(Task_Tracker!$AA$5:$AA$1004,MATCH($B921,Task_Tracker!$A$5:$A$1004,0)),""))</f>
        <v/>
      </c>
      <c r="T921" s="81">
        <f>IF($B921="","",IFERROR(INDEX(Task_Tracker!$AB$5:$AB$1004,MATCH($B921,Task_Tracker!$A$5:$A$1004,0)),""))</f>
        <v/>
      </c>
      <c r="U921" s="78">
        <f>IF($B921="","",IFERROR(INDEX(Task_Tracker!$F$5:$F$1004,MATCH($B921,Task_Tracker!$A$5:$A$1004,0)),""))</f>
        <v/>
      </c>
      <c r="V921" s="78">
        <f>IF($B921="","",IFERROR(INDEX(Task_Tracker!$I$5:$I$1004,MATCH($B921,Task_Tracker!$A$5:$A$1004,0)),""))</f>
        <v/>
      </c>
      <c r="W921" s="81">
        <f>IF(OR($D921="",$B921=""),"",$D921&amp;" | "&amp;$B921)</f>
        <v/>
      </c>
      <c r="X921" s="85">
        <f>IF($K921="","",TEXT($K921,"yyyy-mm"))</f>
        <v/>
      </c>
      <c r="Y921" s="81">
        <f>IF(OR($A921="",$T921=""),"","Included in Manager_Report")</f>
        <v/>
      </c>
    </row>
    <row r="922" ht="15" customHeight="1" s="40">
      <c r="A922" s="65">
        <f>IF(COUNTA(B922:G922)=0,"","STP-"&amp;TEXT(ROW()-4,"0000"))</f>
        <v/>
      </c>
      <c r="B922" s="78" t="n"/>
      <c r="C922" s="67">
        <f>IF($B922="","",IFERROR(INDEX(Task_Tracker!$D$5:$D$1004,MATCH($B922,Task_Tracker!$A$5:$A$1004,0)),""))</f>
        <v/>
      </c>
      <c r="D922" s="67">
        <f>IF($B922="","",IFERROR(INDEX(Task_Tracker!$B$5:$B$1004,MATCH($B922,Task_Tracker!$A$5:$A$1004,0)),""))</f>
        <v/>
      </c>
      <c r="E922" s="81" t="n"/>
      <c r="F922" s="81" t="n"/>
      <c r="G922" s="78" t="n"/>
      <c r="H922" s="78" t="n"/>
      <c r="I922" s="67">
        <f>IF($H922="","",IFERROR(INDEX(Action_Status_Map!$B$5:$B$11,MATCH($H922,Action_Status_Map!$A$5:$A$11,0)),""))</f>
        <v/>
      </c>
      <c r="J922" s="82" t="n"/>
      <c r="K922" s="82" t="n"/>
      <c r="L922" s="82" t="n"/>
      <c r="M922" s="83" t="n"/>
      <c r="N922" s="83" t="n"/>
      <c r="O922" s="66">
        <f>IF(OR($M922="",$N922=""),"",$N922-$M922)</f>
        <v/>
      </c>
      <c r="P922" s="84">
        <f>IF($J922="","",IF($L922&lt;&gt;"",$L922-$J922,TODAY()-$J922))</f>
        <v/>
      </c>
      <c r="Q922" s="85">
        <f>IF(OR($K922="",$H922="Completed",$H922="Cancelled"),"",IF(AND($K922&lt;TODAY(),$H922&lt;&gt;"Completed",$H922&lt;&gt;"Cancelled"),"Overdue","On Track"))</f>
        <v/>
      </c>
      <c r="R922" s="81" t="n"/>
      <c r="S922" s="81">
        <f>IF($B922="","",IFERROR(INDEX(Task_Tracker!$AA$5:$AA$1004,MATCH($B922,Task_Tracker!$A$5:$A$1004,0)),""))</f>
        <v/>
      </c>
      <c r="T922" s="81">
        <f>IF($B922="","",IFERROR(INDEX(Task_Tracker!$AB$5:$AB$1004,MATCH($B922,Task_Tracker!$A$5:$A$1004,0)),""))</f>
        <v/>
      </c>
      <c r="U922" s="78">
        <f>IF($B922="","",IFERROR(INDEX(Task_Tracker!$F$5:$F$1004,MATCH($B922,Task_Tracker!$A$5:$A$1004,0)),""))</f>
        <v/>
      </c>
      <c r="V922" s="78">
        <f>IF($B922="","",IFERROR(INDEX(Task_Tracker!$I$5:$I$1004,MATCH($B922,Task_Tracker!$A$5:$A$1004,0)),""))</f>
        <v/>
      </c>
      <c r="W922" s="81">
        <f>IF(OR($D922="",$B922=""),"",$D922&amp;" | "&amp;$B922)</f>
        <v/>
      </c>
      <c r="X922" s="85">
        <f>IF($K922="","",TEXT($K922,"yyyy-mm"))</f>
        <v/>
      </c>
      <c r="Y922" s="81">
        <f>IF(OR($A922="",$T922=""),"","Included in Manager_Report")</f>
        <v/>
      </c>
    </row>
    <row r="923" ht="15" customHeight="1" s="40">
      <c r="A923" s="65">
        <f>IF(COUNTA(B923:G923)=0,"","STP-"&amp;TEXT(ROW()-4,"0000"))</f>
        <v/>
      </c>
      <c r="B923" s="78" t="n"/>
      <c r="C923" s="67">
        <f>IF($B923="","",IFERROR(INDEX(Task_Tracker!$D$5:$D$1004,MATCH($B923,Task_Tracker!$A$5:$A$1004,0)),""))</f>
        <v/>
      </c>
      <c r="D923" s="67">
        <f>IF($B923="","",IFERROR(INDEX(Task_Tracker!$B$5:$B$1004,MATCH($B923,Task_Tracker!$A$5:$A$1004,0)),""))</f>
        <v/>
      </c>
      <c r="E923" s="81" t="n"/>
      <c r="F923" s="81" t="n"/>
      <c r="G923" s="78" t="n"/>
      <c r="H923" s="78" t="n"/>
      <c r="I923" s="67">
        <f>IF($H923="","",IFERROR(INDEX(Action_Status_Map!$B$5:$B$11,MATCH($H923,Action_Status_Map!$A$5:$A$11,0)),""))</f>
        <v/>
      </c>
      <c r="J923" s="82" t="n"/>
      <c r="K923" s="82" t="n"/>
      <c r="L923" s="82" t="n"/>
      <c r="M923" s="83" t="n"/>
      <c r="N923" s="83" t="n"/>
      <c r="O923" s="66">
        <f>IF(OR($M923="",$N923=""),"",$N923-$M923)</f>
        <v/>
      </c>
      <c r="P923" s="84">
        <f>IF($J923="","",IF($L923&lt;&gt;"",$L923-$J923,TODAY()-$J923))</f>
        <v/>
      </c>
      <c r="Q923" s="85">
        <f>IF(OR($K923="",$H923="Completed",$H923="Cancelled"),"",IF(AND($K923&lt;TODAY(),$H923&lt;&gt;"Completed",$H923&lt;&gt;"Cancelled"),"Overdue","On Track"))</f>
        <v/>
      </c>
      <c r="R923" s="81" t="n"/>
      <c r="S923" s="81">
        <f>IF($B923="","",IFERROR(INDEX(Task_Tracker!$AA$5:$AA$1004,MATCH($B923,Task_Tracker!$A$5:$A$1004,0)),""))</f>
        <v/>
      </c>
      <c r="T923" s="81">
        <f>IF($B923="","",IFERROR(INDEX(Task_Tracker!$AB$5:$AB$1004,MATCH($B923,Task_Tracker!$A$5:$A$1004,0)),""))</f>
        <v/>
      </c>
      <c r="U923" s="78">
        <f>IF($B923="","",IFERROR(INDEX(Task_Tracker!$F$5:$F$1004,MATCH($B923,Task_Tracker!$A$5:$A$1004,0)),""))</f>
        <v/>
      </c>
      <c r="V923" s="78">
        <f>IF($B923="","",IFERROR(INDEX(Task_Tracker!$I$5:$I$1004,MATCH($B923,Task_Tracker!$A$5:$A$1004,0)),""))</f>
        <v/>
      </c>
      <c r="W923" s="81">
        <f>IF(OR($D923="",$B923=""),"",$D923&amp;" | "&amp;$B923)</f>
        <v/>
      </c>
      <c r="X923" s="85">
        <f>IF($K923="","",TEXT($K923,"yyyy-mm"))</f>
        <v/>
      </c>
      <c r="Y923" s="81">
        <f>IF(OR($A923="",$T923=""),"","Included in Manager_Report")</f>
        <v/>
      </c>
    </row>
    <row r="924" ht="15" customHeight="1" s="40">
      <c r="A924" s="65">
        <f>IF(COUNTA(B924:G924)=0,"","STP-"&amp;TEXT(ROW()-4,"0000"))</f>
        <v/>
      </c>
      <c r="B924" s="78" t="n"/>
      <c r="C924" s="67">
        <f>IF($B924="","",IFERROR(INDEX(Task_Tracker!$D$5:$D$1004,MATCH($B924,Task_Tracker!$A$5:$A$1004,0)),""))</f>
        <v/>
      </c>
      <c r="D924" s="67">
        <f>IF($B924="","",IFERROR(INDEX(Task_Tracker!$B$5:$B$1004,MATCH($B924,Task_Tracker!$A$5:$A$1004,0)),""))</f>
        <v/>
      </c>
      <c r="E924" s="81" t="n"/>
      <c r="F924" s="81" t="n"/>
      <c r="G924" s="78" t="n"/>
      <c r="H924" s="78" t="n"/>
      <c r="I924" s="67">
        <f>IF($H924="","",IFERROR(INDEX(Action_Status_Map!$B$5:$B$11,MATCH($H924,Action_Status_Map!$A$5:$A$11,0)),""))</f>
        <v/>
      </c>
      <c r="J924" s="82" t="n"/>
      <c r="K924" s="82" t="n"/>
      <c r="L924" s="82" t="n"/>
      <c r="M924" s="83" t="n"/>
      <c r="N924" s="83" t="n"/>
      <c r="O924" s="66">
        <f>IF(OR($M924="",$N924=""),"",$N924-$M924)</f>
        <v/>
      </c>
      <c r="P924" s="84">
        <f>IF($J924="","",IF($L924&lt;&gt;"",$L924-$J924,TODAY()-$J924))</f>
        <v/>
      </c>
      <c r="Q924" s="85">
        <f>IF(OR($K924="",$H924="Completed",$H924="Cancelled"),"",IF(AND($K924&lt;TODAY(),$H924&lt;&gt;"Completed",$H924&lt;&gt;"Cancelled"),"Overdue","On Track"))</f>
        <v/>
      </c>
      <c r="R924" s="81" t="n"/>
      <c r="S924" s="81">
        <f>IF($B924="","",IFERROR(INDEX(Task_Tracker!$AA$5:$AA$1004,MATCH($B924,Task_Tracker!$A$5:$A$1004,0)),""))</f>
        <v/>
      </c>
      <c r="T924" s="81">
        <f>IF($B924="","",IFERROR(INDEX(Task_Tracker!$AB$5:$AB$1004,MATCH($B924,Task_Tracker!$A$5:$A$1004,0)),""))</f>
        <v/>
      </c>
      <c r="U924" s="78">
        <f>IF($B924="","",IFERROR(INDEX(Task_Tracker!$F$5:$F$1004,MATCH($B924,Task_Tracker!$A$5:$A$1004,0)),""))</f>
        <v/>
      </c>
      <c r="V924" s="78">
        <f>IF($B924="","",IFERROR(INDEX(Task_Tracker!$I$5:$I$1004,MATCH($B924,Task_Tracker!$A$5:$A$1004,0)),""))</f>
        <v/>
      </c>
      <c r="W924" s="81">
        <f>IF(OR($D924="",$B924=""),"",$D924&amp;" | "&amp;$B924)</f>
        <v/>
      </c>
      <c r="X924" s="85">
        <f>IF($K924="","",TEXT($K924,"yyyy-mm"))</f>
        <v/>
      </c>
      <c r="Y924" s="81">
        <f>IF(OR($A924="",$T924=""),"","Included in Manager_Report")</f>
        <v/>
      </c>
    </row>
    <row r="925" ht="15" customHeight="1" s="40">
      <c r="A925" s="65">
        <f>IF(COUNTA(B925:G925)=0,"","STP-"&amp;TEXT(ROW()-4,"0000"))</f>
        <v/>
      </c>
      <c r="B925" s="78" t="n"/>
      <c r="C925" s="67">
        <f>IF($B925="","",IFERROR(INDEX(Task_Tracker!$D$5:$D$1004,MATCH($B925,Task_Tracker!$A$5:$A$1004,0)),""))</f>
        <v/>
      </c>
      <c r="D925" s="67">
        <f>IF($B925="","",IFERROR(INDEX(Task_Tracker!$B$5:$B$1004,MATCH($B925,Task_Tracker!$A$5:$A$1004,0)),""))</f>
        <v/>
      </c>
      <c r="E925" s="81" t="n"/>
      <c r="F925" s="81" t="n"/>
      <c r="G925" s="78" t="n"/>
      <c r="H925" s="78" t="n"/>
      <c r="I925" s="67">
        <f>IF($H925="","",IFERROR(INDEX(Action_Status_Map!$B$5:$B$11,MATCH($H925,Action_Status_Map!$A$5:$A$11,0)),""))</f>
        <v/>
      </c>
      <c r="J925" s="82" t="n"/>
      <c r="K925" s="82" t="n"/>
      <c r="L925" s="82" t="n"/>
      <c r="M925" s="83" t="n"/>
      <c r="N925" s="83" t="n"/>
      <c r="O925" s="66">
        <f>IF(OR($M925="",$N925=""),"",$N925-$M925)</f>
        <v/>
      </c>
      <c r="P925" s="84">
        <f>IF($J925="","",IF($L925&lt;&gt;"",$L925-$J925,TODAY()-$J925))</f>
        <v/>
      </c>
      <c r="Q925" s="85">
        <f>IF(OR($K925="",$H925="Completed",$H925="Cancelled"),"",IF(AND($K925&lt;TODAY(),$H925&lt;&gt;"Completed",$H925&lt;&gt;"Cancelled"),"Overdue","On Track"))</f>
        <v/>
      </c>
      <c r="R925" s="81" t="n"/>
      <c r="S925" s="81">
        <f>IF($B925="","",IFERROR(INDEX(Task_Tracker!$AA$5:$AA$1004,MATCH($B925,Task_Tracker!$A$5:$A$1004,0)),""))</f>
        <v/>
      </c>
      <c r="T925" s="81">
        <f>IF($B925="","",IFERROR(INDEX(Task_Tracker!$AB$5:$AB$1004,MATCH($B925,Task_Tracker!$A$5:$A$1004,0)),""))</f>
        <v/>
      </c>
      <c r="U925" s="78">
        <f>IF($B925="","",IFERROR(INDEX(Task_Tracker!$F$5:$F$1004,MATCH($B925,Task_Tracker!$A$5:$A$1004,0)),""))</f>
        <v/>
      </c>
      <c r="V925" s="78">
        <f>IF($B925="","",IFERROR(INDEX(Task_Tracker!$I$5:$I$1004,MATCH($B925,Task_Tracker!$A$5:$A$1004,0)),""))</f>
        <v/>
      </c>
      <c r="W925" s="81">
        <f>IF(OR($D925="",$B925=""),"",$D925&amp;" | "&amp;$B925)</f>
        <v/>
      </c>
      <c r="X925" s="85">
        <f>IF($K925="","",TEXT($K925,"yyyy-mm"))</f>
        <v/>
      </c>
      <c r="Y925" s="81">
        <f>IF(OR($A925="",$T925=""),"","Included in Manager_Report")</f>
        <v/>
      </c>
    </row>
    <row r="926" ht="15" customHeight="1" s="40">
      <c r="A926" s="65">
        <f>IF(COUNTA(B926:G926)=0,"","STP-"&amp;TEXT(ROW()-4,"0000"))</f>
        <v/>
      </c>
      <c r="B926" s="78" t="n"/>
      <c r="C926" s="67">
        <f>IF($B926="","",IFERROR(INDEX(Task_Tracker!$D$5:$D$1004,MATCH($B926,Task_Tracker!$A$5:$A$1004,0)),""))</f>
        <v/>
      </c>
      <c r="D926" s="67">
        <f>IF($B926="","",IFERROR(INDEX(Task_Tracker!$B$5:$B$1004,MATCH($B926,Task_Tracker!$A$5:$A$1004,0)),""))</f>
        <v/>
      </c>
      <c r="E926" s="81" t="n"/>
      <c r="F926" s="81" t="n"/>
      <c r="G926" s="78" t="n"/>
      <c r="H926" s="78" t="n"/>
      <c r="I926" s="67">
        <f>IF($H926="","",IFERROR(INDEX(Action_Status_Map!$B$5:$B$11,MATCH($H926,Action_Status_Map!$A$5:$A$11,0)),""))</f>
        <v/>
      </c>
      <c r="J926" s="82" t="n"/>
      <c r="K926" s="82" t="n"/>
      <c r="L926" s="82" t="n"/>
      <c r="M926" s="83" t="n"/>
      <c r="N926" s="83" t="n"/>
      <c r="O926" s="66">
        <f>IF(OR($M926="",$N926=""),"",$N926-$M926)</f>
        <v/>
      </c>
      <c r="P926" s="84">
        <f>IF($J926="","",IF($L926&lt;&gt;"",$L926-$J926,TODAY()-$J926))</f>
        <v/>
      </c>
      <c r="Q926" s="85">
        <f>IF(OR($K926="",$H926="Completed",$H926="Cancelled"),"",IF(AND($K926&lt;TODAY(),$H926&lt;&gt;"Completed",$H926&lt;&gt;"Cancelled"),"Overdue","On Track"))</f>
        <v/>
      </c>
      <c r="R926" s="81" t="n"/>
      <c r="S926" s="81">
        <f>IF($B926="","",IFERROR(INDEX(Task_Tracker!$AA$5:$AA$1004,MATCH($B926,Task_Tracker!$A$5:$A$1004,0)),""))</f>
        <v/>
      </c>
      <c r="T926" s="81">
        <f>IF($B926="","",IFERROR(INDEX(Task_Tracker!$AB$5:$AB$1004,MATCH($B926,Task_Tracker!$A$5:$A$1004,0)),""))</f>
        <v/>
      </c>
      <c r="U926" s="78">
        <f>IF($B926="","",IFERROR(INDEX(Task_Tracker!$F$5:$F$1004,MATCH($B926,Task_Tracker!$A$5:$A$1004,0)),""))</f>
        <v/>
      </c>
      <c r="V926" s="78">
        <f>IF($B926="","",IFERROR(INDEX(Task_Tracker!$I$5:$I$1004,MATCH($B926,Task_Tracker!$A$5:$A$1004,0)),""))</f>
        <v/>
      </c>
      <c r="W926" s="81">
        <f>IF(OR($D926="",$B926=""),"",$D926&amp;" | "&amp;$B926)</f>
        <v/>
      </c>
      <c r="X926" s="85">
        <f>IF($K926="","",TEXT($K926,"yyyy-mm"))</f>
        <v/>
      </c>
      <c r="Y926" s="81">
        <f>IF(OR($A926="",$T926=""),"","Included in Manager_Report")</f>
        <v/>
      </c>
    </row>
    <row r="927" ht="15" customHeight="1" s="40">
      <c r="A927" s="65">
        <f>IF(COUNTA(B927:G927)=0,"","STP-"&amp;TEXT(ROW()-4,"0000"))</f>
        <v/>
      </c>
      <c r="B927" s="78" t="n"/>
      <c r="C927" s="67">
        <f>IF($B927="","",IFERROR(INDEX(Task_Tracker!$D$5:$D$1004,MATCH($B927,Task_Tracker!$A$5:$A$1004,0)),""))</f>
        <v/>
      </c>
      <c r="D927" s="67">
        <f>IF($B927="","",IFERROR(INDEX(Task_Tracker!$B$5:$B$1004,MATCH($B927,Task_Tracker!$A$5:$A$1004,0)),""))</f>
        <v/>
      </c>
      <c r="E927" s="81" t="n"/>
      <c r="F927" s="81" t="n"/>
      <c r="G927" s="78" t="n"/>
      <c r="H927" s="78" t="n"/>
      <c r="I927" s="67">
        <f>IF($H927="","",IFERROR(INDEX(Action_Status_Map!$B$5:$B$11,MATCH($H927,Action_Status_Map!$A$5:$A$11,0)),""))</f>
        <v/>
      </c>
      <c r="J927" s="82" t="n"/>
      <c r="K927" s="82" t="n"/>
      <c r="L927" s="82" t="n"/>
      <c r="M927" s="83" t="n"/>
      <c r="N927" s="83" t="n"/>
      <c r="O927" s="66">
        <f>IF(OR($M927="",$N927=""),"",$N927-$M927)</f>
        <v/>
      </c>
      <c r="P927" s="84">
        <f>IF($J927="","",IF($L927&lt;&gt;"",$L927-$J927,TODAY()-$J927))</f>
        <v/>
      </c>
      <c r="Q927" s="85">
        <f>IF(OR($K927="",$H927="Completed",$H927="Cancelled"),"",IF(AND($K927&lt;TODAY(),$H927&lt;&gt;"Completed",$H927&lt;&gt;"Cancelled"),"Overdue","On Track"))</f>
        <v/>
      </c>
      <c r="R927" s="81" t="n"/>
      <c r="S927" s="81">
        <f>IF($B927="","",IFERROR(INDEX(Task_Tracker!$AA$5:$AA$1004,MATCH($B927,Task_Tracker!$A$5:$A$1004,0)),""))</f>
        <v/>
      </c>
      <c r="T927" s="81">
        <f>IF($B927="","",IFERROR(INDEX(Task_Tracker!$AB$5:$AB$1004,MATCH($B927,Task_Tracker!$A$5:$A$1004,0)),""))</f>
        <v/>
      </c>
      <c r="U927" s="78">
        <f>IF($B927="","",IFERROR(INDEX(Task_Tracker!$F$5:$F$1004,MATCH($B927,Task_Tracker!$A$5:$A$1004,0)),""))</f>
        <v/>
      </c>
      <c r="V927" s="78">
        <f>IF($B927="","",IFERROR(INDEX(Task_Tracker!$I$5:$I$1004,MATCH($B927,Task_Tracker!$A$5:$A$1004,0)),""))</f>
        <v/>
      </c>
      <c r="W927" s="81">
        <f>IF(OR($D927="",$B927=""),"",$D927&amp;" | "&amp;$B927)</f>
        <v/>
      </c>
      <c r="X927" s="85">
        <f>IF($K927="","",TEXT($K927,"yyyy-mm"))</f>
        <v/>
      </c>
      <c r="Y927" s="81">
        <f>IF(OR($A927="",$T927=""),"","Included in Manager_Report")</f>
        <v/>
      </c>
    </row>
    <row r="928" ht="15" customHeight="1" s="40">
      <c r="A928" s="65">
        <f>IF(COUNTA(B928:G928)=0,"","STP-"&amp;TEXT(ROW()-4,"0000"))</f>
        <v/>
      </c>
      <c r="B928" s="78" t="n"/>
      <c r="C928" s="67">
        <f>IF($B928="","",IFERROR(INDEX(Task_Tracker!$D$5:$D$1004,MATCH($B928,Task_Tracker!$A$5:$A$1004,0)),""))</f>
        <v/>
      </c>
      <c r="D928" s="67">
        <f>IF($B928="","",IFERROR(INDEX(Task_Tracker!$B$5:$B$1004,MATCH($B928,Task_Tracker!$A$5:$A$1004,0)),""))</f>
        <v/>
      </c>
      <c r="E928" s="81" t="n"/>
      <c r="F928" s="81" t="n"/>
      <c r="G928" s="78" t="n"/>
      <c r="H928" s="78" t="n"/>
      <c r="I928" s="67">
        <f>IF($H928="","",IFERROR(INDEX(Action_Status_Map!$B$5:$B$11,MATCH($H928,Action_Status_Map!$A$5:$A$11,0)),""))</f>
        <v/>
      </c>
      <c r="J928" s="82" t="n"/>
      <c r="K928" s="82" t="n"/>
      <c r="L928" s="82" t="n"/>
      <c r="M928" s="83" t="n"/>
      <c r="N928" s="83" t="n"/>
      <c r="O928" s="66">
        <f>IF(OR($M928="",$N928=""),"",$N928-$M928)</f>
        <v/>
      </c>
      <c r="P928" s="84">
        <f>IF($J928="","",IF($L928&lt;&gt;"",$L928-$J928,TODAY()-$J928))</f>
        <v/>
      </c>
      <c r="Q928" s="85">
        <f>IF(OR($K928="",$H928="Completed",$H928="Cancelled"),"",IF(AND($K928&lt;TODAY(),$H928&lt;&gt;"Completed",$H928&lt;&gt;"Cancelled"),"Overdue","On Track"))</f>
        <v/>
      </c>
      <c r="R928" s="81" t="n"/>
      <c r="S928" s="81">
        <f>IF($B928="","",IFERROR(INDEX(Task_Tracker!$AA$5:$AA$1004,MATCH($B928,Task_Tracker!$A$5:$A$1004,0)),""))</f>
        <v/>
      </c>
      <c r="T928" s="81">
        <f>IF($B928="","",IFERROR(INDEX(Task_Tracker!$AB$5:$AB$1004,MATCH($B928,Task_Tracker!$A$5:$A$1004,0)),""))</f>
        <v/>
      </c>
      <c r="U928" s="78">
        <f>IF($B928="","",IFERROR(INDEX(Task_Tracker!$F$5:$F$1004,MATCH($B928,Task_Tracker!$A$5:$A$1004,0)),""))</f>
        <v/>
      </c>
      <c r="V928" s="78">
        <f>IF($B928="","",IFERROR(INDEX(Task_Tracker!$I$5:$I$1004,MATCH($B928,Task_Tracker!$A$5:$A$1004,0)),""))</f>
        <v/>
      </c>
      <c r="W928" s="81">
        <f>IF(OR($D928="",$B928=""),"",$D928&amp;" | "&amp;$B928)</f>
        <v/>
      </c>
      <c r="X928" s="85">
        <f>IF($K928="","",TEXT($K928,"yyyy-mm"))</f>
        <v/>
      </c>
      <c r="Y928" s="81">
        <f>IF(OR($A928="",$T928=""),"","Included in Manager_Report")</f>
        <v/>
      </c>
    </row>
    <row r="929" ht="15" customHeight="1" s="40">
      <c r="A929" s="65">
        <f>IF(COUNTA(B929:G929)=0,"","STP-"&amp;TEXT(ROW()-4,"0000"))</f>
        <v/>
      </c>
      <c r="B929" s="78" t="n"/>
      <c r="C929" s="67">
        <f>IF($B929="","",IFERROR(INDEX(Task_Tracker!$D$5:$D$1004,MATCH($B929,Task_Tracker!$A$5:$A$1004,0)),""))</f>
        <v/>
      </c>
      <c r="D929" s="67">
        <f>IF($B929="","",IFERROR(INDEX(Task_Tracker!$B$5:$B$1004,MATCH($B929,Task_Tracker!$A$5:$A$1004,0)),""))</f>
        <v/>
      </c>
      <c r="E929" s="81" t="n"/>
      <c r="F929" s="81" t="n"/>
      <c r="G929" s="78" t="n"/>
      <c r="H929" s="78" t="n"/>
      <c r="I929" s="67">
        <f>IF($H929="","",IFERROR(INDEX(Action_Status_Map!$B$5:$B$11,MATCH($H929,Action_Status_Map!$A$5:$A$11,0)),""))</f>
        <v/>
      </c>
      <c r="J929" s="82" t="n"/>
      <c r="K929" s="82" t="n"/>
      <c r="L929" s="82" t="n"/>
      <c r="M929" s="83" t="n"/>
      <c r="N929" s="83" t="n"/>
      <c r="O929" s="66">
        <f>IF(OR($M929="",$N929=""),"",$N929-$M929)</f>
        <v/>
      </c>
      <c r="P929" s="84">
        <f>IF($J929="","",IF($L929&lt;&gt;"",$L929-$J929,TODAY()-$J929))</f>
        <v/>
      </c>
      <c r="Q929" s="85">
        <f>IF(OR($K929="",$H929="Completed",$H929="Cancelled"),"",IF(AND($K929&lt;TODAY(),$H929&lt;&gt;"Completed",$H929&lt;&gt;"Cancelled"),"Overdue","On Track"))</f>
        <v/>
      </c>
      <c r="R929" s="81" t="n"/>
      <c r="S929" s="81">
        <f>IF($B929="","",IFERROR(INDEX(Task_Tracker!$AA$5:$AA$1004,MATCH($B929,Task_Tracker!$A$5:$A$1004,0)),""))</f>
        <v/>
      </c>
      <c r="T929" s="81">
        <f>IF($B929="","",IFERROR(INDEX(Task_Tracker!$AB$5:$AB$1004,MATCH($B929,Task_Tracker!$A$5:$A$1004,0)),""))</f>
        <v/>
      </c>
      <c r="U929" s="78">
        <f>IF($B929="","",IFERROR(INDEX(Task_Tracker!$F$5:$F$1004,MATCH($B929,Task_Tracker!$A$5:$A$1004,0)),""))</f>
        <v/>
      </c>
      <c r="V929" s="78">
        <f>IF($B929="","",IFERROR(INDEX(Task_Tracker!$I$5:$I$1004,MATCH($B929,Task_Tracker!$A$5:$A$1004,0)),""))</f>
        <v/>
      </c>
      <c r="W929" s="81">
        <f>IF(OR($D929="",$B929=""),"",$D929&amp;" | "&amp;$B929)</f>
        <v/>
      </c>
      <c r="X929" s="85">
        <f>IF($K929="","",TEXT($K929,"yyyy-mm"))</f>
        <v/>
      </c>
      <c r="Y929" s="81">
        <f>IF(OR($A929="",$T929=""),"","Included in Manager_Report")</f>
        <v/>
      </c>
    </row>
    <row r="930" ht="15" customHeight="1" s="40">
      <c r="A930" s="65">
        <f>IF(COUNTA(B930:G930)=0,"","STP-"&amp;TEXT(ROW()-4,"0000"))</f>
        <v/>
      </c>
      <c r="B930" s="78" t="n"/>
      <c r="C930" s="67">
        <f>IF($B930="","",IFERROR(INDEX(Task_Tracker!$D$5:$D$1004,MATCH($B930,Task_Tracker!$A$5:$A$1004,0)),""))</f>
        <v/>
      </c>
      <c r="D930" s="67">
        <f>IF($B930="","",IFERROR(INDEX(Task_Tracker!$B$5:$B$1004,MATCH($B930,Task_Tracker!$A$5:$A$1004,0)),""))</f>
        <v/>
      </c>
      <c r="E930" s="81" t="n"/>
      <c r="F930" s="81" t="n"/>
      <c r="G930" s="78" t="n"/>
      <c r="H930" s="78" t="n"/>
      <c r="I930" s="67">
        <f>IF($H930="","",IFERROR(INDEX(Action_Status_Map!$B$5:$B$11,MATCH($H930,Action_Status_Map!$A$5:$A$11,0)),""))</f>
        <v/>
      </c>
      <c r="J930" s="82" t="n"/>
      <c r="K930" s="82" t="n"/>
      <c r="L930" s="82" t="n"/>
      <c r="M930" s="83" t="n"/>
      <c r="N930" s="83" t="n"/>
      <c r="O930" s="66">
        <f>IF(OR($M930="",$N930=""),"",$N930-$M930)</f>
        <v/>
      </c>
      <c r="P930" s="84">
        <f>IF($J930="","",IF($L930&lt;&gt;"",$L930-$J930,TODAY()-$J930))</f>
        <v/>
      </c>
      <c r="Q930" s="85">
        <f>IF(OR($K930="",$H930="Completed",$H930="Cancelled"),"",IF(AND($K930&lt;TODAY(),$H930&lt;&gt;"Completed",$H930&lt;&gt;"Cancelled"),"Overdue","On Track"))</f>
        <v/>
      </c>
      <c r="R930" s="81" t="n"/>
      <c r="S930" s="81">
        <f>IF($B930="","",IFERROR(INDEX(Task_Tracker!$AA$5:$AA$1004,MATCH($B930,Task_Tracker!$A$5:$A$1004,0)),""))</f>
        <v/>
      </c>
      <c r="T930" s="81">
        <f>IF($B930="","",IFERROR(INDEX(Task_Tracker!$AB$5:$AB$1004,MATCH($B930,Task_Tracker!$A$5:$A$1004,0)),""))</f>
        <v/>
      </c>
      <c r="U930" s="78">
        <f>IF($B930="","",IFERROR(INDEX(Task_Tracker!$F$5:$F$1004,MATCH($B930,Task_Tracker!$A$5:$A$1004,0)),""))</f>
        <v/>
      </c>
      <c r="V930" s="78">
        <f>IF($B930="","",IFERROR(INDEX(Task_Tracker!$I$5:$I$1004,MATCH($B930,Task_Tracker!$A$5:$A$1004,0)),""))</f>
        <v/>
      </c>
      <c r="W930" s="81">
        <f>IF(OR($D930="",$B930=""),"",$D930&amp;" | "&amp;$B930)</f>
        <v/>
      </c>
      <c r="X930" s="85">
        <f>IF($K930="","",TEXT($K930,"yyyy-mm"))</f>
        <v/>
      </c>
      <c r="Y930" s="81">
        <f>IF(OR($A930="",$T930=""),"","Included in Manager_Report")</f>
        <v/>
      </c>
    </row>
    <row r="931" ht="15" customHeight="1" s="40">
      <c r="A931" s="65">
        <f>IF(COUNTA(B931:G931)=0,"","STP-"&amp;TEXT(ROW()-4,"0000"))</f>
        <v/>
      </c>
      <c r="B931" s="78" t="n"/>
      <c r="C931" s="67">
        <f>IF($B931="","",IFERROR(INDEX(Task_Tracker!$D$5:$D$1004,MATCH($B931,Task_Tracker!$A$5:$A$1004,0)),""))</f>
        <v/>
      </c>
      <c r="D931" s="67">
        <f>IF($B931="","",IFERROR(INDEX(Task_Tracker!$B$5:$B$1004,MATCH($B931,Task_Tracker!$A$5:$A$1004,0)),""))</f>
        <v/>
      </c>
      <c r="E931" s="81" t="n"/>
      <c r="F931" s="81" t="n"/>
      <c r="G931" s="78" t="n"/>
      <c r="H931" s="78" t="n"/>
      <c r="I931" s="67">
        <f>IF($H931="","",IFERROR(INDEX(Action_Status_Map!$B$5:$B$11,MATCH($H931,Action_Status_Map!$A$5:$A$11,0)),""))</f>
        <v/>
      </c>
      <c r="J931" s="82" t="n"/>
      <c r="K931" s="82" t="n"/>
      <c r="L931" s="82" t="n"/>
      <c r="M931" s="83" t="n"/>
      <c r="N931" s="83" t="n"/>
      <c r="O931" s="66">
        <f>IF(OR($M931="",$N931=""),"",$N931-$M931)</f>
        <v/>
      </c>
      <c r="P931" s="84">
        <f>IF($J931="","",IF($L931&lt;&gt;"",$L931-$J931,TODAY()-$J931))</f>
        <v/>
      </c>
      <c r="Q931" s="85">
        <f>IF(OR($K931="",$H931="Completed",$H931="Cancelled"),"",IF(AND($K931&lt;TODAY(),$H931&lt;&gt;"Completed",$H931&lt;&gt;"Cancelled"),"Overdue","On Track"))</f>
        <v/>
      </c>
      <c r="R931" s="81" t="n"/>
      <c r="S931" s="81">
        <f>IF($B931="","",IFERROR(INDEX(Task_Tracker!$AA$5:$AA$1004,MATCH($B931,Task_Tracker!$A$5:$A$1004,0)),""))</f>
        <v/>
      </c>
      <c r="T931" s="81">
        <f>IF($B931="","",IFERROR(INDEX(Task_Tracker!$AB$5:$AB$1004,MATCH($B931,Task_Tracker!$A$5:$A$1004,0)),""))</f>
        <v/>
      </c>
      <c r="U931" s="78">
        <f>IF($B931="","",IFERROR(INDEX(Task_Tracker!$F$5:$F$1004,MATCH($B931,Task_Tracker!$A$5:$A$1004,0)),""))</f>
        <v/>
      </c>
      <c r="V931" s="78">
        <f>IF($B931="","",IFERROR(INDEX(Task_Tracker!$I$5:$I$1004,MATCH($B931,Task_Tracker!$A$5:$A$1004,0)),""))</f>
        <v/>
      </c>
      <c r="W931" s="81">
        <f>IF(OR($D931="",$B931=""),"",$D931&amp;" | "&amp;$B931)</f>
        <v/>
      </c>
      <c r="X931" s="85">
        <f>IF($K931="","",TEXT($K931,"yyyy-mm"))</f>
        <v/>
      </c>
      <c r="Y931" s="81">
        <f>IF(OR($A931="",$T931=""),"","Included in Manager_Report")</f>
        <v/>
      </c>
    </row>
    <row r="932" ht="15" customHeight="1" s="40">
      <c r="A932" s="65">
        <f>IF(COUNTA(B932:G932)=0,"","STP-"&amp;TEXT(ROW()-4,"0000"))</f>
        <v/>
      </c>
      <c r="B932" s="78" t="n"/>
      <c r="C932" s="67">
        <f>IF($B932="","",IFERROR(INDEX(Task_Tracker!$D$5:$D$1004,MATCH($B932,Task_Tracker!$A$5:$A$1004,0)),""))</f>
        <v/>
      </c>
      <c r="D932" s="67">
        <f>IF($B932="","",IFERROR(INDEX(Task_Tracker!$B$5:$B$1004,MATCH($B932,Task_Tracker!$A$5:$A$1004,0)),""))</f>
        <v/>
      </c>
      <c r="E932" s="81" t="n"/>
      <c r="F932" s="81" t="n"/>
      <c r="G932" s="78" t="n"/>
      <c r="H932" s="78" t="n"/>
      <c r="I932" s="67">
        <f>IF($H932="","",IFERROR(INDEX(Action_Status_Map!$B$5:$B$11,MATCH($H932,Action_Status_Map!$A$5:$A$11,0)),""))</f>
        <v/>
      </c>
      <c r="J932" s="82" t="n"/>
      <c r="K932" s="82" t="n"/>
      <c r="L932" s="82" t="n"/>
      <c r="M932" s="83" t="n"/>
      <c r="N932" s="83" t="n"/>
      <c r="O932" s="66">
        <f>IF(OR($M932="",$N932=""),"",$N932-$M932)</f>
        <v/>
      </c>
      <c r="P932" s="84">
        <f>IF($J932="","",IF($L932&lt;&gt;"",$L932-$J932,TODAY()-$J932))</f>
        <v/>
      </c>
      <c r="Q932" s="85">
        <f>IF(OR($K932="",$H932="Completed",$H932="Cancelled"),"",IF(AND($K932&lt;TODAY(),$H932&lt;&gt;"Completed",$H932&lt;&gt;"Cancelled"),"Overdue","On Track"))</f>
        <v/>
      </c>
      <c r="R932" s="81" t="n"/>
      <c r="S932" s="81">
        <f>IF($B932="","",IFERROR(INDEX(Task_Tracker!$AA$5:$AA$1004,MATCH($B932,Task_Tracker!$A$5:$A$1004,0)),""))</f>
        <v/>
      </c>
      <c r="T932" s="81">
        <f>IF($B932="","",IFERROR(INDEX(Task_Tracker!$AB$5:$AB$1004,MATCH($B932,Task_Tracker!$A$5:$A$1004,0)),""))</f>
        <v/>
      </c>
      <c r="U932" s="78">
        <f>IF($B932="","",IFERROR(INDEX(Task_Tracker!$F$5:$F$1004,MATCH($B932,Task_Tracker!$A$5:$A$1004,0)),""))</f>
        <v/>
      </c>
      <c r="V932" s="78">
        <f>IF($B932="","",IFERROR(INDEX(Task_Tracker!$I$5:$I$1004,MATCH($B932,Task_Tracker!$A$5:$A$1004,0)),""))</f>
        <v/>
      </c>
      <c r="W932" s="81">
        <f>IF(OR($D932="",$B932=""),"",$D932&amp;" | "&amp;$B932)</f>
        <v/>
      </c>
      <c r="X932" s="85">
        <f>IF($K932="","",TEXT($K932,"yyyy-mm"))</f>
        <v/>
      </c>
      <c r="Y932" s="81">
        <f>IF(OR($A932="",$T932=""),"","Included in Manager_Report")</f>
        <v/>
      </c>
    </row>
    <row r="933" ht="15" customHeight="1" s="40">
      <c r="A933" s="65">
        <f>IF(COUNTA(B933:G933)=0,"","STP-"&amp;TEXT(ROW()-4,"0000"))</f>
        <v/>
      </c>
      <c r="B933" s="78" t="n"/>
      <c r="C933" s="67">
        <f>IF($B933="","",IFERROR(INDEX(Task_Tracker!$D$5:$D$1004,MATCH($B933,Task_Tracker!$A$5:$A$1004,0)),""))</f>
        <v/>
      </c>
      <c r="D933" s="67">
        <f>IF($B933="","",IFERROR(INDEX(Task_Tracker!$B$5:$B$1004,MATCH($B933,Task_Tracker!$A$5:$A$1004,0)),""))</f>
        <v/>
      </c>
      <c r="E933" s="81" t="n"/>
      <c r="F933" s="81" t="n"/>
      <c r="G933" s="78" t="n"/>
      <c r="H933" s="78" t="n"/>
      <c r="I933" s="67">
        <f>IF($H933="","",IFERROR(INDEX(Action_Status_Map!$B$5:$B$11,MATCH($H933,Action_Status_Map!$A$5:$A$11,0)),""))</f>
        <v/>
      </c>
      <c r="J933" s="82" t="n"/>
      <c r="K933" s="82" t="n"/>
      <c r="L933" s="82" t="n"/>
      <c r="M933" s="83" t="n"/>
      <c r="N933" s="83" t="n"/>
      <c r="O933" s="66">
        <f>IF(OR($M933="",$N933=""),"",$N933-$M933)</f>
        <v/>
      </c>
      <c r="P933" s="84">
        <f>IF($J933="","",IF($L933&lt;&gt;"",$L933-$J933,TODAY()-$J933))</f>
        <v/>
      </c>
      <c r="Q933" s="85">
        <f>IF(OR($K933="",$H933="Completed",$H933="Cancelled"),"",IF(AND($K933&lt;TODAY(),$H933&lt;&gt;"Completed",$H933&lt;&gt;"Cancelled"),"Overdue","On Track"))</f>
        <v/>
      </c>
      <c r="R933" s="81" t="n"/>
      <c r="S933" s="81">
        <f>IF($B933="","",IFERROR(INDEX(Task_Tracker!$AA$5:$AA$1004,MATCH($B933,Task_Tracker!$A$5:$A$1004,0)),""))</f>
        <v/>
      </c>
      <c r="T933" s="81">
        <f>IF($B933="","",IFERROR(INDEX(Task_Tracker!$AB$5:$AB$1004,MATCH($B933,Task_Tracker!$A$5:$A$1004,0)),""))</f>
        <v/>
      </c>
      <c r="U933" s="78">
        <f>IF($B933="","",IFERROR(INDEX(Task_Tracker!$F$5:$F$1004,MATCH($B933,Task_Tracker!$A$5:$A$1004,0)),""))</f>
        <v/>
      </c>
      <c r="V933" s="78">
        <f>IF($B933="","",IFERROR(INDEX(Task_Tracker!$I$5:$I$1004,MATCH($B933,Task_Tracker!$A$5:$A$1004,0)),""))</f>
        <v/>
      </c>
      <c r="W933" s="81">
        <f>IF(OR($D933="",$B933=""),"",$D933&amp;" | "&amp;$B933)</f>
        <v/>
      </c>
      <c r="X933" s="85">
        <f>IF($K933="","",TEXT($K933,"yyyy-mm"))</f>
        <v/>
      </c>
      <c r="Y933" s="81">
        <f>IF(OR($A933="",$T933=""),"","Included in Manager_Report")</f>
        <v/>
      </c>
    </row>
    <row r="934" ht="15" customHeight="1" s="40">
      <c r="A934" s="65">
        <f>IF(COUNTA(B934:G934)=0,"","STP-"&amp;TEXT(ROW()-4,"0000"))</f>
        <v/>
      </c>
      <c r="B934" s="78" t="n"/>
      <c r="C934" s="67">
        <f>IF($B934="","",IFERROR(INDEX(Task_Tracker!$D$5:$D$1004,MATCH($B934,Task_Tracker!$A$5:$A$1004,0)),""))</f>
        <v/>
      </c>
      <c r="D934" s="67">
        <f>IF($B934="","",IFERROR(INDEX(Task_Tracker!$B$5:$B$1004,MATCH($B934,Task_Tracker!$A$5:$A$1004,0)),""))</f>
        <v/>
      </c>
      <c r="E934" s="81" t="n"/>
      <c r="F934" s="81" t="n"/>
      <c r="G934" s="78" t="n"/>
      <c r="H934" s="78" t="n"/>
      <c r="I934" s="67">
        <f>IF($H934="","",IFERROR(INDEX(Action_Status_Map!$B$5:$B$11,MATCH($H934,Action_Status_Map!$A$5:$A$11,0)),""))</f>
        <v/>
      </c>
      <c r="J934" s="82" t="n"/>
      <c r="K934" s="82" t="n"/>
      <c r="L934" s="82" t="n"/>
      <c r="M934" s="83" t="n"/>
      <c r="N934" s="83" t="n"/>
      <c r="O934" s="66">
        <f>IF(OR($M934="",$N934=""),"",$N934-$M934)</f>
        <v/>
      </c>
      <c r="P934" s="84">
        <f>IF($J934="","",IF($L934&lt;&gt;"",$L934-$J934,TODAY()-$J934))</f>
        <v/>
      </c>
      <c r="Q934" s="85">
        <f>IF(OR($K934="",$H934="Completed",$H934="Cancelled"),"",IF(AND($K934&lt;TODAY(),$H934&lt;&gt;"Completed",$H934&lt;&gt;"Cancelled"),"Overdue","On Track"))</f>
        <v/>
      </c>
      <c r="R934" s="81" t="n"/>
      <c r="S934" s="81">
        <f>IF($B934="","",IFERROR(INDEX(Task_Tracker!$AA$5:$AA$1004,MATCH($B934,Task_Tracker!$A$5:$A$1004,0)),""))</f>
        <v/>
      </c>
      <c r="T934" s="81">
        <f>IF($B934="","",IFERROR(INDEX(Task_Tracker!$AB$5:$AB$1004,MATCH($B934,Task_Tracker!$A$5:$A$1004,0)),""))</f>
        <v/>
      </c>
      <c r="U934" s="78">
        <f>IF($B934="","",IFERROR(INDEX(Task_Tracker!$F$5:$F$1004,MATCH($B934,Task_Tracker!$A$5:$A$1004,0)),""))</f>
        <v/>
      </c>
      <c r="V934" s="78">
        <f>IF($B934="","",IFERROR(INDEX(Task_Tracker!$I$5:$I$1004,MATCH($B934,Task_Tracker!$A$5:$A$1004,0)),""))</f>
        <v/>
      </c>
      <c r="W934" s="81">
        <f>IF(OR($D934="",$B934=""),"",$D934&amp;" | "&amp;$B934)</f>
        <v/>
      </c>
      <c r="X934" s="85">
        <f>IF($K934="","",TEXT($K934,"yyyy-mm"))</f>
        <v/>
      </c>
      <c r="Y934" s="81">
        <f>IF(OR($A934="",$T934=""),"","Included in Manager_Report")</f>
        <v/>
      </c>
    </row>
    <row r="935" ht="15" customHeight="1" s="40">
      <c r="A935" s="65">
        <f>IF(COUNTA(B935:G935)=0,"","STP-"&amp;TEXT(ROW()-4,"0000"))</f>
        <v/>
      </c>
      <c r="B935" s="78" t="n"/>
      <c r="C935" s="67">
        <f>IF($B935="","",IFERROR(INDEX(Task_Tracker!$D$5:$D$1004,MATCH($B935,Task_Tracker!$A$5:$A$1004,0)),""))</f>
        <v/>
      </c>
      <c r="D935" s="67">
        <f>IF($B935="","",IFERROR(INDEX(Task_Tracker!$B$5:$B$1004,MATCH($B935,Task_Tracker!$A$5:$A$1004,0)),""))</f>
        <v/>
      </c>
      <c r="E935" s="81" t="n"/>
      <c r="F935" s="81" t="n"/>
      <c r="G935" s="78" t="n"/>
      <c r="H935" s="78" t="n"/>
      <c r="I935" s="67">
        <f>IF($H935="","",IFERROR(INDEX(Action_Status_Map!$B$5:$B$11,MATCH($H935,Action_Status_Map!$A$5:$A$11,0)),""))</f>
        <v/>
      </c>
      <c r="J935" s="82" t="n"/>
      <c r="K935" s="82" t="n"/>
      <c r="L935" s="82" t="n"/>
      <c r="M935" s="83" t="n"/>
      <c r="N935" s="83" t="n"/>
      <c r="O935" s="66">
        <f>IF(OR($M935="",$N935=""),"",$N935-$M935)</f>
        <v/>
      </c>
      <c r="P935" s="84">
        <f>IF($J935="","",IF($L935&lt;&gt;"",$L935-$J935,TODAY()-$J935))</f>
        <v/>
      </c>
      <c r="Q935" s="85">
        <f>IF(OR($K935="",$H935="Completed",$H935="Cancelled"),"",IF(AND($K935&lt;TODAY(),$H935&lt;&gt;"Completed",$H935&lt;&gt;"Cancelled"),"Overdue","On Track"))</f>
        <v/>
      </c>
      <c r="R935" s="81" t="n"/>
      <c r="S935" s="81">
        <f>IF($B935="","",IFERROR(INDEX(Task_Tracker!$AA$5:$AA$1004,MATCH($B935,Task_Tracker!$A$5:$A$1004,0)),""))</f>
        <v/>
      </c>
      <c r="T935" s="81">
        <f>IF($B935="","",IFERROR(INDEX(Task_Tracker!$AB$5:$AB$1004,MATCH($B935,Task_Tracker!$A$5:$A$1004,0)),""))</f>
        <v/>
      </c>
      <c r="U935" s="78">
        <f>IF($B935="","",IFERROR(INDEX(Task_Tracker!$F$5:$F$1004,MATCH($B935,Task_Tracker!$A$5:$A$1004,0)),""))</f>
        <v/>
      </c>
      <c r="V935" s="78">
        <f>IF($B935="","",IFERROR(INDEX(Task_Tracker!$I$5:$I$1004,MATCH($B935,Task_Tracker!$A$5:$A$1004,0)),""))</f>
        <v/>
      </c>
      <c r="W935" s="81">
        <f>IF(OR($D935="",$B935=""),"",$D935&amp;" | "&amp;$B935)</f>
        <v/>
      </c>
      <c r="X935" s="85">
        <f>IF($K935="","",TEXT($K935,"yyyy-mm"))</f>
        <v/>
      </c>
      <c r="Y935" s="81">
        <f>IF(OR($A935="",$T935=""),"","Included in Manager_Report")</f>
        <v/>
      </c>
    </row>
    <row r="936" ht="15" customHeight="1" s="40">
      <c r="A936" s="65">
        <f>IF(COUNTA(B936:G936)=0,"","STP-"&amp;TEXT(ROW()-4,"0000"))</f>
        <v/>
      </c>
      <c r="B936" s="78" t="n"/>
      <c r="C936" s="67">
        <f>IF($B936="","",IFERROR(INDEX(Task_Tracker!$D$5:$D$1004,MATCH($B936,Task_Tracker!$A$5:$A$1004,0)),""))</f>
        <v/>
      </c>
      <c r="D936" s="67">
        <f>IF($B936="","",IFERROR(INDEX(Task_Tracker!$B$5:$B$1004,MATCH($B936,Task_Tracker!$A$5:$A$1004,0)),""))</f>
        <v/>
      </c>
      <c r="E936" s="81" t="n"/>
      <c r="F936" s="81" t="n"/>
      <c r="G936" s="78" t="n"/>
      <c r="H936" s="78" t="n"/>
      <c r="I936" s="67">
        <f>IF($H936="","",IFERROR(INDEX(Action_Status_Map!$B$5:$B$11,MATCH($H936,Action_Status_Map!$A$5:$A$11,0)),""))</f>
        <v/>
      </c>
      <c r="J936" s="82" t="n"/>
      <c r="K936" s="82" t="n"/>
      <c r="L936" s="82" t="n"/>
      <c r="M936" s="83" t="n"/>
      <c r="N936" s="83" t="n"/>
      <c r="O936" s="66">
        <f>IF(OR($M936="",$N936=""),"",$N936-$M936)</f>
        <v/>
      </c>
      <c r="P936" s="84">
        <f>IF($J936="","",IF($L936&lt;&gt;"",$L936-$J936,TODAY()-$J936))</f>
        <v/>
      </c>
      <c r="Q936" s="85">
        <f>IF(OR($K936="",$H936="Completed",$H936="Cancelled"),"",IF(AND($K936&lt;TODAY(),$H936&lt;&gt;"Completed",$H936&lt;&gt;"Cancelled"),"Overdue","On Track"))</f>
        <v/>
      </c>
      <c r="R936" s="81" t="n"/>
      <c r="S936" s="81">
        <f>IF($B936="","",IFERROR(INDEX(Task_Tracker!$AA$5:$AA$1004,MATCH($B936,Task_Tracker!$A$5:$A$1004,0)),""))</f>
        <v/>
      </c>
      <c r="T936" s="81">
        <f>IF($B936="","",IFERROR(INDEX(Task_Tracker!$AB$5:$AB$1004,MATCH($B936,Task_Tracker!$A$5:$A$1004,0)),""))</f>
        <v/>
      </c>
      <c r="U936" s="78">
        <f>IF($B936="","",IFERROR(INDEX(Task_Tracker!$F$5:$F$1004,MATCH($B936,Task_Tracker!$A$5:$A$1004,0)),""))</f>
        <v/>
      </c>
      <c r="V936" s="78">
        <f>IF($B936="","",IFERROR(INDEX(Task_Tracker!$I$5:$I$1004,MATCH($B936,Task_Tracker!$A$5:$A$1004,0)),""))</f>
        <v/>
      </c>
      <c r="W936" s="81">
        <f>IF(OR($D936="",$B936=""),"",$D936&amp;" | "&amp;$B936)</f>
        <v/>
      </c>
      <c r="X936" s="85">
        <f>IF($K936="","",TEXT($K936,"yyyy-mm"))</f>
        <v/>
      </c>
      <c r="Y936" s="81">
        <f>IF(OR($A936="",$T936=""),"","Included in Manager_Report")</f>
        <v/>
      </c>
    </row>
    <row r="937" ht="15" customHeight="1" s="40">
      <c r="A937" s="65">
        <f>IF(COUNTA(B937:G937)=0,"","STP-"&amp;TEXT(ROW()-4,"0000"))</f>
        <v/>
      </c>
      <c r="B937" s="78" t="n"/>
      <c r="C937" s="67">
        <f>IF($B937="","",IFERROR(INDEX(Task_Tracker!$D$5:$D$1004,MATCH($B937,Task_Tracker!$A$5:$A$1004,0)),""))</f>
        <v/>
      </c>
      <c r="D937" s="67">
        <f>IF($B937="","",IFERROR(INDEX(Task_Tracker!$B$5:$B$1004,MATCH($B937,Task_Tracker!$A$5:$A$1004,0)),""))</f>
        <v/>
      </c>
      <c r="E937" s="81" t="n"/>
      <c r="F937" s="81" t="n"/>
      <c r="G937" s="78" t="n"/>
      <c r="H937" s="78" t="n"/>
      <c r="I937" s="67">
        <f>IF($H937="","",IFERROR(INDEX(Action_Status_Map!$B$5:$B$11,MATCH($H937,Action_Status_Map!$A$5:$A$11,0)),""))</f>
        <v/>
      </c>
      <c r="J937" s="82" t="n"/>
      <c r="K937" s="82" t="n"/>
      <c r="L937" s="82" t="n"/>
      <c r="M937" s="83" t="n"/>
      <c r="N937" s="83" t="n"/>
      <c r="O937" s="66">
        <f>IF(OR($M937="",$N937=""),"",$N937-$M937)</f>
        <v/>
      </c>
      <c r="P937" s="84">
        <f>IF($J937="","",IF($L937&lt;&gt;"",$L937-$J937,TODAY()-$J937))</f>
        <v/>
      </c>
      <c r="Q937" s="85">
        <f>IF(OR($K937="",$H937="Completed",$H937="Cancelled"),"",IF(AND($K937&lt;TODAY(),$H937&lt;&gt;"Completed",$H937&lt;&gt;"Cancelled"),"Overdue","On Track"))</f>
        <v/>
      </c>
      <c r="R937" s="81" t="n"/>
      <c r="S937" s="81">
        <f>IF($B937="","",IFERROR(INDEX(Task_Tracker!$AA$5:$AA$1004,MATCH($B937,Task_Tracker!$A$5:$A$1004,0)),""))</f>
        <v/>
      </c>
      <c r="T937" s="81">
        <f>IF($B937="","",IFERROR(INDEX(Task_Tracker!$AB$5:$AB$1004,MATCH($B937,Task_Tracker!$A$5:$A$1004,0)),""))</f>
        <v/>
      </c>
      <c r="U937" s="78">
        <f>IF($B937="","",IFERROR(INDEX(Task_Tracker!$F$5:$F$1004,MATCH($B937,Task_Tracker!$A$5:$A$1004,0)),""))</f>
        <v/>
      </c>
      <c r="V937" s="78">
        <f>IF($B937="","",IFERROR(INDEX(Task_Tracker!$I$5:$I$1004,MATCH($B937,Task_Tracker!$A$5:$A$1004,0)),""))</f>
        <v/>
      </c>
      <c r="W937" s="81">
        <f>IF(OR($D937="",$B937=""),"",$D937&amp;" | "&amp;$B937)</f>
        <v/>
      </c>
      <c r="X937" s="85">
        <f>IF($K937="","",TEXT($K937,"yyyy-mm"))</f>
        <v/>
      </c>
      <c r="Y937" s="81">
        <f>IF(OR($A937="",$T937=""),"","Included in Manager_Report")</f>
        <v/>
      </c>
    </row>
    <row r="938" ht="15" customHeight="1" s="40">
      <c r="A938" s="65">
        <f>IF(COUNTA(B938:G938)=0,"","STP-"&amp;TEXT(ROW()-4,"0000"))</f>
        <v/>
      </c>
      <c r="B938" s="78" t="n"/>
      <c r="C938" s="67">
        <f>IF($B938="","",IFERROR(INDEX(Task_Tracker!$D$5:$D$1004,MATCH($B938,Task_Tracker!$A$5:$A$1004,0)),""))</f>
        <v/>
      </c>
      <c r="D938" s="67">
        <f>IF($B938="","",IFERROR(INDEX(Task_Tracker!$B$5:$B$1004,MATCH($B938,Task_Tracker!$A$5:$A$1004,0)),""))</f>
        <v/>
      </c>
      <c r="E938" s="81" t="n"/>
      <c r="F938" s="81" t="n"/>
      <c r="G938" s="78" t="n"/>
      <c r="H938" s="78" t="n"/>
      <c r="I938" s="67">
        <f>IF($H938="","",IFERROR(INDEX(Action_Status_Map!$B$5:$B$11,MATCH($H938,Action_Status_Map!$A$5:$A$11,0)),""))</f>
        <v/>
      </c>
      <c r="J938" s="82" t="n"/>
      <c r="K938" s="82" t="n"/>
      <c r="L938" s="82" t="n"/>
      <c r="M938" s="83" t="n"/>
      <c r="N938" s="83" t="n"/>
      <c r="O938" s="66">
        <f>IF(OR($M938="",$N938=""),"",$N938-$M938)</f>
        <v/>
      </c>
      <c r="P938" s="84">
        <f>IF($J938="","",IF($L938&lt;&gt;"",$L938-$J938,TODAY()-$J938))</f>
        <v/>
      </c>
      <c r="Q938" s="85">
        <f>IF(OR($K938="",$H938="Completed",$H938="Cancelled"),"",IF(AND($K938&lt;TODAY(),$H938&lt;&gt;"Completed",$H938&lt;&gt;"Cancelled"),"Overdue","On Track"))</f>
        <v/>
      </c>
      <c r="R938" s="81" t="n"/>
      <c r="S938" s="81">
        <f>IF($B938="","",IFERROR(INDEX(Task_Tracker!$AA$5:$AA$1004,MATCH($B938,Task_Tracker!$A$5:$A$1004,0)),""))</f>
        <v/>
      </c>
      <c r="T938" s="81">
        <f>IF($B938="","",IFERROR(INDEX(Task_Tracker!$AB$5:$AB$1004,MATCH($B938,Task_Tracker!$A$5:$A$1004,0)),""))</f>
        <v/>
      </c>
      <c r="U938" s="78">
        <f>IF($B938="","",IFERROR(INDEX(Task_Tracker!$F$5:$F$1004,MATCH($B938,Task_Tracker!$A$5:$A$1004,0)),""))</f>
        <v/>
      </c>
      <c r="V938" s="78">
        <f>IF($B938="","",IFERROR(INDEX(Task_Tracker!$I$5:$I$1004,MATCH($B938,Task_Tracker!$A$5:$A$1004,0)),""))</f>
        <v/>
      </c>
      <c r="W938" s="81">
        <f>IF(OR($D938="",$B938=""),"",$D938&amp;" | "&amp;$B938)</f>
        <v/>
      </c>
      <c r="X938" s="85">
        <f>IF($K938="","",TEXT($K938,"yyyy-mm"))</f>
        <v/>
      </c>
      <c r="Y938" s="81">
        <f>IF(OR($A938="",$T938=""),"","Included in Manager_Report")</f>
        <v/>
      </c>
    </row>
    <row r="939" ht="15" customHeight="1" s="40">
      <c r="A939" s="65">
        <f>IF(COUNTA(B939:G939)=0,"","STP-"&amp;TEXT(ROW()-4,"0000"))</f>
        <v/>
      </c>
      <c r="B939" s="78" t="n"/>
      <c r="C939" s="67">
        <f>IF($B939="","",IFERROR(INDEX(Task_Tracker!$D$5:$D$1004,MATCH($B939,Task_Tracker!$A$5:$A$1004,0)),""))</f>
        <v/>
      </c>
      <c r="D939" s="67">
        <f>IF($B939="","",IFERROR(INDEX(Task_Tracker!$B$5:$B$1004,MATCH($B939,Task_Tracker!$A$5:$A$1004,0)),""))</f>
        <v/>
      </c>
      <c r="E939" s="81" t="n"/>
      <c r="F939" s="81" t="n"/>
      <c r="G939" s="78" t="n"/>
      <c r="H939" s="78" t="n"/>
      <c r="I939" s="67">
        <f>IF($H939="","",IFERROR(INDEX(Action_Status_Map!$B$5:$B$11,MATCH($H939,Action_Status_Map!$A$5:$A$11,0)),""))</f>
        <v/>
      </c>
      <c r="J939" s="82" t="n"/>
      <c r="K939" s="82" t="n"/>
      <c r="L939" s="82" t="n"/>
      <c r="M939" s="83" t="n"/>
      <c r="N939" s="83" t="n"/>
      <c r="O939" s="66">
        <f>IF(OR($M939="",$N939=""),"",$N939-$M939)</f>
        <v/>
      </c>
      <c r="P939" s="84">
        <f>IF($J939="","",IF($L939&lt;&gt;"",$L939-$J939,TODAY()-$J939))</f>
        <v/>
      </c>
      <c r="Q939" s="85">
        <f>IF(OR($K939="",$H939="Completed",$H939="Cancelled"),"",IF(AND($K939&lt;TODAY(),$H939&lt;&gt;"Completed",$H939&lt;&gt;"Cancelled"),"Overdue","On Track"))</f>
        <v/>
      </c>
      <c r="R939" s="81" t="n"/>
      <c r="S939" s="81">
        <f>IF($B939="","",IFERROR(INDEX(Task_Tracker!$AA$5:$AA$1004,MATCH($B939,Task_Tracker!$A$5:$A$1004,0)),""))</f>
        <v/>
      </c>
      <c r="T939" s="81">
        <f>IF($B939="","",IFERROR(INDEX(Task_Tracker!$AB$5:$AB$1004,MATCH($B939,Task_Tracker!$A$5:$A$1004,0)),""))</f>
        <v/>
      </c>
      <c r="U939" s="78">
        <f>IF($B939="","",IFERROR(INDEX(Task_Tracker!$F$5:$F$1004,MATCH($B939,Task_Tracker!$A$5:$A$1004,0)),""))</f>
        <v/>
      </c>
      <c r="V939" s="78">
        <f>IF($B939="","",IFERROR(INDEX(Task_Tracker!$I$5:$I$1004,MATCH($B939,Task_Tracker!$A$5:$A$1004,0)),""))</f>
        <v/>
      </c>
      <c r="W939" s="81">
        <f>IF(OR($D939="",$B939=""),"",$D939&amp;" | "&amp;$B939)</f>
        <v/>
      </c>
      <c r="X939" s="85">
        <f>IF($K939="","",TEXT($K939,"yyyy-mm"))</f>
        <v/>
      </c>
      <c r="Y939" s="81">
        <f>IF(OR($A939="",$T939=""),"","Included in Manager_Report")</f>
        <v/>
      </c>
    </row>
    <row r="940" ht="15" customHeight="1" s="40">
      <c r="A940" s="65">
        <f>IF(COUNTA(B940:G940)=0,"","STP-"&amp;TEXT(ROW()-4,"0000"))</f>
        <v/>
      </c>
      <c r="B940" s="78" t="n"/>
      <c r="C940" s="67">
        <f>IF($B940="","",IFERROR(INDEX(Task_Tracker!$D$5:$D$1004,MATCH($B940,Task_Tracker!$A$5:$A$1004,0)),""))</f>
        <v/>
      </c>
      <c r="D940" s="67">
        <f>IF($B940="","",IFERROR(INDEX(Task_Tracker!$B$5:$B$1004,MATCH($B940,Task_Tracker!$A$5:$A$1004,0)),""))</f>
        <v/>
      </c>
      <c r="E940" s="81" t="n"/>
      <c r="F940" s="81" t="n"/>
      <c r="G940" s="78" t="n"/>
      <c r="H940" s="78" t="n"/>
      <c r="I940" s="67">
        <f>IF($H940="","",IFERROR(INDEX(Action_Status_Map!$B$5:$B$11,MATCH($H940,Action_Status_Map!$A$5:$A$11,0)),""))</f>
        <v/>
      </c>
      <c r="J940" s="82" t="n"/>
      <c r="K940" s="82" t="n"/>
      <c r="L940" s="82" t="n"/>
      <c r="M940" s="83" t="n"/>
      <c r="N940" s="83" t="n"/>
      <c r="O940" s="66">
        <f>IF(OR($M940="",$N940=""),"",$N940-$M940)</f>
        <v/>
      </c>
      <c r="P940" s="84">
        <f>IF($J940="","",IF($L940&lt;&gt;"",$L940-$J940,TODAY()-$J940))</f>
        <v/>
      </c>
      <c r="Q940" s="85">
        <f>IF(OR($K940="",$H940="Completed",$H940="Cancelled"),"",IF(AND($K940&lt;TODAY(),$H940&lt;&gt;"Completed",$H940&lt;&gt;"Cancelled"),"Overdue","On Track"))</f>
        <v/>
      </c>
      <c r="R940" s="81" t="n"/>
      <c r="S940" s="81">
        <f>IF($B940="","",IFERROR(INDEX(Task_Tracker!$AA$5:$AA$1004,MATCH($B940,Task_Tracker!$A$5:$A$1004,0)),""))</f>
        <v/>
      </c>
      <c r="T940" s="81">
        <f>IF($B940="","",IFERROR(INDEX(Task_Tracker!$AB$5:$AB$1004,MATCH($B940,Task_Tracker!$A$5:$A$1004,0)),""))</f>
        <v/>
      </c>
      <c r="U940" s="78">
        <f>IF($B940="","",IFERROR(INDEX(Task_Tracker!$F$5:$F$1004,MATCH($B940,Task_Tracker!$A$5:$A$1004,0)),""))</f>
        <v/>
      </c>
      <c r="V940" s="78">
        <f>IF($B940="","",IFERROR(INDEX(Task_Tracker!$I$5:$I$1004,MATCH($B940,Task_Tracker!$A$5:$A$1004,0)),""))</f>
        <v/>
      </c>
      <c r="W940" s="81">
        <f>IF(OR($D940="",$B940=""),"",$D940&amp;" | "&amp;$B940)</f>
        <v/>
      </c>
      <c r="X940" s="85">
        <f>IF($K940="","",TEXT($K940,"yyyy-mm"))</f>
        <v/>
      </c>
      <c r="Y940" s="81">
        <f>IF(OR($A940="",$T940=""),"","Included in Manager_Report")</f>
        <v/>
      </c>
    </row>
    <row r="941" ht="15" customHeight="1" s="40">
      <c r="A941" s="65">
        <f>IF(COUNTA(B941:G941)=0,"","STP-"&amp;TEXT(ROW()-4,"0000"))</f>
        <v/>
      </c>
      <c r="B941" s="78" t="n"/>
      <c r="C941" s="67">
        <f>IF($B941="","",IFERROR(INDEX(Task_Tracker!$D$5:$D$1004,MATCH($B941,Task_Tracker!$A$5:$A$1004,0)),""))</f>
        <v/>
      </c>
      <c r="D941" s="67">
        <f>IF($B941="","",IFERROR(INDEX(Task_Tracker!$B$5:$B$1004,MATCH($B941,Task_Tracker!$A$5:$A$1004,0)),""))</f>
        <v/>
      </c>
      <c r="E941" s="81" t="n"/>
      <c r="F941" s="81" t="n"/>
      <c r="G941" s="78" t="n"/>
      <c r="H941" s="78" t="n"/>
      <c r="I941" s="67">
        <f>IF($H941="","",IFERROR(INDEX(Action_Status_Map!$B$5:$B$11,MATCH($H941,Action_Status_Map!$A$5:$A$11,0)),""))</f>
        <v/>
      </c>
      <c r="J941" s="82" t="n"/>
      <c r="K941" s="82" t="n"/>
      <c r="L941" s="82" t="n"/>
      <c r="M941" s="83" t="n"/>
      <c r="N941" s="83" t="n"/>
      <c r="O941" s="66">
        <f>IF(OR($M941="",$N941=""),"",$N941-$M941)</f>
        <v/>
      </c>
      <c r="P941" s="84">
        <f>IF($J941="","",IF($L941&lt;&gt;"",$L941-$J941,TODAY()-$J941))</f>
        <v/>
      </c>
      <c r="Q941" s="85">
        <f>IF(OR($K941="",$H941="Completed",$H941="Cancelled"),"",IF(AND($K941&lt;TODAY(),$H941&lt;&gt;"Completed",$H941&lt;&gt;"Cancelled"),"Overdue","On Track"))</f>
        <v/>
      </c>
      <c r="R941" s="81" t="n"/>
      <c r="S941" s="81">
        <f>IF($B941="","",IFERROR(INDEX(Task_Tracker!$AA$5:$AA$1004,MATCH($B941,Task_Tracker!$A$5:$A$1004,0)),""))</f>
        <v/>
      </c>
      <c r="T941" s="81">
        <f>IF($B941="","",IFERROR(INDEX(Task_Tracker!$AB$5:$AB$1004,MATCH($B941,Task_Tracker!$A$5:$A$1004,0)),""))</f>
        <v/>
      </c>
      <c r="U941" s="78">
        <f>IF($B941="","",IFERROR(INDEX(Task_Tracker!$F$5:$F$1004,MATCH($B941,Task_Tracker!$A$5:$A$1004,0)),""))</f>
        <v/>
      </c>
      <c r="V941" s="78">
        <f>IF($B941="","",IFERROR(INDEX(Task_Tracker!$I$5:$I$1004,MATCH($B941,Task_Tracker!$A$5:$A$1004,0)),""))</f>
        <v/>
      </c>
      <c r="W941" s="81">
        <f>IF(OR($D941="",$B941=""),"",$D941&amp;" | "&amp;$B941)</f>
        <v/>
      </c>
      <c r="X941" s="85">
        <f>IF($K941="","",TEXT($K941,"yyyy-mm"))</f>
        <v/>
      </c>
      <c r="Y941" s="81">
        <f>IF(OR($A941="",$T941=""),"","Included in Manager_Report")</f>
        <v/>
      </c>
    </row>
    <row r="942" ht="15" customHeight="1" s="40">
      <c r="A942" s="65">
        <f>IF(COUNTA(B942:G942)=0,"","STP-"&amp;TEXT(ROW()-4,"0000"))</f>
        <v/>
      </c>
      <c r="B942" s="78" t="n"/>
      <c r="C942" s="67">
        <f>IF($B942="","",IFERROR(INDEX(Task_Tracker!$D$5:$D$1004,MATCH($B942,Task_Tracker!$A$5:$A$1004,0)),""))</f>
        <v/>
      </c>
      <c r="D942" s="67">
        <f>IF($B942="","",IFERROR(INDEX(Task_Tracker!$B$5:$B$1004,MATCH($B942,Task_Tracker!$A$5:$A$1004,0)),""))</f>
        <v/>
      </c>
      <c r="E942" s="81" t="n"/>
      <c r="F942" s="81" t="n"/>
      <c r="G942" s="78" t="n"/>
      <c r="H942" s="78" t="n"/>
      <c r="I942" s="67">
        <f>IF($H942="","",IFERROR(INDEX(Action_Status_Map!$B$5:$B$11,MATCH($H942,Action_Status_Map!$A$5:$A$11,0)),""))</f>
        <v/>
      </c>
      <c r="J942" s="82" t="n"/>
      <c r="K942" s="82" t="n"/>
      <c r="L942" s="82" t="n"/>
      <c r="M942" s="83" t="n"/>
      <c r="N942" s="83" t="n"/>
      <c r="O942" s="66">
        <f>IF(OR($M942="",$N942=""),"",$N942-$M942)</f>
        <v/>
      </c>
      <c r="P942" s="84">
        <f>IF($J942="","",IF($L942&lt;&gt;"",$L942-$J942,TODAY()-$J942))</f>
        <v/>
      </c>
      <c r="Q942" s="85">
        <f>IF(OR($K942="",$H942="Completed",$H942="Cancelled"),"",IF(AND($K942&lt;TODAY(),$H942&lt;&gt;"Completed",$H942&lt;&gt;"Cancelled"),"Overdue","On Track"))</f>
        <v/>
      </c>
      <c r="R942" s="81" t="n"/>
      <c r="S942" s="81">
        <f>IF($B942="","",IFERROR(INDEX(Task_Tracker!$AA$5:$AA$1004,MATCH($B942,Task_Tracker!$A$5:$A$1004,0)),""))</f>
        <v/>
      </c>
      <c r="T942" s="81">
        <f>IF($B942="","",IFERROR(INDEX(Task_Tracker!$AB$5:$AB$1004,MATCH($B942,Task_Tracker!$A$5:$A$1004,0)),""))</f>
        <v/>
      </c>
      <c r="U942" s="78">
        <f>IF($B942="","",IFERROR(INDEX(Task_Tracker!$F$5:$F$1004,MATCH($B942,Task_Tracker!$A$5:$A$1004,0)),""))</f>
        <v/>
      </c>
      <c r="V942" s="78">
        <f>IF($B942="","",IFERROR(INDEX(Task_Tracker!$I$5:$I$1004,MATCH($B942,Task_Tracker!$A$5:$A$1004,0)),""))</f>
        <v/>
      </c>
      <c r="W942" s="81">
        <f>IF(OR($D942="",$B942=""),"",$D942&amp;" | "&amp;$B942)</f>
        <v/>
      </c>
      <c r="X942" s="85">
        <f>IF($K942="","",TEXT($K942,"yyyy-mm"))</f>
        <v/>
      </c>
      <c r="Y942" s="81">
        <f>IF(OR($A942="",$T942=""),"","Included in Manager_Report")</f>
        <v/>
      </c>
    </row>
    <row r="943" ht="15" customHeight="1" s="40">
      <c r="A943" s="65">
        <f>IF(COUNTA(B943:G943)=0,"","STP-"&amp;TEXT(ROW()-4,"0000"))</f>
        <v/>
      </c>
      <c r="B943" s="78" t="n"/>
      <c r="C943" s="67">
        <f>IF($B943="","",IFERROR(INDEX(Task_Tracker!$D$5:$D$1004,MATCH($B943,Task_Tracker!$A$5:$A$1004,0)),""))</f>
        <v/>
      </c>
      <c r="D943" s="67">
        <f>IF($B943="","",IFERROR(INDEX(Task_Tracker!$B$5:$B$1004,MATCH($B943,Task_Tracker!$A$5:$A$1004,0)),""))</f>
        <v/>
      </c>
      <c r="E943" s="81" t="n"/>
      <c r="F943" s="81" t="n"/>
      <c r="G943" s="78" t="n"/>
      <c r="H943" s="78" t="n"/>
      <c r="I943" s="67">
        <f>IF($H943="","",IFERROR(INDEX(Action_Status_Map!$B$5:$B$11,MATCH($H943,Action_Status_Map!$A$5:$A$11,0)),""))</f>
        <v/>
      </c>
      <c r="J943" s="82" t="n"/>
      <c r="K943" s="82" t="n"/>
      <c r="L943" s="82" t="n"/>
      <c r="M943" s="83" t="n"/>
      <c r="N943" s="83" t="n"/>
      <c r="O943" s="66">
        <f>IF(OR($M943="",$N943=""),"",$N943-$M943)</f>
        <v/>
      </c>
      <c r="P943" s="84">
        <f>IF($J943="","",IF($L943&lt;&gt;"",$L943-$J943,TODAY()-$J943))</f>
        <v/>
      </c>
      <c r="Q943" s="85">
        <f>IF(OR($K943="",$H943="Completed",$H943="Cancelled"),"",IF(AND($K943&lt;TODAY(),$H943&lt;&gt;"Completed",$H943&lt;&gt;"Cancelled"),"Overdue","On Track"))</f>
        <v/>
      </c>
      <c r="R943" s="81" t="n"/>
      <c r="S943" s="81">
        <f>IF($B943="","",IFERROR(INDEX(Task_Tracker!$AA$5:$AA$1004,MATCH($B943,Task_Tracker!$A$5:$A$1004,0)),""))</f>
        <v/>
      </c>
      <c r="T943" s="81">
        <f>IF($B943="","",IFERROR(INDEX(Task_Tracker!$AB$5:$AB$1004,MATCH($B943,Task_Tracker!$A$5:$A$1004,0)),""))</f>
        <v/>
      </c>
      <c r="U943" s="78">
        <f>IF($B943="","",IFERROR(INDEX(Task_Tracker!$F$5:$F$1004,MATCH($B943,Task_Tracker!$A$5:$A$1004,0)),""))</f>
        <v/>
      </c>
      <c r="V943" s="78">
        <f>IF($B943="","",IFERROR(INDEX(Task_Tracker!$I$5:$I$1004,MATCH($B943,Task_Tracker!$A$5:$A$1004,0)),""))</f>
        <v/>
      </c>
      <c r="W943" s="81">
        <f>IF(OR($D943="",$B943=""),"",$D943&amp;" | "&amp;$B943)</f>
        <v/>
      </c>
      <c r="X943" s="85">
        <f>IF($K943="","",TEXT($K943,"yyyy-mm"))</f>
        <v/>
      </c>
      <c r="Y943" s="81">
        <f>IF(OR($A943="",$T943=""),"","Included in Manager_Report")</f>
        <v/>
      </c>
    </row>
    <row r="944" ht="15" customHeight="1" s="40">
      <c r="A944" s="65">
        <f>IF(COUNTA(B944:G944)=0,"","STP-"&amp;TEXT(ROW()-4,"0000"))</f>
        <v/>
      </c>
      <c r="B944" s="78" t="n"/>
      <c r="C944" s="67">
        <f>IF($B944="","",IFERROR(INDEX(Task_Tracker!$D$5:$D$1004,MATCH($B944,Task_Tracker!$A$5:$A$1004,0)),""))</f>
        <v/>
      </c>
      <c r="D944" s="67">
        <f>IF($B944="","",IFERROR(INDEX(Task_Tracker!$B$5:$B$1004,MATCH($B944,Task_Tracker!$A$5:$A$1004,0)),""))</f>
        <v/>
      </c>
      <c r="E944" s="81" t="n"/>
      <c r="F944" s="81" t="n"/>
      <c r="G944" s="78" t="n"/>
      <c r="H944" s="78" t="n"/>
      <c r="I944" s="67">
        <f>IF($H944="","",IFERROR(INDEX(Action_Status_Map!$B$5:$B$11,MATCH($H944,Action_Status_Map!$A$5:$A$11,0)),""))</f>
        <v/>
      </c>
      <c r="J944" s="82" t="n"/>
      <c r="K944" s="82" t="n"/>
      <c r="L944" s="82" t="n"/>
      <c r="M944" s="83" t="n"/>
      <c r="N944" s="83" t="n"/>
      <c r="O944" s="66">
        <f>IF(OR($M944="",$N944=""),"",$N944-$M944)</f>
        <v/>
      </c>
      <c r="P944" s="84">
        <f>IF($J944="","",IF($L944&lt;&gt;"",$L944-$J944,TODAY()-$J944))</f>
        <v/>
      </c>
      <c r="Q944" s="85">
        <f>IF(OR($K944="",$H944="Completed",$H944="Cancelled"),"",IF(AND($K944&lt;TODAY(),$H944&lt;&gt;"Completed",$H944&lt;&gt;"Cancelled"),"Overdue","On Track"))</f>
        <v/>
      </c>
      <c r="R944" s="81" t="n"/>
      <c r="S944" s="81">
        <f>IF($B944="","",IFERROR(INDEX(Task_Tracker!$AA$5:$AA$1004,MATCH($B944,Task_Tracker!$A$5:$A$1004,0)),""))</f>
        <v/>
      </c>
      <c r="T944" s="81">
        <f>IF($B944="","",IFERROR(INDEX(Task_Tracker!$AB$5:$AB$1004,MATCH($B944,Task_Tracker!$A$5:$A$1004,0)),""))</f>
        <v/>
      </c>
      <c r="U944" s="78">
        <f>IF($B944="","",IFERROR(INDEX(Task_Tracker!$F$5:$F$1004,MATCH($B944,Task_Tracker!$A$5:$A$1004,0)),""))</f>
        <v/>
      </c>
      <c r="V944" s="78">
        <f>IF($B944="","",IFERROR(INDEX(Task_Tracker!$I$5:$I$1004,MATCH($B944,Task_Tracker!$A$5:$A$1004,0)),""))</f>
        <v/>
      </c>
      <c r="W944" s="81">
        <f>IF(OR($D944="",$B944=""),"",$D944&amp;" | "&amp;$B944)</f>
        <v/>
      </c>
      <c r="X944" s="85">
        <f>IF($K944="","",TEXT($K944,"yyyy-mm"))</f>
        <v/>
      </c>
      <c r="Y944" s="81">
        <f>IF(OR($A944="",$T944=""),"","Included in Manager_Report")</f>
        <v/>
      </c>
    </row>
    <row r="945" ht="15" customHeight="1" s="40">
      <c r="A945" s="65">
        <f>IF(COUNTA(B945:G945)=0,"","STP-"&amp;TEXT(ROW()-4,"0000"))</f>
        <v/>
      </c>
      <c r="B945" s="78" t="n"/>
      <c r="C945" s="67">
        <f>IF($B945="","",IFERROR(INDEX(Task_Tracker!$D$5:$D$1004,MATCH($B945,Task_Tracker!$A$5:$A$1004,0)),""))</f>
        <v/>
      </c>
      <c r="D945" s="67">
        <f>IF($B945="","",IFERROR(INDEX(Task_Tracker!$B$5:$B$1004,MATCH($B945,Task_Tracker!$A$5:$A$1004,0)),""))</f>
        <v/>
      </c>
      <c r="E945" s="81" t="n"/>
      <c r="F945" s="81" t="n"/>
      <c r="G945" s="78" t="n"/>
      <c r="H945" s="78" t="n"/>
      <c r="I945" s="67">
        <f>IF($H945="","",IFERROR(INDEX(Action_Status_Map!$B$5:$B$11,MATCH($H945,Action_Status_Map!$A$5:$A$11,0)),""))</f>
        <v/>
      </c>
      <c r="J945" s="82" t="n"/>
      <c r="K945" s="82" t="n"/>
      <c r="L945" s="82" t="n"/>
      <c r="M945" s="83" t="n"/>
      <c r="N945" s="83" t="n"/>
      <c r="O945" s="66">
        <f>IF(OR($M945="",$N945=""),"",$N945-$M945)</f>
        <v/>
      </c>
      <c r="P945" s="84">
        <f>IF($J945="","",IF($L945&lt;&gt;"",$L945-$J945,TODAY()-$J945))</f>
        <v/>
      </c>
      <c r="Q945" s="85">
        <f>IF(OR($K945="",$H945="Completed",$H945="Cancelled"),"",IF(AND($K945&lt;TODAY(),$H945&lt;&gt;"Completed",$H945&lt;&gt;"Cancelled"),"Overdue","On Track"))</f>
        <v/>
      </c>
      <c r="R945" s="81" t="n"/>
      <c r="S945" s="81">
        <f>IF($B945="","",IFERROR(INDEX(Task_Tracker!$AA$5:$AA$1004,MATCH($B945,Task_Tracker!$A$5:$A$1004,0)),""))</f>
        <v/>
      </c>
      <c r="T945" s="81">
        <f>IF($B945="","",IFERROR(INDEX(Task_Tracker!$AB$5:$AB$1004,MATCH($B945,Task_Tracker!$A$5:$A$1004,0)),""))</f>
        <v/>
      </c>
      <c r="U945" s="78">
        <f>IF($B945="","",IFERROR(INDEX(Task_Tracker!$F$5:$F$1004,MATCH($B945,Task_Tracker!$A$5:$A$1004,0)),""))</f>
        <v/>
      </c>
      <c r="V945" s="78">
        <f>IF($B945="","",IFERROR(INDEX(Task_Tracker!$I$5:$I$1004,MATCH($B945,Task_Tracker!$A$5:$A$1004,0)),""))</f>
        <v/>
      </c>
      <c r="W945" s="81">
        <f>IF(OR($D945="",$B945=""),"",$D945&amp;" | "&amp;$B945)</f>
        <v/>
      </c>
      <c r="X945" s="85">
        <f>IF($K945="","",TEXT($K945,"yyyy-mm"))</f>
        <v/>
      </c>
      <c r="Y945" s="81">
        <f>IF(OR($A945="",$T945=""),"","Included in Manager_Report")</f>
        <v/>
      </c>
    </row>
    <row r="946" ht="15" customHeight="1" s="40">
      <c r="A946" s="65">
        <f>IF(COUNTA(B946:G946)=0,"","STP-"&amp;TEXT(ROW()-4,"0000"))</f>
        <v/>
      </c>
      <c r="B946" s="78" t="n"/>
      <c r="C946" s="67">
        <f>IF($B946="","",IFERROR(INDEX(Task_Tracker!$D$5:$D$1004,MATCH($B946,Task_Tracker!$A$5:$A$1004,0)),""))</f>
        <v/>
      </c>
      <c r="D946" s="67">
        <f>IF($B946="","",IFERROR(INDEX(Task_Tracker!$B$5:$B$1004,MATCH($B946,Task_Tracker!$A$5:$A$1004,0)),""))</f>
        <v/>
      </c>
      <c r="E946" s="81" t="n"/>
      <c r="F946" s="81" t="n"/>
      <c r="G946" s="78" t="n"/>
      <c r="H946" s="78" t="n"/>
      <c r="I946" s="67">
        <f>IF($H946="","",IFERROR(INDEX(Action_Status_Map!$B$5:$B$11,MATCH($H946,Action_Status_Map!$A$5:$A$11,0)),""))</f>
        <v/>
      </c>
      <c r="J946" s="82" t="n"/>
      <c r="K946" s="82" t="n"/>
      <c r="L946" s="82" t="n"/>
      <c r="M946" s="83" t="n"/>
      <c r="N946" s="83" t="n"/>
      <c r="O946" s="66">
        <f>IF(OR($M946="",$N946=""),"",$N946-$M946)</f>
        <v/>
      </c>
      <c r="P946" s="84">
        <f>IF($J946="","",IF($L946&lt;&gt;"",$L946-$J946,TODAY()-$J946))</f>
        <v/>
      </c>
      <c r="Q946" s="85">
        <f>IF(OR($K946="",$H946="Completed",$H946="Cancelled"),"",IF(AND($K946&lt;TODAY(),$H946&lt;&gt;"Completed",$H946&lt;&gt;"Cancelled"),"Overdue","On Track"))</f>
        <v/>
      </c>
      <c r="R946" s="81" t="n"/>
      <c r="S946" s="81">
        <f>IF($B946="","",IFERROR(INDEX(Task_Tracker!$AA$5:$AA$1004,MATCH($B946,Task_Tracker!$A$5:$A$1004,0)),""))</f>
        <v/>
      </c>
      <c r="T946" s="81">
        <f>IF($B946="","",IFERROR(INDEX(Task_Tracker!$AB$5:$AB$1004,MATCH($B946,Task_Tracker!$A$5:$A$1004,0)),""))</f>
        <v/>
      </c>
      <c r="U946" s="78">
        <f>IF($B946="","",IFERROR(INDEX(Task_Tracker!$F$5:$F$1004,MATCH($B946,Task_Tracker!$A$5:$A$1004,0)),""))</f>
        <v/>
      </c>
      <c r="V946" s="78">
        <f>IF($B946="","",IFERROR(INDEX(Task_Tracker!$I$5:$I$1004,MATCH($B946,Task_Tracker!$A$5:$A$1004,0)),""))</f>
        <v/>
      </c>
      <c r="W946" s="81">
        <f>IF(OR($D946="",$B946=""),"",$D946&amp;" | "&amp;$B946)</f>
        <v/>
      </c>
      <c r="X946" s="85">
        <f>IF($K946="","",TEXT($K946,"yyyy-mm"))</f>
        <v/>
      </c>
      <c r="Y946" s="81">
        <f>IF(OR($A946="",$T946=""),"","Included in Manager_Report")</f>
        <v/>
      </c>
    </row>
    <row r="947" ht="15" customHeight="1" s="40">
      <c r="A947" s="65">
        <f>IF(COUNTA(B947:G947)=0,"","STP-"&amp;TEXT(ROW()-4,"0000"))</f>
        <v/>
      </c>
      <c r="B947" s="78" t="n"/>
      <c r="C947" s="67">
        <f>IF($B947="","",IFERROR(INDEX(Task_Tracker!$D$5:$D$1004,MATCH($B947,Task_Tracker!$A$5:$A$1004,0)),""))</f>
        <v/>
      </c>
      <c r="D947" s="67">
        <f>IF($B947="","",IFERROR(INDEX(Task_Tracker!$B$5:$B$1004,MATCH($B947,Task_Tracker!$A$5:$A$1004,0)),""))</f>
        <v/>
      </c>
      <c r="E947" s="81" t="n"/>
      <c r="F947" s="81" t="n"/>
      <c r="G947" s="78" t="n"/>
      <c r="H947" s="78" t="n"/>
      <c r="I947" s="67">
        <f>IF($H947="","",IFERROR(INDEX(Action_Status_Map!$B$5:$B$11,MATCH($H947,Action_Status_Map!$A$5:$A$11,0)),""))</f>
        <v/>
      </c>
      <c r="J947" s="82" t="n"/>
      <c r="K947" s="82" t="n"/>
      <c r="L947" s="82" t="n"/>
      <c r="M947" s="83" t="n"/>
      <c r="N947" s="83" t="n"/>
      <c r="O947" s="66">
        <f>IF(OR($M947="",$N947=""),"",$N947-$M947)</f>
        <v/>
      </c>
      <c r="P947" s="84">
        <f>IF($J947="","",IF($L947&lt;&gt;"",$L947-$J947,TODAY()-$J947))</f>
        <v/>
      </c>
      <c r="Q947" s="85">
        <f>IF(OR($K947="",$H947="Completed",$H947="Cancelled"),"",IF(AND($K947&lt;TODAY(),$H947&lt;&gt;"Completed",$H947&lt;&gt;"Cancelled"),"Overdue","On Track"))</f>
        <v/>
      </c>
      <c r="R947" s="81" t="n"/>
      <c r="S947" s="81">
        <f>IF($B947="","",IFERROR(INDEX(Task_Tracker!$AA$5:$AA$1004,MATCH($B947,Task_Tracker!$A$5:$A$1004,0)),""))</f>
        <v/>
      </c>
      <c r="T947" s="81">
        <f>IF($B947="","",IFERROR(INDEX(Task_Tracker!$AB$5:$AB$1004,MATCH($B947,Task_Tracker!$A$5:$A$1004,0)),""))</f>
        <v/>
      </c>
      <c r="U947" s="78">
        <f>IF($B947="","",IFERROR(INDEX(Task_Tracker!$F$5:$F$1004,MATCH($B947,Task_Tracker!$A$5:$A$1004,0)),""))</f>
        <v/>
      </c>
      <c r="V947" s="78">
        <f>IF($B947="","",IFERROR(INDEX(Task_Tracker!$I$5:$I$1004,MATCH($B947,Task_Tracker!$A$5:$A$1004,0)),""))</f>
        <v/>
      </c>
      <c r="W947" s="81">
        <f>IF(OR($D947="",$B947=""),"",$D947&amp;" | "&amp;$B947)</f>
        <v/>
      </c>
      <c r="X947" s="85">
        <f>IF($K947="","",TEXT($K947,"yyyy-mm"))</f>
        <v/>
      </c>
      <c r="Y947" s="81">
        <f>IF(OR($A947="",$T947=""),"","Included in Manager_Report")</f>
        <v/>
      </c>
    </row>
    <row r="948" ht="15" customHeight="1" s="40">
      <c r="A948" s="65">
        <f>IF(COUNTA(B948:G948)=0,"","STP-"&amp;TEXT(ROW()-4,"0000"))</f>
        <v/>
      </c>
      <c r="B948" s="78" t="n"/>
      <c r="C948" s="67">
        <f>IF($B948="","",IFERROR(INDEX(Task_Tracker!$D$5:$D$1004,MATCH($B948,Task_Tracker!$A$5:$A$1004,0)),""))</f>
        <v/>
      </c>
      <c r="D948" s="67">
        <f>IF($B948="","",IFERROR(INDEX(Task_Tracker!$B$5:$B$1004,MATCH($B948,Task_Tracker!$A$5:$A$1004,0)),""))</f>
        <v/>
      </c>
      <c r="E948" s="81" t="n"/>
      <c r="F948" s="81" t="n"/>
      <c r="G948" s="78" t="n"/>
      <c r="H948" s="78" t="n"/>
      <c r="I948" s="67">
        <f>IF($H948="","",IFERROR(INDEX(Action_Status_Map!$B$5:$B$11,MATCH($H948,Action_Status_Map!$A$5:$A$11,0)),""))</f>
        <v/>
      </c>
      <c r="J948" s="82" t="n"/>
      <c r="K948" s="82" t="n"/>
      <c r="L948" s="82" t="n"/>
      <c r="M948" s="83" t="n"/>
      <c r="N948" s="83" t="n"/>
      <c r="O948" s="66">
        <f>IF(OR($M948="",$N948=""),"",$N948-$M948)</f>
        <v/>
      </c>
      <c r="P948" s="84">
        <f>IF($J948="","",IF($L948&lt;&gt;"",$L948-$J948,TODAY()-$J948))</f>
        <v/>
      </c>
      <c r="Q948" s="85">
        <f>IF(OR($K948="",$H948="Completed",$H948="Cancelled"),"",IF(AND($K948&lt;TODAY(),$H948&lt;&gt;"Completed",$H948&lt;&gt;"Cancelled"),"Overdue","On Track"))</f>
        <v/>
      </c>
      <c r="R948" s="81" t="n"/>
      <c r="S948" s="81">
        <f>IF($B948="","",IFERROR(INDEX(Task_Tracker!$AA$5:$AA$1004,MATCH($B948,Task_Tracker!$A$5:$A$1004,0)),""))</f>
        <v/>
      </c>
      <c r="T948" s="81">
        <f>IF($B948="","",IFERROR(INDEX(Task_Tracker!$AB$5:$AB$1004,MATCH($B948,Task_Tracker!$A$5:$A$1004,0)),""))</f>
        <v/>
      </c>
      <c r="U948" s="78">
        <f>IF($B948="","",IFERROR(INDEX(Task_Tracker!$F$5:$F$1004,MATCH($B948,Task_Tracker!$A$5:$A$1004,0)),""))</f>
        <v/>
      </c>
      <c r="V948" s="78">
        <f>IF($B948="","",IFERROR(INDEX(Task_Tracker!$I$5:$I$1004,MATCH($B948,Task_Tracker!$A$5:$A$1004,0)),""))</f>
        <v/>
      </c>
      <c r="W948" s="81">
        <f>IF(OR($D948="",$B948=""),"",$D948&amp;" | "&amp;$B948)</f>
        <v/>
      </c>
      <c r="X948" s="85">
        <f>IF($K948="","",TEXT($K948,"yyyy-mm"))</f>
        <v/>
      </c>
      <c r="Y948" s="81">
        <f>IF(OR($A948="",$T948=""),"","Included in Manager_Report")</f>
        <v/>
      </c>
    </row>
    <row r="949" ht="15" customHeight="1" s="40">
      <c r="A949" s="65">
        <f>IF(COUNTA(B949:G949)=0,"","STP-"&amp;TEXT(ROW()-4,"0000"))</f>
        <v/>
      </c>
      <c r="B949" s="78" t="n"/>
      <c r="C949" s="67">
        <f>IF($B949="","",IFERROR(INDEX(Task_Tracker!$D$5:$D$1004,MATCH($B949,Task_Tracker!$A$5:$A$1004,0)),""))</f>
        <v/>
      </c>
      <c r="D949" s="67">
        <f>IF($B949="","",IFERROR(INDEX(Task_Tracker!$B$5:$B$1004,MATCH($B949,Task_Tracker!$A$5:$A$1004,0)),""))</f>
        <v/>
      </c>
      <c r="E949" s="81" t="n"/>
      <c r="F949" s="81" t="n"/>
      <c r="G949" s="78" t="n"/>
      <c r="H949" s="78" t="n"/>
      <c r="I949" s="67">
        <f>IF($H949="","",IFERROR(INDEX(Action_Status_Map!$B$5:$B$11,MATCH($H949,Action_Status_Map!$A$5:$A$11,0)),""))</f>
        <v/>
      </c>
      <c r="J949" s="82" t="n"/>
      <c r="K949" s="82" t="n"/>
      <c r="L949" s="82" t="n"/>
      <c r="M949" s="83" t="n"/>
      <c r="N949" s="83" t="n"/>
      <c r="O949" s="66">
        <f>IF(OR($M949="",$N949=""),"",$N949-$M949)</f>
        <v/>
      </c>
      <c r="P949" s="84">
        <f>IF($J949="","",IF($L949&lt;&gt;"",$L949-$J949,TODAY()-$J949))</f>
        <v/>
      </c>
      <c r="Q949" s="85">
        <f>IF(OR($K949="",$H949="Completed",$H949="Cancelled"),"",IF(AND($K949&lt;TODAY(),$H949&lt;&gt;"Completed",$H949&lt;&gt;"Cancelled"),"Overdue","On Track"))</f>
        <v/>
      </c>
      <c r="R949" s="81" t="n"/>
      <c r="S949" s="81">
        <f>IF($B949="","",IFERROR(INDEX(Task_Tracker!$AA$5:$AA$1004,MATCH($B949,Task_Tracker!$A$5:$A$1004,0)),""))</f>
        <v/>
      </c>
      <c r="T949" s="81">
        <f>IF($B949="","",IFERROR(INDEX(Task_Tracker!$AB$5:$AB$1004,MATCH($B949,Task_Tracker!$A$5:$A$1004,0)),""))</f>
        <v/>
      </c>
      <c r="U949" s="78">
        <f>IF($B949="","",IFERROR(INDEX(Task_Tracker!$F$5:$F$1004,MATCH($B949,Task_Tracker!$A$5:$A$1004,0)),""))</f>
        <v/>
      </c>
      <c r="V949" s="78">
        <f>IF($B949="","",IFERROR(INDEX(Task_Tracker!$I$5:$I$1004,MATCH($B949,Task_Tracker!$A$5:$A$1004,0)),""))</f>
        <v/>
      </c>
      <c r="W949" s="81">
        <f>IF(OR($D949="",$B949=""),"",$D949&amp;" | "&amp;$B949)</f>
        <v/>
      </c>
      <c r="X949" s="85">
        <f>IF($K949="","",TEXT($K949,"yyyy-mm"))</f>
        <v/>
      </c>
      <c r="Y949" s="81">
        <f>IF(OR($A949="",$T949=""),"","Included in Manager_Report")</f>
        <v/>
      </c>
    </row>
    <row r="950" ht="15" customHeight="1" s="40">
      <c r="A950" s="65">
        <f>IF(COUNTA(B950:G950)=0,"","STP-"&amp;TEXT(ROW()-4,"0000"))</f>
        <v/>
      </c>
      <c r="B950" s="78" t="n"/>
      <c r="C950" s="67">
        <f>IF($B950="","",IFERROR(INDEX(Task_Tracker!$D$5:$D$1004,MATCH($B950,Task_Tracker!$A$5:$A$1004,0)),""))</f>
        <v/>
      </c>
      <c r="D950" s="67">
        <f>IF($B950="","",IFERROR(INDEX(Task_Tracker!$B$5:$B$1004,MATCH($B950,Task_Tracker!$A$5:$A$1004,0)),""))</f>
        <v/>
      </c>
      <c r="E950" s="81" t="n"/>
      <c r="F950" s="81" t="n"/>
      <c r="G950" s="78" t="n"/>
      <c r="H950" s="78" t="n"/>
      <c r="I950" s="67">
        <f>IF($H950="","",IFERROR(INDEX(Action_Status_Map!$B$5:$B$11,MATCH($H950,Action_Status_Map!$A$5:$A$11,0)),""))</f>
        <v/>
      </c>
      <c r="J950" s="82" t="n"/>
      <c r="K950" s="82" t="n"/>
      <c r="L950" s="82" t="n"/>
      <c r="M950" s="83" t="n"/>
      <c r="N950" s="83" t="n"/>
      <c r="O950" s="66">
        <f>IF(OR($M950="",$N950=""),"",$N950-$M950)</f>
        <v/>
      </c>
      <c r="P950" s="84">
        <f>IF($J950="","",IF($L950&lt;&gt;"",$L950-$J950,TODAY()-$J950))</f>
        <v/>
      </c>
      <c r="Q950" s="85">
        <f>IF(OR($K950="",$H950="Completed",$H950="Cancelled"),"",IF(AND($K950&lt;TODAY(),$H950&lt;&gt;"Completed",$H950&lt;&gt;"Cancelled"),"Overdue","On Track"))</f>
        <v/>
      </c>
      <c r="R950" s="81" t="n"/>
      <c r="S950" s="81">
        <f>IF($B950="","",IFERROR(INDEX(Task_Tracker!$AA$5:$AA$1004,MATCH($B950,Task_Tracker!$A$5:$A$1004,0)),""))</f>
        <v/>
      </c>
      <c r="T950" s="81">
        <f>IF($B950="","",IFERROR(INDEX(Task_Tracker!$AB$5:$AB$1004,MATCH($B950,Task_Tracker!$A$5:$A$1004,0)),""))</f>
        <v/>
      </c>
      <c r="U950" s="78">
        <f>IF($B950="","",IFERROR(INDEX(Task_Tracker!$F$5:$F$1004,MATCH($B950,Task_Tracker!$A$5:$A$1004,0)),""))</f>
        <v/>
      </c>
      <c r="V950" s="78">
        <f>IF($B950="","",IFERROR(INDEX(Task_Tracker!$I$5:$I$1004,MATCH($B950,Task_Tracker!$A$5:$A$1004,0)),""))</f>
        <v/>
      </c>
      <c r="W950" s="81">
        <f>IF(OR($D950="",$B950=""),"",$D950&amp;" | "&amp;$B950)</f>
        <v/>
      </c>
      <c r="X950" s="85">
        <f>IF($K950="","",TEXT($K950,"yyyy-mm"))</f>
        <v/>
      </c>
      <c r="Y950" s="81">
        <f>IF(OR($A950="",$T950=""),"","Included in Manager_Report")</f>
        <v/>
      </c>
    </row>
    <row r="951" ht="15" customHeight="1" s="40">
      <c r="A951" s="65">
        <f>IF(COUNTA(B951:G951)=0,"","STP-"&amp;TEXT(ROW()-4,"0000"))</f>
        <v/>
      </c>
      <c r="B951" s="78" t="n"/>
      <c r="C951" s="67">
        <f>IF($B951="","",IFERROR(INDEX(Task_Tracker!$D$5:$D$1004,MATCH($B951,Task_Tracker!$A$5:$A$1004,0)),""))</f>
        <v/>
      </c>
      <c r="D951" s="67">
        <f>IF($B951="","",IFERROR(INDEX(Task_Tracker!$B$5:$B$1004,MATCH($B951,Task_Tracker!$A$5:$A$1004,0)),""))</f>
        <v/>
      </c>
      <c r="E951" s="81" t="n"/>
      <c r="F951" s="81" t="n"/>
      <c r="G951" s="78" t="n"/>
      <c r="H951" s="78" t="n"/>
      <c r="I951" s="67">
        <f>IF($H951="","",IFERROR(INDEX(Action_Status_Map!$B$5:$B$11,MATCH($H951,Action_Status_Map!$A$5:$A$11,0)),""))</f>
        <v/>
      </c>
      <c r="J951" s="82" t="n"/>
      <c r="K951" s="82" t="n"/>
      <c r="L951" s="82" t="n"/>
      <c r="M951" s="83" t="n"/>
      <c r="N951" s="83" t="n"/>
      <c r="O951" s="66">
        <f>IF(OR($M951="",$N951=""),"",$N951-$M951)</f>
        <v/>
      </c>
      <c r="P951" s="84">
        <f>IF($J951="","",IF($L951&lt;&gt;"",$L951-$J951,TODAY()-$J951))</f>
        <v/>
      </c>
      <c r="Q951" s="85">
        <f>IF(OR($K951="",$H951="Completed",$H951="Cancelled"),"",IF(AND($K951&lt;TODAY(),$H951&lt;&gt;"Completed",$H951&lt;&gt;"Cancelled"),"Overdue","On Track"))</f>
        <v/>
      </c>
      <c r="R951" s="81" t="n"/>
      <c r="S951" s="81">
        <f>IF($B951="","",IFERROR(INDEX(Task_Tracker!$AA$5:$AA$1004,MATCH($B951,Task_Tracker!$A$5:$A$1004,0)),""))</f>
        <v/>
      </c>
      <c r="T951" s="81">
        <f>IF($B951="","",IFERROR(INDEX(Task_Tracker!$AB$5:$AB$1004,MATCH($B951,Task_Tracker!$A$5:$A$1004,0)),""))</f>
        <v/>
      </c>
      <c r="U951" s="78">
        <f>IF($B951="","",IFERROR(INDEX(Task_Tracker!$F$5:$F$1004,MATCH($B951,Task_Tracker!$A$5:$A$1004,0)),""))</f>
        <v/>
      </c>
      <c r="V951" s="78">
        <f>IF($B951="","",IFERROR(INDEX(Task_Tracker!$I$5:$I$1004,MATCH($B951,Task_Tracker!$A$5:$A$1004,0)),""))</f>
        <v/>
      </c>
      <c r="W951" s="81">
        <f>IF(OR($D951="",$B951=""),"",$D951&amp;" | "&amp;$B951)</f>
        <v/>
      </c>
      <c r="X951" s="85">
        <f>IF($K951="","",TEXT($K951,"yyyy-mm"))</f>
        <v/>
      </c>
      <c r="Y951" s="81">
        <f>IF(OR($A951="",$T951=""),"","Included in Manager_Report")</f>
        <v/>
      </c>
    </row>
    <row r="952" ht="15" customHeight="1" s="40">
      <c r="A952" s="65">
        <f>IF(COUNTA(B952:G952)=0,"","STP-"&amp;TEXT(ROW()-4,"0000"))</f>
        <v/>
      </c>
      <c r="B952" s="78" t="n"/>
      <c r="C952" s="67">
        <f>IF($B952="","",IFERROR(INDEX(Task_Tracker!$D$5:$D$1004,MATCH($B952,Task_Tracker!$A$5:$A$1004,0)),""))</f>
        <v/>
      </c>
      <c r="D952" s="67">
        <f>IF($B952="","",IFERROR(INDEX(Task_Tracker!$B$5:$B$1004,MATCH($B952,Task_Tracker!$A$5:$A$1004,0)),""))</f>
        <v/>
      </c>
      <c r="E952" s="81" t="n"/>
      <c r="F952" s="81" t="n"/>
      <c r="G952" s="78" t="n"/>
      <c r="H952" s="78" t="n"/>
      <c r="I952" s="67">
        <f>IF($H952="","",IFERROR(INDEX(Action_Status_Map!$B$5:$B$11,MATCH($H952,Action_Status_Map!$A$5:$A$11,0)),""))</f>
        <v/>
      </c>
      <c r="J952" s="82" t="n"/>
      <c r="K952" s="82" t="n"/>
      <c r="L952" s="82" t="n"/>
      <c r="M952" s="83" t="n"/>
      <c r="N952" s="83" t="n"/>
      <c r="O952" s="66">
        <f>IF(OR($M952="",$N952=""),"",$N952-$M952)</f>
        <v/>
      </c>
      <c r="P952" s="84">
        <f>IF($J952="","",IF($L952&lt;&gt;"",$L952-$J952,TODAY()-$J952))</f>
        <v/>
      </c>
      <c r="Q952" s="85">
        <f>IF(OR($K952="",$H952="Completed",$H952="Cancelled"),"",IF(AND($K952&lt;TODAY(),$H952&lt;&gt;"Completed",$H952&lt;&gt;"Cancelled"),"Overdue","On Track"))</f>
        <v/>
      </c>
      <c r="R952" s="81" t="n"/>
      <c r="S952" s="81">
        <f>IF($B952="","",IFERROR(INDEX(Task_Tracker!$AA$5:$AA$1004,MATCH($B952,Task_Tracker!$A$5:$A$1004,0)),""))</f>
        <v/>
      </c>
      <c r="T952" s="81">
        <f>IF($B952="","",IFERROR(INDEX(Task_Tracker!$AB$5:$AB$1004,MATCH($B952,Task_Tracker!$A$5:$A$1004,0)),""))</f>
        <v/>
      </c>
      <c r="U952" s="78">
        <f>IF($B952="","",IFERROR(INDEX(Task_Tracker!$F$5:$F$1004,MATCH($B952,Task_Tracker!$A$5:$A$1004,0)),""))</f>
        <v/>
      </c>
      <c r="V952" s="78">
        <f>IF($B952="","",IFERROR(INDEX(Task_Tracker!$I$5:$I$1004,MATCH($B952,Task_Tracker!$A$5:$A$1004,0)),""))</f>
        <v/>
      </c>
      <c r="W952" s="81">
        <f>IF(OR($D952="",$B952=""),"",$D952&amp;" | "&amp;$B952)</f>
        <v/>
      </c>
      <c r="X952" s="85">
        <f>IF($K952="","",TEXT($K952,"yyyy-mm"))</f>
        <v/>
      </c>
      <c r="Y952" s="81">
        <f>IF(OR($A952="",$T952=""),"","Included in Manager_Report")</f>
        <v/>
      </c>
    </row>
    <row r="953" ht="15" customHeight="1" s="40">
      <c r="A953" s="65">
        <f>IF(COUNTA(B953:G953)=0,"","STP-"&amp;TEXT(ROW()-4,"0000"))</f>
        <v/>
      </c>
      <c r="B953" s="78" t="n"/>
      <c r="C953" s="67">
        <f>IF($B953="","",IFERROR(INDEX(Task_Tracker!$D$5:$D$1004,MATCH($B953,Task_Tracker!$A$5:$A$1004,0)),""))</f>
        <v/>
      </c>
      <c r="D953" s="67">
        <f>IF($B953="","",IFERROR(INDEX(Task_Tracker!$B$5:$B$1004,MATCH($B953,Task_Tracker!$A$5:$A$1004,0)),""))</f>
        <v/>
      </c>
      <c r="E953" s="81" t="n"/>
      <c r="F953" s="81" t="n"/>
      <c r="G953" s="78" t="n"/>
      <c r="H953" s="78" t="n"/>
      <c r="I953" s="67">
        <f>IF($H953="","",IFERROR(INDEX(Action_Status_Map!$B$5:$B$11,MATCH($H953,Action_Status_Map!$A$5:$A$11,0)),""))</f>
        <v/>
      </c>
      <c r="J953" s="82" t="n"/>
      <c r="K953" s="82" t="n"/>
      <c r="L953" s="82" t="n"/>
      <c r="M953" s="83" t="n"/>
      <c r="N953" s="83" t="n"/>
      <c r="O953" s="66">
        <f>IF(OR($M953="",$N953=""),"",$N953-$M953)</f>
        <v/>
      </c>
      <c r="P953" s="84">
        <f>IF($J953="","",IF($L953&lt;&gt;"",$L953-$J953,TODAY()-$J953))</f>
        <v/>
      </c>
      <c r="Q953" s="85">
        <f>IF(OR($K953="",$H953="Completed",$H953="Cancelled"),"",IF(AND($K953&lt;TODAY(),$H953&lt;&gt;"Completed",$H953&lt;&gt;"Cancelled"),"Overdue","On Track"))</f>
        <v/>
      </c>
      <c r="R953" s="81" t="n"/>
      <c r="S953" s="81">
        <f>IF($B953="","",IFERROR(INDEX(Task_Tracker!$AA$5:$AA$1004,MATCH($B953,Task_Tracker!$A$5:$A$1004,0)),""))</f>
        <v/>
      </c>
      <c r="T953" s="81">
        <f>IF($B953="","",IFERROR(INDEX(Task_Tracker!$AB$5:$AB$1004,MATCH($B953,Task_Tracker!$A$5:$A$1004,0)),""))</f>
        <v/>
      </c>
      <c r="U953" s="78">
        <f>IF($B953="","",IFERROR(INDEX(Task_Tracker!$F$5:$F$1004,MATCH($B953,Task_Tracker!$A$5:$A$1004,0)),""))</f>
        <v/>
      </c>
      <c r="V953" s="78">
        <f>IF($B953="","",IFERROR(INDEX(Task_Tracker!$I$5:$I$1004,MATCH($B953,Task_Tracker!$A$5:$A$1004,0)),""))</f>
        <v/>
      </c>
      <c r="W953" s="81">
        <f>IF(OR($D953="",$B953=""),"",$D953&amp;" | "&amp;$B953)</f>
        <v/>
      </c>
      <c r="X953" s="85">
        <f>IF($K953="","",TEXT($K953,"yyyy-mm"))</f>
        <v/>
      </c>
      <c r="Y953" s="81">
        <f>IF(OR($A953="",$T953=""),"","Included in Manager_Report")</f>
        <v/>
      </c>
    </row>
    <row r="954" ht="15" customHeight="1" s="40">
      <c r="A954" s="65">
        <f>IF(COUNTA(B954:G954)=0,"","STP-"&amp;TEXT(ROW()-4,"0000"))</f>
        <v/>
      </c>
      <c r="B954" s="78" t="n"/>
      <c r="C954" s="67">
        <f>IF($B954="","",IFERROR(INDEX(Task_Tracker!$D$5:$D$1004,MATCH($B954,Task_Tracker!$A$5:$A$1004,0)),""))</f>
        <v/>
      </c>
      <c r="D954" s="67">
        <f>IF($B954="","",IFERROR(INDEX(Task_Tracker!$B$5:$B$1004,MATCH($B954,Task_Tracker!$A$5:$A$1004,0)),""))</f>
        <v/>
      </c>
      <c r="E954" s="81" t="n"/>
      <c r="F954" s="81" t="n"/>
      <c r="G954" s="78" t="n"/>
      <c r="H954" s="78" t="n"/>
      <c r="I954" s="67">
        <f>IF($H954="","",IFERROR(INDEX(Action_Status_Map!$B$5:$B$11,MATCH($H954,Action_Status_Map!$A$5:$A$11,0)),""))</f>
        <v/>
      </c>
      <c r="J954" s="82" t="n"/>
      <c r="K954" s="82" t="n"/>
      <c r="L954" s="82" t="n"/>
      <c r="M954" s="83" t="n"/>
      <c r="N954" s="83" t="n"/>
      <c r="O954" s="66">
        <f>IF(OR($M954="",$N954=""),"",$N954-$M954)</f>
        <v/>
      </c>
      <c r="P954" s="84">
        <f>IF($J954="","",IF($L954&lt;&gt;"",$L954-$J954,TODAY()-$J954))</f>
        <v/>
      </c>
      <c r="Q954" s="85">
        <f>IF(OR($K954="",$H954="Completed",$H954="Cancelled"),"",IF(AND($K954&lt;TODAY(),$H954&lt;&gt;"Completed",$H954&lt;&gt;"Cancelled"),"Overdue","On Track"))</f>
        <v/>
      </c>
      <c r="R954" s="81" t="n"/>
      <c r="S954" s="81">
        <f>IF($B954="","",IFERROR(INDEX(Task_Tracker!$AA$5:$AA$1004,MATCH($B954,Task_Tracker!$A$5:$A$1004,0)),""))</f>
        <v/>
      </c>
      <c r="T954" s="81">
        <f>IF($B954="","",IFERROR(INDEX(Task_Tracker!$AB$5:$AB$1004,MATCH($B954,Task_Tracker!$A$5:$A$1004,0)),""))</f>
        <v/>
      </c>
      <c r="U954" s="78">
        <f>IF($B954="","",IFERROR(INDEX(Task_Tracker!$F$5:$F$1004,MATCH($B954,Task_Tracker!$A$5:$A$1004,0)),""))</f>
        <v/>
      </c>
      <c r="V954" s="78">
        <f>IF($B954="","",IFERROR(INDEX(Task_Tracker!$I$5:$I$1004,MATCH($B954,Task_Tracker!$A$5:$A$1004,0)),""))</f>
        <v/>
      </c>
      <c r="W954" s="81">
        <f>IF(OR($D954="",$B954=""),"",$D954&amp;" | "&amp;$B954)</f>
        <v/>
      </c>
      <c r="X954" s="85">
        <f>IF($K954="","",TEXT($K954,"yyyy-mm"))</f>
        <v/>
      </c>
      <c r="Y954" s="81">
        <f>IF(OR($A954="",$T954=""),"","Included in Manager_Report")</f>
        <v/>
      </c>
    </row>
    <row r="955" ht="15" customHeight="1" s="40">
      <c r="A955" s="65">
        <f>IF(COUNTA(B955:G955)=0,"","STP-"&amp;TEXT(ROW()-4,"0000"))</f>
        <v/>
      </c>
      <c r="B955" s="78" t="n"/>
      <c r="C955" s="67">
        <f>IF($B955="","",IFERROR(INDEX(Task_Tracker!$D$5:$D$1004,MATCH($B955,Task_Tracker!$A$5:$A$1004,0)),""))</f>
        <v/>
      </c>
      <c r="D955" s="67">
        <f>IF($B955="","",IFERROR(INDEX(Task_Tracker!$B$5:$B$1004,MATCH($B955,Task_Tracker!$A$5:$A$1004,0)),""))</f>
        <v/>
      </c>
      <c r="E955" s="81" t="n"/>
      <c r="F955" s="81" t="n"/>
      <c r="G955" s="78" t="n"/>
      <c r="H955" s="78" t="n"/>
      <c r="I955" s="67">
        <f>IF($H955="","",IFERROR(INDEX(Action_Status_Map!$B$5:$B$11,MATCH($H955,Action_Status_Map!$A$5:$A$11,0)),""))</f>
        <v/>
      </c>
      <c r="J955" s="82" t="n"/>
      <c r="K955" s="82" t="n"/>
      <c r="L955" s="82" t="n"/>
      <c r="M955" s="83" t="n"/>
      <c r="N955" s="83" t="n"/>
      <c r="O955" s="66">
        <f>IF(OR($M955="",$N955=""),"",$N955-$M955)</f>
        <v/>
      </c>
      <c r="P955" s="84">
        <f>IF($J955="","",IF($L955&lt;&gt;"",$L955-$J955,TODAY()-$J955))</f>
        <v/>
      </c>
      <c r="Q955" s="85">
        <f>IF(OR($K955="",$H955="Completed",$H955="Cancelled"),"",IF(AND($K955&lt;TODAY(),$H955&lt;&gt;"Completed",$H955&lt;&gt;"Cancelled"),"Overdue","On Track"))</f>
        <v/>
      </c>
      <c r="R955" s="81" t="n"/>
      <c r="S955" s="81">
        <f>IF($B955="","",IFERROR(INDEX(Task_Tracker!$AA$5:$AA$1004,MATCH($B955,Task_Tracker!$A$5:$A$1004,0)),""))</f>
        <v/>
      </c>
      <c r="T955" s="81">
        <f>IF($B955="","",IFERROR(INDEX(Task_Tracker!$AB$5:$AB$1004,MATCH($B955,Task_Tracker!$A$5:$A$1004,0)),""))</f>
        <v/>
      </c>
      <c r="U955" s="78">
        <f>IF($B955="","",IFERROR(INDEX(Task_Tracker!$F$5:$F$1004,MATCH($B955,Task_Tracker!$A$5:$A$1004,0)),""))</f>
        <v/>
      </c>
      <c r="V955" s="78">
        <f>IF($B955="","",IFERROR(INDEX(Task_Tracker!$I$5:$I$1004,MATCH($B955,Task_Tracker!$A$5:$A$1004,0)),""))</f>
        <v/>
      </c>
      <c r="W955" s="81">
        <f>IF(OR($D955="",$B955=""),"",$D955&amp;" | "&amp;$B955)</f>
        <v/>
      </c>
      <c r="X955" s="85">
        <f>IF($K955="","",TEXT($K955,"yyyy-mm"))</f>
        <v/>
      </c>
      <c r="Y955" s="81">
        <f>IF(OR($A955="",$T955=""),"","Included in Manager_Report")</f>
        <v/>
      </c>
    </row>
    <row r="956" ht="15" customHeight="1" s="40">
      <c r="A956" s="65">
        <f>IF(COUNTA(B956:G956)=0,"","STP-"&amp;TEXT(ROW()-4,"0000"))</f>
        <v/>
      </c>
      <c r="B956" s="78" t="n"/>
      <c r="C956" s="67">
        <f>IF($B956="","",IFERROR(INDEX(Task_Tracker!$D$5:$D$1004,MATCH($B956,Task_Tracker!$A$5:$A$1004,0)),""))</f>
        <v/>
      </c>
      <c r="D956" s="67">
        <f>IF($B956="","",IFERROR(INDEX(Task_Tracker!$B$5:$B$1004,MATCH($B956,Task_Tracker!$A$5:$A$1004,0)),""))</f>
        <v/>
      </c>
      <c r="E956" s="81" t="n"/>
      <c r="F956" s="81" t="n"/>
      <c r="G956" s="78" t="n"/>
      <c r="H956" s="78" t="n"/>
      <c r="I956" s="67">
        <f>IF($H956="","",IFERROR(INDEX(Action_Status_Map!$B$5:$B$11,MATCH($H956,Action_Status_Map!$A$5:$A$11,0)),""))</f>
        <v/>
      </c>
      <c r="J956" s="82" t="n"/>
      <c r="K956" s="82" t="n"/>
      <c r="L956" s="82" t="n"/>
      <c r="M956" s="83" t="n"/>
      <c r="N956" s="83" t="n"/>
      <c r="O956" s="66">
        <f>IF(OR($M956="",$N956=""),"",$N956-$M956)</f>
        <v/>
      </c>
      <c r="P956" s="84">
        <f>IF($J956="","",IF($L956&lt;&gt;"",$L956-$J956,TODAY()-$J956))</f>
        <v/>
      </c>
      <c r="Q956" s="85">
        <f>IF(OR($K956="",$H956="Completed",$H956="Cancelled"),"",IF(AND($K956&lt;TODAY(),$H956&lt;&gt;"Completed",$H956&lt;&gt;"Cancelled"),"Overdue","On Track"))</f>
        <v/>
      </c>
      <c r="R956" s="81" t="n"/>
      <c r="S956" s="81">
        <f>IF($B956="","",IFERROR(INDEX(Task_Tracker!$AA$5:$AA$1004,MATCH($B956,Task_Tracker!$A$5:$A$1004,0)),""))</f>
        <v/>
      </c>
      <c r="T956" s="81">
        <f>IF($B956="","",IFERROR(INDEX(Task_Tracker!$AB$5:$AB$1004,MATCH($B956,Task_Tracker!$A$5:$A$1004,0)),""))</f>
        <v/>
      </c>
      <c r="U956" s="78">
        <f>IF($B956="","",IFERROR(INDEX(Task_Tracker!$F$5:$F$1004,MATCH($B956,Task_Tracker!$A$5:$A$1004,0)),""))</f>
        <v/>
      </c>
      <c r="V956" s="78">
        <f>IF($B956="","",IFERROR(INDEX(Task_Tracker!$I$5:$I$1004,MATCH($B956,Task_Tracker!$A$5:$A$1004,0)),""))</f>
        <v/>
      </c>
      <c r="W956" s="81">
        <f>IF(OR($D956="",$B956=""),"",$D956&amp;" | "&amp;$B956)</f>
        <v/>
      </c>
      <c r="X956" s="85">
        <f>IF($K956="","",TEXT($K956,"yyyy-mm"))</f>
        <v/>
      </c>
      <c r="Y956" s="81">
        <f>IF(OR($A956="",$T956=""),"","Included in Manager_Report")</f>
        <v/>
      </c>
    </row>
    <row r="957" ht="15" customHeight="1" s="40">
      <c r="A957" s="65">
        <f>IF(COUNTA(B957:G957)=0,"","STP-"&amp;TEXT(ROW()-4,"0000"))</f>
        <v/>
      </c>
      <c r="B957" s="78" t="n"/>
      <c r="C957" s="67">
        <f>IF($B957="","",IFERROR(INDEX(Task_Tracker!$D$5:$D$1004,MATCH($B957,Task_Tracker!$A$5:$A$1004,0)),""))</f>
        <v/>
      </c>
      <c r="D957" s="67">
        <f>IF($B957="","",IFERROR(INDEX(Task_Tracker!$B$5:$B$1004,MATCH($B957,Task_Tracker!$A$5:$A$1004,0)),""))</f>
        <v/>
      </c>
      <c r="E957" s="81" t="n"/>
      <c r="F957" s="81" t="n"/>
      <c r="G957" s="78" t="n"/>
      <c r="H957" s="78" t="n"/>
      <c r="I957" s="67">
        <f>IF($H957="","",IFERROR(INDEX(Action_Status_Map!$B$5:$B$11,MATCH($H957,Action_Status_Map!$A$5:$A$11,0)),""))</f>
        <v/>
      </c>
      <c r="J957" s="82" t="n"/>
      <c r="K957" s="82" t="n"/>
      <c r="L957" s="82" t="n"/>
      <c r="M957" s="83" t="n"/>
      <c r="N957" s="83" t="n"/>
      <c r="O957" s="66">
        <f>IF(OR($M957="",$N957=""),"",$N957-$M957)</f>
        <v/>
      </c>
      <c r="P957" s="84">
        <f>IF($J957="","",IF($L957&lt;&gt;"",$L957-$J957,TODAY()-$J957))</f>
        <v/>
      </c>
      <c r="Q957" s="85">
        <f>IF(OR($K957="",$H957="Completed",$H957="Cancelled"),"",IF(AND($K957&lt;TODAY(),$H957&lt;&gt;"Completed",$H957&lt;&gt;"Cancelled"),"Overdue","On Track"))</f>
        <v/>
      </c>
      <c r="R957" s="81" t="n"/>
      <c r="S957" s="81">
        <f>IF($B957="","",IFERROR(INDEX(Task_Tracker!$AA$5:$AA$1004,MATCH($B957,Task_Tracker!$A$5:$A$1004,0)),""))</f>
        <v/>
      </c>
      <c r="T957" s="81">
        <f>IF($B957="","",IFERROR(INDEX(Task_Tracker!$AB$5:$AB$1004,MATCH($B957,Task_Tracker!$A$5:$A$1004,0)),""))</f>
        <v/>
      </c>
      <c r="U957" s="78">
        <f>IF($B957="","",IFERROR(INDEX(Task_Tracker!$F$5:$F$1004,MATCH($B957,Task_Tracker!$A$5:$A$1004,0)),""))</f>
        <v/>
      </c>
      <c r="V957" s="78">
        <f>IF($B957="","",IFERROR(INDEX(Task_Tracker!$I$5:$I$1004,MATCH($B957,Task_Tracker!$A$5:$A$1004,0)),""))</f>
        <v/>
      </c>
      <c r="W957" s="81">
        <f>IF(OR($D957="",$B957=""),"",$D957&amp;" | "&amp;$B957)</f>
        <v/>
      </c>
      <c r="X957" s="85">
        <f>IF($K957="","",TEXT($K957,"yyyy-mm"))</f>
        <v/>
      </c>
      <c r="Y957" s="81">
        <f>IF(OR($A957="",$T957=""),"","Included in Manager_Report")</f>
        <v/>
      </c>
    </row>
    <row r="958" ht="15" customHeight="1" s="40">
      <c r="A958" s="65">
        <f>IF(COUNTA(B958:G958)=0,"","STP-"&amp;TEXT(ROW()-4,"0000"))</f>
        <v/>
      </c>
      <c r="B958" s="78" t="n"/>
      <c r="C958" s="67">
        <f>IF($B958="","",IFERROR(INDEX(Task_Tracker!$D$5:$D$1004,MATCH($B958,Task_Tracker!$A$5:$A$1004,0)),""))</f>
        <v/>
      </c>
      <c r="D958" s="67">
        <f>IF($B958="","",IFERROR(INDEX(Task_Tracker!$B$5:$B$1004,MATCH($B958,Task_Tracker!$A$5:$A$1004,0)),""))</f>
        <v/>
      </c>
      <c r="E958" s="81" t="n"/>
      <c r="F958" s="81" t="n"/>
      <c r="G958" s="78" t="n"/>
      <c r="H958" s="78" t="n"/>
      <c r="I958" s="67">
        <f>IF($H958="","",IFERROR(INDEX(Action_Status_Map!$B$5:$B$11,MATCH($H958,Action_Status_Map!$A$5:$A$11,0)),""))</f>
        <v/>
      </c>
      <c r="J958" s="82" t="n"/>
      <c r="K958" s="82" t="n"/>
      <c r="L958" s="82" t="n"/>
      <c r="M958" s="83" t="n"/>
      <c r="N958" s="83" t="n"/>
      <c r="O958" s="66">
        <f>IF(OR($M958="",$N958=""),"",$N958-$M958)</f>
        <v/>
      </c>
      <c r="P958" s="84">
        <f>IF($J958="","",IF($L958&lt;&gt;"",$L958-$J958,TODAY()-$J958))</f>
        <v/>
      </c>
      <c r="Q958" s="85">
        <f>IF(OR($K958="",$H958="Completed",$H958="Cancelled"),"",IF(AND($K958&lt;TODAY(),$H958&lt;&gt;"Completed",$H958&lt;&gt;"Cancelled"),"Overdue","On Track"))</f>
        <v/>
      </c>
      <c r="R958" s="81" t="n"/>
      <c r="S958" s="81">
        <f>IF($B958="","",IFERROR(INDEX(Task_Tracker!$AA$5:$AA$1004,MATCH($B958,Task_Tracker!$A$5:$A$1004,0)),""))</f>
        <v/>
      </c>
      <c r="T958" s="81">
        <f>IF($B958="","",IFERROR(INDEX(Task_Tracker!$AB$5:$AB$1004,MATCH($B958,Task_Tracker!$A$5:$A$1004,0)),""))</f>
        <v/>
      </c>
      <c r="U958" s="78">
        <f>IF($B958="","",IFERROR(INDEX(Task_Tracker!$F$5:$F$1004,MATCH($B958,Task_Tracker!$A$5:$A$1004,0)),""))</f>
        <v/>
      </c>
      <c r="V958" s="78">
        <f>IF($B958="","",IFERROR(INDEX(Task_Tracker!$I$5:$I$1004,MATCH($B958,Task_Tracker!$A$5:$A$1004,0)),""))</f>
        <v/>
      </c>
      <c r="W958" s="81">
        <f>IF(OR($D958="",$B958=""),"",$D958&amp;" | "&amp;$B958)</f>
        <v/>
      </c>
      <c r="X958" s="85">
        <f>IF($K958="","",TEXT($K958,"yyyy-mm"))</f>
        <v/>
      </c>
      <c r="Y958" s="81">
        <f>IF(OR($A958="",$T958=""),"","Included in Manager_Report")</f>
        <v/>
      </c>
    </row>
    <row r="959" ht="15" customHeight="1" s="40">
      <c r="A959" s="65">
        <f>IF(COUNTA(B959:G959)=0,"","STP-"&amp;TEXT(ROW()-4,"0000"))</f>
        <v/>
      </c>
      <c r="B959" s="78" t="n"/>
      <c r="C959" s="67">
        <f>IF($B959="","",IFERROR(INDEX(Task_Tracker!$D$5:$D$1004,MATCH($B959,Task_Tracker!$A$5:$A$1004,0)),""))</f>
        <v/>
      </c>
      <c r="D959" s="67">
        <f>IF($B959="","",IFERROR(INDEX(Task_Tracker!$B$5:$B$1004,MATCH($B959,Task_Tracker!$A$5:$A$1004,0)),""))</f>
        <v/>
      </c>
      <c r="E959" s="81" t="n"/>
      <c r="F959" s="81" t="n"/>
      <c r="G959" s="78" t="n"/>
      <c r="H959" s="78" t="n"/>
      <c r="I959" s="67">
        <f>IF($H959="","",IFERROR(INDEX(Action_Status_Map!$B$5:$B$11,MATCH($H959,Action_Status_Map!$A$5:$A$11,0)),""))</f>
        <v/>
      </c>
      <c r="J959" s="82" t="n"/>
      <c r="K959" s="82" t="n"/>
      <c r="L959" s="82" t="n"/>
      <c r="M959" s="83" t="n"/>
      <c r="N959" s="83" t="n"/>
      <c r="O959" s="66">
        <f>IF(OR($M959="",$N959=""),"",$N959-$M959)</f>
        <v/>
      </c>
      <c r="P959" s="84">
        <f>IF($J959="","",IF($L959&lt;&gt;"",$L959-$J959,TODAY()-$J959))</f>
        <v/>
      </c>
      <c r="Q959" s="85">
        <f>IF(OR($K959="",$H959="Completed",$H959="Cancelled"),"",IF(AND($K959&lt;TODAY(),$H959&lt;&gt;"Completed",$H959&lt;&gt;"Cancelled"),"Overdue","On Track"))</f>
        <v/>
      </c>
      <c r="R959" s="81" t="n"/>
      <c r="S959" s="81">
        <f>IF($B959="","",IFERROR(INDEX(Task_Tracker!$AA$5:$AA$1004,MATCH($B959,Task_Tracker!$A$5:$A$1004,0)),""))</f>
        <v/>
      </c>
      <c r="T959" s="81">
        <f>IF($B959="","",IFERROR(INDEX(Task_Tracker!$AB$5:$AB$1004,MATCH($B959,Task_Tracker!$A$5:$A$1004,0)),""))</f>
        <v/>
      </c>
      <c r="U959" s="78">
        <f>IF($B959="","",IFERROR(INDEX(Task_Tracker!$F$5:$F$1004,MATCH($B959,Task_Tracker!$A$5:$A$1004,0)),""))</f>
        <v/>
      </c>
      <c r="V959" s="78">
        <f>IF($B959="","",IFERROR(INDEX(Task_Tracker!$I$5:$I$1004,MATCH($B959,Task_Tracker!$A$5:$A$1004,0)),""))</f>
        <v/>
      </c>
      <c r="W959" s="81">
        <f>IF(OR($D959="",$B959=""),"",$D959&amp;" | "&amp;$B959)</f>
        <v/>
      </c>
      <c r="X959" s="85">
        <f>IF($K959="","",TEXT($K959,"yyyy-mm"))</f>
        <v/>
      </c>
      <c r="Y959" s="81">
        <f>IF(OR($A959="",$T959=""),"","Included in Manager_Report")</f>
        <v/>
      </c>
    </row>
    <row r="960" ht="15" customHeight="1" s="40">
      <c r="A960" s="65">
        <f>IF(COUNTA(B960:G960)=0,"","STP-"&amp;TEXT(ROW()-4,"0000"))</f>
        <v/>
      </c>
      <c r="B960" s="78" t="n"/>
      <c r="C960" s="67">
        <f>IF($B960="","",IFERROR(INDEX(Task_Tracker!$D$5:$D$1004,MATCH($B960,Task_Tracker!$A$5:$A$1004,0)),""))</f>
        <v/>
      </c>
      <c r="D960" s="67">
        <f>IF($B960="","",IFERROR(INDEX(Task_Tracker!$B$5:$B$1004,MATCH($B960,Task_Tracker!$A$5:$A$1004,0)),""))</f>
        <v/>
      </c>
      <c r="E960" s="81" t="n"/>
      <c r="F960" s="81" t="n"/>
      <c r="G960" s="78" t="n"/>
      <c r="H960" s="78" t="n"/>
      <c r="I960" s="67">
        <f>IF($H960="","",IFERROR(INDEX(Action_Status_Map!$B$5:$B$11,MATCH($H960,Action_Status_Map!$A$5:$A$11,0)),""))</f>
        <v/>
      </c>
      <c r="J960" s="82" t="n"/>
      <c r="K960" s="82" t="n"/>
      <c r="L960" s="82" t="n"/>
      <c r="M960" s="83" t="n"/>
      <c r="N960" s="83" t="n"/>
      <c r="O960" s="66">
        <f>IF(OR($M960="",$N960=""),"",$N960-$M960)</f>
        <v/>
      </c>
      <c r="P960" s="84">
        <f>IF($J960="","",IF($L960&lt;&gt;"",$L960-$J960,TODAY()-$J960))</f>
        <v/>
      </c>
      <c r="Q960" s="85">
        <f>IF(OR($K960="",$H960="Completed",$H960="Cancelled"),"",IF(AND($K960&lt;TODAY(),$H960&lt;&gt;"Completed",$H960&lt;&gt;"Cancelled"),"Overdue","On Track"))</f>
        <v/>
      </c>
      <c r="R960" s="81" t="n"/>
      <c r="S960" s="81">
        <f>IF($B960="","",IFERROR(INDEX(Task_Tracker!$AA$5:$AA$1004,MATCH($B960,Task_Tracker!$A$5:$A$1004,0)),""))</f>
        <v/>
      </c>
      <c r="T960" s="81">
        <f>IF($B960="","",IFERROR(INDEX(Task_Tracker!$AB$5:$AB$1004,MATCH($B960,Task_Tracker!$A$5:$A$1004,0)),""))</f>
        <v/>
      </c>
      <c r="U960" s="78">
        <f>IF($B960="","",IFERROR(INDEX(Task_Tracker!$F$5:$F$1004,MATCH($B960,Task_Tracker!$A$5:$A$1004,0)),""))</f>
        <v/>
      </c>
      <c r="V960" s="78">
        <f>IF($B960="","",IFERROR(INDEX(Task_Tracker!$I$5:$I$1004,MATCH($B960,Task_Tracker!$A$5:$A$1004,0)),""))</f>
        <v/>
      </c>
      <c r="W960" s="81">
        <f>IF(OR($D960="",$B960=""),"",$D960&amp;" | "&amp;$B960)</f>
        <v/>
      </c>
      <c r="X960" s="85">
        <f>IF($K960="","",TEXT($K960,"yyyy-mm"))</f>
        <v/>
      </c>
      <c r="Y960" s="81">
        <f>IF(OR($A960="",$T960=""),"","Included in Manager_Report")</f>
        <v/>
      </c>
    </row>
    <row r="961" ht="15" customHeight="1" s="40">
      <c r="A961" s="65">
        <f>IF(COUNTA(B961:G961)=0,"","STP-"&amp;TEXT(ROW()-4,"0000"))</f>
        <v/>
      </c>
      <c r="B961" s="78" t="n"/>
      <c r="C961" s="67">
        <f>IF($B961="","",IFERROR(INDEX(Task_Tracker!$D$5:$D$1004,MATCH($B961,Task_Tracker!$A$5:$A$1004,0)),""))</f>
        <v/>
      </c>
      <c r="D961" s="67">
        <f>IF($B961="","",IFERROR(INDEX(Task_Tracker!$B$5:$B$1004,MATCH($B961,Task_Tracker!$A$5:$A$1004,0)),""))</f>
        <v/>
      </c>
      <c r="E961" s="81" t="n"/>
      <c r="F961" s="81" t="n"/>
      <c r="G961" s="78" t="n"/>
      <c r="H961" s="78" t="n"/>
      <c r="I961" s="67">
        <f>IF($H961="","",IFERROR(INDEX(Action_Status_Map!$B$5:$B$11,MATCH($H961,Action_Status_Map!$A$5:$A$11,0)),""))</f>
        <v/>
      </c>
      <c r="J961" s="82" t="n"/>
      <c r="K961" s="82" t="n"/>
      <c r="L961" s="82" t="n"/>
      <c r="M961" s="83" t="n"/>
      <c r="N961" s="83" t="n"/>
      <c r="O961" s="66">
        <f>IF(OR($M961="",$N961=""),"",$N961-$M961)</f>
        <v/>
      </c>
      <c r="P961" s="84">
        <f>IF($J961="","",IF($L961&lt;&gt;"",$L961-$J961,TODAY()-$J961))</f>
        <v/>
      </c>
      <c r="Q961" s="85">
        <f>IF(OR($K961="",$H961="Completed",$H961="Cancelled"),"",IF(AND($K961&lt;TODAY(),$H961&lt;&gt;"Completed",$H961&lt;&gt;"Cancelled"),"Overdue","On Track"))</f>
        <v/>
      </c>
      <c r="R961" s="81" t="n"/>
      <c r="S961" s="81">
        <f>IF($B961="","",IFERROR(INDEX(Task_Tracker!$AA$5:$AA$1004,MATCH($B961,Task_Tracker!$A$5:$A$1004,0)),""))</f>
        <v/>
      </c>
      <c r="T961" s="81">
        <f>IF($B961="","",IFERROR(INDEX(Task_Tracker!$AB$5:$AB$1004,MATCH($B961,Task_Tracker!$A$5:$A$1004,0)),""))</f>
        <v/>
      </c>
      <c r="U961" s="78">
        <f>IF($B961="","",IFERROR(INDEX(Task_Tracker!$F$5:$F$1004,MATCH($B961,Task_Tracker!$A$5:$A$1004,0)),""))</f>
        <v/>
      </c>
      <c r="V961" s="78">
        <f>IF($B961="","",IFERROR(INDEX(Task_Tracker!$I$5:$I$1004,MATCH($B961,Task_Tracker!$A$5:$A$1004,0)),""))</f>
        <v/>
      </c>
      <c r="W961" s="81">
        <f>IF(OR($D961="",$B961=""),"",$D961&amp;" | "&amp;$B961)</f>
        <v/>
      </c>
      <c r="X961" s="85">
        <f>IF($K961="","",TEXT($K961,"yyyy-mm"))</f>
        <v/>
      </c>
      <c r="Y961" s="81">
        <f>IF(OR($A961="",$T961=""),"","Included in Manager_Report")</f>
        <v/>
      </c>
    </row>
    <row r="962" ht="15" customHeight="1" s="40">
      <c r="A962" s="65">
        <f>IF(COUNTA(B962:G962)=0,"","STP-"&amp;TEXT(ROW()-4,"0000"))</f>
        <v/>
      </c>
      <c r="B962" s="78" t="n"/>
      <c r="C962" s="67">
        <f>IF($B962="","",IFERROR(INDEX(Task_Tracker!$D$5:$D$1004,MATCH($B962,Task_Tracker!$A$5:$A$1004,0)),""))</f>
        <v/>
      </c>
      <c r="D962" s="67">
        <f>IF($B962="","",IFERROR(INDEX(Task_Tracker!$B$5:$B$1004,MATCH($B962,Task_Tracker!$A$5:$A$1004,0)),""))</f>
        <v/>
      </c>
      <c r="E962" s="81" t="n"/>
      <c r="F962" s="81" t="n"/>
      <c r="G962" s="78" t="n"/>
      <c r="H962" s="78" t="n"/>
      <c r="I962" s="67">
        <f>IF($H962="","",IFERROR(INDEX(Action_Status_Map!$B$5:$B$11,MATCH($H962,Action_Status_Map!$A$5:$A$11,0)),""))</f>
        <v/>
      </c>
      <c r="J962" s="82" t="n"/>
      <c r="K962" s="82" t="n"/>
      <c r="L962" s="82" t="n"/>
      <c r="M962" s="83" t="n"/>
      <c r="N962" s="83" t="n"/>
      <c r="O962" s="66">
        <f>IF(OR($M962="",$N962=""),"",$N962-$M962)</f>
        <v/>
      </c>
      <c r="P962" s="84">
        <f>IF($J962="","",IF($L962&lt;&gt;"",$L962-$J962,TODAY()-$J962))</f>
        <v/>
      </c>
      <c r="Q962" s="85">
        <f>IF(OR($K962="",$H962="Completed",$H962="Cancelled"),"",IF(AND($K962&lt;TODAY(),$H962&lt;&gt;"Completed",$H962&lt;&gt;"Cancelled"),"Overdue","On Track"))</f>
        <v/>
      </c>
      <c r="R962" s="81" t="n"/>
      <c r="S962" s="81">
        <f>IF($B962="","",IFERROR(INDEX(Task_Tracker!$AA$5:$AA$1004,MATCH($B962,Task_Tracker!$A$5:$A$1004,0)),""))</f>
        <v/>
      </c>
      <c r="T962" s="81">
        <f>IF($B962="","",IFERROR(INDEX(Task_Tracker!$AB$5:$AB$1004,MATCH($B962,Task_Tracker!$A$5:$A$1004,0)),""))</f>
        <v/>
      </c>
      <c r="U962" s="78">
        <f>IF($B962="","",IFERROR(INDEX(Task_Tracker!$F$5:$F$1004,MATCH($B962,Task_Tracker!$A$5:$A$1004,0)),""))</f>
        <v/>
      </c>
      <c r="V962" s="78">
        <f>IF($B962="","",IFERROR(INDEX(Task_Tracker!$I$5:$I$1004,MATCH($B962,Task_Tracker!$A$5:$A$1004,0)),""))</f>
        <v/>
      </c>
      <c r="W962" s="81">
        <f>IF(OR($D962="",$B962=""),"",$D962&amp;" | "&amp;$B962)</f>
        <v/>
      </c>
      <c r="X962" s="85">
        <f>IF($K962="","",TEXT($K962,"yyyy-mm"))</f>
        <v/>
      </c>
      <c r="Y962" s="81">
        <f>IF(OR($A962="",$T962=""),"","Included in Manager_Report")</f>
        <v/>
      </c>
    </row>
    <row r="963" ht="15" customHeight="1" s="40">
      <c r="A963" s="65">
        <f>IF(COUNTA(B963:G963)=0,"","STP-"&amp;TEXT(ROW()-4,"0000"))</f>
        <v/>
      </c>
      <c r="B963" s="78" t="n"/>
      <c r="C963" s="67">
        <f>IF($B963="","",IFERROR(INDEX(Task_Tracker!$D$5:$D$1004,MATCH($B963,Task_Tracker!$A$5:$A$1004,0)),""))</f>
        <v/>
      </c>
      <c r="D963" s="67">
        <f>IF($B963="","",IFERROR(INDEX(Task_Tracker!$B$5:$B$1004,MATCH($B963,Task_Tracker!$A$5:$A$1004,0)),""))</f>
        <v/>
      </c>
      <c r="E963" s="81" t="n"/>
      <c r="F963" s="81" t="n"/>
      <c r="G963" s="78" t="n"/>
      <c r="H963" s="78" t="n"/>
      <c r="I963" s="67">
        <f>IF($H963="","",IFERROR(INDEX(Action_Status_Map!$B$5:$B$11,MATCH($H963,Action_Status_Map!$A$5:$A$11,0)),""))</f>
        <v/>
      </c>
      <c r="J963" s="82" t="n"/>
      <c r="K963" s="82" t="n"/>
      <c r="L963" s="82" t="n"/>
      <c r="M963" s="83" t="n"/>
      <c r="N963" s="83" t="n"/>
      <c r="O963" s="66">
        <f>IF(OR($M963="",$N963=""),"",$N963-$M963)</f>
        <v/>
      </c>
      <c r="P963" s="84">
        <f>IF($J963="","",IF($L963&lt;&gt;"",$L963-$J963,TODAY()-$J963))</f>
        <v/>
      </c>
      <c r="Q963" s="85">
        <f>IF(OR($K963="",$H963="Completed",$H963="Cancelled"),"",IF(AND($K963&lt;TODAY(),$H963&lt;&gt;"Completed",$H963&lt;&gt;"Cancelled"),"Overdue","On Track"))</f>
        <v/>
      </c>
      <c r="R963" s="81" t="n"/>
      <c r="S963" s="81">
        <f>IF($B963="","",IFERROR(INDEX(Task_Tracker!$AA$5:$AA$1004,MATCH($B963,Task_Tracker!$A$5:$A$1004,0)),""))</f>
        <v/>
      </c>
      <c r="T963" s="81">
        <f>IF($B963="","",IFERROR(INDEX(Task_Tracker!$AB$5:$AB$1004,MATCH($B963,Task_Tracker!$A$5:$A$1004,0)),""))</f>
        <v/>
      </c>
      <c r="U963" s="78">
        <f>IF($B963="","",IFERROR(INDEX(Task_Tracker!$F$5:$F$1004,MATCH($B963,Task_Tracker!$A$5:$A$1004,0)),""))</f>
        <v/>
      </c>
      <c r="V963" s="78">
        <f>IF($B963="","",IFERROR(INDEX(Task_Tracker!$I$5:$I$1004,MATCH($B963,Task_Tracker!$A$5:$A$1004,0)),""))</f>
        <v/>
      </c>
      <c r="W963" s="81">
        <f>IF(OR($D963="",$B963=""),"",$D963&amp;" | "&amp;$B963)</f>
        <v/>
      </c>
      <c r="X963" s="85">
        <f>IF($K963="","",TEXT($K963,"yyyy-mm"))</f>
        <v/>
      </c>
      <c r="Y963" s="81">
        <f>IF(OR($A963="",$T963=""),"","Included in Manager_Report")</f>
        <v/>
      </c>
    </row>
    <row r="964" ht="15" customHeight="1" s="40">
      <c r="A964" s="65">
        <f>IF(COUNTA(B964:G964)=0,"","STP-"&amp;TEXT(ROW()-4,"0000"))</f>
        <v/>
      </c>
      <c r="B964" s="78" t="n"/>
      <c r="C964" s="67">
        <f>IF($B964="","",IFERROR(INDEX(Task_Tracker!$D$5:$D$1004,MATCH($B964,Task_Tracker!$A$5:$A$1004,0)),""))</f>
        <v/>
      </c>
      <c r="D964" s="67">
        <f>IF($B964="","",IFERROR(INDEX(Task_Tracker!$B$5:$B$1004,MATCH($B964,Task_Tracker!$A$5:$A$1004,0)),""))</f>
        <v/>
      </c>
      <c r="E964" s="81" t="n"/>
      <c r="F964" s="81" t="n"/>
      <c r="G964" s="78" t="n"/>
      <c r="H964" s="78" t="n"/>
      <c r="I964" s="67">
        <f>IF($H964="","",IFERROR(INDEX(Action_Status_Map!$B$5:$B$11,MATCH($H964,Action_Status_Map!$A$5:$A$11,0)),""))</f>
        <v/>
      </c>
      <c r="J964" s="82" t="n"/>
      <c r="K964" s="82" t="n"/>
      <c r="L964" s="82" t="n"/>
      <c r="M964" s="83" t="n"/>
      <c r="N964" s="83" t="n"/>
      <c r="O964" s="66">
        <f>IF(OR($M964="",$N964=""),"",$N964-$M964)</f>
        <v/>
      </c>
      <c r="P964" s="84">
        <f>IF($J964="","",IF($L964&lt;&gt;"",$L964-$J964,TODAY()-$J964))</f>
        <v/>
      </c>
      <c r="Q964" s="85">
        <f>IF(OR($K964="",$H964="Completed",$H964="Cancelled"),"",IF(AND($K964&lt;TODAY(),$H964&lt;&gt;"Completed",$H964&lt;&gt;"Cancelled"),"Overdue","On Track"))</f>
        <v/>
      </c>
      <c r="R964" s="81" t="n"/>
      <c r="S964" s="81">
        <f>IF($B964="","",IFERROR(INDEX(Task_Tracker!$AA$5:$AA$1004,MATCH($B964,Task_Tracker!$A$5:$A$1004,0)),""))</f>
        <v/>
      </c>
      <c r="T964" s="81">
        <f>IF($B964="","",IFERROR(INDEX(Task_Tracker!$AB$5:$AB$1004,MATCH($B964,Task_Tracker!$A$5:$A$1004,0)),""))</f>
        <v/>
      </c>
      <c r="U964" s="78">
        <f>IF($B964="","",IFERROR(INDEX(Task_Tracker!$F$5:$F$1004,MATCH($B964,Task_Tracker!$A$5:$A$1004,0)),""))</f>
        <v/>
      </c>
      <c r="V964" s="78">
        <f>IF($B964="","",IFERROR(INDEX(Task_Tracker!$I$5:$I$1004,MATCH($B964,Task_Tracker!$A$5:$A$1004,0)),""))</f>
        <v/>
      </c>
      <c r="W964" s="81">
        <f>IF(OR($D964="",$B964=""),"",$D964&amp;" | "&amp;$B964)</f>
        <v/>
      </c>
      <c r="X964" s="85">
        <f>IF($K964="","",TEXT($K964,"yyyy-mm"))</f>
        <v/>
      </c>
      <c r="Y964" s="81">
        <f>IF(OR($A964="",$T964=""),"","Included in Manager_Report")</f>
        <v/>
      </c>
    </row>
    <row r="965" ht="15" customHeight="1" s="40">
      <c r="A965" s="65">
        <f>IF(COUNTA(B965:G965)=0,"","STP-"&amp;TEXT(ROW()-4,"0000"))</f>
        <v/>
      </c>
      <c r="B965" s="78" t="n"/>
      <c r="C965" s="67">
        <f>IF($B965="","",IFERROR(INDEX(Task_Tracker!$D$5:$D$1004,MATCH($B965,Task_Tracker!$A$5:$A$1004,0)),""))</f>
        <v/>
      </c>
      <c r="D965" s="67">
        <f>IF($B965="","",IFERROR(INDEX(Task_Tracker!$B$5:$B$1004,MATCH($B965,Task_Tracker!$A$5:$A$1004,0)),""))</f>
        <v/>
      </c>
      <c r="E965" s="81" t="n"/>
      <c r="F965" s="81" t="n"/>
      <c r="G965" s="78" t="n"/>
      <c r="H965" s="78" t="n"/>
      <c r="I965" s="67">
        <f>IF($H965="","",IFERROR(INDEX(Action_Status_Map!$B$5:$B$11,MATCH($H965,Action_Status_Map!$A$5:$A$11,0)),""))</f>
        <v/>
      </c>
      <c r="J965" s="82" t="n"/>
      <c r="K965" s="82" t="n"/>
      <c r="L965" s="82" t="n"/>
      <c r="M965" s="83" t="n"/>
      <c r="N965" s="83" t="n"/>
      <c r="O965" s="66">
        <f>IF(OR($M965="",$N965=""),"",$N965-$M965)</f>
        <v/>
      </c>
      <c r="P965" s="84">
        <f>IF($J965="","",IF($L965&lt;&gt;"",$L965-$J965,TODAY()-$J965))</f>
        <v/>
      </c>
      <c r="Q965" s="85">
        <f>IF(OR($K965="",$H965="Completed",$H965="Cancelled"),"",IF(AND($K965&lt;TODAY(),$H965&lt;&gt;"Completed",$H965&lt;&gt;"Cancelled"),"Overdue","On Track"))</f>
        <v/>
      </c>
      <c r="R965" s="81" t="n"/>
      <c r="S965" s="81">
        <f>IF($B965="","",IFERROR(INDEX(Task_Tracker!$AA$5:$AA$1004,MATCH($B965,Task_Tracker!$A$5:$A$1004,0)),""))</f>
        <v/>
      </c>
      <c r="T965" s="81">
        <f>IF($B965="","",IFERROR(INDEX(Task_Tracker!$AB$5:$AB$1004,MATCH($B965,Task_Tracker!$A$5:$A$1004,0)),""))</f>
        <v/>
      </c>
      <c r="U965" s="78">
        <f>IF($B965="","",IFERROR(INDEX(Task_Tracker!$F$5:$F$1004,MATCH($B965,Task_Tracker!$A$5:$A$1004,0)),""))</f>
        <v/>
      </c>
      <c r="V965" s="78">
        <f>IF($B965="","",IFERROR(INDEX(Task_Tracker!$I$5:$I$1004,MATCH($B965,Task_Tracker!$A$5:$A$1004,0)),""))</f>
        <v/>
      </c>
      <c r="W965" s="81">
        <f>IF(OR($D965="",$B965=""),"",$D965&amp;" | "&amp;$B965)</f>
        <v/>
      </c>
      <c r="X965" s="85">
        <f>IF($K965="","",TEXT($K965,"yyyy-mm"))</f>
        <v/>
      </c>
      <c r="Y965" s="81">
        <f>IF(OR($A965="",$T965=""),"","Included in Manager_Report")</f>
        <v/>
      </c>
    </row>
    <row r="966" ht="15" customHeight="1" s="40">
      <c r="A966" s="65">
        <f>IF(COUNTA(B966:G966)=0,"","STP-"&amp;TEXT(ROW()-4,"0000"))</f>
        <v/>
      </c>
      <c r="B966" s="78" t="n"/>
      <c r="C966" s="67">
        <f>IF($B966="","",IFERROR(INDEX(Task_Tracker!$D$5:$D$1004,MATCH($B966,Task_Tracker!$A$5:$A$1004,0)),""))</f>
        <v/>
      </c>
      <c r="D966" s="67">
        <f>IF($B966="","",IFERROR(INDEX(Task_Tracker!$B$5:$B$1004,MATCH($B966,Task_Tracker!$A$5:$A$1004,0)),""))</f>
        <v/>
      </c>
      <c r="E966" s="81" t="n"/>
      <c r="F966" s="81" t="n"/>
      <c r="G966" s="78" t="n"/>
      <c r="H966" s="78" t="n"/>
      <c r="I966" s="67">
        <f>IF($H966="","",IFERROR(INDEX(Action_Status_Map!$B$5:$B$11,MATCH($H966,Action_Status_Map!$A$5:$A$11,0)),""))</f>
        <v/>
      </c>
      <c r="J966" s="82" t="n"/>
      <c r="K966" s="82" t="n"/>
      <c r="L966" s="82" t="n"/>
      <c r="M966" s="83" t="n"/>
      <c r="N966" s="83" t="n"/>
      <c r="O966" s="66">
        <f>IF(OR($M966="",$N966=""),"",$N966-$M966)</f>
        <v/>
      </c>
      <c r="P966" s="84">
        <f>IF($J966="","",IF($L966&lt;&gt;"",$L966-$J966,TODAY()-$J966))</f>
        <v/>
      </c>
      <c r="Q966" s="85">
        <f>IF(OR($K966="",$H966="Completed",$H966="Cancelled"),"",IF(AND($K966&lt;TODAY(),$H966&lt;&gt;"Completed",$H966&lt;&gt;"Cancelled"),"Overdue","On Track"))</f>
        <v/>
      </c>
      <c r="R966" s="81" t="n"/>
      <c r="S966" s="81">
        <f>IF($B966="","",IFERROR(INDEX(Task_Tracker!$AA$5:$AA$1004,MATCH($B966,Task_Tracker!$A$5:$A$1004,0)),""))</f>
        <v/>
      </c>
      <c r="T966" s="81">
        <f>IF($B966="","",IFERROR(INDEX(Task_Tracker!$AB$5:$AB$1004,MATCH($B966,Task_Tracker!$A$5:$A$1004,0)),""))</f>
        <v/>
      </c>
      <c r="U966" s="78">
        <f>IF($B966="","",IFERROR(INDEX(Task_Tracker!$F$5:$F$1004,MATCH($B966,Task_Tracker!$A$5:$A$1004,0)),""))</f>
        <v/>
      </c>
      <c r="V966" s="78">
        <f>IF($B966="","",IFERROR(INDEX(Task_Tracker!$I$5:$I$1004,MATCH($B966,Task_Tracker!$A$5:$A$1004,0)),""))</f>
        <v/>
      </c>
      <c r="W966" s="81">
        <f>IF(OR($D966="",$B966=""),"",$D966&amp;" | "&amp;$B966)</f>
        <v/>
      </c>
      <c r="X966" s="85">
        <f>IF($K966="","",TEXT($K966,"yyyy-mm"))</f>
        <v/>
      </c>
      <c r="Y966" s="81">
        <f>IF(OR($A966="",$T966=""),"","Included in Manager_Report")</f>
        <v/>
      </c>
    </row>
    <row r="967" ht="15" customHeight="1" s="40">
      <c r="A967" s="65">
        <f>IF(COUNTA(B967:G967)=0,"","STP-"&amp;TEXT(ROW()-4,"0000"))</f>
        <v/>
      </c>
      <c r="B967" s="78" t="n"/>
      <c r="C967" s="67">
        <f>IF($B967="","",IFERROR(INDEX(Task_Tracker!$D$5:$D$1004,MATCH($B967,Task_Tracker!$A$5:$A$1004,0)),""))</f>
        <v/>
      </c>
      <c r="D967" s="67">
        <f>IF($B967="","",IFERROR(INDEX(Task_Tracker!$B$5:$B$1004,MATCH($B967,Task_Tracker!$A$5:$A$1004,0)),""))</f>
        <v/>
      </c>
      <c r="E967" s="81" t="n"/>
      <c r="F967" s="81" t="n"/>
      <c r="G967" s="78" t="n"/>
      <c r="H967" s="78" t="n"/>
      <c r="I967" s="67">
        <f>IF($H967="","",IFERROR(INDEX(Action_Status_Map!$B$5:$B$11,MATCH($H967,Action_Status_Map!$A$5:$A$11,0)),""))</f>
        <v/>
      </c>
      <c r="J967" s="82" t="n"/>
      <c r="K967" s="82" t="n"/>
      <c r="L967" s="82" t="n"/>
      <c r="M967" s="83" t="n"/>
      <c r="N967" s="83" t="n"/>
      <c r="O967" s="66">
        <f>IF(OR($M967="",$N967=""),"",$N967-$M967)</f>
        <v/>
      </c>
      <c r="P967" s="84">
        <f>IF($J967="","",IF($L967&lt;&gt;"",$L967-$J967,TODAY()-$J967))</f>
        <v/>
      </c>
      <c r="Q967" s="85">
        <f>IF(OR($K967="",$H967="Completed",$H967="Cancelled"),"",IF(AND($K967&lt;TODAY(),$H967&lt;&gt;"Completed",$H967&lt;&gt;"Cancelled"),"Overdue","On Track"))</f>
        <v/>
      </c>
      <c r="R967" s="81" t="n"/>
      <c r="S967" s="81">
        <f>IF($B967="","",IFERROR(INDEX(Task_Tracker!$AA$5:$AA$1004,MATCH($B967,Task_Tracker!$A$5:$A$1004,0)),""))</f>
        <v/>
      </c>
      <c r="T967" s="81">
        <f>IF($B967="","",IFERROR(INDEX(Task_Tracker!$AB$5:$AB$1004,MATCH($B967,Task_Tracker!$A$5:$A$1004,0)),""))</f>
        <v/>
      </c>
      <c r="U967" s="78">
        <f>IF($B967="","",IFERROR(INDEX(Task_Tracker!$F$5:$F$1004,MATCH($B967,Task_Tracker!$A$5:$A$1004,0)),""))</f>
        <v/>
      </c>
      <c r="V967" s="78">
        <f>IF($B967="","",IFERROR(INDEX(Task_Tracker!$I$5:$I$1004,MATCH($B967,Task_Tracker!$A$5:$A$1004,0)),""))</f>
        <v/>
      </c>
      <c r="W967" s="81">
        <f>IF(OR($D967="",$B967=""),"",$D967&amp;" | "&amp;$B967)</f>
        <v/>
      </c>
      <c r="X967" s="85">
        <f>IF($K967="","",TEXT($K967,"yyyy-mm"))</f>
        <v/>
      </c>
      <c r="Y967" s="81">
        <f>IF(OR($A967="",$T967=""),"","Included in Manager_Report")</f>
        <v/>
      </c>
    </row>
    <row r="968" ht="15" customHeight="1" s="40">
      <c r="A968" s="65">
        <f>IF(COUNTA(B968:G968)=0,"","STP-"&amp;TEXT(ROW()-4,"0000"))</f>
        <v/>
      </c>
      <c r="B968" s="78" t="n"/>
      <c r="C968" s="67">
        <f>IF($B968="","",IFERROR(INDEX(Task_Tracker!$D$5:$D$1004,MATCH($B968,Task_Tracker!$A$5:$A$1004,0)),""))</f>
        <v/>
      </c>
      <c r="D968" s="67">
        <f>IF($B968="","",IFERROR(INDEX(Task_Tracker!$B$5:$B$1004,MATCH($B968,Task_Tracker!$A$5:$A$1004,0)),""))</f>
        <v/>
      </c>
      <c r="E968" s="81" t="n"/>
      <c r="F968" s="81" t="n"/>
      <c r="G968" s="78" t="n"/>
      <c r="H968" s="78" t="n"/>
      <c r="I968" s="67">
        <f>IF($H968="","",IFERROR(INDEX(Action_Status_Map!$B$5:$B$11,MATCH($H968,Action_Status_Map!$A$5:$A$11,0)),""))</f>
        <v/>
      </c>
      <c r="J968" s="82" t="n"/>
      <c r="K968" s="82" t="n"/>
      <c r="L968" s="82" t="n"/>
      <c r="M968" s="83" t="n"/>
      <c r="N968" s="83" t="n"/>
      <c r="O968" s="66">
        <f>IF(OR($M968="",$N968=""),"",$N968-$M968)</f>
        <v/>
      </c>
      <c r="P968" s="84">
        <f>IF($J968="","",IF($L968&lt;&gt;"",$L968-$J968,TODAY()-$J968))</f>
        <v/>
      </c>
      <c r="Q968" s="85">
        <f>IF(OR($K968="",$H968="Completed",$H968="Cancelled"),"",IF(AND($K968&lt;TODAY(),$H968&lt;&gt;"Completed",$H968&lt;&gt;"Cancelled"),"Overdue","On Track"))</f>
        <v/>
      </c>
      <c r="R968" s="81" t="n"/>
      <c r="S968" s="81">
        <f>IF($B968="","",IFERROR(INDEX(Task_Tracker!$AA$5:$AA$1004,MATCH($B968,Task_Tracker!$A$5:$A$1004,0)),""))</f>
        <v/>
      </c>
      <c r="T968" s="81">
        <f>IF($B968="","",IFERROR(INDEX(Task_Tracker!$AB$5:$AB$1004,MATCH($B968,Task_Tracker!$A$5:$A$1004,0)),""))</f>
        <v/>
      </c>
      <c r="U968" s="78">
        <f>IF($B968="","",IFERROR(INDEX(Task_Tracker!$F$5:$F$1004,MATCH($B968,Task_Tracker!$A$5:$A$1004,0)),""))</f>
        <v/>
      </c>
      <c r="V968" s="78">
        <f>IF($B968="","",IFERROR(INDEX(Task_Tracker!$I$5:$I$1004,MATCH($B968,Task_Tracker!$A$5:$A$1004,0)),""))</f>
        <v/>
      </c>
      <c r="W968" s="81">
        <f>IF(OR($D968="",$B968=""),"",$D968&amp;" | "&amp;$B968)</f>
        <v/>
      </c>
      <c r="X968" s="85">
        <f>IF($K968="","",TEXT($K968,"yyyy-mm"))</f>
        <v/>
      </c>
      <c r="Y968" s="81">
        <f>IF(OR($A968="",$T968=""),"","Included in Manager_Report")</f>
        <v/>
      </c>
    </row>
    <row r="969" ht="15" customHeight="1" s="40">
      <c r="A969" s="65">
        <f>IF(COUNTA(B969:G969)=0,"","STP-"&amp;TEXT(ROW()-4,"0000"))</f>
        <v/>
      </c>
      <c r="B969" s="78" t="n"/>
      <c r="C969" s="67">
        <f>IF($B969="","",IFERROR(INDEX(Task_Tracker!$D$5:$D$1004,MATCH($B969,Task_Tracker!$A$5:$A$1004,0)),""))</f>
        <v/>
      </c>
      <c r="D969" s="67">
        <f>IF($B969="","",IFERROR(INDEX(Task_Tracker!$B$5:$B$1004,MATCH($B969,Task_Tracker!$A$5:$A$1004,0)),""))</f>
        <v/>
      </c>
      <c r="E969" s="81" t="n"/>
      <c r="F969" s="81" t="n"/>
      <c r="G969" s="78" t="n"/>
      <c r="H969" s="78" t="n"/>
      <c r="I969" s="67">
        <f>IF($H969="","",IFERROR(INDEX(Action_Status_Map!$B$5:$B$11,MATCH($H969,Action_Status_Map!$A$5:$A$11,0)),""))</f>
        <v/>
      </c>
      <c r="J969" s="82" t="n"/>
      <c r="K969" s="82" t="n"/>
      <c r="L969" s="82" t="n"/>
      <c r="M969" s="83" t="n"/>
      <c r="N969" s="83" t="n"/>
      <c r="O969" s="66">
        <f>IF(OR($M969="",$N969=""),"",$N969-$M969)</f>
        <v/>
      </c>
      <c r="P969" s="84">
        <f>IF($J969="","",IF($L969&lt;&gt;"",$L969-$J969,TODAY()-$J969))</f>
        <v/>
      </c>
      <c r="Q969" s="85">
        <f>IF(OR($K969="",$H969="Completed",$H969="Cancelled"),"",IF(AND($K969&lt;TODAY(),$H969&lt;&gt;"Completed",$H969&lt;&gt;"Cancelled"),"Overdue","On Track"))</f>
        <v/>
      </c>
      <c r="R969" s="81" t="n"/>
      <c r="S969" s="81">
        <f>IF($B969="","",IFERROR(INDEX(Task_Tracker!$AA$5:$AA$1004,MATCH($B969,Task_Tracker!$A$5:$A$1004,0)),""))</f>
        <v/>
      </c>
      <c r="T969" s="81">
        <f>IF($B969="","",IFERROR(INDEX(Task_Tracker!$AB$5:$AB$1004,MATCH($B969,Task_Tracker!$A$5:$A$1004,0)),""))</f>
        <v/>
      </c>
      <c r="U969" s="78">
        <f>IF($B969="","",IFERROR(INDEX(Task_Tracker!$F$5:$F$1004,MATCH($B969,Task_Tracker!$A$5:$A$1004,0)),""))</f>
        <v/>
      </c>
      <c r="V969" s="78">
        <f>IF($B969="","",IFERROR(INDEX(Task_Tracker!$I$5:$I$1004,MATCH($B969,Task_Tracker!$A$5:$A$1004,0)),""))</f>
        <v/>
      </c>
      <c r="W969" s="81">
        <f>IF(OR($D969="",$B969=""),"",$D969&amp;" | "&amp;$B969)</f>
        <v/>
      </c>
      <c r="X969" s="85">
        <f>IF($K969="","",TEXT($K969,"yyyy-mm"))</f>
        <v/>
      </c>
      <c r="Y969" s="81">
        <f>IF(OR($A969="",$T969=""),"","Included in Manager_Report")</f>
        <v/>
      </c>
    </row>
    <row r="970" ht="15" customHeight="1" s="40">
      <c r="A970" s="65">
        <f>IF(COUNTA(B970:G970)=0,"","STP-"&amp;TEXT(ROW()-4,"0000"))</f>
        <v/>
      </c>
      <c r="B970" s="78" t="n"/>
      <c r="C970" s="67">
        <f>IF($B970="","",IFERROR(INDEX(Task_Tracker!$D$5:$D$1004,MATCH($B970,Task_Tracker!$A$5:$A$1004,0)),""))</f>
        <v/>
      </c>
      <c r="D970" s="67">
        <f>IF($B970="","",IFERROR(INDEX(Task_Tracker!$B$5:$B$1004,MATCH($B970,Task_Tracker!$A$5:$A$1004,0)),""))</f>
        <v/>
      </c>
      <c r="E970" s="81" t="n"/>
      <c r="F970" s="81" t="n"/>
      <c r="G970" s="78" t="n"/>
      <c r="H970" s="78" t="n"/>
      <c r="I970" s="67">
        <f>IF($H970="","",IFERROR(INDEX(Action_Status_Map!$B$5:$B$11,MATCH($H970,Action_Status_Map!$A$5:$A$11,0)),""))</f>
        <v/>
      </c>
      <c r="J970" s="82" t="n"/>
      <c r="K970" s="82" t="n"/>
      <c r="L970" s="82" t="n"/>
      <c r="M970" s="83" t="n"/>
      <c r="N970" s="83" t="n"/>
      <c r="O970" s="66">
        <f>IF(OR($M970="",$N970=""),"",$N970-$M970)</f>
        <v/>
      </c>
      <c r="P970" s="84">
        <f>IF($J970="","",IF($L970&lt;&gt;"",$L970-$J970,TODAY()-$J970))</f>
        <v/>
      </c>
      <c r="Q970" s="85">
        <f>IF(OR($K970="",$H970="Completed",$H970="Cancelled"),"",IF(AND($K970&lt;TODAY(),$H970&lt;&gt;"Completed",$H970&lt;&gt;"Cancelled"),"Overdue","On Track"))</f>
        <v/>
      </c>
      <c r="R970" s="81" t="n"/>
      <c r="S970" s="81">
        <f>IF($B970="","",IFERROR(INDEX(Task_Tracker!$AA$5:$AA$1004,MATCH($B970,Task_Tracker!$A$5:$A$1004,0)),""))</f>
        <v/>
      </c>
      <c r="T970" s="81">
        <f>IF($B970="","",IFERROR(INDEX(Task_Tracker!$AB$5:$AB$1004,MATCH($B970,Task_Tracker!$A$5:$A$1004,0)),""))</f>
        <v/>
      </c>
      <c r="U970" s="78">
        <f>IF($B970="","",IFERROR(INDEX(Task_Tracker!$F$5:$F$1004,MATCH($B970,Task_Tracker!$A$5:$A$1004,0)),""))</f>
        <v/>
      </c>
      <c r="V970" s="78">
        <f>IF($B970="","",IFERROR(INDEX(Task_Tracker!$I$5:$I$1004,MATCH($B970,Task_Tracker!$A$5:$A$1004,0)),""))</f>
        <v/>
      </c>
      <c r="W970" s="81">
        <f>IF(OR($D970="",$B970=""),"",$D970&amp;" | "&amp;$B970)</f>
        <v/>
      </c>
      <c r="X970" s="85">
        <f>IF($K970="","",TEXT($K970,"yyyy-mm"))</f>
        <v/>
      </c>
      <c r="Y970" s="81">
        <f>IF(OR($A970="",$T970=""),"","Included in Manager_Report")</f>
        <v/>
      </c>
    </row>
    <row r="971" ht="15" customHeight="1" s="40">
      <c r="A971" s="65">
        <f>IF(COUNTA(B971:G971)=0,"","STP-"&amp;TEXT(ROW()-4,"0000"))</f>
        <v/>
      </c>
      <c r="B971" s="78" t="n"/>
      <c r="C971" s="67">
        <f>IF($B971="","",IFERROR(INDEX(Task_Tracker!$D$5:$D$1004,MATCH($B971,Task_Tracker!$A$5:$A$1004,0)),""))</f>
        <v/>
      </c>
      <c r="D971" s="67">
        <f>IF($B971="","",IFERROR(INDEX(Task_Tracker!$B$5:$B$1004,MATCH($B971,Task_Tracker!$A$5:$A$1004,0)),""))</f>
        <v/>
      </c>
      <c r="E971" s="81" t="n"/>
      <c r="F971" s="81" t="n"/>
      <c r="G971" s="78" t="n"/>
      <c r="H971" s="78" t="n"/>
      <c r="I971" s="67">
        <f>IF($H971="","",IFERROR(INDEX(Action_Status_Map!$B$5:$B$11,MATCH($H971,Action_Status_Map!$A$5:$A$11,0)),""))</f>
        <v/>
      </c>
      <c r="J971" s="82" t="n"/>
      <c r="K971" s="82" t="n"/>
      <c r="L971" s="82" t="n"/>
      <c r="M971" s="83" t="n"/>
      <c r="N971" s="83" t="n"/>
      <c r="O971" s="66">
        <f>IF(OR($M971="",$N971=""),"",$N971-$M971)</f>
        <v/>
      </c>
      <c r="P971" s="84">
        <f>IF($J971="","",IF($L971&lt;&gt;"",$L971-$J971,TODAY()-$J971))</f>
        <v/>
      </c>
      <c r="Q971" s="85">
        <f>IF(OR($K971="",$H971="Completed",$H971="Cancelled"),"",IF(AND($K971&lt;TODAY(),$H971&lt;&gt;"Completed",$H971&lt;&gt;"Cancelled"),"Overdue","On Track"))</f>
        <v/>
      </c>
      <c r="R971" s="81" t="n"/>
      <c r="S971" s="81">
        <f>IF($B971="","",IFERROR(INDEX(Task_Tracker!$AA$5:$AA$1004,MATCH($B971,Task_Tracker!$A$5:$A$1004,0)),""))</f>
        <v/>
      </c>
      <c r="T971" s="81">
        <f>IF($B971="","",IFERROR(INDEX(Task_Tracker!$AB$5:$AB$1004,MATCH($B971,Task_Tracker!$A$5:$A$1004,0)),""))</f>
        <v/>
      </c>
      <c r="U971" s="78">
        <f>IF($B971="","",IFERROR(INDEX(Task_Tracker!$F$5:$F$1004,MATCH($B971,Task_Tracker!$A$5:$A$1004,0)),""))</f>
        <v/>
      </c>
      <c r="V971" s="78">
        <f>IF($B971="","",IFERROR(INDEX(Task_Tracker!$I$5:$I$1004,MATCH($B971,Task_Tracker!$A$5:$A$1004,0)),""))</f>
        <v/>
      </c>
      <c r="W971" s="81">
        <f>IF(OR($D971="",$B971=""),"",$D971&amp;" | "&amp;$B971)</f>
        <v/>
      </c>
      <c r="X971" s="85">
        <f>IF($K971="","",TEXT($K971,"yyyy-mm"))</f>
        <v/>
      </c>
      <c r="Y971" s="81">
        <f>IF(OR($A971="",$T971=""),"","Included in Manager_Report")</f>
        <v/>
      </c>
    </row>
    <row r="972" ht="15" customHeight="1" s="40">
      <c r="A972" s="65">
        <f>IF(COUNTA(B972:G972)=0,"","STP-"&amp;TEXT(ROW()-4,"0000"))</f>
        <v/>
      </c>
      <c r="B972" s="78" t="n"/>
      <c r="C972" s="67">
        <f>IF($B972="","",IFERROR(INDEX(Task_Tracker!$D$5:$D$1004,MATCH($B972,Task_Tracker!$A$5:$A$1004,0)),""))</f>
        <v/>
      </c>
      <c r="D972" s="67">
        <f>IF($B972="","",IFERROR(INDEX(Task_Tracker!$B$5:$B$1004,MATCH($B972,Task_Tracker!$A$5:$A$1004,0)),""))</f>
        <v/>
      </c>
      <c r="E972" s="81" t="n"/>
      <c r="F972" s="81" t="n"/>
      <c r="G972" s="78" t="n"/>
      <c r="H972" s="78" t="n"/>
      <c r="I972" s="67">
        <f>IF($H972="","",IFERROR(INDEX(Action_Status_Map!$B$5:$B$11,MATCH($H972,Action_Status_Map!$A$5:$A$11,0)),""))</f>
        <v/>
      </c>
      <c r="J972" s="82" t="n"/>
      <c r="K972" s="82" t="n"/>
      <c r="L972" s="82" t="n"/>
      <c r="M972" s="83" t="n"/>
      <c r="N972" s="83" t="n"/>
      <c r="O972" s="66">
        <f>IF(OR($M972="",$N972=""),"",$N972-$M972)</f>
        <v/>
      </c>
      <c r="P972" s="84">
        <f>IF($J972="","",IF($L972&lt;&gt;"",$L972-$J972,TODAY()-$J972))</f>
        <v/>
      </c>
      <c r="Q972" s="85">
        <f>IF(OR($K972="",$H972="Completed",$H972="Cancelled"),"",IF(AND($K972&lt;TODAY(),$H972&lt;&gt;"Completed",$H972&lt;&gt;"Cancelled"),"Overdue","On Track"))</f>
        <v/>
      </c>
      <c r="R972" s="81" t="n"/>
      <c r="S972" s="81">
        <f>IF($B972="","",IFERROR(INDEX(Task_Tracker!$AA$5:$AA$1004,MATCH($B972,Task_Tracker!$A$5:$A$1004,0)),""))</f>
        <v/>
      </c>
      <c r="T972" s="81">
        <f>IF($B972="","",IFERROR(INDEX(Task_Tracker!$AB$5:$AB$1004,MATCH($B972,Task_Tracker!$A$5:$A$1004,0)),""))</f>
        <v/>
      </c>
      <c r="U972" s="78">
        <f>IF($B972="","",IFERROR(INDEX(Task_Tracker!$F$5:$F$1004,MATCH($B972,Task_Tracker!$A$5:$A$1004,0)),""))</f>
        <v/>
      </c>
      <c r="V972" s="78">
        <f>IF($B972="","",IFERROR(INDEX(Task_Tracker!$I$5:$I$1004,MATCH($B972,Task_Tracker!$A$5:$A$1004,0)),""))</f>
        <v/>
      </c>
      <c r="W972" s="81">
        <f>IF(OR($D972="",$B972=""),"",$D972&amp;" | "&amp;$B972)</f>
        <v/>
      </c>
      <c r="X972" s="85">
        <f>IF($K972="","",TEXT($K972,"yyyy-mm"))</f>
        <v/>
      </c>
      <c r="Y972" s="81">
        <f>IF(OR($A972="",$T972=""),"","Included in Manager_Report")</f>
        <v/>
      </c>
    </row>
    <row r="973" ht="15" customHeight="1" s="40">
      <c r="A973" s="65">
        <f>IF(COUNTA(B973:G973)=0,"","STP-"&amp;TEXT(ROW()-4,"0000"))</f>
        <v/>
      </c>
      <c r="B973" s="78" t="n"/>
      <c r="C973" s="67">
        <f>IF($B973="","",IFERROR(INDEX(Task_Tracker!$D$5:$D$1004,MATCH($B973,Task_Tracker!$A$5:$A$1004,0)),""))</f>
        <v/>
      </c>
      <c r="D973" s="67">
        <f>IF($B973="","",IFERROR(INDEX(Task_Tracker!$B$5:$B$1004,MATCH($B973,Task_Tracker!$A$5:$A$1004,0)),""))</f>
        <v/>
      </c>
      <c r="E973" s="81" t="n"/>
      <c r="F973" s="81" t="n"/>
      <c r="G973" s="78" t="n"/>
      <c r="H973" s="78" t="n"/>
      <c r="I973" s="67">
        <f>IF($H973="","",IFERROR(INDEX(Action_Status_Map!$B$5:$B$11,MATCH($H973,Action_Status_Map!$A$5:$A$11,0)),""))</f>
        <v/>
      </c>
      <c r="J973" s="82" t="n"/>
      <c r="K973" s="82" t="n"/>
      <c r="L973" s="82" t="n"/>
      <c r="M973" s="83" t="n"/>
      <c r="N973" s="83" t="n"/>
      <c r="O973" s="66">
        <f>IF(OR($M973="",$N973=""),"",$N973-$M973)</f>
        <v/>
      </c>
      <c r="P973" s="84">
        <f>IF($J973="","",IF($L973&lt;&gt;"",$L973-$J973,TODAY()-$J973))</f>
        <v/>
      </c>
      <c r="Q973" s="85">
        <f>IF(OR($K973="",$H973="Completed",$H973="Cancelled"),"",IF(AND($K973&lt;TODAY(),$H973&lt;&gt;"Completed",$H973&lt;&gt;"Cancelled"),"Overdue","On Track"))</f>
        <v/>
      </c>
      <c r="R973" s="81" t="n"/>
      <c r="S973" s="81">
        <f>IF($B973="","",IFERROR(INDEX(Task_Tracker!$AA$5:$AA$1004,MATCH($B973,Task_Tracker!$A$5:$A$1004,0)),""))</f>
        <v/>
      </c>
      <c r="T973" s="81">
        <f>IF($B973="","",IFERROR(INDEX(Task_Tracker!$AB$5:$AB$1004,MATCH($B973,Task_Tracker!$A$5:$A$1004,0)),""))</f>
        <v/>
      </c>
      <c r="U973" s="78">
        <f>IF($B973="","",IFERROR(INDEX(Task_Tracker!$F$5:$F$1004,MATCH($B973,Task_Tracker!$A$5:$A$1004,0)),""))</f>
        <v/>
      </c>
      <c r="V973" s="78">
        <f>IF($B973="","",IFERROR(INDEX(Task_Tracker!$I$5:$I$1004,MATCH($B973,Task_Tracker!$A$5:$A$1004,0)),""))</f>
        <v/>
      </c>
      <c r="W973" s="81">
        <f>IF(OR($D973="",$B973=""),"",$D973&amp;" | "&amp;$B973)</f>
        <v/>
      </c>
      <c r="X973" s="85">
        <f>IF($K973="","",TEXT($K973,"yyyy-mm"))</f>
        <v/>
      </c>
      <c r="Y973" s="81">
        <f>IF(OR($A973="",$T973=""),"","Included in Manager_Report")</f>
        <v/>
      </c>
    </row>
    <row r="974" ht="15" customHeight="1" s="40">
      <c r="A974" s="65">
        <f>IF(COUNTA(B974:G974)=0,"","STP-"&amp;TEXT(ROW()-4,"0000"))</f>
        <v/>
      </c>
      <c r="B974" s="78" t="n"/>
      <c r="C974" s="67">
        <f>IF($B974="","",IFERROR(INDEX(Task_Tracker!$D$5:$D$1004,MATCH($B974,Task_Tracker!$A$5:$A$1004,0)),""))</f>
        <v/>
      </c>
      <c r="D974" s="67">
        <f>IF($B974="","",IFERROR(INDEX(Task_Tracker!$B$5:$B$1004,MATCH($B974,Task_Tracker!$A$5:$A$1004,0)),""))</f>
        <v/>
      </c>
      <c r="E974" s="81" t="n"/>
      <c r="F974" s="81" t="n"/>
      <c r="G974" s="78" t="n"/>
      <c r="H974" s="78" t="n"/>
      <c r="I974" s="67">
        <f>IF($H974="","",IFERROR(INDEX(Action_Status_Map!$B$5:$B$11,MATCH($H974,Action_Status_Map!$A$5:$A$11,0)),""))</f>
        <v/>
      </c>
      <c r="J974" s="82" t="n"/>
      <c r="K974" s="82" t="n"/>
      <c r="L974" s="82" t="n"/>
      <c r="M974" s="83" t="n"/>
      <c r="N974" s="83" t="n"/>
      <c r="O974" s="66">
        <f>IF(OR($M974="",$N974=""),"",$N974-$M974)</f>
        <v/>
      </c>
      <c r="P974" s="84">
        <f>IF($J974="","",IF($L974&lt;&gt;"",$L974-$J974,TODAY()-$J974))</f>
        <v/>
      </c>
      <c r="Q974" s="85">
        <f>IF(OR($K974="",$H974="Completed",$H974="Cancelled"),"",IF(AND($K974&lt;TODAY(),$H974&lt;&gt;"Completed",$H974&lt;&gt;"Cancelled"),"Overdue","On Track"))</f>
        <v/>
      </c>
      <c r="R974" s="81" t="n"/>
      <c r="S974" s="81">
        <f>IF($B974="","",IFERROR(INDEX(Task_Tracker!$AA$5:$AA$1004,MATCH($B974,Task_Tracker!$A$5:$A$1004,0)),""))</f>
        <v/>
      </c>
      <c r="T974" s="81">
        <f>IF($B974="","",IFERROR(INDEX(Task_Tracker!$AB$5:$AB$1004,MATCH($B974,Task_Tracker!$A$5:$A$1004,0)),""))</f>
        <v/>
      </c>
      <c r="U974" s="78">
        <f>IF($B974="","",IFERROR(INDEX(Task_Tracker!$F$5:$F$1004,MATCH($B974,Task_Tracker!$A$5:$A$1004,0)),""))</f>
        <v/>
      </c>
      <c r="V974" s="78">
        <f>IF($B974="","",IFERROR(INDEX(Task_Tracker!$I$5:$I$1004,MATCH($B974,Task_Tracker!$A$5:$A$1004,0)),""))</f>
        <v/>
      </c>
      <c r="W974" s="81">
        <f>IF(OR($D974="",$B974=""),"",$D974&amp;" | "&amp;$B974)</f>
        <v/>
      </c>
      <c r="X974" s="85">
        <f>IF($K974="","",TEXT($K974,"yyyy-mm"))</f>
        <v/>
      </c>
      <c r="Y974" s="81">
        <f>IF(OR($A974="",$T974=""),"","Included in Manager_Report")</f>
        <v/>
      </c>
    </row>
    <row r="975" ht="15" customHeight="1" s="40">
      <c r="A975" s="65">
        <f>IF(COUNTA(B975:G975)=0,"","STP-"&amp;TEXT(ROW()-4,"0000"))</f>
        <v/>
      </c>
      <c r="B975" s="78" t="n"/>
      <c r="C975" s="67">
        <f>IF($B975="","",IFERROR(INDEX(Task_Tracker!$D$5:$D$1004,MATCH($B975,Task_Tracker!$A$5:$A$1004,0)),""))</f>
        <v/>
      </c>
      <c r="D975" s="67">
        <f>IF($B975="","",IFERROR(INDEX(Task_Tracker!$B$5:$B$1004,MATCH($B975,Task_Tracker!$A$5:$A$1004,0)),""))</f>
        <v/>
      </c>
      <c r="E975" s="81" t="n"/>
      <c r="F975" s="81" t="n"/>
      <c r="G975" s="78" t="n"/>
      <c r="H975" s="78" t="n"/>
      <c r="I975" s="67">
        <f>IF($H975="","",IFERROR(INDEX(Action_Status_Map!$B$5:$B$11,MATCH($H975,Action_Status_Map!$A$5:$A$11,0)),""))</f>
        <v/>
      </c>
      <c r="J975" s="82" t="n"/>
      <c r="K975" s="82" t="n"/>
      <c r="L975" s="82" t="n"/>
      <c r="M975" s="83" t="n"/>
      <c r="N975" s="83" t="n"/>
      <c r="O975" s="66">
        <f>IF(OR($M975="",$N975=""),"",$N975-$M975)</f>
        <v/>
      </c>
      <c r="P975" s="84">
        <f>IF($J975="","",IF($L975&lt;&gt;"",$L975-$J975,TODAY()-$J975))</f>
        <v/>
      </c>
      <c r="Q975" s="85">
        <f>IF(OR($K975="",$H975="Completed",$H975="Cancelled"),"",IF(AND($K975&lt;TODAY(),$H975&lt;&gt;"Completed",$H975&lt;&gt;"Cancelled"),"Overdue","On Track"))</f>
        <v/>
      </c>
      <c r="R975" s="81" t="n"/>
      <c r="S975" s="81">
        <f>IF($B975="","",IFERROR(INDEX(Task_Tracker!$AA$5:$AA$1004,MATCH($B975,Task_Tracker!$A$5:$A$1004,0)),""))</f>
        <v/>
      </c>
      <c r="T975" s="81">
        <f>IF($B975="","",IFERROR(INDEX(Task_Tracker!$AB$5:$AB$1004,MATCH($B975,Task_Tracker!$A$5:$A$1004,0)),""))</f>
        <v/>
      </c>
      <c r="U975" s="78">
        <f>IF($B975="","",IFERROR(INDEX(Task_Tracker!$F$5:$F$1004,MATCH($B975,Task_Tracker!$A$5:$A$1004,0)),""))</f>
        <v/>
      </c>
      <c r="V975" s="78">
        <f>IF($B975="","",IFERROR(INDEX(Task_Tracker!$I$5:$I$1004,MATCH($B975,Task_Tracker!$A$5:$A$1004,0)),""))</f>
        <v/>
      </c>
      <c r="W975" s="81">
        <f>IF(OR($D975="",$B975=""),"",$D975&amp;" | "&amp;$B975)</f>
        <v/>
      </c>
      <c r="X975" s="85">
        <f>IF($K975="","",TEXT($K975,"yyyy-mm"))</f>
        <v/>
      </c>
      <c r="Y975" s="81">
        <f>IF(OR($A975="",$T975=""),"","Included in Manager_Report")</f>
        <v/>
      </c>
    </row>
    <row r="976" ht="15" customHeight="1" s="40">
      <c r="A976" s="65">
        <f>IF(COUNTA(B976:G976)=0,"","STP-"&amp;TEXT(ROW()-4,"0000"))</f>
        <v/>
      </c>
      <c r="B976" s="78" t="n"/>
      <c r="C976" s="67">
        <f>IF($B976="","",IFERROR(INDEX(Task_Tracker!$D$5:$D$1004,MATCH($B976,Task_Tracker!$A$5:$A$1004,0)),""))</f>
        <v/>
      </c>
      <c r="D976" s="67">
        <f>IF($B976="","",IFERROR(INDEX(Task_Tracker!$B$5:$B$1004,MATCH($B976,Task_Tracker!$A$5:$A$1004,0)),""))</f>
        <v/>
      </c>
      <c r="E976" s="81" t="n"/>
      <c r="F976" s="81" t="n"/>
      <c r="G976" s="78" t="n"/>
      <c r="H976" s="78" t="n"/>
      <c r="I976" s="67">
        <f>IF($H976="","",IFERROR(INDEX(Action_Status_Map!$B$5:$B$11,MATCH($H976,Action_Status_Map!$A$5:$A$11,0)),""))</f>
        <v/>
      </c>
      <c r="J976" s="82" t="n"/>
      <c r="K976" s="82" t="n"/>
      <c r="L976" s="82" t="n"/>
      <c r="M976" s="83" t="n"/>
      <c r="N976" s="83" t="n"/>
      <c r="O976" s="66">
        <f>IF(OR($M976="",$N976=""),"",$N976-$M976)</f>
        <v/>
      </c>
      <c r="P976" s="84">
        <f>IF($J976="","",IF($L976&lt;&gt;"",$L976-$J976,TODAY()-$J976))</f>
        <v/>
      </c>
      <c r="Q976" s="85">
        <f>IF(OR($K976="",$H976="Completed",$H976="Cancelled"),"",IF(AND($K976&lt;TODAY(),$H976&lt;&gt;"Completed",$H976&lt;&gt;"Cancelled"),"Overdue","On Track"))</f>
        <v/>
      </c>
      <c r="R976" s="81" t="n"/>
      <c r="S976" s="81">
        <f>IF($B976="","",IFERROR(INDEX(Task_Tracker!$AA$5:$AA$1004,MATCH($B976,Task_Tracker!$A$5:$A$1004,0)),""))</f>
        <v/>
      </c>
      <c r="T976" s="81">
        <f>IF($B976="","",IFERROR(INDEX(Task_Tracker!$AB$5:$AB$1004,MATCH($B976,Task_Tracker!$A$5:$A$1004,0)),""))</f>
        <v/>
      </c>
      <c r="U976" s="78">
        <f>IF($B976="","",IFERROR(INDEX(Task_Tracker!$F$5:$F$1004,MATCH($B976,Task_Tracker!$A$5:$A$1004,0)),""))</f>
        <v/>
      </c>
      <c r="V976" s="78">
        <f>IF($B976="","",IFERROR(INDEX(Task_Tracker!$I$5:$I$1004,MATCH($B976,Task_Tracker!$A$5:$A$1004,0)),""))</f>
        <v/>
      </c>
      <c r="W976" s="81">
        <f>IF(OR($D976="",$B976=""),"",$D976&amp;" | "&amp;$B976)</f>
        <v/>
      </c>
      <c r="X976" s="85">
        <f>IF($K976="","",TEXT($K976,"yyyy-mm"))</f>
        <v/>
      </c>
      <c r="Y976" s="81">
        <f>IF(OR($A976="",$T976=""),"","Included in Manager_Report")</f>
        <v/>
      </c>
    </row>
    <row r="977" ht="15" customHeight="1" s="40">
      <c r="A977" s="65">
        <f>IF(COUNTA(B977:G977)=0,"","STP-"&amp;TEXT(ROW()-4,"0000"))</f>
        <v/>
      </c>
      <c r="B977" s="78" t="n"/>
      <c r="C977" s="67">
        <f>IF($B977="","",IFERROR(INDEX(Task_Tracker!$D$5:$D$1004,MATCH($B977,Task_Tracker!$A$5:$A$1004,0)),""))</f>
        <v/>
      </c>
      <c r="D977" s="67">
        <f>IF($B977="","",IFERROR(INDEX(Task_Tracker!$B$5:$B$1004,MATCH($B977,Task_Tracker!$A$5:$A$1004,0)),""))</f>
        <v/>
      </c>
      <c r="E977" s="81" t="n"/>
      <c r="F977" s="81" t="n"/>
      <c r="G977" s="78" t="n"/>
      <c r="H977" s="78" t="n"/>
      <c r="I977" s="67">
        <f>IF($H977="","",IFERROR(INDEX(Action_Status_Map!$B$5:$B$11,MATCH($H977,Action_Status_Map!$A$5:$A$11,0)),""))</f>
        <v/>
      </c>
      <c r="J977" s="82" t="n"/>
      <c r="K977" s="82" t="n"/>
      <c r="L977" s="82" t="n"/>
      <c r="M977" s="83" t="n"/>
      <c r="N977" s="83" t="n"/>
      <c r="O977" s="66">
        <f>IF(OR($M977="",$N977=""),"",$N977-$M977)</f>
        <v/>
      </c>
      <c r="P977" s="84">
        <f>IF($J977="","",IF($L977&lt;&gt;"",$L977-$J977,TODAY()-$J977))</f>
        <v/>
      </c>
      <c r="Q977" s="85">
        <f>IF(OR($K977="",$H977="Completed",$H977="Cancelled"),"",IF(AND($K977&lt;TODAY(),$H977&lt;&gt;"Completed",$H977&lt;&gt;"Cancelled"),"Overdue","On Track"))</f>
        <v/>
      </c>
      <c r="R977" s="81" t="n"/>
      <c r="S977" s="81">
        <f>IF($B977="","",IFERROR(INDEX(Task_Tracker!$AA$5:$AA$1004,MATCH($B977,Task_Tracker!$A$5:$A$1004,0)),""))</f>
        <v/>
      </c>
      <c r="T977" s="81">
        <f>IF($B977="","",IFERROR(INDEX(Task_Tracker!$AB$5:$AB$1004,MATCH($B977,Task_Tracker!$A$5:$A$1004,0)),""))</f>
        <v/>
      </c>
      <c r="U977" s="78">
        <f>IF($B977="","",IFERROR(INDEX(Task_Tracker!$F$5:$F$1004,MATCH($B977,Task_Tracker!$A$5:$A$1004,0)),""))</f>
        <v/>
      </c>
      <c r="V977" s="78">
        <f>IF($B977="","",IFERROR(INDEX(Task_Tracker!$I$5:$I$1004,MATCH($B977,Task_Tracker!$A$5:$A$1004,0)),""))</f>
        <v/>
      </c>
      <c r="W977" s="81">
        <f>IF(OR($D977="",$B977=""),"",$D977&amp;" | "&amp;$B977)</f>
        <v/>
      </c>
      <c r="X977" s="85">
        <f>IF($K977="","",TEXT($K977,"yyyy-mm"))</f>
        <v/>
      </c>
      <c r="Y977" s="81">
        <f>IF(OR($A977="",$T977=""),"","Included in Manager_Report")</f>
        <v/>
      </c>
    </row>
    <row r="978" ht="15" customHeight="1" s="40">
      <c r="A978" s="65">
        <f>IF(COUNTA(B978:G978)=0,"","STP-"&amp;TEXT(ROW()-4,"0000"))</f>
        <v/>
      </c>
      <c r="B978" s="78" t="n"/>
      <c r="C978" s="67">
        <f>IF($B978="","",IFERROR(INDEX(Task_Tracker!$D$5:$D$1004,MATCH($B978,Task_Tracker!$A$5:$A$1004,0)),""))</f>
        <v/>
      </c>
      <c r="D978" s="67">
        <f>IF($B978="","",IFERROR(INDEX(Task_Tracker!$B$5:$B$1004,MATCH($B978,Task_Tracker!$A$5:$A$1004,0)),""))</f>
        <v/>
      </c>
      <c r="E978" s="81" t="n"/>
      <c r="F978" s="81" t="n"/>
      <c r="G978" s="78" t="n"/>
      <c r="H978" s="78" t="n"/>
      <c r="I978" s="67">
        <f>IF($H978="","",IFERROR(INDEX(Action_Status_Map!$B$5:$B$11,MATCH($H978,Action_Status_Map!$A$5:$A$11,0)),""))</f>
        <v/>
      </c>
      <c r="J978" s="82" t="n"/>
      <c r="K978" s="82" t="n"/>
      <c r="L978" s="82" t="n"/>
      <c r="M978" s="83" t="n"/>
      <c r="N978" s="83" t="n"/>
      <c r="O978" s="66">
        <f>IF(OR($M978="",$N978=""),"",$N978-$M978)</f>
        <v/>
      </c>
      <c r="P978" s="84">
        <f>IF($J978="","",IF($L978&lt;&gt;"",$L978-$J978,TODAY()-$J978))</f>
        <v/>
      </c>
      <c r="Q978" s="85">
        <f>IF(OR($K978="",$H978="Completed",$H978="Cancelled"),"",IF(AND($K978&lt;TODAY(),$H978&lt;&gt;"Completed",$H978&lt;&gt;"Cancelled"),"Overdue","On Track"))</f>
        <v/>
      </c>
      <c r="R978" s="81" t="n"/>
      <c r="S978" s="81">
        <f>IF($B978="","",IFERROR(INDEX(Task_Tracker!$AA$5:$AA$1004,MATCH($B978,Task_Tracker!$A$5:$A$1004,0)),""))</f>
        <v/>
      </c>
      <c r="T978" s="81">
        <f>IF($B978="","",IFERROR(INDEX(Task_Tracker!$AB$5:$AB$1004,MATCH($B978,Task_Tracker!$A$5:$A$1004,0)),""))</f>
        <v/>
      </c>
      <c r="U978" s="78">
        <f>IF($B978="","",IFERROR(INDEX(Task_Tracker!$F$5:$F$1004,MATCH($B978,Task_Tracker!$A$5:$A$1004,0)),""))</f>
        <v/>
      </c>
      <c r="V978" s="78">
        <f>IF($B978="","",IFERROR(INDEX(Task_Tracker!$I$5:$I$1004,MATCH($B978,Task_Tracker!$A$5:$A$1004,0)),""))</f>
        <v/>
      </c>
      <c r="W978" s="81">
        <f>IF(OR($D978="",$B978=""),"",$D978&amp;" | "&amp;$B978)</f>
        <v/>
      </c>
      <c r="X978" s="85">
        <f>IF($K978="","",TEXT($K978,"yyyy-mm"))</f>
        <v/>
      </c>
      <c r="Y978" s="81">
        <f>IF(OR($A978="",$T978=""),"","Included in Manager_Report")</f>
        <v/>
      </c>
    </row>
    <row r="979" ht="15" customHeight="1" s="40">
      <c r="A979" s="65">
        <f>IF(COUNTA(B979:G979)=0,"","STP-"&amp;TEXT(ROW()-4,"0000"))</f>
        <v/>
      </c>
      <c r="B979" s="78" t="n"/>
      <c r="C979" s="67">
        <f>IF($B979="","",IFERROR(INDEX(Task_Tracker!$D$5:$D$1004,MATCH($B979,Task_Tracker!$A$5:$A$1004,0)),""))</f>
        <v/>
      </c>
      <c r="D979" s="67">
        <f>IF($B979="","",IFERROR(INDEX(Task_Tracker!$B$5:$B$1004,MATCH($B979,Task_Tracker!$A$5:$A$1004,0)),""))</f>
        <v/>
      </c>
      <c r="E979" s="81" t="n"/>
      <c r="F979" s="81" t="n"/>
      <c r="G979" s="78" t="n"/>
      <c r="H979" s="78" t="n"/>
      <c r="I979" s="67">
        <f>IF($H979="","",IFERROR(INDEX(Action_Status_Map!$B$5:$B$11,MATCH($H979,Action_Status_Map!$A$5:$A$11,0)),""))</f>
        <v/>
      </c>
      <c r="J979" s="82" t="n"/>
      <c r="K979" s="82" t="n"/>
      <c r="L979" s="82" t="n"/>
      <c r="M979" s="83" t="n"/>
      <c r="N979" s="83" t="n"/>
      <c r="O979" s="66">
        <f>IF(OR($M979="",$N979=""),"",$N979-$M979)</f>
        <v/>
      </c>
      <c r="P979" s="84">
        <f>IF($J979="","",IF($L979&lt;&gt;"",$L979-$J979,TODAY()-$J979))</f>
        <v/>
      </c>
      <c r="Q979" s="85">
        <f>IF(OR($K979="",$H979="Completed",$H979="Cancelled"),"",IF(AND($K979&lt;TODAY(),$H979&lt;&gt;"Completed",$H979&lt;&gt;"Cancelled"),"Overdue","On Track"))</f>
        <v/>
      </c>
      <c r="R979" s="81" t="n"/>
      <c r="S979" s="81">
        <f>IF($B979="","",IFERROR(INDEX(Task_Tracker!$AA$5:$AA$1004,MATCH($B979,Task_Tracker!$A$5:$A$1004,0)),""))</f>
        <v/>
      </c>
      <c r="T979" s="81">
        <f>IF($B979="","",IFERROR(INDEX(Task_Tracker!$AB$5:$AB$1004,MATCH($B979,Task_Tracker!$A$5:$A$1004,0)),""))</f>
        <v/>
      </c>
      <c r="U979" s="78">
        <f>IF($B979="","",IFERROR(INDEX(Task_Tracker!$F$5:$F$1004,MATCH($B979,Task_Tracker!$A$5:$A$1004,0)),""))</f>
        <v/>
      </c>
      <c r="V979" s="78">
        <f>IF($B979="","",IFERROR(INDEX(Task_Tracker!$I$5:$I$1004,MATCH($B979,Task_Tracker!$A$5:$A$1004,0)),""))</f>
        <v/>
      </c>
      <c r="W979" s="81">
        <f>IF(OR($D979="",$B979=""),"",$D979&amp;" | "&amp;$B979)</f>
        <v/>
      </c>
      <c r="X979" s="85">
        <f>IF($K979="","",TEXT($K979,"yyyy-mm"))</f>
        <v/>
      </c>
      <c r="Y979" s="81">
        <f>IF(OR($A979="",$T979=""),"","Included in Manager_Report")</f>
        <v/>
      </c>
    </row>
    <row r="980" ht="15" customHeight="1" s="40">
      <c r="A980" s="65">
        <f>IF(COUNTA(B980:G980)=0,"","STP-"&amp;TEXT(ROW()-4,"0000"))</f>
        <v/>
      </c>
      <c r="B980" s="78" t="n"/>
      <c r="C980" s="67">
        <f>IF($B980="","",IFERROR(INDEX(Task_Tracker!$D$5:$D$1004,MATCH($B980,Task_Tracker!$A$5:$A$1004,0)),""))</f>
        <v/>
      </c>
      <c r="D980" s="67">
        <f>IF($B980="","",IFERROR(INDEX(Task_Tracker!$B$5:$B$1004,MATCH($B980,Task_Tracker!$A$5:$A$1004,0)),""))</f>
        <v/>
      </c>
      <c r="E980" s="81" t="n"/>
      <c r="F980" s="81" t="n"/>
      <c r="G980" s="78" t="n"/>
      <c r="H980" s="78" t="n"/>
      <c r="I980" s="67">
        <f>IF($H980="","",IFERROR(INDEX(Action_Status_Map!$B$5:$B$11,MATCH($H980,Action_Status_Map!$A$5:$A$11,0)),""))</f>
        <v/>
      </c>
      <c r="J980" s="82" t="n"/>
      <c r="K980" s="82" t="n"/>
      <c r="L980" s="82" t="n"/>
      <c r="M980" s="83" t="n"/>
      <c r="N980" s="83" t="n"/>
      <c r="O980" s="66">
        <f>IF(OR($M980="",$N980=""),"",$N980-$M980)</f>
        <v/>
      </c>
      <c r="P980" s="84">
        <f>IF($J980="","",IF($L980&lt;&gt;"",$L980-$J980,TODAY()-$J980))</f>
        <v/>
      </c>
      <c r="Q980" s="85">
        <f>IF(OR($K980="",$H980="Completed",$H980="Cancelled"),"",IF(AND($K980&lt;TODAY(),$H980&lt;&gt;"Completed",$H980&lt;&gt;"Cancelled"),"Overdue","On Track"))</f>
        <v/>
      </c>
      <c r="R980" s="81" t="n"/>
      <c r="S980" s="81">
        <f>IF($B980="","",IFERROR(INDEX(Task_Tracker!$AA$5:$AA$1004,MATCH($B980,Task_Tracker!$A$5:$A$1004,0)),""))</f>
        <v/>
      </c>
      <c r="T980" s="81">
        <f>IF($B980="","",IFERROR(INDEX(Task_Tracker!$AB$5:$AB$1004,MATCH($B980,Task_Tracker!$A$5:$A$1004,0)),""))</f>
        <v/>
      </c>
      <c r="U980" s="78">
        <f>IF($B980="","",IFERROR(INDEX(Task_Tracker!$F$5:$F$1004,MATCH($B980,Task_Tracker!$A$5:$A$1004,0)),""))</f>
        <v/>
      </c>
      <c r="V980" s="78">
        <f>IF($B980="","",IFERROR(INDEX(Task_Tracker!$I$5:$I$1004,MATCH($B980,Task_Tracker!$A$5:$A$1004,0)),""))</f>
        <v/>
      </c>
      <c r="W980" s="81">
        <f>IF(OR($D980="",$B980=""),"",$D980&amp;" | "&amp;$B980)</f>
        <v/>
      </c>
      <c r="X980" s="85">
        <f>IF($K980="","",TEXT($K980,"yyyy-mm"))</f>
        <v/>
      </c>
      <c r="Y980" s="81">
        <f>IF(OR($A980="",$T980=""),"","Included in Manager_Report")</f>
        <v/>
      </c>
    </row>
    <row r="981" ht="15" customHeight="1" s="40">
      <c r="A981" s="65">
        <f>IF(COUNTA(B981:G981)=0,"","STP-"&amp;TEXT(ROW()-4,"0000"))</f>
        <v/>
      </c>
      <c r="B981" s="78" t="n"/>
      <c r="C981" s="67">
        <f>IF($B981="","",IFERROR(INDEX(Task_Tracker!$D$5:$D$1004,MATCH($B981,Task_Tracker!$A$5:$A$1004,0)),""))</f>
        <v/>
      </c>
      <c r="D981" s="67">
        <f>IF($B981="","",IFERROR(INDEX(Task_Tracker!$B$5:$B$1004,MATCH($B981,Task_Tracker!$A$5:$A$1004,0)),""))</f>
        <v/>
      </c>
      <c r="E981" s="81" t="n"/>
      <c r="F981" s="81" t="n"/>
      <c r="G981" s="78" t="n"/>
      <c r="H981" s="78" t="n"/>
      <c r="I981" s="67">
        <f>IF($H981="","",IFERROR(INDEX(Action_Status_Map!$B$5:$B$11,MATCH($H981,Action_Status_Map!$A$5:$A$11,0)),""))</f>
        <v/>
      </c>
      <c r="J981" s="82" t="n"/>
      <c r="K981" s="82" t="n"/>
      <c r="L981" s="82" t="n"/>
      <c r="M981" s="83" t="n"/>
      <c r="N981" s="83" t="n"/>
      <c r="O981" s="66">
        <f>IF(OR($M981="",$N981=""),"",$N981-$M981)</f>
        <v/>
      </c>
      <c r="P981" s="84">
        <f>IF($J981="","",IF($L981&lt;&gt;"",$L981-$J981,TODAY()-$J981))</f>
        <v/>
      </c>
      <c r="Q981" s="85">
        <f>IF(OR($K981="",$H981="Completed",$H981="Cancelled"),"",IF(AND($K981&lt;TODAY(),$H981&lt;&gt;"Completed",$H981&lt;&gt;"Cancelled"),"Overdue","On Track"))</f>
        <v/>
      </c>
      <c r="R981" s="81" t="n"/>
      <c r="S981" s="81">
        <f>IF($B981="","",IFERROR(INDEX(Task_Tracker!$AA$5:$AA$1004,MATCH($B981,Task_Tracker!$A$5:$A$1004,0)),""))</f>
        <v/>
      </c>
      <c r="T981" s="81">
        <f>IF($B981="","",IFERROR(INDEX(Task_Tracker!$AB$5:$AB$1004,MATCH($B981,Task_Tracker!$A$5:$A$1004,0)),""))</f>
        <v/>
      </c>
      <c r="U981" s="78">
        <f>IF($B981="","",IFERROR(INDEX(Task_Tracker!$F$5:$F$1004,MATCH($B981,Task_Tracker!$A$5:$A$1004,0)),""))</f>
        <v/>
      </c>
      <c r="V981" s="78">
        <f>IF($B981="","",IFERROR(INDEX(Task_Tracker!$I$5:$I$1004,MATCH($B981,Task_Tracker!$A$5:$A$1004,0)),""))</f>
        <v/>
      </c>
      <c r="W981" s="81">
        <f>IF(OR($D981="",$B981=""),"",$D981&amp;" | "&amp;$B981)</f>
        <v/>
      </c>
      <c r="X981" s="85">
        <f>IF($K981="","",TEXT($K981,"yyyy-mm"))</f>
        <v/>
      </c>
      <c r="Y981" s="81">
        <f>IF(OR($A981="",$T981=""),"","Included in Manager_Report")</f>
        <v/>
      </c>
    </row>
    <row r="982" ht="15" customHeight="1" s="40">
      <c r="A982" s="65">
        <f>IF(COUNTA(B982:G982)=0,"","STP-"&amp;TEXT(ROW()-4,"0000"))</f>
        <v/>
      </c>
      <c r="B982" s="78" t="n"/>
      <c r="C982" s="67">
        <f>IF($B982="","",IFERROR(INDEX(Task_Tracker!$D$5:$D$1004,MATCH($B982,Task_Tracker!$A$5:$A$1004,0)),""))</f>
        <v/>
      </c>
      <c r="D982" s="67">
        <f>IF($B982="","",IFERROR(INDEX(Task_Tracker!$B$5:$B$1004,MATCH($B982,Task_Tracker!$A$5:$A$1004,0)),""))</f>
        <v/>
      </c>
      <c r="E982" s="81" t="n"/>
      <c r="F982" s="81" t="n"/>
      <c r="G982" s="78" t="n"/>
      <c r="H982" s="78" t="n"/>
      <c r="I982" s="67">
        <f>IF($H982="","",IFERROR(INDEX(Action_Status_Map!$B$5:$B$11,MATCH($H982,Action_Status_Map!$A$5:$A$11,0)),""))</f>
        <v/>
      </c>
      <c r="J982" s="82" t="n"/>
      <c r="K982" s="82" t="n"/>
      <c r="L982" s="82" t="n"/>
      <c r="M982" s="83" t="n"/>
      <c r="N982" s="83" t="n"/>
      <c r="O982" s="66">
        <f>IF(OR($M982="",$N982=""),"",$N982-$M982)</f>
        <v/>
      </c>
      <c r="P982" s="84">
        <f>IF($J982="","",IF($L982&lt;&gt;"",$L982-$J982,TODAY()-$J982))</f>
        <v/>
      </c>
      <c r="Q982" s="85">
        <f>IF(OR($K982="",$H982="Completed",$H982="Cancelled"),"",IF(AND($K982&lt;TODAY(),$H982&lt;&gt;"Completed",$H982&lt;&gt;"Cancelled"),"Overdue","On Track"))</f>
        <v/>
      </c>
      <c r="R982" s="81" t="n"/>
      <c r="S982" s="81">
        <f>IF($B982="","",IFERROR(INDEX(Task_Tracker!$AA$5:$AA$1004,MATCH($B982,Task_Tracker!$A$5:$A$1004,0)),""))</f>
        <v/>
      </c>
      <c r="T982" s="81">
        <f>IF($B982="","",IFERROR(INDEX(Task_Tracker!$AB$5:$AB$1004,MATCH($B982,Task_Tracker!$A$5:$A$1004,0)),""))</f>
        <v/>
      </c>
      <c r="U982" s="78">
        <f>IF($B982="","",IFERROR(INDEX(Task_Tracker!$F$5:$F$1004,MATCH($B982,Task_Tracker!$A$5:$A$1004,0)),""))</f>
        <v/>
      </c>
      <c r="V982" s="78">
        <f>IF($B982="","",IFERROR(INDEX(Task_Tracker!$I$5:$I$1004,MATCH($B982,Task_Tracker!$A$5:$A$1004,0)),""))</f>
        <v/>
      </c>
      <c r="W982" s="81">
        <f>IF(OR($D982="",$B982=""),"",$D982&amp;" | "&amp;$B982)</f>
        <v/>
      </c>
      <c r="X982" s="85">
        <f>IF($K982="","",TEXT($K982,"yyyy-mm"))</f>
        <v/>
      </c>
      <c r="Y982" s="81">
        <f>IF(OR($A982="",$T982=""),"","Included in Manager_Report")</f>
        <v/>
      </c>
    </row>
    <row r="983" ht="15" customHeight="1" s="40">
      <c r="A983" s="65">
        <f>IF(COUNTA(B983:G983)=0,"","STP-"&amp;TEXT(ROW()-4,"0000"))</f>
        <v/>
      </c>
      <c r="B983" s="78" t="n"/>
      <c r="C983" s="67">
        <f>IF($B983="","",IFERROR(INDEX(Task_Tracker!$D$5:$D$1004,MATCH($B983,Task_Tracker!$A$5:$A$1004,0)),""))</f>
        <v/>
      </c>
      <c r="D983" s="67">
        <f>IF($B983="","",IFERROR(INDEX(Task_Tracker!$B$5:$B$1004,MATCH($B983,Task_Tracker!$A$5:$A$1004,0)),""))</f>
        <v/>
      </c>
      <c r="E983" s="81" t="n"/>
      <c r="F983" s="81" t="n"/>
      <c r="G983" s="78" t="n"/>
      <c r="H983" s="78" t="n"/>
      <c r="I983" s="67">
        <f>IF($H983="","",IFERROR(INDEX(Action_Status_Map!$B$5:$B$11,MATCH($H983,Action_Status_Map!$A$5:$A$11,0)),""))</f>
        <v/>
      </c>
      <c r="J983" s="82" t="n"/>
      <c r="K983" s="82" t="n"/>
      <c r="L983" s="82" t="n"/>
      <c r="M983" s="83" t="n"/>
      <c r="N983" s="83" t="n"/>
      <c r="O983" s="66">
        <f>IF(OR($M983="",$N983=""),"",$N983-$M983)</f>
        <v/>
      </c>
      <c r="P983" s="84">
        <f>IF($J983="","",IF($L983&lt;&gt;"",$L983-$J983,TODAY()-$J983))</f>
        <v/>
      </c>
      <c r="Q983" s="85">
        <f>IF(OR($K983="",$H983="Completed",$H983="Cancelled"),"",IF(AND($K983&lt;TODAY(),$H983&lt;&gt;"Completed",$H983&lt;&gt;"Cancelled"),"Overdue","On Track"))</f>
        <v/>
      </c>
      <c r="R983" s="81" t="n"/>
      <c r="S983" s="81">
        <f>IF($B983="","",IFERROR(INDEX(Task_Tracker!$AA$5:$AA$1004,MATCH($B983,Task_Tracker!$A$5:$A$1004,0)),""))</f>
        <v/>
      </c>
      <c r="T983" s="81">
        <f>IF($B983="","",IFERROR(INDEX(Task_Tracker!$AB$5:$AB$1004,MATCH($B983,Task_Tracker!$A$5:$A$1004,0)),""))</f>
        <v/>
      </c>
      <c r="U983" s="78">
        <f>IF($B983="","",IFERROR(INDEX(Task_Tracker!$F$5:$F$1004,MATCH($B983,Task_Tracker!$A$5:$A$1004,0)),""))</f>
        <v/>
      </c>
      <c r="V983" s="78">
        <f>IF($B983="","",IFERROR(INDEX(Task_Tracker!$I$5:$I$1004,MATCH($B983,Task_Tracker!$A$5:$A$1004,0)),""))</f>
        <v/>
      </c>
      <c r="W983" s="81">
        <f>IF(OR($D983="",$B983=""),"",$D983&amp;" | "&amp;$B983)</f>
        <v/>
      </c>
      <c r="X983" s="85">
        <f>IF($K983="","",TEXT($K983,"yyyy-mm"))</f>
        <v/>
      </c>
      <c r="Y983" s="81">
        <f>IF(OR($A983="",$T983=""),"","Included in Manager_Report")</f>
        <v/>
      </c>
    </row>
    <row r="984" ht="15" customHeight="1" s="40">
      <c r="A984" s="65">
        <f>IF(COUNTA(B984:G984)=0,"","STP-"&amp;TEXT(ROW()-4,"0000"))</f>
        <v/>
      </c>
      <c r="B984" s="78" t="n"/>
      <c r="C984" s="67">
        <f>IF($B984="","",IFERROR(INDEX(Task_Tracker!$D$5:$D$1004,MATCH($B984,Task_Tracker!$A$5:$A$1004,0)),""))</f>
        <v/>
      </c>
      <c r="D984" s="67">
        <f>IF($B984="","",IFERROR(INDEX(Task_Tracker!$B$5:$B$1004,MATCH($B984,Task_Tracker!$A$5:$A$1004,0)),""))</f>
        <v/>
      </c>
      <c r="E984" s="81" t="n"/>
      <c r="F984" s="81" t="n"/>
      <c r="G984" s="78" t="n"/>
      <c r="H984" s="78" t="n"/>
      <c r="I984" s="67">
        <f>IF($H984="","",IFERROR(INDEX(Action_Status_Map!$B$5:$B$11,MATCH($H984,Action_Status_Map!$A$5:$A$11,0)),""))</f>
        <v/>
      </c>
      <c r="J984" s="82" t="n"/>
      <c r="K984" s="82" t="n"/>
      <c r="L984" s="82" t="n"/>
      <c r="M984" s="83" t="n"/>
      <c r="N984" s="83" t="n"/>
      <c r="O984" s="66">
        <f>IF(OR($M984="",$N984=""),"",$N984-$M984)</f>
        <v/>
      </c>
      <c r="P984" s="84">
        <f>IF($J984="","",IF($L984&lt;&gt;"",$L984-$J984,TODAY()-$J984))</f>
        <v/>
      </c>
      <c r="Q984" s="85">
        <f>IF(OR($K984="",$H984="Completed",$H984="Cancelled"),"",IF(AND($K984&lt;TODAY(),$H984&lt;&gt;"Completed",$H984&lt;&gt;"Cancelled"),"Overdue","On Track"))</f>
        <v/>
      </c>
      <c r="R984" s="81" t="n"/>
      <c r="S984" s="81">
        <f>IF($B984="","",IFERROR(INDEX(Task_Tracker!$AA$5:$AA$1004,MATCH($B984,Task_Tracker!$A$5:$A$1004,0)),""))</f>
        <v/>
      </c>
      <c r="T984" s="81">
        <f>IF($B984="","",IFERROR(INDEX(Task_Tracker!$AB$5:$AB$1004,MATCH($B984,Task_Tracker!$A$5:$A$1004,0)),""))</f>
        <v/>
      </c>
      <c r="U984" s="78">
        <f>IF($B984="","",IFERROR(INDEX(Task_Tracker!$F$5:$F$1004,MATCH($B984,Task_Tracker!$A$5:$A$1004,0)),""))</f>
        <v/>
      </c>
      <c r="V984" s="78">
        <f>IF($B984="","",IFERROR(INDEX(Task_Tracker!$I$5:$I$1004,MATCH($B984,Task_Tracker!$A$5:$A$1004,0)),""))</f>
        <v/>
      </c>
      <c r="W984" s="81">
        <f>IF(OR($D984="",$B984=""),"",$D984&amp;" | "&amp;$B984)</f>
        <v/>
      </c>
      <c r="X984" s="85">
        <f>IF($K984="","",TEXT($K984,"yyyy-mm"))</f>
        <v/>
      </c>
      <c r="Y984" s="81">
        <f>IF(OR($A984="",$T984=""),"","Included in Manager_Report")</f>
        <v/>
      </c>
    </row>
    <row r="985" ht="15" customHeight="1" s="40">
      <c r="A985" s="65">
        <f>IF(COUNTA(B985:G985)=0,"","STP-"&amp;TEXT(ROW()-4,"0000"))</f>
        <v/>
      </c>
      <c r="B985" s="78" t="n"/>
      <c r="C985" s="67">
        <f>IF($B985="","",IFERROR(INDEX(Task_Tracker!$D$5:$D$1004,MATCH($B985,Task_Tracker!$A$5:$A$1004,0)),""))</f>
        <v/>
      </c>
      <c r="D985" s="67">
        <f>IF($B985="","",IFERROR(INDEX(Task_Tracker!$B$5:$B$1004,MATCH($B985,Task_Tracker!$A$5:$A$1004,0)),""))</f>
        <v/>
      </c>
      <c r="E985" s="81" t="n"/>
      <c r="F985" s="81" t="n"/>
      <c r="G985" s="78" t="n"/>
      <c r="H985" s="78" t="n"/>
      <c r="I985" s="67">
        <f>IF($H985="","",IFERROR(INDEX(Action_Status_Map!$B$5:$B$11,MATCH($H985,Action_Status_Map!$A$5:$A$11,0)),""))</f>
        <v/>
      </c>
      <c r="J985" s="82" t="n"/>
      <c r="K985" s="82" t="n"/>
      <c r="L985" s="82" t="n"/>
      <c r="M985" s="83" t="n"/>
      <c r="N985" s="83" t="n"/>
      <c r="O985" s="66">
        <f>IF(OR($M985="",$N985=""),"",$N985-$M985)</f>
        <v/>
      </c>
      <c r="P985" s="84">
        <f>IF($J985="","",IF($L985&lt;&gt;"",$L985-$J985,TODAY()-$J985))</f>
        <v/>
      </c>
      <c r="Q985" s="85">
        <f>IF(OR($K985="",$H985="Completed",$H985="Cancelled"),"",IF(AND($K985&lt;TODAY(),$H985&lt;&gt;"Completed",$H985&lt;&gt;"Cancelled"),"Overdue","On Track"))</f>
        <v/>
      </c>
      <c r="R985" s="81" t="n"/>
      <c r="S985" s="81">
        <f>IF($B985="","",IFERROR(INDEX(Task_Tracker!$AA$5:$AA$1004,MATCH($B985,Task_Tracker!$A$5:$A$1004,0)),""))</f>
        <v/>
      </c>
      <c r="T985" s="81">
        <f>IF($B985="","",IFERROR(INDEX(Task_Tracker!$AB$5:$AB$1004,MATCH($B985,Task_Tracker!$A$5:$A$1004,0)),""))</f>
        <v/>
      </c>
      <c r="U985" s="78">
        <f>IF($B985="","",IFERROR(INDEX(Task_Tracker!$F$5:$F$1004,MATCH($B985,Task_Tracker!$A$5:$A$1004,0)),""))</f>
        <v/>
      </c>
      <c r="V985" s="78">
        <f>IF($B985="","",IFERROR(INDEX(Task_Tracker!$I$5:$I$1004,MATCH($B985,Task_Tracker!$A$5:$A$1004,0)),""))</f>
        <v/>
      </c>
      <c r="W985" s="81">
        <f>IF(OR($D985="",$B985=""),"",$D985&amp;" | "&amp;$B985)</f>
        <v/>
      </c>
      <c r="X985" s="85">
        <f>IF($K985="","",TEXT($K985,"yyyy-mm"))</f>
        <v/>
      </c>
      <c r="Y985" s="81">
        <f>IF(OR($A985="",$T985=""),"","Included in Manager_Report")</f>
        <v/>
      </c>
    </row>
    <row r="986" ht="15" customHeight="1" s="40">
      <c r="A986" s="65">
        <f>IF(COUNTA(B986:G986)=0,"","STP-"&amp;TEXT(ROW()-4,"0000"))</f>
        <v/>
      </c>
      <c r="B986" s="78" t="n"/>
      <c r="C986" s="67">
        <f>IF($B986="","",IFERROR(INDEX(Task_Tracker!$D$5:$D$1004,MATCH($B986,Task_Tracker!$A$5:$A$1004,0)),""))</f>
        <v/>
      </c>
      <c r="D986" s="67">
        <f>IF($B986="","",IFERROR(INDEX(Task_Tracker!$B$5:$B$1004,MATCH($B986,Task_Tracker!$A$5:$A$1004,0)),""))</f>
        <v/>
      </c>
      <c r="E986" s="81" t="n"/>
      <c r="F986" s="81" t="n"/>
      <c r="G986" s="78" t="n"/>
      <c r="H986" s="78" t="n"/>
      <c r="I986" s="67">
        <f>IF($H986="","",IFERROR(INDEX(Action_Status_Map!$B$5:$B$11,MATCH($H986,Action_Status_Map!$A$5:$A$11,0)),""))</f>
        <v/>
      </c>
      <c r="J986" s="82" t="n"/>
      <c r="K986" s="82" t="n"/>
      <c r="L986" s="82" t="n"/>
      <c r="M986" s="83" t="n"/>
      <c r="N986" s="83" t="n"/>
      <c r="O986" s="66">
        <f>IF(OR($M986="",$N986=""),"",$N986-$M986)</f>
        <v/>
      </c>
      <c r="P986" s="84">
        <f>IF($J986="","",IF($L986&lt;&gt;"",$L986-$J986,TODAY()-$J986))</f>
        <v/>
      </c>
      <c r="Q986" s="85">
        <f>IF(OR($K986="",$H986="Completed",$H986="Cancelled"),"",IF(AND($K986&lt;TODAY(),$H986&lt;&gt;"Completed",$H986&lt;&gt;"Cancelled"),"Overdue","On Track"))</f>
        <v/>
      </c>
      <c r="R986" s="81" t="n"/>
      <c r="S986" s="81">
        <f>IF($B986="","",IFERROR(INDEX(Task_Tracker!$AA$5:$AA$1004,MATCH($B986,Task_Tracker!$A$5:$A$1004,0)),""))</f>
        <v/>
      </c>
      <c r="T986" s="81">
        <f>IF($B986="","",IFERROR(INDEX(Task_Tracker!$AB$5:$AB$1004,MATCH($B986,Task_Tracker!$A$5:$A$1004,0)),""))</f>
        <v/>
      </c>
      <c r="U986" s="78">
        <f>IF($B986="","",IFERROR(INDEX(Task_Tracker!$F$5:$F$1004,MATCH($B986,Task_Tracker!$A$5:$A$1004,0)),""))</f>
        <v/>
      </c>
      <c r="V986" s="78">
        <f>IF($B986="","",IFERROR(INDEX(Task_Tracker!$I$5:$I$1004,MATCH($B986,Task_Tracker!$A$5:$A$1004,0)),""))</f>
        <v/>
      </c>
      <c r="W986" s="81">
        <f>IF(OR($D986="",$B986=""),"",$D986&amp;" | "&amp;$B986)</f>
        <v/>
      </c>
      <c r="X986" s="85">
        <f>IF($K986="","",TEXT($K986,"yyyy-mm"))</f>
        <v/>
      </c>
      <c r="Y986" s="81">
        <f>IF(OR($A986="",$T986=""),"","Included in Manager_Report")</f>
        <v/>
      </c>
    </row>
    <row r="987" ht="15" customHeight="1" s="40">
      <c r="A987" s="65">
        <f>IF(COUNTA(B987:G987)=0,"","STP-"&amp;TEXT(ROW()-4,"0000"))</f>
        <v/>
      </c>
      <c r="B987" s="78" t="n"/>
      <c r="C987" s="67">
        <f>IF($B987="","",IFERROR(INDEX(Task_Tracker!$D$5:$D$1004,MATCH($B987,Task_Tracker!$A$5:$A$1004,0)),""))</f>
        <v/>
      </c>
      <c r="D987" s="67">
        <f>IF($B987="","",IFERROR(INDEX(Task_Tracker!$B$5:$B$1004,MATCH($B987,Task_Tracker!$A$5:$A$1004,0)),""))</f>
        <v/>
      </c>
      <c r="E987" s="81" t="n"/>
      <c r="F987" s="81" t="n"/>
      <c r="G987" s="78" t="n"/>
      <c r="H987" s="78" t="n"/>
      <c r="I987" s="67">
        <f>IF($H987="","",IFERROR(INDEX(Action_Status_Map!$B$5:$B$11,MATCH($H987,Action_Status_Map!$A$5:$A$11,0)),""))</f>
        <v/>
      </c>
      <c r="J987" s="82" t="n"/>
      <c r="K987" s="82" t="n"/>
      <c r="L987" s="82" t="n"/>
      <c r="M987" s="83" t="n"/>
      <c r="N987" s="83" t="n"/>
      <c r="O987" s="66">
        <f>IF(OR($M987="",$N987=""),"",$N987-$M987)</f>
        <v/>
      </c>
      <c r="P987" s="84">
        <f>IF($J987="","",IF($L987&lt;&gt;"",$L987-$J987,TODAY()-$J987))</f>
        <v/>
      </c>
      <c r="Q987" s="85">
        <f>IF(OR($K987="",$H987="Completed",$H987="Cancelled"),"",IF(AND($K987&lt;TODAY(),$H987&lt;&gt;"Completed",$H987&lt;&gt;"Cancelled"),"Overdue","On Track"))</f>
        <v/>
      </c>
      <c r="R987" s="81" t="n"/>
      <c r="S987" s="81">
        <f>IF($B987="","",IFERROR(INDEX(Task_Tracker!$AA$5:$AA$1004,MATCH($B987,Task_Tracker!$A$5:$A$1004,0)),""))</f>
        <v/>
      </c>
      <c r="T987" s="81">
        <f>IF($B987="","",IFERROR(INDEX(Task_Tracker!$AB$5:$AB$1004,MATCH($B987,Task_Tracker!$A$5:$A$1004,0)),""))</f>
        <v/>
      </c>
      <c r="U987" s="78">
        <f>IF($B987="","",IFERROR(INDEX(Task_Tracker!$F$5:$F$1004,MATCH($B987,Task_Tracker!$A$5:$A$1004,0)),""))</f>
        <v/>
      </c>
      <c r="V987" s="78">
        <f>IF($B987="","",IFERROR(INDEX(Task_Tracker!$I$5:$I$1004,MATCH($B987,Task_Tracker!$A$5:$A$1004,0)),""))</f>
        <v/>
      </c>
      <c r="W987" s="81">
        <f>IF(OR($D987="",$B987=""),"",$D987&amp;" | "&amp;$B987)</f>
        <v/>
      </c>
      <c r="X987" s="85">
        <f>IF($K987="","",TEXT($K987,"yyyy-mm"))</f>
        <v/>
      </c>
      <c r="Y987" s="81">
        <f>IF(OR($A987="",$T987=""),"","Included in Manager_Report")</f>
        <v/>
      </c>
    </row>
    <row r="988" ht="15" customHeight="1" s="40">
      <c r="A988" s="65">
        <f>IF(COUNTA(B988:G988)=0,"","STP-"&amp;TEXT(ROW()-4,"0000"))</f>
        <v/>
      </c>
      <c r="B988" s="78" t="n"/>
      <c r="C988" s="67">
        <f>IF($B988="","",IFERROR(INDEX(Task_Tracker!$D$5:$D$1004,MATCH($B988,Task_Tracker!$A$5:$A$1004,0)),""))</f>
        <v/>
      </c>
      <c r="D988" s="67">
        <f>IF($B988="","",IFERROR(INDEX(Task_Tracker!$B$5:$B$1004,MATCH($B988,Task_Tracker!$A$5:$A$1004,0)),""))</f>
        <v/>
      </c>
      <c r="E988" s="81" t="n"/>
      <c r="F988" s="81" t="n"/>
      <c r="G988" s="78" t="n"/>
      <c r="H988" s="78" t="n"/>
      <c r="I988" s="67">
        <f>IF($H988="","",IFERROR(INDEX(Action_Status_Map!$B$5:$B$11,MATCH($H988,Action_Status_Map!$A$5:$A$11,0)),""))</f>
        <v/>
      </c>
      <c r="J988" s="82" t="n"/>
      <c r="K988" s="82" t="n"/>
      <c r="L988" s="82" t="n"/>
      <c r="M988" s="83" t="n"/>
      <c r="N988" s="83" t="n"/>
      <c r="O988" s="66">
        <f>IF(OR($M988="",$N988=""),"",$N988-$M988)</f>
        <v/>
      </c>
      <c r="P988" s="84">
        <f>IF($J988="","",IF($L988&lt;&gt;"",$L988-$J988,TODAY()-$J988))</f>
        <v/>
      </c>
      <c r="Q988" s="85">
        <f>IF(OR($K988="",$H988="Completed",$H988="Cancelled"),"",IF(AND($K988&lt;TODAY(),$H988&lt;&gt;"Completed",$H988&lt;&gt;"Cancelled"),"Overdue","On Track"))</f>
        <v/>
      </c>
      <c r="R988" s="81" t="n"/>
      <c r="S988" s="81">
        <f>IF($B988="","",IFERROR(INDEX(Task_Tracker!$AA$5:$AA$1004,MATCH($B988,Task_Tracker!$A$5:$A$1004,0)),""))</f>
        <v/>
      </c>
      <c r="T988" s="81">
        <f>IF($B988="","",IFERROR(INDEX(Task_Tracker!$AB$5:$AB$1004,MATCH($B988,Task_Tracker!$A$5:$A$1004,0)),""))</f>
        <v/>
      </c>
      <c r="U988" s="78">
        <f>IF($B988="","",IFERROR(INDEX(Task_Tracker!$F$5:$F$1004,MATCH($B988,Task_Tracker!$A$5:$A$1004,0)),""))</f>
        <v/>
      </c>
      <c r="V988" s="78">
        <f>IF($B988="","",IFERROR(INDEX(Task_Tracker!$I$5:$I$1004,MATCH($B988,Task_Tracker!$A$5:$A$1004,0)),""))</f>
        <v/>
      </c>
      <c r="W988" s="81">
        <f>IF(OR($D988="",$B988=""),"",$D988&amp;" | "&amp;$B988)</f>
        <v/>
      </c>
      <c r="X988" s="85">
        <f>IF($K988="","",TEXT($K988,"yyyy-mm"))</f>
        <v/>
      </c>
      <c r="Y988" s="81">
        <f>IF(OR($A988="",$T988=""),"","Included in Manager_Report")</f>
        <v/>
      </c>
    </row>
    <row r="989" ht="15" customHeight="1" s="40">
      <c r="A989" s="65">
        <f>IF(COUNTA(B989:G989)=0,"","STP-"&amp;TEXT(ROW()-4,"0000"))</f>
        <v/>
      </c>
      <c r="B989" s="78" t="n"/>
      <c r="C989" s="67">
        <f>IF($B989="","",IFERROR(INDEX(Task_Tracker!$D$5:$D$1004,MATCH($B989,Task_Tracker!$A$5:$A$1004,0)),""))</f>
        <v/>
      </c>
      <c r="D989" s="67">
        <f>IF($B989="","",IFERROR(INDEX(Task_Tracker!$B$5:$B$1004,MATCH($B989,Task_Tracker!$A$5:$A$1004,0)),""))</f>
        <v/>
      </c>
      <c r="E989" s="81" t="n"/>
      <c r="F989" s="81" t="n"/>
      <c r="G989" s="78" t="n"/>
      <c r="H989" s="78" t="n"/>
      <c r="I989" s="67">
        <f>IF($H989="","",IFERROR(INDEX(Action_Status_Map!$B$5:$B$11,MATCH($H989,Action_Status_Map!$A$5:$A$11,0)),""))</f>
        <v/>
      </c>
      <c r="J989" s="82" t="n"/>
      <c r="K989" s="82" t="n"/>
      <c r="L989" s="82" t="n"/>
      <c r="M989" s="83" t="n"/>
      <c r="N989" s="83" t="n"/>
      <c r="O989" s="66">
        <f>IF(OR($M989="",$N989=""),"",$N989-$M989)</f>
        <v/>
      </c>
      <c r="P989" s="84">
        <f>IF($J989="","",IF($L989&lt;&gt;"",$L989-$J989,TODAY()-$J989))</f>
        <v/>
      </c>
      <c r="Q989" s="85">
        <f>IF(OR($K989="",$H989="Completed",$H989="Cancelled"),"",IF(AND($K989&lt;TODAY(),$H989&lt;&gt;"Completed",$H989&lt;&gt;"Cancelled"),"Overdue","On Track"))</f>
        <v/>
      </c>
      <c r="R989" s="81" t="n"/>
      <c r="S989" s="81">
        <f>IF($B989="","",IFERROR(INDEX(Task_Tracker!$AA$5:$AA$1004,MATCH($B989,Task_Tracker!$A$5:$A$1004,0)),""))</f>
        <v/>
      </c>
      <c r="T989" s="81">
        <f>IF($B989="","",IFERROR(INDEX(Task_Tracker!$AB$5:$AB$1004,MATCH($B989,Task_Tracker!$A$5:$A$1004,0)),""))</f>
        <v/>
      </c>
      <c r="U989" s="78">
        <f>IF($B989="","",IFERROR(INDEX(Task_Tracker!$F$5:$F$1004,MATCH($B989,Task_Tracker!$A$5:$A$1004,0)),""))</f>
        <v/>
      </c>
      <c r="V989" s="78">
        <f>IF($B989="","",IFERROR(INDEX(Task_Tracker!$I$5:$I$1004,MATCH($B989,Task_Tracker!$A$5:$A$1004,0)),""))</f>
        <v/>
      </c>
      <c r="W989" s="81">
        <f>IF(OR($D989="",$B989=""),"",$D989&amp;" | "&amp;$B989)</f>
        <v/>
      </c>
      <c r="X989" s="85">
        <f>IF($K989="","",TEXT($K989,"yyyy-mm"))</f>
        <v/>
      </c>
      <c r="Y989" s="81">
        <f>IF(OR($A989="",$T989=""),"","Included in Manager_Report")</f>
        <v/>
      </c>
    </row>
    <row r="990" ht="15" customHeight="1" s="40">
      <c r="A990" s="65">
        <f>IF(COUNTA(B990:G990)=0,"","STP-"&amp;TEXT(ROW()-4,"0000"))</f>
        <v/>
      </c>
      <c r="B990" s="78" t="n"/>
      <c r="C990" s="67">
        <f>IF($B990="","",IFERROR(INDEX(Task_Tracker!$D$5:$D$1004,MATCH($B990,Task_Tracker!$A$5:$A$1004,0)),""))</f>
        <v/>
      </c>
      <c r="D990" s="67">
        <f>IF($B990="","",IFERROR(INDEX(Task_Tracker!$B$5:$B$1004,MATCH($B990,Task_Tracker!$A$5:$A$1004,0)),""))</f>
        <v/>
      </c>
      <c r="E990" s="81" t="n"/>
      <c r="F990" s="81" t="n"/>
      <c r="G990" s="78" t="n"/>
      <c r="H990" s="78" t="n"/>
      <c r="I990" s="67">
        <f>IF($H990="","",IFERROR(INDEX(Action_Status_Map!$B$5:$B$11,MATCH($H990,Action_Status_Map!$A$5:$A$11,0)),""))</f>
        <v/>
      </c>
      <c r="J990" s="82" t="n"/>
      <c r="K990" s="82" t="n"/>
      <c r="L990" s="82" t="n"/>
      <c r="M990" s="83" t="n"/>
      <c r="N990" s="83" t="n"/>
      <c r="O990" s="66">
        <f>IF(OR($M990="",$N990=""),"",$N990-$M990)</f>
        <v/>
      </c>
      <c r="P990" s="84">
        <f>IF($J990="","",IF($L990&lt;&gt;"",$L990-$J990,TODAY()-$J990))</f>
        <v/>
      </c>
      <c r="Q990" s="85">
        <f>IF(OR($K990="",$H990="Completed",$H990="Cancelled"),"",IF(AND($K990&lt;TODAY(),$H990&lt;&gt;"Completed",$H990&lt;&gt;"Cancelled"),"Overdue","On Track"))</f>
        <v/>
      </c>
      <c r="R990" s="81" t="n"/>
      <c r="S990" s="81">
        <f>IF($B990="","",IFERROR(INDEX(Task_Tracker!$AA$5:$AA$1004,MATCH($B990,Task_Tracker!$A$5:$A$1004,0)),""))</f>
        <v/>
      </c>
      <c r="T990" s="81">
        <f>IF($B990="","",IFERROR(INDEX(Task_Tracker!$AB$5:$AB$1004,MATCH($B990,Task_Tracker!$A$5:$A$1004,0)),""))</f>
        <v/>
      </c>
      <c r="U990" s="78">
        <f>IF($B990="","",IFERROR(INDEX(Task_Tracker!$F$5:$F$1004,MATCH($B990,Task_Tracker!$A$5:$A$1004,0)),""))</f>
        <v/>
      </c>
      <c r="V990" s="78">
        <f>IF($B990="","",IFERROR(INDEX(Task_Tracker!$I$5:$I$1004,MATCH($B990,Task_Tracker!$A$5:$A$1004,0)),""))</f>
        <v/>
      </c>
      <c r="W990" s="81">
        <f>IF(OR($D990="",$B990=""),"",$D990&amp;" | "&amp;$B990)</f>
        <v/>
      </c>
      <c r="X990" s="85">
        <f>IF($K990="","",TEXT($K990,"yyyy-mm"))</f>
        <v/>
      </c>
      <c r="Y990" s="81">
        <f>IF(OR($A990="",$T990=""),"","Included in Manager_Report")</f>
        <v/>
      </c>
    </row>
    <row r="991" ht="15" customHeight="1" s="40">
      <c r="A991" s="65">
        <f>IF(COUNTA(B991:G991)=0,"","STP-"&amp;TEXT(ROW()-4,"0000"))</f>
        <v/>
      </c>
      <c r="B991" s="78" t="n"/>
      <c r="C991" s="67">
        <f>IF($B991="","",IFERROR(INDEX(Task_Tracker!$D$5:$D$1004,MATCH($B991,Task_Tracker!$A$5:$A$1004,0)),""))</f>
        <v/>
      </c>
      <c r="D991" s="67">
        <f>IF($B991="","",IFERROR(INDEX(Task_Tracker!$B$5:$B$1004,MATCH($B991,Task_Tracker!$A$5:$A$1004,0)),""))</f>
        <v/>
      </c>
      <c r="E991" s="81" t="n"/>
      <c r="F991" s="81" t="n"/>
      <c r="G991" s="78" t="n"/>
      <c r="H991" s="78" t="n"/>
      <c r="I991" s="67">
        <f>IF($H991="","",IFERROR(INDEX(Action_Status_Map!$B$5:$B$11,MATCH($H991,Action_Status_Map!$A$5:$A$11,0)),""))</f>
        <v/>
      </c>
      <c r="J991" s="82" t="n"/>
      <c r="K991" s="82" t="n"/>
      <c r="L991" s="82" t="n"/>
      <c r="M991" s="83" t="n"/>
      <c r="N991" s="83" t="n"/>
      <c r="O991" s="66">
        <f>IF(OR($M991="",$N991=""),"",$N991-$M991)</f>
        <v/>
      </c>
      <c r="P991" s="84">
        <f>IF($J991="","",IF($L991&lt;&gt;"",$L991-$J991,TODAY()-$J991))</f>
        <v/>
      </c>
      <c r="Q991" s="85">
        <f>IF(OR($K991="",$H991="Completed",$H991="Cancelled"),"",IF(AND($K991&lt;TODAY(),$H991&lt;&gt;"Completed",$H991&lt;&gt;"Cancelled"),"Overdue","On Track"))</f>
        <v/>
      </c>
      <c r="R991" s="81" t="n"/>
      <c r="S991" s="81">
        <f>IF($B991="","",IFERROR(INDEX(Task_Tracker!$AA$5:$AA$1004,MATCH($B991,Task_Tracker!$A$5:$A$1004,0)),""))</f>
        <v/>
      </c>
      <c r="T991" s="81">
        <f>IF($B991="","",IFERROR(INDEX(Task_Tracker!$AB$5:$AB$1004,MATCH($B991,Task_Tracker!$A$5:$A$1004,0)),""))</f>
        <v/>
      </c>
      <c r="U991" s="78">
        <f>IF($B991="","",IFERROR(INDEX(Task_Tracker!$F$5:$F$1004,MATCH($B991,Task_Tracker!$A$5:$A$1004,0)),""))</f>
        <v/>
      </c>
      <c r="V991" s="78">
        <f>IF($B991="","",IFERROR(INDEX(Task_Tracker!$I$5:$I$1004,MATCH($B991,Task_Tracker!$A$5:$A$1004,0)),""))</f>
        <v/>
      </c>
      <c r="W991" s="81">
        <f>IF(OR($D991="",$B991=""),"",$D991&amp;" | "&amp;$B991)</f>
        <v/>
      </c>
      <c r="X991" s="85">
        <f>IF($K991="","",TEXT($K991,"yyyy-mm"))</f>
        <v/>
      </c>
      <c r="Y991" s="81">
        <f>IF(OR($A991="",$T991=""),"","Included in Manager_Report")</f>
        <v/>
      </c>
    </row>
    <row r="992" ht="15" customHeight="1" s="40">
      <c r="A992" s="65">
        <f>IF(COUNTA(B992:G992)=0,"","STP-"&amp;TEXT(ROW()-4,"0000"))</f>
        <v/>
      </c>
      <c r="B992" s="78" t="n"/>
      <c r="C992" s="67">
        <f>IF($B992="","",IFERROR(INDEX(Task_Tracker!$D$5:$D$1004,MATCH($B992,Task_Tracker!$A$5:$A$1004,0)),""))</f>
        <v/>
      </c>
      <c r="D992" s="67">
        <f>IF($B992="","",IFERROR(INDEX(Task_Tracker!$B$5:$B$1004,MATCH($B992,Task_Tracker!$A$5:$A$1004,0)),""))</f>
        <v/>
      </c>
      <c r="E992" s="81" t="n"/>
      <c r="F992" s="81" t="n"/>
      <c r="G992" s="78" t="n"/>
      <c r="H992" s="78" t="n"/>
      <c r="I992" s="67">
        <f>IF($H992="","",IFERROR(INDEX(Action_Status_Map!$B$5:$B$11,MATCH($H992,Action_Status_Map!$A$5:$A$11,0)),""))</f>
        <v/>
      </c>
      <c r="J992" s="82" t="n"/>
      <c r="K992" s="82" t="n"/>
      <c r="L992" s="82" t="n"/>
      <c r="M992" s="83" t="n"/>
      <c r="N992" s="83" t="n"/>
      <c r="O992" s="66">
        <f>IF(OR($M992="",$N992=""),"",$N992-$M992)</f>
        <v/>
      </c>
      <c r="P992" s="84">
        <f>IF($J992="","",IF($L992&lt;&gt;"",$L992-$J992,TODAY()-$J992))</f>
        <v/>
      </c>
      <c r="Q992" s="85">
        <f>IF(OR($K992="",$H992="Completed",$H992="Cancelled"),"",IF(AND($K992&lt;TODAY(),$H992&lt;&gt;"Completed",$H992&lt;&gt;"Cancelled"),"Overdue","On Track"))</f>
        <v/>
      </c>
      <c r="R992" s="81" t="n"/>
      <c r="S992" s="81">
        <f>IF($B992="","",IFERROR(INDEX(Task_Tracker!$AA$5:$AA$1004,MATCH($B992,Task_Tracker!$A$5:$A$1004,0)),""))</f>
        <v/>
      </c>
      <c r="T992" s="81">
        <f>IF($B992="","",IFERROR(INDEX(Task_Tracker!$AB$5:$AB$1004,MATCH($B992,Task_Tracker!$A$5:$A$1004,0)),""))</f>
        <v/>
      </c>
      <c r="U992" s="78">
        <f>IF($B992="","",IFERROR(INDEX(Task_Tracker!$F$5:$F$1004,MATCH($B992,Task_Tracker!$A$5:$A$1004,0)),""))</f>
        <v/>
      </c>
      <c r="V992" s="78">
        <f>IF($B992="","",IFERROR(INDEX(Task_Tracker!$I$5:$I$1004,MATCH($B992,Task_Tracker!$A$5:$A$1004,0)),""))</f>
        <v/>
      </c>
      <c r="W992" s="81">
        <f>IF(OR($D992="",$B992=""),"",$D992&amp;" | "&amp;$B992)</f>
        <v/>
      </c>
      <c r="X992" s="85">
        <f>IF($K992="","",TEXT($K992,"yyyy-mm"))</f>
        <v/>
      </c>
      <c r="Y992" s="81">
        <f>IF(OR($A992="",$T992=""),"","Included in Manager_Report")</f>
        <v/>
      </c>
    </row>
    <row r="993" ht="15" customHeight="1" s="40">
      <c r="A993" s="65">
        <f>IF(COUNTA(B993:G993)=0,"","STP-"&amp;TEXT(ROW()-4,"0000"))</f>
        <v/>
      </c>
      <c r="B993" s="78" t="n"/>
      <c r="C993" s="67">
        <f>IF($B993="","",IFERROR(INDEX(Task_Tracker!$D$5:$D$1004,MATCH($B993,Task_Tracker!$A$5:$A$1004,0)),""))</f>
        <v/>
      </c>
      <c r="D993" s="67">
        <f>IF($B993="","",IFERROR(INDEX(Task_Tracker!$B$5:$B$1004,MATCH($B993,Task_Tracker!$A$5:$A$1004,0)),""))</f>
        <v/>
      </c>
      <c r="E993" s="81" t="n"/>
      <c r="F993" s="81" t="n"/>
      <c r="G993" s="78" t="n"/>
      <c r="H993" s="78" t="n"/>
      <c r="I993" s="67">
        <f>IF($H993="","",IFERROR(INDEX(Action_Status_Map!$B$5:$B$11,MATCH($H993,Action_Status_Map!$A$5:$A$11,0)),""))</f>
        <v/>
      </c>
      <c r="J993" s="82" t="n"/>
      <c r="K993" s="82" t="n"/>
      <c r="L993" s="82" t="n"/>
      <c r="M993" s="83" t="n"/>
      <c r="N993" s="83" t="n"/>
      <c r="O993" s="66">
        <f>IF(OR($M993="",$N993=""),"",$N993-$M993)</f>
        <v/>
      </c>
      <c r="P993" s="84">
        <f>IF($J993="","",IF($L993&lt;&gt;"",$L993-$J993,TODAY()-$J993))</f>
        <v/>
      </c>
      <c r="Q993" s="85">
        <f>IF(OR($K993="",$H993="Completed",$H993="Cancelled"),"",IF(AND($K993&lt;TODAY(),$H993&lt;&gt;"Completed",$H993&lt;&gt;"Cancelled"),"Overdue","On Track"))</f>
        <v/>
      </c>
      <c r="R993" s="81" t="n"/>
      <c r="S993" s="81">
        <f>IF($B993="","",IFERROR(INDEX(Task_Tracker!$AA$5:$AA$1004,MATCH($B993,Task_Tracker!$A$5:$A$1004,0)),""))</f>
        <v/>
      </c>
      <c r="T993" s="81">
        <f>IF($B993="","",IFERROR(INDEX(Task_Tracker!$AB$5:$AB$1004,MATCH($B993,Task_Tracker!$A$5:$A$1004,0)),""))</f>
        <v/>
      </c>
      <c r="U993" s="78">
        <f>IF($B993="","",IFERROR(INDEX(Task_Tracker!$F$5:$F$1004,MATCH($B993,Task_Tracker!$A$5:$A$1004,0)),""))</f>
        <v/>
      </c>
      <c r="V993" s="78">
        <f>IF($B993="","",IFERROR(INDEX(Task_Tracker!$I$5:$I$1004,MATCH($B993,Task_Tracker!$A$5:$A$1004,0)),""))</f>
        <v/>
      </c>
      <c r="W993" s="81">
        <f>IF(OR($D993="",$B993=""),"",$D993&amp;" | "&amp;$B993)</f>
        <v/>
      </c>
      <c r="X993" s="85">
        <f>IF($K993="","",TEXT($K993,"yyyy-mm"))</f>
        <v/>
      </c>
      <c r="Y993" s="81">
        <f>IF(OR($A993="",$T993=""),"","Included in Manager_Report")</f>
        <v/>
      </c>
    </row>
    <row r="994" ht="15" customHeight="1" s="40">
      <c r="A994" s="65">
        <f>IF(COUNTA(B994:G994)=0,"","STP-"&amp;TEXT(ROW()-4,"0000"))</f>
        <v/>
      </c>
      <c r="B994" s="78" t="n"/>
      <c r="C994" s="67">
        <f>IF($B994="","",IFERROR(INDEX(Task_Tracker!$D$5:$D$1004,MATCH($B994,Task_Tracker!$A$5:$A$1004,0)),""))</f>
        <v/>
      </c>
      <c r="D994" s="67">
        <f>IF($B994="","",IFERROR(INDEX(Task_Tracker!$B$5:$B$1004,MATCH($B994,Task_Tracker!$A$5:$A$1004,0)),""))</f>
        <v/>
      </c>
      <c r="E994" s="81" t="n"/>
      <c r="F994" s="81" t="n"/>
      <c r="G994" s="78" t="n"/>
      <c r="H994" s="78" t="n"/>
      <c r="I994" s="67">
        <f>IF($H994="","",IFERROR(INDEX(Action_Status_Map!$B$5:$B$11,MATCH($H994,Action_Status_Map!$A$5:$A$11,0)),""))</f>
        <v/>
      </c>
      <c r="J994" s="82" t="n"/>
      <c r="K994" s="82" t="n"/>
      <c r="L994" s="82" t="n"/>
      <c r="M994" s="83" t="n"/>
      <c r="N994" s="83" t="n"/>
      <c r="O994" s="66">
        <f>IF(OR($M994="",$N994=""),"",$N994-$M994)</f>
        <v/>
      </c>
      <c r="P994" s="84">
        <f>IF($J994="","",IF($L994&lt;&gt;"",$L994-$J994,TODAY()-$J994))</f>
        <v/>
      </c>
      <c r="Q994" s="85">
        <f>IF(OR($K994="",$H994="Completed",$H994="Cancelled"),"",IF(AND($K994&lt;TODAY(),$H994&lt;&gt;"Completed",$H994&lt;&gt;"Cancelled"),"Overdue","On Track"))</f>
        <v/>
      </c>
      <c r="R994" s="81" t="n"/>
      <c r="S994" s="81">
        <f>IF($B994="","",IFERROR(INDEX(Task_Tracker!$AA$5:$AA$1004,MATCH($B994,Task_Tracker!$A$5:$A$1004,0)),""))</f>
        <v/>
      </c>
      <c r="T994" s="81">
        <f>IF($B994="","",IFERROR(INDEX(Task_Tracker!$AB$5:$AB$1004,MATCH($B994,Task_Tracker!$A$5:$A$1004,0)),""))</f>
        <v/>
      </c>
      <c r="U994" s="78">
        <f>IF($B994="","",IFERROR(INDEX(Task_Tracker!$F$5:$F$1004,MATCH($B994,Task_Tracker!$A$5:$A$1004,0)),""))</f>
        <v/>
      </c>
      <c r="V994" s="78">
        <f>IF($B994="","",IFERROR(INDEX(Task_Tracker!$I$5:$I$1004,MATCH($B994,Task_Tracker!$A$5:$A$1004,0)),""))</f>
        <v/>
      </c>
      <c r="W994" s="81">
        <f>IF(OR($D994="",$B994=""),"",$D994&amp;" | "&amp;$B994)</f>
        <v/>
      </c>
      <c r="X994" s="85">
        <f>IF($K994="","",TEXT($K994,"yyyy-mm"))</f>
        <v/>
      </c>
      <c r="Y994" s="81">
        <f>IF(OR($A994="",$T994=""),"","Included in Manager_Report")</f>
        <v/>
      </c>
    </row>
    <row r="995" ht="15" customHeight="1" s="40">
      <c r="A995" s="65">
        <f>IF(COUNTA(B995:G995)=0,"","STP-"&amp;TEXT(ROW()-4,"0000"))</f>
        <v/>
      </c>
      <c r="B995" s="78" t="n"/>
      <c r="C995" s="67">
        <f>IF($B995="","",IFERROR(INDEX(Task_Tracker!$D$5:$D$1004,MATCH($B995,Task_Tracker!$A$5:$A$1004,0)),""))</f>
        <v/>
      </c>
      <c r="D995" s="67">
        <f>IF($B995="","",IFERROR(INDEX(Task_Tracker!$B$5:$B$1004,MATCH($B995,Task_Tracker!$A$5:$A$1004,0)),""))</f>
        <v/>
      </c>
      <c r="E995" s="81" t="n"/>
      <c r="F995" s="81" t="n"/>
      <c r="G995" s="78" t="n"/>
      <c r="H995" s="78" t="n"/>
      <c r="I995" s="67">
        <f>IF($H995="","",IFERROR(INDEX(Action_Status_Map!$B$5:$B$11,MATCH($H995,Action_Status_Map!$A$5:$A$11,0)),""))</f>
        <v/>
      </c>
      <c r="J995" s="82" t="n"/>
      <c r="K995" s="82" t="n"/>
      <c r="L995" s="82" t="n"/>
      <c r="M995" s="83" t="n"/>
      <c r="N995" s="83" t="n"/>
      <c r="O995" s="66">
        <f>IF(OR($M995="",$N995=""),"",$N995-$M995)</f>
        <v/>
      </c>
      <c r="P995" s="84">
        <f>IF($J995="","",IF($L995&lt;&gt;"",$L995-$J995,TODAY()-$J995))</f>
        <v/>
      </c>
      <c r="Q995" s="85">
        <f>IF(OR($K995="",$H995="Completed",$H995="Cancelled"),"",IF(AND($K995&lt;TODAY(),$H995&lt;&gt;"Completed",$H995&lt;&gt;"Cancelled"),"Overdue","On Track"))</f>
        <v/>
      </c>
      <c r="R995" s="81" t="n"/>
      <c r="S995" s="81">
        <f>IF($B995="","",IFERROR(INDEX(Task_Tracker!$AA$5:$AA$1004,MATCH($B995,Task_Tracker!$A$5:$A$1004,0)),""))</f>
        <v/>
      </c>
      <c r="T995" s="81">
        <f>IF($B995="","",IFERROR(INDEX(Task_Tracker!$AB$5:$AB$1004,MATCH($B995,Task_Tracker!$A$5:$A$1004,0)),""))</f>
        <v/>
      </c>
      <c r="U995" s="78">
        <f>IF($B995="","",IFERROR(INDEX(Task_Tracker!$F$5:$F$1004,MATCH($B995,Task_Tracker!$A$5:$A$1004,0)),""))</f>
        <v/>
      </c>
      <c r="V995" s="78">
        <f>IF($B995="","",IFERROR(INDEX(Task_Tracker!$I$5:$I$1004,MATCH($B995,Task_Tracker!$A$5:$A$1004,0)),""))</f>
        <v/>
      </c>
      <c r="W995" s="81">
        <f>IF(OR($D995="",$B995=""),"",$D995&amp;" | "&amp;$B995)</f>
        <v/>
      </c>
      <c r="X995" s="85">
        <f>IF($K995="","",TEXT($K995,"yyyy-mm"))</f>
        <v/>
      </c>
      <c r="Y995" s="81">
        <f>IF(OR($A995="",$T995=""),"","Included in Manager_Report")</f>
        <v/>
      </c>
    </row>
    <row r="996" ht="15" customHeight="1" s="40">
      <c r="A996" s="65">
        <f>IF(COUNTA(B996:G996)=0,"","STP-"&amp;TEXT(ROW()-4,"0000"))</f>
        <v/>
      </c>
      <c r="B996" s="78" t="n"/>
      <c r="C996" s="67">
        <f>IF($B996="","",IFERROR(INDEX(Task_Tracker!$D$5:$D$1004,MATCH($B996,Task_Tracker!$A$5:$A$1004,0)),""))</f>
        <v/>
      </c>
      <c r="D996" s="67">
        <f>IF($B996="","",IFERROR(INDEX(Task_Tracker!$B$5:$B$1004,MATCH($B996,Task_Tracker!$A$5:$A$1004,0)),""))</f>
        <v/>
      </c>
      <c r="E996" s="81" t="n"/>
      <c r="F996" s="81" t="n"/>
      <c r="G996" s="78" t="n"/>
      <c r="H996" s="78" t="n"/>
      <c r="I996" s="67">
        <f>IF($H996="","",IFERROR(INDEX(Action_Status_Map!$B$5:$B$11,MATCH($H996,Action_Status_Map!$A$5:$A$11,0)),""))</f>
        <v/>
      </c>
      <c r="J996" s="82" t="n"/>
      <c r="K996" s="82" t="n"/>
      <c r="L996" s="82" t="n"/>
      <c r="M996" s="83" t="n"/>
      <c r="N996" s="83" t="n"/>
      <c r="O996" s="66">
        <f>IF(OR($M996="",$N996=""),"",$N996-$M996)</f>
        <v/>
      </c>
      <c r="P996" s="84">
        <f>IF($J996="","",IF($L996&lt;&gt;"",$L996-$J996,TODAY()-$J996))</f>
        <v/>
      </c>
      <c r="Q996" s="85">
        <f>IF(OR($K996="",$H996="Completed",$H996="Cancelled"),"",IF(AND($K996&lt;TODAY(),$H996&lt;&gt;"Completed",$H996&lt;&gt;"Cancelled"),"Overdue","On Track"))</f>
        <v/>
      </c>
      <c r="R996" s="81" t="n"/>
      <c r="S996" s="81">
        <f>IF($B996="","",IFERROR(INDEX(Task_Tracker!$AA$5:$AA$1004,MATCH($B996,Task_Tracker!$A$5:$A$1004,0)),""))</f>
        <v/>
      </c>
      <c r="T996" s="81">
        <f>IF($B996="","",IFERROR(INDEX(Task_Tracker!$AB$5:$AB$1004,MATCH($B996,Task_Tracker!$A$5:$A$1004,0)),""))</f>
        <v/>
      </c>
      <c r="U996" s="78">
        <f>IF($B996="","",IFERROR(INDEX(Task_Tracker!$F$5:$F$1004,MATCH($B996,Task_Tracker!$A$5:$A$1004,0)),""))</f>
        <v/>
      </c>
      <c r="V996" s="78">
        <f>IF($B996="","",IFERROR(INDEX(Task_Tracker!$I$5:$I$1004,MATCH($B996,Task_Tracker!$A$5:$A$1004,0)),""))</f>
        <v/>
      </c>
      <c r="W996" s="81">
        <f>IF(OR($D996="",$B996=""),"",$D996&amp;" | "&amp;$B996)</f>
        <v/>
      </c>
      <c r="X996" s="85">
        <f>IF($K996="","",TEXT($K996,"yyyy-mm"))</f>
        <v/>
      </c>
      <c r="Y996" s="81">
        <f>IF(OR($A996="",$T996=""),"","Included in Manager_Report")</f>
        <v/>
      </c>
    </row>
    <row r="997" ht="15" customHeight="1" s="40">
      <c r="A997" s="65">
        <f>IF(COUNTA(B997:G997)=0,"","STP-"&amp;TEXT(ROW()-4,"0000"))</f>
        <v/>
      </c>
      <c r="B997" s="78" t="n"/>
      <c r="C997" s="67">
        <f>IF($B997="","",IFERROR(INDEX(Task_Tracker!$D$5:$D$1004,MATCH($B997,Task_Tracker!$A$5:$A$1004,0)),""))</f>
        <v/>
      </c>
      <c r="D997" s="67">
        <f>IF($B997="","",IFERROR(INDEX(Task_Tracker!$B$5:$B$1004,MATCH($B997,Task_Tracker!$A$5:$A$1004,0)),""))</f>
        <v/>
      </c>
      <c r="E997" s="81" t="n"/>
      <c r="F997" s="81" t="n"/>
      <c r="G997" s="78" t="n"/>
      <c r="H997" s="78" t="n"/>
      <c r="I997" s="67">
        <f>IF($H997="","",IFERROR(INDEX(Action_Status_Map!$B$5:$B$11,MATCH($H997,Action_Status_Map!$A$5:$A$11,0)),""))</f>
        <v/>
      </c>
      <c r="J997" s="82" t="n"/>
      <c r="K997" s="82" t="n"/>
      <c r="L997" s="82" t="n"/>
      <c r="M997" s="83" t="n"/>
      <c r="N997" s="83" t="n"/>
      <c r="O997" s="66">
        <f>IF(OR($M997="",$N997=""),"",$N997-$M997)</f>
        <v/>
      </c>
      <c r="P997" s="84">
        <f>IF($J997="","",IF($L997&lt;&gt;"",$L997-$J997,TODAY()-$J997))</f>
        <v/>
      </c>
      <c r="Q997" s="85">
        <f>IF(OR($K997="",$H997="Completed",$H997="Cancelled"),"",IF(AND($K997&lt;TODAY(),$H997&lt;&gt;"Completed",$H997&lt;&gt;"Cancelled"),"Overdue","On Track"))</f>
        <v/>
      </c>
      <c r="R997" s="81" t="n"/>
      <c r="S997" s="81">
        <f>IF($B997="","",IFERROR(INDEX(Task_Tracker!$AA$5:$AA$1004,MATCH($B997,Task_Tracker!$A$5:$A$1004,0)),""))</f>
        <v/>
      </c>
      <c r="T997" s="81">
        <f>IF($B997="","",IFERROR(INDEX(Task_Tracker!$AB$5:$AB$1004,MATCH($B997,Task_Tracker!$A$5:$A$1004,0)),""))</f>
        <v/>
      </c>
      <c r="U997" s="78">
        <f>IF($B997="","",IFERROR(INDEX(Task_Tracker!$F$5:$F$1004,MATCH($B997,Task_Tracker!$A$5:$A$1004,0)),""))</f>
        <v/>
      </c>
      <c r="V997" s="78">
        <f>IF($B997="","",IFERROR(INDEX(Task_Tracker!$I$5:$I$1004,MATCH($B997,Task_Tracker!$A$5:$A$1004,0)),""))</f>
        <v/>
      </c>
      <c r="W997" s="81">
        <f>IF(OR($D997="",$B997=""),"",$D997&amp;" | "&amp;$B997)</f>
        <v/>
      </c>
      <c r="X997" s="85">
        <f>IF($K997="","",TEXT($K997,"yyyy-mm"))</f>
        <v/>
      </c>
      <c r="Y997" s="81">
        <f>IF(OR($A997="",$T997=""),"","Included in Manager_Report")</f>
        <v/>
      </c>
    </row>
    <row r="998" ht="15" customHeight="1" s="40">
      <c r="A998" s="65">
        <f>IF(COUNTA(B998:G998)=0,"","STP-"&amp;TEXT(ROW()-4,"0000"))</f>
        <v/>
      </c>
      <c r="B998" s="78" t="n"/>
      <c r="C998" s="67">
        <f>IF($B998="","",IFERROR(INDEX(Task_Tracker!$D$5:$D$1004,MATCH($B998,Task_Tracker!$A$5:$A$1004,0)),""))</f>
        <v/>
      </c>
      <c r="D998" s="67">
        <f>IF($B998="","",IFERROR(INDEX(Task_Tracker!$B$5:$B$1004,MATCH($B998,Task_Tracker!$A$5:$A$1004,0)),""))</f>
        <v/>
      </c>
      <c r="E998" s="81" t="n"/>
      <c r="F998" s="81" t="n"/>
      <c r="G998" s="78" t="n"/>
      <c r="H998" s="78" t="n"/>
      <c r="I998" s="67">
        <f>IF($H998="","",IFERROR(INDEX(Action_Status_Map!$B$5:$B$11,MATCH($H998,Action_Status_Map!$A$5:$A$11,0)),""))</f>
        <v/>
      </c>
      <c r="J998" s="82" t="n"/>
      <c r="K998" s="82" t="n"/>
      <c r="L998" s="82" t="n"/>
      <c r="M998" s="83" t="n"/>
      <c r="N998" s="83" t="n"/>
      <c r="O998" s="66">
        <f>IF(OR($M998="",$N998=""),"",$N998-$M998)</f>
        <v/>
      </c>
      <c r="P998" s="84">
        <f>IF($J998="","",IF($L998&lt;&gt;"",$L998-$J998,TODAY()-$J998))</f>
        <v/>
      </c>
      <c r="Q998" s="85">
        <f>IF(OR($K998="",$H998="Completed",$H998="Cancelled"),"",IF(AND($K998&lt;TODAY(),$H998&lt;&gt;"Completed",$H998&lt;&gt;"Cancelled"),"Overdue","On Track"))</f>
        <v/>
      </c>
      <c r="R998" s="81" t="n"/>
      <c r="S998" s="81">
        <f>IF($B998="","",IFERROR(INDEX(Task_Tracker!$AA$5:$AA$1004,MATCH($B998,Task_Tracker!$A$5:$A$1004,0)),""))</f>
        <v/>
      </c>
      <c r="T998" s="81">
        <f>IF($B998="","",IFERROR(INDEX(Task_Tracker!$AB$5:$AB$1004,MATCH($B998,Task_Tracker!$A$5:$A$1004,0)),""))</f>
        <v/>
      </c>
      <c r="U998" s="78">
        <f>IF($B998="","",IFERROR(INDEX(Task_Tracker!$F$5:$F$1004,MATCH($B998,Task_Tracker!$A$5:$A$1004,0)),""))</f>
        <v/>
      </c>
      <c r="V998" s="78">
        <f>IF($B998="","",IFERROR(INDEX(Task_Tracker!$I$5:$I$1004,MATCH($B998,Task_Tracker!$A$5:$A$1004,0)),""))</f>
        <v/>
      </c>
      <c r="W998" s="81">
        <f>IF(OR($D998="",$B998=""),"",$D998&amp;" | "&amp;$B998)</f>
        <v/>
      </c>
      <c r="X998" s="85">
        <f>IF($K998="","",TEXT($K998,"yyyy-mm"))</f>
        <v/>
      </c>
      <c r="Y998" s="81">
        <f>IF(OR($A998="",$T998=""),"","Included in Manager_Report")</f>
        <v/>
      </c>
    </row>
    <row r="999" ht="15" customHeight="1" s="40">
      <c r="A999" s="65">
        <f>IF(COUNTA(B999:G999)=0,"","STP-"&amp;TEXT(ROW()-4,"0000"))</f>
        <v/>
      </c>
      <c r="B999" s="78" t="n"/>
      <c r="C999" s="67">
        <f>IF($B999="","",IFERROR(INDEX(Task_Tracker!$D$5:$D$1004,MATCH($B999,Task_Tracker!$A$5:$A$1004,0)),""))</f>
        <v/>
      </c>
      <c r="D999" s="67">
        <f>IF($B999="","",IFERROR(INDEX(Task_Tracker!$B$5:$B$1004,MATCH($B999,Task_Tracker!$A$5:$A$1004,0)),""))</f>
        <v/>
      </c>
      <c r="E999" s="81" t="n"/>
      <c r="F999" s="81" t="n"/>
      <c r="G999" s="78" t="n"/>
      <c r="H999" s="78" t="n"/>
      <c r="I999" s="67">
        <f>IF($H999="","",IFERROR(INDEX(Action_Status_Map!$B$5:$B$11,MATCH($H999,Action_Status_Map!$A$5:$A$11,0)),""))</f>
        <v/>
      </c>
      <c r="J999" s="82" t="n"/>
      <c r="K999" s="82" t="n"/>
      <c r="L999" s="82" t="n"/>
      <c r="M999" s="83" t="n"/>
      <c r="N999" s="83" t="n"/>
      <c r="O999" s="66">
        <f>IF(OR($M999="",$N999=""),"",$N999-$M999)</f>
        <v/>
      </c>
      <c r="P999" s="84">
        <f>IF($J999="","",IF($L999&lt;&gt;"",$L999-$J999,TODAY()-$J999))</f>
        <v/>
      </c>
      <c r="Q999" s="85">
        <f>IF(OR($K999="",$H999="Completed",$H999="Cancelled"),"",IF(AND($K999&lt;TODAY(),$H999&lt;&gt;"Completed",$H999&lt;&gt;"Cancelled"),"Overdue","On Track"))</f>
        <v/>
      </c>
      <c r="R999" s="81" t="n"/>
      <c r="S999" s="81">
        <f>IF($B999="","",IFERROR(INDEX(Task_Tracker!$AA$5:$AA$1004,MATCH($B999,Task_Tracker!$A$5:$A$1004,0)),""))</f>
        <v/>
      </c>
      <c r="T999" s="81">
        <f>IF($B999="","",IFERROR(INDEX(Task_Tracker!$AB$5:$AB$1004,MATCH($B999,Task_Tracker!$A$5:$A$1004,0)),""))</f>
        <v/>
      </c>
      <c r="U999" s="78">
        <f>IF($B999="","",IFERROR(INDEX(Task_Tracker!$F$5:$F$1004,MATCH($B999,Task_Tracker!$A$5:$A$1004,0)),""))</f>
        <v/>
      </c>
      <c r="V999" s="78">
        <f>IF($B999="","",IFERROR(INDEX(Task_Tracker!$I$5:$I$1004,MATCH($B999,Task_Tracker!$A$5:$A$1004,0)),""))</f>
        <v/>
      </c>
      <c r="W999" s="81">
        <f>IF(OR($D999="",$B999=""),"",$D999&amp;" | "&amp;$B999)</f>
        <v/>
      </c>
      <c r="X999" s="85">
        <f>IF($K999="","",TEXT($K999,"yyyy-mm"))</f>
        <v/>
      </c>
      <c r="Y999" s="81">
        <f>IF(OR($A999="",$T999=""),"","Included in Manager_Report")</f>
        <v/>
      </c>
    </row>
    <row r="1000" ht="15" customHeight="1" s="40">
      <c r="A1000" s="65">
        <f>IF(COUNTA(B1000:G1000)=0,"","STP-"&amp;TEXT(ROW()-4,"0000"))</f>
        <v/>
      </c>
      <c r="B1000" s="78" t="n"/>
      <c r="C1000" s="67">
        <f>IF($B1000="","",IFERROR(INDEX(Task_Tracker!$D$5:$D$1004,MATCH($B1000,Task_Tracker!$A$5:$A$1004,0)),""))</f>
        <v/>
      </c>
      <c r="D1000" s="67">
        <f>IF($B1000="","",IFERROR(INDEX(Task_Tracker!$B$5:$B$1004,MATCH($B1000,Task_Tracker!$A$5:$A$1004,0)),""))</f>
        <v/>
      </c>
      <c r="E1000" s="81" t="n"/>
      <c r="F1000" s="81" t="n"/>
      <c r="G1000" s="78" t="n"/>
      <c r="H1000" s="78" t="n"/>
      <c r="I1000" s="67">
        <f>IF($H1000="","",IFERROR(INDEX(Action_Status_Map!$B$5:$B$11,MATCH($H1000,Action_Status_Map!$A$5:$A$11,0)),""))</f>
        <v/>
      </c>
      <c r="J1000" s="82" t="n"/>
      <c r="K1000" s="82" t="n"/>
      <c r="L1000" s="82" t="n"/>
      <c r="M1000" s="83" t="n"/>
      <c r="N1000" s="83" t="n"/>
      <c r="O1000" s="66">
        <f>IF(OR($M1000="",$N1000=""),"",$N1000-$M1000)</f>
        <v/>
      </c>
      <c r="P1000" s="84">
        <f>IF($J1000="","",IF($L1000&lt;&gt;"",$L1000-$J1000,TODAY()-$J1000))</f>
        <v/>
      </c>
      <c r="Q1000" s="85">
        <f>IF(OR($K1000="",$H1000="Completed",$H1000="Cancelled"),"",IF(AND($K1000&lt;TODAY(),$H1000&lt;&gt;"Completed",$H1000&lt;&gt;"Cancelled"),"Overdue","On Track"))</f>
        <v/>
      </c>
      <c r="R1000" s="81" t="n"/>
      <c r="S1000" s="81">
        <f>IF($B1000="","",IFERROR(INDEX(Task_Tracker!$AA$5:$AA$1004,MATCH($B1000,Task_Tracker!$A$5:$A$1004,0)),""))</f>
        <v/>
      </c>
      <c r="T1000" s="81">
        <f>IF($B1000="","",IFERROR(INDEX(Task_Tracker!$AB$5:$AB$1004,MATCH($B1000,Task_Tracker!$A$5:$A$1004,0)),""))</f>
        <v/>
      </c>
      <c r="U1000" s="78">
        <f>IF($B1000="","",IFERROR(INDEX(Task_Tracker!$F$5:$F$1004,MATCH($B1000,Task_Tracker!$A$5:$A$1004,0)),""))</f>
        <v/>
      </c>
      <c r="V1000" s="78">
        <f>IF($B1000="","",IFERROR(INDEX(Task_Tracker!$I$5:$I$1004,MATCH($B1000,Task_Tracker!$A$5:$A$1004,0)),""))</f>
        <v/>
      </c>
      <c r="W1000" s="81">
        <f>IF(OR($D1000="",$B1000=""),"",$D1000&amp;" | "&amp;$B1000)</f>
        <v/>
      </c>
      <c r="X1000" s="85">
        <f>IF($K1000="","",TEXT($K1000,"yyyy-mm"))</f>
        <v/>
      </c>
      <c r="Y1000" s="81">
        <f>IF(OR($A1000="",$T1000=""),"","Included in Manager_Report")</f>
        <v/>
      </c>
    </row>
    <row r="1001" ht="15" customHeight="1" s="40">
      <c r="A1001" s="65">
        <f>IF(COUNTA(B1001:G1001)=0,"","STP-"&amp;TEXT(ROW()-4,"0000"))</f>
        <v/>
      </c>
      <c r="B1001" s="78" t="n"/>
      <c r="C1001" s="67">
        <f>IF($B1001="","",IFERROR(INDEX(Task_Tracker!$D$5:$D$1004,MATCH($B1001,Task_Tracker!$A$5:$A$1004,0)),""))</f>
        <v/>
      </c>
      <c r="D1001" s="67">
        <f>IF($B1001="","",IFERROR(INDEX(Task_Tracker!$B$5:$B$1004,MATCH($B1001,Task_Tracker!$A$5:$A$1004,0)),""))</f>
        <v/>
      </c>
      <c r="E1001" s="81" t="n"/>
      <c r="F1001" s="81" t="n"/>
      <c r="G1001" s="78" t="n"/>
      <c r="H1001" s="78" t="n"/>
      <c r="I1001" s="67">
        <f>IF($H1001="","",IFERROR(INDEX(Action_Status_Map!$B$5:$B$11,MATCH($H1001,Action_Status_Map!$A$5:$A$11,0)),""))</f>
        <v/>
      </c>
      <c r="J1001" s="82" t="n"/>
      <c r="K1001" s="82" t="n"/>
      <c r="L1001" s="82" t="n"/>
      <c r="M1001" s="83" t="n"/>
      <c r="N1001" s="83" t="n"/>
      <c r="O1001" s="66">
        <f>IF(OR($M1001="",$N1001=""),"",$N1001-$M1001)</f>
        <v/>
      </c>
      <c r="P1001" s="84">
        <f>IF($J1001="","",IF($L1001&lt;&gt;"",$L1001-$J1001,TODAY()-$J1001))</f>
        <v/>
      </c>
      <c r="Q1001" s="85">
        <f>IF(OR($K1001="",$H1001="Completed",$H1001="Cancelled"),"",IF(AND($K1001&lt;TODAY(),$H1001&lt;&gt;"Completed",$H1001&lt;&gt;"Cancelled"),"Overdue","On Track"))</f>
        <v/>
      </c>
      <c r="R1001" s="81" t="n"/>
      <c r="S1001" s="81">
        <f>IF($B1001="","",IFERROR(INDEX(Task_Tracker!$AA$5:$AA$1004,MATCH($B1001,Task_Tracker!$A$5:$A$1004,0)),""))</f>
        <v/>
      </c>
      <c r="T1001" s="81">
        <f>IF($B1001="","",IFERROR(INDEX(Task_Tracker!$AB$5:$AB$1004,MATCH($B1001,Task_Tracker!$A$5:$A$1004,0)),""))</f>
        <v/>
      </c>
      <c r="U1001" s="78">
        <f>IF($B1001="","",IFERROR(INDEX(Task_Tracker!$F$5:$F$1004,MATCH($B1001,Task_Tracker!$A$5:$A$1004,0)),""))</f>
        <v/>
      </c>
      <c r="V1001" s="78">
        <f>IF($B1001="","",IFERROR(INDEX(Task_Tracker!$I$5:$I$1004,MATCH($B1001,Task_Tracker!$A$5:$A$1004,0)),""))</f>
        <v/>
      </c>
      <c r="W1001" s="81">
        <f>IF(OR($D1001="",$B1001=""),"",$D1001&amp;" | "&amp;$B1001)</f>
        <v/>
      </c>
      <c r="X1001" s="85">
        <f>IF($K1001="","",TEXT($K1001,"yyyy-mm"))</f>
        <v/>
      </c>
      <c r="Y1001" s="81">
        <f>IF(OR($A1001="",$T1001=""),"","Included in Manager_Report")</f>
        <v/>
      </c>
    </row>
    <row r="1002" ht="15" customHeight="1" s="40">
      <c r="A1002" s="65">
        <f>IF(COUNTA(B1002:G1002)=0,"","STP-"&amp;TEXT(ROW()-4,"0000"))</f>
        <v/>
      </c>
      <c r="B1002" s="78" t="n"/>
      <c r="C1002" s="67">
        <f>IF($B1002="","",IFERROR(INDEX(Task_Tracker!$D$5:$D$1004,MATCH($B1002,Task_Tracker!$A$5:$A$1004,0)),""))</f>
        <v/>
      </c>
      <c r="D1002" s="67">
        <f>IF($B1002="","",IFERROR(INDEX(Task_Tracker!$B$5:$B$1004,MATCH($B1002,Task_Tracker!$A$5:$A$1004,0)),""))</f>
        <v/>
      </c>
      <c r="E1002" s="81" t="n"/>
      <c r="F1002" s="81" t="n"/>
      <c r="G1002" s="78" t="n"/>
      <c r="H1002" s="78" t="n"/>
      <c r="I1002" s="67">
        <f>IF($H1002="","",IFERROR(INDEX(Action_Status_Map!$B$5:$B$11,MATCH($H1002,Action_Status_Map!$A$5:$A$11,0)),""))</f>
        <v/>
      </c>
      <c r="J1002" s="82" t="n"/>
      <c r="K1002" s="82" t="n"/>
      <c r="L1002" s="82" t="n"/>
      <c r="M1002" s="83" t="n"/>
      <c r="N1002" s="83" t="n"/>
      <c r="O1002" s="66">
        <f>IF(OR($M1002="",$N1002=""),"",$N1002-$M1002)</f>
        <v/>
      </c>
      <c r="P1002" s="84">
        <f>IF($J1002="","",IF($L1002&lt;&gt;"",$L1002-$J1002,TODAY()-$J1002))</f>
        <v/>
      </c>
      <c r="Q1002" s="85">
        <f>IF(OR($K1002="",$H1002="Completed",$H1002="Cancelled"),"",IF(AND($K1002&lt;TODAY(),$H1002&lt;&gt;"Completed",$H1002&lt;&gt;"Cancelled"),"Overdue","On Track"))</f>
        <v/>
      </c>
      <c r="R1002" s="81" t="n"/>
      <c r="S1002" s="81">
        <f>IF($B1002="","",IFERROR(INDEX(Task_Tracker!$AA$5:$AA$1004,MATCH($B1002,Task_Tracker!$A$5:$A$1004,0)),""))</f>
        <v/>
      </c>
      <c r="T1002" s="81">
        <f>IF($B1002="","",IFERROR(INDEX(Task_Tracker!$AB$5:$AB$1004,MATCH($B1002,Task_Tracker!$A$5:$A$1004,0)),""))</f>
        <v/>
      </c>
      <c r="U1002" s="78">
        <f>IF($B1002="","",IFERROR(INDEX(Task_Tracker!$F$5:$F$1004,MATCH($B1002,Task_Tracker!$A$5:$A$1004,0)),""))</f>
        <v/>
      </c>
      <c r="V1002" s="78">
        <f>IF($B1002="","",IFERROR(INDEX(Task_Tracker!$I$5:$I$1004,MATCH($B1002,Task_Tracker!$A$5:$A$1004,0)),""))</f>
        <v/>
      </c>
      <c r="W1002" s="81">
        <f>IF(OR($D1002="",$B1002=""),"",$D1002&amp;" | "&amp;$B1002)</f>
        <v/>
      </c>
      <c r="X1002" s="85">
        <f>IF($K1002="","",TEXT($K1002,"yyyy-mm"))</f>
        <v/>
      </c>
      <c r="Y1002" s="81">
        <f>IF(OR($A1002="",$T1002=""),"","Included in Manager_Report")</f>
        <v/>
      </c>
    </row>
    <row r="1003" ht="15" customHeight="1" s="40">
      <c r="A1003" s="65">
        <f>IF(COUNTA(B1003:G1003)=0,"","STP-"&amp;TEXT(ROW()-4,"0000"))</f>
        <v/>
      </c>
      <c r="B1003" s="78" t="n"/>
      <c r="C1003" s="67">
        <f>IF($B1003="","",IFERROR(INDEX(Task_Tracker!$D$5:$D$1004,MATCH($B1003,Task_Tracker!$A$5:$A$1004,0)),""))</f>
        <v/>
      </c>
      <c r="D1003" s="67">
        <f>IF($B1003="","",IFERROR(INDEX(Task_Tracker!$B$5:$B$1004,MATCH($B1003,Task_Tracker!$A$5:$A$1004,0)),""))</f>
        <v/>
      </c>
      <c r="E1003" s="81" t="n"/>
      <c r="F1003" s="81" t="n"/>
      <c r="G1003" s="78" t="n"/>
      <c r="H1003" s="78" t="n"/>
      <c r="I1003" s="67">
        <f>IF($H1003="","",IFERROR(INDEX(Action_Status_Map!$B$5:$B$11,MATCH($H1003,Action_Status_Map!$A$5:$A$11,0)),""))</f>
        <v/>
      </c>
      <c r="J1003" s="82" t="n"/>
      <c r="K1003" s="82" t="n"/>
      <c r="L1003" s="82" t="n"/>
      <c r="M1003" s="83" t="n"/>
      <c r="N1003" s="83" t="n"/>
      <c r="O1003" s="66">
        <f>IF(OR($M1003="",$N1003=""),"",$N1003-$M1003)</f>
        <v/>
      </c>
      <c r="P1003" s="84">
        <f>IF($J1003="","",IF($L1003&lt;&gt;"",$L1003-$J1003,TODAY()-$J1003))</f>
        <v/>
      </c>
      <c r="Q1003" s="85">
        <f>IF(OR($K1003="",$H1003="Completed",$H1003="Cancelled"),"",IF(AND($K1003&lt;TODAY(),$H1003&lt;&gt;"Completed",$H1003&lt;&gt;"Cancelled"),"Overdue","On Track"))</f>
        <v/>
      </c>
      <c r="R1003" s="81" t="n"/>
      <c r="S1003" s="81">
        <f>IF($B1003="","",IFERROR(INDEX(Task_Tracker!$AA$5:$AA$1004,MATCH($B1003,Task_Tracker!$A$5:$A$1004,0)),""))</f>
        <v/>
      </c>
      <c r="T1003" s="81">
        <f>IF($B1003="","",IFERROR(INDEX(Task_Tracker!$AB$5:$AB$1004,MATCH($B1003,Task_Tracker!$A$5:$A$1004,0)),""))</f>
        <v/>
      </c>
      <c r="U1003" s="78">
        <f>IF($B1003="","",IFERROR(INDEX(Task_Tracker!$F$5:$F$1004,MATCH($B1003,Task_Tracker!$A$5:$A$1004,0)),""))</f>
        <v/>
      </c>
      <c r="V1003" s="78">
        <f>IF($B1003="","",IFERROR(INDEX(Task_Tracker!$I$5:$I$1004,MATCH($B1003,Task_Tracker!$A$5:$A$1004,0)),""))</f>
        <v/>
      </c>
      <c r="W1003" s="81">
        <f>IF(OR($D1003="",$B1003=""),"",$D1003&amp;" | "&amp;$B1003)</f>
        <v/>
      </c>
      <c r="X1003" s="85">
        <f>IF($K1003="","",TEXT($K1003,"yyyy-mm"))</f>
        <v/>
      </c>
      <c r="Y1003" s="81">
        <f>IF(OR($A1003="",$T1003=""),"","Included in Manager_Report")</f>
        <v/>
      </c>
    </row>
    <row r="1004" ht="15" customHeight="1" s="40">
      <c r="A1004" s="65">
        <f>IF(COUNTA(B1004:G1004)=0,"","STP-"&amp;TEXT(ROW()-4,"0000"))</f>
        <v/>
      </c>
      <c r="B1004" s="78" t="n"/>
      <c r="C1004" s="67">
        <f>IF($B1004="","",IFERROR(INDEX(Task_Tracker!$D$5:$D$1004,MATCH($B1004,Task_Tracker!$A$5:$A$1004,0)),""))</f>
        <v/>
      </c>
      <c r="D1004" s="67">
        <f>IF($B1004="","",IFERROR(INDEX(Task_Tracker!$B$5:$B$1004,MATCH($B1004,Task_Tracker!$A$5:$A$1004,0)),""))</f>
        <v/>
      </c>
      <c r="E1004" s="81" t="n"/>
      <c r="F1004" s="81" t="n"/>
      <c r="G1004" s="78" t="n"/>
      <c r="H1004" s="78" t="n"/>
      <c r="I1004" s="67">
        <f>IF($H1004="","",IFERROR(INDEX(Action_Status_Map!$B$5:$B$11,MATCH($H1004,Action_Status_Map!$A$5:$A$11,0)),""))</f>
        <v/>
      </c>
      <c r="J1004" s="82" t="n"/>
      <c r="K1004" s="82" t="n"/>
      <c r="L1004" s="82" t="n"/>
      <c r="M1004" s="83" t="n"/>
      <c r="N1004" s="83" t="n"/>
      <c r="O1004" s="66">
        <f>IF(OR($M1004="",$N1004=""),"",$N1004-$M1004)</f>
        <v/>
      </c>
      <c r="P1004" s="84">
        <f>IF($J1004="","",IF($L1004&lt;&gt;"",$L1004-$J1004,TODAY()-$J1004))</f>
        <v/>
      </c>
      <c r="Q1004" s="85">
        <f>IF(OR($K1004="",$H1004="Completed",$H1004="Cancelled"),"",IF(AND($K1004&lt;TODAY(),$H1004&lt;&gt;"Completed",$H1004&lt;&gt;"Cancelled"),"Overdue","On Track"))</f>
        <v/>
      </c>
      <c r="R1004" s="81" t="n"/>
      <c r="S1004" s="81">
        <f>IF($B1004="","",IFERROR(INDEX(Task_Tracker!$AA$5:$AA$1004,MATCH($B1004,Task_Tracker!$A$5:$A$1004,0)),""))</f>
        <v/>
      </c>
      <c r="T1004" s="81">
        <f>IF($B1004="","",IFERROR(INDEX(Task_Tracker!$AB$5:$AB$1004,MATCH($B1004,Task_Tracker!$A$5:$A$1004,0)),""))</f>
        <v/>
      </c>
      <c r="U1004" s="78">
        <f>IF($B1004="","",IFERROR(INDEX(Task_Tracker!$F$5:$F$1004,MATCH($B1004,Task_Tracker!$A$5:$A$1004,0)),""))</f>
        <v/>
      </c>
      <c r="V1004" s="78">
        <f>IF($B1004="","",IFERROR(INDEX(Task_Tracker!$I$5:$I$1004,MATCH($B1004,Task_Tracker!$A$5:$A$1004,0)),""))</f>
        <v/>
      </c>
      <c r="W1004" s="81">
        <f>IF(OR($D1004="",$B1004=""),"",$D1004&amp;" | "&amp;$B1004)</f>
        <v/>
      </c>
      <c r="X1004" s="85">
        <f>IF($K1004="","",TEXT($K1004,"yyyy-mm"))</f>
        <v/>
      </c>
      <c r="Y1004" s="81">
        <f>IF(OR($A1004="",$T1004=""),"","Included in Manager_Report")</f>
        <v/>
      </c>
    </row>
    <row r="1005" ht="15" customHeight="1" s="40">
      <c r="A1005" s="65">
        <f>IF(COUNTA(B1005:G1005)=0,"","STP-"&amp;TEXT(ROW()-4,"0000"))</f>
        <v/>
      </c>
      <c r="B1005" s="78" t="n"/>
      <c r="C1005" s="67">
        <f>IF($B1005="","",IFERROR(INDEX(Task_Tracker!$D$5:$D$1004,MATCH($B1005,Task_Tracker!$A$5:$A$1004,0)),""))</f>
        <v/>
      </c>
      <c r="D1005" s="67">
        <f>IF($B1005="","",IFERROR(INDEX(Task_Tracker!$B$5:$B$1004,MATCH($B1005,Task_Tracker!$A$5:$A$1004,0)),""))</f>
        <v/>
      </c>
      <c r="E1005" s="81" t="n"/>
      <c r="F1005" s="81" t="n"/>
      <c r="G1005" s="78" t="n"/>
      <c r="H1005" s="78" t="n"/>
      <c r="I1005" s="67">
        <f>IF($H1005="","",IFERROR(INDEX(Action_Status_Map!$B$5:$B$11,MATCH($H1005,Action_Status_Map!$A$5:$A$11,0)),""))</f>
        <v/>
      </c>
      <c r="J1005" s="82" t="n"/>
      <c r="K1005" s="82" t="n"/>
      <c r="L1005" s="82" t="n"/>
      <c r="M1005" s="83" t="n"/>
      <c r="N1005" s="83" t="n"/>
      <c r="O1005" s="66">
        <f>IF(OR($M1005="",$N1005=""),"",$N1005-$M1005)</f>
        <v/>
      </c>
      <c r="P1005" s="84">
        <f>IF($J1005="","",IF($L1005&lt;&gt;"",$L1005-$J1005,TODAY()-$J1005))</f>
        <v/>
      </c>
      <c r="Q1005" s="85">
        <f>IF(OR($K1005="",$H1005="Completed",$H1005="Cancelled"),"",IF(AND($K1005&lt;TODAY(),$H1005&lt;&gt;"Completed",$H1005&lt;&gt;"Cancelled"),"Overdue","On Track"))</f>
        <v/>
      </c>
      <c r="R1005" s="81" t="n"/>
      <c r="S1005" s="81">
        <f>IF($B1005="","",IFERROR(INDEX(Task_Tracker!$AA$5:$AA$1004,MATCH($B1005,Task_Tracker!$A$5:$A$1004,0)),""))</f>
        <v/>
      </c>
      <c r="T1005" s="81">
        <f>IF($B1005="","",IFERROR(INDEX(Task_Tracker!$AB$5:$AB$1004,MATCH($B1005,Task_Tracker!$A$5:$A$1004,0)),""))</f>
        <v/>
      </c>
      <c r="U1005" s="78">
        <f>IF($B1005="","",IFERROR(INDEX(Task_Tracker!$F$5:$F$1004,MATCH($B1005,Task_Tracker!$A$5:$A$1004,0)),""))</f>
        <v/>
      </c>
      <c r="V1005" s="78">
        <f>IF($B1005="","",IFERROR(INDEX(Task_Tracker!$I$5:$I$1004,MATCH($B1005,Task_Tracker!$A$5:$A$1004,0)),""))</f>
        <v/>
      </c>
      <c r="W1005" s="81">
        <f>IF(OR($D1005="",$B1005=""),"",$D1005&amp;" | "&amp;$B1005)</f>
        <v/>
      </c>
      <c r="X1005" s="85">
        <f>IF($K1005="","",TEXT($K1005,"yyyy-mm"))</f>
        <v/>
      </c>
      <c r="Y1005" s="81">
        <f>IF(OR($A1005="",$T1005=""),"","Included in Manager_Report")</f>
        <v/>
      </c>
    </row>
    <row r="1006" ht="15" customHeight="1" s="40">
      <c r="A1006" s="65">
        <f>IF(COUNTA(B1006:G1006)=0,"","STP-"&amp;TEXT(ROW()-4,"0000"))</f>
        <v/>
      </c>
      <c r="B1006" s="78" t="n"/>
      <c r="C1006" s="67">
        <f>IF($B1006="","",IFERROR(INDEX(Task_Tracker!$D$5:$D$1004,MATCH($B1006,Task_Tracker!$A$5:$A$1004,0)),""))</f>
        <v/>
      </c>
      <c r="D1006" s="67">
        <f>IF($B1006="","",IFERROR(INDEX(Task_Tracker!$B$5:$B$1004,MATCH($B1006,Task_Tracker!$A$5:$A$1004,0)),""))</f>
        <v/>
      </c>
      <c r="E1006" s="81" t="n"/>
      <c r="F1006" s="81" t="n"/>
      <c r="G1006" s="78" t="n"/>
      <c r="H1006" s="78" t="n"/>
      <c r="I1006" s="67">
        <f>IF($H1006="","",IFERROR(INDEX(Action_Status_Map!$B$5:$B$11,MATCH($H1006,Action_Status_Map!$A$5:$A$11,0)),""))</f>
        <v/>
      </c>
      <c r="J1006" s="82" t="n"/>
      <c r="K1006" s="82" t="n"/>
      <c r="L1006" s="82" t="n"/>
      <c r="M1006" s="83" t="n"/>
      <c r="N1006" s="83" t="n"/>
      <c r="O1006" s="66">
        <f>IF(OR($M1006="",$N1006=""),"",$N1006-$M1006)</f>
        <v/>
      </c>
      <c r="P1006" s="84">
        <f>IF($J1006="","",IF($L1006&lt;&gt;"",$L1006-$J1006,TODAY()-$J1006))</f>
        <v/>
      </c>
      <c r="Q1006" s="85">
        <f>IF(OR($K1006="",$H1006="Completed",$H1006="Cancelled"),"",IF(AND($K1006&lt;TODAY(),$H1006&lt;&gt;"Completed",$H1006&lt;&gt;"Cancelled"),"Overdue","On Track"))</f>
        <v/>
      </c>
      <c r="R1006" s="81" t="n"/>
      <c r="S1006" s="81">
        <f>IF($B1006="","",IFERROR(INDEX(Task_Tracker!$AA$5:$AA$1004,MATCH($B1006,Task_Tracker!$A$5:$A$1004,0)),""))</f>
        <v/>
      </c>
      <c r="T1006" s="81">
        <f>IF($B1006="","",IFERROR(INDEX(Task_Tracker!$AB$5:$AB$1004,MATCH($B1006,Task_Tracker!$A$5:$A$1004,0)),""))</f>
        <v/>
      </c>
      <c r="U1006" s="78">
        <f>IF($B1006="","",IFERROR(INDEX(Task_Tracker!$F$5:$F$1004,MATCH($B1006,Task_Tracker!$A$5:$A$1004,0)),""))</f>
        <v/>
      </c>
      <c r="V1006" s="78">
        <f>IF($B1006="","",IFERROR(INDEX(Task_Tracker!$I$5:$I$1004,MATCH($B1006,Task_Tracker!$A$5:$A$1004,0)),""))</f>
        <v/>
      </c>
      <c r="W1006" s="81">
        <f>IF(OR($D1006="",$B1006=""),"",$D1006&amp;" | "&amp;$B1006)</f>
        <v/>
      </c>
      <c r="X1006" s="85">
        <f>IF($K1006="","",TEXT($K1006,"yyyy-mm"))</f>
        <v/>
      </c>
      <c r="Y1006" s="81">
        <f>IF(OR($A1006="",$T1006=""),"","Included in Manager_Report")</f>
        <v/>
      </c>
    </row>
    <row r="1007" ht="15" customHeight="1" s="40">
      <c r="A1007" s="65">
        <f>IF(COUNTA(B1007:G1007)=0,"","STP-"&amp;TEXT(ROW()-4,"0000"))</f>
        <v/>
      </c>
      <c r="B1007" s="78" t="n"/>
      <c r="C1007" s="67">
        <f>IF($B1007="","",IFERROR(INDEX(Task_Tracker!$D$5:$D$1004,MATCH($B1007,Task_Tracker!$A$5:$A$1004,0)),""))</f>
        <v/>
      </c>
      <c r="D1007" s="67">
        <f>IF($B1007="","",IFERROR(INDEX(Task_Tracker!$B$5:$B$1004,MATCH($B1007,Task_Tracker!$A$5:$A$1004,0)),""))</f>
        <v/>
      </c>
      <c r="E1007" s="81" t="n"/>
      <c r="F1007" s="81" t="n"/>
      <c r="G1007" s="78" t="n"/>
      <c r="H1007" s="78" t="n"/>
      <c r="I1007" s="67">
        <f>IF($H1007="","",IFERROR(INDEX(Action_Status_Map!$B$5:$B$11,MATCH($H1007,Action_Status_Map!$A$5:$A$11,0)),""))</f>
        <v/>
      </c>
      <c r="J1007" s="82" t="n"/>
      <c r="K1007" s="82" t="n"/>
      <c r="L1007" s="82" t="n"/>
      <c r="M1007" s="83" t="n"/>
      <c r="N1007" s="83" t="n"/>
      <c r="O1007" s="66">
        <f>IF(OR($M1007="",$N1007=""),"",$N1007-$M1007)</f>
        <v/>
      </c>
      <c r="P1007" s="84">
        <f>IF($J1007="","",IF($L1007&lt;&gt;"",$L1007-$J1007,TODAY()-$J1007))</f>
        <v/>
      </c>
      <c r="Q1007" s="85">
        <f>IF(OR($K1007="",$H1007="Completed",$H1007="Cancelled"),"",IF(AND($K1007&lt;TODAY(),$H1007&lt;&gt;"Completed",$H1007&lt;&gt;"Cancelled"),"Overdue","On Track"))</f>
        <v/>
      </c>
      <c r="R1007" s="81" t="n"/>
      <c r="S1007" s="81">
        <f>IF($B1007="","",IFERROR(INDEX(Task_Tracker!$AA$5:$AA$1004,MATCH($B1007,Task_Tracker!$A$5:$A$1004,0)),""))</f>
        <v/>
      </c>
      <c r="T1007" s="81">
        <f>IF($B1007="","",IFERROR(INDEX(Task_Tracker!$AB$5:$AB$1004,MATCH($B1007,Task_Tracker!$A$5:$A$1004,0)),""))</f>
        <v/>
      </c>
      <c r="U1007" s="78">
        <f>IF($B1007="","",IFERROR(INDEX(Task_Tracker!$F$5:$F$1004,MATCH($B1007,Task_Tracker!$A$5:$A$1004,0)),""))</f>
        <v/>
      </c>
      <c r="V1007" s="78">
        <f>IF($B1007="","",IFERROR(INDEX(Task_Tracker!$I$5:$I$1004,MATCH($B1007,Task_Tracker!$A$5:$A$1004,0)),""))</f>
        <v/>
      </c>
      <c r="W1007" s="81">
        <f>IF(OR($D1007="",$B1007=""),"",$D1007&amp;" | "&amp;$B1007)</f>
        <v/>
      </c>
      <c r="X1007" s="85">
        <f>IF($K1007="","",TEXT($K1007,"yyyy-mm"))</f>
        <v/>
      </c>
      <c r="Y1007" s="81">
        <f>IF(OR($A1007="",$T1007=""),"","Included in Manager_Report")</f>
        <v/>
      </c>
    </row>
    <row r="1008" ht="15" customHeight="1" s="40">
      <c r="A1008" s="65">
        <f>IF(COUNTA(B1008:G1008)=0,"","STP-"&amp;TEXT(ROW()-4,"0000"))</f>
        <v/>
      </c>
      <c r="B1008" s="78" t="n"/>
      <c r="C1008" s="67">
        <f>IF($B1008="","",IFERROR(INDEX(Task_Tracker!$D$5:$D$1004,MATCH($B1008,Task_Tracker!$A$5:$A$1004,0)),""))</f>
        <v/>
      </c>
      <c r="D1008" s="67">
        <f>IF($B1008="","",IFERROR(INDEX(Task_Tracker!$B$5:$B$1004,MATCH($B1008,Task_Tracker!$A$5:$A$1004,0)),""))</f>
        <v/>
      </c>
      <c r="E1008" s="81" t="n"/>
      <c r="F1008" s="81" t="n"/>
      <c r="G1008" s="78" t="n"/>
      <c r="H1008" s="78" t="n"/>
      <c r="I1008" s="67">
        <f>IF($H1008="","",IFERROR(INDEX(Action_Status_Map!$B$5:$B$11,MATCH($H1008,Action_Status_Map!$A$5:$A$11,0)),""))</f>
        <v/>
      </c>
      <c r="J1008" s="82" t="n"/>
      <c r="K1008" s="82" t="n"/>
      <c r="L1008" s="82" t="n"/>
      <c r="M1008" s="83" t="n"/>
      <c r="N1008" s="83" t="n"/>
      <c r="O1008" s="66">
        <f>IF(OR($M1008="",$N1008=""),"",$N1008-$M1008)</f>
        <v/>
      </c>
      <c r="P1008" s="84">
        <f>IF($J1008="","",IF($L1008&lt;&gt;"",$L1008-$J1008,TODAY()-$J1008))</f>
        <v/>
      </c>
      <c r="Q1008" s="85">
        <f>IF(OR($K1008="",$H1008="Completed",$H1008="Cancelled"),"",IF(AND($K1008&lt;TODAY(),$H1008&lt;&gt;"Completed",$H1008&lt;&gt;"Cancelled"),"Overdue","On Track"))</f>
        <v/>
      </c>
      <c r="R1008" s="81" t="n"/>
      <c r="S1008" s="81">
        <f>IF($B1008="","",IFERROR(INDEX(Task_Tracker!$AA$5:$AA$1004,MATCH($B1008,Task_Tracker!$A$5:$A$1004,0)),""))</f>
        <v/>
      </c>
      <c r="T1008" s="81">
        <f>IF($B1008="","",IFERROR(INDEX(Task_Tracker!$AB$5:$AB$1004,MATCH($B1008,Task_Tracker!$A$5:$A$1004,0)),""))</f>
        <v/>
      </c>
      <c r="U1008" s="78">
        <f>IF($B1008="","",IFERROR(INDEX(Task_Tracker!$F$5:$F$1004,MATCH($B1008,Task_Tracker!$A$5:$A$1004,0)),""))</f>
        <v/>
      </c>
      <c r="V1008" s="78">
        <f>IF($B1008="","",IFERROR(INDEX(Task_Tracker!$I$5:$I$1004,MATCH($B1008,Task_Tracker!$A$5:$A$1004,0)),""))</f>
        <v/>
      </c>
      <c r="W1008" s="81">
        <f>IF(OR($D1008="",$B1008=""),"",$D1008&amp;" | "&amp;$B1008)</f>
        <v/>
      </c>
      <c r="X1008" s="85">
        <f>IF($K1008="","",TEXT($K1008,"yyyy-mm"))</f>
        <v/>
      </c>
      <c r="Y1008" s="81">
        <f>IF(OR($A1008="",$T1008=""),"","Included in Manager_Report")</f>
        <v/>
      </c>
    </row>
    <row r="1009" ht="15" customHeight="1" s="40">
      <c r="A1009" s="65">
        <f>IF(COUNTA(B1009:G1009)=0,"","STP-"&amp;TEXT(ROW()-4,"0000"))</f>
        <v/>
      </c>
      <c r="B1009" s="78" t="n"/>
      <c r="C1009" s="67">
        <f>IF($B1009="","",IFERROR(INDEX(Task_Tracker!$D$5:$D$1004,MATCH($B1009,Task_Tracker!$A$5:$A$1004,0)),""))</f>
        <v/>
      </c>
      <c r="D1009" s="67">
        <f>IF($B1009="","",IFERROR(INDEX(Task_Tracker!$B$5:$B$1004,MATCH($B1009,Task_Tracker!$A$5:$A$1004,0)),""))</f>
        <v/>
      </c>
      <c r="E1009" s="81" t="n"/>
      <c r="F1009" s="81" t="n"/>
      <c r="G1009" s="78" t="n"/>
      <c r="H1009" s="78" t="n"/>
      <c r="I1009" s="67">
        <f>IF($H1009="","",IFERROR(INDEX(Action_Status_Map!$B$5:$B$11,MATCH($H1009,Action_Status_Map!$A$5:$A$11,0)),""))</f>
        <v/>
      </c>
      <c r="J1009" s="82" t="n"/>
      <c r="K1009" s="82" t="n"/>
      <c r="L1009" s="82" t="n"/>
      <c r="M1009" s="83" t="n"/>
      <c r="N1009" s="83" t="n"/>
      <c r="O1009" s="66">
        <f>IF(OR($M1009="",$N1009=""),"",$N1009-$M1009)</f>
        <v/>
      </c>
      <c r="P1009" s="84">
        <f>IF($J1009="","",IF($L1009&lt;&gt;"",$L1009-$J1009,TODAY()-$J1009))</f>
        <v/>
      </c>
      <c r="Q1009" s="85">
        <f>IF(OR($K1009="",$H1009="Completed",$H1009="Cancelled"),"",IF(AND($K1009&lt;TODAY(),$H1009&lt;&gt;"Completed",$H1009&lt;&gt;"Cancelled"),"Overdue","On Track"))</f>
        <v/>
      </c>
      <c r="R1009" s="81" t="n"/>
      <c r="S1009" s="81">
        <f>IF($B1009="","",IFERROR(INDEX(Task_Tracker!$AA$5:$AA$1004,MATCH($B1009,Task_Tracker!$A$5:$A$1004,0)),""))</f>
        <v/>
      </c>
      <c r="T1009" s="81">
        <f>IF($B1009="","",IFERROR(INDEX(Task_Tracker!$AB$5:$AB$1004,MATCH($B1009,Task_Tracker!$A$5:$A$1004,0)),""))</f>
        <v/>
      </c>
      <c r="U1009" s="78">
        <f>IF($B1009="","",IFERROR(INDEX(Task_Tracker!$F$5:$F$1004,MATCH($B1009,Task_Tracker!$A$5:$A$1004,0)),""))</f>
        <v/>
      </c>
      <c r="V1009" s="78">
        <f>IF($B1009="","",IFERROR(INDEX(Task_Tracker!$I$5:$I$1004,MATCH($B1009,Task_Tracker!$A$5:$A$1004,0)),""))</f>
        <v/>
      </c>
      <c r="W1009" s="81">
        <f>IF(OR($D1009="",$B1009=""),"",$D1009&amp;" | "&amp;$B1009)</f>
        <v/>
      </c>
      <c r="X1009" s="85">
        <f>IF($K1009="","",TEXT($K1009,"yyyy-mm"))</f>
        <v/>
      </c>
      <c r="Y1009" s="81">
        <f>IF(OR($A1009="",$T1009=""),"","Included in Manager_Report")</f>
        <v/>
      </c>
    </row>
    <row r="1010" ht="15" customHeight="1" s="40">
      <c r="A1010" s="65">
        <f>IF(COUNTA(B1010:G1010)=0,"","STP-"&amp;TEXT(ROW()-4,"0000"))</f>
        <v/>
      </c>
      <c r="B1010" s="78" t="n"/>
      <c r="C1010" s="67">
        <f>IF($B1010="","",IFERROR(INDEX(Task_Tracker!$D$5:$D$1004,MATCH($B1010,Task_Tracker!$A$5:$A$1004,0)),""))</f>
        <v/>
      </c>
      <c r="D1010" s="67">
        <f>IF($B1010="","",IFERROR(INDEX(Task_Tracker!$B$5:$B$1004,MATCH($B1010,Task_Tracker!$A$5:$A$1004,0)),""))</f>
        <v/>
      </c>
      <c r="E1010" s="81" t="n"/>
      <c r="F1010" s="81" t="n"/>
      <c r="G1010" s="78" t="n"/>
      <c r="H1010" s="78" t="n"/>
      <c r="I1010" s="67">
        <f>IF($H1010="","",IFERROR(INDEX(Action_Status_Map!$B$5:$B$11,MATCH($H1010,Action_Status_Map!$A$5:$A$11,0)),""))</f>
        <v/>
      </c>
      <c r="J1010" s="82" t="n"/>
      <c r="K1010" s="82" t="n"/>
      <c r="L1010" s="82" t="n"/>
      <c r="M1010" s="83" t="n"/>
      <c r="N1010" s="83" t="n"/>
      <c r="O1010" s="66">
        <f>IF(OR($M1010="",$N1010=""),"",$N1010-$M1010)</f>
        <v/>
      </c>
      <c r="P1010" s="84">
        <f>IF($J1010="","",IF($L1010&lt;&gt;"",$L1010-$J1010,TODAY()-$J1010))</f>
        <v/>
      </c>
      <c r="Q1010" s="85">
        <f>IF(OR($K1010="",$H1010="Completed",$H1010="Cancelled"),"",IF(AND($K1010&lt;TODAY(),$H1010&lt;&gt;"Completed",$H1010&lt;&gt;"Cancelled"),"Overdue","On Track"))</f>
        <v/>
      </c>
      <c r="R1010" s="81" t="n"/>
      <c r="S1010" s="81">
        <f>IF($B1010="","",IFERROR(INDEX(Task_Tracker!$AA$5:$AA$1004,MATCH($B1010,Task_Tracker!$A$5:$A$1004,0)),""))</f>
        <v/>
      </c>
      <c r="T1010" s="81">
        <f>IF($B1010="","",IFERROR(INDEX(Task_Tracker!$AB$5:$AB$1004,MATCH($B1010,Task_Tracker!$A$5:$A$1004,0)),""))</f>
        <v/>
      </c>
      <c r="U1010" s="78">
        <f>IF($B1010="","",IFERROR(INDEX(Task_Tracker!$F$5:$F$1004,MATCH($B1010,Task_Tracker!$A$5:$A$1004,0)),""))</f>
        <v/>
      </c>
      <c r="V1010" s="78">
        <f>IF($B1010="","",IFERROR(INDEX(Task_Tracker!$I$5:$I$1004,MATCH($B1010,Task_Tracker!$A$5:$A$1004,0)),""))</f>
        <v/>
      </c>
      <c r="W1010" s="81">
        <f>IF(OR($D1010="",$B1010=""),"",$D1010&amp;" | "&amp;$B1010)</f>
        <v/>
      </c>
      <c r="X1010" s="85">
        <f>IF($K1010="","",TEXT($K1010,"yyyy-mm"))</f>
        <v/>
      </c>
      <c r="Y1010" s="81">
        <f>IF(OR($A1010="",$T1010=""),"","Included in Manager_Report")</f>
        <v/>
      </c>
    </row>
    <row r="1011" ht="15" customHeight="1" s="40">
      <c r="A1011" s="65">
        <f>IF(COUNTA(B1011:G1011)=0,"","STP-"&amp;TEXT(ROW()-4,"0000"))</f>
        <v/>
      </c>
      <c r="B1011" s="78" t="n"/>
      <c r="C1011" s="67">
        <f>IF($B1011="","",IFERROR(INDEX(Task_Tracker!$D$5:$D$1004,MATCH($B1011,Task_Tracker!$A$5:$A$1004,0)),""))</f>
        <v/>
      </c>
      <c r="D1011" s="67">
        <f>IF($B1011="","",IFERROR(INDEX(Task_Tracker!$B$5:$B$1004,MATCH($B1011,Task_Tracker!$A$5:$A$1004,0)),""))</f>
        <v/>
      </c>
      <c r="E1011" s="81" t="n"/>
      <c r="F1011" s="81" t="n"/>
      <c r="G1011" s="78" t="n"/>
      <c r="H1011" s="78" t="n"/>
      <c r="I1011" s="67">
        <f>IF($H1011="","",IFERROR(INDEX(Action_Status_Map!$B$5:$B$11,MATCH($H1011,Action_Status_Map!$A$5:$A$11,0)),""))</f>
        <v/>
      </c>
      <c r="J1011" s="82" t="n"/>
      <c r="K1011" s="82" t="n"/>
      <c r="L1011" s="82" t="n"/>
      <c r="M1011" s="83" t="n"/>
      <c r="N1011" s="83" t="n"/>
      <c r="O1011" s="66">
        <f>IF(OR($M1011="",$N1011=""),"",$N1011-$M1011)</f>
        <v/>
      </c>
      <c r="P1011" s="84">
        <f>IF($J1011="","",IF($L1011&lt;&gt;"",$L1011-$J1011,TODAY()-$J1011))</f>
        <v/>
      </c>
      <c r="Q1011" s="85">
        <f>IF(OR($K1011="",$H1011="Completed",$H1011="Cancelled"),"",IF(AND($K1011&lt;TODAY(),$H1011&lt;&gt;"Completed",$H1011&lt;&gt;"Cancelled"),"Overdue","On Track"))</f>
        <v/>
      </c>
      <c r="R1011" s="81" t="n"/>
      <c r="S1011" s="81">
        <f>IF($B1011="","",IFERROR(INDEX(Task_Tracker!$AA$5:$AA$1004,MATCH($B1011,Task_Tracker!$A$5:$A$1004,0)),""))</f>
        <v/>
      </c>
      <c r="T1011" s="81">
        <f>IF($B1011="","",IFERROR(INDEX(Task_Tracker!$AB$5:$AB$1004,MATCH($B1011,Task_Tracker!$A$5:$A$1004,0)),""))</f>
        <v/>
      </c>
      <c r="U1011" s="78">
        <f>IF($B1011="","",IFERROR(INDEX(Task_Tracker!$F$5:$F$1004,MATCH($B1011,Task_Tracker!$A$5:$A$1004,0)),""))</f>
        <v/>
      </c>
      <c r="V1011" s="78">
        <f>IF($B1011="","",IFERROR(INDEX(Task_Tracker!$I$5:$I$1004,MATCH($B1011,Task_Tracker!$A$5:$A$1004,0)),""))</f>
        <v/>
      </c>
      <c r="W1011" s="81">
        <f>IF(OR($D1011="",$B1011=""),"",$D1011&amp;" | "&amp;$B1011)</f>
        <v/>
      </c>
      <c r="X1011" s="85">
        <f>IF($K1011="","",TEXT($K1011,"yyyy-mm"))</f>
        <v/>
      </c>
      <c r="Y1011" s="81">
        <f>IF(OR($A1011="",$T1011=""),"","Included in Manager_Report")</f>
        <v/>
      </c>
    </row>
    <row r="1012" ht="15" customHeight="1" s="40">
      <c r="A1012" s="65">
        <f>IF(COUNTA(B1012:G1012)=0,"","STP-"&amp;TEXT(ROW()-4,"0000"))</f>
        <v/>
      </c>
      <c r="B1012" s="78" t="n"/>
      <c r="C1012" s="67">
        <f>IF($B1012="","",IFERROR(INDEX(Task_Tracker!$D$5:$D$1004,MATCH($B1012,Task_Tracker!$A$5:$A$1004,0)),""))</f>
        <v/>
      </c>
      <c r="D1012" s="67">
        <f>IF($B1012="","",IFERROR(INDEX(Task_Tracker!$B$5:$B$1004,MATCH($B1012,Task_Tracker!$A$5:$A$1004,0)),""))</f>
        <v/>
      </c>
      <c r="E1012" s="81" t="n"/>
      <c r="F1012" s="81" t="n"/>
      <c r="G1012" s="78" t="n"/>
      <c r="H1012" s="78" t="n"/>
      <c r="I1012" s="67">
        <f>IF($H1012="","",IFERROR(INDEX(Action_Status_Map!$B$5:$B$11,MATCH($H1012,Action_Status_Map!$A$5:$A$11,0)),""))</f>
        <v/>
      </c>
      <c r="J1012" s="82" t="n"/>
      <c r="K1012" s="82" t="n"/>
      <c r="L1012" s="82" t="n"/>
      <c r="M1012" s="83" t="n"/>
      <c r="N1012" s="83" t="n"/>
      <c r="O1012" s="66">
        <f>IF(OR($M1012="",$N1012=""),"",$N1012-$M1012)</f>
        <v/>
      </c>
      <c r="P1012" s="84">
        <f>IF($J1012="","",IF($L1012&lt;&gt;"",$L1012-$J1012,TODAY()-$J1012))</f>
        <v/>
      </c>
      <c r="Q1012" s="85">
        <f>IF(OR($K1012="",$H1012="Completed",$H1012="Cancelled"),"",IF(AND($K1012&lt;TODAY(),$H1012&lt;&gt;"Completed",$H1012&lt;&gt;"Cancelled"),"Overdue","On Track"))</f>
        <v/>
      </c>
      <c r="R1012" s="81" t="n"/>
      <c r="S1012" s="81">
        <f>IF($B1012="","",IFERROR(INDEX(Task_Tracker!$AA$5:$AA$1004,MATCH($B1012,Task_Tracker!$A$5:$A$1004,0)),""))</f>
        <v/>
      </c>
      <c r="T1012" s="81">
        <f>IF($B1012="","",IFERROR(INDEX(Task_Tracker!$AB$5:$AB$1004,MATCH($B1012,Task_Tracker!$A$5:$A$1004,0)),""))</f>
        <v/>
      </c>
      <c r="U1012" s="78">
        <f>IF($B1012="","",IFERROR(INDEX(Task_Tracker!$F$5:$F$1004,MATCH($B1012,Task_Tracker!$A$5:$A$1004,0)),""))</f>
        <v/>
      </c>
      <c r="V1012" s="78">
        <f>IF($B1012="","",IFERROR(INDEX(Task_Tracker!$I$5:$I$1004,MATCH($B1012,Task_Tracker!$A$5:$A$1004,0)),""))</f>
        <v/>
      </c>
      <c r="W1012" s="81">
        <f>IF(OR($D1012="",$B1012=""),"",$D1012&amp;" | "&amp;$B1012)</f>
        <v/>
      </c>
      <c r="X1012" s="85">
        <f>IF($K1012="","",TEXT($K1012,"yyyy-mm"))</f>
        <v/>
      </c>
      <c r="Y1012" s="81">
        <f>IF(OR($A1012="",$T1012=""),"","Included in Manager_Report")</f>
        <v/>
      </c>
    </row>
    <row r="1013" ht="15" customHeight="1" s="40">
      <c r="A1013" s="65">
        <f>IF(COUNTA(B1013:G1013)=0,"","STP-"&amp;TEXT(ROW()-4,"0000"))</f>
        <v/>
      </c>
      <c r="B1013" s="78" t="n"/>
      <c r="C1013" s="67">
        <f>IF($B1013="","",IFERROR(INDEX(Task_Tracker!$D$5:$D$1004,MATCH($B1013,Task_Tracker!$A$5:$A$1004,0)),""))</f>
        <v/>
      </c>
      <c r="D1013" s="67">
        <f>IF($B1013="","",IFERROR(INDEX(Task_Tracker!$B$5:$B$1004,MATCH($B1013,Task_Tracker!$A$5:$A$1004,0)),""))</f>
        <v/>
      </c>
      <c r="E1013" s="81" t="n"/>
      <c r="F1013" s="81" t="n"/>
      <c r="G1013" s="78" t="n"/>
      <c r="H1013" s="78" t="n"/>
      <c r="I1013" s="67">
        <f>IF($H1013="","",IFERROR(INDEX(Action_Status_Map!$B$5:$B$11,MATCH($H1013,Action_Status_Map!$A$5:$A$11,0)),""))</f>
        <v/>
      </c>
      <c r="J1013" s="82" t="n"/>
      <c r="K1013" s="82" t="n"/>
      <c r="L1013" s="82" t="n"/>
      <c r="M1013" s="83" t="n"/>
      <c r="N1013" s="83" t="n"/>
      <c r="O1013" s="66">
        <f>IF(OR($M1013="",$N1013=""),"",$N1013-$M1013)</f>
        <v/>
      </c>
      <c r="P1013" s="84">
        <f>IF($J1013="","",IF($L1013&lt;&gt;"",$L1013-$J1013,TODAY()-$J1013))</f>
        <v/>
      </c>
      <c r="Q1013" s="85">
        <f>IF(OR($K1013="",$H1013="Completed",$H1013="Cancelled"),"",IF(AND($K1013&lt;TODAY(),$H1013&lt;&gt;"Completed",$H1013&lt;&gt;"Cancelled"),"Overdue","On Track"))</f>
        <v/>
      </c>
      <c r="R1013" s="81" t="n"/>
      <c r="S1013" s="81">
        <f>IF($B1013="","",IFERROR(INDEX(Task_Tracker!$AA$5:$AA$1004,MATCH($B1013,Task_Tracker!$A$5:$A$1004,0)),""))</f>
        <v/>
      </c>
      <c r="T1013" s="81">
        <f>IF($B1013="","",IFERROR(INDEX(Task_Tracker!$AB$5:$AB$1004,MATCH($B1013,Task_Tracker!$A$5:$A$1004,0)),""))</f>
        <v/>
      </c>
      <c r="U1013" s="78">
        <f>IF($B1013="","",IFERROR(INDEX(Task_Tracker!$F$5:$F$1004,MATCH($B1013,Task_Tracker!$A$5:$A$1004,0)),""))</f>
        <v/>
      </c>
      <c r="V1013" s="78">
        <f>IF($B1013="","",IFERROR(INDEX(Task_Tracker!$I$5:$I$1004,MATCH($B1013,Task_Tracker!$A$5:$A$1004,0)),""))</f>
        <v/>
      </c>
      <c r="W1013" s="81">
        <f>IF(OR($D1013="",$B1013=""),"",$D1013&amp;" | "&amp;$B1013)</f>
        <v/>
      </c>
      <c r="X1013" s="85">
        <f>IF($K1013="","",TEXT($K1013,"yyyy-mm"))</f>
        <v/>
      </c>
      <c r="Y1013" s="81">
        <f>IF(OR($A1013="",$T1013=""),"","Included in Manager_Report")</f>
        <v/>
      </c>
    </row>
    <row r="1014" ht="15" customHeight="1" s="40">
      <c r="A1014" s="65">
        <f>IF(COUNTA(B1014:G1014)=0,"","STP-"&amp;TEXT(ROW()-4,"0000"))</f>
        <v/>
      </c>
      <c r="B1014" s="78" t="n"/>
      <c r="C1014" s="67">
        <f>IF($B1014="","",IFERROR(INDEX(Task_Tracker!$D$5:$D$1004,MATCH($B1014,Task_Tracker!$A$5:$A$1004,0)),""))</f>
        <v/>
      </c>
      <c r="D1014" s="67">
        <f>IF($B1014="","",IFERROR(INDEX(Task_Tracker!$B$5:$B$1004,MATCH($B1014,Task_Tracker!$A$5:$A$1004,0)),""))</f>
        <v/>
      </c>
      <c r="E1014" s="81" t="n"/>
      <c r="F1014" s="81" t="n"/>
      <c r="G1014" s="78" t="n"/>
      <c r="H1014" s="78" t="n"/>
      <c r="I1014" s="67">
        <f>IF($H1014="","",IFERROR(INDEX(Action_Status_Map!$B$5:$B$11,MATCH($H1014,Action_Status_Map!$A$5:$A$11,0)),""))</f>
        <v/>
      </c>
      <c r="J1014" s="82" t="n"/>
      <c r="K1014" s="82" t="n"/>
      <c r="L1014" s="82" t="n"/>
      <c r="M1014" s="83" t="n"/>
      <c r="N1014" s="83" t="n"/>
      <c r="O1014" s="66">
        <f>IF(OR($M1014="",$N1014=""),"",$N1014-$M1014)</f>
        <v/>
      </c>
      <c r="P1014" s="84">
        <f>IF($J1014="","",IF($L1014&lt;&gt;"",$L1014-$J1014,TODAY()-$J1014))</f>
        <v/>
      </c>
      <c r="Q1014" s="85">
        <f>IF(OR($K1014="",$H1014="Completed",$H1014="Cancelled"),"",IF(AND($K1014&lt;TODAY(),$H1014&lt;&gt;"Completed",$H1014&lt;&gt;"Cancelled"),"Overdue","On Track"))</f>
        <v/>
      </c>
      <c r="R1014" s="81" t="n"/>
      <c r="S1014" s="81">
        <f>IF($B1014="","",IFERROR(INDEX(Task_Tracker!$AA$5:$AA$1004,MATCH($B1014,Task_Tracker!$A$5:$A$1004,0)),""))</f>
        <v/>
      </c>
      <c r="T1014" s="81">
        <f>IF($B1014="","",IFERROR(INDEX(Task_Tracker!$AB$5:$AB$1004,MATCH($B1014,Task_Tracker!$A$5:$A$1004,0)),""))</f>
        <v/>
      </c>
      <c r="U1014" s="78">
        <f>IF($B1014="","",IFERROR(INDEX(Task_Tracker!$F$5:$F$1004,MATCH($B1014,Task_Tracker!$A$5:$A$1004,0)),""))</f>
        <v/>
      </c>
      <c r="V1014" s="78">
        <f>IF($B1014="","",IFERROR(INDEX(Task_Tracker!$I$5:$I$1004,MATCH($B1014,Task_Tracker!$A$5:$A$1004,0)),""))</f>
        <v/>
      </c>
      <c r="W1014" s="81">
        <f>IF(OR($D1014="",$B1014=""),"",$D1014&amp;" | "&amp;$B1014)</f>
        <v/>
      </c>
      <c r="X1014" s="85">
        <f>IF($K1014="","",TEXT($K1014,"yyyy-mm"))</f>
        <v/>
      </c>
      <c r="Y1014" s="81">
        <f>IF(OR($A1014="",$T1014=""),"","Included in Manager_Report")</f>
        <v/>
      </c>
    </row>
    <row r="1015" ht="15" customHeight="1" s="40">
      <c r="A1015" s="65">
        <f>IF(COUNTA(B1015:G1015)=0,"","STP-"&amp;TEXT(ROW()-4,"0000"))</f>
        <v/>
      </c>
      <c r="B1015" s="78" t="n"/>
      <c r="C1015" s="67">
        <f>IF($B1015="","",IFERROR(INDEX(Task_Tracker!$D$5:$D$1004,MATCH($B1015,Task_Tracker!$A$5:$A$1004,0)),""))</f>
        <v/>
      </c>
      <c r="D1015" s="67">
        <f>IF($B1015="","",IFERROR(INDEX(Task_Tracker!$B$5:$B$1004,MATCH($B1015,Task_Tracker!$A$5:$A$1004,0)),""))</f>
        <v/>
      </c>
      <c r="E1015" s="81" t="n"/>
      <c r="F1015" s="81" t="n"/>
      <c r="G1015" s="78" t="n"/>
      <c r="H1015" s="78" t="n"/>
      <c r="I1015" s="67">
        <f>IF($H1015="","",IFERROR(INDEX(Action_Status_Map!$B$5:$B$11,MATCH($H1015,Action_Status_Map!$A$5:$A$11,0)),""))</f>
        <v/>
      </c>
      <c r="J1015" s="82" t="n"/>
      <c r="K1015" s="82" t="n"/>
      <c r="L1015" s="82" t="n"/>
      <c r="M1015" s="83" t="n"/>
      <c r="N1015" s="83" t="n"/>
      <c r="O1015" s="66">
        <f>IF(OR($M1015="",$N1015=""),"",$N1015-$M1015)</f>
        <v/>
      </c>
      <c r="P1015" s="84">
        <f>IF($J1015="","",IF($L1015&lt;&gt;"",$L1015-$J1015,TODAY()-$J1015))</f>
        <v/>
      </c>
      <c r="Q1015" s="85">
        <f>IF(OR($K1015="",$H1015="Completed",$H1015="Cancelled"),"",IF(AND($K1015&lt;TODAY(),$H1015&lt;&gt;"Completed",$H1015&lt;&gt;"Cancelled"),"Overdue","On Track"))</f>
        <v/>
      </c>
      <c r="R1015" s="81" t="n"/>
      <c r="S1015" s="81">
        <f>IF($B1015="","",IFERROR(INDEX(Task_Tracker!$AA$5:$AA$1004,MATCH($B1015,Task_Tracker!$A$5:$A$1004,0)),""))</f>
        <v/>
      </c>
      <c r="T1015" s="81">
        <f>IF($B1015="","",IFERROR(INDEX(Task_Tracker!$AB$5:$AB$1004,MATCH($B1015,Task_Tracker!$A$5:$A$1004,0)),""))</f>
        <v/>
      </c>
      <c r="U1015" s="78">
        <f>IF($B1015="","",IFERROR(INDEX(Task_Tracker!$F$5:$F$1004,MATCH($B1015,Task_Tracker!$A$5:$A$1004,0)),""))</f>
        <v/>
      </c>
      <c r="V1015" s="78">
        <f>IF($B1015="","",IFERROR(INDEX(Task_Tracker!$I$5:$I$1004,MATCH($B1015,Task_Tracker!$A$5:$A$1004,0)),""))</f>
        <v/>
      </c>
      <c r="W1015" s="81">
        <f>IF(OR($D1015="",$B1015=""),"",$D1015&amp;" | "&amp;$B1015)</f>
        <v/>
      </c>
      <c r="X1015" s="85">
        <f>IF($K1015="","",TEXT($K1015,"yyyy-mm"))</f>
        <v/>
      </c>
      <c r="Y1015" s="81">
        <f>IF(OR($A1015="",$T1015=""),"","Included in Manager_Report")</f>
        <v/>
      </c>
    </row>
    <row r="1016" ht="15" customHeight="1" s="40">
      <c r="A1016" s="65">
        <f>IF(COUNTA(B1016:G1016)=0,"","STP-"&amp;TEXT(ROW()-4,"0000"))</f>
        <v/>
      </c>
      <c r="B1016" s="78" t="n"/>
      <c r="C1016" s="67">
        <f>IF($B1016="","",IFERROR(INDEX(Task_Tracker!$D$5:$D$1004,MATCH($B1016,Task_Tracker!$A$5:$A$1004,0)),""))</f>
        <v/>
      </c>
      <c r="D1016" s="67">
        <f>IF($B1016="","",IFERROR(INDEX(Task_Tracker!$B$5:$B$1004,MATCH($B1016,Task_Tracker!$A$5:$A$1004,0)),""))</f>
        <v/>
      </c>
      <c r="E1016" s="81" t="n"/>
      <c r="F1016" s="81" t="n"/>
      <c r="G1016" s="78" t="n"/>
      <c r="H1016" s="78" t="n"/>
      <c r="I1016" s="67">
        <f>IF($H1016="","",IFERROR(INDEX(Action_Status_Map!$B$5:$B$11,MATCH($H1016,Action_Status_Map!$A$5:$A$11,0)),""))</f>
        <v/>
      </c>
      <c r="J1016" s="82" t="n"/>
      <c r="K1016" s="82" t="n"/>
      <c r="L1016" s="82" t="n"/>
      <c r="M1016" s="83" t="n"/>
      <c r="N1016" s="83" t="n"/>
      <c r="O1016" s="66">
        <f>IF(OR($M1016="",$N1016=""),"",$N1016-$M1016)</f>
        <v/>
      </c>
      <c r="P1016" s="84">
        <f>IF($J1016="","",IF($L1016&lt;&gt;"",$L1016-$J1016,TODAY()-$J1016))</f>
        <v/>
      </c>
      <c r="Q1016" s="85">
        <f>IF(OR($K1016="",$H1016="Completed",$H1016="Cancelled"),"",IF(AND($K1016&lt;TODAY(),$H1016&lt;&gt;"Completed",$H1016&lt;&gt;"Cancelled"),"Overdue","On Track"))</f>
        <v/>
      </c>
      <c r="R1016" s="81" t="n"/>
      <c r="S1016" s="81">
        <f>IF($B1016="","",IFERROR(INDEX(Task_Tracker!$AA$5:$AA$1004,MATCH($B1016,Task_Tracker!$A$5:$A$1004,0)),""))</f>
        <v/>
      </c>
      <c r="T1016" s="81">
        <f>IF($B1016="","",IFERROR(INDEX(Task_Tracker!$AB$5:$AB$1004,MATCH($B1016,Task_Tracker!$A$5:$A$1004,0)),""))</f>
        <v/>
      </c>
      <c r="U1016" s="78">
        <f>IF($B1016="","",IFERROR(INDEX(Task_Tracker!$F$5:$F$1004,MATCH($B1016,Task_Tracker!$A$5:$A$1004,0)),""))</f>
        <v/>
      </c>
      <c r="V1016" s="78">
        <f>IF($B1016="","",IFERROR(INDEX(Task_Tracker!$I$5:$I$1004,MATCH($B1016,Task_Tracker!$A$5:$A$1004,0)),""))</f>
        <v/>
      </c>
      <c r="W1016" s="81">
        <f>IF(OR($D1016="",$B1016=""),"",$D1016&amp;" | "&amp;$B1016)</f>
        <v/>
      </c>
      <c r="X1016" s="85">
        <f>IF($K1016="","",TEXT($K1016,"yyyy-mm"))</f>
        <v/>
      </c>
      <c r="Y1016" s="81">
        <f>IF(OR($A1016="",$T1016=""),"","Included in Manager_Report")</f>
        <v/>
      </c>
    </row>
    <row r="1017" ht="15" customHeight="1" s="40">
      <c r="A1017" s="65">
        <f>IF(COUNTA(B1017:G1017)=0,"","STP-"&amp;TEXT(ROW()-4,"0000"))</f>
        <v/>
      </c>
      <c r="B1017" s="78" t="n"/>
      <c r="C1017" s="67">
        <f>IF($B1017="","",IFERROR(INDEX(Task_Tracker!$D$5:$D$1004,MATCH($B1017,Task_Tracker!$A$5:$A$1004,0)),""))</f>
        <v/>
      </c>
      <c r="D1017" s="67">
        <f>IF($B1017="","",IFERROR(INDEX(Task_Tracker!$B$5:$B$1004,MATCH($B1017,Task_Tracker!$A$5:$A$1004,0)),""))</f>
        <v/>
      </c>
      <c r="E1017" s="81" t="n"/>
      <c r="F1017" s="81" t="n"/>
      <c r="G1017" s="78" t="n"/>
      <c r="H1017" s="78" t="n"/>
      <c r="I1017" s="67">
        <f>IF($H1017="","",IFERROR(INDEX(Action_Status_Map!$B$5:$B$11,MATCH($H1017,Action_Status_Map!$A$5:$A$11,0)),""))</f>
        <v/>
      </c>
      <c r="J1017" s="82" t="n"/>
      <c r="K1017" s="82" t="n"/>
      <c r="L1017" s="82" t="n"/>
      <c r="M1017" s="83" t="n"/>
      <c r="N1017" s="83" t="n"/>
      <c r="O1017" s="66">
        <f>IF(OR($M1017="",$N1017=""),"",$N1017-$M1017)</f>
        <v/>
      </c>
      <c r="P1017" s="84">
        <f>IF($J1017="","",IF($L1017&lt;&gt;"",$L1017-$J1017,TODAY()-$J1017))</f>
        <v/>
      </c>
      <c r="Q1017" s="85">
        <f>IF(OR($K1017="",$H1017="Completed",$H1017="Cancelled"),"",IF(AND($K1017&lt;TODAY(),$H1017&lt;&gt;"Completed",$H1017&lt;&gt;"Cancelled"),"Overdue","On Track"))</f>
        <v/>
      </c>
      <c r="R1017" s="81" t="n"/>
      <c r="S1017" s="81">
        <f>IF($B1017="","",IFERROR(INDEX(Task_Tracker!$AA$5:$AA$1004,MATCH($B1017,Task_Tracker!$A$5:$A$1004,0)),""))</f>
        <v/>
      </c>
      <c r="T1017" s="81">
        <f>IF($B1017="","",IFERROR(INDEX(Task_Tracker!$AB$5:$AB$1004,MATCH($B1017,Task_Tracker!$A$5:$A$1004,0)),""))</f>
        <v/>
      </c>
      <c r="U1017" s="78">
        <f>IF($B1017="","",IFERROR(INDEX(Task_Tracker!$F$5:$F$1004,MATCH($B1017,Task_Tracker!$A$5:$A$1004,0)),""))</f>
        <v/>
      </c>
      <c r="V1017" s="78">
        <f>IF($B1017="","",IFERROR(INDEX(Task_Tracker!$I$5:$I$1004,MATCH($B1017,Task_Tracker!$A$5:$A$1004,0)),""))</f>
        <v/>
      </c>
      <c r="W1017" s="81">
        <f>IF(OR($D1017="",$B1017=""),"",$D1017&amp;" | "&amp;$B1017)</f>
        <v/>
      </c>
      <c r="X1017" s="85">
        <f>IF($K1017="","",TEXT($K1017,"yyyy-mm"))</f>
        <v/>
      </c>
      <c r="Y1017" s="81">
        <f>IF(OR($A1017="",$T1017=""),"","Included in Manager_Report")</f>
        <v/>
      </c>
    </row>
    <row r="1018" ht="15" customHeight="1" s="40">
      <c r="A1018" s="65">
        <f>IF(COUNTA(B1018:G1018)=0,"","STP-"&amp;TEXT(ROW()-4,"0000"))</f>
        <v/>
      </c>
      <c r="B1018" s="78" t="n"/>
      <c r="C1018" s="67">
        <f>IF($B1018="","",IFERROR(INDEX(Task_Tracker!$D$5:$D$1004,MATCH($B1018,Task_Tracker!$A$5:$A$1004,0)),""))</f>
        <v/>
      </c>
      <c r="D1018" s="67">
        <f>IF($B1018="","",IFERROR(INDEX(Task_Tracker!$B$5:$B$1004,MATCH($B1018,Task_Tracker!$A$5:$A$1004,0)),""))</f>
        <v/>
      </c>
      <c r="E1018" s="81" t="n"/>
      <c r="F1018" s="81" t="n"/>
      <c r="G1018" s="78" t="n"/>
      <c r="H1018" s="78" t="n"/>
      <c r="I1018" s="67">
        <f>IF($H1018="","",IFERROR(INDEX(Action_Status_Map!$B$5:$B$11,MATCH($H1018,Action_Status_Map!$A$5:$A$11,0)),""))</f>
        <v/>
      </c>
      <c r="J1018" s="82" t="n"/>
      <c r="K1018" s="82" t="n"/>
      <c r="L1018" s="82" t="n"/>
      <c r="M1018" s="83" t="n"/>
      <c r="N1018" s="83" t="n"/>
      <c r="O1018" s="66">
        <f>IF(OR($M1018="",$N1018=""),"",$N1018-$M1018)</f>
        <v/>
      </c>
      <c r="P1018" s="84">
        <f>IF($J1018="","",IF($L1018&lt;&gt;"",$L1018-$J1018,TODAY()-$J1018))</f>
        <v/>
      </c>
      <c r="Q1018" s="85">
        <f>IF(OR($K1018="",$H1018="Completed",$H1018="Cancelled"),"",IF(AND($K1018&lt;TODAY(),$H1018&lt;&gt;"Completed",$H1018&lt;&gt;"Cancelled"),"Overdue","On Track"))</f>
        <v/>
      </c>
      <c r="R1018" s="81" t="n"/>
      <c r="S1018" s="81">
        <f>IF($B1018="","",IFERROR(INDEX(Task_Tracker!$AA$5:$AA$1004,MATCH($B1018,Task_Tracker!$A$5:$A$1004,0)),""))</f>
        <v/>
      </c>
      <c r="T1018" s="81">
        <f>IF($B1018="","",IFERROR(INDEX(Task_Tracker!$AB$5:$AB$1004,MATCH($B1018,Task_Tracker!$A$5:$A$1004,0)),""))</f>
        <v/>
      </c>
      <c r="U1018" s="78">
        <f>IF($B1018="","",IFERROR(INDEX(Task_Tracker!$F$5:$F$1004,MATCH($B1018,Task_Tracker!$A$5:$A$1004,0)),""))</f>
        <v/>
      </c>
      <c r="V1018" s="78">
        <f>IF($B1018="","",IFERROR(INDEX(Task_Tracker!$I$5:$I$1004,MATCH($B1018,Task_Tracker!$A$5:$A$1004,0)),""))</f>
        <v/>
      </c>
      <c r="W1018" s="81">
        <f>IF(OR($D1018="",$B1018=""),"",$D1018&amp;" | "&amp;$B1018)</f>
        <v/>
      </c>
      <c r="X1018" s="85">
        <f>IF($K1018="","",TEXT($K1018,"yyyy-mm"))</f>
        <v/>
      </c>
      <c r="Y1018" s="81">
        <f>IF(OR($A1018="",$T1018=""),"","Included in Manager_Report")</f>
        <v/>
      </c>
    </row>
    <row r="1019" ht="15" customHeight="1" s="40">
      <c r="A1019" s="65">
        <f>IF(COUNTA(B1019:G1019)=0,"","STP-"&amp;TEXT(ROW()-4,"0000"))</f>
        <v/>
      </c>
      <c r="B1019" s="78" t="n"/>
      <c r="C1019" s="67">
        <f>IF($B1019="","",IFERROR(INDEX(Task_Tracker!$D$5:$D$1004,MATCH($B1019,Task_Tracker!$A$5:$A$1004,0)),""))</f>
        <v/>
      </c>
      <c r="D1019" s="67">
        <f>IF($B1019="","",IFERROR(INDEX(Task_Tracker!$B$5:$B$1004,MATCH($B1019,Task_Tracker!$A$5:$A$1004,0)),""))</f>
        <v/>
      </c>
      <c r="E1019" s="81" t="n"/>
      <c r="F1019" s="81" t="n"/>
      <c r="G1019" s="78" t="n"/>
      <c r="H1019" s="78" t="n"/>
      <c r="I1019" s="67">
        <f>IF($H1019="","",IFERROR(INDEX(Action_Status_Map!$B$5:$B$11,MATCH($H1019,Action_Status_Map!$A$5:$A$11,0)),""))</f>
        <v/>
      </c>
      <c r="J1019" s="82" t="n"/>
      <c r="K1019" s="82" t="n"/>
      <c r="L1019" s="82" t="n"/>
      <c r="M1019" s="83" t="n"/>
      <c r="N1019" s="83" t="n"/>
      <c r="O1019" s="66">
        <f>IF(OR($M1019="",$N1019=""),"",$N1019-$M1019)</f>
        <v/>
      </c>
      <c r="P1019" s="84">
        <f>IF($J1019="","",IF($L1019&lt;&gt;"",$L1019-$J1019,TODAY()-$J1019))</f>
        <v/>
      </c>
      <c r="Q1019" s="85">
        <f>IF(OR($K1019="",$H1019="Completed",$H1019="Cancelled"),"",IF(AND($K1019&lt;TODAY(),$H1019&lt;&gt;"Completed",$H1019&lt;&gt;"Cancelled"),"Overdue","On Track"))</f>
        <v/>
      </c>
      <c r="R1019" s="81" t="n"/>
      <c r="S1019" s="81">
        <f>IF($B1019="","",IFERROR(INDEX(Task_Tracker!$AA$5:$AA$1004,MATCH($B1019,Task_Tracker!$A$5:$A$1004,0)),""))</f>
        <v/>
      </c>
      <c r="T1019" s="81">
        <f>IF($B1019="","",IFERROR(INDEX(Task_Tracker!$AB$5:$AB$1004,MATCH($B1019,Task_Tracker!$A$5:$A$1004,0)),""))</f>
        <v/>
      </c>
      <c r="U1019" s="78">
        <f>IF($B1019="","",IFERROR(INDEX(Task_Tracker!$F$5:$F$1004,MATCH($B1019,Task_Tracker!$A$5:$A$1004,0)),""))</f>
        <v/>
      </c>
      <c r="V1019" s="78">
        <f>IF($B1019="","",IFERROR(INDEX(Task_Tracker!$I$5:$I$1004,MATCH($B1019,Task_Tracker!$A$5:$A$1004,0)),""))</f>
        <v/>
      </c>
      <c r="W1019" s="81">
        <f>IF(OR($D1019="",$B1019=""),"",$D1019&amp;" | "&amp;$B1019)</f>
        <v/>
      </c>
      <c r="X1019" s="85">
        <f>IF($K1019="","",TEXT($K1019,"yyyy-mm"))</f>
        <v/>
      </c>
      <c r="Y1019" s="81">
        <f>IF(OR($A1019="",$T1019=""),"","Included in Manager_Report")</f>
        <v/>
      </c>
    </row>
    <row r="1020" ht="15" customHeight="1" s="40">
      <c r="A1020" s="65">
        <f>IF(COUNTA(B1020:G1020)=0,"","STP-"&amp;TEXT(ROW()-4,"0000"))</f>
        <v/>
      </c>
      <c r="B1020" s="78" t="n"/>
      <c r="C1020" s="67">
        <f>IF($B1020="","",IFERROR(INDEX(Task_Tracker!$D$5:$D$1004,MATCH($B1020,Task_Tracker!$A$5:$A$1004,0)),""))</f>
        <v/>
      </c>
      <c r="D1020" s="67">
        <f>IF($B1020="","",IFERROR(INDEX(Task_Tracker!$B$5:$B$1004,MATCH($B1020,Task_Tracker!$A$5:$A$1004,0)),""))</f>
        <v/>
      </c>
      <c r="E1020" s="81" t="n"/>
      <c r="F1020" s="81" t="n"/>
      <c r="G1020" s="78" t="n"/>
      <c r="H1020" s="78" t="n"/>
      <c r="I1020" s="67">
        <f>IF($H1020="","",IFERROR(INDEX(Action_Status_Map!$B$5:$B$11,MATCH($H1020,Action_Status_Map!$A$5:$A$11,0)),""))</f>
        <v/>
      </c>
      <c r="J1020" s="82" t="n"/>
      <c r="K1020" s="82" t="n"/>
      <c r="L1020" s="82" t="n"/>
      <c r="M1020" s="83" t="n"/>
      <c r="N1020" s="83" t="n"/>
      <c r="O1020" s="66">
        <f>IF(OR($M1020="",$N1020=""),"",$N1020-$M1020)</f>
        <v/>
      </c>
      <c r="P1020" s="84">
        <f>IF($J1020="","",IF($L1020&lt;&gt;"",$L1020-$J1020,TODAY()-$J1020))</f>
        <v/>
      </c>
      <c r="Q1020" s="85">
        <f>IF(OR($K1020="",$H1020="Completed",$H1020="Cancelled"),"",IF(AND($K1020&lt;TODAY(),$H1020&lt;&gt;"Completed",$H1020&lt;&gt;"Cancelled"),"Overdue","On Track"))</f>
        <v/>
      </c>
      <c r="R1020" s="81" t="n"/>
      <c r="S1020" s="81">
        <f>IF($B1020="","",IFERROR(INDEX(Task_Tracker!$AA$5:$AA$1004,MATCH($B1020,Task_Tracker!$A$5:$A$1004,0)),""))</f>
        <v/>
      </c>
      <c r="T1020" s="81">
        <f>IF($B1020="","",IFERROR(INDEX(Task_Tracker!$AB$5:$AB$1004,MATCH($B1020,Task_Tracker!$A$5:$A$1004,0)),""))</f>
        <v/>
      </c>
      <c r="U1020" s="78">
        <f>IF($B1020="","",IFERROR(INDEX(Task_Tracker!$F$5:$F$1004,MATCH($B1020,Task_Tracker!$A$5:$A$1004,0)),""))</f>
        <v/>
      </c>
      <c r="V1020" s="78">
        <f>IF($B1020="","",IFERROR(INDEX(Task_Tracker!$I$5:$I$1004,MATCH($B1020,Task_Tracker!$A$5:$A$1004,0)),""))</f>
        <v/>
      </c>
      <c r="W1020" s="81">
        <f>IF(OR($D1020="",$B1020=""),"",$D1020&amp;" | "&amp;$B1020)</f>
        <v/>
      </c>
      <c r="X1020" s="85">
        <f>IF($K1020="","",TEXT($K1020,"yyyy-mm"))</f>
        <v/>
      </c>
      <c r="Y1020" s="81">
        <f>IF(OR($A1020="",$T1020=""),"","Included in Manager_Report")</f>
        <v/>
      </c>
    </row>
    <row r="1021" ht="15" customHeight="1" s="40">
      <c r="A1021" s="65">
        <f>IF(COUNTA(B1021:G1021)=0,"","STP-"&amp;TEXT(ROW()-4,"0000"))</f>
        <v/>
      </c>
      <c r="B1021" s="78" t="n"/>
      <c r="C1021" s="67">
        <f>IF($B1021="","",IFERROR(INDEX(Task_Tracker!$D$5:$D$1004,MATCH($B1021,Task_Tracker!$A$5:$A$1004,0)),""))</f>
        <v/>
      </c>
      <c r="D1021" s="67">
        <f>IF($B1021="","",IFERROR(INDEX(Task_Tracker!$B$5:$B$1004,MATCH($B1021,Task_Tracker!$A$5:$A$1004,0)),""))</f>
        <v/>
      </c>
      <c r="E1021" s="81" t="n"/>
      <c r="F1021" s="81" t="n"/>
      <c r="G1021" s="78" t="n"/>
      <c r="H1021" s="78" t="n"/>
      <c r="I1021" s="67">
        <f>IF($H1021="","",IFERROR(INDEX(Action_Status_Map!$B$5:$B$11,MATCH($H1021,Action_Status_Map!$A$5:$A$11,0)),""))</f>
        <v/>
      </c>
      <c r="J1021" s="82" t="n"/>
      <c r="K1021" s="82" t="n"/>
      <c r="L1021" s="82" t="n"/>
      <c r="M1021" s="83" t="n"/>
      <c r="N1021" s="83" t="n"/>
      <c r="O1021" s="66">
        <f>IF(OR($M1021="",$N1021=""),"",$N1021-$M1021)</f>
        <v/>
      </c>
      <c r="P1021" s="84">
        <f>IF($J1021="","",IF($L1021&lt;&gt;"",$L1021-$J1021,TODAY()-$J1021))</f>
        <v/>
      </c>
      <c r="Q1021" s="85">
        <f>IF(OR($K1021="",$H1021="Completed",$H1021="Cancelled"),"",IF(AND($K1021&lt;TODAY(),$H1021&lt;&gt;"Completed",$H1021&lt;&gt;"Cancelled"),"Overdue","On Track"))</f>
        <v/>
      </c>
      <c r="R1021" s="81" t="n"/>
      <c r="S1021" s="81">
        <f>IF($B1021="","",IFERROR(INDEX(Task_Tracker!$AA$5:$AA$1004,MATCH($B1021,Task_Tracker!$A$5:$A$1004,0)),""))</f>
        <v/>
      </c>
      <c r="T1021" s="81">
        <f>IF($B1021="","",IFERROR(INDEX(Task_Tracker!$AB$5:$AB$1004,MATCH($B1021,Task_Tracker!$A$5:$A$1004,0)),""))</f>
        <v/>
      </c>
      <c r="U1021" s="78">
        <f>IF($B1021="","",IFERROR(INDEX(Task_Tracker!$F$5:$F$1004,MATCH($B1021,Task_Tracker!$A$5:$A$1004,0)),""))</f>
        <v/>
      </c>
      <c r="V1021" s="78">
        <f>IF($B1021="","",IFERROR(INDEX(Task_Tracker!$I$5:$I$1004,MATCH($B1021,Task_Tracker!$A$5:$A$1004,0)),""))</f>
        <v/>
      </c>
      <c r="W1021" s="81">
        <f>IF(OR($D1021="",$B1021=""),"",$D1021&amp;" | "&amp;$B1021)</f>
        <v/>
      </c>
      <c r="X1021" s="85">
        <f>IF($K1021="","",TEXT($K1021,"yyyy-mm"))</f>
        <v/>
      </c>
      <c r="Y1021" s="81">
        <f>IF(OR($A1021="",$T1021=""),"","Included in Manager_Report")</f>
        <v/>
      </c>
    </row>
    <row r="1022" ht="15" customHeight="1" s="40">
      <c r="A1022" s="65">
        <f>IF(COUNTA(B1022:G1022)=0,"","STP-"&amp;TEXT(ROW()-4,"0000"))</f>
        <v/>
      </c>
      <c r="B1022" s="78" t="n"/>
      <c r="C1022" s="67">
        <f>IF($B1022="","",IFERROR(INDEX(Task_Tracker!$D$5:$D$1004,MATCH($B1022,Task_Tracker!$A$5:$A$1004,0)),""))</f>
        <v/>
      </c>
      <c r="D1022" s="67">
        <f>IF($B1022="","",IFERROR(INDEX(Task_Tracker!$B$5:$B$1004,MATCH($B1022,Task_Tracker!$A$5:$A$1004,0)),""))</f>
        <v/>
      </c>
      <c r="E1022" s="81" t="n"/>
      <c r="F1022" s="81" t="n"/>
      <c r="G1022" s="78" t="n"/>
      <c r="H1022" s="78" t="n"/>
      <c r="I1022" s="67">
        <f>IF($H1022="","",IFERROR(INDEX(Action_Status_Map!$B$5:$B$11,MATCH($H1022,Action_Status_Map!$A$5:$A$11,0)),""))</f>
        <v/>
      </c>
      <c r="J1022" s="82" t="n"/>
      <c r="K1022" s="82" t="n"/>
      <c r="L1022" s="82" t="n"/>
      <c r="M1022" s="83" t="n"/>
      <c r="N1022" s="83" t="n"/>
      <c r="O1022" s="66">
        <f>IF(OR($M1022="",$N1022=""),"",$N1022-$M1022)</f>
        <v/>
      </c>
      <c r="P1022" s="84">
        <f>IF($J1022="","",IF($L1022&lt;&gt;"",$L1022-$J1022,TODAY()-$J1022))</f>
        <v/>
      </c>
      <c r="Q1022" s="85">
        <f>IF(OR($K1022="",$H1022="Completed",$H1022="Cancelled"),"",IF(AND($K1022&lt;TODAY(),$H1022&lt;&gt;"Completed",$H1022&lt;&gt;"Cancelled"),"Overdue","On Track"))</f>
        <v/>
      </c>
      <c r="R1022" s="81" t="n"/>
      <c r="S1022" s="81">
        <f>IF($B1022="","",IFERROR(INDEX(Task_Tracker!$AA$5:$AA$1004,MATCH($B1022,Task_Tracker!$A$5:$A$1004,0)),""))</f>
        <v/>
      </c>
      <c r="T1022" s="81">
        <f>IF($B1022="","",IFERROR(INDEX(Task_Tracker!$AB$5:$AB$1004,MATCH($B1022,Task_Tracker!$A$5:$A$1004,0)),""))</f>
        <v/>
      </c>
      <c r="U1022" s="78">
        <f>IF($B1022="","",IFERROR(INDEX(Task_Tracker!$F$5:$F$1004,MATCH($B1022,Task_Tracker!$A$5:$A$1004,0)),""))</f>
        <v/>
      </c>
      <c r="V1022" s="78">
        <f>IF($B1022="","",IFERROR(INDEX(Task_Tracker!$I$5:$I$1004,MATCH($B1022,Task_Tracker!$A$5:$A$1004,0)),""))</f>
        <v/>
      </c>
      <c r="W1022" s="81">
        <f>IF(OR($D1022="",$B1022=""),"",$D1022&amp;" | "&amp;$B1022)</f>
        <v/>
      </c>
      <c r="X1022" s="85">
        <f>IF($K1022="","",TEXT($K1022,"yyyy-mm"))</f>
        <v/>
      </c>
      <c r="Y1022" s="81">
        <f>IF(OR($A1022="",$T1022=""),"","Included in Manager_Report")</f>
        <v/>
      </c>
    </row>
    <row r="1023" ht="15" customHeight="1" s="40">
      <c r="A1023" s="65">
        <f>IF(COUNTA(B1023:G1023)=0,"","STP-"&amp;TEXT(ROW()-4,"0000"))</f>
        <v/>
      </c>
      <c r="B1023" s="78" t="n"/>
      <c r="C1023" s="67">
        <f>IF($B1023="","",IFERROR(INDEX(Task_Tracker!$D$5:$D$1004,MATCH($B1023,Task_Tracker!$A$5:$A$1004,0)),""))</f>
        <v/>
      </c>
      <c r="D1023" s="67">
        <f>IF($B1023="","",IFERROR(INDEX(Task_Tracker!$B$5:$B$1004,MATCH($B1023,Task_Tracker!$A$5:$A$1004,0)),""))</f>
        <v/>
      </c>
      <c r="E1023" s="81" t="n"/>
      <c r="F1023" s="81" t="n"/>
      <c r="G1023" s="78" t="n"/>
      <c r="H1023" s="78" t="n"/>
      <c r="I1023" s="67">
        <f>IF($H1023="","",IFERROR(INDEX(Action_Status_Map!$B$5:$B$11,MATCH($H1023,Action_Status_Map!$A$5:$A$11,0)),""))</f>
        <v/>
      </c>
      <c r="J1023" s="82" t="n"/>
      <c r="K1023" s="82" t="n"/>
      <c r="L1023" s="82" t="n"/>
      <c r="M1023" s="83" t="n"/>
      <c r="N1023" s="83" t="n"/>
      <c r="O1023" s="66">
        <f>IF(OR($M1023="",$N1023=""),"",$N1023-$M1023)</f>
        <v/>
      </c>
      <c r="P1023" s="84">
        <f>IF($J1023="","",IF($L1023&lt;&gt;"",$L1023-$J1023,TODAY()-$J1023))</f>
        <v/>
      </c>
      <c r="Q1023" s="85">
        <f>IF(OR($K1023="",$H1023="Completed",$H1023="Cancelled"),"",IF(AND($K1023&lt;TODAY(),$H1023&lt;&gt;"Completed",$H1023&lt;&gt;"Cancelled"),"Overdue","On Track"))</f>
        <v/>
      </c>
      <c r="R1023" s="81" t="n"/>
      <c r="S1023" s="81">
        <f>IF($B1023="","",IFERROR(INDEX(Task_Tracker!$AA$5:$AA$1004,MATCH($B1023,Task_Tracker!$A$5:$A$1004,0)),""))</f>
        <v/>
      </c>
      <c r="T1023" s="81">
        <f>IF($B1023="","",IFERROR(INDEX(Task_Tracker!$AB$5:$AB$1004,MATCH($B1023,Task_Tracker!$A$5:$A$1004,0)),""))</f>
        <v/>
      </c>
      <c r="U1023" s="78">
        <f>IF($B1023="","",IFERROR(INDEX(Task_Tracker!$F$5:$F$1004,MATCH($B1023,Task_Tracker!$A$5:$A$1004,0)),""))</f>
        <v/>
      </c>
      <c r="V1023" s="78">
        <f>IF($B1023="","",IFERROR(INDEX(Task_Tracker!$I$5:$I$1004,MATCH($B1023,Task_Tracker!$A$5:$A$1004,0)),""))</f>
        <v/>
      </c>
      <c r="W1023" s="81">
        <f>IF(OR($D1023="",$B1023=""),"",$D1023&amp;" | "&amp;$B1023)</f>
        <v/>
      </c>
      <c r="X1023" s="85">
        <f>IF($K1023="","",TEXT($K1023,"yyyy-mm"))</f>
        <v/>
      </c>
      <c r="Y1023" s="81">
        <f>IF(OR($A1023="",$T1023=""),"","Included in Manager_Report")</f>
        <v/>
      </c>
    </row>
    <row r="1024" ht="15" customHeight="1" s="40">
      <c r="A1024" s="65">
        <f>IF(COUNTA(B1024:G1024)=0,"","STP-"&amp;TEXT(ROW()-4,"0000"))</f>
        <v/>
      </c>
      <c r="B1024" s="78" t="n"/>
      <c r="C1024" s="67">
        <f>IF($B1024="","",IFERROR(INDEX(Task_Tracker!$D$5:$D$1004,MATCH($B1024,Task_Tracker!$A$5:$A$1004,0)),""))</f>
        <v/>
      </c>
      <c r="D1024" s="67">
        <f>IF($B1024="","",IFERROR(INDEX(Task_Tracker!$B$5:$B$1004,MATCH($B1024,Task_Tracker!$A$5:$A$1004,0)),""))</f>
        <v/>
      </c>
      <c r="E1024" s="81" t="n"/>
      <c r="F1024" s="81" t="n"/>
      <c r="G1024" s="78" t="n"/>
      <c r="H1024" s="78" t="n"/>
      <c r="I1024" s="67">
        <f>IF($H1024="","",IFERROR(INDEX(Action_Status_Map!$B$5:$B$11,MATCH($H1024,Action_Status_Map!$A$5:$A$11,0)),""))</f>
        <v/>
      </c>
      <c r="J1024" s="82" t="n"/>
      <c r="K1024" s="82" t="n"/>
      <c r="L1024" s="82" t="n"/>
      <c r="M1024" s="83" t="n"/>
      <c r="N1024" s="83" t="n"/>
      <c r="O1024" s="66">
        <f>IF(OR($M1024="",$N1024=""),"",$N1024-$M1024)</f>
        <v/>
      </c>
      <c r="P1024" s="84">
        <f>IF($J1024="","",IF($L1024&lt;&gt;"",$L1024-$J1024,TODAY()-$J1024))</f>
        <v/>
      </c>
      <c r="Q1024" s="85">
        <f>IF(OR($K1024="",$H1024="Completed",$H1024="Cancelled"),"",IF(AND($K1024&lt;TODAY(),$H1024&lt;&gt;"Completed",$H1024&lt;&gt;"Cancelled"),"Overdue","On Track"))</f>
        <v/>
      </c>
      <c r="R1024" s="81" t="n"/>
      <c r="S1024" s="81">
        <f>IF($B1024="","",IFERROR(INDEX(Task_Tracker!$AA$5:$AA$1004,MATCH($B1024,Task_Tracker!$A$5:$A$1004,0)),""))</f>
        <v/>
      </c>
      <c r="T1024" s="81">
        <f>IF($B1024="","",IFERROR(INDEX(Task_Tracker!$AB$5:$AB$1004,MATCH($B1024,Task_Tracker!$A$5:$A$1004,0)),""))</f>
        <v/>
      </c>
      <c r="U1024" s="78">
        <f>IF($B1024="","",IFERROR(INDEX(Task_Tracker!$F$5:$F$1004,MATCH($B1024,Task_Tracker!$A$5:$A$1004,0)),""))</f>
        <v/>
      </c>
      <c r="V1024" s="78">
        <f>IF($B1024="","",IFERROR(INDEX(Task_Tracker!$I$5:$I$1004,MATCH($B1024,Task_Tracker!$A$5:$A$1004,0)),""))</f>
        <v/>
      </c>
      <c r="W1024" s="81">
        <f>IF(OR($D1024="",$B1024=""),"",$D1024&amp;" | "&amp;$B1024)</f>
        <v/>
      </c>
      <c r="X1024" s="85">
        <f>IF($K1024="","",TEXT($K1024,"yyyy-mm"))</f>
        <v/>
      </c>
      <c r="Y1024" s="81">
        <f>IF(OR($A1024="",$T1024=""),"","Included in Manager_Report")</f>
        <v/>
      </c>
    </row>
    <row r="1025" ht="15" customHeight="1" s="40">
      <c r="A1025" s="65">
        <f>IF(COUNTA(B1025:G1025)=0,"","STP-"&amp;TEXT(ROW()-4,"0000"))</f>
        <v/>
      </c>
      <c r="B1025" s="78" t="n"/>
      <c r="C1025" s="67">
        <f>IF($B1025="","",IFERROR(INDEX(Task_Tracker!$D$5:$D$1004,MATCH($B1025,Task_Tracker!$A$5:$A$1004,0)),""))</f>
        <v/>
      </c>
      <c r="D1025" s="67">
        <f>IF($B1025="","",IFERROR(INDEX(Task_Tracker!$B$5:$B$1004,MATCH($B1025,Task_Tracker!$A$5:$A$1004,0)),""))</f>
        <v/>
      </c>
      <c r="E1025" s="81" t="n"/>
      <c r="F1025" s="81" t="n"/>
      <c r="G1025" s="78" t="n"/>
      <c r="H1025" s="78" t="n"/>
      <c r="I1025" s="67">
        <f>IF($H1025="","",IFERROR(INDEX(Action_Status_Map!$B$5:$B$11,MATCH($H1025,Action_Status_Map!$A$5:$A$11,0)),""))</f>
        <v/>
      </c>
      <c r="J1025" s="82" t="n"/>
      <c r="K1025" s="82" t="n"/>
      <c r="L1025" s="82" t="n"/>
      <c r="M1025" s="83" t="n"/>
      <c r="N1025" s="83" t="n"/>
      <c r="O1025" s="66">
        <f>IF(OR($M1025="",$N1025=""),"",$N1025-$M1025)</f>
        <v/>
      </c>
      <c r="P1025" s="84">
        <f>IF($J1025="","",IF($L1025&lt;&gt;"",$L1025-$J1025,TODAY()-$J1025))</f>
        <v/>
      </c>
      <c r="Q1025" s="85">
        <f>IF(OR($K1025="",$H1025="Completed",$H1025="Cancelled"),"",IF(AND($K1025&lt;TODAY(),$H1025&lt;&gt;"Completed",$H1025&lt;&gt;"Cancelled"),"Overdue","On Track"))</f>
        <v/>
      </c>
      <c r="R1025" s="81" t="n"/>
      <c r="S1025" s="81">
        <f>IF($B1025="","",IFERROR(INDEX(Task_Tracker!$AA$5:$AA$1004,MATCH($B1025,Task_Tracker!$A$5:$A$1004,0)),""))</f>
        <v/>
      </c>
      <c r="T1025" s="81">
        <f>IF($B1025="","",IFERROR(INDEX(Task_Tracker!$AB$5:$AB$1004,MATCH($B1025,Task_Tracker!$A$5:$A$1004,0)),""))</f>
        <v/>
      </c>
      <c r="U1025" s="78">
        <f>IF($B1025="","",IFERROR(INDEX(Task_Tracker!$F$5:$F$1004,MATCH($B1025,Task_Tracker!$A$5:$A$1004,0)),""))</f>
        <v/>
      </c>
      <c r="V1025" s="78">
        <f>IF($B1025="","",IFERROR(INDEX(Task_Tracker!$I$5:$I$1004,MATCH($B1025,Task_Tracker!$A$5:$A$1004,0)),""))</f>
        <v/>
      </c>
      <c r="W1025" s="81">
        <f>IF(OR($D1025="",$B1025=""),"",$D1025&amp;" | "&amp;$B1025)</f>
        <v/>
      </c>
      <c r="X1025" s="85">
        <f>IF($K1025="","",TEXT($K1025,"yyyy-mm"))</f>
        <v/>
      </c>
      <c r="Y1025" s="81">
        <f>IF(OR($A1025="",$T1025=""),"","Included in Manager_Report")</f>
        <v/>
      </c>
    </row>
    <row r="1026" ht="15" customHeight="1" s="40">
      <c r="A1026" s="65">
        <f>IF(COUNTA(B1026:G1026)=0,"","STP-"&amp;TEXT(ROW()-4,"0000"))</f>
        <v/>
      </c>
      <c r="B1026" s="78" t="n"/>
      <c r="C1026" s="67">
        <f>IF($B1026="","",IFERROR(INDEX(Task_Tracker!$D$5:$D$1004,MATCH($B1026,Task_Tracker!$A$5:$A$1004,0)),""))</f>
        <v/>
      </c>
      <c r="D1026" s="67">
        <f>IF($B1026="","",IFERROR(INDEX(Task_Tracker!$B$5:$B$1004,MATCH($B1026,Task_Tracker!$A$5:$A$1004,0)),""))</f>
        <v/>
      </c>
      <c r="E1026" s="81" t="n"/>
      <c r="F1026" s="81" t="n"/>
      <c r="G1026" s="78" t="n"/>
      <c r="H1026" s="78" t="n"/>
      <c r="I1026" s="67">
        <f>IF($H1026="","",IFERROR(INDEX(Action_Status_Map!$B$5:$B$11,MATCH($H1026,Action_Status_Map!$A$5:$A$11,0)),""))</f>
        <v/>
      </c>
      <c r="J1026" s="82" t="n"/>
      <c r="K1026" s="82" t="n"/>
      <c r="L1026" s="82" t="n"/>
      <c r="M1026" s="83" t="n"/>
      <c r="N1026" s="83" t="n"/>
      <c r="O1026" s="66">
        <f>IF(OR($M1026="",$N1026=""),"",$N1026-$M1026)</f>
        <v/>
      </c>
      <c r="P1026" s="84">
        <f>IF($J1026="","",IF($L1026&lt;&gt;"",$L1026-$J1026,TODAY()-$J1026))</f>
        <v/>
      </c>
      <c r="Q1026" s="85">
        <f>IF(OR($K1026="",$H1026="Completed",$H1026="Cancelled"),"",IF(AND($K1026&lt;TODAY(),$H1026&lt;&gt;"Completed",$H1026&lt;&gt;"Cancelled"),"Overdue","On Track"))</f>
        <v/>
      </c>
      <c r="R1026" s="81" t="n"/>
      <c r="S1026" s="81">
        <f>IF($B1026="","",IFERROR(INDEX(Task_Tracker!$AA$5:$AA$1004,MATCH($B1026,Task_Tracker!$A$5:$A$1004,0)),""))</f>
        <v/>
      </c>
      <c r="T1026" s="81">
        <f>IF($B1026="","",IFERROR(INDEX(Task_Tracker!$AB$5:$AB$1004,MATCH($B1026,Task_Tracker!$A$5:$A$1004,0)),""))</f>
        <v/>
      </c>
      <c r="U1026" s="78">
        <f>IF($B1026="","",IFERROR(INDEX(Task_Tracker!$F$5:$F$1004,MATCH($B1026,Task_Tracker!$A$5:$A$1004,0)),""))</f>
        <v/>
      </c>
      <c r="V1026" s="78">
        <f>IF($B1026="","",IFERROR(INDEX(Task_Tracker!$I$5:$I$1004,MATCH($B1026,Task_Tracker!$A$5:$A$1004,0)),""))</f>
        <v/>
      </c>
      <c r="W1026" s="81">
        <f>IF(OR($D1026="",$B1026=""),"",$D1026&amp;" | "&amp;$B1026)</f>
        <v/>
      </c>
      <c r="X1026" s="85">
        <f>IF($K1026="","",TEXT($K1026,"yyyy-mm"))</f>
        <v/>
      </c>
      <c r="Y1026" s="81">
        <f>IF(OR($A1026="",$T1026=""),"","Included in Manager_Report")</f>
        <v/>
      </c>
    </row>
    <row r="1027" ht="15" customHeight="1" s="40">
      <c r="A1027" s="65">
        <f>IF(COUNTA(B1027:G1027)=0,"","STP-"&amp;TEXT(ROW()-4,"0000"))</f>
        <v/>
      </c>
      <c r="B1027" s="78" t="n"/>
      <c r="C1027" s="67">
        <f>IF($B1027="","",IFERROR(INDEX(Task_Tracker!$D$5:$D$1004,MATCH($B1027,Task_Tracker!$A$5:$A$1004,0)),""))</f>
        <v/>
      </c>
      <c r="D1027" s="67">
        <f>IF($B1027="","",IFERROR(INDEX(Task_Tracker!$B$5:$B$1004,MATCH($B1027,Task_Tracker!$A$5:$A$1004,0)),""))</f>
        <v/>
      </c>
      <c r="E1027" s="81" t="n"/>
      <c r="F1027" s="81" t="n"/>
      <c r="G1027" s="78" t="n"/>
      <c r="H1027" s="78" t="n"/>
      <c r="I1027" s="67">
        <f>IF($H1027="","",IFERROR(INDEX(Action_Status_Map!$B$5:$B$11,MATCH($H1027,Action_Status_Map!$A$5:$A$11,0)),""))</f>
        <v/>
      </c>
      <c r="J1027" s="82" t="n"/>
      <c r="K1027" s="82" t="n"/>
      <c r="L1027" s="82" t="n"/>
      <c r="M1027" s="83" t="n"/>
      <c r="N1027" s="83" t="n"/>
      <c r="O1027" s="66">
        <f>IF(OR($M1027="",$N1027=""),"",$N1027-$M1027)</f>
        <v/>
      </c>
      <c r="P1027" s="84">
        <f>IF($J1027="","",IF($L1027&lt;&gt;"",$L1027-$J1027,TODAY()-$J1027))</f>
        <v/>
      </c>
      <c r="Q1027" s="85">
        <f>IF(OR($K1027="",$H1027="Completed",$H1027="Cancelled"),"",IF(AND($K1027&lt;TODAY(),$H1027&lt;&gt;"Completed",$H1027&lt;&gt;"Cancelled"),"Overdue","On Track"))</f>
        <v/>
      </c>
      <c r="R1027" s="81" t="n"/>
      <c r="S1027" s="81">
        <f>IF($B1027="","",IFERROR(INDEX(Task_Tracker!$AA$5:$AA$1004,MATCH($B1027,Task_Tracker!$A$5:$A$1004,0)),""))</f>
        <v/>
      </c>
      <c r="T1027" s="81">
        <f>IF($B1027="","",IFERROR(INDEX(Task_Tracker!$AB$5:$AB$1004,MATCH($B1027,Task_Tracker!$A$5:$A$1004,0)),""))</f>
        <v/>
      </c>
      <c r="U1027" s="78">
        <f>IF($B1027="","",IFERROR(INDEX(Task_Tracker!$F$5:$F$1004,MATCH($B1027,Task_Tracker!$A$5:$A$1004,0)),""))</f>
        <v/>
      </c>
      <c r="V1027" s="78">
        <f>IF($B1027="","",IFERROR(INDEX(Task_Tracker!$I$5:$I$1004,MATCH($B1027,Task_Tracker!$A$5:$A$1004,0)),""))</f>
        <v/>
      </c>
      <c r="W1027" s="81">
        <f>IF(OR($D1027="",$B1027=""),"",$D1027&amp;" | "&amp;$B1027)</f>
        <v/>
      </c>
      <c r="X1027" s="85">
        <f>IF($K1027="","",TEXT($K1027,"yyyy-mm"))</f>
        <v/>
      </c>
      <c r="Y1027" s="81">
        <f>IF(OR($A1027="",$T1027=""),"","Included in Manager_Report")</f>
        <v/>
      </c>
    </row>
    <row r="1028" ht="15" customHeight="1" s="40">
      <c r="A1028" s="65">
        <f>IF(COUNTA(B1028:G1028)=0,"","STP-"&amp;TEXT(ROW()-4,"0000"))</f>
        <v/>
      </c>
      <c r="B1028" s="78" t="n"/>
      <c r="C1028" s="67">
        <f>IF($B1028="","",IFERROR(INDEX(Task_Tracker!$D$5:$D$1004,MATCH($B1028,Task_Tracker!$A$5:$A$1004,0)),""))</f>
        <v/>
      </c>
      <c r="D1028" s="67">
        <f>IF($B1028="","",IFERROR(INDEX(Task_Tracker!$B$5:$B$1004,MATCH($B1028,Task_Tracker!$A$5:$A$1004,0)),""))</f>
        <v/>
      </c>
      <c r="E1028" s="81" t="n"/>
      <c r="F1028" s="81" t="n"/>
      <c r="G1028" s="78" t="n"/>
      <c r="H1028" s="78" t="n"/>
      <c r="I1028" s="67">
        <f>IF($H1028="","",IFERROR(INDEX(Action_Status_Map!$B$5:$B$11,MATCH($H1028,Action_Status_Map!$A$5:$A$11,0)),""))</f>
        <v/>
      </c>
      <c r="J1028" s="82" t="n"/>
      <c r="K1028" s="82" t="n"/>
      <c r="L1028" s="82" t="n"/>
      <c r="M1028" s="83" t="n"/>
      <c r="N1028" s="83" t="n"/>
      <c r="O1028" s="66">
        <f>IF(OR($M1028="",$N1028=""),"",$N1028-$M1028)</f>
        <v/>
      </c>
      <c r="P1028" s="84">
        <f>IF($J1028="","",IF($L1028&lt;&gt;"",$L1028-$J1028,TODAY()-$J1028))</f>
        <v/>
      </c>
      <c r="Q1028" s="85">
        <f>IF(OR($K1028="",$H1028="Completed",$H1028="Cancelled"),"",IF(AND($K1028&lt;TODAY(),$H1028&lt;&gt;"Completed",$H1028&lt;&gt;"Cancelled"),"Overdue","On Track"))</f>
        <v/>
      </c>
      <c r="R1028" s="81" t="n"/>
      <c r="S1028" s="81">
        <f>IF($B1028="","",IFERROR(INDEX(Task_Tracker!$AA$5:$AA$1004,MATCH($B1028,Task_Tracker!$A$5:$A$1004,0)),""))</f>
        <v/>
      </c>
      <c r="T1028" s="81">
        <f>IF($B1028="","",IFERROR(INDEX(Task_Tracker!$AB$5:$AB$1004,MATCH($B1028,Task_Tracker!$A$5:$A$1004,0)),""))</f>
        <v/>
      </c>
      <c r="U1028" s="78">
        <f>IF($B1028="","",IFERROR(INDEX(Task_Tracker!$F$5:$F$1004,MATCH($B1028,Task_Tracker!$A$5:$A$1004,0)),""))</f>
        <v/>
      </c>
      <c r="V1028" s="78">
        <f>IF($B1028="","",IFERROR(INDEX(Task_Tracker!$I$5:$I$1004,MATCH($B1028,Task_Tracker!$A$5:$A$1004,0)),""))</f>
        <v/>
      </c>
      <c r="W1028" s="81">
        <f>IF(OR($D1028="",$B1028=""),"",$D1028&amp;" | "&amp;$B1028)</f>
        <v/>
      </c>
      <c r="X1028" s="85">
        <f>IF($K1028="","",TEXT($K1028,"yyyy-mm"))</f>
        <v/>
      </c>
      <c r="Y1028" s="81">
        <f>IF(OR($A1028="",$T1028=""),"","Included in Manager_Report")</f>
        <v/>
      </c>
    </row>
    <row r="1029" ht="15" customHeight="1" s="40">
      <c r="A1029" s="65">
        <f>IF(COUNTA(B1029:G1029)=0,"","STP-"&amp;TEXT(ROW()-4,"0000"))</f>
        <v/>
      </c>
      <c r="B1029" s="78" t="n"/>
      <c r="C1029" s="67">
        <f>IF($B1029="","",IFERROR(INDEX(Task_Tracker!$D$5:$D$1004,MATCH($B1029,Task_Tracker!$A$5:$A$1004,0)),""))</f>
        <v/>
      </c>
      <c r="D1029" s="67">
        <f>IF($B1029="","",IFERROR(INDEX(Task_Tracker!$B$5:$B$1004,MATCH($B1029,Task_Tracker!$A$5:$A$1004,0)),""))</f>
        <v/>
      </c>
      <c r="E1029" s="81" t="n"/>
      <c r="F1029" s="81" t="n"/>
      <c r="G1029" s="78" t="n"/>
      <c r="H1029" s="78" t="n"/>
      <c r="I1029" s="67">
        <f>IF($H1029="","",IFERROR(INDEX(Action_Status_Map!$B$5:$B$11,MATCH($H1029,Action_Status_Map!$A$5:$A$11,0)),""))</f>
        <v/>
      </c>
      <c r="J1029" s="82" t="n"/>
      <c r="K1029" s="82" t="n"/>
      <c r="L1029" s="82" t="n"/>
      <c r="M1029" s="83" t="n"/>
      <c r="N1029" s="83" t="n"/>
      <c r="O1029" s="66">
        <f>IF(OR($M1029="",$N1029=""),"",$N1029-$M1029)</f>
        <v/>
      </c>
      <c r="P1029" s="84">
        <f>IF($J1029="","",IF($L1029&lt;&gt;"",$L1029-$J1029,TODAY()-$J1029))</f>
        <v/>
      </c>
      <c r="Q1029" s="85">
        <f>IF(OR($K1029="",$H1029="Completed",$H1029="Cancelled"),"",IF(AND($K1029&lt;TODAY(),$H1029&lt;&gt;"Completed",$H1029&lt;&gt;"Cancelled"),"Overdue","On Track"))</f>
        <v/>
      </c>
      <c r="R1029" s="81" t="n"/>
      <c r="S1029" s="81">
        <f>IF($B1029="","",IFERROR(INDEX(Task_Tracker!$AA$5:$AA$1004,MATCH($B1029,Task_Tracker!$A$5:$A$1004,0)),""))</f>
        <v/>
      </c>
      <c r="T1029" s="81">
        <f>IF($B1029="","",IFERROR(INDEX(Task_Tracker!$AB$5:$AB$1004,MATCH($B1029,Task_Tracker!$A$5:$A$1004,0)),""))</f>
        <v/>
      </c>
      <c r="U1029" s="78">
        <f>IF($B1029="","",IFERROR(INDEX(Task_Tracker!$F$5:$F$1004,MATCH($B1029,Task_Tracker!$A$5:$A$1004,0)),""))</f>
        <v/>
      </c>
      <c r="V1029" s="78">
        <f>IF($B1029="","",IFERROR(INDEX(Task_Tracker!$I$5:$I$1004,MATCH($B1029,Task_Tracker!$A$5:$A$1004,0)),""))</f>
        <v/>
      </c>
      <c r="W1029" s="81">
        <f>IF(OR($D1029="",$B1029=""),"",$D1029&amp;" | "&amp;$B1029)</f>
        <v/>
      </c>
      <c r="X1029" s="85">
        <f>IF($K1029="","",TEXT($K1029,"yyyy-mm"))</f>
        <v/>
      </c>
      <c r="Y1029" s="81">
        <f>IF(OR($A1029="",$T1029=""),"","Included in Manager_Report")</f>
        <v/>
      </c>
    </row>
    <row r="1030" ht="15" customHeight="1" s="40">
      <c r="A1030" s="65">
        <f>IF(COUNTA(B1030:G1030)=0,"","STP-"&amp;TEXT(ROW()-4,"0000"))</f>
        <v/>
      </c>
      <c r="B1030" s="78" t="n"/>
      <c r="C1030" s="67">
        <f>IF($B1030="","",IFERROR(INDEX(Task_Tracker!$D$5:$D$1004,MATCH($B1030,Task_Tracker!$A$5:$A$1004,0)),""))</f>
        <v/>
      </c>
      <c r="D1030" s="67">
        <f>IF($B1030="","",IFERROR(INDEX(Task_Tracker!$B$5:$B$1004,MATCH($B1030,Task_Tracker!$A$5:$A$1004,0)),""))</f>
        <v/>
      </c>
      <c r="E1030" s="81" t="n"/>
      <c r="F1030" s="81" t="n"/>
      <c r="G1030" s="78" t="n"/>
      <c r="H1030" s="78" t="n"/>
      <c r="I1030" s="67">
        <f>IF($H1030="","",IFERROR(INDEX(Action_Status_Map!$B$5:$B$11,MATCH($H1030,Action_Status_Map!$A$5:$A$11,0)),""))</f>
        <v/>
      </c>
      <c r="J1030" s="82" t="n"/>
      <c r="K1030" s="82" t="n"/>
      <c r="L1030" s="82" t="n"/>
      <c r="M1030" s="83" t="n"/>
      <c r="N1030" s="83" t="n"/>
      <c r="O1030" s="66">
        <f>IF(OR($M1030="",$N1030=""),"",$N1030-$M1030)</f>
        <v/>
      </c>
      <c r="P1030" s="84">
        <f>IF($J1030="","",IF($L1030&lt;&gt;"",$L1030-$J1030,TODAY()-$J1030))</f>
        <v/>
      </c>
      <c r="Q1030" s="85">
        <f>IF(OR($K1030="",$H1030="Completed",$H1030="Cancelled"),"",IF(AND($K1030&lt;TODAY(),$H1030&lt;&gt;"Completed",$H1030&lt;&gt;"Cancelled"),"Overdue","On Track"))</f>
        <v/>
      </c>
      <c r="R1030" s="81" t="n"/>
      <c r="S1030" s="81">
        <f>IF($B1030="","",IFERROR(INDEX(Task_Tracker!$AA$5:$AA$1004,MATCH($B1030,Task_Tracker!$A$5:$A$1004,0)),""))</f>
        <v/>
      </c>
      <c r="T1030" s="81">
        <f>IF($B1030="","",IFERROR(INDEX(Task_Tracker!$AB$5:$AB$1004,MATCH($B1030,Task_Tracker!$A$5:$A$1004,0)),""))</f>
        <v/>
      </c>
      <c r="U1030" s="78">
        <f>IF($B1030="","",IFERROR(INDEX(Task_Tracker!$F$5:$F$1004,MATCH($B1030,Task_Tracker!$A$5:$A$1004,0)),""))</f>
        <v/>
      </c>
      <c r="V1030" s="78">
        <f>IF($B1030="","",IFERROR(INDEX(Task_Tracker!$I$5:$I$1004,MATCH($B1030,Task_Tracker!$A$5:$A$1004,0)),""))</f>
        <v/>
      </c>
      <c r="W1030" s="81">
        <f>IF(OR($D1030="",$B1030=""),"",$D1030&amp;" | "&amp;$B1030)</f>
        <v/>
      </c>
      <c r="X1030" s="85">
        <f>IF($K1030="","",TEXT($K1030,"yyyy-mm"))</f>
        <v/>
      </c>
      <c r="Y1030" s="81">
        <f>IF(OR($A1030="",$T1030=""),"","Included in Manager_Report")</f>
        <v/>
      </c>
    </row>
    <row r="1031" ht="15" customHeight="1" s="40">
      <c r="A1031" s="65">
        <f>IF(COUNTA(B1031:G1031)=0,"","STP-"&amp;TEXT(ROW()-4,"0000"))</f>
        <v/>
      </c>
      <c r="B1031" s="78" t="n"/>
      <c r="C1031" s="67">
        <f>IF($B1031="","",IFERROR(INDEX(Task_Tracker!$D$5:$D$1004,MATCH($B1031,Task_Tracker!$A$5:$A$1004,0)),""))</f>
        <v/>
      </c>
      <c r="D1031" s="67">
        <f>IF($B1031="","",IFERROR(INDEX(Task_Tracker!$B$5:$B$1004,MATCH($B1031,Task_Tracker!$A$5:$A$1004,0)),""))</f>
        <v/>
      </c>
      <c r="E1031" s="81" t="n"/>
      <c r="F1031" s="81" t="n"/>
      <c r="G1031" s="78" t="n"/>
      <c r="H1031" s="78" t="n"/>
      <c r="I1031" s="67">
        <f>IF($H1031="","",IFERROR(INDEX(Action_Status_Map!$B$5:$B$11,MATCH($H1031,Action_Status_Map!$A$5:$A$11,0)),""))</f>
        <v/>
      </c>
      <c r="J1031" s="82" t="n"/>
      <c r="K1031" s="82" t="n"/>
      <c r="L1031" s="82" t="n"/>
      <c r="M1031" s="83" t="n"/>
      <c r="N1031" s="83" t="n"/>
      <c r="O1031" s="66">
        <f>IF(OR($M1031="",$N1031=""),"",$N1031-$M1031)</f>
        <v/>
      </c>
      <c r="P1031" s="84">
        <f>IF($J1031="","",IF($L1031&lt;&gt;"",$L1031-$J1031,TODAY()-$J1031))</f>
        <v/>
      </c>
      <c r="Q1031" s="85">
        <f>IF(OR($K1031="",$H1031="Completed",$H1031="Cancelled"),"",IF(AND($K1031&lt;TODAY(),$H1031&lt;&gt;"Completed",$H1031&lt;&gt;"Cancelled"),"Overdue","On Track"))</f>
        <v/>
      </c>
      <c r="R1031" s="81" t="n"/>
      <c r="S1031" s="81">
        <f>IF($B1031="","",IFERROR(INDEX(Task_Tracker!$AA$5:$AA$1004,MATCH($B1031,Task_Tracker!$A$5:$A$1004,0)),""))</f>
        <v/>
      </c>
      <c r="T1031" s="81">
        <f>IF($B1031="","",IFERROR(INDEX(Task_Tracker!$AB$5:$AB$1004,MATCH($B1031,Task_Tracker!$A$5:$A$1004,0)),""))</f>
        <v/>
      </c>
      <c r="U1031" s="78">
        <f>IF($B1031="","",IFERROR(INDEX(Task_Tracker!$F$5:$F$1004,MATCH($B1031,Task_Tracker!$A$5:$A$1004,0)),""))</f>
        <v/>
      </c>
      <c r="V1031" s="78">
        <f>IF($B1031="","",IFERROR(INDEX(Task_Tracker!$I$5:$I$1004,MATCH($B1031,Task_Tracker!$A$5:$A$1004,0)),""))</f>
        <v/>
      </c>
      <c r="W1031" s="81">
        <f>IF(OR($D1031="",$B1031=""),"",$D1031&amp;" | "&amp;$B1031)</f>
        <v/>
      </c>
      <c r="X1031" s="85">
        <f>IF($K1031="","",TEXT($K1031,"yyyy-mm"))</f>
        <v/>
      </c>
      <c r="Y1031" s="81">
        <f>IF(OR($A1031="",$T1031=""),"","Included in Manager_Report")</f>
        <v/>
      </c>
    </row>
    <row r="1032" ht="15" customHeight="1" s="40">
      <c r="A1032" s="65">
        <f>IF(COUNTA(B1032:G1032)=0,"","STP-"&amp;TEXT(ROW()-4,"0000"))</f>
        <v/>
      </c>
      <c r="B1032" s="78" t="n"/>
      <c r="C1032" s="67">
        <f>IF($B1032="","",IFERROR(INDEX(Task_Tracker!$D$5:$D$1004,MATCH($B1032,Task_Tracker!$A$5:$A$1004,0)),""))</f>
        <v/>
      </c>
      <c r="D1032" s="67">
        <f>IF($B1032="","",IFERROR(INDEX(Task_Tracker!$B$5:$B$1004,MATCH($B1032,Task_Tracker!$A$5:$A$1004,0)),""))</f>
        <v/>
      </c>
      <c r="E1032" s="81" t="n"/>
      <c r="F1032" s="81" t="n"/>
      <c r="G1032" s="78" t="n"/>
      <c r="H1032" s="78" t="n"/>
      <c r="I1032" s="67">
        <f>IF($H1032="","",IFERROR(INDEX(Action_Status_Map!$B$5:$B$11,MATCH($H1032,Action_Status_Map!$A$5:$A$11,0)),""))</f>
        <v/>
      </c>
      <c r="J1032" s="82" t="n"/>
      <c r="K1032" s="82" t="n"/>
      <c r="L1032" s="82" t="n"/>
      <c r="M1032" s="83" t="n"/>
      <c r="N1032" s="83" t="n"/>
      <c r="O1032" s="66">
        <f>IF(OR($M1032="",$N1032=""),"",$N1032-$M1032)</f>
        <v/>
      </c>
      <c r="P1032" s="84">
        <f>IF($J1032="","",IF($L1032&lt;&gt;"",$L1032-$J1032,TODAY()-$J1032))</f>
        <v/>
      </c>
      <c r="Q1032" s="85">
        <f>IF(OR($K1032="",$H1032="Completed",$H1032="Cancelled"),"",IF(AND($K1032&lt;TODAY(),$H1032&lt;&gt;"Completed",$H1032&lt;&gt;"Cancelled"),"Overdue","On Track"))</f>
        <v/>
      </c>
      <c r="R1032" s="81" t="n"/>
      <c r="S1032" s="81">
        <f>IF($B1032="","",IFERROR(INDEX(Task_Tracker!$AA$5:$AA$1004,MATCH($B1032,Task_Tracker!$A$5:$A$1004,0)),""))</f>
        <v/>
      </c>
      <c r="T1032" s="81">
        <f>IF($B1032="","",IFERROR(INDEX(Task_Tracker!$AB$5:$AB$1004,MATCH($B1032,Task_Tracker!$A$5:$A$1004,0)),""))</f>
        <v/>
      </c>
      <c r="U1032" s="78">
        <f>IF($B1032="","",IFERROR(INDEX(Task_Tracker!$F$5:$F$1004,MATCH($B1032,Task_Tracker!$A$5:$A$1004,0)),""))</f>
        <v/>
      </c>
      <c r="V1032" s="78">
        <f>IF($B1032="","",IFERROR(INDEX(Task_Tracker!$I$5:$I$1004,MATCH($B1032,Task_Tracker!$A$5:$A$1004,0)),""))</f>
        <v/>
      </c>
      <c r="W1032" s="81">
        <f>IF(OR($D1032="",$B1032=""),"",$D1032&amp;" | "&amp;$B1032)</f>
        <v/>
      </c>
      <c r="X1032" s="85">
        <f>IF($K1032="","",TEXT($K1032,"yyyy-mm"))</f>
        <v/>
      </c>
      <c r="Y1032" s="81">
        <f>IF(OR($A1032="",$T1032=""),"","Included in Manager_Report")</f>
        <v/>
      </c>
    </row>
    <row r="1033" ht="15" customHeight="1" s="40">
      <c r="A1033" s="65">
        <f>IF(COUNTA(B1033:G1033)=0,"","STP-"&amp;TEXT(ROW()-4,"0000"))</f>
        <v/>
      </c>
      <c r="B1033" s="78" t="n"/>
      <c r="C1033" s="67">
        <f>IF($B1033="","",IFERROR(INDEX(Task_Tracker!$D$5:$D$1004,MATCH($B1033,Task_Tracker!$A$5:$A$1004,0)),""))</f>
        <v/>
      </c>
      <c r="D1033" s="67">
        <f>IF($B1033="","",IFERROR(INDEX(Task_Tracker!$B$5:$B$1004,MATCH($B1033,Task_Tracker!$A$5:$A$1004,0)),""))</f>
        <v/>
      </c>
      <c r="E1033" s="81" t="n"/>
      <c r="F1033" s="81" t="n"/>
      <c r="G1033" s="78" t="n"/>
      <c r="H1033" s="78" t="n"/>
      <c r="I1033" s="67">
        <f>IF($H1033="","",IFERROR(INDEX(Action_Status_Map!$B$5:$B$11,MATCH($H1033,Action_Status_Map!$A$5:$A$11,0)),""))</f>
        <v/>
      </c>
      <c r="J1033" s="82" t="n"/>
      <c r="K1033" s="82" t="n"/>
      <c r="L1033" s="82" t="n"/>
      <c r="M1033" s="83" t="n"/>
      <c r="N1033" s="83" t="n"/>
      <c r="O1033" s="66">
        <f>IF(OR($M1033="",$N1033=""),"",$N1033-$M1033)</f>
        <v/>
      </c>
      <c r="P1033" s="84">
        <f>IF($J1033="","",IF($L1033&lt;&gt;"",$L1033-$J1033,TODAY()-$J1033))</f>
        <v/>
      </c>
      <c r="Q1033" s="85">
        <f>IF(OR($K1033="",$H1033="Completed",$H1033="Cancelled"),"",IF(AND($K1033&lt;TODAY(),$H1033&lt;&gt;"Completed",$H1033&lt;&gt;"Cancelled"),"Overdue","On Track"))</f>
        <v/>
      </c>
      <c r="R1033" s="81" t="n"/>
      <c r="S1033" s="81">
        <f>IF($B1033="","",IFERROR(INDEX(Task_Tracker!$AA$5:$AA$1004,MATCH($B1033,Task_Tracker!$A$5:$A$1004,0)),""))</f>
        <v/>
      </c>
      <c r="T1033" s="81">
        <f>IF($B1033="","",IFERROR(INDEX(Task_Tracker!$AB$5:$AB$1004,MATCH($B1033,Task_Tracker!$A$5:$A$1004,0)),""))</f>
        <v/>
      </c>
      <c r="U1033" s="78">
        <f>IF($B1033="","",IFERROR(INDEX(Task_Tracker!$F$5:$F$1004,MATCH($B1033,Task_Tracker!$A$5:$A$1004,0)),""))</f>
        <v/>
      </c>
      <c r="V1033" s="78">
        <f>IF($B1033="","",IFERROR(INDEX(Task_Tracker!$I$5:$I$1004,MATCH($B1033,Task_Tracker!$A$5:$A$1004,0)),""))</f>
        <v/>
      </c>
      <c r="W1033" s="81">
        <f>IF(OR($D1033="",$B1033=""),"",$D1033&amp;" | "&amp;$B1033)</f>
        <v/>
      </c>
      <c r="X1033" s="85">
        <f>IF($K1033="","",TEXT($K1033,"yyyy-mm"))</f>
        <v/>
      </c>
      <c r="Y1033" s="81">
        <f>IF(OR($A1033="",$T1033=""),"","Included in Manager_Report")</f>
        <v/>
      </c>
    </row>
    <row r="1034" ht="15" customHeight="1" s="40">
      <c r="A1034" s="65">
        <f>IF(COUNTA(B1034:G1034)=0,"","STP-"&amp;TEXT(ROW()-4,"0000"))</f>
        <v/>
      </c>
      <c r="B1034" s="78" t="n"/>
      <c r="C1034" s="67">
        <f>IF($B1034="","",IFERROR(INDEX(Task_Tracker!$D$5:$D$1004,MATCH($B1034,Task_Tracker!$A$5:$A$1004,0)),""))</f>
        <v/>
      </c>
      <c r="D1034" s="67">
        <f>IF($B1034="","",IFERROR(INDEX(Task_Tracker!$B$5:$B$1004,MATCH($B1034,Task_Tracker!$A$5:$A$1004,0)),""))</f>
        <v/>
      </c>
      <c r="E1034" s="81" t="n"/>
      <c r="F1034" s="81" t="n"/>
      <c r="G1034" s="78" t="n"/>
      <c r="H1034" s="78" t="n"/>
      <c r="I1034" s="67">
        <f>IF($H1034="","",IFERROR(INDEX(Action_Status_Map!$B$5:$B$11,MATCH($H1034,Action_Status_Map!$A$5:$A$11,0)),""))</f>
        <v/>
      </c>
      <c r="J1034" s="82" t="n"/>
      <c r="K1034" s="82" t="n"/>
      <c r="L1034" s="82" t="n"/>
      <c r="M1034" s="83" t="n"/>
      <c r="N1034" s="83" t="n"/>
      <c r="O1034" s="66">
        <f>IF(OR($M1034="",$N1034=""),"",$N1034-$M1034)</f>
        <v/>
      </c>
      <c r="P1034" s="84">
        <f>IF($J1034="","",IF($L1034&lt;&gt;"",$L1034-$J1034,TODAY()-$J1034))</f>
        <v/>
      </c>
      <c r="Q1034" s="85">
        <f>IF(OR($K1034="",$H1034="Completed",$H1034="Cancelled"),"",IF(AND($K1034&lt;TODAY(),$H1034&lt;&gt;"Completed",$H1034&lt;&gt;"Cancelled"),"Overdue","On Track"))</f>
        <v/>
      </c>
      <c r="R1034" s="81" t="n"/>
      <c r="S1034" s="81">
        <f>IF($B1034="","",IFERROR(INDEX(Task_Tracker!$AA$5:$AA$1004,MATCH($B1034,Task_Tracker!$A$5:$A$1004,0)),""))</f>
        <v/>
      </c>
      <c r="T1034" s="81">
        <f>IF($B1034="","",IFERROR(INDEX(Task_Tracker!$AB$5:$AB$1004,MATCH($B1034,Task_Tracker!$A$5:$A$1004,0)),""))</f>
        <v/>
      </c>
      <c r="U1034" s="78">
        <f>IF($B1034="","",IFERROR(INDEX(Task_Tracker!$F$5:$F$1004,MATCH($B1034,Task_Tracker!$A$5:$A$1004,0)),""))</f>
        <v/>
      </c>
      <c r="V1034" s="78">
        <f>IF($B1034="","",IFERROR(INDEX(Task_Tracker!$I$5:$I$1004,MATCH($B1034,Task_Tracker!$A$5:$A$1004,0)),""))</f>
        <v/>
      </c>
      <c r="W1034" s="81">
        <f>IF(OR($D1034="",$B1034=""),"",$D1034&amp;" | "&amp;$B1034)</f>
        <v/>
      </c>
      <c r="X1034" s="85">
        <f>IF($K1034="","",TEXT($K1034,"yyyy-mm"))</f>
        <v/>
      </c>
      <c r="Y1034" s="81">
        <f>IF(OR($A1034="",$T1034=""),"","Included in Manager_Report")</f>
        <v/>
      </c>
    </row>
    <row r="1035" ht="15" customHeight="1" s="40">
      <c r="A1035" s="65">
        <f>IF(COUNTA(B1035:G1035)=0,"","STP-"&amp;TEXT(ROW()-4,"0000"))</f>
        <v/>
      </c>
      <c r="B1035" s="78" t="n"/>
      <c r="C1035" s="67">
        <f>IF($B1035="","",IFERROR(INDEX(Task_Tracker!$D$5:$D$1004,MATCH($B1035,Task_Tracker!$A$5:$A$1004,0)),""))</f>
        <v/>
      </c>
      <c r="D1035" s="67">
        <f>IF($B1035="","",IFERROR(INDEX(Task_Tracker!$B$5:$B$1004,MATCH($B1035,Task_Tracker!$A$5:$A$1004,0)),""))</f>
        <v/>
      </c>
      <c r="E1035" s="81" t="n"/>
      <c r="F1035" s="81" t="n"/>
      <c r="G1035" s="78" t="n"/>
      <c r="H1035" s="78" t="n"/>
      <c r="I1035" s="67">
        <f>IF($H1035="","",IFERROR(INDEX(Action_Status_Map!$B$5:$B$11,MATCH($H1035,Action_Status_Map!$A$5:$A$11,0)),""))</f>
        <v/>
      </c>
      <c r="J1035" s="82" t="n"/>
      <c r="K1035" s="82" t="n"/>
      <c r="L1035" s="82" t="n"/>
      <c r="M1035" s="83" t="n"/>
      <c r="N1035" s="83" t="n"/>
      <c r="O1035" s="66">
        <f>IF(OR($M1035="",$N1035=""),"",$N1035-$M1035)</f>
        <v/>
      </c>
      <c r="P1035" s="84">
        <f>IF($J1035="","",IF($L1035&lt;&gt;"",$L1035-$J1035,TODAY()-$J1035))</f>
        <v/>
      </c>
      <c r="Q1035" s="85">
        <f>IF(OR($K1035="",$H1035="Completed",$H1035="Cancelled"),"",IF(AND($K1035&lt;TODAY(),$H1035&lt;&gt;"Completed",$H1035&lt;&gt;"Cancelled"),"Overdue","On Track"))</f>
        <v/>
      </c>
      <c r="R1035" s="81" t="n"/>
      <c r="S1035" s="81">
        <f>IF($B1035="","",IFERROR(INDEX(Task_Tracker!$AA$5:$AA$1004,MATCH($B1035,Task_Tracker!$A$5:$A$1004,0)),""))</f>
        <v/>
      </c>
      <c r="T1035" s="81">
        <f>IF($B1035="","",IFERROR(INDEX(Task_Tracker!$AB$5:$AB$1004,MATCH($B1035,Task_Tracker!$A$5:$A$1004,0)),""))</f>
        <v/>
      </c>
      <c r="U1035" s="78">
        <f>IF($B1035="","",IFERROR(INDEX(Task_Tracker!$F$5:$F$1004,MATCH($B1035,Task_Tracker!$A$5:$A$1004,0)),""))</f>
        <v/>
      </c>
      <c r="V1035" s="78">
        <f>IF($B1035="","",IFERROR(INDEX(Task_Tracker!$I$5:$I$1004,MATCH($B1035,Task_Tracker!$A$5:$A$1004,0)),""))</f>
        <v/>
      </c>
      <c r="W1035" s="81">
        <f>IF(OR($D1035="",$B1035=""),"",$D1035&amp;" | "&amp;$B1035)</f>
        <v/>
      </c>
      <c r="X1035" s="85">
        <f>IF($K1035="","",TEXT($K1035,"yyyy-mm"))</f>
        <v/>
      </c>
      <c r="Y1035" s="81">
        <f>IF(OR($A1035="",$T1035=""),"","Included in Manager_Report")</f>
        <v/>
      </c>
    </row>
    <row r="1036" ht="15" customHeight="1" s="40">
      <c r="A1036" s="65">
        <f>IF(COUNTA(B1036:G1036)=0,"","STP-"&amp;TEXT(ROW()-4,"0000"))</f>
        <v/>
      </c>
      <c r="B1036" s="78" t="n"/>
      <c r="C1036" s="67">
        <f>IF($B1036="","",IFERROR(INDEX(Task_Tracker!$D$5:$D$1004,MATCH($B1036,Task_Tracker!$A$5:$A$1004,0)),""))</f>
        <v/>
      </c>
      <c r="D1036" s="67">
        <f>IF($B1036="","",IFERROR(INDEX(Task_Tracker!$B$5:$B$1004,MATCH($B1036,Task_Tracker!$A$5:$A$1004,0)),""))</f>
        <v/>
      </c>
      <c r="E1036" s="81" t="n"/>
      <c r="F1036" s="81" t="n"/>
      <c r="G1036" s="78" t="n"/>
      <c r="H1036" s="78" t="n"/>
      <c r="I1036" s="67">
        <f>IF($H1036="","",IFERROR(INDEX(Action_Status_Map!$B$5:$B$11,MATCH($H1036,Action_Status_Map!$A$5:$A$11,0)),""))</f>
        <v/>
      </c>
      <c r="J1036" s="82" t="n"/>
      <c r="K1036" s="82" t="n"/>
      <c r="L1036" s="82" t="n"/>
      <c r="M1036" s="83" t="n"/>
      <c r="N1036" s="83" t="n"/>
      <c r="O1036" s="66">
        <f>IF(OR($M1036="",$N1036=""),"",$N1036-$M1036)</f>
        <v/>
      </c>
      <c r="P1036" s="84">
        <f>IF($J1036="","",IF($L1036&lt;&gt;"",$L1036-$J1036,TODAY()-$J1036))</f>
        <v/>
      </c>
      <c r="Q1036" s="85">
        <f>IF(OR($K1036="",$H1036="Completed",$H1036="Cancelled"),"",IF(AND($K1036&lt;TODAY(),$H1036&lt;&gt;"Completed",$H1036&lt;&gt;"Cancelled"),"Overdue","On Track"))</f>
        <v/>
      </c>
      <c r="R1036" s="81" t="n"/>
      <c r="S1036" s="81">
        <f>IF($B1036="","",IFERROR(INDEX(Task_Tracker!$AA$5:$AA$1004,MATCH($B1036,Task_Tracker!$A$5:$A$1004,0)),""))</f>
        <v/>
      </c>
      <c r="T1036" s="81">
        <f>IF($B1036="","",IFERROR(INDEX(Task_Tracker!$AB$5:$AB$1004,MATCH($B1036,Task_Tracker!$A$5:$A$1004,0)),""))</f>
        <v/>
      </c>
      <c r="U1036" s="78">
        <f>IF($B1036="","",IFERROR(INDEX(Task_Tracker!$F$5:$F$1004,MATCH($B1036,Task_Tracker!$A$5:$A$1004,0)),""))</f>
        <v/>
      </c>
      <c r="V1036" s="78">
        <f>IF($B1036="","",IFERROR(INDEX(Task_Tracker!$I$5:$I$1004,MATCH($B1036,Task_Tracker!$A$5:$A$1004,0)),""))</f>
        <v/>
      </c>
      <c r="W1036" s="81">
        <f>IF(OR($D1036="",$B1036=""),"",$D1036&amp;" | "&amp;$B1036)</f>
        <v/>
      </c>
      <c r="X1036" s="85">
        <f>IF($K1036="","",TEXT($K1036,"yyyy-mm"))</f>
        <v/>
      </c>
      <c r="Y1036" s="81">
        <f>IF(OR($A1036="",$T1036=""),"","Included in Manager_Report")</f>
        <v/>
      </c>
    </row>
    <row r="1037" ht="15" customHeight="1" s="40">
      <c r="A1037" s="65">
        <f>IF(COUNTA(B1037:G1037)=0,"","STP-"&amp;TEXT(ROW()-4,"0000"))</f>
        <v/>
      </c>
      <c r="B1037" s="78" t="n"/>
      <c r="C1037" s="67">
        <f>IF($B1037="","",IFERROR(INDEX(Task_Tracker!$D$5:$D$1004,MATCH($B1037,Task_Tracker!$A$5:$A$1004,0)),""))</f>
        <v/>
      </c>
      <c r="D1037" s="67">
        <f>IF($B1037="","",IFERROR(INDEX(Task_Tracker!$B$5:$B$1004,MATCH($B1037,Task_Tracker!$A$5:$A$1004,0)),""))</f>
        <v/>
      </c>
      <c r="E1037" s="81" t="n"/>
      <c r="F1037" s="81" t="n"/>
      <c r="G1037" s="78" t="n"/>
      <c r="H1037" s="78" t="n"/>
      <c r="I1037" s="67">
        <f>IF($H1037="","",IFERROR(INDEX(Action_Status_Map!$B$5:$B$11,MATCH($H1037,Action_Status_Map!$A$5:$A$11,0)),""))</f>
        <v/>
      </c>
      <c r="J1037" s="82" t="n"/>
      <c r="K1037" s="82" t="n"/>
      <c r="L1037" s="82" t="n"/>
      <c r="M1037" s="83" t="n"/>
      <c r="N1037" s="83" t="n"/>
      <c r="O1037" s="66">
        <f>IF(OR($M1037="",$N1037=""),"",$N1037-$M1037)</f>
        <v/>
      </c>
      <c r="P1037" s="84">
        <f>IF($J1037="","",IF($L1037&lt;&gt;"",$L1037-$J1037,TODAY()-$J1037))</f>
        <v/>
      </c>
      <c r="Q1037" s="85">
        <f>IF(OR($K1037="",$H1037="Completed",$H1037="Cancelled"),"",IF(AND($K1037&lt;TODAY(),$H1037&lt;&gt;"Completed",$H1037&lt;&gt;"Cancelled"),"Overdue","On Track"))</f>
        <v/>
      </c>
      <c r="R1037" s="81" t="n"/>
      <c r="S1037" s="81">
        <f>IF($B1037="","",IFERROR(INDEX(Task_Tracker!$AA$5:$AA$1004,MATCH($B1037,Task_Tracker!$A$5:$A$1004,0)),""))</f>
        <v/>
      </c>
      <c r="T1037" s="81">
        <f>IF($B1037="","",IFERROR(INDEX(Task_Tracker!$AB$5:$AB$1004,MATCH($B1037,Task_Tracker!$A$5:$A$1004,0)),""))</f>
        <v/>
      </c>
      <c r="U1037" s="78">
        <f>IF($B1037="","",IFERROR(INDEX(Task_Tracker!$F$5:$F$1004,MATCH($B1037,Task_Tracker!$A$5:$A$1004,0)),""))</f>
        <v/>
      </c>
      <c r="V1037" s="78">
        <f>IF($B1037="","",IFERROR(INDEX(Task_Tracker!$I$5:$I$1004,MATCH($B1037,Task_Tracker!$A$5:$A$1004,0)),""))</f>
        <v/>
      </c>
      <c r="W1037" s="81">
        <f>IF(OR($D1037="",$B1037=""),"",$D1037&amp;" | "&amp;$B1037)</f>
        <v/>
      </c>
      <c r="X1037" s="85">
        <f>IF($K1037="","",TEXT($K1037,"yyyy-mm"))</f>
        <v/>
      </c>
      <c r="Y1037" s="81">
        <f>IF(OR($A1037="",$T1037=""),"","Included in Manager_Report")</f>
        <v/>
      </c>
    </row>
    <row r="1038" ht="15" customHeight="1" s="40">
      <c r="A1038" s="65">
        <f>IF(COUNTA(B1038:G1038)=0,"","STP-"&amp;TEXT(ROW()-4,"0000"))</f>
        <v/>
      </c>
      <c r="B1038" s="78" t="n"/>
      <c r="C1038" s="67">
        <f>IF($B1038="","",IFERROR(INDEX(Task_Tracker!$D$5:$D$1004,MATCH($B1038,Task_Tracker!$A$5:$A$1004,0)),""))</f>
        <v/>
      </c>
      <c r="D1038" s="67">
        <f>IF($B1038="","",IFERROR(INDEX(Task_Tracker!$B$5:$B$1004,MATCH($B1038,Task_Tracker!$A$5:$A$1004,0)),""))</f>
        <v/>
      </c>
      <c r="E1038" s="81" t="n"/>
      <c r="F1038" s="81" t="n"/>
      <c r="G1038" s="78" t="n"/>
      <c r="H1038" s="78" t="n"/>
      <c r="I1038" s="67">
        <f>IF($H1038="","",IFERROR(INDEX(Action_Status_Map!$B$5:$B$11,MATCH($H1038,Action_Status_Map!$A$5:$A$11,0)),""))</f>
        <v/>
      </c>
      <c r="J1038" s="82" t="n"/>
      <c r="K1038" s="82" t="n"/>
      <c r="L1038" s="82" t="n"/>
      <c r="M1038" s="83" t="n"/>
      <c r="N1038" s="83" t="n"/>
      <c r="O1038" s="66">
        <f>IF(OR($M1038="",$N1038=""),"",$N1038-$M1038)</f>
        <v/>
      </c>
      <c r="P1038" s="84">
        <f>IF($J1038="","",IF($L1038&lt;&gt;"",$L1038-$J1038,TODAY()-$J1038))</f>
        <v/>
      </c>
      <c r="Q1038" s="85">
        <f>IF(OR($K1038="",$H1038="Completed",$H1038="Cancelled"),"",IF(AND($K1038&lt;TODAY(),$H1038&lt;&gt;"Completed",$H1038&lt;&gt;"Cancelled"),"Overdue","On Track"))</f>
        <v/>
      </c>
      <c r="R1038" s="81" t="n"/>
      <c r="S1038" s="81">
        <f>IF($B1038="","",IFERROR(INDEX(Task_Tracker!$AA$5:$AA$1004,MATCH($B1038,Task_Tracker!$A$5:$A$1004,0)),""))</f>
        <v/>
      </c>
      <c r="T1038" s="81">
        <f>IF($B1038="","",IFERROR(INDEX(Task_Tracker!$AB$5:$AB$1004,MATCH($B1038,Task_Tracker!$A$5:$A$1004,0)),""))</f>
        <v/>
      </c>
      <c r="U1038" s="78">
        <f>IF($B1038="","",IFERROR(INDEX(Task_Tracker!$F$5:$F$1004,MATCH($B1038,Task_Tracker!$A$5:$A$1004,0)),""))</f>
        <v/>
      </c>
      <c r="V1038" s="78">
        <f>IF($B1038="","",IFERROR(INDEX(Task_Tracker!$I$5:$I$1004,MATCH($B1038,Task_Tracker!$A$5:$A$1004,0)),""))</f>
        <v/>
      </c>
      <c r="W1038" s="81">
        <f>IF(OR($D1038="",$B1038=""),"",$D1038&amp;" | "&amp;$B1038)</f>
        <v/>
      </c>
      <c r="X1038" s="85">
        <f>IF($K1038="","",TEXT($K1038,"yyyy-mm"))</f>
        <v/>
      </c>
      <c r="Y1038" s="81">
        <f>IF(OR($A1038="",$T1038=""),"","Included in Manager_Report")</f>
        <v/>
      </c>
    </row>
    <row r="1039" ht="15" customHeight="1" s="40">
      <c r="A1039" s="65">
        <f>IF(COUNTA(B1039:G1039)=0,"","STP-"&amp;TEXT(ROW()-4,"0000"))</f>
        <v/>
      </c>
      <c r="B1039" s="78" t="n"/>
      <c r="C1039" s="67">
        <f>IF($B1039="","",IFERROR(INDEX(Task_Tracker!$D$5:$D$1004,MATCH($B1039,Task_Tracker!$A$5:$A$1004,0)),""))</f>
        <v/>
      </c>
      <c r="D1039" s="67">
        <f>IF($B1039="","",IFERROR(INDEX(Task_Tracker!$B$5:$B$1004,MATCH($B1039,Task_Tracker!$A$5:$A$1004,0)),""))</f>
        <v/>
      </c>
      <c r="E1039" s="81" t="n"/>
      <c r="F1039" s="81" t="n"/>
      <c r="G1039" s="78" t="n"/>
      <c r="H1039" s="78" t="n"/>
      <c r="I1039" s="67">
        <f>IF($H1039="","",IFERROR(INDEX(Action_Status_Map!$B$5:$B$11,MATCH($H1039,Action_Status_Map!$A$5:$A$11,0)),""))</f>
        <v/>
      </c>
      <c r="J1039" s="82" t="n"/>
      <c r="K1039" s="82" t="n"/>
      <c r="L1039" s="82" t="n"/>
      <c r="M1039" s="83" t="n"/>
      <c r="N1039" s="83" t="n"/>
      <c r="O1039" s="66">
        <f>IF(OR($M1039="",$N1039=""),"",$N1039-$M1039)</f>
        <v/>
      </c>
      <c r="P1039" s="84">
        <f>IF($J1039="","",IF($L1039&lt;&gt;"",$L1039-$J1039,TODAY()-$J1039))</f>
        <v/>
      </c>
      <c r="Q1039" s="85">
        <f>IF(OR($K1039="",$H1039="Completed",$H1039="Cancelled"),"",IF(AND($K1039&lt;TODAY(),$H1039&lt;&gt;"Completed",$H1039&lt;&gt;"Cancelled"),"Overdue","On Track"))</f>
        <v/>
      </c>
      <c r="R1039" s="81" t="n"/>
      <c r="S1039" s="81">
        <f>IF($B1039="","",IFERROR(INDEX(Task_Tracker!$AA$5:$AA$1004,MATCH($B1039,Task_Tracker!$A$5:$A$1004,0)),""))</f>
        <v/>
      </c>
      <c r="T1039" s="81">
        <f>IF($B1039="","",IFERROR(INDEX(Task_Tracker!$AB$5:$AB$1004,MATCH($B1039,Task_Tracker!$A$5:$A$1004,0)),""))</f>
        <v/>
      </c>
      <c r="U1039" s="78">
        <f>IF($B1039="","",IFERROR(INDEX(Task_Tracker!$F$5:$F$1004,MATCH($B1039,Task_Tracker!$A$5:$A$1004,0)),""))</f>
        <v/>
      </c>
      <c r="V1039" s="78">
        <f>IF($B1039="","",IFERROR(INDEX(Task_Tracker!$I$5:$I$1004,MATCH($B1039,Task_Tracker!$A$5:$A$1004,0)),""))</f>
        <v/>
      </c>
      <c r="W1039" s="81">
        <f>IF(OR($D1039="",$B1039=""),"",$D1039&amp;" | "&amp;$B1039)</f>
        <v/>
      </c>
      <c r="X1039" s="85">
        <f>IF($K1039="","",TEXT($K1039,"yyyy-mm"))</f>
        <v/>
      </c>
      <c r="Y1039" s="81">
        <f>IF(OR($A1039="",$T1039=""),"","Included in Manager_Report")</f>
        <v/>
      </c>
    </row>
    <row r="1040" ht="15" customHeight="1" s="40">
      <c r="A1040" s="65">
        <f>IF(COUNTA(B1040:G1040)=0,"","STP-"&amp;TEXT(ROW()-4,"0000"))</f>
        <v/>
      </c>
      <c r="B1040" s="78" t="n"/>
      <c r="C1040" s="67">
        <f>IF($B1040="","",IFERROR(INDEX(Task_Tracker!$D$5:$D$1004,MATCH($B1040,Task_Tracker!$A$5:$A$1004,0)),""))</f>
        <v/>
      </c>
      <c r="D1040" s="67">
        <f>IF($B1040="","",IFERROR(INDEX(Task_Tracker!$B$5:$B$1004,MATCH($B1040,Task_Tracker!$A$5:$A$1004,0)),""))</f>
        <v/>
      </c>
      <c r="E1040" s="81" t="n"/>
      <c r="F1040" s="81" t="n"/>
      <c r="G1040" s="78" t="n"/>
      <c r="H1040" s="78" t="n"/>
      <c r="I1040" s="67">
        <f>IF($H1040="","",IFERROR(INDEX(Action_Status_Map!$B$5:$B$11,MATCH($H1040,Action_Status_Map!$A$5:$A$11,0)),""))</f>
        <v/>
      </c>
      <c r="J1040" s="82" t="n"/>
      <c r="K1040" s="82" t="n"/>
      <c r="L1040" s="82" t="n"/>
      <c r="M1040" s="83" t="n"/>
      <c r="N1040" s="83" t="n"/>
      <c r="O1040" s="66">
        <f>IF(OR($M1040="",$N1040=""),"",$N1040-$M1040)</f>
        <v/>
      </c>
      <c r="P1040" s="84">
        <f>IF($J1040="","",IF($L1040&lt;&gt;"",$L1040-$J1040,TODAY()-$J1040))</f>
        <v/>
      </c>
      <c r="Q1040" s="85">
        <f>IF(OR($K1040="",$H1040="Completed",$H1040="Cancelled"),"",IF(AND($K1040&lt;TODAY(),$H1040&lt;&gt;"Completed",$H1040&lt;&gt;"Cancelled"),"Overdue","On Track"))</f>
        <v/>
      </c>
      <c r="R1040" s="81" t="n"/>
      <c r="S1040" s="81">
        <f>IF($B1040="","",IFERROR(INDEX(Task_Tracker!$AA$5:$AA$1004,MATCH($B1040,Task_Tracker!$A$5:$A$1004,0)),""))</f>
        <v/>
      </c>
      <c r="T1040" s="81">
        <f>IF($B1040="","",IFERROR(INDEX(Task_Tracker!$AB$5:$AB$1004,MATCH($B1040,Task_Tracker!$A$5:$A$1004,0)),""))</f>
        <v/>
      </c>
      <c r="U1040" s="78">
        <f>IF($B1040="","",IFERROR(INDEX(Task_Tracker!$F$5:$F$1004,MATCH($B1040,Task_Tracker!$A$5:$A$1004,0)),""))</f>
        <v/>
      </c>
      <c r="V1040" s="78">
        <f>IF($B1040="","",IFERROR(INDEX(Task_Tracker!$I$5:$I$1004,MATCH($B1040,Task_Tracker!$A$5:$A$1004,0)),""))</f>
        <v/>
      </c>
      <c r="W1040" s="81">
        <f>IF(OR($D1040="",$B1040=""),"",$D1040&amp;" | "&amp;$B1040)</f>
        <v/>
      </c>
      <c r="X1040" s="85">
        <f>IF($K1040="","",TEXT($K1040,"yyyy-mm"))</f>
        <v/>
      </c>
      <c r="Y1040" s="81">
        <f>IF(OR($A1040="",$T1040=""),"","Included in Manager_Report")</f>
        <v/>
      </c>
    </row>
    <row r="1041" ht="15" customHeight="1" s="40">
      <c r="A1041" s="65">
        <f>IF(COUNTA(B1041:G1041)=0,"","STP-"&amp;TEXT(ROW()-4,"0000"))</f>
        <v/>
      </c>
      <c r="B1041" s="78" t="n"/>
      <c r="C1041" s="67">
        <f>IF($B1041="","",IFERROR(INDEX(Task_Tracker!$D$5:$D$1004,MATCH($B1041,Task_Tracker!$A$5:$A$1004,0)),""))</f>
        <v/>
      </c>
      <c r="D1041" s="67">
        <f>IF($B1041="","",IFERROR(INDEX(Task_Tracker!$B$5:$B$1004,MATCH($B1041,Task_Tracker!$A$5:$A$1004,0)),""))</f>
        <v/>
      </c>
      <c r="E1041" s="81" t="n"/>
      <c r="F1041" s="81" t="n"/>
      <c r="G1041" s="78" t="n"/>
      <c r="H1041" s="78" t="n"/>
      <c r="I1041" s="67">
        <f>IF($H1041="","",IFERROR(INDEX(Action_Status_Map!$B$5:$B$11,MATCH($H1041,Action_Status_Map!$A$5:$A$11,0)),""))</f>
        <v/>
      </c>
      <c r="J1041" s="82" t="n"/>
      <c r="K1041" s="82" t="n"/>
      <c r="L1041" s="82" t="n"/>
      <c r="M1041" s="83" t="n"/>
      <c r="N1041" s="83" t="n"/>
      <c r="O1041" s="66">
        <f>IF(OR($M1041="",$N1041=""),"",$N1041-$M1041)</f>
        <v/>
      </c>
      <c r="P1041" s="84">
        <f>IF($J1041="","",IF($L1041&lt;&gt;"",$L1041-$J1041,TODAY()-$J1041))</f>
        <v/>
      </c>
      <c r="Q1041" s="85">
        <f>IF(OR($K1041="",$H1041="Completed",$H1041="Cancelled"),"",IF(AND($K1041&lt;TODAY(),$H1041&lt;&gt;"Completed",$H1041&lt;&gt;"Cancelled"),"Overdue","On Track"))</f>
        <v/>
      </c>
      <c r="R1041" s="81" t="n"/>
      <c r="S1041" s="81">
        <f>IF($B1041="","",IFERROR(INDEX(Task_Tracker!$AA$5:$AA$1004,MATCH($B1041,Task_Tracker!$A$5:$A$1004,0)),""))</f>
        <v/>
      </c>
      <c r="T1041" s="81">
        <f>IF($B1041="","",IFERROR(INDEX(Task_Tracker!$AB$5:$AB$1004,MATCH($B1041,Task_Tracker!$A$5:$A$1004,0)),""))</f>
        <v/>
      </c>
      <c r="U1041" s="78">
        <f>IF($B1041="","",IFERROR(INDEX(Task_Tracker!$F$5:$F$1004,MATCH($B1041,Task_Tracker!$A$5:$A$1004,0)),""))</f>
        <v/>
      </c>
      <c r="V1041" s="78">
        <f>IF($B1041="","",IFERROR(INDEX(Task_Tracker!$I$5:$I$1004,MATCH($B1041,Task_Tracker!$A$5:$A$1004,0)),""))</f>
        <v/>
      </c>
      <c r="W1041" s="81">
        <f>IF(OR($D1041="",$B1041=""),"",$D1041&amp;" | "&amp;$B1041)</f>
        <v/>
      </c>
      <c r="X1041" s="85">
        <f>IF($K1041="","",TEXT($K1041,"yyyy-mm"))</f>
        <v/>
      </c>
      <c r="Y1041" s="81">
        <f>IF(OR($A1041="",$T1041=""),"","Included in Manager_Report")</f>
        <v/>
      </c>
    </row>
    <row r="1042" ht="15" customHeight="1" s="40">
      <c r="A1042" s="65">
        <f>IF(COUNTA(B1042:G1042)=0,"","STP-"&amp;TEXT(ROW()-4,"0000"))</f>
        <v/>
      </c>
      <c r="B1042" s="78" t="n"/>
      <c r="C1042" s="67">
        <f>IF($B1042="","",IFERROR(INDEX(Task_Tracker!$D$5:$D$1004,MATCH($B1042,Task_Tracker!$A$5:$A$1004,0)),""))</f>
        <v/>
      </c>
      <c r="D1042" s="67">
        <f>IF($B1042="","",IFERROR(INDEX(Task_Tracker!$B$5:$B$1004,MATCH($B1042,Task_Tracker!$A$5:$A$1004,0)),""))</f>
        <v/>
      </c>
      <c r="E1042" s="81" t="n"/>
      <c r="F1042" s="81" t="n"/>
      <c r="G1042" s="78" t="n"/>
      <c r="H1042" s="78" t="n"/>
      <c r="I1042" s="67">
        <f>IF($H1042="","",IFERROR(INDEX(Action_Status_Map!$B$5:$B$11,MATCH($H1042,Action_Status_Map!$A$5:$A$11,0)),""))</f>
        <v/>
      </c>
      <c r="J1042" s="82" t="n"/>
      <c r="K1042" s="82" t="n"/>
      <c r="L1042" s="82" t="n"/>
      <c r="M1042" s="83" t="n"/>
      <c r="N1042" s="83" t="n"/>
      <c r="O1042" s="66">
        <f>IF(OR($M1042="",$N1042=""),"",$N1042-$M1042)</f>
        <v/>
      </c>
      <c r="P1042" s="84">
        <f>IF($J1042="","",IF($L1042&lt;&gt;"",$L1042-$J1042,TODAY()-$J1042))</f>
        <v/>
      </c>
      <c r="Q1042" s="85">
        <f>IF(OR($K1042="",$H1042="Completed",$H1042="Cancelled"),"",IF(AND($K1042&lt;TODAY(),$H1042&lt;&gt;"Completed",$H1042&lt;&gt;"Cancelled"),"Overdue","On Track"))</f>
        <v/>
      </c>
      <c r="R1042" s="81" t="n"/>
      <c r="S1042" s="81">
        <f>IF($B1042="","",IFERROR(INDEX(Task_Tracker!$AA$5:$AA$1004,MATCH($B1042,Task_Tracker!$A$5:$A$1004,0)),""))</f>
        <v/>
      </c>
      <c r="T1042" s="81">
        <f>IF($B1042="","",IFERROR(INDEX(Task_Tracker!$AB$5:$AB$1004,MATCH($B1042,Task_Tracker!$A$5:$A$1004,0)),""))</f>
        <v/>
      </c>
      <c r="U1042" s="78">
        <f>IF($B1042="","",IFERROR(INDEX(Task_Tracker!$F$5:$F$1004,MATCH($B1042,Task_Tracker!$A$5:$A$1004,0)),""))</f>
        <v/>
      </c>
      <c r="V1042" s="78">
        <f>IF($B1042="","",IFERROR(INDEX(Task_Tracker!$I$5:$I$1004,MATCH($B1042,Task_Tracker!$A$5:$A$1004,0)),""))</f>
        <v/>
      </c>
      <c r="W1042" s="81">
        <f>IF(OR($D1042="",$B1042=""),"",$D1042&amp;" | "&amp;$B1042)</f>
        <v/>
      </c>
      <c r="X1042" s="85">
        <f>IF($K1042="","",TEXT($K1042,"yyyy-mm"))</f>
        <v/>
      </c>
      <c r="Y1042" s="81">
        <f>IF(OR($A1042="",$T1042=""),"","Included in Manager_Report")</f>
        <v/>
      </c>
    </row>
    <row r="1043" ht="15" customHeight="1" s="40">
      <c r="A1043" s="65">
        <f>IF(COUNTA(B1043:G1043)=0,"","STP-"&amp;TEXT(ROW()-4,"0000"))</f>
        <v/>
      </c>
      <c r="B1043" s="78" t="n"/>
      <c r="C1043" s="67">
        <f>IF($B1043="","",IFERROR(INDEX(Task_Tracker!$D$5:$D$1004,MATCH($B1043,Task_Tracker!$A$5:$A$1004,0)),""))</f>
        <v/>
      </c>
      <c r="D1043" s="67">
        <f>IF($B1043="","",IFERROR(INDEX(Task_Tracker!$B$5:$B$1004,MATCH($B1043,Task_Tracker!$A$5:$A$1004,0)),""))</f>
        <v/>
      </c>
      <c r="E1043" s="81" t="n"/>
      <c r="F1043" s="81" t="n"/>
      <c r="G1043" s="78" t="n"/>
      <c r="H1043" s="78" t="n"/>
      <c r="I1043" s="67">
        <f>IF($H1043="","",IFERROR(INDEX(Action_Status_Map!$B$5:$B$11,MATCH($H1043,Action_Status_Map!$A$5:$A$11,0)),""))</f>
        <v/>
      </c>
      <c r="J1043" s="82" t="n"/>
      <c r="K1043" s="82" t="n"/>
      <c r="L1043" s="82" t="n"/>
      <c r="M1043" s="83" t="n"/>
      <c r="N1043" s="83" t="n"/>
      <c r="O1043" s="66">
        <f>IF(OR($M1043="",$N1043=""),"",$N1043-$M1043)</f>
        <v/>
      </c>
      <c r="P1043" s="84">
        <f>IF($J1043="","",IF($L1043&lt;&gt;"",$L1043-$J1043,TODAY()-$J1043))</f>
        <v/>
      </c>
      <c r="Q1043" s="85">
        <f>IF(OR($K1043="",$H1043="Completed",$H1043="Cancelled"),"",IF(AND($K1043&lt;TODAY(),$H1043&lt;&gt;"Completed",$H1043&lt;&gt;"Cancelled"),"Overdue","On Track"))</f>
        <v/>
      </c>
      <c r="R1043" s="81" t="n"/>
      <c r="S1043" s="81">
        <f>IF($B1043="","",IFERROR(INDEX(Task_Tracker!$AA$5:$AA$1004,MATCH($B1043,Task_Tracker!$A$5:$A$1004,0)),""))</f>
        <v/>
      </c>
      <c r="T1043" s="81">
        <f>IF($B1043="","",IFERROR(INDEX(Task_Tracker!$AB$5:$AB$1004,MATCH($B1043,Task_Tracker!$A$5:$A$1004,0)),""))</f>
        <v/>
      </c>
      <c r="U1043" s="78">
        <f>IF($B1043="","",IFERROR(INDEX(Task_Tracker!$F$5:$F$1004,MATCH($B1043,Task_Tracker!$A$5:$A$1004,0)),""))</f>
        <v/>
      </c>
      <c r="V1043" s="78">
        <f>IF($B1043="","",IFERROR(INDEX(Task_Tracker!$I$5:$I$1004,MATCH($B1043,Task_Tracker!$A$5:$A$1004,0)),""))</f>
        <v/>
      </c>
      <c r="W1043" s="81">
        <f>IF(OR($D1043="",$B1043=""),"",$D1043&amp;" | "&amp;$B1043)</f>
        <v/>
      </c>
      <c r="X1043" s="85">
        <f>IF($K1043="","",TEXT($K1043,"yyyy-mm"))</f>
        <v/>
      </c>
      <c r="Y1043" s="81">
        <f>IF(OR($A1043="",$T1043=""),"","Included in Manager_Report")</f>
        <v/>
      </c>
    </row>
    <row r="1044" ht="15" customHeight="1" s="40">
      <c r="A1044" s="65">
        <f>IF(COUNTA(B1044:G1044)=0,"","STP-"&amp;TEXT(ROW()-4,"0000"))</f>
        <v/>
      </c>
      <c r="B1044" s="78" t="n"/>
      <c r="C1044" s="67">
        <f>IF($B1044="","",IFERROR(INDEX(Task_Tracker!$D$5:$D$1004,MATCH($B1044,Task_Tracker!$A$5:$A$1004,0)),""))</f>
        <v/>
      </c>
      <c r="D1044" s="67">
        <f>IF($B1044="","",IFERROR(INDEX(Task_Tracker!$B$5:$B$1004,MATCH($B1044,Task_Tracker!$A$5:$A$1004,0)),""))</f>
        <v/>
      </c>
      <c r="E1044" s="81" t="n"/>
      <c r="F1044" s="81" t="n"/>
      <c r="G1044" s="78" t="n"/>
      <c r="H1044" s="78" t="n"/>
      <c r="I1044" s="67">
        <f>IF($H1044="","",IFERROR(INDEX(Action_Status_Map!$B$5:$B$11,MATCH($H1044,Action_Status_Map!$A$5:$A$11,0)),""))</f>
        <v/>
      </c>
      <c r="J1044" s="82" t="n"/>
      <c r="K1044" s="82" t="n"/>
      <c r="L1044" s="82" t="n"/>
      <c r="M1044" s="83" t="n"/>
      <c r="N1044" s="83" t="n"/>
      <c r="O1044" s="66">
        <f>IF(OR($M1044="",$N1044=""),"",$N1044-$M1044)</f>
        <v/>
      </c>
      <c r="P1044" s="84">
        <f>IF($J1044="","",IF($L1044&lt;&gt;"",$L1044-$J1044,TODAY()-$J1044))</f>
        <v/>
      </c>
      <c r="Q1044" s="85">
        <f>IF(OR($K1044="",$H1044="Completed",$H1044="Cancelled"),"",IF(AND($K1044&lt;TODAY(),$H1044&lt;&gt;"Completed",$H1044&lt;&gt;"Cancelled"),"Overdue","On Track"))</f>
        <v/>
      </c>
      <c r="R1044" s="81" t="n"/>
      <c r="S1044" s="81">
        <f>IF($B1044="","",IFERROR(INDEX(Task_Tracker!$AA$5:$AA$1004,MATCH($B1044,Task_Tracker!$A$5:$A$1004,0)),""))</f>
        <v/>
      </c>
      <c r="T1044" s="81">
        <f>IF($B1044="","",IFERROR(INDEX(Task_Tracker!$AB$5:$AB$1004,MATCH($B1044,Task_Tracker!$A$5:$A$1004,0)),""))</f>
        <v/>
      </c>
      <c r="U1044" s="78">
        <f>IF($B1044="","",IFERROR(INDEX(Task_Tracker!$F$5:$F$1004,MATCH($B1044,Task_Tracker!$A$5:$A$1004,0)),""))</f>
        <v/>
      </c>
      <c r="V1044" s="78">
        <f>IF($B1044="","",IFERROR(INDEX(Task_Tracker!$I$5:$I$1004,MATCH($B1044,Task_Tracker!$A$5:$A$1004,0)),""))</f>
        <v/>
      </c>
      <c r="W1044" s="81">
        <f>IF(OR($D1044="",$B1044=""),"",$D1044&amp;" | "&amp;$B1044)</f>
        <v/>
      </c>
      <c r="X1044" s="85">
        <f>IF($K1044="","",TEXT($K1044,"yyyy-mm"))</f>
        <v/>
      </c>
      <c r="Y1044" s="81">
        <f>IF(OR($A1044="",$T1044=""),"","Included in Manager_Report")</f>
        <v/>
      </c>
    </row>
    <row r="1045" ht="15" customHeight="1" s="40">
      <c r="A1045" s="65">
        <f>IF(COUNTA(B1045:G1045)=0,"","STP-"&amp;TEXT(ROW()-4,"0000"))</f>
        <v/>
      </c>
      <c r="B1045" s="78" t="n"/>
      <c r="C1045" s="67">
        <f>IF($B1045="","",IFERROR(INDEX(Task_Tracker!$D$5:$D$1004,MATCH($B1045,Task_Tracker!$A$5:$A$1004,0)),""))</f>
        <v/>
      </c>
      <c r="D1045" s="67">
        <f>IF($B1045="","",IFERROR(INDEX(Task_Tracker!$B$5:$B$1004,MATCH($B1045,Task_Tracker!$A$5:$A$1004,0)),""))</f>
        <v/>
      </c>
      <c r="E1045" s="81" t="n"/>
      <c r="F1045" s="81" t="n"/>
      <c r="G1045" s="78" t="n"/>
      <c r="H1045" s="78" t="n"/>
      <c r="I1045" s="67">
        <f>IF($H1045="","",IFERROR(INDEX(Action_Status_Map!$B$5:$B$11,MATCH($H1045,Action_Status_Map!$A$5:$A$11,0)),""))</f>
        <v/>
      </c>
      <c r="J1045" s="82" t="n"/>
      <c r="K1045" s="82" t="n"/>
      <c r="L1045" s="82" t="n"/>
      <c r="M1045" s="83" t="n"/>
      <c r="N1045" s="83" t="n"/>
      <c r="O1045" s="66">
        <f>IF(OR($M1045="",$N1045=""),"",$N1045-$M1045)</f>
        <v/>
      </c>
      <c r="P1045" s="84">
        <f>IF($J1045="","",IF($L1045&lt;&gt;"",$L1045-$J1045,TODAY()-$J1045))</f>
        <v/>
      </c>
      <c r="Q1045" s="85">
        <f>IF(OR($K1045="",$H1045="Completed",$H1045="Cancelled"),"",IF(AND($K1045&lt;TODAY(),$H1045&lt;&gt;"Completed",$H1045&lt;&gt;"Cancelled"),"Overdue","On Track"))</f>
        <v/>
      </c>
      <c r="R1045" s="81" t="n"/>
      <c r="S1045" s="81">
        <f>IF($B1045="","",IFERROR(INDEX(Task_Tracker!$AA$5:$AA$1004,MATCH($B1045,Task_Tracker!$A$5:$A$1004,0)),""))</f>
        <v/>
      </c>
      <c r="T1045" s="81">
        <f>IF($B1045="","",IFERROR(INDEX(Task_Tracker!$AB$5:$AB$1004,MATCH($B1045,Task_Tracker!$A$5:$A$1004,0)),""))</f>
        <v/>
      </c>
      <c r="U1045" s="78">
        <f>IF($B1045="","",IFERROR(INDEX(Task_Tracker!$F$5:$F$1004,MATCH($B1045,Task_Tracker!$A$5:$A$1004,0)),""))</f>
        <v/>
      </c>
      <c r="V1045" s="78">
        <f>IF($B1045="","",IFERROR(INDEX(Task_Tracker!$I$5:$I$1004,MATCH($B1045,Task_Tracker!$A$5:$A$1004,0)),""))</f>
        <v/>
      </c>
      <c r="W1045" s="81">
        <f>IF(OR($D1045="",$B1045=""),"",$D1045&amp;" | "&amp;$B1045)</f>
        <v/>
      </c>
      <c r="X1045" s="85">
        <f>IF($K1045="","",TEXT($K1045,"yyyy-mm"))</f>
        <v/>
      </c>
      <c r="Y1045" s="81">
        <f>IF(OR($A1045="",$T1045=""),"","Included in Manager_Report")</f>
        <v/>
      </c>
    </row>
    <row r="1046" ht="15" customHeight="1" s="40">
      <c r="A1046" s="65">
        <f>IF(COUNTA(B1046:G1046)=0,"","STP-"&amp;TEXT(ROW()-4,"0000"))</f>
        <v/>
      </c>
      <c r="B1046" s="78" t="n"/>
      <c r="C1046" s="67">
        <f>IF($B1046="","",IFERROR(INDEX(Task_Tracker!$D$5:$D$1004,MATCH($B1046,Task_Tracker!$A$5:$A$1004,0)),""))</f>
        <v/>
      </c>
      <c r="D1046" s="67">
        <f>IF($B1046="","",IFERROR(INDEX(Task_Tracker!$B$5:$B$1004,MATCH($B1046,Task_Tracker!$A$5:$A$1004,0)),""))</f>
        <v/>
      </c>
      <c r="E1046" s="81" t="n"/>
      <c r="F1046" s="81" t="n"/>
      <c r="G1046" s="78" t="n"/>
      <c r="H1046" s="78" t="n"/>
      <c r="I1046" s="67">
        <f>IF($H1046="","",IFERROR(INDEX(Action_Status_Map!$B$5:$B$11,MATCH($H1046,Action_Status_Map!$A$5:$A$11,0)),""))</f>
        <v/>
      </c>
      <c r="J1046" s="82" t="n"/>
      <c r="K1046" s="82" t="n"/>
      <c r="L1046" s="82" t="n"/>
      <c r="M1046" s="83" t="n"/>
      <c r="N1046" s="83" t="n"/>
      <c r="O1046" s="66">
        <f>IF(OR($M1046="",$N1046=""),"",$N1046-$M1046)</f>
        <v/>
      </c>
      <c r="P1046" s="84">
        <f>IF($J1046="","",IF($L1046&lt;&gt;"",$L1046-$J1046,TODAY()-$J1046))</f>
        <v/>
      </c>
      <c r="Q1046" s="85">
        <f>IF(OR($K1046="",$H1046="Completed",$H1046="Cancelled"),"",IF(AND($K1046&lt;TODAY(),$H1046&lt;&gt;"Completed",$H1046&lt;&gt;"Cancelled"),"Overdue","On Track"))</f>
        <v/>
      </c>
      <c r="R1046" s="81" t="n"/>
      <c r="S1046" s="81">
        <f>IF($B1046="","",IFERROR(INDEX(Task_Tracker!$AA$5:$AA$1004,MATCH($B1046,Task_Tracker!$A$5:$A$1004,0)),""))</f>
        <v/>
      </c>
      <c r="T1046" s="81">
        <f>IF($B1046="","",IFERROR(INDEX(Task_Tracker!$AB$5:$AB$1004,MATCH($B1046,Task_Tracker!$A$5:$A$1004,0)),""))</f>
        <v/>
      </c>
      <c r="U1046" s="78">
        <f>IF($B1046="","",IFERROR(INDEX(Task_Tracker!$F$5:$F$1004,MATCH($B1046,Task_Tracker!$A$5:$A$1004,0)),""))</f>
        <v/>
      </c>
      <c r="V1046" s="78">
        <f>IF($B1046="","",IFERROR(INDEX(Task_Tracker!$I$5:$I$1004,MATCH($B1046,Task_Tracker!$A$5:$A$1004,0)),""))</f>
        <v/>
      </c>
      <c r="W1046" s="81">
        <f>IF(OR($D1046="",$B1046=""),"",$D1046&amp;" | "&amp;$B1046)</f>
        <v/>
      </c>
      <c r="X1046" s="85">
        <f>IF($K1046="","",TEXT($K1046,"yyyy-mm"))</f>
        <v/>
      </c>
      <c r="Y1046" s="81">
        <f>IF(OR($A1046="",$T1046=""),"","Included in Manager_Report")</f>
        <v/>
      </c>
    </row>
    <row r="1047" ht="15" customHeight="1" s="40">
      <c r="A1047" s="65">
        <f>IF(COUNTA(B1047:G1047)=0,"","STP-"&amp;TEXT(ROW()-4,"0000"))</f>
        <v/>
      </c>
      <c r="B1047" s="78" t="n"/>
      <c r="C1047" s="67">
        <f>IF($B1047="","",IFERROR(INDEX(Task_Tracker!$D$5:$D$1004,MATCH($B1047,Task_Tracker!$A$5:$A$1004,0)),""))</f>
        <v/>
      </c>
      <c r="D1047" s="67">
        <f>IF($B1047="","",IFERROR(INDEX(Task_Tracker!$B$5:$B$1004,MATCH($B1047,Task_Tracker!$A$5:$A$1004,0)),""))</f>
        <v/>
      </c>
      <c r="E1047" s="81" t="n"/>
      <c r="F1047" s="81" t="n"/>
      <c r="G1047" s="78" t="n"/>
      <c r="H1047" s="78" t="n"/>
      <c r="I1047" s="67">
        <f>IF($H1047="","",IFERROR(INDEX(Action_Status_Map!$B$5:$B$11,MATCH($H1047,Action_Status_Map!$A$5:$A$11,0)),""))</f>
        <v/>
      </c>
      <c r="J1047" s="82" t="n"/>
      <c r="K1047" s="82" t="n"/>
      <c r="L1047" s="82" t="n"/>
      <c r="M1047" s="83" t="n"/>
      <c r="N1047" s="83" t="n"/>
      <c r="O1047" s="66">
        <f>IF(OR($M1047="",$N1047=""),"",$N1047-$M1047)</f>
        <v/>
      </c>
      <c r="P1047" s="84">
        <f>IF($J1047="","",IF($L1047&lt;&gt;"",$L1047-$J1047,TODAY()-$J1047))</f>
        <v/>
      </c>
      <c r="Q1047" s="85">
        <f>IF(OR($K1047="",$H1047="Completed",$H1047="Cancelled"),"",IF(AND($K1047&lt;TODAY(),$H1047&lt;&gt;"Completed",$H1047&lt;&gt;"Cancelled"),"Overdue","On Track"))</f>
        <v/>
      </c>
      <c r="R1047" s="81" t="n"/>
      <c r="S1047" s="81">
        <f>IF($B1047="","",IFERROR(INDEX(Task_Tracker!$AA$5:$AA$1004,MATCH($B1047,Task_Tracker!$A$5:$A$1004,0)),""))</f>
        <v/>
      </c>
      <c r="T1047" s="81">
        <f>IF($B1047="","",IFERROR(INDEX(Task_Tracker!$AB$5:$AB$1004,MATCH($B1047,Task_Tracker!$A$5:$A$1004,0)),""))</f>
        <v/>
      </c>
      <c r="U1047" s="78">
        <f>IF($B1047="","",IFERROR(INDEX(Task_Tracker!$F$5:$F$1004,MATCH($B1047,Task_Tracker!$A$5:$A$1004,0)),""))</f>
        <v/>
      </c>
      <c r="V1047" s="78">
        <f>IF($B1047="","",IFERROR(INDEX(Task_Tracker!$I$5:$I$1004,MATCH($B1047,Task_Tracker!$A$5:$A$1004,0)),""))</f>
        <v/>
      </c>
      <c r="W1047" s="81">
        <f>IF(OR($D1047="",$B1047=""),"",$D1047&amp;" | "&amp;$B1047)</f>
        <v/>
      </c>
      <c r="X1047" s="85">
        <f>IF($K1047="","",TEXT($K1047,"yyyy-mm"))</f>
        <v/>
      </c>
      <c r="Y1047" s="81">
        <f>IF(OR($A1047="",$T1047=""),"","Included in Manager_Report")</f>
        <v/>
      </c>
    </row>
    <row r="1048" ht="15" customHeight="1" s="40">
      <c r="A1048" s="65">
        <f>IF(COUNTA(B1048:G1048)=0,"","STP-"&amp;TEXT(ROW()-4,"0000"))</f>
        <v/>
      </c>
      <c r="B1048" s="78" t="n"/>
      <c r="C1048" s="67">
        <f>IF($B1048="","",IFERROR(INDEX(Task_Tracker!$D$5:$D$1004,MATCH($B1048,Task_Tracker!$A$5:$A$1004,0)),""))</f>
        <v/>
      </c>
      <c r="D1048" s="67">
        <f>IF($B1048="","",IFERROR(INDEX(Task_Tracker!$B$5:$B$1004,MATCH($B1048,Task_Tracker!$A$5:$A$1004,0)),""))</f>
        <v/>
      </c>
      <c r="E1048" s="81" t="n"/>
      <c r="F1048" s="81" t="n"/>
      <c r="G1048" s="78" t="n"/>
      <c r="H1048" s="78" t="n"/>
      <c r="I1048" s="67">
        <f>IF($H1048="","",IFERROR(INDEX(Action_Status_Map!$B$5:$B$11,MATCH($H1048,Action_Status_Map!$A$5:$A$11,0)),""))</f>
        <v/>
      </c>
      <c r="J1048" s="82" t="n"/>
      <c r="K1048" s="82" t="n"/>
      <c r="L1048" s="82" t="n"/>
      <c r="M1048" s="83" t="n"/>
      <c r="N1048" s="83" t="n"/>
      <c r="O1048" s="66">
        <f>IF(OR($M1048="",$N1048=""),"",$N1048-$M1048)</f>
        <v/>
      </c>
      <c r="P1048" s="84">
        <f>IF($J1048="","",IF($L1048&lt;&gt;"",$L1048-$J1048,TODAY()-$J1048))</f>
        <v/>
      </c>
      <c r="Q1048" s="85">
        <f>IF(OR($K1048="",$H1048="Completed",$H1048="Cancelled"),"",IF(AND($K1048&lt;TODAY(),$H1048&lt;&gt;"Completed",$H1048&lt;&gt;"Cancelled"),"Overdue","On Track"))</f>
        <v/>
      </c>
      <c r="R1048" s="81" t="n"/>
      <c r="S1048" s="81">
        <f>IF($B1048="","",IFERROR(INDEX(Task_Tracker!$AA$5:$AA$1004,MATCH($B1048,Task_Tracker!$A$5:$A$1004,0)),""))</f>
        <v/>
      </c>
      <c r="T1048" s="81">
        <f>IF($B1048="","",IFERROR(INDEX(Task_Tracker!$AB$5:$AB$1004,MATCH($B1048,Task_Tracker!$A$5:$A$1004,0)),""))</f>
        <v/>
      </c>
      <c r="U1048" s="78">
        <f>IF($B1048="","",IFERROR(INDEX(Task_Tracker!$F$5:$F$1004,MATCH($B1048,Task_Tracker!$A$5:$A$1004,0)),""))</f>
        <v/>
      </c>
      <c r="V1048" s="78">
        <f>IF($B1048="","",IFERROR(INDEX(Task_Tracker!$I$5:$I$1004,MATCH($B1048,Task_Tracker!$A$5:$A$1004,0)),""))</f>
        <v/>
      </c>
      <c r="W1048" s="81">
        <f>IF(OR($D1048="",$B1048=""),"",$D1048&amp;" | "&amp;$B1048)</f>
        <v/>
      </c>
      <c r="X1048" s="85">
        <f>IF($K1048="","",TEXT($K1048,"yyyy-mm"))</f>
        <v/>
      </c>
      <c r="Y1048" s="81">
        <f>IF(OR($A1048="",$T1048=""),"","Included in Manager_Report")</f>
        <v/>
      </c>
    </row>
    <row r="1049" ht="15" customHeight="1" s="40">
      <c r="A1049" s="65">
        <f>IF(COUNTA(B1049:G1049)=0,"","STP-"&amp;TEXT(ROW()-4,"0000"))</f>
        <v/>
      </c>
      <c r="B1049" s="78" t="n"/>
      <c r="C1049" s="67">
        <f>IF($B1049="","",IFERROR(INDEX(Task_Tracker!$D$5:$D$1004,MATCH($B1049,Task_Tracker!$A$5:$A$1004,0)),""))</f>
        <v/>
      </c>
      <c r="D1049" s="67">
        <f>IF($B1049="","",IFERROR(INDEX(Task_Tracker!$B$5:$B$1004,MATCH($B1049,Task_Tracker!$A$5:$A$1004,0)),""))</f>
        <v/>
      </c>
      <c r="E1049" s="81" t="n"/>
      <c r="F1049" s="81" t="n"/>
      <c r="G1049" s="78" t="n"/>
      <c r="H1049" s="78" t="n"/>
      <c r="I1049" s="67">
        <f>IF($H1049="","",IFERROR(INDEX(Action_Status_Map!$B$5:$B$11,MATCH($H1049,Action_Status_Map!$A$5:$A$11,0)),""))</f>
        <v/>
      </c>
      <c r="J1049" s="82" t="n"/>
      <c r="K1049" s="82" t="n"/>
      <c r="L1049" s="82" t="n"/>
      <c r="M1049" s="83" t="n"/>
      <c r="N1049" s="83" t="n"/>
      <c r="O1049" s="66">
        <f>IF(OR($M1049="",$N1049=""),"",$N1049-$M1049)</f>
        <v/>
      </c>
      <c r="P1049" s="84">
        <f>IF($J1049="","",IF($L1049&lt;&gt;"",$L1049-$J1049,TODAY()-$J1049))</f>
        <v/>
      </c>
      <c r="Q1049" s="85">
        <f>IF(OR($K1049="",$H1049="Completed",$H1049="Cancelled"),"",IF(AND($K1049&lt;TODAY(),$H1049&lt;&gt;"Completed",$H1049&lt;&gt;"Cancelled"),"Overdue","On Track"))</f>
        <v/>
      </c>
      <c r="R1049" s="81" t="n"/>
      <c r="S1049" s="81">
        <f>IF($B1049="","",IFERROR(INDEX(Task_Tracker!$AA$5:$AA$1004,MATCH($B1049,Task_Tracker!$A$5:$A$1004,0)),""))</f>
        <v/>
      </c>
      <c r="T1049" s="81">
        <f>IF($B1049="","",IFERROR(INDEX(Task_Tracker!$AB$5:$AB$1004,MATCH($B1049,Task_Tracker!$A$5:$A$1004,0)),""))</f>
        <v/>
      </c>
      <c r="U1049" s="78">
        <f>IF($B1049="","",IFERROR(INDEX(Task_Tracker!$F$5:$F$1004,MATCH($B1049,Task_Tracker!$A$5:$A$1004,0)),""))</f>
        <v/>
      </c>
      <c r="V1049" s="78">
        <f>IF($B1049="","",IFERROR(INDEX(Task_Tracker!$I$5:$I$1004,MATCH($B1049,Task_Tracker!$A$5:$A$1004,0)),""))</f>
        <v/>
      </c>
      <c r="W1049" s="81">
        <f>IF(OR($D1049="",$B1049=""),"",$D1049&amp;" | "&amp;$B1049)</f>
        <v/>
      </c>
      <c r="X1049" s="85">
        <f>IF($K1049="","",TEXT($K1049,"yyyy-mm"))</f>
        <v/>
      </c>
      <c r="Y1049" s="81">
        <f>IF(OR($A1049="",$T1049=""),"","Included in Manager_Report")</f>
        <v/>
      </c>
    </row>
    <row r="1050" ht="15" customHeight="1" s="40">
      <c r="A1050" s="65">
        <f>IF(COUNTA(B1050:G1050)=0,"","STP-"&amp;TEXT(ROW()-4,"0000"))</f>
        <v/>
      </c>
      <c r="B1050" s="78" t="n"/>
      <c r="C1050" s="67">
        <f>IF($B1050="","",IFERROR(INDEX(Task_Tracker!$D$5:$D$1004,MATCH($B1050,Task_Tracker!$A$5:$A$1004,0)),""))</f>
        <v/>
      </c>
      <c r="D1050" s="67">
        <f>IF($B1050="","",IFERROR(INDEX(Task_Tracker!$B$5:$B$1004,MATCH($B1050,Task_Tracker!$A$5:$A$1004,0)),""))</f>
        <v/>
      </c>
      <c r="E1050" s="81" t="n"/>
      <c r="F1050" s="81" t="n"/>
      <c r="G1050" s="78" t="n"/>
      <c r="H1050" s="78" t="n"/>
      <c r="I1050" s="67">
        <f>IF($H1050="","",IFERROR(INDEX(Action_Status_Map!$B$5:$B$11,MATCH($H1050,Action_Status_Map!$A$5:$A$11,0)),""))</f>
        <v/>
      </c>
      <c r="J1050" s="82" t="n"/>
      <c r="K1050" s="82" t="n"/>
      <c r="L1050" s="82" t="n"/>
      <c r="M1050" s="83" t="n"/>
      <c r="N1050" s="83" t="n"/>
      <c r="O1050" s="66">
        <f>IF(OR($M1050="",$N1050=""),"",$N1050-$M1050)</f>
        <v/>
      </c>
      <c r="P1050" s="84">
        <f>IF($J1050="","",IF($L1050&lt;&gt;"",$L1050-$J1050,TODAY()-$J1050))</f>
        <v/>
      </c>
      <c r="Q1050" s="85">
        <f>IF(OR($K1050="",$H1050="Completed",$H1050="Cancelled"),"",IF(AND($K1050&lt;TODAY(),$H1050&lt;&gt;"Completed",$H1050&lt;&gt;"Cancelled"),"Overdue","On Track"))</f>
        <v/>
      </c>
      <c r="R1050" s="81" t="n"/>
      <c r="S1050" s="81">
        <f>IF($B1050="","",IFERROR(INDEX(Task_Tracker!$AA$5:$AA$1004,MATCH($B1050,Task_Tracker!$A$5:$A$1004,0)),""))</f>
        <v/>
      </c>
      <c r="T1050" s="81">
        <f>IF($B1050="","",IFERROR(INDEX(Task_Tracker!$AB$5:$AB$1004,MATCH($B1050,Task_Tracker!$A$5:$A$1004,0)),""))</f>
        <v/>
      </c>
      <c r="U1050" s="78">
        <f>IF($B1050="","",IFERROR(INDEX(Task_Tracker!$F$5:$F$1004,MATCH($B1050,Task_Tracker!$A$5:$A$1004,0)),""))</f>
        <v/>
      </c>
      <c r="V1050" s="78">
        <f>IF($B1050="","",IFERROR(INDEX(Task_Tracker!$I$5:$I$1004,MATCH($B1050,Task_Tracker!$A$5:$A$1004,0)),""))</f>
        <v/>
      </c>
      <c r="W1050" s="81">
        <f>IF(OR($D1050="",$B1050=""),"",$D1050&amp;" | "&amp;$B1050)</f>
        <v/>
      </c>
      <c r="X1050" s="85">
        <f>IF($K1050="","",TEXT($K1050,"yyyy-mm"))</f>
        <v/>
      </c>
      <c r="Y1050" s="81">
        <f>IF(OR($A1050="",$T1050=""),"","Included in Manager_Report")</f>
        <v/>
      </c>
    </row>
    <row r="1051" ht="15" customHeight="1" s="40">
      <c r="A1051" s="65">
        <f>IF(COUNTA(B1051:G1051)=0,"","STP-"&amp;TEXT(ROW()-4,"0000"))</f>
        <v/>
      </c>
      <c r="B1051" s="78" t="n"/>
      <c r="C1051" s="67">
        <f>IF($B1051="","",IFERROR(INDEX(Task_Tracker!$D$5:$D$1004,MATCH($B1051,Task_Tracker!$A$5:$A$1004,0)),""))</f>
        <v/>
      </c>
      <c r="D1051" s="67">
        <f>IF($B1051="","",IFERROR(INDEX(Task_Tracker!$B$5:$B$1004,MATCH($B1051,Task_Tracker!$A$5:$A$1004,0)),""))</f>
        <v/>
      </c>
      <c r="E1051" s="81" t="n"/>
      <c r="F1051" s="81" t="n"/>
      <c r="G1051" s="78" t="n"/>
      <c r="H1051" s="78" t="n"/>
      <c r="I1051" s="67">
        <f>IF($H1051="","",IFERROR(INDEX(Action_Status_Map!$B$5:$B$11,MATCH($H1051,Action_Status_Map!$A$5:$A$11,0)),""))</f>
        <v/>
      </c>
      <c r="J1051" s="82" t="n"/>
      <c r="K1051" s="82" t="n"/>
      <c r="L1051" s="82" t="n"/>
      <c r="M1051" s="83" t="n"/>
      <c r="N1051" s="83" t="n"/>
      <c r="O1051" s="66">
        <f>IF(OR($M1051="",$N1051=""),"",$N1051-$M1051)</f>
        <v/>
      </c>
      <c r="P1051" s="84">
        <f>IF($J1051="","",IF($L1051&lt;&gt;"",$L1051-$J1051,TODAY()-$J1051))</f>
        <v/>
      </c>
      <c r="Q1051" s="85">
        <f>IF(OR($K1051="",$H1051="Completed",$H1051="Cancelled"),"",IF(AND($K1051&lt;TODAY(),$H1051&lt;&gt;"Completed",$H1051&lt;&gt;"Cancelled"),"Overdue","On Track"))</f>
        <v/>
      </c>
      <c r="R1051" s="81" t="n"/>
      <c r="S1051" s="81">
        <f>IF($B1051="","",IFERROR(INDEX(Task_Tracker!$AA$5:$AA$1004,MATCH($B1051,Task_Tracker!$A$5:$A$1004,0)),""))</f>
        <v/>
      </c>
      <c r="T1051" s="81">
        <f>IF($B1051="","",IFERROR(INDEX(Task_Tracker!$AB$5:$AB$1004,MATCH($B1051,Task_Tracker!$A$5:$A$1004,0)),""))</f>
        <v/>
      </c>
      <c r="U1051" s="78">
        <f>IF($B1051="","",IFERROR(INDEX(Task_Tracker!$F$5:$F$1004,MATCH($B1051,Task_Tracker!$A$5:$A$1004,0)),""))</f>
        <v/>
      </c>
      <c r="V1051" s="78">
        <f>IF($B1051="","",IFERROR(INDEX(Task_Tracker!$I$5:$I$1004,MATCH($B1051,Task_Tracker!$A$5:$A$1004,0)),""))</f>
        <v/>
      </c>
      <c r="W1051" s="81">
        <f>IF(OR($D1051="",$B1051=""),"",$D1051&amp;" | "&amp;$B1051)</f>
        <v/>
      </c>
      <c r="X1051" s="85">
        <f>IF($K1051="","",TEXT($K1051,"yyyy-mm"))</f>
        <v/>
      </c>
      <c r="Y1051" s="81">
        <f>IF(OR($A1051="",$T1051=""),"","Included in Manager_Report")</f>
        <v/>
      </c>
    </row>
    <row r="1052" ht="15" customHeight="1" s="40">
      <c r="A1052" s="65">
        <f>IF(COUNTA(B1052:G1052)=0,"","STP-"&amp;TEXT(ROW()-4,"0000"))</f>
        <v/>
      </c>
      <c r="B1052" s="78" t="n"/>
      <c r="C1052" s="67">
        <f>IF($B1052="","",IFERROR(INDEX(Task_Tracker!$D$5:$D$1004,MATCH($B1052,Task_Tracker!$A$5:$A$1004,0)),""))</f>
        <v/>
      </c>
      <c r="D1052" s="67">
        <f>IF($B1052="","",IFERROR(INDEX(Task_Tracker!$B$5:$B$1004,MATCH($B1052,Task_Tracker!$A$5:$A$1004,0)),""))</f>
        <v/>
      </c>
      <c r="E1052" s="81" t="n"/>
      <c r="F1052" s="81" t="n"/>
      <c r="G1052" s="78" t="n"/>
      <c r="H1052" s="78" t="n"/>
      <c r="I1052" s="67">
        <f>IF($H1052="","",IFERROR(INDEX(Action_Status_Map!$B$5:$B$11,MATCH($H1052,Action_Status_Map!$A$5:$A$11,0)),""))</f>
        <v/>
      </c>
      <c r="J1052" s="82" t="n"/>
      <c r="K1052" s="82" t="n"/>
      <c r="L1052" s="82" t="n"/>
      <c r="M1052" s="83" t="n"/>
      <c r="N1052" s="83" t="n"/>
      <c r="O1052" s="66">
        <f>IF(OR($M1052="",$N1052=""),"",$N1052-$M1052)</f>
        <v/>
      </c>
      <c r="P1052" s="84">
        <f>IF($J1052="","",IF($L1052&lt;&gt;"",$L1052-$J1052,TODAY()-$J1052))</f>
        <v/>
      </c>
      <c r="Q1052" s="85">
        <f>IF(OR($K1052="",$H1052="Completed",$H1052="Cancelled"),"",IF(AND($K1052&lt;TODAY(),$H1052&lt;&gt;"Completed",$H1052&lt;&gt;"Cancelled"),"Overdue","On Track"))</f>
        <v/>
      </c>
      <c r="R1052" s="81" t="n"/>
      <c r="S1052" s="81">
        <f>IF($B1052="","",IFERROR(INDEX(Task_Tracker!$AA$5:$AA$1004,MATCH($B1052,Task_Tracker!$A$5:$A$1004,0)),""))</f>
        <v/>
      </c>
      <c r="T1052" s="81">
        <f>IF($B1052="","",IFERROR(INDEX(Task_Tracker!$AB$5:$AB$1004,MATCH($B1052,Task_Tracker!$A$5:$A$1004,0)),""))</f>
        <v/>
      </c>
      <c r="U1052" s="78">
        <f>IF($B1052="","",IFERROR(INDEX(Task_Tracker!$F$5:$F$1004,MATCH($B1052,Task_Tracker!$A$5:$A$1004,0)),""))</f>
        <v/>
      </c>
      <c r="V1052" s="78">
        <f>IF($B1052="","",IFERROR(INDEX(Task_Tracker!$I$5:$I$1004,MATCH($B1052,Task_Tracker!$A$5:$A$1004,0)),""))</f>
        <v/>
      </c>
      <c r="W1052" s="81">
        <f>IF(OR($D1052="",$B1052=""),"",$D1052&amp;" | "&amp;$B1052)</f>
        <v/>
      </c>
      <c r="X1052" s="85">
        <f>IF($K1052="","",TEXT($K1052,"yyyy-mm"))</f>
        <v/>
      </c>
      <c r="Y1052" s="81">
        <f>IF(OR($A1052="",$T1052=""),"","Included in Manager_Report")</f>
        <v/>
      </c>
    </row>
    <row r="1053" ht="15" customHeight="1" s="40">
      <c r="A1053" s="65">
        <f>IF(COUNTA(B1053:G1053)=0,"","STP-"&amp;TEXT(ROW()-4,"0000"))</f>
        <v/>
      </c>
      <c r="B1053" s="78" t="n"/>
      <c r="C1053" s="67">
        <f>IF($B1053="","",IFERROR(INDEX(Task_Tracker!$D$5:$D$1004,MATCH($B1053,Task_Tracker!$A$5:$A$1004,0)),""))</f>
        <v/>
      </c>
      <c r="D1053" s="67">
        <f>IF($B1053="","",IFERROR(INDEX(Task_Tracker!$B$5:$B$1004,MATCH($B1053,Task_Tracker!$A$5:$A$1004,0)),""))</f>
        <v/>
      </c>
      <c r="E1053" s="81" t="n"/>
      <c r="F1053" s="81" t="n"/>
      <c r="G1053" s="78" t="n"/>
      <c r="H1053" s="78" t="n"/>
      <c r="I1053" s="67">
        <f>IF($H1053="","",IFERROR(INDEX(Action_Status_Map!$B$5:$B$11,MATCH($H1053,Action_Status_Map!$A$5:$A$11,0)),""))</f>
        <v/>
      </c>
      <c r="J1053" s="82" t="n"/>
      <c r="K1053" s="82" t="n"/>
      <c r="L1053" s="82" t="n"/>
      <c r="M1053" s="83" t="n"/>
      <c r="N1053" s="83" t="n"/>
      <c r="O1053" s="66">
        <f>IF(OR($M1053="",$N1053=""),"",$N1053-$M1053)</f>
        <v/>
      </c>
      <c r="P1053" s="84">
        <f>IF($J1053="","",IF($L1053&lt;&gt;"",$L1053-$J1053,TODAY()-$J1053))</f>
        <v/>
      </c>
      <c r="Q1053" s="85">
        <f>IF(OR($K1053="",$H1053="Completed",$H1053="Cancelled"),"",IF(AND($K1053&lt;TODAY(),$H1053&lt;&gt;"Completed",$H1053&lt;&gt;"Cancelled"),"Overdue","On Track"))</f>
        <v/>
      </c>
      <c r="R1053" s="81" t="n"/>
      <c r="S1053" s="81">
        <f>IF($B1053="","",IFERROR(INDEX(Task_Tracker!$AA$5:$AA$1004,MATCH($B1053,Task_Tracker!$A$5:$A$1004,0)),""))</f>
        <v/>
      </c>
      <c r="T1053" s="81">
        <f>IF($B1053="","",IFERROR(INDEX(Task_Tracker!$AB$5:$AB$1004,MATCH($B1053,Task_Tracker!$A$5:$A$1004,0)),""))</f>
        <v/>
      </c>
      <c r="U1053" s="78">
        <f>IF($B1053="","",IFERROR(INDEX(Task_Tracker!$F$5:$F$1004,MATCH($B1053,Task_Tracker!$A$5:$A$1004,0)),""))</f>
        <v/>
      </c>
      <c r="V1053" s="78">
        <f>IF($B1053="","",IFERROR(INDEX(Task_Tracker!$I$5:$I$1004,MATCH($B1053,Task_Tracker!$A$5:$A$1004,0)),""))</f>
        <v/>
      </c>
      <c r="W1053" s="81">
        <f>IF(OR($D1053="",$B1053=""),"",$D1053&amp;" | "&amp;$B1053)</f>
        <v/>
      </c>
      <c r="X1053" s="85">
        <f>IF($K1053="","",TEXT($K1053,"yyyy-mm"))</f>
        <v/>
      </c>
      <c r="Y1053" s="81">
        <f>IF(OR($A1053="",$T1053=""),"","Included in Manager_Report")</f>
        <v/>
      </c>
    </row>
    <row r="1054" ht="15" customHeight="1" s="40">
      <c r="A1054" s="65">
        <f>IF(COUNTA(B1054:G1054)=0,"","STP-"&amp;TEXT(ROW()-4,"0000"))</f>
        <v/>
      </c>
      <c r="B1054" s="78" t="n"/>
      <c r="C1054" s="67">
        <f>IF($B1054="","",IFERROR(INDEX(Task_Tracker!$D$5:$D$1004,MATCH($B1054,Task_Tracker!$A$5:$A$1004,0)),""))</f>
        <v/>
      </c>
      <c r="D1054" s="67">
        <f>IF($B1054="","",IFERROR(INDEX(Task_Tracker!$B$5:$B$1004,MATCH($B1054,Task_Tracker!$A$5:$A$1004,0)),""))</f>
        <v/>
      </c>
      <c r="E1054" s="81" t="n"/>
      <c r="F1054" s="81" t="n"/>
      <c r="G1054" s="78" t="n"/>
      <c r="H1054" s="78" t="n"/>
      <c r="I1054" s="67">
        <f>IF($H1054="","",IFERROR(INDEX(Action_Status_Map!$B$5:$B$11,MATCH($H1054,Action_Status_Map!$A$5:$A$11,0)),""))</f>
        <v/>
      </c>
      <c r="J1054" s="82" t="n"/>
      <c r="K1054" s="82" t="n"/>
      <c r="L1054" s="82" t="n"/>
      <c r="M1054" s="83" t="n"/>
      <c r="N1054" s="83" t="n"/>
      <c r="O1054" s="66">
        <f>IF(OR($M1054="",$N1054=""),"",$N1054-$M1054)</f>
        <v/>
      </c>
      <c r="P1054" s="84">
        <f>IF($J1054="","",IF($L1054&lt;&gt;"",$L1054-$J1054,TODAY()-$J1054))</f>
        <v/>
      </c>
      <c r="Q1054" s="85">
        <f>IF(OR($K1054="",$H1054="Completed",$H1054="Cancelled"),"",IF(AND($K1054&lt;TODAY(),$H1054&lt;&gt;"Completed",$H1054&lt;&gt;"Cancelled"),"Overdue","On Track"))</f>
        <v/>
      </c>
      <c r="R1054" s="81" t="n"/>
      <c r="S1054" s="81">
        <f>IF($B1054="","",IFERROR(INDEX(Task_Tracker!$AA$5:$AA$1004,MATCH($B1054,Task_Tracker!$A$5:$A$1004,0)),""))</f>
        <v/>
      </c>
      <c r="T1054" s="81">
        <f>IF($B1054="","",IFERROR(INDEX(Task_Tracker!$AB$5:$AB$1004,MATCH($B1054,Task_Tracker!$A$5:$A$1004,0)),""))</f>
        <v/>
      </c>
      <c r="U1054" s="78">
        <f>IF($B1054="","",IFERROR(INDEX(Task_Tracker!$F$5:$F$1004,MATCH($B1054,Task_Tracker!$A$5:$A$1004,0)),""))</f>
        <v/>
      </c>
      <c r="V1054" s="78">
        <f>IF($B1054="","",IFERROR(INDEX(Task_Tracker!$I$5:$I$1004,MATCH($B1054,Task_Tracker!$A$5:$A$1004,0)),""))</f>
        <v/>
      </c>
      <c r="W1054" s="81">
        <f>IF(OR($D1054="",$B1054=""),"",$D1054&amp;" | "&amp;$B1054)</f>
        <v/>
      </c>
      <c r="X1054" s="85">
        <f>IF($K1054="","",TEXT($K1054,"yyyy-mm"))</f>
        <v/>
      </c>
      <c r="Y1054" s="81">
        <f>IF(OR($A1054="",$T1054=""),"","Included in Manager_Report")</f>
        <v/>
      </c>
    </row>
    <row r="1055" ht="15" customHeight="1" s="40">
      <c r="A1055" s="65">
        <f>IF(COUNTA(B1055:G1055)=0,"","STP-"&amp;TEXT(ROW()-4,"0000"))</f>
        <v/>
      </c>
      <c r="B1055" s="78" t="n"/>
      <c r="C1055" s="67">
        <f>IF($B1055="","",IFERROR(INDEX(Task_Tracker!$D$5:$D$1004,MATCH($B1055,Task_Tracker!$A$5:$A$1004,0)),""))</f>
        <v/>
      </c>
      <c r="D1055" s="67">
        <f>IF($B1055="","",IFERROR(INDEX(Task_Tracker!$B$5:$B$1004,MATCH($B1055,Task_Tracker!$A$5:$A$1004,0)),""))</f>
        <v/>
      </c>
      <c r="E1055" s="81" t="n"/>
      <c r="F1055" s="81" t="n"/>
      <c r="G1055" s="78" t="n"/>
      <c r="H1055" s="78" t="n"/>
      <c r="I1055" s="67">
        <f>IF($H1055="","",IFERROR(INDEX(Action_Status_Map!$B$5:$B$11,MATCH($H1055,Action_Status_Map!$A$5:$A$11,0)),""))</f>
        <v/>
      </c>
      <c r="J1055" s="82" t="n"/>
      <c r="K1055" s="82" t="n"/>
      <c r="L1055" s="82" t="n"/>
      <c r="M1055" s="83" t="n"/>
      <c r="N1055" s="83" t="n"/>
      <c r="O1055" s="66">
        <f>IF(OR($M1055="",$N1055=""),"",$N1055-$M1055)</f>
        <v/>
      </c>
      <c r="P1055" s="84">
        <f>IF($J1055="","",IF($L1055&lt;&gt;"",$L1055-$J1055,TODAY()-$J1055))</f>
        <v/>
      </c>
      <c r="Q1055" s="85">
        <f>IF(OR($K1055="",$H1055="Completed",$H1055="Cancelled"),"",IF(AND($K1055&lt;TODAY(),$H1055&lt;&gt;"Completed",$H1055&lt;&gt;"Cancelled"),"Overdue","On Track"))</f>
        <v/>
      </c>
      <c r="R1055" s="81" t="n"/>
      <c r="S1055" s="81">
        <f>IF($B1055="","",IFERROR(INDEX(Task_Tracker!$AA$5:$AA$1004,MATCH($B1055,Task_Tracker!$A$5:$A$1004,0)),""))</f>
        <v/>
      </c>
      <c r="T1055" s="81">
        <f>IF($B1055="","",IFERROR(INDEX(Task_Tracker!$AB$5:$AB$1004,MATCH($B1055,Task_Tracker!$A$5:$A$1004,0)),""))</f>
        <v/>
      </c>
      <c r="U1055" s="78">
        <f>IF($B1055="","",IFERROR(INDEX(Task_Tracker!$F$5:$F$1004,MATCH($B1055,Task_Tracker!$A$5:$A$1004,0)),""))</f>
        <v/>
      </c>
      <c r="V1055" s="78">
        <f>IF($B1055="","",IFERROR(INDEX(Task_Tracker!$I$5:$I$1004,MATCH($B1055,Task_Tracker!$A$5:$A$1004,0)),""))</f>
        <v/>
      </c>
      <c r="W1055" s="81">
        <f>IF(OR($D1055="",$B1055=""),"",$D1055&amp;" | "&amp;$B1055)</f>
        <v/>
      </c>
      <c r="X1055" s="85">
        <f>IF($K1055="","",TEXT($K1055,"yyyy-mm"))</f>
        <v/>
      </c>
      <c r="Y1055" s="81">
        <f>IF(OR($A1055="",$T1055=""),"","Included in Manager_Report")</f>
        <v/>
      </c>
    </row>
    <row r="1056" ht="15" customHeight="1" s="40">
      <c r="A1056" s="65">
        <f>IF(COUNTA(B1056:G1056)=0,"","STP-"&amp;TEXT(ROW()-4,"0000"))</f>
        <v/>
      </c>
      <c r="B1056" s="78" t="n"/>
      <c r="C1056" s="67">
        <f>IF($B1056="","",IFERROR(INDEX(Task_Tracker!$D$5:$D$1004,MATCH($B1056,Task_Tracker!$A$5:$A$1004,0)),""))</f>
        <v/>
      </c>
      <c r="D1056" s="67">
        <f>IF($B1056="","",IFERROR(INDEX(Task_Tracker!$B$5:$B$1004,MATCH($B1056,Task_Tracker!$A$5:$A$1004,0)),""))</f>
        <v/>
      </c>
      <c r="E1056" s="81" t="n"/>
      <c r="F1056" s="81" t="n"/>
      <c r="G1056" s="78" t="n"/>
      <c r="H1056" s="78" t="n"/>
      <c r="I1056" s="67">
        <f>IF($H1056="","",IFERROR(INDEX(Action_Status_Map!$B$5:$B$11,MATCH($H1056,Action_Status_Map!$A$5:$A$11,0)),""))</f>
        <v/>
      </c>
      <c r="J1056" s="82" t="n"/>
      <c r="K1056" s="82" t="n"/>
      <c r="L1056" s="82" t="n"/>
      <c r="M1056" s="83" t="n"/>
      <c r="N1056" s="83" t="n"/>
      <c r="O1056" s="66">
        <f>IF(OR($M1056="",$N1056=""),"",$N1056-$M1056)</f>
        <v/>
      </c>
      <c r="P1056" s="84">
        <f>IF($J1056="","",IF($L1056&lt;&gt;"",$L1056-$J1056,TODAY()-$J1056))</f>
        <v/>
      </c>
      <c r="Q1056" s="85">
        <f>IF(OR($K1056="",$H1056="Completed",$H1056="Cancelled"),"",IF(AND($K1056&lt;TODAY(),$H1056&lt;&gt;"Completed",$H1056&lt;&gt;"Cancelled"),"Overdue","On Track"))</f>
        <v/>
      </c>
      <c r="R1056" s="81" t="n"/>
      <c r="S1056" s="81">
        <f>IF($B1056="","",IFERROR(INDEX(Task_Tracker!$AA$5:$AA$1004,MATCH($B1056,Task_Tracker!$A$5:$A$1004,0)),""))</f>
        <v/>
      </c>
      <c r="T1056" s="81">
        <f>IF($B1056="","",IFERROR(INDEX(Task_Tracker!$AB$5:$AB$1004,MATCH($B1056,Task_Tracker!$A$5:$A$1004,0)),""))</f>
        <v/>
      </c>
      <c r="U1056" s="78">
        <f>IF($B1056="","",IFERROR(INDEX(Task_Tracker!$F$5:$F$1004,MATCH($B1056,Task_Tracker!$A$5:$A$1004,0)),""))</f>
        <v/>
      </c>
      <c r="V1056" s="78">
        <f>IF($B1056="","",IFERROR(INDEX(Task_Tracker!$I$5:$I$1004,MATCH($B1056,Task_Tracker!$A$5:$A$1004,0)),""))</f>
        <v/>
      </c>
      <c r="W1056" s="81">
        <f>IF(OR($D1056="",$B1056=""),"",$D1056&amp;" | "&amp;$B1056)</f>
        <v/>
      </c>
      <c r="X1056" s="85">
        <f>IF($K1056="","",TEXT($K1056,"yyyy-mm"))</f>
        <v/>
      </c>
      <c r="Y1056" s="81">
        <f>IF(OR($A1056="",$T1056=""),"","Included in Manager_Report")</f>
        <v/>
      </c>
    </row>
    <row r="1057" ht="15" customHeight="1" s="40">
      <c r="A1057" s="65">
        <f>IF(COUNTA(B1057:G1057)=0,"","STP-"&amp;TEXT(ROW()-4,"0000"))</f>
        <v/>
      </c>
      <c r="B1057" s="78" t="n"/>
      <c r="C1057" s="67">
        <f>IF($B1057="","",IFERROR(INDEX(Task_Tracker!$D$5:$D$1004,MATCH($B1057,Task_Tracker!$A$5:$A$1004,0)),""))</f>
        <v/>
      </c>
      <c r="D1057" s="67">
        <f>IF($B1057="","",IFERROR(INDEX(Task_Tracker!$B$5:$B$1004,MATCH($B1057,Task_Tracker!$A$5:$A$1004,0)),""))</f>
        <v/>
      </c>
      <c r="E1057" s="81" t="n"/>
      <c r="F1057" s="81" t="n"/>
      <c r="G1057" s="78" t="n"/>
      <c r="H1057" s="78" t="n"/>
      <c r="I1057" s="67">
        <f>IF($H1057="","",IFERROR(INDEX(Action_Status_Map!$B$5:$B$11,MATCH($H1057,Action_Status_Map!$A$5:$A$11,0)),""))</f>
        <v/>
      </c>
      <c r="J1057" s="82" t="n"/>
      <c r="K1057" s="82" t="n"/>
      <c r="L1057" s="82" t="n"/>
      <c r="M1057" s="83" t="n"/>
      <c r="N1057" s="83" t="n"/>
      <c r="O1057" s="66">
        <f>IF(OR($M1057="",$N1057=""),"",$N1057-$M1057)</f>
        <v/>
      </c>
      <c r="P1057" s="84">
        <f>IF($J1057="","",IF($L1057&lt;&gt;"",$L1057-$J1057,TODAY()-$J1057))</f>
        <v/>
      </c>
      <c r="Q1057" s="85">
        <f>IF(OR($K1057="",$H1057="Completed",$H1057="Cancelled"),"",IF(AND($K1057&lt;TODAY(),$H1057&lt;&gt;"Completed",$H1057&lt;&gt;"Cancelled"),"Overdue","On Track"))</f>
        <v/>
      </c>
      <c r="R1057" s="81" t="n"/>
      <c r="S1057" s="81">
        <f>IF($B1057="","",IFERROR(INDEX(Task_Tracker!$AA$5:$AA$1004,MATCH($B1057,Task_Tracker!$A$5:$A$1004,0)),""))</f>
        <v/>
      </c>
      <c r="T1057" s="81">
        <f>IF($B1057="","",IFERROR(INDEX(Task_Tracker!$AB$5:$AB$1004,MATCH($B1057,Task_Tracker!$A$5:$A$1004,0)),""))</f>
        <v/>
      </c>
      <c r="U1057" s="78">
        <f>IF($B1057="","",IFERROR(INDEX(Task_Tracker!$F$5:$F$1004,MATCH($B1057,Task_Tracker!$A$5:$A$1004,0)),""))</f>
        <v/>
      </c>
      <c r="V1057" s="78">
        <f>IF($B1057="","",IFERROR(INDEX(Task_Tracker!$I$5:$I$1004,MATCH($B1057,Task_Tracker!$A$5:$A$1004,0)),""))</f>
        <v/>
      </c>
      <c r="W1057" s="81">
        <f>IF(OR($D1057="",$B1057=""),"",$D1057&amp;" | "&amp;$B1057)</f>
        <v/>
      </c>
      <c r="X1057" s="85">
        <f>IF($K1057="","",TEXT($K1057,"yyyy-mm"))</f>
        <v/>
      </c>
      <c r="Y1057" s="81">
        <f>IF(OR($A1057="",$T1057=""),"","Included in Manager_Report")</f>
        <v/>
      </c>
    </row>
    <row r="1058" ht="15" customHeight="1" s="40">
      <c r="A1058" s="65">
        <f>IF(COUNTA(B1058:G1058)=0,"","STP-"&amp;TEXT(ROW()-4,"0000"))</f>
        <v/>
      </c>
      <c r="B1058" s="78" t="n"/>
      <c r="C1058" s="67">
        <f>IF($B1058="","",IFERROR(INDEX(Task_Tracker!$D$5:$D$1004,MATCH($B1058,Task_Tracker!$A$5:$A$1004,0)),""))</f>
        <v/>
      </c>
      <c r="D1058" s="67">
        <f>IF($B1058="","",IFERROR(INDEX(Task_Tracker!$B$5:$B$1004,MATCH($B1058,Task_Tracker!$A$5:$A$1004,0)),""))</f>
        <v/>
      </c>
      <c r="E1058" s="81" t="n"/>
      <c r="F1058" s="81" t="n"/>
      <c r="G1058" s="78" t="n"/>
      <c r="H1058" s="78" t="n"/>
      <c r="I1058" s="67">
        <f>IF($H1058="","",IFERROR(INDEX(Action_Status_Map!$B$5:$B$11,MATCH($H1058,Action_Status_Map!$A$5:$A$11,0)),""))</f>
        <v/>
      </c>
      <c r="J1058" s="82" t="n"/>
      <c r="K1058" s="82" t="n"/>
      <c r="L1058" s="82" t="n"/>
      <c r="M1058" s="83" t="n"/>
      <c r="N1058" s="83" t="n"/>
      <c r="O1058" s="66">
        <f>IF(OR($M1058="",$N1058=""),"",$N1058-$M1058)</f>
        <v/>
      </c>
      <c r="P1058" s="84">
        <f>IF($J1058="","",IF($L1058&lt;&gt;"",$L1058-$J1058,TODAY()-$J1058))</f>
        <v/>
      </c>
      <c r="Q1058" s="85">
        <f>IF(OR($K1058="",$H1058="Completed",$H1058="Cancelled"),"",IF(AND($K1058&lt;TODAY(),$H1058&lt;&gt;"Completed",$H1058&lt;&gt;"Cancelled"),"Overdue","On Track"))</f>
        <v/>
      </c>
      <c r="R1058" s="81" t="n"/>
      <c r="S1058" s="81">
        <f>IF($B1058="","",IFERROR(INDEX(Task_Tracker!$AA$5:$AA$1004,MATCH($B1058,Task_Tracker!$A$5:$A$1004,0)),""))</f>
        <v/>
      </c>
      <c r="T1058" s="81">
        <f>IF($B1058="","",IFERROR(INDEX(Task_Tracker!$AB$5:$AB$1004,MATCH($B1058,Task_Tracker!$A$5:$A$1004,0)),""))</f>
        <v/>
      </c>
      <c r="U1058" s="78">
        <f>IF($B1058="","",IFERROR(INDEX(Task_Tracker!$F$5:$F$1004,MATCH($B1058,Task_Tracker!$A$5:$A$1004,0)),""))</f>
        <v/>
      </c>
      <c r="V1058" s="78">
        <f>IF($B1058="","",IFERROR(INDEX(Task_Tracker!$I$5:$I$1004,MATCH($B1058,Task_Tracker!$A$5:$A$1004,0)),""))</f>
        <v/>
      </c>
      <c r="W1058" s="81">
        <f>IF(OR($D1058="",$B1058=""),"",$D1058&amp;" | "&amp;$B1058)</f>
        <v/>
      </c>
      <c r="X1058" s="85">
        <f>IF($K1058="","",TEXT($K1058,"yyyy-mm"))</f>
        <v/>
      </c>
      <c r="Y1058" s="81">
        <f>IF(OR($A1058="",$T1058=""),"","Included in Manager_Report")</f>
        <v/>
      </c>
    </row>
    <row r="1059" ht="15" customHeight="1" s="40">
      <c r="A1059" s="65">
        <f>IF(COUNTA(B1059:G1059)=0,"","STP-"&amp;TEXT(ROW()-4,"0000"))</f>
        <v/>
      </c>
      <c r="B1059" s="78" t="n"/>
      <c r="C1059" s="67">
        <f>IF($B1059="","",IFERROR(INDEX(Task_Tracker!$D$5:$D$1004,MATCH($B1059,Task_Tracker!$A$5:$A$1004,0)),""))</f>
        <v/>
      </c>
      <c r="D1059" s="67">
        <f>IF($B1059="","",IFERROR(INDEX(Task_Tracker!$B$5:$B$1004,MATCH($B1059,Task_Tracker!$A$5:$A$1004,0)),""))</f>
        <v/>
      </c>
      <c r="E1059" s="81" t="n"/>
      <c r="F1059" s="81" t="n"/>
      <c r="G1059" s="78" t="n"/>
      <c r="H1059" s="78" t="n"/>
      <c r="I1059" s="67">
        <f>IF($H1059="","",IFERROR(INDEX(Action_Status_Map!$B$5:$B$11,MATCH($H1059,Action_Status_Map!$A$5:$A$11,0)),""))</f>
        <v/>
      </c>
      <c r="J1059" s="82" t="n"/>
      <c r="K1059" s="82" t="n"/>
      <c r="L1059" s="82" t="n"/>
      <c r="M1059" s="83" t="n"/>
      <c r="N1059" s="83" t="n"/>
      <c r="O1059" s="66">
        <f>IF(OR($M1059="",$N1059=""),"",$N1059-$M1059)</f>
        <v/>
      </c>
      <c r="P1059" s="84">
        <f>IF($J1059="","",IF($L1059&lt;&gt;"",$L1059-$J1059,TODAY()-$J1059))</f>
        <v/>
      </c>
      <c r="Q1059" s="85">
        <f>IF(OR($K1059="",$H1059="Completed",$H1059="Cancelled"),"",IF(AND($K1059&lt;TODAY(),$H1059&lt;&gt;"Completed",$H1059&lt;&gt;"Cancelled"),"Overdue","On Track"))</f>
        <v/>
      </c>
      <c r="R1059" s="81" t="n"/>
      <c r="S1059" s="81">
        <f>IF($B1059="","",IFERROR(INDEX(Task_Tracker!$AA$5:$AA$1004,MATCH($B1059,Task_Tracker!$A$5:$A$1004,0)),""))</f>
        <v/>
      </c>
      <c r="T1059" s="81">
        <f>IF($B1059="","",IFERROR(INDEX(Task_Tracker!$AB$5:$AB$1004,MATCH($B1059,Task_Tracker!$A$5:$A$1004,0)),""))</f>
        <v/>
      </c>
      <c r="U1059" s="78">
        <f>IF($B1059="","",IFERROR(INDEX(Task_Tracker!$F$5:$F$1004,MATCH($B1059,Task_Tracker!$A$5:$A$1004,0)),""))</f>
        <v/>
      </c>
      <c r="V1059" s="78">
        <f>IF($B1059="","",IFERROR(INDEX(Task_Tracker!$I$5:$I$1004,MATCH($B1059,Task_Tracker!$A$5:$A$1004,0)),""))</f>
        <v/>
      </c>
      <c r="W1059" s="81">
        <f>IF(OR($D1059="",$B1059=""),"",$D1059&amp;" | "&amp;$B1059)</f>
        <v/>
      </c>
      <c r="X1059" s="85">
        <f>IF($K1059="","",TEXT($K1059,"yyyy-mm"))</f>
        <v/>
      </c>
      <c r="Y1059" s="81">
        <f>IF(OR($A1059="",$T1059=""),"","Included in Manager_Report")</f>
        <v/>
      </c>
    </row>
    <row r="1060" ht="15" customHeight="1" s="40">
      <c r="A1060" s="65">
        <f>IF(COUNTA(B1060:G1060)=0,"","STP-"&amp;TEXT(ROW()-4,"0000"))</f>
        <v/>
      </c>
      <c r="B1060" s="78" t="n"/>
      <c r="C1060" s="67">
        <f>IF($B1060="","",IFERROR(INDEX(Task_Tracker!$D$5:$D$1004,MATCH($B1060,Task_Tracker!$A$5:$A$1004,0)),""))</f>
        <v/>
      </c>
      <c r="D1060" s="67">
        <f>IF($B1060="","",IFERROR(INDEX(Task_Tracker!$B$5:$B$1004,MATCH($B1060,Task_Tracker!$A$5:$A$1004,0)),""))</f>
        <v/>
      </c>
      <c r="E1060" s="81" t="n"/>
      <c r="F1060" s="81" t="n"/>
      <c r="G1060" s="78" t="n"/>
      <c r="H1060" s="78" t="n"/>
      <c r="I1060" s="67">
        <f>IF($H1060="","",IFERROR(INDEX(Action_Status_Map!$B$5:$B$11,MATCH($H1060,Action_Status_Map!$A$5:$A$11,0)),""))</f>
        <v/>
      </c>
      <c r="J1060" s="82" t="n"/>
      <c r="K1060" s="82" t="n"/>
      <c r="L1060" s="82" t="n"/>
      <c r="M1060" s="83" t="n"/>
      <c r="N1060" s="83" t="n"/>
      <c r="O1060" s="66">
        <f>IF(OR($M1060="",$N1060=""),"",$N1060-$M1060)</f>
        <v/>
      </c>
      <c r="P1060" s="84">
        <f>IF($J1060="","",IF($L1060&lt;&gt;"",$L1060-$J1060,TODAY()-$J1060))</f>
        <v/>
      </c>
      <c r="Q1060" s="85">
        <f>IF(OR($K1060="",$H1060="Completed",$H1060="Cancelled"),"",IF(AND($K1060&lt;TODAY(),$H1060&lt;&gt;"Completed",$H1060&lt;&gt;"Cancelled"),"Overdue","On Track"))</f>
        <v/>
      </c>
      <c r="R1060" s="81" t="n"/>
      <c r="S1060" s="81">
        <f>IF($B1060="","",IFERROR(INDEX(Task_Tracker!$AA$5:$AA$1004,MATCH($B1060,Task_Tracker!$A$5:$A$1004,0)),""))</f>
        <v/>
      </c>
      <c r="T1060" s="81">
        <f>IF($B1060="","",IFERROR(INDEX(Task_Tracker!$AB$5:$AB$1004,MATCH($B1060,Task_Tracker!$A$5:$A$1004,0)),""))</f>
        <v/>
      </c>
      <c r="U1060" s="78">
        <f>IF($B1060="","",IFERROR(INDEX(Task_Tracker!$F$5:$F$1004,MATCH($B1060,Task_Tracker!$A$5:$A$1004,0)),""))</f>
        <v/>
      </c>
      <c r="V1060" s="78">
        <f>IF($B1060="","",IFERROR(INDEX(Task_Tracker!$I$5:$I$1004,MATCH($B1060,Task_Tracker!$A$5:$A$1004,0)),""))</f>
        <v/>
      </c>
      <c r="W1060" s="81">
        <f>IF(OR($D1060="",$B1060=""),"",$D1060&amp;" | "&amp;$B1060)</f>
        <v/>
      </c>
      <c r="X1060" s="85">
        <f>IF($K1060="","",TEXT($K1060,"yyyy-mm"))</f>
        <v/>
      </c>
      <c r="Y1060" s="81">
        <f>IF(OR($A1060="",$T1060=""),"","Included in Manager_Report")</f>
        <v/>
      </c>
    </row>
    <row r="1061" ht="15" customHeight="1" s="40">
      <c r="A1061" s="65">
        <f>IF(COUNTA(B1061:G1061)=0,"","STP-"&amp;TEXT(ROW()-4,"0000"))</f>
        <v/>
      </c>
      <c r="B1061" s="78" t="n"/>
      <c r="C1061" s="67">
        <f>IF($B1061="","",IFERROR(INDEX(Task_Tracker!$D$5:$D$1004,MATCH($B1061,Task_Tracker!$A$5:$A$1004,0)),""))</f>
        <v/>
      </c>
      <c r="D1061" s="67">
        <f>IF($B1061="","",IFERROR(INDEX(Task_Tracker!$B$5:$B$1004,MATCH($B1061,Task_Tracker!$A$5:$A$1004,0)),""))</f>
        <v/>
      </c>
      <c r="E1061" s="81" t="n"/>
      <c r="F1061" s="81" t="n"/>
      <c r="G1061" s="78" t="n"/>
      <c r="H1061" s="78" t="n"/>
      <c r="I1061" s="67">
        <f>IF($H1061="","",IFERROR(INDEX(Action_Status_Map!$B$5:$B$11,MATCH($H1061,Action_Status_Map!$A$5:$A$11,0)),""))</f>
        <v/>
      </c>
      <c r="J1061" s="82" t="n"/>
      <c r="K1061" s="82" t="n"/>
      <c r="L1061" s="82" t="n"/>
      <c r="M1061" s="83" t="n"/>
      <c r="N1061" s="83" t="n"/>
      <c r="O1061" s="66">
        <f>IF(OR($M1061="",$N1061=""),"",$N1061-$M1061)</f>
        <v/>
      </c>
      <c r="P1061" s="84">
        <f>IF($J1061="","",IF($L1061&lt;&gt;"",$L1061-$J1061,TODAY()-$J1061))</f>
        <v/>
      </c>
      <c r="Q1061" s="85">
        <f>IF(OR($K1061="",$H1061="Completed",$H1061="Cancelled"),"",IF(AND($K1061&lt;TODAY(),$H1061&lt;&gt;"Completed",$H1061&lt;&gt;"Cancelled"),"Overdue","On Track"))</f>
        <v/>
      </c>
      <c r="R1061" s="81" t="n"/>
      <c r="S1061" s="81">
        <f>IF($B1061="","",IFERROR(INDEX(Task_Tracker!$AA$5:$AA$1004,MATCH($B1061,Task_Tracker!$A$5:$A$1004,0)),""))</f>
        <v/>
      </c>
      <c r="T1061" s="81">
        <f>IF($B1061="","",IFERROR(INDEX(Task_Tracker!$AB$5:$AB$1004,MATCH($B1061,Task_Tracker!$A$5:$A$1004,0)),""))</f>
        <v/>
      </c>
      <c r="U1061" s="78">
        <f>IF($B1061="","",IFERROR(INDEX(Task_Tracker!$F$5:$F$1004,MATCH($B1061,Task_Tracker!$A$5:$A$1004,0)),""))</f>
        <v/>
      </c>
      <c r="V1061" s="78">
        <f>IF($B1061="","",IFERROR(INDEX(Task_Tracker!$I$5:$I$1004,MATCH($B1061,Task_Tracker!$A$5:$A$1004,0)),""))</f>
        <v/>
      </c>
      <c r="W1061" s="81">
        <f>IF(OR($D1061="",$B1061=""),"",$D1061&amp;" | "&amp;$B1061)</f>
        <v/>
      </c>
      <c r="X1061" s="85">
        <f>IF($K1061="","",TEXT($K1061,"yyyy-mm"))</f>
        <v/>
      </c>
      <c r="Y1061" s="81">
        <f>IF(OR($A1061="",$T1061=""),"","Included in Manager_Report")</f>
        <v/>
      </c>
    </row>
    <row r="1062" ht="15" customHeight="1" s="40">
      <c r="A1062" s="65">
        <f>IF(COUNTA(B1062:G1062)=0,"","STP-"&amp;TEXT(ROW()-4,"0000"))</f>
        <v/>
      </c>
      <c r="B1062" s="78" t="n"/>
      <c r="C1062" s="67">
        <f>IF($B1062="","",IFERROR(INDEX(Task_Tracker!$D$5:$D$1004,MATCH($B1062,Task_Tracker!$A$5:$A$1004,0)),""))</f>
        <v/>
      </c>
      <c r="D1062" s="67">
        <f>IF($B1062="","",IFERROR(INDEX(Task_Tracker!$B$5:$B$1004,MATCH($B1062,Task_Tracker!$A$5:$A$1004,0)),""))</f>
        <v/>
      </c>
      <c r="E1062" s="81" t="n"/>
      <c r="F1062" s="81" t="n"/>
      <c r="G1062" s="78" t="n"/>
      <c r="H1062" s="78" t="n"/>
      <c r="I1062" s="67">
        <f>IF($H1062="","",IFERROR(INDEX(Action_Status_Map!$B$5:$B$11,MATCH($H1062,Action_Status_Map!$A$5:$A$11,0)),""))</f>
        <v/>
      </c>
      <c r="J1062" s="82" t="n"/>
      <c r="K1062" s="82" t="n"/>
      <c r="L1062" s="82" t="n"/>
      <c r="M1062" s="83" t="n"/>
      <c r="N1062" s="83" t="n"/>
      <c r="O1062" s="66">
        <f>IF(OR($M1062="",$N1062=""),"",$N1062-$M1062)</f>
        <v/>
      </c>
      <c r="P1062" s="84">
        <f>IF($J1062="","",IF($L1062&lt;&gt;"",$L1062-$J1062,TODAY()-$J1062))</f>
        <v/>
      </c>
      <c r="Q1062" s="85">
        <f>IF(OR($K1062="",$H1062="Completed",$H1062="Cancelled"),"",IF(AND($K1062&lt;TODAY(),$H1062&lt;&gt;"Completed",$H1062&lt;&gt;"Cancelled"),"Overdue","On Track"))</f>
        <v/>
      </c>
      <c r="R1062" s="81" t="n"/>
      <c r="S1062" s="81">
        <f>IF($B1062="","",IFERROR(INDEX(Task_Tracker!$AA$5:$AA$1004,MATCH($B1062,Task_Tracker!$A$5:$A$1004,0)),""))</f>
        <v/>
      </c>
      <c r="T1062" s="81">
        <f>IF($B1062="","",IFERROR(INDEX(Task_Tracker!$AB$5:$AB$1004,MATCH($B1062,Task_Tracker!$A$5:$A$1004,0)),""))</f>
        <v/>
      </c>
      <c r="U1062" s="78">
        <f>IF($B1062="","",IFERROR(INDEX(Task_Tracker!$F$5:$F$1004,MATCH($B1062,Task_Tracker!$A$5:$A$1004,0)),""))</f>
        <v/>
      </c>
      <c r="V1062" s="78">
        <f>IF($B1062="","",IFERROR(INDEX(Task_Tracker!$I$5:$I$1004,MATCH($B1062,Task_Tracker!$A$5:$A$1004,0)),""))</f>
        <v/>
      </c>
      <c r="W1062" s="81">
        <f>IF(OR($D1062="",$B1062=""),"",$D1062&amp;" | "&amp;$B1062)</f>
        <v/>
      </c>
      <c r="X1062" s="85">
        <f>IF($K1062="","",TEXT($K1062,"yyyy-mm"))</f>
        <v/>
      </c>
      <c r="Y1062" s="81">
        <f>IF(OR($A1062="",$T1062=""),"","Included in Manager_Report")</f>
        <v/>
      </c>
    </row>
    <row r="1063" ht="15" customHeight="1" s="40">
      <c r="A1063" s="65">
        <f>IF(COUNTA(B1063:G1063)=0,"","STP-"&amp;TEXT(ROW()-4,"0000"))</f>
        <v/>
      </c>
      <c r="B1063" s="78" t="n"/>
      <c r="C1063" s="67">
        <f>IF($B1063="","",IFERROR(INDEX(Task_Tracker!$D$5:$D$1004,MATCH($B1063,Task_Tracker!$A$5:$A$1004,0)),""))</f>
        <v/>
      </c>
      <c r="D1063" s="67">
        <f>IF($B1063="","",IFERROR(INDEX(Task_Tracker!$B$5:$B$1004,MATCH($B1063,Task_Tracker!$A$5:$A$1004,0)),""))</f>
        <v/>
      </c>
      <c r="E1063" s="81" t="n"/>
      <c r="F1063" s="81" t="n"/>
      <c r="G1063" s="78" t="n"/>
      <c r="H1063" s="78" t="n"/>
      <c r="I1063" s="67">
        <f>IF($H1063="","",IFERROR(INDEX(Action_Status_Map!$B$5:$B$11,MATCH($H1063,Action_Status_Map!$A$5:$A$11,0)),""))</f>
        <v/>
      </c>
      <c r="J1063" s="82" t="n"/>
      <c r="K1063" s="82" t="n"/>
      <c r="L1063" s="82" t="n"/>
      <c r="M1063" s="83" t="n"/>
      <c r="N1063" s="83" t="n"/>
      <c r="O1063" s="66">
        <f>IF(OR($M1063="",$N1063=""),"",$N1063-$M1063)</f>
        <v/>
      </c>
      <c r="P1063" s="84">
        <f>IF($J1063="","",IF($L1063&lt;&gt;"",$L1063-$J1063,TODAY()-$J1063))</f>
        <v/>
      </c>
      <c r="Q1063" s="85">
        <f>IF(OR($K1063="",$H1063="Completed",$H1063="Cancelled"),"",IF(AND($K1063&lt;TODAY(),$H1063&lt;&gt;"Completed",$H1063&lt;&gt;"Cancelled"),"Overdue","On Track"))</f>
        <v/>
      </c>
      <c r="R1063" s="81" t="n"/>
      <c r="S1063" s="81">
        <f>IF($B1063="","",IFERROR(INDEX(Task_Tracker!$AA$5:$AA$1004,MATCH($B1063,Task_Tracker!$A$5:$A$1004,0)),""))</f>
        <v/>
      </c>
      <c r="T1063" s="81">
        <f>IF($B1063="","",IFERROR(INDEX(Task_Tracker!$AB$5:$AB$1004,MATCH($B1063,Task_Tracker!$A$5:$A$1004,0)),""))</f>
        <v/>
      </c>
      <c r="U1063" s="78">
        <f>IF($B1063="","",IFERROR(INDEX(Task_Tracker!$F$5:$F$1004,MATCH($B1063,Task_Tracker!$A$5:$A$1004,0)),""))</f>
        <v/>
      </c>
      <c r="V1063" s="78">
        <f>IF($B1063="","",IFERROR(INDEX(Task_Tracker!$I$5:$I$1004,MATCH($B1063,Task_Tracker!$A$5:$A$1004,0)),""))</f>
        <v/>
      </c>
      <c r="W1063" s="81">
        <f>IF(OR($D1063="",$B1063=""),"",$D1063&amp;" | "&amp;$B1063)</f>
        <v/>
      </c>
      <c r="X1063" s="85">
        <f>IF($K1063="","",TEXT($K1063,"yyyy-mm"))</f>
        <v/>
      </c>
      <c r="Y1063" s="81">
        <f>IF(OR($A1063="",$T1063=""),"","Included in Manager_Report")</f>
        <v/>
      </c>
    </row>
    <row r="1064" ht="15" customHeight="1" s="40">
      <c r="A1064" s="65">
        <f>IF(COUNTA(B1064:G1064)=0,"","STP-"&amp;TEXT(ROW()-4,"0000"))</f>
        <v/>
      </c>
      <c r="B1064" s="78" t="n"/>
      <c r="C1064" s="67">
        <f>IF($B1064="","",IFERROR(INDEX(Task_Tracker!$D$5:$D$1004,MATCH($B1064,Task_Tracker!$A$5:$A$1004,0)),""))</f>
        <v/>
      </c>
      <c r="D1064" s="67">
        <f>IF($B1064="","",IFERROR(INDEX(Task_Tracker!$B$5:$B$1004,MATCH($B1064,Task_Tracker!$A$5:$A$1004,0)),""))</f>
        <v/>
      </c>
      <c r="E1064" s="81" t="n"/>
      <c r="F1064" s="81" t="n"/>
      <c r="G1064" s="78" t="n"/>
      <c r="H1064" s="78" t="n"/>
      <c r="I1064" s="67">
        <f>IF($H1064="","",IFERROR(INDEX(Action_Status_Map!$B$5:$B$11,MATCH($H1064,Action_Status_Map!$A$5:$A$11,0)),""))</f>
        <v/>
      </c>
      <c r="J1064" s="82" t="n"/>
      <c r="K1064" s="82" t="n"/>
      <c r="L1064" s="82" t="n"/>
      <c r="M1064" s="83" t="n"/>
      <c r="N1064" s="83" t="n"/>
      <c r="O1064" s="66">
        <f>IF(OR($M1064="",$N1064=""),"",$N1064-$M1064)</f>
        <v/>
      </c>
      <c r="P1064" s="84">
        <f>IF($J1064="","",IF($L1064&lt;&gt;"",$L1064-$J1064,TODAY()-$J1064))</f>
        <v/>
      </c>
      <c r="Q1064" s="85">
        <f>IF(OR($K1064="",$H1064="Completed",$H1064="Cancelled"),"",IF(AND($K1064&lt;TODAY(),$H1064&lt;&gt;"Completed",$H1064&lt;&gt;"Cancelled"),"Overdue","On Track"))</f>
        <v/>
      </c>
      <c r="R1064" s="81" t="n"/>
      <c r="S1064" s="81">
        <f>IF($B1064="","",IFERROR(INDEX(Task_Tracker!$AA$5:$AA$1004,MATCH($B1064,Task_Tracker!$A$5:$A$1004,0)),""))</f>
        <v/>
      </c>
      <c r="T1064" s="81">
        <f>IF($B1064="","",IFERROR(INDEX(Task_Tracker!$AB$5:$AB$1004,MATCH($B1064,Task_Tracker!$A$5:$A$1004,0)),""))</f>
        <v/>
      </c>
      <c r="U1064" s="78">
        <f>IF($B1064="","",IFERROR(INDEX(Task_Tracker!$F$5:$F$1004,MATCH($B1064,Task_Tracker!$A$5:$A$1004,0)),""))</f>
        <v/>
      </c>
      <c r="V1064" s="78">
        <f>IF($B1064="","",IFERROR(INDEX(Task_Tracker!$I$5:$I$1004,MATCH($B1064,Task_Tracker!$A$5:$A$1004,0)),""))</f>
        <v/>
      </c>
      <c r="W1064" s="81">
        <f>IF(OR($D1064="",$B1064=""),"",$D1064&amp;" | "&amp;$B1064)</f>
        <v/>
      </c>
      <c r="X1064" s="85">
        <f>IF($K1064="","",TEXT($K1064,"yyyy-mm"))</f>
        <v/>
      </c>
      <c r="Y1064" s="81">
        <f>IF(OR($A1064="",$T1064=""),"","Included in Manager_Report")</f>
        <v/>
      </c>
    </row>
    <row r="1065" ht="15" customHeight="1" s="40">
      <c r="A1065" s="65">
        <f>IF(COUNTA(B1065:G1065)=0,"","STP-"&amp;TEXT(ROW()-4,"0000"))</f>
        <v/>
      </c>
      <c r="B1065" s="78" t="n"/>
      <c r="C1065" s="67">
        <f>IF($B1065="","",IFERROR(INDEX(Task_Tracker!$D$5:$D$1004,MATCH($B1065,Task_Tracker!$A$5:$A$1004,0)),""))</f>
        <v/>
      </c>
      <c r="D1065" s="67">
        <f>IF($B1065="","",IFERROR(INDEX(Task_Tracker!$B$5:$B$1004,MATCH($B1065,Task_Tracker!$A$5:$A$1004,0)),""))</f>
        <v/>
      </c>
      <c r="E1065" s="81" t="n"/>
      <c r="F1065" s="81" t="n"/>
      <c r="G1065" s="78" t="n"/>
      <c r="H1065" s="78" t="n"/>
      <c r="I1065" s="67">
        <f>IF($H1065="","",IFERROR(INDEX(Action_Status_Map!$B$5:$B$11,MATCH($H1065,Action_Status_Map!$A$5:$A$11,0)),""))</f>
        <v/>
      </c>
      <c r="J1065" s="82" t="n"/>
      <c r="K1065" s="82" t="n"/>
      <c r="L1065" s="82" t="n"/>
      <c r="M1065" s="83" t="n"/>
      <c r="N1065" s="83" t="n"/>
      <c r="O1065" s="66">
        <f>IF(OR($M1065="",$N1065=""),"",$N1065-$M1065)</f>
        <v/>
      </c>
      <c r="P1065" s="84">
        <f>IF($J1065="","",IF($L1065&lt;&gt;"",$L1065-$J1065,TODAY()-$J1065))</f>
        <v/>
      </c>
      <c r="Q1065" s="85">
        <f>IF(OR($K1065="",$H1065="Completed",$H1065="Cancelled"),"",IF(AND($K1065&lt;TODAY(),$H1065&lt;&gt;"Completed",$H1065&lt;&gt;"Cancelled"),"Overdue","On Track"))</f>
        <v/>
      </c>
      <c r="R1065" s="81" t="n"/>
      <c r="S1065" s="81">
        <f>IF($B1065="","",IFERROR(INDEX(Task_Tracker!$AA$5:$AA$1004,MATCH($B1065,Task_Tracker!$A$5:$A$1004,0)),""))</f>
        <v/>
      </c>
      <c r="T1065" s="81">
        <f>IF($B1065="","",IFERROR(INDEX(Task_Tracker!$AB$5:$AB$1004,MATCH($B1065,Task_Tracker!$A$5:$A$1004,0)),""))</f>
        <v/>
      </c>
      <c r="U1065" s="78">
        <f>IF($B1065="","",IFERROR(INDEX(Task_Tracker!$F$5:$F$1004,MATCH($B1065,Task_Tracker!$A$5:$A$1004,0)),""))</f>
        <v/>
      </c>
      <c r="V1065" s="78">
        <f>IF($B1065="","",IFERROR(INDEX(Task_Tracker!$I$5:$I$1004,MATCH($B1065,Task_Tracker!$A$5:$A$1004,0)),""))</f>
        <v/>
      </c>
      <c r="W1065" s="81">
        <f>IF(OR($D1065="",$B1065=""),"",$D1065&amp;" | "&amp;$B1065)</f>
        <v/>
      </c>
      <c r="X1065" s="85">
        <f>IF($K1065="","",TEXT($K1065,"yyyy-mm"))</f>
        <v/>
      </c>
      <c r="Y1065" s="81">
        <f>IF(OR($A1065="",$T1065=""),"","Included in Manager_Report")</f>
        <v/>
      </c>
    </row>
    <row r="1066" ht="15" customHeight="1" s="40">
      <c r="A1066" s="65">
        <f>IF(COUNTA(B1066:G1066)=0,"","STP-"&amp;TEXT(ROW()-4,"0000"))</f>
        <v/>
      </c>
      <c r="B1066" s="78" t="n"/>
      <c r="C1066" s="67">
        <f>IF($B1066="","",IFERROR(INDEX(Task_Tracker!$D$5:$D$1004,MATCH($B1066,Task_Tracker!$A$5:$A$1004,0)),""))</f>
        <v/>
      </c>
      <c r="D1066" s="67">
        <f>IF($B1066="","",IFERROR(INDEX(Task_Tracker!$B$5:$B$1004,MATCH($B1066,Task_Tracker!$A$5:$A$1004,0)),""))</f>
        <v/>
      </c>
      <c r="E1066" s="81" t="n"/>
      <c r="F1066" s="81" t="n"/>
      <c r="G1066" s="78" t="n"/>
      <c r="H1066" s="78" t="n"/>
      <c r="I1066" s="67">
        <f>IF($H1066="","",IFERROR(INDEX(Action_Status_Map!$B$5:$B$11,MATCH($H1066,Action_Status_Map!$A$5:$A$11,0)),""))</f>
        <v/>
      </c>
      <c r="J1066" s="82" t="n"/>
      <c r="K1066" s="82" t="n"/>
      <c r="L1066" s="82" t="n"/>
      <c r="M1066" s="83" t="n"/>
      <c r="N1066" s="83" t="n"/>
      <c r="O1066" s="66">
        <f>IF(OR($M1066="",$N1066=""),"",$N1066-$M1066)</f>
        <v/>
      </c>
      <c r="P1066" s="84">
        <f>IF($J1066="","",IF($L1066&lt;&gt;"",$L1066-$J1066,TODAY()-$J1066))</f>
        <v/>
      </c>
      <c r="Q1066" s="85">
        <f>IF(OR($K1066="",$H1066="Completed",$H1066="Cancelled"),"",IF(AND($K1066&lt;TODAY(),$H1066&lt;&gt;"Completed",$H1066&lt;&gt;"Cancelled"),"Overdue","On Track"))</f>
        <v/>
      </c>
      <c r="R1066" s="81" t="n"/>
      <c r="S1066" s="81">
        <f>IF($B1066="","",IFERROR(INDEX(Task_Tracker!$AA$5:$AA$1004,MATCH($B1066,Task_Tracker!$A$5:$A$1004,0)),""))</f>
        <v/>
      </c>
      <c r="T1066" s="81">
        <f>IF($B1066="","",IFERROR(INDEX(Task_Tracker!$AB$5:$AB$1004,MATCH($B1066,Task_Tracker!$A$5:$A$1004,0)),""))</f>
        <v/>
      </c>
      <c r="U1066" s="78">
        <f>IF($B1066="","",IFERROR(INDEX(Task_Tracker!$F$5:$F$1004,MATCH($B1066,Task_Tracker!$A$5:$A$1004,0)),""))</f>
        <v/>
      </c>
      <c r="V1066" s="78">
        <f>IF($B1066="","",IFERROR(INDEX(Task_Tracker!$I$5:$I$1004,MATCH($B1066,Task_Tracker!$A$5:$A$1004,0)),""))</f>
        <v/>
      </c>
      <c r="W1066" s="81">
        <f>IF(OR($D1066="",$B1066=""),"",$D1066&amp;" | "&amp;$B1066)</f>
        <v/>
      </c>
      <c r="X1066" s="85">
        <f>IF($K1066="","",TEXT($K1066,"yyyy-mm"))</f>
        <v/>
      </c>
      <c r="Y1066" s="81">
        <f>IF(OR($A1066="",$T1066=""),"","Included in Manager_Report")</f>
        <v/>
      </c>
    </row>
    <row r="1067" ht="15" customHeight="1" s="40">
      <c r="A1067" s="65">
        <f>IF(COUNTA(B1067:G1067)=0,"","STP-"&amp;TEXT(ROW()-4,"0000"))</f>
        <v/>
      </c>
      <c r="B1067" s="78" t="n"/>
      <c r="C1067" s="67">
        <f>IF($B1067="","",IFERROR(INDEX(Task_Tracker!$D$5:$D$1004,MATCH($B1067,Task_Tracker!$A$5:$A$1004,0)),""))</f>
        <v/>
      </c>
      <c r="D1067" s="67">
        <f>IF($B1067="","",IFERROR(INDEX(Task_Tracker!$B$5:$B$1004,MATCH($B1067,Task_Tracker!$A$5:$A$1004,0)),""))</f>
        <v/>
      </c>
      <c r="E1067" s="81" t="n"/>
      <c r="F1067" s="81" t="n"/>
      <c r="G1067" s="78" t="n"/>
      <c r="H1067" s="78" t="n"/>
      <c r="I1067" s="67">
        <f>IF($H1067="","",IFERROR(INDEX(Action_Status_Map!$B$5:$B$11,MATCH($H1067,Action_Status_Map!$A$5:$A$11,0)),""))</f>
        <v/>
      </c>
      <c r="J1067" s="82" t="n"/>
      <c r="K1067" s="82" t="n"/>
      <c r="L1067" s="82" t="n"/>
      <c r="M1067" s="83" t="n"/>
      <c r="N1067" s="83" t="n"/>
      <c r="O1067" s="66">
        <f>IF(OR($M1067="",$N1067=""),"",$N1067-$M1067)</f>
        <v/>
      </c>
      <c r="P1067" s="84">
        <f>IF($J1067="","",IF($L1067&lt;&gt;"",$L1067-$J1067,TODAY()-$J1067))</f>
        <v/>
      </c>
      <c r="Q1067" s="85">
        <f>IF(OR($K1067="",$H1067="Completed",$H1067="Cancelled"),"",IF(AND($K1067&lt;TODAY(),$H1067&lt;&gt;"Completed",$H1067&lt;&gt;"Cancelled"),"Overdue","On Track"))</f>
        <v/>
      </c>
      <c r="R1067" s="81" t="n"/>
      <c r="S1067" s="81">
        <f>IF($B1067="","",IFERROR(INDEX(Task_Tracker!$AA$5:$AA$1004,MATCH($B1067,Task_Tracker!$A$5:$A$1004,0)),""))</f>
        <v/>
      </c>
      <c r="T1067" s="81">
        <f>IF($B1067="","",IFERROR(INDEX(Task_Tracker!$AB$5:$AB$1004,MATCH($B1067,Task_Tracker!$A$5:$A$1004,0)),""))</f>
        <v/>
      </c>
      <c r="U1067" s="78">
        <f>IF($B1067="","",IFERROR(INDEX(Task_Tracker!$F$5:$F$1004,MATCH($B1067,Task_Tracker!$A$5:$A$1004,0)),""))</f>
        <v/>
      </c>
      <c r="V1067" s="78">
        <f>IF($B1067="","",IFERROR(INDEX(Task_Tracker!$I$5:$I$1004,MATCH($B1067,Task_Tracker!$A$5:$A$1004,0)),""))</f>
        <v/>
      </c>
      <c r="W1067" s="81">
        <f>IF(OR($D1067="",$B1067=""),"",$D1067&amp;" | "&amp;$B1067)</f>
        <v/>
      </c>
      <c r="X1067" s="85">
        <f>IF($K1067="","",TEXT($K1067,"yyyy-mm"))</f>
        <v/>
      </c>
      <c r="Y1067" s="81">
        <f>IF(OR($A1067="",$T1067=""),"","Included in Manager_Report")</f>
        <v/>
      </c>
    </row>
    <row r="1068" ht="15" customHeight="1" s="40">
      <c r="A1068" s="65">
        <f>IF(COUNTA(B1068:G1068)=0,"","STP-"&amp;TEXT(ROW()-4,"0000"))</f>
        <v/>
      </c>
      <c r="B1068" s="78" t="n"/>
      <c r="C1068" s="67">
        <f>IF($B1068="","",IFERROR(INDEX(Task_Tracker!$D$5:$D$1004,MATCH($B1068,Task_Tracker!$A$5:$A$1004,0)),""))</f>
        <v/>
      </c>
      <c r="D1068" s="67">
        <f>IF($B1068="","",IFERROR(INDEX(Task_Tracker!$B$5:$B$1004,MATCH($B1068,Task_Tracker!$A$5:$A$1004,0)),""))</f>
        <v/>
      </c>
      <c r="E1068" s="81" t="n"/>
      <c r="F1068" s="81" t="n"/>
      <c r="G1068" s="78" t="n"/>
      <c r="H1068" s="78" t="n"/>
      <c r="I1068" s="67">
        <f>IF($H1068="","",IFERROR(INDEX(Action_Status_Map!$B$5:$B$11,MATCH($H1068,Action_Status_Map!$A$5:$A$11,0)),""))</f>
        <v/>
      </c>
      <c r="J1068" s="82" t="n"/>
      <c r="K1068" s="82" t="n"/>
      <c r="L1068" s="82" t="n"/>
      <c r="M1068" s="83" t="n"/>
      <c r="N1068" s="83" t="n"/>
      <c r="O1068" s="66">
        <f>IF(OR($M1068="",$N1068=""),"",$N1068-$M1068)</f>
        <v/>
      </c>
      <c r="P1068" s="84">
        <f>IF($J1068="","",IF($L1068&lt;&gt;"",$L1068-$J1068,TODAY()-$J1068))</f>
        <v/>
      </c>
      <c r="Q1068" s="85">
        <f>IF(OR($K1068="",$H1068="Completed",$H1068="Cancelled"),"",IF(AND($K1068&lt;TODAY(),$H1068&lt;&gt;"Completed",$H1068&lt;&gt;"Cancelled"),"Overdue","On Track"))</f>
        <v/>
      </c>
      <c r="R1068" s="81" t="n"/>
      <c r="S1068" s="81">
        <f>IF($B1068="","",IFERROR(INDEX(Task_Tracker!$AA$5:$AA$1004,MATCH($B1068,Task_Tracker!$A$5:$A$1004,0)),""))</f>
        <v/>
      </c>
      <c r="T1068" s="81">
        <f>IF($B1068="","",IFERROR(INDEX(Task_Tracker!$AB$5:$AB$1004,MATCH($B1068,Task_Tracker!$A$5:$A$1004,0)),""))</f>
        <v/>
      </c>
      <c r="U1068" s="78">
        <f>IF($B1068="","",IFERROR(INDEX(Task_Tracker!$F$5:$F$1004,MATCH($B1068,Task_Tracker!$A$5:$A$1004,0)),""))</f>
        <v/>
      </c>
      <c r="V1068" s="78">
        <f>IF($B1068="","",IFERROR(INDEX(Task_Tracker!$I$5:$I$1004,MATCH($B1068,Task_Tracker!$A$5:$A$1004,0)),""))</f>
        <v/>
      </c>
      <c r="W1068" s="81">
        <f>IF(OR($D1068="",$B1068=""),"",$D1068&amp;" | "&amp;$B1068)</f>
        <v/>
      </c>
      <c r="X1068" s="85">
        <f>IF($K1068="","",TEXT($K1068,"yyyy-mm"))</f>
        <v/>
      </c>
      <c r="Y1068" s="81">
        <f>IF(OR($A1068="",$T1068=""),"","Included in Manager_Report")</f>
        <v/>
      </c>
    </row>
    <row r="1069" ht="15" customHeight="1" s="40">
      <c r="A1069" s="65">
        <f>IF(COUNTA(B1069:G1069)=0,"","STP-"&amp;TEXT(ROW()-4,"0000"))</f>
        <v/>
      </c>
      <c r="B1069" s="78" t="n"/>
      <c r="C1069" s="67">
        <f>IF($B1069="","",IFERROR(INDEX(Task_Tracker!$D$5:$D$1004,MATCH($B1069,Task_Tracker!$A$5:$A$1004,0)),""))</f>
        <v/>
      </c>
      <c r="D1069" s="67">
        <f>IF($B1069="","",IFERROR(INDEX(Task_Tracker!$B$5:$B$1004,MATCH($B1069,Task_Tracker!$A$5:$A$1004,0)),""))</f>
        <v/>
      </c>
      <c r="E1069" s="81" t="n"/>
      <c r="F1069" s="81" t="n"/>
      <c r="G1069" s="78" t="n"/>
      <c r="H1069" s="78" t="n"/>
      <c r="I1069" s="67">
        <f>IF($H1069="","",IFERROR(INDEX(Action_Status_Map!$B$5:$B$11,MATCH($H1069,Action_Status_Map!$A$5:$A$11,0)),""))</f>
        <v/>
      </c>
      <c r="J1069" s="82" t="n"/>
      <c r="K1069" s="82" t="n"/>
      <c r="L1069" s="82" t="n"/>
      <c r="M1069" s="83" t="n"/>
      <c r="N1069" s="83" t="n"/>
      <c r="O1069" s="66">
        <f>IF(OR($M1069="",$N1069=""),"",$N1069-$M1069)</f>
        <v/>
      </c>
      <c r="P1069" s="84">
        <f>IF($J1069="","",IF($L1069&lt;&gt;"",$L1069-$J1069,TODAY()-$J1069))</f>
        <v/>
      </c>
      <c r="Q1069" s="85">
        <f>IF(OR($K1069="",$H1069="Completed",$H1069="Cancelled"),"",IF(AND($K1069&lt;TODAY(),$H1069&lt;&gt;"Completed",$H1069&lt;&gt;"Cancelled"),"Overdue","On Track"))</f>
        <v/>
      </c>
      <c r="R1069" s="81" t="n"/>
      <c r="S1069" s="81">
        <f>IF($B1069="","",IFERROR(INDEX(Task_Tracker!$AA$5:$AA$1004,MATCH($B1069,Task_Tracker!$A$5:$A$1004,0)),""))</f>
        <v/>
      </c>
      <c r="T1069" s="81">
        <f>IF($B1069="","",IFERROR(INDEX(Task_Tracker!$AB$5:$AB$1004,MATCH($B1069,Task_Tracker!$A$5:$A$1004,0)),""))</f>
        <v/>
      </c>
      <c r="U1069" s="78">
        <f>IF($B1069="","",IFERROR(INDEX(Task_Tracker!$F$5:$F$1004,MATCH($B1069,Task_Tracker!$A$5:$A$1004,0)),""))</f>
        <v/>
      </c>
      <c r="V1069" s="78">
        <f>IF($B1069="","",IFERROR(INDEX(Task_Tracker!$I$5:$I$1004,MATCH($B1069,Task_Tracker!$A$5:$A$1004,0)),""))</f>
        <v/>
      </c>
      <c r="W1069" s="81">
        <f>IF(OR($D1069="",$B1069=""),"",$D1069&amp;" | "&amp;$B1069)</f>
        <v/>
      </c>
      <c r="X1069" s="85">
        <f>IF($K1069="","",TEXT($K1069,"yyyy-mm"))</f>
        <v/>
      </c>
      <c r="Y1069" s="81">
        <f>IF(OR($A1069="",$T1069=""),"","Included in Manager_Report")</f>
        <v/>
      </c>
    </row>
    <row r="1070" ht="15" customHeight="1" s="40">
      <c r="A1070" s="65">
        <f>IF(COUNTA(B1070:G1070)=0,"","STP-"&amp;TEXT(ROW()-4,"0000"))</f>
        <v/>
      </c>
      <c r="B1070" s="78" t="n"/>
      <c r="C1070" s="67">
        <f>IF($B1070="","",IFERROR(INDEX(Task_Tracker!$D$5:$D$1004,MATCH($B1070,Task_Tracker!$A$5:$A$1004,0)),""))</f>
        <v/>
      </c>
      <c r="D1070" s="67">
        <f>IF($B1070="","",IFERROR(INDEX(Task_Tracker!$B$5:$B$1004,MATCH($B1070,Task_Tracker!$A$5:$A$1004,0)),""))</f>
        <v/>
      </c>
      <c r="E1070" s="81" t="n"/>
      <c r="F1070" s="81" t="n"/>
      <c r="G1070" s="78" t="n"/>
      <c r="H1070" s="78" t="n"/>
      <c r="I1070" s="67">
        <f>IF($H1070="","",IFERROR(INDEX(Action_Status_Map!$B$5:$B$11,MATCH($H1070,Action_Status_Map!$A$5:$A$11,0)),""))</f>
        <v/>
      </c>
      <c r="J1070" s="82" t="n"/>
      <c r="K1070" s="82" t="n"/>
      <c r="L1070" s="82" t="n"/>
      <c r="M1070" s="83" t="n"/>
      <c r="N1070" s="83" t="n"/>
      <c r="O1070" s="66">
        <f>IF(OR($M1070="",$N1070=""),"",$N1070-$M1070)</f>
        <v/>
      </c>
      <c r="P1070" s="84">
        <f>IF($J1070="","",IF($L1070&lt;&gt;"",$L1070-$J1070,TODAY()-$J1070))</f>
        <v/>
      </c>
      <c r="Q1070" s="85">
        <f>IF(OR($K1070="",$H1070="Completed",$H1070="Cancelled"),"",IF(AND($K1070&lt;TODAY(),$H1070&lt;&gt;"Completed",$H1070&lt;&gt;"Cancelled"),"Overdue","On Track"))</f>
        <v/>
      </c>
      <c r="R1070" s="81" t="n"/>
      <c r="S1070" s="81">
        <f>IF($B1070="","",IFERROR(INDEX(Task_Tracker!$AA$5:$AA$1004,MATCH($B1070,Task_Tracker!$A$5:$A$1004,0)),""))</f>
        <v/>
      </c>
      <c r="T1070" s="81">
        <f>IF($B1070="","",IFERROR(INDEX(Task_Tracker!$AB$5:$AB$1004,MATCH($B1070,Task_Tracker!$A$5:$A$1004,0)),""))</f>
        <v/>
      </c>
      <c r="U1070" s="78">
        <f>IF($B1070="","",IFERROR(INDEX(Task_Tracker!$F$5:$F$1004,MATCH($B1070,Task_Tracker!$A$5:$A$1004,0)),""))</f>
        <v/>
      </c>
      <c r="V1070" s="78">
        <f>IF($B1070="","",IFERROR(INDEX(Task_Tracker!$I$5:$I$1004,MATCH($B1070,Task_Tracker!$A$5:$A$1004,0)),""))</f>
        <v/>
      </c>
      <c r="W1070" s="81">
        <f>IF(OR($D1070="",$B1070=""),"",$D1070&amp;" | "&amp;$B1070)</f>
        <v/>
      </c>
      <c r="X1070" s="85">
        <f>IF($K1070="","",TEXT($K1070,"yyyy-mm"))</f>
        <v/>
      </c>
      <c r="Y1070" s="81">
        <f>IF(OR($A1070="",$T1070=""),"","Included in Manager_Report")</f>
        <v/>
      </c>
    </row>
    <row r="1071" ht="15" customHeight="1" s="40">
      <c r="A1071" s="65">
        <f>IF(COUNTA(B1071:G1071)=0,"","STP-"&amp;TEXT(ROW()-4,"0000"))</f>
        <v/>
      </c>
      <c r="B1071" s="78" t="n"/>
      <c r="C1071" s="67">
        <f>IF($B1071="","",IFERROR(INDEX(Task_Tracker!$D$5:$D$1004,MATCH($B1071,Task_Tracker!$A$5:$A$1004,0)),""))</f>
        <v/>
      </c>
      <c r="D1071" s="67">
        <f>IF($B1071="","",IFERROR(INDEX(Task_Tracker!$B$5:$B$1004,MATCH($B1071,Task_Tracker!$A$5:$A$1004,0)),""))</f>
        <v/>
      </c>
      <c r="E1071" s="81" t="n"/>
      <c r="F1071" s="81" t="n"/>
      <c r="G1071" s="78" t="n"/>
      <c r="H1071" s="78" t="n"/>
      <c r="I1071" s="67">
        <f>IF($H1071="","",IFERROR(INDEX(Action_Status_Map!$B$5:$B$11,MATCH($H1071,Action_Status_Map!$A$5:$A$11,0)),""))</f>
        <v/>
      </c>
      <c r="J1071" s="82" t="n"/>
      <c r="K1071" s="82" t="n"/>
      <c r="L1071" s="82" t="n"/>
      <c r="M1071" s="83" t="n"/>
      <c r="N1071" s="83" t="n"/>
      <c r="O1071" s="66">
        <f>IF(OR($M1071="",$N1071=""),"",$N1071-$M1071)</f>
        <v/>
      </c>
      <c r="P1071" s="84">
        <f>IF($J1071="","",IF($L1071&lt;&gt;"",$L1071-$J1071,TODAY()-$J1071))</f>
        <v/>
      </c>
      <c r="Q1071" s="85">
        <f>IF(OR($K1071="",$H1071="Completed",$H1071="Cancelled"),"",IF(AND($K1071&lt;TODAY(),$H1071&lt;&gt;"Completed",$H1071&lt;&gt;"Cancelled"),"Overdue","On Track"))</f>
        <v/>
      </c>
      <c r="R1071" s="81" t="n"/>
      <c r="S1071" s="81">
        <f>IF($B1071="","",IFERROR(INDEX(Task_Tracker!$AA$5:$AA$1004,MATCH($B1071,Task_Tracker!$A$5:$A$1004,0)),""))</f>
        <v/>
      </c>
      <c r="T1071" s="81">
        <f>IF($B1071="","",IFERROR(INDEX(Task_Tracker!$AB$5:$AB$1004,MATCH($B1071,Task_Tracker!$A$5:$A$1004,0)),""))</f>
        <v/>
      </c>
      <c r="U1071" s="78">
        <f>IF($B1071="","",IFERROR(INDEX(Task_Tracker!$F$5:$F$1004,MATCH($B1071,Task_Tracker!$A$5:$A$1004,0)),""))</f>
        <v/>
      </c>
      <c r="V1071" s="78">
        <f>IF($B1071="","",IFERROR(INDEX(Task_Tracker!$I$5:$I$1004,MATCH($B1071,Task_Tracker!$A$5:$A$1004,0)),""))</f>
        <v/>
      </c>
      <c r="W1071" s="81">
        <f>IF(OR($D1071="",$B1071=""),"",$D1071&amp;" | "&amp;$B1071)</f>
        <v/>
      </c>
      <c r="X1071" s="85">
        <f>IF($K1071="","",TEXT($K1071,"yyyy-mm"))</f>
        <v/>
      </c>
      <c r="Y1071" s="81">
        <f>IF(OR($A1071="",$T1071=""),"","Included in Manager_Report")</f>
        <v/>
      </c>
    </row>
    <row r="1072" ht="15" customHeight="1" s="40">
      <c r="A1072" s="65">
        <f>IF(COUNTA(B1072:G1072)=0,"","STP-"&amp;TEXT(ROW()-4,"0000"))</f>
        <v/>
      </c>
      <c r="B1072" s="78" t="n"/>
      <c r="C1072" s="67">
        <f>IF($B1072="","",IFERROR(INDEX(Task_Tracker!$D$5:$D$1004,MATCH($B1072,Task_Tracker!$A$5:$A$1004,0)),""))</f>
        <v/>
      </c>
      <c r="D1072" s="67">
        <f>IF($B1072="","",IFERROR(INDEX(Task_Tracker!$B$5:$B$1004,MATCH($B1072,Task_Tracker!$A$5:$A$1004,0)),""))</f>
        <v/>
      </c>
      <c r="E1072" s="81" t="n"/>
      <c r="F1072" s="81" t="n"/>
      <c r="G1072" s="78" t="n"/>
      <c r="H1072" s="78" t="n"/>
      <c r="I1072" s="67">
        <f>IF($H1072="","",IFERROR(INDEX(Action_Status_Map!$B$5:$B$11,MATCH($H1072,Action_Status_Map!$A$5:$A$11,0)),""))</f>
        <v/>
      </c>
      <c r="J1072" s="82" t="n"/>
      <c r="K1072" s="82" t="n"/>
      <c r="L1072" s="82" t="n"/>
      <c r="M1072" s="83" t="n"/>
      <c r="N1072" s="83" t="n"/>
      <c r="O1072" s="66">
        <f>IF(OR($M1072="",$N1072=""),"",$N1072-$M1072)</f>
        <v/>
      </c>
      <c r="P1072" s="84">
        <f>IF($J1072="","",IF($L1072&lt;&gt;"",$L1072-$J1072,TODAY()-$J1072))</f>
        <v/>
      </c>
      <c r="Q1072" s="85">
        <f>IF(OR($K1072="",$H1072="Completed",$H1072="Cancelled"),"",IF(AND($K1072&lt;TODAY(),$H1072&lt;&gt;"Completed",$H1072&lt;&gt;"Cancelled"),"Overdue","On Track"))</f>
        <v/>
      </c>
      <c r="R1072" s="81" t="n"/>
      <c r="S1072" s="81">
        <f>IF($B1072="","",IFERROR(INDEX(Task_Tracker!$AA$5:$AA$1004,MATCH($B1072,Task_Tracker!$A$5:$A$1004,0)),""))</f>
        <v/>
      </c>
      <c r="T1072" s="81">
        <f>IF($B1072="","",IFERROR(INDEX(Task_Tracker!$AB$5:$AB$1004,MATCH($B1072,Task_Tracker!$A$5:$A$1004,0)),""))</f>
        <v/>
      </c>
      <c r="U1072" s="78">
        <f>IF($B1072="","",IFERROR(INDEX(Task_Tracker!$F$5:$F$1004,MATCH($B1072,Task_Tracker!$A$5:$A$1004,0)),""))</f>
        <v/>
      </c>
      <c r="V1072" s="78">
        <f>IF($B1072="","",IFERROR(INDEX(Task_Tracker!$I$5:$I$1004,MATCH($B1072,Task_Tracker!$A$5:$A$1004,0)),""))</f>
        <v/>
      </c>
      <c r="W1072" s="81">
        <f>IF(OR($D1072="",$B1072=""),"",$D1072&amp;" | "&amp;$B1072)</f>
        <v/>
      </c>
      <c r="X1072" s="85">
        <f>IF($K1072="","",TEXT($K1072,"yyyy-mm"))</f>
        <v/>
      </c>
      <c r="Y1072" s="81">
        <f>IF(OR($A1072="",$T1072=""),"","Included in Manager_Report")</f>
        <v/>
      </c>
    </row>
    <row r="1073" ht="15" customHeight="1" s="40">
      <c r="A1073" s="65">
        <f>IF(COUNTA(B1073:G1073)=0,"","STP-"&amp;TEXT(ROW()-4,"0000"))</f>
        <v/>
      </c>
      <c r="B1073" s="78" t="n"/>
      <c r="C1073" s="67">
        <f>IF($B1073="","",IFERROR(INDEX(Task_Tracker!$D$5:$D$1004,MATCH($B1073,Task_Tracker!$A$5:$A$1004,0)),""))</f>
        <v/>
      </c>
      <c r="D1073" s="67">
        <f>IF($B1073="","",IFERROR(INDEX(Task_Tracker!$B$5:$B$1004,MATCH($B1073,Task_Tracker!$A$5:$A$1004,0)),""))</f>
        <v/>
      </c>
      <c r="E1073" s="81" t="n"/>
      <c r="F1073" s="81" t="n"/>
      <c r="G1073" s="78" t="n"/>
      <c r="H1073" s="78" t="n"/>
      <c r="I1073" s="67">
        <f>IF($H1073="","",IFERROR(INDEX(Action_Status_Map!$B$5:$B$11,MATCH($H1073,Action_Status_Map!$A$5:$A$11,0)),""))</f>
        <v/>
      </c>
      <c r="J1073" s="82" t="n"/>
      <c r="K1073" s="82" t="n"/>
      <c r="L1073" s="82" t="n"/>
      <c r="M1073" s="83" t="n"/>
      <c r="N1073" s="83" t="n"/>
      <c r="O1073" s="66">
        <f>IF(OR($M1073="",$N1073=""),"",$N1073-$M1073)</f>
        <v/>
      </c>
      <c r="P1073" s="84">
        <f>IF($J1073="","",IF($L1073&lt;&gt;"",$L1073-$J1073,TODAY()-$J1073))</f>
        <v/>
      </c>
      <c r="Q1073" s="85">
        <f>IF(OR($K1073="",$H1073="Completed",$H1073="Cancelled"),"",IF(AND($K1073&lt;TODAY(),$H1073&lt;&gt;"Completed",$H1073&lt;&gt;"Cancelled"),"Overdue","On Track"))</f>
        <v/>
      </c>
      <c r="R1073" s="81" t="n"/>
      <c r="S1073" s="81">
        <f>IF($B1073="","",IFERROR(INDEX(Task_Tracker!$AA$5:$AA$1004,MATCH($B1073,Task_Tracker!$A$5:$A$1004,0)),""))</f>
        <v/>
      </c>
      <c r="T1073" s="81">
        <f>IF($B1073="","",IFERROR(INDEX(Task_Tracker!$AB$5:$AB$1004,MATCH($B1073,Task_Tracker!$A$5:$A$1004,0)),""))</f>
        <v/>
      </c>
      <c r="U1073" s="78">
        <f>IF($B1073="","",IFERROR(INDEX(Task_Tracker!$F$5:$F$1004,MATCH($B1073,Task_Tracker!$A$5:$A$1004,0)),""))</f>
        <v/>
      </c>
      <c r="V1073" s="78">
        <f>IF($B1073="","",IFERROR(INDEX(Task_Tracker!$I$5:$I$1004,MATCH($B1073,Task_Tracker!$A$5:$A$1004,0)),""))</f>
        <v/>
      </c>
      <c r="W1073" s="81">
        <f>IF(OR($D1073="",$B1073=""),"",$D1073&amp;" | "&amp;$B1073)</f>
        <v/>
      </c>
      <c r="X1073" s="85">
        <f>IF($K1073="","",TEXT($K1073,"yyyy-mm"))</f>
        <v/>
      </c>
      <c r="Y1073" s="81">
        <f>IF(OR($A1073="",$T1073=""),"","Included in Manager_Report")</f>
        <v/>
      </c>
    </row>
    <row r="1074" ht="15" customHeight="1" s="40">
      <c r="A1074" s="65">
        <f>IF(COUNTA(B1074:G1074)=0,"","STP-"&amp;TEXT(ROW()-4,"0000"))</f>
        <v/>
      </c>
      <c r="B1074" s="78" t="n"/>
      <c r="C1074" s="67">
        <f>IF($B1074="","",IFERROR(INDEX(Task_Tracker!$D$5:$D$1004,MATCH($B1074,Task_Tracker!$A$5:$A$1004,0)),""))</f>
        <v/>
      </c>
      <c r="D1074" s="67">
        <f>IF($B1074="","",IFERROR(INDEX(Task_Tracker!$B$5:$B$1004,MATCH($B1074,Task_Tracker!$A$5:$A$1004,0)),""))</f>
        <v/>
      </c>
      <c r="E1074" s="81" t="n"/>
      <c r="F1074" s="81" t="n"/>
      <c r="G1074" s="78" t="n"/>
      <c r="H1074" s="78" t="n"/>
      <c r="I1074" s="67">
        <f>IF($H1074="","",IFERROR(INDEX(Action_Status_Map!$B$5:$B$11,MATCH($H1074,Action_Status_Map!$A$5:$A$11,0)),""))</f>
        <v/>
      </c>
      <c r="J1074" s="82" t="n"/>
      <c r="K1074" s="82" t="n"/>
      <c r="L1074" s="82" t="n"/>
      <c r="M1074" s="83" t="n"/>
      <c r="N1074" s="83" t="n"/>
      <c r="O1074" s="66">
        <f>IF(OR($M1074="",$N1074=""),"",$N1074-$M1074)</f>
        <v/>
      </c>
      <c r="P1074" s="84">
        <f>IF($J1074="","",IF($L1074&lt;&gt;"",$L1074-$J1074,TODAY()-$J1074))</f>
        <v/>
      </c>
      <c r="Q1074" s="85">
        <f>IF(OR($K1074="",$H1074="Completed",$H1074="Cancelled"),"",IF(AND($K1074&lt;TODAY(),$H1074&lt;&gt;"Completed",$H1074&lt;&gt;"Cancelled"),"Overdue","On Track"))</f>
        <v/>
      </c>
      <c r="R1074" s="81" t="n"/>
      <c r="S1074" s="81">
        <f>IF($B1074="","",IFERROR(INDEX(Task_Tracker!$AA$5:$AA$1004,MATCH($B1074,Task_Tracker!$A$5:$A$1004,0)),""))</f>
        <v/>
      </c>
      <c r="T1074" s="81">
        <f>IF($B1074="","",IFERROR(INDEX(Task_Tracker!$AB$5:$AB$1004,MATCH($B1074,Task_Tracker!$A$5:$A$1004,0)),""))</f>
        <v/>
      </c>
      <c r="U1074" s="78">
        <f>IF($B1074="","",IFERROR(INDEX(Task_Tracker!$F$5:$F$1004,MATCH($B1074,Task_Tracker!$A$5:$A$1004,0)),""))</f>
        <v/>
      </c>
      <c r="V1074" s="78">
        <f>IF($B1074="","",IFERROR(INDEX(Task_Tracker!$I$5:$I$1004,MATCH($B1074,Task_Tracker!$A$5:$A$1004,0)),""))</f>
        <v/>
      </c>
      <c r="W1074" s="81">
        <f>IF(OR($D1074="",$B1074=""),"",$D1074&amp;" | "&amp;$B1074)</f>
        <v/>
      </c>
      <c r="X1074" s="85">
        <f>IF($K1074="","",TEXT($K1074,"yyyy-mm"))</f>
        <v/>
      </c>
      <c r="Y1074" s="81">
        <f>IF(OR($A1074="",$T1074=""),"","Included in Manager_Report")</f>
        <v/>
      </c>
    </row>
    <row r="1075" ht="15" customHeight="1" s="40">
      <c r="A1075" s="65">
        <f>IF(COUNTA(B1075:G1075)=0,"","STP-"&amp;TEXT(ROW()-4,"0000"))</f>
        <v/>
      </c>
      <c r="B1075" s="78" t="n"/>
      <c r="C1075" s="67">
        <f>IF($B1075="","",IFERROR(INDEX(Task_Tracker!$D$5:$D$1004,MATCH($B1075,Task_Tracker!$A$5:$A$1004,0)),""))</f>
        <v/>
      </c>
      <c r="D1075" s="67">
        <f>IF($B1075="","",IFERROR(INDEX(Task_Tracker!$B$5:$B$1004,MATCH($B1075,Task_Tracker!$A$5:$A$1004,0)),""))</f>
        <v/>
      </c>
      <c r="E1075" s="81" t="n"/>
      <c r="F1075" s="81" t="n"/>
      <c r="G1075" s="78" t="n"/>
      <c r="H1075" s="78" t="n"/>
      <c r="I1075" s="67">
        <f>IF($H1075="","",IFERROR(INDEX(Action_Status_Map!$B$5:$B$11,MATCH($H1075,Action_Status_Map!$A$5:$A$11,0)),""))</f>
        <v/>
      </c>
      <c r="J1075" s="82" t="n"/>
      <c r="K1075" s="82" t="n"/>
      <c r="L1075" s="82" t="n"/>
      <c r="M1075" s="83" t="n"/>
      <c r="N1075" s="83" t="n"/>
      <c r="O1075" s="66">
        <f>IF(OR($M1075="",$N1075=""),"",$N1075-$M1075)</f>
        <v/>
      </c>
      <c r="P1075" s="84">
        <f>IF($J1075="","",IF($L1075&lt;&gt;"",$L1075-$J1075,TODAY()-$J1075))</f>
        <v/>
      </c>
      <c r="Q1075" s="85">
        <f>IF(OR($K1075="",$H1075="Completed",$H1075="Cancelled"),"",IF(AND($K1075&lt;TODAY(),$H1075&lt;&gt;"Completed",$H1075&lt;&gt;"Cancelled"),"Overdue","On Track"))</f>
        <v/>
      </c>
      <c r="R1075" s="81" t="n"/>
      <c r="S1075" s="81">
        <f>IF($B1075="","",IFERROR(INDEX(Task_Tracker!$AA$5:$AA$1004,MATCH($B1075,Task_Tracker!$A$5:$A$1004,0)),""))</f>
        <v/>
      </c>
      <c r="T1075" s="81">
        <f>IF($B1075="","",IFERROR(INDEX(Task_Tracker!$AB$5:$AB$1004,MATCH($B1075,Task_Tracker!$A$5:$A$1004,0)),""))</f>
        <v/>
      </c>
      <c r="U1075" s="78">
        <f>IF($B1075="","",IFERROR(INDEX(Task_Tracker!$F$5:$F$1004,MATCH($B1075,Task_Tracker!$A$5:$A$1004,0)),""))</f>
        <v/>
      </c>
      <c r="V1075" s="78">
        <f>IF($B1075="","",IFERROR(INDEX(Task_Tracker!$I$5:$I$1004,MATCH($B1075,Task_Tracker!$A$5:$A$1004,0)),""))</f>
        <v/>
      </c>
      <c r="W1075" s="81">
        <f>IF(OR($D1075="",$B1075=""),"",$D1075&amp;" | "&amp;$B1075)</f>
        <v/>
      </c>
      <c r="X1075" s="85">
        <f>IF($K1075="","",TEXT($K1075,"yyyy-mm"))</f>
        <v/>
      </c>
      <c r="Y1075" s="81">
        <f>IF(OR($A1075="",$T1075=""),"","Included in Manager_Report")</f>
        <v/>
      </c>
    </row>
    <row r="1076" ht="15" customHeight="1" s="40">
      <c r="A1076" s="65">
        <f>IF(COUNTA(B1076:G1076)=0,"","STP-"&amp;TEXT(ROW()-4,"0000"))</f>
        <v/>
      </c>
      <c r="B1076" s="78" t="n"/>
      <c r="C1076" s="67">
        <f>IF($B1076="","",IFERROR(INDEX(Task_Tracker!$D$5:$D$1004,MATCH($B1076,Task_Tracker!$A$5:$A$1004,0)),""))</f>
        <v/>
      </c>
      <c r="D1076" s="67">
        <f>IF($B1076="","",IFERROR(INDEX(Task_Tracker!$B$5:$B$1004,MATCH($B1076,Task_Tracker!$A$5:$A$1004,0)),""))</f>
        <v/>
      </c>
      <c r="E1076" s="81" t="n"/>
      <c r="F1076" s="81" t="n"/>
      <c r="G1076" s="78" t="n"/>
      <c r="H1076" s="78" t="n"/>
      <c r="I1076" s="67">
        <f>IF($H1076="","",IFERROR(INDEX(Action_Status_Map!$B$5:$B$11,MATCH($H1076,Action_Status_Map!$A$5:$A$11,0)),""))</f>
        <v/>
      </c>
      <c r="J1076" s="82" t="n"/>
      <c r="K1076" s="82" t="n"/>
      <c r="L1076" s="82" t="n"/>
      <c r="M1076" s="83" t="n"/>
      <c r="N1076" s="83" t="n"/>
      <c r="O1076" s="66">
        <f>IF(OR($M1076="",$N1076=""),"",$N1076-$M1076)</f>
        <v/>
      </c>
      <c r="P1076" s="84">
        <f>IF($J1076="","",IF($L1076&lt;&gt;"",$L1076-$J1076,TODAY()-$J1076))</f>
        <v/>
      </c>
      <c r="Q1076" s="85">
        <f>IF(OR($K1076="",$H1076="Completed",$H1076="Cancelled"),"",IF(AND($K1076&lt;TODAY(),$H1076&lt;&gt;"Completed",$H1076&lt;&gt;"Cancelled"),"Overdue","On Track"))</f>
        <v/>
      </c>
      <c r="R1076" s="81" t="n"/>
      <c r="S1076" s="81">
        <f>IF($B1076="","",IFERROR(INDEX(Task_Tracker!$AA$5:$AA$1004,MATCH($B1076,Task_Tracker!$A$5:$A$1004,0)),""))</f>
        <v/>
      </c>
      <c r="T1076" s="81">
        <f>IF($B1076="","",IFERROR(INDEX(Task_Tracker!$AB$5:$AB$1004,MATCH($B1076,Task_Tracker!$A$5:$A$1004,0)),""))</f>
        <v/>
      </c>
      <c r="U1076" s="78">
        <f>IF($B1076="","",IFERROR(INDEX(Task_Tracker!$F$5:$F$1004,MATCH($B1076,Task_Tracker!$A$5:$A$1004,0)),""))</f>
        <v/>
      </c>
      <c r="V1076" s="78">
        <f>IF($B1076="","",IFERROR(INDEX(Task_Tracker!$I$5:$I$1004,MATCH($B1076,Task_Tracker!$A$5:$A$1004,0)),""))</f>
        <v/>
      </c>
      <c r="W1076" s="81">
        <f>IF(OR($D1076="",$B1076=""),"",$D1076&amp;" | "&amp;$B1076)</f>
        <v/>
      </c>
      <c r="X1076" s="85">
        <f>IF($K1076="","",TEXT($K1076,"yyyy-mm"))</f>
        <v/>
      </c>
      <c r="Y1076" s="81">
        <f>IF(OR($A1076="",$T1076=""),"","Included in Manager_Report")</f>
        <v/>
      </c>
    </row>
    <row r="1077" ht="15" customHeight="1" s="40">
      <c r="A1077" s="65">
        <f>IF(COUNTA(B1077:G1077)=0,"","STP-"&amp;TEXT(ROW()-4,"0000"))</f>
        <v/>
      </c>
      <c r="B1077" s="78" t="n"/>
      <c r="C1077" s="67">
        <f>IF($B1077="","",IFERROR(INDEX(Task_Tracker!$D$5:$D$1004,MATCH($B1077,Task_Tracker!$A$5:$A$1004,0)),""))</f>
        <v/>
      </c>
      <c r="D1077" s="67">
        <f>IF($B1077="","",IFERROR(INDEX(Task_Tracker!$B$5:$B$1004,MATCH($B1077,Task_Tracker!$A$5:$A$1004,0)),""))</f>
        <v/>
      </c>
      <c r="E1077" s="81" t="n"/>
      <c r="F1077" s="81" t="n"/>
      <c r="G1077" s="78" t="n"/>
      <c r="H1077" s="78" t="n"/>
      <c r="I1077" s="67">
        <f>IF($H1077="","",IFERROR(INDEX(Action_Status_Map!$B$5:$B$11,MATCH($H1077,Action_Status_Map!$A$5:$A$11,0)),""))</f>
        <v/>
      </c>
      <c r="J1077" s="82" t="n"/>
      <c r="K1077" s="82" t="n"/>
      <c r="L1077" s="82" t="n"/>
      <c r="M1077" s="83" t="n"/>
      <c r="N1077" s="83" t="n"/>
      <c r="O1077" s="66">
        <f>IF(OR($M1077="",$N1077=""),"",$N1077-$M1077)</f>
        <v/>
      </c>
      <c r="P1077" s="84">
        <f>IF($J1077="","",IF($L1077&lt;&gt;"",$L1077-$J1077,TODAY()-$J1077))</f>
        <v/>
      </c>
      <c r="Q1077" s="85">
        <f>IF(OR($K1077="",$H1077="Completed",$H1077="Cancelled"),"",IF(AND($K1077&lt;TODAY(),$H1077&lt;&gt;"Completed",$H1077&lt;&gt;"Cancelled"),"Overdue","On Track"))</f>
        <v/>
      </c>
      <c r="R1077" s="81" t="n"/>
      <c r="S1077" s="81">
        <f>IF($B1077="","",IFERROR(INDEX(Task_Tracker!$AA$5:$AA$1004,MATCH($B1077,Task_Tracker!$A$5:$A$1004,0)),""))</f>
        <v/>
      </c>
      <c r="T1077" s="81">
        <f>IF($B1077="","",IFERROR(INDEX(Task_Tracker!$AB$5:$AB$1004,MATCH($B1077,Task_Tracker!$A$5:$A$1004,0)),""))</f>
        <v/>
      </c>
      <c r="U1077" s="78">
        <f>IF($B1077="","",IFERROR(INDEX(Task_Tracker!$F$5:$F$1004,MATCH($B1077,Task_Tracker!$A$5:$A$1004,0)),""))</f>
        <v/>
      </c>
      <c r="V1077" s="78">
        <f>IF($B1077="","",IFERROR(INDEX(Task_Tracker!$I$5:$I$1004,MATCH($B1077,Task_Tracker!$A$5:$A$1004,0)),""))</f>
        <v/>
      </c>
      <c r="W1077" s="81">
        <f>IF(OR($D1077="",$B1077=""),"",$D1077&amp;" | "&amp;$B1077)</f>
        <v/>
      </c>
      <c r="X1077" s="85">
        <f>IF($K1077="","",TEXT($K1077,"yyyy-mm"))</f>
        <v/>
      </c>
      <c r="Y1077" s="81">
        <f>IF(OR($A1077="",$T1077=""),"","Included in Manager_Report")</f>
        <v/>
      </c>
    </row>
    <row r="1078" ht="15" customHeight="1" s="40">
      <c r="A1078" s="65">
        <f>IF(COUNTA(B1078:G1078)=0,"","STP-"&amp;TEXT(ROW()-4,"0000"))</f>
        <v/>
      </c>
      <c r="B1078" s="78" t="n"/>
      <c r="C1078" s="67">
        <f>IF($B1078="","",IFERROR(INDEX(Task_Tracker!$D$5:$D$1004,MATCH($B1078,Task_Tracker!$A$5:$A$1004,0)),""))</f>
        <v/>
      </c>
      <c r="D1078" s="67">
        <f>IF($B1078="","",IFERROR(INDEX(Task_Tracker!$B$5:$B$1004,MATCH($B1078,Task_Tracker!$A$5:$A$1004,0)),""))</f>
        <v/>
      </c>
      <c r="E1078" s="81" t="n"/>
      <c r="F1078" s="81" t="n"/>
      <c r="G1078" s="78" t="n"/>
      <c r="H1078" s="78" t="n"/>
      <c r="I1078" s="67">
        <f>IF($H1078="","",IFERROR(INDEX(Action_Status_Map!$B$5:$B$11,MATCH($H1078,Action_Status_Map!$A$5:$A$11,0)),""))</f>
        <v/>
      </c>
      <c r="J1078" s="82" t="n"/>
      <c r="K1078" s="82" t="n"/>
      <c r="L1078" s="82" t="n"/>
      <c r="M1078" s="83" t="n"/>
      <c r="N1078" s="83" t="n"/>
      <c r="O1078" s="66">
        <f>IF(OR($M1078="",$N1078=""),"",$N1078-$M1078)</f>
        <v/>
      </c>
      <c r="P1078" s="84">
        <f>IF($J1078="","",IF($L1078&lt;&gt;"",$L1078-$J1078,TODAY()-$J1078))</f>
        <v/>
      </c>
      <c r="Q1078" s="85">
        <f>IF(OR($K1078="",$H1078="Completed",$H1078="Cancelled"),"",IF(AND($K1078&lt;TODAY(),$H1078&lt;&gt;"Completed",$H1078&lt;&gt;"Cancelled"),"Overdue","On Track"))</f>
        <v/>
      </c>
      <c r="R1078" s="81" t="n"/>
      <c r="S1078" s="81">
        <f>IF($B1078="","",IFERROR(INDEX(Task_Tracker!$AA$5:$AA$1004,MATCH($B1078,Task_Tracker!$A$5:$A$1004,0)),""))</f>
        <v/>
      </c>
      <c r="T1078" s="81">
        <f>IF($B1078="","",IFERROR(INDEX(Task_Tracker!$AB$5:$AB$1004,MATCH($B1078,Task_Tracker!$A$5:$A$1004,0)),""))</f>
        <v/>
      </c>
      <c r="U1078" s="78">
        <f>IF($B1078="","",IFERROR(INDEX(Task_Tracker!$F$5:$F$1004,MATCH($B1078,Task_Tracker!$A$5:$A$1004,0)),""))</f>
        <v/>
      </c>
      <c r="V1078" s="78">
        <f>IF($B1078="","",IFERROR(INDEX(Task_Tracker!$I$5:$I$1004,MATCH($B1078,Task_Tracker!$A$5:$A$1004,0)),""))</f>
        <v/>
      </c>
      <c r="W1078" s="81">
        <f>IF(OR($D1078="",$B1078=""),"",$D1078&amp;" | "&amp;$B1078)</f>
        <v/>
      </c>
      <c r="X1078" s="85">
        <f>IF($K1078="","",TEXT($K1078,"yyyy-mm"))</f>
        <v/>
      </c>
      <c r="Y1078" s="81">
        <f>IF(OR($A1078="",$T1078=""),"","Included in Manager_Report")</f>
        <v/>
      </c>
    </row>
    <row r="1079" ht="15" customHeight="1" s="40">
      <c r="A1079" s="65">
        <f>IF(COUNTA(B1079:G1079)=0,"","STP-"&amp;TEXT(ROW()-4,"0000"))</f>
        <v/>
      </c>
      <c r="B1079" s="78" t="n"/>
      <c r="C1079" s="67">
        <f>IF($B1079="","",IFERROR(INDEX(Task_Tracker!$D$5:$D$1004,MATCH($B1079,Task_Tracker!$A$5:$A$1004,0)),""))</f>
        <v/>
      </c>
      <c r="D1079" s="67">
        <f>IF($B1079="","",IFERROR(INDEX(Task_Tracker!$B$5:$B$1004,MATCH($B1079,Task_Tracker!$A$5:$A$1004,0)),""))</f>
        <v/>
      </c>
      <c r="E1079" s="81" t="n"/>
      <c r="F1079" s="81" t="n"/>
      <c r="G1079" s="78" t="n"/>
      <c r="H1079" s="78" t="n"/>
      <c r="I1079" s="67">
        <f>IF($H1079="","",IFERROR(INDEX(Action_Status_Map!$B$5:$B$11,MATCH($H1079,Action_Status_Map!$A$5:$A$11,0)),""))</f>
        <v/>
      </c>
      <c r="J1079" s="82" t="n"/>
      <c r="K1079" s="82" t="n"/>
      <c r="L1079" s="82" t="n"/>
      <c r="M1079" s="83" t="n"/>
      <c r="N1079" s="83" t="n"/>
      <c r="O1079" s="66">
        <f>IF(OR($M1079="",$N1079=""),"",$N1079-$M1079)</f>
        <v/>
      </c>
      <c r="P1079" s="84">
        <f>IF($J1079="","",IF($L1079&lt;&gt;"",$L1079-$J1079,TODAY()-$J1079))</f>
        <v/>
      </c>
      <c r="Q1079" s="85">
        <f>IF(OR($K1079="",$H1079="Completed",$H1079="Cancelled"),"",IF(AND($K1079&lt;TODAY(),$H1079&lt;&gt;"Completed",$H1079&lt;&gt;"Cancelled"),"Overdue","On Track"))</f>
        <v/>
      </c>
      <c r="R1079" s="81" t="n"/>
      <c r="S1079" s="81">
        <f>IF($B1079="","",IFERROR(INDEX(Task_Tracker!$AA$5:$AA$1004,MATCH($B1079,Task_Tracker!$A$5:$A$1004,0)),""))</f>
        <v/>
      </c>
      <c r="T1079" s="81">
        <f>IF($B1079="","",IFERROR(INDEX(Task_Tracker!$AB$5:$AB$1004,MATCH($B1079,Task_Tracker!$A$5:$A$1004,0)),""))</f>
        <v/>
      </c>
      <c r="U1079" s="78">
        <f>IF($B1079="","",IFERROR(INDEX(Task_Tracker!$F$5:$F$1004,MATCH($B1079,Task_Tracker!$A$5:$A$1004,0)),""))</f>
        <v/>
      </c>
      <c r="V1079" s="78">
        <f>IF($B1079="","",IFERROR(INDEX(Task_Tracker!$I$5:$I$1004,MATCH($B1079,Task_Tracker!$A$5:$A$1004,0)),""))</f>
        <v/>
      </c>
      <c r="W1079" s="81">
        <f>IF(OR($D1079="",$B1079=""),"",$D1079&amp;" | "&amp;$B1079)</f>
        <v/>
      </c>
      <c r="X1079" s="85">
        <f>IF($K1079="","",TEXT($K1079,"yyyy-mm"))</f>
        <v/>
      </c>
      <c r="Y1079" s="81">
        <f>IF(OR($A1079="",$T1079=""),"","Included in Manager_Report")</f>
        <v/>
      </c>
    </row>
    <row r="1080" ht="15" customHeight="1" s="40">
      <c r="A1080" s="65">
        <f>IF(COUNTA(B1080:G1080)=0,"","STP-"&amp;TEXT(ROW()-4,"0000"))</f>
        <v/>
      </c>
      <c r="B1080" s="78" t="n"/>
      <c r="C1080" s="67">
        <f>IF($B1080="","",IFERROR(INDEX(Task_Tracker!$D$5:$D$1004,MATCH($B1080,Task_Tracker!$A$5:$A$1004,0)),""))</f>
        <v/>
      </c>
      <c r="D1080" s="67">
        <f>IF($B1080="","",IFERROR(INDEX(Task_Tracker!$B$5:$B$1004,MATCH($B1080,Task_Tracker!$A$5:$A$1004,0)),""))</f>
        <v/>
      </c>
      <c r="E1080" s="81" t="n"/>
      <c r="F1080" s="81" t="n"/>
      <c r="G1080" s="78" t="n"/>
      <c r="H1080" s="78" t="n"/>
      <c r="I1080" s="67">
        <f>IF($H1080="","",IFERROR(INDEX(Action_Status_Map!$B$5:$B$11,MATCH($H1080,Action_Status_Map!$A$5:$A$11,0)),""))</f>
        <v/>
      </c>
      <c r="J1080" s="82" t="n"/>
      <c r="K1080" s="82" t="n"/>
      <c r="L1080" s="82" t="n"/>
      <c r="M1080" s="83" t="n"/>
      <c r="N1080" s="83" t="n"/>
      <c r="O1080" s="66">
        <f>IF(OR($M1080="",$N1080=""),"",$N1080-$M1080)</f>
        <v/>
      </c>
      <c r="P1080" s="84">
        <f>IF($J1080="","",IF($L1080&lt;&gt;"",$L1080-$J1080,TODAY()-$J1080))</f>
        <v/>
      </c>
      <c r="Q1080" s="85">
        <f>IF(OR($K1080="",$H1080="Completed",$H1080="Cancelled"),"",IF(AND($K1080&lt;TODAY(),$H1080&lt;&gt;"Completed",$H1080&lt;&gt;"Cancelled"),"Overdue","On Track"))</f>
        <v/>
      </c>
      <c r="R1080" s="81" t="n"/>
      <c r="S1080" s="81">
        <f>IF($B1080="","",IFERROR(INDEX(Task_Tracker!$AA$5:$AA$1004,MATCH($B1080,Task_Tracker!$A$5:$A$1004,0)),""))</f>
        <v/>
      </c>
      <c r="T1080" s="81">
        <f>IF($B1080="","",IFERROR(INDEX(Task_Tracker!$AB$5:$AB$1004,MATCH($B1080,Task_Tracker!$A$5:$A$1004,0)),""))</f>
        <v/>
      </c>
      <c r="U1080" s="78">
        <f>IF($B1080="","",IFERROR(INDEX(Task_Tracker!$F$5:$F$1004,MATCH($B1080,Task_Tracker!$A$5:$A$1004,0)),""))</f>
        <v/>
      </c>
      <c r="V1080" s="78">
        <f>IF($B1080="","",IFERROR(INDEX(Task_Tracker!$I$5:$I$1004,MATCH($B1080,Task_Tracker!$A$5:$A$1004,0)),""))</f>
        <v/>
      </c>
      <c r="W1080" s="81">
        <f>IF(OR($D1080="",$B1080=""),"",$D1080&amp;" | "&amp;$B1080)</f>
        <v/>
      </c>
      <c r="X1080" s="85">
        <f>IF($K1080="","",TEXT($K1080,"yyyy-mm"))</f>
        <v/>
      </c>
      <c r="Y1080" s="81">
        <f>IF(OR($A1080="",$T1080=""),"","Included in Manager_Report")</f>
        <v/>
      </c>
    </row>
    <row r="1081" ht="15" customHeight="1" s="40">
      <c r="A1081" s="65">
        <f>IF(COUNTA(B1081:G1081)=0,"","STP-"&amp;TEXT(ROW()-4,"0000"))</f>
        <v/>
      </c>
      <c r="B1081" s="78" t="n"/>
      <c r="C1081" s="67">
        <f>IF($B1081="","",IFERROR(INDEX(Task_Tracker!$D$5:$D$1004,MATCH($B1081,Task_Tracker!$A$5:$A$1004,0)),""))</f>
        <v/>
      </c>
      <c r="D1081" s="67">
        <f>IF($B1081="","",IFERROR(INDEX(Task_Tracker!$B$5:$B$1004,MATCH($B1081,Task_Tracker!$A$5:$A$1004,0)),""))</f>
        <v/>
      </c>
      <c r="E1081" s="81" t="n"/>
      <c r="F1081" s="81" t="n"/>
      <c r="G1081" s="78" t="n"/>
      <c r="H1081" s="78" t="n"/>
      <c r="I1081" s="67">
        <f>IF($H1081="","",IFERROR(INDEX(Action_Status_Map!$B$5:$B$11,MATCH($H1081,Action_Status_Map!$A$5:$A$11,0)),""))</f>
        <v/>
      </c>
      <c r="J1081" s="82" t="n"/>
      <c r="K1081" s="82" t="n"/>
      <c r="L1081" s="82" t="n"/>
      <c r="M1081" s="83" t="n"/>
      <c r="N1081" s="83" t="n"/>
      <c r="O1081" s="66">
        <f>IF(OR($M1081="",$N1081=""),"",$N1081-$M1081)</f>
        <v/>
      </c>
      <c r="P1081" s="84">
        <f>IF($J1081="","",IF($L1081&lt;&gt;"",$L1081-$J1081,TODAY()-$J1081))</f>
        <v/>
      </c>
      <c r="Q1081" s="85">
        <f>IF(OR($K1081="",$H1081="Completed",$H1081="Cancelled"),"",IF(AND($K1081&lt;TODAY(),$H1081&lt;&gt;"Completed",$H1081&lt;&gt;"Cancelled"),"Overdue","On Track"))</f>
        <v/>
      </c>
      <c r="R1081" s="81" t="n"/>
      <c r="S1081" s="81">
        <f>IF($B1081="","",IFERROR(INDEX(Task_Tracker!$AA$5:$AA$1004,MATCH($B1081,Task_Tracker!$A$5:$A$1004,0)),""))</f>
        <v/>
      </c>
      <c r="T1081" s="81">
        <f>IF($B1081="","",IFERROR(INDEX(Task_Tracker!$AB$5:$AB$1004,MATCH($B1081,Task_Tracker!$A$5:$A$1004,0)),""))</f>
        <v/>
      </c>
      <c r="U1081" s="78">
        <f>IF($B1081="","",IFERROR(INDEX(Task_Tracker!$F$5:$F$1004,MATCH($B1081,Task_Tracker!$A$5:$A$1004,0)),""))</f>
        <v/>
      </c>
      <c r="V1081" s="78">
        <f>IF($B1081="","",IFERROR(INDEX(Task_Tracker!$I$5:$I$1004,MATCH($B1081,Task_Tracker!$A$5:$A$1004,0)),""))</f>
        <v/>
      </c>
      <c r="W1081" s="81">
        <f>IF(OR($D1081="",$B1081=""),"",$D1081&amp;" | "&amp;$B1081)</f>
        <v/>
      </c>
      <c r="X1081" s="85">
        <f>IF($K1081="","",TEXT($K1081,"yyyy-mm"))</f>
        <v/>
      </c>
      <c r="Y1081" s="81">
        <f>IF(OR($A1081="",$T1081=""),"","Included in Manager_Report")</f>
        <v/>
      </c>
    </row>
    <row r="1082" ht="15" customHeight="1" s="40">
      <c r="A1082" s="65">
        <f>IF(COUNTA(B1082:G1082)=0,"","STP-"&amp;TEXT(ROW()-4,"0000"))</f>
        <v/>
      </c>
      <c r="B1082" s="78" t="n"/>
      <c r="C1082" s="67">
        <f>IF($B1082="","",IFERROR(INDEX(Task_Tracker!$D$5:$D$1004,MATCH($B1082,Task_Tracker!$A$5:$A$1004,0)),""))</f>
        <v/>
      </c>
      <c r="D1082" s="67">
        <f>IF($B1082="","",IFERROR(INDEX(Task_Tracker!$B$5:$B$1004,MATCH($B1082,Task_Tracker!$A$5:$A$1004,0)),""))</f>
        <v/>
      </c>
      <c r="E1082" s="81" t="n"/>
      <c r="F1082" s="81" t="n"/>
      <c r="G1082" s="78" t="n"/>
      <c r="H1082" s="78" t="n"/>
      <c r="I1082" s="67">
        <f>IF($H1082="","",IFERROR(INDEX(Action_Status_Map!$B$5:$B$11,MATCH($H1082,Action_Status_Map!$A$5:$A$11,0)),""))</f>
        <v/>
      </c>
      <c r="J1082" s="82" t="n"/>
      <c r="K1082" s="82" t="n"/>
      <c r="L1082" s="82" t="n"/>
      <c r="M1082" s="83" t="n"/>
      <c r="N1082" s="83" t="n"/>
      <c r="O1082" s="66">
        <f>IF(OR($M1082="",$N1082=""),"",$N1082-$M1082)</f>
        <v/>
      </c>
      <c r="P1082" s="84">
        <f>IF($J1082="","",IF($L1082&lt;&gt;"",$L1082-$J1082,TODAY()-$J1082))</f>
        <v/>
      </c>
      <c r="Q1082" s="85">
        <f>IF(OR($K1082="",$H1082="Completed",$H1082="Cancelled"),"",IF(AND($K1082&lt;TODAY(),$H1082&lt;&gt;"Completed",$H1082&lt;&gt;"Cancelled"),"Overdue","On Track"))</f>
        <v/>
      </c>
      <c r="R1082" s="81" t="n"/>
      <c r="S1082" s="81">
        <f>IF($B1082="","",IFERROR(INDEX(Task_Tracker!$AA$5:$AA$1004,MATCH($B1082,Task_Tracker!$A$5:$A$1004,0)),""))</f>
        <v/>
      </c>
      <c r="T1082" s="81">
        <f>IF($B1082="","",IFERROR(INDEX(Task_Tracker!$AB$5:$AB$1004,MATCH($B1082,Task_Tracker!$A$5:$A$1004,0)),""))</f>
        <v/>
      </c>
      <c r="U1082" s="78">
        <f>IF($B1082="","",IFERROR(INDEX(Task_Tracker!$F$5:$F$1004,MATCH($B1082,Task_Tracker!$A$5:$A$1004,0)),""))</f>
        <v/>
      </c>
      <c r="V1082" s="78">
        <f>IF($B1082="","",IFERROR(INDEX(Task_Tracker!$I$5:$I$1004,MATCH($B1082,Task_Tracker!$A$5:$A$1004,0)),""))</f>
        <v/>
      </c>
      <c r="W1082" s="81">
        <f>IF(OR($D1082="",$B1082=""),"",$D1082&amp;" | "&amp;$B1082)</f>
        <v/>
      </c>
      <c r="X1082" s="85">
        <f>IF($K1082="","",TEXT($K1082,"yyyy-mm"))</f>
        <v/>
      </c>
      <c r="Y1082" s="81">
        <f>IF(OR($A1082="",$T1082=""),"","Included in Manager_Report")</f>
        <v/>
      </c>
    </row>
    <row r="1083" ht="15" customHeight="1" s="40">
      <c r="A1083" s="65">
        <f>IF(COUNTA(B1083:G1083)=0,"","STP-"&amp;TEXT(ROW()-4,"0000"))</f>
        <v/>
      </c>
      <c r="B1083" s="78" t="n"/>
      <c r="C1083" s="67">
        <f>IF($B1083="","",IFERROR(INDEX(Task_Tracker!$D$5:$D$1004,MATCH($B1083,Task_Tracker!$A$5:$A$1004,0)),""))</f>
        <v/>
      </c>
      <c r="D1083" s="67">
        <f>IF($B1083="","",IFERROR(INDEX(Task_Tracker!$B$5:$B$1004,MATCH($B1083,Task_Tracker!$A$5:$A$1004,0)),""))</f>
        <v/>
      </c>
      <c r="E1083" s="81" t="n"/>
      <c r="F1083" s="81" t="n"/>
      <c r="G1083" s="78" t="n"/>
      <c r="H1083" s="78" t="n"/>
      <c r="I1083" s="67">
        <f>IF($H1083="","",IFERROR(INDEX(Action_Status_Map!$B$5:$B$11,MATCH($H1083,Action_Status_Map!$A$5:$A$11,0)),""))</f>
        <v/>
      </c>
      <c r="J1083" s="82" t="n"/>
      <c r="K1083" s="82" t="n"/>
      <c r="L1083" s="82" t="n"/>
      <c r="M1083" s="83" t="n"/>
      <c r="N1083" s="83" t="n"/>
      <c r="O1083" s="66">
        <f>IF(OR($M1083="",$N1083=""),"",$N1083-$M1083)</f>
        <v/>
      </c>
      <c r="P1083" s="84">
        <f>IF($J1083="","",IF($L1083&lt;&gt;"",$L1083-$J1083,TODAY()-$J1083))</f>
        <v/>
      </c>
      <c r="Q1083" s="85">
        <f>IF(OR($K1083="",$H1083="Completed",$H1083="Cancelled"),"",IF(AND($K1083&lt;TODAY(),$H1083&lt;&gt;"Completed",$H1083&lt;&gt;"Cancelled"),"Overdue","On Track"))</f>
        <v/>
      </c>
      <c r="R1083" s="81" t="n"/>
      <c r="S1083" s="81">
        <f>IF($B1083="","",IFERROR(INDEX(Task_Tracker!$AA$5:$AA$1004,MATCH($B1083,Task_Tracker!$A$5:$A$1004,0)),""))</f>
        <v/>
      </c>
      <c r="T1083" s="81">
        <f>IF($B1083="","",IFERROR(INDEX(Task_Tracker!$AB$5:$AB$1004,MATCH($B1083,Task_Tracker!$A$5:$A$1004,0)),""))</f>
        <v/>
      </c>
      <c r="U1083" s="78">
        <f>IF($B1083="","",IFERROR(INDEX(Task_Tracker!$F$5:$F$1004,MATCH($B1083,Task_Tracker!$A$5:$A$1004,0)),""))</f>
        <v/>
      </c>
      <c r="V1083" s="78">
        <f>IF($B1083="","",IFERROR(INDEX(Task_Tracker!$I$5:$I$1004,MATCH($B1083,Task_Tracker!$A$5:$A$1004,0)),""))</f>
        <v/>
      </c>
      <c r="W1083" s="81">
        <f>IF(OR($D1083="",$B1083=""),"",$D1083&amp;" | "&amp;$B1083)</f>
        <v/>
      </c>
      <c r="X1083" s="85">
        <f>IF($K1083="","",TEXT($K1083,"yyyy-mm"))</f>
        <v/>
      </c>
      <c r="Y1083" s="81">
        <f>IF(OR($A1083="",$T1083=""),"","Included in Manager_Report")</f>
        <v/>
      </c>
    </row>
    <row r="1084" ht="15" customHeight="1" s="40">
      <c r="A1084" s="65">
        <f>IF(COUNTA(B1084:G1084)=0,"","STP-"&amp;TEXT(ROW()-4,"0000"))</f>
        <v/>
      </c>
      <c r="B1084" s="78" t="n"/>
      <c r="C1084" s="67">
        <f>IF($B1084="","",IFERROR(INDEX(Task_Tracker!$D$5:$D$1004,MATCH($B1084,Task_Tracker!$A$5:$A$1004,0)),""))</f>
        <v/>
      </c>
      <c r="D1084" s="67">
        <f>IF($B1084="","",IFERROR(INDEX(Task_Tracker!$B$5:$B$1004,MATCH($B1084,Task_Tracker!$A$5:$A$1004,0)),""))</f>
        <v/>
      </c>
      <c r="E1084" s="81" t="n"/>
      <c r="F1084" s="81" t="n"/>
      <c r="G1084" s="78" t="n"/>
      <c r="H1084" s="78" t="n"/>
      <c r="I1084" s="67">
        <f>IF($H1084="","",IFERROR(INDEX(Action_Status_Map!$B$5:$B$11,MATCH($H1084,Action_Status_Map!$A$5:$A$11,0)),""))</f>
        <v/>
      </c>
      <c r="J1084" s="82" t="n"/>
      <c r="K1084" s="82" t="n"/>
      <c r="L1084" s="82" t="n"/>
      <c r="M1084" s="83" t="n"/>
      <c r="N1084" s="83" t="n"/>
      <c r="O1084" s="66">
        <f>IF(OR($M1084="",$N1084=""),"",$N1084-$M1084)</f>
        <v/>
      </c>
      <c r="P1084" s="84">
        <f>IF($J1084="","",IF($L1084&lt;&gt;"",$L1084-$J1084,TODAY()-$J1084))</f>
        <v/>
      </c>
      <c r="Q1084" s="85">
        <f>IF(OR($K1084="",$H1084="Completed",$H1084="Cancelled"),"",IF(AND($K1084&lt;TODAY(),$H1084&lt;&gt;"Completed",$H1084&lt;&gt;"Cancelled"),"Overdue","On Track"))</f>
        <v/>
      </c>
      <c r="R1084" s="81" t="n"/>
      <c r="S1084" s="81">
        <f>IF($B1084="","",IFERROR(INDEX(Task_Tracker!$AA$5:$AA$1004,MATCH($B1084,Task_Tracker!$A$5:$A$1004,0)),""))</f>
        <v/>
      </c>
      <c r="T1084" s="81">
        <f>IF($B1084="","",IFERROR(INDEX(Task_Tracker!$AB$5:$AB$1004,MATCH($B1084,Task_Tracker!$A$5:$A$1004,0)),""))</f>
        <v/>
      </c>
      <c r="U1084" s="78">
        <f>IF($B1084="","",IFERROR(INDEX(Task_Tracker!$F$5:$F$1004,MATCH($B1084,Task_Tracker!$A$5:$A$1004,0)),""))</f>
        <v/>
      </c>
      <c r="V1084" s="78">
        <f>IF($B1084="","",IFERROR(INDEX(Task_Tracker!$I$5:$I$1004,MATCH($B1084,Task_Tracker!$A$5:$A$1004,0)),""))</f>
        <v/>
      </c>
      <c r="W1084" s="81">
        <f>IF(OR($D1084="",$B1084=""),"",$D1084&amp;" | "&amp;$B1084)</f>
        <v/>
      </c>
      <c r="X1084" s="85">
        <f>IF($K1084="","",TEXT($K1084,"yyyy-mm"))</f>
        <v/>
      </c>
      <c r="Y1084" s="81">
        <f>IF(OR($A1084="",$T1084=""),"","Included in Manager_Report")</f>
        <v/>
      </c>
    </row>
    <row r="1085" ht="15" customHeight="1" s="40">
      <c r="A1085" s="65">
        <f>IF(COUNTA(B1085:G1085)=0,"","STP-"&amp;TEXT(ROW()-4,"0000"))</f>
        <v/>
      </c>
      <c r="B1085" s="78" t="n"/>
      <c r="C1085" s="67">
        <f>IF($B1085="","",IFERROR(INDEX(Task_Tracker!$D$5:$D$1004,MATCH($B1085,Task_Tracker!$A$5:$A$1004,0)),""))</f>
        <v/>
      </c>
      <c r="D1085" s="67">
        <f>IF($B1085="","",IFERROR(INDEX(Task_Tracker!$B$5:$B$1004,MATCH($B1085,Task_Tracker!$A$5:$A$1004,0)),""))</f>
        <v/>
      </c>
      <c r="E1085" s="81" t="n"/>
      <c r="F1085" s="81" t="n"/>
      <c r="G1085" s="78" t="n"/>
      <c r="H1085" s="78" t="n"/>
      <c r="I1085" s="67">
        <f>IF($H1085="","",IFERROR(INDEX(Action_Status_Map!$B$5:$B$11,MATCH($H1085,Action_Status_Map!$A$5:$A$11,0)),""))</f>
        <v/>
      </c>
      <c r="J1085" s="82" t="n"/>
      <c r="K1085" s="82" t="n"/>
      <c r="L1085" s="82" t="n"/>
      <c r="M1085" s="83" t="n"/>
      <c r="N1085" s="83" t="n"/>
      <c r="O1085" s="66">
        <f>IF(OR($M1085="",$N1085=""),"",$N1085-$M1085)</f>
        <v/>
      </c>
      <c r="P1085" s="84">
        <f>IF($J1085="","",IF($L1085&lt;&gt;"",$L1085-$J1085,TODAY()-$J1085))</f>
        <v/>
      </c>
      <c r="Q1085" s="85">
        <f>IF(OR($K1085="",$H1085="Completed",$H1085="Cancelled"),"",IF(AND($K1085&lt;TODAY(),$H1085&lt;&gt;"Completed",$H1085&lt;&gt;"Cancelled"),"Overdue","On Track"))</f>
        <v/>
      </c>
      <c r="R1085" s="81" t="n"/>
      <c r="S1085" s="81">
        <f>IF($B1085="","",IFERROR(INDEX(Task_Tracker!$AA$5:$AA$1004,MATCH($B1085,Task_Tracker!$A$5:$A$1004,0)),""))</f>
        <v/>
      </c>
      <c r="T1085" s="81">
        <f>IF($B1085="","",IFERROR(INDEX(Task_Tracker!$AB$5:$AB$1004,MATCH($B1085,Task_Tracker!$A$5:$A$1004,0)),""))</f>
        <v/>
      </c>
      <c r="U1085" s="78">
        <f>IF($B1085="","",IFERROR(INDEX(Task_Tracker!$F$5:$F$1004,MATCH($B1085,Task_Tracker!$A$5:$A$1004,0)),""))</f>
        <v/>
      </c>
      <c r="V1085" s="78">
        <f>IF($B1085="","",IFERROR(INDEX(Task_Tracker!$I$5:$I$1004,MATCH($B1085,Task_Tracker!$A$5:$A$1004,0)),""))</f>
        <v/>
      </c>
      <c r="W1085" s="81">
        <f>IF(OR($D1085="",$B1085=""),"",$D1085&amp;" | "&amp;$B1085)</f>
        <v/>
      </c>
      <c r="X1085" s="85">
        <f>IF($K1085="","",TEXT($K1085,"yyyy-mm"))</f>
        <v/>
      </c>
      <c r="Y1085" s="81">
        <f>IF(OR($A1085="",$T1085=""),"","Included in Manager_Report")</f>
        <v/>
      </c>
    </row>
    <row r="1086" ht="15" customHeight="1" s="40">
      <c r="A1086" s="65">
        <f>IF(COUNTA(B1086:G1086)=0,"","STP-"&amp;TEXT(ROW()-4,"0000"))</f>
        <v/>
      </c>
      <c r="B1086" s="78" t="n"/>
      <c r="C1086" s="67">
        <f>IF($B1086="","",IFERROR(INDEX(Task_Tracker!$D$5:$D$1004,MATCH($B1086,Task_Tracker!$A$5:$A$1004,0)),""))</f>
        <v/>
      </c>
      <c r="D1086" s="67">
        <f>IF($B1086="","",IFERROR(INDEX(Task_Tracker!$B$5:$B$1004,MATCH($B1086,Task_Tracker!$A$5:$A$1004,0)),""))</f>
        <v/>
      </c>
      <c r="E1086" s="81" t="n"/>
      <c r="F1086" s="81" t="n"/>
      <c r="G1086" s="78" t="n"/>
      <c r="H1086" s="78" t="n"/>
      <c r="I1086" s="67">
        <f>IF($H1086="","",IFERROR(INDEX(Action_Status_Map!$B$5:$B$11,MATCH($H1086,Action_Status_Map!$A$5:$A$11,0)),""))</f>
        <v/>
      </c>
      <c r="J1086" s="82" t="n"/>
      <c r="K1086" s="82" t="n"/>
      <c r="L1086" s="82" t="n"/>
      <c r="M1086" s="83" t="n"/>
      <c r="N1086" s="83" t="n"/>
      <c r="O1086" s="66">
        <f>IF(OR($M1086="",$N1086=""),"",$N1086-$M1086)</f>
        <v/>
      </c>
      <c r="P1086" s="84">
        <f>IF($J1086="","",IF($L1086&lt;&gt;"",$L1086-$J1086,TODAY()-$J1086))</f>
        <v/>
      </c>
      <c r="Q1086" s="85">
        <f>IF(OR($K1086="",$H1086="Completed",$H1086="Cancelled"),"",IF(AND($K1086&lt;TODAY(),$H1086&lt;&gt;"Completed",$H1086&lt;&gt;"Cancelled"),"Overdue","On Track"))</f>
        <v/>
      </c>
      <c r="R1086" s="81" t="n"/>
      <c r="S1086" s="81">
        <f>IF($B1086="","",IFERROR(INDEX(Task_Tracker!$AA$5:$AA$1004,MATCH($B1086,Task_Tracker!$A$5:$A$1004,0)),""))</f>
        <v/>
      </c>
      <c r="T1086" s="81">
        <f>IF($B1086="","",IFERROR(INDEX(Task_Tracker!$AB$5:$AB$1004,MATCH($B1086,Task_Tracker!$A$5:$A$1004,0)),""))</f>
        <v/>
      </c>
      <c r="U1086" s="78">
        <f>IF($B1086="","",IFERROR(INDEX(Task_Tracker!$F$5:$F$1004,MATCH($B1086,Task_Tracker!$A$5:$A$1004,0)),""))</f>
        <v/>
      </c>
      <c r="V1086" s="78">
        <f>IF($B1086="","",IFERROR(INDEX(Task_Tracker!$I$5:$I$1004,MATCH($B1086,Task_Tracker!$A$5:$A$1004,0)),""))</f>
        <v/>
      </c>
      <c r="W1086" s="81">
        <f>IF(OR($D1086="",$B1086=""),"",$D1086&amp;" | "&amp;$B1086)</f>
        <v/>
      </c>
      <c r="X1086" s="85">
        <f>IF($K1086="","",TEXT($K1086,"yyyy-mm"))</f>
        <v/>
      </c>
      <c r="Y1086" s="81">
        <f>IF(OR($A1086="",$T1086=""),"","Included in Manager_Report")</f>
        <v/>
      </c>
    </row>
    <row r="1087" ht="15" customHeight="1" s="40">
      <c r="A1087" s="65">
        <f>IF(COUNTA(B1087:G1087)=0,"","STP-"&amp;TEXT(ROW()-4,"0000"))</f>
        <v/>
      </c>
      <c r="B1087" s="78" t="n"/>
      <c r="C1087" s="67">
        <f>IF($B1087="","",IFERROR(INDEX(Task_Tracker!$D$5:$D$1004,MATCH($B1087,Task_Tracker!$A$5:$A$1004,0)),""))</f>
        <v/>
      </c>
      <c r="D1087" s="67">
        <f>IF($B1087="","",IFERROR(INDEX(Task_Tracker!$B$5:$B$1004,MATCH($B1087,Task_Tracker!$A$5:$A$1004,0)),""))</f>
        <v/>
      </c>
      <c r="E1087" s="81" t="n"/>
      <c r="F1087" s="81" t="n"/>
      <c r="G1087" s="78" t="n"/>
      <c r="H1087" s="78" t="n"/>
      <c r="I1087" s="67">
        <f>IF($H1087="","",IFERROR(INDEX(Action_Status_Map!$B$5:$B$11,MATCH($H1087,Action_Status_Map!$A$5:$A$11,0)),""))</f>
        <v/>
      </c>
      <c r="J1087" s="82" t="n"/>
      <c r="K1087" s="82" t="n"/>
      <c r="L1087" s="82" t="n"/>
      <c r="M1087" s="83" t="n"/>
      <c r="N1087" s="83" t="n"/>
      <c r="O1087" s="66">
        <f>IF(OR($M1087="",$N1087=""),"",$N1087-$M1087)</f>
        <v/>
      </c>
      <c r="P1087" s="84">
        <f>IF($J1087="","",IF($L1087&lt;&gt;"",$L1087-$J1087,TODAY()-$J1087))</f>
        <v/>
      </c>
      <c r="Q1087" s="85">
        <f>IF(OR($K1087="",$H1087="Completed",$H1087="Cancelled"),"",IF(AND($K1087&lt;TODAY(),$H1087&lt;&gt;"Completed",$H1087&lt;&gt;"Cancelled"),"Overdue","On Track"))</f>
        <v/>
      </c>
      <c r="R1087" s="81" t="n"/>
      <c r="S1087" s="81">
        <f>IF($B1087="","",IFERROR(INDEX(Task_Tracker!$AA$5:$AA$1004,MATCH($B1087,Task_Tracker!$A$5:$A$1004,0)),""))</f>
        <v/>
      </c>
      <c r="T1087" s="81">
        <f>IF($B1087="","",IFERROR(INDEX(Task_Tracker!$AB$5:$AB$1004,MATCH($B1087,Task_Tracker!$A$5:$A$1004,0)),""))</f>
        <v/>
      </c>
      <c r="U1087" s="78">
        <f>IF($B1087="","",IFERROR(INDEX(Task_Tracker!$F$5:$F$1004,MATCH($B1087,Task_Tracker!$A$5:$A$1004,0)),""))</f>
        <v/>
      </c>
      <c r="V1087" s="78">
        <f>IF($B1087="","",IFERROR(INDEX(Task_Tracker!$I$5:$I$1004,MATCH($B1087,Task_Tracker!$A$5:$A$1004,0)),""))</f>
        <v/>
      </c>
      <c r="W1087" s="81">
        <f>IF(OR($D1087="",$B1087=""),"",$D1087&amp;" | "&amp;$B1087)</f>
        <v/>
      </c>
      <c r="X1087" s="85">
        <f>IF($K1087="","",TEXT($K1087,"yyyy-mm"))</f>
        <v/>
      </c>
      <c r="Y1087" s="81">
        <f>IF(OR($A1087="",$T1087=""),"","Included in Manager_Report")</f>
        <v/>
      </c>
    </row>
    <row r="1088" ht="15" customHeight="1" s="40">
      <c r="A1088" s="65">
        <f>IF(COUNTA(B1088:G1088)=0,"","STP-"&amp;TEXT(ROW()-4,"0000"))</f>
        <v/>
      </c>
      <c r="B1088" s="78" t="n"/>
      <c r="C1088" s="67">
        <f>IF($B1088="","",IFERROR(INDEX(Task_Tracker!$D$5:$D$1004,MATCH($B1088,Task_Tracker!$A$5:$A$1004,0)),""))</f>
        <v/>
      </c>
      <c r="D1088" s="67">
        <f>IF($B1088="","",IFERROR(INDEX(Task_Tracker!$B$5:$B$1004,MATCH($B1088,Task_Tracker!$A$5:$A$1004,0)),""))</f>
        <v/>
      </c>
      <c r="E1088" s="81" t="n"/>
      <c r="F1088" s="81" t="n"/>
      <c r="G1088" s="78" t="n"/>
      <c r="H1088" s="78" t="n"/>
      <c r="I1088" s="67">
        <f>IF($H1088="","",IFERROR(INDEX(Action_Status_Map!$B$5:$B$11,MATCH($H1088,Action_Status_Map!$A$5:$A$11,0)),""))</f>
        <v/>
      </c>
      <c r="J1088" s="82" t="n"/>
      <c r="K1088" s="82" t="n"/>
      <c r="L1088" s="82" t="n"/>
      <c r="M1088" s="83" t="n"/>
      <c r="N1088" s="83" t="n"/>
      <c r="O1088" s="66">
        <f>IF(OR($M1088="",$N1088=""),"",$N1088-$M1088)</f>
        <v/>
      </c>
      <c r="P1088" s="84">
        <f>IF($J1088="","",IF($L1088&lt;&gt;"",$L1088-$J1088,TODAY()-$J1088))</f>
        <v/>
      </c>
      <c r="Q1088" s="85">
        <f>IF(OR($K1088="",$H1088="Completed",$H1088="Cancelled"),"",IF(AND($K1088&lt;TODAY(),$H1088&lt;&gt;"Completed",$H1088&lt;&gt;"Cancelled"),"Overdue","On Track"))</f>
        <v/>
      </c>
      <c r="R1088" s="81" t="n"/>
      <c r="S1088" s="81">
        <f>IF($B1088="","",IFERROR(INDEX(Task_Tracker!$AA$5:$AA$1004,MATCH($B1088,Task_Tracker!$A$5:$A$1004,0)),""))</f>
        <v/>
      </c>
      <c r="T1088" s="81">
        <f>IF($B1088="","",IFERROR(INDEX(Task_Tracker!$AB$5:$AB$1004,MATCH($B1088,Task_Tracker!$A$5:$A$1004,0)),""))</f>
        <v/>
      </c>
      <c r="U1088" s="78">
        <f>IF($B1088="","",IFERROR(INDEX(Task_Tracker!$F$5:$F$1004,MATCH($B1088,Task_Tracker!$A$5:$A$1004,0)),""))</f>
        <v/>
      </c>
      <c r="V1088" s="78">
        <f>IF($B1088="","",IFERROR(INDEX(Task_Tracker!$I$5:$I$1004,MATCH($B1088,Task_Tracker!$A$5:$A$1004,0)),""))</f>
        <v/>
      </c>
      <c r="W1088" s="81">
        <f>IF(OR($D1088="",$B1088=""),"",$D1088&amp;" | "&amp;$B1088)</f>
        <v/>
      </c>
      <c r="X1088" s="85">
        <f>IF($K1088="","",TEXT($K1088,"yyyy-mm"))</f>
        <v/>
      </c>
      <c r="Y1088" s="81">
        <f>IF(OR($A1088="",$T1088=""),"","Included in Manager_Report")</f>
        <v/>
      </c>
    </row>
    <row r="1089" ht="15" customHeight="1" s="40">
      <c r="A1089" s="65">
        <f>IF(COUNTA(B1089:G1089)=0,"","STP-"&amp;TEXT(ROW()-4,"0000"))</f>
        <v/>
      </c>
      <c r="B1089" s="78" t="n"/>
      <c r="C1089" s="67">
        <f>IF($B1089="","",IFERROR(INDEX(Task_Tracker!$D$5:$D$1004,MATCH($B1089,Task_Tracker!$A$5:$A$1004,0)),""))</f>
        <v/>
      </c>
      <c r="D1089" s="67">
        <f>IF($B1089="","",IFERROR(INDEX(Task_Tracker!$B$5:$B$1004,MATCH($B1089,Task_Tracker!$A$5:$A$1004,0)),""))</f>
        <v/>
      </c>
      <c r="E1089" s="81" t="n"/>
      <c r="F1089" s="81" t="n"/>
      <c r="G1089" s="78" t="n"/>
      <c r="H1089" s="78" t="n"/>
      <c r="I1089" s="67">
        <f>IF($H1089="","",IFERROR(INDEX(Action_Status_Map!$B$5:$B$11,MATCH($H1089,Action_Status_Map!$A$5:$A$11,0)),""))</f>
        <v/>
      </c>
      <c r="J1089" s="82" t="n"/>
      <c r="K1089" s="82" t="n"/>
      <c r="L1089" s="82" t="n"/>
      <c r="M1089" s="83" t="n"/>
      <c r="N1089" s="83" t="n"/>
      <c r="O1089" s="66">
        <f>IF(OR($M1089="",$N1089=""),"",$N1089-$M1089)</f>
        <v/>
      </c>
      <c r="P1089" s="84">
        <f>IF($J1089="","",IF($L1089&lt;&gt;"",$L1089-$J1089,TODAY()-$J1089))</f>
        <v/>
      </c>
      <c r="Q1089" s="85">
        <f>IF(OR($K1089="",$H1089="Completed",$H1089="Cancelled"),"",IF(AND($K1089&lt;TODAY(),$H1089&lt;&gt;"Completed",$H1089&lt;&gt;"Cancelled"),"Overdue","On Track"))</f>
        <v/>
      </c>
      <c r="R1089" s="81" t="n"/>
      <c r="S1089" s="81">
        <f>IF($B1089="","",IFERROR(INDEX(Task_Tracker!$AA$5:$AA$1004,MATCH($B1089,Task_Tracker!$A$5:$A$1004,0)),""))</f>
        <v/>
      </c>
      <c r="T1089" s="81">
        <f>IF($B1089="","",IFERROR(INDEX(Task_Tracker!$AB$5:$AB$1004,MATCH($B1089,Task_Tracker!$A$5:$A$1004,0)),""))</f>
        <v/>
      </c>
      <c r="U1089" s="78">
        <f>IF($B1089="","",IFERROR(INDEX(Task_Tracker!$F$5:$F$1004,MATCH($B1089,Task_Tracker!$A$5:$A$1004,0)),""))</f>
        <v/>
      </c>
      <c r="V1089" s="78">
        <f>IF($B1089="","",IFERROR(INDEX(Task_Tracker!$I$5:$I$1004,MATCH($B1089,Task_Tracker!$A$5:$A$1004,0)),""))</f>
        <v/>
      </c>
      <c r="W1089" s="81">
        <f>IF(OR($D1089="",$B1089=""),"",$D1089&amp;" | "&amp;$B1089)</f>
        <v/>
      </c>
      <c r="X1089" s="85">
        <f>IF($K1089="","",TEXT($K1089,"yyyy-mm"))</f>
        <v/>
      </c>
      <c r="Y1089" s="81">
        <f>IF(OR($A1089="",$T1089=""),"","Included in Manager_Report")</f>
        <v/>
      </c>
    </row>
    <row r="1090" ht="15" customHeight="1" s="40">
      <c r="A1090" s="65">
        <f>IF(COUNTA(B1090:G1090)=0,"","STP-"&amp;TEXT(ROW()-4,"0000"))</f>
        <v/>
      </c>
      <c r="B1090" s="78" t="n"/>
      <c r="C1090" s="67">
        <f>IF($B1090="","",IFERROR(INDEX(Task_Tracker!$D$5:$D$1004,MATCH($B1090,Task_Tracker!$A$5:$A$1004,0)),""))</f>
        <v/>
      </c>
      <c r="D1090" s="67">
        <f>IF($B1090="","",IFERROR(INDEX(Task_Tracker!$B$5:$B$1004,MATCH($B1090,Task_Tracker!$A$5:$A$1004,0)),""))</f>
        <v/>
      </c>
      <c r="E1090" s="81" t="n"/>
      <c r="F1090" s="81" t="n"/>
      <c r="G1090" s="78" t="n"/>
      <c r="H1090" s="78" t="n"/>
      <c r="I1090" s="67">
        <f>IF($H1090="","",IFERROR(INDEX(Action_Status_Map!$B$5:$B$11,MATCH($H1090,Action_Status_Map!$A$5:$A$11,0)),""))</f>
        <v/>
      </c>
      <c r="J1090" s="82" t="n"/>
      <c r="K1090" s="82" t="n"/>
      <c r="L1090" s="82" t="n"/>
      <c r="M1090" s="83" t="n"/>
      <c r="N1090" s="83" t="n"/>
      <c r="O1090" s="66">
        <f>IF(OR($M1090="",$N1090=""),"",$N1090-$M1090)</f>
        <v/>
      </c>
      <c r="P1090" s="84">
        <f>IF($J1090="","",IF($L1090&lt;&gt;"",$L1090-$J1090,TODAY()-$J1090))</f>
        <v/>
      </c>
      <c r="Q1090" s="85">
        <f>IF(OR($K1090="",$H1090="Completed",$H1090="Cancelled"),"",IF(AND($K1090&lt;TODAY(),$H1090&lt;&gt;"Completed",$H1090&lt;&gt;"Cancelled"),"Overdue","On Track"))</f>
        <v/>
      </c>
      <c r="R1090" s="81" t="n"/>
      <c r="S1090" s="81">
        <f>IF($B1090="","",IFERROR(INDEX(Task_Tracker!$AA$5:$AA$1004,MATCH($B1090,Task_Tracker!$A$5:$A$1004,0)),""))</f>
        <v/>
      </c>
      <c r="T1090" s="81">
        <f>IF($B1090="","",IFERROR(INDEX(Task_Tracker!$AB$5:$AB$1004,MATCH($B1090,Task_Tracker!$A$5:$A$1004,0)),""))</f>
        <v/>
      </c>
      <c r="U1090" s="78">
        <f>IF($B1090="","",IFERROR(INDEX(Task_Tracker!$F$5:$F$1004,MATCH($B1090,Task_Tracker!$A$5:$A$1004,0)),""))</f>
        <v/>
      </c>
      <c r="V1090" s="78">
        <f>IF($B1090="","",IFERROR(INDEX(Task_Tracker!$I$5:$I$1004,MATCH($B1090,Task_Tracker!$A$5:$A$1004,0)),""))</f>
        <v/>
      </c>
      <c r="W1090" s="81">
        <f>IF(OR($D1090="",$B1090=""),"",$D1090&amp;" | "&amp;$B1090)</f>
        <v/>
      </c>
      <c r="X1090" s="85">
        <f>IF($K1090="","",TEXT($K1090,"yyyy-mm"))</f>
        <v/>
      </c>
      <c r="Y1090" s="81">
        <f>IF(OR($A1090="",$T1090=""),"","Included in Manager_Report")</f>
        <v/>
      </c>
    </row>
    <row r="1091" ht="15" customHeight="1" s="40">
      <c r="A1091" s="65">
        <f>IF(COUNTA(B1091:G1091)=0,"","STP-"&amp;TEXT(ROW()-4,"0000"))</f>
        <v/>
      </c>
      <c r="B1091" s="78" t="n"/>
      <c r="C1091" s="67">
        <f>IF($B1091="","",IFERROR(INDEX(Task_Tracker!$D$5:$D$1004,MATCH($B1091,Task_Tracker!$A$5:$A$1004,0)),""))</f>
        <v/>
      </c>
      <c r="D1091" s="67">
        <f>IF($B1091="","",IFERROR(INDEX(Task_Tracker!$B$5:$B$1004,MATCH($B1091,Task_Tracker!$A$5:$A$1004,0)),""))</f>
        <v/>
      </c>
      <c r="E1091" s="81" t="n"/>
      <c r="F1091" s="81" t="n"/>
      <c r="G1091" s="78" t="n"/>
      <c r="H1091" s="78" t="n"/>
      <c r="I1091" s="67">
        <f>IF($H1091="","",IFERROR(INDEX(Action_Status_Map!$B$5:$B$11,MATCH($H1091,Action_Status_Map!$A$5:$A$11,0)),""))</f>
        <v/>
      </c>
      <c r="J1091" s="82" t="n"/>
      <c r="K1091" s="82" t="n"/>
      <c r="L1091" s="82" t="n"/>
      <c r="M1091" s="83" t="n"/>
      <c r="N1091" s="83" t="n"/>
      <c r="O1091" s="66">
        <f>IF(OR($M1091="",$N1091=""),"",$N1091-$M1091)</f>
        <v/>
      </c>
      <c r="P1091" s="84">
        <f>IF($J1091="","",IF($L1091&lt;&gt;"",$L1091-$J1091,TODAY()-$J1091))</f>
        <v/>
      </c>
      <c r="Q1091" s="85">
        <f>IF(OR($K1091="",$H1091="Completed",$H1091="Cancelled"),"",IF(AND($K1091&lt;TODAY(),$H1091&lt;&gt;"Completed",$H1091&lt;&gt;"Cancelled"),"Overdue","On Track"))</f>
        <v/>
      </c>
      <c r="R1091" s="81" t="n"/>
      <c r="S1091" s="81">
        <f>IF($B1091="","",IFERROR(INDEX(Task_Tracker!$AA$5:$AA$1004,MATCH($B1091,Task_Tracker!$A$5:$A$1004,0)),""))</f>
        <v/>
      </c>
      <c r="T1091" s="81">
        <f>IF($B1091="","",IFERROR(INDEX(Task_Tracker!$AB$5:$AB$1004,MATCH($B1091,Task_Tracker!$A$5:$A$1004,0)),""))</f>
        <v/>
      </c>
      <c r="U1091" s="78">
        <f>IF($B1091="","",IFERROR(INDEX(Task_Tracker!$F$5:$F$1004,MATCH($B1091,Task_Tracker!$A$5:$A$1004,0)),""))</f>
        <v/>
      </c>
      <c r="V1091" s="78">
        <f>IF($B1091="","",IFERROR(INDEX(Task_Tracker!$I$5:$I$1004,MATCH($B1091,Task_Tracker!$A$5:$A$1004,0)),""))</f>
        <v/>
      </c>
      <c r="W1091" s="81">
        <f>IF(OR($D1091="",$B1091=""),"",$D1091&amp;" | "&amp;$B1091)</f>
        <v/>
      </c>
      <c r="X1091" s="85">
        <f>IF($K1091="","",TEXT($K1091,"yyyy-mm"))</f>
        <v/>
      </c>
      <c r="Y1091" s="81">
        <f>IF(OR($A1091="",$T1091=""),"","Included in Manager_Report")</f>
        <v/>
      </c>
    </row>
    <row r="1092" ht="15" customHeight="1" s="40">
      <c r="A1092" s="65">
        <f>IF(COUNTA(B1092:G1092)=0,"","STP-"&amp;TEXT(ROW()-4,"0000"))</f>
        <v/>
      </c>
      <c r="B1092" s="78" t="n"/>
      <c r="C1092" s="67">
        <f>IF($B1092="","",IFERROR(INDEX(Task_Tracker!$D$5:$D$1004,MATCH($B1092,Task_Tracker!$A$5:$A$1004,0)),""))</f>
        <v/>
      </c>
      <c r="D1092" s="67">
        <f>IF($B1092="","",IFERROR(INDEX(Task_Tracker!$B$5:$B$1004,MATCH($B1092,Task_Tracker!$A$5:$A$1004,0)),""))</f>
        <v/>
      </c>
      <c r="E1092" s="81" t="n"/>
      <c r="F1092" s="81" t="n"/>
      <c r="G1092" s="78" t="n"/>
      <c r="H1092" s="78" t="n"/>
      <c r="I1092" s="67">
        <f>IF($H1092="","",IFERROR(INDEX(Action_Status_Map!$B$5:$B$11,MATCH($H1092,Action_Status_Map!$A$5:$A$11,0)),""))</f>
        <v/>
      </c>
      <c r="J1092" s="82" t="n"/>
      <c r="K1092" s="82" t="n"/>
      <c r="L1092" s="82" t="n"/>
      <c r="M1092" s="83" t="n"/>
      <c r="N1092" s="83" t="n"/>
      <c r="O1092" s="66">
        <f>IF(OR($M1092="",$N1092=""),"",$N1092-$M1092)</f>
        <v/>
      </c>
      <c r="P1092" s="84">
        <f>IF($J1092="","",IF($L1092&lt;&gt;"",$L1092-$J1092,TODAY()-$J1092))</f>
        <v/>
      </c>
      <c r="Q1092" s="85">
        <f>IF(OR($K1092="",$H1092="Completed",$H1092="Cancelled"),"",IF(AND($K1092&lt;TODAY(),$H1092&lt;&gt;"Completed",$H1092&lt;&gt;"Cancelled"),"Overdue","On Track"))</f>
        <v/>
      </c>
      <c r="R1092" s="81" t="n"/>
      <c r="S1092" s="81">
        <f>IF($B1092="","",IFERROR(INDEX(Task_Tracker!$AA$5:$AA$1004,MATCH($B1092,Task_Tracker!$A$5:$A$1004,0)),""))</f>
        <v/>
      </c>
      <c r="T1092" s="81">
        <f>IF($B1092="","",IFERROR(INDEX(Task_Tracker!$AB$5:$AB$1004,MATCH($B1092,Task_Tracker!$A$5:$A$1004,0)),""))</f>
        <v/>
      </c>
      <c r="U1092" s="78">
        <f>IF($B1092="","",IFERROR(INDEX(Task_Tracker!$F$5:$F$1004,MATCH($B1092,Task_Tracker!$A$5:$A$1004,0)),""))</f>
        <v/>
      </c>
      <c r="V1092" s="78">
        <f>IF($B1092="","",IFERROR(INDEX(Task_Tracker!$I$5:$I$1004,MATCH($B1092,Task_Tracker!$A$5:$A$1004,0)),""))</f>
        <v/>
      </c>
      <c r="W1092" s="81">
        <f>IF(OR($D1092="",$B1092=""),"",$D1092&amp;" | "&amp;$B1092)</f>
        <v/>
      </c>
      <c r="X1092" s="85">
        <f>IF($K1092="","",TEXT($K1092,"yyyy-mm"))</f>
        <v/>
      </c>
      <c r="Y1092" s="81">
        <f>IF(OR($A1092="",$T1092=""),"","Included in Manager_Report")</f>
        <v/>
      </c>
    </row>
    <row r="1093" ht="15" customHeight="1" s="40">
      <c r="A1093" s="65">
        <f>IF(COUNTA(B1093:G1093)=0,"","STP-"&amp;TEXT(ROW()-4,"0000"))</f>
        <v/>
      </c>
      <c r="B1093" s="78" t="n"/>
      <c r="C1093" s="67">
        <f>IF($B1093="","",IFERROR(INDEX(Task_Tracker!$D$5:$D$1004,MATCH($B1093,Task_Tracker!$A$5:$A$1004,0)),""))</f>
        <v/>
      </c>
      <c r="D1093" s="67">
        <f>IF($B1093="","",IFERROR(INDEX(Task_Tracker!$B$5:$B$1004,MATCH($B1093,Task_Tracker!$A$5:$A$1004,0)),""))</f>
        <v/>
      </c>
      <c r="E1093" s="81" t="n"/>
      <c r="F1093" s="81" t="n"/>
      <c r="G1093" s="78" t="n"/>
      <c r="H1093" s="78" t="n"/>
      <c r="I1093" s="67">
        <f>IF($H1093="","",IFERROR(INDEX(Action_Status_Map!$B$5:$B$11,MATCH($H1093,Action_Status_Map!$A$5:$A$11,0)),""))</f>
        <v/>
      </c>
      <c r="J1093" s="82" t="n"/>
      <c r="K1093" s="82" t="n"/>
      <c r="L1093" s="82" t="n"/>
      <c r="M1093" s="83" t="n"/>
      <c r="N1093" s="83" t="n"/>
      <c r="O1093" s="66">
        <f>IF(OR($M1093="",$N1093=""),"",$N1093-$M1093)</f>
        <v/>
      </c>
      <c r="P1093" s="84">
        <f>IF($J1093="","",IF($L1093&lt;&gt;"",$L1093-$J1093,TODAY()-$J1093))</f>
        <v/>
      </c>
      <c r="Q1093" s="85">
        <f>IF(OR($K1093="",$H1093="Completed",$H1093="Cancelled"),"",IF(AND($K1093&lt;TODAY(),$H1093&lt;&gt;"Completed",$H1093&lt;&gt;"Cancelled"),"Overdue","On Track"))</f>
        <v/>
      </c>
      <c r="R1093" s="81" t="n"/>
      <c r="S1093" s="81">
        <f>IF($B1093="","",IFERROR(INDEX(Task_Tracker!$AA$5:$AA$1004,MATCH($B1093,Task_Tracker!$A$5:$A$1004,0)),""))</f>
        <v/>
      </c>
      <c r="T1093" s="81">
        <f>IF($B1093="","",IFERROR(INDEX(Task_Tracker!$AB$5:$AB$1004,MATCH($B1093,Task_Tracker!$A$5:$A$1004,0)),""))</f>
        <v/>
      </c>
      <c r="U1093" s="78">
        <f>IF($B1093="","",IFERROR(INDEX(Task_Tracker!$F$5:$F$1004,MATCH($B1093,Task_Tracker!$A$5:$A$1004,0)),""))</f>
        <v/>
      </c>
      <c r="V1093" s="78">
        <f>IF($B1093="","",IFERROR(INDEX(Task_Tracker!$I$5:$I$1004,MATCH($B1093,Task_Tracker!$A$5:$A$1004,0)),""))</f>
        <v/>
      </c>
      <c r="W1093" s="81">
        <f>IF(OR($D1093="",$B1093=""),"",$D1093&amp;" | "&amp;$B1093)</f>
        <v/>
      </c>
      <c r="X1093" s="85">
        <f>IF($K1093="","",TEXT($K1093,"yyyy-mm"))</f>
        <v/>
      </c>
      <c r="Y1093" s="81">
        <f>IF(OR($A1093="",$T1093=""),"","Included in Manager_Report")</f>
        <v/>
      </c>
    </row>
    <row r="1094" ht="15" customHeight="1" s="40">
      <c r="A1094" s="65">
        <f>IF(COUNTA(B1094:G1094)=0,"","STP-"&amp;TEXT(ROW()-4,"0000"))</f>
        <v/>
      </c>
      <c r="B1094" s="78" t="n"/>
      <c r="C1094" s="67">
        <f>IF($B1094="","",IFERROR(INDEX(Task_Tracker!$D$5:$D$1004,MATCH($B1094,Task_Tracker!$A$5:$A$1004,0)),""))</f>
        <v/>
      </c>
      <c r="D1094" s="67">
        <f>IF($B1094="","",IFERROR(INDEX(Task_Tracker!$B$5:$B$1004,MATCH($B1094,Task_Tracker!$A$5:$A$1004,0)),""))</f>
        <v/>
      </c>
      <c r="E1094" s="81" t="n"/>
      <c r="F1094" s="81" t="n"/>
      <c r="G1094" s="78" t="n"/>
      <c r="H1094" s="78" t="n"/>
      <c r="I1094" s="67">
        <f>IF($H1094="","",IFERROR(INDEX(Action_Status_Map!$B$5:$B$11,MATCH($H1094,Action_Status_Map!$A$5:$A$11,0)),""))</f>
        <v/>
      </c>
      <c r="J1094" s="82" t="n"/>
      <c r="K1094" s="82" t="n"/>
      <c r="L1094" s="82" t="n"/>
      <c r="M1094" s="83" t="n"/>
      <c r="N1094" s="83" t="n"/>
      <c r="O1094" s="66">
        <f>IF(OR($M1094="",$N1094=""),"",$N1094-$M1094)</f>
        <v/>
      </c>
      <c r="P1094" s="84">
        <f>IF($J1094="","",IF($L1094&lt;&gt;"",$L1094-$J1094,TODAY()-$J1094))</f>
        <v/>
      </c>
      <c r="Q1094" s="85">
        <f>IF(OR($K1094="",$H1094="Completed",$H1094="Cancelled"),"",IF(AND($K1094&lt;TODAY(),$H1094&lt;&gt;"Completed",$H1094&lt;&gt;"Cancelled"),"Overdue","On Track"))</f>
        <v/>
      </c>
      <c r="R1094" s="81" t="n"/>
      <c r="S1094" s="81">
        <f>IF($B1094="","",IFERROR(INDEX(Task_Tracker!$AA$5:$AA$1004,MATCH($B1094,Task_Tracker!$A$5:$A$1004,0)),""))</f>
        <v/>
      </c>
      <c r="T1094" s="81">
        <f>IF($B1094="","",IFERROR(INDEX(Task_Tracker!$AB$5:$AB$1004,MATCH($B1094,Task_Tracker!$A$5:$A$1004,0)),""))</f>
        <v/>
      </c>
      <c r="U1094" s="78">
        <f>IF($B1094="","",IFERROR(INDEX(Task_Tracker!$F$5:$F$1004,MATCH($B1094,Task_Tracker!$A$5:$A$1004,0)),""))</f>
        <v/>
      </c>
      <c r="V1094" s="78">
        <f>IF($B1094="","",IFERROR(INDEX(Task_Tracker!$I$5:$I$1004,MATCH($B1094,Task_Tracker!$A$5:$A$1004,0)),""))</f>
        <v/>
      </c>
      <c r="W1094" s="81">
        <f>IF(OR($D1094="",$B1094=""),"",$D1094&amp;" | "&amp;$B1094)</f>
        <v/>
      </c>
      <c r="X1094" s="85">
        <f>IF($K1094="","",TEXT($K1094,"yyyy-mm"))</f>
        <v/>
      </c>
      <c r="Y1094" s="81">
        <f>IF(OR($A1094="",$T1094=""),"","Included in Manager_Report")</f>
        <v/>
      </c>
    </row>
    <row r="1095" ht="15" customHeight="1" s="40">
      <c r="A1095" s="65">
        <f>IF(COUNTA(B1095:G1095)=0,"","STP-"&amp;TEXT(ROW()-4,"0000"))</f>
        <v/>
      </c>
      <c r="B1095" s="78" t="n"/>
      <c r="C1095" s="67">
        <f>IF($B1095="","",IFERROR(INDEX(Task_Tracker!$D$5:$D$1004,MATCH($B1095,Task_Tracker!$A$5:$A$1004,0)),""))</f>
        <v/>
      </c>
      <c r="D1095" s="67">
        <f>IF($B1095="","",IFERROR(INDEX(Task_Tracker!$B$5:$B$1004,MATCH($B1095,Task_Tracker!$A$5:$A$1004,0)),""))</f>
        <v/>
      </c>
      <c r="E1095" s="81" t="n"/>
      <c r="F1095" s="81" t="n"/>
      <c r="G1095" s="78" t="n"/>
      <c r="H1095" s="78" t="n"/>
      <c r="I1095" s="67">
        <f>IF($H1095="","",IFERROR(INDEX(Action_Status_Map!$B$5:$B$11,MATCH($H1095,Action_Status_Map!$A$5:$A$11,0)),""))</f>
        <v/>
      </c>
      <c r="J1095" s="82" t="n"/>
      <c r="K1095" s="82" t="n"/>
      <c r="L1095" s="82" t="n"/>
      <c r="M1095" s="83" t="n"/>
      <c r="N1095" s="83" t="n"/>
      <c r="O1095" s="66">
        <f>IF(OR($M1095="",$N1095=""),"",$N1095-$M1095)</f>
        <v/>
      </c>
      <c r="P1095" s="84">
        <f>IF($J1095="","",IF($L1095&lt;&gt;"",$L1095-$J1095,TODAY()-$J1095))</f>
        <v/>
      </c>
      <c r="Q1095" s="85">
        <f>IF(OR($K1095="",$H1095="Completed",$H1095="Cancelled"),"",IF(AND($K1095&lt;TODAY(),$H1095&lt;&gt;"Completed",$H1095&lt;&gt;"Cancelled"),"Overdue","On Track"))</f>
        <v/>
      </c>
      <c r="R1095" s="81" t="n"/>
      <c r="S1095" s="81">
        <f>IF($B1095="","",IFERROR(INDEX(Task_Tracker!$AA$5:$AA$1004,MATCH($B1095,Task_Tracker!$A$5:$A$1004,0)),""))</f>
        <v/>
      </c>
      <c r="T1095" s="81">
        <f>IF($B1095="","",IFERROR(INDEX(Task_Tracker!$AB$5:$AB$1004,MATCH($B1095,Task_Tracker!$A$5:$A$1004,0)),""))</f>
        <v/>
      </c>
      <c r="U1095" s="78">
        <f>IF($B1095="","",IFERROR(INDEX(Task_Tracker!$F$5:$F$1004,MATCH($B1095,Task_Tracker!$A$5:$A$1004,0)),""))</f>
        <v/>
      </c>
      <c r="V1095" s="78">
        <f>IF($B1095="","",IFERROR(INDEX(Task_Tracker!$I$5:$I$1004,MATCH($B1095,Task_Tracker!$A$5:$A$1004,0)),""))</f>
        <v/>
      </c>
      <c r="W1095" s="81">
        <f>IF(OR($D1095="",$B1095=""),"",$D1095&amp;" | "&amp;$B1095)</f>
        <v/>
      </c>
      <c r="X1095" s="85">
        <f>IF($K1095="","",TEXT($K1095,"yyyy-mm"))</f>
        <v/>
      </c>
      <c r="Y1095" s="81">
        <f>IF(OR($A1095="",$T1095=""),"","Included in Manager_Report")</f>
        <v/>
      </c>
    </row>
    <row r="1096" ht="15" customHeight="1" s="40">
      <c r="A1096" s="65">
        <f>IF(COUNTA(B1096:G1096)=0,"","STP-"&amp;TEXT(ROW()-4,"0000"))</f>
        <v/>
      </c>
      <c r="B1096" s="78" t="n"/>
      <c r="C1096" s="67">
        <f>IF($B1096="","",IFERROR(INDEX(Task_Tracker!$D$5:$D$1004,MATCH($B1096,Task_Tracker!$A$5:$A$1004,0)),""))</f>
        <v/>
      </c>
      <c r="D1096" s="67">
        <f>IF($B1096="","",IFERROR(INDEX(Task_Tracker!$B$5:$B$1004,MATCH($B1096,Task_Tracker!$A$5:$A$1004,0)),""))</f>
        <v/>
      </c>
      <c r="E1096" s="81" t="n"/>
      <c r="F1096" s="81" t="n"/>
      <c r="G1096" s="78" t="n"/>
      <c r="H1096" s="78" t="n"/>
      <c r="I1096" s="67">
        <f>IF($H1096="","",IFERROR(INDEX(Action_Status_Map!$B$5:$B$11,MATCH($H1096,Action_Status_Map!$A$5:$A$11,0)),""))</f>
        <v/>
      </c>
      <c r="J1096" s="82" t="n"/>
      <c r="K1096" s="82" t="n"/>
      <c r="L1096" s="82" t="n"/>
      <c r="M1096" s="83" t="n"/>
      <c r="N1096" s="83" t="n"/>
      <c r="O1096" s="66">
        <f>IF(OR($M1096="",$N1096=""),"",$N1096-$M1096)</f>
        <v/>
      </c>
      <c r="P1096" s="84">
        <f>IF($J1096="","",IF($L1096&lt;&gt;"",$L1096-$J1096,TODAY()-$J1096))</f>
        <v/>
      </c>
      <c r="Q1096" s="85">
        <f>IF(OR($K1096="",$H1096="Completed",$H1096="Cancelled"),"",IF(AND($K1096&lt;TODAY(),$H1096&lt;&gt;"Completed",$H1096&lt;&gt;"Cancelled"),"Overdue","On Track"))</f>
        <v/>
      </c>
      <c r="R1096" s="81" t="n"/>
      <c r="S1096" s="81">
        <f>IF($B1096="","",IFERROR(INDEX(Task_Tracker!$AA$5:$AA$1004,MATCH($B1096,Task_Tracker!$A$5:$A$1004,0)),""))</f>
        <v/>
      </c>
      <c r="T1096" s="81">
        <f>IF($B1096="","",IFERROR(INDEX(Task_Tracker!$AB$5:$AB$1004,MATCH($B1096,Task_Tracker!$A$5:$A$1004,0)),""))</f>
        <v/>
      </c>
      <c r="U1096" s="78">
        <f>IF($B1096="","",IFERROR(INDEX(Task_Tracker!$F$5:$F$1004,MATCH($B1096,Task_Tracker!$A$5:$A$1004,0)),""))</f>
        <v/>
      </c>
      <c r="V1096" s="78">
        <f>IF($B1096="","",IFERROR(INDEX(Task_Tracker!$I$5:$I$1004,MATCH($B1096,Task_Tracker!$A$5:$A$1004,0)),""))</f>
        <v/>
      </c>
      <c r="W1096" s="81">
        <f>IF(OR($D1096="",$B1096=""),"",$D1096&amp;" | "&amp;$B1096)</f>
        <v/>
      </c>
      <c r="X1096" s="85">
        <f>IF($K1096="","",TEXT($K1096,"yyyy-mm"))</f>
        <v/>
      </c>
      <c r="Y1096" s="81">
        <f>IF(OR($A1096="",$T1096=""),"","Included in Manager_Report")</f>
        <v/>
      </c>
    </row>
    <row r="1097" ht="15" customHeight="1" s="40">
      <c r="A1097" s="65">
        <f>IF(COUNTA(B1097:G1097)=0,"","STP-"&amp;TEXT(ROW()-4,"0000"))</f>
        <v/>
      </c>
      <c r="B1097" s="78" t="n"/>
      <c r="C1097" s="67">
        <f>IF($B1097="","",IFERROR(INDEX(Task_Tracker!$D$5:$D$1004,MATCH($B1097,Task_Tracker!$A$5:$A$1004,0)),""))</f>
        <v/>
      </c>
      <c r="D1097" s="67">
        <f>IF($B1097="","",IFERROR(INDEX(Task_Tracker!$B$5:$B$1004,MATCH($B1097,Task_Tracker!$A$5:$A$1004,0)),""))</f>
        <v/>
      </c>
      <c r="E1097" s="81" t="n"/>
      <c r="F1097" s="81" t="n"/>
      <c r="G1097" s="78" t="n"/>
      <c r="H1097" s="78" t="n"/>
      <c r="I1097" s="67">
        <f>IF($H1097="","",IFERROR(INDEX(Action_Status_Map!$B$5:$B$11,MATCH($H1097,Action_Status_Map!$A$5:$A$11,0)),""))</f>
        <v/>
      </c>
      <c r="J1097" s="82" t="n"/>
      <c r="K1097" s="82" t="n"/>
      <c r="L1097" s="82" t="n"/>
      <c r="M1097" s="83" t="n"/>
      <c r="N1097" s="83" t="n"/>
      <c r="O1097" s="66">
        <f>IF(OR($M1097="",$N1097=""),"",$N1097-$M1097)</f>
        <v/>
      </c>
      <c r="P1097" s="84">
        <f>IF($J1097="","",IF($L1097&lt;&gt;"",$L1097-$J1097,TODAY()-$J1097))</f>
        <v/>
      </c>
      <c r="Q1097" s="85">
        <f>IF(OR($K1097="",$H1097="Completed",$H1097="Cancelled"),"",IF(AND($K1097&lt;TODAY(),$H1097&lt;&gt;"Completed",$H1097&lt;&gt;"Cancelled"),"Overdue","On Track"))</f>
        <v/>
      </c>
      <c r="R1097" s="81" t="n"/>
      <c r="S1097" s="81">
        <f>IF($B1097="","",IFERROR(INDEX(Task_Tracker!$AA$5:$AA$1004,MATCH($B1097,Task_Tracker!$A$5:$A$1004,0)),""))</f>
        <v/>
      </c>
      <c r="T1097" s="81">
        <f>IF($B1097="","",IFERROR(INDEX(Task_Tracker!$AB$5:$AB$1004,MATCH($B1097,Task_Tracker!$A$5:$A$1004,0)),""))</f>
        <v/>
      </c>
      <c r="U1097" s="78">
        <f>IF($B1097="","",IFERROR(INDEX(Task_Tracker!$F$5:$F$1004,MATCH($B1097,Task_Tracker!$A$5:$A$1004,0)),""))</f>
        <v/>
      </c>
      <c r="V1097" s="78">
        <f>IF($B1097="","",IFERROR(INDEX(Task_Tracker!$I$5:$I$1004,MATCH($B1097,Task_Tracker!$A$5:$A$1004,0)),""))</f>
        <v/>
      </c>
      <c r="W1097" s="81">
        <f>IF(OR($D1097="",$B1097=""),"",$D1097&amp;" | "&amp;$B1097)</f>
        <v/>
      </c>
      <c r="X1097" s="85">
        <f>IF($K1097="","",TEXT($K1097,"yyyy-mm"))</f>
        <v/>
      </c>
      <c r="Y1097" s="81">
        <f>IF(OR($A1097="",$T1097=""),"","Included in Manager_Report")</f>
        <v/>
      </c>
    </row>
    <row r="1098" ht="15" customHeight="1" s="40">
      <c r="A1098" s="65">
        <f>IF(COUNTA(B1098:G1098)=0,"","STP-"&amp;TEXT(ROW()-4,"0000"))</f>
        <v/>
      </c>
      <c r="B1098" s="78" t="n"/>
      <c r="C1098" s="67">
        <f>IF($B1098="","",IFERROR(INDEX(Task_Tracker!$D$5:$D$1004,MATCH($B1098,Task_Tracker!$A$5:$A$1004,0)),""))</f>
        <v/>
      </c>
      <c r="D1098" s="67">
        <f>IF($B1098="","",IFERROR(INDEX(Task_Tracker!$B$5:$B$1004,MATCH($B1098,Task_Tracker!$A$5:$A$1004,0)),""))</f>
        <v/>
      </c>
      <c r="E1098" s="81" t="n"/>
      <c r="F1098" s="81" t="n"/>
      <c r="G1098" s="78" t="n"/>
      <c r="H1098" s="78" t="n"/>
      <c r="I1098" s="67">
        <f>IF($H1098="","",IFERROR(INDEX(Action_Status_Map!$B$5:$B$11,MATCH($H1098,Action_Status_Map!$A$5:$A$11,0)),""))</f>
        <v/>
      </c>
      <c r="J1098" s="82" t="n"/>
      <c r="K1098" s="82" t="n"/>
      <c r="L1098" s="82" t="n"/>
      <c r="M1098" s="83" t="n"/>
      <c r="N1098" s="83" t="n"/>
      <c r="O1098" s="66">
        <f>IF(OR($M1098="",$N1098=""),"",$N1098-$M1098)</f>
        <v/>
      </c>
      <c r="P1098" s="84">
        <f>IF($J1098="","",IF($L1098&lt;&gt;"",$L1098-$J1098,TODAY()-$J1098))</f>
        <v/>
      </c>
      <c r="Q1098" s="85">
        <f>IF(OR($K1098="",$H1098="Completed",$H1098="Cancelled"),"",IF(AND($K1098&lt;TODAY(),$H1098&lt;&gt;"Completed",$H1098&lt;&gt;"Cancelled"),"Overdue","On Track"))</f>
        <v/>
      </c>
      <c r="R1098" s="81" t="n"/>
      <c r="S1098" s="81">
        <f>IF($B1098="","",IFERROR(INDEX(Task_Tracker!$AA$5:$AA$1004,MATCH($B1098,Task_Tracker!$A$5:$A$1004,0)),""))</f>
        <v/>
      </c>
      <c r="T1098" s="81">
        <f>IF($B1098="","",IFERROR(INDEX(Task_Tracker!$AB$5:$AB$1004,MATCH($B1098,Task_Tracker!$A$5:$A$1004,0)),""))</f>
        <v/>
      </c>
      <c r="U1098" s="78">
        <f>IF($B1098="","",IFERROR(INDEX(Task_Tracker!$F$5:$F$1004,MATCH($B1098,Task_Tracker!$A$5:$A$1004,0)),""))</f>
        <v/>
      </c>
      <c r="V1098" s="78">
        <f>IF($B1098="","",IFERROR(INDEX(Task_Tracker!$I$5:$I$1004,MATCH($B1098,Task_Tracker!$A$5:$A$1004,0)),""))</f>
        <v/>
      </c>
      <c r="W1098" s="81">
        <f>IF(OR($D1098="",$B1098=""),"",$D1098&amp;" | "&amp;$B1098)</f>
        <v/>
      </c>
      <c r="X1098" s="85">
        <f>IF($K1098="","",TEXT($K1098,"yyyy-mm"))</f>
        <v/>
      </c>
      <c r="Y1098" s="81">
        <f>IF(OR($A1098="",$T1098=""),"","Included in Manager_Report")</f>
        <v/>
      </c>
    </row>
    <row r="1099" ht="15" customHeight="1" s="40">
      <c r="A1099" s="65">
        <f>IF(COUNTA(B1099:G1099)=0,"","STP-"&amp;TEXT(ROW()-4,"0000"))</f>
        <v/>
      </c>
      <c r="B1099" s="78" t="n"/>
      <c r="C1099" s="67">
        <f>IF($B1099="","",IFERROR(INDEX(Task_Tracker!$D$5:$D$1004,MATCH($B1099,Task_Tracker!$A$5:$A$1004,0)),""))</f>
        <v/>
      </c>
      <c r="D1099" s="67">
        <f>IF($B1099="","",IFERROR(INDEX(Task_Tracker!$B$5:$B$1004,MATCH($B1099,Task_Tracker!$A$5:$A$1004,0)),""))</f>
        <v/>
      </c>
      <c r="E1099" s="81" t="n"/>
      <c r="F1099" s="81" t="n"/>
      <c r="G1099" s="78" t="n"/>
      <c r="H1099" s="78" t="n"/>
      <c r="I1099" s="67">
        <f>IF($H1099="","",IFERROR(INDEX(Action_Status_Map!$B$5:$B$11,MATCH($H1099,Action_Status_Map!$A$5:$A$11,0)),""))</f>
        <v/>
      </c>
      <c r="J1099" s="82" t="n"/>
      <c r="K1099" s="82" t="n"/>
      <c r="L1099" s="82" t="n"/>
      <c r="M1099" s="83" t="n"/>
      <c r="N1099" s="83" t="n"/>
      <c r="O1099" s="66">
        <f>IF(OR($M1099="",$N1099=""),"",$N1099-$M1099)</f>
        <v/>
      </c>
      <c r="P1099" s="84">
        <f>IF($J1099="","",IF($L1099&lt;&gt;"",$L1099-$J1099,TODAY()-$J1099))</f>
        <v/>
      </c>
      <c r="Q1099" s="85">
        <f>IF(OR($K1099="",$H1099="Completed",$H1099="Cancelled"),"",IF(AND($K1099&lt;TODAY(),$H1099&lt;&gt;"Completed",$H1099&lt;&gt;"Cancelled"),"Overdue","On Track"))</f>
        <v/>
      </c>
      <c r="R1099" s="81" t="n"/>
      <c r="S1099" s="81">
        <f>IF($B1099="","",IFERROR(INDEX(Task_Tracker!$AA$5:$AA$1004,MATCH($B1099,Task_Tracker!$A$5:$A$1004,0)),""))</f>
        <v/>
      </c>
      <c r="T1099" s="81">
        <f>IF($B1099="","",IFERROR(INDEX(Task_Tracker!$AB$5:$AB$1004,MATCH($B1099,Task_Tracker!$A$5:$A$1004,0)),""))</f>
        <v/>
      </c>
      <c r="U1099" s="78">
        <f>IF($B1099="","",IFERROR(INDEX(Task_Tracker!$F$5:$F$1004,MATCH($B1099,Task_Tracker!$A$5:$A$1004,0)),""))</f>
        <v/>
      </c>
      <c r="V1099" s="78">
        <f>IF($B1099="","",IFERROR(INDEX(Task_Tracker!$I$5:$I$1004,MATCH($B1099,Task_Tracker!$A$5:$A$1004,0)),""))</f>
        <v/>
      </c>
      <c r="W1099" s="81">
        <f>IF(OR($D1099="",$B1099=""),"",$D1099&amp;" | "&amp;$B1099)</f>
        <v/>
      </c>
      <c r="X1099" s="85">
        <f>IF($K1099="","",TEXT($K1099,"yyyy-mm"))</f>
        <v/>
      </c>
      <c r="Y1099" s="81">
        <f>IF(OR($A1099="",$T1099=""),"","Included in Manager_Report")</f>
        <v/>
      </c>
    </row>
    <row r="1100" ht="15" customHeight="1" s="40">
      <c r="A1100" s="65">
        <f>IF(COUNTA(B1100:G1100)=0,"","STP-"&amp;TEXT(ROW()-4,"0000"))</f>
        <v/>
      </c>
      <c r="B1100" s="78" t="n"/>
      <c r="C1100" s="67">
        <f>IF($B1100="","",IFERROR(INDEX(Task_Tracker!$D$5:$D$1004,MATCH($B1100,Task_Tracker!$A$5:$A$1004,0)),""))</f>
        <v/>
      </c>
      <c r="D1100" s="67">
        <f>IF($B1100="","",IFERROR(INDEX(Task_Tracker!$B$5:$B$1004,MATCH($B1100,Task_Tracker!$A$5:$A$1004,0)),""))</f>
        <v/>
      </c>
      <c r="E1100" s="81" t="n"/>
      <c r="F1100" s="81" t="n"/>
      <c r="G1100" s="78" t="n"/>
      <c r="H1100" s="78" t="n"/>
      <c r="I1100" s="67">
        <f>IF($H1100="","",IFERROR(INDEX(Action_Status_Map!$B$5:$B$11,MATCH($H1100,Action_Status_Map!$A$5:$A$11,0)),""))</f>
        <v/>
      </c>
      <c r="J1100" s="82" t="n"/>
      <c r="K1100" s="82" t="n"/>
      <c r="L1100" s="82" t="n"/>
      <c r="M1100" s="83" t="n"/>
      <c r="N1100" s="83" t="n"/>
      <c r="O1100" s="66">
        <f>IF(OR($M1100="",$N1100=""),"",$N1100-$M1100)</f>
        <v/>
      </c>
      <c r="P1100" s="84">
        <f>IF($J1100="","",IF($L1100&lt;&gt;"",$L1100-$J1100,TODAY()-$J1100))</f>
        <v/>
      </c>
      <c r="Q1100" s="85">
        <f>IF(OR($K1100="",$H1100="Completed",$H1100="Cancelled"),"",IF(AND($K1100&lt;TODAY(),$H1100&lt;&gt;"Completed",$H1100&lt;&gt;"Cancelled"),"Overdue","On Track"))</f>
        <v/>
      </c>
      <c r="R1100" s="81" t="n"/>
      <c r="S1100" s="81">
        <f>IF($B1100="","",IFERROR(INDEX(Task_Tracker!$AA$5:$AA$1004,MATCH($B1100,Task_Tracker!$A$5:$A$1004,0)),""))</f>
        <v/>
      </c>
      <c r="T1100" s="81">
        <f>IF($B1100="","",IFERROR(INDEX(Task_Tracker!$AB$5:$AB$1004,MATCH($B1100,Task_Tracker!$A$5:$A$1004,0)),""))</f>
        <v/>
      </c>
      <c r="U1100" s="78">
        <f>IF($B1100="","",IFERROR(INDEX(Task_Tracker!$F$5:$F$1004,MATCH($B1100,Task_Tracker!$A$5:$A$1004,0)),""))</f>
        <v/>
      </c>
      <c r="V1100" s="78">
        <f>IF($B1100="","",IFERROR(INDEX(Task_Tracker!$I$5:$I$1004,MATCH($B1100,Task_Tracker!$A$5:$A$1004,0)),""))</f>
        <v/>
      </c>
      <c r="W1100" s="81">
        <f>IF(OR($D1100="",$B1100=""),"",$D1100&amp;" | "&amp;$B1100)</f>
        <v/>
      </c>
      <c r="X1100" s="85">
        <f>IF($K1100="","",TEXT($K1100,"yyyy-mm"))</f>
        <v/>
      </c>
      <c r="Y1100" s="81">
        <f>IF(OR($A1100="",$T1100=""),"","Included in Manager_Report")</f>
        <v/>
      </c>
    </row>
    <row r="1101" ht="15" customHeight="1" s="40">
      <c r="A1101" s="65">
        <f>IF(COUNTA(B1101:G1101)=0,"","STP-"&amp;TEXT(ROW()-4,"0000"))</f>
        <v/>
      </c>
      <c r="B1101" s="78" t="n"/>
      <c r="C1101" s="67">
        <f>IF($B1101="","",IFERROR(INDEX(Task_Tracker!$D$5:$D$1004,MATCH($B1101,Task_Tracker!$A$5:$A$1004,0)),""))</f>
        <v/>
      </c>
      <c r="D1101" s="67">
        <f>IF($B1101="","",IFERROR(INDEX(Task_Tracker!$B$5:$B$1004,MATCH($B1101,Task_Tracker!$A$5:$A$1004,0)),""))</f>
        <v/>
      </c>
      <c r="E1101" s="81" t="n"/>
      <c r="F1101" s="81" t="n"/>
      <c r="G1101" s="78" t="n"/>
      <c r="H1101" s="78" t="n"/>
      <c r="I1101" s="67">
        <f>IF($H1101="","",IFERROR(INDEX(Action_Status_Map!$B$5:$B$11,MATCH($H1101,Action_Status_Map!$A$5:$A$11,0)),""))</f>
        <v/>
      </c>
      <c r="J1101" s="82" t="n"/>
      <c r="K1101" s="82" t="n"/>
      <c r="L1101" s="82" t="n"/>
      <c r="M1101" s="83" t="n"/>
      <c r="N1101" s="83" t="n"/>
      <c r="O1101" s="66">
        <f>IF(OR($M1101="",$N1101=""),"",$N1101-$M1101)</f>
        <v/>
      </c>
      <c r="P1101" s="84">
        <f>IF($J1101="","",IF($L1101&lt;&gt;"",$L1101-$J1101,TODAY()-$J1101))</f>
        <v/>
      </c>
      <c r="Q1101" s="85">
        <f>IF(OR($K1101="",$H1101="Completed",$H1101="Cancelled"),"",IF(AND($K1101&lt;TODAY(),$H1101&lt;&gt;"Completed",$H1101&lt;&gt;"Cancelled"),"Overdue","On Track"))</f>
        <v/>
      </c>
      <c r="R1101" s="81" t="n"/>
      <c r="S1101" s="81">
        <f>IF($B1101="","",IFERROR(INDEX(Task_Tracker!$AA$5:$AA$1004,MATCH($B1101,Task_Tracker!$A$5:$A$1004,0)),""))</f>
        <v/>
      </c>
      <c r="T1101" s="81">
        <f>IF($B1101="","",IFERROR(INDEX(Task_Tracker!$AB$5:$AB$1004,MATCH($B1101,Task_Tracker!$A$5:$A$1004,0)),""))</f>
        <v/>
      </c>
      <c r="U1101" s="78">
        <f>IF($B1101="","",IFERROR(INDEX(Task_Tracker!$F$5:$F$1004,MATCH($B1101,Task_Tracker!$A$5:$A$1004,0)),""))</f>
        <v/>
      </c>
      <c r="V1101" s="78">
        <f>IF($B1101="","",IFERROR(INDEX(Task_Tracker!$I$5:$I$1004,MATCH($B1101,Task_Tracker!$A$5:$A$1004,0)),""))</f>
        <v/>
      </c>
      <c r="W1101" s="81">
        <f>IF(OR($D1101="",$B1101=""),"",$D1101&amp;" | "&amp;$B1101)</f>
        <v/>
      </c>
      <c r="X1101" s="85">
        <f>IF($K1101="","",TEXT($K1101,"yyyy-mm"))</f>
        <v/>
      </c>
      <c r="Y1101" s="81">
        <f>IF(OR($A1101="",$T1101=""),"","Included in Manager_Report")</f>
        <v/>
      </c>
    </row>
    <row r="1102" ht="15" customHeight="1" s="40">
      <c r="A1102" s="65">
        <f>IF(COUNTA(B1102:G1102)=0,"","STP-"&amp;TEXT(ROW()-4,"0000"))</f>
        <v/>
      </c>
      <c r="B1102" s="78" t="n"/>
      <c r="C1102" s="67">
        <f>IF($B1102="","",IFERROR(INDEX(Task_Tracker!$D$5:$D$1004,MATCH($B1102,Task_Tracker!$A$5:$A$1004,0)),""))</f>
        <v/>
      </c>
      <c r="D1102" s="67">
        <f>IF($B1102="","",IFERROR(INDEX(Task_Tracker!$B$5:$B$1004,MATCH($B1102,Task_Tracker!$A$5:$A$1004,0)),""))</f>
        <v/>
      </c>
      <c r="E1102" s="81" t="n"/>
      <c r="F1102" s="81" t="n"/>
      <c r="G1102" s="78" t="n"/>
      <c r="H1102" s="78" t="n"/>
      <c r="I1102" s="67">
        <f>IF($H1102="","",IFERROR(INDEX(Action_Status_Map!$B$5:$B$11,MATCH($H1102,Action_Status_Map!$A$5:$A$11,0)),""))</f>
        <v/>
      </c>
      <c r="J1102" s="82" t="n"/>
      <c r="K1102" s="82" t="n"/>
      <c r="L1102" s="82" t="n"/>
      <c r="M1102" s="83" t="n"/>
      <c r="N1102" s="83" t="n"/>
      <c r="O1102" s="66">
        <f>IF(OR($M1102="",$N1102=""),"",$N1102-$M1102)</f>
        <v/>
      </c>
      <c r="P1102" s="84">
        <f>IF($J1102="","",IF($L1102&lt;&gt;"",$L1102-$J1102,TODAY()-$J1102))</f>
        <v/>
      </c>
      <c r="Q1102" s="85">
        <f>IF(OR($K1102="",$H1102="Completed",$H1102="Cancelled"),"",IF(AND($K1102&lt;TODAY(),$H1102&lt;&gt;"Completed",$H1102&lt;&gt;"Cancelled"),"Overdue","On Track"))</f>
        <v/>
      </c>
      <c r="R1102" s="81" t="n"/>
      <c r="S1102" s="81">
        <f>IF($B1102="","",IFERROR(INDEX(Task_Tracker!$AA$5:$AA$1004,MATCH($B1102,Task_Tracker!$A$5:$A$1004,0)),""))</f>
        <v/>
      </c>
      <c r="T1102" s="81">
        <f>IF($B1102="","",IFERROR(INDEX(Task_Tracker!$AB$5:$AB$1004,MATCH($B1102,Task_Tracker!$A$5:$A$1004,0)),""))</f>
        <v/>
      </c>
      <c r="U1102" s="78">
        <f>IF($B1102="","",IFERROR(INDEX(Task_Tracker!$F$5:$F$1004,MATCH($B1102,Task_Tracker!$A$5:$A$1004,0)),""))</f>
        <v/>
      </c>
      <c r="V1102" s="78">
        <f>IF($B1102="","",IFERROR(INDEX(Task_Tracker!$I$5:$I$1004,MATCH($B1102,Task_Tracker!$A$5:$A$1004,0)),""))</f>
        <v/>
      </c>
      <c r="W1102" s="81">
        <f>IF(OR($D1102="",$B1102=""),"",$D1102&amp;" | "&amp;$B1102)</f>
        <v/>
      </c>
      <c r="X1102" s="85">
        <f>IF($K1102="","",TEXT($K1102,"yyyy-mm"))</f>
        <v/>
      </c>
      <c r="Y1102" s="81">
        <f>IF(OR($A1102="",$T1102=""),"","Included in Manager_Report")</f>
        <v/>
      </c>
    </row>
    <row r="1103" ht="15" customHeight="1" s="40">
      <c r="A1103" s="65">
        <f>IF(COUNTA(B1103:G1103)=0,"","STP-"&amp;TEXT(ROW()-4,"0000"))</f>
        <v/>
      </c>
      <c r="B1103" s="78" t="n"/>
      <c r="C1103" s="67">
        <f>IF($B1103="","",IFERROR(INDEX(Task_Tracker!$D$5:$D$1004,MATCH($B1103,Task_Tracker!$A$5:$A$1004,0)),""))</f>
        <v/>
      </c>
      <c r="D1103" s="67">
        <f>IF($B1103="","",IFERROR(INDEX(Task_Tracker!$B$5:$B$1004,MATCH($B1103,Task_Tracker!$A$5:$A$1004,0)),""))</f>
        <v/>
      </c>
      <c r="E1103" s="81" t="n"/>
      <c r="F1103" s="81" t="n"/>
      <c r="G1103" s="78" t="n"/>
      <c r="H1103" s="78" t="n"/>
      <c r="I1103" s="67">
        <f>IF($H1103="","",IFERROR(INDEX(Action_Status_Map!$B$5:$B$11,MATCH($H1103,Action_Status_Map!$A$5:$A$11,0)),""))</f>
        <v/>
      </c>
      <c r="J1103" s="82" t="n"/>
      <c r="K1103" s="82" t="n"/>
      <c r="L1103" s="82" t="n"/>
      <c r="M1103" s="83" t="n"/>
      <c r="N1103" s="83" t="n"/>
      <c r="O1103" s="66">
        <f>IF(OR($M1103="",$N1103=""),"",$N1103-$M1103)</f>
        <v/>
      </c>
      <c r="P1103" s="84">
        <f>IF($J1103="","",IF($L1103&lt;&gt;"",$L1103-$J1103,TODAY()-$J1103))</f>
        <v/>
      </c>
      <c r="Q1103" s="85">
        <f>IF(OR($K1103="",$H1103="Completed",$H1103="Cancelled"),"",IF(AND($K1103&lt;TODAY(),$H1103&lt;&gt;"Completed",$H1103&lt;&gt;"Cancelled"),"Overdue","On Track"))</f>
        <v/>
      </c>
      <c r="R1103" s="81" t="n"/>
      <c r="S1103" s="81">
        <f>IF($B1103="","",IFERROR(INDEX(Task_Tracker!$AA$5:$AA$1004,MATCH($B1103,Task_Tracker!$A$5:$A$1004,0)),""))</f>
        <v/>
      </c>
      <c r="T1103" s="81">
        <f>IF($B1103="","",IFERROR(INDEX(Task_Tracker!$AB$5:$AB$1004,MATCH($B1103,Task_Tracker!$A$5:$A$1004,0)),""))</f>
        <v/>
      </c>
      <c r="U1103" s="78">
        <f>IF($B1103="","",IFERROR(INDEX(Task_Tracker!$F$5:$F$1004,MATCH($B1103,Task_Tracker!$A$5:$A$1004,0)),""))</f>
        <v/>
      </c>
      <c r="V1103" s="78">
        <f>IF($B1103="","",IFERROR(INDEX(Task_Tracker!$I$5:$I$1004,MATCH($B1103,Task_Tracker!$A$5:$A$1004,0)),""))</f>
        <v/>
      </c>
      <c r="W1103" s="81">
        <f>IF(OR($D1103="",$B1103=""),"",$D1103&amp;" | "&amp;$B1103)</f>
        <v/>
      </c>
      <c r="X1103" s="85">
        <f>IF($K1103="","",TEXT($K1103,"yyyy-mm"))</f>
        <v/>
      </c>
      <c r="Y1103" s="81">
        <f>IF(OR($A1103="",$T1103=""),"","Included in Manager_Report")</f>
        <v/>
      </c>
    </row>
    <row r="1104" ht="15" customHeight="1" s="40">
      <c r="A1104" s="65">
        <f>IF(COUNTA(B1104:G1104)=0,"","STP-"&amp;TEXT(ROW()-4,"0000"))</f>
        <v/>
      </c>
      <c r="B1104" s="78" t="n"/>
      <c r="C1104" s="67">
        <f>IF($B1104="","",IFERROR(INDEX(Task_Tracker!$D$5:$D$1004,MATCH($B1104,Task_Tracker!$A$5:$A$1004,0)),""))</f>
        <v/>
      </c>
      <c r="D1104" s="67">
        <f>IF($B1104="","",IFERROR(INDEX(Task_Tracker!$B$5:$B$1004,MATCH($B1104,Task_Tracker!$A$5:$A$1004,0)),""))</f>
        <v/>
      </c>
      <c r="E1104" s="81" t="n"/>
      <c r="F1104" s="81" t="n"/>
      <c r="G1104" s="78" t="n"/>
      <c r="H1104" s="78" t="n"/>
      <c r="I1104" s="67">
        <f>IF($H1104="","",IFERROR(INDEX(Action_Status_Map!$B$5:$B$11,MATCH($H1104,Action_Status_Map!$A$5:$A$11,0)),""))</f>
        <v/>
      </c>
      <c r="J1104" s="82" t="n"/>
      <c r="K1104" s="82" t="n"/>
      <c r="L1104" s="82" t="n"/>
      <c r="M1104" s="83" t="n"/>
      <c r="N1104" s="83" t="n"/>
      <c r="O1104" s="66">
        <f>IF(OR($M1104="",$N1104=""),"",$N1104-$M1104)</f>
        <v/>
      </c>
      <c r="P1104" s="84">
        <f>IF($J1104="","",IF($L1104&lt;&gt;"",$L1104-$J1104,TODAY()-$J1104))</f>
        <v/>
      </c>
      <c r="Q1104" s="85">
        <f>IF(OR($K1104="",$H1104="Completed",$H1104="Cancelled"),"",IF(AND($K1104&lt;TODAY(),$H1104&lt;&gt;"Completed",$H1104&lt;&gt;"Cancelled"),"Overdue","On Track"))</f>
        <v/>
      </c>
      <c r="R1104" s="81" t="n"/>
      <c r="S1104" s="81">
        <f>IF($B1104="","",IFERROR(INDEX(Task_Tracker!$AA$5:$AA$1004,MATCH($B1104,Task_Tracker!$A$5:$A$1004,0)),""))</f>
        <v/>
      </c>
      <c r="T1104" s="81">
        <f>IF($B1104="","",IFERROR(INDEX(Task_Tracker!$AB$5:$AB$1004,MATCH($B1104,Task_Tracker!$A$5:$A$1004,0)),""))</f>
        <v/>
      </c>
      <c r="U1104" s="78">
        <f>IF($B1104="","",IFERROR(INDEX(Task_Tracker!$F$5:$F$1004,MATCH($B1104,Task_Tracker!$A$5:$A$1004,0)),""))</f>
        <v/>
      </c>
      <c r="V1104" s="78">
        <f>IF($B1104="","",IFERROR(INDEX(Task_Tracker!$I$5:$I$1004,MATCH($B1104,Task_Tracker!$A$5:$A$1004,0)),""))</f>
        <v/>
      </c>
      <c r="W1104" s="81">
        <f>IF(OR($D1104="",$B1104=""),"",$D1104&amp;" | "&amp;$B1104)</f>
        <v/>
      </c>
      <c r="X1104" s="85">
        <f>IF($K1104="","",TEXT($K1104,"yyyy-mm"))</f>
        <v/>
      </c>
      <c r="Y1104" s="81">
        <f>IF(OR($A1104="",$T1104=""),"","Included in Manager_Report")</f>
        <v/>
      </c>
    </row>
    <row r="1105" ht="15" customHeight="1" s="40">
      <c r="A1105" s="65">
        <f>IF(COUNTA(B1105:G1105)=0,"","STP-"&amp;TEXT(ROW()-4,"0000"))</f>
        <v/>
      </c>
      <c r="B1105" s="78" t="n"/>
      <c r="C1105" s="67">
        <f>IF($B1105="","",IFERROR(INDEX(Task_Tracker!$D$5:$D$1004,MATCH($B1105,Task_Tracker!$A$5:$A$1004,0)),""))</f>
        <v/>
      </c>
      <c r="D1105" s="67">
        <f>IF($B1105="","",IFERROR(INDEX(Task_Tracker!$B$5:$B$1004,MATCH($B1105,Task_Tracker!$A$5:$A$1004,0)),""))</f>
        <v/>
      </c>
      <c r="E1105" s="81" t="n"/>
      <c r="F1105" s="81" t="n"/>
      <c r="G1105" s="78" t="n"/>
      <c r="H1105" s="78" t="n"/>
      <c r="I1105" s="67">
        <f>IF($H1105="","",IFERROR(INDEX(Action_Status_Map!$B$5:$B$11,MATCH($H1105,Action_Status_Map!$A$5:$A$11,0)),""))</f>
        <v/>
      </c>
      <c r="J1105" s="82" t="n"/>
      <c r="K1105" s="82" t="n"/>
      <c r="L1105" s="82" t="n"/>
      <c r="M1105" s="83" t="n"/>
      <c r="N1105" s="83" t="n"/>
      <c r="O1105" s="66">
        <f>IF(OR($M1105="",$N1105=""),"",$N1105-$M1105)</f>
        <v/>
      </c>
      <c r="P1105" s="84">
        <f>IF($J1105="","",IF($L1105&lt;&gt;"",$L1105-$J1105,TODAY()-$J1105))</f>
        <v/>
      </c>
      <c r="Q1105" s="85">
        <f>IF(OR($K1105="",$H1105="Completed",$H1105="Cancelled"),"",IF(AND($K1105&lt;TODAY(),$H1105&lt;&gt;"Completed",$H1105&lt;&gt;"Cancelled"),"Overdue","On Track"))</f>
        <v/>
      </c>
      <c r="R1105" s="81" t="n"/>
      <c r="S1105" s="81">
        <f>IF($B1105="","",IFERROR(INDEX(Task_Tracker!$AA$5:$AA$1004,MATCH($B1105,Task_Tracker!$A$5:$A$1004,0)),""))</f>
        <v/>
      </c>
      <c r="T1105" s="81">
        <f>IF($B1105="","",IFERROR(INDEX(Task_Tracker!$AB$5:$AB$1004,MATCH($B1105,Task_Tracker!$A$5:$A$1004,0)),""))</f>
        <v/>
      </c>
      <c r="U1105" s="78">
        <f>IF($B1105="","",IFERROR(INDEX(Task_Tracker!$F$5:$F$1004,MATCH($B1105,Task_Tracker!$A$5:$A$1004,0)),""))</f>
        <v/>
      </c>
      <c r="V1105" s="78">
        <f>IF($B1105="","",IFERROR(INDEX(Task_Tracker!$I$5:$I$1004,MATCH($B1105,Task_Tracker!$A$5:$A$1004,0)),""))</f>
        <v/>
      </c>
      <c r="W1105" s="81">
        <f>IF(OR($D1105="",$B1105=""),"",$D1105&amp;" | "&amp;$B1105)</f>
        <v/>
      </c>
      <c r="X1105" s="85">
        <f>IF($K1105="","",TEXT($K1105,"yyyy-mm"))</f>
        <v/>
      </c>
      <c r="Y1105" s="81">
        <f>IF(OR($A1105="",$T1105=""),"","Included in Manager_Report")</f>
        <v/>
      </c>
    </row>
    <row r="1106" ht="15" customHeight="1" s="40">
      <c r="A1106" s="65">
        <f>IF(COUNTA(B1106:G1106)=0,"","STP-"&amp;TEXT(ROW()-4,"0000"))</f>
        <v/>
      </c>
      <c r="B1106" s="78" t="n"/>
      <c r="C1106" s="67">
        <f>IF($B1106="","",IFERROR(INDEX(Task_Tracker!$D$5:$D$1004,MATCH($B1106,Task_Tracker!$A$5:$A$1004,0)),""))</f>
        <v/>
      </c>
      <c r="D1106" s="67">
        <f>IF($B1106="","",IFERROR(INDEX(Task_Tracker!$B$5:$B$1004,MATCH($B1106,Task_Tracker!$A$5:$A$1004,0)),""))</f>
        <v/>
      </c>
      <c r="E1106" s="81" t="n"/>
      <c r="F1106" s="81" t="n"/>
      <c r="G1106" s="78" t="n"/>
      <c r="H1106" s="78" t="n"/>
      <c r="I1106" s="67">
        <f>IF($H1106="","",IFERROR(INDEX(Action_Status_Map!$B$5:$B$11,MATCH($H1106,Action_Status_Map!$A$5:$A$11,0)),""))</f>
        <v/>
      </c>
      <c r="J1106" s="82" t="n"/>
      <c r="K1106" s="82" t="n"/>
      <c r="L1106" s="82" t="n"/>
      <c r="M1106" s="83" t="n"/>
      <c r="N1106" s="83" t="n"/>
      <c r="O1106" s="66">
        <f>IF(OR($M1106="",$N1106=""),"",$N1106-$M1106)</f>
        <v/>
      </c>
      <c r="P1106" s="84">
        <f>IF($J1106="","",IF($L1106&lt;&gt;"",$L1106-$J1106,TODAY()-$J1106))</f>
        <v/>
      </c>
      <c r="Q1106" s="85">
        <f>IF(OR($K1106="",$H1106="Completed",$H1106="Cancelled"),"",IF(AND($K1106&lt;TODAY(),$H1106&lt;&gt;"Completed",$H1106&lt;&gt;"Cancelled"),"Overdue","On Track"))</f>
        <v/>
      </c>
      <c r="R1106" s="81" t="n"/>
      <c r="S1106" s="81">
        <f>IF($B1106="","",IFERROR(INDEX(Task_Tracker!$AA$5:$AA$1004,MATCH($B1106,Task_Tracker!$A$5:$A$1004,0)),""))</f>
        <v/>
      </c>
      <c r="T1106" s="81">
        <f>IF($B1106="","",IFERROR(INDEX(Task_Tracker!$AB$5:$AB$1004,MATCH($B1106,Task_Tracker!$A$5:$A$1004,0)),""))</f>
        <v/>
      </c>
      <c r="U1106" s="78">
        <f>IF($B1106="","",IFERROR(INDEX(Task_Tracker!$F$5:$F$1004,MATCH($B1106,Task_Tracker!$A$5:$A$1004,0)),""))</f>
        <v/>
      </c>
      <c r="V1106" s="78">
        <f>IF($B1106="","",IFERROR(INDEX(Task_Tracker!$I$5:$I$1004,MATCH($B1106,Task_Tracker!$A$5:$A$1004,0)),""))</f>
        <v/>
      </c>
      <c r="W1106" s="81">
        <f>IF(OR($D1106="",$B1106=""),"",$D1106&amp;" | "&amp;$B1106)</f>
        <v/>
      </c>
      <c r="X1106" s="85">
        <f>IF($K1106="","",TEXT($K1106,"yyyy-mm"))</f>
        <v/>
      </c>
      <c r="Y1106" s="81">
        <f>IF(OR($A1106="",$T1106=""),"","Included in Manager_Report")</f>
        <v/>
      </c>
    </row>
    <row r="1107" ht="15" customHeight="1" s="40">
      <c r="A1107" s="65">
        <f>IF(COUNTA(B1107:G1107)=0,"","STP-"&amp;TEXT(ROW()-4,"0000"))</f>
        <v/>
      </c>
      <c r="B1107" s="78" t="n"/>
      <c r="C1107" s="67">
        <f>IF($B1107="","",IFERROR(INDEX(Task_Tracker!$D$5:$D$1004,MATCH($B1107,Task_Tracker!$A$5:$A$1004,0)),""))</f>
        <v/>
      </c>
      <c r="D1107" s="67">
        <f>IF($B1107="","",IFERROR(INDEX(Task_Tracker!$B$5:$B$1004,MATCH($B1107,Task_Tracker!$A$5:$A$1004,0)),""))</f>
        <v/>
      </c>
      <c r="E1107" s="81" t="n"/>
      <c r="F1107" s="81" t="n"/>
      <c r="G1107" s="78" t="n"/>
      <c r="H1107" s="78" t="n"/>
      <c r="I1107" s="67">
        <f>IF($H1107="","",IFERROR(INDEX(Action_Status_Map!$B$5:$B$11,MATCH($H1107,Action_Status_Map!$A$5:$A$11,0)),""))</f>
        <v/>
      </c>
      <c r="J1107" s="82" t="n"/>
      <c r="K1107" s="82" t="n"/>
      <c r="L1107" s="82" t="n"/>
      <c r="M1107" s="83" t="n"/>
      <c r="N1107" s="83" t="n"/>
      <c r="O1107" s="66">
        <f>IF(OR($M1107="",$N1107=""),"",$N1107-$M1107)</f>
        <v/>
      </c>
      <c r="P1107" s="84">
        <f>IF($J1107="","",IF($L1107&lt;&gt;"",$L1107-$J1107,TODAY()-$J1107))</f>
        <v/>
      </c>
      <c r="Q1107" s="85">
        <f>IF(OR($K1107="",$H1107="Completed",$H1107="Cancelled"),"",IF(AND($K1107&lt;TODAY(),$H1107&lt;&gt;"Completed",$H1107&lt;&gt;"Cancelled"),"Overdue","On Track"))</f>
        <v/>
      </c>
      <c r="R1107" s="81" t="n"/>
      <c r="S1107" s="81">
        <f>IF($B1107="","",IFERROR(INDEX(Task_Tracker!$AA$5:$AA$1004,MATCH($B1107,Task_Tracker!$A$5:$A$1004,0)),""))</f>
        <v/>
      </c>
      <c r="T1107" s="81">
        <f>IF($B1107="","",IFERROR(INDEX(Task_Tracker!$AB$5:$AB$1004,MATCH($B1107,Task_Tracker!$A$5:$A$1004,0)),""))</f>
        <v/>
      </c>
      <c r="U1107" s="78">
        <f>IF($B1107="","",IFERROR(INDEX(Task_Tracker!$F$5:$F$1004,MATCH($B1107,Task_Tracker!$A$5:$A$1004,0)),""))</f>
        <v/>
      </c>
      <c r="V1107" s="78">
        <f>IF($B1107="","",IFERROR(INDEX(Task_Tracker!$I$5:$I$1004,MATCH($B1107,Task_Tracker!$A$5:$A$1004,0)),""))</f>
        <v/>
      </c>
      <c r="W1107" s="81">
        <f>IF(OR($D1107="",$B1107=""),"",$D1107&amp;" | "&amp;$B1107)</f>
        <v/>
      </c>
      <c r="X1107" s="85">
        <f>IF($K1107="","",TEXT($K1107,"yyyy-mm"))</f>
        <v/>
      </c>
      <c r="Y1107" s="81">
        <f>IF(OR($A1107="",$T1107=""),"","Included in Manager_Report")</f>
        <v/>
      </c>
    </row>
    <row r="1108" ht="15" customHeight="1" s="40">
      <c r="A1108" s="65">
        <f>IF(COUNTA(B1108:G1108)=0,"","STP-"&amp;TEXT(ROW()-4,"0000"))</f>
        <v/>
      </c>
      <c r="B1108" s="78" t="n"/>
      <c r="C1108" s="67">
        <f>IF($B1108="","",IFERROR(INDEX(Task_Tracker!$D$5:$D$1004,MATCH($B1108,Task_Tracker!$A$5:$A$1004,0)),""))</f>
        <v/>
      </c>
      <c r="D1108" s="67">
        <f>IF($B1108="","",IFERROR(INDEX(Task_Tracker!$B$5:$B$1004,MATCH($B1108,Task_Tracker!$A$5:$A$1004,0)),""))</f>
        <v/>
      </c>
      <c r="E1108" s="81" t="n"/>
      <c r="F1108" s="81" t="n"/>
      <c r="G1108" s="78" t="n"/>
      <c r="H1108" s="78" t="n"/>
      <c r="I1108" s="67">
        <f>IF($H1108="","",IFERROR(INDEX(Action_Status_Map!$B$5:$B$11,MATCH($H1108,Action_Status_Map!$A$5:$A$11,0)),""))</f>
        <v/>
      </c>
      <c r="J1108" s="82" t="n"/>
      <c r="K1108" s="82" t="n"/>
      <c r="L1108" s="82" t="n"/>
      <c r="M1108" s="83" t="n"/>
      <c r="N1108" s="83" t="n"/>
      <c r="O1108" s="66">
        <f>IF(OR($M1108="",$N1108=""),"",$N1108-$M1108)</f>
        <v/>
      </c>
      <c r="P1108" s="84">
        <f>IF($J1108="","",IF($L1108&lt;&gt;"",$L1108-$J1108,TODAY()-$J1108))</f>
        <v/>
      </c>
      <c r="Q1108" s="85">
        <f>IF(OR($K1108="",$H1108="Completed",$H1108="Cancelled"),"",IF(AND($K1108&lt;TODAY(),$H1108&lt;&gt;"Completed",$H1108&lt;&gt;"Cancelled"),"Overdue","On Track"))</f>
        <v/>
      </c>
      <c r="R1108" s="81" t="n"/>
      <c r="S1108" s="81">
        <f>IF($B1108="","",IFERROR(INDEX(Task_Tracker!$AA$5:$AA$1004,MATCH($B1108,Task_Tracker!$A$5:$A$1004,0)),""))</f>
        <v/>
      </c>
      <c r="T1108" s="81">
        <f>IF($B1108="","",IFERROR(INDEX(Task_Tracker!$AB$5:$AB$1004,MATCH($B1108,Task_Tracker!$A$5:$A$1004,0)),""))</f>
        <v/>
      </c>
      <c r="U1108" s="78">
        <f>IF($B1108="","",IFERROR(INDEX(Task_Tracker!$F$5:$F$1004,MATCH($B1108,Task_Tracker!$A$5:$A$1004,0)),""))</f>
        <v/>
      </c>
      <c r="V1108" s="78">
        <f>IF($B1108="","",IFERROR(INDEX(Task_Tracker!$I$5:$I$1004,MATCH($B1108,Task_Tracker!$A$5:$A$1004,0)),""))</f>
        <v/>
      </c>
      <c r="W1108" s="81">
        <f>IF(OR($D1108="",$B1108=""),"",$D1108&amp;" | "&amp;$B1108)</f>
        <v/>
      </c>
      <c r="X1108" s="85">
        <f>IF($K1108="","",TEXT($K1108,"yyyy-mm"))</f>
        <v/>
      </c>
      <c r="Y1108" s="81">
        <f>IF(OR($A1108="",$T1108=""),"","Included in Manager_Report")</f>
        <v/>
      </c>
    </row>
    <row r="1109" ht="15" customHeight="1" s="40">
      <c r="A1109" s="65">
        <f>IF(COUNTA(B1109:G1109)=0,"","STP-"&amp;TEXT(ROW()-4,"0000"))</f>
        <v/>
      </c>
      <c r="B1109" s="78" t="n"/>
      <c r="C1109" s="67">
        <f>IF($B1109="","",IFERROR(INDEX(Task_Tracker!$D$5:$D$1004,MATCH($B1109,Task_Tracker!$A$5:$A$1004,0)),""))</f>
        <v/>
      </c>
      <c r="D1109" s="67">
        <f>IF($B1109="","",IFERROR(INDEX(Task_Tracker!$B$5:$B$1004,MATCH($B1109,Task_Tracker!$A$5:$A$1004,0)),""))</f>
        <v/>
      </c>
      <c r="E1109" s="81" t="n"/>
      <c r="F1109" s="81" t="n"/>
      <c r="G1109" s="78" t="n"/>
      <c r="H1109" s="78" t="n"/>
      <c r="I1109" s="67">
        <f>IF($H1109="","",IFERROR(INDEX(Action_Status_Map!$B$5:$B$11,MATCH($H1109,Action_Status_Map!$A$5:$A$11,0)),""))</f>
        <v/>
      </c>
      <c r="J1109" s="82" t="n"/>
      <c r="K1109" s="82" t="n"/>
      <c r="L1109" s="82" t="n"/>
      <c r="M1109" s="83" t="n"/>
      <c r="N1109" s="83" t="n"/>
      <c r="O1109" s="66">
        <f>IF(OR($M1109="",$N1109=""),"",$N1109-$M1109)</f>
        <v/>
      </c>
      <c r="P1109" s="84">
        <f>IF($J1109="","",IF($L1109&lt;&gt;"",$L1109-$J1109,TODAY()-$J1109))</f>
        <v/>
      </c>
      <c r="Q1109" s="85">
        <f>IF(OR($K1109="",$H1109="Completed",$H1109="Cancelled"),"",IF(AND($K1109&lt;TODAY(),$H1109&lt;&gt;"Completed",$H1109&lt;&gt;"Cancelled"),"Overdue","On Track"))</f>
        <v/>
      </c>
      <c r="R1109" s="81" t="n"/>
      <c r="S1109" s="81">
        <f>IF($B1109="","",IFERROR(INDEX(Task_Tracker!$AA$5:$AA$1004,MATCH($B1109,Task_Tracker!$A$5:$A$1004,0)),""))</f>
        <v/>
      </c>
      <c r="T1109" s="81">
        <f>IF($B1109="","",IFERROR(INDEX(Task_Tracker!$AB$5:$AB$1004,MATCH($B1109,Task_Tracker!$A$5:$A$1004,0)),""))</f>
        <v/>
      </c>
      <c r="U1109" s="78">
        <f>IF($B1109="","",IFERROR(INDEX(Task_Tracker!$F$5:$F$1004,MATCH($B1109,Task_Tracker!$A$5:$A$1004,0)),""))</f>
        <v/>
      </c>
      <c r="V1109" s="78">
        <f>IF($B1109="","",IFERROR(INDEX(Task_Tracker!$I$5:$I$1004,MATCH($B1109,Task_Tracker!$A$5:$A$1004,0)),""))</f>
        <v/>
      </c>
      <c r="W1109" s="81">
        <f>IF(OR($D1109="",$B1109=""),"",$D1109&amp;" | "&amp;$B1109)</f>
        <v/>
      </c>
      <c r="X1109" s="85">
        <f>IF($K1109="","",TEXT($K1109,"yyyy-mm"))</f>
        <v/>
      </c>
      <c r="Y1109" s="81">
        <f>IF(OR($A1109="",$T1109=""),"","Included in Manager_Report")</f>
        <v/>
      </c>
    </row>
    <row r="1110" ht="15" customHeight="1" s="40">
      <c r="A1110" s="65">
        <f>IF(COUNTA(B1110:G1110)=0,"","STP-"&amp;TEXT(ROW()-4,"0000"))</f>
        <v/>
      </c>
      <c r="B1110" s="78" t="n"/>
      <c r="C1110" s="67">
        <f>IF($B1110="","",IFERROR(INDEX(Task_Tracker!$D$5:$D$1004,MATCH($B1110,Task_Tracker!$A$5:$A$1004,0)),""))</f>
        <v/>
      </c>
      <c r="D1110" s="67">
        <f>IF($B1110="","",IFERROR(INDEX(Task_Tracker!$B$5:$B$1004,MATCH($B1110,Task_Tracker!$A$5:$A$1004,0)),""))</f>
        <v/>
      </c>
      <c r="E1110" s="81" t="n"/>
      <c r="F1110" s="81" t="n"/>
      <c r="G1110" s="78" t="n"/>
      <c r="H1110" s="78" t="n"/>
      <c r="I1110" s="67">
        <f>IF($H1110="","",IFERROR(INDEX(Action_Status_Map!$B$5:$B$11,MATCH($H1110,Action_Status_Map!$A$5:$A$11,0)),""))</f>
        <v/>
      </c>
      <c r="J1110" s="82" t="n"/>
      <c r="K1110" s="82" t="n"/>
      <c r="L1110" s="82" t="n"/>
      <c r="M1110" s="83" t="n"/>
      <c r="N1110" s="83" t="n"/>
      <c r="O1110" s="66">
        <f>IF(OR($M1110="",$N1110=""),"",$N1110-$M1110)</f>
        <v/>
      </c>
      <c r="P1110" s="84">
        <f>IF($J1110="","",IF($L1110&lt;&gt;"",$L1110-$J1110,TODAY()-$J1110))</f>
        <v/>
      </c>
      <c r="Q1110" s="85">
        <f>IF(OR($K1110="",$H1110="Completed",$H1110="Cancelled"),"",IF(AND($K1110&lt;TODAY(),$H1110&lt;&gt;"Completed",$H1110&lt;&gt;"Cancelled"),"Overdue","On Track"))</f>
        <v/>
      </c>
      <c r="R1110" s="81" t="n"/>
      <c r="S1110" s="81">
        <f>IF($B1110="","",IFERROR(INDEX(Task_Tracker!$AA$5:$AA$1004,MATCH($B1110,Task_Tracker!$A$5:$A$1004,0)),""))</f>
        <v/>
      </c>
      <c r="T1110" s="81">
        <f>IF($B1110="","",IFERROR(INDEX(Task_Tracker!$AB$5:$AB$1004,MATCH($B1110,Task_Tracker!$A$5:$A$1004,0)),""))</f>
        <v/>
      </c>
      <c r="U1110" s="78">
        <f>IF($B1110="","",IFERROR(INDEX(Task_Tracker!$F$5:$F$1004,MATCH($B1110,Task_Tracker!$A$5:$A$1004,0)),""))</f>
        <v/>
      </c>
      <c r="V1110" s="78">
        <f>IF($B1110="","",IFERROR(INDEX(Task_Tracker!$I$5:$I$1004,MATCH($B1110,Task_Tracker!$A$5:$A$1004,0)),""))</f>
        <v/>
      </c>
      <c r="W1110" s="81">
        <f>IF(OR($D1110="",$B1110=""),"",$D1110&amp;" | "&amp;$B1110)</f>
        <v/>
      </c>
      <c r="X1110" s="85">
        <f>IF($K1110="","",TEXT($K1110,"yyyy-mm"))</f>
        <v/>
      </c>
      <c r="Y1110" s="81">
        <f>IF(OR($A1110="",$T1110=""),"","Included in Manager_Report")</f>
        <v/>
      </c>
    </row>
    <row r="1111" ht="15" customHeight="1" s="40">
      <c r="A1111" s="65">
        <f>IF(COUNTA(B1111:G1111)=0,"","STP-"&amp;TEXT(ROW()-4,"0000"))</f>
        <v/>
      </c>
      <c r="B1111" s="78" t="n"/>
      <c r="C1111" s="67">
        <f>IF($B1111="","",IFERROR(INDEX(Task_Tracker!$D$5:$D$1004,MATCH($B1111,Task_Tracker!$A$5:$A$1004,0)),""))</f>
        <v/>
      </c>
      <c r="D1111" s="67">
        <f>IF($B1111="","",IFERROR(INDEX(Task_Tracker!$B$5:$B$1004,MATCH($B1111,Task_Tracker!$A$5:$A$1004,0)),""))</f>
        <v/>
      </c>
      <c r="E1111" s="81" t="n"/>
      <c r="F1111" s="81" t="n"/>
      <c r="G1111" s="78" t="n"/>
      <c r="H1111" s="78" t="n"/>
      <c r="I1111" s="67">
        <f>IF($H1111="","",IFERROR(INDEX(Action_Status_Map!$B$5:$B$11,MATCH($H1111,Action_Status_Map!$A$5:$A$11,0)),""))</f>
        <v/>
      </c>
      <c r="J1111" s="82" t="n"/>
      <c r="K1111" s="82" t="n"/>
      <c r="L1111" s="82" t="n"/>
      <c r="M1111" s="83" t="n"/>
      <c r="N1111" s="83" t="n"/>
      <c r="O1111" s="66">
        <f>IF(OR($M1111="",$N1111=""),"",$N1111-$M1111)</f>
        <v/>
      </c>
      <c r="P1111" s="84">
        <f>IF($J1111="","",IF($L1111&lt;&gt;"",$L1111-$J1111,TODAY()-$J1111))</f>
        <v/>
      </c>
      <c r="Q1111" s="85">
        <f>IF(OR($K1111="",$H1111="Completed",$H1111="Cancelled"),"",IF(AND($K1111&lt;TODAY(),$H1111&lt;&gt;"Completed",$H1111&lt;&gt;"Cancelled"),"Overdue","On Track"))</f>
        <v/>
      </c>
      <c r="R1111" s="81" t="n"/>
      <c r="S1111" s="81">
        <f>IF($B1111="","",IFERROR(INDEX(Task_Tracker!$AA$5:$AA$1004,MATCH($B1111,Task_Tracker!$A$5:$A$1004,0)),""))</f>
        <v/>
      </c>
      <c r="T1111" s="81">
        <f>IF($B1111="","",IFERROR(INDEX(Task_Tracker!$AB$5:$AB$1004,MATCH($B1111,Task_Tracker!$A$5:$A$1004,0)),""))</f>
        <v/>
      </c>
      <c r="U1111" s="78">
        <f>IF($B1111="","",IFERROR(INDEX(Task_Tracker!$F$5:$F$1004,MATCH($B1111,Task_Tracker!$A$5:$A$1004,0)),""))</f>
        <v/>
      </c>
      <c r="V1111" s="78">
        <f>IF($B1111="","",IFERROR(INDEX(Task_Tracker!$I$5:$I$1004,MATCH($B1111,Task_Tracker!$A$5:$A$1004,0)),""))</f>
        <v/>
      </c>
      <c r="W1111" s="81">
        <f>IF(OR($D1111="",$B1111=""),"",$D1111&amp;" | "&amp;$B1111)</f>
        <v/>
      </c>
      <c r="X1111" s="85">
        <f>IF($K1111="","",TEXT($K1111,"yyyy-mm"))</f>
        <v/>
      </c>
      <c r="Y1111" s="81">
        <f>IF(OR($A1111="",$T1111=""),"","Included in Manager_Report")</f>
        <v/>
      </c>
    </row>
    <row r="1112" ht="15" customHeight="1" s="40">
      <c r="A1112" s="65">
        <f>IF(COUNTA(B1112:G1112)=0,"","STP-"&amp;TEXT(ROW()-4,"0000"))</f>
        <v/>
      </c>
      <c r="B1112" s="78" t="n"/>
      <c r="C1112" s="67">
        <f>IF($B1112="","",IFERROR(INDEX(Task_Tracker!$D$5:$D$1004,MATCH($B1112,Task_Tracker!$A$5:$A$1004,0)),""))</f>
        <v/>
      </c>
      <c r="D1112" s="67">
        <f>IF($B1112="","",IFERROR(INDEX(Task_Tracker!$B$5:$B$1004,MATCH($B1112,Task_Tracker!$A$5:$A$1004,0)),""))</f>
        <v/>
      </c>
      <c r="E1112" s="81" t="n"/>
      <c r="F1112" s="81" t="n"/>
      <c r="G1112" s="78" t="n"/>
      <c r="H1112" s="78" t="n"/>
      <c r="I1112" s="67">
        <f>IF($H1112="","",IFERROR(INDEX(Action_Status_Map!$B$5:$B$11,MATCH($H1112,Action_Status_Map!$A$5:$A$11,0)),""))</f>
        <v/>
      </c>
      <c r="J1112" s="82" t="n"/>
      <c r="K1112" s="82" t="n"/>
      <c r="L1112" s="82" t="n"/>
      <c r="M1112" s="83" t="n"/>
      <c r="N1112" s="83" t="n"/>
      <c r="O1112" s="66">
        <f>IF(OR($M1112="",$N1112=""),"",$N1112-$M1112)</f>
        <v/>
      </c>
      <c r="P1112" s="84">
        <f>IF($J1112="","",IF($L1112&lt;&gt;"",$L1112-$J1112,TODAY()-$J1112))</f>
        <v/>
      </c>
      <c r="Q1112" s="85">
        <f>IF(OR($K1112="",$H1112="Completed",$H1112="Cancelled"),"",IF(AND($K1112&lt;TODAY(),$H1112&lt;&gt;"Completed",$H1112&lt;&gt;"Cancelled"),"Overdue","On Track"))</f>
        <v/>
      </c>
      <c r="R1112" s="81" t="n"/>
      <c r="S1112" s="81">
        <f>IF($B1112="","",IFERROR(INDEX(Task_Tracker!$AA$5:$AA$1004,MATCH($B1112,Task_Tracker!$A$5:$A$1004,0)),""))</f>
        <v/>
      </c>
      <c r="T1112" s="81">
        <f>IF($B1112="","",IFERROR(INDEX(Task_Tracker!$AB$5:$AB$1004,MATCH($B1112,Task_Tracker!$A$5:$A$1004,0)),""))</f>
        <v/>
      </c>
      <c r="U1112" s="78">
        <f>IF($B1112="","",IFERROR(INDEX(Task_Tracker!$F$5:$F$1004,MATCH($B1112,Task_Tracker!$A$5:$A$1004,0)),""))</f>
        <v/>
      </c>
      <c r="V1112" s="78">
        <f>IF($B1112="","",IFERROR(INDEX(Task_Tracker!$I$5:$I$1004,MATCH($B1112,Task_Tracker!$A$5:$A$1004,0)),""))</f>
        <v/>
      </c>
      <c r="W1112" s="81">
        <f>IF(OR($D1112="",$B1112=""),"",$D1112&amp;" | "&amp;$B1112)</f>
        <v/>
      </c>
      <c r="X1112" s="85">
        <f>IF($K1112="","",TEXT($K1112,"yyyy-mm"))</f>
        <v/>
      </c>
      <c r="Y1112" s="81">
        <f>IF(OR($A1112="",$T1112=""),"","Included in Manager_Report")</f>
        <v/>
      </c>
    </row>
    <row r="1113" ht="15" customHeight="1" s="40">
      <c r="A1113" s="65">
        <f>IF(COUNTA(B1113:G1113)=0,"","STP-"&amp;TEXT(ROW()-4,"0000"))</f>
        <v/>
      </c>
      <c r="B1113" s="78" t="n"/>
      <c r="C1113" s="67">
        <f>IF($B1113="","",IFERROR(INDEX(Task_Tracker!$D$5:$D$1004,MATCH($B1113,Task_Tracker!$A$5:$A$1004,0)),""))</f>
        <v/>
      </c>
      <c r="D1113" s="67">
        <f>IF($B1113="","",IFERROR(INDEX(Task_Tracker!$B$5:$B$1004,MATCH($B1113,Task_Tracker!$A$5:$A$1004,0)),""))</f>
        <v/>
      </c>
      <c r="E1113" s="81" t="n"/>
      <c r="F1113" s="81" t="n"/>
      <c r="G1113" s="78" t="n"/>
      <c r="H1113" s="78" t="n"/>
      <c r="I1113" s="67">
        <f>IF($H1113="","",IFERROR(INDEX(Action_Status_Map!$B$5:$B$11,MATCH($H1113,Action_Status_Map!$A$5:$A$11,0)),""))</f>
        <v/>
      </c>
      <c r="J1113" s="82" t="n"/>
      <c r="K1113" s="82" t="n"/>
      <c r="L1113" s="82" t="n"/>
      <c r="M1113" s="83" t="n"/>
      <c r="N1113" s="83" t="n"/>
      <c r="O1113" s="66">
        <f>IF(OR($M1113="",$N1113=""),"",$N1113-$M1113)</f>
        <v/>
      </c>
      <c r="P1113" s="84">
        <f>IF($J1113="","",IF($L1113&lt;&gt;"",$L1113-$J1113,TODAY()-$J1113))</f>
        <v/>
      </c>
      <c r="Q1113" s="85">
        <f>IF(OR($K1113="",$H1113="Completed",$H1113="Cancelled"),"",IF(AND($K1113&lt;TODAY(),$H1113&lt;&gt;"Completed",$H1113&lt;&gt;"Cancelled"),"Overdue","On Track"))</f>
        <v/>
      </c>
      <c r="R1113" s="81" t="n"/>
      <c r="S1113" s="81">
        <f>IF($B1113="","",IFERROR(INDEX(Task_Tracker!$AA$5:$AA$1004,MATCH($B1113,Task_Tracker!$A$5:$A$1004,0)),""))</f>
        <v/>
      </c>
      <c r="T1113" s="81">
        <f>IF($B1113="","",IFERROR(INDEX(Task_Tracker!$AB$5:$AB$1004,MATCH($B1113,Task_Tracker!$A$5:$A$1004,0)),""))</f>
        <v/>
      </c>
      <c r="U1113" s="78">
        <f>IF($B1113="","",IFERROR(INDEX(Task_Tracker!$F$5:$F$1004,MATCH($B1113,Task_Tracker!$A$5:$A$1004,0)),""))</f>
        <v/>
      </c>
      <c r="V1113" s="78">
        <f>IF($B1113="","",IFERROR(INDEX(Task_Tracker!$I$5:$I$1004,MATCH($B1113,Task_Tracker!$A$5:$A$1004,0)),""))</f>
        <v/>
      </c>
      <c r="W1113" s="81">
        <f>IF(OR($D1113="",$B1113=""),"",$D1113&amp;" | "&amp;$B1113)</f>
        <v/>
      </c>
      <c r="X1113" s="85">
        <f>IF($K1113="","",TEXT($K1113,"yyyy-mm"))</f>
        <v/>
      </c>
      <c r="Y1113" s="81">
        <f>IF(OR($A1113="",$T1113=""),"","Included in Manager_Report")</f>
        <v/>
      </c>
    </row>
    <row r="1114" ht="15" customHeight="1" s="40">
      <c r="A1114" s="65">
        <f>IF(COUNTA(B1114:G1114)=0,"","STP-"&amp;TEXT(ROW()-4,"0000"))</f>
        <v/>
      </c>
      <c r="B1114" s="78" t="n"/>
      <c r="C1114" s="67">
        <f>IF($B1114="","",IFERROR(INDEX(Task_Tracker!$D$5:$D$1004,MATCH($B1114,Task_Tracker!$A$5:$A$1004,0)),""))</f>
        <v/>
      </c>
      <c r="D1114" s="67">
        <f>IF($B1114="","",IFERROR(INDEX(Task_Tracker!$B$5:$B$1004,MATCH($B1114,Task_Tracker!$A$5:$A$1004,0)),""))</f>
        <v/>
      </c>
      <c r="E1114" s="81" t="n"/>
      <c r="F1114" s="81" t="n"/>
      <c r="G1114" s="78" t="n"/>
      <c r="H1114" s="78" t="n"/>
      <c r="I1114" s="67">
        <f>IF($H1114="","",IFERROR(INDEX(Action_Status_Map!$B$5:$B$11,MATCH($H1114,Action_Status_Map!$A$5:$A$11,0)),""))</f>
        <v/>
      </c>
      <c r="J1114" s="82" t="n"/>
      <c r="K1114" s="82" t="n"/>
      <c r="L1114" s="82" t="n"/>
      <c r="M1114" s="83" t="n"/>
      <c r="N1114" s="83" t="n"/>
      <c r="O1114" s="66">
        <f>IF(OR($M1114="",$N1114=""),"",$N1114-$M1114)</f>
        <v/>
      </c>
      <c r="P1114" s="84">
        <f>IF($J1114="","",IF($L1114&lt;&gt;"",$L1114-$J1114,TODAY()-$J1114))</f>
        <v/>
      </c>
      <c r="Q1114" s="85">
        <f>IF(OR($K1114="",$H1114="Completed",$H1114="Cancelled"),"",IF(AND($K1114&lt;TODAY(),$H1114&lt;&gt;"Completed",$H1114&lt;&gt;"Cancelled"),"Overdue","On Track"))</f>
        <v/>
      </c>
      <c r="R1114" s="81" t="n"/>
      <c r="S1114" s="81">
        <f>IF($B1114="","",IFERROR(INDEX(Task_Tracker!$AA$5:$AA$1004,MATCH($B1114,Task_Tracker!$A$5:$A$1004,0)),""))</f>
        <v/>
      </c>
      <c r="T1114" s="81">
        <f>IF($B1114="","",IFERROR(INDEX(Task_Tracker!$AB$5:$AB$1004,MATCH($B1114,Task_Tracker!$A$5:$A$1004,0)),""))</f>
        <v/>
      </c>
      <c r="U1114" s="78">
        <f>IF($B1114="","",IFERROR(INDEX(Task_Tracker!$F$5:$F$1004,MATCH($B1114,Task_Tracker!$A$5:$A$1004,0)),""))</f>
        <v/>
      </c>
      <c r="V1114" s="78">
        <f>IF($B1114="","",IFERROR(INDEX(Task_Tracker!$I$5:$I$1004,MATCH($B1114,Task_Tracker!$A$5:$A$1004,0)),""))</f>
        <v/>
      </c>
      <c r="W1114" s="81">
        <f>IF(OR($D1114="",$B1114=""),"",$D1114&amp;" | "&amp;$B1114)</f>
        <v/>
      </c>
      <c r="X1114" s="85">
        <f>IF($K1114="","",TEXT($K1114,"yyyy-mm"))</f>
        <v/>
      </c>
      <c r="Y1114" s="81">
        <f>IF(OR($A1114="",$T1114=""),"","Included in Manager_Report")</f>
        <v/>
      </c>
    </row>
    <row r="1115" ht="15" customHeight="1" s="40">
      <c r="A1115" s="65">
        <f>IF(COUNTA(B1115:G1115)=0,"","STP-"&amp;TEXT(ROW()-4,"0000"))</f>
        <v/>
      </c>
      <c r="B1115" s="78" t="n"/>
      <c r="C1115" s="67">
        <f>IF($B1115="","",IFERROR(INDEX(Task_Tracker!$D$5:$D$1004,MATCH($B1115,Task_Tracker!$A$5:$A$1004,0)),""))</f>
        <v/>
      </c>
      <c r="D1115" s="67">
        <f>IF($B1115="","",IFERROR(INDEX(Task_Tracker!$B$5:$B$1004,MATCH($B1115,Task_Tracker!$A$5:$A$1004,0)),""))</f>
        <v/>
      </c>
      <c r="E1115" s="81" t="n"/>
      <c r="F1115" s="81" t="n"/>
      <c r="G1115" s="78" t="n"/>
      <c r="H1115" s="78" t="n"/>
      <c r="I1115" s="67">
        <f>IF($H1115="","",IFERROR(INDEX(Action_Status_Map!$B$5:$B$11,MATCH($H1115,Action_Status_Map!$A$5:$A$11,0)),""))</f>
        <v/>
      </c>
      <c r="J1115" s="82" t="n"/>
      <c r="K1115" s="82" t="n"/>
      <c r="L1115" s="82" t="n"/>
      <c r="M1115" s="83" t="n"/>
      <c r="N1115" s="83" t="n"/>
      <c r="O1115" s="66">
        <f>IF(OR($M1115="",$N1115=""),"",$N1115-$M1115)</f>
        <v/>
      </c>
      <c r="P1115" s="84">
        <f>IF($J1115="","",IF($L1115&lt;&gt;"",$L1115-$J1115,TODAY()-$J1115))</f>
        <v/>
      </c>
      <c r="Q1115" s="85">
        <f>IF(OR($K1115="",$H1115="Completed",$H1115="Cancelled"),"",IF(AND($K1115&lt;TODAY(),$H1115&lt;&gt;"Completed",$H1115&lt;&gt;"Cancelled"),"Overdue","On Track"))</f>
        <v/>
      </c>
      <c r="R1115" s="81" t="n"/>
      <c r="S1115" s="81">
        <f>IF($B1115="","",IFERROR(INDEX(Task_Tracker!$AA$5:$AA$1004,MATCH($B1115,Task_Tracker!$A$5:$A$1004,0)),""))</f>
        <v/>
      </c>
      <c r="T1115" s="81">
        <f>IF($B1115="","",IFERROR(INDEX(Task_Tracker!$AB$5:$AB$1004,MATCH($B1115,Task_Tracker!$A$5:$A$1004,0)),""))</f>
        <v/>
      </c>
      <c r="U1115" s="78">
        <f>IF($B1115="","",IFERROR(INDEX(Task_Tracker!$F$5:$F$1004,MATCH($B1115,Task_Tracker!$A$5:$A$1004,0)),""))</f>
        <v/>
      </c>
      <c r="V1115" s="78">
        <f>IF($B1115="","",IFERROR(INDEX(Task_Tracker!$I$5:$I$1004,MATCH($B1115,Task_Tracker!$A$5:$A$1004,0)),""))</f>
        <v/>
      </c>
      <c r="W1115" s="81">
        <f>IF(OR($D1115="",$B1115=""),"",$D1115&amp;" | "&amp;$B1115)</f>
        <v/>
      </c>
      <c r="X1115" s="85">
        <f>IF($K1115="","",TEXT($K1115,"yyyy-mm"))</f>
        <v/>
      </c>
      <c r="Y1115" s="81">
        <f>IF(OR($A1115="",$T1115=""),"","Included in Manager_Report")</f>
        <v/>
      </c>
    </row>
    <row r="1116" ht="15" customHeight="1" s="40">
      <c r="A1116" s="65">
        <f>IF(COUNTA(B1116:G1116)=0,"","STP-"&amp;TEXT(ROW()-4,"0000"))</f>
        <v/>
      </c>
      <c r="B1116" s="78" t="n"/>
      <c r="C1116" s="67">
        <f>IF($B1116="","",IFERROR(INDEX(Task_Tracker!$D$5:$D$1004,MATCH($B1116,Task_Tracker!$A$5:$A$1004,0)),""))</f>
        <v/>
      </c>
      <c r="D1116" s="67">
        <f>IF($B1116="","",IFERROR(INDEX(Task_Tracker!$B$5:$B$1004,MATCH($B1116,Task_Tracker!$A$5:$A$1004,0)),""))</f>
        <v/>
      </c>
      <c r="E1116" s="81" t="n"/>
      <c r="F1116" s="81" t="n"/>
      <c r="G1116" s="78" t="n"/>
      <c r="H1116" s="78" t="n"/>
      <c r="I1116" s="67">
        <f>IF($H1116="","",IFERROR(INDEX(Action_Status_Map!$B$5:$B$11,MATCH($H1116,Action_Status_Map!$A$5:$A$11,0)),""))</f>
        <v/>
      </c>
      <c r="J1116" s="82" t="n"/>
      <c r="K1116" s="82" t="n"/>
      <c r="L1116" s="82" t="n"/>
      <c r="M1116" s="83" t="n"/>
      <c r="N1116" s="83" t="n"/>
      <c r="O1116" s="66">
        <f>IF(OR($M1116="",$N1116=""),"",$N1116-$M1116)</f>
        <v/>
      </c>
      <c r="P1116" s="84">
        <f>IF($J1116="","",IF($L1116&lt;&gt;"",$L1116-$J1116,TODAY()-$J1116))</f>
        <v/>
      </c>
      <c r="Q1116" s="85">
        <f>IF(OR($K1116="",$H1116="Completed",$H1116="Cancelled"),"",IF(AND($K1116&lt;TODAY(),$H1116&lt;&gt;"Completed",$H1116&lt;&gt;"Cancelled"),"Overdue","On Track"))</f>
        <v/>
      </c>
      <c r="R1116" s="81" t="n"/>
      <c r="S1116" s="81">
        <f>IF($B1116="","",IFERROR(INDEX(Task_Tracker!$AA$5:$AA$1004,MATCH($B1116,Task_Tracker!$A$5:$A$1004,0)),""))</f>
        <v/>
      </c>
      <c r="T1116" s="81">
        <f>IF($B1116="","",IFERROR(INDEX(Task_Tracker!$AB$5:$AB$1004,MATCH($B1116,Task_Tracker!$A$5:$A$1004,0)),""))</f>
        <v/>
      </c>
      <c r="U1116" s="78">
        <f>IF($B1116="","",IFERROR(INDEX(Task_Tracker!$F$5:$F$1004,MATCH($B1116,Task_Tracker!$A$5:$A$1004,0)),""))</f>
        <v/>
      </c>
      <c r="V1116" s="78">
        <f>IF($B1116="","",IFERROR(INDEX(Task_Tracker!$I$5:$I$1004,MATCH($B1116,Task_Tracker!$A$5:$A$1004,0)),""))</f>
        <v/>
      </c>
      <c r="W1116" s="81">
        <f>IF(OR($D1116="",$B1116=""),"",$D1116&amp;" | "&amp;$B1116)</f>
        <v/>
      </c>
      <c r="X1116" s="85">
        <f>IF($K1116="","",TEXT($K1116,"yyyy-mm"))</f>
        <v/>
      </c>
      <c r="Y1116" s="81">
        <f>IF(OR($A1116="",$T1116=""),"","Included in Manager_Report")</f>
        <v/>
      </c>
    </row>
    <row r="1117" ht="15" customHeight="1" s="40">
      <c r="A1117" s="65">
        <f>IF(COUNTA(B1117:G1117)=0,"","STP-"&amp;TEXT(ROW()-4,"0000"))</f>
        <v/>
      </c>
      <c r="B1117" s="78" t="n"/>
      <c r="C1117" s="67">
        <f>IF($B1117="","",IFERROR(INDEX(Task_Tracker!$D$5:$D$1004,MATCH($B1117,Task_Tracker!$A$5:$A$1004,0)),""))</f>
        <v/>
      </c>
      <c r="D1117" s="67">
        <f>IF($B1117="","",IFERROR(INDEX(Task_Tracker!$B$5:$B$1004,MATCH($B1117,Task_Tracker!$A$5:$A$1004,0)),""))</f>
        <v/>
      </c>
      <c r="E1117" s="81" t="n"/>
      <c r="F1117" s="81" t="n"/>
      <c r="G1117" s="78" t="n"/>
      <c r="H1117" s="78" t="n"/>
      <c r="I1117" s="67">
        <f>IF($H1117="","",IFERROR(INDEX(Action_Status_Map!$B$5:$B$11,MATCH($H1117,Action_Status_Map!$A$5:$A$11,0)),""))</f>
        <v/>
      </c>
      <c r="J1117" s="82" t="n"/>
      <c r="K1117" s="82" t="n"/>
      <c r="L1117" s="82" t="n"/>
      <c r="M1117" s="83" t="n"/>
      <c r="N1117" s="83" t="n"/>
      <c r="O1117" s="66">
        <f>IF(OR($M1117="",$N1117=""),"",$N1117-$M1117)</f>
        <v/>
      </c>
      <c r="P1117" s="84">
        <f>IF($J1117="","",IF($L1117&lt;&gt;"",$L1117-$J1117,TODAY()-$J1117))</f>
        <v/>
      </c>
      <c r="Q1117" s="85">
        <f>IF(OR($K1117="",$H1117="Completed",$H1117="Cancelled"),"",IF(AND($K1117&lt;TODAY(),$H1117&lt;&gt;"Completed",$H1117&lt;&gt;"Cancelled"),"Overdue","On Track"))</f>
        <v/>
      </c>
      <c r="R1117" s="81" t="n"/>
      <c r="S1117" s="81">
        <f>IF($B1117="","",IFERROR(INDEX(Task_Tracker!$AA$5:$AA$1004,MATCH($B1117,Task_Tracker!$A$5:$A$1004,0)),""))</f>
        <v/>
      </c>
      <c r="T1117" s="81">
        <f>IF($B1117="","",IFERROR(INDEX(Task_Tracker!$AB$5:$AB$1004,MATCH($B1117,Task_Tracker!$A$5:$A$1004,0)),""))</f>
        <v/>
      </c>
      <c r="U1117" s="78">
        <f>IF($B1117="","",IFERROR(INDEX(Task_Tracker!$F$5:$F$1004,MATCH($B1117,Task_Tracker!$A$5:$A$1004,0)),""))</f>
        <v/>
      </c>
      <c r="V1117" s="78">
        <f>IF($B1117="","",IFERROR(INDEX(Task_Tracker!$I$5:$I$1004,MATCH($B1117,Task_Tracker!$A$5:$A$1004,0)),""))</f>
        <v/>
      </c>
      <c r="W1117" s="81">
        <f>IF(OR($D1117="",$B1117=""),"",$D1117&amp;" | "&amp;$B1117)</f>
        <v/>
      </c>
      <c r="X1117" s="85">
        <f>IF($K1117="","",TEXT($K1117,"yyyy-mm"))</f>
        <v/>
      </c>
      <c r="Y1117" s="81">
        <f>IF(OR($A1117="",$T1117=""),"","Included in Manager_Report")</f>
        <v/>
      </c>
    </row>
    <row r="1118" ht="15" customHeight="1" s="40">
      <c r="A1118" s="65">
        <f>IF(COUNTA(B1118:G1118)=0,"","STP-"&amp;TEXT(ROW()-4,"0000"))</f>
        <v/>
      </c>
      <c r="B1118" s="78" t="n"/>
      <c r="C1118" s="67">
        <f>IF($B1118="","",IFERROR(INDEX(Task_Tracker!$D$5:$D$1004,MATCH($B1118,Task_Tracker!$A$5:$A$1004,0)),""))</f>
        <v/>
      </c>
      <c r="D1118" s="67">
        <f>IF($B1118="","",IFERROR(INDEX(Task_Tracker!$B$5:$B$1004,MATCH($B1118,Task_Tracker!$A$5:$A$1004,0)),""))</f>
        <v/>
      </c>
      <c r="E1118" s="81" t="n"/>
      <c r="F1118" s="81" t="n"/>
      <c r="G1118" s="78" t="n"/>
      <c r="H1118" s="78" t="n"/>
      <c r="I1118" s="67">
        <f>IF($H1118="","",IFERROR(INDEX(Action_Status_Map!$B$5:$B$11,MATCH($H1118,Action_Status_Map!$A$5:$A$11,0)),""))</f>
        <v/>
      </c>
      <c r="J1118" s="82" t="n"/>
      <c r="K1118" s="82" t="n"/>
      <c r="L1118" s="82" t="n"/>
      <c r="M1118" s="83" t="n"/>
      <c r="N1118" s="83" t="n"/>
      <c r="O1118" s="66">
        <f>IF(OR($M1118="",$N1118=""),"",$N1118-$M1118)</f>
        <v/>
      </c>
      <c r="P1118" s="84">
        <f>IF($J1118="","",IF($L1118&lt;&gt;"",$L1118-$J1118,TODAY()-$J1118))</f>
        <v/>
      </c>
      <c r="Q1118" s="85">
        <f>IF(OR($K1118="",$H1118="Completed",$H1118="Cancelled"),"",IF(AND($K1118&lt;TODAY(),$H1118&lt;&gt;"Completed",$H1118&lt;&gt;"Cancelled"),"Overdue","On Track"))</f>
        <v/>
      </c>
      <c r="R1118" s="81" t="n"/>
      <c r="S1118" s="81">
        <f>IF($B1118="","",IFERROR(INDEX(Task_Tracker!$AA$5:$AA$1004,MATCH($B1118,Task_Tracker!$A$5:$A$1004,0)),""))</f>
        <v/>
      </c>
      <c r="T1118" s="81">
        <f>IF($B1118="","",IFERROR(INDEX(Task_Tracker!$AB$5:$AB$1004,MATCH($B1118,Task_Tracker!$A$5:$A$1004,0)),""))</f>
        <v/>
      </c>
      <c r="U1118" s="78">
        <f>IF($B1118="","",IFERROR(INDEX(Task_Tracker!$F$5:$F$1004,MATCH($B1118,Task_Tracker!$A$5:$A$1004,0)),""))</f>
        <v/>
      </c>
      <c r="V1118" s="78">
        <f>IF($B1118="","",IFERROR(INDEX(Task_Tracker!$I$5:$I$1004,MATCH($B1118,Task_Tracker!$A$5:$A$1004,0)),""))</f>
        <v/>
      </c>
      <c r="W1118" s="81">
        <f>IF(OR($D1118="",$B1118=""),"",$D1118&amp;" | "&amp;$B1118)</f>
        <v/>
      </c>
      <c r="X1118" s="85">
        <f>IF($K1118="","",TEXT($K1118,"yyyy-mm"))</f>
        <v/>
      </c>
      <c r="Y1118" s="81">
        <f>IF(OR($A1118="",$T1118=""),"","Included in Manager_Report")</f>
        <v/>
      </c>
    </row>
    <row r="1119" ht="15" customHeight="1" s="40">
      <c r="A1119" s="65">
        <f>IF(COUNTA(B1119:G1119)=0,"","STP-"&amp;TEXT(ROW()-4,"0000"))</f>
        <v/>
      </c>
      <c r="B1119" s="78" t="n"/>
      <c r="C1119" s="67">
        <f>IF($B1119="","",IFERROR(INDEX(Task_Tracker!$D$5:$D$1004,MATCH($B1119,Task_Tracker!$A$5:$A$1004,0)),""))</f>
        <v/>
      </c>
      <c r="D1119" s="67">
        <f>IF($B1119="","",IFERROR(INDEX(Task_Tracker!$B$5:$B$1004,MATCH($B1119,Task_Tracker!$A$5:$A$1004,0)),""))</f>
        <v/>
      </c>
      <c r="E1119" s="81" t="n"/>
      <c r="F1119" s="81" t="n"/>
      <c r="G1119" s="78" t="n"/>
      <c r="H1119" s="78" t="n"/>
      <c r="I1119" s="67">
        <f>IF($H1119="","",IFERROR(INDEX(Action_Status_Map!$B$5:$B$11,MATCH($H1119,Action_Status_Map!$A$5:$A$11,0)),""))</f>
        <v/>
      </c>
      <c r="J1119" s="82" t="n"/>
      <c r="K1119" s="82" t="n"/>
      <c r="L1119" s="82" t="n"/>
      <c r="M1119" s="83" t="n"/>
      <c r="N1119" s="83" t="n"/>
      <c r="O1119" s="66">
        <f>IF(OR($M1119="",$N1119=""),"",$N1119-$M1119)</f>
        <v/>
      </c>
      <c r="P1119" s="84">
        <f>IF($J1119="","",IF($L1119&lt;&gt;"",$L1119-$J1119,TODAY()-$J1119))</f>
        <v/>
      </c>
      <c r="Q1119" s="85">
        <f>IF(OR($K1119="",$H1119="Completed",$H1119="Cancelled"),"",IF(AND($K1119&lt;TODAY(),$H1119&lt;&gt;"Completed",$H1119&lt;&gt;"Cancelled"),"Overdue","On Track"))</f>
        <v/>
      </c>
      <c r="R1119" s="81" t="n"/>
      <c r="S1119" s="81">
        <f>IF($B1119="","",IFERROR(INDEX(Task_Tracker!$AA$5:$AA$1004,MATCH($B1119,Task_Tracker!$A$5:$A$1004,0)),""))</f>
        <v/>
      </c>
      <c r="T1119" s="81">
        <f>IF($B1119="","",IFERROR(INDEX(Task_Tracker!$AB$5:$AB$1004,MATCH($B1119,Task_Tracker!$A$5:$A$1004,0)),""))</f>
        <v/>
      </c>
      <c r="U1119" s="78">
        <f>IF($B1119="","",IFERROR(INDEX(Task_Tracker!$F$5:$F$1004,MATCH($B1119,Task_Tracker!$A$5:$A$1004,0)),""))</f>
        <v/>
      </c>
      <c r="V1119" s="78">
        <f>IF($B1119="","",IFERROR(INDEX(Task_Tracker!$I$5:$I$1004,MATCH($B1119,Task_Tracker!$A$5:$A$1004,0)),""))</f>
        <v/>
      </c>
      <c r="W1119" s="81">
        <f>IF(OR($D1119="",$B1119=""),"",$D1119&amp;" | "&amp;$B1119)</f>
        <v/>
      </c>
      <c r="X1119" s="85">
        <f>IF($K1119="","",TEXT($K1119,"yyyy-mm"))</f>
        <v/>
      </c>
      <c r="Y1119" s="81">
        <f>IF(OR($A1119="",$T1119=""),"","Included in Manager_Report")</f>
        <v/>
      </c>
    </row>
    <row r="1120" ht="15" customHeight="1" s="40">
      <c r="A1120" s="65">
        <f>IF(COUNTA(B1120:G1120)=0,"","STP-"&amp;TEXT(ROW()-4,"0000"))</f>
        <v/>
      </c>
      <c r="B1120" s="78" t="n"/>
      <c r="C1120" s="67">
        <f>IF($B1120="","",IFERROR(INDEX(Task_Tracker!$D$5:$D$1004,MATCH($B1120,Task_Tracker!$A$5:$A$1004,0)),""))</f>
        <v/>
      </c>
      <c r="D1120" s="67">
        <f>IF($B1120="","",IFERROR(INDEX(Task_Tracker!$B$5:$B$1004,MATCH($B1120,Task_Tracker!$A$5:$A$1004,0)),""))</f>
        <v/>
      </c>
      <c r="E1120" s="81" t="n"/>
      <c r="F1120" s="81" t="n"/>
      <c r="G1120" s="78" t="n"/>
      <c r="H1120" s="78" t="n"/>
      <c r="I1120" s="67">
        <f>IF($H1120="","",IFERROR(INDEX(Action_Status_Map!$B$5:$B$11,MATCH($H1120,Action_Status_Map!$A$5:$A$11,0)),""))</f>
        <v/>
      </c>
      <c r="J1120" s="82" t="n"/>
      <c r="K1120" s="82" t="n"/>
      <c r="L1120" s="82" t="n"/>
      <c r="M1120" s="83" t="n"/>
      <c r="N1120" s="83" t="n"/>
      <c r="O1120" s="66">
        <f>IF(OR($M1120="",$N1120=""),"",$N1120-$M1120)</f>
        <v/>
      </c>
      <c r="P1120" s="84">
        <f>IF($J1120="","",IF($L1120&lt;&gt;"",$L1120-$J1120,TODAY()-$J1120))</f>
        <v/>
      </c>
      <c r="Q1120" s="85">
        <f>IF(OR($K1120="",$H1120="Completed",$H1120="Cancelled"),"",IF(AND($K1120&lt;TODAY(),$H1120&lt;&gt;"Completed",$H1120&lt;&gt;"Cancelled"),"Overdue","On Track"))</f>
        <v/>
      </c>
      <c r="R1120" s="81" t="n"/>
      <c r="S1120" s="81">
        <f>IF($B1120="","",IFERROR(INDEX(Task_Tracker!$AA$5:$AA$1004,MATCH($B1120,Task_Tracker!$A$5:$A$1004,0)),""))</f>
        <v/>
      </c>
      <c r="T1120" s="81">
        <f>IF($B1120="","",IFERROR(INDEX(Task_Tracker!$AB$5:$AB$1004,MATCH($B1120,Task_Tracker!$A$5:$A$1004,0)),""))</f>
        <v/>
      </c>
      <c r="U1120" s="78">
        <f>IF($B1120="","",IFERROR(INDEX(Task_Tracker!$F$5:$F$1004,MATCH($B1120,Task_Tracker!$A$5:$A$1004,0)),""))</f>
        <v/>
      </c>
      <c r="V1120" s="78">
        <f>IF($B1120="","",IFERROR(INDEX(Task_Tracker!$I$5:$I$1004,MATCH($B1120,Task_Tracker!$A$5:$A$1004,0)),""))</f>
        <v/>
      </c>
      <c r="W1120" s="81">
        <f>IF(OR($D1120="",$B1120=""),"",$D1120&amp;" | "&amp;$B1120)</f>
        <v/>
      </c>
      <c r="X1120" s="85">
        <f>IF($K1120="","",TEXT($K1120,"yyyy-mm"))</f>
        <v/>
      </c>
      <c r="Y1120" s="81">
        <f>IF(OR($A1120="",$T1120=""),"","Included in Manager_Report")</f>
        <v/>
      </c>
    </row>
    <row r="1121" ht="15" customHeight="1" s="40">
      <c r="A1121" s="65">
        <f>IF(COUNTA(B1121:G1121)=0,"","STP-"&amp;TEXT(ROW()-4,"0000"))</f>
        <v/>
      </c>
      <c r="B1121" s="78" t="n"/>
      <c r="C1121" s="67">
        <f>IF($B1121="","",IFERROR(INDEX(Task_Tracker!$D$5:$D$1004,MATCH($B1121,Task_Tracker!$A$5:$A$1004,0)),""))</f>
        <v/>
      </c>
      <c r="D1121" s="67">
        <f>IF($B1121="","",IFERROR(INDEX(Task_Tracker!$B$5:$B$1004,MATCH($B1121,Task_Tracker!$A$5:$A$1004,0)),""))</f>
        <v/>
      </c>
      <c r="E1121" s="81" t="n"/>
      <c r="F1121" s="81" t="n"/>
      <c r="G1121" s="78" t="n"/>
      <c r="H1121" s="78" t="n"/>
      <c r="I1121" s="67">
        <f>IF($H1121="","",IFERROR(INDEX(Action_Status_Map!$B$5:$B$11,MATCH($H1121,Action_Status_Map!$A$5:$A$11,0)),""))</f>
        <v/>
      </c>
      <c r="J1121" s="82" t="n"/>
      <c r="K1121" s="82" t="n"/>
      <c r="L1121" s="82" t="n"/>
      <c r="M1121" s="83" t="n"/>
      <c r="N1121" s="83" t="n"/>
      <c r="O1121" s="66">
        <f>IF(OR($M1121="",$N1121=""),"",$N1121-$M1121)</f>
        <v/>
      </c>
      <c r="P1121" s="84">
        <f>IF($J1121="","",IF($L1121&lt;&gt;"",$L1121-$J1121,TODAY()-$J1121))</f>
        <v/>
      </c>
      <c r="Q1121" s="85">
        <f>IF(OR($K1121="",$H1121="Completed",$H1121="Cancelled"),"",IF(AND($K1121&lt;TODAY(),$H1121&lt;&gt;"Completed",$H1121&lt;&gt;"Cancelled"),"Overdue","On Track"))</f>
        <v/>
      </c>
      <c r="R1121" s="81" t="n"/>
      <c r="S1121" s="81">
        <f>IF($B1121="","",IFERROR(INDEX(Task_Tracker!$AA$5:$AA$1004,MATCH($B1121,Task_Tracker!$A$5:$A$1004,0)),""))</f>
        <v/>
      </c>
      <c r="T1121" s="81">
        <f>IF($B1121="","",IFERROR(INDEX(Task_Tracker!$AB$5:$AB$1004,MATCH($B1121,Task_Tracker!$A$5:$A$1004,0)),""))</f>
        <v/>
      </c>
      <c r="U1121" s="78">
        <f>IF($B1121="","",IFERROR(INDEX(Task_Tracker!$F$5:$F$1004,MATCH($B1121,Task_Tracker!$A$5:$A$1004,0)),""))</f>
        <v/>
      </c>
      <c r="V1121" s="78">
        <f>IF($B1121="","",IFERROR(INDEX(Task_Tracker!$I$5:$I$1004,MATCH($B1121,Task_Tracker!$A$5:$A$1004,0)),""))</f>
        <v/>
      </c>
      <c r="W1121" s="81">
        <f>IF(OR($D1121="",$B1121=""),"",$D1121&amp;" | "&amp;$B1121)</f>
        <v/>
      </c>
      <c r="X1121" s="85">
        <f>IF($K1121="","",TEXT($K1121,"yyyy-mm"))</f>
        <v/>
      </c>
      <c r="Y1121" s="81">
        <f>IF(OR($A1121="",$T1121=""),"","Included in Manager_Report")</f>
        <v/>
      </c>
    </row>
    <row r="1122" ht="15" customHeight="1" s="40">
      <c r="A1122" s="65">
        <f>IF(COUNTA(B1122:G1122)=0,"","STP-"&amp;TEXT(ROW()-4,"0000"))</f>
        <v/>
      </c>
      <c r="B1122" s="78" t="n"/>
      <c r="C1122" s="67">
        <f>IF($B1122="","",IFERROR(INDEX(Task_Tracker!$D$5:$D$1004,MATCH($B1122,Task_Tracker!$A$5:$A$1004,0)),""))</f>
        <v/>
      </c>
      <c r="D1122" s="67">
        <f>IF($B1122="","",IFERROR(INDEX(Task_Tracker!$B$5:$B$1004,MATCH($B1122,Task_Tracker!$A$5:$A$1004,0)),""))</f>
        <v/>
      </c>
      <c r="E1122" s="81" t="n"/>
      <c r="F1122" s="81" t="n"/>
      <c r="G1122" s="78" t="n"/>
      <c r="H1122" s="78" t="n"/>
      <c r="I1122" s="67">
        <f>IF($H1122="","",IFERROR(INDEX(Action_Status_Map!$B$5:$B$11,MATCH($H1122,Action_Status_Map!$A$5:$A$11,0)),""))</f>
        <v/>
      </c>
      <c r="J1122" s="82" t="n"/>
      <c r="K1122" s="82" t="n"/>
      <c r="L1122" s="82" t="n"/>
      <c r="M1122" s="83" t="n"/>
      <c r="N1122" s="83" t="n"/>
      <c r="O1122" s="66">
        <f>IF(OR($M1122="",$N1122=""),"",$N1122-$M1122)</f>
        <v/>
      </c>
      <c r="P1122" s="84">
        <f>IF($J1122="","",IF($L1122&lt;&gt;"",$L1122-$J1122,TODAY()-$J1122))</f>
        <v/>
      </c>
      <c r="Q1122" s="85">
        <f>IF(OR($K1122="",$H1122="Completed",$H1122="Cancelled"),"",IF(AND($K1122&lt;TODAY(),$H1122&lt;&gt;"Completed",$H1122&lt;&gt;"Cancelled"),"Overdue","On Track"))</f>
        <v/>
      </c>
      <c r="R1122" s="81" t="n"/>
      <c r="S1122" s="81">
        <f>IF($B1122="","",IFERROR(INDEX(Task_Tracker!$AA$5:$AA$1004,MATCH($B1122,Task_Tracker!$A$5:$A$1004,0)),""))</f>
        <v/>
      </c>
      <c r="T1122" s="81">
        <f>IF($B1122="","",IFERROR(INDEX(Task_Tracker!$AB$5:$AB$1004,MATCH($B1122,Task_Tracker!$A$5:$A$1004,0)),""))</f>
        <v/>
      </c>
      <c r="U1122" s="78">
        <f>IF($B1122="","",IFERROR(INDEX(Task_Tracker!$F$5:$F$1004,MATCH($B1122,Task_Tracker!$A$5:$A$1004,0)),""))</f>
        <v/>
      </c>
      <c r="V1122" s="78">
        <f>IF($B1122="","",IFERROR(INDEX(Task_Tracker!$I$5:$I$1004,MATCH($B1122,Task_Tracker!$A$5:$A$1004,0)),""))</f>
        <v/>
      </c>
      <c r="W1122" s="81">
        <f>IF(OR($D1122="",$B1122=""),"",$D1122&amp;" | "&amp;$B1122)</f>
        <v/>
      </c>
      <c r="X1122" s="85">
        <f>IF($K1122="","",TEXT($K1122,"yyyy-mm"))</f>
        <v/>
      </c>
      <c r="Y1122" s="81">
        <f>IF(OR($A1122="",$T1122=""),"","Included in Manager_Report")</f>
        <v/>
      </c>
    </row>
    <row r="1123" ht="15" customHeight="1" s="40">
      <c r="A1123" s="65">
        <f>IF(COUNTA(B1123:G1123)=0,"","STP-"&amp;TEXT(ROW()-4,"0000"))</f>
        <v/>
      </c>
      <c r="B1123" s="78" t="n"/>
      <c r="C1123" s="67">
        <f>IF($B1123="","",IFERROR(INDEX(Task_Tracker!$D$5:$D$1004,MATCH($B1123,Task_Tracker!$A$5:$A$1004,0)),""))</f>
        <v/>
      </c>
      <c r="D1123" s="67">
        <f>IF($B1123="","",IFERROR(INDEX(Task_Tracker!$B$5:$B$1004,MATCH($B1123,Task_Tracker!$A$5:$A$1004,0)),""))</f>
        <v/>
      </c>
      <c r="E1123" s="81" t="n"/>
      <c r="F1123" s="81" t="n"/>
      <c r="G1123" s="78" t="n"/>
      <c r="H1123" s="78" t="n"/>
      <c r="I1123" s="67">
        <f>IF($H1123="","",IFERROR(INDEX(Action_Status_Map!$B$5:$B$11,MATCH($H1123,Action_Status_Map!$A$5:$A$11,0)),""))</f>
        <v/>
      </c>
      <c r="J1123" s="82" t="n"/>
      <c r="K1123" s="82" t="n"/>
      <c r="L1123" s="82" t="n"/>
      <c r="M1123" s="83" t="n"/>
      <c r="N1123" s="83" t="n"/>
      <c r="O1123" s="66">
        <f>IF(OR($M1123="",$N1123=""),"",$N1123-$M1123)</f>
        <v/>
      </c>
      <c r="P1123" s="84">
        <f>IF($J1123="","",IF($L1123&lt;&gt;"",$L1123-$J1123,TODAY()-$J1123))</f>
        <v/>
      </c>
      <c r="Q1123" s="85">
        <f>IF(OR($K1123="",$H1123="Completed",$H1123="Cancelled"),"",IF(AND($K1123&lt;TODAY(),$H1123&lt;&gt;"Completed",$H1123&lt;&gt;"Cancelled"),"Overdue","On Track"))</f>
        <v/>
      </c>
      <c r="R1123" s="81" t="n"/>
      <c r="S1123" s="81">
        <f>IF($B1123="","",IFERROR(INDEX(Task_Tracker!$AA$5:$AA$1004,MATCH($B1123,Task_Tracker!$A$5:$A$1004,0)),""))</f>
        <v/>
      </c>
      <c r="T1123" s="81">
        <f>IF($B1123="","",IFERROR(INDEX(Task_Tracker!$AB$5:$AB$1004,MATCH($B1123,Task_Tracker!$A$5:$A$1004,0)),""))</f>
        <v/>
      </c>
      <c r="U1123" s="78">
        <f>IF($B1123="","",IFERROR(INDEX(Task_Tracker!$F$5:$F$1004,MATCH($B1123,Task_Tracker!$A$5:$A$1004,0)),""))</f>
        <v/>
      </c>
      <c r="V1123" s="78">
        <f>IF($B1123="","",IFERROR(INDEX(Task_Tracker!$I$5:$I$1004,MATCH($B1123,Task_Tracker!$A$5:$A$1004,0)),""))</f>
        <v/>
      </c>
      <c r="W1123" s="81">
        <f>IF(OR($D1123="",$B1123=""),"",$D1123&amp;" | "&amp;$B1123)</f>
        <v/>
      </c>
      <c r="X1123" s="85">
        <f>IF($K1123="","",TEXT($K1123,"yyyy-mm"))</f>
        <v/>
      </c>
      <c r="Y1123" s="81">
        <f>IF(OR($A1123="",$T1123=""),"","Included in Manager_Report")</f>
        <v/>
      </c>
    </row>
    <row r="1124" ht="15" customHeight="1" s="40">
      <c r="A1124" s="65">
        <f>IF(COUNTA(B1124:G1124)=0,"","STP-"&amp;TEXT(ROW()-4,"0000"))</f>
        <v/>
      </c>
      <c r="B1124" s="78" t="n"/>
      <c r="C1124" s="67">
        <f>IF($B1124="","",IFERROR(INDEX(Task_Tracker!$D$5:$D$1004,MATCH($B1124,Task_Tracker!$A$5:$A$1004,0)),""))</f>
        <v/>
      </c>
      <c r="D1124" s="67">
        <f>IF($B1124="","",IFERROR(INDEX(Task_Tracker!$B$5:$B$1004,MATCH($B1124,Task_Tracker!$A$5:$A$1004,0)),""))</f>
        <v/>
      </c>
      <c r="E1124" s="81" t="n"/>
      <c r="F1124" s="81" t="n"/>
      <c r="G1124" s="78" t="n"/>
      <c r="H1124" s="78" t="n"/>
      <c r="I1124" s="67">
        <f>IF($H1124="","",IFERROR(INDEX(Action_Status_Map!$B$5:$B$11,MATCH($H1124,Action_Status_Map!$A$5:$A$11,0)),""))</f>
        <v/>
      </c>
      <c r="J1124" s="82" t="n"/>
      <c r="K1124" s="82" t="n"/>
      <c r="L1124" s="82" t="n"/>
      <c r="M1124" s="83" t="n"/>
      <c r="N1124" s="83" t="n"/>
      <c r="O1124" s="66">
        <f>IF(OR($M1124="",$N1124=""),"",$N1124-$M1124)</f>
        <v/>
      </c>
      <c r="P1124" s="84">
        <f>IF($J1124="","",IF($L1124&lt;&gt;"",$L1124-$J1124,TODAY()-$J1124))</f>
        <v/>
      </c>
      <c r="Q1124" s="85">
        <f>IF(OR($K1124="",$H1124="Completed",$H1124="Cancelled"),"",IF(AND($K1124&lt;TODAY(),$H1124&lt;&gt;"Completed",$H1124&lt;&gt;"Cancelled"),"Overdue","On Track"))</f>
        <v/>
      </c>
      <c r="R1124" s="81" t="n"/>
      <c r="S1124" s="81">
        <f>IF($B1124="","",IFERROR(INDEX(Task_Tracker!$AA$5:$AA$1004,MATCH($B1124,Task_Tracker!$A$5:$A$1004,0)),""))</f>
        <v/>
      </c>
      <c r="T1124" s="81">
        <f>IF($B1124="","",IFERROR(INDEX(Task_Tracker!$AB$5:$AB$1004,MATCH($B1124,Task_Tracker!$A$5:$A$1004,0)),""))</f>
        <v/>
      </c>
      <c r="U1124" s="78">
        <f>IF($B1124="","",IFERROR(INDEX(Task_Tracker!$F$5:$F$1004,MATCH($B1124,Task_Tracker!$A$5:$A$1004,0)),""))</f>
        <v/>
      </c>
      <c r="V1124" s="78">
        <f>IF($B1124="","",IFERROR(INDEX(Task_Tracker!$I$5:$I$1004,MATCH($B1124,Task_Tracker!$A$5:$A$1004,0)),""))</f>
        <v/>
      </c>
      <c r="W1124" s="81">
        <f>IF(OR($D1124="",$B1124=""),"",$D1124&amp;" | "&amp;$B1124)</f>
        <v/>
      </c>
      <c r="X1124" s="85">
        <f>IF($K1124="","",TEXT($K1124,"yyyy-mm"))</f>
        <v/>
      </c>
      <c r="Y1124" s="81">
        <f>IF(OR($A1124="",$T1124=""),"","Included in Manager_Report")</f>
        <v/>
      </c>
    </row>
    <row r="1125" ht="15" customHeight="1" s="40">
      <c r="A1125" s="65">
        <f>IF(COUNTA(B1125:G1125)=0,"","STP-"&amp;TEXT(ROW()-4,"0000"))</f>
        <v/>
      </c>
      <c r="B1125" s="78" t="n"/>
      <c r="C1125" s="67">
        <f>IF($B1125="","",IFERROR(INDEX(Task_Tracker!$D$5:$D$1004,MATCH($B1125,Task_Tracker!$A$5:$A$1004,0)),""))</f>
        <v/>
      </c>
      <c r="D1125" s="67">
        <f>IF($B1125="","",IFERROR(INDEX(Task_Tracker!$B$5:$B$1004,MATCH($B1125,Task_Tracker!$A$5:$A$1004,0)),""))</f>
        <v/>
      </c>
      <c r="E1125" s="81" t="n"/>
      <c r="F1125" s="81" t="n"/>
      <c r="G1125" s="78" t="n"/>
      <c r="H1125" s="78" t="n"/>
      <c r="I1125" s="67">
        <f>IF($H1125="","",IFERROR(INDEX(Action_Status_Map!$B$5:$B$11,MATCH($H1125,Action_Status_Map!$A$5:$A$11,0)),""))</f>
        <v/>
      </c>
      <c r="J1125" s="82" t="n"/>
      <c r="K1125" s="82" t="n"/>
      <c r="L1125" s="82" t="n"/>
      <c r="M1125" s="83" t="n"/>
      <c r="N1125" s="83" t="n"/>
      <c r="O1125" s="66">
        <f>IF(OR($M1125="",$N1125=""),"",$N1125-$M1125)</f>
        <v/>
      </c>
      <c r="P1125" s="84">
        <f>IF($J1125="","",IF($L1125&lt;&gt;"",$L1125-$J1125,TODAY()-$J1125))</f>
        <v/>
      </c>
      <c r="Q1125" s="85">
        <f>IF(OR($K1125="",$H1125="Completed",$H1125="Cancelled"),"",IF(AND($K1125&lt;TODAY(),$H1125&lt;&gt;"Completed",$H1125&lt;&gt;"Cancelled"),"Overdue","On Track"))</f>
        <v/>
      </c>
      <c r="R1125" s="81" t="n"/>
      <c r="S1125" s="81">
        <f>IF($B1125="","",IFERROR(INDEX(Task_Tracker!$AA$5:$AA$1004,MATCH($B1125,Task_Tracker!$A$5:$A$1004,0)),""))</f>
        <v/>
      </c>
      <c r="T1125" s="81">
        <f>IF($B1125="","",IFERROR(INDEX(Task_Tracker!$AB$5:$AB$1004,MATCH($B1125,Task_Tracker!$A$5:$A$1004,0)),""))</f>
        <v/>
      </c>
      <c r="U1125" s="78">
        <f>IF($B1125="","",IFERROR(INDEX(Task_Tracker!$F$5:$F$1004,MATCH($B1125,Task_Tracker!$A$5:$A$1004,0)),""))</f>
        <v/>
      </c>
      <c r="V1125" s="78">
        <f>IF($B1125="","",IFERROR(INDEX(Task_Tracker!$I$5:$I$1004,MATCH($B1125,Task_Tracker!$A$5:$A$1004,0)),""))</f>
        <v/>
      </c>
      <c r="W1125" s="81">
        <f>IF(OR($D1125="",$B1125=""),"",$D1125&amp;" | "&amp;$B1125)</f>
        <v/>
      </c>
      <c r="X1125" s="85">
        <f>IF($K1125="","",TEXT($K1125,"yyyy-mm"))</f>
        <v/>
      </c>
      <c r="Y1125" s="81">
        <f>IF(OR($A1125="",$T1125=""),"","Included in Manager_Report")</f>
        <v/>
      </c>
    </row>
    <row r="1126" ht="15" customHeight="1" s="40">
      <c r="A1126" s="65">
        <f>IF(COUNTA(B1126:G1126)=0,"","STP-"&amp;TEXT(ROW()-4,"0000"))</f>
        <v/>
      </c>
      <c r="B1126" s="78" t="n"/>
      <c r="C1126" s="67">
        <f>IF($B1126="","",IFERROR(INDEX(Task_Tracker!$D$5:$D$1004,MATCH($B1126,Task_Tracker!$A$5:$A$1004,0)),""))</f>
        <v/>
      </c>
      <c r="D1126" s="67">
        <f>IF($B1126="","",IFERROR(INDEX(Task_Tracker!$B$5:$B$1004,MATCH($B1126,Task_Tracker!$A$5:$A$1004,0)),""))</f>
        <v/>
      </c>
      <c r="E1126" s="81" t="n"/>
      <c r="F1126" s="81" t="n"/>
      <c r="G1126" s="78" t="n"/>
      <c r="H1126" s="78" t="n"/>
      <c r="I1126" s="67">
        <f>IF($H1126="","",IFERROR(INDEX(Action_Status_Map!$B$5:$B$11,MATCH($H1126,Action_Status_Map!$A$5:$A$11,0)),""))</f>
        <v/>
      </c>
      <c r="J1126" s="82" t="n"/>
      <c r="K1126" s="82" t="n"/>
      <c r="L1126" s="82" t="n"/>
      <c r="M1126" s="83" t="n"/>
      <c r="N1126" s="83" t="n"/>
      <c r="O1126" s="66">
        <f>IF(OR($M1126="",$N1126=""),"",$N1126-$M1126)</f>
        <v/>
      </c>
      <c r="P1126" s="84">
        <f>IF($J1126="","",IF($L1126&lt;&gt;"",$L1126-$J1126,TODAY()-$J1126))</f>
        <v/>
      </c>
      <c r="Q1126" s="85">
        <f>IF(OR($K1126="",$H1126="Completed",$H1126="Cancelled"),"",IF(AND($K1126&lt;TODAY(),$H1126&lt;&gt;"Completed",$H1126&lt;&gt;"Cancelled"),"Overdue","On Track"))</f>
        <v/>
      </c>
      <c r="R1126" s="81" t="n"/>
      <c r="S1126" s="81">
        <f>IF($B1126="","",IFERROR(INDEX(Task_Tracker!$AA$5:$AA$1004,MATCH($B1126,Task_Tracker!$A$5:$A$1004,0)),""))</f>
        <v/>
      </c>
      <c r="T1126" s="81">
        <f>IF($B1126="","",IFERROR(INDEX(Task_Tracker!$AB$5:$AB$1004,MATCH($B1126,Task_Tracker!$A$5:$A$1004,0)),""))</f>
        <v/>
      </c>
      <c r="U1126" s="78">
        <f>IF($B1126="","",IFERROR(INDEX(Task_Tracker!$F$5:$F$1004,MATCH($B1126,Task_Tracker!$A$5:$A$1004,0)),""))</f>
        <v/>
      </c>
      <c r="V1126" s="78">
        <f>IF($B1126="","",IFERROR(INDEX(Task_Tracker!$I$5:$I$1004,MATCH($B1126,Task_Tracker!$A$5:$A$1004,0)),""))</f>
        <v/>
      </c>
      <c r="W1126" s="81">
        <f>IF(OR($D1126="",$B1126=""),"",$D1126&amp;" | "&amp;$B1126)</f>
        <v/>
      </c>
      <c r="X1126" s="85">
        <f>IF($K1126="","",TEXT($K1126,"yyyy-mm"))</f>
        <v/>
      </c>
      <c r="Y1126" s="81">
        <f>IF(OR($A1126="",$T1126=""),"","Included in Manager_Report")</f>
        <v/>
      </c>
    </row>
    <row r="1127" ht="15" customHeight="1" s="40">
      <c r="A1127" s="65">
        <f>IF(COUNTA(B1127:G1127)=0,"","STP-"&amp;TEXT(ROW()-4,"0000"))</f>
        <v/>
      </c>
      <c r="B1127" s="78" t="n"/>
      <c r="C1127" s="67">
        <f>IF($B1127="","",IFERROR(INDEX(Task_Tracker!$D$5:$D$1004,MATCH($B1127,Task_Tracker!$A$5:$A$1004,0)),""))</f>
        <v/>
      </c>
      <c r="D1127" s="67">
        <f>IF($B1127="","",IFERROR(INDEX(Task_Tracker!$B$5:$B$1004,MATCH($B1127,Task_Tracker!$A$5:$A$1004,0)),""))</f>
        <v/>
      </c>
      <c r="E1127" s="81" t="n"/>
      <c r="F1127" s="81" t="n"/>
      <c r="G1127" s="78" t="n"/>
      <c r="H1127" s="78" t="n"/>
      <c r="I1127" s="67">
        <f>IF($H1127="","",IFERROR(INDEX(Action_Status_Map!$B$5:$B$11,MATCH($H1127,Action_Status_Map!$A$5:$A$11,0)),""))</f>
        <v/>
      </c>
      <c r="J1127" s="82" t="n"/>
      <c r="K1127" s="82" t="n"/>
      <c r="L1127" s="82" t="n"/>
      <c r="M1127" s="83" t="n"/>
      <c r="N1127" s="83" t="n"/>
      <c r="O1127" s="66">
        <f>IF(OR($M1127="",$N1127=""),"",$N1127-$M1127)</f>
        <v/>
      </c>
      <c r="P1127" s="84">
        <f>IF($J1127="","",IF($L1127&lt;&gt;"",$L1127-$J1127,TODAY()-$J1127))</f>
        <v/>
      </c>
      <c r="Q1127" s="85">
        <f>IF(OR($K1127="",$H1127="Completed",$H1127="Cancelled"),"",IF(AND($K1127&lt;TODAY(),$H1127&lt;&gt;"Completed",$H1127&lt;&gt;"Cancelled"),"Overdue","On Track"))</f>
        <v/>
      </c>
      <c r="R1127" s="81" t="n"/>
      <c r="S1127" s="81">
        <f>IF($B1127="","",IFERROR(INDEX(Task_Tracker!$AA$5:$AA$1004,MATCH($B1127,Task_Tracker!$A$5:$A$1004,0)),""))</f>
        <v/>
      </c>
      <c r="T1127" s="81">
        <f>IF($B1127="","",IFERROR(INDEX(Task_Tracker!$AB$5:$AB$1004,MATCH($B1127,Task_Tracker!$A$5:$A$1004,0)),""))</f>
        <v/>
      </c>
      <c r="U1127" s="78">
        <f>IF($B1127="","",IFERROR(INDEX(Task_Tracker!$F$5:$F$1004,MATCH($B1127,Task_Tracker!$A$5:$A$1004,0)),""))</f>
        <v/>
      </c>
      <c r="V1127" s="78">
        <f>IF($B1127="","",IFERROR(INDEX(Task_Tracker!$I$5:$I$1004,MATCH($B1127,Task_Tracker!$A$5:$A$1004,0)),""))</f>
        <v/>
      </c>
      <c r="W1127" s="81">
        <f>IF(OR($D1127="",$B1127=""),"",$D1127&amp;" | "&amp;$B1127)</f>
        <v/>
      </c>
      <c r="X1127" s="85">
        <f>IF($K1127="","",TEXT($K1127,"yyyy-mm"))</f>
        <v/>
      </c>
      <c r="Y1127" s="81">
        <f>IF(OR($A1127="",$T1127=""),"","Included in Manager_Report")</f>
        <v/>
      </c>
    </row>
    <row r="1128" ht="15" customHeight="1" s="40">
      <c r="A1128" s="65">
        <f>IF(COUNTA(B1128:G1128)=0,"","STP-"&amp;TEXT(ROW()-4,"0000"))</f>
        <v/>
      </c>
      <c r="B1128" s="78" t="n"/>
      <c r="C1128" s="67">
        <f>IF($B1128="","",IFERROR(INDEX(Task_Tracker!$D$5:$D$1004,MATCH($B1128,Task_Tracker!$A$5:$A$1004,0)),""))</f>
        <v/>
      </c>
      <c r="D1128" s="67">
        <f>IF($B1128="","",IFERROR(INDEX(Task_Tracker!$B$5:$B$1004,MATCH($B1128,Task_Tracker!$A$5:$A$1004,0)),""))</f>
        <v/>
      </c>
      <c r="E1128" s="81" t="n"/>
      <c r="F1128" s="81" t="n"/>
      <c r="G1128" s="78" t="n"/>
      <c r="H1128" s="78" t="n"/>
      <c r="I1128" s="67">
        <f>IF($H1128="","",IFERROR(INDEX(Action_Status_Map!$B$5:$B$11,MATCH($H1128,Action_Status_Map!$A$5:$A$11,0)),""))</f>
        <v/>
      </c>
      <c r="J1128" s="82" t="n"/>
      <c r="K1128" s="82" t="n"/>
      <c r="L1128" s="82" t="n"/>
      <c r="M1128" s="83" t="n"/>
      <c r="N1128" s="83" t="n"/>
      <c r="O1128" s="66">
        <f>IF(OR($M1128="",$N1128=""),"",$N1128-$M1128)</f>
        <v/>
      </c>
      <c r="P1128" s="84">
        <f>IF($J1128="","",IF($L1128&lt;&gt;"",$L1128-$J1128,TODAY()-$J1128))</f>
        <v/>
      </c>
      <c r="Q1128" s="85">
        <f>IF(OR($K1128="",$H1128="Completed",$H1128="Cancelled"),"",IF(AND($K1128&lt;TODAY(),$H1128&lt;&gt;"Completed",$H1128&lt;&gt;"Cancelled"),"Overdue","On Track"))</f>
        <v/>
      </c>
      <c r="R1128" s="81" t="n"/>
      <c r="S1128" s="81">
        <f>IF($B1128="","",IFERROR(INDEX(Task_Tracker!$AA$5:$AA$1004,MATCH($B1128,Task_Tracker!$A$5:$A$1004,0)),""))</f>
        <v/>
      </c>
      <c r="T1128" s="81">
        <f>IF($B1128="","",IFERROR(INDEX(Task_Tracker!$AB$5:$AB$1004,MATCH($B1128,Task_Tracker!$A$5:$A$1004,0)),""))</f>
        <v/>
      </c>
      <c r="U1128" s="78">
        <f>IF($B1128="","",IFERROR(INDEX(Task_Tracker!$F$5:$F$1004,MATCH($B1128,Task_Tracker!$A$5:$A$1004,0)),""))</f>
        <v/>
      </c>
      <c r="V1128" s="78">
        <f>IF($B1128="","",IFERROR(INDEX(Task_Tracker!$I$5:$I$1004,MATCH($B1128,Task_Tracker!$A$5:$A$1004,0)),""))</f>
        <v/>
      </c>
      <c r="W1128" s="81">
        <f>IF(OR($D1128="",$B1128=""),"",$D1128&amp;" | "&amp;$B1128)</f>
        <v/>
      </c>
      <c r="X1128" s="85">
        <f>IF($K1128="","",TEXT($K1128,"yyyy-mm"))</f>
        <v/>
      </c>
      <c r="Y1128" s="81">
        <f>IF(OR($A1128="",$T1128=""),"","Included in Manager_Report")</f>
        <v/>
      </c>
    </row>
    <row r="1129" ht="15" customHeight="1" s="40">
      <c r="A1129" s="65">
        <f>IF(COUNTA(B1129:G1129)=0,"","STP-"&amp;TEXT(ROW()-4,"0000"))</f>
        <v/>
      </c>
      <c r="B1129" s="78" t="n"/>
      <c r="C1129" s="67">
        <f>IF($B1129="","",IFERROR(INDEX(Task_Tracker!$D$5:$D$1004,MATCH($B1129,Task_Tracker!$A$5:$A$1004,0)),""))</f>
        <v/>
      </c>
      <c r="D1129" s="67">
        <f>IF($B1129="","",IFERROR(INDEX(Task_Tracker!$B$5:$B$1004,MATCH($B1129,Task_Tracker!$A$5:$A$1004,0)),""))</f>
        <v/>
      </c>
      <c r="E1129" s="81" t="n"/>
      <c r="F1129" s="81" t="n"/>
      <c r="G1129" s="78" t="n"/>
      <c r="H1129" s="78" t="n"/>
      <c r="I1129" s="67">
        <f>IF($H1129="","",IFERROR(INDEX(Action_Status_Map!$B$5:$B$11,MATCH($H1129,Action_Status_Map!$A$5:$A$11,0)),""))</f>
        <v/>
      </c>
      <c r="J1129" s="82" t="n"/>
      <c r="K1129" s="82" t="n"/>
      <c r="L1129" s="82" t="n"/>
      <c r="M1129" s="83" t="n"/>
      <c r="N1129" s="83" t="n"/>
      <c r="O1129" s="66">
        <f>IF(OR($M1129="",$N1129=""),"",$N1129-$M1129)</f>
        <v/>
      </c>
      <c r="P1129" s="84">
        <f>IF($J1129="","",IF($L1129&lt;&gt;"",$L1129-$J1129,TODAY()-$J1129))</f>
        <v/>
      </c>
      <c r="Q1129" s="85">
        <f>IF(OR($K1129="",$H1129="Completed",$H1129="Cancelled"),"",IF(AND($K1129&lt;TODAY(),$H1129&lt;&gt;"Completed",$H1129&lt;&gt;"Cancelled"),"Overdue","On Track"))</f>
        <v/>
      </c>
      <c r="R1129" s="81" t="n"/>
      <c r="S1129" s="81">
        <f>IF($B1129="","",IFERROR(INDEX(Task_Tracker!$AA$5:$AA$1004,MATCH($B1129,Task_Tracker!$A$5:$A$1004,0)),""))</f>
        <v/>
      </c>
      <c r="T1129" s="81">
        <f>IF($B1129="","",IFERROR(INDEX(Task_Tracker!$AB$5:$AB$1004,MATCH($B1129,Task_Tracker!$A$5:$A$1004,0)),""))</f>
        <v/>
      </c>
      <c r="U1129" s="78">
        <f>IF($B1129="","",IFERROR(INDEX(Task_Tracker!$F$5:$F$1004,MATCH($B1129,Task_Tracker!$A$5:$A$1004,0)),""))</f>
        <v/>
      </c>
      <c r="V1129" s="78">
        <f>IF($B1129="","",IFERROR(INDEX(Task_Tracker!$I$5:$I$1004,MATCH($B1129,Task_Tracker!$A$5:$A$1004,0)),""))</f>
        <v/>
      </c>
      <c r="W1129" s="81">
        <f>IF(OR($D1129="",$B1129=""),"",$D1129&amp;" | "&amp;$B1129)</f>
        <v/>
      </c>
      <c r="X1129" s="85">
        <f>IF($K1129="","",TEXT($K1129,"yyyy-mm"))</f>
        <v/>
      </c>
      <c r="Y1129" s="81">
        <f>IF(OR($A1129="",$T1129=""),"","Included in Manager_Report")</f>
        <v/>
      </c>
    </row>
    <row r="1130" ht="15" customHeight="1" s="40">
      <c r="A1130" s="65">
        <f>IF(COUNTA(B1130:G1130)=0,"","STP-"&amp;TEXT(ROW()-4,"0000"))</f>
        <v/>
      </c>
      <c r="B1130" s="78" t="n"/>
      <c r="C1130" s="67">
        <f>IF($B1130="","",IFERROR(INDEX(Task_Tracker!$D$5:$D$1004,MATCH($B1130,Task_Tracker!$A$5:$A$1004,0)),""))</f>
        <v/>
      </c>
      <c r="D1130" s="67">
        <f>IF($B1130="","",IFERROR(INDEX(Task_Tracker!$B$5:$B$1004,MATCH($B1130,Task_Tracker!$A$5:$A$1004,0)),""))</f>
        <v/>
      </c>
      <c r="E1130" s="81" t="n"/>
      <c r="F1130" s="81" t="n"/>
      <c r="G1130" s="78" t="n"/>
      <c r="H1130" s="78" t="n"/>
      <c r="I1130" s="67">
        <f>IF($H1130="","",IFERROR(INDEX(Action_Status_Map!$B$5:$B$11,MATCH($H1130,Action_Status_Map!$A$5:$A$11,0)),""))</f>
        <v/>
      </c>
      <c r="J1130" s="82" t="n"/>
      <c r="K1130" s="82" t="n"/>
      <c r="L1130" s="82" t="n"/>
      <c r="M1130" s="83" t="n"/>
      <c r="N1130" s="83" t="n"/>
      <c r="O1130" s="66">
        <f>IF(OR($M1130="",$N1130=""),"",$N1130-$M1130)</f>
        <v/>
      </c>
      <c r="P1130" s="84">
        <f>IF($J1130="","",IF($L1130&lt;&gt;"",$L1130-$J1130,TODAY()-$J1130))</f>
        <v/>
      </c>
      <c r="Q1130" s="85">
        <f>IF(OR($K1130="",$H1130="Completed",$H1130="Cancelled"),"",IF(AND($K1130&lt;TODAY(),$H1130&lt;&gt;"Completed",$H1130&lt;&gt;"Cancelled"),"Overdue","On Track"))</f>
        <v/>
      </c>
      <c r="R1130" s="81" t="n"/>
      <c r="S1130" s="81">
        <f>IF($B1130="","",IFERROR(INDEX(Task_Tracker!$AA$5:$AA$1004,MATCH($B1130,Task_Tracker!$A$5:$A$1004,0)),""))</f>
        <v/>
      </c>
      <c r="T1130" s="81">
        <f>IF($B1130="","",IFERROR(INDEX(Task_Tracker!$AB$5:$AB$1004,MATCH($B1130,Task_Tracker!$A$5:$A$1004,0)),""))</f>
        <v/>
      </c>
      <c r="U1130" s="78">
        <f>IF($B1130="","",IFERROR(INDEX(Task_Tracker!$F$5:$F$1004,MATCH($B1130,Task_Tracker!$A$5:$A$1004,0)),""))</f>
        <v/>
      </c>
      <c r="V1130" s="78">
        <f>IF($B1130="","",IFERROR(INDEX(Task_Tracker!$I$5:$I$1004,MATCH($B1130,Task_Tracker!$A$5:$A$1004,0)),""))</f>
        <v/>
      </c>
      <c r="W1130" s="81">
        <f>IF(OR($D1130="",$B1130=""),"",$D1130&amp;" | "&amp;$B1130)</f>
        <v/>
      </c>
      <c r="X1130" s="85">
        <f>IF($K1130="","",TEXT($K1130,"yyyy-mm"))</f>
        <v/>
      </c>
      <c r="Y1130" s="81">
        <f>IF(OR($A1130="",$T1130=""),"","Included in Manager_Report")</f>
        <v/>
      </c>
    </row>
    <row r="1131" ht="15" customHeight="1" s="40">
      <c r="A1131" s="65">
        <f>IF(COUNTA(B1131:G1131)=0,"","STP-"&amp;TEXT(ROW()-4,"0000"))</f>
        <v/>
      </c>
      <c r="B1131" s="78" t="n"/>
      <c r="C1131" s="67">
        <f>IF($B1131="","",IFERROR(INDEX(Task_Tracker!$D$5:$D$1004,MATCH($B1131,Task_Tracker!$A$5:$A$1004,0)),""))</f>
        <v/>
      </c>
      <c r="D1131" s="67">
        <f>IF($B1131="","",IFERROR(INDEX(Task_Tracker!$B$5:$B$1004,MATCH($B1131,Task_Tracker!$A$5:$A$1004,0)),""))</f>
        <v/>
      </c>
      <c r="E1131" s="81" t="n"/>
      <c r="F1131" s="81" t="n"/>
      <c r="G1131" s="78" t="n"/>
      <c r="H1131" s="78" t="n"/>
      <c r="I1131" s="67">
        <f>IF($H1131="","",IFERROR(INDEX(Action_Status_Map!$B$5:$B$11,MATCH($H1131,Action_Status_Map!$A$5:$A$11,0)),""))</f>
        <v/>
      </c>
      <c r="J1131" s="82" t="n"/>
      <c r="K1131" s="82" t="n"/>
      <c r="L1131" s="82" t="n"/>
      <c r="M1131" s="83" t="n"/>
      <c r="N1131" s="83" t="n"/>
      <c r="O1131" s="66">
        <f>IF(OR($M1131="",$N1131=""),"",$N1131-$M1131)</f>
        <v/>
      </c>
      <c r="P1131" s="84">
        <f>IF($J1131="","",IF($L1131&lt;&gt;"",$L1131-$J1131,TODAY()-$J1131))</f>
        <v/>
      </c>
      <c r="Q1131" s="85">
        <f>IF(OR($K1131="",$H1131="Completed",$H1131="Cancelled"),"",IF(AND($K1131&lt;TODAY(),$H1131&lt;&gt;"Completed",$H1131&lt;&gt;"Cancelled"),"Overdue","On Track"))</f>
        <v/>
      </c>
      <c r="R1131" s="81" t="n"/>
      <c r="S1131" s="81">
        <f>IF($B1131="","",IFERROR(INDEX(Task_Tracker!$AA$5:$AA$1004,MATCH($B1131,Task_Tracker!$A$5:$A$1004,0)),""))</f>
        <v/>
      </c>
      <c r="T1131" s="81">
        <f>IF($B1131="","",IFERROR(INDEX(Task_Tracker!$AB$5:$AB$1004,MATCH($B1131,Task_Tracker!$A$5:$A$1004,0)),""))</f>
        <v/>
      </c>
      <c r="U1131" s="78">
        <f>IF($B1131="","",IFERROR(INDEX(Task_Tracker!$F$5:$F$1004,MATCH($B1131,Task_Tracker!$A$5:$A$1004,0)),""))</f>
        <v/>
      </c>
      <c r="V1131" s="78">
        <f>IF($B1131="","",IFERROR(INDEX(Task_Tracker!$I$5:$I$1004,MATCH($B1131,Task_Tracker!$A$5:$A$1004,0)),""))</f>
        <v/>
      </c>
      <c r="W1131" s="81">
        <f>IF(OR($D1131="",$B1131=""),"",$D1131&amp;" | "&amp;$B1131)</f>
        <v/>
      </c>
      <c r="X1131" s="85">
        <f>IF($K1131="","",TEXT($K1131,"yyyy-mm"))</f>
        <v/>
      </c>
      <c r="Y1131" s="81">
        <f>IF(OR($A1131="",$T1131=""),"","Included in Manager_Report")</f>
        <v/>
      </c>
    </row>
    <row r="1132" ht="15" customHeight="1" s="40">
      <c r="A1132" s="65">
        <f>IF(COUNTA(B1132:G1132)=0,"","STP-"&amp;TEXT(ROW()-4,"0000"))</f>
        <v/>
      </c>
      <c r="B1132" s="78" t="n"/>
      <c r="C1132" s="67">
        <f>IF($B1132="","",IFERROR(INDEX(Task_Tracker!$D$5:$D$1004,MATCH($B1132,Task_Tracker!$A$5:$A$1004,0)),""))</f>
        <v/>
      </c>
      <c r="D1132" s="67">
        <f>IF($B1132="","",IFERROR(INDEX(Task_Tracker!$B$5:$B$1004,MATCH($B1132,Task_Tracker!$A$5:$A$1004,0)),""))</f>
        <v/>
      </c>
      <c r="E1132" s="81" t="n"/>
      <c r="F1132" s="81" t="n"/>
      <c r="G1132" s="78" t="n"/>
      <c r="H1132" s="78" t="n"/>
      <c r="I1132" s="67">
        <f>IF($H1132="","",IFERROR(INDEX(Action_Status_Map!$B$5:$B$11,MATCH($H1132,Action_Status_Map!$A$5:$A$11,0)),""))</f>
        <v/>
      </c>
      <c r="J1132" s="82" t="n"/>
      <c r="K1132" s="82" t="n"/>
      <c r="L1132" s="82" t="n"/>
      <c r="M1132" s="83" t="n"/>
      <c r="N1132" s="83" t="n"/>
      <c r="O1132" s="66">
        <f>IF(OR($M1132="",$N1132=""),"",$N1132-$M1132)</f>
        <v/>
      </c>
      <c r="P1132" s="84">
        <f>IF($J1132="","",IF($L1132&lt;&gt;"",$L1132-$J1132,TODAY()-$J1132))</f>
        <v/>
      </c>
      <c r="Q1132" s="85">
        <f>IF(OR($K1132="",$H1132="Completed",$H1132="Cancelled"),"",IF(AND($K1132&lt;TODAY(),$H1132&lt;&gt;"Completed",$H1132&lt;&gt;"Cancelled"),"Overdue","On Track"))</f>
        <v/>
      </c>
      <c r="R1132" s="81" t="n"/>
      <c r="S1132" s="81">
        <f>IF($B1132="","",IFERROR(INDEX(Task_Tracker!$AA$5:$AA$1004,MATCH($B1132,Task_Tracker!$A$5:$A$1004,0)),""))</f>
        <v/>
      </c>
      <c r="T1132" s="81">
        <f>IF($B1132="","",IFERROR(INDEX(Task_Tracker!$AB$5:$AB$1004,MATCH($B1132,Task_Tracker!$A$5:$A$1004,0)),""))</f>
        <v/>
      </c>
      <c r="U1132" s="78">
        <f>IF($B1132="","",IFERROR(INDEX(Task_Tracker!$F$5:$F$1004,MATCH($B1132,Task_Tracker!$A$5:$A$1004,0)),""))</f>
        <v/>
      </c>
      <c r="V1132" s="78">
        <f>IF($B1132="","",IFERROR(INDEX(Task_Tracker!$I$5:$I$1004,MATCH($B1132,Task_Tracker!$A$5:$A$1004,0)),""))</f>
        <v/>
      </c>
      <c r="W1132" s="81">
        <f>IF(OR($D1132="",$B1132=""),"",$D1132&amp;" | "&amp;$B1132)</f>
        <v/>
      </c>
      <c r="X1132" s="85">
        <f>IF($K1132="","",TEXT($K1132,"yyyy-mm"))</f>
        <v/>
      </c>
      <c r="Y1132" s="81">
        <f>IF(OR($A1132="",$T1132=""),"","Included in Manager_Report")</f>
        <v/>
      </c>
    </row>
    <row r="1133" ht="15" customHeight="1" s="40">
      <c r="A1133" s="65">
        <f>IF(COUNTA(B1133:G1133)=0,"","STP-"&amp;TEXT(ROW()-4,"0000"))</f>
        <v/>
      </c>
      <c r="B1133" s="78" t="n"/>
      <c r="C1133" s="67">
        <f>IF($B1133="","",IFERROR(INDEX(Task_Tracker!$D$5:$D$1004,MATCH($B1133,Task_Tracker!$A$5:$A$1004,0)),""))</f>
        <v/>
      </c>
      <c r="D1133" s="67">
        <f>IF($B1133="","",IFERROR(INDEX(Task_Tracker!$B$5:$B$1004,MATCH($B1133,Task_Tracker!$A$5:$A$1004,0)),""))</f>
        <v/>
      </c>
      <c r="E1133" s="81" t="n"/>
      <c r="F1133" s="81" t="n"/>
      <c r="G1133" s="78" t="n"/>
      <c r="H1133" s="78" t="n"/>
      <c r="I1133" s="67">
        <f>IF($H1133="","",IFERROR(INDEX(Action_Status_Map!$B$5:$B$11,MATCH($H1133,Action_Status_Map!$A$5:$A$11,0)),""))</f>
        <v/>
      </c>
      <c r="J1133" s="82" t="n"/>
      <c r="K1133" s="82" t="n"/>
      <c r="L1133" s="82" t="n"/>
      <c r="M1133" s="83" t="n"/>
      <c r="N1133" s="83" t="n"/>
      <c r="O1133" s="66">
        <f>IF(OR($M1133="",$N1133=""),"",$N1133-$M1133)</f>
        <v/>
      </c>
      <c r="P1133" s="84">
        <f>IF($J1133="","",IF($L1133&lt;&gt;"",$L1133-$J1133,TODAY()-$J1133))</f>
        <v/>
      </c>
      <c r="Q1133" s="85">
        <f>IF(OR($K1133="",$H1133="Completed",$H1133="Cancelled"),"",IF(AND($K1133&lt;TODAY(),$H1133&lt;&gt;"Completed",$H1133&lt;&gt;"Cancelled"),"Overdue","On Track"))</f>
        <v/>
      </c>
      <c r="R1133" s="81" t="n"/>
      <c r="S1133" s="81">
        <f>IF($B1133="","",IFERROR(INDEX(Task_Tracker!$AA$5:$AA$1004,MATCH($B1133,Task_Tracker!$A$5:$A$1004,0)),""))</f>
        <v/>
      </c>
      <c r="T1133" s="81">
        <f>IF($B1133="","",IFERROR(INDEX(Task_Tracker!$AB$5:$AB$1004,MATCH($B1133,Task_Tracker!$A$5:$A$1004,0)),""))</f>
        <v/>
      </c>
      <c r="U1133" s="78">
        <f>IF($B1133="","",IFERROR(INDEX(Task_Tracker!$F$5:$F$1004,MATCH($B1133,Task_Tracker!$A$5:$A$1004,0)),""))</f>
        <v/>
      </c>
      <c r="V1133" s="78">
        <f>IF($B1133="","",IFERROR(INDEX(Task_Tracker!$I$5:$I$1004,MATCH($B1133,Task_Tracker!$A$5:$A$1004,0)),""))</f>
        <v/>
      </c>
      <c r="W1133" s="81">
        <f>IF(OR($D1133="",$B1133=""),"",$D1133&amp;" | "&amp;$B1133)</f>
        <v/>
      </c>
      <c r="X1133" s="85">
        <f>IF($K1133="","",TEXT($K1133,"yyyy-mm"))</f>
        <v/>
      </c>
      <c r="Y1133" s="81">
        <f>IF(OR($A1133="",$T1133=""),"","Included in Manager_Report")</f>
        <v/>
      </c>
    </row>
    <row r="1134" ht="15" customHeight="1" s="40">
      <c r="A1134" s="65">
        <f>IF(COUNTA(B1134:G1134)=0,"","STP-"&amp;TEXT(ROW()-4,"0000"))</f>
        <v/>
      </c>
      <c r="B1134" s="78" t="n"/>
      <c r="C1134" s="67">
        <f>IF($B1134="","",IFERROR(INDEX(Task_Tracker!$D$5:$D$1004,MATCH($B1134,Task_Tracker!$A$5:$A$1004,0)),""))</f>
        <v/>
      </c>
      <c r="D1134" s="67">
        <f>IF($B1134="","",IFERROR(INDEX(Task_Tracker!$B$5:$B$1004,MATCH($B1134,Task_Tracker!$A$5:$A$1004,0)),""))</f>
        <v/>
      </c>
      <c r="E1134" s="81" t="n"/>
      <c r="F1134" s="81" t="n"/>
      <c r="G1134" s="78" t="n"/>
      <c r="H1134" s="78" t="n"/>
      <c r="I1134" s="67">
        <f>IF($H1134="","",IFERROR(INDEX(Action_Status_Map!$B$5:$B$11,MATCH($H1134,Action_Status_Map!$A$5:$A$11,0)),""))</f>
        <v/>
      </c>
      <c r="J1134" s="82" t="n"/>
      <c r="K1134" s="82" t="n"/>
      <c r="L1134" s="82" t="n"/>
      <c r="M1134" s="83" t="n"/>
      <c r="N1134" s="83" t="n"/>
      <c r="O1134" s="66">
        <f>IF(OR($M1134="",$N1134=""),"",$N1134-$M1134)</f>
        <v/>
      </c>
      <c r="P1134" s="84">
        <f>IF($J1134="","",IF($L1134&lt;&gt;"",$L1134-$J1134,TODAY()-$J1134))</f>
        <v/>
      </c>
      <c r="Q1134" s="85">
        <f>IF(OR($K1134="",$H1134="Completed",$H1134="Cancelled"),"",IF(AND($K1134&lt;TODAY(),$H1134&lt;&gt;"Completed",$H1134&lt;&gt;"Cancelled"),"Overdue","On Track"))</f>
        <v/>
      </c>
      <c r="R1134" s="81" t="n"/>
      <c r="S1134" s="81">
        <f>IF($B1134="","",IFERROR(INDEX(Task_Tracker!$AA$5:$AA$1004,MATCH($B1134,Task_Tracker!$A$5:$A$1004,0)),""))</f>
        <v/>
      </c>
      <c r="T1134" s="81">
        <f>IF($B1134="","",IFERROR(INDEX(Task_Tracker!$AB$5:$AB$1004,MATCH($B1134,Task_Tracker!$A$5:$A$1004,0)),""))</f>
        <v/>
      </c>
      <c r="U1134" s="78">
        <f>IF($B1134="","",IFERROR(INDEX(Task_Tracker!$F$5:$F$1004,MATCH($B1134,Task_Tracker!$A$5:$A$1004,0)),""))</f>
        <v/>
      </c>
      <c r="V1134" s="78">
        <f>IF($B1134="","",IFERROR(INDEX(Task_Tracker!$I$5:$I$1004,MATCH($B1134,Task_Tracker!$A$5:$A$1004,0)),""))</f>
        <v/>
      </c>
      <c r="W1134" s="81">
        <f>IF(OR($D1134="",$B1134=""),"",$D1134&amp;" | "&amp;$B1134)</f>
        <v/>
      </c>
      <c r="X1134" s="85">
        <f>IF($K1134="","",TEXT($K1134,"yyyy-mm"))</f>
        <v/>
      </c>
      <c r="Y1134" s="81">
        <f>IF(OR($A1134="",$T1134=""),"","Included in Manager_Report")</f>
        <v/>
      </c>
    </row>
    <row r="1135" ht="15" customHeight="1" s="40">
      <c r="A1135" s="65">
        <f>IF(COUNTA(B1135:G1135)=0,"","STP-"&amp;TEXT(ROW()-4,"0000"))</f>
        <v/>
      </c>
      <c r="B1135" s="78" t="n"/>
      <c r="C1135" s="67">
        <f>IF($B1135="","",IFERROR(INDEX(Task_Tracker!$D$5:$D$1004,MATCH($B1135,Task_Tracker!$A$5:$A$1004,0)),""))</f>
        <v/>
      </c>
      <c r="D1135" s="67">
        <f>IF($B1135="","",IFERROR(INDEX(Task_Tracker!$B$5:$B$1004,MATCH($B1135,Task_Tracker!$A$5:$A$1004,0)),""))</f>
        <v/>
      </c>
      <c r="E1135" s="81" t="n"/>
      <c r="F1135" s="81" t="n"/>
      <c r="G1135" s="78" t="n"/>
      <c r="H1135" s="78" t="n"/>
      <c r="I1135" s="67">
        <f>IF($H1135="","",IFERROR(INDEX(Action_Status_Map!$B$5:$B$11,MATCH($H1135,Action_Status_Map!$A$5:$A$11,0)),""))</f>
        <v/>
      </c>
      <c r="J1135" s="82" t="n"/>
      <c r="K1135" s="82" t="n"/>
      <c r="L1135" s="82" t="n"/>
      <c r="M1135" s="83" t="n"/>
      <c r="N1135" s="83" t="n"/>
      <c r="O1135" s="66">
        <f>IF(OR($M1135="",$N1135=""),"",$N1135-$M1135)</f>
        <v/>
      </c>
      <c r="P1135" s="84">
        <f>IF($J1135="","",IF($L1135&lt;&gt;"",$L1135-$J1135,TODAY()-$J1135))</f>
        <v/>
      </c>
      <c r="Q1135" s="85">
        <f>IF(OR($K1135="",$H1135="Completed",$H1135="Cancelled"),"",IF(AND($K1135&lt;TODAY(),$H1135&lt;&gt;"Completed",$H1135&lt;&gt;"Cancelled"),"Overdue","On Track"))</f>
        <v/>
      </c>
      <c r="R1135" s="81" t="n"/>
      <c r="S1135" s="81">
        <f>IF($B1135="","",IFERROR(INDEX(Task_Tracker!$AA$5:$AA$1004,MATCH($B1135,Task_Tracker!$A$5:$A$1004,0)),""))</f>
        <v/>
      </c>
      <c r="T1135" s="81">
        <f>IF($B1135="","",IFERROR(INDEX(Task_Tracker!$AB$5:$AB$1004,MATCH($B1135,Task_Tracker!$A$5:$A$1004,0)),""))</f>
        <v/>
      </c>
      <c r="U1135" s="78">
        <f>IF($B1135="","",IFERROR(INDEX(Task_Tracker!$F$5:$F$1004,MATCH($B1135,Task_Tracker!$A$5:$A$1004,0)),""))</f>
        <v/>
      </c>
      <c r="V1135" s="78">
        <f>IF($B1135="","",IFERROR(INDEX(Task_Tracker!$I$5:$I$1004,MATCH($B1135,Task_Tracker!$A$5:$A$1004,0)),""))</f>
        <v/>
      </c>
      <c r="W1135" s="81">
        <f>IF(OR($D1135="",$B1135=""),"",$D1135&amp;" | "&amp;$B1135)</f>
        <v/>
      </c>
      <c r="X1135" s="85">
        <f>IF($K1135="","",TEXT($K1135,"yyyy-mm"))</f>
        <v/>
      </c>
      <c r="Y1135" s="81">
        <f>IF(OR($A1135="",$T1135=""),"","Included in Manager_Report")</f>
        <v/>
      </c>
    </row>
    <row r="1136" ht="15" customHeight="1" s="40">
      <c r="A1136" s="65">
        <f>IF(COUNTA(B1136:G1136)=0,"","STP-"&amp;TEXT(ROW()-4,"0000"))</f>
        <v/>
      </c>
      <c r="B1136" s="78" t="n"/>
      <c r="C1136" s="67">
        <f>IF($B1136="","",IFERROR(INDEX(Task_Tracker!$D$5:$D$1004,MATCH($B1136,Task_Tracker!$A$5:$A$1004,0)),""))</f>
        <v/>
      </c>
      <c r="D1136" s="67">
        <f>IF($B1136="","",IFERROR(INDEX(Task_Tracker!$B$5:$B$1004,MATCH($B1136,Task_Tracker!$A$5:$A$1004,0)),""))</f>
        <v/>
      </c>
      <c r="E1136" s="81" t="n"/>
      <c r="F1136" s="81" t="n"/>
      <c r="G1136" s="78" t="n"/>
      <c r="H1136" s="78" t="n"/>
      <c r="I1136" s="67">
        <f>IF($H1136="","",IFERROR(INDEX(Action_Status_Map!$B$5:$B$11,MATCH($H1136,Action_Status_Map!$A$5:$A$11,0)),""))</f>
        <v/>
      </c>
      <c r="J1136" s="82" t="n"/>
      <c r="K1136" s="82" t="n"/>
      <c r="L1136" s="82" t="n"/>
      <c r="M1136" s="83" t="n"/>
      <c r="N1136" s="83" t="n"/>
      <c r="O1136" s="66">
        <f>IF(OR($M1136="",$N1136=""),"",$N1136-$M1136)</f>
        <v/>
      </c>
      <c r="P1136" s="84">
        <f>IF($J1136="","",IF($L1136&lt;&gt;"",$L1136-$J1136,TODAY()-$J1136))</f>
        <v/>
      </c>
      <c r="Q1136" s="85">
        <f>IF(OR($K1136="",$H1136="Completed",$H1136="Cancelled"),"",IF(AND($K1136&lt;TODAY(),$H1136&lt;&gt;"Completed",$H1136&lt;&gt;"Cancelled"),"Overdue","On Track"))</f>
        <v/>
      </c>
      <c r="R1136" s="81" t="n"/>
      <c r="S1136" s="81">
        <f>IF($B1136="","",IFERROR(INDEX(Task_Tracker!$AA$5:$AA$1004,MATCH($B1136,Task_Tracker!$A$5:$A$1004,0)),""))</f>
        <v/>
      </c>
      <c r="T1136" s="81">
        <f>IF($B1136="","",IFERROR(INDEX(Task_Tracker!$AB$5:$AB$1004,MATCH($B1136,Task_Tracker!$A$5:$A$1004,0)),""))</f>
        <v/>
      </c>
      <c r="U1136" s="78">
        <f>IF($B1136="","",IFERROR(INDEX(Task_Tracker!$F$5:$F$1004,MATCH($B1136,Task_Tracker!$A$5:$A$1004,0)),""))</f>
        <v/>
      </c>
      <c r="V1136" s="78">
        <f>IF($B1136="","",IFERROR(INDEX(Task_Tracker!$I$5:$I$1004,MATCH($B1136,Task_Tracker!$A$5:$A$1004,0)),""))</f>
        <v/>
      </c>
      <c r="W1136" s="81">
        <f>IF(OR($D1136="",$B1136=""),"",$D1136&amp;" | "&amp;$B1136)</f>
        <v/>
      </c>
      <c r="X1136" s="85">
        <f>IF($K1136="","",TEXT($K1136,"yyyy-mm"))</f>
        <v/>
      </c>
      <c r="Y1136" s="81">
        <f>IF(OR($A1136="",$T1136=""),"","Included in Manager_Report")</f>
        <v/>
      </c>
    </row>
    <row r="1137" ht="15" customHeight="1" s="40">
      <c r="A1137" s="65">
        <f>IF(COUNTA(B1137:G1137)=0,"","STP-"&amp;TEXT(ROW()-4,"0000"))</f>
        <v/>
      </c>
      <c r="B1137" s="78" t="n"/>
      <c r="C1137" s="67">
        <f>IF($B1137="","",IFERROR(INDEX(Task_Tracker!$D$5:$D$1004,MATCH($B1137,Task_Tracker!$A$5:$A$1004,0)),""))</f>
        <v/>
      </c>
      <c r="D1137" s="67">
        <f>IF($B1137="","",IFERROR(INDEX(Task_Tracker!$B$5:$B$1004,MATCH($B1137,Task_Tracker!$A$5:$A$1004,0)),""))</f>
        <v/>
      </c>
      <c r="E1137" s="81" t="n"/>
      <c r="F1137" s="81" t="n"/>
      <c r="G1137" s="78" t="n"/>
      <c r="H1137" s="78" t="n"/>
      <c r="I1137" s="67">
        <f>IF($H1137="","",IFERROR(INDEX(Action_Status_Map!$B$5:$B$11,MATCH($H1137,Action_Status_Map!$A$5:$A$11,0)),""))</f>
        <v/>
      </c>
      <c r="J1137" s="82" t="n"/>
      <c r="K1137" s="82" t="n"/>
      <c r="L1137" s="82" t="n"/>
      <c r="M1137" s="83" t="n"/>
      <c r="N1137" s="83" t="n"/>
      <c r="O1137" s="66">
        <f>IF(OR($M1137="",$N1137=""),"",$N1137-$M1137)</f>
        <v/>
      </c>
      <c r="P1137" s="84">
        <f>IF($J1137="","",IF($L1137&lt;&gt;"",$L1137-$J1137,TODAY()-$J1137))</f>
        <v/>
      </c>
      <c r="Q1137" s="85">
        <f>IF(OR($K1137="",$H1137="Completed",$H1137="Cancelled"),"",IF(AND($K1137&lt;TODAY(),$H1137&lt;&gt;"Completed",$H1137&lt;&gt;"Cancelled"),"Overdue","On Track"))</f>
        <v/>
      </c>
      <c r="R1137" s="81" t="n"/>
      <c r="S1137" s="81">
        <f>IF($B1137="","",IFERROR(INDEX(Task_Tracker!$AA$5:$AA$1004,MATCH($B1137,Task_Tracker!$A$5:$A$1004,0)),""))</f>
        <v/>
      </c>
      <c r="T1137" s="81">
        <f>IF($B1137="","",IFERROR(INDEX(Task_Tracker!$AB$5:$AB$1004,MATCH($B1137,Task_Tracker!$A$5:$A$1004,0)),""))</f>
        <v/>
      </c>
      <c r="U1137" s="78">
        <f>IF($B1137="","",IFERROR(INDEX(Task_Tracker!$F$5:$F$1004,MATCH($B1137,Task_Tracker!$A$5:$A$1004,0)),""))</f>
        <v/>
      </c>
      <c r="V1137" s="78">
        <f>IF($B1137="","",IFERROR(INDEX(Task_Tracker!$I$5:$I$1004,MATCH($B1137,Task_Tracker!$A$5:$A$1004,0)),""))</f>
        <v/>
      </c>
      <c r="W1137" s="81">
        <f>IF(OR($D1137="",$B1137=""),"",$D1137&amp;" | "&amp;$B1137)</f>
        <v/>
      </c>
      <c r="X1137" s="85">
        <f>IF($K1137="","",TEXT($K1137,"yyyy-mm"))</f>
        <v/>
      </c>
      <c r="Y1137" s="81">
        <f>IF(OR($A1137="",$T1137=""),"","Included in Manager_Report")</f>
        <v/>
      </c>
    </row>
    <row r="1138" ht="15" customHeight="1" s="40">
      <c r="A1138" s="65">
        <f>IF(COUNTA(B1138:G1138)=0,"","STP-"&amp;TEXT(ROW()-4,"0000"))</f>
        <v/>
      </c>
      <c r="B1138" s="78" t="n"/>
      <c r="C1138" s="67">
        <f>IF($B1138="","",IFERROR(INDEX(Task_Tracker!$D$5:$D$1004,MATCH($B1138,Task_Tracker!$A$5:$A$1004,0)),""))</f>
        <v/>
      </c>
      <c r="D1138" s="67">
        <f>IF($B1138="","",IFERROR(INDEX(Task_Tracker!$B$5:$B$1004,MATCH($B1138,Task_Tracker!$A$5:$A$1004,0)),""))</f>
        <v/>
      </c>
      <c r="E1138" s="81" t="n"/>
      <c r="F1138" s="81" t="n"/>
      <c r="G1138" s="78" t="n"/>
      <c r="H1138" s="78" t="n"/>
      <c r="I1138" s="67">
        <f>IF($H1138="","",IFERROR(INDEX(Action_Status_Map!$B$5:$B$11,MATCH($H1138,Action_Status_Map!$A$5:$A$11,0)),""))</f>
        <v/>
      </c>
      <c r="J1138" s="82" t="n"/>
      <c r="K1138" s="82" t="n"/>
      <c r="L1138" s="82" t="n"/>
      <c r="M1138" s="83" t="n"/>
      <c r="N1138" s="83" t="n"/>
      <c r="O1138" s="66">
        <f>IF(OR($M1138="",$N1138=""),"",$N1138-$M1138)</f>
        <v/>
      </c>
      <c r="P1138" s="84">
        <f>IF($J1138="","",IF($L1138&lt;&gt;"",$L1138-$J1138,TODAY()-$J1138))</f>
        <v/>
      </c>
      <c r="Q1138" s="85">
        <f>IF(OR($K1138="",$H1138="Completed",$H1138="Cancelled"),"",IF(AND($K1138&lt;TODAY(),$H1138&lt;&gt;"Completed",$H1138&lt;&gt;"Cancelled"),"Overdue","On Track"))</f>
        <v/>
      </c>
      <c r="R1138" s="81" t="n"/>
      <c r="S1138" s="81">
        <f>IF($B1138="","",IFERROR(INDEX(Task_Tracker!$AA$5:$AA$1004,MATCH($B1138,Task_Tracker!$A$5:$A$1004,0)),""))</f>
        <v/>
      </c>
      <c r="T1138" s="81">
        <f>IF($B1138="","",IFERROR(INDEX(Task_Tracker!$AB$5:$AB$1004,MATCH($B1138,Task_Tracker!$A$5:$A$1004,0)),""))</f>
        <v/>
      </c>
      <c r="U1138" s="78">
        <f>IF($B1138="","",IFERROR(INDEX(Task_Tracker!$F$5:$F$1004,MATCH($B1138,Task_Tracker!$A$5:$A$1004,0)),""))</f>
        <v/>
      </c>
      <c r="V1138" s="78">
        <f>IF($B1138="","",IFERROR(INDEX(Task_Tracker!$I$5:$I$1004,MATCH($B1138,Task_Tracker!$A$5:$A$1004,0)),""))</f>
        <v/>
      </c>
      <c r="W1138" s="81">
        <f>IF(OR($D1138="",$B1138=""),"",$D1138&amp;" | "&amp;$B1138)</f>
        <v/>
      </c>
      <c r="X1138" s="85">
        <f>IF($K1138="","",TEXT($K1138,"yyyy-mm"))</f>
        <v/>
      </c>
      <c r="Y1138" s="81">
        <f>IF(OR($A1138="",$T1138=""),"","Included in Manager_Report")</f>
        <v/>
      </c>
    </row>
    <row r="1139" ht="15" customHeight="1" s="40">
      <c r="A1139" s="65">
        <f>IF(COUNTA(B1139:G1139)=0,"","STP-"&amp;TEXT(ROW()-4,"0000"))</f>
        <v/>
      </c>
      <c r="B1139" s="78" t="n"/>
      <c r="C1139" s="67">
        <f>IF($B1139="","",IFERROR(INDEX(Task_Tracker!$D$5:$D$1004,MATCH($B1139,Task_Tracker!$A$5:$A$1004,0)),""))</f>
        <v/>
      </c>
      <c r="D1139" s="67">
        <f>IF($B1139="","",IFERROR(INDEX(Task_Tracker!$B$5:$B$1004,MATCH($B1139,Task_Tracker!$A$5:$A$1004,0)),""))</f>
        <v/>
      </c>
      <c r="E1139" s="81" t="n"/>
      <c r="F1139" s="81" t="n"/>
      <c r="G1139" s="78" t="n"/>
      <c r="H1139" s="78" t="n"/>
      <c r="I1139" s="67">
        <f>IF($H1139="","",IFERROR(INDEX(Action_Status_Map!$B$5:$B$11,MATCH($H1139,Action_Status_Map!$A$5:$A$11,0)),""))</f>
        <v/>
      </c>
      <c r="J1139" s="82" t="n"/>
      <c r="K1139" s="82" t="n"/>
      <c r="L1139" s="82" t="n"/>
      <c r="M1139" s="83" t="n"/>
      <c r="N1139" s="83" t="n"/>
      <c r="O1139" s="66">
        <f>IF(OR($M1139="",$N1139=""),"",$N1139-$M1139)</f>
        <v/>
      </c>
      <c r="P1139" s="84">
        <f>IF($J1139="","",IF($L1139&lt;&gt;"",$L1139-$J1139,TODAY()-$J1139))</f>
        <v/>
      </c>
      <c r="Q1139" s="85">
        <f>IF(OR($K1139="",$H1139="Completed",$H1139="Cancelled"),"",IF(AND($K1139&lt;TODAY(),$H1139&lt;&gt;"Completed",$H1139&lt;&gt;"Cancelled"),"Overdue","On Track"))</f>
        <v/>
      </c>
      <c r="R1139" s="81" t="n"/>
      <c r="S1139" s="81">
        <f>IF($B1139="","",IFERROR(INDEX(Task_Tracker!$AA$5:$AA$1004,MATCH($B1139,Task_Tracker!$A$5:$A$1004,0)),""))</f>
        <v/>
      </c>
      <c r="T1139" s="81">
        <f>IF($B1139="","",IFERROR(INDEX(Task_Tracker!$AB$5:$AB$1004,MATCH($B1139,Task_Tracker!$A$5:$A$1004,0)),""))</f>
        <v/>
      </c>
      <c r="U1139" s="78">
        <f>IF($B1139="","",IFERROR(INDEX(Task_Tracker!$F$5:$F$1004,MATCH($B1139,Task_Tracker!$A$5:$A$1004,0)),""))</f>
        <v/>
      </c>
      <c r="V1139" s="78">
        <f>IF($B1139="","",IFERROR(INDEX(Task_Tracker!$I$5:$I$1004,MATCH($B1139,Task_Tracker!$A$5:$A$1004,0)),""))</f>
        <v/>
      </c>
      <c r="W1139" s="81">
        <f>IF(OR($D1139="",$B1139=""),"",$D1139&amp;" | "&amp;$B1139)</f>
        <v/>
      </c>
      <c r="X1139" s="85">
        <f>IF($K1139="","",TEXT($K1139,"yyyy-mm"))</f>
        <v/>
      </c>
      <c r="Y1139" s="81">
        <f>IF(OR($A1139="",$T1139=""),"","Included in Manager_Report")</f>
        <v/>
      </c>
    </row>
    <row r="1140" ht="15" customHeight="1" s="40">
      <c r="A1140" s="65">
        <f>IF(COUNTA(B1140:G1140)=0,"","STP-"&amp;TEXT(ROW()-4,"0000"))</f>
        <v/>
      </c>
      <c r="B1140" s="78" t="n"/>
      <c r="C1140" s="67">
        <f>IF($B1140="","",IFERROR(INDEX(Task_Tracker!$D$5:$D$1004,MATCH($B1140,Task_Tracker!$A$5:$A$1004,0)),""))</f>
        <v/>
      </c>
      <c r="D1140" s="67">
        <f>IF($B1140="","",IFERROR(INDEX(Task_Tracker!$B$5:$B$1004,MATCH($B1140,Task_Tracker!$A$5:$A$1004,0)),""))</f>
        <v/>
      </c>
      <c r="E1140" s="81" t="n"/>
      <c r="F1140" s="81" t="n"/>
      <c r="G1140" s="78" t="n"/>
      <c r="H1140" s="78" t="n"/>
      <c r="I1140" s="67">
        <f>IF($H1140="","",IFERROR(INDEX(Action_Status_Map!$B$5:$B$11,MATCH($H1140,Action_Status_Map!$A$5:$A$11,0)),""))</f>
        <v/>
      </c>
      <c r="J1140" s="82" t="n"/>
      <c r="K1140" s="82" t="n"/>
      <c r="L1140" s="82" t="n"/>
      <c r="M1140" s="83" t="n"/>
      <c r="N1140" s="83" t="n"/>
      <c r="O1140" s="66">
        <f>IF(OR($M1140="",$N1140=""),"",$N1140-$M1140)</f>
        <v/>
      </c>
      <c r="P1140" s="84">
        <f>IF($J1140="","",IF($L1140&lt;&gt;"",$L1140-$J1140,TODAY()-$J1140))</f>
        <v/>
      </c>
      <c r="Q1140" s="85">
        <f>IF(OR($K1140="",$H1140="Completed",$H1140="Cancelled"),"",IF(AND($K1140&lt;TODAY(),$H1140&lt;&gt;"Completed",$H1140&lt;&gt;"Cancelled"),"Overdue","On Track"))</f>
        <v/>
      </c>
      <c r="R1140" s="81" t="n"/>
      <c r="S1140" s="81">
        <f>IF($B1140="","",IFERROR(INDEX(Task_Tracker!$AA$5:$AA$1004,MATCH($B1140,Task_Tracker!$A$5:$A$1004,0)),""))</f>
        <v/>
      </c>
      <c r="T1140" s="81">
        <f>IF($B1140="","",IFERROR(INDEX(Task_Tracker!$AB$5:$AB$1004,MATCH($B1140,Task_Tracker!$A$5:$A$1004,0)),""))</f>
        <v/>
      </c>
      <c r="U1140" s="78">
        <f>IF($B1140="","",IFERROR(INDEX(Task_Tracker!$F$5:$F$1004,MATCH($B1140,Task_Tracker!$A$5:$A$1004,0)),""))</f>
        <v/>
      </c>
      <c r="V1140" s="78">
        <f>IF($B1140="","",IFERROR(INDEX(Task_Tracker!$I$5:$I$1004,MATCH($B1140,Task_Tracker!$A$5:$A$1004,0)),""))</f>
        <v/>
      </c>
      <c r="W1140" s="81">
        <f>IF(OR($D1140="",$B1140=""),"",$D1140&amp;" | "&amp;$B1140)</f>
        <v/>
      </c>
      <c r="X1140" s="85">
        <f>IF($K1140="","",TEXT($K1140,"yyyy-mm"))</f>
        <v/>
      </c>
      <c r="Y1140" s="81">
        <f>IF(OR($A1140="",$T1140=""),"","Included in Manager_Report")</f>
        <v/>
      </c>
    </row>
    <row r="1141" ht="15" customHeight="1" s="40">
      <c r="A1141" s="65">
        <f>IF(COUNTA(B1141:G1141)=0,"","STP-"&amp;TEXT(ROW()-4,"0000"))</f>
        <v/>
      </c>
      <c r="B1141" s="78" t="n"/>
      <c r="C1141" s="67">
        <f>IF($B1141="","",IFERROR(INDEX(Task_Tracker!$D$5:$D$1004,MATCH($B1141,Task_Tracker!$A$5:$A$1004,0)),""))</f>
        <v/>
      </c>
      <c r="D1141" s="67">
        <f>IF($B1141="","",IFERROR(INDEX(Task_Tracker!$B$5:$B$1004,MATCH($B1141,Task_Tracker!$A$5:$A$1004,0)),""))</f>
        <v/>
      </c>
      <c r="E1141" s="81" t="n"/>
      <c r="F1141" s="81" t="n"/>
      <c r="G1141" s="78" t="n"/>
      <c r="H1141" s="78" t="n"/>
      <c r="I1141" s="67">
        <f>IF($H1141="","",IFERROR(INDEX(Action_Status_Map!$B$5:$B$11,MATCH($H1141,Action_Status_Map!$A$5:$A$11,0)),""))</f>
        <v/>
      </c>
      <c r="J1141" s="82" t="n"/>
      <c r="K1141" s="82" t="n"/>
      <c r="L1141" s="82" t="n"/>
      <c r="M1141" s="83" t="n"/>
      <c r="N1141" s="83" t="n"/>
      <c r="O1141" s="66">
        <f>IF(OR($M1141="",$N1141=""),"",$N1141-$M1141)</f>
        <v/>
      </c>
      <c r="P1141" s="84">
        <f>IF($J1141="","",IF($L1141&lt;&gt;"",$L1141-$J1141,TODAY()-$J1141))</f>
        <v/>
      </c>
      <c r="Q1141" s="85">
        <f>IF(OR($K1141="",$H1141="Completed",$H1141="Cancelled"),"",IF(AND($K1141&lt;TODAY(),$H1141&lt;&gt;"Completed",$H1141&lt;&gt;"Cancelled"),"Overdue","On Track"))</f>
        <v/>
      </c>
      <c r="R1141" s="81" t="n"/>
      <c r="S1141" s="81">
        <f>IF($B1141="","",IFERROR(INDEX(Task_Tracker!$AA$5:$AA$1004,MATCH($B1141,Task_Tracker!$A$5:$A$1004,0)),""))</f>
        <v/>
      </c>
      <c r="T1141" s="81">
        <f>IF($B1141="","",IFERROR(INDEX(Task_Tracker!$AB$5:$AB$1004,MATCH($B1141,Task_Tracker!$A$5:$A$1004,0)),""))</f>
        <v/>
      </c>
      <c r="U1141" s="78">
        <f>IF($B1141="","",IFERROR(INDEX(Task_Tracker!$F$5:$F$1004,MATCH($B1141,Task_Tracker!$A$5:$A$1004,0)),""))</f>
        <v/>
      </c>
      <c r="V1141" s="78">
        <f>IF($B1141="","",IFERROR(INDEX(Task_Tracker!$I$5:$I$1004,MATCH($B1141,Task_Tracker!$A$5:$A$1004,0)),""))</f>
        <v/>
      </c>
      <c r="W1141" s="81">
        <f>IF(OR($D1141="",$B1141=""),"",$D1141&amp;" | "&amp;$B1141)</f>
        <v/>
      </c>
      <c r="X1141" s="85">
        <f>IF($K1141="","",TEXT($K1141,"yyyy-mm"))</f>
        <v/>
      </c>
      <c r="Y1141" s="81">
        <f>IF(OR($A1141="",$T1141=""),"","Included in Manager_Report")</f>
        <v/>
      </c>
    </row>
    <row r="1142" ht="15" customHeight="1" s="40">
      <c r="A1142" s="65">
        <f>IF(COUNTA(B1142:G1142)=0,"","STP-"&amp;TEXT(ROW()-4,"0000"))</f>
        <v/>
      </c>
      <c r="B1142" s="78" t="n"/>
      <c r="C1142" s="67">
        <f>IF($B1142="","",IFERROR(INDEX(Task_Tracker!$D$5:$D$1004,MATCH($B1142,Task_Tracker!$A$5:$A$1004,0)),""))</f>
        <v/>
      </c>
      <c r="D1142" s="67">
        <f>IF($B1142="","",IFERROR(INDEX(Task_Tracker!$B$5:$B$1004,MATCH($B1142,Task_Tracker!$A$5:$A$1004,0)),""))</f>
        <v/>
      </c>
      <c r="E1142" s="81" t="n"/>
      <c r="F1142" s="81" t="n"/>
      <c r="G1142" s="78" t="n"/>
      <c r="H1142" s="78" t="n"/>
      <c r="I1142" s="67">
        <f>IF($H1142="","",IFERROR(INDEX(Action_Status_Map!$B$5:$B$11,MATCH($H1142,Action_Status_Map!$A$5:$A$11,0)),""))</f>
        <v/>
      </c>
      <c r="J1142" s="82" t="n"/>
      <c r="K1142" s="82" t="n"/>
      <c r="L1142" s="82" t="n"/>
      <c r="M1142" s="83" t="n"/>
      <c r="N1142" s="83" t="n"/>
      <c r="O1142" s="66">
        <f>IF(OR($M1142="",$N1142=""),"",$N1142-$M1142)</f>
        <v/>
      </c>
      <c r="P1142" s="84">
        <f>IF($J1142="","",IF($L1142&lt;&gt;"",$L1142-$J1142,TODAY()-$J1142))</f>
        <v/>
      </c>
      <c r="Q1142" s="85">
        <f>IF(OR($K1142="",$H1142="Completed",$H1142="Cancelled"),"",IF(AND($K1142&lt;TODAY(),$H1142&lt;&gt;"Completed",$H1142&lt;&gt;"Cancelled"),"Overdue","On Track"))</f>
        <v/>
      </c>
      <c r="R1142" s="81" t="n"/>
      <c r="S1142" s="81">
        <f>IF($B1142="","",IFERROR(INDEX(Task_Tracker!$AA$5:$AA$1004,MATCH($B1142,Task_Tracker!$A$5:$A$1004,0)),""))</f>
        <v/>
      </c>
      <c r="T1142" s="81">
        <f>IF($B1142="","",IFERROR(INDEX(Task_Tracker!$AB$5:$AB$1004,MATCH($B1142,Task_Tracker!$A$5:$A$1004,0)),""))</f>
        <v/>
      </c>
      <c r="U1142" s="78">
        <f>IF($B1142="","",IFERROR(INDEX(Task_Tracker!$F$5:$F$1004,MATCH($B1142,Task_Tracker!$A$5:$A$1004,0)),""))</f>
        <v/>
      </c>
      <c r="V1142" s="78">
        <f>IF($B1142="","",IFERROR(INDEX(Task_Tracker!$I$5:$I$1004,MATCH($B1142,Task_Tracker!$A$5:$A$1004,0)),""))</f>
        <v/>
      </c>
      <c r="W1142" s="81">
        <f>IF(OR($D1142="",$B1142=""),"",$D1142&amp;" | "&amp;$B1142)</f>
        <v/>
      </c>
      <c r="X1142" s="85">
        <f>IF($K1142="","",TEXT($K1142,"yyyy-mm"))</f>
        <v/>
      </c>
      <c r="Y1142" s="81">
        <f>IF(OR($A1142="",$T1142=""),"","Included in Manager_Report")</f>
        <v/>
      </c>
    </row>
    <row r="1143" ht="15" customHeight="1" s="40">
      <c r="A1143" s="65">
        <f>IF(COUNTA(B1143:G1143)=0,"","STP-"&amp;TEXT(ROW()-4,"0000"))</f>
        <v/>
      </c>
      <c r="B1143" s="78" t="n"/>
      <c r="C1143" s="67">
        <f>IF($B1143="","",IFERROR(INDEX(Task_Tracker!$D$5:$D$1004,MATCH($B1143,Task_Tracker!$A$5:$A$1004,0)),""))</f>
        <v/>
      </c>
      <c r="D1143" s="67">
        <f>IF($B1143="","",IFERROR(INDEX(Task_Tracker!$B$5:$B$1004,MATCH($B1143,Task_Tracker!$A$5:$A$1004,0)),""))</f>
        <v/>
      </c>
      <c r="E1143" s="81" t="n"/>
      <c r="F1143" s="81" t="n"/>
      <c r="G1143" s="78" t="n"/>
      <c r="H1143" s="78" t="n"/>
      <c r="I1143" s="67">
        <f>IF($H1143="","",IFERROR(INDEX(Action_Status_Map!$B$5:$B$11,MATCH($H1143,Action_Status_Map!$A$5:$A$11,0)),""))</f>
        <v/>
      </c>
      <c r="J1143" s="82" t="n"/>
      <c r="K1143" s="82" t="n"/>
      <c r="L1143" s="82" t="n"/>
      <c r="M1143" s="83" t="n"/>
      <c r="N1143" s="83" t="n"/>
      <c r="O1143" s="66">
        <f>IF(OR($M1143="",$N1143=""),"",$N1143-$M1143)</f>
        <v/>
      </c>
      <c r="P1143" s="84">
        <f>IF($J1143="","",IF($L1143&lt;&gt;"",$L1143-$J1143,TODAY()-$J1143))</f>
        <v/>
      </c>
      <c r="Q1143" s="85">
        <f>IF(OR($K1143="",$H1143="Completed",$H1143="Cancelled"),"",IF(AND($K1143&lt;TODAY(),$H1143&lt;&gt;"Completed",$H1143&lt;&gt;"Cancelled"),"Overdue","On Track"))</f>
        <v/>
      </c>
      <c r="R1143" s="81" t="n"/>
      <c r="S1143" s="81">
        <f>IF($B1143="","",IFERROR(INDEX(Task_Tracker!$AA$5:$AA$1004,MATCH($B1143,Task_Tracker!$A$5:$A$1004,0)),""))</f>
        <v/>
      </c>
      <c r="T1143" s="81">
        <f>IF($B1143="","",IFERROR(INDEX(Task_Tracker!$AB$5:$AB$1004,MATCH($B1143,Task_Tracker!$A$5:$A$1004,0)),""))</f>
        <v/>
      </c>
      <c r="U1143" s="78">
        <f>IF($B1143="","",IFERROR(INDEX(Task_Tracker!$F$5:$F$1004,MATCH($B1143,Task_Tracker!$A$5:$A$1004,0)),""))</f>
        <v/>
      </c>
      <c r="V1143" s="78">
        <f>IF($B1143="","",IFERROR(INDEX(Task_Tracker!$I$5:$I$1004,MATCH($B1143,Task_Tracker!$A$5:$A$1004,0)),""))</f>
        <v/>
      </c>
      <c r="W1143" s="81">
        <f>IF(OR($D1143="",$B1143=""),"",$D1143&amp;" | "&amp;$B1143)</f>
        <v/>
      </c>
      <c r="X1143" s="85">
        <f>IF($K1143="","",TEXT($K1143,"yyyy-mm"))</f>
        <v/>
      </c>
      <c r="Y1143" s="81">
        <f>IF(OR($A1143="",$T1143=""),"","Included in Manager_Report")</f>
        <v/>
      </c>
    </row>
    <row r="1144" ht="15" customHeight="1" s="40">
      <c r="A1144" s="65">
        <f>IF(COUNTA(B1144:G1144)=0,"","STP-"&amp;TEXT(ROW()-4,"0000"))</f>
        <v/>
      </c>
      <c r="B1144" s="78" t="n"/>
      <c r="C1144" s="67">
        <f>IF($B1144="","",IFERROR(INDEX(Task_Tracker!$D$5:$D$1004,MATCH($B1144,Task_Tracker!$A$5:$A$1004,0)),""))</f>
        <v/>
      </c>
      <c r="D1144" s="67">
        <f>IF($B1144="","",IFERROR(INDEX(Task_Tracker!$B$5:$B$1004,MATCH($B1144,Task_Tracker!$A$5:$A$1004,0)),""))</f>
        <v/>
      </c>
      <c r="E1144" s="81" t="n"/>
      <c r="F1144" s="81" t="n"/>
      <c r="G1144" s="78" t="n"/>
      <c r="H1144" s="78" t="n"/>
      <c r="I1144" s="67">
        <f>IF($H1144="","",IFERROR(INDEX(Action_Status_Map!$B$5:$B$11,MATCH($H1144,Action_Status_Map!$A$5:$A$11,0)),""))</f>
        <v/>
      </c>
      <c r="J1144" s="82" t="n"/>
      <c r="K1144" s="82" t="n"/>
      <c r="L1144" s="82" t="n"/>
      <c r="M1144" s="83" t="n"/>
      <c r="N1144" s="83" t="n"/>
      <c r="O1144" s="66">
        <f>IF(OR($M1144="",$N1144=""),"",$N1144-$M1144)</f>
        <v/>
      </c>
      <c r="P1144" s="84">
        <f>IF($J1144="","",IF($L1144&lt;&gt;"",$L1144-$J1144,TODAY()-$J1144))</f>
        <v/>
      </c>
      <c r="Q1144" s="85">
        <f>IF(OR($K1144="",$H1144="Completed",$H1144="Cancelled"),"",IF(AND($K1144&lt;TODAY(),$H1144&lt;&gt;"Completed",$H1144&lt;&gt;"Cancelled"),"Overdue","On Track"))</f>
        <v/>
      </c>
      <c r="R1144" s="81" t="n"/>
      <c r="S1144" s="81">
        <f>IF($B1144="","",IFERROR(INDEX(Task_Tracker!$AA$5:$AA$1004,MATCH($B1144,Task_Tracker!$A$5:$A$1004,0)),""))</f>
        <v/>
      </c>
      <c r="T1144" s="81">
        <f>IF($B1144="","",IFERROR(INDEX(Task_Tracker!$AB$5:$AB$1004,MATCH($B1144,Task_Tracker!$A$5:$A$1004,0)),""))</f>
        <v/>
      </c>
      <c r="U1144" s="78">
        <f>IF($B1144="","",IFERROR(INDEX(Task_Tracker!$F$5:$F$1004,MATCH($B1144,Task_Tracker!$A$5:$A$1004,0)),""))</f>
        <v/>
      </c>
      <c r="V1144" s="78">
        <f>IF($B1144="","",IFERROR(INDEX(Task_Tracker!$I$5:$I$1004,MATCH($B1144,Task_Tracker!$A$5:$A$1004,0)),""))</f>
        <v/>
      </c>
      <c r="W1144" s="81">
        <f>IF(OR($D1144="",$B1144=""),"",$D1144&amp;" | "&amp;$B1144)</f>
        <v/>
      </c>
      <c r="X1144" s="85">
        <f>IF($K1144="","",TEXT($K1144,"yyyy-mm"))</f>
        <v/>
      </c>
      <c r="Y1144" s="81">
        <f>IF(OR($A1144="",$T1144=""),"","Included in Manager_Report")</f>
        <v/>
      </c>
    </row>
    <row r="1145" ht="15" customHeight="1" s="40">
      <c r="A1145" s="65">
        <f>IF(COUNTA(B1145:G1145)=0,"","STP-"&amp;TEXT(ROW()-4,"0000"))</f>
        <v/>
      </c>
      <c r="B1145" s="78" t="n"/>
      <c r="C1145" s="67">
        <f>IF($B1145="","",IFERROR(INDEX(Task_Tracker!$D$5:$D$1004,MATCH($B1145,Task_Tracker!$A$5:$A$1004,0)),""))</f>
        <v/>
      </c>
      <c r="D1145" s="67">
        <f>IF($B1145="","",IFERROR(INDEX(Task_Tracker!$B$5:$B$1004,MATCH($B1145,Task_Tracker!$A$5:$A$1004,0)),""))</f>
        <v/>
      </c>
      <c r="E1145" s="81" t="n"/>
      <c r="F1145" s="81" t="n"/>
      <c r="G1145" s="78" t="n"/>
      <c r="H1145" s="78" t="n"/>
      <c r="I1145" s="67">
        <f>IF($H1145="","",IFERROR(INDEX(Action_Status_Map!$B$5:$B$11,MATCH($H1145,Action_Status_Map!$A$5:$A$11,0)),""))</f>
        <v/>
      </c>
      <c r="J1145" s="82" t="n"/>
      <c r="K1145" s="82" t="n"/>
      <c r="L1145" s="82" t="n"/>
      <c r="M1145" s="83" t="n"/>
      <c r="N1145" s="83" t="n"/>
      <c r="O1145" s="66">
        <f>IF(OR($M1145="",$N1145=""),"",$N1145-$M1145)</f>
        <v/>
      </c>
      <c r="P1145" s="84">
        <f>IF($J1145="","",IF($L1145&lt;&gt;"",$L1145-$J1145,TODAY()-$J1145))</f>
        <v/>
      </c>
      <c r="Q1145" s="85">
        <f>IF(OR($K1145="",$H1145="Completed",$H1145="Cancelled"),"",IF(AND($K1145&lt;TODAY(),$H1145&lt;&gt;"Completed",$H1145&lt;&gt;"Cancelled"),"Overdue","On Track"))</f>
        <v/>
      </c>
      <c r="R1145" s="81" t="n"/>
      <c r="S1145" s="81">
        <f>IF($B1145="","",IFERROR(INDEX(Task_Tracker!$AA$5:$AA$1004,MATCH($B1145,Task_Tracker!$A$5:$A$1004,0)),""))</f>
        <v/>
      </c>
      <c r="T1145" s="81">
        <f>IF($B1145="","",IFERROR(INDEX(Task_Tracker!$AB$5:$AB$1004,MATCH($B1145,Task_Tracker!$A$5:$A$1004,0)),""))</f>
        <v/>
      </c>
      <c r="U1145" s="78">
        <f>IF($B1145="","",IFERROR(INDEX(Task_Tracker!$F$5:$F$1004,MATCH($B1145,Task_Tracker!$A$5:$A$1004,0)),""))</f>
        <v/>
      </c>
      <c r="V1145" s="78">
        <f>IF($B1145="","",IFERROR(INDEX(Task_Tracker!$I$5:$I$1004,MATCH($B1145,Task_Tracker!$A$5:$A$1004,0)),""))</f>
        <v/>
      </c>
      <c r="W1145" s="81">
        <f>IF(OR($D1145="",$B1145=""),"",$D1145&amp;" | "&amp;$B1145)</f>
        <v/>
      </c>
      <c r="X1145" s="85">
        <f>IF($K1145="","",TEXT($K1145,"yyyy-mm"))</f>
        <v/>
      </c>
      <c r="Y1145" s="81">
        <f>IF(OR($A1145="",$T1145=""),"","Included in Manager_Report")</f>
        <v/>
      </c>
    </row>
    <row r="1146" ht="15" customHeight="1" s="40">
      <c r="A1146" s="65">
        <f>IF(COUNTA(B1146:G1146)=0,"","STP-"&amp;TEXT(ROW()-4,"0000"))</f>
        <v/>
      </c>
      <c r="B1146" s="78" t="n"/>
      <c r="C1146" s="67">
        <f>IF($B1146="","",IFERROR(INDEX(Task_Tracker!$D$5:$D$1004,MATCH($B1146,Task_Tracker!$A$5:$A$1004,0)),""))</f>
        <v/>
      </c>
      <c r="D1146" s="67">
        <f>IF($B1146="","",IFERROR(INDEX(Task_Tracker!$B$5:$B$1004,MATCH($B1146,Task_Tracker!$A$5:$A$1004,0)),""))</f>
        <v/>
      </c>
      <c r="E1146" s="81" t="n"/>
      <c r="F1146" s="81" t="n"/>
      <c r="G1146" s="78" t="n"/>
      <c r="H1146" s="78" t="n"/>
      <c r="I1146" s="67">
        <f>IF($H1146="","",IFERROR(INDEX(Action_Status_Map!$B$5:$B$11,MATCH($H1146,Action_Status_Map!$A$5:$A$11,0)),""))</f>
        <v/>
      </c>
      <c r="J1146" s="82" t="n"/>
      <c r="K1146" s="82" t="n"/>
      <c r="L1146" s="82" t="n"/>
      <c r="M1146" s="83" t="n"/>
      <c r="N1146" s="83" t="n"/>
      <c r="O1146" s="66">
        <f>IF(OR($M1146="",$N1146=""),"",$N1146-$M1146)</f>
        <v/>
      </c>
      <c r="P1146" s="84">
        <f>IF($J1146="","",IF($L1146&lt;&gt;"",$L1146-$J1146,TODAY()-$J1146))</f>
        <v/>
      </c>
      <c r="Q1146" s="85">
        <f>IF(OR($K1146="",$H1146="Completed",$H1146="Cancelled"),"",IF(AND($K1146&lt;TODAY(),$H1146&lt;&gt;"Completed",$H1146&lt;&gt;"Cancelled"),"Overdue","On Track"))</f>
        <v/>
      </c>
      <c r="R1146" s="81" t="n"/>
      <c r="S1146" s="81">
        <f>IF($B1146="","",IFERROR(INDEX(Task_Tracker!$AA$5:$AA$1004,MATCH($B1146,Task_Tracker!$A$5:$A$1004,0)),""))</f>
        <v/>
      </c>
      <c r="T1146" s="81">
        <f>IF($B1146="","",IFERROR(INDEX(Task_Tracker!$AB$5:$AB$1004,MATCH($B1146,Task_Tracker!$A$5:$A$1004,0)),""))</f>
        <v/>
      </c>
      <c r="U1146" s="78">
        <f>IF($B1146="","",IFERROR(INDEX(Task_Tracker!$F$5:$F$1004,MATCH($B1146,Task_Tracker!$A$5:$A$1004,0)),""))</f>
        <v/>
      </c>
      <c r="V1146" s="78">
        <f>IF($B1146="","",IFERROR(INDEX(Task_Tracker!$I$5:$I$1004,MATCH($B1146,Task_Tracker!$A$5:$A$1004,0)),""))</f>
        <v/>
      </c>
      <c r="W1146" s="81">
        <f>IF(OR($D1146="",$B1146=""),"",$D1146&amp;" | "&amp;$B1146)</f>
        <v/>
      </c>
      <c r="X1146" s="85">
        <f>IF($K1146="","",TEXT($K1146,"yyyy-mm"))</f>
        <v/>
      </c>
      <c r="Y1146" s="81">
        <f>IF(OR($A1146="",$T1146=""),"","Included in Manager_Report")</f>
        <v/>
      </c>
    </row>
    <row r="1147" ht="15" customHeight="1" s="40">
      <c r="A1147" s="65">
        <f>IF(COUNTA(B1147:G1147)=0,"","STP-"&amp;TEXT(ROW()-4,"0000"))</f>
        <v/>
      </c>
      <c r="B1147" s="78" t="n"/>
      <c r="C1147" s="67">
        <f>IF($B1147="","",IFERROR(INDEX(Task_Tracker!$D$5:$D$1004,MATCH($B1147,Task_Tracker!$A$5:$A$1004,0)),""))</f>
        <v/>
      </c>
      <c r="D1147" s="67">
        <f>IF($B1147="","",IFERROR(INDEX(Task_Tracker!$B$5:$B$1004,MATCH($B1147,Task_Tracker!$A$5:$A$1004,0)),""))</f>
        <v/>
      </c>
      <c r="E1147" s="81" t="n"/>
      <c r="F1147" s="81" t="n"/>
      <c r="G1147" s="78" t="n"/>
      <c r="H1147" s="78" t="n"/>
      <c r="I1147" s="67">
        <f>IF($H1147="","",IFERROR(INDEX(Action_Status_Map!$B$5:$B$11,MATCH($H1147,Action_Status_Map!$A$5:$A$11,0)),""))</f>
        <v/>
      </c>
      <c r="J1147" s="82" t="n"/>
      <c r="K1147" s="82" t="n"/>
      <c r="L1147" s="82" t="n"/>
      <c r="M1147" s="83" t="n"/>
      <c r="N1147" s="83" t="n"/>
      <c r="O1147" s="66">
        <f>IF(OR($M1147="",$N1147=""),"",$N1147-$M1147)</f>
        <v/>
      </c>
      <c r="P1147" s="84">
        <f>IF($J1147="","",IF($L1147&lt;&gt;"",$L1147-$J1147,TODAY()-$J1147))</f>
        <v/>
      </c>
      <c r="Q1147" s="85">
        <f>IF(OR($K1147="",$H1147="Completed",$H1147="Cancelled"),"",IF(AND($K1147&lt;TODAY(),$H1147&lt;&gt;"Completed",$H1147&lt;&gt;"Cancelled"),"Overdue","On Track"))</f>
        <v/>
      </c>
      <c r="R1147" s="81" t="n"/>
      <c r="S1147" s="81">
        <f>IF($B1147="","",IFERROR(INDEX(Task_Tracker!$AA$5:$AA$1004,MATCH($B1147,Task_Tracker!$A$5:$A$1004,0)),""))</f>
        <v/>
      </c>
      <c r="T1147" s="81">
        <f>IF($B1147="","",IFERROR(INDEX(Task_Tracker!$AB$5:$AB$1004,MATCH($B1147,Task_Tracker!$A$5:$A$1004,0)),""))</f>
        <v/>
      </c>
      <c r="U1147" s="78">
        <f>IF($B1147="","",IFERROR(INDEX(Task_Tracker!$F$5:$F$1004,MATCH($B1147,Task_Tracker!$A$5:$A$1004,0)),""))</f>
        <v/>
      </c>
      <c r="V1147" s="78">
        <f>IF($B1147="","",IFERROR(INDEX(Task_Tracker!$I$5:$I$1004,MATCH($B1147,Task_Tracker!$A$5:$A$1004,0)),""))</f>
        <v/>
      </c>
      <c r="W1147" s="81">
        <f>IF(OR($D1147="",$B1147=""),"",$D1147&amp;" | "&amp;$B1147)</f>
        <v/>
      </c>
      <c r="X1147" s="85">
        <f>IF($K1147="","",TEXT($K1147,"yyyy-mm"))</f>
        <v/>
      </c>
      <c r="Y1147" s="81">
        <f>IF(OR($A1147="",$T1147=""),"","Included in Manager_Report")</f>
        <v/>
      </c>
    </row>
    <row r="1148" ht="15" customHeight="1" s="40">
      <c r="A1148" s="65">
        <f>IF(COUNTA(B1148:G1148)=0,"","STP-"&amp;TEXT(ROW()-4,"0000"))</f>
        <v/>
      </c>
      <c r="B1148" s="78" t="n"/>
      <c r="C1148" s="67">
        <f>IF($B1148="","",IFERROR(INDEX(Task_Tracker!$D$5:$D$1004,MATCH($B1148,Task_Tracker!$A$5:$A$1004,0)),""))</f>
        <v/>
      </c>
      <c r="D1148" s="67">
        <f>IF($B1148="","",IFERROR(INDEX(Task_Tracker!$B$5:$B$1004,MATCH($B1148,Task_Tracker!$A$5:$A$1004,0)),""))</f>
        <v/>
      </c>
      <c r="E1148" s="81" t="n"/>
      <c r="F1148" s="81" t="n"/>
      <c r="G1148" s="78" t="n"/>
      <c r="H1148" s="78" t="n"/>
      <c r="I1148" s="67">
        <f>IF($H1148="","",IFERROR(INDEX(Action_Status_Map!$B$5:$B$11,MATCH($H1148,Action_Status_Map!$A$5:$A$11,0)),""))</f>
        <v/>
      </c>
      <c r="J1148" s="82" t="n"/>
      <c r="K1148" s="82" t="n"/>
      <c r="L1148" s="82" t="n"/>
      <c r="M1148" s="83" t="n"/>
      <c r="N1148" s="83" t="n"/>
      <c r="O1148" s="66">
        <f>IF(OR($M1148="",$N1148=""),"",$N1148-$M1148)</f>
        <v/>
      </c>
      <c r="P1148" s="84">
        <f>IF($J1148="","",IF($L1148&lt;&gt;"",$L1148-$J1148,TODAY()-$J1148))</f>
        <v/>
      </c>
      <c r="Q1148" s="85">
        <f>IF(OR($K1148="",$H1148="Completed",$H1148="Cancelled"),"",IF(AND($K1148&lt;TODAY(),$H1148&lt;&gt;"Completed",$H1148&lt;&gt;"Cancelled"),"Overdue","On Track"))</f>
        <v/>
      </c>
      <c r="R1148" s="81" t="n"/>
      <c r="S1148" s="81">
        <f>IF($B1148="","",IFERROR(INDEX(Task_Tracker!$AA$5:$AA$1004,MATCH($B1148,Task_Tracker!$A$5:$A$1004,0)),""))</f>
        <v/>
      </c>
      <c r="T1148" s="81">
        <f>IF($B1148="","",IFERROR(INDEX(Task_Tracker!$AB$5:$AB$1004,MATCH($B1148,Task_Tracker!$A$5:$A$1004,0)),""))</f>
        <v/>
      </c>
      <c r="U1148" s="78">
        <f>IF($B1148="","",IFERROR(INDEX(Task_Tracker!$F$5:$F$1004,MATCH($B1148,Task_Tracker!$A$5:$A$1004,0)),""))</f>
        <v/>
      </c>
      <c r="V1148" s="78">
        <f>IF($B1148="","",IFERROR(INDEX(Task_Tracker!$I$5:$I$1004,MATCH($B1148,Task_Tracker!$A$5:$A$1004,0)),""))</f>
        <v/>
      </c>
      <c r="W1148" s="81">
        <f>IF(OR($D1148="",$B1148=""),"",$D1148&amp;" | "&amp;$B1148)</f>
        <v/>
      </c>
      <c r="X1148" s="85">
        <f>IF($K1148="","",TEXT($K1148,"yyyy-mm"))</f>
        <v/>
      </c>
      <c r="Y1148" s="81">
        <f>IF(OR($A1148="",$T1148=""),"","Included in Manager_Report")</f>
        <v/>
      </c>
    </row>
    <row r="1149" ht="15" customHeight="1" s="40">
      <c r="A1149" s="65">
        <f>IF(COUNTA(B1149:G1149)=0,"","STP-"&amp;TEXT(ROW()-4,"0000"))</f>
        <v/>
      </c>
      <c r="B1149" s="78" t="n"/>
      <c r="C1149" s="67">
        <f>IF($B1149="","",IFERROR(INDEX(Task_Tracker!$D$5:$D$1004,MATCH($B1149,Task_Tracker!$A$5:$A$1004,0)),""))</f>
        <v/>
      </c>
      <c r="D1149" s="67">
        <f>IF($B1149="","",IFERROR(INDEX(Task_Tracker!$B$5:$B$1004,MATCH($B1149,Task_Tracker!$A$5:$A$1004,0)),""))</f>
        <v/>
      </c>
      <c r="E1149" s="81" t="n"/>
      <c r="F1149" s="81" t="n"/>
      <c r="G1149" s="78" t="n"/>
      <c r="H1149" s="78" t="n"/>
      <c r="I1149" s="67">
        <f>IF($H1149="","",IFERROR(INDEX(Action_Status_Map!$B$5:$B$11,MATCH($H1149,Action_Status_Map!$A$5:$A$11,0)),""))</f>
        <v/>
      </c>
      <c r="J1149" s="82" t="n"/>
      <c r="K1149" s="82" t="n"/>
      <c r="L1149" s="82" t="n"/>
      <c r="M1149" s="83" t="n"/>
      <c r="N1149" s="83" t="n"/>
      <c r="O1149" s="66">
        <f>IF(OR($M1149="",$N1149=""),"",$N1149-$M1149)</f>
        <v/>
      </c>
      <c r="P1149" s="84">
        <f>IF($J1149="","",IF($L1149&lt;&gt;"",$L1149-$J1149,TODAY()-$J1149))</f>
        <v/>
      </c>
      <c r="Q1149" s="85">
        <f>IF(OR($K1149="",$H1149="Completed",$H1149="Cancelled"),"",IF(AND($K1149&lt;TODAY(),$H1149&lt;&gt;"Completed",$H1149&lt;&gt;"Cancelled"),"Overdue","On Track"))</f>
        <v/>
      </c>
      <c r="R1149" s="81" t="n"/>
      <c r="S1149" s="81">
        <f>IF($B1149="","",IFERROR(INDEX(Task_Tracker!$AA$5:$AA$1004,MATCH($B1149,Task_Tracker!$A$5:$A$1004,0)),""))</f>
        <v/>
      </c>
      <c r="T1149" s="81">
        <f>IF($B1149="","",IFERROR(INDEX(Task_Tracker!$AB$5:$AB$1004,MATCH($B1149,Task_Tracker!$A$5:$A$1004,0)),""))</f>
        <v/>
      </c>
      <c r="U1149" s="78">
        <f>IF($B1149="","",IFERROR(INDEX(Task_Tracker!$F$5:$F$1004,MATCH($B1149,Task_Tracker!$A$5:$A$1004,0)),""))</f>
        <v/>
      </c>
      <c r="V1149" s="78">
        <f>IF($B1149="","",IFERROR(INDEX(Task_Tracker!$I$5:$I$1004,MATCH($B1149,Task_Tracker!$A$5:$A$1004,0)),""))</f>
        <v/>
      </c>
      <c r="W1149" s="81">
        <f>IF(OR($D1149="",$B1149=""),"",$D1149&amp;" | "&amp;$B1149)</f>
        <v/>
      </c>
      <c r="X1149" s="85">
        <f>IF($K1149="","",TEXT($K1149,"yyyy-mm"))</f>
        <v/>
      </c>
      <c r="Y1149" s="81">
        <f>IF(OR($A1149="",$T1149=""),"","Included in Manager_Report")</f>
        <v/>
      </c>
    </row>
    <row r="1150" ht="15" customHeight="1" s="40">
      <c r="A1150" s="65">
        <f>IF(COUNTA(B1150:G1150)=0,"","STP-"&amp;TEXT(ROW()-4,"0000"))</f>
        <v/>
      </c>
      <c r="B1150" s="78" t="n"/>
      <c r="C1150" s="67">
        <f>IF($B1150="","",IFERROR(INDEX(Task_Tracker!$D$5:$D$1004,MATCH($B1150,Task_Tracker!$A$5:$A$1004,0)),""))</f>
        <v/>
      </c>
      <c r="D1150" s="67">
        <f>IF($B1150="","",IFERROR(INDEX(Task_Tracker!$B$5:$B$1004,MATCH($B1150,Task_Tracker!$A$5:$A$1004,0)),""))</f>
        <v/>
      </c>
      <c r="E1150" s="81" t="n"/>
      <c r="F1150" s="81" t="n"/>
      <c r="G1150" s="78" t="n"/>
      <c r="H1150" s="78" t="n"/>
      <c r="I1150" s="67">
        <f>IF($H1150="","",IFERROR(INDEX(Action_Status_Map!$B$5:$B$11,MATCH($H1150,Action_Status_Map!$A$5:$A$11,0)),""))</f>
        <v/>
      </c>
      <c r="J1150" s="82" t="n"/>
      <c r="K1150" s="82" t="n"/>
      <c r="L1150" s="82" t="n"/>
      <c r="M1150" s="83" t="n"/>
      <c r="N1150" s="83" t="n"/>
      <c r="O1150" s="66">
        <f>IF(OR($M1150="",$N1150=""),"",$N1150-$M1150)</f>
        <v/>
      </c>
      <c r="P1150" s="84">
        <f>IF($J1150="","",IF($L1150&lt;&gt;"",$L1150-$J1150,TODAY()-$J1150))</f>
        <v/>
      </c>
      <c r="Q1150" s="85">
        <f>IF(OR($K1150="",$H1150="Completed",$H1150="Cancelled"),"",IF(AND($K1150&lt;TODAY(),$H1150&lt;&gt;"Completed",$H1150&lt;&gt;"Cancelled"),"Overdue","On Track"))</f>
        <v/>
      </c>
      <c r="R1150" s="81" t="n"/>
      <c r="S1150" s="81">
        <f>IF($B1150="","",IFERROR(INDEX(Task_Tracker!$AA$5:$AA$1004,MATCH($B1150,Task_Tracker!$A$5:$A$1004,0)),""))</f>
        <v/>
      </c>
      <c r="T1150" s="81">
        <f>IF($B1150="","",IFERROR(INDEX(Task_Tracker!$AB$5:$AB$1004,MATCH($B1150,Task_Tracker!$A$5:$A$1004,0)),""))</f>
        <v/>
      </c>
      <c r="U1150" s="78">
        <f>IF($B1150="","",IFERROR(INDEX(Task_Tracker!$F$5:$F$1004,MATCH($B1150,Task_Tracker!$A$5:$A$1004,0)),""))</f>
        <v/>
      </c>
      <c r="V1150" s="78">
        <f>IF($B1150="","",IFERROR(INDEX(Task_Tracker!$I$5:$I$1004,MATCH($B1150,Task_Tracker!$A$5:$A$1004,0)),""))</f>
        <v/>
      </c>
      <c r="W1150" s="81">
        <f>IF(OR($D1150="",$B1150=""),"",$D1150&amp;" | "&amp;$B1150)</f>
        <v/>
      </c>
      <c r="X1150" s="85">
        <f>IF($K1150="","",TEXT($K1150,"yyyy-mm"))</f>
        <v/>
      </c>
      <c r="Y1150" s="81">
        <f>IF(OR($A1150="",$T1150=""),"","Included in Manager_Report")</f>
        <v/>
      </c>
    </row>
    <row r="1151" ht="15" customHeight="1" s="40">
      <c r="A1151" s="65">
        <f>IF(COUNTA(B1151:G1151)=0,"","STP-"&amp;TEXT(ROW()-4,"0000"))</f>
        <v/>
      </c>
      <c r="B1151" s="78" t="n"/>
      <c r="C1151" s="67">
        <f>IF($B1151="","",IFERROR(INDEX(Task_Tracker!$D$5:$D$1004,MATCH($B1151,Task_Tracker!$A$5:$A$1004,0)),""))</f>
        <v/>
      </c>
      <c r="D1151" s="67">
        <f>IF($B1151="","",IFERROR(INDEX(Task_Tracker!$B$5:$B$1004,MATCH($B1151,Task_Tracker!$A$5:$A$1004,0)),""))</f>
        <v/>
      </c>
      <c r="E1151" s="81" t="n"/>
      <c r="F1151" s="81" t="n"/>
      <c r="G1151" s="78" t="n"/>
      <c r="H1151" s="78" t="n"/>
      <c r="I1151" s="67">
        <f>IF($H1151="","",IFERROR(INDEX(Action_Status_Map!$B$5:$B$11,MATCH($H1151,Action_Status_Map!$A$5:$A$11,0)),""))</f>
        <v/>
      </c>
      <c r="J1151" s="82" t="n"/>
      <c r="K1151" s="82" t="n"/>
      <c r="L1151" s="82" t="n"/>
      <c r="M1151" s="83" t="n"/>
      <c r="N1151" s="83" t="n"/>
      <c r="O1151" s="66">
        <f>IF(OR($M1151="",$N1151=""),"",$N1151-$M1151)</f>
        <v/>
      </c>
      <c r="P1151" s="84">
        <f>IF($J1151="","",IF($L1151&lt;&gt;"",$L1151-$J1151,TODAY()-$J1151))</f>
        <v/>
      </c>
      <c r="Q1151" s="85">
        <f>IF(OR($K1151="",$H1151="Completed",$H1151="Cancelled"),"",IF(AND($K1151&lt;TODAY(),$H1151&lt;&gt;"Completed",$H1151&lt;&gt;"Cancelled"),"Overdue","On Track"))</f>
        <v/>
      </c>
      <c r="R1151" s="81" t="n"/>
      <c r="S1151" s="81">
        <f>IF($B1151="","",IFERROR(INDEX(Task_Tracker!$AA$5:$AA$1004,MATCH($B1151,Task_Tracker!$A$5:$A$1004,0)),""))</f>
        <v/>
      </c>
      <c r="T1151" s="81">
        <f>IF($B1151="","",IFERROR(INDEX(Task_Tracker!$AB$5:$AB$1004,MATCH($B1151,Task_Tracker!$A$5:$A$1004,0)),""))</f>
        <v/>
      </c>
      <c r="U1151" s="78">
        <f>IF($B1151="","",IFERROR(INDEX(Task_Tracker!$F$5:$F$1004,MATCH($B1151,Task_Tracker!$A$5:$A$1004,0)),""))</f>
        <v/>
      </c>
      <c r="V1151" s="78">
        <f>IF($B1151="","",IFERROR(INDEX(Task_Tracker!$I$5:$I$1004,MATCH($B1151,Task_Tracker!$A$5:$A$1004,0)),""))</f>
        <v/>
      </c>
      <c r="W1151" s="81">
        <f>IF(OR($D1151="",$B1151=""),"",$D1151&amp;" | "&amp;$B1151)</f>
        <v/>
      </c>
      <c r="X1151" s="85">
        <f>IF($K1151="","",TEXT($K1151,"yyyy-mm"))</f>
        <v/>
      </c>
      <c r="Y1151" s="81">
        <f>IF(OR($A1151="",$T1151=""),"","Included in Manager_Report")</f>
        <v/>
      </c>
    </row>
    <row r="1152" ht="15" customHeight="1" s="40">
      <c r="A1152" s="65">
        <f>IF(COUNTA(B1152:G1152)=0,"","STP-"&amp;TEXT(ROW()-4,"0000"))</f>
        <v/>
      </c>
      <c r="B1152" s="78" t="n"/>
      <c r="C1152" s="67">
        <f>IF($B1152="","",IFERROR(INDEX(Task_Tracker!$D$5:$D$1004,MATCH($B1152,Task_Tracker!$A$5:$A$1004,0)),""))</f>
        <v/>
      </c>
      <c r="D1152" s="67">
        <f>IF($B1152="","",IFERROR(INDEX(Task_Tracker!$B$5:$B$1004,MATCH($B1152,Task_Tracker!$A$5:$A$1004,0)),""))</f>
        <v/>
      </c>
      <c r="E1152" s="81" t="n"/>
      <c r="F1152" s="81" t="n"/>
      <c r="G1152" s="78" t="n"/>
      <c r="H1152" s="78" t="n"/>
      <c r="I1152" s="67">
        <f>IF($H1152="","",IFERROR(INDEX(Action_Status_Map!$B$5:$B$11,MATCH($H1152,Action_Status_Map!$A$5:$A$11,0)),""))</f>
        <v/>
      </c>
      <c r="J1152" s="82" t="n"/>
      <c r="K1152" s="82" t="n"/>
      <c r="L1152" s="82" t="n"/>
      <c r="M1152" s="83" t="n"/>
      <c r="N1152" s="83" t="n"/>
      <c r="O1152" s="66">
        <f>IF(OR($M1152="",$N1152=""),"",$N1152-$M1152)</f>
        <v/>
      </c>
      <c r="P1152" s="84">
        <f>IF($J1152="","",IF($L1152&lt;&gt;"",$L1152-$J1152,TODAY()-$J1152))</f>
        <v/>
      </c>
      <c r="Q1152" s="85">
        <f>IF(OR($K1152="",$H1152="Completed",$H1152="Cancelled"),"",IF(AND($K1152&lt;TODAY(),$H1152&lt;&gt;"Completed",$H1152&lt;&gt;"Cancelled"),"Overdue","On Track"))</f>
        <v/>
      </c>
      <c r="R1152" s="81" t="n"/>
      <c r="S1152" s="81">
        <f>IF($B1152="","",IFERROR(INDEX(Task_Tracker!$AA$5:$AA$1004,MATCH($B1152,Task_Tracker!$A$5:$A$1004,0)),""))</f>
        <v/>
      </c>
      <c r="T1152" s="81">
        <f>IF($B1152="","",IFERROR(INDEX(Task_Tracker!$AB$5:$AB$1004,MATCH($B1152,Task_Tracker!$A$5:$A$1004,0)),""))</f>
        <v/>
      </c>
      <c r="U1152" s="78">
        <f>IF($B1152="","",IFERROR(INDEX(Task_Tracker!$F$5:$F$1004,MATCH($B1152,Task_Tracker!$A$5:$A$1004,0)),""))</f>
        <v/>
      </c>
      <c r="V1152" s="78">
        <f>IF($B1152="","",IFERROR(INDEX(Task_Tracker!$I$5:$I$1004,MATCH($B1152,Task_Tracker!$A$5:$A$1004,0)),""))</f>
        <v/>
      </c>
      <c r="W1152" s="81">
        <f>IF(OR($D1152="",$B1152=""),"",$D1152&amp;" | "&amp;$B1152)</f>
        <v/>
      </c>
      <c r="X1152" s="85">
        <f>IF($K1152="","",TEXT($K1152,"yyyy-mm"))</f>
        <v/>
      </c>
      <c r="Y1152" s="81">
        <f>IF(OR($A1152="",$T1152=""),"","Included in Manager_Report")</f>
        <v/>
      </c>
    </row>
    <row r="1153" ht="15" customHeight="1" s="40">
      <c r="A1153" s="65">
        <f>IF(COUNTA(B1153:G1153)=0,"","STP-"&amp;TEXT(ROW()-4,"0000"))</f>
        <v/>
      </c>
      <c r="B1153" s="78" t="n"/>
      <c r="C1153" s="67">
        <f>IF($B1153="","",IFERROR(INDEX(Task_Tracker!$D$5:$D$1004,MATCH($B1153,Task_Tracker!$A$5:$A$1004,0)),""))</f>
        <v/>
      </c>
      <c r="D1153" s="67">
        <f>IF($B1153="","",IFERROR(INDEX(Task_Tracker!$B$5:$B$1004,MATCH($B1153,Task_Tracker!$A$5:$A$1004,0)),""))</f>
        <v/>
      </c>
      <c r="E1153" s="81" t="n"/>
      <c r="F1153" s="81" t="n"/>
      <c r="G1153" s="78" t="n"/>
      <c r="H1153" s="78" t="n"/>
      <c r="I1153" s="67">
        <f>IF($H1153="","",IFERROR(INDEX(Action_Status_Map!$B$5:$B$11,MATCH($H1153,Action_Status_Map!$A$5:$A$11,0)),""))</f>
        <v/>
      </c>
      <c r="J1153" s="82" t="n"/>
      <c r="K1153" s="82" t="n"/>
      <c r="L1153" s="82" t="n"/>
      <c r="M1153" s="83" t="n"/>
      <c r="N1153" s="83" t="n"/>
      <c r="O1153" s="66">
        <f>IF(OR($M1153="",$N1153=""),"",$N1153-$M1153)</f>
        <v/>
      </c>
      <c r="P1153" s="84">
        <f>IF($J1153="","",IF($L1153&lt;&gt;"",$L1153-$J1153,TODAY()-$J1153))</f>
        <v/>
      </c>
      <c r="Q1153" s="85">
        <f>IF(OR($K1153="",$H1153="Completed",$H1153="Cancelled"),"",IF(AND($K1153&lt;TODAY(),$H1153&lt;&gt;"Completed",$H1153&lt;&gt;"Cancelled"),"Overdue","On Track"))</f>
        <v/>
      </c>
      <c r="R1153" s="81" t="n"/>
      <c r="S1153" s="81">
        <f>IF($B1153="","",IFERROR(INDEX(Task_Tracker!$AA$5:$AA$1004,MATCH($B1153,Task_Tracker!$A$5:$A$1004,0)),""))</f>
        <v/>
      </c>
      <c r="T1153" s="81">
        <f>IF($B1153="","",IFERROR(INDEX(Task_Tracker!$AB$5:$AB$1004,MATCH($B1153,Task_Tracker!$A$5:$A$1004,0)),""))</f>
        <v/>
      </c>
      <c r="U1153" s="78">
        <f>IF($B1153="","",IFERROR(INDEX(Task_Tracker!$F$5:$F$1004,MATCH($B1153,Task_Tracker!$A$5:$A$1004,0)),""))</f>
        <v/>
      </c>
      <c r="V1153" s="78">
        <f>IF($B1153="","",IFERROR(INDEX(Task_Tracker!$I$5:$I$1004,MATCH($B1153,Task_Tracker!$A$5:$A$1004,0)),""))</f>
        <v/>
      </c>
      <c r="W1153" s="81">
        <f>IF(OR($D1153="",$B1153=""),"",$D1153&amp;" | "&amp;$B1153)</f>
        <v/>
      </c>
      <c r="X1153" s="85">
        <f>IF($K1153="","",TEXT($K1153,"yyyy-mm"))</f>
        <v/>
      </c>
      <c r="Y1153" s="81">
        <f>IF(OR($A1153="",$T1153=""),"","Included in Manager_Report")</f>
        <v/>
      </c>
    </row>
    <row r="1154" ht="15" customHeight="1" s="40">
      <c r="A1154" s="65">
        <f>IF(COUNTA(B1154:G1154)=0,"","STP-"&amp;TEXT(ROW()-4,"0000"))</f>
        <v/>
      </c>
      <c r="B1154" s="78" t="n"/>
      <c r="C1154" s="67">
        <f>IF($B1154="","",IFERROR(INDEX(Task_Tracker!$D$5:$D$1004,MATCH($B1154,Task_Tracker!$A$5:$A$1004,0)),""))</f>
        <v/>
      </c>
      <c r="D1154" s="67">
        <f>IF($B1154="","",IFERROR(INDEX(Task_Tracker!$B$5:$B$1004,MATCH($B1154,Task_Tracker!$A$5:$A$1004,0)),""))</f>
        <v/>
      </c>
      <c r="E1154" s="81" t="n"/>
      <c r="F1154" s="81" t="n"/>
      <c r="G1154" s="78" t="n"/>
      <c r="H1154" s="78" t="n"/>
      <c r="I1154" s="67">
        <f>IF($H1154="","",IFERROR(INDEX(Action_Status_Map!$B$5:$B$11,MATCH($H1154,Action_Status_Map!$A$5:$A$11,0)),""))</f>
        <v/>
      </c>
      <c r="J1154" s="82" t="n"/>
      <c r="K1154" s="82" t="n"/>
      <c r="L1154" s="82" t="n"/>
      <c r="M1154" s="83" t="n"/>
      <c r="N1154" s="83" t="n"/>
      <c r="O1154" s="66">
        <f>IF(OR($M1154="",$N1154=""),"",$N1154-$M1154)</f>
        <v/>
      </c>
      <c r="P1154" s="84">
        <f>IF($J1154="","",IF($L1154&lt;&gt;"",$L1154-$J1154,TODAY()-$J1154))</f>
        <v/>
      </c>
      <c r="Q1154" s="85">
        <f>IF(OR($K1154="",$H1154="Completed",$H1154="Cancelled"),"",IF(AND($K1154&lt;TODAY(),$H1154&lt;&gt;"Completed",$H1154&lt;&gt;"Cancelled"),"Overdue","On Track"))</f>
        <v/>
      </c>
      <c r="R1154" s="81" t="n"/>
      <c r="S1154" s="81">
        <f>IF($B1154="","",IFERROR(INDEX(Task_Tracker!$AA$5:$AA$1004,MATCH($B1154,Task_Tracker!$A$5:$A$1004,0)),""))</f>
        <v/>
      </c>
      <c r="T1154" s="81">
        <f>IF($B1154="","",IFERROR(INDEX(Task_Tracker!$AB$5:$AB$1004,MATCH($B1154,Task_Tracker!$A$5:$A$1004,0)),""))</f>
        <v/>
      </c>
      <c r="U1154" s="78">
        <f>IF($B1154="","",IFERROR(INDEX(Task_Tracker!$F$5:$F$1004,MATCH($B1154,Task_Tracker!$A$5:$A$1004,0)),""))</f>
        <v/>
      </c>
      <c r="V1154" s="78">
        <f>IF($B1154="","",IFERROR(INDEX(Task_Tracker!$I$5:$I$1004,MATCH($B1154,Task_Tracker!$A$5:$A$1004,0)),""))</f>
        <v/>
      </c>
      <c r="W1154" s="81">
        <f>IF(OR($D1154="",$B1154=""),"",$D1154&amp;" | "&amp;$B1154)</f>
        <v/>
      </c>
      <c r="X1154" s="85">
        <f>IF($K1154="","",TEXT($K1154,"yyyy-mm"))</f>
        <v/>
      </c>
      <c r="Y1154" s="81">
        <f>IF(OR($A1154="",$T1154=""),"","Included in Manager_Report")</f>
        <v/>
      </c>
    </row>
    <row r="1155" ht="15" customHeight="1" s="40">
      <c r="A1155" s="65">
        <f>IF(COUNTA(B1155:G1155)=0,"","STP-"&amp;TEXT(ROW()-4,"0000"))</f>
        <v/>
      </c>
      <c r="B1155" s="78" t="n"/>
      <c r="C1155" s="67">
        <f>IF($B1155="","",IFERROR(INDEX(Task_Tracker!$D$5:$D$1004,MATCH($B1155,Task_Tracker!$A$5:$A$1004,0)),""))</f>
        <v/>
      </c>
      <c r="D1155" s="67">
        <f>IF($B1155="","",IFERROR(INDEX(Task_Tracker!$B$5:$B$1004,MATCH($B1155,Task_Tracker!$A$5:$A$1004,0)),""))</f>
        <v/>
      </c>
      <c r="E1155" s="81" t="n"/>
      <c r="F1155" s="81" t="n"/>
      <c r="G1155" s="78" t="n"/>
      <c r="H1155" s="78" t="n"/>
      <c r="I1155" s="67">
        <f>IF($H1155="","",IFERROR(INDEX(Action_Status_Map!$B$5:$B$11,MATCH($H1155,Action_Status_Map!$A$5:$A$11,0)),""))</f>
        <v/>
      </c>
      <c r="J1155" s="82" t="n"/>
      <c r="K1155" s="82" t="n"/>
      <c r="L1155" s="82" t="n"/>
      <c r="M1155" s="83" t="n"/>
      <c r="N1155" s="83" t="n"/>
      <c r="O1155" s="66">
        <f>IF(OR($M1155="",$N1155=""),"",$N1155-$M1155)</f>
        <v/>
      </c>
      <c r="P1155" s="84">
        <f>IF($J1155="","",IF($L1155&lt;&gt;"",$L1155-$J1155,TODAY()-$J1155))</f>
        <v/>
      </c>
      <c r="Q1155" s="85">
        <f>IF(OR($K1155="",$H1155="Completed",$H1155="Cancelled"),"",IF(AND($K1155&lt;TODAY(),$H1155&lt;&gt;"Completed",$H1155&lt;&gt;"Cancelled"),"Overdue","On Track"))</f>
        <v/>
      </c>
      <c r="R1155" s="81" t="n"/>
      <c r="S1155" s="81">
        <f>IF($B1155="","",IFERROR(INDEX(Task_Tracker!$AA$5:$AA$1004,MATCH($B1155,Task_Tracker!$A$5:$A$1004,0)),""))</f>
        <v/>
      </c>
      <c r="T1155" s="81">
        <f>IF($B1155="","",IFERROR(INDEX(Task_Tracker!$AB$5:$AB$1004,MATCH($B1155,Task_Tracker!$A$5:$A$1004,0)),""))</f>
        <v/>
      </c>
      <c r="U1155" s="78">
        <f>IF($B1155="","",IFERROR(INDEX(Task_Tracker!$F$5:$F$1004,MATCH($B1155,Task_Tracker!$A$5:$A$1004,0)),""))</f>
        <v/>
      </c>
      <c r="V1155" s="78">
        <f>IF($B1155="","",IFERROR(INDEX(Task_Tracker!$I$5:$I$1004,MATCH($B1155,Task_Tracker!$A$5:$A$1004,0)),""))</f>
        <v/>
      </c>
      <c r="W1155" s="81">
        <f>IF(OR($D1155="",$B1155=""),"",$D1155&amp;" | "&amp;$B1155)</f>
        <v/>
      </c>
      <c r="X1155" s="85">
        <f>IF($K1155="","",TEXT($K1155,"yyyy-mm"))</f>
        <v/>
      </c>
      <c r="Y1155" s="81">
        <f>IF(OR($A1155="",$T1155=""),"","Included in Manager_Report")</f>
        <v/>
      </c>
    </row>
    <row r="1156" ht="15" customHeight="1" s="40">
      <c r="A1156" s="65">
        <f>IF(COUNTA(B1156:G1156)=0,"","STP-"&amp;TEXT(ROW()-4,"0000"))</f>
        <v/>
      </c>
      <c r="B1156" s="78" t="n"/>
      <c r="C1156" s="67">
        <f>IF($B1156="","",IFERROR(INDEX(Task_Tracker!$D$5:$D$1004,MATCH($B1156,Task_Tracker!$A$5:$A$1004,0)),""))</f>
        <v/>
      </c>
      <c r="D1156" s="67">
        <f>IF($B1156="","",IFERROR(INDEX(Task_Tracker!$B$5:$B$1004,MATCH($B1156,Task_Tracker!$A$5:$A$1004,0)),""))</f>
        <v/>
      </c>
      <c r="E1156" s="81" t="n"/>
      <c r="F1156" s="81" t="n"/>
      <c r="G1156" s="78" t="n"/>
      <c r="H1156" s="78" t="n"/>
      <c r="I1156" s="67">
        <f>IF($H1156="","",IFERROR(INDEX(Action_Status_Map!$B$5:$B$11,MATCH($H1156,Action_Status_Map!$A$5:$A$11,0)),""))</f>
        <v/>
      </c>
      <c r="J1156" s="82" t="n"/>
      <c r="K1156" s="82" t="n"/>
      <c r="L1156" s="82" t="n"/>
      <c r="M1156" s="83" t="n"/>
      <c r="N1156" s="83" t="n"/>
      <c r="O1156" s="66">
        <f>IF(OR($M1156="",$N1156=""),"",$N1156-$M1156)</f>
        <v/>
      </c>
      <c r="P1156" s="84">
        <f>IF($J1156="","",IF($L1156&lt;&gt;"",$L1156-$J1156,TODAY()-$J1156))</f>
        <v/>
      </c>
      <c r="Q1156" s="85">
        <f>IF(OR($K1156="",$H1156="Completed",$H1156="Cancelled"),"",IF(AND($K1156&lt;TODAY(),$H1156&lt;&gt;"Completed",$H1156&lt;&gt;"Cancelled"),"Overdue","On Track"))</f>
        <v/>
      </c>
      <c r="R1156" s="81" t="n"/>
      <c r="S1156" s="81">
        <f>IF($B1156="","",IFERROR(INDEX(Task_Tracker!$AA$5:$AA$1004,MATCH($B1156,Task_Tracker!$A$5:$A$1004,0)),""))</f>
        <v/>
      </c>
      <c r="T1156" s="81">
        <f>IF($B1156="","",IFERROR(INDEX(Task_Tracker!$AB$5:$AB$1004,MATCH($B1156,Task_Tracker!$A$5:$A$1004,0)),""))</f>
        <v/>
      </c>
      <c r="U1156" s="78">
        <f>IF($B1156="","",IFERROR(INDEX(Task_Tracker!$F$5:$F$1004,MATCH($B1156,Task_Tracker!$A$5:$A$1004,0)),""))</f>
        <v/>
      </c>
      <c r="V1156" s="78">
        <f>IF($B1156="","",IFERROR(INDEX(Task_Tracker!$I$5:$I$1004,MATCH($B1156,Task_Tracker!$A$5:$A$1004,0)),""))</f>
        <v/>
      </c>
      <c r="W1156" s="81">
        <f>IF(OR($D1156="",$B1156=""),"",$D1156&amp;" | "&amp;$B1156)</f>
        <v/>
      </c>
      <c r="X1156" s="85">
        <f>IF($K1156="","",TEXT($K1156,"yyyy-mm"))</f>
        <v/>
      </c>
      <c r="Y1156" s="81">
        <f>IF(OR($A1156="",$T1156=""),"","Included in Manager_Report")</f>
        <v/>
      </c>
    </row>
    <row r="1157" ht="15" customHeight="1" s="40">
      <c r="A1157" s="65">
        <f>IF(COUNTA(B1157:G1157)=0,"","STP-"&amp;TEXT(ROW()-4,"0000"))</f>
        <v/>
      </c>
      <c r="B1157" s="78" t="n"/>
      <c r="C1157" s="67">
        <f>IF($B1157="","",IFERROR(INDEX(Task_Tracker!$D$5:$D$1004,MATCH($B1157,Task_Tracker!$A$5:$A$1004,0)),""))</f>
        <v/>
      </c>
      <c r="D1157" s="67">
        <f>IF($B1157="","",IFERROR(INDEX(Task_Tracker!$B$5:$B$1004,MATCH($B1157,Task_Tracker!$A$5:$A$1004,0)),""))</f>
        <v/>
      </c>
      <c r="E1157" s="81" t="n"/>
      <c r="F1157" s="81" t="n"/>
      <c r="G1157" s="78" t="n"/>
      <c r="H1157" s="78" t="n"/>
      <c r="I1157" s="67">
        <f>IF($H1157="","",IFERROR(INDEX(Action_Status_Map!$B$5:$B$11,MATCH($H1157,Action_Status_Map!$A$5:$A$11,0)),""))</f>
        <v/>
      </c>
      <c r="J1157" s="82" t="n"/>
      <c r="K1157" s="82" t="n"/>
      <c r="L1157" s="82" t="n"/>
      <c r="M1157" s="83" t="n"/>
      <c r="N1157" s="83" t="n"/>
      <c r="O1157" s="66">
        <f>IF(OR($M1157="",$N1157=""),"",$N1157-$M1157)</f>
        <v/>
      </c>
      <c r="P1157" s="84">
        <f>IF($J1157="","",IF($L1157&lt;&gt;"",$L1157-$J1157,TODAY()-$J1157))</f>
        <v/>
      </c>
      <c r="Q1157" s="85">
        <f>IF(OR($K1157="",$H1157="Completed",$H1157="Cancelled"),"",IF(AND($K1157&lt;TODAY(),$H1157&lt;&gt;"Completed",$H1157&lt;&gt;"Cancelled"),"Overdue","On Track"))</f>
        <v/>
      </c>
      <c r="R1157" s="81" t="n"/>
      <c r="S1157" s="81">
        <f>IF($B1157="","",IFERROR(INDEX(Task_Tracker!$AA$5:$AA$1004,MATCH($B1157,Task_Tracker!$A$5:$A$1004,0)),""))</f>
        <v/>
      </c>
      <c r="T1157" s="81">
        <f>IF($B1157="","",IFERROR(INDEX(Task_Tracker!$AB$5:$AB$1004,MATCH($B1157,Task_Tracker!$A$5:$A$1004,0)),""))</f>
        <v/>
      </c>
      <c r="U1157" s="78">
        <f>IF($B1157="","",IFERROR(INDEX(Task_Tracker!$F$5:$F$1004,MATCH($B1157,Task_Tracker!$A$5:$A$1004,0)),""))</f>
        <v/>
      </c>
      <c r="V1157" s="78">
        <f>IF($B1157="","",IFERROR(INDEX(Task_Tracker!$I$5:$I$1004,MATCH($B1157,Task_Tracker!$A$5:$A$1004,0)),""))</f>
        <v/>
      </c>
      <c r="W1157" s="81">
        <f>IF(OR($D1157="",$B1157=""),"",$D1157&amp;" | "&amp;$B1157)</f>
        <v/>
      </c>
      <c r="X1157" s="85">
        <f>IF($K1157="","",TEXT($K1157,"yyyy-mm"))</f>
        <v/>
      </c>
      <c r="Y1157" s="81">
        <f>IF(OR($A1157="",$T1157=""),"","Included in Manager_Report")</f>
        <v/>
      </c>
    </row>
    <row r="1158" ht="15" customHeight="1" s="40">
      <c r="A1158" s="65">
        <f>IF(COUNTA(B1158:G1158)=0,"","STP-"&amp;TEXT(ROW()-4,"0000"))</f>
        <v/>
      </c>
      <c r="B1158" s="78" t="n"/>
      <c r="C1158" s="67">
        <f>IF($B1158="","",IFERROR(INDEX(Task_Tracker!$D$5:$D$1004,MATCH($B1158,Task_Tracker!$A$5:$A$1004,0)),""))</f>
        <v/>
      </c>
      <c r="D1158" s="67">
        <f>IF($B1158="","",IFERROR(INDEX(Task_Tracker!$B$5:$B$1004,MATCH($B1158,Task_Tracker!$A$5:$A$1004,0)),""))</f>
        <v/>
      </c>
      <c r="E1158" s="81" t="n"/>
      <c r="F1158" s="81" t="n"/>
      <c r="G1158" s="78" t="n"/>
      <c r="H1158" s="78" t="n"/>
      <c r="I1158" s="67">
        <f>IF($H1158="","",IFERROR(INDEX(Action_Status_Map!$B$5:$B$11,MATCH($H1158,Action_Status_Map!$A$5:$A$11,0)),""))</f>
        <v/>
      </c>
      <c r="J1158" s="82" t="n"/>
      <c r="K1158" s="82" t="n"/>
      <c r="L1158" s="82" t="n"/>
      <c r="M1158" s="83" t="n"/>
      <c r="N1158" s="83" t="n"/>
      <c r="O1158" s="66">
        <f>IF(OR($M1158="",$N1158=""),"",$N1158-$M1158)</f>
        <v/>
      </c>
      <c r="P1158" s="84">
        <f>IF($J1158="","",IF($L1158&lt;&gt;"",$L1158-$J1158,TODAY()-$J1158))</f>
        <v/>
      </c>
      <c r="Q1158" s="85">
        <f>IF(OR($K1158="",$H1158="Completed",$H1158="Cancelled"),"",IF(AND($K1158&lt;TODAY(),$H1158&lt;&gt;"Completed",$H1158&lt;&gt;"Cancelled"),"Overdue","On Track"))</f>
        <v/>
      </c>
      <c r="R1158" s="81" t="n"/>
      <c r="S1158" s="81">
        <f>IF($B1158="","",IFERROR(INDEX(Task_Tracker!$AA$5:$AA$1004,MATCH($B1158,Task_Tracker!$A$5:$A$1004,0)),""))</f>
        <v/>
      </c>
      <c r="T1158" s="81">
        <f>IF($B1158="","",IFERROR(INDEX(Task_Tracker!$AB$5:$AB$1004,MATCH($B1158,Task_Tracker!$A$5:$A$1004,0)),""))</f>
        <v/>
      </c>
      <c r="U1158" s="78">
        <f>IF($B1158="","",IFERROR(INDEX(Task_Tracker!$F$5:$F$1004,MATCH($B1158,Task_Tracker!$A$5:$A$1004,0)),""))</f>
        <v/>
      </c>
      <c r="V1158" s="78">
        <f>IF($B1158="","",IFERROR(INDEX(Task_Tracker!$I$5:$I$1004,MATCH($B1158,Task_Tracker!$A$5:$A$1004,0)),""))</f>
        <v/>
      </c>
      <c r="W1158" s="81">
        <f>IF(OR($D1158="",$B1158=""),"",$D1158&amp;" | "&amp;$B1158)</f>
        <v/>
      </c>
      <c r="X1158" s="85">
        <f>IF($K1158="","",TEXT($K1158,"yyyy-mm"))</f>
        <v/>
      </c>
      <c r="Y1158" s="81">
        <f>IF(OR($A1158="",$T1158=""),"","Included in Manager_Report")</f>
        <v/>
      </c>
    </row>
    <row r="1159" ht="15" customHeight="1" s="40">
      <c r="A1159" s="65">
        <f>IF(COUNTA(B1159:G1159)=0,"","STP-"&amp;TEXT(ROW()-4,"0000"))</f>
        <v/>
      </c>
      <c r="B1159" s="78" t="n"/>
      <c r="C1159" s="67">
        <f>IF($B1159="","",IFERROR(INDEX(Task_Tracker!$D$5:$D$1004,MATCH($B1159,Task_Tracker!$A$5:$A$1004,0)),""))</f>
        <v/>
      </c>
      <c r="D1159" s="67">
        <f>IF($B1159="","",IFERROR(INDEX(Task_Tracker!$B$5:$B$1004,MATCH($B1159,Task_Tracker!$A$5:$A$1004,0)),""))</f>
        <v/>
      </c>
      <c r="E1159" s="81" t="n"/>
      <c r="F1159" s="81" t="n"/>
      <c r="G1159" s="78" t="n"/>
      <c r="H1159" s="78" t="n"/>
      <c r="I1159" s="67">
        <f>IF($H1159="","",IFERROR(INDEX(Action_Status_Map!$B$5:$B$11,MATCH($H1159,Action_Status_Map!$A$5:$A$11,0)),""))</f>
        <v/>
      </c>
      <c r="J1159" s="82" t="n"/>
      <c r="K1159" s="82" t="n"/>
      <c r="L1159" s="82" t="n"/>
      <c r="M1159" s="83" t="n"/>
      <c r="N1159" s="83" t="n"/>
      <c r="O1159" s="66">
        <f>IF(OR($M1159="",$N1159=""),"",$N1159-$M1159)</f>
        <v/>
      </c>
      <c r="P1159" s="84">
        <f>IF($J1159="","",IF($L1159&lt;&gt;"",$L1159-$J1159,TODAY()-$J1159))</f>
        <v/>
      </c>
      <c r="Q1159" s="85">
        <f>IF(OR($K1159="",$H1159="Completed",$H1159="Cancelled"),"",IF(AND($K1159&lt;TODAY(),$H1159&lt;&gt;"Completed",$H1159&lt;&gt;"Cancelled"),"Overdue","On Track"))</f>
        <v/>
      </c>
      <c r="R1159" s="81" t="n"/>
      <c r="S1159" s="81">
        <f>IF($B1159="","",IFERROR(INDEX(Task_Tracker!$AA$5:$AA$1004,MATCH($B1159,Task_Tracker!$A$5:$A$1004,0)),""))</f>
        <v/>
      </c>
      <c r="T1159" s="81">
        <f>IF($B1159="","",IFERROR(INDEX(Task_Tracker!$AB$5:$AB$1004,MATCH($B1159,Task_Tracker!$A$5:$A$1004,0)),""))</f>
        <v/>
      </c>
      <c r="U1159" s="78">
        <f>IF($B1159="","",IFERROR(INDEX(Task_Tracker!$F$5:$F$1004,MATCH($B1159,Task_Tracker!$A$5:$A$1004,0)),""))</f>
        <v/>
      </c>
      <c r="V1159" s="78">
        <f>IF($B1159="","",IFERROR(INDEX(Task_Tracker!$I$5:$I$1004,MATCH($B1159,Task_Tracker!$A$5:$A$1004,0)),""))</f>
        <v/>
      </c>
      <c r="W1159" s="81">
        <f>IF(OR($D1159="",$B1159=""),"",$D1159&amp;" | "&amp;$B1159)</f>
        <v/>
      </c>
      <c r="X1159" s="85">
        <f>IF($K1159="","",TEXT($K1159,"yyyy-mm"))</f>
        <v/>
      </c>
      <c r="Y1159" s="81">
        <f>IF(OR($A1159="",$T1159=""),"","Included in Manager_Report")</f>
        <v/>
      </c>
    </row>
    <row r="1160" ht="15" customHeight="1" s="40">
      <c r="A1160" s="65">
        <f>IF(COUNTA(B1160:G1160)=0,"","STP-"&amp;TEXT(ROW()-4,"0000"))</f>
        <v/>
      </c>
      <c r="B1160" s="78" t="n"/>
      <c r="C1160" s="67">
        <f>IF($B1160="","",IFERROR(INDEX(Task_Tracker!$D$5:$D$1004,MATCH($B1160,Task_Tracker!$A$5:$A$1004,0)),""))</f>
        <v/>
      </c>
      <c r="D1160" s="67">
        <f>IF($B1160="","",IFERROR(INDEX(Task_Tracker!$B$5:$B$1004,MATCH($B1160,Task_Tracker!$A$5:$A$1004,0)),""))</f>
        <v/>
      </c>
      <c r="E1160" s="81" t="n"/>
      <c r="F1160" s="81" t="n"/>
      <c r="G1160" s="78" t="n"/>
      <c r="H1160" s="78" t="n"/>
      <c r="I1160" s="67">
        <f>IF($H1160="","",IFERROR(INDEX(Action_Status_Map!$B$5:$B$11,MATCH($H1160,Action_Status_Map!$A$5:$A$11,0)),""))</f>
        <v/>
      </c>
      <c r="J1160" s="82" t="n"/>
      <c r="K1160" s="82" t="n"/>
      <c r="L1160" s="82" t="n"/>
      <c r="M1160" s="83" t="n"/>
      <c r="N1160" s="83" t="n"/>
      <c r="O1160" s="66">
        <f>IF(OR($M1160="",$N1160=""),"",$N1160-$M1160)</f>
        <v/>
      </c>
      <c r="P1160" s="84">
        <f>IF($J1160="","",IF($L1160&lt;&gt;"",$L1160-$J1160,TODAY()-$J1160))</f>
        <v/>
      </c>
      <c r="Q1160" s="85">
        <f>IF(OR($K1160="",$H1160="Completed",$H1160="Cancelled"),"",IF(AND($K1160&lt;TODAY(),$H1160&lt;&gt;"Completed",$H1160&lt;&gt;"Cancelled"),"Overdue","On Track"))</f>
        <v/>
      </c>
      <c r="R1160" s="81" t="n"/>
      <c r="S1160" s="81">
        <f>IF($B1160="","",IFERROR(INDEX(Task_Tracker!$AA$5:$AA$1004,MATCH($B1160,Task_Tracker!$A$5:$A$1004,0)),""))</f>
        <v/>
      </c>
      <c r="T1160" s="81">
        <f>IF($B1160="","",IFERROR(INDEX(Task_Tracker!$AB$5:$AB$1004,MATCH($B1160,Task_Tracker!$A$5:$A$1004,0)),""))</f>
        <v/>
      </c>
      <c r="U1160" s="78">
        <f>IF($B1160="","",IFERROR(INDEX(Task_Tracker!$F$5:$F$1004,MATCH($B1160,Task_Tracker!$A$5:$A$1004,0)),""))</f>
        <v/>
      </c>
      <c r="V1160" s="78">
        <f>IF($B1160="","",IFERROR(INDEX(Task_Tracker!$I$5:$I$1004,MATCH($B1160,Task_Tracker!$A$5:$A$1004,0)),""))</f>
        <v/>
      </c>
      <c r="W1160" s="81">
        <f>IF(OR($D1160="",$B1160=""),"",$D1160&amp;" | "&amp;$B1160)</f>
        <v/>
      </c>
      <c r="X1160" s="85">
        <f>IF($K1160="","",TEXT($K1160,"yyyy-mm"))</f>
        <v/>
      </c>
      <c r="Y1160" s="81">
        <f>IF(OR($A1160="",$T1160=""),"","Included in Manager_Report")</f>
        <v/>
      </c>
    </row>
    <row r="1161" ht="15" customHeight="1" s="40">
      <c r="A1161" s="65">
        <f>IF(COUNTA(B1161:G1161)=0,"","STP-"&amp;TEXT(ROW()-4,"0000"))</f>
        <v/>
      </c>
      <c r="B1161" s="78" t="n"/>
      <c r="C1161" s="67">
        <f>IF($B1161="","",IFERROR(INDEX(Task_Tracker!$D$5:$D$1004,MATCH($B1161,Task_Tracker!$A$5:$A$1004,0)),""))</f>
        <v/>
      </c>
      <c r="D1161" s="67">
        <f>IF($B1161="","",IFERROR(INDEX(Task_Tracker!$B$5:$B$1004,MATCH($B1161,Task_Tracker!$A$5:$A$1004,0)),""))</f>
        <v/>
      </c>
      <c r="E1161" s="81" t="n"/>
      <c r="F1161" s="81" t="n"/>
      <c r="G1161" s="78" t="n"/>
      <c r="H1161" s="78" t="n"/>
      <c r="I1161" s="67">
        <f>IF($H1161="","",IFERROR(INDEX(Action_Status_Map!$B$5:$B$11,MATCH($H1161,Action_Status_Map!$A$5:$A$11,0)),""))</f>
        <v/>
      </c>
      <c r="J1161" s="82" t="n"/>
      <c r="K1161" s="82" t="n"/>
      <c r="L1161" s="82" t="n"/>
      <c r="M1161" s="83" t="n"/>
      <c r="N1161" s="83" t="n"/>
      <c r="O1161" s="66">
        <f>IF(OR($M1161="",$N1161=""),"",$N1161-$M1161)</f>
        <v/>
      </c>
      <c r="P1161" s="84">
        <f>IF($J1161="","",IF($L1161&lt;&gt;"",$L1161-$J1161,TODAY()-$J1161))</f>
        <v/>
      </c>
      <c r="Q1161" s="85">
        <f>IF(OR($K1161="",$H1161="Completed",$H1161="Cancelled"),"",IF(AND($K1161&lt;TODAY(),$H1161&lt;&gt;"Completed",$H1161&lt;&gt;"Cancelled"),"Overdue","On Track"))</f>
        <v/>
      </c>
      <c r="R1161" s="81" t="n"/>
      <c r="S1161" s="81">
        <f>IF($B1161="","",IFERROR(INDEX(Task_Tracker!$AA$5:$AA$1004,MATCH($B1161,Task_Tracker!$A$5:$A$1004,0)),""))</f>
        <v/>
      </c>
      <c r="T1161" s="81">
        <f>IF($B1161="","",IFERROR(INDEX(Task_Tracker!$AB$5:$AB$1004,MATCH($B1161,Task_Tracker!$A$5:$A$1004,0)),""))</f>
        <v/>
      </c>
      <c r="U1161" s="78">
        <f>IF($B1161="","",IFERROR(INDEX(Task_Tracker!$F$5:$F$1004,MATCH($B1161,Task_Tracker!$A$5:$A$1004,0)),""))</f>
        <v/>
      </c>
      <c r="V1161" s="78">
        <f>IF($B1161="","",IFERROR(INDEX(Task_Tracker!$I$5:$I$1004,MATCH($B1161,Task_Tracker!$A$5:$A$1004,0)),""))</f>
        <v/>
      </c>
      <c r="W1161" s="81">
        <f>IF(OR($D1161="",$B1161=""),"",$D1161&amp;" | "&amp;$B1161)</f>
        <v/>
      </c>
      <c r="X1161" s="85">
        <f>IF($K1161="","",TEXT($K1161,"yyyy-mm"))</f>
        <v/>
      </c>
      <c r="Y1161" s="81">
        <f>IF(OR($A1161="",$T1161=""),"","Included in Manager_Report")</f>
        <v/>
      </c>
    </row>
    <row r="1162" ht="15" customHeight="1" s="40">
      <c r="A1162" s="65">
        <f>IF(COUNTA(B1162:G1162)=0,"","STP-"&amp;TEXT(ROW()-4,"0000"))</f>
        <v/>
      </c>
      <c r="B1162" s="78" t="n"/>
      <c r="C1162" s="67">
        <f>IF($B1162="","",IFERROR(INDEX(Task_Tracker!$D$5:$D$1004,MATCH($B1162,Task_Tracker!$A$5:$A$1004,0)),""))</f>
        <v/>
      </c>
      <c r="D1162" s="67">
        <f>IF($B1162="","",IFERROR(INDEX(Task_Tracker!$B$5:$B$1004,MATCH($B1162,Task_Tracker!$A$5:$A$1004,0)),""))</f>
        <v/>
      </c>
      <c r="E1162" s="81" t="n"/>
      <c r="F1162" s="81" t="n"/>
      <c r="G1162" s="78" t="n"/>
      <c r="H1162" s="78" t="n"/>
      <c r="I1162" s="67">
        <f>IF($H1162="","",IFERROR(INDEX(Action_Status_Map!$B$5:$B$11,MATCH($H1162,Action_Status_Map!$A$5:$A$11,0)),""))</f>
        <v/>
      </c>
      <c r="J1162" s="82" t="n"/>
      <c r="K1162" s="82" t="n"/>
      <c r="L1162" s="82" t="n"/>
      <c r="M1162" s="83" t="n"/>
      <c r="N1162" s="83" t="n"/>
      <c r="O1162" s="66">
        <f>IF(OR($M1162="",$N1162=""),"",$N1162-$M1162)</f>
        <v/>
      </c>
      <c r="P1162" s="84">
        <f>IF($J1162="","",IF($L1162&lt;&gt;"",$L1162-$J1162,TODAY()-$J1162))</f>
        <v/>
      </c>
      <c r="Q1162" s="85">
        <f>IF(OR($K1162="",$H1162="Completed",$H1162="Cancelled"),"",IF(AND($K1162&lt;TODAY(),$H1162&lt;&gt;"Completed",$H1162&lt;&gt;"Cancelled"),"Overdue","On Track"))</f>
        <v/>
      </c>
      <c r="R1162" s="81" t="n"/>
      <c r="S1162" s="81">
        <f>IF($B1162="","",IFERROR(INDEX(Task_Tracker!$AA$5:$AA$1004,MATCH($B1162,Task_Tracker!$A$5:$A$1004,0)),""))</f>
        <v/>
      </c>
      <c r="T1162" s="81">
        <f>IF($B1162="","",IFERROR(INDEX(Task_Tracker!$AB$5:$AB$1004,MATCH($B1162,Task_Tracker!$A$5:$A$1004,0)),""))</f>
        <v/>
      </c>
      <c r="U1162" s="78">
        <f>IF($B1162="","",IFERROR(INDEX(Task_Tracker!$F$5:$F$1004,MATCH($B1162,Task_Tracker!$A$5:$A$1004,0)),""))</f>
        <v/>
      </c>
      <c r="V1162" s="78">
        <f>IF($B1162="","",IFERROR(INDEX(Task_Tracker!$I$5:$I$1004,MATCH($B1162,Task_Tracker!$A$5:$A$1004,0)),""))</f>
        <v/>
      </c>
      <c r="W1162" s="81">
        <f>IF(OR($D1162="",$B1162=""),"",$D1162&amp;" | "&amp;$B1162)</f>
        <v/>
      </c>
      <c r="X1162" s="85">
        <f>IF($K1162="","",TEXT($K1162,"yyyy-mm"))</f>
        <v/>
      </c>
      <c r="Y1162" s="81">
        <f>IF(OR($A1162="",$T1162=""),"","Included in Manager_Report")</f>
        <v/>
      </c>
    </row>
    <row r="1163" ht="15" customHeight="1" s="40">
      <c r="A1163" s="65">
        <f>IF(COUNTA(B1163:G1163)=0,"","STP-"&amp;TEXT(ROW()-4,"0000"))</f>
        <v/>
      </c>
      <c r="B1163" s="78" t="n"/>
      <c r="C1163" s="67">
        <f>IF($B1163="","",IFERROR(INDEX(Task_Tracker!$D$5:$D$1004,MATCH($B1163,Task_Tracker!$A$5:$A$1004,0)),""))</f>
        <v/>
      </c>
      <c r="D1163" s="67">
        <f>IF($B1163="","",IFERROR(INDEX(Task_Tracker!$B$5:$B$1004,MATCH($B1163,Task_Tracker!$A$5:$A$1004,0)),""))</f>
        <v/>
      </c>
      <c r="E1163" s="81" t="n"/>
      <c r="F1163" s="81" t="n"/>
      <c r="G1163" s="78" t="n"/>
      <c r="H1163" s="78" t="n"/>
      <c r="I1163" s="67">
        <f>IF($H1163="","",IFERROR(INDEX(Action_Status_Map!$B$5:$B$11,MATCH($H1163,Action_Status_Map!$A$5:$A$11,0)),""))</f>
        <v/>
      </c>
      <c r="J1163" s="82" t="n"/>
      <c r="K1163" s="82" t="n"/>
      <c r="L1163" s="82" t="n"/>
      <c r="M1163" s="83" t="n"/>
      <c r="N1163" s="83" t="n"/>
      <c r="O1163" s="66">
        <f>IF(OR($M1163="",$N1163=""),"",$N1163-$M1163)</f>
        <v/>
      </c>
      <c r="P1163" s="84">
        <f>IF($J1163="","",IF($L1163&lt;&gt;"",$L1163-$J1163,TODAY()-$J1163))</f>
        <v/>
      </c>
      <c r="Q1163" s="85">
        <f>IF(OR($K1163="",$H1163="Completed",$H1163="Cancelled"),"",IF(AND($K1163&lt;TODAY(),$H1163&lt;&gt;"Completed",$H1163&lt;&gt;"Cancelled"),"Overdue","On Track"))</f>
        <v/>
      </c>
      <c r="R1163" s="81" t="n"/>
      <c r="S1163" s="81">
        <f>IF($B1163="","",IFERROR(INDEX(Task_Tracker!$AA$5:$AA$1004,MATCH($B1163,Task_Tracker!$A$5:$A$1004,0)),""))</f>
        <v/>
      </c>
      <c r="T1163" s="81">
        <f>IF($B1163="","",IFERROR(INDEX(Task_Tracker!$AB$5:$AB$1004,MATCH($B1163,Task_Tracker!$A$5:$A$1004,0)),""))</f>
        <v/>
      </c>
      <c r="U1163" s="78">
        <f>IF($B1163="","",IFERROR(INDEX(Task_Tracker!$F$5:$F$1004,MATCH($B1163,Task_Tracker!$A$5:$A$1004,0)),""))</f>
        <v/>
      </c>
      <c r="V1163" s="78">
        <f>IF($B1163="","",IFERROR(INDEX(Task_Tracker!$I$5:$I$1004,MATCH($B1163,Task_Tracker!$A$5:$A$1004,0)),""))</f>
        <v/>
      </c>
      <c r="W1163" s="81">
        <f>IF(OR($D1163="",$B1163=""),"",$D1163&amp;" | "&amp;$B1163)</f>
        <v/>
      </c>
      <c r="X1163" s="85">
        <f>IF($K1163="","",TEXT($K1163,"yyyy-mm"))</f>
        <v/>
      </c>
      <c r="Y1163" s="81">
        <f>IF(OR($A1163="",$T1163=""),"","Included in Manager_Report")</f>
        <v/>
      </c>
    </row>
    <row r="1164" ht="15" customHeight="1" s="40">
      <c r="A1164" s="65">
        <f>IF(COUNTA(B1164:G1164)=0,"","STP-"&amp;TEXT(ROW()-4,"0000"))</f>
        <v/>
      </c>
      <c r="B1164" s="78" t="n"/>
      <c r="C1164" s="67">
        <f>IF($B1164="","",IFERROR(INDEX(Task_Tracker!$D$5:$D$1004,MATCH($B1164,Task_Tracker!$A$5:$A$1004,0)),""))</f>
        <v/>
      </c>
      <c r="D1164" s="67">
        <f>IF($B1164="","",IFERROR(INDEX(Task_Tracker!$B$5:$B$1004,MATCH($B1164,Task_Tracker!$A$5:$A$1004,0)),""))</f>
        <v/>
      </c>
      <c r="E1164" s="81" t="n"/>
      <c r="F1164" s="81" t="n"/>
      <c r="G1164" s="78" t="n"/>
      <c r="H1164" s="78" t="n"/>
      <c r="I1164" s="67">
        <f>IF($H1164="","",IFERROR(INDEX(Action_Status_Map!$B$5:$B$11,MATCH($H1164,Action_Status_Map!$A$5:$A$11,0)),""))</f>
        <v/>
      </c>
      <c r="J1164" s="82" t="n"/>
      <c r="K1164" s="82" t="n"/>
      <c r="L1164" s="82" t="n"/>
      <c r="M1164" s="83" t="n"/>
      <c r="N1164" s="83" t="n"/>
      <c r="O1164" s="66">
        <f>IF(OR($M1164="",$N1164=""),"",$N1164-$M1164)</f>
        <v/>
      </c>
      <c r="P1164" s="84">
        <f>IF($J1164="","",IF($L1164&lt;&gt;"",$L1164-$J1164,TODAY()-$J1164))</f>
        <v/>
      </c>
      <c r="Q1164" s="85">
        <f>IF(OR($K1164="",$H1164="Completed",$H1164="Cancelled"),"",IF(AND($K1164&lt;TODAY(),$H1164&lt;&gt;"Completed",$H1164&lt;&gt;"Cancelled"),"Overdue","On Track"))</f>
        <v/>
      </c>
      <c r="R1164" s="81" t="n"/>
      <c r="S1164" s="81">
        <f>IF($B1164="","",IFERROR(INDEX(Task_Tracker!$AA$5:$AA$1004,MATCH($B1164,Task_Tracker!$A$5:$A$1004,0)),""))</f>
        <v/>
      </c>
      <c r="T1164" s="81">
        <f>IF($B1164="","",IFERROR(INDEX(Task_Tracker!$AB$5:$AB$1004,MATCH($B1164,Task_Tracker!$A$5:$A$1004,0)),""))</f>
        <v/>
      </c>
      <c r="U1164" s="78">
        <f>IF($B1164="","",IFERROR(INDEX(Task_Tracker!$F$5:$F$1004,MATCH($B1164,Task_Tracker!$A$5:$A$1004,0)),""))</f>
        <v/>
      </c>
      <c r="V1164" s="78">
        <f>IF($B1164="","",IFERROR(INDEX(Task_Tracker!$I$5:$I$1004,MATCH($B1164,Task_Tracker!$A$5:$A$1004,0)),""))</f>
        <v/>
      </c>
      <c r="W1164" s="81">
        <f>IF(OR($D1164="",$B1164=""),"",$D1164&amp;" | "&amp;$B1164)</f>
        <v/>
      </c>
      <c r="X1164" s="85">
        <f>IF($K1164="","",TEXT($K1164,"yyyy-mm"))</f>
        <v/>
      </c>
      <c r="Y1164" s="81">
        <f>IF(OR($A1164="",$T1164=""),"","Included in Manager_Report")</f>
        <v/>
      </c>
    </row>
    <row r="1165" ht="15" customHeight="1" s="40">
      <c r="A1165" s="65">
        <f>IF(COUNTA(B1165:G1165)=0,"","STP-"&amp;TEXT(ROW()-4,"0000"))</f>
        <v/>
      </c>
      <c r="B1165" s="78" t="n"/>
      <c r="C1165" s="67">
        <f>IF($B1165="","",IFERROR(INDEX(Task_Tracker!$D$5:$D$1004,MATCH($B1165,Task_Tracker!$A$5:$A$1004,0)),""))</f>
        <v/>
      </c>
      <c r="D1165" s="67">
        <f>IF($B1165="","",IFERROR(INDEX(Task_Tracker!$B$5:$B$1004,MATCH($B1165,Task_Tracker!$A$5:$A$1004,0)),""))</f>
        <v/>
      </c>
      <c r="E1165" s="81" t="n"/>
      <c r="F1165" s="81" t="n"/>
      <c r="G1165" s="78" t="n"/>
      <c r="H1165" s="78" t="n"/>
      <c r="I1165" s="67">
        <f>IF($H1165="","",IFERROR(INDEX(Action_Status_Map!$B$5:$B$11,MATCH($H1165,Action_Status_Map!$A$5:$A$11,0)),""))</f>
        <v/>
      </c>
      <c r="J1165" s="82" t="n"/>
      <c r="K1165" s="82" t="n"/>
      <c r="L1165" s="82" t="n"/>
      <c r="M1165" s="83" t="n"/>
      <c r="N1165" s="83" t="n"/>
      <c r="O1165" s="66">
        <f>IF(OR($M1165="",$N1165=""),"",$N1165-$M1165)</f>
        <v/>
      </c>
      <c r="P1165" s="84">
        <f>IF($J1165="","",IF($L1165&lt;&gt;"",$L1165-$J1165,TODAY()-$J1165))</f>
        <v/>
      </c>
      <c r="Q1165" s="85">
        <f>IF(OR($K1165="",$H1165="Completed",$H1165="Cancelled"),"",IF(AND($K1165&lt;TODAY(),$H1165&lt;&gt;"Completed",$H1165&lt;&gt;"Cancelled"),"Overdue","On Track"))</f>
        <v/>
      </c>
      <c r="R1165" s="81" t="n"/>
      <c r="S1165" s="81">
        <f>IF($B1165="","",IFERROR(INDEX(Task_Tracker!$AA$5:$AA$1004,MATCH($B1165,Task_Tracker!$A$5:$A$1004,0)),""))</f>
        <v/>
      </c>
      <c r="T1165" s="81">
        <f>IF($B1165="","",IFERROR(INDEX(Task_Tracker!$AB$5:$AB$1004,MATCH($B1165,Task_Tracker!$A$5:$A$1004,0)),""))</f>
        <v/>
      </c>
      <c r="U1165" s="78">
        <f>IF($B1165="","",IFERROR(INDEX(Task_Tracker!$F$5:$F$1004,MATCH($B1165,Task_Tracker!$A$5:$A$1004,0)),""))</f>
        <v/>
      </c>
      <c r="V1165" s="78">
        <f>IF($B1165="","",IFERROR(INDEX(Task_Tracker!$I$5:$I$1004,MATCH($B1165,Task_Tracker!$A$5:$A$1004,0)),""))</f>
        <v/>
      </c>
      <c r="W1165" s="81">
        <f>IF(OR($D1165="",$B1165=""),"",$D1165&amp;" | "&amp;$B1165)</f>
        <v/>
      </c>
      <c r="X1165" s="85">
        <f>IF($K1165="","",TEXT($K1165,"yyyy-mm"))</f>
        <v/>
      </c>
      <c r="Y1165" s="81">
        <f>IF(OR($A1165="",$T1165=""),"","Included in Manager_Report")</f>
        <v/>
      </c>
    </row>
    <row r="1166" ht="15" customHeight="1" s="40">
      <c r="A1166" s="65">
        <f>IF(COUNTA(B1166:G1166)=0,"","STP-"&amp;TEXT(ROW()-4,"0000"))</f>
        <v/>
      </c>
      <c r="B1166" s="78" t="n"/>
      <c r="C1166" s="67">
        <f>IF($B1166="","",IFERROR(INDEX(Task_Tracker!$D$5:$D$1004,MATCH($B1166,Task_Tracker!$A$5:$A$1004,0)),""))</f>
        <v/>
      </c>
      <c r="D1166" s="67">
        <f>IF($B1166="","",IFERROR(INDEX(Task_Tracker!$B$5:$B$1004,MATCH($B1166,Task_Tracker!$A$5:$A$1004,0)),""))</f>
        <v/>
      </c>
      <c r="E1166" s="81" t="n"/>
      <c r="F1166" s="81" t="n"/>
      <c r="G1166" s="78" t="n"/>
      <c r="H1166" s="78" t="n"/>
      <c r="I1166" s="67">
        <f>IF($H1166="","",IFERROR(INDEX(Action_Status_Map!$B$5:$B$11,MATCH($H1166,Action_Status_Map!$A$5:$A$11,0)),""))</f>
        <v/>
      </c>
      <c r="J1166" s="82" t="n"/>
      <c r="K1166" s="82" t="n"/>
      <c r="L1166" s="82" t="n"/>
      <c r="M1166" s="83" t="n"/>
      <c r="N1166" s="83" t="n"/>
      <c r="O1166" s="66">
        <f>IF(OR($M1166="",$N1166=""),"",$N1166-$M1166)</f>
        <v/>
      </c>
      <c r="P1166" s="84">
        <f>IF($J1166="","",IF($L1166&lt;&gt;"",$L1166-$J1166,TODAY()-$J1166))</f>
        <v/>
      </c>
      <c r="Q1166" s="85">
        <f>IF(OR($K1166="",$H1166="Completed",$H1166="Cancelled"),"",IF(AND($K1166&lt;TODAY(),$H1166&lt;&gt;"Completed",$H1166&lt;&gt;"Cancelled"),"Overdue","On Track"))</f>
        <v/>
      </c>
      <c r="R1166" s="81" t="n"/>
      <c r="S1166" s="81">
        <f>IF($B1166="","",IFERROR(INDEX(Task_Tracker!$AA$5:$AA$1004,MATCH($B1166,Task_Tracker!$A$5:$A$1004,0)),""))</f>
        <v/>
      </c>
      <c r="T1166" s="81">
        <f>IF($B1166="","",IFERROR(INDEX(Task_Tracker!$AB$5:$AB$1004,MATCH($B1166,Task_Tracker!$A$5:$A$1004,0)),""))</f>
        <v/>
      </c>
      <c r="U1166" s="78">
        <f>IF($B1166="","",IFERROR(INDEX(Task_Tracker!$F$5:$F$1004,MATCH($B1166,Task_Tracker!$A$5:$A$1004,0)),""))</f>
        <v/>
      </c>
      <c r="V1166" s="78">
        <f>IF($B1166="","",IFERROR(INDEX(Task_Tracker!$I$5:$I$1004,MATCH($B1166,Task_Tracker!$A$5:$A$1004,0)),""))</f>
        <v/>
      </c>
      <c r="W1166" s="81">
        <f>IF(OR($D1166="",$B1166=""),"",$D1166&amp;" | "&amp;$B1166)</f>
        <v/>
      </c>
      <c r="X1166" s="85">
        <f>IF($K1166="","",TEXT($K1166,"yyyy-mm"))</f>
        <v/>
      </c>
      <c r="Y1166" s="81">
        <f>IF(OR($A1166="",$T1166=""),"","Included in Manager_Report")</f>
        <v/>
      </c>
    </row>
    <row r="1167" ht="15" customHeight="1" s="40">
      <c r="A1167" s="65">
        <f>IF(COUNTA(B1167:G1167)=0,"","STP-"&amp;TEXT(ROW()-4,"0000"))</f>
        <v/>
      </c>
      <c r="B1167" s="78" t="n"/>
      <c r="C1167" s="67">
        <f>IF($B1167="","",IFERROR(INDEX(Task_Tracker!$D$5:$D$1004,MATCH($B1167,Task_Tracker!$A$5:$A$1004,0)),""))</f>
        <v/>
      </c>
      <c r="D1167" s="67">
        <f>IF($B1167="","",IFERROR(INDEX(Task_Tracker!$B$5:$B$1004,MATCH($B1167,Task_Tracker!$A$5:$A$1004,0)),""))</f>
        <v/>
      </c>
      <c r="E1167" s="81" t="n"/>
      <c r="F1167" s="81" t="n"/>
      <c r="G1167" s="78" t="n"/>
      <c r="H1167" s="78" t="n"/>
      <c r="I1167" s="67">
        <f>IF($H1167="","",IFERROR(INDEX(Action_Status_Map!$B$5:$B$11,MATCH($H1167,Action_Status_Map!$A$5:$A$11,0)),""))</f>
        <v/>
      </c>
      <c r="J1167" s="82" t="n"/>
      <c r="K1167" s="82" t="n"/>
      <c r="L1167" s="82" t="n"/>
      <c r="M1167" s="83" t="n"/>
      <c r="N1167" s="83" t="n"/>
      <c r="O1167" s="66">
        <f>IF(OR($M1167="",$N1167=""),"",$N1167-$M1167)</f>
        <v/>
      </c>
      <c r="P1167" s="84">
        <f>IF($J1167="","",IF($L1167&lt;&gt;"",$L1167-$J1167,TODAY()-$J1167))</f>
        <v/>
      </c>
      <c r="Q1167" s="85">
        <f>IF(OR($K1167="",$H1167="Completed",$H1167="Cancelled"),"",IF(AND($K1167&lt;TODAY(),$H1167&lt;&gt;"Completed",$H1167&lt;&gt;"Cancelled"),"Overdue","On Track"))</f>
        <v/>
      </c>
      <c r="R1167" s="81" t="n"/>
      <c r="S1167" s="81">
        <f>IF($B1167="","",IFERROR(INDEX(Task_Tracker!$AA$5:$AA$1004,MATCH($B1167,Task_Tracker!$A$5:$A$1004,0)),""))</f>
        <v/>
      </c>
      <c r="T1167" s="81">
        <f>IF($B1167="","",IFERROR(INDEX(Task_Tracker!$AB$5:$AB$1004,MATCH($B1167,Task_Tracker!$A$5:$A$1004,0)),""))</f>
        <v/>
      </c>
      <c r="U1167" s="78">
        <f>IF($B1167="","",IFERROR(INDEX(Task_Tracker!$F$5:$F$1004,MATCH($B1167,Task_Tracker!$A$5:$A$1004,0)),""))</f>
        <v/>
      </c>
      <c r="V1167" s="78">
        <f>IF($B1167="","",IFERROR(INDEX(Task_Tracker!$I$5:$I$1004,MATCH($B1167,Task_Tracker!$A$5:$A$1004,0)),""))</f>
        <v/>
      </c>
      <c r="W1167" s="81">
        <f>IF(OR($D1167="",$B1167=""),"",$D1167&amp;" | "&amp;$B1167)</f>
        <v/>
      </c>
      <c r="X1167" s="85">
        <f>IF($K1167="","",TEXT($K1167,"yyyy-mm"))</f>
        <v/>
      </c>
      <c r="Y1167" s="81">
        <f>IF(OR($A1167="",$T1167=""),"","Included in Manager_Report")</f>
        <v/>
      </c>
    </row>
    <row r="1168" ht="15" customHeight="1" s="40">
      <c r="A1168" s="65">
        <f>IF(COUNTA(B1168:G1168)=0,"","STP-"&amp;TEXT(ROW()-4,"0000"))</f>
        <v/>
      </c>
      <c r="B1168" s="78" t="n"/>
      <c r="C1168" s="67">
        <f>IF($B1168="","",IFERROR(INDEX(Task_Tracker!$D$5:$D$1004,MATCH($B1168,Task_Tracker!$A$5:$A$1004,0)),""))</f>
        <v/>
      </c>
      <c r="D1168" s="67">
        <f>IF($B1168="","",IFERROR(INDEX(Task_Tracker!$B$5:$B$1004,MATCH($B1168,Task_Tracker!$A$5:$A$1004,0)),""))</f>
        <v/>
      </c>
      <c r="E1168" s="81" t="n"/>
      <c r="F1168" s="81" t="n"/>
      <c r="G1168" s="78" t="n"/>
      <c r="H1168" s="78" t="n"/>
      <c r="I1168" s="67">
        <f>IF($H1168="","",IFERROR(INDEX(Action_Status_Map!$B$5:$B$11,MATCH($H1168,Action_Status_Map!$A$5:$A$11,0)),""))</f>
        <v/>
      </c>
      <c r="J1168" s="82" t="n"/>
      <c r="K1168" s="82" t="n"/>
      <c r="L1168" s="82" t="n"/>
      <c r="M1168" s="83" t="n"/>
      <c r="N1168" s="83" t="n"/>
      <c r="O1168" s="66">
        <f>IF(OR($M1168="",$N1168=""),"",$N1168-$M1168)</f>
        <v/>
      </c>
      <c r="P1168" s="84">
        <f>IF($J1168="","",IF($L1168&lt;&gt;"",$L1168-$J1168,TODAY()-$J1168))</f>
        <v/>
      </c>
      <c r="Q1168" s="85">
        <f>IF(OR($K1168="",$H1168="Completed",$H1168="Cancelled"),"",IF(AND($K1168&lt;TODAY(),$H1168&lt;&gt;"Completed",$H1168&lt;&gt;"Cancelled"),"Overdue","On Track"))</f>
        <v/>
      </c>
      <c r="R1168" s="81" t="n"/>
      <c r="S1168" s="81">
        <f>IF($B1168="","",IFERROR(INDEX(Task_Tracker!$AA$5:$AA$1004,MATCH($B1168,Task_Tracker!$A$5:$A$1004,0)),""))</f>
        <v/>
      </c>
      <c r="T1168" s="81">
        <f>IF($B1168="","",IFERROR(INDEX(Task_Tracker!$AB$5:$AB$1004,MATCH($B1168,Task_Tracker!$A$5:$A$1004,0)),""))</f>
        <v/>
      </c>
      <c r="U1168" s="78">
        <f>IF($B1168="","",IFERROR(INDEX(Task_Tracker!$F$5:$F$1004,MATCH($B1168,Task_Tracker!$A$5:$A$1004,0)),""))</f>
        <v/>
      </c>
      <c r="V1168" s="78">
        <f>IF($B1168="","",IFERROR(INDEX(Task_Tracker!$I$5:$I$1004,MATCH($B1168,Task_Tracker!$A$5:$A$1004,0)),""))</f>
        <v/>
      </c>
      <c r="W1168" s="81">
        <f>IF(OR($D1168="",$B1168=""),"",$D1168&amp;" | "&amp;$B1168)</f>
        <v/>
      </c>
      <c r="X1168" s="85">
        <f>IF($K1168="","",TEXT($K1168,"yyyy-mm"))</f>
        <v/>
      </c>
      <c r="Y1168" s="81">
        <f>IF(OR($A1168="",$T1168=""),"","Included in Manager_Report")</f>
        <v/>
      </c>
    </row>
    <row r="1169" ht="15" customHeight="1" s="40">
      <c r="A1169" s="65">
        <f>IF(COUNTA(B1169:G1169)=0,"","STP-"&amp;TEXT(ROW()-4,"0000"))</f>
        <v/>
      </c>
      <c r="B1169" s="78" t="n"/>
      <c r="C1169" s="67">
        <f>IF($B1169="","",IFERROR(INDEX(Task_Tracker!$D$5:$D$1004,MATCH($B1169,Task_Tracker!$A$5:$A$1004,0)),""))</f>
        <v/>
      </c>
      <c r="D1169" s="67">
        <f>IF($B1169="","",IFERROR(INDEX(Task_Tracker!$B$5:$B$1004,MATCH($B1169,Task_Tracker!$A$5:$A$1004,0)),""))</f>
        <v/>
      </c>
      <c r="E1169" s="81" t="n"/>
      <c r="F1169" s="81" t="n"/>
      <c r="G1169" s="78" t="n"/>
      <c r="H1169" s="78" t="n"/>
      <c r="I1169" s="67">
        <f>IF($H1169="","",IFERROR(INDEX(Action_Status_Map!$B$5:$B$11,MATCH($H1169,Action_Status_Map!$A$5:$A$11,0)),""))</f>
        <v/>
      </c>
      <c r="J1169" s="82" t="n"/>
      <c r="K1169" s="82" t="n"/>
      <c r="L1169" s="82" t="n"/>
      <c r="M1169" s="83" t="n"/>
      <c r="N1169" s="83" t="n"/>
      <c r="O1169" s="66">
        <f>IF(OR($M1169="",$N1169=""),"",$N1169-$M1169)</f>
        <v/>
      </c>
      <c r="P1169" s="84">
        <f>IF($J1169="","",IF($L1169&lt;&gt;"",$L1169-$J1169,TODAY()-$J1169))</f>
        <v/>
      </c>
      <c r="Q1169" s="85">
        <f>IF(OR($K1169="",$H1169="Completed",$H1169="Cancelled"),"",IF(AND($K1169&lt;TODAY(),$H1169&lt;&gt;"Completed",$H1169&lt;&gt;"Cancelled"),"Overdue","On Track"))</f>
        <v/>
      </c>
      <c r="R1169" s="81" t="n"/>
      <c r="S1169" s="81">
        <f>IF($B1169="","",IFERROR(INDEX(Task_Tracker!$AA$5:$AA$1004,MATCH($B1169,Task_Tracker!$A$5:$A$1004,0)),""))</f>
        <v/>
      </c>
      <c r="T1169" s="81">
        <f>IF($B1169="","",IFERROR(INDEX(Task_Tracker!$AB$5:$AB$1004,MATCH($B1169,Task_Tracker!$A$5:$A$1004,0)),""))</f>
        <v/>
      </c>
      <c r="U1169" s="78">
        <f>IF($B1169="","",IFERROR(INDEX(Task_Tracker!$F$5:$F$1004,MATCH($B1169,Task_Tracker!$A$5:$A$1004,0)),""))</f>
        <v/>
      </c>
      <c r="V1169" s="78">
        <f>IF($B1169="","",IFERROR(INDEX(Task_Tracker!$I$5:$I$1004,MATCH($B1169,Task_Tracker!$A$5:$A$1004,0)),""))</f>
        <v/>
      </c>
      <c r="W1169" s="81">
        <f>IF(OR($D1169="",$B1169=""),"",$D1169&amp;" | "&amp;$B1169)</f>
        <v/>
      </c>
      <c r="X1169" s="85">
        <f>IF($K1169="","",TEXT($K1169,"yyyy-mm"))</f>
        <v/>
      </c>
      <c r="Y1169" s="81">
        <f>IF(OR($A1169="",$T1169=""),"","Included in Manager_Report")</f>
        <v/>
      </c>
    </row>
    <row r="1170" ht="15" customHeight="1" s="40">
      <c r="A1170" s="65">
        <f>IF(COUNTA(B1170:G1170)=0,"","STP-"&amp;TEXT(ROW()-4,"0000"))</f>
        <v/>
      </c>
      <c r="B1170" s="78" t="n"/>
      <c r="C1170" s="67">
        <f>IF($B1170="","",IFERROR(INDEX(Task_Tracker!$D$5:$D$1004,MATCH($B1170,Task_Tracker!$A$5:$A$1004,0)),""))</f>
        <v/>
      </c>
      <c r="D1170" s="67">
        <f>IF($B1170="","",IFERROR(INDEX(Task_Tracker!$B$5:$B$1004,MATCH($B1170,Task_Tracker!$A$5:$A$1004,0)),""))</f>
        <v/>
      </c>
      <c r="E1170" s="81" t="n"/>
      <c r="F1170" s="81" t="n"/>
      <c r="G1170" s="78" t="n"/>
      <c r="H1170" s="78" t="n"/>
      <c r="I1170" s="67">
        <f>IF($H1170="","",IFERROR(INDEX(Action_Status_Map!$B$5:$B$11,MATCH($H1170,Action_Status_Map!$A$5:$A$11,0)),""))</f>
        <v/>
      </c>
      <c r="J1170" s="82" t="n"/>
      <c r="K1170" s="82" t="n"/>
      <c r="L1170" s="82" t="n"/>
      <c r="M1170" s="83" t="n"/>
      <c r="N1170" s="83" t="n"/>
      <c r="O1170" s="66">
        <f>IF(OR($M1170="",$N1170=""),"",$N1170-$M1170)</f>
        <v/>
      </c>
      <c r="P1170" s="84">
        <f>IF($J1170="","",IF($L1170&lt;&gt;"",$L1170-$J1170,TODAY()-$J1170))</f>
        <v/>
      </c>
      <c r="Q1170" s="85">
        <f>IF(OR($K1170="",$H1170="Completed",$H1170="Cancelled"),"",IF(AND($K1170&lt;TODAY(),$H1170&lt;&gt;"Completed",$H1170&lt;&gt;"Cancelled"),"Overdue","On Track"))</f>
        <v/>
      </c>
      <c r="R1170" s="81" t="n"/>
      <c r="S1170" s="81">
        <f>IF($B1170="","",IFERROR(INDEX(Task_Tracker!$AA$5:$AA$1004,MATCH($B1170,Task_Tracker!$A$5:$A$1004,0)),""))</f>
        <v/>
      </c>
      <c r="T1170" s="81">
        <f>IF($B1170="","",IFERROR(INDEX(Task_Tracker!$AB$5:$AB$1004,MATCH($B1170,Task_Tracker!$A$5:$A$1004,0)),""))</f>
        <v/>
      </c>
      <c r="U1170" s="78">
        <f>IF($B1170="","",IFERROR(INDEX(Task_Tracker!$F$5:$F$1004,MATCH($B1170,Task_Tracker!$A$5:$A$1004,0)),""))</f>
        <v/>
      </c>
      <c r="V1170" s="78">
        <f>IF($B1170="","",IFERROR(INDEX(Task_Tracker!$I$5:$I$1004,MATCH($B1170,Task_Tracker!$A$5:$A$1004,0)),""))</f>
        <v/>
      </c>
      <c r="W1170" s="81">
        <f>IF(OR($D1170="",$B1170=""),"",$D1170&amp;" | "&amp;$B1170)</f>
        <v/>
      </c>
      <c r="X1170" s="85">
        <f>IF($K1170="","",TEXT($K1170,"yyyy-mm"))</f>
        <v/>
      </c>
      <c r="Y1170" s="81">
        <f>IF(OR($A1170="",$T1170=""),"","Included in Manager_Report")</f>
        <v/>
      </c>
    </row>
    <row r="1171" ht="15" customHeight="1" s="40">
      <c r="A1171" s="65">
        <f>IF(COUNTA(B1171:G1171)=0,"","STP-"&amp;TEXT(ROW()-4,"0000"))</f>
        <v/>
      </c>
      <c r="B1171" s="78" t="n"/>
      <c r="C1171" s="67">
        <f>IF($B1171="","",IFERROR(INDEX(Task_Tracker!$D$5:$D$1004,MATCH($B1171,Task_Tracker!$A$5:$A$1004,0)),""))</f>
        <v/>
      </c>
      <c r="D1171" s="67">
        <f>IF($B1171="","",IFERROR(INDEX(Task_Tracker!$B$5:$B$1004,MATCH($B1171,Task_Tracker!$A$5:$A$1004,0)),""))</f>
        <v/>
      </c>
      <c r="E1171" s="81" t="n"/>
      <c r="F1171" s="81" t="n"/>
      <c r="G1171" s="78" t="n"/>
      <c r="H1171" s="78" t="n"/>
      <c r="I1171" s="67">
        <f>IF($H1171="","",IFERROR(INDEX(Action_Status_Map!$B$5:$B$11,MATCH($H1171,Action_Status_Map!$A$5:$A$11,0)),""))</f>
        <v/>
      </c>
      <c r="J1171" s="82" t="n"/>
      <c r="K1171" s="82" t="n"/>
      <c r="L1171" s="82" t="n"/>
      <c r="M1171" s="83" t="n"/>
      <c r="N1171" s="83" t="n"/>
      <c r="O1171" s="66">
        <f>IF(OR($M1171="",$N1171=""),"",$N1171-$M1171)</f>
        <v/>
      </c>
      <c r="P1171" s="84">
        <f>IF($J1171="","",IF($L1171&lt;&gt;"",$L1171-$J1171,TODAY()-$J1171))</f>
        <v/>
      </c>
      <c r="Q1171" s="85">
        <f>IF(OR($K1171="",$H1171="Completed",$H1171="Cancelled"),"",IF(AND($K1171&lt;TODAY(),$H1171&lt;&gt;"Completed",$H1171&lt;&gt;"Cancelled"),"Overdue","On Track"))</f>
        <v/>
      </c>
      <c r="R1171" s="81" t="n"/>
      <c r="S1171" s="81">
        <f>IF($B1171="","",IFERROR(INDEX(Task_Tracker!$AA$5:$AA$1004,MATCH($B1171,Task_Tracker!$A$5:$A$1004,0)),""))</f>
        <v/>
      </c>
      <c r="T1171" s="81">
        <f>IF($B1171="","",IFERROR(INDEX(Task_Tracker!$AB$5:$AB$1004,MATCH($B1171,Task_Tracker!$A$5:$A$1004,0)),""))</f>
        <v/>
      </c>
      <c r="U1171" s="78">
        <f>IF($B1171="","",IFERROR(INDEX(Task_Tracker!$F$5:$F$1004,MATCH($B1171,Task_Tracker!$A$5:$A$1004,0)),""))</f>
        <v/>
      </c>
      <c r="V1171" s="78">
        <f>IF($B1171="","",IFERROR(INDEX(Task_Tracker!$I$5:$I$1004,MATCH($B1171,Task_Tracker!$A$5:$A$1004,0)),""))</f>
        <v/>
      </c>
      <c r="W1171" s="81">
        <f>IF(OR($D1171="",$B1171=""),"",$D1171&amp;" | "&amp;$B1171)</f>
        <v/>
      </c>
      <c r="X1171" s="85">
        <f>IF($K1171="","",TEXT($K1171,"yyyy-mm"))</f>
        <v/>
      </c>
      <c r="Y1171" s="81">
        <f>IF(OR($A1171="",$T1171=""),"","Included in Manager_Report")</f>
        <v/>
      </c>
    </row>
    <row r="1172" ht="15" customHeight="1" s="40">
      <c r="A1172" s="65">
        <f>IF(COUNTA(B1172:G1172)=0,"","STP-"&amp;TEXT(ROW()-4,"0000"))</f>
        <v/>
      </c>
      <c r="B1172" s="78" t="n"/>
      <c r="C1172" s="67">
        <f>IF($B1172="","",IFERROR(INDEX(Task_Tracker!$D$5:$D$1004,MATCH($B1172,Task_Tracker!$A$5:$A$1004,0)),""))</f>
        <v/>
      </c>
      <c r="D1172" s="67">
        <f>IF($B1172="","",IFERROR(INDEX(Task_Tracker!$B$5:$B$1004,MATCH($B1172,Task_Tracker!$A$5:$A$1004,0)),""))</f>
        <v/>
      </c>
      <c r="E1172" s="81" t="n"/>
      <c r="F1172" s="81" t="n"/>
      <c r="G1172" s="78" t="n"/>
      <c r="H1172" s="78" t="n"/>
      <c r="I1172" s="67">
        <f>IF($H1172="","",IFERROR(INDEX(Action_Status_Map!$B$5:$B$11,MATCH($H1172,Action_Status_Map!$A$5:$A$11,0)),""))</f>
        <v/>
      </c>
      <c r="J1172" s="82" t="n"/>
      <c r="K1172" s="82" t="n"/>
      <c r="L1172" s="82" t="n"/>
      <c r="M1172" s="83" t="n"/>
      <c r="N1172" s="83" t="n"/>
      <c r="O1172" s="66">
        <f>IF(OR($M1172="",$N1172=""),"",$N1172-$M1172)</f>
        <v/>
      </c>
      <c r="P1172" s="84">
        <f>IF($J1172="","",IF($L1172&lt;&gt;"",$L1172-$J1172,TODAY()-$J1172))</f>
        <v/>
      </c>
      <c r="Q1172" s="85">
        <f>IF(OR($K1172="",$H1172="Completed",$H1172="Cancelled"),"",IF(AND($K1172&lt;TODAY(),$H1172&lt;&gt;"Completed",$H1172&lt;&gt;"Cancelled"),"Overdue","On Track"))</f>
        <v/>
      </c>
      <c r="R1172" s="81" t="n"/>
      <c r="S1172" s="81">
        <f>IF($B1172="","",IFERROR(INDEX(Task_Tracker!$AA$5:$AA$1004,MATCH($B1172,Task_Tracker!$A$5:$A$1004,0)),""))</f>
        <v/>
      </c>
      <c r="T1172" s="81">
        <f>IF($B1172="","",IFERROR(INDEX(Task_Tracker!$AB$5:$AB$1004,MATCH($B1172,Task_Tracker!$A$5:$A$1004,0)),""))</f>
        <v/>
      </c>
      <c r="U1172" s="78">
        <f>IF($B1172="","",IFERROR(INDEX(Task_Tracker!$F$5:$F$1004,MATCH($B1172,Task_Tracker!$A$5:$A$1004,0)),""))</f>
        <v/>
      </c>
      <c r="V1172" s="78">
        <f>IF($B1172="","",IFERROR(INDEX(Task_Tracker!$I$5:$I$1004,MATCH($B1172,Task_Tracker!$A$5:$A$1004,0)),""))</f>
        <v/>
      </c>
      <c r="W1172" s="81">
        <f>IF(OR($D1172="",$B1172=""),"",$D1172&amp;" | "&amp;$B1172)</f>
        <v/>
      </c>
      <c r="X1172" s="85">
        <f>IF($K1172="","",TEXT($K1172,"yyyy-mm"))</f>
        <v/>
      </c>
      <c r="Y1172" s="81">
        <f>IF(OR($A1172="",$T1172=""),"","Included in Manager_Report")</f>
        <v/>
      </c>
    </row>
    <row r="1173" ht="15" customHeight="1" s="40">
      <c r="A1173" s="65">
        <f>IF(COUNTA(B1173:G1173)=0,"","STP-"&amp;TEXT(ROW()-4,"0000"))</f>
        <v/>
      </c>
      <c r="B1173" s="78" t="n"/>
      <c r="C1173" s="67">
        <f>IF($B1173="","",IFERROR(INDEX(Task_Tracker!$D$5:$D$1004,MATCH($B1173,Task_Tracker!$A$5:$A$1004,0)),""))</f>
        <v/>
      </c>
      <c r="D1173" s="67">
        <f>IF($B1173="","",IFERROR(INDEX(Task_Tracker!$B$5:$B$1004,MATCH($B1173,Task_Tracker!$A$5:$A$1004,0)),""))</f>
        <v/>
      </c>
      <c r="E1173" s="81" t="n"/>
      <c r="F1173" s="81" t="n"/>
      <c r="G1173" s="78" t="n"/>
      <c r="H1173" s="78" t="n"/>
      <c r="I1173" s="67">
        <f>IF($H1173="","",IFERROR(INDEX(Action_Status_Map!$B$5:$B$11,MATCH($H1173,Action_Status_Map!$A$5:$A$11,0)),""))</f>
        <v/>
      </c>
      <c r="J1173" s="82" t="n"/>
      <c r="K1173" s="82" t="n"/>
      <c r="L1173" s="82" t="n"/>
      <c r="M1173" s="83" t="n"/>
      <c r="N1173" s="83" t="n"/>
      <c r="O1173" s="66">
        <f>IF(OR($M1173="",$N1173=""),"",$N1173-$M1173)</f>
        <v/>
      </c>
      <c r="P1173" s="84">
        <f>IF($J1173="","",IF($L1173&lt;&gt;"",$L1173-$J1173,TODAY()-$J1173))</f>
        <v/>
      </c>
      <c r="Q1173" s="85">
        <f>IF(OR($K1173="",$H1173="Completed",$H1173="Cancelled"),"",IF(AND($K1173&lt;TODAY(),$H1173&lt;&gt;"Completed",$H1173&lt;&gt;"Cancelled"),"Overdue","On Track"))</f>
        <v/>
      </c>
      <c r="R1173" s="81" t="n"/>
      <c r="S1173" s="81">
        <f>IF($B1173="","",IFERROR(INDEX(Task_Tracker!$AA$5:$AA$1004,MATCH($B1173,Task_Tracker!$A$5:$A$1004,0)),""))</f>
        <v/>
      </c>
      <c r="T1173" s="81">
        <f>IF($B1173="","",IFERROR(INDEX(Task_Tracker!$AB$5:$AB$1004,MATCH($B1173,Task_Tracker!$A$5:$A$1004,0)),""))</f>
        <v/>
      </c>
      <c r="U1173" s="78">
        <f>IF($B1173="","",IFERROR(INDEX(Task_Tracker!$F$5:$F$1004,MATCH($B1173,Task_Tracker!$A$5:$A$1004,0)),""))</f>
        <v/>
      </c>
      <c r="V1173" s="78">
        <f>IF($B1173="","",IFERROR(INDEX(Task_Tracker!$I$5:$I$1004,MATCH($B1173,Task_Tracker!$A$5:$A$1004,0)),""))</f>
        <v/>
      </c>
      <c r="W1173" s="81">
        <f>IF(OR($D1173="",$B1173=""),"",$D1173&amp;" | "&amp;$B1173)</f>
        <v/>
      </c>
      <c r="X1173" s="85">
        <f>IF($K1173="","",TEXT($K1173,"yyyy-mm"))</f>
        <v/>
      </c>
      <c r="Y1173" s="81">
        <f>IF(OR($A1173="",$T1173=""),"","Included in Manager_Report")</f>
        <v/>
      </c>
    </row>
    <row r="1174" ht="15" customHeight="1" s="40">
      <c r="A1174" s="65">
        <f>IF(COUNTA(B1174:G1174)=0,"","STP-"&amp;TEXT(ROW()-4,"0000"))</f>
        <v/>
      </c>
      <c r="B1174" s="78" t="n"/>
      <c r="C1174" s="67">
        <f>IF($B1174="","",IFERROR(INDEX(Task_Tracker!$D$5:$D$1004,MATCH($B1174,Task_Tracker!$A$5:$A$1004,0)),""))</f>
        <v/>
      </c>
      <c r="D1174" s="67">
        <f>IF($B1174="","",IFERROR(INDEX(Task_Tracker!$B$5:$B$1004,MATCH($B1174,Task_Tracker!$A$5:$A$1004,0)),""))</f>
        <v/>
      </c>
      <c r="E1174" s="81" t="n"/>
      <c r="F1174" s="81" t="n"/>
      <c r="G1174" s="78" t="n"/>
      <c r="H1174" s="78" t="n"/>
      <c r="I1174" s="67">
        <f>IF($H1174="","",IFERROR(INDEX(Action_Status_Map!$B$5:$B$11,MATCH($H1174,Action_Status_Map!$A$5:$A$11,0)),""))</f>
        <v/>
      </c>
      <c r="J1174" s="82" t="n"/>
      <c r="K1174" s="82" t="n"/>
      <c r="L1174" s="82" t="n"/>
      <c r="M1174" s="83" t="n"/>
      <c r="N1174" s="83" t="n"/>
      <c r="O1174" s="66">
        <f>IF(OR($M1174="",$N1174=""),"",$N1174-$M1174)</f>
        <v/>
      </c>
      <c r="P1174" s="84">
        <f>IF($J1174="","",IF($L1174&lt;&gt;"",$L1174-$J1174,TODAY()-$J1174))</f>
        <v/>
      </c>
      <c r="Q1174" s="85">
        <f>IF(OR($K1174="",$H1174="Completed",$H1174="Cancelled"),"",IF(AND($K1174&lt;TODAY(),$H1174&lt;&gt;"Completed",$H1174&lt;&gt;"Cancelled"),"Overdue","On Track"))</f>
        <v/>
      </c>
      <c r="R1174" s="81" t="n"/>
      <c r="S1174" s="81">
        <f>IF($B1174="","",IFERROR(INDEX(Task_Tracker!$AA$5:$AA$1004,MATCH($B1174,Task_Tracker!$A$5:$A$1004,0)),""))</f>
        <v/>
      </c>
      <c r="T1174" s="81">
        <f>IF($B1174="","",IFERROR(INDEX(Task_Tracker!$AB$5:$AB$1004,MATCH($B1174,Task_Tracker!$A$5:$A$1004,0)),""))</f>
        <v/>
      </c>
      <c r="U1174" s="78">
        <f>IF($B1174="","",IFERROR(INDEX(Task_Tracker!$F$5:$F$1004,MATCH($B1174,Task_Tracker!$A$5:$A$1004,0)),""))</f>
        <v/>
      </c>
      <c r="V1174" s="78">
        <f>IF($B1174="","",IFERROR(INDEX(Task_Tracker!$I$5:$I$1004,MATCH($B1174,Task_Tracker!$A$5:$A$1004,0)),""))</f>
        <v/>
      </c>
      <c r="W1174" s="81">
        <f>IF(OR($D1174="",$B1174=""),"",$D1174&amp;" | "&amp;$B1174)</f>
        <v/>
      </c>
      <c r="X1174" s="85">
        <f>IF($K1174="","",TEXT($K1174,"yyyy-mm"))</f>
        <v/>
      </c>
      <c r="Y1174" s="81">
        <f>IF(OR($A1174="",$T1174=""),"","Included in Manager_Report")</f>
        <v/>
      </c>
    </row>
    <row r="1175" ht="15" customHeight="1" s="40">
      <c r="A1175" s="65">
        <f>IF(COUNTA(B1175:G1175)=0,"","STP-"&amp;TEXT(ROW()-4,"0000"))</f>
        <v/>
      </c>
      <c r="B1175" s="78" t="n"/>
      <c r="C1175" s="67">
        <f>IF($B1175="","",IFERROR(INDEX(Task_Tracker!$D$5:$D$1004,MATCH($B1175,Task_Tracker!$A$5:$A$1004,0)),""))</f>
        <v/>
      </c>
      <c r="D1175" s="67">
        <f>IF($B1175="","",IFERROR(INDEX(Task_Tracker!$B$5:$B$1004,MATCH($B1175,Task_Tracker!$A$5:$A$1004,0)),""))</f>
        <v/>
      </c>
      <c r="E1175" s="81" t="n"/>
      <c r="F1175" s="81" t="n"/>
      <c r="G1175" s="78" t="n"/>
      <c r="H1175" s="78" t="n"/>
      <c r="I1175" s="67">
        <f>IF($H1175="","",IFERROR(INDEX(Action_Status_Map!$B$5:$B$11,MATCH($H1175,Action_Status_Map!$A$5:$A$11,0)),""))</f>
        <v/>
      </c>
      <c r="J1175" s="82" t="n"/>
      <c r="K1175" s="82" t="n"/>
      <c r="L1175" s="82" t="n"/>
      <c r="M1175" s="83" t="n"/>
      <c r="N1175" s="83" t="n"/>
      <c r="O1175" s="66">
        <f>IF(OR($M1175="",$N1175=""),"",$N1175-$M1175)</f>
        <v/>
      </c>
      <c r="P1175" s="84">
        <f>IF($J1175="","",IF($L1175&lt;&gt;"",$L1175-$J1175,TODAY()-$J1175))</f>
        <v/>
      </c>
      <c r="Q1175" s="85">
        <f>IF(OR($K1175="",$H1175="Completed",$H1175="Cancelled"),"",IF(AND($K1175&lt;TODAY(),$H1175&lt;&gt;"Completed",$H1175&lt;&gt;"Cancelled"),"Overdue","On Track"))</f>
        <v/>
      </c>
      <c r="R1175" s="81" t="n"/>
      <c r="S1175" s="81">
        <f>IF($B1175="","",IFERROR(INDEX(Task_Tracker!$AA$5:$AA$1004,MATCH($B1175,Task_Tracker!$A$5:$A$1004,0)),""))</f>
        <v/>
      </c>
      <c r="T1175" s="81">
        <f>IF($B1175="","",IFERROR(INDEX(Task_Tracker!$AB$5:$AB$1004,MATCH($B1175,Task_Tracker!$A$5:$A$1004,0)),""))</f>
        <v/>
      </c>
      <c r="U1175" s="78">
        <f>IF($B1175="","",IFERROR(INDEX(Task_Tracker!$F$5:$F$1004,MATCH($B1175,Task_Tracker!$A$5:$A$1004,0)),""))</f>
        <v/>
      </c>
      <c r="V1175" s="78">
        <f>IF($B1175="","",IFERROR(INDEX(Task_Tracker!$I$5:$I$1004,MATCH($B1175,Task_Tracker!$A$5:$A$1004,0)),""))</f>
        <v/>
      </c>
      <c r="W1175" s="81">
        <f>IF(OR($D1175="",$B1175=""),"",$D1175&amp;" | "&amp;$B1175)</f>
        <v/>
      </c>
      <c r="X1175" s="85">
        <f>IF($K1175="","",TEXT($K1175,"yyyy-mm"))</f>
        <v/>
      </c>
      <c r="Y1175" s="81">
        <f>IF(OR($A1175="",$T1175=""),"","Included in Manager_Report")</f>
        <v/>
      </c>
    </row>
    <row r="1176" ht="15" customHeight="1" s="40">
      <c r="A1176" s="65">
        <f>IF(COUNTA(B1176:G1176)=0,"","STP-"&amp;TEXT(ROW()-4,"0000"))</f>
        <v/>
      </c>
      <c r="B1176" s="78" t="n"/>
      <c r="C1176" s="67">
        <f>IF($B1176="","",IFERROR(INDEX(Task_Tracker!$D$5:$D$1004,MATCH($B1176,Task_Tracker!$A$5:$A$1004,0)),""))</f>
        <v/>
      </c>
      <c r="D1176" s="67">
        <f>IF($B1176="","",IFERROR(INDEX(Task_Tracker!$B$5:$B$1004,MATCH($B1176,Task_Tracker!$A$5:$A$1004,0)),""))</f>
        <v/>
      </c>
      <c r="E1176" s="81" t="n"/>
      <c r="F1176" s="81" t="n"/>
      <c r="G1176" s="78" t="n"/>
      <c r="H1176" s="78" t="n"/>
      <c r="I1176" s="67">
        <f>IF($H1176="","",IFERROR(INDEX(Action_Status_Map!$B$5:$B$11,MATCH($H1176,Action_Status_Map!$A$5:$A$11,0)),""))</f>
        <v/>
      </c>
      <c r="J1176" s="82" t="n"/>
      <c r="K1176" s="82" t="n"/>
      <c r="L1176" s="82" t="n"/>
      <c r="M1176" s="83" t="n"/>
      <c r="N1176" s="83" t="n"/>
      <c r="O1176" s="66">
        <f>IF(OR($M1176="",$N1176=""),"",$N1176-$M1176)</f>
        <v/>
      </c>
      <c r="P1176" s="84">
        <f>IF($J1176="","",IF($L1176&lt;&gt;"",$L1176-$J1176,TODAY()-$J1176))</f>
        <v/>
      </c>
      <c r="Q1176" s="85">
        <f>IF(OR($K1176="",$H1176="Completed",$H1176="Cancelled"),"",IF(AND($K1176&lt;TODAY(),$H1176&lt;&gt;"Completed",$H1176&lt;&gt;"Cancelled"),"Overdue","On Track"))</f>
        <v/>
      </c>
      <c r="R1176" s="81" t="n"/>
      <c r="S1176" s="81">
        <f>IF($B1176="","",IFERROR(INDEX(Task_Tracker!$AA$5:$AA$1004,MATCH($B1176,Task_Tracker!$A$5:$A$1004,0)),""))</f>
        <v/>
      </c>
      <c r="T1176" s="81">
        <f>IF($B1176="","",IFERROR(INDEX(Task_Tracker!$AB$5:$AB$1004,MATCH($B1176,Task_Tracker!$A$5:$A$1004,0)),""))</f>
        <v/>
      </c>
      <c r="U1176" s="78">
        <f>IF($B1176="","",IFERROR(INDEX(Task_Tracker!$F$5:$F$1004,MATCH($B1176,Task_Tracker!$A$5:$A$1004,0)),""))</f>
        <v/>
      </c>
      <c r="V1176" s="78">
        <f>IF($B1176="","",IFERROR(INDEX(Task_Tracker!$I$5:$I$1004,MATCH($B1176,Task_Tracker!$A$5:$A$1004,0)),""))</f>
        <v/>
      </c>
      <c r="W1176" s="81">
        <f>IF(OR($D1176="",$B1176=""),"",$D1176&amp;" | "&amp;$B1176)</f>
        <v/>
      </c>
      <c r="X1176" s="85">
        <f>IF($K1176="","",TEXT($K1176,"yyyy-mm"))</f>
        <v/>
      </c>
      <c r="Y1176" s="81">
        <f>IF(OR($A1176="",$T1176=""),"","Included in Manager_Report")</f>
        <v/>
      </c>
    </row>
    <row r="1177" ht="15" customHeight="1" s="40">
      <c r="A1177" s="65">
        <f>IF(COUNTA(B1177:G1177)=0,"","STP-"&amp;TEXT(ROW()-4,"0000"))</f>
        <v/>
      </c>
      <c r="B1177" s="78" t="n"/>
      <c r="C1177" s="67">
        <f>IF($B1177="","",IFERROR(INDEX(Task_Tracker!$D$5:$D$1004,MATCH($B1177,Task_Tracker!$A$5:$A$1004,0)),""))</f>
        <v/>
      </c>
      <c r="D1177" s="67">
        <f>IF($B1177="","",IFERROR(INDEX(Task_Tracker!$B$5:$B$1004,MATCH($B1177,Task_Tracker!$A$5:$A$1004,0)),""))</f>
        <v/>
      </c>
      <c r="E1177" s="81" t="n"/>
      <c r="F1177" s="81" t="n"/>
      <c r="G1177" s="78" t="n"/>
      <c r="H1177" s="78" t="n"/>
      <c r="I1177" s="67">
        <f>IF($H1177="","",IFERROR(INDEX(Action_Status_Map!$B$5:$B$11,MATCH($H1177,Action_Status_Map!$A$5:$A$11,0)),""))</f>
        <v/>
      </c>
      <c r="J1177" s="82" t="n"/>
      <c r="K1177" s="82" t="n"/>
      <c r="L1177" s="82" t="n"/>
      <c r="M1177" s="83" t="n"/>
      <c r="N1177" s="83" t="n"/>
      <c r="O1177" s="66">
        <f>IF(OR($M1177="",$N1177=""),"",$N1177-$M1177)</f>
        <v/>
      </c>
      <c r="P1177" s="84">
        <f>IF($J1177="","",IF($L1177&lt;&gt;"",$L1177-$J1177,TODAY()-$J1177))</f>
        <v/>
      </c>
      <c r="Q1177" s="85">
        <f>IF(OR($K1177="",$H1177="Completed",$H1177="Cancelled"),"",IF(AND($K1177&lt;TODAY(),$H1177&lt;&gt;"Completed",$H1177&lt;&gt;"Cancelled"),"Overdue","On Track"))</f>
        <v/>
      </c>
      <c r="R1177" s="81" t="n"/>
      <c r="S1177" s="81">
        <f>IF($B1177="","",IFERROR(INDEX(Task_Tracker!$AA$5:$AA$1004,MATCH($B1177,Task_Tracker!$A$5:$A$1004,0)),""))</f>
        <v/>
      </c>
      <c r="T1177" s="81">
        <f>IF($B1177="","",IFERROR(INDEX(Task_Tracker!$AB$5:$AB$1004,MATCH($B1177,Task_Tracker!$A$5:$A$1004,0)),""))</f>
        <v/>
      </c>
      <c r="U1177" s="78">
        <f>IF($B1177="","",IFERROR(INDEX(Task_Tracker!$F$5:$F$1004,MATCH($B1177,Task_Tracker!$A$5:$A$1004,0)),""))</f>
        <v/>
      </c>
      <c r="V1177" s="78">
        <f>IF($B1177="","",IFERROR(INDEX(Task_Tracker!$I$5:$I$1004,MATCH($B1177,Task_Tracker!$A$5:$A$1004,0)),""))</f>
        <v/>
      </c>
      <c r="W1177" s="81">
        <f>IF(OR($D1177="",$B1177=""),"",$D1177&amp;" | "&amp;$B1177)</f>
        <v/>
      </c>
      <c r="X1177" s="85">
        <f>IF($K1177="","",TEXT($K1177,"yyyy-mm"))</f>
        <v/>
      </c>
      <c r="Y1177" s="81">
        <f>IF(OR($A1177="",$T1177=""),"","Included in Manager_Report")</f>
        <v/>
      </c>
    </row>
    <row r="1178" ht="15" customHeight="1" s="40">
      <c r="A1178" s="65">
        <f>IF(COUNTA(B1178:G1178)=0,"","STP-"&amp;TEXT(ROW()-4,"0000"))</f>
        <v/>
      </c>
      <c r="B1178" s="78" t="n"/>
      <c r="C1178" s="67">
        <f>IF($B1178="","",IFERROR(INDEX(Task_Tracker!$D$5:$D$1004,MATCH($B1178,Task_Tracker!$A$5:$A$1004,0)),""))</f>
        <v/>
      </c>
      <c r="D1178" s="67">
        <f>IF($B1178="","",IFERROR(INDEX(Task_Tracker!$B$5:$B$1004,MATCH($B1178,Task_Tracker!$A$5:$A$1004,0)),""))</f>
        <v/>
      </c>
      <c r="E1178" s="81" t="n"/>
      <c r="F1178" s="81" t="n"/>
      <c r="G1178" s="78" t="n"/>
      <c r="H1178" s="78" t="n"/>
      <c r="I1178" s="67">
        <f>IF($H1178="","",IFERROR(INDEX(Action_Status_Map!$B$5:$B$11,MATCH($H1178,Action_Status_Map!$A$5:$A$11,0)),""))</f>
        <v/>
      </c>
      <c r="J1178" s="82" t="n"/>
      <c r="K1178" s="82" t="n"/>
      <c r="L1178" s="82" t="n"/>
      <c r="M1178" s="83" t="n"/>
      <c r="N1178" s="83" t="n"/>
      <c r="O1178" s="66">
        <f>IF(OR($M1178="",$N1178=""),"",$N1178-$M1178)</f>
        <v/>
      </c>
      <c r="P1178" s="84">
        <f>IF($J1178="","",IF($L1178&lt;&gt;"",$L1178-$J1178,TODAY()-$J1178))</f>
        <v/>
      </c>
      <c r="Q1178" s="85">
        <f>IF(OR($K1178="",$H1178="Completed",$H1178="Cancelled"),"",IF(AND($K1178&lt;TODAY(),$H1178&lt;&gt;"Completed",$H1178&lt;&gt;"Cancelled"),"Overdue","On Track"))</f>
        <v/>
      </c>
      <c r="R1178" s="81" t="n"/>
      <c r="S1178" s="81">
        <f>IF($B1178="","",IFERROR(INDEX(Task_Tracker!$AA$5:$AA$1004,MATCH($B1178,Task_Tracker!$A$5:$A$1004,0)),""))</f>
        <v/>
      </c>
      <c r="T1178" s="81">
        <f>IF($B1178="","",IFERROR(INDEX(Task_Tracker!$AB$5:$AB$1004,MATCH($B1178,Task_Tracker!$A$5:$A$1004,0)),""))</f>
        <v/>
      </c>
      <c r="U1178" s="78">
        <f>IF($B1178="","",IFERROR(INDEX(Task_Tracker!$F$5:$F$1004,MATCH($B1178,Task_Tracker!$A$5:$A$1004,0)),""))</f>
        <v/>
      </c>
      <c r="V1178" s="78">
        <f>IF($B1178="","",IFERROR(INDEX(Task_Tracker!$I$5:$I$1004,MATCH($B1178,Task_Tracker!$A$5:$A$1004,0)),""))</f>
        <v/>
      </c>
      <c r="W1178" s="81">
        <f>IF(OR($D1178="",$B1178=""),"",$D1178&amp;" | "&amp;$B1178)</f>
        <v/>
      </c>
      <c r="X1178" s="85">
        <f>IF($K1178="","",TEXT($K1178,"yyyy-mm"))</f>
        <v/>
      </c>
      <c r="Y1178" s="81">
        <f>IF(OR($A1178="",$T1178=""),"","Included in Manager_Report")</f>
        <v/>
      </c>
    </row>
    <row r="1179" ht="15" customHeight="1" s="40">
      <c r="A1179" s="65">
        <f>IF(COUNTA(B1179:G1179)=0,"","STP-"&amp;TEXT(ROW()-4,"0000"))</f>
        <v/>
      </c>
      <c r="B1179" s="78" t="n"/>
      <c r="C1179" s="67">
        <f>IF($B1179="","",IFERROR(INDEX(Task_Tracker!$D$5:$D$1004,MATCH($B1179,Task_Tracker!$A$5:$A$1004,0)),""))</f>
        <v/>
      </c>
      <c r="D1179" s="67">
        <f>IF($B1179="","",IFERROR(INDEX(Task_Tracker!$B$5:$B$1004,MATCH($B1179,Task_Tracker!$A$5:$A$1004,0)),""))</f>
        <v/>
      </c>
      <c r="E1179" s="81" t="n"/>
      <c r="F1179" s="81" t="n"/>
      <c r="G1179" s="78" t="n"/>
      <c r="H1179" s="78" t="n"/>
      <c r="I1179" s="67">
        <f>IF($H1179="","",IFERROR(INDEX(Action_Status_Map!$B$5:$B$11,MATCH($H1179,Action_Status_Map!$A$5:$A$11,0)),""))</f>
        <v/>
      </c>
      <c r="J1179" s="82" t="n"/>
      <c r="K1179" s="82" t="n"/>
      <c r="L1179" s="82" t="n"/>
      <c r="M1179" s="83" t="n"/>
      <c r="N1179" s="83" t="n"/>
      <c r="O1179" s="66">
        <f>IF(OR($M1179="",$N1179=""),"",$N1179-$M1179)</f>
        <v/>
      </c>
      <c r="P1179" s="84">
        <f>IF($J1179="","",IF($L1179&lt;&gt;"",$L1179-$J1179,TODAY()-$J1179))</f>
        <v/>
      </c>
      <c r="Q1179" s="85">
        <f>IF(OR($K1179="",$H1179="Completed",$H1179="Cancelled"),"",IF(AND($K1179&lt;TODAY(),$H1179&lt;&gt;"Completed",$H1179&lt;&gt;"Cancelled"),"Overdue","On Track"))</f>
        <v/>
      </c>
      <c r="R1179" s="81" t="n"/>
      <c r="S1179" s="81">
        <f>IF($B1179="","",IFERROR(INDEX(Task_Tracker!$AA$5:$AA$1004,MATCH($B1179,Task_Tracker!$A$5:$A$1004,0)),""))</f>
        <v/>
      </c>
      <c r="T1179" s="81">
        <f>IF($B1179="","",IFERROR(INDEX(Task_Tracker!$AB$5:$AB$1004,MATCH($B1179,Task_Tracker!$A$5:$A$1004,0)),""))</f>
        <v/>
      </c>
      <c r="U1179" s="78">
        <f>IF($B1179="","",IFERROR(INDEX(Task_Tracker!$F$5:$F$1004,MATCH($B1179,Task_Tracker!$A$5:$A$1004,0)),""))</f>
        <v/>
      </c>
      <c r="V1179" s="78">
        <f>IF($B1179="","",IFERROR(INDEX(Task_Tracker!$I$5:$I$1004,MATCH($B1179,Task_Tracker!$A$5:$A$1004,0)),""))</f>
        <v/>
      </c>
      <c r="W1179" s="81">
        <f>IF(OR($D1179="",$B1179=""),"",$D1179&amp;" | "&amp;$B1179)</f>
        <v/>
      </c>
      <c r="X1179" s="85">
        <f>IF($K1179="","",TEXT($K1179,"yyyy-mm"))</f>
        <v/>
      </c>
      <c r="Y1179" s="81">
        <f>IF(OR($A1179="",$T1179=""),"","Included in Manager_Report")</f>
        <v/>
      </c>
    </row>
    <row r="1180" ht="15" customHeight="1" s="40">
      <c r="A1180" s="65">
        <f>IF(COUNTA(B1180:G1180)=0,"","STP-"&amp;TEXT(ROW()-4,"0000"))</f>
        <v/>
      </c>
      <c r="B1180" s="78" t="n"/>
      <c r="C1180" s="67">
        <f>IF($B1180="","",IFERROR(INDEX(Task_Tracker!$D$5:$D$1004,MATCH($B1180,Task_Tracker!$A$5:$A$1004,0)),""))</f>
        <v/>
      </c>
      <c r="D1180" s="67">
        <f>IF($B1180="","",IFERROR(INDEX(Task_Tracker!$B$5:$B$1004,MATCH($B1180,Task_Tracker!$A$5:$A$1004,0)),""))</f>
        <v/>
      </c>
      <c r="E1180" s="81" t="n"/>
      <c r="F1180" s="81" t="n"/>
      <c r="G1180" s="78" t="n"/>
      <c r="H1180" s="78" t="n"/>
      <c r="I1180" s="67">
        <f>IF($H1180="","",IFERROR(INDEX(Action_Status_Map!$B$5:$B$11,MATCH($H1180,Action_Status_Map!$A$5:$A$11,0)),""))</f>
        <v/>
      </c>
      <c r="J1180" s="82" t="n"/>
      <c r="K1180" s="82" t="n"/>
      <c r="L1180" s="82" t="n"/>
      <c r="M1180" s="83" t="n"/>
      <c r="N1180" s="83" t="n"/>
      <c r="O1180" s="66">
        <f>IF(OR($M1180="",$N1180=""),"",$N1180-$M1180)</f>
        <v/>
      </c>
      <c r="P1180" s="84">
        <f>IF($J1180="","",IF($L1180&lt;&gt;"",$L1180-$J1180,TODAY()-$J1180))</f>
        <v/>
      </c>
      <c r="Q1180" s="85">
        <f>IF(OR($K1180="",$H1180="Completed",$H1180="Cancelled"),"",IF(AND($K1180&lt;TODAY(),$H1180&lt;&gt;"Completed",$H1180&lt;&gt;"Cancelled"),"Overdue","On Track"))</f>
        <v/>
      </c>
      <c r="R1180" s="81" t="n"/>
      <c r="S1180" s="81">
        <f>IF($B1180="","",IFERROR(INDEX(Task_Tracker!$AA$5:$AA$1004,MATCH($B1180,Task_Tracker!$A$5:$A$1004,0)),""))</f>
        <v/>
      </c>
      <c r="T1180" s="81">
        <f>IF($B1180="","",IFERROR(INDEX(Task_Tracker!$AB$5:$AB$1004,MATCH($B1180,Task_Tracker!$A$5:$A$1004,0)),""))</f>
        <v/>
      </c>
      <c r="U1180" s="78">
        <f>IF($B1180="","",IFERROR(INDEX(Task_Tracker!$F$5:$F$1004,MATCH($B1180,Task_Tracker!$A$5:$A$1004,0)),""))</f>
        <v/>
      </c>
      <c r="V1180" s="78">
        <f>IF($B1180="","",IFERROR(INDEX(Task_Tracker!$I$5:$I$1004,MATCH($B1180,Task_Tracker!$A$5:$A$1004,0)),""))</f>
        <v/>
      </c>
      <c r="W1180" s="81">
        <f>IF(OR($D1180="",$B1180=""),"",$D1180&amp;" | "&amp;$B1180)</f>
        <v/>
      </c>
      <c r="X1180" s="85">
        <f>IF($K1180="","",TEXT($K1180,"yyyy-mm"))</f>
        <v/>
      </c>
      <c r="Y1180" s="81">
        <f>IF(OR($A1180="",$T1180=""),"","Included in Manager_Report")</f>
        <v/>
      </c>
    </row>
    <row r="1181" ht="15" customHeight="1" s="40">
      <c r="A1181" s="65">
        <f>IF(COUNTA(B1181:G1181)=0,"","STP-"&amp;TEXT(ROW()-4,"0000"))</f>
        <v/>
      </c>
      <c r="B1181" s="78" t="n"/>
      <c r="C1181" s="67">
        <f>IF($B1181="","",IFERROR(INDEX(Task_Tracker!$D$5:$D$1004,MATCH($B1181,Task_Tracker!$A$5:$A$1004,0)),""))</f>
        <v/>
      </c>
      <c r="D1181" s="67">
        <f>IF($B1181="","",IFERROR(INDEX(Task_Tracker!$B$5:$B$1004,MATCH($B1181,Task_Tracker!$A$5:$A$1004,0)),""))</f>
        <v/>
      </c>
      <c r="E1181" s="81" t="n"/>
      <c r="F1181" s="81" t="n"/>
      <c r="G1181" s="78" t="n"/>
      <c r="H1181" s="78" t="n"/>
      <c r="I1181" s="67">
        <f>IF($H1181="","",IFERROR(INDEX(Action_Status_Map!$B$5:$B$11,MATCH($H1181,Action_Status_Map!$A$5:$A$11,0)),""))</f>
        <v/>
      </c>
      <c r="J1181" s="82" t="n"/>
      <c r="K1181" s="82" t="n"/>
      <c r="L1181" s="82" t="n"/>
      <c r="M1181" s="83" t="n"/>
      <c r="N1181" s="83" t="n"/>
      <c r="O1181" s="66">
        <f>IF(OR($M1181="",$N1181=""),"",$N1181-$M1181)</f>
        <v/>
      </c>
      <c r="P1181" s="84">
        <f>IF($J1181="","",IF($L1181&lt;&gt;"",$L1181-$J1181,TODAY()-$J1181))</f>
        <v/>
      </c>
      <c r="Q1181" s="85">
        <f>IF(OR($K1181="",$H1181="Completed",$H1181="Cancelled"),"",IF(AND($K1181&lt;TODAY(),$H1181&lt;&gt;"Completed",$H1181&lt;&gt;"Cancelled"),"Overdue","On Track"))</f>
        <v/>
      </c>
      <c r="R1181" s="81" t="n"/>
      <c r="S1181" s="81">
        <f>IF($B1181="","",IFERROR(INDEX(Task_Tracker!$AA$5:$AA$1004,MATCH($B1181,Task_Tracker!$A$5:$A$1004,0)),""))</f>
        <v/>
      </c>
      <c r="T1181" s="81">
        <f>IF($B1181="","",IFERROR(INDEX(Task_Tracker!$AB$5:$AB$1004,MATCH($B1181,Task_Tracker!$A$5:$A$1004,0)),""))</f>
        <v/>
      </c>
      <c r="U1181" s="78">
        <f>IF($B1181="","",IFERROR(INDEX(Task_Tracker!$F$5:$F$1004,MATCH($B1181,Task_Tracker!$A$5:$A$1004,0)),""))</f>
        <v/>
      </c>
      <c r="V1181" s="78">
        <f>IF($B1181="","",IFERROR(INDEX(Task_Tracker!$I$5:$I$1004,MATCH($B1181,Task_Tracker!$A$5:$A$1004,0)),""))</f>
        <v/>
      </c>
      <c r="W1181" s="81">
        <f>IF(OR($D1181="",$B1181=""),"",$D1181&amp;" | "&amp;$B1181)</f>
        <v/>
      </c>
      <c r="X1181" s="85">
        <f>IF($K1181="","",TEXT($K1181,"yyyy-mm"))</f>
        <v/>
      </c>
      <c r="Y1181" s="81">
        <f>IF(OR($A1181="",$T1181=""),"","Included in Manager_Report")</f>
        <v/>
      </c>
    </row>
    <row r="1182" ht="15" customHeight="1" s="40">
      <c r="A1182" s="65">
        <f>IF(COUNTA(B1182:G1182)=0,"","STP-"&amp;TEXT(ROW()-4,"0000"))</f>
        <v/>
      </c>
      <c r="B1182" s="78" t="n"/>
      <c r="C1182" s="67">
        <f>IF($B1182="","",IFERROR(INDEX(Task_Tracker!$D$5:$D$1004,MATCH($B1182,Task_Tracker!$A$5:$A$1004,0)),""))</f>
        <v/>
      </c>
      <c r="D1182" s="67">
        <f>IF($B1182="","",IFERROR(INDEX(Task_Tracker!$B$5:$B$1004,MATCH($B1182,Task_Tracker!$A$5:$A$1004,0)),""))</f>
        <v/>
      </c>
      <c r="E1182" s="81" t="n"/>
      <c r="F1182" s="81" t="n"/>
      <c r="G1182" s="78" t="n"/>
      <c r="H1182" s="78" t="n"/>
      <c r="I1182" s="67">
        <f>IF($H1182="","",IFERROR(INDEX(Action_Status_Map!$B$5:$B$11,MATCH($H1182,Action_Status_Map!$A$5:$A$11,0)),""))</f>
        <v/>
      </c>
      <c r="J1182" s="82" t="n"/>
      <c r="K1182" s="82" t="n"/>
      <c r="L1182" s="82" t="n"/>
      <c r="M1182" s="83" t="n"/>
      <c r="N1182" s="83" t="n"/>
      <c r="O1182" s="66">
        <f>IF(OR($M1182="",$N1182=""),"",$N1182-$M1182)</f>
        <v/>
      </c>
      <c r="P1182" s="84">
        <f>IF($J1182="","",IF($L1182&lt;&gt;"",$L1182-$J1182,TODAY()-$J1182))</f>
        <v/>
      </c>
      <c r="Q1182" s="85">
        <f>IF(OR($K1182="",$H1182="Completed",$H1182="Cancelled"),"",IF(AND($K1182&lt;TODAY(),$H1182&lt;&gt;"Completed",$H1182&lt;&gt;"Cancelled"),"Overdue","On Track"))</f>
        <v/>
      </c>
      <c r="R1182" s="81" t="n"/>
      <c r="S1182" s="81">
        <f>IF($B1182="","",IFERROR(INDEX(Task_Tracker!$AA$5:$AA$1004,MATCH($B1182,Task_Tracker!$A$5:$A$1004,0)),""))</f>
        <v/>
      </c>
      <c r="T1182" s="81">
        <f>IF($B1182="","",IFERROR(INDEX(Task_Tracker!$AB$5:$AB$1004,MATCH($B1182,Task_Tracker!$A$5:$A$1004,0)),""))</f>
        <v/>
      </c>
      <c r="U1182" s="78">
        <f>IF($B1182="","",IFERROR(INDEX(Task_Tracker!$F$5:$F$1004,MATCH($B1182,Task_Tracker!$A$5:$A$1004,0)),""))</f>
        <v/>
      </c>
      <c r="V1182" s="78">
        <f>IF($B1182="","",IFERROR(INDEX(Task_Tracker!$I$5:$I$1004,MATCH($B1182,Task_Tracker!$A$5:$A$1004,0)),""))</f>
        <v/>
      </c>
      <c r="W1182" s="81">
        <f>IF(OR($D1182="",$B1182=""),"",$D1182&amp;" | "&amp;$B1182)</f>
        <v/>
      </c>
      <c r="X1182" s="85">
        <f>IF($K1182="","",TEXT($K1182,"yyyy-mm"))</f>
        <v/>
      </c>
      <c r="Y1182" s="81">
        <f>IF(OR($A1182="",$T1182=""),"","Included in Manager_Report")</f>
        <v/>
      </c>
    </row>
    <row r="1183" ht="15" customHeight="1" s="40">
      <c r="A1183" s="65">
        <f>IF(COUNTA(B1183:G1183)=0,"","STP-"&amp;TEXT(ROW()-4,"0000"))</f>
        <v/>
      </c>
      <c r="B1183" s="78" t="n"/>
      <c r="C1183" s="67">
        <f>IF($B1183="","",IFERROR(INDEX(Task_Tracker!$D$5:$D$1004,MATCH($B1183,Task_Tracker!$A$5:$A$1004,0)),""))</f>
        <v/>
      </c>
      <c r="D1183" s="67">
        <f>IF($B1183="","",IFERROR(INDEX(Task_Tracker!$B$5:$B$1004,MATCH($B1183,Task_Tracker!$A$5:$A$1004,0)),""))</f>
        <v/>
      </c>
      <c r="E1183" s="81" t="n"/>
      <c r="F1183" s="81" t="n"/>
      <c r="G1183" s="78" t="n"/>
      <c r="H1183" s="78" t="n"/>
      <c r="I1183" s="67">
        <f>IF($H1183="","",IFERROR(INDEX(Action_Status_Map!$B$5:$B$11,MATCH($H1183,Action_Status_Map!$A$5:$A$11,0)),""))</f>
        <v/>
      </c>
      <c r="J1183" s="82" t="n"/>
      <c r="K1183" s="82" t="n"/>
      <c r="L1183" s="82" t="n"/>
      <c r="M1183" s="83" t="n"/>
      <c r="N1183" s="83" t="n"/>
      <c r="O1183" s="66">
        <f>IF(OR($M1183="",$N1183=""),"",$N1183-$M1183)</f>
        <v/>
      </c>
      <c r="P1183" s="84">
        <f>IF($J1183="","",IF($L1183&lt;&gt;"",$L1183-$J1183,TODAY()-$J1183))</f>
        <v/>
      </c>
      <c r="Q1183" s="85">
        <f>IF(OR($K1183="",$H1183="Completed",$H1183="Cancelled"),"",IF(AND($K1183&lt;TODAY(),$H1183&lt;&gt;"Completed",$H1183&lt;&gt;"Cancelled"),"Overdue","On Track"))</f>
        <v/>
      </c>
      <c r="R1183" s="81" t="n"/>
      <c r="S1183" s="81">
        <f>IF($B1183="","",IFERROR(INDEX(Task_Tracker!$AA$5:$AA$1004,MATCH($B1183,Task_Tracker!$A$5:$A$1004,0)),""))</f>
        <v/>
      </c>
      <c r="T1183" s="81">
        <f>IF($B1183="","",IFERROR(INDEX(Task_Tracker!$AB$5:$AB$1004,MATCH($B1183,Task_Tracker!$A$5:$A$1004,0)),""))</f>
        <v/>
      </c>
      <c r="U1183" s="78">
        <f>IF($B1183="","",IFERROR(INDEX(Task_Tracker!$F$5:$F$1004,MATCH($B1183,Task_Tracker!$A$5:$A$1004,0)),""))</f>
        <v/>
      </c>
      <c r="V1183" s="78">
        <f>IF($B1183="","",IFERROR(INDEX(Task_Tracker!$I$5:$I$1004,MATCH($B1183,Task_Tracker!$A$5:$A$1004,0)),""))</f>
        <v/>
      </c>
      <c r="W1183" s="81">
        <f>IF(OR($D1183="",$B1183=""),"",$D1183&amp;" | "&amp;$B1183)</f>
        <v/>
      </c>
      <c r="X1183" s="85">
        <f>IF($K1183="","",TEXT($K1183,"yyyy-mm"))</f>
        <v/>
      </c>
      <c r="Y1183" s="81">
        <f>IF(OR($A1183="",$T1183=""),"","Included in Manager_Report")</f>
        <v/>
      </c>
    </row>
    <row r="1184" ht="15" customHeight="1" s="40">
      <c r="A1184" s="65">
        <f>IF(COUNTA(B1184:G1184)=0,"","STP-"&amp;TEXT(ROW()-4,"0000"))</f>
        <v/>
      </c>
      <c r="B1184" s="78" t="n"/>
      <c r="C1184" s="67">
        <f>IF($B1184="","",IFERROR(INDEX(Task_Tracker!$D$5:$D$1004,MATCH($B1184,Task_Tracker!$A$5:$A$1004,0)),""))</f>
        <v/>
      </c>
      <c r="D1184" s="67">
        <f>IF($B1184="","",IFERROR(INDEX(Task_Tracker!$B$5:$B$1004,MATCH($B1184,Task_Tracker!$A$5:$A$1004,0)),""))</f>
        <v/>
      </c>
      <c r="E1184" s="81" t="n"/>
      <c r="F1184" s="81" t="n"/>
      <c r="G1184" s="78" t="n"/>
      <c r="H1184" s="78" t="n"/>
      <c r="I1184" s="67">
        <f>IF($H1184="","",IFERROR(INDEX(Action_Status_Map!$B$5:$B$11,MATCH($H1184,Action_Status_Map!$A$5:$A$11,0)),""))</f>
        <v/>
      </c>
      <c r="J1184" s="82" t="n"/>
      <c r="K1184" s="82" t="n"/>
      <c r="L1184" s="82" t="n"/>
      <c r="M1184" s="83" t="n"/>
      <c r="N1184" s="83" t="n"/>
      <c r="O1184" s="66">
        <f>IF(OR($M1184="",$N1184=""),"",$N1184-$M1184)</f>
        <v/>
      </c>
      <c r="P1184" s="84">
        <f>IF($J1184="","",IF($L1184&lt;&gt;"",$L1184-$J1184,TODAY()-$J1184))</f>
        <v/>
      </c>
      <c r="Q1184" s="85">
        <f>IF(OR($K1184="",$H1184="Completed",$H1184="Cancelled"),"",IF(AND($K1184&lt;TODAY(),$H1184&lt;&gt;"Completed",$H1184&lt;&gt;"Cancelled"),"Overdue","On Track"))</f>
        <v/>
      </c>
      <c r="R1184" s="81" t="n"/>
      <c r="S1184" s="81">
        <f>IF($B1184="","",IFERROR(INDEX(Task_Tracker!$AA$5:$AA$1004,MATCH($B1184,Task_Tracker!$A$5:$A$1004,0)),""))</f>
        <v/>
      </c>
      <c r="T1184" s="81">
        <f>IF($B1184="","",IFERROR(INDEX(Task_Tracker!$AB$5:$AB$1004,MATCH($B1184,Task_Tracker!$A$5:$A$1004,0)),""))</f>
        <v/>
      </c>
      <c r="U1184" s="78">
        <f>IF($B1184="","",IFERROR(INDEX(Task_Tracker!$F$5:$F$1004,MATCH($B1184,Task_Tracker!$A$5:$A$1004,0)),""))</f>
        <v/>
      </c>
      <c r="V1184" s="78">
        <f>IF($B1184="","",IFERROR(INDEX(Task_Tracker!$I$5:$I$1004,MATCH($B1184,Task_Tracker!$A$5:$A$1004,0)),""))</f>
        <v/>
      </c>
      <c r="W1184" s="81">
        <f>IF(OR($D1184="",$B1184=""),"",$D1184&amp;" | "&amp;$B1184)</f>
        <v/>
      </c>
      <c r="X1184" s="85">
        <f>IF($K1184="","",TEXT($K1184,"yyyy-mm"))</f>
        <v/>
      </c>
      <c r="Y1184" s="81">
        <f>IF(OR($A1184="",$T1184=""),"","Included in Manager_Report")</f>
        <v/>
      </c>
    </row>
    <row r="1185" ht="15" customHeight="1" s="40">
      <c r="A1185" s="65">
        <f>IF(COUNTA(B1185:G1185)=0,"","STP-"&amp;TEXT(ROW()-4,"0000"))</f>
        <v/>
      </c>
      <c r="B1185" s="78" t="n"/>
      <c r="C1185" s="67">
        <f>IF($B1185="","",IFERROR(INDEX(Task_Tracker!$D$5:$D$1004,MATCH($B1185,Task_Tracker!$A$5:$A$1004,0)),""))</f>
        <v/>
      </c>
      <c r="D1185" s="67">
        <f>IF($B1185="","",IFERROR(INDEX(Task_Tracker!$B$5:$B$1004,MATCH($B1185,Task_Tracker!$A$5:$A$1004,0)),""))</f>
        <v/>
      </c>
      <c r="E1185" s="81" t="n"/>
      <c r="F1185" s="81" t="n"/>
      <c r="G1185" s="78" t="n"/>
      <c r="H1185" s="78" t="n"/>
      <c r="I1185" s="67">
        <f>IF($H1185="","",IFERROR(INDEX(Action_Status_Map!$B$5:$B$11,MATCH($H1185,Action_Status_Map!$A$5:$A$11,0)),""))</f>
        <v/>
      </c>
      <c r="J1185" s="82" t="n"/>
      <c r="K1185" s="82" t="n"/>
      <c r="L1185" s="82" t="n"/>
      <c r="M1185" s="83" t="n"/>
      <c r="N1185" s="83" t="n"/>
      <c r="O1185" s="66">
        <f>IF(OR($M1185="",$N1185=""),"",$N1185-$M1185)</f>
        <v/>
      </c>
      <c r="P1185" s="84">
        <f>IF($J1185="","",IF($L1185&lt;&gt;"",$L1185-$J1185,TODAY()-$J1185))</f>
        <v/>
      </c>
      <c r="Q1185" s="85">
        <f>IF(OR($K1185="",$H1185="Completed",$H1185="Cancelled"),"",IF(AND($K1185&lt;TODAY(),$H1185&lt;&gt;"Completed",$H1185&lt;&gt;"Cancelled"),"Overdue","On Track"))</f>
        <v/>
      </c>
      <c r="R1185" s="81" t="n"/>
      <c r="S1185" s="81">
        <f>IF($B1185="","",IFERROR(INDEX(Task_Tracker!$AA$5:$AA$1004,MATCH($B1185,Task_Tracker!$A$5:$A$1004,0)),""))</f>
        <v/>
      </c>
      <c r="T1185" s="81">
        <f>IF($B1185="","",IFERROR(INDEX(Task_Tracker!$AB$5:$AB$1004,MATCH($B1185,Task_Tracker!$A$5:$A$1004,0)),""))</f>
        <v/>
      </c>
      <c r="U1185" s="78">
        <f>IF($B1185="","",IFERROR(INDEX(Task_Tracker!$F$5:$F$1004,MATCH($B1185,Task_Tracker!$A$5:$A$1004,0)),""))</f>
        <v/>
      </c>
      <c r="V1185" s="78">
        <f>IF($B1185="","",IFERROR(INDEX(Task_Tracker!$I$5:$I$1004,MATCH($B1185,Task_Tracker!$A$5:$A$1004,0)),""))</f>
        <v/>
      </c>
      <c r="W1185" s="81">
        <f>IF(OR($D1185="",$B1185=""),"",$D1185&amp;" | "&amp;$B1185)</f>
        <v/>
      </c>
      <c r="X1185" s="85">
        <f>IF($K1185="","",TEXT($K1185,"yyyy-mm"))</f>
        <v/>
      </c>
      <c r="Y1185" s="81">
        <f>IF(OR($A1185="",$T1185=""),"","Included in Manager_Report")</f>
        <v/>
      </c>
    </row>
    <row r="1186" ht="15" customHeight="1" s="40">
      <c r="A1186" s="65">
        <f>IF(COUNTA(B1186:G1186)=0,"","STP-"&amp;TEXT(ROW()-4,"0000"))</f>
        <v/>
      </c>
      <c r="B1186" s="78" t="n"/>
      <c r="C1186" s="67">
        <f>IF($B1186="","",IFERROR(INDEX(Task_Tracker!$D$5:$D$1004,MATCH($B1186,Task_Tracker!$A$5:$A$1004,0)),""))</f>
        <v/>
      </c>
      <c r="D1186" s="67">
        <f>IF($B1186="","",IFERROR(INDEX(Task_Tracker!$B$5:$B$1004,MATCH($B1186,Task_Tracker!$A$5:$A$1004,0)),""))</f>
        <v/>
      </c>
      <c r="E1186" s="81" t="n"/>
      <c r="F1186" s="81" t="n"/>
      <c r="G1186" s="78" t="n"/>
      <c r="H1186" s="78" t="n"/>
      <c r="I1186" s="67">
        <f>IF($H1186="","",IFERROR(INDEX(Action_Status_Map!$B$5:$B$11,MATCH($H1186,Action_Status_Map!$A$5:$A$11,0)),""))</f>
        <v/>
      </c>
      <c r="J1186" s="82" t="n"/>
      <c r="K1186" s="82" t="n"/>
      <c r="L1186" s="82" t="n"/>
      <c r="M1186" s="83" t="n"/>
      <c r="N1186" s="83" t="n"/>
      <c r="O1186" s="66">
        <f>IF(OR($M1186="",$N1186=""),"",$N1186-$M1186)</f>
        <v/>
      </c>
      <c r="P1186" s="84">
        <f>IF($J1186="","",IF($L1186&lt;&gt;"",$L1186-$J1186,TODAY()-$J1186))</f>
        <v/>
      </c>
      <c r="Q1186" s="85">
        <f>IF(OR($K1186="",$H1186="Completed",$H1186="Cancelled"),"",IF(AND($K1186&lt;TODAY(),$H1186&lt;&gt;"Completed",$H1186&lt;&gt;"Cancelled"),"Overdue","On Track"))</f>
        <v/>
      </c>
      <c r="R1186" s="81" t="n"/>
      <c r="S1186" s="81">
        <f>IF($B1186="","",IFERROR(INDEX(Task_Tracker!$AA$5:$AA$1004,MATCH($B1186,Task_Tracker!$A$5:$A$1004,0)),""))</f>
        <v/>
      </c>
      <c r="T1186" s="81">
        <f>IF($B1186="","",IFERROR(INDEX(Task_Tracker!$AB$5:$AB$1004,MATCH($B1186,Task_Tracker!$A$5:$A$1004,0)),""))</f>
        <v/>
      </c>
      <c r="U1186" s="78">
        <f>IF($B1186="","",IFERROR(INDEX(Task_Tracker!$F$5:$F$1004,MATCH($B1186,Task_Tracker!$A$5:$A$1004,0)),""))</f>
        <v/>
      </c>
      <c r="V1186" s="78">
        <f>IF($B1186="","",IFERROR(INDEX(Task_Tracker!$I$5:$I$1004,MATCH($B1186,Task_Tracker!$A$5:$A$1004,0)),""))</f>
        <v/>
      </c>
      <c r="W1186" s="81">
        <f>IF(OR($D1186="",$B1186=""),"",$D1186&amp;" | "&amp;$B1186)</f>
        <v/>
      </c>
      <c r="X1186" s="85">
        <f>IF($K1186="","",TEXT($K1186,"yyyy-mm"))</f>
        <v/>
      </c>
      <c r="Y1186" s="81">
        <f>IF(OR($A1186="",$T1186=""),"","Included in Manager_Report")</f>
        <v/>
      </c>
    </row>
    <row r="1187" ht="15" customHeight="1" s="40">
      <c r="A1187" s="65">
        <f>IF(COUNTA(B1187:G1187)=0,"","STP-"&amp;TEXT(ROW()-4,"0000"))</f>
        <v/>
      </c>
      <c r="B1187" s="78" t="n"/>
      <c r="C1187" s="67">
        <f>IF($B1187="","",IFERROR(INDEX(Task_Tracker!$D$5:$D$1004,MATCH($B1187,Task_Tracker!$A$5:$A$1004,0)),""))</f>
        <v/>
      </c>
      <c r="D1187" s="67">
        <f>IF($B1187="","",IFERROR(INDEX(Task_Tracker!$B$5:$B$1004,MATCH($B1187,Task_Tracker!$A$5:$A$1004,0)),""))</f>
        <v/>
      </c>
      <c r="E1187" s="81" t="n"/>
      <c r="F1187" s="81" t="n"/>
      <c r="G1187" s="78" t="n"/>
      <c r="H1187" s="78" t="n"/>
      <c r="I1187" s="67">
        <f>IF($H1187="","",IFERROR(INDEX(Action_Status_Map!$B$5:$B$11,MATCH($H1187,Action_Status_Map!$A$5:$A$11,0)),""))</f>
        <v/>
      </c>
      <c r="J1187" s="82" t="n"/>
      <c r="K1187" s="82" t="n"/>
      <c r="L1187" s="82" t="n"/>
      <c r="M1187" s="83" t="n"/>
      <c r="N1187" s="83" t="n"/>
      <c r="O1187" s="66">
        <f>IF(OR($M1187="",$N1187=""),"",$N1187-$M1187)</f>
        <v/>
      </c>
      <c r="P1187" s="84">
        <f>IF($J1187="","",IF($L1187&lt;&gt;"",$L1187-$J1187,TODAY()-$J1187))</f>
        <v/>
      </c>
      <c r="Q1187" s="85">
        <f>IF(OR($K1187="",$H1187="Completed",$H1187="Cancelled"),"",IF(AND($K1187&lt;TODAY(),$H1187&lt;&gt;"Completed",$H1187&lt;&gt;"Cancelled"),"Overdue","On Track"))</f>
        <v/>
      </c>
      <c r="R1187" s="81" t="n"/>
      <c r="S1187" s="81">
        <f>IF($B1187="","",IFERROR(INDEX(Task_Tracker!$AA$5:$AA$1004,MATCH($B1187,Task_Tracker!$A$5:$A$1004,0)),""))</f>
        <v/>
      </c>
      <c r="T1187" s="81">
        <f>IF($B1187="","",IFERROR(INDEX(Task_Tracker!$AB$5:$AB$1004,MATCH($B1187,Task_Tracker!$A$5:$A$1004,0)),""))</f>
        <v/>
      </c>
      <c r="U1187" s="78">
        <f>IF($B1187="","",IFERROR(INDEX(Task_Tracker!$F$5:$F$1004,MATCH($B1187,Task_Tracker!$A$5:$A$1004,0)),""))</f>
        <v/>
      </c>
      <c r="V1187" s="78">
        <f>IF($B1187="","",IFERROR(INDEX(Task_Tracker!$I$5:$I$1004,MATCH($B1187,Task_Tracker!$A$5:$A$1004,0)),""))</f>
        <v/>
      </c>
      <c r="W1187" s="81">
        <f>IF(OR($D1187="",$B1187=""),"",$D1187&amp;" | "&amp;$B1187)</f>
        <v/>
      </c>
      <c r="X1187" s="85">
        <f>IF($K1187="","",TEXT($K1187,"yyyy-mm"))</f>
        <v/>
      </c>
      <c r="Y1187" s="81">
        <f>IF(OR($A1187="",$T1187=""),"","Included in Manager_Report")</f>
        <v/>
      </c>
    </row>
    <row r="1188" ht="15" customHeight="1" s="40">
      <c r="A1188" s="65">
        <f>IF(COUNTA(B1188:G1188)=0,"","STP-"&amp;TEXT(ROW()-4,"0000"))</f>
        <v/>
      </c>
      <c r="B1188" s="78" t="n"/>
      <c r="C1188" s="67">
        <f>IF($B1188="","",IFERROR(INDEX(Task_Tracker!$D$5:$D$1004,MATCH($B1188,Task_Tracker!$A$5:$A$1004,0)),""))</f>
        <v/>
      </c>
      <c r="D1188" s="67">
        <f>IF($B1188="","",IFERROR(INDEX(Task_Tracker!$B$5:$B$1004,MATCH($B1188,Task_Tracker!$A$5:$A$1004,0)),""))</f>
        <v/>
      </c>
      <c r="E1188" s="81" t="n"/>
      <c r="F1188" s="81" t="n"/>
      <c r="G1188" s="78" t="n"/>
      <c r="H1188" s="78" t="n"/>
      <c r="I1188" s="67">
        <f>IF($H1188="","",IFERROR(INDEX(Action_Status_Map!$B$5:$B$11,MATCH($H1188,Action_Status_Map!$A$5:$A$11,0)),""))</f>
        <v/>
      </c>
      <c r="J1188" s="82" t="n"/>
      <c r="K1188" s="82" t="n"/>
      <c r="L1188" s="82" t="n"/>
      <c r="M1188" s="83" t="n"/>
      <c r="N1188" s="83" t="n"/>
      <c r="O1188" s="66">
        <f>IF(OR($M1188="",$N1188=""),"",$N1188-$M1188)</f>
        <v/>
      </c>
      <c r="P1188" s="84">
        <f>IF($J1188="","",IF($L1188&lt;&gt;"",$L1188-$J1188,TODAY()-$J1188))</f>
        <v/>
      </c>
      <c r="Q1188" s="85">
        <f>IF(OR($K1188="",$H1188="Completed",$H1188="Cancelled"),"",IF(AND($K1188&lt;TODAY(),$H1188&lt;&gt;"Completed",$H1188&lt;&gt;"Cancelled"),"Overdue","On Track"))</f>
        <v/>
      </c>
      <c r="R1188" s="81" t="n"/>
      <c r="S1188" s="81">
        <f>IF($B1188="","",IFERROR(INDEX(Task_Tracker!$AA$5:$AA$1004,MATCH($B1188,Task_Tracker!$A$5:$A$1004,0)),""))</f>
        <v/>
      </c>
      <c r="T1188" s="81">
        <f>IF($B1188="","",IFERROR(INDEX(Task_Tracker!$AB$5:$AB$1004,MATCH($B1188,Task_Tracker!$A$5:$A$1004,0)),""))</f>
        <v/>
      </c>
      <c r="U1188" s="78">
        <f>IF($B1188="","",IFERROR(INDEX(Task_Tracker!$F$5:$F$1004,MATCH($B1188,Task_Tracker!$A$5:$A$1004,0)),""))</f>
        <v/>
      </c>
      <c r="V1188" s="78">
        <f>IF($B1188="","",IFERROR(INDEX(Task_Tracker!$I$5:$I$1004,MATCH($B1188,Task_Tracker!$A$5:$A$1004,0)),""))</f>
        <v/>
      </c>
      <c r="W1188" s="81">
        <f>IF(OR($D1188="",$B1188=""),"",$D1188&amp;" | "&amp;$B1188)</f>
        <v/>
      </c>
      <c r="X1188" s="85">
        <f>IF($K1188="","",TEXT($K1188,"yyyy-mm"))</f>
        <v/>
      </c>
      <c r="Y1188" s="81">
        <f>IF(OR($A1188="",$T1188=""),"","Included in Manager_Report")</f>
        <v/>
      </c>
    </row>
    <row r="1189" ht="15" customHeight="1" s="40">
      <c r="A1189" s="65">
        <f>IF(COUNTA(B1189:G1189)=0,"","STP-"&amp;TEXT(ROW()-4,"0000"))</f>
        <v/>
      </c>
      <c r="B1189" s="78" t="n"/>
      <c r="C1189" s="67">
        <f>IF($B1189="","",IFERROR(INDEX(Task_Tracker!$D$5:$D$1004,MATCH($B1189,Task_Tracker!$A$5:$A$1004,0)),""))</f>
        <v/>
      </c>
      <c r="D1189" s="67">
        <f>IF($B1189="","",IFERROR(INDEX(Task_Tracker!$B$5:$B$1004,MATCH($B1189,Task_Tracker!$A$5:$A$1004,0)),""))</f>
        <v/>
      </c>
      <c r="E1189" s="81" t="n"/>
      <c r="F1189" s="81" t="n"/>
      <c r="G1189" s="78" t="n"/>
      <c r="H1189" s="78" t="n"/>
      <c r="I1189" s="67">
        <f>IF($H1189="","",IFERROR(INDEX(Action_Status_Map!$B$5:$B$11,MATCH($H1189,Action_Status_Map!$A$5:$A$11,0)),""))</f>
        <v/>
      </c>
      <c r="J1189" s="82" t="n"/>
      <c r="K1189" s="82" t="n"/>
      <c r="L1189" s="82" t="n"/>
      <c r="M1189" s="83" t="n"/>
      <c r="N1189" s="83" t="n"/>
      <c r="O1189" s="66">
        <f>IF(OR($M1189="",$N1189=""),"",$N1189-$M1189)</f>
        <v/>
      </c>
      <c r="P1189" s="84">
        <f>IF($J1189="","",IF($L1189&lt;&gt;"",$L1189-$J1189,TODAY()-$J1189))</f>
        <v/>
      </c>
      <c r="Q1189" s="85">
        <f>IF(OR($K1189="",$H1189="Completed",$H1189="Cancelled"),"",IF(AND($K1189&lt;TODAY(),$H1189&lt;&gt;"Completed",$H1189&lt;&gt;"Cancelled"),"Overdue","On Track"))</f>
        <v/>
      </c>
      <c r="R1189" s="81" t="n"/>
      <c r="S1189" s="81">
        <f>IF($B1189="","",IFERROR(INDEX(Task_Tracker!$AA$5:$AA$1004,MATCH($B1189,Task_Tracker!$A$5:$A$1004,0)),""))</f>
        <v/>
      </c>
      <c r="T1189" s="81">
        <f>IF($B1189="","",IFERROR(INDEX(Task_Tracker!$AB$5:$AB$1004,MATCH($B1189,Task_Tracker!$A$5:$A$1004,0)),""))</f>
        <v/>
      </c>
      <c r="U1189" s="78">
        <f>IF($B1189="","",IFERROR(INDEX(Task_Tracker!$F$5:$F$1004,MATCH($B1189,Task_Tracker!$A$5:$A$1004,0)),""))</f>
        <v/>
      </c>
      <c r="V1189" s="78">
        <f>IF($B1189="","",IFERROR(INDEX(Task_Tracker!$I$5:$I$1004,MATCH($B1189,Task_Tracker!$A$5:$A$1004,0)),""))</f>
        <v/>
      </c>
      <c r="W1189" s="81">
        <f>IF(OR($D1189="",$B1189=""),"",$D1189&amp;" | "&amp;$B1189)</f>
        <v/>
      </c>
      <c r="X1189" s="85">
        <f>IF($K1189="","",TEXT($K1189,"yyyy-mm"))</f>
        <v/>
      </c>
      <c r="Y1189" s="81">
        <f>IF(OR($A1189="",$T1189=""),"","Included in Manager_Report")</f>
        <v/>
      </c>
    </row>
    <row r="1190" ht="15" customHeight="1" s="40">
      <c r="A1190" s="65">
        <f>IF(COUNTA(B1190:G1190)=0,"","STP-"&amp;TEXT(ROW()-4,"0000"))</f>
        <v/>
      </c>
      <c r="B1190" s="78" t="n"/>
      <c r="C1190" s="67">
        <f>IF($B1190="","",IFERROR(INDEX(Task_Tracker!$D$5:$D$1004,MATCH($B1190,Task_Tracker!$A$5:$A$1004,0)),""))</f>
        <v/>
      </c>
      <c r="D1190" s="67">
        <f>IF($B1190="","",IFERROR(INDEX(Task_Tracker!$B$5:$B$1004,MATCH($B1190,Task_Tracker!$A$5:$A$1004,0)),""))</f>
        <v/>
      </c>
      <c r="E1190" s="81" t="n"/>
      <c r="F1190" s="81" t="n"/>
      <c r="G1190" s="78" t="n"/>
      <c r="H1190" s="78" t="n"/>
      <c r="I1190" s="67">
        <f>IF($H1190="","",IFERROR(INDEX(Action_Status_Map!$B$5:$B$11,MATCH($H1190,Action_Status_Map!$A$5:$A$11,0)),""))</f>
        <v/>
      </c>
      <c r="J1190" s="82" t="n"/>
      <c r="K1190" s="82" t="n"/>
      <c r="L1190" s="82" t="n"/>
      <c r="M1190" s="83" t="n"/>
      <c r="N1190" s="83" t="n"/>
      <c r="O1190" s="66">
        <f>IF(OR($M1190="",$N1190=""),"",$N1190-$M1190)</f>
        <v/>
      </c>
      <c r="P1190" s="84">
        <f>IF($J1190="","",IF($L1190&lt;&gt;"",$L1190-$J1190,TODAY()-$J1190))</f>
        <v/>
      </c>
      <c r="Q1190" s="85">
        <f>IF(OR($K1190="",$H1190="Completed",$H1190="Cancelled"),"",IF(AND($K1190&lt;TODAY(),$H1190&lt;&gt;"Completed",$H1190&lt;&gt;"Cancelled"),"Overdue","On Track"))</f>
        <v/>
      </c>
      <c r="R1190" s="81" t="n"/>
      <c r="S1190" s="81">
        <f>IF($B1190="","",IFERROR(INDEX(Task_Tracker!$AA$5:$AA$1004,MATCH($B1190,Task_Tracker!$A$5:$A$1004,0)),""))</f>
        <v/>
      </c>
      <c r="T1190" s="81">
        <f>IF($B1190="","",IFERROR(INDEX(Task_Tracker!$AB$5:$AB$1004,MATCH($B1190,Task_Tracker!$A$5:$A$1004,0)),""))</f>
        <v/>
      </c>
      <c r="U1190" s="78">
        <f>IF($B1190="","",IFERROR(INDEX(Task_Tracker!$F$5:$F$1004,MATCH($B1190,Task_Tracker!$A$5:$A$1004,0)),""))</f>
        <v/>
      </c>
      <c r="V1190" s="78">
        <f>IF($B1190="","",IFERROR(INDEX(Task_Tracker!$I$5:$I$1004,MATCH($B1190,Task_Tracker!$A$5:$A$1004,0)),""))</f>
        <v/>
      </c>
      <c r="W1190" s="81">
        <f>IF(OR($D1190="",$B1190=""),"",$D1190&amp;" | "&amp;$B1190)</f>
        <v/>
      </c>
      <c r="X1190" s="85">
        <f>IF($K1190="","",TEXT($K1190,"yyyy-mm"))</f>
        <v/>
      </c>
      <c r="Y1190" s="81">
        <f>IF(OR($A1190="",$T1190=""),"","Included in Manager_Report")</f>
        <v/>
      </c>
    </row>
    <row r="1191" ht="15" customHeight="1" s="40">
      <c r="A1191" s="65">
        <f>IF(COUNTA(B1191:G1191)=0,"","STP-"&amp;TEXT(ROW()-4,"0000"))</f>
        <v/>
      </c>
      <c r="B1191" s="78" t="n"/>
      <c r="C1191" s="67">
        <f>IF($B1191="","",IFERROR(INDEX(Task_Tracker!$D$5:$D$1004,MATCH($B1191,Task_Tracker!$A$5:$A$1004,0)),""))</f>
        <v/>
      </c>
      <c r="D1191" s="67">
        <f>IF($B1191="","",IFERROR(INDEX(Task_Tracker!$B$5:$B$1004,MATCH($B1191,Task_Tracker!$A$5:$A$1004,0)),""))</f>
        <v/>
      </c>
      <c r="E1191" s="81" t="n"/>
      <c r="F1191" s="81" t="n"/>
      <c r="G1191" s="78" t="n"/>
      <c r="H1191" s="78" t="n"/>
      <c r="I1191" s="67">
        <f>IF($H1191="","",IFERROR(INDEX(Action_Status_Map!$B$5:$B$11,MATCH($H1191,Action_Status_Map!$A$5:$A$11,0)),""))</f>
        <v/>
      </c>
      <c r="J1191" s="82" t="n"/>
      <c r="K1191" s="82" t="n"/>
      <c r="L1191" s="82" t="n"/>
      <c r="M1191" s="83" t="n"/>
      <c r="N1191" s="83" t="n"/>
      <c r="O1191" s="66">
        <f>IF(OR($M1191="",$N1191=""),"",$N1191-$M1191)</f>
        <v/>
      </c>
      <c r="P1191" s="84">
        <f>IF($J1191="","",IF($L1191&lt;&gt;"",$L1191-$J1191,TODAY()-$J1191))</f>
        <v/>
      </c>
      <c r="Q1191" s="85">
        <f>IF(OR($K1191="",$H1191="Completed",$H1191="Cancelled"),"",IF(AND($K1191&lt;TODAY(),$H1191&lt;&gt;"Completed",$H1191&lt;&gt;"Cancelled"),"Overdue","On Track"))</f>
        <v/>
      </c>
      <c r="R1191" s="81" t="n"/>
      <c r="S1191" s="81">
        <f>IF($B1191="","",IFERROR(INDEX(Task_Tracker!$AA$5:$AA$1004,MATCH($B1191,Task_Tracker!$A$5:$A$1004,0)),""))</f>
        <v/>
      </c>
      <c r="T1191" s="81">
        <f>IF($B1191="","",IFERROR(INDEX(Task_Tracker!$AB$5:$AB$1004,MATCH($B1191,Task_Tracker!$A$5:$A$1004,0)),""))</f>
        <v/>
      </c>
      <c r="U1191" s="78">
        <f>IF($B1191="","",IFERROR(INDEX(Task_Tracker!$F$5:$F$1004,MATCH($B1191,Task_Tracker!$A$5:$A$1004,0)),""))</f>
        <v/>
      </c>
      <c r="V1191" s="78">
        <f>IF($B1191="","",IFERROR(INDEX(Task_Tracker!$I$5:$I$1004,MATCH($B1191,Task_Tracker!$A$5:$A$1004,0)),""))</f>
        <v/>
      </c>
      <c r="W1191" s="81">
        <f>IF(OR($D1191="",$B1191=""),"",$D1191&amp;" | "&amp;$B1191)</f>
        <v/>
      </c>
      <c r="X1191" s="85">
        <f>IF($K1191="","",TEXT($K1191,"yyyy-mm"))</f>
        <v/>
      </c>
      <c r="Y1191" s="81">
        <f>IF(OR($A1191="",$T1191=""),"","Included in Manager_Report")</f>
        <v/>
      </c>
    </row>
    <row r="1192" ht="15" customHeight="1" s="40">
      <c r="A1192" s="65">
        <f>IF(COUNTA(B1192:G1192)=0,"","STP-"&amp;TEXT(ROW()-4,"0000"))</f>
        <v/>
      </c>
      <c r="B1192" s="78" t="n"/>
      <c r="C1192" s="67">
        <f>IF($B1192="","",IFERROR(INDEX(Task_Tracker!$D$5:$D$1004,MATCH($B1192,Task_Tracker!$A$5:$A$1004,0)),""))</f>
        <v/>
      </c>
      <c r="D1192" s="67">
        <f>IF($B1192="","",IFERROR(INDEX(Task_Tracker!$B$5:$B$1004,MATCH($B1192,Task_Tracker!$A$5:$A$1004,0)),""))</f>
        <v/>
      </c>
      <c r="E1192" s="81" t="n"/>
      <c r="F1192" s="81" t="n"/>
      <c r="G1192" s="78" t="n"/>
      <c r="H1192" s="78" t="n"/>
      <c r="I1192" s="67">
        <f>IF($H1192="","",IFERROR(INDEX(Action_Status_Map!$B$5:$B$11,MATCH($H1192,Action_Status_Map!$A$5:$A$11,0)),""))</f>
        <v/>
      </c>
      <c r="J1192" s="82" t="n"/>
      <c r="K1192" s="82" t="n"/>
      <c r="L1192" s="82" t="n"/>
      <c r="M1192" s="83" t="n"/>
      <c r="N1192" s="83" t="n"/>
      <c r="O1192" s="66">
        <f>IF(OR($M1192="",$N1192=""),"",$N1192-$M1192)</f>
        <v/>
      </c>
      <c r="P1192" s="84">
        <f>IF($J1192="","",IF($L1192&lt;&gt;"",$L1192-$J1192,TODAY()-$J1192))</f>
        <v/>
      </c>
      <c r="Q1192" s="85">
        <f>IF(OR($K1192="",$H1192="Completed",$H1192="Cancelled"),"",IF(AND($K1192&lt;TODAY(),$H1192&lt;&gt;"Completed",$H1192&lt;&gt;"Cancelled"),"Overdue","On Track"))</f>
        <v/>
      </c>
      <c r="R1192" s="81" t="n"/>
      <c r="S1192" s="81">
        <f>IF($B1192="","",IFERROR(INDEX(Task_Tracker!$AA$5:$AA$1004,MATCH($B1192,Task_Tracker!$A$5:$A$1004,0)),""))</f>
        <v/>
      </c>
      <c r="T1192" s="81">
        <f>IF($B1192="","",IFERROR(INDEX(Task_Tracker!$AB$5:$AB$1004,MATCH($B1192,Task_Tracker!$A$5:$A$1004,0)),""))</f>
        <v/>
      </c>
      <c r="U1192" s="78">
        <f>IF($B1192="","",IFERROR(INDEX(Task_Tracker!$F$5:$F$1004,MATCH($B1192,Task_Tracker!$A$5:$A$1004,0)),""))</f>
        <v/>
      </c>
      <c r="V1192" s="78">
        <f>IF($B1192="","",IFERROR(INDEX(Task_Tracker!$I$5:$I$1004,MATCH($B1192,Task_Tracker!$A$5:$A$1004,0)),""))</f>
        <v/>
      </c>
      <c r="W1192" s="81">
        <f>IF(OR($D1192="",$B1192=""),"",$D1192&amp;" | "&amp;$B1192)</f>
        <v/>
      </c>
      <c r="X1192" s="85">
        <f>IF($K1192="","",TEXT($K1192,"yyyy-mm"))</f>
        <v/>
      </c>
      <c r="Y1192" s="81">
        <f>IF(OR($A1192="",$T1192=""),"","Included in Manager_Report")</f>
        <v/>
      </c>
    </row>
    <row r="1193" ht="15" customHeight="1" s="40">
      <c r="A1193" s="65">
        <f>IF(COUNTA(B1193:G1193)=0,"","STP-"&amp;TEXT(ROW()-4,"0000"))</f>
        <v/>
      </c>
      <c r="B1193" s="78" t="n"/>
      <c r="C1193" s="67">
        <f>IF($B1193="","",IFERROR(INDEX(Task_Tracker!$D$5:$D$1004,MATCH($B1193,Task_Tracker!$A$5:$A$1004,0)),""))</f>
        <v/>
      </c>
      <c r="D1193" s="67">
        <f>IF($B1193="","",IFERROR(INDEX(Task_Tracker!$B$5:$B$1004,MATCH($B1193,Task_Tracker!$A$5:$A$1004,0)),""))</f>
        <v/>
      </c>
      <c r="E1193" s="81" t="n"/>
      <c r="F1193" s="81" t="n"/>
      <c r="G1193" s="78" t="n"/>
      <c r="H1193" s="78" t="n"/>
      <c r="I1193" s="67">
        <f>IF($H1193="","",IFERROR(INDEX(Action_Status_Map!$B$5:$B$11,MATCH($H1193,Action_Status_Map!$A$5:$A$11,0)),""))</f>
        <v/>
      </c>
      <c r="J1193" s="82" t="n"/>
      <c r="K1193" s="82" t="n"/>
      <c r="L1193" s="82" t="n"/>
      <c r="M1193" s="83" t="n"/>
      <c r="N1193" s="83" t="n"/>
      <c r="O1193" s="66">
        <f>IF(OR($M1193="",$N1193=""),"",$N1193-$M1193)</f>
        <v/>
      </c>
      <c r="P1193" s="84">
        <f>IF($J1193="","",IF($L1193&lt;&gt;"",$L1193-$J1193,TODAY()-$J1193))</f>
        <v/>
      </c>
      <c r="Q1193" s="85">
        <f>IF(OR($K1193="",$H1193="Completed",$H1193="Cancelled"),"",IF(AND($K1193&lt;TODAY(),$H1193&lt;&gt;"Completed",$H1193&lt;&gt;"Cancelled"),"Overdue","On Track"))</f>
        <v/>
      </c>
      <c r="R1193" s="81" t="n"/>
      <c r="S1193" s="81">
        <f>IF($B1193="","",IFERROR(INDEX(Task_Tracker!$AA$5:$AA$1004,MATCH($B1193,Task_Tracker!$A$5:$A$1004,0)),""))</f>
        <v/>
      </c>
      <c r="T1193" s="81">
        <f>IF($B1193="","",IFERROR(INDEX(Task_Tracker!$AB$5:$AB$1004,MATCH($B1193,Task_Tracker!$A$5:$A$1004,0)),""))</f>
        <v/>
      </c>
      <c r="U1193" s="78">
        <f>IF($B1193="","",IFERROR(INDEX(Task_Tracker!$F$5:$F$1004,MATCH($B1193,Task_Tracker!$A$5:$A$1004,0)),""))</f>
        <v/>
      </c>
      <c r="V1193" s="78">
        <f>IF($B1193="","",IFERROR(INDEX(Task_Tracker!$I$5:$I$1004,MATCH($B1193,Task_Tracker!$A$5:$A$1004,0)),""))</f>
        <v/>
      </c>
      <c r="W1193" s="81">
        <f>IF(OR($D1193="",$B1193=""),"",$D1193&amp;" | "&amp;$B1193)</f>
        <v/>
      </c>
      <c r="X1193" s="85">
        <f>IF($K1193="","",TEXT($K1193,"yyyy-mm"))</f>
        <v/>
      </c>
      <c r="Y1193" s="81">
        <f>IF(OR($A1193="",$T1193=""),"","Included in Manager_Report")</f>
        <v/>
      </c>
    </row>
    <row r="1194" ht="15" customHeight="1" s="40">
      <c r="A1194" s="65">
        <f>IF(COUNTA(B1194:G1194)=0,"","STP-"&amp;TEXT(ROW()-4,"0000"))</f>
        <v/>
      </c>
      <c r="B1194" s="78" t="n"/>
      <c r="C1194" s="67">
        <f>IF($B1194="","",IFERROR(INDEX(Task_Tracker!$D$5:$D$1004,MATCH($B1194,Task_Tracker!$A$5:$A$1004,0)),""))</f>
        <v/>
      </c>
      <c r="D1194" s="67">
        <f>IF($B1194="","",IFERROR(INDEX(Task_Tracker!$B$5:$B$1004,MATCH($B1194,Task_Tracker!$A$5:$A$1004,0)),""))</f>
        <v/>
      </c>
      <c r="E1194" s="81" t="n"/>
      <c r="F1194" s="81" t="n"/>
      <c r="G1194" s="78" t="n"/>
      <c r="H1194" s="78" t="n"/>
      <c r="I1194" s="67">
        <f>IF($H1194="","",IFERROR(INDEX(Action_Status_Map!$B$5:$B$11,MATCH($H1194,Action_Status_Map!$A$5:$A$11,0)),""))</f>
        <v/>
      </c>
      <c r="J1194" s="82" t="n"/>
      <c r="K1194" s="82" t="n"/>
      <c r="L1194" s="82" t="n"/>
      <c r="M1194" s="83" t="n"/>
      <c r="N1194" s="83" t="n"/>
      <c r="O1194" s="66">
        <f>IF(OR($M1194="",$N1194=""),"",$N1194-$M1194)</f>
        <v/>
      </c>
      <c r="P1194" s="84">
        <f>IF($J1194="","",IF($L1194&lt;&gt;"",$L1194-$J1194,TODAY()-$J1194))</f>
        <v/>
      </c>
      <c r="Q1194" s="85">
        <f>IF(OR($K1194="",$H1194="Completed",$H1194="Cancelled"),"",IF(AND($K1194&lt;TODAY(),$H1194&lt;&gt;"Completed",$H1194&lt;&gt;"Cancelled"),"Overdue","On Track"))</f>
        <v/>
      </c>
      <c r="R1194" s="81" t="n"/>
      <c r="S1194" s="81">
        <f>IF($B1194="","",IFERROR(INDEX(Task_Tracker!$AA$5:$AA$1004,MATCH($B1194,Task_Tracker!$A$5:$A$1004,0)),""))</f>
        <v/>
      </c>
      <c r="T1194" s="81">
        <f>IF($B1194="","",IFERROR(INDEX(Task_Tracker!$AB$5:$AB$1004,MATCH($B1194,Task_Tracker!$A$5:$A$1004,0)),""))</f>
        <v/>
      </c>
      <c r="U1194" s="78">
        <f>IF($B1194="","",IFERROR(INDEX(Task_Tracker!$F$5:$F$1004,MATCH($B1194,Task_Tracker!$A$5:$A$1004,0)),""))</f>
        <v/>
      </c>
      <c r="V1194" s="78">
        <f>IF($B1194="","",IFERROR(INDEX(Task_Tracker!$I$5:$I$1004,MATCH($B1194,Task_Tracker!$A$5:$A$1004,0)),""))</f>
        <v/>
      </c>
      <c r="W1194" s="81">
        <f>IF(OR($D1194="",$B1194=""),"",$D1194&amp;" | "&amp;$B1194)</f>
        <v/>
      </c>
      <c r="X1194" s="85">
        <f>IF($K1194="","",TEXT($K1194,"yyyy-mm"))</f>
        <v/>
      </c>
      <c r="Y1194" s="81">
        <f>IF(OR($A1194="",$T1194=""),"","Included in Manager_Report")</f>
        <v/>
      </c>
    </row>
    <row r="1195" ht="15" customHeight="1" s="40">
      <c r="A1195" s="65">
        <f>IF(COUNTA(B1195:G1195)=0,"","STP-"&amp;TEXT(ROW()-4,"0000"))</f>
        <v/>
      </c>
      <c r="B1195" s="78" t="n"/>
      <c r="C1195" s="67">
        <f>IF($B1195="","",IFERROR(INDEX(Task_Tracker!$D$5:$D$1004,MATCH($B1195,Task_Tracker!$A$5:$A$1004,0)),""))</f>
        <v/>
      </c>
      <c r="D1195" s="67">
        <f>IF($B1195="","",IFERROR(INDEX(Task_Tracker!$B$5:$B$1004,MATCH($B1195,Task_Tracker!$A$5:$A$1004,0)),""))</f>
        <v/>
      </c>
      <c r="E1195" s="81" t="n"/>
      <c r="F1195" s="81" t="n"/>
      <c r="G1195" s="78" t="n"/>
      <c r="H1195" s="78" t="n"/>
      <c r="I1195" s="67">
        <f>IF($H1195="","",IFERROR(INDEX(Action_Status_Map!$B$5:$B$11,MATCH($H1195,Action_Status_Map!$A$5:$A$11,0)),""))</f>
        <v/>
      </c>
      <c r="J1195" s="82" t="n"/>
      <c r="K1195" s="82" t="n"/>
      <c r="L1195" s="82" t="n"/>
      <c r="M1195" s="83" t="n"/>
      <c r="N1195" s="83" t="n"/>
      <c r="O1195" s="66">
        <f>IF(OR($M1195="",$N1195=""),"",$N1195-$M1195)</f>
        <v/>
      </c>
      <c r="P1195" s="84">
        <f>IF($J1195="","",IF($L1195&lt;&gt;"",$L1195-$J1195,TODAY()-$J1195))</f>
        <v/>
      </c>
      <c r="Q1195" s="85">
        <f>IF(OR($K1195="",$H1195="Completed",$H1195="Cancelled"),"",IF(AND($K1195&lt;TODAY(),$H1195&lt;&gt;"Completed",$H1195&lt;&gt;"Cancelled"),"Overdue","On Track"))</f>
        <v/>
      </c>
      <c r="R1195" s="81" t="n"/>
      <c r="S1195" s="81">
        <f>IF($B1195="","",IFERROR(INDEX(Task_Tracker!$AA$5:$AA$1004,MATCH($B1195,Task_Tracker!$A$5:$A$1004,0)),""))</f>
        <v/>
      </c>
      <c r="T1195" s="81">
        <f>IF($B1195="","",IFERROR(INDEX(Task_Tracker!$AB$5:$AB$1004,MATCH($B1195,Task_Tracker!$A$5:$A$1004,0)),""))</f>
        <v/>
      </c>
      <c r="U1195" s="78">
        <f>IF($B1195="","",IFERROR(INDEX(Task_Tracker!$F$5:$F$1004,MATCH($B1195,Task_Tracker!$A$5:$A$1004,0)),""))</f>
        <v/>
      </c>
      <c r="V1195" s="78">
        <f>IF($B1195="","",IFERROR(INDEX(Task_Tracker!$I$5:$I$1004,MATCH($B1195,Task_Tracker!$A$5:$A$1004,0)),""))</f>
        <v/>
      </c>
      <c r="W1195" s="81">
        <f>IF(OR($D1195="",$B1195=""),"",$D1195&amp;" | "&amp;$B1195)</f>
        <v/>
      </c>
      <c r="X1195" s="85">
        <f>IF($K1195="","",TEXT($K1195,"yyyy-mm"))</f>
        <v/>
      </c>
      <c r="Y1195" s="81">
        <f>IF(OR($A1195="",$T1195=""),"","Included in Manager_Report")</f>
        <v/>
      </c>
    </row>
    <row r="1196" ht="15" customHeight="1" s="40">
      <c r="A1196" s="65">
        <f>IF(COUNTA(B1196:G1196)=0,"","STP-"&amp;TEXT(ROW()-4,"0000"))</f>
        <v/>
      </c>
      <c r="B1196" s="78" t="n"/>
      <c r="C1196" s="67">
        <f>IF($B1196="","",IFERROR(INDEX(Task_Tracker!$D$5:$D$1004,MATCH($B1196,Task_Tracker!$A$5:$A$1004,0)),""))</f>
        <v/>
      </c>
      <c r="D1196" s="67">
        <f>IF($B1196="","",IFERROR(INDEX(Task_Tracker!$B$5:$B$1004,MATCH($B1196,Task_Tracker!$A$5:$A$1004,0)),""))</f>
        <v/>
      </c>
      <c r="E1196" s="81" t="n"/>
      <c r="F1196" s="81" t="n"/>
      <c r="G1196" s="78" t="n"/>
      <c r="H1196" s="78" t="n"/>
      <c r="I1196" s="67">
        <f>IF($H1196="","",IFERROR(INDEX(Action_Status_Map!$B$5:$B$11,MATCH($H1196,Action_Status_Map!$A$5:$A$11,0)),""))</f>
        <v/>
      </c>
      <c r="J1196" s="82" t="n"/>
      <c r="K1196" s="82" t="n"/>
      <c r="L1196" s="82" t="n"/>
      <c r="M1196" s="83" t="n"/>
      <c r="N1196" s="83" t="n"/>
      <c r="O1196" s="66">
        <f>IF(OR($M1196="",$N1196=""),"",$N1196-$M1196)</f>
        <v/>
      </c>
      <c r="P1196" s="84">
        <f>IF($J1196="","",IF($L1196&lt;&gt;"",$L1196-$J1196,TODAY()-$J1196))</f>
        <v/>
      </c>
      <c r="Q1196" s="85">
        <f>IF(OR($K1196="",$H1196="Completed",$H1196="Cancelled"),"",IF(AND($K1196&lt;TODAY(),$H1196&lt;&gt;"Completed",$H1196&lt;&gt;"Cancelled"),"Overdue","On Track"))</f>
        <v/>
      </c>
      <c r="R1196" s="81" t="n"/>
      <c r="S1196" s="81">
        <f>IF($B1196="","",IFERROR(INDEX(Task_Tracker!$AA$5:$AA$1004,MATCH($B1196,Task_Tracker!$A$5:$A$1004,0)),""))</f>
        <v/>
      </c>
      <c r="T1196" s="81">
        <f>IF($B1196="","",IFERROR(INDEX(Task_Tracker!$AB$5:$AB$1004,MATCH($B1196,Task_Tracker!$A$5:$A$1004,0)),""))</f>
        <v/>
      </c>
      <c r="U1196" s="78">
        <f>IF($B1196="","",IFERROR(INDEX(Task_Tracker!$F$5:$F$1004,MATCH($B1196,Task_Tracker!$A$5:$A$1004,0)),""))</f>
        <v/>
      </c>
      <c r="V1196" s="78">
        <f>IF($B1196="","",IFERROR(INDEX(Task_Tracker!$I$5:$I$1004,MATCH($B1196,Task_Tracker!$A$5:$A$1004,0)),""))</f>
        <v/>
      </c>
      <c r="W1196" s="81">
        <f>IF(OR($D1196="",$B1196=""),"",$D1196&amp;" | "&amp;$B1196)</f>
        <v/>
      </c>
      <c r="X1196" s="85">
        <f>IF($K1196="","",TEXT($K1196,"yyyy-mm"))</f>
        <v/>
      </c>
      <c r="Y1196" s="81">
        <f>IF(OR($A1196="",$T1196=""),"","Included in Manager_Report")</f>
        <v/>
      </c>
    </row>
    <row r="1197" ht="15" customHeight="1" s="40">
      <c r="A1197" s="65">
        <f>IF(COUNTA(B1197:G1197)=0,"","STP-"&amp;TEXT(ROW()-4,"0000"))</f>
        <v/>
      </c>
      <c r="B1197" s="78" t="n"/>
      <c r="C1197" s="67">
        <f>IF($B1197="","",IFERROR(INDEX(Task_Tracker!$D$5:$D$1004,MATCH($B1197,Task_Tracker!$A$5:$A$1004,0)),""))</f>
        <v/>
      </c>
      <c r="D1197" s="67">
        <f>IF($B1197="","",IFERROR(INDEX(Task_Tracker!$B$5:$B$1004,MATCH($B1197,Task_Tracker!$A$5:$A$1004,0)),""))</f>
        <v/>
      </c>
      <c r="E1197" s="81" t="n"/>
      <c r="F1197" s="81" t="n"/>
      <c r="G1197" s="78" t="n"/>
      <c r="H1197" s="78" t="n"/>
      <c r="I1197" s="67">
        <f>IF($H1197="","",IFERROR(INDEX(Action_Status_Map!$B$5:$B$11,MATCH($H1197,Action_Status_Map!$A$5:$A$11,0)),""))</f>
        <v/>
      </c>
      <c r="J1197" s="82" t="n"/>
      <c r="K1197" s="82" t="n"/>
      <c r="L1197" s="82" t="n"/>
      <c r="M1197" s="83" t="n"/>
      <c r="N1197" s="83" t="n"/>
      <c r="O1197" s="66">
        <f>IF(OR($M1197="",$N1197=""),"",$N1197-$M1197)</f>
        <v/>
      </c>
      <c r="P1197" s="84">
        <f>IF($J1197="","",IF($L1197&lt;&gt;"",$L1197-$J1197,TODAY()-$J1197))</f>
        <v/>
      </c>
      <c r="Q1197" s="85">
        <f>IF(OR($K1197="",$H1197="Completed",$H1197="Cancelled"),"",IF(AND($K1197&lt;TODAY(),$H1197&lt;&gt;"Completed",$H1197&lt;&gt;"Cancelled"),"Overdue","On Track"))</f>
        <v/>
      </c>
      <c r="R1197" s="81" t="n"/>
      <c r="S1197" s="81">
        <f>IF($B1197="","",IFERROR(INDEX(Task_Tracker!$AA$5:$AA$1004,MATCH($B1197,Task_Tracker!$A$5:$A$1004,0)),""))</f>
        <v/>
      </c>
      <c r="T1197" s="81">
        <f>IF($B1197="","",IFERROR(INDEX(Task_Tracker!$AB$5:$AB$1004,MATCH($B1197,Task_Tracker!$A$5:$A$1004,0)),""))</f>
        <v/>
      </c>
      <c r="U1197" s="78">
        <f>IF($B1197="","",IFERROR(INDEX(Task_Tracker!$F$5:$F$1004,MATCH($B1197,Task_Tracker!$A$5:$A$1004,0)),""))</f>
        <v/>
      </c>
      <c r="V1197" s="78">
        <f>IF($B1197="","",IFERROR(INDEX(Task_Tracker!$I$5:$I$1004,MATCH($B1197,Task_Tracker!$A$5:$A$1004,0)),""))</f>
        <v/>
      </c>
      <c r="W1197" s="81">
        <f>IF(OR($D1197="",$B1197=""),"",$D1197&amp;" | "&amp;$B1197)</f>
        <v/>
      </c>
      <c r="X1197" s="85">
        <f>IF($K1197="","",TEXT($K1197,"yyyy-mm"))</f>
        <v/>
      </c>
      <c r="Y1197" s="81">
        <f>IF(OR($A1197="",$T1197=""),"","Included in Manager_Report")</f>
        <v/>
      </c>
    </row>
    <row r="1198" ht="15" customHeight="1" s="40">
      <c r="A1198" s="65">
        <f>IF(COUNTA(B1198:G1198)=0,"","STP-"&amp;TEXT(ROW()-4,"0000"))</f>
        <v/>
      </c>
      <c r="B1198" s="78" t="n"/>
      <c r="C1198" s="67">
        <f>IF($B1198="","",IFERROR(INDEX(Task_Tracker!$D$5:$D$1004,MATCH($B1198,Task_Tracker!$A$5:$A$1004,0)),""))</f>
        <v/>
      </c>
      <c r="D1198" s="67">
        <f>IF($B1198="","",IFERROR(INDEX(Task_Tracker!$B$5:$B$1004,MATCH($B1198,Task_Tracker!$A$5:$A$1004,0)),""))</f>
        <v/>
      </c>
      <c r="E1198" s="81" t="n"/>
      <c r="F1198" s="81" t="n"/>
      <c r="G1198" s="78" t="n"/>
      <c r="H1198" s="78" t="n"/>
      <c r="I1198" s="67">
        <f>IF($H1198="","",IFERROR(INDEX(Action_Status_Map!$B$5:$B$11,MATCH($H1198,Action_Status_Map!$A$5:$A$11,0)),""))</f>
        <v/>
      </c>
      <c r="J1198" s="82" t="n"/>
      <c r="K1198" s="82" t="n"/>
      <c r="L1198" s="82" t="n"/>
      <c r="M1198" s="83" t="n"/>
      <c r="N1198" s="83" t="n"/>
      <c r="O1198" s="66">
        <f>IF(OR($M1198="",$N1198=""),"",$N1198-$M1198)</f>
        <v/>
      </c>
      <c r="P1198" s="84">
        <f>IF($J1198="","",IF($L1198&lt;&gt;"",$L1198-$J1198,TODAY()-$J1198))</f>
        <v/>
      </c>
      <c r="Q1198" s="85">
        <f>IF(OR($K1198="",$H1198="Completed",$H1198="Cancelled"),"",IF(AND($K1198&lt;TODAY(),$H1198&lt;&gt;"Completed",$H1198&lt;&gt;"Cancelled"),"Overdue","On Track"))</f>
        <v/>
      </c>
      <c r="R1198" s="81" t="n"/>
      <c r="S1198" s="81">
        <f>IF($B1198="","",IFERROR(INDEX(Task_Tracker!$AA$5:$AA$1004,MATCH($B1198,Task_Tracker!$A$5:$A$1004,0)),""))</f>
        <v/>
      </c>
      <c r="T1198" s="81">
        <f>IF($B1198="","",IFERROR(INDEX(Task_Tracker!$AB$5:$AB$1004,MATCH($B1198,Task_Tracker!$A$5:$A$1004,0)),""))</f>
        <v/>
      </c>
      <c r="U1198" s="78">
        <f>IF($B1198="","",IFERROR(INDEX(Task_Tracker!$F$5:$F$1004,MATCH($B1198,Task_Tracker!$A$5:$A$1004,0)),""))</f>
        <v/>
      </c>
      <c r="V1198" s="78">
        <f>IF($B1198="","",IFERROR(INDEX(Task_Tracker!$I$5:$I$1004,MATCH($B1198,Task_Tracker!$A$5:$A$1004,0)),""))</f>
        <v/>
      </c>
      <c r="W1198" s="81">
        <f>IF(OR($D1198="",$B1198=""),"",$D1198&amp;" | "&amp;$B1198)</f>
        <v/>
      </c>
      <c r="X1198" s="85">
        <f>IF($K1198="","",TEXT($K1198,"yyyy-mm"))</f>
        <v/>
      </c>
      <c r="Y1198" s="81">
        <f>IF(OR($A1198="",$T1198=""),"","Included in Manager_Report")</f>
        <v/>
      </c>
    </row>
    <row r="1199" ht="15" customHeight="1" s="40">
      <c r="A1199" s="65">
        <f>IF(COUNTA(B1199:G1199)=0,"","STP-"&amp;TEXT(ROW()-4,"0000"))</f>
        <v/>
      </c>
      <c r="B1199" s="78" t="n"/>
      <c r="C1199" s="67">
        <f>IF($B1199="","",IFERROR(INDEX(Task_Tracker!$D$5:$D$1004,MATCH($B1199,Task_Tracker!$A$5:$A$1004,0)),""))</f>
        <v/>
      </c>
      <c r="D1199" s="67">
        <f>IF($B1199="","",IFERROR(INDEX(Task_Tracker!$B$5:$B$1004,MATCH($B1199,Task_Tracker!$A$5:$A$1004,0)),""))</f>
        <v/>
      </c>
      <c r="E1199" s="81" t="n"/>
      <c r="F1199" s="81" t="n"/>
      <c r="G1199" s="78" t="n"/>
      <c r="H1199" s="78" t="n"/>
      <c r="I1199" s="67">
        <f>IF($H1199="","",IFERROR(INDEX(Action_Status_Map!$B$5:$B$11,MATCH($H1199,Action_Status_Map!$A$5:$A$11,0)),""))</f>
        <v/>
      </c>
      <c r="J1199" s="82" t="n"/>
      <c r="K1199" s="82" t="n"/>
      <c r="L1199" s="82" t="n"/>
      <c r="M1199" s="83" t="n"/>
      <c r="N1199" s="83" t="n"/>
      <c r="O1199" s="66">
        <f>IF(OR($M1199="",$N1199=""),"",$N1199-$M1199)</f>
        <v/>
      </c>
      <c r="P1199" s="84">
        <f>IF($J1199="","",IF($L1199&lt;&gt;"",$L1199-$J1199,TODAY()-$J1199))</f>
        <v/>
      </c>
      <c r="Q1199" s="85">
        <f>IF(OR($K1199="",$H1199="Completed",$H1199="Cancelled"),"",IF(AND($K1199&lt;TODAY(),$H1199&lt;&gt;"Completed",$H1199&lt;&gt;"Cancelled"),"Overdue","On Track"))</f>
        <v/>
      </c>
      <c r="R1199" s="81" t="n"/>
      <c r="S1199" s="81">
        <f>IF($B1199="","",IFERROR(INDEX(Task_Tracker!$AA$5:$AA$1004,MATCH($B1199,Task_Tracker!$A$5:$A$1004,0)),""))</f>
        <v/>
      </c>
      <c r="T1199" s="81">
        <f>IF($B1199="","",IFERROR(INDEX(Task_Tracker!$AB$5:$AB$1004,MATCH($B1199,Task_Tracker!$A$5:$A$1004,0)),""))</f>
        <v/>
      </c>
      <c r="U1199" s="78">
        <f>IF($B1199="","",IFERROR(INDEX(Task_Tracker!$F$5:$F$1004,MATCH($B1199,Task_Tracker!$A$5:$A$1004,0)),""))</f>
        <v/>
      </c>
      <c r="V1199" s="78">
        <f>IF($B1199="","",IFERROR(INDEX(Task_Tracker!$I$5:$I$1004,MATCH($B1199,Task_Tracker!$A$5:$A$1004,0)),""))</f>
        <v/>
      </c>
      <c r="W1199" s="81">
        <f>IF(OR($D1199="",$B1199=""),"",$D1199&amp;" | "&amp;$B1199)</f>
        <v/>
      </c>
      <c r="X1199" s="85">
        <f>IF($K1199="","",TEXT($K1199,"yyyy-mm"))</f>
        <v/>
      </c>
      <c r="Y1199" s="81">
        <f>IF(OR($A1199="",$T1199=""),"","Included in Manager_Report")</f>
        <v/>
      </c>
    </row>
    <row r="1200" ht="15" customHeight="1" s="40">
      <c r="A1200" s="65">
        <f>IF(COUNTA(B1200:G1200)=0,"","STP-"&amp;TEXT(ROW()-4,"0000"))</f>
        <v/>
      </c>
      <c r="B1200" s="78" t="n"/>
      <c r="C1200" s="67">
        <f>IF($B1200="","",IFERROR(INDEX(Task_Tracker!$D$5:$D$1004,MATCH($B1200,Task_Tracker!$A$5:$A$1004,0)),""))</f>
        <v/>
      </c>
      <c r="D1200" s="67">
        <f>IF($B1200="","",IFERROR(INDEX(Task_Tracker!$B$5:$B$1004,MATCH($B1200,Task_Tracker!$A$5:$A$1004,0)),""))</f>
        <v/>
      </c>
      <c r="E1200" s="81" t="n"/>
      <c r="F1200" s="81" t="n"/>
      <c r="G1200" s="78" t="n"/>
      <c r="H1200" s="78" t="n"/>
      <c r="I1200" s="67">
        <f>IF($H1200="","",IFERROR(INDEX(Action_Status_Map!$B$5:$B$11,MATCH($H1200,Action_Status_Map!$A$5:$A$11,0)),""))</f>
        <v/>
      </c>
      <c r="J1200" s="82" t="n"/>
      <c r="K1200" s="82" t="n"/>
      <c r="L1200" s="82" t="n"/>
      <c r="M1200" s="83" t="n"/>
      <c r="N1200" s="83" t="n"/>
      <c r="O1200" s="66">
        <f>IF(OR($M1200="",$N1200=""),"",$N1200-$M1200)</f>
        <v/>
      </c>
      <c r="P1200" s="84">
        <f>IF($J1200="","",IF($L1200&lt;&gt;"",$L1200-$J1200,TODAY()-$J1200))</f>
        <v/>
      </c>
      <c r="Q1200" s="85">
        <f>IF(OR($K1200="",$H1200="Completed",$H1200="Cancelled"),"",IF(AND($K1200&lt;TODAY(),$H1200&lt;&gt;"Completed",$H1200&lt;&gt;"Cancelled"),"Overdue","On Track"))</f>
        <v/>
      </c>
      <c r="R1200" s="81" t="n"/>
      <c r="S1200" s="81">
        <f>IF($B1200="","",IFERROR(INDEX(Task_Tracker!$AA$5:$AA$1004,MATCH($B1200,Task_Tracker!$A$5:$A$1004,0)),""))</f>
        <v/>
      </c>
      <c r="T1200" s="81">
        <f>IF($B1200="","",IFERROR(INDEX(Task_Tracker!$AB$5:$AB$1004,MATCH($B1200,Task_Tracker!$A$5:$A$1004,0)),""))</f>
        <v/>
      </c>
      <c r="U1200" s="78">
        <f>IF($B1200="","",IFERROR(INDEX(Task_Tracker!$F$5:$F$1004,MATCH($B1200,Task_Tracker!$A$5:$A$1004,0)),""))</f>
        <v/>
      </c>
      <c r="V1200" s="78">
        <f>IF($B1200="","",IFERROR(INDEX(Task_Tracker!$I$5:$I$1004,MATCH($B1200,Task_Tracker!$A$5:$A$1004,0)),""))</f>
        <v/>
      </c>
      <c r="W1200" s="81">
        <f>IF(OR($D1200="",$B1200=""),"",$D1200&amp;" | "&amp;$B1200)</f>
        <v/>
      </c>
      <c r="X1200" s="85">
        <f>IF($K1200="","",TEXT($K1200,"yyyy-mm"))</f>
        <v/>
      </c>
      <c r="Y1200" s="81">
        <f>IF(OR($A1200="",$T1200=""),"","Included in Manager_Report")</f>
        <v/>
      </c>
    </row>
    <row r="1201" ht="15" customHeight="1" s="40">
      <c r="A1201" s="65">
        <f>IF(COUNTA(B1201:G1201)=0,"","STP-"&amp;TEXT(ROW()-4,"0000"))</f>
        <v/>
      </c>
      <c r="B1201" s="78" t="n"/>
      <c r="C1201" s="67">
        <f>IF($B1201="","",IFERROR(INDEX(Task_Tracker!$D$5:$D$1004,MATCH($B1201,Task_Tracker!$A$5:$A$1004,0)),""))</f>
        <v/>
      </c>
      <c r="D1201" s="67">
        <f>IF($B1201="","",IFERROR(INDEX(Task_Tracker!$B$5:$B$1004,MATCH($B1201,Task_Tracker!$A$5:$A$1004,0)),""))</f>
        <v/>
      </c>
      <c r="E1201" s="81" t="n"/>
      <c r="F1201" s="81" t="n"/>
      <c r="G1201" s="78" t="n"/>
      <c r="H1201" s="78" t="n"/>
      <c r="I1201" s="67">
        <f>IF($H1201="","",IFERROR(INDEX(Action_Status_Map!$B$5:$B$11,MATCH($H1201,Action_Status_Map!$A$5:$A$11,0)),""))</f>
        <v/>
      </c>
      <c r="J1201" s="82" t="n"/>
      <c r="K1201" s="82" t="n"/>
      <c r="L1201" s="82" t="n"/>
      <c r="M1201" s="83" t="n"/>
      <c r="N1201" s="83" t="n"/>
      <c r="O1201" s="66">
        <f>IF(OR($M1201="",$N1201=""),"",$N1201-$M1201)</f>
        <v/>
      </c>
      <c r="P1201" s="84">
        <f>IF($J1201="","",IF($L1201&lt;&gt;"",$L1201-$J1201,TODAY()-$J1201))</f>
        <v/>
      </c>
      <c r="Q1201" s="85">
        <f>IF(OR($K1201="",$H1201="Completed",$H1201="Cancelled"),"",IF(AND($K1201&lt;TODAY(),$H1201&lt;&gt;"Completed",$H1201&lt;&gt;"Cancelled"),"Overdue","On Track"))</f>
        <v/>
      </c>
      <c r="R1201" s="81" t="n"/>
      <c r="S1201" s="81">
        <f>IF($B1201="","",IFERROR(INDEX(Task_Tracker!$AA$5:$AA$1004,MATCH($B1201,Task_Tracker!$A$5:$A$1004,0)),""))</f>
        <v/>
      </c>
      <c r="T1201" s="81">
        <f>IF($B1201="","",IFERROR(INDEX(Task_Tracker!$AB$5:$AB$1004,MATCH($B1201,Task_Tracker!$A$5:$A$1004,0)),""))</f>
        <v/>
      </c>
      <c r="U1201" s="78">
        <f>IF($B1201="","",IFERROR(INDEX(Task_Tracker!$F$5:$F$1004,MATCH($B1201,Task_Tracker!$A$5:$A$1004,0)),""))</f>
        <v/>
      </c>
      <c r="V1201" s="78">
        <f>IF($B1201="","",IFERROR(INDEX(Task_Tracker!$I$5:$I$1004,MATCH($B1201,Task_Tracker!$A$5:$A$1004,0)),""))</f>
        <v/>
      </c>
      <c r="W1201" s="81">
        <f>IF(OR($D1201="",$B1201=""),"",$D1201&amp;" | "&amp;$B1201)</f>
        <v/>
      </c>
      <c r="X1201" s="85">
        <f>IF($K1201="","",TEXT($K1201,"yyyy-mm"))</f>
        <v/>
      </c>
      <c r="Y1201" s="81">
        <f>IF(OR($A1201="",$T1201=""),"","Included in Manager_Report")</f>
        <v/>
      </c>
    </row>
    <row r="1202" ht="15" customHeight="1" s="40">
      <c r="A1202" s="65">
        <f>IF(COUNTA(B1202:G1202)=0,"","STP-"&amp;TEXT(ROW()-4,"0000"))</f>
        <v/>
      </c>
      <c r="B1202" s="78" t="n"/>
      <c r="C1202" s="67">
        <f>IF($B1202="","",IFERROR(INDEX(Task_Tracker!$D$5:$D$1004,MATCH($B1202,Task_Tracker!$A$5:$A$1004,0)),""))</f>
        <v/>
      </c>
      <c r="D1202" s="67">
        <f>IF($B1202="","",IFERROR(INDEX(Task_Tracker!$B$5:$B$1004,MATCH($B1202,Task_Tracker!$A$5:$A$1004,0)),""))</f>
        <v/>
      </c>
      <c r="E1202" s="81" t="n"/>
      <c r="F1202" s="81" t="n"/>
      <c r="G1202" s="78" t="n"/>
      <c r="H1202" s="78" t="n"/>
      <c r="I1202" s="67">
        <f>IF($H1202="","",IFERROR(INDEX(Action_Status_Map!$B$5:$B$11,MATCH($H1202,Action_Status_Map!$A$5:$A$11,0)),""))</f>
        <v/>
      </c>
      <c r="J1202" s="82" t="n"/>
      <c r="K1202" s="82" t="n"/>
      <c r="L1202" s="82" t="n"/>
      <c r="M1202" s="83" t="n"/>
      <c r="N1202" s="83" t="n"/>
      <c r="O1202" s="66">
        <f>IF(OR($M1202="",$N1202=""),"",$N1202-$M1202)</f>
        <v/>
      </c>
      <c r="P1202" s="84">
        <f>IF($J1202="","",IF($L1202&lt;&gt;"",$L1202-$J1202,TODAY()-$J1202))</f>
        <v/>
      </c>
      <c r="Q1202" s="85">
        <f>IF(OR($K1202="",$H1202="Completed",$H1202="Cancelled"),"",IF(AND($K1202&lt;TODAY(),$H1202&lt;&gt;"Completed",$H1202&lt;&gt;"Cancelled"),"Overdue","On Track"))</f>
        <v/>
      </c>
      <c r="R1202" s="81" t="n"/>
      <c r="S1202" s="81">
        <f>IF($B1202="","",IFERROR(INDEX(Task_Tracker!$AA$5:$AA$1004,MATCH($B1202,Task_Tracker!$A$5:$A$1004,0)),""))</f>
        <v/>
      </c>
      <c r="T1202" s="81">
        <f>IF($B1202="","",IFERROR(INDEX(Task_Tracker!$AB$5:$AB$1004,MATCH($B1202,Task_Tracker!$A$5:$A$1004,0)),""))</f>
        <v/>
      </c>
      <c r="U1202" s="78">
        <f>IF($B1202="","",IFERROR(INDEX(Task_Tracker!$F$5:$F$1004,MATCH($B1202,Task_Tracker!$A$5:$A$1004,0)),""))</f>
        <v/>
      </c>
      <c r="V1202" s="78">
        <f>IF($B1202="","",IFERROR(INDEX(Task_Tracker!$I$5:$I$1004,MATCH($B1202,Task_Tracker!$A$5:$A$1004,0)),""))</f>
        <v/>
      </c>
      <c r="W1202" s="81">
        <f>IF(OR($D1202="",$B1202=""),"",$D1202&amp;" | "&amp;$B1202)</f>
        <v/>
      </c>
      <c r="X1202" s="85">
        <f>IF($K1202="","",TEXT($K1202,"yyyy-mm"))</f>
        <v/>
      </c>
      <c r="Y1202" s="81">
        <f>IF(OR($A1202="",$T1202=""),"","Included in Manager_Report")</f>
        <v/>
      </c>
    </row>
    <row r="1203" ht="15" customHeight="1" s="40">
      <c r="A1203" s="65">
        <f>IF(COUNTA(B1203:G1203)=0,"","STP-"&amp;TEXT(ROW()-4,"0000"))</f>
        <v/>
      </c>
      <c r="B1203" s="78" t="n"/>
      <c r="C1203" s="67">
        <f>IF($B1203="","",IFERROR(INDEX(Task_Tracker!$D$5:$D$1004,MATCH($B1203,Task_Tracker!$A$5:$A$1004,0)),""))</f>
        <v/>
      </c>
      <c r="D1203" s="67">
        <f>IF($B1203="","",IFERROR(INDEX(Task_Tracker!$B$5:$B$1004,MATCH($B1203,Task_Tracker!$A$5:$A$1004,0)),""))</f>
        <v/>
      </c>
      <c r="E1203" s="81" t="n"/>
      <c r="F1203" s="81" t="n"/>
      <c r="G1203" s="78" t="n"/>
      <c r="H1203" s="78" t="n"/>
      <c r="I1203" s="67">
        <f>IF($H1203="","",IFERROR(INDEX(Action_Status_Map!$B$5:$B$11,MATCH($H1203,Action_Status_Map!$A$5:$A$11,0)),""))</f>
        <v/>
      </c>
      <c r="J1203" s="82" t="n"/>
      <c r="K1203" s="82" t="n"/>
      <c r="L1203" s="82" t="n"/>
      <c r="M1203" s="83" t="n"/>
      <c r="N1203" s="83" t="n"/>
      <c r="O1203" s="66">
        <f>IF(OR($M1203="",$N1203=""),"",$N1203-$M1203)</f>
        <v/>
      </c>
      <c r="P1203" s="84">
        <f>IF($J1203="","",IF($L1203&lt;&gt;"",$L1203-$J1203,TODAY()-$J1203))</f>
        <v/>
      </c>
      <c r="Q1203" s="85">
        <f>IF(OR($K1203="",$H1203="Completed",$H1203="Cancelled"),"",IF(AND($K1203&lt;TODAY(),$H1203&lt;&gt;"Completed",$H1203&lt;&gt;"Cancelled"),"Overdue","On Track"))</f>
        <v/>
      </c>
      <c r="R1203" s="81" t="n"/>
      <c r="S1203" s="81">
        <f>IF($B1203="","",IFERROR(INDEX(Task_Tracker!$AA$5:$AA$1004,MATCH($B1203,Task_Tracker!$A$5:$A$1004,0)),""))</f>
        <v/>
      </c>
      <c r="T1203" s="81">
        <f>IF($B1203="","",IFERROR(INDEX(Task_Tracker!$AB$5:$AB$1004,MATCH($B1203,Task_Tracker!$A$5:$A$1004,0)),""))</f>
        <v/>
      </c>
      <c r="U1203" s="78">
        <f>IF($B1203="","",IFERROR(INDEX(Task_Tracker!$F$5:$F$1004,MATCH($B1203,Task_Tracker!$A$5:$A$1004,0)),""))</f>
        <v/>
      </c>
      <c r="V1203" s="78">
        <f>IF($B1203="","",IFERROR(INDEX(Task_Tracker!$I$5:$I$1004,MATCH($B1203,Task_Tracker!$A$5:$A$1004,0)),""))</f>
        <v/>
      </c>
      <c r="W1203" s="81">
        <f>IF(OR($D1203="",$B1203=""),"",$D1203&amp;" | "&amp;$B1203)</f>
        <v/>
      </c>
      <c r="X1203" s="85">
        <f>IF($K1203="","",TEXT($K1203,"yyyy-mm"))</f>
        <v/>
      </c>
      <c r="Y1203" s="81">
        <f>IF(OR($A1203="",$T1203=""),"","Included in Manager_Report")</f>
        <v/>
      </c>
    </row>
    <row r="1204" ht="15" customHeight="1" s="40">
      <c r="A1204" s="65">
        <f>IF(COUNTA(B1204:G1204)=0,"","STP-"&amp;TEXT(ROW()-4,"0000"))</f>
        <v/>
      </c>
      <c r="B1204" s="78" t="n"/>
      <c r="C1204" s="67">
        <f>IF($B1204="","",IFERROR(INDEX(Task_Tracker!$D$5:$D$1004,MATCH($B1204,Task_Tracker!$A$5:$A$1004,0)),""))</f>
        <v/>
      </c>
      <c r="D1204" s="67">
        <f>IF($B1204="","",IFERROR(INDEX(Task_Tracker!$B$5:$B$1004,MATCH($B1204,Task_Tracker!$A$5:$A$1004,0)),""))</f>
        <v/>
      </c>
      <c r="E1204" s="81" t="n"/>
      <c r="F1204" s="81" t="n"/>
      <c r="G1204" s="78" t="n"/>
      <c r="H1204" s="78" t="n"/>
      <c r="I1204" s="67">
        <f>IF($H1204="","",IFERROR(INDEX(Action_Status_Map!$B$5:$B$11,MATCH($H1204,Action_Status_Map!$A$5:$A$11,0)),""))</f>
        <v/>
      </c>
      <c r="J1204" s="82" t="n"/>
      <c r="K1204" s="82" t="n"/>
      <c r="L1204" s="82" t="n"/>
      <c r="M1204" s="83" t="n"/>
      <c r="N1204" s="83" t="n"/>
      <c r="O1204" s="66">
        <f>IF(OR($M1204="",$N1204=""),"",$N1204-$M1204)</f>
        <v/>
      </c>
      <c r="P1204" s="84">
        <f>IF($J1204="","",IF($L1204&lt;&gt;"",$L1204-$J1204,TODAY()-$J1204))</f>
        <v/>
      </c>
      <c r="Q1204" s="85">
        <f>IF(OR($K1204="",$H1204="Completed",$H1204="Cancelled"),"",IF(AND($K1204&lt;TODAY(),$H1204&lt;&gt;"Completed",$H1204&lt;&gt;"Cancelled"),"Overdue","On Track"))</f>
        <v/>
      </c>
      <c r="R1204" s="81" t="n"/>
      <c r="S1204" s="81">
        <f>IF($B1204="","",IFERROR(INDEX(Task_Tracker!$AA$5:$AA$1004,MATCH($B1204,Task_Tracker!$A$5:$A$1004,0)),""))</f>
        <v/>
      </c>
      <c r="T1204" s="81">
        <f>IF($B1204="","",IFERROR(INDEX(Task_Tracker!$AB$5:$AB$1004,MATCH($B1204,Task_Tracker!$A$5:$A$1004,0)),""))</f>
        <v/>
      </c>
      <c r="U1204" s="78">
        <f>IF($B1204="","",IFERROR(INDEX(Task_Tracker!$F$5:$F$1004,MATCH($B1204,Task_Tracker!$A$5:$A$1004,0)),""))</f>
        <v/>
      </c>
      <c r="V1204" s="78">
        <f>IF($B1204="","",IFERROR(INDEX(Task_Tracker!$I$5:$I$1004,MATCH($B1204,Task_Tracker!$A$5:$A$1004,0)),""))</f>
        <v/>
      </c>
      <c r="W1204" s="81">
        <f>IF(OR($D1204="",$B1204=""),"",$D1204&amp;" | "&amp;$B1204)</f>
        <v/>
      </c>
      <c r="X1204" s="85">
        <f>IF($K1204="","",TEXT($K1204,"yyyy-mm"))</f>
        <v/>
      </c>
      <c r="Y1204" s="81">
        <f>IF(OR($A1204="",$T1204=""),"","Included in Manager_Report")</f>
        <v/>
      </c>
    </row>
    <row r="1205" ht="15" customHeight="1" s="40">
      <c r="A1205" s="65">
        <f>IF(COUNTA(B1205:G1205)=0,"","STP-"&amp;TEXT(ROW()-4,"0000"))</f>
        <v/>
      </c>
      <c r="B1205" s="78" t="n"/>
      <c r="C1205" s="67">
        <f>IF($B1205="","",IFERROR(INDEX(Task_Tracker!$D$5:$D$1004,MATCH($B1205,Task_Tracker!$A$5:$A$1004,0)),""))</f>
        <v/>
      </c>
      <c r="D1205" s="67">
        <f>IF($B1205="","",IFERROR(INDEX(Task_Tracker!$B$5:$B$1004,MATCH($B1205,Task_Tracker!$A$5:$A$1004,0)),""))</f>
        <v/>
      </c>
      <c r="E1205" s="81" t="n"/>
      <c r="F1205" s="81" t="n"/>
      <c r="G1205" s="78" t="n"/>
      <c r="H1205" s="78" t="n"/>
      <c r="I1205" s="67">
        <f>IF($H1205="","",IFERROR(INDEX(Action_Status_Map!$B$5:$B$11,MATCH($H1205,Action_Status_Map!$A$5:$A$11,0)),""))</f>
        <v/>
      </c>
      <c r="J1205" s="82" t="n"/>
      <c r="K1205" s="82" t="n"/>
      <c r="L1205" s="82" t="n"/>
      <c r="M1205" s="83" t="n"/>
      <c r="N1205" s="83" t="n"/>
      <c r="O1205" s="66">
        <f>IF(OR($M1205="",$N1205=""),"",$N1205-$M1205)</f>
        <v/>
      </c>
      <c r="P1205" s="84">
        <f>IF($J1205="","",IF($L1205&lt;&gt;"",$L1205-$J1205,TODAY()-$J1205))</f>
        <v/>
      </c>
      <c r="Q1205" s="85">
        <f>IF(OR($K1205="",$H1205="Completed",$H1205="Cancelled"),"",IF(AND($K1205&lt;TODAY(),$H1205&lt;&gt;"Completed",$H1205&lt;&gt;"Cancelled"),"Overdue","On Track"))</f>
        <v/>
      </c>
      <c r="R1205" s="81" t="n"/>
      <c r="S1205" s="81">
        <f>IF($B1205="","",IFERROR(INDEX(Task_Tracker!$AA$5:$AA$1004,MATCH($B1205,Task_Tracker!$A$5:$A$1004,0)),""))</f>
        <v/>
      </c>
      <c r="T1205" s="81">
        <f>IF($B1205="","",IFERROR(INDEX(Task_Tracker!$AB$5:$AB$1004,MATCH($B1205,Task_Tracker!$A$5:$A$1004,0)),""))</f>
        <v/>
      </c>
      <c r="U1205" s="78">
        <f>IF($B1205="","",IFERROR(INDEX(Task_Tracker!$F$5:$F$1004,MATCH($B1205,Task_Tracker!$A$5:$A$1004,0)),""))</f>
        <v/>
      </c>
      <c r="V1205" s="78">
        <f>IF($B1205="","",IFERROR(INDEX(Task_Tracker!$I$5:$I$1004,MATCH($B1205,Task_Tracker!$A$5:$A$1004,0)),""))</f>
        <v/>
      </c>
      <c r="W1205" s="81">
        <f>IF(OR($D1205="",$B1205=""),"",$D1205&amp;" | "&amp;$B1205)</f>
        <v/>
      </c>
      <c r="X1205" s="85">
        <f>IF($K1205="","",TEXT($K1205,"yyyy-mm"))</f>
        <v/>
      </c>
      <c r="Y1205" s="81">
        <f>IF(OR($A1205="",$T1205=""),"","Included in Manager_Report")</f>
        <v/>
      </c>
    </row>
    <row r="1206" ht="15" customHeight="1" s="40">
      <c r="A1206" s="65">
        <f>IF(COUNTA(B1206:G1206)=0,"","STP-"&amp;TEXT(ROW()-4,"0000"))</f>
        <v/>
      </c>
      <c r="B1206" s="78" t="n"/>
      <c r="C1206" s="67">
        <f>IF($B1206="","",IFERROR(INDEX(Task_Tracker!$D$5:$D$1004,MATCH($B1206,Task_Tracker!$A$5:$A$1004,0)),""))</f>
        <v/>
      </c>
      <c r="D1206" s="67">
        <f>IF($B1206="","",IFERROR(INDEX(Task_Tracker!$B$5:$B$1004,MATCH($B1206,Task_Tracker!$A$5:$A$1004,0)),""))</f>
        <v/>
      </c>
      <c r="E1206" s="81" t="n"/>
      <c r="F1206" s="81" t="n"/>
      <c r="G1206" s="78" t="n"/>
      <c r="H1206" s="78" t="n"/>
      <c r="I1206" s="67">
        <f>IF($H1206="","",IFERROR(INDEX(Action_Status_Map!$B$5:$B$11,MATCH($H1206,Action_Status_Map!$A$5:$A$11,0)),""))</f>
        <v/>
      </c>
      <c r="J1206" s="82" t="n"/>
      <c r="K1206" s="82" t="n"/>
      <c r="L1206" s="82" t="n"/>
      <c r="M1206" s="83" t="n"/>
      <c r="N1206" s="83" t="n"/>
      <c r="O1206" s="66">
        <f>IF(OR($M1206="",$N1206=""),"",$N1206-$M1206)</f>
        <v/>
      </c>
      <c r="P1206" s="84">
        <f>IF($J1206="","",IF($L1206&lt;&gt;"",$L1206-$J1206,TODAY()-$J1206))</f>
        <v/>
      </c>
      <c r="Q1206" s="85">
        <f>IF(OR($K1206="",$H1206="Completed",$H1206="Cancelled"),"",IF(AND($K1206&lt;TODAY(),$H1206&lt;&gt;"Completed",$H1206&lt;&gt;"Cancelled"),"Overdue","On Track"))</f>
        <v/>
      </c>
      <c r="R1206" s="81" t="n"/>
      <c r="S1206" s="81">
        <f>IF($B1206="","",IFERROR(INDEX(Task_Tracker!$AA$5:$AA$1004,MATCH($B1206,Task_Tracker!$A$5:$A$1004,0)),""))</f>
        <v/>
      </c>
      <c r="T1206" s="81">
        <f>IF($B1206="","",IFERROR(INDEX(Task_Tracker!$AB$5:$AB$1004,MATCH($B1206,Task_Tracker!$A$5:$A$1004,0)),""))</f>
        <v/>
      </c>
      <c r="U1206" s="78">
        <f>IF($B1206="","",IFERROR(INDEX(Task_Tracker!$F$5:$F$1004,MATCH($B1206,Task_Tracker!$A$5:$A$1004,0)),""))</f>
        <v/>
      </c>
      <c r="V1206" s="78">
        <f>IF($B1206="","",IFERROR(INDEX(Task_Tracker!$I$5:$I$1004,MATCH($B1206,Task_Tracker!$A$5:$A$1004,0)),""))</f>
        <v/>
      </c>
      <c r="W1206" s="81">
        <f>IF(OR($D1206="",$B1206=""),"",$D1206&amp;" | "&amp;$B1206)</f>
        <v/>
      </c>
      <c r="X1206" s="85">
        <f>IF($K1206="","",TEXT($K1206,"yyyy-mm"))</f>
        <v/>
      </c>
      <c r="Y1206" s="81">
        <f>IF(OR($A1206="",$T1206=""),"","Included in Manager_Report")</f>
        <v/>
      </c>
    </row>
    <row r="1207" ht="15" customHeight="1" s="40">
      <c r="A1207" s="65">
        <f>IF(COUNTA(B1207:G1207)=0,"","STP-"&amp;TEXT(ROW()-4,"0000"))</f>
        <v/>
      </c>
      <c r="B1207" s="78" t="n"/>
      <c r="C1207" s="67">
        <f>IF($B1207="","",IFERROR(INDEX(Task_Tracker!$D$5:$D$1004,MATCH($B1207,Task_Tracker!$A$5:$A$1004,0)),""))</f>
        <v/>
      </c>
      <c r="D1207" s="67">
        <f>IF($B1207="","",IFERROR(INDEX(Task_Tracker!$B$5:$B$1004,MATCH($B1207,Task_Tracker!$A$5:$A$1004,0)),""))</f>
        <v/>
      </c>
      <c r="E1207" s="81" t="n"/>
      <c r="F1207" s="81" t="n"/>
      <c r="G1207" s="78" t="n"/>
      <c r="H1207" s="78" t="n"/>
      <c r="I1207" s="67">
        <f>IF($H1207="","",IFERROR(INDEX(Action_Status_Map!$B$5:$B$11,MATCH($H1207,Action_Status_Map!$A$5:$A$11,0)),""))</f>
        <v/>
      </c>
      <c r="J1207" s="82" t="n"/>
      <c r="K1207" s="82" t="n"/>
      <c r="L1207" s="82" t="n"/>
      <c r="M1207" s="83" t="n"/>
      <c r="N1207" s="83" t="n"/>
      <c r="O1207" s="66">
        <f>IF(OR($M1207="",$N1207=""),"",$N1207-$M1207)</f>
        <v/>
      </c>
      <c r="P1207" s="84">
        <f>IF($J1207="","",IF($L1207&lt;&gt;"",$L1207-$J1207,TODAY()-$J1207))</f>
        <v/>
      </c>
      <c r="Q1207" s="85">
        <f>IF(OR($K1207="",$H1207="Completed",$H1207="Cancelled"),"",IF(AND($K1207&lt;TODAY(),$H1207&lt;&gt;"Completed",$H1207&lt;&gt;"Cancelled"),"Overdue","On Track"))</f>
        <v/>
      </c>
      <c r="R1207" s="81" t="n"/>
      <c r="S1207" s="81">
        <f>IF($B1207="","",IFERROR(INDEX(Task_Tracker!$AA$5:$AA$1004,MATCH($B1207,Task_Tracker!$A$5:$A$1004,0)),""))</f>
        <v/>
      </c>
      <c r="T1207" s="81">
        <f>IF($B1207="","",IFERROR(INDEX(Task_Tracker!$AB$5:$AB$1004,MATCH($B1207,Task_Tracker!$A$5:$A$1004,0)),""))</f>
        <v/>
      </c>
      <c r="U1207" s="78">
        <f>IF($B1207="","",IFERROR(INDEX(Task_Tracker!$F$5:$F$1004,MATCH($B1207,Task_Tracker!$A$5:$A$1004,0)),""))</f>
        <v/>
      </c>
      <c r="V1207" s="78">
        <f>IF($B1207="","",IFERROR(INDEX(Task_Tracker!$I$5:$I$1004,MATCH($B1207,Task_Tracker!$A$5:$A$1004,0)),""))</f>
        <v/>
      </c>
      <c r="W1207" s="81">
        <f>IF(OR($D1207="",$B1207=""),"",$D1207&amp;" | "&amp;$B1207)</f>
        <v/>
      </c>
      <c r="X1207" s="85">
        <f>IF($K1207="","",TEXT($K1207,"yyyy-mm"))</f>
        <v/>
      </c>
      <c r="Y1207" s="81">
        <f>IF(OR($A1207="",$T1207=""),"","Included in Manager_Report")</f>
        <v/>
      </c>
    </row>
    <row r="1208" ht="15" customHeight="1" s="40">
      <c r="A1208" s="65">
        <f>IF(COUNTA(B1208:G1208)=0,"","STP-"&amp;TEXT(ROW()-4,"0000"))</f>
        <v/>
      </c>
      <c r="B1208" s="78" t="n"/>
      <c r="C1208" s="67">
        <f>IF($B1208="","",IFERROR(INDEX(Task_Tracker!$D$5:$D$1004,MATCH($B1208,Task_Tracker!$A$5:$A$1004,0)),""))</f>
        <v/>
      </c>
      <c r="D1208" s="67">
        <f>IF($B1208="","",IFERROR(INDEX(Task_Tracker!$B$5:$B$1004,MATCH($B1208,Task_Tracker!$A$5:$A$1004,0)),""))</f>
        <v/>
      </c>
      <c r="E1208" s="81" t="n"/>
      <c r="F1208" s="81" t="n"/>
      <c r="G1208" s="78" t="n"/>
      <c r="H1208" s="78" t="n"/>
      <c r="I1208" s="67">
        <f>IF($H1208="","",IFERROR(INDEX(Action_Status_Map!$B$5:$B$11,MATCH($H1208,Action_Status_Map!$A$5:$A$11,0)),""))</f>
        <v/>
      </c>
      <c r="J1208" s="82" t="n"/>
      <c r="K1208" s="82" t="n"/>
      <c r="L1208" s="82" t="n"/>
      <c r="M1208" s="83" t="n"/>
      <c r="N1208" s="83" t="n"/>
      <c r="O1208" s="66">
        <f>IF(OR($M1208="",$N1208=""),"",$N1208-$M1208)</f>
        <v/>
      </c>
      <c r="P1208" s="84">
        <f>IF($J1208="","",IF($L1208&lt;&gt;"",$L1208-$J1208,TODAY()-$J1208))</f>
        <v/>
      </c>
      <c r="Q1208" s="85">
        <f>IF(OR($K1208="",$H1208="Completed",$H1208="Cancelled"),"",IF(AND($K1208&lt;TODAY(),$H1208&lt;&gt;"Completed",$H1208&lt;&gt;"Cancelled"),"Overdue","On Track"))</f>
        <v/>
      </c>
      <c r="R1208" s="81" t="n"/>
      <c r="S1208" s="81">
        <f>IF($B1208="","",IFERROR(INDEX(Task_Tracker!$AA$5:$AA$1004,MATCH($B1208,Task_Tracker!$A$5:$A$1004,0)),""))</f>
        <v/>
      </c>
      <c r="T1208" s="81">
        <f>IF($B1208="","",IFERROR(INDEX(Task_Tracker!$AB$5:$AB$1004,MATCH($B1208,Task_Tracker!$A$5:$A$1004,0)),""))</f>
        <v/>
      </c>
      <c r="U1208" s="78">
        <f>IF($B1208="","",IFERROR(INDEX(Task_Tracker!$F$5:$F$1004,MATCH($B1208,Task_Tracker!$A$5:$A$1004,0)),""))</f>
        <v/>
      </c>
      <c r="V1208" s="78">
        <f>IF($B1208="","",IFERROR(INDEX(Task_Tracker!$I$5:$I$1004,MATCH($B1208,Task_Tracker!$A$5:$A$1004,0)),""))</f>
        <v/>
      </c>
      <c r="W1208" s="81">
        <f>IF(OR($D1208="",$B1208=""),"",$D1208&amp;" | "&amp;$B1208)</f>
        <v/>
      </c>
      <c r="X1208" s="85">
        <f>IF($K1208="","",TEXT($K1208,"yyyy-mm"))</f>
        <v/>
      </c>
      <c r="Y1208" s="81">
        <f>IF(OR($A1208="",$T1208=""),"","Included in Manager_Report")</f>
        <v/>
      </c>
    </row>
    <row r="1209" ht="15" customHeight="1" s="40">
      <c r="A1209" s="65">
        <f>IF(COUNTA(B1209:G1209)=0,"","STP-"&amp;TEXT(ROW()-4,"0000"))</f>
        <v/>
      </c>
      <c r="B1209" s="78" t="n"/>
      <c r="C1209" s="67">
        <f>IF($B1209="","",IFERROR(INDEX(Task_Tracker!$D$5:$D$1004,MATCH($B1209,Task_Tracker!$A$5:$A$1004,0)),""))</f>
        <v/>
      </c>
      <c r="D1209" s="67">
        <f>IF($B1209="","",IFERROR(INDEX(Task_Tracker!$B$5:$B$1004,MATCH($B1209,Task_Tracker!$A$5:$A$1004,0)),""))</f>
        <v/>
      </c>
      <c r="E1209" s="81" t="n"/>
      <c r="F1209" s="81" t="n"/>
      <c r="G1209" s="78" t="n"/>
      <c r="H1209" s="78" t="n"/>
      <c r="I1209" s="67">
        <f>IF($H1209="","",IFERROR(INDEX(Action_Status_Map!$B$5:$B$11,MATCH($H1209,Action_Status_Map!$A$5:$A$11,0)),""))</f>
        <v/>
      </c>
      <c r="J1209" s="82" t="n"/>
      <c r="K1209" s="82" t="n"/>
      <c r="L1209" s="82" t="n"/>
      <c r="M1209" s="83" t="n"/>
      <c r="N1209" s="83" t="n"/>
      <c r="O1209" s="66">
        <f>IF(OR($M1209="",$N1209=""),"",$N1209-$M1209)</f>
        <v/>
      </c>
      <c r="P1209" s="84">
        <f>IF($J1209="","",IF($L1209&lt;&gt;"",$L1209-$J1209,TODAY()-$J1209))</f>
        <v/>
      </c>
      <c r="Q1209" s="85">
        <f>IF(OR($K1209="",$H1209="Completed",$H1209="Cancelled"),"",IF(AND($K1209&lt;TODAY(),$H1209&lt;&gt;"Completed",$H1209&lt;&gt;"Cancelled"),"Overdue","On Track"))</f>
        <v/>
      </c>
      <c r="R1209" s="81" t="n"/>
      <c r="S1209" s="81">
        <f>IF($B1209="","",IFERROR(INDEX(Task_Tracker!$AA$5:$AA$1004,MATCH($B1209,Task_Tracker!$A$5:$A$1004,0)),""))</f>
        <v/>
      </c>
      <c r="T1209" s="81">
        <f>IF($B1209="","",IFERROR(INDEX(Task_Tracker!$AB$5:$AB$1004,MATCH($B1209,Task_Tracker!$A$5:$A$1004,0)),""))</f>
        <v/>
      </c>
      <c r="U1209" s="78">
        <f>IF($B1209="","",IFERROR(INDEX(Task_Tracker!$F$5:$F$1004,MATCH($B1209,Task_Tracker!$A$5:$A$1004,0)),""))</f>
        <v/>
      </c>
      <c r="V1209" s="78">
        <f>IF($B1209="","",IFERROR(INDEX(Task_Tracker!$I$5:$I$1004,MATCH($B1209,Task_Tracker!$A$5:$A$1004,0)),""))</f>
        <v/>
      </c>
      <c r="W1209" s="81">
        <f>IF(OR($D1209="",$B1209=""),"",$D1209&amp;" | "&amp;$B1209)</f>
        <v/>
      </c>
      <c r="X1209" s="85">
        <f>IF($K1209="","",TEXT($K1209,"yyyy-mm"))</f>
        <v/>
      </c>
      <c r="Y1209" s="81">
        <f>IF(OR($A1209="",$T1209=""),"","Included in Manager_Report")</f>
        <v/>
      </c>
    </row>
    <row r="1210" ht="15" customHeight="1" s="40">
      <c r="A1210" s="65">
        <f>IF(COUNTA(B1210:G1210)=0,"","STP-"&amp;TEXT(ROW()-4,"0000"))</f>
        <v/>
      </c>
      <c r="B1210" s="78" t="n"/>
      <c r="C1210" s="67">
        <f>IF($B1210="","",IFERROR(INDEX(Task_Tracker!$D$5:$D$1004,MATCH($B1210,Task_Tracker!$A$5:$A$1004,0)),""))</f>
        <v/>
      </c>
      <c r="D1210" s="67">
        <f>IF($B1210="","",IFERROR(INDEX(Task_Tracker!$B$5:$B$1004,MATCH($B1210,Task_Tracker!$A$5:$A$1004,0)),""))</f>
        <v/>
      </c>
      <c r="E1210" s="81" t="n"/>
      <c r="F1210" s="81" t="n"/>
      <c r="G1210" s="78" t="n"/>
      <c r="H1210" s="78" t="n"/>
      <c r="I1210" s="67">
        <f>IF($H1210="","",IFERROR(INDEX(Action_Status_Map!$B$5:$B$11,MATCH($H1210,Action_Status_Map!$A$5:$A$11,0)),""))</f>
        <v/>
      </c>
      <c r="J1210" s="82" t="n"/>
      <c r="K1210" s="82" t="n"/>
      <c r="L1210" s="82" t="n"/>
      <c r="M1210" s="83" t="n"/>
      <c r="N1210" s="83" t="n"/>
      <c r="O1210" s="66">
        <f>IF(OR($M1210="",$N1210=""),"",$N1210-$M1210)</f>
        <v/>
      </c>
      <c r="P1210" s="84">
        <f>IF($J1210="","",IF($L1210&lt;&gt;"",$L1210-$J1210,TODAY()-$J1210))</f>
        <v/>
      </c>
      <c r="Q1210" s="85">
        <f>IF(OR($K1210="",$H1210="Completed",$H1210="Cancelled"),"",IF(AND($K1210&lt;TODAY(),$H1210&lt;&gt;"Completed",$H1210&lt;&gt;"Cancelled"),"Overdue","On Track"))</f>
        <v/>
      </c>
      <c r="R1210" s="81" t="n"/>
      <c r="S1210" s="81">
        <f>IF($B1210="","",IFERROR(INDEX(Task_Tracker!$AA$5:$AA$1004,MATCH($B1210,Task_Tracker!$A$5:$A$1004,0)),""))</f>
        <v/>
      </c>
      <c r="T1210" s="81">
        <f>IF($B1210="","",IFERROR(INDEX(Task_Tracker!$AB$5:$AB$1004,MATCH($B1210,Task_Tracker!$A$5:$A$1004,0)),""))</f>
        <v/>
      </c>
      <c r="U1210" s="78">
        <f>IF($B1210="","",IFERROR(INDEX(Task_Tracker!$F$5:$F$1004,MATCH($B1210,Task_Tracker!$A$5:$A$1004,0)),""))</f>
        <v/>
      </c>
      <c r="V1210" s="78">
        <f>IF($B1210="","",IFERROR(INDEX(Task_Tracker!$I$5:$I$1004,MATCH($B1210,Task_Tracker!$A$5:$A$1004,0)),""))</f>
        <v/>
      </c>
      <c r="W1210" s="81">
        <f>IF(OR($D1210="",$B1210=""),"",$D1210&amp;" | "&amp;$B1210)</f>
        <v/>
      </c>
      <c r="X1210" s="85">
        <f>IF($K1210="","",TEXT($K1210,"yyyy-mm"))</f>
        <v/>
      </c>
      <c r="Y1210" s="81">
        <f>IF(OR($A1210="",$T1210=""),"","Included in Manager_Report")</f>
        <v/>
      </c>
    </row>
    <row r="1211" ht="15" customHeight="1" s="40">
      <c r="A1211" s="65">
        <f>IF(COUNTA(B1211:G1211)=0,"","STP-"&amp;TEXT(ROW()-4,"0000"))</f>
        <v/>
      </c>
      <c r="B1211" s="78" t="n"/>
      <c r="C1211" s="67">
        <f>IF($B1211="","",IFERROR(INDEX(Task_Tracker!$D$5:$D$1004,MATCH($B1211,Task_Tracker!$A$5:$A$1004,0)),""))</f>
        <v/>
      </c>
      <c r="D1211" s="67">
        <f>IF($B1211="","",IFERROR(INDEX(Task_Tracker!$B$5:$B$1004,MATCH($B1211,Task_Tracker!$A$5:$A$1004,0)),""))</f>
        <v/>
      </c>
      <c r="E1211" s="81" t="n"/>
      <c r="F1211" s="81" t="n"/>
      <c r="G1211" s="78" t="n"/>
      <c r="H1211" s="78" t="n"/>
      <c r="I1211" s="67">
        <f>IF($H1211="","",IFERROR(INDEX(Action_Status_Map!$B$5:$B$11,MATCH($H1211,Action_Status_Map!$A$5:$A$11,0)),""))</f>
        <v/>
      </c>
      <c r="J1211" s="82" t="n"/>
      <c r="K1211" s="82" t="n"/>
      <c r="L1211" s="82" t="n"/>
      <c r="M1211" s="83" t="n"/>
      <c r="N1211" s="83" t="n"/>
      <c r="O1211" s="66">
        <f>IF(OR($M1211="",$N1211=""),"",$N1211-$M1211)</f>
        <v/>
      </c>
      <c r="P1211" s="84">
        <f>IF($J1211="","",IF($L1211&lt;&gt;"",$L1211-$J1211,TODAY()-$J1211))</f>
        <v/>
      </c>
      <c r="Q1211" s="85">
        <f>IF(OR($K1211="",$H1211="Completed",$H1211="Cancelled"),"",IF(AND($K1211&lt;TODAY(),$H1211&lt;&gt;"Completed",$H1211&lt;&gt;"Cancelled"),"Overdue","On Track"))</f>
        <v/>
      </c>
      <c r="R1211" s="81" t="n"/>
      <c r="S1211" s="81">
        <f>IF($B1211="","",IFERROR(INDEX(Task_Tracker!$AA$5:$AA$1004,MATCH($B1211,Task_Tracker!$A$5:$A$1004,0)),""))</f>
        <v/>
      </c>
      <c r="T1211" s="81">
        <f>IF($B1211="","",IFERROR(INDEX(Task_Tracker!$AB$5:$AB$1004,MATCH($B1211,Task_Tracker!$A$5:$A$1004,0)),""))</f>
        <v/>
      </c>
      <c r="U1211" s="78">
        <f>IF($B1211="","",IFERROR(INDEX(Task_Tracker!$F$5:$F$1004,MATCH($B1211,Task_Tracker!$A$5:$A$1004,0)),""))</f>
        <v/>
      </c>
      <c r="V1211" s="78">
        <f>IF($B1211="","",IFERROR(INDEX(Task_Tracker!$I$5:$I$1004,MATCH($B1211,Task_Tracker!$A$5:$A$1004,0)),""))</f>
        <v/>
      </c>
      <c r="W1211" s="81">
        <f>IF(OR($D1211="",$B1211=""),"",$D1211&amp;" | "&amp;$B1211)</f>
        <v/>
      </c>
      <c r="X1211" s="85">
        <f>IF($K1211="","",TEXT($K1211,"yyyy-mm"))</f>
        <v/>
      </c>
      <c r="Y1211" s="81">
        <f>IF(OR($A1211="",$T1211=""),"","Included in Manager_Report")</f>
        <v/>
      </c>
    </row>
    <row r="1212" ht="15" customHeight="1" s="40">
      <c r="A1212" s="65">
        <f>IF(COUNTA(B1212:G1212)=0,"","STP-"&amp;TEXT(ROW()-4,"0000"))</f>
        <v/>
      </c>
      <c r="B1212" s="78" t="n"/>
      <c r="C1212" s="67">
        <f>IF($B1212="","",IFERROR(INDEX(Task_Tracker!$D$5:$D$1004,MATCH($B1212,Task_Tracker!$A$5:$A$1004,0)),""))</f>
        <v/>
      </c>
      <c r="D1212" s="67">
        <f>IF($B1212="","",IFERROR(INDEX(Task_Tracker!$B$5:$B$1004,MATCH($B1212,Task_Tracker!$A$5:$A$1004,0)),""))</f>
        <v/>
      </c>
      <c r="E1212" s="81" t="n"/>
      <c r="F1212" s="81" t="n"/>
      <c r="G1212" s="78" t="n"/>
      <c r="H1212" s="78" t="n"/>
      <c r="I1212" s="67">
        <f>IF($H1212="","",IFERROR(INDEX(Action_Status_Map!$B$5:$B$11,MATCH($H1212,Action_Status_Map!$A$5:$A$11,0)),""))</f>
        <v/>
      </c>
      <c r="J1212" s="82" t="n"/>
      <c r="K1212" s="82" t="n"/>
      <c r="L1212" s="82" t="n"/>
      <c r="M1212" s="83" t="n"/>
      <c r="N1212" s="83" t="n"/>
      <c r="O1212" s="66">
        <f>IF(OR($M1212="",$N1212=""),"",$N1212-$M1212)</f>
        <v/>
      </c>
      <c r="P1212" s="84">
        <f>IF($J1212="","",IF($L1212&lt;&gt;"",$L1212-$J1212,TODAY()-$J1212))</f>
        <v/>
      </c>
      <c r="Q1212" s="85">
        <f>IF(OR($K1212="",$H1212="Completed",$H1212="Cancelled"),"",IF(AND($K1212&lt;TODAY(),$H1212&lt;&gt;"Completed",$H1212&lt;&gt;"Cancelled"),"Overdue","On Track"))</f>
        <v/>
      </c>
      <c r="R1212" s="81" t="n"/>
      <c r="S1212" s="81">
        <f>IF($B1212="","",IFERROR(INDEX(Task_Tracker!$AA$5:$AA$1004,MATCH($B1212,Task_Tracker!$A$5:$A$1004,0)),""))</f>
        <v/>
      </c>
      <c r="T1212" s="81">
        <f>IF($B1212="","",IFERROR(INDEX(Task_Tracker!$AB$5:$AB$1004,MATCH($B1212,Task_Tracker!$A$5:$A$1004,0)),""))</f>
        <v/>
      </c>
      <c r="U1212" s="78">
        <f>IF($B1212="","",IFERROR(INDEX(Task_Tracker!$F$5:$F$1004,MATCH($B1212,Task_Tracker!$A$5:$A$1004,0)),""))</f>
        <v/>
      </c>
      <c r="V1212" s="78">
        <f>IF($B1212="","",IFERROR(INDEX(Task_Tracker!$I$5:$I$1004,MATCH($B1212,Task_Tracker!$A$5:$A$1004,0)),""))</f>
        <v/>
      </c>
      <c r="W1212" s="81">
        <f>IF(OR($D1212="",$B1212=""),"",$D1212&amp;" | "&amp;$B1212)</f>
        <v/>
      </c>
      <c r="X1212" s="85">
        <f>IF($K1212="","",TEXT($K1212,"yyyy-mm"))</f>
        <v/>
      </c>
      <c r="Y1212" s="81">
        <f>IF(OR($A1212="",$T1212=""),"","Included in Manager_Report")</f>
        <v/>
      </c>
    </row>
    <row r="1213" ht="15" customHeight="1" s="40">
      <c r="A1213" s="65">
        <f>IF(COUNTA(B1213:G1213)=0,"","STP-"&amp;TEXT(ROW()-4,"0000"))</f>
        <v/>
      </c>
      <c r="B1213" s="78" t="n"/>
      <c r="C1213" s="67">
        <f>IF($B1213="","",IFERROR(INDEX(Task_Tracker!$D$5:$D$1004,MATCH($B1213,Task_Tracker!$A$5:$A$1004,0)),""))</f>
        <v/>
      </c>
      <c r="D1213" s="67">
        <f>IF($B1213="","",IFERROR(INDEX(Task_Tracker!$B$5:$B$1004,MATCH($B1213,Task_Tracker!$A$5:$A$1004,0)),""))</f>
        <v/>
      </c>
      <c r="E1213" s="81" t="n"/>
      <c r="F1213" s="81" t="n"/>
      <c r="G1213" s="78" t="n"/>
      <c r="H1213" s="78" t="n"/>
      <c r="I1213" s="67">
        <f>IF($H1213="","",IFERROR(INDEX(Action_Status_Map!$B$5:$B$11,MATCH($H1213,Action_Status_Map!$A$5:$A$11,0)),""))</f>
        <v/>
      </c>
      <c r="J1213" s="82" t="n"/>
      <c r="K1213" s="82" t="n"/>
      <c r="L1213" s="82" t="n"/>
      <c r="M1213" s="83" t="n"/>
      <c r="N1213" s="83" t="n"/>
      <c r="O1213" s="66">
        <f>IF(OR($M1213="",$N1213=""),"",$N1213-$M1213)</f>
        <v/>
      </c>
      <c r="P1213" s="84">
        <f>IF($J1213="","",IF($L1213&lt;&gt;"",$L1213-$J1213,TODAY()-$J1213))</f>
        <v/>
      </c>
      <c r="Q1213" s="85">
        <f>IF(OR($K1213="",$H1213="Completed",$H1213="Cancelled"),"",IF(AND($K1213&lt;TODAY(),$H1213&lt;&gt;"Completed",$H1213&lt;&gt;"Cancelled"),"Overdue","On Track"))</f>
        <v/>
      </c>
      <c r="R1213" s="81" t="n"/>
      <c r="S1213" s="81">
        <f>IF($B1213="","",IFERROR(INDEX(Task_Tracker!$AA$5:$AA$1004,MATCH($B1213,Task_Tracker!$A$5:$A$1004,0)),""))</f>
        <v/>
      </c>
      <c r="T1213" s="81">
        <f>IF($B1213="","",IFERROR(INDEX(Task_Tracker!$AB$5:$AB$1004,MATCH($B1213,Task_Tracker!$A$5:$A$1004,0)),""))</f>
        <v/>
      </c>
      <c r="U1213" s="78">
        <f>IF($B1213="","",IFERROR(INDEX(Task_Tracker!$F$5:$F$1004,MATCH($B1213,Task_Tracker!$A$5:$A$1004,0)),""))</f>
        <v/>
      </c>
      <c r="V1213" s="78">
        <f>IF($B1213="","",IFERROR(INDEX(Task_Tracker!$I$5:$I$1004,MATCH($B1213,Task_Tracker!$A$5:$A$1004,0)),""))</f>
        <v/>
      </c>
      <c r="W1213" s="81">
        <f>IF(OR($D1213="",$B1213=""),"",$D1213&amp;" | "&amp;$B1213)</f>
        <v/>
      </c>
      <c r="X1213" s="85">
        <f>IF($K1213="","",TEXT($K1213,"yyyy-mm"))</f>
        <v/>
      </c>
      <c r="Y1213" s="81">
        <f>IF(OR($A1213="",$T1213=""),"","Included in Manager_Report")</f>
        <v/>
      </c>
    </row>
    <row r="1214" ht="15" customHeight="1" s="40">
      <c r="A1214" s="65">
        <f>IF(COUNTA(B1214:G1214)=0,"","STP-"&amp;TEXT(ROW()-4,"0000"))</f>
        <v/>
      </c>
      <c r="B1214" s="78" t="n"/>
      <c r="C1214" s="67">
        <f>IF($B1214="","",IFERROR(INDEX(Task_Tracker!$D$5:$D$1004,MATCH($B1214,Task_Tracker!$A$5:$A$1004,0)),""))</f>
        <v/>
      </c>
      <c r="D1214" s="67">
        <f>IF($B1214="","",IFERROR(INDEX(Task_Tracker!$B$5:$B$1004,MATCH($B1214,Task_Tracker!$A$5:$A$1004,0)),""))</f>
        <v/>
      </c>
      <c r="E1214" s="81" t="n"/>
      <c r="F1214" s="81" t="n"/>
      <c r="G1214" s="78" t="n"/>
      <c r="H1214" s="78" t="n"/>
      <c r="I1214" s="67">
        <f>IF($H1214="","",IFERROR(INDEX(Action_Status_Map!$B$5:$B$11,MATCH($H1214,Action_Status_Map!$A$5:$A$11,0)),""))</f>
        <v/>
      </c>
      <c r="J1214" s="82" t="n"/>
      <c r="K1214" s="82" t="n"/>
      <c r="L1214" s="82" t="n"/>
      <c r="M1214" s="83" t="n"/>
      <c r="N1214" s="83" t="n"/>
      <c r="O1214" s="66">
        <f>IF(OR($M1214="",$N1214=""),"",$N1214-$M1214)</f>
        <v/>
      </c>
      <c r="P1214" s="84">
        <f>IF($J1214="","",IF($L1214&lt;&gt;"",$L1214-$J1214,TODAY()-$J1214))</f>
        <v/>
      </c>
      <c r="Q1214" s="85">
        <f>IF(OR($K1214="",$H1214="Completed",$H1214="Cancelled"),"",IF(AND($K1214&lt;TODAY(),$H1214&lt;&gt;"Completed",$H1214&lt;&gt;"Cancelled"),"Overdue","On Track"))</f>
        <v/>
      </c>
      <c r="R1214" s="81" t="n"/>
      <c r="S1214" s="81">
        <f>IF($B1214="","",IFERROR(INDEX(Task_Tracker!$AA$5:$AA$1004,MATCH($B1214,Task_Tracker!$A$5:$A$1004,0)),""))</f>
        <v/>
      </c>
      <c r="T1214" s="81">
        <f>IF($B1214="","",IFERROR(INDEX(Task_Tracker!$AB$5:$AB$1004,MATCH($B1214,Task_Tracker!$A$5:$A$1004,0)),""))</f>
        <v/>
      </c>
      <c r="U1214" s="78">
        <f>IF($B1214="","",IFERROR(INDEX(Task_Tracker!$F$5:$F$1004,MATCH($B1214,Task_Tracker!$A$5:$A$1004,0)),""))</f>
        <v/>
      </c>
      <c r="V1214" s="78">
        <f>IF($B1214="","",IFERROR(INDEX(Task_Tracker!$I$5:$I$1004,MATCH($B1214,Task_Tracker!$A$5:$A$1004,0)),""))</f>
        <v/>
      </c>
      <c r="W1214" s="81">
        <f>IF(OR($D1214="",$B1214=""),"",$D1214&amp;" | "&amp;$B1214)</f>
        <v/>
      </c>
      <c r="X1214" s="85">
        <f>IF($K1214="","",TEXT($K1214,"yyyy-mm"))</f>
        <v/>
      </c>
      <c r="Y1214" s="81">
        <f>IF(OR($A1214="",$T1214=""),"","Included in Manager_Report")</f>
        <v/>
      </c>
    </row>
    <row r="1215" ht="15" customHeight="1" s="40">
      <c r="A1215" s="65">
        <f>IF(COUNTA(B1215:G1215)=0,"","STP-"&amp;TEXT(ROW()-4,"0000"))</f>
        <v/>
      </c>
      <c r="B1215" s="78" t="n"/>
      <c r="C1215" s="67">
        <f>IF($B1215="","",IFERROR(INDEX(Task_Tracker!$D$5:$D$1004,MATCH($B1215,Task_Tracker!$A$5:$A$1004,0)),""))</f>
        <v/>
      </c>
      <c r="D1215" s="67">
        <f>IF($B1215="","",IFERROR(INDEX(Task_Tracker!$B$5:$B$1004,MATCH($B1215,Task_Tracker!$A$5:$A$1004,0)),""))</f>
        <v/>
      </c>
      <c r="E1215" s="81" t="n"/>
      <c r="F1215" s="81" t="n"/>
      <c r="G1215" s="78" t="n"/>
      <c r="H1215" s="78" t="n"/>
      <c r="I1215" s="67">
        <f>IF($H1215="","",IFERROR(INDEX(Action_Status_Map!$B$5:$B$11,MATCH($H1215,Action_Status_Map!$A$5:$A$11,0)),""))</f>
        <v/>
      </c>
      <c r="J1215" s="82" t="n"/>
      <c r="K1215" s="82" t="n"/>
      <c r="L1215" s="82" t="n"/>
      <c r="M1215" s="83" t="n"/>
      <c r="N1215" s="83" t="n"/>
      <c r="O1215" s="66">
        <f>IF(OR($M1215="",$N1215=""),"",$N1215-$M1215)</f>
        <v/>
      </c>
      <c r="P1215" s="84">
        <f>IF($J1215="","",IF($L1215&lt;&gt;"",$L1215-$J1215,TODAY()-$J1215))</f>
        <v/>
      </c>
      <c r="Q1215" s="85">
        <f>IF(OR($K1215="",$H1215="Completed",$H1215="Cancelled"),"",IF(AND($K1215&lt;TODAY(),$H1215&lt;&gt;"Completed",$H1215&lt;&gt;"Cancelled"),"Overdue","On Track"))</f>
        <v/>
      </c>
      <c r="R1215" s="81" t="n"/>
      <c r="S1215" s="81">
        <f>IF($B1215="","",IFERROR(INDEX(Task_Tracker!$AA$5:$AA$1004,MATCH($B1215,Task_Tracker!$A$5:$A$1004,0)),""))</f>
        <v/>
      </c>
      <c r="T1215" s="81">
        <f>IF($B1215="","",IFERROR(INDEX(Task_Tracker!$AB$5:$AB$1004,MATCH($B1215,Task_Tracker!$A$5:$A$1004,0)),""))</f>
        <v/>
      </c>
      <c r="U1215" s="78">
        <f>IF($B1215="","",IFERROR(INDEX(Task_Tracker!$F$5:$F$1004,MATCH($B1215,Task_Tracker!$A$5:$A$1004,0)),""))</f>
        <v/>
      </c>
      <c r="V1215" s="78">
        <f>IF($B1215="","",IFERROR(INDEX(Task_Tracker!$I$5:$I$1004,MATCH($B1215,Task_Tracker!$A$5:$A$1004,0)),""))</f>
        <v/>
      </c>
      <c r="W1215" s="81">
        <f>IF(OR($D1215="",$B1215=""),"",$D1215&amp;" | "&amp;$B1215)</f>
        <v/>
      </c>
      <c r="X1215" s="85">
        <f>IF($K1215="","",TEXT($K1215,"yyyy-mm"))</f>
        <v/>
      </c>
      <c r="Y1215" s="81">
        <f>IF(OR($A1215="",$T1215=""),"","Included in Manager_Report")</f>
        <v/>
      </c>
    </row>
    <row r="1216" ht="15" customHeight="1" s="40">
      <c r="A1216" s="65">
        <f>IF(COUNTA(B1216:G1216)=0,"","STP-"&amp;TEXT(ROW()-4,"0000"))</f>
        <v/>
      </c>
      <c r="B1216" s="78" t="n"/>
      <c r="C1216" s="67">
        <f>IF($B1216="","",IFERROR(INDEX(Task_Tracker!$D$5:$D$1004,MATCH($B1216,Task_Tracker!$A$5:$A$1004,0)),""))</f>
        <v/>
      </c>
      <c r="D1216" s="67">
        <f>IF($B1216="","",IFERROR(INDEX(Task_Tracker!$B$5:$B$1004,MATCH($B1216,Task_Tracker!$A$5:$A$1004,0)),""))</f>
        <v/>
      </c>
      <c r="E1216" s="81" t="n"/>
      <c r="F1216" s="81" t="n"/>
      <c r="G1216" s="78" t="n"/>
      <c r="H1216" s="78" t="n"/>
      <c r="I1216" s="67">
        <f>IF($H1216="","",IFERROR(INDEX(Action_Status_Map!$B$5:$B$11,MATCH($H1216,Action_Status_Map!$A$5:$A$11,0)),""))</f>
        <v/>
      </c>
      <c r="J1216" s="82" t="n"/>
      <c r="K1216" s="82" t="n"/>
      <c r="L1216" s="82" t="n"/>
      <c r="M1216" s="83" t="n"/>
      <c r="N1216" s="83" t="n"/>
      <c r="O1216" s="66">
        <f>IF(OR($M1216="",$N1216=""),"",$N1216-$M1216)</f>
        <v/>
      </c>
      <c r="P1216" s="84">
        <f>IF($J1216="","",IF($L1216&lt;&gt;"",$L1216-$J1216,TODAY()-$J1216))</f>
        <v/>
      </c>
      <c r="Q1216" s="85">
        <f>IF(OR($K1216="",$H1216="Completed",$H1216="Cancelled"),"",IF(AND($K1216&lt;TODAY(),$H1216&lt;&gt;"Completed",$H1216&lt;&gt;"Cancelled"),"Overdue","On Track"))</f>
        <v/>
      </c>
      <c r="R1216" s="81" t="n"/>
      <c r="S1216" s="81">
        <f>IF($B1216="","",IFERROR(INDEX(Task_Tracker!$AA$5:$AA$1004,MATCH($B1216,Task_Tracker!$A$5:$A$1004,0)),""))</f>
        <v/>
      </c>
      <c r="T1216" s="81">
        <f>IF($B1216="","",IFERROR(INDEX(Task_Tracker!$AB$5:$AB$1004,MATCH($B1216,Task_Tracker!$A$5:$A$1004,0)),""))</f>
        <v/>
      </c>
      <c r="U1216" s="78">
        <f>IF($B1216="","",IFERROR(INDEX(Task_Tracker!$F$5:$F$1004,MATCH($B1216,Task_Tracker!$A$5:$A$1004,0)),""))</f>
        <v/>
      </c>
      <c r="V1216" s="78">
        <f>IF($B1216="","",IFERROR(INDEX(Task_Tracker!$I$5:$I$1004,MATCH($B1216,Task_Tracker!$A$5:$A$1004,0)),""))</f>
        <v/>
      </c>
      <c r="W1216" s="81">
        <f>IF(OR($D1216="",$B1216=""),"",$D1216&amp;" | "&amp;$B1216)</f>
        <v/>
      </c>
      <c r="X1216" s="85">
        <f>IF($K1216="","",TEXT($K1216,"yyyy-mm"))</f>
        <v/>
      </c>
      <c r="Y1216" s="81">
        <f>IF(OR($A1216="",$T1216=""),"","Included in Manager_Report")</f>
        <v/>
      </c>
    </row>
    <row r="1217" ht="15" customHeight="1" s="40">
      <c r="A1217" s="65">
        <f>IF(COUNTA(B1217:G1217)=0,"","STP-"&amp;TEXT(ROW()-4,"0000"))</f>
        <v/>
      </c>
      <c r="B1217" s="78" t="n"/>
      <c r="C1217" s="67">
        <f>IF($B1217="","",IFERROR(INDEX(Task_Tracker!$D$5:$D$1004,MATCH($B1217,Task_Tracker!$A$5:$A$1004,0)),""))</f>
        <v/>
      </c>
      <c r="D1217" s="67">
        <f>IF($B1217="","",IFERROR(INDEX(Task_Tracker!$B$5:$B$1004,MATCH($B1217,Task_Tracker!$A$5:$A$1004,0)),""))</f>
        <v/>
      </c>
      <c r="E1217" s="81" t="n"/>
      <c r="F1217" s="81" t="n"/>
      <c r="G1217" s="78" t="n"/>
      <c r="H1217" s="78" t="n"/>
      <c r="I1217" s="67">
        <f>IF($H1217="","",IFERROR(INDEX(Action_Status_Map!$B$5:$B$11,MATCH($H1217,Action_Status_Map!$A$5:$A$11,0)),""))</f>
        <v/>
      </c>
      <c r="J1217" s="82" t="n"/>
      <c r="K1217" s="82" t="n"/>
      <c r="L1217" s="82" t="n"/>
      <c r="M1217" s="83" t="n"/>
      <c r="N1217" s="83" t="n"/>
      <c r="O1217" s="66">
        <f>IF(OR($M1217="",$N1217=""),"",$N1217-$M1217)</f>
        <v/>
      </c>
      <c r="P1217" s="84">
        <f>IF($J1217="","",IF($L1217&lt;&gt;"",$L1217-$J1217,TODAY()-$J1217))</f>
        <v/>
      </c>
      <c r="Q1217" s="85">
        <f>IF(OR($K1217="",$H1217="Completed",$H1217="Cancelled"),"",IF(AND($K1217&lt;TODAY(),$H1217&lt;&gt;"Completed",$H1217&lt;&gt;"Cancelled"),"Overdue","On Track"))</f>
        <v/>
      </c>
      <c r="R1217" s="81" t="n"/>
      <c r="S1217" s="81">
        <f>IF($B1217="","",IFERROR(INDEX(Task_Tracker!$AA$5:$AA$1004,MATCH($B1217,Task_Tracker!$A$5:$A$1004,0)),""))</f>
        <v/>
      </c>
      <c r="T1217" s="81">
        <f>IF($B1217="","",IFERROR(INDEX(Task_Tracker!$AB$5:$AB$1004,MATCH($B1217,Task_Tracker!$A$5:$A$1004,0)),""))</f>
        <v/>
      </c>
      <c r="U1217" s="78">
        <f>IF($B1217="","",IFERROR(INDEX(Task_Tracker!$F$5:$F$1004,MATCH($B1217,Task_Tracker!$A$5:$A$1004,0)),""))</f>
        <v/>
      </c>
      <c r="V1217" s="78">
        <f>IF($B1217="","",IFERROR(INDEX(Task_Tracker!$I$5:$I$1004,MATCH($B1217,Task_Tracker!$A$5:$A$1004,0)),""))</f>
        <v/>
      </c>
      <c r="W1217" s="81">
        <f>IF(OR($D1217="",$B1217=""),"",$D1217&amp;" | "&amp;$B1217)</f>
        <v/>
      </c>
      <c r="X1217" s="85">
        <f>IF($K1217="","",TEXT($K1217,"yyyy-mm"))</f>
        <v/>
      </c>
      <c r="Y1217" s="81">
        <f>IF(OR($A1217="",$T1217=""),"","Included in Manager_Report")</f>
        <v/>
      </c>
    </row>
    <row r="1218" ht="15" customHeight="1" s="40">
      <c r="A1218" s="65">
        <f>IF(COUNTA(B1218:G1218)=0,"","STP-"&amp;TEXT(ROW()-4,"0000"))</f>
        <v/>
      </c>
      <c r="B1218" s="78" t="n"/>
      <c r="C1218" s="67">
        <f>IF($B1218="","",IFERROR(INDEX(Task_Tracker!$D$5:$D$1004,MATCH($B1218,Task_Tracker!$A$5:$A$1004,0)),""))</f>
        <v/>
      </c>
      <c r="D1218" s="67">
        <f>IF($B1218="","",IFERROR(INDEX(Task_Tracker!$B$5:$B$1004,MATCH($B1218,Task_Tracker!$A$5:$A$1004,0)),""))</f>
        <v/>
      </c>
      <c r="E1218" s="81" t="n"/>
      <c r="F1218" s="81" t="n"/>
      <c r="G1218" s="78" t="n"/>
      <c r="H1218" s="78" t="n"/>
      <c r="I1218" s="67">
        <f>IF($H1218="","",IFERROR(INDEX(Action_Status_Map!$B$5:$B$11,MATCH($H1218,Action_Status_Map!$A$5:$A$11,0)),""))</f>
        <v/>
      </c>
      <c r="J1218" s="82" t="n"/>
      <c r="K1218" s="82" t="n"/>
      <c r="L1218" s="82" t="n"/>
      <c r="M1218" s="83" t="n"/>
      <c r="N1218" s="83" t="n"/>
      <c r="O1218" s="66">
        <f>IF(OR($M1218="",$N1218=""),"",$N1218-$M1218)</f>
        <v/>
      </c>
      <c r="P1218" s="84">
        <f>IF($J1218="","",IF($L1218&lt;&gt;"",$L1218-$J1218,TODAY()-$J1218))</f>
        <v/>
      </c>
      <c r="Q1218" s="85">
        <f>IF(OR($K1218="",$H1218="Completed",$H1218="Cancelled"),"",IF(AND($K1218&lt;TODAY(),$H1218&lt;&gt;"Completed",$H1218&lt;&gt;"Cancelled"),"Overdue","On Track"))</f>
        <v/>
      </c>
      <c r="R1218" s="81" t="n"/>
      <c r="S1218" s="81">
        <f>IF($B1218="","",IFERROR(INDEX(Task_Tracker!$AA$5:$AA$1004,MATCH($B1218,Task_Tracker!$A$5:$A$1004,0)),""))</f>
        <v/>
      </c>
      <c r="T1218" s="81">
        <f>IF($B1218="","",IFERROR(INDEX(Task_Tracker!$AB$5:$AB$1004,MATCH($B1218,Task_Tracker!$A$5:$A$1004,0)),""))</f>
        <v/>
      </c>
      <c r="U1218" s="78">
        <f>IF($B1218="","",IFERROR(INDEX(Task_Tracker!$F$5:$F$1004,MATCH($B1218,Task_Tracker!$A$5:$A$1004,0)),""))</f>
        <v/>
      </c>
      <c r="V1218" s="78">
        <f>IF($B1218="","",IFERROR(INDEX(Task_Tracker!$I$5:$I$1004,MATCH($B1218,Task_Tracker!$A$5:$A$1004,0)),""))</f>
        <v/>
      </c>
      <c r="W1218" s="81">
        <f>IF(OR($D1218="",$B1218=""),"",$D1218&amp;" | "&amp;$B1218)</f>
        <v/>
      </c>
      <c r="X1218" s="85">
        <f>IF($K1218="","",TEXT($K1218,"yyyy-mm"))</f>
        <v/>
      </c>
      <c r="Y1218" s="81">
        <f>IF(OR($A1218="",$T1218=""),"","Included in Manager_Report")</f>
        <v/>
      </c>
    </row>
    <row r="1219" ht="15" customHeight="1" s="40">
      <c r="A1219" s="65">
        <f>IF(COUNTA(B1219:G1219)=0,"","STP-"&amp;TEXT(ROW()-4,"0000"))</f>
        <v/>
      </c>
      <c r="B1219" s="78" t="n"/>
      <c r="C1219" s="67">
        <f>IF($B1219="","",IFERROR(INDEX(Task_Tracker!$D$5:$D$1004,MATCH($B1219,Task_Tracker!$A$5:$A$1004,0)),""))</f>
        <v/>
      </c>
      <c r="D1219" s="67">
        <f>IF($B1219="","",IFERROR(INDEX(Task_Tracker!$B$5:$B$1004,MATCH($B1219,Task_Tracker!$A$5:$A$1004,0)),""))</f>
        <v/>
      </c>
      <c r="E1219" s="81" t="n"/>
      <c r="F1219" s="81" t="n"/>
      <c r="G1219" s="78" t="n"/>
      <c r="H1219" s="78" t="n"/>
      <c r="I1219" s="67">
        <f>IF($H1219="","",IFERROR(INDEX(Action_Status_Map!$B$5:$B$11,MATCH($H1219,Action_Status_Map!$A$5:$A$11,0)),""))</f>
        <v/>
      </c>
      <c r="J1219" s="82" t="n"/>
      <c r="K1219" s="82" t="n"/>
      <c r="L1219" s="82" t="n"/>
      <c r="M1219" s="83" t="n"/>
      <c r="N1219" s="83" t="n"/>
      <c r="O1219" s="66">
        <f>IF(OR($M1219="",$N1219=""),"",$N1219-$M1219)</f>
        <v/>
      </c>
      <c r="P1219" s="84">
        <f>IF($J1219="","",IF($L1219&lt;&gt;"",$L1219-$J1219,TODAY()-$J1219))</f>
        <v/>
      </c>
      <c r="Q1219" s="85">
        <f>IF(OR($K1219="",$H1219="Completed",$H1219="Cancelled"),"",IF(AND($K1219&lt;TODAY(),$H1219&lt;&gt;"Completed",$H1219&lt;&gt;"Cancelled"),"Overdue","On Track"))</f>
        <v/>
      </c>
      <c r="R1219" s="81" t="n"/>
      <c r="S1219" s="81">
        <f>IF($B1219="","",IFERROR(INDEX(Task_Tracker!$AA$5:$AA$1004,MATCH($B1219,Task_Tracker!$A$5:$A$1004,0)),""))</f>
        <v/>
      </c>
      <c r="T1219" s="81">
        <f>IF($B1219="","",IFERROR(INDEX(Task_Tracker!$AB$5:$AB$1004,MATCH($B1219,Task_Tracker!$A$5:$A$1004,0)),""))</f>
        <v/>
      </c>
      <c r="U1219" s="78">
        <f>IF($B1219="","",IFERROR(INDEX(Task_Tracker!$F$5:$F$1004,MATCH($B1219,Task_Tracker!$A$5:$A$1004,0)),""))</f>
        <v/>
      </c>
      <c r="V1219" s="78">
        <f>IF($B1219="","",IFERROR(INDEX(Task_Tracker!$I$5:$I$1004,MATCH($B1219,Task_Tracker!$A$5:$A$1004,0)),""))</f>
        <v/>
      </c>
      <c r="W1219" s="81">
        <f>IF(OR($D1219="",$B1219=""),"",$D1219&amp;" | "&amp;$B1219)</f>
        <v/>
      </c>
      <c r="X1219" s="85">
        <f>IF($K1219="","",TEXT($K1219,"yyyy-mm"))</f>
        <v/>
      </c>
      <c r="Y1219" s="81">
        <f>IF(OR($A1219="",$T1219=""),"","Included in Manager_Report")</f>
        <v/>
      </c>
    </row>
    <row r="1220" ht="15" customHeight="1" s="40">
      <c r="A1220" s="65">
        <f>IF(COUNTA(B1220:G1220)=0,"","STP-"&amp;TEXT(ROW()-4,"0000"))</f>
        <v/>
      </c>
      <c r="B1220" s="78" t="n"/>
      <c r="C1220" s="67">
        <f>IF($B1220="","",IFERROR(INDEX(Task_Tracker!$D$5:$D$1004,MATCH($B1220,Task_Tracker!$A$5:$A$1004,0)),""))</f>
        <v/>
      </c>
      <c r="D1220" s="67">
        <f>IF($B1220="","",IFERROR(INDEX(Task_Tracker!$B$5:$B$1004,MATCH($B1220,Task_Tracker!$A$5:$A$1004,0)),""))</f>
        <v/>
      </c>
      <c r="E1220" s="81" t="n"/>
      <c r="F1220" s="81" t="n"/>
      <c r="G1220" s="78" t="n"/>
      <c r="H1220" s="78" t="n"/>
      <c r="I1220" s="67">
        <f>IF($H1220="","",IFERROR(INDEX(Action_Status_Map!$B$5:$B$11,MATCH($H1220,Action_Status_Map!$A$5:$A$11,0)),""))</f>
        <v/>
      </c>
      <c r="J1220" s="82" t="n"/>
      <c r="K1220" s="82" t="n"/>
      <c r="L1220" s="82" t="n"/>
      <c r="M1220" s="83" t="n"/>
      <c r="N1220" s="83" t="n"/>
      <c r="O1220" s="66">
        <f>IF(OR($M1220="",$N1220=""),"",$N1220-$M1220)</f>
        <v/>
      </c>
      <c r="P1220" s="84">
        <f>IF($J1220="","",IF($L1220&lt;&gt;"",$L1220-$J1220,TODAY()-$J1220))</f>
        <v/>
      </c>
      <c r="Q1220" s="85">
        <f>IF(OR($K1220="",$H1220="Completed",$H1220="Cancelled"),"",IF(AND($K1220&lt;TODAY(),$H1220&lt;&gt;"Completed",$H1220&lt;&gt;"Cancelled"),"Overdue","On Track"))</f>
        <v/>
      </c>
      <c r="R1220" s="81" t="n"/>
      <c r="S1220" s="81">
        <f>IF($B1220="","",IFERROR(INDEX(Task_Tracker!$AA$5:$AA$1004,MATCH($B1220,Task_Tracker!$A$5:$A$1004,0)),""))</f>
        <v/>
      </c>
      <c r="T1220" s="81">
        <f>IF($B1220="","",IFERROR(INDEX(Task_Tracker!$AB$5:$AB$1004,MATCH($B1220,Task_Tracker!$A$5:$A$1004,0)),""))</f>
        <v/>
      </c>
      <c r="U1220" s="78">
        <f>IF($B1220="","",IFERROR(INDEX(Task_Tracker!$F$5:$F$1004,MATCH($B1220,Task_Tracker!$A$5:$A$1004,0)),""))</f>
        <v/>
      </c>
      <c r="V1220" s="78">
        <f>IF($B1220="","",IFERROR(INDEX(Task_Tracker!$I$5:$I$1004,MATCH($B1220,Task_Tracker!$A$5:$A$1004,0)),""))</f>
        <v/>
      </c>
      <c r="W1220" s="81">
        <f>IF(OR($D1220="",$B1220=""),"",$D1220&amp;" | "&amp;$B1220)</f>
        <v/>
      </c>
      <c r="X1220" s="85">
        <f>IF($K1220="","",TEXT($K1220,"yyyy-mm"))</f>
        <v/>
      </c>
      <c r="Y1220" s="81">
        <f>IF(OR($A1220="",$T1220=""),"","Included in Manager_Report")</f>
        <v/>
      </c>
    </row>
    <row r="1221" ht="15" customHeight="1" s="40">
      <c r="A1221" s="65">
        <f>IF(COUNTA(B1221:G1221)=0,"","STP-"&amp;TEXT(ROW()-4,"0000"))</f>
        <v/>
      </c>
      <c r="B1221" s="78" t="n"/>
      <c r="C1221" s="67">
        <f>IF($B1221="","",IFERROR(INDEX(Task_Tracker!$D$5:$D$1004,MATCH($B1221,Task_Tracker!$A$5:$A$1004,0)),""))</f>
        <v/>
      </c>
      <c r="D1221" s="67">
        <f>IF($B1221="","",IFERROR(INDEX(Task_Tracker!$B$5:$B$1004,MATCH($B1221,Task_Tracker!$A$5:$A$1004,0)),""))</f>
        <v/>
      </c>
      <c r="E1221" s="81" t="n"/>
      <c r="F1221" s="81" t="n"/>
      <c r="G1221" s="78" t="n"/>
      <c r="H1221" s="78" t="n"/>
      <c r="I1221" s="67">
        <f>IF($H1221="","",IFERROR(INDEX(Action_Status_Map!$B$5:$B$11,MATCH($H1221,Action_Status_Map!$A$5:$A$11,0)),""))</f>
        <v/>
      </c>
      <c r="J1221" s="82" t="n"/>
      <c r="K1221" s="82" t="n"/>
      <c r="L1221" s="82" t="n"/>
      <c r="M1221" s="83" t="n"/>
      <c r="N1221" s="83" t="n"/>
      <c r="O1221" s="66">
        <f>IF(OR($M1221="",$N1221=""),"",$N1221-$M1221)</f>
        <v/>
      </c>
      <c r="P1221" s="84">
        <f>IF($J1221="","",IF($L1221&lt;&gt;"",$L1221-$J1221,TODAY()-$J1221))</f>
        <v/>
      </c>
      <c r="Q1221" s="85">
        <f>IF(OR($K1221="",$H1221="Completed",$H1221="Cancelled"),"",IF(AND($K1221&lt;TODAY(),$H1221&lt;&gt;"Completed",$H1221&lt;&gt;"Cancelled"),"Overdue","On Track"))</f>
        <v/>
      </c>
      <c r="R1221" s="81" t="n"/>
      <c r="S1221" s="81">
        <f>IF($B1221="","",IFERROR(INDEX(Task_Tracker!$AA$5:$AA$1004,MATCH($B1221,Task_Tracker!$A$5:$A$1004,0)),""))</f>
        <v/>
      </c>
      <c r="T1221" s="81">
        <f>IF($B1221="","",IFERROR(INDEX(Task_Tracker!$AB$5:$AB$1004,MATCH($B1221,Task_Tracker!$A$5:$A$1004,0)),""))</f>
        <v/>
      </c>
      <c r="U1221" s="78">
        <f>IF($B1221="","",IFERROR(INDEX(Task_Tracker!$F$5:$F$1004,MATCH($B1221,Task_Tracker!$A$5:$A$1004,0)),""))</f>
        <v/>
      </c>
      <c r="V1221" s="78">
        <f>IF($B1221="","",IFERROR(INDEX(Task_Tracker!$I$5:$I$1004,MATCH($B1221,Task_Tracker!$A$5:$A$1004,0)),""))</f>
        <v/>
      </c>
      <c r="W1221" s="81">
        <f>IF(OR($D1221="",$B1221=""),"",$D1221&amp;" | "&amp;$B1221)</f>
        <v/>
      </c>
      <c r="X1221" s="85">
        <f>IF($K1221="","",TEXT($K1221,"yyyy-mm"))</f>
        <v/>
      </c>
      <c r="Y1221" s="81">
        <f>IF(OR($A1221="",$T1221=""),"","Included in Manager_Report")</f>
        <v/>
      </c>
    </row>
    <row r="1222" ht="15" customHeight="1" s="40">
      <c r="A1222" s="65">
        <f>IF(COUNTA(B1222:G1222)=0,"","STP-"&amp;TEXT(ROW()-4,"0000"))</f>
        <v/>
      </c>
      <c r="B1222" s="78" t="n"/>
      <c r="C1222" s="67">
        <f>IF($B1222="","",IFERROR(INDEX(Task_Tracker!$D$5:$D$1004,MATCH($B1222,Task_Tracker!$A$5:$A$1004,0)),""))</f>
        <v/>
      </c>
      <c r="D1222" s="67">
        <f>IF($B1222="","",IFERROR(INDEX(Task_Tracker!$B$5:$B$1004,MATCH($B1222,Task_Tracker!$A$5:$A$1004,0)),""))</f>
        <v/>
      </c>
      <c r="E1222" s="81" t="n"/>
      <c r="F1222" s="81" t="n"/>
      <c r="G1222" s="78" t="n"/>
      <c r="H1222" s="78" t="n"/>
      <c r="I1222" s="67">
        <f>IF($H1222="","",IFERROR(INDEX(Action_Status_Map!$B$5:$B$11,MATCH($H1222,Action_Status_Map!$A$5:$A$11,0)),""))</f>
        <v/>
      </c>
      <c r="J1222" s="82" t="n"/>
      <c r="K1222" s="82" t="n"/>
      <c r="L1222" s="82" t="n"/>
      <c r="M1222" s="83" t="n"/>
      <c r="N1222" s="83" t="n"/>
      <c r="O1222" s="66">
        <f>IF(OR($M1222="",$N1222=""),"",$N1222-$M1222)</f>
        <v/>
      </c>
      <c r="P1222" s="84">
        <f>IF($J1222="","",IF($L1222&lt;&gt;"",$L1222-$J1222,TODAY()-$J1222))</f>
        <v/>
      </c>
      <c r="Q1222" s="85">
        <f>IF(OR($K1222="",$H1222="Completed",$H1222="Cancelled"),"",IF(AND($K1222&lt;TODAY(),$H1222&lt;&gt;"Completed",$H1222&lt;&gt;"Cancelled"),"Overdue","On Track"))</f>
        <v/>
      </c>
      <c r="R1222" s="81" t="n"/>
      <c r="S1222" s="81">
        <f>IF($B1222="","",IFERROR(INDEX(Task_Tracker!$AA$5:$AA$1004,MATCH($B1222,Task_Tracker!$A$5:$A$1004,0)),""))</f>
        <v/>
      </c>
      <c r="T1222" s="81">
        <f>IF($B1222="","",IFERROR(INDEX(Task_Tracker!$AB$5:$AB$1004,MATCH($B1222,Task_Tracker!$A$5:$A$1004,0)),""))</f>
        <v/>
      </c>
      <c r="U1222" s="78">
        <f>IF($B1222="","",IFERROR(INDEX(Task_Tracker!$F$5:$F$1004,MATCH($B1222,Task_Tracker!$A$5:$A$1004,0)),""))</f>
        <v/>
      </c>
      <c r="V1222" s="78">
        <f>IF($B1222="","",IFERROR(INDEX(Task_Tracker!$I$5:$I$1004,MATCH($B1222,Task_Tracker!$A$5:$A$1004,0)),""))</f>
        <v/>
      </c>
      <c r="W1222" s="81">
        <f>IF(OR($D1222="",$B1222=""),"",$D1222&amp;" | "&amp;$B1222)</f>
        <v/>
      </c>
      <c r="X1222" s="85">
        <f>IF($K1222="","",TEXT($K1222,"yyyy-mm"))</f>
        <v/>
      </c>
      <c r="Y1222" s="81">
        <f>IF(OR($A1222="",$T1222=""),"","Included in Manager_Report")</f>
        <v/>
      </c>
    </row>
    <row r="1223" ht="15" customHeight="1" s="40">
      <c r="A1223" s="65">
        <f>IF(COUNTA(B1223:G1223)=0,"","STP-"&amp;TEXT(ROW()-4,"0000"))</f>
        <v/>
      </c>
      <c r="B1223" s="78" t="n"/>
      <c r="C1223" s="67">
        <f>IF($B1223="","",IFERROR(INDEX(Task_Tracker!$D$5:$D$1004,MATCH($B1223,Task_Tracker!$A$5:$A$1004,0)),""))</f>
        <v/>
      </c>
      <c r="D1223" s="67">
        <f>IF($B1223="","",IFERROR(INDEX(Task_Tracker!$B$5:$B$1004,MATCH($B1223,Task_Tracker!$A$5:$A$1004,0)),""))</f>
        <v/>
      </c>
      <c r="E1223" s="81" t="n"/>
      <c r="F1223" s="81" t="n"/>
      <c r="G1223" s="78" t="n"/>
      <c r="H1223" s="78" t="n"/>
      <c r="I1223" s="67">
        <f>IF($H1223="","",IFERROR(INDEX(Action_Status_Map!$B$5:$B$11,MATCH($H1223,Action_Status_Map!$A$5:$A$11,0)),""))</f>
        <v/>
      </c>
      <c r="J1223" s="82" t="n"/>
      <c r="K1223" s="82" t="n"/>
      <c r="L1223" s="82" t="n"/>
      <c r="M1223" s="83" t="n"/>
      <c r="N1223" s="83" t="n"/>
      <c r="O1223" s="66">
        <f>IF(OR($M1223="",$N1223=""),"",$N1223-$M1223)</f>
        <v/>
      </c>
      <c r="P1223" s="84">
        <f>IF($J1223="","",IF($L1223&lt;&gt;"",$L1223-$J1223,TODAY()-$J1223))</f>
        <v/>
      </c>
      <c r="Q1223" s="85">
        <f>IF(OR($K1223="",$H1223="Completed",$H1223="Cancelled"),"",IF(AND($K1223&lt;TODAY(),$H1223&lt;&gt;"Completed",$H1223&lt;&gt;"Cancelled"),"Overdue","On Track"))</f>
        <v/>
      </c>
      <c r="R1223" s="81" t="n"/>
      <c r="S1223" s="81">
        <f>IF($B1223="","",IFERROR(INDEX(Task_Tracker!$AA$5:$AA$1004,MATCH($B1223,Task_Tracker!$A$5:$A$1004,0)),""))</f>
        <v/>
      </c>
      <c r="T1223" s="81">
        <f>IF($B1223="","",IFERROR(INDEX(Task_Tracker!$AB$5:$AB$1004,MATCH($B1223,Task_Tracker!$A$5:$A$1004,0)),""))</f>
        <v/>
      </c>
      <c r="U1223" s="78">
        <f>IF($B1223="","",IFERROR(INDEX(Task_Tracker!$F$5:$F$1004,MATCH($B1223,Task_Tracker!$A$5:$A$1004,0)),""))</f>
        <v/>
      </c>
      <c r="V1223" s="78">
        <f>IF($B1223="","",IFERROR(INDEX(Task_Tracker!$I$5:$I$1004,MATCH($B1223,Task_Tracker!$A$5:$A$1004,0)),""))</f>
        <v/>
      </c>
      <c r="W1223" s="81">
        <f>IF(OR($D1223="",$B1223=""),"",$D1223&amp;" | "&amp;$B1223)</f>
        <v/>
      </c>
      <c r="X1223" s="85">
        <f>IF($K1223="","",TEXT($K1223,"yyyy-mm"))</f>
        <v/>
      </c>
      <c r="Y1223" s="81">
        <f>IF(OR($A1223="",$T1223=""),"","Included in Manager_Report")</f>
        <v/>
      </c>
    </row>
    <row r="1224" ht="15" customHeight="1" s="40">
      <c r="A1224" s="65">
        <f>IF(COUNTA(B1224:G1224)=0,"","STP-"&amp;TEXT(ROW()-4,"0000"))</f>
        <v/>
      </c>
      <c r="B1224" s="78" t="n"/>
      <c r="C1224" s="67">
        <f>IF($B1224="","",IFERROR(INDEX(Task_Tracker!$D$5:$D$1004,MATCH($B1224,Task_Tracker!$A$5:$A$1004,0)),""))</f>
        <v/>
      </c>
      <c r="D1224" s="67">
        <f>IF($B1224="","",IFERROR(INDEX(Task_Tracker!$B$5:$B$1004,MATCH($B1224,Task_Tracker!$A$5:$A$1004,0)),""))</f>
        <v/>
      </c>
      <c r="E1224" s="81" t="n"/>
      <c r="F1224" s="81" t="n"/>
      <c r="G1224" s="78" t="n"/>
      <c r="H1224" s="78" t="n"/>
      <c r="I1224" s="67">
        <f>IF($H1224="","",IFERROR(INDEX(Action_Status_Map!$B$5:$B$11,MATCH($H1224,Action_Status_Map!$A$5:$A$11,0)),""))</f>
        <v/>
      </c>
      <c r="J1224" s="82" t="n"/>
      <c r="K1224" s="82" t="n"/>
      <c r="L1224" s="82" t="n"/>
      <c r="M1224" s="83" t="n"/>
      <c r="N1224" s="83" t="n"/>
      <c r="O1224" s="66">
        <f>IF(OR($M1224="",$N1224=""),"",$N1224-$M1224)</f>
        <v/>
      </c>
      <c r="P1224" s="84">
        <f>IF($J1224="","",IF($L1224&lt;&gt;"",$L1224-$J1224,TODAY()-$J1224))</f>
        <v/>
      </c>
      <c r="Q1224" s="85">
        <f>IF(OR($K1224="",$H1224="Completed",$H1224="Cancelled"),"",IF(AND($K1224&lt;TODAY(),$H1224&lt;&gt;"Completed",$H1224&lt;&gt;"Cancelled"),"Overdue","On Track"))</f>
        <v/>
      </c>
      <c r="R1224" s="81" t="n"/>
      <c r="S1224" s="81">
        <f>IF($B1224="","",IFERROR(INDEX(Task_Tracker!$AA$5:$AA$1004,MATCH($B1224,Task_Tracker!$A$5:$A$1004,0)),""))</f>
        <v/>
      </c>
      <c r="T1224" s="81">
        <f>IF($B1224="","",IFERROR(INDEX(Task_Tracker!$AB$5:$AB$1004,MATCH($B1224,Task_Tracker!$A$5:$A$1004,0)),""))</f>
        <v/>
      </c>
      <c r="U1224" s="78">
        <f>IF($B1224="","",IFERROR(INDEX(Task_Tracker!$F$5:$F$1004,MATCH($B1224,Task_Tracker!$A$5:$A$1004,0)),""))</f>
        <v/>
      </c>
      <c r="V1224" s="78">
        <f>IF($B1224="","",IFERROR(INDEX(Task_Tracker!$I$5:$I$1004,MATCH($B1224,Task_Tracker!$A$5:$A$1004,0)),""))</f>
        <v/>
      </c>
      <c r="W1224" s="81">
        <f>IF(OR($D1224="",$B1224=""),"",$D1224&amp;" | "&amp;$B1224)</f>
        <v/>
      </c>
      <c r="X1224" s="85">
        <f>IF($K1224="","",TEXT($K1224,"yyyy-mm"))</f>
        <v/>
      </c>
      <c r="Y1224" s="81">
        <f>IF(OR($A1224="",$T1224=""),"","Included in Manager_Report")</f>
        <v/>
      </c>
    </row>
    <row r="1225" ht="15" customHeight="1" s="40">
      <c r="A1225" s="65">
        <f>IF(COUNTA(B1225:G1225)=0,"","STP-"&amp;TEXT(ROW()-4,"0000"))</f>
        <v/>
      </c>
      <c r="B1225" s="78" t="n"/>
      <c r="C1225" s="67">
        <f>IF($B1225="","",IFERROR(INDEX(Task_Tracker!$D$5:$D$1004,MATCH($B1225,Task_Tracker!$A$5:$A$1004,0)),""))</f>
        <v/>
      </c>
      <c r="D1225" s="67">
        <f>IF($B1225="","",IFERROR(INDEX(Task_Tracker!$B$5:$B$1004,MATCH($B1225,Task_Tracker!$A$5:$A$1004,0)),""))</f>
        <v/>
      </c>
      <c r="E1225" s="81" t="n"/>
      <c r="F1225" s="81" t="n"/>
      <c r="G1225" s="78" t="n"/>
      <c r="H1225" s="78" t="n"/>
      <c r="I1225" s="67">
        <f>IF($H1225="","",IFERROR(INDEX(Action_Status_Map!$B$5:$B$11,MATCH($H1225,Action_Status_Map!$A$5:$A$11,0)),""))</f>
        <v/>
      </c>
      <c r="J1225" s="82" t="n"/>
      <c r="K1225" s="82" t="n"/>
      <c r="L1225" s="82" t="n"/>
      <c r="M1225" s="83" t="n"/>
      <c r="N1225" s="83" t="n"/>
      <c r="O1225" s="66">
        <f>IF(OR($M1225="",$N1225=""),"",$N1225-$M1225)</f>
        <v/>
      </c>
      <c r="P1225" s="84">
        <f>IF($J1225="","",IF($L1225&lt;&gt;"",$L1225-$J1225,TODAY()-$J1225))</f>
        <v/>
      </c>
      <c r="Q1225" s="85">
        <f>IF(OR($K1225="",$H1225="Completed",$H1225="Cancelled"),"",IF(AND($K1225&lt;TODAY(),$H1225&lt;&gt;"Completed",$H1225&lt;&gt;"Cancelled"),"Overdue","On Track"))</f>
        <v/>
      </c>
      <c r="R1225" s="81" t="n"/>
      <c r="S1225" s="81">
        <f>IF($B1225="","",IFERROR(INDEX(Task_Tracker!$AA$5:$AA$1004,MATCH($B1225,Task_Tracker!$A$5:$A$1004,0)),""))</f>
        <v/>
      </c>
      <c r="T1225" s="81">
        <f>IF($B1225="","",IFERROR(INDEX(Task_Tracker!$AB$5:$AB$1004,MATCH($B1225,Task_Tracker!$A$5:$A$1004,0)),""))</f>
        <v/>
      </c>
      <c r="U1225" s="78">
        <f>IF($B1225="","",IFERROR(INDEX(Task_Tracker!$F$5:$F$1004,MATCH($B1225,Task_Tracker!$A$5:$A$1004,0)),""))</f>
        <v/>
      </c>
      <c r="V1225" s="78">
        <f>IF($B1225="","",IFERROR(INDEX(Task_Tracker!$I$5:$I$1004,MATCH($B1225,Task_Tracker!$A$5:$A$1004,0)),""))</f>
        <v/>
      </c>
      <c r="W1225" s="81">
        <f>IF(OR($D1225="",$B1225=""),"",$D1225&amp;" | "&amp;$B1225)</f>
        <v/>
      </c>
      <c r="X1225" s="85">
        <f>IF($K1225="","",TEXT($K1225,"yyyy-mm"))</f>
        <v/>
      </c>
      <c r="Y1225" s="81">
        <f>IF(OR($A1225="",$T1225=""),"","Included in Manager_Report")</f>
        <v/>
      </c>
    </row>
    <row r="1226" ht="15" customHeight="1" s="40">
      <c r="A1226" s="65">
        <f>IF(COUNTA(B1226:G1226)=0,"","STP-"&amp;TEXT(ROW()-4,"0000"))</f>
        <v/>
      </c>
      <c r="B1226" s="78" t="n"/>
      <c r="C1226" s="67">
        <f>IF($B1226="","",IFERROR(INDEX(Task_Tracker!$D$5:$D$1004,MATCH($B1226,Task_Tracker!$A$5:$A$1004,0)),""))</f>
        <v/>
      </c>
      <c r="D1226" s="67">
        <f>IF($B1226="","",IFERROR(INDEX(Task_Tracker!$B$5:$B$1004,MATCH($B1226,Task_Tracker!$A$5:$A$1004,0)),""))</f>
        <v/>
      </c>
      <c r="E1226" s="81" t="n"/>
      <c r="F1226" s="81" t="n"/>
      <c r="G1226" s="78" t="n"/>
      <c r="H1226" s="78" t="n"/>
      <c r="I1226" s="67">
        <f>IF($H1226="","",IFERROR(INDEX(Action_Status_Map!$B$5:$B$11,MATCH($H1226,Action_Status_Map!$A$5:$A$11,0)),""))</f>
        <v/>
      </c>
      <c r="J1226" s="82" t="n"/>
      <c r="K1226" s="82" t="n"/>
      <c r="L1226" s="82" t="n"/>
      <c r="M1226" s="83" t="n"/>
      <c r="N1226" s="83" t="n"/>
      <c r="O1226" s="66">
        <f>IF(OR($M1226="",$N1226=""),"",$N1226-$M1226)</f>
        <v/>
      </c>
      <c r="P1226" s="84">
        <f>IF($J1226="","",IF($L1226&lt;&gt;"",$L1226-$J1226,TODAY()-$J1226))</f>
        <v/>
      </c>
      <c r="Q1226" s="85">
        <f>IF(OR($K1226="",$H1226="Completed",$H1226="Cancelled"),"",IF(AND($K1226&lt;TODAY(),$H1226&lt;&gt;"Completed",$H1226&lt;&gt;"Cancelled"),"Overdue","On Track"))</f>
        <v/>
      </c>
      <c r="R1226" s="81" t="n"/>
      <c r="S1226" s="81">
        <f>IF($B1226="","",IFERROR(INDEX(Task_Tracker!$AA$5:$AA$1004,MATCH($B1226,Task_Tracker!$A$5:$A$1004,0)),""))</f>
        <v/>
      </c>
      <c r="T1226" s="81">
        <f>IF($B1226="","",IFERROR(INDEX(Task_Tracker!$AB$5:$AB$1004,MATCH($B1226,Task_Tracker!$A$5:$A$1004,0)),""))</f>
        <v/>
      </c>
      <c r="U1226" s="78">
        <f>IF($B1226="","",IFERROR(INDEX(Task_Tracker!$F$5:$F$1004,MATCH($B1226,Task_Tracker!$A$5:$A$1004,0)),""))</f>
        <v/>
      </c>
      <c r="V1226" s="78">
        <f>IF($B1226="","",IFERROR(INDEX(Task_Tracker!$I$5:$I$1004,MATCH($B1226,Task_Tracker!$A$5:$A$1004,0)),""))</f>
        <v/>
      </c>
      <c r="W1226" s="81">
        <f>IF(OR($D1226="",$B1226=""),"",$D1226&amp;" | "&amp;$B1226)</f>
        <v/>
      </c>
      <c r="X1226" s="85">
        <f>IF($K1226="","",TEXT($K1226,"yyyy-mm"))</f>
        <v/>
      </c>
      <c r="Y1226" s="81">
        <f>IF(OR($A1226="",$T1226=""),"","Included in Manager_Report")</f>
        <v/>
      </c>
    </row>
    <row r="1227" ht="15" customHeight="1" s="40">
      <c r="A1227" s="65">
        <f>IF(COUNTA(B1227:G1227)=0,"","STP-"&amp;TEXT(ROW()-4,"0000"))</f>
        <v/>
      </c>
      <c r="B1227" s="78" t="n"/>
      <c r="C1227" s="67">
        <f>IF($B1227="","",IFERROR(INDEX(Task_Tracker!$D$5:$D$1004,MATCH($B1227,Task_Tracker!$A$5:$A$1004,0)),""))</f>
        <v/>
      </c>
      <c r="D1227" s="67">
        <f>IF($B1227="","",IFERROR(INDEX(Task_Tracker!$B$5:$B$1004,MATCH($B1227,Task_Tracker!$A$5:$A$1004,0)),""))</f>
        <v/>
      </c>
      <c r="E1227" s="81" t="n"/>
      <c r="F1227" s="81" t="n"/>
      <c r="G1227" s="78" t="n"/>
      <c r="H1227" s="78" t="n"/>
      <c r="I1227" s="67">
        <f>IF($H1227="","",IFERROR(INDEX(Action_Status_Map!$B$5:$B$11,MATCH($H1227,Action_Status_Map!$A$5:$A$11,0)),""))</f>
        <v/>
      </c>
      <c r="J1227" s="82" t="n"/>
      <c r="K1227" s="82" t="n"/>
      <c r="L1227" s="82" t="n"/>
      <c r="M1227" s="83" t="n"/>
      <c r="N1227" s="83" t="n"/>
      <c r="O1227" s="66">
        <f>IF(OR($M1227="",$N1227=""),"",$N1227-$M1227)</f>
        <v/>
      </c>
      <c r="P1227" s="84">
        <f>IF($J1227="","",IF($L1227&lt;&gt;"",$L1227-$J1227,TODAY()-$J1227))</f>
        <v/>
      </c>
      <c r="Q1227" s="85">
        <f>IF(OR($K1227="",$H1227="Completed",$H1227="Cancelled"),"",IF(AND($K1227&lt;TODAY(),$H1227&lt;&gt;"Completed",$H1227&lt;&gt;"Cancelled"),"Overdue","On Track"))</f>
        <v/>
      </c>
      <c r="R1227" s="81" t="n"/>
      <c r="S1227" s="81">
        <f>IF($B1227="","",IFERROR(INDEX(Task_Tracker!$AA$5:$AA$1004,MATCH($B1227,Task_Tracker!$A$5:$A$1004,0)),""))</f>
        <v/>
      </c>
      <c r="T1227" s="81">
        <f>IF($B1227="","",IFERROR(INDEX(Task_Tracker!$AB$5:$AB$1004,MATCH($B1227,Task_Tracker!$A$5:$A$1004,0)),""))</f>
        <v/>
      </c>
      <c r="U1227" s="78">
        <f>IF($B1227="","",IFERROR(INDEX(Task_Tracker!$F$5:$F$1004,MATCH($B1227,Task_Tracker!$A$5:$A$1004,0)),""))</f>
        <v/>
      </c>
      <c r="V1227" s="78">
        <f>IF($B1227="","",IFERROR(INDEX(Task_Tracker!$I$5:$I$1004,MATCH($B1227,Task_Tracker!$A$5:$A$1004,0)),""))</f>
        <v/>
      </c>
      <c r="W1227" s="81">
        <f>IF(OR($D1227="",$B1227=""),"",$D1227&amp;" | "&amp;$B1227)</f>
        <v/>
      </c>
      <c r="X1227" s="85">
        <f>IF($K1227="","",TEXT($K1227,"yyyy-mm"))</f>
        <v/>
      </c>
      <c r="Y1227" s="81">
        <f>IF(OR($A1227="",$T1227=""),"","Included in Manager_Report")</f>
        <v/>
      </c>
    </row>
    <row r="1228" ht="15" customHeight="1" s="40">
      <c r="A1228" s="65">
        <f>IF(COUNTA(B1228:G1228)=0,"","STP-"&amp;TEXT(ROW()-4,"0000"))</f>
        <v/>
      </c>
      <c r="B1228" s="78" t="n"/>
      <c r="C1228" s="67">
        <f>IF($B1228="","",IFERROR(INDEX(Task_Tracker!$D$5:$D$1004,MATCH($B1228,Task_Tracker!$A$5:$A$1004,0)),""))</f>
        <v/>
      </c>
      <c r="D1228" s="67">
        <f>IF($B1228="","",IFERROR(INDEX(Task_Tracker!$B$5:$B$1004,MATCH($B1228,Task_Tracker!$A$5:$A$1004,0)),""))</f>
        <v/>
      </c>
      <c r="E1228" s="81" t="n"/>
      <c r="F1228" s="81" t="n"/>
      <c r="G1228" s="78" t="n"/>
      <c r="H1228" s="78" t="n"/>
      <c r="I1228" s="67">
        <f>IF($H1228="","",IFERROR(INDEX(Action_Status_Map!$B$5:$B$11,MATCH($H1228,Action_Status_Map!$A$5:$A$11,0)),""))</f>
        <v/>
      </c>
      <c r="J1228" s="82" t="n"/>
      <c r="K1228" s="82" t="n"/>
      <c r="L1228" s="82" t="n"/>
      <c r="M1228" s="83" t="n"/>
      <c r="N1228" s="83" t="n"/>
      <c r="O1228" s="66">
        <f>IF(OR($M1228="",$N1228=""),"",$N1228-$M1228)</f>
        <v/>
      </c>
      <c r="P1228" s="84">
        <f>IF($J1228="","",IF($L1228&lt;&gt;"",$L1228-$J1228,TODAY()-$J1228))</f>
        <v/>
      </c>
      <c r="Q1228" s="85">
        <f>IF(OR($K1228="",$H1228="Completed",$H1228="Cancelled"),"",IF(AND($K1228&lt;TODAY(),$H1228&lt;&gt;"Completed",$H1228&lt;&gt;"Cancelled"),"Overdue","On Track"))</f>
        <v/>
      </c>
      <c r="R1228" s="81" t="n"/>
      <c r="S1228" s="81">
        <f>IF($B1228="","",IFERROR(INDEX(Task_Tracker!$AA$5:$AA$1004,MATCH($B1228,Task_Tracker!$A$5:$A$1004,0)),""))</f>
        <v/>
      </c>
      <c r="T1228" s="81">
        <f>IF($B1228="","",IFERROR(INDEX(Task_Tracker!$AB$5:$AB$1004,MATCH($B1228,Task_Tracker!$A$5:$A$1004,0)),""))</f>
        <v/>
      </c>
      <c r="U1228" s="78">
        <f>IF($B1228="","",IFERROR(INDEX(Task_Tracker!$F$5:$F$1004,MATCH($B1228,Task_Tracker!$A$5:$A$1004,0)),""))</f>
        <v/>
      </c>
      <c r="V1228" s="78">
        <f>IF($B1228="","",IFERROR(INDEX(Task_Tracker!$I$5:$I$1004,MATCH($B1228,Task_Tracker!$A$5:$A$1004,0)),""))</f>
        <v/>
      </c>
      <c r="W1228" s="81">
        <f>IF(OR($D1228="",$B1228=""),"",$D1228&amp;" | "&amp;$B1228)</f>
        <v/>
      </c>
      <c r="X1228" s="85">
        <f>IF($K1228="","",TEXT($K1228,"yyyy-mm"))</f>
        <v/>
      </c>
      <c r="Y1228" s="81">
        <f>IF(OR($A1228="",$T1228=""),"","Included in Manager_Report")</f>
        <v/>
      </c>
    </row>
    <row r="1229" ht="15" customHeight="1" s="40">
      <c r="A1229" s="65">
        <f>IF(COUNTA(B1229:G1229)=0,"","STP-"&amp;TEXT(ROW()-4,"0000"))</f>
        <v/>
      </c>
      <c r="B1229" s="78" t="n"/>
      <c r="C1229" s="67">
        <f>IF($B1229="","",IFERROR(INDEX(Task_Tracker!$D$5:$D$1004,MATCH($B1229,Task_Tracker!$A$5:$A$1004,0)),""))</f>
        <v/>
      </c>
      <c r="D1229" s="67">
        <f>IF($B1229="","",IFERROR(INDEX(Task_Tracker!$B$5:$B$1004,MATCH($B1229,Task_Tracker!$A$5:$A$1004,0)),""))</f>
        <v/>
      </c>
      <c r="E1229" s="81" t="n"/>
      <c r="F1229" s="81" t="n"/>
      <c r="G1229" s="78" t="n"/>
      <c r="H1229" s="78" t="n"/>
      <c r="I1229" s="67">
        <f>IF($H1229="","",IFERROR(INDEX(Action_Status_Map!$B$5:$B$11,MATCH($H1229,Action_Status_Map!$A$5:$A$11,0)),""))</f>
        <v/>
      </c>
      <c r="J1229" s="82" t="n"/>
      <c r="K1229" s="82" t="n"/>
      <c r="L1229" s="82" t="n"/>
      <c r="M1229" s="83" t="n"/>
      <c r="N1229" s="83" t="n"/>
      <c r="O1229" s="66">
        <f>IF(OR($M1229="",$N1229=""),"",$N1229-$M1229)</f>
        <v/>
      </c>
      <c r="P1229" s="84">
        <f>IF($J1229="","",IF($L1229&lt;&gt;"",$L1229-$J1229,TODAY()-$J1229))</f>
        <v/>
      </c>
      <c r="Q1229" s="85">
        <f>IF(OR($K1229="",$H1229="Completed",$H1229="Cancelled"),"",IF(AND($K1229&lt;TODAY(),$H1229&lt;&gt;"Completed",$H1229&lt;&gt;"Cancelled"),"Overdue","On Track"))</f>
        <v/>
      </c>
      <c r="R1229" s="81" t="n"/>
      <c r="S1229" s="81">
        <f>IF($B1229="","",IFERROR(INDEX(Task_Tracker!$AA$5:$AA$1004,MATCH($B1229,Task_Tracker!$A$5:$A$1004,0)),""))</f>
        <v/>
      </c>
      <c r="T1229" s="81">
        <f>IF($B1229="","",IFERROR(INDEX(Task_Tracker!$AB$5:$AB$1004,MATCH($B1229,Task_Tracker!$A$5:$A$1004,0)),""))</f>
        <v/>
      </c>
      <c r="U1229" s="78">
        <f>IF($B1229="","",IFERROR(INDEX(Task_Tracker!$F$5:$F$1004,MATCH($B1229,Task_Tracker!$A$5:$A$1004,0)),""))</f>
        <v/>
      </c>
      <c r="V1229" s="78">
        <f>IF($B1229="","",IFERROR(INDEX(Task_Tracker!$I$5:$I$1004,MATCH($B1229,Task_Tracker!$A$5:$A$1004,0)),""))</f>
        <v/>
      </c>
      <c r="W1229" s="81">
        <f>IF(OR($D1229="",$B1229=""),"",$D1229&amp;" | "&amp;$B1229)</f>
        <v/>
      </c>
      <c r="X1229" s="85">
        <f>IF($K1229="","",TEXT($K1229,"yyyy-mm"))</f>
        <v/>
      </c>
      <c r="Y1229" s="81">
        <f>IF(OR($A1229="",$T1229=""),"","Included in Manager_Report")</f>
        <v/>
      </c>
    </row>
    <row r="1230" ht="15" customHeight="1" s="40">
      <c r="A1230" s="65">
        <f>IF(COUNTA(B1230:G1230)=0,"","STP-"&amp;TEXT(ROW()-4,"0000"))</f>
        <v/>
      </c>
      <c r="B1230" s="78" t="n"/>
      <c r="C1230" s="67">
        <f>IF($B1230="","",IFERROR(INDEX(Task_Tracker!$D$5:$D$1004,MATCH($B1230,Task_Tracker!$A$5:$A$1004,0)),""))</f>
        <v/>
      </c>
      <c r="D1230" s="67">
        <f>IF($B1230="","",IFERROR(INDEX(Task_Tracker!$B$5:$B$1004,MATCH($B1230,Task_Tracker!$A$5:$A$1004,0)),""))</f>
        <v/>
      </c>
      <c r="E1230" s="81" t="n"/>
      <c r="F1230" s="81" t="n"/>
      <c r="G1230" s="78" t="n"/>
      <c r="H1230" s="78" t="n"/>
      <c r="I1230" s="67">
        <f>IF($H1230="","",IFERROR(INDEX(Action_Status_Map!$B$5:$B$11,MATCH($H1230,Action_Status_Map!$A$5:$A$11,0)),""))</f>
        <v/>
      </c>
      <c r="J1230" s="82" t="n"/>
      <c r="K1230" s="82" t="n"/>
      <c r="L1230" s="82" t="n"/>
      <c r="M1230" s="83" t="n"/>
      <c r="N1230" s="83" t="n"/>
      <c r="O1230" s="66">
        <f>IF(OR($M1230="",$N1230=""),"",$N1230-$M1230)</f>
        <v/>
      </c>
      <c r="P1230" s="84">
        <f>IF($J1230="","",IF($L1230&lt;&gt;"",$L1230-$J1230,TODAY()-$J1230))</f>
        <v/>
      </c>
      <c r="Q1230" s="85">
        <f>IF(OR($K1230="",$H1230="Completed",$H1230="Cancelled"),"",IF(AND($K1230&lt;TODAY(),$H1230&lt;&gt;"Completed",$H1230&lt;&gt;"Cancelled"),"Overdue","On Track"))</f>
        <v/>
      </c>
      <c r="R1230" s="81" t="n"/>
      <c r="S1230" s="81">
        <f>IF($B1230="","",IFERROR(INDEX(Task_Tracker!$AA$5:$AA$1004,MATCH($B1230,Task_Tracker!$A$5:$A$1004,0)),""))</f>
        <v/>
      </c>
      <c r="T1230" s="81">
        <f>IF($B1230="","",IFERROR(INDEX(Task_Tracker!$AB$5:$AB$1004,MATCH($B1230,Task_Tracker!$A$5:$A$1004,0)),""))</f>
        <v/>
      </c>
      <c r="U1230" s="78">
        <f>IF($B1230="","",IFERROR(INDEX(Task_Tracker!$F$5:$F$1004,MATCH($B1230,Task_Tracker!$A$5:$A$1004,0)),""))</f>
        <v/>
      </c>
      <c r="V1230" s="78">
        <f>IF($B1230="","",IFERROR(INDEX(Task_Tracker!$I$5:$I$1004,MATCH($B1230,Task_Tracker!$A$5:$A$1004,0)),""))</f>
        <v/>
      </c>
      <c r="W1230" s="81">
        <f>IF(OR($D1230="",$B1230=""),"",$D1230&amp;" | "&amp;$B1230)</f>
        <v/>
      </c>
      <c r="X1230" s="85">
        <f>IF($K1230="","",TEXT($K1230,"yyyy-mm"))</f>
        <v/>
      </c>
      <c r="Y1230" s="81">
        <f>IF(OR($A1230="",$T1230=""),"","Included in Manager_Report")</f>
        <v/>
      </c>
    </row>
    <row r="1231" ht="15" customHeight="1" s="40">
      <c r="A1231" s="65">
        <f>IF(COUNTA(B1231:G1231)=0,"","STP-"&amp;TEXT(ROW()-4,"0000"))</f>
        <v/>
      </c>
      <c r="B1231" s="78" t="n"/>
      <c r="C1231" s="67">
        <f>IF($B1231="","",IFERROR(INDEX(Task_Tracker!$D$5:$D$1004,MATCH($B1231,Task_Tracker!$A$5:$A$1004,0)),""))</f>
        <v/>
      </c>
      <c r="D1231" s="67">
        <f>IF($B1231="","",IFERROR(INDEX(Task_Tracker!$B$5:$B$1004,MATCH($B1231,Task_Tracker!$A$5:$A$1004,0)),""))</f>
        <v/>
      </c>
      <c r="E1231" s="81" t="n"/>
      <c r="F1231" s="81" t="n"/>
      <c r="G1231" s="78" t="n"/>
      <c r="H1231" s="78" t="n"/>
      <c r="I1231" s="67">
        <f>IF($H1231="","",IFERROR(INDEX(Action_Status_Map!$B$5:$B$11,MATCH($H1231,Action_Status_Map!$A$5:$A$11,0)),""))</f>
        <v/>
      </c>
      <c r="J1231" s="82" t="n"/>
      <c r="K1231" s="82" t="n"/>
      <c r="L1231" s="82" t="n"/>
      <c r="M1231" s="83" t="n"/>
      <c r="N1231" s="83" t="n"/>
      <c r="O1231" s="66">
        <f>IF(OR($M1231="",$N1231=""),"",$N1231-$M1231)</f>
        <v/>
      </c>
      <c r="P1231" s="84">
        <f>IF($J1231="","",IF($L1231&lt;&gt;"",$L1231-$J1231,TODAY()-$J1231))</f>
        <v/>
      </c>
      <c r="Q1231" s="85">
        <f>IF(OR($K1231="",$H1231="Completed",$H1231="Cancelled"),"",IF(AND($K1231&lt;TODAY(),$H1231&lt;&gt;"Completed",$H1231&lt;&gt;"Cancelled"),"Overdue","On Track"))</f>
        <v/>
      </c>
      <c r="R1231" s="81" t="n"/>
      <c r="S1231" s="81">
        <f>IF($B1231="","",IFERROR(INDEX(Task_Tracker!$AA$5:$AA$1004,MATCH($B1231,Task_Tracker!$A$5:$A$1004,0)),""))</f>
        <v/>
      </c>
      <c r="T1231" s="81">
        <f>IF($B1231="","",IFERROR(INDEX(Task_Tracker!$AB$5:$AB$1004,MATCH($B1231,Task_Tracker!$A$5:$A$1004,0)),""))</f>
        <v/>
      </c>
      <c r="U1231" s="78">
        <f>IF($B1231="","",IFERROR(INDEX(Task_Tracker!$F$5:$F$1004,MATCH($B1231,Task_Tracker!$A$5:$A$1004,0)),""))</f>
        <v/>
      </c>
      <c r="V1231" s="78">
        <f>IF($B1231="","",IFERROR(INDEX(Task_Tracker!$I$5:$I$1004,MATCH($B1231,Task_Tracker!$A$5:$A$1004,0)),""))</f>
        <v/>
      </c>
      <c r="W1231" s="81">
        <f>IF(OR($D1231="",$B1231=""),"",$D1231&amp;" | "&amp;$B1231)</f>
        <v/>
      </c>
      <c r="X1231" s="85">
        <f>IF($K1231="","",TEXT($K1231,"yyyy-mm"))</f>
        <v/>
      </c>
      <c r="Y1231" s="81">
        <f>IF(OR($A1231="",$T1231=""),"","Included in Manager_Report")</f>
        <v/>
      </c>
    </row>
    <row r="1232" ht="15" customHeight="1" s="40">
      <c r="A1232" s="65">
        <f>IF(COUNTA(B1232:G1232)=0,"","STP-"&amp;TEXT(ROW()-4,"0000"))</f>
        <v/>
      </c>
      <c r="B1232" s="78" t="n"/>
      <c r="C1232" s="67">
        <f>IF($B1232="","",IFERROR(INDEX(Task_Tracker!$D$5:$D$1004,MATCH($B1232,Task_Tracker!$A$5:$A$1004,0)),""))</f>
        <v/>
      </c>
      <c r="D1232" s="67">
        <f>IF($B1232="","",IFERROR(INDEX(Task_Tracker!$B$5:$B$1004,MATCH($B1232,Task_Tracker!$A$5:$A$1004,0)),""))</f>
        <v/>
      </c>
      <c r="E1232" s="81" t="n"/>
      <c r="F1232" s="81" t="n"/>
      <c r="G1232" s="78" t="n"/>
      <c r="H1232" s="78" t="n"/>
      <c r="I1232" s="67">
        <f>IF($H1232="","",IFERROR(INDEX(Action_Status_Map!$B$5:$B$11,MATCH($H1232,Action_Status_Map!$A$5:$A$11,0)),""))</f>
        <v/>
      </c>
      <c r="J1232" s="82" t="n"/>
      <c r="K1232" s="82" t="n"/>
      <c r="L1232" s="82" t="n"/>
      <c r="M1232" s="83" t="n"/>
      <c r="N1232" s="83" t="n"/>
      <c r="O1232" s="66">
        <f>IF(OR($M1232="",$N1232=""),"",$N1232-$M1232)</f>
        <v/>
      </c>
      <c r="P1232" s="84">
        <f>IF($J1232="","",IF($L1232&lt;&gt;"",$L1232-$J1232,TODAY()-$J1232))</f>
        <v/>
      </c>
      <c r="Q1232" s="85">
        <f>IF(OR($K1232="",$H1232="Completed",$H1232="Cancelled"),"",IF(AND($K1232&lt;TODAY(),$H1232&lt;&gt;"Completed",$H1232&lt;&gt;"Cancelled"),"Overdue","On Track"))</f>
        <v/>
      </c>
      <c r="R1232" s="81" t="n"/>
      <c r="S1232" s="81">
        <f>IF($B1232="","",IFERROR(INDEX(Task_Tracker!$AA$5:$AA$1004,MATCH($B1232,Task_Tracker!$A$5:$A$1004,0)),""))</f>
        <v/>
      </c>
      <c r="T1232" s="81">
        <f>IF($B1232="","",IFERROR(INDEX(Task_Tracker!$AB$5:$AB$1004,MATCH($B1232,Task_Tracker!$A$5:$A$1004,0)),""))</f>
        <v/>
      </c>
      <c r="U1232" s="78">
        <f>IF($B1232="","",IFERROR(INDEX(Task_Tracker!$F$5:$F$1004,MATCH($B1232,Task_Tracker!$A$5:$A$1004,0)),""))</f>
        <v/>
      </c>
      <c r="V1232" s="78">
        <f>IF($B1232="","",IFERROR(INDEX(Task_Tracker!$I$5:$I$1004,MATCH($B1232,Task_Tracker!$A$5:$A$1004,0)),""))</f>
        <v/>
      </c>
      <c r="W1232" s="81">
        <f>IF(OR($D1232="",$B1232=""),"",$D1232&amp;" | "&amp;$B1232)</f>
        <v/>
      </c>
      <c r="X1232" s="85">
        <f>IF($K1232="","",TEXT($K1232,"yyyy-mm"))</f>
        <v/>
      </c>
      <c r="Y1232" s="81">
        <f>IF(OR($A1232="",$T1232=""),"","Included in Manager_Report")</f>
        <v/>
      </c>
    </row>
    <row r="1233" ht="15" customHeight="1" s="40">
      <c r="A1233" s="65">
        <f>IF(COUNTA(B1233:G1233)=0,"","STP-"&amp;TEXT(ROW()-4,"0000"))</f>
        <v/>
      </c>
      <c r="B1233" s="78" t="n"/>
      <c r="C1233" s="67">
        <f>IF($B1233="","",IFERROR(INDEX(Task_Tracker!$D$5:$D$1004,MATCH($B1233,Task_Tracker!$A$5:$A$1004,0)),""))</f>
        <v/>
      </c>
      <c r="D1233" s="67">
        <f>IF($B1233="","",IFERROR(INDEX(Task_Tracker!$B$5:$B$1004,MATCH($B1233,Task_Tracker!$A$5:$A$1004,0)),""))</f>
        <v/>
      </c>
      <c r="E1233" s="81" t="n"/>
      <c r="F1233" s="81" t="n"/>
      <c r="G1233" s="78" t="n"/>
      <c r="H1233" s="78" t="n"/>
      <c r="I1233" s="67">
        <f>IF($H1233="","",IFERROR(INDEX(Action_Status_Map!$B$5:$B$11,MATCH($H1233,Action_Status_Map!$A$5:$A$11,0)),""))</f>
        <v/>
      </c>
      <c r="J1233" s="82" t="n"/>
      <c r="K1233" s="82" t="n"/>
      <c r="L1233" s="82" t="n"/>
      <c r="M1233" s="83" t="n"/>
      <c r="N1233" s="83" t="n"/>
      <c r="O1233" s="66">
        <f>IF(OR($M1233="",$N1233=""),"",$N1233-$M1233)</f>
        <v/>
      </c>
      <c r="P1233" s="84">
        <f>IF($J1233="","",IF($L1233&lt;&gt;"",$L1233-$J1233,TODAY()-$J1233))</f>
        <v/>
      </c>
      <c r="Q1233" s="85">
        <f>IF(OR($K1233="",$H1233="Completed",$H1233="Cancelled"),"",IF(AND($K1233&lt;TODAY(),$H1233&lt;&gt;"Completed",$H1233&lt;&gt;"Cancelled"),"Overdue","On Track"))</f>
        <v/>
      </c>
      <c r="R1233" s="81" t="n"/>
      <c r="S1233" s="81">
        <f>IF($B1233="","",IFERROR(INDEX(Task_Tracker!$AA$5:$AA$1004,MATCH($B1233,Task_Tracker!$A$5:$A$1004,0)),""))</f>
        <v/>
      </c>
      <c r="T1233" s="81">
        <f>IF($B1233="","",IFERROR(INDEX(Task_Tracker!$AB$5:$AB$1004,MATCH($B1233,Task_Tracker!$A$5:$A$1004,0)),""))</f>
        <v/>
      </c>
      <c r="U1233" s="78">
        <f>IF($B1233="","",IFERROR(INDEX(Task_Tracker!$F$5:$F$1004,MATCH($B1233,Task_Tracker!$A$5:$A$1004,0)),""))</f>
        <v/>
      </c>
      <c r="V1233" s="78">
        <f>IF($B1233="","",IFERROR(INDEX(Task_Tracker!$I$5:$I$1004,MATCH($B1233,Task_Tracker!$A$5:$A$1004,0)),""))</f>
        <v/>
      </c>
      <c r="W1233" s="81">
        <f>IF(OR($D1233="",$B1233=""),"",$D1233&amp;" | "&amp;$B1233)</f>
        <v/>
      </c>
      <c r="X1233" s="85">
        <f>IF($K1233="","",TEXT($K1233,"yyyy-mm"))</f>
        <v/>
      </c>
      <c r="Y1233" s="81">
        <f>IF(OR($A1233="",$T1233=""),"","Included in Manager_Report")</f>
        <v/>
      </c>
    </row>
    <row r="1234" ht="15" customHeight="1" s="40">
      <c r="A1234" s="65">
        <f>IF(COUNTA(B1234:G1234)=0,"","STP-"&amp;TEXT(ROW()-4,"0000"))</f>
        <v/>
      </c>
      <c r="B1234" s="78" t="n"/>
      <c r="C1234" s="67">
        <f>IF($B1234="","",IFERROR(INDEX(Task_Tracker!$D$5:$D$1004,MATCH($B1234,Task_Tracker!$A$5:$A$1004,0)),""))</f>
        <v/>
      </c>
      <c r="D1234" s="67">
        <f>IF($B1234="","",IFERROR(INDEX(Task_Tracker!$B$5:$B$1004,MATCH($B1234,Task_Tracker!$A$5:$A$1004,0)),""))</f>
        <v/>
      </c>
      <c r="E1234" s="81" t="n"/>
      <c r="F1234" s="81" t="n"/>
      <c r="G1234" s="78" t="n"/>
      <c r="H1234" s="78" t="n"/>
      <c r="I1234" s="67">
        <f>IF($H1234="","",IFERROR(INDEX(Action_Status_Map!$B$5:$B$11,MATCH($H1234,Action_Status_Map!$A$5:$A$11,0)),""))</f>
        <v/>
      </c>
      <c r="J1234" s="82" t="n"/>
      <c r="K1234" s="82" t="n"/>
      <c r="L1234" s="82" t="n"/>
      <c r="M1234" s="83" t="n"/>
      <c r="N1234" s="83" t="n"/>
      <c r="O1234" s="66">
        <f>IF(OR($M1234="",$N1234=""),"",$N1234-$M1234)</f>
        <v/>
      </c>
      <c r="P1234" s="84">
        <f>IF($J1234="","",IF($L1234&lt;&gt;"",$L1234-$J1234,TODAY()-$J1234))</f>
        <v/>
      </c>
      <c r="Q1234" s="85">
        <f>IF(OR($K1234="",$H1234="Completed",$H1234="Cancelled"),"",IF(AND($K1234&lt;TODAY(),$H1234&lt;&gt;"Completed",$H1234&lt;&gt;"Cancelled"),"Overdue","On Track"))</f>
        <v/>
      </c>
      <c r="R1234" s="81" t="n"/>
      <c r="S1234" s="81">
        <f>IF($B1234="","",IFERROR(INDEX(Task_Tracker!$AA$5:$AA$1004,MATCH($B1234,Task_Tracker!$A$5:$A$1004,0)),""))</f>
        <v/>
      </c>
      <c r="T1234" s="81">
        <f>IF($B1234="","",IFERROR(INDEX(Task_Tracker!$AB$5:$AB$1004,MATCH($B1234,Task_Tracker!$A$5:$A$1004,0)),""))</f>
        <v/>
      </c>
      <c r="U1234" s="78">
        <f>IF($B1234="","",IFERROR(INDEX(Task_Tracker!$F$5:$F$1004,MATCH($B1234,Task_Tracker!$A$5:$A$1004,0)),""))</f>
        <v/>
      </c>
      <c r="V1234" s="78">
        <f>IF($B1234="","",IFERROR(INDEX(Task_Tracker!$I$5:$I$1004,MATCH($B1234,Task_Tracker!$A$5:$A$1004,0)),""))</f>
        <v/>
      </c>
      <c r="W1234" s="81">
        <f>IF(OR($D1234="",$B1234=""),"",$D1234&amp;" | "&amp;$B1234)</f>
        <v/>
      </c>
      <c r="X1234" s="85">
        <f>IF($K1234="","",TEXT($K1234,"yyyy-mm"))</f>
        <v/>
      </c>
      <c r="Y1234" s="81">
        <f>IF(OR($A1234="",$T1234=""),"","Included in Manager_Report")</f>
        <v/>
      </c>
    </row>
    <row r="1235" ht="15" customHeight="1" s="40">
      <c r="A1235" s="65">
        <f>IF(COUNTA(B1235:G1235)=0,"","STP-"&amp;TEXT(ROW()-4,"0000"))</f>
        <v/>
      </c>
      <c r="B1235" s="78" t="n"/>
      <c r="C1235" s="67">
        <f>IF($B1235="","",IFERROR(INDEX(Task_Tracker!$D$5:$D$1004,MATCH($B1235,Task_Tracker!$A$5:$A$1004,0)),""))</f>
        <v/>
      </c>
      <c r="D1235" s="67">
        <f>IF($B1235="","",IFERROR(INDEX(Task_Tracker!$B$5:$B$1004,MATCH($B1235,Task_Tracker!$A$5:$A$1004,0)),""))</f>
        <v/>
      </c>
      <c r="E1235" s="81" t="n"/>
      <c r="F1235" s="81" t="n"/>
      <c r="G1235" s="78" t="n"/>
      <c r="H1235" s="78" t="n"/>
      <c r="I1235" s="67">
        <f>IF($H1235="","",IFERROR(INDEX(Action_Status_Map!$B$5:$B$11,MATCH($H1235,Action_Status_Map!$A$5:$A$11,0)),""))</f>
        <v/>
      </c>
      <c r="J1235" s="82" t="n"/>
      <c r="K1235" s="82" t="n"/>
      <c r="L1235" s="82" t="n"/>
      <c r="M1235" s="83" t="n"/>
      <c r="N1235" s="83" t="n"/>
      <c r="O1235" s="66">
        <f>IF(OR($M1235="",$N1235=""),"",$N1235-$M1235)</f>
        <v/>
      </c>
      <c r="P1235" s="84">
        <f>IF($J1235="","",IF($L1235&lt;&gt;"",$L1235-$J1235,TODAY()-$J1235))</f>
        <v/>
      </c>
      <c r="Q1235" s="85">
        <f>IF(OR($K1235="",$H1235="Completed",$H1235="Cancelled"),"",IF(AND($K1235&lt;TODAY(),$H1235&lt;&gt;"Completed",$H1235&lt;&gt;"Cancelled"),"Overdue","On Track"))</f>
        <v/>
      </c>
      <c r="R1235" s="81" t="n"/>
      <c r="S1235" s="81">
        <f>IF($B1235="","",IFERROR(INDEX(Task_Tracker!$AA$5:$AA$1004,MATCH($B1235,Task_Tracker!$A$5:$A$1004,0)),""))</f>
        <v/>
      </c>
      <c r="T1235" s="81">
        <f>IF($B1235="","",IFERROR(INDEX(Task_Tracker!$AB$5:$AB$1004,MATCH($B1235,Task_Tracker!$A$5:$A$1004,0)),""))</f>
        <v/>
      </c>
      <c r="U1235" s="78">
        <f>IF($B1235="","",IFERROR(INDEX(Task_Tracker!$F$5:$F$1004,MATCH($B1235,Task_Tracker!$A$5:$A$1004,0)),""))</f>
        <v/>
      </c>
      <c r="V1235" s="78">
        <f>IF($B1235="","",IFERROR(INDEX(Task_Tracker!$I$5:$I$1004,MATCH($B1235,Task_Tracker!$A$5:$A$1004,0)),""))</f>
        <v/>
      </c>
      <c r="W1235" s="81">
        <f>IF(OR($D1235="",$B1235=""),"",$D1235&amp;" | "&amp;$B1235)</f>
        <v/>
      </c>
      <c r="X1235" s="85">
        <f>IF($K1235="","",TEXT($K1235,"yyyy-mm"))</f>
        <v/>
      </c>
      <c r="Y1235" s="81">
        <f>IF(OR($A1235="",$T1235=""),"","Included in Manager_Report")</f>
        <v/>
      </c>
    </row>
    <row r="1236" ht="15" customHeight="1" s="40">
      <c r="A1236" s="65">
        <f>IF(COUNTA(B1236:G1236)=0,"","STP-"&amp;TEXT(ROW()-4,"0000"))</f>
        <v/>
      </c>
      <c r="B1236" s="78" t="n"/>
      <c r="C1236" s="67">
        <f>IF($B1236="","",IFERROR(INDEX(Task_Tracker!$D$5:$D$1004,MATCH($B1236,Task_Tracker!$A$5:$A$1004,0)),""))</f>
        <v/>
      </c>
      <c r="D1236" s="67">
        <f>IF($B1236="","",IFERROR(INDEX(Task_Tracker!$B$5:$B$1004,MATCH($B1236,Task_Tracker!$A$5:$A$1004,0)),""))</f>
        <v/>
      </c>
      <c r="E1236" s="81" t="n"/>
      <c r="F1236" s="81" t="n"/>
      <c r="G1236" s="78" t="n"/>
      <c r="H1236" s="78" t="n"/>
      <c r="I1236" s="67">
        <f>IF($H1236="","",IFERROR(INDEX(Action_Status_Map!$B$5:$B$11,MATCH($H1236,Action_Status_Map!$A$5:$A$11,0)),""))</f>
        <v/>
      </c>
      <c r="J1236" s="82" t="n"/>
      <c r="K1236" s="82" t="n"/>
      <c r="L1236" s="82" t="n"/>
      <c r="M1236" s="83" t="n"/>
      <c r="N1236" s="83" t="n"/>
      <c r="O1236" s="66">
        <f>IF(OR($M1236="",$N1236=""),"",$N1236-$M1236)</f>
        <v/>
      </c>
      <c r="P1236" s="84">
        <f>IF($J1236="","",IF($L1236&lt;&gt;"",$L1236-$J1236,TODAY()-$J1236))</f>
        <v/>
      </c>
      <c r="Q1236" s="85">
        <f>IF(OR($K1236="",$H1236="Completed",$H1236="Cancelled"),"",IF(AND($K1236&lt;TODAY(),$H1236&lt;&gt;"Completed",$H1236&lt;&gt;"Cancelled"),"Overdue","On Track"))</f>
        <v/>
      </c>
      <c r="R1236" s="81" t="n"/>
      <c r="S1236" s="81">
        <f>IF($B1236="","",IFERROR(INDEX(Task_Tracker!$AA$5:$AA$1004,MATCH($B1236,Task_Tracker!$A$5:$A$1004,0)),""))</f>
        <v/>
      </c>
      <c r="T1236" s="81">
        <f>IF($B1236="","",IFERROR(INDEX(Task_Tracker!$AB$5:$AB$1004,MATCH($B1236,Task_Tracker!$A$5:$A$1004,0)),""))</f>
        <v/>
      </c>
      <c r="U1236" s="78">
        <f>IF($B1236="","",IFERROR(INDEX(Task_Tracker!$F$5:$F$1004,MATCH($B1236,Task_Tracker!$A$5:$A$1004,0)),""))</f>
        <v/>
      </c>
      <c r="V1236" s="78">
        <f>IF($B1236="","",IFERROR(INDEX(Task_Tracker!$I$5:$I$1004,MATCH($B1236,Task_Tracker!$A$5:$A$1004,0)),""))</f>
        <v/>
      </c>
      <c r="W1236" s="81">
        <f>IF(OR($D1236="",$B1236=""),"",$D1236&amp;" | "&amp;$B1236)</f>
        <v/>
      </c>
      <c r="X1236" s="85">
        <f>IF($K1236="","",TEXT($K1236,"yyyy-mm"))</f>
        <v/>
      </c>
      <c r="Y1236" s="81">
        <f>IF(OR($A1236="",$T1236=""),"","Included in Manager_Report")</f>
        <v/>
      </c>
    </row>
    <row r="1237" ht="15" customHeight="1" s="40">
      <c r="A1237" s="65">
        <f>IF(COUNTA(B1237:G1237)=0,"","STP-"&amp;TEXT(ROW()-4,"0000"))</f>
        <v/>
      </c>
      <c r="B1237" s="78" t="n"/>
      <c r="C1237" s="67">
        <f>IF($B1237="","",IFERROR(INDEX(Task_Tracker!$D$5:$D$1004,MATCH($B1237,Task_Tracker!$A$5:$A$1004,0)),""))</f>
        <v/>
      </c>
      <c r="D1237" s="67">
        <f>IF($B1237="","",IFERROR(INDEX(Task_Tracker!$B$5:$B$1004,MATCH($B1237,Task_Tracker!$A$5:$A$1004,0)),""))</f>
        <v/>
      </c>
      <c r="E1237" s="81" t="n"/>
      <c r="F1237" s="81" t="n"/>
      <c r="G1237" s="78" t="n"/>
      <c r="H1237" s="78" t="n"/>
      <c r="I1237" s="67">
        <f>IF($H1237="","",IFERROR(INDEX(Action_Status_Map!$B$5:$B$11,MATCH($H1237,Action_Status_Map!$A$5:$A$11,0)),""))</f>
        <v/>
      </c>
      <c r="J1237" s="82" t="n"/>
      <c r="K1237" s="82" t="n"/>
      <c r="L1237" s="82" t="n"/>
      <c r="M1237" s="83" t="n"/>
      <c r="N1237" s="83" t="n"/>
      <c r="O1237" s="66">
        <f>IF(OR($M1237="",$N1237=""),"",$N1237-$M1237)</f>
        <v/>
      </c>
      <c r="P1237" s="84">
        <f>IF($J1237="","",IF($L1237&lt;&gt;"",$L1237-$J1237,TODAY()-$J1237))</f>
        <v/>
      </c>
      <c r="Q1237" s="85">
        <f>IF(OR($K1237="",$H1237="Completed",$H1237="Cancelled"),"",IF(AND($K1237&lt;TODAY(),$H1237&lt;&gt;"Completed",$H1237&lt;&gt;"Cancelled"),"Overdue","On Track"))</f>
        <v/>
      </c>
      <c r="R1237" s="81" t="n"/>
      <c r="S1237" s="81">
        <f>IF($B1237="","",IFERROR(INDEX(Task_Tracker!$AA$5:$AA$1004,MATCH($B1237,Task_Tracker!$A$5:$A$1004,0)),""))</f>
        <v/>
      </c>
      <c r="T1237" s="81">
        <f>IF($B1237="","",IFERROR(INDEX(Task_Tracker!$AB$5:$AB$1004,MATCH($B1237,Task_Tracker!$A$5:$A$1004,0)),""))</f>
        <v/>
      </c>
      <c r="U1237" s="78">
        <f>IF($B1237="","",IFERROR(INDEX(Task_Tracker!$F$5:$F$1004,MATCH($B1237,Task_Tracker!$A$5:$A$1004,0)),""))</f>
        <v/>
      </c>
      <c r="V1237" s="78">
        <f>IF($B1237="","",IFERROR(INDEX(Task_Tracker!$I$5:$I$1004,MATCH($B1237,Task_Tracker!$A$5:$A$1004,0)),""))</f>
        <v/>
      </c>
      <c r="W1237" s="81">
        <f>IF(OR($D1237="",$B1237=""),"",$D1237&amp;" | "&amp;$B1237)</f>
        <v/>
      </c>
      <c r="X1237" s="85">
        <f>IF($K1237="","",TEXT($K1237,"yyyy-mm"))</f>
        <v/>
      </c>
      <c r="Y1237" s="81">
        <f>IF(OR($A1237="",$T1237=""),"","Included in Manager_Report")</f>
        <v/>
      </c>
    </row>
    <row r="1238" ht="15" customHeight="1" s="40">
      <c r="A1238" s="65">
        <f>IF(COUNTA(B1238:G1238)=0,"","STP-"&amp;TEXT(ROW()-4,"0000"))</f>
        <v/>
      </c>
      <c r="B1238" s="78" t="n"/>
      <c r="C1238" s="67">
        <f>IF($B1238="","",IFERROR(INDEX(Task_Tracker!$D$5:$D$1004,MATCH($B1238,Task_Tracker!$A$5:$A$1004,0)),""))</f>
        <v/>
      </c>
      <c r="D1238" s="67">
        <f>IF($B1238="","",IFERROR(INDEX(Task_Tracker!$B$5:$B$1004,MATCH($B1238,Task_Tracker!$A$5:$A$1004,0)),""))</f>
        <v/>
      </c>
      <c r="E1238" s="81" t="n"/>
      <c r="F1238" s="81" t="n"/>
      <c r="G1238" s="78" t="n"/>
      <c r="H1238" s="78" t="n"/>
      <c r="I1238" s="67">
        <f>IF($H1238="","",IFERROR(INDEX(Action_Status_Map!$B$5:$B$11,MATCH($H1238,Action_Status_Map!$A$5:$A$11,0)),""))</f>
        <v/>
      </c>
      <c r="J1238" s="82" t="n"/>
      <c r="K1238" s="82" t="n"/>
      <c r="L1238" s="82" t="n"/>
      <c r="M1238" s="83" t="n"/>
      <c r="N1238" s="83" t="n"/>
      <c r="O1238" s="66">
        <f>IF(OR($M1238="",$N1238=""),"",$N1238-$M1238)</f>
        <v/>
      </c>
      <c r="P1238" s="84">
        <f>IF($J1238="","",IF($L1238&lt;&gt;"",$L1238-$J1238,TODAY()-$J1238))</f>
        <v/>
      </c>
      <c r="Q1238" s="85">
        <f>IF(OR($K1238="",$H1238="Completed",$H1238="Cancelled"),"",IF(AND($K1238&lt;TODAY(),$H1238&lt;&gt;"Completed",$H1238&lt;&gt;"Cancelled"),"Overdue","On Track"))</f>
        <v/>
      </c>
      <c r="R1238" s="81" t="n"/>
      <c r="S1238" s="81">
        <f>IF($B1238="","",IFERROR(INDEX(Task_Tracker!$AA$5:$AA$1004,MATCH($B1238,Task_Tracker!$A$5:$A$1004,0)),""))</f>
        <v/>
      </c>
      <c r="T1238" s="81">
        <f>IF($B1238="","",IFERROR(INDEX(Task_Tracker!$AB$5:$AB$1004,MATCH($B1238,Task_Tracker!$A$5:$A$1004,0)),""))</f>
        <v/>
      </c>
      <c r="U1238" s="78">
        <f>IF($B1238="","",IFERROR(INDEX(Task_Tracker!$F$5:$F$1004,MATCH($B1238,Task_Tracker!$A$5:$A$1004,0)),""))</f>
        <v/>
      </c>
      <c r="V1238" s="78">
        <f>IF($B1238="","",IFERROR(INDEX(Task_Tracker!$I$5:$I$1004,MATCH($B1238,Task_Tracker!$A$5:$A$1004,0)),""))</f>
        <v/>
      </c>
      <c r="W1238" s="81">
        <f>IF(OR($D1238="",$B1238=""),"",$D1238&amp;" | "&amp;$B1238)</f>
        <v/>
      </c>
      <c r="X1238" s="85">
        <f>IF($K1238="","",TEXT($K1238,"yyyy-mm"))</f>
        <v/>
      </c>
      <c r="Y1238" s="81">
        <f>IF(OR($A1238="",$T1238=""),"","Included in Manager_Report")</f>
        <v/>
      </c>
    </row>
    <row r="1239" ht="15" customHeight="1" s="40">
      <c r="A1239" s="65">
        <f>IF(COUNTA(B1239:G1239)=0,"","STP-"&amp;TEXT(ROW()-4,"0000"))</f>
        <v/>
      </c>
      <c r="B1239" s="78" t="n"/>
      <c r="C1239" s="67">
        <f>IF($B1239="","",IFERROR(INDEX(Task_Tracker!$D$5:$D$1004,MATCH($B1239,Task_Tracker!$A$5:$A$1004,0)),""))</f>
        <v/>
      </c>
      <c r="D1239" s="67">
        <f>IF($B1239="","",IFERROR(INDEX(Task_Tracker!$B$5:$B$1004,MATCH($B1239,Task_Tracker!$A$5:$A$1004,0)),""))</f>
        <v/>
      </c>
      <c r="E1239" s="81" t="n"/>
      <c r="F1239" s="81" t="n"/>
      <c r="G1239" s="78" t="n"/>
      <c r="H1239" s="78" t="n"/>
      <c r="I1239" s="67">
        <f>IF($H1239="","",IFERROR(INDEX(Action_Status_Map!$B$5:$B$11,MATCH($H1239,Action_Status_Map!$A$5:$A$11,0)),""))</f>
        <v/>
      </c>
      <c r="J1239" s="82" t="n"/>
      <c r="K1239" s="82" t="n"/>
      <c r="L1239" s="82" t="n"/>
      <c r="M1239" s="83" t="n"/>
      <c r="N1239" s="83" t="n"/>
      <c r="O1239" s="66">
        <f>IF(OR($M1239="",$N1239=""),"",$N1239-$M1239)</f>
        <v/>
      </c>
      <c r="P1239" s="84">
        <f>IF($J1239="","",IF($L1239&lt;&gt;"",$L1239-$J1239,TODAY()-$J1239))</f>
        <v/>
      </c>
      <c r="Q1239" s="85">
        <f>IF(OR($K1239="",$H1239="Completed",$H1239="Cancelled"),"",IF(AND($K1239&lt;TODAY(),$H1239&lt;&gt;"Completed",$H1239&lt;&gt;"Cancelled"),"Overdue","On Track"))</f>
        <v/>
      </c>
      <c r="R1239" s="81" t="n"/>
      <c r="S1239" s="81">
        <f>IF($B1239="","",IFERROR(INDEX(Task_Tracker!$AA$5:$AA$1004,MATCH($B1239,Task_Tracker!$A$5:$A$1004,0)),""))</f>
        <v/>
      </c>
      <c r="T1239" s="81">
        <f>IF($B1239="","",IFERROR(INDEX(Task_Tracker!$AB$5:$AB$1004,MATCH($B1239,Task_Tracker!$A$5:$A$1004,0)),""))</f>
        <v/>
      </c>
      <c r="U1239" s="78">
        <f>IF($B1239="","",IFERROR(INDEX(Task_Tracker!$F$5:$F$1004,MATCH($B1239,Task_Tracker!$A$5:$A$1004,0)),""))</f>
        <v/>
      </c>
      <c r="V1239" s="78">
        <f>IF($B1239="","",IFERROR(INDEX(Task_Tracker!$I$5:$I$1004,MATCH($B1239,Task_Tracker!$A$5:$A$1004,0)),""))</f>
        <v/>
      </c>
      <c r="W1239" s="81">
        <f>IF(OR($D1239="",$B1239=""),"",$D1239&amp;" | "&amp;$B1239)</f>
        <v/>
      </c>
      <c r="X1239" s="85">
        <f>IF($K1239="","",TEXT($K1239,"yyyy-mm"))</f>
        <v/>
      </c>
      <c r="Y1239" s="81">
        <f>IF(OR($A1239="",$T1239=""),"","Included in Manager_Report")</f>
        <v/>
      </c>
    </row>
    <row r="1240" ht="15" customHeight="1" s="40">
      <c r="A1240" s="65">
        <f>IF(COUNTA(B1240:G1240)=0,"","STP-"&amp;TEXT(ROW()-4,"0000"))</f>
        <v/>
      </c>
      <c r="B1240" s="78" t="n"/>
      <c r="C1240" s="67">
        <f>IF($B1240="","",IFERROR(INDEX(Task_Tracker!$D$5:$D$1004,MATCH($B1240,Task_Tracker!$A$5:$A$1004,0)),""))</f>
        <v/>
      </c>
      <c r="D1240" s="67">
        <f>IF($B1240="","",IFERROR(INDEX(Task_Tracker!$B$5:$B$1004,MATCH($B1240,Task_Tracker!$A$5:$A$1004,0)),""))</f>
        <v/>
      </c>
      <c r="E1240" s="81" t="n"/>
      <c r="F1240" s="81" t="n"/>
      <c r="G1240" s="78" t="n"/>
      <c r="H1240" s="78" t="n"/>
      <c r="I1240" s="67">
        <f>IF($H1240="","",IFERROR(INDEX(Action_Status_Map!$B$5:$B$11,MATCH($H1240,Action_Status_Map!$A$5:$A$11,0)),""))</f>
        <v/>
      </c>
      <c r="J1240" s="82" t="n"/>
      <c r="K1240" s="82" t="n"/>
      <c r="L1240" s="82" t="n"/>
      <c r="M1240" s="83" t="n"/>
      <c r="N1240" s="83" t="n"/>
      <c r="O1240" s="66">
        <f>IF(OR($M1240="",$N1240=""),"",$N1240-$M1240)</f>
        <v/>
      </c>
      <c r="P1240" s="84">
        <f>IF($J1240="","",IF($L1240&lt;&gt;"",$L1240-$J1240,TODAY()-$J1240))</f>
        <v/>
      </c>
      <c r="Q1240" s="85">
        <f>IF(OR($K1240="",$H1240="Completed",$H1240="Cancelled"),"",IF(AND($K1240&lt;TODAY(),$H1240&lt;&gt;"Completed",$H1240&lt;&gt;"Cancelled"),"Overdue","On Track"))</f>
        <v/>
      </c>
      <c r="R1240" s="81" t="n"/>
      <c r="S1240" s="81">
        <f>IF($B1240="","",IFERROR(INDEX(Task_Tracker!$AA$5:$AA$1004,MATCH($B1240,Task_Tracker!$A$5:$A$1004,0)),""))</f>
        <v/>
      </c>
      <c r="T1240" s="81">
        <f>IF($B1240="","",IFERROR(INDEX(Task_Tracker!$AB$5:$AB$1004,MATCH($B1240,Task_Tracker!$A$5:$A$1004,0)),""))</f>
        <v/>
      </c>
      <c r="U1240" s="78">
        <f>IF($B1240="","",IFERROR(INDEX(Task_Tracker!$F$5:$F$1004,MATCH($B1240,Task_Tracker!$A$5:$A$1004,0)),""))</f>
        <v/>
      </c>
      <c r="V1240" s="78">
        <f>IF($B1240="","",IFERROR(INDEX(Task_Tracker!$I$5:$I$1004,MATCH($B1240,Task_Tracker!$A$5:$A$1004,0)),""))</f>
        <v/>
      </c>
      <c r="W1240" s="81">
        <f>IF(OR($D1240="",$B1240=""),"",$D1240&amp;" | "&amp;$B1240)</f>
        <v/>
      </c>
      <c r="X1240" s="85">
        <f>IF($K1240="","",TEXT($K1240,"yyyy-mm"))</f>
        <v/>
      </c>
      <c r="Y1240" s="81">
        <f>IF(OR($A1240="",$T1240=""),"","Included in Manager_Report")</f>
        <v/>
      </c>
    </row>
    <row r="1241" ht="15" customHeight="1" s="40">
      <c r="A1241" s="65">
        <f>IF(COUNTA(B1241:G1241)=0,"","STP-"&amp;TEXT(ROW()-4,"0000"))</f>
        <v/>
      </c>
      <c r="B1241" s="78" t="n"/>
      <c r="C1241" s="67">
        <f>IF($B1241="","",IFERROR(INDEX(Task_Tracker!$D$5:$D$1004,MATCH($B1241,Task_Tracker!$A$5:$A$1004,0)),""))</f>
        <v/>
      </c>
      <c r="D1241" s="67">
        <f>IF($B1241="","",IFERROR(INDEX(Task_Tracker!$B$5:$B$1004,MATCH($B1241,Task_Tracker!$A$5:$A$1004,0)),""))</f>
        <v/>
      </c>
      <c r="E1241" s="81" t="n"/>
      <c r="F1241" s="81" t="n"/>
      <c r="G1241" s="78" t="n"/>
      <c r="H1241" s="78" t="n"/>
      <c r="I1241" s="67">
        <f>IF($H1241="","",IFERROR(INDEX(Action_Status_Map!$B$5:$B$11,MATCH($H1241,Action_Status_Map!$A$5:$A$11,0)),""))</f>
        <v/>
      </c>
      <c r="J1241" s="82" t="n"/>
      <c r="K1241" s="82" t="n"/>
      <c r="L1241" s="82" t="n"/>
      <c r="M1241" s="83" t="n"/>
      <c r="N1241" s="83" t="n"/>
      <c r="O1241" s="66">
        <f>IF(OR($M1241="",$N1241=""),"",$N1241-$M1241)</f>
        <v/>
      </c>
      <c r="P1241" s="84">
        <f>IF($J1241="","",IF($L1241&lt;&gt;"",$L1241-$J1241,TODAY()-$J1241))</f>
        <v/>
      </c>
      <c r="Q1241" s="85">
        <f>IF(OR($K1241="",$H1241="Completed",$H1241="Cancelled"),"",IF(AND($K1241&lt;TODAY(),$H1241&lt;&gt;"Completed",$H1241&lt;&gt;"Cancelled"),"Overdue","On Track"))</f>
        <v/>
      </c>
      <c r="R1241" s="81" t="n"/>
      <c r="S1241" s="81">
        <f>IF($B1241="","",IFERROR(INDEX(Task_Tracker!$AA$5:$AA$1004,MATCH($B1241,Task_Tracker!$A$5:$A$1004,0)),""))</f>
        <v/>
      </c>
      <c r="T1241" s="81">
        <f>IF($B1241="","",IFERROR(INDEX(Task_Tracker!$AB$5:$AB$1004,MATCH($B1241,Task_Tracker!$A$5:$A$1004,0)),""))</f>
        <v/>
      </c>
      <c r="U1241" s="78">
        <f>IF($B1241="","",IFERROR(INDEX(Task_Tracker!$F$5:$F$1004,MATCH($B1241,Task_Tracker!$A$5:$A$1004,0)),""))</f>
        <v/>
      </c>
      <c r="V1241" s="78">
        <f>IF($B1241="","",IFERROR(INDEX(Task_Tracker!$I$5:$I$1004,MATCH($B1241,Task_Tracker!$A$5:$A$1004,0)),""))</f>
        <v/>
      </c>
      <c r="W1241" s="81">
        <f>IF(OR($D1241="",$B1241=""),"",$D1241&amp;" | "&amp;$B1241)</f>
        <v/>
      </c>
      <c r="X1241" s="85">
        <f>IF($K1241="","",TEXT($K1241,"yyyy-mm"))</f>
        <v/>
      </c>
      <c r="Y1241" s="81">
        <f>IF(OR($A1241="",$T1241=""),"","Included in Manager_Report")</f>
        <v/>
      </c>
    </row>
    <row r="1242" ht="15" customHeight="1" s="40">
      <c r="A1242" s="65">
        <f>IF(COUNTA(B1242:G1242)=0,"","STP-"&amp;TEXT(ROW()-4,"0000"))</f>
        <v/>
      </c>
      <c r="B1242" s="78" t="n"/>
      <c r="C1242" s="67">
        <f>IF($B1242="","",IFERROR(INDEX(Task_Tracker!$D$5:$D$1004,MATCH($B1242,Task_Tracker!$A$5:$A$1004,0)),""))</f>
        <v/>
      </c>
      <c r="D1242" s="67">
        <f>IF($B1242="","",IFERROR(INDEX(Task_Tracker!$B$5:$B$1004,MATCH($B1242,Task_Tracker!$A$5:$A$1004,0)),""))</f>
        <v/>
      </c>
      <c r="E1242" s="81" t="n"/>
      <c r="F1242" s="81" t="n"/>
      <c r="G1242" s="78" t="n"/>
      <c r="H1242" s="78" t="n"/>
      <c r="I1242" s="67">
        <f>IF($H1242="","",IFERROR(INDEX(Action_Status_Map!$B$5:$B$11,MATCH($H1242,Action_Status_Map!$A$5:$A$11,0)),""))</f>
        <v/>
      </c>
      <c r="J1242" s="82" t="n"/>
      <c r="K1242" s="82" t="n"/>
      <c r="L1242" s="82" t="n"/>
      <c r="M1242" s="83" t="n"/>
      <c r="N1242" s="83" t="n"/>
      <c r="O1242" s="66">
        <f>IF(OR($M1242="",$N1242=""),"",$N1242-$M1242)</f>
        <v/>
      </c>
      <c r="P1242" s="84">
        <f>IF($J1242="","",IF($L1242&lt;&gt;"",$L1242-$J1242,TODAY()-$J1242))</f>
        <v/>
      </c>
      <c r="Q1242" s="85">
        <f>IF(OR($K1242="",$H1242="Completed",$H1242="Cancelled"),"",IF(AND($K1242&lt;TODAY(),$H1242&lt;&gt;"Completed",$H1242&lt;&gt;"Cancelled"),"Overdue","On Track"))</f>
        <v/>
      </c>
      <c r="R1242" s="81" t="n"/>
      <c r="S1242" s="81">
        <f>IF($B1242="","",IFERROR(INDEX(Task_Tracker!$AA$5:$AA$1004,MATCH($B1242,Task_Tracker!$A$5:$A$1004,0)),""))</f>
        <v/>
      </c>
      <c r="T1242" s="81">
        <f>IF($B1242="","",IFERROR(INDEX(Task_Tracker!$AB$5:$AB$1004,MATCH($B1242,Task_Tracker!$A$5:$A$1004,0)),""))</f>
        <v/>
      </c>
      <c r="U1242" s="78">
        <f>IF($B1242="","",IFERROR(INDEX(Task_Tracker!$F$5:$F$1004,MATCH($B1242,Task_Tracker!$A$5:$A$1004,0)),""))</f>
        <v/>
      </c>
      <c r="V1242" s="78">
        <f>IF($B1242="","",IFERROR(INDEX(Task_Tracker!$I$5:$I$1004,MATCH($B1242,Task_Tracker!$A$5:$A$1004,0)),""))</f>
        <v/>
      </c>
      <c r="W1242" s="81">
        <f>IF(OR($D1242="",$B1242=""),"",$D1242&amp;" | "&amp;$B1242)</f>
        <v/>
      </c>
      <c r="X1242" s="85">
        <f>IF($K1242="","",TEXT($K1242,"yyyy-mm"))</f>
        <v/>
      </c>
      <c r="Y1242" s="81">
        <f>IF(OR($A1242="",$T1242=""),"","Included in Manager_Report")</f>
        <v/>
      </c>
    </row>
    <row r="1243" ht="15" customHeight="1" s="40">
      <c r="A1243" s="65">
        <f>IF(COUNTA(B1243:G1243)=0,"","STP-"&amp;TEXT(ROW()-4,"0000"))</f>
        <v/>
      </c>
      <c r="B1243" s="78" t="n"/>
      <c r="C1243" s="67">
        <f>IF($B1243="","",IFERROR(INDEX(Task_Tracker!$D$5:$D$1004,MATCH($B1243,Task_Tracker!$A$5:$A$1004,0)),""))</f>
        <v/>
      </c>
      <c r="D1243" s="67">
        <f>IF($B1243="","",IFERROR(INDEX(Task_Tracker!$B$5:$B$1004,MATCH($B1243,Task_Tracker!$A$5:$A$1004,0)),""))</f>
        <v/>
      </c>
      <c r="E1243" s="81" t="n"/>
      <c r="F1243" s="81" t="n"/>
      <c r="G1243" s="78" t="n"/>
      <c r="H1243" s="78" t="n"/>
      <c r="I1243" s="67">
        <f>IF($H1243="","",IFERROR(INDEX(Action_Status_Map!$B$5:$B$11,MATCH($H1243,Action_Status_Map!$A$5:$A$11,0)),""))</f>
        <v/>
      </c>
      <c r="J1243" s="82" t="n"/>
      <c r="K1243" s="82" t="n"/>
      <c r="L1243" s="82" t="n"/>
      <c r="M1243" s="83" t="n"/>
      <c r="N1243" s="83" t="n"/>
      <c r="O1243" s="66">
        <f>IF(OR($M1243="",$N1243=""),"",$N1243-$M1243)</f>
        <v/>
      </c>
      <c r="P1243" s="84">
        <f>IF($J1243="","",IF($L1243&lt;&gt;"",$L1243-$J1243,TODAY()-$J1243))</f>
        <v/>
      </c>
      <c r="Q1243" s="85">
        <f>IF(OR($K1243="",$H1243="Completed",$H1243="Cancelled"),"",IF(AND($K1243&lt;TODAY(),$H1243&lt;&gt;"Completed",$H1243&lt;&gt;"Cancelled"),"Overdue","On Track"))</f>
        <v/>
      </c>
      <c r="R1243" s="81" t="n"/>
      <c r="S1243" s="81">
        <f>IF($B1243="","",IFERROR(INDEX(Task_Tracker!$AA$5:$AA$1004,MATCH($B1243,Task_Tracker!$A$5:$A$1004,0)),""))</f>
        <v/>
      </c>
      <c r="T1243" s="81">
        <f>IF($B1243="","",IFERROR(INDEX(Task_Tracker!$AB$5:$AB$1004,MATCH($B1243,Task_Tracker!$A$5:$A$1004,0)),""))</f>
        <v/>
      </c>
      <c r="U1243" s="78">
        <f>IF($B1243="","",IFERROR(INDEX(Task_Tracker!$F$5:$F$1004,MATCH($B1243,Task_Tracker!$A$5:$A$1004,0)),""))</f>
        <v/>
      </c>
      <c r="V1243" s="78">
        <f>IF($B1243="","",IFERROR(INDEX(Task_Tracker!$I$5:$I$1004,MATCH($B1243,Task_Tracker!$A$5:$A$1004,0)),""))</f>
        <v/>
      </c>
      <c r="W1243" s="81">
        <f>IF(OR($D1243="",$B1243=""),"",$D1243&amp;" | "&amp;$B1243)</f>
        <v/>
      </c>
      <c r="X1243" s="85">
        <f>IF($K1243="","",TEXT($K1243,"yyyy-mm"))</f>
        <v/>
      </c>
      <c r="Y1243" s="81">
        <f>IF(OR($A1243="",$T1243=""),"","Included in Manager_Report")</f>
        <v/>
      </c>
    </row>
    <row r="1244" ht="15" customHeight="1" s="40">
      <c r="A1244" s="65">
        <f>IF(COUNTA(B1244:G1244)=0,"","STP-"&amp;TEXT(ROW()-4,"0000"))</f>
        <v/>
      </c>
      <c r="B1244" s="78" t="n"/>
      <c r="C1244" s="67">
        <f>IF($B1244="","",IFERROR(INDEX(Task_Tracker!$D$5:$D$1004,MATCH($B1244,Task_Tracker!$A$5:$A$1004,0)),""))</f>
        <v/>
      </c>
      <c r="D1244" s="67">
        <f>IF($B1244="","",IFERROR(INDEX(Task_Tracker!$B$5:$B$1004,MATCH($B1244,Task_Tracker!$A$5:$A$1004,0)),""))</f>
        <v/>
      </c>
      <c r="E1244" s="81" t="n"/>
      <c r="F1244" s="81" t="n"/>
      <c r="G1244" s="78" t="n"/>
      <c r="H1244" s="78" t="n"/>
      <c r="I1244" s="67">
        <f>IF($H1244="","",IFERROR(INDEX(Action_Status_Map!$B$5:$B$11,MATCH($H1244,Action_Status_Map!$A$5:$A$11,0)),""))</f>
        <v/>
      </c>
      <c r="J1244" s="82" t="n"/>
      <c r="K1244" s="82" t="n"/>
      <c r="L1244" s="82" t="n"/>
      <c r="M1244" s="83" t="n"/>
      <c r="N1244" s="83" t="n"/>
      <c r="O1244" s="66">
        <f>IF(OR($M1244="",$N1244=""),"",$N1244-$M1244)</f>
        <v/>
      </c>
      <c r="P1244" s="84">
        <f>IF($J1244="","",IF($L1244&lt;&gt;"",$L1244-$J1244,TODAY()-$J1244))</f>
        <v/>
      </c>
      <c r="Q1244" s="85">
        <f>IF(OR($K1244="",$H1244="Completed",$H1244="Cancelled"),"",IF(AND($K1244&lt;TODAY(),$H1244&lt;&gt;"Completed",$H1244&lt;&gt;"Cancelled"),"Overdue","On Track"))</f>
        <v/>
      </c>
      <c r="R1244" s="81" t="n"/>
      <c r="S1244" s="81">
        <f>IF($B1244="","",IFERROR(INDEX(Task_Tracker!$AA$5:$AA$1004,MATCH($B1244,Task_Tracker!$A$5:$A$1004,0)),""))</f>
        <v/>
      </c>
      <c r="T1244" s="81">
        <f>IF($B1244="","",IFERROR(INDEX(Task_Tracker!$AB$5:$AB$1004,MATCH($B1244,Task_Tracker!$A$5:$A$1004,0)),""))</f>
        <v/>
      </c>
      <c r="U1244" s="78">
        <f>IF($B1244="","",IFERROR(INDEX(Task_Tracker!$F$5:$F$1004,MATCH($B1244,Task_Tracker!$A$5:$A$1004,0)),""))</f>
        <v/>
      </c>
      <c r="V1244" s="78">
        <f>IF($B1244="","",IFERROR(INDEX(Task_Tracker!$I$5:$I$1004,MATCH($B1244,Task_Tracker!$A$5:$A$1004,0)),""))</f>
        <v/>
      </c>
      <c r="W1244" s="81">
        <f>IF(OR($D1244="",$B1244=""),"",$D1244&amp;" | "&amp;$B1244)</f>
        <v/>
      </c>
      <c r="X1244" s="85">
        <f>IF($K1244="","",TEXT($K1244,"yyyy-mm"))</f>
        <v/>
      </c>
      <c r="Y1244" s="81">
        <f>IF(OR($A1244="",$T1244=""),"","Included in Manager_Report")</f>
        <v/>
      </c>
    </row>
    <row r="1245" ht="15" customHeight="1" s="40">
      <c r="A1245" s="65">
        <f>IF(COUNTA(B1245:G1245)=0,"","STP-"&amp;TEXT(ROW()-4,"0000"))</f>
        <v/>
      </c>
      <c r="B1245" s="78" t="n"/>
      <c r="C1245" s="67">
        <f>IF($B1245="","",IFERROR(INDEX(Task_Tracker!$D$5:$D$1004,MATCH($B1245,Task_Tracker!$A$5:$A$1004,0)),""))</f>
        <v/>
      </c>
      <c r="D1245" s="67">
        <f>IF($B1245="","",IFERROR(INDEX(Task_Tracker!$B$5:$B$1004,MATCH($B1245,Task_Tracker!$A$5:$A$1004,0)),""))</f>
        <v/>
      </c>
      <c r="E1245" s="81" t="n"/>
      <c r="F1245" s="81" t="n"/>
      <c r="G1245" s="78" t="n"/>
      <c r="H1245" s="78" t="n"/>
      <c r="I1245" s="67">
        <f>IF($H1245="","",IFERROR(INDEX(Action_Status_Map!$B$5:$B$11,MATCH($H1245,Action_Status_Map!$A$5:$A$11,0)),""))</f>
        <v/>
      </c>
      <c r="J1245" s="82" t="n"/>
      <c r="K1245" s="82" t="n"/>
      <c r="L1245" s="82" t="n"/>
      <c r="M1245" s="83" t="n"/>
      <c r="N1245" s="83" t="n"/>
      <c r="O1245" s="66">
        <f>IF(OR($M1245="",$N1245=""),"",$N1245-$M1245)</f>
        <v/>
      </c>
      <c r="P1245" s="84">
        <f>IF($J1245="","",IF($L1245&lt;&gt;"",$L1245-$J1245,TODAY()-$J1245))</f>
        <v/>
      </c>
      <c r="Q1245" s="85">
        <f>IF(OR($K1245="",$H1245="Completed",$H1245="Cancelled"),"",IF(AND($K1245&lt;TODAY(),$H1245&lt;&gt;"Completed",$H1245&lt;&gt;"Cancelled"),"Overdue","On Track"))</f>
        <v/>
      </c>
      <c r="R1245" s="81" t="n"/>
      <c r="S1245" s="81">
        <f>IF($B1245="","",IFERROR(INDEX(Task_Tracker!$AA$5:$AA$1004,MATCH($B1245,Task_Tracker!$A$5:$A$1004,0)),""))</f>
        <v/>
      </c>
      <c r="T1245" s="81">
        <f>IF($B1245="","",IFERROR(INDEX(Task_Tracker!$AB$5:$AB$1004,MATCH($B1245,Task_Tracker!$A$5:$A$1004,0)),""))</f>
        <v/>
      </c>
      <c r="U1245" s="78">
        <f>IF($B1245="","",IFERROR(INDEX(Task_Tracker!$F$5:$F$1004,MATCH($B1245,Task_Tracker!$A$5:$A$1004,0)),""))</f>
        <v/>
      </c>
      <c r="V1245" s="78">
        <f>IF($B1245="","",IFERROR(INDEX(Task_Tracker!$I$5:$I$1004,MATCH($B1245,Task_Tracker!$A$5:$A$1004,0)),""))</f>
        <v/>
      </c>
      <c r="W1245" s="81">
        <f>IF(OR($D1245="",$B1245=""),"",$D1245&amp;" | "&amp;$B1245)</f>
        <v/>
      </c>
      <c r="X1245" s="85">
        <f>IF($K1245="","",TEXT($K1245,"yyyy-mm"))</f>
        <v/>
      </c>
      <c r="Y1245" s="81">
        <f>IF(OR($A1245="",$T1245=""),"","Included in Manager_Report")</f>
        <v/>
      </c>
    </row>
    <row r="1246" ht="15" customHeight="1" s="40">
      <c r="A1246" s="65">
        <f>IF(COUNTA(B1246:G1246)=0,"","STP-"&amp;TEXT(ROW()-4,"0000"))</f>
        <v/>
      </c>
      <c r="B1246" s="78" t="n"/>
      <c r="C1246" s="67">
        <f>IF($B1246="","",IFERROR(INDEX(Task_Tracker!$D$5:$D$1004,MATCH($B1246,Task_Tracker!$A$5:$A$1004,0)),""))</f>
        <v/>
      </c>
      <c r="D1246" s="67">
        <f>IF($B1246="","",IFERROR(INDEX(Task_Tracker!$B$5:$B$1004,MATCH($B1246,Task_Tracker!$A$5:$A$1004,0)),""))</f>
        <v/>
      </c>
      <c r="E1246" s="81" t="n"/>
      <c r="F1246" s="81" t="n"/>
      <c r="G1246" s="78" t="n"/>
      <c r="H1246" s="78" t="n"/>
      <c r="I1246" s="67">
        <f>IF($H1246="","",IFERROR(INDEX(Action_Status_Map!$B$5:$B$11,MATCH($H1246,Action_Status_Map!$A$5:$A$11,0)),""))</f>
        <v/>
      </c>
      <c r="J1246" s="82" t="n"/>
      <c r="K1246" s="82" t="n"/>
      <c r="L1246" s="82" t="n"/>
      <c r="M1246" s="83" t="n"/>
      <c r="N1246" s="83" t="n"/>
      <c r="O1246" s="66">
        <f>IF(OR($M1246="",$N1246=""),"",$N1246-$M1246)</f>
        <v/>
      </c>
      <c r="P1246" s="84">
        <f>IF($J1246="","",IF($L1246&lt;&gt;"",$L1246-$J1246,TODAY()-$J1246))</f>
        <v/>
      </c>
      <c r="Q1246" s="85">
        <f>IF(OR($K1246="",$H1246="Completed",$H1246="Cancelled"),"",IF(AND($K1246&lt;TODAY(),$H1246&lt;&gt;"Completed",$H1246&lt;&gt;"Cancelled"),"Overdue","On Track"))</f>
        <v/>
      </c>
      <c r="R1246" s="81" t="n"/>
      <c r="S1246" s="81">
        <f>IF($B1246="","",IFERROR(INDEX(Task_Tracker!$AA$5:$AA$1004,MATCH($B1246,Task_Tracker!$A$5:$A$1004,0)),""))</f>
        <v/>
      </c>
      <c r="T1246" s="81">
        <f>IF($B1246="","",IFERROR(INDEX(Task_Tracker!$AB$5:$AB$1004,MATCH($B1246,Task_Tracker!$A$5:$A$1004,0)),""))</f>
        <v/>
      </c>
      <c r="U1246" s="78">
        <f>IF($B1246="","",IFERROR(INDEX(Task_Tracker!$F$5:$F$1004,MATCH($B1246,Task_Tracker!$A$5:$A$1004,0)),""))</f>
        <v/>
      </c>
      <c r="V1246" s="78">
        <f>IF($B1246="","",IFERROR(INDEX(Task_Tracker!$I$5:$I$1004,MATCH($B1246,Task_Tracker!$A$5:$A$1004,0)),""))</f>
        <v/>
      </c>
      <c r="W1246" s="81">
        <f>IF(OR($D1246="",$B1246=""),"",$D1246&amp;" | "&amp;$B1246)</f>
        <v/>
      </c>
      <c r="X1246" s="85">
        <f>IF($K1246="","",TEXT($K1246,"yyyy-mm"))</f>
        <v/>
      </c>
      <c r="Y1246" s="81">
        <f>IF(OR($A1246="",$T1246=""),"","Included in Manager_Report")</f>
        <v/>
      </c>
    </row>
    <row r="1247" ht="15" customHeight="1" s="40">
      <c r="A1247" s="65">
        <f>IF(COUNTA(B1247:G1247)=0,"","STP-"&amp;TEXT(ROW()-4,"0000"))</f>
        <v/>
      </c>
      <c r="B1247" s="78" t="n"/>
      <c r="C1247" s="67">
        <f>IF($B1247="","",IFERROR(INDEX(Task_Tracker!$D$5:$D$1004,MATCH($B1247,Task_Tracker!$A$5:$A$1004,0)),""))</f>
        <v/>
      </c>
      <c r="D1247" s="67">
        <f>IF($B1247="","",IFERROR(INDEX(Task_Tracker!$B$5:$B$1004,MATCH($B1247,Task_Tracker!$A$5:$A$1004,0)),""))</f>
        <v/>
      </c>
      <c r="E1247" s="81" t="n"/>
      <c r="F1247" s="81" t="n"/>
      <c r="G1247" s="78" t="n"/>
      <c r="H1247" s="78" t="n"/>
      <c r="I1247" s="67">
        <f>IF($H1247="","",IFERROR(INDEX(Action_Status_Map!$B$5:$B$11,MATCH($H1247,Action_Status_Map!$A$5:$A$11,0)),""))</f>
        <v/>
      </c>
      <c r="J1247" s="82" t="n"/>
      <c r="K1247" s="82" t="n"/>
      <c r="L1247" s="82" t="n"/>
      <c r="M1247" s="83" t="n"/>
      <c r="N1247" s="83" t="n"/>
      <c r="O1247" s="66">
        <f>IF(OR($M1247="",$N1247=""),"",$N1247-$M1247)</f>
        <v/>
      </c>
      <c r="P1247" s="84">
        <f>IF($J1247="","",IF($L1247&lt;&gt;"",$L1247-$J1247,TODAY()-$J1247))</f>
        <v/>
      </c>
      <c r="Q1247" s="85">
        <f>IF(OR($K1247="",$H1247="Completed",$H1247="Cancelled"),"",IF(AND($K1247&lt;TODAY(),$H1247&lt;&gt;"Completed",$H1247&lt;&gt;"Cancelled"),"Overdue","On Track"))</f>
        <v/>
      </c>
      <c r="R1247" s="81" t="n"/>
      <c r="S1247" s="81">
        <f>IF($B1247="","",IFERROR(INDEX(Task_Tracker!$AA$5:$AA$1004,MATCH($B1247,Task_Tracker!$A$5:$A$1004,0)),""))</f>
        <v/>
      </c>
      <c r="T1247" s="81">
        <f>IF($B1247="","",IFERROR(INDEX(Task_Tracker!$AB$5:$AB$1004,MATCH($B1247,Task_Tracker!$A$5:$A$1004,0)),""))</f>
        <v/>
      </c>
      <c r="U1247" s="78">
        <f>IF($B1247="","",IFERROR(INDEX(Task_Tracker!$F$5:$F$1004,MATCH($B1247,Task_Tracker!$A$5:$A$1004,0)),""))</f>
        <v/>
      </c>
      <c r="V1247" s="78">
        <f>IF($B1247="","",IFERROR(INDEX(Task_Tracker!$I$5:$I$1004,MATCH($B1247,Task_Tracker!$A$5:$A$1004,0)),""))</f>
        <v/>
      </c>
      <c r="W1247" s="81">
        <f>IF(OR($D1247="",$B1247=""),"",$D1247&amp;" | "&amp;$B1247)</f>
        <v/>
      </c>
      <c r="X1247" s="85">
        <f>IF($K1247="","",TEXT($K1247,"yyyy-mm"))</f>
        <v/>
      </c>
      <c r="Y1247" s="81">
        <f>IF(OR($A1247="",$T1247=""),"","Included in Manager_Report")</f>
        <v/>
      </c>
    </row>
    <row r="1248" ht="15" customHeight="1" s="40">
      <c r="A1248" s="65">
        <f>IF(COUNTA(B1248:G1248)=0,"","STP-"&amp;TEXT(ROW()-4,"0000"))</f>
        <v/>
      </c>
      <c r="B1248" s="78" t="n"/>
      <c r="C1248" s="67">
        <f>IF($B1248="","",IFERROR(INDEX(Task_Tracker!$D$5:$D$1004,MATCH($B1248,Task_Tracker!$A$5:$A$1004,0)),""))</f>
        <v/>
      </c>
      <c r="D1248" s="67">
        <f>IF($B1248="","",IFERROR(INDEX(Task_Tracker!$B$5:$B$1004,MATCH($B1248,Task_Tracker!$A$5:$A$1004,0)),""))</f>
        <v/>
      </c>
      <c r="E1248" s="81" t="n"/>
      <c r="F1248" s="81" t="n"/>
      <c r="G1248" s="78" t="n"/>
      <c r="H1248" s="78" t="n"/>
      <c r="I1248" s="67">
        <f>IF($H1248="","",IFERROR(INDEX(Action_Status_Map!$B$5:$B$11,MATCH($H1248,Action_Status_Map!$A$5:$A$11,0)),""))</f>
        <v/>
      </c>
      <c r="J1248" s="82" t="n"/>
      <c r="K1248" s="82" t="n"/>
      <c r="L1248" s="82" t="n"/>
      <c r="M1248" s="83" t="n"/>
      <c r="N1248" s="83" t="n"/>
      <c r="O1248" s="66">
        <f>IF(OR($M1248="",$N1248=""),"",$N1248-$M1248)</f>
        <v/>
      </c>
      <c r="P1248" s="84">
        <f>IF($J1248="","",IF($L1248&lt;&gt;"",$L1248-$J1248,TODAY()-$J1248))</f>
        <v/>
      </c>
      <c r="Q1248" s="85">
        <f>IF(OR($K1248="",$H1248="Completed",$H1248="Cancelled"),"",IF(AND($K1248&lt;TODAY(),$H1248&lt;&gt;"Completed",$H1248&lt;&gt;"Cancelled"),"Overdue","On Track"))</f>
        <v/>
      </c>
      <c r="R1248" s="81" t="n"/>
      <c r="S1248" s="81">
        <f>IF($B1248="","",IFERROR(INDEX(Task_Tracker!$AA$5:$AA$1004,MATCH($B1248,Task_Tracker!$A$5:$A$1004,0)),""))</f>
        <v/>
      </c>
      <c r="T1248" s="81">
        <f>IF($B1248="","",IFERROR(INDEX(Task_Tracker!$AB$5:$AB$1004,MATCH($B1248,Task_Tracker!$A$5:$A$1004,0)),""))</f>
        <v/>
      </c>
      <c r="U1248" s="78">
        <f>IF($B1248="","",IFERROR(INDEX(Task_Tracker!$F$5:$F$1004,MATCH($B1248,Task_Tracker!$A$5:$A$1004,0)),""))</f>
        <v/>
      </c>
      <c r="V1248" s="78">
        <f>IF($B1248="","",IFERROR(INDEX(Task_Tracker!$I$5:$I$1004,MATCH($B1248,Task_Tracker!$A$5:$A$1004,0)),""))</f>
        <v/>
      </c>
      <c r="W1248" s="81">
        <f>IF(OR($D1248="",$B1248=""),"",$D1248&amp;" | "&amp;$B1248)</f>
        <v/>
      </c>
      <c r="X1248" s="85">
        <f>IF($K1248="","",TEXT($K1248,"yyyy-mm"))</f>
        <v/>
      </c>
      <c r="Y1248" s="81">
        <f>IF(OR($A1248="",$T1248=""),"","Included in Manager_Report")</f>
        <v/>
      </c>
    </row>
    <row r="1249" ht="15" customHeight="1" s="40">
      <c r="A1249" s="65">
        <f>IF(COUNTA(B1249:G1249)=0,"","STP-"&amp;TEXT(ROW()-4,"0000"))</f>
        <v/>
      </c>
      <c r="B1249" s="78" t="n"/>
      <c r="C1249" s="67">
        <f>IF($B1249="","",IFERROR(INDEX(Task_Tracker!$D$5:$D$1004,MATCH($B1249,Task_Tracker!$A$5:$A$1004,0)),""))</f>
        <v/>
      </c>
      <c r="D1249" s="67">
        <f>IF($B1249="","",IFERROR(INDEX(Task_Tracker!$B$5:$B$1004,MATCH($B1249,Task_Tracker!$A$5:$A$1004,0)),""))</f>
        <v/>
      </c>
      <c r="E1249" s="81" t="n"/>
      <c r="F1249" s="81" t="n"/>
      <c r="G1249" s="78" t="n"/>
      <c r="H1249" s="78" t="n"/>
      <c r="I1249" s="67">
        <f>IF($H1249="","",IFERROR(INDEX(Action_Status_Map!$B$5:$B$11,MATCH($H1249,Action_Status_Map!$A$5:$A$11,0)),""))</f>
        <v/>
      </c>
      <c r="J1249" s="82" t="n"/>
      <c r="K1249" s="82" t="n"/>
      <c r="L1249" s="82" t="n"/>
      <c r="M1249" s="83" t="n"/>
      <c r="N1249" s="83" t="n"/>
      <c r="O1249" s="66">
        <f>IF(OR($M1249="",$N1249=""),"",$N1249-$M1249)</f>
        <v/>
      </c>
      <c r="P1249" s="84">
        <f>IF($J1249="","",IF($L1249&lt;&gt;"",$L1249-$J1249,TODAY()-$J1249))</f>
        <v/>
      </c>
      <c r="Q1249" s="85">
        <f>IF(OR($K1249="",$H1249="Completed",$H1249="Cancelled"),"",IF(AND($K1249&lt;TODAY(),$H1249&lt;&gt;"Completed",$H1249&lt;&gt;"Cancelled"),"Overdue","On Track"))</f>
        <v/>
      </c>
      <c r="R1249" s="81" t="n"/>
      <c r="S1249" s="81">
        <f>IF($B1249="","",IFERROR(INDEX(Task_Tracker!$AA$5:$AA$1004,MATCH($B1249,Task_Tracker!$A$5:$A$1004,0)),""))</f>
        <v/>
      </c>
      <c r="T1249" s="81">
        <f>IF($B1249="","",IFERROR(INDEX(Task_Tracker!$AB$5:$AB$1004,MATCH($B1249,Task_Tracker!$A$5:$A$1004,0)),""))</f>
        <v/>
      </c>
      <c r="U1249" s="78">
        <f>IF($B1249="","",IFERROR(INDEX(Task_Tracker!$F$5:$F$1004,MATCH($B1249,Task_Tracker!$A$5:$A$1004,0)),""))</f>
        <v/>
      </c>
      <c r="V1249" s="78">
        <f>IF($B1249="","",IFERROR(INDEX(Task_Tracker!$I$5:$I$1004,MATCH($B1249,Task_Tracker!$A$5:$A$1004,0)),""))</f>
        <v/>
      </c>
      <c r="W1249" s="81">
        <f>IF(OR($D1249="",$B1249=""),"",$D1249&amp;" | "&amp;$B1249)</f>
        <v/>
      </c>
      <c r="X1249" s="85">
        <f>IF($K1249="","",TEXT($K1249,"yyyy-mm"))</f>
        <v/>
      </c>
      <c r="Y1249" s="81">
        <f>IF(OR($A1249="",$T1249=""),"","Included in Manager_Report")</f>
        <v/>
      </c>
    </row>
    <row r="1250" ht="15" customHeight="1" s="40">
      <c r="A1250" s="65">
        <f>IF(COUNTA(B1250:G1250)=0,"","STP-"&amp;TEXT(ROW()-4,"0000"))</f>
        <v/>
      </c>
      <c r="B1250" s="78" t="n"/>
      <c r="C1250" s="67">
        <f>IF($B1250="","",IFERROR(INDEX(Task_Tracker!$D$5:$D$1004,MATCH($B1250,Task_Tracker!$A$5:$A$1004,0)),""))</f>
        <v/>
      </c>
      <c r="D1250" s="67">
        <f>IF($B1250="","",IFERROR(INDEX(Task_Tracker!$B$5:$B$1004,MATCH($B1250,Task_Tracker!$A$5:$A$1004,0)),""))</f>
        <v/>
      </c>
      <c r="E1250" s="81" t="n"/>
      <c r="F1250" s="81" t="n"/>
      <c r="G1250" s="78" t="n"/>
      <c r="H1250" s="78" t="n"/>
      <c r="I1250" s="67">
        <f>IF($H1250="","",IFERROR(INDEX(Action_Status_Map!$B$5:$B$11,MATCH($H1250,Action_Status_Map!$A$5:$A$11,0)),""))</f>
        <v/>
      </c>
      <c r="J1250" s="82" t="n"/>
      <c r="K1250" s="82" t="n"/>
      <c r="L1250" s="82" t="n"/>
      <c r="M1250" s="83" t="n"/>
      <c r="N1250" s="83" t="n"/>
      <c r="O1250" s="66">
        <f>IF(OR($M1250="",$N1250=""),"",$N1250-$M1250)</f>
        <v/>
      </c>
      <c r="P1250" s="84">
        <f>IF($J1250="","",IF($L1250&lt;&gt;"",$L1250-$J1250,TODAY()-$J1250))</f>
        <v/>
      </c>
      <c r="Q1250" s="85">
        <f>IF(OR($K1250="",$H1250="Completed",$H1250="Cancelled"),"",IF(AND($K1250&lt;TODAY(),$H1250&lt;&gt;"Completed",$H1250&lt;&gt;"Cancelled"),"Overdue","On Track"))</f>
        <v/>
      </c>
      <c r="R1250" s="81" t="n"/>
      <c r="S1250" s="81">
        <f>IF($B1250="","",IFERROR(INDEX(Task_Tracker!$AA$5:$AA$1004,MATCH($B1250,Task_Tracker!$A$5:$A$1004,0)),""))</f>
        <v/>
      </c>
      <c r="T1250" s="81">
        <f>IF($B1250="","",IFERROR(INDEX(Task_Tracker!$AB$5:$AB$1004,MATCH($B1250,Task_Tracker!$A$5:$A$1004,0)),""))</f>
        <v/>
      </c>
      <c r="U1250" s="78">
        <f>IF($B1250="","",IFERROR(INDEX(Task_Tracker!$F$5:$F$1004,MATCH($B1250,Task_Tracker!$A$5:$A$1004,0)),""))</f>
        <v/>
      </c>
      <c r="V1250" s="78">
        <f>IF($B1250="","",IFERROR(INDEX(Task_Tracker!$I$5:$I$1004,MATCH($B1250,Task_Tracker!$A$5:$A$1004,0)),""))</f>
        <v/>
      </c>
      <c r="W1250" s="81">
        <f>IF(OR($D1250="",$B1250=""),"",$D1250&amp;" | "&amp;$B1250)</f>
        <v/>
      </c>
      <c r="X1250" s="85">
        <f>IF($K1250="","",TEXT($K1250,"yyyy-mm"))</f>
        <v/>
      </c>
      <c r="Y1250" s="81">
        <f>IF(OR($A1250="",$T1250=""),"","Included in Manager_Report")</f>
        <v/>
      </c>
    </row>
    <row r="1251" ht="15" customHeight="1" s="40">
      <c r="A1251" s="65">
        <f>IF(COUNTA(B1251:G1251)=0,"","STP-"&amp;TEXT(ROW()-4,"0000"))</f>
        <v/>
      </c>
      <c r="B1251" s="78" t="n"/>
      <c r="C1251" s="67">
        <f>IF($B1251="","",IFERROR(INDEX(Task_Tracker!$D$5:$D$1004,MATCH($B1251,Task_Tracker!$A$5:$A$1004,0)),""))</f>
        <v/>
      </c>
      <c r="D1251" s="67">
        <f>IF($B1251="","",IFERROR(INDEX(Task_Tracker!$B$5:$B$1004,MATCH($B1251,Task_Tracker!$A$5:$A$1004,0)),""))</f>
        <v/>
      </c>
      <c r="E1251" s="81" t="n"/>
      <c r="F1251" s="81" t="n"/>
      <c r="G1251" s="78" t="n"/>
      <c r="H1251" s="78" t="n"/>
      <c r="I1251" s="67">
        <f>IF($H1251="","",IFERROR(INDEX(Action_Status_Map!$B$5:$B$11,MATCH($H1251,Action_Status_Map!$A$5:$A$11,0)),""))</f>
        <v/>
      </c>
      <c r="J1251" s="82" t="n"/>
      <c r="K1251" s="82" t="n"/>
      <c r="L1251" s="82" t="n"/>
      <c r="M1251" s="83" t="n"/>
      <c r="N1251" s="83" t="n"/>
      <c r="O1251" s="66">
        <f>IF(OR($M1251="",$N1251=""),"",$N1251-$M1251)</f>
        <v/>
      </c>
      <c r="P1251" s="84">
        <f>IF($J1251="","",IF($L1251&lt;&gt;"",$L1251-$J1251,TODAY()-$J1251))</f>
        <v/>
      </c>
      <c r="Q1251" s="85">
        <f>IF(OR($K1251="",$H1251="Completed",$H1251="Cancelled"),"",IF(AND($K1251&lt;TODAY(),$H1251&lt;&gt;"Completed",$H1251&lt;&gt;"Cancelled"),"Overdue","On Track"))</f>
        <v/>
      </c>
      <c r="R1251" s="81" t="n"/>
      <c r="S1251" s="81">
        <f>IF($B1251="","",IFERROR(INDEX(Task_Tracker!$AA$5:$AA$1004,MATCH($B1251,Task_Tracker!$A$5:$A$1004,0)),""))</f>
        <v/>
      </c>
      <c r="T1251" s="81">
        <f>IF($B1251="","",IFERROR(INDEX(Task_Tracker!$AB$5:$AB$1004,MATCH($B1251,Task_Tracker!$A$5:$A$1004,0)),""))</f>
        <v/>
      </c>
      <c r="U1251" s="78">
        <f>IF($B1251="","",IFERROR(INDEX(Task_Tracker!$F$5:$F$1004,MATCH($B1251,Task_Tracker!$A$5:$A$1004,0)),""))</f>
        <v/>
      </c>
      <c r="V1251" s="78">
        <f>IF($B1251="","",IFERROR(INDEX(Task_Tracker!$I$5:$I$1004,MATCH($B1251,Task_Tracker!$A$5:$A$1004,0)),""))</f>
        <v/>
      </c>
      <c r="W1251" s="81">
        <f>IF(OR($D1251="",$B1251=""),"",$D1251&amp;" | "&amp;$B1251)</f>
        <v/>
      </c>
      <c r="X1251" s="85">
        <f>IF($K1251="","",TEXT($K1251,"yyyy-mm"))</f>
        <v/>
      </c>
      <c r="Y1251" s="81">
        <f>IF(OR($A1251="",$T1251=""),"","Included in Manager_Report")</f>
        <v/>
      </c>
    </row>
    <row r="1252" ht="15" customHeight="1" s="40">
      <c r="A1252" s="65">
        <f>IF(COUNTA(B1252:G1252)=0,"","STP-"&amp;TEXT(ROW()-4,"0000"))</f>
        <v/>
      </c>
      <c r="B1252" s="78" t="n"/>
      <c r="C1252" s="67">
        <f>IF($B1252="","",IFERROR(INDEX(Task_Tracker!$D$5:$D$1004,MATCH($B1252,Task_Tracker!$A$5:$A$1004,0)),""))</f>
        <v/>
      </c>
      <c r="D1252" s="67">
        <f>IF($B1252="","",IFERROR(INDEX(Task_Tracker!$B$5:$B$1004,MATCH($B1252,Task_Tracker!$A$5:$A$1004,0)),""))</f>
        <v/>
      </c>
      <c r="E1252" s="81" t="n"/>
      <c r="F1252" s="81" t="n"/>
      <c r="G1252" s="78" t="n"/>
      <c r="H1252" s="78" t="n"/>
      <c r="I1252" s="67">
        <f>IF($H1252="","",IFERROR(INDEX(Action_Status_Map!$B$5:$B$11,MATCH($H1252,Action_Status_Map!$A$5:$A$11,0)),""))</f>
        <v/>
      </c>
      <c r="J1252" s="82" t="n"/>
      <c r="K1252" s="82" t="n"/>
      <c r="L1252" s="82" t="n"/>
      <c r="M1252" s="83" t="n"/>
      <c r="N1252" s="83" t="n"/>
      <c r="O1252" s="66">
        <f>IF(OR($M1252="",$N1252=""),"",$N1252-$M1252)</f>
        <v/>
      </c>
      <c r="P1252" s="84">
        <f>IF($J1252="","",IF($L1252&lt;&gt;"",$L1252-$J1252,TODAY()-$J1252))</f>
        <v/>
      </c>
      <c r="Q1252" s="85">
        <f>IF(OR($K1252="",$H1252="Completed",$H1252="Cancelled"),"",IF(AND($K1252&lt;TODAY(),$H1252&lt;&gt;"Completed",$H1252&lt;&gt;"Cancelled"),"Overdue","On Track"))</f>
        <v/>
      </c>
      <c r="R1252" s="81" t="n"/>
      <c r="S1252" s="81">
        <f>IF($B1252="","",IFERROR(INDEX(Task_Tracker!$AA$5:$AA$1004,MATCH($B1252,Task_Tracker!$A$5:$A$1004,0)),""))</f>
        <v/>
      </c>
      <c r="T1252" s="81">
        <f>IF($B1252="","",IFERROR(INDEX(Task_Tracker!$AB$5:$AB$1004,MATCH($B1252,Task_Tracker!$A$5:$A$1004,0)),""))</f>
        <v/>
      </c>
      <c r="U1252" s="78">
        <f>IF($B1252="","",IFERROR(INDEX(Task_Tracker!$F$5:$F$1004,MATCH($B1252,Task_Tracker!$A$5:$A$1004,0)),""))</f>
        <v/>
      </c>
      <c r="V1252" s="78">
        <f>IF($B1252="","",IFERROR(INDEX(Task_Tracker!$I$5:$I$1004,MATCH($B1252,Task_Tracker!$A$5:$A$1004,0)),""))</f>
        <v/>
      </c>
      <c r="W1252" s="81">
        <f>IF(OR($D1252="",$B1252=""),"",$D1252&amp;" | "&amp;$B1252)</f>
        <v/>
      </c>
      <c r="X1252" s="85">
        <f>IF($K1252="","",TEXT($K1252,"yyyy-mm"))</f>
        <v/>
      </c>
      <c r="Y1252" s="81">
        <f>IF(OR($A1252="",$T1252=""),"","Included in Manager_Report")</f>
        <v/>
      </c>
    </row>
    <row r="1253" ht="15" customHeight="1" s="40">
      <c r="A1253" s="65">
        <f>IF(COUNTA(B1253:G1253)=0,"","STP-"&amp;TEXT(ROW()-4,"0000"))</f>
        <v/>
      </c>
      <c r="B1253" s="78" t="n"/>
      <c r="C1253" s="67">
        <f>IF($B1253="","",IFERROR(INDEX(Task_Tracker!$D$5:$D$1004,MATCH($B1253,Task_Tracker!$A$5:$A$1004,0)),""))</f>
        <v/>
      </c>
      <c r="D1253" s="67">
        <f>IF($B1253="","",IFERROR(INDEX(Task_Tracker!$B$5:$B$1004,MATCH($B1253,Task_Tracker!$A$5:$A$1004,0)),""))</f>
        <v/>
      </c>
      <c r="E1253" s="81" t="n"/>
      <c r="F1253" s="81" t="n"/>
      <c r="G1253" s="78" t="n"/>
      <c r="H1253" s="78" t="n"/>
      <c r="I1253" s="67">
        <f>IF($H1253="","",IFERROR(INDEX(Action_Status_Map!$B$5:$B$11,MATCH($H1253,Action_Status_Map!$A$5:$A$11,0)),""))</f>
        <v/>
      </c>
      <c r="J1253" s="82" t="n"/>
      <c r="K1253" s="82" t="n"/>
      <c r="L1253" s="82" t="n"/>
      <c r="M1253" s="83" t="n"/>
      <c r="N1253" s="83" t="n"/>
      <c r="O1253" s="66">
        <f>IF(OR($M1253="",$N1253=""),"",$N1253-$M1253)</f>
        <v/>
      </c>
      <c r="P1253" s="84">
        <f>IF($J1253="","",IF($L1253&lt;&gt;"",$L1253-$J1253,TODAY()-$J1253))</f>
        <v/>
      </c>
      <c r="Q1253" s="85">
        <f>IF(OR($K1253="",$H1253="Completed",$H1253="Cancelled"),"",IF(AND($K1253&lt;TODAY(),$H1253&lt;&gt;"Completed",$H1253&lt;&gt;"Cancelled"),"Overdue","On Track"))</f>
        <v/>
      </c>
      <c r="R1253" s="81" t="n"/>
      <c r="S1253" s="81">
        <f>IF($B1253="","",IFERROR(INDEX(Task_Tracker!$AA$5:$AA$1004,MATCH($B1253,Task_Tracker!$A$5:$A$1004,0)),""))</f>
        <v/>
      </c>
      <c r="T1253" s="81">
        <f>IF($B1253="","",IFERROR(INDEX(Task_Tracker!$AB$5:$AB$1004,MATCH($B1253,Task_Tracker!$A$5:$A$1004,0)),""))</f>
        <v/>
      </c>
      <c r="U1253" s="78">
        <f>IF($B1253="","",IFERROR(INDEX(Task_Tracker!$F$5:$F$1004,MATCH($B1253,Task_Tracker!$A$5:$A$1004,0)),""))</f>
        <v/>
      </c>
      <c r="V1253" s="78">
        <f>IF($B1253="","",IFERROR(INDEX(Task_Tracker!$I$5:$I$1004,MATCH($B1253,Task_Tracker!$A$5:$A$1004,0)),""))</f>
        <v/>
      </c>
      <c r="W1253" s="81">
        <f>IF(OR($D1253="",$B1253=""),"",$D1253&amp;" | "&amp;$B1253)</f>
        <v/>
      </c>
      <c r="X1253" s="85">
        <f>IF($K1253="","",TEXT($K1253,"yyyy-mm"))</f>
        <v/>
      </c>
      <c r="Y1253" s="81">
        <f>IF(OR($A1253="",$T1253=""),"","Included in Manager_Report")</f>
        <v/>
      </c>
    </row>
    <row r="1254" ht="15" customHeight="1" s="40">
      <c r="A1254" s="65">
        <f>IF(COUNTA(B1254:G1254)=0,"","STP-"&amp;TEXT(ROW()-4,"0000"))</f>
        <v/>
      </c>
      <c r="B1254" s="78" t="n"/>
      <c r="C1254" s="67">
        <f>IF($B1254="","",IFERROR(INDEX(Task_Tracker!$D$5:$D$1004,MATCH($B1254,Task_Tracker!$A$5:$A$1004,0)),""))</f>
        <v/>
      </c>
      <c r="D1254" s="67">
        <f>IF($B1254="","",IFERROR(INDEX(Task_Tracker!$B$5:$B$1004,MATCH($B1254,Task_Tracker!$A$5:$A$1004,0)),""))</f>
        <v/>
      </c>
      <c r="E1254" s="81" t="n"/>
      <c r="F1254" s="81" t="n"/>
      <c r="G1254" s="78" t="n"/>
      <c r="H1254" s="78" t="n"/>
      <c r="I1254" s="67">
        <f>IF($H1254="","",IFERROR(INDEX(Action_Status_Map!$B$5:$B$11,MATCH($H1254,Action_Status_Map!$A$5:$A$11,0)),""))</f>
        <v/>
      </c>
      <c r="J1254" s="82" t="n"/>
      <c r="K1254" s="82" t="n"/>
      <c r="L1254" s="82" t="n"/>
      <c r="M1254" s="83" t="n"/>
      <c r="N1254" s="83" t="n"/>
      <c r="O1254" s="66">
        <f>IF(OR($M1254="",$N1254=""),"",$N1254-$M1254)</f>
        <v/>
      </c>
      <c r="P1254" s="84">
        <f>IF($J1254="","",IF($L1254&lt;&gt;"",$L1254-$J1254,TODAY()-$J1254))</f>
        <v/>
      </c>
      <c r="Q1254" s="85">
        <f>IF(OR($K1254="",$H1254="Completed",$H1254="Cancelled"),"",IF(AND($K1254&lt;TODAY(),$H1254&lt;&gt;"Completed",$H1254&lt;&gt;"Cancelled"),"Overdue","On Track"))</f>
        <v/>
      </c>
      <c r="R1254" s="81" t="n"/>
      <c r="S1254" s="81">
        <f>IF($B1254="","",IFERROR(INDEX(Task_Tracker!$AA$5:$AA$1004,MATCH($B1254,Task_Tracker!$A$5:$A$1004,0)),""))</f>
        <v/>
      </c>
      <c r="T1254" s="81">
        <f>IF($B1254="","",IFERROR(INDEX(Task_Tracker!$AB$5:$AB$1004,MATCH($B1254,Task_Tracker!$A$5:$A$1004,0)),""))</f>
        <v/>
      </c>
      <c r="U1254" s="78">
        <f>IF($B1254="","",IFERROR(INDEX(Task_Tracker!$F$5:$F$1004,MATCH($B1254,Task_Tracker!$A$5:$A$1004,0)),""))</f>
        <v/>
      </c>
      <c r="V1254" s="78">
        <f>IF($B1254="","",IFERROR(INDEX(Task_Tracker!$I$5:$I$1004,MATCH($B1254,Task_Tracker!$A$5:$A$1004,0)),""))</f>
        <v/>
      </c>
      <c r="W1254" s="81">
        <f>IF(OR($D1254="",$B1254=""),"",$D1254&amp;" | "&amp;$B1254)</f>
        <v/>
      </c>
      <c r="X1254" s="85">
        <f>IF($K1254="","",TEXT($K1254,"yyyy-mm"))</f>
        <v/>
      </c>
      <c r="Y1254" s="81">
        <f>IF(OR($A1254="",$T1254=""),"","Included in Manager_Report")</f>
        <v/>
      </c>
    </row>
    <row r="1255" ht="15" customHeight="1" s="40">
      <c r="A1255" s="65">
        <f>IF(COUNTA(B1255:G1255)=0,"","STP-"&amp;TEXT(ROW()-4,"0000"))</f>
        <v/>
      </c>
      <c r="B1255" s="78" t="n"/>
      <c r="C1255" s="67">
        <f>IF($B1255="","",IFERROR(INDEX(Task_Tracker!$D$5:$D$1004,MATCH($B1255,Task_Tracker!$A$5:$A$1004,0)),""))</f>
        <v/>
      </c>
      <c r="D1255" s="67">
        <f>IF($B1255="","",IFERROR(INDEX(Task_Tracker!$B$5:$B$1004,MATCH($B1255,Task_Tracker!$A$5:$A$1004,0)),""))</f>
        <v/>
      </c>
      <c r="E1255" s="81" t="n"/>
      <c r="F1255" s="81" t="n"/>
      <c r="G1255" s="78" t="n"/>
      <c r="H1255" s="78" t="n"/>
      <c r="I1255" s="67">
        <f>IF($H1255="","",IFERROR(INDEX(Action_Status_Map!$B$5:$B$11,MATCH($H1255,Action_Status_Map!$A$5:$A$11,0)),""))</f>
        <v/>
      </c>
      <c r="J1255" s="82" t="n"/>
      <c r="K1255" s="82" t="n"/>
      <c r="L1255" s="82" t="n"/>
      <c r="M1255" s="83" t="n"/>
      <c r="N1255" s="83" t="n"/>
      <c r="O1255" s="66">
        <f>IF(OR($M1255="",$N1255=""),"",$N1255-$M1255)</f>
        <v/>
      </c>
      <c r="P1255" s="84">
        <f>IF($J1255="","",IF($L1255&lt;&gt;"",$L1255-$J1255,TODAY()-$J1255))</f>
        <v/>
      </c>
      <c r="Q1255" s="85">
        <f>IF(OR($K1255="",$H1255="Completed",$H1255="Cancelled"),"",IF(AND($K1255&lt;TODAY(),$H1255&lt;&gt;"Completed",$H1255&lt;&gt;"Cancelled"),"Overdue","On Track"))</f>
        <v/>
      </c>
      <c r="R1255" s="81" t="n"/>
      <c r="S1255" s="81">
        <f>IF($B1255="","",IFERROR(INDEX(Task_Tracker!$AA$5:$AA$1004,MATCH($B1255,Task_Tracker!$A$5:$A$1004,0)),""))</f>
        <v/>
      </c>
      <c r="T1255" s="81">
        <f>IF($B1255="","",IFERROR(INDEX(Task_Tracker!$AB$5:$AB$1004,MATCH($B1255,Task_Tracker!$A$5:$A$1004,0)),""))</f>
        <v/>
      </c>
      <c r="U1255" s="78">
        <f>IF($B1255="","",IFERROR(INDEX(Task_Tracker!$F$5:$F$1004,MATCH($B1255,Task_Tracker!$A$5:$A$1004,0)),""))</f>
        <v/>
      </c>
      <c r="V1255" s="78">
        <f>IF($B1255="","",IFERROR(INDEX(Task_Tracker!$I$5:$I$1004,MATCH($B1255,Task_Tracker!$A$5:$A$1004,0)),""))</f>
        <v/>
      </c>
      <c r="W1255" s="81">
        <f>IF(OR($D1255="",$B1255=""),"",$D1255&amp;" | "&amp;$B1255)</f>
        <v/>
      </c>
      <c r="X1255" s="85">
        <f>IF($K1255="","",TEXT($K1255,"yyyy-mm"))</f>
        <v/>
      </c>
      <c r="Y1255" s="81">
        <f>IF(OR($A1255="",$T1255=""),"","Included in Manager_Report")</f>
        <v/>
      </c>
    </row>
    <row r="1256" ht="15" customHeight="1" s="40">
      <c r="A1256" s="65">
        <f>IF(COUNTA(B1256:G1256)=0,"","STP-"&amp;TEXT(ROW()-4,"0000"))</f>
        <v/>
      </c>
      <c r="B1256" s="78" t="n"/>
      <c r="C1256" s="67">
        <f>IF($B1256="","",IFERROR(INDEX(Task_Tracker!$D$5:$D$1004,MATCH($B1256,Task_Tracker!$A$5:$A$1004,0)),""))</f>
        <v/>
      </c>
      <c r="D1256" s="67">
        <f>IF($B1256="","",IFERROR(INDEX(Task_Tracker!$B$5:$B$1004,MATCH($B1256,Task_Tracker!$A$5:$A$1004,0)),""))</f>
        <v/>
      </c>
      <c r="E1256" s="81" t="n"/>
      <c r="F1256" s="81" t="n"/>
      <c r="G1256" s="78" t="n"/>
      <c r="H1256" s="78" t="n"/>
      <c r="I1256" s="67">
        <f>IF($H1256="","",IFERROR(INDEX(Action_Status_Map!$B$5:$B$11,MATCH($H1256,Action_Status_Map!$A$5:$A$11,0)),""))</f>
        <v/>
      </c>
      <c r="J1256" s="82" t="n"/>
      <c r="K1256" s="82" t="n"/>
      <c r="L1256" s="82" t="n"/>
      <c r="M1256" s="83" t="n"/>
      <c r="N1256" s="83" t="n"/>
      <c r="O1256" s="66">
        <f>IF(OR($M1256="",$N1256=""),"",$N1256-$M1256)</f>
        <v/>
      </c>
      <c r="P1256" s="84">
        <f>IF($J1256="","",IF($L1256&lt;&gt;"",$L1256-$J1256,TODAY()-$J1256))</f>
        <v/>
      </c>
      <c r="Q1256" s="85">
        <f>IF(OR($K1256="",$H1256="Completed",$H1256="Cancelled"),"",IF(AND($K1256&lt;TODAY(),$H1256&lt;&gt;"Completed",$H1256&lt;&gt;"Cancelled"),"Overdue","On Track"))</f>
        <v/>
      </c>
      <c r="R1256" s="81" t="n"/>
      <c r="S1256" s="81">
        <f>IF($B1256="","",IFERROR(INDEX(Task_Tracker!$AA$5:$AA$1004,MATCH($B1256,Task_Tracker!$A$5:$A$1004,0)),""))</f>
        <v/>
      </c>
      <c r="T1256" s="81">
        <f>IF($B1256="","",IFERROR(INDEX(Task_Tracker!$AB$5:$AB$1004,MATCH($B1256,Task_Tracker!$A$5:$A$1004,0)),""))</f>
        <v/>
      </c>
      <c r="U1256" s="78">
        <f>IF($B1256="","",IFERROR(INDEX(Task_Tracker!$F$5:$F$1004,MATCH($B1256,Task_Tracker!$A$5:$A$1004,0)),""))</f>
        <v/>
      </c>
      <c r="V1256" s="78">
        <f>IF($B1256="","",IFERROR(INDEX(Task_Tracker!$I$5:$I$1004,MATCH($B1256,Task_Tracker!$A$5:$A$1004,0)),""))</f>
        <v/>
      </c>
      <c r="W1256" s="81">
        <f>IF(OR($D1256="",$B1256=""),"",$D1256&amp;" | "&amp;$B1256)</f>
        <v/>
      </c>
      <c r="X1256" s="85">
        <f>IF($K1256="","",TEXT($K1256,"yyyy-mm"))</f>
        <v/>
      </c>
      <c r="Y1256" s="81">
        <f>IF(OR($A1256="",$T1256=""),"","Included in Manager_Report")</f>
        <v/>
      </c>
    </row>
    <row r="1257" ht="15" customHeight="1" s="40">
      <c r="A1257" s="65">
        <f>IF(COUNTA(B1257:G1257)=0,"","STP-"&amp;TEXT(ROW()-4,"0000"))</f>
        <v/>
      </c>
      <c r="B1257" s="78" t="n"/>
      <c r="C1257" s="67">
        <f>IF($B1257="","",IFERROR(INDEX(Task_Tracker!$D$5:$D$1004,MATCH($B1257,Task_Tracker!$A$5:$A$1004,0)),""))</f>
        <v/>
      </c>
      <c r="D1257" s="67">
        <f>IF($B1257="","",IFERROR(INDEX(Task_Tracker!$B$5:$B$1004,MATCH($B1257,Task_Tracker!$A$5:$A$1004,0)),""))</f>
        <v/>
      </c>
      <c r="E1257" s="81" t="n"/>
      <c r="F1257" s="81" t="n"/>
      <c r="G1257" s="78" t="n"/>
      <c r="H1257" s="78" t="n"/>
      <c r="I1257" s="67">
        <f>IF($H1257="","",IFERROR(INDEX(Action_Status_Map!$B$5:$B$11,MATCH($H1257,Action_Status_Map!$A$5:$A$11,0)),""))</f>
        <v/>
      </c>
      <c r="J1257" s="82" t="n"/>
      <c r="K1257" s="82" t="n"/>
      <c r="L1257" s="82" t="n"/>
      <c r="M1257" s="83" t="n"/>
      <c r="N1257" s="83" t="n"/>
      <c r="O1257" s="66">
        <f>IF(OR($M1257="",$N1257=""),"",$N1257-$M1257)</f>
        <v/>
      </c>
      <c r="P1257" s="84">
        <f>IF($J1257="","",IF($L1257&lt;&gt;"",$L1257-$J1257,TODAY()-$J1257))</f>
        <v/>
      </c>
      <c r="Q1257" s="85">
        <f>IF(OR($K1257="",$H1257="Completed",$H1257="Cancelled"),"",IF(AND($K1257&lt;TODAY(),$H1257&lt;&gt;"Completed",$H1257&lt;&gt;"Cancelled"),"Overdue","On Track"))</f>
        <v/>
      </c>
      <c r="R1257" s="81" t="n"/>
      <c r="S1257" s="81">
        <f>IF($B1257="","",IFERROR(INDEX(Task_Tracker!$AA$5:$AA$1004,MATCH($B1257,Task_Tracker!$A$5:$A$1004,0)),""))</f>
        <v/>
      </c>
      <c r="T1257" s="81">
        <f>IF($B1257="","",IFERROR(INDEX(Task_Tracker!$AB$5:$AB$1004,MATCH($B1257,Task_Tracker!$A$5:$A$1004,0)),""))</f>
        <v/>
      </c>
      <c r="U1257" s="78">
        <f>IF($B1257="","",IFERROR(INDEX(Task_Tracker!$F$5:$F$1004,MATCH($B1257,Task_Tracker!$A$5:$A$1004,0)),""))</f>
        <v/>
      </c>
      <c r="V1257" s="78">
        <f>IF($B1257="","",IFERROR(INDEX(Task_Tracker!$I$5:$I$1004,MATCH($B1257,Task_Tracker!$A$5:$A$1004,0)),""))</f>
        <v/>
      </c>
      <c r="W1257" s="81">
        <f>IF(OR($D1257="",$B1257=""),"",$D1257&amp;" | "&amp;$B1257)</f>
        <v/>
      </c>
      <c r="X1257" s="85">
        <f>IF($K1257="","",TEXT($K1257,"yyyy-mm"))</f>
        <v/>
      </c>
      <c r="Y1257" s="81">
        <f>IF(OR($A1257="",$T1257=""),"","Included in Manager_Report")</f>
        <v/>
      </c>
    </row>
    <row r="1258" ht="15" customHeight="1" s="40">
      <c r="A1258" s="65">
        <f>IF(COUNTA(B1258:G1258)=0,"","STP-"&amp;TEXT(ROW()-4,"0000"))</f>
        <v/>
      </c>
      <c r="B1258" s="78" t="n"/>
      <c r="C1258" s="67">
        <f>IF($B1258="","",IFERROR(INDEX(Task_Tracker!$D$5:$D$1004,MATCH($B1258,Task_Tracker!$A$5:$A$1004,0)),""))</f>
        <v/>
      </c>
      <c r="D1258" s="67">
        <f>IF($B1258="","",IFERROR(INDEX(Task_Tracker!$B$5:$B$1004,MATCH($B1258,Task_Tracker!$A$5:$A$1004,0)),""))</f>
        <v/>
      </c>
      <c r="E1258" s="81" t="n"/>
      <c r="F1258" s="81" t="n"/>
      <c r="G1258" s="78" t="n"/>
      <c r="H1258" s="78" t="n"/>
      <c r="I1258" s="67">
        <f>IF($H1258="","",IFERROR(INDEX(Action_Status_Map!$B$5:$B$11,MATCH($H1258,Action_Status_Map!$A$5:$A$11,0)),""))</f>
        <v/>
      </c>
      <c r="J1258" s="82" t="n"/>
      <c r="K1258" s="82" t="n"/>
      <c r="L1258" s="82" t="n"/>
      <c r="M1258" s="83" t="n"/>
      <c r="N1258" s="83" t="n"/>
      <c r="O1258" s="66">
        <f>IF(OR($M1258="",$N1258=""),"",$N1258-$M1258)</f>
        <v/>
      </c>
      <c r="P1258" s="84">
        <f>IF($J1258="","",IF($L1258&lt;&gt;"",$L1258-$J1258,TODAY()-$J1258))</f>
        <v/>
      </c>
      <c r="Q1258" s="85">
        <f>IF(OR($K1258="",$H1258="Completed",$H1258="Cancelled"),"",IF(AND($K1258&lt;TODAY(),$H1258&lt;&gt;"Completed",$H1258&lt;&gt;"Cancelled"),"Overdue","On Track"))</f>
        <v/>
      </c>
      <c r="R1258" s="81" t="n"/>
      <c r="S1258" s="81">
        <f>IF($B1258="","",IFERROR(INDEX(Task_Tracker!$AA$5:$AA$1004,MATCH($B1258,Task_Tracker!$A$5:$A$1004,0)),""))</f>
        <v/>
      </c>
      <c r="T1258" s="81">
        <f>IF($B1258="","",IFERROR(INDEX(Task_Tracker!$AB$5:$AB$1004,MATCH($B1258,Task_Tracker!$A$5:$A$1004,0)),""))</f>
        <v/>
      </c>
      <c r="U1258" s="78">
        <f>IF($B1258="","",IFERROR(INDEX(Task_Tracker!$F$5:$F$1004,MATCH($B1258,Task_Tracker!$A$5:$A$1004,0)),""))</f>
        <v/>
      </c>
      <c r="V1258" s="78">
        <f>IF($B1258="","",IFERROR(INDEX(Task_Tracker!$I$5:$I$1004,MATCH($B1258,Task_Tracker!$A$5:$A$1004,0)),""))</f>
        <v/>
      </c>
      <c r="W1258" s="81">
        <f>IF(OR($D1258="",$B1258=""),"",$D1258&amp;" | "&amp;$B1258)</f>
        <v/>
      </c>
      <c r="X1258" s="85">
        <f>IF($K1258="","",TEXT($K1258,"yyyy-mm"))</f>
        <v/>
      </c>
      <c r="Y1258" s="81">
        <f>IF(OR($A1258="",$T1258=""),"","Included in Manager_Report")</f>
        <v/>
      </c>
    </row>
    <row r="1259" ht="15" customHeight="1" s="40">
      <c r="A1259" s="65">
        <f>IF(COUNTA(B1259:G1259)=0,"","STP-"&amp;TEXT(ROW()-4,"0000"))</f>
        <v/>
      </c>
      <c r="B1259" s="78" t="n"/>
      <c r="C1259" s="67">
        <f>IF($B1259="","",IFERROR(INDEX(Task_Tracker!$D$5:$D$1004,MATCH($B1259,Task_Tracker!$A$5:$A$1004,0)),""))</f>
        <v/>
      </c>
      <c r="D1259" s="67">
        <f>IF($B1259="","",IFERROR(INDEX(Task_Tracker!$B$5:$B$1004,MATCH($B1259,Task_Tracker!$A$5:$A$1004,0)),""))</f>
        <v/>
      </c>
      <c r="E1259" s="81" t="n"/>
      <c r="F1259" s="81" t="n"/>
      <c r="G1259" s="78" t="n"/>
      <c r="H1259" s="78" t="n"/>
      <c r="I1259" s="67">
        <f>IF($H1259="","",IFERROR(INDEX(Action_Status_Map!$B$5:$B$11,MATCH($H1259,Action_Status_Map!$A$5:$A$11,0)),""))</f>
        <v/>
      </c>
      <c r="J1259" s="82" t="n"/>
      <c r="K1259" s="82" t="n"/>
      <c r="L1259" s="82" t="n"/>
      <c r="M1259" s="83" t="n"/>
      <c r="N1259" s="83" t="n"/>
      <c r="O1259" s="66">
        <f>IF(OR($M1259="",$N1259=""),"",$N1259-$M1259)</f>
        <v/>
      </c>
      <c r="P1259" s="84">
        <f>IF($J1259="","",IF($L1259&lt;&gt;"",$L1259-$J1259,TODAY()-$J1259))</f>
        <v/>
      </c>
      <c r="Q1259" s="85">
        <f>IF(OR($K1259="",$H1259="Completed",$H1259="Cancelled"),"",IF(AND($K1259&lt;TODAY(),$H1259&lt;&gt;"Completed",$H1259&lt;&gt;"Cancelled"),"Overdue","On Track"))</f>
        <v/>
      </c>
      <c r="R1259" s="81" t="n"/>
      <c r="S1259" s="81">
        <f>IF($B1259="","",IFERROR(INDEX(Task_Tracker!$AA$5:$AA$1004,MATCH($B1259,Task_Tracker!$A$5:$A$1004,0)),""))</f>
        <v/>
      </c>
      <c r="T1259" s="81">
        <f>IF($B1259="","",IFERROR(INDEX(Task_Tracker!$AB$5:$AB$1004,MATCH($B1259,Task_Tracker!$A$5:$A$1004,0)),""))</f>
        <v/>
      </c>
      <c r="U1259" s="78">
        <f>IF($B1259="","",IFERROR(INDEX(Task_Tracker!$F$5:$F$1004,MATCH($B1259,Task_Tracker!$A$5:$A$1004,0)),""))</f>
        <v/>
      </c>
      <c r="V1259" s="78">
        <f>IF($B1259="","",IFERROR(INDEX(Task_Tracker!$I$5:$I$1004,MATCH($B1259,Task_Tracker!$A$5:$A$1004,0)),""))</f>
        <v/>
      </c>
      <c r="W1259" s="81">
        <f>IF(OR($D1259="",$B1259=""),"",$D1259&amp;" | "&amp;$B1259)</f>
        <v/>
      </c>
      <c r="X1259" s="85">
        <f>IF($K1259="","",TEXT($K1259,"yyyy-mm"))</f>
        <v/>
      </c>
      <c r="Y1259" s="81">
        <f>IF(OR($A1259="",$T1259=""),"","Included in Manager_Report")</f>
        <v/>
      </c>
    </row>
    <row r="1260" ht="15" customHeight="1" s="40">
      <c r="A1260" s="65">
        <f>IF(COUNTA(B1260:G1260)=0,"","STP-"&amp;TEXT(ROW()-4,"0000"))</f>
        <v/>
      </c>
      <c r="B1260" s="78" t="n"/>
      <c r="C1260" s="67">
        <f>IF($B1260="","",IFERROR(INDEX(Task_Tracker!$D$5:$D$1004,MATCH($B1260,Task_Tracker!$A$5:$A$1004,0)),""))</f>
        <v/>
      </c>
      <c r="D1260" s="67">
        <f>IF($B1260="","",IFERROR(INDEX(Task_Tracker!$B$5:$B$1004,MATCH($B1260,Task_Tracker!$A$5:$A$1004,0)),""))</f>
        <v/>
      </c>
      <c r="E1260" s="81" t="n"/>
      <c r="F1260" s="81" t="n"/>
      <c r="G1260" s="78" t="n"/>
      <c r="H1260" s="78" t="n"/>
      <c r="I1260" s="67">
        <f>IF($H1260="","",IFERROR(INDEX(Action_Status_Map!$B$5:$B$11,MATCH($H1260,Action_Status_Map!$A$5:$A$11,0)),""))</f>
        <v/>
      </c>
      <c r="J1260" s="82" t="n"/>
      <c r="K1260" s="82" t="n"/>
      <c r="L1260" s="82" t="n"/>
      <c r="M1260" s="83" t="n"/>
      <c r="N1260" s="83" t="n"/>
      <c r="O1260" s="66">
        <f>IF(OR($M1260="",$N1260=""),"",$N1260-$M1260)</f>
        <v/>
      </c>
      <c r="P1260" s="84">
        <f>IF($J1260="","",IF($L1260&lt;&gt;"",$L1260-$J1260,TODAY()-$J1260))</f>
        <v/>
      </c>
      <c r="Q1260" s="85">
        <f>IF(OR($K1260="",$H1260="Completed",$H1260="Cancelled"),"",IF(AND($K1260&lt;TODAY(),$H1260&lt;&gt;"Completed",$H1260&lt;&gt;"Cancelled"),"Overdue","On Track"))</f>
        <v/>
      </c>
      <c r="R1260" s="81" t="n"/>
      <c r="S1260" s="81">
        <f>IF($B1260="","",IFERROR(INDEX(Task_Tracker!$AA$5:$AA$1004,MATCH($B1260,Task_Tracker!$A$5:$A$1004,0)),""))</f>
        <v/>
      </c>
      <c r="T1260" s="81">
        <f>IF($B1260="","",IFERROR(INDEX(Task_Tracker!$AB$5:$AB$1004,MATCH($B1260,Task_Tracker!$A$5:$A$1004,0)),""))</f>
        <v/>
      </c>
      <c r="U1260" s="78">
        <f>IF($B1260="","",IFERROR(INDEX(Task_Tracker!$F$5:$F$1004,MATCH($B1260,Task_Tracker!$A$5:$A$1004,0)),""))</f>
        <v/>
      </c>
      <c r="V1260" s="78">
        <f>IF($B1260="","",IFERROR(INDEX(Task_Tracker!$I$5:$I$1004,MATCH($B1260,Task_Tracker!$A$5:$A$1004,0)),""))</f>
        <v/>
      </c>
      <c r="W1260" s="81">
        <f>IF(OR($D1260="",$B1260=""),"",$D1260&amp;" | "&amp;$B1260)</f>
        <v/>
      </c>
      <c r="X1260" s="85">
        <f>IF($K1260="","",TEXT($K1260,"yyyy-mm"))</f>
        <v/>
      </c>
      <c r="Y1260" s="81">
        <f>IF(OR($A1260="",$T1260=""),"","Included in Manager_Report")</f>
        <v/>
      </c>
    </row>
    <row r="1261" ht="15" customHeight="1" s="40">
      <c r="A1261" s="65">
        <f>IF(COUNTA(B1261:G1261)=0,"","STP-"&amp;TEXT(ROW()-4,"0000"))</f>
        <v/>
      </c>
      <c r="B1261" s="78" t="n"/>
      <c r="C1261" s="67">
        <f>IF($B1261="","",IFERROR(INDEX(Task_Tracker!$D$5:$D$1004,MATCH($B1261,Task_Tracker!$A$5:$A$1004,0)),""))</f>
        <v/>
      </c>
      <c r="D1261" s="67">
        <f>IF($B1261="","",IFERROR(INDEX(Task_Tracker!$B$5:$B$1004,MATCH($B1261,Task_Tracker!$A$5:$A$1004,0)),""))</f>
        <v/>
      </c>
      <c r="E1261" s="81" t="n"/>
      <c r="F1261" s="81" t="n"/>
      <c r="G1261" s="78" t="n"/>
      <c r="H1261" s="78" t="n"/>
      <c r="I1261" s="67">
        <f>IF($H1261="","",IFERROR(INDEX(Action_Status_Map!$B$5:$B$11,MATCH($H1261,Action_Status_Map!$A$5:$A$11,0)),""))</f>
        <v/>
      </c>
      <c r="J1261" s="82" t="n"/>
      <c r="K1261" s="82" t="n"/>
      <c r="L1261" s="82" t="n"/>
      <c r="M1261" s="83" t="n"/>
      <c r="N1261" s="83" t="n"/>
      <c r="O1261" s="66">
        <f>IF(OR($M1261="",$N1261=""),"",$N1261-$M1261)</f>
        <v/>
      </c>
      <c r="P1261" s="84">
        <f>IF($J1261="","",IF($L1261&lt;&gt;"",$L1261-$J1261,TODAY()-$J1261))</f>
        <v/>
      </c>
      <c r="Q1261" s="85">
        <f>IF(OR($K1261="",$H1261="Completed",$H1261="Cancelled"),"",IF(AND($K1261&lt;TODAY(),$H1261&lt;&gt;"Completed",$H1261&lt;&gt;"Cancelled"),"Overdue","On Track"))</f>
        <v/>
      </c>
      <c r="R1261" s="81" t="n"/>
      <c r="S1261" s="81">
        <f>IF($B1261="","",IFERROR(INDEX(Task_Tracker!$AA$5:$AA$1004,MATCH($B1261,Task_Tracker!$A$5:$A$1004,0)),""))</f>
        <v/>
      </c>
      <c r="T1261" s="81">
        <f>IF($B1261="","",IFERROR(INDEX(Task_Tracker!$AB$5:$AB$1004,MATCH($B1261,Task_Tracker!$A$5:$A$1004,0)),""))</f>
        <v/>
      </c>
      <c r="U1261" s="78">
        <f>IF($B1261="","",IFERROR(INDEX(Task_Tracker!$F$5:$F$1004,MATCH($B1261,Task_Tracker!$A$5:$A$1004,0)),""))</f>
        <v/>
      </c>
      <c r="V1261" s="78">
        <f>IF($B1261="","",IFERROR(INDEX(Task_Tracker!$I$5:$I$1004,MATCH($B1261,Task_Tracker!$A$5:$A$1004,0)),""))</f>
        <v/>
      </c>
      <c r="W1261" s="81">
        <f>IF(OR($D1261="",$B1261=""),"",$D1261&amp;" | "&amp;$B1261)</f>
        <v/>
      </c>
      <c r="X1261" s="85">
        <f>IF($K1261="","",TEXT($K1261,"yyyy-mm"))</f>
        <v/>
      </c>
      <c r="Y1261" s="81">
        <f>IF(OR($A1261="",$T1261=""),"","Included in Manager_Report")</f>
        <v/>
      </c>
    </row>
    <row r="1262" ht="15" customHeight="1" s="40">
      <c r="A1262" s="65">
        <f>IF(COUNTA(B1262:G1262)=0,"","STP-"&amp;TEXT(ROW()-4,"0000"))</f>
        <v/>
      </c>
      <c r="B1262" s="78" t="n"/>
      <c r="C1262" s="67">
        <f>IF($B1262="","",IFERROR(INDEX(Task_Tracker!$D$5:$D$1004,MATCH($B1262,Task_Tracker!$A$5:$A$1004,0)),""))</f>
        <v/>
      </c>
      <c r="D1262" s="67">
        <f>IF($B1262="","",IFERROR(INDEX(Task_Tracker!$B$5:$B$1004,MATCH($B1262,Task_Tracker!$A$5:$A$1004,0)),""))</f>
        <v/>
      </c>
      <c r="E1262" s="81" t="n"/>
      <c r="F1262" s="81" t="n"/>
      <c r="G1262" s="78" t="n"/>
      <c r="H1262" s="78" t="n"/>
      <c r="I1262" s="67">
        <f>IF($H1262="","",IFERROR(INDEX(Action_Status_Map!$B$5:$B$11,MATCH($H1262,Action_Status_Map!$A$5:$A$11,0)),""))</f>
        <v/>
      </c>
      <c r="J1262" s="82" t="n"/>
      <c r="K1262" s="82" t="n"/>
      <c r="L1262" s="82" t="n"/>
      <c r="M1262" s="83" t="n"/>
      <c r="N1262" s="83" t="n"/>
      <c r="O1262" s="66">
        <f>IF(OR($M1262="",$N1262=""),"",$N1262-$M1262)</f>
        <v/>
      </c>
      <c r="P1262" s="84">
        <f>IF($J1262="","",IF($L1262&lt;&gt;"",$L1262-$J1262,TODAY()-$J1262))</f>
        <v/>
      </c>
      <c r="Q1262" s="85">
        <f>IF(OR($K1262="",$H1262="Completed",$H1262="Cancelled"),"",IF(AND($K1262&lt;TODAY(),$H1262&lt;&gt;"Completed",$H1262&lt;&gt;"Cancelled"),"Overdue","On Track"))</f>
        <v/>
      </c>
      <c r="R1262" s="81" t="n"/>
      <c r="S1262" s="81">
        <f>IF($B1262="","",IFERROR(INDEX(Task_Tracker!$AA$5:$AA$1004,MATCH($B1262,Task_Tracker!$A$5:$A$1004,0)),""))</f>
        <v/>
      </c>
      <c r="T1262" s="81">
        <f>IF($B1262="","",IFERROR(INDEX(Task_Tracker!$AB$5:$AB$1004,MATCH($B1262,Task_Tracker!$A$5:$A$1004,0)),""))</f>
        <v/>
      </c>
      <c r="U1262" s="78">
        <f>IF($B1262="","",IFERROR(INDEX(Task_Tracker!$F$5:$F$1004,MATCH($B1262,Task_Tracker!$A$5:$A$1004,0)),""))</f>
        <v/>
      </c>
      <c r="V1262" s="78">
        <f>IF($B1262="","",IFERROR(INDEX(Task_Tracker!$I$5:$I$1004,MATCH($B1262,Task_Tracker!$A$5:$A$1004,0)),""))</f>
        <v/>
      </c>
      <c r="W1262" s="81">
        <f>IF(OR($D1262="",$B1262=""),"",$D1262&amp;" | "&amp;$B1262)</f>
        <v/>
      </c>
      <c r="X1262" s="85">
        <f>IF($K1262="","",TEXT($K1262,"yyyy-mm"))</f>
        <v/>
      </c>
      <c r="Y1262" s="81">
        <f>IF(OR($A1262="",$T1262=""),"","Included in Manager_Report")</f>
        <v/>
      </c>
    </row>
    <row r="1263" ht="15" customHeight="1" s="40">
      <c r="A1263" s="65">
        <f>IF(COUNTA(B1263:G1263)=0,"","STP-"&amp;TEXT(ROW()-4,"0000"))</f>
        <v/>
      </c>
      <c r="B1263" s="78" t="n"/>
      <c r="C1263" s="67">
        <f>IF($B1263="","",IFERROR(INDEX(Task_Tracker!$D$5:$D$1004,MATCH($B1263,Task_Tracker!$A$5:$A$1004,0)),""))</f>
        <v/>
      </c>
      <c r="D1263" s="67">
        <f>IF($B1263="","",IFERROR(INDEX(Task_Tracker!$B$5:$B$1004,MATCH($B1263,Task_Tracker!$A$5:$A$1004,0)),""))</f>
        <v/>
      </c>
      <c r="E1263" s="81" t="n"/>
      <c r="F1263" s="81" t="n"/>
      <c r="G1263" s="78" t="n"/>
      <c r="H1263" s="78" t="n"/>
      <c r="I1263" s="67">
        <f>IF($H1263="","",IFERROR(INDEX(Action_Status_Map!$B$5:$B$11,MATCH($H1263,Action_Status_Map!$A$5:$A$11,0)),""))</f>
        <v/>
      </c>
      <c r="J1263" s="82" t="n"/>
      <c r="K1263" s="82" t="n"/>
      <c r="L1263" s="82" t="n"/>
      <c r="M1263" s="83" t="n"/>
      <c r="N1263" s="83" t="n"/>
      <c r="O1263" s="66">
        <f>IF(OR($M1263="",$N1263=""),"",$N1263-$M1263)</f>
        <v/>
      </c>
      <c r="P1263" s="84">
        <f>IF($J1263="","",IF($L1263&lt;&gt;"",$L1263-$J1263,TODAY()-$J1263))</f>
        <v/>
      </c>
      <c r="Q1263" s="85">
        <f>IF(OR($K1263="",$H1263="Completed",$H1263="Cancelled"),"",IF(AND($K1263&lt;TODAY(),$H1263&lt;&gt;"Completed",$H1263&lt;&gt;"Cancelled"),"Overdue","On Track"))</f>
        <v/>
      </c>
      <c r="R1263" s="81" t="n"/>
      <c r="S1263" s="81">
        <f>IF($B1263="","",IFERROR(INDEX(Task_Tracker!$AA$5:$AA$1004,MATCH($B1263,Task_Tracker!$A$5:$A$1004,0)),""))</f>
        <v/>
      </c>
      <c r="T1263" s="81">
        <f>IF($B1263="","",IFERROR(INDEX(Task_Tracker!$AB$5:$AB$1004,MATCH($B1263,Task_Tracker!$A$5:$A$1004,0)),""))</f>
        <v/>
      </c>
      <c r="U1263" s="78">
        <f>IF($B1263="","",IFERROR(INDEX(Task_Tracker!$F$5:$F$1004,MATCH($B1263,Task_Tracker!$A$5:$A$1004,0)),""))</f>
        <v/>
      </c>
      <c r="V1263" s="78">
        <f>IF($B1263="","",IFERROR(INDEX(Task_Tracker!$I$5:$I$1004,MATCH($B1263,Task_Tracker!$A$5:$A$1004,0)),""))</f>
        <v/>
      </c>
      <c r="W1263" s="81">
        <f>IF(OR($D1263="",$B1263=""),"",$D1263&amp;" | "&amp;$B1263)</f>
        <v/>
      </c>
      <c r="X1263" s="85">
        <f>IF($K1263="","",TEXT($K1263,"yyyy-mm"))</f>
        <v/>
      </c>
      <c r="Y1263" s="81">
        <f>IF(OR($A1263="",$T1263=""),"","Included in Manager_Report")</f>
        <v/>
      </c>
    </row>
    <row r="1264" ht="15" customHeight="1" s="40">
      <c r="A1264" s="65">
        <f>IF(COUNTA(B1264:G1264)=0,"","STP-"&amp;TEXT(ROW()-4,"0000"))</f>
        <v/>
      </c>
      <c r="B1264" s="78" t="n"/>
      <c r="C1264" s="67">
        <f>IF($B1264="","",IFERROR(INDEX(Task_Tracker!$D$5:$D$1004,MATCH($B1264,Task_Tracker!$A$5:$A$1004,0)),""))</f>
        <v/>
      </c>
      <c r="D1264" s="67">
        <f>IF($B1264="","",IFERROR(INDEX(Task_Tracker!$B$5:$B$1004,MATCH($B1264,Task_Tracker!$A$5:$A$1004,0)),""))</f>
        <v/>
      </c>
      <c r="E1264" s="81" t="n"/>
      <c r="F1264" s="81" t="n"/>
      <c r="G1264" s="78" t="n"/>
      <c r="H1264" s="78" t="n"/>
      <c r="I1264" s="67">
        <f>IF($H1264="","",IFERROR(INDEX(Action_Status_Map!$B$5:$B$11,MATCH($H1264,Action_Status_Map!$A$5:$A$11,0)),""))</f>
        <v/>
      </c>
      <c r="J1264" s="82" t="n"/>
      <c r="K1264" s="82" t="n"/>
      <c r="L1264" s="82" t="n"/>
      <c r="M1264" s="83" t="n"/>
      <c r="N1264" s="83" t="n"/>
      <c r="O1264" s="66">
        <f>IF(OR($M1264="",$N1264=""),"",$N1264-$M1264)</f>
        <v/>
      </c>
      <c r="P1264" s="84">
        <f>IF($J1264="","",IF($L1264&lt;&gt;"",$L1264-$J1264,TODAY()-$J1264))</f>
        <v/>
      </c>
      <c r="Q1264" s="85">
        <f>IF(OR($K1264="",$H1264="Completed",$H1264="Cancelled"),"",IF(AND($K1264&lt;TODAY(),$H1264&lt;&gt;"Completed",$H1264&lt;&gt;"Cancelled"),"Overdue","On Track"))</f>
        <v/>
      </c>
      <c r="R1264" s="81" t="n"/>
      <c r="S1264" s="81">
        <f>IF($B1264="","",IFERROR(INDEX(Task_Tracker!$AA$5:$AA$1004,MATCH($B1264,Task_Tracker!$A$5:$A$1004,0)),""))</f>
        <v/>
      </c>
      <c r="T1264" s="81">
        <f>IF($B1264="","",IFERROR(INDEX(Task_Tracker!$AB$5:$AB$1004,MATCH($B1264,Task_Tracker!$A$5:$A$1004,0)),""))</f>
        <v/>
      </c>
      <c r="U1264" s="78">
        <f>IF($B1264="","",IFERROR(INDEX(Task_Tracker!$F$5:$F$1004,MATCH($B1264,Task_Tracker!$A$5:$A$1004,0)),""))</f>
        <v/>
      </c>
      <c r="V1264" s="78">
        <f>IF($B1264="","",IFERROR(INDEX(Task_Tracker!$I$5:$I$1004,MATCH($B1264,Task_Tracker!$A$5:$A$1004,0)),""))</f>
        <v/>
      </c>
      <c r="W1264" s="81">
        <f>IF(OR($D1264="",$B1264=""),"",$D1264&amp;" | "&amp;$B1264)</f>
        <v/>
      </c>
      <c r="X1264" s="85">
        <f>IF($K1264="","",TEXT($K1264,"yyyy-mm"))</f>
        <v/>
      </c>
      <c r="Y1264" s="81">
        <f>IF(OR($A1264="",$T1264=""),"","Included in Manager_Report")</f>
        <v/>
      </c>
    </row>
    <row r="1265" ht="15" customHeight="1" s="40">
      <c r="A1265" s="65">
        <f>IF(COUNTA(B1265:G1265)=0,"","STP-"&amp;TEXT(ROW()-4,"0000"))</f>
        <v/>
      </c>
      <c r="B1265" s="78" t="n"/>
      <c r="C1265" s="67">
        <f>IF($B1265="","",IFERROR(INDEX(Task_Tracker!$D$5:$D$1004,MATCH($B1265,Task_Tracker!$A$5:$A$1004,0)),""))</f>
        <v/>
      </c>
      <c r="D1265" s="67">
        <f>IF($B1265="","",IFERROR(INDEX(Task_Tracker!$B$5:$B$1004,MATCH($B1265,Task_Tracker!$A$5:$A$1004,0)),""))</f>
        <v/>
      </c>
      <c r="E1265" s="81" t="n"/>
      <c r="F1265" s="81" t="n"/>
      <c r="G1265" s="78" t="n"/>
      <c r="H1265" s="78" t="n"/>
      <c r="I1265" s="67">
        <f>IF($H1265="","",IFERROR(INDEX(Action_Status_Map!$B$5:$B$11,MATCH($H1265,Action_Status_Map!$A$5:$A$11,0)),""))</f>
        <v/>
      </c>
      <c r="J1265" s="82" t="n"/>
      <c r="K1265" s="82" t="n"/>
      <c r="L1265" s="82" t="n"/>
      <c r="M1265" s="83" t="n"/>
      <c r="N1265" s="83" t="n"/>
      <c r="O1265" s="66">
        <f>IF(OR($M1265="",$N1265=""),"",$N1265-$M1265)</f>
        <v/>
      </c>
      <c r="P1265" s="84">
        <f>IF($J1265="","",IF($L1265&lt;&gt;"",$L1265-$J1265,TODAY()-$J1265))</f>
        <v/>
      </c>
      <c r="Q1265" s="85">
        <f>IF(OR($K1265="",$H1265="Completed",$H1265="Cancelled"),"",IF(AND($K1265&lt;TODAY(),$H1265&lt;&gt;"Completed",$H1265&lt;&gt;"Cancelled"),"Overdue","On Track"))</f>
        <v/>
      </c>
      <c r="R1265" s="81" t="n"/>
      <c r="S1265" s="81">
        <f>IF($B1265="","",IFERROR(INDEX(Task_Tracker!$AA$5:$AA$1004,MATCH($B1265,Task_Tracker!$A$5:$A$1004,0)),""))</f>
        <v/>
      </c>
      <c r="T1265" s="81">
        <f>IF($B1265="","",IFERROR(INDEX(Task_Tracker!$AB$5:$AB$1004,MATCH($B1265,Task_Tracker!$A$5:$A$1004,0)),""))</f>
        <v/>
      </c>
      <c r="U1265" s="78">
        <f>IF($B1265="","",IFERROR(INDEX(Task_Tracker!$F$5:$F$1004,MATCH($B1265,Task_Tracker!$A$5:$A$1004,0)),""))</f>
        <v/>
      </c>
      <c r="V1265" s="78">
        <f>IF($B1265="","",IFERROR(INDEX(Task_Tracker!$I$5:$I$1004,MATCH($B1265,Task_Tracker!$A$5:$A$1004,0)),""))</f>
        <v/>
      </c>
      <c r="W1265" s="81">
        <f>IF(OR($D1265="",$B1265=""),"",$D1265&amp;" | "&amp;$B1265)</f>
        <v/>
      </c>
      <c r="X1265" s="85">
        <f>IF($K1265="","",TEXT($K1265,"yyyy-mm"))</f>
        <v/>
      </c>
      <c r="Y1265" s="81">
        <f>IF(OR($A1265="",$T1265=""),"","Included in Manager_Report")</f>
        <v/>
      </c>
    </row>
    <row r="1266" ht="15" customHeight="1" s="40">
      <c r="A1266" s="65">
        <f>IF(COUNTA(B1266:G1266)=0,"","STP-"&amp;TEXT(ROW()-4,"0000"))</f>
        <v/>
      </c>
      <c r="B1266" s="78" t="n"/>
      <c r="C1266" s="67">
        <f>IF($B1266="","",IFERROR(INDEX(Task_Tracker!$D$5:$D$1004,MATCH($B1266,Task_Tracker!$A$5:$A$1004,0)),""))</f>
        <v/>
      </c>
      <c r="D1266" s="67">
        <f>IF($B1266="","",IFERROR(INDEX(Task_Tracker!$B$5:$B$1004,MATCH($B1266,Task_Tracker!$A$5:$A$1004,0)),""))</f>
        <v/>
      </c>
      <c r="E1266" s="81" t="n"/>
      <c r="F1266" s="81" t="n"/>
      <c r="G1266" s="78" t="n"/>
      <c r="H1266" s="78" t="n"/>
      <c r="I1266" s="67">
        <f>IF($H1266="","",IFERROR(INDEX(Action_Status_Map!$B$5:$B$11,MATCH($H1266,Action_Status_Map!$A$5:$A$11,0)),""))</f>
        <v/>
      </c>
      <c r="J1266" s="82" t="n"/>
      <c r="K1266" s="82" t="n"/>
      <c r="L1266" s="82" t="n"/>
      <c r="M1266" s="83" t="n"/>
      <c r="N1266" s="83" t="n"/>
      <c r="O1266" s="66">
        <f>IF(OR($M1266="",$N1266=""),"",$N1266-$M1266)</f>
        <v/>
      </c>
      <c r="P1266" s="84">
        <f>IF($J1266="","",IF($L1266&lt;&gt;"",$L1266-$J1266,TODAY()-$J1266))</f>
        <v/>
      </c>
      <c r="Q1266" s="85">
        <f>IF(OR($K1266="",$H1266="Completed",$H1266="Cancelled"),"",IF(AND($K1266&lt;TODAY(),$H1266&lt;&gt;"Completed",$H1266&lt;&gt;"Cancelled"),"Overdue","On Track"))</f>
        <v/>
      </c>
      <c r="R1266" s="81" t="n"/>
      <c r="S1266" s="81">
        <f>IF($B1266="","",IFERROR(INDEX(Task_Tracker!$AA$5:$AA$1004,MATCH($B1266,Task_Tracker!$A$5:$A$1004,0)),""))</f>
        <v/>
      </c>
      <c r="T1266" s="81">
        <f>IF($B1266="","",IFERROR(INDEX(Task_Tracker!$AB$5:$AB$1004,MATCH($B1266,Task_Tracker!$A$5:$A$1004,0)),""))</f>
        <v/>
      </c>
      <c r="U1266" s="78">
        <f>IF($B1266="","",IFERROR(INDEX(Task_Tracker!$F$5:$F$1004,MATCH($B1266,Task_Tracker!$A$5:$A$1004,0)),""))</f>
        <v/>
      </c>
      <c r="V1266" s="78">
        <f>IF($B1266="","",IFERROR(INDEX(Task_Tracker!$I$5:$I$1004,MATCH($B1266,Task_Tracker!$A$5:$A$1004,0)),""))</f>
        <v/>
      </c>
      <c r="W1266" s="81">
        <f>IF(OR($D1266="",$B1266=""),"",$D1266&amp;" | "&amp;$B1266)</f>
        <v/>
      </c>
      <c r="X1266" s="85">
        <f>IF($K1266="","",TEXT($K1266,"yyyy-mm"))</f>
        <v/>
      </c>
      <c r="Y1266" s="81">
        <f>IF(OR($A1266="",$T1266=""),"","Included in Manager_Report")</f>
        <v/>
      </c>
    </row>
    <row r="1267" ht="15" customHeight="1" s="40">
      <c r="A1267" s="65">
        <f>IF(COUNTA(B1267:G1267)=0,"","STP-"&amp;TEXT(ROW()-4,"0000"))</f>
        <v/>
      </c>
      <c r="B1267" s="78" t="n"/>
      <c r="C1267" s="67">
        <f>IF($B1267="","",IFERROR(INDEX(Task_Tracker!$D$5:$D$1004,MATCH($B1267,Task_Tracker!$A$5:$A$1004,0)),""))</f>
        <v/>
      </c>
      <c r="D1267" s="67">
        <f>IF($B1267="","",IFERROR(INDEX(Task_Tracker!$B$5:$B$1004,MATCH($B1267,Task_Tracker!$A$5:$A$1004,0)),""))</f>
        <v/>
      </c>
      <c r="E1267" s="81" t="n"/>
      <c r="F1267" s="81" t="n"/>
      <c r="G1267" s="78" t="n"/>
      <c r="H1267" s="78" t="n"/>
      <c r="I1267" s="67">
        <f>IF($H1267="","",IFERROR(INDEX(Action_Status_Map!$B$5:$B$11,MATCH($H1267,Action_Status_Map!$A$5:$A$11,0)),""))</f>
        <v/>
      </c>
      <c r="J1267" s="82" t="n"/>
      <c r="K1267" s="82" t="n"/>
      <c r="L1267" s="82" t="n"/>
      <c r="M1267" s="83" t="n"/>
      <c r="N1267" s="83" t="n"/>
      <c r="O1267" s="66">
        <f>IF(OR($M1267="",$N1267=""),"",$N1267-$M1267)</f>
        <v/>
      </c>
      <c r="P1267" s="84">
        <f>IF($J1267="","",IF($L1267&lt;&gt;"",$L1267-$J1267,TODAY()-$J1267))</f>
        <v/>
      </c>
      <c r="Q1267" s="85">
        <f>IF(OR($K1267="",$H1267="Completed",$H1267="Cancelled"),"",IF(AND($K1267&lt;TODAY(),$H1267&lt;&gt;"Completed",$H1267&lt;&gt;"Cancelled"),"Overdue","On Track"))</f>
        <v/>
      </c>
      <c r="R1267" s="81" t="n"/>
      <c r="S1267" s="81">
        <f>IF($B1267="","",IFERROR(INDEX(Task_Tracker!$AA$5:$AA$1004,MATCH($B1267,Task_Tracker!$A$5:$A$1004,0)),""))</f>
        <v/>
      </c>
      <c r="T1267" s="81">
        <f>IF($B1267="","",IFERROR(INDEX(Task_Tracker!$AB$5:$AB$1004,MATCH($B1267,Task_Tracker!$A$5:$A$1004,0)),""))</f>
        <v/>
      </c>
      <c r="U1267" s="78">
        <f>IF($B1267="","",IFERROR(INDEX(Task_Tracker!$F$5:$F$1004,MATCH($B1267,Task_Tracker!$A$5:$A$1004,0)),""))</f>
        <v/>
      </c>
      <c r="V1267" s="78">
        <f>IF($B1267="","",IFERROR(INDEX(Task_Tracker!$I$5:$I$1004,MATCH($B1267,Task_Tracker!$A$5:$A$1004,0)),""))</f>
        <v/>
      </c>
      <c r="W1267" s="81">
        <f>IF(OR($D1267="",$B1267=""),"",$D1267&amp;" | "&amp;$B1267)</f>
        <v/>
      </c>
      <c r="X1267" s="85">
        <f>IF($K1267="","",TEXT($K1267,"yyyy-mm"))</f>
        <v/>
      </c>
      <c r="Y1267" s="81">
        <f>IF(OR($A1267="",$T1267=""),"","Included in Manager_Report")</f>
        <v/>
      </c>
    </row>
    <row r="1268" ht="15" customHeight="1" s="40">
      <c r="A1268" s="65">
        <f>IF(COUNTA(B1268:G1268)=0,"","STP-"&amp;TEXT(ROW()-4,"0000"))</f>
        <v/>
      </c>
      <c r="B1268" s="78" t="n"/>
      <c r="C1268" s="67">
        <f>IF($B1268="","",IFERROR(INDEX(Task_Tracker!$D$5:$D$1004,MATCH($B1268,Task_Tracker!$A$5:$A$1004,0)),""))</f>
        <v/>
      </c>
      <c r="D1268" s="67">
        <f>IF($B1268="","",IFERROR(INDEX(Task_Tracker!$B$5:$B$1004,MATCH($B1268,Task_Tracker!$A$5:$A$1004,0)),""))</f>
        <v/>
      </c>
      <c r="E1268" s="81" t="n"/>
      <c r="F1268" s="81" t="n"/>
      <c r="G1268" s="78" t="n"/>
      <c r="H1268" s="78" t="n"/>
      <c r="I1268" s="67">
        <f>IF($H1268="","",IFERROR(INDEX(Action_Status_Map!$B$5:$B$11,MATCH($H1268,Action_Status_Map!$A$5:$A$11,0)),""))</f>
        <v/>
      </c>
      <c r="J1268" s="82" t="n"/>
      <c r="K1268" s="82" t="n"/>
      <c r="L1268" s="82" t="n"/>
      <c r="M1268" s="83" t="n"/>
      <c r="N1268" s="83" t="n"/>
      <c r="O1268" s="66">
        <f>IF(OR($M1268="",$N1268=""),"",$N1268-$M1268)</f>
        <v/>
      </c>
      <c r="P1268" s="84">
        <f>IF($J1268="","",IF($L1268&lt;&gt;"",$L1268-$J1268,TODAY()-$J1268))</f>
        <v/>
      </c>
      <c r="Q1268" s="85">
        <f>IF(OR($K1268="",$H1268="Completed",$H1268="Cancelled"),"",IF(AND($K1268&lt;TODAY(),$H1268&lt;&gt;"Completed",$H1268&lt;&gt;"Cancelled"),"Overdue","On Track"))</f>
        <v/>
      </c>
      <c r="R1268" s="81" t="n"/>
      <c r="S1268" s="81">
        <f>IF($B1268="","",IFERROR(INDEX(Task_Tracker!$AA$5:$AA$1004,MATCH($B1268,Task_Tracker!$A$5:$A$1004,0)),""))</f>
        <v/>
      </c>
      <c r="T1268" s="81">
        <f>IF($B1268="","",IFERROR(INDEX(Task_Tracker!$AB$5:$AB$1004,MATCH($B1268,Task_Tracker!$A$5:$A$1004,0)),""))</f>
        <v/>
      </c>
      <c r="U1268" s="78">
        <f>IF($B1268="","",IFERROR(INDEX(Task_Tracker!$F$5:$F$1004,MATCH($B1268,Task_Tracker!$A$5:$A$1004,0)),""))</f>
        <v/>
      </c>
      <c r="V1268" s="78">
        <f>IF($B1268="","",IFERROR(INDEX(Task_Tracker!$I$5:$I$1004,MATCH($B1268,Task_Tracker!$A$5:$A$1004,0)),""))</f>
        <v/>
      </c>
      <c r="W1268" s="81">
        <f>IF(OR($D1268="",$B1268=""),"",$D1268&amp;" | "&amp;$B1268)</f>
        <v/>
      </c>
      <c r="X1268" s="85">
        <f>IF($K1268="","",TEXT($K1268,"yyyy-mm"))</f>
        <v/>
      </c>
      <c r="Y1268" s="81">
        <f>IF(OR($A1268="",$T1268=""),"","Included in Manager_Report")</f>
        <v/>
      </c>
    </row>
    <row r="1269" ht="15" customHeight="1" s="40">
      <c r="A1269" s="65">
        <f>IF(COUNTA(B1269:G1269)=0,"","STP-"&amp;TEXT(ROW()-4,"0000"))</f>
        <v/>
      </c>
      <c r="B1269" s="78" t="n"/>
      <c r="C1269" s="67">
        <f>IF($B1269="","",IFERROR(INDEX(Task_Tracker!$D$5:$D$1004,MATCH($B1269,Task_Tracker!$A$5:$A$1004,0)),""))</f>
        <v/>
      </c>
      <c r="D1269" s="67">
        <f>IF($B1269="","",IFERROR(INDEX(Task_Tracker!$B$5:$B$1004,MATCH($B1269,Task_Tracker!$A$5:$A$1004,0)),""))</f>
        <v/>
      </c>
      <c r="E1269" s="81" t="n"/>
      <c r="F1269" s="81" t="n"/>
      <c r="G1269" s="78" t="n"/>
      <c r="H1269" s="78" t="n"/>
      <c r="I1269" s="67">
        <f>IF($H1269="","",IFERROR(INDEX(Action_Status_Map!$B$5:$B$11,MATCH($H1269,Action_Status_Map!$A$5:$A$11,0)),""))</f>
        <v/>
      </c>
      <c r="J1269" s="82" t="n"/>
      <c r="K1269" s="82" t="n"/>
      <c r="L1269" s="82" t="n"/>
      <c r="M1269" s="83" t="n"/>
      <c r="N1269" s="83" t="n"/>
      <c r="O1269" s="66">
        <f>IF(OR($M1269="",$N1269=""),"",$N1269-$M1269)</f>
        <v/>
      </c>
      <c r="P1269" s="84">
        <f>IF($J1269="","",IF($L1269&lt;&gt;"",$L1269-$J1269,TODAY()-$J1269))</f>
        <v/>
      </c>
      <c r="Q1269" s="85">
        <f>IF(OR($K1269="",$H1269="Completed",$H1269="Cancelled"),"",IF(AND($K1269&lt;TODAY(),$H1269&lt;&gt;"Completed",$H1269&lt;&gt;"Cancelled"),"Overdue","On Track"))</f>
        <v/>
      </c>
      <c r="R1269" s="81" t="n"/>
      <c r="S1269" s="81">
        <f>IF($B1269="","",IFERROR(INDEX(Task_Tracker!$AA$5:$AA$1004,MATCH($B1269,Task_Tracker!$A$5:$A$1004,0)),""))</f>
        <v/>
      </c>
      <c r="T1269" s="81">
        <f>IF($B1269="","",IFERROR(INDEX(Task_Tracker!$AB$5:$AB$1004,MATCH($B1269,Task_Tracker!$A$5:$A$1004,0)),""))</f>
        <v/>
      </c>
      <c r="U1269" s="78">
        <f>IF($B1269="","",IFERROR(INDEX(Task_Tracker!$F$5:$F$1004,MATCH($B1269,Task_Tracker!$A$5:$A$1004,0)),""))</f>
        <v/>
      </c>
      <c r="V1269" s="78">
        <f>IF($B1269="","",IFERROR(INDEX(Task_Tracker!$I$5:$I$1004,MATCH($B1269,Task_Tracker!$A$5:$A$1004,0)),""))</f>
        <v/>
      </c>
      <c r="W1269" s="81">
        <f>IF(OR($D1269="",$B1269=""),"",$D1269&amp;" | "&amp;$B1269)</f>
        <v/>
      </c>
      <c r="X1269" s="85">
        <f>IF($K1269="","",TEXT($K1269,"yyyy-mm"))</f>
        <v/>
      </c>
      <c r="Y1269" s="81">
        <f>IF(OR($A1269="",$T1269=""),"","Included in Manager_Report")</f>
        <v/>
      </c>
    </row>
    <row r="1270" ht="15" customHeight="1" s="40">
      <c r="A1270" s="65">
        <f>IF(COUNTA(B1270:G1270)=0,"","STP-"&amp;TEXT(ROW()-4,"0000"))</f>
        <v/>
      </c>
      <c r="B1270" s="78" t="n"/>
      <c r="C1270" s="67">
        <f>IF($B1270="","",IFERROR(INDEX(Task_Tracker!$D$5:$D$1004,MATCH($B1270,Task_Tracker!$A$5:$A$1004,0)),""))</f>
        <v/>
      </c>
      <c r="D1270" s="67">
        <f>IF($B1270="","",IFERROR(INDEX(Task_Tracker!$B$5:$B$1004,MATCH($B1270,Task_Tracker!$A$5:$A$1004,0)),""))</f>
        <v/>
      </c>
      <c r="E1270" s="81" t="n"/>
      <c r="F1270" s="81" t="n"/>
      <c r="G1270" s="78" t="n"/>
      <c r="H1270" s="78" t="n"/>
      <c r="I1270" s="67">
        <f>IF($H1270="","",IFERROR(INDEX(Action_Status_Map!$B$5:$B$11,MATCH($H1270,Action_Status_Map!$A$5:$A$11,0)),""))</f>
        <v/>
      </c>
      <c r="J1270" s="82" t="n"/>
      <c r="K1270" s="82" t="n"/>
      <c r="L1270" s="82" t="n"/>
      <c r="M1270" s="83" t="n"/>
      <c r="N1270" s="83" t="n"/>
      <c r="O1270" s="66">
        <f>IF(OR($M1270="",$N1270=""),"",$N1270-$M1270)</f>
        <v/>
      </c>
      <c r="P1270" s="84">
        <f>IF($J1270="","",IF($L1270&lt;&gt;"",$L1270-$J1270,TODAY()-$J1270))</f>
        <v/>
      </c>
      <c r="Q1270" s="85">
        <f>IF(OR($K1270="",$H1270="Completed",$H1270="Cancelled"),"",IF(AND($K1270&lt;TODAY(),$H1270&lt;&gt;"Completed",$H1270&lt;&gt;"Cancelled"),"Overdue","On Track"))</f>
        <v/>
      </c>
      <c r="R1270" s="81" t="n"/>
      <c r="S1270" s="81">
        <f>IF($B1270="","",IFERROR(INDEX(Task_Tracker!$AA$5:$AA$1004,MATCH($B1270,Task_Tracker!$A$5:$A$1004,0)),""))</f>
        <v/>
      </c>
      <c r="T1270" s="81">
        <f>IF($B1270="","",IFERROR(INDEX(Task_Tracker!$AB$5:$AB$1004,MATCH($B1270,Task_Tracker!$A$5:$A$1004,0)),""))</f>
        <v/>
      </c>
      <c r="U1270" s="78">
        <f>IF($B1270="","",IFERROR(INDEX(Task_Tracker!$F$5:$F$1004,MATCH($B1270,Task_Tracker!$A$5:$A$1004,0)),""))</f>
        <v/>
      </c>
      <c r="V1270" s="78">
        <f>IF($B1270="","",IFERROR(INDEX(Task_Tracker!$I$5:$I$1004,MATCH($B1270,Task_Tracker!$A$5:$A$1004,0)),""))</f>
        <v/>
      </c>
      <c r="W1270" s="81">
        <f>IF(OR($D1270="",$B1270=""),"",$D1270&amp;" | "&amp;$B1270)</f>
        <v/>
      </c>
      <c r="X1270" s="85">
        <f>IF($K1270="","",TEXT($K1270,"yyyy-mm"))</f>
        <v/>
      </c>
      <c r="Y1270" s="81">
        <f>IF(OR($A1270="",$T1270=""),"","Included in Manager_Report")</f>
        <v/>
      </c>
    </row>
    <row r="1271" ht="15" customHeight="1" s="40">
      <c r="A1271" s="65">
        <f>IF(COUNTA(B1271:G1271)=0,"","STP-"&amp;TEXT(ROW()-4,"0000"))</f>
        <v/>
      </c>
      <c r="B1271" s="78" t="n"/>
      <c r="C1271" s="67">
        <f>IF($B1271="","",IFERROR(INDEX(Task_Tracker!$D$5:$D$1004,MATCH($B1271,Task_Tracker!$A$5:$A$1004,0)),""))</f>
        <v/>
      </c>
      <c r="D1271" s="67">
        <f>IF($B1271="","",IFERROR(INDEX(Task_Tracker!$B$5:$B$1004,MATCH($B1271,Task_Tracker!$A$5:$A$1004,0)),""))</f>
        <v/>
      </c>
      <c r="E1271" s="81" t="n"/>
      <c r="F1271" s="81" t="n"/>
      <c r="G1271" s="78" t="n"/>
      <c r="H1271" s="78" t="n"/>
      <c r="I1271" s="67">
        <f>IF($H1271="","",IFERROR(INDEX(Action_Status_Map!$B$5:$B$11,MATCH($H1271,Action_Status_Map!$A$5:$A$11,0)),""))</f>
        <v/>
      </c>
      <c r="J1271" s="82" t="n"/>
      <c r="K1271" s="82" t="n"/>
      <c r="L1271" s="82" t="n"/>
      <c r="M1271" s="83" t="n"/>
      <c r="N1271" s="83" t="n"/>
      <c r="O1271" s="66">
        <f>IF(OR($M1271="",$N1271=""),"",$N1271-$M1271)</f>
        <v/>
      </c>
      <c r="P1271" s="84">
        <f>IF($J1271="","",IF($L1271&lt;&gt;"",$L1271-$J1271,TODAY()-$J1271))</f>
        <v/>
      </c>
      <c r="Q1271" s="85">
        <f>IF(OR($K1271="",$H1271="Completed",$H1271="Cancelled"),"",IF(AND($K1271&lt;TODAY(),$H1271&lt;&gt;"Completed",$H1271&lt;&gt;"Cancelled"),"Overdue","On Track"))</f>
        <v/>
      </c>
      <c r="R1271" s="81" t="n"/>
      <c r="S1271" s="81">
        <f>IF($B1271="","",IFERROR(INDEX(Task_Tracker!$AA$5:$AA$1004,MATCH($B1271,Task_Tracker!$A$5:$A$1004,0)),""))</f>
        <v/>
      </c>
      <c r="T1271" s="81">
        <f>IF($B1271="","",IFERROR(INDEX(Task_Tracker!$AB$5:$AB$1004,MATCH($B1271,Task_Tracker!$A$5:$A$1004,0)),""))</f>
        <v/>
      </c>
      <c r="U1271" s="78">
        <f>IF($B1271="","",IFERROR(INDEX(Task_Tracker!$F$5:$F$1004,MATCH($B1271,Task_Tracker!$A$5:$A$1004,0)),""))</f>
        <v/>
      </c>
      <c r="V1271" s="78">
        <f>IF($B1271="","",IFERROR(INDEX(Task_Tracker!$I$5:$I$1004,MATCH($B1271,Task_Tracker!$A$5:$A$1004,0)),""))</f>
        <v/>
      </c>
      <c r="W1271" s="81">
        <f>IF(OR($D1271="",$B1271=""),"",$D1271&amp;" | "&amp;$B1271)</f>
        <v/>
      </c>
      <c r="X1271" s="85">
        <f>IF($K1271="","",TEXT($K1271,"yyyy-mm"))</f>
        <v/>
      </c>
      <c r="Y1271" s="81">
        <f>IF(OR($A1271="",$T1271=""),"","Included in Manager_Report")</f>
        <v/>
      </c>
    </row>
    <row r="1272" ht="15" customHeight="1" s="40">
      <c r="A1272" s="65">
        <f>IF(COUNTA(B1272:G1272)=0,"","STP-"&amp;TEXT(ROW()-4,"0000"))</f>
        <v/>
      </c>
      <c r="B1272" s="78" t="n"/>
      <c r="C1272" s="67">
        <f>IF($B1272="","",IFERROR(INDEX(Task_Tracker!$D$5:$D$1004,MATCH($B1272,Task_Tracker!$A$5:$A$1004,0)),""))</f>
        <v/>
      </c>
      <c r="D1272" s="67">
        <f>IF($B1272="","",IFERROR(INDEX(Task_Tracker!$B$5:$B$1004,MATCH($B1272,Task_Tracker!$A$5:$A$1004,0)),""))</f>
        <v/>
      </c>
      <c r="E1272" s="81" t="n"/>
      <c r="F1272" s="81" t="n"/>
      <c r="G1272" s="78" t="n"/>
      <c r="H1272" s="78" t="n"/>
      <c r="I1272" s="67">
        <f>IF($H1272="","",IFERROR(INDEX(Action_Status_Map!$B$5:$B$11,MATCH($H1272,Action_Status_Map!$A$5:$A$11,0)),""))</f>
        <v/>
      </c>
      <c r="J1272" s="82" t="n"/>
      <c r="K1272" s="82" t="n"/>
      <c r="L1272" s="82" t="n"/>
      <c r="M1272" s="83" t="n"/>
      <c r="N1272" s="83" t="n"/>
      <c r="O1272" s="66">
        <f>IF(OR($M1272="",$N1272=""),"",$N1272-$M1272)</f>
        <v/>
      </c>
      <c r="P1272" s="84">
        <f>IF($J1272="","",IF($L1272&lt;&gt;"",$L1272-$J1272,TODAY()-$J1272))</f>
        <v/>
      </c>
      <c r="Q1272" s="85">
        <f>IF(OR($K1272="",$H1272="Completed",$H1272="Cancelled"),"",IF(AND($K1272&lt;TODAY(),$H1272&lt;&gt;"Completed",$H1272&lt;&gt;"Cancelled"),"Overdue","On Track"))</f>
        <v/>
      </c>
      <c r="R1272" s="81" t="n"/>
      <c r="S1272" s="81">
        <f>IF($B1272="","",IFERROR(INDEX(Task_Tracker!$AA$5:$AA$1004,MATCH($B1272,Task_Tracker!$A$5:$A$1004,0)),""))</f>
        <v/>
      </c>
      <c r="T1272" s="81">
        <f>IF($B1272="","",IFERROR(INDEX(Task_Tracker!$AB$5:$AB$1004,MATCH($B1272,Task_Tracker!$A$5:$A$1004,0)),""))</f>
        <v/>
      </c>
      <c r="U1272" s="78">
        <f>IF($B1272="","",IFERROR(INDEX(Task_Tracker!$F$5:$F$1004,MATCH($B1272,Task_Tracker!$A$5:$A$1004,0)),""))</f>
        <v/>
      </c>
      <c r="V1272" s="78">
        <f>IF($B1272="","",IFERROR(INDEX(Task_Tracker!$I$5:$I$1004,MATCH($B1272,Task_Tracker!$A$5:$A$1004,0)),""))</f>
        <v/>
      </c>
      <c r="W1272" s="81">
        <f>IF(OR($D1272="",$B1272=""),"",$D1272&amp;" | "&amp;$B1272)</f>
        <v/>
      </c>
      <c r="X1272" s="85">
        <f>IF($K1272="","",TEXT($K1272,"yyyy-mm"))</f>
        <v/>
      </c>
      <c r="Y1272" s="81">
        <f>IF(OR($A1272="",$T1272=""),"","Included in Manager_Report")</f>
        <v/>
      </c>
    </row>
    <row r="1273" ht="15" customHeight="1" s="40">
      <c r="A1273" s="65">
        <f>IF(COUNTA(B1273:G1273)=0,"","STP-"&amp;TEXT(ROW()-4,"0000"))</f>
        <v/>
      </c>
      <c r="B1273" s="78" t="n"/>
      <c r="C1273" s="67">
        <f>IF($B1273="","",IFERROR(INDEX(Task_Tracker!$D$5:$D$1004,MATCH($B1273,Task_Tracker!$A$5:$A$1004,0)),""))</f>
        <v/>
      </c>
      <c r="D1273" s="67">
        <f>IF($B1273="","",IFERROR(INDEX(Task_Tracker!$B$5:$B$1004,MATCH($B1273,Task_Tracker!$A$5:$A$1004,0)),""))</f>
        <v/>
      </c>
      <c r="E1273" s="81" t="n"/>
      <c r="F1273" s="81" t="n"/>
      <c r="G1273" s="78" t="n"/>
      <c r="H1273" s="78" t="n"/>
      <c r="I1273" s="67">
        <f>IF($H1273="","",IFERROR(INDEX(Action_Status_Map!$B$5:$B$11,MATCH($H1273,Action_Status_Map!$A$5:$A$11,0)),""))</f>
        <v/>
      </c>
      <c r="J1273" s="82" t="n"/>
      <c r="K1273" s="82" t="n"/>
      <c r="L1273" s="82" t="n"/>
      <c r="M1273" s="83" t="n"/>
      <c r="N1273" s="83" t="n"/>
      <c r="O1273" s="66">
        <f>IF(OR($M1273="",$N1273=""),"",$N1273-$M1273)</f>
        <v/>
      </c>
      <c r="P1273" s="84">
        <f>IF($J1273="","",IF($L1273&lt;&gt;"",$L1273-$J1273,TODAY()-$J1273))</f>
        <v/>
      </c>
      <c r="Q1273" s="85">
        <f>IF(OR($K1273="",$H1273="Completed",$H1273="Cancelled"),"",IF(AND($K1273&lt;TODAY(),$H1273&lt;&gt;"Completed",$H1273&lt;&gt;"Cancelled"),"Overdue","On Track"))</f>
        <v/>
      </c>
      <c r="R1273" s="81" t="n"/>
      <c r="S1273" s="81">
        <f>IF($B1273="","",IFERROR(INDEX(Task_Tracker!$AA$5:$AA$1004,MATCH($B1273,Task_Tracker!$A$5:$A$1004,0)),""))</f>
        <v/>
      </c>
      <c r="T1273" s="81">
        <f>IF($B1273="","",IFERROR(INDEX(Task_Tracker!$AB$5:$AB$1004,MATCH($B1273,Task_Tracker!$A$5:$A$1004,0)),""))</f>
        <v/>
      </c>
      <c r="U1273" s="78">
        <f>IF($B1273="","",IFERROR(INDEX(Task_Tracker!$F$5:$F$1004,MATCH($B1273,Task_Tracker!$A$5:$A$1004,0)),""))</f>
        <v/>
      </c>
      <c r="V1273" s="78">
        <f>IF($B1273="","",IFERROR(INDEX(Task_Tracker!$I$5:$I$1004,MATCH($B1273,Task_Tracker!$A$5:$A$1004,0)),""))</f>
        <v/>
      </c>
      <c r="W1273" s="81">
        <f>IF(OR($D1273="",$B1273=""),"",$D1273&amp;" | "&amp;$B1273)</f>
        <v/>
      </c>
      <c r="X1273" s="85">
        <f>IF($K1273="","",TEXT($K1273,"yyyy-mm"))</f>
        <v/>
      </c>
      <c r="Y1273" s="81">
        <f>IF(OR($A1273="",$T1273=""),"","Included in Manager_Report")</f>
        <v/>
      </c>
    </row>
    <row r="1274" ht="15" customHeight="1" s="40">
      <c r="A1274" s="65">
        <f>IF(COUNTA(B1274:G1274)=0,"","STP-"&amp;TEXT(ROW()-4,"0000"))</f>
        <v/>
      </c>
      <c r="B1274" s="78" t="n"/>
      <c r="C1274" s="67">
        <f>IF($B1274="","",IFERROR(INDEX(Task_Tracker!$D$5:$D$1004,MATCH($B1274,Task_Tracker!$A$5:$A$1004,0)),""))</f>
        <v/>
      </c>
      <c r="D1274" s="67">
        <f>IF($B1274="","",IFERROR(INDEX(Task_Tracker!$B$5:$B$1004,MATCH($B1274,Task_Tracker!$A$5:$A$1004,0)),""))</f>
        <v/>
      </c>
      <c r="E1274" s="81" t="n"/>
      <c r="F1274" s="81" t="n"/>
      <c r="G1274" s="78" t="n"/>
      <c r="H1274" s="78" t="n"/>
      <c r="I1274" s="67">
        <f>IF($H1274="","",IFERROR(INDEX(Action_Status_Map!$B$5:$B$11,MATCH($H1274,Action_Status_Map!$A$5:$A$11,0)),""))</f>
        <v/>
      </c>
      <c r="J1274" s="82" t="n"/>
      <c r="K1274" s="82" t="n"/>
      <c r="L1274" s="82" t="n"/>
      <c r="M1274" s="83" t="n"/>
      <c r="N1274" s="83" t="n"/>
      <c r="O1274" s="66">
        <f>IF(OR($M1274="",$N1274=""),"",$N1274-$M1274)</f>
        <v/>
      </c>
      <c r="P1274" s="84">
        <f>IF($J1274="","",IF($L1274&lt;&gt;"",$L1274-$J1274,TODAY()-$J1274))</f>
        <v/>
      </c>
      <c r="Q1274" s="85">
        <f>IF(OR($K1274="",$H1274="Completed",$H1274="Cancelled"),"",IF(AND($K1274&lt;TODAY(),$H1274&lt;&gt;"Completed",$H1274&lt;&gt;"Cancelled"),"Overdue","On Track"))</f>
        <v/>
      </c>
      <c r="R1274" s="81" t="n"/>
      <c r="S1274" s="81">
        <f>IF($B1274="","",IFERROR(INDEX(Task_Tracker!$AA$5:$AA$1004,MATCH($B1274,Task_Tracker!$A$5:$A$1004,0)),""))</f>
        <v/>
      </c>
      <c r="T1274" s="81">
        <f>IF($B1274="","",IFERROR(INDEX(Task_Tracker!$AB$5:$AB$1004,MATCH($B1274,Task_Tracker!$A$5:$A$1004,0)),""))</f>
        <v/>
      </c>
      <c r="U1274" s="78">
        <f>IF($B1274="","",IFERROR(INDEX(Task_Tracker!$F$5:$F$1004,MATCH($B1274,Task_Tracker!$A$5:$A$1004,0)),""))</f>
        <v/>
      </c>
      <c r="V1274" s="78">
        <f>IF($B1274="","",IFERROR(INDEX(Task_Tracker!$I$5:$I$1004,MATCH($B1274,Task_Tracker!$A$5:$A$1004,0)),""))</f>
        <v/>
      </c>
      <c r="W1274" s="81">
        <f>IF(OR($D1274="",$B1274=""),"",$D1274&amp;" | "&amp;$B1274)</f>
        <v/>
      </c>
      <c r="X1274" s="85">
        <f>IF($K1274="","",TEXT($K1274,"yyyy-mm"))</f>
        <v/>
      </c>
      <c r="Y1274" s="81">
        <f>IF(OR($A1274="",$T1274=""),"","Included in Manager_Report")</f>
        <v/>
      </c>
    </row>
    <row r="1275" ht="15" customHeight="1" s="40">
      <c r="A1275" s="65">
        <f>IF(COUNTA(B1275:G1275)=0,"","STP-"&amp;TEXT(ROW()-4,"0000"))</f>
        <v/>
      </c>
      <c r="B1275" s="78" t="n"/>
      <c r="C1275" s="67">
        <f>IF($B1275="","",IFERROR(INDEX(Task_Tracker!$D$5:$D$1004,MATCH($B1275,Task_Tracker!$A$5:$A$1004,0)),""))</f>
        <v/>
      </c>
      <c r="D1275" s="67">
        <f>IF($B1275="","",IFERROR(INDEX(Task_Tracker!$B$5:$B$1004,MATCH($B1275,Task_Tracker!$A$5:$A$1004,0)),""))</f>
        <v/>
      </c>
      <c r="E1275" s="81" t="n"/>
      <c r="F1275" s="81" t="n"/>
      <c r="G1275" s="78" t="n"/>
      <c r="H1275" s="78" t="n"/>
      <c r="I1275" s="67">
        <f>IF($H1275="","",IFERROR(INDEX(Action_Status_Map!$B$5:$B$11,MATCH($H1275,Action_Status_Map!$A$5:$A$11,0)),""))</f>
        <v/>
      </c>
      <c r="J1275" s="82" t="n"/>
      <c r="K1275" s="82" t="n"/>
      <c r="L1275" s="82" t="n"/>
      <c r="M1275" s="83" t="n"/>
      <c r="N1275" s="83" t="n"/>
      <c r="O1275" s="66">
        <f>IF(OR($M1275="",$N1275=""),"",$N1275-$M1275)</f>
        <v/>
      </c>
      <c r="P1275" s="84">
        <f>IF($J1275="","",IF($L1275&lt;&gt;"",$L1275-$J1275,TODAY()-$J1275))</f>
        <v/>
      </c>
      <c r="Q1275" s="85">
        <f>IF(OR($K1275="",$H1275="Completed",$H1275="Cancelled"),"",IF(AND($K1275&lt;TODAY(),$H1275&lt;&gt;"Completed",$H1275&lt;&gt;"Cancelled"),"Overdue","On Track"))</f>
        <v/>
      </c>
      <c r="R1275" s="81" t="n"/>
      <c r="S1275" s="81">
        <f>IF($B1275="","",IFERROR(INDEX(Task_Tracker!$AA$5:$AA$1004,MATCH($B1275,Task_Tracker!$A$5:$A$1004,0)),""))</f>
        <v/>
      </c>
      <c r="T1275" s="81">
        <f>IF($B1275="","",IFERROR(INDEX(Task_Tracker!$AB$5:$AB$1004,MATCH($B1275,Task_Tracker!$A$5:$A$1004,0)),""))</f>
        <v/>
      </c>
      <c r="U1275" s="78">
        <f>IF($B1275="","",IFERROR(INDEX(Task_Tracker!$F$5:$F$1004,MATCH($B1275,Task_Tracker!$A$5:$A$1004,0)),""))</f>
        <v/>
      </c>
      <c r="V1275" s="78">
        <f>IF($B1275="","",IFERROR(INDEX(Task_Tracker!$I$5:$I$1004,MATCH($B1275,Task_Tracker!$A$5:$A$1004,0)),""))</f>
        <v/>
      </c>
      <c r="W1275" s="81">
        <f>IF(OR($D1275="",$B1275=""),"",$D1275&amp;" | "&amp;$B1275)</f>
        <v/>
      </c>
      <c r="X1275" s="85">
        <f>IF($K1275="","",TEXT($K1275,"yyyy-mm"))</f>
        <v/>
      </c>
      <c r="Y1275" s="81">
        <f>IF(OR($A1275="",$T1275=""),"","Included in Manager_Report")</f>
        <v/>
      </c>
    </row>
    <row r="1276" ht="15" customHeight="1" s="40">
      <c r="A1276" s="65">
        <f>IF(COUNTA(B1276:G1276)=0,"","STP-"&amp;TEXT(ROW()-4,"0000"))</f>
        <v/>
      </c>
      <c r="B1276" s="78" t="n"/>
      <c r="C1276" s="67">
        <f>IF($B1276="","",IFERROR(INDEX(Task_Tracker!$D$5:$D$1004,MATCH($B1276,Task_Tracker!$A$5:$A$1004,0)),""))</f>
        <v/>
      </c>
      <c r="D1276" s="67">
        <f>IF($B1276="","",IFERROR(INDEX(Task_Tracker!$B$5:$B$1004,MATCH($B1276,Task_Tracker!$A$5:$A$1004,0)),""))</f>
        <v/>
      </c>
      <c r="E1276" s="81" t="n"/>
      <c r="F1276" s="81" t="n"/>
      <c r="G1276" s="78" t="n"/>
      <c r="H1276" s="78" t="n"/>
      <c r="I1276" s="67">
        <f>IF($H1276="","",IFERROR(INDEX(Action_Status_Map!$B$5:$B$11,MATCH($H1276,Action_Status_Map!$A$5:$A$11,0)),""))</f>
        <v/>
      </c>
      <c r="J1276" s="82" t="n"/>
      <c r="K1276" s="82" t="n"/>
      <c r="L1276" s="82" t="n"/>
      <c r="M1276" s="83" t="n"/>
      <c r="N1276" s="83" t="n"/>
      <c r="O1276" s="66">
        <f>IF(OR($M1276="",$N1276=""),"",$N1276-$M1276)</f>
        <v/>
      </c>
      <c r="P1276" s="84">
        <f>IF($J1276="","",IF($L1276&lt;&gt;"",$L1276-$J1276,TODAY()-$J1276))</f>
        <v/>
      </c>
      <c r="Q1276" s="85">
        <f>IF(OR($K1276="",$H1276="Completed",$H1276="Cancelled"),"",IF(AND($K1276&lt;TODAY(),$H1276&lt;&gt;"Completed",$H1276&lt;&gt;"Cancelled"),"Overdue","On Track"))</f>
        <v/>
      </c>
      <c r="R1276" s="81" t="n"/>
      <c r="S1276" s="81">
        <f>IF($B1276="","",IFERROR(INDEX(Task_Tracker!$AA$5:$AA$1004,MATCH($B1276,Task_Tracker!$A$5:$A$1004,0)),""))</f>
        <v/>
      </c>
      <c r="T1276" s="81">
        <f>IF($B1276="","",IFERROR(INDEX(Task_Tracker!$AB$5:$AB$1004,MATCH($B1276,Task_Tracker!$A$5:$A$1004,0)),""))</f>
        <v/>
      </c>
      <c r="U1276" s="78">
        <f>IF($B1276="","",IFERROR(INDEX(Task_Tracker!$F$5:$F$1004,MATCH($B1276,Task_Tracker!$A$5:$A$1004,0)),""))</f>
        <v/>
      </c>
      <c r="V1276" s="78">
        <f>IF($B1276="","",IFERROR(INDEX(Task_Tracker!$I$5:$I$1004,MATCH($B1276,Task_Tracker!$A$5:$A$1004,0)),""))</f>
        <v/>
      </c>
      <c r="W1276" s="81">
        <f>IF(OR($D1276="",$B1276=""),"",$D1276&amp;" | "&amp;$B1276)</f>
        <v/>
      </c>
      <c r="X1276" s="85">
        <f>IF($K1276="","",TEXT($K1276,"yyyy-mm"))</f>
        <v/>
      </c>
      <c r="Y1276" s="81">
        <f>IF(OR($A1276="",$T1276=""),"","Included in Manager_Report")</f>
        <v/>
      </c>
    </row>
    <row r="1277" ht="15" customHeight="1" s="40">
      <c r="A1277" s="65">
        <f>IF(COUNTA(B1277:G1277)=0,"","STP-"&amp;TEXT(ROW()-4,"0000"))</f>
        <v/>
      </c>
      <c r="B1277" s="78" t="n"/>
      <c r="C1277" s="67">
        <f>IF($B1277="","",IFERROR(INDEX(Task_Tracker!$D$5:$D$1004,MATCH($B1277,Task_Tracker!$A$5:$A$1004,0)),""))</f>
        <v/>
      </c>
      <c r="D1277" s="67">
        <f>IF($B1277="","",IFERROR(INDEX(Task_Tracker!$B$5:$B$1004,MATCH($B1277,Task_Tracker!$A$5:$A$1004,0)),""))</f>
        <v/>
      </c>
      <c r="E1277" s="81" t="n"/>
      <c r="F1277" s="81" t="n"/>
      <c r="G1277" s="78" t="n"/>
      <c r="H1277" s="78" t="n"/>
      <c r="I1277" s="67">
        <f>IF($H1277="","",IFERROR(INDEX(Action_Status_Map!$B$5:$B$11,MATCH($H1277,Action_Status_Map!$A$5:$A$11,0)),""))</f>
        <v/>
      </c>
      <c r="J1277" s="82" t="n"/>
      <c r="K1277" s="82" t="n"/>
      <c r="L1277" s="82" t="n"/>
      <c r="M1277" s="83" t="n"/>
      <c r="N1277" s="83" t="n"/>
      <c r="O1277" s="66">
        <f>IF(OR($M1277="",$N1277=""),"",$N1277-$M1277)</f>
        <v/>
      </c>
      <c r="P1277" s="84">
        <f>IF($J1277="","",IF($L1277&lt;&gt;"",$L1277-$J1277,TODAY()-$J1277))</f>
        <v/>
      </c>
      <c r="Q1277" s="85">
        <f>IF(OR($K1277="",$H1277="Completed",$H1277="Cancelled"),"",IF(AND($K1277&lt;TODAY(),$H1277&lt;&gt;"Completed",$H1277&lt;&gt;"Cancelled"),"Overdue","On Track"))</f>
        <v/>
      </c>
      <c r="R1277" s="81" t="n"/>
      <c r="S1277" s="81">
        <f>IF($B1277="","",IFERROR(INDEX(Task_Tracker!$AA$5:$AA$1004,MATCH($B1277,Task_Tracker!$A$5:$A$1004,0)),""))</f>
        <v/>
      </c>
      <c r="T1277" s="81">
        <f>IF($B1277="","",IFERROR(INDEX(Task_Tracker!$AB$5:$AB$1004,MATCH($B1277,Task_Tracker!$A$5:$A$1004,0)),""))</f>
        <v/>
      </c>
      <c r="U1277" s="78">
        <f>IF($B1277="","",IFERROR(INDEX(Task_Tracker!$F$5:$F$1004,MATCH($B1277,Task_Tracker!$A$5:$A$1004,0)),""))</f>
        <v/>
      </c>
      <c r="V1277" s="78">
        <f>IF($B1277="","",IFERROR(INDEX(Task_Tracker!$I$5:$I$1004,MATCH($B1277,Task_Tracker!$A$5:$A$1004,0)),""))</f>
        <v/>
      </c>
      <c r="W1277" s="81">
        <f>IF(OR($D1277="",$B1277=""),"",$D1277&amp;" | "&amp;$B1277)</f>
        <v/>
      </c>
      <c r="X1277" s="85">
        <f>IF($K1277="","",TEXT($K1277,"yyyy-mm"))</f>
        <v/>
      </c>
      <c r="Y1277" s="81">
        <f>IF(OR($A1277="",$T1277=""),"","Included in Manager_Report")</f>
        <v/>
      </c>
    </row>
    <row r="1278" ht="15" customHeight="1" s="40">
      <c r="A1278" s="65">
        <f>IF(COUNTA(B1278:G1278)=0,"","STP-"&amp;TEXT(ROW()-4,"0000"))</f>
        <v/>
      </c>
      <c r="B1278" s="78" t="n"/>
      <c r="C1278" s="67">
        <f>IF($B1278="","",IFERROR(INDEX(Task_Tracker!$D$5:$D$1004,MATCH($B1278,Task_Tracker!$A$5:$A$1004,0)),""))</f>
        <v/>
      </c>
      <c r="D1278" s="67">
        <f>IF($B1278="","",IFERROR(INDEX(Task_Tracker!$B$5:$B$1004,MATCH($B1278,Task_Tracker!$A$5:$A$1004,0)),""))</f>
        <v/>
      </c>
      <c r="E1278" s="81" t="n"/>
      <c r="F1278" s="81" t="n"/>
      <c r="G1278" s="78" t="n"/>
      <c r="H1278" s="78" t="n"/>
      <c r="I1278" s="67">
        <f>IF($H1278="","",IFERROR(INDEX(Action_Status_Map!$B$5:$B$11,MATCH($H1278,Action_Status_Map!$A$5:$A$11,0)),""))</f>
        <v/>
      </c>
      <c r="J1278" s="82" t="n"/>
      <c r="K1278" s="82" t="n"/>
      <c r="L1278" s="82" t="n"/>
      <c r="M1278" s="83" t="n"/>
      <c r="N1278" s="83" t="n"/>
      <c r="O1278" s="66">
        <f>IF(OR($M1278="",$N1278=""),"",$N1278-$M1278)</f>
        <v/>
      </c>
      <c r="P1278" s="84">
        <f>IF($J1278="","",IF($L1278&lt;&gt;"",$L1278-$J1278,TODAY()-$J1278))</f>
        <v/>
      </c>
      <c r="Q1278" s="85">
        <f>IF(OR($K1278="",$H1278="Completed",$H1278="Cancelled"),"",IF(AND($K1278&lt;TODAY(),$H1278&lt;&gt;"Completed",$H1278&lt;&gt;"Cancelled"),"Overdue","On Track"))</f>
        <v/>
      </c>
      <c r="R1278" s="81" t="n"/>
      <c r="S1278" s="81">
        <f>IF($B1278="","",IFERROR(INDEX(Task_Tracker!$AA$5:$AA$1004,MATCH($B1278,Task_Tracker!$A$5:$A$1004,0)),""))</f>
        <v/>
      </c>
      <c r="T1278" s="81">
        <f>IF($B1278="","",IFERROR(INDEX(Task_Tracker!$AB$5:$AB$1004,MATCH($B1278,Task_Tracker!$A$5:$A$1004,0)),""))</f>
        <v/>
      </c>
      <c r="U1278" s="78">
        <f>IF($B1278="","",IFERROR(INDEX(Task_Tracker!$F$5:$F$1004,MATCH($B1278,Task_Tracker!$A$5:$A$1004,0)),""))</f>
        <v/>
      </c>
      <c r="V1278" s="78">
        <f>IF($B1278="","",IFERROR(INDEX(Task_Tracker!$I$5:$I$1004,MATCH($B1278,Task_Tracker!$A$5:$A$1004,0)),""))</f>
        <v/>
      </c>
      <c r="W1278" s="81">
        <f>IF(OR($D1278="",$B1278=""),"",$D1278&amp;" | "&amp;$B1278)</f>
        <v/>
      </c>
      <c r="X1278" s="85">
        <f>IF($K1278="","",TEXT($K1278,"yyyy-mm"))</f>
        <v/>
      </c>
      <c r="Y1278" s="81">
        <f>IF(OR($A1278="",$T1278=""),"","Included in Manager_Report")</f>
        <v/>
      </c>
    </row>
    <row r="1279" ht="15" customHeight="1" s="40">
      <c r="A1279" s="65">
        <f>IF(COUNTA(B1279:G1279)=0,"","STP-"&amp;TEXT(ROW()-4,"0000"))</f>
        <v/>
      </c>
      <c r="B1279" s="78" t="n"/>
      <c r="C1279" s="67">
        <f>IF($B1279="","",IFERROR(INDEX(Task_Tracker!$D$5:$D$1004,MATCH($B1279,Task_Tracker!$A$5:$A$1004,0)),""))</f>
        <v/>
      </c>
      <c r="D1279" s="67">
        <f>IF($B1279="","",IFERROR(INDEX(Task_Tracker!$B$5:$B$1004,MATCH($B1279,Task_Tracker!$A$5:$A$1004,0)),""))</f>
        <v/>
      </c>
      <c r="E1279" s="81" t="n"/>
      <c r="F1279" s="81" t="n"/>
      <c r="G1279" s="78" t="n"/>
      <c r="H1279" s="78" t="n"/>
      <c r="I1279" s="67">
        <f>IF($H1279="","",IFERROR(INDEX(Action_Status_Map!$B$5:$B$11,MATCH($H1279,Action_Status_Map!$A$5:$A$11,0)),""))</f>
        <v/>
      </c>
      <c r="J1279" s="82" t="n"/>
      <c r="K1279" s="82" t="n"/>
      <c r="L1279" s="82" t="n"/>
      <c r="M1279" s="83" t="n"/>
      <c r="N1279" s="83" t="n"/>
      <c r="O1279" s="66">
        <f>IF(OR($M1279="",$N1279=""),"",$N1279-$M1279)</f>
        <v/>
      </c>
      <c r="P1279" s="84">
        <f>IF($J1279="","",IF($L1279&lt;&gt;"",$L1279-$J1279,TODAY()-$J1279))</f>
        <v/>
      </c>
      <c r="Q1279" s="85">
        <f>IF(OR($K1279="",$H1279="Completed",$H1279="Cancelled"),"",IF(AND($K1279&lt;TODAY(),$H1279&lt;&gt;"Completed",$H1279&lt;&gt;"Cancelled"),"Overdue","On Track"))</f>
        <v/>
      </c>
      <c r="R1279" s="81" t="n"/>
      <c r="S1279" s="81">
        <f>IF($B1279="","",IFERROR(INDEX(Task_Tracker!$AA$5:$AA$1004,MATCH($B1279,Task_Tracker!$A$5:$A$1004,0)),""))</f>
        <v/>
      </c>
      <c r="T1279" s="81">
        <f>IF($B1279="","",IFERROR(INDEX(Task_Tracker!$AB$5:$AB$1004,MATCH($B1279,Task_Tracker!$A$5:$A$1004,0)),""))</f>
        <v/>
      </c>
      <c r="U1279" s="78">
        <f>IF($B1279="","",IFERROR(INDEX(Task_Tracker!$F$5:$F$1004,MATCH($B1279,Task_Tracker!$A$5:$A$1004,0)),""))</f>
        <v/>
      </c>
      <c r="V1279" s="78">
        <f>IF($B1279="","",IFERROR(INDEX(Task_Tracker!$I$5:$I$1004,MATCH($B1279,Task_Tracker!$A$5:$A$1004,0)),""))</f>
        <v/>
      </c>
      <c r="W1279" s="81">
        <f>IF(OR($D1279="",$B1279=""),"",$D1279&amp;" | "&amp;$B1279)</f>
        <v/>
      </c>
      <c r="X1279" s="85">
        <f>IF($K1279="","",TEXT($K1279,"yyyy-mm"))</f>
        <v/>
      </c>
      <c r="Y1279" s="81">
        <f>IF(OR($A1279="",$T1279=""),"","Included in Manager_Report")</f>
        <v/>
      </c>
    </row>
    <row r="1280" ht="15" customHeight="1" s="40">
      <c r="A1280" s="65">
        <f>IF(COUNTA(B1280:G1280)=0,"","STP-"&amp;TEXT(ROW()-4,"0000"))</f>
        <v/>
      </c>
      <c r="B1280" s="78" t="n"/>
      <c r="C1280" s="67">
        <f>IF($B1280="","",IFERROR(INDEX(Task_Tracker!$D$5:$D$1004,MATCH($B1280,Task_Tracker!$A$5:$A$1004,0)),""))</f>
        <v/>
      </c>
      <c r="D1280" s="67">
        <f>IF($B1280="","",IFERROR(INDEX(Task_Tracker!$B$5:$B$1004,MATCH($B1280,Task_Tracker!$A$5:$A$1004,0)),""))</f>
        <v/>
      </c>
      <c r="E1280" s="81" t="n"/>
      <c r="F1280" s="81" t="n"/>
      <c r="G1280" s="78" t="n"/>
      <c r="H1280" s="78" t="n"/>
      <c r="I1280" s="67">
        <f>IF($H1280="","",IFERROR(INDEX(Action_Status_Map!$B$5:$B$11,MATCH($H1280,Action_Status_Map!$A$5:$A$11,0)),""))</f>
        <v/>
      </c>
      <c r="J1280" s="82" t="n"/>
      <c r="K1280" s="82" t="n"/>
      <c r="L1280" s="82" t="n"/>
      <c r="M1280" s="83" t="n"/>
      <c r="N1280" s="83" t="n"/>
      <c r="O1280" s="66">
        <f>IF(OR($M1280="",$N1280=""),"",$N1280-$M1280)</f>
        <v/>
      </c>
      <c r="P1280" s="84">
        <f>IF($J1280="","",IF($L1280&lt;&gt;"",$L1280-$J1280,TODAY()-$J1280))</f>
        <v/>
      </c>
      <c r="Q1280" s="85">
        <f>IF(OR($K1280="",$H1280="Completed",$H1280="Cancelled"),"",IF(AND($K1280&lt;TODAY(),$H1280&lt;&gt;"Completed",$H1280&lt;&gt;"Cancelled"),"Overdue","On Track"))</f>
        <v/>
      </c>
      <c r="R1280" s="81" t="n"/>
      <c r="S1280" s="81">
        <f>IF($B1280="","",IFERROR(INDEX(Task_Tracker!$AA$5:$AA$1004,MATCH($B1280,Task_Tracker!$A$5:$A$1004,0)),""))</f>
        <v/>
      </c>
      <c r="T1280" s="81">
        <f>IF($B1280="","",IFERROR(INDEX(Task_Tracker!$AB$5:$AB$1004,MATCH($B1280,Task_Tracker!$A$5:$A$1004,0)),""))</f>
        <v/>
      </c>
      <c r="U1280" s="78">
        <f>IF($B1280="","",IFERROR(INDEX(Task_Tracker!$F$5:$F$1004,MATCH($B1280,Task_Tracker!$A$5:$A$1004,0)),""))</f>
        <v/>
      </c>
      <c r="V1280" s="78">
        <f>IF($B1280="","",IFERROR(INDEX(Task_Tracker!$I$5:$I$1004,MATCH($B1280,Task_Tracker!$A$5:$A$1004,0)),""))</f>
        <v/>
      </c>
      <c r="W1280" s="81">
        <f>IF(OR($D1280="",$B1280=""),"",$D1280&amp;" | "&amp;$B1280)</f>
        <v/>
      </c>
      <c r="X1280" s="85">
        <f>IF($K1280="","",TEXT($K1280,"yyyy-mm"))</f>
        <v/>
      </c>
      <c r="Y1280" s="81">
        <f>IF(OR($A1280="",$T1280=""),"","Included in Manager_Report")</f>
        <v/>
      </c>
    </row>
    <row r="1281" ht="15" customHeight="1" s="40">
      <c r="A1281" s="65">
        <f>IF(COUNTA(B1281:G1281)=0,"","STP-"&amp;TEXT(ROW()-4,"0000"))</f>
        <v/>
      </c>
      <c r="B1281" s="78" t="n"/>
      <c r="C1281" s="67">
        <f>IF($B1281="","",IFERROR(INDEX(Task_Tracker!$D$5:$D$1004,MATCH($B1281,Task_Tracker!$A$5:$A$1004,0)),""))</f>
        <v/>
      </c>
      <c r="D1281" s="67">
        <f>IF($B1281="","",IFERROR(INDEX(Task_Tracker!$B$5:$B$1004,MATCH($B1281,Task_Tracker!$A$5:$A$1004,0)),""))</f>
        <v/>
      </c>
      <c r="E1281" s="81" t="n"/>
      <c r="F1281" s="81" t="n"/>
      <c r="G1281" s="78" t="n"/>
      <c r="H1281" s="78" t="n"/>
      <c r="I1281" s="67">
        <f>IF($H1281="","",IFERROR(INDEX(Action_Status_Map!$B$5:$B$11,MATCH($H1281,Action_Status_Map!$A$5:$A$11,0)),""))</f>
        <v/>
      </c>
      <c r="J1281" s="82" t="n"/>
      <c r="K1281" s="82" t="n"/>
      <c r="L1281" s="82" t="n"/>
      <c r="M1281" s="83" t="n"/>
      <c r="N1281" s="83" t="n"/>
      <c r="O1281" s="66">
        <f>IF(OR($M1281="",$N1281=""),"",$N1281-$M1281)</f>
        <v/>
      </c>
      <c r="P1281" s="84">
        <f>IF($J1281="","",IF($L1281&lt;&gt;"",$L1281-$J1281,TODAY()-$J1281))</f>
        <v/>
      </c>
      <c r="Q1281" s="85">
        <f>IF(OR($K1281="",$H1281="Completed",$H1281="Cancelled"),"",IF(AND($K1281&lt;TODAY(),$H1281&lt;&gt;"Completed",$H1281&lt;&gt;"Cancelled"),"Overdue","On Track"))</f>
        <v/>
      </c>
      <c r="R1281" s="81" t="n"/>
      <c r="S1281" s="81">
        <f>IF($B1281="","",IFERROR(INDEX(Task_Tracker!$AA$5:$AA$1004,MATCH($B1281,Task_Tracker!$A$5:$A$1004,0)),""))</f>
        <v/>
      </c>
      <c r="T1281" s="81">
        <f>IF($B1281="","",IFERROR(INDEX(Task_Tracker!$AB$5:$AB$1004,MATCH($B1281,Task_Tracker!$A$5:$A$1004,0)),""))</f>
        <v/>
      </c>
      <c r="U1281" s="78">
        <f>IF($B1281="","",IFERROR(INDEX(Task_Tracker!$F$5:$F$1004,MATCH($B1281,Task_Tracker!$A$5:$A$1004,0)),""))</f>
        <v/>
      </c>
      <c r="V1281" s="78">
        <f>IF($B1281="","",IFERROR(INDEX(Task_Tracker!$I$5:$I$1004,MATCH($B1281,Task_Tracker!$A$5:$A$1004,0)),""))</f>
        <v/>
      </c>
      <c r="W1281" s="81">
        <f>IF(OR($D1281="",$B1281=""),"",$D1281&amp;" | "&amp;$B1281)</f>
        <v/>
      </c>
      <c r="X1281" s="85">
        <f>IF($K1281="","",TEXT($K1281,"yyyy-mm"))</f>
        <v/>
      </c>
      <c r="Y1281" s="81">
        <f>IF(OR($A1281="",$T1281=""),"","Included in Manager_Report")</f>
        <v/>
      </c>
    </row>
    <row r="1282" ht="15" customHeight="1" s="40">
      <c r="A1282" s="65">
        <f>IF(COUNTA(B1282:G1282)=0,"","STP-"&amp;TEXT(ROW()-4,"0000"))</f>
        <v/>
      </c>
      <c r="B1282" s="78" t="n"/>
      <c r="C1282" s="67">
        <f>IF($B1282="","",IFERROR(INDEX(Task_Tracker!$D$5:$D$1004,MATCH($B1282,Task_Tracker!$A$5:$A$1004,0)),""))</f>
        <v/>
      </c>
      <c r="D1282" s="67">
        <f>IF($B1282="","",IFERROR(INDEX(Task_Tracker!$B$5:$B$1004,MATCH($B1282,Task_Tracker!$A$5:$A$1004,0)),""))</f>
        <v/>
      </c>
      <c r="E1282" s="81" t="n"/>
      <c r="F1282" s="81" t="n"/>
      <c r="G1282" s="78" t="n"/>
      <c r="H1282" s="78" t="n"/>
      <c r="I1282" s="67">
        <f>IF($H1282="","",IFERROR(INDEX(Action_Status_Map!$B$5:$B$11,MATCH($H1282,Action_Status_Map!$A$5:$A$11,0)),""))</f>
        <v/>
      </c>
      <c r="J1282" s="82" t="n"/>
      <c r="K1282" s="82" t="n"/>
      <c r="L1282" s="82" t="n"/>
      <c r="M1282" s="83" t="n"/>
      <c r="N1282" s="83" t="n"/>
      <c r="O1282" s="66">
        <f>IF(OR($M1282="",$N1282=""),"",$N1282-$M1282)</f>
        <v/>
      </c>
      <c r="P1282" s="84">
        <f>IF($J1282="","",IF($L1282&lt;&gt;"",$L1282-$J1282,TODAY()-$J1282))</f>
        <v/>
      </c>
      <c r="Q1282" s="85">
        <f>IF(OR($K1282="",$H1282="Completed",$H1282="Cancelled"),"",IF(AND($K1282&lt;TODAY(),$H1282&lt;&gt;"Completed",$H1282&lt;&gt;"Cancelled"),"Overdue","On Track"))</f>
        <v/>
      </c>
      <c r="R1282" s="81" t="n"/>
      <c r="S1282" s="81">
        <f>IF($B1282="","",IFERROR(INDEX(Task_Tracker!$AA$5:$AA$1004,MATCH($B1282,Task_Tracker!$A$5:$A$1004,0)),""))</f>
        <v/>
      </c>
      <c r="T1282" s="81">
        <f>IF($B1282="","",IFERROR(INDEX(Task_Tracker!$AB$5:$AB$1004,MATCH($B1282,Task_Tracker!$A$5:$A$1004,0)),""))</f>
        <v/>
      </c>
      <c r="U1282" s="78">
        <f>IF($B1282="","",IFERROR(INDEX(Task_Tracker!$F$5:$F$1004,MATCH($B1282,Task_Tracker!$A$5:$A$1004,0)),""))</f>
        <v/>
      </c>
      <c r="V1282" s="78">
        <f>IF($B1282="","",IFERROR(INDEX(Task_Tracker!$I$5:$I$1004,MATCH($B1282,Task_Tracker!$A$5:$A$1004,0)),""))</f>
        <v/>
      </c>
      <c r="W1282" s="81">
        <f>IF(OR($D1282="",$B1282=""),"",$D1282&amp;" | "&amp;$B1282)</f>
        <v/>
      </c>
      <c r="X1282" s="85">
        <f>IF($K1282="","",TEXT($K1282,"yyyy-mm"))</f>
        <v/>
      </c>
      <c r="Y1282" s="81">
        <f>IF(OR($A1282="",$T1282=""),"","Included in Manager_Report")</f>
        <v/>
      </c>
    </row>
    <row r="1283" ht="15" customHeight="1" s="40">
      <c r="A1283" s="65">
        <f>IF(COUNTA(B1283:G1283)=0,"","STP-"&amp;TEXT(ROW()-4,"0000"))</f>
        <v/>
      </c>
      <c r="B1283" s="78" t="n"/>
      <c r="C1283" s="67">
        <f>IF($B1283="","",IFERROR(INDEX(Task_Tracker!$D$5:$D$1004,MATCH($B1283,Task_Tracker!$A$5:$A$1004,0)),""))</f>
        <v/>
      </c>
      <c r="D1283" s="67">
        <f>IF($B1283="","",IFERROR(INDEX(Task_Tracker!$B$5:$B$1004,MATCH($B1283,Task_Tracker!$A$5:$A$1004,0)),""))</f>
        <v/>
      </c>
      <c r="E1283" s="81" t="n"/>
      <c r="F1283" s="81" t="n"/>
      <c r="G1283" s="78" t="n"/>
      <c r="H1283" s="78" t="n"/>
      <c r="I1283" s="67">
        <f>IF($H1283="","",IFERROR(INDEX(Action_Status_Map!$B$5:$B$11,MATCH($H1283,Action_Status_Map!$A$5:$A$11,0)),""))</f>
        <v/>
      </c>
      <c r="J1283" s="82" t="n"/>
      <c r="K1283" s="82" t="n"/>
      <c r="L1283" s="82" t="n"/>
      <c r="M1283" s="83" t="n"/>
      <c r="N1283" s="83" t="n"/>
      <c r="O1283" s="66">
        <f>IF(OR($M1283="",$N1283=""),"",$N1283-$M1283)</f>
        <v/>
      </c>
      <c r="P1283" s="84">
        <f>IF($J1283="","",IF($L1283&lt;&gt;"",$L1283-$J1283,TODAY()-$J1283))</f>
        <v/>
      </c>
      <c r="Q1283" s="85">
        <f>IF(OR($K1283="",$H1283="Completed",$H1283="Cancelled"),"",IF(AND($K1283&lt;TODAY(),$H1283&lt;&gt;"Completed",$H1283&lt;&gt;"Cancelled"),"Overdue","On Track"))</f>
        <v/>
      </c>
      <c r="R1283" s="81" t="n"/>
      <c r="S1283" s="81">
        <f>IF($B1283="","",IFERROR(INDEX(Task_Tracker!$AA$5:$AA$1004,MATCH($B1283,Task_Tracker!$A$5:$A$1004,0)),""))</f>
        <v/>
      </c>
      <c r="T1283" s="81">
        <f>IF($B1283="","",IFERROR(INDEX(Task_Tracker!$AB$5:$AB$1004,MATCH($B1283,Task_Tracker!$A$5:$A$1004,0)),""))</f>
        <v/>
      </c>
      <c r="U1283" s="78">
        <f>IF($B1283="","",IFERROR(INDEX(Task_Tracker!$F$5:$F$1004,MATCH($B1283,Task_Tracker!$A$5:$A$1004,0)),""))</f>
        <v/>
      </c>
      <c r="V1283" s="78">
        <f>IF($B1283="","",IFERROR(INDEX(Task_Tracker!$I$5:$I$1004,MATCH($B1283,Task_Tracker!$A$5:$A$1004,0)),""))</f>
        <v/>
      </c>
      <c r="W1283" s="81">
        <f>IF(OR($D1283="",$B1283=""),"",$D1283&amp;" | "&amp;$B1283)</f>
        <v/>
      </c>
      <c r="X1283" s="85">
        <f>IF($K1283="","",TEXT($K1283,"yyyy-mm"))</f>
        <v/>
      </c>
      <c r="Y1283" s="81">
        <f>IF(OR($A1283="",$T1283=""),"","Included in Manager_Report")</f>
        <v/>
      </c>
    </row>
    <row r="1284" ht="15" customHeight="1" s="40">
      <c r="A1284" s="65">
        <f>IF(COUNTA(B1284:G1284)=0,"","STP-"&amp;TEXT(ROW()-4,"0000"))</f>
        <v/>
      </c>
      <c r="B1284" s="78" t="n"/>
      <c r="C1284" s="67">
        <f>IF($B1284="","",IFERROR(INDEX(Task_Tracker!$D$5:$D$1004,MATCH($B1284,Task_Tracker!$A$5:$A$1004,0)),""))</f>
        <v/>
      </c>
      <c r="D1284" s="67">
        <f>IF($B1284="","",IFERROR(INDEX(Task_Tracker!$B$5:$B$1004,MATCH($B1284,Task_Tracker!$A$5:$A$1004,0)),""))</f>
        <v/>
      </c>
      <c r="E1284" s="81" t="n"/>
      <c r="F1284" s="81" t="n"/>
      <c r="G1284" s="78" t="n"/>
      <c r="H1284" s="78" t="n"/>
      <c r="I1284" s="67">
        <f>IF($H1284="","",IFERROR(INDEX(Action_Status_Map!$B$5:$B$11,MATCH($H1284,Action_Status_Map!$A$5:$A$11,0)),""))</f>
        <v/>
      </c>
      <c r="J1284" s="82" t="n"/>
      <c r="K1284" s="82" t="n"/>
      <c r="L1284" s="82" t="n"/>
      <c r="M1284" s="83" t="n"/>
      <c r="N1284" s="83" t="n"/>
      <c r="O1284" s="66">
        <f>IF(OR($M1284="",$N1284=""),"",$N1284-$M1284)</f>
        <v/>
      </c>
      <c r="P1284" s="84">
        <f>IF($J1284="","",IF($L1284&lt;&gt;"",$L1284-$J1284,TODAY()-$J1284))</f>
        <v/>
      </c>
      <c r="Q1284" s="85">
        <f>IF(OR($K1284="",$H1284="Completed",$H1284="Cancelled"),"",IF(AND($K1284&lt;TODAY(),$H1284&lt;&gt;"Completed",$H1284&lt;&gt;"Cancelled"),"Overdue","On Track"))</f>
        <v/>
      </c>
      <c r="R1284" s="81" t="n"/>
      <c r="S1284" s="81">
        <f>IF($B1284="","",IFERROR(INDEX(Task_Tracker!$AA$5:$AA$1004,MATCH($B1284,Task_Tracker!$A$5:$A$1004,0)),""))</f>
        <v/>
      </c>
      <c r="T1284" s="81">
        <f>IF($B1284="","",IFERROR(INDEX(Task_Tracker!$AB$5:$AB$1004,MATCH($B1284,Task_Tracker!$A$5:$A$1004,0)),""))</f>
        <v/>
      </c>
      <c r="U1284" s="78">
        <f>IF($B1284="","",IFERROR(INDEX(Task_Tracker!$F$5:$F$1004,MATCH($B1284,Task_Tracker!$A$5:$A$1004,0)),""))</f>
        <v/>
      </c>
      <c r="V1284" s="78">
        <f>IF($B1284="","",IFERROR(INDEX(Task_Tracker!$I$5:$I$1004,MATCH($B1284,Task_Tracker!$A$5:$A$1004,0)),""))</f>
        <v/>
      </c>
      <c r="W1284" s="81">
        <f>IF(OR($D1284="",$B1284=""),"",$D1284&amp;" | "&amp;$B1284)</f>
        <v/>
      </c>
      <c r="X1284" s="85">
        <f>IF($K1284="","",TEXT($K1284,"yyyy-mm"))</f>
        <v/>
      </c>
      <c r="Y1284" s="81">
        <f>IF(OR($A1284="",$T1284=""),"","Included in Manager_Report")</f>
        <v/>
      </c>
    </row>
    <row r="1285" ht="15" customHeight="1" s="40">
      <c r="A1285" s="65">
        <f>IF(COUNTA(B1285:G1285)=0,"","STP-"&amp;TEXT(ROW()-4,"0000"))</f>
        <v/>
      </c>
      <c r="B1285" s="78" t="n"/>
      <c r="C1285" s="67">
        <f>IF($B1285="","",IFERROR(INDEX(Task_Tracker!$D$5:$D$1004,MATCH($B1285,Task_Tracker!$A$5:$A$1004,0)),""))</f>
        <v/>
      </c>
      <c r="D1285" s="67">
        <f>IF($B1285="","",IFERROR(INDEX(Task_Tracker!$B$5:$B$1004,MATCH($B1285,Task_Tracker!$A$5:$A$1004,0)),""))</f>
        <v/>
      </c>
      <c r="E1285" s="81" t="n"/>
      <c r="F1285" s="81" t="n"/>
      <c r="G1285" s="78" t="n"/>
      <c r="H1285" s="78" t="n"/>
      <c r="I1285" s="67">
        <f>IF($H1285="","",IFERROR(INDEX(Action_Status_Map!$B$5:$B$11,MATCH($H1285,Action_Status_Map!$A$5:$A$11,0)),""))</f>
        <v/>
      </c>
      <c r="J1285" s="82" t="n"/>
      <c r="K1285" s="82" t="n"/>
      <c r="L1285" s="82" t="n"/>
      <c r="M1285" s="83" t="n"/>
      <c r="N1285" s="83" t="n"/>
      <c r="O1285" s="66">
        <f>IF(OR($M1285="",$N1285=""),"",$N1285-$M1285)</f>
        <v/>
      </c>
      <c r="P1285" s="84">
        <f>IF($J1285="","",IF($L1285&lt;&gt;"",$L1285-$J1285,TODAY()-$J1285))</f>
        <v/>
      </c>
      <c r="Q1285" s="85">
        <f>IF(OR($K1285="",$H1285="Completed",$H1285="Cancelled"),"",IF(AND($K1285&lt;TODAY(),$H1285&lt;&gt;"Completed",$H1285&lt;&gt;"Cancelled"),"Overdue","On Track"))</f>
        <v/>
      </c>
      <c r="R1285" s="81" t="n"/>
      <c r="S1285" s="81">
        <f>IF($B1285="","",IFERROR(INDEX(Task_Tracker!$AA$5:$AA$1004,MATCH($B1285,Task_Tracker!$A$5:$A$1004,0)),""))</f>
        <v/>
      </c>
      <c r="T1285" s="81">
        <f>IF($B1285="","",IFERROR(INDEX(Task_Tracker!$AB$5:$AB$1004,MATCH($B1285,Task_Tracker!$A$5:$A$1004,0)),""))</f>
        <v/>
      </c>
      <c r="U1285" s="78">
        <f>IF($B1285="","",IFERROR(INDEX(Task_Tracker!$F$5:$F$1004,MATCH($B1285,Task_Tracker!$A$5:$A$1004,0)),""))</f>
        <v/>
      </c>
      <c r="V1285" s="78">
        <f>IF($B1285="","",IFERROR(INDEX(Task_Tracker!$I$5:$I$1004,MATCH($B1285,Task_Tracker!$A$5:$A$1004,0)),""))</f>
        <v/>
      </c>
      <c r="W1285" s="81">
        <f>IF(OR($D1285="",$B1285=""),"",$D1285&amp;" | "&amp;$B1285)</f>
        <v/>
      </c>
      <c r="X1285" s="85">
        <f>IF($K1285="","",TEXT($K1285,"yyyy-mm"))</f>
        <v/>
      </c>
      <c r="Y1285" s="81">
        <f>IF(OR($A1285="",$T1285=""),"","Included in Manager_Report")</f>
        <v/>
      </c>
    </row>
    <row r="1286" ht="15" customHeight="1" s="40">
      <c r="A1286" s="65">
        <f>IF(COUNTA(B1286:G1286)=0,"","STP-"&amp;TEXT(ROW()-4,"0000"))</f>
        <v/>
      </c>
      <c r="B1286" s="78" t="n"/>
      <c r="C1286" s="67">
        <f>IF($B1286="","",IFERROR(INDEX(Task_Tracker!$D$5:$D$1004,MATCH($B1286,Task_Tracker!$A$5:$A$1004,0)),""))</f>
        <v/>
      </c>
      <c r="D1286" s="67">
        <f>IF($B1286="","",IFERROR(INDEX(Task_Tracker!$B$5:$B$1004,MATCH($B1286,Task_Tracker!$A$5:$A$1004,0)),""))</f>
        <v/>
      </c>
      <c r="E1286" s="81" t="n"/>
      <c r="F1286" s="81" t="n"/>
      <c r="G1286" s="78" t="n"/>
      <c r="H1286" s="78" t="n"/>
      <c r="I1286" s="67">
        <f>IF($H1286="","",IFERROR(INDEX(Action_Status_Map!$B$5:$B$11,MATCH($H1286,Action_Status_Map!$A$5:$A$11,0)),""))</f>
        <v/>
      </c>
      <c r="J1286" s="82" t="n"/>
      <c r="K1286" s="82" t="n"/>
      <c r="L1286" s="82" t="n"/>
      <c r="M1286" s="83" t="n"/>
      <c r="N1286" s="83" t="n"/>
      <c r="O1286" s="66">
        <f>IF(OR($M1286="",$N1286=""),"",$N1286-$M1286)</f>
        <v/>
      </c>
      <c r="P1286" s="84">
        <f>IF($J1286="","",IF($L1286&lt;&gt;"",$L1286-$J1286,TODAY()-$J1286))</f>
        <v/>
      </c>
      <c r="Q1286" s="85">
        <f>IF(OR($K1286="",$H1286="Completed",$H1286="Cancelled"),"",IF(AND($K1286&lt;TODAY(),$H1286&lt;&gt;"Completed",$H1286&lt;&gt;"Cancelled"),"Overdue","On Track"))</f>
        <v/>
      </c>
      <c r="R1286" s="81" t="n"/>
      <c r="S1286" s="81">
        <f>IF($B1286="","",IFERROR(INDEX(Task_Tracker!$AA$5:$AA$1004,MATCH($B1286,Task_Tracker!$A$5:$A$1004,0)),""))</f>
        <v/>
      </c>
      <c r="T1286" s="81">
        <f>IF($B1286="","",IFERROR(INDEX(Task_Tracker!$AB$5:$AB$1004,MATCH($B1286,Task_Tracker!$A$5:$A$1004,0)),""))</f>
        <v/>
      </c>
      <c r="U1286" s="78">
        <f>IF($B1286="","",IFERROR(INDEX(Task_Tracker!$F$5:$F$1004,MATCH($B1286,Task_Tracker!$A$5:$A$1004,0)),""))</f>
        <v/>
      </c>
      <c r="V1286" s="78">
        <f>IF($B1286="","",IFERROR(INDEX(Task_Tracker!$I$5:$I$1004,MATCH($B1286,Task_Tracker!$A$5:$A$1004,0)),""))</f>
        <v/>
      </c>
      <c r="W1286" s="81">
        <f>IF(OR($D1286="",$B1286=""),"",$D1286&amp;" | "&amp;$B1286)</f>
        <v/>
      </c>
      <c r="X1286" s="85">
        <f>IF($K1286="","",TEXT($K1286,"yyyy-mm"))</f>
        <v/>
      </c>
      <c r="Y1286" s="81">
        <f>IF(OR($A1286="",$T1286=""),"","Included in Manager_Report")</f>
        <v/>
      </c>
    </row>
    <row r="1287" ht="15" customHeight="1" s="40">
      <c r="A1287" s="65">
        <f>IF(COUNTA(B1287:G1287)=0,"","STP-"&amp;TEXT(ROW()-4,"0000"))</f>
        <v/>
      </c>
      <c r="B1287" s="78" t="n"/>
      <c r="C1287" s="67">
        <f>IF($B1287="","",IFERROR(INDEX(Task_Tracker!$D$5:$D$1004,MATCH($B1287,Task_Tracker!$A$5:$A$1004,0)),""))</f>
        <v/>
      </c>
      <c r="D1287" s="67">
        <f>IF($B1287="","",IFERROR(INDEX(Task_Tracker!$B$5:$B$1004,MATCH($B1287,Task_Tracker!$A$5:$A$1004,0)),""))</f>
        <v/>
      </c>
      <c r="E1287" s="81" t="n"/>
      <c r="F1287" s="81" t="n"/>
      <c r="G1287" s="78" t="n"/>
      <c r="H1287" s="78" t="n"/>
      <c r="I1287" s="67">
        <f>IF($H1287="","",IFERROR(INDEX(Action_Status_Map!$B$5:$B$11,MATCH($H1287,Action_Status_Map!$A$5:$A$11,0)),""))</f>
        <v/>
      </c>
      <c r="J1287" s="82" t="n"/>
      <c r="K1287" s="82" t="n"/>
      <c r="L1287" s="82" t="n"/>
      <c r="M1287" s="83" t="n"/>
      <c r="N1287" s="83" t="n"/>
      <c r="O1287" s="66">
        <f>IF(OR($M1287="",$N1287=""),"",$N1287-$M1287)</f>
        <v/>
      </c>
      <c r="P1287" s="84">
        <f>IF($J1287="","",IF($L1287&lt;&gt;"",$L1287-$J1287,TODAY()-$J1287))</f>
        <v/>
      </c>
      <c r="Q1287" s="85">
        <f>IF(OR($K1287="",$H1287="Completed",$H1287="Cancelled"),"",IF(AND($K1287&lt;TODAY(),$H1287&lt;&gt;"Completed",$H1287&lt;&gt;"Cancelled"),"Overdue","On Track"))</f>
        <v/>
      </c>
      <c r="R1287" s="81" t="n"/>
      <c r="S1287" s="81">
        <f>IF($B1287="","",IFERROR(INDEX(Task_Tracker!$AA$5:$AA$1004,MATCH($B1287,Task_Tracker!$A$5:$A$1004,0)),""))</f>
        <v/>
      </c>
      <c r="T1287" s="81">
        <f>IF($B1287="","",IFERROR(INDEX(Task_Tracker!$AB$5:$AB$1004,MATCH($B1287,Task_Tracker!$A$5:$A$1004,0)),""))</f>
        <v/>
      </c>
      <c r="U1287" s="78">
        <f>IF($B1287="","",IFERROR(INDEX(Task_Tracker!$F$5:$F$1004,MATCH($B1287,Task_Tracker!$A$5:$A$1004,0)),""))</f>
        <v/>
      </c>
      <c r="V1287" s="78">
        <f>IF($B1287="","",IFERROR(INDEX(Task_Tracker!$I$5:$I$1004,MATCH($B1287,Task_Tracker!$A$5:$A$1004,0)),""))</f>
        <v/>
      </c>
      <c r="W1287" s="81">
        <f>IF(OR($D1287="",$B1287=""),"",$D1287&amp;" | "&amp;$B1287)</f>
        <v/>
      </c>
      <c r="X1287" s="85">
        <f>IF($K1287="","",TEXT($K1287,"yyyy-mm"))</f>
        <v/>
      </c>
      <c r="Y1287" s="81">
        <f>IF(OR($A1287="",$T1287=""),"","Included in Manager_Report")</f>
        <v/>
      </c>
    </row>
    <row r="1288" ht="15" customHeight="1" s="40">
      <c r="A1288" s="65">
        <f>IF(COUNTA(B1288:G1288)=0,"","STP-"&amp;TEXT(ROW()-4,"0000"))</f>
        <v/>
      </c>
      <c r="B1288" s="78" t="n"/>
      <c r="C1288" s="67">
        <f>IF($B1288="","",IFERROR(INDEX(Task_Tracker!$D$5:$D$1004,MATCH($B1288,Task_Tracker!$A$5:$A$1004,0)),""))</f>
        <v/>
      </c>
      <c r="D1288" s="67">
        <f>IF($B1288="","",IFERROR(INDEX(Task_Tracker!$B$5:$B$1004,MATCH($B1288,Task_Tracker!$A$5:$A$1004,0)),""))</f>
        <v/>
      </c>
      <c r="E1288" s="81" t="n"/>
      <c r="F1288" s="81" t="n"/>
      <c r="G1288" s="78" t="n"/>
      <c r="H1288" s="78" t="n"/>
      <c r="I1288" s="67">
        <f>IF($H1288="","",IFERROR(INDEX(Action_Status_Map!$B$5:$B$11,MATCH($H1288,Action_Status_Map!$A$5:$A$11,0)),""))</f>
        <v/>
      </c>
      <c r="J1288" s="82" t="n"/>
      <c r="K1288" s="82" t="n"/>
      <c r="L1288" s="82" t="n"/>
      <c r="M1288" s="83" t="n"/>
      <c r="N1288" s="83" t="n"/>
      <c r="O1288" s="66">
        <f>IF(OR($M1288="",$N1288=""),"",$N1288-$M1288)</f>
        <v/>
      </c>
      <c r="P1288" s="84">
        <f>IF($J1288="","",IF($L1288&lt;&gt;"",$L1288-$J1288,TODAY()-$J1288))</f>
        <v/>
      </c>
      <c r="Q1288" s="85">
        <f>IF(OR($K1288="",$H1288="Completed",$H1288="Cancelled"),"",IF(AND($K1288&lt;TODAY(),$H1288&lt;&gt;"Completed",$H1288&lt;&gt;"Cancelled"),"Overdue","On Track"))</f>
        <v/>
      </c>
      <c r="R1288" s="81" t="n"/>
      <c r="S1288" s="81">
        <f>IF($B1288="","",IFERROR(INDEX(Task_Tracker!$AA$5:$AA$1004,MATCH($B1288,Task_Tracker!$A$5:$A$1004,0)),""))</f>
        <v/>
      </c>
      <c r="T1288" s="81">
        <f>IF($B1288="","",IFERROR(INDEX(Task_Tracker!$AB$5:$AB$1004,MATCH($B1288,Task_Tracker!$A$5:$A$1004,0)),""))</f>
        <v/>
      </c>
      <c r="U1288" s="78">
        <f>IF($B1288="","",IFERROR(INDEX(Task_Tracker!$F$5:$F$1004,MATCH($B1288,Task_Tracker!$A$5:$A$1004,0)),""))</f>
        <v/>
      </c>
      <c r="V1288" s="78">
        <f>IF($B1288="","",IFERROR(INDEX(Task_Tracker!$I$5:$I$1004,MATCH($B1288,Task_Tracker!$A$5:$A$1004,0)),""))</f>
        <v/>
      </c>
      <c r="W1288" s="81">
        <f>IF(OR($D1288="",$B1288=""),"",$D1288&amp;" | "&amp;$B1288)</f>
        <v/>
      </c>
      <c r="X1288" s="85">
        <f>IF($K1288="","",TEXT($K1288,"yyyy-mm"))</f>
        <v/>
      </c>
      <c r="Y1288" s="81">
        <f>IF(OR($A1288="",$T1288=""),"","Included in Manager_Report")</f>
        <v/>
      </c>
    </row>
    <row r="1289" ht="15" customHeight="1" s="40">
      <c r="A1289" s="65">
        <f>IF(COUNTA(B1289:G1289)=0,"","STP-"&amp;TEXT(ROW()-4,"0000"))</f>
        <v/>
      </c>
      <c r="B1289" s="78" t="n"/>
      <c r="C1289" s="67">
        <f>IF($B1289="","",IFERROR(INDEX(Task_Tracker!$D$5:$D$1004,MATCH($B1289,Task_Tracker!$A$5:$A$1004,0)),""))</f>
        <v/>
      </c>
      <c r="D1289" s="67">
        <f>IF($B1289="","",IFERROR(INDEX(Task_Tracker!$B$5:$B$1004,MATCH($B1289,Task_Tracker!$A$5:$A$1004,0)),""))</f>
        <v/>
      </c>
      <c r="E1289" s="81" t="n"/>
      <c r="F1289" s="81" t="n"/>
      <c r="G1289" s="78" t="n"/>
      <c r="H1289" s="78" t="n"/>
      <c r="I1289" s="67">
        <f>IF($H1289="","",IFERROR(INDEX(Action_Status_Map!$B$5:$B$11,MATCH($H1289,Action_Status_Map!$A$5:$A$11,0)),""))</f>
        <v/>
      </c>
      <c r="J1289" s="82" t="n"/>
      <c r="K1289" s="82" t="n"/>
      <c r="L1289" s="82" t="n"/>
      <c r="M1289" s="83" t="n"/>
      <c r="N1289" s="83" t="n"/>
      <c r="O1289" s="66">
        <f>IF(OR($M1289="",$N1289=""),"",$N1289-$M1289)</f>
        <v/>
      </c>
      <c r="P1289" s="84">
        <f>IF($J1289="","",IF($L1289&lt;&gt;"",$L1289-$J1289,TODAY()-$J1289))</f>
        <v/>
      </c>
      <c r="Q1289" s="85">
        <f>IF(OR($K1289="",$H1289="Completed",$H1289="Cancelled"),"",IF(AND($K1289&lt;TODAY(),$H1289&lt;&gt;"Completed",$H1289&lt;&gt;"Cancelled"),"Overdue","On Track"))</f>
        <v/>
      </c>
      <c r="R1289" s="81" t="n"/>
      <c r="S1289" s="81">
        <f>IF($B1289="","",IFERROR(INDEX(Task_Tracker!$AA$5:$AA$1004,MATCH($B1289,Task_Tracker!$A$5:$A$1004,0)),""))</f>
        <v/>
      </c>
      <c r="T1289" s="81">
        <f>IF($B1289="","",IFERROR(INDEX(Task_Tracker!$AB$5:$AB$1004,MATCH($B1289,Task_Tracker!$A$5:$A$1004,0)),""))</f>
        <v/>
      </c>
      <c r="U1289" s="78">
        <f>IF($B1289="","",IFERROR(INDEX(Task_Tracker!$F$5:$F$1004,MATCH($B1289,Task_Tracker!$A$5:$A$1004,0)),""))</f>
        <v/>
      </c>
      <c r="V1289" s="78">
        <f>IF($B1289="","",IFERROR(INDEX(Task_Tracker!$I$5:$I$1004,MATCH($B1289,Task_Tracker!$A$5:$A$1004,0)),""))</f>
        <v/>
      </c>
      <c r="W1289" s="81">
        <f>IF(OR($D1289="",$B1289=""),"",$D1289&amp;" | "&amp;$B1289)</f>
        <v/>
      </c>
      <c r="X1289" s="85">
        <f>IF($K1289="","",TEXT($K1289,"yyyy-mm"))</f>
        <v/>
      </c>
      <c r="Y1289" s="81">
        <f>IF(OR($A1289="",$T1289=""),"","Included in Manager_Report")</f>
        <v/>
      </c>
    </row>
    <row r="1290" ht="15" customHeight="1" s="40">
      <c r="A1290" s="65">
        <f>IF(COUNTA(B1290:G1290)=0,"","STP-"&amp;TEXT(ROW()-4,"0000"))</f>
        <v/>
      </c>
      <c r="B1290" s="78" t="n"/>
      <c r="C1290" s="67">
        <f>IF($B1290="","",IFERROR(INDEX(Task_Tracker!$D$5:$D$1004,MATCH($B1290,Task_Tracker!$A$5:$A$1004,0)),""))</f>
        <v/>
      </c>
      <c r="D1290" s="67">
        <f>IF($B1290="","",IFERROR(INDEX(Task_Tracker!$B$5:$B$1004,MATCH($B1290,Task_Tracker!$A$5:$A$1004,0)),""))</f>
        <v/>
      </c>
      <c r="E1290" s="81" t="n"/>
      <c r="F1290" s="81" t="n"/>
      <c r="G1290" s="78" t="n"/>
      <c r="H1290" s="78" t="n"/>
      <c r="I1290" s="67">
        <f>IF($H1290="","",IFERROR(INDEX(Action_Status_Map!$B$5:$B$11,MATCH($H1290,Action_Status_Map!$A$5:$A$11,0)),""))</f>
        <v/>
      </c>
      <c r="J1290" s="82" t="n"/>
      <c r="K1290" s="82" t="n"/>
      <c r="L1290" s="82" t="n"/>
      <c r="M1290" s="83" t="n"/>
      <c r="N1290" s="83" t="n"/>
      <c r="O1290" s="66">
        <f>IF(OR($M1290="",$N1290=""),"",$N1290-$M1290)</f>
        <v/>
      </c>
      <c r="P1290" s="84">
        <f>IF($J1290="","",IF($L1290&lt;&gt;"",$L1290-$J1290,TODAY()-$J1290))</f>
        <v/>
      </c>
      <c r="Q1290" s="85">
        <f>IF(OR($K1290="",$H1290="Completed",$H1290="Cancelled"),"",IF(AND($K1290&lt;TODAY(),$H1290&lt;&gt;"Completed",$H1290&lt;&gt;"Cancelled"),"Overdue","On Track"))</f>
        <v/>
      </c>
      <c r="R1290" s="81" t="n"/>
      <c r="S1290" s="81">
        <f>IF($B1290="","",IFERROR(INDEX(Task_Tracker!$AA$5:$AA$1004,MATCH($B1290,Task_Tracker!$A$5:$A$1004,0)),""))</f>
        <v/>
      </c>
      <c r="T1290" s="81">
        <f>IF($B1290="","",IFERROR(INDEX(Task_Tracker!$AB$5:$AB$1004,MATCH($B1290,Task_Tracker!$A$5:$A$1004,0)),""))</f>
        <v/>
      </c>
      <c r="U1290" s="78">
        <f>IF($B1290="","",IFERROR(INDEX(Task_Tracker!$F$5:$F$1004,MATCH($B1290,Task_Tracker!$A$5:$A$1004,0)),""))</f>
        <v/>
      </c>
      <c r="V1290" s="78">
        <f>IF($B1290="","",IFERROR(INDEX(Task_Tracker!$I$5:$I$1004,MATCH($B1290,Task_Tracker!$A$5:$A$1004,0)),""))</f>
        <v/>
      </c>
      <c r="W1290" s="81">
        <f>IF(OR($D1290="",$B1290=""),"",$D1290&amp;" | "&amp;$B1290)</f>
        <v/>
      </c>
      <c r="X1290" s="85">
        <f>IF($K1290="","",TEXT($K1290,"yyyy-mm"))</f>
        <v/>
      </c>
      <c r="Y1290" s="81">
        <f>IF(OR($A1290="",$T1290=""),"","Included in Manager_Report")</f>
        <v/>
      </c>
    </row>
    <row r="1291" ht="15" customHeight="1" s="40">
      <c r="A1291" s="65">
        <f>IF(COUNTA(B1291:G1291)=0,"","STP-"&amp;TEXT(ROW()-4,"0000"))</f>
        <v/>
      </c>
      <c r="B1291" s="78" t="n"/>
      <c r="C1291" s="67">
        <f>IF($B1291="","",IFERROR(INDEX(Task_Tracker!$D$5:$D$1004,MATCH($B1291,Task_Tracker!$A$5:$A$1004,0)),""))</f>
        <v/>
      </c>
      <c r="D1291" s="67">
        <f>IF($B1291="","",IFERROR(INDEX(Task_Tracker!$B$5:$B$1004,MATCH($B1291,Task_Tracker!$A$5:$A$1004,0)),""))</f>
        <v/>
      </c>
      <c r="E1291" s="81" t="n"/>
      <c r="F1291" s="81" t="n"/>
      <c r="G1291" s="78" t="n"/>
      <c r="H1291" s="78" t="n"/>
      <c r="I1291" s="67">
        <f>IF($H1291="","",IFERROR(INDEX(Action_Status_Map!$B$5:$B$11,MATCH($H1291,Action_Status_Map!$A$5:$A$11,0)),""))</f>
        <v/>
      </c>
      <c r="J1291" s="82" t="n"/>
      <c r="K1291" s="82" t="n"/>
      <c r="L1291" s="82" t="n"/>
      <c r="M1291" s="83" t="n"/>
      <c r="N1291" s="83" t="n"/>
      <c r="O1291" s="66">
        <f>IF(OR($M1291="",$N1291=""),"",$N1291-$M1291)</f>
        <v/>
      </c>
      <c r="P1291" s="84">
        <f>IF($J1291="","",IF($L1291&lt;&gt;"",$L1291-$J1291,TODAY()-$J1291))</f>
        <v/>
      </c>
      <c r="Q1291" s="85">
        <f>IF(OR($K1291="",$H1291="Completed",$H1291="Cancelled"),"",IF(AND($K1291&lt;TODAY(),$H1291&lt;&gt;"Completed",$H1291&lt;&gt;"Cancelled"),"Overdue","On Track"))</f>
        <v/>
      </c>
      <c r="R1291" s="81" t="n"/>
      <c r="S1291" s="81">
        <f>IF($B1291="","",IFERROR(INDEX(Task_Tracker!$AA$5:$AA$1004,MATCH($B1291,Task_Tracker!$A$5:$A$1004,0)),""))</f>
        <v/>
      </c>
      <c r="T1291" s="81">
        <f>IF($B1291="","",IFERROR(INDEX(Task_Tracker!$AB$5:$AB$1004,MATCH($B1291,Task_Tracker!$A$5:$A$1004,0)),""))</f>
        <v/>
      </c>
      <c r="U1291" s="78">
        <f>IF($B1291="","",IFERROR(INDEX(Task_Tracker!$F$5:$F$1004,MATCH($B1291,Task_Tracker!$A$5:$A$1004,0)),""))</f>
        <v/>
      </c>
      <c r="V1291" s="78">
        <f>IF($B1291="","",IFERROR(INDEX(Task_Tracker!$I$5:$I$1004,MATCH($B1291,Task_Tracker!$A$5:$A$1004,0)),""))</f>
        <v/>
      </c>
      <c r="W1291" s="81">
        <f>IF(OR($D1291="",$B1291=""),"",$D1291&amp;" | "&amp;$B1291)</f>
        <v/>
      </c>
      <c r="X1291" s="85">
        <f>IF($K1291="","",TEXT($K1291,"yyyy-mm"))</f>
        <v/>
      </c>
      <c r="Y1291" s="81">
        <f>IF(OR($A1291="",$T1291=""),"","Included in Manager_Report")</f>
        <v/>
      </c>
    </row>
    <row r="1292" ht="15" customHeight="1" s="40">
      <c r="A1292" s="65">
        <f>IF(COUNTA(B1292:G1292)=0,"","STP-"&amp;TEXT(ROW()-4,"0000"))</f>
        <v/>
      </c>
      <c r="B1292" s="78" t="n"/>
      <c r="C1292" s="67">
        <f>IF($B1292="","",IFERROR(INDEX(Task_Tracker!$D$5:$D$1004,MATCH($B1292,Task_Tracker!$A$5:$A$1004,0)),""))</f>
        <v/>
      </c>
      <c r="D1292" s="67">
        <f>IF($B1292="","",IFERROR(INDEX(Task_Tracker!$B$5:$B$1004,MATCH($B1292,Task_Tracker!$A$5:$A$1004,0)),""))</f>
        <v/>
      </c>
      <c r="E1292" s="81" t="n"/>
      <c r="F1292" s="81" t="n"/>
      <c r="G1292" s="78" t="n"/>
      <c r="H1292" s="78" t="n"/>
      <c r="I1292" s="67">
        <f>IF($H1292="","",IFERROR(INDEX(Action_Status_Map!$B$5:$B$11,MATCH($H1292,Action_Status_Map!$A$5:$A$11,0)),""))</f>
        <v/>
      </c>
      <c r="J1292" s="82" t="n"/>
      <c r="K1292" s="82" t="n"/>
      <c r="L1292" s="82" t="n"/>
      <c r="M1292" s="83" t="n"/>
      <c r="N1292" s="83" t="n"/>
      <c r="O1292" s="66">
        <f>IF(OR($M1292="",$N1292=""),"",$N1292-$M1292)</f>
        <v/>
      </c>
      <c r="P1292" s="84">
        <f>IF($J1292="","",IF($L1292&lt;&gt;"",$L1292-$J1292,TODAY()-$J1292))</f>
        <v/>
      </c>
      <c r="Q1292" s="85">
        <f>IF(OR($K1292="",$H1292="Completed",$H1292="Cancelled"),"",IF(AND($K1292&lt;TODAY(),$H1292&lt;&gt;"Completed",$H1292&lt;&gt;"Cancelled"),"Overdue","On Track"))</f>
        <v/>
      </c>
      <c r="R1292" s="81" t="n"/>
      <c r="S1292" s="81">
        <f>IF($B1292="","",IFERROR(INDEX(Task_Tracker!$AA$5:$AA$1004,MATCH($B1292,Task_Tracker!$A$5:$A$1004,0)),""))</f>
        <v/>
      </c>
      <c r="T1292" s="81">
        <f>IF($B1292="","",IFERROR(INDEX(Task_Tracker!$AB$5:$AB$1004,MATCH($B1292,Task_Tracker!$A$5:$A$1004,0)),""))</f>
        <v/>
      </c>
      <c r="U1292" s="78">
        <f>IF($B1292="","",IFERROR(INDEX(Task_Tracker!$F$5:$F$1004,MATCH($B1292,Task_Tracker!$A$5:$A$1004,0)),""))</f>
        <v/>
      </c>
      <c r="V1292" s="78">
        <f>IF($B1292="","",IFERROR(INDEX(Task_Tracker!$I$5:$I$1004,MATCH($B1292,Task_Tracker!$A$5:$A$1004,0)),""))</f>
        <v/>
      </c>
      <c r="W1292" s="81">
        <f>IF(OR($D1292="",$B1292=""),"",$D1292&amp;" | "&amp;$B1292)</f>
        <v/>
      </c>
      <c r="X1292" s="85">
        <f>IF($K1292="","",TEXT($K1292,"yyyy-mm"))</f>
        <v/>
      </c>
      <c r="Y1292" s="81">
        <f>IF(OR($A1292="",$T1292=""),"","Included in Manager_Report")</f>
        <v/>
      </c>
    </row>
    <row r="1293" ht="15" customHeight="1" s="40">
      <c r="A1293" s="65">
        <f>IF(COUNTA(B1293:G1293)=0,"","STP-"&amp;TEXT(ROW()-4,"0000"))</f>
        <v/>
      </c>
      <c r="B1293" s="78" t="n"/>
      <c r="C1293" s="67">
        <f>IF($B1293="","",IFERROR(INDEX(Task_Tracker!$D$5:$D$1004,MATCH($B1293,Task_Tracker!$A$5:$A$1004,0)),""))</f>
        <v/>
      </c>
      <c r="D1293" s="67">
        <f>IF($B1293="","",IFERROR(INDEX(Task_Tracker!$B$5:$B$1004,MATCH($B1293,Task_Tracker!$A$5:$A$1004,0)),""))</f>
        <v/>
      </c>
      <c r="E1293" s="81" t="n"/>
      <c r="F1293" s="81" t="n"/>
      <c r="G1293" s="78" t="n"/>
      <c r="H1293" s="78" t="n"/>
      <c r="I1293" s="67">
        <f>IF($H1293="","",IFERROR(INDEX(Action_Status_Map!$B$5:$B$11,MATCH($H1293,Action_Status_Map!$A$5:$A$11,0)),""))</f>
        <v/>
      </c>
      <c r="J1293" s="82" t="n"/>
      <c r="K1293" s="82" t="n"/>
      <c r="L1293" s="82" t="n"/>
      <c r="M1293" s="83" t="n"/>
      <c r="N1293" s="83" t="n"/>
      <c r="O1293" s="66">
        <f>IF(OR($M1293="",$N1293=""),"",$N1293-$M1293)</f>
        <v/>
      </c>
      <c r="P1293" s="84">
        <f>IF($J1293="","",IF($L1293&lt;&gt;"",$L1293-$J1293,TODAY()-$J1293))</f>
        <v/>
      </c>
      <c r="Q1293" s="85">
        <f>IF(OR($K1293="",$H1293="Completed",$H1293="Cancelled"),"",IF(AND($K1293&lt;TODAY(),$H1293&lt;&gt;"Completed",$H1293&lt;&gt;"Cancelled"),"Overdue","On Track"))</f>
        <v/>
      </c>
      <c r="R1293" s="81" t="n"/>
      <c r="S1293" s="81">
        <f>IF($B1293="","",IFERROR(INDEX(Task_Tracker!$AA$5:$AA$1004,MATCH($B1293,Task_Tracker!$A$5:$A$1004,0)),""))</f>
        <v/>
      </c>
      <c r="T1293" s="81">
        <f>IF($B1293="","",IFERROR(INDEX(Task_Tracker!$AB$5:$AB$1004,MATCH($B1293,Task_Tracker!$A$5:$A$1004,0)),""))</f>
        <v/>
      </c>
      <c r="U1293" s="78">
        <f>IF($B1293="","",IFERROR(INDEX(Task_Tracker!$F$5:$F$1004,MATCH($B1293,Task_Tracker!$A$5:$A$1004,0)),""))</f>
        <v/>
      </c>
      <c r="V1293" s="78">
        <f>IF($B1293="","",IFERROR(INDEX(Task_Tracker!$I$5:$I$1004,MATCH($B1293,Task_Tracker!$A$5:$A$1004,0)),""))</f>
        <v/>
      </c>
      <c r="W1293" s="81">
        <f>IF(OR($D1293="",$B1293=""),"",$D1293&amp;" | "&amp;$B1293)</f>
        <v/>
      </c>
      <c r="X1293" s="85">
        <f>IF($K1293="","",TEXT($K1293,"yyyy-mm"))</f>
        <v/>
      </c>
      <c r="Y1293" s="81">
        <f>IF(OR($A1293="",$T1293=""),"","Included in Manager_Report")</f>
        <v/>
      </c>
    </row>
    <row r="1294" ht="15" customHeight="1" s="40">
      <c r="A1294" s="65">
        <f>IF(COUNTA(B1294:G1294)=0,"","STP-"&amp;TEXT(ROW()-4,"0000"))</f>
        <v/>
      </c>
      <c r="B1294" s="78" t="n"/>
      <c r="C1294" s="67">
        <f>IF($B1294="","",IFERROR(INDEX(Task_Tracker!$D$5:$D$1004,MATCH($B1294,Task_Tracker!$A$5:$A$1004,0)),""))</f>
        <v/>
      </c>
      <c r="D1294" s="67">
        <f>IF($B1294="","",IFERROR(INDEX(Task_Tracker!$B$5:$B$1004,MATCH($B1294,Task_Tracker!$A$5:$A$1004,0)),""))</f>
        <v/>
      </c>
      <c r="E1294" s="81" t="n"/>
      <c r="F1294" s="81" t="n"/>
      <c r="G1294" s="78" t="n"/>
      <c r="H1294" s="78" t="n"/>
      <c r="I1294" s="67">
        <f>IF($H1294="","",IFERROR(INDEX(Action_Status_Map!$B$5:$B$11,MATCH($H1294,Action_Status_Map!$A$5:$A$11,0)),""))</f>
        <v/>
      </c>
      <c r="J1294" s="82" t="n"/>
      <c r="K1294" s="82" t="n"/>
      <c r="L1294" s="82" t="n"/>
      <c r="M1294" s="83" t="n"/>
      <c r="N1294" s="83" t="n"/>
      <c r="O1294" s="66">
        <f>IF(OR($M1294="",$N1294=""),"",$N1294-$M1294)</f>
        <v/>
      </c>
      <c r="P1294" s="84">
        <f>IF($J1294="","",IF($L1294&lt;&gt;"",$L1294-$J1294,TODAY()-$J1294))</f>
        <v/>
      </c>
      <c r="Q1294" s="85">
        <f>IF(OR($K1294="",$H1294="Completed",$H1294="Cancelled"),"",IF(AND($K1294&lt;TODAY(),$H1294&lt;&gt;"Completed",$H1294&lt;&gt;"Cancelled"),"Overdue","On Track"))</f>
        <v/>
      </c>
      <c r="R1294" s="81" t="n"/>
      <c r="S1294" s="81">
        <f>IF($B1294="","",IFERROR(INDEX(Task_Tracker!$AA$5:$AA$1004,MATCH($B1294,Task_Tracker!$A$5:$A$1004,0)),""))</f>
        <v/>
      </c>
      <c r="T1294" s="81">
        <f>IF($B1294="","",IFERROR(INDEX(Task_Tracker!$AB$5:$AB$1004,MATCH($B1294,Task_Tracker!$A$5:$A$1004,0)),""))</f>
        <v/>
      </c>
      <c r="U1294" s="78">
        <f>IF($B1294="","",IFERROR(INDEX(Task_Tracker!$F$5:$F$1004,MATCH($B1294,Task_Tracker!$A$5:$A$1004,0)),""))</f>
        <v/>
      </c>
      <c r="V1294" s="78">
        <f>IF($B1294="","",IFERROR(INDEX(Task_Tracker!$I$5:$I$1004,MATCH($B1294,Task_Tracker!$A$5:$A$1004,0)),""))</f>
        <v/>
      </c>
      <c r="W1294" s="81">
        <f>IF(OR($D1294="",$B1294=""),"",$D1294&amp;" | "&amp;$B1294)</f>
        <v/>
      </c>
      <c r="X1294" s="85">
        <f>IF($K1294="","",TEXT($K1294,"yyyy-mm"))</f>
        <v/>
      </c>
      <c r="Y1294" s="81">
        <f>IF(OR($A1294="",$T1294=""),"","Included in Manager_Report")</f>
        <v/>
      </c>
    </row>
    <row r="1295" ht="15" customHeight="1" s="40">
      <c r="A1295" s="65">
        <f>IF(COUNTA(B1295:G1295)=0,"","STP-"&amp;TEXT(ROW()-4,"0000"))</f>
        <v/>
      </c>
      <c r="B1295" s="78" t="n"/>
      <c r="C1295" s="67">
        <f>IF($B1295="","",IFERROR(INDEX(Task_Tracker!$D$5:$D$1004,MATCH($B1295,Task_Tracker!$A$5:$A$1004,0)),""))</f>
        <v/>
      </c>
      <c r="D1295" s="67">
        <f>IF($B1295="","",IFERROR(INDEX(Task_Tracker!$B$5:$B$1004,MATCH($B1295,Task_Tracker!$A$5:$A$1004,0)),""))</f>
        <v/>
      </c>
      <c r="E1295" s="81" t="n"/>
      <c r="F1295" s="81" t="n"/>
      <c r="G1295" s="78" t="n"/>
      <c r="H1295" s="78" t="n"/>
      <c r="I1295" s="67">
        <f>IF($H1295="","",IFERROR(INDEX(Action_Status_Map!$B$5:$B$11,MATCH($H1295,Action_Status_Map!$A$5:$A$11,0)),""))</f>
        <v/>
      </c>
      <c r="J1295" s="82" t="n"/>
      <c r="K1295" s="82" t="n"/>
      <c r="L1295" s="82" t="n"/>
      <c r="M1295" s="83" t="n"/>
      <c r="N1295" s="83" t="n"/>
      <c r="O1295" s="66">
        <f>IF(OR($M1295="",$N1295=""),"",$N1295-$M1295)</f>
        <v/>
      </c>
      <c r="P1295" s="84">
        <f>IF($J1295="","",IF($L1295&lt;&gt;"",$L1295-$J1295,TODAY()-$J1295))</f>
        <v/>
      </c>
      <c r="Q1295" s="85">
        <f>IF(OR($K1295="",$H1295="Completed",$H1295="Cancelled"),"",IF(AND($K1295&lt;TODAY(),$H1295&lt;&gt;"Completed",$H1295&lt;&gt;"Cancelled"),"Overdue","On Track"))</f>
        <v/>
      </c>
      <c r="R1295" s="81" t="n"/>
      <c r="S1295" s="81">
        <f>IF($B1295="","",IFERROR(INDEX(Task_Tracker!$AA$5:$AA$1004,MATCH($B1295,Task_Tracker!$A$5:$A$1004,0)),""))</f>
        <v/>
      </c>
      <c r="T1295" s="81">
        <f>IF($B1295="","",IFERROR(INDEX(Task_Tracker!$AB$5:$AB$1004,MATCH($B1295,Task_Tracker!$A$5:$A$1004,0)),""))</f>
        <v/>
      </c>
      <c r="U1295" s="78">
        <f>IF($B1295="","",IFERROR(INDEX(Task_Tracker!$F$5:$F$1004,MATCH($B1295,Task_Tracker!$A$5:$A$1004,0)),""))</f>
        <v/>
      </c>
      <c r="V1295" s="78">
        <f>IF($B1295="","",IFERROR(INDEX(Task_Tracker!$I$5:$I$1004,MATCH($B1295,Task_Tracker!$A$5:$A$1004,0)),""))</f>
        <v/>
      </c>
      <c r="W1295" s="81">
        <f>IF(OR($D1295="",$B1295=""),"",$D1295&amp;" | "&amp;$B1295)</f>
        <v/>
      </c>
      <c r="X1295" s="85">
        <f>IF($K1295="","",TEXT($K1295,"yyyy-mm"))</f>
        <v/>
      </c>
      <c r="Y1295" s="81">
        <f>IF(OR($A1295="",$T1295=""),"","Included in Manager_Report")</f>
        <v/>
      </c>
    </row>
    <row r="1296" ht="15" customHeight="1" s="40">
      <c r="A1296" s="65">
        <f>IF(COUNTA(B1296:G1296)=0,"","STP-"&amp;TEXT(ROW()-4,"0000"))</f>
        <v/>
      </c>
      <c r="B1296" s="78" t="n"/>
      <c r="C1296" s="67">
        <f>IF($B1296="","",IFERROR(INDEX(Task_Tracker!$D$5:$D$1004,MATCH($B1296,Task_Tracker!$A$5:$A$1004,0)),""))</f>
        <v/>
      </c>
      <c r="D1296" s="67">
        <f>IF($B1296="","",IFERROR(INDEX(Task_Tracker!$B$5:$B$1004,MATCH($B1296,Task_Tracker!$A$5:$A$1004,0)),""))</f>
        <v/>
      </c>
      <c r="E1296" s="81" t="n"/>
      <c r="F1296" s="81" t="n"/>
      <c r="G1296" s="78" t="n"/>
      <c r="H1296" s="78" t="n"/>
      <c r="I1296" s="67">
        <f>IF($H1296="","",IFERROR(INDEX(Action_Status_Map!$B$5:$B$11,MATCH($H1296,Action_Status_Map!$A$5:$A$11,0)),""))</f>
        <v/>
      </c>
      <c r="J1296" s="82" t="n"/>
      <c r="K1296" s="82" t="n"/>
      <c r="L1296" s="82" t="n"/>
      <c r="M1296" s="83" t="n"/>
      <c r="N1296" s="83" t="n"/>
      <c r="O1296" s="66">
        <f>IF(OR($M1296="",$N1296=""),"",$N1296-$M1296)</f>
        <v/>
      </c>
      <c r="P1296" s="84">
        <f>IF($J1296="","",IF($L1296&lt;&gt;"",$L1296-$J1296,TODAY()-$J1296))</f>
        <v/>
      </c>
      <c r="Q1296" s="85">
        <f>IF(OR($K1296="",$H1296="Completed",$H1296="Cancelled"),"",IF(AND($K1296&lt;TODAY(),$H1296&lt;&gt;"Completed",$H1296&lt;&gt;"Cancelled"),"Overdue","On Track"))</f>
        <v/>
      </c>
      <c r="R1296" s="81" t="n"/>
      <c r="S1296" s="81">
        <f>IF($B1296="","",IFERROR(INDEX(Task_Tracker!$AA$5:$AA$1004,MATCH($B1296,Task_Tracker!$A$5:$A$1004,0)),""))</f>
        <v/>
      </c>
      <c r="T1296" s="81">
        <f>IF($B1296="","",IFERROR(INDEX(Task_Tracker!$AB$5:$AB$1004,MATCH($B1296,Task_Tracker!$A$5:$A$1004,0)),""))</f>
        <v/>
      </c>
      <c r="U1296" s="78">
        <f>IF($B1296="","",IFERROR(INDEX(Task_Tracker!$F$5:$F$1004,MATCH($B1296,Task_Tracker!$A$5:$A$1004,0)),""))</f>
        <v/>
      </c>
      <c r="V1296" s="78">
        <f>IF($B1296="","",IFERROR(INDEX(Task_Tracker!$I$5:$I$1004,MATCH($B1296,Task_Tracker!$A$5:$A$1004,0)),""))</f>
        <v/>
      </c>
      <c r="W1296" s="81">
        <f>IF(OR($D1296="",$B1296=""),"",$D1296&amp;" | "&amp;$B1296)</f>
        <v/>
      </c>
      <c r="X1296" s="85">
        <f>IF($K1296="","",TEXT($K1296,"yyyy-mm"))</f>
        <v/>
      </c>
      <c r="Y1296" s="81">
        <f>IF(OR($A1296="",$T1296=""),"","Included in Manager_Report")</f>
        <v/>
      </c>
    </row>
    <row r="1297" ht="15" customHeight="1" s="40">
      <c r="A1297" s="65">
        <f>IF(COUNTA(B1297:G1297)=0,"","STP-"&amp;TEXT(ROW()-4,"0000"))</f>
        <v/>
      </c>
      <c r="B1297" s="78" t="n"/>
      <c r="C1297" s="67">
        <f>IF($B1297="","",IFERROR(INDEX(Task_Tracker!$D$5:$D$1004,MATCH($B1297,Task_Tracker!$A$5:$A$1004,0)),""))</f>
        <v/>
      </c>
      <c r="D1297" s="67">
        <f>IF($B1297="","",IFERROR(INDEX(Task_Tracker!$B$5:$B$1004,MATCH($B1297,Task_Tracker!$A$5:$A$1004,0)),""))</f>
        <v/>
      </c>
      <c r="E1297" s="81" t="n"/>
      <c r="F1297" s="81" t="n"/>
      <c r="G1297" s="78" t="n"/>
      <c r="H1297" s="78" t="n"/>
      <c r="I1297" s="67">
        <f>IF($H1297="","",IFERROR(INDEX(Action_Status_Map!$B$5:$B$11,MATCH($H1297,Action_Status_Map!$A$5:$A$11,0)),""))</f>
        <v/>
      </c>
      <c r="J1297" s="82" t="n"/>
      <c r="K1297" s="82" t="n"/>
      <c r="L1297" s="82" t="n"/>
      <c r="M1297" s="83" t="n"/>
      <c r="N1297" s="83" t="n"/>
      <c r="O1297" s="66">
        <f>IF(OR($M1297="",$N1297=""),"",$N1297-$M1297)</f>
        <v/>
      </c>
      <c r="P1297" s="84">
        <f>IF($J1297="","",IF($L1297&lt;&gt;"",$L1297-$J1297,TODAY()-$J1297))</f>
        <v/>
      </c>
      <c r="Q1297" s="85">
        <f>IF(OR($K1297="",$H1297="Completed",$H1297="Cancelled"),"",IF(AND($K1297&lt;TODAY(),$H1297&lt;&gt;"Completed",$H1297&lt;&gt;"Cancelled"),"Overdue","On Track"))</f>
        <v/>
      </c>
      <c r="R1297" s="81" t="n"/>
      <c r="S1297" s="81">
        <f>IF($B1297="","",IFERROR(INDEX(Task_Tracker!$AA$5:$AA$1004,MATCH($B1297,Task_Tracker!$A$5:$A$1004,0)),""))</f>
        <v/>
      </c>
      <c r="T1297" s="81">
        <f>IF($B1297="","",IFERROR(INDEX(Task_Tracker!$AB$5:$AB$1004,MATCH($B1297,Task_Tracker!$A$5:$A$1004,0)),""))</f>
        <v/>
      </c>
      <c r="U1297" s="78">
        <f>IF($B1297="","",IFERROR(INDEX(Task_Tracker!$F$5:$F$1004,MATCH($B1297,Task_Tracker!$A$5:$A$1004,0)),""))</f>
        <v/>
      </c>
      <c r="V1297" s="78">
        <f>IF($B1297="","",IFERROR(INDEX(Task_Tracker!$I$5:$I$1004,MATCH($B1297,Task_Tracker!$A$5:$A$1004,0)),""))</f>
        <v/>
      </c>
      <c r="W1297" s="81">
        <f>IF(OR($D1297="",$B1297=""),"",$D1297&amp;" | "&amp;$B1297)</f>
        <v/>
      </c>
      <c r="X1297" s="85">
        <f>IF($K1297="","",TEXT($K1297,"yyyy-mm"))</f>
        <v/>
      </c>
      <c r="Y1297" s="81">
        <f>IF(OR($A1297="",$T1297=""),"","Included in Manager_Report")</f>
        <v/>
      </c>
    </row>
    <row r="1298" ht="15" customHeight="1" s="40">
      <c r="A1298" s="65">
        <f>IF(COUNTA(B1298:G1298)=0,"","STP-"&amp;TEXT(ROW()-4,"0000"))</f>
        <v/>
      </c>
      <c r="B1298" s="78" t="n"/>
      <c r="C1298" s="67">
        <f>IF($B1298="","",IFERROR(INDEX(Task_Tracker!$D$5:$D$1004,MATCH($B1298,Task_Tracker!$A$5:$A$1004,0)),""))</f>
        <v/>
      </c>
      <c r="D1298" s="67">
        <f>IF($B1298="","",IFERROR(INDEX(Task_Tracker!$B$5:$B$1004,MATCH($B1298,Task_Tracker!$A$5:$A$1004,0)),""))</f>
        <v/>
      </c>
      <c r="E1298" s="81" t="n"/>
      <c r="F1298" s="81" t="n"/>
      <c r="G1298" s="78" t="n"/>
      <c r="H1298" s="78" t="n"/>
      <c r="I1298" s="67">
        <f>IF($H1298="","",IFERROR(INDEX(Action_Status_Map!$B$5:$B$11,MATCH($H1298,Action_Status_Map!$A$5:$A$11,0)),""))</f>
        <v/>
      </c>
      <c r="J1298" s="82" t="n"/>
      <c r="K1298" s="82" t="n"/>
      <c r="L1298" s="82" t="n"/>
      <c r="M1298" s="83" t="n"/>
      <c r="N1298" s="83" t="n"/>
      <c r="O1298" s="66">
        <f>IF(OR($M1298="",$N1298=""),"",$N1298-$M1298)</f>
        <v/>
      </c>
      <c r="P1298" s="84">
        <f>IF($J1298="","",IF($L1298&lt;&gt;"",$L1298-$J1298,TODAY()-$J1298))</f>
        <v/>
      </c>
      <c r="Q1298" s="85">
        <f>IF(OR($K1298="",$H1298="Completed",$H1298="Cancelled"),"",IF(AND($K1298&lt;TODAY(),$H1298&lt;&gt;"Completed",$H1298&lt;&gt;"Cancelled"),"Overdue","On Track"))</f>
        <v/>
      </c>
      <c r="R1298" s="81" t="n"/>
      <c r="S1298" s="81">
        <f>IF($B1298="","",IFERROR(INDEX(Task_Tracker!$AA$5:$AA$1004,MATCH($B1298,Task_Tracker!$A$5:$A$1004,0)),""))</f>
        <v/>
      </c>
      <c r="T1298" s="81">
        <f>IF($B1298="","",IFERROR(INDEX(Task_Tracker!$AB$5:$AB$1004,MATCH($B1298,Task_Tracker!$A$5:$A$1004,0)),""))</f>
        <v/>
      </c>
      <c r="U1298" s="78">
        <f>IF($B1298="","",IFERROR(INDEX(Task_Tracker!$F$5:$F$1004,MATCH($B1298,Task_Tracker!$A$5:$A$1004,0)),""))</f>
        <v/>
      </c>
      <c r="V1298" s="78">
        <f>IF($B1298="","",IFERROR(INDEX(Task_Tracker!$I$5:$I$1004,MATCH($B1298,Task_Tracker!$A$5:$A$1004,0)),""))</f>
        <v/>
      </c>
      <c r="W1298" s="81">
        <f>IF(OR($D1298="",$B1298=""),"",$D1298&amp;" | "&amp;$B1298)</f>
        <v/>
      </c>
      <c r="X1298" s="85">
        <f>IF($K1298="","",TEXT($K1298,"yyyy-mm"))</f>
        <v/>
      </c>
      <c r="Y1298" s="81">
        <f>IF(OR($A1298="",$T1298=""),"","Included in Manager_Report")</f>
        <v/>
      </c>
    </row>
    <row r="1299" ht="15" customHeight="1" s="40">
      <c r="A1299" s="65">
        <f>IF(COUNTA(B1299:G1299)=0,"","STP-"&amp;TEXT(ROW()-4,"0000"))</f>
        <v/>
      </c>
      <c r="B1299" s="78" t="n"/>
      <c r="C1299" s="67">
        <f>IF($B1299="","",IFERROR(INDEX(Task_Tracker!$D$5:$D$1004,MATCH($B1299,Task_Tracker!$A$5:$A$1004,0)),""))</f>
        <v/>
      </c>
      <c r="D1299" s="67">
        <f>IF($B1299="","",IFERROR(INDEX(Task_Tracker!$B$5:$B$1004,MATCH($B1299,Task_Tracker!$A$5:$A$1004,0)),""))</f>
        <v/>
      </c>
      <c r="E1299" s="81" t="n"/>
      <c r="F1299" s="81" t="n"/>
      <c r="G1299" s="78" t="n"/>
      <c r="H1299" s="78" t="n"/>
      <c r="I1299" s="67">
        <f>IF($H1299="","",IFERROR(INDEX(Action_Status_Map!$B$5:$B$11,MATCH($H1299,Action_Status_Map!$A$5:$A$11,0)),""))</f>
        <v/>
      </c>
      <c r="J1299" s="82" t="n"/>
      <c r="K1299" s="82" t="n"/>
      <c r="L1299" s="82" t="n"/>
      <c r="M1299" s="83" t="n"/>
      <c r="N1299" s="83" t="n"/>
      <c r="O1299" s="66">
        <f>IF(OR($M1299="",$N1299=""),"",$N1299-$M1299)</f>
        <v/>
      </c>
      <c r="P1299" s="84">
        <f>IF($J1299="","",IF($L1299&lt;&gt;"",$L1299-$J1299,TODAY()-$J1299))</f>
        <v/>
      </c>
      <c r="Q1299" s="85">
        <f>IF(OR($K1299="",$H1299="Completed",$H1299="Cancelled"),"",IF(AND($K1299&lt;TODAY(),$H1299&lt;&gt;"Completed",$H1299&lt;&gt;"Cancelled"),"Overdue","On Track"))</f>
        <v/>
      </c>
      <c r="R1299" s="81" t="n"/>
      <c r="S1299" s="81">
        <f>IF($B1299="","",IFERROR(INDEX(Task_Tracker!$AA$5:$AA$1004,MATCH($B1299,Task_Tracker!$A$5:$A$1004,0)),""))</f>
        <v/>
      </c>
      <c r="T1299" s="81">
        <f>IF($B1299="","",IFERROR(INDEX(Task_Tracker!$AB$5:$AB$1004,MATCH($B1299,Task_Tracker!$A$5:$A$1004,0)),""))</f>
        <v/>
      </c>
      <c r="U1299" s="78">
        <f>IF($B1299="","",IFERROR(INDEX(Task_Tracker!$F$5:$F$1004,MATCH($B1299,Task_Tracker!$A$5:$A$1004,0)),""))</f>
        <v/>
      </c>
      <c r="V1299" s="78">
        <f>IF($B1299="","",IFERROR(INDEX(Task_Tracker!$I$5:$I$1004,MATCH($B1299,Task_Tracker!$A$5:$A$1004,0)),""))</f>
        <v/>
      </c>
      <c r="W1299" s="81">
        <f>IF(OR($D1299="",$B1299=""),"",$D1299&amp;" | "&amp;$B1299)</f>
        <v/>
      </c>
      <c r="X1299" s="85">
        <f>IF($K1299="","",TEXT($K1299,"yyyy-mm"))</f>
        <v/>
      </c>
      <c r="Y1299" s="81">
        <f>IF(OR($A1299="",$T1299=""),"","Included in Manager_Report")</f>
        <v/>
      </c>
    </row>
    <row r="1300" ht="15" customHeight="1" s="40">
      <c r="A1300" s="65">
        <f>IF(COUNTA(B1300:G1300)=0,"","STP-"&amp;TEXT(ROW()-4,"0000"))</f>
        <v/>
      </c>
      <c r="B1300" s="78" t="n"/>
      <c r="C1300" s="67">
        <f>IF($B1300="","",IFERROR(INDEX(Task_Tracker!$D$5:$D$1004,MATCH($B1300,Task_Tracker!$A$5:$A$1004,0)),""))</f>
        <v/>
      </c>
      <c r="D1300" s="67">
        <f>IF($B1300="","",IFERROR(INDEX(Task_Tracker!$B$5:$B$1004,MATCH($B1300,Task_Tracker!$A$5:$A$1004,0)),""))</f>
        <v/>
      </c>
      <c r="E1300" s="81" t="n"/>
      <c r="F1300" s="81" t="n"/>
      <c r="G1300" s="78" t="n"/>
      <c r="H1300" s="78" t="n"/>
      <c r="I1300" s="67">
        <f>IF($H1300="","",IFERROR(INDEX(Action_Status_Map!$B$5:$B$11,MATCH($H1300,Action_Status_Map!$A$5:$A$11,0)),""))</f>
        <v/>
      </c>
      <c r="J1300" s="82" t="n"/>
      <c r="K1300" s="82" t="n"/>
      <c r="L1300" s="82" t="n"/>
      <c r="M1300" s="83" t="n"/>
      <c r="N1300" s="83" t="n"/>
      <c r="O1300" s="66">
        <f>IF(OR($M1300="",$N1300=""),"",$N1300-$M1300)</f>
        <v/>
      </c>
      <c r="P1300" s="84">
        <f>IF($J1300="","",IF($L1300&lt;&gt;"",$L1300-$J1300,TODAY()-$J1300))</f>
        <v/>
      </c>
      <c r="Q1300" s="85">
        <f>IF(OR($K1300="",$H1300="Completed",$H1300="Cancelled"),"",IF(AND($K1300&lt;TODAY(),$H1300&lt;&gt;"Completed",$H1300&lt;&gt;"Cancelled"),"Overdue","On Track"))</f>
        <v/>
      </c>
      <c r="R1300" s="81" t="n"/>
      <c r="S1300" s="81">
        <f>IF($B1300="","",IFERROR(INDEX(Task_Tracker!$AA$5:$AA$1004,MATCH($B1300,Task_Tracker!$A$5:$A$1004,0)),""))</f>
        <v/>
      </c>
      <c r="T1300" s="81">
        <f>IF($B1300="","",IFERROR(INDEX(Task_Tracker!$AB$5:$AB$1004,MATCH($B1300,Task_Tracker!$A$5:$A$1004,0)),""))</f>
        <v/>
      </c>
      <c r="U1300" s="78">
        <f>IF($B1300="","",IFERROR(INDEX(Task_Tracker!$F$5:$F$1004,MATCH($B1300,Task_Tracker!$A$5:$A$1004,0)),""))</f>
        <v/>
      </c>
      <c r="V1300" s="78">
        <f>IF($B1300="","",IFERROR(INDEX(Task_Tracker!$I$5:$I$1004,MATCH($B1300,Task_Tracker!$A$5:$A$1004,0)),""))</f>
        <v/>
      </c>
      <c r="W1300" s="81">
        <f>IF(OR($D1300="",$B1300=""),"",$D1300&amp;" | "&amp;$B1300)</f>
        <v/>
      </c>
      <c r="X1300" s="85">
        <f>IF($K1300="","",TEXT($K1300,"yyyy-mm"))</f>
        <v/>
      </c>
      <c r="Y1300" s="81">
        <f>IF(OR($A1300="",$T1300=""),"","Included in Manager_Report")</f>
        <v/>
      </c>
    </row>
    <row r="1301" ht="15" customHeight="1" s="40">
      <c r="A1301" s="65">
        <f>IF(COUNTA(B1301:G1301)=0,"","STP-"&amp;TEXT(ROW()-4,"0000"))</f>
        <v/>
      </c>
      <c r="B1301" s="78" t="n"/>
      <c r="C1301" s="67">
        <f>IF($B1301="","",IFERROR(INDEX(Task_Tracker!$D$5:$D$1004,MATCH($B1301,Task_Tracker!$A$5:$A$1004,0)),""))</f>
        <v/>
      </c>
      <c r="D1301" s="67">
        <f>IF($B1301="","",IFERROR(INDEX(Task_Tracker!$B$5:$B$1004,MATCH($B1301,Task_Tracker!$A$5:$A$1004,0)),""))</f>
        <v/>
      </c>
      <c r="E1301" s="81" t="n"/>
      <c r="F1301" s="81" t="n"/>
      <c r="G1301" s="78" t="n"/>
      <c r="H1301" s="78" t="n"/>
      <c r="I1301" s="67">
        <f>IF($H1301="","",IFERROR(INDEX(Action_Status_Map!$B$5:$B$11,MATCH($H1301,Action_Status_Map!$A$5:$A$11,0)),""))</f>
        <v/>
      </c>
      <c r="J1301" s="82" t="n"/>
      <c r="K1301" s="82" t="n"/>
      <c r="L1301" s="82" t="n"/>
      <c r="M1301" s="83" t="n"/>
      <c r="N1301" s="83" t="n"/>
      <c r="O1301" s="66">
        <f>IF(OR($M1301="",$N1301=""),"",$N1301-$M1301)</f>
        <v/>
      </c>
      <c r="P1301" s="84">
        <f>IF($J1301="","",IF($L1301&lt;&gt;"",$L1301-$J1301,TODAY()-$J1301))</f>
        <v/>
      </c>
      <c r="Q1301" s="85">
        <f>IF(OR($K1301="",$H1301="Completed",$H1301="Cancelled"),"",IF(AND($K1301&lt;TODAY(),$H1301&lt;&gt;"Completed",$H1301&lt;&gt;"Cancelled"),"Overdue","On Track"))</f>
        <v/>
      </c>
      <c r="R1301" s="81" t="n"/>
      <c r="S1301" s="81">
        <f>IF($B1301="","",IFERROR(INDEX(Task_Tracker!$AA$5:$AA$1004,MATCH($B1301,Task_Tracker!$A$5:$A$1004,0)),""))</f>
        <v/>
      </c>
      <c r="T1301" s="81">
        <f>IF($B1301="","",IFERROR(INDEX(Task_Tracker!$AB$5:$AB$1004,MATCH($B1301,Task_Tracker!$A$5:$A$1004,0)),""))</f>
        <v/>
      </c>
      <c r="U1301" s="78">
        <f>IF($B1301="","",IFERROR(INDEX(Task_Tracker!$F$5:$F$1004,MATCH($B1301,Task_Tracker!$A$5:$A$1004,0)),""))</f>
        <v/>
      </c>
      <c r="V1301" s="78">
        <f>IF($B1301="","",IFERROR(INDEX(Task_Tracker!$I$5:$I$1004,MATCH($B1301,Task_Tracker!$A$5:$A$1004,0)),""))</f>
        <v/>
      </c>
      <c r="W1301" s="81">
        <f>IF(OR($D1301="",$B1301=""),"",$D1301&amp;" | "&amp;$B1301)</f>
        <v/>
      </c>
      <c r="X1301" s="85">
        <f>IF($K1301="","",TEXT($K1301,"yyyy-mm"))</f>
        <v/>
      </c>
      <c r="Y1301" s="81">
        <f>IF(OR($A1301="",$T1301=""),"","Included in Manager_Report")</f>
        <v/>
      </c>
    </row>
    <row r="1302" ht="15" customHeight="1" s="40">
      <c r="A1302" s="65">
        <f>IF(COUNTA(B1302:G1302)=0,"","STP-"&amp;TEXT(ROW()-4,"0000"))</f>
        <v/>
      </c>
      <c r="B1302" s="78" t="n"/>
      <c r="C1302" s="67">
        <f>IF($B1302="","",IFERROR(INDEX(Task_Tracker!$D$5:$D$1004,MATCH($B1302,Task_Tracker!$A$5:$A$1004,0)),""))</f>
        <v/>
      </c>
      <c r="D1302" s="67">
        <f>IF($B1302="","",IFERROR(INDEX(Task_Tracker!$B$5:$B$1004,MATCH($B1302,Task_Tracker!$A$5:$A$1004,0)),""))</f>
        <v/>
      </c>
      <c r="E1302" s="81" t="n"/>
      <c r="F1302" s="81" t="n"/>
      <c r="G1302" s="78" t="n"/>
      <c r="H1302" s="78" t="n"/>
      <c r="I1302" s="67">
        <f>IF($H1302="","",IFERROR(INDEX(Action_Status_Map!$B$5:$B$11,MATCH($H1302,Action_Status_Map!$A$5:$A$11,0)),""))</f>
        <v/>
      </c>
      <c r="J1302" s="82" t="n"/>
      <c r="K1302" s="82" t="n"/>
      <c r="L1302" s="82" t="n"/>
      <c r="M1302" s="83" t="n"/>
      <c r="N1302" s="83" t="n"/>
      <c r="O1302" s="66">
        <f>IF(OR($M1302="",$N1302=""),"",$N1302-$M1302)</f>
        <v/>
      </c>
      <c r="P1302" s="84">
        <f>IF($J1302="","",IF($L1302&lt;&gt;"",$L1302-$J1302,TODAY()-$J1302))</f>
        <v/>
      </c>
      <c r="Q1302" s="85">
        <f>IF(OR($K1302="",$H1302="Completed",$H1302="Cancelled"),"",IF(AND($K1302&lt;TODAY(),$H1302&lt;&gt;"Completed",$H1302&lt;&gt;"Cancelled"),"Overdue","On Track"))</f>
        <v/>
      </c>
      <c r="R1302" s="81" t="n"/>
      <c r="S1302" s="81">
        <f>IF($B1302="","",IFERROR(INDEX(Task_Tracker!$AA$5:$AA$1004,MATCH($B1302,Task_Tracker!$A$5:$A$1004,0)),""))</f>
        <v/>
      </c>
      <c r="T1302" s="81">
        <f>IF($B1302="","",IFERROR(INDEX(Task_Tracker!$AB$5:$AB$1004,MATCH($B1302,Task_Tracker!$A$5:$A$1004,0)),""))</f>
        <v/>
      </c>
      <c r="U1302" s="78">
        <f>IF($B1302="","",IFERROR(INDEX(Task_Tracker!$F$5:$F$1004,MATCH($B1302,Task_Tracker!$A$5:$A$1004,0)),""))</f>
        <v/>
      </c>
      <c r="V1302" s="78">
        <f>IF($B1302="","",IFERROR(INDEX(Task_Tracker!$I$5:$I$1004,MATCH($B1302,Task_Tracker!$A$5:$A$1004,0)),""))</f>
        <v/>
      </c>
      <c r="W1302" s="81">
        <f>IF(OR($D1302="",$B1302=""),"",$D1302&amp;" | "&amp;$B1302)</f>
        <v/>
      </c>
      <c r="X1302" s="85">
        <f>IF($K1302="","",TEXT($K1302,"yyyy-mm"))</f>
        <v/>
      </c>
      <c r="Y1302" s="81">
        <f>IF(OR($A1302="",$T1302=""),"","Included in Manager_Report")</f>
        <v/>
      </c>
    </row>
    <row r="1303" ht="15" customHeight="1" s="40">
      <c r="A1303" s="65">
        <f>IF(COUNTA(B1303:G1303)=0,"","STP-"&amp;TEXT(ROW()-4,"0000"))</f>
        <v/>
      </c>
      <c r="B1303" s="78" t="n"/>
      <c r="C1303" s="67">
        <f>IF($B1303="","",IFERROR(INDEX(Task_Tracker!$D$5:$D$1004,MATCH($B1303,Task_Tracker!$A$5:$A$1004,0)),""))</f>
        <v/>
      </c>
      <c r="D1303" s="67">
        <f>IF($B1303="","",IFERROR(INDEX(Task_Tracker!$B$5:$B$1004,MATCH($B1303,Task_Tracker!$A$5:$A$1004,0)),""))</f>
        <v/>
      </c>
      <c r="E1303" s="81" t="n"/>
      <c r="F1303" s="81" t="n"/>
      <c r="G1303" s="78" t="n"/>
      <c r="H1303" s="78" t="n"/>
      <c r="I1303" s="67">
        <f>IF($H1303="","",IFERROR(INDEX(Action_Status_Map!$B$5:$B$11,MATCH($H1303,Action_Status_Map!$A$5:$A$11,0)),""))</f>
        <v/>
      </c>
      <c r="J1303" s="82" t="n"/>
      <c r="K1303" s="82" t="n"/>
      <c r="L1303" s="82" t="n"/>
      <c r="M1303" s="83" t="n"/>
      <c r="N1303" s="83" t="n"/>
      <c r="O1303" s="66">
        <f>IF(OR($M1303="",$N1303=""),"",$N1303-$M1303)</f>
        <v/>
      </c>
      <c r="P1303" s="84">
        <f>IF($J1303="","",IF($L1303&lt;&gt;"",$L1303-$J1303,TODAY()-$J1303))</f>
        <v/>
      </c>
      <c r="Q1303" s="85">
        <f>IF(OR($K1303="",$H1303="Completed",$H1303="Cancelled"),"",IF(AND($K1303&lt;TODAY(),$H1303&lt;&gt;"Completed",$H1303&lt;&gt;"Cancelled"),"Overdue","On Track"))</f>
        <v/>
      </c>
      <c r="R1303" s="81" t="n"/>
      <c r="S1303" s="81">
        <f>IF($B1303="","",IFERROR(INDEX(Task_Tracker!$AA$5:$AA$1004,MATCH($B1303,Task_Tracker!$A$5:$A$1004,0)),""))</f>
        <v/>
      </c>
      <c r="T1303" s="81">
        <f>IF($B1303="","",IFERROR(INDEX(Task_Tracker!$AB$5:$AB$1004,MATCH($B1303,Task_Tracker!$A$5:$A$1004,0)),""))</f>
        <v/>
      </c>
      <c r="U1303" s="78">
        <f>IF($B1303="","",IFERROR(INDEX(Task_Tracker!$F$5:$F$1004,MATCH($B1303,Task_Tracker!$A$5:$A$1004,0)),""))</f>
        <v/>
      </c>
      <c r="V1303" s="78">
        <f>IF($B1303="","",IFERROR(INDEX(Task_Tracker!$I$5:$I$1004,MATCH($B1303,Task_Tracker!$A$5:$A$1004,0)),""))</f>
        <v/>
      </c>
      <c r="W1303" s="81">
        <f>IF(OR($D1303="",$B1303=""),"",$D1303&amp;" | "&amp;$B1303)</f>
        <v/>
      </c>
      <c r="X1303" s="85">
        <f>IF($K1303="","",TEXT($K1303,"yyyy-mm"))</f>
        <v/>
      </c>
      <c r="Y1303" s="81">
        <f>IF(OR($A1303="",$T1303=""),"","Included in Manager_Report")</f>
        <v/>
      </c>
    </row>
    <row r="1304" ht="15" customHeight="1" s="40">
      <c r="A1304" s="65">
        <f>IF(COUNTA(B1304:G1304)=0,"","STP-"&amp;TEXT(ROW()-4,"0000"))</f>
        <v/>
      </c>
      <c r="B1304" s="78" t="n"/>
      <c r="C1304" s="67">
        <f>IF($B1304="","",IFERROR(INDEX(Task_Tracker!$D$5:$D$1004,MATCH($B1304,Task_Tracker!$A$5:$A$1004,0)),""))</f>
        <v/>
      </c>
      <c r="D1304" s="67">
        <f>IF($B1304="","",IFERROR(INDEX(Task_Tracker!$B$5:$B$1004,MATCH($B1304,Task_Tracker!$A$5:$A$1004,0)),""))</f>
        <v/>
      </c>
      <c r="E1304" s="81" t="n"/>
      <c r="F1304" s="81" t="n"/>
      <c r="G1304" s="78" t="n"/>
      <c r="H1304" s="78" t="n"/>
      <c r="I1304" s="67">
        <f>IF($H1304="","",IFERROR(INDEX(Action_Status_Map!$B$5:$B$11,MATCH($H1304,Action_Status_Map!$A$5:$A$11,0)),""))</f>
        <v/>
      </c>
      <c r="J1304" s="82" t="n"/>
      <c r="K1304" s="82" t="n"/>
      <c r="L1304" s="82" t="n"/>
      <c r="M1304" s="83" t="n"/>
      <c r="N1304" s="83" t="n"/>
      <c r="O1304" s="66">
        <f>IF(OR($M1304="",$N1304=""),"",$N1304-$M1304)</f>
        <v/>
      </c>
      <c r="P1304" s="84">
        <f>IF($J1304="","",IF($L1304&lt;&gt;"",$L1304-$J1304,TODAY()-$J1304))</f>
        <v/>
      </c>
      <c r="Q1304" s="85">
        <f>IF(OR($K1304="",$H1304="Completed",$H1304="Cancelled"),"",IF(AND($K1304&lt;TODAY(),$H1304&lt;&gt;"Completed",$H1304&lt;&gt;"Cancelled"),"Overdue","On Track"))</f>
        <v/>
      </c>
      <c r="R1304" s="81" t="n"/>
      <c r="S1304" s="81">
        <f>IF($B1304="","",IFERROR(INDEX(Task_Tracker!$AA$5:$AA$1004,MATCH($B1304,Task_Tracker!$A$5:$A$1004,0)),""))</f>
        <v/>
      </c>
      <c r="T1304" s="81">
        <f>IF($B1304="","",IFERROR(INDEX(Task_Tracker!$AB$5:$AB$1004,MATCH($B1304,Task_Tracker!$A$5:$A$1004,0)),""))</f>
        <v/>
      </c>
      <c r="U1304" s="78">
        <f>IF($B1304="","",IFERROR(INDEX(Task_Tracker!$F$5:$F$1004,MATCH($B1304,Task_Tracker!$A$5:$A$1004,0)),""))</f>
        <v/>
      </c>
      <c r="V1304" s="78">
        <f>IF($B1304="","",IFERROR(INDEX(Task_Tracker!$I$5:$I$1004,MATCH($B1304,Task_Tracker!$A$5:$A$1004,0)),""))</f>
        <v/>
      </c>
      <c r="W1304" s="81">
        <f>IF(OR($D1304="",$B1304=""),"",$D1304&amp;" | "&amp;$B1304)</f>
        <v/>
      </c>
      <c r="X1304" s="85">
        <f>IF($K1304="","",TEXT($K1304,"yyyy-mm"))</f>
        <v/>
      </c>
      <c r="Y1304" s="81">
        <f>IF(OR($A1304="",$T1304=""),"","Included in Manager_Report")</f>
        <v/>
      </c>
    </row>
    <row r="1305" ht="15" customHeight="1" s="40">
      <c r="A1305" s="65">
        <f>IF(COUNTA(B1305:G1305)=0,"","STP-"&amp;TEXT(ROW()-4,"0000"))</f>
        <v/>
      </c>
      <c r="B1305" s="78" t="n"/>
      <c r="C1305" s="67">
        <f>IF($B1305="","",IFERROR(INDEX(Task_Tracker!$D$5:$D$1004,MATCH($B1305,Task_Tracker!$A$5:$A$1004,0)),""))</f>
        <v/>
      </c>
      <c r="D1305" s="67">
        <f>IF($B1305="","",IFERROR(INDEX(Task_Tracker!$B$5:$B$1004,MATCH($B1305,Task_Tracker!$A$5:$A$1004,0)),""))</f>
        <v/>
      </c>
      <c r="E1305" s="81" t="n"/>
      <c r="F1305" s="81" t="n"/>
      <c r="G1305" s="78" t="n"/>
      <c r="H1305" s="78" t="n"/>
      <c r="I1305" s="67">
        <f>IF($H1305="","",IFERROR(INDEX(Action_Status_Map!$B$5:$B$11,MATCH($H1305,Action_Status_Map!$A$5:$A$11,0)),""))</f>
        <v/>
      </c>
      <c r="J1305" s="82" t="n"/>
      <c r="K1305" s="82" t="n"/>
      <c r="L1305" s="82" t="n"/>
      <c r="M1305" s="83" t="n"/>
      <c r="N1305" s="83" t="n"/>
      <c r="O1305" s="66">
        <f>IF(OR($M1305="",$N1305=""),"",$N1305-$M1305)</f>
        <v/>
      </c>
      <c r="P1305" s="84">
        <f>IF($J1305="","",IF($L1305&lt;&gt;"",$L1305-$J1305,TODAY()-$J1305))</f>
        <v/>
      </c>
      <c r="Q1305" s="85">
        <f>IF(OR($K1305="",$H1305="Completed",$H1305="Cancelled"),"",IF(AND($K1305&lt;TODAY(),$H1305&lt;&gt;"Completed",$H1305&lt;&gt;"Cancelled"),"Overdue","On Track"))</f>
        <v/>
      </c>
      <c r="R1305" s="81" t="n"/>
      <c r="S1305" s="81">
        <f>IF($B1305="","",IFERROR(INDEX(Task_Tracker!$AA$5:$AA$1004,MATCH($B1305,Task_Tracker!$A$5:$A$1004,0)),""))</f>
        <v/>
      </c>
      <c r="T1305" s="81">
        <f>IF($B1305="","",IFERROR(INDEX(Task_Tracker!$AB$5:$AB$1004,MATCH($B1305,Task_Tracker!$A$5:$A$1004,0)),""))</f>
        <v/>
      </c>
      <c r="U1305" s="78">
        <f>IF($B1305="","",IFERROR(INDEX(Task_Tracker!$F$5:$F$1004,MATCH($B1305,Task_Tracker!$A$5:$A$1004,0)),""))</f>
        <v/>
      </c>
      <c r="V1305" s="78">
        <f>IF($B1305="","",IFERROR(INDEX(Task_Tracker!$I$5:$I$1004,MATCH($B1305,Task_Tracker!$A$5:$A$1004,0)),""))</f>
        <v/>
      </c>
      <c r="W1305" s="81">
        <f>IF(OR($D1305="",$B1305=""),"",$D1305&amp;" | "&amp;$B1305)</f>
        <v/>
      </c>
      <c r="X1305" s="85">
        <f>IF($K1305="","",TEXT($K1305,"yyyy-mm"))</f>
        <v/>
      </c>
      <c r="Y1305" s="81">
        <f>IF(OR($A1305="",$T1305=""),"","Included in Manager_Report")</f>
        <v/>
      </c>
    </row>
    <row r="1306" ht="15" customHeight="1" s="40">
      <c r="A1306" s="65">
        <f>IF(COUNTA(B1306:G1306)=0,"","STP-"&amp;TEXT(ROW()-4,"0000"))</f>
        <v/>
      </c>
      <c r="B1306" s="78" t="n"/>
      <c r="C1306" s="67">
        <f>IF($B1306="","",IFERROR(INDEX(Task_Tracker!$D$5:$D$1004,MATCH($B1306,Task_Tracker!$A$5:$A$1004,0)),""))</f>
        <v/>
      </c>
      <c r="D1306" s="67">
        <f>IF($B1306="","",IFERROR(INDEX(Task_Tracker!$B$5:$B$1004,MATCH($B1306,Task_Tracker!$A$5:$A$1004,0)),""))</f>
        <v/>
      </c>
      <c r="E1306" s="81" t="n"/>
      <c r="F1306" s="81" t="n"/>
      <c r="G1306" s="78" t="n"/>
      <c r="H1306" s="78" t="n"/>
      <c r="I1306" s="67">
        <f>IF($H1306="","",IFERROR(INDEX(Action_Status_Map!$B$5:$B$11,MATCH($H1306,Action_Status_Map!$A$5:$A$11,0)),""))</f>
        <v/>
      </c>
      <c r="J1306" s="82" t="n"/>
      <c r="K1306" s="82" t="n"/>
      <c r="L1306" s="82" t="n"/>
      <c r="M1306" s="83" t="n"/>
      <c r="N1306" s="83" t="n"/>
      <c r="O1306" s="66">
        <f>IF(OR($M1306="",$N1306=""),"",$N1306-$M1306)</f>
        <v/>
      </c>
      <c r="P1306" s="84">
        <f>IF($J1306="","",IF($L1306&lt;&gt;"",$L1306-$J1306,TODAY()-$J1306))</f>
        <v/>
      </c>
      <c r="Q1306" s="85">
        <f>IF(OR($K1306="",$H1306="Completed",$H1306="Cancelled"),"",IF(AND($K1306&lt;TODAY(),$H1306&lt;&gt;"Completed",$H1306&lt;&gt;"Cancelled"),"Overdue","On Track"))</f>
        <v/>
      </c>
      <c r="R1306" s="81" t="n"/>
      <c r="S1306" s="81">
        <f>IF($B1306="","",IFERROR(INDEX(Task_Tracker!$AA$5:$AA$1004,MATCH($B1306,Task_Tracker!$A$5:$A$1004,0)),""))</f>
        <v/>
      </c>
      <c r="T1306" s="81">
        <f>IF($B1306="","",IFERROR(INDEX(Task_Tracker!$AB$5:$AB$1004,MATCH($B1306,Task_Tracker!$A$5:$A$1004,0)),""))</f>
        <v/>
      </c>
      <c r="U1306" s="78">
        <f>IF($B1306="","",IFERROR(INDEX(Task_Tracker!$F$5:$F$1004,MATCH($B1306,Task_Tracker!$A$5:$A$1004,0)),""))</f>
        <v/>
      </c>
      <c r="V1306" s="78">
        <f>IF($B1306="","",IFERROR(INDEX(Task_Tracker!$I$5:$I$1004,MATCH($B1306,Task_Tracker!$A$5:$A$1004,0)),""))</f>
        <v/>
      </c>
      <c r="W1306" s="81">
        <f>IF(OR($D1306="",$B1306=""),"",$D1306&amp;" | "&amp;$B1306)</f>
        <v/>
      </c>
      <c r="X1306" s="85">
        <f>IF($K1306="","",TEXT($K1306,"yyyy-mm"))</f>
        <v/>
      </c>
      <c r="Y1306" s="81">
        <f>IF(OR($A1306="",$T1306=""),"","Included in Manager_Report")</f>
        <v/>
      </c>
    </row>
    <row r="1307" ht="15" customHeight="1" s="40">
      <c r="A1307" s="65">
        <f>IF(COUNTA(B1307:G1307)=0,"","STP-"&amp;TEXT(ROW()-4,"0000"))</f>
        <v/>
      </c>
      <c r="B1307" s="78" t="n"/>
      <c r="C1307" s="67">
        <f>IF($B1307="","",IFERROR(INDEX(Task_Tracker!$D$5:$D$1004,MATCH($B1307,Task_Tracker!$A$5:$A$1004,0)),""))</f>
        <v/>
      </c>
      <c r="D1307" s="67">
        <f>IF($B1307="","",IFERROR(INDEX(Task_Tracker!$B$5:$B$1004,MATCH($B1307,Task_Tracker!$A$5:$A$1004,0)),""))</f>
        <v/>
      </c>
      <c r="E1307" s="81" t="n"/>
      <c r="F1307" s="81" t="n"/>
      <c r="G1307" s="78" t="n"/>
      <c r="H1307" s="78" t="n"/>
      <c r="I1307" s="67">
        <f>IF($H1307="","",IFERROR(INDEX(Action_Status_Map!$B$5:$B$11,MATCH($H1307,Action_Status_Map!$A$5:$A$11,0)),""))</f>
        <v/>
      </c>
      <c r="J1307" s="82" t="n"/>
      <c r="K1307" s="82" t="n"/>
      <c r="L1307" s="82" t="n"/>
      <c r="M1307" s="83" t="n"/>
      <c r="N1307" s="83" t="n"/>
      <c r="O1307" s="66">
        <f>IF(OR($M1307="",$N1307=""),"",$N1307-$M1307)</f>
        <v/>
      </c>
      <c r="P1307" s="84">
        <f>IF($J1307="","",IF($L1307&lt;&gt;"",$L1307-$J1307,TODAY()-$J1307))</f>
        <v/>
      </c>
      <c r="Q1307" s="85">
        <f>IF(OR($K1307="",$H1307="Completed",$H1307="Cancelled"),"",IF(AND($K1307&lt;TODAY(),$H1307&lt;&gt;"Completed",$H1307&lt;&gt;"Cancelled"),"Overdue","On Track"))</f>
        <v/>
      </c>
      <c r="R1307" s="81" t="n"/>
      <c r="S1307" s="81">
        <f>IF($B1307="","",IFERROR(INDEX(Task_Tracker!$AA$5:$AA$1004,MATCH($B1307,Task_Tracker!$A$5:$A$1004,0)),""))</f>
        <v/>
      </c>
      <c r="T1307" s="81">
        <f>IF($B1307="","",IFERROR(INDEX(Task_Tracker!$AB$5:$AB$1004,MATCH($B1307,Task_Tracker!$A$5:$A$1004,0)),""))</f>
        <v/>
      </c>
      <c r="U1307" s="78">
        <f>IF($B1307="","",IFERROR(INDEX(Task_Tracker!$F$5:$F$1004,MATCH($B1307,Task_Tracker!$A$5:$A$1004,0)),""))</f>
        <v/>
      </c>
      <c r="V1307" s="78">
        <f>IF($B1307="","",IFERROR(INDEX(Task_Tracker!$I$5:$I$1004,MATCH($B1307,Task_Tracker!$A$5:$A$1004,0)),""))</f>
        <v/>
      </c>
      <c r="W1307" s="81">
        <f>IF(OR($D1307="",$B1307=""),"",$D1307&amp;" | "&amp;$B1307)</f>
        <v/>
      </c>
      <c r="X1307" s="85">
        <f>IF($K1307="","",TEXT($K1307,"yyyy-mm"))</f>
        <v/>
      </c>
      <c r="Y1307" s="81">
        <f>IF(OR($A1307="",$T1307=""),"","Included in Manager_Report")</f>
        <v/>
      </c>
    </row>
    <row r="1308" ht="15" customHeight="1" s="40">
      <c r="A1308" s="65">
        <f>IF(COUNTA(B1308:G1308)=0,"","STP-"&amp;TEXT(ROW()-4,"0000"))</f>
        <v/>
      </c>
      <c r="B1308" s="78" t="n"/>
      <c r="C1308" s="67">
        <f>IF($B1308="","",IFERROR(INDEX(Task_Tracker!$D$5:$D$1004,MATCH($B1308,Task_Tracker!$A$5:$A$1004,0)),""))</f>
        <v/>
      </c>
      <c r="D1308" s="67">
        <f>IF($B1308="","",IFERROR(INDEX(Task_Tracker!$B$5:$B$1004,MATCH($B1308,Task_Tracker!$A$5:$A$1004,0)),""))</f>
        <v/>
      </c>
      <c r="E1308" s="81" t="n"/>
      <c r="F1308" s="81" t="n"/>
      <c r="G1308" s="78" t="n"/>
      <c r="H1308" s="78" t="n"/>
      <c r="I1308" s="67">
        <f>IF($H1308="","",IFERROR(INDEX(Action_Status_Map!$B$5:$B$11,MATCH($H1308,Action_Status_Map!$A$5:$A$11,0)),""))</f>
        <v/>
      </c>
      <c r="J1308" s="82" t="n"/>
      <c r="K1308" s="82" t="n"/>
      <c r="L1308" s="82" t="n"/>
      <c r="M1308" s="83" t="n"/>
      <c r="N1308" s="83" t="n"/>
      <c r="O1308" s="66">
        <f>IF(OR($M1308="",$N1308=""),"",$N1308-$M1308)</f>
        <v/>
      </c>
      <c r="P1308" s="84">
        <f>IF($J1308="","",IF($L1308&lt;&gt;"",$L1308-$J1308,TODAY()-$J1308))</f>
        <v/>
      </c>
      <c r="Q1308" s="85">
        <f>IF(OR($K1308="",$H1308="Completed",$H1308="Cancelled"),"",IF(AND($K1308&lt;TODAY(),$H1308&lt;&gt;"Completed",$H1308&lt;&gt;"Cancelled"),"Overdue","On Track"))</f>
        <v/>
      </c>
      <c r="R1308" s="81" t="n"/>
      <c r="S1308" s="81">
        <f>IF($B1308="","",IFERROR(INDEX(Task_Tracker!$AA$5:$AA$1004,MATCH($B1308,Task_Tracker!$A$5:$A$1004,0)),""))</f>
        <v/>
      </c>
      <c r="T1308" s="81">
        <f>IF($B1308="","",IFERROR(INDEX(Task_Tracker!$AB$5:$AB$1004,MATCH($B1308,Task_Tracker!$A$5:$A$1004,0)),""))</f>
        <v/>
      </c>
      <c r="U1308" s="78">
        <f>IF($B1308="","",IFERROR(INDEX(Task_Tracker!$F$5:$F$1004,MATCH($B1308,Task_Tracker!$A$5:$A$1004,0)),""))</f>
        <v/>
      </c>
      <c r="V1308" s="78">
        <f>IF($B1308="","",IFERROR(INDEX(Task_Tracker!$I$5:$I$1004,MATCH($B1308,Task_Tracker!$A$5:$A$1004,0)),""))</f>
        <v/>
      </c>
      <c r="W1308" s="81">
        <f>IF(OR($D1308="",$B1308=""),"",$D1308&amp;" | "&amp;$B1308)</f>
        <v/>
      </c>
      <c r="X1308" s="85">
        <f>IF($K1308="","",TEXT($K1308,"yyyy-mm"))</f>
        <v/>
      </c>
      <c r="Y1308" s="81">
        <f>IF(OR($A1308="",$T1308=""),"","Included in Manager_Report")</f>
        <v/>
      </c>
    </row>
    <row r="1309" ht="15" customHeight="1" s="40">
      <c r="A1309" s="65">
        <f>IF(COUNTA(B1309:G1309)=0,"","STP-"&amp;TEXT(ROW()-4,"0000"))</f>
        <v/>
      </c>
      <c r="B1309" s="78" t="n"/>
      <c r="C1309" s="67">
        <f>IF($B1309="","",IFERROR(INDEX(Task_Tracker!$D$5:$D$1004,MATCH($B1309,Task_Tracker!$A$5:$A$1004,0)),""))</f>
        <v/>
      </c>
      <c r="D1309" s="67">
        <f>IF($B1309="","",IFERROR(INDEX(Task_Tracker!$B$5:$B$1004,MATCH($B1309,Task_Tracker!$A$5:$A$1004,0)),""))</f>
        <v/>
      </c>
      <c r="E1309" s="81" t="n"/>
      <c r="F1309" s="81" t="n"/>
      <c r="G1309" s="78" t="n"/>
      <c r="H1309" s="78" t="n"/>
      <c r="I1309" s="67">
        <f>IF($H1309="","",IFERROR(INDEX(Action_Status_Map!$B$5:$B$11,MATCH($H1309,Action_Status_Map!$A$5:$A$11,0)),""))</f>
        <v/>
      </c>
      <c r="J1309" s="82" t="n"/>
      <c r="K1309" s="82" t="n"/>
      <c r="L1309" s="82" t="n"/>
      <c r="M1309" s="83" t="n"/>
      <c r="N1309" s="83" t="n"/>
      <c r="O1309" s="66">
        <f>IF(OR($M1309="",$N1309=""),"",$N1309-$M1309)</f>
        <v/>
      </c>
      <c r="P1309" s="84">
        <f>IF($J1309="","",IF($L1309&lt;&gt;"",$L1309-$J1309,TODAY()-$J1309))</f>
        <v/>
      </c>
      <c r="Q1309" s="85">
        <f>IF(OR($K1309="",$H1309="Completed",$H1309="Cancelled"),"",IF(AND($K1309&lt;TODAY(),$H1309&lt;&gt;"Completed",$H1309&lt;&gt;"Cancelled"),"Overdue","On Track"))</f>
        <v/>
      </c>
      <c r="R1309" s="81" t="n"/>
      <c r="S1309" s="81">
        <f>IF($B1309="","",IFERROR(INDEX(Task_Tracker!$AA$5:$AA$1004,MATCH($B1309,Task_Tracker!$A$5:$A$1004,0)),""))</f>
        <v/>
      </c>
      <c r="T1309" s="81">
        <f>IF($B1309="","",IFERROR(INDEX(Task_Tracker!$AB$5:$AB$1004,MATCH($B1309,Task_Tracker!$A$5:$A$1004,0)),""))</f>
        <v/>
      </c>
      <c r="U1309" s="78">
        <f>IF($B1309="","",IFERROR(INDEX(Task_Tracker!$F$5:$F$1004,MATCH($B1309,Task_Tracker!$A$5:$A$1004,0)),""))</f>
        <v/>
      </c>
      <c r="V1309" s="78">
        <f>IF($B1309="","",IFERROR(INDEX(Task_Tracker!$I$5:$I$1004,MATCH($B1309,Task_Tracker!$A$5:$A$1004,0)),""))</f>
        <v/>
      </c>
      <c r="W1309" s="81">
        <f>IF(OR($D1309="",$B1309=""),"",$D1309&amp;" | "&amp;$B1309)</f>
        <v/>
      </c>
      <c r="X1309" s="85">
        <f>IF($K1309="","",TEXT($K1309,"yyyy-mm"))</f>
        <v/>
      </c>
      <c r="Y1309" s="81">
        <f>IF(OR($A1309="",$T1309=""),"","Included in Manager_Report")</f>
        <v/>
      </c>
    </row>
    <row r="1310" ht="15" customHeight="1" s="40">
      <c r="A1310" s="65">
        <f>IF(COUNTA(B1310:G1310)=0,"","STP-"&amp;TEXT(ROW()-4,"0000"))</f>
        <v/>
      </c>
      <c r="B1310" s="78" t="n"/>
      <c r="C1310" s="67">
        <f>IF($B1310="","",IFERROR(INDEX(Task_Tracker!$D$5:$D$1004,MATCH($B1310,Task_Tracker!$A$5:$A$1004,0)),""))</f>
        <v/>
      </c>
      <c r="D1310" s="67">
        <f>IF($B1310="","",IFERROR(INDEX(Task_Tracker!$B$5:$B$1004,MATCH($B1310,Task_Tracker!$A$5:$A$1004,0)),""))</f>
        <v/>
      </c>
      <c r="E1310" s="81" t="n"/>
      <c r="F1310" s="81" t="n"/>
      <c r="G1310" s="78" t="n"/>
      <c r="H1310" s="78" t="n"/>
      <c r="I1310" s="67">
        <f>IF($H1310="","",IFERROR(INDEX(Action_Status_Map!$B$5:$B$11,MATCH($H1310,Action_Status_Map!$A$5:$A$11,0)),""))</f>
        <v/>
      </c>
      <c r="J1310" s="82" t="n"/>
      <c r="K1310" s="82" t="n"/>
      <c r="L1310" s="82" t="n"/>
      <c r="M1310" s="83" t="n"/>
      <c r="N1310" s="83" t="n"/>
      <c r="O1310" s="66">
        <f>IF(OR($M1310="",$N1310=""),"",$N1310-$M1310)</f>
        <v/>
      </c>
      <c r="P1310" s="84">
        <f>IF($J1310="","",IF($L1310&lt;&gt;"",$L1310-$J1310,TODAY()-$J1310))</f>
        <v/>
      </c>
      <c r="Q1310" s="85">
        <f>IF(OR($K1310="",$H1310="Completed",$H1310="Cancelled"),"",IF(AND($K1310&lt;TODAY(),$H1310&lt;&gt;"Completed",$H1310&lt;&gt;"Cancelled"),"Overdue","On Track"))</f>
        <v/>
      </c>
      <c r="R1310" s="81" t="n"/>
      <c r="S1310" s="81">
        <f>IF($B1310="","",IFERROR(INDEX(Task_Tracker!$AA$5:$AA$1004,MATCH($B1310,Task_Tracker!$A$5:$A$1004,0)),""))</f>
        <v/>
      </c>
      <c r="T1310" s="81">
        <f>IF($B1310="","",IFERROR(INDEX(Task_Tracker!$AB$5:$AB$1004,MATCH($B1310,Task_Tracker!$A$5:$A$1004,0)),""))</f>
        <v/>
      </c>
      <c r="U1310" s="78">
        <f>IF($B1310="","",IFERROR(INDEX(Task_Tracker!$F$5:$F$1004,MATCH($B1310,Task_Tracker!$A$5:$A$1004,0)),""))</f>
        <v/>
      </c>
      <c r="V1310" s="78">
        <f>IF($B1310="","",IFERROR(INDEX(Task_Tracker!$I$5:$I$1004,MATCH($B1310,Task_Tracker!$A$5:$A$1004,0)),""))</f>
        <v/>
      </c>
      <c r="W1310" s="81">
        <f>IF(OR($D1310="",$B1310=""),"",$D1310&amp;" | "&amp;$B1310)</f>
        <v/>
      </c>
      <c r="X1310" s="85">
        <f>IF($K1310="","",TEXT($K1310,"yyyy-mm"))</f>
        <v/>
      </c>
      <c r="Y1310" s="81">
        <f>IF(OR($A1310="",$T1310=""),"","Included in Manager_Report")</f>
        <v/>
      </c>
    </row>
    <row r="1311" ht="15" customHeight="1" s="40">
      <c r="A1311" s="65">
        <f>IF(COUNTA(B1311:G1311)=0,"","STP-"&amp;TEXT(ROW()-4,"0000"))</f>
        <v/>
      </c>
      <c r="B1311" s="78" t="n"/>
      <c r="C1311" s="67">
        <f>IF($B1311="","",IFERROR(INDEX(Task_Tracker!$D$5:$D$1004,MATCH($B1311,Task_Tracker!$A$5:$A$1004,0)),""))</f>
        <v/>
      </c>
      <c r="D1311" s="67">
        <f>IF($B1311="","",IFERROR(INDEX(Task_Tracker!$B$5:$B$1004,MATCH($B1311,Task_Tracker!$A$5:$A$1004,0)),""))</f>
        <v/>
      </c>
      <c r="E1311" s="81" t="n"/>
      <c r="F1311" s="81" t="n"/>
      <c r="G1311" s="78" t="n"/>
      <c r="H1311" s="78" t="n"/>
      <c r="I1311" s="67">
        <f>IF($H1311="","",IFERROR(INDEX(Action_Status_Map!$B$5:$B$11,MATCH($H1311,Action_Status_Map!$A$5:$A$11,0)),""))</f>
        <v/>
      </c>
      <c r="J1311" s="82" t="n"/>
      <c r="K1311" s="82" t="n"/>
      <c r="L1311" s="82" t="n"/>
      <c r="M1311" s="83" t="n"/>
      <c r="N1311" s="83" t="n"/>
      <c r="O1311" s="66">
        <f>IF(OR($M1311="",$N1311=""),"",$N1311-$M1311)</f>
        <v/>
      </c>
      <c r="P1311" s="84">
        <f>IF($J1311="","",IF($L1311&lt;&gt;"",$L1311-$J1311,TODAY()-$J1311))</f>
        <v/>
      </c>
      <c r="Q1311" s="85">
        <f>IF(OR($K1311="",$H1311="Completed",$H1311="Cancelled"),"",IF(AND($K1311&lt;TODAY(),$H1311&lt;&gt;"Completed",$H1311&lt;&gt;"Cancelled"),"Overdue","On Track"))</f>
        <v/>
      </c>
      <c r="R1311" s="81" t="n"/>
      <c r="S1311" s="81">
        <f>IF($B1311="","",IFERROR(INDEX(Task_Tracker!$AA$5:$AA$1004,MATCH($B1311,Task_Tracker!$A$5:$A$1004,0)),""))</f>
        <v/>
      </c>
      <c r="T1311" s="81">
        <f>IF($B1311="","",IFERROR(INDEX(Task_Tracker!$AB$5:$AB$1004,MATCH($B1311,Task_Tracker!$A$5:$A$1004,0)),""))</f>
        <v/>
      </c>
      <c r="U1311" s="78">
        <f>IF($B1311="","",IFERROR(INDEX(Task_Tracker!$F$5:$F$1004,MATCH($B1311,Task_Tracker!$A$5:$A$1004,0)),""))</f>
        <v/>
      </c>
      <c r="V1311" s="78">
        <f>IF($B1311="","",IFERROR(INDEX(Task_Tracker!$I$5:$I$1004,MATCH($B1311,Task_Tracker!$A$5:$A$1004,0)),""))</f>
        <v/>
      </c>
      <c r="W1311" s="81">
        <f>IF(OR($D1311="",$B1311=""),"",$D1311&amp;" | "&amp;$B1311)</f>
        <v/>
      </c>
      <c r="X1311" s="85">
        <f>IF($K1311="","",TEXT($K1311,"yyyy-mm"))</f>
        <v/>
      </c>
      <c r="Y1311" s="81">
        <f>IF(OR($A1311="",$T1311=""),"","Included in Manager_Report")</f>
        <v/>
      </c>
    </row>
    <row r="1312" ht="15" customHeight="1" s="40">
      <c r="A1312" s="65">
        <f>IF(COUNTA(B1312:G1312)=0,"","STP-"&amp;TEXT(ROW()-4,"0000"))</f>
        <v/>
      </c>
      <c r="B1312" s="78" t="n"/>
      <c r="C1312" s="67">
        <f>IF($B1312="","",IFERROR(INDEX(Task_Tracker!$D$5:$D$1004,MATCH($B1312,Task_Tracker!$A$5:$A$1004,0)),""))</f>
        <v/>
      </c>
      <c r="D1312" s="67">
        <f>IF($B1312="","",IFERROR(INDEX(Task_Tracker!$B$5:$B$1004,MATCH($B1312,Task_Tracker!$A$5:$A$1004,0)),""))</f>
        <v/>
      </c>
      <c r="E1312" s="81" t="n"/>
      <c r="F1312" s="81" t="n"/>
      <c r="G1312" s="78" t="n"/>
      <c r="H1312" s="78" t="n"/>
      <c r="I1312" s="67">
        <f>IF($H1312="","",IFERROR(INDEX(Action_Status_Map!$B$5:$B$11,MATCH($H1312,Action_Status_Map!$A$5:$A$11,0)),""))</f>
        <v/>
      </c>
      <c r="J1312" s="82" t="n"/>
      <c r="K1312" s="82" t="n"/>
      <c r="L1312" s="82" t="n"/>
      <c r="M1312" s="83" t="n"/>
      <c r="N1312" s="83" t="n"/>
      <c r="O1312" s="66">
        <f>IF(OR($M1312="",$N1312=""),"",$N1312-$M1312)</f>
        <v/>
      </c>
      <c r="P1312" s="84">
        <f>IF($J1312="","",IF($L1312&lt;&gt;"",$L1312-$J1312,TODAY()-$J1312))</f>
        <v/>
      </c>
      <c r="Q1312" s="85">
        <f>IF(OR($K1312="",$H1312="Completed",$H1312="Cancelled"),"",IF(AND($K1312&lt;TODAY(),$H1312&lt;&gt;"Completed",$H1312&lt;&gt;"Cancelled"),"Overdue","On Track"))</f>
        <v/>
      </c>
      <c r="R1312" s="81" t="n"/>
      <c r="S1312" s="81">
        <f>IF($B1312="","",IFERROR(INDEX(Task_Tracker!$AA$5:$AA$1004,MATCH($B1312,Task_Tracker!$A$5:$A$1004,0)),""))</f>
        <v/>
      </c>
      <c r="T1312" s="81">
        <f>IF($B1312="","",IFERROR(INDEX(Task_Tracker!$AB$5:$AB$1004,MATCH($B1312,Task_Tracker!$A$5:$A$1004,0)),""))</f>
        <v/>
      </c>
      <c r="U1312" s="78">
        <f>IF($B1312="","",IFERROR(INDEX(Task_Tracker!$F$5:$F$1004,MATCH($B1312,Task_Tracker!$A$5:$A$1004,0)),""))</f>
        <v/>
      </c>
      <c r="V1312" s="78">
        <f>IF($B1312="","",IFERROR(INDEX(Task_Tracker!$I$5:$I$1004,MATCH($B1312,Task_Tracker!$A$5:$A$1004,0)),""))</f>
        <v/>
      </c>
      <c r="W1312" s="81">
        <f>IF(OR($D1312="",$B1312=""),"",$D1312&amp;" | "&amp;$B1312)</f>
        <v/>
      </c>
      <c r="X1312" s="85">
        <f>IF($K1312="","",TEXT($K1312,"yyyy-mm"))</f>
        <v/>
      </c>
      <c r="Y1312" s="81">
        <f>IF(OR($A1312="",$T1312=""),"","Included in Manager_Report")</f>
        <v/>
      </c>
    </row>
    <row r="1313" ht="15" customHeight="1" s="40">
      <c r="A1313" s="65">
        <f>IF(COUNTA(B1313:G1313)=0,"","STP-"&amp;TEXT(ROW()-4,"0000"))</f>
        <v/>
      </c>
      <c r="B1313" s="78" t="n"/>
      <c r="C1313" s="67">
        <f>IF($B1313="","",IFERROR(INDEX(Task_Tracker!$D$5:$D$1004,MATCH($B1313,Task_Tracker!$A$5:$A$1004,0)),""))</f>
        <v/>
      </c>
      <c r="D1313" s="67">
        <f>IF($B1313="","",IFERROR(INDEX(Task_Tracker!$B$5:$B$1004,MATCH($B1313,Task_Tracker!$A$5:$A$1004,0)),""))</f>
        <v/>
      </c>
      <c r="E1313" s="81" t="n"/>
      <c r="F1313" s="81" t="n"/>
      <c r="G1313" s="78" t="n"/>
      <c r="H1313" s="78" t="n"/>
      <c r="I1313" s="67">
        <f>IF($H1313="","",IFERROR(INDEX(Action_Status_Map!$B$5:$B$11,MATCH($H1313,Action_Status_Map!$A$5:$A$11,0)),""))</f>
        <v/>
      </c>
      <c r="J1313" s="82" t="n"/>
      <c r="K1313" s="82" t="n"/>
      <c r="L1313" s="82" t="n"/>
      <c r="M1313" s="83" t="n"/>
      <c r="N1313" s="83" t="n"/>
      <c r="O1313" s="66">
        <f>IF(OR($M1313="",$N1313=""),"",$N1313-$M1313)</f>
        <v/>
      </c>
      <c r="P1313" s="84">
        <f>IF($J1313="","",IF($L1313&lt;&gt;"",$L1313-$J1313,TODAY()-$J1313))</f>
        <v/>
      </c>
      <c r="Q1313" s="85">
        <f>IF(OR($K1313="",$H1313="Completed",$H1313="Cancelled"),"",IF(AND($K1313&lt;TODAY(),$H1313&lt;&gt;"Completed",$H1313&lt;&gt;"Cancelled"),"Overdue","On Track"))</f>
        <v/>
      </c>
      <c r="R1313" s="81" t="n"/>
      <c r="S1313" s="81">
        <f>IF($B1313="","",IFERROR(INDEX(Task_Tracker!$AA$5:$AA$1004,MATCH($B1313,Task_Tracker!$A$5:$A$1004,0)),""))</f>
        <v/>
      </c>
      <c r="T1313" s="81">
        <f>IF($B1313="","",IFERROR(INDEX(Task_Tracker!$AB$5:$AB$1004,MATCH($B1313,Task_Tracker!$A$5:$A$1004,0)),""))</f>
        <v/>
      </c>
      <c r="U1313" s="78">
        <f>IF($B1313="","",IFERROR(INDEX(Task_Tracker!$F$5:$F$1004,MATCH($B1313,Task_Tracker!$A$5:$A$1004,0)),""))</f>
        <v/>
      </c>
      <c r="V1313" s="78">
        <f>IF($B1313="","",IFERROR(INDEX(Task_Tracker!$I$5:$I$1004,MATCH($B1313,Task_Tracker!$A$5:$A$1004,0)),""))</f>
        <v/>
      </c>
      <c r="W1313" s="81">
        <f>IF(OR($D1313="",$B1313=""),"",$D1313&amp;" | "&amp;$B1313)</f>
        <v/>
      </c>
      <c r="X1313" s="85">
        <f>IF($K1313="","",TEXT($K1313,"yyyy-mm"))</f>
        <v/>
      </c>
      <c r="Y1313" s="81">
        <f>IF(OR($A1313="",$T1313=""),"","Included in Manager_Report")</f>
        <v/>
      </c>
    </row>
    <row r="1314" ht="15" customHeight="1" s="40">
      <c r="A1314" s="65">
        <f>IF(COUNTA(B1314:G1314)=0,"","STP-"&amp;TEXT(ROW()-4,"0000"))</f>
        <v/>
      </c>
      <c r="B1314" s="78" t="n"/>
      <c r="C1314" s="67">
        <f>IF($B1314="","",IFERROR(INDEX(Task_Tracker!$D$5:$D$1004,MATCH($B1314,Task_Tracker!$A$5:$A$1004,0)),""))</f>
        <v/>
      </c>
      <c r="D1314" s="67">
        <f>IF($B1314="","",IFERROR(INDEX(Task_Tracker!$B$5:$B$1004,MATCH($B1314,Task_Tracker!$A$5:$A$1004,0)),""))</f>
        <v/>
      </c>
      <c r="E1314" s="81" t="n"/>
      <c r="F1314" s="81" t="n"/>
      <c r="G1314" s="78" t="n"/>
      <c r="H1314" s="78" t="n"/>
      <c r="I1314" s="67">
        <f>IF($H1314="","",IFERROR(INDEX(Action_Status_Map!$B$5:$B$11,MATCH($H1314,Action_Status_Map!$A$5:$A$11,0)),""))</f>
        <v/>
      </c>
      <c r="J1314" s="82" t="n"/>
      <c r="K1314" s="82" t="n"/>
      <c r="L1314" s="82" t="n"/>
      <c r="M1314" s="83" t="n"/>
      <c r="N1314" s="83" t="n"/>
      <c r="O1314" s="66">
        <f>IF(OR($M1314="",$N1314=""),"",$N1314-$M1314)</f>
        <v/>
      </c>
      <c r="P1314" s="84">
        <f>IF($J1314="","",IF($L1314&lt;&gt;"",$L1314-$J1314,TODAY()-$J1314))</f>
        <v/>
      </c>
      <c r="Q1314" s="85">
        <f>IF(OR($K1314="",$H1314="Completed",$H1314="Cancelled"),"",IF(AND($K1314&lt;TODAY(),$H1314&lt;&gt;"Completed",$H1314&lt;&gt;"Cancelled"),"Overdue","On Track"))</f>
        <v/>
      </c>
      <c r="R1314" s="81" t="n"/>
      <c r="S1314" s="81">
        <f>IF($B1314="","",IFERROR(INDEX(Task_Tracker!$AA$5:$AA$1004,MATCH($B1314,Task_Tracker!$A$5:$A$1004,0)),""))</f>
        <v/>
      </c>
      <c r="T1314" s="81">
        <f>IF($B1314="","",IFERROR(INDEX(Task_Tracker!$AB$5:$AB$1004,MATCH($B1314,Task_Tracker!$A$5:$A$1004,0)),""))</f>
        <v/>
      </c>
      <c r="U1314" s="78">
        <f>IF($B1314="","",IFERROR(INDEX(Task_Tracker!$F$5:$F$1004,MATCH($B1314,Task_Tracker!$A$5:$A$1004,0)),""))</f>
        <v/>
      </c>
      <c r="V1314" s="78">
        <f>IF($B1314="","",IFERROR(INDEX(Task_Tracker!$I$5:$I$1004,MATCH($B1314,Task_Tracker!$A$5:$A$1004,0)),""))</f>
        <v/>
      </c>
      <c r="W1314" s="81">
        <f>IF(OR($D1314="",$B1314=""),"",$D1314&amp;" | "&amp;$B1314)</f>
        <v/>
      </c>
      <c r="X1314" s="85">
        <f>IF($K1314="","",TEXT($K1314,"yyyy-mm"))</f>
        <v/>
      </c>
      <c r="Y1314" s="81">
        <f>IF(OR($A1314="",$T1314=""),"","Included in Manager_Report")</f>
        <v/>
      </c>
    </row>
    <row r="1315" ht="15" customHeight="1" s="40">
      <c r="A1315" s="65">
        <f>IF(COUNTA(B1315:G1315)=0,"","STP-"&amp;TEXT(ROW()-4,"0000"))</f>
        <v/>
      </c>
      <c r="B1315" s="78" t="n"/>
      <c r="C1315" s="67">
        <f>IF($B1315="","",IFERROR(INDEX(Task_Tracker!$D$5:$D$1004,MATCH($B1315,Task_Tracker!$A$5:$A$1004,0)),""))</f>
        <v/>
      </c>
      <c r="D1315" s="67">
        <f>IF($B1315="","",IFERROR(INDEX(Task_Tracker!$B$5:$B$1004,MATCH($B1315,Task_Tracker!$A$5:$A$1004,0)),""))</f>
        <v/>
      </c>
      <c r="E1315" s="81" t="n"/>
      <c r="F1315" s="81" t="n"/>
      <c r="G1315" s="78" t="n"/>
      <c r="H1315" s="78" t="n"/>
      <c r="I1315" s="67">
        <f>IF($H1315="","",IFERROR(INDEX(Action_Status_Map!$B$5:$B$11,MATCH($H1315,Action_Status_Map!$A$5:$A$11,0)),""))</f>
        <v/>
      </c>
      <c r="J1315" s="82" t="n"/>
      <c r="K1315" s="82" t="n"/>
      <c r="L1315" s="82" t="n"/>
      <c r="M1315" s="83" t="n"/>
      <c r="N1315" s="83" t="n"/>
      <c r="O1315" s="66">
        <f>IF(OR($M1315="",$N1315=""),"",$N1315-$M1315)</f>
        <v/>
      </c>
      <c r="P1315" s="84">
        <f>IF($J1315="","",IF($L1315&lt;&gt;"",$L1315-$J1315,TODAY()-$J1315))</f>
        <v/>
      </c>
      <c r="Q1315" s="85">
        <f>IF(OR($K1315="",$H1315="Completed",$H1315="Cancelled"),"",IF(AND($K1315&lt;TODAY(),$H1315&lt;&gt;"Completed",$H1315&lt;&gt;"Cancelled"),"Overdue","On Track"))</f>
        <v/>
      </c>
      <c r="R1315" s="81" t="n"/>
      <c r="S1315" s="81">
        <f>IF($B1315="","",IFERROR(INDEX(Task_Tracker!$AA$5:$AA$1004,MATCH($B1315,Task_Tracker!$A$5:$A$1004,0)),""))</f>
        <v/>
      </c>
      <c r="T1315" s="81">
        <f>IF($B1315="","",IFERROR(INDEX(Task_Tracker!$AB$5:$AB$1004,MATCH($B1315,Task_Tracker!$A$5:$A$1004,0)),""))</f>
        <v/>
      </c>
      <c r="U1315" s="78">
        <f>IF($B1315="","",IFERROR(INDEX(Task_Tracker!$F$5:$F$1004,MATCH($B1315,Task_Tracker!$A$5:$A$1004,0)),""))</f>
        <v/>
      </c>
      <c r="V1315" s="78">
        <f>IF($B1315="","",IFERROR(INDEX(Task_Tracker!$I$5:$I$1004,MATCH($B1315,Task_Tracker!$A$5:$A$1004,0)),""))</f>
        <v/>
      </c>
      <c r="W1315" s="81">
        <f>IF(OR($D1315="",$B1315=""),"",$D1315&amp;" | "&amp;$B1315)</f>
        <v/>
      </c>
      <c r="X1315" s="85">
        <f>IF($K1315="","",TEXT($K1315,"yyyy-mm"))</f>
        <v/>
      </c>
      <c r="Y1315" s="81">
        <f>IF(OR($A1315="",$T1315=""),"","Included in Manager_Report")</f>
        <v/>
      </c>
    </row>
    <row r="1316" ht="15" customHeight="1" s="40">
      <c r="A1316" s="65">
        <f>IF(COUNTA(B1316:G1316)=0,"","STP-"&amp;TEXT(ROW()-4,"0000"))</f>
        <v/>
      </c>
      <c r="B1316" s="78" t="n"/>
      <c r="C1316" s="67">
        <f>IF($B1316="","",IFERROR(INDEX(Task_Tracker!$D$5:$D$1004,MATCH($B1316,Task_Tracker!$A$5:$A$1004,0)),""))</f>
        <v/>
      </c>
      <c r="D1316" s="67">
        <f>IF($B1316="","",IFERROR(INDEX(Task_Tracker!$B$5:$B$1004,MATCH($B1316,Task_Tracker!$A$5:$A$1004,0)),""))</f>
        <v/>
      </c>
      <c r="E1316" s="81" t="n"/>
      <c r="F1316" s="81" t="n"/>
      <c r="G1316" s="78" t="n"/>
      <c r="H1316" s="78" t="n"/>
      <c r="I1316" s="67">
        <f>IF($H1316="","",IFERROR(INDEX(Action_Status_Map!$B$5:$B$11,MATCH($H1316,Action_Status_Map!$A$5:$A$11,0)),""))</f>
        <v/>
      </c>
      <c r="J1316" s="82" t="n"/>
      <c r="K1316" s="82" t="n"/>
      <c r="L1316" s="82" t="n"/>
      <c r="M1316" s="83" t="n"/>
      <c r="N1316" s="83" t="n"/>
      <c r="O1316" s="66">
        <f>IF(OR($M1316="",$N1316=""),"",$N1316-$M1316)</f>
        <v/>
      </c>
      <c r="P1316" s="84">
        <f>IF($J1316="","",IF($L1316&lt;&gt;"",$L1316-$J1316,TODAY()-$J1316))</f>
        <v/>
      </c>
      <c r="Q1316" s="85">
        <f>IF(OR($K1316="",$H1316="Completed",$H1316="Cancelled"),"",IF(AND($K1316&lt;TODAY(),$H1316&lt;&gt;"Completed",$H1316&lt;&gt;"Cancelled"),"Overdue","On Track"))</f>
        <v/>
      </c>
      <c r="R1316" s="81" t="n"/>
      <c r="S1316" s="81">
        <f>IF($B1316="","",IFERROR(INDEX(Task_Tracker!$AA$5:$AA$1004,MATCH($B1316,Task_Tracker!$A$5:$A$1004,0)),""))</f>
        <v/>
      </c>
      <c r="T1316" s="81">
        <f>IF($B1316="","",IFERROR(INDEX(Task_Tracker!$AB$5:$AB$1004,MATCH($B1316,Task_Tracker!$A$5:$A$1004,0)),""))</f>
        <v/>
      </c>
      <c r="U1316" s="78">
        <f>IF($B1316="","",IFERROR(INDEX(Task_Tracker!$F$5:$F$1004,MATCH($B1316,Task_Tracker!$A$5:$A$1004,0)),""))</f>
        <v/>
      </c>
      <c r="V1316" s="78">
        <f>IF($B1316="","",IFERROR(INDEX(Task_Tracker!$I$5:$I$1004,MATCH($B1316,Task_Tracker!$A$5:$A$1004,0)),""))</f>
        <v/>
      </c>
      <c r="W1316" s="81">
        <f>IF(OR($D1316="",$B1316=""),"",$D1316&amp;" | "&amp;$B1316)</f>
        <v/>
      </c>
      <c r="X1316" s="85">
        <f>IF($K1316="","",TEXT($K1316,"yyyy-mm"))</f>
        <v/>
      </c>
      <c r="Y1316" s="81">
        <f>IF(OR($A1316="",$T1316=""),"","Included in Manager_Report")</f>
        <v/>
      </c>
    </row>
    <row r="1317" ht="15" customHeight="1" s="40">
      <c r="A1317" s="65">
        <f>IF(COUNTA(B1317:G1317)=0,"","STP-"&amp;TEXT(ROW()-4,"0000"))</f>
        <v/>
      </c>
      <c r="B1317" s="78" t="n"/>
      <c r="C1317" s="67">
        <f>IF($B1317="","",IFERROR(INDEX(Task_Tracker!$D$5:$D$1004,MATCH($B1317,Task_Tracker!$A$5:$A$1004,0)),""))</f>
        <v/>
      </c>
      <c r="D1317" s="67">
        <f>IF($B1317="","",IFERROR(INDEX(Task_Tracker!$B$5:$B$1004,MATCH($B1317,Task_Tracker!$A$5:$A$1004,0)),""))</f>
        <v/>
      </c>
      <c r="E1317" s="81" t="n"/>
      <c r="F1317" s="81" t="n"/>
      <c r="G1317" s="78" t="n"/>
      <c r="H1317" s="78" t="n"/>
      <c r="I1317" s="67">
        <f>IF($H1317="","",IFERROR(INDEX(Action_Status_Map!$B$5:$B$11,MATCH($H1317,Action_Status_Map!$A$5:$A$11,0)),""))</f>
        <v/>
      </c>
      <c r="J1317" s="82" t="n"/>
      <c r="K1317" s="82" t="n"/>
      <c r="L1317" s="82" t="n"/>
      <c r="M1317" s="83" t="n"/>
      <c r="N1317" s="83" t="n"/>
      <c r="O1317" s="66">
        <f>IF(OR($M1317="",$N1317=""),"",$N1317-$M1317)</f>
        <v/>
      </c>
      <c r="P1317" s="84">
        <f>IF($J1317="","",IF($L1317&lt;&gt;"",$L1317-$J1317,TODAY()-$J1317))</f>
        <v/>
      </c>
      <c r="Q1317" s="85">
        <f>IF(OR($K1317="",$H1317="Completed",$H1317="Cancelled"),"",IF(AND($K1317&lt;TODAY(),$H1317&lt;&gt;"Completed",$H1317&lt;&gt;"Cancelled"),"Overdue","On Track"))</f>
        <v/>
      </c>
      <c r="R1317" s="81" t="n"/>
      <c r="S1317" s="81">
        <f>IF($B1317="","",IFERROR(INDEX(Task_Tracker!$AA$5:$AA$1004,MATCH($B1317,Task_Tracker!$A$5:$A$1004,0)),""))</f>
        <v/>
      </c>
      <c r="T1317" s="81">
        <f>IF($B1317="","",IFERROR(INDEX(Task_Tracker!$AB$5:$AB$1004,MATCH($B1317,Task_Tracker!$A$5:$A$1004,0)),""))</f>
        <v/>
      </c>
      <c r="U1317" s="78">
        <f>IF($B1317="","",IFERROR(INDEX(Task_Tracker!$F$5:$F$1004,MATCH($B1317,Task_Tracker!$A$5:$A$1004,0)),""))</f>
        <v/>
      </c>
      <c r="V1317" s="78">
        <f>IF($B1317="","",IFERROR(INDEX(Task_Tracker!$I$5:$I$1004,MATCH($B1317,Task_Tracker!$A$5:$A$1004,0)),""))</f>
        <v/>
      </c>
      <c r="W1317" s="81">
        <f>IF(OR($D1317="",$B1317=""),"",$D1317&amp;" | "&amp;$B1317)</f>
        <v/>
      </c>
      <c r="X1317" s="85">
        <f>IF($K1317="","",TEXT($K1317,"yyyy-mm"))</f>
        <v/>
      </c>
      <c r="Y1317" s="81">
        <f>IF(OR($A1317="",$T1317=""),"","Included in Manager_Report")</f>
        <v/>
      </c>
    </row>
    <row r="1318" ht="15" customHeight="1" s="40">
      <c r="A1318" s="65">
        <f>IF(COUNTA(B1318:G1318)=0,"","STP-"&amp;TEXT(ROW()-4,"0000"))</f>
        <v/>
      </c>
      <c r="B1318" s="78" t="n"/>
      <c r="C1318" s="67">
        <f>IF($B1318="","",IFERROR(INDEX(Task_Tracker!$D$5:$D$1004,MATCH($B1318,Task_Tracker!$A$5:$A$1004,0)),""))</f>
        <v/>
      </c>
      <c r="D1318" s="67">
        <f>IF($B1318="","",IFERROR(INDEX(Task_Tracker!$B$5:$B$1004,MATCH($B1318,Task_Tracker!$A$5:$A$1004,0)),""))</f>
        <v/>
      </c>
      <c r="E1318" s="81" t="n"/>
      <c r="F1318" s="81" t="n"/>
      <c r="G1318" s="78" t="n"/>
      <c r="H1318" s="78" t="n"/>
      <c r="I1318" s="67">
        <f>IF($H1318="","",IFERROR(INDEX(Action_Status_Map!$B$5:$B$11,MATCH($H1318,Action_Status_Map!$A$5:$A$11,0)),""))</f>
        <v/>
      </c>
      <c r="J1318" s="82" t="n"/>
      <c r="K1318" s="82" t="n"/>
      <c r="L1318" s="82" t="n"/>
      <c r="M1318" s="83" t="n"/>
      <c r="N1318" s="83" t="n"/>
      <c r="O1318" s="66">
        <f>IF(OR($M1318="",$N1318=""),"",$N1318-$M1318)</f>
        <v/>
      </c>
      <c r="P1318" s="84">
        <f>IF($J1318="","",IF($L1318&lt;&gt;"",$L1318-$J1318,TODAY()-$J1318))</f>
        <v/>
      </c>
      <c r="Q1318" s="85">
        <f>IF(OR($K1318="",$H1318="Completed",$H1318="Cancelled"),"",IF(AND($K1318&lt;TODAY(),$H1318&lt;&gt;"Completed",$H1318&lt;&gt;"Cancelled"),"Overdue","On Track"))</f>
        <v/>
      </c>
      <c r="R1318" s="81" t="n"/>
      <c r="S1318" s="81">
        <f>IF($B1318="","",IFERROR(INDEX(Task_Tracker!$AA$5:$AA$1004,MATCH($B1318,Task_Tracker!$A$5:$A$1004,0)),""))</f>
        <v/>
      </c>
      <c r="T1318" s="81">
        <f>IF($B1318="","",IFERROR(INDEX(Task_Tracker!$AB$5:$AB$1004,MATCH($B1318,Task_Tracker!$A$5:$A$1004,0)),""))</f>
        <v/>
      </c>
      <c r="U1318" s="78">
        <f>IF($B1318="","",IFERROR(INDEX(Task_Tracker!$F$5:$F$1004,MATCH($B1318,Task_Tracker!$A$5:$A$1004,0)),""))</f>
        <v/>
      </c>
      <c r="V1318" s="78">
        <f>IF($B1318="","",IFERROR(INDEX(Task_Tracker!$I$5:$I$1004,MATCH($B1318,Task_Tracker!$A$5:$A$1004,0)),""))</f>
        <v/>
      </c>
      <c r="W1318" s="81">
        <f>IF(OR($D1318="",$B1318=""),"",$D1318&amp;" | "&amp;$B1318)</f>
        <v/>
      </c>
      <c r="X1318" s="85">
        <f>IF($K1318="","",TEXT($K1318,"yyyy-mm"))</f>
        <v/>
      </c>
      <c r="Y1318" s="81">
        <f>IF(OR($A1318="",$T1318=""),"","Included in Manager_Report")</f>
        <v/>
      </c>
    </row>
    <row r="1319" ht="15" customHeight="1" s="40">
      <c r="A1319" s="65">
        <f>IF(COUNTA(B1319:G1319)=0,"","STP-"&amp;TEXT(ROW()-4,"0000"))</f>
        <v/>
      </c>
      <c r="B1319" s="78" t="n"/>
      <c r="C1319" s="67">
        <f>IF($B1319="","",IFERROR(INDEX(Task_Tracker!$D$5:$D$1004,MATCH($B1319,Task_Tracker!$A$5:$A$1004,0)),""))</f>
        <v/>
      </c>
      <c r="D1319" s="67">
        <f>IF($B1319="","",IFERROR(INDEX(Task_Tracker!$B$5:$B$1004,MATCH($B1319,Task_Tracker!$A$5:$A$1004,0)),""))</f>
        <v/>
      </c>
      <c r="E1319" s="81" t="n"/>
      <c r="F1319" s="81" t="n"/>
      <c r="G1319" s="78" t="n"/>
      <c r="H1319" s="78" t="n"/>
      <c r="I1319" s="67">
        <f>IF($H1319="","",IFERROR(INDEX(Action_Status_Map!$B$5:$B$11,MATCH($H1319,Action_Status_Map!$A$5:$A$11,0)),""))</f>
        <v/>
      </c>
      <c r="J1319" s="82" t="n"/>
      <c r="K1319" s="82" t="n"/>
      <c r="L1319" s="82" t="n"/>
      <c r="M1319" s="83" t="n"/>
      <c r="N1319" s="83" t="n"/>
      <c r="O1319" s="66">
        <f>IF(OR($M1319="",$N1319=""),"",$N1319-$M1319)</f>
        <v/>
      </c>
      <c r="P1319" s="84">
        <f>IF($J1319="","",IF($L1319&lt;&gt;"",$L1319-$J1319,TODAY()-$J1319))</f>
        <v/>
      </c>
      <c r="Q1319" s="85">
        <f>IF(OR($K1319="",$H1319="Completed",$H1319="Cancelled"),"",IF(AND($K1319&lt;TODAY(),$H1319&lt;&gt;"Completed",$H1319&lt;&gt;"Cancelled"),"Overdue","On Track"))</f>
        <v/>
      </c>
      <c r="R1319" s="81" t="n"/>
      <c r="S1319" s="81">
        <f>IF($B1319="","",IFERROR(INDEX(Task_Tracker!$AA$5:$AA$1004,MATCH($B1319,Task_Tracker!$A$5:$A$1004,0)),""))</f>
        <v/>
      </c>
      <c r="T1319" s="81">
        <f>IF($B1319="","",IFERROR(INDEX(Task_Tracker!$AB$5:$AB$1004,MATCH($B1319,Task_Tracker!$A$5:$A$1004,0)),""))</f>
        <v/>
      </c>
      <c r="U1319" s="78">
        <f>IF($B1319="","",IFERROR(INDEX(Task_Tracker!$F$5:$F$1004,MATCH($B1319,Task_Tracker!$A$5:$A$1004,0)),""))</f>
        <v/>
      </c>
      <c r="V1319" s="78">
        <f>IF($B1319="","",IFERROR(INDEX(Task_Tracker!$I$5:$I$1004,MATCH($B1319,Task_Tracker!$A$5:$A$1004,0)),""))</f>
        <v/>
      </c>
      <c r="W1319" s="81">
        <f>IF(OR($D1319="",$B1319=""),"",$D1319&amp;" | "&amp;$B1319)</f>
        <v/>
      </c>
      <c r="X1319" s="85">
        <f>IF($K1319="","",TEXT($K1319,"yyyy-mm"))</f>
        <v/>
      </c>
      <c r="Y1319" s="81">
        <f>IF(OR($A1319="",$T1319=""),"","Included in Manager_Report")</f>
        <v/>
      </c>
    </row>
    <row r="1320" ht="15" customHeight="1" s="40">
      <c r="A1320" s="65">
        <f>IF(COUNTA(B1320:G1320)=0,"","STP-"&amp;TEXT(ROW()-4,"0000"))</f>
        <v/>
      </c>
      <c r="B1320" s="78" t="n"/>
      <c r="C1320" s="67">
        <f>IF($B1320="","",IFERROR(INDEX(Task_Tracker!$D$5:$D$1004,MATCH($B1320,Task_Tracker!$A$5:$A$1004,0)),""))</f>
        <v/>
      </c>
      <c r="D1320" s="67">
        <f>IF($B1320="","",IFERROR(INDEX(Task_Tracker!$B$5:$B$1004,MATCH($B1320,Task_Tracker!$A$5:$A$1004,0)),""))</f>
        <v/>
      </c>
      <c r="E1320" s="81" t="n"/>
      <c r="F1320" s="81" t="n"/>
      <c r="G1320" s="78" t="n"/>
      <c r="H1320" s="78" t="n"/>
      <c r="I1320" s="67">
        <f>IF($H1320="","",IFERROR(INDEX(Action_Status_Map!$B$5:$B$11,MATCH($H1320,Action_Status_Map!$A$5:$A$11,0)),""))</f>
        <v/>
      </c>
      <c r="J1320" s="82" t="n"/>
      <c r="K1320" s="82" t="n"/>
      <c r="L1320" s="82" t="n"/>
      <c r="M1320" s="83" t="n"/>
      <c r="N1320" s="83" t="n"/>
      <c r="O1320" s="66">
        <f>IF(OR($M1320="",$N1320=""),"",$N1320-$M1320)</f>
        <v/>
      </c>
      <c r="P1320" s="84">
        <f>IF($J1320="","",IF($L1320&lt;&gt;"",$L1320-$J1320,TODAY()-$J1320))</f>
        <v/>
      </c>
      <c r="Q1320" s="85">
        <f>IF(OR($K1320="",$H1320="Completed",$H1320="Cancelled"),"",IF(AND($K1320&lt;TODAY(),$H1320&lt;&gt;"Completed",$H1320&lt;&gt;"Cancelled"),"Overdue","On Track"))</f>
        <v/>
      </c>
      <c r="R1320" s="81" t="n"/>
      <c r="S1320" s="81">
        <f>IF($B1320="","",IFERROR(INDEX(Task_Tracker!$AA$5:$AA$1004,MATCH($B1320,Task_Tracker!$A$5:$A$1004,0)),""))</f>
        <v/>
      </c>
      <c r="T1320" s="81">
        <f>IF($B1320="","",IFERROR(INDEX(Task_Tracker!$AB$5:$AB$1004,MATCH($B1320,Task_Tracker!$A$5:$A$1004,0)),""))</f>
        <v/>
      </c>
      <c r="U1320" s="78">
        <f>IF($B1320="","",IFERROR(INDEX(Task_Tracker!$F$5:$F$1004,MATCH($B1320,Task_Tracker!$A$5:$A$1004,0)),""))</f>
        <v/>
      </c>
      <c r="V1320" s="78">
        <f>IF($B1320="","",IFERROR(INDEX(Task_Tracker!$I$5:$I$1004,MATCH($B1320,Task_Tracker!$A$5:$A$1004,0)),""))</f>
        <v/>
      </c>
      <c r="W1320" s="81">
        <f>IF(OR($D1320="",$B1320=""),"",$D1320&amp;" | "&amp;$B1320)</f>
        <v/>
      </c>
      <c r="X1320" s="85">
        <f>IF($K1320="","",TEXT($K1320,"yyyy-mm"))</f>
        <v/>
      </c>
      <c r="Y1320" s="81">
        <f>IF(OR($A1320="",$T1320=""),"","Included in Manager_Report")</f>
        <v/>
      </c>
    </row>
    <row r="1321" ht="15" customHeight="1" s="40">
      <c r="A1321" s="65">
        <f>IF(COUNTA(B1321:G1321)=0,"","STP-"&amp;TEXT(ROW()-4,"0000"))</f>
        <v/>
      </c>
      <c r="B1321" s="78" t="n"/>
      <c r="C1321" s="67">
        <f>IF($B1321="","",IFERROR(INDEX(Task_Tracker!$D$5:$D$1004,MATCH($B1321,Task_Tracker!$A$5:$A$1004,0)),""))</f>
        <v/>
      </c>
      <c r="D1321" s="67">
        <f>IF($B1321="","",IFERROR(INDEX(Task_Tracker!$B$5:$B$1004,MATCH($B1321,Task_Tracker!$A$5:$A$1004,0)),""))</f>
        <v/>
      </c>
      <c r="E1321" s="81" t="n"/>
      <c r="F1321" s="81" t="n"/>
      <c r="G1321" s="78" t="n"/>
      <c r="H1321" s="78" t="n"/>
      <c r="I1321" s="67">
        <f>IF($H1321="","",IFERROR(INDEX(Action_Status_Map!$B$5:$B$11,MATCH($H1321,Action_Status_Map!$A$5:$A$11,0)),""))</f>
        <v/>
      </c>
      <c r="J1321" s="82" t="n"/>
      <c r="K1321" s="82" t="n"/>
      <c r="L1321" s="82" t="n"/>
      <c r="M1321" s="83" t="n"/>
      <c r="N1321" s="83" t="n"/>
      <c r="O1321" s="66">
        <f>IF(OR($M1321="",$N1321=""),"",$N1321-$M1321)</f>
        <v/>
      </c>
      <c r="P1321" s="84">
        <f>IF($J1321="","",IF($L1321&lt;&gt;"",$L1321-$J1321,TODAY()-$J1321))</f>
        <v/>
      </c>
      <c r="Q1321" s="85">
        <f>IF(OR($K1321="",$H1321="Completed",$H1321="Cancelled"),"",IF(AND($K1321&lt;TODAY(),$H1321&lt;&gt;"Completed",$H1321&lt;&gt;"Cancelled"),"Overdue","On Track"))</f>
        <v/>
      </c>
      <c r="R1321" s="81" t="n"/>
      <c r="S1321" s="81">
        <f>IF($B1321="","",IFERROR(INDEX(Task_Tracker!$AA$5:$AA$1004,MATCH($B1321,Task_Tracker!$A$5:$A$1004,0)),""))</f>
        <v/>
      </c>
      <c r="T1321" s="81">
        <f>IF($B1321="","",IFERROR(INDEX(Task_Tracker!$AB$5:$AB$1004,MATCH($B1321,Task_Tracker!$A$5:$A$1004,0)),""))</f>
        <v/>
      </c>
      <c r="U1321" s="78">
        <f>IF($B1321="","",IFERROR(INDEX(Task_Tracker!$F$5:$F$1004,MATCH($B1321,Task_Tracker!$A$5:$A$1004,0)),""))</f>
        <v/>
      </c>
      <c r="V1321" s="78">
        <f>IF($B1321="","",IFERROR(INDEX(Task_Tracker!$I$5:$I$1004,MATCH($B1321,Task_Tracker!$A$5:$A$1004,0)),""))</f>
        <v/>
      </c>
      <c r="W1321" s="81">
        <f>IF(OR($D1321="",$B1321=""),"",$D1321&amp;" | "&amp;$B1321)</f>
        <v/>
      </c>
      <c r="X1321" s="85">
        <f>IF($K1321="","",TEXT($K1321,"yyyy-mm"))</f>
        <v/>
      </c>
      <c r="Y1321" s="81">
        <f>IF(OR($A1321="",$T1321=""),"","Included in Manager_Report")</f>
        <v/>
      </c>
    </row>
    <row r="1322" ht="15" customHeight="1" s="40">
      <c r="A1322" s="65">
        <f>IF(COUNTA(B1322:G1322)=0,"","STP-"&amp;TEXT(ROW()-4,"0000"))</f>
        <v/>
      </c>
      <c r="B1322" s="78" t="n"/>
      <c r="C1322" s="67">
        <f>IF($B1322="","",IFERROR(INDEX(Task_Tracker!$D$5:$D$1004,MATCH($B1322,Task_Tracker!$A$5:$A$1004,0)),""))</f>
        <v/>
      </c>
      <c r="D1322" s="67">
        <f>IF($B1322="","",IFERROR(INDEX(Task_Tracker!$B$5:$B$1004,MATCH($B1322,Task_Tracker!$A$5:$A$1004,0)),""))</f>
        <v/>
      </c>
      <c r="E1322" s="81" t="n"/>
      <c r="F1322" s="81" t="n"/>
      <c r="G1322" s="78" t="n"/>
      <c r="H1322" s="78" t="n"/>
      <c r="I1322" s="67">
        <f>IF($H1322="","",IFERROR(INDEX(Action_Status_Map!$B$5:$B$11,MATCH($H1322,Action_Status_Map!$A$5:$A$11,0)),""))</f>
        <v/>
      </c>
      <c r="J1322" s="82" t="n"/>
      <c r="K1322" s="82" t="n"/>
      <c r="L1322" s="82" t="n"/>
      <c r="M1322" s="83" t="n"/>
      <c r="N1322" s="83" t="n"/>
      <c r="O1322" s="66">
        <f>IF(OR($M1322="",$N1322=""),"",$N1322-$M1322)</f>
        <v/>
      </c>
      <c r="P1322" s="84">
        <f>IF($J1322="","",IF($L1322&lt;&gt;"",$L1322-$J1322,TODAY()-$J1322))</f>
        <v/>
      </c>
      <c r="Q1322" s="85">
        <f>IF(OR($K1322="",$H1322="Completed",$H1322="Cancelled"),"",IF(AND($K1322&lt;TODAY(),$H1322&lt;&gt;"Completed",$H1322&lt;&gt;"Cancelled"),"Overdue","On Track"))</f>
        <v/>
      </c>
      <c r="R1322" s="81" t="n"/>
      <c r="S1322" s="81">
        <f>IF($B1322="","",IFERROR(INDEX(Task_Tracker!$AA$5:$AA$1004,MATCH($B1322,Task_Tracker!$A$5:$A$1004,0)),""))</f>
        <v/>
      </c>
      <c r="T1322" s="81">
        <f>IF($B1322="","",IFERROR(INDEX(Task_Tracker!$AB$5:$AB$1004,MATCH($B1322,Task_Tracker!$A$5:$A$1004,0)),""))</f>
        <v/>
      </c>
      <c r="U1322" s="78">
        <f>IF($B1322="","",IFERROR(INDEX(Task_Tracker!$F$5:$F$1004,MATCH($B1322,Task_Tracker!$A$5:$A$1004,0)),""))</f>
        <v/>
      </c>
      <c r="V1322" s="78">
        <f>IF($B1322="","",IFERROR(INDEX(Task_Tracker!$I$5:$I$1004,MATCH($B1322,Task_Tracker!$A$5:$A$1004,0)),""))</f>
        <v/>
      </c>
      <c r="W1322" s="81">
        <f>IF(OR($D1322="",$B1322=""),"",$D1322&amp;" | "&amp;$B1322)</f>
        <v/>
      </c>
      <c r="X1322" s="85">
        <f>IF($K1322="","",TEXT($K1322,"yyyy-mm"))</f>
        <v/>
      </c>
      <c r="Y1322" s="81">
        <f>IF(OR($A1322="",$T1322=""),"","Included in Manager_Report")</f>
        <v/>
      </c>
    </row>
    <row r="1323" ht="15" customHeight="1" s="40">
      <c r="A1323" s="65">
        <f>IF(COUNTA(B1323:G1323)=0,"","STP-"&amp;TEXT(ROW()-4,"0000"))</f>
        <v/>
      </c>
      <c r="B1323" s="78" t="n"/>
      <c r="C1323" s="67">
        <f>IF($B1323="","",IFERROR(INDEX(Task_Tracker!$D$5:$D$1004,MATCH($B1323,Task_Tracker!$A$5:$A$1004,0)),""))</f>
        <v/>
      </c>
      <c r="D1323" s="67">
        <f>IF($B1323="","",IFERROR(INDEX(Task_Tracker!$B$5:$B$1004,MATCH($B1323,Task_Tracker!$A$5:$A$1004,0)),""))</f>
        <v/>
      </c>
      <c r="E1323" s="81" t="n"/>
      <c r="F1323" s="81" t="n"/>
      <c r="G1323" s="78" t="n"/>
      <c r="H1323" s="78" t="n"/>
      <c r="I1323" s="67">
        <f>IF($H1323="","",IFERROR(INDEX(Action_Status_Map!$B$5:$B$11,MATCH($H1323,Action_Status_Map!$A$5:$A$11,0)),""))</f>
        <v/>
      </c>
      <c r="J1323" s="82" t="n"/>
      <c r="K1323" s="82" t="n"/>
      <c r="L1323" s="82" t="n"/>
      <c r="M1323" s="83" t="n"/>
      <c r="N1323" s="83" t="n"/>
      <c r="O1323" s="66">
        <f>IF(OR($M1323="",$N1323=""),"",$N1323-$M1323)</f>
        <v/>
      </c>
      <c r="P1323" s="84">
        <f>IF($J1323="","",IF($L1323&lt;&gt;"",$L1323-$J1323,TODAY()-$J1323))</f>
        <v/>
      </c>
      <c r="Q1323" s="85">
        <f>IF(OR($K1323="",$H1323="Completed",$H1323="Cancelled"),"",IF(AND($K1323&lt;TODAY(),$H1323&lt;&gt;"Completed",$H1323&lt;&gt;"Cancelled"),"Overdue","On Track"))</f>
        <v/>
      </c>
      <c r="R1323" s="81" t="n"/>
      <c r="S1323" s="81">
        <f>IF($B1323="","",IFERROR(INDEX(Task_Tracker!$AA$5:$AA$1004,MATCH($B1323,Task_Tracker!$A$5:$A$1004,0)),""))</f>
        <v/>
      </c>
      <c r="T1323" s="81">
        <f>IF($B1323="","",IFERROR(INDEX(Task_Tracker!$AB$5:$AB$1004,MATCH($B1323,Task_Tracker!$A$5:$A$1004,0)),""))</f>
        <v/>
      </c>
      <c r="U1323" s="78">
        <f>IF($B1323="","",IFERROR(INDEX(Task_Tracker!$F$5:$F$1004,MATCH($B1323,Task_Tracker!$A$5:$A$1004,0)),""))</f>
        <v/>
      </c>
      <c r="V1323" s="78">
        <f>IF($B1323="","",IFERROR(INDEX(Task_Tracker!$I$5:$I$1004,MATCH($B1323,Task_Tracker!$A$5:$A$1004,0)),""))</f>
        <v/>
      </c>
      <c r="W1323" s="81">
        <f>IF(OR($D1323="",$B1323=""),"",$D1323&amp;" | "&amp;$B1323)</f>
        <v/>
      </c>
      <c r="X1323" s="85">
        <f>IF($K1323="","",TEXT($K1323,"yyyy-mm"))</f>
        <v/>
      </c>
      <c r="Y1323" s="81">
        <f>IF(OR($A1323="",$T1323=""),"","Included in Manager_Report")</f>
        <v/>
      </c>
    </row>
    <row r="1324" ht="15" customHeight="1" s="40">
      <c r="A1324" s="65">
        <f>IF(COUNTA(B1324:G1324)=0,"","STP-"&amp;TEXT(ROW()-4,"0000"))</f>
        <v/>
      </c>
      <c r="B1324" s="78" t="n"/>
      <c r="C1324" s="67">
        <f>IF($B1324="","",IFERROR(INDEX(Task_Tracker!$D$5:$D$1004,MATCH($B1324,Task_Tracker!$A$5:$A$1004,0)),""))</f>
        <v/>
      </c>
      <c r="D1324" s="67">
        <f>IF($B1324="","",IFERROR(INDEX(Task_Tracker!$B$5:$B$1004,MATCH($B1324,Task_Tracker!$A$5:$A$1004,0)),""))</f>
        <v/>
      </c>
      <c r="E1324" s="81" t="n"/>
      <c r="F1324" s="81" t="n"/>
      <c r="G1324" s="78" t="n"/>
      <c r="H1324" s="78" t="n"/>
      <c r="I1324" s="67">
        <f>IF($H1324="","",IFERROR(INDEX(Action_Status_Map!$B$5:$B$11,MATCH($H1324,Action_Status_Map!$A$5:$A$11,0)),""))</f>
        <v/>
      </c>
      <c r="J1324" s="82" t="n"/>
      <c r="K1324" s="82" t="n"/>
      <c r="L1324" s="82" t="n"/>
      <c r="M1324" s="83" t="n"/>
      <c r="N1324" s="83" t="n"/>
      <c r="O1324" s="66">
        <f>IF(OR($M1324="",$N1324=""),"",$N1324-$M1324)</f>
        <v/>
      </c>
      <c r="P1324" s="84">
        <f>IF($J1324="","",IF($L1324&lt;&gt;"",$L1324-$J1324,TODAY()-$J1324))</f>
        <v/>
      </c>
      <c r="Q1324" s="85">
        <f>IF(OR($K1324="",$H1324="Completed",$H1324="Cancelled"),"",IF(AND($K1324&lt;TODAY(),$H1324&lt;&gt;"Completed",$H1324&lt;&gt;"Cancelled"),"Overdue","On Track"))</f>
        <v/>
      </c>
      <c r="R1324" s="81" t="n"/>
      <c r="S1324" s="81">
        <f>IF($B1324="","",IFERROR(INDEX(Task_Tracker!$AA$5:$AA$1004,MATCH($B1324,Task_Tracker!$A$5:$A$1004,0)),""))</f>
        <v/>
      </c>
      <c r="T1324" s="81">
        <f>IF($B1324="","",IFERROR(INDEX(Task_Tracker!$AB$5:$AB$1004,MATCH($B1324,Task_Tracker!$A$5:$A$1004,0)),""))</f>
        <v/>
      </c>
      <c r="U1324" s="78">
        <f>IF($B1324="","",IFERROR(INDEX(Task_Tracker!$F$5:$F$1004,MATCH($B1324,Task_Tracker!$A$5:$A$1004,0)),""))</f>
        <v/>
      </c>
      <c r="V1324" s="78">
        <f>IF($B1324="","",IFERROR(INDEX(Task_Tracker!$I$5:$I$1004,MATCH($B1324,Task_Tracker!$A$5:$A$1004,0)),""))</f>
        <v/>
      </c>
      <c r="W1324" s="81">
        <f>IF(OR($D1324="",$B1324=""),"",$D1324&amp;" | "&amp;$B1324)</f>
        <v/>
      </c>
      <c r="X1324" s="85">
        <f>IF($K1324="","",TEXT($K1324,"yyyy-mm"))</f>
        <v/>
      </c>
      <c r="Y1324" s="81">
        <f>IF(OR($A1324="",$T1324=""),"","Included in Manager_Report")</f>
        <v/>
      </c>
    </row>
    <row r="1325" ht="15" customHeight="1" s="40">
      <c r="A1325" s="65">
        <f>IF(COUNTA(B1325:G1325)=0,"","STP-"&amp;TEXT(ROW()-4,"0000"))</f>
        <v/>
      </c>
      <c r="B1325" s="78" t="n"/>
      <c r="C1325" s="67">
        <f>IF($B1325="","",IFERROR(INDEX(Task_Tracker!$D$5:$D$1004,MATCH($B1325,Task_Tracker!$A$5:$A$1004,0)),""))</f>
        <v/>
      </c>
      <c r="D1325" s="67">
        <f>IF($B1325="","",IFERROR(INDEX(Task_Tracker!$B$5:$B$1004,MATCH($B1325,Task_Tracker!$A$5:$A$1004,0)),""))</f>
        <v/>
      </c>
      <c r="E1325" s="81" t="n"/>
      <c r="F1325" s="81" t="n"/>
      <c r="G1325" s="78" t="n"/>
      <c r="H1325" s="78" t="n"/>
      <c r="I1325" s="67">
        <f>IF($H1325="","",IFERROR(INDEX(Action_Status_Map!$B$5:$B$11,MATCH($H1325,Action_Status_Map!$A$5:$A$11,0)),""))</f>
        <v/>
      </c>
      <c r="J1325" s="82" t="n"/>
      <c r="K1325" s="82" t="n"/>
      <c r="L1325" s="82" t="n"/>
      <c r="M1325" s="83" t="n"/>
      <c r="N1325" s="83" t="n"/>
      <c r="O1325" s="66">
        <f>IF(OR($M1325="",$N1325=""),"",$N1325-$M1325)</f>
        <v/>
      </c>
      <c r="P1325" s="84">
        <f>IF($J1325="","",IF($L1325&lt;&gt;"",$L1325-$J1325,TODAY()-$J1325))</f>
        <v/>
      </c>
      <c r="Q1325" s="85">
        <f>IF(OR($K1325="",$H1325="Completed",$H1325="Cancelled"),"",IF(AND($K1325&lt;TODAY(),$H1325&lt;&gt;"Completed",$H1325&lt;&gt;"Cancelled"),"Overdue","On Track"))</f>
        <v/>
      </c>
      <c r="R1325" s="81" t="n"/>
      <c r="S1325" s="81">
        <f>IF($B1325="","",IFERROR(INDEX(Task_Tracker!$AA$5:$AA$1004,MATCH($B1325,Task_Tracker!$A$5:$A$1004,0)),""))</f>
        <v/>
      </c>
      <c r="T1325" s="81">
        <f>IF($B1325="","",IFERROR(INDEX(Task_Tracker!$AB$5:$AB$1004,MATCH($B1325,Task_Tracker!$A$5:$A$1004,0)),""))</f>
        <v/>
      </c>
      <c r="U1325" s="78">
        <f>IF($B1325="","",IFERROR(INDEX(Task_Tracker!$F$5:$F$1004,MATCH($B1325,Task_Tracker!$A$5:$A$1004,0)),""))</f>
        <v/>
      </c>
      <c r="V1325" s="78">
        <f>IF($B1325="","",IFERROR(INDEX(Task_Tracker!$I$5:$I$1004,MATCH($B1325,Task_Tracker!$A$5:$A$1004,0)),""))</f>
        <v/>
      </c>
      <c r="W1325" s="81">
        <f>IF(OR($D1325="",$B1325=""),"",$D1325&amp;" | "&amp;$B1325)</f>
        <v/>
      </c>
      <c r="X1325" s="85">
        <f>IF($K1325="","",TEXT($K1325,"yyyy-mm"))</f>
        <v/>
      </c>
      <c r="Y1325" s="81">
        <f>IF(OR($A1325="",$T1325=""),"","Included in Manager_Report")</f>
        <v/>
      </c>
    </row>
    <row r="1326" ht="15" customHeight="1" s="40">
      <c r="A1326" s="65">
        <f>IF(COUNTA(B1326:G1326)=0,"","STP-"&amp;TEXT(ROW()-4,"0000"))</f>
        <v/>
      </c>
      <c r="B1326" s="78" t="n"/>
      <c r="C1326" s="67">
        <f>IF($B1326="","",IFERROR(INDEX(Task_Tracker!$D$5:$D$1004,MATCH($B1326,Task_Tracker!$A$5:$A$1004,0)),""))</f>
        <v/>
      </c>
      <c r="D1326" s="67">
        <f>IF($B1326="","",IFERROR(INDEX(Task_Tracker!$B$5:$B$1004,MATCH($B1326,Task_Tracker!$A$5:$A$1004,0)),""))</f>
        <v/>
      </c>
      <c r="E1326" s="81" t="n"/>
      <c r="F1326" s="81" t="n"/>
      <c r="G1326" s="78" t="n"/>
      <c r="H1326" s="78" t="n"/>
      <c r="I1326" s="67">
        <f>IF($H1326="","",IFERROR(INDEX(Action_Status_Map!$B$5:$B$11,MATCH($H1326,Action_Status_Map!$A$5:$A$11,0)),""))</f>
        <v/>
      </c>
      <c r="J1326" s="82" t="n"/>
      <c r="K1326" s="82" t="n"/>
      <c r="L1326" s="82" t="n"/>
      <c r="M1326" s="83" t="n"/>
      <c r="N1326" s="83" t="n"/>
      <c r="O1326" s="66">
        <f>IF(OR($M1326="",$N1326=""),"",$N1326-$M1326)</f>
        <v/>
      </c>
      <c r="P1326" s="84">
        <f>IF($J1326="","",IF($L1326&lt;&gt;"",$L1326-$J1326,TODAY()-$J1326))</f>
        <v/>
      </c>
      <c r="Q1326" s="85">
        <f>IF(OR($K1326="",$H1326="Completed",$H1326="Cancelled"),"",IF(AND($K1326&lt;TODAY(),$H1326&lt;&gt;"Completed",$H1326&lt;&gt;"Cancelled"),"Overdue","On Track"))</f>
        <v/>
      </c>
      <c r="R1326" s="81" t="n"/>
      <c r="S1326" s="81">
        <f>IF($B1326="","",IFERROR(INDEX(Task_Tracker!$AA$5:$AA$1004,MATCH($B1326,Task_Tracker!$A$5:$A$1004,0)),""))</f>
        <v/>
      </c>
      <c r="T1326" s="81">
        <f>IF($B1326="","",IFERROR(INDEX(Task_Tracker!$AB$5:$AB$1004,MATCH($B1326,Task_Tracker!$A$5:$A$1004,0)),""))</f>
        <v/>
      </c>
      <c r="U1326" s="78">
        <f>IF($B1326="","",IFERROR(INDEX(Task_Tracker!$F$5:$F$1004,MATCH($B1326,Task_Tracker!$A$5:$A$1004,0)),""))</f>
        <v/>
      </c>
      <c r="V1326" s="78">
        <f>IF($B1326="","",IFERROR(INDEX(Task_Tracker!$I$5:$I$1004,MATCH($B1326,Task_Tracker!$A$5:$A$1004,0)),""))</f>
        <v/>
      </c>
      <c r="W1326" s="81">
        <f>IF(OR($D1326="",$B1326=""),"",$D1326&amp;" | "&amp;$B1326)</f>
        <v/>
      </c>
      <c r="X1326" s="85">
        <f>IF($K1326="","",TEXT($K1326,"yyyy-mm"))</f>
        <v/>
      </c>
      <c r="Y1326" s="81">
        <f>IF(OR($A1326="",$T1326=""),"","Included in Manager_Report")</f>
        <v/>
      </c>
    </row>
    <row r="1327" ht="15" customHeight="1" s="40">
      <c r="A1327" s="65">
        <f>IF(COUNTA(B1327:G1327)=0,"","STP-"&amp;TEXT(ROW()-4,"0000"))</f>
        <v/>
      </c>
      <c r="B1327" s="78" t="n"/>
      <c r="C1327" s="67">
        <f>IF($B1327="","",IFERROR(INDEX(Task_Tracker!$D$5:$D$1004,MATCH($B1327,Task_Tracker!$A$5:$A$1004,0)),""))</f>
        <v/>
      </c>
      <c r="D1327" s="67">
        <f>IF($B1327="","",IFERROR(INDEX(Task_Tracker!$B$5:$B$1004,MATCH($B1327,Task_Tracker!$A$5:$A$1004,0)),""))</f>
        <v/>
      </c>
      <c r="E1327" s="81" t="n"/>
      <c r="F1327" s="81" t="n"/>
      <c r="G1327" s="78" t="n"/>
      <c r="H1327" s="78" t="n"/>
      <c r="I1327" s="67">
        <f>IF($H1327="","",IFERROR(INDEX(Action_Status_Map!$B$5:$B$11,MATCH($H1327,Action_Status_Map!$A$5:$A$11,0)),""))</f>
        <v/>
      </c>
      <c r="J1327" s="82" t="n"/>
      <c r="K1327" s="82" t="n"/>
      <c r="L1327" s="82" t="n"/>
      <c r="M1327" s="83" t="n"/>
      <c r="N1327" s="83" t="n"/>
      <c r="O1327" s="66">
        <f>IF(OR($M1327="",$N1327=""),"",$N1327-$M1327)</f>
        <v/>
      </c>
      <c r="P1327" s="84">
        <f>IF($J1327="","",IF($L1327&lt;&gt;"",$L1327-$J1327,TODAY()-$J1327))</f>
        <v/>
      </c>
      <c r="Q1327" s="85">
        <f>IF(OR($K1327="",$H1327="Completed",$H1327="Cancelled"),"",IF(AND($K1327&lt;TODAY(),$H1327&lt;&gt;"Completed",$H1327&lt;&gt;"Cancelled"),"Overdue","On Track"))</f>
        <v/>
      </c>
      <c r="R1327" s="81" t="n"/>
      <c r="S1327" s="81">
        <f>IF($B1327="","",IFERROR(INDEX(Task_Tracker!$AA$5:$AA$1004,MATCH($B1327,Task_Tracker!$A$5:$A$1004,0)),""))</f>
        <v/>
      </c>
      <c r="T1327" s="81">
        <f>IF($B1327="","",IFERROR(INDEX(Task_Tracker!$AB$5:$AB$1004,MATCH($B1327,Task_Tracker!$A$5:$A$1004,0)),""))</f>
        <v/>
      </c>
      <c r="U1327" s="78">
        <f>IF($B1327="","",IFERROR(INDEX(Task_Tracker!$F$5:$F$1004,MATCH($B1327,Task_Tracker!$A$5:$A$1004,0)),""))</f>
        <v/>
      </c>
      <c r="V1327" s="78">
        <f>IF($B1327="","",IFERROR(INDEX(Task_Tracker!$I$5:$I$1004,MATCH($B1327,Task_Tracker!$A$5:$A$1004,0)),""))</f>
        <v/>
      </c>
      <c r="W1327" s="81">
        <f>IF(OR($D1327="",$B1327=""),"",$D1327&amp;" | "&amp;$B1327)</f>
        <v/>
      </c>
      <c r="X1327" s="85">
        <f>IF($K1327="","",TEXT($K1327,"yyyy-mm"))</f>
        <v/>
      </c>
      <c r="Y1327" s="81">
        <f>IF(OR($A1327="",$T1327=""),"","Included in Manager_Report")</f>
        <v/>
      </c>
    </row>
    <row r="1328" ht="15" customHeight="1" s="40">
      <c r="A1328" s="65">
        <f>IF(COUNTA(B1328:G1328)=0,"","STP-"&amp;TEXT(ROW()-4,"0000"))</f>
        <v/>
      </c>
      <c r="B1328" s="78" t="n"/>
      <c r="C1328" s="67">
        <f>IF($B1328="","",IFERROR(INDEX(Task_Tracker!$D$5:$D$1004,MATCH($B1328,Task_Tracker!$A$5:$A$1004,0)),""))</f>
        <v/>
      </c>
      <c r="D1328" s="67">
        <f>IF($B1328="","",IFERROR(INDEX(Task_Tracker!$B$5:$B$1004,MATCH($B1328,Task_Tracker!$A$5:$A$1004,0)),""))</f>
        <v/>
      </c>
      <c r="E1328" s="81" t="n"/>
      <c r="F1328" s="81" t="n"/>
      <c r="G1328" s="78" t="n"/>
      <c r="H1328" s="78" t="n"/>
      <c r="I1328" s="67">
        <f>IF($H1328="","",IFERROR(INDEX(Action_Status_Map!$B$5:$B$11,MATCH($H1328,Action_Status_Map!$A$5:$A$11,0)),""))</f>
        <v/>
      </c>
      <c r="J1328" s="82" t="n"/>
      <c r="K1328" s="82" t="n"/>
      <c r="L1328" s="82" t="n"/>
      <c r="M1328" s="83" t="n"/>
      <c r="N1328" s="83" t="n"/>
      <c r="O1328" s="66">
        <f>IF(OR($M1328="",$N1328=""),"",$N1328-$M1328)</f>
        <v/>
      </c>
      <c r="P1328" s="84">
        <f>IF($J1328="","",IF($L1328&lt;&gt;"",$L1328-$J1328,TODAY()-$J1328))</f>
        <v/>
      </c>
      <c r="Q1328" s="85">
        <f>IF(OR($K1328="",$H1328="Completed",$H1328="Cancelled"),"",IF(AND($K1328&lt;TODAY(),$H1328&lt;&gt;"Completed",$H1328&lt;&gt;"Cancelled"),"Overdue","On Track"))</f>
        <v/>
      </c>
      <c r="R1328" s="81" t="n"/>
      <c r="S1328" s="81">
        <f>IF($B1328="","",IFERROR(INDEX(Task_Tracker!$AA$5:$AA$1004,MATCH($B1328,Task_Tracker!$A$5:$A$1004,0)),""))</f>
        <v/>
      </c>
      <c r="T1328" s="81">
        <f>IF($B1328="","",IFERROR(INDEX(Task_Tracker!$AB$5:$AB$1004,MATCH($B1328,Task_Tracker!$A$5:$A$1004,0)),""))</f>
        <v/>
      </c>
      <c r="U1328" s="78">
        <f>IF($B1328="","",IFERROR(INDEX(Task_Tracker!$F$5:$F$1004,MATCH($B1328,Task_Tracker!$A$5:$A$1004,0)),""))</f>
        <v/>
      </c>
      <c r="V1328" s="78">
        <f>IF($B1328="","",IFERROR(INDEX(Task_Tracker!$I$5:$I$1004,MATCH($B1328,Task_Tracker!$A$5:$A$1004,0)),""))</f>
        <v/>
      </c>
      <c r="W1328" s="81">
        <f>IF(OR($D1328="",$B1328=""),"",$D1328&amp;" | "&amp;$B1328)</f>
        <v/>
      </c>
      <c r="X1328" s="85">
        <f>IF($K1328="","",TEXT($K1328,"yyyy-mm"))</f>
        <v/>
      </c>
      <c r="Y1328" s="81">
        <f>IF(OR($A1328="",$T1328=""),"","Included in Manager_Report")</f>
        <v/>
      </c>
    </row>
    <row r="1329" ht="15" customHeight="1" s="40">
      <c r="A1329" s="65">
        <f>IF(COUNTA(B1329:G1329)=0,"","STP-"&amp;TEXT(ROW()-4,"0000"))</f>
        <v/>
      </c>
      <c r="B1329" s="78" t="n"/>
      <c r="C1329" s="67">
        <f>IF($B1329="","",IFERROR(INDEX(Task_Tracker!$D$5:$D$1004,MATCH($B1329,Task_Tracker!$A$5:$A$1004,0)),""))</f>
        <v/>
      </c>
      <c r="D1329" s="67">
        <f>IF($B1329="","",IFERROR(INDEX(Task_Tracker!$B$5:$B$1004,MATCH($B1329,Task_Tracker!$A$5:$A$1004,0)),""))</f>
        <v/>
      </c>
      <c r="E1329" s="81" t="n"/>
      <c r="F1329" s="81" t="n"/>
      <c r="G1329" s="78" t="n"/>
      <c r="H1329" s="78" t="n"/>
      <c r="I1329" s="67">
        <f>IF($H1329="","",IFERROR(INDEX(Action_Status_Map!$B$5:$B$11,MATCH($H1329,Action_Status_Map!$A$5:$A$11,0)),""))</f>
        <v/>
      </c>
      <c r="J1329" s="82" t="n"/>
      <c r="K1329" s="82" t="n"/>
      <c r="L1329" s="82" t="n"/>
      <c r="M1329" s="83" t="n"/>
      <c r="N1329" s="83" t="n"/>
      <c r="O1329" s="66">
        <f>IF(OR($M1329="",$N1329=""),"",$N1329-$M1329)</f>
        <v/>
      </c>
      <c r="P1329" s="84">
        <f>IF($J1329="","",IF($L1329&lt;&gt;"",$L1329-$J1329,TODAY()-$J1329))</f>
        <v/>
      </c>
      <c r="Q1329" s="85">
        <f>IF(OR($K1329="",$H1329="Completed",$H1329="Cancelled"),"",IF(AND($K1329&lt;TODAY(),$H1329&lt;&gt;"Completed",$H1329&lt;&gt;"Cancelled"),"Overdue","On Track"))</f>
        <v/>
      </c>
      <c r="R1329" s="81" t="n"/>
      <c r="S1329" s="81">
        <f>IF($B1329="","",IFERROR(INDEX(Task_Tracker!$AA$5:$AA$1004,MATCH($B1329,Task_Tracker!$A$5:$A$1004,0)),""))</f>
        <v/>
      </c>
      <c r="T1329" s="81">
        <f>IF($B1329="","",IFERROR(INDEX(Task_Tracker!$AB$5:$AB$1004,MATCH($B1329,Task_Tracker!$A$5:$A$1004,0)),""))</f>
        <v/>
      </c>
      <c r="U1329" s="78">
        <f>IF($B1329="","",IFERROR(INDEX(Task_Tracker!$F$5:$F$1004,MATCH($B1329,Task_Tracker!$A$5:$A$1004,0)),""))</f>
        <v/>
      </c>
      <c r="V1329" s="78">
        <f>IF($B1329="","",IFERROR(INDEX(Task_Tracker!$I$5:$I$1004,MATCH($B1329,Task_Tracker!$A$5:$A$1004,0)),""))</f>
        <v/>
      </c>
      <c r="W1329" s="81">
        <f>IF(OR($D1329="",$B1329=""),"",$D1329&amp;" | "&amp;$B1329)</f>
        <v/>
      </c>
      <c r="X1329" s="85">
        <f>IF($K1329="","",TEXT($K1329,"yyyy-mm"))</f>
        <v/>
      </c>
      <c r="Y1329" s="81">
        <f>IF(OR($A1329="",$T1329=""),"","Included in Manager_Report")</f>
        <v/>
      </c>
    </row>
    <row r="1330" ht="15" customHeight="1" s="40">
      <c r="A1330" s="65">
        <f>IF(COUNTA(B1330:G1330)=0,"","STP-"&amp;TEXT(ROW()-4,"0000"))</f>
        <v/>
      </c>
      <c r="B1330" s="78" t="n"/>
      <c r="C1330" s="67">
        <f>IF($B1330="","",IFERROR(INDEX(Task_Tracker!$D$5:$D$1004,MATCH($B1330,Task_Tracker!$A$5:$A$1004,0)),""))</f>
        <v/>
      </c>
      <c r="D1330" s="67">
        <f>IF($B1330="","",IFERROR(INDEX(Task_Tracker!$B$5:$B$1004,MATCH($B1330,Task_Tracker!$A$5:$A$1004,0)),""))</f>
        <v/>
      </c>
      <c r="E1330" s="81" t="n"/>
      <c r="F1330" s="81" t="n"/>
      <c r="G1330" s="78" t="n"/>
      <c r="H1330" s="78" t="n"/>
      <c r="I1330" s="67">
        <f>IF($H1330="","",IFERROR(INDEX(Action_Status_Map!$B$5:$B$11,MATCH($H1330,Action_Status_Map!$A$5:$A$11,0)),""))</f>
        <v/>
      </c>
      <c r="J1330" s="82" t="n"/>
      <c r="K1330" s="82" t="n"/>
      <c r="L1330" s="82" t="n"/>
      <c r="M1330" s="83" t="n"/>
      <c r="N1330" s="83" t="n"/>
      <c r="O1330" s="66">
        <f>IF(OR($M1330="",$N1330=""),"",$N1330-$M1330)</f>
        <v/>
      </c>
      <c r="P1330" s="84">
        <f>IF($J1330="","",IF($L1330&lt;&gt;"",$L1330-$J1330,TODAY()-$J1330))</f>
        <v/>
      </c>
      <c r="Q1330" s="85">
        <f>IF(OR($K1330="",$H1330="Completed",$H1330="Cancelled"),"",IF(AND($K1330&lt;TODAY(),$H1330&lt;&gt;"Completed",$H1330&lt;&gt;"Cancelled"),"Overdue","On Track"))</f>
        <v/>
      </c>
      <c r="R1330" s="81" t="n"/>
      <c r="S1330" s="81">
        <f>IF($B1330="","",IFERROR(INDEX(Task_Tracker!$AA$5:$AA$1004,MATCH($B1330,Task_Tracker!$A$5:$A$1004,0)),""))</f>
        <v/>
      </c>
      <c r="T1330" s="81">
        <f>IF($B1330="","",IFERROR(INDEX(Task_Tracker!$AB$5:$AB$1004,MATCH($B1330,Task_Tracker!$A$5:$A$1004,0)),""))</f>
        <v/>
      </c>
      <c r="U1330" s="78">
        <f>IF($B1330="","",IFERROR(INDEX(Task_Tracker!$F$5:$F$1004,MATCH($B1330,Task_Tracker!$A$5:$A$1004,0)),""))</f>
        <v/>
      </c>
      <c r="V1330" s="78">
        <f>IF($B1330="","",IFERROR(INDEX(Task_Tracker!$I$5:$I$1004,MATCH($B1330,Task_Tracker!$A$5:$A$1004,0)),""))</f>
        <v/>
      </c>
      <c r="W1330" s="81">
        <f>IF(OR($D1330="",$B1330=""),"",$D1330&amp;" | "&amp;$B1330)</f>
        <v/>
      </c>
      <c r="X1330" s="85">
        <f>IF($K1330="","",TEXT($K1330,"yyyy-mm"))</f>
        <v/>
      </c>
      <c r="Y1330" s="81">
        <f>IF(OR($A1330="",$T1330=""),"","Included in Manager_Report")</f>
        <v/>
      </c>
    </row>
    <row r="1331" ht="15" customHeight="1" s="40">
      <c r="A1331" s="65">
        <f>IF(COUNTA(B1331:G1331)=0,"","STP-"&amp;TEXT(ROW()-4,"0000"))</f>
        <v/>
      </c>
      <c r="B1331" s="78" t="n"/>
      <c r="C1331" s="67">
        <f>IF($B1331="","",IFERROR(INDEX(Task_Tracker!$D$5:$D$1004,MATCH($B1331,Task_Tracker!$A$5:$A$1004,0)),""))</f>
        <v/>
      </c>
      <c r="D1331" s="67">
        <f>IF($B1331="","",IFERROR(INDEX(Task_Tracker!$B$5:$B$1004,MATCH($B1331,Task_Tracker!$A$5:$A$1004,0)),""))</f>
        <v/>
      </c>
      <c r="E1331" s="81" t="n"/>
      <c r="F1331" s="81" t="n"/>
      <c r="G1331" s="78" t="n"/>
      <c r="H1331" s="78" t="n"/>
      <c r="I1331" s="67">
        <f>IF($H1331="","",IFERROR(INDEX(Action_Status_Map!$B$5:$B$11,MATCH($H1331,Action_Status_Map!$A$5:$A$11,0)),""))</f>
        <v/>
      </c>
      <c r="J1331" s="82" t="n"/>
      <c r="K1331" s="82" t="n"/>
      <c r="L1331" s="82" t="n"/>
      <c r="M1331" s="83" t="n"/>
      <c r="N1331" s="83" t="n"/>
      <c r="O1331" s="66">
        <f>IF(OR($M1331="",$N1331=""),"",$N1331-$M1331)</f>
        <v/>
      </c>
      <c r="P1331" s="84">
        <f>IF($J1331="","",IF($L1331&lt;&gt;"",$L1331-$J1331,TODAY()-$J1331))</f>
        <v/>
      </c>
      <c r="Q1331" s="85">
        <f>IF(OR($K1331="",$H1331="Completed",$H1331="Cancelled"),"",IF(AND($K1331&lt;TODAY(),$H1331&lt;&gt;"Completed",$H1331&lt;&gt;"Cancelled"),"Overdue","On Track"))</f>
        <v/>
      </c>
      <c r="R1331" s="81" t="n"/>
      <c r="S1331" s="81">
        <f>IF($B1331="","",IFERROR(INDEX(Task_Tracker!$AA$5:$AA$1004,MATCH($B1331,Task_Tracker!$A$5:$A$1004,0)),""))</f>
        <v/>
      </c>
      <c r="T1331" s="81">
        <f>IF($B1331="","",IFERROR(INDEX(Task_Tracker!$AB$5:$AB$1004,MATCH($B1331,Task_Tracker!$A$5:$A$1004,0)),""))</f>
        <v/>
      </c>
      <c r="U1331" s="78">
        <f>IF($B1331="","",IFERROR(INDEX(Task_Tracker!$F$5:$F$1004,MATCH($B1331,Task_Tracker!$A$5:$A$1004,0)),""))</f>
        <v/>
      </c>
      <c r="V1331" s="78">
        <f>IF($B1331="","",IFERROR(INDEX(Task_Tracker!$I$5:$I$1004,MATCH($B1331,Task_Tracker!$A$5:$A$1004,0)),""))</f>
        <v/>
      </c>
      <c r="W1331" s="81">
        <f>IF(OR($D1331="",$B1331=""),"",$D1331&amp;" | "&amp;$B1331)</f>
        <v/>
      </c>
      <c r="X1331" s="85">
        <f>IF($K1331="","",TEXT($K1331,"yyyy-mm"))</f>
        <v/>
      </c>
      <c r="Y1331" s="81">
        <f>IF(OR($A1331="",$T1331=""),"","Included in Manager_Report")</f>
        <v/>
      </c>
    </row>
    <row r="1332" ht="15" customHeight="1" s="40">
      <c r="A1332" s="65">
        <f>IF(COUNTA(B1332:G1332)=0,"","STP-"&amp;TEXT(ROW()-4,"0000"))</f>
        <v/>
      </c>
      <c r="B1332" s="78" t="n"/>
      <c r="C1332" s="67">
        <f>IF($B1332="","",IFERROR(INDEX(Task_Tracker!$D$5:$D$1004,MATCH($B1332,Task_Tracker!$A$5:$A$1004,0)),""))</f>
        <v/>
      </c>
      <c r="D1332" s="67">
        <f>IF($B1332="","",IFERROR(INDEX(Task_Tracker!$B$5:$B$1004,MATCH($B1332,Task_Tracker!$A$5:$A$1004,0)),""))</f>
        <v/>
      </c>
      <c r="E1332" s="81" t="n"/>
      <c r="F1332" s="81" t="n"/>
      <c r="G1332" s="78" t="n"/>
      <c r="H1332" s="78" t="n"/>
      <c r="I1332" s="67">
        <f>IF($H1332="","",IFERROR(INDEX(Action_Status_Map!$B$5:$B$11,MATCH($H1332,Action_Status_Map!$A$5:$A$11,0)),""))</f>
        <v/>
      </c>
      <c r="J1332" s="82" t="n"/>
      <c r="K1332" s="82" t="n"/>
      <c r="L1332" s="82" t="n"/>
      <c r="M1332" s="83" t="n"/>
      <c r="N1332" s="83" t="n"/>
      <c r="O1332" s="66">
        <f>IF(OR($M1332="",$N1332=""),"",$N1332-$M1332)</f>
        <v/>
      </c>
      <c r="P1332" s="84">
        <f>IF($J1332="","",IF($L1332&lt;&gt;"",$L1332-$J1332,TODAY()-$J1332))</f>
        <v/>
      </c>
      <c r="Q1332" s="85">
        <f>IF(OR($K1332="",$H1332="Completed",$H1332="Cancelled"),"",IF(AND($K1332&lt;TODAY(),$H1332&lt;&gt;"Completed",$H1332&lt;&gt;"Cancelled"),"Overdue","On Track"))</f>
        <v/>
      </c>
      <c r="R1332" s="81" t="n"/>
      <c r="S1332" s="81">
        <f>IF($B1332="","",IFERROR(INDEX(Task_Tracker!$AA$5:$AA$1004,MATCH($B1332,Task_Tracker!$A$5:$A$1004,0)),""))</f>
        <v/>
      </c>
      <c r="T1332" s="81">
        <f>IF($B1332="","",IFERROR(INDEX(Task_Tracker!$AB$5:$AB$1004,MATCH($B1332,Task_Tracker!$A$5:$A$1004,0)),""))</f>
        <v/>
      </c>
      <c r="U1332" s="78">
        <f>IF($B1332="","",IFERROR(INDEX(Task_Tracker!$F$5:$F$1004,MATCH($B1332,Task_Tracker!$A$5:$A$1004,0)),""))</f>
        <v/>
      </c>
      <c r="V1332" s="78">
        <f>IF($B1332="","",IFERROR(INDEX(Task_Tracker!$I$5:$I$1004,MATCH($B1332,Task_Tracker!$A$5:$A$1004,0)),""))</f>
        <v/>
      </c>
      <c r="W1332" s="81">
        <f>IF(OR($D1332="",$B1332=""),"",$D1332&amp;" | "&amp;$B1332)</f>
        <v/>
      </c>
      <c r="X1332" s="85">
        <f>IF($K1332="","",TEXT($K1332,"yyyy-mm"))</f>
        <v/>
      </c>
      <c r="Y1332" s="81">
        <f>IF(OR($A1332="",$T1332=""),"","Included in Manager_Report")</f>
        <v/>
      </c>
    </row>
    <row r="1333" ht="15" customHeight="1" s="40">
      <c r="A1333" s="65">
        <f>IF(COUNTA(B1333:G1333)=0,"","STP-"&amp;TEXT(ROW()-4,"0000"))</f>
        <v/>
      </c>
      <c r="B1333" s="78" t="n"/>
      <c r="C1333" s="67">
        <f>IF($B1333="","",IFERROR(INDEX(Task_Tracker!$D$5:$D$1004,MATCH($B1333,Task_Tracker!$A$5:$A$1004,0)),""))</f>
        <v/>
      </c>
      <c r="D1333" s="67">
        <f>IF($B1333="","",IFERROR(INDEX(Task_Tracker!$B$5:$B$1004,MATCH($B1333,Task_Tracker!$A$5:$A$1004,0)),""))</f>
        <v/>
      </c>
      <c r="E1333" s="81" t="n"/>
      <c r="F1333" s="81" t="n"/>
      <c r="G1333" s="78" t="n"/>
      <c r="H1333" s="78" t="n"/>
      <c r="I1333" s="67">
        <f>IF($H1333="","",IFERROR(INDEX(Action_Status_Map!$B$5:$B$11,MATCH($H1333,Action_Status_Map!$A$5:$A$11,0)),""))</f>
        <v/>
      </c>
      <c r="J1333" s="82" t="n"/>
      <c r="K1333" s="82" t="n"/>
      <c r="L1333" s="82" t="n"/>
      <c r="M1333" s="83" t="n"/>
      <c r="N1333" s="83" t="n"/>
      <c r="O1333" s="66">
        <f>IF(OR($M1333="",$N1333=""),"",$N1333-$M1333)</f>
        <v/>
      </c>
      <c r="P1333" s="84">
        <f>IF($J1333="","",IF($L1333&lt;&gt;"",$L1333-$J1333,TODAY()-$J1333))</f>
        <v/>
      </c>
      <c r="Q1333" s="85">
        <f>IF(OR($K1333="",$H1333="Completed",$H1333="Cancelled"),"",IF(AND($K1333&lt;TODAY(),$H1333&lt;&gt;"Completed",$H1333&lt;&gt;"Cancelled"),"Overdue","On Track"))</f>
        <v/>
      </c>
      <c r="R1333" s="81" t="n"/>
      <c r="S1333" s="81">
        <f>IF($B1333="","",IFERROR(INDEX(Task_Tracker!$AA$5:$AA$1004,MATCH($B1333,Task_Tracker!$A$5:$A$1004,0)),""))</f>
        <v/>
      </c>
      <c r="T1333" s="81">
        <f>IF($B1333="","",IFERROR(INDEX(Task_Tracker!$AB$5:$AB$1004,MATCH($B1333,Task_Tracker!$A$5:$A$1004,0)),""))</f>
        <v/>
      </c>
      <c r="U1333" s="78">
        <f>IF($B1333="","",IFERROR(INDEX(Task_Tracker!$F$5:$F$1004,MATCH($B1333,Task_Tracker!$A$5:$A$1004,0)),""))</f>
        <v/>
      </c>
      <c r="V1333" s="78">
        <f>IF($B1333="","",IFERROR(INDEX(Task_Tracker!$I$5:$I$1004,MATCH($B1333,Task_Tracker!$A$5:$A$1004,0)),""))</f>
        <v/>
      </c>
      <c r="W1333" s="81">
        <f>IF(OR($D1333="",$B1333=""),"",$D1333&amp;" | "&amp;$B1333)</f>
        <v/>
      </c>
      <c r="X1333" s="85">
        <f>IF($K1333="","",TEXT($K1333,"yyyy-mm"))</f>
        <v/>
      </c>
      <c r="Y1333" s="81">
        <f>IF(OR($A1333="",$T1333=""),"","Included in Manager_Report")</f>
        <v/>
      </c>
    </row>
    <row r="1334" ht="15" customHeight="1" s="40">
      <c r="A1334" s="65">
        <f>IF(COUNTA(B1334:G1334)=0,"","STP-"&amp;TEXT(ROW()-4,"0000"))</f>
        <v/>
      </c>
      <c r="B1334" s="78" t="n"/>
      <c r="C1334" s="67">
        <f>IF($B1334="","",IFERROR(INDEX(Task_Tracker!$D$5:$D$1004,MATCH($B1334,Task_Tracker!$A$5:$A$1004,0)),""))</f>
        <v/>
      </c>
      <c r="D1334" s="67">
        <f>IF($B1334="","",IFERROR(INDEX(Task_Tracker!$B$5:$B$1004,MATCH($B1334,Task_Tracker!$A$5:$A$1004,0)),""))</f>
        <v/>
      </c>
      <c r="E1334" s="81" t="n"/>
      <c r="F1334" s="81" t="n"/>
      <c r="G1334" s="78" t="n"/>
      <c r="H1334" s="78" t="n"/>
      <c r="I1334" s="67">
        <f>IF($H1334="","",IFERROR(INDEX(Action_Status_Map!$B$5:$B$11,MATCH($H1334,Action_Status_Map!$A$5:$A$11,0)),""))</f>
        <v/>
      </c>
      <c r="J1334" s="82" t="n"/>
      <c r="K1334" s="82" t="n"/>
      <c r="L1334" s="82" t="n"/>
      <c r="M1334" s="83" t="n"/>
      <c r="N1334" s="83" t="n"/>
      <c r="O1334" s="66">
        <f>IF(OR($M1334="",$N1334=""),"",$N1334-$M1334)</f>
        <v/>
      </c>
      <c r="P1334" s="84">
        <f>IF($J1334="","",IF($L1334&lt;&gt;"",$L1334-$J1334,TODAY()-$J1334))</f>
        <v/>
      </c>
      <c r="Q1334" s="85">
        <f>IF(OR($K1334="",$H1334="Completed",$H1334="Cancelled"),"",IF(AND($K1334&lt;TODAY(),$H1334&lt;&gt;"Completed",$H1334&lt;&gt;"Cancelled"),"Overdue","On Track"))</f>
        <v/>
      </c>
      <c r="R1334" s="81" t="n"/>
      <c r="S1334" s="81">
        <f>IF($B1334="","",IFERROR(INDEX(Task_Tracker!$AA$5:$AA$1004,MATCH($B1334,Task_Tracker!$A$5:$A$1004,0)),""))</f>
        <v/>
      </c>
      <c r="T1334" s="81">
        <f>IF($B1334="","",IFERROR(INDEX(Task_Tracker!$AB$5:$AB$1004,MATCH($B1334,Task_Tracker!$A$5:$A$1004,0)),""))</f>
        <v/>
      </c>
      <c r="U1334" s="78">
        <f>IF($B1334="","",IFERROR(INDEX(Task_Tracker!$F$5:$F$1004,MATCH($B1334,Task_Tracker!$A$5:$A$1004,0)),""))</f>
        <v/>
      </c>
      <c r="V1334" s="78">
        <f>IF($B1334="","",IFERROR(INDEX(Task_Tracker!$I$5:$I$1004,MATCH($B1334,Task_Tracker!$A$5:$A$1004,0)),""))</f>
        <v/>
      </c>
      <c r="W1334" s="81">
        <f>IF(OR($D1334="",$B1334=""),"",$D1334&amp;" | "&amp;$B1334)</f>
        <v/>
      </c>
      <c r="X1334" s="85">
        <f>IF($K1334="","",TEXT($K1334,"yyyy-mm"))</f>
        <v/>
      </c>
      <c r="Y1334" s="81">
        <f>IF(OR($A1334="",$T1334=""),"","Included in Manager_Report")</f>
        <v/>
      </c>
    </row>
    <row r="1335" ht="15" customHeight="1" s="40">
      <c r="A1335" s="65">
        <f>IF(COUNTA(B1335:G1335)=0,"","STP-"&amp;TEXT(ROW()-4,"0000"))</f>
        <v/>
      </c>
      <c r="B1335" s="78" t="n"/>
      <c r="C1335" s="67">
        <f>IF($B1335="","",IFERROR(INDEX(Task_Tracker!$D$5:$D$1004,MATCH($B1335,Task_Tracker!$A$5:$A$1004,0)),""))</f>
        <v/>
      </c>
      <c r="D1335" s="67">
        <f>IF($B1335="","",IFERROR(INDEX(Task_Tracker!$B$5:$B$1004,MATCH($B1335,Task_Tracker!$A$5:$A$1004,0)),""))</f>
        <v/>
      </c>
      <c r="E1335" s="81" t="n"/>
      <c r="F1335" s="81" t="n"/>
      <c r="G1335" s="78" t="n"/>
      <c r="H1335" s="78" t="n"/>
      <c r="I1335" s="67">
        <f>IF($H1335="","",IFERROR(INDEX(Action_Status_Map!$B$5:$B$11,MATCH($H1335,Action_Status_Map!$A$5:$A$11,0)),""))</f>
        <v/>
      </c>
      <c r="J1335" s="82" t="n"/>
      <c r="K1335" s="82" t="n"/>
      <c r="L1335" s="82" t="n"/>
      <c r="M1335" s="83" t="n"/>
      <c r="N1335" s="83" t="n"/>
      <c r="O1335" s="66">
        <f>IF(OR($M1335="",$N1335=""),"",$N1335-$M1335)</f>
        <v/>
      </c>
      <c r="P1335" s="84">
        <f>IF($J1335="","",IF($L1335&lt;&gt;"",$L1335-$J1335,TODAY()-$J1335))</f>
        <v/>
      </c>
      <c r="Q1335" s="85">
        <f>IF(OR($K1335="",$H1335="Completed",$H1335="Cancelled"),"",IF(AND($K1335&lt;TODAY(),$H1335&lt;&gt;"Completed",$H1335&lt;&gt;"Cancelled"),"Overdue","On Track"))</f>
        <v/>
      </c>
      <c r="R1335" s="81" t="n"/>
      <c r="S1335" s="81">
        <f>IF($B1335="","",IFERROR(INDEX(Task_Tracker!$AA$5:$AA$1004,MATCH($B1335,Task_Tracker!$A$5:$A$1004,0)),""))</f>
        <v/>
      </c>
      <c r="T1335" s="81">
        <f>IF($B1335="","",IFERROR(INDEX(Task_Tracker!$AB$5:$AB$1004,MATCH($B1335,Task_Tracker!$A$5:$A$1004,0)),""))</f>
        <v/>
      </c>
      <c r="U1335" s="78">
        <f>IF($B1335="","",IFERROR(INDEX(Task_Tracker!$F$5:$F$1004,MATCH($B1335,Task_Tracker!$A$5:$A$1004,0)),""))</f>
        <v/>
      </c>
      <c r="V1335" s="78">
        <f>IF($B1335="","",IFERROR(INDEX(Task_Tracker!$I$5:$I$1004,MATCH($B1335,Task_Tracker!$A$5:$A$1004,0)),""))</f>
        <v/>
      </c>
      <c r="W1335" s="81">
        <f>IF(OR($D1335="",$B1335=""),"",$D1335&amp;" | "&amp;$B1335)</f>
        <v/>
      </c>
      <c r="X1335" s="85">
        <f>IF($K1335="","",TEXT($K1335,"yyyy-mm"))</f>
        <v/>
      </c>
      <c r="Y1335" s="81">
        <f>IF(OR($A1335="",$T1335=""),"","Included in Manager_Report")</f>
        <v/>
      </c>
    </row>
    <row r="1336" ht="15" customHeight="1" s="40">
      <c r="A1336" s="65">
        <f>IF(COUNTA(B1336:G1336)=0,"","STP-"&amp;TEXT(ROW()-4,"0000"))</f>
        <v/>
      </c>
      <c r="B1336" s="78" t="n"/>
      <c r="C1336" s="67">
        <f>IF($B1336="","",IFERROR(INDEX(Task_Tracker!$D$5:$D$1004,MATCH($B1336,Task_Tracker!$A$5:$A$1004,0)),""))</f>
        <v/>
      </c>
      <c r="D1336" s="67">
        <f>IF($B1336="","",IFERROR(INDEX(Task_Tracker!$B$5:$B$1004,MATCH($B1336,Task_Tracker!$A$5:$A$1004,0)),""))</f>
        <v/>
      </c>
      <c r="E1336" s="81" t="n"/>
      <c r="F1336" s="81" t="n"/>
      <c r="G1336" s="78" t="n"/>
      <c r="H1336" s="78" t="n"/>
      <c r="I1336" s="67">
        <f>IF($H1336="","",IFERROR(INDEX(Action_Status_Map!$B$5:$B$11,MATCH($H1336,Action_Status_Map!$A$5:$A$11,0)),""))</f>
        <v/>
      </c>
      <c r="J1336" s="82" t="n"/>
      <c r="K1336" s="82" t="n"/>
      <c r="L1336" s="82" t="n"/>
      <c r="M1336" s="83" t="n"/>
      <c r="N1336" s="83" t="n"/>
      <c r="O1336" s="66">
        <f>IF(OR($M1336="",$N1336=""),"",$N1336-$M1336)</f>
        <v/>
      </c>
      <c r="P1336" s="84">
        <f>IF($J1336="","",IF($L1336&lt;&gt;"",$L1336-$J1336,TODAY()-$J1336))</f>
        <v/>
      </c>
      <c r="Q1336" s="85">
        <f>IF(OR($K1336="",$H1336="Completed",$H1336="Cancelled"),"",IF(AND($K1336&lt;TODAY(),$H1336&lt;&gt;"Completed",$H1336&lt;&gt;"Cancelled"),"Overdue","On Track"))</f>
        <v/>
      </c>
      <c r="R1336" s="81" t="n"/>
      <c r="S1336" s="81">
        <f>IF($B1336="","",IFERROR(INDEX(Task_Tracker!$AA$5:$AA$1004,MATCH($B1336,Task_Tracker!$A$5:$A$1004,0)),""))</f>
        <v/>
      </c>
      <c r="T1336" s="81">
        <f>IF($B1336="","",IFERROR(INDEX(Task_Tracker!$AB$5:$AB$1004,MATCH($B1336,Task_Tracker!$A$5:$A$1004,0)),""))</f>
        <v/>
      </c>
      <c r="U1336" s="78">
        <f>IF($B1336="","",IFERROR(INDEX(Task_Tracker!$F$5:$F$1004,MATCH($B1336,Task_Tracker!$A$5:$A$1004,0)),""))</f>
        <v/>
      </c>
      <c r="V1336" s="78">
        <f>IF($B1336="","",IFERROR(INDEX(Task_Tracker!$I$5:$I$1004,MATCH($B1336,Task_Tracker!$A$5:$A$1004,0)),""))</f>
        <v/>
      </c>
      <c r="W1336" s="81">
        <f>IF(OR($D1336="",$B1336=""),"",$D1336&amp;" | "&amp;$B1336)</f>
        <v/>
      </c>
      <c r="X1336" s="85">
        <f>IF($K1336="","",TEXT($K1336,"yyyy-mm"))</f>
        <v/>
      </c>
      <c r="Y1336" s="81">
        <f>IF(OR($A1336="",$T1336=""),"","Included in Manager_Report")</f>
        <v/>
      </c>
    </row>
    <row r="1337" ht="15" customHeight="1" s="40">
      <c r="A1337" s="65">
        <f>IF(COUNTA(B1337:G1337)=0,"","STP-"&amp;TEXT(ROW()-4,"0000"))</f>
        <v/>
      </c>
      <c r="B1337" s="78" t="n"/>
      <c r="C1337" s="67">
        <f>IF($B1337="","",IFERROR(INDEX(Task_Tracker!$D$5:$D$1004,MATCH($B1337,Task_Tracker!$A$5:$A$1004,0)),""))</f>
        <v/>
      </c>
      <c r="D1337" s="67">
        <f>IF($B1337="","",IFERROR(INDEX(Task_Tracker!$B$5:$B$1004,MATCH($B1337,Task_Tracker!$A$5:$A$1004,0)),""))</f>
        <v/>
      </c>
      <c r="E1337" s="81" t="n"/>
      <c r="F1337" s="81" t="n"/>
      <c r="G1337" s="78" t="n"/>
      <c r="H1337" s="78" t="n"/>
      <c r="I1337" s="67">
        <f>IF($H1337="","",IFERROR(INDEX(Action_Status_Map!$B$5:$B$11,MATCH($H1337,Action_Status_Map!$A$5:$A$11,0)),""))</f>
        <v/>
      </c>
      <c r="J1337" s="82" t="n"/>
      <c r="K1337" s="82" t="n"/>
      <c r="L1337" s="82" t="n"/>
      <c r="M1337" s="83" t="n"/>
      <c r="N1337" s="83" t="n"/>
      <c r="O1337" s="66">
        <f>IF(OR($M1337="",$N1337=""),"",$N1337-$M1337)</f>
        <v/>
      </c>
      <c r="P1337" s="84">
        <f>IF($J1337="","",IF($L1337&lt;&gt;"",$L1337-$J1337,TODAY()-$J1337))</f>
        <v/>
      </c>
      <c r="Q1337" s="85">
        <f>IF(OR($K1337="",$H1337="Completed",$H1337="Cancelled"),"",IF(AND($K1337&lt;TODAY(),$H1337&lt;&gt;"Completed",$H1337&lt;&gt;"Cancelled"),"Overdue","On Track"))</f>
        <v/>
      </c>
      <c r="R1337" s="81" t="n"/>
      <c r="S1337" s="81">
        <f>IF($B1337="","",IFERROR(INDEX(Task_Tracker!$AA$5:$AA$1004,MATCH($B1337,Task_Tracker!$A$5:$A$1004,0)),""))</f>
        <v/>
      </c>
      <c r="T1337" s="81">
        <f>IF($B1337="","",IFERROR(INDEX(Task_Tracker!$AB$5:$AB$1004,MATCH($B1337,Task_Tracker!$A$5:$A$1004,0)),""))</f>
        <v/>
      </c>
      <c r="U1337" s="78">
        <f>IF($B1337="","",IFERROR(INDEX(Task_Tracker!$F$5:$F$1004,MATCH($B1337,Task_Tracker!$A$5:$A$1004,0)),""))</f>
        <v/>
      </c>
      <c r="V1337" s="78">
        <f>IF($B1337="","",IFERROR(INDEX(Task_Tracker!$I$5:$I$1004,MATCH($B1337,Task_Tracker!$A$5:$A$1004,0)),""))</f>
        <v/>
      </c>
      <c r="W1337" s="81">
        <f>IF(OR($D1337="",$B1337=""),"",$D1337&amp;" | "&amp;$B1337)</f>
        <v/>
      </c>
      <c r="X1337" s="85">
        <f>IF($K1337="","",TEXT($K1337,"yyyy-mm"))</f>
        <v/>
      </c>
      <c r="Y1337" s="81">
        <f>IF(OR($A1337="",$T1337=""),"","Included in Manager_Report")</f>
        <v/>
      </c>
    </row>
    <row r="1338" ht="15" customHeight="1" s="40">
      <c r="A1338" s="65">
        <f>IF(COUNTA(B1338:G1338)=0,"","STP-"&amp;TEXT(ROW()-4,"0000"))</f>
        <v/>
      </c>
      <c r="B1338" s="78" t="n"/>
      <c r="C1338" s="67">
        <f>IF($B1338="","",IFERROR(INDEX(Task_Tracker!$D$5:$D$1004,MATCH($B1338,Task_Tracker!$A$5:$A$1004,0)),""))</f>
        <v/>
      </c>
      <c r="D1338" s="67">
        <f>IF($B1338="","",IFERROR(INDEX(Task_Tracker!$B$5:$B$1004,MATCH($B1338,Task_Tracker!$A$5:$A$1004,0)),""))</f>
        <v/>
      </c>
      <c r="E1338" s="81" t="n"/>
      <c r="F1338" s="81" t="n"/>
      <c r="G1338" s="78" t="n"/>
      <c r="H1338" s="78" t="n"/>
      <c r="I1338" s="67">
        <f>IF($H1338="","",IFERROR(INDEX(Action_Status_Map!$B$5:$B$11,MATCH($H1338,Action_Status_Map!$A$5:$A$11,0)),""))</f>
        <v/>
      </c>
      <c r="J1338" s="82" t="n"/>
      <c r="K1338" s="82" t="n"/>
      <c r="L1338" s="82" t="n"/>
      <c r="M1338" s="83" t="n"/>
      <c r="N1338" s="83" t="n"/>
      <c r="O1338" s="66">
        <f>IF(OR($M1338="",$N1338=""),"",$N1338-$M1338)</f>
        <v/>
      </c>
      <c r="P1338" s="84">
        <f>IF($J1338="","",IF($L1338&lt;&gt;"",$L1338-$J1338,TODAY()-$J1338))</f>
        <v/>
      </c>
      <c r="Q1338" s="85">
        <f>IF(OR($K1338="",$H1338="Completed",$H1338="Cancelled"),"",IF(AND($K1338&lt;TODAY(),$H1338&lt;&gt;"Completed",$H1338&lt;&gt;"Cancelled"),"Overdue","On Track"))</f>
        <v/>
      </c>
      <c r="R1338" s="81" t="n"/>
      <c r="S1338" s="81">
        <f>IF($B1338="","",IFERROR(INDEX(Task_Tracker!$AA$5:$AA$1004,MATCH($B1338,Task_Tracker!$A$5:$A$1004,0)),""))</f>
        <v/>
      </c>
      <c r="T1338" s="81">
        <f>IF($B1338="","",IFERROR(INDEX(Task_Tracker!$AB$5:$AB$1004,MATCH($B1338,Task_Tracker!$A$5:$A$1004,0)),""))</f>
        <v/>
      </c>
      <c r="U1338" s="78">
        <f>IF($B1338="","",IFERROR(INDEX(Task_Tracker!$F$5:$F$1004,MATCH($B1338,Task_Tracker!$A$5:$A$1004,0)),""))</f>
        <v/>
      </c>
      <c r="V1338" s="78">
        <f>IF($B1338="","",IFERROR(INDEX(Task_Tracker!$I$5:$I$1004,MATCH($B1338,Task_Tracker!$A$5:$A$1004,0)),""))</f>
        <v/>
      </c>
      <c r="W1338" s="81">
        <f>IF(OR($D1338="",$B1338=""),"",$D1338&amp;" | "&amp;$B1338)</f>
        <v/>
      </c>
      <c r="X1338" s="85">
        <f>IF($K1338="","",TEXT($K1338,"yyyy-mm"))</f>
        <v/>
      </c>
      <c r="Y1338" s="81">
        <f>IF(OR($A1338="",$T1338=""),"","Included in Manager_Report")</f>
        <v/>
      </c>
    </row>
    <row r="1339" ht="15" customHeight="1" s="40">
      <c r="A1339" s="65">
        <f>IF(COUNTA(B1339:G1339)=0,"","STP-"&amp;TEXT(ROW()-4,"0000"))</f>
        <v/>
      </c>
      <c r="B1339" s="78" t="n"/>
      <c r="C1339" s="67">
        <f>IF($B1339="","",IFERROR(INDEX(Task_Tracker!$D$5:$D$1004,MATCH($B1339,Task_Tracker!$A$5:$A$1004,0)),""))</f>
        <v/>
      </c>
      <c r="D1339" s="67">
        <f>IF($B1339="","",IFERROR(INDEX(Task_Tracker!$B$5:$B$1004,MATCH($B1339,Task_Tracker!$A$5:$A$1004,0)),""))</f>
        <v/>
      </c>
      <c r="E1339" s="81" t="n"/>
      <c r="F1339" s="81" t="n"/>
      <c r="G1339" s="78" t="n"/>
      <c r="H1339" s="78" t="n"/>
      <c r="I1339" s="67">
        <f>IF($H1339="","",IFERROR(INDEX(Action_Status_Map!$B$5:$B$11,MATCH($H1339,Action_Status_Map!$A$5:$A$11,0)),""))</f>
        <v/>
      </c>
      <c r="J1339" s="82" t="n"/>
      <c r="K1339" s="82" t="n"/>
      <c r="L1339" s="82" t="n"/>
      <c r="M1339" s="83" t="n"/>
      <c r="N1339" s="83" t="n"/>
      <c r="O1339" s="66">
        <f>IF(OR($M1339="",$N1339=""),"",$N1339-$M1339)</f>
        <v/>
      </c>
      <c r="P1339" s="84">
        <f>IF($J1339="","",IF($L1339&lt;&gt;"",$L1339-$J1339,TODAY()-$J1339))</f>
        <v/>
      </c>
      <c r="Q1339" s="85">
        <f>IF(OR($K1339="",$H1339="Completed",$H1339="Cancelled"),"",IF(AND($K1339&lt;TODAY(),$H1339&lt;&gt;"Completed",$H1339&lt;&gt;"Cancelled"),"Overdue","On Track"))</f>
        <v/>
      </c>
      <c r="R1339" s="81" t="n"/>
      <c r="S1339" s="81">
        <f>IF($B1339="","",IFERROR(INDEX(Task_Tracker!$AA$5:$AA$1004,MATCH($B1339,Task_Tracker!$A$5:$A$1004,0)),""))</f>
        <v/>
      </c>
      <c r="T1339" s="81">
        <f>IF($B1339="","",IFERROR(INDEX(Task_Tracker!$AB$5:$AB$1004,MATCH($B1339,Task_Tracker!$A$5:$A$1004,0)),""))</f>
        <v/>
      </c>
      <c r="U1339" s="78">
        <f>IF($B1339="","",IFERROR(INDEX(Task_Tracker!$F$5:$F$1004,MATCH($B1339,Task_Tracker!$A$5:$A$1004,0)),""))</f>
        <v/>
      </c>
      <c r="V1339" s="78">
        <f>IF($B1339="","",IFERROR(INDEX(Task_Tracker!$I$5:$I$1004,MATCH($B1339,Task_Tracker!$A$5:$A$1004,0)),""))</f>
        <v/>
      </c>
      <c r="W1339" s="81">
        <f>IF(OR($D1339="",$B1339=""),"",$D1339&amp;" | "&amp;$B1339)</f>
        <v/>
      </c>
      <c r="X1339" s="85">
        <f>IF($K1339="","",TEXT($K1339,"yyyy-mm"))</f>
        <v/>
      </c>
      <c r="Y1339" s="81">
        <f>IF(OR($A1339="",$T1339=""),"","Included in Manager_Report")</f>
        <v/>
      </c>
    </row>
    <row r="1340" ht="15" customHeight="1" s="40">
      <c r="A1340" s="65">
        <f>IF(COUNTA(B1340:G1340)=0,"","STP-"&amp;TEXT(ROW()-4,"0000"))</f>
        <v/>
      </c>
      <c r="B1340" s="78" t="n"/>
      <c r="C1340" s="67">
        <f>IF($B1340="","",IFERROR(INDEX(Task_Tracker!$D$5:$D$1004,MATCH($B1340,Task_Tracker!$A$5:$A$1004,0)),""))</f>
        <v/>
      </c>
      <c r="D1340" s="67">
        <f>IF($B1340="","",IFERROR(INDEX(Task_Tracker!$B$5:$B$1004,MATCH($B1340,Task_Tracker!$A$5:$A$1004,0)),""))</f>
        <v/>
      </c>
      <c r="E1340" s="81" t="n"/>
      <c r="F1340" s="81" t="n"/>
      <c r="G1340" s="78" t="n"/>
      <c r="H1340" s="78" t="n"/>
      <c r="I1340" s="67">
        <f>IF($H1340="","",IFERROR(INDEX(Action_Status_Map!$B$5:$B$11,MATCH($H1340,Action_Status_Map!$A$5:$A$11,0)),""))</f>
        <v/>
      </c>
      <c r="J1340" s="82" t="n"/>
      <c r="K1340" s="82" t="n"/>
      <c r="L1340" s="82" t="n"/>
      <c r="M1340" s="83" t="n"/>
      <c r="N1340" s="83" t="n"/>
      <c r="O1340" s="66">
        <f>IF(OR($M1340="",$N1340=""),"",$N1340-$M1340)</f>
        <v/>
      </c>
      <c r="P1340" s="84">
        <f>IF($J1340="","",IF($L1340&lt;&gt;"",$L1340-$J1340,TODAY()-$J1340))</f>
        <v/>
      </c>
      <c r="Q1340" s="85">
        <f>IF(OR($K1340="",$H1340="Completed",$H1340="Cancelled"),"",IF(AND($K1340&lt;TODAY(),$H1340&lt;&gt;"Completed",$H1340&lt;&gt;"Cancelled"),"Overdue","On Track"))</f>
        <v/>
      </c>
      <c r="R1340" s="81" t="n"/>
      <c r="S1340" s="81">
        <f>IF($B1340="","",IFERROR(INDEX(Task_Tracker!$AA$5:$AA$1004,MATCH($B1340,Task_Tracker!$A$5:$A$1004,0)),""))</f>
        <v/>
      </c>
      <c r="T1340" s="81">
        <f>IF($B1340="","",IFERROR(INDEX(Task_Tracker!$AB$5:$AB$1004,MATCH($B1340,Task_Tracker!$A$5:$A$1004,0)),""))</f>
        <v/>
      </c>
      <c r="U1340" s="78">
        <f>IF($B1340="","",IFERROR(INDEX(Task_Tracker!$F$5:$F$1004,MATCH($B1340,Task_Tracker!$A$5:$A$1004,0)),""))</f>
        <v/>
      </c>
      <c r="V1340" s="78">
        <f>IF($B1340="","",IFERROR(INDEX(Task_Tracker!$I$5:$I$1004,MATCH($B1340,Task_Tracker!$A$5:$A$1004,0)),""))</f>
        <v/>
      </c>
      <c r="W1340" s="81">
        <f>IF(OR($D1340="",$B1340=""),"",$D1340&amp;" | "&amp;$B1340)</f>
        <v/>
      </c>
      <c r="X1340" s="85">
        <f>IF($K1340="","",TEXT($K1340,"yyyy-mm"))</f>
        <v/>
      </c>
      <c r="Y1340" s="81">
        <f>IF(OR($A1340="",$T1340=""),"","Included in Manager_Report")</f>
        <v/>
      </c>
    </row>
    <row r="1341" ht="15" customHeight="1" s="40">
      <c r="A1341" s="65">
        <f>IF(COUNTA(B1341:G1341)=0,"","STP-"&amp;TEXT(ROW()-4,"0000"))</f>
        <v/>
      </c>
      <c r="B1341" s="78" t="n"/>
      <c r="C1341" s="67">
        <f>IF($B1341="","",IFERROR(INDEX(Task_Tracker!$D$5:$D$1004,MATCH($B1341,Task_Tracker!$A$5:$A$1004,0)),""))</f>
        <v/>
      </c>
      <c r="D1341" s="67">
        <f>IF($B1341="","",IFERROR(INDEX(Task_Tracker!$B$5:$B$1004,MATCH($B1341,Task_Tracker!$A$5:$A$1004,0)),""))</f>
        <v/>
      </c>
      <c r="E1341" s="81" t="n"/>
      <c r="F1341" s="81" t="n"/>
      <c r="G1341" s="78" t="n"/>
      <c r="H1341" s="78" t="n"/>
      <c r="I1341" s="67">
        <f>IF($H1341="","",IFERROR(INDEX(Action_Status_Map!$B$5:$B$11,MATCH($H1341,Action_Status_Map!$A$5:$A$11,0)),""))</f>
        <v/>
      </c>
      <c r="J1341" s="82" t="n"/>
      <c r="K1341" s="82" t="n"/>
      <c r="L1341" s="82" t="n"/>
      <c r="M1341" s="83" t="n"/>
      <c r="N1341" s="83" t="n"/>
      <c r="O1341" s="66">
        <f>IF(OR($M1341="",$N1341=""),"",$N1341-$M1341)</f>
        <v/>
      </c>
      <c r="P1341" s="84">
        <f>IF($J1341="","",IF($L1341&lt;&gt;"",$L1341-$J1341,TODAY()-$J1341))</f>
        <v/>
      </c>
      <c r="Q1341" s="85">
        <f>IF(OR($K1341="",$H1341="Completed",$H1341="Cancelled"),"",IF(AND($K1341&lt;TODAY(),$H1341&lt;&gt;"Completed",$H1341&lt;&gt;"Cancelled"),"Overdue","On Track"))</f>
        <v/>
      </c>
      <c r="R1341" s="81" t="n"/>
      <c r="S1341" s="81">
        <f>IF($B1341="","",IFERROR(INDEX(Task_Tracker!$AA$5:$AA$1004,MATCH($B1341,Task_Tracker!$A$5:$A$1004,0)),""))</f>
        <v/>
      </c>
      <c r="T1341" s="81">
        <f>IF($B1341="","",IFERROR(INDEX(Task_Tracker!$AB$5:$AB$1004,MATCH($B1341,Task_Tracker!$A$5:$A$1004,0)),""))</f>
        <v/>
      </c>
      <c r="U1341" s="78">
        <f>IF($B1341="","",IFERROR(INDEX(Task_Tracker!$F$5:$F$1004,MATCH($B1341,Task_Tracker!$A$5:$A$1004,0)),""))</f>
        <v/>
      </c>
      <c r="V1341" s="78">
        <f>IF($B1341="","",IFERROR(INDEX(Task_Tracker!$I$5:$I$1004,MATCH($B1341,Task_Tracker!$A$5:$A$1004,0)),""))</f>
        <v/>
      </c>
      <c r="W1341" s="81">
        <f>IF(OR($D1341="",$B1341=""),"",$D1341&amp;" | "&amp;$B1341)</f>
        <v/>
      </c>
      <c r="X1341" s="85">
        <f>IF($K1341="","",TEXT($K1341,"yyyy-mm"))</f>
        <v/>
      </c>
      <c r="Y1341" s="81">
        <f>IF(OR($A1341="",$T1341=""),"","Included in Manager_Report")</f>
        <v/>
      </c>
    </row>
    <row r="1342" ht="15" customHeight="1" s="40">
      <c r="A1342" s="65">
        <f>IF(COUNTA(B1342:G1342)=0,"","STP-"&amp;TEXT(ROW()-4,"0000"))</f>
        <v/>
      </c>
      <c r="B1342" s="78" t="n"/>
      <c r="C1342" s="67">
        <f>IF($B1342="","",IFERROR(INDEX(Task_Tracker!$D$5:$D$1004,MATCH($B1342,Task_Tracker!$A$5:$A$1004,0)),""))</f>
        <v/>
      </c>
      <c r="D1342" s="67">
        <f>IF($B1342="","",IFERROR(INDEX(Task_Tracker!$B$5:$B$1004,MATCH($B1342,Task_Tracker!$A$5:$A$1004,0)),""))</f>
        <v/>
      </c>
      <c r="E1342" s="81" t="n"/>
      <c r="F1342" s="81" t="n"/>
      <c r="G1342" s="78" t="n"/>
      <c r="H1342" s="78" t="n"/>
      <c r="I1342" s="67">
        <f>IF($H1342="","",IFERROR(INDEX(Action_Status_Map!$B$5:$B$11,MATCH($H1342,Action_Status_Map!$A$5:$A$11,0)),""))</f>
        <v/>
      </c>
      <c r="J1342" s="82" t="n"/>
      <c r="K1342" s="82" t="n"/>
      <c r="L1342" s="82" t="n"/>
      <c r="M1342" s="83" t="n"/>
      <c r="N1342" s="83" t="n"/>
      <c r="O1342" s="66">
        <f>IF(OR($M1342="",$N1342=""),"",$N1342-$M1342)</f>
        <v/>
      </c>
      <c r="P1342" s="84">
        <f>IF($J1342="","",IF($L1342&lt;&gt;"",$L1342-$J1342,TODAY()-$J1342))</f>
        <v/>
      </c>
      <c r="Q1342" s="85">
        <f>IF(OR($K1342="",$H1342="Completed",$H1342="Cancelled"),"",IF(AND($K1342&lt;TODAY(),$H1342&lt;&gt;"Completed",$H1342&lt;&gt;"Cancelled"),"Overdue","On Track"))</f>
        <v/>
      </c>
      <c r="R1342" s="81" t="n"/>
      <c r="S1342" s="81">
        <f>IF($B1342="","",IFERROR(INDEX(Task_Tracker!$AA$5:$AA$1004,MATCH($B1342,Task_Tracker!$A$5:$A$1004,0)),""))</f>
        <v/>
      </c>
      <c r="T1342" s="81">
        <f>IF($B1342="","",IFERROR(INDEX(Task_Tracker!$AB$5:$AB$1004,MATCH($B1342,Task_Tracker!$A$5:$A$1004,0)),""))</f>
        <v/>
      </c>
      <c r="U1342" s="78">
        <f>IF($B1342="","",IFERROR(INDEX(Task_Tracker!$F$5:$F$1004,MATCH($B1342,Task_Tracker!$A$5:$A$1004,0)),""))</f>
        <v/>
      </c>
      <c r="V1342" s="78">
        <f>IF($B1342="","",IFERROR(INDEX(Task_Tracker!$I$5:$I$1004,MATCH($B1342,Task_Tracker!$A$5:$A$1004,0)),""))</f>
        <v/>
      </c>
      <c r="W1342" s="81">
        <f>IF(OR($D1342="",$B1342=""),"",$D1342&amp;" | "&amp;$B1342)</f>
        <v/>
      </c>
      <c r="X1342" s="85">
        <f>IF($K1342="","",TEXT($K1342,"yyyy-mm"))</f>
        <v/>
      </c>
      <c r="Y1342" s="81">
        <f>IF(OR($A1342="",$T1342=""),"","Included in Manager_Report")</f>
        <v/>
      </c>
    </row>
    <row r="1343" ht="15" customHeight="1" s="40">
      <c r="A1343" s="65">
        <f>IF(COUNTA(B1343:G1343)=0,"","STP-"&amp;TEXT(ROW()-4,"0000"))</f>
        <v/>
      </c>
      <c r="B1343" s="78" t="n"/>
      <c r="C1343" s="67">
        <f>IF($B1343="","",IFERROR(INDEX(Task_Tracker!$D$5:$D$1004,MATCH($B1343,Task_Tracker!$A$5:$A$1004,0)),""))</f>
        <v/>
      </c>
      <c r="D1343" s="67">
        <f>IF($B1343="","",IFERROR(INDEX(Task_Tracker!$B$5:$B$1004,MATCH($B1343,Task_Tracker!$A$5:$A$1004,0)),""))</f>
        <v/>
      </c>
      <c r="E1343" s="81" t="n"/>
      <c r="F1343" s="81" t="n"/>
      <c r="G1343" s="78" t="n"/>
      <c r="H1343" s="78" t="n"/>
      <c r="I1343" s="67">
        <f>IF($H1343="","",IFERROR(INDEX(Action_Status_Map!$B$5:$B$11,MATCH($H1343,Action_Status_Map!$A$5:$A$11,0)),""))</f>
        <v/>
      </c>
      <c r="J1343" s="82" t="n"/>
      <c r="K1343" s="82" t="n"/>
      <c r="L1343" s="82" t="n"/>
      <c r="M1343" s="83" t="n"/>
      <c r="N1343" s="83" t="n"/>
      <c r="O1343" s="66">
        <f>IF(OR($M1343="",$N1343=""),"",$N1343-$M1343)</f>
        <v/>
      </c>
      <c r="P1343" s="84">
        <f>IF($J1343="","",IF($L1343&lt;&gt;"",$L1343-$J1343,TODAY()-$J1343))</f>
        <v/>
      </c>
      <c r="Q1343" s="85">
        <f>IF(OR($K1343="",$H1343="Completed",$H1343="Cancelled"),"",IF(AND($K1343&lt;TODAY(),$H1343&lt;&gt;"Completed",$H1343&lt;&gt;"Cancelled"),"Overdue","On Track"))</f>
        <v/>
      </c>
      <c r="R1343" s="81" t="n"/>
      <c r="S1343" s="81">
        <f>IF($B1343="","",IFERROR(INDEX(Task_Tracker!$AA$5:$AA$1004,MATCH($B1343,Task_Tracker!$A$5:$A$1004,0)),""))</f>
        <v/>
      </c>
      <c r="T1343" s="81">
        <f>IF($B1343="","",IFERROR(INDEX(Task_Tracker!$AB$5:$AB$1004,MATCH($B1343,Task_Tracker!$A$5:$A$1004,0)),""))</f>
        <v/>
      </c>
      <c r="U1343" s="78">
        <f>IF($B1343="","",IFERROR(INDEX(Task_Tracker!$F$5:$F$1004,MATCH($B1343,Task_Tracker!$A$5:$A$1004,0)),""))</f>
        <v/>
      </c>
      <c r="V1343" s="78">
        <f>IF($B1343="","",IFERROR(INDEX(Task_Tracker!$I$5:$I$1004,MATCH($B1343,Task_Tracker!$A$5:$A$1004,0)),""))</f>
        <v/>
      </c>
      <c r="W1343" s="81">
        <f>IF(OR($D1343="",$B1343=""),"",$D1343&amp;" | "&amp;$B1343)</f>
        <v/>
      </c>
      <c r="X1343" s="85">
        <f>IF($K1343="","",TEXT($K1343,"yyyy-mm"))</f>
        <v/>
      </c>
      <c r="Y1343" s="81">
        <f>IF(OR($A1343="",$T1343=""),"","Included in Manager_Report")</f>
        <v/>
      </c>
    </row>
    <row r="1344" ht="15" customHeight="1" s="40">
      <c r="A1344" s="65">
        <f>IF(COUNTA(B1344:G1344)=0,"","STP-"&amp;TEXT(ROW()-4,"0000"))</f>
        <v/>
      </c>
      <c r="B1344" s="78" t="n"/>
      <c r="C1344" s="67">
        <f>IF($B1344="","",IFERROR(INDEX(Task_Tracker!$D$5:$D$1004,MATCH($B1344,Task_Tracker!$A$5:$A$1004,0)),""))</f>
        <v/>
      </c>
      <c r="D1344" s="67">
        <f>IF($B1344="","",IFERROR(INDEX(Task_Tracker!$B$5:$B$1004,MATCH($B1344,Task_Tracker!$A$5:$A$1004,0)),""))</f>
        <v/>
      </c>
      <c r="E1344" s="81" t="n"/>
      <c r="F1344" s="81" t="n"/>
      <c r="G1344" s="78" t="n"/>
      <c r="H1344" s="78" t="n"/>
      <c r="I1344" s="67">
        <f>IF($H1344="","",IFERROR(INDEX(Action_Status_Map!$B$5:$B$11,MATCH($H1344,Action_Status_Map!$A$5:$A$11,0)),""))</f>
        <v/>
      </c>
      <c r="J1344" s="82" t="n"/>
      <c r="K1344" s="82" t="n"/>
      <c r="L1344" s="82" t="n"/>
      <c r="M1344" s="83" t="n"/>
      <c r="N1344" s="83" t="n"/>
      <c r="O1344" s="66">
        <f>IF(OR($M1344="",$N1344=""),"",$N1344-$M1344)</f>
        <v/>
      </c>
      <c r="P1344" s="84">
        <f>IF($J1344="","",IF($L1344&lt;&gt;"",$L1344-$J1344,TODAY()-$J1344))</f>
        <v/>
      </c>
      <c r="Q1344" s="85">
        <f>IF(OR($K1344="",$H1344="Completed",$H1344="Cancelled"),"",IF(AND($K1344&lt;TODAY(),$H1344&lt;&gt;"Completed",$H1344&lt;&gt;"Cancelled"),"Overdue","On Track"))</f>
        <v/>
      </c>
      <c r="R1344" s="81" t="n"/>
      <c r="S1344" s="81">
        <f>IF($B1344="","",IFERROR(INDEX(Task_Tracker!$AA$5:$AA$1004,MATCH($B1344,Task_Tracker!$A$5:$A$1004,0)),""))</f>
        <v/>
      </c>
      <c r="T1344" s="81">
        <f>IF($B1344="","",IFERROR(INDEX(Task_Tracker!$AB$5:$AB$1004,MATCH($B1344,Task_Tracker!$A$5:$A$1004,0)),""))</f>
        <v/>
      </c>
      <c r="U1344" s="78">
        <f>IF($B1344="","",IFERROR(INDEX(Task_Tracker!$F$5:$F$1004,MATCH($B1344,Task_Tracker!$A$5:$A$1004,0)),""))</f>
        <v/>
      </c>
      <c r="V1344" s="78">
        <f>IF($B1344="","",IFERROR(INDEX(Task_Tracker!$I$5:$I$1004,MATCH($B1344,Task_Tracker!$A$5:$A$1004,0)),""))</f>
        <v/>
      </c>
      <c r="W1344" s="81">
        <f>IF(OR($D1344="",$B1344=""),"",$D1344&amp;" | "&amp;$B1344)</f>
        <v/>
      </c>
      <c r="X1344" s="85">
        <f>IF($K1344="","",TEXT($K1344,"yyyy-mm"))</f>
        <v/>
      </c>
      <c r="Y1344" s="81">
        <f>IF(OR($A1344="",$T1344=""),"","Included in Manager_Report")</f>
        <v/>
      </c>
    </row>
    <row r="1345" ht="15" customHeight="1" s="40">
      <c r="A1345" s="65">
        <f>IF(COUNTA(B1345:G1345)=0,"","STP-"&amp;TEXT(ROW()-4,"0000"))</f>
        <v/>
      </c>
      <c r="B1345" s="78" t="n"/>
      <c r="C1345" s="67">
        <f>IF($B1345="","",IFERROR(INDEX(Task_Tracker!$D$5:$D$1004,MATCH($B1345,Task_Tracker!$A$5:$A$1004,0)),""))</f>
        <v/>
      </c>
      <c r="D1345" s="67">
        <f>IF($B1345="","",IFERROR(INDEX(Task_Tracker!$B$5:$B$1004,MATCH($B1345,Task_Tracker!$A$5:$A$1004,0)),""))</f>
        <v/>
      </c>
      <c r="E1345" s="81" t="n"/>
      <c r="F1345" s="81" t="n"/>
      <c r="G1345" s="78" t="n"/>
      <c r="H1345" s="78" t="n"/>
      <c r="I1345" s="67">
        <f>IF($H1345="","",IFERROR(INDEX(Action_Status_Map!$B$5:$B$11,MATCH($H1345,Action_Status_Map!$A$5:$A$11,0)),""))</f>
        <v/>
      </c>
      <c r="J1345" s="82" t="n"/>
      <c r="K1345" s="82" t="n"/>
      <c r="L1345" s="82" t="n"/>
      <c r="M1345" s="83" t="n"/>
      <c r="N1345" s="83" t="n"/>
      <c r="O1345" s="66">
        <f>IF(OR($M1345="",$N1345=""),"",$N1345-$M1345)</f>
        <v/>
      </c>
      <c r="P1345" s="84">
        <f>IF($J1345="","",IF($L1345&lt;&gt;"",$L1345-$J1345,TODAY()-$J1345))</f>
        <v/>
      </c>
      <c r="Q1345" s="85">
        <f>IF(OR($K1345="",$H1345="Completed",$H1345="Cancelled"),"",IF(AND($K1345&lt;TODAY(),$H1345&lt;&gt;"Completed",$H1345&lt;&gt;"Cancelled"),"Overdue","On Track"))</f>
        <v/>
      </c>
      <c r="R1345" s="81" t="n"/>
      <c r="S1345" s="81">
        <f>IF($B1345="","",IFERROR(INDEX(Task_Tracker!$AA$5:$AA$1004,MATCH($B1345,Task_Tracker!$A$5:$A$1004,0)),""))</f>
        <v/>
      </c>
      <c r="T1345" s="81">
        <f>IF($B1345="","",IFERROR(INDEX(Task_Tracker!$AB$5:$AB$1004,MATCH($B1345,Task_Tracker!$A$5:$A$1004,0)),""))</f>
        <v/>
      </c>
      <c r="U1345" s="78">
        <f>IF($B1345="","",IFERROR(INDEX(Task_Tracker!$F$5:$F$1004,MATCH($B1345,Task_Tracker!$A$5:$A$1004,0)),""))</f>
        <v/>
      </c>
      <c r="V1345" s="78">
        <f>IF($B1345="","",IFERROR(INDEX(Task_Tracker!$I$5:$I$1004,MATCH($B1345,Task_Tracker!$A$5:$A$1004,0)),""))</f>
        <v/>
      </c>
      <c r="W1345" s="81">
        <f>IF(OR($D1345="",$B1345=""),"",$D1345&amp;" | "&amp;$B1345)</f>
        <v/>
      </c>
      <c r="X1345" s="85">
        <f>IF($K1345="","",TEXT($K1345,"yyyy-mm"))</f>
        <v/>
      </c>
      <c r="Y1345" s="81">
        <f>IF(OR($A1345="",$T1345=""),"","Included in Manager_Report")</f>
        <v/>
      </c>
    </row>
    <row r="1346" ht="15" customHeight="1" s="40">
      <c r="A1346" s="65">
        <f>IF(COUNTA(B1346:G1346)=0,"","STP-"&amp;TEXT(ROW()-4,"0000"))</f>
        <v/>
      </c>
      <c r="B1346" s="78" t="n"/>
      <c r="C1346" s="67">
        <f>IF($B1346="","",IFERROR(INDEX(Task_Tracker!$D$5:$D$1004,MATCH($B1346,Task_Tracker!$A$5:$A$1004,0)),""))</f>
        <v/>
      </c>
      <c r="D1346" s="67">
        <f>IF($B1346="","",IFERROR(INDEX(Task_Tracker!$B$5:$B$1004,MATCH($B1346,Task_Tracker!$A$5:$A$1004,0)),""))</f>
        <v/>
      </c>
      <c r="E1346" s="81" t="n"/>
      <c r="F1346" s="81" t="n"/>
      <c r="G1346" s="78" t="n"/>
      <c r="H1346" s="78" t="n"/>
      <c r="I1346" s="67">
        <f>IF($H1346="","",IFERROR(INDEX(Action_Status_Map!$B$5:$B$11,MATCH($H1346,Action_Status_Map!$A$5:$A$11,0)),""))</f>
        <v/>
      </c>
      <c r="J1346" s="82" t="n"/>
      <c r="K1346" s="82" t="n"/>
      <c r="L1346" s="82" t="n"/>
      <c r="M1346" s="83" t="n"/>
      <c r="N1346" s="83" t="n"/>
      <c r="O1346" s="66">
        <f>IF(OR($M1346="",$N1346=""),"",$N1346-$M1346)</f>
        <v/>
      </c>
      <c r="P1346" s="84">
        <f>IF($J1346="","",IF($L1346&lt;&gt;"",$L1346-$J1346,TODAY()-$J1346))</f>
        <v/>
      </c>
      <c r="Q1346" s="85">
        <f>IF(OR($K1346="",$H1346="Completed",$H1346="Cancelled"),"",IF(AND($K1346&lt;TODAY(),$H1346&lt;&gt;"Completed",$H1346&lt;&gt;"Cancelled"),"Overdue","On Track"))</f>
        <v/>
      </c>
      <c r="R1346" s="81" t="n"/>
      <c r="S1346" s="81">
        <f>IF($B1346="","",IFERROR(INDEX(Task_Tracker!$AA$5:$AA$1004,MATCH($B1346,Task_Tracker!$A$5:$A$1004,0)),""))</f>
        <v/>
      </c>
      <c r="T1346" s="81">
        <f>IF($B1346="","",IFERROR(INDEX(Task_Tracker!$AB$5:$AB$1004,MATCH($B1346,Task_Tracker!$A$5:$A$1004,0)),""))</f>
        <v/>
      </c>
      <c r="U1346" s="78">
        <f>IF($B1346="","",IFERROR(INDEX(Task_Tracker!$F$5:$F$1004,MATCH($B1346,Task_Tracker!$A$5:$A$1004,0)),""))</f>
        <v/>
      </c>
      <c r="V1346" s="78">
        <f>IF($B1346="","",IFERROR(INDEX(Task_Tracker!$I$5:$I$1004,MATCH($B1346,Task_Tracker!$A$5:$A$1004,0)),""))</f>
        <v/>
      </c>
      <c r="W1346" s="81">
        <f>IF(OR($D1346="",$B1346=""),"",$D1346&amp;" | "&amp;$B1346)</f>
        <v/>
      </c>
      <c r="X1346" s="85">
        <f>IF($K1346="","",TEXT($K1346,"yyyy-mm"))</f>
        <v/>
      </c>
      <c r="Y1346" s="81">
        <f>IF(OR($A1346="",$T1346=""),"","Included in Manager_Report")</f>
        <v/>
      </c>
    </row>
    <row r="1347" ht="15" customHeight="1" s="40">
      <c r="A1347" s="65">
        <f>IF(COUNTA(B1347:G1347)=0,"","STP-"&amp;TEXT(ROW()-4,"0000"))</f>
        <v/>
      </c>
      <c r="B1347" s="78" t="n"/>
      <c r="C1347" s="67">
        <f>IF($B1347="","",IFERROR(INDEX(Task_Tracker!$D$5:$D$1004,MATCH($B1347,Task_Tracker!$A$5:$A$1004,0)),""))</f>
        <v/>
      </c>
      <c r="D1347" s="67">
        <f>IF($B1347="","",IFERROR(INDEX(Task_Tracker!$B$5:$B$1004,MATCH($B1347,Task_Tracker!$A$5:$A$1004,0)),""))</f>
        <v/>
      </c>
      <c r="E1347" s="81" t="n"/>
      <c r="F1347" s="81" t="n"/>
      <c r="G1347" s="78" t="n"/>
      <c r="H1347" s="78" t="n"/>
      <c r="I1347" s="67">
        <f>IF($H1347="","",IFERROR(INDEX(Action_Status_Map!$B$5:$B$11,MATCH($H1347,Action_Status_Map!$A$5:$A$11,0)),""))</f>
        <v/>
      </c>
      <c r="J1347" s="82" t="n"/>
      <c r="K1347" s="82" t="n"/>
      <c r="L1347" s="82" t="n"/>
      <c r="M1347" s="83" t="n"/>
      <c r="N1347" s="83" t="n"/>
      <c r="O1347" s="66">
        <f>IF(OR($M1347="",$N1347=""),"",$N1347-$M1347)</f>
        <v/>
      </c>
      <c r="P1347" s="84">
        <f>IF($J1347="","",IF($L1347&lt;&gt;"",$L1347-$J1347,TODAY()-$J1347))</f>
        <v/>
      </c>
      <c r="Q1347" s="85">
        <f>IF(OR($K1347="",$H1347="Completed",$H1347="Cancelled"),"",IF(AND($K1347&lt;TODAY(),$H1347&lt;&gt;"Completed",$H1347&lt;&gt;"Cancelled"),"Overdue","On Track"))</f>
        <v/>
      </c>
      <c r="R1347" s="81" t="n"/>
      <c r="S1347" s="81">
        <f>IF($B1347="","",IFERROR(INDEX(Task_Tracker!$AA$5:$AA$1004,MATCH($B1347,Task_Tracker!$A$5:$A$1004,0)),""))</f>
        <v/>
      </c>
      <c r="T1347" s="81">
        <f>IF($B1347="","",IFERROR(INDEX(Task_Tracker!$AB$5:$AB$1004,MATCH($B1347,Task_Tracker!$A$5:$A$1004,0)),""))</f>
        <v/>
      </c>
      <c r="U1347" s="78">
        <f>IF($B1347="","",IFERROR(INDEX(Task_Tracker!$F$5:$F$1004,MATCH($B1347,Task_Tracker!$A$5:$A$1004,0)),""))</f>
        <v/>
      </c>
      <c r="V1347" s="78">
        <f>IF($B1347="","",IFERROR(INDEX(Task_Tracker!$I$5:$I$1004,MATCH($B1347,Task_Tracker!$A$5:$A$1004,0)),""))</f>
        <v/>
      </c>
      <c r="W1347" s="81">
        <f>IF(OR($D1347="",$B1347=""),"",$D1347&amp;" | "&amp;$B1347)</f>
        <v/>
      </c>
      <c r="X1347" s="85">
        <f>IF($K1347="","",TEXT($K1347,"yyyy-mm"))</f>
        <v/>
      </c>
      <c r="Y1347" s="81">
        <f>IF(OR($A1347="",$T1347=""),"","Included in Manager_Report")</f>
        <v/>
      </c>
    </row>
    <row r="1348" ht="15" customHeight="1" s="40">
      <c r="A1348" s="65">
        <f>IF(COUNTA(B1348:G1348)=0,"","STP-"&amp;TEXT(ROW()-4,"0000"))</f>
        <v/>
      </c>
      <c r="B1348" s="78" t="n"/>
      <c r="C1348" s="67">
        <f>IF($B1348="","",IFERROR(INDEX(Task_Tracker!$D$5:$D$1004,MATCH($B1348,Task_Tracker!$A$5:$A$1004,0)),""))</f>
        <v/>
      </c>
      <c r="D1348" s="67">
        <f>IF($B1348="","",IFERROR(INDEX(Task_Tracker!$B$5:$B$1004,MATCH($B1348,Task_Tracker!$A$5:$A$1004,0)),""))</f>
        <v/>
      </c>
      <c r="E1348" s="81" t="n"/>
      <c r="F1348" s="81" t="n"/>
      <c r="G1348" s="78" t="n"/>
      <c r="H1348" s="78" t="n"/>
      <c r="I1348" s="67">
        <f>IF($H1348="","",IFERROR(INDEX(Action_Status_Map!$B$5:$B$11,MATCH($H1348,Action_Status_Map!$A$5:$A$11,0)),""))</f>
        <v/>
      </c>
      <c r="J1348" s="82" t="n"/>
      <c r="K1348" s="82" t="n"/>
      <c r="L1348" s="82" t="n"/>
      <c r="M1348" s="83" t="n"/>
      <c r="N1348" s="83" t="n"/>
      <c r="O1348" s="66">
        <f>IF(OR($M1348="",$N1348=""),"",$N1348-$M1348)</f>
        <v/>
      </c>
      <c r="P1348" s="84">
        <f>IF($J1348="","",IF($L1348&lt;&gt;"",$L1348-$J1348,TODAY()-$J1348))</f>
        <v/>
      </c>
      <c r="Q1348" s="85">
        <f>IF(OR($K1348="",$H1348="Completed",$H1348="Cancelled"),"",IF(AND($K1348&lt;TODAY(),$H1348&lt;&gt;"Completed",$H1348&lt;&gt;"Cancelled"),"Overdue","On Track"))</f>
        <v/>
      </c>
      <c r="R1348" s="81" t="n"/>
      <c r="S1348" s="81">
        <f>IF($B1348="","",IFERROR(INDEX(Task_Tracker!$AA$5:$AA$1004,MATCH($B1348,Task_Tracker!$A$5:$A$1004,0)),""))</f>
        <v/>
      </c>
      <c r="T1348" s="81">
        <f>IF($B1348="","",IFERROR(INDEX(Task_Tracker!$AB$5:$AB$1004,MATCH($B1348,Task_Tracker!$A$5:$A$1004,0)),""))</f>
        <v/>
      </c>
      <c r="U1348" s="78">
        <f>IF($B1348="","",IFERROR(INDEX(Task_Tracker!$F$5:$F$1004,MATCH($B1348,Task_Tracker!$A$5:$A$1004,0)),""))</f>
        <v/>
      </c>
      <c r="V1348" s="78">
        <f>IF($B1348="","",IFERROR(INDEX(Task_Tracker!$I$5:$I$1004,MATCH($B1348,Task_Tracker!$A$5:$A$1004,0)),""))</f>
        <v/>
      </c>
      <c r="W1348" s="81">
        <f>IF(OR($D1348="",$B1348=""),"",$D1348&amp;" | "&amp;$B1348)</f>
        <v/>
      </c>
      <c r="X1348" s="85">
        <f>IF($K1348="","",TEXT($K1348,"yyyy-mm"))</f>
        <v/>
      </c>
      <c r="Y1348" s="81">
        <f>IF(OR($A1348="",$T1348=""),"","Included in Manager_Report")</f>
        <v/>
      </c>
    </row>
    <row r="1349" ht="15" customHeight="1" s="40">
      <c r="A1349" s="65">
        <f>IF(COUNTA(B1349:G1349)=0,"","STP-"&amp;TEXT(ROW()-4,"0000"))</f>
        <v/>
      </c>
      <c r="B1349" s="78" t="n"/>
      <c r="C1349" s="67">
        <f>IF($B1349="","",IFERROR(INDEX(Task_Tracker!$D$5:$D$1004,MATCH($B1349,Task_Tracker!$A$5:$A$1004,0)),""))</f>
        <v/>
      </c>
      <c r="D1349" s="67">
        <f>IF($B1349="","",IFERROR(INDEX(Task_Tracker!$B$5:$B$1004,MATCH($B1349,Task_Tracker!$A$5:$A$1004,0)),""))</f>
        <v/>
      </c>
      <c r="E1349" s="81" t="n"/>
      <c r="F1349" s="81" t="n"/>
      <c r="G1349" s="78" t="n"/>
      <c r="H1349" s="78" t="n"/>
      <c r="I1349" s="67">
        <f>IF($H1349="","",IFERROR(INDEX(Action_Status_Map!$B$5:$B$11,MATCH($H1349,Action_Status_Map!$A$5:$A$11,0)),""))</f>
        <v/>
      </c>
      <c r="J1349" s="82" t="n"/>
      <c r="K1349" s="82" t="n"/>
      <c r="L1349" s="82" t="n"/>
      <c r="M1349" s="83" t="n"/>
      <c r="N1349" s="83" t="n"/>
      <c r="O1349" s="66">
        <f>IF(OR($M1349="",$N1349=""),"",$N1349-$M1349)</f>
        <v/>
      </c>
      <c r="P1349" s="84">
        <f>IF($J1349="","",IF($L1349&lt;&gt;"",$L1349-$J1349,TODAY()-$J1349))</f>
        <v/>
      </c>
      <c r="Q1349" s="85">
        <f>IF(OR($K1349="",$H1349="Completed",$H1349="Cancelled"),"",IF(AND($K1349&lt;TODAY(),$H1349&lt;&gt;"Completed",$H1349&lt;&gt;"Cancelled"),"Overdue","On Track"))</f>
        <v/>
      </c>
      <c r="R1349" s="81" t="n"/>
      <c r="S1349" s="81">
        <f>IF($B1349="","",IFERROR(INDEX(Task_Tracker!$AA$5:$AA$1004,MATCH($B1349,Task_Tracker!$A$5:$A$1004,0)),""))</f>
        <v/>
      </c>
      <c r="T1349" s="81">
        <f>IF($B1349="","",IFERROR(INDEX(Task_Tracker!$AB$5:$AB$1004,MATCH($B1349,Task_Tracker!$A$5:$A$1004,0)),""))</f>
        <v/>
      </c>
      <c r="U1349" s="78">
        <f>IF($B1349="","",IFERROR(INDEX(Task_Tracker!$F$5:$F$1004,MATCH($B1349,Task_Tracker!$A$5:$A$1004,0)),""))</f>
        <v/>
      </c>
      <c r="V1349" s="78">
        <f>IF($B1349="","",IFERROR(INDEX(Task_Tracker!$I$5:$I$1004,MATCH($B1349,Task_Tracker!$A$5:$A$1004,0)),""))</f>
        <v/>
      </c>
      <c r="W1349" s="81">
        <f>IF(OR($D1349="",$B1349=""),"",$D1349&amp;" | "&amp;$B1349)</f>
        <v/>
      </c>
      <c r="X1349" s="85">
        <f>IF($K1349="","",TEXT($K1349,"yyyy-mm"))</f>
        <v/>
      </c>
      <c r="Y1349" s="81">
        <f>IF(OR($A1349="",$T1349=""),"","Included in Manager_Report")</f>
        <v/>
      </c>
    </row>
    <row r="1350" ht="15" customHeight="1" s="40">
      <c r="A1350" s="65">
        <f>IF(COUNTA(B1350:G1350)=0,"","STP-"&amp;TEXT(ROW()-4,"0000"))</f>
        <v/>
      </c>
      <c r="B1350" s="78" t="n"/>
      <c r="C1350" s="67">
        <f>IF($B1350="","",IFERROR(INDEX(Task_Tracker!$D$5:$D$1004,MATCH($B1350,Task_Tracker!$A$5:$A$1004,0)),""))</f>
        <v/>
      </c>
      <c r="D1350" s="67">
        <f>IF($B1350="","",IFERROR(INDEX(Task_Tracker!$B$5:$B$1004,MATCH($B1350,Task_Tracker!$A$5:$A$1004,0)),""))</f>
        <v/>
      </c>
      <c r="E1350" s="81" t="n"/>
      <c r="F1350" s="81" t="n"/>
      <c r="G1350" s="78" t="n"/>
      <c r="H1350" s="78" t="n"/>
      <c r="I1350" s="67">
        <f>IF($H1350="","",IFERROR(INDEX(Action_Status_Map!$B$5:$B$11,MATCH($H1350,Action_Status_Map!$A$5:$A$11,0)),""))</f>
        <v/>
      </c>
      <c r="J1350" s="82" t="n"/>
      <c r="K1350" s="82" t="n"/>
      <c r="L1350" s="82" t="n"/>
      <c r="M1350" s="83" t="n"/>
      <c r="N1350" s="83" t="n"/>
      <c r="O1350" s="66">
        <f>IF(OR($M1350="",$N1350=""),"",$N1350-$M1350)</f>
        <v/>
      </c>
      <c r="P1350" s="84">
        <f>IF($J1350="","",IF($L1350&lt;&gt;"",$L1350-$J1350,TODAY()-$J1350))</f>
        <v/>
      </c>
      <c r="Q1350" s="85">
        <f>IF(OR($K1350="",$H1350="Completed",$H1350="Cancelled"),"",IF(AND($K1350&lt;TODAY(),$H1350&lt;&gt;"Completed",$H1350&lt;&gt;"Cancelled"),"Overdue","On Track"))</f>
        <v/>
      </c>
      <c r="R1350" s="81" t="n"/>
      <c r="S1350" s="81">
        <f>IF($B1350="","",IFERROR(INDEX(Task_Tracker!$AA$5:$AA$1004,MATCH($B1350,Task_Tracker!$A$5:$A$1004,0)),""))</f>
        <v/>
      </c>
      <c r="T1350" s="81">
        <f>IF($B1350="","",IFERROR(INDEX(Task_Tracker!$AB$5:$AB$1004,MATCH($B1350,Task_Tracker!$A$5:$A$1004,0)),""))</f>
        <v/>
      </c>
      <c r="U1350" s="78">
        <f>IF($B1350="","",IFERROR(INDEX(Task_Tracker!$F$5:$F$1004,MATCH($B1350,Task_Tracker!$A$5:$A$1004,0)),""))</f>
        <v/>
      </c>
      <c r="V1350" s="78">
        <f>IF($B1350="","",IFERROR(INDEX(Task_Tracker!$I$5:$I$1004,MATCH($B1350,Task_Tracker!$A$5:$A$1004,0)),""))</f>
        <v/>
      </c>
      <c r="W1350" s="81">
        <f>IF(OR($D1350="",$B1350=""),"",$D1350&amp;" | "&amp;$B1350)</f>
        <v/>
      </c>
      <c r="X1350" s="85">
        <f>IF($K1350="","",TEXT($K1350,"yyyy-mm"))</f>
        <v/>
      </c>
      <c r="Y1350" s="81">
        <f>IF(OR($A1350="",$T1350=""),"","Included in Manager_Report")</f>
        <v/>
      </c>
    </row>
    <row r="1351" ht="15" customHeight="1" s="40">
      <c r="A1351" s="65">
        <f>IF(COUNTA(B1351:G1351)=0,"","STP-"&amp;TEXT(ROW()-4,"0000"))</f>
        <v/>
      </c>
      <c r="B1351" s="78" t="n"/>
      <c r="C1351" s="67">
        <f>IF($B1351="","",IFERROR(INDEX(Task_Tracker!$D$5:$D$1004,MATCH($B1351,Task_Tracker!$A$5:$A$1004,0)),""))</f>
        <v/>
      </c>
      <c r="D1351" s="67">
        <f>IF($B1351="","",IFERROR(INDEX(Task_Tracker!$B$5:$B$1004,MATCH($B1351,Task_Tracker!$A$5:$A$1004,0)),""))</f>
        <v/>
      </c>
      <c r="E1351" s="81" t="n"/>
      <c r="F1351" s="81" t="n"/>
      <c r="G1351" s="78" t="n"/>
      <c r="H1351" s="78" t="n"/>
      <c r="I1351" s="67">
        <f>IF($H1351="","",IFERROR(INDEX(Action_Status_Map!$B$5:$B$11,MATCH($H1351,Action_Status_Map!$A$5:$A$11,0)),""))</f>
        <v/>
      </c>
      <c r="J1351" s="82" t="n"/>
      <c r="K1351" s="82" t="n"/>
      <c r="L1351" s="82" t="n"/>
      <c r="M1351" s="83" t="n"/>
      <c r="N1351" s="83" t="n"/>
      <c r="O1351" s="66">
        <f>IF(OR($M1351="",$N1351=""),"",$N1351-$M1351)</f>
        <v/>
      </c>
      <c r="P1351" s="84">
        <f>IF($J1351="","",IF($L1351&lt;&gt;"",$L1351-$J1351,TODAY()-$J1351))</f>
        <v/>
      </c>
      <c r="Q1351" s="85">
        <f>IF(OR($K1351="",$H1351="Completed",$H1351="Cancelled"),"",IF(AND($K1351&lt;TODAY(),$H1351&lt;&gt;"Completed",$H1351&lt;&gt;"Cancelled"),"Overdue","On Track"))</f>
        <v/>
      </c>
      <c r="R1351" s="81" t="n"/>
      <c r="S1351" s="81">
        <f>IF($B1351="","",IFERROR(INDEX(Task_Tracker!$AA$5:$AA$1004,MATCH($B1351,Task_Tracker!$A$5:$A$1004,0)),""))</f>
        <v/>
      </c>
      <c r="T1351" s="81">
        <f>IF($B1351="","",IFERROR(INDEX(Task_Tracker!$AB$5:$AB$1004,MATCH($B1351,Task_Tracker!$A$5:$A$1004,0)),""))</f>
        <v/>
      </c>
      <c r="U1351" s="78">
        <f>IF($B1351="","",IFERROR(INDEX(Task_Tracker!$F$5:$F$1004,MATCH($B1351,Task_Tracker!$A$5:$A$1004,0)),""))</f>
        <v/>
      </c>
      <c r="V1351" s="78">
        <f>IF($B1351="","",IFERROR(INDEX(Task_Tracker!$I$5:$I$1004,MATCH($B1351,Task_Tracker!$A$5:$A$1004,0)),""))</f>
        <v/>
      </c>
      <c r="W1351" s="81">
        <f>IF(OR($D1351="",$B1351=""),"",$D1351&amp;" | "&amp;$B1351)</f>
        <v/>
      </c>
      <c r="X1351" s="85">
        <f>IF($K1351="","",TEXT($K1351,"yyyy-mm"))</f>
        <v/>
      </c>
      <c r="Y1351" s="81">
        <f>IF(OR($A1351="",$T1351=""),"","Included in Manager_Report")</f>
        <v/>
      </c>
    </row>
    <row r="1352" ht="15" customHeight="1" s="40">
      <c r="A1352" s="65">
        <f>IF(COUNTA(B1352:G1352)=0,"","STP-"&amp;TEXT(ROW()-4,"0000"))</f>
        <v/>
      </c>
      <c r="B1352" s="78" t="n"/>
      <c r="C1352" s="67">
        <f>IF($B1352="","",IFERROR(INDEX(Task_Tracker!$D$5:$D$1004,MATCH($B1352,Task_Tracker!$A$5:$A$1004,0)),""))</f>
        <v/>
      </c>
      <c r="D1352" s="67">
        <f>IF($B1352="","",IFERROR(INDEX(Task_Tracker!$B$5:$B$1004,MATCH($B1352,Task_Tracker!$A$5:$A$1004,0)),""))</f>
        <v/>
      </c>
      <c r="E1352" s="81" t="n"/>
      <c r="F1352" s="81" t="n"/>
      <c r="G1352" s="78" t="n"/>
      <c r="H1352" s="78" t="n"/>
      <c r="I1352" s="67">
        <f>IF($H1352="","",IFERROR(INDEX(Action_Status_Map!$B$5:$B$11,MATCH($H1352,Action_Status_Map!$A$5:$A$11,0)),""))</f>
        <v/>
      </c>
      <c r="J1352" s="82" t="n"/>
      <c r="K1352" s="82" t="n"/>
      <c r="L1352" s="82" t="n"/>
      <c r="M1352" s="83" t="n"/>
      <c r="N1352" s="83" t="n"/>
      <c r="O1352" s="66">
        <f>IF(OR($M1352="",$N1352=""),"",$N1352-$M1352)</f>
        <v/>
      </c>
      <c r="P1352" s="84">
        <f>IF($J1352="","",IF($L1352&lt;&gt;"",$L1352-$J1352,TODAY()-$J1352))</f>
        <v/>
      </c>
      <c r="Q1352" s="85">
        <f>IF(OR($K1352="",$H1352="Completed",$H1352="Cancelled"),"",IF(AND($K1352&lt;TODAY(),$H1352&lt;&gt;"Completed",$H1352&lt;&gt;"Cancelled"),"Overdue","On Track"))</f>
        <v/>
      </c>
      <c r="R1352" s="81" t="n"/>
      <c r="S1352" s="81">
        <f>IF($B1352="","",IFERROR(INDEX(Task_Tracker!$AA$5:$AA$1004,MATCH($B1352,Task_Tracker!$A$5:$A$1004,0)),""))</f>
        <v/>
      </c>
      <c r="T1352" s="81">
        <f>IF($B1352="","",IFERROR(INDEX(Task_Tracker!$AB$5:$AB$1004,MATCH($B1352,Task_Tracker!$A$5:$A$1004,0)),""))</f>
        <v/>
      </c>
      <c r="U1352" s="78">
        <f>IF($B1352="","",IFERROR(INDEX(Task_Tracker!$F$5:$F$1004,MATCH($B1352,Task_Tracker!$A$5:$A$1004,0)),""))</f>
        <v/>
      </c>
      <c r="V1352" s="78">
        <f>IF($B1352="","",IFERROR(INDEX(Task_Tracker!$I$5:$I$1004,MATCH($B1352,Task_Tracker!$A$5:$A$1004,0)),""))</f>
        <v/>
      </c>
      <c r="W1352" s="81">
        <f>IF(OR($D1352="",$B1352=""),"",$D1352&amp;" | "&amp;$B1352)</f>
        <v/>
      </c>
      <c r="X1352" s="85">
        <f>IF($K1352="","",TEXT($K1352,"yyyy-mm"))</f>
        <v/>
      </c>
      <c r="Y1352" s="81">
        <f>IF(OR($A1352="",$T1352=""),"","Included in Manager_Report")</f>
        <v/>
      </c>
    </row>
    <row r="1353" ht="15" customHeight="1" s="40">
      <c r="A1353" s="65">
        <f>IF(COUNTA(B1353:G1353)=0,"","STP-"&amp;TEXT(ROW()-4,"0000"))</f>
        <v/>
      </c>
      <c r="B1353" s="78" t="n"/>
      <c r="C1353" s="67">
        <f>IF($B1353="","",IFERROR(INDEX(Task_Tracker!$D$5:$D$1004,MATCH($B1353,Task_Tracker!$A$5:$A$1004,0)),""))</f>
        <v/>
      </c>
      <c r="D1353" s="67">
        <f>IF($B1353="","",IFERROR(INDEX(Task_Tracker!$B$5:$B$1004,MATCH($B1353,Task_Tracker!$A$5:$A$1004,0)),""))</f>
        <v/>
      </c>
      <c r="E1353" s="81" t="n"/>
      <c r="F1353" s="81" t="n"/>
      <c r="G1353" s="78" t="n"/>
      <c r="H1353" s="78" t="n"/>
      <c r="I1353" s="67">
        <f>IF($H1353="","",IFERROR(INDEX(Action_Status_Map!$B$5:$B$11,MATCH($H1353,Action_Status_Map!$A$5:$A$11,0)),""))</f>
        <v/>
      </c>
      <c r="J1353" s="82" t="n"/>
      <c r="K1353" s="82" t="n"/>
      <c r="L1353" s="82" t="n"/>
      <c r="M1353" s="83" t="n"/>
      <c r="N1353" s="83" t="n"/>
      <c r="O1353" s="66">
        <f>IF(OR($M1353="",$N1353=""),"",$N1353-$M1353)</f>
        <v/>
      </c>
      <c r="P1353" s="84">
        <f>IF($J1353="","",IF($L1353&lt;&gt;"",$L1353-$J1353,TODAY()-$J1353))</f>
        <v/>
      </c>
      <c r="Q1353" s="85">
        <f>IF(OR($K1353="",$H1353="Completed",$H1353="Cancelled"),"",IF(AND($K1353&lt;TODAY(),$H1353&lt;&gt;"Completed",$H1353&lt;&gt;"Cancelled"),"Overdue","On Track"))</f>
        <v/>
      </c>
      <c r="R1353" s="81" t="n"/>
      <c r="S1353" s="81">
        <f>IF($B1353="","",IFERROR(INDEX(Task_Tracker!$AA$5:$AA$1004,MATCH($B1353,Task_Tracker!$A$5:$A$1004,0)),""))</f>
        <v/>
      </c>
      <c r="T1353" s="81">
        <f>IF($B1353="","",IFERROR(INDEX(Task_Tracker!$AB$5:$AB$1004,MATCH($B1353,Task_Tracker!$A$5:$A$1004,0)),""))</f>
        <v/>
      </c>
      <c r="U1353" s="78">
        <f>IF($B1353="","",IFERROR(INDEX(Task_Tracker!$F$5:$F$1004,MATCH($B1353,Task_Tracker!$A$5:$A$1004,0)),""))</f>
        <v/>
      </c>
      <c r="V1353" s="78">
        <f>IF($B1353="","",IFERROR(INDEX(Task_Tracker!$I$5:$I$1004,MATCH($B1353,Task_Tracker!$A$5:$A$1004,0)),""))</f>
        <v/>
      </c>
      <c r="W1353" s="81">
        <f>IF(OR($D1353="",$B1353=""),"",$D1353&amp;" | "&amp;$B1353)</f>
        <v/>
      </c>
      <c r="X1353" s="85">
        <f>IF($K1353="","",TEXT($K1353,"yyyy-mm"))</f>
        <v/>
      </c>
      <c r="Y1353" s="81">
        <f>IF(OR($A1353="",$T1353=""),"","Included in Manager_Report")</f>
        <v/>
      </c>
    </row>
    <row r="1354" ht="15" customHeight="1" s="40">
      <c r="A1354" s="65">
        <f>IF(COUNTA(B1354:G1354)=0,"","STP-"&amp;TEXT(ROW()-4,"0000"))</f>
        <v/>
      </c>
      <c r="B1354" s="78" t="n"/>
      <c r="C1354" s="67">
        <f>IF($B1354="","",IFERROR(INDEX(Task_Tracker!$D$5:$D$1004,MATCH($B1354,Task_Tracker!$A$5:$A$1004,0)),""))</f>
        <v/>
      </c>
      <c r="D1354" s="67">
        <f>IF($B1354="","",IFERROR(INDEX(Task_Tracker!$B$5:$B$1004,MATCH($B1354,Task_Tracker!$A$5:$A$1004,0)),""))</f>
        <v/>
      </c>
      <c r="E1354" s="81" t="n"/>
      <c r="F1354" s="81" t="n"/>
      <c r="G1354" s="78" t="n"/>
      <c r="H1354" s="78" t="n"/>
      <c r="I1354" s="67">
        <f>IF($H1354="","",IFERROR(INDEX(Action_Status_Map!$B$5:$B$11,MATCH($H1354,Action_Status_Map!$A$5:$A$11,0)),""))</f>
        <v/>
      </c>
      <c r="J1354" s="82" t="n"/>
      <c r="K1354" s="82" t="n"/>
      <c r="L1354" s="82" t="n"/>
      <c r="M1354" s="83" t="n"/>
      <c r="N1354" s="83" t="n"/>
      <c r="O1354" s="66">
        <f>IF(OR($M1354="",$N1354=""),"",$N1354-$M1354)</f>
        <v/>
      </c>
      <c r="P1354" s="84">
        <f>IF($J1354="","",IF($L1354&lt;&gt;"",$L1354-$J1354,TODAY()-$J1354))</f>
        <v/>
      </c>
      <c r="Q1354" s="85">
        <f>IF(OR($K1354="",$H1354="Completed",$H1354="Cancelled"),"",IF(AND($K1354&lt;TODAY(),$H1354&lt;&gt;"Completed",$H1354&lt;&gt;"Cancelled"),"Overdue","On Track"))</f>
        <v/>
      </c>
      <c r="R1354" s="81" t="n"/>
      <c r="S1354" s="81">
        <f>IF($B1354="","",IFERROR(INDEX(Task_Tracker!$AA$5:$AA$1004,MATCH($B1354,Task_Tracker!$A$5:$A$1004,0)),""))</f>
        <v/>
      </c>
      <c r="T1354" s="81">
        <f>IF($B1354="","",IFERROR(INDEX(Task_Tracker!$AB$5:$AB$1004,MATCH($B1354,Task_Tracker!$A$5:$A$1004,0)),""))</f>
        <v/>
      </c>
      <c r="U1354" s="78">
        <f>IF($B1354="","",IFERROR(INDEX(Task_Tracker!$F$5:$F$1004,MATCH($B1354,Task_Tracker!$A$5:$A$1004,0)),""))</f>
        <v/>
      </c>
      <c r="V1354" s="78">
        <f>IF($B1354="","",IFERROR(INDEX(Task_Tracker!$I$5:$I$1004,MATCH($B1354,Task_Tracker!$A$5:$A$1004,0)),""))</f>
        <v/>
      </c>
      <c r="W1354" s="81">
        <f>IF(OR($D1354="",$B1354=""),"",$D1354&amp;" | "&amp;$B1354)</f>
        <v/>
      </c>
      <c r="X1354" s="85">
        <f>IF($K1354="","",TEXT($K1354,"yyyy-mm"))</f>
        <v/>
      </c>
      <c r="Y1354" s="81">
        <f>IF(OR($A1354="",$T1354=""),"","Included in Manager_Report")</f>
        <v/>
      </c>
    </row>
    <row r="1355" ht="15" customHeight="1" s="40">
      <c r="A1355" s="65">
        <f>IF(COUNTA(B1355:G1355)=0,"","STP-"&amp;TEXT(ROW()-4,"0000"))</f>
        <v/>
      </c>
      <c r="B1355" s="78" t="n"/>
      <c r="C1355" s="67">
        <f>IF($B1355="","",IFERROR(INDEX(Task_Tracker!$D$5:$D$1004,MATCH($B1355,Task_Tracker!$A$5:$A$1004,0)),""))</f>
        <v/>
      </c>
      <c r="D1355" s="67">
        <f>IF($B1355="","",IFERROR(INDEX(Task_Tracker!$B$5:$B$1004,MATCH($B1355,Task_Tracker!$A$5:$A$1004,0)),""))</f>
        <v/>
      </c>
      <c r="E1355" s="81" t="n"/>
      <c r="F1355" s="81" t="n"/>
      <c r="G1355" s="78" t="n"/>
      <c r="H1355" s="78" t="n"/>
      <c r="I1355" s="67">
        <f>IF($H1355="","",IFERROR(INDEX(Action_Status_Map!$B$5:$B$11,MATCH($H1355,Action_Status_Map!$A$5:$A$11,0)),""))</f>
        <v/>
      </c>
      <c r="J1355" s="82" t="n"/>
      <c r="K1355" s="82" t="n"/>
      <c r="L1355" s="82" t="n"/>
      <c r="M1355" s="83" t="n"/>
      <c r="N1355" s="83" t="n"/>
      <c r="O1355" s="66">
        <f>IF(OR($M1355="",$N1355=""),"",$N1355-$M1355)</f>
        <v/>
      </c>
      <c r="P1355" s="84">
        <f>IF($J1355="","",IF($L1355&lt;&gt;"",$L1355-$J1355,TODAY()-$J1355))</f>
        <v/>
      </c>
      <c r="Q1355" s="85">
        <f>IF(OR($K1355="",$H1355="Completed",$H1355="Cancelled"),"",IF(AND($K1355&lt;TODAY(),$H1355&lt;&gt;"Completed",$H1355&lt;&gt;"Cancelled"),"Overdue","On Track"))</f>
        <v/>
      </c>
      <c r="R1355" s="81" t="n"/>
      <c r="S1355" s="81">
        <f>IF($B1355="","",IFERROR(INDEX(Task_Tracker!$AA$5:$AA$1004,MATCH($B1355,Task_Tracker!$A$5:$A$1004,0)),""))</f>
        <v/>
      </c>
      <c r="T1355" s="81">
        <f>IF($B1355="","",IFERROR(INDEX(Task_Tracker!$AB$5:$AB$1004,MATCH($B1355,Task_Tracker!$A$5:$A$1004,0)),""))</f>
        <v/>
      </c>
      <c r="U1355" s="78">
        <f>IF($B1355="","",IFERROR(INDEX(Task_Tracker!$F$5:$F$1004,MATCH($B1355,Task_Tracker!$A$5:$A$1004,0)),""))</f>
        <v/>
      </c>
      <c r="V1355" s="78">
        <f>IF($B1355="","",IFERROR(INDEX(Task_Tracker!$I$5:$I$1004,MATCH($B1355,Task_Tracker!$A$5:$A$1004,0)),""))</f>
        <v/>
      </c>
      <c r="W1355" s="81">
        <f>IF(OR($D1355="",$B1355=""),"",$D1355&amp;" | "&amp;$B1355)</f>
        <v/>
      </c>
      <c r="X1355" s="85">
        <f>IF($K1355="","",TEXT($K1355,"yyyy-mm"))</f>
        <v/>
      </c>
      <c r="Y1355" s="81">
        <f>IF(OR($A1355="",$T1355=""),"","Included in Manager_Report")</f>
        <v/>
      </c>
    </row>
    <row r="1356" ht="15" customHeight="1" s="40">
      <c r="A1356" s="65">
        <f>IF(COUNTA(B1356:G1356)=0,"","STP-"&amp;TEXT(ROW()-4,"0000"))</f>
        <v/>
      </c>
      <c r="B1356" s="78" t="n"/>
      <c r="C1356" s="67">
        <f>IF($B1356="","",IFERROR(INDEX(Task_Tracker!$D$5:$D$1004,MATCH($B1356,Task_Tracker!$A$5:$A$1004,0)),""))</f>
        <v/>
      </c>
      <c r="D1356" s="67">
        <f>IF($B1356="","",IFERROR(INDEX(Task_Tracker!$B$5:$B$1004,MATCH($B1356,Task_Tracker!$A$5:$A$1004,0)),""))</f>
        <v/>
      </c>
      <c r="E1356" s="81" t="n"/>
      <c r="F1356" s="81" t="n"/>
      <c r="G1356" s="78" t="n"/>
      <c r="H1356" s="78" t="n"/>
      <c r="I1356" s="67">
        <f>IF($H1356="","",IFERROR(INDEX(Action_Status_Map!$B$5:$B$11,MATCH($H1356,Action_Status_Map!$A$5:$A$11,0)),""))</f>
        <v/>
      </c>
      <c r="J1356" s="82" t="n"/>
      <c r="K1356" s="82" t="n"/>
      <c r="L1356" s="82" t="n"/>
      <c r="M1356" s="83" t="n"/>
      <c r="N1356" s="83" t="n"/>
      <c r="O1356" s="66">
        <f>IF(OR($M1356="",$N1356=""),"",$N1356-$M1356)</f>
        <v/>
      </c>
      <c r="P1356" s="84">
        <f>IF($J1356="","",IF($L1356&lt;&gt;"",$L1356-$J1356,TODAY()-$J1356))</f>
        <v/>
      </c>
      <c r="Q1356" s="85">
        <f>IF(OR($K1356="",$H1356="Completed",$H1356="Cancelled"),"",IF(AND($K1356&lt;TODAY(),$H1356&lt;&gt;"Completed",$H1356&lt;&gt;"Cancelled"),"Overdue","On Track"))</f>
        <v/>
      </c>
      <c r="R1356" s="81" t="n"/>
      <c r="S1356" s="81">
        <f>IF($B1356="","",IFERROR(INDEX(Task_Tracker!$AA$5:$AA$1004,MATCH($B1356,Task_Tracker!$A$5:$A$1004,0)),""))</f>
        <v/>
      </c>
      <c r="T1356" s="81">
        <f>IF($B1356="","",IFERROR(INDEX(Task_Tracker!$AB$5:$AB$1004,MATCH($B1356,Task_Tracker!$A$5:$A$1004,0)),""))</f>
        <v/>
      </c>
      <c r="U1356" s="78">
        <f>IF($B1356="","",IFERROR(INDEX(Task_Tracker!$F$5:$F$1004,MATCH($B1356,Task_Tracker!$A$5:$A$1004,0)),""))</f>
        <v/>
      </c>
      <c r="V1356" s="78">
        <f>IF($B1356="","",IFERROR(INDEX(Task_Tracker!$I$5:$I$1004,MATCH($B1356,Task_Tracker!$A$5:$A$1004,0)),""))</f>
        <v/>
      </c>
      <c r="W1356" s="81">
        <f>IF(OR($D1356="",$B1356=""),"",$D1356&amp;" | "&amp;$B1356)</f>
        <v/>
      </c>
      <c r="X1356" s="85">
        <f>IF($K1356="","",TEXT($K1356,"yyyy-mm"))</f>
        <v/>
      </c>
      <c r="Y1356" s="81">
        <f>IF(OR($A1356="",$T1356=""),"","Included in Manager_Report")</f>
        <v/>
      </c>
    </row>
    <row r="1357" ht="15" customHeight="1" s="40">
      <c r="A1357" s="65">
        <f>IF(COUNTA(B1357:G1357)=0,"","STP-"&amp;TEXT(ROW()-4,"0000"))</f>
        <v/>
      </c>
      <c r="B1357" s="78" t="n"/>
      <c r="C1357" s="67">
        <f>IF($B1357="","",IFERROR(INDEX(Task_Tracker!$D$5:$D$1004,MATCH($B1357,Task_Tracker!$A$5:$A$1004,0)),""))</f>
        <v/>
      </c>
      <c r="D1357" s="67">
        <f>IF($B1357="","",IFERROR(INDEX(Task_Tracker!$B$5:$B$1004,MATCH($B1357,Task_Tracker!$A$5:$A$1004,0)),""))</f>
        <v/>
      </c>
      <c r="E1357" s="81" t="n"/>
      <c r="F1357" s="81" t="n"/>
      <c r="G1357" s="78" t="n"/>
      <c r="H1357" s="78" t="n"/>
      <c r="I1357" s="67">
        <f>IF($H1357="","",IFERROR(INDEX(Action_Status_Map!$B$5:$B$11,MATCH($H1357,Action_Status_Map!$A$5:$A$11,0)),""))</f>
        <v/>
      </c>
      <c r="J1357" s="82" t="n"/>
      <c r="K1357" s="82" t="n"/>
      <c r="L1357" s="82" t="n"/>
      <c r="M1357" s="83" t="n"/>
      <c r="N1357" s="83" t="n"/>
      <c r="O1357" s="66">
        <f>IF(OR($M1357="",$N1357=""),"",$N1357-$M1357)</f>
        <v/>
      </c>
      <c r="P1357" s="84">
        <f>IF($J1357="","",IF($L1357&lt;&gt;"",$L1357-$J1357,TODAY()-$J1357))</f>
        <v/>
      </c>
      <c r="Q1357" s="85">
        <f>IF(OR($K1357="",$H1357="Completed",$H1357="Cancelled"),"",IF(AND($K1357&lt;TODAY(),$H1357&lt;&gt;"Completed",$H1357&lt;&gt;"Cancelled"),"Overdue","On Track"))</f>
        <v/>
      </c>
      <c r="R1357" s="81" t="n"/>
      <c r="S1357" s="81">
        <f>IF($B1357="","",IFERROR(INDEX(Task_Tracker!$AA$5:$AA$1004,MATCH($B1357,Task_Tracker!$A$5:$A$1004,0)),""))</f>
        <v/>
      </c>
      <c r="T1357" s="81">
        <f>IF($B1357="","",IFERROR(INDEX(Task_Tracker!$AB$5:$AB$1004,MATCH($B1357,Task_Tracker!$A$5:$A$1004,0)),""))</f>
        <v/>
      </c>
      <c r="U1357" s="78">
        <f>IF($B1357="","",IFERROR(INDEX(Task_Tracker!$F$5:$F$1004,MATCH($B1357,Task_Tracker!$A$5:$A$1004,0)),""))</f>
        <v/>
      </c>
      <c r="V1357" s="78">
        <f>IF($B1357="","",IFERROR(INDEX(Task_Tracker!$I$5:$I$1004,MATCH($B1357,Task_Tracker!$A$5:$A$1004,0)),""))</f>
        <v/>
      </c>
      <c r="W1357" s="81">
        <f>IF(OR($D1357="",$B1357=""),"",$D1357&amp;" | "&amp;$B1357)</f>
        <v/>
      </c>
      <c r="X1357" s="85">
        <f>IF($K1357="","",TEXT($K1357,"yyyy-mm"))</f>
        <v/>
      </c>
      <c r="Y1357" s="81">
        <f>IF(OR($A1357="",$T1357=""),"","Included in Manager_Report")</f>
        <v/>
      </c>
    </row>
    <row r="1358" ht="15" customHeight="1" s="40">
      <c r="A1358" s="65">
        <f>IF(COUNTA(B1358:G1358)=0,"","STP-"&amp;TEXT(ROW()-4,"0000"))</f>
        <v/>
      </c>
      <c r="B1358" s="78" t="n"/>
      <c r="C1358" s="67">
        <f>IF($B1358="","",IFERROR(INDEX(Task_Tracker!$D$5:$D$1004,MATCH($B1358,Task_Tracker!$A$5:$A$1004,0)),""))</f>
        <v/>
      </c>
      <c r="D1358" s="67">
        <f>IF($B1358="","",IFERROR(INDEX(Task_Tracker!$B$5:$B$1004,MATCH($B1358,Task_Tracker!$A$5:$A$1004,0)),""))</f>
        <v/>
      </c>
      <c r="E1358" s="81" t="n"/>
      <c r="F1358" s="81" t="n"/>
      <c r="G1358" s="78" t="n"/>
      <c r="H1358" s="78" t="n"/>
      <c r="I1358" s="67">
        <f>IF($H1358="","",IFERROR(INDEX(Action_Status_Map!$B$5:$B$11,MATCH($H1358,Action_Status_Map!$A$5:$A$11,0)),""))</f>
        <v/>
      </c>
      <c r="J1358" s="82" t="n"/>
      <c r="K1358" s="82" t="n"/>
      <c r="L1358" s="82" t="n"/>
      <c r="M1358" s="83" t="n"/>
      <c r="N1358" s="83" t="n"/>
      <c r="O1358" s="66">
        <f>IF(OR($M1358="",$N1358=""),"",$N1358-$M1358)</f>
        <v/>
      </c>
      <c r="P1358" s="84">
        <f>IF($J1358="","",IF($L1358&lt;&gt;"",$L1358-$J1358,TODAY()-$J1358))</f>
        <v/>
      </c>
      <c r="Q1358" s="85">
        <f>IF(OR($K1358="",$H1358="Completed",$H1358="Cancelled"),"",IF(AND($K1358&lt;TODAY(),$H1358&lt;&gt;"Completed",$H1358&lt;&gt;"Cancelled"),"Overdue","On Track"))</f>
        <v/>
      </c>
      <c r="R1358" s="81" t="n"/>
      <c r="S1358" s="81">
        <f>IF($B1358="","",IFERROR(INDEX(Task_Tracker!$AA$5:$AA$1004,MATCH($B1358,Task_Tracker!$A$5:$A$1004,0)),""))</f>
        <v/>
      </c>
      <c r="T1358" s="81">
        <f>IF($B1358="","",IFERROR(INDEX(Task_Tracker!$AB$5:$AB$1004,MATCH($B1358,Task_Tracker!$A$5:$A$1004,0)),""))</f>
        <v/>
      </c>
      <c r="U1358" s="78">
        <f>IF($B1358="","",IFERROR(INDEX(Task_Tracker!$F$5:$F$1004,MATCH($B1358,Task_Tracker!$A$5:$A$1004,0)),""))</f>
        <v/>
      </c>
      <c r="V1358" s="78">
        <f>IF($B1358="","",IFERROR(INDEX(Task_Tracker!$I$5:$I$1004,MATCH($B1358,Task_Tracker!$A$5:$A$1004,0)),""))</f>
        <v/>
      </c>
      <c r="W1358" s="81">
        <f>IF(OR($D1358="",$B1358=""),"",$D1358&amp;" | "&amp;$B1358)</f>
        <v/>
      </c>
      <c r="X1358" s="85">
        <f>IF($K1358="","",TEXT($K1358,"yyyy-mm"))</f>
        <v/>
      </c>
      <c r="Y1358" s="81">
        <f>IF(OR($A1358="",$T1358=""),"","Included in Manager_Report")</f>
        <v/>
      </c>
    </row>
    <row r="1359" ht="15" customHeight="1" s="40">
      <c r="A1359" s="65">
        <f>IF(COUNTA(B1359:G1359)=0,"","STP-"&amp;TEXT(ROW()-4,"0000"))</f>
        <v/>
      </c>
      <c r="B1359" s="78" t="n"/>
      <c r="C1359" s="67">
        <f>IF($B1359="","",IFERROR(INDEX(Task_Tracker!$D$5:$D$1004,MATCH($B1359,Task_Tracker!$A$5:$A$1004,0)),""))</f>
        <v/>
      </c>
      <c r="D1359" s="67">
        <f>IF($B1359="","",IFERROR(INDEX(Task_Tracker!$B$5:$B$1004,MATCH($B1359,Task_Tracker!$A$5:$A$1004,0)),""))</f>
        <v/>
      </c>
      <c r="E1359" s="81" t="n"/>
      <c r="F1359" s="81" t="n"/>
      <c r="G1359" s="78" t="n"/>
      <c r="H1359" s="78" t="n"/>
      <c r="I1359" s="67">
        <f>IF($H1359="","",IFERROR(INDEX(Action_Status_Map!$B$5:$B$11,MATCH($H1359,Action_Status_Map!$A$5:$A$11,0)),""))</f>
        <v/>
      </c>
      <c r="J1359" s="82" t="n"/>
      <c r="K1359" s="82" t="n"/>
      <c r="L1359" s="82" t="n"/>
      <c r="M1359" s="83" t="n"/>
      <c r="N1359" s="83" t="n"/>
      <c r="O1359" s="66">
        <f>IF(OR($M1359="",$N1359=""),"",$N1359-$M1359)</f>
        <v/>
      </c>
      <c r="P1359" s="84">
        <f>IF($J1359="","",IF($L1359&lt;&gt;"",$L1359-$J1359,TODAY()-$J1359))</f>
        <v/>
      </c>
      <c r="Q1359" s="85">
        <f>IF(OR($K1359="",$H1359="Completed",$H1359="Cancelled"),"",IF(AND($K1359&lt;TODAY(),$H1359&lt;&gt;"Completed",$H1359&lt;&gt;"Cancelled"),"Overdue","On Track"))</f>
        <v/>
      </c>
      <c r="R1359" s="81" t="n"/>
      <c r="S1359" s="81">
        <f>IF($B1359="","",IFERROR(INDEX(Task_Tracker!$AA$5:$AA$1004,MATCH($B1359,Task_Tracker!$A$5:$A$1004,0)),""))</f>
        <v/>
      </c>
      <c r="T1359" s="81">
        <f>IF($B1359="","",IFERROR(INDEX(Task_Tracker!$AB$5:$AB$1004,MATCH($B1359,Task_Tracker!$A$5:$A$1004,0)),""))</f>
        <v/>
      </c>
      <c r="U1359" s="78">
        <f>IF($B1359="","",IFERROR(INDEX(Task_Tracker!$F$5:$F$1004,MATCH($B1359,Task_Tracker!$A$5:$A$1004,0)),""))</f>
        <v/>
      </c>
      <c r="V1359" s="78">
        <f>IF($B1359="","",IFERROR(INDEX(Task_Tracker!$I$5:$I$1004,MATCH($B1359,Task_Tracker!$A$5:$A$1004,0)),""))</f>
        <v/>
      </c>
      <c r="W1359" s="81">
        <f>IF(OR($D1359="",$B1359=""),"",$D1359&amp;" | "&amp;$B1359)</f>
        <v/>
      </c>
      <c r="X1359" s="85">
        <f>IF($K1359="","",TEXT($K1359,"yyyy-mm"))</f>
        <v/>
      </c>
      <c r="Y1359" s="81">
        <f>IF(OR($A1359="",$T1359=""),"","Included in Manager_Report")</f>
        <v/>
      </c>
    </row>
    <row r="1360" ht="15" customHeight="1" s="40">
      <c r="A1360" s="65">
        <f>IF(COUNTA(B1360:G1360)=0,"","STP-"&amp;TEXT(ROW()-4,"0000"))</f>
        <v/>
      </c>
      <c r="B1360" s="78" t="n"/>
      <c r="C1360" s="67">
        <f>IF($B1360="","",IFERROR(INDEX(Task_Tracker!$D$5:$D$1004,MATCH($B1360,Task_Tracker!$A$5:$A$1004,0)),""))</f>
        <v/>
      </c>
      <c r="D1360" s="67">
        <f>IF($B1360="","",IFERROR(INDEX(Task_Tracker!$B$5:$B$1004,MATCH($B1360,Task_Tracker!$A$5:$A$1004,0)),""))</f>
        <v/>
      </c>
      <c r="E1360" s="81" t="n"/>
      <c r="F1360" s="81" t="n"/>
      <c r="G1360" s="78" t="n"/>
      <c r="H1360" s="78" t="n"/>
      <c r="I1360" s="67">
        <f>IF($H1360="","",IFERROR(INDEX(Action_Status_Map!$B$5:$B$11,MATCH($H1360,Action_Status_Map!$A$5:$A$11,0)),""))</f>
        <v/>
      </c>
      <c r="J1360" s="82" t="n"/>
      <c r="K1360" s="82" t="n"/>
      <c r="L1360" s="82" t="n"/>
      <c r="M1360" s="83" t="n"/>
      <c r="N1360" s="83" t="n"/>
      <c r="O1360" s="66">
        <f>IF(OR($M1360="",$N1360=""),"",$N1360-$M1360)</f>
        <v/>
      </c>
      <c r="P1360" s="84">
        <f>IF($J1360="","",IF($L1360&lt;&gt;"",$L1360-$J1360,TODAY()-$J1360))</f>
        <v/>
      </c>
      <c r="Q1360" s="85">
        <f>IF(OR($K1360="",$H1360="Completed",$H1360="Cancelled"),"",IF(AND($K1360&lt;TODAY(),$H1360&lt;&gt;"Completed",$H1360&lt;&gt;"Cancelled"),"Overdue","On Track"))</f>
        <v/>
      </c>
      <c r="R1360" s="81" t="n"/>
      <c r="S1360" s="81">
        <f>IF($B1360="","",IFERROR(INDEX(Task_Tracker!$AA$5:$AA$1004,MATCH($B1360,Task_Tracker!$A$5:$A$1004,0)),""))</f>
        <v/>
      </c>
      <c r="T1360" s="81">
        <f>IF($B1360="","",IFERROR(INDEX(Task_Tracker!$AB$5:$AB$1004,MATCH($B1360,Task_Tracker!$A$5:$A$1004,0)),""))</f>
        <v/>
      </c>
      <c r="U1360" s="78">
        <f>IF($B1360="","",IFERROR(INDEX(Task_Tracker!$F$5:$F$1004,MATCH($B1360,Task_Tracker!$A$5:$A$1004,0)),""))</f>
        <v/>
      </c>
      <c r="V1360" s="78">
        <f>IF($B1360="","",IFERROR(INDEX(Task_Tracker!$I$5:$I$1004,MATCH($B1360,Task_Tracker!$A$5:$A$1004,0)),""))</f>
        <v/>
      </c>
      <c r="W1360" s="81">
        <f>IF(OR($D1360="",$B1360=""),"",$D1360&amp;" | "&amp;$B1360)</f>
        <v/>
      </c>
      <c r="X1360" s="85">
        <f>IF($K1360="","",TEXT($K1360,"yyyy-mm"))</f>
        <v/>
      </c>
      <c r="Y1360" s="81">
        <f>IF(OR($A1360="",$T1360=""),"","Included in Manager_Report")</f>
        <v/>
      </c>
    </row>
    <row r="1361" ht="15" customHeight="1" s="40">
      <c r="A1361" s="65">
        <f>IF(COUNTA(B1361:G1361)=0,"","STP-"&amp;TEXT(ROW()-4,"0000"))</f>
        <v/>
      </c>
      <c r="B1361" s="78" t="n"/>
      <c r="C1361" s="67">
        <f>IF($B1361="","",IFERROR(INDEX(Task_Tracker!$D$5:$D$1004,MATCH($B1361,Task_Tracker!$A$5:$A$1004,0)),""))</f>
        <v/>
      </c>
      <c r="D1361" s="67">
        <f>IF($B1361="","",IFERROR(INDEX(Task_Tracker!$B$5:$B$1004,MATCH($B1361,Task_Tracker!$A$5:$A$1004,0)),""))</f>
        <v/>
      </c>
      <c r="E1361" s="81" t="n"/>
      <c r="F1361" s="81" t="n"/>
      <c r="G1361" s="78" t="n"/>
      <c r="H1361" s="78" t="n"/>
      <c r="I1361" s="67">
        <f>IF($H1361="","",IFERROR(INDEX(Action_Status_Map!$B$5:$B$11,MATCH($H1361,Action_Status_Map!$A$5:$A$11,0)),""))</f>
        <v/>
      </c>
      <c r="J1361" s="82" t="n"/>
      <c r="K1361" s="82" t="n"/>
      <c r="L1361" s="82" t="n"/>
      <c r="M1361" s="83" t="n"/>
      <c r="N1361" s="83" t="n"/>
      <c r="O1361" s="66">
        <f>IF(OR($M1361="",$N1361=""),"",$N1361-$M1361)</f>
        <v/>
      </c>
      <c r="P1361" s="84">
        <f>IF($J1361="","",IF($L1361&lt;&gt;"",$L1361-$J1361,TODAY()-$J1361))</f>
        <v/>
      </c>
      <c r="Q1361" s="85">
        <f>IF(OR($K1361="",$H1361="Completed",$H1361="Cancelled"),"",IF(AND($K1361&lt;TODAY(),$H1361&lt;&gt;"Completed",$H1361&lt;&gt;"Cancelled"),"Overdue","On Track"))</f>
        <v/>
      </c>
      <c r="R1361" s="81" t="n"/>
      <c r="S1361" s="81">
        <f>IF($B1361="","",IFERROR(INDEX(Task_Tracker!$AA$5:$AA$1004,MATCH($B1361,Task_Tracker!$A$5:$A$1004,0)),""))</f>
        <v/>
      </c>
      <c r="T1361" s="81">
        <f>IF($B1361="","",IFERROR(INDEX(Task_Tracker!$AB$5:$AB$1004,MATCH($B1361,Task_Tracker!$A$5:$A$1004,0)),""))</f>
        <v/>
      </c>
      <c r="U1361" s="78">
        <f>IF($B1361="","",IFERROR(INDEX(Task_Tracker!$F$5:$F$1004,MATCH($B1361,Task_Tracker!$A$5:$A$1004,0)),""))</f>
        <v/>
      </c>
      <c r="V1361" s="78">
        <f>IF($B1361="","",IFERROR(INDEX(Task_Tracker!$I$5:$I$1004,MATCH($B1361,Task_Tracker!$A$5:$A$1004,0)),""))</f>
        <v/>
      </c>
      <c r="W1361" s="81">
        <f>IF(OR($D1361="",$B1361=""),"",$D1361&amp;" | "&amp;$B1361)</f>
        <v/>
      </c>
      <c r="X1361" s="85">
        <f>IF($K1361="","",TEXT($K1361,"yyyy-mm"))</f>
        <v/>
      </c>
      <c r="Y1361" s="81">
        <f>IF(OR($A1361="",$T1361=""),"","Included in Manager_Report")</f>
        <v/>
      </c>
    </row>
    <row r="1362" ht="15" customHeight="1" s="40">
      <c r="A1362" s="65">
        <f>IF(COUNTA(B1362:G1362)=0,"","STP-"&amp;TEXT(ROW()-4,"0000"))</f>
        <v/>
      </c>
      <c r="B1362" s="78" t="n"/>
      <c r="C1362" s="67">
        <f>IF($B1362="","",IFERROR(INDEX(Task_Tracker!$D$5:$D$1004,MATCH($B1362,Task_Tracker!$A$5:$A$1004,0)),""))</f>
        <v/>
      </c>
      <c r="D1362" s="67">
        <f>IF($B1362="","",IFERROR(INDEX(Task_Tracker!$B$5:$B$1004,MATCH($B1362,Task_Tracker!$A$5:$A$1004,0)),""))</f>
        <v/>
      </c>
      <c r="E1362" s="81" t="n"/>
      <c r="F1362" s="81" t="n"/>
      <c r="G1362" s="78" t="n"/>
      <c r="H1362" s="78" t="n"/>
      <c r="I1362" s="67">
        <f>IF($H1362="","",IFERROR(INDEX(Action_Status_Map!$B$5:$B$11,MATCH($H1362,Action_Status_Map!$A$5:$A$11,0)),""))</f>
        <v/>
      </c>
      <c r="J1362" s="82" t="n"/>
      <c r="K1362" s="82" t="n"/>
      <c r="L1362" s="82" t="n"/>
      <c r="M1362" s="83" t="n"/>
      <c r="N1362" s="83" t="n"/>
      <c r="O1362" s="66">
        <f>IF(OR($M1362="",$N1362=""),"",$N1362-$M1362)</f>
        <v/>
      </c>
      <c r="P1362" s="84">
        <f>IF($J1362="","",IF($L1362&lt;&gt;"",$L1362-$J1362,TODAY()-$J1362))</f>
        <v/>
      </c>
      <c r="Q1362" s="85">
        <f>IF(OR($K1362="",$H1362="Completed",$H1362="Cancelled"),"",IF(AND($K1362&lt;TODAY(),$H1362&lt;&gt;"Completed",$H1362&lt;&gt;"Cancelled"),"Overdue","On Track"))</f>
        <v/>
      </c>
      <c r="R1362" s="81" t="n"/>
      <c r="S1362" s="81">
        <f>IF($B1362="","",IFERROR(INDEX(Task_Tracker!$AA$5:$AA$1004,MATCH($B1362,Task_Tracker!$A$5:$A$1004,0)),""))</f>
        <v/>
      </c>
      <c r="T1362" s="81">
        <f>IF($B1362="","",IFERROR(INDEX(Task_Tracker!$AB$5:$AB$1004,MATCH($B1362,Task_Tracker!$A$5:$A$1004,0)),""))</f>
        <v/>
      </c>
      <c r="U1362" s="78">
        <f>IF($B1362="","",IFERROR(INDEX(Task_Tracker!$F$5:$F$1004,MATCH($B1362,Task_Tracker!$A$5:$A$1004,0)),""))</f>
        <v/>
      </c>
      <c r="V1362" s="78">
        <f>IF($B1362="","",IFERROR(INDEX(Task_Tracker!$I$5:$I$1004,MATCH($B1362,Task_Tracker!$A$5:$A$1004,0)),""))</f>
        <v/>
      </c>
      <c r="W1362" s="81">
        <f>IF(OR($D1362="",$B1362=""),"",$D1362&amp;" | "&amp;$B1362)</f>
        <v/>
      </c>
      <c r="X1362" s="85">
        <f>IF($K1362="","",TEXT($K1362,"yyyy-mm"))</f>
        <v/>
      </c>
      <c r="Y1362" s="81">
        <f>IF(OR($A1362="",$T1362=""),"","Included in Manager_Report")</f>
        <v/>
      </c>
    </row>
    <row r="1363" ht="15" customHeight="1" s="40">
      <c r="A1363" s="65">
        <f>IF(COUNTA(B1363:G1363)=0,"","STP-"&amp;TEXT(ROW()-4,"0000"))</f>
        <v/>
      </c>
      <c r="B1363" s="78" t="n"/>
      <c r="C1363" s="67">
        <f>IF($B1363="","",IFERROR(INDEX(Task_Tracker!$D$5:$D$1004,MATCH($B1363,Task_Tracker!$A$5:$A$1004,0)),""))</f>
        <v/>
      </c>
      <c r="D1363" s="67">
        <f>IF($B1363="","",IFERROR(INDEX(Task_Tracker!$B$5:$B$1004,MATCH($B1363,Task_Tracker!$A$5:$A$1004,0)),""))</f>
        <v/>
      </c>
      <c r="E1363" s="81" t="n"/>
      <c r="F1363" s="81" t="n"/>
      <c r="G1363" s="78" t="n"/>
      <c r="H1363" s="78" t="n"/>
      <c r="I1363" s="67">
        <f>IF($H1363="","",IFERROR(INDEX(Action_Status_Map!$B$5:$B$11,MATCH($H1363,Action_Status_Map!$A$5:$A$11,0)),""))</f>
        <v/>
      </c>
      <c r="J1363" s="82" t="n"/>
      <c r="K1363" s="82" t="n"/>
      <c r="L1363" s="82" t="n"/>
      <c r="M1363" s="83" t="n"/>
      <c r="N1363" s="83" t="n"/>
      <c r="O1363" s="66">
        <f>IF(OR($M1363="",$N1363=""),"",$N1363-$M1363)</f>
        <v/>
      </c>
      <c r="P1363" s="84">
        <f>IF($J1363="","",IF($L1363&lt;&gt;"",$L1363-$J1363,TODAY()-$J1363))</f>
        <v/>
      </c>
      <c r="Q1363" s="85">
        <f>IF(OR($K1363="",$H1363="Completed",$H1363="Cancelled"),"",IF(AND($K1363&lt;TODAY(),$H1363&lt;&gt;"Completed",$H1363&lt;&gt;"Cancelled"),"Overdue","On Track"))</f>
        <v/>
      </c>
      <c r="R1363" s="81" t="n"/>
      <c r="S1363" s="81">
        <f>IF($B1363="","",IFERROR(INDEX(Task_Tracker!$AA$5:$AA$1004,MATCH($B1363,Task_Tracker!$A$5:$A$1004,0)),""))</f>
        <v/>
      </c>
      <c r="T1363" s="81">
        <f>IF($B1363="","",IFERROR(INDEX(Task_Tracker!$AB$5:$AB$1004,MATCH($B1363,Task_Tracker!$A$5:$A$1004,0)),""))</f>
        <v/>
      </c>
      <c r="U1363" s="78">
        <f>IF($B1363="","",IFERROR(INDEX(Task_Tracker!$F$5:$F$1004,MATCH($B1363,Task_Tracker!$A$5:$A$1004,0)),""))</f>
        <v/>
      </c>
      <c r="V1363" s="78">
        <f>IF($B1363="","",IFERROR(INDEX(Task_Tracker!$I$5:$I$1004,MATCH($B1363,Task_Tracker!$A$5:$A$1004,0)),""))</f>
        <v/>
      </c>
      <c r="W1363" s="81">
        <f>IF(OR($D1363="",$B1363=""),"",$D1363&amp;" | "&amp;$B1363)</f>
        <v/>
      </c>
      <c r="X1363" s="85">
        <f>IF($K1363="","",TEXT($K1363,"yyyy-mm"))</f>
        <v/>
      </c>
      <c r="Y1363" s="81">
        <f>IF(OR($A1363="",$T1363=""),"","Included in Manager_Report")</f>
        <v/>
      </c>
    </row>
    <row r="1364" ht="15" customHeight="1" s="40">
      <c r="A1364" s="65">
        <f>IF(COUNTA(B1364:G1364)=0,"","STP-"&amp;TEXT(ROW()-4,"0000"))</f>
        <v/>
      </c>
      <c r="B1364" s="78" t="n"/>
      <c r="C1364" s="67">
        <f>IF($B1364="","",IFERROR(INDEX(Task_Tracker!$D$5:$D$1004,MATCH($B1364,Task_Tracker!$A$5:$A$1004,0)),""))</f>
        <v/>
      </c>
      <c r="D1364" s="67">
        <f>IF($B1364="","",IFERROR(INDEX(Task_Tracker!$B$5:$B$1004,MATCH($B1364,Task_Tracker!$A$5:$A$1004,0)),""))</f>
        <v/>
      </c>
      <c r="E1364" s="81" t="n"/>
      <c r="F1364" s="81" t="n"/>
      <c r="G1364" s="78" t="n"/>
      <c r="H1364" s="78" t="n"/>
      <c r="I1364" s="67">
        <f>IF($H1364="","",IFERROR(INDEX(Action_Status_Map!$B$5:$B$11,MATCH($H1364,Action_Status_Map!$A$5:$A$11,0)),""))</f>
        <v/>
      </c>
      <c r="J1364" s="82" t="n"/>
      <c r="K1364" s="82" t="n"/>
      <c r="L1364" s="82" t="n"/>
      <c r="M1364" s="83" t="n"/>
      <c r="N1364" s="83" t="n"/>
      <c r="O1364" s="66">
        <f>IF(OR($M1364="",$N1364=""),"",$N1364-$M1364)</f>
        <v/>
      </c>
      <c r="P1364" s="84">
        <f>IF($J1364="","",IF($L1364&lt;&gt;"",$L1364-$J1364,TODAY()-$J1364))</f>
        <v/>
      </c>
      <c r="Q1364" s="85">
        <f>IF(OR($K1364="",$H1364="Completed",$H1364="Cancelled"),"",IF(AND($K1364&lt;TODAY(),$H1364&lt;&gt;"Completed",$H1364&lt;&gt;"Cancelled"),"Overdue","On Track"))</f>
        <v/>
      </c>
      <c r="R1364" s="81" t="n"/>
      <c r="S1364" s="81">
        <f>IF($B1364="","",IFERROR(INDEX(Task_Tracker!$AA$5:$AA$1004,MATCH($B1364,Task_Tracker!$A$5:$A$1004,0)),""))</f>
        <v/>
      </c>
      <c r="T1364" s="81">
        <f>IF($B1364="","",IFERROR(INDEX(Task_Tracker!$AB$5:$AB$1004,MATCH($B1364,Task_Tracker!$A$5:$A$1004,0)),""))</f>
        <v/>
      </c>
      <c r="U1364" s="78">
        <f>IF($B1364="","",IFERROR(INDEX(Task_Tracker!$F$5:$F$1004,MATCH($B1364,Task_Tracker!$A$5:$A$1004,0)),""))</f>
        <v/>
      </c>
      <c r="V1364" s="78">
        <f>IF($B1364="","",IFERROR(INDEX(Task_Tracker!$I$5:$I$1004,MATCH($B1364,Task_Tracker!$A$5:$A$1004,0)),""))</f>
        <v/>
      </c>
      <c r="W1364" s="81">
        <f>IF(OR($D1364="",$B1364=""),"",$D1364&amp;" | "&amp;$B1364)</f>
        <v/>
      </c>
      <c r="X1364" s="85">
        <f>IF($K1364="","",TEXT($K1364,"yyyy-mm"))</f>
        <v/>
      </c>
      <c r="Y1364" s="81">
        <f>IF(OR($A1364="",$T1364=""),"","Included in Manager_Report")</f>
        <v/>
      </c>
    </row>
    <row r="1365" ht="15" customHeight="1" s="40">
      <c r="A1365" s="65">
        <f>IF(COUNTA(B1365:G1365)=0,"","STP-"&amp;TEXT(ROW()-4,"0000"))</f>
        <v/>
      </c>
      <c r="B1365" s="78" t="n"/>
      <c r="C1365" s="67">
        <f>IF($B1365="","",IFERROR(INDEX(Task_Tracker!$D$5:$D$1004,MATCH($B1365,Task_Tracker!$A$5:$A$1004,0)),""))</f>
        <v/>
      </c>
      <c r="D1365" s="67">
        <f>IF($B1365="","",IFERROR(INDEX(Task_Tracker!$B$5:$B$1004,MATCH($B1365,Task_Tracker!$A$5:$A$1004,0)),""))</f>
        <v/>
      </c>
      <c r="E1365" s="81" t="n"/>
      <c r="F1365" s="81" t="n"/>
      <c r="G1365" s="78" t="n"/>
      <c r="H1365" s="78" t="n"/>
      <c r="I1365" s="67">
        <f>IF($H1365="","",IFERROR(INDEX(Action_Status_Map!$B$5:$B$11,MATCH($H1365,Action_Status_Map!$A$5:$A$11,0)),""))</f>
        <v/>
      </c>
      <c r="J1365" s="82" t="n"/>
      <c r="K1365" s="82" t="n"/>
      <c r="L1365" s="82" t="n"/>
      <c r="M1365" s="83" t="n"/>
      <c r="N1365" s="83" t="n"/>
      <c r="O1365" s="66">
        <f>IF(OR($M1365="",$N1365=""),"",$N1365-$M1365)</f>
        <v/>
      </c>
      <c r="P1365" s="84">
        <f>IF($J1365="","",IF($L1365&lt;&gt;"",$L1365-$J1365,TODAY()-$J1365))</f>
        <v/>
      </c>
      <c r="Q1365" s="85">
        <f>IF(OR($K1365="",$H1365="Completed",$H1365="Cancelled"),"",IF(AND($K1365&lt;TODAY(),$H1365&lt;&gt;"Completed",$H1365&lt;&gt;"Cancelled"),"Overdue","On Track"))</f>
        <v/>
      </c>
      <c r="R1365" s="81" t="n"/>
      <c r="S1365" s="81">
        <f>IF($B1365="","",IFERROR(INDEX(Task_Tracker!$AA$5:$AA$1004,MATCH($B1365,Task_Tracker!$A$5:$A$1004,0)),""))</f>
        <v/>
      </c>
      <c r="T1365" s="81">
        <f>IF($B1365="","",IFERROR(INDEX(Task_Tracker!$AB$5:$AB$1004,MATCH($B1365,Task_Tracker!$A$5:$A$1004,0)),""))</f>
        <v/>
      </c>
      <c r="U1365" s="78">
        <f>IF($B1365="","",IFERROR(INDEX(Task_Tracker!$F$5:$F$1004,MATCH($B1365,Task_Tracker!$A$5:$A$1004,0)),""))</f>
        <v/>
      </c>
      <c r="V1365" s="78">
        <f>IF($B1365="","",IFERROR(INDEX(Task_Tracker!$I$5:$I$1004,MATCH($B1365,Task_Tracker!$A$5:$A$1004,0)),""))</f>
        <v/>
      </c>
      <c r="W1365" s="81">
        <f>IF(OR($D1365="",$B1365=""),"",$D1365&amp;" | "&amp;$B1365)</f>
        <v/>
      </c>
      <c r="X1365" s="85">
        <f>IF($K1365="","",TEXT($K1365,"yyyy-mm"))</f>
        <v/>
      </c>
      <c r="Y1365" s="81">
        <f>IF(OR($A1365="",$T1365=""),"","Included in Manager_Report")</f>
        <v/>
      </c>
    </row>
    <row r="1366" ht="15" customHeight="1" s="40">
      <c r="A1366" s="65">
        <f>IF(COUNTA(B1366:G1366)=0,"","STP-"&amp;TEXT(ROW()-4,"0000"))</f>
        <v/>
      </c>
      <c r="B1366" s="78" t="n"/>
      <c r="C1366" s="67">
        <f>IF($B1366="","",IFERROR(INDEX(Task_Tracker!$D$5:$D$1004,MATCH($B1366,Task_Tracker!$A$5:$A$1004,0)),""))</f>
        <v/>
      </c>
      <c r="D1366" s="67">
        <f>IF($B1366="","",IFERROR(INDEX(Task_Tracker!$B$5:$B$1004,MATCH($B1366,Task_Tracker!$A$5:$A$1004,0)),""))</f>
        <v/>
      </c>
      <c r="E1366" s="81" t="n"/>
      <c r="F1366" s="81" t="n"/>
      <c r="G1366" s="78" t="n"/>
      <c r="H1366" s="78" t="n"/>
      <c r="I1366" s="67">
        <f>IF($H1366="","",IFERROR(INDEX(Action_Status_Map!$B$5:$B$11,MATCH($H1366,Action_Status_Map!$A$5:$A$11,0)),""))</f>
        <v/>
      </c>
      <c r="J1366" s="82" t="n"/>
      <c r="K1366" s="82" t="n"/>
      <c r="L1366" s="82" t="n"/>
      <c r="M1366" s="83" t="n"/>
      <c r="N1366" s="83" t="n"/>
      <c r="O1366" s="66">
        <f>IF(OR($M1366="",$N1366=""),"",$N1366-$M1366)</f>
        <v/>
      </c>
      <c r="P1366" s="84">
        <f>IF($J1366="","",IF($L1366&lt;&gt;"",$L1366-$J1366,TODAY()-$J1366))</f>
        <v/>
      </c>
      <c r="Q1366" s="85">
        <f>IF(OR($K1366="",$H1366="Completed",$H1366="Cancelled"),"",IF(AND($K1366&lt;TODAY(),$H1366&lt;&gt;"Completed",$H1366&lt;&gt;"Cancelled"),"Overdue","On Track"))</f>
        <v/>
      </c>
      <c r="R1366" s="81" t="n"/>
      <c r="S1366" s="81">
        <f>IF($B1366="","",IFERROR(INDEX(Task_Tracker!$AA$5:$AA$1004,MATCH($B1366,Task_Tracker!$A$5:$A$1004,0)),""))</f>
        <v/>
      </c>
      <c r="T1366" s="81">
        <f>IF($B1366="","",IFERROR(INDEX(Task_Tracker!$AB$5:$AB$1004,MATCH($B1366,Task_Tracker!$A$5:$A$1004,0)),""))</f>
        <v/>
      </c>
      <c r="U1366" s="78">
        <f>IF($B1366="","",IFERROR(INDEX(Task_Tracker!$F$5:$F$1004,MATCH($B1366,Task_Tracker!$A$5:$A$1004,0)),""))</f>
        <v/>
      </c>
      <c r="V1366" s="78">
        <f>IF($B1366="","",IFERROR(INDEX(Task_Tracker!$I$5:$I$1004,MATCH($B1366,Task_Tracker!$A$5:$A$1004,0)),""))</f>
        <v/>
      </c>
      <c r="W1366" s="81">
        <f>IF(OR($D1366="",$B1366=""),"",$D1366&amp;" | "&amp;$B1366)</f>
        <v/>
      </c>
      <c r="X1366" s="85">
        <f>IF($K1366="","",TEXT($K1366,"yyyy-mm"))</f>
        <v/>
      </c>
      <c r="Y1366" s="81">
        <f>IF(OR($A1366="",$T1366=""),"","Included in Manager_Report")</f>
        <v/>
      </c>
    </row>
    <row r="1367" ht="15" customHeight="1" s="40">
      <c r="A1367" s="65">
        <f>IF(COUNTA(B1367:G1367)=0,"","STP-"&amp;TEXT(ROW()-4,"0000"))</f>
        <v/>
      </c>
      <c r="B1367" s="78" t="n"/>
      <c r="C1367" s="67">
        <f>IF($B1367="","",IFERROR(INDEX(Task_Tracker!$D$5:$D$1004,MATCH($B1367,Task_Tracker!$A$5:$A$1004,0)),""))</f>
        <v/>
      </c>
      <c r="D1367" s="67">
        <f>IF($B1367="","",IFERROR(INDEX(Task_Tracker!$B$5:$B$1004,MATCH($B1367,Task_Tracker!$A$5:$A$1004,0)),""))</f>
        <v/>
      </c>
      <c r="E1367" s="81" t="n"/>
      <c r="F1367" s="81" t="n"/>
      <c r="G1367" s="78" t="n"/>
      <c r="H1367" s="78" t="n"/>
      <c r="I1367" s="67">
        <f>IF($H1367="","",IFERROR(INDEX(Action_Status_Map!$B$5:$B$11,MATCH($H1367,Action_Status_Map!$A$5:$A$11,0)),""))</f>
        <v/>
      </c>
      <c r="J1367" s="82" t="n"/>
      <c r="K1367" s="82" t="n"/>
      <c r="L1367" s="82" t="n"/>
      <c r="M1367" s="83" t="n"/>
      <c r="N1367" s="83" t="n"/>
      <c r="O1367" s="66">
        <f>IF(OR($M1367="",$N1367=""),"",$N1367-$M1367)</f>
        <v/>
      </c>
      <c r="P1367" s="84">
        <f>IF($J1367="","",IF($L1367&lt;&gt;"",$L1367-$J1367,TODAY()-$J1367))</f>
        <v/>
      </c>
      <c r="Q1367" s="85">
        <f>IF(OR($K1367="",$H1367="Completed",$H1367="Cancelled"),"",IF(AND($K1367&lt;TODAY(),$H1367&lt;&gt;"Completed",$H1367&lt;&gt;"Cancelled"),"Overdue","On Track"))</f>
        <v/>
      </c>
      <c r="R1367" s="81" t="n"/>
      <c r="S1367" s="81">
        <f>IF($B1367="","",IFERROR(INDEX(Task_Tracker!$AA$5:$AA$1004,MATCH($B1367,Task_Tracker!$A$5:$A$1004,0)),""))</f>
        <v/>
      </c>
      <c r="T1367" s="81">
        <f>IF($B1367="","",IFERROR(INDEX(Task_Tracker!$AB$5:$AB$1004,MATCH($B1367,Task_Tracker!$A$5:$A$1004,0)),""))</f>
        <v/>
      </c>
      <c r="U1367" s="78">
        <f>IF($B1367="","",IFERROR(INDEX(Task_Tracker!$F$5:$F$1004,MATCH($B1367,Task_Tracker!$A$5:$A$1004,0)),""))</f>
        <v/>
      </c>
      <c r="V1367" s="78">
        <f>IF($B1367="","",IFERROR(INDEX(Task_Tracker!$I$5:$I$1004,MATCH($B1367,Task_Tracker!$A$5:$A$1004,0)),""))</f>
        <v/>
      </c>
      <c r="W1367" s="81">
        <f>IF(OR($D1367="",$B1367=""),"",$D1367&amp;" | "&amp;$B1367)</f>
        <v/>
      </c>
      <c r="X1367" s="85">
        <f>IF($K1367="","",TEXT($K1367,"yyyy-mm"))</f>
        <v/>
      </c>
      <c r="Y1367" s="81">
        <f>IF(OR($A1367="",$T1367=""),"","Included in Manager_Report")</f>
        <v/>
      </c>
    </row>
    <row r="1368" ht="15" customHeight="1" s="40">
      <c r="A1368" s="65">
        <f>IF(COUNTA(B1368:G1368)=0,"","STP-"&amp;TEXT(ROW()-4,"0000"))</f>
        <v/>
      </c>
      <c r="B1368" s="78" t="n"/>
      <c r="C1368" s="67">
        <f>IF($B1368="","",IFERROR(INDEX(Task_Tracker!$D$5:$D$1004,MATCH($B1368,Task_Tracker!$A$5:$A$1004,0)),""))</f>
        <v/>
      </c>
      <c r="D1368" s="67">
        <f>IF($B1368="","",IFERROR(INDEX(Task_Tracker!$B$5:$B$1004,MATCH($B1368,Task_Tracker!$A$5:$A$1004,0)),""))</f>
        <v/>
      </c>
      <c r="E1368" s="81" t="n"/>
      <c r="F1368" s="81" t="n"/>
      <c r="G1368" s="78" t="n"/>
      <c r="H1368" s="78" t="n"/>
      <c r="I1368" s="67">
        <f>IF($H1368="","",IFERROR(INDEX(Action_Status_Map!$B$5:$B$11,MATCH($H1368,Action_Status_Map!$A$5:$A$11,0)),""))</f>
        <v/>
      </c>
      <c r="J1368" s="82" t="n"/>
      <c r="K1368" s="82" t="n"/>
      <c r="L1368" s="82" t="n"/>
      <c r="M1368" s="83" t="n"/>
      <c r="N1368" s="83" t="n"/>
      <c r="O1368" s="66">
        <f>IF(OR($M1368="",$N1368=""),"",$N1368-$M1368)</f>
        <v/>
      </c>
      <c r="P1368" s="84">
        <f>IF($J1368="","",IF($L1368&lt;&gt;"",$L1368-$J1368,TODAY()-$J1368))</f>
        <v/>
      </c>
      <c r="Q1368" s="85">
        <f>IF(OR($K1368="",$H1368="Completed",$H1368="Cancelled"),"",IF(AND($K1368&lt;TODAY(),$H1368&lt;&gt;"Completed",$H1368&lt;&gt;"Cancelled"),"Overdue","On Track"))</f>
        <v/>
      </c>
      <c r="R1368" s="81" t="n"/>
      <c r="S1368" s="81">
        <f>IF($B1368="","",IFERROR(INDEX(Task_Tracker!$AA$5:$AA$1004,MATCH($B1368,Task_Tracker!$A$5:$A$1004,0)),""))</f>
        <v/>
      </c>
      <c r="T1368" s="81">
        <f>IF($B1368="","",IFERROR(INDEX(Task_Tracker!$AB$5:$AB$1004,MATCH($B1368,Task_Tracker!$A$5:$A$1004,0)),""))</f>
        <v/>
      </c>
      <c r="U1368" s="78">
        <f>IF($B1368="","",IFERROR(INDEX(Task_Tracker!$F$5:$F$1004,MATCH($B1368,Task_Tracker!$A$5:$A$1004,0)),""))</f>
        <v/>
      </c>
      <c r="V1368" s="78">
        <f>IF($B1368="","",IFERROR(INDEX(Task_Tracker!$I$5:$I$1004,MATCH($B1368,Task_Tracker!$A$5:$A$1004,0)),""))</f>
        <v/>
      </c>
      <c r="W1368" s="81">
        <f>IF(OR($D1368="",$B1368=""),"",$D1368&amp;" | "&amp;$B1368)</f>
        <v/>
      </c>
      <c r="X1368" s="85">
        <f>IF($K1368="","",TEXT($K1368,"yyyy-mm"))</f>
        <v/>
      </c>
      <c r="Y1368" s="81">
        <f>IF(OR($A1368="",$T1368=""),"","Included in Manager_Report")</f>
        <v/>
      </c>
    </row>
    <row r="1369" ht="15" customHeight="1" s="40">
      <c r="A1369" s="65">
        <f>IF(COUNTA(B1369:G1369)=0,"","STP-"&amp;TEXT(ROW()-4,"0000"))</f>
        <v/>
      </c>
      <c r="B1369" s="78" t="n"/>
      <c r="C1369" s="67">
        <f>IF($B1369="","",IFERROR(INDEX(Task_Tracker!$D$5:$D$1004,MATCH($B1369,Task_Tracker!$A$5:$A$1004,0)),""))</f>
        <v/>
      </c>
      <c r="D1369" s="67">
        <f>IF($B1369="","",IFERROR(INDEX(Task_Tracker!$B$5:$B$1004,MATCH($B1369,Task_Tracker!$A$5:$A$1004,0)),""))</f>
        <v/>
      </c>
      <c r="E1369" s="81" t="n"/>
      <c r="F1369" s="81" t="n"/>
      <c r="G1369" s="78" t="n"/>
      <c r="H1369" s="78" t="n"/>
      <c r="I1369" s="67">
        <f>IF($H1369="","",IFERROR(INDEX(Action_Status_Map!$B$5:$B$11,MATCH($H1369,Action_Status_Map!$A$5:$A$11,0)),""))</f>
        <v/>
      </c>
      <c r="J1369" s="82" t="n"/>
      <c r="K1369" s="82" t="n"/>
      <c r="L1369" s="82" t="n"/>
      <c r="M1369" s="83" t="n"/>
      <c r="N1369" s="83" t="n"/>
      <c r="O1369" s="66">
        <f>IF(OR($M1369="",$N1369=""),"",$N1369-$M1369)</f>
        <v/>
      </c>
      <c r="P1369" s="84">
        <f>IF($J1369="","",IF($L1369&lt;&gt;"",$L1369-$J1369,TODAY()-$J1369))</f>
        <v/>
      </c>
      <c r="Q1369" s="85">
        <f>IF(OR($K1369="",$H1369="Completed",$H1369="Cancelled"),"",IF(AND($K1369&lt;TODAY(),$H1369&lt;&gt;"Completed",$H1369&lt;&gt;"Cancelled"),"Overdue","On Track"))</f>
        <v/>
      </c>
      <c r="R1369" s="81" t="n"/>
      <c r="S1369" s="81">
        <f>IF($B1369="","",IFERROR(INDEX(Task_Tracker!$AA$5:$AA$1004,MATCH($B1369,Task_Tracker!$A$5:$A$1004,0)),""))</f>
        <v/>
      </c>
      <c r="T1369" s="81">
        <f>IF($B1369="","",IFERROR(INDEX(Task_Tracker!$AB$5:$AB$1004,MATCH($B1369,Task_Tracker!$A$5:$A$1004,0)),""))</f>
        <v/>
      </c>
      <c r="U1369" s="78">
        <f>IF($B1369="","",IFERROR(INDEX(Task_Tracker!$F$5:$F$1004,MATCH($B1369,Task_Tracker!$A$5:$A$1004,0)),""))</f>
        <v/>
      </c>
      <c r="V1369" s="78">
        <f>IF($B1369="","",IFERROR(INDEX(Task_Tracker!$I$5:$I$1004,MATCH($B1369,Task_Tracker!$A$5:$A$1004,0)),""))</f>
        <v/>
      </c>
      <c r="W1369" s="81">
        <f>IF(OR($D1369="",$B1369=""),"",$D1369&amp;" | "&amp;$B1369)</f>
        <v/>
      </c>
      <c r="X1369" s="85">
        <f>IF($K1369="","",TEXT($K1369,"yyyy-mm"))</f>
        <v/>
      </c>
      <c r="Y1369" s="81">
        <f>IF(OR($A1369="",$T1369=""),"","Included in Manager_Report")</f>
        <v/>
      </c>
    </row>
    <row r="1370" ht="15" customHeight="1" s="40">
      <c r="A1370" s="65">
        <f>IF(COUNTA(B1370:G1370)=0,"","STP-"&amp;TEXT(ROW()-4,"0000"))</f>
        <v/>
      </c>
      <c r="B1370" s="78" t="n"/>
      <c r="C1370" s="67">
        <f>IF($B1370="","",IFERROR(INDEX(Task_Tracker!$D$5:$D$1004,MATCH($B1370,Task_Tracker!$A$5:$A$1004,0)),""))</f>
        <v/>
      </c>
      <c r="D1370" s="67">
        <f>IF($B1370="","",IFERROR(INDEX(Task_Tracker!$B$5:$B$1004,MATCH($B1370,Task_Tracker!$A$5:$A$1004,0)),""))</f>
        <v/>
      </c>
      <c r="E1370" s="81" t="n"/>
      <c r="F1370" s="81" t="n"/>
      <c r="G1370" s="78" t="n"/>
      <c r="H1370" s="78" t="n"/>
      <c r="I1370" s="67">
        <f>IF($H1370="","",IFERROR(INDEX(Action_Status_Map!$B$5:$B$11,MATCH($H1370,Action_Status_Map!$A$5:$A$11,0)),""))</f>
        <v/>
      </c>
      <c r="J1370" s="82" t="n"/>
      <c r="K1370" s="82" t="n"/>
      <c r="L1370" s="82" t="n"/>
      <c r="M1370" s="83" t="n"/>
      <c r="N1370" s="83" t="n"/>
      <c r="O1370" s="66">
        <f>IF(OR($M1370="",$N1370=""),"",$N1370-$M1370)</f>
        <v/>
      </c>
      <c r="P1370" s="84">
        <f>IF($J1370="","",IF($L1370&lt;&gt;"",$L1370-$J1370,TODAY()-$J1370))</f>
        <v/>
      </c>
      <c r="Q1370" s="85">
        <f>IF(OR($K1370="",$H1370="Completed",$H1370="Cancelled"),"",IF(AND($K1370&lt;TODAY(),$H1370&lt;&gt;"Completed",$H1370&lt;&gt;"Cancelled"),"Overdue","On Track"))</f>
        <v/>
      </c>
      <c r="R1370" s="81" t="n"/>
      <c r="S1370" s="81">
        <f>IF($B1370="","",IFERROR(INDEX(Task_Tracker!$AA$5:$AA$1004,MATCH($B1370,Task_Tracker!$A$5:$A$1004,0)),""))</f>
        <v/>
      </c>
      <c r="T1370" s="81">
        <f>IF($B1370="","",IFERROR(INDEX(Task_Tracker!$AB$5:$AB$1004,MATCH($B1370,Task_Tracker!$A$5:$A$1004,0)),""))</f>
        <v/>
      </c>
      <c r="U1370" s="78">
        <f>IF($B1370="","",IFERROR(INDEX(Task_Tracker!$F$5:$F$1004,MATCH($B1370,Task_Tracker!$A$5:$A$1004,0)),""))</f>
        <v/>
      </c>
      <c r="V1370" s="78">
        <f>IF($B1370="","",IFERROR(INDEX(Task_Tracker!$I$5:$I$1004,MATCH($B1370,Task_Tracker!$A$5:$A$1004,0)),""))</f>
        <v/>
      </c>
      <c r="W1370" s="81">
        <f>IF(OR($D1370="",$B1370=""),"",$D1370&amp;" | "&amp;$B1370)</f>
        <v/>
      </c>
      <c r="X1370" s="85">
        <f>IF($K1370="","",TEXT($K1370,"yyyy-mm"))</f>
        <v/>
      </c>
      <c r="Y1370" s="81">
        <f>IF(OR($A1370="",$T1370=""),"","Included in Manager_Report")</f>
        <v/>
      </c>
    </row>
    <row r="1371" ht="15" customHeight="1" s="40">
      <c r="A1371" s="65">
        <f>IF(COUNTA(B1371:G1371)=0,"","STP-"&amp;TEXT(ROW()-4,"0000"))</f>
        <v/>
      </c>
      <c r="B1371" s="78" t="n"/>
      <c r="C1371" s="67">
        <f>IF($B1371="","",IFERROR(INDEX(Task_Tracker!$D$5:$D$1004,MATCH($B1371,Task_Tracker!$A$5:$A$1004,0)),""))</f>
        <v/>
      </c>
      <c r="D1371" s="67">
        <f>IF($B1371="","",IFERROR(INDEX(Task_Tracker!$B$5:$B$1004,MATCH($B1371,Task_Tracker!$A$5:$A$1004,0)),""))</f>
        <v/>
      </c>
      <c r="E1371" s="81" t="n"/>
      <c r="F1371" s="81" t="n"/>
      <c r="G1371" s="78" t="n"/>
      <c r="H1371" s="78" t="n"/>
      <c r="I1371" s="67">
        <f>IF($H1371="","",IFERROR(INDEX(Action_Status_Map!$B$5:$B$11,MATCH($H1371,Action_Status_Map!$A$5:$A$11,0)),""))</f>
        <v/>
      </c>
      <c r="J1371" s="82" t="n"/>
      <c r="K1371" s="82" t="n"/>
      <c r="L1371" s="82" t="n"/>
      <c r="M1371" s="83" t="n"/>
      <c r="N1371" s="83" t="n"/>
      <c r="O1371" s="66">
        <f>IF(OR($M1371="",$N1371=""),"",$N1371-$M1371)</f>
        <v/>
      </c>
      <c r="P1371" s="84">
        <f>IF($J1371="","",IF($L1371&lt;&gt;"",$L1371-$J1371,TODAY()-$J1371))</f>
        <v/>
      </c>
      <c r="Q1371" s="85">
        <f>IF(OR($K1371="",$H1371="Completed",$H1371="Cancelled"),"",IF(AND($K1371&lt;TODAY(),$H1371&lt;&gt;"Completed",$H1371&lt;&gt;"Cancelled"),"Overdue","On Track"))</f>
        <v/>
      </c>
      <c r="R1371" s="81" t="n"/>
      <c r="S1371" s="81">
        <f>IF($B1371="","",IFERROR(INDEX(Task_Tracker!$AA$5:$AA$1004,MATCH($B1371,Task_Tracker!$A$5:$A$1004,0)),""))</f>
        <v/>
      </c>
      <c r="T1371" s="81">
        <f>IF($B1371="","",IFERROR(INDEX(Task_Tracker!$AB$5:$AB$1004,MATCH($B1371,Task_Tracker!$A$5:$A$1004,0)),""))</f>
        <v/>
      </c>
      <c r="U1371" s="78">
        <f>IF($B1371="","",IFERROR(INDEX(Task_Tracker!$F$5:$F$1004,MATCH($B1371,Task_Tracker!$A$5:$A$1004,0)),""))</f>
        <v/>
      </c>
      <c r="V1371" s="78">
        <f>IF($B1371="","",IFERROR(INDEX(Task_Tracker!$I$5:$I$1004,MATCH($B1371,Task_Tracker!$A$5:$A$1004,0)),""))</f>
        <v/>
      </c>
      <c r="W1371" s="81">
        <f>IF(OR($D1371="",$B1371=""),"",$D1371&amp;" | "&amp;$B1371)</f>
        <v/>
      </c>
      <c r="X1371" s="85">
        <f>IF($K1371="","",TEXT($K1371,"yyyy-mm"))</f>
        <v/>
      </c>
      <c r="Y1371" s="81">
        <f>IF(OR($A1371="",$T1371=""),"","Included in Manager_Report")</f>
        <v/>
      </c>
    </row>
    <row r="1372" ht="15" customHeight="1" s="40">
      <c r="A1372" s="65">
        <f>IF(COUNTA(B1372:G1372)=0,"","STP-"&amp;TEXT(ROW()-4,"0000"))</f>
        <v/>
      </c>
      <c r="B1372" s="78" t="n"/>
      <c r="C1372" s="67">
        <f>IF($B1372="","",IFERROR(INDEX(Task_Tracker!$D$5:$D$1004,MATCH($B1372,Task_Tracker!$A$5:$A$1004,0)),""))</f>
        <v/>
      </c>
      <c r="D1372" s="67">
        <f>IF($B1372="","",IFERROR(INDEX(Task_Tracker!$B$5:$B$1004,MATCH($B1372,Task_Tracker!$A$5:$A$1004,0)),""))</f>
        <v/>
      </c>
      <c r="E1372" s="81" t="n"/>
      <c r="F1372" s="81" t="n"/>
      <c r="G1372" s="78" t="n"/>
      <c r="H1372" s="78" t="n"/>
      <c r="I1372" s="67">
        <f>IF($H1372="","",IFERROR(INDEX(Action_Status_Map!$B$5:$B$11,MATCH($H1372,Action_Status_Map!$A$5:$A$11,0)),""))</f>
        <v/>
      </c>
      <c r="J1372" s="82" t="n"/>
      <c r="K1372" s="82" t="n"/>
      <c r="L1372" s="82" t="n"/>
      <c r="M1372" s="83" t="n"/>
      <c r="N1372" s="83" t="n"/>
      <c r="O1372" s="66">
        <f>IF(OR($M1372="",$N1372=""),"",$N1372-$M1372)</f>
        <v/>
      </c>
      <c r="P1372" s="84">
        <f>IF($J1372="","",IF($L1372&lt;&gt;"",$L1372-$J1372,TODAY()-$J1372))</f>
        <v/>
      </c>
      <c r="Q1372" s="85">
        <f>IF(OR($K1372="",$H1372="Completed",$H1372="Cancelled"),"",IF(AND($K1372&lt;TODAY(),$H1372&lt;&gt;"Completed",$H1372&lt;&gt;"Cancelled"),"Overdue","On Track"))</f>
        <v/>
      </c>
      <c r="R1372" s="81" t="n"/>
      <c r="S1372" s="81">
        <f>IF($B1372="","",IFERROR(INDEX(Task_Tracker!$AA$5:$AA$1004,MATCH($B1372,Task_Tracker!$A$5:$A$1004,0)),""))</f>
        <v/>
      </c>
      <c r="T1372" s="81">
        <f>IF($B1372="","",IFERROR(INDEX(Task_Tracker!$AB$5:$AB$1004,MATCH($B1372,Task_Tracker!$A$5:$A$1004,0)),""))</f>
        <v/>
      </c>
      <c r="U1372" s="78">
        <f>IF($B1372="","",IFERROR(INDEX(Task_Tracker!$F$5:$F$1004,MATCH($B1372,Task_Tracker!$A$5:$A$1004,0)),""))</f>
        <v/>
      </c>
      <c r="V1372" s="78">
        <f>IF($B1372="","",IFERROR(INDEX(Task_Tracker!$I$5:$I$1004,MATCH($B1372,Task_Tracker!$A$5:$A$1004,0)),""))</f>
        <v/>
      </c>
      <c r="W1372" s="81">
        <f>IF(OR($D1372="",$B1372=""),"",$D1372&amp;" | "&amp;$B1372)</f>
        <v/>
      </c>
      <c r="X1372" s="85">
        <f>IF($K1372="","",TEXT($K1372,"yyyy-mm"))</f>
        <v/>
      </c>
      <c r="Y1372" s="81">
        <f>IF(OR($A1372="",$T1372=""),"","Included in Manager_Report")</f>
        <v/>
      </c>
    </row>
    <row r="1373" ht="15" customHeight="1" s="40">
      <c r="A1373" s="65">
        <f>IF(COUNTA(B1373:G1373)=0,"","STP-"&amp;TEXT(ROW()-4,"0000"))</f>
        <v/>
      </c>
      <c r="B1373" s="78" t="n"/>
      <c r="C1373" s="67">
        <f>IF($B1373="","",IFERROR(INDEX(Task_Tracker!$D$5:$D$1004,MATCH($B1373,Task_Tracker!$A$5:$A$1004,0)),""))</f>
        <v/>
      </c>
      <c r="D1373" s="67">
        <f>IF($B1373="","",IFERROR(INDEX(Task_Tracker!$B$5:$B$1004,MATCH($B1373,Task_Tracker!$A$5:$A$1004,0)),""))</f>
        <v/>
      </c>
      <c r="E1373" s="81" t="n"/>
      <c r="F1373" s="81" t="n"/>
      <c r="G1373" s="78" t="n"/>
      <c r="H1373" s="78" t="n"/>
      <c r="I1373" s="67">
        <f>IF($H1373="","",IFERROR(INDEX(Action_Status_Map!$B$5:$B$11,MATCH($H1373,Action_Status_Map!$A$5:$A$11,0)),""))</f>
        <v/>
      </c>
      <c r="J1373" s="82" t="n"/>
      <c r="K1373" s="82" t="n"/>
      <c r="L1373" s="82" t="n"/>
      <c r="M1373" s="83" t="n"/>
      <c r="N1373" s="83" t="n"/>
      <c r="O1373" s="66">
        <f>IF(OR($M1373="",$N1373=""),"",$N1373-$M1373)</f>
        <v/>
      </c>
      <c r="P1373" s="84">
        <f>IF($J1373="","",IF($L1373&lt;&gt;"",$L1373-$J1373,TODAY()-$J1373))</f>
        <v/>
      </c>
      <c r="Q1373" s="85">
        <f>IF(OR($K1373="",$H1373="Completed",$H1373="Cancelled"),"",IF(AND($K1373&lt;TODAY(),$H1373&lt;&gt;"Completed",$H1373&lt;&gt;"Cancelled"),"Overdue","On Track"))</f>
        <v/>
      </c>
      <c r="R1373" s="81" t="n"/>
      <c r="S1373" s="81">
        <f>IF($B1373="","",IFERROR(INDEX(Task_Tracker!$AA$5:$AA$1004,MATCH($B1373,Task_Tracker!$A$5:$A$1004,0)),""))</f>
        <v/>
      </c>
      <c r="T1373" s="81">
        <f>IF($B1373="","",IFERROR(INDEX(Task_Tracker!$AB$5:$AB$1004,MATCH($B1373,Task_Tracker!$A$5:$A$1004,0)),""))</f>
        <v/>
      </c>
      <c r="U1373" s="78">
        <f>IF($B1373="","",IFERROR(INDEX(Task_Tracker!$F$5:$F$1004,MATCH($B1373,Task_Tracker!$A$5:$A$1004,0)),""))</f>
        <v/>
      </c>
      <c r="V1373" s="78">
        <f>IF($B1373="","",IFERROR(INDEX(Task_Tracker!$I$5:$I$1004,MATCH($B1373,Task_Tracker!$A$5:$A$1004,0)),""))</f>
        <v/>
      </c>
      <c r="W1373" s="81">
        <f>IF(OR($D1373="",$B1373=""),"",$D1373&amp;" | "&amp;$B1373)</f>
        <v/>
      </c>
      <c r="X1373" s="85">
        <f>IF($K1373="","",TEXT($K1373,"yyyy-mm"))</f>
        <v/>
      </c>
      <c r="Y1373" s="81">
        <f>IF(OR($A1373="",$T1373=""),"","Included in Manager_Report")</f>
        <v/>
      </c>
    </row>
    <row r="1374" ht="15" customHeight="1" s="40">
      <c r="A1374" s="65">
        <f>IF(COUNTA(B1374:G1374)=0,"","STP-"&amp;TEXT(ROW()-4,"0000"))</f>
        <v/>
      </c>
      <c r="B1374" s="78" t="n"/>
      <c r="C1374" s="67">
        <f>IF($B1374="","",IFERROR(INDEX(Task_Tracker!$D$5:$D$1004,MATCH($B1374,Task_Tracker!$A$5:$A$1004,0)),""))</f>
        <v/>
      </c>
      <c r="D1374" s="67">
        <f>IF($B1374="","",IFERROR(INDEX(Task_Tracker!$B$5:$B$1004,MATCH($B1374,Task_Tracker!$A$5:$A$1004,0)),""))</f>
        <v/>
      </c>
      <c r="E1374" s="81" t="n"/>
      <c r="F1374" s="81" t="n"/>
      <c r="G1374" s="78" t="n"/>
      <c r="H1374" s="78" t="n"/>
      <c r="I1374" s="67">
        <f>IF($H1374="","",IFERROR(INDEX(Action_Status_Map!$B$5:$B$11,MATCH($H1374,Action_Status_Map!$A$5:$A$11,0)),""))</f>
        <v/>
      </c>
      <c r="J1374" s="82" t="n"/>
      <c r="K1374" s="82" t="n"/>
      <c r="L1374" s="82" t="n"/>
      <c r="M1374" s="83" t="n"/>
      <c r="N1374" s="83" t="n"/>
      <c r="O1374" s="66">
        <f>IF(OR($M1374="",$N1374=""),"",$N1374-$M1374)</f>
        <v/>
      </c>
      <c r="P1374" s="84">
        <f>IF($J1374="","",IF($L1374&lt;&gt;"",$L1374-$J1374,TODAY()-$J1374))</f>
        <v/>
      </c>
      <c r="Q1374" s="85">
        <f>IF(OR($K1374="",$H1374="Completed",$H1374="Cancelled"),"",IF(AND($K1374&lt;TODAY(),$H1374&lt;&gt;"Completed",$H1374&lt;&gt;"Cancelled"),"Overdue","On Track"))</f>
        <v/>
      </c>
      <c r="R1374" s="81" t="n"/>
      <c r="S1374" s="81">
        <f>IF($B1374="","",IFERROR(INDEX(Task_Tracker!$AA$5:$AA$1004,MATCH($B1374,Task_Tracker!$A$5:$A$1004,0)),""))</f>
        <v/>
      </c>
      <c r="T1374" s="81">
        <f>IF($B1374="","",IFERROR(INDEX(Task_Tracker!$AB$5:$AB$1004,MATCH($B1374,Task_Tracker!$A$5:$A$1004,0)),""))</f>
        <v/>
      </c>
      <c r="U1374" s="78">
        <f>IF($B1374="","",IFERROR(INDEX(Task_Tracker!$F$5:$F$1004,MATCH($B1374,Task_Tracker!$A$5:$A$1004,0)),""))</f>
        <v/>
      </c>
      <c r="V1374" s="78">
        <f>IF($B1374="","",IFERROR(INDEX(Task_Tracker!$I$5:$I$1004,MATCH($B1374,Task_Tracker!$A$5:$A$1004,0)),""))</f>
        <v/>
      </c>
      <c r="W1374" s="81">
        <f>IF(OR($D1374="",$B1374=""),"",$D1374&amp;" | "&amp;$B1374)</f>
        <v/>
      </c>
      <c r="X1374" s="85">
        <f>IF($K1374="","",TEXT($K1374,"yyyy-mm"))</f>
        <v/>
      </c>
      <c r="Y1374" s="81">
        <f>IF(OR($A1374="",$T1374=""),"","Included in Manager_Report")</f>
        <v/>
      </c>
    </row>
    <row r="1375" ht="15" customHeight="1" s="40">
      <c r="A1375" s="65">
        <f>IF(COUNTA(B1375:G1375)=0,"","STP-"&amp;TEXT(ROW()-4,"0000"))</f>
        <v/>
      </c>
      <c r="B1375" s="78" t="n"/>
      <c r="C1375" s="67">
        <f>IF($B1375="","",IFERROR(INDEX(Task_Tracker!$D$5:$D$1004,MATCH($B1375,Task_Tracker!$A$5:$A$1004,0)),""))</f>
        <v/>
      </c>
      <c r="D1375" s="67">
        <f>IF($B1375="","",IFERROR(INDEX(Task_Tracker!$B$5:$B$1004,MATCH($B1375,Task_Tracker!$A$5:$A$1004,0)),""))</f>
        <v/>
      </c>
      <c r="E1375" s="81" t="n"/>
      <c r="F1375" s="81" t="n"/>
      <c r="G1375" s="78" t="n"/>
      <c r="H1375" s="78" t="n"/>
      <c r="I1375" s="67">
        <f>IF($H1375="","",IFERROR(INDEX(Action_Status_Map!$B$5:$B$11,MATCH($H1375,Action_Status_Map!$A$5:$A$11,0)),""))</f>
        <v/>
      </c>
      <c r="J1375" s="82" t="n"/>
      <c r="K1375" s="82" t="n"/>
      <c r="L1375" s="82" t="n"/>
      <c r="M1375" s="83" t="n"/>
      <c r="N1375" s="83" t="n"/>
      <c r="O1375" s="66">
        <f>IF(OR($M1375="",$N1375=""),"",$N1375-$M1375)</f>
        <v/>
      </c>
      <c r="P1375" s="84">
        <f>IF($J1375="","",IF($L1375&lt;&gt;"",$L1375-$J1375,TODAY()-$J1375))</f>
        <v/>
      </c>
      <c r="Q1375" s="85">
        <f>IF(OR($K1375="",$H1375="Completed",$H1375="Cancelled"),"",IF(AND($K1375&lt;TODAY(),$H1375&lt;&gt;"Completed",$H1375&lt;&gt;"Cancelled"),"Overdue","On Track"))</f>
        <v/>
      </c>
      <c r="R1375" s="81" t="n"/>
      <c r="S1375" s="81">
        <f>IF($B1375="","",IFERROR(INDEX(Task_Tracker!$AA$5:$AA$1004,MATCH($B1375,Task_Tracker!$A$5:$A$1004,0)),""))</f>
        <v/>
      </c>
      <c r="T1375" s="81">
        <f>IF($B1375="","",IFERROR(INDEX(Task_Tracker!$AB$5:$AB$1004,MATCH($B1375,Task_Tracker!$A$5:$A$1004,0)),""))</f>
        <v/>
      </c>
      <c r="U1375" s="78">
        <f>IF($B1375="","",IFERROR(INDEX(Task_Tracker!$F$5:$F$1004,MATCH($B1375,Task_Tracker!$A$5:$A$1004,0)),""))</f>
        <v/>
      </c>
      <c r="V1375" s="78">
        <f>IF($B1375="","",IFERROR(INDEX(Task_Tracker!$I$5:$I$1004,MATCH($B1375,Task_Tracker!$A$5:$A$1004,0)),""))</f>
        <v/>
      </c>
      <c r="W1375" s="81">
        <f>IF(OR($D1375="",$B1375=""),"",$D1375&amp;" | "&amp;$B1375)</f>
        <v/>
      </c>
      <c r="X1375" s="85">
        <f>IF($K1375="","",TEXT($K1375,"yyyy-mm"))</f>
        <v/>
      </c>
      <c r="Y1375" s="81">
        <f>IF(OR($A1375="",$T1375=""),"","Included in Manager_Report")</f>
        <v/>
      </c>
    </row>
    <row r="1376" ht="15" customHeight="1" s="40">
      <c r="A1376" s="65">
        <f>IF(COUNTA(B1376:G1376)=0,"","STP-"&amp;TEXT(ROW()-4,"0000"))</f>
        <v/>
      </c>
      <c r="B1376" s="78" t="n"/>
      <c r="C1376" s="67">
        <f>IF($B1376="","",IFERROR(INDEX(Task_Tracker!$D$5:$D$1004,MATCH($B1376,Task_Tracker!$A$5:$A$1004,0)),""))</f>
        <v/>
      </c>
      <c r="D1376" s="67">
        <f>IF($B1376="","",IFERROR(INDEX(Task_Tracker!$B$5:$B$1004,MATCH($B1376,Task_Tracker!$A$5:$A$1004,0)),""))</f>
        <v/>
      </c>
      <c r="E1376" s="81" t="n"/>
      <c r="F1376" s="81" t="n"/>
      <c r="G1376" s="78" t="n"/>
      <c r="H1376" s="78" t="n"/>
      <c r="I1376" s="67">
        <f>IF($H1376="","",IFERROR(INDEX(Action_Status_Map!$B$5:$B$11,MATCH($H1376,Action_Status_Map!$A$5:$A$11,0)),""))</f>
        <v/>
      </c>
      <c r="J1376" s="82" t="n"/>
      <c r="K1376" s="82" t="n"/>
      <c r="L1376" s="82" t="n"/>
      <c r="M1376" s="83" t="n"/>
      <c r="N1376" s="83" t="n"/>
      <c r="O1376" s="66">
        <f>IF(OR($M1376="",$N1376=""),"",$N1376-$M1376)</f>
        <v/>
      </c>
      <c r="P1376" s="84">
        <f>IF($J1376="","",IF($L1376&lt;&gt;"",$L1376-$J1376,TODAY()-$J1376))</f>
        <v/>
      </c>
      <c r="Q1376" s="85">
        <f>IF(OR($K1376="",$H1376="Completed",$H1376="Cancelled"),"",IF(AND($K1376&lt;TODAY(),$H1376&lt;&gt;"Completed",$H1376&lt;&gt;"Cancelled"),"Overdue","On Track"))</f>
        <v/>
      </c>
      <c r="R1376" s="81" t="n"/>
      <c r="S1376" s="81">
        <f>IF($B1376="","",IFERROR(INDEX(Task_Tracker!$AA$5:$AA$1004,MATCH($B1376,Task_Tracker!$A$5:$A$1004,0)),""))</f>
        <v/>
      </c>
      <c r="T1376" s="81">
        <f>IF($B1376="","",IFERROR(INDEX(Task_Tracker!$AB$5:$AB$1004,MATCH($B1376,Task_Tracker!$A$5:$A$1004,0)),""))</f>
        <v/>
      </c>
      <c r="U1376" s="78">
        <f>IF($B1376="","",IFERROR(INDEX(Task_Tracker!$F$5:$F$1004,MATCH($B1376,Task_Tracker!$A$5:$A$1004,0)),""))</f>
        <v/>
      </c>
      <c r="V1376" s="78">
        <f>IF($B1376="","",IFERROR(INDEX(Task_Tracker!$I$5:$I$1004,MATCH($B1376,Task_Tracker!$A$5:$A$1004,0)),""))</f>
        <v/>
      </c>
      <c r="W1376" s="81">
        <f>IF(OR($D1376="",$B1376=""),"",$D1376&amp;" | "&amp;$B1376)</f>
        <v/>
      </c>
      <c r="X1376" s="85">
        <f>IF($K1376="","",TEXT($K1376,"yyyy-mm"))</f>
        <v/>
      </c>
      <c r="Y1376" s="81">
        <f>IF(OR($A1376="",$T1376=""),"","Included in Manager_Report")</f>
        <v/>
      </c>
    </row>
    <row r="1377" ht="15" customHeight="1" s="40">
      <c r="A1377" s="65">
        <f>IF(COUNTA(B1377:G1377)=0,"","STP-"&amp;TEXT(ROW()-4,"0000"))</f>
        <v/>
      </c>
      <c r="B1377" s="78" t="n"/>
      <c r="C1377" s="67">
        <f>IF($B1377="","",IFERROR(INDEX(Task_Tracker!$D$5:$D$1004,MATCH($B1377,Task_Tracker!$A$5:$A$1004,0)),""))</f>
        <v/>
      </c>
      <c r="D1377" s="67">
        <f>IF($B1377="","",IFERROR(INDEX(Task_Tracker!$B$5:$B$1004,MATCH($B1377,Task_Tracker!$A$5:$A$1004,0)),""))</f>
        <v/>
      </c>
      <c r="E1377" s="81" t="n"/>
      <c r="F1377" s="81" t="n"/>
      <c r="G1377" s="78" t="n"/>
      <c r="H1377" s="78" t="n"/>
      <c r="I1377" s="67">
        <f>IF($H1377="","",IFERROR(INDEX(Action_Status_Map!$B$5:$B$11,MATCH($H1377,Action_Status_Map!$A$5:$A$11,0)),""))</f>
        <v/>
      </c>
      <c r="J1377" s="82" t="n"/>
      <c r="K1377" s="82" t="n"/>
      <c r="L1377" s="82" t="n"/>
      <c r="M1377" s="83" t="n"/>
      <c r="N1377" s="83" t="n"/>
      <c r="O1377" s="66">
        <f>IF(OR($M1377="",$N1377=""),"",$N1377-$M1377)</f>
        <v/>
      </c>
      <c r="P1377" s="84">
        <f>IF($J1377="","",IF($L1377&lt;&gt;"",$L1377-$J1377,TODAY()-$J1377))</f>
        <v/>
      </c>
      <c r="Q1377" s="85">
        <f>IF(OR($K1377="",$H1377="Completed",$H1377="Cancelled"),"",IF(AND($K1377&lt;TODAY(),$H1377&lt;&gt;"Completed",$H1377&lt;&gt;"Cancelled"),"Overdue","On Track"))</f>
        <v/>
      </c>
      <c r="R1377" s="81" t="n"/>
      <c r="S1377" s="81">
        <f>IF($B1377="","",IFERROR(INDEX(Task_Tracker!$AA$5:$AA$1004,MATCH($B1377,Task_Tracker!$A$5:$A$1004,0)),""))</f>
        <v/>
      </c>
      <c r="T1377" s="81">
        <f>IF($B1377="","",IFERROR(INDEX(Task_Tracker!$AB$5:$AB$1004,MATCH($B1377,Task_Tracker!$A$5:$A$1004,0)),""))</f>
        <v/>
      </c>
      <c r="U1377" s="78">
        <f>IF($B1377="","",IFERROR(INDEX(Task_Tracker!$F$5:$F$1004,MATCH($B1377,Task_Tracker!$A$5:$A$1004,0)),""))</f>
        <v/>
      </c>
      <c r="V1377" s="78">
        <f>IF($B1377="","",IFERROR(INDEX(Task_Tracker!$I$5:$I$1004,MATCH($B1377,Task_Tracker!$A$5:$A$1004,0)),""))</f>
        <v/>
      </c>
      <c r="W1377" s="81">
        <f>IF(OR($D1377="",$B1377=""),"",$D1377&amp;" | "&amp;$B1377)</f>
        <v/>
      </c>
      <c r="X1377" s="85">
        <f>IF($K1377="","",TEXT($K1377,"yyyy-mm"))</f>
        <v/>
      </c>
      <c r="Y1377" s="81">
        <f>IF(OR($A1377="",$T1377=""),"","Included in Manager_Report")</f>
        <v/>
      </c>
    </row>
    <row r="1378" ht="15" customHeight="1" s="40">
      <c r="A1378" s="65">
        <f>IF(COUNTA(B1378:G1378)=0,"","STP-"&amp;TEXT(ROW()-4,"0000"))</f>
        <v/>
      </c>
      <c r="B1378" s="78" t="n"/>
      <c r="C1378" s="67">
        <f>IF($B1378="","",IFERROR(INDEX(Task_Tracker!$D$5:$D$1004,MATCH($B1378,Task_Tracker!$A$5:$A$1004,0)),""))</f>
        <v/>
      </c>
      <c r="D1378" s="67">
        <f>IF($B1378="","",IFERROR(INDEX(Task_Tracker!$B$5:$B$1004,MATCH($B1378,Task_Tracker!$A$5:$A$1004,0)),""))</f>
        <v/>
      </c>
      <c r="E1378" s="81" t="n"/>
      <c r="F1378" s="81" t="n"/>
      <c r="G1378" s="78" t="n"/>
      <c r="H1378" s="78" t="n"/>
      <c r="I1378" s="67">
        <f>IF($H1378="","",IFERROR(INDEX(Action_Status_Map!$B$5:$B$11,MATCH($H1378,Action_Status_Map!$A$5:$A$11,0)),""))</f>
        <v/>
      </c>
      <c r="J1378" s="82" t="n"/>
      <c r="K1378" s="82" t="n"/>
      <c r="L1378" s="82" t="n"/>
      <c r="M1378" s="83" t="n"/>
      <c r="N1378" s="83" t="n"/>
      <c r="O1378" s="66">
        <f>IF(OR($M1378="",$N1378=""),"",$N1378-$M1378)</f>
        <v/>
      </c>
      <c r="P1378" s="84">
        <f>IF($J1378="","",IF($L1378&lt;&gt;"",$L1378-$J1378,TODAY()-$J1378))</f>
        <v/>
      </c>
      <c r="Q1378" s="85">
        <f>IF(OR($K1378="",$H1378="Completed",$H1378="Cancelled"),"",IF(AND($K1378&lt;TODAY(),$H1378&lt;&gt;"Completed",$H1378&lt;&gt;"Cancelled"),"Overdue","On Track"))</f>
        <v/>
      </c>
      <c r="R1378" s="81" t="n"/>
      <c r="S1378" s="81">
        <f>IF($B1378="","",IFERROR(INDEX(Task_Tracker!$AA$5:$AA$1004,MATCH($B1378,Task_Tracker!$A$5:$A$1004,0)),""))</f>
        <v/>
      </c>
      <c r="T1378" s="81">
        <f>IF($B1378="","",IFERROR(INDEX(Task_Tracker!$AB$5:$AB$1004,MATCH($B1378,Task_Tracker!$A$5:$A$1004,0)),""))</f>
        <v/>
      </c>
      <c r="U1378" s="78">
        <f>IF($B1378="","",IFERROR(INDEX(Task_Tracker!$F$5:$F$1004,MATCH($B1378,Task_Tracker!$A$5:$A$1004,0)),""))</f>
        <v/>
      </c>
      <c r="V1378" s="78">
        <f>IF($B1378="","",IFERROR(INDEX(Task_Tracker!$I$5:$I$1004,MATCH($B1378,Task_Tracker!$A$5:$A$1004,0)),""))</f>
        <v/>
      </c>
      <c r="W1378" s="81">
        <f>IF(OR($D1378="",$B1378=""),"",$D1378&amp;" | "&amp;$B1378)</f>
        <v/>
      </c>
      <c r="X1378" s="85">
        <f>IF($K1378="","",TEXT($K1378,"yyyy-mm"))</f>
        <v/>
      </c>
      <c r="Y1378" s="81">
        <f>IF(OR($A1378="",$T1378=""),"","Included in Manager_Report")</f>
        <v/>
      </c>
    </row>
    <row r="1379" ht="15" customHeight="1" s="40">
      <c r="A1379" s="65">
        <f>IF(COUNTA(B1379:G1379)=0,"","STP-"&amp;TEXT(ROW()-4,"0000"))</f>
        <v/>
      </c>
      <c r="B1379" s="78" t="n"/>
      <c r="C1379" s="67">
        <f>IF($B1379="","",IFERROR(INDEX(Task_Tracker!$D$5:$D$1004,MATCH($B1379,Task_Tracker!$A$5:$A$1004,0)),""))</f>
        <v/>
      </c>
      <c r="D1379" s="67">
        <f>IF($B1379="","",IFERROR(INDEX(Task_Tracker!$B$5:$B$1004,MATCH($B1379,Task_Tracker!$A$5:$A$1004,0)),""))</f>
        <v/>
      </c>
      <c r="E1379" s="81" t="n"/>
      <c r="F1379" s="81" t="n"/>
      <c r="G1379" s="78" t="n"/>
      <c r="H1379" s="78" t="n"/>
      <c r="I1379" s="67">
        <f>IF($H1379="","",IFERROR(INDEX(Action_Status_Map!$B$5:$B$11,MATCH($H1379,Action_Status_Map!$A$5:$A$11,0)),""))</f>
        <v/>
      </c>
      <c r="J1379" s="82" t="n"/>
      <c r="K1379" s="82" t="n"/>
      <c r="L1379" s="82" t="n"/>
      <c r="M1379" s="83" t="n"/>
      <c r="N1379" s="83" t="n"/>
      <c r="O1379" s="66">
        <f>IF(OR($M1379="",$N1379=""),"",$N1379-$M1379)</f>
        <v/>
      </c>
      <c r="P1379" s="84">
        <f>IF($J1379="","",IF($L1379&lt;&gt;"",$L1379-$J1379,TODAY()-$J1379))</f>
        <v/>
      </c>
      <c r="Q1379" s="85">
        <f>IF(OR($K1379="",$H1379="Completed",$H1379="Cancelled"),"",IF(AND($K1379&lt;TODAY(),$H1379&lt;&gt;"Completed",$H1379&lt;&gt;"Cancelled"),"Overdue","On Track"))</f>
        <v/>
      </c>
      <c r="R1379" s="81" t="n"/>
      <c r="S1379" s="81">
        <f>IF($B1379="","",IFERROR(INDEX(Task_Tracker!$AA$5:$AA$1004,MATCH($B1379,Task_Tracker!$A$5:$A$1004,0)),""))</f>
        <v/>
      </c>
      <c r="T1379" s="81">
        <f>IF($B1379="","",IFERROR(INDEX(Task_Tracker!$AB$5:$AB$1004,MATCH($B1379,Task_Tracker!$A$5:$A$1004,0)),""))</f>
        <v/>
      </c>
      <c r="U1379" s="78">
        <f>IF($B1379="","",IFERROR(INDEX(Task_Tracker!$F$5:$F$1004,MATCH($B1379,Task_Tracker!$A$5:$A$1004,0)),""))</f>
        <v/>
      </c>
      <c r="V1379" s="78">
        <f>IF($B1379="","",IFERROR(INDEX(Task_Tracker!$I$5:$I$1004,MATCH($B1379,Task_Tracker!$A$5:$A$1004,0)),""))</f>
        <v/>
      </c>
      <c r="W1379" s="81">
        <f>IF(OR($D1379="",$B1379=""),"",$D1379&amp;" | "&amp;$B1379)</f>
        <v/>
      </c>
      <c r="X1379" s="85">
        <f>IF($K1379="","",TEXT($K1379,"yyyy-mm"))</f>
        <v/>
      </c>
      <c r="Y1379" s="81">
        <f>IF(OR($A1379="",$T1379=""),"","Included in Manager_Report")</f>
        <v/>
      </c>
    </row>
    <row r="1380" ht="15" customHeight="1" s="40">
      <c r="A1380" s="65">
        <f>IF(COUNTA(B1380:G1380)=0,"","STP-"&amp;TEXT(ROW()-4,"0000"))</f>
        <v/>
      </c>
      <c r="B1380" s="78" t="n"/>
      <c r="C1380" s="67">
        <f>IF($B1380="","",IFERROR(INDEX(Task_Tracker!$D$5:$D$1004,MATCH($B1380,Task_Tracker!$A$5:$A$1004,0)),""))</f>
        <v/>
      </c>
      <c r="D1380" s="67">
        <f>IF($B1380="","",IFERROR(INDEX(Task_Tracker!$B$5:$B$1004,MATCH($B1380,Task_Tracker!$A$5:$A$1004,0)),""))</f>
        <v/>
      </c>
      <c r="E1380" s="81" t="n"/>
      <c r="F1380" s="81" t="n"/>
      <c r="G1380" s="78" t="n"/>
      <c r="H1380" s="78" t="n"/>
      <c r="I1380" s="67">
        <f>IF($H1380="","",IFERROR(INDEX(Action_Status_Map!$B$5:$B$11,MATCH($H1380,Action_Status_Map!$A$5:$A$11,0)),""))</f>
        <v/>
      </c>
      <c r="J1380" s="82" t="n"/>
      <c r="K1380" s="82" t="n"/>
      <c r="L1380" s="82" t="n"/>
      <c r="M1380" s="83" t="n"/>
      <c r="N1380" s="83" t="n"/>
      <c r="O1380" s="66">
        <f>IF(OR($M1380="",$N1380=""),"",$N1380-$M1380)</f>
        <v/>
      </c>
      <c r="P1380" s="84">
        <f>IF($J1380="","",IF($L1380&lt;&gt;"",$L1380-$J1380,TODAY()-$J1380))</f>
        <v/>
      </c>
      <c r="Q1380" s="85">
        <f>IF(OR($K1380="",$H1380="Completed",$H1380="Cancelled"),"",IF(AND($K1380&lt;TODAY(),$H1380&lt;&gt;"Completed",$H1380&lt;&gt;"Cancelled"),"Overdue","On Track"))</f>
        <v/>
      </c>
      <c r="R1380" s="81" t="n"/>
      <c r="S1380" s="81">
        <f>IF($B1380="","",IFERROR(INDEX(Task_Tracker!$AA$5:$AA$1004,MATCH($B1380,Task_Tracker!$A$5:$A$1004,0)),""))</f>
        <v/>
      </c>
      <c r="T1380" s="81">
        <f>IF($B1380="","",IFERROR(INDEX(Task_Tracker!$AB$5:$AB$1004,MATCH($B1380,Task_Tracker!$A$5:$A$1004,0)),""))</f>
        <v/>
      </c>
      <c r="U1380" s="78">
        <f>IF($B1380="","",IFERROR(INDEX(Task_Tracker!$F$5:$F$1004,MATCH($B1380,Task_Tracker!$A$5:$A$1004,0)),""))</f>
        <v/>
      </c>
      <c r="V1380" s="78">
        <f>IF($B1380="","",IFERROR(INDEX(Task_Tracker!$I$5:$I$1004,MATCH($B1380,Task_Tracker!$A$5:$A$1004,0)),""))</f>
        <v/>
      </c>
      <c r="W1380" s="81">
        <f>IF(OR($D1380="",$B1380=""),"",$D1380&amp;" | "&amp;$B1380)</f>
        <v/>
      </c>
      <c r="X1380" s="85">
        <f>IF($K1380="","",TEXT($K1380,"yyyy-mm"))</f>
        <v/>
      </c>
      <c r="Y1380" s="81">
        <f>IF(OR($A1380="",$T1380=""),"","Included in Manager_Report")</f>
        <v/>
      </c>
    </row>
    <row r="1381" ht="15" customHeight="1" s="40">
      <c r="A1381" s="65">
        <f>IF(COUNTA(B1381:G1381)=0,"","STP-"&amp;TEXT(ROW()-4,"0000"))</f>
        <v/>
      </c>
      <c r="B1381" s="78" t="n"/>
      <c r="C1381" s="67">
        <f>IF($B1381="","",IFERROR(INDEX(Task_Tracker!$D$5:$D$1004,MATCH($B1381,Task_Tracker!$A$5:$A$1004,0)),""))</f>
        <v/>
      </c>
      <c r="D1381" s="67">
        <f>IF($B1381="","",IFERROR(INDEX(Task_Tracker!$B$5:$B$1004,MATCH($B1381,Task_Tracker!$A$5:$A$1004,0)),""))</f>
        <v/>
      </c>
      <c r="E1381" s="81" t="n"/>
      <c r="F1381" s="81" t="n"/>
      <c r="G1381" s="78" t="n"/>
      <c r="H1381" s="78" t="n"/>
      <c r="I1381" s="67">
        <f>IF($H1381="","",IFERROR(INDEX(Action_Status_Map!$B$5:$B$11,MATCH($H1381,Action_Status_Map!$A$5:$A$11,0)),""))</f>
        <v/>
      </c>
      <c r="J1381" s="82" t="n"/>
      <c r="K1381" s="82" t="n"/>
      <c r="L1381" s="82" t="n"/>
      <c r="M1381" s="83" t="n"/>
      <c r="N1381" s="83" t="n"/>
      <c r="O1381" s="66">
        <f>IF(OR($M1381="",$N1381=""),"",$N1381-$M1381)</f>
        <v/>
      </c>
      <c r="P1381" s="84">
        <f>IF($J1381="","",IF($L1381&lt;&gt;"",$L1381-$J1381,TODAY()-$J1381))</f>
        <v/>
      </c>
      <c r="Q1381" s="85">
        <f>IF(OR($K1381="",$H1381="Completed",$H1381="Cancelled"),"",IF(AND($K1381&lt;TODAY(),$H1381&lt;&gt;"Completed",$H1381&lt;&gt;"Cancelled"),"Overdue","On Track"))</f>
        <v/>
      </c>
      <c r="R1381" s="81" t="n"/>
      <c r="S1381" s="81">
        <f>IF($B1381="","",IFERROR(INDEX(Task_Tracker!$AA$5:$AA$1004,MATCH($B1381,Task_Tracker!$A$5:$A$1004,0)),""))</f>
        <v/>
      </c>
      <c r="T1381" s="81">
        <f>IF($B1381="","",IFERROR(INDEX(Task_Tracker!$AB$5:$AB$1004,MATCH($B1381,Task_Tracker!$A$5:$A$1004,0)),""))</f>
        <v/>
      </c>
      <c r="U1381" s="78">
        <f>IF($B1381="","",IFERROR(INDEX(Task_Tracker!$F$5:$F$1004,MATCH($B1381,Task_Tracker!$A$5:$A$1004,0)),""))</f>
        <v/>
      </c>
      <c r="V1381" s="78">
        <f>IF($B1381="","",IFERROR(INDEX(Task_Tracker!$I$5:$I$1004,MATCH($B1381,Task_Tracker!$A$5:$A$1004,0)),""))</f>
        <v/>
      </c>
      <c r="W1381" s="81">
        <f>IF(OR($D1381="",$B1381=""),"",$D1381&amp;" | "&amp;$B1381)</f>
        <v/>
      </c>
      <c r="X1381" s="85">
        <f>IF($K1381="","",TEXT($K1381,"yyyy-mm"))</f>
        <v/>
      </c>
      <c r="Y1381" s="81">
        <f>IF(OR($A1381="",$T1381=""),"","Included in Manager_Report")</f>
        <v/>
      </c>
    </row>
    <row r="1382" ht="15" customHeight="1" s="40">
      <c r="A1382" s="65">
        <f>IF(COUNTA(B1382:G1382)=0,"","STP-"&amp;TEXT(ROW()-4,"0000"))</f>
        <v/>
      </c>
      <c r="B1382" s="78" t="n"/>
      <c r="C1382" s="67">
        <f>IF($B1382="","",IFERROR(INDEX(Task_Tracker!$D$5:$D$1004,MATCH($B1382,Task_Tracker!$A$5:$A$1004,0)),""))</f>
        <v/>
      </c>
      <c r="D1382" s="67">
        <f>IF($B1382="","",IFERROR(INDEX(Task_Tracker!$B$5:$B$1004,MATCH($B1382,Task_Tracker!$A$5:$A$1004,0)),""))</f>
        <v/>
      </c>
      <c r="E1382" s="81" t="n"/>
      <c r="F1382" s="81" t="n"/>
      <c r="G1382" s="78" t="n"/>
      <c r="H1382" s="78" t="n"/>
      <c r="I1382" s="67">
        <f>IF($H1382="","",IFERROR(INDEX(Action_Status_Map!$B$5:$B$11,MATCH($H1382,Action_Status_Map!$A$5:$A$11,0)),""))</f>
        <v/>
      </c>
      <c r="J1382" s="82" t="n"/>
      <c r="K1382" s="82" t="n"/>
      <c r="L1382" s="82" t="n"/>
      <c r="M1382" s="83" t="n"/>
      <c r="N1382" s="83" t="n"/>
      <c r="O1382" s="66">
        <f>IF(OR($M1382="",$N1382=""),"",$N1382-$M1382)</f>
        <v/>
      </c>
      <c r="P1382" s="84">
        <f>IF($J1382="","",IF($L1382&lt;&gt;"",$L1382-$J1382,TODAY()-$J1382))</f>
        <v/>
      </c>
      <c r="Q1382" s="85">
        <f>IF(OR($K1382="",$H1382="Completed",$H1382="Cancelled"),"",IF(AND($K1382&lt;TODAY(),$H1382&lt;&gt;"Completed",$H1382&lt;&gt;"Cancelled"),"Overdue","On Track"))</f>
        <v/>
      </c>
      <c r="R1382" s="81" t="n"/>
      <c r="S1382" s="81">
        <f>IF($B1382="","",IFERROR(INDEX(Task_Tracker!$AA$5:$AA$1004,MATCH($B1382,Task_Tracker!$A$5:$A$1004,0)),""))</f>
        <v/>
      </c>
      <c r="T1382" s="81">
        <f>IF($B1382="","",IFERROR(INDEX(Task_Tracker!$AB$5:$AB$1004,MATCH($B1382,Task_Tracker!$A$5:$A$1004,0)),""))</f>
        <v/>
      </c>
      <c r="U1382" s="78">
        <f>IF($B1382="","",IFERROR(INDEX(Task_Tracker!$F$5:$F$1004,MATCH($B1382,Task_Tracker!$A$5:$A$1004,0)),""))</f>
        <v/>
      </c>
      <c r="V1382" s="78">
        <f>IF($B1382="","",IFERROR(INDEX(Task_Tracker!$I$5:$I$1004,MATCH($B1382,Task_Tracker!$A$5:$A$1004,0)),""))</f>
        <v/>
      </c>
      <c r="W1382" s="81">
        <f>IF(OR($D1382="",$B1382=""),"",$D1382&amp;" | "&amp;$B1382)</f>
        <v/>
      </c>
      <c r="X1382" s="85">
        <f>IF($K1382="","",TEXT($K1382,"yyyy-mm"))</f>
        <v/>
      </c>
      <c r="Y1382" s="81">
        <f>IF(OR($A1382="",$T1382=""),"","Included in Manager_Report")</f>
        <v/>
      </c>
    </row>
    <row r="1383" ht="15" customHeight="1" s="40">
      <c r="A1383" s="65">
        <f>IF(COUNTA(B1383:G1383)=0,"","STP-"&amp;TEXT(ROW()-4,"0000"))</f>
        <v/>
      </c>
      <c r="B1383" s="78" t="n"/>
      <c r="C1383" s="67">
        <f>IF($B1383="","",IFERROR(INDEX(Task_Tracker!$D$5:$D$1004,MATCH($B1383,Task_Tracker!$A$5:$A$1004,0)),""))</f>
        <v/>
      </c>
      <c r="D1383" s="67">
        <f>IF($B1383="","",IFERROR(INDEX(Task_Tracker!$B$5:$B$1004,MATCH($B1383,Task_Tracker!$A$5:$A$1004,0)),""))</f>
        <v/>
      </c>
      <c r="E1383" s="81" t="n"/>
      <c r="F1383" s="81" t="n"/>
      <c r="G1383" s="78" t="n"/>
      <c r="H1383" s="78" t="n"/>
      <c r="I1383" s="67">
        <f>IF($H1383="","",IFERROR(INDEX(Action_Status_Map!$B$5:$B$11,MATCH($H1383,Action_Status_Map!$A$5:$A$11,0)),""))</f>
        <v/>
      </c>
      <c r="J1383" s="82" t="n"/>
      <c r="K1383" s="82" t="n"/>
      <c r="L1383" s="82" t="n"/>
      <c r="M1383" s="83" t="n"/>
      <c r="N1383" s="83" t="n"/>
      <c r="O1383" s="66">
        <f>IF(OR($M1383="",$N1383=""),"",$N1383-$M1383)</f>
        <v/>
      </c>
      <c r="P1383" s="84">
        <f>IF($J1383="","",IF($L1383&lt;&gt;"",$L1383-$J1383,TODAY()-$J1383))</f>
        <v/>
      </c>
      <c r="Q1383" s="85">
        <f>IF(OR($K1383="",$H1383="Completed",$H1383="Cancelled"),"",IF(AND($K1383&lt;TODAY(),$H1383&lt;&gt;"Completed",$H1383&lt;&gt;"Cancelled"),"Overdue","On Track"))</f>
        <v/>
      </c>
      <c r="R1383" s="81" t="n"/>
      <c r="S1383" s="81">
        <f>IF($B1383="","",IFERROR(INDEX(Task_Tracker!$AA$5:$AA$1004,MATCH($B1383,Task_Tracker!$A$5:$A$1004,0)),""))</f>
        <v/>
      </c>
      <c r="T1383" s="81">
        <f>IF($B1383="","",IFERROR(INDEX(Task_Tracker!$AB$5:$AB$1004,MATCH($B1383,Task_Tracker!$A$5:$A$1004,0)),""))</f>
        <v/>
      </c>
      <c r="U1383" s="78">
        <f>IF($B1383="","",IFERROR(INDEX(Task_Tracker!$F$5:$F$1004,MATCH($B1383,Task_Tracker!$A$5:$A$1004,0)),""))</f>
        <v/>
      </c>
      <c r="V1383" s="78">
        <f>IF($B1383="","",IFERROR(INDEX(Task_Tracker!$I$5:$I$1004,MATCH($B1383,Task_Tracker!$A$5:$A$1004,0)),""))</f>
        <v/>
      </c>
      <c r="W1383" s="81">
        <f>IF(OR($D1383="",$B1383=""),"",$D1383&amp;" | "&amp;$B1383)</f>
        <v/>
      </c>
      <c r="X1383" s="85">
        <f>IF($K1383="","",TEXT($K1383,"yyyy-mm"))</f>
        <v/>
      </c>
      <c r="Y1383" s="81">
        <f>IF(OR($A1383="",$T1383=""),"","Included in Manager_Report")</f>
        <v/>
      </c>
    </row>
    <row r="1384" ht="15" customHeight="1" s="40">
      <c r="A1384" s="65">
        <f>IF(COUNTA(B1384:G1384)=0,"","STP-"&amp;TEXT(ROW()-4,"0000"))</f>
        <v/>
      </c>
      <c r="B1384" s="78" t="n"/>
      <c r="C1384" s="67">
        <f>IF($B1384="","",IFERROR(INDEX(Task_Tracker!$D$5:$D$1004,MATCH($B1384,Task_Tracker!$A$5:$A$1004,0)),""))</f>
        <v/>
      </c>
      <c r="D1384" s="67">
        <f>IF($B1384="","",IFERROR(INDEX(Task_Tracker!$B$5:$B$1004,MATCH($B1384,Task_Tracker!$A$5:$A$1004,0)),""))</f>
        <v/>
      </c>
      <c r="E1384" s="81" t="n"/>
      <c r="F1384" s="81" t="n"/>
      <c r="G1384" s="78" t="n"/>
      <c r="H1384" s="78" t="n"/>
      <c r="I1384" s="67">
        <f>IF($H1384="","",IFERROR(INDEX(Action_Status_Map!$B$5:$B$11,MATCH($H1384,Action_Status_Map!$A$5:$A$11,0)),""))</f>
        <v/>
      </c>
      <c r="J1384" s="82" t="n"/>
      <c r="K1384" s="82" t="n"/>
      <c r="L1384" s="82" t="n"/>
      <c r="M1384" s="83" t="n"/>
      <c r="N1384" s="83" t="n"/>
      <c r="O1384" s="66">
        <f>IF(OR($M1384="",$N1384=""),"",$N1384-$M1384)</f>
        <v/>
      </c>
      <c r="P1384" s="84">
        <f>IF($J1384="","",IF($L1384&lt;&gt;"",$L1384-$J1384,TODAY()-$J1384))</f>
        <v/>
      </c>
      <c r="Q1384" s="85">
        <f>IF(OR($K1384="",$H1384="Completed",$H1384="Cancelled"),"",IF(AND($K1384&lt;TODAY(),$H1384&lt;&gt;"Completed",$H1384&lt;&gt;"Cancelled"),"Overdue","On Track"))</f>
        <v/>
      </c>
      <c r="R1384" s="81" t="n"/>
      <c r="S1384" s="81">
        <f>IF($B1384="","",IFERROR(INDEX(Task_Tracker!$AA$5:$AA$1004,MATCH($B1384,Task_Tracker!$A$5:$A$1004,0)),""))</f>
        <v/>
      </c>
      <c r="T1384" s="81">
        <f>IF($B1384="","",IFERROR(INDEX(Task_Tracker!$AB$5:$AB$1004,MATCH($B1384,Task_Tracker!$A$5:$A$1004,0)),""))</f>
        <v/>
      </c>
      <c r="U1384" s="78">
        <f>IF($B1384="","",IFERROR(INDEX(Task_Tracker!$F$5:$F$1004,MATCH($B1384,Task_Tracker!$A$5:$A$1004,0)),""))</f>
        <v/>
      </c>
      <c r="V1384" s="78">
        <f>IF($B1384="","",IFERROR(INDEX(Task_Tracker!$I$5:$I$1004,MATCH($B1384,Task_Tracker!$A$5:$A$1004,0)),""))</f>
        <v/>
      </c>
      <c r="W1384" s="81">
        <f>IF(OR($D1384="",$B1384=""),"",$D1384&amp;" | "&amp;$B1384)</f>
        <v/>
      </c>
      <c r="X1384" s="85">
        <f>IF($K1384="","",TEXT($K1384,"yyyy-mm"))</f>
        <v/>
      </c>
      <c r="Y1384" s="81">
        <f>IF(OR($A1384="",$T1384=""),"","Included in Manager_Report")</f>
        <v/>
      </c>
    </row>
    <row r="1385" ht="15" customHeight="1" s="40">
      <c r="A1385" s="65">
        <f>IF(COUNTA(B1385:G1385)=0,"","STP-"&amp;TEXT(ROW()-4,"0000"))</f>
        <v/>
      </c>
      <c r="B1385" s="78" t="n"/>
      <c r="C1385" s="67">
        <f>IF($B1385="","",IFERROR(INDEX(Task_Tracker!$D$5:$D$1004,MATCH($B1385,Task_Tracker!$A$5:$A$1004,0)),""))</f>
        <v/>
      </c>
      <c r="D1385" s="67">
        <f>IF($B1385="","",IFERROR(INDEX(Task_Tracker!$B$5:$B$1004,MATCH($B1385,Task_Tracker!$A$5:$A$1004,0)),""))</f>
        <v/>
      </c>
      <c r="E1385" s="81" t="n"/>
      <c r="F1385" s="81" t="n"/>
      <c r="G1385" s="78" t="n"/>
      <c r="H1385" s="78" t="n"/>
      <c r="I1385" s="67">
        <f>IF($H1385="","",IFERROR(INDEX(Action_Status_Map!$B$5:$B$11,MATCH($H1385,Action_Status_Map!$A$5:$A$11,0)),""))</f>
        <v/>
      </c>
      <c r="J1385" s="82" t="n"/>
      <c r="K1385" s="82" t="n"/>
      <c r="L1385" s="82" t="n"/>
      <c r="M1385" s="83" t="n"/>
      <c r="N1385" s="83" t="n"/>
      <c r="O1385" s="66">
        <f>IF(OR($M1385="",$N1385=""),"",$N1385-$M1385)</f>
        <v/>
      </c>
      <c r="P1385" s="84">
        <f>IF($J1385="","",IF($L1385&lt;&gt;"",$L1385-$J1385,TODAY()-$J1385))</f>
        <v/>
      </c>
      <c r="Q1385" s="85">
        <f>IF(OR($K1385="",$H1385="Completed",$H1385="Cancelled"),"",IF(AND($K1385&lt;TODAY(),$H1385&lt;&gt;"Completed",$H1385&lt;&gt;"Cancelled"),"Overdue","On Track"))</f>
        <v/>
      </c>
      <c r="R1385" s="81" t="n"/>
      <c r="S1385" s="81">
        <f>IF($B1385="","",IFERROR(INDEX(Task_Tracker!$AA$5:$AA$1004,MATCH($B1385,Task_Tracker!$A$5:$A$1004,0)),""))</f>
        <v/>
      </c>
      <c r="T1385" s="81">
        <f>IF($B1385="","",IFERROR(INDEX(Task_Tracker!$AB$5:$AB$1004,MATCH($B1385,Task_Tracker!$A$5:$A$1004,0)),""))</f>
        <v/>
      </c>
      <c r="U1385" s="78">
        <f>IF($B1385="","",IFERROR(INDEX(Task_Tracker!$F$5:$F$1004,MATCH($B1385,Task_Tracker!$A$5:$A$1004,0)),""))</f>
        <v/>
      </c>
      <c r="V1385" s="78">
        <f>IF($B1385="","",IFERROR(INDEX(Task_Tracker!$I$5:$I$1004,MATCH($B1385,Task_Tracker!$A$5:$A$1004,0)),""))</f>
        <v/>
      </c>
      <c r="W1385" s="81">
        <f>IF(OR($D1385="",$B1385=""),"",$D1385&amp;" | "&amp;$B1385)</f>
        <v/>
      </c>
      <c r="X1385" s="85">
        <f>IF($K1385="","",TEXT($K1385,"yyyy-mm"))</f>
        <v/>
      </c>
      <c r="Y1385" s="81">
        <f>IF(OR($A1385="",$T1385=""),"","Included in Manager_Report")</f>
        <v/>
      </c>
    </row>
    <row r="1386" ht="15" customHeight="1" s="40">
      <c r="A1386" s="65">
        <f>IF(COUNTA(B1386:G1386)=0,"","STP-"&amp;TEXT(ROW()-4,"0000"))</f>
        <v/>
      </c>
      <c r="B1386" s="78" t="n"/>
      <c r="C1386" s="67">
        <f>IF($B1386="","",IFERROR(INDEX(Task_Tracker!$D$5:$D$1004,MATCH($B1386,Task_Tracker!$A$5:$A$1004,0)),""))</f>
        <v/>
      </c>
      <c r="D1386" s="67">
        <f>IF($B1386="","",IFERROR(INDEX(Task_Tracker!$B$5:$B$1004,MATCH($B1386,Task_Tracker!$A$5:$A$1004,0)),""))</f>
        <v/>
      </c>
      <c r="E1386" s="81" t="n"/>
      <c r="F1386" s="81" t="n"/>
      <c r="G1386" s="78" t="n"/>
      <c r="H1386" s="78" t="n"/>
      <c r="I1386" s="67">
        <f>IF($H1386="","",IFERROR(INDEX(Action_Status_Map!$B$5:$B$11,MATCH($H1386,Action_Status_Map!$A$5:$A$11,0)),""))</f>
        <v/>
      </c>
      <c r="J1386" s="82" t="n"/>
      <c r="K1386" s="82" t="n"/>
      <c r="L1386" s="82" t="n"/>
      <c r="M1386" s="83" t="n"/>
      <c r="N1386" s="83" t="n"/>
      <c r="O1386" s="66">
        <f>IF(OR($M1386="",$N1386=""),"",$N1386-$M1386)</f>
        <v/>
      </c>
      <c r="P1386" s="84">
        <f>IF($J1386="","",IF($L1386&lt;&gt;"",$L1386-$J1386,TODAY()-$J1386))</f>
        <v/>
      </c>
      <c r="Q1386" s="85">
        <f>IF(OR($K1386="",$H1386="Completed",$H1386="Cancelled"),"",IF(AND($K1386&lt;TODAY(),$H1386&lt;&gt;"Completed",$H1386&lt;&gt;"Cancelled"),"Overdue","On Track"))</f>
        <v/>
      </c>
      <c r="R1386" s="81" t="n"/>
      <c r="S1386" s="81">
        <f>IF($B1386="","",IFERROR(INDEX(Task_Tracker!$AA$5:$AA$1004,MATCH($B1386,Task_Tracker!$A$5:$A$1004,0)),""))</f>
        <v/>
      </c>
      <c r="T1386" s="81">
        <f>IF($B1386="","",IFERROR(INDEX(Task_Tracker!$AB$5:$AB$1004,MATCH($B1386,Task_Tracker!$A$5:$A$1004,0)),""))</f>
        <v/>
      </c>
      <c r="U1386" s="78">
        <f>IF($B1386="","",IFERROR(INDEX(Task_Tracker!$F$5:$F$1004,MATCH($B1386,Task_Tracker!$A$5:$A$1004,0)),""))</f>
        <v/>
      </c>
      <c r="V1386" s="78">
        <f>IF($B1386="","",IFERROR(INDEX(Task_Tracker!$I$5:$I$1004,MATCH($B1386,Task_Tracker!$A$5:$A$1004,0)),""))</f>
        <v/>
      </c>
      <c r="W1386" s="81">
        <f>IF(OR($D1386="",$B1386=""),"",$D1386&amp;" | "&amp;$B1386)</f>
        <v/>
      </c>
      <c r="X1386" s="85">
        <f>IF($K1386="","",TEXT($K1386,"yyyy-mm"))</f>
        <v/>
      </c>
      <c r="Y1386" s="81">
        <f>IF(OR($A1386="",$T1386=""),"","Included in Manager_Report")</f>
        <v/>
      </c>
    </row>
    <row r="1387" ht="15" customHeight="1" s="40">
      <c r="A1387" s="65">
        <f>IF(COUNTA(B1387:G1387)=0,"","STP-"&amp;TEXT(ROW()-4,"0000"))</f>
        <v/>
      </c>
      <c r="B1387" s="78" t="n"/>
      <c r="C1387" s="67">
        <f>IF($B1387="","",IFERROR(INDEX(Task_Tracker!$D$5:$D$1004,MATCH($B1387,Task_Tracker!$A$5:$A$1004,0)),""))</f>
        <v/>
      </c>
      <c r="D1387" s="67">
        <f>IF($B1387="","",IFERROR(INDEX(Task_Tracker!$B$5:$B$1004,MATCH($B1387,Task_Tracker!$A$5:$A$1004,0)),""))</f>
        <v/>
      </c>
      <c r="E1387" s="81" t="n"/>
      <c r="F1387" s="81" t="n"/>
      <c r="G1387" s="78" t="n"/>
      <c r="H1387" s="78" t="n"/>
      <c r="I1387" s="67">
        <f>IF($H1387="","",IFERROR(INDEX(Action_Status_Map!$B$5:$B$11,MATCH($H1387,Action_Status_Map!$A$5:$A$11,0)),""))</f>
        <v/>
      </c>
      <c r="J1387" s="82" t="n"/>
      <c r="K1387" s="82" t="n"/>
      <c r="L1387" s="82" t="n"/>
      <c r="M1387" s="83" t="n"/>
      <c r="N1387" s="83" t="n"/>
      <c r="O1387" s="66">
        <f>IF(OR($M1387="",$N1387=""),"",$N1387-$M1387)</f>
        <v/>
      </c>
      <c r="P1387" s="84">
        <f>IF($J1387="","",IF($L1387&lt;&gt;"",$L1387-$J1387,TODAY()-$J1387))</f>
        <v/>
      </c>
      <c r="Q1387" s="85">
        <f>IF(OR($K1387="",$H1387="Completed",$H1387="Cancelled"),"",IF(AND($K1387&lt;TODAY(),$H1387&lt;&gt;"Completed",$H1387&lt;&gt;"Cancelled"),"Overdue","On Track"))</f>
        <v/>
      </c>
      <c r="R1387" s="81" t="n"/>
      <c r="S1387" s="81">
        <f>IF($B1387="","",IFERROR(INDEX(Task_Tracker!$AA$5:$AA$1004,MATCH($B1387,Task_Tracker!$A$5:$A$1004,0)),""))</f>
        <v/>
      </c>
      <c r="T1387" s="81">
        <f>IF($B1387="","",IFERROR(INDEX(Task_Tracker!$AB$5:$AB$1004,MATCH($B1387,Task_Tracker!$A$5:$A$1004,0)),""))</f>
        <v/>
      </c>
      <c r="U1387" s="78">
        <f>IF($B1387="","",IFERROR(INDEX(Task_Tracker!$F$5:$F$1004,MATCH($B1387,Task_Tracker!$A$5:$A$1004,0)),""))</f>
        <v/>
      </c>
      <c r="V1387" s="78">
        <f>IF($B1387="","",IFERROR(INDEX(Task_Tracker!$I$5:$I$1004,MATCH($B1387,Task_Tracker!$A$5:$A$1004,0)),""))</f>
        <v/>
      </c>
      <c r="W1387" s="81">
        <f>IF(OR($D1387="",$B1387=""),"",$D1387&amp;" | "&amp;$B1387)</f>
        <v/>
      </c>
      <c r="X1387" s="85">
        <f>IF($K1387="","",TEXT($K1387,"yyyy-mm"))</f>
        <v/>
      </c>
      <c r="Y1387" s="81">
        <f>IF(OR($A1387="",$T1387=""),"","Included in Manager_Report")</f>
        <v/>
      </c>
    </row>
    <row r="1388" ht="15" customHeight="1" s="40">
      <c r="A1388" s="65">
        <f>IF(COUNTA(B1388:G1388)=0,"","STP-"&amp;TEXT(ROW()-4,"0000"))</f>
        <v/>
      </c>
      <c r="B1388" s="78" t="n"/>
      <c r="C1388" s="67">
        <f>IF($B1388="","",IFERROR(INDEX(Task_Tracker!$D$5:$D$1004,MATCH($B1388,Task_Tracker!$A$5:$A$1004,0)),""))</f>
        <v/>
      </c>
      <c r="D1388" s="67">
        <f>IF($B1388="","",IFERROR(INDEX(Task_Tracker!$B$5:$B$1004,MATCH($B1388,Task_Tracker!$A$5:$A$1004,0)),""))</f>
        <v/>
      </c>
      <c r="E1388" s="81" t="n"/>
      <c r="F1388" s="81" t="n"/>
      <c r="G1388" s="78" t="n"/>
      <c r="H1388" s="78" t="n"/>
      <c r="I1388" s="67">
        <f>IF($H1388="","",IFERROR(INDEX(Action_Status_Map!$B$5:$B$11,MATCH($H1388,Action_Status_Map!$A$5:$A$11,0)),""))</f>
        <v/>
      </c>
      <c r="J1388" s="82" t="n"/>
      <c r="K1388" s="82" t="n"/>
      <c r="L1388" s="82" t="n"/>
      <c r="M1388" s="83" t="n"/>
      <c r="N1388" s="83" t="n"/>
      <c r="O1388" s="66">
        <f>IF(OR($M1388="",$N1388=""),"",$N1388-$M1388)</f>
        <v/>
      </c>
      <c r="P1388" s="84">
        <f>IF($J1388="","",IF($L1388&lt;&gt;"",$L1388-$J1388,TODAY()-$J1388))</f>
        <v/>
      </c>
      <c r="Q1388" s="85">
        <f>IF(OR($K1388="",$H1388="Completed",$H1388="Cancelled"),"",IF(AND($K1388&lt;TODAY(),$H1388&lt;&gt;"Completed",$H1388&lt;&gt;"Cancelled"),"Overdue","On Track"))</f>
        <v/>
      </c>
      <c r="R1388" s="81" t="n"/>
      <c r="S1388" s="81">
        <f>IF($B1388="","",IFERROR(INDEX(Task_Tracker!$AA$5:$AA$1004,MATCH($B1388,Task_Tracker!$A$5:$A$1004,0)),""))</f>
        <v/>
      </c>
      <c r="T1388" s="81">
        <f>IF($B1388="","",IFERROR(INDEX(Task_Tracker!$AB$5:$AB$1004,MATCH($B1388,Task_Tracker!$A$5:$A$1004,0)),""))</f>
        <v/>
      </c>
      <c r="U1388" s="78">
        <f>IF($B1388="","",IFERROR(INDEX(Task_Tracker!$F$5:$F$1004,MATCH($B1388,Task_Tracker!$A$5:$A$1004,0)),""))</f>
        <v/>
      </c>
      <c r="V1388" s="78">
        <f>IF($B1388="","",IFERROR(INDEX(Task_Tracker!$I$5:$I$1004,MATCH($B1388,Task_Tracker!$A$5:$A$1004,0)),""))</f>
        <v/>
      </c>
      <c r="W1388" s="81">
        <f>IF(OR($D1388="",$B1388=""),"",$D1388&amp;" | "&amp;$B1388)</f>
        <v/>
      </c>
      <c r="X1388" s="85">
        <f>IF($K1388="","",TEXT($K1388,"yyyy-mm"))</f>
        <v/>
      </c>
      <c r="Y1388" s="81">
        <f>IF(OR($A1388="",$T1388=""),"","Included in Manager_Report")</f>
        <v/>
      </c>
    </row>
    <row r="1389" ht="15" customHeight="1" s="40">
      <c r="A1389" s="65">
        <f>IF(COUNTA(B1389:G1389)=0,"","STP-"&amp;TEXT(ROW()-4,"0000"))</f>
        <v/>
      </c>
      <c r="B1389" s="78" t="n"/>
      <c r="C1389" s="67">
        <f>IF($B1389="","",IFERROR(INDEX(Task_Tracker!$D$5:$D$1004,MATCH($B1389,Task_Tracker!$A$5:$A$1004,0)),""))</f>
        <v/>
      </c>
      <c r="D1389" s="67">
        <f>IF($B1389="","",IFERROR(INDEX(Task_Tracker!$B$5:$B$1004,MATCH($B1389,Task_Tracker!$A$5:$A$1004,0)),""))</f>
        <v/>
      </c>
      <c r="E1389" s="81" t="n"/>
      <c r="F1389" s="81" t="n"/>
      <c r="G1389" s="78" t="n"/>
      <c r="H1389" s="78" t="n"/>
      <c r="I1389" s="67">
        <f>IF($H1389="","",IFERROR(INDEX(Action_Status_Map!$B$5:$B$11,MATCH($H1389,Action_Status_Map!$A$5:$A$11,0)),""))</f>
        <v/>
      </c>
      <c r="J1389" s="82" t="n"/>
      <c r="K1389" s="82" t="n"/>
      <c r="L1389" s="82" t="n"/>
      <c r="M1389" s="83" t="n"/>
      <c r="N1389" s="83" t="n"/>
      <c r="O1389" s="66">
        <f>IF(OR($M1389="",$N1389=""),"",$N1389-$M1389)</f>
        <v/>
      </c>
      <c r="P1389" s="84">
        <f>IF($J1389="","",IF($L1389&lt;&gt;"",$L1389-$J1389,TODAY()-$J1389))</f>
        <v/>
      </c>
      <c r="Q1389" s="85">
        <f>IF(OR($K1389="",$H1389="Completed",$H1389="Cancelled"),"",IF(AND($K1389&lt;TODAY(),$H1389&lt;&gt;"Completed",$H1389&lt;&gt;"Cancelled"),"Overdue","On Track"))</f>
        <v/>
      </c>
      <c r="R1389" s="81" t="n"/>
      <c r="S1389" s="81">
        <f>IF($B1389="","",IFERROR(INDEX(Task_Tracker!$AA$5:$AA$1004,MATCH($B1389,Task_Tracker!$A$5:$A$1004,0)),""))</f>
        <v/>
      </c>
      <c r="T1389" s="81">
        <f>IF($B1389="","",IFERROR(INDEX(Task_Tracker!$AB$5:$AB$1004,MATCH($B1389,Task_Tracker!$A$5:$A$1004,0)),""))</f>
        <v/>
      </c>
      <c r="U1389" s="78">
        <f>IF($B1389="","",IFERROR(INDEX(Task_Tracker!$F$5:$F$1004,MATCH($B1389,Task_Tracker!$A$5:$A$1004,0)),""))</f>
        <v/>
      </c>
      <c r="V1389" s="78">
        <f>IF($B1389="","",IFERROR(INDEX(Task_Tracker!$I$5:$I$1004,MATCH($B1389,Task_Tracker!$A$5:$A$1004,0)),""))</f>
        <v/>
      </c>
      <c r="W1389" s="81">
        <f>IF(OR($D1389="",$B1389=""),"",$D1389&amp;" | "&amp;$B1389)</f>
        <v/>
      </c>
      <c r="X1389" s="85">
        <f>IF($K1389="","",TEXT($K1389,"yyyy-mm"))</f>
        <v/>
      </c>
      <c r="Y1389" s="81">
        <f>IF(OR($A1389="",$T1389=""),"","Included in Manager_Report")</f>
        <v/>
      </c>
    </row>
    <row r="1390" ht="15" customHeight="1" s="40">
      <c r="A1390" s="65">
        <f>IF(COUNTA(B1390:G1390)=0,"","STP-"&amp;TEXT(ROW()-4,"0000"))</f>
        <v/>
      </c>
      <c r="B1390" s="78" t="n"/>
      <c r="C1390" s="67">
        <f>IF($B1390="","",IFERROR(INDEX(Task_Tracker!$D$5:$D$1004,MATCH($B1390,Task_Tracker!$A$5:$A$1004,0)),""))</f>
        <v/>
      </c>
      <c r="D1390" s="67">
        <f>IF($B1390="","",IFERROR(INDEX(Task_Tracker!$B$5:$B$1004,MATCH($B1390,Task_Tracker!$A$5:$A$1004,0)),""))</f>
        <v/>
      </c>
      <c r="E1390" s="81" t="n"/>
      <c r="F1390" s="81" t="n"/>
      <c r="G1390" s="78" t="n"/>
      <c r="H1390" s="78" t="n"/>
      <c r="I1390" s="67">
        <f>IF($H1390="","",IFERROR(INDEX(Action_Status_Map!$B$5:$B$11,MATCH($H1390,Action_Status_Map!$A$5:$A$11,0)),""))</f>
        <v/>
      </c>
      <c r="J1390" s="82" t="n"/>
      <c r="K1390" s="82" t="n"/>
      <c r="L1390" s="82" t="n"/>
      <c r="M1390" s="83" t="n"/>
      <c r="N1390" s="83" t="n"/>
      <c r="O1390" s="66">
        <f>IF(OR($M1390="",$N1390=""),"",$N1390-$M1390)</f>
        <v/>
      </c>
      <c r="P1390" s="84">
        <f>IF($J1390="","",IF($L1390&lt;&gt;"",$L1390-$J1390,TODAY()-$J1390))</f>
        <v/>
      </c>
      <c r="Q1390" s="85">
        <f>IF(OR($K1390="",$H1390="Completed",$H1390="Cancelled"),"",IF(AND($K1390&lt;TODAY(),$H1390&lt;&gt;"Completed",$H1390&lt;&gt;"Cancelled"),"Overdue","On Track"))</f>
        <v/>
      </c>
      <c r="R1390" s="81" t="n"/>
      <c r="S1390" s="81">
        <f>IF($B1390="","",IFERROR(INDEX(Task_Tracker!$AA$5:$AA$1004,MATCH($B1390,Task_Tracker!$A$5:$A$1004,0)),""))</f>
        <v/>
      </c>
      <c r="T1390" s="81">
        <f>IF($B1390="","",IFERROR(INDEX(Task_Tracker!$AB$5:$AB$1004,MATCH($B1390,Task_Tracker!$A$5:$A$1004,0)),""))</f>
        <v/>
      </c>
      <c r="U1390" s="78">
        <f>IF($B1390="","",IFERROR(INDEX(Task_Tracker!$F$5:$F$1004,MATCH($B1390,Task_Tracker!$A$5:$A$1004,0)),""))</f>
        <v/>
      </c>
      <c r="V1390" s="78">
        <f>IF($B1390="","",IFERROR(INDEX(Task_Tracker!$I$5:$I$1004,MATCH($B1390,Task_Tracker!$A$5:$A$1004,0)),""))</f>
        <v/>
      </c>
      <c r="W1390" s="81">
        <f>IF(OR($D1390="",$B1390=""),"",$D1390&amp;" | "&amp;$B1390)</f>
        <v/>
      </c>
      <c r="X1390" s="85">
        <f>IF($K1390="","",TEXT($K1390,"yyyy-mm"))</f>
        <v/>
      </c>
      <c r="Y1390" s="81">
        <f>IF(OR($A1390="",$T1390=""),"","Included in Manager_Report")</f>
        <v/>
      </c>
    </row>
    <row r="1391" ht="15" customHeight="1" s="40">
      <c r="A1391" s="65">
        <f>IF(COUNTA(B1391:G1391)=0,"","STP-"&amp;TEXT(ROW()-4,"0000"))</f>
        <v/>
      </c>
      <c r="B1391" s="78" t="n"/>
      <c r="C1391" s="67">
        <f>IF($B1391="","",IFERROR(INDEX(Task_Tracker!$D$5:$D$1004,MATCH($B1391,Task_Tracker!$A$5:$A$1004,0)),""))</f>
        <v/>
      </c>
      <c r="D1391" s="67">
        <f>IF($B1391="","",IFERROR(INDEX(Task_Tracker!$B$5:$B$1004,MATCH($B1391,Task_Tracker!$A$5:$A$1004,0)),""))</f>
        <v/>
      </c>
      <c r="E1391" s="81" t="n"/>
      <c r="F1391" s="81" t="n"/>
      <c r="G1391" s="78" t="n"/>
      <c r="H1391" s="78" t="n"/>
      <c r="I1391" s="67">
        <f>IF($H1391="","",IFERROR(INDEX(Action_Status_Map!$B$5:$B$11,MATCH($H1391,Action_Status_Map!$A$5:$A$11,0)),""))</f>
        <v/>
      </c>
      <c r="J1391" s="82" t="n"/>
      <c r="K1391" s="82" t="n"/>
      <c r="L1391" s="82" t="n"/>
      <c r="M1391" s="83" t="n"/>
      <c r="N1391" s="83" t="n"/>
      <c r="O1391" s="66">
        <f>IF(OR($M1391="",$N1391=""),"",$N1391-$M1391)</f>
        <v/>
      </c>
      <c r="P1391" s="84">
        <f>IF($J1391="","",IF($L1391&lt;&gt;"",$L1391-$J1391,TODAY()-$J1391))</f>
        <v/>
      </c>
      <c r="Q1391" s="85">
        <f>IF(OR($K1391="",$H1391="Completed",$H1391="Cancelled"),"",IF(AND($K1391&lt;TODAY(),$H1391&lt;&gt;"Completed",$H1391&lt;&gt;"Cancelled"),"Overdue","On Track"))</f>
        <v/>
      </c>
      <c r="R1391" s="81" t="n"/>
      <c r="S1391" s="81">
        <f>IF($B1391="","",IFERROR(INDEX(Task_Tracker!$AA$5:$AA$1004,MATCH($B1391,Task_Tracker!$A$5:$A$1004,0)),""))</f>
        <v/>
      </c>
      <c r="T1391" s="81">
        <f>IF($B1391="","",IFERROR(INDEX(Task_Tracker!$AB$5:$AB$1004,MATCH($B1391,Task_Tracker!$A$5:$A$1004,0)),""))</f>
        <v/>
      </c>
      <c r="U1391" s="78">
        <f>IF($B1391="","",IFERROR(INDEX(Task_Tracker!$F$5:$F$1004,MATCH($B1391,Task_Tracker!$A$5:$A$1004,0)),""))</f>
        <v/>
      </c>
      <c r="V1391" s="78">
        <f>IF($B1391="","",IFERROR(INDEX(Task_Tracker!$I$5:$I$1004,MATCH($B1391,Task_Tracker!$A$5:$A$1004,0)),""))</f>
        <v/>
      </c>
      <c r="W1391" s="81">
        <f>IF(OR($D1391="",$B1391=""),"",$D1391&amp;" | "&amp;$B1391)</f>
        <v/>
      </c>
      <c r="X1391" s="85">
        <f>IF($K1391="","",TEXT($K1391,"yyyy-mm"))</f>
        <v/>
      </c>
      <c r="Y1391" s="81">
        <f>IF(OR($A1391="",$T1391=""),"","Included in Manager_Report")</f>
        <v/>
      </c>
    </row>
    <row r="1392" ht="15" customHeight="1" s="40">
      <c r="A1392" s="65">
        <f>IF(COUNTA(B1392:G1392)=0,"","STP-"&amp;TEXT(ROW()-4,"0000"))</f>
        <v/>
      </c>
      <c r="B1392" s="78" t="n"/>
      <c r="C1392" s="67">
        <f>IF($B1392="","",IFERROR(INDEX(Task_Tracker!$D$5:$D$1004,MATCH($B1392,Task_Tracker!$A$5:$A$1004,0)),""))</f>
        <v/>
      </c>
      <c r="D1392" s="67">
        <f>IF($B1392="","",IFERROR(INDEX(Task_Tracker!$B$5:$B$1004,MATCH($B1392,Task_Tracker!$A$5:$A$1004,0)),""))</f>
        <v/>
      </c>
      <c r="E1392" s="81" t="n"/>
      <c r="F1392" s="81" t="n"/>
      <c r="G1392" s="78" t="n"/>
      <c r="H1392" s="78" t="n"/>
      <c r="I1392" s="67">
        <f>IF($H1392="","",IFERROR(INDEX(Action_Status_Map!$B$5:$B$11,MATCH($H1392,Action_Status_Map!$A$5:$A$11,0)),""))</f>
        <v/>
      </c>
      <c r="J1392" s="82" t="n"/>
      <c r="K1392" s="82" t="n"/>
      <c r="L1392" s="82" t="n"/>
      <c r="M1392" s="83" t="n"/>
      <c r="N1392" s="83" t="n"/>
      <c r="O1392" s="66">
        <f>IF(OR($M1392="",$N1392=""),"",$N1392-$M1392)</f>
        <v/>
      </c>
      <c r="P1392" s="84">
        <f>IF($J1392="","",IF($L1392&lt;&gt;"",$L1392-$J1392,TODAY()-$J1392))</f>
        <v/>
      </c>
      <c r="Q1392" s="85">
        <f>IF(OR($K1392="",$H1392="Completed",$H1392="Cancelled"),"",IF(AND($K1392&lt;TODAY(),$H1392&lt;&gt;"Completed",$H1392&lt;&gt;"Cancelled"),"Overdue","On Track"))</f>
        <v/>
      </c>
      <c r="R1392" s="81" t="n"/>
      <c r="S1392" s="81">
        <f>IF($B1392="","",IFERROR(INDEX(Task_Tracker!$AA$5:$AA$1004,MATCH($B1392,Task_Tracker!$A$5:$A$1004,0)),""))</f>
        <v/>
      </c>
      <c r="T1392" s="81">
        <f>IF($B1392="","",IFERROR(INDEX(Task_Tracker!$AB$5:$AB$1004,MATCH($B1392,Task_Tracker!$A$5:$A$1004,0)),""))</f>
        <v/>
      </c>
      <c r="U1392" s="78">
        <f>IF($B1392="","",IFERROR(INDEX(Task_Tracker!$F$5:$F$1004,MATCH($B1392,Task_Tracker!$A$5:$A$1004,0)),""))</f>
        <v/>
      </c>
      <c r="V1392" s="78">
        <f>IF($B1392="","",IFERROR(INDEX(Task_Tracker!$I$5:$I$1004,MATCH($B1392,Task_Tracker!$A$5:$A$1004,0)),""))</f>
        <v/>
      </c>
      <c r="W1392" s="81">
        <f>IF(OR($D1392="",$B1392=""),"",$D1392&amp;" | "&amp;$B1392)</f>
        <v/>
      </c>
      <c r="X1392" s="85">
        <f>IF($K1392="","",TEXT($K1392,"yyyy-mm"))</f>
        <v/>
      </c>
      <c r="Y1392" s="81">
        <f>IF(OR($A1392="",$T1392=""),"","Included in Manager_Report")</f>
        <v/>
      </c>
    </row>
    <row r="1393" ht="15" customHeight="1" s="40">
      <c r="A1393" s="65">
        <f>IF(COUNTA(B1393:G1393)=0,"","STP-"&amp;TEXT(ROW()-4,"0000"))</f>
        <v/>
      </c>
      <c r="B1393" s="78" t="n"/>
      <c r="C1393" s="67">
        <f>IF($B1393="","",IFERROR(INDEX(Task_Tracker!$D$5:$D$1004,MATCH($B1393,Task_Tracker!$A$5:$A$1004,0)),""))</f>
        <v/>
      </c>
      <c r="D1393" s="67">
        <f>IF($B1393="","",IFERROR(INDEX(Task_Tracker!$B$5:$B$1004,MATCH($B1393,Task_Tracker!$A$5:$A$1004,0)),""))</f>
        <v/>
      </c>
      <c r="E1393" s="81" t="n"/>
      <c r="F1393" s="81" t="n"/>
      <c r="G1393" s="78" t="n"/>
      <c r="H1393" s="78" t="n"/>
      <c r="I1393" s="67">
        <f>IF($H1393="","",IFERROR(INDEX(Action_Status_Map!$B$5:$B$11,MATCH($H1393,Action_Status_Map!$A$5:$A$11,0)),""))</f>
        <v/>
      </c>
      <c r="J1393" s="82" t="n"/>
      <c r="K1393" s="82" t="n"/>
      <c r="L1393" s="82" t="n"/>
      <c r="M1393" s="83" t="n"/>
      <c r="N1393" s="83" t="n"/>
      <c r="O1393" s="66">
        <f>IF(OR($M1393="",$N1393=""),"",$N1393-$M1393)</f>
        <v/>
      </c>
      <c r="P1393" s="84">
        <f>IF($J1393="","",IF($L1393&lt;&gt;"",$L1393-$J1393,TODAY()-$J1393))</f>
        <v/>
      </c>
      <c r="Q1393" s="85">
        <f>IF(OR($K1393="",$H1393="Completed",$H1393="Cancelled"),"",IF(AND($K1393&lt;TODAY(),$H1393&lt;&gt;"Completed",$H1393&lt;&gt;"Cancelled"),"Overdue","On Track"))</f>
        <v/>
      </c>
      <c r="R1393" s="81" t="n"/>
      <c r="S1393" s="81">
        <f>IF($B1393="","",IFERROR(INDEX(Task_Tracker!$AA$5:$AA$1004,MATCH($B1393,Task_Tracker!$A$5:$A$1004,0)),""))</f>
        <v/>
      </c>
      <c r="T1393" s="81">
        <f>IF($B1393="","",IFERROR(INDEX(Task_Tracker!$AB$5:$AB$1004,MATCH($B1393,Task_Tracker!$A$5:$A$1004,0)),""))</f>
        <v/>
      </c>
      <c r="U1393" s="78">
        <f>IF($B1393="","",IFERROR(INDEX(Task_Tracker!$F$5:$F$1004,MATCH($B1393,Task_Tracker!$A$5:$A$1004,0)),""))</f>
        <v/>
      </c>
      <c r="V1393" s="78">
        <f>IF($B1393="","",IFERROR(INDEX(Task_Tracker!$I$5:$I$1004,MATCH($B1393,Task_Tracker!$A$5:$A$1004,0)),""))</f>
        <v/>
      </c>
      <c r="W1393" s="81">
        <f>IF(OR($D1393="",$B1393=""),"",$D1393&amp;" | "&amp;$B1393)</f>
        <v/>
      </c>
      <c r="X1393" s="85">
        <f>IF($K1393="","",TEXT($K1393,"yyyy-mm"))</f>
        <v/>
      </c>
      <c r="Y1393" s="81">
        <f>IF(OR($A1393="",$T1393=""),"","Included in Manager_Report")</f>
        <v/>
      </c>
    </row>
    <row r="1394" ht="15" customHeight="1" s="40">
      <c r="A1394" s="65">
        <f>IF(COUNTA(B1394:G1394)=0,"","STP-"&amp;TEXT(ROW()-4,"0000"))</f>
        <v/>
      </c>
      <c r="B1394" s="78" t="n"/>
      <c r="C1394" s="67">
        <f>IF($B1394="","",IFERROR(INDEX(Task_Tracker!$D$5:$D$1004,MATCH($B1394,Task_Tracker!$A$5:$A$1004,0)),""))</f>
        <v/>
      </c>
      <c r="D1394" s="67">
        <f>IF($B1394="","",IFERROR(INDEX(Task_Tracker!$B$5:$B$1004,MATCH($B1394,Task_Tracker!$A$5:$A$1004,0)),""))</f>
        <v/>
      </c>
      <c r="E1394" s="81" t="n"/>
      <c r="F1394" s="81" t="n"/>
      <c r="G1394" s="78" t="n"/>
      <c r="H1394" s="78" t="n"/>
      <c r="I1394" s="67">
        <f>IF($H1394="","",IFERROR(INDEX(Action_Status_Map!$B$5:$B$11,MATCH($H1394,Action_Status_Map!$A$5:$A$11,0)),""))</f>
        <v/>
      </c>
      <c r="J1394" s="82" t="n"/>
      <c r="K1394" s="82" t="n"/>
      <c r="L1394" s="82" t="n"/>
      <c r="M1394" s="83" t="n"/>
      <c r="N1394" s="83" t="n"/>
      <c r="O1394" s="66">
        <f>IF(OR($M1394="",$N1394=""),"",$N1394-$M1394)</f>
        <v/>
      </c>
      <c r="P1394" s="84">
        <f>IF($J1394="","",IF($L1394&lt;&gt;"",$L1394-$J1394,TODAY()-$J1394))</f>
        <v/>
      </c>
      <c r="Q1394" s="85">
        <f>IF(OR($K1394="",$H1394="Completed",$H1394="Cancelled"),"",IF(AND($K1394&lt;TODAY(),$H1394&lt;&gt;"Completed",$H1394&lt;&gt;"Cancelled"),"Overdue","On Track"))</f>
        <v/>
      </c>
      <c r="R1394" s="81" t="n"/>
      <c r="S1394" s="81">
        <f>IF($B1394="","",IFERROR(INDEX(Task_Tracker!$AA$5:$AA$1004,MATCH($B1394,Task_Tracker!$A$5:$A$1004,0)),""))</f>
        <v/>
      </c>
      <c r="T1394" s="81">
        <f>IF($B1394="","",IFERROR(INDEX(Task_Tracker!$AB$5:$AB$1004,MATCH($B1394,Task_Tracker!$A$5:$A$1004,0)),""))</f>
        <v/>
      </c>
      <c r="U1394" s="78">
        <f>IF($B1394="","",IFERROR(INDEX(Task_Tracker!$F$5:$F$1004,MATCH($B1394,Task_Tracker!$A$5:$A$1004,0)),""))</f>
        <v/>
      </c>
      <c r="V1394" s="78">
        <f>IF($B1394="","",IFERROR(INDEX(Task_Tracker!$I$5:$I$1004,MATCH($B1394,Task_Tracker!$A$5:$A$1004,0)),""))</f>
        <v/>
      </c>
      <c r="W1394" s="81">
        <f>IF(OR($D1394="",$B1394=""),"",$D1394&amp;" | "&amp;$B1394)</f>
        <v/>
      </c>
      <c r="X1394" s="85">
        <f>IF($K1394="","",TEXT($K1394,"yyyy-mm"))</f>
        <v/>
      </c>
      <c r="Y1394" s="81">
        <f>IF(OR($A1394="",$T1394=""),"","Included in Manager_Report")</f>
        <v/>
      </c>
    </row>
    <row r="1395" ht="15" customHeight="1" s="40">
      <c r="A1395" s="65">
        <f>IF(COUNTA(B1395:G1395)=0,"","STP-"&amp;TEXT(ROW()-4,"0000"))</f>
        <v/>
      </c>
      <c r="B1395" s="78" t="n"/>
      <c r="C1395" s="67">
        <f>IF($B1395="","",IFERROR(INDEX(Task_Tracker!$D$5:$D$1004,MATCH($B1395,Task_Tracker!$A$5:$A$1004,0)),""))</f>
        <v/>
      </c>
      <c r="D1395" s="67">
        <f>IF($B1395="","",IFERROR(INDEX(Task_Tracker!$B$5:$B$1004,MATCH($B1395,Task_Tracker!$A$5:$A$1004,0)),""))</f>
        <v/>
      </c>
      <c r="E1395" s="81" t="n"/>
      <c r="F1395" s="81" t="n"/>
      <c r="G1395" s="78" t="n"/>
      <c r="H1395" s="78" t="n"/>
      <c r="I1395" s="67">
        <f>IF($H1395="","",IFERROR(INDEX(Action_Status_Map!$B$5:$B$11,MATCH($H1395,Action_Status_Map!$A$5:$A$11,0)),""))</f>
        <v/>
      </c>
      <c r="J1395" s="82" t="n"/>
      <c r="K1395" s="82" t="n"/>
      <c r="L1395" s="82" t="n"/>
      <c r="M1395" s="83" t="n"/>
      <c r="N1395" s="83" t="n"/>
      <c r="O1395" s="66">
        <f>IF(OR($M1395="",$N1395=""),"",$N1395-$M1395)</f>
        <v/>
      </c>
      <c r="P1395" s="84">
        <f>IF($J1395="","",IF($L1395&lt;&gt;"",$L1395-$J1395,TODAY()-$J1395))</f>
        <v/>
      </c>
      <c r="Q1395" s="85">
        <f>IF(OR($K1395="",$H1395="Completed",$H1395="Cancelled"),"",IF(AND($K1395&lt;TODAY(),$H1395&lt;&gt;"Completed",$H1395&lt;&gt;"Cancelled"),"Overdue","On Track"))</f>
        <v/>
      </c>
      <c r="R1395" s="81" t="n"/>
      <c r="S1395" s="81">
        <f>IF($B1395="","",IFERROR(INDEX(Task_Tracker!$AA$5:$AA$1004,MATCH($B1395,Task_Tracker!$A$5:$A$1004,0)),""))</f>
        <v/>
      </c>
      <c r="T1395" s="81">
        <f>IF($B1395="","",IFERROR(INDEX(Task_Tracker!$AB$5:$AB$1004,MATCH($B1395,Task_Tracker!$A$5:$A$1004,0)),""))</f>
        <v/>
      </c>
      <c r="U1395" s="78">
        <f>IF($B1395="","",IFERROR(INDEX(Task_Tracker!$F$5:$F$1004,MATCH($B1395,Task_Tracker!$A$5:$A$1004,0)),""))</f>
        <v/>
      </c>
      <c r="V1395" s="78">
        <f>IF($B1395="","",IFERROR(INDEX(Task_Tracker!$I$5:$I$1004,MATCH($B1395,Task_Tracker!$A$5:$A$1004,0)),""))</f>
        <v/>
      </c>
      <c r="W1395" s="81">
        <f>IF(OR($D1395="",$B1395=""),"",$D1395&amp;" | "&amp;$B1395)</f>
        <v/>
      </c>
      <c r="X1395" s="85">
        <f>IF($K1395="","",TEXT($K1395,"yyyy-mm"))</f>
        <v/>
      </c>
      <c r="Y1395" s="81">
        <f>IF(OR($A1395="",$T1395=""),"","Included in Manager_Report")</f>
        <v/>
      </c>
    </row>
    <row r="1396" ht="15" customHeight="1" s="40">
      <c r="A1396" s="65">
        <f>IF(COUNTA(B1396:G1396)=0,"","STP-"&amp;TEXT(ROW()-4,"0000"))</f>
        <v/>
      </c>
      <c r="B1396" s="78" t="n"/>
      <c r="C1396" s="67">
        <f>IF($B1396="","",IFERROR(INDEX(Task_Tracker!$D$5:$D$1004,MATCH($B1396,Task_Tracker!$A$5:$A$1004,0)),""))</f>
        <v/>
      </c>
      <c r="D1396" s="67">
        <f>IF($B1396="","",IFERROR(INDEX(Task_Tracker!$B$5:$B$1004,MATCH($B1396,Task_Tracker!$A$5:$A$1004,0)),""))</f>
        <v/>
      </c>
      <c r="E1396" s="81" t="n"/>
      <c r="F1396" s="81" t="n"/>
      <c r="G1396" s="78" t="n"/>
      <c r="H1396" s="78" t="n"/>
      <c r="I1396" s="67">
        <f>IF($H1396="","",IFERROR(INDEX(Action_Status_Map!$B$5:$B$11,MATCH($H1396,Action_Status_Map!$A$5:$A$11,0)),""))</f>
        <v/>
      </c>
      <c r="J1396" s="82" t="n"/>
      <c r="K1396" s="82" t="n"/>
      <c r="L1396" s="82" t="n"/>
      <c r="M1396" s="83" t="n"/>
      <c r="N1396" s="83" t="n"/>
      <c r="O1396" s="66">
        <f>IF(OR($M1396="",$N1396=""),"",$N1396-$M1396)</f>
        <v/>
      </c>
      <c r="P1396" s="84">
        <f>IF($J1396="","",IF($L1396&lt;&gt;"",$L1396-$J1396,TODAY()-$J1396))</f>
        <v/>
      </c>
      <c r="Q1396" s="85">
        <f>IF(OR($K1396="",$H1396="Completed",$H1396="Cancelled"),"",IF(AND($K1396&lt;TODAY(),$H1396&lt;&gt;"Completed",$H1396&lt;&gt;"Cancelled"),"Overdue","On Track"))</f>
        <v/>
      </c>
      <c r="R1396" s="81" t="n"/>
      <c r="S1396" s="81">
        <f>IF($B1396="","",IFERROR(INDEX(Task_Tracker!$AA$5:$AA$1004,MATCH($B1396,Task_Tracker!$A$5:$A$1004,0)),""))</f>
        <v/>
      </c>
      <c r="T1396" s="81">
        <f>IF($B1396="","",IFERROR(INDEX(Task_Tracker!$AB$5:$AB$1004,MATCH($B1396,Task_Tracker!$A$5:$A$1004,0)),""))</f>
        <v/>
      </c>
      <c r="U1396" s="78">
        <f>IF($B1396="","",IFERROR(INDEX(Task_Tracker!$F$5:$F$1004,MATCH($B1396,Task_Tracker!$A$5:$A$1004,0)),""))</f>
        <v/>
      </c>
      <c r="V1396" s="78">
        <f>IF($B1396="","",IFERROR(INDEX(Task_Tracker!$I$5:$I$1004,MATCH($B1396,Task_Tracker!$A$5:$A$1004,0)),""))</f>
        <v/>
      </c>
      <c r="W1396" s="81">
        <f>IF(OR($D1396="",$B1396=""),"",$D1396&amp;" | "&amp;$B1396)</f>
        <v/>
      </c>
      <c r="X1396" s="85">
        <f>IF($K1396="","",TEXT($K1396,"yyyy-mm"))</f>
        <v/>
      </c>
      <c r="Y1396" s="81">
        <f>IF(OR($A1396="",$T1396=""),"","Included in Manager_Report")</f>
        <v/>
      </c>
    </row>
    <row r="1397" ht="15" customHeight="1" s="40">
      <c r="A1397" s="65">
        <f>IF(COUNTA(B1397:G1397)=0,"","STP-"&amp;TEXT(ROW()-4,"0000"))</f>
        <v/>
      </c>
      <c r="B1397" s="78" t="n"/>
      <c r="C1397" s="67">
        <f>IF($B1397="","",IFERROR(INDEX(Task_Tracker!$D$5:$D$1004,MATCH($B1397,Task_Tracker!$A$5:$A$1004,0)),""))</f>
        <v/>
      </c>
      <c r="D1397" s="67">
        <f>IF($B1397="","",IFERROR(INDEX(Task_Tracker!$B$5:$B$1004,MATCH($B1397,Task_Tracker!$A$5:$A$1004,0)),""))</f>
        <v/>
      </c>
      <c r="E1397" s="81" t="n"/>
      <c r="F1397" s="81" t="n"/>
      <c r="G1397" s="78" t="n"/>
      <c r="H1397" s="78" t="n"/>
      <c r="I1397" s="67">
        <f>IF($H1397="","",IFERROR(INDEX(Action_Status_Map!$B$5:$B$11,MATCH($H1397,Action_Status_Map!$A$5:$A$11,0)),""))</f>
        <v/>
      </c>
      <c r="J1397" s="82" t="n"/>
      <c r="K1397" s="82" t="n"/>
      <c r="L1397" s="82" t="n"/>
      <c r="M1397" s="83" t="n"/>
      <c r="N1397" s="83" t="n"/>
      <c r="O1397" s="66">
        <f>IF(OR($M1397="",$N1397=""),"",$N1397-$M1397)</f>
        <v/>
      </c>
      <c r="P1397" s="84">
        <f>IF($J1397="","",IF($L1397&lt;&gt;"",$L1397-$J1397,TODAY()-$J1397))</f>
        <v/>
      </c>
      <c r="Q1397" s="85">
        <f>IF(OR($K1397="",$H1397="Completed",$H1397="Cancelled"),"",IF(AND($K1397&lt;TODAY(),$H1397&lt;&gt;"Completed",$H1397&lt;&gt;"Cancelled"),"Overdue","On Track"))</f>
        <v/>
      </c>
      <c r="R1397" s="81" t="n"/>
      <c r="S1397" s="81">
        <f>IF($B1397="","",IFERROR(INDEX(Task_Tracker!$AA$5:$AA$1004,MATCH($B1397,Task_Tracker!$A$5:$A$1004,0)),""))</f>
        <v/>
      </c>
      <c r="T1397" s="81">
        <f>IF($B1397="","",IFERROR(INDEX(Task_Tracker!$AB$5:$AB$1004,MATCH($B1397,Task_Tracker!$A$5:$A$1004,0)),""))</f>
        <v/>
      </c>
      <c r="U1397" s="78">
        <f>IF($B1397="","",IFERROR(INDEX(Task_Tracker!$F$5:$F$1004,MATCH($B1397,Task_Tracker!$A$5:$A$1004,0)),""))</f>
        <v/>
      </c>
      <c r="V1397" s="78">
        <f>IF($B1397="","",IFERROR(INDEX(Task_Tracker!$I$5:$I$1004,MATCH($B1397,Task_Tracker!$A$5:$A$1004,0)),""))</f>
        <v/>
      </c>
      <c r="W1397" s="81">
        <f>IF(OR($D1397="",$B1397=""),"",$D1397&amp;" | "&amp;$B1397)</f>
        <v/>
      </c>
      <c r="X1397" s="85">
        <f>IF($K1397="","",TEXT($K1397,"yyyy-mm"))</f>
        <v/>
      </c>
      <c r="Y1397" s="81">
        <f>IF(OR($A1397="",$T1397=""),"","Included in Manager_Report")</f>
        <v/>
      </c>
    </row>
    <row r="1398" ht="15" customHeight="1" s="40">
      <c r="A1398" s="65">
        <f>IF(COUNTA(B1398:G1398)=0,"","STP-"&amp;TEXT(ROW()-4,"0000"))</f>
        <v/>
      </c>
      <c r="B1398" s="78" t="n"/>
      <c r="C1398" s="67">
        <f>IF($B1398="","",IFERROR(INDEX(Task_Tracker!$D$5:$D$1004,MATCH($B1398,Task_Tracker!$A$5:$A$1004,0)),""))</f>
        <v/>
      </c>
      <c r="D1398" s="67">
        <f>IF($B1398="","",IFERROR(INDEX(Task_Tracker!$B$5:$B$1004,MATCH($B1398,Task_Tracker!$A$5:$A$1004,0)),""))</f>
        <v/>
      </c>
      <c r="E1398" s="81" t="n"/>
      <c r="F1398" s="81" t="n"/>
      <c r="G1398" s="78" t="n"/>
      <c r="H1398" s="78" t="n"/>
      <c r="I1398" s="67">
        <f>IF($H1398="","",IFERROR(INDEX(Action_Status_Map!$B$5:$B$11,MATCH($H1398,Action_Status_Map!$A$5:$A$11,0)),""))</f>
        <v/>
      </c>
      <c r="J1398" s="82" t="n"/>
      <c r="K1398" s="82" t="n"/>
      <c r="L1398" s="82" t="n"/>
      <c r="M1398" s="83" t="n"/>
      <c r="N1398" s="83" t="n"/>
      <c r="O1398" s="66">
        <f>IF(OR($M1398="",$N1398=""),"",$N1398-$M1398)</f>
        <v/>
      </c>
      <c r="P1398" s="84">
        <f>IF($J1398="","",IF($L1398&lt;&gt;"",$L1398-$J1398,TODAY()-$J1398))</f>
        <v/>
      </c>
      <c r="Q1398" s="85">
        <f>IF(OR($K1398="",$H1398="Completed",$H1398="Cancelled"),"",IF(AND($K1398&lt;TODAY(),$H1398&lt;&gt;"Completed",$H1398&lt;&gt;"Cancelled"),"Overdue","On Track"))</f>
        <v/>
      </c>
      <c r="R1398" s="81" t="n"/>
      <c r="S1398" s="81">
        <f>IF($B1398="","",IFERROR(INDEX(Task_Tracker!$AA$5:$AA$1004,MATCH($B1398,Task_Tracker!$A$5:$A$1004,0)),""))</f>
        <v/>
      </c>
      <c r="T1398" s="81">
        <f>IF($B1398="","",IFERROR(INDEX(Task_Tracker!$AB$5:$AB$1004,MATCH($B1398,Task_Tracker!$A$5:$A$1004,0)),""))</f>
        <v/>
      </c>
      <c r="U1398" s="78">
        <f>IF($B1398="","",IFERROR(INDEX(Task_Tracker!$F$5:$F$1004,MATCH($B1398,Task_Tracker!$A$5:$A$1004,0)),""))</f>
        <v/>
      </c>
      <c r="V1398" s="78">
        <f>IF($B1398="","",IFERROR(INDEX(Task_Tracker!$I$5:$I$1004,MATCH($B1398,Task_Tracker!$A$5:$A$1004,0)),""))</f>
        <v/>
      </c>
      <c r="W1398" s="81">
        <f>IF(OR($D1398="",$B1398=""),"",$D1398&amp;" | "&amp;$B1398)</f>
        <v/>
      </c>
      <c r="X1398" s="85">
        <f>IF($K1398="","",TEXT($K1398,"yyyy-mm"))</f>
        <v/>
      </c>
      <c r="Y1398" s="81">
        <f>IF(OR($A1398="",$T1398=""),"","Included in Manager_Report")</f>
        <v/>
      </c>
    </row>
    <row r="1399" ht="15" customHeight="1" s="40">
      <c r="A1399" s="65">
        <f>IF(COUNTA(B1399:G1399)=0,"","STP-"&amp;TEXT(ROW()-4,"0000"))</f>
        <v/>
      </c>
      <c r="B1399" s="78" t="n"/>
      <c r="C1399" s="67">
        <f>IF($B1399="","",IFERROR(INDEX(Task_Tracker!$D$5:$D$1004,MATCH($B1399,Task_Tracker!$A$5:$A$1004,0)),""))</f>
        <v/>
      </c>
      <c r="D1399" s="67">
        <f>IF($B1399="","",IFERROR(INDEX(Task_Tracker!$B$5:$B$1004,MATCH($B1399,Task_Tracker!$A$5:$A$1004,0)),""))</f>
        <v/>
      </c>
      <c r="E1399" s="81" t="n"/>
      <c r="F1399" s="81" t="n"/>
      <c r="G1399" s="78" t="n"/>
      <c r="H1399" s="78" t="n"/>
      <c r="I1399" s="67">
        <f>IF($H1399="","",IFERROR(INDEX(Action_Status_Map!$B$5:$B$11,MATCH($H1399,Action_Status_Map!$A$5:$A$11,0)),""))</f>
        <v/>
      </c>
      <c r="J1399" s="82" t="n"/>
      <c r="K1399" s="82" t="n"/>
      <c r="L1399" s="82" t="n"/>
      <c r="M1399" s="83" t="n"/>
      <c r="N1399" s="83" t="n"/>
      <c r="O1399" s="66">
        <f>IF(OR($M1399="",$N1399=""),"",$N1399-$M1399)</f>
        <v/>
      </c>
      <c r="P1399" s="84">
        <f>IF($J1399="","",IF($L1399&lt;&gt;"",$L1399-$J1399,TODAY()-$J1399))</f>
        <v/>
      </c>
      <c r="Q1399" s="85">
        <f>IF(OR($K1399="",$H1399="Completed",$H1399="Cancelled"),"",IF(AND($K1399&lt;TODAY(),$H1399&lt;&gt;"Completed",$H1399&lt;&gt;"Cancelled"),"Overdue","On Track"))</f>
        <v/>
      </c>
      <c r="R1399" s="81" t="n"/>
      <c r="S1399" s="81">
        <f>IF($B1399="","",IFERROR(INDEX(Task_Tracker!$AA$5:$AA$1004,MATCH($B1399,Task_Tracker!$A$5:$A$1004,0)),""))</f>
        <v/>
      </c>
      <c r="T1399" s="81">
        <f>IF($B1399="","",IFERROR(INDEX(Task_Tracker!$AB$5:$AB$1004,MATCH($B1399,Task_Tracker!$A$5:$A$1004,0)),""))</f>
        <v/>
      </c>
      <c r="U1399" s="78">
        <f>IF($B1399="","",IFERROR(INDEX(Task_Tracker!$F$5:$F$1004,MATCH($B1399,Task_Tracker!$A$5:$A$1004,0)),""))</f>
        <v/>
      </c>
      <c r="V1399" s="78">
        <f>IF($B1399="","",IFERROR(INDEX(Task_Tracker!$I$5:$I$1004,MATCH($B1399,Task_Tracker!$A$5:$A$1004,0)),""))</f>
        <v/>
      </c>
      <c r="W1399" s="81">
        <f>IF(OR($D1399="",$B1399=""),"",$D1399&amp;" | "&amp;$B1399)</f>
        <v/>
      </c>
      <c r="X1399" s="85">
        <f>IF($K1399="","",TEXT($K1399,"yyyy-mm"))</f>
        <v/>
      </c>
      <c r="Y1399" s="81">
        <f>IF(OR($A1399="",$T1399=""),"","Included in Manager_Report")</f>
        <v/>
      </c>
    </row>
    <row r="1400" ht="15" customHeight="1" s="40">
      <c r="A1400" s="65">
        <f>IF(COUNTA(B1400:G1400)=0,"","STP-"&amp;TEXT(ROW()-4,"0000"))</f>
        <v/>
      </c>
      <c r="B1400" s="78" t="n"/>
      <c r="C1400" s="67">
        <f>IF($B1400="","",IFERROR(INDEX(Task_Tracker!$D$5:$D$1004,MATCH($B1400,Task_Tracker!$A$5:$A$1004,0)),""))</f>
        <v/>
      </c>
      <c r="D1400" s="67">
        <f>IF($B1400="","",IFERROR(INDEX(Task_Tracker!$B$5:$B$1004,MATCH($B1400,Task_Tracker!$A$5:$A$1004,0)),""))</f>
        <v/>
      </c>
      <c r="E1400" s="81" t="n"/>
      <c r="F1400" s="81" t="n"/>
      <c r="G1400" s="78" t="n"/>
      <c r="H1400" s="78" t="n"/>
      <c r="I1400" s="67">
        <f>IF($H1400="","",IFERROR(INDEX(Action_Status_Map!$B$5:$B$11,MATCH($H1400,Action_Status_Map!$A$5:$A$11,0)),""))</f>
        <v/>
      </c>
      <c r="J1400" s="82" t="n"/>
      <c r="K1400" s="82" t="n"/>
      <c r="L1400" s="82" t="n"/>
      <c r="M1400" s="83" t="n"/>
      <c r="N1400" s="83" t="n"/>
      <c r="O1400" s="66">
        <f>IF(OR($M1400="",$N1400=""),"",$N1400-$M1400)</f>
        <v/>
      </c>
      <c r="P1400" s="84">
        <f>IF($J1400="","",IF($L1400&lt;&gt;"",$L1400-$J1400,TODAY()-$J1400))</f>
        <v/>
      </c>
      <c r="Q1400" s="85">
        <f>IF(OR($K1400="",$H1400="Completed",$H1400="Cancelled"),"",IF(AND($K1400&lt;TODAY(),$H1400&lt;&gt;"Completed",$H1400&lt;&gt;"Cancelled"),"Overdue","On Track"))</f>
        <v/>
      </c>
      <c r="R1400" s="81" t="n"/>
      <c r="S1400" s="81">
        <f>IF($B1400="","",IFERROR(INDEX(Task_Tracker!$AA$5:$AA$1004,MATCH($B1400,Task_Tracker!$A$5:$A$1004,0)),""))</f>
        <v/>
      </c>
      <c r="T1400" s="81">
        <f>IF($B1400="","",IFERROR(INDEX(Task_Tracker!$AB$5:$AB$1004,MATCH($B1400,Task_Tracker!$A$5:$A$1004,0)),""))</f>
        <v/>
      </c>
      <c r="U1400" s="78">
        <f>IF($B1400="","",IFERROR(INDEX(Task_Tracker!$F$5:$F$1004,MATCH($B1400,Task_Tracker!$A$5:$A$1004,0)),""))</f>
        <v/>
      </c>
      <c r="V1400" s="78">
        <f>IF($B1400="","",IFERROR(INDEX(Task_Tracker!$I$5:$I$1004,MATCH($B1400,Task_Tracker!$A$5:$A$1004,0)),""))</f>
        <v/>
      </c>
      <c r="W1400" s="81">
        <f>IF(OR($D1400="",$B1400=""),"",$D1400&amp;" | "&amp;$B1400)</f>
        <v/>
      </c>
      <c r="X1400" s="85">
        <f>IF($K1400="","",TEXT($K1400,"yyyy-mm"))</f>
        <v/>
      </c>
      <c r="Y1400" s="81">
        <f>IF(OR($A1400="",$T1400=""),"","Included in Manager_Report")</f>
        <v/>
      </c>
    </row>
    <row r="1401" ht="15" customHeight="1" s="40">
      <c r="A1401" s="65">
        <f>IF(COUNTA(B1401:G1401)=0,"","STP-"&amp;TEXT(ROW()-4,"0000"))</f>
        <v/>
      </c>
      <c r="B1401" s="78" t="n"/>
      <c r="C1401" s="67">
        <f>IF($B1401="","",IFERROR(INDEX(Task_Tracker!$D$5:$D$1004,MATCH($B1401,Task_Tracker!$A$5:$A$1004,0)),""))</f>
        <v/>
      </c>
      <c r="D1401" s="67">
        <f>IF($B1401="","",IFERROR(INDEX(Task_Tracker!$B$5:$B$1004,MATCH($B1401,Task_Tracker!$A$5:$A$1004,0)),""))</f>
        <v/>
      </c>
      <c r="E1401" s="81" t="n"/>
      <c r="F1401" s="81" t="n"/>
      <c r="G1401" s="78" t="n"/>
      <c r="H1401" s="78" t="n"/>
      <c r="I1401" s="67">
        <f>IF($H1401="","",IFERROR(INDEX(Action_Status_Map!$B$5:$B$11,MATCH($H1401,Action_Status_Map!$A$5:$A$11,0)),""))</f>
        <v/>
      </c>
      <c r="J1401" s="82" t="n"/>
      <c r="K1401" s="82" t="n"/>
      <c r="L1401" s="82" t="n"/>
      <c r="M1401" s="83" t="n"/>
      <c r="N1401" s="83" t="n"/>
      <c r="O1401" s="66">
        <f>IF(OR($M1401="",$N1401=""),"",$N1401-$M1401)</f>
        <v/>
      </c>
      <c r="P1401" s="84">
        <f>IF($J1401="","",IF($L1401&lt;&gt;"",$L1401-$J1401,TODAY()-$J1401))</f>
        <v/>
      </c>
      <c r="Q1401" s="85">
        <f>IF(OR($K1401="",$H1401="Completed",$H1401="Cancelled"),"",IF(AND($K1401&lt;TODAY(),$H1401&lt;&gt;"Completed",$H1401&lt;&gt;"Cancelled"),"Overdue","On Track"))</f>
        <v/>
      </c>
      <c r="R1401" s="81" t="n"/>
      <c r="S1401" s="81">
        <f>IF($B1401="","",IFERROR(INDEX(Task_Tracker!$AA$5:$AA$1004,MATCH($B1401,Task_Tracker!$A$5:$A$1004,0)),""))</f>
        <v/>
      </c>
      <c r="T1401" s="81">
        <f>IF($B1401="","",IFERROR(INDEX(Task_Tracker!$AB$5:$AB$1004,MATCH($B1401,Task_Tracker!$A$5:$A$1004,0)),""))</f>
        <v/>
      </c>
      <c r="U1401" s="78">
        <f>IF($B1401="","",IFERROR(INDEX(Task_Tracker!$F$5:$F$1004,MATCH($B1401,Task_Tracker!$A$5:$A$1004,0)),""))</f>
        <v/>
      </c>
      <c r="V1401" s="78">
        <f>IF($B1401="","",IFERROR(INDEX(Task_Tracker!$I$5:$I$1004,MATCH($B1401,Task_Tracker!$A$5:$A$1004,0)),""))</f>
        <v/>
      </c>
      <c r="W1401" s="81">
        <f>IF(OR($D1401="",$B1401=""),"",$D1401&amp;" | "&amp;$B1401)</f>
        <v/>
      </c>
      <c r="X1401" s="85">
        <f>IF($K1401="","",TEXT($K1401,"yyyy-mm"))</f>
        <v/>
      </c>
      <c r="Y1401" s="81">
        <f>IF(OR($A1401="",$T1401=""),"","Included in Manager_Report")</f>
        <v/>
      </c>
    </row>
    <row r="1402" ht="15" customHeight="1" s="40">
      <c r="A1402" s="65">
        <f>IF(COUNTA(B1402:G1402)=0,"","STP-"&amp;TEXT(ROW()-4,"0000"))</f>
        <v/>
      </c>
      <c r="B1402" s="78" t="n"/>
      <c r="C1402" s="67">
        <f>IF($B1402="","",IFERROR(INDEX(Task_Tracker!$D$5:$D$1004,MATCH($B1402,Task_Tracker!$A$5:$A$1004,0)),""))</f>
        <v/>
      </c>
      <c r="D1402" s="67">
        <f>IF($B1402="","",IFERROR(INDEX(Task_Tracker!$B$5:$B$1004,MATCH($B1402,Task_Tracker!$A$5:$A$1004,0)),""))</f>
        <v/>
      </c>
      <c r="E1402" s="81" t="n"/>
      <c r="F1402" s="81" t="n"/>
      <c r="G1402" s="78" t="n"/>
      <c r="H1402" s="78" t="n"/>
      <c r="I1402" s="67">
        <f>IF($H1402="","",IFERROR(INDEX(Action_Status_Map!$B$5:$B$11,MATCH($H1402,Action_Status_Map!$A$5:$A$11,0)),""))</f>
        <v/>
      </c>
      <c r="J1402" s="82" t="n"/>
      <c r="K1402" s="82" t="n"/>
      <c r="L1402" s="82" t="n"/>
      <c r="M1402" s="83" t="n"/>
      <c r="N1402" s="83" t="n"/>
      <c r="O1402" s="66">
        <f>IF(OR($M1402="",$N1402=""),"",$N1402-$M1402)</f>
        <v/>
      </c>
      <c r="P1402" s="84">
        <f>IF($J1402="","",IF($L1402&lt;&gt;"",$L1402-$J1402,TODAY()-$J1402))</f>
        <v/>
      </c>
      <c r="Q1402" s="85">
        <f>IF(OR($K1402="",$H1402="Completed",$H1402="Cancelled"),"",IF(AND($K1402&lt;TODAY(),$H1402&lt;&gt;"Completed",$H1402&lt;&gt;"Cancelled"),"Overdue","On Track"))</f>
        <v/>
      </c>
      <c r="R1402" s="81" t="n"/>
      <c r="S1402" s="81">
        <f>IF($B1402="","",IFERROR(INDEX(Task_Tracker!$AA$5:$AA$1004,MATCH($B1402,Task_Tracker!$A$5:$A$1004,0)),""))</f>
        <v/>
      </c>
      <c r="T1402" s="81">
        <f>IF($B1402="","",IFERROR(INDEX(Task_Tracker!$AB$5:$AB$1004,MATCH($B1402,Task_Tracker!$A$5:$A$1004,0)),""))</f>
        <v/>
      </c>
      <c r="U1402" s="78">
        <f>IF($B1402="","",IFERROR(INDEX(Task_Tracker!$F$5:$F$1004,MATCH($B1402,Task_Tracker!$A$5:$A$1004,0)),""))</f>
        <v/>
      </c>
      <c r="V1402" s="78">
        <f>IF($B1402="","",IFERROR(INDEX(Task_Tracker!$I$5:$I$1004,MATCH($B1402,Task_Tracker!$A$5:$A$1004,0)),""))</f>
        <v/>
      </c>
      <c r="W1402" s="81">
        <f>IF(OR($D1402="",$B1402=""),"",$D1402&amp;" | "&amp;$B1402)</f>
        <v/>
      </c>
      <c r="X1402" s="85">
        <f>IF($K1402="","",TEXT($K1402,"yyyy-mm"))</f>
        <v/>
      </c>
      <c r="Y1402" s="81">
        <f>IF(OR($A1402="",$T1402=""),"","Included in Manager_Report")</f>
        <v/>
      </c>
    </row>
    <row r="1403" ht="15" customHeight="1" s="40">
      <c r="A1403" s="65">
        <f>IF(COUNTA(B1403:G1403)=0,"","STP-"&amp;TEXT(ROW()-4,"0000"))</f>
        <v/>
      </c>
      <c r="B1403" s="78" t="n"/>
      <c r="C1403" s="67">
        <f>IF($B1403="","",IFERROR(INDEX(Task_Tracker!$D$5:$D$1004,MATCH($B1403,Task_Tracker!$A$5:$A$1004,0)),""))</f>
        <v/>
      </c>
      <c r="D1403" s="67">
        <f>IF($B1403="","",IFERROR(INDEX(Task_Tracker!$B$5:$B$1004,MATCH($B1403,Task_Tracker!$A$5:$A$1004,0)),""))</f>
        <v/>
      </c>
      <c r="E1403" s="81" t="n"/>
      <c r="F1403" s="81" t="n"/>
      <c r="G1403" s="78" t="n"/>
      <c r="H1403" s="78" t="n"/>
      <c r="I1403" s="67">
        <f>IF($H1403="","",IFERROR(INDEX(Action_Status_Map!$B$5:$B$11,MATCH($H1403,Action_Status_Map!$A$5:$A$11,0)),""))</f>
        <v/>
      </c>
      <c r="J1403" s="82" t="n"/>
      <c r="K1403" s="82" t="n"/>
      <c r="L1403" s="82" t="n"/>
      <c r="M1403" s="83" t="n"/>
      <c r="N1403" s="83" t="n"/>
      <c r="O1403" s="66">
        <f>IF(OR($M1403="",$N1403=""),"",$N1403-$M1403)</f>
        <v/>
      </c>
      <c r="P1403" s="84">
        <f>IF($J1403="","",IF($L1403&lt;&gt;"",$L1403-$J1403,TODAY()-$J1403))</f>
        <v/>
      </c>
      <c r="Q1403" s="85">
        <f>IF(OR($K1403="",$H1403="Completed",$H1403="Cancelled"),"",IF(AND($K1403&lt;TODAY(),$H1403&lt;&gt;"Completed",$H1403&lt;&gt;"Cancelled"),"Overdue","On Track"))</f>
        <v/>
      </c>
      <c r="R1403" s="81" t="n"/>
      <c r="S1403" s="81">
        <f>IF($B1403="","",IFERROR(INDEX(Task_Tracker!$AA$5:$AA$1004,MATCH($B1403,Task_Tracker!$A$5:$A$1004,0)),""))</f>
        <v/>
      </c>
      <c r="T1403" s="81">
        <f>IF($B1403="","",IFERROR(INDEX(Task_Tracker!$AB$5:$AB$1004,MATCH($B1403,Task_Tracker!$A$5:$A$1004,0)),""))</f>
        <v/>
      </c>
      <c r="U1403" s="78">
        <f>IF($B1403="","",IFERROR(INDEX(Task_Tracker!$F$5:$F$1004,MATCH($B1403,Task_Tracker!$A$5:$A$1004,0)),""))</f>
        <v/>
      </c>
      <c r="V1403" s="78">
        <f>IF($B1403="","",IFERROR(INDEX(Task_Tracker!$I$5:$I$1004,MATCH($B1403,Task_Tracker!$A$5:$A$1004,0)),""))</f>
        <v/>
      </c>
      <c r="W1403" s="81">
        <f>IF(OR($D1403="",$B1403=""),"",$D1403&amp;" | "&amp;$B1403)</f>
        <v/>
      </c>
      <c r="X1403" s="85">
        <f>IF($K1403="","",TEXT($K1403,"yyyy-mm"))</f>
        <v/>
      </c>
      <c r="Y1403" s="81">
        <f>IF(OR($A1403="",$T1403=""),"","Included in Manager_Report")</f>
        <v/>
      </c>
    </row>
    <row r="1404" ht="15" customHeight="1" s="40">
      <c r="A1404" s="65">
        <f>IF(COUNTA(B1404:G1404)=0,"","STP-"&amp;TEXT(ROW()-4,"0000"))</f>
        <v/>
      </c>
      <c r="B1404" s="78" t="n"/>
      <c r="C1404" s="67">
        <f>IF($B1404="","",IFERROR(INDEX(Task_Tracker!$D$5:$D$1004,MATCH($B1404,Task_Tracker!$A$5:$A$1004,0)),""))</f>
        <v/>
      </c>
      <c r="D1404" s="67">
        <f>IF($B1404="","",IFERROR(INDEX(Task_Tracker!$B$5:$B$1004,MATCH($B1404,Task_Tracker!$A$5:$A$1004,0)),""))</f>
        <v/>
      </c>
      <c r="E1404" s="81" t="n"/>
      <c r="F1404" s="81" t="n"/>
      <c r="G1404" s="78" t="n"/>
      <c r="H1404" s="78" t="n"/>
      <c r="I1404" s="67">
        <f>IF($H1404="","",IFERROR(INDEX(Action_Status_Map!$B$5:$B$11,MATCH($H1404,Action_Status_Map!$A$5:$A$11,0)),""))</f>
        <v/>
      </c>
      <c r="J1404" s="82" t="n"/>
      <c r="K1404" s="82" t="n"/>
      <c r="L1404" s="82" t="n"/>
      <c r="M1404" s="83" t="n"/>
      <c r="N1404" s="83" t="n"/>
      <c r="O1404" s="66">
        <f>IF(OR($M1404="",$N1404=""),"",$N1404-$M1404)</f>
        <v/>
      </c>
      <c r="P1404" s="84">
        <f>IF($J1404="","",IF($L1404&lt;&gt;"",$L1404-$J1404,TODAY()-$J1404))</f>
        <v/>
      </c>
      <c r="Q1404" s="85">
        <f>IF(OR($K1404="",$H1404="Completed",$H1404="Cancelled"),"",IF(AND($K1404&lt;TODAY(),$H1404&lt;&gt;"Completed",$H1404&lt;&gt;"Cancelled"),"Overdue","On Track"))</f>
        <v/>
      </c>
      <c r="R1404" s="81" t="n"/>
      <c r="S1404" s="81">
        <f>IF($B1404="","",IFERROR(INDEX(Task_Tracker!$AA$5:$AA$1004,MATCH($B1404,Task_Tracker!$A$5:$A$1004,0)),""))</f>
        <v/>
      </c>
      <c r="T1404" s="81">
        <f>IF($B1404="","",IFERROR(INDEX(Task_Tracker!$AB$5:$AB$1004,MATCH($B1404,Task_Tracker!$A$5:$A$1004,0)),""))</f>
        <v/>
      </c>
      <c r="U1404" s="78">
        <f>IF($B1404="","",IFERROR(INDEX(Task_Tracker!$F$5:$F$1004,MATCH($B1404,Task_Tracker!$A$5:$A$1004,0)),""))</f>
        <v/>
      </c>
      <c r="V1404" s="78">
        <f>IF($B1404="","",IFERROR(INDEX(Task_Tracker!$I$5:$I$1004,MATCH($B1404,Task_Tracker!$A$5:$A$1004,0)),""))</f>
        <v/>
      </c>
      <c r="W1404" s="81">
        <f>IF(OR($D1404="",$B1404=""),"",$D1404&amp;" | "&amp;$B1404)</f>
        <v/>
      </c>
      <c r="X1404" s="85">
        <f>IF($K1404="","",TEXT($K1404,"yyyy-mm"))</f>
        <v/>
      </c>
      <c r="Y1404" s="81">
        <f>IF(OR($A1404="",$T1404=""),"","Included in Manager_Report")</f>
        <v/>
      </c>
    </row>
    <row r="1405" ht="15" customHeight="1" s="40">
      <c r="A1405" s="65">
        <f>IF(COUNTA(B1405:G1405)=0,"","STP-"&amp;TEXT(ROW()-4,"0000"))</f>
        <v/>
      </c>
      <c r="B1405" s="78" t="n"/>
      <c r="C1405" s="67">
        <f>IF($B1405="","",IFERROR(INDEX(Task_Tracker!$D$5:$D$1004,MATCH($B1405,Task_Tracker!$A$5:$A$1004,0)),""))</f>
        <v/>
      </c>
      <c r="D1405" s="67">
        <f>IF($B1405="","",IFERROR(INDEX(Task_Tracker!$B$5:$B$1004,MATCH($B1405,Task_Tracker!$A$5:$A$1004,0)),""))</f>
        <v/>
      </c>
      <c r="E1405" s="81" t="n"/>
      <c r="F1405" s="81" t="n"/>
      <c r="G1405" s="78" t="n"/>
      <c r="H1405" s="78" t="n"/>
      <c r="I1405" s="67">
        <f>IF($H1405="","",IFERROR(INDEX(Action_Status_Map!$B$5:$B$11,MATCH($H1405,Action_Status_Map!$A$5:$A$11,0)),""))</f>
        <v/>
      </c>
      <c r="J1405" s="82" t="n"/>
      <c r="K1405" s="82" t="n"/>
      <c r="L1405" s="82" t="n"/>
      <c r="M1405" s="83" t="n"/>
      <c r="N1405" s="83" t="n"/>
      <c r="O1405" s="66">
        <f>IF(OR($M1405="",$N1405=""),"",$N1405-$M1405)</f>
        <v/>
      </c>
      <c r="P1405" s="84">
        <f>IF($J1405="","",IF($L1405&lt;&gt;"",$L1405-$J1405,TODAY()-$J1405))</f>
        <v/>
      </c>
      <c r="Q1405" s="85">
        <f>IF(OR($K1405="",$H1405="Completed",$H1405="Cancelled"),"",IF(AND($K1405&lt;TODAY(),$H1405&lt;&gt;"Completed",$H1405&lt;&gt;"Cancelled"),"Overdue","On Track"))</f>
        <v/>
      </c>
      <c r="R1405" s="81" t="n"/>
      <c r="S1405" s="81">
        <f>IF($B1405="","",IFERROR(INDEX(Task_Tracker!$AA$5:$AA$1004,MATCH($B1405,Task_Tracker!$A$5:$A$1004,0)),""))</f>
        <v/>
      </c>
      <c r="T1405" s="81">
        <f>IF($B1405="","",IFERROR(INDEX(Task_Tracker!$AB$5:$AB$1004,MATCH($B1405,Task_Tracker!$A$5:$A$1004,0)),""))</f>
        <v/>
      </c>
      <c r="U1405" s="78">
        <f>IF($B1405="","",IFERROR(INDEX(Task_Tracker!$F$5:$F$1004,MATCH($B1405,Task_Tracker!$A$5:$A$1004,0)),""))</f>
        <v/>
      </c>
      <c r="V1405" s="78">
        <f>IF($B1405="","",IFERROR(INDEX(Task_Tracker!$I$5:$I$1004,MATCH($B1405,Task_Tracker!$A$5:$A$1004,0)),""))</f>
        <v/>
      </c>
      <c r="W1405" s="81">
        <f>IF(OR($D1405="",$B1405=""),"",$D1405&amp;" | "&amp;$B1405)</f>
        <v/>
      </c>
      <c r="X1405" s="85">
        <f>IF($K1405="","",TEXT($K1405,"yyyy-mm"))</f>
        <v/>
      </c>
      <c r="Y1405" s="81">
        <f>IF(OR($A1405="",$T1405=""),"","Included in Manager_Report")</f>
        <v/>
      </c>
    </row>
    <row r="1406" ht="15" customHeight="1" s="40">
      <c r="A1406" s="65">
        <f>IF(COUNTA(B1406:G1406)=0,"","STP-"&amp;TEXT(ROW()-4,"0000"))</f>
        <v/>
      </c>
      <c r="B1406" s="78" t="n"/>
      <c r="C1406" s="67">
        <f>IF($B1406="","",IFERROR(INDEX(Task_Tracker!$D$5:$D$1004,MATCH($B1406,Task_Tracker!$A$5:$A$1004,0)),""))</f>
        <v/>
      </c>
      <c r="D1406" s="67">
        <f>IF($B1406="","",IFERROR(INDEX(Task_Tracker!$B$5:$B$1004,MATCH($B1406,Task_Tracker!$A$5:$A$1004,0)),""))</f>
        <v/>
      </c>
      <c r="E1406" s="81" t="n"/>
      <c r="F1406" s="81" t="n"/>
      <c r="G1406" s="78" t="n"/>
      <c r="H1406" s="78" t="n"/>
      <c r="I1406" s="67">
        <f>IF($H1406="","",IFERROR(INDEX(Action_Status_Map!$B$5:$B$11,MATCH($H1406,Action_Status_Map!$A$5:$A$11,0)),""))</f>
        <v/>
      </c>
      <c r="J1406" s="82" t="n"/>
      <c r="K1406" s="82" t="n"/>
      <c r="L1406" s="82" t="n"/>
      <c r="M1406" s="83" t="n"/>
      <c r="N1406" s="83" t="n"/>
      <c r="O1406" s="66">
        <f>IF(OR($M1406="",$N1406=""),"",$N1406-$M1406)</f>
        <v/>
      </c>
      <c r="P1406" s="84">
        <f>IF($J1406="","",IF($L1406&lt;&gt;"",$L1406-$J1406,TODAY()-$J1406))</f>
        <v/>
      </c>
      <c r="Q1406" s="85">
        <f>IF(OR($K1406="",$H1406="Completed",$H1406="Cancelled"),"",IF(AND($K1406&lt;TODAY(),$H1406&lt;&gt;"Completed",$H1406&lt;&gt;"Cancelled"),"Overdue","On Track"))</f>
        <v/>
      </c>
      <c r="R1406" s="81" t="n"/>
      <c r="S1406" s="81">
        <f>IF($B1406="","",IFERROR(INDEX(Task_Tracker!$AA$5:$AA$1004,MATCH($B1406,Task_Tracker!$A$5:$A$1004,0)),""))</f>
        <v/>
      </c>
      <c r="T1406" s="81">
        <f>IF($B1406="","",IFERROR(INDEX(Task_Tracker!$AB$5:$AB$1004,MATCH($B1406,Task_Tracker!$A$5:$A$1004,0)),""))</f>
        <v/>
      </c>
      <c r="U1406" s="78">
        <f>IF($B1406="","",IFERROR(INDEX(Task_Tracker!$F$5:$F$1004,MATCH($B1406,Task_Tracker!$A$5:$A$1004,0)),""))</f>
        <v/>
      </c>
      <c r="V1406" s="78">
        <f>IF($B1406="","",IFERROR(INDEX(Task_Tracker!$I$5:$I$1004,MATCH($B1406,Task_Tracker!$A$5:$A$1004,0)),""))</f>
        <v/>
      </c>
      <c r="W1406" s="81">
        <f>IF(OR($D1406="",$B1406=""),"",$D1406&amp;" | "&amp;$B1406)</f>
        <v/>
      </c>
      <c r="X1406" s="85">
        <f>IF($K1406="","",TEXT($K1406,"yyyy-mm"))</f>
        <v/>
      </c>
      <c r="Y1406" s="81">
        <f>IF(OR($A1406="",$T1406=""),"","Included in Manager_Report")</f>
        <v/>
      </c>
    </row>
    <row r="1407" ht="15" customHeight="1" s="40">
      <c r="A1407" s="65">
        <f>IF(COUNTA(B1407:G1407)=0,"","STP-"&amp;TEXT(ROW()-4,"0000"))</f>
        <v/>
      </c>
      <c r="B1407" s="78" t="n"/>
      <c r="C1407" s="67">
        <f>IF($B1407="","",IFERROR(INDEX(Task_Tracker!$D$5:$D$1004,MATCH($B1407,Task_Tracker!$A$5:$A$1004,0)),""))</f>
        <v/>
      </c>
      <c r="D1407" s="67">
        <f>IF($B1407="","",IFERROR(INDEX(Task_Tracker!$B$5:$B$1004,MATCH($B1407,Task_Tracker!$A$5:$A$1004,0)),""))</f>
        <v/>
      </c>
      <c r="E1407" s="81" t="n"/>
      <c r="F1407" s="81" t="n"/>
      <c r="G1407" s="78" t="n"/>
      <c r="H1407" s="78" t="n"/>
      <c r="I1407" s="67">
        <f>IF($H1407="","",IFERROR(INDEX(Action_Status_Map!$B$5:$B$11,MATCH($H1407,Action_Status_Map!$A$5:$A$11,0)),""))</f>
        <v/>
      </c>
      <c r="J1407" s="82" t="n"/>
      <c r="K1407" s="82" t="n"/>
      <c r="L1407" s="82" t="n"/>
      <c r="M1407" s="83" t="n"/>
      <c r="N1407" s="83" t="n"/>
      <c r="O1407" s="66">
        <f>IF(OR($M1407="",$N1407=""),"",$N1407-$M1407)</f>
        <v/>
      </c>
      <c r="P1407" s="84">
        <f>IF($J1407="","",IF($L1407&lt;&gt;"",$L1407-$J1407,TODAY()-$J1407))</f>
        <v/>
      </c>
      <c r="Q1407" s="85">
        <f>IF(OR($K1407="",$H1407="Completed",$H1407="Cancelled"),"",IF(AND($K1407&lt;TODAY(),$H1407&lt;&gt;"Completed",$H1407&lt;&gt;"Cancelled"),"Overdue","On Track"))</f>
        <v/>
      </c>
      <c r="R1407" s="81" t="n"/>
      <c r="S1407" s="81">
        <f>IF($B1407="","",IFERROR(INDEX(Task_Tracker!$AA$5:$AA$1004,MATCH($B1407,Task_Tracker!$A$5:$A$1004,0)),""))</f>
        <v/>
      </c>
      <c r="T1407" s="81">
        <f>IF($B1407="","",IFERROR(INDEX(Task_Tracker!$AB$5:$AB$1004,MATCH($B1407,Task_Tracker!$A$5:$A$1004,0)),""))</f>
        <v/>
      </c>
      <c r="U1407" s="78">
        <f>IF($B1407="","",IFERROR(INDEX(Task_Tracker!$F$5:$F$1004,MATCH($B1407,Task_Tracker!$A$5:$A$1004,0)),""))</f>
        <v/>
      </c>
      <c r="V1407" s="78">
        <f>IF($B1407="","",IFERROR(INDEX(Task_Tracker!$I$5:$I$1004,MATCH($B1407,Task_Tracker!$A$5:$A$1004,0)),""))</f>
        <v/>
      </c>
      <c r="W1407" s="81">
        <f>IF(OR($D1407="",$B1407=""),"",$D1407&amp;" | "&amp;$B1407)</f>
        <v/>
      </c>
      <c r="X1407" s="85">
        <f>IF($K1407="","",TEXT($K1407,"yyyy-mm"))</f>
        <v/>
      </c>
      <c r="Y1407" s="81">
        <f>IF(OR($A1407="",$T1407=""),"","Included in Manager_Report")</f>
        <v/>
      </c>
    </row>
    <row r="1408" ht="15" customHeight="1" s="40">
      <c r="A1408" s="65">
        <f>IF(COUNTA(B1408:G1408)=0,"","STP-"&amp;TEXT(ROW()-4,"0000"))</f>
        <v/>
      </c>
      <c r="B1408" s="78" t="n"/>
      <c r="C1408" s="67">
        <f>IF($B1408="","",IFERROR(INDEX(Task_Tracker!$D$5:$D$1004,MATCH($B1408,Task_Tracker!$A$5:$A$1004,0)),""))</f>
        <v/>
      </c>
      <c r="D1408" s="67">
        <f>IF($B1408="","",IFERROR(INDEX(Task_Tracker!$B$5:$B$1004,MATCH($B1408,Task_Tracker!$A$5:$A$1004,0)),""))</f>
        <v/>
      </c>
      <c r="E1408" s="81" t="n"/>
      <c r="F1408" s="81" t="n"/>
      <c r="G1408" s="78" t="n"/>
      <c r="H1408" s="78" t="n"/>
      <c r="I1408" s="67">
        <f>IF($H1408="","",IFERROR(INDEX(Action_Status_Map!$B$5:$B$11,MATCH($H1408,Action_Status_Map!$A$5:$A$11,0)),""))</f>
        <v/>
      </c>
      <c r="J1408" s="82" t="n"/>
      <c r="K1408" s="82" t="n"/>
      <c r="L1408" s="82" t="n"/>
      <c r="M1408" s="83" t="n"/>
      <c r="N1408" s="83" t="n"/>
      <c r="O1408" s="66">
        <f>IF(OR($M1408="",$N1408=""),"",$N1408-$M1408)</f>
        <v/>
      </c>
      <c r="P1408" s="84">
        <f>IF($J1408="","",IF($L1408&lt;&gt;"",$L1408-$J1408,TODAY()-$J1408))</f>
        <v/>
      </c>
      <c r="Q1408" s="85">
        <f>IF(OR($K1408="",$H1408="Completed",$H1408="Cancelled"),"",IF(AND($K1408&lt;TODAY(),$H1408&lt;&gt;"Completed",$H1408&lt;&gt;"Cancelled"),"Overdue","On Track"))</f>
        <v/>
      </c>
      <c r="R1408" s="81" t="n"/>
      <c r="S1408" s="81">
        <f>IF($B1408="","",IFERROR(INDEX(Task_Tracker!$AA$5:$AA$1004,MATCH($B1408,Task_Tracker!$A$5:$A$1004,0)),""))</f>
        <v/>
      </c>
      <c r="T1408" s="81">
        <f>IF($B1408="","",IFERROR(INDEX(Task_Tracker!$AB$5:$AB$1004,MATCH($B1408,Task_Tracker!$A$5:$A$1004,0)),""))</f>
        <v/>
      </c>
      <c r="U1408" s="78">
        <f>IF($B1408="","",IFERROR(INDEX(Task_Tracker!$F$5:$F$1004,MATCH($B1408,Task_Tracker!$A$5:$A$1004,0)),""))</f>
        <v/>
      </c>
      <c r="V1408" s="78">
        <f>IF($B1408="","",IFERROR(INDEX(Task_Tracker!$I$5:$I$1004,MATCH($B1408,Task_Tracker!$A$5:$A$1004,0)),""))</f>
        <v/>
      </c>
      <c r="W1408" s="81">
        <f>IF(OR($D1408="",$B1408=""),"",$D1408&amp;" | "&amp;$B1408)</f>
        <v/>
      </c>
      <c r="X1408" s="85">
        <f>IF($K1408="","",TEXT($K1408,"yyyy-mm"))</f>
        <v/>
      </c>
      <c r="Y1408" s="81">
        <f>IF(OR($A1408="",$T1408=""),"","Included in Manager_Report")</f>
        <v/>
      </c>
    </row>
    <row r="1409" ht="15" customHeight="1" s="40">
      <c r="A1409" s="65">
        <f>IF(COUNTA(B1409:G1409)=0,"","STP-"&amp;TEXT(ROW()-4,"0000"))</f>
        <v/>
      </c>
      <c r="B1409" s="78" t="n"/>
      <c r="C1409" s="67">
        <f>IF($B1409="","",IFERROR(INDEX(Task_Tracker!$D$5:$D$1004,MATCH($B1409,Task_Tracker!$A$5:$A$1004,0)),""))</f>
        <v/>
      </c>
      <c r="D1409" s="67">
        <f>IF($B1409="","",IFERROR(INDEX(Task_Tracker!$B$5:$B$1004,MATCH($B1409,Task_Tracker!$A$5:$A$1004,0)),""))</f>
        <v/>
      </c>
      <c r="E1409" s="81" t="n"/>
      <c r="F1409" s="81" t="n"/>
      <c r="G1409" s="78" t="n"/>
      <c r="H1409" s="78" t="n"/>
      <c r="I1409" s="67">
        <f>IF($H1409="","",IFERROR(INDEX(Action_Status_Map!$B$5:$B$11,MATCH($H1409,Action_Status_Map!$A$5:$A$11,0)),""))</f>
        <v/>
      </c>
      <c r="J1409" s="82" t="n"/>
      <c r="K1409" s="82" t="n"/>
      <c r="L1409" s="82" t="n"/>
      <c r="M1409" s="83" t="n"/>
      <c r="N1409" s="83" t="n"/>
      <c r="O1409" s="66">
        <f>IF(OR($M1409="",$N1409=""),"",$N1409-$M1409)</f>
        <v/>
      </c>
      <c r="P1409" s="84">
        <f>IF($J1409="","",IF($L1409&lt;&gt;"",$L1409-$J1409,TODAY()-$J1409))</f>
        <v/>
      </c>
      <c r="Q1409" s="85">
        <f>IF(OR($K1409="",$H1409="Completed",$H1409="Cancelled"),"",IF(AND($K1409&lt;TODAY(),$H1409&lt;&gt;"Completed",$H1409&lt;&gt;"Cancelled"),"Overdue","On Track"))</f>
        <v/>
      </c>
      <c r="R1409" s="81" t="n"/>
      <c r="S1409" s="81">
        <f>IF($B1409="","",IFERROR(INDEX(Task_Tracker!$AA$5:$AA$1004,MATCH($B1409,Task_Tracker!$A$5:$A$1004,0)),""))</f>
        <v/>
      </c>
      <c r="T1409" s="81">
        <f>IF($B1409="","",IFERROR(INDEX(Task_Tracker!$AB$5:$AB$1004,MATCH($B1409,Task_Tracker!$A$5:$A$1004,0)),""))</f>
        <v/>
      </c>
      <c r="U1409" s="78">
        <f>IF($B1409="","",IFERROR(INDEX(Task_Tracker!$F$5:$F$1004,MATCH($B1409,Task_Tracker!$A$5:$A$1004,0)),""))</f>
        <v/>
      </c>
      <c r="V1409" s="78">
        <f>IF($B1409="","",IFERROR(INDEX(Task_Tracker!$I$5:$I$1004,MATCH($B1409,Task_Tracker!$A$5:$A$1004,0)),""))</f>
        <v/>
      </c>
      <c r="W1409" s="81">
        <f>IF(OR($D1409="",$B1409=""),"",$D1409&amp;" | "&amp;$B1409)</f>
        <v/>
      </c>
      <c r="X1409" s="85">
        <f>IF($K1409="","",TEXT($K1409,"yyyy-mm"))</f>
        <v/>
      </c>
      <c r="Y1409" s="81">
        <f>IF(OR($A1409="",$T1409=""),"","Included in Manager_Report")</f>
        <v/>
      </c>
    </row>
    <row r="1410" ht="15" customHeight="1" s="40">
      <c r="A1410" s="65">
        <f>IF(COUNTA(B1410:G1410)=0,"","STP-"&amp;TEXT(ROW()-4,"0000"))</f>
        <v/>
      </c>
      <c r="B1410" s="78" t="n"/>
      <c r="C1410" s="67">
        <f>IF($B1410="","",IFERROR(INDEX(Task_Tracker!$D$5:$D$1004,MATCH($B1410,Task_Tracker!$A$5:$A$1004,0)),""))</f>
        <v/>
      </c>
      <c r="D1410" s="67">
        <f>IF($B1410="","",IFERROR(INDEX(Task_Tracker!$B$5:$B$1004,MATCH($B1410,Task_Tracker!$A$5:$A$1004,0)),""))</f>
        <v/>
      </c>
      <c r="E1410" s="81" t="n"/>
      <c r="F1410" s="81" t="n"/>
      <c r="G1410" s="78" t="n"/>
      <c r="H1410" s="78" t="n"/>
      <c r="I1410" s="67">
        <f>IF($H1410="","",IFERROR(INDEX(Action_Status_Map!$B$5:$B$11,MATCH($H1410,Action_Status_Map!$A$5:$A$11,0)),""))</f>
        <v/>
      </c>
      <c r="J1410" s="82" t="n"/>
      <c r="K1410" s="82" t="n"/>
      <c r="L1410" s="82" t="n"/>
      <c r="M1410" s="83" t="n"/>
      <c r="N1410" s="83" t="n"/>
      <c r="O1410" s="66">
        <f>IF(OR($M1410="",$N1410=""),"",$N1410-$M1410)</f>
        <v/>
      </c>
      <c r="P1410" s="84">
        <f>IF($J1410="","",IF($L1410&lt;&gt;"",$L1410-$J1410,TODAY()-$J1410))</f>
        <v/>
      </c>
      <c r="Q1410" s="85">
        <f>IF(OR($K1410="",$H1410="Completed",$H1410="Cancelled"),"",IF(AND($K1410&lt;TODAY(),$H1410&lt;&gt;"Completed",$H1410&lt;&gt;"Cancelled"),"Overdue","On Track"))</f>
        <v/>
      </c>
      <c r="R1410" s="81" t="n"/>
      <c r="S1410" s="81">
        <f>IF($B1410="","",IFERROR(INDEX(Task_Tracker!$AA$5:$AA$1004,MATCH($B1410,Task_Tracker!$A$5:$A$1004,0)),""))</f>
        <v/>
      </c>
      <c r="T1410" s="81">
        <f>IF($B1410="","",IFERROR(INDEX(Task_Tracker!$AB$5:$AB$1004,MATCH($B1410,Task_Tracker!$A$5:$A$1004,0)),""))</f>
        <v/>
      </c>
      <c r="U1410" s="78">
        <f>IF($B1410="","",IFERROR(INDEX(Task_Tracker!$F$5:$F$1004,MATCH($B1410,Task_Tracker!$A$5:$A$1004,0)),""))</f>
        <v/>
      </c>
      <c r="V1410" s="78">
        <f>IF($B1410="","",IFERROR(INDEX(Task_Tracker!$I$5:$I$1004,MATCH($B1410,Task_Tracker!$A$5:$A$1004,0)),""))</f>
        <v/>
      </c>
      <c r="W1410" s="81">
        <f>IF(OR($D1410="",$B1410=""),"",$D1410&amp;" | "&amp;$B1410)</f>
        <v/>
      </c>
      <c r="X1410" s="85">
        <f>IF($K1410="","",TEXT($K1410,"yyyy-mm"))</f>
        <v/>
      </c>
      <c r="Y1410" s="81">
        <f>IF(OR($A1410="",$T1410=""),"","Included in Manager_Report")</f>
        <v/>
      </c>
    </row>
    <row r="1411" ht="15" customHeight="1" s="40">
      <c r="A1411" s="65">
        <f>IF(COUNTA(B1411:G1411)=0,"","STP-"&amp;TEXT(ROW()-4,"0000"))</f>
        <v/>
      </c>
      <c r="B1411" s="78" t="n"/>
      <c r="C1411" s="67">
        <f>IF($B1411="","",IFERROR(INDEX(Task_Tracker!$D$5:$D$1004,MATCH($B1411,Task_Tracker!$A$5:$A$1004,0)),""))</f>
        <v/>
      </c>
      <c r="D1411" s="67">
        <f>IF($B1411="","",IFERROR(INDEX(Task_Tracker!$B$5:$B$1004,MATCH($B1411,Task_Tracker!$A$5:$A$1004,0)),""))</f>
        <v/>
      </c>
      <c r="E1411" s="81" t="n"/>
      <c r="F1411" s="81" t="n"/>
      <c r="G1411" s="78" t="n"/>
      <c r="H1411" s="78" t="n"/>
      <c r="I1411" s="67">
        <f>IF($H1411="","",IFERROR(INDEX(Action_Status_Map!$B$5:$B$11,MATCH($H1411,Action_Status_Map!$A$5:$A$11,0)),""))</f>
        <v/>
      </c>
      <c r="J1411" s="82" t="n"/>
      <c r="K1411" s="82" t="n"/>
      <c r="L1411" s="82" t="n"/>
      <c r="M1411" s="83" t="n"/>
      <c r="N1411" s="83" t="n"/>
      <c r="O1411" s="66">
        <f>IF(OR($M1411="",$N1411=""),"",$N1411-$M1411)</f>
        <v/>
      </c>
      <c r="P1411" s="84">
        <f>IF($J1411="","",IF($L1411&lt;&gt;"",$L1411-$J1411,TODAY()-$J1411))</f>
        <v/>
      </c>
      <c r="Q1411" s="85">
        <f>IF(OR($K1411="",$H1411="Completed",$H1411="Cancelled"),"",IF(AND($K1411&lt;TODAY(),$H1411&lt;&gt;"Completed",$H1411&lt;&gt;"Cancelled"),"Overdue","On Track"))</f>
        <v/>
      </c>
      <c r="R1411" s="81" t="n"/>
      <c r="S1411" s="81">
        <f>IF($B1411="","",IFERROR(INDEX(Task_Tracker!$AA$5:$AA$1004,MATCH($B1411,Task_Tracker!$A$5:$A$1004,0)),""))</f>
        <v/>
      </c>
      <c r="T1411" s="81">
        <f>IF($B1411="","",IFERROR(INDEX(Task_Tracker!$AB$5:$AB$1004,MATCH($B1411,Task_Tracker!$A$5:$A$1004,0)),""))</f>
        <v/>
      </c>
      <c r="U1411" s="78">
        <f>IF($B1411="","",IFERROR(INDEX(Task_Tracker!$F$5:$F$1004,MATCH($B1411,Task_Tracker!$A$5:$A$1004,0)),""))</f>
        <v/>
      </c>
      <c r="V1411" s="78">
        <f>IF($B1411="","",IFERROR(INDEX(Task_Tracker!$I$5:$I$1004,MATCH($B1411,Task_Tracker!$A$5:$A$1004,0)),""))</f>
        <v/>
      </c>
      <c r="W1411" s="81">
        <f>IF(OR($D1411="",$B1411=""),"",$D1411&amp;" | "&amp;$B1411)</f>
        <v/>
      </c>
      <c r="X1411" s="85">
        <f>IF($K1411="","",TEXT($K1411,"yyyy-mm"))</f>
        <v/>
      </c>
      <c r="Y1411" s="81">
        <f>IF(OR($A1411="",$T1411=""),"","Included in Manager_Report")</f>
        <v/>
      </c>
    </row>
    <row r="1412" ht="15" customHeight="1" s="40">
      <c r="A1412" s="65">
        <f>IF(COUNTA(B1412:G1412)=0,"","STP-"&amp;TEXT(ROW()-4,"0000"))</f>
        <v/>
      </c>
      <c r="B1412" s="78" t="n"/>
      <c r="C1412" s="67">
        <f>IF($B1412="","",IFERROR(INDEX(Task_Tracker!$D$5:$D$1004,MATCH($B1412,Task_Tracker!$A$5:$A$1004,0)),""))</f>
        <v/>
      </c>
      <c r="D1412" s="67">
        <f>IF($B1412="","",IFERROR(INDEX(Task_Tracker!$B$5:$B$1004,MATCH($B1412,Task_Tracker!$A$5:$A$1004,0)),""))</f>
        <v/>
      </c>
      <c r="E1412" s="81" t="n"/>
      <c r="F1412" s="81" t="n"/>
      <c r="G1412" s="78" t="n"/>
      <c r="H1412" s="78" t="n"/>
      <c r="I1412" s="67">
        <f>IF($H1412="","",IFERROR(INDEX(Action_Status_Map!$B$5:$B$11,MATCH($H1412,Action_Status_Map!$A$5:$A$11,0)),""))</f>
        <v/>
      </c>
      <c r="J1412" s="82" t="n"/>
      <c r="K1412" s="82" t="n"/>
      <c r="L1412" s="82" t="n"/>
      <c r="M1412" s="83" t="n"/>
      <c r="N1412" s="83" t="n"/>
      <c r="O1412" s="66">
        <f>IF(OR($M1412="",$N1412=""),"",$N1412-$M1412)</f>
        <v/>
      </c>
      <c r="P1412" s="84">
        <f>IF($J1412="","",IF($L1412&lt;&gt;"",$L1412-$J1412,TODAY()-$J1412))</f>
        <v/>
      </c>
      <c r="Q1412" s="85">
        <f>IF(OR($K1412="",$H1412="Completed",$H1412="Cancelled"),"",IF(AND($K1412&lt;TODAY(),$H1412&lt;&gt;"Completed",$H1412&lt;&gt;"Cancelled"),"Overdue","On Track"))</f>
        <v/>
      </c>
      <c r="R1412" s="81" t="n"/>
      <c r="S1412" s="81">
        <f>IF($B1412="","",IFERROR(INDEX(Task_Tracker!$AA$5:$AA$1004,MATCH($B1412,Task_Tracker!$A$5:$A$1004,0)),""))</f>
        <v/>
      </c>
      <c r="T1412" s="81">
        <f>IF($B1412="","",IFERROR(INDEX(Task_Tracker!$AB$5:$AB$1004,MATCH($B1412,Task_Tracker!$A$5:$A$1004,0)),""))</f>
        <v/>
      </c>
      <c r="U1412" s="78">
        <f>IF($B1412="","",IFERROR(INDEX(Task_Tracker!$F$5:$F$1004,MATCH($B1412,Task_Tracker!$A$5:$A$1004,0)),""))</f>
        <v/>
      </c>
      <c r="V1412" s="78">
        <f>IF($B1412="","",IFERROR(INDEX(Task_Tracker!$I$5:$I$1004,MATCH($B1412,Task_Tracker!$A$5:$A$1004,0)),""))</f>
        <v/>
      </c>
      <c r="W1412" s="81">
        <f>IF(OR($D1412="",$B1412=""),"",$D1412&amp;" | "&amp;$B1412)</f>
        <v/>
      </c>
      <c r="X1412" s="85">
        <f>IF($K1412="","",TEXT($K1412,"yyyy-mm"))</f>
        <v/>
      </c>
      <c r="Y1412" s="81">
        <f>IF(OR($A1412="",$T1412=""),"","Included in Manager_Report")</f>
        <v/>
      </c>
    </row>
    <row r="1413" ht="15" customHeight="1" s="40">
      <c r="A1413" s="65">
        <f>IF(COUNTA(B1413:G1413)=0,"","STP-"&amp;TEXT(ROW()-4,"0000"))</f>
        <v/>
      </c>
      <c r="B1413" s="78" t="n"/>
      <c r="C1413" s="67">
        <f>IF($B1413="","",IFERROR(INDEX(Task_Tracker!$D$5:$D$1004,MATCH($B1413,Task_Tracker!$A$5:$A$1004,0)),""))</f>
        <v/>
      </c>
      <c r="D1413" s="67">
        <f>IF($B1413="","",IFERROR(INDEX(Task_Tracker!$B$5:$B$1004,MATCH($B1413,Task_Tracker!$A$5:$A$1004,0)),""))</f>
        <v/>
      </c>
      <c r="E1413" s="81" t="n"/>
      <c r="F1413" s="81" t="n"/>
      <c r="G1413" s="78" t="n"/>
      <c r="H1413" s="78" t="n"/>
      <c r="I1413" s="67">
        <f>IF($H1413="","",IFERROR(INDEX(Action_Status_Map!$B$5:$B$11,MATCH($H1413,Action_Status_Map!$A$5:$A$11,0)),""))</f>
        <v/>
      </c>
      <c r="J1413" s="82" t="n"/>
      <c r="K1413" s="82" t="n"/>
      <c r="L1413" s="82" t="n"/>
      <c r="M1413" s="83" t="n"/>
      <c r="N1413" s="83" t="n"/>
      <c r="O1413" s="66">
        <f>IF(OR($M1413="",$N1413=""),"",$N1413-$M1413)</f>
        <v/>
      </c>
      <c r="P1413" s="84">
        <f>IF($J1413="","",IF($L1413&lt;&gt;"",$L1413-$J1413,TODAY()-$J1413))</f>
        <v/>
      </c>
      <c r="Q1413" s="85">
        <f>IF(OR($K1413="",$H1413="Completed",$H1413="Cancelled"),"",IF(AND($K1413&lt;TODAY(),$H1413&lt;&gt;"Completed",$H1413&lt;&gt;"Cancelled"),"Overdue","On Track"))</f>
        <v/>
      </c>
      <c r="R1413" s="81" t="n"/>
      <c r="S1413" s="81">
        <f>IF($B1413="","",IFERROR(INDEX(Task_Tracker!$AA$5:$AA$1004,MATCH($B1413,Task_Tracker!$A$5:$A$1004,0)),""))</f>
        <v/>
      </c>
      <c r="T1413" s="81">
        <f>IF($B1413="","",IFERROR(INDEX(Task_Tracker!$AB$5:$AB$1004,MATCH($B1413,Task_Tracker!$A$5:$A$1004,0)),""))</f>
        <v/>
      </c>
      <c r="U1413" s="78">
        <f>IF($B1413="","",IFERROR(INDEX(Task_Tracker!$F$5:$F$1004,MATCH($B1413,Task_Tracker!$A$5:$A$1004,0)),""))</f>
        <v/>
      </c>
      <c r="V1413" s="78">
        <f>IF($B1413="","",IFERROR(INDEX(Task_Tracker!$I$5:$I$1004,MATCH($B1413,Task_Tracker!$A$5:$A$1004,0)),""))</f>
        <v/>
      </c>
      <c r="W1413" s="81">
        <f>IF(OR($D1413="",$B1413=""),"",$D1413&amp;" | "&amp;$B1413)</f>
        <v/>
      </c>
      <c r="X1413" s="85">
        <f>IF($K1413="","",TEXT($K1413,"yyyy-mm"))</f>
        <v/>
      </c>
      <c r="Y1413" s="81">
        <f>IF(OR($A1413="",$T1413=""),"","Included in Manager_Report")</f>
        <v/>
      </c>
    </row>
    <row r="1414" ht="15" customHeight="1" s="40">
      <c r="A1414" s="65">
        <f>IF(COUNTA(B1414:G1414)=0,"","STP-"&amp;TEXT(ROW()-4,"0000"))</f>
        <v/>
      </c>
      <c r="B1414" s="78" t="n"/>
      <c r="C1414" s="67">
        <f>IF($B1414="","",IFERROR(INDEX(Task_Tracker!$D$5:$D$1004,MATCH($B1414,Task_Tracker!$A$5:$A$1004,0)),""))</f>
        <v/>
      </c>
      <c r="D1414" s="67">
        <f>IF($B1414="","",IFERROR(INDEX(Task_Tracker!$B$5:$B$1004,MATCH($B1414,Task_Tracker!$A$5:$A$1004,0)),""))</f>
        <v/>
      </c>
      <c r="E1414" s="81" t="n"/>
      <c r="F1414" s="81" t="n"/>
      <c r="G1414" s="78" t="n"/>
      <c r="H1414" s="78" t="n"/>
      <c r="I1414" s="67">
        <f>IF($H1414="","",IFERROR(INDEX(Action_Status_Map!$B$5:$B$11,MATCH($H1414,Action_Status_Map!$A$5:$A$11,0)),""))</f>
        <v/>
      </c>
      <c r="J1414" s="82" t="n"/>
      <c r="K1414" s="82" t="n"/>
      <c r="L1414" s="82" t="n"/>
      <c r="M1414" s="83" t="n"/>
      <c r="N1414" s="83" t="n"/>
      <c r="O1414" s="66">
        <f>IF(OR($M1414="",$N1414=""),"",$N1414-$M1414)</f>
        <v/>
      </c>
      <c r="P1414" s="84">
        <f>IF($J1414="","",IF($L1414&lt;&gt;"",$L1414-$J1414,TODAY()-$J1414))</f>
        <v/>
      </c>
      <c r="Q1414" s="85">
        <f>IF(OR($K1414="",$H1414="Completed",$H1414="Cancelled"),"",IF(AND($K1414&lt;TODAY(),$H1414&lt;&gt;"Completed",$H1414&lt;&gt;"Cancelled"),"Overdue","On Track"))</f>
        <v/>
      </c>
      <c r="R1414" s="81" t="n"/>
      <c r="S1414" s="81">
        <f>IF($B1414="","",IFERROR(INDEX(Task_Tracker!$AA$5:$AA$1004,MATCH($B1414,Task_Tracker!$A$5:$A$1004,0)),""))</f>
        <v/>
      </c>
      <c r="T1414" s="81">
        <f>IF($B1414="","",IFERROR(INDEX(Task_Tracker!$AB$5:$AB$1004,MATCH($B1414,Task_Tracker!$A$5:$A$1004,0)),""))</f>
        <v/>
      </c>
      <c r="U1414" s="78">
        <f>IF($B1414="","",IFERROR(INDEX(Task_Tracker!$F$5:$F$1004,MATCH($B1414,Task_Tracker!$A$5:$A$1004,0)),""))</f>
        <v/>
      </c>
      <c r="V1414" s="78">
        <f>IF($B1414="","",IFERROR(INDEX(Task_Tracker!$I$5:$I$1004,MATCH($B1414,Task_Tracker!$A$5:$A$1004,0)),""))</f>
        <v/>
      </c>
      <c r="W1414" s="81">
        <f>IF(OR($D1414="",$B1414=""),"",$D1414&amp;" | "&amp;$B1414)</f>
        <v/>
      </c>
      <c r="X1414" s="85">
        <f>IF($K1414="","",TEXT($K1414,"yyyy-mm"))</f>
        <v/>
      </c>
      <c r="Y1414" s="81">
        <f>IF(OR($A1414="",$T1414=""),"","Included in Manager_Report")</f>
        <v/>
      </c>
    </row>
    <row r="1415" ht="15" customHeight="1" s="40">
      <c r="A1415" s="65">
        <f>IF(COUNTA(B1415:G1415)=0,"","STP-"&amp;TEXT(ROW()-4,"0000"))</f>
        <v/>
      </c>
      <c r="B1415" s="78" t="n"/>
      <c r="C1415" s="67">
        <f>IF($B1415="","",IFERROR(INDEX(Task_Tracker!$D$5:$D$1004,MATCH($B1415,Task_Tracker!$A$5:$A$1004,0)),""))</f>
        <v/>
      </c>
      <c r="D1415" s="67">
        <f>IF($B1415="","",IFERROR(INDEX(Task_Tracker!$B$5:$B$1004,MATCH($B1415,Task_Tracker!$A$5:$A$1004,0)),""))</f>
        <v/>
      </c>
      <c r="E1415" s="81" t="n"/>
      <c r="F1415" s="81" t="n"/>
      <c r="G1415" s="78" t="n"/>
      <c r="H1415" s="78" t="n"/>
      <c r="I1415" s="67">
        <f>IF($H1415="","",IFERROR(INDEX(Action_Status_Map!$B$5:$B$11,MATCH($H1415,Action_Status_Map!$A$5:$A$11,0)),""))</f>
        <v/>
      </c>
      <c r="J1415" s="82" t="n"/>
      <c r="K1415" s="82" t="n"/>
      <c r="L1415" s="82" t="n"/>
      <c r="M1415" s="83" t="n"/>
      <c r="N1415" s="83" t="n"/>
      <c r="O1415" s="66">
        <f>IF(OR($M1415="",$N1415=""),"",$N1415-$M1415)</f>
        <v/>
      </c>
      <c r="P1415" s="84">
        <f>IF($J1415="","",IF($L1415&lt;&gt;"",$L1415-$J1415,TODAY()-$J1415))</f>
        <v/>
      </c>
      <c r="Q1415" s="85">
        <f>IF(OR($K1415="",$H1415="Completed",$H1415="Cancelled"),"",IF(AND($K1415&lt;TODAY(),$H1415&lt;&gt;"Completed",$H1415&lt;&gt;"Cancelled"),"Overdue","On Track"))</f>
        <v/>
      </c>
      <c r="R1415" s="81" t="n"/>
      <c r="S1415" s="81">
        <f>IF($B1415="","",IFERROR(INDEX(Task_Tracker!$AA$5:$AA$1004,MATCH($B1415,Task_Tracker!$A$5:$A$1004,0)),""))</f>
        <v/>
      </c>
      <c r="T1415" s="81">
        <f>IF($B1415="","",IFERROR(INDEX(Task_Tracker!$AB$5:$AB$1004,MATCH($B1415,Task_Tracker!$A$5:$A$1004,0)),""))</f>
        <v/>
      </c>
      <c r="U1415" s="78">
        <f>IF($B1415="","",IFERROR(INDEX(Task_Tracker!$F$5:$F$1004,MATCH($B1415,Task_Tracker!$A$5:$A$1004,0)),""))</f>
        <v/>
      </c>
      <c r="V1415" s="78">
        <f>IF($B1415="","",IFERROR(INDEX(Task_Tracker!$I$5:$I$1004,MATCH($B1415,Task_Tracker!$A$5:$A$1004,0)),""))</f>
        <v/>
      </c>
      <c r="W1415" s="81">
        <f>IF(OR($D1415="",$B1415=""),"",$D1415&amp;" | "&amp;$B1415)</f>
        <v/>
      </c>
      <c r="X1415" s="85">
        <f>IF($K1415="","",TEXT($K1415,"yyyy-mm"))</f>
        <v/>
      </c>
      <c r="Y1415" s="81">
        <f>IF(OR($A1415="",$T1415=""),"","Included in Manager_Report")</f>
        <v/>
      </c>
    </row>
    <row r="1416" ht="15" customHeight="1" s="40">
      <c r="A1416" s="65">
        <f>IF(COUNTA(B1416:G1416)=0,"","STP-"&amp;TEXT(ROW()-4,"0000"))</f>
        <v/>
      </c>
      <c r="B1416" s="78" t="n"/>
      <c r="C1416" s="67">
        <f>IF($B1416="","",IFERROR(INDEX(Task_Tracker!$D$5:$D$1004,MATCH($B1416,Task_Tracker!$A$5:$A$1004,0)),""))</f>
        <v/>
      </c>
      <c r="D1416" s="67">
        <f>IF($B1416="","",IFERROR(INDEX(Task_Tracker!$B$5:$B$1004,MATCH($B1416,Task_Tracker!$A$5:$A$1004,0)),""))</f>
        <v/>
      </c>
      <c r="E1416" s="81" t="n"/>
      <c r="F1416" s="81" t="n"/>
      <c r="G1416" s="78" t="n"/>
      <c r="H1416" s="78" t="n"/>
      <c r="I1416" s="67">
        <f>IF($H1416="","",IFERROR(INDEX(Action_Status_Map!$B$5:$B$11,MATCH($H1416,Action_Status_Map!$A$5:$A$11,0)),""))</f>
        <v/>
      </c>
      <c r="J1416" s="82" t="n"/>
      <c r="K1416" s="82" t="n"/>
      <c r="L1416" s="82" t="n"/>
      <c r="M1416" s="83" t="n"/>
      <c r="N1416" s="83" t="n"/>
      <c r="O1416" s="66">
        <f>IF(OR($M1416="",$N1416=""),"",$N1416-$M1416)</f>
        <v/>
      </c>
      <c r="P1416" s="84">
        <f>IF($J1416="","",IF($L1416&lt;&gt;"",$L1416-$J1416,TODAY()-$J1416))</f>
        <v/>
      </c>
      <c r="Q1416" s="85">
        <f>IF(OR($K1416="",$H1416="Completed",$H1416="Cancelled"),"",IF(AND($K1416&lt;TODAY(),$H1416&lt;&gt;"Completed",$H1416&lt;&gt;"Cancelled"),"Overdue","On Track"))</f>
        <v/>
      </c>
      <c r="R1416" s="81" t="n"/>
      <c r="S1416" s="81">
        <f>IF($B1416="","",IFERROR(INDEX(Task_Tracker!$AA$5:$AA$1004,MATCH($B1416,Task_Tracker!$A$5:$A$1004,0)),""))</f>
        <v/>
      </c>
      <c r="T1416" s="81">
        <f>IF($B1416="","",IFERROR(INDEX(Task_Tracker!$AB$5:$AB$1004,MATCH($B1416,Task_Tracker!$A$5:$A$1004,0)),""))</f>
        <v/>
      </c>
      <c r="U1416" s="78">
        <f>IF($B1416="","",IFERROR(INDEX(Task_Tracker!$F$5:$F$1004,MATCH($B1416,Task_Tracker!$A$5:$A$1004,0)),""))</f>
        <v/>
      </c>
      <c r="V1416" s="78">
        <f>IF($B1416="","",IFERROR(INDEX(Task_Tracker!$I$5:$I$1004,MATCH($B1416,Task_Tracker!$A$5:$A$1004,0)),""))</f>
        <v/>
      </c>
      <c r="W1416" s="81">
        <f>IF(OR($D1416="",$B1416=""),"",$D1416&amp;" | "&amp;$B1416)</f>
        <v/>
      </c>
      <c r="X1416" s="85">
        <f>IF($K1416="","",TEXT($K1416,"yyyy-mm"))</f>
        <v/>
      </c>
      <c r="Y1416" s="81">
        <f>IF(OR($A1416="",$T1416=""),"","Included in Manager_Report")</f>
        <v/>
      </c>
    </row>
    <row r="1417" ht="15" customHeight="1" s="40">
      <c r="A1417" s="65">
        <f>IF(COUNTA(B1417:G1417)=0,"","STP-"&amp;TEXT(ROW()-4,"0000"))</f>
        <v/>
      </c>
      <c r="B1417" s="78" t="n"/>
      <c r="C1417" s="67">
        <f>IF($B1417="","",IFERROR(INDEX(Task_Tracker!$D$5:$D$1004,MATCH($B1417,Task_Tracker!$A$5:$A$1004,0)),""))</f>
        <v/>
      </c>
      <c r="D1417" s="67">
        <f>IF($B1417="","",IFERROR(INDEX(Task_Tracker!$B$5:$B$1004,MATCH($B1417,Task_Tracker!$A$5:$A$1004,0)),""))</f>
        <v/>
      </c>
      <c r="E1417" s="81" t="n"/>
      <c r="F1417" s="81" t="n"/>
      <c r="G1417" s="78" t="n"/>
      <c r="H1417" s="78" t="n"/>
      <c r="I1417" s="67">
        <f>IF($H1417="","",IFERROR(INDEX(Action_Status_Map!$B$5:$B$11,MATCH($H1417,Action_Status_Map!$A$5:$A$11,0)),""))</f>
        <v/>
      </c>
      <c r="J1417" s="82" t="n"/>
      <c r="K1417" s="82" t="n"/>
      <c r="L1417" s="82" t="n"/>
      <c r="M1417" s="83" t="n"/>
      <c r="N1417" s="83" t="n"/>
      <c r="O1417" s="66">
        <f>IF(OR($M1417="",$N1417=""),"",$N1417-$M1417)</f>
        <v/>
      </c>
      <c r="P1417" s="84">
        <f>IF($J1417="","",IF($L1417&lt;&gt;"",$L1417-$J1417,TODAY()-$J1417))</f>
        <v/>
      </c>
      <c r="Q1417" s="85">
        <f>IF(OR($K1417="",$H1417="Completed",$H1417="Cancelled"),"",IF(AND($K1417&lt;TODAY(),$H1417&lt;&gt;"Completed",$H1417&lt;&gt;"Cancelled"),"Overdue","On Track"))</f>
        <v/>
      </c>
      <c r="R1417" s="81" t="n"/>
      <c r="S1417" s="81">
        <f>IF($B1417="","",IFERROR(INDEX(Task_Tracker!$AA$5:$AA$1004,MATCH($B1417,Task_Tracker!$A$5:$A$1004,0)),""))</f>
        <v/>
      </c>
      <c r="T1417" s="81">
        <f>IF($B1417="","",IFERROR(INDEX(Task_Tracker!$AB$5:$AB$1004,MATCH($B1417,Task_Tracker!$A$5:$A$1004,0)),""))</f>
        <v/>
      </c>
      <c r="U1417" s="78">
        <f>IF($B1417="","",IFERROR(INDEX(Task_Tracker!$F$5:$F$1004,MATCH($B1417,Task_Tracker!$A$5:$A$1004,0)),""))</f>
        <v/>
      </c>
      <c r="V1417" s="78">
        <f>IF($B1417="","",IFERROR(INDEX(Task_Tracker!$I$5:$I$1004,MATCH($B1417,Task_Tracker!$A$5:$A$1004,0)),""))</f>
        <v/>
      </c>
      <c r="W1417" s="81">
        <f>IF(OR($D1417="",$B1417=""),"",$D1417&amp;" | "&amp;$B1417)</f>
        <v/>
      </c>
      <c r="X1417" s="85">
        <f>IF($K1417="","",TEXT($K1417,"yyyy-mm"))</f>
        <v/>
      </c>
      <c r="Y1417" s="81">
        <f>IF(OR($A1417="",$T1417=""),"","Included in Manager_Report")</f>
        <v/>
      </c>
    </row>
    <row r="1418" ht="15" customHeight="1" s="40">
      <c r="A1418" s="65">
        <f>IF(COUNTA(B1418:G1418)=0,"","STP-"&amp;TEXT(ROW()-4,"0000"))</f>
        <v/>
      </c>
      <c r="B1418" s="78" t="n"/>
      <c r="C1418" s="67">
        <f>IF($B1418="","",IFERROR(INDEX(Task_Tracker!$D$5:$D$1004,MATCH($B1418,Task_Tracker!$A$5:$A$1004,0)),""))</f>
        <v/>
      </c>
      <c r="D1418" s="67">
        <f>IF($B1418="","",IFERROR(INDEX(Task_Tracker!$B$5:$B$1004,MATCH($B1418,Task_Tracker!$A$5:$A$1004,0)),""))</f>
        <v/>
      </c>
      <c r="E1418" s="81" t="n"/>
      <c r="F1418" s="81" t="n"/>
      <c r="G1418" s="78" t="n"/>
      <c r="H1418" s="78" t="n"/>
      <c r="I1418" s="67">
        <f>IF($H1418="","",IFERROR(INDEX(Action_Status_Map!$B$5:$B$11,MATCH($H1418,Action_Status_Map!$A$5:$A$11,0)),""))</f>
        <v/>
      </c>
      <c r="J1418" s="82" t="n"/>
      <c r="K1418" s="82" t="n"/>
      <c r="L1418" s="82" t="n"/>
      <c r="M1418" s="83" t="n"/>
      <c r="N1418" s="83" t="n"/>
      <c r="O1418" s="66">
        <f>IF(OR($M1418="",$N1418=""),"",$N1418-$M1418)</f>
        <v/>
      </c>
      <c r="P1418" s="84">
        <f>IF($J1418="","",IF($L1418&lt;&gt;"",$L1418-$J1418,TODAY()-$J1418))</f>
        <v/>
      </c>
      <c r="Q1418" s="85">
        <f>IF(OR($K1418="",$H1418="Completed",$H1418="Cancelled"),"",IF(AND($K1418&lt;TODAY(),$H1418&lt;&gt;"Completed",$H1418&lt;&gt;"Cancelled"),"Overdue","On Track"))</f>
        <v/>
      </c>
      <c r="R1418" s="81" t="n"/>
      <c r="S1418" s="81">
        <f>IF($B1418="","",IFERROR(INDEX(Task_Tracker!$AA$5:$AA$1004,MATCH($B1418,Task_Tracker!$A$5:$A$1004,0)),""))</f>
        <v/>
      </c>
      <c r="T1418" s="81">
        <f>IF($B1418="","",IFERROR(INDEX(Task_Tracker!$AB$5:$AB$1004,MATCH($B1418,Task_Tracker!$A$5:$A$1004,0)),""))</f>
        <v/>
      </c>
      <c r="U1418" s="78">
        <f>IF($B1418="","",IFERROR(INDEX(Task_Tracker!$F$5:$F$1004,MATCH($B1418,Task_Tracker!$A$5:$A$1004,0)),""))</f>
        <v/>
      </c>
      <c r="V1418" s="78">
        <f>IF($B1418="","",IFERROR(INDEX(Task_Tracker!$I$5:$I$1004,MATCH($B1418,Task_Tracker!$A$5:$A$1004,0)),""))</f>
        <v/>
      </c>
      <c r="W1418" s="81">
        <f>IF(OR($D1418="",$B1418=""),"",$D1418&amp;" | "&amp;$B1418)</f>
        <v/>
      </c>
      <c r="X1418" s="85">
        <f>IF($K1418="","",TEXT($K1418,"yyyy-mm"))</f>
        <v/>
      </c>
      <c r="Y1418" s="81">
        <f>IF(OR($A1418="",$T1418=""),"","Included in Manager_Report")</f>
        <v/>
      </c>
    </row>
    <row r="1419" ht="15" customHeight="1" s="40">
      <c r="A1419" s="65">
        <f>IF(COUNTA(B1419:G1419)=0,"","STP-"&amp;TEXT(ROW()-4,"0000"))</f>
        <v/>
      </c>
      <c r="B1419" s="78" t="n"/>
      <c r="C1419" s="67">
        <f>IF($B1419="","",IFERROR(INDEX(Task_Tracker!$D$5:$D$1004,MATCH($B1419,Task_Tracker!$A$5:$A$1004,0)),""))</f>
        <v/>
      </c>
      <c r="D1419" s="67">
        <f>IF($B1419="","",IFERROR(INDEX(Task_Tracker!$B$5:$B$1004,MATCH($B1419,Task_Tracker!$A$5:$A$1004,0)),""))</f>
        <v/>
      </c>
      <c r="E1419" s="81" t="n"/>
      <c r="F1419" s="81" t="n"/>
      <c r="G1419" s="78" t="n"/>
      <c r="H1419" s="78" t="n"/>
      <c r="I1419" s="67">
        <f>IF($H1419="","",IFERROR(INDEX(Action_Status_Map!$B$5:$B$11,MATCH($H1419,Action_Status_Map!$A$5:$A$11,0)),""))</f>
        <v/>
      </c>
      <c r="J1419" s="82" t="n"/>
      <c r="K1419" s="82" t="n"/>
      <c r="L1419" s="82" t="n"/>
      <c r="M1419" s="83" t="n"/>
      <c r="N1419" s="83" t="n"/>
      <c r="O1419" s="66">
        <f>IF(OR($M1419="",$N1419=""),"",$N1419-$M1419)</f>
        <v/>
      </c>
      <c r="P1419" s="84">
        <f>IF($J1419="","",IF($L1419&lt;&gt;"",$L1419-$J1419,TODAY()-$J1419))</f>
        <v/>
      </c>
      <c r="Q1419" s="85">
        <f>IF(OR($K1419="",$H1419="Completed",$H1419="Cancelled"),"",IF(AND($K1419&lt;TODAY(),$H1419&lt;&gt;"Completed",$H1419&lt;&gt;"Cancelled"),"Overdue","On Track"))</f>
        <v/>
      </c>
      <c r="R1419" s="81" t="n"/>
      <c r="S1419" s="81">
        <f>IF($B1419="","",IFERROR(INDEX(Task_Tracker!$AA$5:$AA$1004,MATCH($B1419,Task_Tracker!$A$5:$A$1004,0)),""))</f>
        <v/>
      </c>
      <c r="T1419" s="81">
        <f>IF($B1419="","",IFERROR(INDEX(Task_Tracker!$AB$5:$AB$1004,MATCH($B1419,Task_Tracker!$A$5:$A$1004,0)),""))</f>
        <v/>
      </c>
      <c r="U1419" s="78">
        <f>IF($B1419="","",IFERROR(INDEX(Task_Tracker!$F$5:$F$1004,MATCH($B1419,Task_Tracker!$A$5:$A$1004,0)),""))</f>
        <v/>
      </c>
      <c r="V1419" s="78">
        <f>IF($B1419="","",IFERROR(INDEX(Task_Tracker!$I$5:$I$1004,MATCH($B1419,Task_Tracker!$A$5:$A$1004,0)),""))</f>
        <v/>
      </c>
      <c r="W1419" s="81">
        <f>IF(OR($D1419="",$B1419=""),"",$D1419&amp;" | "&amp;$B1419)</f>
        <v/>
      </c>
      <c r="X1419" s="85">
        <f>IF($K1419="","",TEXT($K1419,"yyyy-mm"))</f>
        <v/>
      </c>
      <c r="Y1419" s="81">
        <f>IF(OR($A1419="",$T1419=""),"","Included in Manager_Report")</f>
        <v/>
      </c>
    </row>
    <row r="1420" ht="15" customHeight="1" s="40">
      <c r="A1420" s="65">
        <f>IF(COUNTA(B1420:G1420)=0,"","STP-"&amp;TEXT(ROW()-4,"0000"))</f>
        <v/>
      </c>
      <c r="B1420" s="78" t="n"/>
      <c r="C1420" s="67">
        <f>IF($B1420="","",IFERROR(INDEX(Task_Tracker!$D$5:$D$1004,MATCH($B1420,Task_Tracker!$A$5:$A$1004,0)),""))</f>
        <v/>
      </c>
      <c r="D1420" s="67">
        <f>IF($B1420="","",IFERROR(INDEX(Task_Tracker!$B$5:$B$1004,MATCH($B1420,Task_Tracker!$A$5:$A$1004,0)),""))</f>
        <v/>
      </c>
      <c r="E1420" s="81" t="n"/>
      <c r="F1420" s="81" t="n"/>
      <c r="G1420" s="78" t="n"/>
      <c r="H1420" s="78" t="n"/>
      <c r="I1420" s="67">
        <f>IF($H1420="","",IFERROR(INDEX(Action_Status_Map!$B$5:$B$11,MATCH($H1420,Action_Status_Map!$A$5:$A$11,0)),""))</f>
        <v/>
      </c>
      <c r="J1420" s="82" t="n"/>
      <c r="K1420" s="82" t="n"/>
      <c r="L1420" s="82" t="n"/>
      <c r="M1420" s="83" t="n"/>
      <c r="N1420" s="83" t="n"/>
      <c r="O1420" s="66">
        <f>IF(OR($M1420="",$N1420=""),"",$N1420-$M1420)</f>
        <v/>
      </c>
      <c r="P1420" s="84">
        <f>IF($J1420="","",IF($L1420&lt;&gt;"",$L1420-$J1420,TODAY()-$J1420))</f>
        <v/>
      </c>
      <c r="Q1420" s="85">
        <f>IF(OR($K1420="",$H1420="Completed",$H1420="Cancelled"),"",IF(AND($K1420&lt;TODAY(),$H1420&lt;&gt;"Completed",$H1420&lt;&gt;"Cancelled"),"Overdue","On Track"))</f>
        <v/>
      </c>
      <c r="R1420" s="81" t="n"/>
      <c r="S1420" s="81">
        <f>IF($B1420="","",IFERROR(INDEX(Task_Tracker!$AA$5:$AA$1004,MATCH($B1420,Task_Tracker!$A$5:$A$1004,0)),""))</f>
        <v/>
      </c>
      <c r="T1420" s="81">
        <f>IF($B1420="","",IFERROR(INDEX(Task_Tracker!$AB$5:$AB$1004,MATCH($B1420,Task_Tracker!$A$5:$A$1004,0)),""))</f>
        <v/>
      </c>
      <c r="U1420" s="78">
        <f>IF($B1420="","",IFERROR(INDEX(Task_Tracker!$F$5:$F$1004,MATCH($B1420,Task_Tracker!$A$5:$A$1004,0)),""))</f>
        <v/>
      </c>
      <c r="V1420" s="78">
        <f>IF($B1420="","",IFERROR(INDEX(Task_Tracker!$I$5:$I$1004,MATCH($B1420,Task_Tracker!$A$5:$A$1004,0)),""))</f>
        <v/>
      </c>
      <c r="W1420" s="81">
        <f>IF(OR($D1420="",$B1420=""),"",$D1420&amp;" | "&amp;$B1420)</f>
        <v/>
      </c>
      <c r="X1420" s="85">
        <f>IF($K1420="","",TEXT($K1420,"yyyy-mm"))</f>
        <v/>
      </c>
      <c r="Y1420" s="81">
        <f>IF(OR($A1420="",$T1420=""),"","Included in Manager_Report")</f>
        <v/>
      </c>
    </row>
    <row r="1421" ht="15" customHeight="1" s="40">
      <c r="A1421" s="65">
        <f>IF(COUNTA(B1421:G1421)=0,"","STP-"&amp;TEXT(ROW()-4,"0000"))</f>
        <v/>
      </c>
      <c r="B1421" s="78" t="n"/>
      <c r="C1421" s="67">
        <f>IF($B1421="","",IFERROR(INDEX(Task_Tracker!$D$5:$D$1004,MATCH($B1421,Task_Tracker!$A$5:$A$1004,0)),""))</f>
        <v/>
      </c>
      <c r="D1421" s="67">
        <f>IF($B1421="","",IFERROR(INDEX(Task_Tracker!$B$5:$B$1004,MATCH($B1421,Task_Tracker!$A$5:$A$1004,0)),""))</f>
        <v/>
      </c>
      <c r="E1421" s="81" t="n"/>
      <c r="F1421" s="81" t="n"/>
      <c r="G1421" s="78" t="n"/>
      <c r="H1421" s="78" t="n"/>
      <c r="I1421" s="67">
        <f>IF($H1421="","",IFERROR(INDEX(Action_Status_Map!$B$5:$B$11,MATCH($H1421,Action_Status_Map!$A$5:$A$11,0)),""))</f>
        <v/>
      </c>
      <c r="J1421" s="82" t="n"/>
      <c r="K1421" s="82" t="n"/>
      <c r="L1421" s="82" t="n"/>
      <c r="M1421" s="83" t="n"/>
      <c r="N1421" s="83" t="n"/>
      <c r="O1421" s="66">
        <f>IF(OR($M1421="",$N1421=""),"",$N1421-$M1421)</f>
        <v/>
      </c>
      <c r="P1421" s="84">
        <f>IF($J1421="","",IF($L1421&lt;&gt;"",$L1421-$J1421,TODAY()-$J1421))</f>
        <v/>
      </c>
      <c r="Q1421" s="85">
        <f>IF(OR($K1421="",$H1421="Completed",$H1421="Cancelled"),"",IF(AND($K1421&lt;TODAY(),$H1421&lt;&gt;"Completed",$H1421&lt;&gt;"Cancelled"),"Overdue","On Track"))</f>
        <v/>
      </c>
      <c r="R1421" s="81" t="n"/>
      <c r="S1421" s="81">
        <f>IF($B1421="","",IFERROR(INDEX(Task_Tracker!$AA$5:$AA$1004,MATCH($B1421,Task_Tracker!$A$5:$A$1004,0)),""))</f>
        <v/>
      </c>
      <c r="T1421" s="81">
        <f>IF($B1421="","",IFERROR(INDEX(Task_Tracker!$AB$5:$AB$1004,MATCH($B1421,Task_Tracker!$A$5:$A$1004,0)),""))</f>
        <v/>
      </c>
      <c r="U1421" s="78">
        <f>IF($B1421="","",IFERROR(INDEX(Task_Tracker!$F$5:$F$1004,MATCH($B1421,Task_Tracker!$A$5:$A$1004,0)),""))</f>
        <v/>
      </c>
      <c r="V1421" s="78">
        <f>IF($B1421="","",IFERROR(INDEX(Task_Tracker!$I$5:$I$1004,MATCH($B1421,Task_Tracker!$A$5:$A$1004,0)),""))</f>
        <v/>
      </c>
      <c r="W1421" s="81">
        <f>IF(OR($D1421="",$B1421=""),"",$D1421&amp;" | "&amp;$B1421)</f>
        <v/>
      </c>
      <c r="X1421" s="85">
        <f>IF($K1421="","",TEXT($K1421,"yyyy-mm"))</f>
        <v/>
      </c>
      <c r="Y1421" s="81">
        <f>IF(OR($A1421="",$T1421=""),"","Included in Manager_Report")</f>
        <v/>
      </c>
    </row>
    <row r="1422" ht="15" customHeight="1" s="40">
      <c r="A1422" s="65">
        <f>IF(COUNTA(B1422:G1422)=0,"","STP-"&amp;TEXT(ROW()-4,"0000"))</f>
        <v/>
      </c>
      <c r="B1422" s="78" t="n"/>
      <c r="C1422" s="67">
        <f>IF($B1422="","",IFERROR(INDEX(Task_Tracker!$D$5:$D$1004,MATCH($B1422,Task_Tracker!$A$5:$A$1004,0)),""))</f>
        <v/>
      </c>
      <c r="D1422" s="67">
        <f>IF($B1422="","",IFERROR(INDEX(Task_Tracker!$B$5:$B$1004,MATCH($B1422,Task_Tracker!$A$5:$A$1004,0)),""))</f>
        <v/>
      </c>
      <c r="E1422" s="81" t="n"/>
      <c r="F1422" s="81" t="n"/>
      <c r="G1422" s="78" t="n"/>
      <c r="H1422" s="78" t="n"/>
      <c r="I1422" s="67">
        <f>IF($H1422="","",IFERROR(INDEX(Action_Status_Map!$B$5:$B$11,MATCH($H1422,Action_Status_Map!$A$5:$A$11,0)),""))</f>
        <v/>
      </c>
      <c r="J1422" s="82" t="n"/>
      <c r="K1422" s="82" t="n"/>
      <c r="L1422" s="82" t="n"/>
      <c r="M1422" s="83" t="n"/>
      <c r="N1422" s="83" t="n"/>
      <c r="O1422" s="66">
        <f>IF(OR($M1422="",$N1422=""),"",$N1422-$M1422)</f>
        <v/>
      </c>
      <c r="P1422" s="84">
        <f>IF($J1422="","",IF($L1422&lt;&gt;"",$L1422-$J1422,TODAY()-$J1422))</f>
        <v/>
      </c>
      <c r="Q1422" s="85">
        <f>IF(OR($K1422="",$H1422="Completed",$H1422="Cancelled"),"",IF(AND($K1422&lt;TODAY(),$H1422&lt;&gt;"Completed",$H1422&lt;&gt;"Cancelled"),"Overdue","On Track"))</f>
        <v/>
      </c>
      <c r="R1422" s="81" t="n"/>
      <c r="S1422" s="81">
        <f>IF($B1422="","",IFERROR(INDEX(Task_Tracker!$AA$5:$AA$1004,MATCH($B1422,Task_Tracker!$A$5:$A$1004,0)),""))</f>
        <v/>
      </c>
      <c r="T1422" s="81">
        <f>IF($B1422="","",IFERROR(INDEX(Task_Tracker!$AB$5:$AB$1004,MATCH($B1422,Task_Tracker!$A$5:$A$1004,0)),""))</f>
        <v/>
      </c>
      <c r="U1422" s="78">
        <f>IF($B1422="","",IFERROR(INDEX(Task_Tracker!$F$5:$F$1004,MATCH($B1422,Task_Tracker!$A$5:$A$1004,0)),""))</f>
        <v/>
      </c>
      <c r="V1422" s="78">
        <f>IF($B1422="","",IFERROR(INDEX(Task_Tracker!$I$5:$I$1004,MATCH($B1422,Task_Tracker!$A$5:$A$1004,0)),""))</f>
        <v/>
      </c>
      <c r="W1422" s="81">
        <f>IF(OR($D1422="",$B1422=""),"",$D1422&amp;" | "&amp;$B1422)</f>
        <v/>
      </c>
      <c r="X1422" s="85">
        <f>IF($K1422="","",TEXT($K1422,"yyyy-mm"))</f>
        <v/>
      </c>
      <c r="Y1422" s="81">
        <f>IF(OR($A1422="",$T1422=""),"","Included in Manager_Report")</f>
        <v/>
      </c>
    </row>
    <row r="1423" ht="15" customHeight="1" s="40">
      <c r="A1423" s="65">
        <f>IF(COUNTA(B1423:G1423)=0,"","STP-"&amp;TEXT(ROW()-4,"0000"))</f>
        <v/>
      </c>
      <c r="B1423" s="78" t="n"/>
      <c r="C1423" s="67">
        <f>IF($B1423="","",IFERROR(INDEX(Task_Tracker!$D$5:$D$1004,MATCH($B1423,Task_Tracker!$A$5:$A$1004,0)),""))</f>
        <v/>
      </c>
      <c r="D1423" s="67">
        <f>IF($B1423="","",IFERROR(INDEX(Task_Tracker!$B$5:$B$1004,MATCH($B1423,Task_Tracker!$A$5:$A$1004,0)),""))</f>
        <v/>
      </c>
      <c r="E1423" s="81" t="n"/>
      <c r="F1423" s="81" t="n"/>
      <c r="G1423" s="78" t="n"/>
      <c r="H1423" s="78" t="n"/>
      <c r="I1423" s="67">
        <f>IF($H1423="","",IFERROR(INDEX(Action_Status_Map!$B$5:$B$11,MATCH($H1423,Action_Status_Map!$A$5:$A$11,0)),""))</f>
        <v/>
      </c>
      <c r="J1423" s="82" t="n"/>
      <c r="K1423" s="82" t="n"/>
      <c r="L1423" s="82" t="n"/>
      <c r="M1423" s="83" t="n"/>
      <c r="N1423" s="83" t="n"/>
      <c r="O1423" s="66">
        <f>IF(OR($M1423="",$N1423=""),"",$N1423-$M1423)</f>
        <v/>
      </c>
      <c r="P1423" s="84">
        <f>IF($J1423="","",IF($L1423&lt;&gt;"",$L1423-$J1423,TODAY()-$J1423))</f>
        <v/>
      </c>
      <c r="Q1423" s="85">
        <f>IF(OR($K1423="",$H1423="Completed",$H1423="Cancelled"),"",IF(AND($K1423&lt;TODAY(),$H1423&lt;&gt;"Completed",$H1423&lt;&gt;"Cancelled"),"Overdue","On Track"))</f>
        <v/>
      </c>
      <c r="R1423" s="81" t="n"/>
      <c r="S1423" s="81">
        <f>IF($B1423="","",IFERROR(INDEX(Task_Tracker!$AA$5:$AA$1004,MATCH($B1423,Task_Tracker!$A$5:$A$1004,0)),""))</f>
        <v/>
      </c>
      <c r="T1423" s="81">
        <f>IF($B1423="","",IFERROR(INDEX(Task_Tracker!$AB$5:$AB$1004,MATCH($B1423,Task_Tracker!$A$5:$A$1004,0)),""))</f>
        <v/>
      </c>
      <c r="U1423" s="78">
        <f>IF($B1423="","",IFERROR(INDEX(Task_Tracker!$F$5:$F$1004,MATCH($B1423,Task_Tracker!$A$5:$A$1004,0)),""))</f>
        <v/>
      </c>
      <c r="V1423" s="78">
        <f>IF($B1423="","",IFERROR(INDEX(Task_Tracker!$I$5:$I$1004,MATCH($B1423,Task_Tracker!$A$5:$A$1004,0)),""))</f>
        <v/>
      </c>
      <c r="W1423" s="81">
        <f>IF(OR($D1423="",$B1423=""),"",$D1423&amp;" | "&amp;$B1423)</f>
        <v/>
      </c>
      <c r="X1423" s="85">
        <f>IF($K1423="","",TEXT($K1423,"yyyy-mm"))</f>
        <v/>
      </c>
      <c r="Y1423" s="81">
        <f>IF(OR($A1423="",$T1423=""),"","Included in Manager_Report")</f>
        <v/>
      </c>
    </row>
    <row r="1424" ht="15" customHeight="1" s="40">
      <c r="A1424" s="65">
        <f>IF(COUNTA(B1424:G1424)=0,"","STP-"&amp;TEXT(ROW()-4,"0000"))</f>
        <v/>
      </c>
      <c r="B1424" s="78" t="n"/>
      <c r="C1424" s="67">
        <f>IF($B1424="","",IFERROR(INDEX(Task_Tracker!$D$5:$D$1004,MATCH($B1424,Task_Tracker!$A$5:$A$1004,0)),""))</f>
        <v/>
      </c>
      <c r="D1424" s="67">
        <f>IF($B1424="","",IFERROR(INDEX(Task_Tracker!$B$5:$B$1004,MATCH($B1424,Task_Tracker!$A$5:$A$1004,0)),""))</f>
        <v/>
      </c>
      <c r="E1424" s="81" t="n"/>
      <c r="F1424" s="81" t="n"/>
      <c r="G1424" s="78" t="n"/>
      <c r="H1424" s="78" t="n"/>
      <c r="I1424" s="67">
        <f>IF($H1424="","",IFERROR(INDEX(Action_Status_Map!$B$5:$B$11,MATCH($H1424,Action_Status_Map!$A$5:$A$11,0)),""))</f>
        <v/>
      </c>
      <c r="J1424" s="82" t="n"/>
      <c r="K1424" s="82" t="n"/>
      <c r="L1424" s="82" t="n"/>
      <c r="M1424" s="83" t="n"/>
      <c r="N1424" s="83" t="n"/>
      <c r="O1424" s="66">
        <f>IF(OR($M1424="",$N1424=""),"",$N1424-$M1424)</f>
        <v/>
      </c>
      <c r="P1424" s="84">
        <f>IF($J1424="","",IF($L1424&lt;&gt;"",$L1424-$J1424,TODAY()-$J1424))</f>
        <v/>
      </c>
      <c r="Q1424" s="85">
        <f>IF(OR($K1424="",$H1424="Completed",$H1424="Cancelled"),"",IF(AND($K1424&lt;TODAY(),$H1424&lt;&gt;"Completed",$H1424&lt;&gt;"Cancelled"),"Overdue","On Track"))</f>
        <v/>
      </c>
      <c r="R1424" s="81" t="n"/>
      <c r="S1424" s="81">
        <f>IF($B1424="","",IFERROR(INDEX(Task_Tracker!$AA$5:$AA$1004,MATCH($B1424,Task_Tracker!$A$5:$A$1004,0)),""))</f>
        <v/>
      </c>
      <c r="T1424" s="81">
        <f>IF($B1424="","",IFERROR(INDEX(Task_Tracker!$AB$5:$AB$1004,MATCH($B1424,Task_Tracker!$A$5:$A$1004,0)),""))</f>
        <v/>
      </c>
      <c r="U1424" s="78">
        <f>IF($B1424="","",IFERROR(INDEX(Task_Tracker!$F$5:$F$1004,MATCH($B1424,Task_Tracker!$A$5:$A$1004,0)),""))</f>
        <v/>
      </c>
      <c r="V1424" s="78">
        <f>IF($B1424="","",IFERROR(INDEX(Task_Tracker!$I$5:$I$1004,MATCH($B1424,Task_Tracker!$A$5:$A$1004,0)),""))</f>
        <v/>
      </c>
      <c r="W1424" s="81">
        <f>IF(OR($D1424="",$B1424=""),"",$D1424&amp;" | "&amp;$B1424)</f>
        <v/>
      </c>
      <c r="X1424" s="85">
        <f>IF($K1424="","",TEXT($K1424,"yyyy-mm"))</f>
        <v/>
      </c>
      <c r="Y1424" s="81">
        <f>IF(OR($A1424="",$T1424=""),"","Included in Manager_Report")</f>
        <v/>
      </c>
    </row>
    <row r="1425" ht="15" customHeight="1" s="40">
      <c r="A1425" s="65">
        <f>IF(COUNTA(B1425:G1425)=0,"","STP-"&amp;TEXT(ROW()-4,"0000"))</f>
        <v/>
      </c>
      <c r="B1425" s="78" t="n"/>
      <c r="C1425" s="67">
        <f>IF($B1425="","",IFERROR(INDEX(Task_Tracker!$D$5:$D$1004,MATCH($B1425,Task_Tracker!$A$5:$A$1004,0)),""))</f>
        <v/>
      </c>
      <c r="D1425" s="67">
        <f>IF($B1425="","",IFERROR(INDEX(Task_Tracker!$B$5:$B$1004,MATCH($B1425,Task_Tracker!$A$5:$A$1004,0)),""))</f>
        <v/>
      </c>
      <c r="E1425" s="81" t="n"/>
      <c r="F1425" s="81" t="n"/>
      <c r="G1425" s="78" t="n"/>
      <c r="H1425" s="78" t="n"/>
      <c r="I1425" s="67">
        <f>IF($H1425="","",IFERROR(INDEX(Action_Status_Map!$B$5:$B$11,MATCH($H1425,Action_Status_Map!$A$5:$A$11,0)),""))</f>
        <v/>
      </c>
      <c r="J1425" s="82" t="n"/>
      <c r="K1425" s="82" t="n"/>
      <c r="L1425" s="82" t="n"/>
      <c r="M1425" s="83" t="n"/>
      <c r="N1425" s="83" t="n"/>
      <c r="O1425" s="66">
        <f>IF(OR($M1425="",$N1425=""),"",$N1425-$M1425)</f>
        <v/>
      </c>
      <c r="P1425" s="84">
        <f>IF($J1425="","",IF($L1425&lt;&gt;"",$L1425-$J1425,TODAY()-$J1425))</f>
        <v/>
      </c>
      <c r="Q1425" s="85">
        <f>IF(OR($K1425="",$H1425="Completed",$H1425="Cancelled"),"",IF(AND($K1425&lt;TODAY(),$H1425&lt;&gt;"Completed",$H1425&lt;&gt;"Cancelled"),"Overdue","On Track"))</f>
        <v/>
      </c>
      <c r="R1425" s="81" t="n"/>
      <c r="S1425" s="81">
        <f>IF($B1425="","",IFERROR(INDEX(Task_Tracker!$AA$5:$AA$1004,MATCH($B1425,Task_Tracker!$A$5:$A$1004,0)),""))</f>
        <v/>
      </c>
      <c r="T1425" s="81">
        <f>IF($B1425="","",IFERROR(INDEX(Task_Tracker!$AB$5:$AB$1004,MATCH($B1425,Task_Tracker!$A$5:$A$1004,0)),""))</f>
        <v/>
      </c>
      <c r="U1425" s="78">
        <f>IF($B1425="","",IFERROR(INDEX(Task_Tracker!$F$5:$F$1004,MATCH($B1425,Task_Tracker!$A$5:$A$1004,0)),""))</f>
        <v/>
      </c>
      <c r="V1425" s="78">
        <f>IF($B1425="","",IFERROR(INDEX(Task_Tracker!$I$5:$I$1004,MATCH($B1425,Task_Tracker!$A$5:$A$1004,0)),""))</f>
        <v/>
      </c>
      <c r="W1425" s="81">
        <f>IF(OR($D1425="",$B1425=""),"",$D1425&amp;" | "&amp;$B1425)</f>
        <v/>
      </c>
      <c r="X1425" s="85">
        <f>IF($K1425="","",TEXT($K1425,"yyyy-mm"))</f>
        <v/>
      </c>
      <c r="Y1425" s="81">
        <f>IF(OR($A1425="",$T1425=""),"","Included in Manager_Report")</f>
        <v/>
      </c>
    </row>
    <row r="1426" ht="15" customHeight="1" s="40">
      <c r="A1426" s="65">
        <f>IF(COUNTA(B1426:G1426)=0,"","STP-"&amp;TEXT(ROW()-4,"0000"))</f>
        <v/>
      </c>
      <c r="B1426" s="78" t="n"/>
      <c r="C1426" s="67">
        <f>IF($B1426="","",IFERROR(INDEX(Task_Tracker!$D$5:$D$1004,MATCH($B1426,Task_Tracker!$A$5:$A$1004,0)),""))</f>
        <v/>
      </c>
      <c r="D1426" s="67">
        <f>IF($B1426="","",IFERROR(INDEX(Task_Tracker!$B$5:$B$1004,MATCH($B1426,Task_Tracker!$A$5:$A$1004,0)),""))</f>
        <v/>
      </c>
      <c r="E1426" s="81" t="n"/>
      <c r="F1426" s="81" t="n"/>
      <c r="G1426" s="78" t="n"/>
      <c r="H1426" s="78" t="n"/>
      <c r="I1426" s="67">
        <f>IF($H1426="","",IFERROR(INDEX(Action_Status_Map!$B$5:$B$11,MATCH($H1426,Action_Status_Map!$A$5:$A$11,0)),""))</f>
        <v/>
      </c>
      <c r="J1426" s="82" t="n"/>
      <c r="K1426" s="82" t="n"/>
      <c r="L1426" s="82" t="n"/>
      <c r="M1426" s="83" t="n"/>
      <c r="N1426" s="83" t="n"/>
      <c r="O1426" s="66">
        <f>IF(OR($M1426="",$N1426=""),"",$N1426-$M1426)</f>
        <v/>
      </c>
      <c r="P1426" s="84">
        <f>IF($J1426="","",IF($L1426&lt;&gt;"",$L1426-$J1426,TODAY()-$J1426))</f>
        <v/>
      </c>
      <c r="Q1426" s="85">
        <f>IF(OR($K1426="",$H1426="Completed",$H1426="Cancelled"),"",IF(AND($K1426&lt;TODAY(),$H1426&lt;&gt;"Completed",$H1426&lt;&gt;"Cancelled"),"Overdue","On Track"))</f>
        <v/>
      </c>
      <c r="R1426" s="81" t="n"/>
      <c r="S1426" s="81">
        <f>IF($B1426="","",IFERROR(INDEX(Task_Tracker!$AA$5:$AA$1004,MATCH($B1426,Task_Tracker!$A$5:$A$1004,0)),""))</f>
        <v/>
      </c>
      <c r="T1426" s="81">
        <f>IF($B1426="","",IFERROR(INDEX(Task_Tracker!$AB$5:$AB$1004,MATCH($B1426,Task_Tracker!$A$5:$A$1004,0)),""))</f>
        <v/>
      </c>
      <c r="U1426" s="78">
        <f>IF($B1426="","",IFERROR(INDEX(Task_Tracker!$F$5:$F$1004,MATCH($B1426,Task_Tracker!$A$5:$A$1004,0)),""))</f>
        <v/>
      </c>
      <c r="V1426" s="78">
        <f>IF($B1426="","",IFERROR(INDEX(Task_Tracker!$I$5:$I$1004,MATCH($B1426,Task_Tracker!$A$5:$A$1004,0)),""))</f>
        <v/>
      </c>
      <c r="W1426" s="81">
        <f>IF(OR($D1426="",$B1426=""),"",$D1426&amp;" | "&amp;$B1426)</f>
        <v/>
      </c>
      <c r="X1426" s="85">
        <f>IF($K1426="","",TEXT($K1426,"yyyy-mm"))</f>
        <v/>
      </c>
      <c r="Y1426" s="81">
        <f>IF(OR($A1426="",$T1426=""),"","Included in Manager_Report")</f>
        <v/>
      </c>
    </row>
    <row r="1427" ht="15" customHeight="1" s="40">
      <c r="A1427" s="65">
        <f>IF(COUNTA(B1427:G1427)=0,"","STP-"&amp;TEXT(ROW()-4,"0000"))</f>
        <v/>
      </c>
      <c r="B1427" s="78" t="n"/>
      <c r="C1427" s="67">
        <f>IF($B1427="","",IFERROR(INDEX(Task_Tracker!$D$5:$D$1004,MATCH($B1427,Task_Tracker!$A$5:$A$1004,0)),""))</f>
        <v/>
      </c>
      <c r="D1427" s="67">
        <f>IF($B1427="","",IFERROR(INDEX(Task_Tracker!$B$5:$B$1004,MATCH($B1427,Task_Tracker!$A$5:$A$1004,0)),""))</f>
        <v/>
      </c>
      <c r="E1427" s="81" t="n"/>
      <c r="F1427" s="81" t="n"/>
      <c r="G1427" s="78" t="n"/>
      <c r="H1427" s="78" t="n"/>
      <c r="I1427" s="67">
        <f>IF($H1427="","",IFERROR(INDEX(Action_Status_Map!$B$5:$B$11,MATCH($H1427,Action_Status_Map!$A$5:$A$11,0)),""))</f>
        <v/>
      </c>
      <c r="J1427" s="82" t="n"/>
      <c r="K1427" s="82" t="n"/>
      <c r="L1427" s="82" t="n"/>
      <c r="M1427" s="83" t="n"/>
      <c r="N1427" s="83" t="n"/>
      <c r="O1427" s="66">
        <f>IF(OR($M1427="",$N1427=""),"",$N1427-$M1427)</f>
        <v/>
      </c>
      <c r="P1427" s="84">
        <f>IF($J1427="","",IF($L1427&lt;&gt;"",$L1427-$J1427,TODAY()-$J1427))</f>
        <v/>
      </c>
      <c r="Q1427" s="85">
        <f>IF(OR($K1427="",$H1427="Completed",$H1427="Cancelled"),"",IF(AND($K1427&lt;TODAY(),$H1427&lt;&gt;"Completed",$H1427&lt;&gt;"Cancelled"),"Overdue","On Track"))</f>
        <v/>
      </c>
      <c r="R1427" s="81" t="n"/>
      <c r="S1427" s="81">
        <f>IF($B1427="","",IFERROR(INDEX(Task_Tracker!$AA$5:$AA$1004,MATCH($B1427,Task_Tracker!$A$5:$A$1004,0)),""))</f>
        <v/>
      </c>
      <c r="T1427" s="81">
        <f>IF($B1427="","",IFERROR(INDEX(Task_Tracker!$AB$5:$AB$1004,MATCH($B1427,Task_Tracker!$A$5:$A$1004,0)),""))</f>
        <v/>
      </c>
      <c r="U1427" s="78">
        <f>IF($B1427="","",IFERROR(INDEX(Task_Tracker!$F$5:$F$1004,MATCH($B1427,Task_Tracker!$A$5:$A$1004,0)),""))</f>
        <v/>
      </c>
      <c r="V1427" s="78">
        <f>IF($B1427="","",IFERROR(INDEX(Task_Tracker!$I$5:$I$1004,MATCH($B1427,Task_Tracker!$A$5:$A$1004,0)),""))</f>
        <v/>
      </c>
      <c r="W1427" s="81">
        <f>IF(OR($D1427="",$B1427=""),"",$D1427&amp;" | "&amp;$B1427)</f>
        <v/>
      </c>
      <c r="X1427" s="85">
        <f>IF($K1427="","",TEXT($K1427,"yyyy-mm"))</f>
        <v/>
      </c>
      <c r="Y1427" s="81">
        <f>IF(OR($A1427="",$T1427=""),"","Included in Manager_Report")</f>
        <v/>
      </c>
    </row>
    <row r="1428" ht="15" customHeight="1" s="40">
      <c r="A1428" s="65">
        <f>IF(COUNTA(B1428:G1428)=0,"","STP-"&amp;TEXT(ROW()-4,"0000"))</f>
        <v/>
      </c>
      <c r="B1428" s="78" t="n"/>
      <c r="C1428" s="67">
        <f>IF($B1428="","",IFERROR(INDEX(Task_Tracker!$D$5:$D$1004,MATCH($B1428,Task_Tracker!$A$5:$A$1004,0)),""))</f>
        <v/>
      </c>
      <c r="D1428" s="67">
        <f>IF($B1428="","",IFERROR(INDEX(Task_Tracker!$B$5:$B$1004,MATCH($B1428,Task_Tracker!$A$5:$A$1004,0)),""))</f>
        <v/>
      </c>
      <c r="E1428" s="81" t="n"/>
      <c r="F1428" s="81" t="n"/>
      <c r="G1428" s="78" t="n"/>
      <c r="H1428" s="78" t="n"/>
      <c r="I1428" s="67">
        <f>IF($H1428="","",IFERROR(INDEX(Action_Status_Map!$B$5:$B$11,MATCH($H1428,Action_Status_Map!$A$5:$A$11,0)),""))</f>
        <v/>
      </c>
      <c r="J1428" s="82" t="n"/>
      <c r="K1428" s="82" t="n"/>
      <c r="L1428" s="82" t="n"/>
      <c r="M1428" s="83" t="n"/>
      <c r="N1428" s="83" t="n"/>
      <c r="O1428" s="66">
        <f>IF(OR($M1428="",$N1428=""),"",$N1428-$M1428)</f>
        <v/>
      </c>
      <c r="P1428" s="84">
        <f>IF($J1428="","",IF($L1428&lt;&gt;"",$L1428-$J1428,TODAY()-$J1428))</f>
        <v/>
      </c>
      <c r="Q1428" s="85">
        <f>IF(OR($K1428="",$H1428="Completed",$H1428="Cancelled"),"",IF(AND($K1428&lt;TODAY(),$H1428&lt;&gt;"Completed",$H1428&lt;&gt;"Cancelled"),"Overdue","On Track"))</f>
        <v/>
      </c>
      <c r="R1428" s="81" t="n"/>
      <c r="S1428" s="81">
        <f>IF($B1428="","",IFERROR(INDEX(Task_Tracker!$AA$5:$AA$1004,MATCH($B1428,Task_Tracker!$A$5:$A$1004,0)),""))</f>
        <v/>
      </c>
      <c r="T1428" s="81">
        <f>IF($B1428="","",IFERROR(INDEX(Task_Tracker!$AB$5:$AB$1004,MATCH($B1428,Task_Tracker!$A$5:$A$1004,0)),""))</f>
        <v/>
      </c>
      <c r="U1428" s="78">
        <f>IF($B1428="","",IFERROR(INDEX(Task_Tracker!$F$5:$F$1004,MATCH($B1428,Task_Tracker!$A$5:$A$1004,0)),""))</f>
        <v/>
      </c>
      <c r="V1428" s="78">
        <f>IF($B1428="","",IFERROR(INDEX(Task_Tracker!$I$5:$I$1004,MATCH($B1428,Task_Tracker!$A$5:$A$1004,0)),""))</f>
        <v/>
      </c>
      <c r="W1428" s="81">
        <f>IF(OR($D1428="",$B1428=""),"",$D1428&amp;" | "&amp;$B1428)</f>
        <v/>
      </c>
      <c r="X1428" s="85">
        <f>IF($K1428="","",TEXT($K1428,"yyyy-mm"))</f>
        <v/>
      </c>
      <c r="Y1428" s="81">
        <f>IF(OR($A1428="",$T1428=""),"","Included in Manager_Report")</f>
        <v/>
      </c>
    </row>
    <row r="1429" ht="15" customHeight="1" s="40">
      <c r="A1429" s="65">
        <f>IF(COUNTA(B1429:G1429)=0,"","STP-"&amp;TEXT(ROW()-4,"0000"))</f>
        <v/>
      </c>
      <c r="B1429" s="78" t="n"/>
      <c r="C1429" s="67">
        <f>IF($B1429="","",IFERROR(INDEX(Task_Tracker!$D$5:$D$1004,MATCH($B1429,Task_Tracker!$A$5:$A$1004,0)),""))</f>
        <v/>
      </c>
      <c r="D1429" s="67">
        <f>IF($B1429="","",IFERROR(INDEX(Task_Tracker!$B$5:$B$1004,MATCH($B1429,Task_Tracker!$A$5:$A$1004,0)),""))</f>
        <v/>
      </c>
      <c r="E1429" s="81" t="n"/>
      <c r="F1429" s="81" t="n"/>
      <c r="G1429" s="78" t="n"/>
      <c r="H1429" s="78" t="n"/>
      <c r="I1429" s="67">
        <f>IF($H1429="","",IFERROR(INDEX(Action_Status_Map!$B$5:$B$11,MATCH($H1429,Action_Status_Map!$A$5:$A$11,0)),""))</f>
        <v/>
      </c>
      <c r="J1429" s="82" t="n"/>
      <c r="K1429" s="82" t="n"/>
      <c r="L1429" s="82" t="n"/>
      <c r="M1429" s="83" t="n"/>
      <c r="N1429" s="83" t="n"/>
      <c r="O1429" s="66">
        <f>IF(OR($M1429="",$N1429=""),"",$N1429-$M1429)</f>
        <v/>
      </c>
      <c r="P1429" s="84">
        <f>IF($J1429="","",IF($L1429&lt;&gt;"",$L1429-$J1429,TODAY()-$J1429))</f>
        <v/>
      </c>
      <c r="Q1429" s="85">
        <f>IF(OR($K1429="",$H1429="Completed",$H1429="Cancelled"),"",IF(AND($K1429&lt;TODAY(),$H1429&lt;&gt;"Completed",$H1429&lt;&gt;"Cancelled"),"Overdue","On Track"))</f>
        <v/>
      </c>
      <c r="R1429" s="81" t="n"/>
      <c r="S1429" s="81">
        <f>IF($B1429="","",IFERROR(INDEX(Task_Tracker!$AA$5:$AA$1004,MATCH($B1429,Task_Tracker!$A$5:$A$1004,0)),""))</f>
        <v/>
      </c>
      <c r="T1429" s="81">
        <f>IF($B1429="","",IFERROR(INDEX(Task_Tracker!$AB$5:$AB$1004,MATCH($B1429,Task_Tracker!$A$5:$A$1004,0)),""))</f>
        <v/>
      </c>
      <c r="U1429" s="78">
        <f>IF($B1429="","",IFERROR(INDEX(Task_Tracker!$F$5:$F$1004,MATCH($B1429,Task_Tracker!$A$5:$A$1004,0)),""))</f>
        <v/>
      </c>
      <c r="V1429" s="78">
        <f>IF($B1429="","",IFERROR(INDEX(Task_Tracker!$I$5:$I$1004,MATCH($B1429,Task_Tracker!$A$5:$A$1004,0)),""))</f>
        <v/>
      </c>
      <c r="W1429" s="81">
        <f>IF(OR($D1429="",$B1429=""),"",$D1429&amp;" | "&amp;$B1429)</f>
        <v/>
      </c>
      <c r="X1429" s="85">
        <f>IF($K1429="","",TEXT($K1429,"yyyy-mm"))</f>
        <v/>
      </c>
      <c r="Y1429" s="81">
        <f>IF(OR($A1429="",$T1429=""),"","Included in Manager_Report")</f>
        <v/>
      </c>
    </row>
    <row r="1430" ht="15" customHeight="1" s="40">
      <c r="A1430" s="65">
        <f>IF(COUNTA(B1430:G1430)=0,"","STP-"&amp;TEXT(ROW()-4,"0000"))</f>
        <v/>
      </c>
      <c r="B1430" s="78" t="n"/>
      <c r="C1430" s="67">
        <f>IF($B1430="","",IFERROR(INDEX(Task_Tracker!$D$5:$D$1004,MATCH($B1430,Task_Tracker!$A$5:$A$1004,0)),""))</f>
        <v/>
      </c>
      <c r="D1430" s="67">
        <f>IF($B1430="","",IFERROR(INDEX(Task_Tracker!$B$5:$B$1004,MATCH($B1430,Task_Tracker!$A$5:$A$1004,0)),""))</f>
        <v/>
      </c>
      <c r="E1430" s="81" t="n"/>
      <c r="F1430" s="81" t="n"/>
      <c r="G1430" s="78" t="n"/>
      <c r="H1430" s="78" t="n"/>
      <c r="I1430" s="67">
        <f>IF($H1430="","",IFERROR(INDEX(Action_Status_Map!$B$5:$B$11,MATCH($H1430,Action_Status_Map!$A$5:$A$11,0)),""))</f>
        <v/>
      </c>
      <c r="J1430" s="82" t="n"/>
      <c r="K1430" s="82" t="n"/>
      <c r="L1430" s="82" t="n"/>
      <c r="M1430" s="83" t="n"/>
      <c r="N1430" s="83" t="n"/>
      <c r="O1430" s="66">
        <f>IF(OR($M1430="",$N1430=""),"",$N1430-$M1430)</f>
        <v/>
      </c>
      <c r="P1430" s="84">
        <f>IF($J1430="","",IF($L1430&lt;&gt;"",$L1430-$J1430,TODAY()-$J1430))</f>
        <v/>
      </c>
      <c r="Q1430" s="85">
        <f>IF(OR($K1430="",$H1430="Completed",$H1430="Cancelled"),"",IF(AND($K1430&lt;TODAY(),$H1430&lt;&gt;"Completed",$H1430&lt;&gt;"Cancelled"),"Overdue","On Track"))</f>
        <v/>
      </c>
      <c r="R1430" s="81" t="n"/>
      <c r="S1430" s="81">
        <f>IF($B1430="","",IFERROR(INDEX(Task_Tracker!$AA$5:$AA$1004,MATCH($B1430,Task_Tracker!$A$5:$A$1004,0)),""))</f>
        <v/>
      </c>
      <c r="T1430" s="81">
        <f>IF($B1430="","",IFERROR(INDEX(Task_Tracker!$AB$5:$AB$1004,MATCH($B1430,Task_Tracker!$A$5:$A$1004,0)),""))</f>
        <v/>
      </c>
      <c r="U1430" s="78">
        <f>IF($B1430="","",IFERROR(INDEX(Task_Tracker!$F$5:$F$1004,MATCH($B1430,Task_Tracker!$A$5:$A$1004,0)),""))</f>
        <v/>
      </c>
      <c r="V1430" s="78">
        <f>IF($B1430="","",IFERROR(INDEX(Task_Tracker!$I$5:$I$1004,MATCH($B1430,Task_Tracker!$A$5:$A$1004,0)),""))</f>
        <v/>
      </c>
      <c r="W1430" s="81">
        <f>IF(OR($D1430="",$B1430=""),"",$D1430&amp;" | "&amp;$B1430)</f>
        <v/>
      </c>
      <c r="X1430" s="85">
        <f>IF($K1430="","",TEXT($K1430,"yyyy-mm"))</f>
        <v/>
      </c>
      <c r="Y1430" s="81">
        <f>IF(OR($A1430="",$T1430=""),"","Included in Manager_Report")</f>
        <v/>
      </c>
    </row>
    <row r="1431" ht="15" customHeight="1" s="40">
      <c r="A1431" s="65">
        <f>IF(COUNTA(B1431:G1431)=0,"","STP-"&amp;TEXT(ROW()-4,"0000"))</f>
        <v/>
      </c>
      <c r="B1431" s="78" t="n"/>
      <c r="C1431" s="67">
        <f>IF($B1431="","",IFERROR(INDEX(Task_Tracker!$D$5:$D$1004,MATCH($B1431,Task_Tracker!$A$5:$A$1004,0)),""))</f>
        <v/>
      </c>
      <c r="D1431" s="67">
        <f>IF($B1431="","",IFERROR(INDEX(Task_Tracker!$B$5:$B$1004,MATCH($B1431,Task_Tracker!$A$5:$A$1004,0)),""))</f>
        <v/>
      </c>
      <c r="E1431" s="81" t="n"/>
      <c r="F1431" s="81" t="n"/>
      <c r="G1431" s="78" t="n"/>
      <c r="H1431" s="78" t="n"/>
      <c r="I1431" s="67">
        <f>IF($H1431="","",IFERROR(INDEX(Action_Status_Map!$B$5:$B$11,MATCH($H1431,Action_Status_Map!$A$5:$A$11,0)),""))</f>
        <v/>
      </c>
      <c r="J1431" s="82" t="n"/>
      <c r="K1431" s="82" t="n"/>
      <c r="L1431" s="82" t="n"/>
      <c r="M1431" s="83" t="n"/>
      <c r="N1431" s="83" t="n"/>
      <c r="O1431" s="66">
        <f>IF(OR($M1431="",$N1431=""),"",$N1431-$M1431)</f>
        <v/>
      </c>
      <c r="P1431" s="84">
        <f>IF($J1431="","",IF($L1431&lt;&gt;"",$L1431-$J1431,TODAY()-$J1431))</f>
        <v/>
      </c>
      <c r="Q1431" s="85">
        <f>IF(OR($K1431="",$H1431="Completed",$H1431="Cancelled"),"",IF(AND($K1431&lt;TODAY(),$H1431&lt;&gt;"Completed",$H1431&lt;&gt;"Cancelled"),"Overdue","On Track"))</f>
        <v/>
      </c>
      <c r="R1431" s="81" t="n"/>
      <c r="S1431" s="81">
        <f>IF($B1431="","",IFERROR(INDEX(Task_Tracker!$AA$5:$AA$1004,MATCH($B1431,Task_Tracker!$A$5:$A$1004,0)),""))</f>
        <v/>
      </c>
      <c r="T1431" s="81">
        <f>IF($B1431="","",IFERROR(INDEX(Task_Tracker!$AB$5:$AB$1004,MATCH($B1431,Task_Tracker!$A$5:$A$1004,0)),""))</f>
        <v/>
      </c>
      <c r="U1431" s="78">
        <f>IF($B1431="","",IFERROR(INDEX(Task_Tracker!$F$5:$F$1004,MATCH($B1431,Task_Tracker!$A$5:$A$1004,0)),""))</f>
        <v/>
      </c>
      <c r="V1431" s="78">
        <f>IF($B1431="","",IFERROR(INDEX(Task_Tracker!$I$5:$I$1004,MATCH($B1431,Task_Tracker!$A$5:$A$1004,0)),""))</f>
        <v/>
      </c>
      <c r="W1431" s="81">
        <f>IF(OR($D1431="",$B1431=""),"",$D1431&amp;" | "&amp;$B1431)</f>
        <v/>
      </c>
      <c r="X1431" s="85">
        <f>IF($K1431="","",TEXT($K1431,"yyyy-mm"))</f>
        <v/>
      </c>
      <c r="Y1431" s="81">
        <f>IF(OR($A1431="",$T1431=""),"","Included in Manager_Report")</f>
        <v/>
      </c>
    </row>
    <row r="1432" ht="15" customHeight="1" s="40">
      <c r="A1432" s="65">
        <f>IF(COUNTA(B1432:G1432)=0,"","STP-"&amp;TEXT(ROW()-4,"0000"))</f>
        <v/>
      </c>
      <c r="B1432" s="78" t="n"/>
      <c r="C1432" s="67">
        <f>IF($B1432="","",IFERROR(INDEX(Task_Tracker!$D$5:$D$1004,MATCH($B1432,Task_Tracker!$A$5:$A$1004,0)),""))</f>
        <v/>
      </c>
      <c r="D1432" s="67">
        <f>IF($B1432="","",IFERROR(INDEX(Task_Tracker!$B$5:$B$1004,MATCH($B1432,Task_Tracker!$A$5:$A$1004,0)),""))</f>
        <v/>
      </c>
      <c r="E1432" s="81" t="n"/>
      <c r="F1432" s="81" t="n"/>
      <c r="G1432" s="78" t="n"/>
      <c r="H1432" s="78" t="n"/>
      <c r="I1432" s="67">
        <f>IF($H1432="","",IFERROR(INDEX(Action_Status_Map!$B$5:$B$11,MATCH($H1432,Action_Status_Map!$A$5:$A$11,0)),""))</f>
        <v/>
      </c>
      <c r="J1432" s="82" t="n"/>
      <c r="K1432" s="82" t="n"/>
      <c r="L1432" s="82" t="n"/>
      <c r="M1432" s="83" t="n"/>
      <c r="N1432" s="83" t="n"/>
      <c r="O1432" s="66">
        <f>IF(OR($M1432="",$N1432=""),"",$N1432-$M1432)</f>
        <v/>
      </c>
      <c r="P1432" s="84">
        <f>IF($J1432="","",IF($L1432&lt;&gt;"",$L1432-$J1432,TODAY()-$J1432))</f>
        <v/>
      </c>
      <c r="Q1432" s="85">
        <f>IF(OR($K1432="",$H1432="Completed",$H1432="Cancelled"),"",IF(AND($K1432&lt;TODAY(),$H1432&lt;&gt;"Completed",$H1432&lt;&gt;"Cancelled"),"Overdue","On Track"))</f>
        <v/>
      </c>
      <c r="R1432" s="81" t="n"/>
      <c r="S1432" s="81">
        <f>IF($B1432="","",IFERROR(INDEX(Task_Tracker!$AA$5:$AA$1004,MATCH($B1432,Task_Tracker!$A$5:$A$1004,0)),""))</f>
        <v/>
      </c>
      <c r="T1432" s="81">
        <f>IF($B1432="","",IFERROR(INDEX(Task_Tracker!$AB$5:$AB$1004,MATCH($B1432,Task_Tracker!$A$5:$A$1004,0)),""))</f>
        <v/>
      </c>
      <c r="U1432" s="78">
        <f>IF($B1432="","",IFERROR(INDEX(Task_Tracker!$F$5:$F$1004,MATCH($B1432,Task_Tracker!$A$5:$A$1004,0)),""))</f>
        <v/>
      </c>
      <c r="V1432" s="78">
        <f>IF($B1432="","",IFERROR(INDEX(Task_Tracker!$I$5:$I$1004,MATCH($B1432,Task_Tracker!$A$5:$A$1004,0)),""))</f>
        <v/>
      </c>
      <c r="W1432" s="81">
        <f>IF(OR($D1432="",$B1432=""),"",$D1432&amp;" | "&amp;$B1432)</f>
        <v/>
      </c>
      <c r="X1432" s="85">
        <f>IF($K1432="","",TEXT($K1432,"yyyy-mm"))</f>
        <v/>
      </c>
      <c r="Y1432" s="81">
        <f>IF(OR($A1432="",$T1432=""),"","Included in Manager_Report")</f>
        <v/>
      </c>
    </row>
    <row r="1433" ht="15" customHeight="1" s="40">
      <c r="A1433" s="65">
        <f>IF(COUNTA(B1433:G1433)=0,"","STP-"&amp;TEXT(ROW()-4,"0000"))</f>
        <v/>
      </c>
      <c r="B1433" s="78" t="n"/>
      <c r="C1433" s="67">
        <f>IF($B1433="","",IFERROR(INDEX(Task_Tracker!$D$5:$D$1004,MATCH($B1433,Task_Tracker!$A$5:$A$1004,0)),""))</f>
        <v/>
      </c>
      <c r="D1433" s="67">
        <f>IF($B1433="","",IFERROR(INDEX(Task_Tracker!$B$5:$B$1004,MATCH($B1433,Task_Tracker!$A$5:$A$1004,0)),""))</f>
        <v/>
      </c>
      <c r="E1433" s="81" t="n"/>
      <c r="F1433" s="81" t="n"/>
      <c r="G1433" s="78" t="n"/>
      <c r="H1433" s="78" t="n"/>
      <c r="I1433" s="67">
        <f>IF($H1433="","",IFERROR(INDEX(Action_Status_Map!$B$5:$B$11,MATCH($H1433,Action_Status_Map!$A$5:$A$11,0)),""))</f>
        <v/>
      </c>
      <c r="J1433" s="82" t="n"/>
      <c r="K1433" s="82" t="n"/>
      <c r="L1433" s="82" t="n"/>
      <c r="M1433" s="83" t="n"/>
      <c r="N1433" s="83" t="n"/>
      <c r="O1433" s="66">
        <f>IF(OR($M1433="",$N1433=""),"",$N1433-$M1433)</f>
        <v/>
      </c>
      <c r="P1433" s="84">
        <f>IF($J1433="","",IF($L1433&lt;&gt;"",$L1433-$J1433,TODAY()-$J1433))</f>
        <v/>
      </c>
      <c r="Q1433" s="85">
        <f>IF(OR($K1433="",$H1433="Completed",$H1433="Cancelled"),"",IF(AND($K1433&lt;TODAY(),$H1433&lt;&gt;"Completed",$H1433&lt;&gt;"Cancelled"),"Overdue","On Track"))</f>
        <v/>
      </c>
      <c r="R1433" s="81" t="n"/>
      <c r="S1433" s="81">
        <f>IF($B1433="","",IFERROR(INDEX(Task_Tracker!$AA$5:$AA$1004,MATCH($B1433,Task_Tracker!$A$5:$A$1004,0)),""))</f>
        <v/>
      </c>
      <c r="T1433" s="81">
        <f>IF($B1433="","",IFERROR(INDEX(Task_Tracker!$AB$5:$AB$1004,MATCH($B1433,Task_Tracker!$A$5:$A$1004,0)),""))</f>
        <v/>
      </c>
      <c r="U1433" s="78">
        <f>IF($B1433="","",IFERROR(INDEX(Task_Tracker!$F$5:$F$1004,MATCH($B1433,Task_Tracker!$A$5:$A$1004,0)),""))</f>
        <v/>
      </c>
      <c r="V1433" s="78">
        <f>IF($B1433="","",IFERROR(INDEX(Task_Tracker!$I$5:$I$1004,MATCH($B1433,Task_Tracker!$A$5:$A$1004,0)),""))</f>
        <v/>
      </c>
      <c r="W1433" s="81">
        <f>IF(OR($D1433="",$B1433=""),"",$D1433&amp;" | "&amp;$B1433)</f>
        <v/>
      </c>
      <c r="X1433" s="85">
        <f>IF($K1433="","",TEXT($K1433,"yyyy-mm"))</f>
        <v/>
      </c>
      <c r="Y1433" s="81">
        <f>IF(OR($A1433="",$T1433=""),"","Included in Manager_Report")</f>
        <v/>
      </c>
    </row>
    <row r="1434" ht="15" customHeight="1" s="40">
      <c r="A1434" s="65">
        <f>IF(COUNTA(B1434:G1434)=0,"","STP-"&amp;TEXT(ROW()-4,"0000"))</f>
        <v/>
      </c>
      <c r="B1434" s="78" t="n"/>
      <c r="C1434" s="67">
        <f>IF($B1434="","",IFERROR(INDEX(Task_Tracker!$D$5:$D$1004,MATCH($B1434,Task_Tracker!$A$5:$A$1004,0)),""))</f>
        <v/>
      </c>
      <c r="D1434" s="67">
        <f>IF($B1434="","",IFERROR(INDEX(Task_Tracker!$B$5:$B$1004,MATCH($B1434,Task_Tracker!$A$5:$A$1004,0)),""))</f>
        <v/>
      </c>
      <c r="E1434" s="81" t="n"/>
      <c r="F1434" s="81" t="n"/>
      <c r="G1434" s="78" t="n"/>
      <c r="H1434" s="78" t="n"/>
      <c r="I1434" s="67">
        <f>IF($H1434="","",IFERROR(INDEX(Action_Status_Map!$B$5:$B$11,MATCH($H1434,Action_Status_Map!$A$5:$A$11,0)),""))</f>
        <v/>
      </c>
      <c r="J1434" s="82" t="n"/>
      <c r="K1434" s="82" t="n"/>
      <c r="L1434" s="82" t="n"/>
      <c r="M1434" s="83" t="n"/>
      <c r="N1434" s="83" t="n"/>
      <c r="O1434" s="66">
        <f>IF(OR($M1434="",$N1434=""),"",$N1434-$M1434)</f>
        <v/>
      </c>
      <c r="P1434" s="84">
        <f>IF($J1434="","",IF($L1434&lt;&gt;"",$L1434-$J1434,TODAY()-$J1434))</f>
        <v/>
      </c>
      <c r="Q1434" s="85">
        <f>IF(OR($K1434="",$H1434="Completed",$H1434="Cancelled"),"",IF(AND($K1434&lt;TODAY(),$H1434&lt;&gt;"Completed",$H1434&lt;&gt;"Cancelled"),"Overdue","On Track"))</f>
        <v/>
      </c>
      <c r="R1434" s="81" t="n"/>
      <c r="S1434" s="81">
        <f>IF($B1434="","",IFERROR(INDEX(Task_Tracker!$AA$5:$AA$1004,MATCH($B1434,Task_Tracker!$A$5:$A$1004,0)),""))</f>
        <v/>
      </c>
      <c r="T1434" s="81">
        <f>IF($B1434="","",IFERROR(INDEX(Task_Tracker!$AB$5:$AB$1004,MATCH($B1434,Task_Tracker!$A$5:$A$1004,0)),""))</f>
        <v/>
      </c>
      <c r="U1434" s="78">
        <f>IF($B1434="","",IFERROR(INDEX(Task_Tracker!$F$5:$F$1004,MATCH($B1434,Task_Tracker!$A$5:$A$1004,0)),""))</f>
        <v/>
      </c>
      <c r="V1434" s="78">
        <f>IF($B1434="","",IFERROR(INDEX(Task_Tracker!$I$5:$I$1004,MATCH($B1434,Task_Tracker!$A$5:$A$1004,0)),""))</f>
        <v/>
      </c>
      <c r="W1434" s="81">
        <f>IF(OR($D1434="",$B1434=""),"",$D1434&amp;" | "&amp;$B1434)</f>
        <v/>
      </c>
      <c r="X1434" s="85">
        <f>IF($K1434="","",TEXT($K1434,"yyyy-mm"))</f>
        <v/>
      </c>
      <c r="Y1434" s="81">
        <f>IF(OR($A1434="",$T1434=""),"","Included in Manager_Report")</f>
        <v/>
      </c>
    </row>
    <row r="1435" ht="15" customHeight="1" s="40">
      <c r="A1435" s="65">
        <f>IF(COUNTA(B1435:G1435)=0,"","STP-"&amp;TEXT(ROW()-4,"0000"))</f>
        <v/>
      </c>
      <c r="B1435" s="78" t="n"/>
      <c r="C1435" s="67">
        <f>IF($B1435="","",IFERROR(INDEX(Task_Tracker!$D$5:$D$1004,MATCH($B1435,Task_Tracker!$A$5:$A$1004,0)),""))</f>
        <v/>
      </c>
      <c r="D1435" s="67">
        <f>IF($B1435="","",IFERROR(INDEX(Task_Tracker!$B$5:$B$1004,MATCH($B1435,Task_Tracker!$A$5:$A$1004,0)),""))</f>
        <v/>
      </c>
      <c r="E1435" s="81" t="n"/>
      <c r="F1435" s="81" t="n"/>
      <c r="G1435" s="78" t="n"/>
      <c r="H1435" s="78" t="n"/>
      <c r="I1435" s="67">
        <f>IF($H1435="","",IFERROR(INDEX(Action_Status_Map!$B$5:$B$11,MATCH($H1435,Action_Status_Map!$A$5:$A$11,0)),""))</f>
        <v/>
      </c>
      <c r="J1435" s="82" t="n"/>
      <c r="K1435" s="82" t="n"/>
      <c r="L1435" s="82" t="n"/>
      <c r="M1435" s="83" t="n"/>
      <c r="N1435" s="83" t="n"/>
      <c r="O1435" s="66">
        <f>IF(OR($M1435="",$N1435=""),"",$N1435-$M1435)</f>
        <v/>
      </c>
      <c r="P1435" s="84">
        <f>IF($J1435="","",IF($L1435&lt;&gt;"",$L1435-$J1435,TODAY()-$J1435))</f>
        <v/>
      </c>
      <c r="Q1435" s="85">
        <f>IF(OR($K1435="",$H1435="Completed",$H1435="Cancelled"),"",IF(AND($K1435&lt;TODAY(),$H1435&lt;&gt;"Completed",$H1435&lt;&gt;"Cancelled"),"Overdue","On Track"))</f>
        <v/>
      </c>
      <c r="R1435" s="81" t="n"/>
      <c r="S1435" s="81">
        <f>IF($B1435="","",IFERROR(INDEX(Task_Tracker!$AA$5:$AA$1004,MATCH($B1435,Task_Tracker!$A$5:$A$1004,0)),""))</f>
        <v/>
      </c>
      <c r="T1435" s="81">
        <f>IF($B1435="","",IFERROR(INDEX(Task_Tracker!$AB$5:$AB$1004,MATCH($B1435,Task_Tracker!$A$5:$A$1004,0)),""))</f>
        <v/>
      </c>
      <c r="U1435" s="78">
        <f>IF($B1435="","",IFERROR(INDEX(Task_Tracker!$F$5:$F$1004,MATCH($B1435,Task_Tracker!$A$5:$A$1004,0)),""))</f>
        <v/>
      </c>
      <c r="V1435" s="78">
        <f>IF($B1435="","",IFERROR(INDEX(Task_Tracker!$I$5:$I$1004,MATCH($B1435,Task_Tracker!$A$5:$A$1004,0)),""))</f>
        <v/>
      </c>
      <c r="W1435" s="81">
        <f>IF(OR($D1435="",$B1435=""),"",$D1435&amp;" | "&amp;$B1435)</f>
        <v/>
      </c>
      <c r="X1435" s="85">
        <f>IF($K1435="","",TEXT($K1435,"yyyy-mm"))</f>
        <v/>
      </c>
      <c r="Y1435" s="81">
        <f>IF(OR($A1435="",$T1435=""),"","Included in Manager_Report")</f>
        <v/>
      </c>
    </row>
    <row r="1436" ht="15" customHeight="1" s="40">
      <c r="A1436" s="65">
        <f>IF(COUNTA(B1436:G1436)=0,"","STP-"&amp;TEXT(ROW()-4,"0000"))</f>
        <v/>
      </c>
      <c r="B1436" s="78" t="n"/>
      <c r="C1436" s="67">
        <f>IF($B1436="","",IFERROR(INDEX(Task_Tracker!$D$5:$D$1004,MATCH($B1436,Task_Tracker!$A$5:$A$1004,0)),""))</f>
        <v/>
      </c>
      <c r="D1436" s="67">
        <f>IF($B1436="","",IFERROR(INDEX(Task_Tracker!$B$5:$B$1004,MATCH($B1436,Task_Tracker!$A$5:$A$1004,0)),""))</f>
        <v/>
      </c>
      <c r="E1436" s="81" t="n"/>
      <c r="F1436" s="81" t="n"/>
      <c r="G1436" s="78" t="n"/>
      <c r="H1436" s="78" t="n"/>
      <c r="I1436" s="67">
        <f>IF($H1436="","",IFERROR(INDEX(Action_Status_Map!$B$5:$B$11,MATCH($H1436,Action_Status_Map!$A$5:$A$11,0)),""))</f>
        <v/>
      </c>
      <c r="J1436" s="82" t="n"/>
      <c r="K1436" s="82" t="n"/>
      <c r="L1436" s="82" t="n"/>
      <c r="M1436" s="83" t="n"/>
      <c r="N1436" s="83" t="n"/>
      <c r="O1436" s="66">
        <f>IF(OR($M1436="",$N1436=""),"",$N1436-$M1436)</f>
        <v/>
      </c>
      <c r="P1436" s="84">
        <f>IF($J1436="","",IF($L1436&lt;&gt;"",$L1436-$J1436,TODAY()-$J1436))</f>
        <v/>
      </c>
      <c r="Q1436" s="85">
        <f>IF(OR($K1436="",$H1436="Completed",$H1436="Cancelled"),"",IF(AND($K1436&lt;TODAY(),$H1436&lt;&gt;"Completed",$H1436&lt;&gt;"Cancelled"),"Overdue","On Track"))</f>
        <v/>
      </c>
      <c r="R1436" s="81" t="n"/>
      <c r="S1436" s="81">
        <f>IF($B1436="","",IFERROR(INDEX(Task_Tracker!$AA$5:$AA$1004,MATCH($B1436,Task_Tracker!$A$5:$A$1004,0)),""))</f>
        <v/>
      </c>
      <c r="T1436" s="81">
        <f>IF($B1436="","",IFERROR(INDEX(Task_Tracker!$AB$5:$AB$1004,MATCH($B1436,Task_Tracker!$A$5:$A$1004,0)),""))</f>
        <v/>
      </c>
      <c r="U1436" s="78">
        <f>IF($B1436="","",IFERROR(INDEX(Task_Tracker!$F$5:$F$1004,MATCH($B1436,Task_Tracker!$A$5:$A$1004,0)),""))</f>
        <v/>
      </c>
      <c r="V1436" s="78">
        <f>IF($B1436="","",IFERROR(INDEX(Task_Tracker!$I$5:$I$1004,MATCH($B1436,Task_Tracker!$A$5:$A$1004,0)),""))</f>
        <v/>
      </c>
      <c r="W1436" s="81">
        <f>IF(OR($D1436="",$B1436=""),"",$D1436&amp;" | "&amp;$B1436)</f>
        <v/>
      </c>
      <c r="X1436" s="85">
        <f>IF($K1436="","",TEXT($K1436,"yyyy-mm"))</f>
        <v/>
      </c>
      <c r="Y1436" s="81">
        <f>IF(OR($A1436="",$T1436=""),"","Included in Manager_Report")</f>
        <v/>
      </c>
    </row>
    <row r="1437" ht="15" customHeight="1" s="40">
      <c r="A1437" s="65">
        <f>IF(COUNTA(B1437:G1437)=0,"","STP-"&amp;TEXT(ROW()-4,"0000"))</f>
        <v/>
      </c>
      <c r="B1437" s="78" t="n"/>
      <c r="C1437" s="67">
        <f>IF($B1437="","",IFERROR(INDEX(Task_Tracker!$D$5:$D$1004,MATCH($B1437,Task_Tracker!$A$5:$A$1004,0)),""))</f>
        <v/>
      </c>
      <c r="D1437" s="67">
        <f>IF($B1437="","",IFERROR(INDEX(Task_Tracker!$B$5:$B$1004,MATCH($B1437,Task_Tracker!$A$5:$A$1004,0)),""))</f>
        <v/>
      </c>
      <c r="E1437" s="81" t="n"/>
      <c r="F1437" s="81" t="n"/>
      <c r="G1437" s="78" t="n"/>
      <c r="H1437" s="78" t="n"/>
      <c r="I1437" s="67">
        <f>IF($H1437="","",IFERROR(INDEX(Action_Status_Map!$B$5:$B$11,MATCH($H1437,Action_Status_Map!$A$5:$A$11,0)),""))</f>
        <v/>
      </c>
      <c r="J1437" s="82" t="n"/>
      <c r="K1437" s="82" t="n"/>
      <c r="L1437" s="82" t="n"/>
      <c r="M1437" s="83" t="n"/>
      <c r="N1437" s="83" t="n"/>
      <c r="O1437" s="66">
        <f>IF(OR($M1437="",$N1437=""),"",$N1437-$M1437)</f>
        <v/>
      </c>
      <c r="P1437" s="84">
        <f>IF($J1437="","",IF($L1437&lt;&gt;"",$L1437-$J1437,TODAY()-$J1437))</f>
        <v/>
      </c>
      <c r="Q1437" s="85">
        <f>IF(OR($K1437="",$H1437="Completed",$H1437="Cancelled"),"",IF(AND($K1437&lt;TODAY(),$H1437&lt;&gt;"Completed",$H1437&lt;&gt;"Cancelled"),"Overdue","On Track"))</f>
        <v/>
      </c>
      <c r="R1437" s="81" t="n"/>
      <c r="S1437" s="81">
        <f>IF($B1437="","",IFERROR(INDEX(Task_Tracker!$AA$5:$AA$1004,MATCH($B1437,Task_Tracker!$A$5:$A$1004,0)),""))</f>
        <v/>
      </c>
      <c r="T1437" s="81">
        <f>IF($B1437="","",IFERROR(INDEX(Task_Tracker!$AB$5:$AB$1004,MATCH($B1437,Task_Tracker!$A$5:$A$1004,0)),""))</f>
        <v/>
      </c>
      <c r="U1437" s="78">
        <f>IF($B1437="","",IFERROR(INDEX(Task_Tracker!$F$5:$F$1004,MATCH($B1437,Task_Tracker!$A$5:$A$1004,0)),""))</f>
        <v/>
      </c>
      <c r="V1437" s="78">
        <f>IF($B1437="","",IFERROR(INDEX(Task_Tracker!$I$5:$I$1004,MATCH($B1437,Task_Tracker!$A$5:$A$1004,0)),""))</f>
        <v/>
      </c>
      <c r="W1437" s="81">
        <f>IF(OR($D1437="",$B1437=""),"",$D1437&amp;" | "&amp;$B1437)</f>
        <v/>
      </c>
      <c r="X1437" s="85">
        <f>IF($K1437="","",TEXT($K1437,"yyyy-mm"))</f>
        <v/>
      </c>
      <c r="Y1437" s="81">
        <f>IF(OR($A1437="",$T1437=""),"","Included in Manager_Report")</f>
        <v/>
      </c>
    </row>
    <row r="1438" ht="15" customHeight="1" s="40">
      <c r="A1438" s="65">
        <f>IF(COUNTA(B1438:G1438)=0,"","STP-"&amp;TEXT(ROW()-4,"0000"))</f>
        <v/>
      </c>
      <c r="B1438" s="78" t="n"/>
      <c r="C1438" s="67">
        <f>IF($B1438="","",IFERROR(INDEX(Task_Tracker!$D$5:$D$1004,MATCH($B1438,Task_Tracker!$A$5:$A$1004,0)),""))</f>
        <v/>
      </c>
      <c r="D1438" s="67">
        <f>IF($B1438="","",IFERROR(INDEX(Task_Tracker!$B$5:$B$1004,MATCH($B1438,Task_Tracker!$A$5:$A$1004,0)),""))</f>
        <v/>
      </c>
      <c r="E1438" s="81" t="n"/>
      <c r="F1438" s="81" t="n"/>
      <c r="G1438" s="78" t="n"/>
      <c r="H1438" s="78" t="n"/>
      <c r="I1438" s="67">
        <f>IF($H1438="","",IFERROR(INDEX(Action_Status_Map!$B$5:$B$11,MATCH($H1438,Action_Status_Map!$A$5:$A$11,0)),""))</f>
        <v/>
      </c>
      <c r="J1438" s="82" t="n"/>
      <c r="K1438" s="82" t="n"/>
      <c r="L1438" s="82" t="n"/>
      <c r="M1438" s="83" t="n"/>
      <c r="N1438" s="83" t="n"/>
      <c r="O1438" s="66">
        <f>IF(OR($M1438="",$N1438=""),"",$N1438-$M1438)</f>
        <v/>
      </c>
      <c r="P1438" s="84">
        <f>IF($J1438="","",IF($L1438&lt;&gt;"",$L1438-$J1438,TODAY()-$J1438))</f>
        <v/>
      </c>
      <c r="Q1438" s="85">
        <f>IF(OR($K1438="",$H1438="Completed",$H1438="Cancelled"),"",IF(AND($K1438&lt;TODAY(),$H1438&lt;&gt;"Completed",$H1438&lt;&gt;"Cancelled"),"Overdue","On Track"))</f>
        <v/>
      </c>
      <c r="R1438" s="81" t="n"/>
      <c r="S1438" s="81">
        <f>IF($B1438="","",IFERROR(INDEX(Task_Tracker!$AA$5:$AA$1004,MATCH($B1438,Task_Tracker!$A$5:$A$1004,0)),""))</f>
        <v/>
      </c>
      <c r="T1438" s="81">
        <f>IF($B1438="","",IFERROR(INDEX(Task_Tracker!$AB$5:$AB$1004,MATCH($B1438,Task_Tracker!$A$5:$A$1004,0)),""))</f>
        <v/>
      </c>
      <c r="U1438" s="78">
        <f>IF($B1438="","",IFERROR(INDEX(Task_Tracker!$F$5:$F$1004,MATCH($B1438,Task_Tracker!$A$5:$A$1004,0)),""))</f>
        <v/>
      </c>
      <c r="V1438" s="78">
        <f>IF($B1438="","",IFERROR(INDEX(Task_Tracker!$I$5:$I$1004,MATCH($B1438,Task_Tracker!$A$5:$A$1004,0)),""))</f>
        <v/>
      </c>
      <c r="W1438" s="81">
        <f>IF(OR($D1438="",$B1438=""),"",$D1438&amp;" | "&amp;$B1438)</f>
        <v/>
      </c>
      <c r="X1438" s="85">
        <f>IF($K1438="","",TEXT($K1438,"yyyy-mm"))</f>
        <v/>
      </c>
      <c r="Y1438" s="81">
        <f>IF(OR($A1438="",$T1438=""),"","Included in Manager_Report")</f>
        <v/>
      </c>
    </row>
    <row r="1439" ht="15" customHeight="1" s="40">
      <c r="A1439" s="65">
        <f>IF(COUNTA(B1439:G1439)=0,"","STP-"&amp;TEXT(ROW()-4,"0000"))</f>
        <v/>
      </c>
      <c r="B1439" s="78" t="n"/>
      <c r="C1439" s="67">
        <f>IF($B1439="","",IFERROR(INDEX(Task_Tracker!$D$5:$D$1004,MATCH($B1439,Task_Tracker!$A$5:$A$1004,0)),""))</f>
        <v/>
      </c>
      <c r="D1439" s="67">
        <f>IF($B1439="","",IFERROR(INDEX(Task_Tracker!$B$5:$B$1004,MATCH($B1439,Task_Tracker!$A$5:$A$1004,0)),""))</f>
        <v/>
      </c>
      <c r="E1439" s="81" t="n"/>
      <c r="F1439" s="81" t="n"/>
      <c r="G1439" s="78" t="n"/>
      <c r="H1439" s="78" t="n"/>
      <c r="I1439" s="67">
        <f>IF($H1439="","",IFERROR(INDEX(Action_Status_Map!$B$5:$B$11,MATCH($H1439,Action_Status_Map!$A$5:$A$11,0)),""))</f>
        <v/>
      </c>
      <c r="J1439" s="82" t="n"/>
      <c r="K1439" s="82" t="n"/>
      <c r="L1439" s="82" t="n"/>
      <c r="M1439" s="83" t="n"/>
      <c r="N1439" s="83" t="n"/>
      <c r="O1439" s="66">
        <f>IF(OR($M1439="",$N1439=""),"",$N1439-$M1439)</f>
        <v/>
      </c>
      <c r="P1439" s="84">
        <f>IF($J1439="","",IF($L1439&lt;&gt;"",$L1439-$J1439,TODAY()-$J1439))</f>
        <v/>
      </c>
      <c r="Q1439" s="85">
        <f>IF(OR($K1439="",$H1439="Completed",$H1439="Cancelled"),"",IF(AND($K1439&lt;TODAY(),$H1439&lt;&gt;"Completed",$H1439&lt;&gt;"Cancelled"),"Overdue","On Track"))</f>
        <v/>
      </c>
      <c r="R1439" s="81" t="n"/>
      <c r="S1439" s="81">
        <f>IF($B1439="","",IFERROR(INDEX(Task_Tracker!$AA$5:$AA$1004,MATCH($B1439,Task_Tracker!$A$5:$A$1004,0)),""))</f>
        <v/>
      </c>
      <c r="T1439" s="81">
        <f>IF($B1439="","",IFERROR(INDEX(Task_Tracker!$AB$5:$AB$1004,MATCH($B1439,Task_Tracker!$A$5:$A$1004,0)),""))</f>
        <v/>
      </c>
      <c r="U1439" s="78">
        <f>IF($B1439="","",IFERROR(INDEX(Task_Tracker!$F$5:$F$1004,MATCH($B1439,Task_Tracker!$A$5:$A$1004,0)),""))</f>
        <v/>
      </c>
      <c r="V1439" s="78">
        <f>IF($B1439="","",IFERROR(INDEX(Task_Tracker!$I$5:$I$1004,MATCH($B1439,Task_Tracker!$A$5:$A$1004,0)),""))</f>
        <v/>
      </c>
      <c r="W1439" s="81">
        <f>IF(OR($D1439="",$B1439=""),"",$D1439&amp;" | "&amp;$B1439)</f>
        <v/>
      </c>
      <c r="X1439" s="85">
        <f>IF($K1439="","",TEXT($K1439,"yyyy-mm"))</f>
        <v/>
      </c>
      <c r="Y1439" s="81">
        <f>IF(OR($A1439="",$T1439=""),"","Included in Manager_Report")</f>
        <v/>
      </c>
    </row>
    <row r="1440" ht="15" customHeight="1" s="40">
      <c r="A1440" s="65">
        <f>IF(COUNTA(B1440:G1440)=0,"","STP-"&amp;TEXT(ROW()-4,"0000"))</f>
        <v/>
      </c>
      <c r="B1440" s="78" t="n"/>
      <c r="C1440" s="67">
        <f>IF($B1440="","",IFERROR(INDEX(Task_Tracker!$D$5:$D$1004,MATCH($B1440,Task_Tracker!$A$5:$A$1004,0)),""))</f>
        <v/>
      </c>
      <c r="D1440" s="67">
        <f>IF($B1440="","",IFERROR(INDEX(Task_Tracker!$B$5:$B$1004,MATCH($B1440,Task_Tracker!$A$5:$A$1004,0)),""))</f>
        <v/>
      </c>
      <c r="E1440" s="81" t="n"/>
      <c r="F1440" s="81" t="n"/>
      <c r="G1440" s="78" t="n"/>
      <c r="H1440" s="78" t="n"/>
      <c r="I1440" s="67">
        <f>IF($H1440="","",IFERROR(INDEX(Action_Status_Map!$B$5:$B$11,MATCH($H1440,Action_Status_Map!$A$5:$A$11,0)),""))</f>
        <v/>
      </c>
      <c r="J1440" s="82" t="n"/>
      <c r="K1440" s="82" t="n"/>
      <c r="L1440" s="82" t="n"/>
      <c r="M1440" s="83" t="n"/>
      <c r="N1440" s="83" t="n"/>
      <c r="O1440" s="66">
        <f>IF(OR($M1440="",$N1440=""),"",$N1440-$M1440)</f>
        <v/>
      </c>
      <c r="P1440" s="84">
        <f>IF($J1440="","",IF($L1440&lt;&gt;"",$L1440-$J1440,TODAY()-$J1440))</f>
        <v/>
      </c>
      <c r="Q1440" s="85">
        <f>IF(OR($K1440="",$H1440="Completed",$H1440="Cancelled"),"",IF(AND($K1440&lt;TODAY(),$H1440&lt;&gt;"Completed",$H1440&lt;&gt;"Cancelled"),"Overdue","On Track"))</f>
        <v/>
      </c>
      <c r="R1440" s="81" t="n"/>
      <c r="S1440" s="81">
        <f>IF($B1440="","",IFERROR(INDEX(Task_Tracker!$AA$5:$AA$1004,MATCH($B1440,Task_Tracker!$A$5:$A$1004,0)),""))</f>
        <v/>
      </c>
      <c r="T1440" s="81">
        <f>IF($B1440="","",IFERROR(INDEX(Task_Tracker!$AB$5:$AB$1004,MATCH($B1440,Task_Tracker!$A$5:$A$1004,0)),""))</f>
        <v/>
      </c>
      <c r="U1440" s="78">
        <f>IF($B1440="","",IFERROR(INDEX(Task_Tracker!$F$5:$F$1004,MATCH($B1440,Task_Tracker!$A$5:$A$1004,0)),""))</f>
        <v/>
      </c>
      <c r="V1440" s="78">
        <f>IF($B1440="","",IFERROR(INDEX(Task_Tracker!$I$5:$I$1004,MATCH($B1440,Task_Tracker!$A$5:$A$1004,0)),""))</f>
        <v/>
      </c>
      <c r="W1440" s="81">
        <f>IF(OR($D1440="",$B1440=""),"",$D1440&amp;" | "&amp;$B1440)</f>
        <v/>
      </c>
      <c r="X1440" s="85">
        <f>IF($K1440="","",TEXT($K1440,"yyyy-mm"))</f>
        <v/>
      </c>
      <c r="Y1440" s="81">
        <f>IF(OR($A1440="",$T1440=""),"","Included in Manager_Report")</f>
        <v/>
      </c>
    </row>
    <row r="1441" ht="15" customHeight="1" s="40">
      <c r="A1441" s="65">
        <f>IF(COUNTA(B1441:G1441)=0,"","STP-"&amp;TEXT(ROW()-4,"0000"))</f>
        <v/>
      </c>
      <c r="B1441" s="78" t="n"/>
      <c r="C1441" s="67">
        <f>IF($B1441="","",IFERROR(INDEX(Task_Tracker!$D$5:$D$1004,MATCH($B1441,Task_Tracker!$A$5:$A$1004,0)),""))</f>
        <v/>
      </c>
      <c r="D1441" s="67">
        <f>IF($B1441="","",IFERROR(INDEX(Task_Tracker!$B$5:$B$1004,MATCH($B1441,Task_Tracker!$A$5:$A$1004,0)),""))</f>
        <v/>
      </c>
      <c r="E1441" s="81" t="n"/>
      <c r="F1441" s="81" t="n"/>
      <c r="G1441" s="78" t="n"/>
      <c r="H1441" s="78" t="n"/>
      <c r="I1441" s="67">
        <f>IF($H1441="","",IFERROR(INDEX(Action_Status_Map!$B$5:$B$11,MATCH($H1441,Action_Status_Map!$A$5:$A$11,0)),""))</f>
        <v/>
      </c>
      <c r="J1441" s="82" t="n"/>
      <c r="K1441" s="82" t="n"/>
      <c r="L1441" s="82" t="n"/>
      <c r="M1441" s="83" t="n"/>
      <c r="N1441" s="83" t="n"/>
      <c r="O1441" s="66">
        <f>IF(OR($M1441="",$N1441=""),"",$N1441-$M1441)</f>
        <v/>
      </c>
      <c r="P1441" s="84">
        <f>IF($J1441="","",IF($L1441&lt;&gt;"",$L1441-$J1441,TODAY()-$J1441))</f>
        <v/>
      </c>
      <c r="Q1441" s="85">
        <f>IF(OR($K1441="",$H1441="Completed",$H1441="Cancelled"),"",IF(AND($K1441&lt;TODAY(),$H1441&lt;&gt;"Completed",$H1441&lt;&gt;"Cancelled"),"Overdue","On Track"))</f>
        <v/>
      </c>
      <c r="R1441" s="81" t="n"/>
      <c r="S1441" s="81">
        <f>IF($B1441="","",IFERROR(INDEX(Task_Tracker!$AA$5:$AA$1004,MATCH($B1441,Task_Tracker!$A$5:$A$1004,0)),""))</f>
        <v/>
      </c>
      <c r="T1441" s="81">
        <f>IF($B1441="","",IFERROR(INDEX(Task_Tracker!$AB$5:$AB$1004,MATCH($B1441,Task_Tracker!$A$5:$A$1004,0)),""))</f>
        <v/>
      </c>
      <c r="U1441" s="78">
        <f>IF($B1441="","",IFERROR(INDEX(Task_Tracker!$F$5:$F$1004,MATCH($B1441,Task_Tracker!$A$5:$A$1004,0)),""))</f>
        <v/>
      </c>
      <c r="V1441" s="78">
        <f>IF($B1441="","",IFERROR(INDEX(Task_Tracker!$I$5:$I$1004,MATCH($B1441,Task_Tracker!$A$5:$A$1004,0)),""))</f>
        <v/>
      </c>
      <c r="W1441" s="81">
        <f>IF(OR($D1441="",$B1441=""),"",$D1441&amp;" | "&amp;$B1441)</f>
        <v/>
      </c>
      <c r="X1441" s="85">
        <f>IF($K1441="","",TEXT($K1441,"yyyy-mm"))</f>
        <v/>
      </c>
      <c r="Y1441" s="81">
        <f>IF(OR($A1441="",$T1441=""),"","Included in Manager_Report")</f>
        <v/>
      </c>
    </row>
    <row r="1442" ht="15" customHeight="1" s="40">
      <c r="A1442" s="65">
        <f>IF(COUNTA(B1442:G1442)=0,"","STP-"&amp;TEXT(ROW()-4,"0000"))</f>
        <v/>
      </c>
      <c r="B1442" s="78" t="n"/>
      <c r="C1442" s="67">
        <f>IF($B1442="","",IFERROR(INDEX(Task_Tracker!$D$5:$D$1004,MATCH($B1442,Task_Tracker!$A$5:$A$1004,0)),""))</f>
        <v/>
      </c>
      <c r="D1442" s="67">
        <f>IF($B1442="","",IFERROR(INDEX(Task_Tracker!$B$5:$B$1004,MATCH($B1442,Task_Tracker!$A$5:$A$1004,0)),""))</f>
        <v/>
      </c>
      <c r="E1442" s="81" t="n"/>
      <c r="F1442" s="81" t="n"/>
      <c r="G1442" s="78" t="n"/>
      <c r="H1442" s="78" t="n"/>
      <c r="I1442" s="67">
        <f>IF($H1442="","",IFERROR(INDEX(Action_Status_Map!$B$5:$B$11,MATCH($H1442,Action_Status_Map!$A$5:$A$11,0)),""))</f>
        <v/>
      </c>
      <c r="J1442" s="82" t="n"/>
      <c r="K1442" s="82" t="n"/>
      <c r="L1442" s="82" t="n"/>
      <c r="M1442" s="83" t="n"/>
      <c r="N1442" s="83" t="n"/>
      <c r="O1442" s="66">
        <f>IF(OR($M1442="",$N1442=""),"",$N1442-$M1442)</f>
        <v/>
      </c>
      <c r="P1442" s="84">
        <f>IF($J1442="","",IF($L1442&lt;&gt;"",$L1442-$J1442,TODAY()-$J1442))</f>
        <v/>
      </c>
      <c r="Q1442" s="85">
        <f>IF(OR($K1442="",$H1442="Completed",$H1442="Cancelled"),"",IF(AND($K1442&lt;TODAY(),$H1442&lt;&gt;"Completed",$H1442&lt;&gt;"Cancelled"),"Overdue","On Track"))</f>
        <v/>
      </c>
      <c r="R1442" s="81" t="n"/>
      <c r="S1442" s="81">
        <f>IF($B1442="","",IFERROR(INDEX(Task_Tracker!$AA$5:$AA$1004,MATCH($B1442,Task_Tracker!$A$5:$A$1004,0)),""))</f>
        <v/>
      </c>
      <c r="T1442" s="81">
        <f>IF($B1442="","",IFERROR(INDEX(Task_Tracker!$AB$5:$AB$1004,MATCH($B1442,Task_Tracker!$A$5:$A$1004,0)),""))</f>
        <v/>
      </c>
      <c r="U1442" s="78">
        <f>IF($B1442="","",IFERROR(INDEX(Task_Tracker!$F$5:$F$1004,MATCH($B1442,Task_Tracker!$A$5:$A$1004,0)),""))</f>
        <v/>
      </c>
      <c r="V1442" s="78">
        <f>IF($B1442="","",IFERROR(INDEX(Task_Tracker!$I$5:$I$1004,MATCH($B1442,Task_Tracker!$A$5:$A$1004,0)),""))</f>
        <v/>
      </c>
      <c r="W1442" s="81">
        <f>IF(OR($D1442="",$B1442=""),"",$D1442&amp;" | "&amp;$B1442)</f>
        <v/>
      </c>
      <c r="X1442" s="85">
        <f>IF($K1442="","",TEXT($K1442,"yyyy-mm"))</f>
        <v/>
      </c>
      <c r="Y1442" s="81">
        <f>IF(OR($A1442="",$T1442=""),"","Included in Manager_Report")</f>
        <v/>
      </c>
    </row>
    <row r="1443" ht="15" customHeight="1" s="40">
      <c r="A1443" s="65">
        <f>IF(COUNTA(B1443:G1443)=0,"","STP-"&amp;TEXT(ROW()-4,"0000"))</f>
        <v/>
      </c>
      <c r="B1443" s="78" t="n"/>
      <c r="C1443" s="67">
        <f>IF($B1443="","",IFERROR(INDEX(Task_Tracker!$D$5:$D$1004,MATCH($B1443,Task_Tracker!$A$5:$A$1004,0)),""))</f>
        <v/>
      </c>
      <c r="D1443" s="67">
        <f>IF($B1443="","",IFERROR(INDEX(Task_Tracker!$B$5:$B$1004,MATCH($B1443,Task_Tracker!$A$5:$A$1004,0)),""))</f>
        <v/>
      </c>
      <c r="E1443" s="81" t="n"/>
      <c r="F1443" s="81" t="n"/>
      <c r="G1443" s="78" t="n"/>
      <c r="H1443" s="78" t="n"/>
      <c r="I1443" s="67">
        <f>IF($H1443="","",IFERROR(INDEX(Action_Status_Map!$B$5:$B$11,MATCH($H1443,Action_Status_Map!$A$5:$A$11,0)),""))</f>
        <v/>
      </c>
      <c r="J1443" s="82" t="n"/>
      <c r="K1443" s="82" t="n"/>
      <c r="L1443" s="82" t="n"/>
      <c r="M1443" s="83" t="n"/>
      <c r="N1443" s="83" t="n"/>
      <c r="O1443" s="66">
        <f>IF(OR($M1443="",$N1443=""),"",$N1443-$M1443)</f>
        <v/>
      </c>
      <c r="P1443" s="84">
        <f>IF($J1443="","",IF($L1443&lt;&gt;"",$L1443-$J1443,TODAY()-$J1443))</f>
        <v/>
      </c>
      <c r="Q1443" s="85">
        <f>IF(OR($K1443="",$H1443="Completed",$H1443="Cancelled"),"",IF(AND($K1443&lt;TODAY(),$H1443&lt;&gt;"Completed",$H1443&lt;&gt;"Cancelled"),"Overdue","On Track"))</f>
        <v/>
      </c>
      <c r="R1443" s="81" t="n"/>
      <c r="S1443" s="81">
        <f>IF($B1443="","",IFERROR(INDEX(Task_Tracker!$AA$5:$AA$1004,MATCH($B1443,Task_Tracker!$A$5:$A$1004,0)),""))</f>
        <v/>
      </c>
      <c r="T1443" s="81">
        <f>IF($B1443="","",IFERROR(INDEX(Task_Tracker!$AB$5:$AB$1004,MATCH($B1443,Task_Tracker!$A$5:$A$1004,0)),""))</f>
        <v/>
      </c>
      <c r="U1443" s="78">
        <f>IF($B1443="","",IFERROR(INDEX(Task_Tracker!$F$5:$F$1004,MATCH($B1443,Task_Tracker!$A$5:$A$1004,0)),""))</f>
        <v/>
      </c>
      <c r="V1443" s="78">
        <f>IF($B1443="","",IFERROR(INDEX(Task_Tracker!$I$5:$I$1004,MATCH($B1443,Task_Tracker!$A$5:$A$1004,0)),""))</f>
        <v/>
      </c>
      <c r="W1443" s="81">
        <f>IF(OR($D1443="",$B1443=""),"",$D1443&amp;" | "&amp;$B1443)</f>
        <v/>
      </c>
      <c r="X1443" s="85">
        <f>IF($K1443="","",TEXT($K1443,"yyyy-mm"))</f>
        <v/>
      </c>
      <c r="Y1443" s="81">
        <f>IF(OR($A1443="",$T1443=""),"","Included in Manager_Report")</f>
        <v/>
      </c>
    </row>
    <row r="1444" ht="15" customHeight="1" s="40">
      <c r="A1444" s="65">
        <f>IF(COUNTA(B1444:G1444)=0,"","STP-"&amp;TEXT(ROW()-4,"0000"))</f>
        <v/>
      </c>
      <c r="B1444" s="78" t="n"/>
      <c r="C1444" s="67">
        <f>IF($B1444="","",IFERROR(INDEX(Task_Tracker!$D$5:$D$1004,MATCH($B1444,Task_Tracker!$A$5:$A$1004,0)),""))</f>
        <v/>
      </c>
      <c r="D1444" s="67">
        <f>IF($B1444="","",IFERROR(INDEX(Task_Tracker!$B$5:$B$1004,MATCH($B1444,Task_Tracker!$A$5:$A$1004,0)),""))</f>
        <v/>
      </c>
      <c r="E1444" s="81" t="n"/>
      <c r="F1444" s="81" t="n"/>
      <c r="G1444" s="78" t="n"/>
      <c r="H1444" s="78" t="n"/>
      <c r="I1444" s="67">
        <f>IF($H1444="","",IFERROR(INDEX(Action_Status_Map!$B$5:$B$11,MATCH($H1444,Action_Status_Map!$A$5:$A$11,0)),""))</f>
        <v/>
      </c>
      <c r="J1444" s="82" t="n"/>
      <c r="K1444" s="82" t="n"/>
      <c r="L1444" s="82" t="n"/>
      <c r="M1444" s="83" t="n"/>
      <c r="N1444" s="83" t="n"/>
      <c r="O1444" s="66">
        <f>IF(OR($M1444="",$N1444=""),"",$N1444-$M1444)</f>
        <v/>
      </c>
      <c r="P1444" s="84">
        <f>IF($J1444="","",IF($L1444&lt;&gt;"",$L1444-$J1444,TODAY()-$J1444))</f>
        <v/>
      </c>
      <c r="Q1444" s="85">
        <f>IF(OR($K1444="",$H1444="Completed",$H1444="Cancelled"),"",IF(AND($K1444&lt;TODAY(),$H1444&lt;&gt;"Completed",$H1444&lt;&gt;"Cancelled"),"Overdue","On Track"))</f>
        <v/>
      </c>
      <c r="R1444" s="81" t="n"/>
      <c r="S1444" s="81">
        <f>IF($B1444="","",IFERROR(INDEX(Task_Tracker!$AA$5:$AA$1004,MATCH($B1444,Task_Tracker!$A$5:$A$1004,0)),""))</f>
        <v/>
      </c>
      <c r="T1444" s="81">
        <f>IF($B1444="","",IFERROR(INDEX(Task_Tracker!$AB$5:$AB$1004,MATCH($B1444,Task_Tracker!$A$5:$A$1004,0)),""))</f>
        <v/>
      </c>
      <c r="U1444" s="78">
        <f>IF($B1444="","",IFERROR(INDEX(Task_Tracker!$F$5:$F$1004,MATCH($B1444,Task_Tracker!$A$5:$A$1004,0)),""))</f>
        <v/>
      </c>
      <c r="V1444" s="78">
        <f>IF($B1444="","",IFERROR(INDEX(Task_Tracker!$I$5:$I$1004,MATCH($B1444,Task_Tracker!$A$5:$A$1004,0)),""))</f>
        <v/>
      </c>
      <c r="W1444" s="81">
        <f>IF(OR($D1444="",$B1444=""),"",$D1444&amp;" | "&amp;$B1444)</f>
        <v/>
      </c>
      <c r="X1444" s="85">
        <f>IF($K1444="","",TEXT($K1444,"yyyy-mm"))</f>
        <v/>
      </c>
      <c r="Y1444" s="81">
        <f>IF(OR($A1444="",$T1444=""),"","Included in Manager_Report")</f>
        <v/>
      </c>
    </row>
    <row r="1445" ht="15" customHeight="1" s="40">
      <c r="A1445" s="65">
        <f>IF(COUNTA(B1445:G1445)=0,"","STP-"&amp;TEXT(ROW()-4,"0000"))</f>
        <v/>
      </c>
      <c r="B1445" s="78" t="n"/>
      <c r="C1445" s="67">
        <f>IF($B1445="","",IFERROR(INDEX(Task_Tracker!$D$5:$D$1004,MATCH($B1445,Task_Tracker!$A$5:$A$1004,0)),""))</f>
        <v/>
      </c>
      <c r="D1445" s="67">
        <f>IF($B1445="","",IFERROR(INDEX(Task_Tracker!$B$5:$B$1004,MATCH($B1445,Task_Tracker!$A$5:$A$1004,0)),""))</f>
        <v/>
      </c>
      <c r="E1445" s="81" t="n"/>
      <c r="F1445" s="81" t="n"/>
      <c r="G1445" s="78" t="n"/>
      <c r="H1445" s="78" t="n"/>
      <c r="I1445" s="67">
        <f>IF($H1445="","",IFERROR(INDEX(Action_Status_Map!$B$5:$B$11,MATCH($H1445,Action_Status_Map!$A$5:$A$11,0)),""))</f>
        <v/>
      </c>
      <c r="J1445" s="82" t="n"/>
      <c r="K1445" s="82" t="n"/>
      <c r="L1445" s="82" t="n"/>
      <c r="M1445" s="83" t="n"/>
      <c r="N1445" s="83" t="n"/>
      <c r="O1445" s="66">
        <f>IF(OR($M1445="",$N1445=""),"",$N1445-$M1445)</f>
        <v/>
      </c>
      <c r="P1445" s="84">
        <f>IF($J1445="","",IF($L1445&lt;&gt;"",$L1445-$J1445,TODAY()-$J1445))</f>
        <v/>
      </c>
      <c r="Q1445" s="85">
        <f>IF(OR($K1445="",$H1445="Completed",$H1445="Cancelled"),"",IF(AND($K1445&lt;TODAY(),$H1445&lt;&gt;"Completed",$H1445&lt;&gt;"Cancelled"),"Overdue","On Track"))</f>
        <v/>
      </c>
      <c r="R1445" s="81" t="n"/>
      <c r="S1445" s="81">
        <f>IF($B1445="","",IFERROR(INDEX(Task_Tracker!$AA$5:$AA$1004,MATCH($B1445,Task_Tracker!$A$5:$A$1004,0)),""))</f>
        <v/>
      </c>
      <c r="T1445" s="81">
        <f>IF($B1445="","",IFERROR(INDEX(Task_Tracker!$AB$5:$AB$1004,MATCH($B1445,Task_Tracker!$A$5:$A$1004,0)),""))</f>
        <v/>
      </c>
      <c r="U1445" s="78">
        <f>IF($B1445="","",IFERROR(INDEX(Task_Tracker!$F$5:$F$1004,MATCH($B1445,Task_Tracker!$A$5:$A$1004,0)),""))</f>
        <v/>
      </c>
      <c r="V1445" s="78">
        <f>IF($B1445="","",IFERROR(INDEX(Task_Tracker!$I$5:$I$1004,MATCH($B1445,Task_Tracker!$A$5:$A$1004,0)),""))</f>
        <v/>
      </c>
      <c r="W1445" s="81">
        <f>IF(OR($D1445="",$B1445=""),"",$D1445&amp;" | "&amp;$B1445)</f>
        <v/>
      </c>
      <c r="X1445" s="85">
        <f>IF($K1445="","",TEXT($K1445,"yyyy-mm"))</f>
        <v/>
      </c>
      <c r="Y1445" s="81">
        <f>IF(OR($A1445="",$T1445=""),"","Included in Manager_Report")</f>
        <v/>
      </c>
    </row>
    <row r="1446" ht="15" customHeight="1" s="40">
      <c r="A1446" s="65">
        <f>IF(COUNTA(B1446:G1446)=0,"","STP-"&amp;TEXT(ROW()-4,"0000"))</f>
        <v/>
      </c>
      <c r="B1446" s="78" t="n"/>
      <c r="C1446" s="67">
        <f>IF($B1446="","",IFERROR(INDEX(Task_Tracker!$D$5:$D$1004,MATCH($B1446,Task_Tracker!$A$5:$A$1004,0)),""))</f>
        <v/>
      </c>
      <c r="D1446" s="67">
        <f>IF($B1446="","",IFERROR(INDEX(Task_Tracker!$B$5:$B$1004,MATCH($B1446,Task_Tracker!$A$5:$A$1004,0)),""))</f>
        <v/>
      </c>
      <c r="E1446" s="81" t="n"/>
      <c r="F1446" s="81" t="n"/>
      <c r="G1446" s="78" t="n"/>
      <c r="H1446" s="78" t="n"/>
      <c r="I1446" s="67">
        <f>IF($H1446="","",IFERROR(INDEX(Action_Status_Map!$B$5:$B$11,MATCH($H1446,Action_Status_Map!$A$5:$A$11,0)),""))</f>
        <v/>
      </c>
      <c r="J1446" s="82" t="n"/>
      <c r="K1446" s="82" t="n"/>
      <c r="L1446" s="82" t="n"/>
      <c r="M1446" s="83" t="n"/>
      <c r="N1446" s="83" t="n"/>
      <c r="O1446" s="66">
        <f>IF(OR($M1446="",$N1446=""),"",$N1446-$M1446)</f>
        <v/>
      </c>
      <c r="P1446" s="84">
        <f>IF($J1446="","",IF($L1446&lt;&gt;"",$L1446-$J1446,TODAY()-$J1446))</f>
        <v/>
      </c>
      <c r="Q1446" s="85">
        <f>IF(OR($K1446="",$H1446="Completed",$H1446="Cancelled"),"",IF(AND($K1446&lt;TODAY(),$H1446&lt;&gt;"Completed",$H1446&lt;&gt;"Cancelled"),"Overdue","On Track"))</f>
        <v/>
      </c>
      <c r="R1446" s="81" t="n"/>
      <c r="S1446" s="81">
        <f>IF($B1446="","",IFERROR(INDEX(Task_Tracker!$AA$5:$AA$1004,MATCH($B1446,Task_Tracker!$A$5:$A$1004,0)),""))</f>
        <v/>
      </c>
      <c r="T1446" s="81">
        <f>IF($B1446="","",IFERROR(INDEX(Task_Tracker!$AB$5:$AB$1004,MATCH($B1446,Task_Tracker!$A$5:$A$1004,0)),""))</f>
        <v/>
      </c>
      <c r="U1446" s="78">
        <f>IF($B1446="","",IFERROR(INDEX(Task_Tracker!$F$5:$F$1004,MATCH($B1446,Task_Tracker!$A$5:$A$1004,0)),""))</f>
        <v/>
      </c>
      <c r="V1446" s="78">
        <f>IF($B1446="","",IFERROR(INDEX(Task_Tracker!$I$5:$I$1004,MATCH($B1446,Task_Tracker!$A$5:$A$1004,0)),""))</f>
        <v/>
      </c>
      <c r="W1446" s="81">
        <f>IF(OR($D1446="",$B1446=""),"",$D1446&amp;" | "&amp;$B1446)</f>
        <v/>
      </c>
      <c r="X1446" s="85">
        <f>IF($K1446="","",TEXT($K1446,"yyyy-mm"))</f>
        <v/>
      </c>
      <c r="Y1446" s="81">
        <f>IF(OR($A1446="",$T1446=""),"","Included in Manager_Report")</f>
        <v/>
      </c>
    </row>
    <row r="1447" ht="15" customHeight="1" s="40">
      <c r="A1447" s="65">
        <f>IF(COUNTA(B1447:G1447)=0,"","STP-"&amp;TEXT(ROW()-4,"0000"))</f>
        <v/>
      </c>
      <c r="B1447" s="78" t="n"/>
      <c r="C1447" s="67">
        <f>IF($B1447="","",IFERROR(INDEX(Task_Tracker!$D$5:$D$1004,MATCH($B1447,Task_Tracker!$A$5:$A$1004,0)),""))</f>
        <v/>
      </c>
      <c r="D1447" s="67">
        <f>IF($B1447="","",IFERROR(INDEX(Task_Tracker!$B$5:$B$1004,MATCH($B1447,Task_Tracker!$A$5:$A$1004,0)),""))</f>
        <v/>
      </c>
      <c r="E1447" s="81" t="n"/>
      <c r="F1447" s="81" t="n"/>
      <c r="G1447" s="78" t="n"/>
      <c r="H1447" s="78" t="n"/>
      <c r="I1447" s="67">
        <f>IF($H1447="","",IFERROR(INDEX(Action_Status_Map!$B$5:$B$11,MATCH($H1447,Action_Status_Map!$A$5:$A$11,0)),""))</f>
        <v/>
      </c>
      <c r="J1447" s="82" t="n"/>
      <c r="K1447" s="82" t="n"/>
      <c r="L1447" s="82" t="n"/>
      <c r="M1447" s="83" t="n"/>
      <c r="N1447" s="83" t="n"/>
      <c r="O1447" s="66">
        <f>IF(OR($M1447="",$N1447=""),"",$N1447-$M1447)</f>
        <v/>
      </c>
      <c r="P1447" s="84">
        <f>IF($J1447="","",IF($L1447&lt;&gt;"",$L1447-$J1447,TODAY()-$J1447))</f>
        <v/>
      </c>
      <c r="Q1447" s="85">
        <f>IF(OR($K1447="",$H1447="Completed",$H1447="Cancelled"),"",IF(AND($K1447&lt;TODAY(),$H1447&lt;&gt;"Completed",$H1447&lt;&gt;"Cancelled"),"Overdue","On Track"))</f>
        <v/>
      </c>
      <c r="R1447" s="81" t="n"/>
      <c r="S1447" s="81">
        <f>IF($B1447="","",IFERROR(INDEX(Task_Tracker!$AA$5:$AA$1004,MATCH($B1447,Task_Tracker!$A$5:$A$1004,0)),""))</f>
        <v/>
      </c>
      <c r="T1447" s="81">
        <f>IF($B1447="","",IFERROR(INDEX(Task_Tracker!$AB$5:$AB$1004,MATCH($B1447,Task_Tracker!$A$5:$A$1004,0)),""))</f>
        <v/>
      </c>
      <c r="U1447" s="78">
        <f>IF($B1447="","",IFERROR(INDEX(Task_Tracker!$F$5:$F$1004,MATCH($B1447,Task_Tracker!$A$5:$A$1004,0)),""))</f>
        <v/>
      </c>
      <c r="V1447" s="78">
        <f>IF($B1447="","",IFERROR(INDEX(Task_Tracker!$I$5:$I$1004,MATCH($B1447,Task_Tracker!$A$5:$A$1004,0)),""))</f>
        <v/>
      </c>
      <c r="W1447" s="81">
        <f>IF(OR($D1447="",$B1447=""),"",$D1447&amp;" | "&amp;$B1447)</f>
        <v/>
      </c>
      <c r="X1447" s="85">
        <f>IF($K1447="","",TEXT($K1447,"yyyy-mm"))</f>
        <v/>
      </c>
      <c r="Y1447" s="81">
        <f>IF(OR($A1447="",$T1447=""),"","Included in Manager_Report")</f>
        <v/>
      </c>
    </row>
    <row r="1448" ht="15" customHeight="1" s="40">
      <c r="A1448" s="65">
        <f>IF(COUNTA(B1448:G1448)=0,"","STP-"&amp;TEXT(ROW()-4,"0000"))</f>
        <v/>
      </c>
      <c r="B1448" s="78" t="n"/>
      <c r="C1448" s="67">
        <f>IF($B1448="","",IFERROR(INDEX(Task_Tracker!$D$5:$D$1004,MATCH($B1448,Task_Tracker!$A$5:$A$1004,0)),""))</f>
        <v/>
      </c>
      <c r="D1448" s="67">
        <f>IF($B1448="","",IFERROR(INDEX(Task_Tracker!$B$5:$B$1004,MATCH($B1448,Task_Tracker!$A$5:$A$1004,0)),""))</f>
        <v/>
      </c>
      <c r="E1448" s="81" t="n"/>
      <c r="F1448" s="81" t="n"/>
      <c r="G1448" s="78" t="n"/>
      <c r="H1448" s="78" t="n"/>
      <c r="I1448" s="67">
        <f>IF($H1448="","",IFERROR(INDEX(Action_Status_Map!$B$5:$B$11,MATCH($H1448,Action_Status_Map!$A$5:$A$11,0)),""))</f>
        <v/>
      </c>
      <c r="J1448" s="82" t="n"/>
      <c r="K1448" s="82" t="n"/>
      <c r="L1448" s="82" t="n"/>
      <c r="M1448" s="83" t="n"/>
      <c r="N1448" s="83" t="n"/>
      <c r="O1448" s="66">
        <f>IF(OR($M1448="",$N1448=""),"",$N1448-$M1448)</f>
        <v/>
      </c>
      <c r="P1448" s="84">
        <f>IF($J1448="","",IF($L1448&lt;&gt;"",$L1448-$J1448,TODAY()-$J1448))</f>
        <v/>
      </c>
      <c r="Q1448" s="85">
        <f>IF(OR($K1448="",$H1448="Completed",$H1448="Cancelled"),"",IF(AND($K1448&lt;TODAY(),$H1448&lt;&gt;"Completed",$H1448&lt;&gt;"Cancelled"),"Overdue","On Track"))</f>
        <v/>
      </c>
      <c r="R1448" s="81" t="n"/>
      <c r="S1448" s="81">
        <f>IF($B1448="","",IFERROR(INDEX(Task_Tracker!$AA$5:$AA$1004,MATCH($B1448,Task_Tracker!$A$5:$A$1004,0)),""))</f>
        <v/>
      </c>
      <c r="T1448" s="81">
        <f>IF($B1448="","",IFERROR(INDEX(Task_Tracker!$AB$5:$AB$1004,MATCH($B1448,Task_Tracker!$A$5:$A$1004,0)),""))</f>
        <v/>
      </c>
      <c r="U1448" s="78">
        <f>IF($B1448="","",IFERROR(INDEX(Task_Tracker!$F$5:$F$1004,MATCH($B1448,Task_Tracker!$A$5:$A$1004,0)),""))</f>
        <v/>
      </c>
      <c r="V1448" s="78">
        <f>IF($B1448="","",IFERROR(INDEX(Task_Tracker!$I$5:$I$1004,MATCH($B1448,Task_Tracker!$A$5:$A$1004,0)),""))</f>
        <v/>
      </c>
      <c r="W1448" s="81">
        <f>IF(OR($D1448="",$B1448=""),"",$D1448&amp;" | "&amp;$B1448)</f>
        <v/>
      </c>
      <c r="X1448" s="85">
        <f>IF($K1448="","",TEXT($K1448,"yyyy-mm"))</f>
        <v/>
      </c>
      <c r="Y1448" s="81">
        <f>IF(OR($A1448="",$T1448=""),"","Included in Manager_Report")</f>
        <v/>
      </c>
    </row>
    <row r="1449" ht="15" customHeight="1" s="40">
      <c r="A1449" s="65">
        <f>IF(COUNTA(B1449:G1449)=0,"","STP-"&amp;TEXT(ROW()-4,"0000"))</f>
        <v/>
      </c>
      <c r="B1449" s="78" t="n"/>
      <c r="C1449" s="67">
        <f>IF($B1449="","",IFERROR(INDEX(Task_Tracker!$D$5:$D$1004,MATCH($B1449,Task_Tracker!$A$5:$A$1004,0)),""))</f>
        <v/>
      </c>
      <c r="D1449" s="67">
        <f>IF($B1449="","",IFERROR(INDEX(Task_Tracker!$B$5:$B$1004,MATCH($B1449,Task_Tracker!$A$5:$A$1004,0)),""))</f>
        <v/>
      </c>
      <c r="E1449" s="81" t="n"/>
      <c r="F1449" s="81" t="n"/>
      <c r="G1449" s="78" t="n"/>
      <c r="H1449" s="78" t="n"/>
      <c r="I1449" s="67">
        <f>IF($H1449="","",IFERROR(INDEX(Action_Status_Map!$B$5:$B$11,MATCH($H1449,Action_Status_Map!$A$5:$A$11,0)),""))</f>
        <v/>
      </c>
      <c r="J1449" s="82" t="n"/>
      <c r="K1449" s="82" t="n"/>
      <c r="L1449" s="82" t="n"/>
      <c r="M1449" s="83" t="n"/>
      <c r="N1449" s="83" t="n"/>
      <c r="O1449" s="66">
        <f>IF(OR($M1449="",$N1449=""),"",$N1449-$M1449)</f>
        <v/>
      </c>
      <c r="P1449" s="84">
        <f>IF($J1449="","",IF($L1449&lt;&gt;"",$L1449-$J1449,TODAY()-$J1449))</f>
        <v/>
      </c>
      <c r="Q1449" s="85">
        <f>IF(OR($K1449="",$H1449="Completed",$H1449="Cancelled"),"",IF(AND($K1449&lt;TODAY(),$H1449&lt;&gt;"Completed",$H1449&lt;&gt;"Cancelled"),"Overdue","On Track"))</f>
        <v/>
      </c>
      <c r="R1449" s="81" t="n"/>
      <c r="S1449" s="81">
        <f>IF($B1449="","",IFERROR(INDEX(Task_Tracker!$AA$5:$AA$1004,MATCH($B1449,Task_Tracker!$A$5:$A$1004,0)),""))</f>
        <v/>
      </c>
      <c r="T1449" s="81">
        <f>IF($B1449="","",IFERROR(INDEX(Task_Tracker!$AB$5:$AB$1004,MATCH($B1449,Task_Tracker!$A$5:$A$1004,0)),""))</f>
        <v/>
      </c>
      <c r="U1449" s="78">
        <f>IF($B1449="","",IFERROR(INDEX(Task_Tracker!$F$5:$F$1004,MATCH($B1449,Task_Tracker!$A$5:$A$1004,0)),""))</f>
        <v/>
      </c>
      <c r="V1449" s="78">
        <f>IF($B1449="","",IFERROR(INDEX(Task_Tracker!$I$5:$I$1004,MATCH($B1449,Task_Tracker!$A$5:$A$1004,0)),""))</f>
        <v/>
      </c>
      <c r="W1449" s="81">
        <f>IF(OR($D1449="",$B1449=""),"",$D1449&amp;" | "&amp;$B1449)</f>
        <v/>
      </c>
      <c r="X1449" s="85">
        <f>IF($K1449="","",TEXT($K1449,"yyyy-mm"))</f>
        <v/>
      </c>
      <c r="Y1449" s="81">
        <f>IF(OR($A1449="",$T1449=""),"","Included in Manager_Report")</f>
        <v/>
      </c>
    </row>
    <row r="1450" ht="15" customHeight="1" s="40">
      <c r="A1450" s="65">
        <f>IF(COUNTA(B1450:G1450)=0,"","STP-"&amp;TEXT(ROW()-4,"0000"))</f>
        <v/>
      </c>
      <c r="B1450" s="78" t="n"/>
      <c r="C1450" s="67">
        <f>IF($B1450="","",IFERROR(INDEX(Task_Tracker!$D$5:$D$1004,MATCH($B1450,Task_Tracker!$A$5:$A$1004,0)),""))</f>
        <v/>
      </c>
      <c r="D1450" s="67">
        <f>IF($B1450="","",IFERROR(INDEX(Task_Tracker!$B$5:$B$1004,MATCH($B1450,Task_Tracker!$A$5:$A$1004,0)),""))</f>
        <v/>
      </c>
      <c r="E1450" s="81" t="n"/>
      <c r="F1450" s="81" t="n"/>
      <c r="G1450" s="78" t="n"/>
      <c r="H1450" s="78" t="n"/>
      <c r="I1450" s="67">
        <f>IF($H1450="","",IFERROR(INDEX(Action_Status_Map!$B$5:$B$11,MATCH($H1450,Action_Status_Map!$A$5:$A$11,0)),""))</f>
        <v/>
      </c>
      <c r="J1450" s="82" t="n"/>
      <c r="K1450" s="82" t="n"/>
      <c r="L1450" s="82" t="n"/>
      <c r="M1450" s="83" t="n"/>
      <c r="N1450" s="83" t="n"/>
      <c r="O1450" s="66">
        <f>IF(OR($M1450="",$N1450=""),"",$N1450-$M1450)</f>
        <v/>
      </c>
      <c r="P1450" s="84">
        <f>IF($J1450="","",IF($L1450&lt;&gt;"",$L1450-$J1450,TODAY()-$J1450))</f>
        <v/>
      </c>
      <c r="Q1450" s="85">
        <f>IF(OR($K1450="",$H1450="Completed",$H1450="Cancelled"),"",IF(AND($K1450&lt;TODAY(),$H1450&lt;&gt;"Completed",$H1450&lt;&gt;"Cancelled"),"Overdue","On Track"))</f>
        <v/>
      </c>
      <c r="R1450" s="81" t="n"/>
      <c r="S1450" s="81">
        <f>IF($B1450="","",IFERROR(INDEX(Task_Tracker!$AA$5:$AA$1004,MATCH($B1450,Task_Tracker!$A$5:$A$1004,0)),""))</f>
        <v/>
      </c>
      <c r="T1450" s="81">
        <f>IF($B1450="","",IFERROR(INDEX(Task_Tracker!$AB$5:$AB$1004,MATCH($B1450,Task_Tracker!$A$5:$A$1004,0)),""))</f>
        <v/>
      </c>
      <c r="U1450" s="78">
        <f>IF($B1450="","",IFERROR(INDEX(Task_Tracker!$F$5:$F$1004,MATCH($B1450,Task_Tracker!$A$5:$A$1004,0)),""))</f>
        <v/>
      </c>
      <c r="V1450" s="78">
        <f>IF($B1450="","",IFERROR(INDEX(Task_Tracker!$I$5:$I$1004,MATCH($B1450,Task_Tracker!$A$5:$A$1004,0)),""))</f>
        <v/>
      </c>
      <c r="W1450" s="81">
        <f>IF(OR($D1450="",$B1450=""),"",$D1450&amp;" | "&amp;$B1450)</f>
        <v/>
      </c>
      <c r="X1450" s="85">
        <f>IF($K1450="","",TEXT($K1450,"yyyy-mm"))</f>
        <v/>
      </c>
      <c r="Y1450" s="81">
        <f>IF(OR($A1450="",$T1450=""),"","Included in Manager_Report")</f>
        <v/>
      </c>
    </row>
    <row r="1451" ht="15" customHeight="1" s="40">
      <c r="A1451" s="65">
        <f>IF(COUNTA(B1451:G1451)=0,"","STP-"&amp;TEXT(ROW()-4,"0000"))</f>
        <v/>
      </c>
      <c r="B1451" s="78" t="n"/>
      <c r="C1451" s="67">
        <f>IF($B1451="","",IFERROR(INDEX(Task_Tracker!$D$5:$D$1004,MATCH($B1451,Task_Tracker!$A$5:$A$1004,0)),""))</f>
        <v/>
      </c>
      <c r="D1451" s="67">
        <f>IF($B1451="","",IFERROR(INDEX(Task_Tracker!$B$5:$B$1004,MATCH($B1451,Task_Tracker!$A$5:$A$1004,0)),""))</f>
        <v/>
      </c>
      <c r="E1451" s="81" t="n"/>
      <c r="F1451" s="81" t="n"/>
      <c r="G1451" s="78" t="n"/>
      <c r="H1451" s="78" t="n"/>
      <c r="I1451" s="67">
        <f>IF($H1451="","",IFERROR(INDEX(Action_Status_Map!$B$5:$B$11,MATCH($H1451,Action_Status_Map!$A$5:$A$11,0)),""))</f>
        <v/>
      </c>
      <c r="J1451" s="82" t="n"/>
      <c r="K1451" s="82" t="n"/>
      <c r="L1451" s="82" t="n"/>
      <c r="M1451" s="83" t="n"/>
      <c r="N1451" s="83" t="n"/>
      <c r="O1451" s="66">
        <f>IF(OR($M1451="",$N1451=""),"",$N1451-$M1451)</f>
        <v/>
      </c>
      <c r="P1451" s="84">
        <f>IF($J1451="","",IF($L1451&lt;&gt;"",$L1451-$J1451,TODAY()-$J1451))</f>
        <v/>
      </c>
      <c r="Q1451" s="85">
        <f>IF(OR($K1451="",$H1451="Completed",$H1451="Cancelled"),"",IF(AND($K1451&lt;TODAY(),$H1451&lt;&gt;"Completed",$H1451&lt;&gt;"Cancelled"),"Overdue","On Track"))</f>
        <v/>
      </c>
      <c r="R1451" s="81" t="n"/>
      <c r="S1451" s="81">
        <f>IF($B1451="","",IFERROR(INDEX(Task_Tracker!$AA$5:$AA$1004,MATCH($B1451,Task_Tracker!$A$5:$A$1004,0)),""))</f>
        <v/>
      </c>
      <c r="T1451" s="81">
        <f>IF($B1451="","",IFERROR(INDEX(Task_Tracker!$AB$5:$AB$1004,MATCH($B1451,Task_Tracker!$A$5:$A$1004,0)),""))</f>
        <v/>
      </c>
      <c r="U1451" s="78">
        <f>IF($B1451="","",IFERROR(INDEX(Task_Tracker!$F$5:$F$1004,MATCH($B1451,Task_Tracker!$A$5:$A$1004,0)),""))</f>
        <v/>
      </c>
      <c r="V1451" s="78">
        <f>IF($B1451="","",IFERROR(INDEX(Task_Tracker!$I$5:$I$1004,MATCH($B1451,Task_Tracker!$A$5:$A$1004,0)),""))</f>
        <v/>
      </c>
      <c r="W1451" s="81">
        <f>IF(OR($D1451="",$B1451=""),"",$D1451&amp;" | "&amp;$B1451)</f>
        <v/>
      </c>
      <c r="X1451" s="85">
        <f>IF($K1451="","",TEXT($K1451,"yyyy-mm"))</f>
        <v/>
      </c>
      <c r="Y1451" s="81">
        <f>IF(OR($A1451="",$T1451=""),"","Included in Manager_Report")</f>
        <v/>
      </c>
    </row>
    <row r="1452" ht="15" customHeight="1" s="40">
      <c r="A1452" s="65">
        <f>IF(COUNTA(B1452:G1452)=0,"","STP-"&amp;TEXT(ROW()-4,"0000"))</f>
        <v/>
      </c>
      <c r="B1452" s="78" t="n"/>
      <c r="C1452" s="67">
        <f>IF($B1452="","",IFERROR(INDEX(Task_Tracker!$D$5:$D$1004,MATCH($B1452,Task_Tracker!$A$5:$A$1004,0)),""))</f>
        <v/>
      </c>
      <c r="D1452" s="67">
        <f>IF($B1452="","",IFERROR(INDEX(Task_Tracker!$B$5:$B$1004,MATCH($B1452,Task_Tracker!$A$5:$A$1004,0)),""))</f>
        <v/>
      </c>
      <c r="E1452" s="81" t="n"/>
      <c r="F1452" s="81" t="n"/>
      <c r="G1452" s="78" t="n"/>
      <c r="H1452" s="78" t="n"/>
      <c r="I1452" s="67">
        <f>IF($H1452="","",IFERROR(INDEX(Action_Status_Map!$B$5:$B$11,MATCH($H1452,Action_Status_Map!$A$5:$A$11,0)),""))</f>
        <v/>
      </c>
      <c r="J1452" s="82" t="n"/>
      <c r="K1452" s="82" t="n"/>
      <c r="L1452" s="82" t="n"/>
      <c r="M1452" s="83" t="n"/>
      <c r="N1452" s="83" t="n"/>
      <c r="O1452" s="66">
        <f>IF(OR($M1452="",$N1452=""),"",$N1452-$M1452)</f>
        <v/>
      </c>
      <c r="P1452" s="84">
        <f>IF($J1452="","",IF($L1452&lt;&gt;"",$L1452-$J1452,TODAY()-$J1452))</f>
        <v/>
      </c>
      <c r="Q1452" s="85">
        <f>IF(OR($K1452="",$H1452="Completed",$H1452="Cancelled"),"",IF(AND($K1452&lt;TODAY(),$H1452&lt;&gt;"Completed",$H1452&lt;&gt;"Cancelled"),"Overdue","On Track"))</f>
        <v/>
      </c>
      <c r="R1452" s="81" t="n"/>
      <c r="S1452" s="81">
        <f>IF($B1452="","",IFERROR(INDEX(Task_Tracker!$AA$5:$AA$1004,MATCH($B1452,Task_Tracker!$A$5:$A$1004,0)),""))</f>
        <v/>
      </c>
      <c r="T1452" s="81">
        <f>IF($B1452="","",IFERROR(INDEX(Task_Tracker!$AB$5:$AB$1004,MATCH($B1452,Task_Tracker!$A$5:$A$1004,0)),""))</f>
        <v/>
      </c>
      <c r="U1452" s="78">
        <f>IF($B1452="","",IFERROR(INDEX(Task_Tracker!$F$5:$F$1004,MATCH($B1452,Task_Tracker!$A$5:$A$1004,0)),""))</f>
        <v/>
      </c>
      <c r="V1452" s="78">
        <f>IF($B1452="","",IFERROR(INDEX(Task_Tracker!$I$5:$I$1004,MATCH($B1452,Task_Tracker!$A$5:$A$1004,0)),""))</f>
        <v/>
      </c>
      <c r="W1452" s="81">
        <f>IF(OR($D1452="",$B1452=""),"",$D1452&amp;" | "&amp;$B1452)</f>
        <v/>
      </c>
      <c r="X1452" s="85">
        <f>IF($K1452="","",TEXT($K1452,"yyyy-mm"))</f>
        <v/>
      </c>
      <c r="Y1452" s="81">
        <f>IF(OR($A1452="",$T1452=""),"","Included in Manager_Report")</f>
        <v/>
      </c>
    </row>
    <row r="1453" ht="15" customHeight="1" s="40">
      <c r="A1453" s="65">
        <f>IF(COUNTA(B1453:G1453)=0,"","STP-"&amp;TEXT(ROW()-4,"0000"))</f>
        <v/>
      </c>
      <c r="B1453" s="78" t="n"/>
      <c r="C1453" s="67">
        <f>IF($B1453="","",IFERROR(INDEX(Task_Tracker!$D$5:$D$1004,MATCH($B1453,Task_Tracker!$A$5:$A$1004,0)),""))</f>
        <v/>
      </c>
      <c r="D1453" s="67">
        <f>IF($B1453="","",IFERROR(INDEX(Task_Tracker!$B$5:$B$1004,MATCH($B1453,Task_Tracker!$A$5:$A$1004,0)),""))</f>
        <v/>
      </c>
      <c r="E1453" s="81" t="n"/>
      <c r="F1453" s="81" t="n"/>
      <c r="G1453" s="78" t="n"/>
      <c r="H1453" s="78" t="n"/>
      <c r="I1453" s="67">
        <f>IF($H1453="","",IFERROR(INDEX(Action_Status_Map!$B$5:$B$11,MATCH($H1453,Action_Status_Map!$A$5:$A$11,0)),""))</f>
        <v/>
      </c>
      <c r="J1453" s="82" t="n"/>
      <c r="K1453" s="82" t="n"/>
      <c r="L1453" s="82" t="n"/>
      <c r="M1453" s="83" t="n"/>
      <c r="N1453" s="83" t="n"/>
      <c r="O1453" s="66">
        <f>IF(OR($M1453="",$N1453=""),"",$N1453-$M1453)</f>
        <v/>
      </c>
      <c r="P1453" s="84">
        <f>IF($J1453="","",IF($L1453&lt;&gt;"",$L1453-$J1453,TODAY()-$J1453))</f>
        <v/>
      </c>
      <c r="Q1453" s="85">
        <f>IF(OR($K1453="",$H1453="Completed",$H1453="Cancelled"),"",IF(AND($K1453&lt;TODAY(),$H1453&lt;&gt;"Completed",$H1453&lt;&gt;"Cancelled"),"Overdue","On Track"))</f>
        <v/>
      </c>
      <c r="R1453" s="81" t="n"/>
      <c r="S1453" s="81">
        <f>IF($B1453="","",IFERROR(INDEX(Task_Tracker!$AA$5:$AA$1004,MATCH($B1453,Task_Tracker!$A$5:$A$1004,0)),""))</f>
        <v/>
      </c>
      <c r="T1453" s="81">
        <f>IF($B1453="","",IFERROR(INDEX(Task_Tracker!$AB$5:$AB$1004,MATCH($B1453,Task_Tracker!$A$5:$A$1004,0)),""))</f>
        <v/>
      </c>
      <c r="U1453" s="78">
        <f>IF($B1453="","",IFERROR(INDEX(Task_Tracker!$F$5:$F$1004,MATCH($B1453,Task_Tracker!$A$5:$A$1004,0)),""))</f>
        <v/>
      </c>
      <c r="V1453" s="78">
        <f>IF($B1453="","",IFERROR(INDEX(Task_Tracker!$I$5:$I$1004,MATCH($B1453,Task_Tracker!$A$5:$A$1004,0)),""))</f>
        <v/>
      </c>
      <c r="W1453" s="81">
        <f>IF(OR($D1453="",$B1453=""),"",$D1453&amp;" | "&amp;$B1453)</f>
        <v/>
      </c>
      <c r="X1453" s="85">
        <f>IF($K1453="","",TEXT($K1453,"yyyy-mm"))</f>
        <v/>
      </c>
      <c r="Y1453" s="81">
        <f>IF(OR($A1453="",$T1453=""),"","Included in Manager_Report")</f>
        <v/>
      </c>
    </row>
    <row r="1454" ht="15" customHeight="1" s="40">
      <c r="A1454" s="65">
        <f>IF(COUNTA(B1454:G1454)=0,"","STP-"&amp;TEXT(ROW()-4,"0000"))</f>
        <v/>
      </c>
      <c r="B1454" s="78" t="n"/>
      <c r="C1454" s="67">
        <f>IF($B1454="","",IFERROR(INDEX(Task_Tracker!$D$5:$D$1004,MATCH($B1454,Task_Tracker!$A$5:$A$1004,0)),""))</f>
        <v/>
      </c>
      <c r="D1454" s="67">
        <f>IF($B1454="","",IFERROR(INDEX(Task_Tracker!$B$5:$B$1004,MATCH($B1454,Task_Tracker!$A$5:$A$1004,0)),""))</f>
        <v/>
      </c>
      <c r="E1454" s="81" t="n"/>
      <c r="F1454" s="81" t="n"/>
      <c r="G1454" s="78" t="n"/>
      <c r="H1454" s="78" t="n"/>
      <c r="I1454" s="67">
        <f>IF($H1454="","",IFERROR(INDEX(Action_Status_Map!$B$5:$B$11,MATCH($H1454,Action_Status_Map!$A$5:$A$11,0)),""))</f>
        <v/>
      </c>
      <c r="J1454" s="82" t="n"/>
      <c r="K1454" s="82" t="n"/>
      <c r="L1454" s="82" t="n"/>
      <c r="M1454" s="83" t="n"/>
      <c r="N1454" s="83" t="n"/>
      <c r="O1454" s="66">
        <f>IF(OR($M1454="",$N1454=""),"",$N1454-$M1454)</f>
        <v/>
      </c>
      <c r="P1454" s="84">
        <f>IF($J1454="","",IF($L1454&lt;&gt;"",$L1454-$J1454,TODAY()-$J1454))</f>
        <v/>
      </c>
      <c r="Q1454" s="85">
        <f>IF(OR($K1454="",$H1454="Completed",$H1454="Cancelled"),"",IF(AND($K1454&lt;TODAY(),$H1454&lt;&gt;"Completed",$H1454&lt;&gt;"Cancelled"),"Overdue","On Track"))</f>
        <v/>
      </c>
      <c r="R1454" s="81" t="n"/>
      <c r="S1454" s="81">
        <f>IF($B1454="","",IFERROR(INDEX(Task_Tracker!$AA$5:$AA$1004,MATCH($B1454,Task_Tracker!$A$5:$A$1004,0)),""))</f>
        <v/>
      </c>
      <c r="T1454" s="81">
        <f>IF($B1454="","",IFERROR(INDEX(Task_Tracker!$AB$5:$AB$1004,MATCH($B1454,Task_Tracker!$A$5:$A$1004,0)),""))</f>
        <v/>
      </c>
      <c r="U1454" s="78">
        <f>IF($B1454="","",IFERROR(INDEX(Task_Tracker!$F$5:$F$1004,MATCH($B1454,Task_Tracker!$A$5:$A$1004,0)),""))</f>
        <v/>
      </c>
      <c r="V1454" s="78">
        <f>IF($B1454="","",IFERROR(INDEX(Task_Tracker!$I$5:$I$1004,MATCH($B1454,Task_Tracker!$A$5:$A$1004,0)),""))</f>
        <v/>
      </c>
      <c r="W1454" s="81">
        <f>IF(OR($D1454="",$B1454=""),"",$D1454&amp;" | "&amp;$B1454)</f>
        <v/>
      </c>
      <c r="X1454" s="85">
        <f>IF($K1454="","",TEXT($K1454,"yyyy-mm"))</f>
        <v/>
      </c>
      <c r="Y1454" s="81">
        <f>IF(OR($A1454="",$T1454=""),"","Included in Manager_Report")</f>
        <v/>
      </c>
    </row>
    <row r="1455" ht="15" customHeight="1" s="40">
      <c r="A1455" s="65">
        <f>IF(COUNTA(B1455:G1455)=0,"","STP-"&amp;TEXT(ROW()-4,"0000"))</f>
        <v/>
      </c>
      <c r="B1455" s="78" t="n"/>
      <c r="C1455" s="67">
        <f>IF($B1455="","",IFERROR(INDEX(Task_Tracker!$D$5:$D$1004,MATCH($B1455,Task_Tracker!$A$5:$A$1004,0)),""))</f>
        <v/>
      </c>
      <c r="D1455" s="67">
        <f>IF($B1455="","",IFERROR(INDEX(Task_Tracker!$B$5:$B$1004,MATCH($B1455,Task_Tracker!$A$5:$A$1004,0)),""))</f>
        <v/>
      </c>
      <c r="E1455" s="81" t="n"/>
      <c r="F1455" s="81" t="n"/>
      <c r="G1455" s="78" t="n"/>
      <c r="H1455" s="78" t="n"/>
      <c r="I1455" s="67">
        <f>IF($H1455="","",IFERROR(INDEX(Action_Status_Map!$B$5:$B$11,MATCH($H1455,Action_Status_Map!$A$5:$A$11,0)),""))</f>
        <v/>
      </c>
      <c r="J1455" s="82" t="n"/>
      <c r="K1455" s="82" t="n"/>
      <c r="L1455" s="82" t="n"/>
      <c r="M1455" s="83" t="n"/>
      <c r="N1455" s="83" t="n"/>
      <c r="O1455" s="66">
        <f>IF(OR($M1455="",$N1455=""),"",$N1455-$M1455)</f>
        <v/>
      </c>
      <c r="P1455" s="84">
        <f>IF($J1455="","",IF($L1455&lt;&gt;"",$L1455-$J1455,TODAY()-$J1455))</f>
        <v/>
      </c>
      <c r="Q1455" s="85">
        <f>IF(OR($K1455="",$H1455="Completed",$H1455="Cancelled"),"",IF(AND($K1455&lt;TODAY(),$H1455&lt;&gt;"Completed",$H1455&lt;&gt;"Cancelled"),"Overdue","On Track"))</f>
        <v/>
      </c>
      <c r="R1455" s="81" t="n"/>
      <c r="S1455" s="81">
        <f>IF($B1455="","",IFERROR(INDEX(Task_Tracker!$AA$5:$AA$1004,MATCH($B1455,Task_Tracker!$A$5:$A$1004,0)),""))</f>
        <v/>
      </c>
      <c r="T1455" s="81">
        <f>IF($B1455="","",IFERROR(INDEX(Task_Tracker!$AB$5:$AB$1004,MATCH($B1455,Task_Tracker!$A$5:$A$1004,0)),""))</f>
        <v/>
      </c>
      <c r="U1455" s="78">
        <f>IF($B1455="","",IFERROR(INDEX(Task_Tracker!$F$5:$F$1004,MATCH($B1455,Task_Tracker!$A$5:$A$1004,0)),""))</f>
        <v/>
      </c>
      <c r="V1455" s="78">
        <f>IF($B1455="","",IFERROR(INDEX(Task_Tracker!$I$5:$I$1004,MATCH($B1455,Task_Tracker!$A$5:$A$1004,0)),""))</f>
        <v/>
      </c>
      <c r="W1455" s="81">
        <f>IF(OR($D1455="",$B1455=""),"",$D1455&amp;" | "&amp;$B1455)</f>
        <v/>
      </c>
      <c r="X1455" s="85">
        <f>IF($K1455="","",TEXT($K1455,"yyyy-mm"))</f>
        <v/>
      </c>
      <c r="Y1455" s="81">
        <f>IF(OR($A1455="",$T1455=""),"","Included in Manager_Report")</f>
        <v/>
      </c>
    </row>
    <row r="1456" ht="15" customHeight="1" s="40">
      <c r="A1456" s="65">
        <f>IF(COUNTA(B1456:G1456)=0,"","STP-"&amp;TEXT(ROW()-4,"0000"))</f>
        <v/>
      </c>
      <c r="B1456" s="78" t="n"/>
      <c r="C1456" s="67">
        <f>IF($B1456="","",IFERROR(INDEX(Task_Tracker!$D$5:$D$1004,MATCH($B1456,Task_Tracker!$A$5:$A$1004,0)),""))</f>
        <v/>
      </c>
      <c r="D1456" s="67">
        <f>IF($B1456="","",IFERROR(INDEX(Task_Tracker!$B$5:$B$1004,MATCH($B1456,Task_Tracker!$A$5:$A$1004,0)),""))</f>
        <v/>
      </c>
      <c r="E1456" s="81" t="n"/>
      <c r="F1456" s="81" t="n"/>
      <c r="G1456" s="78" t="n"/>
      <c r="H1456" s="78" t="n"/>
      <c r="I1456" s="67">
        <f>IF($H1456="","",IFERROR(INDEX(Action_Status_Map!$B$5:$B$11,MATCH($H1456,Action_Status_Map!$A$5:$A$11,0)),""))</f>
        <v/>
      </c>
      <c r="J1456" s="82" t="n"/>
      <c r="K1456" s="82" t="n"/>
      <c r="L1456" s="82" t="n"/>
      <c r="M1456" s="83" t="n"/>
      <c r="N1456" s="83" t="n"/>
      <c r="O1456" s="66">
        <f>IF(OR($M1456="",$N1456=""),"",$N1456-$M1456)</f>
        <v/>
      </c>
      <c r="P1456" s="84">
        <f>IF($J1456="","",IF($L1456&lt;&gt;"",$L1456-$J1456,TODAY()-$J1456))</f>
        <v/>
      </c>
      <c r="Q1456" s="85">
        <f>IF(OR($K1456="",$H1456="Completed",$H1456="Cancelled"),"",IF(AND($K1456&lt;TODAY(),$H1456&lt;&gt;"Completed",$H1456&lt;&gt;"Cancelled"),"Overdue","On Track"))</f>
        <v/>
      </c>
      <c r="R1456" s="81" t="n"/>
      <c r="S1456" s="81">
        <f>IF($B1456="","",IFERROR(INDEX(Task_Tracker!$AA$5:$AA$1004,MATCH($B1456,Task_Tracker!$A$5:$A$1004,0)),""))</f>
        <v/>
      </c>
      <c r="T1456" s="81">
        <f>IF($B1456="","",IFERROR(INDEX(Task_Tracker!$AB$5:$AB$1004,MATCH($B1456,Task_Tracker!$A$5:$A$1004,0)),""))</f>
        <v/>
      </c>
      <c r="U1456" s="78">
        <f>IF($B1456="","",IFERROR(INDEX(Task_Tracker!$F$5:$F$1004,MATCH($B1456,Task_Tracker!$A$5:$A$1004,0)),""))</f>
        <v/>
      </c>
      <c r="V1456" s="78">
        <f>IF($B1456="","",IFERROR(INDEX(Task_Tracker!$I$5:$I$1004,MATCH($B1456,Task_Tracker!$A$5:$A$1004,0)),""))</f>
        <v/>
      </c>
      <c r="W1456" s="81">
        <f>IF(OR($D1456="",$B1456=""),"",$D1456&amp;" | "&amp;$B1456)</f>
        <v/>
      </c>
      <c r="X1456" s="85">
        <f>IF($K1456="","",TEXT($K1456,"yyyy-mm"))</f>
        <v/>
      </c>
      <c r="Y1456" s="81">
        <f>IF(OR($A1456="",$T1456=""),"","Included in Manager_Report")</f>
        <v/>
      </c>
    </row>
    <row r="1457" ht="15" customHeight="1" s="40">
      <c r="A1457" s="65">
        <f>IF(COUNTA(B1457:G1457)=0,"","STP-"&amp;TEXT(ROW()-4,"0000"))</f>
        <v/>
      </c>
      <c r="B1457" s="78" t="n"/>
      <c r="C1457" s="67">
        <f>IF($B1457="","",IFERROR(INDEX(Task_Tracker!$D$5:$D$1004,MATCH($B1457,Task_Tracker!$A$5:$A$1004,0)),""))</f>
        <v/>
      </c>
      <c r="D1457" s="67">
        <f>IF($B1457="","",IFERROR(INDEX(Task_Tracker!$B$5:$B$1004,MATCH($B1457,Task_Tracker!$A$5:$A$1004,0)),""))</f>
        <v/>
      </c>
      <c r="E1457" s="81" t="n"/>
      <c r="F1457" s="81" t="n"/>
      <c r="G1457" s="78" t="n"/>
      <c r="H1457" s="78" t="n"/>
      <c r="I1457" s="67">
        <f>IF($H1457="","",IFERROR(INDEX(Action_Status_Map!$B$5:$B$11,MATCH($H1457,Action_Status_Map!$A$5:$A$11,0)),""))</f>
        <v/>
      </c>
      <c r="J1457" s="82" t="n"/>
      <c r="K1457" s="82" t="n"/>
      <c r="L1457" s="82" t="n"/>
      <c r="M1457" s="83" t="n"/>
      <c r="N1457" s="83" t="n"/>
      <c r="O1457" s="66">
        <f>IF(OR($M1457="",$N1457=""),"",$N1457-$M1457)</f>
        <v/>
      </c>
      <c r="P1457" s="84">
        <f>IF($J1457="","",IF($L1457&lt;&gt;"",$L1457-$J1457,TODAY()-$J1457))</f>
        <v/>
      </c>
      <c r="Q1457" s="85">
        <f>IF(OR($K1457="",$H1457="Completed",$H1457="Cancelled"),"",IF(AND($K1457&lt;TODAY(),$H1457&lt;&gt;"Completed",$H1457&lt;&gt;"Cancelled"),"Overdue","On Track"))</f>
        <v/>
      </c>
      <c r="R1457" s="81" t="n"/>
      <c r="S1457" s="81">
        <f>IF($B1457="","",IFERROR(INDEX(Task_Tracker!$AA$5:$AA$1004,MATCH($B1457,Task_Tracker!$A$5:$A$1004,0)),""))</f>
        <v/>
      </c>
      <c r="T1457" s="81">
        <f>IF($B1457="","",IFERROR(INDEX(Task_Tracker!$AB$5:$AB$1004,MATCH($B1457,Task_Tracker!$A$5:$A$1004,0)),""))</f>
        <v/>
      </c>
      <c r="U1457" s="78">
        <f>IF($B1457="","",IFERROR(INDEX(Task_Tracker!$F$5:$F$1004,MATCH($B1457,Task_Tracker!$A$5:$A$1004,0)),""))</f>
        <v/>
      </c>
      <c r="V1457" s="78">
        <f>IF($B1457="","",IFERROR(INDEX(Task_Tracker!$I$5:$I$1004,MATCH($B1457,Task_Tracker!$A$5:$A$1004,0)),""))</f>
        <v/>
      </c>
      <c r="W1457" s="81">
        <f>IF(OR($D1457="",$B1457=""),"",$D1457&amp;" | "&amp;$B1457)</f>
        <v/>
      </c>
      <c r="X1457" s="85">
        <f>IF($K1457="","",TEXT($K1457,"yyyy-mm"))</f>
        <v/>
      </c>
      <c r="Y1457" s="81">
        <f>IF(OR($A1457="",$T1457=""),"","Included in Manager_Report")</f>
        <v/>
      </c>
    </row>
    <row r="1458" ht="15" customHeight="1" s="40">
      <c r="A1458" s="65">
        <f>IF(COUNTA(B1458:G1458)=0,"","STP-"&amp;TEXT(ROW()-4,"0000"))</f>
        <v/>
      </c>
      <c r="B1458" s="78" t="n"/>
      <c r="C1458" s="67">
        <f>IF($B1458="","",IFERROR(INDEX(Task_Tracker!$D$5:$D$1004,MATCH($B1458,Task_Tracker!$A$5:$A$1004,0)),""))</f>
        <v/>
      </c>
      <c r="D1458" s="67">
        <f>IF($B1458="","",IFERROR(INDEX(Task_Tracker!$B$5:$B$1004,MATCH($B1458,Task_Tracker!$A$5:$A$1004,0)),""))</f>
        <v/>
      </c>
      <c r="E1458" s="81" t="n"/>
      <c r="F1458" s="81" t="n"/>
      <c r="G1458" s="78" t="n"/>
      <c r="H1458" s="78" t="n"/>
      <c r="I1458" s="67">
        <f>IF($H1458="","",IFERROR(INDEX(Action_Status_Map!$B$5:$B$11,MATCH($H1458,Action_Status_Map!$A$5:$A$11,0)),""))</f>
        <v/>
      </c>
      <c r="J1458" s="82" t="n"/>
      <c r="K1458" s="82" t="n"/>
      <c r="L1458" s="82" t="n"/>
      <c r="M1458" s="83" t="n"/>
      <c r="N1458" s="83" t="n"/>
      <c r="O1458" s="66">
        <f>IF(OR($M1458="",$N1458=""),"",$N1458-$M1458)</f>
        <v/>
      </c>
      <c r="P1458" s="84">
        <f>IF($J1458="","",IF($L1458&lt;&gt;"",$L1458-$J1458,TODAY()-$J1458))</f>
        <v/>
      </c>
      <c r="Q1458" s="85">
        <f>IF(OR($K1458="",$H1458="Completed",$H1458="Cancelled"),"",IF(AND($K1458&lt;TODAY(),$H1458&lt;&gt;"Completed",$H1458&lt;&gt;"Cancelled"),"Overdue","On Track"))</f>
        <v/>
      </c>
      <c r="R1458" s="81" t="n"/>
      <c r="S1458" s="81">
        <f>IF($B1458="","",IFERROR(INDEX(Task_Tracker!$AA$5:$AA$1004,MATCH($B1458,Task_Tracker!$A$5:$A$1004,0)),""))</f>
        <v/>
      </c>
      <c r="T1458" s="81">
        <f>IF($B1458="","",IFERROR(INDEX(Task_Tracker!$AB$5:$AB$1004,MATCH($B1458,Task_Tracker!$A$5:$A$1004,0)),""))</f>
        <v/>
      </c>
      <c r="U1458" s="78">
        <f>IF($B1458="","",IFERROR(INDEX(Task_Tracker!$F$5:$F$1004,MATCH($B1458,Task_Tracker!$A$5:$A$1004,0)),""))</f>
        <v/>
      </c>
      <c r="V1458" s="78">
        <f>IF($B1458="","",IFERROR(INDEX(Task_Tracker!$I$5:$I$1004,MATCH($B1458,Task_Tracker!$A$5:$A$1004,0)),""))</f>
        <v/>
      </c>
      <c r="W1458" s="81">
        <f>IF(OR($D1458="",$B1458=""),"",$D1458&amp;" | "&amp;$B1458)</f>
        <v/>
      </c>
      <c r="X1458" s="85">
        <f>IF($K1458="","",TEXT($K1458,"yyyy-mm"))</f>
        <v/>
      </c>
      <c r="Y1458" s="81">
        <f>IF(OR($A1458="",$T1458=""),"","Included in Manager_Report")</f>
        <v/>
      </c>
    </row>
    <row r="1459" ht="15" customHeight="1" s="40">
      <c r="A1459" s="65">
        <f>IF(COUNTA(B1459:G1459)=0,"","STP-"&amp;TEXT(ROW()-4,"0000"))</f>
        <v/>
      </c>
      <c r="B1459" s="78" t="n"/>
      <c r="C1459" s="67">
        <f>IF($B1459="","",IFERROR(INDEX(Task_Tracker!$D$5:$D$1004,MATCH($B1459,Task_Tracker!$A$5:$A$1004,0)),""))</f>
        <v/>
      </c>
      <c r="D1459" s="67">
        <f>IF($B1459="","",IFERROR(INDEX(Task_Tracker!$B$5:$B$1004,MATCH($B1459,Task_Tracker!$A$5:$A$1004,0)),""))</f>
        <v/>
      </c>
      <c r="E1459" s="81" t="n"/>
      <c r="F1459" s="81" t="n"/>
      <c r="G1459" s="78" t="n"/>
      <c r="H1459" s="78" t="n"/>
      <c r="I1459" s="67">
        <f>IF($H1459="","",IFERROR(INDEX(Action_Status_Map!$B$5:$B$11,MATCH($H1459,Action_Status_Map!$A$5:$A$11,0)),""))</f>
        <v/>
      </c>
      <c r="J1459" s="82" t="n"/>
      <c r="K1459" s="82" t="n"/>
      <c r="L1459" s="82" t="n"/>
      <c r="M1459" s="83" t="n"/>
      <c r="N1459" s="83" t="n"/>
      <c r="O1459" s="66">
        <f>IF(OR($M1459="",$N1459=""),"",$N1459-$M1459)</f>
        <v/>
      </c>
      <c r="P1459" s="84">
        <f>IF($J1459="","",IF($L1459&lt;&gt;"",$L1459-$J1459,TODAY()-$J1459))</f>
        <v/>
      </c>
      <c r="Q1459" s="85">
        <f>IF(OR($K1459="",$H1459="Completed",$H1459="Cancelled"),"",IF(AND($K1459&lt;TODAY(),$H1459&lt;&gt;"Completed",$H1459&lt;&gt;"Cancelled"),"Overdue","On Track"))</f>
        <v/>
      </c>
      <c r="R1459" s="81" t="n"/>
      <c r="S1459" s="81">
        <f>IF($B1459="","",IFERROR(INDEX(Task_Tracker!$AA$5:$AA$1004,MATCH($B1459,Task_Tracker!$A$5:$A$1004,0)),""))</f>
        <v/>
      </c>
      <c r="T1459" s="81">
        <f>IF($B1459="","",IFERROR(INDEX(Task_Tracker!$AB$5:$AB$1004,MATCH($B1459,Task_Tracker!$A$5:$A$1004,0)),""))</f>
        <v/>
      </c>
      <c r="U1459" s="78">
        <f>IF($B1459="","",IFERROR(INDEX(Task_Tracker!$F$5:$F$1004,MATCH($B1459,Task_Tracker!$A$5:$A$1004,0)),""))</f>
        <v/>
      </c>
      <c r="V1459" s="78">
        <f>IF($B1459="","",IFERROR(INDEX(Task_Tracker!$I$5:$I$1004,MATCH($B1459,Task_Tracker!$A$5:$A$1004,0)),""))</f>
        <v/>
      </c>
      <c r="W1459" s="81">
        <f>IF(OR($D1459="",$B1459=""),"",$D1459&amp;" | "&amp;$B1459)</f>
        <v/>
      </c>
      <c r="X1459" s="85">
        <f>IF($K1459="","",TEXT($K1459,"yyyy-mm"))</f>
        <v/>
      </c>
      <c r="Y1459" s="81">
        <f>IF(OR($A1459="",$T1459=""),"","Included in Manager_Report")</f>
        <v/>
      </c>
    </row>
    <row r="1460" ht="15" customHeight="1" s="40">
      <c r="A1460" s="65">
        <f>IF(COUNTA(B1460:G1460)=0,"","STP-"&amp;TEXT(ROW()-4,"0000"))</f>
        <v/>
      </c>
      <c r="B1460" s="78" t="n"/>
      <c r="C1460" s="67">
        <f>IF($B1460="","",IFERROR(INDEX(Task_Tracker!$D$5:$D$1004,MATCH($B1460,Task_Tracker!$A$5:$A$1004,0)),""))</f>
        <v/>
      </c>
      <c r="D1460" s="67">
        <f>IF($B1460="","",IFERROR(INDEX(Task_Tracker!$B$5:$B$1004,MATCH($B1460,Task_Tracker!$A$5:$A$1004,0)),""))</f>
        <v/>
      </c>
      <c r="E1460" s="81" t="n"/>
      <c r="F1460" s="81" t="n"/>
      <c r="G1460" s="78" t="n"/>
      <c r="H1460" s="78" t="n"/>
      <c r="I1460" s="67">
        <f>IF($H1460="","",IFERROR(INDEX(Action_Status_Map!$B$5:$B$11,MATCH($H1460,Action_Status_Map!$A$5:$A$11,0)),""))</f>
        <v/>
      </c>
      <c r="J1460" s="82" t="n"/>
      <c r="K1460" s="82" t="n"/>
      <c r="L1460" s="82" t="n"/>
      <c r="M1460" s="83" t="n"/>
      <c r="N1460" s="83" t="n"/>
      <c r="O1460" s="66">
        <f>IF(OR($M1460="",$N1460=""),"",$N1460-$M1460)</f>
        <v/>
      </c>
      <c r="P1460" s="84">
        <f>IF($J1460="","",IF($L1460&lt;&gt;"",$L1460-$J1460,TODAY()-$J1460))</f>
        <v/>
      </c>
      <c r="Q1460" s="85">
        <f>IF(OR($K1460="",$H1460="Completed",$H1460="Cancelled"),"",IF(AND($K1460&lt;TODAY(),$H1460&lt;&gt;"Completed",$H1460&lt;&gt;"Cancelled"),"Overdue","On Track"))</f>
        <v/>
      </c>
      <c r="R1460" s="81" t="n"/>
      <c r="S1460" s="81">
        <f>IF($B1460="","",IFERROR(INDEX(Task_Tracker!$AA$5:$AA$1004,MATCH($B1460,Task_Tracker!$A$5:$A$1004,0)),""))</f>
        <v/>
      </c>
      <c r="T1460" s="81">
        <f>IF($B1460="","",IFERROR(INDEX(Task_Tracker!$AB$5:$AB$1004,MATCH($B1460,Task_Tracker!$A$5:$A$1004,0)),""))</f>
        <v/>
      </c>
      <c r="U1460" s="78">
        <f>IF($B1460="","",IFERROR(INDEX(Task_Tracker!$F$5:$F$1004,MATCH($B1460,Task_Tracker!$A$5:$A$1004,0)),""))</f>
        <v/>
      </c>
      <c r="V1460" s="78">
        <f>IF($B1460="","",IFERROR(INDEX(Task_Tracker!$I$5:$I$1004,MATCH($B1460,Task_Tracker!$A$5:$A$1004,0)),""))</f>
        <v/>
      </c>
      <c r="W1460" s="81">
        <f>IF(OR($D1460="",$B1460=""),"",$D1460&amp;" | "&amp;$B1460)</f>
        <v/>
      </c>
      <c r="X1460" s="85">
        <f>IF($K1460="","",TEXT($K1460,"yyyy-mm"))</f>
        <v/>
      </c>
      <c r="Y1460" s="81">
        <f>IF(OR($A1460="",$T1460=""),"","Included in Manager_Report")</f>
        <v/>
      </c>
    </row>
    <row r="1461" ht="15" customHeight="1" s="40">
      <c r="A1461" s="65">
        <f>IF(COUNTA(B1461:G1461)=0,"","STP-"&amp;TEXT(ROW()-4,"0000"))</f>
        <v/>
      </c>
      <c r="B1461" s="78" t="n"/>
      <c r="C1461" s="67">
        <f>IF($B1461="","",IFERROR(INDEX(Task_Tracker!$D$5:$D$1004,MATCH($B1461,Task_Tracker!$A$5:$A$1004,0)),""))</f>
        <v/>
      </c>
      <c r="D1461" s="67">
        <f>IF($B1461="","",IFERROR(INDEX(Task_Tracker!$B$5:$B$1004,MATCH($B1461,Task_Tracker!$A$5:$A$1004,0)),""))</f>
        <v/>
      </c>
      <c r="E1461" s="81" t="n"/>
      <c r="F1461" s="81" t="n"/>
      <c r="G1461" s="78" t="n"/>
      <c r="H1461" s="78" t="n"/>
      <c r="I1461" s="67">
        <f>IF($H1461="","",IFERROR(INDEX(Action_Status_Map!$B$5:$B$11,MATCH($H1461,Action_Status_Map!$A$5:$A$11,0)),""))</f>
        <v/>
      </c>
      <c r="J1461" s="82" t="n"/>
      <c r="K1461" s="82" t="n"/>
      <c r="L1461" s="82" t="n"/>
      <c r="M1461" s="83" t="n"/>
      <c r="N1461" s="83" t="n"/>
      <c r="O1461" s="66">
        <f>IF(OR($M1461="",$N1461=""),"",$N1461-$M1461)</f>
        <v/>
      </c>
      <c r="P1461" s="84">
        <f>IF($J1461="","",IF($L1461&lt;&gt;"",$L1461-$J1461,TODAY()-$J1461))</f>
        <v/>
      </c>
      <c r="Q1461" s="85">
        <f>IF(OR($K1461="",$H1461="Completed",$H1461="Cancelled"),"",IF(AND($K1461&lt;TODAY(),$H1461&lt;&gt;"Completed",$H1461&lt;&gt;"Cancelled"),"Overdue","On Track"))</f>
        <v/>
      </c>
      <c r="R1461" s="81" t="n"/>
      <c r="S1461" s="81">
        <f>IF($B1461="","",IFERROR(INDEX(Task_Tracker!$AA$5:$AA$1004,MATCH($B1461,Task_Tracker!$A$5:$A$1004,0)),""))</f>
        <v/>
      </c>
      <c r="T1461" s="81">
        <f>IF($B1461="","",IFERROR(INDEX(Task_Tracker!$AB$5:$AB$1004,MATCH($B1461,Task_Tracker!$A$5:$A$1004,0)),""))</f>
        <v/>
      </c>
      <c r="U1461" s="78">
        <f>IF($B1461="","",IFERROR(INDEX(Task_Tracker!$F$5:$F$1004,MATCH($B1461,Task_Tracker!$A$5:$A$1004,0)),""))</f>
        <v/>
      </c>
      <c r="V1461" s="78">
        <f>IF($B1461="","",IFERROR(INDEX(Task_Tracker!$I$5:$I$1004,MATCH($B1461,Task_Tracker!$A$5:$A$1004,0)),""))</f>
        <v/>
      </c>
      <c r="W1461" s="81">
        <f>IF(OR($D1461="",$B1461=""),"",$D1461&amp;" | "&amp;$B1461)</f>
        <v/>
      </c>
      <c r="X1461" s="85">
        <f>IF($K1461="","",TEXT($K1461,"yyyy-mm"))</f>
        <v/>
      </c>
      <c r="Y1461" s="81">
        <f>IF(OR($A1461="",$T1461=""),"","Included in Manager_Report")</f>
        <v/>
      </c>
    </row>
    <row r="1462" ht="15" customHeight="1" s="40">
      <c r="A1462" s="65">
        <f>IF(COUNTA(B1462:G1462)=0,"","STP-"&amp;TEXT(ROW()-4,"0000"))</f>
        <v/>
      </c>
      <c r="B1462" s="78" t="n"/>
      <c r="C1462" s="67">
        <f>IF($B1462="","",IFERROR(INDEX(Task_Tracker!$D$5:$D$1004,MATCH($B1462,Task_Tracker!$A$5:$A$1004,0)),""))</f>
        <v/>
      </c>
      <c r="D1462" s="67">
        <f>IF($B1462="","",IFERROR(INDEX(Task_Tracker!$B$5:$B$1004,MATCH($B1462,Task_Tracker!$A$5:$A$1004,0)),""))</f>
        <v/>
      </c>
      <c r="E1462" s="81" t="n"/>
      <c r="F1462" s="81" t="n"/>
      <c r="G1462" s="78" t="n"/>
      <c r="H1462" s="78" t="n"/>
      <c r="I1462" s="67">
        <f>IF($H1462="","",IFERROR(INDEX(Action_Status_Map!$B$5:$B$11,MATCH($H1462,Action_Status_Map!$A$5:$A$11,0)),""))</f>
        <v/>
      </c>
      <c r="J1462" s="82" t="n"/>
      <c r="K1462" s="82" t="n"/>
      <c r="L1462" s="82" t="n"/>
      <c r="M1462" s="83" t="n"/>
      <c r="N1462" s="83" t="n"/>
      <c r="O1462" s="66">
        <f>IF(OR($M1462="",$N1462=""),"",$N1462-$M1462)</f>
        <v/>
      </c>
      <c r="P1462" s="84">
        <f>IF($J1462="","",IF($L1462&lt;&gt;"",$L1462-$J1462,TODAY()-$J1462))</f>
        <v/>
      </c>
      <c r="Q1462" s="85">
        <f>IF(OR($K1462="",$H1462="Completed",$H1462="Cancelled"),"",IF(AND($K1462&lt;TODAY(),$H1462&lt;&gt;"Completed",$H1462&lt;&gt;"Cancelled"),"Overdue","On Track"))</f>
        <v/>
      </c>
      <c r="R1462" s="81" t="n"/>
      <c r="S1462" s="81">
        <f>IF($B1462="","",IFERROR(INDEX(Task_Tracker!$AA$5:$AA$1004,MATCH($B1462,Task_Tracker!$A$5:$A$1004,0)),""))</f>
        <v/>
      </c>
      <c r="T1462" s="81">
        <f>IF($B1462="","",IFERROR(INDEX(Task_Tracker!$AB$5:$AB$1004,MATCH($B1462,Task_Tracker!$A$5:$A$1004,0)),""))</f>
        <v/>
      </c>
      <c r="U1462" s="78">
        <f>IF($B1462="","",IFERROR(INDEX(Task_Tracker!$F$5:$F$1004,MATCH($B1462,Task_Tracker!$A$5:$A$1004,0)),""))</f>
        <v/>
      </c>
      <c r="V1462" s="78">
        <f>IF($B1462="","",IFERROR(INDEX(Task_Tracker!$I$5:$I$1004,MATCH($B1462,Task_Tracker!$A$5:$A$1004,0)),""))</f>
        <v/>
      </c>
      <c r="W1462" s="81">
        <f>IF(OR($D1462="",$B1462=""),"",$D1462&amp;" | "&amp;$B1462)</f>
        <v/>
      </c>
      <c r="X1462" s="85">
        <f>IF($K1462="","",TEXT($K1462,"yyyy-mm"))</f>
        <v/>
      </c>
      <c r="Y1462" s="81">
        <f>IF(OR($A1462="",$T1462=""),"","Included in Manager_Report")</f>
        <v/>
      </c>
    </row>
    <row r="1463" ht="15" customHeight="1" s="40">
      <c r="A1463" s="65">
        <f>IF(COUNTA(B1463:G1463)=0,"","STP-"&amp;TEXT(ROW()-4,"0000"))</f>
        <v/>
      </c>
      <c r="B1463" s="78" t="n"/>
      <c r="C1463" s="67">
        <f>IF($B1463="","",IFERROR(INDEX(Task_Tracker!$D$5:$D$1004,MATCH($B1463,Task_Tracker!$A$5:$A$1004,0)),""))</f>
        <v/>
      </c>
      <c r="D1463" s="67">
        <f>IF($B1463="","",IFERROR(INDEX(Task_Tracker!$B$5:$B$1004,MATCH($B1463,Task_Tracker!$A$5:$A$1004,0)),""))</f>
        <v/>
      </c>
      <c r="E1463" s="81" t="n"/>
      <c r="F1463" s="81" t="n"/>
      <c r="G1463" s="78" t="n"/>
      <c r="H1463" s="78" t="n"/>
      <c r="I1463" s="67">
        <f>IF($H1463="","",IFERROR(INDEX(Action_Status_Map!$B$5:$B$11,MATCH($H1463,Action_Status_Map!$A$5:$A$11,0)),""))</f>
        <v/>
      </c>
      <c r="J1463" s="82" t="n"/>
      <c r="K1463" s="82" t="n"/>
      <c r="L1463" s="82" t="n"/>
      <c r="M1463" s="83" t="n"/>
      <c r="N1463" s="83" t="n"/>
      <c r="O1463" s="66">
        <f>IF(OR($M1463="",$N1463=""),"",$N1463-$M1463)</f>
        <v/>
      </c>
      <c r="P1463" s="84">
        <f>IF($J1463="","",IF($L1463&lt;&gt;"",$L1463-$J1463,TODAY()-$J1463))</f>
        <v/>
      </c>
      <c r="Q1463" s="85">
        <f>IF(OR($K1463="",$H1463="Completed",$H1463="Cancelled"),"",IF(AND($K1463&lt;TODAY(),$H1463&lt;&gt;"Completed",$H1463&lt;&gt;"Cancelled"),"Overdue","On Track"))</f>
        <v/>
      </c>
      <c r="R1463" s="81" t="n"/>
      <c r="S1463" s="81">
        <f>IF($B1463="","",IFERROR(INDEX(Task_Tracker!$AA$5:$AA$1004,MATCH($B1463,Task_Tracker!$A$5:$A$1004,0)),""))</f>
        <v/>
      </c>
      <c r="T1463" s="81">
        <f>IF($B1463="","",IFERROR(INDEX(Task_Tracker!$AB$5:$AB$1004,MATCH($B1463,Task_Tracker!$A$5:$A$1004,0)),""))</f>
        <v/>
      </c>
      <c r="U1463" s="78">
        <f>IF($B1463="","",IFERROR(INDEX(Task_Tracker!$F$5:$F$1004,MATCH($B1463,Task_Tracker!$A$5:$A$1004,0)),""))</f>
        <v/>
      </c>
      <c r="V1463" s="78">
        <f>IF($B1463="","",IFERROR(INDEX(Task_Tracker!$I$5:$I$1004,MATCH($B1463,Task_Tracker!$A$5:$A$1004,0)),""))</f>
        <v/>
      </c>
      <c r="W1463" s="81">
        <f>IF(OR($D1463="",$B1463=""),"",$D1463&amp;" | "&amp;$B1463)</f>
        <v/>
      </c>
      <c r="X1463" s="85">
        <f>IF($K1463="","",TEXT($K1463,"yyyy-mm"))</f>
        <v/>
      </c>
      <c r="Y1463" s="81">
        <f>IF(OR($A1463="",$T1463=""),"","Included in Manager_Report")</f>
        <v/>
      </c>
    </row>
    <row r="1464" ht="15" customHeight="1" s="40">
      <c r="A1464" s="65">
        <f>IF(COUNTA(B1464:G1464)=0,"","STP-"&amp;TEXT(ROW()-4,"0000"))</f>
        <v/>
      </c>
      <c r="B1464" s="78" t="n"/>
      <c r="C1464" s="67">
        <f>IF($B1464="","",IFERROR(INDEX(Task_Tracker!$D$5:$D$1004,MATCH($B1464,Task_Tracker!$A$5:$A$1004,0)),""))</f>
        <v/>
      </c>
      <c r="D1464" s="67">
        <f>IF($B1464="","",IFERROR(INDEX(Task_Tracker!$B$5:$B$1004,MATCH($B1464,Task_Tracker!$A$5:$A$1004,0)),""))</f>
        <v/>
      </c>
      <c r="E1464" s="81" t="n"/>
      <c r="F1464" s="81" t="n"/>
      <c r="G1464" s="78" t="n"/>
      <c r="H1464" s="78" t="n"/>
      <c r="I1464" s="67">
        <f>IF($H1464="","",IFERROR(INDEX(Action_Status_Map!$B$5:$B$11,MATCH($H1464,Action_Status_Map!$A$5:$A$11,0)),""))</f>
        <v/>
      </c>
      <c r="J1464" s="82" t="n"/>
      <c r="K1464" s="82" t="n"/>
      <c r="L1464" s="82" t="n"/>
      <c r="M1464" s="83" t="n"/>
      <c r="N1464" s="83" t="n"/>
      <c r="O1464" s="66">
        <f>IF(OR($M1464="",$N1464=""),"",$N1464-$M1464)</f>
        <v/>
      </c>
      <c r="P1464" s="84">
        <f>IF($J1464="","",IF($L1464&lt;&gt;"",$L1464-$J1464,TODAY()-$J1464))</f>
        <v/>
      </c>
      <c r="Q1464" s="85">
        <f>IF(OR($K1464="",$H1464="Completed",$H1464="Cancelled"),"",IF(AND($K1464&lt;TODAY(),$H1464&lt;&gt;"Completed",$H1464&lt;&gt;"Cancelled"),"Overdue","On Track"))</f>
        <v/>
      </c>
      <c r="R1464" s="81" t="n"/>
      <c r="S1464" s="81">
        <f>IF($B1464="","",IFERROR(INDEX(Task_Tracker!$AA$5:$AA$1004,MATCH($B1464,Task_Tracker!$A$5:$A$1004,0)),""))</f>
        <v/>
      </c>
      <c r="T1464" s="81">
        <f>IF($B1464="","",IFERROR(INDEX(Task_Tracker!$AB$5:$AB$1004,MATCH($B1464,Task_Tracker!$A$5:$A$1004,0)),""))</f>
        <v/>
      </c>
      <c r="U1464" s="78">
        <f>IF($B1464="","",IFERROR(INDEX(Task_Tracker!$F$5:$F$1004,MATCH($B1464,Task_Tracker!$A$5:$A$1004,0)),""))</f>
        <v/>
      </c>
      <c r="V1464" s="78">
        <f>IF($B1464="","",IFERROR(INDEX(Task_Tracker!$I$5:$I$1004,MATCH($B1464,Task_Tracker!$A$5:$A$1004,0)),""))</f>
        <v/>
      </c>
      <c r="W1464" s="81">
        <f>IF(OR($D1464="",$B1464=""),"",$D1464&amp;" | "&amp;$B1464)</f>
        <v/>
      </c>
      <c r="X1464" s="85">
        <f>IF($K1464="","",TEXT($K1464,"yyyy-mm"))</f>
        <v/>
      </c>
      <c r="Y1464" s="81">
        <f>IF(OR($A1464="",$T1464=""),"","Included in Manager_Report")</f>
        <v/>
      </c>
    </row>
    <row r="1465" ht="15" customHeight="1" s="40">
      <c r="A1465" s="65">
        <f>IF(COUNTA(B1465:G1465)=0,"","STP-"&amp;TEXT(ROW()-4,"0000"))</f>
        <v/>
      </c>
      <c r="B1465" s="78" t="n"/>
      <c r="C1465" s="67">
        <f>IF($B1465="","",IFERROR(INDEX(Task_Tracker!$D$5:$D$1004,MATCH($B1465,Task_Tracker!$A$5:$A$1004,0)),""))</f>
        <v/>
      </c>
      <c r="D1465" s="67">
        <f>IF($B1465="","",IFERROR(INDEX(Task_Tracker!$B$5:$B$1004,MATCH($B1465,Task_Tracker!$A$5:$A$1004,0)),""))</f>
        <v/>
      </c>
      <c r="E1465" s="81" t="n"/>
      <c r="F1465" s="81" t="n"/>
      <c r="G1465" s="78" t="n"/>
      <c r="H1465" s="78" t="n"/>
      <c r="I1465" s="67">
        <f>IF($H1465="","",IFERROR(INDEX(Action_Status_Map!$B$5:$B$11,MATCH($H1465,Action_Status_Map!$A$5:$A$11,0)),""))</f>
        <v/>
      </c>
      <c r="J1465" s="82" t="n"/>
      <c r="K1465" s="82" t="n"/>
      <c r="L1465" s="82" t="n"/>
      <c r="M1465" s="83" t="n"/>
      <c r="N1465" s="83" t="n"/>
      <c r="O1465" s="66">
        <f>IF(OR($M1465="",$N1465=""),"",$N1465-$M1465)</f>
        <v/>
      </c>
      <c r="P1465" s="84">
        <f>IF($J1465="","",IF($L1465&lt;&gt;"",$L1465-$J1465,TODAY()-$J1465))</f>
        <v/>
      </c>
      <c r="Q1465" s="85">
        <f>IF(OR($K1465="",$H1465="Completed",$H1465="Cancelled"),"",IF(AND($K1465&lt;TODAY(),$H1465&lt;&gt;"Completed",$H1465&lt;&gt;"Cancelled"),"Overdue","On Track"))</f>
        <v/>
      </c>
      <c r="R1465" s="81" t="n"/>
      <c r="S1465" s="81">
        <f>IF($B1465="","",IFERROR(INDEX(Task_Tracker!$AA$5:$AA$1004,MATCH($B1465,Task_Tracker!$A$5:$A$1004,0)),""))</f>
        <v/>
      </c>
      <c r="T1465" s="81">
        <f>IF($B1465="","",IFERROR(INDEX(Task_Tracker!$AB$5:$AB$1004,MATCH($B1465,Task_Tracker!$A$5:$A$1004,0)),""))</f>
        <v/>
      </c>
      <c r="U1465" s="78">
        <f>IF($B1465="","",IFERROR(INDEX(Task_Tracker!$F$5:$F$1004,MATCH($B1465,Task_Tracker!$A$5:$A$1004,0)),""))</f>
        <v/>
      </c>
      <c r="V1465" s="78">
        <f>IF($B1465="","",IFERROR(INDEX(Task_Tracker!$I$5:$I$1004,MATCH($B1465,Task_Tracker!$A$5:$A$1004,0)),""))</f>
        <v/>
      </c>
      <c r="W1465" s="81">
        <f>IF(OR($D1465="",$B1465=""),"",$D1465&amp;" | "&amp;$B1465)</f>
        <v/>
      </c>
      <c r="X1465" s="85">
        <f>IF($K1465="","",TEXT($K1465,"yyyy-mm"))</f>
        <v/>
      </c>
      <c r="Y1465" s="81">
        <f>IF(OR($A1465="",$T1465=""),"","Included in Manager_Report")</f>
        <v/>
      </c>
    </row>
    <row r="1466" ht="15" customHeight="1" s="40">
      <c r="A1466" s="65">
        <f>IF(COUNTA(B1466:G1466)=0,"","STP-"&amp;TEXT(ROW()-4,"0000"))</f>
        <v/>
      </c>
      <c r="B1466" s="78" t="n"/>
      <c r="C1466" s="67">
        <f>IF($B1466="","",IFERROR(INDEX(Task_Tracker!$D$5:$D$1004,MATCH($B1466,Task_Tracker!$A$5:$A$1004,0)),""))</f>
        <v/>
      </c>
      <c r="D1466" s="67">
        <f>IF($B1466="","",IFERROR(INDEX(Task_Tracker!$B$5:$B$1004,MATCH($B1466,Task_Tracker!$A$5:$A$1004,0)),""))</f>
        <v/>
      </c>
      <c r="E1466" s="81" t="n"/>
      <c r="F1466" s="81" t="n"/>
      <c r="G1466" s="78" t="n"/>
      <c r="H1466" s="78" t="n"/>
      <c r="I1466" s="67">
        <f>IF($H1466="","",IFERROR(INDEX(Action_Status_Map!$B$5:$B$11,MATCH($H1466,Action_Status_Map!$A$5:$A$11,0)),""))</f>
        <v/>
      </c>
      <c r="J1466" s="82" t="n"/>
      <c r="K1466" s="82" t="n"/>
      <c r="L1466" s="82" t="n"/>
      <c r="M1466" s="83" t="n"/>
      <c r="N1466" s="83" t="n"/>
      <c r="O1466" s="66">
        <f>IF(OR($M1466="",$N1466=""),"",$N1466-$M1466)</f>
        <v/>
      </c>
      <c r="P1466" s="84">
        <f>IF($J1466="","",IF($L1466&lt;&gt;"",$L1466-$J1466,TODAY()-$J1466))</f>
        <v/>
      </c>
      <c r="Q1466" s="85">
        <f>IF(OR($K1466="",$H1466="Completed",$H1466="Cancelled"),"",IF(AND($K1466&lt;TODAY(),$H1466&lt;&gt;"Completed",$H1466&lt;&gt;"Cancelled"),"Overdue","On Track"))</f>
        <v/>
      </c>
      <c r="R1466" s="81" t="n"/>
      <c r="S1466" s="81">
        <f>IF($B1466="","",IFERROR(INDEX(Task_Tracker!$AA$5:$AA$1004,MATCH($B1466,Task_Tracker!$A$5:$A$1004,0)),""))</f>
        <v/>
      </c>
      <c r="T1466" s="81">
        <f>IF($B1466="","",IFERROR(INDEX(Task_Tracker!$AB$5:$AB$1004,MATCH($B1466,Task_Tracker!$A$5:$A$1004,0)),""))</f>
        <v/>
      </c>
      <c r="U1466" s="78">
        <f>IF($B1466="","",IFERROR(INDEX(Task_Tracker!$F$5:$F$1004,MATCH($B1466,Task_Tracker!$A$5:$A$1004,0)),""))</f>
        <v/>
      </c>
      <c r="V1466" s="78">
        <f>IF($B1466="","",IFERROR(INDEX(Task_Tracker!$I$5:$I$1004,MATCH($B1466,Task_Tracker!$A$5:$A$1004,0)),""))</f>
        <v/>
      </c>
      <c r="W1466" s="81">
        <f>IF(OR($D1466="",$B1466=""),"",$D1466&amp;" | "&amp;$B1466)</f>
        <v/>
      </c>
      <c r="X1466" s="85">
        <f>IF($K1466="","",TEXT($K1466,"yyyy-mm"))</f>
        <v/>
      </c>
      <c r="Y1466" s="81">
        <f>IF(OR($A1466="",$T1466=""),"","Included in Manager_Report")</f>
        <v/>
      </c>
    </row>
    <row r="1467" ht="15" customHeight="1" s="40">
      <c r="A1467" s="65">
        <f>IF(COUNTA(B1467:G1467)=0,"","STP-"&amp;TEXT(ROW()-4,"0000"))</f>
        <v/>
      </c>
      <c r="B1467" s="78" t="n"/>
      <c r="C1467" s="67">
        <f>IF($B1467="","",IFERROR(INDEX(Task_Tracker!$D$5:$D$1004,MATCH($B1467,Task_Tracker!$A$5:$A$1004,0)),""))</f>
        <v/>
      </c>
      <c r="D1467" s="67">
        <f>IF($B1467="","",IFERROR(INDEX(Task_Tracker!$B$5:$B$1004,MATCH($B1467,Task_Tracker!$A$5:$A$1004,0)),""))</f>
        <v/>
      </c>
      <c r="E1467" s="81" t="n"/>
      <c r="F1467" s="81" t="n"/>
      <c r="G1467" s="78" t="n"/>
      <c r="H1467" s="78" t="n"/>
      <c r="I1467" s="67">
        <f>IF($H1467="","",IFERROR(INDEX(Action_Status_Map!$B$5:$B$11,MATCH($H1467,Action_Status_Map!$A$5:$A$11,0)),""))</f>
        <v/>
      </c>
      <c r="J1467" s="82" t="n"/>
      <c r="K1467" s="82" t="n"/>
      <c r="L1467" s="82" t="n"/>
      <c r="M1467" s="83" t="n"/>
      <c r="N1467" s="83" t="n"/>
      <c r="O1467" s="66">
        <f>IF(OR($M1467="",$N1467=""),"",$N1467-$M1467)</f>
        <v/>
      </c>
      <c r="P1467" s="84">
        <f>IF($J1467="","",IF($L1467&lt;&gt;"",$L1467-$J1467,TODAY()-$J1467))</f>
        <v/>
      </c>
      <c r="Q1467" s="85">
        <f>IF(OR($K1467="",$H1467="Completed",$H1467="Cancelled"),"",IF(AND($K1467&lt;TODAY(),$H1467&lt;&gt;"Completed",$H1467&lt;&gt;"Cancelled"),"Overdue","On Track"))</f>
        <v/>
      </c>
      <c r="R1467" s="81" t="n"/>
      <c r="S1467" s="81">
        <f>IF($B1467="","",IFERROR(INDEX(Task_Tracker!$AA$5:$AA$1004,MATCH($B1467,Task_Tracker!$A$5:$A$1004,0)),""))</f>
        <v/>
      </c>
      <c r="T1467" s="81">
        <f>IF($B1467="","",IFERROR(INDEX(Task_Tracker!$AB$5:$AB$1004,MATCH($B1467,Task_Tracker!$A$5:$A$1004,0)),""))</f>
        <v/>
      </c>
      <c r="U1467" s="78">
        <f>IF($B1467="","",IFERROR(INDEX(Task_Tracker!$F$5:$F$1004,MATCH($B1467,Task_Tracker!$A$5:$A$1004,0)),""))</f>
        <v/>
      </c>
      <c r="V1467" s="78">
        <f>IF($B1467="","",IFERROR(INDEX(Task_Tracker!$I$5:$I$1004,MATCH($B1467,Task_Tracker!$A$5:$A$1004,0)),""))</f>
        <v/>
      </c>
      <c r="W1467" s="81">
        <f>IF(OR($D1467="",$B1467=""),"",$D1467&amp;" | "&amp;$B1467)</f>
        <v/>
      </c>
      <c r="X1467" s="85">
        <f>IF($K1467="","",TEXT($K1467,"yyyy-mm"))</f>
        <v/>
      </c>
      <c r="Y1467" s="81">
        <f>IF(OR($A1467="",$T1467=""),"","Included in Manager_Report")</f>
        <v/>
      </c>
    </row>
    <row r="1468" ht="15" customHeight="1" s="40">
      <c r="A1468" s="65">
        <f>IF(COUNTA(B1468:G1468)=0,"","STP-"&amp;TEXT(ROW()-4,"0000"))</f>
        <v/>
      </c>
      <c r="B1468" s="78" t="n"/>
      <c r="C1468" s="67">
        <f>IF($B1468="","",IFERROR(INDEX(Task_Tracker!$D$5:$D$1004,MATCH($B1468,Task_Tracker!$A$5:$A$1004,0)),""))</f>
        <v/>
      </c>
      <c r="D1468" s="67">
        <f>IF($B1468="","",IFERROR(INDEX(Task_Tracker!$B$5:$B$1004,MATCH($B1468,Task_Tracker!$A$5:$A$1004,0)),""))</f>
        <v/>
      </c>
      <c r="E1468" s="81" t="n"/>
      <c r="F1468" s="81" t="n"/>
      <c r="G1468" s="78" t="n"/>
      <c r="H1468" s="78" t="n"/>
      <c r="I1468" s="67">
        <f>IF($H1468="","",IFERROR(INDEX(Action_Status_Map!$B$5:$B$11,MATCH($H1468,Action_Status_Map!$A$5:$A$11,0)),""))</f>
        <v/>
      </c>
      <c r="J1468" s="82" t="n"/>
      <c r="K1468" s="82" t="n"/>
      <c r="L1468" s="82" t="n"/>
      <c r="M1468" s="83" t="n"/>
      <c r="N1468" s="83" t="n"/>
      <c r="O1468" s="66">
        <f>IF(OR($M1468="",$N1468=""),"",$N1468-$M1468)</f>
        <v/>
      </c>
      <c r="P1468" s="84">
        <f>IF($J1468="","",IF($L1468&lt;&gt;"",$L1468-$J1468,TODAY()-$J1468))</f>
        <v/>
      </c>
      <c r="Q1468" s="85">
        <f>IF(OR($K1468="",$H1468="Completed",$H1468="Cancelled"),"",IF(AND($K1468&lt;TODAY(),$H1468&lt;&gt;"Completed",$H1468&lt;&gt;"Cancelled"),"Overdue","On Track"))</f>
        <v/>
      </c>
      <c r="R1468" s="81" t="n"/>
      <c r="S1468" s="81">
        <f>IF($B1468="","",IFERROR(INDEX(Task_Tracker!$AA$5:$AA$1004,MATCH($B1468,Task_Tracker!$A$5:$A$1004,0)),""))</f>
        <v/>
      </c>
      <c r="T1468" s="81">
        <f>IF($B1468="","",IFERROR(INDEX(Task_Tracker!$AB$5:$AB$1004,MATCH($B1468,Task_Tracker!$A$5:$A$1004,0)),""))</f>
        <v/>
      </c>
      <c r="U1468" s="78">
        <f>IF($B1468="","",IFERROR(INDEX(Task_Tracker!$F$5:$F$1004,MATCH($B1468,Task_Tracker!$A$5:$A$1004,0)),""))</f>
        <v/>
      </c>
      <c r="V1468" s="78">
        <f>IF($B1468="","",IFERROR(INDEX(Task_Tracker!$I$5:$I$1004,MATCH($B1468,Task_Tracker!$A$5:$A$1004,0)),""))</f>
        <v/>
      </c>
      <c r="W1468" s="81">
        <f>IF(OR($D1468="",$B1468=""),"",$D1468&amp;" | "&amp;$B1468)</f>
        <v/>
      </c>
      <c r="X1468" s="85">
        <f>IF($K1468="","",TEXT($K1468,"yyyy-mm"))</f>
        <v/>
      </c>
      <c r="Y1468" s="81">
        <f>IF(OR($A1468="",$T1468=""),"","Included in Manager_Report")</f>
        <v/>
      </c>
    </row>
    <row r="1469" ht="15" customHeight="1" s="40">
      <c r="A1469" s="65">
        <f>IF(COUNTA(B1469:G1469)=0,"","STP-"&amp;TEXT(ROW()-4,"0000"))</f>
        <v/>
      </c>
      <c r="B1469" s="78" t="n"/>
      <c r="C1469" s="67">
        <f>IF($B1469="","",IFERROR(INDEX(Task_Tracker!$D$5:$D$1004,MATCH($B1469,Task_Tracker!$A$5:$A$1004,0)),""))</f>
        <v/>
      </c>
      <c r="D1469" s="67">
        <f>IF($B1469="","",IFERROR(INDEX(Task_Tracker!$B$5:$B$1004,MATCH($B1469,Task_Tracker!$A$5:$A$1004,0)),""))</f>
        <v/>
      </c>
      <c r="E1469" s="81" t="n"/>
      <c r="F1469" s="81" t="n"/>
      <c r="G1469" s="78" t="n"/>
      <c r="H1469" s="78" t="n"/>
      <c r="I1469" s="67">
        <f>IF($H1469="","",IFERROR(INDEX(Action_Status_Map!$B$5:$B$11,MATCH($H1469,Action_Status_Map!$A$5:$A$11,0)),""))</f>
        <v/>
      </c>
      <c r="J1469" s="82" t="n"/>
      <c r="K1469" s="82" t="n"/>
      <c r="L1469" s="82" t="n"/>
      <c r="M1469" s="83" t="n"/>
      <c r="N1469" s="83" t="n"/>
      <c r="O1469" s="66">
        <f>IF(OR($M1469="",$N1469=""),"",$N1469-$M1469)</f>
        <v/>
      </c>
      <c r="P1469" s="84">
        <f>IF($J1469="","",IF($L1469&lt;&gt;"",$L1469-$J1469,TODAY()-$J1469))</f>
        <v/>
      </c>
      <c r="Q1469" s="85">
        <f>IF(OR($K1469="",$H1469="Completed",$H1469="Cancelled"),"",IF(AND($K1469&lt;TODAY(),$H1469&lt;&gt;"Completed",$H1469&lt;&gt;"Cancelled"),"Overdue","On Track"))</f>
        <v/>
      </c>
      <c r="R1469" s="81" t="n"/>
      <c r="S1469" s="81">
        <f>IF($B1469="","",IFERROR(INDEX(Task_Tracker!$AA$5:$AA$1004,MATCH($B1469,Task_Tracker!$A$5:$A$1004,0)),""))</f>
        <v/>
      </c>
      <c r="T1469" s="81">
        <f>IF($B1469="","",IFERROR(INDEX(Task_Tracker!$AB$5:$AB$1004,MATCH($B1469,Task_Tracker!$A$5:$A$1004,0)),""))</f>
        <v/>
      </c>
      <c r="U1469" s="78">
        <f>IF($B1469="","",IFERROR(INDEX(Task_Tracker!$F$5:$F$1004,MATCH($B1469,Task_Tracker!$A$5:$A$1004,0)),""))</f>
        <v/>
      </c>
      <c r="V1469" s="78">
        <f>IF($B1469="","",IFERROR(INDEX(Task_Tracker!$I$5:$I$1004,MATCH($B1469,Task_Tracker!$A$5:$A$1004,0)),""))</f>
        <v/>
      </c>
      <c r="W1469" s="81">
        <f>IF(OR($D1469="",$B1469=""),"",$D1469&amp;" | "&amp;$B1469)</f>
        <v/>
      </c>
      <c r="X1469" s="85">
        <f>IF($K1469="","",TEXT($K1469,"yyyy-mm"))</f>
        <v/>
      </c>
      <c r="Y1469" s="81">
        <f>IF(OR($A1469="",$T1469=""),"","Included in Manager_Report")</f>
        <v/>
      </c>
    </row>
    <row r="1470" ht="15" customHeight="1" s="40">
      <c r="A1470" s="65">
        <f>IF(COUNTA(B1470:G1470)=0,"","STP-"&amp;TEXT(ROW()-4,"0000"))</f>
        <v/>
      </c>
      <c r="B1470" s="78" t="n"/>
      <c r="C1470" s="67">
        <f>IF($B1470="","",IFERROR(INDEX(Task_Tracker!$D$5:$D$1004,MATCH($B1470,Task_Tracker!$A$5:$A$1004,0)),""))</f>
        <v/>
      </c>
      <c r="D1470" s="67">
        <f>IF($B1470="","",IFERROR(INDEX(Task_Tracker!$B$5:$B$1004,MATCH($B1470,Task_Tracker!$A$5:$A$1004,0)),""))</f>
        <v/>
      </c>
      <c r="E1470" s="81" t="n"/>
      <c r="F1470" s="81" t="n"/>
      <c r="G1470" s="78" t="n"/>
      <c r="H1470" s="78" t="n"/>
      <c r="I1470" s="67">
        <f>IF($H1470="","",IFERROR(INDEX(Action_Status_Map!$B$5:$B$11,MATCH($H1470,Action_Status_Map!$A$5:$A$11,0)),""))</f>
        <v/>
      </c>
      <c r="J1470" s="82" t="n"/>
      <c r="K1470" s="82" t="n"/>
      <c r="L1470" s="82" t="n"/>
      <c r="M1470" s="83" t="n"/>
      <c r="N1470" s="83" t="n"/>
      <c r="O1470" s="66">
        <f>IF(OR($M1470="",$N1470=""),"",$N1470-$M1470)</f>
        <v/>
      </c>
      <c r="P1470" s="84">
        <f>IF($J1470="","",IF($L1470&lt;&gt;"",$L1470-$J1470,TODAY()-$J1470))</f>
        <v/>
      </c>
      <c r="Q1470" s="85">
        <f>IF(OR($K1470="",$H1470="Completed",$H1470="Cancelled"),"",IF(AND($K1470&lt;TODAY(),$H1470&lt;&gt;"Completed",$H1470&lt;&gt;"Cancelled"),"Overdue","On Track"))</f>
        <v/>
      </c>
      <c r="R1470" s="81" t="n"/>
      <c r="S1470" s="81">
        <f>IF($B1470="","",IFERROR(INDEX(Task_Tracker!$AA$5:$AA$1004,MATCH($B1470,Task_Tracker!$A$5:$A$1004,0)),""))</f>
        <v/>
      </c>
      <c r="T1470" s="81">
        <f>IF($B1470="","",IFERROR(INDEX(Task_Tracker!$AB$5:$AB$1004,MATCH($B1470,Task_Tracker!$A$5:$A$1004,0)),""))</f>
        <v/>
      </c>
      <c r="U1470" s="78">
        <f>IF($B1470="","",IFERROR(INDEX(Task_Tracker!$F$5:$F$1004,MATCH($B1470,Task_Tracker!$A$5:$A$1004,0)),""))</f>
        <v/>
      </c>
      <c r="V1470" s="78">
        <f>IF($B1470="","",IFERROR(INDEX(Task_Tracker!$I$5:$I$1004,MATCH($B1470,Task_Tracker!$A$5:$A$1004,0)),""))</f>
        <v/>
      </c>
      <c r="W1470" s="81">
        <f>IF(OR($D1470="",$B1470=""),"",$D1470&amp;" | "&amp;$B1470)</f>
        <v/>
      </c>
      <c r="X1470" s="85">
        <f>IF($K1470="","",TEXT($K1470,"yyyy-mm"))</f>
        <v/>
      </c>
      <c r="Y1470" s="81">
        <f>IF(OR($A1470="",$T1470=""),"","Included in Manager_Report")</f>
        <v/>
      </c>
    </row>
    <row r="1471" ht="15" customHeight="1" s="40">
      <c r="A1471" s="65">
        <f>IF(COUNTA(B1471:G1471)=0,"","STP-"&amp;TEXT(ROW()-4,"0000"))</f>
        <v/>
      </c>
      <c r="B1471" s="78" t="n"/>
      <c r="C1471" s="67">
        <f>IF($B1471="","",IFERROR(INDEX(Task_Tracker!$D$5:$D$1004,MATCH($B1471,Task_Tracker!$A$5:$A$1004,0)),""))</f>
        <v/>
      </c>
      <c r="D1471" s="67">
        <f>IF($B1471="","",IFERROR(INDEX(Task_Tracker!$B$5:$B$1004,MATCH($B1471,Task_Tracker!$A$5:$A$1004,0)),""))</f>
        <v/>
      </c>
      <c r="E1471" s="81" t="n"/>
      <c r="F1471" s="81" t="n"/>
      <c r="G1471" s="78" t="n"/>
      <c r="H1471" s="78" t="n"/>
      <c r="I1471" s="67">
        <f>IF($H1471="","",IFERROR(INDEX(Action_Status_Map!$B$5:$B$11,MATCH($H1471,Action_Status_Map!$A$5:$A$11,0)),""))</f>
        <v/>
      </c>
      <c r="J1471" s="82" t="n"/>
      <c r="K1471" s="82" t="n"/>
      <c r="L1471" s="82" t="n"/>
      <c r="M1471" s="83" t="n"/>
      <c r="N1471" s="83" t="n"/>
      <c r="O1471" s="66">
        <f>IF(OR($M1471="",$N1471=""),"",$N1471-$M1471)</f>
        <v/>
      </c>
      <c r="P1471" s="84">
        <f>IF($J1471="","",IF($L1471&lt;&gt;"",$L1471-$J1471,TODAY()-$J1471))</f>
        <v/>
      </c>
      <c r="Q1471" s="85">
        <f>IF(OR($K1471="",$H1471="Completed",$H1471="Cancelled"),"",IF(AND($K1471&lt;TODAY(),$H1471&lt;&gt;"Completed",$H1471&lt;&gt;"Cancelled"),"Overdue","On Track"))</f>
        <v/>
      </c>
      <c r="R1471" s="81" t="n"/>
      <c r="S1471" s="81">
        <f>IF($B1471="","",IFERROR(INDEX(Task_Tracker!$AA$5:$AA$1004,MATCH($B1471,Task_Tracker!$A$5:$A$1004,0)),""))</f>
        <v/>
      </c>
      <c r="T1471" s="81">
        <f>IF($B1471="","",IFERROR(INDEX(Task_Tracker!$AB$5:$AB$1004,MATCH($B1471,Task_Tracker!$A$5:$A$1004,0)),""))</f>
        <v/>
      </c>
      <c r="U1471" s="78">
        <f>IF($B1471="","",IFERROR(INDEX(Task_Tracker!$F$5:$F$1004,MATCH($B1471,Task_Tracker!$A$5:$A$1004,0)),""))</f>
        <v/>
      </c>
      <c r="V1471" s="78">
        <f>IF($B1471="","",IFERROR(INDEX(Task_Tracker!$I$5:$I$1004,MATCH($B1471,Task_Tracker!$A$5:$A$1004,0)),""))</f>
        <v/>
      </c>
      <c r="W1471" s="81">
        <f>IF(OR($D1471="",$B1471=""),"",$D1471&amp;" | "&amp;$B1471)</f>
        <v/>
      </c>
      <c r="X1471" s="85">
        <f>IF($K1471="","",TEXT($K1471,"yyyy-mm"))</f>
        <v/>
      </c>
      <c r="Y1471" s="81">
        <f>IF(OR($A1471="",$T1471=""),"","Included in Manager_Report")</f>
        <v/>
      </c>
    </row>
    <row r="1472" ht="15" customHeight="1" s="40">
      <c r="A1472" s="65">
        <f>IF(COUNTA(B1472:G1472)=0,"","STP-"&amp;TEXT(ROW()-4,"0000"))</f>
        <v/>
      </c>
      <c r="B1472" s="78" t="n"/>
      <c r="C1472" s="67">
        <f>IF($B1472="","",IFERROR(INDEX(Task_Tracker!$D$5:$D$1004,MATCH($B1472,Task_Tracker!$A$5:$A$1004,0)),""))</f>
        <v/>
      </c>
      <c r="D1472" s="67">
        <f>IF($B1472="","",IFERROR(INDEX(Task_Tracker!$B$5:$B$1004,MATCH($B1472,Task_Tracker!$A$5:$A$1004,0)),""))</f>
        <v/>
      </c>
      <c r="E1472" s="81" t="n"/>
      <c r="F1472" s="81" t="n"/>
      <c r="G1472" s="78" t="n"/>
      <c r="H1472" s="78" t="n"/>
      <c r="I1472" s="67">
        <f>IF($H1472="","",IFERROR(INDEX(Action_Status_Map!$B$5:$B$11,MATCH($H1472,Action_Status_Map!$A$5:$A$11,0)),""))</f>
        <v/>
      </c>
      <c r="J1472" s="82" t="n"/>
      <c r="K1472" s="82" t="n"/>
      <c r="L1472" s="82" t="n"/>
      <c r="M1472" s="83" t="n"/>
      <c r="N1472" s="83" t="n"/>
      <c r="O1472" s="66">
        <f>IF(OR($M1472="",$N1472=""),"",$N1472-$M1472)</f>
        <v/>
      </c>
      <c r="P1472" s="84">
        <f>IF($J1472="","",IF($L1472&lt;&gt;"",$L1472-$J1472,TODAY()-$J1472))</f>
        <v/>
      </c>
      <c r="Q1472" s="85">
        <f>IF(OR($K1472="",$H1472="Completed",$H1472="Cancelled"),"",IF(AND($K1472&lt;TODAY(),$H1472&lt;&gt;"Completed",$H1472&lt;&gt;"Cancelled"),"Overdue","On Track"))</f>
        <v/>
      </c>
      <c r="R1472" s="81" t="n"/>
      <c r="S1472" s="81">
        <f>IF($B1472="","",IFERROR(INDEX(Task_Tracker!$AA$5:$AA$1004,MATCH($B1472,Task_Tracker!$A$5:$A$1004,0)),""))</f>
        <v/>
      </c>
      <c r="T1472" s="81">
        <f>IF($B1472="","",IFERROR(INDEX(Task_Tracker!$AB$5:$AB$1004,MATCH($B1472,Task_Tracker!$A$5:$A$1004,0)),""))</f>
        <v/>
      </c>
      <c r="U1472" s="78">
        <f>IF($B1472="","",IFERROR(INDEX(Task_Tracker!$F$5:$F$1004,MATCH($B1472,Task_Tracker!$A$5:$A$1004,0)),""))</f>
        <v/>
      </c>
      <c r="V1472" s="78">
        <f>IF($B1472="","",IFERROR(INDEX(Task_Tracker!$I$5:$I$1004,MATCH($B1472,Task_Tracker!$A$5:$A$1004,0)),""))</f>
        <v/>
      </c>
      <c r="W1472" s="81">
        <f>IF(OR($D1472="",$B1472=""),"",$D1472&amp;" | "&amp;$B1472)</f>
        <v/>
      </c>
      <c r="X1472" s="85">
        <f>IF($K1472="","",TEXT($K1472,"yyyy-mm"))</f>
        <v/>
      </c>
      <c r="Y1472" s="81">
        <f>IF(OR($A1472="",$T1472=""),"","Included in Manager_Report")</f>
        <v/>
      </c>
    </row>
    <row r="1473" ht="15" customHeight="1" s="40">
      <c r="A1473" s="65">
        <f>IF(COUNTA(B1473:G1473)=0,"","STP-"&amp;TEXT(ROW()-4,"0000"))</f>
        <v/>
      </c>
      <c r="B1473" s="78" t="n"/>
      <c r="C1473" s="67">
        <f>IF($B1473="","",IFERROR(INDEX(Task_Tracker!$D$5:$D$1004,MATCH($B1473,Task_Tracker!$A$5:$A$1004,0)),""))</f>
        <v/>
      </c>
      <c r="D1473" s="67">
        <f>IF($B1473="","",IFERROR(INDEX(Task_Tracker!$B$5:$B$1004,MATCH($B1473,Task_Tracker!$A$5:$A$1004,0)),""))</f>
        <v/>
      </c>
      <c r="E1473" s="81" t="n"/>
      <c r="F1473" s="81" t="n"/>
      <c r="G1473" s="78" t="n"/>
      <c r="H1473" s="78" t="n"/>
      <c r="I1473" s="67">
        <f>IF($H1473="","",IFERROR(INDEX(Action_Status_Map!$B$5:$B$11,MATCH($H1473,Action_Status_Map!$A$5:$A$11,0)),""))</f>
        <v/>
      </c>
      <c r="J1473" s="82" t="n"/>
      <c r="K1473" s="82" t="n"/>
      <c r="L1473" s="82" t="n"/>
      <c r="M1473" s="83" t="n"/>
      <c r="N1473" s="83" t="n"/>
      <c r="O1473" s="66">
        <f>IF(OR($M1473="",$N1473=""),"",$N1473-$M1473)</f>
        <v/>
      </c>
      <c r="P1473" s="84">
        <f>IF($J1473="","",IF($L1473&lt;&gt;"",$L1473-$J1473,TODAY()-$J1473))</f>
        <v/>
      </c>
      <c r="Q1473" s="85">
        <f>IF(OR($K1473="",$H1473="Completed",$H1473="Cancelled"),"",IF(AND($K1473&lt;TODAY(),$H1473&lt;&gt;"Completed",$H1473&lt;&gt;"Cancelled"),"Overdue","On Track"))</f>
        <v/>
      </c>
      <c r="R1473" s="81" t="n"/>
      <c r="S1473" s="81">
        <f>IF($B1473="","",IFERROR(INDEX(Task_Tracker!$AA$5:$AA$1004,MATCH($B1473,Task_Tracker!$A$5:$A$1004,0)),""))</f>
        <v/>
      </c>
      <c r="T1473" s="81">
        <f>IF($B1473="","",IFERROR(INDEX(Task_Tracker!$AB$5:$AB$1004,MATCH($B1473,Task_Tracker!$A$5:$A$1004,0)),""))</f>
        <v/>
      </c>
      <c r="U1473" s="78">
        <f>IF($B1473="","",IFERROR(INDEX(Task_Tracker!$F$5:$F$1004,MATCH($B1473,Task_Tracker!$A$5:$A$1004,0)),""))</f>
        <v/>
      </c>
      <c r="V1473" s="78">
        <f>IF($B1473="","",IFERROR(INDEX(Task_Tracker!$I$5:$I$1004,MATCH($B1473,Task_Tracker!$A$5:$A$1004,0)),""))</f>
        <v/>
      </c>
      <c r="W1473" s="81">
        <f>IF(OR($D1473="",$B1473=""),"",$D1473&amp;" | "&amp;$B1473)</f>
        <v/>
      </c>
      <c r="X1473" s="85">
        <f>IF($K1473="","",TEXT($K1473,"yyyy-mm"))</f>
        <v/>
      </c>
      <c r="Y1473" s="81">
        <f>IF(OR($A1473="",$T1473=""),"","Included in Manager_Report")</f>
        <v/>
      </c>
    </row>
    <row r="1474" ht="15" customHeight="1" s="40">
      <c r="A1474" s="65">
        <f>IF(COUNTA(B1474:G1474)=0,"","STP-"&amp;TEXT(ROW()-4,"0000"))</f>
        <v/>
      </c>
      <c r="B1474" s="78" t="n"/>
      <c r="C1474" s="67">
        <f>IF($B1474="","",IFERROR(INDEX(Task_Tracker!$D$5:$D$1004,MATCH($B1474,Task_Tracker!$A$5:$A$1004,0)),""))</f>
        <v/>
      </c>
      <c r="D1474" s="67">
        <f>IF($B1474="","",IFERROR(INDEX(Task_Tracker!$B$5:$B$1004,MATCH($B1474,Task_Tracker!$A$5:$A$1004,0)),""))</f>
        <v/>
      </c>
      <c r="E1474" s="81" t="n"/>
      <c r="F1474" s="81" t="n"/>
      <c r="G1474" s="78" t="n"/>
      <c r="H1474" s="78" t="n"/>
      <c r="I1474" s="67">
        <f>IF($H1474="","",IFERROR(INDEX(Action_Status_Map!$B$5:$B$11,MATCH($H1474,Action_Status_Map!$A$5:$A$11,0)),""))</f>
        <v/>
      </c>
      <c r="J1474" s="82" t="n"/>
      <c r="K1474" s="82" t="n"/>
      <c r="L1474" s="82" t="n"/>
      <c r="M1474" s="83" t="n"/>
      <c r="N1474" s="83" t="n"/>
      <c r="O1474" s="66">
        <f>IF(OR($M1474="",$N1474=""),"",$N1474-$M1474)</f>
        <v/>
      </c>
      <c r="P1474" s="84">
        <f>IF($J1474="","",IF($L1474&lt;&gt;"",$L1474-$J1474,TODAY()-$J1474))</f>
        <v/>
      </c>
      <c r="Q1474" s="85">
        <f>IF(OR($K1474="",$H1474="Completed",$H1474="Cancelled"),"",IF(AND($K1474&lt;TODAY(),$H1474&lt;&gt;"Completed",$H1474&lt;&gt;"Cancelled"),"Overdue","On Track"))</f>
        <v/>
      </c>
      <c r="R1474" s="81" t="n"/>
      <c r="S1474" s="81">
        <f>IF($B1474="","",IFERROR(INDEX(Task_Tracker!$AA$5:$AA$1004,MATCH($B1474,Task_Tracker!$A$5:$A$1004,0)),""))</f>
        <v/>
      </c>
      <c r="T1474" s="81">
        <f>IF($B1474="","",IFERROR(INDEX(Task_Tracker!$AB$5:$AB$1004,MATCH($B1474,Task_Tracker!$A$5:$A$1004,0)),""))</f>
        <v/>
      </c>
      <c r="U1474" s="78">
        <f>IF($B1474="","",IFERROR(INDEX(Task_Tracker!$F$5:$F$1004,MATCH($B1474,Task_Tracker!$A$5:$A$1004,0)),""))</f>
        <v/>
      </c>
      <c r="V1474" s="78">
        <f>IF($B1474="","",IFERROR(INDEX(Task_Tracker!$I$5:$I$1004,MATCH($B1474,Task_Tracker!$A$5:$A$1004,0)),""))</f>
        <v/>
      </c>
      <c r="W1474" s="81">
        <f>IF(OR($D1474="",$B1474=""),"",$D1474&amp;" | "&amp;$B1474)</f>
        <v/>
      </c>
      <c r="X1474" s="85">
        <f>IF($K1474="","",TEXT($K1474,"yyyy-mm"))</f>
        <v/>
      </c>
      <c r="Y1474" s="81">
        <f>IF(OR($A1474="",$T1474=""),"","Included in Manager_Report")</f>
        <v/>
      </c>
    </row>
    <row r="1475" ht="15" customHeight="1" s="40">
      <c r="A1475" s="65">
        <f>IF(COUNTA(B1475:G1475)=0,"","STP-"&amp;TEXT(ROW()-4,"0000"))</f>
        <v/>
      </c>
      <c r="B1475" s="78" t="n"/>
      <c r="C1475" s="67">
        <f>IF($B1475="","",IFERROR(INDEX(Task_Tracker!$D$5:$D$1004,MATCH($B1475,Task_Tracker!$A$5:$A$1004,0)),""))</f>
        <v/>
      </c>
      <c r="D1475" s="67">
        <f>IF($B1475="","",IFERROR(INDEX(Task_Tracker!$B$5:$B$1004,MATCH($B1475,Task_Tracker!$A$5:$A$1004,0)),""))</f>
        <v/>
      </c>
      <c r="E1475" s="81" t="n"/>
      <c r="F1475" s="81" t="n"/>
      <c r="G1475" s="78" t="n"/>
      <c r="H1475" s="78" t="n"/>
      <c r="I1475" s="67">
        <f>IF($H1475="","",IFERROR(INDEX(Action_Status_Map!$B$5:$B$11,MATCH($H1475,Action_Status_Map!$A$5:$A$11,0)),""))</f>
        <v/>
      </c>
      <c r="J1475" s="82" t="n"/>
      <c r="K1475" s="82" t="n"/>
      <c r="L1475" s="82" t="n"/>
      <c r="M1475" s="83" t="n"/>
      <c r="N1475" s="83" t="n"/>
      <c r="O1475" s="66">
        <f>IF(OR($M1475="",$N1475=""),"",$N1475-$M1475)</f>
        <v/>
      </c>
      <c r="P1475" s="84">
        <f>IF($J1475="","",IF($L1475&lt;&gt;"",$L1475-$J1475,TODAY()-$J1475))</f>
        <v/>
      </c>
      <c r="Q1475" s="85">
        <f>IF(OR($K1475="",$H1475="Completed",$H1475="Cancelled"),"",IF(AND($K1475&lt;TODAY(),$H1475&lt;&gt;"Completed",$H1475&lt;&gt;"Cancelled"),"Overdue","On Track"))</f>
        <v/>
      </c>
      <c r="R1475" s="81" t="n"/>
      <c r="S1475" s="81">
        <f>IF($B1475="","",IFERROR(INDEX(Task_Tracker!$AA$5:$AA$1004,MATCH($B1475,Task_Tracker!$A$5:$A$1004,0)),""))</f>
        <v/>
      </c>
      <c r="T1475" s="81">
        <f>IF($B1475="","",IFERROR(INDEX(Task_Tracker!$AB$5:$AB$1004,MATCH($B1475,Task_Tracker!$A$5:$A$1004,0)),""))</f>
        <v/>
      </c>
      <c r="U1475" s="78">
        <f>IF($B1475="","",IFERROR(INDEX(Task_Tracker!$F$5:$F$1004,MATCH($B1475,Task_Tracker!$A$5:$A$1004,0)),""))</f>
        <v/>
      </c>
      <c r="V1475" s="78">
        <f>IF($B1475="","",IFERROR(INDEX(Task_Tracker!$I$5:$I$1004,MATCH($B1475,Task_Tracker!$A$5:$A$1004,0)),""))</f>
        <v/>
      </c>
      <c r="W1475" s="81">
        <f>IF(OR($D1475="",$B1475=""),"",$D1475&amp;" | "&amp;$B1475)</f>
        <v/>
      </c>
      <c r="X1475" s="85">
        <f>IF($K1475="","",TEXT($K1475,"yyyy-mm"))</f>
        <v/>
      </c>
      <c r="Y1475" s="81">
        <f>IF(OR($A1475="",$T1475=""),"","Included in Manager_Report")</f>
        <v/>
      </c>
    </row>
    <row r="1476" ht="15" customHeight="1" s="40">
      <c r="A1476" s="65">
        <f>IF(COUNTA(B1476:G1476)=0,"","STP-"&amp;TEXT(ROW()-4,"0000"))</f>
        <v/>
      </c>
      <c r="B1476" s="78" t="n"/>
      <c r="C1476" s="67">
        <f>IF($B1476="","",IFERROR(INDEX(Task_Tracker!$D$5:$D$1004,MATCH($B1476,Task_Tracker!$A$5:$A$1004,0)),""))</f>
        <v/>
      </c>
      <c r="D1476" s="67">
        <f>IF($B1476="","",IFERROR(INDEX(Task_Tracker!$B$5:$B$1004,MATCH($B1476,Task_Tracker!$A$5:$A$1004,0)),""))</f>
        <v/>
      </c>
      <c r="E1476" s="81" t="n"/>
      <c r="F1476" s="81" t="n"/>
      <c r="G1476" s="78" t="n"/>
      <c r="H1476" s="78" t="n"/>
      <c r="I1476" s="67">
        <f>IF($H1476="","",IFERROR(INDEX(Action_Status_Map!$B$5:$B$11,MATCH($H1476,Action_Status_Map!$A$5:$A$11,0)),""))</f>
        <v/>
      </c>
      <c r="J1476" s="82" t="n"/>
      <c r="K1476" s="82" t="n"/>
      <c r="L1476" s="82" t="n"/>
      <c r="M1476" s="83" t="n"/>
      <c r="N1476" s="83" t="n"/>
      <c r="O1476" s="66">
        <f>IF(OR($M1476="",$N1476=""),"",$N1476-$M1476)</f>
        <v/>
      </c>
      <c r="P1476" s="84">
        <f>IF($J1476="","",IF($L1476&lt;&gt;"",$L1476-$J1476,TODAY()-$J1476))</f>
        <v/>
      </c>
      <c r="Q1476" s="85">
        <f>IF(OR($K1476="",$H1476="Completed",$H1476="Cancelled"),"",IF(AND($K1476&lt;TODAY(),$H1476&lt;&gt;"Completed",$H1476&lt;&gt;"Cancelled"),"Overdue","On Track"))</f>
        <v/>
      </c>
      <c r="R1476" s="81" t="n"/>
      <c r="S1476" s="81">
        <f>IF($B1476="","",IFERROR(INDEX(Task_Tracker!$AA$5:$AA$1004,MATCH($B1476,Task_Tracker!$A$5:$A$1004,0)),""))</f>
        <v/>
      </c>
      <c r="T1476" s="81">
        <f>IF($B1476="","",IFERROR(INDEX(Task_Tracker!$AB$5:$AB$1004,MATCH($B1476,Task_Tracker!$A$5:$A$1004,0)),""))</f>
        <v/>
      </c>
      <c r="U1476" s="78">
        <f>IF($B1476="","",IFERROR(INDEX(Task_Tracker!$F$5:$F$1004,MATCH($B1476,Task_Tracker!$A$5:$A$1004,0)),""))</f>
        <v/>
      </c>
      <c r="V1476" s="78">
        <f>IF($B1476="","",IFERROR(INDEX(Task_Tracker!$I$5:$I$1004,MATCH($B1476,Task_Tracker!$A$5:$A$1004,0)),""))</f>
        <v/>
      </c>
      <c r="W1476" s="81">
        <f>IF(OR($D1476="",$B1476=""),"",$D1476&amp;" | "&amp;$B1476)</f>
        <v/>
      </c>
      <c r="X1476" s="85">
        <f>IF($K1476="","",TEXT($K1476,"yyyy-mm"))</f>
        <v/>
      </c>
      <c r="Y1476" s="81">
        <f>IF(OR($A1476="",$T1476=""),"","Included in Manager_Report")</f>
        <v/>
      </c>
    </row>
    <row r="1477" ht="15" customHeight="1" s="40">
      <c r="A1477" s="65">
        <f>IF(COUNTA(B1477:G1477)=0,"","STP-"&amp;TEXT(ROW()-4,"0000"))</f>
        <v/>
      </c>
      <c r="B1477" s="78" t="n"/>
      <c r="C1477" s="67">
        <f>IF($B1477="","",IFERROR(INDEX(Task_Tracker!$D$5:$D$1004,MATCH($B1477,Task_Tracker!$A$5:$A$1004,0)),""))</f>
        <v/>
      </c>
      <c r="D1477" s="67">
        <f>IF($B1477="","",IFERROR(INDEX(Task_Tracker!$B$5:$B$1004,MATCH($B1477,Task_Tracker!$A$5:$A$1004,0)),""))</f>
        <v/>
      </c>
      <c r="E1477" s="81" t="n"/>
      <c r="F1477" s="81" t="n"/>
      <c r="G1477" s="78" t="n"/>
      <c r="H1477" s="78" t="n"/>
      <c r="I1477" s="67">
        <f>IF($H1477="","",IFERROR(INDEX(Action_Status_Map!$B$5:$B$11,MATCH($H1477,Action_Status_Map!$A$5:$A$11,0)),""))</f>
        <v/>
      </c>
      <c r="J1477" s="82" t="n"/>
      <c r="K1477" s="82" t="n"/>
      <c r="L1477" s="82" t="n"/>
      <c r="M1477" s="83" t="n"/>
      <c r="N1477" s="83" t="n"/>
      <c r="O1477" s="66">
        <f>IF(OR($M1477="",$N1477=""),"",$N1477-$M1477)</f>
        <v/>
      </c>
      <c r="P1477" s="84">
        <f>IF($J1477="","",IF($L1477&lt;&gt;"",$L1477-$J1477,TODAY()-$J1477))</f>
        <v/>
      </c>
      <c r="Q1477" s="85">
        <f>IF(OR($K1477="",$H1477="Completed",$H1477="Cancelled"),"",IF(AND($K1477&lt;TODAY(),$H1477&lt;&gt;"Completed",$H1477&lt;&gt;"Cancelled"),"Overdue","On Track"))</f>
        <v/>
      </c>
      <c r="R1477" s="81" t="n"/>
      <c r="S1477" s="81">
        <f>IF($B1477="","",IFERROR(INDEX(Task_Tracker!$AA$5:$AA$1004,MATCH($B1477,Task_Tracker!$A$5:$A$1004,0)),""))</f>
        <v/>
      </c>
      <c r="T1477" s="81">
        <f>IF($B1477="","",IFERROR(INDEX(Task_Tracker!$AB$5:$AB$1004,MATCH($B1477,Task_Tracker!$A$5:$A$1004,0)),""))</f>
        <v/>
      </c>
      <c r="U1477" s="78">
        <f>IF($B1477="","",IFERROR(INDEX(Task_Tracker!$F$5:$F$1004,MATCH($B1477,Task_Tracker!$A$5:$A$1004,0)),""))</f>
        <v/>
      </c>
      <c r="V1477" s="78">
        <f>IF($B1477="","",IFERROR(INDEX(Task_Tracker!$I$5:$I$1004,MATCH($B1477,Task_Tracker!$A$5:$A$1004,0)),""))</f>
        <v/>
      </c>
      <c r="W1477" s="81">
        <f>IF(OR($D1477="",$B1477=""),"",$D1477&amp;" | "&amp;$B1477)</f>
        <v/>
      </c>
      <c r="X1477" s="85">
        <f>IF($K1477="","",TEXT($K1477,"yyyy-mm"))</f>
        <v/>
      </c>
      <c r="Y1477" s="81">
        <f>IF(OR($A1477="",$T1477=""),"","Included in Manager_Report")</f>
        <v/>
      </c>
    </row>
    <row r="1478" ht="15" customHeight="1" s="40">
      <c r="A1478" s="65">
        <f>IF(COUNTA(B1478:G1478)=0,"","STP-"&amp;TEXT(ROW()-4,"0000"))</f>
        <v/>
      </c>
      <c r="B1478" s="78" t="n"/>
      <c r="C1478" s="67">
        <f>IF($B1478="","",IFERROR(INDEX(Task_Tracker!$D$5:$D$1004,MATCH($B1478,Task_Tracker!$A$5:$A$1004,0)),""))</f>
        <v/>
      </c>
      <c r="D1478" s="67">
        <f>IF($B1478="","",IFERROR(INDEX(Task_Tracker!$B$5:$B$1004,MATCH($B1478,Task_Tracker!$A$5:$A$1004,0)),""))</f>
        <v/>
      </c>
      <c r="E1478" s="81" t="n"/>
      <c r="F1478" s="81" t="n"/>
      <c r="G1478" s="78" t="n"/>
      <c r="H1478" s="78" t="n"/>
      <c r="I1478" s="67">
        <f>IF($H1478="","",IFERROR(INDEX(Action_Status_Map!$B$5:$B$11,MATCH($H1478,Action_Status_Map!$A$5:$A$11,0)),""))</f>
        <v/>
      </c>
      <c r="J1478" s="82" t="n"/>
      <c r="K1478" s="82" t="n"/>
      <c r="L1478" s="82" t="n"/>
      <c r="M1478" s="83" t="n"/>
      <c r="N1478" s="83" t="n"/>
      <c r="O1478" s="66">
        <f>IF(OR($M1478="",$N1478=""),"",$N1478-$M1478)</f>
        <v/>
      </c>
      <c r="P1478" s="84">
        <f>IF($J1478="","",IF($L1478&lt;&gt;"",$L1478-$J1478,TODAY()-$J1478))</f>
        <v/>
      </c>
      <c r="Q1478" s="85">
        <f>IF(OR($K1478="",$H1478="Completed",$H1478="Cancelled"),"",IF(AND($K1478&lt;TODAY(),$H1478&lt;&gt;"Completed",$H1478&lt;&gt;"Cancelled"),"Overdue","On Track"))</f>
        <v/>
      </c>
      <c r="R1478" s="81" t="n"/>
      <c r="S1478" s="81">
        <f>IF($B1478="","",IFERROR(INDEX(Task_Tracker!$AA$5:$AA$1004,MATCH($B1478,Task_Tracker!$A$5:$A$1004,0)),""))</f>
        <v/>
      </c>
      <c r="T1478" s="81">
        <f>IF($B1478="","",IFERROR(INDEX(Task_Tracker!$AB$5:$AB$1004,MATCH($B1478,Task_Tracker!$A$5:$A$1004,0)),""))</f>
        <v/>
      </c>
      <c r="U1478" s="78">
        <f>IF($B1478="","",IFERROR(INDEX(Task_Tracker!$F$5:$F$1004,MATCH($B1478,Task_Tracker!$A$5:$A$1004,0)),""))</f>
        <v/>
      </c>
      <c r="V1478" s="78">
        <f>IF($B1478="","",IFERROR(INDEX(Task_Tracker!$I$5:$I$1004,MATCH($B1478,Task_Tracker!$A$5:$A$1004,0)),""))</f>
        <v/>
      </c>
      <c r="W1478" s="81">
        <f>IF(OR($D1478="",$B1478=""),"",$D1478&amp;" | "&amp;$B1478)</f>
        <v/>
      </c>
      <c r="X1478" s="85">
        <f>IF($K1478="","",TEXT($K1478,"yyyy-mm"))</f>
        <v/>
      </c>
      <c r="Y1478" s="81">
        <f>IF(OR($A1478="",$T1478=""),"","Included in Manager_Report")</f>
        <v/>
      </c>
    </row>
    <row r="1479" ht="15" customHeight="1" s="40">
      <c r="A1479" s="65">
        <f>IF(COUNTA(B1479:G1479)=0,"","STP-"&amp;TEXT(ROW()-4,"0000"))</f>
        <v/>
      </c>
      <c r="B1479" s="78" t="n"/>
      <c r="C1479" s="67">
        <f>IF($B1479="","",IFERROR(INDEX(Task_Tracker!$D$5:$D$1004,MATCH($B1479,Task_Tracker!$A$5:$A$1004,0)),""))</f>
        <v/>
      </c>
      <c r="D1479" s="67">
        <f>IF($B1479="","",IFERROR(INDEX(Task_Tracker!$B$5:$B$1004,MATCH($B1479,Task_Tracker!$A$5:$A$1004,0)),""))</f>
        <v/>
      </c>
      <c r="E1479" s="81" t="n"/>
      <c r="F1479" s="81" t="n"/>
      <c r="G1479" s="78" t="n"/>
      <c r="H1479" s="78" t="n"/>
      <c r="I1479" s="67">
        <f>IF($H1479="","",IFERROR(INDEX(Action_Status_Map!$B$5:$B$11,MATCH($H1479,Action_Status_Map!$A$5:$A$11,0)),""))</f>
        <v/>
      </c>
      <c r="J1479" s="82" t="n"/>
      <c r="K1479" s="82" t="n"/>
      <c r="L1479" s="82" t="n"/>
      <c r="M1479" s="83" t="n"/>
      <c r="N1479" s="83" t="n"/>
      <c r="O1479" s="66">
        <f>IF(OR($M1479="",$N1479=""),"",$N1479-$M1479)</f>
        <v/>
      </c>
      <c r="P1479" s="84">
        <f>IF($J1479="","",IF($L1479&lt;&gt;"",$L1479-$J1479,TODAY()-$J1479))</f>
        <v/>
      </c>
      <c r="Q1479" s="85">
        <f>IF(OR($K1479="",$H1479="Completed",$H1479="Cancelled"),"",IF(AND($K1479&lt;TODAY(),$H1479&lt;&gt;"Completed",$H1479&lt;&gt;"Cancelled"),"Overdue","On Track"))</f>
        <v/>
      </c>
      <c r="R1479" s="81" t="n"/>
      <c r="S1479" s="81">
        <f>IF($B1479="","",IFERROR(INDEX(Task_Tracker!$AA$5:$AA$1004,MATCH($B1479,Task_Tracker!$A$5:$A$1004,0)),""))</f>
        <v/>
      </c>
      <c r="T1479" s="81">
        <f>IF($B1479="","",IFERROR(INDEX(Task_Tracker!$AB$5:$AB$1004,MATCH($B1479,Task_Tracker!$A$5:$A$1004,0)),""))</f>
        <v/>
      </c>
      <c r="U1479" s="78">
        <f>IF($B1479="","",IFERROR(INDEX(Task_Tracker!$F$5:$F$1004,MATCH($B1479,Task_Tracker!$A$5:$A$1004,0)),""))</f>
        <v/>
      </c>
      <c r="V1479" s="78">
        <f>IF($B1479="","",IFERROR(INDEX(Task_Tracker!$I$5:$I$1004,MATCH($B1479,Task_Tracker!$A$5:$A$1004,0)),""))</f>
        <v/>
      </c>
      <c r="W1479" s="81">
        <f>IF(OR($D1479="",$B1479=""),"",$D1479&amp;" | "&amp;$B1479)</f>
        <v/>
      </c>
      <c r="X1479" s="85">
        <f>IF($K1479="","",TEXT($K1479,"yyyy-mm"))</f>
        <v/>
      </c>
      <c r="Y1479" s="81">
        <f>IF(OR($A1479="",$T1479=""),"","Included in Manager_Report")</f>
        <v/>
      </c>
    </row>
    <row r="1480" ht="15" customHeight="1" s="40">
      <c r="A1480" s="65">
        <f>IF(COUNTA(B1480:G1480)=0,"","STP-"&amp;TEXT(ROW()-4,"0000"))</f>
        <v/>
      </c>
      <c r="B1480" s="78" t="n"/>
      <c r="C1480" s="67">
        <f>IF($B1480="","",IFERROR(INDEX(Task_Tracker!$D$5:$D$1004,MATCH($B1480,Task_Tracker!$A$5:$A$1004,0)),""))</f>
        <v/>
      </c>
      <c r="D1480" s="67">
        <f>IF($B1480="","",IFERROR(INDEX(Task_Tracker!$B$5:$B$1004,MATCH($B1480,Task_Tracker!$A$5:$A$1004,0)),""))</f>
        <v/>
      </c>
      <c r="E1480" s="81" t="n"/>
      <c r="F1480" s="81" t="n"/>
      <c r="G1480" s="78" t="n"/>
      <c r="H1480" s="78" t="n"/>
      <c r="I1480" s="67">
        <f>IF($H1480="","",IFERROR(INDEX(Action_Status_Map!$B$5:$B$11,MATCH($H1480,Action_Status_Map!$A$5:$A$11,0)),""))</f>
        <v/>
      </c>
      <c r="J1480" s="82" t="n"/>
      <c r="K1480" s="82" t="n"/>
      <c r="L1480" s="82" t="n"/>
      <c r="M1480" s="83" t="n"/>
      <c r="N1480" s="83" t="n"/>
      <c r="O1480" s="66">
        <f>IF(OR($M1480="",$N1480=""),"",$N1480-$M1480)</f>
        <v/>
      </c>
      <c r="P1480" s="84">
        <f>IF($J1480="","",IF($L1480&lt;&gt;"",$L1480-$J1480,TODAY()-$J1480))</f>
        <v/>
      </c>
      <c r="Q1480" s="85">
        <f>IF(OR($K1480="",$H1480="Completed",$H1480="Cancelled"),"",IF(AND($K1480&lt;TODAY(),$H1480&lt;&gt;"Completed",$H1480&lt;&gt;"Cancelled"),"Overdue","On Track"))</f>
        <v/>
      </c>
      <c r="R1480" s="81" t="n"/>
      <c r="S1480" s="81">
        <f>IF($B1480="","",IFERROR(INDEX(Task_Tracker!$AA$5:$AA$1004,MATCH($B1480,Task_Tracker!$A$5:$A$1004,0)),""))</f>
        <v/>
      </c>
      <c r="T1480" s="81">
        <f>IF($B1480="","",IFERROR(INDEX(Task_Tracker!$AB$5:$AB$1004,MATCH($B1480,Task_Tracker!$A$5:$A$1004,0)),""))</f>
        <v/>
      </c>
      <c r="U1480" s="78">
        <f>IF($B1480="","",IFERROR(INDEX(Task_Tracker!$F$5:$F$1004,MATCH($B1480,Task_Tracker!$A$5:$A$1004,0)),""))</f>
        <v/>
      </c>
      <c r="V1480" s="78">
        <f>IF($B1480="","",IFERROR(INDEX(Task_Tracker!$I$5:$I$1004,MATCH($B1480,Task_Tracker!$A$5:$A$1004,0)),""))</f>
        <v/>
      </c>
      <c r="W1480" s="81">
        <f>IF(OR($D1480="",$B1480=""),"",$D1480&amp;" | "&amp;$B1480)</f>
        <v/>
      </c>
      <c r="X1480" s="85">
        <f>IF($K1480="","",TEXT($K1480,"yyyy-mm"))</f>
        <v/>
      </c>
      <c r="Y1480" s="81">
        <f>IF(OR($A1480="",$T1480=""),"","Included in Manager_Report")</f>
        <v/>
      </c>
    </row>
    <row r="1481" ht="15" customHeight="1" s="40">
      <c r="A1481" s="65">
        <f>IF(COUNTA(B1481:G1481)=0,"","STP-"&amp;TEXT(ROW()-4,"0000"))</f>
        <v/>
      </c>
      <c r="B1481" s="78" t="n"/>
      <c r="C1481" s="67">
        <f>IF($B1481="","",IFERROR(INDEX(Task_Tracker!$D$5:$D$1004,MATCH($B1481,Task_Tracker!$A$5:$A$1004,0)),""))</f>
        <v/>
      </c>
      <c r="D1481" s="67">
        <f>IF($B1481="","",IFERROR(INDEX(Task_Tracker!$B$5:$B$1004,MATCH($B1481,Task_Tracker!$A$5:$A$1004,0)),""))</f>
        <v/>
      </c>
      <c r="E1481" s="81" t="n"/>
      <c r="F1481" s="81" t="n"/>
      <c r="G1481" s="78" t="n"/>
      <c r="H1481" s="78" t="n"/>
      <c r="I1481" s="67">
        <f>IF($H1481="","",IFERROR(INDEX(Action_Status_Map!$B$5:$B$11,MATCH($H1481,Action_Status_Map!$A$5:$A$11,0)),""))</f>
        <v/>
      </c>
      <c r="J1481" s="82" t="n"/>
      <c r="K1481" s="82" t="n"/>
      <c r="L1481" s="82" t="n"/>
      <c r="M1481" s="83" t="n"/>
      <c r="N1481" s="83" t="n"/>
      <c r="O1481" s="66">
        <f>IF(OR($M1481="",$N1481=""),"",$N1481-$M1481)</f>
        <v/>
      </c>
      <c r="P1481" s="84">
        <f>IF($J1481="","",IF($L1481&lt;&gt;"",$L1481-$J1481,TODAY()-$J1481))</f>
        <v/>
      </c>
      <c r="Q1481" s="85">
        <f>IF(OR($K1481="",$H1481="Completed",$H1481="Cancelled"),"",IF(AND($K1481&lt;TODAY(),$H1481&lt;&gt;"Completed",$H1481&lt;&gt;"Cancelled"),"Overdue","On Track"))</f>
        <v/>
      </c>
      <c r="R1481" s="81" t="n"/>
      <c r="S1481" s="81">
        <f>IF($B1481="","",IFERROR(INDEX(Task_Tracker!$AA$5:$AA$1004,MATCH($B1481,Task_Tracker!$A$5:$A$1004,0)),""))</f>
        <v/>
      </c>
      <c r="T1481" s="81">
        <f>IF($B1481="","",IFERROR(INDEX(Task_Tracker!$AB$5:$AB$1004,MATCH($B1481,Task_Tracker!$A$5:$A$1004,0)),""))</f>
        <v/>
      </c>
      <c r="U1481" s="78">
        <f>IF($B1481="","",IFERROR(INDEX(Task_Tracker!$F$5:$F$1004,MATCH($B1481,Task_Tracker!$A$5:$A$1004,0)),""))</f>
        <v/>
      </c>
      <c r="V1481" s="78">
        <f>IF($B1481="","",IFERROR(INDEX(Task_Tracker!$I$5:$I$1004,MATCH($B1481,Task_Tracker!$A$5:$A$1004,0)),""))</f>
        <v/>
      </c>
      <c r="W1481" s="81">
        <f>IF(OR($D1481="",$B1481=""),"",$D1481&amp;" | "&amp;$B1481)</f>
        <v/>
      </c>
      <c r="X1481" s="85">
        <f>IF($K1481="","",TEXT($K1481,"yyyy-mm"))</f>
        <v/>
      </c>
      <c r="Y1481" s="81">
        <f>IF(OR($A1481="",$T1481=""),"","Included in Manager_Report")</f>
        <v/>
      </c>
    </row>
    <row r="1482" ht="15" customHeight="1" s="40">
      <c r="A1482" s="65">
        <f>IF(COUNTA(B1482:G1482)=0,"","STP-"&amp;TEXT(ROW()-4,"0000"))</f>
        <v/>
      </c>
      <c r="B1482" s="78" t="n"/>
      <c r="C1482" s="67">
        <f>IF($B1482="","",IFERROR(INDEX(Task_Tracker!$D$5:$D$1004,MATCH($B1482,Task_Tracker!$A$5:$A$1004,0)),""))</f>
        <v/>
      </c>
      <c r="D1482" s="67">
        <f>IF($B1482="","",IFERROR(INDEX(Task_Tracker!$B$5:$B$1004,MATCH($B1482,Task_Tracker!$A$5:$A$1004,0)),""))</f>
        <v/>
      </c>
      <c r="E1482" s="81" t="n"/>
      <c r="F1482" s="81" t="n"/>
      <c r="G1482" s="78" t="n"/>
      <c r="H1482" s="78" t="n"/>
      <c r="I1482" s="67">
        <f>IF($H1482="","",IFERROR(INDEX(Action_Status_Map!$B$5:$B$11,MATCH($H1482,Action_Status_Map!$A$5:$A$11,0)),""))</f>
        <v/>
      </c>
      <c r="J1482" s="82" t="n"/>
      <c r="K1482" s="82" t="n"/>
      <c r="L1482" s="82" t="n"/>
      <c r="M1482" s="83" t="n"/>
      <c r="N1482" s="83" t="n"/>
      <c r="O1482" s="66">
        <f>IF(OR($M1482="",$N1482=""),"",$N1482-$M1482)</f>
        <v/>
      </c>
      <c r="P1482" s="84">
        <f>IF($J1482="","",IF($L1482&lt;&gt;"",$L1482-$J1482,TODAY()-$J1482))</f>
        <v/>
      </c>
      <c r="Q1482" s="85">
        <f>IF(OR($K1482="",$H1482="Completed",$H1482="Cancelled"),"",IF(AND($K1482&lt;TODAY(),$H1482&lt;&gt;"Completed",$H1482&lt;&gt;"Cancelled"),"Overdue","On Track"))</f>
        <v/>
      </c>
      <c r="R1482" s="81" t="n"/>
      <c r="S1482" s="81">
        <f>IF($B1482="","",IFERROR(INDEX(Task_Tracker!$AA$5:$AA$1004,MATCH($B1482,Task_Tracker!$A$5:$A$1004,0)),""))</f>
        <v/>
      </c>
      <c r="T1482" s="81">
        <f>IF($B1482="","",IFERROR(INDEX(Task_Tracker!$AB$5:$AB$1004,MATCH($B1482,Task_Tracker!$A$5:$A$1004,0)),""))</f>
        <v/>
      </c>
      <c r="U1482" s="78">
        <f>IF($B1482="","",IFERROR(INDEX(Task_Tracker!$F$5:$F$1004,MATCH($B1482,Task_Tracker!$A$5:$A$1004,0)),""))</f>
        <v/>
      </c>
      <c r="V1482" s="78">
        <f>IF($B1482="","",IFERROR(INDEX(Task_Tracker!$I$5:$I$1004,MATCH($B1482,Task_Tracker!$A$5:$A$1004,0)),""))</f>
        <v/>
      </c>
      <c r="W1482" s="81">
        <f>IF(OR($D1482="",$B1482=""),"",$D1482&amp;" | "&amp;$B1482)</f>
        <v/>
      </c>
      <c r="X1482" s="85">
        <f>IF($K1482="","",TEXT($K1482,"yyyy-mm"))</f>
        <v/>
      </c>
      <c r="Y1482" s="81">
        <f>IF(OR($A1482="",$T1482=""),"","Included in Manager_Report")</f>
        <v/>
      </c>
    </row>
    <row r="1483" ht="15" customHeight="1" s="40">
      <c r="A1483" s="65">
        <f>IF(COUNTA(B1483:G1483)=0,"","STP-"&amp;TEXT(ROW()-4,"0000"))</f>
        <v/>
      </c>
      <c r="B1483" s="78" t="n"/>
      <c r="C1483" s="67">
        <f>IF($B1483="","",IFERROR(INDEX(Task_Tracker!$D$5:$D$1004,MATCH($B1483,Task_Tracker!$A$5:$A$1004,0)),""))</f>
        <v/>
      </c>
      <c r="D1483" s="67">
        <f>IF($B1483="","",IFERROR(INDEX(Task_Tracker!$B$5:$B$1004,MATCH($B1483,Task_Tracker!$A$5:$A$1004,0)),""))</f>
        <v/>
      </c>
      <c r="E1483" s="81" t="n"/>
      <c r="F1483" s="81" t="n"/>
      <c r="G1483" s="78" t="n"/>
      <c r="H1483" s="78" t="n"/>
      <c r="I1483" s="67">
        <f>IF($H1483="","",IFERROR(INDEX(Action_Status_Map!$B$5:$B$11,MATCH($H1483,Action_Status_Map!$A$5:$A$11,0)),""))</f>
        <v/>
      </c>
      <c r="J1483" s="82" t="n"/>
      <c r="K1483" s="82" t="n"/>
      <c r="L1483" s="82" t="n"/>
      <c r="M1483" s="83" t="n"/>
      <c r="N1483" s="83" t="n"/>
      <c r="O1483" s="66">
        <f>IF(OR($M1483="",$N1483=""),"",$N1483-$M1483)</f>
        <v/>
      </c>
      <c r="P1483" s="84">
        <f>IF($J1483="","",IF($L1483&lt;&gt;"",$L1483-$J1483,TODAY()-$J1483))</f>
        <v/>
      </c>
      <c r="Q1483" s="85">
        <f>IF(OR($K1483="",$H1483="Completed",$H1483="Cancelled"),"",IF(AND($K1483&lt;TODAY(),$H1483&lt;&gt;"Completed",$H1483&lt;&gt;"Cancelled"),"Overdue","On Track"))</f>
        <v/>
      </c>
      <c r="R1483" s="81" t="n"/>
      <c r="S1483" s="81">
        <f>IF($B1483="","",IFERROR(INDEX(Task_Tracker!$AA$5:$AA$1004,MATCH($B1483,Task_Tracker!$A$5:$A$1004,0)),""))</f>
        <v/>
      </c>
      <c r="T1483" s="81">
        <f>IF($B1483="","",IFERROR(INDEX(Task_Tracker!$AB$5:$AB$1004,MATCH($B1483,Task_Tracker!$A$5:$A$1004,0)),""))</f>
        <v/>
      </c>
      <c r="U1483" s="78">
        <f>IF($B1483="","",IFERROR(INDEX(Task_Tracker!$F$5:$F$1004,MATCH($B1483,Task_Tracker!$A$5:$A$1004,0)),""))</f>
        <v/>
      </c>
      <c r="V1483" s="78">
        <f>IF($B1483="","",IFERROR(INDEX(Task_Tracker!$I$5:$I$1004,MATCH($B1483,Task_Tracker!$A$5:$A$1004,0)),""))</f>
        <v/>
      </c>
      <c r="W1483" s="81">
        <f>IF(OR($D1483="",$B1483=""),"",$D1483&amp;" | "&amp;$B1483)</f>
        <v/>
      </c>
      <c r="X1483" s="85">
        <f>IF($K1483="","",TEXT($K1483,"yyyy-mm"))</f>
        <v/>
      </c>
      <c r="Y1483" s="81">
        <f>IF(OR($A1483="",$T1483=""),"","Included in Manager_Report")</f>
        <v/>
      </c>
    </row>
    <row r="1484" ht="15" customHeight="1" s="40">
      <c r="A1484" s="65">
        <f>IF(COUNTA(B1484:G1484)=0,"","STP-"&amp;TEXT(ROW()-4,"0000"))</f>
        <v/>
      </c>
      <c r="B1484" s="78" t="n"/>
      <c r="C1484" s="67">
        <f>IF($B1484="","",IFERROR(INDEX(Task_Tracker!$D$5:$D$1004,MATCH($B1484,Task_Tracker!$A$5:$A$1004,0)),""))</f>
        <v/>
      </c>
      <c r="D1484" s="67">
        <f>IF($B1484="","",IFERROR(INDEX(Task_Tracker!$B$5:$B$1004,MATCH($B1484,Task_Tracker!$A$5:$A$1004,0)),""))</f>
        <v/>
      </c>
      <c r="E1484" s="81" t="n"/>
      <c r="F1484" s="81" t="n"/>
      <c r="G1484" s="78" t="n"/>
      <c r="H1484" s="78" t="n"/>
      <c r="I1484" s="67">
        <f>IF($H1484="","",IFERROR(INDEX(Action_Status_Map!$B$5:$B$11,MATCH($H1484,Action_Status_Map!$A$5:$A$11,0)),""))</f>
        <v/>
      </c>
      <c r="J1484" s="82" t="n"/>
      <c r="K1484" s="82" t="n"/>
      <c r="L1484" s="82" t="n"/>
      <c r="M1484" s="83" t="n"/>
      <c r="N1484" s="83" t="n"/>
      <c r="O1484" s="66">
        <f>IF(OR($M1484="",$N1484=""),"",$N1484-$M1484)</f>
        <v/>
      </c>
      <c r="P1484" s="84">
        <f>IF($J1484="","",IF($L1484&lt;&gt;"",$L1484-$J1484,TODAY()-$J1484))</f>
        <v/>
      </c>
      <c r="Q1484" s="85">
        <f>IF(OR($K1484="",$H1484="Completed",$H1484="Cancelled"),"",IF(AND($K1484&lt;TODAY(),$H1484&lt;&gt;"Completed",$H1484&lt;&gt;"Cancelled"),"Overdue","On Track"))</f>
        <v/>
      </c>
      <c r="R1484" s="81" t="n"/>
      <c r="S1484" s="81">
        <f>IF($B1484="","",IFERROR(INDEX(Task_Tracker!$AA$5:$AA$1004,MATCH($B1484,Task_Tracker!$A$5:$A$1004,0)),""))</f>
        <v/>
      </c>
      <c r="T1484" s="81">
        <f>IF($B1484="","",IFERROR(INDEX(Task_Tracker!$AB$5:$AB$1004,MATCH($B1484,Task_Tracker!$A$5:$A$1004,0)),""))</f>
        <v/>
      </c>
      <c r="U1484" s="78">
        <f>IF($B1484="","",IFERROR(INDEX(Task_Tracker!$F$5:$F$1004,MATCH($B1484,Task_Tracker!$A$5:$A$1004,0)),""))</f>
        <v/>
      </c>
      <c r="V1484" s="78">
        <f>IF($B1484="","",IFERROR(INDEX(Task_Tracker!$I$5:$I$1004,MATCH($B1484,Task_Tracker!$A$5:$A$1004,0)),""))</f>
        <v/>
      </c>
      <c r="W1484" s="81">
        <f>IF(OR($D1484="",$B1484=""),"",$D1484&amp;" | "&amp;$B1484)</f>
        <v/>
      </c>
      <c r="X1484" s="85">
        <f>IF($K1484="","",TEXT($K1484,"yyyy-mm"))</f>
        <v/>
      </c>
      <c r="Y1484" s="81">
        <f>IF(OR($A1484="",$T1484=""),"","Included in Manager_Report")</f>
        <v/>
      </c>
    </row>
    <row r="1485" ht="15" customHeight="1" s="40">
      <c r="A1485" s="65">
        <f>IF(COUNTA(B1485:G1485)=0,"","STP-"&amp;TEXT(ROW()-4,"0000"))</f>
        <v/>
      </c>
      <c r="B1485" s="78" t="n"/>
      <c r="C1485" s="67">
        <f>IF($B1485="","",IFERROR(INDEX(Task_Tracker!$D$5:$D$1004,MATCH($B1485,Task_Tracker!$A$5:$A$1004,0)),""))</f>
        <v/>
      </c>
      <c r="D1485" s="67">
        <f>IF($B1485="","",IFERROR(INDEX(Task_Tracker!$B$5:$B$1004,MATCH($B1485,Task_Tracker!$A$5:$A$1004,0)),""))</f>
        <v/>
      </c>
      <c r="E1485" s="81" t="n"/>
      <c r="F1485" s="81" t="n"/>
      <c r="G1485" s="78" t="n"/>
      <c r="H1485" s="78" t="n"/>
      <c r="I1485" s="67">
        <f>IF($H1485="","",IFERROR(INDEX(Action_Status_Map!$B$5:$B$11,MATCH($H1485,Action_Status_Map!$A$5:$A$11,0)),""))</f>
        <v/>
      </c>
      <c r="J1485" s="82" t="n"/>
      <c r="K1485" s="82" t="n"/>
      <c r="L1485" s="82" t="n"/>
      <c r="M1485" s="83" t="n"/>
      <c r="N1485" s="83" t="n"/>
      <c r="O1485" s="66">
        <f>IF(OR($M1485="",$N1485=""),"",$N1485-$M1485)</f>
        <v/>
      </c>
      <c r="P1485" s="84">
        <f>IF($J1485="","",IF($L1485&lt;&gt;"",$L1485-$J1485,TODAY()-$J1485))</f>
        <v/>
      </c>
      <c r="Q1485" s="85">
        <f>IF(OR($K1485="",$H1485="Completed",$H1485="Cancelled"),"",IF(AND($K1485&lt;TODAY(),$H1485&lt;&gt;"Completed",$H1485&lt;&gt;"Cancelled"),"Overdue","On Track"))</f>
        <v/>
      </c>
      <c r="R1485" s="81" t="n"/>
      <c r="S1485" s="81">
        <f>IF($B1485="","",IFERROR(INDEX(Task_Tracker!$AA$5:$AA$1004,MATCH($B1485,Task_Tracker!$A$5:$A$1004,0)),""))</f>
        <v/>
      </c>
      <c r="T1485" s="81">
        <f>IF($B1485="","",IFERROR(INDEX(Task_Tracker!$AB$5:$AB$1004,MATCH($B1485,Task_Tracker!$A$5:$A$1004,0)),""))</f>
        <v/>
      </c>
      <c r="U1485" s="78">
        <f>IF($B1485="","",IFERROR(INDEX(Task_Tracker!$F$5:$F$1004,MATCH($B1485,Task_Tracker!$A$5:$A$1004,0)),""))</f>
        <v/>
      </c>
      <c r="V1485" s="78">
        <f>IF($B1485="","",IFERROR(INDEX(Task_Tracker!$I$5:$I$1004,MATCH($B1485,Task_Tracker!$A$5:$A$1004,0)),""))</f>
        <v/>
      </c>
      <c r="W1485" s="81">
        <f>IF(OR($D1485="",$B1485=""),"",$D1485&amp;" | "&amp;$B1485)</f>
        <v/>
      </c>
      <c r="X1485" s="85">
        <f>IF($K1485="","",TEXT($K1485,"yyyy-mm"))</f>
        <v/>
      </c>
      <c r="Y1485" s="81">
        <f>IF(OR($A1485="",$T1485=""),"","Included in Manager_Report")</f>
        <v/>
      </c>
    </row>
    <row r="1486" ht="15" customHeight="1" s="40">
      <c r="A1486" s="65">
        <f>IF(COUNTA(B1486:G1486)=0,"","STP-"&amp;TEXT(ROW()-4,"0000"))</f>
        <v/>
      </c>
      <c r="B1486" s="78" t="n"/>
      <c r="C1486" s="67">
        <f>IF($B1486="","",IFERROR(INDEX(Task_Tracker!$D$5:$D$1004,MATCH($B1486,Task_Tracker!$A$5:$A$1004,0)),""))</f>
        <v/>
      </c>
      <c r="D1486" s="67">
        <f>IF($B1486="","",IFERROR(INDEX(Task_Tracker!$B$5:$B$1004,MATCH($B1486,Task_Tracker!$A$5:$A$1004,0)),""))</f>
        <v/>
      </c>
      <c r="E1486" s="81" t="n"/>
      <c r="F1486" s="81" t="n"/>
      <c r="G1486" s="78" t="n"/>
      <c r="H1486" s="78" t="n"/>
      <c r="I1486" s="67">
        <f>IF($H1486="","",IFERROR(INDEX(Action_Status_Map!$B$5:$B$11,MATCH($H1486,Action_Status_Map!$A$5:$A$11,0)),""))</f>
        <v/>
      </c>
      <c r="J1486" s="82" t="n"/>
      <c r="K1486" s="82" t="n"/>
      <c r="L1486" s="82" t="n"/>
      <c r="M1486" s="83" t="n"/>
      <c r="N1486" s="83" t="n"/>
      <c r="O1486" s="66">
        <f>IF(OR($M1486="",$N1486=""),"",$N1486-$M1486)</f>
        <v/>
      </c>
      <c r="P1486" s="84">
        <f>IF($J1486="","",IF($L1486&lt;&gt;"",$L1486-$J1486,TODAY()-$J1486))</f>
        <v/>
      </c>
      <c r="Q1486" s="85">
        <f>IF(OR($K1486="",$H1486="Completed",$H1486="Cancelled"),"",IF(AND($K1486&lt;TODAY(),$H1486&lt;&gt;"Completed",$H1486&lt;&gt;"Cancelled"),"Overdue","On Track"))</f>
        <v/>
      </c>
      <c r="R1486" s="81" t="n"/>
      <c r="S1486" s="81">
        <f>IF($B1486="","",IFERROR(INDEX(Task_Tracker!$AA$5:$AA$1004,MATCH($B1486,Task_Tracker!$A$5:$A$1004,0)),""))</f>
        <v/>
      </c>
      <c r="T1486" s="81">
        <f>IF($B1486="","",IFERROR(INDEX(Task_Tracker!$AB$5:$AB$1004,MATCH($B1486,Task_Tracker!$A$5:$A$1004,0)),""))</f>
        <v/>
      </c>
      <c r="U1486" s="78">
        <f>IF($B1486="","",IFERROR(INDEX(Task_Tracker!$F$5:$F$1004,MATCH($B1486,Task_Tracker!$A$5:$A$1004,0)),""))</f>
        <v/>
      </c>
      <c r="V1486" s="78">
        <f>IF($B1486="","",IFERROR(INDEX(Task_Tracker!$I$5:$I$1004,MATCH($B1486,Task_Tracker!$A$5:$A$1004,0)),""))</f>
        <v/>
      </c>
      <c r="W1486" s="81">
        <f>IF(OR($D1486="",$B1486=""),"",$D1486&amp;" | "&amp;$B1486)</f>
        <v/>
      </c>
      <c r="X1486" s="85">
        <f>IF($K1486="","",TEXT($K1486,"yyyy-mm"))</f>
        <v/>
      </c>
      <c r="Y1486" s="81">
        <f>IF(OR($A1486="",$T1486=""),"","Included in Manager_Report")</f>
        <v/>
      </c>
    </row>
    <row r="1487" ht="15" customHeight="1" s="40">
      <c r="A1487" s="65">
        <f>IF(COUNTA(B1487:G1487)=0,"","STP-"&amp;TEXT(ROW()-4,"0000"))</f>
        <v/>
      </c>
      <c r="B1487" s="78" t="n"/>
      <c r="C1487" s="67">
        <f>IF($B1487="","",IFERROR(INDEX(Task_Tracker!$D$5:$D$1004,MATCH($B1487,Task_Tracker!$A$5:$A$1004,0)),""))</f>
        <v/>
      </c>
      <c r="D1487" s="67">
        <f>IF($B1487="","",IFERROR(INDEX(Task_Tracker!$B$5:$B$1004,MATCH($B1487,Task_Tracker!$A$5:$A$1004,0)),""))</f>
        <v/>
      </c>
      <c r="E1487" s="81" t="n"/>
      <c r="F1487" s="81" t="n"/>
      <c r="G1487" s="78" t="n"/>
      <c r="H1487" s="78" t="n"/>
      <c r="I1487" s="67">
        <f>IF($H1487="","",IFERROR(INDEX(Action_Status_Map!$B$5:$B$11,MATCH($H1487,Action_Status_Map!$A$5:$A$11,0)),""))</f>
        <v/>
      </c>
      <c r="J1487" s="82" t="n"/>
      <c r="K1487" s="82" t="n"/>
      <c r="L1487" s="82" t="n"/>
      <c r="M1487" s="83" t="n"/>
      <c r="N1487" s="83" t="n"/>
      <c r="O1487" s="66">
        <f>IF(OR($M1487="",$N1487=""),"",$N1487-$M1487)</f>
        <v/>
      </c>
      <c r="P1487" s="84">
        <f>IF($J1487="","",IF($L1487&lt;&gt;"",$L1487-$J1487,TODAY()-$J1487))</f>
        <v/>
      </c>
      <c r="Q1487" s="85">
        <f>IF(OR($K1487="",$H1487="Completed",$H1487="Cancelled"),"",IF(AND($K1487&lt;TODAY(),$H1487&lt;&gt;"Completed",$H1487&lt;&gt;"Cancelled"),"Overdue","On Track"))</f>
        <v/>
      </c>
      <c r="R1487" s="81" t="n"/>
      <c r="S1487" s="81">
        <f>IF($B1487="","",IFERROR(INDEX(Task_Tracker!$AA$5:$AA$1004,MATCH($B1487,Task_Tracker!$A$5:$A$1004,0)),""))</f>
        <v/>
      </c>
      <c r="T1487" s="81">
        <f>IF($B1487="","",IFERROR(INDEX(Task_Tracker!$AB$5:$AB$1004,MATCH($B1487,Task_Tracker!$A$5:$A$1004,0)),""))</f>
        <v/>
      </c>
      <c r="U1487" s="78">
        <f>IF($B1487="","",IFERROR(INDEX(Task_Tracker!$F$5:$F$1004,MATCH($B1487,Task_Tracker!$A$5:$A$1004,0)),""))</f>
        <v/>
      </c>
      <c r="V1487" s="78">
        <f>IF($B1487="","",IFERROR(INDEX(Task_Tracker!$I$5:$I$1004,MATCH($B1487,Task_Tracker!$A$5:$A$1004,0)),""))</f>
        <v/>
      </c>
      <c r="W1487" s="81">
        <f>IF(OR($D1487="",$B1487=""),"",$D1487&amp;" | "&amp;$B1487)</f>
        <v/>
      </c>
      <c r="X1487" s="85">
        <f>IF($K1487="","",TEXT($K1487,"yyyy-mm"))</f>
        <v/>
      </c>
      <c r="Y1487" s="81">
        <f>IF(OR($A1487="",$T1487=""),"","Included in Manager_Report")</f>
        <v/>
      </c>
    </row>
    <row r="1488" ht="15" customHeight="1" s="40">
      <c r="A1488" s="65">
        <f>IF(COUNTA(B1488:G1488)=0,"","STP-"&amp;TEXT(ROW()-4,"0000"))</f>
        <v/>
      </c>
      <c r="B1488" s="78" t="n"/>
      <c r="C1488" s="67">
        <f>IF($B1488="","",IFERROR(INDEX(Task_Tracker!$D$5:$D$1004,MATCH($B1488,Task_Tracker!$A$5:$A$1004,0)),""))</f>
        <v/>
      </c>
      <c r="D1488" s="67">
        <f>IF($B1488="","",IFERROR(INDEX(Task_Tracker!$B$5:$B$1004,MATCH($B1488,Task_Tracker!$A$5:$A$1004,0)),""))</f>
        <v/>
      </c>
      <c r="E1488" s="81" t="n"/>
      <c r="F1488" s="81" t="n"/>
      <c r="G1488" s="78" t="n"/>
      <c r="H1488" s="78" t="n"/>
      <c r="I1488" s="67">
        <f>IF($H1488="","",IFERROR(INDEX(Action_Status_Map!$B$5:$B$11,MATCH($H1488,Action_Status_Map!$A$5:$A$11,0)),""))</f>
        <v/>
      </c>
      <c r="J1488" s="82" t="n"/>
      <c r="K1488" s="82" t="n"/>
      <c r="L1488" s="82" t="n"/>
      <c r="M1488" s="83" t="n"/>
      <c r="N1488" s="83" t="n"/>
      <c r="O1488" s="66">
        <f>IF(OR($M1488="",$N1488=""),"",$N1488-$M1488)</f>
        <v/>
      </c>
      <c r="P1488" s="84">
        <f>IF($J1488="","",IF($L1488&lt;&gt;"",$L1488-$J1488,TODAY()-$J1488))</f>
        <v/>
      </c>
      <c r="Q1488" s="85">
        <f>IF(OR($K1488="",$H1488="Completed",$H1488="Cancelled"),"",IF(AND($K1488&lt;TODAY(),$H1488&lt;&gt;"Completed",$H1488&lt;&gt;"Cancelled"),"Overdue","On Track"))</f>
        <v/>
      </c>
      <c r="R1488" s="81" t="n"/>
      <c r="S1488" s="81">
        <f>IF($B1488="","",IFERROR(INDEX(Task_Tracker!$AA$5:$AA$1004,MATCH($B1488,Task_Tracker!$A$5:$A$1004,0)),""))</f>
        <v/>
      </c>
      <c r="T1488" s="81">
        <f>IF($B1488="","",IFERROR(INDEX(Task_Tracker!$AB$5:$AB$1004,MATCH($B1488,Task_Tracker!$A$5:$A$1004,0)),""))</f>
        <v/>
      </c>
      <c r="U1488" s="78">
        <f>IF($B1488="","",IFERROR(INDEX(Task_Tracker!$F$5:$F$1004,MATCH($B1488,Task_Tracker!$A$5:$A$1004,0)),""))</f>
        <v/>
      </c>
      <c r="V1488" s="78">
        <f>IF($B1488="","",IFERROR(INDEX(Task_Tracker!$I$5:$I$1004,MATCH($B1488,Task_Tracker!$A$5:$A$1004,0)),""))</f>
        <v/>
      </c>
      <c r="W1488" s="81">
        <f>IF(OR($D1488="",$B1488=""),"",$D1488&amp;" | "&amp;$B1488)</f>
        <v/>
      </c>
      <c r="X1488" s="85">
        <f>IF($K1488="","",TEXT($K1488,"yyyy-mm"))</f>
        <v/>
      </c>
      <c r="Y1488" s="81">
        <f>IF(OR($A1488="",$T1488=""),"","Included in Manager_Report")</f>
        <v/>
      </c>
    </row>
    <row r="1489" ht="15" customHeight="1" s="40">
      <c r="A1489" s="65">
        <f>IF(COUNTA(B1489:G1489)=0,"","STP-"&amp;TEXT(ROW()-4,"0000"))</f>
        <v/>
      </c>
      <c r="B1489" s="78" t="n"/>
      <c r="C1489" s="67">
        <f>IF($B1489="","",IFERROR(INDEX(Task_Tracker!$D$5:$D$1004,MATCH($B1489,Task_Tracker!$A$5:$A$1004,0)),""))</f>
        <v/>
      </c>
      <c r="D1489" s="67">
        <f>IF($B1489="","",IFERROR(INDEX(Task_Tracker!$B$5:$B$1004,MATCH($B1489,Task_Tracker!$A$5:$A$1004,0)),""))</f>
        <v/>
      </c>
      <c r="E1489" s="81" t="n"/>
      <c r="F1489" s="81" t="n"/>
      <c r="G1489" s="78" t="n"/>
      <c r="H1489" s="78" t="n"/>
      <c r="I1489" s="67">
        <f>IF($H1489="","",IFERROR(INDEX(Action_Status_Map!$B$5:$B$11,MATCH($H1489,Action_Status_Map!$A$5:$A$11,0)),""))</f>
        <v/>
      </c>
      <c r="J1489" s="82" t="n"/>
      <c r="K1489" s="82" t="n"/>
      <c r="L1489" s="82" t="n"/>
      <c r="M1489" s="83" t="n"/>
      <c r="N1489" s="83" t="n"/>
      <c r="O1489" s="66">
        <f>IF(OR($M1489="",$N1489=""),"",$N1489-$M1489)</f>
        <v/>
      </c>
      <c r="P1489" s="84">
        <f>IF($J1489="","",IF($L1489&lt;&gt;"",$L1489-$J1489,TODAY()-$J1489))</f>
        <v/>
      </c>
      <c r="Q1489" s="85">
        <f>IF(OR($K1489="",$H1489="Completed",$H1489="Cancelled"),"",IF(AND($K1489&lt;TODAY(),$H1489&lt;&gt;"Completed",$H1489&lt;&gt;"Cancelled"),"Overdue","On Track"))</f>
        <v/>
      </c>
      <c r="R1489" s="81" t="n"/>
      <c r="S1489" s="81">
        <f>IF($B1489="","",IFERROR(INDEX(Task_Tracker!$AA$5:$AA$1004,MATCH($B1489,Task_Tracker!$A$5:$A$1004,0)),""))</f>
        <v/>
      </c>
      <c r="T1489" s="81">
        <f>IF($B1489="","",IFERROR(INDEX(Task_Tracker!$AB$5:$AB$1004,MATCH($B1489,Task_Tracker!$A$5:$A$1004,0)),""))</f>
        <v/>
      </c>
      <c r="U1489" s="78">
        <f>IF($B1489="","",IFERROR(INDEX(Task_Tracker!$F$5:$F$1004,MATCH($B1489,Task_Tracker!$A$5:$A$1004,0)),""))</f>
        <v/>
      </c>
      <c r="V1489" s="78">
        <f>IF($B1489="","",IFERROR(INDEX(Task_Tracker!$I$5:$I$1004,MATCH($B1489,Task_Tracker!$A$5:$A$1004,0)),""))</f>
        <v/>
      </c>
      <c r="W1489" s="81">
        <f>IF(OR($D1489="",$B1489=""),"",$D1489&amp;" | "&amp;$B1489)</f>
        <v/>
      </c>
      <c r="X1489" s="85">
        <f>IF($K1489="","",TEXT($K1489,"yyyy-mm"))</f>
        <v/>
      </c>
      <c r="Y1489" s="81">
        <f>IF(OR($A1489="",$T1489=""),"","Included in Manager_Report")</f>
        <v/>
      </c>
    </row>
    <row r="1490" ht="15" customHeight="1" s="40">
      <c r="A1490" s="65">
        <f>IF(COUNTA(B1490:G1490)=0,"","STP-"&amp;TEXT(ROW()-4,"0000"))</f>
        <v/>
      </c>
      <c r="B1490" s="78" t="n"/>
      <c r="C1490" s="67">
        <f>IF($B1490="","",IFERROR(INDEX(Task_Tracker!$D$5:$D$1004,MATCH($B1490,Task_Tracker!$A$5:$A$1004,0)),""))</f>
        <v/>
      </c>
      <c r="D1490" s="67">
        <f>IF($B1490="","",IFERROR(INDEX(Task_Tracker!$B$5:$B$1004,MATCH($B1490,Task_Tracker!$A$5:$A$1004,0)),""))</f>
        <v/>
      </c>
      <c r="E1490" s="81" t="n"/>
      <c r="F1490" s="81" t="n"/>
      <c r="G1490" s="78" t="n"/>
      <c r="H1490" s="78" t="n"/>
      <c r="I1490" s="67">
        <f>IF($H1490="","",IFERROR(INDEX(Action_Status_Map!$B$5:$B$11,MATCH($H1490,Action_Status_Map!$A$5:$A$11,0)),""))</f>
        <v/>
      </c>
      <c r="J1490" s="82" t="n"/>
      <c r="K1490" s="82" t="n"/>
      <c r="L1490" s="82" t="n"/>
      <c r="M1490" s="83" t="n"/>
      <c r="N1490" s="83" t="n"/>
      <c r="O1490" s="66">
        <f>IF(OR($M1490="",$N1490=""),"",$N1490-$M1490)</f>
        <v/>
      </c>
      <c r="P1490" s="84">
        <f>IF($J1490="","",IF($L1490&lt;&gt;"",$L1490-$J1490,TODAY()-$J1490))</f>
        <v/>
      </c>
      <c r="Q1490" s="85">
        <f>IF(OR($K1490="",$H1490="Completed",$H1490="Cancelled"),"",IF(AND($K1490&lt;TODAY(),$H1490&lt;&gt;"Completed",$H1490&lt;&gt;"Cancelled"),"Overdue","On Track"))</f>
        <v/>
      </c>
      <c r="R1490" s="81" t="n"/>
      <c r="S1490" s="81">
        <f>IF($B1490="","",IFERROR(INDEX(Task_Tracker!$AA$5:$AA$1004,MATCH($B1490,Task_Tracker!$A$5:$A$1004,0)),""))</f>
        <v/>
      </c>
      <c r="T1490" s="81">
        <f>IF($B1490="","",IFERROR(INDEX(Task_Tracker!$AB$5:$AB$1004,MATCH($B1490,Task_Tracker!$A$5:$A$1004,0)),""))</f>
        <v/>
      </c>
      <c r="U1490" s="78">
        <f>IF($B1490="","",IFERROR(INDEX(Task_Tracker!$F$5:$F$1004,MATCH($B1490,Task_Tracker!$A$5:$A$1004,0)),""))</f>
        <v/>
      </c>
      <c r="V1490" s="78">
        <f>IF($B1490="","",IFERROR(INDEX(Task_Tracker!$I$5:$I$1004,MATCH($B1490,Task_Tracker!$A$5:$A$1004,0)),""))</f>
        <v/>
      </c>
      <c r="W1490" s="81">
        <f>IF(OR($D1490="",$B1490=""),"",$D1490&amp;" | "&amp;$B1490)</f>
        <v/>
      </c>
      <c r="X1490" s="85">
        <f>IF($K1490="","",TEXT($K1490,"yyyy-mm"))</f>
        <v/>
      </c>
      <c r="Y1490" s="81">
        <f>IF(OR($A1490="",$T1490=""),"","Included in Manager_Report")</f>
        <v/>
      </c>
    </row>
    <row r="1491" ht="15" customHeight="1" s="40">
      <c r="A1491" s="65">
        <f>IF(COUNTA(B1491:G1491)=0,"","STP-"&amp;TEXT(ROW()-4,"0000"))</f>
        <v/>
      </c>
      <c r="B1491" s="78" t="n"/>
      <c r="C1491" s="67">
        <f>IF($B1491="","",IFERROR(INDEX(Task_Tracker!$D$5:$D$1004,MATCH($B1491,Task_Tracker!$A$5:$A$1004,0)),""))</f>
        <v/>
      </c>
      <c r="D1491" s="67">
        <f>IF($B1491="","",IFERROR(INDEX(Task_Tracker!$B$5:$B$1004,MATCH($B1491,Task_Tracker!$A$5:$A$1004,0)),""))</f>
        <v/>
      </c>
      <c r="E1491" s="81" t="n"/>
      <c r="F1491" s="81" t="n"/>
      <c r="G1491" s="78" t="n"/>
      <c r="H1491" s="78" t="n"/>
      <c r="I1491" s="67">
        <f>IF($H1491="","",IFERROR(INDEX(Action_Status_Map!$B$5:$B$11,MATCH($H1491,Action_Status_Map!$A$5:$A$11,0)),""))</f>
        <v/>
      </c>
      <c r="J1491" s="82" t="n"/>
      <c r="K1491" s="82" t="n"/>
      <c r="L1491" s="82" t="n"/>
      <c r="M1491" s="83" t="n"/>
      <c r="N1491" s="83" t="n"/>
      <c r="O1491" s="66">
        <f>IF(OR($M1491="",$N1491=""),"",$N1491-$M1491)</f>
        <v/>
      </c>
      <c r="P1491" s="84">
        <f>IF($J1491="","",IF($L1491&lt;&gt;"",$L1491-$J1491,TODAY()-$J1491))</f>
        <v/>
      </c>
      <c r="Q1491" s="85">
        <f>IF(OR($K1491="",$H1491="Completed",$H1491="Cancelled"),"",IF(AND($K1491&lt;TODAY(),$H1491&lt;&gt;"Completed",$H1491&lt;&gt;"Cancelled"),"Overdue","On Track"))</f>
        <v/>
      </c>
      <c r="R1491" s="81" t="n"/>
      <c r="S1491" s="81">
        <f>IF($B1491="","",IFERROR(INDEX(Task_Tracker!$AA$5:$AA$1004,MATCH($B1491,Task_Tracker!$A$5:$A$1004,0)),""))</f>
        <v/>
      </c>
      <c r="T1491" s="81">
        <f>IF($B1491="","",IFERROR(INDEX(Task_Tracker!$AB$5:$AB$1004,MATCH($B1491,Task_Tracker!$A$5:$A$1004,0)),""))</f>
        <v/>
      </c>
      <c r="U1491" s="78">
        <f>IF($B1491="","",IFERROR(INDEX(Task_Tracker!$F$5:$F$1004,MATCH($B1491,Task_Tracker!$A$5:$A$1004,0)),""))</f>
        <v/>
      </c>
      <c r="V1491" s="78">
        <f>IF($B1491="","",IFERROR(INDEX(Task_Tracker!$I$5:$I$1004,MATCH($B1491,Task_Tracker!$A$5:$A$1004,0)),""))</f>
        <v/>
      </c>
      <c r="W1491" s="81">
        <f>IF(OR($D1491="",$B1491=""),"",$D1491&amp;" | "&amp;$B1491)</f>
        <v/>
      </c>
      <c r="X1491" s="85">
        <f>IF($K1491="","",TEXT($K1491,"yyyy-mm"))</f>
        <v/>
      </c>
      <c r="Y1491" s="81">
        <f>IF(OR($A1491="",$T1491=""),"","Included in Manager_Report")</f>
        <v/>
      </c>
    </row>
    <row r="1492" ht="15" customHeight="1" s="40">
      <c r="A1492" s="65">
        <f>IF(COUNTA(B1492:G1492)=0,"","STP-"&amp;TEXT(ROW()-4,"0000"))</f>
        <v/>
      </c>
      <c r="B1492" s="78" t="n"/>
      <c r="C1492" s="67">
        <f>IF($B1492="","",IFERROR(INDEX(Task_Tracker!$D$5:$D$1004,MATCH($B1492,Task_Tracker!$A$5:$A$1004,0)),""))</f>
        <v/>
      </c>
      <c r="D1492" s="67">
        <f>IF($B1492="","",IFERROR(INDEX(Task_Tracker!$B$5:$B$1004,MATCH($B1492,Task_Tracker!$A$5:$A$1004,0)),""))</f>
        <v/>
      </c>
      <c r="E1492" s="81" t="n"/>
      <c r="F1492" s="81" t="n"/>
      <c r="G1492" s="78" t="n"/>
      <c r="H1492" s="78" t="n"/>
      <c r="I1492" s="67">
        <f>IF($H1492="","",IFERROR(INDEX(Action_Status_Map!$B$5:$B$11,MATCH($H1492,Action_Status_Map!$A$5:$A$11,0)),""))</f>
        <v/>
      </c>
      <c r="J1492" s="82" t="n"/>
      <c r="K1492" s="82" t="n"/>
      <c r="L1492" s="82" t="n"/>
      <c r="M1492" s="83" t="n"/>
      <c r="N1492" s="83" t="n"/>
      <c r="O1492" s="66">
        <f>IF(OR($M1492="",$N1492=""),"",$N1492-$M1492)</f>
        <v/>
      </c>
      <c r="P1492" s="84">
        <f>IF($J1492="","",IF($L1492&lt;&gt;"",$L1492-$J1492,TODAY()-$J1492))</f>
        <v/>
      </c>
      <c r="Q1492" s="85">
        <f>IF(OR($K1492="",$H1492="Completed",$H1492="Cancelled"),"",IF(AND($K1492&lt;TODAY(),$H1492&lt;&gt;"Completed",$H1492&lt;&gt;"Cancelled"),"Overdue","On Track"))</f>
        <v/>
      </c>
      <c r="R1492" s="81" t="n"/>
      <c r="S1492" s="81">
        <f>IF($B1492="","",IFERROR(INDEX(Task_Tracker!$AA$5:$AA$1004,MATCH($B1492,Task_Tracker!$A$5:$A$1004,0)),""))</f>
        <v/>
      </c>
      <c r="T1492" s="81">
        <f>IF($B1492="","",IFERROR(INDEX(Task_Tracker!$AB$5:$AB$1004,MATCH($B1492,Task_Tracker!$A$5:$A$1004,0)),""))</f>
        <v/>
      </c>
      <c r="U1492" s="78">
        <f>IF($B1492="","",IFERROR(INDEX(Task_Tracker!$F$5:$F$1004,MATCH($B1492,Task_Tracker!$A$5:$A$1004,0)),""))</f>
        <v/>
      </c>
      <c r="V1492" s="78">
        <f>IF($B1492="","",IFERROR(INDEX(Task_Tracker!$I$5:$I$1004,MATCH($B1492,Task_Tracker!$A$5:$A$1004,0)),""))</f>
        <v/>
      </c>
      <c r="W1492" s="81">
        <f>IF(OR($D1492="",$B1492=""),"",$D1492&amp;" | "&amp;$B1492)</f>
        <v/>
      </c>
      <c r="X1492" s="85">
        <f>IF($K1492="","",TEXT($K1492,"yyyy-mm"))</f>
        <v/>
      </c>
      <c r="Y1492" s="81">
        <f>IF(OR($A1492="",$T1492=""),"","Included in Manager_Report")</f>
        <v/>
      </c>
    </row>
    <row r="1493" ht="15" customHeight="1" s="40">
      <c r="A1493" s="65">
        <f>IF(COUNTA(B1493:G1493)=0,"","STP-"&amp;TEXT(ROW()-4,"0000"))</f>
        <v/>
      </c>
      <c r="B1493" s="78" t="n"/>
      <c r="C1493" s="67">
        <f>IF($B1493="","",IFERROR(INDEX(Task_Tracker!$D$5:$D$1004,MATCH($B1493,Task_Tracker!$A$5:$A$1004,0)),""))</f>
        <v/>
      </c>
      <c r="D1493" s="67">
        <f>IF($B1493="","",IFERROR(INDEX(Task_Tracker!$B$5:$B$1004,MATCH($B1493,Task_Tracker!$A$5:$A$1004,0)),""))</f>
        <v/>
      </c>
      <c r="E1493" s="81" t="n"/>
      <c r="F1493" s="81" t="n"/>
      <c r="G1493" s="78" t="n"/>
      <c r="H1493" s="78" t="n"/>
      <c r="I1493" s="67">
        <f>IF($H1493="","",IFERROR(INDEX(Action_Status_Map!$B$5:$B$11,MATCH($H1493,Action_Status_Map!$A$5:$A$11,0)),""))</f>
        <v/>
      </c>
      <c r="J1493" s="82" t="n"/>
      <c r="K1493" s="82" t="n"/>
      <c r="L1493" s="82" t="n"/>
      <c r="M1493" s="83" t="n"/>
      <c r="N1493" s="83" t="n"/>
      <c r="O1493" s="66">
        <f>IF(OR($M1493="",$N1493=""),"",$N1493-$M1493)</f>
        <v/>
      </c>
      <c r="P1493" s="84">
        <f>IF($J1493="","",IF($L1493&lt;&gt;"",$L1493-$J1493,TODAY()-$J1493))</f>
        <v/>
      </c>
      <c r="Q1493" s="85">
        <f>IF(OR($K1493="",$H1493="Completed",$H1493="Cancelled"),"",IF(AND($K1493&lt;TODAY(),$H1493&lt;&gt;"Completed",$H1493&lt;&gt;"Cancelled"),"Overdue","On Track"))</f>
        <v/>
      </c>
      <c r="R1493" s="81" t="n"/>
      <c r="S1493" s="81">
        <f>IF($B1493="","",IFERROR(INDEX(Task_Tracker!$AA$5:$AA$1004,MATCH($B1493,Task_Tracker!$A$5:$A$1004,0)),""))</f>
        <v/>
      </c>
      <c r="T1493" s="81">
        <f>IF($B1493="","",IFERROR(INDEX(Task_Tracker!$AB$5:$AB$1004,MATCH($B1493,Task_Tracker!$A$5:$A$1004,0)),""))</f>
        <v/>
      </c>
      <c r="U1493" s="78">
        <f>IF($B1493="","",IFERROR(INDEX(Task_Tracker!$F$5:$F$1004,MATCH($B1493,Task_Tracker!$A$5:$A$1004,0)),""))</f>
        <v/>
      </c>
      <c r="V1493" s="78">
        <f>IF($B1493="","",IFERROR(INDEX(Task_Tracker!$I$5:$I$1004,MATCH($B1493,Task_Tracker!$A$5:$A$1004,0)),""))</f>
        <v/>
      </c>
      <c r="W1493" s="81">
        <f>IF(OR($D1493="",$B1493=""),"",$D1493&amp;" | "&amp;$B1493)</f>
        <v/>
      </c>
      <c r="X1493" s="85">
        <f>IF($K1493="","",TEXT($K1493,"yyyy-mm"))</f>
        <v/>
      </c>
      <c r="Y1493" s="81">
        <f>IF(OR($A1493="",$T1493=""),"","Included in Manager_Report")</f>
        <v/>
      </c>
    </row>
    <row r="1494" ht="15" customHeight="1" s="40">
      <c r="A1494" s="65">
        <f>IF(COUNTA(B1494:G1494)=0,"","STP-"&amp;TEXT(ROW()-4,"0000"))</f>
        <v/>
      </c>
      <c r="B1494" s="78" t="n"/>
      <c r="C1494" s="67">
        <f>IF($B1494="","",IFERROR(INDEX(Task_Tracker!$D$5:$D$1004,MATCH($B1494,Task_Tracker!$A$5:$A$1004,0)),""))</f>
        <v/>
      </c>
      <c r="D1494" s="67">
        <f>IF($B1494="","",IFERROR(INDEX(Task_Tracker!$B$5:$B$1004,MATCH($B1494,Task_Tracker!$A$5:$A$1004,0)),""))</f>
        <v/>
      </c>
      <c r="E1494" s="81" t="n"/>
      <c r="F1494" s="81" t="n"/>
      <c r="G1494" s="78" t="n"/>
      <c r="H1494" s="78" t="n"/>
      <c r="I1494" s="67">
        <f>IF($H1494="","",IFERROR(INDEX(Action_Status_Map!$B$5:$B$11,MATCH($H1494,Action_Status_Map!$A$5:$A$11,0)),""))</f>
        <v/>
      </c>
      <c r="J1494" s="82" t="n"/>
      <c r="K1494" s="82" t="n"/>
      <c r="L1494" s="82" t="n"/>
      <c r="M1494" s="83" t="n"/>
      <c r="N1494" s="83" t="n"/>
      <c r="O1494" s="66">
        <f>IF(OR($M1494="",$N1494=""),"",$N1494-$M1494)</f>
        <v/>
      </c>
      <c r="P1494" s="84">
        <f>IF($J1494="","",IF($L1494&lt;&gt;"",$L1494-$J1494,TODAY()-$J1494))</f>
        <v/>
      </c>
      <c r="Q1494" s="85">
        <f>IF(OR($K1494="",$H1494="Completed",$H1494="Cancelled"),"",IF(AND($K1494&lt;TODAY(),$H1494&lt;&gt;"Completed",$H1494&lt;&gt;"Cancelled"),"Overdue","On Track"))</f>
        <v/>
      </c>
      <c r="R1494" s="81" t="n"/>
      <c r="S1494" s="81">
        <f>IF($B1494="","",IFERROR(INDEX(Task_Tracker!$AA$5:$AA$1004,MATCH($B1494,Task_Tracker!$A$5:$A$1004,0)),""))</f>
        <v/>
      </c>
      <c r="T1494" s="81">
        <f>IF($B1494="","",IFERROR(INDEX(Task_Tracker!$AB$5:$AB$1004,MATCH($B1494,Task_Tracker!$A$5:$A$1004,0)),""))</f>
        <v/>
      </c>
      <c r="U1494" s="78">
        <f>IF($B1494="","",IFERROR(INDEX(Task_Tracker!$F$5:$F$1004,MATCH($B1494,Task_Tracker!$A$5:$A$1004,0)),""))</f>
        <v/>
      </c>
      <c r="V1494" s="78">
        <f>IF($B1494="","",IFERROR(INDEX(Task_Tracker!$I$5:$I$1004,MATCH($B1494,Task_Tracker!$A$5:$A$1004,0)),""))</f>
        <v/>
      </c>
      <c r="W1494" s="81">
        <f>IF(OR($D1494="",$B1494=""),"",$D1494&amp;" | "&amp;$B1494)</f>
        <v/>
      </c>
      <c r="X1494" s="85">
        <f>IF($K1494="","",TEXT($K1494,"yyyy-mm"))</f>
        <v/>
      </c>
      <c r="Y1494" s="81">
        <f>IF(OR($A1494="",$T1494=""),"","Included in Manager_Report")</f>
        <v/>
      </c>
    </row>
    <row r="1495" ht="15" customHeight="1" s="40">
      <c r="A1495" s="65">
        <f>IF(COUNTA(B1495:G1495)=0,"","STP-"&amp;TEXT(ROW()-4,"0000"))</f>
        <v/>
      </c>
      <c r="B1495" s="78" t="n"/>
      <c r="C1495" s="67">
        <f>IF($B1495="","",IFERROR(INDEX(Task_Tracker!$D$5:$D$1004,MATCH($B1495,Task_Tracker!$A$5:$A$1004,0)),""))</f>
        <v/>
      </c>
      <c r="D1495" s="67">
        <f>IF($B1495="","",IFERROR(INDEX(Task_Tracker!$B$5:$B$1004,MATCH($B1495,Task_Tracker!$A$5:$A$1004,0)),""))</f>
        <v/>
      </c>
      <c r="E1495" s="81" t="n"/>
      <c r="F1495" s="81" t="n"/>
      <c r="G1495" s="78" t="n"/>
      <c r="H1495" s="78" t="n"/>
      <c r="I1495" s="67">
        <f>IF($H1495="","",IFERROR(INDEX(Action_Status_Map!$B$5:$B$11,MATCH($H1495,Action_Status_Map!$A$5:$A$11,0)),""))</f>
        <v/>
      </c>
      <c r="J1495" s="82" t="n"/>
      <c r="K1495" s="82" t="n"/>
      <c r="L1495" s="82" t="n"/>
      <c r="M1495" s="83" t="n"/>
      <c r="N1495" s="83" t="n"/>
      <c r="O1495" s="66">
        <f>IF(OR($M1495="",$N1495=""),"",$N1495-$M1495)</f>
        <v/>
      </c>
      <c r="P1495" s="84">
        <f>IF($J1495="","",IF($L1495&lt;&gt;"",$L1495-$J1495,TODAY()-$J1495))</f>
        <v/>
      </c>
      <c r="Q1495" s="85">
        <f>IF(OR($K1495="",$H1495="Completed",$H1495="Cancelled"),"",IF(AND($K1495&lt;TODAY(),$H1495&lt;&gt;"Completed",$H1495&lt;&gt;"Cancelled"),"Overdue","On Track"))</f>
        <v/>
      </c>
      <c r="R1495" s="81" t="n"/>
      <c r="S1495" s="81">
        <f>IF($B1495="","",IFERROR(INDEX(Task_Tracker!$AA$5:$AA$1004,MATCH($B1495,Task_Tracker!$A$5:$A$1004,0)),""))</f>
        <v/>
      </c>
      <c r="T1495" s="81">
        <f>IF($B1495="","",IFERROR(INDEX(Task_Tracker!$AB$5:$AB$1004,MATCH($B1495,Task_Tracker!$A$5:$A$1004,0)),""))</f>
        <v/>
      </c>
      <c r="U1495" s="78">
        <f>IF($B1495="","",IFERROR(INDEX(Task_Tracker!$F$5:$F$1004,MATCH($B1495,Task_Tracker!$A$5:$A$1004,0)),""))</f>
        <v/>
      </c>
      <c r="V1495" s="78">
        <f>IF($B1495="","",IFERROR(INDEX(Task_Tracker!$I$5:$I$1004,MATCH($B1495,Task_Tracker!$A$5:$A$1004,0)),""))</f>
        <v/>
      </c>
      <c r="W1495" s="81">
        <f>IF(OR($D1495="",$B1495=""),"",$D1495&amp;" | "&amp;$B1495)</f>
        <v/>
      </c>
      <c r="X1495" s="85">
        <f>IF($K1495="","",TEXT($K1495,"yyyy-mm"))</f>
        <v/>
      </c>
      <c r="Y1495" s="81">
        <f>IF(OR($A1495="",$T1495=""),"","Included in Manager_Report")</f>
        <v/>
      </c>
    </row>
    <row r="1496" ht="15" customHeight="1" s="40">
      <c r="A1496" s="65">
        <f>IF(COUNTA(B1496:G1496)=0,"","STP-"&amp;TEXT(ROW()-4,"0000"))</f>
        <v/>
      </c>
      <c r="B1496" s="78" t="n"/>
      <c r="C1496" s="67">
        <f>IF($B1496="","",IFERROR(INDEX(Task_Tracker!$D$5:$D$1004,MATCH($B1496,Task_Tracker!$A$5:$A$1004,0)),""))</f>
        <v/>
      </c>
      <c r="D1496" s="67">
        <f>IF($B1496="","",IFERROR(INDEX(Task_Tracker!$B$5:$B$1004,MATCH($B1496,Task_Tracker!$A$5:$A$1004,0)),""))</f>
        <v/>
      </c>
      <c r="E1496" s="81" t="n"/>
      <c r="F1496" s="81" t="n"/>
      <c r="G1496" s="78" t="n"/>
      <c r="H1496" s="78" t="n"/>
      <c r="I1496" s="67">
        <f>IF($H1496="","",IFERROR(INDEX(Action_Status_Map!$B$5:$B$11,MATCH($H1496,Action_Status_Map!$A$5:$A$11,0)),""))</f>
        <v/>
      </c>
      <c r="J1496" s="82" t="n"/>
      <c r="K1496" s="82" t="n"/>
      <c r="L1496" s="82" t="n"/>
      <c r="M1496" s="83" t="n"/>
      <c r="N1496" s="83" t="n"/>
      <c r="O1496" s="66">
        <f>IF(OR($M1496="",$N1496=""),"",$N1496-$M1496)</f>
        <v/>
      </c>
      <c r="P1496" s="84">
        <f>IF($J1496="","",IF($L1496&lt;&gt;"",$L1496-$J1496,TODAY()-$J1496))</f>
        <v/>
      </c>
      <c r="Q1496" s="85">
        <f>IF(OR($K1496="",$H1496="Completed",$H1496="Cancelled"),"",IF(AND($K1496&lt;TODAY(),$H1496&lt;&gt;"Completed",$H1496&lt;&gt;"Cancelled"),"Overdue","On Track"))</f>
        <v/>
      </c>
      <c r="R1496" s="81" t="n"/>
      <c r="S1496" s="81">
        <f>IF($B1496="","",IFERROR(INDEX(Task_Tracker!$AA$5:$AA$1004,MATCH($B1496,Task_Tracker!$A$5:$A$1004,0)),""))</f>
        <v/>
      </c>
      <c r="T1496" s="81">
        <f>IF($B1496="","",IFERROR(INDEX(Task_Tracker!$AB$5:$AB$1004,MATCH($B1496,Task_Tracker!$A$5:$A$1004,0)),""))</f>
        <v/>
      </c>
      <c r="U1496" s="78">
        <f>IF($B1496="","",IFERROR(INDEX(Task_Tracker!$F$5:$F$1004,MATCH($B1496,Task_Tracker!$A$5:$A$1004,0)),""))</f>
        <v/>
      </c>
      <c r="V1496" s="78">
        <f>IF($B1496="","",IFERROR(INDEX(Task_Tracker!$I$5:$I$1004,MATCH($B1496,Task_Tracker!$A$5:$A$1004,0)),""))</f>
        <v/>
      </c>
      <c r="W1496" s="81">
        <f>IF(OR($D1496="",$B1496=""),"",$D1496&amp;" | "&amp;$B1496)</f>
        <v/>
      </c>
      <c r="X1496" s="85">
        <f>IF($K1496="","",TEXT($K1496,"yyyy-mm"))</f>
        <v/>
      </c>
      <c r="Y1496" s="81">
        <f>IF(OR($A1496="",$T1496=""),"","Included in Manager_Report")</f>
        <v/>
      </c>
    </row>
    <row r="1497" ht="15" customHeight="1" s="40">
      <c r="A1497" s="65">
        <f>IF(COUNTA(B1497:G1497)=0,"","STP-"&amp;TEXT(ROW()-4,"0000"))</f>
        <v/>
      </c>
      <c r="B1497" s="78" t="n"/>
      <c r="C1497" s="67">
        <f>IF($B1497="","",IFERROR(INDEX(Task_Tracker!$D$5:$D$1004,MATCH($B1497,Task_Tracker!$A$5:$A$1004,0)),""))</f>
        <v/>
      </c>
      <c r="D1497" s="67">
        <f>IF($B1497="","",IFERROR(INDEX(Task_Tracker!$B$5:$B$1004,MATCH($B1497,Task_Tracker!$A$5:$A$1004,0)),""))</f>
        <v/>
      </c>
      <c r="E1497" s="81" t="n"/>
      <c r="F1497" s="81" t="n"/>
      <c r="G1497" s="78" t="n"/>
      <c r="H1497" s="78" t="n"/>
      <c r="I1497" s="67">
        <f>IF($H1497="","",IFERROR(INDEX(Action_Status_Map!$B$5:$B$11,MATCH($H1497,Action_Status_Map!$A$5:$A$11,0)),""))</f>
        <v/>
      </c>
      <c r="J1497" s="82" t="n"/>
      <c r="K1497" s="82" t="n"/>
      <c r="L1497" s="82" t="n"/>
      <c r="M1497" s="83" t="n"/>
      <c r="N1497" s="83" t="n"/>
      <c r="O1497" s="66">
        <f>IF(OR($M1497="",$N1497=""),"",$N1497-$M1497)</f>
        <v/>
      </c>
      <c r="P1497" s="84">
        <f>IF($J1497="","",IF($L1497&lt;&gt;"",$L1497-$J1497,TODAY()-$J1497))</f>
        <v/>
      </c>
      <c r="Q1497" s="85">
        <f>IF(OR($K1497="",$H1497="Completed",$H1497="Cancelled"),"",IF(AND($K1497&lt;TODAY(),$H1497&lt;&gt;"Completed",$H1497&lt;&gt;"Cancelled"),"Overdue","On Track"))</f>
        <v/>
      </c>
      <c r="R1497" s="81" t="n"/>
      <c r="S1497" s="81">
        <f>IF($B1497="","",IFERROR(INDEX(Task_Tracker!$AA$5:$AA$1004,MATCH($B1497,Task_Tracker!$A$5:$A$1004,0)),""))</f>
        <v/>
      </c>
      <c r="T1497" s="81">
        <f>IF($B1497="","",IFERROR(INDEX(Task_Tracker!$AB$5:$AB$1004,MATCH($B1497,Task_Tracker!$A$5:$A$1004,0)),""))</f>
        <v/>
      </c>
      <c r="U1497" s="78">
        <f>IF($B1497="","",IFERROR(INDEX(Task_Tracker!$F$5:$F$1004,MATCH($B1497,Task_Tracker!$A$5:$A$1004,0)),""))</f>
        <v/>
      </c>
      <c r="V1497" s="78">
        <f>IF($B1497="","",IFERROR(INDEX(Task_Tracker!$I$5:$I$1004,MATCH($B1497,Task_Tracker!$A$5:$A$1004,0)),""))</f>
        <v/>
      </c>
      <c r="W1497" s="81">
        <f>IF(OR($D1497="",$B1497=""),"",$D1497&amp;" | "&amp;$B1497)</f>
        <v/>
      </c>
      <c r="X1497" s="85">
        <f>IF($K1497="","",TEXT($K1497,"yyyy-mm"))</f>
        <v/>
      </c>
      <c r="Y1497" s="81">
        <f>IF(OR($A1497="",$T1497=""),"","Included in Manager_Report")</f>
        <v/>
      </c>
    </row>
    <row r="1498" ht="15" customHeight="1" s="40">
      <c r="A1498" s="65">
        <f>IF(COUNTA(B1498:G1498)=0,"","STP-"&amp;TEXT(ROW()-4,"0000"))</f>
        <v/>
      </c>
      <c r="B1498" s="78" t="n"/>
      <c r="C1498" s="67">
        <f>IF($B1498="","",IFERROR(INDEX(Task_Tracker!$D$5:$D$1004,MATCH($B1498,Task_Tracker!$A$5:$A$1004,0)),""))</f>
        <v/>
      </c>
      <c r="D1498" s="67">
        <f>IF($B1498="","",IFERROR(INDEX(Task_Tracker!$B$5:$B$1004,MATCH($B1498,Task_Tracker!$A$5:$A$1004,0)),""))</f>
        <v/>
      </c>
      <c r="E1498" s="81" t="n"/>
      <c r="F1498" s="81" t="n"/>
      <c r="G1498" s="78" t="n"/>
      <c r="H1498" s="78" t="n"/>
      <c r="I1498" s="67">
        <f>IF($H1498="","",IFERROR(INDEX(Action_Status_Map!$B$5:$B$11,MATCH($H1498,Action_Status_Map!$A$5:$A$11,0)),""))</f>
        <v/>
      </c>
      <c r="J1498" s="82" t="n"/>
      <c r="K1498" s="82" t="n"/>
      <c r="L1498" s="82" t="n"/>
      <c r="M1498" s="83" t="n"/>
      <c r="N1498" s="83" t="n"/>
      <c r="O1498" s="66">
        <f>IF(OR($M1498="",$N1498=""),"",$N1498-$M1498)</f>
        <v/>
      </c>
      <c r="P1498" s="84">
        <f>IF($J1498="","",IF($L1498&lt;&gt;"",$L1498-$J1498,TODAY()-$J1498))</f>
        <v/>
      </c>
      <c r="Q1498" s="85">
        <f>IF(OR($K1498="",$H1498="Completed",$H1498="Cancelled"),"",IF(AND($K1498&lt;TODAY(),$H1498&lt;&gt;"Completed",$H1498&lt;&gt;"Cancelled"),"Overdue","On Track"))</f>
        <v/>
      </c>
      <c r="R1498" s="81" t="n"/>
      <c r="S1498" s="81">
        <f>IF($B1498="","",IFERROR(INDEX(Task_Tracker!$AA$5:$AA$1004,MATCH($B1498,Task_Tracker!$A$5:$A$1004,0)),""))</f>
        <v/>
      </c>
      <c r="T1498" s="81">
        <f>IF($B1498="","",IFERROR(INDEX(Task_Tracker!$AB$5:$AB$1004,MATCH($B1498,Task_Tracker!$A$5:$A$1004,0)),""))</f>
        <v/>
      </c>
      <c r="U1498" s="78">
        <f>IF($B1498="","",IFERROR(INDEX(Task_Tracker!$F$5:$F$1004,MATCH($B1498,Task_Tracker!$A$5:$A$1004,0)),""))</f>
        <v/>
      </c>
      <c r="V1498" s="78">
        <f>IF($B1498="","",IFERROR(INDEX(Task_Tracker!$I$5:$I$1004,MATCH($B1498,Task_Tracker!$A$5:$A$1004,0)),""))</f>
        <v/>
      </c>
      <c r="W1498" s="81">
        <f>IF(OR($D1498="",$B1498=""),"",$D1498&amp;" | "&amp;$B1498)</f>
        <v/>
      </c>
      <c r="X1498" s="85">
        <f>IF($K1498="","",TEXT($K1498,"yyyy-mm"))</f>
        <v/>
      </c>
      <c r="Y1498" s="81">
        <f>IF(OR($A1498="",$T1498=""),"","Included in Manager_Report")</f>
        <v/>
      </c>
    </row>
    <row r="1499" ht="15" customHeight="1" s="40">
      <c r="A1499" s="65">
        <f>IF(COUNTA(B1499:G1499)=0,"","STP-"&amp;TEXT(ROW()-4,"0000"))</f>
        <v/>
      </c>
      <c r="B1499" s="78" t="n"/>
      <c r="C1499" s="67">
        <f>IF($B1499="","",IFERROR(INDEX(Task_Tracker!$D$5:$D$1004,MATCH($B1499,Task_Tracker!$A$5:$A$1004,0)),""))</f>
        <v/>
      </c>
      <c r="D1499" s="67">
        <f>IF($B1499="","",IFERROR(INDEX(Task_Tracker!$B$5:$B$1004,MATCH($B1499,Task_Tracker!$A$5:$A$1004,0)),""))</f>
        <v/>
      </c>
      <c r="E1499" s="81" t="n"/>
      <c r="F1499" s="81" t="n"/>
      <c r="G1499" s="78" t="n"/>
      <c r="H1499" s="78" t="n"/>
      <c r="I1499" s="67">
        <f>IF($H1499="","",IFERROR(INDEX(Action_Status_Map!$B$5:$B$11,MATCH($H1499,Action_Status_Map!$A$5:$A$11,0)),""))</f>
        <v/>
      </c>
      <c r="J1499" s="82" t="n"/>
      <c r="K1499" s="82" t="n"/>
      <c r="L1499" s="82" t="n"/>
      <c r="M1499" s="83" t="n"/>
      <c r="N1499" s="83" t="n"/>
      <c r="O1499" s="66">
        <f>IF(OR($M1499="",$N1499=""),"",$N1499-$M1499)</f>
        <v/>
      </c>
      <c r="P1499" s="84">
        <f>IF($J1499="","",IF($L1499&lt;&gt;"",$L1499-$J1499,TODAY()-$J1499))</f>
        <v/>
      </c>
      <c r="Q1499" s="85">
        <f>IF(OR($K1499="",$H1499="Completed",$H1499="Cancelled"),"",IF(AND($K1499&lt;TODAY(),$H1499&lt;&gt;"Completed",$H1499&lt;&gt;"Cancelled"),"Overdue","On Track"))</f>
        <v/>
      </c>
      <c r="R1499" s="81" t="n"/>
      <c r="S1499" s="81">
        <f>IF($B1499="","",IFERROR(INDEX(Task_Tracker!$AA$5:$AA$1004,MATCH($B1499,Task_Tracker!$A$5:$A$1004,0)),""))</f>
        <v/>
      </c>
      <c r="T1499" s="81">
        <f>IF($B1499="","",IFERROR(INDEX(Task_Tracker!$AB$5:$AB$1004,MATCH($B1499,Task_Tracker!$A$5:$A$1004,0)),""))</f>
        <v/>
      </c>
      <c r="U1499" s="78">
        <f>IF($B1499="","",IFERROR(INDEX(Task_Tracker!$F$5:$F$1004,MATCH($B1499,Task_Tracker!$A$5:$A$1004,0)),""))</f>
        <v/>
      </c>
      <c r="V1499" s="78">
        <f>IF($B1499="","",IFERROR(INDEX(Task_Tracker!$I$5:$I$1004,MATCH($B1499,Task_Tracker!$A$5:$A$1004,0)),""))</f>
        <v/>
      </c>
      <c r="W1499" s="81">
        <f>IF(OR($D1499="",$B1499=""),"",$D1499&amp;" | "&amp;$B1499)</f>
        <v/>
      </c>
      <c r="X1499" s="85">
        <f>IF($K1499="","",TEXT($K1499,"yyyy-mm"))</f>
        <v/>
      </c>
      <c r="Y1499" s="81">
        <f>IF(OR($A1499="",$T1499=""),"","Included in Manager_Report")</f>
        <v/>
      </c>
    </row>
    <row r="1500" ht="15" customHeight="1" s="40">
      <c r="A1500" s="65">
        <f>IF(COUNTA(B1500:G1500)=0,"","STP-"&amp;TEXT(ROW()-4,"0000"))</f>
        <v/>
      </c>
      <c r="B1500" s="78" t="n"/>
      <c r="C1500" s="67">
        <f>IF($B1500="","",IFERROR(INDEX(Task_Tracker!$D$5:$D$1004,MATCH($B1500,Task_Tracker!$A$5:$A$1004,0)),""))</f>
        <v/>
      </c>
      <c r="D1500" s="67">
        <f>IF($B1500="","",IFERROR(INDEX(Task_Tracker!$B$5:$B$1004,MATCH($B1500,Task_Tracker!$A$5:$A$1004,0)),""))</f>
        <v/>
      </c>
      <c r="E1500" s="81" t="n"/>
      <c r="F1500" s="81" t="n"/>
      <c r="G1500" s="78" t="n"/>
      <c r="H1500" s="78" t="n"/>
      <c r="I1500" s="67">
        <f>IF($H1500="","",IFERROR(INDEX(Action_Status_Map!$B$5:$B$11,MATCH($H1500,Action_Status_Map!$A$5:$A$11,0)),""))</f>
        <v/>
      </c>
      <c r="J1500" s="82" t="n"/>
      <c r="K1500" s="82" t="n"/>
      <c r="L1500" s="82" t="n"/>
      <c r="M1500" s="83" t="n"/>
      <c r="N1500" s="83" t="n"/>
      <c r="O1500" s="66">
        <f>IF(OR($M1500="",$N1500=""),"",$N1500-$M1500)</f>
        <v/>
      </c>
      <c r="P1500" s="84">
        <f>IF($J1500="","",IF($L1500&lt;&gt;"",$L1500-$J1500,TODAY()-$J1500))</f>
        <v/>
      </c>
      <c r="Q1500" s="85">
        <f>IF(OR($K1500="",$H1500="Completed",$H1500="Cancelled"),"",IF(AND($K1500&lt;TODAY(),$H1500&lt;&gt;"Completed",$H1500&lt;&gt;"Cancelled"),"Overdue","On Track"))</f>
        <v/>
      </c>
      <c r="R1500" s="81" t="n"/>
      <c r="S1500" s="81">
        <f>IF($B1500="","",IFERROR(INDEX(Task_Tracker!$AA$5:$AA$1004,MATCH($B1500,Task_Tracker!$A$5:$A$1004,0)),""))</f>
        <v/>
      </c>
      <c r="T1500" s="81">
        <f>IF($B1500="","",IFERROR(INDEX(Task_Tracker!$AB$5:$AB$1004,MATCH($B1500,Task_Tracker!$A$5:$A$1004,0)),""))</f>
        <v/>
      </c>
      <c r="U1500" s="78">
        <f>IF($B1500="","",IFERROR(INDEX(Task_Tracker!$F$5:$F$1004,MATCH($B1500,Task_Tracker!$A$5:$A$1004,0)),""))</f>
        <v/>
      </c>
      <c r="V1500" s="78">
        <f>IF($B1500="","",IFERROR(INDEX(Task_Tracker!$I$5:$I$1004,MATCH($B1500,Task_Tracker!$A$5:$A$1004,0)),""))</f>
        <v/>
      </c>
      <c r="W1500" s="81">
        <f>IF(OR($D1500="",$B1500=""),"",$D1500&amp;" | "&amp;$B1500)</f>
        <v/>
      </c>
      <c r="X1500" s="85">
        <f>IF($K1500="","",TEXT($K1500,"yyyy-mm"))</f>
        <v/>
      </c>
      <c r="Y1500" s="81">
        <f>IF(OR($A1500="",$T1500=""),"","Included in Manager_Report")</f>
        <v/>
      </c>
    </row>
    <row r="1501" ht="15" customHeight="1" s="40">
      <c r="A1501" s="65">
        <f>IF(COUNTA(B1501:G1501)=0,"","STP-"&amp;TEXT(ROW()-4,"0000"))</f>
        <v/>
      </c>
      <c r="B1501" s="78" t="n"/>
      <c r="C1501" s="67">
        <f>IF($B1501="","",IFERROR(INDEX(Task_Tracker!$D$5:$D$1004,MATCH($B1501,Task_Tracker!$A$5:$A$1004,0)),""))</f>
        <v/>
      </c>
      <c r="D1501" s="67">
        <f>IF($B1501="","",IFERROR(INDEX(Task_Tracker!$B$5:$B$1004,MATCH($B1501,Task_Tracker!$A$5:$A$1004,0)),""))</f>
        <v/>
      </c>
      <c r="E1501" s="81" t="n"/>
      <c r="F1501" s="81" t="n"/>
      <c r="G1501" s="78" t="n"/>
      <c r="H1501" s="78" t="n"/>
      <c r="I1501" s="67">
        <f>IF($H1501="","",IFERROR(INDEX(Action_Status_Map!$B$5:$B$11,MATCH($H1501,Action_Status_Map!$A$5:$A$11,0)),""))</f>
        <v/>
      </c>
      <c r="J1501" s="82" t="n"/>
      <c r="K1501" s="82" t="n"/>
      <c r="L1501" s="82" t="n"/>
      <c r="M1501" s="83" t="n"/>
      <c r="N1501" s="83" t="n"/>
      <c r="O1501" s="66">
        <f>IF(OR($M1501="",$N1501=""),"",$N1501-$M1501)</f>
        <v/>
      </c>
      <c r="P1501" s="84">
        <f>IF($J1501="","",IF($L1501&lt;&gt;"",$L1501-$J1501,TODAY()-$J1501))</f>
        <v/>
      </c>
      <c r="Q1501" s="85">
        <f>IF(OR($K1501="",$H1501="Completed",$H1501="Cancelled"),"",IF(AND($K1501&lt;TODAY(),$H1501&lt;&gt;"Completed",$H1501&lt;&gt;"Cancelled"),"Overdue","On Track"))</f>
        <v/>
      </c>
      <c r="R1501" s="81" t="n"/>
      <c r="S1501" s="81">
        <f>IF($B1501="","",IFERROR(INDEX(Task_Tracker!$AA$5:$AA$1004,MATCH($B1501,Task_Tracker!$A$5:$A$1004,0)),""))</f>
        <v/>
      </c>
      <c r="T1501" s="81">
        <f>IF($B1501="","",IFERROR(INDEX(Task_Tracker!$AB$5:$AB$1004,MATCH($B1501,Task_Tracker!$A$5:$A$1004,0)),""))</f>
        <v/>
      </c>
      <c r="U1501" s="78">
        <f>IF($B1501="","",IFERROR(INDEX(Task_Tracker!$F$5:$F$1004,MATCH($B1501,Task_Tracker!$A$5:$A$1004,0)),""))</f>
        <v/>
      </c>
      <c r="V1501" s="78">
        <f>IF($B1501="","",IFERROR(INDEX(Task_Tracker!$I$5:$I$1004,MATCH($B1501,Task_Tracker!$A$5:$A$1004,0)),""))</f>
        <v/>
      </c>
      <c r="W1501" s="81">
        <f>IF(OR($D1501="",$B1501=""),"",$D1501&amp;" | "&amp;$B1501)</f>
        <v/>
      </c>
      <c r="X1501" s="85">
        <f>IF($K1501="","",TEXT($K1501,"yyyy-mm"))</f>
        <v/>
      </c>
      <c r="Y1501" s="81">
        <f>IF(OR($A1501="",$T1501=""),"","Included in Manager_Report")</f>
        <v/>
      </c>
    </row>
    <row r="1502" ht="15" customHeight="1" s="40">
      <c r="A1502" s="65">
        <f>IF(COUNTA(B1502:G1502)=0,"","STP-"&amp;TEXT(ROW()-4,"0000"))</f>
        <v/>
      </c>
      <c r="B1502" s="78" t="n"/>
      <c r="C1502" s="67">
        <f>IF($B1502="","",IFERROR(INDEX(Task_Tracker!$D$5:$D$1004,MATCH($B1502,Task_Tracker!$A$5:$A$1004,0)),""))</f>
        <v/>
      </c>
      <c r="D1502" s="67">
        <f>IF($B1502="","",IFERROR(INDEX(Task_Tracker!$B$5:$B$1004,MATCH($B1502,Task_Tracker!$A$5:$A$1004,0)),""))</f>
        <v/>
      </c>
      <c r="E1502" s="81" t="n"/>
      <c r="F1502" s="81" t="n"/>
      <c r="G1502" s="78" t="n"/>
      <c r="H1502" s="78" t="n"/>
      <c r="I1502" s="67">
        <f>IF($H1502="","",IFERROR(INDEX(Action_Status_Map!$B$5:$B$11,MATCH($H1502,Action_Status_Map!$A$5:$A$11,0)),""))</f>
        <v/>
      </c>
      <c r="J1502" s="82" t="n"/>
      <c r="K1502" s="82" t="n"/>
      <c r="L1502" s="82" t="n"/>
      <c r="M1502" s="83" t="n"/>
      <c r="N1502" s="83" t="n"/>
      <c r="O1502" s="66">
        <f>IF(OR($M1502="",$N1502=""),"",$N1502-$M1502)</f>
        <v/>
      </c>
      <c r="P1502" s="84">
        <f>IF($J1502="","",IF($L1502&lt;&gt;"",$L1502-$J1502,TODAY()-$J1502))</f>
        <v/>
      </c>
      <c r="Q1502" s="85">
        <f>IF(OR($K1502="",$H1502="Completed",$H1502="Cancelled"),"",IF(AND($K1502&lt;TODAY(),$H1502&lt;&gt;"Completed",$H1502&lt;&gt;"Cancelled"),"Overdue","On Track"))</f>
        <v/>
      </c>
      <c r="R1502" s="81" t="n"/>
      <c r="S1502" s="81">
        <f>IF($B1502="","",IFERROR(INDEX(Task_Tracker!$AA$5:$AA$1004,MATCH($B1502,Task_Tracker!$A$5:$A$1004,0)),""))</f>
        <v/>
      </c>
      <c r="T1502" s="81">
        <f>IF($B1502="","",IFERROR(INDEX(Task_Tracker!$AB$5:$AB$1004,MATCH($B1502,Task_Tracker!$A$5:$A$1004,0)),""))</f>
        <v/>
      </c>
      <c r="U1502" s="78">
        <f>IF($B1502="","",IFERROR(INDEX(Task_Tracker!$F$5:$F$1004,MATCH($B1502,Task_Tracker!$A$5:$A$1004,0)),""))</f>
        <v/>
      </c>
      <c r="V1502" s="78">
        <f>IF($B1502="","",IFERROR(INDEX(Task_Tracker!$I$5:$I$1004,MATCH($B1502,Task_Tracker!$A$5:$A$1004,0)),""))</f>
        <v/>
      </c>
      <c r="W1502" s="81">
        <f>IF(OR($D1502="",$B1502=""),"",$D1502&amp;" | "&amp;$B1502)</f>
        <v/>
      </c>
      <c r="X1502" s="85">
        <f>IF($K1502="","",TEXT($K1502,"yyyy-mm"))</f>
        <v/>
      </c>
      <c r="Y1502" s="81">
        <f>IF(OR($A1502="",$T1502=""),"","Included in Manager_Report")</f>
        <v/>
      </c>
    </row>
    <row r="1503" ht="15" customHeight="1" s="40">
      <c r="A1503" s="65">
        <f>IF(COUNTA(B1503:G1503)=0,"","STP-"&amp;TEXT(ROW()-4,"0000"))</f>
        <v/>
      </c>
      <c r="B1503" s="78" t="n"/>
      <c r="C1503" s="67">
        <f>IF($B1503="","",IFERROR(INDEX(Task_Tracker!$D$5:$D$1004,MATCH($B1503,Task_Tracker!$A$5:$A$1004,0)),""))</f>
        <v/>
      </c>
      <c r="D1503" s="67">
        <f>IF($B1503="","",IFERROR(INDEX(Task_Tracker!$B$5:$B$1004,MATCH($B1503,Task_Tracker!$A$5:$A$1004,0)),""))</f>
        <v/>
      </c>
      <c r="E1503" s="81" t="n"/>
      <c r="F1503" s="81" t="n"/>
      <c r="G1503" s="78" t="n"/>
      <c r="H1503" s="78" t="n"/>
      <c r="I1503" s="67">
        <f>IF($H1503="","",IFERROR(INDEX(Action_Status_Map!$B$5:$B$11,MATCH($H1503,Action_Status_Map!$A$5:$A$11,0)),""))</f>
        <v/>
      </c>
      <c r="J1503" s="82" t="n"/>
      <c r="K1503" s="82" t="n"/>
      <c r="L1503" s="82" t="n"/>
      <c r="M1503" s="83" t="n"/>
      <c r="N1503" s="83" t="n"/>
      <c r="O1503" s="66">
        <f>IF(OR($M1503="",$N1503=""),"",$N1503-$M1503)</f>
        <v/>
      </c>
      <c r="P1503" s="84">
        <f>IF($J1503="","",IF($L1503&lt;&gt;"",$L1503-$J1503,TODAY()-$J1503))</f>
        <v/>
      </c>
      <c r="Q1503" s="85">
        <f>IF(OR($K1503="",$H1503="Completed",$H1503="Cancelled"),"",IF(AND($K1503&lt;TODAY(),$H1503&lt;&gt;"Completed",$H1503&lt;&gt;"Cancelled"),"Overdue","On Track"))</f>
        <v/>
      </c>
      <c r="R1503" s="81" t="n"/>
      <c r="S1503" s="81">
        <f>IF($B1503="","",IFERROR(INDEX(Task_Tracker!$AA$5:$AA$1004,MATCH($B1503,Task_Tracker!$A$5:$A$1004,0)),""))</f>
        <v/>
      </c>
      <c r="T1503" s="81">
        <f>IF($B1503="","",IFERROR(INDEX(Task_Tracker!$AB$5:$AB$1004,MATCH($B1503,Task_Tracker!$A$5:$A$1004,0)),""))</f>
        <v/>
      </c>
      <c r="U1503" s="78">
        <f>IF($B1503="","",IFERROR(INDEX(Task_Tracker!$F$5:$F$1004,MATCH($B1503,Task_Tracker!$A$5:$A$1004,0)),""))</f>
        <v/>
      </c>
      <c r="V1503" s="78">
        <f>IF($B1503="","",IFERROR(INDEX(Task_Tracker!$I$5:$I$1004,MATCH($B1503,Task_Tracker!$A$5:$A$1004,0)),""))</f>
        <v/>
      </c>
      <c r="W1503" s="81">
        <f>IF(OR($D1503="",$B1503=""),"",$D1503&amp;" | "&amp;$B1503)</f>
        <v/>
      </c>
      <c r="X1503" s="85">
        <f>IF($K1503="","",TEXT($K1503,"yyyy-mm"))</f>
        <v/>
      </c>
      <c r="Y1503" s="81">
        <f>IF(OR($A1503="",$T1503=""),"","Included in Manager_Report")</f>
        <v/>
      </c>
    </row>
    <row r="1504" ht="15" customHeight="1" s="40">
      <c r="A1504" s="65">
        <f>IF(COUNTA(B1504:G1504)=0,"","STP-"&amp;TEXT(ROW()-4,"0000"))</f>
        <v/>
      </c>
      <c r="B1504" s="78" t="n"/>
      <c r="C1504" s="67">
        <f>IF($B1504="","",IFERROR(INDEX(Task_Tracker!$D$5:$D$1004,MATCH($B1504,Task_Tracker!$A$5:$A$1004,0)),""))</f>
        <v/>
      </c>
      <c r="D1504" s="67">
        <f>IF($B1504="","",IFERROR(INDEX(Task_Tracker!$B$5:$B$1004,MATCH($B1504,Task_Tracker!$A$5:$A$1004,0)),""))</f>
        <v/>
      </c>
      <c r="E1504" s="81" t="n"/>
      <c r="F1504" s="81" t="n"/>
      <c r="G1504" s="78" t="n"/>
      <c r="H1504" s="78" t="n"/>
      <c r="I1504" s="67">
        <f>IF($H1504="","",IFERROR(INDEX(Action_Status_Map!$B$5:$B$11,MATCH($H1504,Action_Status_Map!$A$5:$A$11,0)),""))</f>
        <v/>
      </c>
      <c r="J1504" s="82" t="n"/>
      <c r="K1504" s="82" t="n"/>
      <c r="L1504" s="82" t="n"/>
      <c r="M1504" s="83" t="n"/>
      <c r="N1504" s="83" t="n"/>
      <c r="O1504" s="66">
        <f>IF(OR($M1504="",$N1504=""),"",$N1504-$M1504)</f>
        <v/>
      </c>
      <c r="P1504" s="84">
        <f>IF($J1504="","",IF($L1504&lt;&gt;"",$L1504-$J1504,TODAY()-$J1504))</f>
        <v/>
      </c>
      <c r="Q1504" s="85">
        <f>IF(OR($K1504="",$H1504="Completed",$H1504="Cancelled"),"",IF(AND($K1504&lt;TODAY(),$H1504&lt;&gt;"Completed",$H1504&lt;&gt;"Cancelled"),"Overdue","On Track"))</f>
        <v/>
      </c>
      <c r="R1504" s="81" t="n"/>
      <c r="S1504" s="81">
        <f>IF($B1504="","",IFERROR(INDEX(Task_Tracker!$AA$5:$AA$1004,MATCH($B1504,Task_Tracker!$A$5:$A$1004,0)),""))</f>
        <v/>
      </c>
      <c r="T1504" s="81">
        <f>IF($B1504="","",IFERROR(INDEX(Task_Tracker!$AB$5:$AB$1004,MATCH($B1504,Task_Tracker!$A$5:$A$1004,0)),""))</f>
        <v/>
      </c>
      <c r="U1504" s="78">
        <f>IF($B1504="","",IFERROR(INDEX(Task_Tracker!$F$5:$F$1004,MATCH($B1504,Task_Tracker!$A$5:$A$1004,0)),""))</f>
        <v/>
      </c>
      <c r="V1504" s="78">
        <f>IF($B1504="","",IFERROR(INDEX(Task_Tracker!$I$5:$I$1004,MATCH($B1504,Task_Tracker!$A$5:$A$1004,0)),""))</f>
        <v/>
      </c>
      <c r="W1504" s="81">
        <f>IF(OR($D1504="",$B1504=""),"",$D1504&amp;" | "&amp;$B1504)</f>
        <v/>
      </c>
      <c r="X1504" s="85">
        <f>IF($K1504="","",TEXT($K1504,"yyyy-mm"))</f>
        <v/>
      </c>
      <c r="Y1504" s="81">
        <f>IF(OR($A1504="",$T1504=""),"","Included in Manager_Report")</f>
        <v/>
      </c>
    </row>
    <row r="1505" ht="15" customHeight="1" s="40">
      <c r="A1505" s="65">
        <f>IF(COUNTA(B1505:G1505)=0,"","STP-"&amp;TEXT(ROW()-4,"0000"))</f>
        <v/>
      </c>
      <c r="B1505" s="78" t="n"/>
      <c r="C1505" s="67">
        <f>IF($B1505="","",IFERROR(INDEX(Task_Tracker!$D$5:$D$1004,MATCH($B1505,Task_Tracker!$A$5:$A$1004,0)),""))</f>
        <v/>
      </c>
      <c r="D1505" s="67">
        <f>IF($B1505="","",IFERROR(INDEX(Task_Tracker!$B$5:$B$1004,MATCH($B1505,Task_Tracker!$A$5:$A$1004,0)),""))</f>
        <v/>
      </c>
      <c r="E1505" s="81" t="n"/>
      <c r="F1505" s="81" t="n"/>
      <c r="G1505" s="78" t="n"/>
      <c r="H1505" s="78" t="n"/>
      <c r="I1505" s="67">
        <f>IF($H1505="","",IFERROR(INDEX(Action_Status_Map!$B$5:$B$11,MATCH($H1505,Action_Status_Map!$A$5:$A$11,0)),""))</f>
        <v/>
      </c>
      <c r="J1505" s="82" t="n"/>
      <c r="K1505" s="82" t="n"/>
      <c r="L1505" s="82" t="n"/>
      <c r="M1505" s="83" t="n"/>
      <c r="N1505" s="83" t="n"/>
      <c r="O1505" s="66">
        <f>IF(OR($M1505="",$N1505=""),"",$N1505-$M1505)</f>
        <v/>
      </c>
      <c r="P1505" s="84">
        <f>IF($J1505="","",IF($L1505&lt;&gt;"",$L1505-$J1505,TODAY()-$J1505))</f>
        <v/>
      </c>
      <c r="Q1505" s="85">
        <f>IF(OR($K1505="",$H1505="Completed",$H1505="Cancelled"),"",IF(AND($K1505&lt;TODAY(),$H1505&lt;&gt;"Completed",$H1505&lt;&gt;"Cancelled"),"Overdue","On Track"))</f>
        <v/>
      </c>
      <c r="R1505" s="81" t="n"/>
      <c r="S1505" s="81">
        <f>IF($B1505="","",IFERROR(INDEX(Task_Tracker!$AA$5:$AA$1004,MATCH($B1505,Task_Tracker!$A$5:$A$1004,0)),""))</f>
        <v/>
      </c>
      <c r="T1505" s="81">
        <f>IF($B1505="","",IFERROR(INDEX(Task_Tracker!$AB$5:$AB$1004,MATCH($B1505,Task_Tracker!$A$5:$A$1004,0)),""))</f>
        <v/>
      </c>
      <c r="U1505" s="78">
        <f>IF($B1505="","",IFERROR(INDEX(Task_Tracker!$F$5:$F$1004,MATCH($B1505,Task_Tracker!$A$5:$A$1004,0)),""))</f>
        <v/>
      </c>
      <c r="V1505" s="78">
        <f>IF($B1505="","",IFERROR(INDEX(Task_Tracker!$I$5:$I$1004,MATCH($B1505,Task_Tracker!$A$5:$A$1004,0)),""))</f>
        <v/>
      </c>
      <c r="W1505" s="81">
        <f>IF(OR($D1505="",$B1505=""),"",$D1505&amp;" | "&amp;$B1505)</f>
        <v/>
      </c>
      <c r="X1505" s="85">
        <f>IF($K1505="","",TEXT($K1505,"yyyy-mm"))</f>
        <v/>
      </c>
      <c r="Y1505" s="81">
        <f>IF(OR($A1505="",$T1505=""),"","Included in Manager_Report")</f>
        <v/>
      </c>
    </row>
    <row r="1506" ht="15" customHeight="1" s="40">
      <c r="A1506" s="65">
        <f>IF(COUNTA(B1506:G1506)=0,"","STP-"&amp;TEXT(ROW()-4,"0000"))</f>
        <v/>
      </c>
      <c r="B1506" s="78" t="n"/>
      <c r="C1506" s="67">
        <f>IF($B1506="","",IFERROR(INDEX(Task_Tracker!$D$5:$D$1004,MATCH($B1506,Task_Tracker!$A$5:$A$1004,0)),""))</f>
        <v/>
      </c>
      <c r="D1506" s="67">
        <f>IF($B1506="","",IFERROR(INDEX(Task_Tracker!$B$5:$B$1004,MATCH($B1506,Task_Tracker!$A$5:$A$1004,0)),""))</f>
        <v/>
      </c>
      <c r="E1506" s="81" t="n"/>
      <c r="F1506" s="81" t="n"/>
      <c r="G1506" s="78" t="n"/>
      <c r="H1506" s="78" t="n"/>
      <c r="I1506" s="67">
        <f>IF($H1506="","",IFERROR(INDEX(Action_Status_Map!$B$5:$B$11,MATCH($H1506,Action_Status_Map!$A$5:$A$11,0)),""))</f>
        <v/>
      </c>
      <c r="J1506" s="82" t="n"/>
      <c r="K1506" s="82" t="n"/>
      <c r="L1506" s="82" t="n"/>
      <c r="M1506" s="83" t="n"/>
      <c r="N1506" s="83" t="n"/>
      <c r="O1506" s="66">
        <f>IF(OR($M1506="",$N1506=""),"",$N1506-$M1506)</f>
        <v/>
      </c>
      <c r="P1506" s="84">
        <f>IF($J1506="","",IF($L1506&lt;&gt;"",$L1506-$J1506,TODAY()-$J1506))</f>
        <v/>
      </c>
      <c r="Q1506" s="85">
        <f>IF(OR($K1506="",$H1506="Completed",$H1506="Cancelled"),"",IF(AND($K1506&lt;TODAY(),$H1506&lt;&gt;"Completed",$H1506&lt;&gt;"Cancelled"),"Overdue","On Track"))</f>
        <v/>
      </c>
      <c r="R1506" s="81" t="n"/>
      <c r="S1506" s="81">
        <f>IF($B1506="","",IFERROR(INDEX(Task_Tracker!$AA$5:$AA$1004,MATCH($B1506,Task_Tracker!$A$5:$A$1004,0)),""))</f>
        <v/>
      </c>
      <c r="T1506" s="81">
        <f>IF($B1506="","",IFERROR(INDEX(Task_Tracker!$AB$5:$AB$1004,MATCH($B1506,Task_Tracker!$A$5:$A$1004,0)),""))</f>
        <v/>
      </c>
      <c r="U1506" s="78">
        <f>IF($B1506="","",IFERROR(INDEX(Task_Tracker!$F$5:$F$1004,MATCH($B1506,Task_Tracker!$A$5:$A$1004,0)),""))</f>
        <v/>
      </c>
      <c r="V1506" s="78">
        <f>IF($B1506="","",IFERROR(INDEX(Task_Tracker!$I$5:$I$1004,MATCH($B1506,Task_Tracker!$A$5:$A$1004,0)),""))</f>
        <v/>
      </c>
      <c r="W1506" s="81">
        <f>IF(OR($D1506="",$B1506=""),"",$D1506&amp;" | "&amp;$B1506)</f>
        <v/>
      </c>
      <c r="X1506" s="85">
        <f>IF($K1506="","",TEXT($K1506,"yyyy-mm"))</f>
        <v/>
      </c>
      <c r="Y1506" s="81">
        <f>IF(OR($A1506="",$T1506=""),"","Included in Manager_Report")</f>
        <v/>
      </c>
    </row>
    <row r="1507" ht="15" customHeight="1" s="40">
      <c r="A1507" s="65">
        <f>IF(COUNTA(B1507:G1507)=0,"","STP-"&amp;TEXT(ROW()-4,"0000"))</f>
        <v/>
      </c>
      <c r="B1507" s="78" t="n"/>
      <c r="C1507" s="67">
        <f>IF($B1507="","",IFERROR(INDEX(Task_Tracker!$D$5:$D$1004,MATCH($B1507,Task_Tracker!$A$5:$A$1004,0)),""))</f>
        <v/>
      </c>
      <c r="D1507" s="67">
        <f>IF($B1507="","",IFERROR(INDEX(Task_Tracker!$B$5:$B$1004,MATCH($B1507,Task_Tracker!$A$5:$A$1004,0)),""))</f>
        <v/>
      </c>
      <c r="E1507" s="81" t="n"/>
      <c r="F1507" s="81" t="n"/>
      <c r="G1507" s="78" t="n"/>
      <c r="H1507" s="78" t="n"/>
      <c r="I1507" s="67">
        <f>IF($H1507="","",IFERROR(INDEX(Action_Status_Map!$B$5:$B$11,MATCH($H1507,Action_Status_Map!$A$5:$A$11,0)),""))</f>
        <v/>
      </c>
      <c r="J1507" s="82" t="n"/>
      <c r="K1507" s="82" t="n"/>
      <c r="L1507" s="82" t="n"/>
      <c r="M1507" s="83" t="n"/>
      <c r="N1507" s="83" t="n"/>
      <c r="O1507" s="66">
        <f>IF(OR($M1507="",$N1507=""),"",$N1507-$M1507)</f>
        <v/>
      </c>
      <c r="P1507" s="84">
        <f>IF($J1507="","",IF($L1507&lt;&gt;"",$L1507-$J1507,TODAY()-$J1507))</f>
        <v/>
      </c>
      <c r="Q1507" s="85">
        <f>IF(OR($K1507="",$H1507="Completed",$H1507="Cancelled"),"",IF(AND($K1507&lt;TODAY(),$H1507&lt;&gt;"Completed",$H1507&lt;&gt;"Cancelled"),"Overdue","On Track"))</f>
        <v/>
      </c>
      <c r="R1507" s="81" t="n"/>
      <c r="S1507" s="81">
        <f>IF($B1507="","",IFERROR(INDEX(Task_Tracker!$AA$5:$AA$1004,MATCH($B1507,Task_Tracker!$A$5:$A$1004,0)),""))</f>
        <v/>
      </c>
      <c r="T1507" s="81">
        <f>IF($B1507="","",IFERROR(INDEX(Task_Tracker!$AB$5:$AB$1004,MATCH($B1507,Task_Tracker!$A$5:$A$1004,0)),""))</f>
        <v/>
      </c>
      <c r="U1507" s="78">
        <f>IF($B1507="","",IFERROR(INDEX(Task_Tracker!$F$5:$F$1004,MATCH($B1507,Task_Tracker!$A$5:$A$1004,0)),""))</f>
        <v/>
      </c>
      <c r="V1507" s="78">
        <f>IF($B1507="","",IFERROR(INDEX(Task_Tracker!$I$5:$I$1004,MATCH($B1507,Task_Tracker!$A$5:$A$1004,0)),""))</f>
        <v/>
      </c>
      <c r="W1507" s="81">
        <f>IF(OR($D1507="",$B1507=""),"",$D1507&amp;" | "&amp;$B1507)</f>
        <v/>
      </c>
      <c r="X1507" s="85">
        <f>IF($K1507="","",TEXT($K1507,"yyyy-mm"))</f>
        <v/>
      </c>
      <c r="Y1507" s="81">
        <f>IF(OR($A1507="",$T1507=""),"","Included in Manager_Report")</f>
        <v/>
      </c>
    </row>
    <row r="1508" ht="15" customHeight="1" s="40">
      <c r="A1508" s="65">
        <f>IF(COUNTA(B1508:G1508)=0,"","STP-"&amp;TEXT(ROW()-4,"0000"))</f>
        <v/>
      </c>
      <c r="B1508" s="78" t="n"/>
      <c r="C1508" s="67">
        <f>IF($B1508="","",IFERROR(INDEX(Task_Tracker!$D$5:$D$1004,MATCH($B1508,Task_Tracker!$A$5:$A$1004,0)),""))</f>
        <v/>
      </c>
      <c r="D1508" s="67">
        <f>IF($B1508="","",IFERROR(INDEX(Task_Tracker!$B$5:$B$1004,MATCH($B1508,Task_Tracker!$A$5:$A$1004,0)),""))</f>
        <v/>
      </c>
      <c r="E1508" s="81" t="n"/>
      <c r="F1508" s="81" t="n"/>
      <c r="G1508" s="78" t="n"/>
      <c r="H1508" s="78" t="n"/>
      <c r="I1508" s="67">
        <f>IF($H1508="","",IFERROR(INDEX(Action_Status_Map!$B$5:$B$11,MATCH($H1508,Action_Status_Map!$A$5:$A$11,0)),""))</f>
        <v/>
      </c>
      <c r="J1508" s="82" t="n"/>
      <c r="K1508" s="82" t="n"/>
      <c r="L1508" s="82" t="n"/>
      <c r="M1508" s="83" t="n"/>
      <c r="N1508" s="83" t="n"/>
      <c r="O1508" s="66">
        <f>IF(OR($M1508="",$N1508=""),"",$N1508-$M1508)</f>
        <v/>
      </c>
      <c r="P1508" s="84">
        <f>IF($J1508="","",IF($L1508&lt;&gt;"",$L1508-$J1508,TODAY()-$J1508))</f>
        <v/>
      </c>
      <c r="Q1508" s="85">
        <f>IF(OR($K1508="",$H1508="Completed",$H1508="Cancelled"),"",IF(AND($K1508&lt;TODAY(),$H1508&lt;&gt;"Completed",$H1508&lt;&gt;"Cancelled"),"Overdue","On Track"))</f>
        <v/>
      </c>
      <c r="R1508" s="81" t="n"/>
      <c r="S1508" s="81">
        <f>IF($B1508="","",IFERROR(INDEX(Task_Tracker!$AA$5:$AA$1004,MATCH($B1508,Task_Tracker!$A$5:$A$1004,0)),""))</f>
        <v/>
      </c>
      <c r="T1508" s="81">
        <f>IF($B1508="","",IFERROR(INDEX(Task_Tracker!$AB$5:$AB$1004,MATCH($B1508,Task_Tracker!$A$5:$A$1004,0)),""))</f>
        <v/>
      </c>
      <c r="U1508" s="78">
        <f>IF($B1508="","",IFERROR(INDEX(Task_Tracker!$F$5:$F$1004,MATCH($B1508,Task_Tracker!$A$5:$A$1004,0)),""))</f>
        <v/>
      </c>
      <c r="V1508" s="78">
        <f>IF($B1508="","",IFERROR(INDEX(Task_Tracker!$I$5:$I$1004,MATCH($B1508,Task_Tracker!$A$5:$A$1004,0)),""))</f>
        <v/>
      </c>
      <c r="W1508" s="81">
        <f>IF(OR($D1508="",$B1508=""),"",$D1508&amp;" | "&amp;$B1508)</f>
        <v/>
      </c>
      <c r="X1508" s="85">
        <f>IF($K1508="","",TEXT($K1508,"yyyy-mm"))</f>
        <v/>
      </c>
      <c r="Y1508" s="81">
        <f>IF(OR($A1508="",$T1508=""),"","Included in Manager_Report")</f>
        <v/>
      </c>
    </row>
    <row r="1509" ht="15" customHeight="1" s="40">
      <c r="A1509" s="65">
        <f>IF(COUNTA(B1509:G1509)=0,"","STP-"&amp;TEXT(ROW()-4,"0000"))</f>
        <v/>
      </c>
      <c r="B1509" s="78" t="n"/>
      <c r="C1509" s="67">
        <f>IF($B1509="","",IFERROR(INDEX(Task_Tracker!$D$5:$D$1004,MATCH($B1509,Task_Tracker!$A$5:$A$1004,0)),""))</f>
        <v/>
      </c>
      <c r="D1509" s="67">
        <f>IF($B1509="","",IFERROR(INDEX(Task_Tracker!$B$5:$B$1004,MATCH($B1509,Task_Tracker!$A$5:$A$1004,0)),""))</f>
        <v/>
      </c>
      <c r="E1509" s="81" t="n"/>
      <c r="F1509" s="81" t="n"/>
      <c r="G1509" s="78" t="n"/>
      <c r="H1509" s="78" t="n"/>
      <c r="I1509" s="67">
        <f>IF($H1509="","",IFERROR(INDEX(Action_Status_Map!$B$5:$B$11,MATCH($H1509,Action_Status_Map!$A$5:$A$11,0)),""))</f>
        <v/>
      </c>
      <c r="J1509" s="82" t="n"/>
      <c r="K1509" s="82" t="n"/>
      <c r="L1509" s="82" t="n"/>
      <c r="M1509" s="83" t="n"/>
      <c r="N1509" s="83" t="n"/>
      <c r="O1509" s="66">
        <f>IF(OR($M1509="",$N1509=""),"",$N1509-$M1509)</f>
        <v/>
      </c>
      <c r="P1509" s="84">
        <f>IF($J1509="","",IF($L1509&lt;&gt;"",$L1509-$J1509,TODAY()-$J1509))</f>
        <v/>
      </c>
      <c r="Q1509" s="85">
        <f>IF(OR($K1509="",$H1509="Completed",$H1509="Cancelled"),"",IF(AND($K1509&lt;TODAY(),$H1509&lt;&gt;"Completed",$H1509&lt;&gt;"Cancelled"),"Overdue","On Track"))</f>
        <v/>
      </c>
      <c r="R1509" s="81" t="n"/>
      <c r="S1509" s="81">
        <f>IF($B1509="","",IFERROR(INDEX(Task_Tracker!$AA$5:$AA$1004,MATCH($B1509,Task_Tracker!$A$5:$A$1004,0)),""))</f>
        <v/>
      </c>
      <c r="T1509" s="81">
        <f>IF($B1509="","",IFERROR(INDEX(Task_Tracker!$AB$5:$AB$1004,MATCH($B1509,Task_Tracker!$A$5:$A$1004,0)),""))</f>
        <v/>
      </c>
      <c r="U1509" s="78">
        <f>IF($B1509="","",IFERROR(INDEX(Task_Tracker!$F$5:$F$1004,MATCH($B1509,Task_Tracker!$A$5:$A$1004,0)),""))</f>
        <v/>
      </c>
      <c r="V1509" s="78">
        <f>IF($B1509="","",IFERROR(INDEX(Task_Tracker!$I$5:$I$1004,MATCH($B1509,Task_Tracker!$A$5:$A$1004,0)),""))</f>
        <v/>
      </c>
      <c r="W1509" s="81">
        <f>IF(OR($D1509="",$B1509=""),"",$D1509&amp;" | "&amp;$B1509)</f>
        <v/>
      </c>
      <c r="X1509" s="85">
        <f>IF($K1509="","",TEXT($K1509,"yyyy-mm"))</f>
        <v/>
      </c>
      <c r="Y1509" s="81">
        <f>IF(OR($A1509="",$T1509=""),"","Included in Manager_Report")</f>
        <v/>
      </c>
    </row>
    <row r="1510" ht="15" customHeight="1" s="40">
      <c r="A1510" s="65">
        <f>IF(COUNTA(B1510:G1510)=0,"","STP-"&amp;TEXT(ROW()-4,"0000"))</f>
        <v/>
      </c>
      <c r="B1510" s="78" t="n"/>
      <c r="C1510" s="67">
        <f>IF($B1510="","",IFERROR(INDEX(Task_Tracker!$D$5:$D$1004,MATCH($B1510,Task_Tracker!$A$5:$A$1004,0)),""))</f>
        <v/>
      </c>
      <c r="D1510" s="67">
        <f>IF($B1510="","",IFERROR(INDEX(Task_Tracker!$B$5:$B$1004,MATCH($B1510,Task_Tracker!$A$5:$A$1004,0)),""))</f>
        <v/>
      </c>
      <c r="E1510" s="81" t="n"/>
      <c r="F1510" s="81" t="n"/>
      <c r="G1510" s="78" t="n"/>
      <c r="H1510" s="78" t="n"/>
      <c r="I1510" s="67">
        <f>IF($H1510="","",IFERROR(INDEX(Action_Status_Map!$B$5:$B$11,MATCH($H1510,Action_Status_Map!$A$5:$A$11,0)),""))</f>
        <v/>
      </c>
      <c r="J1510" s="82" t="n"/>
      <c r="K1510" s="82" t="n"/>
      <c r="L1510" s="82" t="n"/>
      <c r="M1510" s="83" t="n"/>
      <c r="N1510" s="83" t="n"/>
      <c r="O1510" s="66">
        <f>IF(OR($M1510="",$N1510=""),"",$N1510-$M1510)</f>
        <v/>
      </c>
      <c r="P1510" s="84">
        <f>IF($J1510="","",IF($L1510&lt;&gt;"",$L1510-$J1510,TODAY()-$J1510))</f>
        <v/>
      </c>
      <c r="Q1510" s="85">
        <f>IF(OR($K1510="",$H1510="Completed",$H1510="Cancelled"),"",IF(AND($K1510&lt;TODAY(),$H1510&lt;&gt;"Completed",$H1510&lt;&gt;"Cancelled"),"Overdue","On Track"))</f>
        <v/>
      </c>
      <c r="R1510" s="81" t="n"/>
      <c r="S1510" s="81">
        <f>IF($B1510="","",IFERROR(INDEX(Task_Tracker!$AA$5:$AA$1004,MATCH($B1510,Task_Tracker!$A$5:$A$1004,0)),""))</f>
        <v/>
      </c>
      <c r="T1510" s="81">
        <f>IF($B1510="","",IFERROR(INDEX(Task_Tracker!$AB$5:$AB$1004,MATCH($B1510,Task_Tracker!$A$5:$A$1004,0)),""))</f>
        <v/>
      </c>
      <c r="U1510" s="78">
        <f>IF($B1510="","",IFERROR(INDEX(Task_Tracker!$F$5:$F$1004,MATCH($B1510,Task_Tracker!$A$5:$A$1004,0)),""))</f>
        <v/>
      </c>
      <c r="V1510" s="78">
        <f>IF($B1510="","",IFERROR(INDEX(Task_Tracker!$I$5:$I$1004,MATCH($B1510,Task_Tracker!$A$5:$A$1004,0)),""))</f>
        <v/>
      </c>
      <c r="W1510" s="81">
        <f>IF(OR($D1510="",$B1510=""),"",$D1510&amp;" | "&amp;$B1510)</f>
        <v/>
      </c>
      <c r="X1510" s="85">
        <f>IF($K1510="","",TEXT($K1510,"yyyy-mm"))</f>
        <v/>
      </c>
      <c r="Y1510" s="81">
        <f>IF(OR($A1510="",$T1510=""),"","Included in Manager_Report")</f>
        <v/>
      </c>
    </row>
    <row r="1511" ht="15" customHeight="1" s="40">
      <c r="A1511" s="65">
        <f>IF(COUNTA(B1511:G1511)=0,"","STP-"&amp;TEXT(ROW()-4,"0000"))</f>
        <v/>
      </c>
      <c r="B1511" s="78" t="n"/>
      <c r="C1511" s="67">
        <f>IF($B1511="","",IFERROR(INDEX(Task_Tracker!$D$5:$D$1004,MATCH($B1511,Task_Tracker!$A$5:$A$1004,0)),""))</f>
        <v/>
      </c>
      <c r="D1511" s="67">
        <f>IF($B1511="","",IFERROR(INDEX(Task_Tracker!$B$5:$B$1004,MATCH($B1511,Task_Tracker!$A$5:$A$1004,0)),""))</f>
        <v/>
      </c>
      <c r="E1511" s="81" t="n"/>
      <c r="F1511" s="81" t="n"/>
      <c r="G1511" s="78" t="n"/>
      <c r="H1511" s="78" t="n"/>
      <c r="I1511" s="67">
        <f>IF($H1511="","",IFERROR(INDEX(Action_Status_Map!$B$5:$B$11,MATCH($H1511,Action_Status_Map!$A$5:$A$11,0)),""))</f>
        <v/>
      </c>
      <c r="J1511" s="82" t="n"/>
      <c r="K1511" s="82" t="n"/>
      <c r="L1511" s="82" t="n"/>
      <c r="M1511" s="83" t="n"/>
      <c r="N1511" s="83" t="n"/>
      <c r="O1511" s="66">
        <f>IF(OR($M1511="",$N1511=""),"",$N1511-$M1511)</f>
        <v/>
      </c>
      <c r="P1511" s="84">
        <f>IF($J1511="","",IF($L1511&lt;&gt;"",$L1511-$J1511,TODAY()-$J1511))</f>
        <v/>
      </c>
      <c r="Q1511" s="85">
        <f>IF(OR($K1511="",$H1511="Completed",$H1511="Cancelled"),"",IF(AND($K1511&lt;TODAY(),$H1511&lt;&gt;"Completed",$H1511&lt;&gt;"Cancelled"),"Overdue","On Track"))</f>
        <v/>
      </c>
      <c r="R1511" s="81" t="n"/>
      <c r="S1511" s="81">
        <f>IF($B1511="","",IFERROR(INDEX(Task_Tracker!$AA$5:$AA$1004,MATCH($B1511,Task_Tracker!$A$5:$A$1004,0)),""))</f>
        <v/>
      </c>
      <c r="T1511" s="81">
        <f>IF($B1511="","",IFERROR(INDEX(Task_Tracker!$AB$5:$AB$1004,MATCH($B1511,Task_Tracker!$A$5:$A$1004,0)),""))</f>
        <v/>
      </c>
      <c r="U1511" s="78">
        <f>IF($B1511="","",IFERROR(INDEX(Task_Tracker!$F$5:$F$1004,MATCH($B1511,Task_Tracker!$A$5:$A$1004,0)),""))</f>
        <v/>
      </c>
      <c r="V1511" s="78">
        <f>IF($B1511="","",IFERROR(INDEX(Task_Tracker!$I$5:$I$1004,MATCH($B1511,Task_Tracker!$A$5:$A$1004,0)),""))</f>
        <v/>
      </c>
      <c r="W1511" s="81">
        <f>IF(OR($D1511="",$B1511=""),"",$D1511&amp;" | "&amp;$B1511)</f>
        <v/>
      </c>
      <c r="X1511" s="85">
        <f>IF($K1511="","",TEXT($K1511,"yyyy-mm"))</f>
        <v/>
      </c>
      <c r="Y1511" s="81">
        <f>IF(OR($A1511="",$T1511=""),"","Included in Manager_Report")</f>
        <v/>
      </c>
    </row>
    <row r="1512" ht="15" customHeight="1" s="40">
      <c r="A1512" s="65">
        <f>IF(COUNTA(B1512:G1512)=0,"","STP-"&amp;TEXT(ROW()-4,"0000"))</f>
        <v/>
      </c>
      <c r="B1512" s="78" t="n"/>
      <c r="C1512" s="67">
        <f>IF($B1512="","",IFERROR(INDEX(Task_Tracker!$D$5:$D$1004,MATCH($B1512,Task_Tracker!$A$5:$A$1004,0)),""))</f>
        <v/>
      </c>
      <c r="D1512" s="67">
        <f>IF($B1512="","",IFERROR(INDEX(Task_Tracker!$B$5:$B$1004,MATCH($B1512,Task_Tracker!$A$5:$A$1004,0)),""))</f>
        <v/>
      </c>
      <c r="E1512" s="81" t="n"/>
      <c r="F1512" s="81" t="n"/>
      <c r="G1512" s="78" t="n"/>
      <c r="H1512" s="78" t="n"/>
      <c r="I1512" s="67">
        <f>IF($H1512="","",IFERROR(INDEX(Action_Status_Map!$B$5:$B$11,MATCH($H1512,Action_Status_Map!$A$5:$A$11,0)),""))</f>
        <v/>
      </c>
      <c r="J1512" s="82" t="n"/>
      <c r="K1512" s="82" t="n"/>
      <c r="L1512" s="82" t="n"/>
      <c r="M1512" s="83" t="n"/>
      <c r="N1512" s="83" t="n"/>
      <c r="O1512" s="66">
        <f>IF(OR($M1512="",$N1512=""),"",$N1512-$M1512)</f>
        <v/>
      </c>
      <c r="P1512" s="84">
        <f>IF($J1512="","",IF($L1512&lt;&gt;"",$L1512-$J1512,TODAY()-$J1512))</f>
        <v/>
      </c>
      <c r="Q1512" s="85">
        <f>IF(OR($K1512="",$H1512="Completed",$H1512="Cancelled"),"",IF(AND($K1512&lt;TODAY(),$H1512&lt;&gt;"Completed",$H1512&lt;&gt;"Cancelled"),"Overdue","On Track"))</f>
        <v/>
      </c>
      <c r="R1512" s="81" t="n"/>
      <c r="S1512" s="81">
        <f>IF($B1512="","",IFERROR(INDEX(Task_Tracker!$AA$5:$AA$1004,MATCH($B1512,Task_Tracker!$A$5:$A$1004,0)),""))</f>
        <v/>
      </c>
      <c r="T1512" s="81">
        <f>IF($B1512="","",IFERROR(INDEX(Task_Tracker!$AB$5:$AB$1004,MATCH($B1512,Task_Tracker!$A$5:$A$1004,0)),""))</f>
        <v/>
      </c>
      <c r="U1512" s="78">
        <f>IF($B1512="","",IFERROR(INDEX(Task_Tracker!$F$5:$F$1004,MATCH($B1512,Task_Tracker!$A$5:$A$1004,0)),""))</f>
        <v/>
      </c>
      <c r="V1512" s="78">
        <f>IF($B1512="","",IFERROR(INDEX(Task_Tracker!$I$5:$I$1004,MATCH($B1512,Task_Tracker!$A$5:$A$1004,0)),""))</f>
        <v/>
      </c>
      <c r="W1512" s="81">
        <f>IF(OR($D1512="",$B1512=""),"",$D1512&amp;" | "&amp;$B1512)</f>
        <v/>
      </c>
      <c r="X1512" s="85">
        <f>IF($K1512="","",TEXT($K1512,"yyyy-mm"))</f>
        <v/>
      </c>
      <c r="Y1512" s="81">
        <f>IF(OR($A1512="",$T1512=""),"","Included in Manager_Report")</f>
        <v/>
      </c>
    </row>
    <row r="1513" ht="15" customHeight="1" s="40">
      <c r="A1513" s="65">
        <f>IF(COUNTA(B1513:G1513)=0,"","STP-"&amp;TEXT(ROW()-4,"0000"))</f>
        <v/>
      </c>
      <c r="B1513" s="78" t="n"/>
      <c r="C1513" s="67">
        <f>IF($B1513="","",IFERROR(INDEX(Task_Tracker!$D$5:$D$1004,MATCH($B1513,Task_Tracker!$A$5:$A$1004,0)),""))</f>
        <v/>
      </c>
      <c r="D1513" s="67">
        <f>IF($B1513="","",IFERROR(INDEX(Task_Tracker!$B$5:$B$1004,MATCH($B1513,Task_Tracker!$A$5:$A$1004,0)),""))</f>
        <v/>
      </c>
      <c r="E1513" s="81" t="n"/>
      <c r="F1513" s="81" t="n"/>
      <c r="G1513" s="78" t="n"/>
      <c r="H1513" s="78" t="n"/>
      <c r="I1513" s="67">
        <f>IF($H1513="","",IFERROR(INDEX(Action_Status_Map!$B$5:$B$11,MATCH($H1513,Action_Status_Map!$A$5:$A$11,0)),""))</f>
        <v/>
      </c>
      <c r="J1513" s="82" t="n"/>
      <c r="K1513" s="82" t="n"/>
      <c r="L1513" s="82" t="n"/>
      <c r="M1513" s="83" t="n"/>
      <c r="N1513" s="83" t="n"/>
      <c r="O1513" s="66">
        <f>IF(OR($M1513="",$N1513=""),"",$N1513-$M1513)</f>
        <v/>
      </c>
      <c r="P1513" s="84">
        <f>IF($J1513="","",IF($L1513&lt;&gt;"",$L1513-$J1513,TODAY()-$J1513))</f>
        <v/>
      </c>
      <c r="Q1513" s="85">
        <f>IF(OR($K1513="",$H1513="Completed",$H1513="Cancelled"),"",IF(AND($K1513&lt;TODAY(),$H1513&lt;&gt;"Completed",$H1513&lt;&gt;"Cancelled"),"Overdue","On Track"))</f>
        <v/>
      </c>
      <c r="R1513" s="81" t="n"/>
      <c r="S1513" s="81">
        <f>IF($B1513="","",IFERROR(INDEX(Task_Tracker!$AA$5:$AA$1004,MATCH($B1513,Task_Tracker!$A$5:$A$1004,0)),""))</f>
        <v/>
      </c>
      <c r="T1513" s="81">
        <f>IF($B1513="","",IFERROR(INDEX(Task_Tracker!$AB$5:$AB$1004,MATCH($B1513,Task_Tracker!$A$5:$A$1004,0)),""))</f>
        <v/>
      </c>
      <c r="U1513" s="78">
        <f>IF($B1513="","",IFERROR(INDEX(Task_Tracker!$F$5:$F$1004,MATCH($B1513,Task_Tracker!$A$5:$A$1004,0)),""))</f>
        <v/>
      </c>
      <c r="V1513" s="78">
        <f>IF($B1513="","",IFERROR(INDEX(Task_Tracker!$I$5:$I$1004,MATCH($B1513,Task_Tracker!$A$5:$A$1004,0)),""))</f>
        <v/>
      </c>
      <c r="W1513" s="81">
        <f>IF(OR($D1513="",$B1513=""),"",$D1513&amp;" | "&amp;$B1513)</f>
        <v/>
      </c>
      <c r="X1513" s="85">
        <f>IF($K1513="","",TEXT($K1513,"yyyy-mm"))</f>
        <v/>
      </c>
      <c r="Y1513" s="81">
        <f>IF(OR($A1513="",$T1513=""),"","Included in Manager_Report")</f>
        <v/>
      </c>
    </row>
    <row r="1514" ht="15" customHeight="1" s="40">
      <c r="A1514" s="65">
        <f>IF(COUNTA(B1514:G1514)=0,"","STP-"&amp;TEXT(ROW()-4,"0000"))</f>
        <v/>
      </c>
      <c r="B1514" s="78" t="n"/>
      <c r="C1514" s="67">
        <f>IF($B1514="","",IFERROR(INDEX(Task_Tracker!$D$5:$D$1004,MATCH($B1514,Task_Tracker!$A$5:$A$1004,0)),""))</f>
        <v/>
      </c>
      <c r="D1514" s="67">
        <f>IF($B1514="","",IFERROR(INDEX(Task_Tracker!$B$5:$B$1004,MATCH($B1514,Task_Tracker!$A$5:$A$1004,0)),""))</f>
        <v/>
      </c>
      <c r="E1514" s="81" t="n"/>
      <c r="F1514" s="81" t="n"/>
      <c r="G1514" s="78" t="n"/>
      <c r="H1514" s="78" t="n"/>
      <c r="I1514" s="67">
        <f>IF($H1514="","",IFERROR(INDEX(Action_Status_Map!$B$5:$B$11,MATCH($H1514,Action_Status_Map!$A$5:$A$11,0)),""))</f>
        <v/>
      </c>
      <c r="J1514" s="82" t="n"/>
      <c r="K1514" s="82" t="n"/>
      <c r="L1514" s="82" t="n"/>
      <c r="M1514" s="83" t="n"/>
      <c r="N1514" s="83" t="n"/>
      <c r="O1514" s="66">
        <f>IF(OR($M1514="",$N1514=""),"",$N1514-$M1514)</f>
        <v/>
      </c>
      <c r="P1514" s="84">
        <f>IF($J1514="","",IF($L1514&lt;&gt;"",$L1514-$J1514,TODAY()-$J1514))</f>
        <v/>
      </c>
      <c r="Q1514" s="85">
        <f>IF(OR($K1514="",$H1514="Completed",$H1514="Cancelled"),"",IF(AND($K1514&lt;TODAY(),$H1514&lt;&gt;"Completed",$H1514&lt;&gt;"Cancelled"),"Overdue","On Track"))</f>
        <v/>
      </c>
      <c r="R1514" s="81" t="n"/>
      <c r="S1514" s="81">
        <f>IF($B1514="","",IFERROR(INDEX(Task_Tracker!$AA$5:$AA$1004,MATCH($B1514,Task_Tracker!$A$5:$A$1004,0)),""))</f>
        <v/>
      </c>
      <c r="T1514" s="81">
        <f>IF($B1514="","",IFERROR(INDEX(Task_Tracker!$AB$5:$AB$1004,MATCH($B1514,Task_Tracker!$A$5:$A$1004,0)),""))</f>
        <v/>
      </c>
      <c r="U1514" s="78">
        <f>IF($B1514="","",IFERROR(INDEX(Task_Tracker!$F$5:$F$1004,MATCH($B1514,Task_Tracker!$A$5:$A$1004,0)),""))</f>
        <v/>
      </c>
      <c r="V1514" s="78">
        <f>IF($B1514="","",IFERROR(INDEX(Task_Tracker!$I$5:$I$1004,MATCH($B1514,Task_Tracker!$A$5:$A$1004,0)),""))</f>
        <v/>
      </c>
      <c r="W1514" s="81">
        <f>IF(OR($D1514="",$B1514=""),"",$D1514&amp;" | "&amp;$B1514)</f>
        <v/>
      </c>
      <c r="X1514" s="85">
        <f>IF($K1514="","",TEXT($K1514,"yyyy-mm"))</f>
        <v/>
      </c>
      <c r="Y1514" s="81">
        <f>IF(OR($A1514="",$T1514=""),"","Included in Manager_Report")</f>
        <v/>
      </c>
    </row>
    <row r="1515" ht="15" customHeight="1" s="40">
      <c r="A1515" s="65">
        <f>IF(COUNTA(B1515:G1515)=0,"","STP-"&amp;TEXT(ROW()-4,"0000"))</f>
        <v/>
      </c>
      <c r="B1515" s="78" t="n"/>
      <c r="C1515" s="67">
        <f>IF($B1515="","",IFERROR(INDEX(Task_Tracker!$D$5:$D$1004,MATCH($B1515,Task_Tracker!$A$5:$A$1004,0)),""))</f>
        <v/>
      </c>
      <c r="D1515" s="67">
        <f>IF($B1515="","",IFERROR(INDEX(Task_Tracker!$B$5:$B$1004,MATCH($B1515,Task_Tracker!$A$5:$A$1004,0)),""))</f>
        <v/>
      </c>
      <c r="E1515" s="81" t="n"/>
      <c r="F1515" s="81" t="n"/>
      <c r="G1515" s="78" t="n"/>
      <c r="H1515" s="78" t="n"/>
      <c r="I1515" s="67">
        <f>IF($H1515="","",IFERROR(INDEX(Action_Status_Map!$B$5:$B$11,MATCH($H1515,Action_Status_Map!$A$5:$A$11,0)),""))</f>
        <v/>
      </c>
      <c r="J1515" s="82" t="n"/>
      <c r="K1515" s="82" t="n"/>
      <c r="L1515" s="82" t="n"/>
      <c r="M1515" s="83" t="n"/>
      <c r="N1515" s="83" t="n"/>
      <c r="O1515" s="66">
        <f>IF(OR($M1515="",$N1515=""),"",$N1515-$M1515)</f>
        <v/>
      </c>
      <c r="P1515" s="84">
        <f>IF($J1515="","",IF($L1515&lt;&gt;"",$L1515-$J1515,TODAY()-$J1515))</f>
        <v/>
      </c>
      <c r="Q1515" s="85">
        <f>IF(OR($K1515="",$H1515="Completed",$H1515="Cancelled"),"",IF(AND($K1515&lt;TODAY(),$H1515&lt;&gt;"Completed",$H1515&lt;&gt;"Cancelled"),"Overdue","On Track"))</f>
        <v/>
      </c>
      <c r="R1515" s="81" t="n"/>
      <c r="S1515" s="81">
        <f>IF($B1515="","",IFERROR(INDEX(Task_Tracker!$AA$5:$AA$1004,MATCH($B1515,Task_Tracker!$A$5:$A$1004,0)),""))</f>
        <v/>
      </c>
      <c r="T1515" s="81">
        <f>IF($B1515="","",IFERROR(INDEX(Task_Tracker!$AB$5:$AB$1004,MATCH($B1515,Task_Tracker!$A$5:$A$1004,0)),""))</f>
        <v/>
      </c>
      <c r="U1515" s="78">
        <f>IF($B1515="","",IFERROR(INDEX(Task_Tracker!$F$5:$F$1004,MATCH($B1515,Task_Tracker!$A$5:$A$1004,0)),""))</f>
        <v/>
      </c>
      <c r="V1515" s="78">
        <f>IF($B1515="","",IFERROR(INDEX(Task_Tracker!$I$5:$I$1004,MATCH($B1515,Task_Tracker!$A$5:$A$1004,0)),""))</f>
        <v/>
      </c>
      <c r="W1515" s="81">
        <f>IF(OR($D1515="",$B1515=""),"",$D1515&amp;" | "&amp;$B1515)</f>
        <v/>
      </c>
      <c r="X1515" s="85">
        <f>IF($K1515="","",TEXT($K1515,"yyyy-mm"))</f>
        <v/>
      </c>
      <c r="Y1515" s="81">
        <f>IF(OR($A1515="",$T1515=""),"","Included in Manager_Report")</f>
        <v/>
      </c>
    </row>
    <row r="1516" ht="15" customHeight="1" s="40">
      <c r="A1516" s="65">
        <f>IF(COUNTA(B1516:G1516)=0,"","STP-"&amp;TEXT(ROW()-4,"0000"))</f>
        <v/>
      </c>
      <c r="B1516" s="78" t="n"/>
      <c r="C1516" s="67">
        <f>IF($B1516="","",IFERROR(INDEX(Task_Tracker!$D$5:$D$1004,MATCH($B1516,Task_Tracker!$A$5:$A$1004,0)),""))</f>
        <v/>
      </c>
      <c r="D1516" s="67">
        <f>IF($B1516="","",IFERROR(INDEX(Task_Tracker!$B$5:$B$1004,MATCH($B1516,Task_Tracker!$A$5:$A$1004,0)),""))</f>
        <v/>
      </c>
      <c r="E1516" s="81" t="n"/>
      <c r="F1516" s="81" t="n"/>
      <c r="G1516" s="78" t="n"/>
      <c r="H1516" s="78" t="n"/>
      <c r="I1516" s="67">
        <f>IF($H1516="","",IFERROR(INDEX(Action_Status_Map!$B$5:$B$11,MATCH($H1516,Action_Status_Map!$A$5:$A$11,0)),""))</f>
        <v/>
      </c>
      <c r="J1516" s="82" t="n"/>
      <c r="K1516" s="82" t="n"/>
      <c r="L1516" s="82" t="n"/>
      <c r="M1516" s="83" t="n"/>
      <c r="N1516" s="83" t="n"/>
      <c r="O1516" s="66">
        <f>IF(OR($M1516="",$N1516=""),"",$N1516-$M1516)</f>
        <v/>
      </c>
      <c r="P1516" s="84">
        <f>IF($J1516="","",IF($L1516&lt;&gt;"",$L1516-$J1516,TODAY()-$J1516))</f>
        <v/>
      </c>
      <c r="Q1516" s="85">
        <f>IF(OR($K1516="",$H1516="Completed",$H1516="Cancelled"),"",IF(AND($K1516&lt;TODAY(),$H1516&lt;&gt;"Completed",$H1516&lt;&gt;"Cancelled"),"Overdue","On Track"))</f>
        <v/>
      </c>
      <c r="R1516" s="81" t="n"/>
      <c r="S1516" s="81">
        <f>IF($B1516="","",IFERROR(INDEX(Task_Tracker!$AA$5:$AA$1004,MATCH($B1516,Task_Tracker!$A$5:$A$1004,0)),""))</f>
        <v/>
      </c>
      <c r="T1516" s="81">
        <f>IF($B1516="","",IFERROR(INDEX(Task_Tracker!$AB$5:$AB$1004,MATCH($B1516,Task_Tracker!$A$5:$A$1004,0)),""))</f>
        <v/>
      </c>
      <c r="U1516" s="78">
        <f>IF($B1516="","",IFERROR(INDEX(Task_Tracker!$F$5:$F$1004,MATCH($B1516,Task_Tracker!$A$5:$A$1004,0)),""))</f>
        <v/>
      </c>
      <c r="V1516" s="78">
        <f>IF($B1516="","",IFERROR(INDEX(Task_Tracker!$I$5:$I$1004,MATCH($B1516,Task_Tracker!$A$5:$A$1004,0)),""))</f>
        <v/>
      </c>
      <c r="W1516" s="81">
        <f>IF(OR($D1516="",$B1516=""),"",$D1516&amp;" | "&amp;$B1516)</f>
        <v/>
      </c>
      <c r="X1516" s="85">
        <f>IF($K1516="","",TEXT($K1516,"yyyy-mm"))</f>
        <v/>
      </c>
      <c r="Y1516" s="81">
        <f>IF(OR($A1516="",$T1516=""),"","Included in Manager_Report")</f>
        <v/>
      </c>
    </row>
    <row r="1517" ht="15" customHeight="1" s="40">
      <c r="A1517" s="65">
        <f>IF(COUNTA(B1517:G1517)=0,"","STP-"&amp;TEXT(ROW()-4,"0000"))</f>
        <v/>
      </c>
      <c r="B1517" s="78" t="n"/>
      <c r="C1517" s="67">
        <f>IF($B1517="","",IFERROR(INDEX(Task_Tracker!$D$5:$D$1004,MATCH($B1517,Task_Tracker!$A$5:$A$1004,0)),""))</f>
        <v/>
      </c>
      <c r="D1517" s="67">
        <f>IF($B1517="","",IFERROR(INDEX(Task_Tracker!$B$5:$B$1004,MATCH($B1517,Task_Tracker!$A$5:$A$1004,0)),""))</f>
        <v/>
      </c>
      <c r="E1517" s="81" t="n"/>
      <c r="F1517" s="81" t="n"/>
      <c r="G1517" s="78" t="n"/>
      <c r="H1517" s="78" t="n"/>
      <c r="I1517" s="67">
        <f>IF($H1517="","",IFERROR(INDEX(Action_Status_Map!$B$5:$B$11,MATCH($H1517,Action_Status_Map!$A$5:$A$11,0)),""))</f>
        <v/>
      </c>
      <c r="J1517" s="82" t="n"/>
      <c r="K1517" s="82" t="n"/>
      <c r="L1517" s="82" t="n"/>
      <c r="M1517" s="83" t="n"/>
      <c r="N1517" s="83" t="n"/>
      <c r="O1517" s="66">
        <f>IF(OR($M1517="",$N1517=""),"",$N1517-$M1517)</f>
        <v/>
      </c>
      <c r="P1517" s="84">
        <f>IF($J1517="","",IF($L1517&lt;&gt;"",$L1517-$J1517,TODAY()-$J1517))</f>
        <v/>
      </c>
      <c r="Q1517" s="85">
        <f>IF(OR($K1517="",$H1517="Completed",$H1517="Cancelled"),"",IF(AND($K1517&lt;TODAY(),$H1517&lt;&gt;"Completed",$H1517&lt;&gt;"Cancelled"),"Overdue","On Track"))</f>
        <v/>
      </c>
      <c r="R1517" s="81" t="n"/>
      <c r="S1517" s="81">
        <f>IF($B1517="","",IFERROR(INDEX(Task_Tracker!$AA$5:$AA$1004,MATCH($B1517,Task_Tracker!$A$5:$A$1004,0)),""))</f>
        <v/>
      </c>
      <c r="T1517" s="81">
        <f>IF($B1517="","",IFERROR(INDEX(Task_Tracker!$AB$5:$AB$1004,MATCH($B1517,Task_Tracker!$A$5:$A$1004,0)),""))</f>
        <v/>
      </c>
      <c r="U1517" s="78">
        <f>IF($B1517="","",IFERROR(INDEX(Task_Tracker!$F$5:$F$1004,MATCH($B1517,Task_Tracker!$A$5:$A$1004,0)),""))</f>
        <v/>
      </c>
      <c r="V1517" s="78">
        <f>IF($B1517="","",IFERROR(INDEX(Task_Tracker!$I$5:$I$1004,MATCH($B1517,Task_Tracker!$A$5:$A$1004,0)),""))</f>
        <v/>
      </c>
      <c r="W1517" s="81">
        <f>IF(OR($D1517="",$B1517=""),"",$D1517&amp;" | "&amp;$B1517)</f>
        <v/>
      </c>
      <c r="X1517" s="85">
        <f>IF($K1517="","",TEXT($K1517,"yyyy-mm"))</f>
        <v/>
      </c>
      <c r="Y1517" s="81">
        <f>IF(OR($A1517="",$T1517=""),"","Included in Manager_Report")</f>
        <v/>
      </c>
    </row>
    <row r="1518" ht="15" customHeight="1" s="40">
      <c r="A1518" s="65">
        <f>IF(COUNTA(B1518:G1518)=0,"","STP-"&amp;TEXT(ROW()-4,"0000"))</f>
        <v/>
      </c>
      <c r="B1518" s="78" t="n"/>
      <c r="C1518" s="67">
        <f>IF($B1518="","",IFERROR(INDEX(Task_Tracker!$D$5:$D$1004,MATCH($B1518,Task_Tracker!$A$5:$A$1004,0)),""))</f>
        <v/>
      </c>
      <c r="D1518" s="67">
        <f>IF($B1518="","",IFERROR(INDEX(Task_Tracker!$B$5:$B$1004,MATCH($B1518,Task_Tracker!$A$5:$A$1004,0)),""))</f>
        <v/>
      </c>
      <c r="E1518" s="81" t="n"/>
      <c r="F1518" s="81" t="n"/>
      <c r="G1518" s="78" t="n"/>
      <c r="H1518" s="78" t="n"/>
      <c r="I1518" s="67">
        <f>IF($H1518="","",IFERROR(INDEX(Action_Status_Map!$B$5:$B$11,MATCH($H1518,Action_Status_Map!$A$5:$A$11,0)),""))</f>
        <v/>
      </c>
      <c r="J1518" s="82" t="n"/>
      <c r="K1518" s="82" t="n"/>
      <c r="L1518" s="82" t="n"/>
      <c r="M1518" s="83" t="n"/>
      <c r="N1518" s="83" t="n"/>
      <c r="O1518" s="66">
        <f>IF(OR($M1518="",$N1518=""),"",$N1518-$M1518)</f>
        <v/>
      </c>
      <c r="P1518" s="84">
        <f>IF($J1518="","",IF($L1518&lt;&gt;"",$L1518-$J1518,TODAY()-$J1518))</f>
        <v/>
      </c>
      <c r="Q1518" s="85">
        <f>IF(OR($K1518="",$H1518="Completed",$H1518="Cancelled"),"",IF(AND($K1518&lt;TODAY(),$H1518&lt;&gt;"Completed",$H1518&lt;&gt;"Cancelled"),"Overdue","On Track"))</f>
        <v/>
      </c>
      <c r="R1518" s="81" t="n"/>
      <c r="S1518" s="81">
        <f>IF($B1518="","",IFERROR(INDEX(Task_Tracker!$AA$5:$AA$1004,MATCH($B1518,Task_Tracker!$A$5:$A$1004,0)),""))</f>
        <v/>
      </c>
      <c r="T1518" s="81">
        <f>IF($B1518="","",IFERROR(INDEX(Task_Tracker!$AB$5:$AB$1004,MATCH($B1518,Task_Tracker!$A$5:$A$1004,0)),""))</f>
        <v/>
      </c>
      <c r="U1518" s="78">
        <f>IF($B1518="","",IFERROR(INDEX(Task_Tracker!$F$5:$F$1004,MATCH($B1518,Task_Tracker!$A$5:$A$1004,0)),""))</f>
        <v/>
      </c>
      <c r="V1518" s="78">
        <f>IF($B1518="","",IFERROR(INDEX(Task_Tracker!$I$5:$I$1004,MATCH($B1518,Task_Tracker!$A$5:$A$1004,0)),""))</f>
        <v/>
      </c>
      <c r="W1518" s="81">
        <f>IF(OR($D1518="",$B1518=""),"",$D1518&amp;" | "&amp;$B1518)</f>
        <v/>
      </c>
      <c r="X1518" s="85">
        <f>IF($K1518="","",TEXT($K1518,"yyyy-mm"))</f>
        <v/>
      </c>
      <c r="Y1518" s="81">
        <f>IF(OR($A1518="",$T1518=""),"","Included in Manager_Report")</f>
        <v/>
      </c>
    </row>
    <row r="1519" ht="15" customHeight="1" s="40">
      <c r="A1519" s="65">
        <f>IF(COUNTA(B1519:G1519)=0,"","STP-"&amp;TEXT(ROW()-4,"0000"))</f>
        <v/>
      </c>
      <c r="B1519" s="78" t="n"/>
      <c r="C1519" s="67">
        <f>IF($B1519="","",IFERROR(INDEX(Task_Tracker!$D$5:$D$1004,MATCH($B1519,Task_Tracker!$A$5:$A$1004,0)),""))</f>
        <v/>
      </c>
      <c r="D1519" s="67">
        <f>IF($B1519="","",IFERROR(INDEX(Task_Tracker!$B$5:$B$1004,MATCH($B1519,Task_Tracker!$A$5:$A$1004,0)),""))</f>
        <v/>
      </c>
      <c r="E1519" s="81" t="n"/>
      <c r="F1519" s="81" t="n"/>
      <c r="G1519" s="78" t="n"/>
      <c r="H1519" s="78" t="n"/>
      <c r="I1519" s="67">
        <f>IF($H1519="","",IFERROR(INDEX(Action_Status_Map!$B$5:$B$11,MATCH($H1519,Action_Status_Map!$A$5:$A$11,0)),""))</f>
        <v/>
      </c>
      <c r="J1519" s="82" t="n"/>
      <c r="K1519" s="82" t="n"/>
      <c r="L1519" s="82" t="n"/>
      <c r="M1519" s="83" t="n"/>
      <c r="N1519" s="83" t="n"/>
      <c r="O1519" s="66">
        <f>IF(OR($M1519="",$N1519=""),"",$N1519-$M1519)</f>
        <v/>
      </c>
      <c r="P1519" s="84">
        <f>IF($J1519="","",IF($L1519&lt;&gt;"",$L1519-$J1519,TODAY()-$J1519))</f>
        <v/>
      </c>
      <c r="Q1519" s="85">
        <f>IF(OR($K1519="",$H1519="Completed",$H1519="Cancelled"),"",IF(AND($K1519&lt;TODAY(),$H1519&lt;&gt;"Completed",$H1519&lt;&gt;"Cancelled"),"Overdue","On Track"))</f>
        <v/>
      </c>
      <c r="R1519" s="81" t="n"/>
      <c r="S1519" s="81">
        <f>IF($B1519="","",IFERROR(INDEX(Task_Tracker!$AA$5:$AA$1004,MATCH($B1519,Task_Tracker!$A$5:$A$1004,0)),""))</f>
        <v/>
      </c>
      <c r="T1519" s="81">
        <f>IF($B1519="","",IFERROR(INDEX(Task_Tracker!$AB$5:$AB$1004,MATCH($B1519,Task_Tracker!$A$5:$A$1004,0)),""))</f>
        <v/>
      </c>
      <c r="U1519" s="78">
        <f>IF($B1519="","",IFERROR(INDEX(Task_Tracker!$F$5:$F$1004,MATCH($B1519,Task_Tracker!$A$5:$A$1004,0)),""))</f>
        <v/>
      </c>
      <c r="V1519" s="78">
        <f>IF($B1519="","",IFERROR(INDEX(Task_Tracker!$I$5:$I$1004,MATCH($B1519,Task_Tracker!$A$5:$A$1004,0)),""))</f>
        <v/>
      </c>
      <c r="W1519" s="81">
        <f>IF(OR($D1519="",$B1519=""),"",$D1519&amp;" | "&amp;$B1519)</f>
        <v/>
      </c>
      <c r="X1519" s="85">
        <f>IF($K1519="","",TEXT($K1519,"yyyy-mm"))</f>
        <v/>
      </c>
      <c r="Y1519" s="81">
        <f>IF(OR($A1519="",$T1519=""),"","Included in Manager_Report")</f>
        <v/>
      </c>
    </row>
    <row r="1520" ht="15" customHeight="1" s="40">
      <c r="A1520" s="65">
        <f>IF(COUNTA(B1520:G1520)=0,"","STP-"&amp;TEXT(ROW()-4,"0000"))</f>
        <v/>
      </c>
      <c r="B1520" s="78" t="n"/>
      <c r="C1520" s="67">
        <f>IF($B1520="","",IFERROR(INDEX(Task_Tracker!$D$5:$D$1004,MATCH($B1520,Task_Tracker!$A$5:$A$1004,0)),""))</f>
        <v/>
      </c>
      <c r="D1520" s="67">
        <f>IF($B1520="","",IFERROR(INDEX(Task_Tracker!$B$5:$B$1004,MATCH($B1520,Task_Tracker!$A$5:$A$1004,0)),""))</f>
        <v/>
      </c>
      <c r="E1520" s="81" t="n"/>
      <c r="F1520" s="81" t="n"/>
      <c r="G1520" s="78" t="n"/>
      <c r="H1520" s="78" t="n"/>
      <c r="I1520" s="67">
        <f>IF($H1520="","",IFERROR(INDEX(Action_Status_Map!$B$5:$B$11,MATCH($H1520,Action_Status_Map!$A$5:$A$11,0)),""))</f>
        <v/>
      </c>
      <c r="J1520" s="82" t="n"/>
      <c r="K1520" s="82" t="n"/>
      <c r="L1520" s="82" t="n"/>
      <c r="M1520" s="83" t="n"/>
      <c r="N1520" s="83" t="n"/>
      <c r="O1520" s="66">
        <f>IF(OR($M1520="",$N1520=""),"",$N1520-$M1520)</f>
        <v/>
      </c>
      <c r="P1520" s="84">
        <f>IF($J1520="","",IF($L1520&lt;&gt;"",$L1520-$J1520,TODAY()-$J1520))</f>
        <v/>
      </c>
      <c r="Q1520" s="85">
        <f>IF(OR($K1520="",$H1520="Completed",$H1520="Cancelled"),"",IF(AND($K1520&lt;TODAY(),$H1520&lt;&gt;"Completed",$H1520&lt;&gt;"Cancelled"),"Overdue","On Track"))</f>
        <v/>
      </c>
      <c r="R1520" s="81" t="n"/>
      <c r="S1520" s="81">
        <f>IF($B1520="","",IFERROR(INDEX(Task_Tracker!$AA$5:$AA$1004,MATCH($B1520,Task_Tracker!$A$5:$A$1004,0)),""))</f>
        <v/>
      </c>
      <c r="T1520" s="81">
        <f>IF($B1520="","",IFERROR(INDEX(Task_Tracker!$AB$5:$AB$1004,MATCH($B1520,Task_Tracker!$A$5:$A$1004,0)),""))</f>
        <v/>
      </c>
      <c r="U1520" s="78">
        <f>IF($B1520="","",IFERROR(INDEX(Task_Tracker!$F$5:$F$1004,MATCH($B1520,Task_Tracker!$A$5:$A$1004,0)),""))</f>
        <v/>
      </c>
      <c r="V1520" s="78">
        <f>IF($B1520="","",IFERROR(INDEX(Task_Tracker!$I$5:$I$1004,MATCH($B1520,Task_Tracker!$A$5:$A$1004,0)),""))</f>
        <v/>
      </c>
      <c r="W1520" s="81">
        <f>IF(OR($D1520="",$B1520=""),"",$D1520&amp;" | "&amp;$B1520)</f>
        <v/>
      </c>
      <c r="X1520" s="85">
        <f>IF($K1520="","",TEXT($K1520,"yyyy-mm"))</f>
        <v/>
      </c>
      <c r="Y1520" s="81">
        <f>IF(OR($A1520="",$T1520=""),"","Included in Manager_Report")</f>
        <v/>
      </c>
    </row>
    <row r="1521" ht="15" customHeight="1" s="40">
      <c r="A1521" s="65">
        <f>IF(COUNTA(B1521:G1521)=0,"","STP-"&amp;TEXT(ROW()-4,"0000"))</f>
        <v/>
      </c>
      <c r="B1521" s="78" t="n"/>
      <c r="C1521" s="67">
        <f>IF($B1521="","",IFERROR(INDEX(Task_Tracker!$D$5:$D$1004,MATCH($B1521,Task_Tracker!$A$5:$A$1004,0)),""))</f>
        <v/>
      </c>
      <c r="D1521" s="67">
        <f>IF($B1521="","",IFERROR(INDEX(Task_Tracker!$B$5:$B$1004,MATCH($B1521,Task_Tracker!$A$5:$A$1004,0)),""))</f>
        <v/>
      </c>
      <c r="E1521" s="81" t="n"/>
      <c r="F1521" s="81" t="n"/>
      <c r="G1521" s="78" t="n"/>
      <c r="H1521" s="78" t="n"/>
      <c r="I1521" s="67">
        <f>IF($H1521="","",IFERROR(INDEX(Action_Status_Map!$B$5:$B$11,MATCH($H1521,Action_Status_Map!$A$5:$A$11,0)),""))</f>
        <v/>
      </c>
      <c r="J1521" s="82" t="n"/>
      <c r="K1521" s="82" t="n"/>
      <c r="L1521" s="82" t="n"/>
      <c r="M1521" s="83" t="n"/>
      <c r="N1521" s="83" t="n"/>
      <c r="O1521" s="66">
        <f>IF(OR($M1521="",$N1521=""),"",$N1521-$M1521)</f>
        <v/>
      </c>
      <c r="P1521" s="84">
        <f>IF($J1521="","",IF($L1521&lt;&gt;"",$L1521-$J1521,TODAY()-$J1521))</f>
        <v/>
      </c>
      <c r="Q1521" s="85">
        <f>IF(OR($K1521="",$H1521="Completed",$H1521="Cancelled"),"",IF(AND($K1521&lt;TODAY(),$H1521&lt;&gt;"Completed",$H1521&lt;&gt;"Cancelled"),"Overdue","On Track"))</f>
        <v/>
      </c>
      <c r="R1521" s="81" t="n"/>
      <c r="S1521" s="81">
        <f>IF($B1521="","",IFERROR(INDEX(Task_Tracker!$AA$5:$AA$1004,MATCH($B1521,Task_Tracker!$A$5:$A$1004,0)),""))</f>
        <v/>
      </c>
      <c r="T1521" s="81">
        <f>IF($B1521="","",IFERROR(INDEX(Task_Tracker!$AB$5:$AB$1004,MATCH($B1521,Task_Tracker!$A$5:$A$1004,0)),""))</f>
        <v/>
      </c>
      <c r="U1521" s="78">
        <f>IF($B1521="","",IFERROR(INDEX(Task_Tracker!$F$5:$F$1004,MATCH($B1521,Task_Tracker!$A$5:$A$1004,0)),""))</f>
        <v/>
      </c>
      <c r="V1521" s="78">
        <f>IF($B1521="","",IFERROR(INDEX(Task_Tracker!$I$5:$I$1004,MATCH($B1521,Task_Tracker!$A$5:$A$1004,0)),""))</f>
        <v/>
      </c>
      <c r="W1521" s="81">
        <f>IF(OR($D1521="",$B1521=""),"",$D1521&amp;" | "&amp;$B1521)</f>
        <v/>
      </c>
      <c r="X1521" s="85">
        <f>IF($K1521="","",TEXT($K1521,"yyyy-mm"))</f>
        <v/>
      </c>
      <c r="Y1521" s="81">
        <f>IF(OR($A1521="",$T1521=""),"","Included in Manager_Report")</f>
        <v/>
      </c>
    </row>
    <row r="1522" ht="15" customHeight="1" s="40">
      <c r="A1522" s="65">
        <f>IF(COUNTA(B1522:G1522)=0,"","STP-"&amp;TEXT(ROW()-4,"0000"))</f>
        <v/>
      </c>
      <c r="B1522" s="78" t="n"/>
      <c r="C1522" s="67">
        <f>IF($B1522="","",IFERROR(INDEX(Task_Tracker!$D$5:$D$1004,MATCH($B1522,Task_Tracker!$A$5:$A$1004,0)),""))</f>
        <v/>
      </c>
      <c r="D1522" s="67">
        <f>IF($B1522="","",IFERROR(INDEX(Task_Tracker!$B$5:$B$1004,MATCH($B1522,Task_Tracker!$A$5:$A$1004,0)),""))</f>
        <v/>
      </c>
      <c r="E1522" s="81" t="n"/>
      <c r="F1522" s="81" t="n"/>
      <c r="G1522" s="78" t="n"/>
      <c r="H1522" s="78" t="n"/>
      <c r="I1522" s="67">
        <f>IF($H1522="","",IFERROR(INDEX(Action_Status_Map!$B$5:$B$11,MATCH($H1522,Action_Status_Map!$A$5:$A$11,0)),""))</f>
        <v/>
      </c>
      <c r="J1522" s="82" t="n"/>
      <c r="K1522" s="82" t="n"/>
      <c r="L1522" s="82" t="n"/>
      <c r="M1522" s="83" t="n"/>
      <c r="N1522" s="83" t="n"/>
      <c r="O1522" s="66">
        <f>IF(OR($M1522="",$N1522=""),"",$N1522-$M1522)</f>
        <v/>
      </c>
      <c r="P1522" s="84">
        <f>IF($J1522="","",IF($L1522&lt;&gt;"",$L1522-$J1522,TODAY()-$J1522))</f>
        <v/>
      </c>
      <c r="Q1522" s="85">
        <f>IF(OR($K1522="",$H1522="Completed",$H1522="Cancelled"),"",IF(AND($K1522&lt;TODAY(),$H1522&lt;&gt;"Completed",$H1522&lt;&gt;"Cancelled"),"Overdue","On Track"))</f>
        <v/>
      </c>
      <c r="R1522" s="81" t="n"/>
      <c r="S1522" s="81">
        <f>IF($B1522="","",IFERROR(INDEX(Task_Tracker!$AA$5:$AA$1004,MATCH($B1522,Task_Tracker!$A$5:$A$1004,0)),""))</f>
        <v/>
      </c>
      <c r="T1522" s="81">
        <f>IF($B1522="","",IFERROR(INDEX(Task_Tracker!$AB$5:$AB$1004,MATCH($B1522,Task_Tracker!$A$5:$A$1004,0)),""))</f>
        <v/>
      </c>
      <c r="U1522" s="78">
        <f>IF($B1522="","",IFERROR(INDEX(Task_Tracker!$F$5:$F$1004,MATCH($B1522,Task_Tracker!$A$5:$A$1004,0)),""))</f>
        <v/>
      </c>
      <c r="V1522" s="78">
        <f>IF($B1522="","",IFERROR(INDEX(Task_Tracker!$I$5:$I$1004,MATCH($B1522,Task_Tracker!$A$5:$A$1004,0)),""))</f>
        <v/>
      </c>
      <c r="W1522" s="81">
        <f>IF(OR($D1522="",$B1522=""),"",$D1522&amp;" | "&amp;$B1522)</f>
        <v/>
      </c>
      <c r="X1522" s="85">
        <f>IF($K1522="","",TEXT($K1522,"yyyy-mm"))</f>
        <v/>
      </c>
      <c r="Y1522" s="81">
        <f>IF(OR($A1522="",$T1522=""),"","Included in Manager_Report")</f>
        <v/>
      </c>
    </row>
    <row r="1523" ht="15" customHeight="1" s="40">
      <c r="A1523" s="65">
        <f>IF(COUNTA(B1523:G1523)=0,"","STP-"&amp;TEXT(ROW()-4,"0000"))</f>
        <v/>
      </c>
      <c r="B1523" s="78" t="n"/>
      <c r="C1523" s="67">
        <f>IF($B1523="","",IFERROR(INDEX(Task_Tracker!$D$5:$D$1004,MATCH($B1523,Task_Tracker!$A$5:$A$1004,0)),""))</f>
        <v/>
      </c>
      <c r="D1523" s="67">
        <f>IF($B1523="","",IFERROR(INDEX(Task_Tracker!$B$5:$B$1004,MATCH($B1523,Task_Tracker!$A$5:$A$1004,0)),""))</f>
        <v/>
      </c>
      <c r="E1523" s="81" t="n"/>
      <c r="F1523" s="81" t="n"/>
      <c r="G1523" s="78" t="n"/>
      <c r="H1523" s="78" t="n"/>
      <c r="I1523" s="67">
        <f>IF($H1523="","",IFERROR(INDEX(Action_Status_Map!$B$5:$B$11,MATCH($H1523,Action_Status_Map!$A$5:$A$11,0)),""))</f>
        <v/>
      </c>
      <c r="J1523" s="82" t="n"/>
      <c r="K1523" s="82" t="n"/>
      <c r="L1523" s="82" t="n"/>
      <c r="M1523" s="83" t="n"/>
      <c r="N1523" s="83" t="n"/>
      <c r="O1523" s="66">
        <f>IF(OR($M1523="",$N1523=""),"",$N1523-$M1523)</f>
        <v/>
      </c>
      <c r="P1523" s="84">
        <f>IF($J1523="","",IF($L1523&lt;&gt;"",$L1523-$J1523,TODAY()-$J1523))</f>
        <v/>
      </c>
      <c r="Q1523" s="85">
        <f>IF(OR($K1523="",$H1523="Completed",$H1523="Cancelled"),"",IF(AND($K1523&lt;TODAY(),$H1523&lt;&gt;"Completed",$H1523&lt;&gt;"Cancelled"),"Overdue","On Track"))</f>
        <v/>
      </c>
      <c r="R1523" s="81" t="n"/>
      <c r="S1523" s="81">
        <f>IF($B1523="","",IFERROR(INDEX(Task_Tracker!$AA$5:$AA$1004,MATCH($B1523,Task_Tracker!$A$5:$A$1004,0)),""))</f>
        <v/>
      </c>
      <c r="T1523" s="81">
        <f>IF($B1523="","",IFERROR(INDEX(Task_Tracker!$AB$5:$AB$1004,MATCH($B1523,Task_Tracker!$A$5:$A$1004,0)),""))</f>
        <v/>
      </c>
      <c r="U1523" s="78">
        <f>IF($B1523="","",IFERROR(INDEX(Task_Tracker!$F$5:$F$1004,MATCH($B1523,Task_Tracker!$A$5:$A$1004,0)),""))</f>
        <v/>
      </c>
      <c r="V1523" s="78">
        <f>IF($B1523="","",IFERROR(INDEX(Task_Tracker!$I$5:$I$1004,MATCH($B1523,Task_Tracker!$A$5:$A$1004,0)),""))</f>
        <v/>
      </c>
      <c r="W1523" s="81">
        <f>IF(OR($D1523="",$B1523=""),"",$D1523&amp;" | "&amp;$B1523)</f>
        <v/>
      </c>
      <c r="X1523" s="85">
        <f>IF($K1523="","",TEXT($K1523,"yyyy-mm"))</f>
        <v/>
      </c>
      <c r="Y1523" s="81">
        <f>IF(OR($A1523="",$T1523=""),"","Included in Manager_Report")</f>
        <v/>
      </c>
    </row>
    <row r="1524" ht="15" customHeight="1" s="40">
      <c r="A1524" s="65">
        <f>IF(COUNTA(B1524:G1524)=0,"","STP-"&amp;TEXT(ROW()-4,"0000"))</f>
        <v/>
      </c>
      <c r="B1524" s="78" t="n"/>
      <c r="C1524" s="67">
        <f>IF($B1524="","",IFERROR(INDEX(Task_Tracker!$D$5:$D$1004,MATCH($B1524,Task_Tracker!$A$5:$A$1004,0)),""))</f>
        <v/>
      </c>
      <c r="D1524" s="67">
        <f>IF($B1524="","",IFERROR(INDEX(Task_Tracker!$B$5:$B$1004,MATCH($B1524,Task_Tracker!$A$5:$A$1004,0)),""))</f>
        <v/>
      </c>
      <c r="E1524" s="81" t="n"/>
      <c r="F1524" s="81" t="n"/>
      <c r="G1524" s="78" t="n"/>
      <c r="H1524" s="78" t="n"/>
      <c r="I1524" s="67">
        <f>IF($H1524="","",IFERROR(INDEX(Action_Status_Map!$B$5:$B$11,MATCH($H1524,Action_Status_Map!$A$5:$A$11,0)),""))</f>
        <v/>
      </c>
      <c r="J1524" s="82" t="n"/>
      <c r="K1524" s="82" t="n"/>
      <c r="L1524" s="82" t="n"/>
      <c r="M1524" s="83" t="n"/>
      <c r="N1524" s="83" t="n"/>
      <c r="O1524" s="66">
        <f>IF(OR($M1524="",$N1524=""),"",$N1524-$M1524)</f>
        <v/>
      </c>
      <c r="P1524" s="84">
        <f>IF($J1524="","",IF($L1524&lt;&gt;"",$L1524-$J1524,TODAY()-$J1524))</f>
        <v/>
      </c>
      <c r="Q1524" s="85">
        <f>IF(OR($K1524="",$H1524="Completed",$H1524="Cancelled"),"",IF(AND($K1524&lt;TODAY(),$H1524&lt;&gt;"Completed",$H1524&lt;&gt;"Cancelled"),"Overdue","On Track"))</f>
        <v/>
      </c>
      <c r="R1524" s="81" t="n"/>
      <c r="S1524" s="81">
        <f>IF($B1524="","",IFERROR(INDEX(Task_Tracker!$AA$5:$AA$1004,MATCH($B1524,Task_Tracker!$A$5:$A$1004,0)),""))</f>
        <v/>
      </c>
      <c r="T1524" s="81">
        <f>IF($B1524="","",IFERROR(INDEX(Task_Tracker!$AB$5:$AB$1004,MATCH($B1524,Task_Tracker!$A$5:$A$1004,0)),""))</f>
        <v/>
      </c>
      <c r="U1524" s="78">
        <f>IF($B1524="","",IFERROR(INDEX(Task_Tracker!$F$5:$F$1004,MATCH($B1524,Task_Tracker!$A$5:$A$1004,0)),""))</f>
        <v/>
      </c>
      <c r="V1524" s="78">
        <f>IF($B1524="","",IFERROR(INDEX(Task_Tracker!$I$5:$I$1004,MATCH($B1524,Task_Tracker!$A$5:$A$1004,0)),""))</f>
        <v/>
      </c>
      <c r="W1524" s="81">
        <f>IF(OR($D1524="",$B1524=""),"",$D1524&amp;" | "&amp;$B1524)</f>
        <v/>
      </c>
      <c r="X1524" s="85">
        <f>IF($K1524="","",TEXT($K1524,"yyyy-mm"))</f>
        <v/>
      </c>
      <c r="Y1524" s="81">
        <f>IF(OR($A1524="",$T1524=""),"","Included in Manager_Report")</f>
        <v/>
      </c>
    </row>
    <row r="1525" ht="15" customHeight="1" s="40">
      <c r="A1525" s="65">
        <f>IF(COUNTA(B1525:G1525)=0,"","STP-"&amp;TEXT(ROW()-4,"0000"))</f>
        <v/>
      </c>
      <c r="B1525" s="78" t="n"/>
      <c r="C1525" s="67">
        <f>IF($B1525="","",IFERROR(INDEX(Task_Tracker!$D$5:$D$1004,MATCH($B1525,Task_Tracker!$A$5:$A$1004,0)),""))</f>
        <v/>
      </c>
      <c r="D1525" s="67">
        <f>IF($B1525="","",IFERROR(INDEX(Task_Tracker!$B$5:$B$1004,MATCH($B1525,Task_Tracker!$A$5:$A$1004,0)),""))</f>
        <v/>
      </c>
      <c r="E1525" s="81" t="n"/>
      <c r="F1525" s="81" t="n"/>
      <c r="G1525" s="78" t="n"/>
      <c r="H1525" s="78" t="n"/>
      <c r="I1525" s="67">
        <f>IF($H1525="","",IFERROR(INDEX(Action_Status_Map!$B$5:$B$11,MATCH($H1525,Action_Status_Map!$A$5:$A$11,0)),""))</f>
        <v/>
      </c>
      <c r="J1525" s="82" t="n"/>
      <c r="K1525" s="82" t="n"/>
      <c r="L1525" s="82" t="n"/>
      <c r="M1525" s="83" t="n"/>
      <c r="N1525" s="83" t="n"/>
      <c r="O1525" s="66">
        <f>IF(OR($M1525="",$N1525=""),"",$N1525-$M1525)</f>
        <v/>
      </c>
      <c r="P1525" s="84">
        <f>IF($J1525="","",IF($L1525&lt;&gt;"",$L1525-$J1525,TODAY()-$J1525))</f>
        <v/>
      </c>
      <c r="Q1525" s="85">
        <f>IF(OR($K1525="",$H1525="Completed",$H1525="Cancelled"),"",IF(AND($K1525&lt;TODAY(),$H1525&lt;&gt;"Completed",$H1525&lt;&gt;"Cancelled"),"Overdue","On Track"))</f>
        <v/>
      </c>
      <c r="R1525" s="81" t="n"/>
      <c r="S1525" s="81">
        <f>IF($B1525="","",IFERROR(INDEX(Task_Tracker!$AA$5:$AA$1004,MATCH($B1525,Task_Tracker!$A$5:$A$1004,0)),""))</f>
        <v/>
      </c>
      <c r="T1525" s="81">
        <f>IF($B1525="","",IFERROR(INDEX(Task_Tracker!$AB$5:$AB$1004,MATCH($B1525,Task_Tracker!$A$5:$A$1004,0)),""))</f>
        <v/>
      </c>
      <c r="U1525" s="78">
        <f>IF($B1525="","",IFERROR(INDEX(Task_Tracker!$F$5:$F$1004,MATCH($B1525,Task_Tracker!$A$5:$A$1004,0)),""))</f>
        <v/>
      </c>
      <c r="V1525" s="78">
        <f>IF($B1525="","",IFERROR(INDEX(Task_Tracker!$I$5:$I$1004,MATCH($B1525,Task_Tracker!$A$5:$A$1004,0)),""))</f>
        <v/>
      </c>
      <c r="W1525" s="81">
        <f>IF(OR($D1525="",$B1525=""),"",$D1525&amp;" | "&amp;$B1525)</f>
        <v/>
      </c>
      <c r="X1525" s="85">
        <f>IF($K1525="","",TEXT($K1525,"yyyy-mm"))</f>
        <v/>
      </c>
      <c r="Y1525" s="81">
        <f>IF(OR($A1525="",$T1525=""),"","Included in Manager_Report")</f>
        <v/>
      </c>
    </row>
    <row r="1526" ht="15" customHeight="1" s="40">
      <c r="A1526" s="65">
        <f>IF(COUNTA(B1526:G1526)=0,"","STP-"&amp;TEXT(ROW()-4,"0000"))</f>
        <v/>
      </c>
      <c r="B1526" s="78" t="n"/>
      <c r="C1526" s="67">
        <f>IF($B1526="","",IFERROR(INDEX(Task_Tracker!$D$5:$D$1004,MATCH($B1526,Task_Tracker!$A$5:$A$1004,0)),""))</f>
        <v/>
      </c>
      <c r="D1526" s="67">
        <f>IF($B1526="","",IFERROR(INDEX(Task_Tracker!$B$5:$B$1004,MATCH($B1526,Task_Tracker!$A$5:$A$1004,0)),""))</f>
        <v/>
      </c>
      <c r="E1526" s="81" t="n"/>
      <c r="F1526" s="81" t="n"/>
      <c r="G1526" s="78" t="n"/>
      <c r="H1526" s="78" t="n"/>
      <c r="I1526" s="67">
        <f>IF($H1526="","",IFERROR(INDEX(Action_Status_Map!$B$5:$B$11,MATCH($H1526,Action_Status_Map!$A$5:$A$11,0)),""))</f>
        <v/>
      </c>
      <c r="J1526" s="82" t="n"/>
      <c r="K1526" s="82" t="n"/>
      <c r="L1526" s="82" t="n"/>
      <c r="M1526" s="83" t="n"/>
      <c r="N1526" s="83" t="n"/>
      <c r="O1526" s="66">
        <f>IF(OR($M1526="",$N1526=""),"",$N1526-$M1526)</f>
        <v/>
      </c>
      <c r="P1526" s="84">
        <f>IF($J1526="","",IF($L1526&lt;&gt;"",$L1526-$J1526,TODAY()-$J1526))</f>
        <v/>
      </c>
      <c r="Q1526" s="85">
        <f>IF(OR($K1526="",$H1526="Completed",$H1526="Cancelled"),"",IF(AND($K1526&lt;TODAY(),$H1526&lt;&gt;"Completed",$H1526&lt;&gt;"Cancelled"),"Overdue","On Track"))</f>
        <v/>
      </c>
      <c r="R1526" s="81" t="n"/>
      <c r="S1526" s="81">
        <f>IF($B1526="","",IFERROR(INDEX(Task_Tracker!$AA$5:$AA$1004,MATCH($B1526,Task_Tracker!$A$5:$A$1004,0)),""))</f>
        <v/>
      </c>
      <c r="T1526" s="81">
        <f>IF($B1526="","",IFERROR(INDEX(Task_Tracker!$AB$5:$AB$1004,MATCH($B1526,Task_Tracker!$A$5:$A$1004,0)),""))</f>
        <v/>
      </c>
      <c r="U1526" s="78">
        <f>IF($B1526="","",IFERROR(INDEX(Task_Tracker!$F$5:$F$1004,MATCH($B1526,Task_Tracker!$A$5:$A$1004,0)),""))</f>
        <v/>
      </c>
      <c r="V1526" s="78">
        <f>IF($B1526="","",IFERROR(INDEX(Task_Tracker!$I$5:$I$1004,MATCH($B1526,Task_Tracker!$A$5:$A$1004,0)),""))</f>
        <v/>
      </c>
      <c r="W1526" s="81">
        <f>IF(OR($D1526="",$B1526=""),"",$D1526&amp;" | "&amp;$B1526)</f>
        <v/>
      </c>
      <c r="X1526" s="85">
        <f>IF($K1526="","",TEXT($K1526,"yyyy-mm"))</f>
        <v/>
      </c>
      <c r="Y1526" s="81">
        <f>IF(OR($A1526="",$T1526=""),"","Included in Manager_Report")</f>
        <v/>
      </c>
    </row>
    <row r="1527" ht="15" customHeight="1" s="40">
      <c r="A1527" s="65">
        <f>IF(COUNTA(B1527:G1527)=0,"","STP-"&amp;TEXT(ROW()-4,"0000"))</f>
        <v/>
      </c>
      <c r="B1527" s="78" t="n"/>
      <c r="C1527" s="67">
        <f>IF($B1527="","",IFERROR(INDEX(Task_Tracker!$D$5:$D$1004,MATCH($B1527,Task_Tracker!$A$5:$A$1004,0)),""))</f>
        <v/>
      </c>
      <c r="D1527" s="67">
        <f>IF($B1527="","",IFERROR(INDEX(Task_Tracker!$B$5:$B$1004,MATCH($B1527,Task_Tracker!$A$5:$A$1004,0)),""))</f>
        <v/>
      </c>
      <c r="E1527" s="81" t="n"/>
      <c r="F1527" s="81" t="n"/>
      <c r="G1527" s="78" t="n"/>
      <c r="H1527" s="78" t="n"/>
      <c r="I1527" s="67">
        <f>IF($H1527="","",IFERROR(INDEX(Action_Status_Map!$B$5:$B$11,MATCH($H1527,Action_Status_Map!$A$5:$A$11,0)),""))</f>
        <v/>
      </c>
      <c r="J1527" s="82" t="n"/>
      <c r="K1527" s="82" t="n"/>
      <c r="L1527" s="82" t="n"/>
      <c r="M1527" s="83" t="n"/>
      <c r="N1527" s="83" t="n"/>
      <c r="O1527" s="66">
        <f>IF(OR($M1527="",$N1527=""),"",$N1527-$M1527)</f>
        <v/>
      </c>
      <c r="P1527" s="84">
        <f>IF($J1527="","",IF($L1527&lt;&gt;"",$L1527-$J1527,TODAY()-$J1527))</f>
        <v/>
      </c>
      <c r="Q1527" s="85">
        <f>IF(OR($K1527="",$H1527="Completed",$H1527="Cancelled"),"",IF(AND($K1527&lt;TODAY(),$H1527&lt;&gt;"Completed",$H1527&lt;&gt;"Cancelled"),"Overdue","On Track"))</f>
        <v/>
      </c>
      <c r="R1527" s="81" t="n"/>
      <c r="S1527" s="81">
        <f>IF($B1527="","",IFERROR(INDEX(Task_Tracker!$AA$5:$AA$1004,MATCH($B1527,Task_Tracker!$A$5:$A$1004,0)),""))</f>
        <v/>
      </c>
      <c r="T1527" s="81">
        <f>IF($B1527="","",IFERROR(INDEX(Task_Tracker!$AB$5:$AB$1004,MATCH($B1527,Task_Tracker!$A$5:$A$1004,0)),""))</f>
        <v/>
      </c>
      <c r="U1527" s="78">
        <f>IF($B1527="","",IFERROR(INDEX(Task_Tracker!$F$5:$F$1004,MATCH($B1527,Task_Tracker!$A$5:$A$1004,0)),""))</f>
        <v/>
      </c>
      <c r="V1527" s="78">
        <f>IF($B1527="","",IFERROR(INDEX(Task_Tracker!$I$5:$I$1004,MATCH($B1527,Task_Tracker!$A$5:$A$1004,0)),""))</f>
        <v/>
      </c>
      <c r="W1527" s="81">
        <f>IF(OR($D1527="",$B1527=""),"",$D1527&amp;" | "&amp;$B1527)</f>
        <v/>
      </c>
      <c r="X1527" s="85">
        <f>IF($K1527="","",TEXT($K1527,"yyyy-mm"))</f>
        <v/>
      </c>
      <c r="Y1527" s="81">
        <f>IF(OR($A1527="",$T1527=""),"","Included in Manager_Report")</f>
        <v/>
      </c>
    </row>
    <row r="1528" ht="15" customHeight="1" s="40">
      <c r="A1528" s="65">
        <f>IF(COUNTA(B1528:G1528)=0,"","STP-"&amp;TEXT(ROW()-4,"0000"))</f>
        <v/>
      </c>
      <c r="B1528" s="78" t="n"/>
      <c r="C1528" s="67">
        <f>IF($B1528="","",IFERROR(INDEX(Task_Tracker!$D$5:$D$1004,MATCH($B1528,Task_Tracker!$A$5:$A$1004,0)),""))</f>
        <v/>
      </c>
      <c r="D1528" s="67">
        <f>IF($B1528="","",IFERROR(INDEX(Task_Tracker!$B$5:$B$1004,MATCH($B1528,Task_Tracker!$A$5:$A$1004,0)),""))</f>
        <v/>
      </c>
      <c r="E1528" s="81" t="n"/>
      <c r="F1528" s="81" t="n"/>
      <c r="G1528" s="78" t="n"/>
      <c r="H1528" s="78" t="n"/>
      <c r="I1528" s="67">
        <f>IF($H1528="","",IFERROR(INDEX(Action_Status_Map!$B$5:$B$11,MATCH($H1528,Action_Status_Map!$A$5:$A$11,0)),""))</f>
        <v/>
      </c>
      <c r="J1528" s="82" t="n"/>
      <c r="K1528" s="82" t="n"/>
      <c r="L1528" s="82" t="n"/>
      <c r="M1528" s="83" t="n"/>
      <c r="N1528" s="83" t="n"/>
      <c r="O1528" s="66">
        <f>IF(OR($M1528="",$N1528=""),"",$N1528-$M1528)</f>
        <v/>
      </c>
      <c r="P1528" s="84">
        <f>IF($J1528="","",IF($L1528&lt;&gt;"",$L1528-$J1528,TODAY()-$J1528))</f>
        <v/>
      </c>
      <c r="Q1528" s="85">
        <f>IF(OR($K1528="",$H1528="Completed",$H1528="Cancelled"),"",IF(AND($K1528&lt;TODAY(),$H1528&lt;&gt;"Completed",$H1528&lt;&gt;"Cancelled"),"Overdue","On Track"))</f>
        <v/>
      </c>
      <c r="R1528" s="81" t="n"/>
      <c r="S1528" s="81">
        <f>IF($B1528="","",IFERROR(INDEX(Task_Tracker!$AA$5:$AA$1004,MATCH($B1528,Task_Tracker!$A$5:$A$1004,0)),""))</f>
        <v/>
      </c>
      <c r="T1528" s="81">
        <f>IF($B1528="","",IFERROR(INDEX(Task_Tracker!$AB$5:$AB$1004,MATCH($B1528,Task_Tracker!$A$5:$A$1004,0)),""))</f>
        <v/>
      </c>
      <c r="U1528" s="78">
        <f>IF($B1528="","",IFERROR(INDEX(Task_Tracker!$F$5:$F$1004,MATCH($B1528,Task_Tracker!$A$5:$A$1004,0)),""))</f>
        <v/>
      </c>
      <c r="V1528" s="78">
        <f>IF($B1528="","",IFERROR(INDEX(Task_Tracker!$I$5:$I$1004,MATCH($B1528,Task_Tracker!$A$5:$A$1004,0)),""))</f>
        <v/>
      </c>
      <c r="W1528" s="81">
        <f>IF(OR($D1528="",$B1528=""),"",$D1528&amp;" | "&amp;$B1528)</f>
        <v/>
      </c>
      <c r="X1528" s="85">
        <f>IF($K1528="","",TEXT($K1528,"yyyy-mm"))</f>
        <v/>
      </c>
      <c r="Y1528" s="81">
        <f>IF(OR($A1528="",$T1528=""),"","Included in Manager_Report")</f>
        <v/>
      </c>
    </row>
    <row r="1529" ht="15" customHeight="1" s="40">
      <c r="A1529" s="65">
        <f>IF(COUNTA(B1529:G1529)=0,"","STP-"&amp;TEXT(ROW()-4,"0000"))</f>
        <v/>
      </c>
      <c r="B1529" s="78" t="n"/>
      <c r="C1529" s="67">
        <f>IF($B1529="","",IFERROR(INDEX(Task_Tracker!$D$5:$D$1004,MATCH($B1529,Task_Tracker!$A$5:$A$1004,0)),""))</f>
        <v/>
      </c>
      <c r="D1529" s="67">
        <f>IF($B1529="","",IFERROR(INDEX(Task_Tracker!$B$5:$B$1004,MATCH($B1529,Task_Tracker!$A$5:$A$1004,0)),""))</f>
        <v/>
      </c>
      <c r="E1529" s="81" t="n"/>
      <c r="F1529" s="81" t="n"/>
      <c r="G1529" s="78" t="n"/>
      <c r="H1529" s="78" t="n"/>
      <c r="I1529" s="67">
        <f>IF($H1529="","",IFERROR(INDEX(Action_Status_Map!$B$5:$B$11,MATCH($H1529,Action_Status_Map!$A$5:$A$11,0)),""))</f>
        <v/>
      </c>
      <c r="J1529" s="82" t="n"/>
      <c r="K1529" s="82" t="n"/>
      <c r="L1529" s="82" t="n"/>
      <c r="M1529" s="83" t="n"/>
      <c r="N1529" s="83" t="n"/>
      <c r="O1529" s="66">
        <f>IF(OR($M1529="",$N1529=""),"",$N1529-$M1529)</f>
        <v/>
      </c>
      <c r="P1529" s="84">
        <f>IF($J1529="","",IF($L1529&lt;&gt;"",$L1529-$J1529,TODAY()-$J1529))</f>
        <v/>
      </c>
      <c r="Q1529" s="85">
        <f>IF(OR($K1529="",$H1529="Completed",$H1529="Cancelled"),"",IF(AND($K1529&lt;TODAY(),$H1529&lt;&gt;"Completed",$H1529&lt;&gt;"Cancelled"),"Overdue","On Track"))</f>
        <v/>
      </c>
      <c r="R1529" s="81" t="n"/>
      <c r="S1529" s="81">
        <f>IF($B1529="","",IFERROR(INDEX(Task_Tracker!$AA$5:$AA$1004,MATCH($B1529,Task_Tracker!$A$5:$A$1004,0)),""))</f>
        <v/>
      </c>
      <c r="T1529" s="81">
        <f>IF($B1529="","",IFERROR(INDEX(Task_Tracker!$AB$5:$AB$1004,MATCH($B1529,Task_Tracker!$A$5:$A$1004,0)),""))</f>
        <v/>
      </c>
      <c r="U1529" s="78">
        <f>IF($B1529="","",IFERROR(INDEX(Task_Tracker!$F$5:$F$1004,MATCH($B1529,Task_Tracker!$A$5:$A$1004,0)),""))</f>
        <v/>
      </c>
      <c r="V1529" s="78">
        <f>IF($B1529="","",IFERROR(INDEX(Task_Tracker!$I$5:$I$1004,MATCH($B1529,Task_Tracker!$A$5:$A$1004,0)),""))</f>
        <v/>
      </c>
      <c r="W1529" s="81">
        <f>IF(OR($D1529="",$B1529=""),"",$D1529&amp;" | "&amp;$B1529)</f>
        <v/>
      </c>
      <c r="X1529" s="85">
        <f>IF($K1529="","",TEXT($K1529,"yyyy-mm"))</f>
        <v/>
      </c>
      <c r="Y1529" s="81">
        <f>IF(OR($A1529="",$T1529=""),"","Included in Manager_Report")</f>
        <v/>
      </c>
    </row>
    <row r="1530" ht="15" customHeight="1" s="40">
      <c r="A1530" s="65">
        <f>IF(COUNTA(B1530:G1530)=0,"","STP-"&amp;TEXT(ROW()-4,"0000"))</f>
        <v/>
      </c>
      <c r="B1530" s="78" t="n"/>
      <c r="C1530" s="67">
        <f>IF($B1530="","",IFERROR(INDEX(Task_Tracker!$D$5:$D$1004,MATCH($B1530,Task_Tracker!$A$5:$A$1004,0)),""))</f>
        <v/>
      </c>
      <c r="D1530" s="67">
        <f>IF($B1530="","",IFERROR(INDEX(Task_Tracker!$B$5:$B$1004,MATCH($B1530,Task_Tracker!$A$5:$A$1004,0)),""))</f>
        <v/>
      </c>
      <c r="E1530" s="81" t="n"/>
      <c r="F1530" s="81" t="n"/>
      <c r="G1530" s="78" t="n"/>
      <c r="H1530" s="78" t="n"/>
      <c r="I1530" s="67">
        <f>IF($H1530="","",IFERROR(INDEX(Action_Status_Map!$B$5:$B$11,MATCH($H1530,Action_Status_Map!$A$5:$A$11,0)),""))</f>
        <v/>
      </c>
      <c r="J1530" s="82" t="n"/>
      <c r="K1530" s="82" t="n"/>
      <c r="L1530" s="82" t="n"/>
      <c r="M1530" s="83" t="n"/>
      <c r="N1530" s="83" t="n"/>
      <c r="O1530" s="66">
        <f>IF(OR($M1530="",$N1530=""),"",$N1530-$M1530)</f>
        <v/>
      </c>
      <c r="P1530" s="84">
        <f>IF($J1530="","",IF($L1530&lt;&gt;"",$L1530-$J1530,TODAY()-$J1530))</f>
        <v/>
      </c>
      <c r="Q1530" s="85">
        <f>IF(OR($K1530="",$H1530="Completed",$H1530="Cancelled"),"",IF(AND($K1530&lt;TODAY(),$H1530&lt;&gt;"Completed",$H1530&lt;&gt;"Cancelled"),"Overdue","On Track"))</f>
        <v/>
      </c>
      <c r="R1530" s="81" t="n"/>
      <c r="S1530" s="81">
        <f>IF($B1530="","",IFERROR(INDEX(Task_Tracker!$AA$5:$AA$1004,MATCH($B1530,Task_Tracker!$A$5:$A$1004,0)),""))</f>
        <v/>
      </c>
      <c r="T1530" s="81">
        <f>IF($B1530="","",IFERROR(INDEX(Task_Tracker!$AB$5:$AB$1004,MATCH($B1530,Task_Tracker!$A$5:$A$1004,0)),""))</f>
        <v/>
      </c>
      <c r="U1530" s="78">
        <f>IF($B1530="","",IFERROR(INDEX(Task_Tracker!$F$5:$F$1004,MATCH($B1530,Task_Tracker!$A$5:$A$1004,0)),""))</f>
        <v/>
      </c>
      <c r="V1530" s="78">
        <f>IF($B1530="","",IFERROR(INDEX(Task_Tracker!$I$5:$I$1004,MATCH($B1530,Task_Tracker!$A$5:$A$1004,0)),""))</f>
        <v/>
      </c>
      <c r="W1530" s="81">
        <f>IF(OR($D1530="",$B1530=""),"",$D1530&amp;" | "&amp;$B1530)</f>
        <v/>
      </c>
      <c r="X1530" s="85">
        <f>IF($K1530="","",TEXT($K1530,"yyyy-mm"))</f>
        <v/>
      </c>
      <c r="Y1530" s="81">
        <f>IF(OR($A1530="",$T1530=""),"","Included in Manager_Report")</f>
        <v/>
      </c>
    </row>
    <row r="1531" ht="15" customHeight="1" s="40">
      <c r="A1531" s="65">
        <f>IF(COUNTA(B1531:G1531)=0,"","STP-"&amp;TEXT(ROW()-4,"0000"))</f>
        <v/>
      </c>
      <c r="B1531" s="78" t="n"/>
      <c r="C1531" s="67">
        <f>IF($B1531="","",IFERROR(INDEX(Task_Tracker!$D$5:$D$1004,MATCH($B1531,Task_Tracker!$A$5:$A$1004,0)),""))</f>
        <v/>
      </c>
      <c r="D1531" s="67">
        <f>IF($B1531="","",IFERROR(INDEX(Task_Tracker!$B$5:$B$1004,MATCH($B1531,Task_Tracker!$A$5:$A$1004,0)),""))</f>
        <v/>
      </c>
      <c r="E1531" s="81" t="n"/>
      <c r="F1531" s="81" t="n"/>
      <c r="G1531" s="78" t="n"/>
      <c r="H1531" s="78" t="n"/>
      <c r="I1531" s="67">
        <f>IF($H1531="","",IFERROR(INDEX(Action_Status_Map!$B$5:$B$11,MATCH($H1531,Action_Status_Map!$A$5:$A$11,0)),""))</f>
        <v/>
      </c>
      <c r="J1531" s="82" t="n"/>
      <c r="K1531" s="82" t="n"/>
      <c r="L1531" s="82" t="n"/>
      <c r="M1531" s="83" t="n"/>
      <c r="N1531" s="83" t="n"/>
      <c r="O1531" s="66">
        <f>IF(OR($M1531="",$N1531=""),"",$N1531-$M1531)</f>
        <v/>
      </c>
      <c r="P1531" s="84">
        <f>IF($J1531="","",IF($L1531&lt;&gt;"",$L1531-$J1531,TODAY()-$J1531))</f>
        <v/>
      </c>
      <c r="Q1531" s="85">
        <f>IF(OR($K1531="",$H1531="Completed",$H1531="Cancelled"),"",IF(AND($K1531&lt;TODAY(),$H1531&lt;&gt;"Completed",$H1531&lt;&gt;"Cancelled"),"Overdue","On Track"))</f>
        <v/>
      </c>
      <c r="R1531" s="81" t="n"/>
      <c r="S1531" s="81">
        <f>IF($B1531="","",IFERROR(INDEX(Task_Tracker!$AA$5:$AA$1004,MATCH($B1531,Task_Tracker!$A$5:$A$1004,0)),""))</f>
        <v/>
      </c>
      <c r="T1531" s="81">
        <f>IF($B1531="","",IFERROR(INDEX(Task_Tracker!$AB$5:$AB$1004,MATCH($B1531,Task_Tracker!$A$5:$A$1004,0)),""))</f>
        <v/>
      </c>
      <c r="U1531" s="78">
        <f>IF($B1531="","",IFERROR(INDEX(Task_Tracker!$F$5:$F$1004,MATCH($B1531,Task_Tracker!$A$5:$A$1004,0)),""))</f>
        <v/>
      </c>
      <c r="V1531" s="78">
        <f>IF($B1531="","",IFERROR(INDEX(Task_Tracker!$I$5:$I$1004,MATCH($B1531,Task_Tracker!$A$5:$A$1004,0)),""))</f>
        <v/>
      </c>
      <c r="W1531" s="81">
        <f>IF(OR($D1531="",$B1531=""),"",$D1531&amp;" | "&amp;$B1531)</f>
        <v/>
      </c>
      <c r="X1531" s="85">
        <f>IF($K1531="","",TEXT($K1531,"yyyy-mm"))</f>
        <v/>
      </c>
      <c r="Y1531" s="81">
        <f>IF(OR($A1531="",$T1531=""),"","Included in Manager_Report")</f>
        <v/>
      </c>
    </row>
    <row r="1532" ht="15" customHeight="1" s="40">
      <c r="A1532" s="65">
        <f>IF(COUNTA(B1532:G1532)=0,"","STP-"&amp;TEXT(ROW()-4,"0000"))</f>
        <v/>
      </c>
      <c r="B1532" s="78" t="n"/>
      <c r="C1532" s="67">
        <f>IF($B1532="","",IFERROR(INDEX(Task_Tracker!$D$5:$D$1004,MATCH($B1532,Task_Tracker!$A$5:$A$1004,0)),""))</f>
        <v/>
      </c>
      <c r="D1532" s="67">
        <f>IF($B1532="","",IFERROR(INDEX(Task_Tracker!$B$5:$B$1004,MATCH($B1532,Task_Tracker!$A$5:$A$1004,0)),""))</f>
        <v/>
      </c>
      <c r="E1532" s="81" t="n"/>
      <c r="F1532" s="81" t="n"/>
      <c r="G1532" s="78" t="n"/>
      <c r="H1532" s="78" t="n"/>
      <c r="I1532" s="67">
        <f>IF($H1532="","",IFERROR(INDEX(Action_Status_Map!$B$5:$B$11,MATCH($H1532,Action_Status_Map!$A$5:$A$11,0)),""))</f>
        <v/>
      </c>
      <c r="J1532" s="82" t="n"/>
      <c r="K1532" s="82" t="n"/>
      <c r="L1532" s="82" t="n"/>
      <c r="M1532" s="83" t="n"/>
      <c r="N1532" s="83" t="n"/>
      <c r="O1532" s="66">
        <f>IF(OR($M1532="",$N1532=""),"",$N1532-$M1532)</f>
        <v/>
      </c>
      <c r="P1532" s="84">
        <f>IF($J1532="","",IF($L1532&lt;&gt;"",$L1532-$J1532,TODAY()-$J1532))</f>
        <v/>
      </c>
      <c r="Q1532" s="85">
        <f>IF(OR($K1532="",$H1532="Completed",$H1532="Cancelled"),"",IF(AND($K1532&lt;TODAY(),$H1532&lt;&gt;"Completed",$H1532&lt;&gt;"Cancelled"),"Overdue","On Track"))</f>
        <v/>
      </c>
      <c r="R1532" s="81" t="n"/>
      <c r="S1532" s="81">
        <f>IF($B1532="","",IFERROR(INDEX(Task_Tracker!$AA$5:$AA$1004,MATCH($B1532,Task_Tracker!$A$5:$A$1004,0)),""))</f>
        <v/>
      </c>
      <c r="T1532" s="81">
        <f>IF($B1532="","",IFERROR(INDEX(Task_Tracker!$AB$5:$AB$1004,MATCH($B1532,Task_Tracker!$A$5:$A$1004,0)),""))</f>
        <v/>
      </c>
      <c r="U1532" s="78">
        <f>IF($B1532="","",IFERROR(INDEX(Task_Tracker!$F$5:$F$1004,MATCH($B1532,Task_Tracker!$A$5:$A$1004,0)),""))</f>
        <v/>
      </c>
      <c r="V1532" s="78">
        <f>IF($B1532="","",IFERROR(INDEX(Task_Tracker!$I$5:$I$1004,MATCH($B1532,Task_Tracker!$A$5:$A$1004,0)),""))</f>
        <v/>
      </c>
      <c r="W1532" s="81">
        <f>IF(OR($D1532="",$B1532=""),"",$D1532&amp;" | "&amp;$B1532)</f>
        <v/>
      </c>
      <c r="X1532" s="85">
        <f>IF($K1532="","",TEXT($K1532,"yyyy-mm"))</f>
        <v/>
      </c>
      <c r="Y1532" s="81">
        <f>IF(OR($A1532="",$T1532=""),"","Included in Manager_Report")</f>
        <v/>
      </c>
    </row>
    <row r="1533" ht="15" customHeight="1" s="40">
      <c r="A1533" s="65">
        <f>IF(COUNTA(B1533:G1533)=0,"","STP-"&amp;TEXT(ROW()-4,"0000"))</f>
        <v/>
      </c>
      <c r="B1533" s="78" t="n"/>
      <c r="C1533" s="67">
        <f>IF($B1533="","",IFERROR(INDEX(Task_Tracker!$D$5:$D$1004,MATCH($B1533,Task_Tracker!$A$5:$A$1004,0)),""))</f>
        <v/>
      </c>
      <c r="D1533" s="67">
        <f>IF($B1533="","",IFERROR(INDEX(Task_Tracker!$B$5:$B$1004,MATCH($B1533,Task_Tracker!$A$5:$A$1004,0)),""))</f>
        <v/>
      </c>
      <c r="E1533" s="81" t="n"/>
      <c r="F1533" s="81" t="n"/>
      <c r="G1533" s="78" t="n"/>
      <c r="H1533" s="78" t="n"/>
      <c r="I1533" s="67">
        <f>IF($H1533="","",IFERROR(INDEX(Action_Status_Map!$B$5:$B$11,MATCH($H1533,Action_Status_Map!$A$5:$A$11,0)),""))</f>
        <v/>
      </c>
      <c r="J1533" s="82" t="n"/>
      <c r="K1533" s="82" t="n"/>
      <c r="L1533" s="82" t="n"/>
      <c r="M1533" s="83" t="n"/>
      <c r="N1533" s="83" t="n"/>
      <c r="O1533" s="66">
        <f>IF(OR($M1533="",$N1533=""),"",$N1533-$M1533)</f>
        <v/>
      </c>
      <c r="P1533" s="84">
        <f>IF($J1533="","",IF($L1533&lt;&gt;"",$L1533-$J1533,TODAY()-$J1533))</f>
        <v/>
      </c>
      <c r="Q1533" s="85">
        <f>IF(OR($K1533="",$H1533="Completed",$H1533="Cancelled"),"",IF(AND($K1533&lt;TODAY(),$H1533&lt;&gt;"Completed",$H1533&lt;&gt;"Cancelled"),"Overdue","On Track"))</f>
        <v/>
      </c>
      <c r="R1533" s="81" t="n"/>
      <c r="S1533" s="81">
        <f>IF($B1533="","",IFERROR(INDEX(Task_Tracker!$AA$5:$AA$1004,MATCH($B1533,Task_Tracker!$A$5:$A$1004,0)),""))</f>
        <v/>
      </c>
      <c r="T1533" s="81">
        <f>IF($B1533="","",IFERROR(INDEX(Task_Tracker!$AB$5:$AB$1004,MATCH($B1533,Task_Tracker!$A$5:$A$1004,0)),""))</f>
        <v/>
      </c>
      <c r="U1533" s="78">
        <f>IF($B1533="","",IFERROR(INDEX(Task_Tracker!$F$5:$F$1004,MATCH($B1533,Task_Tracker!$A$5:$A$1004,0)),""))</f>
        <v/>
      </c>
      <c r="V1533" s="78">
        <f>IF($B1533="","",IFERROR(INDEX(Task_Tracker!$I$5:$I$1004,MATCH($B1533,Task_Tracker!$A$5:$A$1004,0)),""))</f>
        <v/>
      </c>
      <c r="W1533" s="81">
        <f>IF(OR($D1533="",$B1533=""),"",$D1533&amp;" | "&amp;$B1533)</f>
        <v/>
      </c>
      <c r="X1533" s="85">
        <f>IF($K1533="","",TEXT($K1533,"yyyy-mm"))</f>
        <v/>
      </c>
      <c r="Y1533" s="81">
        <f>IF(OR($A1533="",$T1533=""),"","Included in Manager_Report")</f>
        <v/>
      </c>
    </row>
    <row r="1534" ht="15" customHeight="1" s="40">
      <c r="A1534" s="65">
        <f>IF(COUNTA(B1534:G1534)=0,"","STP-"&amp;TEXT(ROW()-4,"0000"))</f>
        <v/>
      </c>
      <c r="B1534" s="78" t="n"/>
      <c r="C1534" s="67">
        <f>IF($B1534="","",IFERROR(INDEX(Task_Tracker!$D$5:$D$1004,MATCH($B1534,Task_Tracker!$A$5:$A$1004,0)),""))</f>
        <v/>
      </c>
      <c r="D1534" s="67">
        <f>IF($B1534="","",IFERROR(INDEX(Task_Tracker!$B$5:$B$1004,MATCH($B1534,Task_Tracker!$A$5:$A$1004,0)),""))</f>
        <v/>
      </c>
      <c r="E1534" s="81" t="n"/>
      <c r="F1534" s="81" t="n"/>
      <c r="G1534" s="78" t="n"/>
      <c r="H1534" s="78" t="n"/>
      <c r="I1534" s="67">
        <f>IF($H1534="","",IFERROR(INDEX(Action_Status_Map!$B$5:$B$11,MATCH($H1534,Action_Status_Map!$A$5:$A$11,0)),""))</f>
        <v/>
      </c>
      <c r="J1534" s="82" t="n"/>
      <c r="K1534" s="82" t="n"/>
      <c r="L1534" s="82" t="n"/>
      <c r="M1534" s="83" t="n"/>
      <c r="N1534" s="83" t="n"/>
      <c r="O1534" s="66">
        <f>IF(OR($M1534="",$N1534=""),"",$N1534-$M1534)</f>
        <v/>
      </c>
      <c r="P1534" s="84">
        <f>IF($J1534="","",IF($L1534&lt;&gt;"",$L1534-$J1534,TODAY()-$J1534))</f>
        <v/>
      </c>
      <c r="Q1534" s="85">
        <f>IF(OR($K1534="",$H1534="Completed",$H1534="Cancelled"),"",IF(AND($K1534&lt;TODAY(),$H1534&lt;&gt;"Completed",$H1534&lt;&gt;"Cancelled"),"Overdue","On Track"))</f>
        <v/>
      </c>
      <c r="R1534" s="81" t="n"/>
      <c r="S1534" s="81">
        <f>IF($B1534="","",IFERROR(INDEX(Task_Tracker!$AA$5:$AA$1004,MATCH($B1534,Task_Tracker!$A$5:$A$1004,0)),""))</f>
        <v/>
      </c>
      <c r="T1534" s="81">
        <f>IF($B1534="","",IFERROR(INDEX(Task_Tracker!$AB$5:$AB$1004,MATCH($B1534,Task_Tracker!$A$5:$A$1004,0)),""))</f>
        <v/>
      </c>
      <c r="U1534" s="78">
        <f>IF($B1534="","",IFERROR(INDEX(Task_Tracker!$F$5:$F$1004,MATCH($B1534,Task_Tracker!$A$5:$A$1004,0)),""))</f>
        <v/>
      </c>
      <c r="V1534" s="78">
        <f>IF($B1534="","",IFERROR(INDEX(Task_Tracker!$I$5:$I$1004,MATCH($B1534,Task_Tracker!$A$5:$A$1004,0)),""))</f>
        <v/>
      </c>
      <c r="W1534" s="81">
        <f>IF(OR($D1534="",$B1534=""),"",$D1534&amp;" | "&amp;$B1534)</f>
        <v/>
      </c>
      <c r="X1534" s="85">
        <f>IF($K1534="","",TEXT($K1534,"yyyy-mm"))</f>
        <v/>
      </c>
      <c r="Y1534" s="81">
        <f>IF(OR($A1534="",$T1534=""),"","Included in Manager_Report")</f>
        <v/>
      </c>
    </row>
    <row r="1535" ht="15" customHeight="1" s="40">
      <c r="A1535" s="65">
        <f>IF(COUNTA(B1535:G1535)=0,"","STP-"&amp;TEXT(ROW()-4,"0000"))</f>
        <v/>
      </c>
      <c r="B1535" s="78" t="n"/>
      <c r="C1535" s="67">
        <f>IF($B1535="","",IFERROR(INDEX(Task_Tracker!$D$5:$D$1004,MATCH($B1535,Task_Tracker!$A$5:$A$1004,0)),""))</f>
        <v/>
      </c>
      <c r="D1535" s="67">
        <f>IF($B1535="","",IFERROR(INDEX(Task_Tracker!$B$5:$B$1004,MATCH($B1535,Task_Tracker!$A$5:$A$1004,0)),""))</f>
        <v/>
      </c>
      <c r="E1535" s="81" t="n"/>
      <c r="F1535" s="81" t="n"/>
      <c r="G1535" s="78" t="n"/>
      <c r="H1535" s="78" t="n"/>
      <c r="I1535" s="67">
        <f>IF($H1535="","",IFERROR(INDEX(Action_Status_Map!$B$5:$B$11,MATCH($H1535,Action_Status_Map!$A$5:$A$11,0)),""))</f>
        <v/>
      </c>
      <c r="J1535" s="82" t="n"/>
      <c r="K1535" s="82" t="n"/>
      <c r="L1535" s="82" t="n"/>
      <c r="M1535" s="83" t="n"/>
      <c r="N1535" s="83" t="n"/>
      <c r="O1535" s="66">
        <f>IF(OR($M1535="",$N1535=""),"",$N1535-$M1535)</f>
        <v/>
      </c>
      <c r="P1535" s="84">
        <f>IF($J1535="","",IF($L1535&lt;&gt;"",$L1535-$J1535,TODAY()-$J1535))</f>
        <v/>
      </c>
      <c r="Q1535" s="85">
        <f>IF(OR($K1535="",$H1535="Completed",$H1535="Cancelled"),"",IF(AND($K1535&lt;TODAY(),$H1535&lt;&gt;"Completed",$H1535&lt;&gt;"Cancelled"),"Overdue","On Track"))</f>
        <v/>
      </c>
      <c r="R1535" s="81" t="n"/>
      <c r="S1535" s="81">
        <f>IF($B1535="","",IFERROR(INDEX(Task_Tracker!$AA$5:$AA$1004,MATCH($B1535,Task_Tracker!$A$5:$A$1004,0)),""))</f>
        <v/>
      </c>
      <c r="T1535" s="81">
        <f>IF($B1535="","",IFERROR(INDEX(Task_Tracker!$AB$5:$AB$1004,MATCH($B1535,Task_Tracker!$A$5:$A$1004,0)),""))</f>
        <v/>
      </c>
      <c r="U1535" s="78">
        <f>IF($B1535="","",IFERROR(INDEX(Task_Tracker!$F$5:$F$1004,MATCH($B1535,Task_Tracker!$A$5:$A$1004,0)),""))</f>
        <v/>
      </c>
      <c r="V1535" s="78">
        <f>IF($B1535="","",IFERROR(INDEX(Task_Tracker!$I$5:$I$1004,MATCH($B1535,Task_Tracker!$A$5:$A$1004,0)),""))</f>
        <v/>
      </c>
      <c r="W1535" s="81">
        <f>IF(OR($D1535="",$B1535=""),"",$D1535&amp;" | "&amp;$B1535)</f>
        <v/>
      </c>
      <c r="X1535" s="85">
        <f>IF($K1535="","",TEXT($K1535,"yyyy-mm"))</f>
        <v/>
      </c>
      <c r="Y1535" s="81">
        <f>IF(OR($A1535="",$T1535=""),"","Included in Manager_Report")</f>
        <v/>
      </c>
    </row>
    <row r="1536" ht="15" customHeight="1" s="40">
      <c r="A1536" s="65">
        <f>IF(COUNTA(B1536:G1536)=0,"","STP-"&amp;TEXT(ROW()-4,"0000"))</f>
        <v/>
      </c>
      <c r="B1536" s="78" t="n"/>
      <c r="C1536" s="67">
        <f>IF($B1536="","",IFERROR(INDEX(Task_Tracker!$D$5:$D$1004,MATCH($B1536,Task_Tracker!$A$5:$A$1004,0)),""))</f>
        <v/>
      </c>
      <c r="D1536" s="67">
        <f>IF($B1536="","",IFERROR(INDEX(Task_Tracker!$B$5:$B$1004,MATCH($B1536,Task_Tracker!$A$5:$A$1004,0)),""))</f>
        <v/>
      </c>
      <c r="E1536" s="81" t="n"/>
      <c r="F1536" s="81" t="n"/>
      <c r="G1536" s="78" t="n"/>
      <c r="H1536" s="78" t="n"/>
      <c r="I1536" s="67">
        <f>IF($H1536="","",IFERROR(INDEX(Action_Status_Map!$B$5:$B$11,MATCH($H1536,Action_Status_Map!$A$5:$A$11,0)),""))</f>
        <v/>
      </c>
      <c r="J1536" s="82" t="n"/>
      <c r="K1536" s="82" t="n"/>
      <c r="L1536" s="82" t="n"/>
      <c r="M1536" s="83" t="n"/>
      <c r="N1536" s="83" t="n"/>
      <c r="O1536" s="66">
        <f>IF(OR($M1536="",$N1536=""),"",$N1536-$M1536)</f>
        <v/>
      </c>
      <c r="P1536" s="84">
        <f>IF($J1536="","",IF($L1536&lt;&gt;"",$L1536-$J1536,TODAY()-$J1536))</f>
        <v/>
      </c>
      <c r="Q1536" s="85">
        <f>IF(OR($K1536="",$H1536="Completed",$H1536="Cancelled"),"",IF(AND($K1536&lt;TODAY(),$H1536&lt;&gt;"Completed",$H1536&lt;&gt;"Cancelled"),"Overdue","On Track"))</f>
        <v/>
      </c>
      <c r="R1536" s="81" t="n"/>
      <c r="S1536" s="81">
        <f>IF($B1536="","",IFERROR(INDEX(Task_Tracker!$AA$5:$AA$1004,MATCH($B1536,Task_Tracker!$A$5:$A$1004,0)),""))</f>
        <v/>
      </c>
      <c r="T1536" s="81">
        <f>IF($B1536="","",IFERROR(INDEX(Task_Tracker!$AB$5:$AB$1004,MATCH($B1536,Task_Tracker!$A$5:$A$1004,0)),""))</f>
        <v/>
      </c>
      <c r="U1536" s="78">
        <f>IF($B1536="","",IFERROR(INDEX(Task_Tracker!$F$5:$F$1004,MATCH($B1536,Task_Tracker!$A$5:$A$1004,0)),""))</f>
        <v/>
      </c>
      <c r="V1536" s="78">
        <f>IF($B1536="","",IFERROR(INDEX(Task_Tracker!$I$5:$I$1004,MATCH($B1536,Task_Tracker!$A$5:$A$1004,0)),""))</f>
        <v/>
      </c>
      <c r="W1536" s="81">
        <f>IF(OR($D1536="",$B1536=""),"",$D1536&amp;" | "&amp;$B1536)</f>
        <v/>
      </c>
      <c r="X1536" s="85">
        <f>IF($K1536="","",TEXT($K1536,"yyyy-mm"))</f>
        <v/>
      </c>
      <c r="Y1536" s="81">
        <f>IF(OR($A1536="",$T1536=""),"","Included in Manager_Report")</f>
        <v/>
      </c>
    </row>
    <row r="1537" ht="15" customHeight="1" s="40">
      <c r="A1537" s="65">
        <f>IF(COUNTA(B1537:G1537)=0,"","STP-"&amp;TEXT(ROW()-4,"0000"))</f>
        <v/>
      </c>
      <c r="B1537" s="78" t="n"/>
      <c r="C1537" s="67">
        <f>IF($B1537="","",IFERROR(INDEX(Task_Tracker!$D$5:$D$1004,MATCH($B1537,Task_Tracker!$A$5:$A$1004,0)),""))</f>
        <v/>
      </c>
      <c r="D1537" s="67">
        <f>IF($B1537="","",IFERROR(INDEX(Task_Tracker!$B$5:$B$1004,MATCH($B1537,Task_Tracker!$A$5:$A$1004,0)),""))</f>
        <v/>
      </c>
      <c r="E1537" s="81" t="n"/>
      <c r="F1537" s="81" t="n"/>
      <c r="G1537" s="78" t="n"/>
      <c r="H1537" s="78" t="n"/>
      <c r="I1537" s="67">
        <f>IF($H1537="","",IFERROR(INDEX(Action_Status_Map!$B$5:$B$11,MATCH($H1537,Action_Status_Map!$A$5:$A$11,0)),""))</f>
        <v/>
      </c>
      <c r="J1537" s="82" t="n"/>
      <c r="K1537" s="82" t="n"/>
      <c r="L1537" s="82" t="n"/>
      <c r="M1537" s="83" t="n"/>
      <c r="N1537" s="83" t="n"/>
      <c r="O1537" s="66">
        <f>IF(OR($M1537="",$N1537=""),"",$N1537-$M1537)</f>
        <v/>
      </c>
      <c r="P1537" s="84">
        <f>IF($J1537="","",IF($L1537&lt;&gt;"",$L1537-$J1537,TODAY()-$J1537))</f>
        <v/>
      </c>
      <c r="Q1537" s="85">
        <f>IF(OR($K1537="",$H1537="Completed",$H1537="Cancelled"),"",IF(AND($K1537&lt;TODAY(),$H1537&lt;&gt;"Completed",$H1537&lt;&gt;"Cancelled"),"Overdue","On Track"))</f>
        <v/>
      </c>
      <c r="R1537" s="81" t="n"/>
      <c r="S1537" s="81">
        <f>IF($B1537="","",IFERROR(INDEX(Task_Tracker!$AA$5:$AA$1004,MATCH($B1537,Task_Tracker!$A$5:$A$1004,0)),""))</f>
        <v/>
      </c>
      <c r="T1537" s="81">
        <f>IF($B1537="","",IFERROR(INDEX(Task_Tracker!$AB$5:$AB$1004,MATCH($B1537,Task_Tracker!$A$5:$A$1004,0)),""))</f>
        <v/>
      </c>
      <c r="U1537" s="78">
        <f>IF($B1537="","",IFERROR(INDEX(Task_Tracker!$F$5:$F$1004,MATCH($B1537,Task_Tracker!$A$5:$A$1004,0)),""))</f>
        <v/>
      </c>
      <c r="V1537" s="78">
        <f>IF($B1537="","",IFERROR(INDEX(Task_Tracker!$I$5:$I$1004,MATCH($B1537,Task_Tracker!$A$5:$A$1004,0)),""))</f>
        <v/>
      </c>
      <c r="W1537" s="81">
        <f>IF(OR($D1537="",$B1537=""),"",$D1537&amp;" | "&amp;$B1537)</f>
        <v/>
      </c>
      <c r="X1537" s="85">
        <f>IF($K1537="","",TEXT($K1537,"yyyy-mm"))</f>
        <v/>
      </c>
      <c r="Y1537" s="81">
        <f>IF(OR($A1537="",$T1537=""),"","Included in Manager_Report")</f>
        <v/>
      </c>
    </row>
    <row r="1538" ht="15" customHeight="1" s="40">
      <c r="A1538" s="65">
        <f>IF(COUNTA(B1538:G1538)=0,"","STP-"&amp;TEXT(ROW()-4,"0000"))</f>
        <v/>
      </c>
      <c r="B1538" s="78" t="n"/>
      <c r="C1538" s="67">
        <f>IF($B1538="","",IFERROR(INDEX(Task_Tracker!$D$5:$D$1004,MATCH($B1538,Task_Tracker!$A$5:$A$1004,0)),""))</f>
        <v/>
      </c>
      <c r="D1538" s="67">
        <f>IF($B1538="","",IFERROR(INDEX(Task_Tracker!$B$5:$B$1004,MATCH($B1538,Task_Tracker!$A$5:$A$1004,0)),""))</f>
        <v/>
      </c>
      <c r="E1538" s="81" t="n"/>
      <c r="F1538" s="81" t="n"/>
      <c r="G1538" s="78" t="n"/>
      <c r="H1538" s="78" t="n"/>
      <c r="I1538" s="67">
        <f>IF($H1538="","",IFERROR(INDEX(Action_Status_Map!$B$5:$B$11,MATCH($H1538,Action_Status_Map!$A$5:$A$11,0)),""))</f>
        <v/>
      </c>
      <c r="J1538" s="82" t="n"/>
      <c r="K1538" s="82" t="n"/>
      <c r="L1538" s="82" t="n"/>
      <c r="M1538" s="83" t="n"/>
      <c r="N1538" s="83" t="n"/>
      <c r="O1538" s="66">
        <f>IF(OR($M1538="",$N1538=""),"",$N1538-$M1538)</f>
        <v/>
      </c>
      <c r="P1538" s="84">
        <f>IF($J1538="","",IF($L1538&lt;&gt;"",$L1538-$J1538,TODAY()-$J1538))</f>
        <v/>
      </c>
      <c r="Q1538" s="85">
        <f>IF(OR($K1538="",$H1538="Completed",$H1538="Cancelled"),"",IF(AND($K1538&lt;TODAY(),$H1538&lt;&gt;"Completed",$H1538&lt;&gt;"Cancelled"),"Overdue","On Track"))</f>
        <v/>
      </c>
      <c r="R1538" s="81" t="n"/>
      <c r="S1538" s="81">
        <f>IF($B1538="","",IFERROR(INDEX(Task_Tracker!$AA$5:$AA$1004,MATCH($B1538,Task_Tracker!$A$5:$A$1004,0)),""))</f>
        <v/>
      </c>
      <c r="T1538" s="81">
        <f>IF($B1538="","",IFERROR(INDEX(Task_Tracker!$AB$5:$AB$1004,MATCH($B1538,Task_Tracker!$A$5:$A$1004,0)),""))</f>
        <v/>
      </c>
      <c r="U1538" s="78">
        <f>IF($B1538="","",IFERROR(INDEX(Task_Tracker!$F$5:$F$1004,MATCH($B1538,Task_Tracker!$A$5:$A$1004,0)),""))</f>
        <v/>
      </c>
      <c r="V1538" s="78">
        <f>IF($B1538="","",IFERROR(INDEX(Task_Tracker!$I$5:$I$1004,MATCH($B1538,Task_Tracker!$A$5:$A$1004,0)),""))</f>
        <v/>
      </c>
      <c r="W1538" s="81">
        <f>IF(OR($D1538="",$B1538=""),"",$D1538&amp;" | "&amp;$B1538)</f>
        <v/>
      </c>
      <c r="X1538" s="85">
        <f>IF($K1538="","",TEXT($K1538,"yyyy-mm"))</f>
        <v/>
      </c>
      <c r="Y1538" s="81">
        <f>IF(OR($A1538="",$T1538=""),"","Included in Manager_Report")</f>
        <v/>
      </c>
    </row>
    <row r="1539" ht="15" customHeight="1" s="40">
      <c r="A1539" s="65">
        <f>IF(COUNTA(B1539:G1539)=0,"","STP-"&amp;TEXT(ROW()-4,"0000"))</f>
        <v/>
      </c>
      <c r="B1539" s="78" t="n"/>
      <c r="C1539" s="67">
        <f>IF($B1539="","",IFERROR(INDEX(Task_Tracker!$D$5:$D$1004,MATCH($B1539,Task_Tracker!$A$5:$A$1004,0)),""))</f>
        <v/>
      </c>
      <c r="D1539" s="67">
        <f>IF($B1539="","",IFERROR(INDEX(Task_Tracker!$B$5:$B$1004,MATCH($B1539,Task_Tracker!$A$5:$A$1004,0)),""))</f>
        <v/>
      </c>
      <c r="E1539" s="81" t="n"/>
      <c r="F1539" s="81" t="n"/>
      <c r="G1539" s="78" t="n"/>
      <c r="H1539" s="78" t="n"/>
      <c r="I1539" s="67">
        <f>IF($H1539="","",IFERROR(INDEX(Action_Status_Map!$B$5:$B$11,MATCH($H1539,Action_Status_Map!$A$5:$A$11,0)),""))</f>
        <v/>
      </c>
      <c r="J1539" s="82" t="n"/>
      <c r="K1539" s="82" t="n"/>
      <c r="L1539" s="82" t="n"/>
      <c r="M1539" s="83" t="n"/>
      <c r="N1539" s="83" t="n"/>
      <c r="O1539" s="66">
        <f>IF(OR($M1539="",$N1539=""),"",$N1539-$M1539)</f>
        <v/>
      </c>
      <c r="P1539" s="84">
        <f>IF($J1539="","",IF($L1539&lt;&gt;"",$L1539-$J1539,TODAY()-$J1539))</f>
        <v/>
      </c>
      <c r="Q1539" s="85">
        <f>IF(OR($K1539="",$H1539="Completed",$H1539="Cancelled"),"",IF(AND($K1539&lt;TODAY(),$H1539&lt;&gt;"Completed",$H1539&lt;&gt;"Cancelled"),"Overdue","On Track"))</f>
        <v/>
      </c>
      <c r="R1539" s="81" t="n"/>
      <c r="S1539" s="81">
        <f>IF($B1539="","",IFERROR(INDEX(Task_Tracker!$AA$5:$AA$1004,MATCH($B1539,Task_Tracker!$A$5:$A$1004,0)),""))</f>
        <v/>
      </c>
      <c r="T1539" s="81">
        <f>IF($B1539="","",IFERROR(INDEX(Task_Tracker!$AB$5:$AB$1004,MATCH($B1539,Task_Tracker!$A$5:$A$1004,0)),""))</f>
        <v/>
      </c>
      <c r="U1539" s="78">
        <f>IF($B1539="","",IFERROR(INDEX(Task_Tracker!$F$5:$F$1004,MATCH($B1539,Task_Tracker!$A$5:$A$1004,0)),""))</f>
        <v/>
      </c>
      <c r="V1539" s="78">
        <f>IF($B1539="","",IFERROR(INDEX(Task_Tracker!$I$5:$I$1004,MATCH($B1539,Task_Tracker!$A$5:$A$1004,0)),""))</f>
        <v/>
      </c>
      <c r="W1539" s="81">
        <f>IF(OR($D1539="",$B1539=""),"",$D1539&amp;" | "&amp;$B1539)</f>
        <v/>
      </c>
      <c r="X1539" s="85">
        <f>IF($K1539="","",TEXT($K1539,"yyyy-mm"))</f>
        <v/>
      </c>
      <c r="Y1539" s="81">
        <f>IF(OR($A1539="",$T1539=""),"","Included in Manager_Report")</f>
        <v/>
      </c>
    </row>
    <row r="1540" ht="15" customHeight="1" s="40">
      <c r="A1540" s="65">
        <f>IF(COUNTA(B1540:G1540)=0,"","STP-"&amp;TEXT(ROW()-4,"0000"))</f>
        <v/>
      </c>
      <c r="B1540" s="78" t="n"/>
      <c r="C1540" s="67">
        <f>IF($B1540="","",IFERROR(INDEX(Task_Tracker!$D$5:$D$1004,MATCH($B1540,Task_Tracker!$A$5:$A$1004,0)),""))</f>
        <v/>
      </c>
      <c r="D1540" s="67">
        <f>IF($B1540="","",IFERROR(INDEX(Task_Tracker!$B$5:$B$1004,MATCH($B1540,Task_Tracker!$A$5:$A$1004,0)),""))</f>
        <v/>
      </c>
      <c r="E1540" s="81" t="n"/>
      <c r="F1540" s="81" t="n"/>
      <c r="G1540" s="78" t="n"/>
      <c r="H1540" s="78" t="n"/>
      <c r="I1540" s="67">
        <f>IF($H1540="","",IFERROR(INDEX(Action_Status_Map!$B$5:$B$11,MATCH($H1540,Action_Status_Map!$A$5:$A$11,0)),""))</f>
        <v/>
      </c>
      <c r="J1540" s="82" t="n"/>
      <c r="K1540" s="82" t="n"/>
      <c r="L1540" s="82" t="n"/>
      <c r="M1540" s="83" t="n"/>
      <c r="N1540" s="83" t="n"/>
      <c r="O1540" s="66">
        <f>IF(OR($M1540="",$N1540=""),"",$N1540-$M1540)</f>
        <v/>
      </c>
      <c r="P1540" s="84">
        <f>IF($J1540="","",IF($L1540&lt;&gt;"",$L1540-$J1540,TODAY()-$J1540))</f>
        <v/>
      </c>
      <c r="Q1540" s="85">
        <f>IF(OR($K1540="",$H1540="Completed",$H1540="Cancelled"),"",IF(AND($K1540&lt;TODAY(),$H1540&lt;&gt;"Completed",$H1540&lt;&gt;"Cancelled"),"Overdue","On Track"))</f>
        <v/>
      </c>
      <c r="R1540" s="81" t="n"/>
      <c r="S1540" s="81">
        <f>IF($B1540="","",IFERROR(INDEX(Task_Tracker!$AA$5:$AA$1004,MATCH($B1540,Task_Tracker!$A$5:$A$1004,0)),""))</f>
        <v/>
      </c>
      <c r="T1540" s="81">
        <f>IF($B1540="","",IFERROR(INDEX(Task_Tracker!$AB$5:$AB$1004,MATCH($B1540,Task_Tracker!$A$5:$A$1004,0)),""))</f>
        <v/>
      </c>
      <c r="U1540" s="78">
        <f>IF($B1540="","",IFERROR(INDEX(Task_Tracker!$F$5:$F$1004,MATCH($B1540,Task_Tracker!$A$5:$A$1004,0)),""))</f>
        <v/>
      </c>
      <c r="V1540" s="78">
        <f>IF($B1540="","",IFERROR(INDEX(Task_Tracker!$I$5:$I$1004,MATCH($B1540,Task_Tracker!$A$5:$A$1004,0)),""))</f>
        <v/>
      </c>
      <c r="W1540" s="81">
        <f>IF(OR($D1540="",$B1540=""),"",$D1540&amp;" | "&amp;$B1540)</f>
        <v/>
      </c>
      <c r="X1540" s="85">
        <f>IF($K1540="","",TEXT($K1540,"yyyy-mm"))</f>
        <v/>
      </c>
      <c r="Y1540" s="81">
        <f>IF(OR($A1540="",$T1540=""),"","Included in Manager_Report")</f>
        <v/>
      </c>
    </row>
    <row r="1541" ht="15" customHeight="1" s="40">
      <c r="A1541" s="65">
        <f>IF(COUNTA(B1541:G1541)=0,"","STP-"&amp;TEXT(ROW()-4,"0000"))</f>
        <v/>
      </c>
      <c r="B1541" s="78" t="n"/>
      <c r="C1541" s="67">
        <f>IF($B1541="","",IFERROR(INDEX(Task_Tracker!$D$5:$D$1004,MATCH($B1541,Task_Tracker!$A$5:$A$1004,0)),""))</f>
        <v/>
      </c>
      <c r="D1541" s="67">
        <f>IF($B1541="","",IFERROR(INDEX(Task_Tracker!$B$5:$B$1004,MATCH($B1541,Task_Tracker!$A$5:$A$1004,0)),""))</f>
        <v/>
      </c>
      <c r="E1541" s="81" t="n"/>
      <c r="F1541" s="81" t="n"/>
      <c r="G1541" s="78" t="n"/>
      <c r="H1541" s="78" t="n"/>
      <c r="I1541" s="67">
        <f>IF($H1541="","",IFERROR(INDEX(Action_Status_Map!$B$5:$B$11,MATCH($H1541,Action_Status_Map!$A$5:$A$11,0)),""))</f>
        <v/>
      </c>
      <c r="J1541" s="82" t="n"/>
      <c r="K1541" s="82" t="n"/>
      <c r="L1541" s="82" t="n"/>
      <c r="M1541" s="83" t="n"/>
      <c r="N1541" s="83" t="n"/>
      <c r="O1541" s="66">
        <f>IF(OR($M1541="",$N1541=""),"",$N1541-$M1541)</f>
        <v/>
      </c>
      <c r="P1541" s="84">
        <f>IF($J1541="","",IF($L1541&lt;&gt;"",$L1541-$J1541,TODAY()-$J1541))</f>
        <v/>
      </c>
      <c r="Q1541" s="85">
        <f>IF(OR($K1541="",$H1541="Completed",$H1541="Cancelled"),"",IF(AND($K1541&lt;TODAY(),$H1541&lt;&gt;"Completed",$H1541&lt;&gt;"Cancelled"),"Overdue","On Track"))</f>
        <v/>
      </c>
      <c r="R1541" s="81" t="n"/>
      <c r="S1541" s="81">
        <f>IF($B1541="","",IFERROR(INDEX(Task_Tracker!$AA$5:$AA$1004,MATCH($B1541,Task_Tracker!$A$5:$A$1004,0)),""))</f>
        <v/>
      </c>
      <c r="T1541" s="81">
        <f>IF($B1541="","",IFERROR(INDEX(Task_Tracker!$AB$5:$AB$1004,MATCH($B1541,Task_Tracker!$A$5:$A$1004,0)),""))</f>
        <v/>
      </c>
      <c r="U1541" s="78">
        <f>IF($B1541="","",IFERROR(INDEX(Task_Tracker!$F$5:$F$1004,MATCH($B1541,Task_Tracker!$A$5:$A$1004,0)),""))</f>
        <v/>
      </c>
      <c r="V1541" s="78">
        <f>IF($B1541="","",IFERROR(INDEX(Task_Tracker!$I$5:$I$1004,MATCH($B1541,Task_Tracker!$A$5:$A$1004,0)),""))</f>
        <v/>
      </c>
      <c r="W1541" s="81">
        <f>IF(OR($D1541="",$B1541=""),"",$D1541&amp;" | "&amp;$B1541)</f>
        <v/>
      </c>
      <c r="X1541" s="85">
        <f>IF($K1541="","",TEXT($K1541,"yyyy-mm"))</f>
        <v/>
      </c>
      <c r="Y1541" s="81">
        <f>IF(OR($A1541="",$T1541=""),"","Included in Manager_Report")</f>
        <v/>
      </c>
    </row>
    <row r="1542" ht="15" customHeight="1" s="40">
      <c r="A1542" s="65">
        <f>IF(COUNTA(B1542:G1542)=0,"","STP-"&amp;TEXT(ROW()-4,"0000"))</f>
        <v/>
      </c>
      <c r="B1542" s="78" t="n"/>
      <c r="C1542" s="67">
        <f>IF($B1542="","",IFERROR(INDEX(Task_Tracker!$D$5:$D$1004,MATCH($B1542,Task_Tracker!$A$5:$A$1004,0)),""))</f>
        <v/>
      </c>
      <c r="D1542" s="67">
        <f>IF($B1542="","",IFERROR(INDEX(Task_Tracker!$B$5:$B$1004,MATCH($B1542,Task_Tracker!$A$5:$A$1004,0)),""))</f>
        <v/>
      </c>
      <c r="E1542" s="81" t="n"/>
      <c r="F1542" s="81" t="n"/>
      <c r="G1542" s="78" t="n"/>
      <c r="H1542" s="78" t="n"/>
      <c r="I1542" s="67">
        <f>IF($H1542="","",IFERROR(INDEX(Action_Status_Map!$B$5:$B$11,MATCH($H1542,Action_Status_Map!$A$5:$A$11,0)),""))</f>
        <v/>
      </c>
      <c r="J1542" s="82" t="n"/>
      <c r="K1542" s="82" t="n"/>
      <c r="L1542" s="82" t="n"/>
      <c r="M1542" s="83" t="n"/>
      <c r="N1542" s="83" t="n"/>
      <c r="O1542" s="66">
        <f>IF(OR($M1542="",$N1542=""),"",$N1542-$M1542)</f>
        <v/>
      </c>
      <c r="P1542" s="84">
        <f>IF($J1542="","",IF($L1542&lt;&gt;"",$L1542-$J1542,TODAY()-$J1542))</f>
        <v/>
      </c>
      <c r="Q1542" s="85">
        <f>IF(OR($K1542="",$H1542="Completed",$H1542="Cancelled"),"",IF(AND($K1542&lt;TODAY(),$H1542&lt;&gt;"Completed",$H1542&lt;&gt;"Cancelled"),"Overdue","On Track"))</f>
        <v/>
      </c>
      <c r="R1542" s="81" t="n"/>
      <c r="S1542" s="81">
        <f>IF($B1542="","",IFERROR(INDEX(Task_Tracker!$AA$5:$AA$1004,MATCH($B1542,Task_Tracker!$A$5:$A$1004,0)),""))</f>
        <v/>
      </c>
      <c r="T1542" s="81">
        <f>IF($B1542="","",IFERROR(INDEX(Task_Tracker!$AB$5:$AB$1004,MATCH($B1542,Task_Tracker!$A$5:$A$1004,0)),""))</f>
        <v/>
      </c>
      <c r="U1542" s="78">
        <f>IF($B1542="","",IFERROR(INDEX(Task_Tracker!$F$5:$F$1004,MATCH($B1542,Task_Tracker!$A$5:$A$1004,0)),""))</f>
        <v/>
      </c>
      <c r="V1542" s="78">
        <f>IF($B1542="","",IFERROR(INDEX(Task_Tracker!$I$5:$I$1004,MATCH($B1542,Task_Tracker!$A$5:$A$1004,0)),""))</f>
        <v/>
      </c>
      <c r="W1542" s="81">
        <f>IF(OR($D1542="",$B1542=""),"",$D1542&amp;" | "&amp;$B1542)</f>
        <v/>
      </c>
      <c r="X1542" s="85">
        <f>IF($K1542="","",TEXT($K1542,"yyyy-mm"))</f>
        <v/>
      </c>
      <c r="Y1542" s="81">
        <f>IF(OR($A1542="",$T1542=""),"","Included in Manager_Report")</f>
        <v/>
      </c>
    </row>
    <row r="1543" ht="15" customHeight="1" s="40">
      <c r="A1543" s="65">
        <f>IF(COUNTA(B1543:G1543)=0,"","STP-"&amp;TEXT(ROW()-4,"0000"))</f>
        <v/>
      </c>
      <c r="B1543" s="78" t="n"/>
      <c r="C1543" s="67">
        <f>IF($B1543="","",IFERROR(INDEX(Task_Tracker!$D$5:$D$1004,MATCH($B1543,Task_Tracker!$A$5:$A$1004,0)),""))</f>
        <v/>
      </c>
      <c r="D1543" s="67">
        <f>IF($B1543="","",IFERROR(INDEX(Task_Tracker!$B$5:$B$1004,MATCH($B1543,Task_Tracker!$A$5:$A$1004,0)),""))</f>
        <v/>
      </c>
      <c r="E1543" s="81" t="n"/>
      <c r="F1543" s="81" t="n"/>
      <c r="G1543" s="78" t="n"/>
      <c r="H1543" s="78" t="n"/>
      <c r="I1543" s="67">
        <f>IF($H1543="","",IFERROR(INDEX(Action_Status_Map!$B$5:$B$11,MATCH($H1543,Action_Status_Map!$A$5:$A$11,0)),""))</f>
        <v/>
      </c>
      <c r="J1543" s="82" t="n"/>
      <c r="K1543" s="82" t="n"/>
      <c r="L1543" s="82" t="n"/>
      <c r="M1543" s="83" t="n"/>
      <c r="N1543" s="83" t="n"/>
      <c r="O1543" s="66">
        <f>IF(OR($M1543="",$N1543=""),"",$N1543-$M1543)</f>
        <v/>
      </c>
      <c r="P1543" s="84">
        <f>IF($J1543="","",IF($L1543&lt;&gt;"",$L1543-$J1543,TODAY()-$J1543))</f>
        <v/>
      </c>
      <c r="Q1543" s="85">
        <f>IF(OR($K1543="",$H1543="Completed",$H1543="Cancelled"),"",IF(AND($K1543&lt;TODAY(),$H1543&lt;&gt;"Completed",$H1543&lt;&gt;"Cancelled"),"Overdue","On Track"))</f>
        <v/>
      </c>
      <c r="R1543" s="81" t="n"/>
      <c r="S1543" s="81">
        <f>IF($B1543="","",IFERROR(INDEX(Task_Tracker!$AA$5:$AA$1004,MATCH($B1543,Task_Tracker!$A$5:$A$1004,0)),""))</f>
        <v/>
      </c>
      <c r="T1543" s="81">
        <f>IF($B1543="","",IFERROR(INDEX(Task_Tracker!$AB$5:$AB$1004,MATCH($B1543,Task_Tracker!$A$5:$A$1004,0)),""))</f>
        <v/>
      </c>
      <c r="U1543" s="78">
        <f>IF($B1543="","",IFERROR(INDEX(Task_Tracker!$F$5:$F$1004,MATCH($B1543,Task_Tracker!$A$5:$A$1004,0)),""))</f>
        <v/>
      </c>
      <c r="V1543" s="78">
        <f>IF($B1543="","",IFERROR(INDEX(Task_Tracker!$I$5:$I$1004,MATCH($B1543,Task_Tracker!$A$5:$A$1004,0)),""))</f>
        <v/>
      </c>
      <c r="W1543" s="81">
        <f>IF(OR($D1543="",$B1543=""),"",$D1543&amp;" | "&amp;$B1543)</f>
        <v/>
      </c>
      <c r="X1543" s="85">
        <f>IF($K1543="","",TEXT($K1543,"yyyy-mm"))</f>
        <v/>
      </c>
      <c r="Y1543" s="81">
        <f>IF(OR($A1543="",$T1543=""),"","Included in Manager_Report")</f>
        <v/>
      </c>
    </row>
    <row r="1544" ht="15" customHeight="1" s="40">
      <c r="A1544" s="65">
        <f>IF(COUNTA(B1544:G1544)=0,"","STP-"&amp;TEXT(ROW()-4,"0000"))</f>
        <v/>
      </c>
      <c r="B1544" s="78" t="n"/>
      <c r="C1544" s="67">
        <f>IF($B1544="","",IFERROR(INDEX(Task_Tracker!$D$5:$D$1004,MATCH($B1544,Task_Tracker!$A$5:$A$1004,0)),""))</f>
        <v/>
      </c>
      <c r="D1544" s="67">
        <f>IF($B1544="","",IFERROR(INDEX(Task_Tracker!$B$5:$B$1004,MATCH($B1544,Task_Tracker!$A$5:$A$1004,0)),""))</f>
        <v/>
      </c>
      <c r="E1544" s="81" t="n"/>
      <c r="F1544" s="81" t="n"/>
      <c r="G1544" s="78" t="n"/>
      <c r="H1544" s="78" t="n"/>
      <c r="I1544" s="67">
        <f>IF($H1544="","",IFERROR(INDEX(Action_Status_Map!$B$5:$B$11,MATCH($H1544,Action_Status_Map!$A$5:$A$11,0)),""))</f>
        <v/>
      </c>
      <c r="J1544" s="82" t="n"/>
      <c r="K1544" s="82" t="n"/>
      <c r="L1544" s="82" t="n"/>
      <c r="M1544" s="83" t="n"/>
      <c r="N1544" s="83" t="n"/>
      <c r="O1544" s="66">
        <f>IF(OR($M1544="",$N1544=""),"",$N1544-$M1544)</f>
        <v/>
      </c>
      <c r="P1544" s="84">
        <f>IF($J1544="","",IF($L1544&lt;&gt;"",$L1544-$J1544,TODAY()-$J1544))</f>
        <v/>
      </c>
      <c r="Q1544" s="85">
        <f>IF(OR($K1544="",$H1544="Completed",$H1544="Cancelled"),"",IF(AND($K1544&lt;TODAY(),$H1544&lt;&gt;"Completed",$H1544&lt;&gt;"Cancelled"),"Overdue","On Track"))</f>
        <v/>
      </c>
      <c r="R1544" s="81" t="n"/>
      <c r="S1544" s="81">
        <f>IF($B1544="","",IFERROR(INDEX(Task_Tracker!$AA$5:$AA$1004,MATCH($B1544,Task_Tracker!$A$5:$A$1004,0)),""))</f>
        <v/>
      </c>
      <c r="T1544" s="81">
        <f>IF($B1544="","",IFERROR(INDEX(Task_Tracker!$AB$5:$AB$1004,MATCH($B1544,Task_Tracker!$A$5:$A$1004,0)),""))</f>
        <v/>
      </c>
      <c r="U1544" s="78">
        <f>IF($B1544="","",IFERROR(INDEX(Task_Tracker!$F$5:$F$1004,MATCH($B1544,Task_Tracker!$A$5:$A$1004,0)),""))</f>
        <v/>
      </c>
      <c r="V1544" s="78">
        <f>IF($B1544="","",IFERROR(INDEX(Task_Tracker!$I$5:$I$1004,MATCH($B1544,Task_Tracker!$A$5:$A$1004,0)),""))</f>
        <v/>
      </c>
      <c r="W1544" s="81">
        <f>IF(OR($D1544="",$B1544=""),"",$D1544&amp;" | "&amp;$B1544)</f>
        <v/>
      </c>
      <c r="X1544" s="85">
        <f>IF($K1544="","",TEXT($K1544,"yyyy-mm"))</f>
        <v/>
      </c>
      <c r="Y1544" s="81">
        <f>IF(OR($A1544="",$T1544=""),"","Included in Manager_Report")</f>
        <v/>
      </c>
    </row>
    <row r="1545" ht="15" customHeight="1" s="40">
      <c r="A1545" s="65">
        <f>IF(COUNTA(B1545:G1545)=0,"","STP-"&amp;TEXT(ROW()-4,"0000"))</f>
        <v/>
      </c>
      <c r="B1545" s="78" t="n"/>
      <c r="C1545" s="67">
        <f>IF($B1545="","",IFERROR(INDEX(Task_Tracker!$D$5:$D$1004,MATCH($B1545,Task_Tracker!$A$5:$A$1004,0)),""))</f>
        <v/>
      </c>
      <c r="D1545" s="67">
        <f>IF($B1545="","",IFERROR(INDEX(Task_Tracker!$B$5:$B$1004,MATCH($B1545,Task_Tracker!$A$5:$A$1004,0)),""))</f>
        <v/>
      </c>
      <c r="E1545" s="81" t="n"/>
      <c r="F1545" s="81" t="n"/>
      <c r="G1545" s="78" t="n"/>
      <c r="H1545" s="78" t="n"/>
      <c r="I1545" s="67">
        <f>IF($H1545="","",IFERROR(INDEX(Action_Status_Map!$B$5:$B$11,MATCH($H1545,Action_Status_Map!$A$5:$A$11,0)),""))</f>
        <v/>
      </c>
      <c r="J1545" s="82" t="n"/>
      <c r="K1545" s="82" t="n"/>
      <c r="L1545" s="82" t="n"/>
      <c r="M1545" s="83" t="n"/>
      <c r="N1545" s="83" t="n"/>
      <c r="O1545" s="66">
        <f>IF(OR($M1545="",$N1545=""),"",$N1545-$M1545)</f>
        <v/>
      </c>
      <c r="P1545" s="84">
        <f>IF($J1545="","",IF($L1545&lt;&gt;"",$L1545-$J1545,TODAY()-$J1545))</f>
        <v/>
      </c>
      <c r="Q1545" s="85">
        <f>IF(OR($K1545="",$H1545="Completed",$H1545="Cancelled"),"",IF(AND($K1545&lt;TODAY(),$H1545&lt;&gt;"Completed",$H1545&lt;&gt;"Cancelled"),"Overdue","On Track"))</f>
        <v/>
      </c>
      <c r="R1545" s="81" t="n"/>
      <c r="S1545" s="81">
        <f>IF($B1545="","",IFERROR(INDEX(Task_Tracker!$AA$5:$AA$1004,MATCH($B1545,Task_Tracker!$A$5:$A$1004,0)),""))</f>
        <v/>
      </c>
      <c r="T1545" s="81">
        <f>IF($B1545="","",IFERROR(INDEX(Task_Tracker!$AB$5:$AB$1004,MATCH($B1545,Task_Tracker!$A$5:$A$1004,0)),""))</f>
        <v/>
      </c>
      <c r="U1545" s="78">
        <f>IF($B1545="","",IFERROR(INDEX(Task_Tracker!$F$5:$F$1004,MATCH($B1545,Task_Tracker!$A$5:$A$1004,0)),""))</f>
        <v/>
      </c>
      <c r="V1545" s="78">
        <f>IF($B1545="","",IFERROR(INDEX(Task_Tracker!$I$5:$I$1004,MATCH($B1545,Task_Tracker!$A$5:$A$1004,0)),""))</f>
        <v/>
      </c>
      <c r="W1545" s="81">
        <f>IF(OR($D1545="",$B1545=""),"",$D1545&amp;" | "&amp;$B1545)</f>
        <v/>
      </c>
      <c r="X1545" s="85">
        <f>IF($K1545="","",TEXT($K1545,"yyyy-mm"))</f>
        <v/>
      </c>
      <c r="Y1545" s="81">
        <f>IF(OR($A1545="",$T1545=""),"","Included in Manager_Report")</f>
        <v/>
      </c>
    </row>
    <row r="1546" ht="15" customHeight="1" s="40">
      <c r="A1546" s="65">
        <f>IF(COUNTA(B1546:G1546)=0,"","STP-"&amp;TEXT(ROW()-4,"0000"))</f>
        <v/>
      </c>
      <c r="B1546" s="78" t="n"/>
      <c r="C1546" s="67">
        <f>IF($B1546="","",IFERROR(INDEX(Task_Tracker!$D$5:$D$1004,MATCH($B1546,Task_Tracker!$A$5:$A$1004,0)),""))</f>
        <v/>
      </c>
      <c r="D1546" s="67">
        <f>IF($B1546="","",IFERROR(INDEX(Task_Tracker!$B$5:$B$1004,MATCH($B1546,Task_Tracker!$A$5:$A$1004,0)),""))</f>
        <v/>
      </c>
      <c r="E1546" s="81" t="n"/>
      <c r="F1546" s="81" t="n"/>
      <c r="G1546" s="78" t="n"/>
      <c r="H1546" s="78" t="n"/>
      <c r="I1546" s="67">
        <f>IF($H1546="","",IFERROR(INDEX(Action_Status_Map!$B$5:$B$11,MATCH($H1546,Action_Status_Map!$A$5:$A$11,0)),""))</f>
        <v/>
      </c>
      <c r="J1546" s="82" t="n"/>
      <c r="K1546" s="82" t="n"/>
      <c r="L1546" s="82" t="n"/>
      <c r="M1546" s="83" t="n"/>
      <c r="N1546" s="83" t="n"/>
      <c r="O1546" s="66">
        <f>IF(OR($M1546="",$N1546=""),"",$N1546-$M1546)</f>
        <v/>
      </c>
      <c r="P1546" s="84">
        <f>IF($J1546="","",IF($L1546&lt;&gt;"",$L1546-$J1546,TODAY()-$J1546))</f>
        <v/>
      </c>
      <c r="Q1546" s="85">
        <f>IF(OR($K1546="",$H1546="Completed",$H1546="Cancelled"),"",IF(AND($K1546&lt;TODAY(),$H1546&lt;&gt;"Completed",$H1546&lt;&gt;"Cancelled"),"Overdue","On Track"))</f>
        <v/>
      </c>
      <c r="R1546" s="81" t="n"/>
      <c r="S1546" s="81">
        <f>IF($B1546="","",IFERROR(INDEX(Task_Tracker!$AA$5:$AA$1004,MATCH($B1546,Task_Tracker!$A$5:$A$1004,0)),""))</f>
        <v/>
      </c>
      <c r="T1546" s="81">
        <f>IF($B1546="","",IFERROR(INDEX(Task_Tracker!$AB$5:$AB$1004,MATCH($B1546,Task_Tracker!$A$5:$A$1004,0)),""))</f>
        <v/>
      </c>
      <c r="U1546" s="78">
        <f>IF($B1546="","",IFERROR(INDEX(Task_Tracker!$F$5:$F$1004,MATCH($B1546,Task_Tracker!$A$5:$A$1004,0)),""))</f>
        <v/>
      </c>
      <c r="V1546" s="78">
        <f>IF($B1546="","",IFERROR(INDEX(Task_Tracker!$I$5:$I$1004,MATCH($B1546,Task_Tracker!$A$5:$A$1004,0)),""))</f>
        <v/>
      </c>
      <c r="W1546" s="81">
        <f>IF(OR($D1546="",$B1546=""),"",$D1546&amp;" | "&amp;$B1546)</f>
        <v/>
      </c>
      <c r="X1546" s="85">
        <f>IF($K1546="","",TEXT($K1546,"yyyy-mm"))</f>
        <v/>
      </c>
      <c r="Y1546" s="81">
        <f>IF(OR($A1546="",$T1546=""),"","Included in Manager_Report")</f>
        <v/>
      </c>
    </row>
    <row r="1547" ht="15" customHeight="1" s="40">
      <c r="A1547" s="65">
        <f>IF(COUNTA(B1547:G1547)=0,"","STP-"&amp;TEXT(ROW()-4,"0000"))</f>
        <v/>
      </c>
      <c r="B1547" s="78" t="n"/>
      <c r="C1547" s="67">
        <f>IF($B1547="","",IFERROR(INDEX(Task_Tracker!$D$5:$D$1004,MATCH($B1547,Task_Tracker!$A$5:$A$1004,0)),""))</f>
        <v/>
      </c>
      <c r="D1547" s="67">
        <f>IF($B1547="","",IFERROR(INDEX(Task_Tracker!$B$5:$B$1004,MATCH($B1547,Task_Tracker!$A$5:$A$1004,0)),""))</f>
        <v/>
      </c>
      <c r="E1547" s="81" t="n"/>
      <c r="F1547" s="81" t="n"/>
      <c r="G1547" s="78" t="n"/>
      <c r="H1547" s="78" t="n"/>
      <c r="I1547" s="67">
        <f>IF($H1547="","",IFERROR(INDEX(Action_Status_Map!$B$5:$B$11,MATCH($H1547,Action_Status_Map!$A$5:$A$11,0)),""))</f>
        <v/>
      </c>
      <c r="J1547" s="82" t="n"/>
      <c r="K1547" s="82" t="n"/>
      <c r="L1547" s="82" t="n"/>
      <c r="M1547" s="83" t="n"/>
      <c r="N1547" s="83" t="n"/>
      <c r="O1547" s="66">
        <f>IF(OR($M1547="",$N1547=""),"",$N1547-$M1547)</f>
        <v/>
      </c>
      <c r="P1547" s="84">
        <f>IF($J1547="","",IF($L1547&lt;&gt;"",$L1547-$J1547,TODAY()-$J1547))</f>
        <v/>
      </c>
      <c r="Q1547" s="85">
        <f>IF(OR($K1547="",$H1547="Completed",$H1547="Cancelled"),"",IF(AND($K1547&lt;TODAY(),$H1547&lt;&gt;"Completed",$H1547&lt;&gt;"Cancelled"),"Overdue","On Track"))</f>
        <v/>
      </c>
      <c r="R1547" s="81" t="n"/>
      <c r="S1547" s="81">
        <f>IF($B1547="","",IFERROR(INDEX(Task_Tracker!$AA$5:$AA$1004,MATCH($B1547,Task_Tracker!$A$5:$A$1004,0)),""))</f>
        <v/>
      </c>
      <c r="T1547" s="81">
        <f>IF($B1547="","",IFERROR(INDEX(Task_Tracker!$AB$5:$AB$1004,MATCH($B1547,Task_Tracker!$A$5:$A$1004,0)),""))</f>
        <v/>
      </c>
      <c r="U1547" s="78">
        <f>IF($B1547="","",IFERROR(INDEX(Task_Tracker!$F$5:$F$1004,MATCH($B1547,Task_Tracker!$A$5:$A$1004,0)),""))</f>
        <v/>
      </c>
      <c r="V1547" s="78">
        <f>IF($B1547="","",IFERROR(INDEX(Task_Tracker!$I$5:$I$1004,MATCH($B1547,Task_Tracker!$A$5:$A$1004,0)),""))</f>
        <v/>
      </c>
      <c r="W1547" s="81">
        <f>IF(OR($D1547="",$B1547=""),"",$D1547&amp;" | "&amp;$B1547)</f>
        <v/>
      </c>
      <c r="X1547" s="85">
        <f>IF($K1547="","",TEXT($K1547,"yyyy-mm"))</f>
        <v/>
      </c>
      <c r="Y1547" s="81">
        <f>IF(OR($A1547="",$T1547=""),"","Included in Manager_Report")</f>
        <v/>
      </c>
    </row>
    <row r="1548" ht="15" customHeight="1" s="40">
      <c r="A1548" s="65">
        <f>IF(COUNTA(B1548:G1548)=0,"","STP-"&amp;TEXT(ROW()-4,"0000"))</f>
        <v/>
      </c>
      <c r="B1548" s="78" t="n"/>
      <c r="C1548" s="67">
        <f>IF($B1548="","",IFERROR(INDEX(Task_Tracker!$D$5:$D$1004,MATCH($B1548,Task_Tracker!$A$5:$A$1004,0)),""))</f>
        <v/>
      </c>
      <c r="D1548" s="67">
        <f>IF($B1548="","",IFERROR(INDEX(Task_Tracker!$B$5:$B$1004,MATCH($B1548,Task_Tracker!$A$5:$A$1004,0)),""))</f>
        <v/>
      </c>
      <c r="E1548" s="81" t="n"/>
      <c r="F1548" s="81" t="n"/>
      <c r="G1548" s="78" t="n"/>
      <c r="H1548" s="78" t="n"/>
      <c r="I1548" s="67">
        <f>IF($H1548="","",IFERROR(INDEX(Action_Status_Map!$B$5:$B$11,MATCH($H1548,Action_Status_Map!$A$5:$A$11,0)),""))</f>
        <v/>
      </c>
      <c r="J1548" s="82" t="n"/>
      <c r="K1548" s="82" t="n"/>
      <c r="L1548" s="82" t="n"/>
      <c r="M1548" s="83" t="n"/>
      <c r="N1548" s="83" t="n"/>
      <c r="O1548" s="66">
        <f>IF(OR($M1548="",$N1548=""),"",$N1548-$M1548)</f>
        <v/>
      </c>
      <c r="P1548" s="84">
        <f>IF($J1548="","",IF($L1548&lt;&gt;"",$L1548-$J1548,TODAY()-$J1548))</f>
        <v/>
      </c>
      <c r="Q1548" s="85">
        <f>IF(OR($K1548="",$H1548="Completed",$H1548="Cancelled"),"",IF(AND($K1548&lt;TODAY(),$H1548&lt;&gt;"Completed",$H1548&lt;&gt;"Cancelled"),"Overdue","On Track"))</f>
        <v/>
      </c>
      <c r="R1548" s="81" t="n"/>
      <c r="S1548" s="81">
        <f>IF($B1548="","",IFERROR(INDEX(Task_Tracker!$AA$5:$AA$1004,MATCH($B1548,Task_Tracker!$A$5:$A$1004,0)),""))</f>
        <v/>
      </c>
      <c r="T1548" s="81">
        <f>IF($B1548="","",IFERROR(INDEX(Task_Tracker!$AB$5:$AB$1004,MATCH($B1548,Task_Tracker!$A$5:$A$1004,0)),""))</f>
        <v/>
      </c>
      <c r="U1548" s="78">
        <f>IF($B1548="","",IFERROR(INDEX(Task_Tracker!$F$5:$F$1004,MATCH($B1548,Task_Tracker!$A$5:$A$1004,0)),""))</f>
        <v/>
      </c>
      <c r="V1548" s="78">
        <f>IF($B1548="","",IFERROR(INDEX(Task_Tracker!$I$5:$I$1004,MATCH($B1548,Task_Tracker!$A$5:$A$1004,0)),""))</f>
        <v/>
      </c>
      <c r="W1548" s="81">
        <f>IF(OR($D1548="",$B1548=""),"",$D1548&amp;" | "&amp;$B1548)</f>
        <v/>
      </c>
      <c r="X1548" s="85">
        <f>IF($K1548="","",TEXT($K1548,"yyyy-mm"))</f>
        <v/>
      </c>
      <c r="Y1548" s="81">
        <f>IF(OR($A1548="",$T1548=""),"","Included in Manager_Report")</f>
        <v/>
      </c>
    </row>
    <row r="1549" ht="15" customHeight="1" s="40">
      <c r="A1549" s="65">
        <f>IF(COUNTA(B1549:G1549)=0,"","STP-"&amp;TEXT(ROW()-4,"0000"))</f>
        <v/>
      </c>
      <c r="B1549" s="78" t="n"/>
      <c r="C1549" s="67">
        <f>IF($B1549="","",IFERROR(INDEX(Task_Tracker!$D$5:$D$1004,MATCH($B1549,Task_Tracker!$A$5:$A$1004,0)),""))</f>
        <v/>
      </c>
      <c r="D1549" s="67">
        <f>IF($B1549="","",IFERROR(INDEX(Task_Tracker!$B$5:$B$1004,MATCH($B1549,Task_Tracker!$A$5:$A$1004,0)),""))</f>
        <v/>
      </c>
      <c r="E1549" s="81" t="n"/>
      <c r="F1549" s="81" t="n"/>
      <c r="G1549" s="78" t="n"/>
      <c r="H1549" s="78" t="n"/>
      <c r="I1549" s="67">
        <f>IF($H1549="","",IFERROR(INDEX(Action_Status_Map!$B$5:$B$11,MATCH($H1549,Action_Status_Map!$A$5:$A$11,0)),""))</f>
        <v/>
      </c>
      <c r="J1549" s="82" t="n"/>
      <c r="K1549" s="82" t="n"/>
      <c r="L1549" s="82" t="n"/>
      <c r="M1549" s="83" t="n"/>
      <c r="N1549" s="83" t="n"/>
      <c r="O1549" s="66">
        <f>IF(OR($M1549="",$N1549=""),"",$N1549-$M1549)</f>
        <v/>
      </c>
      <c r="P1549" s="84">
        <f>IF($J1549="","",IF($L1549&lt;&gt;"",$L1549-$J1549,TODAY()-$J1549))</f>
        <v/>
      </c>
      <c r="Q1549" s="85">
        <f>IF(OR($K1549="",$H1549="Completed",$H1549="Cancelled"),"",IF(AND($K1549&lt;TODAY(),$H1549&lt;&gt;"Completed",$H1549&lt;&gt;"Cancelled"),"Overdue","On Track"))</f>
        <v/>
      </c>
      <c r="R1549" s="81" t="n"/>
      <c r="S1549" s="81">
        <f>IF($B1549="","",IFERROR(INDEX(Task_Tracker!$AA$5:$AA$1004,MATCH($B1549,Task_Tracker!$A$5:$A$1004,0)),""))</f>
        <v/>
      </c>
      <c r="T1549" s="81">
        <f>IF($B1549="","",IFERROR(INDEX(Task_Tracker!$AB$5:$AB$1004,MATCH($B1549,Task_Tracker!$A$5:$A$1004,0)),""))</f>
        <v/>
      </c>
      <c r="U1549" s="78">
        <f>IF($B1549="","",IFERROR(INDEX(Task_Tracker!$F$5:$F$1004,MATCH($B1549,Task_Tracker!$A$5:$A$1004,0)),""))</f>
        <v/>
      </c>
      <c r="V1549" s="78">
        <f>IF($B1549="","",IFERROR(INDEX(Task_Tracker!$I$5:$I$1004,MATCH($B1549,Task_Tracker!$A$5:$A$1004,0)),""))</f>
        <v/>
      </c>
      <c r="W1549" s="81">
        <f>IF(OR($D1549="",$B1549=""),"",$D1549&amp;" | "&amp;$B1549)</f>
        <v/>
      </c>
      <c r="X1549" s="85">
        <f>IF($K1549="","",TEXT($K1549,"yyyy-mm"))</f>
        <v/>
      </c>
      <c r="Y1549" s="81">
        <f>IF(OR($A1549="",$T1549=""),"","Included in Manager_Report")</f>
        <v/>
      </c>
    </row>
    <row r="1550" ht="15" customHeight="1" s="40">
      <c r="A1550" s="65">
        <f>IF(COUNTA(B1550:G1550)=0,"","STP-"&amp;TEXT(ROW()-4,"0000"))</f>
        <v/>
      </c>
      <c r="B1550" s="78" t="n"/>
      <c r="C1550" s="67">
        <f>IF($B1550="","",IFERROR(INDEX(Task_Tracker!$D$5:$D$1004,MATCH($B1550,Task_Tracker!$A$5:$A$1004,0)),""))</f>
        <v/>
      </c>
      <c r="D1550" s="67">
        <f>IF($B1550="","",IFERROR(INDEX(Task_Tracker!$B$5:$B$1004,MATCH($B1550,Task_Tracker!$A$5:$A$1004,0)),""))</f>
        <v/>
      </c>
      <c r="E1550" s="81" t="n"/>
      <c r="F1550" s="81" t="n"/>
      <c r="G1550" s="78" t="n"/>
      <c r="H1550" s="78" t="n"/>
      <c r="I1550" s="67">
        <f>IF($H1550="","",IFERROR(INDEX(Action_Status_Map!$B$5:$B$11,MATCH($H1550,Action_Status_Map!$A$5:$A$11,0)),""))</f>
        <v/>
      </c>
      <c r="J1550" s="82" t="n"/>
      <c r="K1550" s="82" t="n"/>
      <c r="L1550" s="82" t="n"/>
      <c r="M1550" s="83" t="n"/>
      <c r="N1550" s="83" t="n"/>
      <c r="O1550" s="66">
        <f>IF(OR($M1550="",$N1550=""),"",$N1550-$M1550)</f>
        <v/>
      </c>
      <c r="P1550" s="84">
        <f>IF($J1550="","",IF($L1550&lt;&gt;"",$L1550-$J1550,TODAY()-$J1550))</f>
        <v/>
      </c>
      <c r="Q1550" s="85">
        <f>IF(OR($K1550="",$H1550="Completed",$H1550="Cancelled"),"",IF(AND($K1550&lt;TODAY(),$H1550&lt;&gt;"Completed",$H1550&lt;&gt;"Cancelled"),"Overdue","On Track"))</f>
        <v/>
      </c>
      <c r="R1550" s="81" t="n"/>
      <c r="S1550" s="81">
        <f>IF($B1550="","",IFERROR(INDEX(Task_Tracker!$AA$5:$AA$1004,MATCH($B1550,Task_Tracker!$A$5:$A$1004,0)),""))</f>
        <v/>
      </c>
      <c r="T1550" s="81">
        <f>IF($B1550="","",IFERROR(INDEX(Task_Tracker!$AB$5:$AB$1004,MATCH($B1550,Task_Tracker!$A$5:$A$1004,0)),""))</f>
        <v/>
      </c>
      <c r="U1550" s="78">
        <f>IF($B1550="","",IFERROR(INDEX(Task_Tracker!$F$5:$F$1004,MATCH($B1550,Task_Tracker!$A$5:$A$1004,0)),""))</f>
        <v/>
      </c>
      <c r="V1550" s="78">
        <f>IF($B1550="","",IFERROR(INDEX(Task_Tracker!$I$5:$I$1004,MATCH($B1550,Task_Tracker!$A$5:$A$1004,0)),""))</f>
        <v/>
      </c>
      <c r="W1550" s="81">
        <f>IF(OR($D1550="",$B1550=""),"",$D1550&amp;" | "&amp;$B1550)</f>
        <v/>
      </c>
      <c r="X1550" s="85">
        <f>IF($K1550="","",TEXT($K1550,"yyyy-mm"))</f>
        <v/>
      </c>
      <c r="Y1550" s="81">
        <f>IF(OR($A1550="",$T1550=""),"","Included in Manager_Report")</f>
        <v/>
      </c>
    </row>
    <row r="1551" ht="15" customHeight="1" s="40">
      <c r="A1551" s="65">
        <f>IF(COUNTA(B1551:G1551)=0,"","STP-"&amp;TEXT(ROW()-4,"0000"))</f>
        <v/>
      </c>
      <c r="B1551" s="78" t="n"/>
      <c r="C1551" s="67">
        <f>IF($B1551="","",IFERROR(INDEX(Task_Tracker!$D$5:$D$1004,MATCH($B1551,Task_Tracker!$A$5:$A$1004,0)),""))</f>
        <v/>
      </c>
      <c r="D1551" s="67">
        <f>IF($B1551="","",IFERROR(INDEX(Task_Tracker!$B$5:$B$1004,MATCH($B1551,Task_Tracker!$A$5:$A$1004,0)),""))</f>
        <v/>
      </c>
      <c r="E1551" s="81" t="n"/>
      <c r="F1551" s="81" t="n"/>
      <c r="G1551" s="78" t="n"/>
      <c r="H1551" s="78" t="n"/>
      <c r="I1551" s="67">
        <f>IF($H1551="","",IFERROR(INDEX(Action_Status_Map!$B$5:$B$11,MATCH($H1551,Action_Status_Map!$A$5:$A$11,0)),""))</f>
        <v/>
      </c>
      <c r="J1551" s="82" t="n"/>
      <c r="K1551" s="82" t="n"/>
      <c r="L1551" s="82" t="n"/>
      <c r="M1551" s="83" t="n"/>
      <c r="N1551" s="83" t="n"/>
      <c r="O1551" s="66">
        <f>IF(OR($M1551="",$N1551=""),"",$N1551-$M1551)</f>
        <v/>
      </c>
      <c r="P1551" s="84">
        <f>IF($J1551="","",IF($L1551&lt;&gt;"",$L1551-$J1551,TODAY()-$J1551))</f>
        <v/>
      </c>
      <c r="Q1551" s="85">
        <f>IF(OR($K1551="",$H1551="Completed",$H1551="Cancelled"),"",IF(AND($K1551&lt;TODAY(),$H1551&lt;&gt;"Completed",$H1551&lt;&gt;"Cancelled"),"Overdue","On Track"))</f>
        <v/>
      </c>
      <c r="R1551" s="81" t="n"/>
      <c r="S1551" s="81">
        <f>IF($B1551="","",IFERROR(INDEX(Task_Tracker!$AA$5:$AA$1004,MATCH($B1551,Task_Tracker!$A$5:$A$1004,0)),""))</f>
        <v/>
      </c>
      <c r="T1551" s="81">
        <f>IF($B1551="","",IFERROR(INDEX(Task_Tracker!$AB$5:$AB$1004,MATCH($B1551,Task_Tracker!$A$5:$A$1004,0)),""))</f>
        <v/>
      </c>
      <c r="U1551" s="78">
        <f>IF($B1551="","",IFERROR(INDEX(Task_Tracker!$F$5:$F$1004,MATCH($B1551,Task_Tracker!$A$5:$A$1004,0)),""))</f>
        <v/>
      </c>
      <c r="V1551" s="78">
        <f>IF($B1551="","",IFERROR(INDEX(Task_Tracker!$I$5:$I$1004,MATCH($B1551,Task_Tracker!$A$5:$A$1004,0)),""))</f>
        <v/>
      </c>
      <c r="W1551" s="81">
        <f>IF(OR($D1551="",$B1551=""),"",$D1551&amp;" | "&amp;$B1551)</f>
        <v/>
      </c>
      <c r="X1551" s="85">
        <f>IF($K1551="","",TEXT($K1551,"yyyy-mm"))</f>
        <v/>
      </c>
      <c r="Y1551" s="81">
        <f>IF(OR($A1551="",$T1551=""),"","Included in Manager_Report")</f>
        <v/>
      </c>
    </row>
    <row r="1552" ht="15" customHeight="1" s="40">
      <c r="A1552" s="65">
        <f>IF(COUNTA(B1552:G1552)=0,"","STP-"&amp;TEXT(ROW()-4,"0000"))</f>
        <v/>
      </c>
      <c r="B1552" s="78" t="n"/>
      <c r="C1552" s="67">
        <f>IF($B1552="","",IFERROR(INDEX(Task_Tracker!$D$5:$D$1004,MATCH($B1552,Task_Tracker!$A$5:$A$1004,0)),""))</f>
        <v/>
      </c>
      <c r="D1552" s="67">
        <f>IF($B1552="","",IFERROR(INDEX(Task_Tracker!$B$5:$B$1004,MATCH($B1552,Task_Tracker!$A$5:$A$1004,0)),""))</f>
        <v/>
      </c>
      <c r="E1552" s="81" t="n"/>
      <c r="F1552" s="81" t="n"/>
      <c r="G1552" s="78" t="n"/>
      <c r="H1552" s="78" t="n"/>
      <c r="I1552" s="67">
        <f>IF($H1552="","",IFERROR(INDEX(Action_Status_Map!$B$5:$B$11,MATCH($H1552,Action_Status_Map!$A$5:$A$11,0)),""))</f>
        <v/>
      </c>
      <c r="J1552" s="82" t="n"/>
      <c r="K1552" s="82" t="n"/>
      <c r="L1552" s="82" t="n"/>
      <c r="M1552" s="83" t="n"/>
      <c r="N1552" s="83" t="n"/>
      <c r="O1552" s="66">
        <f>IF(OR($M1552="",$N1552=""),"",$N1552-$M1552)</f>
        <v/>
      </c>
      <c r="P1552" s="84">
        <f>IF($J1552="","",IF($L1552&lt;&gt;"",$L1552-$J1552,TODAY()-$J1552))</f>
        <v/>
      </c>
      <c r="Q1552" s="85">
        <f>IF(OR($K1552="",$H1552="Completed",$H1552="Cancelled"),"",IF(AND($K1552&lt;TODAY(),$H1552&lt;&gt;"Completed",$H1552&lt;&gt;"Cancelled"),"Overdue","On Track"))</f>
        <v/>
      </c>
      <c r="R1552" s="81" t="n"/>
      <c r="S1552" s="81">
        <f>IF($B1552="","",IFERROR(INDEX(Task_Tracker!$AA$5:$AA$1004,MATCH($B1552,Task_Tracker!$A$5:$A$1004,0)),""))</f>
        <v/>
      </c>
      <c r="T1552" s="81">
        <f>IF($B1552="","",IFERROR(INDEX(Task_Tracker!$AB$5:$AB$1004,MATCH($B1552,Task_Tracker!$A$5:$A$1004,0)),""))</f>
        <v/>
      </c>
      <c r="U1552" s="78">
        <f>IF($B1552="","",IFERROR(INDEX(Task_Tracker!$F$5:$F$1004,MATCH($B1552,Task_Tracker!$A$5:$A$1004,0)),""))</f>
        <v/>
      </c>
      <c r="V1552" s="78">
        <f>IF($B1552="","",IFERROR(INDEX(Task_Tracker!$I$5:$I$1004,MATCH($B1552,Task_Tracker!$A$5:$A$1004,0)),""))</f>
        <v/>
      </c>
      <c r="W1552" s="81">
        <f>IF(OR($D1552="",$B1552=""),"",$D1552&amp;" | "&amp;$B1552)</f>
        <v/>
      </c>
      <c r="X1552" s="85">
        <f>IF($K1552="","",TEXT($K1552,"yyyy-mm"))</f>
        <v/>
      </c>
      <c r="Y1552" s="81">
        <f>IF(OR($A1552="",$T1552=""),"","Included in Manager_Report")</f>
        <v/>
      </c>
    </row>
    <row r="1553" ht="15" customHeight="1" s="40">
      <c r="A1553" s="65">
        <f>IF(COUNTA(B1553:G1553)=0,"","STP-"&amp;TEXT(ROW()-4,"0000"))</f>
        <v/>
      </c>
      <c r="B1553" s="78" t="n"/>
      <c r="C1553" s="67">
        <f>IF($B1553="","",IFERROR(INDEX(Task_Tracker!$D$5:$D$1004,MATCH($B1553,Task_Tracker!$A$5:$A$1004,0)),""))</f>
        <v/>
      </c>
      <c r="D1553" s="67">
        <f>IF($B1553="","",IFERROR(INDEX(Task_Tracker!$B$5:$B$1004,MATCH($B1553,Task_Tracker!$A$5:$A$1004,0)),""))</f>
        <v/>
      </c>
      <c r="E1553" s="81" t="n"/>
      <c r="F1553" s="81" t="n"/>
      <c r="G1553" s="78" t="n"/>
      <c r="H1553" s="78" t="n"/>
      <c r="I1553" s="67">
        <f>IF($H1553="","",IFERROR(INDEX(Action_Status_Map!$B$5:$B$11,MATCH($H1553,Action_Status_Map!$A$5:$A$11,0)),""))</f>
        <v/>
      </c>
      <c r="J1553" s="82" t="n"/>
      <c r="K1553" s="82" t="n"/>
      <c r="L1553" s="82" t="n"/>
      <c r="M1553" s="83" t="n"/>
      <c r="N1553" s="83" t="n"/>
      <c r="O1553" s="66">
        <f>IF(OR($M1553="",$N1553=""),"",$N1553-$M1553)</f>
        <v/>
      </c>
      <c r="P1553" s="84">
        <f>IF($J1553="","",IF($L1553&lt;&gt;"",$L1553-$J1553,TODAY()-$J1553))</f>
        <v/>
      </c>
      <c r="Q1553" s="85">
        <f>IF(OR($K1553="",$H1553="Completed",$H1553="Cancelled"),"",IF(AND($K1553&lt;TODAY(),$H1553&lt;&gt;"Completed",$H1553&lt;&gt;"Cancelled"),"Overdue","On Track"))</f>
        <v/>
      </c>
      <c r="R1553" s="81" t="n"/>
      <c r="S1553" s="81">
        <f>IF($B1553="","",IFERROR(INDEX(Task_Tracker!$AA$5:$AA$1004,MATCH($B1553,Task_Tracker!$A$5:$A$1004,0)),""))</f>
        <v/>
      </c>
      <c r="T1553" s="81">
        <f>IF($B1553="","",IFERROR(INDEX(Task_Tracker!$AB$5:$AB$1004,MATCH($B1553,Task_Tracker!$A$5:$A$1004,0)),""))</f>
        <v/>
      </c>
      <c r="U1553" s="78">
        <f>IF($B1553="","",IFERROR(INDEX(Task_Tracker!$F$5:$F$1004,MATCH($B1553,Task_Tracker!$A$5:$A$1004,0)),""))</f>
        <v/>
      </c>
      <c r="V1553" s="78">
        <f>IF($B1553="","",IFERROR(INDEX(Task_Tracker!$I$5:$I$1004,MATCH($B1553,Task_Tracker!$A$5:$A$1004,0)),""))</f>
        <v/>
      </c>
      <c r="W1553" s="81">
        <f>IF(OR($D1553="",$B1553=""),"",$D1553&amp;" | "&amp;$B1553)</f>
        <v/>
      </c>
      <c r="X1553" s="85">
        <f>IF($K1553="","",TEXT($K1553,"yyyy-mm"))</f>
        <v/>
      </c>
      <c r="Y1553" s="81">
        <f>IF(OR($A1553="",$T1553=""),"","Included in Manager_Report")</f>
        <v/>
      </c>
    </row>
    <row r="1554" ht="15" customHeight="1" s="40">
      <c r="A1554" s="65">
        <f>IF(COUNTA(B1554:G1554)=0,"","STP-"&amp;TEXT(ROW()-4,"0000"))</f>
        <v/>
      </c>
      <c r="B1554" s="78" t="n"/>
      <c r="C1554" s="67">
        <f>IF($B1554="","",IFERROR(INDEX(Task_Tracker!$D$5:$D$1004,MATCH($B1554,Task_Tracker!$A$5:$A$1004,0)),""))</f>
        <v/>
      </c>
      <c r="D1554" s="67">
        <f>IF($B1554="","",IFERROR(INDEX(Task_Tracker!$B$5:$B$1004,MATCH($B1554,Task_Tracker!$A$5:$A$1004,0)),""))</f>
        <v/>
      </c>
      <c r="E1554" s="81" t="n"/>
      <c r="F1554" s="81" t="n"/>
      <c r="G1554" s="78" t="n"/>
      <c r="H1554" s="78" t="n"/>
      <c r="I1554" s="67">
        <f>IF($H1554="","",IFERROR(INDEX(Action_Status_Map!$B$5:$B$11,MATCH($H1554,Action_Status_Map!$A$5:$A$11,0)),""))</f>
        <v/>
      </c>
      <c r="J1554" s="82" t="n"/>
      <c r="K1554" s="82" t="n"/>
      <c r="L1554" s="82" t="n"/>
      <c r="M1554" s="83" t="n"/>
      <c r="N1554" s="83" t="n"/>
      <c r="O1554" s="66">
        <f>IF(OR($M1554="",$N1554=""),"",$N1554-$M1554)</f>
        <v/>
      </c>
      <c r="P1554" s="84">
        <f>IF($J1554="","",IF($L1554&lt;&gt;"",$L1554-$J1554,TODAY()-$J1554))</f>
        <v/>
      </c>
      <c r="Q1554" s="85">
        <f>IF(OR($K1554="",$H1554="Completed",$H1554="Cancelled"),"",IF(AND($K1554&lt;TODAY(),$H1554&lt;&gt;"Completed",$H1554&lt;&gt;"Cancelled"),"Overdue","On Track"))</f>
        <v/>
      </c>
      <c r="R1554" s="81" t="n"/>
      <c r="S1554" s="81">
        <f>IF($B1554="","",IFERROR(INDEX(Task_Tracker!$AA$5:$AA$1004,MATCH($B1554,Task_Tracker!$A$5:$A$1004,0)),""))</f>
        <v/>
      </c>
      <c r="T1554" s="81">
        <f>IF($B1554="","",IFERROR(INDEX(Task_Tracker!$AB$5:$AB$1004,MATCH($B1554,Task_Tracker!$A$5:$A$1004,0)),""))</f>
        <v/>
      </c>
      <c r="U1554" s="78">
        <f>IF($B1554="","",IFERROR(INDEX(Task_Tracker!$F$5:$F$1004,MATCH($B1554,Task_Tracker!$A$5:$A$1004,0)),""))</f>
        <v/>
      </c>
      <c r="V1554" s="78">
        <f>IF($B1554="","",IFERROR(INDEX(Task_Tracker!$I$5:$I$1004,MATCH($B1554,Task_Tracker!$A$5:$A$1004,0)),""))</f>
        <v/>
      </c>
      <c r="W1554" s="81">
        <f>IF(OR($D1554="",$B1554=""),"",$D1554&amp;" | "&amp;$B1554)</f>
        <v/>
      </c>
      <c r="X1554" s="85">
        <f>IF($K1554="","",TEXT($K1554,"yyyy-mm"))</f>
        <v/>
      </c>
      <c r="Y1554" s="81">
        <f>IF(OR($A1554="",$T1554=""),"","Included in Manager_Report")</f>
        <v/>
      </c>
    </row>
    <row r="1555" ht="15" customHeight="1" s="40">
      <c r="A1555" s="65">
        <f>IF(COUNTA(B1555:G1555)=0,"","STP-"&amp;TEXT(ROW()-4,"0000"))</f>
        <v/>
      </c>
      <c r="B1555" s="78" t="n"/>
      <c r="C1555" s="67">
        <f>IF($B1555="","",IFERROR(INDEX(Task_Tracker!$D$5:$D$1004,MATCH($B1555,Task_Tracker!$A$5:$A$1004,0)),""))</f>
        <v/>
      </c>
      <c r="D1555" s="67">
        <f>IF($B1555="","",IFERROR(INDEX(Task_Tracker!$B$5:$B$1004,MATCH($B1555,Task_Tracker!$A$5:$A$1004,0)),""))</f>
        <v/>
      </c>
      <c r="E1555" s="81" t="n"/>
      <c r="F1555" s="81" t="n"/>
      <c r="G1555" s="78" t="n"/>
      <c r="H1555" s="78" t="n"/>
      <c r="I1555" s="67">
        <f>IF($H1555="","",IFERROR(INDEX(Action_Status_Map!$B$5:$B$11,MATCH($H1555,Action_Status_Map!$A$5:$A$11,0)),""))</f>
        <v/>
      </c>
      <c r="J1555" s="82" t="n"/>
      <c r="K1555" s="82" t="n"/>
      <c r="L1555" s="82" t="n"/>
      <c r="M1555" s="83" t="n"/>
      <c r="N1555" s="83" t="n"/>
      <c r="O1555" s="66">
        <f>IF(OR($M1555="",$N1555=""),"",$N1555-$M1555)</f>
        <v/>
      </c>
      <c r="P1555" s="84">
        <f>IF($J1555="","",IF($L1555&lt;&gt;"",$L1555-$J1555,TODAY()-$J1555))</f>
        <v/>
      </c>
      <c r="Q1555" s="85">
        <f>IF(OR($K1555="",$H1555="Completed",$H1555="Cancelled"),"",IF(AND($K1555&lt;TODAY(),$H1555&lt;&gt;"Completed",$H1555&lt;&gt;"Cancelled"),"Overdue","On Track"))</f>
        <v/>
      </c>
      <c r="R1555" s="81" t="n"/>
      <c r="S1555" s="81">
        <f>IF($B1555="","",IFERROR(INDEX(Task_Tracker!$AA$5:$AA$1004,MATCH($B1555,Task_Tracker!$A$5:$A$1004,0)),""))</f>
        <v/>
      </c>
      <c r="T1555" s="81">
        <f>IF($B1555="","",IFERROR(INDEX(Task_Tracker!$AB$5:$AB$1004,MATCH($B1555,Task_Tracker!$A$5:$A$1004,0)),""))</f>
        <v/>
      </c>
      <c r="U1555" s="78">
        <f>IF($B1555="","",IFERROR(INDEX(Task_Tracker!$F$5:$F$1004,MATCH($B1555,Task_Tracker!$A$5:$A$1004,0)),""))</f>
        <v/>
      </c>
      <c r="V1555" s="78">
        <f>IF($B1555="","",IFERROR(INDEX(Task_Tracker!$I$5:$I$1004,MATCH($B1555,Task_Tracker!$A$5:$A$1004,0)),""))</f>
        <v/>
      </c>
      <c r="W1555" s="81">
        <f>IF(OR($D1555="",$B1555=""),"",$D1555&amp;" | "&amp;$B1555)</f>
        <v/>
      </c>
      <c r="X1555" s="85">
        <f>IF($K1555="","",TEXT($K1555,"yyyy-mm"))</f>
        <v/>
      </c>
      <c r="Y1555" s="81">
        <f>IF(OR($A1555="",$T1555=""),"","Included in Manager_Report")</f>
        <v/>
      </c>
    </row>
    <row r="1556" ht="15" customHeight="1" s="40">
      <c r="A1556" s="65">
        <f>IF(COUNTA(B1556:G1556)=0,"","STP-"&amp;TEXT(ROW()-4,"0000"))</f>
        <v/>
      </c>
      <c r="B1556" s="78" t="n"/>
      <c r="C1556" s="67">
        <f>IF($B1556="","",IFERROR(INDEX(Task_Tracker!$D$5:$D$1004,MATCH($B1556,Task_Tracker!$A$5:$A$1004,0)),""))</f>
        <v/>
      </c>
      <c r="D1556" s="67">
        <f>IF($B1556="","",IFERROR(INDEX(Task_Tracker!$B$5:$B$1004,MATCH($B1556,Task_Tracker!$A$5:$A$1004,0)),""))</f>
        <v/>
      </c>
      <c r="E1556" s="81" t="n"/>
      <c r="F1556" s="81" t="n"/>
      <c r="G1556" s="78" t="n"/>
      <c r="H1556" s="78" t="n"/>
      <c r="I1556" s="67">
        <f>IF($H1556="","",IFERROR(INDEX(Action_Status_Map!$B$5:$B$11,MATCH($H1556,Action_Status_Map!$A$5:$A$11,0)),""))</f>
        <v/>
      </c>
      <c r="J1556" s="82" t="n"/>
      <c r="K1556" s="82" t="n"/>
      <c r="L1556" s="82" t="n"/>
      <c r="M1556" s="83" t="n"/>
      <c r="N1556" s="83" t="n"/>
      <c r="O1556" s="66">
        <f>IF(OR($M1556="",$N1556=""),"",$N1556-$M1556)</f>
        <v/>
      </c>
      <c r="P1556" s="84">
        <f>IF($J1556="","",IF($L1556&lt;&gt;"",$L1556-$J1556,TODAY()-$J1556))</f>
        <v/>
      </c>
      <c r="Q1556" s="85">
        <f>IF(OR($K1556="",$H1556="Completed",$H1556="Cancelled"),"",IF(AND($K1556&lt;TODAY(),$H1556&lt;&gt;"Completed",$H1556&lt;&gt;"Cancelled"),"Overdue","On Track"))</f>
        <v/>
      </c>
      <c r="R1556" s="81" t="n"/>
      <c r="S1556" s="81">
        <f>IF($B1556="","",IFERROR(INDEX(Task_Tracker!$AA$5:$AA$1004,MATCH($B1556,Task_Tracker!$A$5:$A$1004,0)),""))</f>
        <v/>
      </c>
      <c r="T1556" s="81">
        <f>IF($B1556="","",IFERROR(INDEX(Task_Tracker!$AB$5:$AB$1004,MATCH($B1556,Task_Tracker!$A$5:$A$1004,0)),""))</f>
        <v/>
      </c>
      <c r="U1556" s="78">
        <f>IF($B1556="","",IFERROR(INDEX(Task_Tracker!$F$5:$F$1004,MATCH($B1556,Task_Tracker!$A$5:$A$1004,0)),""))</f>
        <v/>
      </c>
      <c r="V1556" s="78">
        <f>IF($B1556="","",IFERROR(INDEX(Task_Tracker!$I$5:$I$1004,MATCH($B1556,Task_Tracker!$A$5:$A$1004,0)),""))</f>
        <v/>
      </c>
      <c r="W1556" s="81">
        <f>IF(OR($D1556="",$B1556=""),"",$D1556&amp;" | "&amp;$B1556)</f>
        <v/>
      </c>
      <c r="X1556" s="85">
        <f>IF($K1556="","",TEXT($K1556,"yyyy-mm"))</f>
        <v/>
      </c>
      <c r="Y1556" s="81">
        <f>IF(OR($A1556="",$T1556=""),"","Included in Manager_Report")</f>
        <v/>
      </c>
    </row>
    <row r="1557" ht="15" customHeight="1" s="40">
      <c r="A1557" s="65">
        <f>IF(COUNTA(B1557:G1557)=0,"","STP-"&amp;TEXT(ROW()-4,"0000"))</f>
        <v/>
      </c>
      <c r="B1557" s="78" t="n"/>
      <c r="C1557" s="67">
        <f>IF($B1557="","",IFERROR(INDEX(Task_Tracker!$D$5:$D$1004,MATCH($B1557,Task_Tracker!$A$5:$A$1004,0)),""))</f>
        <v/>
      </c>
      <c r="D1557" s="67">
        <f>IF($B1557="","",IFERROR(INDEX(Task_Tracker!$B$5:$B$1004,MATCH($B1557,Task_Tracker!$A$5:$A$1004,0)),""))</f>
        <v/>
      </c>
      <c r="E1557" s="81" t="n"/>
      <c r="F1557" s="81" t="n"/>
      <c r="G1557" s="78" t="n"/>
      <c r="H1557" s="78" t="n"/>
      <c r="I1557" s="67">
        <f>IF($H1557="","",IFERROR(INDEX(Action_Status_Map!$B$5:$B$11,MATCH($H1557,Action_Status_Map!$A$5:$A$11,0)),""))</f>
        <v/>
      </c>
      <c r="J1557" s="82" t="n"/>
      <c r="K1557" s="82" t="n"/>
      <c r="L1557" s="82" t="n"/>
      <c r="M1557" s="83" t="n"/>
      <c r="N1557" s="83" t="n"/>
      <c r="O1557" s="66">
        <f>IF(OR($M1557="",$N1557=""),"",$N1557-$M1557)</f>
        <v/>
      </c>
      <c r="P1557" s="84">
        <f>IF($J1557="","",IF($L1557&lt;&gt;"",$L1557-$J1557,TODAY()-$J1557))</f>
        <v/>
      </c>
      <c r="Q1557" s="85">
        <f>IF(OR($K1557="",$H1557="Completed",$H1557="Cancelled"),"",IF(AND($K1557&lt;TODAY(),$H1557&lt;&gt;"Completed",$H1557&lt;&gt;"Cancelled"),"Overdue","On Track"))</f>
        <v/>
      </c>
      <c r="R1557" s="81" t="n"/>
      <c r="S1557" s="81">
        <f>IF($B1557="","",IFERROR(INDEX(Task_Tracker!$AA$5:$AA$1004,MATCH($B1557,Task_Tracker!$A$5:$A$1004,0)),""))</f>
        <v/>
      </c>
      <c r="T1557" s="81">
        <f>IF($B1557="","",IFERROR(INDEX(Task_Tracker!$AB$5:$AB$1004,MATCH($B1557,Task_Tracker!$A$5:$A$1004,0)),""))</f>
        <v/>
      </c>
      <c r="U1557" s="78">
        <f>IF($B1557="","",IFERROR(INDEX(Task_Tracker!$F$5:$F$1004,MATCH($B1557,Task_Tracker!$A$5:$A$1004,0)),""))</f>
        <v/>
      </c>
      <c r="V1557" s="78">
        <f>IF($B1557="","",IFERROR(INDEX(Task_Tracker!$I$5:$I$1004,MATCH($B1557,Task_Tracker!$A$5:$A$1004,0)),""))</f>
        <v/>
      </c>
      <c r="W1557" s="81">
        <f>IF(OR($D1557="",$B1557=""),"",$D1557&amp;" | "&amp;$B1557)</f>
        <v/>
      </c>
      <c r="X1557" s="85">
        <f>IF($K1557="","",TEXT($K1557,"yyyy-mm"))</f>
        <v/>
      </c>
      <c r="Y1557" s="81">
        <f>IF(OR($A1557="",$T1557=""),"","Included in Manager_Report")</f>
        <v/>
      </c>
    </row>
    <row r="1558" ht="15" customHeight="1" s="40">
      <c r="A1558" s="65">
        <f>IF(COUNTA(B1558:G1558)=0,"","STP-"&amp;TEXT(ROW()-4,"0000"))</f>
        <v/>
      </c>
      <c r="B1558" s="78" t="n"/>
      <c r="C1558" s="67">
        <f>IF($B1558="","",IFERROR(INDEX(Task_Tracker!$D$5:$D$1004,MATCH($B1558,Task_Tracker!$A$5:$A$1004,0)),""))</f>
        <v/>
      </c>
      <c r="D1558" s="67">
        <f>IF($B1558="","",IFERROR(INDEX(Task_Tracker!$B$5:$B$1004,MATCH($B1558,Task_Tracker!$A$5:$A$1004,0)),""))</f>
        <v/>
      </c>
      <c r="E1558" s="81" t="n"/>
      <c r="F1558" s="81" t="n"/>
      <c r="G1558" s="78" t="n"/>
      <c r="H1558" s="78" t="n"/>
      <c r="I1558" s="67">
        <f>IF($H1558="","",IFERROR(INDEX(Action_Status_Map!$B$5:$B$11,MATCH($H1558,Action_Status_Map!$A$5:$A$11,0)),""))</f>
        <v/>
      </c>
      <c r="J1558" s="82" t="n"/>
      <c r="K1558" s="82" t="n"/>
      <c r="L1558" s="82" t="n"/>
      <c r="M1558" s="83" t="n"/>
      <c r="N1558" s="83" t="n"/>
      <c r="O1558" s="66">
        <f>IF(OR($M1558="",$N1558=""),"",$N1558-$M1558)</f>
        <v/>
      </c>
      <c r="P1558" s="84">
        <f>IF($J1558="","",IF($L1558&lt;&gt;"",$L1558-$J1558,TODAY()-$J1558))</f>
        <v/>
      </c>
      <c r="Q1558" s="85">
        <f>IF(OR($K1558="",$H1558="Completed",$H1558="Cancelled"),"",IF(AND($K1558&lt;TODAY(),$H1558&lt;&gt;"Completed",$H1558&lt;&gt;"Cancelled"),"Overdue","On Track"))</f>
        <v/>
      </c>
      <c r="R1558" s="81" t="n"/>
      <c r="S1558" s="81">
        <f>IF($B1558="","",IFERROR(INDEX(Task_Tracker!$AA$5:$AA$1004,MATCH($B1558,Task_Tracker!$A$5:$A$1004,0)),""))</f>
        <v/>
      </c>
      <c r="T1558" s="81">
        <f>IF($B1558="","",IFERROR(INDEX(Task_Tracker!$AB$5:$AB$1004,MATCH($B1558,Task_Tracker!$A$5:$A$1004,0)),""))</f>
        <v/>
      </c>
      <c r="U1558" s="78">
        <f>IF($B1558="","",IFERROR(INDEX(Task_Tracker!$F$5:$F$1004,MATCH($B1558,Task_Tracker!$A$5:$A$1004,0)),""))</f>
        <v/>
      </c>
      <c r="V1558" s="78">
        <f>IF($B1558="","",IFERROR(INDEX(Task_Tracker!$I$5:$I$1004,MATCH($B1558,Task_Tracker!$A$5:$A$1004,0)),""))</f>
        <v/>
      </c>
      <c r="W1558" s="81">
        <f>IF(OR($D1558="",$B1558=""),"",$D1558&amp;" | "&amp;$B1558)</f>
        <v/>
      </c>
      <c r="X1558" s="85">
        <f>IF($K1558="","",TEXT($K1558,"yyyy-mm"))</f>
        <v/>
      </c>
      <c r="Y1558" s="81">
        <f>IF(OR($A1558="",$T1558=""),"","Included in Manager_Report")</f>
        <v/>
      </c>
    </row>
    <row r="1559" ht="15" customHeight="1" s="40">
      <c r="A1559" s="65">
        <f>IF(COUNTA(B1559:G1559)=0,"","STP-"&amp;TEXT(ROW()-4,"0000"))</f>
        <v/>
      </c>
      <c r="B1559" s="78" t="n"/>
      <c r="C1559" s="67">
        <f>IF($B1559="","",IFERROR(INDEX(Task_Tracker!$D$5:$D$1004,MATCH($B1559,Task_Tracker!$A$5:$A$1004,0)),""))</f>
        <v/>
      </c>
      <c r="D1559" s="67">
        <f>IF($B1559="","",IFERROR(INDEX(Task_Tracker!$B$5:$B$1004,MATCH($B1559,Task_Tracker!$A$5:$A$1004,0)),""))</f>
        <v/>
      </c>
      <c r="E1559" s="81" t="n"/>
      <c r="F1559" s="81" t="n"/>
      <c r="G1559" s="78" t="n"/>
      <c r="H1559" s="78" t="n"/>
      <c r="I1559" s="67">
        <f>IF($H1559="","",IFERROR(INDEX(Action_Status_Map!$B$5:$B$11,MATCH($H1559,Action_Status_Map!$A$5:$A$11,0)),""))</f>
        <v/>
      </c>
      <c r="J1559" s="82" t="n"/>
      <c r="K1559" s="82" t="n"/>
      <c r="L1559" s="82" t="n"/>
      <c r="M1559" s="83" t="n"/>
      <c r="N1559" s="83" t="n"/>
      <c r="O1559" s="66">
        <f>IF(OR($M1559="",$N1559=""),"",$N1559-$M1559)</f>
        <v/>
      </c>
      <c r="P1559" s="84">
        <f>IF($J1559="","",IF($L1559&lt;&gt;"",$L1559-$J1559,TODAY()-$J1559))</f>
        <v/>
      </c>
      <c r="Q1559" s="85">
        <f>IF(OR($K1559="",$H1559="Completed",$H1559="Cancelled"),"",IF(AND($K1559&lt;TODAY(),$H1559&lt;&gt;"Completed",$H1559&lt;&gt;"Cancelled"),"Overdue","On Track"))</f>
        <v/>
      </c>
      <c r="R1559" s="81" t="n"/>
      <c r="S1559" s="81">
        <f>IF($B1559="","",IFERROR(INDEX(Task_Tracker!$AA$5:$AA$1004,MATCH($B1559,Task_Tracker!$A$5:$A$1004,0)),""))</f>
        <v/>
      </c>
      <c r="T1559" s="81">
        <f>IF($B1559="","",IFERROR(INDEX(Task_Tracker!$AB$5:$AB$1004,MATCH($B1559,Task_Tracker!$A$5:$A$1004,0)),""))</f>
        <v/>
      </c>
      <c r="U1559" s="78">
        <f>IF($B1559="","",IFERROR(INDEX(Task_Tracker!$F$5:$F$1004,MATCH($B1559,Task_Tracker!$A$5:$A$1004,0)),""))</f>
        <v/>
      </c>
      <c r="V1559" s="78">
        <f>IF($B1559="","",IFERROR(INDEX(Task_Tracker!$I$5:$I$1004,MATCH($B1559,Task_Tracker!$A$5:$A$1004,0)),""))</f>
        <v/>
      </c>
      <c r="W1559" s="81">
        <f>IF(OR($D1559="",$B1559=""),"",$D1559&amp;" | "&amp;$B1559)</f>
        <v/>
      </c>
      <c r="X1559" s="85">
        <f>IF($K1559="","",TEXT($K1559,"yyyy-mm"))</f>
        <v/>
      </c>
      <c r="Y1559" s="81">
        <f>IF(OR($A1559="",$T1559=""),"","Included in Manager_Report")</f>
        <v/>
      </c>
    </row>
    <row r="1560" ht="15" customHeight="1" s="40">
      <c r="A1560" s="65">
        <f>IF(COUNTA(B1560:G1560)=0,"","STP-"&amp;TEXT(ROW()-4,"0000"))</f>
        <v/>
      </c>
      <c r="B1560" s="78" t="n"/>
      <c r="C1560" s="67">
        <f>IF($B1560="","",IFERROR(INDEX(Task_Tracker!$D$5:$D$1004,MATCH($B1560,Task_Tracker!$A$5:$A$1004,0)),""))</f>
        <v/>
      </c>
      <c r="D1560" s="67">
        <f>IF($B1560="","",IFERROR(INDEX(Task_Tracker!$B$5:$B$1004,MATCH($B1560,Task_Tracker!$A$5:$A$1004,0)),""))</f>
        <v/>
      </c>
      <c r="E1560" s="81" t="n"/>
      <c r="F1560" s="81" t="n"/>
      <c r="G1560" s="78" t="n"/>
      <c r="H1560" s="78" t="n"/>
      <c r="I1560" s="67">
        <f>IF($H1560="","",IFERROR(INDEX(Action_Status_Map!$B$5:$B$11,MATCH($H1560,Action_Status_Map!$A$5:$A$11,0)),""))</f>
        <v/>
      </c>
      <c r="J1560" s="82" t="n"/>
      <c r="K1560" s="82" t="n"/>
      <c r="L1560" s="82" t="n"/>
      <c r="M1560" s="83" t="n"/>
      <c r="N1560" s="83" t="n"/>
      <c r="O1560" s="66">
        <f>IF(OR($M1560="",$N1560=""),"",$N1560-$M1560)</f>
        <v/>
      </c>
      <c r="P1560" s="84">
        <f>IF($J1560="","",IF($L1560&lt;&gt;"",$L1560-$J1560,TODAY()-$J1560))</f>
        <v/>
      </c>
      <c r="Q1560" s="85">
        <f>IF(OR($K1560="",$H1560="Completed",$H1560="Cancelled"),"",IF(AND($K1560&lt;TODAY(),$H1560&lt;&gt;"Completed",$H1560&lt;&gt;"Cancelled"),"Overdue","On Track"))</f>
        <v/>
      </c>
      <c r="R1560" s="81" t="n"/>
      <c r="S1560" s="81">
        <f>IF($B1560="","",IFERROR(INDEX(Task_Tracker!$AA$5:$AA$1004,MATCH($B1560,Task_Tracker!$A$5:$A$1004,0)),""))</f>
        <v/>
      </c>
      <c r="T1560" s="81">
        <f>IF($B1560="","",IFERROR(INDEX(Task_Tracker!$AB$5:$AB$1004,MATCH($B1560,Task_Tracker!$A$5:$A$1004,0)),""))</f>
        <v/>
      </c>
      <c r="U1560" s="78">
        <f>IF($B1560="","",IFERROR(INDEX(Task_Tracker!$F$5:$F$1004,MATCH($B1560,Task_Tracker!$A$5:$A$1004,0)),""))</f>
        <v/>
      </c>
      <c r="V1560" s="78">
        <f>IF($B1560="","",IFERROR(INDEX(Task_Tracker!$I$5:$I$1004,MATCH($B1560,Task_Tracker!$A$5:$A$1004,0)),""))</f>
        <v/>
      </c>
      <c r="W1560" s="81">
        <f>IF(OR($D1560="",$B1560=""),"",$D1560&amp;" | "&amp;$B1560)</f>
        <v/>
      </c>
      <c r="X1560" s="85">
        <f>IF($K1560="","",TEXT($K1560,"yyyy-mm"))</f>
        <v/>
      </c>
      <c r="Y1560" s="81">
        <f>IF(OR($A1560="",$T1560=""),"","Included in Manager_Report")</f>
        <v/>
      </c>
    </row>
    <row r="1561" ht="15" customHeight="1" s="40">
      <c r="A1561" s="65">
        <f>IF(COUNTA(B1561:G1561)=0,"","STP-"&amp;TEXT(ROW()-4,"0000"))</f>
        <v/>
      </c>
      <c r="B1561" s="78" t="n"/>
      <c r="C1561" s="67">
        <f>IF($B1561="","",IFERROR(INDEX(Task_Tracker!$D$5:$D$1004,MATCH($B1561,Task_Tracker!$A$5:$A$1004,0)),""))</f>
        <v/>
      </c>
      <c r="D1561" s="67">
        <f>IF($B1561="","",IFERROR(INDEX(Task_Tracker!$B$5:$B$1004,MATCH($B1561,Task_Tracker!$A$5:$A$1004,0)),""))</f>
        <v/>
      </c>
      <c r="E1561" s="81" t="n"/>
      <c r="F1561" s="81" t="n"/>
      <c r="G1561" s="78" t="n"/>
      <c r="H1561" s="78" t="n"/>
      <c r="I1561" s="67">
        <f>IF($H1561="","",IFERROR(INDEX(Action_Status_Map!$B$5:$B$11,MATCH($H1561,Action_Status_Map!$A$5:$A$11,0)),""))</f>
        <v/>
      </c>
      <c r="J1561" s="82" t="n"/>
      <c r="K1561" s="82" t="n"/>
      <c r="L1561" s="82" t="n"/>
      <c r="M1561" s="83" t="n"/>
      <c r="N1561" s="83" t="n"/>
      <c r="O1561" s="66">
        <f>IF(OR($M1561="",$N1561=""),"",$N1561-$M1561)</f>
        <v/>
      </c>
      <c r="P1561" s="84">
        <f>IF($J1561="","",IF($L1561&lt;&gt;"",$L1561-$J1561,TODAY()-$J1561))</f>
        <v/>
      </c>
      <c r="Q1561" s="85">
        <f>IF(OR($K1561="",$H1561="Completed",$H1561="Cancelled"),"",IF(AND($K1561&lt;TODAY(),$H1561&lt;&gt;"Completed",$H1561&lt;&gt;"Cancelled"),"Overdue","On Track"))</f>
        <v/>
      </c>
      <c r="R1561" s="81" t="n"/>
      <c r="S1561" s="81">
        <f>IF($B1561="","",IFERROR(INDEX(Task_Tracker!$AA$5:$AA$1004,MATCH($B1561,Task_Tracker!$A$5:$A$1004,0)),""))</f>
        <v/>
      </c>
      <c r="T1561" s="81">
        <f>IF($B1561="","",IFERROR(INDEX(Task_Tracker!$AB$5:$AB$1004,MATCH($B1561,Task_Tracker!$A$5:$A$1004,0)),""))</f>
        <v/>
      </c>
      <c r="U1561" s="78">
        <f>IF($B1561="","",IFERROR(INDEX(Task_Tracker!$F$5:$F$1004,MATCH($B1561,Task_Tracker!$A$5:$A$1004,0)),""))</f>
        <v/>
      </c>
      <c r="V1561" s="78">
        <f>IF($B1561="","",IFERROR(INDEX(Task_Tracker!$I$5:$I$1004,MATCH($B1561,Task_Tracker!$A$5:$A$1004,0)),""))</f>
        <v/>
      </c>
      <c r="W1561" s="81">
        <f>IF(OR($D1561="",$B1561=""),"",$D1561&amp;" | "&amp;$B1561)</f>
        <v/>
      </c>
      <c r="X1561" s="85">
        <f>IF($K1561="","",TEXT($K1561,"yyyy-mm"))</f>
        <v/>
      </c>
      <c r="Y1561" s="81">
        <f>IF(OR($A1561="",$T1561=""),"","Included in Manager_Report")</f>
        <v/>
      </c>
    </row>
    <row r="1562" ht="15" customHeight="1" s="40">
      <c r="A1562" s="65">
        <f>IF(COUNTA(B1562:G1562)=0,"","STP-"&amp;TEXT(ROW()-4,"0000"))</f>
        <v/>
      </c>
      <c r="B1562" s="78" t="n"/>
      <c r="C1562" s="67">
        <f>IF($B1562="","",IFERROR(INDEX(Task_Tracker!$D$5:$D$1004,MATCH($B1562,Task_Tracker!$A$5:$A$1004,0)),""))</f>
        <v/>
      </c>
      <c r="D1562" s="67">
        <f>IF($B1562="","",IFERROR(INDEX(Task_Tracker!$B$5:$B$1004,MATCH($B1562,Task_Tracker!$A$5:$A$1004,0)),""))</f>
        <v/>
      </c>
      <c r="E1562" s="81" t="n"/>
      <c r="F1562" s="81" t="n"/>
      <c r="G1562" s="78" t="n"/>
      <c r="H1562" s="78" t="n"/>
      <c r="I1562" s="67">
        <f>IF($H1562="","",IFERROR(INDEX(Action_Status_Map!$B$5:$B$11,MATCH($H1562,Action_Status_Map!$A$5:$A$11,0)),""))</f>
        <v/>
      </c>
      <c r="J1562" s="82" t="n"/>
      <c r="K1562" s="82" t="n"/>
      <c r="L1562" s="82" t="n"/>
      <c r="M1562" s="83" t="n"/>
      <c r="N1562" s="83" t="n"/>
      <c r="O1562" s="66">
        <f>IF(OR($M1562="",$N1562=""),"",$N1562-$M1562)</f>
        <v/>
      </c>
      <c r="P1562" s="84">
        <f>IF($J1562="","",IF($L1562&lt;&gt;"",$L1562-$J1562,TODAY()-$J1562))</f>
        <v/>
      </c>
      <c r="Q1562" s="85">
        <f>IF(OR($K1562="",$H1562="Completed",$H1562="Cancelled"),"",IF(AND($K1562&lt;TODAY(),$H1562&lt;&gt;"Completed",$H1562&lt;&gt;"Cancelled"),"Overdue","On Track"))</f>
        <v/>
      </c>
      <c r="R1562" s="81" t="n"/>
      <c r="S1562" s="81">
        <f>IF($B1562="","",IFERROR(INDEX(Task_Tracker!$AA$5:$AA$1004,MATCH($B1562,Task_Tracker!$A$5:$A$1004,0)),""))</f>
        <v/>
      </c>
      <c r="T1562" s="81">
        <f>IF($B1562="","",IFERROR(INDEX(Task_Tracker!$AB$5:$AB$1004,MATCH($B1562,Task_Tracker!$A$5:$A$1004,0)),""))</f>
        <v/>
      </c>
      <c r="U1562" s="78">
        <f>IF($B1562="","",IFERROR(INDEX(Task_Tracker!$F$5:$F$1004,MATCH($B1562,Task_Tracker!$A$5:$A$1004,0)),""))</f>
        <v/>
      </c>
      <c r="V1562" s="78">
        <f>IF($B1562="","",IFERROR(INDEX(Task_Tracker!$I$5:$I$1004,MATCH($B1562,Task_Tracker!$A$5:$A$1004,0)),""))</f>
        <v/>
      </c>
      <c r="W1562" s="81">
        <f>IF(OR($D1562="",$B1562=""),"",$D1562&amp;" | "&amp;$B1562)</f>
        <v/>
      </c>
      <c r="X1562" s="85">
        <f>IF($K1562="","",TEXT($K1562,"yyyy-mm"))</f>
        <v/>
      </c>
      <c r="Y1562" s="81">
        <f>IF(OR($A1562="",$T1562=""),"","Included in Manager_Report")</f>
        <v/>
      </c>
    </row>
    <row r="1563" ht="15" customHeight="1" s="40">
      <c r="A1563" s="65">
        <f>IF(COUNTA(B1563:G1563)=0,"","STP-"&amp;TEXT(ROW()-4,"0000"))</f>
        <v/>
      </c>
      <c r="B1563" s="78" t="n"/>
      <c r="C1563" s="67">
        <f>IF($B1563="","",IFERROR(INDEX(Task_Tracker!$D$5:$D$1004,MATCH($B1563,Task_Tracker!$A$5:$A$1004,0)),""))</f>
        <v/>
      </c>
      <c r="D1563" s="67">
        <f>IF($B1563="","",IFERROR(INDEX(Task_Tracker!$B$5:$B$1004,MATCH($B1563,Task_Tracker!$A$5:$A$1004,0)),""))</f>
        <v/>
      </c>
      <c r="E1563" s="81" t="n"/>
      <c r="F1563" s="81" t="n"/>
      <c r="G1563" s="78" t="n"/>
      <c r="H1563" s="78" t="n"/>
      <c r="I1563" s="67">
        <f>IF($H1563="","",IFERROR(INDEX(Action_Status_Map!$B$5:$B$11,MATCH($H1563,Action_Status_Map!$A$5:$A$11,0)),""))</f>
        <v/>
      </c>
      <c r="J1563" s="82" t="n"/>
      <c r="K1563" s="82" t="n"/>
      <c r="L1563" s="82" t="n"/>
      <c r="M1563" s="83" t="n"/>
      <c r="N1563" s="83" t="n"/>
      <c r="O1563" s="66">
        <f>IF(OR($M1563="",$N1563=""),"",$N1563-$M1563)</f>
        <v/>
      </c>
      <c r="P1563" s="84">
        <f>IF($J1563="","",IF($L1563&lt;&gt;"",$L1563-$J1563,TODAY()-$J1563))</f>
        <v/>
      </c>
      <c r="Q1563" s="85">
        <f>IF(OR($K1563="",$H1563="Completed",$H1563="Cancelled"),"",IF(AND($K1563&lt;TODAY(),$H1563&lt;&gt;"Completed",$H1563&lt;&gt;"Cancelled"),"Overdue","On Track"))</f>
        <v/>
      </c>
      <c r="R1563" s="81" t="n"/>
      <c r="S1563" s="81">
        <f>IF($B1563="","",IFERROR(INDEX(Task_Tracker!$AA$5:$AA$1004,MATCH($B1563,Task_Tracker!$A$5:$A$1004,0)),""))</f>
        <v/>
      </c>
      <c r="T1563" s="81">
        <f>IF($B1563="","",IFERROR(INDEX(Task_Tracker!$AB$5:$AB$1004,MATCH($B1563,Task_Tracker!$A$5:$A$1004,0)),""))</f>
        <v/>
      </c>
      <c r="U1563" s="78">
        <f>IF($B1563="","",IFERROR(INDEX(Task_Tracker!$F$5:$F$1004,MATCH($B1563,Task_Tracker!$A$5:$A$1004,0)),""))</f>
        <v/>
      </c>
      <c r="V1563" s="78">
        <f>IF($B1563="","",IFERROR(INDEX(Task_Tracker!$I$5:$I$1004,MATCH($B1563,Task_Tracker!$A$5:$A$1004,0)),""))</f>
        <v/>
      </c>
      <c r="W1563" s="81">
        <f>IF(OR($D1563="",$B1563=""),"",$D1563&amp;" | "&amp;$B1563)</f>
        <v/>
      </c>
      <c r="X1563" s="85">
        <f>IF($K1563="","",TEXT($K1563,"yyyy-mm"))</f>
        <v/>
      </c>
      <c r="Y1563" s="81">
        <f>IF(OR($A1563="",$T1563=""),"","Included in Manager_Report")</f>
        <v/>
      </c>
    </row>
    <row r="1564" ht="15" customHeight="1" s="40">
      <c r="A1564" s="65">
        <f>IF(COUNTA(B1564:G1564)=0,"","STP-"&amp;TEXT(ROW()-4,"0000"))</f>
        <v/>
      </c>
      <c r="B1564" s="78" t="n"/>
      <c r="C1564" s="67">
        <f>IF($B1564="","",IFERROR(INDEX(Task_Tracker!$D$5:$D$1004,MATCH($B1564,Task_Tracker!$A$5:$A$1004,0)),""))</f>
        <v/>
      </c>
      <c r="D1564" s="67">
        <f>IF($B1564="","",IFERROR(INDEX(Task_Tracker!$B$5:$B$1004,MATCH($B1564,Task_Tracker!$A$5:$A$1004,0)),""))</f>
        <v/>
      </c>
      <c r="E1564" s="81" t="n"/>
      <c r="F1564" s="81" t="n"/>
      <c r="G1564" s="78" t="n"/>
      <c r="H1564" s="78" t="n"/>
      <c r="I1564" s="67">
        <f>IF($H1564="","",IFERROR(INDEX(Action_Status_Map!$B$5:$B$11,MATCH($H1564,Action_Status_Map!$A$5:$A$11,0)),""))</f>
        <v/>
      </c>
      <c r="J1564" s="82" t="n"/>
      <c r="K1564" s="82" t="n"/>
      <c r="L1564" s="82" t="n"/>
      <c r="M1564" s="83" t="n"/>
      <c r="N1564" s="83" t="n"/>
      <c r="O1564" s="66">
        <f>IF(OR($M1564="",$N1564=""),"",$N1564-$M1564)</f>
        <v/>
      </c>
      <c r="P1564" s="84">
        <f>IF($J1564="","",IF($L1564&lt;&gt;"",$L1564-$J1564,TODAY()-$J1564))</f>
        <v/>
      </c>
      <c r="Q1564" s="85">
        <f>IF(OR($K1564="",$H1564="Completed",$H1564="Cancelled"),"",IF(AND($K1564&lt;TODAY(),$H1564&lt;&gt;"Completed",$H1564&lt;&gt;"Cancelled"),"Overdue","On Track"))</f>
        <v/>
      </c>
      <c r="R1564" s="81" t="n"/>
      <c r="S1564" s="81">
        <f>IF($B1564="","",IFERROR(INDEX(Task_Tracker!$AA$5:$AA$1004,MATCH($B1564,Task_Tracker!$A$5:$A$1004,0)),""))</f>
        <v/>
      </c>
      <c r="T1564" s="81">
        <f>IF($B1564="","",IFERROR(INDEX(Task_Tracker!$AB$5:$AB$1004,MATCH($B1564,Task_Tracker!$A$5:$A$1004,0)),""))</f>
        <v/>
      </c>
      <c r="U1564" s="78">
        <f>IF($B1564="","",IFERROR(INDEX(Task_Tracker!$F$5:$F$1004,MATCH($B1564,Task_Tracker!$A$5:$A$1004,0)),""))</f>
        <v/>
      </c>
      <c r="V1564" s="78">
        <f>IF($B1564="","",IFERROR(INDEX(Task_Tracker!$I$5:$I$1004,MATCH($B1564,Task_Tracker!$A$5:$A$1004,0)),""))</f>
        <v/>
      </c>
      <c r="W1564" s="81">
        <f>IF(OR($D1564="",$B1564=""),"",$D1564&amp;" | "&amp;$B1564)</f>
        <v/>
      </c>
      <c r="X1564" s="85">
        <f>IF($K1564="","",TEXT($K1564,"yyyy-mm"))</f>
        <v/>
      </c>
      <c r="Y1564" s="81">
        <f>IF(OR($A1564="",$T1564=""),"","Included in Manager_Report")</f>
        <v/>
      </c>
    </row>
    <row r="1565" ht="15" customHeight="1" s="40">
      <c r="A1565" s="65">
        <f>IF(COUNTA(B1565:G1565)=0,"","STP-"&amp;TEXT(ROW()-4,"0000"))</f>
        <v/>
      </c>
      <c r="B1565" s="78" t="n"/>
      <c r="C1565" s="67">
        <f>IF($B1565="","",IFERROR(INDEX(Task_Tracker!$D$5:$D$1004,MATCH($B1565,Task_Tracker!$A$5:$A$1004,0)),""))</f>
        <v/>
      </c>
      <c r="D1565" s="67">
        <f>IF($B1565="","",IFERROR(INDEX(Task_Tracker!$B$5:$B$1004,MATCH($B1565,Task_Tracker!$A$5:$A$1004,0)),""))</f>
        <v/>
      </c>
      <c r="E1565" s="81" t="n"/>
      <c r="F1565" s="81" t="n"/>
      <c r="G1565" s="78" t="n"/>
      <c r="H1565" s="78" t="n"/>
      <c r="I1565" s="67">
        <f>IF($H1565="","",IFERROR(INDEX(Action_Status_Map!$B$5:$B$11,MATCH($H1565,Action_Status_Map!$A$5:$A$11,0)),""))</f>
        <v/>
      </c>
      <c r="J1565" s="82" t="n"/>
      <c r="K1565" s="82" t="n"/>
      <c r="L1565" s="82" t="n"/>
      <c r="M1565" s="83" t="n"/>
      <c r="N1565" s="83" t="n"/>
      <c r="O1565" s="66">
        <f>IF(OR($M1565="",$N1565=""),"",$N1565-$M1565)</f>
        <v/>
      </c>
      <c r="P1565" s="84">
        <f>IF($J1565="","",IF($L1565&lt;&gt;"",$L1565-$J1565,TODAY()-$J1565))</f>
        <v/>
      </c>
      <c r="Q1565" s="85">
        <f>IF(OR($K1565="",$H1565="Completed",$H1565="Cancelled"),"",IF(AND($K1565&lt;TODAY(),$H1565&lt;&gt;"Completed",$H1565&lt;&gt;"Cancelled"),"Overdue","On Track"))</f>
        <v/>
      </c>
      <c r="R1565" s="81" t="n"/>
      <c r="S1565" s="81">
        <f>IF($B1565="","",IFERROR(INDEX(Task_Tracker!$AA$5:$AA$1004,MATCH($B1565,Task_Tracker!$A$5:$A$1004,0)),""))</f>
        <v/>
      </c>
      <c r="T1565" s="81">
        <f>IF($B1565="","",IFERROR(INDEX(Task_Tracker!$AB$5:$AB$1004,MATCH($B1565,Task_Tracker!$A$5:$A$1004,0)),""))</f>
        <v/>
      </c>
      <c r="U1565" s="78">
        <f>IF($B1565="","",IFERROR(INDEX(Task_Tracker!$F$5:$F$1004,MATCH($B1565,Task_Tracker!$A$5:$A$1004,0)),""))</f>
        <v/>
      </c>
      <c r="V1565" s="78">
        <f>IF($B1565="","",IFERROR(INDEX(Task_Tracker!$I$5:$I$1004,MATCH($B1565,Task_Tracker!$A$5:$A$1004,0)),""))</f>
        <v/>
      </c>
      <c r="W1565" s="81">
        <f>IF(OR($D1565="",$B1565=""),"",$D1565&amp;" | "&amp;$B1565)</f>
        <v/>
      </c>
      <c r="X1565" s="85">
        <f>IF($K1565="","",TEXT($K1565,"yyyy-mm"))</f>
        <v/>
      </c>
      <c r="Y1565" s="81">
        <f>IF(OR($A1565="",$T1565=""),"","Included in Manager_Report")</f>
        <v/>
      </c>
    </row>
    <row r="1566" ht="15" customHeight="1" s="40">
      <c r="A1566" s="65">
        <f>IF(COUNTA(B1566:G1566)=0,"","STP-"&amp;TEXT(ROW()-4,"0000"))</f>
        <v/>
      </c>
      <c r="B1566" s="78" t="n"/>
      <c r="C1566" s="67">
        <f>IF($B1566="","",IFERROR(INDEX(Task_Tracker!$D$5:$D$1004,MATCH($B1566,Task_Tracker!$A$5:$A$1004,0)),""))</f>
        <v/>
      </c>
      <c r="D1566" s="67">
        <f>IF($B1566="","",IFERROR(INDEX(Task_Tracker!$B$5:$B$1004,MATCH($B1566,Task_Tracker!$A$5:$A$1004,0)),""))</f>
        <v/>
      </c>
      <c r="E1566" s="81" t="n"/>
      <c r="F1566" s="81" t="n"/>
      <c r="G1566" s="78" t="n"/>
      <c r="H1566" s="78" t="n"/>
      <c r="I1566" s="67">
        <f>IF($H1566="","",IFERROR(INDEX(Action_Status_Map!$B$5:$B$11,MATCH($H1566,Action_Status_Map!$A$5:$A$11,0)),""))</f>
        <v/>
      </c>
      <c r="J1566" s="82" t="n"/>
      <c r="K1566" s="82" t="n"/>
      <c r="L1566" s="82" t="n"/>
      <c r="M1566" s="83" t="n"/>
      <c r="N1566" s="83" t="n"/>
      <c r="O1566" s="66">
        <f>IF(OR($M1566="",$N1566=""),"",$N1566-$M1566)</f>
        <v/>
      </c>
      <c r="P1566" s="84">
        <f>IF($J1566="","",IF($L1566&lt;&gt;"",$L1566-$J1566,TODAY()-$J1566))</f>
        <v/>
      </c>
      <c r="Q1566" s="85">
        <f>IF(OR($K1566="",$H1566="Completed",$H1566="Cancelled"),"",IF(AND($K1566&lt;TODAY(),$H1566&lt;&gt;"Completed",$H1566&lt;&gt;"Cancelled"),"Overdue","On Track"))</f>
        <v/>
      </c>
      <c r="R1566" s="81" t="n"/>
      <c r="S1566" s="81">
        <f>IF($B1566="","",IFERROR(INDEX(Task_Tracker!$AA$5:$AA$1004,MATCH($B1566,Task_Tracker!$A$5:$A$1004,0)),""))</f>
        <v/>
      </c>
      <c r="T1566" s="81">
        <f>IF($B1566="","",IFERROR(INDEX(Task_Tracker!$AB$5:$AB$1004,MATCH($B1566,Task_Tracker!$A$5:$A$1004,0)),""))</f>
        <v/>
      </c>
      <c r="U1566" s="78">
        <f>IF($B1566="","",IFERROR(INDEX(Task_Tracker!$F$5:$F$1004,MATCH($B1566,Task_Tracker!$A$5:$A$1004,0)),""))</f>
        <v/>
      </c>
      <c r="V1566" s="78">
        <f>IF($B1566="","",IFERROR(INDEX(Task_Tracker!$I$5:$I$1004,MATCH($B1566,Task_Tracker!$A$5:$A$1004,0)),""))</f>
        <v/>
      </c>
      <c r="W1566" s="81">
        <f>IF(OR($D1566="",$B1566=""),"",$D1566&amp;" | "&amp;$B1566)</f>
        <v/>
      </c>
      <c r="X1566" s="85">
        <f>IF($K1566="","",TEXT($K1566,"yyyy-mm"))</f>
        <v/>
      </c>
      <c r="Y1566" s="81">
        <f>IF(OR($A1566="",$T1566=""),"","Included in Manager_Report")</f>
        <v/>
      </c>
    </row>
    <row r="1567" ht="15" customHeight="1" s="40">
      <c r="A1567" s="65">
        <f>IF(COUNTA(B1567:G1567)=0,"","STP-"&amp;TEXT(ROW()-4,"0000"))</f>
        <v/>
      </c>
      <c r="B1567" s="78" t="n"/>
      <c r="C1567" s="67">
        <f>IF($B1567="","",IFERROR(INDEX(Task_Tracker!$D$5:$D$1004,MATCH($B1567,Task_Tracker!$A$5:$A$1004,0)),""))</f>
        <v/>
      </c>
      <c r="D1567" s="67">
        <f>IF($B1567="","",IFERROR(INDEX(Task_Tracker!$B$5:$B$1004,MATCH($B1567,Task_Tracker!$A$5:$A$1004,0)),""))</f>
        <v/>
      </c>
      <c r="E1567" s="81" t="n"/>
      <c r="F1567" s="81" t="n"/>
      <c r="G1567" s="78" t="n"/>
      <c r="H1567" s="78" t="n"/>
      <c r="I1567" s="67">
        <f>IF($H1567="","",IFERROR(INDEX(Action_Status_Map!$B$5:$B$11,MATCH($H1567,Action_Status_Map!$A$5:$A$11,0)),""))</f>
        <v/>
      </c>
      <c r="J1567" s="82" t="n"/>
      <c r="K1567" s="82" t="n"/>
      <c r="L1567" s="82" t="n"/>
      <c r="M1567" s="83" t="n"/>
      <c r="N1567" s="83" t="n"/>
      <c r="O1567" s="66">
        <f>IF(OR($M1567="",$N1567=""),"",$N1567-$M1567)</f>
        <v/>
      </c>
      <c r="P1567" s="84">
        <f>IF($J1567="","",IF($L1567&lt;&gt;"",$L1567-$J1567,TODAY()-$J1567))</f>
        <v/>
      </c>
      <c r="Q1567" s="85">
        <f>IF(OR($K1567="",$H1567="Completed",$H1567="Cancelled"),"",IF(AND($K1567&lt;TODAY(),$H1567&lt;&gt;"Completed",$H1567&lt;&gt;"Cancelled"),"Overdue","On Track"))</f>
        <v/>
      </c>
      <c r="R1567" s="81" t="n"/>
      <c r="S1567" s="81">
        <f>IF($B1567="","",IFERROR(INDEX(Task_Tracker!$AA$5:$AA$1004,MATCH($B1567,Task_Tracker!$A$5:$A$1004,0)),""))</f>
        <v/>
      </c>
      <c r="T1567" s="81">
        <f>IF($B1567="","",IFERROR(INDEX(Task_Tracker!$AB$5:$AB$1004,MATCH($B1567,Task_Tracker!$A$5:$A$1004,0)),""))</f>
        <v/>
      </c>
      <c r="U1567" s="78">
        <f>IF($B1567="","",IFERROR(INDEX(Task_Tracker!$F$5:$F$1004,MATCH($B1567,Task_Tracker!$A$5:$A$1004,0)),""))</f>
        <v/>
      </c>
      <c r="V1567" s="78">
        <f>IF($B1567="","",IFERROR(INDEX(Task_Tracker!$I$5:$I$1004,MATCH($B1567,Task_Tracker!$A$5:$A$1004,0)),""))</f>
        <v/>
      </c>
      <c r="W1567" s="81">
        <f>IF(OR($D1567="",$B1567=""),"",$D1567&amp;" | "&amp;$B1567)</f>
        <v/>
      </c>
      <c r="X1567" s="85">
        <f>IF($K1567="","",TEXT($K1567,"yyyy-mm"))</f>
        <v/>
      </c>
      <c r="Y1567" s="81">
        <f>IF(OR($A1567="",$T1567=""),"","Included in Manager_Report")</f>
        <v/>
      </c>
    </row>
    <row r="1568" ht="15" customHeight="1" s="40">
      <c r="A1568" s="65">
        <f>IF(COUNTA(B1568:G1568)=0,"","STP-"&amp;TEXT(ROW()-4,"0000"))</f>
        <v/>
      </c>
      <c r="B1568" s="78" t="n"/>
      <c r="C1568" s="67">
        <f>IF($B1568="","",IFERROR(INDEX(Task_Tracker!$D$5:$D$1004,MATCH($B1568,Task_Tracker!$A$5:$A$1004,0)),""))</f>
        <v/>
      </c>
      <c r="D1568" s="67">
        <f>IF($B1568="","",IFERROR(INDEX(Task_Tracker!$B$5:$B$1004,MATCH($B1568,Task_Tracker!$A$5:$A$1004,0)),""))</f>
        <v/>
      </c>
      <c r="E1568" s="81" t="n"/>
      <c r="F1568" s="81" t="n"/>
      <c r="G1568" s="78" t="n"/>
      <c r="H1568" s="78" t="n"/>
      <c r="I1568" s="67">
        <f>IF($H1568="","",IFERROR(INDEX(Action_Status_Map!$B$5:$B$11,MATCH($H1568,Action_Status_Map!$A$5:$A$11,0)),""))</f>
        <v/>
      </c>
      <c r="J1568" s="82" t="n"/>
      <c r="K1568" s="82" t="n"/>
      <c r="L1568" s="82" t="n"/>
      <c r="M1568" s="83" t="n"/>
      <c r="N1568" s="83" t="n"/>
      <c r="O1568" s="66">
        <f>IF(OR($M1568="",$N1568=""),"",$N1568-$M1568)</f>
        <v/>
      </c>
      <c r="P1568" s="84">
        <f>IF($J1568="","",IF($L1568&lt;&gt;"",$L1568-$J1568,TODAY()-$J1568))</f>
        <v/>
      </c>
      <c r="Q1568" s="85">
        <f>IF(OR($K1568="",$H1568="Completed",$H1568="Cancelled"),"",IF(AND($K1568&lt;TODAY(),$H1568&lt;&gt;"Completed",$H1568&lt;&gt;"Cancelled"),"Overdue","On Track"))</f>
        <v/>
      </c>
      <c r="R1568" s="81" t="n"/>
      <c r="S1568" s="81">
        <f>IF($B1568="","",IFERROR(INDEX(Task_Tracker!$AA$5:$AA$1004,MATCH($B1568,Task_Tracker!$A$5:$A$1004,0)),""))</f>
        <v/>
      </c>
      <c r="T1568" s="81">
        <f>IF($B1568="","",IFERROR(INDEX(Task_Tracker!$AB$5:$AB$1004,MATCH($B1568,Task_Tracker!$A$5:$A$1004,0)),""))</f>
        <v/>
      </c>
      <c r="U1568" s="78">
        <f>IF($B1568="","",IFERROR(INDEX(Task_Tracker!$F$5:$F$1004,MATCH($B1568,Task_Tracker!$A$5:$A$1004,0)),""))</f>
        <v/>
      </c>
      <c r="V1568" s="78">
        <f>IF($B1568="","",IFERROR(INDEX(Task_Tracker!$I$5:$I$1004,MATCH($B1568,Task_Tracker!$A$5:$A$1004,0)),""))</f>
        <v/>
      </c>
      <c r="W1568" s="81">
        <f>IF(OR($D1568="",$B1568=""),"",$D1568&amp;" | "&amp;$B1568)</f>
        <v/>
      </c>
      <c r="X1568" s="85">
        <f>IF($K1568="","",TEXT($K1568,"yyyy-mm"))</f>
        <v/>
      </c>
      <c r="Y1568" s="81">
        <f>IF(OR($A1568="",$T1568=""),"","Included in Manager_Report")</f>
        <v/>
      </c>
    </row>
    <row r="1569" ht="15" customHeight="1" s="40">
      <c r="A1569" s="65">
        <f>IF(COUNTA(B1569:G1569)=0,"","STP-"&amp;TEXT(ROW()-4,"0000"))</f>
        <v/>
      </c>
      <c r="B1569" s="78" t="n"/>
      <c r="C1569" s="67">
        <f>IF($B1569="","",IFERROR(INDEX(Task_Tracker!$D$5:$D$1004,MATCH($B1569,Task_Tracker!$A$5:$A$1004,0)),""))</f>
        <v/>
      </c>
      <c r="D1569" s="67">
        <f>IF($B1569="","",IFERROR(INDEX(Task_Tracker!$B$5:$B$1004,MATCH($B1569,Task_Tracker!$A$5:$A$1004,0)),""))</f>
        <v/>
      </c>
      <c r="E1569" s="81" t="n"/>
      <c r="F1569" s="81" t="n"/>
      <c r="G1569" s="78" t="n"/>
      <c r="H1569" s="78" t="n"/>
      <c r="I1569" s="67">
        <f>IF($H1569="","",IFERROR(INDEX(Action_Status_Map!$B$5:$B$11,MATCH($H1569,Action_Status_Map!$A$5:$A$11,0)),""))</f>
        <v/>
      </c>
      <c r="J1569" s="82" t="n"/>
      <c r="K1569" s="82" t="n"/>
      <c r="L1569" s="82" t="n"/>
      <c r="M1569" s="83" t="n"/>
      <c r="N1569" s="83" t="n"/>
      <c r="O1569" s="66">
        <f>IF(OR($M1569="",$N1569=""),"",$N1569-$M1569)</f>
        <v/>
      </c>
      <c r="P1569" s="84">
        <f>IF($J1569="","",IF($L1569&lt;&gt;"",$L1569-$J1569,TODAY()-$J1569))</f>
        <v/>
      </c>
      <c r="Q1569" s="85">
        <f>IF(OR($K1569="",$H1569="Completed",$H1569="Cancelled"),"",IF(AND($K1569&lt;TODAY(),$H1569&lt;&gt;"Completed",$H1569&lt;&gt;"Cancelled"),"Overdue","On Track"))</f>
        <v/>
      </c>
      <c r="R1569" s="81" t="n"/>
      <c r="S1569" s="81">
        <f>IF($B1569="","",IFERROR(INDEX(Task_Tracker!$AA$5:$AA$1004,MATCH($B1569,Task_Tracker!$A$5:$A$1004,0)),""))</f>
        <v/>
      </c>
      <c r="T1569" s="81">
        <f>IF($B1569="","",IFERROR(INDEX(Task_Tracker!$AB$5:$AB$1004,MATCH($B1569,Task_Tracker!$A$5:$A$1004,0)),""))</f>
        <v/>
      </c>
      <c r="U1569" s="78">
        <f>IF($B1569="","",IFERROR(INDEX(Task_Tracker!$F$5:$F$1004,MATCH($B1569,Task_Tracker!$A$5:$A$1004,0)),""))</f>
        <v/>
      </c>
      <c r="V1569" s="78">
        <f>IF($B1569="","",IFERROR(INDEX(Task_Tracker!$I$5:$I$1004,MATCH($B1569,Task_Tracker!$A$5:$A$1004,0)),""))</f>
        <v/>
      </c>
      <c r="W1569" s="81">
        <f>IF(OR($D1569="",$B1569=""),"",$D1569&amp;" | "&amp;$B1569)</f>
        <v/>
      </c>
      <c r="X1569" s="85">
        <f>IF($K1569="","",TEXT($K1569,"yyyy-mm"))</f>
        <v/>
      </c>
      <c r="Y1569" s="81">
        <f>IF(OR($A1569="",$T1569=""),"","Included in Manager_Report")</f>
        <v/>
      </c>
    </row>
    <row r="1570" ht="15" customHeight="1" s="40">
      <c r="A1570" s="65">
        <f>IF(COUNTA(B1570:G1570)=0,"","STP-"&amp;TEXT(ROW()-4,"0000"))</f>
        <v/>
      </c>
      <c r="B1570" s="78" t="n"/>
      <c r="C1570" s="67">
        <f>IF($B1570="","",IFERROR(INDEX(Task_Tracker!$D$5:$D$1004,MATCH($B1570,Task_Tracker!$A$5:$A$1004,0)),""))</f>
        <v/>
      </c>
      <c r="D1570" s="67">
        <f>IF($B1570="","",IFERROR(INDEX(Task_Tracker!$B$5:$B$1004,MATCH($B1570,Task_Tracker!$A$5:$A$1004,0)),""))</f>
        <v/>
      </c>
      <c r="E1570" s="81" t="n"/>
      <c r="F1570" s="81" t="n"/>
      <c r="G1570" s="78" t="n"/>
      <c r="H1570" s="78" t="n"/>
      <c r="I1570" s="67">
        <f>IF($H1570="","",IFERROR(INDEX(Action_Status_Map!$B$5:$B$11,MATCH($H1570,Action_Status_Map!$A$5:$A$11,0)),""))</f>
        <v/>
      </c>
      <c r="J1570" s="82" t="n"/>
      <c r="K1570" s="82" t="n"/>
      <c r="L1570" s="82" t="n"/>
      <c r="M1570" s="83" t="n"/>
      <c r="N1570" s="83" t="n"/>
      <c r="O1570" s="66">
        <f>IF(OR($M1570="",$N1570=""),"",$N1570-$M1570)</f>
        <v/>
      </c>
      <c r="P1570" s="84">
        <f>IF($J1570="","",IF($L1570&lt;&gt;"",$L1570-$J1570,TODAY()-$J1570))</f>
        <v/>
      </c>
      <c r="Q1570" s="85">
        <f>IF(OR($K1570="",$H1570="Completed",$H1570="Cancelled"),"",IF(AND($K1570&lt;TODAY(),$H1570&lt;&gt;"Completed",$H1570&lt;&gt;"Cancelled"),"Overdue","On Track"))</f>
        <v/>
      </c>
      <c r="R1570" s="81" t="n"/>
      <c r="S1570" s="81">
        <f>IF($B1570="","",IFERROR(INDEX(Task_Tracker!$AA$5:$AA$1004,MATCH($B1570,Task_Tracker!$A$5:$A$1004,0)),""))</f>
        <v/>
      </c>
      <c r="T1570" s="81">
        <f>IF($B1570="","",IFERROR(INDEX(Task_Tracker!$AB$5:$AB$1004,MATCH($B1570,Task_Tracker!$A$5:$A$1004,0)),""))</f>
        <v/>
      </c>
      <c r="U1570" s="78">
        <f>IF($B1570="","",IFERROR(INDEX(Task_Tracker!$F$5:$F$1004,MATCH($B1570,Task_Tracker!$A$5:$A$1004,0)),""))</f>
        <v/>
      </c>
      <c r="V1570" s="78">
        <f>IF($B1570="","",IFERROR(INDEX(Task_Tracker!$I$5:$I$1004,MATCH($B1570,Task_Tracker!$A$5:$A$1004,0)),""))</f>
        <v/>
      </c>
      <c r="W1570" s="81">
        <f>IF(OR($D1570="",$B1570=""),"",$D1570&amp;" | "&amp;$B1570)</f>
        <v/>
      </c>
      <c r="X1570" s="85">
        <f>IF($K1570="","",TEXT($K1570,"yyyy-mm"))</f>
        <v/>
      </c>
      <c r="Y1570" s="81">
        <f>IF(OR($A1570="",$T1570=""),"","Included in Manager_Report")</f>
        <v/>
      </c>
    </row>
    <row r="1571" ht="15" customHeight="1" s="40">
      <c r="A1571" s="65">
        <f>IF(COUNTA(B1571:G1571)=0,"","STP-"&amp;TEXT(ROW()-4,"0000"))</f>
        <v/>
      </c>
      <c r="B1571" s="78" t="n"/>
      <c r="C1571" s="67">
        <f>IF($B1571="","",IFERROR(INDEX(Task_Tracker!$D$5:$D$1004,MATCH($B1571,Task_Tracker!$A$5:$A$1004,0)),""))</f>
        <v/>
      </c>
      <c r="D1571" s="67">
        <f>IF($B1571="","",IFERROR(INDEX(Task_Tracker!$B$5:$B$1004,MATCH($B1571,Task_Tracker!$A$5:$A$1004,0)),""))</f>
        <v/>
      </c>
      <c r="E1571" s="81" t="n"/>
      <c r="F1571" s="81" t="n"/>
      <c r="G1571" s="78" t="n"/>
      <c r="H1571" s="78" t="n"/>
      <c r="I1571" s="67">
        <f>IF($H1571="","",IFERROR(INDEX(Action_Status_Map!$B$5:$B$11,MATCH($H1571,Action_Status_Map!$A$5:$A$11,0)),""))</f>
        <v/>
      </c>
      <c r="J1571" s="82" t="n"/>
      <c r="K1571" s="82" t="n"/>
      <c r="L1571" s="82" t="n"/>
      <c r="M1571" s="83" t="n"/>
      <c r="N1571" s="83" t="n"/>
      <c r="O1571" s="66">
        <f>IF(OR($M1571="",$N1571=""),"",$N1571-$M1571)</f>
        <v/>
      </c>
      <c r="P1571" s="84">
        <f>IF($J1571="","",IF($L1571&lt;&gt;"",$L1571-$J1571,TODAY()-$J1571))</f>
        <v/>
      </c>
      <c r="Q1571" s="85">
        <f>IF(OR($K1571="",$H1571="Completed",$H1571="Cancelled"),"",IF(AND($K1571&lt;TODAY(),$H1571&lt;&gt;"Completed",$H1571&lt;&gt;"Cancelled"),"Overdue","On Track"))</f>
        <v/>
      </c>
      <c r="R1571" s="81" t="n"/>
      <c r="S1571" s="81">
        <f>IF($B1571="","",IFERROR(INDEX(Task_Tracker!$AA$5:$AA$1004,MATCH($B1571,Task_Tracker!$A$5:$A$1004,0)),""))</f>
        <v/>
      </c>
      <c r="T1571" s="81">
        <f>IF($B1571="","",IFERROR(INDEX(Task_Tracker!$AB$5:$AB$1004,MATCH($B1571,Task_Tracker!$A$5:$A$1004,0)),""))</f>
        <v/>
      </c>
      <c r="U1571" s="78">
        <f>IF($B1571="","",IFERROR(INDEX(Task_Tracker!$F$5:$F$1004,MATCH($B1571,Task_Tracker!$A$5:$A$1004,0)),""))</f>
        <v/>
      </c>
      <c r="V1571" s="78">
        <f>IF($B1571="","",IFERROR(INDEX(Task_Tracker!$I$5:$I$1004,MATCH($B1571,Task_Tracker!$A$5:$A$1004,0)),""))</f>
        <v/>
      </c>
      <c r="W1571" s="81">
        <f>IF(OR($D1571="",$B1571=""),"",$D1571&amp;" | "&amp;$B1571)</f>
        <v/>
      </c>
      <c r="X1571" s="85">
        <f>IF($K1571="","",TEXT($K1571,"yyyy-mm"))</f>
        <v/>
      </c>
      <c r="Y1571" s="81">
        <f>IF(OR($A1571="",$T1571=""),"","Included in Manager_Report")</f>
        <v/>
      </c>
    </row>
    <row r="1572" ht="15" customHeight="1" s="40">
      <c r="A1572" s="65">
        <f>IF(COUNTA(B1572:G1572)=0,"","STP-"&amp;TEXT(ROW()-4,"0000"))</f>
        <v/>
      </c>
      <c r="B1572" s="78" t="n"/>
      <c r="C1572" s="67">
        <f>IF($B1572="","",IFERROR(INDEX(Task_Tracker!$D$5:$D$1004,MATCH($B1572,Task_Tracker!$A$5:$A$1004,0)),""))</f>
        <v/>
      </c>
      <c r="D1572" s="67">
        <f>IF($B1572="","",IFERROR(INDEX(Task_Tracker!$B$5:$B$1004,MATCH($B1572,Task_Tracker!$A$5:$A$1004,0)),""))</f>
        <v/>
      </c>
      <c r="E1572" s="81" t="n"/>
      <c r="F1572" s="81" t="n"/>
      <c r="G1572" s="78" t="n"/>
      <c r="H1572" s="78" t="n"/>
      <c r="I1572" s="67">
        <f>IF($H1572="","",IFERROR(INDEX(Action_Status_Map!$B$5:$B$11,MATCH($H1572,Action_Status_Map!$A$5:$A$11,0)),""))</f>
        <v/>
      </c>
      <c r="J1572" s="82" t="n"/>
      <c r="K1572" s="82" t="n"/>
      <c r="L1572" s="82" t="n"/>
      <c r="M1572" s="83" t="n"/>
      <c r="N1572" s="83" t="n"/>
      <c r="O1572" s="66">
        <f>IF(OR($M1572="",$N1572=""),"",$N1572-$M1572)</f>
        <v/>
      </c>
      <c r="P1572" s="84">
        <f>IF($J1572="","",IF($L1572&lt;&gt;"",$L1572-$J1572,TODAY()-$J1572))</f>
        <v/>
      </c>
      <c r="Q1572" s="85">
        <f>IF(OR($K1572="",$H1572="Completed",$H1572="Cancelled"),"",IF(AND($K1572&lt;TODAY(),$H1572&lt;&gt;"Completed",$H1572&lt;&gt;"Cancelled"),"Overdue","On Track"))</f>
        <v/>
      </c>
      <c r="R1572" s="81" t="n"/>
      <c r="S1572" s="81">
        <f>IF($B1572="","",IFERROR(INDEX(Task_Tracker!$AA$5:$AA$1004,MATCH($B1572,Task_Tracker!$A$5:$A$1004,0)),""))</f>
        <v/>
      </c>
      <c r="T1572" s="81">
        <f>IF($B1572="","",IFERROR(INDEX(Task_Tracker!$AB$5:$AB$1004,MATCH($B1572,Task_Tracker!$A$5:$A$1004,0)),""))</f>
        <v/>
      </c>
      <c r="U1572" s="78">
        <f>IF($B1572="","",IFERROR(INDEX(Task_Tracker!$F$5:$F$1004,MATCH($B1572,Task_Tracker!$A$5:$A$1004,0)),""))</f>
        <v/>
      </c>
      <c r="V1572" s="78">
        <f>IF($B1572="","",IFERROR(INDEX(Task_Tracker!$I$5:$I$1004,MATCH($B1572,Task_Tracker!$A$5:$A$1004,0)),""))</f>
        <v/>
      </c>
      <c r="W1572" s="81">
        <f>IF(OR($D1572="",$B1572=""),"",$D1572&amp;" | "&amp;$B1572)</f>
        <v/>
      </c>
      <c r="X1572" s="85">
        <f>IF($K1572="","",TEXT($K1572,"yyyy-mm"))</f>
        <v/>
      </c>
      <c r="Y1572" s="81">
        <f>IF(OR($A1572="",$T1572=""),"","Included in Manager_Report")</f>
        <v/>
      </c>
    </row>
    <row r="1573" ht="15" customHeight="1" s="40">
      <c r="A1573" s="65">
        <f>IF(COUNTA(B1573:G1573)=0,"","STP-"&amp;TEXT(ROW()-4,"0000"))</f>
        <v/>
      </c>
      <c r="B1573" s="78" t="n"/>
      <c r="C1573" s="67">
        <f>IF($B1573="","",IFERROR(INDEX(Task_Tracker!$D$5:$D$1004,MATCH($B1573,Task_Tracker!$A$5:$A$1004,0)),""))</f>
        <v/>
      </c>
      <c r="D1573" s="67">
        <f>IF($B1573="","",IFERROR(INDEX(Task_Tracker!$B$5:$B$1004,MATCH($B1573,Task_Tracker!$A$5:$A$1004,0)),""))</f>
        <v/>
      </c>
      <c r="E1573" s="81" t="n"/>
      <c r="F1573" s="81" t="n"/>
      <c r="G1573" s="78" t="n"/>
      <c r="H1573" s="78" t="n"/>
      <c r="I1573" s="67">
        <f>IF($H1573="","",IFERROR(INDEX(Action_Status_Map!$B$5:$B$11,MATCH($H1573,Action_Status_Map!$A$5:$A$11,0)),""))</f>
        <v/>
      </c>
      <c r="J1573" s="82" t="n"/>
      <c r="K1573" s="82" t="n"/>
      <c r="L1573" s="82" t="n"/>
      <c r="M1573" s="83" t="n"/>
      <c r="N1573" s="83" t="n"/>
      <c r="O1573" s="66">
        <f>IF(OR($M1573="",$N1573=""),"",$N1573-$M1573)</f>
        <v/>
      </c>
      <c r="P1573" s="84">
        <f>IF($J1573="","",IF($L1573&lt;&gt;"",$L1573-$J1573,TODAY()-$J1573))</f>
        <v/>
      </c>
      <c r="Q1573" s="85">
        <f>IF(OR($K1573="",$H1573="Completed",$H1573="Cancelled"),"",IF(AND($K1573&lt;TODAY(),$H1573&lt;&gt;"Completed",$H1573&lt;&gt;"Cancelled"),"Overdue","On Track"))</f>
        <v/>
      </c>
      <c r="R1573" s="81" t="n"/>
      <c r="S1573" s="81">
        <f>IF($B1573="","",IFERROR(INDEX(Task_Tracker!$AA$5:$AA$1004,MATCH($B1573,Task_Tracker!$A$5:$A$1004,0)),""))</f>
        <v/>
      </c>
      <c r="T1573" s="81">
        <f>IF($B1573="","",IFERROR(INDEX(Task_Tracker!$AB$5:$AB$1004,MATCH($B1573,Task_Tracker!$A$5:$A$1004,0)),""))</f>
        <v/>
      </c>
      <c r="U1573" s="78">
        <f>IF($B1573="","",IFERROR(INDEX(Task_Tracker!$F$5:$F$1004,MATCH($B1573,Task_Tracker!$A$5:$A$1004,0)),""))</f>
        <v/>
      </c>
      <c r="V1573" s="78">
        <f>IF($B1573="","",IFERROR(INDEX(Task_Tracker!$I$5:$I$1004,MATCH($B1573,Task_Tracker!$A$5:$A$1004,0)),""))</f>
        <v/>
      </c>
      <c r="W1573" s="81">
        <f>IF(OR($D1573="",$B1573=""),"",$D1573&amp;" | "&amp;$B1573)</f>
        <v/>
      </c>
      <c r="X1573" s="85">
        <f>IF($K1573="","",TEXT($K1573,"yyyy-mm"))</f>
        <v/>
      </c>
      <c r="Y1573" s="81">
        <f>IF(OR($A1573="",$T1573=""),"","Included in Manager_Report")</f>
        <v/>
      </c>
    </row>
    <row r="1574" ht="15" customHeight="1" s="40">
      <c r="A1574" s="65">
        <f>IF(COUNTA(B1574:G1574)=0,"","STP-"&amp;TEXT(ROW()-4,"0000"))</f>
        <v/>
      </c>
      <c r="B1574" s="78" t="n"/>
      <c r="C1574" s="67">
        <f>IF($B1574="","",IFERROR(INDEX(Task_Tracker!$D$5:$D$1004,MATCH($B1574,Task_Tracker!$A$5:$A$1004,0)),""))</f>
        <v/>
      </c>
      <c r="D1574" s="67">
        <f>IF($B1574="","",IFERROR(INDEX(Task_Tracker!$B$5:$B$1004,MATCH($B1574,Task_Tracker!$A$5:$A$1004,0)),""))</f>
        <v/>
      </c>
      <c r="E1574" s="81" t="n"/>
      <c r="F1574" s="81" t="n"/>
      <c r="G1574" s="78" t="n"/>
      <c r="H1574" s="78" t="n"/>
      <c r="I1574" s="67">
        <f>IF($H1574="","",IFERROR(INDEX(Action_Status_Map!$B$5:$B$11,MATCH($H1574,Action_Status_Map!$A$5:$A$11,0)),""))</f>
        <v/>
      </c>
      <c r="J1574" s="82" t="n"/>
      <c r="K1574" s="82" t="n"/>
      <c r="L1574" s="82" t="n"/>
      <c r="M1574" s="83" t="n"/>
      <c r="N1574" s="83" t="n"/>
      <c r="O1574" s="66">
        <f>IF(OR($M1574="",$N1574=""),"",$N1574-$M1574)</f>
        <v/>
      </c>
      <c r="P1574" s="84">
        <f>IF($J1574="","",IF($L1574&lt;&gt;"",$L1574-$J1574,TODAY()-$J1574))</f>
        <v/>
      </c>
      <c r="Q1574" s="85">
        <f>IF(OR($K1574="",$H1574="Completed",$H1574="Cancelled"),"",IF(AND($K1574&lt;TODAY(),$H1574&lt;&gt;"Completed",$H1574&lt;&gt;"Cancelled"),"Overdue","On Track"))</f>
        <v/>
      </c>
      <c r="R1574" s="81" t="n"/>
      <c r="S1574" s="81">
        <f>IF($B1574="","",IFERROR(INDEX(Task_Tracker!$AA$5:$AA$1004,MATCH($B1574,Task_Tracker!$A$5:$A$1004,0)),""))</f>
        <v/>
      </c>
      <c r="T1574" s="81">
        <f>IF($B1574="","",IFERROR(INDEX(Task_Tracker!$AB$5:$AB$1004,MATCH($B1574,Task_Tracker!$A$5:$A$1004,0)),""))</f>
        <v/>
      </c>
      <c r="U1574" s="78">
        <f>IF($B1574="","",IFERROR(INDEX(Task_Tracker!$F$5:$F$1004,MATCH($B1574,Task_Tracker!$A$5:$A$1004,0)),""))</f>
        <v/>
      </c>
      <c r="V1574" s="78">
        <f>IF($B1574="","",IFERROR(INDEX(Task_Tracker!$I$5:$I$1004,MATCH($B1574,Task_Tracker!$A$5:$A$1004,0)),""))</f>
        <v/>
      </c>
      <c r="W1574" s="81">
        <f>IF(OR($D1574="",$B1574=""),"",$D1574&amp;" | "&amp;$B1574)</f>
        <v/>
      </c>
      <c r="X1574" s="85">
        <f>IF($K1574="","",TEXT($K1574,"yyyy-mm"))</f>
        <v/>
      </c>
      <c r="Y1574" s="81">
        <f>IF(OR($A1574="",$T1574=""),"","Included in Manager_Report")</f>
        <v/>
      </c>
    </row>
    <row r="1575" ht="15" customHeight="1" s="40">
      <c r="A1575" s="65">
        <f>IF(COUNTA(B1575:G1575)=0,"","STP-"&amp;TEXT(ROW()-4,"0000"))</f>
        <v/>
      </c>
      <c r="B1575" s="78" t="n"/>
      <c r="C1575" s="67">
        <f>IF($B1575="","",IFERROR(INDEX(Task_Tracker!$D$5:$D$1004,MATCH($B1575,Task_Tracker!$A$5:$A$1004,0)),""))</f>
        <v/>
      </c>
      <c r="D1575" s="67">
        <f>IF($B1575="","",IFERROR(INDEX(Task_Tracker!$B$5:$B$1004,MATCH($B1575,Task_Tracker!$A$5:$A$1004,0)),""))</f>
        <v/>
      </c>
      <c r="E1575" s="81" t="n"/>
      <c r="F1575" s="81" t="n"/>
      <c r="G1575" s="78" t="n"/>
      <c r="H1575" s="78" t="n"/>
      <c r="I1575" s="67">
        <f>IF($H1575="","",IFERROR(INDEX(Action_Status_Map!$B$5:$B$11,MATCH($H1575,Action_Status_Map!$A$5:$A$11,0)),""))</f>
        <v/>
      </c>
      <c r="J1575" s="82" t="n"/>
      <c r="K1575" s="82" t="n"/>
      <c r="L1575" s="82" t="n"/>
      <c r="M1575" s="83" t="n"/>
      <c r="N1575" s="83" t="n"/>
      <c r="O1575" s="66">
        <f>IF(OR($M1575="",$N1575=""),"",$N1575-$M1575)</f>
        <v/>
      </c>
      <c r="P1575" s="84">
        <f>IF($J1575="","",IF($L1575&lt;&gt;"",$L1575-$J1575,TODAY()-$J1575))</f>
        <v/>
      </c>
      <c r="Q1575" s="85">
        <f>IF(OR($K1575="",$H1575="Completed",$H1575="Cancelled"),"",IF(AND($K1575&lt;TODAY(),$H1575&lt;&gt;"Completed",$H1575&lt;&gt;"Cancelled"),"Overdue","On Track"))</f>
        <v/>
      </c>
      <c r="R1575" s="81" t="n"/>
      <c r="S1575" s="81">
        <f>IF($B1575="","",IFERROR(INDEX(Task_Tracker!$AA$5:$AA$1004,MATCH($B1575,Task_Tracker!$A$5:$A$1004,0)),""))</f>
        <v/>
      </c>
      <c r="T1575" s="81">
        <f>IF($B1575="","",IFERROR(INDEX(Task_Tracker!$AB$5:$AB$1004,MATCH($B1575,Task_Tracker!$A$5:$A$1004,0)),""))</f>
        <v/>
      </c>
      <c r="U1575" s="78">
        <f>IF($B1575="","",IFERROR(INDEX(Task_Tracker!$F$5:$F$1004,MATCH($B1575,Task_Tracker!$A$5:$A$1004,0)),""))</f>
        <v/>
      </c>
      <c r="V1575" s="78">
        <f>IF($B1575="","",IFERROR(INDEX(Task_Tracker!$I$5:$I$1004,MATCH($B1575,Task_Tracker!$A$5:$A$1004,0)),""))</f>
        <v/>
      </c>
      <c r="W1575" s="81">
        <f>IF(OR($D1575="",$B1575=""),"",$D1575&amp;" | "&amp;$B1575)</f>
        <v/>
      </c>
      <c r="X1575" s="85">
        <f>IF($K1575="","",TEXT($K1575,"yyyy-mm"))</f>
        <v/>
      </c>
      <c r="Y1575" s="81">
        <f>IF(OR($A1575="",$T1575=""),"","Included in Manager_Report")</f>
        <v/>
      </c>
    </row>
    <row r="1576" ht="15" customHeight="1" s="40">
      <c r="A1576" s="65">
        <f>IF(COUNTA(B1576:G1576)=0,"","STP-"&amp;TEXT(ROW()-4,"0000"))</f>
        <v/>
      </c>
      <c r="B1576" s="78" t="n"/>
      <c r="C1576" s="67">
        <f>IF($B1576="","",IFERROR(INDEX(Task_Tracker!$D$5:$D$1004,MATCH($B1576,Task_Tracker!$A$5:$A$1004,0)),""))</f>
        <v/>
      </c>
      <c r="D1576" s="67">
        <f>IF($B1576="","",IFERROR(INDEX(Task_Tracker!$B$5:$B$1004,MATCH($B1576,Task_Tracker!$A$5:$A$1004,0)),""))</f>
        <v/>
      </c>
      <c r="E1576" s="81" t="n"/>
      <c r="F1576" s="81" t="n"/>
      <c r="G1576" s="78" t="n"/>
      <c r="H1576" s="78" t="n"/>
      <c r="I1576" s="67">
        <f>IF($H1576="","",IFERROR(INDEX(Action_Status_Map!$B$5:$B$11,MATCH($H1576,Action_Status_Map!$A$5:$A$11,0)),""))</f>
        <v/>
      </c>
      <c r="J1576" s="82" t="n"/>
      <c r="K1576" s="82" t="n"/>
      <c r="L1576" s="82" t="n"/>
      <c r="M1576" s="83" t="n"/>
      <c r="N1576" s="83" t="n"/>
      <c r="O1576" s="66">
        <f>IF(OR($M1576="",$N1576=""),"",$N1576-$M1576)</f>
        <v/>
      </c>
      <c r="P1576" s="84">
        <f>IF($J1576="","",IF($L1576&lt;&gt;"",$L1576-$J1576,TODAY()-$J1576))</f>
        <v/>
      </c>
      <c r="Q1576" s="85">
        <f>IF(OR($K1576="",$H1576="Completed",$H1576="Cancelled"),"",IF(AND($K1576&lt;TODAY(),$H1576&lt;&gt;"Completed",$H1576&lt;&gt;"Cancelled"),"Overdue","On Track"))</f>
        <v/>
      </c>
      <c r="R1576" s="81" t="n"/>
      <c r="S1576" s="81">
        <f>IF($B1576="","",IFERROR(INDEX(Task_Tracker!$AA$5:$AA$1004,MATCH($B1576,Task_Tracker!$A$5:$A$1004,0)),""))</f>
        <v/>
      </c>
      <c r="T1576" s="81">
        <f>IF($B1576="","",IFERROR(INDEX(Task_Tracker!$AB$5:$AB$1004,MATCH($B1576,Task_Tracker!$A$5:$A$1004,0)),""))</f>
        <v/>
      </c>
      <c r="U1576" s="78">
        <f>IF($B1576="","",IFERROR(INDEX(Task_Tracker!$F$5:$F$1004,MATCH($B1576,Task_Tracker!$A$5:$A$1004,0)),""))</f>
        <v/>
      </c>
      <c r="V1576" s="78">
        <f>IF($B1576="","",IFERROR(INDEX(Task_Tracker!$I$5:$I$1004,MATCH($B1576,Task_Tracker!$A$5:$A$1004,0)),""))</f>
        <v/>
      </c>
      <c r="W1576" s="81">
        <f>IF(OR($D1576="",$B1576=""),"",$D1576&amp;" | "&amp;$B1576)</f>
        <v/>
      </c>
      <c r="X1576" s="85">
        <f>IF($K1576="","",TEXT($K1576,"yyyy-mm"))</f>
        <v/>
      </c>
      <c r="Y1576" s="81">
        <f>IF(OR($A1576="",$T1576=""),"","Included in Manager_Report")</f>
        <v/>
      </c>
    </row>
    <row r="1577" ht="15" customHeight="1" s="40">
      <c r="A1577" s="65">
        <f>IF(COUNTA(B1577:G1577)=0,"","STP-"&amp;TEXT(ROW()-4,"0000"))</f>
        <v/>
      </c>
      <c r="B1577" s="78" t="n"/>
      <c r="C1577" s="67">
        <f>IF($B1577="","",IFERROR(INDEX(Task_Tracker!$D$5:$D$1004,MATCH($B1577,Task_Tracker!$A$5:$A$1004,0)),""))</f>
        <v/>
      </c>
      <c r="D1577" s="67">
        <f>IF($B1577="","",IFERROR(INDEX(Task_Tracker!$B$5:$B$1004,MATCH($B1577,Task_Tracker!$A$5:$A$1004,0)),""))</f>
        <v/>
      </c>
      <c r="E1577" s="81" t="n"/>
      <c r="F1577" s="81" t="n"/>
      <c r="G1577" s="78" t="n"/>
      <c r="H1577" s="78" t="n"/>
      <c r="I1577" s="67">
        <f>IF($H1577="","",IFERROR(INDEX(Action_Status_Map!$B$5:$B$11,MATCH($H1577,Action_Status_Map!$A$5:$A$11,0)),""))</f>
        <v/>
      </c>
      <c r="J1577" s="82" t="n"/>
      <c r="K1577" s="82" t="n"/>
      <c r="L1577" s="82" t="n"/>
      <c r="M1577" s="83" t="n"/>
      <c r="N1577" s="83" t="n"/>
      <c r="O1577" s="66">
        <f>IF(OR($M1577="",$N1577=""),"",$N1577-$M1577)</f>
        <v/>
      </c>
      <c r="P1577" s="84">
        <f>IF($J1577="","",IF($L1577&lt;&gt;"",$L1577-$J1577,TODAY()-$J1577))</f>
        <v/>
      </c>
      <c r="Q1577" s="85">
        <f>IF(OR($K1577="",$H1577="Completed",$H1577="Cancelled"),"",IF(AND($K1577&lt;TODAY(),$H1577&lt;&gt;"Completed",$H1577&lt;&gt;"Cancelled"),"Overdue","On Track"))</f>
        <v/>
      </c>
      <c r="R1577" s="81" t="n"/>
      <c r="S1577" s="81">
        <f>IF($B1577="","",IFERROR(INDEX(Task_Tracker!$AA$5:$AA$1004,MATCH($B1577,Task_Tracker!$A$5:$A$1004,0)),""))</f>
        <v/>
      </c>
      <c r="T1577" s="81">
        <f>IF($B1577="","",IFERROR(INDEX(Task_Tracker!$AB$5:$AB$1004,MATCH($B1577,Task_Tracker!$A$5:$A$1004,0)),""))</f>
        <v/>
      </c>
      <c r="U1577" s="78">
        <f>IF($B1577="","",IFERROR(INDEX(Task_Tracker!$F$5:$F$1004,MATCH($B1577,Task_Tracker!$A$5:$A$1004,0)),""))</f>
        <v/>
      </c>
      <c r="V1577" s="78">
        <f>IF($B1577="","",IFERROR(INDEX(Task_Tracker!$I$5:$I$1004,MATCH($B1577,Task_Tracker!$A$5:$A$1004,0)),""))</f>
        <v/>
      </c>
      <c r="W1577" s="81">
        <f>IF(OR($D1577="",$B1577=""),"",$D1577&amp;" | "&amp;$B1577)</f>
        <v/>
      </c>
      <c r="X1577" s="85">
        <f>IF($K1577="","",TEXT($K1577,"yyyy-mm"))</f>
        <v/>
      </c>
      <c r="Y1577" s="81">
        <f>IF(OR($A1577="",$T1577=""),"","Included in Manager_Report")</f>
        <v/>
      </c>
    </row>
    <row r="1578" ht="15" customHeight="1" s="40">
      <c r="A1578" s="65">
        <f>IF(COUNTA(B1578:G1578)=0,"","STP-"&amp;TEXT(ROW()-4,"0000"))</f>
        <v/>
      </c>
      <c r="B1578" s="78" t="n"/>
      <c r="C1578" s="67">
        <f>IF($B1578="","",IFERROR(INDEX(Task_Tracker!$D$5:$D$1004,MATCH($B1578,Task_Tracker!$A$5:$A$1004,0)),""))</f>
        <v/>
      </c>
      <c r="D1578" s="67">
        <f>IF($B1578="","",IFERROR(INDEX(Task_Tracker!$B$5:$B$1004,MATCH($B1578,Task_Tracker!$A$5:$A$1004,0)),""))</f>
        <v/>
      </c>
      <c r="E1578" s="81" t="n"/>
      <c r="F1578" s="81" t="n"/>
      <c r="G1578" s="78" t="n"/>
      <c r="H1578" s="78" t="n"/>
      <c r="I1578" s="67">
        <f>IF($H1578="","",IFERROR(INDEX(Action_Status_Map!$B$5:$B$11,MATCH($H1578,Action_Status_Map!$A$5:$A$11,0)),""))</f>
        <v/>
      </c>
      <c r="J1578" s="82" t="n"/>
      <c r="K1578" s="82" t="n"/>
      <c r="L1578" s="82" t="n"/>
      <c r="M1578" s="83" t="n"/>
      <c r="N1578" s="83" t="n"/>
      <c r="O1578" s="66">
        <f>IF(OR($M1578="",$N1578=""),"",$N1578-$M1578)</f>
        <v/>
      </c>
      <c r="P1578" s="84">
        <f>IF($J1578="","",IF($L1578&lt;&gt;"",$L1578-$J1578,TODAY()-$J1578))</f>
        <v/>
      </c>
      <c r="Q1578" s="85">
        <f>IF(OR($K1578="",$H1578="Completed",$H1578="Cancelled"),"",IF(AND($K1578&lt;TODAY(),$H1578&lt;&gt;"Completed",$H1578&lt;&gt;"Cancelled"),"Overdue","On Track"))</f>
        <v/>
      </c>
      <c r="R1578" s="81" t="n"/>
      <c r="S1578" s="81">
        <f>IF($B1578="","",IFERROR(INDEX(Task_Tracker!$AA$5:$AA$1004,MATCH($B1578,Task_Tracker!$A$5:$A$1004,0)),""))</f>
        <v/>
      </c>
      <c r="T1578" s="81">
        <f>IF($B1578="","",IFERROR(INDEX(Task_Tracker!$AB$5:$AB$1004,MATCH($B1578,Task_Tracker!$A$5:$A$1004,0)),""))</f>
        <v/>
      </c>
      <c r="U1578" s="78">
        <f>IF($B1578="","",IFERROR(INDEX(Task_Tracker!$F$5:$F$1004,MATCH($B1578,Task_Tracker!$A$5:$A$1004,0)),""))</f>
        <v/>
      </c>
      <c r="V1578" s="78">
        <f>IF($B1578="","",IFERROR(INDEX(Task_Tracker!$I$5:$I$1004,MATCH($B1578,Task_Tracker!$A$5:$A$1004,0)),""))</f>
        <v/>
      </c>
      <c r="W1578" s="81">
        <f>IF(OR($D1578="",$B1578=""),"",$D1578&amp;" | "&amp;$B1578)</f>
        <v/>
      </c>
      <c r="X1578" s="85">
        <f>IF($K1578="","",TEXT($K1578,"yyyy-mm"))</f>
        <v/>
      </c>
      <c r="Y1578" s="81">
        <f>IF(OR($A1578="",$T1578=""),"","Included in Manager_Report")</f>
        <v/>
      </c>
    </row>
    <row r="1579" ht="15" customHeight="1" s="40">
      <c r="A1579" s="65">
        <f>IF(COUNTA(B1579:G1579)=0,"","STP-"&amp;TEXT(ROW()-4,"0000"))</f>
        <v/>
      </c>
      <c r="B1579" s="78" t="n"/>
      <c r="C1579" s="67">
        <f>IF($B1579="","",IFERROR(INDEX(Task_Tracker!$D$5:$D$1004,MATCH($B1579,Task_Tracker!$A$5:$A$1004,0)),""))</f>
        <v/>
      </c>
      <c r="D1579" s="67">
        <f>IF($B1579="","",IFERROR(INDEX(Task_Tracker!$B$5:$B$1004,MATCH($B1579,Task_Tracker!$A$5:$A$1004,0)),""))</f>
        <v/>
      </c>
      <c r="E1579" s="81" t="n"/>
      <c r="F1579" s="81" t="n"/>
      <c r="G1579" s="78" t="n"/>
      <c r="H1579" s="78" t="n"/>
      <c r="I1579" s="67">
        <f>IF($H1579="","",IFERROR(INDEX(Action_Status_Map!$B$5:$B$11,MATCH($H1579,Action_Status_Map!$A$5:$A$11,0)),""))</f>
        <v/>
      </c>
      <c r="J1579" s="82" t="n"/>
      <c r="K1579" s="82" t="n"/>
      <c r="L1579" s="82" t="n"/>
      <c r="M1579" s="83" t="n"/>
      <c r="N1579" s="83" t="n"/>
      <c r="O1579" s="66">
        <f>IF(OR($M1579="",$N1579=""),"",$N1579-$M1579)</f>
        <v/>
      </c>
      <c r="P1579" s="84">
        <f>IF($J1579="","",IF($L1579&lt;&gt;"",$L1579-$J1579,TODAY()-$J1579))</f>
        <v/>
      </c>
      <c r="Q1579" s="85">
        <f>IF(OR($K1579="",$H1579="Completed",$H1579="Cancelled"),"",IF(AND($K1579&lt;TODAY(),$H1579&lt;&gt;"Completed",$H1579&lt;&gt;"Cancelled"),"Overdue","On Track"))</f>
        <v/>
      </c>
      <c r="R1579" s="81" t="n"/>
      <c r="S1579" s="81">
        <f>IF($B1579="","",IFERROR(INDEX(Task_Tracker!$AA$5:$AA$1004,MATCH($B1579,Task_Tracker!$A$5:$A$1004,0)),""))</f>
        <v/>
      </c>
      <c r="T1579" s="81">
        <f>IF($B1579="","",IFERROR(INDEX(Task_Tracker!$AB$5:$AB$1004,MATCH($B1579,Task_Tracker!$A$5:$A$1004,0)),""))</f>
        <v/>
      </c>
      <c r="U1579" s="78">
        <f>IF($B1579="","",IFERROR(INDEX(Task_Tracker!$F$5:$F$1004,MATCH($B1579,Task_Tracker!$A$5:$A$1004,0)),""))</f>
        <v/>
      </c>
      <c r="V1579" s="78">
        <f>IF($B1579="","",IFERROR(INDEX(Task_Tracker!$I$5:$I$1004,MATCH($B1579,Task_Tracker!$A$5:$A$1004,0)),""))</f>
        <v/>
      </c>
      <c r="W1579" s="81">
        <f>IF(OR($D1579="",$B1579=""),"",$D1579&amp;" | "&amp;$B1579)</f>
        <v/>
      </c>
      <c r="X1579" s="85">
        <f>IF($K1579="","",TEXT($K1579,"yyyy-mm"))</f>
        <v/>
      </c>
      <c r="Y1579" s="81">
        <f>IF(OR($A1579="",$T1579=""),"","Included in Manager_Report")</f>
        <v/>
      </c>
    </row>
    <row r="1580" ht="15" customHeight="1" s="40">
      <c r="A1580" s="65">
        <f>IF(COUNTA(B1580:G1580)=0,"","STP-"&amp;TEXT(ROW()-4,"0000"))</f>
        <v/>
      </c>
      <c r="B1580" s="78" t="n"/>
      <c r="C1580" s="67">
        <f>IF($B1580="","",IFERROR(INDEX(Task_Tracker!$D$5:$D$1004,MATCH($B1580,Task_Tracker!$A$5:$A$1004,0)),""))</f>
        <v/>
      </c>
      <c r="D1580" s="67">
        <f>IF($B1580="","",IFERROR(INDEX(Task_Tracker!$B$5:$B$1004,MATCH($B1580,Task_Tracker!$A$5:$A$1004,0)),""))</f>
        <v/>
      </c>
      <c r="E1580" s="81" t="n"/>
      <c r="F1580" s="81" t="n"/>
      <c r="G1580" s="78" t="n"/>
      <c r="H1580" s="78" t="n"/>
      <c r="I1580" s="67">
        <f>IF($H1580="","",IFERROR(INDEX(Action_Status_Map!$B$5:$B$11,MATCH($H1580,Action_Status_Map!$A$5:$A$11,0)),""))</f>
        <v/>
      </c>
      <c r="J1580" s="82" t="n"/>
      <c r="K1580" s="82" t="n"/>
      <c r="L1580" s="82" t="n"/>
      <c r="M1580" s="83" t="n"/>
      <c r="N1580" s="83" t="n"/>
      <c r="O1580" s="66">
        <f>IF(OR($M1580="",$N1580=""),"",$N1580-$M1580)</f>
        <v/>
      </c>
      <c r="P1580" s="84">
        <f>IF($J1580="","",IF($L1580&lt;&gt;"",$L1580-$J1580,TODAY()-$J1580))</f>
        <v/>
      </c>
      <c r="Q1580" s="85">
        <f>IF(OR($K1580="",$H1580="Completed",$H1580="Cancelled"),"",IF(AND($K1580&lt;TODAY(),$H1580&lt;&gt;"Completed",$H1580&lt;&gt;"Cancelled"),"Overdue","On Track"))</f>
        <v/>
      </c>
      <c r="R1580" s="81" t="n"/>
      <c r="S1580" s="81">
        <f>IF($B1580="","",IFERROR(INDEX(Task_Tracker!$AA$5:$AA$1004,MATCH($B1580,Task_Tracker!$A$5:$A$1004,0)),""))</f>
        <v/>
      </c>
      <c r="T1580" s="81">
        <f>IF($B1580="","",IFERROR(INDEX(Task_Tracker!$AB$5:$AB$1004,MATCH($B1580,Task_Tracker!$A$5:$A$1004,0)),""))</f>
        <v/>
      </c>
      <c r="U1580" s="78">
        <f>IF($B1580="","",IFERROR(INDEX(Task_Tracker!$F$5:$F$1004,MATCH($B1580,Task_Tracker!$A$5:$A$1004,0)),""))</f>
        <v/>
      </c>
      <c r="V1580" s="78">
        <f>IF($B1580="","",IFERROR(INDEX(Task_Tracker!$I$5:$I$1004,MATCH($B1580,Task_Tracker!$A$5:$A$1004,0)),""))</f>
        <v/>
      </c>
      <c r="W1580" s="81">
        <f>IF(OR($D1580="",$B1580=""),"",$D1580&amp;" | "&amp;$B1580)</f>
        <v/>
      </c>
      <c r="X1580" s="85">
        <f>IF($K1580="","",TEXT($K1580,"yyyy-mm"))</f>
        <v/>
      </c>
      <c r="Y1580" s="81">
        <f>IF(OR($A1580="",$T1580=""),"","Included in Manager_Report")</f>
        <v/>
      </c>
    </row>
    <row r="1581" ht="15" customHeight="1" s="40">
      <c r="A1581" s="65">
        <f>IF(COUNTA(B1581:G1581)=0,"","STP-"&amp;TEXT(ROW()-4,"0000"))</f>
        <v/>
      </c>
      <c r="B1581" s="78" t="n"/>
      <c r="C1581" s="67">
        <f>IF($B1581="","",IFERROR(INDEX(Task_Tracker!$D$5:$D$1004,MATCH($B1581,Task_Tracker!$A$5:$A$1004,0)),""))</f>
        <v/>
      </c>
      <c r="D1581" s="67">
        <f>IF($B1581="","",IFERROR(INDEX(Task_Tracker!$B$5:$B$1004,MATCH($B1581,Task_Tracker!$A$5:$A$1004,0)),""))</f>
        <v/>
      </c>
      <c r="E1581" s="81" t="n"/>
      <c r="F1581" s="81" t="n"/>
      <c r="G1581" s="78" t="n"/>
      <c r="H1581" s="78" t="n"/>
      <c r="I1581" s="67">
        <f>IF($H1581="","",IFERROR(INDEX(Action_Status_Map!$B$5:$B$11,MATCH($H1581,Action_Status_Map!$A$5:$A$11,0)),""))</f>
        <v/>
      </c>
      <c r="J1581" s="82" t="n"/>
      <c r="K1581" s="82" t="n"/>
      <c r="L1581" s="82" t="n"/>
      <c r="M1581" s="83" t="n"/>
      <c r="N1581" s="83" t="n"/>
      <c r="O1581" s="66">
        <f>IF(OR($M1581="",$N1581=""),"",$N1581-$M1581)</f>
        <v/>
      </c>
      <c r="P1581" s="84">
        <f>IF($J1581="","",IF($L1581&lt;&gt;"",$L1581-$J1581,TODAY()-$J1581))</f>
        <v/>
      </c>
      <c r="Q1581" s="85">
        <f>IF(OR($K1581="",$H1581="Completed",$H1581="Cancelled"),"",IF(AND($K1581&lt;TODAY(),$H1581&lt;&gt;"Completed",$H1581&lt;&gt;"Cancelled"),"Overdue","On Track"))</f>
        <v/>
      </c>
      <c r="R1581" s="81" t="n"/>
      <c r="S1581" s="81">
        <f>IF($B1581="","",IFERROR(INDEX(Task_Tracker!$AA$5:$AA$1004,MATCH($B1581,Task_Tracker!$A$5:$A$1004,0)),""))</f>
        <v/>
      </c>
      <c r="T1581" s="81">
        <f>IF($B1581="","",IFERROR(INDEX(Task_Tracker!$AB$5:$AB$1004,MATCH($B1581,Task_Tracker!$A$5:$A$1004,0)),""))</f>
        <v/>
      </c>
      <c r="U1581" s="78">
        <f>IF($B1581="","",IFERROR(INDEX(Task_Tracker!$F$5:$F$1004,MATCH($B1581,Task_Tracker!$A$5:$A$1004,0)),""))</f>
        <v/>
      </c>
      <c r="V1581" s="78">
        <f>IF($B1581="","",IFERROR(INDEX(Task_Tracker!$I$5:$I$1004,MATCH($B1581,Task_Tracker!$A$5:$A$1004,0)),""))</f>
        <v/>
      </c>
      <c r="W1581" s="81">
        <f>IF(OR($D1581="",$B1581=""),"",$D1581&amp;" | "&amp;$B1581)</f>
        <v/>
      </c>
      <c r="X1581" s="85">
        <f>IF($K1581="","",TEXT($K1581,"yyyy-mm"))</f>
        <v/>
      </c>
      <c r="Y1581" s="81">
        <f>IF(OR($A1581="",$T1581=""),"","Included in Manager_Report")</f>
        <v/>
      </c>
    </row>
    <row r="1582" ht="15" customHeight="1" s="40">
      <c r="A1582" s="65">
        <f>IF(COUNTA(B1582:G1582)=0,"","STP-"&amp;TEXT(ROW()-4,"0000"))</f>
        <v/>
      </c>
      <c r="B1582" s="78" t="n"/>
      <c r="C1582" s="67">
        <f>IF($B1582="","",IFERROR(INDEX(Task_Tracker!$D$5:$D$1004,MATCH($B1582,Task_Tracker!$A$5:$A$1004,0)),""))</f>
        <v/>
      </c>
      <c r="D1582" s="67">
        <f>IF($B1582="","",IFERROR(INDEX(Task_Tracker!$B$5:$B$1004,MATCH($B1582,Task_Tracker!$A$5:$A$1004,0)),""))</f>
        <v/>
      </c>
      <c r="E1582" s="81" t="n"/>
      <c r="F1582" s="81" t="n"/>
      <c r="G1582" s="78" t="n"/>
      <c r="H1582" s="78" t="n"/>
      <c r="I1582" s="67">
        <f>IF($H1582="","",IFERROR(INDEX(Action_Status_Map!$B$5:$B$11,MATCH($H1582,Action_Status_Map!$A$5:$A$11,0)),""))</f>
        <v/>
      </c>
      <c r="J1582" s="82" t="n"/>
      <c r="K1582" s="82" t="n"/>
      <c r="L1582" s="82" t="n"/>
      <c r="M1582" s="83" t="n"/>
      <c r="N1582" s="83" t="n"/>
      <c r="O1582" s="66">
        <f>IF(OR($M1582="",$N1582=""),"",$N1582-$M1582)</f>
        <v/>
      </c>
      <c r="P1582" s="84">
        <f>IF($J1582="","",IF($L1582&lt;&gt;"",$L1582-$J1582,TODAY()-$J1582))</f>
        <v/>
      </c>
      <c r="Q1582" s="85">
        <f>IF(OR($K1582="",$H1582="Completed",$H1582="Cancelled"),"",IF(AND($K1582&lt;TODAY(),$H1582&lt;&gt;"Completed",$H1582&lt;&gt;"Cancelled"),"Overdue","On Track"))</f>
        <v/>
      </c>
      <c r="R1582" s="81" t="n"/>
      <c r="S1582" s="81">
        <f>IF($B1582="","",IFERROR(INDEX(Task_Tracker!$AA$5:$AA$1004,MATCH($B1582,Task_Tracker!$A$5:$A$1004,0)),""))</f>
        <v/>
      </c>
      <c r="T1582" s="81">
        <f>IF($B1582="","",IFERROR(INDEX(Task_Tracker!$AB$5:$AB$1004,MATCH($B1582,Task_Tracker!$A$5:$A$1004,0)),""))</f>
        <v/>
      </c>
      <c r="U1582" s="78">
        <f>IF($B1582="","",IFERROR(INDEX(Task_Tracker!$F$5:$F$1004,MATCH($B1582,Task_Tracker!$A$5:$A$1004,0)),""))</f>
        <v/>
      </c>
      <c r="V1582" s="78">
        <f>IF($B1582="","",IFERROR(INDEX(Task_Tracker!$I$5:$I$1004,MATCH($B1582,Task_Tracker!$A$5:$A$1004,0)),""))</f>
        <v/>
      </c>
      <c r="W1582" s="81">
        <f>IF(OR($D1582="",$B1582=""),"",$D1582&amp;" | "&amp;$B1582)</f>
        <v/>
      </c>
      <c r="X1582" s="85">
        <f>IF($K1582="","",TEXT($K1582,"yyyy-mm"))</f>
        <v/>
      </c>
      <c r="Y1582" s="81">
        <f>IF(OR($A1582="",$T1582=""),"","Included in Manager_Report")</f>
        <v/>
      </c>
    </row>
    <row r="1583" ht="15" customHeight="1" s="40">
      <c r="A1583" s="65">
        <f>IF(COUNTA(B1583:G1583)=0,"","STP-"&amp;TEXT(ROW()-4,"0000"))</f>
        <v/>
      </c>
      <c r="B1583" s="78" t="n"/>
      <c r="C1583" s="67">
        <f>IF($B1583="","",IFERROR(INDEX(Task_Tracker!$D$5:$D$1004,MATCH($B1583,Task_Tracker!$A$5:$A$1004,0)),""))</f>
        <v/>
      </c>
      <c r="D1583" s="67">
        <f>IF($B1583="","",IFERROR(INDEX(Task_Tracker!$B$5:$B$1004,MATCH($B1583,Task_Tracker!$A$5:$A$1004,0)),""))</f>
        <v/>
      </c>
      <c r="E1583" s="81" t="n"/>
      <c r="F1583" s="81" t="n"/>
      <c r="G1583" s="78" t="n"/>
      <c r="H1583" s="78" t="n"/>
      <c r="I1583" s="67">
        <f>IF($H1583="","",IFERROR(INDEX(Action_Status_Map!$B$5:$B$11,MATCH($H1583,Action_Status_Map!$A$5:$A$11,0)),""))</f>
        <v/>
      </c>
      <c r="J1583" s="82" t="n"/>
      <c r="K1583" s="82" t="n"/>
      <c r="L1583" s="82" t="n"/>
      <c r="M1583" s="83" t="n"/>
      <c r="N1583" s="83" t="n"/>
      <c r="O1583" s="66">
        <f>IF(OR($M1583="",$N1583=""),"",$N1583-$M1583)</f>
        <v/>
      </c>
      <c r="P1583" s="84">
        <f>IF($J1583="","",IF($L1583&lt;&gt;"",$L1583-$J1583,TODAY()-$J1583))</f>
        <v/>
      </c>
      <c r="Q1583" s="85">
        <f>IF(OR($K1583="",$H1583="Completed",$H1583="Cancelled"),"",IF(AND($K1583&lt;TODAY(),$H1583&lt;&gt;"Completed",$H1583&lt;&gt;"Cancelled"),"Overdue","On Track"))</f>
        <v/>
      </c>
      <c r="R1583" s="81" t="n"/>
      <c r="S1583" s="81">
        <f>IF($B1583="","",IFERROR(INDEX(Task_Tracker!$AA$5:$AA$1004,MATCH($B1583,Task_Tracker!$A$5:$A$1004,0)),""))</f>
        <v/>
      </c>
      <c r="T1583" s="81">
        <f>IF($B1583="","",IFERROR(INDEX(Task_Tracker!$AB$5:$AB$1004,MATCH($B1583,Task_Tracker!$A$5:$A$1004,0)),""))</f>
        <v/>
      </c>
      <c r="U1583" s="78">
        <f>IF($B1583="","",IFERROR(INDEX(Task_Tracker!$F$5:$F$1004,MATCH($B1583,Task_Tracker!$A$5:$A$1004,0)),""))</f>
        <v/>
      </c>
      <c r="V1583" s="78">
        <f>IF($B1583="","",IFERROR(INDEX(Task_Tracker!$I$5:$I$1004,MATCH($B1583,Task_Tracker!$A$5:$A$1004,0)),""))</f>
        <v/>
      </c>
      <c r="W1583" s="81">
        <f>IF(OR($D1583="",$B1583=""),"",$D1583&amp;" | "&amp;$B1583)</f>
        <v/>
      </c>
      <c r="X1583" s="85">
        <f>IF($K1583="","",TEXT($K1583,"yyyy-mm"))</f>
        <v/>
      </c>
      <c r="Y1583" s="81">
        <f>IF(OR($A1583="",$T1583=""),"","Included in Manager_Report")</f>
        <v/>
      </c>
    </row>
    <row r="1584" ht="15" customHeight="1" s="40">
      <c r="A1584" s="65">
        <f>IF(COUNTA(B1584:G1584)=0,"","STP-"&amp;TEXT(ROW()-4,"0000"))</f>
        <v/>
      </c>
      <c r="B1584" s="78" t="n"/>
      <c r="C1584" s="67">
        <f>IF($B1584="","",IFERROR(INDEX(Task_Tracker!$D$5:$D$1004,MATCH($B1584,Task_Tracker!$A$5:$A$1004,0)),""))</f>
        <v/>
      </c>
      <c r="D1584" s="67">
        <f>IF($B1584="","",IFERROR(INDEX(Task_Tracker!$B$5:$B$1004,MATCH($B1584,Task_Tracker!$A$5:$A$1004,0)),""))</f>
        <v/>
      </c>
      <c r="E1584" s="81" t="n"/>
      <c r="F1584" s="81" t="n"/>
      <c r="G1584" s="78" t="n"/>
      <c r="H1584" s="78" t="n"/>
      <c r="I1584" s="67">
        <f>IF($H1584="","",IFERROR(INDEX(Action_Status_Map!$B$5:$B$11,MATCH($H1584,Action_Status_Map!$A$5:$A$11,0)),""))</f>
        <v/>
      </c>
      <c r="J1584" s="82" t="n"/>
      <c r="K1584" s="82" t="n"/>
      <c r="L1584" s="82" t="n"/>
      <c r="M1584" s="83" t="n"/>
      <c r="N1584" s="83" t="n"/>
      <c r="O1584" s="66">
        <f>IF(OR($M1584="",$N1584=""),"",$N1584-$M1584)</f>
        <v/>
      </c>
      <c r="P1584" s="84">
        <f>IF($J1584="","",IF($L1584&lt;&gt;"",$L1584-$J1584,TODAY()-$J1584))</f>
        <v/>
      </c>
      <c r="Q1584" s="85">
        <f>IF(OR($K1584="",$H1584="Completed",$H1584="Cancelled"),"",IF(AND($K1584&lt;TODAY(),$H1584&lt;&gt;"Completed",$H1584&lt;&gt;"Cancelled"),"Overdue","On Track"))</f>
        <v/>
      </c>
      <c r="R1584" s="81" t="n"/>
      <c r="S1584" s="81">
        <f>IF($B1584="","",IFERROR(INDEX(Task_Tracker!$AA$5:$AA$1004,MATCH($B1584,Task_Tracker!$A$5:$A$1004,0)),""))</f>
        <v/>
      </c>
      <c r="T1584" s="81">
        <f>IF($B1584="","",IFERROR(INDEX(Task_Tracker!$AB$5:$AB$1004,MATCH($B1584,Task_Tracker!$A$5:$A$1004,0)),""))</f>
        <v/>
      </c>
      <c r="U1584" s="78">
        <f>IF($B1584="","",IFERROR(INDEX(Task_Tracker!$F$5:$F$1004,MATCH($B1584,Task_Tracker!$A$5:$A$1004,0)),""))</f>
        <v/>
      </c>
      <c r="V1584" s="78">
        <f>IF($B1584="","",IFERROR(INDEX(Task_Tracker!$I$5:$I$1004,MATCH($B1584,Task_Tracker!$A$5:$A$1004,0)),""))</f>
        <v/>
      </c>
      <c r="W1584" s="81">
        <f>IF(OR($D1584="",$B1584=""),"",$D1584&amp;" | "&amp;$B1584)</f>
        <v/>
      </c>
      <c r="X1584" s="85">
        <f>IF($K1584="","",TEXT($K1584,"yyyy-mm"))</f>
        <v/>
      </c>
      <c r="Y1584" s="81">
        <f>IF(OR($A1584="",$T1584=""),"","Included in Manager_Report")</f>
        <v/>
      </c>
    </row>
    <row r="1585" ht="15" customHeight="1" s="40">
      <c r="A1585" s="65">
        <f>IF(COUNTA(B1585:G1585)=0,"","STP-"&amp;TEXT(ROW()-4,"0000"))</f>
        <v/>
      </c>
      <c r="B1585" s="78" t="n"/>
      <c r="C1585" s="67">
        <f>IF($B1585="","",IFERROR(INDEX(Task_Tracker!$D$5:$D$1004,MATCH($B1585,Task_Tracker!$A$5:$A$1004,0)),""))</f>
        <v/>
      </c>
      <c r="D1585" s="67">
        <f>IF($B1585="","",IFERROR(INDEX(Task_Tracker!$B$5:$B$1004,MATCH($B1585,Task_Tracker!$A$5:$A$1004,0)),""))</f>
        <v/>
      </c>
      <c r="E1585" s="81" t="n"/>
      <c r="F1585" s="81" t="n"/>
      <c r="G1585" s="78" t="n"/>
      <c r="H1585" s="78" t="n"/>
      <c r="I1585" s="67">
        <f>IF($H1585="","",IFERROR(INDEX(Action_Status_Map!$B$5:$B$11,MATCH($H1585,Action_Status_Map!$A$5:$A$11,0)),""))</f>
        <v/>
      </c>
      <c r="J1585" s="82" t="n"/>
      <c r="K1585" s="82" t="n"/>
      <c r="L1585" s="82" t="n"/>
      <c r="M1585" s="83" t="n"/>
      <c r="N1585" s="83" t="n"/>
      <c r="O1585" s="66">
        <f>IF(OR($M1585="",$N1585=""),"",$N1585-$M1585)</f>
        <v/>
      </c>
      <c r="P1585" s="84">
        <f>IF($J1585="","",IF($L1585&lt;&gt;"",$L1585-$J1585,TODAY()-$J1585))</f>
        <v/>
      </c>
      <c r="Q1585" s="85">
        <f>IF(OR($K1585="",$H1585="Completed",$H1585="Cancelled"),"",IF(AND($K1585&lt;TODAY(),$H1585&lt;&gt;"Completed",$H1585&lt;&gt;"Cancelled"),"Overdue","On Track"))</f>
        <v/>
      </c>
      <c r="R1585" s="81" t="n"/>
      <c r="S1585" s="81">
        <f>IF($B1585="","",IFERROR(INDEX(Task_Tracker!$AA$5:$AA$1004,MATCH($B1585,Task_Tracker!$A$5:$A$1004,0)),""))</f>
        <v/>
      </c>
      <c r="T1585" s="81">
        <f>IF($B1585="","",IFERROR(INDEX(Task_Tracker!$AB$5:$AB$1004,MATCH($B1585,Task_Tracker!$A$5:$A$1004,0)),""))</f>
        <v/>
      </c>
      <c r="U1585" s="78">
        <f>IF($B1585="","",IFERROR(INDEX(Task_Tracker!$F$5:$F$1004,MATCH($B1585,Task_Tracker!$A$5:$A$1004,0)),""))</f>
        <v/>
      </c>
      <c r="V1585" s="78">
        <f>IF($B1585="","",IFERROR(INDEX(Task_Tracker!$I$5:$I$1004,MATCH($B1585,Task_Tracker!$A$5:$A$1004,0)),""))</f>
        <v/>
      </c>
      <c r="W1585" s="81">
        <f>IF(OR($D1585="",$B1585=""),"",$D1585&amp;" | "&amp;$B1585)</f>
        <v/>
      </c>
      <c r="X1585" s="85">
        <f>IF($K1585="","",TEXT($K1585,"yyyy-mm"))</f>
        <v/>
      </c>
      <c r="Y1585" s="81">
        <f>IF(OR($A1585="",$T1585=""),"","Included in Manager_Report")</f>
        <v/>
      </c>
    </row>
    <row r="1586" ht="15" customHeight="1" s="40">
      <c r="A1586" s="65">
        <f>IF(COUNTA(B1586:G1586)=0,"","STP-"&amp;TEXT(ROW()-4,"0000"))</f>
        <v/>
      </c>
      <c r="B1586" s="78" t="n"/>
      <c r="C1586" s="67">
        <f>IF($B1586="","",IFERROR(INDEX(Task_Tracker!$D$5:$D$1004,MATCH($B1586,Task_Tracker!$A$5:$A$1004,0)),""))</f>
        <v/>
      </c>
      <c r="D1586" s="67">
        <f>IF($B1586="","",IFERROR(INDEX(Task_Tracker!$B$5:$B$1004,MATCH($B1586,Task_Tracker!$A$5:$A$1004,0)),""))</f>
        <v/>
      </c>
      <c r="E1586" s="81" t="n"/>
      <c r="F1586" s="81" t="n"/>
      <c r="G1586" s="78" t="n"/>
      <c r="H1586" s="78" t="n"/>
      <c r="I1586" s="67">
        <f>IF($H1586="","",IFERROR(INDEX(Action_Status_Map!$B$5:$B$11,MATCH($H1586,Action_Status_Map!$A$5:$A$11,0)),""))</f>
        <v/>
      </c>
      <c r="J1586" s="82" t="n"/>
      <c r="K1586" s="82" t="n"/>
      <c r="L1586" s="82" t="n"/>
      <c r="M1586" s="83" t="n"/>
      <c r="N1586" s="83" t="n"/>
      <c r="O1586" s="66">
        <f>IF(OR($M1586="",$N1586=""),"",$N1586-$M1586)</f>
        <v/>
      </c>
      <c r="P1586" s="84">
        <f>IF($J1586="","",IF($L1586&lt;&gt;"",$L1586-$J1586,TODAY()-$J1586))</f>
        <v/>
      </c>
      <c r="Q1586" s="85">
        <f>IF(OR($K1586="",$H1586="Completed",$H1586="Cancelled"),"",IF(AND($K1586&lt;TODAY(),$H1586&lt;&gt;"Completed",$H1586&lt;&gt;"Cancelled"),"Overdue","On Track"))</f>
        <v/>
      </c>
      <c r="R1586" s="81" t="n"/>
      <c r="S1586" s="81">
        <f>IF($B1586="","",IFERROR(INDEX(Task_Tracker!$AA$5:$AA$1004,MATCH($B1586,Task_Tracker!$A$5:$A$1004,0)),""))</f>
        <v/>
      </c>
      <c r="T1586" s="81">
        <f>IF($B1586="","",IFERROR(INDEX(Task_Tracker!$AB$5:$AB$1004,MATCH($B1586,Task_Tracker!$A$5:$A$1004,0)),""))</f>
        <v/>
      </c>
      <c r="U1586" s="78">
        <f>IF($B1586="","",IFERROR(INDEX(Task_Tracker!$F$5:$F$1004,MATCH($B1586,Task_Tracker!$A$5:$A$1004,0)),""))</f>
        <v/>
      </c>
      <c r="V1586" s="78">
        <f>IF($B1586="","",IFERROR(INDEX(Task_Tracker!$I$5:$I$1004,MATCH($B1586,Task_Tracker!$A$5:$A$1004,0)),""))</f>
        <v/>
      </c>
      <c r="W1586" s="81">
        <f>IF(OR($D1586="",$B1586=""),"",$D1586&amp;" | "&amp;$B1586)</f>
        <v/>
      </c>
      <c r="X1586" s="85">
        <f>IF($K1586="","",TEXT($K1586,"yyyy-mm"))</f>
        <v/>
      </c>
      <c r="Y1586" s="81">
        <f>IF(OR($A1586="",$T1586=""),"","Included in Manager_Report")</f>
        <v/>
      </c>
    </row>
    <row r="1587" ht="15" customHeight="1" s="40">
      <c r="A1587" s="65">
        <f>IF(COUNTA(B1587:G1587)=0,"","STP-"&amp;TEXT(ROW()-4,"0000"))</f>
        <v/>
      </c>
      <c r="B1587" s="78" t="n"/>
      <c r="C1587" s="67">
        <f>IF($B1587="","",IFERROR(INDEX(Task_Tracker!$D$5:$D$1004,MATCH($B1587,Task_Tracker!$A$5:$A$1004,0)),""))</f>
        <v/>
      </c>
      <c r="D1587" s="67">
        <f>IF($B1587="","",IFERROR(INDEX(Task_Tracker!$B$5:$B$1004,MATCH($B1587,Task_Tracker!$A$5:$A$1004,0)),""))</f>
        <v/>
      </c>
      <c r="E1587" s="81" t="n"/>
      <c r="F1587" s="81" t="n"/>
      <c r="G1587" s="78" t="n"/>
      <c r="H1587" s="78" t="n"/>
      <c r="I1587" s="67">
        <f>IF($H1587="","",IFERROR(INDEX(Action_Status_Map!$B$5:$B$11,MATCH($H1587,Action_Status_Map!$A$5:$A$11,0)),""))</f>
        <v/>
      </c>
      <c r="J1587" s="82" t="n"/>
      <c r="K1587" s="82" t="n"/>
      <c r="L1587" s="82" t="n"/>
      <c r="M1587" s="83" t="n"/>
      <c r="N1587" s="83" t="n"/>
      <c r="O1587" s="66">
        <f>IF(OR($M1587="",$N1587=""),"",$N1587-$M1587)</f>
        <v/>
      </c>
      <c r="P1587" s="84">
        <f>IF($J1587="","",IF($L1587&lt;&gt;"",$L1587-$J1587,TODAY()-$J1587))</f>
        <v/>
      </c>
      <c r="Q1587" s="85">
        <f>IF(OR($K1587="",$H1587="Completed",$H1587="Cancelled"),"",IF(AND($K1587&lt;TODAY(),$H1587&lt;&gt;"Completed",$H1587&lt;&gt;"Cancelled"),"Overdue","On Track"))</f>
        <v/>
      </c>
      <c r="R1587" s="81" t="n"/>
      <c r="S1587" s="81">
        <f>IF($B1587="","",IFERROR(INDEX(Task_Tracker!$AA$5:$AA$1004,MATCH($B1587,Task_Tracker!$A$5:$A$1004,0)),""))</f>
        <v/>
      </c>
      <c r="T1587" s="81">
        <f>IF($B1587="","",IFERROR(INDEX(Task_Tracker!$AB$5:$AB$1004,MATCH($B1587,Task_Tracker!$A$5:$A$1004,0)),""))</f>
        <v/>
      </c>
      <c r="U1587" s="78">
        <f>IF($B1587="","",IFERROR(INDEX(Task_Tracker!$F$5:$F$1004,MATCH($B1587,Task_Tracker!$A$5:$A$1004,0)),""))</f>
        <v/>
      </c>
      <c r="V1587" s="78">
        <f>IF($B1587="","",IFERROR(INDEX(Task_Tracker!$I$5:$I$1004,MATCH($B1587,Task_Tracker!$A$5:$A$1004,0)),""))</f>
        <v/>
      </c>
      <c r="W1587" s="81">
        <f>IF(OR($D1587="",$B1587=""),"",$D1587&amp;" | "&amp;$B1587)</f>
        <v/>
      </c>
      <c r="X1587" s="85">
        <f>IF($K1587="","",TEXT($K1587,"yyyy-mm"))</f>
        <v/>
      </c>
      <c r="Y1587" s="81">
        <f>IF(OR($A1587="",$T1587=""),"","Included in Manager_Report")</f>
        <v/>
      </c>
    </row>
    <row r="1588" ht="15" customHeight="1" s="40">
      <c r="A1588" s="65">
        <f>IF(COUNTA(B1588:G1588)=0,"","STP-"&amp;TEXT(ROW()-4,"0000"))</f>
        <v/>
      </c>
      <c r="B1588" s="78" t="n"/>
      <c r="C1588" s="67">
        <f>IF($B1588="","",IFERROR(INDEX(Task_Tracker!$D$5:$D$1004,MATCH($B1588,Task_Tracker!$A$5:$A$1004,0)),""))</f>
        <v/>
      </c>
      <c r="D1588" s="67">
        <f>IF($B1588="","",IFERROR(INDEX(Task_Tracker!$B$5:$B$1004,MATCH($B1588,Task_Tracker!$A$5:$A$1004,0)),""))</f>
        <v/>
      </c>
      <c r="E1588" s="81" t="n"/>
      <c r="F1588" s="81" t="n"/>
      <c r="G1588" s="78" t="n"/>
      <c r="H1588" s="78" t="n"/>
      <c r="I1588" s="67">
        <f>IF($H1588="","",IFERROR(INDEX(Action_Status_Map!$B$5:$B$11,MATCH($H1588,Action_Status_Map!$A$5:$A$11,0)),""))</f>
        <v/>
      </c>
      <c r="J1588" s="82" t="n"/>
      <c r="K1588" s="82" t="n"/>
      <c r="L1588" s="82" t="n"/>
      <c r="M1588" s="83" t="n"/>
      <c r="N1588" s="83" t="n"/>
      <c r="O1588" s="66">
        <f>IF(OR($M1588="",$N1588=""),"",$N1588-$M1588)</f>
        <v/>
      </c>
      <c r="P1588" s="84">
        <f>IF($J1588="","",IF($L1588&lt;&gt;"",$L1588-$J1588,TODAY()-$J1588))</f>
        <v/>
      </c>
      <c r="Q1588" s="85">
        <f>IF(OR($K1588="",$H1588="Completed",$H1588="Cancelled"),"",IF(AND($K1588&lt;TODAY(),$H1588&lt;&gt;"Completed",$H1588&lt;&gt;"Cancelled"),"Overdue","On Track"))</f>
        <v/>
      </c>
      <c r="R1588" s="81" t="n"/>
      <c r="S1588" s="81">
        <f>IF($B1588="","",IFERROR(INDEX(Task_Tracker!$AA$5:$AA$1004,MATCH($B1588,Task_Tracker!$A$5:$A$1004,0)),""))</f>
        <v/>
      </c>
      <c r="T1588" s="81">
        <f>IF($B1588="","",IFERROR(INDEX(Task_Tracker!$AB$5:$AB$1004,MATCH($B1588,Task_Tracker!$A$5:$A$1004,0)),""))</f>
        <v/>
      </c>
      <c r="U1588" s="78">
        <f>IF($B1588="","",IFERROR(INDEX(Task_Tracker!$F$5:$F$1004,MATCH($B1588,Task_Tracker!$A$5:$A$1004,0)),""))</f>
        <v/>
      </c>
      <c r="V1588" s="78">
        <f>IF($B1588="","",IFERROR(INDEX(Task_Tracker!$I$5:$I$1004,MATCH($B1588,Task_Tracker!$A$5:$A$1004,0)),""))</f>
        <v/>
      </c>
      <c r="W1588" s="81">
        <f>IF(OR($D1588="",$B1588=""),"",$D1588&amp;" | "&amp;$B1588)</f>
        <v/>
      </c>
      <c r="X1588" s="85">
        <f>IF($K1588="","",TEXT($K1588,"yyyy-mm"))</f>
        <v/>
      </c>
      <c r="Y1588" s="81">
        <f>IF(OR($A1588="",$T1588=""),"","Included in Manager_Report")</f>
        <v/>
      </c>
    </row>
    <row r="1589" ht="15" customHeight="1" s="40">
      <c r="A1589" s="65">
        <f>IF(COUNTA(B1589:G1589)=0,"","STP-"&amp;TEXT(ROW()-4,"0000"))</f>
        <v/>
      </c>
      <c r="B1589" s="78" t="n"/>
      <c r="C1589" s="67">
        <f>IF($B1589="","",IFERROR(INDEX(Task_Tracker!$D$5:$D$1004,MATCH($B1589,Task_Tracker!$A$5:$A$1004,0)),""))</f>
        <v/>
      </c>
      <c r="D1589" s="67">
        <f>IF($B1589="","",IFERROR(INDEX(Task_Tracker!$B$5:$B$1004,MATCH($B1589,Task_Tracker!$A$5:$A$1004,0)),""))</f>
        <v/>
      </c>
      <c r="E1589" s="81" t="n"/>
      <c r="F1589" s="81" t="n"/>
      <c r="G1589" s="78" t="n"/>
      <c r="H1589" s="78" t="n"/>
      <c r="I1589" s="67">
        <f>IF($H1589="","",IFERROR(INDEX(Action_Status_Map!$B$5:$B$11,MATCH($H1589,Action_Status_Map!$A$5:$A$11,0)),""))</f>
        <v/>
      </c>
      <c r="J1589" s="82" t="n"/>
      <c r="K1589" s="82" t="n"/>
      <c r="L1589" s="82" t="n"/>
      <c r="M1589" s="83" t="n"/>
      <c r="N1589" s="83" t="n"/>
      <c r="O1589" s="66">
        <f>IF(OR($M1589="",$N1589=""),"",$N1589-$M1589)</f>
        <v/>
      </c>
      <c r="P1589" s="84">
        <f>IF($J1589="","",IF($L1589&lt;&gt;"",$L1589-$J1589,TODAY()-$J1589))</f>
        <v/>
      </c>
      <c r="Q1589" s="85">
        <f>IF(OR($K1589="",$H1589="Completed",$H1589="Cancelled"),"",IF(AND($K1589&lt;TODAY(),$H1589&lt;&gt;"Completed",$H1589&lt;&gt;"Cancelled"),"Overdue","On Track"))</f>
        <v/>
      </c>
      <c r="R1589" s="81" t="n"/>
      <c r="S1589" s="81">
        <f>IF($B1589="","",IFERROR(INDEX(Task_Tracker!$AA$5:$AA$1004,MATCH($B1589,Task_Tracker!$A$5:$A$1004,0)),""))</f>
        <v/>
      </c>
      <c r="T1589" s="81">
        <f>IF($B1589="","",IFERROR(INDEX(Task_Tracker!$AB$5:$AB$1004,MATCH($B1589,Task_Tracker!$A$5:$A$1004,0)),""))</f>
        <v/>
      </c>
      <c r="U1589" s="78">
        <f>IF($B1589="","",IFERROR(INDEX(Task_Tracker!$F$5:$F$1004,MATCH($B1589,Task_Tracker!$A$5:$A$1004,0)),""))</f>
        <v/>
      </c>
      <c r="V1589" s="78">
        <f>IF($B1589="","",IFERROR(INDEX(Task_Tracker!$I$5:$I$1004,MATCH($B1589,Task_Tracker!$A$5:$A$1004,0)),""))</f>
        <v/>
      </c>
      <c r="W1589" s="81">
        <f>IF(OR($D1589="",$B1589=""),"",$D1589&amp;" | "&amp;$B1589)</f>
        <v/>
      </c>
      <c r="X1589" s="85">
        <f>IF($K1589="","",TEXT($K1589,"yyyy-mm"))</f>
        <v/>
      </c>
      <c r="Y1589" s="81">
        <f>IF(OR($A1589="",$T1589=""),"","Included in Manager_Report")</f>
        <v/>
      </c>
    </row>
    <row r="1590" ht="15" customHeight="1" s="40">
      <c r="A1590" s="65">
        <f>IF(COUNTA(B1590:G1590)=0,"","STP-"&amp;TEXT(ROW()-4,"0000"))</f>
        <v/>
      </c>
      <c r="B1590" s="78" t="n"/>
      <c r="C1590" s="67">
        <f>IF($B1590="","",IFERROR(INDEX(Task_Tracker!$D$5:$D$1004,MATCH($B1590,Task_Tracker!$A$5:$A$1004,0)),""))</f>
        <v/>
      </c>
      <c r="D1590" s="67">
        <f>IF($B1590="","",IFERROR(INDEX(Task_Tracker!$B$5:$B$1004,MATCH($B1590,Task_Tracker!$A$5:$A$1004,0)),""))</f>
        <v/>
      </c>
      <c r="E1590" s="81" t="n"/>
      <c r="F1590" s="81" t="n"/>
      <c r="G1590" s="78" t="n"/>
      <c r="H1590" s="78" t="n"/>
      <c r="I1590" s="67">
        <f>IF($H1590="","",IFERROR(INDEX(Action_Status_Map!$B$5:$B$11,MATCH($H1590,Action_Status_Map!$A$5:$A$11,0)),""))</f>
        <v/>
      </c>
      <c r="J1590" s="82" t="n"/>
      <c r="K1590" s="82" t="n"/>
      <c r="L1590" s="82" t="n"/>
      <c r="M1590" s="83" t="n"/>
      <c r="N1590" s="83" t="n"/>
      <c r="O1590" s="66">
        <f>IF(OR($M1590="",$N1590=""),"",$N1590-$M1590)</f>
        <v/>
      </c>
      <c r="P1590" s="84">
        <f>IF($J1590="","",IF($L1590&lt;&gt;"",$L1590-$J1590,TODAY()-$J1590))</f>
        <v/>
      </c>
      <c r="Q1590" s="85">
        <f>IF(OR($K1590="",$H1590="Completed",$H1590="Cancelled"),"",IF(AND($K1590&lt;TODAY(),$H1590&lt;&gt;"Completed",$H1590&lt;&gt;"Cancelled"),"Overdue","On Track"))</f>
        <v/>
      </c>
      <c r="R1590" s="81" t="n"/>
      <c r="S1590" s="81">
        <f>IF($B1590="","",IFERROR(INDEX(Task_Tracker!$AA$5:$AA$1004,MATCH($B1590,Task_Tracker!$A$5:$A$1004,0)),""))</f>
        <v/>
      </c>
      <c r="T1590" s="81">
        <f>IF($B1590="","",IFERROR(INDEX(Task_Tracker!$AB$5:$AB$1004,MATCH($B1590,Task_Tracker!$A$5:$A$1004,0)),""))</f>
        <v/>
      </c>
      <c r="U1590" s="78">
        <f>IF($B1590="","",IFERROR(INDEX(Task_Tracker!$F$5:$F$1004,MATCH($B1590,Task_Tracker!$A$5:$A$1004,0)),""))</f>
        <v/>
      </c>
      <c r="V1590" s="78">
        <f>IF($B1590="","",IFERROR(INDEX(Task_Tracker!$I$5:$I$1004,MATCH($B1590,Task_Tracker!$A$5:$A$1004,0)),""))</f>
        <v/>
      </c>
      <c r="W1590" s="81">
        <f>IF(OR($D1590="",$B1590=""),"",$D1590&amp;" | "&amp;$B1590)</f>
        <v/>
      </c>
      <c r="X1590" s="85">
        <f>IF($K1590="","",TEXT($K1590,"yyyy-mm"))</f>
        <v/>
      </c>
      <c r="Y1590" s="81">
        <f>IF(OR($A1590="",$T1590=""),"","Included in Manager_Report")</f>
        <v/>
      </c>
    </row>
    <row r="1591" ht="15" customHeight="1" s="40">
      <c r="A1591" s="65">
        <f>IF(COUNTA(B1591:G1591)=0,"","STP-"&amp;TEXT(ROW()-4,"0000"))</f>
        <v/>
      </c>
      <c r="B1591" s="78" t="n"/>
      <c r="C1591" s="67">
        <f>IF($B1591="","",IFERROR(INDEX(Task_Tracker!$D$5:$D$1004,MATCH($B1591,Task_Tracker!$A$5:$A$1004,0)),""))</f>
        <v/>
      </c>
      <c r="D1591" s="67">
        <f>IF($B1591="","",IFERROR(INDEX(Task_Tracker!$B$5:$B$1004,MATCH($B1591,Task_Tracker!$A$5:$A$1004,0)),""))</f>
        <v/>
      </c>
      <c r="E1591" s="81" t="n"/>
      <c r="F1591" s="81" t="n"/>
      <c r="G1591" s="78" t="n"/>
      <c r="H1591" s="78" t="n"/>
      <c r="I1591" s="67">
        <f>IF($H1591="","",IFERROR(INDEX(Action_Status_Map!$B$5:$B$11,MATCH($H1591,Action_Status_Map!$A$5:$A$11,0)),""))</f>
        <v/>
      </c>
      <c r="J1591" s="82" t="n"/>
      <c r="K1591" s="82" t="n"/>
      <c r="L1591" s="82" t="n"/>
      <c r="M1591" s="83" t="n"/>
      <c r="N1591" s="83" t="n"/>
      <c r="O1591" s="66">
        <f>IF(OR($M1591="",$N1591=""),"",$N1591-$M1591)</f>
        <v/>
      </c>
      <c r="P1591" s="84">
        <f>IF($J1591="","",IF($L1591&lt;&gt;"",$L1591-$J1591,TODAY()-$J1591))</f>
        <v/>
      </c>
      <c r="Q1591" s="85">
        <f>IF(OR($K1591="",$H1591="Completed",$H1591="Cancelled"),"",IF(AND($K1591&lt;TODAY(),$H1591&lt;&gt;"Completed",$H1591&lt;&gt;"Cancelled"),"Overdue","On Track"))</f>
        <v/>
      </c>
      <c r="R1591" s="81" t="n"/>
      <c r="S1591" s="81">
        <f>IF($B1591="","",IFERROR(INDEX(Task_Tracker!$AA$5:$AA$1004,MATCH($B1591,Task_Tracker!$A$5:$A$1004,0)),""))</f>
        <v/>
      </c>
      <c r="T1591" s="81">
        <f>IF($B1591="","",IFERROR(INDEX(Task_Tracker!$AB$5:$AB$1004,MATCH($B1591,Task_Tracker!$A$5:$A$1004,0)),""))</f>
        <v/>
      </c>
      <c r="U1591" s="78">
        <f>IF($B1591="","",IFERROR(INDEX(Task_Tracker!$F$5:$F$1004,MATCH($B1591,Task_Tracker!$A$5:$A$1004,0)),""))</f>
        <v/>
      </c>
      <c r="V1591" s="78">
        <f>IF($B1591="","",IFERROR(INDEX(Task_Tracker!$I$5:$I$1004,MATCH($B1591,Task_Tracker!$A$5:$A$1004,0)),""))</f>
        <v/>
      </c>
      <c r="W1591" s="81">
        <f>IF(OR($D1591="",$B1591=""),"",$D1591&amp;" | "&amp;$B1591)</f>
        <v/>
      </c>
      <c r="X1591" s="85">
        <f>IF($K1591="","",TEXT($K1591,"yyyy-mm"))</f>
        <v/>
      </c>
      <c r="Y1591" s="81">
        <f>IF(OR($A1591="",$T1591=""),"","Included in Manager_Report")</f>
        <v/>
      </c>
    </row>
    <row r="1592" ht="15" customHeight="1" s="40">
      <c r="A1592" s="65">
        <f>IF(COUNTA(B1592:G1592)=0,"","STP-"&amp;TEXT(ROW()-4,"0000"))</f>
        <v/>
      </c>
      <c r="B1592" s="78" t="n"/>
      <c r="C1592" s="67">
        <f>IF($B1592="","",IFERROR(INDEX(Task_Tracker!$D$5:$D$1004,MATCH($B1592,Task_Tracker!$A$5:$A$1004,0)),""))</f>
        <v/>
      </c>
      <c r="D1592" s="67">
        <f>IF($B1592="","",IFERROR(INDEX(Task_Tracker!$B$5:$B$1004,MATCH($B1592,Task_Tracker!$A$5:$A$1004,0)),""))</f>
        <v/>
      </c>
      <c r="E1592" s="81" t="n"/>
      <c r="F1592" s="81" t="n"/>
      <c r="G1592" s="78" t="n"/>
      <c r="H1592" s="78" t="n"/>
      <c r="I1592" s="67">
        <f>IF($H1592="","",IFERROR(INDEX(Action_Status_Map!$B$5:$B$11,MATCH($H1592,Action_Status_Map!$A$5:$A$11,0)),""))</f>
        <v/>
      </c>
      <c r="J1592" s="82" t="n"/>
      <c r="K1592" s="82" t="n"/>
      <c r="L1592" s="82" t="n"/>
      <c r="M1592" s="83" t="n"/>
      <c r="N1592" s="83" t="n"/>
      <c r="O1592" s="66">
        <f>IF(OR($M1592="",$N1592=""),"",$N1592-$M1592)</f>
        <v/>
      </c>
      <c r="P1592" s="84">
        <f>IF($J1592="","",IF($L1592&lt;&gt;"",$L1592-$J1592,TODAY()-$J1592))</f>
        <v/>
      </c>
      <c r="Q1592" s="85">
        <f>IF(OR($K1592="",$H1592="Completed",$H1592="Cancelled"),"",IF(AND($K1592&lt;TODAY(),$H1592&lt;&gt;"Completed",$H1592&lt;&gt;"Cancelled"),"Overdue","On Track"))</f>
        <v/>
      </c>
      <c r="R1592" s="81" t="n"/>
      <c r="S1592" s="81">
        <f>IF($B1592="","",IFERROR(INDEX(Task_Tracker!$AA$5:$AA$1004,MATCH($B1592,Task_Tracker!$A$5:$A$1004,0)),""))</f>
        <v/>
      </c>
      <c r="T1592" s="81">
        <f>IF($B1592="","",IFERROR(INDEX(Task_Tracker!$AB$5:$AB$1004,MATCH($B1592,Task_Tracker!$A$5:$A$1004,0)),""))</f>
        <v/>
      </c>
      <c r="U1592" s="78">
        <f>IF($B1592="","",IFERROR(INDEX(Task_Tracker!$F$5:$F$1004,MATCH($B1592,Task_Tracker!$A$5:$A$1004,0)),""))</f>
        <v/>
      </c>
      <c r="V1592" s="78">
        <f>IF($B1592="","",IFERROR(INDEX(Task_Tracker!$I$5:$I$1004,MATCH($B1592,Task_Tracker!$A$5:$A$1004,0)),""))</f>
        <v/>
      </c>
      <c r="W1592" s="81">
        <f>IF(OR($D1592="",$B1592=""),"",$D1592&amp;" | "&amp;$B1592)</f>
        <v/>
      </c>
      <c r="X1592" s="85">
        <f>IF($K1592="","",TEXT($K1592,"yyyy-mm"))</f>
        <v/>
      </c>
      <c r="Y1592" s="81">
        <f>IF(OR($A1592="",$T1592=""),"","Included in Manager_Report")</f>
        <v/>
      </c>
    </row>
    <row r="1593" ht="15" customHeight="1" s="40">
      <c r="A1593" s="65">
        <f>IF(COUNTA(B1593:G1593)=0,"","STP-"&amp;TEXT(ROW()-4,"0000"))</f>
        <v/>
      </c>
      <c r="B1593" s="78" t="n"/>
      <c r="C1593" s="67">
        <f>IF($B1593="","",IFERROR(INDEX(Task_Tracker!$D$5:$D$1004,MATCH($B1593,Task_Tracker!$A$5:$A$1004,0)),""))</f>
        <v/>
      </c>
      <c r="D1593" s="67">
        <f>IF($B1593="","",IFERROR(INDEX(Task_Tracker!$B$5:$B$1004,MATCH($B1593,Task_Tracker!$A$5:$A$1004,0)),""))</f>
        <v/>
      </c>
      <c r="E1593" s="81" t="n"/>
      <c r="F1593" s="81" t="n"/>
      <c r="G1593" s="78" t="n"/>
      <c r="H1593" s="78" t="n"/>
      <c r="I1593" s="67">
        <f>IF($H1593="","",IFERROR(INDEX(Action_Status_Map!$B$5:$B$11,MATCH($H1593,Action_Status_Map!$A$5:$A$11,0)),""))</f>
        <v/>
      </c>
      <c r="J1593" s="82" t="n"/>
      <c r="K1593" s="82" t="n"/>
      <c r="L1593" s="82" t="n"/>
      <c r="M1593" s="83" t="n"/>
      <c r="N1593" s="83" t="n"/>
      <c r="O1593" s="66">
        <f>IF(OR($M1593="",$N1593=""),"",$N1593-$M1593)</f>
        <v/>
      </c>
      <c r="P1593" s="84">
        <f>IF($J1593="","",IF($L1593&lt;&gt;"",$L1593-$J1593,TODAY()-$J1593))</f>
        <v/>
      </c>
      <c r="Q1593" s="85">
        <f>IF(OR($K1593="",$H1593="Completed",$H1593="Cancelled"),"",IF(AND($K1593&lt;TODAY(),$H1593&lt;&gt;"Completed",$H1593&lt;&gt;"Cancelled"),"Overdue","On Track"))</f>
        <v/>
      </c>
      <c r="R1593" s="81" t="n"/>
      <c r="S1593" s="81">
        <f>IF($B1593="","",IFERROR(INDEX(Task_Tracker!$AA$5:$AA$1004,MATCH($B1593,Task_Tracker!$A$5:$A$1004,0)),""))</f>
        <v/>
      </c>
      <c r="T1593" s="81">
        <f>IF($B1593="","",IFERROR(INDEX(Task_Tracker!$AB$5:$AB$1004,MATCH($B1593,Task_Tracker!$A$5:$A$1004,0)),""))</f>
        <v/>
      </c>
      <c r="U1593" s="78">
        <f>IF($B1593="","",IFERROR(INDEX(Task_Tracker!$F$5:$F$1004,MATCH($B1593,Task_Tracker!$A$5:$A$1004,0)),""))</f>
        <v/>
      </c>
      <c r="V1593" s="78">
        <f>IF($B1593="","",IFERROR(INDEX(Task_Tracker!$I$5:$I$1004,MATCH($B1593,Task_Tracker!$A$5:$A$1004,0)),""))</f>
        <v/>
      </c>
      <c r="W1593" s="81">
        <f>IF(OR($D1593="",$B1593=""),"",$D1593&amp;" | "&amp;$B1593)</f>
        <v/>
      </c>
      <c r="X1593" s="85">
        <f>IF($K1593="","",TEXT($K1593,"yyyy-mm"))</f>
        <v/>
      </c>
      <c r="Y1593" s="81">
        <f>IF(OR($A1593="",$T1593=""),"","Included in Manager_Report")</f>
        <v/>
      </c>
    </row>
    <row r="1594" ht="15" customHeight="1" s="40">
      <c r="A1594" s="65">
        <f>IF(COUNTA(B1594:G1594)=0,"","STP-"&amp;TEXT(ROW()-4,"0000"))</f>
        <v/>
      </c>
      <c r="B1594" s="78" t="n"/>
      <c r="C1594" s="67">
        <f>IF($B1594="","",IFERROR(INDEX(Task_Tracker!$D$5:$D$1004,MATCH($B1594,Task_Tracker!$A$5:$A$1004,0)),""))</f>
        <v/>
      </c>
      <c r="D1594" s="67">
        <f>IF($B1594="","",IFERROR(INDEX(Task_Tracker!$B$5:$B$1004,MATCH($B1594,Task_Tracker!$A$5:$A$1004,0)),""))</f>
        <v/>
      </c>
      <c r="E1594" s="81" t="n"/>
      <c r="F1594" s="81" t="n"/>
      <c r="G1594" s="78" t="n"/>
      <c r="H1594" s="78" t="n"/>
      <c r="I1594" s="67">
        <f>IF($H1594="","",IFERROR(INDEX(Action_Status_Map!$B$5:$B$11,MATCH($H1594,Action_Status_Map!$A$5:$A$11,0)),""))</f>
        <v/>
      </c>
      <c r="J1594" s="82" t="n"/>
      <c r="K1594" s="82" t="n"/>
      <c r="L1594" s="82" t="n"/>
      <c r="M1594" s="83" t="n"/>
      <c r="N1594" s="83" t="n"/>
      <c r="O1594" s="66">
        <f>IF(OR($M1594="",$N1594=""),"",$N1594-$M1594)</f>
        <v/>
      </c>
      <c r="P1594" s="84">
        <f>IF($J1594="","",IF($L1594&lt;&gt;"",$L1594-$J1594,TODAY()-$J1594))</f>
        <v/>
      </c>
      <c r="Q1594" s="85">
        <f>IF(OR($K1594="",$H1594="Completed",$H1594="Cancelled"),"",IF(AND($K1594&lt;TODAY(),$H1594&lt;&gt;"Completed",$H1594&lt;&gt;"Cancelled"),"Overdue","On Track"))</f>
        <v/>
      </c>
      <c r="R1594" s="81" t="n"/>
      <c r="S1594" s="81">
        <f>IF($B1594="","",IFERROR(INDEX(Task_Tracker!$AA$5:$AA$1004,MATCH($B1594,Task_Tracker!$A$5:$A$1004,0)),""))</f>
        <v/>
      </c>
      <c r="T1594" s="81">
        <f>IF($B1594="","",IFERROR(INDEX(Task_Tracker!$AB$5:$AB$1004,MATCH($B1594,Task_Tracker!$A$5:$A$1004,0)),""))</f>
        <v/>
      </c>
      <c r="U1594" s="78">
        <f>IF($B1594="","",IFERROR(INDEX(Task_Tracker!$F$5:$F$1004,MATCH($B1594,Task_Tracker!$A$5:$A$1004,0)),""))</f>
        <v/>
      </c>
      <c r="V1594" s="78">
        <f>IF($B1594="","",IFERROR(INDEX(Task_Tracker!$I$5:$I$1004,MATCH($B1594,Task_Tracker!$A$5:$A$1004,0)),""))</f>
        <v/>
      </c>
      <c r="W1594" s="81">
        <f>IF(OR($D1594="",$B1594=""),"",$D1594&amp;" | "&amp;$B1594)</f>
        <v/>
      </c>
      <c r="X1594" s="85">
        <f>IF($K1594="","",TEXT($K1594,"yyyy-mm"))</f>
        <v/>
      </c>
      <c r="Y1594" s="81">
        <f>IF(OR($A1594="",$T1594=""),"","Included in Manager_Report")</f>
        <v/>
      </c>
    </row>
    <row r="1595" ht="15" customHeight="1" s="40">
      <c r="A1595" s="65">
        <f>IF(COUNTA(B1595:G1595)=0,"","STP-"&amp;TEXT(ROW()-4,"0000"))</f>
        <v/>
      </c>
      <c r="B1595" s="78" t="n"/>
      <c r="C1595" s="67">
        <f>IF($B1595="","",IFERROR(INDEX(Task_Tracker!$D$5:$D$1004,MATCH($B1595,Task_Tracker!$A$5:$A$1004,0)),""))</f>
        <v/>
      </c>
      <c r="D1595" s="67">
        <f>IF($B1595="","",IFERROR(INDEX(Task_Tracker!$B$5:$B$1004,MATCH($B1595,Task_Tracker!$A$5:$A$1004,0)),""))</f>
        <v/>
      </c>
      <c r="E1595" s="81" t="n"/>
      <c r="F1595" s="81" t="n"/>
      <c r="G1595" s="78" t="n"/>
      <c r="H1595" s="78" t="n"/>
      <c r="I1595" s="67">
        <f>IF($H1595="","",IFERROR(INDEX(Action_Status_Map!$B$5:$B$11,MATCH($H1595,Action_Status_Map!$A$5:$A$11,0)),""))</f>
        <v/>
      </c>
      <c r="J1595" s="82" t="n"/>
      <c r="K1595" s="82" t="n"/>
      <c r="L1595" s="82" t="n"/>
      <c r="M1595" s="83" t="n"/>
      <c r="N1595" s="83" t="n"/>
      <c r="O1595" s="66">
        <f>IF(OR($M1595="",$N1595=""),"",$N1595-$M1595)</f>
        <v/>
      </c>
      <c r="P1595" s="84">
        <f>IF($J1595="","",IF($L1595&lt;&gt;"",$L1595-$J1595,TODAY()-$J1595))</f>
        <v/>
      </c>
      <c r="Q1595" s="85">
        <f>IF(OR($K1595="",$H1595="Completed",$H1595="Cancelled"),"",IF(AND($K1595&lt;TODAY(),$H1595&lt;&gt;"Completed",$H1595&lt;&gt;"Cancelled"),"Overdue","On Track"))</f>
        <v/>
      </c>
      <c r="R1595" s="81" t="n"/>
      <c r="S1595" s="81">
        <f>IF($B1595="","",IFERROR(INDEX(Task_Tracker!$AA$5:$AA$1004,MATCH($B1595,Task_Tracker!$A$5:$A$1004,0)),""))</f>
        <v/>
      </c>
      <c r="T1595" s="81">
        <f>IF($B1595="","",IFERROR(INDEX(Task_Tracker!$AB$5:$AB$1004,MATCH($B1595,Task_Tracker!$A$5:$A$1004,0)),""))</f>
        <v/>
      </c>
      <c r="U1595" s="78">
        <f>IF($B1595="","",IFERROR(INDEX(Task_Tracker!$F$5:$F$1004,MATCH($B1595,Task_Tracker!$A$5:$A$1004,0)),""))</f>
        <v/>
      </c>
      <c r="V1595" s="78">
        <f>IF($B1595="","",IFERROR(INDEX(Task_Tracker!$I$5:$I$1004,MATCH($B1595,Task_Tracker!$A$5:$A$1004,0)),""))</f>
        <v/>
      </c>
      <c r="W1595" s="81">
        <f>IF(OR($D1595="",$B1595=""),"",$D1595&amp;" | "&amp;$B1595)</f>
        <v/>
      </c>
      <c r="X1595" s="85">
        <f>IF($K1595="","",TEXT($K1595,"yyyy-mm"))</f>
        <v/>
      </c>
      <c r="Y1595" s="81">
        <f>IF(OR($A1595="",$T1595=""),"","Included in Manager_Report")</f>
        <v/>
      </c>
    </row>
    <row r="1596" ht="15" customHeight="1" s="40">
      <c r="A1596" s="65">
        <f>IF(COUNTA(B1596:G1596)=0,"","STP-"&amp;TEXT(ROW()-4,"0000"))</f>
        <v/>
      </c>
      <c r="B1596" s="78" t="n"/>
      <c r="C1596" s="67">
        <f>IF($B1596="","",IFERROR(INDEX(Task_Tracker!$D$5:$D$1004,MATCH($B1596,Task_Tracker!$A$5:$A$1004,0)),""))</f>
        <v/>
      </c>
      <c r="D1596" s="67">
        <f>IF($B1596="","",IFERROR(INDEX(Task_Tracker!$B$5:$B$1004,MATCH($B1596,Task_Tracker!$A$5:$A$1004,0)),""))</f>
        <v/>
      </c>
      <c r="E1596" s="81" t="n"/>
      <c r="F1596" s="81" t="n"/>
      <c r="G1596" s="78" t="n"/>
      <c r="H1596" s="78" t="n"/>
      <c r="I1596" s="67">
        <f>IF($H1596="","",IFERROR(INDEX(Action_Status_Map!$B$5:$B$11,MATCH($H1596,Action_Status_Map!$A$5:$A$11,0)),""))</f>
        <v/>
      </c>
      <c r="J1596" s="82" t="n"/>
      <c r="K1596" s="82" t="n"/>
      <c r="L1596" s="82" t="n"/>
      <c r="M1596" s="83" t="n"/>
      <c r="N1596" s="83" t="n"/>
      <c r="O1596" s="66">
        <f>IF(OR($M1596="",$N1596=""),"",$N1596-$M1596)</f>
        <v/>
      </c>
      <c r="P1596" s="84">
        <f>IF($J1596="","",IF($L1596&lt;&gt;"",$L1596-$J1596,TODAY()-$J1596))</f>
        <v/>
      </c>
      <c r="Q1596" s="85">
        <f>IF(OR($K1596="",$H1596="Completed",$H1596="Cancelled"),"",IF(AND($K1596&lt;TODAY(),$H1596&lt;&gt;"Completed",$H1596&lt;&gt;"Cancelled"),"Overdue","On Track"))</f>
        <v/>
      </c>
      <c r="R1596" s="81" t="n"/>
      <c r="S1596" s="81">
        <f>IF($B1596="","",IFERROR(INDEX(Task_Tracker!$AA$5:$AA$1004,MATCH($B1596,Task_Tracker!$A$5:$A$1004,0)),""))</f>
        <v/>
      </c>
      <c r="T1596" s="81">
        <f>IF($B1596="","",IFERROR(INDEX(Task_Tracker!$AB$5:$AB$1004,MATCH($B1596,Task_Tracker!$A$5:$A$1004,0)),""))</f>
        <v/>
      </c>
      <c r="U1596" s="78">
        <f>IF($B1596="","",IFERROR(INDEX(Task_Tracker!$F$5:$F$1004,MATCH($B1596,Task_Tracker!$A$5:$A$1004,0)),""))</f>
        <v/>
      </c>
      <c r="V1596" s="78">
        <f>IF($B1596="","",IFERROR(INDEX(Task_Tracker!$I$5:$I$1004,MATCH($B1596,Task_Tracker!$A$5:$A$1004,0)),""))</f>
        <v/>
      </c>
      <c r="W1596" s="81">
        <f>IF(OR($D1596="",$B1596=""),"",$D1596&amp;" | "&amp;$B1596)</f>
        <v/>
      </c>
      <c r="X1596" s="85">
        <f>IF($K1596="","",TEXT($K1596,"yyyy-mm"))</f>
        <v/>
      </c>
      <c r="Y1596" s="81">
        <f>IF(OR($A1596="",$T1596=""),"","Included in Manager_Report")</f>
        <v/>
      </c>
    </row>
    <row r="1597" ht="15" customHeight="1" s="40">
      <c r="A1597" s="65">
        <f>IF(COUNTA(B1597:G1597)=0,"","STP-"&amp;TEXT(ROW()-4,"0000"))</f>
        <v/>
      </c>
      <c r="B1597" s="78" t="n"/>
      <c r="C1597" s="67">
        <f>IF($B1597="","",IFERROR(INDEX(Task_Tracker!$D$5:$D$1004,MATCH($B1597,Task_Tracker!$A$5:$A$1004,0)),""))</f>
        <v/>
      </c>
      <c r="D1597" s="67">
        <f>IF($B1597="","",IFERROR(INDEX(Task_Tracker!$B$5:$B$1004,MATCH($B1597,Task_Tracker!$A$5:$A$1004,0)),""))</f>
        <v/>
      </c>
      <c r="E1597" s="81" t="n"/>
      <c r="F1597" s="81" t="n"/>
      <c r="G1597" s="78" t="n"/>
      <c r="H1597" s="78" t="n"/>
      <c r="I1597" s="67">
        <f>IF($H1597="","",IFERROR(INDEX(Action_Status_Map!$B$5:$B$11,MATCH($H1597,Action_Status_Map!$A$5:$A$11,0)),""))</f>
        <v/>
      </c>
      <c r="J1597" s="82" t="n"/>
      <c r="K1597" s="82" t="n"/>
      <c r="L1597" s="82" t="n"/>
      <c r="M1597" s="83" t="n"/>
      <c r="N1597" s="83" t="n"/>
      <c r="O1597" s="66">
        <f>IF(OR($M1597="",$N1597=""),"",$N1597-$M1597)</f>
        <v/>
      </c>
      <c r="P1597" s="84">
        <f>IF($J1597="","",IF($L1597&lt;&gt;"",$L1597-$J1597,TODAY()-$J1597))</f>
        <v/>
      </c>
      <c r="Q1597" s="85">
        <f>IF(OR($K1597="",$H1597="Completed",$H1597="Cancelled"),"",IF(AND($K1597&lt;TODAY(),$H1597&lt;&gt;"Completed",$H1597&lt;&gt;"Cancelled"),"Overdue","On Track"))</f>
        <v/>
      </c>
      <c r="R1597" s="81" t="n"/>
      <c r="S1597" s="81">
        <f>IF($B1597="","",IFERROR(INDEX(Task_Tracker!$AA$5:$AA$1004,MATCH($B1597,Task_Tracker!$A$5:$A$1004,0)),""))</f>
        <v/>
      </c>
      <c r="T1597" s="81">
        <f>IF($B1597="","",IFERROR(INDEX(Task_Tracker!$AB$5:$AB$1004,MATCH($B1597,Task_Tracker!$A$5:$A$1004,0)),""))</f>
        <v/>
      </c>
      <c r="U1597" s="78">
        <f>IF($B1597="","",IFERROR(INDEX(Task_Tracker!$F$5:$F$1004,MATCH($B1597,Task_Tracker!$A$5:$A$1004,0)),""))</f>
        <v/>
      </c>
      <c r="V1597" s="78">
        <f>IF($B1597="","",IFERROR(INDEX(Task_Tracker!$I$5:$I$1004,MATCH($B1597,Task_Tracker!$A$5:$A$1004,0)),""))</f>
        <v/>
      </c>
      <c r="W1597" s="81">
        <f>IF(OR($D1597="",$B1597=""),"",$D1597&amp;" | "&amp;$B1597)</f>
        <v/>
      </c>
      <c r="X1597" s="85">
        <f>IF($K1597="","",TEXT($K1597,"yyyy-mm"))</f>
        <v/>
      </c>
      <c r="Y1597" s="81">
        <f>IF(OR($A1597="",$T1597=""),"","Included in Manager_Report")</f>
        <v/>
      </c>
    </row>
    <row r="1598" ht="15" customHeight="1" s="40">
      <c r="A1598" s="65">
        <f>IF(COUNTA(B1598:G1598)=0,"","STP-"&amp;TEXT(ROW()-4,"0000"))</f>
        <v/>
      </c>
      <c r="B1598" s="78" t="n"/>
      <c r="C1598" s="67">
        <f>IF($B1598="","",IFERROR(INDEX(Task_Tracker!$D$5:$D$1004,MATCH($B1598,Task_Tracker!$A$5:$A$1004,0)),""))</f>
        <v/>
      </c>
      <c r="D1598" s="67">
        <f>IF($B1598="","",IFERROR(INDEX(Task_Tracker!$B$5:$B$1004,MATCH($B1598,Task_Tracker!$A$5:$A$1004,0)),""))</f>
        <v/>
      </c>
      <c r="E1598" s="81" t="n"/>
      <c r="F1598" s="81" t="n"/>
      <c r="G1598" s="78" t="n"/>
      <c r="H1598" s="78" t="n"/>
      <c r="I1598" s="67">
        <f>IF($H1598="","",IFERROR(INDEX(Action_Status_Map!$B$5:$B$11,MATCH($H1598,Action_Status_Map!$A$5:$A$11,0)),""))</f>
        <v/>
      </c>
      <c r="J1598" s="82" t="n"/>
      <c r="K1598" s="82" t="n"/>
      <c r="L1598" s="82" t="n"/>
      <c r="M1598" s="83" t="n"/>
      <c r="N1598" s="83" t="n"/>
      <c r="O1598" s="66">
        <f>IF(OR($M1598="",$N1598=""),"",$N1598-$M1598)</f>
        <v/>
      </c>
      <c r="P1598" s="84">
        <f>IF($J1598="","",IF($L1598&lt;&gt;"",$L1598-$J1598,TODAY()-$J1598))</f>
        <v/>
      </c>
      <c r="Q1598" s="85">
        <f>IF(OR($K1598="",$H1598="Completed",$H1598="Cancelled"),"",IF(AND($K1598&lt;TODAY(),$H1598&lt;&gt;"Completed",$H1598&lt;&gt;"Cancelled"),"Overdue","On Track"))</f>
        <v/>
      </c>
      <c r="R1598" s="81" t="n"/>
      <c r="S1598" s="81">
        <f>IF($B1598="","",IFERROR(INDEX(Task_Tracker!$AA$5:$AA$1004,MATCH($B1598,Task_Tracker!$A$5:$A$1004,0)),""))</f>
        <v/>
      </c>
      <c r="T1598" s="81">
        <f>IF($B1598="","",IFERROR(INDEX(Task_Tracker!$AB$5:$AB$1004,MATCH($B1598,Task_Tracker!$A$5:$A$1004,0)),""))</f>
        <v/>
      </c>
      <c r="U1598" s="78">
        <f>IF($B1598="","",IFERROR(INDEX(Task_Tracker!$F$5:$F$1004,MATCH($B1598,Task_Tracker!$A$5:$A$1004,0)),""))</f>
        <v/>
      </c>
      <c r="V1598" s="78">
        <f>IF($B1598="","",IFERROR(INDEX(Task_Tracker!$I$5:$I$1004,MATCH($B1598,Task_Tracker!$A$5:$A$1004,0)),""))</f>
        <v/>
      </c>
      <c r="W1598" s="81">
        <f>IF(OR($D1598="",$B1598=""),"",$D1598&amp;" | "&amp;$B1598)</f>
        <v/>
      </c>
      <c r="X1598" s="85">
        <f>IF($K1598="","",TEXT($K1598,"yyyy-mm"))</f>
        <v/>
      </c>
      <c r="Y1598" s="81">
        <f>IF(OR($A1598="",$T1598=""),"","Included in Manager_Report")</f>
        <v/>
      </c>
    </row>
    <row r="1599" ht="15" customHeight="1" s="40">
      <c r="A1599" s="65">
        <f>IF(COUNTA(B1599:G1599)=0,"","STP-"&amp;TEXT(ROW()-4,"0000"))</f>
        <v/>
      </c>
      <c r="B1599" s="78" t="n"/>
      <c r="C1599" s="67">
        <f>IF($B1599="","",IFERROR(INDEX(Task_Tracker!$D$5:$D$1004,MATCH($B1599,Task_Tracker!$A$5:$A$1004,0)),""))</f>
        <v/>
      </c>
      <c r="D1599" s="67">
        <f>IF($B1599="","",IFERROR(INDEX(Task_Tracker!$B$5:$B$1004,MATCH($B1599,Task_Tracker!$A$5:$A$1004,0)),""))</f>
        <v/>
      </c>
      <c r="E1599" s="81" t="n"/>
      <c r="F1599" s="81" t="n"/>
      <c r="G1599" s="78" t="n"/>
      <c r="H1599" s="78" t="n"/>
      <c r="I1599" s="67">
        <f>IF($H1599="","",IFERROR(INDEX(Action_Status_Map!$B$5:$B$11,MATCH($H1599,Action_Status_Map!$A$5:$A$11,0)),""))</f>
        <v/>
      </c>
      <c r="J1599" s="82" t="n"/>
      <c r="K1599" s="82" t="n"/>
      <c r="L1599" s="82" t="n"/>
      <c r="M1599" s="83" t="n"/>
      <c r="N1599" s="83" t="n"/>
      <c r="O1599" s="66">
        <f>IF(OR($M1599="",$N1599=""),"",$N1599-$M1599)</f>
        <v/>
      </c>
      <c r="P1599" s="84">
        <f>IF($J1599="","",IF($L1599&lt;&gt;"",$L1599-$J1599,TODAY()-$J1599))</f>
        <v/>
      </c>
      <c r="Q1599" s="85">
        <f>IF(OR($K1599="",$H1599="Completed",$H1599="Cancelled"),"",IF(AND($K1599&lt;TODAY(),$H1599&lt;&gt;"Completed",$H1599&lt;&gt;"Cancelled"),"Overdue","On Track"))</f>
        <v/>
      </c>
      <c r="R1599" s="81" t="n"/>
      <c r="S1599" s="81">
        <f>IF($B1599="","",IFERROR(INDEX(Task_Tracker!$AA$5:$AA$1004,MATCH($B1599,Task_Tracker!$A$5:$A$1004,0)),""))</f>
        <v/>
      </c>
      <c r="T1599" s="81">
        <f>IF($B1599="","",IFERROR(INDEX(Task_Tracker!$AB$5:$AB$1004,MATCH($B1599,Task_Tracker!$A$5:$A$1004,0)),""))</f>
        <v/>
      </c>
      <c r="U1599" s="78">
        <f>IF($B1599="","",IFERROR(INDEX(Task_Tracker!$F$5:$F$1004,MATCH($B1599,Task_Tracker!$A$5:$A$1004,0)),""))</f>
        <v/>
      </c>
      <c r="V1599" s="78">
        <f>IF($B1599="","",IFERROR(INDEX(Task_Tracker!$I$5:$I$1004,MATCH($B1599,Task_Tracker!$A$5:$A$1004,0)),""))</f>
        <v/>
      </c>
      <c r="W1599" s="81">
        <f>IF(OR($D1599="",$B1599=""),"",$D1599&amp;" | "&amp;$B1599)</f>
        <v/>
      </c>
      <c r="X1599" s="85">
        <f>IF($K1599="","",TEXT($K1599,"yyyy-mm"))</f>
        <v/>
      </c>
      <c r="Y1599" s="81">
        <f>IF(OR($A1599="",$T1599=""),"","Included in Manager_Report")</f>
        <v/>
      </c>
    </row>
    <row r="1600" ht="15" customHeight="1" s="40">
      <c r="A1600" s="65">
        <f>IF(COUNTA(B1600:G1600)=0,"","STP-"&amp;TEXT(ROW()-4,"0000"))</f>
        <v/>
      </c>
      <c r="B1600" s="78" t="n"/>
      <c r="C1600" s="67">
        <f>IF($B1600="","",IFERROR(INDEX(Task_Tracker!$D$5:$D$1004,MATCH($B1600,Task_Tracker!$A$5:$A$1004,0)),""))</f>
        <v/>
      </c>
      <c r="D1600" s="67">
        <f>IF($B1600="","",IFERROR(INDEX(Task_Tracker!$B$5:$B$1004,MATCH($B1600,Task_Tracker!$A$5:$A$1004,0)),""))</f>
        <v/>
      </c>
      <c r="E1600" s="81" t="n"/>
      <c r="F1600" s="81" t="n"/>
      <c r="G1600" s="78" t="n"/>
      <c r="H1600" s="78" t="n"/>
      <c r="I1600" s="67">
        <f>IF($H1600="","",IFERROR(INDEX(Action_Status_Map!$B$5:$B$11,MATCH($H1600,Action_Status_Map!$A$5:$A$11,0)),""))</f>
        <v/>
      </c>
      <c r="J1600" s="82" t="n"/>
      <c r="K1600" s="82" t="n"/>
      <c r="L1600" s="82" t="n"/>
      <c r="M1600" s="83" t="n"/>
      <c r="N1600" s="83" t="n"/>
      <c r="O1600" s="66">
        <f>IF(OR($M1600="",$N1600=""),"",$N1600-$M1600)</f>
        <v/>
      </c>
      <c r="P1600" s="84">
        <f>IF($J1600="","",IF($L1600&lt;&gt;"",$L1600-$J1600,TODAY()-$J1600))</f>
        <v/>
      </c>
      <c r="Q1600" s="85">
        <f>IF(OR($K1600="",$H1600="Completed",$H1600="Cancelled"),"",IF(AND($K1600&lt;TODAY(),$H1600&lt;&gt;"Completed",$H1600&lt;&gt;"Cancelled"),"Overdue","On Track"))</f>
        <v/>
      </c>
      <c r="R1600" s="81" t="n"/>
      <c r="S1600" s="81">
        <f>IF($B1600="","",IFERROR(INDEX(Task_Tracker!$AA$5:$AA$1004,MATCH($B1600,Task_Tracker!$A$5:$A$1004,0)),""))</f>
        <v/>
      </c>
      <c r="T1600" s="81">
        <f>IF($B1600="","",IFERROR(INDEX(Task_Tracker!$AB$5:$AB$1004,MATCH($B1600,Task_Tracker!$A$5:$A$1004,0)),""))</f>
        <v/>
      </c>
      <c r="U1600" s="78">
        <f>IF($B1600="","",IFERROR(INDEX(Task_Tracker!$F$5:$F$1004,MATCH($B1600,Task_Tracker!$A$5:$A$1004,0)),""))</f>
        <v/>
      </c>
      <c r="V1600" s="78">
        <f>IF($B1600="","",IFERROR(INDEX(Task_Tracker!$I$5:$I$1004,MATCH($B1600,Task_Tracker!$A$5:$A$1004,0)),""))</f>
        <v/>
      </c>
      <c r="W1600" s="81">
        <f>IF(OR($D1600="",$B1600=""),"",$D1600&amp;" | "&amp;$B1600)</f>
        <v/>
      </c>
      <c r="X1600" s="85">
        <f>IF($K1600="","",TEXT($K1600,"yyyy-mm"))</f>
        <v/>
      </c>
      <c r="Y1600" s="81">
        <f>IF(OR($A1600="",$T1600=""),"","Included in Manager_Report")</f>
        <v/>
      </c>
    </row>
    <row r="1601" ht="15" customHeight="1" s="40">
      <c r="A1601" s="65">
        <f>IF(COUNTA(B1601:G1601)=0,"","STP-"&amp;TEXT(ROW()-4,"0000"))</f>
        <v/>
      </c>
      <c r="B1601" s="78" t="n"/>
      <c r="C1601" s="67">
        <f>IF($B1601="","",IFERROR(INDEX(Task_Tracker!$D$5:$D$1004,MATCH($B1601,Task_Tracker!$A$5:$A$1004,0)),""))</f>
        <v/>
      </c>
      <c r="D1601" s="67">
        <f>IF($B1601="","",IFERROR(INDEX(Task_Tracker!$B$5:$B$1004,MATCH($B1601,Task_Tracker!$A$5:$A$1004,0)),""))</f>
        <v/>
      </c>
      <c r="E1601" s="81" t="n"/>
      <c r="F1601" s="81" t="n"/>
      <c r="G1601" s="78" t="n"/>
      <c r="H1601" s="78" t="n"/>
      <c r="I1601" s="67">
        <f>IF($H1601="","",IFERROR(INDEX(Action_Status_Map!$B$5:$B$11,MATCH($H1601,Action_Status_Map!$A$5:$A$11,0)),""))</f>
        <v/>
      </c>
      <c r="J1601" s="82" t="n"/>
      <c r="K1601" s="82" t="n"/>
      <c r="L1601" s="82" t="n"/>
      <c r="M1601" s="83" t="n"/>
      <c r="N1601" s="83" t="n"/>
      <c r="O1601" s="66">
        <f>IF(OR($M1601="",$N1601=""),"",$N1601-$M1601)</f>
        <v/>
      </c>
      <c r="P1601" s="84">
        <f>IF($J1601="","",IF($L1601&lt;&gt;"",$L1601-$J1601,TODAY()-$J1601))</f>
        <v/>
      </c>
      <c r="Q1601" s="85">
        <f>IF(OR($K1601="",$H1601="Completed",$H1601="Cancelled"),"",IF(AND($K1601&lt;TODAY(),$H1601&lt;&gt;"Completed",$H1601&lt;&gt;"Cancelled"),"Overdue","On Track"))</f>
        <v/>
      </c>
      <c r="R1601" s="81" t="n"/>
      <c r="S1601" s="81">
        <f>IF($B1601="","",IFERROR(INDEX(Task_Tracker!$AA$5:$AA$1004,MATCH($B1601,Task_Tracker!$A$5:$A$1004,0)),""))</f>
        <v/>
      </c>
      <c r="T1601" s="81">
        <f>IF($B1601="","",IFERROR(INDEX(Task_Tracker!$AB$5:$AB$1004,MATCH($B1601,Task_Tracker!$A$5:$A$1004,0)),""))</f>
        <v/>
      </c>
      <c r="U1601" s="78">
        <f>IF($B1601="","",IFERROR(INDEX(Task_Tracker!$F$5:$F$1004,MATCH($B1601,Task_Tracker!$A$5:$A$1004,0)),""))</f>
        <v/>
      </c>
      <c r="V1601" s="78">
        <f>IF($B1601="","",IFERROR(INDEX(Task_Tracker!$I$5:$I$1004,MATCH($B1601,Task_Tracker!$A$5:$A$1004,0)),""))</f>
        <v/>
      </c>
      <c r="W1601" s="81">
        <f>IF(OR($D1601="",$B1601=""),"",$D1601&amp;" | "&amp;$B1601)</f>
        <v/>
      </c>
      <c r="X1601" s="85">
        <f>IF($K1601="","",TEXT($K1601,"yyyy-mm"))</f>
        <v/>
      </c>
      <c r="Y1601" s="81">
        <f>IF(OR($A1601="",$T1601=""),"","Included in Manager_Report")</f>
        <v/>
      </c>
    </row>
    <row r="1602" ht="15" customHeight="1" s="40">
      <c r="A1602" s="65">
        <f>IF(COUNTA(B1602:G1602)=0,"","STP-"&amp;TEXT(ROW()-4,"0000"))</f>
        <v/>
      </c>
      <c r="B1602" s="78" t="n"/>
      <c r="C1602" s="67">
        <f>IF($B1602="","",IFERROR(INDEX(Task_Tracker!$D$5:$D$1004,MATCH($B1602,Task_Tracker!$A$5:$A$1004,0)),""))</f>
        <v/>
      </c>
      <c r="D1602" s="67">
        <f>IF($B1602="","",IFERROR(INDEX(Task_Tracker!$B$5:$B$1004,MATCH($B1602,Task_Tracker!$A$5:$A$1004,0)),""))</f>
        <v/>
      </c>
      <c r="E1602" s="81" t="n"/>
      <c r="F1602" s="81" t="n"/>
      <c r="G1602" s="78" t="n"/>
      <c r="H1602" s="78" t="n"/>
      <c r="I1602" s="67">
        <f>IF($H1602="","",IFERROR(INDEX(Action_Status_Map!$B$5:$B$11,MATCH($H1602,Action_Status_Map!$A$5:$A$11,0)),""))</f>
        <v/>
      </c>
      <c r="J1602" s="82" t="n"/>
      <c r="K1602" s="82" t="n"/>
      <c r="L1602" s="82" t="n"/>
      <c r="M1602" s="83" t="n"/>
      <c r="N1602" s="83" t="n"/>
      <c r="O1602" s="66">
        <f>IF(OR($M1602="",$N1602=""),"",$N1602-$M1602)</f>
        <v/>
      </c>
      <c r="P1602" s="84">
        <f>IF($J1602="","",IF($L1602&lt;&gt;"",$L1602-$J1602,TODAY()-$J1602))</f>
        <v/>
      </c>
      <c r="Q1602" s="85">
        <f>IF(OR($K1602="",$H1602="Completed",$H1602="Cancelled"),"",IF(AND($K1602&lt;TODAY(),$H1602&lt;&gt;"Completed",$H1602&lt;&gt;"Cancelled"),"Overdue","On Track"))</f>
        <v/>
      </c>
      <c r="R1602" s="81" t="n"/>
      <c r="S1602" s="81">
        <f>IF($B1602="","",IFERROR(INDEX(Task_Tracker!$AA$5:$AA$1004,MATCH($B1602,Task_Tracker!$A$5:$A$1004,0)),""))</f>
        <v/>
      </c>
      <c r="T1602" s="81">
        <f>IF($B1602="","",IFERROR(INDEX(Task_Tracker!$AB$5:$AB$1004,MATCH($B1602,Task_Tracker!$A$5:$A$1004,0)),""))</f>
        <v/>
      </c>
      <c r="U1602" s="78">
        <f>IF($B1602="","",IFERROR(INDEX(Task_Tracker!$F$5:$F$1004,MATCH($B1602,Task_Tracker!$A$5:$A$1004,0)),""))</f>
        <v/>
      </c>
      <c r="V1602" s="78">
        <f>IF($B1602="","",IFERROR(INDEX(Task_Tracker!$I$5:$I$1004,MATCH($B1602,Task_Tracker!$A$5:$A$1004,0)),""))</f>
        <v/>
      </c>
      <c r="W1602" s="81">
        <f>IF(OR($D1602="",$B1602=""),"",$D1602&amp;" | "&amp;$B1602)</f>
        <v/>
      </c>
      <c r="X1602" s="85">
        <f>IF($K1602="","",TEXT($K1602,"yyyy-mm"))</f>
        <v/>
      </c>
      <c r="Y1602" s="81">
        <f>IF(OR($A1602="",$T1602=""),"","Included in Manager_Report")</f>
        <v/>
      </c>
    </row>
    <row r="1603" ht="15" customHeight="1" s="40">
      <c r="A1603" s="65">
        <f>IF(COUNTA(B1603:G1603)=0,"","STP-"&amp;TEXT(ROW()-4,"0000"))</f>
        <v/>
      </c>
      <c r="B1603" s="78" t="n"/>
      <c r="C1603" s="67">
        <f>IF($B1603="","",IFERROR(INDEX(Task_Tracker!$D$5:$D$1004,MATCH($B1603,Task_Tracker!$A$5:$A$1004,0)),""))</f>
        <v/>
      </c>
      <c r="D1603" s="67">
        <f>IF($B1603="","",IFERROR(INDEX(Task_Tracker!$B$5:$B$1004,MATCH($B1603,Task_Tracker!$A$5:$A$1004,0)),""))</f>
        <v/>
      </c>
      <c r="E1603" s="81" t="n"/>
      <c r="F1603" s="81" t="n"/>
      <c r="G1603" s="78" t="n"/>
      <c r="H1603" s="78" t="n"/>
      <c r="I1603" s="67">
        <f>IF($H1603="","",IFERROR(INDEX(Action_Status_Map!$B$5:$B$11,MATCH($H1603,Action_Status_Map!$A$5:$A$11,0)),""))</f>
        <v/>
      </c>
      <c r="J1603" s="82" t="n"/>
      <c r="K1603" s="82" t="n"/>
      <c r="L1603" s="82" t="n"/>
      <c r="M1603" s="83" t="n"/>
      <c r="N1603" s="83" t="n"/>
      <c r="O1603" s="66">
        <f>IF(OR($M1603="",$N1603=""),"",$N1603-$M1603)</f>
        <v/>
      </c>
      <c r="P1603" s="84">
        <f>IF($J1603="","",IF($L1603&lt;&gt;"",$L1603-$J1603,TODAY()-$J1603))</f>
        <v/>
      </c>
      <c r="Q1603" s="85">
        <f>IF(OR($K1603="",$H1603="Completed",$H1603="Cancelled"),"",IF(AND($K1603&lt;TODAY(),$H1603&lt;&gt;"Completed",$H1603&lt;&gt;"Cancelled"),"Overdue","On Track"))</f>
        <v/>
      </c>
      <c r="R1603" s="81" t="n"/>
      <c r="S1603" s="81">
        <f>IF($B1603="","",IFERROR(INDEX(Task_Tracker!$AA$5:$AA$1004,MATCH($B1603,Task_Tracker!$A$5:$A$1004,0)),""))</f>
        <v/>
      </c>
      <c r="T1603" s="81">
        <f>IF($B1603="","",IFERROR(INDEX(Task_Tracker!$AB$5:$AB$1004,MATCH($B1603,Task_Tracker!$A$5:$A$1004,0)),""))</f>
        <v/>
      </c>
      <c r="U1603" s="78">
        <f>IF($B1603="","",IFERROR(INDEX(Task_Tracker!$F$5:$F$1004,MATCH($B1603,Task_Tracker!$A$5:$A$1004,0)),""))</f>
        <v/>
      </c>
      <c r="V1603" s="78">
        <f>IF($B1603="","",IFERROR(INDEX(Task_Tracker!$I$5:$I$1004,MATCH($B1603,Task_Tracker!$A$5:$A$1004,0)),""))</f>
        <v/>
      </c>
      <c r="W1603" s="81">
        <f>IF(OR($D1603="",$B1603=""),"",$D1603&amp;" | "&amp;$B1603)</f>
        <v/>
      </c>
      <c r="X1603" s="85">
        <f>IF($K1603="","",TEXT($K1603,"yyyy-mm"))</f>
        <v/>
      </c>
      <c r="Y1603" s="81">
        <f>IF(OR($A1603="",$T1603=""),"","Included in Manager_Report")</f>
        <v/>
      </c>
    </row>
    <row r="1604" ht="15" customHeight="1" s="40">
      <c r="A1604" s="65">
        <f>IF(COUNTA(B1604:G1604)=0,"","STP-"&amp;TEXT(ROW()-4,"0000"))</f>
        <v/>
      </c>
      <c r="B1604" s="78" t="n"/>
      <c r="C1604" s="67">
        <f>IF($B1604="","",IFERROR(INDEX(Task_Tracker!$D$5:$D$1004,MATCH($B1604,Task_Tracker!$A$5:$A$1004,0)),""))</f>
        <v/>
      </c>
      <c r="D1604" s="67">
        <f>IF($B1604="","",IFERROR(INDEX(Task_Tracker!$B$5:$B$1004,MATCH($B1604,Task_Tracker!$A$5:$A$1004,0)),""))</f>
        <v/>
      </c>
      <c r="E1604" s="81" t="n"/>
      <c r="F1604" s="81" t="n"/>
      <c r="G1604" s="78" t="n"/>
      <c r="H1604" s="78" t="n"/>
      <c r="I1604" s="67">
        <f>IF($H1604="","",IFERROR(INDEX(Action_Status_Map!$B$5:$B$11,MATCH($H1604,Action_Status_Map!$A$5:$A$11,0)),""))</f>
        <v/>
      </c>
      <c r="J1604" s="82" t="n"/>
      <c r="K1604" s="82" t="n"/>
      <c r="L1604" s="82" t="n"/>
      <c r="M1604" s="83" t="n"/>
      <c r="N1604" s="83" t="n"/>
      <c r="O1604" s="66">
        <f>IF(OR($M1604="",$N1604=""),"",$N1604-$M1604)</f>
        <v/>
      </c>
      <c r="P1604" s="84">
        <f>IF($J1604="","",IF($L1604&lt;&gt;"",$L1604-$J1604,TODAY()-$J1604))</f>
        <v/>
      </c>
      <c r="Q1604" s="85">
        <f>IF(OR($K1604="",$H1604="Completed",$H1604="Cancelled"),"",IF(AND($K1604&lt;TODAY(),$H1604&lt;&gt;"Completed",$H1604&lt;&gt;"Cancelled"),"Overdue","On Track"))</f>
        <v/>
      </c>
      <c r="R1604" s="81" t="n"/>
      <c r="S1604" s="81">
        <f>IF($B1604="","",IFERROR(INDEX(Task_Tracker!$AA$5:$AA$1004,MATCH($B1604,Task_Tracker!$A$5:$A$1004,0)),""))</f>
        <v/>
      </c>
      <c r="T1604" s="81">
        <f>IF($B1604="","",IFERROR(INDEX(Task_Tracker!$AB$5:$AB$1004,MATCH($B1604,Task_Tracker!$A$5:$A$1004,0)),""))</f>
        <v/>
      </c>
      <c r="U1604" s="78">
        <f>IF($B1604="","",IFERROR(INDEX(Task_Tracker!$F$5:$F$1004,MATCH($B1604,Task_Tracker!$A$5:$A$1004,0)),""))</f>
        <v/>
      </c>
      <c r="V1604" s="78">
        <f>IF($B1604="","",IFERROR(INDEX(Task_Tracker!$I$5:$I$1004,MATCH($B1604,Task_Tracker!$A$5:$A$1004,0)),""))</f>
        <v/>
      </c>
      <c r="W1604" s="81">
        <f>IF(OR($D1604="",$B1604=""),"",$D1604&amp;" | "&amp;$B1604)</f>
        <v/>
      </c>
      <c r="X1604" s="85">
        <f>IF($K1604="","",TEXT($K1604,"yyyy-mm"))</f>
        <v/>
      </c>
      <c r="Y1604" s="81">
        <f>IF(OR($A1604="",$T1604=""),"","Included in Manager_Report")</f>
        <v/>
      </c>
    </row>
    <row r="1605" ht="15" customHeight="1" s="40">
      <c r="A1605" s="65">
        <f>IF(COUNTA(B1605:G1605)=0,"","STP-"&amp;TEXT(ROW()-4,"0000"))</f>
        <v/>
      </c>
      <c r="B1605" s="78" t="n"/>
      <c r="C1605" s="67">
        <f>IF($B1605="","",IFERROR(INDEX(Task_Tracker!$D$5:$D$1004,MATCH($B1605,Task_Tracker!$A$5:$A$1004,0)),""))</f>
        <v/>
      </c>
      <c r="D1605" s="67">
        <f>IF($B1605="","",IFERROR(INDEX(Task_Tracker!$B$5:$B$1004,MATCH($B1605,Task_Tracker!$A$5:$A$1004,0)),""))</f>
        <v/>
      </c>
      <c r="E1605" s="81" t="n"/>
      <c r="F1605" s="81" t="n"/>
      <c r="G1605" s="78" t="n"/>
      <c r="H1605" s="78" t="n"/>
      <c r="I1605" s="67">
        <f>IF($H1605="","",IFERROR(INDEX(Action_Status_Map!$B$5:$B$11,MATCH($H1605,Action_Status_Map!$A$5:$A$11,0)),""))</f>
        <v/>
      </c>
      <c r="J1605" s="82" t="n"/>
      <c r="K1605" s="82" t="n"/>
      <c r="L1605" s="82" t="n"/>
      <c r="M1605" s="83" t="n"/>
      <c r="N1605" s="83" t="n"/>
      <c r="O1605" s="66">
        <f>IF(OR($M1605="",$N1605=""),"",$N1605-$M1605)</f>
        <v/>
      </c>
      <c r="P1605" s="84">
        <f>IF($J1605="","",IF($L1605&lt;&gt;"",$L1605-$J1605,TODAY()-$J1605))</f>
        <v/>
      </c>
      <c r="Q1605" s="85">
        <f>IF(OR($K1605="",$H1605="Completed",$H1605="Cancelled"),"",IF(AND($K1605&lt;TODAY(),$H1605&lt;&gt;"Completed",$H1605&lt;&gt;"Cancelled"),"Overdue","On Track"))</f>
        <v/>
      </c>
      <c r="R1605" s="81" t="n"/>
      <c r="S1605" s="81">
        <f>IF($B1605="","",IFERROR(INDEX(Task_Tracker!$AA$5:$AA$1004,MATCH($B1605,Task_Tracker!$A$5:$A$1004,0)),""))</f>
        <v/>
      </c>
      <c r="T1605" s="81">
        <f>IF($B1605="","",IFERROR(INDEX(Task_Tracker!$AB$5:$AB$1004,MATCH($B1605,Task_Tracker!$A$5:$A$1004,0)),""))</f>
        <v/>
      </c>
      <c r="U1605" s="78">
        <f>IF($B1605="","",IFERROR(INDEX(Task_Tracker!$F$5:$F$1004,MATCH($B1605,Task_Tracker!$A$5:$A$1004,0)),""))</f>
        <v/>
      </c>
      <c r="V1605" s="78">
        <f>IF($B1605="","",IFERROR(INDEX(Task_Tracker!$I$5:$I$1004,MATCH($B1605,Task_Tracker!$A$5:$A$1004,0)),""))</f>
        <v/>
      </c>
      <c r="W1605" s="81">
        <f>IF(OR($D1605="",$B1605=""),"",$D1605&amp;" | "&amp;$B1605)</f>
        <v/>
      </c>
      <c r="X1605" s="85">
        <f>IF($K1605="","",TEXT($K1605,"yyyy-mm"))</f>
        <v/>
      </c>
      <c r="Y1605" s="81">
        <f>IF(OR($A1605="",$T1605=""),"","Included in Manager_Report")</f>
        <v/>
      </c>
    </row>
    <row r="1606" ht="15" customHeight="1" s="40">
      <c r="A1606" s="65">
        <f>IF(COUNTA(B1606:G1606)=0,"","STP-"&amp;TEXT(ROW()-4,"0000"))</f>
        <v/>
      </c>
      <c r="B1606" s="78" t="n"/>
      <c r="C1606" s="67">
        <f>IF($B1606="","",IFERROR(INDEX(Task_Tracker!$D$5:$D$1004,MATCH($B1606,Task_Tracker!$A$5:$A$1004,0)),""))</f>
        <v/>
      </c>
      <c r="D1606" s="67">
        <f>IF($B1606="","",IFERROR(INDEX(Task_Tracker!$B$5:$B$1004,MATCH($B1606,Task_Tracker!$A$5:$A$1004,0)),""))</f>
        <v/>
      </c>
      <c r="E1606" s="81" t="n"/>
      <c r="F1606" s="81" t="n"/>
      <c r="G1606" s="78" t="n"/>
      <c r="H1606" s="78" t="n"/>
      <c r="I1606" s="67">
        <f>IF($H1606="","",IFERROR(INDEX(Action_Status_Map!$B$5:$B$11,MATCH($H1606,Action_Status_Map!$A$5:$A$11,0)),""))</f>
        <v/>
      </c>
      <c r="J1606" s="82" t="n"/>
      <c r="K1606" s="82" t="n"/>
      <c r="L1606" s="82" t="n"/>
      <c r="M1606" s="83" t="n"/>
      <c r="N1606" s="83" t="n"/>
      <c r="O1606" s="66">
        <f>IF(OR($M1606="",$N1606=""),"",$N1606-$M1606)</f>
        <v/>
      </c>
      <c r="P1606" s="84">
        <f>IF($J1606="","",IF($L1606&lt;&gt;"",$L1606-$J1606,TODAY()-$J1606))</f>
        <v/>
      </c>
      <c r="Q1606" s="85">
        <f>IF(OR($K1606="",$H1606="Completed",$H1606="Cancelled"),"",IF(AND($K1606&lt;TODAY(),$H1606&lt;&gt;"Completed",$H1606&lt;&gt;"Cancelled"),"Overdue","On Track"))</f>
        <v/>
      </c>
      <c r="R1606" s="81" t="n"/>
      <c r="S1606" s="81">
        <f>IF($B1606="","",IFERROR(INDEX(Task_Tracker!$AA$5:$AA$1004,MATCH($B1606,Task_Tracker!$A$5:$A$1004,0)),""))</f>
        <v/>
      </c>
      <c r="T1606" s="81">
        <f>IF($B1606="","",IFERROR(INDEX(Task_Tracker!$AB$5:$AB$1004,MATCH($B1606,Task_Tracker!$A$5:$A$1004,0)),""))</f>
        <v/>
      </c>
      <c r="U1606" s="78">
        <f>IF($B1606="","",IFERROR(INDEX(Task_Tracker!$F$5:$F$1004,MATCH($B1606,Task_Tracker!$A$5:$A$1004,0)),""))</f>
        <v/>
      </c>
      <c r="V1606" s="78">
        <f>IF($B1606="","",IFERROR(INDEX(Task_Tracker!$I$5:$I$1004,MATCH($B1606,Task_Tracker!$A$5:$A$1004,0)),""))</f>
        <v/>
      </c>
      <c r="W1606" s="81">
        <f>IF(OR($D1606="",$B1606=""),"",$D1606&amp;" | "&amp;$B1606)</f>
        <v/>
      </c>
      <c r="X1606" s="85">
        <f>IF($K1606="","",TEXT($K1606,"yyyy-mm"))</f>
        <v/>
      </c>
      <c r="Y1606" s="81">
        <f>IF(OR($A1606="",$T1606=""),"","Included in Manager_Report")</f>
        <v/>
      </c>
    </row>
    <row r="1607" ht="15" customHeight="1" s="40">
      <c r="A1607" s="65">
        <f>IF(COUNTA(B1607:G1607)=0,"","STP-"&amp;TEXT(ROW()-4,"0000"))</f>
        <v/>
      </c>
      <c r="B1607" s="78" t="n"/>
      <c r="C1607" s="67">
        <f>IF($B1607="","",IFERROR(INDEX(Task_Tracker!$D$5:$D$1004,MATCH($B1607,Task_Tracker!$A$5:$A$1004,0)),""))</f>
        <v/>
      </c>
      <c r="D1607" s="67">
        <f>IF($B1607="","",IFERROR(INDEX(Task_Tracker!$B$5:$B$1004,MATCH($B1607,Task_Tracker!$A$5:$A$1004,0)),""))</f>
        <v/>
      </c>
      <c r="E1607" s="81" t="n"/>
      <c r="F1607" s="81" t="n"/>
      <c r="G1607" s="78" t="n"/>
      <c r="H1607" s="78" t="n"/>
      <c r="I1607" s="67">
        <f>IF($H1607="","",IFERROR(INDEX(Action_Status_Map!$B$5:$B$11,MATCH($H1607,Action_Status_Map!$A$5:$A$11,0)),""))</f>
        <v/>
      </c>
      <c r="J1607" s="82" t="n"/>
      <c r="K1607" s="82" t="n"/>
      <c r="L1607" s="82" t="n"/>
      <c r="M1607" s="83" t="n"/>
      <c r="N1607" s="83" t="n"/>
      <c r="O1607" s="66">
        <f>IF(OR($M1607="",$N1607=""),"",$N1607-$M1607)</f>
        <v/>
      </c>
      <c r="P1607" s="84">
        <f>IF($J1607="","",IF($L1607&lt;&gt;"",$L1607-$J1607,TODAY()-$J1607))</f>
        <v/>
      </c>
      <c r="Q1607" s="85">
        <f>IF(OR($K1607="",$H1607="Completed",$H1607="Cancelled"),"",IF(AND($K1607&lt;TODAY(),$H1607&lt;&gt;"Completed",$H1607&lt;&gt;"Cancelled"),"Overdue","On Track"))</f>
        <v/>
      </c>
      <c r="R1607" s="81" t="n"/>
      <c r="S1607" s="81">
        <f>IF($B1607="","",IFERROR(INDEX(Task_Tracker!$AA$5:$AA$1004,MATCH($B1607,Task_Tracker!$A$5:$A$1004,0)),""))</f>
        <v/>
      </c>
      <c r="T1607" s="81">
        <f>IF($B1607="","",IFERROR(INDEX(Task_Tracker!$AB$5:$AB$1004,MATCH($B1607,Task_Tracker!$A$5:$A$1004,0)),""))</f>
        <v/>
      </c>
      <c r="U1607" s="78">
        <f>IF($B1607="","",IFERROR(INDEX(Task_Tracker!$F$5:$F$1004,MATCH($B1607,Task_Tracker!$A$5:$A$1004,0)),""))</f>
        <v/>
      </c>
      <c r="V1607" s="78">
        <f>IF($B1607="","",IFERROR(INDEX(Task_Tracker!$I$5:$I$1004,MATCH($B1607,Task_Tracker!$A$5:$A$1004,0)),""))</f>
        <v/>
      </c>
      <c r="W1607" s="81">
        <f>IF(OR($D1607="",$B1607=""),"",$D1607&amp;" | "&amp;$B1607)</f>
        <v/>
      </c>
      <c r="X1607" s="85">
        <f>IF($K1607="","",TEXT($K1607,"yyyy-mm"))</f>
        <v/>
      </c>
      <c r="Y1607" s="81">
        <f>IF(OR($A1607="",$T1607=""),"","Included in Manager_Report")</f>
        <v/>
      </c>
    </row>
    <row r="1608" ht="15" customHeight="1" s="40">
      <c r="A1608" s="65">
        <f>IF(COUNTA(B1608:G1608)=0,"","STP-"&amp;TEXT(ROW()-4,"0000"))</f>
        <v/>
      </c>
      <c r="B1608" s="78" t="n"/>
      <c r="C1608" s="67">
        <f>IF($B1608="","",IFERROR(INDEX(Task_Tracker!$D$5:$D$1004,MATCH($B1608,Task_Tracker!$A$5:$A$1004,0)),""))</f>
        <v/>
      </c>
      <c r="D1608" s="67">
        <f>IF($B1608="","",IFERROR(INDEX(Task_Tracker!$B$5:$B$1004,MATCH($B1608,Task_Tracker!$A$5:$A$1004,0)),""))</f>
        <v/>
      </c>
      <c r="E1608" s="81" t="n"/>
      <c r="F1608" s="81" t="n"/>
      <c r="G1608" s="78" t="n"/>
      <c r="H1608" s="78" t="n"/>
      <c r="I1608" s="67">
        <f>IF($H1608="","",IFERROR(INDEX(Action_Status_Map!$B$5:$B$11,MATCH($H1608,Action_Status_Map!$A$5:$A$11,0)),""))</f>
        <v/>
      </c>
      <c r="J1608" s="82" t="n"/>
      <c r="K1608" s="82" t="n"/>
      <c r="L1608" s="82" t="n"/>
      <c r="M1608" s="83" t="n"/>
      <c r="N1608" s="83" t="n"/>
      <c r="O1608" s="66">
        <f>IF(OR($M1608="",$N1608=""),"",$N1608-$M1608)</f>
        <v/>
      </c>
      <c r="P1608" s="84">
        <f>IF($J1608="","",IF($L1608&lt;&gt;"",$L1608-$J1608,TODAY()-$J1608))</f>
        <v/>
      </c>
      <c r="Q1608" s="85">
        <f>IF(OR($K1608="",$H1608="Completed",$H1608="Cancelled"),"",IF(AND($K1608&lt;TODAY(),$H1608&lt;&gt;"Completed",$H1608&lt;&gt;"Cancelled"),"Overdue","On Track"))</f>
        <v/>
      </c>
      <c r="R1608" s="81" t="n"/>
      <c r="S1608" s="81">
        <f>IF($B1608="","",IFERROR(INDEX(Task_Tracker!$AA$5:$AA$1004,MATCH($B1608,Task_Tracker!$A$5:$A$1004,0)),""))</f>
        <v/>
      </c>
      <c r="T1608" s="81">
        <f>IF($B1608="","",IFERROR(INDEX(Task_Tracker!$AB$5:$AB$1004,MATCH($B1608,Task_Tracker!$A$5:$A$1004,0)),""))</f>
        <v/>
      </c>
      <c r="U1608" s="78">
        <f>IF($B1608="","",IFERROR(INDEX(Task_Tracker!$F$5:$F$1004,MATCH($B1608,Task_Tracker!$A$5:$A$1004,0)),""))</f>
        <v/>
      </c>
      <c r="V1608" s="78">
        <f>IF($B1608="","",IFERROR(INDEX(Task_Tracker!$I$5:$I$1004,MATCH($B1608,Task_Tracker!$A$5:$A$1004,0)),""))</f>
        <v/>
      </c>
      <c r="W1608" s="81">
        <f>IF(OR($D1608="",$B1608=""),"",$D1608&amp;" | "&amp;$B1608)</f>
        <v/>
      </c>
      <c r="X1608" s="85">
        <f>IF($K1608="","",TEXT($K1608,"yyyy-mm"))</f>
        <v/>
      </c>
      <c r="Y1608" s="81">
        <f>IF(OR($A1608="",$T1608=""),"","Included in Manager_Report")</f>
        <v/>
      </c>
    </row>
    <row r="1609" ht="15" customHeight="1" s="40">
      <c r="A1609" s="65">
        <f>IF(COUNTA(B1609:G1609)=0,"","STP-"&amp;TEXT(ROW()-4,"0000"))</f>
        <v/>
      </c>
      <c r="B1609" s="78" t="n"/>
      <c r="C1609" s="67">
        <f>IF($B1609="","",IFERROR(INDEX(Task_Tracker!$D$5:$D$1004,MATCH($B1609,Task_Tracker!$A$5:$A$1004,0)),""))</f>
        <v/>
      </c>
      <c r="D1609" s="67">
        <f>IF($B1609="","",IFERROR(INDEX(Task_Tracker!$B$5:$B$1004,MATCH($B1609,Task_Tracker!$A$5:$A$1004,0)),""))</f>
        <v/>
      </c>
      <c r="E1609" s="81" t="n"/>
      <c r="F1609" s="81" t="n"/>
      <c r="G1609" s="78" t="n"/>
      <c r="H1609" s="78" t="n"/>
      <c r="I1609" s="67">
        <f>IF($H1609="","",IFERROR(INDEX(Action_Status_Map!$B$5:$B$11,MATCH($H1609,Action_Status_Map!$A$5:$A$11,0)),""))</f>
        <v/>
      </c>
      <c r="J1609" s="82" t="n"/>
      <c r="K1609" s="82" t="n"/>
      <c r="L1609" s="82" t="n"/>
      <c r="M1609" s="83" t="n"/>
      <c r="N1609" s="83" t="n"/>
      <c r="O1609" s="66">
        <f>IF(OR($M1609="",$N1609=""),"",$N1609-$M1609)</f>
        <v/>
      </c>
      <c r="P1609" s="84">
        <f>IF($J1609="","",IF($L1609&lt;&gt;"",$L1609-$J1609,TODAY()-$J1609))</f>
        <v/>
      </c>
      <c r="Q1609" s="85">
        <f>IF(OR($K1609="",$H1609="Completed",$H1609="Cancelled"),"",IF(AND($K1609&lt;TODAY(),$H1609&lt;&gt;"Completed",$H1609&lt;&gt;"Cancelled"),"Overdue","On Track"))</f>
        <v/>
      </c>
      <c r="R1609" s="81" t="n"/>
      <c r="S1609" s="81">
        <f>IF($B1609="","",IFERROR(INDEX(Task_Tracker!$AA$5:$AA$1004,MATCH($B1609,Task_Tracker!$A$5:$A$1004,0)),""))</f>
        <v/>
      </c>
      <c r="T1609" s="81">
        <f>IF($B1609="","",IFERROR(INDEX(Task_Tracker!$AB$5:$AB$1004,MATCH($B1609,Task_Tracker!$A$5:$A$1004,0)),""))</f>
        <v/>
      </c>
      <c r="U1609" s="78">
        <f>IF($B1609="","",IFERROR(INDEX(Task_Tracker!$F$5:$F$1004,MATCH($B1609,Task_Tracker!$A$5:$A$1004,0)),""))</f>
        <v/>
      </c>
      <c r="V1609" s="78">
        <f>IF($B1609="","",IFERROR(INDEX(Task_Tracker!$I$5:$I$1004,MATCH($B1609,Task_Tracker!$A$5:$A$1004,0)),""))</f>
        <v/>
      </c>
      <c r="W1609" s="81">
        <f>IF(OR($D1609="",$B1609=""),"",$D1609&amp;" | "&amp;$B1609)</f>
        <v/>
      </c>
      <c r="X1609" s="85">
        <f>IF($K1609="","",TEXT($K1609,"yyyy-mm"))</f>
        <v/>
      </c>
      <c r="Y1609" s="81">
        <f>IF(OR($A1609="",$T1609=""),"","Included in Manager_Report")</f>
        <v/>
      </c>
    </row>
    <row r="1610" ht="15" customHeight="1" s="40">
      <c r="A1610" s="65">
        <f>IF(COUNTA(B1610:G1610)=0,"","STP-"&amp;TEXT(ROW()-4,"0000"))</f>
        <v/>
      </c>
      <c r="B1610" s="78" t="n"/>
      <c r="C1610" s="67">
        <f>IF($B1610="","",IFERROR(INDEX(Task_Tracker!$D$5:$D$1004,MATCH($B1610,Task_Tracker!$A$5:$A$1004,0)),""))</f>
        <v/>
      </c>
      <c r="D1610" s="67">
        <f>IF($B1610="","",IFERROR(INDEX(Task_Tracker!$B$5:$B$1004,MATCH($B1610,Task_Tracker!$A$5:$A$1004,0)),""))</f>
        <v/>
      </c>
      <c r="E1610" s="81" t="n"/>
      <c r="F1610" s="81" t="n"/>
      <c r="G1610" s="78" t="n"/>
      <c r="H1610" s="78" t="n"/>
      <c r="I1610" s="67">
        <f>IF($H1610="","",IFERROR(INDEX(Action_Status_Map!$B$5:$B$11,MATCH($H1610,Action_Status_Map!$A$5:$A$11,0)),""))</f>
        <v/>
      </c>
      <c r="J1610" s="82" t="n"/>
      <c r="K1610" s="82" t="n"/>
      <c r="L1610" s="82" t="n"/>
      <c r="M1610" s="83" t="n"/>
      <c r="N1610" s="83" t="n"/>
      <c r="O1610" s="66">
        <f>IF(OR($M1610="",$N1610=""),"",$N1610-$M1610)</f>
        <v/>
      </c>
      <c r="P1610" s="84">
        <f>IF($J1610="","",IF($L1610&lt;&gt;"",$L1610-$J1610,TODAY()-$J1610))</f>
        <v/>
      </c>
      <c r="Q1610" s="85">
        <f>IF(OR($K1610="",$H1610="Completed",$H1610="Cancelled"),"",IF(AND($K1610&lt;TODAY(),$H1610&lt;&gt;"Completed",$H1610&lt;&gt;"Cancelled"),"Overdue","On Track"))</f>
        <v/>
      </c>
      <c r="R1610" s="81" t="n"/>
      <c r="S1610" s="81">
        <f>IF($B1610="","",IFERROR(INDEX(Task_Tracker!$AA$5:$AA$1004,MATCH($B1610,Task_Tracker!$A$5:$A$1004,0)),""))</f>
        <v/>
      </c>
      <c r="T1610" s="81">
        <f>IF($B1610="","",IFERROR(INDEX(Task_Tracker!$AB$5:$AB$1004,MATCH($B1610,Task_Tracker!$A$5:$A$1004,0)),""))</f>
        <v/>
      </c>
      <c r="U1610" s="78">
        <f>IF($B1610="","",IFERROR(INDEX(Task_Tracker!$F$5:$F$1004,MATCH($B1610,Task_Tracker!$A$5:$A$1004,0)),""))</f>
        <v/>
      </c>
      <c r="V1610" s="78">
        <f>IF($B1610="","",IFERROR(INDEX(Task_Tracker!$I$5:$I$1004,MATCH($B1610,Task_Tracker!$A$5:$A$1004,0)),""))</f>
        <v/>
      </c>
      <c r="W1610" s="81">
        <f>IF(OR($D1610="",$B1610=""),"",$D1610&amp;" | "&amp;$B1610)</f>
        <v/>
      </c>
      <c r="X1610" s="85">
        <f>IF($K1610="","",TEXT($K1610,"yyyy-mm"))</f>
        <v/>
      </c>
      <c r="Y1610" s="81">
        <f>IF(OR($A1610="",$T1610=""),"","Included in Manager_Report")</f>
        <v/>
      </c>
    </row>
    <row r="1611" ht="15" customHeight="1" s="40">
      <c r="A1611" s="65">
        <f>IF(COUNTA(B1611:G1611)=0,"","STP-"&amp;TEXT(ROW()-4,"0000"))</f>
        <v/>
      </c>
      <c r="B1611" s="78" t="n"/>
      <c r="C1611" s="67">
        <f>IF($B1611="","",IFERROR(INDEX(Task_Tracker!$D$5:$D$1004,MATCH($B1611,Task_Tracker!$A$5:$A$1004,0)),""))</f>
        <v/>
      </c>
      <c r="D1611" s="67">
        <f>IF($B1611="","",IFERROR(INDEX(Task_Tracker!$B$5:$B$1004,MATCH($B1611,Task_Tracker!$A$5:$A$1004,0)),""))</f>
        <v/>
      </c>
      <c r="E1611" s="81" t="n"/>
      <c r="F1611" s="81" t="n"/>
      <c r="G1611" s="78" t="n"/>
      <c r="H1611" s="78" t="n"/>
      <c r="I1611" s="67">
        <f>IF($H1611="","",IFERROR(INDEX(Action_Status_Map!$B$5:$B$11,MATCH($H1611,Action_Status_Map!$A$5:$A$11,0)),""))</f>
        <v/>
      </c>
      <c r="J1611" s="82" t="n"/>
      <c r="K1611" s="82" t="n"/>
      <c r="L1611" s="82" t="n"/>
      <c r="M1611" s="83" t="n"/>
      <c r="N1611" s="83" t="n"/>
      <c r="O1611" s="66">
        <f>IF(OR($M1611="",$N1611=""),"",$N1611-$M1611)</f>
        <v/>
      </c>
      <c r="P1611" s="84">
        <f>IF($J1611="","",IF($L1611&lt;&gt;"",$L1611-$J1611,TODAY()-$J1611))</f>
        <v/>
      </c>
      <c r="Q1611" s="85">
        <f>IF(OR($K1611="",$H1611="Completed",$H1611="Cancelled"),"",IF(AND($K1611&lt;TODAY(),$H1611&lt;&gt;"Completed",$H1611&lt;&gt;"Cancelled"),"Overdue","On Track"))</f>
        <v/>
      </c>
      <c r="R1611" s="81" t="n"/>
      <c r="S1611" s="81">
        <f>IF($B1611="","",IFERROR(INDEX(Task_Tracker!$AA$5:$AA$1004,MATCH($B1611,Task_Tracker!$A$5:$A$1004,0)),""))</f>
        <v/>
      </c>
      <c r="T1611" s="81">
        <f>IF($B1611="","",IFERROR(INDEX(Task_Tracker!$AB$5:$AB$1004,MATCH($B1611,Task_Tracker!$A$5:$A$1004,0)),""))</f>
        <v/>
      </c>
      <c r="U1611" s="78">
        <f>IF($B1611="","",IFERROR(INDEX(Task_Tracker!$F$5:$F$1004,MATCH($B1611,Task_Tracker!$A$5:$A$1004,0)),""))</f>
        <v/>
      </c>
      <c r="V1611" s="78">
        <f>IF($B1611="","",IFERROR(INDEX(Task_Tracker!$I$5:$I$1004,MATCH($B1611,Task_Tracker!$A$5:$A$1004,0)),""))</f>
        <v/>
      </c>
      <c r="W1611" s="81">
        <f>IF(OR($D1611="",$B1611=""),"",$D1611&amp;" | "&amp;$B1611)</f>
        <v/>
      </c>
      <c r="X1611" s="85">
        <f>IF($K1611="","",TEXT($K1611,"yyyy-mm"))</f>
        <v/>
      </c>
      <c r="Y1611" s="81">
        <f>IF(OR($A1611="",$T1611=""),"","Included in Manager_Report")</f>
        <v/>
      </c>
    </row>
    <row r="1612" ht="15" customHeight="1" s="40">
      <c r="A1612" s="65">
        <f>IF(COUNTA(B1612:G1612)=0,"","STP-"&amp;TEXT(ROW()-4,"0000"))</f>
        <v/>
      </c>
      <c r="B1612" s="78" t="n"/>
      <c r="C1612" s="67">
        <f>IF($B1612="","",IFERROR(INDEX(Task_Tracker!$D$5:$D$1004,MATCH($B1612,Task_Tracker!$A$5:$A$1004,0)),""))</f>
        <v/>
      </c>
      <c r="D1612" s="67">
        <f>IF($B1612="","",IFERROR(INDEX(Task_Tracker!$B$5:$B$1004,MATCH($B1612,Task_Tracker!$A$5:$A$1004,0)),""))</f>
        <v/>
      </c>
      <c r="E1612" s="81" t="n"/>
      <c r="F1612" s="81" t="n"/>
      <c r="G1612" s="78" t="n"/>
      <c r="H1612" s="78" t="n"/>
      <c r="I1612" s="67">
        <f>IF($H1612="","",IFERROR(INDEX(Action_Status_Map!$B$5:$B$11,MATCH($H1612,Action_Status_Map!$A$5:$A$11,0)),""))</f>
        <v/>
      </c>
      <c r="J1612" s="82" t="n"/>
      <c r="K1612" s="82" t="n"/>
      <c r="L1612" s="82" t="n"/>
      <c r="M1612" s="83" t="n"/>
      <c r="N1612" s="83" t="n"/>
      <c r="O1612" s="66">
        <f>IF(OR($M1612="",$N1612=""),"",$N1612-$M1612)</f>
        <v/>
      </c>
      <c r="P1612" s="84">
        <f>IF($J1612="","",IF($L1612&lt;&gt;"",$L1612-$J1612,TODAY()-$J1612))</f>
        <v/>
      </c>
      <c r="Q1612" s="85">
        <f>IF(OR($K1612="",$H1612="Completed",$H1612="Cancelled"),"",IF(AND($K1612&lt;TODAY(),$H1612&lt;&gt;"Completed",$H1612&lt;&gt;"Cancelled"),"Overdue","On Track"))</f>
        <v/>
      </c>
      <c r="R1612" s="81" t="n"/>
      <c r="S1612" s="81">
        <f>IF($B1612="","",IFERROR(INDEX(Task_Tracker!$AA$5:$AA$1004,MATCH($B1612,Task_Tracker!$A$5:$A$1004,0)),""))</f>
        <v/>
      </c>
      <c r="T1612" s="81">
        <f>IF($B1612="","",IFERROR(INDEX(Task_Tracker!$AB$5:$AB$1004,MATCH($B1612,Task_Tracker!$A$5:$A$1004,0)),""))</f>
        <v/>
      </c>
      <c r="U1612" s="78">
        <f>IF($B1612="","",IFERROR(INDEX(Task_Tracker!$F$5:$F$1004,MATCH($B1612,Task_Tracker!$A$5:$A$1004,0)),""))</f>
        <v/>
      </c>
      <c r="V1612" s="78">
        <f>IF($B1612="","",IFERROR(INDEX(Task_Tracker!$I$5:$I$1004,MATCH($B1612,Task_Tracker!$A$5:$A$1004,0)),""))</f>
        <v/>
      </c>
      <c r="W1612" s="81">
        <f>IF(OR($D1612="",$B1612=""),"",$D1612&amp;" | "&amp;$B1612)</f>
        <v/>
      </c>
      <c r="X1612" s="85">
        <f>IF($K1612="","",TEXT($K1612,"yyyy-mm"))</f>
        <v/>
      </c>
      <c r="Y1612" s="81">
        <f>IF(OR($A1612="",$T1612=""),"","Included in Manager_Report")</f>
        <v/>
      </c>
    </row>
    <row r="1613" ht="15" customHeight="1" s="40">
      <c r="A1613" s="65">
        <f>IF(COUNTA(B1613:G1613)=0,"","STP-"&amp;TEXT(ROW()-4,"0000"))</f>
        <v/>
      </c>
      <c r="B1613" s="78" t="n"/>
      <c r="C1613" s="67">
        <f>IF($B1613="","",IFERROR(INDEX(Task_Tracker!$D$5:$D$1004,MATCH($B1613,Task_Tracker!$A$5:$A$1004,0)),""))</f>
        <v/>
      </c>
      <c r="D1613" s="67">
        <f>IF($B1613="","",IFERROR(INDEX(Task_Tracker!$B$5:$B$1004,MATCH($B1613,Task_Tracker!$A$5:$A$1004,0)),""))</f>
        <v/>
      </c>
      <c r="E1613" s="81" t="n"/>
      <c r="F1613" s="81" t="n"/>
      <c r="G1613" s="78" t="n"/>
      <c r="H1613" s="78" t="n"/>
      <c r="I1613" s="67">
        <f>IF($H1613="","",IFERROR(INDEX(Action_Status_Map!$B$5:$B$11,MATCH($H1613,Action_Status_Map!$A$5:$A$11,0)),""))</f>
        <v/>
      </c>
      <c r="J1613" s="82" t="n"/>
      <c r="K1613" s="82" t="n"/>
      <c r="L1613" s="82" t="n"/>
      <c r="M1613" s="83" t="n"/>
      <c r="N1613" s="83" t="n"/>
      <c r="O1613" s="66">
        <f>IF(OR($M1613="",$N1613=""),"",$N1613-$M1613)</f>
        <v/>
      </c>
      <c r="P1613" s="84">
        <f>IF($J1613="","",IF($L1613&lt;&gt;"",$L1613-$J1613,TODAY()-$J1613))</f>
        <v/>
      </c>
      <c r="Q1613" s="85">
        <f>IF(OR($K1613="",$H1613="Completed",$H1613="Cancelled"),"",IF(AND($K1613&lt;TODAY(),$H1613&lt;&gt;"Completed",$H1613&lt;&gt;"Cancelled"),"Overdue","On Track"))</f>
        <v/>
      </c>
      <c r="R1613" s="81" t="n"/>
      <c r="S1613" s="81">
        <f>IF($B1613="","",IFERROR(INDEX(Task_Tracker!$AA$5:$AA$1004,MATCH($B1613,Task_Tracker!$A$5:$A$1004,0)),""))</f>
        <v/>
      </c>
      <c r="T1613" s="81">
        <f>IF($B1613="","",IFERROR(INDEX(Task_Tracker!$AB$5:$AB$1004,MATCH($B1613,Task_Tracker!$A$5:$A$1004,0)),""))</f>
        <v/>
      </c>
      <c r="U1613" s="78">
        <f>IF($B1613="","",IFERROR(INDEX(Task_Tracker!$F$5:$F$1004,MATCH($B1613,Task_Tracker!$A$5:$A$1004,0)),""))</f>
        <v/>
      </c>
      <c r="V1613" s="78">
        <f>IF($B1613="","",IFERROR(INDEX(Task_Tracker!$I$5:$I$1004,MATCH($B1613,Task_Tracker!$A$5:$A$1004,0)),""))</f>
        <v/>
      </c>
      <c r="W1613" s="81">
        <f>IF(OR($D1613="",$B1613=""),"",$D1613&amp;" | "&amp;$B1613)</f>
        <v/>
      </c>
      <c r="X1613" s="85">
        <f>IF($K1613="","",TEXT($K1613,"yyyy-mm"))</f>
        <v/>
      </c>
      <c r="Y1613" s="81">
        <f>IF(OR($A1613="",$T1613=""),"","Included in Manager_Report")</f>
        <v/>
      </c>
    </row>
    <row r="1614" ht="15" customHeight="1" s="40">
      <c r="A1614" s="65">
        <f>IF(COUNTA(B1614:G1614)=0,"","STP-"&amp;TEXT(ROW()-4,"0000"))</f>
        <v/>
      </c>
      <c r="B1614" s="78" t="n"/>
      <c r="C1614" s="67">
        <f>IF($B1614="","",IFERROR(INDEX(Task_Tracker!$D$5:$D$1004,MATCH($B1614,Task_Tracker!$A$5:$A$1004,0)),""))</f>
        <v/>
      </c>
      <c r="D1614" s="67">
        <f>IF($B1614="","",IFERROR(INDEX(Task_Tracker!$B$5:$B$1004,MATCH($B1614,Task_Tracker!$A$5:$A$1004,0)),""))</f>
        <v/>
      </c>
      <c r="E1614" s="81" t="n"/>
      <c r="F1614" s="81" t="n"/>
      <c r="G1614" s="78" t="n"/>
      <c r="H1614" s="78" t="n"/>
      <c r="I1614" s="67">
        <f>IF($H1614="","",IFERROR(INDEX(Action_Status_Map!$B$5:$B$11,MATCH($H1614,Action_Status_Map!$A$5:$A$11,0)),""))</f>
        <v/>
      </c>
      <c r="J1614" s="82" t="n"/>
      <c r="K1614" s="82" t="n"/>
      <c r="L1614" s="82" t="n"/>
      <c r="M1614" s="83" t="n"/>
      <c r="N1614" s="83" t="n"/>
      <c r="O1614" s="66">
        <f>IF(OR($M1614="",$N1614=""),"",$N1614-$M1614)</f>
        <v/>
      </c>
      <c r="P1614" s="84">
        <f>IF($J1614="","",IF($L1614&lt;&gt;"",$L1614-$J1614,TODAY()-$J1614))</f>
        <v/>
      </c>
      <c r="Q1614" s="85">
        <f>IF(OR($K1614="",$H1614="Completed",$H1614="Cancelled"),"",IF(AND($K1614&lt;TODAY(),$H1614&lt;&gt;"Completed",$H1614&lt;&gt;"Cancelled"),"Overdue","On Track"))</f>
        <v/>
      </c>
      <c r="R1614" s="81" t="n"/>
      <c r="S1614" s="81">
        <f>IF($B1614="","",IFERROR(INDEX(Task_Tracker!$AA$5:$AA$1004,MATCH($B1614,Task_Tracker!$A$5:$A$1004,0)),""))</f>
        <v/>
      </c>
      <c r="T1614" s="81">
        <f>IF($B1614="","",IFERROR(INDEX(Task_Tracker!$AB$5:$AB$1004,MATCH($B1614,Task_Tracker!$A$5:$A$1004,0)),""))</f>
        <v/>
      </c>
      <c r="U1614" s="78">
        <f>IF($B1614="","",IFERROR(INDEX(Task_Tracker!$F$5:$F$1004,MATCH($B1614,Task_Tracker!$A$5:$A$1004,0)),""))</f>
        <v/>
      </c>
      <c r="V1614" s="78">
        <f>IF($B1614="","",IFERROR(INDEX(Task_Tracker!$I$5:$I$1004,MATCH($B1614,Task_Tracker!$A$5:$A$1004,0)),""))</f>
        <v/>
      </c>
      <c r="W1614" s="81">
        <f>IF(OR($D1614="",$B1614=""),"",$D1614&amp;" | "&amp;$B1614)</f>
        <v/>
      </c>
      <c r="X1614" s="85">
        <f>IF($K1614="","",TEXT($K1614,"yyyy-mm"))</f>
        <v/>
      </c>
      <c r="Y1614" s="81">
        <f>IF(OR($A1614="",$T1614=""),"","Included in Manager_Report")</f>
        <v/>
      </c>
    </row>
    <row r="1615" ht="15" customHeight="1" s="40">
      <c r="A1615" s="65">
        <f>IF(COUNTA(B1615:G1615)=0,"","STP-"&amp;TEXT(ROW()-4,"0000"))</f>
        <v/>
      </c>
      <c r="B1615" s="78" t="n"/>
      <c r="C1615" s="67">
        <f>IF($B1615="","",IFERROR(INDEX(Task_Tracker!$D$5:$D$1004,MATCH($B1615,Task_Tracker!$A$5:$A$1004,0)),""))</f>
        <v/>
      </c>
      <c r="D1615" s="67">
        <f>IF($B1615="","",IFERROR(INDEX(Task_Tracker!$B$5:$B$1004,MATCH($B1615,Task_Tracker!$A$5:$A$1004,0)),""))</f>
        <v/>
      </c>
      <c r="E1615" s="81" t="n"/>
      <c r="F1615" s="81" t="n"/>
      <c r="G1615" s="78" t="n"/>
      <c r="H1615" s="78" t="n"/>
      <c r="I1615" s="67">
        <f>IF($H1615="","",IFERROR(INDEX(Action_Status_Map!$B$5:$B$11,MATCH($H1615,Action_Status_Map!$A$5:$A$11,0)),""))</f>
        <v/>
      </c>
      <c r="J1615" s="82" t="n"/>
      <c r="K1615" s="82" t="n"/>
      <c r="L1615" s="82" t="n"/>
      <c r="M1615" s="83" t="n"/>
      <c r="N1615" s="83" t="n"/>
      <c r="O1615" s="66">
        <f>IF(OR($M1615="",$N1615=""),"",$N1615-$M1615)</f>
        <v/>
      </c>
      <c r="P1615" s="84">
        <f>IF($J1615="","",IF($L1615&lt;&gt;"",$L1615-$J1615,TODAY()-$J1615))</f>
        <v/>
      </c>
      <c r="Q1615" s="85">
        <f>IF(OR($K1615="",$H1615="Completed",$H1615="Cancelled"),"",IF(AND($K1615&lt;TODAY(),$H1615&lt;&gt;"Completed",$H1615&lt;&gt;"Cancelled"),"Overdue","On Track"))</f>
        <v/>
      </c>
      <c r="R1615" s="81" t="n"/>
      <c r="S1615" s="81">
        <f>IF($B1615="","",IFERROR(INDEX(Task_Tracker!$AA$5:$AA$1004,MATCH($B1615,Task_Tracker!$A$5:$A$1004,0)),""))</f>
        <v/>
      </c>
      <c r="T1615" s="81">
        <f>IF($B1615="","",IFERROR(INDEX(Task_Tracker!$AB$5:$AB$1004,MATCH($B1615,Task_Tracker!$A$5:$A$1004,0)),""))</f>
        <v/>
      </c>
      <c r="U1615" s="78">
        <f>IF($B1615="","",IFERROR(INDEX(Task_Tracker!$F$5:$F$1004,MATCH($B1615,Task_Tracker!$A$5:$A$1004,0)),""))</f>
        <v/>
      </c>
      <c r="V1615" s="78">
        <f>IF($B1615="","",IFERROR(INDEX(Task_Tracker!$I$5:$I$1004,MATCH($B1615,Task_Tracker!$A$5:$A$1004,0)),""))</f>
        <v/>
      </c>
      <c r="W1615" s="81">
        <f>IF(OR($D1615="",$B1615=""),"",$D1615&amp;" | "&amp;$B1615)</f>
        <v/>
      </c>
      <c r="X1615" s="85">
        <f>IF($K1615="","",TEXT($K1615,"yyyy-mm"))</f>
        <v/>
      </c>
      <c r="Y1615" s="81">
        <f>IF(OR($A1615="",$T1615=""),"","Included in Manager_Report")</f>
        <v/>
      </c>
    </row>
    <row r="1616" ht="15" customHeight="1" s="40">
      <c r="A1616" s="65">
        <f>IF(COUNTA(B1616:G1616)=0,"","STP-"&amp;TEXT(ROW()-4,"0000"))</f>
        <v/>
      </c>
      <c r="B1616" s="78" t="n"/>
      <c r="C1616" s="67">
        <f>IF($B1616="","",IFERROR(INDEX(Task_Tracker!$D$5:$D$1004,MATCH($B1616,Task_Tracker!$A$5:$A$1004,0)),""))</f>
        <v/>
      </c>
      <c r="D1616" s="67">
        <f>IF($B1616="","",IFERROR(INDEX(Task_Tracker!$B$5:$B$1004,MATCH($B1616,Task_Tracker!$A$5:$A$1004,0)),""))</f>
        <v/>
      </c>
      <c r="E1616" s="81" t="n"/>
      <c r="F1616" s="81" t="n"/>
      <c r="G1616" s="78" t="n"/>
      <c r="H1616" s="78" t="n"/>
      <c r="I1616" s="67">
        <f>IF($H1616="","",IFERROR(INDEX(Action_Status_Map!$B$5:$B$11,MATCH($H1616,Action_Status_Map!$A$5:$A$11,0)),""))</f>
        <v/>
      </c>
      <c r="J1616" s="82" t="n"/>
      <c r="K1616" s="82" t="n"/>
      <c r="L1616" s="82" t="n"/>
      <c r="M1616" s="83" t="n"/>
      <c r="N1616" s="83" t="n"/>
      <c r="O1616" s="66">
        <f>IF(OR($M1616="",$N1616=""),"",$N1616-$M1616)</f>
        <v/>
      </c>
      <c r="P1616" s="84">
        <f>IF($J1616="","",IF($L1616&lt;&gt;"",$L1616-$J1616,TODAY()-$J1616))</f>
        <v/>
      </c>
      <c r="Q1616" s="85">
        <f>IF(OR($K1616="",$H1616="Completed",$H1616="Cancelled"),"",IF(AND($K1616&lt;TODAY(),$H1616&lt;&gt;"Completed",$H1616&lt;&gt;"Cancelled"),"Overdue","On Track"))</f>
        <v/>
      </c>
      <c r="R1616" s="81" t="n"/>
      <c r="S1616" s="81">
        <f>IF($B1616="","",IFERROR(INDEX(Task_Tracker!$AA$5:$AA$1004,MATCH($B1616,Task_Tracker!$A$5:$A$1004,0)),""))</f>
        <v/>
      </c>
      <c r="T1616" s="81">
        <f>IF($B1616="","",IFERROR(INDEX(Task_Tracker!$AB$5:$AB$1004,MATCH($B1616,Task_Tracker!$A$5:$A$1004,0)),""))</f>
        <v/>
      </c>
      <c r="U1616" s="78">
        <f>IF($B1616="","",IFERROR(INDEX(Task_Tracker!$F$5:$F$1004,MATCH($B1616,Task_Tracker!$A$5:$A$1004,0)),""))</f>
        <v/>
      </c>
      <c r="V1616" s="78">
        <f>IF($B1616="","",IFERROR(INDEX(Task_Tracker!$I$5:$I$1004,MATCH($B1616,Task_Tracker!$A$5:$A$1004,0)),""))</f>
        <v/>
      </c>
      <c r="W1616" s="81">
        <f>IF(OR($D1616="",$B1616=""),"",$D1616&amp;" | "&amp;$B1616)</f>
        <v/>
      </c>
      <c r="X1616" s="85">
        <f>IF($K1616="","",TEXT($K1616,"yyyy-mm"))</f>
        <v/>
      </c>
      <c r="Y1616" s="81">
        <f>IF(OR($A1616="",$T1616=""),"","Included in Manager_Report")</f>
        <v/>
      </c>
    </row>
    <row r="1617" ht="15" customHeight="1" s="40">
      <c r="A1617" s="65">
        <f>IF(COUNTA(B1617:G1617)=0,"","STP-"&amp;TEXT(ROW()-4,"0000"))</f>
        <v/>
      </c>
      <c r="B1617" s="78" t="n"/>
      <c r="C1617" s="67">
        <f>IF($B1617="","",IFERROR(INDEX(Task_Tracker!$D$5:$D$1004,MATCH($B1617,Task_Tracker!$A$5:$A$1004,0)),""))</f>
        <v/>
      </c>
      <c r="D1617" s="67">
        <f>IF($B1617="","",IFERROR(INDEX(Task_Tracker!$B$5:$B$1004,MATCH($B1617,Task_Tracker!$A$5:$A$1004,0)),""))</f>
        <v/>
      </c>
      <c r="E1617" s="81" t="n"/>
      <c r="F1617" s="81" t="n"/>
      <c r="G1617" s="78" t="n"/>
      <c r="H1617" s="78" t="n"/>
      <c r="I1617" s="67">
        <f>IF($H1617="","",IFERROR(INDEX(Action_Status_Map!$B$5:$B$11,MATCH($H1617,Action_Status_Map!$A$5:$A$11,0)),""))</f>
        <v/>
      </c>
      <c r="J1617" s="82" t="n"/>
      <c r="K1617" s="82" t="n"/>
      <c r="L1617" s="82" t="n"/>
      <c r="M1617" s="83" t="n"/>
      <c r="N1617" s="83" t="n"/>
      <c r="O1617" s="66">
        <f>IF(OR($M1617="",$N1617=""),"",$N1617-$M1617)</f>
        <v/>
      </c>
      <c r="P1617" s="84">
        <f>IF($J1617="","",IF($L1617&lt;&gt;"",$L1617-$J1617,TODAY()-$J1617))</f>
        <v/>
      </c>
      <c r="Q1617" s="85">
        <f>IF(OR($K1617="",$H1617="Completed",$H1617="Cancelled"),"",IF(AND($K1617&lt;TODAY(),$H1617&lt;&gt;"Completed",$H1617&lt;&gt;"Cancelled"),"Overdue","On Track"))</f>
        <v/>
      </c>
      <c r="R1617" s="81" t="n"/>
      <c r="S1617" s="81">
        <f>IF($B1617="","",IFERROR(INDEX(Task_Tracker!$AA$5:$AA$1004,MATCH($B1617,Task_Tracker!$A$5:$A$1004,0)),""))</f>
        <v/>
      </c>
      <c r="T1617" s="81">
        <f>IF($B1617="","",IFERROR(INDEX(Task_Tracker!$AB$5:$AB$1004,MATCH($B1617,Task_Tracker!$A$5:$A$1004,0)),""))</f>
        <v/>
      </c>
      <c r="U1617" s="78">
        <f>IF($B1617="","",IFERROR(INDEX(Task_Tracker!$F$5:$F$1004,MATCH($B1617,Task_Tracker!$A$5:$A$1004,0)),""))</f>
        <v/>
      </c>
      <c r="V1617" s="78">
        <f>IF($B1617="","",IFERROR(INDEX(Task_Tracker!$I$5:$I$1004,MATCH($B1617,Task_Tracker!$A$5:$A$1004,0)),""))</f>
        <v/>
      </c>
      <c r="W1617" s="81">
        <f>IF(OR($D1617="",$B1617=""),"",$D1617&amp;" | "&amp;$B1617)</f>
        <v/>
      </c>
      <c r="X1617" s="85">
        <f>IF($K1617="","",TEXT($K1617,"yyyy-mm"))</f>
        <v/>
      </c>
      <c r="Y1617" s="81">
        <f>IF(OR($A1617="",$T1617=""),"","Included in Manager_Report")</f>
        <v/>
      </c>
    </row>
    <row r="1618" ht="15" customHeight="1" s="40">
      <c r="A1618" s="65">
        <f>IF(COUNTA(B1618:G1618)=0,"","STP-"&amp;TEXT(ROW()-4,"0000"))</f>
        <v/>
      </c>
      <c r="B1618" s="78" t="n"/>
      <c r="C1618" s="67">
        <f>IF($B1618="","",IFERROR(INDEX(Task_Tracker!$D$5:$D$1004,MATCH($B1618,Task_Tracker!$A$5:$A$1004,0)),""))</f>
        <v/>
      </c>
      <c r="D1618" s="67">
        <f>IF($B1618="","",IFERROR(INDEX(Task_Tracker!$B$5:$B$1004,MATCH($B1618,Task_Tracker!$A$5:$A$1004,0)),""))</f>
        <v/>
      </c>
      <c r="E1618" s="81" t="n"/>
      <c r="F1618" s="81" t="n"/>
      <c r="G1618" s="78" t="n"/>
      <c r="H1618" s="78" t="n"/>
      <c r="I1618" s="67">
        <f>IF($H1618="","",IFERROR(INDEX(Action_Status_Map!$B$5:$B$11,MATCH($H1618,Action_Status_Map!$A$5:$A$11,0)),""))</f>
        <v/>
      </c>
      <c r="J1618" s="82" t="n"/>
      <c r="K1618" s="82" t="n"/>
      <c r="L1618" s="82" t="n"/>
      <c r="M1618" s="83" t="n"/>
      <c r="N1618" s="83" t="n"/>
      <c r="O1618" s="66">
        <f>IF(OR($M1618="",$N1618=""),"",$N1618-$M1618)</f>
        <v/>
      </c>
      <c r="P1618" s="84">
        <f>IF($J1618="","",IF($L1618&lt;&gt;"",$L1618-$J1618,TODAY()-$J1618))</f>
        <v/>
      </c>
      <c r="Q1618" s="85">
        <f>IF(OR($K1618="",$H1618="Completed",$H1618="Cancelled"),"",IF(AND($K1618&lt;TODAY(),$H1618&lt;&gt;"Completed",$H1618&lt;&gt;"Cancelled"),"Overdue","On Track"))</f>
        <v/>
      </c>
      <c r="R1618" s="81" t="n"/>
      <c r="S1618" s="81">
        <f>IF($B1618="","",IFERROR(INDEX(Task_Tracker!$AA$5:$AA$1004,MATCH($B1618,Task_Tracker!$A$5:$A$1004,0)),""))</f>
        <v/>
      </c>
      <c r="T1618" s="81">
        <f>IF($B1618="","",IFERROR(INDEX(Task_Tracker!$AB$5:$AB$1004,MATCH($B1618,Task_Tracker!$A$5:$A$1004,0)),""))</f>
        <v/>
      </c>
      <c r="U1618" s="78">
        <f>IF($B1618="","",IFERROR(INDEX(Task_Tracker!$F$5:$F$1004,MATCH($B1618,Task_Tracker!$A$5:$A$1004,0)),""))</f>
        <v/>
      </c>
      <c r="V1618" s="78">
        <f>IF($B1618="","",IFERROR(INDEX(Task_Tracker!$I$5:$I$1004,MATCH($B1618,Task_Tracker!$A$5:$A$1004,0)),""))</f>
        <v/>
      </c>
      <c r="W1618" s="81">
        <f>IF(OR($D1618="",$B1618=""),"",$D1618&amp;" | "&amp;$B1618)</f>
        <v/>
      </c>
      <c r="X1618" s="85">
        <f>IF($K1618="","",TEXT($K1618,"yyyy-mm"))</f>
        <v/>
      </c>
      <c r="Y1618" s="81">
        <f>IF(OR($A1618="",$T1618=""),"","Included in Manager_Report")</f>
        <v/>
      </c>
    </row>
    <row r="1619" ht="15" customHeight="1" s="40">
      <c r="A1619" s="65">
        <f>IF(COUNTA(B1619:G1619)=0,"","STP-"&amp;TEXT(ROW()-4,"0000"))</f>
        <v/>
      </c>
      <c r="B1619" s="78" t="n"/>
      <c r="C1619" s="67">
        <f>IF($B1619="","",IFERROR(INDEX(Task_Tracker!$D$5:$D$1004,MATCH($B1619,Task_Tracker!$A$5:$A$1004,0)),""))</f>
        <v/>
      </c>
      <c r="D1619" s="67">
        <f>IF($B1619="","",IFERROR(INDEX(Task_Tracker!$B$5:$B$1004,MATCH($B1619,Task_Tracker!$A$5:$A$1004,0)),""))</f>
        <v/>
      </c>
      <c r="E1619" s="81" t="n"/>
      <c r="F1619" s="81" t="n"/>
      <c r="G1619" s="78" t="n"/>
      <c r="H1619" s="78" t="n"/>
      <c r="I1619" s="67">
        <f>IF($H1619="","",IFERROR(INDEX(Action_Status_Map!$B$5:$B$11,MATCH($H1619,Action_Status_Map!$A$5:$A$11,0)),""))</f>
        <v/>
      </c>
      <c r="J1619" s="82" t="n"/>
      <c r="K1619" s="82" t="n"/>
      <c r="L1619" s="82" t="n"/>
      <c r="M1619" s="83" t="n"/>
      <c r="N1619" s="83" t="n"/>
      <c r="O1619" s="66">
        <f>IF(OR($M1619="",$N1619=""),"",$N1619-$M1619)</f>
        <v/>
      </c>
      <c r="P1619" s="84">
        <f>IF($J1619="","",IF($L1619&lt;&gt;"",$L1619-$J1619,TODAY()-$J1619))</f>
        <v/>
      </c>
      <c r="Q1619" s="85">
        <f>IF(OR($K1619="",$H1619="Completed",$H1619="Cancelled"),"",IF(AND($K1619&lt;TODAY(),$H1619&lt;&gt;"Completed",$H1619&lt;&gt;"Cancelled"),"Overdue","On Track"))</f>
        <v/>
      </c>
      <c r="R1619" s="81" t="n"/>
      <c r="S1619" s="81">
        <f>IF($B1619="","",IFERROR(INDEX(Task_Tracker!$AA$5:$AA$1004,MATCH($B1619,Task_Tracker!$A$5:$A$1004,0)),""))</f>
        <v/>
      </c>
      <c r="T1619" s="81">
        <f>IF($B1619="","",IFERROR(INDEX(Task_Tracker!$AB$5:$AB$1004,MATCH($B1619,Task_Tracker!$A$5:$A$1004,0)),""))</f>
        <v/>
      </c>
      <c r="U1619" s="78">
        <f>IF($B1619="","",IFERROR(INDEX(Task_Tracker!$F$5:$F$1004,MATCH($B1619,Task_Tracker!$A$5:$A$1004,0)),""))</f>
        <v/>
      </c>
      <c r="V1619" s="78">
        <f>IF($B1619="","",IFERROR(INDEX(Task_Tracker!$I$5:$I$1004,MATCH($B1619,Task_Tracker!$A$5:$A$1004,0)),""))</f>
        <v/>
      </c>
      <c r="W1619" s="81">
        <f>IF(OR($D1619="",$B1619=""),"",$D1619&amp;" | "&amp;$B1619)</f>
        <v/>
      </c>
      <c r="X1619" s="85">
        <f>IF($K1619="","",TEXT($K1619,"yyyy-mm"))</f>
        <v/>
      </c>
      <c r="Y1619" s="81">
        <f>IF(OR($A1619="",$T1619=""),"","Included in Manager_Report")</f>
        <v/>
      </c>
    </row>
    <row r="1620" ht="15" customHeight="1" s="40">
      <c r="A1620" s="65">
        <f>IF(COUNTA(B1620:G1620)=0,"","STP-"&amp;TEXT(ROW()-4,"0000"))</f>
        <v/>
      </c>
      <c r="B1620" s="78" t="n"/>
      <c r="C1620" s="67">
        <f>IF($B1620="","",IFERROR(INDEX(Task_Tracker!$D$5:$D$1004,MATCH($B1620,Task_Tracker!$A$5:$A$1004,0)),""))</f>
        <v/>
      </c>
      <c r="D1620" s="67">
        <f>IF($B1620="","",IFERROR(INDEX(Task_Tracker!$B$5:$B$1004,MATCH($B1620,Task_Tracker!$A$5:$A$1004,0)),""))</f>
        <v/>
      </c>
      <c r="E1620" s="81" t="n"/>
      <c r="F1620" s="81" t="n"/>
      <c r="G1620" s="78" t="n"/>
      <c r="H1620" s="78" t="n"/>
      <c r="I1620" s="67">
        <f>IF($H1620="","",IFERROR(INDEX(Action_Status_Map!$B$5:$B$11,MATCH($H1620,Action_Status_Map!$A$5:$A$11,0)),""))</f>
        <v/>
      </c>
      <c r="J1620" s="82" t="n"/>
      <c r="K1620" s="82" t="n"/>
      <c r="L1620" s="82" t="n"/>
      <c r="M1620" s="83" t="n"/>
      <c r="N1620" s="83" t="n"/>
      <c r="O1620" s="66">
        <f>IF(OR($M1620="",$N1620=""),"",$N1620-$M1620)</f>
        <v/>
      </c>
      <c r="P1620" s="84">
        <f>IF($J1620="","",IF($L1620&lt;&gt;"",$L1620-$J1620,TODAY()-$J1620))</f>
        <v/>
      </c>
      <c r="Q1620" s="85">
        <f>IF(OR($K1620="",$H1620="Completed",$H1620="Cancelled"),"",IF(AND($K1620&lt;TODAY(),$H1620&lt;&gt;"Completed",$H1620&lt;&gt;"Cancelled"),"Overdue","On Track"))</f>
        <v/>
      </c>
      <c r="R1620" s="81" t="n"/>
      <c r="S1620" s="81">
        <f>IF($B1620="","",IFERROR(INDEX(Task_Tracker!$AA$5:$AA$1004,MATCH($B1620,Task_Tracker!$A$5:$A$1004,0)),""))</f>
        <v/>
      </c>
      <c r="T1620" s="81">
        <f>IF($B1620="","",IFERROR(INDEX(Task_Tracker!$AB$5:$AB$1004,MATCH($B1620,Task_Tracker!$A$5:$A$1004,0)),""))</f>
        <v/>
      </c>
      <c r="U1620" s="78">
        <f>IF($B1620="","",IFERROR(INDEX(Task_Tracker!$F$5:$F$1004,MATCH($B1620,Task_Tracker!$A$5:$A$1004,0)),""))</f>
        <v/>
      </c>
      <c r="V1620" s="78">
        <f>IF($B1620="","",IFERROR(INDEX(Task_Tracker!$I$5:$I$1004,MATCH($B1620,Task_Tracker!$A$5:$A$1004,0)),""))</f>
        <v/>
      </c>
      <c r="W1620" s="81">
        <f>IF(OR($D1620="",$B1620=""),"",$D1620&amp;" | "&amp;$B1620)</f>
        <v/>
      </c>
      <c r="X1620" s="85">
        <f>IF($K1620="","",TEXT($K1620,"yyyy-mm"))</f>
        <v/>
      </c>
      <c r="Y1620" s="81">
        <f>IF(OR($A1620="",$T1620=""),"","Included in Manager_Report")</f>
        <v/>
      </c>
    </row>
    <row r="1621" ht="15" customHeight="1" s="40">
      <c r="A1621" s="65">
        <f>IF(COUNTA(B1621:G1621)=0,"","STP-"&amp;TEXT(ROW()-4,"0000"))</f>
        <v/>
      </c>
      <c r="B1621" s="78" t="n"/>
      <c r="C1621" s="67">
        <f>IF($B1621="","",IFERROR(INDEX(Task_Tracker!$D$5:$D$1004,MATCH($B1621,Task_Tracker!$A$5:$A$1004,0)),""))</f>
        <v/>
      </c>
      <c r="D1621" s="67">
        <f>IF($B1621="","",IFERROR(INDEX(Task_Tracker!$B$5:$B$1004,MATCH($B1621,Task_Tracker!$A$5:$A$1004,0)),""))</f>
        <v/>
      </c>
      <c r="E1621" s="81" t="n"/>
      <c r="F1621" s="81" t="n"/>
      <c r="G1621" s="78" t="n"/>
      <c r="H1621" s="78" t="n"/>
      <c r="I1621" s="67">
        <f>IF($H1621="","",IFERROR(INDEX(Action_Status_Map!$B$5:$B$11,MATCH($H1621,Action_Status_Map!$A$5:$A$11,0)),""))</f>
        <v/>
      </c>
      <c r="J1621" s="82" t="n"/>
      <c r="K1621" s="82" t="n"/>
      <c r="L1621" s="82" t="n"/>
      <c r="M1621" s="83" t="n"/>
      <c r="N1621" s="83" t="n"/>
      <c r="O1621" s="66">
        <f>IF(OR($M1621="",$N1621=""),"",$N1621-$M1621)</f>
        <v/>
      </c>
      <c r="P1621" s="84">
        <f>IF($J1621="","",IF($L1621&lt;&gt;"",$L1621-$J1621,TODAY()-$J1621))</f>
        <v/>
      </c>
      <c r="Q1621" s="85">
        <f>IF(OR($K1621="",$H1621="Completed",$H1621="Cancelled"),"",IF(AND($K1621&lt;TODAY(),$H1621&lt;&gt;"Completed",$H1621&lt;&gt;"Cancelled"),"Overdue","On Track"))</f>
        <v/>
      </c>
      <c r="R1621" s="81" t="n"/>
      <c r="S1621" s="81">
        <f>IF($B1621="","",IFERROR(INDEX(Task_Tracker!$AA$5:$AA$1004,MATCH($B1621,Task_Tracker!$A$5:$A$1004,0)),""))</f>
        <v/>
      </c>
      <c r="T1621" s="81">
        <f>IF($B1621="","",IFERROR(INDEX(Task_Tracker!$AB$5:$AB$1004,MATCH($B1621,Task_Tracker!$A$5:$A$1004,0)),""))</f>
        <v/>
      </c>
      <c r="U1621" s="78">
        <f>IF($B1621="","",IFERROR(INDEX(Task_Tracker!$F$5:$F$1004,MATCH($B1621,Task_Tracker!$A$5:$A$1004,0)),""))</f>
        <v/>
      </c>
      <c r="V1621" s="78">
        <f>IF($B1621="","",IFERROR(INDEX(Task_Tracker!$I$5:$I$1004,MATCH($B1621,Task_Tracker!$A$5:$A$1004,0)),""))</f>
        <v/>
      </c>
      <c r="W1621" s="81">
        <f>IF(OR($D1621="",$B1621=""),"",$D1621&amp;" | "&amp;$B1621)</f>
        <v/>
      </c>
      <c r="X1621" s="85">
        <f>IF($K1621="","",TEXT($K1621,"yyyy-mm"))</f>
        <v/>
      </c>
      <c r="Y1621" s="81">
        <f>IF(OR($A1621="",$T1621=""),"","Included in Manager_Report")</f>
        <v/>
      </c>
    </row>
    <row r="1622" ht="15" customHeight="1" s="40">
      <c r="A1622" s="65">
        <f>IF(COUNTA(B1622:G1622)=0,"","STP-"&amp;TEXT(ROW()-4,"0000"))</f>
        <v/>
      </c>
      <c r="B1622" s="78" t="n"/>
      <c r="C1622" s="67">
        <f>IF($B1622="","",IFERROR(INDEX(Task_Tracker!$D$5:$D$1004,MATCH($B1622,Task_Tracker!$A$5:$A$1004,0)),""))</f>
        <v/>
      </c>
      <c r="D1622" s="67">
        <f>IF($B1622="","",IFERROR(INDEX(Task_Tracker!$B$5:$B$1004,MATCH($B1622,Task_Tracker!$A$5:$A$1004,0)),""))</f>
        <v/>
      </c>
      <c r="E1622" s="81" t="n"/>
      <c r="F1622" s="81" t="n"/>
      <c r="G1622" s="78" t="n"/>
      <c r="H1622" s="78" t="n"/>
      <c r="I1622" s="67">
        <f>IF($H1622="","",IFERROR(INDEX(Action_Status_Map!$B$5:$B$11,MATCH($H1622,Action_Status_Map!$A$5:$A$11,0)),""))</f>
        <v/>
      </c>
      <c r="J1622" s="82" t="n"/>
      <c r="K1622" s="82" t="n"/>
      <c r="L1622" s="82" t="n"/>
      <c r="M1622" s="83" t="n"/>
      <c r="N1622" s="83" t="n"/>
      <c r="O1622" s="66">
        <f>IF(OR($M1622="",$N1622=""),"",$N1622-$M1622)</f>
        <v/>
      </c>
      <c r="P1622" s="84">
        <f>IF($J1622="","",IF($L1622&lt;&gt;"",$L1622-$J1622,TODAY()-$J1622))</f>
        <v/>
      </c>
      <c r="Q1622" s="85">
        <f>IF(OR($K1622="",$H1622="Completed",$H1622="Cancelled"),"",IF(AND($K1622&lt;TODAY(),$H1622&lt;&gt;"Completed",$H1622&lt;&gt;"Cancelled"),"Overdue","On Track"))</f>
        <v/>
      </c>
      <c r="R1622" s="81" t="n"/>
      <c r="S1622" s="81">
        <f>IF($B1622="","",IFERROR(INDEX(Task_Tracker!$AA$5:$AA$1004,MATCH($B1622,Task_Tracker!$A$5:$A$1004,0)),""))</f>
        <v/>
      </c>
      <c r="T1622" s="81">
        <f>IF($B1622="","",IFERROR(INDEX(Task_Tracker!$AB$5:$AB$1004,MATCH($B1622,Task_Tracker!$A$5:$A$1004,0)),""))</f>
        <v/>
      </c>
      <c r="U1622" s="78">
        <f>IF($B1622="","",IFERROR(INDEX(Task_Tracker!$F$5:$F$1004,MATCH($B1622,Task_Tracker!$A$5:$A$1004,0)),""))</f>
        <v/>
      </c>
      <c r="V1622" s="78">
        <f>IF($B1622="","",IFERROR(INDEX(Task_Tracker!$I$5:$I$1004,MATCH($B1622,Task_Tracker!$A$5:$A$1004,0)),""))</f>
        <v/>
      </c>
      <c r="W1622" s="81">
        <f>IF(OR($D1622="",$B1622=""),"",$D1622&amp;" | "&amp;$B1622)</f>
        <v/>
      </c>
      <c r="X1622" s="85">
        <f>IF($K1622="","",TEXT($K1622,"yyyy-mm"))</f>
        <v/>
      </c>
      <c r="Y1622" s="81">
        <f>IF(OR($A1622="",$T1622=""),"","Included in Manager_Report")</f>
        <v/>
      </c>
    </row>
    <row r="1623" ht="15" customHeight="1" s="40">
      <c r="A1623" s="65">
        <f>IF(COUNTA(B1623:G1623)=0,"","STP-"&amp;TEXT(ROW()-4,"0000"))</f>
        <v/>
      </c>
      <c r="B1623" s="78" t="n"/>
      <c r="C1623" s="67">
        <f>IF($B1623="","",IFERROR(INDEX(Task_Tracker!$D$5:$D$1004,MATCH($B1623,Task_Tracker!$A$5:$A$1004,0)),""))</f>
        <v/>
      </c>
      <c r="D1623" s="67">
        <f>IF($B1623="","",IFERROR(INDEX(Task_Tracker!$B$5:$B$1004,MATCH($B1623,Task_Tracker!$A$5:$A$1004,0)),""))</f>
        <v/>
      </c>
      <c r="E1623" s="81" t="n"/>
      <c r="F1623" s="81" t="n"/>
      <c r="G1623" s="78" t="n"/>
      <c r="H1623" s="78" t="n"/>
      <c r="I1623" s="67">
        <f>IF($H1623="","",IFERROR(INDEX(Action_Status_Map!$B$5:$B$11,MATCH($H1623,Action_Status_Map!$A$5:$A$11,0)),""))</f>
        <v/>
      </c>
      <c r="J1623" s="82" t="n"/>
      <c r="K1623" s="82" t="n"/>
      <c r="L1623" s="82" t="n"/>
      <c r="M1623" s="83" t="n"/>
      <c r="N1623" s="83" t="n"/>
      <c r="O1623" s="66">
        <f>IF(OR($M1623="",$N1623=""),"",$N1623-$M1623)</f>
        <v/>
      </c>
      <c r="P1623" s="84">
        <f>IF($J1623="","",IF($L1623&lt;&gt;"",$L1623-$J1623,TODAY()-$J1623))</f>
        <v/>
      </c>
      <c r="Q1623" s="85">
        <f>IF(OR($K1623="",$H1623="Completed",$H1623="Cancelled"),"",IF(AND($K1623&lt;TODAY(),$H1623&lt;&gt;"Completed",$H1623&lt;&gt;"Cancelled"),"Overdue","On Track"))</f>
        <v/>
      </c>
      <c r="R1623" s="81" t="n"/>
      <c r="S1623" s="81">
        <f>IF($B1623="","",IFERROR(INDEX(Task_Tracker!$AA$5:$AA$1004,MATCH($B1623,Task_Tracker!$A$5:$A$1004,0)),""))</f>
        <v/>
      </c>
      <c r="T1623" s="81">
        <f>IF($B1623="","",IFERROR(INDEX(Task_Tracker!$AB$5:$AB$1004,MATCH($B1623,Task_Tracker!$A$5:$A$1004,0)),""))</f>
        <v/>
      </c>
      <c r="U1623" s="78">
        <f>IF($B1623="","",IFERROR(INDEX(Task_Tracker!$F$5:$F$1004,MATCH($B1623,Task_Tracker!$A$5:$A$1004,0)),""))</f>
        <v/>
      </c>
      <c r="V1623" s="78">
        <f>IF($B1623="","",IFERROR(INDEX(Task_Tracker!$I$5:$I$1004,MATCH($B1623,Task_Tracker!$A$5:$A$1004,0)),""))</f>
        <v/>
      </c>
      <c r="W1623" s="81">
        <f>IF(OR($D1623="",$B1623=""),"",$D1623&amp;" | "&amp;$B1623)</f>
        <v/>
      </c>
      <c r="X1623" s="85">
        <f>IF($K1623="","",TEXT($K1623,"yyyy-mm"))</f>
        <v/>
      </c>
      <c r="Y1623" s="81">
        <f>IF(OR($A1623="",$T1623=""),"","Included in Manager_Report")</f>
        <v/>
      </c>
    </row>
    <row r="1624" ht="15" customHeight="1" s="40">
      <c r="A1624" s="65">
        <f>IF(COUNTA(B1624:G1624)=0,"","STP-"&amp;TEXT(ROW()-4,"0000"))</f>
        <v/>
      </c>
      <c r="B1624" s="78" t="n"/>
      <c r="C1624" s="67">
        <f>IF($B1624="","",IFERROR(INDEX(Task_Tracker!$D$5:$D$1004,MATCH($B1624,Task_Tracker!$A$5:$A$1004,0)),""))</f>
        <v/>
      </c>
      <c r="D1624" s="67">
        <f>IF($B1624="","",IFERROR(INDEX(Task_Tracker!$B$5:$B$1004,MATCH($B1624,Task_Tracker!$A$5:$A$1004,0)),""))</f>
        <v/>
      </c>
      <c r="E1624" s="81" t="n"/>
      <c r="F1624" s="81" t="n"/>
      <c r="G1624" s="78" t="n"/>
      <c r="H1624" s="78" t="n"/>
      <c r="I1624" s="67">
        <f>IF($H1624="","",IFERROR(INDEX(Action_Status_Map!$B$5:$B$11,MATCH($H1624,Action_Status_Map!$A$5:$A$11,0)),""))</f>
        <v/>
      </c>
      <c r="J1624" s="82" t="n"/>
      <c r="K1624" s="82" t="n"/>
      <c r="L1624" s="82" t="n"/>
      <c r="M1624" s="83" t="n"/>
      <c r="N1624" s="83" t="n"/>
      <c r="O1624" s="66">
        <f>IF(OR($M1624="",$N1624=""),"",$N1624-$M1624)</f>
        <v/>
      </c>
      <c r="P1624" s="84">
        <f>IF($J1624="","",IF($L1624&lt;&gt;"",$L1624-$J1624,TODAY()-$J1624))</f>
        <v/>
      </c>
      <c r="Q1624" s="85">
        <f>IF(OR($K1624="",$H1624="Completed",$H1624="Cancelled"),"",IF(AND($K1624&lt;TODAY(),$H1624&lt;&gt;"Completed",$H1624&lt;&gt;"Cancelled"),"Overdue","On Track"))</f>
        <v/>
      </c>
      <c r="R1624" s="81" t="n"/>
      <c r="S1624" s="81">
        <f>IF($B1624="","",IFERROR(INDEX(Task_Tracker!$AA$5:$AA$1004,MATCH($B1624,Task_Tracker!$A$5:$A$1004,0)),""))</f>
        <v/>
      </c>
      <c r="T1624" s="81">
        <f>IF($B1624="","",IFERROR(INDEX(Task_Tracker!$AB$5:$AB$1004,MATCH($B1624,Task_Tracker!$A$5:$A$1004,0)),""))</f>
        <v/>
      </c>
      <c r="U1624" s="78">
        <f>IF($B1624="","",IFERROR(INDEX(Task_Tracker!$F$5:$F$1004,MATCH($B1624,Task_Tracker!$A$5:$A$1004,0)),""))</f>
        <v/>
      </c>
      <c r="V1624" s="78">
        <f>IF($B1624="","",IFERROR(INDEX(Task_Tracker!$I$5:$I$1004,MATCH($B1624,Task_Tracker!$A$5:$A$1004,0)),""))</f>
        <v/>
      </c>
      <c r="W1624" s="81">
        <f>IF(OR($D1624="",$B1624=""),"",$D1624&amp;" | "&amp;$B1624)</f>
        <v/>
      </c>
      <c r="X1624" s="85">
        <f>IF($K1624="","",TEXT($K1624,"yyyy-mm"))</f>
        <v/>
      </c>
      <c r="Y1624" s="81">
        <f>IF(OR($A1624="",$T1624=""),"","Included in Manager_Report")</f>
        <v/>
      </c>
    </row>
    <row r="1625" ht="15" customHeight="1" s="40">
      <c r="A1625" s="65">
        <f>IF(COUNTA(B1625:G1625)=0,"","STP-"&amp;TEXT(ROW()-4,"0000"))</f>
        <v/>
      </c>
      <c r="B1625" s="78" t="n"/>
      <c r="C1625" s="67">
        <f>IF($B1625="","",IFERROR(INDEX(Task_Tracker!$D$5:$D$1004,MATCH($B1625,Task_Tracker!$A$5:$A$1004,0)),""))</f>
        <v/>
      </c>
      <c r="D1625" s="67">
        <f>IF($B1625="","",IFERROR(INDEX(Task_Tracker!$B$5:$B$1004,MATCH($B1625,Task_Tracker!$A$5:$A$1004,0)),""))</f>
        <v/>
      </c>
      <c r="E1625" s="81" t="n"/>
      <c r="F1625" s="81" t="n"/>
      <c r="G1625" s="78" t="n"/>
      <c r="H1625" s="78" t="n"/>
      <c r="I1625" s="67">
        <f>IF($H1625="","",IFERROR(INDEX(Action_Status_Map!$B$5:$B$11,MATCH($H1625,Action_Status_Map!$A$5:$A$11,0)),""))</f>
        <v/>
      </c>
      <c r="J1625" s="82" t="n"/>
      <c r="K1625" s="82" t="n"/>
      <c r="L1625" s="82" t="n"/>
      <c r="M1625" s="83" t="n"/>
      <c r="N1625" s="83" t="n"/>
      <c r="O1625" s="66">
        <f>IF(OR($M1625="",$N1625=""),"",$N1625-$M1625)</f>
        <v/>
      </c>
      <c r="P1625" s="84">
        <f>IF($J1625="","",IF($L1625&lt;&gt;"",$L1625-$J1625,TODAY()-$J1625))</f>
        <v/>
      </c>
      <c r="Q1625" s="85">
        <f>IF(OR($K1625="",$H1625="Completed",$H1625="Cancelled"),"",IF(AND($K1625&lt;TODAY(),$H1625&lt;&gt;"Completed",$H1625&lt;&gt;"Cancelled"),"Overdue","On Track"))</f>
        <v/>
      </c>
      <c r="R1625" s="81" t="n"/>
      <c r="S1625" s="81">
        <f>IF($B1625="","",IFERROR(INDEX(Task_Tracker!$AA$5:$AA$1004,MATCH($B1625,Task_Tracker!$A$5:$A$1004,0)),""))</f>
        <v/>
      </c>
      <c r="T1625" s="81">
        <f>IF($B1625="","",IFERROR(INDEX(Task_Tracker!$AB$5:$AB$1004,MATCH($B1625,Task_Tracker!$A$5:$A$1004,0)),""))</f>
        <v/>
      </c>
      <c r="U1625" s="78">
        <f>IF($B1625="","",IFERROR(INDEX(Task_Tracker!$F$5:$F$1004,MATCH($B1625,Task_Tracker!$A$5:$A$1004,0)),""))</f>
        <v/>
      </c>
      <c r="V1625" s="78">
        <f>IF($B1625="","",IFERROR(INDEX(Task_Tracker!$I$5:$I$1004,MATCH($B1625,Task_Tracker!$A$5:$A$1004,0)),""))</f>
        <v/>
      </c>
      <c r="W1625" s="81">
        <f>IF(OR($D1625="",$B1625=""),"",$D1625&amp;" | "&amp;$B1625)</f>
        <v/>
      </c>
      <c r="X1625" s="85">
        <f>IF($K1625="","",TEXT($K1625,"yyyy-mm"))</f>
        <v/>
      </c>
      <c r="Y1625" s="81">
        <f>IF(OR($A1625="",$T1625=""),"","Included in Manager_Report")</f>
        <v/>
      </c>
    </row>
    <row r="1626" ht="15" customHeight="1" s="40">
      <c r="A1626" s="65">
        <f>IF(COUNTA(B1626:G1626)=0,"","STP-"&amp;TEXT(ROW()-4,"0000"))</f>
        <v/>
      </c>
      <c r="B1626" s="78" t="n"/>
      <c r="C1626" s="67">
        <f>IF($B1626="","",IFERROR(INDEX(Task_Tracker!$D$5:$D$1004,MATCH($B1626,Task_Tracker!$A$5:$A$1004,0)),""))</f>
        <v/>
      </c>
      <c r="D1626" s="67">
        <f>IF($B1626="","",IFERROR(INDEX(Task_Tracker!$B$5:$B$1004,MATCH($B1626,Task_Tracker!$A$5:$A$1004,0)),""))</f>
        <v/>
      </c>
      <c r="E1626" s="81" t="n"/>
      <c r="F1626" s="81" t="n"/>
      <c r="G1626" s="78" t="n"/>
      <c r="H1626" s="78" t="n"/>
      <c r="I1626" s="67">
        <f>IF($H1626="","",IFERROR(INDEX(Action_Status_Map!$B$5:$B$11,MATCH($H1626,Action_Status_Map!$A$5:$A$11,0)),""))</f>
        <v/>
      </c>
      <c r="J1626" s="82" t="n"/>
      <c r="K1626" s="82" t="n"/>
      <c r="L1626" s="82" t="n"/>
      <c r="M1626" s="83" t="n"/>
      <c r="N1626" s="83" t="n"/>
      <c r="O1626" s="66">
        <f>IF(OR($M1626="",$N1626=""),"",$N1626-$M1626)</f>
        <v/>
      </c>
      <c r="P1626" s="84">
        <f>IF($J1626="","",IF($L1626&lt;&gt;"",$L1626-$J1626,TODAY()-$J1626))</f>
        <v/>
      </c>
      <c r="Q1626" s="85">
        <f>IF(OR($K1626="",$H1626="Completed",$H1626="Cancelled"),"",IF(AND($K1626&lt;TODAY(),$H1626&lt;&gt;"Completed",$H1626&lt;&gt;"Cancelled"),"Overdue","On Track"))</f>
        <v/>
      </c>
      <c r="R1626" s="81" t="n"/>
      <c r="S1626" s="81">
        <f>IF($B1626="","",IFERROR(INDEX(Task_Tracker!$AA$5:$AA$1004,MATCH($B1626,Task_Tracker!$A$5:$A$1004,0)),""))</f>
        <v/>
      </c>
      <c r="T1626" s="81">
        <f>IF($B1626="","",IFERROR(INDEX(Task_Tracker!$AB$5:$AB$1004,MATCH($B1626,Task_Tracker!$A$5:$A$1004,0)),""))</f>
        <v/>
      </c>
      <c r="U1626" s="78">
        <f>IF($B1626="","",IFERROR(INDEX(Task_Tracker!$F$5:$F$1004,MATCH($B1626,Task_Tracker!$A$5:$A$1004,0)),""))</f>
        <v/>
      </c>
      <c r="V1626" s="78">
        <f>IF($B1626="","",IFERROR(INDEX(Task_Tracker!$I$5:$I$1004,MATCH($B1626,Task_Tracker!$A$5:$A$1004,0)),""))</f>
        <v/>
      </c>
      <c r="W1626" s="81">
        <f>IF(OR($D1626="",$B1626=""),"",$D1626&amp;" | "&amp;$B1626)</f>
        <v/>
      </c>
      <c r="X1626" s="85">
        <f>IF($K1626="","",TEXT($K1626,"yyyy-mm"))</f>
        <v/>
      </c>
      <c r="Y1626" s="81">
        <f>IF(OR($A1626="",$T1626=""),"","Included in Manager_Report")</f>
        <v/>
      </c>
    </row>
    <row r="1627" ht="15" customHeight="1" s="40">
      <c r="A1627" s="65">
        <f>IF(COUNTA(B1627:G1627)=0,"","STP-"&amp;TEXT(ROW()-4,"0000"))</f>
        <v/>
      </c>
      <c r="B1627" s="78" t="n"/>
      <c r="C1627" s="67">
        <f>IF($B1627="","",IFERROR(INDEX(Task_Tracker!$D$5:$D$1004,MATCH($B1627,Task_Tracker!$A$5:$A$1004,0)),""))</f>
        <v/>
      </c>
      <c r="D1627" s="67">
        <f>IF($B1627="","",IFERROR(INDEX(Task_Tracker!$B$5:$B$1004,MATCH($B1627,Task_Tracker!$A$5:$A$1004,0)),""))</f>
        <v/>
      </c>
      <c r="E1627" s="81" t="n"/>
      <c r="F1627" s="81" t="n"/>
      <c r="G1627" s="78" t="n"/>
      <c r="H1627" s="78" t="n"/>
      <c r="I1627" s="67">
        <f>IF($H1627="","",IFERROR(INDEX(Action_Status_Map!$B$5:$B$11,MATCH($H1627,Action_Status_Map!$A$5:$A$11,0)),""))</f>
        <v/>
      </c>
      <c r="J1627" s="82" t="n"/>
      <c r="K1627" s="82" t="n"/>
      <c r="L1627" s="82" t="n"/>
      <c r="M1627" s="83" t="n"/>
      <c r="N1627" s="83" t="n"/>
      <c r="O1627" s="66">
        <f>IF(OR($M1627="",$N1627=""),"",$N1627-$M1627)</f>
        <v/>
      </c>
      <c r="P1627" s="84">
        <f>IF($J1627="","",IF($L1627&lt;&gt;"",$L1627-$J1627,TODAY()-$J1627))</f>
        <v/>
      </c>
      <c r="Q1627" s="85">
        <f>IF(OR($K1627="",$H1627="Completed",$H1627="Cancelled"),"",IF(AND($K1627&lt;TODAY(),$H1627&lt;&gt;"Completed",$H1627&lt;&gt;"Cancelled"),"Overdue","On Track"))</f>
        <v/>
      </c>
      <c r="R1627" s="81" t="n"/>
      <c r="S1627" s="81">
        <f>IF($B1627="","",IFERROR(INDEX(Task_Tracker!$AA$5:$AA$1004,MATCH($B1627,Task_Tracker!$A$5:$A$1004,0)),""))</f>
        <v/>
      </c>
      <c r="T1627" s="81">
        <f>IF($B1627="","",IFERROR(INDEX(Task_Tracker!$AB$5:$AB$1004,MATCH($B1627,Task_Tracker!$A$5:$A$1004,0)),""))</f>
        <v/>
      </c>
      <c r="U1627" s="78">
        <f>IF($B1627="","",IFERROR(INDEX(Task_Tracker!$F$5:$F$1004,MATCH($B1627,Task_Tracker!$A$5:$A$1004,0)),""))</f>
        <v/>
      </c>
      <c r="V1627" s="78">
        <f>IF($B1627="","",IFERROR(INDEX(Task_Tracker!$I$5:$I$1004,MATCH($B1627,Task_Tracker!$A$5:$A$1004,0)),""))</f>
        <v/>
      </c>
      <c r="W1627" s="81">
        <f>IF(OR($D1627="",$B1627=""),"",$D1627&amp;" | "&amp;$B1627)</f>
        <v/>
      </c>
      <c r="X1627" s="85">
        <f>IF($K1627="","",TEXT($K1627,"yyyy-mm"))</f>
        <v/>
      </c>
      <c r="Y1627" s="81">
        <f>IF(OR($A1627="",$T1627=""),"","Included in Manager_Report")</f>
        <v/>
      </c>
    </row>
    <row r="1628" ht="15" customHeight="1" s="40">
      <c r="A1628" s="65">
        <f>IF(COUNTA(B1628:G1628)=0,"","STP-"&amp;TEXT(ROW()-4,"0000"))</f>
        <v/>
      </c>
      <c r="B1628" s="78" t="n"/>
      <c r="C1628" s="67">
        <f>IF($B1628="","",IFERROR(INDEX(Task_Tracker!$D$5:$D$1004,MATCH($B1628,Task_Tracker!$A$5:$A$1004,0)),""))</f>
        <v/>
      </c>
      <c r="D1628" s="67">
        <f>IF($B1628="","",IFERROR(INDEX(Task_Tracker!$B$5:$B$1004,MATCH($B1628,Task_Tracker!$A$5:$A$1004,0)),""))</f>
        <v/>
      </c>
      <c r="E1628" s="81" t="n"/>
      <c r="F1628" s="81" t="n"/>
      <c r="G1628" s="78" t="n"/>
      <c r="H1628" s="78" t="n"/>
      <c r="I1628" s="67">
        <f>IF($H1628="","",IFERROR(INDEX(Action_Status_Map!$B$5:$B$11,MATCH($H1628,Action_Status_Map!$A$5:$A$11,0)),""))</f>
        <v/>
      </c>
      <c r="J1628" s="82" t="n"/>
      <c r="K1628" s="82" t="n"/>
      <c r="L1628" s="82" t="n"/>
      <c r="M1628" s="83" t="n"/>
      <c r="N1628" s="83" t="n"/>
      <c r="O1628" s="66">
        <f>IF(OR($M1628="",$N1628=""),"",$N1628-$M1628)</f>
        <v/>
      </c>
      <c r="P1628" s="84">
        <f>IF($J1628="","",IF($L1628&lt;&gt;"",$L1628-$J1628,TODAY()-$J1628))</f>
        <v/>
      </c>
      <c r="Q1628" s="85">
        <f>IF(OR($K1628="",$H1628="Completed",$H1628="Cancelled"),"",IF(AND($K1628&lt;TODAY(),$H1628&lt;&gt;"Completed",$H1628&lt;&gt;"Cancelled"),"Overdue","On Track"))</f>
        <v/>
      </c>
      <c r="R1628" s="81" t="n"/>
      <c r="S1628" s="81">
        <f>IF($B1628="","",IFERROR(INDEX(Task_Tracker!$AA$5:$AA$1004,MATCH($B1628,Task_Tracker!$A$5:$A$1004,0)),""))</f>
        <v/>
      </c>
      <c r="T1628" s="81">
        <f>IF($B1628="","",IFERROR(INDEX(Task_Tracker!$AB$5:$AB$1004,MATCH($B1628,Task_Tracker!$A$5:$A$1004,0)),""))</f>
        <v/>
      </c>
      <c r="U1628" s="78">
        <f>IF($B1628="","",IFERROR(INDEX(Task_Tracker!$F$5:$F$1004,MATCH($B1628,Task_Tracker!$A$5:$A$1004,0)),""))</f>
        <v/>
      </c>
      <c r="V1628" s="78">
        <f>IF($B1628="","",IFERROR(INDEX(Task_Tracker!$I$5:$I$1004,MATCH($B1628,Task_Tracker!$A$5:$A$1004,0)),""))</f>
        <v/>
      </c>
      <c r="W1628" s="81">
        <f>IF(OR($D1628="",$B1628=""),"",$D1628&amp;" | "&amp;$B1628)</f>
        <v/>
      </c>
      <c r="X1628" s="85">
        <f>IF($K1628="","",TEXT($K1628,"yyyy-mm"))</f>
        <v/>
      </c>
      <c r="Y1628" s="81">
        <f>IF(OR($A1628="",$T1628=""),"","Included in Manager_Report")</f>
        <v/>
      </c>
    </row>
    <row r="1629" ht="15" customHeight="1" s="40">
      <c r="A1629" s="65">
        <f>IF(COUNTA(B1629:G1629)=0,"","STP-"&amp;TEXT(ROW()-4,"0000"))</f>
        <v/>
      </c>
      <c r="B1629" s="78" t="n"/>
      <c r="C1629" s="67">
        <f>IF($B1629="","",IFERROR(INDEX(Task_Tracker!$D$5:$D$1004,MATCH($B1629,Task_Tracker!$A$5:$A$1004,0)),""))</f>
        <v/>
      </c>
      <c r="D1629" s="67">
        <f>IF($B1629="","",IFERROR(INDEX(Task_Tracker!$B$5:$B$1004,MATCH($B1629,Task_Tracker!$A$5:$A$1004,0)),""))</f>
        <v/>
      </c>
      <c r="E1629" s="81" t="n"/>
      <c r="F1629" s="81" t="n"/>
      <c r="G1629" s="78" t="n"/>
      <c r="H1629" s="78" t="n"/>
      <c r="I1629" s="67">
        <f>IF($H1629="","",IFERROR(INDEX(Action_Status_Map!$B$5:$B$11,MATCH($H1629,Action_Status_Map!$A$5:$A$11,0)),""))</f>
        <v/>
      </c>
      <c r="J1629" s="82" t="n"/>
      <c r="K1629" s="82" t="n"/>
      <c r="L1629" s="82" t="n"/>
      <c r="M1629" s="83" t="n"/>
      <c r="N1629" s="83" t="n"/>
      <c r="O1629" s="66">
        <f>IF(OR($M1629="",$N1629=""),"",$N1629-$M1629)</f>
        <v/>
      </c>
      <c r="P1629" s="84">
        <f>IF($J1629="","",IF($L1629&lt;&gt;"",$L1629-$J1629,TODAY()-$J1629))</f>
        <v/>
      </c>
      <c r="Q1629" s="85">
        <f>IF(OR($K1629="",$H1629="Completed",$H1629="Cancelled"),"",IF(AND($K1629&lt;TODAY(),$H1629&lt;&gt;"Completed",$H1629&lt;&gt;"Cancelled"),"Overdue","On Track"))</f>
        <v/>
      </c>
      <c r="R1629" s="81" t="n"/>
      <c r="S1629" s="81">
        <f>IF($B1629="","",IFERROR(INDEX(Task_Tracker!$AA$5:$AA$1004,MATCH($B1629,Task_Tracker!$A$5:$A$1004,0)),""))</f>
        <v/>
      </c>
      <c r="T1629" s="81">
        <f>IF($B1629="","",IFERROR(INDEX(Task_Tracker!$AB$5:$AB$1004,MATCH($B1629,Task_Tracker!$A$5:$A$1004,0)),""))</f>
        <v/>
      </c>
      <c r="U1629" s="78">
        <f>IF($B1629="","",IFERROR(INDEX(Task_Tracker!$F$5:$F$1004,MATCH($B1629,Task_Tracker!$A$5:$A$1004,0)),""))</f>
        <v/>
      </c>
      <c r="V1629" s="78">
        <f>IF($B1629="","",IFERROR(INDEX(Task_Tracker!$I$5:$I$1004,MATCH($B1629,Task_Tracker!$A$5:$A$1004,0)),""))</f>
        <v/>
      </c>
      <c r="W1629" s="81">
        <f>IF(OR($D1629="",$B1629=""),"",$D1629&amp;" | "&amp;$B1629)</f>
        <v/>
      </c>
      <c r="X1629" s="85">
        <f>IF($K1629="","",TEXT($K1629,"yyyy-mm"))</f>
        <v/>
      </c>
      <c r="Y1629" s="81">
        <f>IF(OR($A1629="",$T1629=""),"","Included in Manager_Report")</f>
        <v/>
      </c>
    </row>
    <row r="1630" ht="15" customHeight="1" s="40">
      <c r="A1630" s="65">
        <f>IF(COUNTA(B1630:G1630)=0,"","STP-"&amp;TEXT(ROW()-4,"0000"))</f>
        <v/>
      </c>
      <c r="B1630" s="78" t="n"/>
      <c r="C1630" s="67">
        <f>IF($B1630="","",IFERROR(INDEX(Task_Tracker!$D$5:$D$1004,MATCH($B1630,Task_Tracker!$A$5:$A$1004,0)),""))</f>
        <v/>
      </c>
      <c r="D1630" s="67">
        <f>IF($B1630="","",IFERROR(INDEX(Task_Tracker!$B$5:$B$1004,MATCH($B1630,Task_Tracker!$A$5:$A$1004,0)),""))</f>
        <v/>
      </c>
      <c r="E1630" s="81" t="n"/>
      <c r="F1630" s="81" t="n"/>
      <c r="G1630" s="78" t="n"/>
      <c r="H1630" s="78" t="n"/>
      <c r="I1630" s="67">
        <f>IF($H1630="","",IFERROR(INDEX(Action_Status_Map!$B$5:$B$11,MATCH($H1630,Action_Status_Map!$A$5:$A$11,0)),""))</f>
        <v/>
      </c>
      <c r="J1630" s="82" t="n"/>
      <c r="K1630" s="82" t="n"/>
      <c r="L1630" s="82" t="n"/>
      <c r="M1630" s="83" t="n"/>
      <c r="N1630" s="83" t="n"/>
      <c r="O1630" s="66">
        <f>IF(OR($M1630="",$N1630=""),"",$N1630-$M1630)</f>
        <v/>
      </c>
      <c r="P1630" s="84">
        <f>IF($J1630="","",IF($L1630&lt;&gt;"",$L1630-$J1630,TODAY()-$J1630))</f>
        <v/>
      </c>
      <c r="Q1630" s="85">
        <f>IF(OR($K1630="",$H1630="Completed",$H1630="Cancelled"),"",IF(AND($K1630&lt;TODAY(),$H1630&lt;&gt;"Completed",$H1630&lt;&gt;"Cancelled"),"Overdue","On Track"))</f>
        <v/>
      </c>
      <c r="R1630" s="81" t="n"/>
      <c r="S1630" s="81">
        <f>IF($B1630="","",IFERROR(INDEX(Task_Tracker!$AA$5:$AA$1004,MATCH($B1630,Task_Tracker!$A$5:$A$1004,0)),""))</f>
        <v/>
      </c>
      <c r="T1630" s="81">
        <f>IF($B1630="","",IFERROR(INDEX(Task_Tracker!$AB$5:$AB$1004,MATCH($B1630,Task_Tracker!$A$5:$A$1004,0)),""))</f>
        <v/>
      </c>
      <c r="U1630" s="78">
        <f>IF($B1630="","",IFERROR(INDEX(Task_Tracker!$F$5:$F$1004,MATCH($B1630,Task_Tracker!$A$5:$A$1004,0)),""))</f>
        <v/>
      </c>
      <c r="V1630" s="78">
        <f>IF($B1630="","",IFERROR(INDEX(Task_Tracker!$I$5:$I$1004,MATCH($B1630,Task_Tracker!$A$5:$A$1004,0)),""))</f>
        <v/>
      </c>
      <c r="W1630" s="81">
        <f>IF(OR($D1630="",$B1630=""),"",$D1630&amp;" | "&amp;$B1630)</f>
        <v/>
      </c>
      <c r="X1630" s="85">
        <f>IF($K1630="","",TEXT($K1630,"yyyy-mm"))</f>
        <v/>
      </c>
      <c r="Y1630" s="81">
        <f>IF(OR($A1630="",$T1630=""),"","Included in Manager_Report")</f>
        <v/>
      </c>
    </row>
    <row r="1631" ht="15" customHeight="1" s="40">
      <c r="A1631" s="65">
        <f>IF(COUNTA(B1631:G1631)=0,"","STP-"&amp;TEXT(ROW()-4,"0000"))</f>
        <v/>
      </c>
      <c r="B1631" s="78" t="n"/>
      <c r="C1631" s="67">
        <f>IF($B1631="","",IFERROR(INDEX(Task_Tracker!$D$5:$D$1004,MATCH($B1631,Task_Tracker!$A$5:$A$1004,0)),""))</f>
        <v/>
      </c>
      <c r="D1631" s="67">
        <f>IF($B1631="","",IFERROR(INDEX(Task_Tracker!$B$5:$B$1004,MATCH($B1631,Task_Tracker!$A$5:$A$1004,0)),""))</f>
        <v/>
      </c>
      <c r="E1631" s="81" t="n"/>
      <c r="F1631" s="81" t="n"/>
      <c r="G1631" s="78" t="n"/>
      <c r="H1631" s="78" t="n"/>
      <c r="I1631" s="67">
        <f>IF($H1631="","",IFERROR(INDEX(Action_Status_Map!$B$5:$B$11,MATCH($H1631,Action_Status_Map!$A$5:$A$11,0)),""))</f>
        <v/>
      </c>
      <c r="J1631" s="82" t="n"/>
      <c r="K1631" s="82" t="n"/>
      <c r="L1631" s="82" t="n"/>
      <c r="M1631" s="83" t="n"/>
      <c r="N1631" s="83" t="n"/>
      <c r="O1631" s="66">
        <f>IF(OR($M1631="",$N1631=""),"",$N1631-$M1631)</f>
        <v/>
      </c>
      <c r="P1631" s="84">
        <f>IF($J1631="","",IF($L1631&lt;&gt;"",$L1631-$J1631,TODAY()-$J1631))</f>
        <v/>
      </c>
      <c r="Q1631" s="85">
        <f>IF(OR($K1631="",$H1631="Completed",$H1631="Cancelled"),"",IF(AND($K1631&lt;TODAY(),$H1631&lt;&gt;"Completed",$H1631&lt;&gt;"Cancelled"),"Overdue","On Track"))</f>
        <v/>
      </c>
      <c r="R1631" s="81" t="n"/>
      <c r="S1631" s="81">
        <f>IF($B1631="","",IFERROR(INDEX(Task_Tracker!$AA$5:$AA$1004,MATCH($B1631,Task_Tracker!$A$5:$A$1004,0)),""))</f>
        <v/>
      </c>
      <c r="T1631" s="81">
        <f>IF($B1631="","",IFERROR(INDEX(Task_Tracker!$AB$5:$AB$1004,MATCH($B1631,Task_Tracker!$A$5:$A$1004,0)),""))</f>
        <v/>
      </c>
      <c r="U1631" s="78">
        <f>IF($B1631="","",IFERROR(INDEX(Task_Tracker!$F$5:$F$1004,MATCH($B1631,Task_Tracker!$A$5:$A$1004,0)),""))</f>
        <v/>
      </c>
      <c r="V1631" s="78">
        <f>IF($B1631="","",IFERROR(INDEX(Task_Tracker!$I$5:$I$1004,MATCH($B1631,Task_Tracker!$A$5:$A$1004,0)),""))</f>
        <v/>
      </c>
      <c r="W1631" s="81">
        <f>IF(OR($D1631="",$B1631=""),"",$D1631&amp;" | "&amp;$B1631)</f>
        <v/>
      </c>
      <c r="X1631" s="85">
        <f>IF($K1631="","",TEXT($K1631,"yyyy-mm"))</f>
        <v/>
      </c>
      <c r="Y1631" s="81">
        <f>IF(OR($A1631="",$T1631=""),"","Included in Manager_Report")</f>
        <v/>
      </c>
    </row>
    <row r="1632" ht="15" customHeight="1" s="40">
      <c r="A1632" s="65">
        <f>IF(COUNTA(B1632:G1632)=0,"","STP-"&amp;TEXT(ROW()-4,"0000"))</f>
        <v/>
      </c>
      <c r="B1632" s="78" t="n"/>
      <c r="C1632" s="67">
        <f>IF($B1632="","",IFERROR(INDEX(Task_Tracker!$D$5:$D$1004,MATCH($B1632,Task_Tracker!$A$5:$A$1004,0)),""))</f>
        <v/>
      </c>
      <c r="D1632" s="67">
        <f>IF($B1632="","",IFERROR(INDEX(Task_Tracker!$B$5:$B$1004,MATCH($B1632,Task_Tracker!$A$5:$A$1004,0)),""))</f>
        <v/>
      </c>
      <c r="E1632" s="81" t="n"/>
      <c r="F1632" s="81" t="n"/>
      <c r="G1632" s="78" t="n"/>
      <c r="H1632" s="78" t="n"/>
      <c r="I1632" s="67">
        <f>IF($H1632="","",IFERROR(INDEX(Action_Status_Map!$B$5:$B$11,MATCH($H1632,Action_Status_Map!$A$5:$A$11,0)),""))</f>
        <v/>
      </c>
      <c r="J1632" s="82" t="n"/>
      <c r="K1632" s="82" t="n"/>
      <c r="L1632" s="82" t="n"/>
      <c r="M1632" s="83" t="n"/>
      <c r="N1632" s="83" t="n"/>
      <c r="O1632" s="66">
        <f>IF(OR($M1632="",$N1632=""),"",$N1632-$M1632)</f>
        <v/>
      </c>
      <c r="P1632" s="84">
        <f>IF($J1632="","",IF($L1632&lt;&gt;"",$L1632-$J1632,TODAY()-$J1632))</f>
        <v/>
      </c>
      <c r="Q1632" s="85">
        <f>IF(OR($K1632="",$H1632="Completed",$H1632="Cancelled"),"",IF(AND($K1632&lt;TODAY(),$H1632&lt;&gt;"Completed",$H1632&lt;&gt;"Cancelled"),"Overdue","On Track"))</f>
        <v/>
      </c>
      <c r="R1632" s="81" t="n"/>
      <c r="S1632" s="81">
        <f>IF($B1632="","",IFERROR(INDEX(Task_Tracker!$AA$5:$AA$1004,MATCH($B1632,Task_Tracker!$A$5:$A$1004,0)),""))</f>
        <v/>
      </c>
      <c r="T1632" s="81">
        <f>IF($B1632="","",IFERROR(INDEX(Task_Tracker!$AB$5:$AB$1004,MATCH($B1632,Task_Tracker!$A$5:$A$1004,0)),""))</f>
        <v/>
      </c>
      <c r="U1632" s="78">
        <f>IF($B1632="","",IFERROR(INDEX(Task_Tracker!$F$5:$F$1004,MATCH($B1632,Task_Tracker!$A$5:$A$1004,0)),""))</f>
        <v/>
      </c>
      <c r="V1632" s="78">
        <f>IF($B1632="","",IFERROR(INDEX(Task_Tracker!$I$5:$I$1004,MATCH($B1632,Task_Tracker!$A$5:$A$1004,0)),""))</f>
        <v/>
      </c>
      <c r="W1632" s="81">
        <f>IF(OR($D1632="",$B1632=""),"",$D1632&amp;" | "&amp;$B1632)</f>
        <v/>
      </c>
      <c r="X1632" s="85">
        <f>IF($K1632="","",TEXT($K1632,"yyyy-mm"))</f>
        <v/>
      </c>
      <c r="Y1632" s="81">
        <f>IF(OR($A1632="",$T1632=""),"","Included in Manager_Report")</f>
        <v/>
      </c>
    </row>
    <row r="1633" ht="15" customHeight="1" s="40">
      <c r="A1633" s="65">
        <f>IF(COUNTA(B1633:G1633)=0,"","STP-"&amp;TEXT(ROW()-4,"0000"))</f>
        <v/>
      </c>
      <c r="B1633" s="78" t="n"/>
      <c r="C1633" s="67">
        <f>IF($B1633="","",IFERROR(INDEX(Task_Tracker!$D$5:$D$1004,MATCH($B1633,Task_Tracker!$A$5:$A$1004,0)),""))</f>
        <v/>
      </c>
      <c r="D1633" s="67">
        <f>IF($B1633="","",IFERROR(INDEX(Task_Tracker!$B$5:$B$1004,MATCH($B1633,Task_Tracker!$A$5:$A$1004,0)),""))</f>
        <v/>
      </c>
      <c r="E1633" s="81" t="n"/>
      <c r="F1633" s="81" t="n"/>
      <c r="G1633" s="78" t="n"/>
      <c r="H1633" s="78" t="n"/>
      <c r="I1633" s="67">
        <f>IF($H1633="","",IFERROR(INDEX(Action_Status_Map!$B$5:$B$11,MATCH($H1633,Action_Status_Map!$A$5:$A$11,0)),""))</f>
        <v/>
      </c>
      <c r="J1633" s="82" t="n"/>
      <c r="K1633" s="82" t="n"/>
      <c r="L1633" s="82" t="n"/>
      <c r="M1633" s="83" t="n"/>
      <c r="N1633" s="83" t="n"/>
      <c r="O1633" s="66">
        <f>IF(OR($M1633="",$N1633=""),"",$N1633-$M1633)</f>
        <v/>
      </c>
      <c r="P1633" s="84">
        <f>IF($J1633="","",IF($L1633&lt;&gt;"",$L1633-$J1633,TODAY()-$J1633))</f>
        <v/>
      </c>
      <c r="Q1633" s="85">
        <f>IF(OR($K1633="",$H1633="Completed",$H1633="Cancelled"),"",IF(AND($K1633&lt;TODAY(),$H1633&lt;&gt;"Completed",$H1633&lt;&gt;"Cancelled"),"Overdue","On Track"))</f>
        <v/>
      </c>
      <c r="R1633" s="81" t="n"/>
      <c r="S1633" s="81">
        <f>IF($B1633="","",IFERROR(INDEX(Task_Tracker!$AA$5:$AA$1004,MATCH($B1633,Task_Tracker!$A$5:$A$1004,0)),""))</f>
        <v/>
      </c>
      <c r="T1633" s="81">
        <f>IF($B1633="","",IFERROR(INDEX(Task_Tracker!$AB$5:$AB$1004,MATCH($B1633,Task_Tracker!$A$5:$A$1004,0)),""))</f>
        <v/>
      </c>
      <c r="U1633" s="78">
        <f>IF($B1633="","",IFERROR(INDEX(Task_Tracker!$F$5:$F$1004,MATCH($B1633,Task_Tracker!$A$5:$A$1004,0)),""))</f>
        <v/>
      </c>
      <c r="V1633" s="78">
        <f>IF($B1633="","",IFERROR(INDEX(Task_Tracker!$I$5:$I$1004,MATCH($B1633,Task_Tracker!$A$5:$A$1004,0)),""))</f>
        <v/>
      </c>
      <c r="W1633" s="81">
        <f>IF(OR($D1633="",$B1633=""),"",$D1633&amp;" | "&amp;$B1633)</f>
        <v/>
      </c>
      <c r="X1633" s="85">
        <f>IF($K1633="","",TEXT($K1633,"yyyy-mm"))</f>
        <v/>
      </c>
      <c r="Y1633" s="81">
        <f>IF(OR($A1633="",$T1633=""),"","Included in Manager_Report")</f>
        <v/>
      </c>
    </row>
    <row r="1634" ht="15" customHeight="1" s="40">
      <c r="A1634" s="65">
        <f>IF(COUNTA(B1634:G1634)=0,"","STP-"&amp;TEXT(ROW()-4,"0000"))</f>
        <v/>
      </c>
      <c r="B1634" s="78" t="n"/>
      <c r="C1634" s="67">
        <f>IF($B1634="","",IFERROR(INDEX(Task_Tracker!$D$5:$D$1004,MATCH($B1634,Task_Tracker!$A$5:$A$1004,0)),""))</f>
        <v/>
      </c>
      <c r="D1634" s="67">
        <f>IF($B1634="","",IFERROR(INDEX(Task_Tracker!$B$5:$B$1004,MATCH($B1634,Task_Tracker!$A$5:$A$1004,0)),""))</f>
        <v/>
      </c>
      <c r="E1634" s="81" t="n"/>
      <c r="F1634" s="81" t="n"/>
      <c r="G1634" s="78" t="n"/>
      <c r="H1634" s="78" t="n"/>
      <c r="I1634" s="67">
        <f>IF($H1634="","",IFERROR(INDEX(Action_Status_Map!$B$5:$B$11,MATCH($H1634,Action_Status_Map!$A$5:$A$11,0)),""))</f>
        <v/>
      </c>
      <c r="J1634" s="82" t="n"/>
      <c r="K1634" s="82" t="n"/>
      <c r="L1634" s="82" t="n"/>
      <c r="M1634" s="83" t="n"/>
      <c r="N1634" s="83" t="n"/>
      <c r="O1634" s="66">
        <f>IF(OR($M1634="",$N1634=""),"",$N1634-$M1634)</f>
        <v/>
      </c>
      <c r="P1634" s="84">
        <f>IF($J1634="","",IF($L1634&lt;&gt;"",$L1634-$J1634,TODAY()-$J1634))</f>
        <v/>
      </c>
      <c r="Q1634" s="85">
        <f>IF(OR($K1634="",$H1634="Completed",$H1634="Cancelled"),"",IF(AND($K1634&lt;TODAY(),$H1634&lt;&gt;"Completed",$H1634&lt;&gt;"Cancelled"),"Overdue","On Track"))</f>
        <v/>
      </c>
      <c r="R1634" s="81" t="n"/>
      <c r="S1634" s="81">
        <f>IF($B1634="","",IFERROR(INDEX(Task_Tracker!$AA$5:$AA$1004,MATCH($B1634,Task_Tracker!$A$5:$A$1004,0)),""))</f>
        <v/>
      </c>
      <c r="T1634" s="81">
        <f>IF($B1634="","",IFERROR(INDEX(Task_Tracker!$AB$5:$AB$1004,MATCH($B1634,Task_Tracker!$A$5:$A$1004,0)),""))</f>
        <v/>
      </c>
      <c r="U1634" s="78">
        <f>IF($B1634="","",IFERROR(INDEX(Task_Tracker!$F$5:$F$1004,MATCH($B1634,Task_Tracker!$A$5:$A$1004,0)),""))</f>
        <v/>
      </c>
      <c r="V1634" s="78">
        <f>IF($B1634="","",IFERROR(INDEX(Task_Tracker!$I$5:$I$1004,MATCH($B1634,Task_Tracker!$A$5:$A$1004,0)),""))</f>
        <v/>
      </c>
      <c r="W1634" s="81">
        <f>IF(OR($D1634="",$B1634=""),"",$D1634&amp;" | "&amp;$B1634)</f>
        <v/>
      </c>
      <c r="X1634" s="85">
        <f>IF($K1634="","",TEXT($K1634,"yyyy-mm"))</f>
        <v/>
      </c>
      <c r="Y1634" s="81">
        <f>IF(OR($A1634="",$T1634=""),"","Included in Manager_Report")</f>
        <v/>
      </c>
    </row>
    <row r="1635" ht="15" customHeight="1" s="40">
      <c r="A1635" s="65">
        <f>IF(COUNTA(B1635:G1635)=0,"","STP-"&amp;TEXT(ROW()-4,"0000"))</f>
        <v/>
      </c>
      <c r="B1635" s="78" t="n"/>
      <c r="C1635" s="67">
        <f>IF($B1635="","",IFERROR(INDEX(Task_Tracker!$D$5:$D$1004,MATCH($B1635,Task_Tracker!$A$5:$A$1004,0)),""))</f>
        <v/>
      </c>
      <c r="D1635" s="67">
        <f>IF($B1635="","",IFERROR(INDEX(Task_Tracker!$B$5:$B$1004,MATCH($B1635,Task_Tracker!$A$5:$A$1004,0)),""))</f>
        <v/>
      </c>
      <c r="E1635" s="81" t="n"/>
      <c r="F1635" s="81" t="n"/>
      <c r="G1635" s="78" t="n"/>
      <c r="H1635" s="78" t="n"/>
      <c r="I1635" s="67">
        <f>IF($H1635="","",IFERROR(INDEX(Action_Status_Map!$B$5:$B$11,MATCH($H1635,Action_Status_Map!$A$5:$A$11,0)),""))</f>
        <v/>
      </c>
      <c r="J1635" s="82" t="n"/>
      <c r="K1635" s="82" t="n"/>
      <c r="L1635" s="82" t="n"/>
      <c r="M1635" s="83" t="n"/>
      <c r="N1635" s="83" t="n"/>
      <c r="O1635" s="66">
        <f>IF(OR($M1635="",$N1635=""),"",$N1635-$M1635)</f>
        <v/>
      </c>
      <c r="P1635" s="84">
        <f>IF($J1635="","",IF($L1635&lt;&gt;"",$L1635-$J1635,TODAY()-$J1635))</f>
        <v/>
      </c>
      <c r="Q1635" s="85">
        <f>IF(OR($K1635="",$H1635="Completed",$H1635="Cancelled"),"",IF(AND($K1635&lt;TODAY(),$H1635&lt;&gt;"Completed",$H1635&lt;&gt;"Cancelled"),"Overdue","On Track"))</f>
        <v/>
      </c>
      <c r="R1635" s="81" t="n"/>
      <c r="S1635" s="81">
        <f>IF($B1635="","",IFERROR(INDEX(Task_Tracker!$AA$5:$AA$1004,MATCH($B1635,Task_Tracker!$A$5:$A$1004,0)),""))</f>
        <v/>
      </c>
      <c r="T1635" s="81">
        <f>IF($B1635="","",IFERROR(INDEX(Task_Tracker!$AB$5:$AB$1004,MATCH($B1635,Task_Tracker!$A$5:$A$1004,0)),""))</f>
        <v/>
      </c>
      <c r="U1635" s="78">
        <f>IF($B1635="","",IFERROR(INDEX(Task_Tracker!$F$5:$F$1004,MATCH($B1635,Task_Tracker!$A$5:$A$1004,0)),""))</f>
        <v/>
      </c>
      <c r="V1635" s="78">
        <f>IF($B1635="","",IFERROR(INDEX(Task_Tracker!$I$5:$I$1004,MATCH($B1635,Task_Tracker!$A$5:$A$1004,0)),""))</f>
        <v/>
      </c>
      <c r="W1635" s="81">
        <f>IF(OR($D1635="",$B1635=""),"",$D1635&amp;" | "&amp;$B1635)</f>
        <v/>
      </c>
      <c r="X1635" s="85">
        <f>IF($K1635="","",TEXT($K1635,"yyyy-mm"))</f>
        <v/>
      </c>
      <c r="Y1635" s="81">
        <f>IF(OR($A1635="",$T1635=""),"","Included in Manager_Report")</f>
        <v/>
      </c>
    </row>
    <row r="1636" ht="15" customHeight="1" s="40">
      <c r="A1636" s="65">
        <f>IF(COUNTA(B1636:G1636)=0,"","STP-"&amp;TEXT(ROW()-4,"0000"))</f>
        <v/>
      </c>
      <c r="B1636" s="78" t="n"/>
      <c r="C1636" s="67">
        <f>IF($B1636="","",IFERROR(INDEX(Task_Tracker!$D$5:$D$1004,MATCH($B1636,Task_Tracker!$A$5:$A$1004,0)),""))</f>
        <v/>
      </c>
      <c r="D1636" s="67">
        <f>IF($B1636="","",IFERROR(INDEX(Task_Tracker!$B$5:$B$1004,MATCH($B1636,Task_Tracker!$A$5:$A$1004,0)),""))</f>
        <v/>
      </c>
      <c r="E1636" s="81" t="n"/>
      <c r="F1636" s="81" t="n"/>
      <c r="G1636" s="78" t="n"/>
      <c r="H1636" s="78" t="n"/>
      <c r="I1636" s="67">
        <f>IF($H1636="","",IFERROR(INDEX(Action_Status_Map!$B$5:$B$11,MATCH($H1636,Action_Status_Map!$A$5:$A$11,0)),""))</f>
        <v/>
      </c>
      <c r="J1636" s="82" t="n"/>
      <c r="K1636" s="82" t="n"/>
      <c r="L1636" s="82" t="n"/>
      <c r="M1636" s="83" t="n"/>
      <c r="N1636" s="83" t="n"/>
      <c r="O1636" s="66">
        <f>IF(OR($M1636="",$N1636=""),"",$N1636-$M1636)</f>
        <v/>
      </c>
      <c r="P1636" s="84">
        <f>IF($J1636="","",IF($L1636&lt;&gt;"",$L1636-$J1636,TODAY()-$J1636))</f>
        <v/>
      </c>
      <c r="Q1636" s="85">
        <f>IF(OR($K1636="",$H1636="Completed",$H1636="Cancelled"),"",IF(AND($K1636&lt;TODAY(),$H1636&lt;&gt;"Completed",$H1636&lt;&gt;"Cancelled"),"Overdue","On Track"))</f>
        <v/>
      </c>
      <c r="R1636" s="81" t="n"/>
      <c r="S1636" s="81">
        <f>IF($B1636="","",IFERROR(INDEX(Task_Tracker!$AA$5:$AA$1004,MATCH($B1636,Task_Tracker!$A$5:$A$1004,0)),""))</f>
        <v/>
      </c>
      <c r="T1636" s="81">
        <f>IF($B1636="","",IFERROR(INDEX(Task_Tracker!$AB$5:$AB$1004,MATCH($B1636,Task_Tracker!$A$5:$A$1004,0)),""))</f>
        <v/>
      </c>
      <c r="U1636" s="78">
        <f>IF($B1636="","",IFERROR(INDEX(Task_Tracker!$F$5:$F$1004,MATCH($B1636,Task_Tracker!$A$5:$A$1004,0)),""))</f>
        <v/>
      </c>
      <c r="V1636" s="78">
        <f>IF($B1636="","",IFERROR(INDEX(Task_Tracker!$I$5:$I$1004,MATCH($B1636,Task_Tracker!$A$5:$A$1004,0)),""))</f>
        <v/>
      </c>
      <c r="W1636" s="81">
        <f>IF(OR($D1636="",$B1636=""),"",$D1636&amp;" | "&amp;$B1636)</f>
        <v/>
      </c>
      <c r="X1636" s="85">
        <f>IF($K1636="","",TEXT($K1636,"yyyy-mm"))</f>
        <v/>
      </c>
      <c r="Y1636" s="81">
        <f>IF(OR($A1636="",$T1636=""),"","Included in Manager_Report")</f>
        <v/>
      </c>
    </row>
    <row r="1637" ht="15" customHeight="1" s="40">
      <c r="A1637" s="65">
        <f>IF(COUNTA(B1637:G1637)=0,"","STP-"&amp;TEXT(ROW()-4,"0000"))</f>
        <v/>
      </c>
      <c r="B1637" s="78" t="n"/>
      <c r="C1637" s="67">
        <f>IF($B1637="","",IFERROR(INDEX(Task_Tracker!$D$5:$D$1004,MATCH($B1637,Task_Tracker!$A$5:$A$1004,0)),""))</f>
        <v/>
      </c>
      <c r="D1637" s="67">
        <f>IF($B1637="","",IFERROR(INDEX(Task_Tracker!$B$5:$B$1004,MATCH($B1637,Task_Tracker!$A$5:$A$1004,0)),""))</f>
        <v/>
      </c>
      <c r="E1637" s="81" t="n"/>
      <c r="F1637" s="81" t="n"/>
      <c r="G1637" s="78" t="n"/>
      <c r="H1637" s="78" t="n"/>
      <c r="I1637" s="67">
        <f>IF($H1637="","",IFERROR(INDEX(Action_Status_Map!$B$5:$B$11,MATCH($H1637,Action_Status_Map!$A$5:$A$11,0)),""))</f>
        <v/>
      </c>
      <c r="J1637" s="82" t="n"/>
      <c r="K1637" s="82" t="n"/>
      <c r="L1637" s="82" t="n"/>
      <c r="M1637" s="83" t="n"/>
      <c r="N1637" s="83" t="n"/>
      <c r="O1637" s="66">
        <f>IF(OR($M1637="",$N1637=""),"",$N1637-$M1637)</f>
        <v/>
      </c>
      <c r="P1637" s="84">
        <f>IF($J1637="","",IF($L1637&lt;&gt;"",$L1637-$J1637,TODAY()-$J1637))</f>
        <v/>
      </c>
      <c r="Q1637" s="85">
        <f>IF(OR($K1637="",$H1637="Completed",$H1637="Cancelled"),"",IF(AND($K1637&lt;TODAY(),$H1637&lt;&gt;"Completed",$H1637&lt;&gt;"Cancelled"),"Overdue","On Track"))</f>
        <v/>
      </c>
      <c r="R1637" s="81" t="n"/>
      <c r="S1637" s="81">
        <f>IF($B1637="","",IFERROR(INDEX(Task_Tracker!$AA$5:$AA$1004,MATCH($B1637,Task_Tracker!$A$5:$A$1004,0)),""))</f>
        <v/>
      </c>
      <c r="T1637" s="81">
        <f>IF($B1637="","",IFERROR(INDEX(Task_Tracker!$AB$5:$AB$1004,MATCH($B1637,Task_Tracker!$A$5:$A$1004,0)),""))</f>
        <v/>
      </c>
      <c r="U1637" s="78">
        <f>IF($B1637="","",IFERROR(INDEX(Task_Tracker!$F$5:$F$1004,MATCH($B1637,Task_Tracker!$A$5:$A$1004,0)),""))</f>
        <v/>
      </c>
      <c r="V1637" s="78">
        <f>IF($B1637="","",IFERROR(INDEX(Task_Tracker!$I$5:$I$1004,MATCH($B1637,Task_Tracker!$A$5:$A$1004,0)),""))</f>
        <v/>
      </c>
      <c r="W1637" s="81">
        <f>IF(OR($D1637="",$B1637=""),"",$D1637&amp;" | "&amp;$B1637)</f>
        <v/>
      </c>
      <c r="X1637" s="85">
        <f>IF($K1637="","",TEXT($K1637,"yyyy-mm"))</f>
        <v/>
      </c>
      <c r="Y1637" s="81">
        <f>IF(OR($A1637="",$T1637=""),"","Included in Manager_Report")</f>
        <v/>
      </c>
    </row>
    <row r="1638" ht="15" customHeight="1" s="40">
      <c r="A1638" s="65">
        <f>IF(COUNTA(B1638:G1638)=0,"","STP-"&amp;TEXT(ROW()-4,"0000"))</f>
        <v/>
      </c>
      <c r="B1638" s="78" t="n"/>
      <c r="C1638" s="67">
        <f>IF($B1638="","",IFERROR(INDEX(Task_Tracker!$D$5:$D$1004,MATCH($B1638,Task_Tracker!$A$5:$A$1004,0)),""))</f>
        <v/>
      </c>
      <c r="D1638" s="67">
        <f>IF($B1638="","",IFERROR(INDEX(Task_Tracker!$B$5:$B$1004,MATCH($B1638,Task_Tracker!$A$5:$A$1004,0)),""))</f>
        <v/>
      </c>
      <c r="E1638" s="81" t="n"/>
      <c r="F1638" s="81" t="n"/>
      <c r="G1638" s="78" t="n"/>
      <c r="H1638" s="78" t="n"/>
      <c r="I1638" s="67">
        <f>IF($H1638="","",IFERROR(INDEX(Action_Status_Map!$B$5:$B$11,MATCH($H1638,Action_Status_Map!$A$5:$A$11,0)),""))</f>
        <v/>
      </c>
      <c r="J1638" s="82" t="n"/>
      <c r="K1638" s="82" t="n"/>
      <c r="L1638" s="82" t="n"/>
      <c r="M1638" s="83" t="n"/>
      <c r="N1638" s="83" t="n"/>
      <c r="O1638" s="66">
        <f>IF(OR($M1638="",$N1638=""),"",$N1638-$M1638)</f>
        <v/>
      </c>
      <c r="P1638" s="84">
        <f>IF($J1638="","",IF($L1638&lt;&gt;"",$L1638-$J1638,TODAY()-$J1638))</f>
        <v/>
      </c>
      <c r="Q1638" s="85">
        <f>IF(OR($K1638="",$H1638="Completed",$H1638="Cancelled"),"",IF(AND($K1638&lt;TODAY(),$H1638&lt;&gt;"Completed",$H1638&lt;&gt;"Cancelled"),"Overdue","On Track"))</f>
        <v/>
      </c>
      <c r="R1638" s="81" t="n"/>
      <c r="S1638" s="81">
        <f>IF($B1638="","",IFERROR(INDEX(Task_Tracker!$AA$5:$AA$1004,MATCH($B1638,Task_Tracker!$A$5:$A$1004,0)),""))</f>
        <v/>
      </c>
      <c r="T1638" s="81">
        <f>IF($B1638="","",IFERROR(INDEX(Task_Tracker!$AB$5:$AB$1004,MATCH($B1638,Task_Tracker!$A$5:$A$1004,0)),""))</f>
        <v/>
      </c>
      <c r="U1638" s="78">
        <f>IF($B1638="","",IFERROR(INDEX(Task_Tracker!$F$5:$F$1004,MATCH($B1638,Task_Tracker!$A$5:$A$1004,0)),""))</f>
        <v/>
      </c>
      <c r="V1638" s="78">
        <f>IF($B1638="","",IFERROR(INDEX(Task_Tracker!$I$5:$I$1004,MATCH($B1638,Task_Tracker!$A$5:$A$1004,0)),""))</f>
        <v/>
      </c>
      <c r="W1638" s="81">
        <f>IF(OR($D1638="",$B1638=""),"",$D1638&amp;" | "&amp;$B1638)</f>
        <v/>
      </c>
      <c r="X1638" s="85">
        <f>IF($K1638="","",TEXT($K1638,"yyyy-mm"))</f>
        <v/>
      </c>
      <c r="Y1638" s="81">
        <f>IF(OR($A1638="",$T1638=""),"","Included in Manager_Report")</f>
        <v/>
      </c>
    </row>
    <row r="1639" ht="15" customHeight="1" s="40">
      <c r="A1639" s="65">
        <f>IF(COUNTA(B1639:G1639)=0,"","STP-"&amp;TEXT(ROW()-4,"0000"))</f>
        <v/>
      </c>
      <c r="B1639" s="78" t="n"/>
      <c r="C1639" s="67">
        <f>IF($B1639="","",IFERROR(INDEX(Task_Tracker!$D$5:$D$1004,MATCH($B1639,Task_Tracker!$A$5:$A$1004,0)),""))</f>
        <v/>
      </c>
      <c r="D1639" s="67">
        <f>IF($B1639="","",IFERROR(INDEX(Task_Tracker!$B$5:$B$1004,MATCH($B1639,Task_Tracker!$A$5:$A$1004,0)),""))</f>
        <v/>
      </c>
      <c r="E1639" s="81" t="n"/>
      <c r="F1639" s="81" t="n"/>
      <c r="G1639" s="78" t="n"/>
      <c r="H1639" s="78" t="n"/>
      <c r="I1639" s="67">
        <f>IF($H1639="","",IFERROR(INDEX(Action_Status_Map!$B$5:$B$11,MATCH($H1639,Action_Status_Map!$A$5:$A$11,0)),""))</f>
        <v/>
      </c>
      <c r="J1639" s="82" t="n"/>
      <c r="K1639" s="82" t="n"/>
      <c r="L1639" s="82" t="n"/>
      <c r="M1639" s="83" t="n"/>
      <c r="N1639" s="83" t="n"/>
      <c r="O1639" s="66">
        <f>IF(OR($M1639="",$N1639=""),"",$N1639-$M1639)</f>
        <v/>
      </c>
      <c r="P1639" s="84">
        <f>IF($J1639="","",IF($L1639&lt;&gt;"",$L1639-$J1639,TODAY()-$J1639))</f>
        <v/>
      </c>
      <c r="Q1639" s="85">
        <f>IF(OR($K1639="",$H1639="Completed",$H1639="Cancelled"),"",IF(AND($K1639&lt;TODAY(),$H1639&lt;&gt;"Completed",$H1639&lt;&gt;"Cancelled"),"Overdue","On Track"))</f>
        <v/>
      </c>
      <c r="R1639" s="81" t="n"/>
      <c r="S1639" s="81">
        <f>IF($B1639="","",IFERROR(INDEX(Task_Tracker!$AA$5:$AA$1004,MATCH($B1639,Task_Tracker!$A$5:$A$1004,0)),""))</f>
        <v/>
      </c>
      <c r="T1639" s="81">
        <f>IF($B1639="","",IFERROR(INDEX(Task_Tracker!$AB$5:$AB$1004,MATCH($B1639,Task_Tracker!$A$5:$A$1004,0)),""))</f>
        <v/>
      </c>
      <c r="U1639" s="78">
        <f>IF($B1639="","",IFERROR(INDEX(Task_Tracker!$F$5:$F$1004,MATCH($B1639,Task_Tracker!$A$5:$A$1004,0)),""))</f>
        <v/>
      </c>
      <c r="V1639" s="78">
        <f>IF($B1639="","",IFERROR(INDEX(Task_Tracker!$I$5:$I$1004,MATCH($B1639,Task_Tracker!$A$5:$A$1004,0)),""))</f>
        <v/>
      </c>
      <c r="W1639" s="81">
        <f>IF(OR($D1639="",$B1639=""),"",$D1639&amp;" | "&amp;$B1639)</f>
        <v/>
      </c>
      <c r="X1639" s="85">
        <f>IF($K1639="","",TEXT($K1639,"yyyy-mm"))</f>
        <v/>
      </c>
      <c r="Y1639" s="81">
        <f>IF(OR($A1639="",$T1639=""),"","Included in Manager_Report")</f>
        <v/>
      </c>
    </row>
    <row r="1640" ht="15" customHeight="1" s="40">
      <c r="A1640" s="65">
        <f>IF(COUNTA(B1640:G1640)=0,"","STP-"&amp;TEXT(ROW()-4,"0000"))</f>
        <v/>
      </c>
      <c r="B1640" s="78" t="n"/>
      <c r="C1640" s="67">
        <f>IF($B1640="","",IFERROR(INDEX(Task_Tracker!$D$5:$D$1004,MATCH($B1640,Task_Tracker!$A$5:$A$1004,0)),""))</f>
        <v/>
      </c>
      <c r="D1640" s="67">
        <f>IF($B1640="","",IFERROR(INDEX(Task_Tracker!$B$5:$B$1004,MATCH($B1640,Task_Tracker!$A$5:$A$1004,0)),""))</f>
        <v/>
      </c>
      <c r="E1640" s="81" t="n"/>
      <c r="F1640" s="81" t="n"/>
      <c r="G1640" s="78" t="n"/>
      <c r="H1640" s="78" t="n"/>
      <c r="I1640" s="67">
        <f>IF($H1640="","",IFERROR(INDEX(Action_Status_Map!$B$5:$B$11,MATCH($H1640,Action_Status_Map!$A$5:$A$11,0)),""))</f>
        <v/>
      </c>
      <c r="J1640" s="82" t="n"/>
      <c r="K1640" s="82" t="n"/>
      <c r="L1640" s="82" t="n"/>
      <c r="M1640" s="83" t="n"/>
      <c r="N1640" s="83" t="n"/>
      <c r="O1640" s="66">
        <f>IF(OR($M1640="",$N1640=""),"",$N1640-$M1640)</f>
        <v/>
      </c>
      <c r="P1640" s="84">
        <f>IF($J1640="","",IF($L1640&lt;&gt;"",$L1640-$J1640,TODAY()-$J1640))</f>
        <v/>
      </c>
      <c r="Q1640" s="85">
        <f>IF(OR($K1640="",$H1640="Completed",$H1640="Cancelled"),"",IF(AND($K1640&lt;TODAY(),$H1640&lt;&gt;"Completed",$H1640&lt;&gt;"Cancelled"),"Overdue","On Track"))</f>
        <v/>
      </c>
      <c r="R1640" s="81" t="n"/>
      <c r="S1640" s="81">
        <f>IF($B1640="","",IFERROR(INDEX(Task_Tracker!$AA$5:$AA$1004,MATCH($B1640,Task_Tracker!$A$5:$A$1004,0)),""))</f>
        <v/>
      </c>
      <c r="T1640" s="81">
        <f>IF($B1640="","",IFERROR(INDEX(Task_Tracker!$AB$5:$AB$1004,MATCH($B1640,Task_Tracker!$A$5:$A$1004,0)),""))</f>
        <v/>
      </c>
      <c r="U1640" s="78">
        <f>IF($B1640="","",IFERROR(INDEX(Task_Tracker!$F$5:$F$1004,MATCH($B1640,Task_Tracker!$A$5:$A$1004,0)),""))</f>
        <v/>
      </c>
      <c r="V1640" s="78">
        <f>IF($B1640="","",IFERROR(INDEX(Task_Tracker!$I$5:$I$1004,MATCH($B1640,Task_Tracker!$A$5:$A$1004,0)),""))</f>
        <v/>
      </c>
      <c r="W1640" s="81">
        <f>IF(OR($D1640="",$B1640=""),"",$D1640&amp;" | "&amp;$B1640)</f>
        <v/>
      </c>
      <c r="X1640" s="85">
        <f>IF($K1640="","",TEXT($K1640,"yyyy-mm"))</f>
        <v/>
      </c>
      <c r="Y1640" s="81">
        <f>IF(OR($A1640="",$T1640=""),"","Included in Manager_Report")</f>
        <v/>
      </c>
    </row>
    <row r="1641" ht="15" customHeight="1" s="40">
      <c r="A1641" s="65">
        <f>IF(COUNTA(B1641:G1641)=0,"","STP-"&amp;TEXT(ROW()-4,"0000"))</f>
        <v/>
      </c>
      <c r="B1641" s="78" t="n"/>
      <c r="C1641" s="67">
        <f>IF($B1641="","",IFERROR(INDEX(Task_Tracker!$D$5:$D$1004,MATCH($B1641,Task_Tracker!$A$5:$A$1004,0)),""))</f>
        <v/>
      </c>
      <c r="D1641" s="67">
        <f>IF($B1641="","",IFERROR(INDEX(Task_Tracker!$B$5:$B$1004,MATCH($B1641,Task_Tracker!$A$5:$A$1004,0)),""))</f>
        <v/>
      </c>
      <c r="E1641" s="81" t="n"/>
      <c r="F1641" s="81" t="n"/>
      <c r="G1641" s="78" t="n"/>
      <c r="H1641" s="78" t="n"/>
      <c r="I1641" s="67">
        <f>IF($H1641="","",IFERROR(INDEX(Action_Status_Map!$B$5:$B$11,MATCH($H1641,Action_Status_Map!$A$5:$A$11,0)),""))</f>
        <v/>
      </c>
      <c r="J1641" s="82" t="n"/>
      <c r="K1641" s="82" t="n"/>
      <c r="L1641" s="82" t="n"/>
      <c r="M1641" s="83" t="n"/>
      <c r="N1641" s="83" t="n"/>
      <c r="O1641" s="66">
        <f>IF(OR($M1641="",$N1641=""),"",$N1641-$M1641)</f>
        <v/>
      </c>
      <c r="P1641" s="84">
        <f>IF($J1641="","",IF($L1641&lt;&gt;"",$L1641-$J1641,TODAY()-$J1641))</f>
        <v/>
      </c>
      <c r="Q1641" s="85">
        <f>IF(OR($K1641="",$H1641="Completed",$H1641="Cancelled"),"",IF(AND($K1641&lt;TODAY(),$H1641&lt;&gt;"Completed",$H1641&lt;&gt;"Cancelled"),"Overdue","On Track"))</f>
        <v/>
      </c>
      <c r="R1641" s="81" t="n"/>
      <c r="S1641" s="81">
        <f>IF($B1641="","",IFERROR(INDEX(Task_Tracker!$AA$5:$AA$1004,MATCH($B1641,Task_Tracker!$A$5:$A$1004,0)),""))</f>
        <v/>
      </c>
      <c r="T1641" s="81">
        <f>IF($B1641="","",IFERROR(INDEX(Task_Tracker!$AB$5:$AB$1004,MATCH($B1641,Task_Tracker!$A$5:$A$1004,0)),""))</f>
        <v/>
      </c>
      <c r="U1641" s="78">
        <f>IF($B1641="","",IFERROR(INDEX(Task_Tracker!$F$5:$F$1004,MATCH($B1641,Task_Tracker!$A$5:$A$1004,0)),""))</f>
        <v/>
      </c>
      <c r="V1641" s="78">
        <f>IF($B1641="","",IFERROR(INDEX(Task_Tracker!$I$5:$I$1004,MATCH($B1641,Task_Tracker!$A$5:$A$1004,0)),""))</f>
        <v/>
      </c>
      <c r="W1641" s="81">
        <f>IF(OR($D1641="",$B1641=""),"",$D1641&amp;" | "&amp;$B1641)</f>
        <v/>
      </c>
      <c r="X1641" s="85">
        <f>IF($K1641="","",TEXT($K1641,"yyyy-mm"))</f>
        <v/>
      </c>
      <c r="Y1641" s="81">
        <f>IF(OR($A1641="",$T1641=""),"","Included in Manager_Report")</f>
        <v/>
      </c>
    </row>
    <row r="1642" ht="15" customHeight="1" s="40">
      <c r="A1642" s="65">
        <f>IF(COUNTA(B1642:G1642)=0,"","STP-"&amp;TEXT(ROW()-4,"0000"))</f>
        <v/>
      </c>
      <c r="B1642" s="78" t="n"/>
      <c r="C1642" s="67">
        <f>IF($B1642="","",IFERROR(INDEX(Task_Tracker!$D$5:$D$1004,MATCH($B1642,Task_Tracker!$A$5:$A$1004,0)),""))</f>
        <v/>
      </c>
      <c r="D1642" s="67">
        <f>IF($B1642="","",IFERROR(INDEX(Task_Tracker!$B$5:$B$1004,MATCH($B1642,Task_Tracker!$A$5:$A$1004,0)),""))</f>
        <v/>
      </c>
      <c r="E1642" s="81" t="n"/>
      <c r="F1642" s="81" t="n"/>
      <c r="G1642" s="78" t="n"/>
      <c r="H1642" s="78" t="n"/>
      <c r="I1642" s="67">
        <f>IF($H1642="","",IFERROR(INDEX(Action_Status_Map!$B$5:$B$11,MATCH($H1642,Action_Status_Map!$A$5:$A$11,0)),""))</f>
        <v/>
      </c>
      <c r="J1642" s="82" t="n"/>
      <c r="K1642" s="82" t="n"/>
      <c r="L1642" s="82" t="n"/>
      <c r="M1642" s="83" t="n"/>
      <c r="N1642" s="83" t="n"/>
      <c r="O1642" s="66">
        <f>IF(OR($M1642="",$N1642=""),"",$N1642-$M1642)</f>
        <v/>
      </c>
      <c r="P1642" s="84">
        <f>IF($J1642="","",IF($L1642&lt;&gt;"",$L1642-$J1642,TODAY()-$J1642))</f>
        <v/>
      </c>
      <c r="Q1642" s="85">
        <f>IF(OR($K1642="",$H1642="Completed",$H1642="Cancelled"),"",IF(AND($K1642&lt;TODAY(),$H1642&lt;&gt;"Completed",$H1642&lt;&gt;"Cancelled"),"Overdue","On Track"))</f>
        <v/>
      </c>
      <c r="R1642" s="81" t="n"/>
      <c r="S1642" s="81">
        <f>IF($B1642="","",IFERROR(INDEX(Task_Tracker!$AA$5:$AA$1004,MATCH($B1642,Task_Tracker!$A$5:$A$1004,0)),""))</f>
        <v/>
      </c>
      <c r="T1642" s="81">
        <f>IF($B1642="","",IFERROR(INDEX(Task_Tracker!$AB$5:$AB$1004,MATCH($B1642,Task_Tracker!$A$5:$A$1004,0)),""))</f>
        <v/>
      </c>
      <c r="U1642" s="78">
        <f>IF($B1642="","",IFERROR(INDEX(Task_Tracker!$F$5:$F$1004,MATCH($B1642,Task_Tracker!$A$5:$A$1004,0)),""))</f>
        <v/>
      </c>
      <c r="V1642" s="78">
        <f>IF($B1642="","",IFERROR(INDEX(Task_Tracker!$I$5:$I$1004,MATCH($B1642,Task_Tracker!$A$5:$A$1004,0)),""))</f>
        <v/>
      </c>
      <c r="W1642" s="81">
        <f>IF(OR($D1642="",$B1642=""),"",$D1642&amp;" | "&amp;$B1642)</f>
        <v/>
      </c>
      <c r="X1642" s="85">
        <f>IF($K1642="","",TEXT($K1642,"yyyy-mm"))</f>
        <v/>
      </c>
      <c r="Y1642" s="81">
        <f>IF(OR($A1642="",$T1642=""),"","Included in Manager_Report")</f>
        <v/>
      </c>
    </row>
    <row r="1643" ht="15" customHeight="1" s="40">
      <c r="A1643" s="65">
        <f>IF(COUNTA(B1643:G1643)=0,"","STP-"&amp;TEXT(ROW()-4,"0000"))</f>
        <v/>
      </c>
      <c r="B1643" s="78" t="n"/>
      <c r="C1643" s="67">
        <f>IF($B1643="","",IFERROR(INDEX(Task_Tracker!$D$5:$D$1004,MATCH($B1643,Task_Tracker!$A$5:$A$1004,0)),""))</f>
        <v/>
      </c>
      <c r="D1643" s="67">
        <f>IF($B1643="","",IFERROR(INDEX(Task_Tracker!$B$5:$B$1004,MATCH($B1643,Task_Tracker!$A$5:$A$1004,0)),""))</f>
        <v/>
      </c>
      <c r="E1643" s="81" t="n"/>
      <c r="F1643" s="81" t="n"/>
      <c r="G1643" s="78" t="n"/>
      <c r="H1643" s="78" t="n"/>
      <c r="I1643" s="67">
        <f>IF($H1643="","",IFERROR(INDEX(Action_Status_Map!$B$5:$B$11,MATCH($H1643,Action_Status_Map!$A$5:$A$11,0)),""))</f>
        <v/>
      </c>
      <c r="J1643" s="82" t="n"/>
      <c r="K1643" s="82" t="n"/>
      <c r="L1643" s="82" t="n"/>
      <c r="M1643" s="83" t="n"/>
      <c r="N1643" s="83" t="n"/>
      <c r="O1643" s="66">
        <f>IF(OR($M1643="",$N1643=""),"",$N1643-$M1643)</f>
        <v/>
      </c>
      <c r="P1643" s="84">
        <f>IF($J1643="","",IF($L1643&lt;&gt;"",$L1643-$J1643,TODAY()-$J1643))</f>
        <v/>
      </c>
      <c r="Q1643" s="85">
        <f>IF(OR($K1643="",$H1643="Completed",$H1643="Cancelled"),"",IF(AND($K1643&lt;TODAY(),$H1643&lt;&gt;"Completed",$H1643&lt;&gt;"Cancelled"),"Overdue","On Track"))</f>
        <v/>
      </c>
      <c r="R1643" s="81" t="n"/>
      <c r="S1643" s="81">
        <f>IF($B1643="","",IFERROR(INDEX(Task_Tracker!$AA$5:$AA$1004,MATCH($B1643,Task_Tracker!$A$5:$A$1004,0)),""))</f>
        <v/>
      </c>
      <c r="T1643" s="81">
        <f>IF($B1643="","",IFERROR(INDEX(Task_Tracker!$AB$5:$AB$1004,MATCH($B1643,Task_Tracker!$A$5:$A$1004,0)),""))</f>
        <v/>
      </c>
      <c r="U1643" s="78">
        <f>IF($B1643="","",IFERROR(INDEX(Task_Tracker!$F$5:$F$1004,MATCH($B1643,Task_Tracker!$A$5:$A$1004,0)),""))</f>
        <v/>
      </c>
      <c r="V1643" s="78">
        <f>IF($B1643="","",IFERROR(INDEX(Task_Tracker!$I$5:$I$1004,MATCH($B1643,Task_Tracker!$A$5:$A$1004,0)),""))</f>
        <v/>
      </c>
      <c r="W1643" s="81">
        <f>IF(OR($D1643="",$B1643=""),"",$D1643&amp;" | "&amp;$B1643)</f>
        <v/>
      </c>
      <c r="X1643" s="85">
        <f>IF($K1643="","",TEXT($K1643,"yyyy-mm"))</f>
        <v/>
      </c>
      <c r="Y1643" s="81">
        <f>IF(OR($A1643="",$T1643=""),"","Included in Manager_Report")</f>
        <v/>
      </c>
    </row>
    <row r="1644" ht="15" customHeight="1" s="40">
      <c r="A1644" s="65">
        <f>IF(COUNTA(B1644:G1644)=0,"","STP-"&amp;TEXT(ROW()-4,"0000"))</f>
        <v/>
      </c>
      <c r="B1644" s="78" t="n"/>
      <c r="C1644" s="67">
        <f>IF($B1644="","",IFERROR(INDEX(Task_Tracker!$D$5:$D$1004,MATCH($B1644,Task_Tracker!$A$5:$A$1004,0)),""))</f>
        <v/>
      </c>
      <c r="D1644" s="67">
        <f>IF($B1644="","",IFERROR(INDEX(Task_Tracker!$B$5:$B$1004,MATCH($B1644,Task_Tracker!$A$5:$A$1004,0)),""))</f>
        <v/>
      </c>
      <c r="E1644" s="81" t="n"/>
      <c r="F1644" s="81" t="n"/>
      <c r="G1644" s="78" t="n"/>
      <c r="H1644" s="78" t="n"/>
      <c r="I1644" s="67">
        <f>IF($H1644="","",IFERROR(INDEX(Action_Status_Map!$B$5:$B$11,MATCH($H1644,Action_Status_Map!$A$5:$A$11,0)),""))</f>
        <v/>
      </c>
      <c r="J1644" s="82" t="n"/>
      <c r="K1644" s="82" t="n"/>
      <c r="L1644" s="82" t="n"/>
      <c r="M1644" s="83" t="n"/>
      <c r="N1644" s="83" t="n"/>
      <c r="O1644" s="66">
        <f>IF(OR($M1644="",$N1644=""),"",$N1644-$M1644)</f>
        <v/>
      </c>
      <c r="P1644" s="84">
        <f>IF($J1644="","",IF($L1644&lt;&gt;"",$L1644-$J1644,TODAY()-$J1644))</f>
        <v/>
      </c>
      <c r="Q1644" s="85">
        <f>IF(OR($K1644="",$H1644="Completed",$H1644="Cancelled"),"",IF(AND($K1644&lt;TODAY(),$H1644&lt;&gt;"Completed",$H1644&lt;&gt;"Cancelled"),"Overdue","On Track"))</f>
        <v/>
      </c>
      <c r="R1644" s="81" t="n"/>
      <c r="S1644" s="81">
        <f>IF($B1644="","",IFERROR(INDEX(Task_Tracker!$AA$5:$AA$1004,MATCH($B1644,Task_Tracker!$A$5:$A$1004,0)),""))</f>
        <v/>
      </c>
      <c r="T1644" s="81">
        <f>IF($B1644="","",IFERROR(INDEX(Task_Tracker!$AB$5:$AB$1004,MATCH($B1644,Task_Tracker!$A$5:$A$1004,0)),""))</f>
        <v/>
      </c>
      <c r="U1644" s="78">
        <f>IF($B1644="","",IFERROR(INDEX(Task_Tracker!$F$5:$F$1004,MATCH($B1644,Task_Tracker!$A$5:$A$1004,0)),""))</f>
        <v/>
      </c>
      <c r="V1644" s="78">
        <f>IF($B1644="","",IFERROR(INDEX(Task_Tracker!$I$5:$I$1004,MATCH($B1644,Task_Tracker!$A$5:$A$1004,0)),""))</f>
        <v/>
      </c>
      <c r="W1644" s="81">
        <f>IF(OR($D1644="",$B1644=""),"",$D1644&amp;" | "&amp;$B1644)</f>
        <v/>
      </c>
      <c r="X1644" s="85">
        <f>IF($K1644="","",TEXT($K1644,"yyyy-mm"))</f>
        <v/>
      </c>
      <c r="Y1644" s="81">
        <f>IF(OR($A1644="",$T1644=""),"","Included in Manager_Report")</f>
        <v/>
      </c>
    </row>
    <row r="1645" ht="15" customHeight="1" s="40">
      <c r="A1645" s="65">
        <f>IF(COUNTA(B1645:G1645)=0,"","STP-"&amp;TEXT(ROW()-4,"0000"))</f>
        <v/>
      </c>
      <c r="B1645" s="78" t="n"/>
      <c r="C1645" s="67">
        <f>IF($B1645="","",IFERROR(INDEX(Task_Tracker!$D$5:$D$1004,MATCH($B1645,Task_Tracker!$A$5:$A$1004,0)),""))</f>
        <v/>
      </c>
      <c r="D1645" s="67">
        <f>IF($B1645="","",IFERROR(INDEX(Task_Tracker!$B$5:$B$1004,MATCH($B1645,Task_Tracker!$A$5:$A$1004,0)),""))</f>
        <v/>
      </c>
      <c r="E1645" s="81" t="n"/>
      <c r="F1645" s="81" t="n"/>
      <c r="G1645" s="78" t="n"/>
      <c r="H1645" s="78" t="n"/>
      <c r="I1645" s="67">
        <f>IF($H1645="","",IFERROR(INDEX(Action_Status_Map!$B$5:$B$11,MATCH($H1645,Action_Status_Map!$A$5:$A$11,0)),""))</f>
        <v/>
      </c>
      <c r="J1645" s="82" t="n"/>
      <c r="K1645" s="82" t="n"/>
      <c r="L1645" s="82" t="n"/>
      <c r="M1645" s="83" t="n"/>
      <c r="N1645" s="83" t="n"/>
      <c r="O1645" s="66">
        <f>IF(OR($M1645="",$N1645=""),"",$N1645-$M1645)</f>
        <v/>
      </c>
      <c r="P1645" s="84">
        <f>IF($J1645="","",IF($L1645&lt;&gt;"",$L1645-$J1645,TODAY()-$J1645))</f>
        <v/>
      </c>
      <c r="Q1645" s="85">
        <f>IF(OR($K1645="",$H1645="Completed",$H1645="Cancelled"),"",IF(AND($K1645&lt;TODAY(),$H1645&lt;&gt;"Completed",$H1645&lt;&gt;"Cancelled"),"Overdue","On Track"))</f>
        <v/>
      </c>
      <c r="R1645" s="81" t="n"/>
      <c r="S1645" s="81">
        <f>IF($B1645="","",IFERROR(INDEX(Task_Tracker!$AA$5:$AA$1004,MATCH($B1645,Task_Tracker!$A$5:$A$1004,0)),""))</f>
        <v/>
      </c>
      <c r="T1645" s="81">
        <f>IF($B1645="","",IFERROR(INDEX(Task_Tracker!$AB$5:$AB$1004,MATCH($B1645,Task_Tracker!$A$5:$A$1004,0)),""))</f>
        <v/>
      </c>
      <c r="U1645" s="78">
        <f>IF($B1645="","",IFERROR(INDEX(Task_Tracker!$F$5:$F$1004,MATCH($B1645,Task_Tracker!$A$5:$A$1004,0)),""))</f>
        <v/>
      </c>
      <c r="V1645" s="78">
        <f>IF($B1645="","",IFERROR(INDEX(Task_Tracker!$I$5:$I$1004,MATCH($B1645,Task_Tracker!$A$5:$A$1004,0)),""))</f>
        <v/>
      </c>
      <c r="W1645" s="81">
        <f>IF(OR($D1645="",$B1645=""),"",$D1645&amp;" | "&amp;$B1645)</f>
        <v/>
      </c>
      <c r="X1645" s="85">
        <f>IF($K1645="","",TEXT($K1645,"yyyy-mm"))</f>
        <v/>
      </c>
      <c r="Y1645" s="81">
        <f>IF(OR($A1645="",$T1645=""),"","Included in Manager_Report")</f>
        <v/>
      </c>
    </row>
    <row r="1646" ht="15" customHeight="1" s="40">
      <c r="A1646" s="65">
        <f>IF(COUNTA(B1646:G1646)=0,"","STP-"&amp;TEXT(ROW()-4,"0000"))</f>
        <v/>
      </c>
      <c r="B1646" s="78" t="n"/>
      <c r="C1646" s="67">
        <f>IF($B1646="","",IFERROR(INDEX(Task_Tracker!$D$5:$D$1004,MATCH($B1646,Task_Tracker!$A$5:$A$1004,0)),""))</f>
        <v/>
      </c>
      <c r="D1646" s="67">
        <f>IF($B1646="","",IFERROR(INDEX(Task_Tracker!$B$5:$B$1004,MATCH($B1646,Task_Tracker!$A$5:$A$1004,0)),""))</f>
        <v/>
      </c>
      <c r="E1646" s="81" t="n"/>
      <c r="F1646" s="81" t="n"/>
      <c r="G1646" s="78" t="n"/>
      <c r="H1646" s="78" t="n"/>
      <c r="I1646" s="67">
        <f>IF($H1646="","",IFERROR(INDEX(Action_Status_Map!$B$5:$B$11,MATCH($H1646,Action_Status_Map!$A$5:$A$11,0)),""))</f>
        <v/>
      </c>
      <c r="J1646" s="82" t="n"/>
      <c r="K1646" s="82" t="n"/>
      <c r="L1646" s="82" t="n"/>
      <c r="M1646" s="83" t="n"/>
      <c r="N1646" s="83" t="n"/>
      <c r="O1646" s="66">
        <f>IF(OR($M1646="",$N1646=""),"",$N1646-$M1646)</f>
        <v/>
      </c>
      <c r="P1646" s="84">
        <f>IF($J1646="","",IF($L1646&lt;&gt;"",$L1646-$J1646,TODAY()-$J1646))</f>
        <v/>
      </c>
      <c r="Q1646" s="85">
        <f>IF(OR($K1646="",$H1646="Completed",$H1646="Cancelled"),"",IF(AND($K1646&lt;TODAY(),$H1646&lt;&gt;"Completed",$H1646&lt;&gt;"Cancelled"),"Overdue","On Track"))</f>
        <v/>
      </c>
      <c r="R1646" s="81" t="n"/>
      <c r="S1646" s="81">
        <f>IF($B1646="","",IFERROR(INDEX(Task_Tracker!$AA$5:$AA$1004,MATCH($B1646,Task_Tracker!$A$5:$A$1004,0)),""))</f>
        <v/>
      </c>
      <c r="T1646" s="81">
        <f>IF($B1646="","",IFERROR(INDEX(Task_Tracker!$AB$5:$AB$1004,MATCH($B1646,Task_Tracker!$A$5:$A$1004,0)),""))</f>
        <v/>
      </c>
      <c r="U1646" s="78">
        <f>IF($B1646="","",IFERROR(INDEX(Task_Tracker!$F$5:$F$1004,MATCH($B1646,Task_Tracker!$A$5:$A$1004,0)),""))</f>
        <v/>
      </c>
      <c r="V1646" s="78">
        <f>IF($B1646="","",IFERROR(INDEX(Task_Tracker!$I$5:$I$1004,MATCH($B1646,Task_Tracker!$A$5:$A$1004,0)),""))</f>
        <v/>
      </c>
      <c r="W1646" s="81">
        <f>IF(OR($D1646="",$B1646=""),"",$D1646&amp;" | "&amp;$B1646)</f>
        <v/>
      </c>
      <c r="X1646" s="85">
        <f>IF($K1646="","",TEXT($K1646,"yyyy-mm"))</f>
        <v/>
      </c>
      <c r="Y1646" s="81">
        <f>IF(OR($A1646="",$T1646=""),"","Included in Manager_Report")</f>
        <v/>
      </c>
    </row>
    <row r="1647" ht="15" customHeight="1" s="40">
      <c r="A1647" s="65">
        <f>IF(COUNTA(B1647:G1647)=0,"","STP-"&amp;TEXT(ROW()-4,"0000"))</f>
        <v/>
      </c>
      <c r="B1647" s="78" t="n"/>
      <c r="C1647" s="67">
        <f>IF($B1647="","",IFERROR(INDEX(Task_Tracker!$D$5:$D$1004,MATCH($B1647,Task_Tracker!$A$5:$A$1004,0)),""))</f>
        <v/>
      </c>
      <c r="D1647" s="67">
        <f>IF($B1647="","",IFERROR(INDEX(Task_Tracker!$B$5:$B$1004,MATCH($B1647,Task_Tracker!$A$5:$A$1004,0)),""))</f>
        <v/>
      </c>
      <c r="E1647" s="81" t="n"/>
      <c r="F1647" s="81" t="n"/>
      <c r="G1647" s="78" t="n"/>
      <c r="H1647" s="78" t="n"/>
      <c r="I1647" s="67">
        <f>IF($H1647="","",IFERROR(INDEX(Action_Status_Map!$B$5:$B$11,MATCH($H1647,Action_Status_Map!$A$5:$A$11,0)),""))</f>
        <v/>
      </c>
      <c r="J1647" s="82" t="n"/>
      <c r="K1647" s="82" t="n"/>
      <c r="L1647" s="82" t="n"/>
      <c r="M1647" s="83" t="n"/>
      <c r="N1647" s="83" t="n"/>
      <c r="O1647" s="66">
        <f>IF(OR($M1647="",$N1647=""),"",$N1647-$M1647)</f>
        <v/>
      </c>
      <c r="P1647" s="84">
        <f>IF($J1647="","",IF($L1647&lt;&gt;"",$L1647-$J1647,TODAY()-$J1647))</f>
        <v/>
      </c>
      <c r="Q1647" s="85">
        <f>IF(OR($K1647="",$H1647="Completed",$H1647="Cancelled"),"",IF(AND($K1647&lt;TODAY(),$H1647&lt;&gt;"Completed",$H1647&lt;&gt;"Cancelled"),"Overdue","On Track"))</f>
        <v/>
      </c>
      <c r="R1647" s="81" t="n"/>
      <c r="S1647" s="81">
        <f>IF($B1647="","",IFERROR(INDEX(Task_Tracker!$AA$5:$AA$1004,MATCH($B1647,Task_Tracker!$A$5:$A$1004,0)),""))</f>
        <v/>
      </c>
      <c r="T1647" s="81">
        <f>IF($B1647="","",IFERROR(INDEX(Task_Tracker!$AB$5:$AB$1004,MATCH($B1647,Task_Tracker!$A$5:$A$1004,0)),""))</f>
        <v/>
      </c>
      <c r="U1647" s="78">
        <f>IF($B1647="","",IFERROR(INDEX(Task_Tracker!$F$5:$F$1004,MATCH($B1647,Task_Tracker!$A$5:$A$1004,0)),""))</f>
        <v/>
      </c>
      <c r="V1647" s="78">
        <f>IF($B1647="","",IFERROR(INDEX(Task_Tracker!$I$5:$I$1004,MATCH($B1647,Task_Tracker!$A$5:$A$1004,0)),""))</f>
        <v/>
      </c>
      <c r="W1647" s="81">
        <f>IF(OR($D1647="",$B1647=""),"",$D1647&amp;" | "&amp;$B1647)</f>
        <v/>
      </c>
      <c r="X1647" s="85">
        <f>IF($K1647="","",TEXT($K1647,"yyyy-mm"))</f>
        <v/>
      </c>
      <c r="Y1647" s="81">
        <f>IF(OR($A1647="",$T1647=""),"","Included in Manager_Report")</f>
        <v/>
      </c>
    </row>
    <row r="1648" ht="15" customHeight="1" s="40">
      <c r="A1648" s="65">
        <f>IF(COUNTA(B1648:G1648)=0,"","STP-"&amp;TEXT(ROW()-4,"0000"))</f>
        <v/>
      </c>
      <c r="B1648" s="78" t="n"/>
      <c r="C1648" s="67">
        <f>IF($B1648="","",IFERROR(INDEX(Task_Tracker!$D$5:$D$1004,MATCH($B1648,Task_Tracker!$A$5:$A$1004,0)),""))</f>
        <v/>
      </c>
      <c r="D1648" s="67">
        <f>IF($B1648="","",IFERROR(INDEX(Task_Tracker!$B$5:$B$1004,MATCH($B1648,Task_Tracker!$A$5:$A$1004,0)),""))</f>
        <v/>
      </c>
      <c r="E1648" s="81" t="n"/>
      <c r="F1648" s="81" t="n"/>
      <c r="G1648" s="78" t="n"/>
      <c r="H1648" s="78" t="n"/>
      <c r="I1648" s="67">
        <f>IF($H1648="","",IFERROR(INDEX(Action_Status_Map!$B$5:$B$11,MATCH($H1648,Action_Status_Map!$A$5:$A$11,0)),""))</f>
        <v/>
      </c>
      <c r="J1648" s="82" t="n"/>
      <c r="K1648" s="82" t="n"/>
      <c r="L1648" s="82" t="n"/>
      <c r="M1648" s="83" t="n"/>
      <c r="N1648" s="83" t="n"/>
      <c r="O1648" s="66">
        <f>IF(OR($M1648="",$N1648=""),"",$N1648-$M1648)</f>
        <v/>
      </c>
      <c r="P1648" s="84">
        <f>IF($J1648="","",IF($L1648&lt;&gt;"",$L1648-$J1648,TODAY()-$J1648))</f>
        <v/>
      </c>
      <c r="Q1648" s="85">
        <f>IF(OR($K1648="",$H1648="Completed",$H1648="Cancelled"),"",IF(AND($K1648&lt;TODAY(),$H1648&lt;&gt;"Completed",$H1648&lt;&gt;"Cancelled"),"Overdue","On Track"))</f>
        <v/>
      </c>
      <c r="R1648" s="81" t="n"/>
      <c r="S1648" s="81">
        <f>IF($B1648="","",IFERROR(INDEX(Task_Tracker!$AA$5:$AA$1004,MATCH($B1648,Task_Tracker!$A$5:$A$1004,0)),""))</f>
        <v/>
      </c>
      <c r="T1648" s="81">
        <f>IF($B1648="","",IFERROR(INDEX(Task_Tracker!$AB$5:$AB$1004,MATCH($B1648,Task_Tracker!$A$5:$A$1004,0)),""))</f>
        <v/>
      </c>
      <c r="U1648" s="78">
        <f>IF($B1648="","",IFERROR(INDEX(Task_Tracker!$F$5:$F$1004,MATCH($B1648,Task_Tracker!$A$5:$A$1004,0)),""))</f>
        <v/>
      </c>
      <c r="V1648" s="78">
        <f>IF($B1648="","",IFERROR(INDEX(Task_Tracker!$I$5:$I$1004,MATCH($B1648,Task_Tracker!$A$5:$A$1004,0)),""))</f>
        <v/>
      </c>
      <c r="W1648" s="81">
        <f>IF(OR($D1648="",$B1648=""),"",$D1648&amp;" | "&amp;$B1648)</f>
        <v/>
      </c>
      <c r="X1648" s="85">
        <f>IF($K1648="","",TEXT($K1648,"yyyy-mm"))</f>
        <v/>
      </c>
      <c r="Y1648" s="81">
        <f>IF(OR($A1648="",$T1648=""),"","Included in Manager_Report")</f>
        <v/>
      </c>
    </row>
    <row r="1649" ht="15" customHeight="1" s="40">
      <c r="A1649" s="65">
        <f>IF(COUNTA(B1649:G1649)=0,"","STP-"&amp;TEXT(ROW()-4,"0000"))</f>
        <v/>
      </c>
      <c r="B1649" s="78" t="n"/>
      <c r="C1649" s="67">
        <f>IF($B1649="","",IFERROR(INDEX(Task_Tracker!$D$5:$D$1004,MATCH($B1649,Task_Tracker!$A$5:$A$1004,0)),""))</f>
        <v/>
      </c>
      <c r="D1649" s="67">
        <f>IF($B1649="","",IFERROR(INDEX(Task_Tracker!$B$5:$B$1004,MATCH($B1649,Task_Tracker!$A$5:$A$1004,0)),""))</f>
        <v/>
      </c>
      <c r="E1649" s="81" t="n"/>
      <c r="F1649" s="81" t="n"/>
      <c r="G1649" s="78" t="n"/>
      <c r="H1649" s="78" t="n"/>
      <c r="I1649" s="67">
        <f>IF($H1649="","",IFERROR(INDEX(Action_Status_Map!$B$5:$B$11,MATCH($H1649,Action_Status_Map!$A$5:$A$11,0)),""))</f>
        <v/>
      </c>
      <c r="J1649" s="82" t="n"/>
      <c r="K1649" s="82" t="n"/>
      <c r="L1649" s="82" t="n"/>
      <c r="M1649" s="83" t="n"/>
      <c r="N1649" s="83" t="n"/>
      <c r="O1649" s="66">
        <f>IF(OR($M1649="",$N1649=""),"",$N1649-$M1649)</f>
        <v/>
      </c>
      <c r="P1649" s="84">
        <f>IF($J1649="","",IF($L1649&lt;&gt;"",$L1649-$J1649,TODAY()-$J1649))</f>
        <v/>
      </c>
      <c r="Q1649" s="85">
        <f>IF(OR($K1649="",$H1649="Completed",$H1649="Cancelled"),"",IF(AND($K1649&lt;TODAY(),$H1649&lt;&gt;"Completed",$H1649&lt;&gt;"Cancelled"),"Overdue","On Track"))</f>
        <v/>
      </c>
      <c r="R1649" s="81" t="n"/>
      <c r="S1649" s="81">
        <f>IF($B1649="","",IFERROR(INDEX(Task_Tracker!$AA$5:$AA$1004,MATCH($B1649,Task_Tracker!$A$5:$A$1004,0)),""))</f>
        <v/>
      </c>
      <c r="T1649" s="81">
        <f>IF($B1649="","",IFERROR(INDEX(Task_Tracker!$AB$5:$AB$1004,MATCH($B1649,Task_Tracker!$A$5:$A$1004,0)),""))</f>
        <v/>
      </c>
      <c r="U1649" s="78">
        <f>IF($B1649="","",IFERROR(INDEX(Task_Tracker!$F$5:$F$1004,MATCH($B1649,Task_Tracker!$A$5:$A$1004,0)),""))</f>
        <v/>
      </c>
      <c r="V1649" s="78">
        <f>IF($B1649="","",IFERROR(INDEX(Task_Tracker!$I$5:$I$1004,MATCH($B1649,Task_Tracker!$A$5:$A$1004,0)),""))</f>
        <v/>
      </c>
      <c r="W1649" s="81">
        <f>IF(OR($D1649="",$B1649=""),"",$D1649&amp;" | "&amp;$B1649)</f>
        <v/>
      </c>
      <c r="X1649" s="85">
        <f>IF($K1649="","",TEXT($K1649,"yyyy-mm"))</f>
        <v/>
      </c>
      <c r="Y1649" s="81">
        <f>IF(OR($A1649="",$T1649=""),"","Included in Manager_Report")</f>
        <v/>
      </c>
    </row>
    <row r="1650" ht="15" customHeight="1" s="40">
      <c r="A1650" s="65">
        <f>IF(COUNTA(B1650:G1650)=0,"","STP-"&amp;TEXT(ROW()-4,"0000"))</f>
        <v/>
      </c>
      <c r="B1650" s="78" t="n"/>
      <c r="C1650" s="67">
        <f>IF($B1650="","",IFERROR(INDEX(Task_Tracker!$D$5:$D$1004,MATCH($B1650,Task_Tracker!$A$5:$A$1004,0)),""))</f>
        <v/>
      </c>
      <c r="D1650" s="67">
        <f>IF($B1650="","",IFERROR(INDEX(Task_Tracker!$B$5:$B$1004,MATCH($B1650,Task_Tracker!$A$5:$A$1004,0)),""))</f>
        <v/>
      </c>
      <c r="E1650" s="81" t="n"/>
      <c r="F1650" s="81" t="n"/>
      <c r="G1650" s="78" t="n"/>
      <c r="H1650" s="78" t="n"/>
      <c r="I1650" s="67">
        <f>IF($H1650="","",IFERROR(INDEX(Action_Status_Map!$B$5:$B$11,MATCH($H1650,Action_Status_Map!$A$5:$A$11,0)),""))</f>
        <v/>
      </c>
      <c r="J1650" s="82" t="n"/>
      <c r="K1650" s="82" t="n"/>
      <c r="L1650" s="82" t="n"/>
      <c r="M1650" s="83" t="n"/>
      <c r="N1650" s="83" t="n"/>
      <c r="O1650" s="66">
        <f>IF(OR($M1650="",$N1650=""),"",$N1650-$M1650)</f>
        <v/>
      </c>
      <c r="P1650" s="84">
        <f>IF($J1650="","",IF($L1650&lt;&gt;"",$L1650-$J1650,TODAY()-$J1650))</f>
        <v/>
      </c>
      <c r="Q1650" s="85">
        <f>IF(OR($K1650="",$H1650="Completed",$H1650="Cancelled"),"",IF(AND($K1650&lt;TODAY(),$H1650&lt;&gt;"Completed",$H1650&lt;&gt;"Cancelled"),"Overdue","On Track"))</f>
        <v/>
      </c>
      <c r="R1650" s="81" t="n"/>
      <c r="S1650" s="81">
        <f>IF($B1650="","",IFERROR(INDEX(Task_Tracker!$AA$5:$AA$1004,MATCH($B1650,Task_Tracker!$A$5:$A$1004,0)),""))</f>
        <v/>
      </c>
      <c r="T1650" s="81">
        <f>IF($B1650="","",IFERROR(INDEX(Task_Tracker!$AB$5:$AB$1004,MATCH($B1650,Task_Tracker!$A$5:$A$1004,0)),""))</f>
        <v/>
      </c>
      <c r="U1650" s="78">
        <f>IF($B1650="","",IFERROR(INDEX(Task_Tracker!$F$5:$F$1004,MATCH($B1650,Task_Tracker!$A$5:$A$1004,0)),""))</f>
        <v/>
      </c>
      <c r="V1650" s="78">
        <f>IF($B1650="","",IFERROR(INDEX(Task_Tracker!$I$5:$I$1004,MATCH($B1650,Task_Tracker!$A$5:$A$1004,0)),""))</f>
        <v/>
      </c>
      <c r="W1650" s="81">
        <f>IF(OR($D1650="",$B1650=""),"",$D1650&amp;" | "&amp;$B1650)</f>
        <v/>
      </c>
      <c r="X1650" s="85">
        <f>IF($K1650="","",TEXT($K1650,"yyyy-mm"))</f>
        <v/>
      </c>
      <c r="Y1650" s="81">
        <f>IF(OR($A1650="",$T1650=""),"","Included in Manager_Report")</f>
        <v/>
      </c>
    </row>
    <row r="1651" ht="15" customHeight="1" s="40">
      <c r="A1651" s="65">
        <f>IF(COUNTA(B1651:G1651)=0,"","STP-"&amp;TEXT(ROW()-4,"0000"))</f>
        <v/>
      </c>
      <c r="B1651" s="78" t="n"/>
      <c r="C1651" s="67">
        <f>IF($B1651="","",IFERROR(INDEX(Task_Tracker!$D$5:$D$1004,MATCH($B1651,Task_Tracker!$A$5:$A$1004,0)),""))</f>
        <v/>
      </c>
      <c r="D1651" s="67">
        <f>IF($B1651="","",IFERROR(INDEX(Task_Tracker!$B$5:$B$1004,MATCH($B1651,Task_Tracker!$A$5:$A$1004,0)),""))</f>
        <v/>
      </c>
      <c r="E1651" s="81" t="n"/>
      <c r="F1651" s="81" t="n"/>
      <c r="G1651" s="78" t="n"/>
      <c r="H1651" s="78" t="n"/>
      <c r="I1651" s="67">
        <f>IF($H1651="","",IFERROR(INDEX(Action_Status_Map!$B$5:$B$11,MATCH($H1651,Action_Status_Map!$A$5:$A$11,0)),""))</f>
        <v/>
      </c>
      <c r="J1651" s="82" t="n"/>
      <c r="K1651" s="82" t="n"/>
      <c r="L1651" s="82" t="n"/>
      <c r="M1651" s="83" t="n"/>
      <c r="N1651" s="83" t="n"/>
      <c r="O1651" s="66">
        <f>IF(OR($M1651="",$N1651=""),"",$N1651-$M1651)</f>
        <v/>
      </c>
      <c r="P1651" s="84">
        <f>IF($J1651="","",IF($L1651&lt;&gt;"",$L1651-$J1651,TODAY()-$J1651))</f>
        <v/>
      </c>
      <c r="Q1651" s="85">
        <f>IF(OR($K1651="",$H1651="Completed",$H1651="Cancelled"),"",IF(AND($K1651&lt;TODAY(),$H1651&lt;&gt;"Completed",$H1651&lt;&gt;"Cancelled"),"Overdue","On Track"))</f>
        <v/>
      </c>
      <c r="R1651" s="81" t="n"/>
      <c r="S1651" s="81">
        <f>IF($B1651="","",IFERROR(INDEX(Task_Tracker!$AA$5:$AA$1004,MATCH($B1651,Task_Tracker!$A$5:$A$1004,0)),""))</f>
        <v/>
      </c>
      <c r="T1651" s="81">
        <f>IF($B1651="","",IFERROR(INDEX(Task_Tracker!$AB$5:$AB$1004,MATCH($B1651,Task_Tracker!$A$5:$A$1004,0)),""))</f>
        <v/>
      </c>
      <c r="U1651" s="78">
        <f>IF($B1651="","",IFERROR(INDEX(Task_Tracker!$F$5:$F$1004,MATCH($B1651,Task_Tracker!$A$5:$A$1004,0)),""))</f>
        <v/>
      </c>
      <c r="V1651" s="78">
        <f>IF($B1651="","",IFERROR(INDEX(Task_Tracker!$I$5:$I$1004,MATCH($B1651,Task_Tracker!$A$5:$A$1004,0)),""))</f>
        <v/>
      </c>
      <c r="W1651" s="81">
        <f>IF(OR($D1651="",$B1651=""),"",$D1651&amp;" | "&amp;$B1651)</f>
        <v/>
      </c>
      <c r="X1651" s="85">
        <f>IF($K1651="","",TEXT($K1651,"yyyy-mm"))</f>
        <v/>
      </c>
      <c r="Y1651" s="81">
        <f>IF(OR($A1651="",$T1651=""),"","Included in Manager_Report")</f>
        <v/>
      </c>
    </row>
    <row r="1652" ht="15" customHeight="1" s="40">
      <c r="A1652" s="65">
        <f>IF(COUNTA(B1652:G1652)=0,"","STP-"&amp;TEXT(ROW()-4,"0000"))</f>
        <v/>
      </c>
      <c r="B1652" s="78" t="n"/>
      <c r="C1652" s="67">
        <f>IF($B1652="","",IFERROR(INDEX(Task_Tracker!$D$5:$D$1004,MATCH($B1652,Task_Tracker!$A$5:$A$1004,0)),""))</f>
        <v/>
      </c>
      <c r="D1652" s="67">
        <f>IF($B1652="","",IFERROR(INDEX(Task_Tracker!$B$5:$B$1004,MATCH($B1652,Task_Tracker!$A$5:$A$1004,0)),""))</f>
        <v/>
      </c>
      <c r="E1652" s="81" t="n"/>
      <c r="F1652" s="81" t="n"/>
      <c r="G1652" s="78" t="n"/>
      <c r="H1652" s="78" t="n"/>
      <c r="I1652" s="67">
        <f>IF($H1652="","",IFERROR(INDEX(Action_Status_Map!$B$5:$B$11,MATCH($H1652,Action_Status_Map!$A$5:$A$11,0)),""))</f>
        <v/>
      </c>
      <c r="J1652" s="82" t="n"/>
      <c r="K1652" s="82" t="n"/>
      <c r="L1652" s="82" t="n"/>
      <c r="M1652" s="83" t="n"/>
      <c r="N1652" s="83" t="n"/>
      <c r="O1652" s="66">
        <f>IF(OR($M1652="",$N1652=""),"",$N1652-$M1652)</f>
        <v/>
      </c>
      <c r="P1652" s="84">
        <f>IF($J1652="","",IF($L1652&lt;&gt;"",$L1652-$J1652,TODAY()-$J1652))</f>
        <v/>
      </c>
      <c r="Q1652" s="85">
        <f>IF(OR($K1652="",$H1652="Completed",$H1652="Cancelled"),"",IF(AND($K1652&lt;TODAY(),$H1652&lt;&gt;"Completed",$H1652&lt;&gt;"Cancelled"),"Overdue","On Track"))</f>
        <v/>
      </c>
      <c r="R1652" s="81" t="n"/>
      <c r="S1652" s="81">
        <f>IF($B1652="","",IFERROR(INDEX(Task_Tracker!$AA$5:$AA$1004,MATCH($B1652,Task_Tracker!$A$5:$A$1004,0)),""))</f>
        <v/>
      </c>
      <c r="T1652" s="81">
        <f>IF($B1652="","",IFERROR(INDEX(Task_Tracker!$AB$5:$AB$1004,MATCH($B1652,Task_Tracker!$A$5:$A$1004,0)),""))</f>
        <v/>
      </c>
      <c r="U1652" s="78">
        <f>IF($B1652="","",IFERROR(INDEX(Task_Tracker!$F$5:$F$1004,MATCH($B1652,Task_Tracker!$A$5:$A$1004,0)),""))</f>
        <v/>
      </c>
      <c r="V1652" s="78">
        <f>IF($B1652="","",IFERROR(INDEX(Task_Tracker!$I$5:$I$1004,MATCH($B1652,Task_Tracker!$A$5:$A$1004,0)),""))</f>
        <v/>
      </c>
      <c r="W1652" s="81">
        <f>IF(OR($D1652="",$B1652=""),"",$D1652&amp;" | "&amp;$B1652)</f>
        <v/>
      </c>
      <c r="X1652" s="85">
        <f>IF($K1652="","",TEXT($K1652,"yyyy-mm"))</f>
        <v/>
      </c>
      <c r="Y1652" s="81">
        <f>IF(OR($A1652="",$T1652=""),"","Included in Manager_Report")</f>
        <v/>
      </c>
    </row>
    <row r="1653" ht="15" customHeight="1" s="40">
      <c r="A1653" s="65">
        <f>IF(COUNTA(B1653:G1653)=0,"","STP-"&amp;TEXT(ROW()-4,"0000"))</f>
        <v/>
      </c>
      <c r="B1653" s="78" t="n"/>
      <c r="C1653" s="67">
        <f>IF($B1653="","",IFERROR(INDEX(Task_Tracker!$D$5:$D$1004,MATCH($B1653,Task_Tracker!$A$5:$A$1004,0)),""))</f>
        <v/>
      </c>
      <c r="D1653" s="67">
        <f>IF($B1653="","",IFERROR(INDEX(Task_Tracker!$B$5:$B$1004,MATCH($B1653,Task_Tracker!$A$5:$A$1004,0)),""))</f>
        <v/>
      </c>
      <c r="E1653" s="81" t="n"/>
      <c r="F1653" s="81" t="n"/>
      <c r="G1653" s="78" t="n"/>
      <c r="H1653" s="78" t="n"/>
      <c r="I1653" s="67">
        <f>IF($H1653="","",IFERROR(INDEX(Action_Status_Map!$B$5:$B$11,MATCH($H1653,Action_Status_Map!$A$5:$A$11,0)),""))</f>
        <v/>
      </c>
      <c r="J1653" s="82" t="n"/>
      <c r="K1653" s="82" t="n"/>
      <c r="L1653" s="82" t="n"/>
      <c r="M1653" s="83" t="n"/>
      <c r="N1653" s="83" t="n"/>
      <c r="O1653" s="66">
        <f>IF(OR($M1653="",$N1653=""),"",$N1653-$M1653)</f>
        <v/>
      </c>
      <c r="P1653" s="84">
        <f>IF($J1653="","",IF($L1653&lt;&gt;"",$L1653-$J1653,TODAY()-$J1653))</f>
        <v/>
      </c>
      <c r="Q1653" s="85">
        <f>IF(OR($K1653="",$H1653="Completed",$H1653="Cancelled"),"",IF(AND($K1653&lt;TODAY(),$H1653&lt;&gt;"Completed",$H1653&lt;&gt;"Cancelled"),"Overdue","On Track"))</f>
        <v/>
      </c>
      <c r="R1653" s="81" t="n"/>
      <c r="S1653" s="81">
        <f>IF($B1653="","",IFERROR(INDEX(Task_Tracker!$AA$5:$AA$1004,MATCH($B1653,Task_Tracker!$A$5:$A$1004,0)),""))</f>
        <v/>
      </c>
      <c r="T1653" s="81">
        <f>IF($B1653="","",IFERROR(INDEX(Task_Tracker!$AB$5:$AB$1004,MATCH($B1653,Task_Tracker!$A$5:$A$1004,0)),""))</f>
        <v/>
      </c>
      <c r="U1653" s="78">
        <f>IF($B1653="","",IFERROR(INDEX(Task_Tracker!$F$5:$F$1004,MATCH($B1653,Task_Tracker!$A$5:$A$1004,0)),""))</f>
        <v/>
      </c>
      <c r="V1653" s="78">
        <f>IF($B1653="","",IFERROR(INDEX(Task_Tracker!$I$5:$I$1004,MATCH($B1653,Task_Tracker!$A$5:$A$1004,0)),""))</f>
        <v/>
      </c>
      <c r="W1653" s="81">
        <f>IF(OR($D1653="",$B1653=""),"",$D1653&amp;" | "&amp;$B1653)</f>
        <v/>
      </c>
      <c r="X1653" s="85">
        <f>IF($K1653="","",TEXT($K1653,"yyyy-mm"))</f>
        <v/>
      </c>
      <c r="Y1653" s="81">
        <f>IF(OR($A1653="",$T1653=""),"","Included in Manager_Report")</f>
        <v/>
      </c>
    </row>
    <row r="1654" ht="15" customHeight="1" s="40">
      <c r="A1654" s="65">
        <f>IF(COUNTA(B1654:G1654)=0,"","STP-"&amp;TEXT(ROW()-4,"0000"))</f>
        <v/>
      </c>
      <c r="B1654" s="78" t="n"/>
      <c r="C1654" s="67">
        <f>IF($B1654="","",IFERROR(INDEX(Task_Tracker!$D$5:$D$1004,MATCH($B1654,Task_Tracker!$A$5:$A$1004,0)),""))</f>
        <v/>
      </c>
      <c r="D1654" s="67">
        <f>IF($B1654="","",IFERROR(INDEX(Task_Tracker!$B$5:$B$1004,MATCH($B1654,Task_Tracker!$A$5:$A$1004,0)),""))</f>
        <v/>
      </c>
      <c r="E1654" s="81" t="n"/>
      <c r="F1654" s="81" t="n"/>
      <c r="G1654" s="78" t="n"/>
      <c r="H1654" s="78" t="n"/>
      <c r="I1654" s="67">
        <f>IF($H1654="","",IFERROR(INDEX(Action_Status_Map!$B$5:$B$11,MATCH($H1654,Action_Status_Map!$A$5:$A$11,0)),""))</f>
        <v/>
      </c>
      <c r="J1654" s="82" t="n"/>
      <c r="K1654" s="82" t="n"/>
      <c r="L1654" s="82" t="n"/>
      <c r="M1654" s="83" t="n"/>
      <c r="N1654" s="83" t="n"/>
      <c r="O1654" s="66">
        <f>IF(OR($M1654="",$N1654=""),"",$N1654-$M1654)</f>
        <v/>
      </c>
      <c r="P1654" s="84">
        <f>IF($J1654="","",IF($L1654&lt;&gt;"",$L1654-$J1654,TODAY()-$J1654))</f>
        <v/>
      </c>
      <c r="Q1654" s="85">
        <f>IF(OR($K1654="",$H1654="Completed",$H1654="Cancelled"),"",IF(AND($K1654&lt;TODAY(),$H1654&lt;&gt;"Completed",$H1654&lt;&gt;"Cancelled"),"Overdue","On Track"))</f>
        <v/>
      </c>
      <c r="R1654" s="81" t="n"/>
      <c r="S1654" s="81">
        <f>IF($B1654="","",IFERROR(INDEX(Task_Tracker!$AA$5:$AA$1004,MATCH($B1654,Task_Tracker!$A$5:$A$1004,0)),""))</f>
        <v/>
      </c>
      <c r="T1654" s="81">
        <f>IF($B1654="","",IFERROR(INDEX(Task_Tracker!$AB$5:$AB$1004,MATCH($B1654,Task_Tracker!$A$5:$A$1004,0)),""))</f>
        <v/>
      </c>
      <c r="U1654" s="78">
        <f>IF($B1654="","",IFERROR(INDEX(Task_Tracker!$F$5:$F$1004,MATCH($B1654,Task_Tracker!$A$5:$A$1004,0)),""))</f>
        <v/>
      </c>
      <c r="V1654" s="78">
        <f>IF($B1654="","",IFERROR(INDEX(Task_Tracker!$I$5:$I$1004,MATCH($B1654,Task_Tracker!$A$5:$A$1004,0)),""))</f>
        <v/>
      </c>
      <c r="W1654" s="81">
        <f>IF(OR($D1654="",$B1654=""),"",$D1654&amp;" | "&amp;$B1654)</f>
        <v/>
      </c>
      <c r="X1654" s="85">
        <f>IF($K1654="","",TEXT($K1654,"yyyy-mm"))</f>
        <v/>
      </c>
      <c r="Y1654" s="81">
        <f>IF(OR($A1654="",$T1654=""),"","Included in Manager_Report")</f>
        <v/>
      </c>
    </row>
    <row r="1655" ht="15" customHeight="1" s="40">
      <c r="A1655" s="65">
        <f>IF(COUNTA(B1655:G1655)=0,"","STP-"&amp;TEXT(ROW()-4,"0000"))</f>
        <v/>
      </c>
      <c r="B1655" s="78" t="n"/>
      <c r="C1655" s="67">
        <f>IF($B1655="","",IFERROR(INDEX(Task_Tracker!$D$5:$D$1004,MATCH($B1655,Task_Tracker!$A$5:$A$1004,0)),""))</f>
        <v/>
      </c>
      <c r="D1655" s="67">
        <f>IF($B1655="","",IFERROR(INDEX(Task_Tracker!$B$5:$B$1004,MATCH($B1655,Task_Tracker!$A$5:$A$1004,0)),""))</f>
        <v/>
      </c>
      <c r="E1655" s="81" t="n"/>
      <c r="F1655" s="81" t="n"/>
      <c r="G1655" s="78" t="n"/>
      <c r="H1655" s="78" t="n"/>
      <c r="I1655" s="67">
        <f>IF($H1655="","",IFERROR(INDEX(Action_Status_Map!$B$5:$B$11,MATCH($H1655,Action_Status_Map!$A$5:$A$11,0)),""))</f>
        <v/>
      </c>
      <c r="J1655" s="82" t="n"/>
      <c r="K1655" s="82" t="n"/>
      <c r="L1655" s="82" t="n"/>
      <c r="M1655" s="83" t="n"/>
      <c r="N1655" s="83" t="n"/>
      <c r="O1655" s="66">
        <f>IF(OR($M1655="",$N1655=""),"",$N1655-$M1655)</f>
        <v/>
      </c>
      <c r="P1655" s="84">
        <f>IF($J1655="","",IF($L1655&lt;&gt;"",$L1655-$J1655,TODAY()-$J1655))</f>
        <v/>
      </c>
      <c r="Q1655" s="85">
        <f>IF(OR($K1655="",$H1655="Completed",$H1655="Cancelled"),"",IF(AND($K1655&lt;TODAY(),$H1655&lt;&gt;"Completed",$H1655&lt;&gt;"Cancelled"),"Overdue","On Track"))</f>
        <v/>
      </c>
      <c r="R1655" s="81" t="n"/>
      <c r="S1655" s="81">
        <f>IF($B1655="","",IFERROR(INDEX(Task_Tracker!$AA$5:$AA$1004,MATCH($B1655,Task_Tracker!$A$5:$A$1004,0)),""))</f>
        <v/>
      </c>
      <c r="T1655" s="81">
        <f>IF($B1655="","",IFERROR(INDEX(Task_Tracker!$AB$5:$AB$1004,MATCH($B1655,Task_Tracker!$A$5:$A$1004,0)),""))</f>
        <v/>
      </c>
      <c r="U1655" s="78">
        <f>IF($B1655="","",IFERROR(INDEX(Task_Tracker!$F$5:$F$1004,MATCH($B1655,Task_Tracker!$A$5:$A$1004,0)),""))</f>
        <v/>
      </c>
      <c r="V1655" s="78">
        <f>IF($B1655="","",IFERROR(INDEX(Task_Tracker!$I$5:$I$1004,MATCH($B1655,Task_Tracker!$A$5:$A$1004,0)),""))</f>
        <v/>
      </c>
      <c r="W1655" s="81">
        <f>IF(OR($D1655="",$B1655=""),"",$D1655&amp;" | "&amp;$B1655)</f>
        <v/>
      </c>
      <c r="X1655" s="85">
        <f>IF($K1655="","",TEXT($K1655,"yyyy-mm"))</f>
        <v/>
      </c>
      <c r="Y1655" s="81">
        <f>IF(OR($A1655="",$T1655=""),"","Included in Manager_Report")</f>
        <v/>
      </c>
    </row>
    <row r="1656" ht="15" customHeight="1" s="40">
      <c r="A1656" s="65">
        <f>IF(COUNTA(B1656:G1656)=0,"","STP-"&amp;TEXT(ROW()-4,"0000"))</f>
        <v/>
      </c>
      <c r="B1656" s="78" t="n"/>
      <c r="C1656" s="67">
        <f>IF($B1656="","",IFERROR(INDEX(Task_Tracker!$D$5:$D$1004,MATCH($B1656,Task_Tracker!$A$5:$A$1004,0)),""))</f>
        <v/>
      </c>
      <c r="D1656" s="67">
        <f>IF($B1656="","",IFERROR(INDEX(Task_Tracker!$B$5:$B$1004,MATCH($B1656,Task_Tracker!$A$5:$A$1004,0)),""))</f>
        <v/>
      </c>
      <c r="E1656" s="81" t="n"/>
      <c r="F1656" s="81" t="n"/>
      <c r="G1656" s="78" t="n"/>
      <c r="H1656" s="78" t="n"/>
      <c r="I1656" s="67">
        <f>IF($H1656="","",IFERROR(INDEX(Action_Status_Map!$B$5:$B$11,MATCH($H1656,Action_Status_Map!$A$5:$A$11,0)),""))</f>
        <v/>
      </c>
      <c r="J1656" s="82" t="n"/>
      <c r="K1656" s="82" t="n"/>
      <c r="L1656" s="82" t="n"/>
      <c r="M1656" s="83" t="n"/>
      <c r="N1656" s="83" t="n"/>
      <c r="O1656" s="66">
        <f>IF(OR($M1656="",$N1656=""),"",$N1656-$M1656)</f>
        <v/>
      </c>
      <c r="P1656" s="84">
        <f>IF($J1656="","",IF($L1656&lt;&gt;"",$L1656-$J1656,TODAY()-$J1656))</f>
        <v/>
      </c>
      <c r="Q1656" s="85">
        <f>IF(OR($K1656="",$H1656="Completed",$H1656="Cancelled"),"",IF(AND($K1656&lt;TODAY(),$H1656&lt;&gt;"Completed",$H1656&lt;&gt;"Cancelled"),"Overdue","On Track"))</f>
        <v/>
      </c>
      <c r="R1656" s="81" t="n"/>
      <c r="S1656" s="81">
        <f>IF($B1656="","",IFERROR(INDEX(Task_Tracker!$AA$5:$AA$1004,MATCH($B1656,Task_Tracker!$A$5:$A$1004,0)),""))</f>
        <v/>
      </c>
      <c r="T1656" s="81">
        <f>IF($B1656="","",IFERROR(INDEX(Task_Tracker!$AB$5:$AB$1004,MATCH($B1656,Task_Tracker!$A$5:$A$1004,0)),""))</f>
        <v/>
      </c>
      <c r="U1656" s="78">
        <f>IF($B1656="","",IFERROR(INDEX(Task_Tracker!$F$5:$F$1004,MATCH($B1656,Task_Tracker!$A$5:$A$1004,0)),""))</f>
        <v/>
      </c>
      <c r="V1656" s="78">
        <f>IF($B1656="","",IFERROR(INDEX(Task_Tracker!$I$5:$I$1004,MATCH($B1656,Task_Tracker!$A$5:$A$1004,0)),""))</f>
        <v/>
      </c>
      <c r="W1656" s="81">
        <f>IF(OR($D1656="",$B1656=""),"",$D1656&amp;" | "&amp;$B1656)</f>
        <v/>
      </c>
      <c r="X1656" s="85">
        <f>IF($K1656="","",TEXT($K1656,"yyyy-mm"))</f>
        <v/>
      </c>
      <c r="Y1656" s="81">
        <f>IF(OR($A1656="",$T1656=""),"","Included in Manager_Report")</f>
        <v/>
      </c>
    </row>
    <row r="1657" ht="15" customHeight="1" s="40">
      <c r="A1657" s="65">
        <f>IF(COUNTA(B1657:G1657)=0,"","STP-"&amp;TEXT(ROW()-4,"0000"))</f>
        <v/>
      </c>
      <c r="B1657" s="78" t="n"/>
      <c r="C1657" s="67">
        <f>IF($B1657="","",IFERROR(INDEX(Task_Tracker!$D$5:$D$1004,MATCH($B1657,Task_Tracker!$A$5:$A$1004,0)),""))</f>
        <v/>
      </c>
      <c r="D1657" s="67">
        <f>IF($B1657="","",IFERROR(INDEX(Task_Tracker!$B$5:$B$1004,MATCH($B1657,Task_Tracker!$A$5:$A$1004,0)),""))</f>
        <v/>
      </c>
      <c r="E1657" s="81" t="n"/>
      <c r="F1657" s="81" t="n"/>
      <c r="G1657" s="78" t="n"/>
      <c r="H1657" s="78" t="n"/>
      <c r="I1657" s="67">
        <f>IF($H1657="","",IFERROR(INDEX(Action_Status_Map!$B$5:$B$11,MATCH($H1657,Action_Status_Map!$A$5:$A$11,0)),""))</f>
        <v/>
      </c>
      <c r="J1657" s="82" t="n"/>
      <c r="K1657" s="82" t="n"/>
      <c r="L1657" s="82" t="n"/>
      <c r="M1657" s="83" t="n"/>
      <c r="N1657" s="83" t="n"/>
      <c r="O1657" s="66">
        <f>IF(OR($M1657="",$N1657=""),"",$N1657-$M1657)</f>
        <v/>
      </c>
      <c r="P1657" s="84">
        <f>IF($J1657="","",IF($L1657&lt;&gt;"",$L1657-$J1657,TODAY()-$J1657))</f>
        <v/>
      </c>
      <c r="Q1657" s="85">
        <f>IF(OR($K1657="",$H1657="Completed",$H1657="Cancelled"),"",IF(AND($K1657&lt;TODAY(),$H1657&lt;&gt;"Completed",$H1657&lt;&gt;"Cancelled"),"Overdue","On Track"))</f>
        <v/>
      </c>
      <c r="R1657" s="81" t="n"/>
      <c r="S1657" s="81">
        <f>IF($B1657="","",IFERROR(INDEX(Task_Tracker!$AA$5:$AA$1004,MATCH($B1657,Task_Tracker!$A$5:$A$1004,0)),""))</f>
        <v/>
      </c>
      <c r="T1657" s="81">
        <f>IF($B1657="","",IFERROR(INDEX(Task_Tracker!$AB$5:$AB$1004,MATCH($B1657,Task_Tracker!$A$5:$A$1004,0)),""))</f>
        <v/>
      </c>
      <c r="U1657" s="78">
        <f>IF($B1657="","",IFERROR(INDEX(Task_Tracker!$F$5:$F$1004,MATCH($B1657,Task_Tracker!$A$5:$A$1004,0)),""))</f>
        <v/>
      </c>
      <c r="V1657" s="78">
        <f>IF($B1657="","",IFERROR(INDEX(Task_Tracker!$I$5:$I$1004,MATCH($B1657,Task_Tracker!$A$5:$A$1004,0)),""))</f>
        <v/>
      </c>
      <c r="W1657" s="81">
        <f>IF(OR($D1657="",$B1657=""),"",$D1657&amp;" | "&amp;$B1657)</f>
        <v/>
      </c>
      <c r="X1657" s="85">
        <f>IF($K1657="","",TEXT($K1657,"yyyy-mm"))</f>
        <v/>
      </c>
      <c r="Y1657" s="81">
        <f>IF(OR($A1657="",$T1657=""),"","Included in Manager_Report")</f>
        <v/>
      </c>
    </row>
    <row r="1658" ht="15" customHeight="1" s="40">
      <c r="A1658" s="65">
        <f>IF(COUNTA(B1658:G1658)=0,"","STP-"&amp;TEXT(ROW()-4,"0000"))</f>
        <v/>
      </c>
      <c r="B1658" s="78" t="n"/>
      <c r="C1658" s="67">
        <f>IF($B1658="","",IFERROR(INDEX(Task_Tracker!$D$5:$D$1004,MATCH($B1658,Task_Tracker!$A$5:$A$1004,0)),""))</f>
        <v/>
      </c>
      <c r="D1658" s="67">
        <f>IF($B1658="","",IFERROR(INDEX(Task_Tracker!$B$5:$B$1004,MATCH($B1658,Task_Tracker!$A$5:$A$1004,0)),""))</f>
        <v/>
      </c>
      <c r="E1658" s="81" t="n"/>
      <c r="F1658" s="81" t="n"/>
      <c r="G1658" s="78" t="n"/>
      <c r="H1658" s="78" t="n"/>
      <c r="I1658" s="67">
        <f>IF($H1658="","",IFERROR(INDEX(Action_Status_Map!$B$5:$B$11,MATCH($H1658,Action_Status_Map!$A$5:$A$11,0)),""))</f>
        <v/>
      </c>
      <c r="J1658" s="82" t="n"/>
      <c r="K1658" s="82" t="n"/>
      <c r="L1658" s="82" t="n"/>
      <c r="M1658" s="83" t="n"/>
      <c r="N1658" s="83" t="n"/>
      <c r="O1658" s="66">
        <f>IF(OR($M1658="",$N1658=""),"",$N1658-$M1658)</f>
        <v/>
      </c>
      <c r="P1658" s="84">
        <f>IF($J1658="","",IF($L1658&lt;&gt;"",$L1658-$J1658,TODAY()-$J1658))</f>
        <v/>
      </c>
      <c r="Q1658" s="85">
        <f>IF(OR($K1658="",$H1658="Completed",$H1658="Cancelled"),"",IF(AND($K1658&lt;TODAY(),$H1658&lt;&gt;"Completed",$H1658&lt;&gt;"Cancelled"),"Overdue","On Track"))</f>
        <v/>
      </c>
      <c r="R1658" s="81" t="n"/>
      <c r="S1658" s="81">
        <f>IF($B1658="","",IFERROR(INDEX(Task_Tracker!$AA$5:$AA$1004,MATCH($B1658,Task_Tracker!$A$5:$A$1004,0)),""))</f>
        <v/>
      </c>
      <c r="T1658" s="81">
        <f>IF($B1658="","",IFERROR(INDEX(Task_Tracker!$AB$5:$AB$1004,MATCH($B1658,Task_Tracker!$A$5:$A$1004,0)),""))</f>
        <v/>
      </c>
      <c r="U1658" s="78">
        <f>IF($B1658="","",IFERROR(INDEX(Task_Tracker!$F$5:$F$1004,MATCH($B1658,Task_Tracker!$A$5:$A$1004,0)),""))</f>
        <v/>
      </c>
      <c r="V1658" s="78">
        <f>IF($B1658="","",IFERROR(INDEX(Task_Tracker!$I$5:$I$1004,MATCH($B1658,Task_Tracker!$A$5:$A$1004,0)),""))</f>
        <v/>
      </c>
      <c r="W1658" s="81">
        <f>IF(OR($D1658="",$B1658=""),"",$D1658&amp;" | "&amp;$B1658)</f>
        <v/>
      </c>
      <c r="X1658" s="85">
        <f>IF($K1658="","",TEXT($K1658,"yyyy-mm"))</f>
        <v/>
      </c>
      <c r="Y1658" s="81">
        <f>IF(OR($A1658="",$T1658=""),"","Included in Manager_Report")</f>
        <v/>
      </c>
    </row>
    <row r="1659" ht="15" customHeight="1" s="40">
      <c r="A1659" s="65">
        <f>IF(COUNTA(B1659:G1659)=0,"","STP-"&amp;TEXT(ROW()-4,"0000"))</f>
        <v/>
      </c>
      <c r="B1659" s="78" t="n"/>
      <c r="C1659" s="67">
        <f>IF($B1659="","",IFERROR(INDEX(Task_Tracker!$D$5:$D$1004,MATCH($B1659,Task_Tracker!$A$5:$A$1004,0)),""))</f>
        <v/>
      </c>
      <c r="D1659" s="67">
        <f>IF($B1659="","",IFERROR(INDEX(Task_Tracker!$B$5:$B$1004,MATCH($B1659,Task_Tracker!$A$5:$A$1004,0)),""))</f>
        <v/>
      </c>
      <c r="E1659" s="81" t="n"/>
      <c r="F1659" s="81" t="n"/>
      <c r="G1659" s="78" t="n"/>
      <c r="H1659" s="78" t="n"/>
      <c r="I1659" s="67">
        <f>IF($H1659="","",IFERROR(INDEX(Action_Status_Map!$B$5:$B$11,MATCH($H1659,Action_Status_Map!$A$5:$A$11,0)),""))</f>
        <v/>
      </c>
      <c r="J1659" s="82" t="n"/>
      <c r="K1659" s="82" t="n"/>
      <c r="L1659" s="82" t="n"/>
      <c r="M1659" s="83" t="n"/>
      <c r="N1659" s="83" t="n"/>
      <c r="O1659" s="66">
        <f>IF(OR($M1659="",$N1659=""),"",$N1659-$M1659)</f>
        <v/>
      </c>
      <c r="P1659" s="84">
        <f>IF($J1659="","",IF($L1659&lt;&gt;"",$L1659-$J1659,TODAY()-$J1659))</f>
        <v/>
      </c>
      <c r="Q1659" s="85">
        <f>IF(OR($K1659="",$H1659="Completed",$H1659="Cancelled"),"",IF(AND($K1659&lt;TODAY(),$H1659&lt;&gt;"Completed",$H1659&lt;&gt;"Cancelled"),"Overdue","On Track"))</f>
        <v/>
      </c>
      <c r="R1659" s="81" t="n"/>
      <c r="S1659" s="81">
        <f>IF($B1659="","",IFERROR(INDEX(Task_Tracker!$AA$5:$AA$1004,MATCH($B1659,Task_Tracker!$A$5:$A$1004,0)),""))</f>
        <v/>
      </c>
      <c r="T1659" s="81">
        <f>IF($B1659="","",IFERROR(INDEX(Task_Tracker!$AB$5:$AB$1004,MATCH($B1659,Task_Tracker!$A$5:$A$1004,0)),""))</f>
        <v/>
      </c>
      <c r="U1659" s="78">
        <f>IF($B1659="","",IFERROR(INDEX(Task_Tracker!$F$5:$F$1004,MATCH($B1659,Task_Tracker!$A$5:$A$1004,0)),""))</f>
        <v/>
      </c>
      <c r="V1659" s="78">
        <f>IF($B1659="","",IFERROR(INDEX(Task_Tracker!$I$5:$I$1004,MATCH($B1659,Task_Tracker!$A$5:$A$1004,0)),""))</f>
        <v/>
      </c>
      <c r="W1659" s="81">
        <f>IF(OR($D1659="",$B1659=""),"",$D1659&amp;" | "&amp;$B1659)</f>
        <v/>
      </c>
      <c r="X1659" s="85">
        <f>IF($K1659="","",TEXT($K1659,"yyyy-mm"))</f>
        <v/>
      </c>
      <c r="Y1659" s="81">
        <f>IF(OR($A1659="",$T1659=""),"","Included in Manager_Report")</f>
        <v/>
      </c>
    </row>
    <row r="1660" ht="15" customHeight="1" s="40">
      <c r="A1660" s="65">
        <f>IF(COUNTA(B1660:G1660)=0,"","STP-"&amp;TEXT(ROW()-4,"0000"))</f>
        <v/>
      </c>
      <c r="B1660" s="78" t="n"/>
      <c r="C1660" s="67">
        <f>IF($B1660="","",IFERROR(INDEX(Task_Tracker!$D$5:$D$1004,MATCH($B1660,Task_Tracker!$A$5:$A$1004,0)),""))</f>
        <v/>
      </c>
      <c r="D1660" s="67">
        <f>IF($B1660="","",IFERROR(INDEX(Task_Tracker!$B$5:$B$1004,MATCH($B1660,Task_Tracker!$A$5:$A$1004,0)),""))</f>
        <v/>
      </c>
      <c r="E1660" s="81" t="n"/>
      <c r="F1660" s="81" t="n"/>
      <c r="G1660" s="78" t="n"/>
      <c r="H1660" s="78" t="n"/>
      <c r="I1660" s="67">
        <f>IF($H1660="","",IFERROR(INDEX(Action_Status_Map!$B$5:$B$11,MATCH($H1660,Action_Status_Map!$A$5:$A$11,0)),""))</f>
        <v/>
      </c>
      <c r="J1660" s="82" t="n"/>
      <c r="K1660" s="82" t="n"/>
      <c r="L1660" s="82" t="n"/>
      <c r="M1660" s="83" t="n"/>
      <c r="N1660" s="83" t="n"/>
      <c r="O1660" s="66">
        <f>IF(OR($M1660="",$N1660=""),"",$N1660-$M1660)</f>
        <v/>
      </c>
      <c r="P1660" s="84">
        <f>IF($J1660="","",IF($L1660&lt;&gt;"",$L1660-$J1660,TODAY()-$J1660))</f>
        <v/>
      </c>
      <c r="Q1660" s="85">
        <f>IF(OR($K1660="",$H1660="Completed",$H1660="Cancelled"),"",IF(AND($K1660&lt;TODAY(),$H1660&lt;&gt;"Completed",$H1660&lt;&gt;"Cancelled"),"Overdue","On Track"))</f>
        <v/>
      </c>
      <c r="R1660" s="81" t="n"/>
      <c r="S1660" s="81">
        <f>IF($B1660="","",IFERROR(INDEX(Task_Tracker!$AA$5:$AA$1004,MATCH($B1660,Task_Tracker!$A$5:$A$1004,0)),""))</f>
        <v/>
      </c>
      <c r="T1660" s="81">
        <f>IF($B1660="","",IFERROR(INDEX(Task_Tracker!$AB$5:$AB$1004,MATCH($B1660,Task_Tracker!$A$5:$A$1004,0)),""))</f>
        <v/>
      </c>
      <c r="U1660" s="78">
        <f>IF($B1660="","",IFERROR(INDEX(Task_Tracker!$F$5:$F$1004,MATCH($B1660,Task_Tracker!$A$5:$A$1004,0)),""))</f>
        <v/>
      </c>
      <c r="V1660" s="78">
        <f>IF($B1660="","",IFERROR(INDEX(Task_Tracker!$I$5:$I$1004,MATCH($B1660,Task_Tracker!$A$5:$A$1004,0)),""))</f>
        <v/>
      </c>
      <c r="W1660" s="81">
        <f>IF(OR($D1660="",$B1660=""),"",$D1660&amp;" | "&amp;$B1660)</f>
        <v/>
      </c>
      <c r="X1660" s="85">
        <f>IF($K1660="","",TEXT($K1660,"yyyy-mm"))</f>
        <v/>
      </c>
      <c r="Y1660" s="81">
        <f>IF(OR($A1660="",$T1660=""),"","Included in Manager_Report")</f>
        <v/>
      </c>
    </row>
    <row r="1661" ht="15" customHeight="1" s="40">
      <c r="A1661" s="65">
        <f>IF(COUNTA(B1661:G1661)=0,"","STP-"&amp;TEXT(ROW()-4,"0000"))</f>
        <v/>
      </c>
      <c r="B1661" s="78" t="n"/>
      <c r="C1661" s="67">
        <f>IF($B1661="","",IFERROR(INDEX(Task_Tracker!$D$5:$D$1004,MATCH($B1661,Task_Tracker!$A$5:$A$1004,0)),""))</f>
        <v/>
      </c>
      <c r="D1661" s="67">
        <f>IF($B1661="","",IFERROR(INDEX(Task_Tracker!$B$5:$B$1004,MATCH($B1661,Task_Tracker!$A$5:$A$1004,0)),""))</f>
        <v/>
      </c>
      <c r="E1661" s="81" t="n"/>
      <c r="F1661" s="81" t="n"/>
      <c r="G1661" s="78" t="n"/>
      <c r="H1661" s="78" t="n"/>
      <c r="I1661" s="67">
        <f>IF($H1661="","",IFERROR(INDEX(Action_Status_Map!$B$5:$B$11,MATCH($H1661,Action_Status_Map!$A$5:$A$11,0)),""))</f>
        <v/>
      </c>
      <c r="J1661" s="82" t="n"/>
      <c r="K1661" s="82" t="n"/>
      <c r="L1661" s="82" t="n"/>
      <c r="M1661" s="83" t="n"/>
      <c r="N1661" s="83" t="n"/>
      <c r="O1661" s="66">
        <f>IF(OR($M1661="",$N1661=""),"",$N1661-$M1661)</f>
        <v/>
      </c>
      <c r="P1661" s="84">
        <f>IF($J1661="","",IF($L1661&lt;&gt;"",$L1661-$J1661,TODAY()-$J1661))</f>
        <v/>
      </c>
      <c r="Q1661" s="85">
        <f>IF(OR($K1661="",$H1661="Completed",$H1661="Cancelled"),"",IF(AND($K1661&lt;TODAY(),$H1661&lt;&gt;"Completed",$H1661&lt;&gt;"Cancelled"),"Overdue","On Track"))</f>
        <v/>
      </c>
      <c r="R1661" s="81" t="n"/>
      <c r="S1661" s="81">
        <f>IF($B1661="","",IFERROR(INDEX(Task_Tracker!$AA$5:$AA$1004,MATCH($B1661,Task_Tracker!$A$5:$A$1004,0)),""))</f>
        <v/>
      </c>
      <c r="T1661" s="81">
        <f>IF($B1661="","",IFERROR(INDEX(Task_Tracker!$AB$5:$AB$1004,MATCH($B1661,Task_Tracker!$A$5:$A$1004,0)),""))</f>
        <v/>
      </c>
      <c r="U1661" s="78">
        <f>IF($B1661="","",IFERROR(INDEX(Task_Tracker!$F$5:$F$1004,MATCH($B1661,Task_Tracker!$A$5:$A$1004,0)),""))</f>
        <v/>
      </c>
      <c r="V1661" s="78">
        <f>IF($B1661="","",IFERROR(INDEX(Task_Tracker!$I$5:$I$1004,MATCH($B1661,Task_Tracker!$A$5:$A$1004,0)),""))</f>
        <v/>
      </c>
      <c r="W1661" s="81">
        <f>IF(OR($D1661="",$B1661=""),"",$D1661&amp;" | "&amp;$B1661)</f>
        <v/>
      </c>
      <c r="X1661" s="85">
        <f>IF($K1661="","",TEXT($K1661,"yyyy-mm"))</f>
        <v/>
      </c>
      <c r="Y1661" s="81">
        <f>IF(OR($A1661="",$T1661=""),"","Included in Manager_Report")</f>
        <v/>
      </c>
    </row>
    <row r="1662" ht="15" customHeight="1" s="40">
      <c r="A1662" s="65">
        <f>IF(COUNTA(B1662:G1662)=0,"","STP-"&amp;TEXT(ROW()-4,"0000"))</f>
        <v/>
      </c>
      <c r="B1662" s="78" t="n"/>
      <c r="C1662" s="67">
        <f>IF($B1662="","",IFERROR(INDEX(Task_Tracker!$D$5:$D$1004,MATCH($B1662,Task_Tracker!$A$5:$A$1004,0)),""))</f>
        <v/>
      </c>
      <c r="D1662" s="67">
        <f>IF($B1662="","",IFERROR(INDEX(Task_Tracker!$B$5:$B$1004,MATCH($B1662,Task_Tracker!$A$5:$A$1004,0)),""))</f>
        <v/>
      </c>
      <c r="E1662" s="81" t="n"/>
      <c r="F1662" s="81" t="n"/>
      <c r="G1662" s="78" t="n"/>
      <c r="H1662" s="78" t="n"/>
      <c r="I1662" s="67">
        <f>IF($H1662="","",IFERROR(INDEX(Action_Status_Map!$B$5:$B$11,MATCH($H1662,Action_Status_Map!$A$5:$A$11,0)),""))</f>
        <v/>
      </c>
      <c r="J1662" s="82" t="n"/>
      <c r="K1662" s="82" t="n"/>
      <c r="L1662" s="82" t="n"/>
      <c r="M1662" s="83" t="n"/>
      <c r="N1662" s="83" t="n"/>
      <c r="O1662" s="66">
        <f>IF(OR($M1662="",$N1662=""),"",$N1662-$M1662)</f>
        <v/>
      </c>
      <c r="P1662" s="84">
        <f>IF($J1662="","",IF($L1662&lt;&gt;"",$L1662-$J1662,TODAY()-$J1662))</f>
        <v/>
      </c>
      <c r="Q1662" s="85">
        <f>IF(OR($K1662="",$H1662="Completed",$H1662="Cancelled"),"",IF(AND($K1662&lt;TODAY(),$H1662&lt;&gt;"Completed",$H1662&lt;&gt;"Cancelled"),"Overdue","On Track"))</f>
        <v/>
      </c>
      <c r="R1662" s="81" t="n"/>
      <c r="S1662" s="81">
        <f>IF($B1662="","",IFERROR(INDEX(Task_Tracker!$AA$5:$AA$1004,MATCH($B1662,Task_Tracker!$A$5:$A$1004,0)),""))</f>
        <v/>
      </c>
      <c r="T1662" s="81">
        <f>IF($B1662="","",IFERROR(INDEX(Task_Tracker!$AB$5:$AB$1004,MATCH($B1662,Task_Tracker!$A$5:$A$1004,0)),""))</f>
        <v/>
      </c>
      <c r="U1662" s="78">
        <f>IF($B1662="","",IFERROR(INDEX(Task_Tracker!$F$5:$F$1004,MATCH($B1662,Task_Tracker!$A$5:$A$1004,0)),""))</f>
        <v/>
      </c>
      <c r="V1662" s="78">
        <f>IF($B1662="","",IFERROR(INDEX(Task_Tracker!$I$5:$I$1004,MATCH($B1662,Task_Tracker!$A$5:$A$1004,0)),""))</f>
        <v/>
      </c>
      <c r="W1662" s="81">
        <f>IF(OR($D1662="",$B1662=""),"",$D1662&amp;" | "&amp;$B1662)</f>
        <v/>
      </c>
      <c r="X1662" s="85">
        <f>IF($K1662="","",TEXT($K1662,"yyyy-mm"))</f>
        <v/>
      </c>
      <c r="Y1662" s="81">
        <f>IF(OR($A1662="",$T1662=""),"","Included in Manager_Report")</f>
        <v/>
      </c>
    </row>
    <row r="1663" ht="15" customHeight="1" s="40">
      <c r="A1663" s="65">
        <f>IF(COUNTA(B1663:G1663)=0,"","STP-"&amp;TEXT(ROW()-4,"0000"))</f>
        <v/>
      </c>
      <c r="B1663" s="78" t="n"/>
      <c r="C1663" s="67">
        <f>IF($B1663="","",IFERROR(INDEX(Task_Tracker!$D$5:$D$1004,MATCH($B1663,Task_Tracker!$A$5:$A$1004,0)),""))</f>
        <v/>
      </c>
      <c r="D1663" s="67">
        <f>IF($B1663="","",IFERROR(INDEX(Task_Tracker!$B$5:$B$1004,MATCH($B1663,Task_Tracker!$A$5:$A$1004,0)),""))</f>
        <v/>
      </c>
      <c r="E1663" s="81" t="n"/>
      <c r="F1663" s="81" t="n"/>
      <c r="G1663" s="78" t="n"/>
      <c r="H1663" s="78" t="n"/>
      <c r="I1663" s="67">
        <f>IF($H1663="","",IFERROR(INDEX(Action_Status_Map!$B$5:$B$11,MATCH($H1663,Action_Status_Map!$A$5:$A$11,0)),""))</f>
        <v/>
      </c>
      <c r="J1663" s="82" t="n"/>
      <c r="K1663" s="82" t="n"/>
      <c r="L1663" s="82" t="n"/>
      <c r="M1663" s="83" t="n"/>
      <c r="N1663" s="83" t="n"/>
      <c r="O1663" s="66">
        <f>IF(OR($M1663="",$N1663=""),"",$N1663-$M1663)</f>
        <v/>
      </c>
      <c r="P1663" s="84">
        <f>IF($J1663="","",IF($L1663&lt;&gt;"",$L1663-$J1663,TODAY()-$J1663))</f>
        <v/>
      </c>
      <c r="Q1663" s="85">
        <f>IF(OR($K1663="",$H1663="Completed",$H1663="Cancelled"),"",IF(AND($K1663&lt;TODAY(),$H1663&lt;&gt;"Completed",$H1663&lt;&gt;"Cancelled"),"Overdue","On Track"))</f>
        <v/>
      </c>
      <c r="R1663" s="81" t="n"/>
      <c r="S1663" s="81">
        <f>IF($B1663="","",IFERROR(INDEX(Task_Tracker!$AA$5:$AA$1004,MATCH($B1663,Task_Tracker!$A$5:$A$1004,0)),""))</f>
        <v/>
      </c>
      <c r="T1663" s="81">
        <f>IF($B1663="","",IFERROR(INDEX(Task_Tracker!$AB$5:$AB$1004,MATCH($B1663,Task_Tracker!$A$5:$A$1004,0)),""))</f>
        <v/>
      </c>
      <c r="U1663" s="78">
        <f>IF($B1663="","",IFERROR(INDEX(Task_Tracker!$F$5:$F$1004,MATCH($B1663,Task_Tracker!$A$5:$A$1004,0)),""))</f>
        <v/>
      </c>
      <c r="V1663" s="78">
        <f>IF($B1663="","",IFERROR(INDEX(Task_Tracker!$I$5:$I$1004,MATCH($B1663,Task_Tracker!$A$5:$A$1004,0)),""))</f>
        <v/>
      </c>
      <c r="W1663" s="81">
        <f>IF(OR($D1663="",$B1663=""),"",$D1663&amp;" | "&amp;$B1663)</f>
        <v/>
      </c>
      <c r="X1663" s="85">
        <f>IF($K1663="","",TEXT($K1663,"yyyy-mm"))</f>
        <v/>
      </c>
      <c r="Y1663" s="81">
        <f>IF(OR($A1663="",$T1663=""),"","Included in Manager_Report")</f>
        <v/>
      </c>
    </row>
    <row r="1664" ht="15" customHeight="1" s="40">
      <c r="A1664" s="65">
        <f>IF(COUNTA(B1664:G1664)=0,"","STP-"&amp;TEXT(ROW()-4,"0000"))</f>
        <v/>
      </c>
      <c r="B1664" s="78" t="n"/>
      <c r="C1664" s="67">
        <f>IF($B1664="","",IFERROR(INDEX(Task_Tracker!$D$5:$D$1004,MATCH($B1664,Task_Tracker!$A$5:$A$1004,0)),""))</f>
        <v/>
      </c>
      <c r="D1664" s="67">
        <f>IF($B1664="","",IFERROR(INDEX(Task_Tracker!$B$5:$B$1004,MATCH($B1664,Task_Tracker!$A$5:$A$1004,0)),""))</f>
        <v/>
      </c>
      <c r="E1664" s="81" t="n"/>
      <c r="F1664" s="81" t="n"/>
      <c r="G1664" s="78" t="n"/>
      <c r="H1664" s="78" t="n"/>
      <c r="I1664" s="67">
        <f>IF($H1664="","",IFERROR(INDEX(Action_Status_Map!$B$5:$B$11,MATCH($H1664,Action_Status_Map!$A$5:$A$11,0)),""))</f>
        <v/>
      </c>
      <c r="J1664" s="82" t="n"/>
      <c r="K1664" s="82" t="n"/>
      <c r="L1664" s="82" t="n"/>
      <c r="M1664" s="83" t="n"/>
      <c r="N1664" s="83" t="n"/>
      <c r="O1664" s="66">
        <f>IF(OR($M1664="",$N1664=""),"",$N1664-$M1664)</f>
        <v/>
      </c>
      <c r="P1664" s="84">
        <f>IF($J1664="","",IF($L1664&lt;&gt;"",$L1664-$J1664,TODAY()-$J1664))</f>
        <v/>
      </c>
      <c r="Q1664" s="85">
        <f>IF(OR($K1664="",$H1664="Completed",$H1664="Cancelled"),"",IF(AND($K1664&lt;TODAY(),$H1664&lt;&gt;"Completed",$H1664&lt;&gt;"Cancelled"),"Overdue","On Track"))</f>
        <v/>
      </c>
      <c r="R1664" s="81" t="n"/>
      <c r="S1664" s="81">
        <f>IF($B1664="","",IFERROR(INDEX(Task_Tracker!$AA$5:$AA$1004,MATCH($B1664,Task_Tracker!$A$5:$A$1004,0)),""))</f>
        <v/>
      </c>
      <c r="T1664" s="81">
        <f>IF($B1664="","",IFERROR(INDEX(Task_Tracker!$AB$5:$AB$1004,MATCH($B1664,Task_Tracker!$A$5:$A$1004,0)),""))</f>
        <v/>
      </c>
      <c r="U1664" s="78">
        <f>IF($B1664="","",IFERROR(INDEX(Task_Tracker!$F$5:$F$1004,MATCH($B1664,Task_Tracker!$A$5:$A$1004,0)),""))</f>
        <v/>
      </c>
      <c r="V1664" s="78">
        <f>IF($B1664="","",IFERROR(INDEX(Task_Tracker!$I$5:$I$1004,MATCH($B1664,Task_Tracker!$A$5:$A$1004,0)),""))</f>
        <v/>
      </c>
      <c r="W1664" s="81">
        <f>IF(OR($D1664="",$B1664=""),"",$D1664&amp;" | "&amp;$B1664)</f>
        <v/>
      </c>
      <c r="X1664" s="85">
        <f>IF($K1664="","",TEXT($K1664,"yyyy-mm"))</f>
        <v/>
      </c>
      <c r="Y1664" s="81">
        <f>IF(OR($A1664="",$T1664=""),"","Included in Manager_Report")</f>
        <v/>
      </c>
    </row>
    <row r="1665" ht="15" customHeight="1" s="40">
      <c r="A1665" s="65">
        <f>IF(COUNTA(B1665:G1665)=0,"","STP-"&amp;TEXT(ROW()-4,"0000"))</f>
        <v/>
      </c>
      <c r="B1665" s="78" t="n"/>
      <c r="C1665" s="67">
        <f>IF($B1665="","",IFERROR(INDEX(Task_Tracker!$D$5:$D$1004,MATCH($B1665,Task_Tracker!$A$5:$A$1004,0)),""))</f>
        <v/>
      </c>
      <c r="D1665" s="67">
        <f>IF($B1665="","",IFERROR(INDEX(Task_Tracker!$B$5:$B$1004,MATCH($B1665,Task_Tracker!$A$5:$A$1004,0)),""))</f>
        <v/>
      </c>
      <c r="E1665" s="81" t="n"/>
      <c r="F1665" s="81" t="n"/>
      <c r="G1665" s="78" t="n"/>
      <c r="H1665" s="78" t="n"/>
      <c r="I1665" s="67">
        <f>IF($H1665="","",IFERROR(INDEX(Action_Status_Map!$B$5:$B$11,MATCH($H1665,Action_Status_Map!$A$5:$A$11,0)),""))</f>
        <v/>
      </c>
      <c r="J1665" s="82" t="n"/>
      <c r="K1665" s="82" t="n"/>
      <c r="L1665" s="82" t="n"/>
      <c r="M1665" s="83" t="n"/>
      <c r="N1665" s="83" t="n"/>
      <c r="O1665" s="66">
        <f>IF(OR($M1665="",$N1665=""),"",$N1665-$M1665)</f>
        <v/>
      </c>
      <c r="P1665" s="84">
        <f>IF($J1665="","",IF($L1665&lt;&gt;"",$L1665-$J1665,TODAY()-$J1665))</f>
        <v/>
      </c>
      <c r="Q1665" s="85">
        <f>IF(OR($K1665="",$H1665="Completed",$H1665="Cancelled"),"",IF(AND($K1665&lt;TODAY(),$H1665&lt;&gt;"Completed",$H1665&lt;&gt;"Cancelled"),"Overdue","On Track"))</f>
        <v/>
      </c>
      <c r="R1665" s="81" t="n"/>
      <c r="S1665" s="81">
        <f>IF($B1665="","",IFERROR(INDEX(Task_Tracker!$AA$5:$AA$1004,MATCH($B1665,Task_Tracker!$A$5:$A$1004,0)),""))</f>
        <v/>
      </c>
      <c r="T1665" s="81">
        <f>IF($B1665="","",IFERROR(INDEX(Task_Tracker!$AB$5:$AB$1004,MATCH($B1665,Task_Tracker!$A$5:$A$1004,0)),""))</f>
        <v/>
      </c>
      <c r="U1665" s="78">
        <f>IF($B1665="","",IFERROR(INDEX(Task_Tracker!$F$5:$F$1004,MATCH($B1665,Task_Tracker!$A$5:$A$1004,0)),""))</f>
        <v/>
      </c>
      <c r="V1665" s="78">
        <f>IF($B1665="","",IFERROR(INDEX(Task_Tracker!$I$5:$I$1004,MATCH($B1665,Task_Tracker!$A$5:$A$1004,0)),""))</f>
        <v/>
      </c>
      <c r="W1665" s="81">
        <f>IF(OR($D1665="",$B1665=""),"",$D1665&amp;" | "&amp;$B1665)</f>
        <v/>
      </c>
      <c r="X1665" s="85">
        <f>IF($K1665="","",TEXT($K1665,"yyyy-mm"))</f>
        <v/>
      </c>
      <c r="Y1665" s="81">
        <f>IF(OR($A1665="",$T1665=""),"","Included in Manager_Report")</f>
        <v/>
      </c>
    </row>
    <row r="1666" ht="15" customHeight="1" s="40">
      <c r="A1666" s="65">
        <f>IF(COUNTA(B1666:G1666)=0,"","STP-"&amp;TEXT(ROW()-4,"0000"))</f>
        <v/>
      </c>
      <c r="B1666" s="78" t="n"/>
      <c r="C1666" s="67">
        <f>IF($B1666="","",IFERROR(INDEX(Task_Tracker!$D$5:$D$1004,MATCH($B1666,Task_Tracker!$A$5:$A$1004,0)),""))</f>
        <v/>
      </c>
      <c r="D1666" s="67">
        <f>IF($B1666="","",IFERROR(INDEX(Task_Tracker!$B$5:$B$1004,MATCH($B1666,Task_Tracker!$A$5:$A$1004,0)),""))</f>
        <v/>
      </c>
      <c r="E1666" s="81" t="n"/>
      <c r="F1666" s="81" t="n"/>
      <c r="G1666" s="78" t="n"/>
      <c r="H1666" s="78" t="n"/>
      <c r="I1666" s="67">
        <f>IF($H1666="","",IFERROR(INDEX(Action_Status_Map!$B$5:$B$11,MATCH($H1666,Action_Status_Map!$A$5:$A$11,0)),""))</f>
        <v/>
      </c>
      <c r="J1666" s="82" t="n"/>
      <c r="K1666" s="82" t="n"/>
      <c r="L1666" s="82" t="n"/>
      <c r="M1666" s="83" t="n"/>
      <c r="N1666" s="83" t="n"/>
      <c r="O1666" s="66">
        <f>IF(OR($M1666="",$N1666=""),"",$N1666-$M1666)</f>
        <v/>
      </c>
      <c r="P1666" s="84">
        <f>IF($J1666="","",IF($L1666&lt;&gt;"",$L1666-$J1666,TODAY()-$J1666))</f>
        <v/>
      </c>
      <c r="Q1666" s="85">
        <f>IF(OR($K1666="",$H1666="Completed",$H1666="Cancelled"),"",IF(AND($K1666&lt;TODAY(),$H1666&lt;&gt;"Completed",$H1666&lt;&gt;"Cancelled"),"Overdue","On Track"))</f>
        <v/>
      </c>
      <c r="R1666" s="81" t="n"/>
      <c r="S1666" s="81">
        <f>IF($B1666="","",IFERROR(INDEX(Task_Tracker!$AA$5:$AA$1004,MATCH($B1666,Task_Tracker!$A$5:$A$1004,0)),""))</f>
        <v/>
      </c>
      <c r="T1666" s="81">
        <f>IF($B1666="","",IFERROR(INDEX(Task_Tracker!$AB$5:$AB$1004,MATCH($B1666,Task_Tracker!$A$5:$A$1004,0)),""))</f>
        <v/>
      </c>
      <c r="U1666" s="78">
        <f>IF($B1666="","",IFERROR(INDEX(Task_Tracker!$F$5:$F$1004,MATCH($B1666,Task_Tracker!$A$5:$A$1004,0)),""))</f>
        <v/>
      </c>
      <c r="V1666" s="78">
        <f>IF($B1666="","",IFERROR(INDEX(Task_Tracker!$I$5:$I$1004,MATCH($B1666,Task_Tracker!$A$5:$A$1004,0)),""))</f>
        <v/>
      </c>
      <c r="W1666" s="81">
        <f>IF(OR($D1666="",$B1666=""),"",$D1666&amp;" | "&amp;$B1666)</f>
        <v/>
      </c>
      <c r="X1666" s="85">
        <f>IF($K1666="","",TEXT($K1666,"yyyy-mm"))</f>
        <v/>
      </c>
      <c r="Y1666" s="81">
        <f>IF(OR($A1666="",$T1666=""),"","Included in Manager_Report")</f>
        <v/>
      </c>
    </row>
    <row r="1667" ht="15" customHeight="1" s="40">
      <c r="A1667" s="65">
        <f>IF(COUNTA(B1667:G1667)=0,"","STP-"&amp;TEXT(ROW()-4,"0000"))</f>
        <v/>
      </c>
      <c r="B1667" s="78" t="n"/>
      <c r="C1667" s="67">
        <f>IF($B1667="","",IFERROR(INDEX(Task_Tracker!$D$5:$D$1004,MATCH($B1667,Task_Tracker!$A$5:$A$1004,0)),""))</f>
        <v/>
      </c>
      <c r="D1667" s="67">
        <f>IF($B1667="","",IFERROR(INDEX(Task_Tracker!$B$5:$B$1004,MATCH($B1667,Task_Tracker!$A$5:$A$1004,0)),""))</f>
        <v/>
      </c>
      <c r="E1667" s="81" t="n"/>
      <c r="F1667" s="81" t="n"/>
      <c r="G1667" s="78" t="n"/>
      <c r="H1667" s="78" t="n"/>
      <c r="I1667" s="67">
        <f>IF($H1667="","",IFERROR(INDEX(Action_Status_Map!$B$5:$B$11,MATCH($H1667,Action_Status_Map!$A$5:$A$11,0)),""))</f>
        <v/>
      </c>
      <c r="J1667" s="82" t="n"/>
      <c r="K1667" s="82" t="n"/>
      <c r="L1667" s="82" t="n"/>
      <c r="M1667" s="83" t="n"/>
      <c r="N1667" s="83" t="n"/>
      <c r="O1667" s="66">
        <f>IF(OR($M1667="",$N1667=""),"",$N1667-$M1667)</f>
        <v/>
      </c>
      <c r="P1667" s="84">
        <f>IF($J1667="","",IF($L1667&lt;&gt;"",$L1667-$J1667,TODAY()-$J1667))</f>
        <v/>
      </c>
      <c r="Q1667" s="85">
        <f>IF(OR($K1667="",$H1667="Completed",$H1667="Cancelled"),"",IF(AND($K1667&lt;TODAY(),$H1667&lt;&gt;"Completed",$H1667&lt;&gt;"Cancelled"),"Overdue","On Track"))</f>
        <v/>
      </c>
      <c r="R1667" s="81" t="n"/>
      <c r="S1667" s="81">
        <f>IF($B1667="","",IFERROR(INDEX(Task_Tracker!$AA$5:$AA$1004,MATCH($B1667,Task_Tracker!$A$5:$A$1004,0)),""))</f>
        <v/>
      </c>
      <c r="T1667" s="81">
        <f>IF($B1667="","",IFERROR(INDEX(Task_Tracker!$AB$5:$AB$1004,MATCH($B1667,Task_Tracker!$A$5:$A$1004,0)),""))</f>
        <v/>
      </c>
      <c r="U1667" s="78">
        <f>IF($B1667="","",IFERROR(INDEX(Task_Tracker!$F$5:$F$1004,MATCH($B1667,Task_Tracker!$A$5:$A$1004,0)),""))</f>
        <v/>
      </c>
      <c r="V1667" s="78">
        <f>IF($B1667="","",IFERROR(INDEX(Task_Tracker!$I$5:$I$1004,MATCH($B1667,Task_Tracker!$A$5:$A$1004,0)),""))</f>
        <v/>
      </c>
      <c r="W1667" s="81">
        <f>IF(OR($D1667="",$B1667=""),"",$D1667&amp;" | "&amp;$B1667)</f>
        <v/>
      </c>
      <c r="X1667" s="85">
        <f>IF($K1667="","",TEXT($K1667,"yyyy-mm"))</f>
        <v/>
      </c>
      <c r="Y1667" s="81">
        <f>IF(OR($A1667="",$T1667=""),"","Included in Manager_Report")</f>
        <v/>
      </c>
    </row>
    <row r="1668" ht="15" customHeight="1" s="40">
      <c r="A1668" s="65">
        <f>IF(COUNTA(B1668:G1668)=0,"","STP-"&amp;TEXT(ROW()-4,"0000"))</f>
        <v/>
      </c>
      <c r="B1668" s="78" t="n"/>
      <c r="C1668" s="67">
        <f>IF($B1668="","",IFERROR(INDEX(Task_Tracker!$D$5:$D$1004,MATCH($B1668,Task_Tracker!$A$5:$A$1004,0)),""))</f>
        <v/>
      </c>
      <c r="D1668" s="67">
        <f>IF($B1668="","",IFERROR(INDEX(Task_Tracker!$B$5:$B$1004,MATCH($B1668,Task_Tracker!$A$5:$A$1004,0)),""))</f>
        <v/>
      </c>
      <c r="E1668" s="81" t="n"/>
      <c r="F1668" s="81" t="n"/>
      <c r="G1668" s="78" t="n"/>
      <c r="H1668" s="78" t="n"/>
      <c r="I1668" s="67">
        <f>IF($H1668="","",IFERROR(INDEX(Action_Status_Map!$B$5:$B$11,MATCH($H1668,Action_Status_Map!$A$5:$A$11,0)),""))</f>
        <v/>
      </c>
      <c r="J1668" s="82" t="n"/>
      <c r="K1668" s="82" t="n"/>
      <c r="L1668" s="82" t="n"/>
      <c r="M1668" s="83" t="n"/>
      <c r="N1668" s="83" t="n"/>
      <c r="O1668" s="66">
        <f>IF(OR($M1668="",$N1668=""),"",$N1668-$M1668)</f>
        <v/>
      </c>
      <c r="P1668" s="84">
        <f>IF($J1668="","",IF($L1668&lt;&gt;"",$L1668-$J1668,TODAY()-$J1668))</f>
        <v/>
      </c>
      <c r="Q1668" s="85">
        <f>IF(OR($K1668="",$H1668="Completed",$H1668="Cancelled"),"",IF(AND($K1668&lt;TODAY(),$H1668&lt;&gt;"Completed",$H1668&lt;&gt;"Cancelled"),"Overdue","On Track"))</f>
        <v/>
      </c>
      <c r="R1668" s="81" t="n"/>
      <c r="S1668" s="81">
        <f>IF($B1668="","",IFERROR(INDEX(Task_Tracker!$AA$5:$AA$1004,MATCH($B1668,Task_Tracker!$A$5:$A$1004,0)),""))</f>
        <v/>
      </c>
      <c r="T1668" s="81">
        <f>IF($B1668="","",IFERROR(INDEX(Task_Tracker!$AB$5:$AB$1004,MATCH($B1668,Task_Tracker!$A$5:$A$1004,0)),""))</f>
        <v/>
      </c>
      <c r="U1668" s="78">
        <f>IF($B1668="","",IFERROR(INDEX(Task_Tracker!$F$5:$F$1004,MATCH($B1668,Task_Tracker!$A$5:$A$1004,0)),""))</f>
        <v/>
      </c>
      <c r="V1668" s="78">
        <f>IF($B1668="","",IFERROR(INDEX(Task_Tracker!$I$5:$I$1004,MATCH($B1668,Task_Tracker!$A$5:$A$1004,0)),""))</f>
        <v/>
      </c>
      <c r="W1668" s="81">
        <f>IF(OR($D1668="",$B1668=""),"",$D1668&amp;" | "&amp;$B1668)</f>
        <v/>
      </c>
      <c r="X1668" s="85">
        <f>IF($K1668="","",TEXT($K1668,"yyyy-mm"))</f>
        <v/>
      </c>
      <c r="Y1668" s="81">
        <f>IF(OR($A1668="",$T1668=""),"","Included in Manager_Report")</f>
        <v/>
      </c>
    </row>
    <row r="1669" ht="15" customHeight="1" s="40">
      <c r="A1669" s="65">
        <f>IF(COUNTA(B1669:G1669)=0,"","STP-"&amp;TEXT(ROW()-4,"0000"))</f>
        <v/>
      </c>
      <c r="B1669" s="78" t="n"/>
      <c r="C1669" s="67">
        <f>IF($B1669="","",IFERROR(INDEX(Task_Tracker!$D$5:$D$1004,MATCH($B1669,Task_Tracker!$A$5:$A$1004,0)),""))</f>
        <v/>
      </c>
      <c r="D1669" s="67">
        <f>IF($B1669="","",IFERROR(INDEX(Task_Tracker!$B$5:$B$1004,MATCH($B1669,Task_Tracker!$A$5:$A$1004,0)),""))</f>
        <v/>
      </c>
      <c r="E1669" s="81" t="n"/>
      <c r="F1669" s="81" t="n"/>
      <c r="G1669" s="78" t="n"/>
      <c r="H1669" s="78" t="n"/>
      <c r="I1669" s="67">
        <f>IF($H1669="","",IFERROR(INDEX(Action_Status_Map!$B$5:$B$11,MATCH($H1669,Action_Status_Map!$A$5:$A$11,0)),""))</f>
        <v/>
      </c>
      <c r="J1669" s="82" t="n"/>
      <c r="K1669" s="82" t="n"/>
      <c r="L1669" s="82" t="n"/>
      <c r="M1669" s="83" t="n"/>
      <c r="N1669" s="83" t="n"/>
      <c r="O1669" s="66">
        <f>IF(OR($M1669="",$N1669=""),"",$N1669-$M1669)</f>
        <v/>
      </c>
      <c r="P1669" s="84">
        <f>IF($J1669="","",IF($L1669&lt;&gt;"",$L1669-$J1669,TODAY()-$J1669))</f>
        <v/>
      </c>
      <c r="Q1669" s="85">
        <f>IF(OR($K1669="",$H1669="Completed",$H1669="Cancelled"),"",IF(AND($K1669&lt;TODAY(),$H1669&lt;&gt;"Completed",$H1669&lt;&gt;"Cancelled"),"Overdue","On Track"))</f>
        <v/>
      </c>
      <c r="R1669" s="81" t="n"/>
      <c r="S1669" s="81">
        <f>IF($B1669="","",IFERROR(INDEX(Task_Tracker!$AA$5:$AA$1004,MATCH($B1669,Task_Tracker!$A$5:$A$1004,0)),""))</f>
        <v/>
      </c>
      <c r="T1669" s="81">
        <f>IF($B1669="","",IFERROR(INDEX(Task_Tracker!$AB$5:$AB$1004,MATCH($B1669,Task_Tracker!$A$5:$A$1004,0)),""))</f>
        <v/>
      </c>
      <c r="U1669" s="78">
        <f>IF($B1669="","",IFERROR(INDEX(Task_Tracker!$F$5:$F$1004,MATCH($B1669,Task_Tracker!$A$5:$A$1004,0)),""))</f>
        <v/>
      </c>
      <c r="V1669" s="78">
        <f>IF($B1669="","",IFERROR(INDEX(Task_Tracker!$I$5:$I$1004,MATCH($B1669,Task_Tracker!$A$5:$A$1004,0)),""))</f>
        <v/>
      </c>
      <c r="W1669" s="81">
        <f>IF(OR($D1669="",$B1669=""),"",$D1669&amp;" | "&amp;$B1669)</f>
        <v/>
      </c>
      <c r="X1669" s="85">
        <f>IF($K1669="","",TEXT($K1669,"yyyy-mm"))</f>
        <v/>
      </c>
      <c r="Y1669" s="81">
        <f>IF(OR($A1669="",$T1669=""),"","Included in Manager_Report")</f>
        <v/>
      </c>
    </row>
    <row r="1670" ht="15" customHeight="1" s="40">
      <c r="A1670" s="65">
        <f>IF(COUNTA(B1670:G1670)=0,"","STP-"&amp;TEXT(ROW()-4,"0000"))</f>
        <v/>
      </c>
      <c r="B1670" s="78" t="n"/>
      <c r="C1670" s="67">
        <f>IF($B1670="","",IFERROR(INDEX(Task_Tracker!$D$5:$D$1004,MATCH($B1670,Task_Tracker!$A$5:$A$1004,0)),""))</f>
        <v/>
      </c>
      <c r="D1670" s="67">
        <f>IF($B1670="","",IFERROR(INDEX(Task_Tracker!$B$5:$B$1004,MATCH($B1670,Task_Tracker!$A$5:$A$1004,0)),""))</f>
        <v/>
      </c>
      <c r="E1670" s="81" t="n"/>
      <c r="F1670" s="81" t="n"/>
      <c r="G1670" s="78" t="n"/>
      <c r="H1670" s="78" t="n"/>
      <c r="I1670" s="67">
        <f>IF($H1670="","",IFERROR(INDEX(Action_Status_Map!$B$5:$B$11,MATCH($H1670,Action_Status_Map!$A$5:$A$11,0)),""))</f>
        <v/>
      </c>
      <c r="J1670" s="82" t="n"/>
      <c r="K1670" s="82" t="n"/>
      <c r="L1670" s="82" t="n"/>
      <c r="M1670" s="83" t="n"/>
      <c r="N1670" s="83" t="n"/>
      <c r="O1670" s="66">
        <f>IF(OR($M1670="",$N1670=""),"",$N1670-$M1670)</f>
        <v/>
      </c>
      <c r="P1670" s="84">
        <f>IF($J1670="","",IF($L1670&lt;&gt;"",$L1670-$J1670,TODAY()-$J1670))</f>
        <v/>
      </c>
      <c r="Q1670" s="85">
        <f>IF(OR($K1670="",$H1670="Completed",$H1670="Cancelled"),"",IF(AND($K1670&lt;TODAY(),$H1670&lt;&gt;"Completed",$H1670&lt;&gt;"Cancelled"),"Overdue","On Track"))</f>
        <v/>
      </c>
      <c r="R1670" s="81" t="n"/>
      <c r="S1670" s="81">
        <f>IF($B1670="","",IFERROR(INDEX(Task_Tracker!$AA$5:$AA$1004,MATCH($B1670,Task_Tracker!$A$5:$A$1004,0)),""))</f>
        <v/>
      </c>
      <c r="T1670" s="81">
        <f>IF($B1670="","",IFERROR(INDEX(Task_Tracker!$AB$5:$AB$1004,MATCH($B1670,Task_Tracker!$A$5:$A$1004,0)),""))</f>
        <v/>
      </c>
      <c r="U1670" s="78">
        <f>IF($B1670="","",IFERROR(INDEX(Task_Tracker!$F$5:$F$1004,MATCH($B1670,Task_Tracker!$A$5:$A$1004,0)),""))</f>
        <v/>
      </c>
      <c r="V1670" s="78">
        <f>IF($B1670="","",IFERROR(INDEX(Task_Tracker!$I$5:$I$1004,MATCH($B1670,Task_Tracker!$A$5:$A$1004,0)),""))</f>
        <v/>
      </c>
      <c r="W1670" s="81">
        <f>IF(OR($D1670="",$B1670=""),"",$D1670&amp;" | "&amp;$B1670)</f>
        <v/>
      </c>
      <c r="X1670" s="85">
        <f>IF($K1670="","",TEXT($K1670,"yyyy-mm"))</f>
        <v/>
      </c>
      <c r="Y1670" s="81">
        <f>IF(OR($A1670="",$T1670=""),"","Included in Manager_Report")</f>
        <v/>
      </c>
    </row>
    <row r="1671" ht="15" customHeight="1" s="40">
      <c r="A1671" s="65">
        <f>IF(COUNTA(B1671:G1671)=0,"","STP-"&amp;TEXT(ROW()-4,"0000"))</f>
        <v/>
      </c>
      <c r="B1671" s="78" t="n"/>
      <c r="C1671" s="67">
        <f>IF($B1671="","",IFERROR(INDEX(Task_Tracker!$D$5:$D$1004,MATCH($B1671,Task_Tracker!$A$5:$A$1004,0)),""))</f>
        <v/>
      </c>
      <c r="D1671" s="67">
        <f>IF($B1671="","",IFERROR(INDEX(Task_Tracker!$B$5:$B$1004,MATCH($B1671,Task_Tracker!$A$5:$A$1004,0)),""))</f>
        <v/>
      </c>
      <c r="E1671" s="81" t="n"/>
      <c r="F1671" s="81" t="n"/>
      <c r="G1671" s="78" t="n"/>
      <c r="H1671" s="78" t="n"/>
      <c r="I1671" s="67">
        <f>IF($H1671="","",IFERROR(INDEX(Action_Status_Map!$B$5:$B$11,MATCH($H1671,Action_Status_Map!$A$5:$A$11,0)),""))</f>
        <v/>
      </c>
      <c r="J1671" s="82" t="n"/>
      <c r="K1671" s="82" t="n"/>
      <c r="L1671" s="82" t="n"/>
      <c r="M1671" s="83" t="n"/>
      <c r="N1671" s="83" t="n"/>
      <c r="O1671" s="66">
        <f>IF(OR($M1671="",$N1671=""),"",$N1671-$M1671)</f>
        <v/>
      </c>
      <c r="P1671" s="84">
        <f>IF($J1671="","",IF($L1671&lt;&gt;"",$L1671-$J1671,TODAY()-$J1671))</f>
        <v/>
      </c>
      <c r="Q1671" s="85">
        <f>IF(OR($K1671="",$H1671="Completed",$H1671="Cancelled"),"",IF(AND($K1671&lt;TODAY(),$H1671&lt;&gt;"Completed",$H1671&lt;&gt;"Cancelled"),"Overdue","On Track"))</f>
        <v/>
      </c>
      <c r="R1671" s="81" t="n"/>
      <c r="S1671" s="81">
        <f>IF($B1671="","",IFERROR(INDEX(Task_Tracker!$AA$5:$AA$1004,MATCH($B1671,Task_Tracker!$A$5:$A$1004,0)),""))</f>
        <v/>
      </c>
      <c r="T1671" s="81">
        <f>IF($B1671="","",IFERROR(INDEX(Task_Tracker!$AB$5:$AB$1004,MATCH($B1671,Task_Tracker!$A$5:$A$1004,0)),""))</f>
        <v/>
      </c>
      <c r="U1671" s="78">
        <f>IF($B1671="","",IFERROR(INDEX(Task_Tracker!$F$5:$F$1004,MATCH($B1671,Task_Tracker!$A$5:$A$1004,0)),""))</f>
        <v/>
      </c>
      <c r="V1671" s="78">
        <f>IF($B1671="","",IFERROR(INDEX(Task_Tracker!$I$5:$I$1004,MATCH($B1671,Task_Tracker!$A$5:$A$1004,0)),""))</f>
        <v/>
      </c>
      <c r="W1671" s="81">
        <f>IF(OR($D1671="",$B1671=""),"",$D1671&amp;" | "&amp;$B1671)</f>
        <v/>
      </c>
      <c r="X1671" s="85">
        <f>IF($K1671="","",TEXT($K1671,"yyyy-mm"))</f>
        <v/>
      </c>
      <c r="Y1671" s="81">
        <f>IF(OR($A1671="",$T1671=""),"","Included in Manager_Report")</f>
        <v/>
      </c>
    </row>
    <row r="1672" ht="15" customHeight="1" s="40">
      <c r="A1672" s="65">
        <f>IF(COUNTA(B1672:G1672)=0,"","STP-"&amp;TEXT(ROW()-4,"0000"))</f>
        <v/>
      </c>
      <c r="B1672" s="78" t="n"/>
      <c r="C1672" s="67">
        <f>IF($B1672="","",IFERROR(INDEX(Task_Tracker!$D$5:$D$1004,MATCH($B1672,Task_Tracker!$A$5:$A$1004,0)),""))</f>
        <v/>
      </c>
      <c r="D1672" s="67">
        <f>IF($B1672="","",IFERROR(INDEX(Task_Tracker!$B$5:$B$1004,MATCH($B1672,Task_Tracker!$A$5:$A$1004,0)),""))</f>
        <v/>
      </c>
      <c r="E1672" s="81" t="n"/>
      <c r="F1672" s="81" t="n"/>
      <c r="G1672" s="78" t="n"/>
      <c r="H1672" s="78" t="n"/>
      <c r="I1672" s="67">
        <f>IF($H1672="","",IFERROR(INDEX(Action_Status_Map!$B$5:$B$11,MATCH($H1672,Action_Status_Map!$A$5:$A$11,0)),""))</f>
        <v/>
      </c>
      <c r="J1672" s="82" t="n"/>
      <c r="K1672" s="82" t="n"/>
      <c r="L1672" s="82" t="n"/>
      <c r="M1672" s="83" t="n"/>
      <c r="N1672" s="83" t="n"/>
      <c r="O1672" s="66">
        <f>IF(OR($M1672="",$N1672=""),"",$N1672-$M1672)</f>
        <v/>
      </c>
      <c r="P1672" s="84">
        <f>IF($J1672="","",IF($L1672&lt;&gt;"",$L1672-$J1672,TODAY()-$J1672))</f>
        <v/>
      </c>
      <c r="Q1672" s="85">
        <f>IF(OR($K1672="",$H1672="Completed",$H1672="Cancelled"),"",IF(AND($K1672&lt;TODAY(),$H1672&lt;&gt;"Completed",$H1672&lt;&gt;"Cancelled"),"Overdue","On Track"))</f>
        <v/>
      </c>
      <c r="R1672" s="81" t="n"/>
      <c r="S1672" s="81">
        <f>IF($B1672="","",IFERROR(INDEX(Task_Tracker!$AA$5:$AA$1004,MATCH($B1672,Task_Tracker!$A$5:$A$1004,0)),""))</f>
        <v/>
      </c>
      <c r="T1672" s="81">
        <f>IF($B1672="","",IFERROR(INDEX(Task_Tracker!$AB$5:$AB$1004,MATCH($B1672,Task_Tracker!$A$5:$A$1004,0)),""))</f>
        <v/>
      </c>
      <c r="U1672" s="78">
        <f>IF($B1672="","",IFERROR(INDEX(Task_Tracker!$F$5:$F$1004,MATCH($B1672,Task_Tracker!$A$5:$A$1004,0)),""))</f>
        <v/>
      </c>
      <c r="V1672" s="78">
        <f>IF($B1672="","",IFERROR(INDEX(Task_Tracker!$I$5:$I$1004,MATCH($B1672,Task_Tracker!$A$5:$A$1004,0)),""))</f>
        <v/>
      </c>
      <c r="W1672" s="81">
        <f>IF(OR($D1672="",$B1672=""),"",$D1672&amp;" | "&amp;$B1672)</f>
        <v/>
      </c>
      <c r="X1672" s="85">
        <f>IF($K1672="","",TEXT($K1672,"yyyy-mm"))</f>
        <v/>
      </c>
      <c r="Y1672" s="81">
        <f>IF(OR($A1672="",$T1672=""),"","Included in Manager_Report")</f>
        <v/>
      </c>
    </row>
    <row r="1673" ht="15" customHeight="1" s="40">
      <c r="A1673" s="65">
        <f>IF(COUNTA(B1673:G1673)=0,"","STP-"&amp;TEXT(ROW()-4,"0000"))</f>
        <v/>
      </c>
      <c r="B1673" s="78" t="n"/>
      <c r="C1673" s="67">
        <f>IF($B1673="","",IFERROR(INDEX(Task_Tracker!$D$5:$D$1004,MATCH($B1673,Task_Tracker!$A$5:$A$1004,0)),""))</f>
        <v/>
      </c>
      <c r="D1673" s="67">
        <f>IF($B1673="","",IFERROR(INDEX(Task_Tracker!$B$5:$B$1004,MATCH($B1673,Task_Tracker!$A$5:$A$1004,0)),""))</f>
        <v/>
      </c>
      <c r="E1673" s="81" t="n"/>
      <c r="F1673" s="81" t="n"/>
      <c r="G1673" s="78" t="n"/>
      <c r="H1673" s="78" t="n"/>
      <c r="I1673" s="67">
        <f>IF($H1673="","",IFERROR(INDEX(Action_Status_Map!$B$5:$B$11,MATCH($H1673,Action_Status_Map!$A$5:$A$11,0)),""))</f>
        <v/>
      </c>
      <c r="J1673" s="82" t="n"/>
      <c r="K1673" s="82" t="n"/>
      <c r="L1673" s="82" t="n"/>
      <c r="M1673" s="83" t="n"/>
      <c r="N1673" s="83" t="n"/>
      <c r="O1673" s="66">
        <f>IF(OR($M1673="",$N1673=""),"",$N1673-$M1673)</f>
        <v/>
      </c>
      <c r="P1673" s="84">
        <f>IF($J1673="","",IF($L1673&lt;&gt;"",$L1673-$J1673,TODAY()-$J1673))</f>
        <v/>
      </c>
      <c r="Q1673" s="85">
        <f>IF(OR($K1673="",$H1673="Completed",$H1673="Cancelled"),"",IF(AND($K1673&lt;TODAY(),$H1673&lt;&gt;"Completed",$H1673&lt;&gt;"Cancelled"),"Overdue","On Track"))</f>
        <v/>
      </c>
      <c r="R1673" s="81" t="n"/>
      <c r="S1673" s="81">
        <f>IF($B1673="","",IFERROR(INDEX(Task_Tracker!$AA$5:$AA$1004,MATCH($B1673,Task_Tracker!$A$5:$A$1004,0)),""))</f>
        <v/>
      </c>
      <c r="T1673" s="81">
        <f>IF($B1673="","",IFERROR(INDEX(Task_Tracker!$AB$5:$AB$1004,MATCH($B1673,Task_Tracker!$A$5:$A$1004,0)),""))</f>
        <v/>
      </c>
      <c r="U1673" s="78">
        <f>IF($B1673="","",IFERROR(INDEX(Task_Tracker!$F$5:$F$1004,MATCH($B1673,Task_Tracker!$A$5:$A$1004,0)),""))</f>
        <v/>
      </c>
      <c r="V1673" s="78">
        <f>IF($B1673="","",IFERROR(INDEX(Task_Tracker!$I$5:$I$1004,MATCH($B1673,Task_Tracker!$A$5:$A$1004,0)),""))</f>
        <v/>
      </c>
      <c r="W1673" s="81">
        <f>IF(OR($D1673="",$B1673=""),"",$D1673&amp;" | "&amp;$B1673)</f>
        <v/>
      </c>
      <c r="X1673" s="85">
        <f>IF($K1673="","",TEXT($K1673,"yyyy-mm"))</f>
        <v/>
      </c>
      <c r="Y1673" s="81">
        <f>IF(OR($A1673="",$T1673=""),"","Included in Manager_Report")</f>
        <v/>
      </c>
    </row>
    <row r="1674" ht="15" customHeight="1" s="40">
      <c r="A1674" s="65">
        <f>IF(COUNTA(B1674:G1674)=0,"","STP-"&amp;TEXT(ROW()-4,"0000"))</f>
        <v/>
      </c>
      <c r="B1674" s="78" t="n"/>
      <c r="C1674" s="67">
        <f>IF($B1674="","",IFERROR(INDEX(Task_Tracker!$D$5:$D$1004,MATCH($B1674,Task_Tracker!$A$5:$A$1004,0)),""))</f>
        <v/>
      </c>
      <c r="D1674" s="67">
        <f>IF($B1674="","",IFERROR(INDEX(Task_Tracker!$B$5:$B$1004,MATCH($B1674,Task_Tracker!$A$5:$A$1004,0)),""))</f>
        <v/>
      </c>
      <c r="E1674" s="81" t="n"/>
      <c r="F1674" s="81" t="n"/>
      <c r="G1674" s="78" t="n"/>
      <c r="H1674" s="78" t="n"/>
      <c r="I1674" s="67">
        <f>IF($H1674="","",IFERROR(INDEX(Action_Status_Map!$B$5:$B$11,MATCH($H1674,Action_Status_Map!$A$5:$A$11,0)),""))</f>
        <v/>
      </c>
      <c r="J1674" s="82" t="n"/>
      <c r="K1674" s="82" t="n"/>
      <c r="L1674" s="82" t="n"/>
      <c r="M1674" s="83" t="n"/>
      <c r="N1674" s="83" t="n"/>
      <c r="O1674" s="66">
        <f>IF(OR($M1674="",$N1674=""),"",$N1674-$M1674)</f>
        <v/>
      </c>
      <c r="P1674" s="84">
        <f>IF($J1674="","",IF($L1674&lt;&gt;"",$L1674-$J1674,TODAY()-$J1674))</f>
        <v/>
      </c>
      <c r="Q1674" s="85">
        <f>IF(OR($K1674="",$H1674="Completed",$H1674="Cancelled"),"",IF(AND($K1674&lt;TODAY(),$H1674&lt;&gt;"Completed",$H1674&lt;&gt;"Cancelled"),"Overdue","On Track"))</f>
        <v/>
      </c>
      <c r="R1674" s="81" t="n"/>
      <c r="S1674" s="81">
        <f>IF($B1674="","",IFERROR(INDEX(Task_Tracker!$AA$5:$AA$1004,MATCH($B1674,Task_Tracker!$A$5:$A$1004,0)),""))</f>
        <v/>
      </c>
      <c r="T1674" s="81">
        <f>IF($B1674="","",IFERROR(INDEX(Task_Tracker!$AB$5:$AB$1004,MATCH($B1674,Task_Tracker!$A$5:$A$1004,0)),""))</f>
        <v/>
      </c>
      <c r="U1674" s="78">
        <f>IF($B1674="","",IFERROR(INDEX(Task_Tracker!$F$5:$F$1004,MATCH($B1674,Task_Tracker!$A$5:$A$1004,0)),""))</f>
        <v/>
      </c>
      <c r="V1674" s="78">
        <f>IF($B1674="","",IFERROR(INDEX(Task_Tracker!$I$5:$I$1004,MATCH($B1674,Task_Tracker!$A$5:$A$1004,0)),""))</f>
        <v/>
      </c>
      <c r="W1674" s="81">
        <f>IF(OR($D1674="",$B1674=""),"",$D1674&amp;" | "&amp;$B1674)</f>
        <v/>
      </c>
      <c r="X1674" s="85">
        <f>IF($K1674="","",TEXT($K1674,"yyyy-mm"))</f>
        <v/>
      </c>
      <c r="Y1674" s="81">
        <f>IF(OR($A1674="",$T1674=""),"","Included in Manager_Report")</f>
        <v/>
      </c>
    </row>
    <row r="1675" ht="15" customHeight="1" s="40">
      <c r="A1675" s="65">
        <f>IF(COUNTA(B1675:G1675)=0,"","STP-"&amp;TEXT(ROW()-4,"0000"))</f>
        <v/>
      </c>
      <c r="B1675" s="78" t="n"/>
      <c r="C1675" s="67">
        <f>IF($B1675="","",IFERROR(INDEX(Task_Tracker!$D$5:$D$1004,MATCH($B1675,Task_Tracker!$A$5:$A$1004,0)),""))</f>
        <v/>
      </c>
      <c r="D1675" s="67">
        <f>IF($B1675="","",IFERROR(INDEX(Task_Tracker!$B$5:$B$1004,MATCH($B1675,Task_Tracker!$A$5:$A$1004,0)),""))</f>
        <v/>
      </c>
      <c r="E1675" s="81" t="n"/>
      <c r="F1675" s="81" t="n"/>
      <c r="G1675" s="78" t="n"/>
      <c r="H1675" s="78" t="n"/>
      <c r="I1675" s="67">
        <f>IF($H1675="","",IFERROR(INDEX(Action_Status_Map!$B$5:$B$11,MATCH($H1675,Action_Status_Map!$A$5:$A$11,0)),""))</f>
        <v/>
      </c>
      <c r="J1675" s="82" t="n"/>
      <c r="K1675" s="82" t="n"/>
      <c r="L1675" s="82" t="n"/>
      <c r="M1675" s="83" t="n"/>
      <c r="N1675" s="83" t="n"/>
      <c r="O1675" s="66">
        <f>IF(OR($M1675="",$N1675=""),"",$N1675-$M1675)</f>
        <v/>
      </c>
      <c r="P1675" s="84">
        <f>IF($J1675="","",IF($L1675&lt;&gt;"",$L1675-$J1675,TODAY()-$J1675))</f>
        <v/>
      </c>
      <c r="Q1675" s="85">
        <f>IF(OR($K1675="",$H1675="Completed",$H1675="Cancelled"),"",IF(AND($K1675&lt;TODAY(),$H1675&lt;&gt;"Completed",$H1675&lt;&gt;"Cancelled"),"Overdue","On Track"))</f>
        <v/>
      </c>
      <c r="R1675" s="81" t="n"/>
      <c r="S1675" s="81">
        <f>IF($B1675="","",IFERROR(INDEX(Task_Tracker!$AA$5:$AA$1004,MATCH($B1675,Task_Tracker!$A$5:$A$1004,0)),""))</f>
        <v/>
      </c>
      <c r="T1675" s="81">
        <f>IF($B1675="","",IFERROR(INDEX(Task_Tracker!$AB$5:$AB$1004,MATCH($B1675,Task_Tracker!$A$5:$A$1004,0)),""))</f>
        <v/>
      </c>
      <c r="U1675" s="78">
        <f>IF($B1675="","",IFERROR(INDEX(Task_Tracker!$F$5:$F$1004,MATCH($B1675,Task_Tracker!$A$5:$A$1004,0)),""))</f>
        <v/>
      </c>
      <c r="V1675" s="78">
        <f>IF($B1675="","",IFERROR(INDEX(Task_Tracker!$I$5:$I$1004,MATCH($B1675,Task_Tracker!$A$5:$A$1004,0)),""))</f>
        <v/>
      </c>
      <c r="W1675" s="81">
        <f>IF(OR($D1675="",$B1675=""),"",$D1675&amp;" | "&amp;$B1675)</f>
        <v/>
      </c>
      <c r="X1675" s="85">
        <f>IF($K1675="","",TEXT($K1675,"yyyy-mm"))</f>
        <v/>
      </c>
      <c r="Y1675" s="81">
        <f>IF(OR($A1675="",$T1675=""),"","Included in Manager_Report")</f>
        <v/>
      </c>
    </row>
    <row r="1676" ht="15" customHeight="1" s="40">
      <c r="A1676" s="65">
        <f>IF(COUNTA(B1676:G1676)=0,"","STP-"&amp;TEXT(ROW()-4,"0000"))</f>
        <v/>
      </c>
      <c r="B1676" s="78" t="n"/>
      <c r="C1676" s="67">
        <f>IF($B1676="","",IFERROR(INDEX(Task_Tracker!$D$5:$D$1004,MATCH($B1676,Task_Tracker!$A$5:$A$1004,0)),""))</f>
        <v/>
      </c>
      <c r="D1676" s="67">
        <f>IF($B1676="","",IFERROR(INDEX(Task_Tracker!$B$5:$B$1004,MATCH($B1676,Task_Tracker!$A$5:$A$1004,0)),""))</f>
        <v/>
      </c>
      <c r="E1676" s="81" t="n"/>
      <c r="F1676" s="81" t="n"/>
      <c r="G1676" s="78" t="n"/>
      <c r="H1676" s="78" t="n"/>
      <c r="I1676" s="67">
        <f>IF($H1676="","",IFERROR(INDEX(Action_Status_Map!$B$5:$B$11,MATCH($H1676,Action_Status_Map!$A$5:$A$11,0)),""))</f>
        <v/>
      </c>
      <c r="J1676" s="82" t="n"/>
      <c r="K1676" s="82" t="n"/>
      <c r="L1676" s="82" t="n"/>
      <c r="M1676" s="83" t="n"/>
      <c r="N1676" s="83" t="n"/>
      <c r="O1676" s="66">
        <f>IF(OR($M1676="",$N1676=""),"",$N1676-$M1676)</f>
        <v/>
      </c>
      <c r="P1676" s="84">
        <f>IF($J1676="","",IF($L1676&lt;&gt;"",$L1676-$J1676,TODAY()-$J1676))</f>
        <v/>
      </c>
      <c r="Q1676" s="85">
        <f>IF(OR($K1676="",$H1676="Completed",$H1676="Cancelled"),"",IF(AND($K1676&lt;TODAY(),$H1676&lt;&gt;"Completed",$H1676&lt;&gt;"Cancelled"),"Overdue","On Track"))</f>
        <v/>
      </c>
      <c r="R1676" s="81" t="n"/>
      <c r="S1676" s="81">
        <f>IF($B1676="","",IFERROR(INDEX(Task_Tracker!$AA$5:$AA$1004,MATCH($B1676,Task_Tracker!$A$5:$A$1004,0)),""))</f>
        <v/>
      </c>
      <c r="T1676" s="81">
        <f>IF($B1676="","",IFERROR(INDEX(Task_Tracker!$AB$5:$AB$1004,MATCH($B1676,Task_Tracker!$A$5:$A$1004,0)),""))</f>
        <v/>
      </c>
      <c r="U1676" s="78">
        <f>IF($B1676="","",IFERROR(INDEX(Task_Tracker!$F$5:$F$1004,MATCH($B1676,Task_Tracker!$A$5:$A$1004,0)),""))</f>
        <v/>
      </c>
      <c r="V1676" s="78">
        <f>IF($B1676="","",IFERROR(INDEX(Task_Tracker!$I$5:$I$1004,MATCH($B1676,Task_Tracker!$A$5:$A$1004,0)),""))</f>
        <v/>
      </c>
      <c r="W1676" s="81">
        <f>IF(OR($D1676="",$B1676=""),"",$D1676&amp;" | "&amp;$B1676)</f>
        <v/>
      </c>
      <c r="X1676" s="85">
        <f>IF($K1676="","",TEXT($K1676,"yyyy-mm"))</f>
        <v/>
      </c>
      <c r="Y1676" s="81">
        <f>IF(OR($A1676="",$T1676=""),"","Included in Manager_Report")</f>
        <v/>
      </c>
    </row>
    <row r="1677" ht="15" customHeight="1" s="40">
      <c r="A1677" s="65">
        <f>IF(COUNTA(B1677:G1677)=0,"","STP-"&amp;TEXT(ROW()-4,"0000"))</f>
        <v/>
      </c>
      <c r="B1677" s="78" t="n"/>
      <c r="C1677" s="67">
        <f>IF($B1677="","",IFERROR(INDEX(Task_Tracker!$D$5:$D$1004,MATCH($B1677,Task_Tracker!$A$5:$A$1004,0)),""))</f>
        <v/>
      </c>
      <c r="D1677" s="67">
        <f>IF($B1677="","",IFERROR(INDEX(Task_Tracker!$B$5:$B$1004,MATCH($B1677,Task_Tracker!$A$5:$A$1004,0)),""))</f>
        <v/>
      </c>
      <c r="E1677" s="81" t="n"/>
      <c r="F1677" s="81" t="n"/>
      <c r="G1677" s="78" t="n"/>
      <c r="H1677" s="78" t="n"/>
      <c r="I1677" s="67">
        <f>IF($H1677="","",IFERROR(INDEX(Action_Status_Map!$B$5:$B$11,MATCH($H1677,Action_Status_Map!$A$5:$A$11,0)),""))</f>
        <v/>
      </c>
      <c r="J1677" s="82" t="n"/>
      <c r="K1677" s="82" t="n"/>
      <c r="L1677" s="82" t="n"/>
      <c r="M1677" s="83" t="n"/>
      <c r="N1677" s="83" t="n"/>
      <c r="O1677" s="66">
        <f>IF(OR($M1677="",$N1677=""),"",$N1677-$M1677)</f>
        <v/>
      </c>
      <c r="P1677" s="84">
        <f>IF($J1677="","",IF($L1677&lt;&gt;"",$L1677-$J1677,TODAY()-$J1677))</f>
        <v/>
      </c>
      <c r="Q1677" s="85">
        <f>IF(OR($K1677="",$H1677="Completed",$H1677="Cancelled"),"",IF(AND($K1677&lt;TODAY(),$H1677&lt;&gt;"Completed",$H1677&lt;&gt;"Cancelled"),"Overdue","On Track"))</f>
        <v/>
      </c>
      <c r="R1677" s="81" t="n"/>
      <c r="S1677" s="81">
        <f>IF($B1677="","",IFERROR(INDEX(Task_Tracker!$AA$5:$AA$1004,MATCH($B1677,Task_Tracker!$A$5:$A$1004,0)),""))</f>
        <v/>
      </c>
      <c r="T1677" s="81">
        <f>IF($B1677="","",IFERROR(INDEX(Task_Tracker!$AB$5:$AB$1004,MATCH($B1677,Task_Tracker!$A$5:$A$1004,0)),""))</f>
        <v/>
      </c>
      <c r="U1677" s="78">
        <f>IF($B1677="","",IFERROR(INDEX(Task_Tracker!$F$5:$F$1004,MATCH($B1677,Task_Tracker!$A$5:$A$1004,0)),""))</f>
        <v/>
      </c>
      <c r="V1677" s="78">
        <f>IF($B1677="","",IFERROR(INDEX(Task_Tracker!$I$5:$I$1004,MATCH($B1677,Task_Tracker!$A$5:$A$1004,0)),""))</f>
        <v/>
      </c>
      <c r="W1677" s="81">
        <f>IF(OR($D1677="",$B1677=""),"",$D1677&amp;" | "&amp;$B1677)</f>
        <v/>
      </c>
      <c r="X1677" s="85">
        <f>IF($K1677="","",TEXT($K1677,"yyyy-mm"))</f>
        <v/>
      </c>
      <c r="Y1677" s="81">
        <f>IF(OR($A1677="",$T1677=""),"","Included in Manager_Report")</f>
        <v/>
      </c>
    </row>
    <row r="1678" ht="15" customHeight="1" s="40">
      <c r="A1678" s="65">
        <f>IF(COUNTA(B1678:G1678)=0,"","STP-"&amp;TEXT(ROW()-4,"0000"))</f>
        <v/>
      </c>
      <c r="B1678" s="78" t="n"/>
      <c r="C1678" s="67">
        <f>IF($B1678="","",IFERROR(INDEX(Task_Tracker!$D$5:$D$1004,MATCH($B1678,Task_Tracker!$A$5:$A$1004,0)),""))</f>
        <v/>
      </c>
      <c r="D1678" s="67">
        <f>IF($B1678="","",IFERROR(INDEX(Task_Tracker!$B$5:$B$1004,MATCH($B1678,Task_Tracker!$A$5:$A$1004,0)),""))</f>
        <v/>
      </c>
      <c r="E1678" s="81" t="n"/>
      <c r="F1678" s="81" t="n"/>
      <c r="G1678" s="78" t="n"/>
      <c r="H1678" s="78" t="n"/>
      <c r="I1678" s="67">
        <f>IF($H1678="","",IFERROR(INDEX(Action_Status_Map!$B$5:$B$11,MATCH($H1678,Action_Status_Map!$A$5:$A$11,0)),""))</f>
        <v/>
      </c>
      <c r="J1678" s="82" t="n"/>
      <c r="K1678" s="82" t="n"/>
      <c r="L1678" s="82" t="n"/>
      <c r="M1678" s="83" t="n"/>
      <c r="N1678" s="83" t="n"/>
      <c r="O1678" s="66">
        <f>IF(OR($M1678="",$N1678=""),"",$N1678-$M1678)</f>
        <v/>
      </c>
      <c r="P1678" s="84">
        <f>IF($J1678="","",IF($L1678&lt;&gt;"",$L1678-$J1678,TODAY()-$J1678))</f>
        <v/>
      </c>
      <c r="Q1678" s="85">
        <f>IF(OR($K1678="",$H1678="Completed",$H1678="Cancelled"),"",IF(AND($K1678&lt;TODAY(),$H1678&lt;&gt;"Completed",$H1678&lt;&gt;"Cancelled"),"Overdue","On Track"))</f>
        <v/>
      </c>
      <c r="R1678" s="81" t="n"/>
      <c r="S1678" s="81">
        <f>IF($B1678="","",IFERROR(INDEX(Task_Tracker!$AA$5:$AA$1004,MATCH($B1678,Task_Tracker!$A$5:$A$1004,0)),""))</f>
        <v/>
      </c>
      <c r="T1678" s="81">
        <f>IF($B1678="","",IFERROR(INDEX(Task_Tracker!$AB$5:$AB$1004,MATCH($B1678,Task_Tracker!$A$5:$A$1004,0)),""))</f>
        <v/>
      </c>
      <c r="U1678" s="78">
        <f>IF($B1678="","",IFERROR(INDEX(Task_Tracker!$F$5:$F$1004,MATCH($B1678,Task_Tracker!$A$5:$A$1004,0)),""))</f>
        <v/>
      </c>
      <c r="V1678" s="78">
        <f>IF($B1678="","",IFERROR(INDEX(Task_Tracker!$I$5:$I$1004,MATCH($B1678,Task_Tracker!$A$5:$A$1004,0)),""))</f>
        <v/>
      </c>
      <c r="W1678" s="81">
        <f>IF(OR($D1678="",$B1678=""),"",$D1678&amp;" | "&amp;$B1678)</f>
        <v/>
      </c>
      <c r="X1678" s="85">
        <f>IF($K1678="","",TEXT($K1678,"yyyy-mm"))</f>
        <v/>
      </c>
      <c r="Y1678" s="81">
        <f>IF(OR($A1678="",$T1678=""),"","Included in Manager_Report")</f>
        <v/>
      </c>
    </row>
    <row r="1679" ht="15" customHeight="1" s="40">
      <c r="A1679" s="65">
        <f>IF(COUNTA(B1679:G1679)=0,"","STP-"&amp;TEXT(ROW()-4,"0000"))</f>
        <v/>
      </c>
      <c r="B1679" s="78" t="n"/>
      <c r="C1679" s="67">
        <f>IF($B1679="","",IFERROR(INDEX(Task_Tracker!$D$5:$D$1004,MATCH($B1679,Task_Tracker!$A$5:$A$1004,0)),""))</f>
        <v/>
      </c>
      <c r="D1679" s="67">
        <f>IF($B1679="","",IFERROR(INDEX(Task_Tracker!$B$5:$B$1004,MATCH($B1679,Task_Tracker!$A$5:$A$1004,0)),""))</f>
        <v/>
      </c>
      <c r="E1679" s="81" t="n"/>
      <c r="F1679" s="81" t="n"/>
      <c r="G1679" s="78" t="n"/>
      <c r="H1679" s="78" t="n"/>
      <c r="I1679" s="67">
        <f>IF($H1679="","",IFERROR(INDEX(Action_Status_Map!$B$5:$B$11,MATCH($H1679,Action_Status_Map!$A$5:$A$11,0)),""))</f>
        <v/>
      </c>
      <c r="J1679" s="82" t="n"/>
      <c r="K1679" s="82" t="n"/>
      <c r="L1679" s="82" t="n"/>
      <c r="M1679" s="83" t="n"/>
      <c r="N1679" s="83" t="n"/>
      <c r="O1679" s="66">
        <f>IF(OR($M1679="",$N1679=""),"",$N1679-$M1679)</f>
        <v/>
      </c>
      <c r="P1679" s="84">
        <f>IF($J1679="","",IF($L1679&lt;&gt;"",$L1679-$J1679,TODAY()-$J1679))</f>
        <v/>
      </c>
      <c r="Q1679" s="85">
        <f>IF(OR($K1679="",$H1679="Completed",$H1679="Cancelled"),"",IF(AND($K1679&lt;TODAY(),$H1679&lt;&gt;"Completed",$H1679&lt;&gt;"Cancelled"),"Overdue","On Track"))</f>
        <v/>
      </c>
      <c r="R1679" s="81" t="n"/>
      <c r="S1679" s="81">
        <f>IF($B1679="","",IFERROR(INDEX(Task_Tracker!$AA$5:$AA$1004,MATCH($B1679,Task_Tracker!$A$5:$A$1004,0)),""))</f>
        <v/>
      </c>
      <c r="T1679" s="81">
        <f>IF($B1679="","",IFERROR(INDEX(Task_Tracker!$AB$5:$AB$1004,MATCH($B1679,Task_Tracker!$A$5:$A$1004,0)),""))</f>
        <v/>
      </c>
      <c r="U1679" s="78">
        <f>IF($B1679="","",IFERROR(INDEX(Task_Tracker!$F$5:$F$1004,MATCH($B1679,Task_Tracker!$A$5:$A$1004,0)),""))</f>
        <v/>
      </c>
      <c r="V1679" s="78">
        <f>IF($B1679="","",IFERROR(INDEX(Task_Tracker!$I$5:$I$1004,MATCH($B1679,Task_Tracker!$A$5:$A$1004,0)),""))</f>
        <v/>
      </c>
      <c r="W1679" s="81">
        <f>IF(OR($D1679="",$B1679=""),"",$D1679&amp;" | "&amp;$B1679)</f>
        <v/>
      </c>
      <c r="X1679" s="85">
        <f>IF($K1679="","",TEXT($K1679,"yyyy-mm"))</f>
        <v/>
      </c>
      <c r="Y1679" s="81">
        <f>IF(OR($A1679="",$T1679=""),"","Included in Manager_Report")</f>
        <v/>
      </c>
    </row>
    <row r="1680" ht="15" customHeight="1" s="40">
      <c r="A1680" s="65">
        <f>IF(COUNTA(B1680:G1680)=0,"","STP-"&amp;TEXT(ROW()-4,"0000"))</f>
        <v/>
      </c>
      <c r="B1680" s="78" t="n"/>
      <c r="C1680" s="67">
        <f>IF($B1680="","",IFERROR(INDEX(Task_Tracker!$D$5:$D$1004,MATCH($B1680,Task_Tracker!$A$5:$A$1004,0)),""))</f>
        <v/>
      </c>
      <c r="D1680" s="67">
        <f>IF($B1680="","",IFERROR(INDEX(Task_Tracker!$B$5:$B$1004,MATCH($B1680,Task_Tracker!$A$5:$A$1004,0)),""))</f>
        <v/>
      </c>
      <c r="E1680" s="81" t="n"/>
      <c r="F1680" s="81" t="n"/>
      <c r="G1680" s="78" t="n"/>
      <c r="H1680" s="78" t="n"/>
      <c r="I1680" s="67">
        <f>IF($H1680="","",IFERROR(INDEX(Action_Status_Map!$B$5:$B$11,MATCH($H1680,Action_Status_Map!$A$5:$A$11,0)),""))</f>
        <v/>
      </c>
      <c r="J1680" s="82" t="n"/>
      <c r="K1680" s="82" t="n"/>
      <c r="L1680" s="82" t="n"/>
      <c r="M1680" s="83" t="n"/>
      <c r="N1680" s="83" t="n"/>
      <c r="O1680" s="66">
        <f>IF(OR($M1680="",$N1680=""),"",$N1680-$M1680)</f>
        <v/>
      </c>
      <c r="P1680" s="84">
        <f>IF($J1680="","",IF($L1680&lt;&gt;"",$L1680-$J1680,TODAY()-$J1680))</f>
        <v/>
      </c>
      <c r="Q1680" s="85">
        <f>IF(OR($K1680="",$H1680="Completed",$H1680="Cancelled"),"",IF(AND($K1680&lt;TODAY(),$H1680&lt;&gt;"Completed",$H1680&lt;&gt;"Cancelled"),"Overdue","On Track"))</f>
        <v/>
      </c>
      <c r="R1680" s="81" t="n"/>
      <c r="S1680" s="81">
        <f>IF($B1680="","",IFERROR(INDEX(Task_Tracker!$AA$5:$AA$1004,MATCH($B1680,Task_Tracker!$A$5:$A$1004,0)),""))</f>
        <v/>
      </c>
      <c r="T1680" s="81">
        <f>IF($B1680="","",IFERROR(INDEX(Task_Tracker!$AB$5:$AB$1004,MATCH($B1680,Task_Tracker!$A$5:$A$1004,0)),""))</f>
        <v/>
      </c>
      <c r="U1680" s="78">
        <f>IF($B1680="","",IFERROR(INDEX(Task_Tracker!$F$5:$F$1004,MATCH($B1680,Task_Tracker!$A$5:$A$1004,0)),""))</f>
        <v/>
      </c>
      <c r="V1680" s="78">
        <f>IF($B1680="","",IFERROR(INDEX(Task_Tracker!$I$5:$I$1004,MATCH($B1680,Task_Tracker!$A$5:$A$1004,0)),""))</f>
        <v/>
      </c>
      <c r="W1680" s="81">
        <f>IF(OR($D1680="",$B1680=""),"",$D1680&amp;" | "&amp;$B1680)</f>
        <v/>
      </c>
      <c r="X1680" s="85">
        <f>IF($K1680="","",TEXT($K1680,"yyyy-mm"))</f>
        <v/>
      </c>
      <c r="Y1680" s="81">
        <f>IF(OR($A1680="",$T1680=""),"","Included in Manager_Report")</f>
        <v/>
      </c>
    </row>
    <row r="1681" ht="15" customHeight="1" s="40">
      <c r="A1681" s="65">
        <f>IF(COUNTA(B1681:G1681)=0,"","STP-"&amp;TEXT(ROW()-4,"0000"))</f>
        <v/>
      </c>
      <c r="B1681" s="78" t="n"/>
      <c r="C1681" s="67">
        <f>IF($B1681="","",IFERROR(INDEX(Task_Tracker!$D$5:$D$1004,MATCH($B1681,Task_Tracker!$A$5:$A$1004,0)),""))</f>
        <v/>
      </c>
      <c r="D1681" s="67">
        <f>IF($B1681="","",IFERROR(INDEX(Task_Tracker!$B$5:$B$1004,MATCH($B1681,Task_Tracker!$A$5:$A$1004,0)),""))</f>
        <v/>
      </c>
      <c r="E1681" s="81" t="n"/>
      <c r="F1681" s="81" t="n"/>
      <c r="G1681" s="78" t="n"/>
      <c r="H1681" s="78" t="n"/>
      <c r="I1681" s="67">
        <f>IF($H1681="","",IFERROR(INDEX(Action_Status_Map!$B$5:$B$11,MATCH($H1681,Action_Status_Map!$A$5:$A$11,0)),""))</f>
        <v/>
      </c>
      <c r="J1681" s="82" t="n"/>
      <c r="K1681" s="82" t="n"/>
      <c r="L1681" s="82" t="n"/>
      <c r="M1681" s="83" t="n"/>
      <c r="N1681" s="83" t="n"/>
      <c r="O1681" s="66">
        <f>IF(OR($M1681="",$N1681=""),"",$N1681-$M1681)</f>
        <v/>
      </c>
      <c r="P1681" s="84">
        <f>IF($J1681="","",IF($L1681&lt;&gt;"",$L1681-$J1681,TODAY()-$J1681))</f>
        <v/>
      </c>
      <c r="Q1681" s="85">
        <f>IF(OR($K1681="",$H1681="Completed",$H1681="Cancelled"),"",IF(AND($K1681&lt;TODAY(),$H1681&lt;&gt;"Completed",$H1681&lt;&gt;"Cancelled"),"Overdue","On Track"))</f>
        <v/>
      </c>
      <c r="R1681" s="81" t="n"/>
      <c r="S1681" s="81">
        <f>IF($B1681="","",IFERROR(INDEX(Task_Tracker!$AA$5:$AA$1004,MATCH($B1681,Task_Tracker!$A$5:$A$1004,0)),""))</f>
        <v/>
      </c>
      <c r="T1681" s="81">
        <f>IF($B1681="","",IFERROR(INDEX(Task_Tracker!$AB$5:$AB$1004,MATCH($B1681,Task_Tracker!$A$5:$A$1004,0)),""))</f>
        <v/>
      </c>
      <c r="U1681" s="78">
        <f>IF($B1681="","",IFERROR(INDEX(Task_Tracker!$F$5:$F$1004,MATCH($B1681,Task_Tracker!$A$5:$A$1004,0)),""))</f>
        <v/>
      </c>
      <c r="V1681" s="78">
        <f>IF($B1681="","",IFERROR(INDEX(Task_Tracker!$I$5:$I$1004,MATCH($B1681,Task_Tracker!$A$5:$A$1004,0)),""))</f>
        <v/>
      </c>
      <c r="W1681" s="81">
        <f>IF(OR($D1681="",$B1681=""),"",$D1681&amp;" | "&amp;$B1681)</f>
        <v/>
      </c>
      <c r="X1681" s="85">
        <f>IF($K1681="","",TEXT($K1681,"yyyy-mm"))</f>
        <v/>
      </c>
      <c r="Y1681" s="81">
        <f>IF(OR($A1681="",$T1681=""),"","Included in Manager_Report")</f>
        <v/>
      </c>
    </row>
    <row r="1682" ht="15" customHeight="1" s="40">
      <c r="A1682" s="65">
        <f>IF(COUNTA(B1682:G1682)=0,"","STP-"&amp;TEXT(ROW()-4,"0000"))</f>
        <v/>
      </c>
      <c r="B1682" s="78" t="n"/>
      <c r="C1682" s="67">
        <f>IF($B1682="","",IFERROR(INDEX(Task_Tracker!$D$5:$D$1004,MATCH($B1682,Task_Tracker!$A$5:$A$1004,0)),""))</f>
        <v/>
      </c>
      <c r="D1682" s="67">
        <f>IF($B1682="","",IFERROR(INDEX(Task_Tracker!$B$5:$B$1004,MATCH($B1682,Task_Tracker!$A$5:$A$1004,0)),""))</f>
        <v/>
      </c>
      <c r="E1682" s="81" t="n"/>
      <c r="F1682" s="81" t="n"/>
      <c r="G1682" s="78" t="n"/>
      <c r="H1682" s="78" t="n"/>
      <c r="I1682" s="67">
        <f>IF($H1682="","",IFERROR(INDEX(Action_Status_Map!$B$5:$B$11,MATCH($H1682,Action_Status_Map!$A$5:$A$11,0)),""))</f>
        <v/>
      </c>
      <c r="J1682" s="82" t="n"/>
      <c r="K1682" s="82" t="n"/>
      <c r="L1682" s="82" t="n"/>
      <c r="M1682" s="83" t="n"/>
      <c r="N1682" s="83" t="n"/>
      <c r="O1682" s="66">
        <f>IF(OR($M1682="",$N1682=""),"",$N1682-$M1682)</f>
        <v/>
      </c>
      <c r="P1682" s="84">
        <f>IF($J1682="","",IF($L1682&lt;&gt;"",$L1682-$J1682,TODAY()-$J1682))</f>
        <v/>
      </c>
      <c r="Q1682" s="85">
        <f>IF(OR($K1682="",$H1682="Completed",$H1682="Cancelled"),"",IF(AND($K1682&lt;TODAY(),$H1682&lt;&gt;"Completed",$H1682&lt;&gt;"Cancelled"),"Overdue","On Track"))</f>
        <v/>
      </c>
      <c r="R1682" s="81" t="n"/>
      <c r="S1682" s="81">
        <f>IF($B1682="","",IFERROR(INDEX(Task_Tracker!$AA$5:$AA$1004,MATCH($B1682,Task_Tracker!$A$5:$A$1004,0)),""))</f>
        <v/>
      </c>
      <c r="T1682" s="81">
        <f>IF($B1682="","",IFERROR(INDEX(Task_Tracker!$AB$5:$AB$1004,MATCH($B1682,Task_Tracker!$A$5:$A$1004,0)),""))</f>
        <v/>
      </c>
      <c r="U1682" s="78">
        <f>IF($B1682="","",IFERROR(INDEX(Task_Tracker!$F$5:$F$1004,MATCH($B1682,Task_Tracker!$A$5:$A$1004,0)),""))</f>
        <v/>
      </c>
      <c r="V1682" s="78">
        <f>IF($B1682="","",IFERROR(INDEX(Task_Tracker!$I$5:$I$1004,MATCH($B1682,Task_Tracker!$A$5:$A$1004,0)),""))</f>
        <v/>
      </c>
      <c r="W1682" s="81">
        <f>IF(OR($D1682="",$B1682=""),"",$D1682&amp;" | "&amp;$B1682)</f>
        <v/>
      </c>
      <c r="X1682" s="85">
        <f>IF($K1682="","",TEXT($K1682,"yyyy-mm"))</f>
        <v/>
      </c>
      <c r="Y1682" s="81">
        <f>IF(OR($A1682="",$T1682=""),"","Included in Manager_Report")</f>
        <v/>
      </c>
    </row>
    <row r="1683" ht="15" customHeight="1" s="40">
      <c r="A1683" s="65">
        <f>IF(COUNTA(B1683:G1683)=0,"","STP-"&amp;TEXT(ROW()-4,"0000"))</f>
        <v/>
      </c>
      <c r="B1683" s="78" t="n"/>
      <c r="C1683" s="67">
        <f>IF($B1683="","",IFERROR(INDEX(Task_Tracker!$D$5:$D$1004,MATCH($B1683,Task_Tracker!$A$5:$A$1004,0)),""))</f>
        <v/>
      </c>
      <c r="D1683" s="67">
        <f>IF($B1683="","",IFERROR(INDEX(Task_Tracker!$B$5:$B$1004,MATCH($B1683,Task_Tracker!$A$5:$A$1004,0)),""))</f>
        <v/>
      </c>
      <c r="E1683" s="81" t="n"/>
      <c r="F1683" s="81" t="n"/>
      <c r="G1683" s="78" t="n"/>
      <c r="H1683" s="78" t="n"/>
      <c r="I1683" s="67">
        <f>IF($H1683="","",IFERROR(INDEX(Action_Status_Map!$B$5:$B$11,MATCH($H1683,Action_Status_Map!$A$5:$A$11,0)),""))</f>
        <v/>
      </c>
      <c r="J1683" s="82" t="n"/>
      <c r="K1683" s="82" t="n"/>
      <c r="L1683" s="82" t="n"/>
      <c r="M1683" s="83" t="n"/>
      <c r="N1683" s="83" t="n"/>
      <c r="O1683" s="66">
        <f>IF(OR($M1683="",$N1683=""),"",$N1683-$M1683)</f>
        <v/>
      </c>
      <c r="P1683" s="84">
        <f>IF($J1683="","",IF($L1683&lt;&gt;"",$L1683-$J1683,TODAY()-$J1683))</f>
        <v/>
      </c>
      <c r="Q1683" s="85">
        <f>IF(OR($K1683="",$H1683="Completed",$H1683="Cancelled"),"",IF(AND($K1683&lt;TODAY(),$H1683&lt;&gt;"Completed",$H1683&lt;&gt;"Cancelled"),"Overdue","On Track"))</f>
        <v/>
      </c>
      <c r="R1683" s="81" t="n"/>
      <c r="S1683" s="81">
        <f>IF($B1683="","",IFERROR(INDEX(Task_Tracker!$AA$5:$AA$1004,MATCH($B1683,Task_Tracker!$A$5:$A$1004,0)),""))</f>
        <v/>
      </c>
      <c r="T1683" s="81">
        <f>IF($B1683="","",IFERROR(INDEX(Task_Tracker!$AB$5:$AB$1004,MATCH($B1683,Task_Tracker!$A$5:$A$1004,0)),""))</f>
        <v/>
      </c>
      <c r="U1683" s="78">
        <f>IF($B1683="","",IFERROR(INDEX(Task_Tracker!$F$5:$F$1004,MATCH($B1683,Task_Tracker!$A$5:$A$1004,0)),""))</f>
        <v/>
      </c>
      <c r="V1683" s="78">
        <f>IF($B1683="","",IFERROR(INDEX(Task_Tracker!$I$5:$I$1004,MATCH($B1683,Task_Tracker!$A$5:$A$1004,0)),""))</f>
        <v/>
      </c>
      <c r="W1683" s="81">
        <f>IF(OR($D1683="",$B1683=""),"",$D1683&amp;" | "&amp;$B1683)</f>
        <v/>
      </c>
      <c r="X1683" s="85">
        <f>IF($K1683="","",TEXT($K1683,"yyyy-mm"))</f>
        <v/>
      </c>
      <c r="Y1683" s="81">
        <f>IF(OR($A1683="",$T1683=""),"","Included in Manager_Report")</f>
        <v/>
      </c>
    </row>
    <row r="1684" ht="15" customHeight="1" s="40">
      <c r="A1684" s="65">
        <f>IF(COUNTA(B1684:G1684)=0,"","STP-"&amp;TEXT(ROW()-4,"0000"))</f>
        <v/>
      </c>
      <c r="B1684" s="78" t="n"/>
      <c r="C1684" s="67">
        <f>IF($B1684="","",IFERROR(INDEX(Task_Tracker!$D$5:$D$1004,MATCH($B1684,Task_Tracker!$A$5:$A$1004,0)),""))</f>
        <v/>
      </c>
      <c r="D1684" s="67">
        <f>IF($B1684="","",IFERROR(INDEX(Task_Tracker!$B$5:$B$1004,MATCH($B1684,Task_Tracker!$A$5:$A$1004,0)),""))</f>
        <v/>
      </c>
      <c r="E1684" s="81" t="n"/>
      <c r="F1684" s="81" t="n"/>
      <c r="G1684" s="78" t="n"/>
      <c r="H1684" s="78" t="n"/>
      <c r="I1684" s="67">
        <f>IF($H1684="","",IFERROR(INDEX(Action_Status_Map!$B$5:$B$11,MATCH($H1684,Action_Status_Map!$A$5:$A$11,0)),""))</f>
        <v/>
      </c>
      <c r="J1684" s="82" t="n"/>
      <c r="K1684" s="82" t="n"/>
      <c r="L1684" s="82" t="n"/>
      <c r="M1684" s="83" t="n"/>
      <c r="N1684" s="83" t="n"/>
      <c r="O1684" s="66">
        <f>IF(OR($M1684="",$N1684=""),"",$N1684-$M1684)</f>
        <v/>
      </c>
      <c r="P1684" s="84">
        <f>IF($J1684="","",IF($L1684&lt;&gt;"",$L1684-$J1684,TODAY()-$J1684))</f>
        <v/>
      </c>
      <c r="Q1684" s="85">
        <f>IF(OR($K1684="",$H1684="Completed",$H1684="Cancelled"),"",IF(AND($K1684&lt;TODAY(),$H1684&lt;&gt;"Completed",$H1684&lt;&gt;"Cancelled"),"Overdue","On Track"))</f>
        <v/>
      </c>
      <c r="R1684" s="81" t="n"/>
      <c r="S1684" s="81">
        <f>IF($B1684="","",IFERROR(INDEX(Task_Tracker!$AA$5:$AA$1004,MATCH($B1684,Task_Tracker!$A$5:$A$1004,0)),""))</f>
        <v/>
      </c>
      <c r="T1684" s="81">
        <f>IF($B1684="","",IFERROR(INDEX(Task_Tracker!$AB$5:$AB$1004,MATCH($B1684,Task_Tracker!$A$5:$A$1004,0)),""))</f>
        <v/>
      </c>
      <c r="U1684" s="78">
        <f>IF($B1684="","",IFERROR(INDEX(Task_Tracker!$F$5:$F$1004,MATCH($B1684,Task_Tracker!$A$5:$A$1004,0)),""))</f>
        <v/>
      </c>
      <c r="V1684" s="78">
        <f>IF($B1684="","",IFERROR(INDEX(Task_Tracker!$I$5:$I$1004,MATCH($B1684,Task_Tracker!$A$5:$A$1004,0)),""))</f>
        <v/>
      </c>
      <c r="W1684" s="81">
        <f>IF(OR($D1684="",$B1684=""),"",$D1684&amp;" | "&amp;$B1684)</f>
        <v/>
      </c>
      <c r="X1684" s="85">
        <f>IF($K1684="","",TEXT($K1684,"yyyy-mm"))</f>
        <v/>
      </c>
      <c r="Y1684" s="81">
        <f>IF(OR($A1684="",$T1684=""),"","Included in Manager_Report")</f>
        <v/>
      </c>
    </row>
    <row r="1685" ht="15" customHeight="1" s="40">
      <c r="A1685" s="65">
        <f>IF(COUNTA(B1685:G1685)=0,"","STP-"&amp;TEXT(ROW()-4,"0000"))</f>
        <v/>
      </c>
      <c r="B1685" s="78" t="n"/>
      <c r="C1685" s="67">
        <f>IF($B1685="","",IFERROR(INDEX(Task_Tracker!$D$5:$D$1004,MATCH($B1685,Task_Tracker!$A$5:$A$1004,0)),""))</f>
        <v/>
      </c>
      <c r="D1685" s="67">
        <f>IF($B1685="","",IFERROR(INDEX(Task_Tracker!$B$5:$B$1004,MATCH($B1685,Task_Tracker!$A$5:$A$1004,0)),""))</f>
        <v/>
      </c>
      <c r="E1685" s="81" t="n"/>
      <c r="F1685" s="81" t="n"/>
      <c r="G1685" s="78" t="n"/>
      <c r="H1685" s="78" t="n"/>
      <c r="I1685" s="67">
        <f>IF($H1685="","",IFERROR(INDEX(Action_Status_Map!$B$5:$B$11,MATCH($H1685,Action_Status_Map!$A$5:$A$11,0)),""))</f>
        <v/>
      </c>
      <c r="J1685" s="82" t="n"/>
      <c r="K1685" s="82" t="n"/>
      <c r="L1685" s="82" t="n"/>
      <c r="M1685" s="83" t="n"/>
      <c r="N1685" s="83" t="n"/>
      <c r="O1685" s="66">
        <f>IF(OR($M1685="",$N1685=""),"",$N1685-$M1685)</f>
        <v/>
      </c>
      <c r="P1685" s="84">
        <f>IF($J1685="","",IF($L1685&lt;&gt;"",$L1685-$J1685,TODAY()-$J1685))</f>
        <v/>
      </c>
      <c r="Q1685" s="85">
        <f>IF(OR($K1685="",$H1685="Completed",$H1685="Cancelled"),"",IF(AND($K1685&lt;TODAY(),$H1685&lt;&gt;"Completed",$H1685&lt;&gt;"Cancelled"),"Overdue","On Track"))</f>
        <v/>
      </c>
      <c r="R1685" s="81" t="n"/>
      <c r="S1685" s="81">
        <f>IF($B1685="","",IFERROR(INDEX(Task_Tracker!$AA$5:$AA$1004,MATCH($B1685,Task_Tracker!$A$5:$A$1004,0)),""))</f>
        <v/>
      </c>
      <c r="T1685" s="81">
        <f>IF($B1685="","",IFERROR(INDEX(Task_Tracker!$AB$5:$AB$1004,MATCH($B1685,Task_Tracker!$A$5:$A$1004,0)),""))</f>
        <v/>
      </c>
      <c r="U1685" s="78">
        <f>IF($B1685="","",IFERROR(INDEX(Task_Tracker!$F$5:$F$1004,MATCH($B1685,Task_Tracker!$A$5:$A$1004,0)),""))</f>
        <v/>
      </c>
      <c r="V1685" s="78">
        <f>IF($B1685="","",IFERROR(INDEX(Task_Tracker!$I$5:$I$1004,MATCH($B1685,Task_Tracker!$A$5:$A$1004,0)),""))</f>
        <v/>
      </c>
      <c r="W1685" s="81">
        <f>IF(OR($D1685="",$B1685=""),"",$D1685&amp;" | "&amp;$B1685)</f>
        <v/>
      </c>
      <c r="X1685" s="85">
        <f>IF($K1685="","",TEXT($K1685,"yyyy-mm"))</f>
        <v/>
      </c>
      <c r="Y1685" s="81">
        <f>IF(OR($A1685="",$T1685=""),"","Included in Manager_Report")</f>
        <v/>
      </c>
    </row>
    <row r="1686" ht="15" customHeight="1" s="40">
      <c r="A1686" s="65">
        <f>IF(COUNTA(B1686:G1686)=0,"","STP-"&amp;TEXT(ROW()-4,"0000"))</f>
        <v/>
      </c>
      <c r="B1686" s="78" t="n"/>
      <c r="C1686" s="67">
        <f>IF($B1686="","",IFERROR(INDEX(Task_Tracker!$D$5:$D$1004,MATCH($B1686,Task_Tracker!$A$5:$A$1004,0)),""))</f>
        <v/>
      </c>
      <c r="D1686" s="67">
        <f>IF($B1686="","",IFERROR(INDEX(Task_Tracker!$B$5:$B$1004,MATCH($B1686,Task_Tracker!$A$5:$A$1004,0)),""))</f>
        <v/>
      </c>
      <c r="E1686" s="81" t="n"/>
      <c r="F1686" s="81" t="n"/>
      <c r="G1686" s="78" t="n"/>
      <c r="H1686" s="78" t="n"/>
      <c r="I1686" s="67">
        <f>IF($H1686="","",IFERROR(INDEX(Action_Status_Map!$B$5:$B$11,MATCH($H1686,Action_Status_Map!$A$5:$A$11,0)),""))</f>
        <v/>
      </c>
      <c r="J1686" s="82" t="n"/>
      <c r="K1686" s="82" t="n"/>
      <c r="L1686" s="82" t="n"/>
      <c r="M1686" s="83" t="n"/>
      <c r="N1686" s="83" t="n"/>
      <c r="O1686" s="66">
        <f>IF(OR($M1686="",$N1686=""),"",$N1686-$M1686)</f>
        <v/>
      </c>
      <c r="P1686" s="84">
        <f>IF($J1686="","",IF($L1686&lt;&gt;"",$L1686-$J1686,TODAY()-$J1686))</f>
        <v/>
      </c>
      <c r="Q1686" s="85">
        <f>IF(OR($K1686="",$H1686="Completed",$H1686="Cancelled"),"",IF(AND($K1686&lt;TODAY(),$H1686&lt;&gt;"Completed",$H1686&lt;&gt;"Cancelled"),"Overdue","On Track"))</f>
        <v/>
      </c>
      <c r="R1686" s="81" t="n"/>
      <c r="S1686" s="81">
        <f>IF($B1686="","",IFERROR(INDEX(Task_Tracker!$AA$5:$AA$1004,MATCH($B1686,Task_Tracker!$A$5:$A$1004,0)),""))</f>
        <v/>
      </c>
      <c r="T1686" s="81">
        <f>IF($B1686="","",IFERROR(INDEX(Task_Tracker!$AB$5:$AB$1004,MATCH($B1686,Task_Tracker!$A$5:$A$1004,0)),""))</f>
        <v/>
      </c>
      <c r="U1686" s="78">
        <f>IF($B1686="","",IFERROR(INDEX(Task_Tracker!$F$5:$F$1004,MATCH($B1686,Task_Tracker!$A$5:$A$1004,0)),""))</f>
        <v/>
      </c>
      <c r="V1686" s="78">
        <f>IF($B1686="","",IFERROR(INDEX(Task_Tracker!$I$5:$I$1004,MATCH($B1686,Task_Tracker!$A$5:$A$1004,0)),""))</f>
        <v/>
      </c>
      <c r="W1686" s="81">
        <f>IF(OR($D1686="",$B1686=""),"",$D1686&amp;" | "&amp;$B1686)</f>
        <v/>
      </c>
      <c r="X1686" s="85">
        <f>IF($K1686="","",TEXT($K1686,"yyyy-mm"))</f>
        <v/>
      </c>
      <c r="Y1686" s="81">
        <f>IF(OR($A1686="",$T1686=""),"","Included in Manager_Report")</f>
        <v/>
      </c>
    </row>
    <row r="1687" ht="15" customHeight="1" s="40">
      <c r="A1687" s="65">
        <f>IF(COUNTA(B1687:G1687)=0,"","STP-"&amp;TEXT(ROW()-4,"0000"))</f>
        <v/>
      </c>
      <c r="B1687" s="78" t="n"/>
      <c r="C1687" s="67">
        <f>IF($B1687="","",IFERROR(INDEX(Task_Tracker!$D$5:$D$1004,MATCH($B1687,Task_Tracker!$A$5:$A$1004,0)),""))</f>
        <v/>
      </c>
      <c r="D1687" s="67">
        <f>IF($B1687="","",IFERROR(INDEX(Task_Tracker!$B$5:$B$1004,MATCH($B1687,Task_Tracker!$A$5:$A$1004,0)),""))</f>
        <v/>
      </c>
      <c r="E1687" s="81" t="n"/>
      <c r="F1687" s="81" t="n"/>
      <c r="G1687" s="78" t="n"/>
      <c r="H1687" s="78" t="n"/>
      <c r="I1687" s="67">
        <f>IF($H1687="","",IFERROR(INDEX(Action_Status_Map!$B$5:$B$11,MATCH($H1687,Action_Status_Map!$A$5:$A$11,0)),""))</f>
        <v/>
      </c>
      <c r="J1687" s="82" t="n"/>
      <c r="K1687" s="82" t="n"/>
      <c r="L1687" s="82" t="n"/>
      <c r="M1687" s="83" t="n"/>
      <c r="N1687" s="83" t="n"/>
      <c r="O1687" s="66">
        <f>IF(OR($M1687="",$N1687=""),"",$N1687-$M1687)</f>
        <v/>
      </c>
      <c r="P1687" s="84">
        <f>IF($J1687="","",IF($L1687&lt;&gt;"",$L1687-$J1687,TODAY()-$J1687))</f>
        <v/>
      </c>
      <c r="Q1687" s="85">
        <f>IF(OR($K1687="",$H1687="Completed",$H1687="Cancelled"),"",IF(AND($K1687&lt;TODAY(),$H1687&lt;&gt;"Completed",$H1687&lt;&gt;"Cancelled"),"Overdue","On Track"))</f>
        <v/>
      </c>
      <c r="R1687" s="81" t="n"/>
      <c r="S1687" s="81">
        <f>IF($B1687="","",IFERROR(INDEX(Task_Tracker!$AA$5:$AA$1004,MATCH($B1687,Task_Tracker!$A$5:$A$1004,0)),""))</f>
        <v/>
      </c>
      <c r="T1687" s="81">
        <f>IF($B1687="","",IFERROR(INDEX(Task_Tracker!$AB$5:$AB$1004,MATCH($B1687,Task_Tracker!$A$5:$A$1004,0)),""))</f>
        <v/>
      </c>
      <c r="U1687" s="78">
        <f>IF($B1687="","",IFERROR(INDEX(Task_Tracker!$F$5:$F$1004,MATCH($B1687,Task_Tracker!$A$5:$A$1004,0)),""))</f>
        <v/>
      </c>
      <c r="V1687" s="78">
        <f>IF($B1687="","",IFERROR(INDEX(Task_Tracker!$I$5:$I$1004,MATCH($B1687,Task_Tracker!$A$5:$A$1004,0)),""))</f>
        <v/>
      </c>
      <c r="W1687" s="81">
        <f>IF(OR($D1687="",$B1687=""),"",$D1687&amp;" | "&amp;$B1687)</f>
        <v/>
      </c>
      <c r="X1687" s="85">
        <f>IF($K1687="","",TEXT($K1687,"yyyy-mm"))</f>
        <v/>
      </c>
      <c r="Y1687" s="81">
        <f>IF(OR($A1687="",$T1687=""),"","Included in Manager_Report")</f>
        <v/>
      </c>
    </row>
    <row r="1688" ht="15" customHeight="1" s="40">
      <c r="A1688" s="65">
        <f>IF(COUNTA(B1688:G1688)=0,"","STP-"&amp;TEXT(ROW()-4,"0000"))</f>
        <v/>
      </c>
      <c r="B1688" s="78" t="n"/>
      <c r="C1688" s="67">
        <f>IF($B1688="","",IFERROR(INDEX(Task_Tracker!$D$5:$D$1004,MATCH($B1688,Task_Tracker!$A$5:$A$1004,0)),""))</f>
        <v/>
      </c>
      <c r="D1688" s="67">
        <f>IF($B1688="","",IFERROR(INDEX(Task_Tracker!$B$5:$B$1004,MATCH($B1688,Task_Tracker!$A$5:$A$1004,0)),""))</f>
        <v/>
      </c>
      <c r="E1688" s="81" t="n"/>
      <c r="F1688" s="81" t="n"/>
      <c r="G1688" s="78" t="n"/>
      <c r="H1688" s="78" t="n"/>
      <c r="I1688" s="67">
        <f>IF($H1688="","",IFERROR(INDEX(Action_Status_Map!$B$5:$B$11,MATCH($H1688,Action_Status_Map!$A$5:$A$11,0)),""))</f>
        <v/>
      </c>
      <c r="J1688" s="82" t="n"/>
      <c r="K1688" s="82" t="n"/>
      <c r="L1688" s="82" t="n"/>
      <c r="M1688" s="83" t="n"/>
      <c r="N1688" s="83" t="n"/>
      <c r="O1688" s="66">
        <f>IF(OR($M1688="",$N1688=""),"",$N1688-$M1688)</f>
        <v/>
      </c>
      <c r="P1688" s="84">
        <f>IF($J1688="","",IF($L1688&lt;&gt;"",$L1688-$J1688,TODAY()-$J1688))</f>
        <v/>
      </c>
      <c r="Q1688" s="85">
        <f>IF(OR($K1688="",$H1688="Completed",$H1688="Cancelled"),"",IF(AND($K1688&lt;TODAY(),$H1688&lt;&gt;"Completed",$H1688&lt;&gt;"Cancelled"),"Overdue","On Track"))</f>
        <v/>
      </c>
      <c r="R1688" s="81" t="n"/>
      <c r="S1688" s="81">
        <f>IF($B1688="","",IFERROR(INDEX(Task_Tracker!$AA$5:$AA$1004,MATCH($B1688,Task_Tracker!$A$5:$A$1004,0)),""))</f>
        <v/>
      </c>
      <c r="T1688" s="81">
        <f>IF($B1688="","",IFERROR(INDEX(Task_Tracker!$AB$5:$AB$1004,MATCH($B1688,Task_Tracker!$A$5:$A$1004,0)),""))</f>
        <v/>
      </c>
      <c r="U1688" s="78">
        <f>IF($B1688="","",IFERROR(INDEX(Task_Tracker!$F$5:$F$1004,MATCH($B1688,Task_Tracker!$A$5:$A$1004,0)),""))</f>
        <v/>
      </c>
      <c r="V1688" s="78">
        <f>IF($B1688="","",IFERROR(INDEX(Task_Tracker!$I$5:$I$1004,MATCH($B1688,Task_Tracker!$A$5:$A$1004,0)),""))</f>
        <v/>
      </c>
      <c r="W1688" s="81">
        <f>IF(OR($D1688="",$B1688=""),"",$D1688&amp;" | "&amp;$B1688)</f>
        <v/>
      </c>
      <c r="X1688" s="85">
        <f>IF($K1688="","",TEXT($K1688,"yyyy-mm"))</f>
        <v/>
      </c>
      <c r="Y1688" s="81">
        <f>IF(OR($A1688="",$T1688=""),"","Included in Manager_Report")</f>
        <v/>
      </c>
    </row>
    <row r="1689" ht="15" customHeight="1" s="40">
      <c r="A1689" s="65">
        <f>IF(COUNTA(B1689:G1689)=0,"","STP-"&amp;TEXT(ROW()-4,"0000"))</f>
        <v/>
      </c>
      <c r="B1689" s="78" t="n"/>
      <c r="C1689" s="67">
        <f>IF($B1689="","",IFERROR(INDEX(Task_Tracker!$D$5:$D$1004,MATCH($B1689,Task_Tracker!$A$5:$A$1004,0)),""))</f>
        <v/>
      </c>
      <c r="D1689" s="67">
        <f>IF($B1689="","",IFERROR(INDEX(Task_Tracker!$B$5:$B$1004,MATCH($B1689,Task_Tracker!$A$5:$A$1004,0)),""))</f>
        <v/>
      </c>
      <c r="E1689" s="81" t="n"/>
      <c r="F1689" s="81" t="n"/>
      <c r="G1689" s="78" t="n"/>
      <c r="H1689" s="78" t="n"/>
      <c r="I1689" s="67">
        <f>IF($H1689="","",IFERROR(INDEX(Action_Status_Map!$B$5:$B$11,MATCH($H1689,Action_Status_Map!$A$5:$A$11,0)),""))</f>
        <v/>
      </c>
      <c r="J1689" s="82" t="n"/>
      <c r="K1689" s="82" t="n"/>
      <c r="L1689" s="82" t="n"/>
      <c r="M1689" s="83" t="n"/>
      <c r="N1689" s="83" t="n"/>
      <c r="O1689" s="66">
        <f>IF(OR($M1689="",$N1689=""),"",$N1689-$M1689)</f>
        <v/>
      </c>
      <c r="P1689" s="84">
        <f>IF($J1689="","",IF($L1689&lt;&gt;"",$L1689-$J1689,TODAY()-$J1689))</f>
        <v/>
      </c>
      <c r="Q1689" s="85">
        <f>IF(OR($K1689="",$H1689="Completed",$H1689="Cancelled"),"",IF(AND($K1689&lt;TODAY(),$H1689&lt;&gt;"Completed",$H1689&lt;&gt;"Cancelled"),"Overdue","On Track"))</f>
        <v/>
      </c>
      <c r="R1689" s="81" t="n"/>
      <c r="S1689" s="81">
        <f>IF($B1689="","",IFERROR(INDEX(Task_Tracker!$AA$5:$AA$1004,MATCH($B1689,Task_Tracker!$A$5:$A$1004,0)),""))</f>
        <v/>
      </c>
      <c r="T1689" s="81">
        <f>IF($B1689="","",IFERROR(INDEX(Task_Tracker!$AB$5:$AB$1004,MATCH($B1689,Task_Tracker!$A$5:$A$1004,0)),""))</f>
        <v/>
      </c>
      <c r="U1689" s="78">
        <f>IF($B1689="","",IFERROR(INDEX(Task_Tracker!$F$5:$F$1004,MATCH($B1689,Task_Tracker!$A$5:$A$1004,0)),""))</f>
        <v/>
      </c>
      <c r="V1689" s="78">
        <f>IF($B1689="","",IFERROR(INDEX(Task_Tracker!$I$5:$I$1004,MATCH($B1689,Task_Tracker!$A$5:$A$1004,0)),""))</f>
        <v/>
      </c>
      <c r="W1689" s="81">
        <f>IF(OR($D1689="",$B1689=""),"",$D1689&amp;" | "&amp;$B1689)</f>
        <v/>
      </c>
      <c r="X1689" s="85">
        <f>IF($K1689="","",TEXT($K1689,"yyyy-mm"))</f>
        <v/>
      </c>
      <c r="Y1689" s="81">
        <f>IF(OR($A1689="",$T1689=""),"","Included in Manager_Report")</f>
        <v/>
      </c>
    </row>
    <row r="1690" ht="15" customHeight="1" s="40">
      <c r="A1690" s="65">
        <f>IF(COUNTA(B1690:G1690)=0,"","STP-"&amp;TEXT(ROW()-4,"0000"))</f>
        <v/>
      </c>
      <c r="B1690" s="78" t="n"/>
      <c r="C1690" s="67">
        <f>IF($B1690="","",IFERROR(INDEX(Task_Tracker!$D$5:$D$1004,MATCH($B1690,Task_Tracker!$A$5:$A$1004,0)),""))</f>
        <v/>
      </c>
      <c r="D1690" s="67">
        <f>IF($B1690="","",IFERROR(INDEX(Task_Tracker!$B$5:$B$1004,MATCH($B1690,Task_Tracker!$A$5:$A$1004,0)),""))</f>
        <v/>
      </c>
      <c r="E1690" s="81" t="n"/>
      <c r="F1690" s="81" t="n"/>
      <c r="G1690" s="78" t="n"/>
      <c r="H1690" s="78" t="n"/>
      <c r="I1690" s="67">
        <f>IF($H1690="","",IFERROR(INDEX(Action_Status_Map!$B$5:$B$11,MATCH($H1690,Action_Status_Map!$A$5:$A$11,0)),""))</f>
        <v/>
      </c>
      <c r="J1690" s="82" t="n"/>
      <c r="K1690" s="82" t="n"/>
      <c r="L1690" s="82" t="n"/>
      <c r="M1690" s="83" t="n"/>
      <c r="N1690" s="83" t="n"/>
      <c r="O1690" s="66">
        <f>IF(OR($M1690="",$N1690=""),"",$N1690-$M1690)</f>
        <v/>
      </c>
      <c r="P1690" s="84">
        <f>IF($J1690="","",IF($L1690&lt;&gt;"",$L1690-$J1690,TODAY()-$J1690))</f>
        <v/>
      </c>
      <c r="Q1690" s="85">
        <f>IF(OR($K1690="",$H1690="Completed",$H1690="Cancelled"),"",IF(AND($K1690&lt;TODAY(),$H1690&lt;&gt;"Completed",$H1690&lt;&gt;"Cancelled"),"Overdue","On Track"))</f>
        <v/>
      </c>
      <c r="R1690" s="81" t="n"/>
      <c r="S1690" s="81">
        <f>IF($B1690="","",IFERROR(INDEX(Task_Tracker!$AA$5:$AA$1004,MATCH($B1690,Task_Tracker!$A$5:$A$1004,0)),""))</f>
        <v/>
      </c>
      <c r="T1690" s="81">
        <f>IF($B1690="","",IFERROR(INDEX(Task_Tracker!$AB$5:$AB$1004,MATCH($B1690,Task_Tracker!$A$5:$A$1004,0)),""))</f>
        <v/>
      </c>
      <c r="U1690" s="78">
        <f>IF($B1690="","",IFERROR(INDEX(Task_Tracker!$F$5:$F$1004,MATCH($B1690,Task_Tracker!$A$5:$A$1004,0)),""))</f>
        <v/>
      </c>
      <c r="V1690" s="78">
        <f>IF($B1690="","",IFERROR(INDEX(Task_Tracker!$I$5:$I$1004,MATCH($B1690,Task_Tracker!$A$5:$A$1004,0)),""))</f>
        <v/>
      </c>
      <c r="W1690" s="81">
        <f>IF(OR($D1690="",$B1690=""),"",$D1690&amp;" | "&amp;$B1690)</f>
        <v/>
      </c>
      <c r="X1690" s="85">
        <f>IF($K1690="","",TEXT($K1690,"yyyy-mm"))</f>
        <v/>
      </c>
      <c r="Y1690" s="81">
        <f>IF(OR($A1690="",$T1690=""),"","Included in Manager_Report")</f>
        <v/>
      </c>
    </row>
    <row r="1691" ht="15" customHeight="1" s="40">
      <c r="A1691" s="65">
        <f>IF(COUNTA(B1691:G1691)=0,"","STP-"&amp;TEXT(ROW()-4,"0000"))</f>
        <v/>
      </c>
      <c r="B1691" s="78" t="n"/>
      <c r="C1691" s="67">
        <f>IF($B1691="","",IFERROR(INDEX(Task_Tracker!$D$5:$D$1004,MATCH($B1691,Task_Tracker!$A$5:$A$1004,0)),""))</f>
        <v/>
      </c>
      <c r="D1691" s="67">
        <f>IF($B1691="","",IFERROR(INDEX(Task_Tracker!$B$5:$B$1004,MATCH($B1691,Task_Tracker!$A$5:$A$1004,0)),""))</f>
        <v/>
      </c>
      <c r="E1691" s="81" t="n"/>
      <c r="F1691" s="81" t="n"/>
      <c r="G1691" s="78" t="n"/>
      <c r="H1691" s="78" t="n"/>
      <c r="I1691" s="67">
        <f>IF($H1691="","",IFERROR(INDEX(Action_Status_Map!$B$5:$B$11,MATCH($H1691,Action_Status_Map!$A$5:$A$11,0)),""))</f>
        <v/>
      </c>
      <c r="J1691" s="82" t="n"/>
      <c r="K1691" s="82" t="n"/>
      <c r="L1691" s="82" t="n"/>
      <c r="M1691" s="83" t="n"/>
      <c r="N1691" s="83" t="n"/>
      <c r="O1691" s="66">
        <f>IF(OR($M1691="",$N1691=""),"",$N1691-$M1691)</f>
        <v/>
      </c>
      <c r="P1691" s="84">
        <f>IF($J1691="","",IF($L1691&lt;&gt;"",$L1691-$J1691,TODAY()-$J1691))</f>
        <v/>
      </c>
      <c r="Q1691" s="85">
        <f>IF(OR($K1691="",$H1691="Completed",$H1691="Cancelled"),"",IF(AND($K1691&lt;TODAY(),$H1691&lt;&gt;"Completed",$H1691&lt;&gt;"Cancelled"),"Overdue","On Track"))</f>
        <v/>
      </c>
      <c r="R1691" s="81" t="n"/>
      <c r="S1691" s="81">
        <f>IF($B1691="","",IFERROR(INDEX(Task_Tracker!$AA$5:$AA$1004,MATCH($B1691,Task_Tracker!$A$5:$A$1004,0)),""))</f>
        <v/>
      </c>
      <c r="T1691" s="81">
        <f>IF($B1691="","",IFERROR(INDEX(Task_Tracker!$AB$5:$AB$1004,MATCH($B1691,Task_Tracker!$A$5:$A$1004,0)),""))</f>
        <v/>
      </c>
      <c r="U1691" s="78">
        <f>IF($B1691="","",IFERROR(INDEX(Task_Tracker!$F$5:$F$1004,MATCH($B1691,Task_Tracker!$A$5:$A$1004,0)),""))</f>
        <v/>
      </c>
      <c r="V1691" s="78">
        <f>IF($B1691="","",IFERROR(INDEX(Task_Tracker!$I$5:$I$1004,MATCH($B1691,Task_Tracker!$A$5:$A$1004,0)),""))</f>
        <v/>
      </c>
      <c r="W1691" s="81">
        <f>IF(OR($D1691="",$B1691=""),"",$D1691&amp;" | "&amp;$B1691)</f>
        <v/>
      </c>
      <c r="X1691" s="85">
        <f>IF($K1691="","",TEXT($K1691,"yyyy-mm"))</f>
        <v/>
      </c>
      <c r="Y1691" s="81">
        <f>IF(OR($A1691="",$T1691=""),"","Included in Manager_Report")</f>
        <v/>
      </c>
    </row>
    <row r="1692" ht="15" customHeight="1" s="40">
      <c r="A1692" s="65">
        <f>IF(COUNTA(B1692:G1692)=0,"","STP-"&amp;TEXT(ROW()-4,"0000"))</f>
        <v/>
      </c>
      <c r="B1692" s="78" t="n"/>
      <c r="C1692" s="67">
        <f>IF($B1692="","",IFERROR(INDEX(Task_Tracker!$D$5:$D$1004,MATCH($B1692,Task_Tracker!$A$5:$A$1004,0)),""))</f>
        <v/>
      </c>
      <c r="D1692" s="67">
        <f>IF($B1692="","",IFERROR(INDEX(Task_Tracker!$B$5:$B$1004,MATCH($B1692,Task_Tracker!$A$5:$A$1004,0)),""))</f>
        <v/>
      </c>
      <c r="E1692" s="81" t="n"/>
      <c r="F1692" s="81" t="n"/>
      <c r="G1692" s="78" t="n"/>
      <c r="H1692" s="78" t="n"/>
      <c r="I1692" s="67">
        <f>IF($H1692="","",IFERROR(INDEX(Action_Status_Map!$B$5:$B$11,MATCH($H1692,Action_Status_Map!$A$5:$A$11,0)),""))</f>
        <v/>
      </c>
      <c r="J1692" s="82" t="n"/>
      <c r="K1692" s="82" t="n"/>
      <c r="L1692" s="82" t="n"/>
      <c r="M1692" s="83" t="n"/>
      <c r="N1692" s="83" t="n"/>
      <c r="O1692" s="66">
        <f>IF(OR($M1692="",$N1692=""),"",$N1692-$M1692)</f>
        <v/>
      </c>
      <c r="P1692" s="84">
        <f>IF($J1692="","",IF($L1692&lt;&gt;"",$L1692-$J1692,TODAY()-$J1692))</f>
        <v/>
      </c>
      <c r="Q1692" s="85">
        <f>IF(OR($K1692="",$H1692="Completed",$H1692="Cancelled"),"",IF(AND($K1692&lt;TODAY(),$H1692&lt;&gt;"Completed",$H1692&lt;&gt;"Cancelled"),"Overdue","On Track"))</f>
        <v/>
      </c>
      <c r="R1692" s="81" t="n"/>
      <c r="S1692" s="81">
        <f>IF($B1692="","",IFERROR(INDEX(Task_Tracker!$AA$5:$AA$1004,MATCH($B1692,Task_Tracker!$A$5:$A$1004,0)),""))</f>
        <v/>
      </c>
      <c r="T1692" s="81">
        <f>IF($B1692="","",IFERROR(INDEX(Task_Tracker!$AB$5:$AB$1004,MATCH($B1692,Task_Tracker!$A$5:$A$1004,0)),""))</f>
        <v/>
      </c>
      <c r="U1692" s="78">
        <f>IF($B1692="","",IFERROR(INDEX(Task_Tracker!$F$5:$F$1004,MATCH($B1692,Task_Tracker!$A$5:$A$1004,0)),""))</f>
        <v/>
      </c>
      <c r="V1692" s="78">
        <f>IF($B1692="","",IFERROR(INDEX(Task_Tracker!$I$5:$I$1004,MATCH($B1692,Task_Tracker!$A$5:$A$1004,0)),""))</f>
        <v/>
      </c>
      <c r="W1692" s="81">
        <f>IF(OR($D1692="",$B1692=""),"",$D1692&amp;" | "&amp;$B1692)</f>
        <v/>
      </c>
      <c r="X1692" s="85">
        <f>IF($K1692="","",TEXT($K1692,"yyyy-mm"))</f>
        <v/>
      </c>
      <c r="Y1692" s="81">
        <f>IF(OR($A1692="",$T1692=""),"","Included in Manager_Report")</f>
        <v/>
      </c>
    </row>
    <row r="1693" ht="15" customHeight="1" s="40">
      <c r="A1693" s="65">
        <f>IF(COUNTA(B1693:G1693)=0,"","STP-"&amp;TEXT(ROW()-4,"0000"))</f>
        <v/>
      </c>
      <c r="B1693" s="78" t="n"/>
      <c r="C1693" s="67">
        <f>IF($B1693="","",IFERROR(INDEX(Task_Tracker!$D$5:$D$1004,MATCH($B1693,Task_Tracker!$A$5:$A$1004,0)),""))</f>
        <v/>
      </c>
      <c r="D1693" s="67">
        <f>IF($B1693="","",IFERROR(INDEX(Task_Tracker!$B$5:$B$1004,MATCH($B1693,Task_Tracker!$A$5:$A$1004,0)),""))</f>
        <v/>
      </c>
      <c r="E1693" s="81" t="n"/>
      <c r="F1693" s="81" t="n"/>
      <c r="G1693" s="78" t="n"/>
      <c r="H1693" s="78" t="n"/>
      <c r="I1693" s="67">
        <f>IF($H1693="","",IFERROR(INDEX(Action_Status_Map!$B$5:$B$11,MATCH($H1693,Action_Status_Map!$A$5:$A$11,0)),""))</f>
        <v/>
      </c>
      <c r="J1693" s="82" t="n"/>
      <c r="K1693" s="82" t="n"/>
      <c r="L1693" s="82" t="n"/>
      <c r="M1693" s="83" t="n"/>
      <c r="N1693" s="83" t="n"/>
      <c r="O1693" s="66">
        <f>IF(OR($M1693="",$N1693=""),"",$N1693-$M1693)</f>
        <v/>
      </c>
      <c r="P1693" s="84">
        <f>IF($J1693="","",IF($L1693&lt;&gt;"",$L1693-$J1693,TODAY()-$J1693))</f>
        <v/>
      </c>
      <c r="Q1693" s="85">
        <f>IF(OR($K1693="",$H1693="Completed",$H1693="Cancelled"),"",IF(AND($K1693&lt;TODAY(),$H1693&lt;&gt;"Completed",$H1693&lt;&gt;"Cancelled"),"Overdue","On Track"))</f>
        <v/>
      </c>
      <c r="R1693" s="81" t="n"/>
      <c r="S1693" s="81">
        <f>IF($B1693="","",IFERROR(INDEX(Task_Tracker!$AA$5:$AA$1004,MATCH($B1693,Task_Tracker!$A$5:$A$1004,0)),""))</f>
        <v/>
      </c>
      <c r="T1693" s="81">
        <f>IF($B1693="","",IFERROR(INDEX(Task_Tracker!$AB$5:$AB$1004,MATCH($B1693,Task_Tracker!$A$5:$A$1004,0)),""))</f>
        <v/>
      </c>
      <c r="U1693" s="78">
        <f>IF($B1693="","",IFERROR(INDEX(Task_Tracker!$F$5:$F$1004,MATCH($B1693,Task_Tracker!$A$5:$A$1004,0)),""))</f>
        <v/>
      </c>
      <c r="V1693" s="78">
        <f>IF($B1693="","",IFERROR(INDEX(Task_Tracker!$I$5:$I$1004,MATCH($B1693,Task_Tracker!$A$5:$A$1004,0)),""))</f>
        <v/>
      </c>
      <c r="W1693" s="81">
        <f>IF(OR($D1693="",$B1693=""),"",$D1693&amp;" | "&amp;$B1693)</f>
        <v/>
      </c>
      <c r="X1693" s="85">
        <f>IF($K1693="","",TEXT($K1693,"yyyy-mm"))</f>
        <v/>
      </c>
      <c r="Y1693" s="81">
        <f>IF(OR($A1693="",$T1693=""),"","Included in Manager_Report")</f>
        <v/>
      </c>
    </row>
    <row r="1694" ht="15" customHeight="1" s="40">
      <c r="A1694" s="65">
        <f>IF(COUNTA(B1694:G1694)=0,"","STP-"&amp;TEXT(ROW()-4,"0000"))</f>
        <v/>
      </c>
      <c r="B1694" s="78" t="n"/>
      <c r="C1694" s="67">
        <f>IF($B1694="","",IFERROR(INDEX(Task_Tracker!$D$5:$D$1004,MATCH($B1694,Task_Tracker!$A$5:$A$1004,0)),""))</f>
        <v/>
      </c>
      <c r="D1694" s="67">
        <f>IF($B1694="","",IFERROR(INDEX(Task_Tracker!$B$5:$B$1004,MATCH($B1694,Task_Tracker!$A$5:$A$1004,0)),""))</f>
        <v/>
      </c>
      <c r="E1694" s="81" t="n"/>
      <c r="F1694" s="81" t="n"/>
      <c r="G1694" s="78" t="n"/>
      <c r="H1694" s="78" t="n"/>
      <c r="I1694" s="67">
        <f>IF($H1694="","",IFERROR(INDEX(Action_Status_Map!$B$5:$B$11,MATCH($H1694,Action_Status_Map!$A$5:$A$11,0)),""))</f>
        <v/>
      </c>
      <c r="J1694" s="82" t="n"/>
      <c r="K1694" s="82" t="n"/>
      <c r="L1694" s="82" t="n"/>
      <c r="M1694" s="83" t="n"/>
      <c r="N1694" s="83" t="n"/>
      <c r="O1694" s="66">
        <f>IF(OR($M1694="",$N1694=""),"",$N1694-$M1694)</f>
        <v/>
      </c>
      <c r="P1694" s="84">
        <f>IF($J1694="","",IF($L1694&lt;&gt;"",$L1694-$J1694,TODAY()-$J1694))</f>
        <v/>
      </c>
      <c r="Q1694" s="85">
        <f>IF(OR($K1694="",$H1694="Completed",$H1694="Cancelled"),"",IF(AND($K1694&lt;TODAY(),$H1694&lt;&gt;"Completed",$H1694&lt;&gt;"Cancelled"),"Overdue","On Track"))</f>
        <v/>
      </c>
      <c r="R1694" s="81" t="n"/>
      <c r="S1694" s="81">
        <f>IF($B1694="","",IFERROR(INDEX(Task_Tracker!$AA$5:$AA$1004,MATCH($B1694,Task_Tracker!$A$5:$A$1004,0)),""))</f>
        <v/>
      </c>
      <c r="T1694" s="81">
        <f>IF($B1694="","",IFERROR(INDEX(Task_Tracker!$AB$5:$AB$1004,MATCH($B1694,Task_Tracker!$A$5:$A$1004,0)),""))</f>
        <v/>
      </c>
      <c r="U1694" s="78">
        <f>IF($B1694="","",IFERROR(INDEX(Task_Tracker!$F$5:$F$1004,MATCH($B1694,Task_Tracker!$A$5:$A$1004,0)),""))</f>
        <v/>
      </c>
      <c r="V1694" s="78">
        <f>IF($B1694="","",IFERROR(INDEX(Task_Tracker!$I$5:$I$1004,MATCH($B1694,Task_Tracker!$A$5:$A$1004,0)),""))</f>
        <v/>
      </c>
      <c r="W1694" s="81">
        <f>IF(OR($D1694="",$B1694=""),"",$D1694&amp;" | "&amp;$B1694)</f>
        <v/>
      </c>
      <c r="X1694" s="85">
        <f>IF($K1694="","",TEXT($K1694,"yyyy-mm"))</f>
        <v/>
      </c>
      <c r="Y1694" s="81">
        <f>IF(OR($A1694="",$T1694=""),"","Included in Manager_Report")</f>
        <v/>
      </c>
    </row>
    <row r="1695" ht="15" customHeight="1" s="40">
      <c r="A1695" s="65">
        <f>IF(COUNTA(B1695:G1695)=0,"","STP-"&amp;TEXT(ROW()-4,"0000"))</f>
        <v/>
      </c>
      <c r="B1695" s="78" t="n"/>
      <c r="C1695" s="67">
        <f>IF($B1695="","",IFERROR(INDEX(Task_Tracker!$D$5:$D$1004,MATCH($B1695,Task_Tracker!$A$5:$A$1004,0)),""))</f>
        <v/>
      </c>
      <c r="D1695" s="67">
        <f>IF($B1695="","",IFERROR(INDEX(Task_Tracker!$B$5:$B$1004,MATCH($B1695,Task_Tracker!$A$5:$A$1004,0)),""))</f>
        <v/>
      </c>
      <c r="E1695" s="81" t="n"/>
      <c r="F1695" s="81" t="n"/>
      <c r="G1695" s="78" t="n"/>
      <c r="H1695" s="78" t="n"/>
      <c r="I1695" s="67">
        <f>IF($H1695="","",IFERROR(INDEX(Action_Status_Map!$B$5:$B$11,MATCH($H1695,Action_Status_Map!$A$5:$A$11,0)),""))</f>
        <v/>
      </c>
      <c r="J1695" s="82" t="n"/>
      <c r="K1695" s="82" t="n"/>
      <c r="L1695" s="82" t="n"/>
      <c r="M1695" s="83" t="n"/>
      <c r="N1695" s="83" t="n"/>
      <c r="O1695" s="66">
        <f>IF(OR($M1695="",$N1695=""),"",$N1695-$M1695)</f>
        <v/>
      </c>
      <c r="P1695" s="84">
        <f>IF($J1695="","",IF($L1695&lt;&gt;"",$L1695-$J1695,TODAY()-$J1695))</f>
        <v/>
      </c>
      <c r="Q1695" s="85">
        <f>IF(OR($K1695="",$H1695="Completed",$H1695="Cancelled"),"",IF(AND($K1695&lt;TODAY(),$H1695&lt;&gt;"Completed",$H1695&lt;&gt;"Cancelled"),"Overdue","On Track"))</f>
        <v/>
      </c>
      <c r="R1695" s="81" t="n"/>
      <c r="S1695" s="81">
        <f>IF($B1695="","",IFERROR(INDEX(Task_Tracker!$AA$5:$AA$1004,MATCH($B1695,Task_Tracker!$A$5:$A$1004,0)),""))</f>
        <v/>
      </c>
      <c r="T1695" s="81">
        <f>IF($B1695="","",IFERROR(INDEX(Task_Tracker!$AB$5:$AB$1004,MATCH($B1695,Task_Tracker!$A$5:$A$1004,0)),""))</f>
        <v/>
      </c>
      <c r="U1695" s="78">
        <f>IF($B1695="","",IFERROR(INDEX(Task_Tracker!$F$5:$F$1004,MATCH($B1695,Task_Tracker!$A$5:$A$1004,0)),""))</f>
        <v/>
      </c>
      <c r="V1695" s="78">
        <f>IF($B1695="","",IFERROR(INDEX(Task_Tracker!$I$5:$I$1004,MATCH($B1695,Task_Tracker!$A$5:$A$1004,0)),""))</f>
        <v/>
      </c>
      <c r="W1695" s="81">
        <f>IF(OR($D1695="",$B1695=""),"",$D1695&amp;" | "&amp;$B1695)</f>
        <v/>
      </c>
      <c r="X1695" s="85">
        <f>IF($K1695="","",TEXT($K1695,"yyyy-mm"))</f>
        <v/>
      </c>
      <c r="Y1695" s="81">
        <f>IF(OR($A1695="",$T1695=""),"","Included in Manager_Report")</f>
        <v/>
      </c>
    </row>
    <row r="1696" ht="15" customHeight="1" s="40">
      <c r="A1696" s="65">
        <f>IF(COUNTA(B1696:G1696)=0,"","STP-"&amp;TEXT(ROW()-4,"0000"))</f>
        <v/>
      </c>
      <c r="B1696" s="78" t="n"/>
      <c r="C1696" s="67">
        <f>IF($B1696="","",IFERROR(INDEX(Task_Tracker!$D$5:$D$1004,MATCH($B1696,Task_Tracker!$A$5:$A$1004,0)),""))</f>
        <v/>
      </c>
      <c r="D1696" s="67">
        <f>IF($B1696="","",IFERROR(INDEX(Task_Tracker!$B$5:$B$1004,MATCH($B1696,Task_Tracker!$A$5:$A$1004,0)),""))</f>
        <v/>
      </c>
      <c r="E1696" s="81" t="n"/>
      <c r="F1696" s="81" t="n"/>
      <c r="G1696" s="78" t="n"/>
      <c r="H1696" s="78" t="n"/>
      <c r="I1696" s="67">
        <f>IF($H1696="","",IFERROR(INDEX(Action_Status_Map!$B$5:$B$11,MATCH($H1696,Action_Status_Map!$A$5:$A$11,0)),""))</f>
        <v/>
      </c>
      <c r="J1696" s="82" t="n"/>
      <c r="K1696" s="82" t="n"/>
      <c r="L1696" s="82" t="n"/>
      <c r="M1696" s="83" t="n"/>
      <c r="N1696" s="83" t="n"/>
      <c r="O1696" s="66">
        <f>IF(OR($M1696="",$N1696=""),"",$N1696-$M1696)</f>
        <v/>
      </c>
      <c r="P1696" s="84">
        <f>IF($J1696="","",IF($L1696&lt;&gt;"",$L1696-$J1696,TODAY()-$J1696))</f>
        <v/>
      </c>
      <c r="Q1696" s="85">
        <f>IF(OR($K1696="",$H1696="Completed",$H1696="Cancelled"),"",IF(AND($K1696&lt;TODAY(),$H1696&lt;&gt;"Completed",$H1696&lt;&gt;"Cancelled"),"Overdue","On Track"))</f>
        <v/>
      </c>
      <c r="R1696" s="81" t="n"/>
      <c r="S1696" s="81">
        <f>IF($B1696="","",IFERROR(INDEX(Task_Tracker!$AA$5:$AA$1004,MATCH($B1696,Task_Tracker!$A$5:$A$1004,0)),""))</f>
        <v/>
      </c>
      <c r="T1696" s="81">
        <f>IF($B1696="","",IFERROR(INDEX(Task_Tracker!$AB$5:$AB$1004,MATCH($B1696,Task_Tracker!$A$5:$A$1004,0)),""))</f>
        <v/>
      </c>
      <c r="U1696" s="78">
        <f>IF($B1696="","",IFERROR(INDEX(Task_Tracker!$F$5:$F$1004,MATCH($B1696,Task_Tracker!$A$5:$A$1004,0)),""))</f>
        <v/>
      </c>
      <c r="V1696" s="78">
        <f>IF($B1696="","",IFERROR(INDEX(Task_Tracker!$I$5:$I$1004,MATCH($B1696,Task_Tracker!$A$5:$A$1004,0)),""))</f>
        <v/>
      </c>
      <c r="W1696" s="81">
        <f>IF(OR($D1696="",$B1696=""),"",$D1696&amp;" | "&amp;$B1696)</f>
        <v/>
      </c>
      <c r="X1696" s="85">
        <f>IF($K1696="","",TEXT($K1696,"yyyy-mm"))</f>
        <v/>
      </c>
      <c r="Y1696" s="81">
        <f>IF(OR($A1696="",$T1696=""),"","Included in Manager_Report")</f>
        <v/>
      </c>
    </row>
    <row r="1697" ht="15" customHeight="1" s="40">
      <c r="A1697" s="65">
        <f>IF(COUNTA(B1697:G1697)=0,"","STP-"&amp;TEXT(ROW()-4,"0000"))</f>
        <v/>
      </c>
      <c r="B1697" s="78" t="n"/>
      <c r="C1697" s="67">
        <f>IF($B1697="","",IFERROR(INDEX(Task_Tracker!$D$5:$D$1004,MATCH($B1697,Task_Tracker!$A$5:$A$1004,0)),""))</f>
        <v/>
      </c>
      <c r="D1697" s="67">
        <f>IF($B1697="","",IFERROR(INDEX(Task_Tracker!$B$5:$B$1004,MATCH($B1697,Task_Tracker!$A$5:$A$1004,0)),""))</f>
        <v/>
      </c>
      <c r="E1697" s="81" t="n"/>
      <c r="F1697" s="81" t="n"/>
      <c r="G1697" s="78" t="n"/>
      <c r="H1697" s="78" t="n"/>
      <c r="I1697" s="67">
        <f>IF($H1697="","",IFERROR(INDEX(Action_Status_Map!$B$5:$B$11,MATCH($H1697,Action_Status_Map!$A$5:$A$11,0)),""))</f>
        <v/>
      </c>
      <c r="J1697" s="82" t="n"/>
      <c r="K1697" s="82" t="n"/>
      <c r="L1697" s="82" t="n"/>
      <c r="M1697" s="83" t="n"/>
      <c r="N1697" s="83" t="n"/>
      <c r="O1697" s="66">
        <f>IF(OR($M1697="",$N1697=""),"",$N1697-$M1697)</f>
        <v/>
      </c>
      <c r="P1697" s="84">
        <f>IF($J1697="","",IF($L1697&lt;&gt;"",$L1697-$J1697,TODAY()-$J1697))</f>
        <v/>
      </c>
      <c r="Q1697" s="85">
        <f>IF(OR($K1697="",$H1697="Completed",$H1697="Cancelled"),"",IF(AND($K1697&lt;TODAY(),$H1697&lt;&gt;"Completed",$H1697&lt;&gt;"Cancelled"),"Overdue","On Track"))</f>
        <v/>
      </c>
      <c r="R1697" s="81" t="n"/>
      <c r="S1697" s="81">
        <f>IF($B1697="","",IFERROR(INDEX(Task_Tracker!$AA$5:$AA$1004,MATCH($B1697,Task_Tracker!$A$5:$A$1004,0)),""))</f>
        <v/>
      </c>
      <c r="T1697" s="81">
        <f>IF($B1697="","",IFERROR(INDEX(Task_Tracker!$AB$5:$AB$1004,MATCH($B1697,Task_Tracker!$A$5:$A$1004,0)),""))</f>
        <v/>
      </c>
      <c r="U1697" s="78">
        <f>IF($B1697="","",IFERROR(INDEX(Task_Tracker!$F$5:$F$1004,MATCH($B1697,Task_Tracker!$A$5:$A$1004,0)),""))</f>
        <v/>
      </c>
      <c r="V1697" s="78">
        <f>IF($B1697="","",IFERROR(INDEX(Task_Tracker!$I$5:$I$1004,MATCH($B1697,Task_Tracker!$A$5:$A$1004,0)),""))</f>
        <v/>
      </c>
      <c r="W1697" s="81">
        <f>IF(OR($D1697="",$B1697=""),"",$D1697&amp;" | "&amp;$B1697)</f>
        <v/>
      </c>
      <c r="X1697" s="85">
        <f>IF($K1697="","",TEXT($K1697,"yyyy-mm"))</f>
        <v/>
      </c>
      <c r="Y1697" s="81">
        <f>IF(OR($A1697="",$T1697=""),"","Included in Manager_Report")</f>
        <v/>
      </c>
    </row>
    <row r="1698" ht="15" customHeight="1" s="40">
      <c r="A1698" s="65">
        <f>IF(COUNTA(B1698:G1698)=0,"","STP-"&amp;TEXT(ROW()-4,"0000"))</f>
        <v/>
      </c>
      <c r="B1698" s="78" t="n"/>
      <c r="C1698" s="67">
        <f>IF($B1698="","",IFERROR(INDEX(Task_Tracker!$D$5:$D$1004,MATCH($B1698,Task_Tracker!$A$5:$A$1004,0)),""))</f>
        <v/>
      </c>
      <c r="D1698" s="67">
        <f>IF($B1698="","",IFERROR(INDEX(Task_Tracker!$B$5:$B$1004,MATCH($B1698,Task_Tracker!$A$5:$A$1004,0)),""))</f>
        <v/>
      </c>
      <c r="E1698" s="81" t="n"/>
      <c r="F1698" s="81" t="n"/>
      <c r="G1698" s="78" t="n"/>
      <c r="H1698" s="78" t="n"/>
      <c r="I1698" s="67">
        <f>IF($H1698="","",IFERROR(INDEX(Action_Status_Map!$B$5:$B$11,MATCH($H1698,Action_Status_Map!$A$5:$A$11,0)),""))</f>
        <v/>
      </c>
      <c r="J1698" s="82" t="n"/>
      <c r="K1698" s="82" t="n"/>
      <c r="L1698" s="82" t="n"/>
      <c r="M1698" s="83" t="n"/>
      <c r="N1698" s="83" t="n"/>
      <c r="O1698" s="66">
        <f>IF(OR($M1698="",$N1698=""),"",$N1698-$M1698)</f>
        <v/>
      </c>
      <c r="P1698" s="84">
        <f>IF($J1698="","",IF($L1698&lt;&gt;"",$L1698-$J1698,TODAY()-$J1698))</f>
        <v/>
      </c>
      <c r="Q1698" s="85">
        <f>IF(OR($K1698="",$H1698="Completed",$H1698="Cancelled"),"",IF(AND($K1698&lt;TODAY(),$H1698&lt;&gt;"Completed",$H1698&lt;&gt;"Cancelled"),"Overdue","On Track"))</f>
        <v/>
      </c>
      <c r="R1698" s="81" t="n"/>
      <c r="S1698" s="81">
        <f>IF($B1698="","",IFERROR(INDEX(Task_Tracker!$AA$5:$AA$1004,MATCH($B1698,Task_Tracker!$A$5:$A$1004,0)),""))</f>
        <v/>
      </c>
      <c r="T1698" s="81">
        <f>IF($B1698="","",IFERROR(INDEX(Task_Tracker!$AB$5:$AB$1004,MATCH($B1698,Task_Tracker!$A$5:$A$1004,0)),""))</f>
        <v/>
      </c>
      <c r="U1698" s="78">
        <f>IF($B1698="","",IFERROR(INDEX(Task_Tracker!$F$5:$F$1004,MATCH($B1698,Task_Tracker!$A$5:$A$1004,0)),""))</f>
        <v/>
      </c>
      <c r="V1698" s="78">
        <f>IF($B1698="","",IFERROR(INDEX(Task_Tracker!$I$5:$I$1004,MATCH($B1698,Task_Tracker!$A$5:$A$1004,0)),""))</f>
        <v/>
      </c>
      <c r="W1698" s="81">
        <f>IF(OR($D1698="",$B1698=""),"",$D1698&amp;" | "&amp;$B1698)</f>
        <v/>
      </c>
      <c r="X1698" s="85">
        <f>IF($K1698="","",TEXT($K1698,"yyyy-mm"))</f>
        <v/>
      </c>
      <c r="Y1698" s="81">
        <f>IF(OR($A1698="",$T1698=""),"","Included in Manager_Report")</f>
        <v/>
      </c>
    </row>
    <row r="1699" ht="15" customHeight="1" s="40">
      <c r="A1699" s="65">
        <f>IF(COUNTA(B1699:G1699)=0,"","STP-"&amp;TEXT(ROW()-4,"0000"))</f>
        <v/>
      </c>
      <c r="B1699" s="78" t="n"/>
      <c r="C1699" s="67">
        <f>IF($B1699="","",IFERROR(INDEX(Task_Tracker!$D$5:$D$1004,MATCH($B1699,Task_Tracker!$A$5:$A$1004,0)),""))</f>
        <v/>
      </c>
      <c r="D1699" s="67">
        <f>IF($B1699="","",IFERROR(INDEX(Task_Tracker!$B$5:$B$1004,MATCH($B1699,Task_Tracker!$A$5:$A$1004,0)),""))</f>
        <v/>
      </c>
      <c r="E1699" s="81" t="n"/>
      <c r="F1699" s="81" t="n"/>
      <c r="G1699" s="78" t="n"/>
      <c r="H1699" s="78" t="n"/>
      <c r="I1699" s="67">
        <f>IF($H1699="","",IFERROR(INDEX(Action_Status_Map!$B$5:$B$11,MATCH($H1699,Action_Status_Map!$A$5:$A$11,0)),""))</f>
        <v/>
      </c>
      <c r="J1699" s="82" t="n"/>
      <c r="K1699" s="82" t="n"/>
      <c r="L1699" s="82" t="n"/>
      <c r="M1699" s="83" t="n"/>
      <c r="N1699" s="83" t="n"/>
      <c r="O1699" s="66">
        <f>IF(OR($M1699="",$N1699=""),"",$N1699-$M1699)</f>
        <v/>
      </c>
      <c r="P1699" s="84">
        <f>IF($J1699="","",IF($L1699&lt;&gt;"",$L1699-$J1699,TODAY()-$J1699))</f>
        <v/>
      </c>
      <c r="Q1699" s="85">
        <f>IF(OR($K1699="",$H1699="Completed",$H1699="Cancelled"),"",IF(AND($K1699&lt;TODAY(),$H1699&lt;&gt;"Completed",$H1699&lt;&gt;"Cancelled"),"Overdue","On Track"))</f>
        <v/>
      </c>
      <c r="R1699" s="81" t="n"/>
      <c r="S1699" s="81">
        <f>IF($B1699="","",IFERROR(INDEX(Task_Tracker!$AA$5:$AA$1004,MATCH($B1699,Task_Tracker!$A$5:$A$1004,0)),""))</f>
        <v/>
      </c>
      <c r="T1699" s="81">
        <f>IF($B1699="","",IFERROR(INDEX(Task_Tracker!$AB$5:$AB$1004,MATCH($B1699,Task_Tracker!$A$5:$A$1004,0)),""))</f>
        <v/>
      </c>
      <c r="U1699" s="78">
        <f>IF($B1699="","",IFERROR(INDEX(Task_Tracker!$F$5:$F$1004,MATCH($B1699,Task_Tracker!$A$5:$A$1004,0)),""))</f>
        <v/>
      </c>
      <c r="V1699" s="78">
        <f>IF($B1699="","",IFERROR(INDEX(Task_Tracker!$I$5:$I$1004,MATCH($B1699,Task_Tracker!$A$5:$A$1004,0)),""))</f>
        <v/>
      </c>
      <c r="W1699" s="81">
        <f>IF(OR($D1699="",$B1699=""),"",$D1699&amp;" | "&amp;$B1699)</f>
        <v/>
      </c>
      <c r="X1699" s="85">
        <f>IF($K1699="","",TEXT($K1699,"yyyy-mm"))</f>
        <v/>
      </c>
      <c r="Y1699" s="81">
        <f>IF(OR($A1699="",$T1699=""),"","Included in Manager_Report")</f>
        <v/>
      </c>
    </row>
    <row r="1700" ht="15" customHeight="1" s="40">
      <c r="A1700" s="65">
        <f>IF(COUNTA(B1700:G1700)=0,"","STP-"&amp;TEXT(ROW()-4,"0000"))</f>
        <v/>
      </c>
      <c r="B1700" s="78" t="n"/>
      <c r="C1700" s="67">
        <f>IF($B1700="","",IFERROR(INDEX(Task_Tracker!$D$5:$D$1004,MATCH($B1700,Task_Tracker!$A$5:$A$1004,0)),""))</f>
        <v/>
      </c>
      <c r="D1700" s="67">
        <f>IF($B1700="","",IFERROR(INDEX(Task_Tracker!$B$5:$B$1004,MATCH($B1700,Task_Tracker!$A$5:$A$1004,0)),""))</f>
        <v/>
      </c>
      <c r="E1700" s="81" t="n"/>
      <c r="F1700" s="81" t="n"/>
      <c r="G1700" s="78" t="n"/>
      <c r="H1700" s="78" t="n"/>
      <c r="I1700" s="67">
        <f>IF($H1700="","",IFERROR(INDEX(Action_Status_Map!$B$5:$B$11,MATCH($H1700,Action_Status_Map!$A$5:$A$11,0)),""))</f>
        <v/>
      </c>
      <c r="J1700" s="82" t="n"/>
      <c r="K1700" s="82" t="n"/>
      <c r="L1700" s="82" t="n"/>
      <c r="M1700" s="83" t="n"/>
      <c r="N1700" s="83" t="n"/>
      <c r="O1700" s="66">
        <f>IF(OR($M1700="",$N1700=""),"",$N1700-$M1700)</f>
        <v/>
      </c>
      <c r="P1700" s="84">
        <f>IF($J1700="","",IF($L1700&lt;&gt;"",$L1700-$J1700,TODAY()-$J1700))</f>
        <v/>
      </c>
      <c r="Q1700" s="85">
        <f>IF(OR($K1700="",$H1700="Completed",$H1700="Cancelled"),"",IF(AND($K1700&lt;TODAY(),$H1700&lt;&gt;"Completed",$H1700&lt;&gt;"Cancelled"),"Overdue","On Track"))</f>
        <v/>
      </c>
      <c r="R1700" s="81" t="n"/>
      <c r="S1700" s="81">
        <f>IF($B1700="","",IFERROR(INDEX(Task_Tracker!$AA$5:$AA$1004,MATCH($B1700,Task_Tracker!$A$5:$A$1004,0)),""))</f>
        <v/>
      </c>
      <c r="T1700" s="81">
        <f>IF($B1700="","",IFERROR(INDEX(Task_Tracker!$AB$5:$AB$1004,MATCH($B1700,Task_Tracker!$A$5:$A$1004,0)),""))</f>
        <v/>
      </c>
      <c r="U1700" s="78">
        <f>IF($B1700="","",IFERROR(INDEX(Task_Tracker!$F$5:$F$1004,MATCH($B1700,Task_Tracker!$A$5:$A$1004,0)),""))</f>
        <v/>
      </c>
      <c r="V1700" s="78">
        <f>IF($B1700="","",IFERROR(INDEX(Task_Tracker!$I$5:$I$1004,MATCH($B1700,Task_Tracker!$A$5:$A$1004,0)),""))</f>
        <v/>
      </c>
      <c r="W1700" s="81">
        <f>IF(OR($D1700="",$B1700=""),"",$D1700&amp;" | "&amp;$B1700)</f>
        <v/>
      </c>
      <c r="X1700" s="85">
        <f>IF($K1700="","",TEXT($K1700,"yyyy-mm"))</f>
        <v/>
      </c>
      <c r="Y1700" s="81">
        <f>IF(OR($A1700="",$T1700=""),"","Included in Manager_Report")</f>
        <v/>
      </c>
    </row>
    <row r="1701" ht="15" customHeight="1" s="40">
      <c r="A1701" s="65">
        <f>IF(COUNTA(B1701:G1701)=0,"","STP-"&amp;TEXT(ROW()-4,"0000"))</f>
        <v/>
      </c>
      <c r="B1701" s="78" t="n"/>
      <c r="C1701" s="67">
        <f>IF($B1701="","",IFERROR(INDEX(Task_Tracker!$D$5:$D$1004,MATCH($B1701,Task_Tracker!$A$5:$A$1004,0)),""))</f>
        <v/>
      </c>
      <c r="D1701" s="67">
        <f>IF($B1701="","",IFERROR(INDEX(Task_Tracker!$B$5:$B$1004,MATCH($B1701,Task_Tracker!$A$5:$A$1004,0)),""))</f>
        <v/>
      </c>
      <c r="E1701" s="81" t="n"/>
      <c r="F1701" s="81" t="n"/>
      <c r="G1701" s="78" t="n"/>
      <c r="H1701" s="78" t="n"/>
      <c r="I1701" s="67">
        <f>IF($H1701="","",IFERROR(INDEX(Action_Status_Map!$B$5:$B$11,MATCH($H1701,Action_Status_Map!$A$5:$A$11,0)),""))</f>
        <v/>
      </c>
      <c r="J1701" s="82" t="n"/>
      <c r="K1701" s="82" t="n"/>
      <c r="L1701" s="82" t="n"/>
      <c r="M1701" s="83" t="n"/>
      <c r="N1701" s="83" t="n"/>
      <c r="O1701" s="66">
        <f>IF(OR($M1701="",$N1701=""),"",$N1701-$M1701)</f>
        <v/>
      </c>
      <c r="P1701" s="84">
        <f>IF($J1701="","",IF($L1701&lt;&gt;"",$L1701-$J1701,TODAY()-$J1701))</f>
        <v/>
      </c>
      <c r="Q1701" s="85">
        <f>IF(OR($K1701="",$H1701="Completed",$H1701="Cancelled"),"",IF(AND($K1701&lt;TODAY(),$H1701&lt;&gt;"Completed",$H1701&lt;&gt;"Cancelled"),"Overdue","On Track"))</f>
        <v/>
      </c>
      <c r="R1701" s="81" t="n"/>
      <c r="S1701" s="81">
        <f>IF($B1701="","",IFERROR(INDEX(Task_Tracker!$AA$5:$AA$1004,MATCH($B1701,Task_Tracker!$A$5:$A$1004,0)),""))</f>
        <v/>
      </c>
      <c r="T1701" s="81">
        <f>IF($B1701="","",IFERROR(INDEX(Task_Tracker!$AB$5:$AB$1004,MATCH($B1701,Task_Tracker!$A$5:$A$1004,0)),""))</f>
        <v/>
      </c>
      <c r="U1701" s="78">
        <f>IF($B1701="","",IFERROR(INDEX(Task_Tracker!$F$5:$F$1004,MATCH($B1701,Task_Tracker!$A$5:$A$1004,0)),""))</f>
        <v/>
      </c>
      <c r="V1701" s="78">
        <f>IF($B1701="","",IFERROR(INDEX(Task_Tracker!$I$5:$I$1004,MATCH($B1701,Task_Tracker!$A$5:$A$1004,0)),""))</f>
        <v/>
      </c>
      <c r="W1701" s="81">
        <f>IF(OR($D1701="",$B1701=""),"",$D1701&amp;" | "&amp;$B1701)</f>
        <v/>
      </c>
      <c r="X1701" s="85">
        <f>IF($K1701="","",TEXT($K1701,"yyyy-mm"))</f>
        <v/>
      </c>
      <c r="Y1701" s="81">
        <f>IF(OR($A1701="",$T1701=""),"","Included in Manager_Report")</f>
        <v/>
      </c>
    </row>
    <row r="1702" ht="15" customHeight="1" s="40">
      <c r="A1702" s="65">
        <f>IF(COUNTA(B1702:G1702)=0,"","STP-"&amp;TEXT(ROW()-4,"0000"))</f>
        <v/>
      </c>
      <c r="B1702" s="78" t="n"/>
      <c r="C1702" s="67">
        <f>IF($B1702="","",IFERROR(INDEX(Task_Tracker!$D$5:$D$1004,MATCH($B1702,Task_Tracker!$A$5:$A$1004,0)),""))</f>
        <v/>
      </c>
      <c r="D1702" s="67">
        <f>IF($B1702="","",IFERROR(INDEX(Task_Tracker!$B$5:$B$1004,MATCH($B1702,Task_Tracker!$A$5:$A$1004,0)),""))</f>
        <v/>
      </c>
      <c r="E1702" s="81" t="n"/>
      <c r="F1702" s="81" t="n"/>
      <c r="G1702" s="78" t="n"/>
      <c r="H1702" s="78" t="n"/>
      <c r="I1702" s="67">
        <f>IF($H1702="","",IFERROR(INDEX(Action_Status_Map!$B$5:$B$11,MATCH($H1702,Action_Status_Map!$A$5:$A$11,0)),""))</f>
        <v/>
      </c>
      <c r="J1702" s="82" t="n"/>
      <c r="K1702" s="82" t="n"/>
      <c r="L1702" s="82" t="n"/>
      <c r="M1702" s="83" t="n"/>
      <c r="N1702" s="83" t="n"/>
      <c r="O1702" s="66">
        <f>IF(OR($M1702="",$N1702=""),"",$N1702-$M1702)</f>
        <v/>
      </c>
      <c r="P1702" s="84">
        <f>IF($J1702="","",IF($L1702&lt;&gt;"",$L1702-$J1702,TODAY()-$J1702))</f>
        <v/>
      </c>
      <c r="Q1702" s="85">
        <f>IF(OR($K1702="",$H1702="Completed",$H1702="Cancelled"),"",IF(AND($K1702&lt;TODAY(),$H1702&lt;&gt;"Completed",$H1702&lt;&gt;"Cancelled"),"Overdue","On Track"))</f>
        <v/>
      </c>
      <c r="R1702" s="81" t="n"/>
      <c r="S1702" s="81">
        <f>IF($B1702="","",IFERROR(INDEX(Task_Tracker!$AA$5:$AA$1004,MATCH($B1702,Task_Tracker!$A$5:$A$1004,0)),""))</f>
        <v/>
      </c>
      <c r="T1702" s="81">
        <f>IF($B1702="","",IFERROR(INDEX(Task_Tracker!$AB$5:$AB$1004,MATCH($B1702,Task_Tracker!$A$5:$A$1004,0)),""))</f>
        <v/>
      </c>
      <c r="U1702" s="78">
        <f>IF($B1702="","",IFERROR(INDEX(Task_Tracker!$F$5:$F$1004,MATCH($B1702,Task_Tracker!$A$5:$A$1004,0)),""))</f>
        <v/>
      </c>
      <c r="V1702" s="78">
        <f>IF($B1702="","",IFERROR(INDEX(Task_Tracker!$I$5:$I$1004,MATCH($B1702,Task_Tracker!$A$5:$A$1004,0)),""))</f>
        <v/>
      </c>
      <c r="W1702" s="81">
        <f>IF(OR($D1702="",$B1702=""),"",$D1702&amp;" | "&amp;$B1702)</f>
        <v/>
      </c>
      <c r="X1702" s="85">
        <f>IF($K1702="","",TEXT($K1702,"yyyy-mm"))</f>
        <v/>
      </c>
      <c r="Y1702" s="81">
        <f>IF(OR($A1702="",$T1702=""),"","Included in Manager_Report")</f>
        <v/>
      </c>
    </row>
    <row r="1703" ht="15" customHeight="1" s="40">
      <c r="A1703" s="65">
        <f>IF(COUNTA(B1703:G1703)=0,"","STP-"&amp;TEXT(ROW()-4,"0000"))</f>
        <v/>
      </c>
      <c r="B1703" s="78" t="n"/>
      <c r="C1703" s="67">
        <f>IF($B1703="","",IFERROR(INDEX(Task_Tracker!$D$5:$D$1004,MATCH($B1703,Task_Tracker!$A$5:$A$1004,0)),""))</f>
        <v/>
      </c>
      <c r="D1703" s="67">
        <f>IF($B1703="","",IFERROR(INDEX(Task_Tracker!$B$5:$B$1004,MATCH($B1703,Task_Tracker!$A$5:$A$1004,0)),""))</f>
        <v/>
      </c>
      <c r="E1703" s="81" t="n"/>
      <c r="F1703" s="81" t="n"/>
      <c r="G1703" s="78" t="n"/>
      <c r="H1703" s="78" t="n"/>
      <c r="I1703" s="67">
        <f>IF($H1703="","",IFERROR(INDEX(Action_Status_Map!$B$5:$B$11,MATCH($H1703,Action_Status_Map!$A$5:$A$11,0)),""))</f>
        <v/>
      </c>
      <c r="J1703" s="82" t="n"/>
      <c r="K1703" s="82" t="n"/>
      <c r="L1703" s="82" t="n"/>
      <c r="M1703" s="83" t="n"/>
      <c r="N1703" s="83" t="n"/>
      <c r="O1703" s="66">
        <f>IF(OR($M1703="",$N1703=""),"",$N1703-$M1703)</f>
        <v/>
      </c>
      <c r="P1703" s="84">
        <f>IF($J1703="","",IF($L1703&lt;&gt;"",$L1703-$J1703,TODAY()-$J1703))</f>
        <v/>
      </c>
      <c r="Q1703" s="85">
        <f>IF(OR($K1703="",$H1703="Completed",$H1703="Cancelled"),"",IF(AND($K1703&lt;TODAY(),$H1703&lt;&gt;"Completed",$H1703&lt;&gt;"Cancelled"),"Overdue","On Track"))</f>
        <v/>
      </c>
      <c r="R1703" s="81" t="n"/>
      <c r="S1703" s="81">
        <f>IF($B1703="","",IFERROR(INDEX(Task_Tracker!$AA$5:$AA$1004,MATCH($B1703,Task_Tracker!$A$5:$A$1004,0)),""))</f>
        <v/>
      </c>
      <c r="T1703" s="81">
        <f>IF($B1703="","",IFERROR(INDEX(Task_Tracker!$AB$5:$AB$1004,MATCH($B1703,Task_Tracker!$A$5:$A$1004,0)),""))</f>
        <v/>
      </c>
      <c r="U1703" s="78">
        <f>IF($B1703="","",IFERROR(INDEX(Task_Tracker!$F$5:$F$1004,MATCH($B1703,Task_Tracker!$A$5:$A$1004,0)),""))</f>
        <v/>
      </c>
      <c r="V1703" s="78">
        <f>IF($B1703="","",IFERROR(INDEX(Task_Tracker!$I$5:$I$1004,MATCH($B1703,Task_Tracker!$A$5:$A$1004,0)),""))</f>
        <v/>
      </c>
      <c r="W1703" s="81">
        <f>IF(OR($D1703="",$B1703=""),"",$D1703&amp;" | "&amp;$B1703)</f>
        <v/>
      </c>
      <c r="X1703" s="85">
        <f>IF($K1703="","",TEXT($K1703,"yyyy-mm"))</f>
        <v/>
      </c>
      <c r="Y1703" s="81">
        <f>IF(OR($A1703="",$T1703=""),"","Included in Manager_Report")</f>
        <v/>
      </c>
    </row>
    <row r="1704" ht="15" customHeight="1" s="40">
      <c r="A1704" s="65">
        <f>IF(COUNTA(B1704:G1704)=0,"","STP-"&amp;TEXT(ROW()-4,"0000"))</f>
        <v/>
      </c>
      <c r="B1704" s="78" t="n"/>
      <c r="C1704" s="67">
        <f>IF($B1704="","",IFERROR(INDEX(Task_Tracker!$D$5:$D$1004,MATCH($B1704,Task_Tracker!$A$5:$A$1004,0)),""))</f>
        <v/>
      </c>
      <c r="D1704" s="67">
        <f>IF($B1704="","",IFERROR(INDEX(Task_Tracker!$B$5:$B$1004,MATCH($B1704,Task_Tracker!$A$5:$A$1004,0)),""))</f>
        <v/>
      </c>
      <c r="E1704" s="81" t="n"/>
      <c r="F1704" s="81" t="n"/>
      <c r="G1704" s="78" t="n"/>
      <c r="H1704" s="78" t="n"/>
      <c r="I1704" s="67">
        <f>IF($H1704="","",IFERROR(INDEX(Action_Status_Map!$B$5:$B$11,MATCH($H1704,Action_Status_Map!$A$5:$A$11,0)),""))</f>
        <v/>
      </c>
      <c r="J1704" s="82" t="n"/>
      <c r="K1704" s="82" t="n"/>
      <c r="L1704" s="82" t="n"/>
      <c r="M1704" s="83" t="n"/>
      <c r="N1704" s="83" t="n"/>
      <c r="O1704" s="66">
        <f>IF(OR($M1704="",$N1704=""),"",$N1704-$M1704)</f>
        <v/>
      </c>
      <c r="P1704" s="84">
        <f>IF($J1704="","",IF($L1704&lt;&gt;"",$L1704-$J1704,TODAY()-$J1704))</f>
        <v/>
      </c>
      <c r="Q1704" s="85">
        <f>IF(OR($K1704="",$H1704="Completed",$H1704="Cancelled"),"",IF(AND($K1704&lt;TODAY(),$H1704&lt;&gt;"Completed",$H1704&lt;&gt;"Cancelled"),"Overdue","On Track"))</f>
        <v/>
      </c>
      <c r="R1704" s="81" t="n"/>
      <c r="S1704" s="81">
        <f>IF($B1704="","",IFERROR(INDEX(Task_Tracker!$AA$5:$AA$1004,MATCH($B1704,Task_Tracker!$A$5:$A$1004,0)),""))</f>
        <v/>
      </c>
      <c r="T1704" s="81">
        <f>IF($B1704="","",IFERROR(INDEX(Task_Tracker!$AB$5:$AB$1004,MATCH($B1704,Task_Tracker!$A$5:$A$1004,0)),""))</f>
        <v/>
      </c>
      <c r="U1704" s="78">
        <f>IF($B1704="","",IFERROR(INDEX(Task_Tracker!$F$5:$F$1004,MATCH($B1704,Task_Tracker!$A$5:$A$1004,0)),""))</f>
        <v/>
      </c>
      <c r="V1704" s="78">
        <f>IF($B1704="","",IFERROR(INDEX(Task_Tracker!$I$5:$I$1004,MATCH($B1704,Task_Tracker!$A$5:$A$1004,0)),""))</f>
        <v/>
      </c>
      <c r="W1704" s="81">
        <f>IF(OR($D1704="",$B1704=""),"",$D1704&amp;" | "&amp;$B1704)</f>
        <v/>
      </c>
      <c r="X1704" s="85">
        <f>IF($K1704="","",TEXT($K1704,"yyyy-mm"))</f>
        <v/>
      </c>
      <c r="Y1704" s="81">
        <f>IF(OR($A1704="",$T1704=""),"","Included in Manager_Report")</f>
        <v/>
      </c>
    </row>
    <row r="1705" ht="15" customHeight="1" s="40">
      <c r="A1705" s="65">
        <f>IF(COUNTA(B1705:G1705)=0,"","STP-"&amp;TEXT(ROW()-4,"0000"))</f>
        <v/>
      </c>
      <c r="B1705" s="78" t="n"/>
      <c r="C1705" s="67">
        <f>IF($B1705="","",IFERROR(INDEX(Task_Tracker!$D$5:$D$1004,MATCH($B1705,Task_Tracker!$A$5:$A$1004,0)),""))</f>
        <v/>
      </c>
      <c r="D1705" s="67">
        <f>IF($B1705="","",IFERROR(INDEX(Task_Tracker!$B$5:$B$1004,MATCH($B1705,Task_Tracker!$A$5:$A$1004,0)),""))</f>
        <v/>
      </c>
      <c r="E1705" s="81" t="n"/>
      <c r="F1705" s="81" t="n"/>
      <c r="G1705" s="78" t="n"/>
      <c r="H1705" s="78" t="n"/>
      <c r="I1705" s="67">
        <f>IF($H1705="","",IFERROR(INDEX(Action_Status_Map!$B$5:$B$11,MATCH($H1705,Action_Status_Map!$A$5:$A$11,0)),""))</f>
        <v/>
      </c>
      <c r="J1705" s="82" t="n"/>
      <c r="K1705" s="82" t="n"/>
      <c r="L1705" s="82" t="n"/>
      <c r="M1705" s="83" t="n"/>
      <c r="N1705" s="83" t="n"/>
      <c r="O1705" s="66">
        <f>IF(OR($M1705="",$N1705=""),"",$N1705-$M1705)</f>
        <v/>
      </c>
      <c r="P1705" s="84">
        <f>IF($J1705="","",IF($L1705&lt;&gt;"",$L1705-$J1705,TODAY()-$J1705))</f>
        <v/>
      </c>
      <c r="Q1705" s="85">
        <f>IF(OR($K1705="",$H1705="Completed",$H1705="Cancelled"),"",IF(AND($K1705&lt;TODAY(),$H1705&lt;&gt;"Completed",$H1705&lt;&gt;"Cancelled"),"Overdue","On Track"))</f>
        <v/>
      </c>
      <c r="R1705" s="81" t="n"/>
      <c r="S1705" s="81">
        <f>IF($B1705="","",IFERROR(INDEX(Task_Tracker!$AA$5:$AA$1004,MATCH($B1705,Task_Tracker!$A$5:$A$1004,0)),""))</f>
        <v/>
      </c>
      <c r="T1705" s="81">
        <f>IF($B1705="","",IFERROR(INDEX(Task_Tracker!$AB$5:$AB$1004,MATCH($B1705,Task_Tracker!$A$5:$A$1004,0)),""))</f>
        <v/>
      </c>
      <c r="U1705" s="78">
        <f>IF($B1705="","",IFERROR(INDEX(Task_Tracker!$F$5:$F$1004,MATCH($B1705,Task_Tracker!$A$5:$A$1004,0)),""))</f>
        <v/>
      </c>
      <c r="V1705" s="78">
        <f>IF($B1705="","",IFERROR(INDEX(Task_Tracker!$I$5:$I$1004,MATCH($B1705,Task_Tracker!$A$5:$A$1004,0)),""))</f>
        <v/>
      </c>
      <c r="W1705" s="81">
        <f>IF(OR($D1705="",$B1705=""),"",$D1705&amp;" | "&amp;$B1705)</f>
        <v/>
      </c>
      <c r="X1705" s="85">
        <f>IF($K1705="","",TEXT($K1705,"yyyy-mm"))</f>
        <v/>
      </c>
      <c r="Y1705" s="81">
        <f>IF(OR($A1705="",$T1705=""),"","Included in Manager_Report")</f>
        <v/>
      </c>
    </row>
    <row r="1706" ht="15" customHeight="1" s="40">
      <c r="A1706" s="65">
        <f>IF(COUNTA(B1706:G1706)=0,"","STP-"&amp;TEXT(ROW()-4,"0000"))</f>
        <v/>
      </c>
      <c r="B1706" s="78" t="n"/>
      <c r="C1706" s="67">
        <f>IF($B1706="","",IFERROR(INDEX(Task_Tracker!$D$5:$D$1004,MATCH($B1706,Task_Tracker!$A$5:$A$1004,0)),""))</f>
        <v/>
      </c>
      <c r="D1706" s="67">
        <f>IF($B1706="","",IFERROR(INDEX(Task_Tracker!$B$5:$B$1004,MATCH($B1706,Task_Tracker!$A$5:$A$1004,0)),""))</f>
        <v/>
      </c>
      <c r="E1706" s="81" t="n"/>
      <c r="F1706" s="81" t="n"/>
      <c r="G1706" s="78" t="n"/>
      <c r="H1706" s="78" t="n"/>
      <c r="I1706" s="67">
        <f>IF($H1706="","",IFERROR(INDEX(Action_Status_Map!$B$5:$B$11,MATCH($H1706,Action_Status_Map!$A$5:$A$11,0)),""))</f>
        <v/>
      </c>
      <c r="J1706" s="82" t="n"/>
      <c r="K1706" s="82" t="n"/>
      <c r="L1706" s="82" t="n"/>
      <c r="M1706" s="83" t="n"/>
      <c r="N1706" s="83" t="n"/>
      <c r="O1706" s="66">
        <f>IF(OR($M1706="",$N1706=""),"",$N1706-$M1706)</f>
        <v/>
      </c>
      <c r="P1706" s="84">
        <f>IF($J1706="","",IF($L1706&lt;&gt;"",$L1706-$J1706,TODAY()-$J1706))</f>
        <v/>
      </c>
      <c r="Q1706" s="85">
        <f>IF(OR($K1706="",$H1706="Completed",$H1706="Cancelled"),"",IF(AND($K1706&lt;TODAY(),$H1706&lt;&gt;"Completed",$H1706&lt;&gt;"Cancelled"),"Overdue","On Track"))</f>
        <v/>
      </c>
      <c r="R1706" s="81" t="n"/>
      <c r="S1706" s="81">
        <f>IF($B1706="","",IFERROR(INDEX(Task_Tracker!$AA$5:$AA$1004,MATCH($B1706,Task_Tracker!$A$5:$A$1004,0)),""))</f>
        <v/>
      </c>
      <c r="T1706" s="81">
        <f>IF($B1706="","",IFERROR(INDEX(Task_Tracker!$AB$5:$AB$1004,MATCH($B1706,Task_Tracker!$A$5:$A$1004,0)),""))</f>
        <v/>
      </c>
      <c r="U1706" s="78">
        <f>IF($B1706="","",IFERROR(INDEX(Task_Tracker!$F$5:$F$1004,MATCH($B1706,Task_Tracker!$A$5:$A$1004,0)),""))</f>
        <v/>
      </c>
      <c r="V1706" s="78">
        <f>IF($B1706="","",IFERROR(INDEX(Task_Tracker!$I$5:$I$1004,MATCH($B1706,Task_Tracker!$A$5:$A$1004,0)),""))</f>
        <v/>
      </c>
      <c r="W1706" s="81">
        <f>IF(OR($D1706="",$B1706=""),"",$D1706&amp;" | "&amp;$B1706)</f>
        <v/>
      </c>
      <c r="X1706" s="85">
        <f>IF($K1706="","",TEXT($K1706,"yyyy-mm"))</f>
        <v/>
      </c>
      <c r="Y1706" s="81">
        <f>IF(OR($A1706="",$T1706=""),"","Included in Manager_Report")</f>
        <v/>
      </c>
    </row>
    <row r="1707" ht="15" customHeight="1" s="40">
      <c r="A1707" s="65">
        <f>IF(COUNTA(B1707:G1707)=0,"","STP-"&amp;TEXT(ROW()-4,"0000"))</f>
        <v/>
      </c>
      <c r="B1707" s="78" t="n"/>
      <c r="C1707" s="67">
        <f>IF($B1707="","",IFERROR(INDEX(Task_Tracker!$D$5:$D$1004,MATCH($B1707,Task_Tracker!$A$5:$A$1004,0)),""))</f>
        <v/>
      </c>
      <c r="D1707" s="67">
        <f>IF($B1707="","",IFERROR(INDEX(Task_Tracker!$B$5:$B$1004,MATCH($B1707,Task_Tracker!$A$5:$A$1004,0)),""))</f>
        <v/>
      </c>
      <c r="E1707" s="81" t="n"/>
      <c r="F1707" s="81" t="n"/>
      <c r="G1707" s="78" t="n"/>
      <c r="H1707" s="78" t="n"/>
      <c r="I1707" s="67">
        <f>IF($H1707="","",IFERROR(INDEX(Action_Status_Map!$B$5:$B$11,MATCH($H1707,Action_Status_Map!$A$5:$A$11,0)),""))</f>
        <v/>
      </c>
      <c r="J1707" s="82" t="n"/>
      <c r="K1707" s="82" t="n"/>
      <c r="L1707" s="82" t="n"/>
      <c r="M1707" s="83" t="n"/>
      <c r="N1707" s="83" t="n"/>
      <c r="O1707" s="66">
        <f>IF(OR($M1707="",$N1707=""),"",$N1707-$M1707)</f>
        <v/>
      </c>
      <c r="P1707" s="84">
        <f>IF($J1707="","",IF($L1707&lt;&gt;"",$L1707-$J1707,TODAY()-$J1707))</f>
        <v/>
      </c>
      <c r="Q1707" s="85">
        <f>IF(OR($K1707="",$H1707="Completed",$H1707="Cancelled"),"",IF(AND($K1707&lt;TODAY(),$H1707&lt;&gt;"Completed",$H1707&lt;&gt;"Cancelled"),"Overdue","On Track"))</f>
        <v/>
      </c>
      <c r="R1707" s="81" t="n"/>
      <c r="S1707" s="81">
        <f>IF($B1707="","",IFERROR(INDEX(Task_Tracker!$AA$5:$AA$1004,MATCH($B1707,Task_Tracker!$A$5:$A$1004,0)),""))</f>
        <v/>
      </c>
      <c r="T1707" s="81">
        <f>IF($B1707="","",IFERROR(INDEX(Task_Tracker!$AB$5:$AB$1004,MATCH($B1707,Task_Tracker!$A$5:$A$1004,0)),""))</f>
        <v/>
      </c>
      <c r="U1707" s="78">
        <f>IF($B1707="","",IFERROR(INDEX(Task_Tracker!$F$5:$F$1004,MATCH($B1707,Task_Tracker!$A$5:$A$1004,0)),""))</f>
        <v/>
      </c>
      <c r="V1707" s="78">
        <f>IF($B1707="","",IFERROR(INDEX(Task_Tracker!$I$5:$I$1004,MATCH($B1707,Task_Tracker!$A$5:$A$1004,0)),""))</f>
        <v/>
      </c>
      <c r="W1707" s="81">
        <f>IF(OR($D1707="",$B1707=""),"",$D1707&amp;" | "&amp;$B1707)</f>
        <v/>
      </c>
      <c r="X1707" s="85">
        <f>IF($K1707="","",TEXT($K1707,"yyyy-mm"))</f>
        <v/>
      </c>
      <c r="Y1707" s="81">
        <f>IF(OR($A1707="",$T1707=""),"","Included in Manager_Report")</f>
        <v/>
      </c>
    </row>
    <row r="1708" ht="15" customHeight="1" s="40">
      <c r="A1708" s="65">
        <f>IF(COUNTA(B1708:G1708)=0,"","STP-"&amp;TEXT(ROW()-4,"0000"))</f>
        <v/>
      </c>
      <c r="B1708" s="78" t="n"/>
      <c r="C1708" s="67">
        <f>IF($B1708="","",IFERROR(INDEX(Task_Tracker!$D$5:$D$1004,MATCH($B1708,Task_Tracker!$A$5:$A$1004,0)),""))</f>
        <v/>
      </c>
      <c r="D1708" s="67">
        <f>IF($B1708="","",IFERROR(INDEX(Task_Tracker!$B$5:$B$1004,MATCH($B1708,Task_Tracker!$A$5:$A$1004,0)),""))</f>
        <v/>
      </c>
      <c r="E1708" s="81" t="n"/>
      <c r="F1708" s="81" t="n"/>
      <c r="G1708" s="78" t="n"/>
      <c r="H1708" s="78" t="n"/>
      <c r="I1708" s="67">
        <f>IF($H1708="","",IFERROR(INDEX(Action_Status_Map!$B$5:$B$11,MATCH($H1708,Action_Status_Map!$A$5:$A$11,0)),""))</f>
        <v/>
      </c>
      <c r="J1708" s="82" t="n"/>
      <c r="K1708" s="82" t="n"/>
      <c r="L1708" s="82" t="n"/>
      <c r="M1708" s="83" t="n"/>
      <c r="N1708" s="83" t="n"/>
      <c r="O1708" s="66">
        <f>IF(OR($M1708="",$N1708=""),"",$N1708-$M1708)</f>
        <v/>
      </c>
      <c r="P1708" s="84">
        <f>IF($J1708="","",IF($L1708&lt;&gt;"",$L1708-$J1708,TODAY()-$J1708))</f>
        <v/>
      </c>
      <c r="Q1708" s="85">
        <f>IF(OR($K1708="",$H1708="Completed",$H1708="Cancelled"),"",IF(AND($K1708&lt;TODAY(),$H1708&lt;&gt;"Completed",$H1708&lt;&gt;"Cancelled"),"Overdue","On Track"))</f>
        <v/>
      </c>
      <c r="R1708" s="81" t="n"/>
      <c r="S1708" s="81">
        <f>IF($B1708="","",IFERROR(INDEX(Task_Tracker!$AA$5:$AA$1004,MATCH($B1708,Task_Tracker!$A$5:$A$1004,0)),""))</f>
        <v/>
      </c>
      <c r="T1708" s="81">
        <f>IF($B1708="","",IFERROR(INDEX(Task_Tracker!$AB$5:$AB$1004,MATCH($B1708,Task_Tracker!$A$5:$A$1004,0)),""))</f>
        <v/>
      </c>
      <c r="U1708" s="78">
        <f>IF($B1708="","",IFERROR(INDEX(Task_Tracker!$F$5:$F$1004,MATCH($B1708,Task_Tracker!$A$5:$A$1004,0)),""))</f>
        <v/>
      </c>
      <c r="V1708" s="78">
        <f>IF($B1708="","",IFERROR(INDEX(Task_Tracker!$I$5:$I$1004,MATCH($B1708,Task_Tracker!$A$5:$A$1004,0)),""))</f>
        <v/>
      </c>
      <c r="W1708" s="81">
        <f>IF(OR($D1708="",$B1708=""),"",$D1708&amp;" | "&amp;$B1708)</f>
        <v/>
      </c>
      <c r="X1708" s="85">
        <f>IF($K1708="","",TEXT($K1708,"yyyy-mm"))</f>
        <v/>
      </c>
      <c r="Y1708" s="81">
        <f>IF(OR($A1708="",$T1708=""),"","Included in Manager_Report")</f>
        <v/>
      </c>
    </row>
    <row r="1709" ht="15" customHeight="1" s="40">
      <c r="A1709" s="65">
        <f>IF(COUNTA(B1709:G1709)=0,"","STP-"&amp;TEXT(ROW()-4,"0000"))</f>
        <v/>
      </c>
      <c r="B1709" s="78" t="n"/>
      <c r="C1709" s="67">
        <f>IF($B1709="","",IFERROR(INDEX(Task_Tracker!$D$5:$D$1004,MATCH($B1709,Task_Tracker!$A$5:$A$1004,0)),""))</f>
        <v/>
      </c>
      <c r="D1709" s="67">
        <f>IF($B1709="","",IFERROR(INDEX(Task_Tracker!$B$5:$B$1004,MATCH($B1709,Task_Tracker!$A$5:$A$1004,0)),""))</f>
        <v/>
      </c>
      <c r="E1709" s="81" t="n"/>
      <c r="F1709" s="81" t="n"/>
      <c r="G1709" s="78" t="n"/>
      <c r="H1709" s="78" t="n"/>
      <c r="I1709" s="67">
        <f>IF($H1709="","",IFERROR(INDEX(Action_Status_Map!$B$5:$B$11,MATCH($H1709,Action_Status_Map!$A$5:$A$11,0)),""))</f>
        <v/>
      </c>
      <c r="J1709" s="82" t="n"/>
      <c r="K1709" s="82" t="n"/>
      <c r="L1709" s="82" t="n"/>
      <c r="M1709" s="83" t="n"/>
      <c r="N1709" s="83" t="n"/>
      <c r="O1709" s="66">
        <f>IF(OR($M1709="",$N1709=""),"",$N1709-$M1709)</f>
        <v/>
      </c>
      <c r="P1709" s="84">
        <f>IF($J1709="","",IF($L1709&lt;&gt;"",$L1709-$J1709,TODAY()-$J1709))</f>
        <v/>
      </c>
      <c r="Q1709" s="85">
        <f>IF(OR($K1709="",$H1709="Completed",$H1709="Cancelled"),"",IF(AND($K1709&lt;TODAY(),$H1709&lt;&gt;"Completed",$H1709&lt;&gt;"Cancelled"),"Overdue","On Track"))</f>
        <v/>
      </c>
      <c r="R1709" s="81" t="n"/>
      <c r="S1709" s="81">
        <f>IF($B1709="","",IFERROR(INDEX(Task_Tracker!$AA$5:$AA$1004,MATCH($B1709,Task_Tracker!$A$5:$A$1004,0)),""))</f>
        <v/>
      </c>
      <c r="T1709" s="81">
        <f>IF($B1709="","",IFERROR(INDEX(Task_Tracker!$AB$5:$AB$1004,MATCH($B1709,Task_Tracker!$A$5:$A$1004,0)),""))</f>
        <v/>
      </c>
      <c r="U1709" s="78">
        <f>IF($B1709="","",IFERROR(INDEX(Task_Tracker!$F$5:$F$1004,MATCH($B1709,Task_Tracker!$A$5:$A$1004,0)),""))</f>
        <v/>
      </c>
      <c r="V1709" s="78">
        <f>IF($B1709="","",IFERROR(INDEX(Task_Tracker!$I$5:$I$1004,MATCH($B1709,Task_Tracker!$A$5:$A$1004,0)),""))</f>
        <v/>
      </c>
      <c r="W1709" s="81">
        <f>IF(OR($D1709="",$B1709=""),"",$D1709&amp;" | "&amp;$B1709)</f>
        <v/>
      </c>
      <c r="X1709" s="85">
        <f>IF($K1709="","",TEXT($K1709,"yyyy-mm"))</f>
        <v/>
      </c>
      <c r="Y1709" s="81">
        <f>IF(OR($A1709="",$T1709=""),"","Included in Manager_Report")</f>
        <v/>
      </c>
    </row>
    <row r="1710" ht="15" customHeight="1" s="40">
      <c r="A1710" s="65">
        <f>IF(COUNTA(B1710:G1710)=0,"","STP-"&amp;TEXT(ROW()-4,"0000"))</f>
        <v/>
      </c>
      <c r="B1710" s="78" t="n"/>
      <c r="C1710" s="67">
        <f>IF($B1710="","",IFERROR(INDEX(Task_Tracker!$D$5:$D$1004,MATCH($B1710,Task_Tracker!$A$5:$A$1004,0)),""))</f>
        <v/>
      </c>
      <c r="D1710" s="67">
        <f>IF($B1710="","",IFERROR(INDEX(Task_Tracker!$B$5:$B$1004,MATCH($B1710,Task_Tracker!$A$5:$A$1004,0)),""))</f>
        <v/>
      </c>
      <c r="E1710" s="81" t="n"/>
      <c r="F1710" s="81" t="n"/>
      <c r="G1710" s="78" t="n"/>
      <c r="H1710" s="78" t="n"/>
      <c r="I1710" s="67">
        <f>IF($H1710="","",IFERROR(INDEX(Action_Status_Map!$B$5:$B$11,MATCH($H1710,Action_Status_Map!$A$5:$A$11,0)),""))</f>
        <v/>
      </c>
      <c r="J1710" s="82" t="n"/>
      <c r="K1710" s="82" t="n"/>
      <c r="L1710" s="82" t="n"/>
      <c r="M1710" s="83" t="n"/>
      <c r="N1710" s="83" t="n"/>
      <c r="O1710" s="66">
        <f>IF(OR($M1710="",$N1710=""),"",$N1710-$M1710)</f>
        <v/>
      </c>
      <c r="P1710" s="84">
        <f>IF($J1710="","",IF($L1710&lt;&gt;"",$L1710-$J1710,TODAY()-$J1710))</f>
        <v/>
      </c>
      <c r="Q1710" s="85">
        <f>IF(OR($K1710="",$H1710="Completed",$H1710="Cancelled"),"",IF(AND($K1710&lt;TODAY(),$H1710&lt;&gt;"Completed",$H1710&lt;&gt;"Cancelled"),"Overdue","On Track"))</f>
        <v/>
      </c>
      <c r="R1710" s="81" t="n"/>
      <c r="S1710" s="81">
        <f>IF($B1710="","",IFERROR(INDEX(Task_Tracker!$AA$5:$AA$1004,MATCH($B1710,Task_Tracker!$A$5:$A$1004,0)),""))</f>
        <v/>
      </c>
      <c r="T1710" s="81">
        <f>IF($B1710="","",IFERROR(INDEX(Task_Tracker!$AB$5:$AB$1004,MATCH($B1710,Task_Tracker!$A$5:$A$1004,0)),""))</f>
        <v/>
      </c>
      <c r="U1710" s="78">
        <f>IF($B1710="","",IFERROR(INDEX(Task_Tracker!$F$5:$F$1004,MATCH($B1710,Task_Tracker!$A$5:$A$1004,0)),""))</f>
        <v/>
      </c>
      <c r="V1710" s="78">
        <f>IF($B1710="","",IFERROR(INDEX(Task_Tracker!$I$5:$I$1004,MATCH($B1710,Task_Tracker!$A$5:$A$1004,0)),""))</f>
        <v/>
      </c>
      <c r="W1710" s="81">
        <f>IF(OR($D1710="",$B1710=""),"",$D1710&amp;" | "&amp;$B1710)</f>
        <v/>
      </c>
      <c r="X1710" s="85">
        <f>IF($K1710="","",TEXT($K1710,"yyyy-mm"))</f>
        <v/>
      </c>
      <c r="Y1710" s="81">
        <f>IF(OR($A1710="",$T1710=""),"","Included in Manager_Report")</f>
        <v/>
      </c>
    </row>
    <row r="1711" ht="15" customHeight="1" s="40">
      <c r="A1711" s="65">
        <f>IF(COUNTA(B1711:G1711)=0,"","STP-"&amp;TEXT(ROW()-4,"0000"))</f>
        <v/>
      </c>
      <c r="B1711" s="78" t="n"/>
      <c r="C1711" s="67">
        <f>IF($B1711="","",IFERROR(INDEX(Task_Tracker!$D$5:$D$1004,MATCH($B1711,Task_Tracker!$A$5:$A$1004,0)),""))</f>
        <v/>
      </c>
      <c r="D1711" s="67">
        <f>IF($B1711="","",IFERROR(INDEX(Task_Tracker!$B$5:$B$1004,MATCH($B1711,Task_Tracker!$A$5:$A$1004,0)),""))</f>
        <v/>
      </c>
      <c r="E1711" s="81" t="n"/>
      <c r="F1711" s="81" t="n"/>
      <c r="G1711" s="78" t="n"/>
      <c r="H1711" s="78" t="n"/>
      <c r="I1711" s="67">
        <f>IF($H1711="","",IFERROR(INDEX(Action_Status_Map!$B$5:$B$11,MATCH($H1711,Action_Status_Map!$A$5:$A$11,0)),""))</f>
        <v/>
      </c>
      <c r="J1711" s="82" t="n"/>
      <c r="K1711" s="82" t="n"/>
      <c r="L1711" s="82" t="n"/>
      <c r="M1711" s="83" t="n"/>
      <c r="N1711" s="83" t="n"/>
      <c r="O1711" s="66">
        <f>IF(OR($M1711="",$N1711=""),"",$N1711-$M1711)</f>
        <v/>
      </c>
      <c r="P1711" s="84">
        <f>IF($J1711="","",IF($L1711&lt;&gt;"",$L1711-$J1711,TODAY()-$J1711))</f>
        <v/>
      </c>
      <c r="Q1711" s="85">
        <f>IF(OR($K1711="",$H1711="Completed",$H1711="Cancelled"),"",IF(AND($K1711&lt;TODAY(),$H1711&lt;&gt;"Completed",$H1711&lt;&gt;"Cancelled"),"Overdue","On Track"))</f>
        <v/>
      </c>
      <c r="R1711" s="81" t="n"/>
      <c r="S1711" s="81">
        <f>IF($B1711="","",IFERROR(INDEX(Task_Tracker!$AA$5:$AA$1004,MATCH($B1711,Task_Tracker!$A$5:$A$1004,0)),""))</f>
        <v/>
      </c>
      <c r="T1711" s="81">
        <f>IF($B1711="","",IFERROR(INDEX(Task_Tracker!$AB$5:$AB$1004,MATCH($B1711,Task_Tracker!$A$5:$A$1004,0)),""))</f>
        <v/>
      </c>
      <c r="U1711" s="78">
        <f>IF($B1711="","",IFERROR(INDEX(Task_Tracker!$F$5:$F$1004,MATCH($B1711,Task_Tracker!$A$5:$A$1004,0)),""))</f>
        <v/>
      </c>
      <c r="V1711" s="78">
        <f>IF($B1711="","",IFERROR(INDEX(Task_Tracker!$I$5:$I$1004,MATCH($B1711,Task_Tracker!$A$5:$A$1004,0)),""))</f>
        <v/>
      </c>
      <c r="W1711" s="81">
        <f>IF(OR($D1711="",$B1711=""),"",$D1711&amp;" | "&amp;$B1711)</f>
        <v/>
      </c>
      <c r="X1711" s="85">
        <f>IF($K1711="","",TEXT($K1711,"yyyy-mm"))</f>
        <v/>
      </c>
      <c r="Y1711" s="81">
        <f>IF(OR($A1711="",$T1711=""),"","Included in Manager_Report")</f>
        <v/>
      </c>
    </row>
    <row r="1712" ht="15" customHeight="1" s="40">
      <c r="A1712" s="65">
        <f>IF(COUNTA(B1712:G1712)=0,"","STP-"&amp;TEXT(ROW()-4,"0000"))</f>
        <v/>
      </c>
      <c r="B1712" s="78" t="n"/>
      <c r="C1712" s="67">
        <f>IF($B1712="","",IFERROR(INDEX(Task_Tracker!$D$5:$D$1004,MATCH($B1712,Task_Tracker!$A$5:$A$1004,0)),""))</f>
        <v/>
      </c>
      <c r="D1712" s="67">
        <f>IF($B1712="","",IFERROR(INDEX(Task_Tracker!$B$5:$B$1004,MATCH($B1712,Task_Tracker!$A$5:$A$1004,0)),""))</f>
        <v/>
      </c>
      <c r="E1712" s="81" t="n"/>
      <c r="F1712" s="81" t="n"/>
      <c r="G1712" s="78" t="n"/>
      <c r="H1712" s="78" t="n"/>
      <c r="I1712" s="67">
        <f>IF($H1712="","",IFERROR(INDEX(Action_Status_Map!$B$5:$B$11,MATCH($H1712,Action_Status_Map!$A$5:$A$11,0)),""))</f>
        <v/>
      </c>
      <c r="J1712" s="82" t="n"/>
      <c r="K1712" s="82" t="n"/>
      <c r="L1712" s="82" t="n"/>
      <c r="M1712" s="83" t="n"/>
      <c r="N1712" s="83" t="n"/>
      <c r="O1712" s="66">
        <f>IF(OR($M1712="",$N1712=""),"",$N1712-$M1712)</f>
        <v/>
      </c>
      <c r="P1712" s="84">
        <f>IF($J1712="","",IF($L1712&lt;&gt;"",$L1712-$J1712,TODAY()-$J1712))</f>
        <v/>
      </c>
      <c r="Q1712" s="85">
        <f>IF(OR($K1712="",$H1712="Completed",$H1712="Cancelled"),"",IF(AND($K1712&lt;TODAY(),$H1712&lt;&gt;"Completed",$H1712&lt;&gt;"Cancelled"),"Overdue","On Track"))</f>
        <v/>
      </c>
      <c r="R1712" s="81" t="n"/>
      <c r="S1712" s="81">
        <f>IF($B1712="","",IFERROR(INDEX(Task_Tracker!$AA$5:$AA$1004,MATCH($B1712,Task_Tracker!$A$5:$A$1004,0)),""))</f>
        <v/>
      </c>
      <c r="T1712" s="81">
        <f>IF($B1712="","",IFERROR(INDEX(Task_Tracker!$AB$5:$AB$1004,MATCH($B1712,Task_Tracker!$A$5:$A$1004,0)),""))</f>
        <v/>
      </c>
      <c r="U1712" s="78">
        <f>IF($B1712="","",IFERROR(INDEX(Task_Tracker!$F$5:$F$1004,MATCH($B1712,Task_Tracker!$A$5:$A$1004,0)),""))</f>
        <v/>
      </c>
      <c r="V1712" s="78">
        <f>IF($B1712="","",IFERROR(INDEX(Task_Tracker!$I$5:$I$1004,MATCH($B1712,Task_Tracker!$A$5:$A$1004,0)),""))</f>
        <v/>
      </c>
      <c r="W1712" s="81">
        <f>IF(OR($D1712="",$B1712=""),"",$D1712&amp;" | "&amp;$B1712)</f>
        <v/>
      </c>
      <c r="X1712" s="85">
        <f>IF($K1712="","",TEXT($K1712,"yyyy-mm"))</f>
        <v/>
      </c>
      <c r="Y1712" s="81">
        <f>IF(OR($A1712="",$T1712=""),"","Included in Manager_Report")</f>
        <v/>
      </c>
    </row>
    <row r="1713" ht="15" customHeight="1" s="40">
      <c r="A1713" s="65">
        <f>IF(COUNTA(B1713:G1713)=0,"","STP-"&amp;TEXT(ROW()-4,"0000"))</f>
        <v/>
      </c>
      <c r="B1713" s="78" t="n"/>
      <c r="C1713" s="67">
        <f>IF($B1713="","",IFERROR(INDEX(Task_Tracker!$D$5:$D$1004,MATCH($B1713,Task_Tracker!$A$5:$A$1004,0)),""))</f>
        <v/>
      </c>
      <c r="D1713" s="67">
        <f>IF($B1713="","",IFERROR(INDEX(Task_Tracker!$B$5:$B$1004,MATCH($B1713,Task_Tracker!$A$5:$A$1004,0)),""))</f>
        <v/>
      </c>
      <c r="E1713" s="81" t="n"/>
      <c r="F1713" s="81" t="n"/>
      <c r="G1713" s="78" t="n"/>
      <c r="H1713" s="78" t="n"/>
      <c r="I1713" s="67">
        <f>IF($H1713="","",IFERROR(INDEX(Action_Status_Map!$B$5:$B$11,MATCH($H1713,Action_Status_Map!$A$5:$A$11,0)),""))</f>
        <v/>
      </c>
      <c r="J1713" s="82" t="n"/>
      <c r="K1713" s="82" t="n"/>
      <c r="L1713" s="82" t="n"/>
      <c r="M1713" s="83" t="n"/>
      <c r="N1713" s="83" t="n"/>
      <c r="O1713" s="66">
        <f>IF(OR($M1713="",$N1713=""),"",$N1713-$M1713)</f>
        <v/>
      </c>
      <c r="P1713" s="84">
        <f>IF($J1713="","",IF($L1713&lt;&gt;"",$L1713-$J1713,TODAY()-$J1713))</f>
        <v/>
      </c>
      <c r="Q1713" s="85">
        <f>IF(OR($K1713="",$H1713="Completed",$H1713="Cancelled"),"",IF(AND($K1713&lt;TODAY(),$H1713&lt;&gt;"Completed",$H1713&lt;&gt;"Cancelled"),"Overdue","On Track"))</f>
        <v/>
      </c>
      <c r="R1713" s="81" t="n"/>
      <c r="S1713" s="81">
        <f>IF($B1713="","",IFERROR(INDEX(Task_Tracker!$AA$5:$AA$1004,MATCH($B1713,Task_Tracker!$A$5:$A$1004,0)),""))</f>
        <v/>
      </c>
      <c r="T1713" s="81">
        <f>IF($B1713="","",IFERROR(INDEX(Task_Tracker!$AB$5:$AB$1004,MATCH($B1713,Task_Tracker!$A$5:$A$1004,0)),""))</f>
        <v/>
      </c>
      <c r="U1713" s="78">
        <f>IF($B1713="","",IFERROR(INDEX(Task_Tracker!$F$5:$F$1004,MATCH($B1713,Task_Tracker!$A$5:$A$1004,0)),""))</f>
        <v/>
      </c>
      <c r="V1713" s="78">
        <f>IF($B1713="","",IFERROR(INDEX(Task_Tracker!$I$5:$I$1004,MATCH($B1713,Task_Tracker!$A$5:$A$1004,0)),""))</f>
        <v/>
      </c>
      <c r="W1713" s="81">
        <f>IF(OR($D1713="",$B1713=""),"",$D1713&amp;" | "&amp;$B1713)</f>
        <v/>
      </c>
      <c r="X1713" s="85">
        <f>IF($K1713="","",TEXT($K1713,"yyyy-mm"))</f>
        <v/>
      </c>
      <c r="Y1713" s="81">
        <f>IF(OR($A1713="",$T1713=""),"","Included in Manager_Report")</f>
        <v/>
      </c>
    </row>
    <row r="1714" ht="15" customHeight="1" s="40">
      <c r="A1714" s="65">
        <f>IF(COUNTA(B1714:G1714)=0,"","STP-"&amp;TEXT(ROW()-4,"0000"))</f>
        <v/>
      </c>
      <c r="B1714" s="78" t="n"/>
      <c r="C1714" s="67">
        <f>IF($B1714="","",IFERROR(INDEX(Task_Tracker!$D$5:$D$1004,MATCH($B1714,Task_Tracker!$A$5:$A$1004,0)),""))</f>
        <v/>
      </c>
      <c r="D1714" s="67">
        <f>IF($B1714="","",IFERROR(INDEX(Task_Tracker!$B$5:$B$1004,MATCH($B1714,Task_Tracker!$A$5:$A$1004,0)),""))</f>
        <v/>
      </c>
      <c r="E1714" s="81" t="n"/>
      <c r="F1714" s="81" t="n"/>
      <c r="G1714" s="78" t="n"/>
      <c r="H1714" s="78" t="n"/>
      <c r="I1714" s="67">
        <f>IF($H1714="","",IFERROR(INDEX(Action_Status_Map!$B$5:$B$11,MATCH($H1714,Action_Status_Map!$A$5:$A$11,0)),""))</f>
        <v/>
      </c>
      <c r="J1714" s="82" t="n"/>
      <c r="K1714" s="82" t="n"/>
      <c r="L1714" s="82" t="n"/>
      <c r="M1714" s="83" t="n"/>
      <c r="N1714" s="83" t="n"/>
      <c r="O1714" s="66">
        <f>IF(OR($M1714="",$N1714=""),"",$N1714-$M1714)</f>
        <v/>
      </c>
      <c r="P1714" s="84">
        <f>IF($J1714="","",IF($L1714&lt;&gt;"",$L1714-$J1714,TODAY()-$J1714))</f>
        <v/>
      </c>
      <c r="Q1714" s="85">
        <f>IF(OR($K1714="",$H1714="Completed",$H1714="Cancelled"),"",IF(AND($K1714&lt;TODAY(),$H1714&lt;&gt;"Completed",$H1714&lt;&gt;"Cancelled"),"Overdue","On Track"))</f>
        <v/>
      </c>
      <c r="R1714" s="81" t="n"/>
      <c r="S1714" s="81">
        <f>IF($B1714="","",IFERROR(INDEX(Task_Tracker!$AA$5:$AA$1004,MATCH($B1714,Task_Tracker!$A$5:$A$1004,0)),""))</f>
        <v/>
      </c>
      <c r="T1714" s="81">
        <f>IF($B1714="","",IFERROR(INDEX(Task_Tracker!$AB$5:$AB$1004,MATCH($B1714,Task_Tracker!$A$5:$A$1004,0)),""))</f>
        <v/>
      </c>
      <c r="U1714" s="78">
        <f>IF($B1714="","",IFERROR(INDEX(Task_Tracker!$F$5:$F$1004,MATCH($B1714,Task_Tracker!$A$5:$A$1004,0)),""))</f>
        <v/>
      </c>
      <c r="V1714" s="78">
        <f>IF($B1714="","",IFERROR(INDEX(Task_Tracker!$I$5:$I$1004,MATCH($B1714,Task_Tracker!$A$5:$A$1004,0)),""))</f>
        <v/>
      </c>
      <c r="W1714" s="81">
        <f>IF(OR($D1714="",$B1714=""),"",$D1714&amp;" | "&amp;$B1714)</f>
        <v/>
      </c>
      <c r="X1714" s="85">
        <f>IF($K1714="","",TEXT($K1714,"yyyy-mm"))</f>
        <v/>
      </c>
      <c r="Y1714" s="81">
        <f>IF(OR($A1714="",$T1714=""),"","Included in Manager_Report")</f>
        <v/>
      </c>
    </row>
    <row r="1715" ht="15" customHeight="1" s="40">
      <c r="A1715" s="65">
        <f>IF(COUNTA(B1715:G1715)=0,"","STP-"&amp;TEXT(ROW()-4,"0000"))</f>
        <v/>
      </c>
      <c r="B1715" s="78" t="n"/>
      <c r="C1715" s="67">
        <f>IF($B1715="","",IFERROR(INDEX(Task_Tracker!$D$5:$D$1004,MATCH($B1715,Task_Tracker!$A$5:$A$1004,0)),""))</f>
        <v/>
      </c>
      <c r="D1715" s="67">
        <f>IF($B1715="","",IFERROR(INDEX(Task_Tracker!$B$5:$B$1004,MATCH($B1715,Task_Tracker!$A$5:$A$1004,0)),""))</f>
        <v/>
      </c>
      <c r="E1715" s="81" t="n"/>
      <c r="F1715" s="81" t="n"/>
      <c r="G1715" s="78" t="n"/>
      <c r="H1715" s="78" t="n"/>
      <c r="I1715" s="67">
        <f>IF($H1715="","",IFERROR(INDEX(Action_Status_Map!$B$5:$B$11,MATCH($H1715,Action_Status_Map!$A$5:$A$11,0)),""))</f>
        <v/>
      </c>
      <c r="J1715" s="82" t="n"/>
      <c r="K1715" s="82" t="n"/>
      <c r="L1715" s="82" t="n"/>
      <c r="M1715" s="83" t="n"/>
      <c r="N1715" s="83" t="n"/>
      <c r="O1715" s="66">
        <f>IF(OR($M1715="",$N1715=""),"",$N1715-$M1715)</f>
        <v/>
      </c>
      <c r="P1715" s="84">
        <f>IF($J1715="","",IF($L1715&lt;&gt;"",$L1715-$J1715,TODAY()-$J1715))</f>
        <v/>
      </c>
      <c r="Q1715" s="85">
        <f>IF(OR($K1715="",$H1715="Completed",$H1715="Cancelled"),"",IF(AND($K1715&lt;TODAY(),$H1715&lt;&gt;"Completed",$H1715&lt;&gt;"Cancelled"),"Overdue","On Track"))</f>
        <v/>
      </c>
      <c r="R1715" s="81" t="n"/>
      <c r="S1715" s="81">
        <f>IF($B1715="","",IFERROR(INDEX(Task_Tracker!$AA$5:$AA$1004,MATCH($B1715,Task_Tracker!$A$5:$A$1004,0)),""))</f>
        <v/>
      </c>
      <c r="T1715" s="81">
        <f>IF($B1715="","",IFERROR(INDEX(Task_Tracker!$AB$5:$AB$1004,MATCH($B1715,Task_Tracker!$A$5:$A$1004,0)),""))</f>
        <v/>
      </c>
      <c r="U1715" s="78">
        <f>IF($B1715="","",IFERROR(INDEX(Task_Tracker!$F$5:$F$1004,MATCH($B1715,Task_Tracker!$A$5:$A$1004,0)),""))</f>
        <v/>
      </c>
      <c r="V1715" s="78">
        <f>IF($B1715="","",IFERROR(INDEX(Task_Tracker!$I$5:$I$1004,MATCH($B1715,Task_Tracker!$A$5:$A$1004,0)),""))</f>
        <v/>
      </c>
      <c r="W1715" s="81">
        <f>IF(OR($D1715="",$B1715=""),"",$D1715&amp;" | "&amp;$B1715)</f>
        <v/>
      </c>
      <c r="X1715" s="85">
        <f>IF($K1715="","",TEXT($K1715,"yyyy-mm"))</f>
        <v/>
      </c>
      <c r="Y1715" s="81">
        <f>IF(OR($A1715="",$T1715=""),"","Included in Manager_Report")</f>
        <v/>
      </c>
    </row>
    <row r="1716" ht="15" customHeight="1" s="40">
      <c r="A1716" s="65">
        <f>IF(COUNTA(B1716:G1716)=0,"","STP-"&amp;TEXT(ROW()-4,"0000"))</f>
        <v/>
      </c>
      <c r="B1716" s="78" t="n"/>
      <c r="C1716" s="67">
        <f>IF($B1716="","",IFERROR(INDEX(Task_Tracker!$D$5:$D$1004,MATCH($B1716,Task_Tracker!$A$5:$A$1004,0)),""))</f>
        <v/>
      </c>
      <c r="D1716" s="67">
        <f>IF($B1716="","",IFERROR(INDEX(Task_Tracker!$B$5:$B$1004,MATCH($B1716,Task_Tracker!$A$5:$A$1004,0)),""))</f>
        <v/>
      </c>
      <c r="E1716" s="81" t="n"/>
      <c r="F1716" s="81" t="n"/>
      <c r="G1716" s="78" t="n"/>
      <c r="H1716" s="78" t="n"/>
      <c r="I1716" s="67">
        <f>IF($H1716="","",IFERROR(INDEX(Action_Status_Map!$B$5:$B$11,MATCH($H1716,Action_Status_Map!$A$5:$A$11,0)),""))</f>
        <v/>
      </c>
      <c r="J1716" s="82" t="n"/>
      <c r="K1716" s="82" t="n"/>
      <c r="L1716" s="82" t="n"/>
      <c r="M1716" s="83" t="n"/>
      <c r="N1716" s="83" t="n"/>
      <c r="O1716" s="66">
        <f>IF(OR($M1716="",$N1716=""),"",$N1716-$M1716)</f>
        <v/>
      </c>
      <c r="P1716" s="84">
        <f>IF($J1716="","",IF($L1716&lt;&gt;"",$L1716-$J1716,TODAY()-$J1716))</f>
        <v/>
      </c>
      <c r="Q1716" s="85">
        <f>IF(OR($K1716="",$H1716="Completed",$H1716="Cancelled"),"",IF(AND($K1716&lt;TODAY(),$H1716&lt;&gt;"Completed",$H1716&lt;&gt;"Cancelled"),"Overdue","On Track"))</f>
        <v/>
      </c>
      <c r="R1716" s="81" t="n"/>
      <c r="S1716" s="81">
        <f>IF($B1716="","",IFERROR(INDEX(Task_Tracker!$AA$5:$AA$1004,MATCH($B1716,Task_Tracker!$A$5:$A$1004,0)),""))</f>
        <v/>
      </c>
      <c r="T1716" s="81">
        <f>IF($B1716="","",IFERROR(INDEX(Task_Tracker!$AB$5:$AB$1004,MATCH($B1716,Task_Tracker!$A$5:$A$1004,0)),""))</f>
        <v/>
      </c>
      <c r="U1716" s="78">
        <f>IF($B1716="","",IFERROR(INDEX(Task_Tracker!$F$5:$F$1004,MATCH($B1716,Task_Tracker!$A$5:$A$1004,0)),""))</f>
        <v/>
      </c>
      <c r="V1716" s="78">
        <f>IF($B1716="","",IFERROR(INDEX(Task_Tracker!$I$5:$I$1004,MATCH($B1716,Task_Tracker!$A$5:$A$1004,0)),""))</f>
        <v/>
      </c>
      <c r="W1716" s="81">
        <f>IF(OR($D1716="",$B1716=""),"",$D1716&amp;" | "&amp;$B1716)</f>
        <v/>
      </c>
      <c r="X1716" s="85">
        <f>IF($K1716="","",TEXT($K1716,"yyyy-mm"))</f>
        <v/>
      </c>
      <c r="Y1716" s="81">
        <f>IF(OR($A1716="",$T1716=""),"","Included in Manager_Report")</f>
        <v/>
      </c>
    </row>
    <row r="1717" ht="15" customHeight="1" s="40">
      <c r="A1717" s="65">
        <f>IF(COUNTA(B1717:G1717)=0,"","STP-"&amp;TEXT(ROW()-4,"0000"))</f>
        <v/>
      </c>
      <c r="B1717" s="78" t="n"/>
      <c r="C1717" s="67">
        <f>IF($B1717="","",IFERROR(INDEX(Task_Tracker!$D$5:$D$1004,MATCH($B1717,Task_Tracker!$A$5:$A$1004,0)),""))</f>
        <v/>
      </c>
      <c r="D1717" s="67">
        <f>IF($B1717="","",IFERROR(INDEX(Task_Tracker!$B$5:$B$1004,MATCH($B1717,Task_Tracker!$A$5:$A$1004,0)),""))</f>
        <v/>
      </c>
      <c r="E1717" s="81" t="n"/>
      <c r="F1717" s="81" t="n"/>
      <c r="G1717" s="78" t="n"/>
      <c r="H1717" s="78" t="n"/>
      <c r="I1717" s="67">
        <f>IF($H1717="","",IFERROR(INDEX(Action_Status_Map!$B$5:$B$11,MATCH($H1717,Action_Status_Map!$A$5:$A$11,0)),""))</f>
        <v/>
      </c>
      <c r="J1717" s="82" t="n"/>
      <c r="K1717" s="82" t="n"/>
      <c r="L1717" s="82" t="n"/>
      <c r="M1717" s="83" t="n"/>
      <c r="N1717" s="83" t="n"/>
      <c r="O1717" s="66">
        <f>IF(OR($M1717="",$N1717=""),"",$N1717-$M1717)</f>
        <v/>
      </c>
      <c r="P1717" s="84">
        <f>IF($J1717="","",IF($L1717&lt;&gt;"",$L1717-$J1717,TODAY()-$J1717))</f>
        <v/>
      </c>
      <c r="Q1717" s="85">
        <f>IF(OR($K1717="",$H1717="Completed",$H1717="Cancelled"),"",IF(AND($K1717&lt;TODAY(),$H1717&lt;&gt;"Completed",$H1717&lt;&gt;"Cancelled"),"Overdue","On Track"))</f>
        <v/>
      </c>
      <c r="R1717" s="81" t="n"/>
      <c r="S1717" s="81">
        <f>IF($B1717="","",IFERROR(INDEX(Task_Tracker!$AA$5:$AA$1004,MATCH($B1717,Task_Tracker!$A$5:$A$1004,0)),""))</f>
        <v/>
      </c>
      <c r="T1717" s="81">
        <f>IF($B1717="","",IFERROR(INDEX(Task_Tracker!$AB$5:$AB$1004,MATCH($B1717,Task_Tracker!$A$5:$A$1004,0)),""))</f>
        <v/>
      </c>
      <c r="U1717" s="78">
        <f>IF($B1717="","",IFERROR(INDEX(Task_Tracker!$F$5:$F$1004,MATCH($B1717,Task_Tracker!$A$5:$A$1004,0)),""))</f>
        <v/>
      </c>
      <c r="V1717" s="78">
        <f>IF($B1717="","",IFERROR(INDEX(Task_Tracker!$I$5:$I$1004,MATCH($B1717,Task_Tracker!$A$5:$A$1004,0)),""))</f>
        <v/>
      </c>
      <c r="W1717" s="81">
        <f>IF(OR($D1717="",$B1717=""),"",$D1717&amp;" | "&amp;$B1717)</f>
        <v/>
      </c>
      <c r="X1717" s="85">
        <f>IF($K1717="","",TEXT($K1717,"yyyy-mm"))</f>
        <v/>
      </c>
      <c r="Y1717" s="81">
        <f>IF(OR($A1717="",$T1717=""),"","Included in Manager_Report")</f>
        <v/>
      </c>
    </row>
    <row r="1718" ht="15" customHeight="1" s="40">
      <c r="A1718" s="65">
        <f>IF(COUNTA(B1718:G1718)=0,"","STP-"&amp;TEXT(ROW()-4,"0000"))</f>
        <v/>
      </c>
      <c r="B1718" s="78" t="n"/>
      <c r="C1718" s="67">
        <f>IF($B1718="","",IFERROR(INDEX(Task_Tracker!$D$5:$D$1004,MATCH($B1718,Task_Tracker!$A$5:$A$1004,0)),""))</f>
        <v/>
      </c>
      <c r="D1718" s="67">
        <f>IF($B1718="","",IFERROR(INDEX(Task_Tracker!$B$5:$B$1004,MATCH($B1718,Task_Tracker!$A$5:$A$1004,0)),""))</f>
        <v/>
      </c>
      <c r="E1718" s="81" t="n"/>
      <c r="F1718" s="81" t="n"/>
      <c r="G1718" s="78" t="n"/>
      <c r="H1718" s="78" t="n"/>
      <c r="I1718" s="67">
        <f>IF($H1718="","",IFERROR(INDEX(Action_Status_Map!$B$5:$B$11,MATCH($H1718,Action_Status_Map!$A$5:$A$11,0)),""))</f>
        <v/>
      </c>
      <c r="J1718" s="82" t="n"/>
      <c r="K1718" s="82" t="n"/>
      <c r="L1718" s="82" t="n"/>
      <c r="M1718" s="83" t="n"/>
      <c r="N1718" s="83" t="n"/>
      <c r="O1718" s="66">
        <f>IF(OR($M1718="",$N1718=""),"",$N1718-$M1718)</f>
        <v/>
      </c>
      <c r="P1718" s="84">
        <f>IF($J1718="","",IF($L1718&lt;&gt;"",$L1718-$J1718,TODAY()-$J1718))</f>
        <v/>
      </c>
      <c r="Q1718" s="85">
        <f>IF(OR($K1718="",$H1718="Completed",$H1718="Cancelled"),"",IF(AND($K1718&lt;TODAY(),$H1718&lt;&gt;"Completed",$H1718&lt;&gt;"Cancelled"),"Overdue","On Track"))</f>
        <v/>
      </c>
      <c r="R1718" s="81" t="n"/>
      <c r="S1718" s="81">
        <f>IF($B1718="","",IFERROR(INDEX(Task_Tracker!$AA$5:$AA$1004,MATCH($B1718,Task_Tracker!$A$5:$A$1004,0)),""))</f>
        <v/>
      </c>
      <c r="T1718" s="81">
        <f>IF($B1718="","",IFERROR(INDEX(Task_Tracker!$AB$5:$AB$1004,MATCH($B1718,Task_Tracker!$A$5:$A$1004,0)),""))</f>
        <v/>
      </c>
      <c r="U1718" s="78">
        <f>IF($B1718="","",IFERROR(INDEX(Task_Tracker!$F$5:$F$1004,MATCH($B1718,Task_Tracker!$A$5:$A$1004,0)),""))</f>
        <v/>
      </c>
      <c r="V1718" s="78">
        <f>IF($B1718="","",IFERROR(INDEX(Task_Tracker!$I$5:$I$1004,MATCH($B1718,Task_Tracker!$A$5:$A$1004,0)),""))</f>
        <v/>
      </c>
      <c r="W1718" s="81">
        <f>IF(OR($D1718="",$B1718=""),"",$D1718&amp;" | "&amp;$B1718)</f>
        <v/>
      </c>
      <c r="X1718" s="85">
        <f>IF($K1718="","",TEXT($K1718,"yyyy-mm"))</f>
        <v/>
      </c>
      <c r="Y1718" s="81">
        <f>IF(OR($A1718="",$T1718=""),"","Included in Manager_Report")</f>
        <v/>
      </c>
    </row>
    <row r="1719" ht="15" customHeight="1" s="40">
      <c r="A1719" s="65">
        <f>IF(COUNTA(B1719:G1719)=0,"","STP-"&amp;TEXT(ROW()-4,"0000"))</f>
        <v/>
      </c>
      <c r="B1719" s="78" t="n"/>
      <c r="C1719" s="67">
        <f>IF($B1719="","",IFERROR(INDEX(Task_Tracker!$D$5:$D$1004,MATCH($B1719,Task_Tracker!$A$5:$A$1004,0)),""))</f>
        <v/>
      </c>
      <c r="D1719" s="67">
        <f>IF($B1719="","",IFERROR(INDEX(Task_Tracker!$B$5:$B$1004,MATCH($B1719,Task_Tracker!$A$5:$A$1004,0)),""))</f>
        <v/>
      </c>
      <c r="E1719" s="81" t="n"/>
      <c r="F1719" s="81" t="n"/>
      <c r="G1719" s="78" t="n"/>
      <c r="H1719" s="78" t="n"/>
      <c r="I1719" s="67">
        <f>IF($H1719="","",IFERROR(INDEX(Action_Status_Map!$B$5:$B$11,MATCH($H1719,Action_Status_Map!$A$5:$A$11,0)),""))</f>
        <v/>
      </c>
      <c r="J1719" s="82" t="n"/>
      <c r="K1719" s="82" t="n"/>
      <c r="L1719" s="82" t="n"/>
      <c r="M1719" s="83" t="n"/>
      <c r="N1719" s="83" t="n"/>
      <c r="O1719" s="66">
        <f>IF(OR($M1719="",$N1719=""),"",$N1719-$M1719)</f>
        <v/>
      </c>
      <c r="P1719" s="84">
        <f>IF($J1719="","",IF($L1719&lt;&gt;"",$L1719-$J1719,TODAY()-$J1719))</f>
        <v/>
      </c>
      <c r="Q1719" s="85">
        <f>IF(OR($K1719="",$H1719="Completed",$H1719="Cancelled"),"",IF(AND($K1719&lt;TODAY(),$H1719&lt;&gt;"Completed",$H1719&lt;&gt;"Cancelled"),"Overdue","On Track"))</f>
        <v/>
      </c>
      <c r="R1719" s="81" t="n"/>
      <c r="S1719" s="81">
        <f>IF($B1719="","",IFERROR(INDEX(Task_Tracker!$AA$5:$AA$1004,MATCH($B1719,Task_Tracker!$A$5:$A$1004,0)),""))</f>
        <v/>
      </c>
      <c r="T1719" s="81">
        <f>IF($B1719="","",IFERROR(INDEX(Task_Tracker!$AB$5:$AB$1004,MATCH($B1719,Task_Tracker!$A$5:$A$1004,0)),""))</f>
        <v/>
      </c>
      <c r="U1719" s="78">
        <f>IF($B1719="","",IFERROR(INDEX(Task_Tracker!$F$5:$F$1004,MATCH($B1719,Task_Tracker!$A$5:$A$1004,0)),""))</f>
        <v/>
      </c>
      <c r="V1719" s="78">
        <f>IF($B1719="","",IFERROR(INDEX(Task_Tracker!$I$5:$I$1004,MATCH($B1719,Task_Tracker!$A$5:$A$1004,0)),""))</f>
        <v/>
      </c>
      <c r="W1719" s="81">
        <f>IF(OR($D1719="",$B1719=""),"",$D1719&amp;" | "&amp;$B1719)</f>
        <v/>
      </c>
      <c r="X1719" s="85">
        <f>IF($K1719="","",TEXT($K1719,"yyyy-mm"))</f>
        <v/>
      </c>
      <c r="Y1719" s="81">
        <f>IF(OR($A1719="",$T1719=""),"","Included in Manager_Report")</f>
        <v/>
      </c>
    </row>
    <row r="1720" ht="15" customHeight="1" s="40">
      <c r="A1720" s="65">
        <f>IF(COUNTA(B1720:G1720)=0,"","STP-"&amp;TEXT(ROW()-4,"0000"))</f>
        <v/>
      </c>
      <c r="B1720" s="78" t="n"/>
      <c r="C1720" s="67">
        <f>IF($B1720="","",IFERROR(INDEX(Task_Tracker!$D$5:$D$1004,MATCH($B1720,Task_Tracker!$A$5:$A$1004,0)),""))</f>
        <v/>
      </c>
      <c r="D1720" s="67">
        <f>IF($B1720="","",IFERROR(INDEX(Task_Tracker!$B$5:$B$1004,MATCH($B1720,Task_Tracker!$A$5:$A$1004,0)),""))</f>
        <v/>
      </c>
      <c r="E1720" s="81" t="n"/>
      <c r="F1720" s="81" t="n"/>
      <c r="G1720" s="78" t="n"/>
      <c r="H1720" s="78" t="n"/>
      <c r="I1720" s="67">
        <f>IF($H1720="","",IFERROR(INDEX(Action_Status_Map!$B$5:$B$11,MATCH($H1720,Action_Status_Map!$A$5:$A$11,0)),""))</f>
        <v/>
      </c>
      <c r="J1720" s="82" t="n"/>
      <c r="K1720" s="82" t="n"/>
      <c r="L1720" s="82" t="n"/>
      <c r="M1720" s="83" t="n"/>
      <c r="N1720" s="83" t="n"/>
      <c r="O1720" s="66">
        <f>IF(OR($M1720="",$N1720=""),"",$N1720-$M1720)</f>
        <v/>
      </c>
      <c r="P1720" s="84">
        <f>IF($J1720="","",IF($L1720&lt;&gt;"",$L1720-$J1720,TODAY()-$J1720))</f>
        <v/>
      </c>
      <c r="Q1720" s="85">
        <f>IF(OR($K1720="",$H1720="Completed",$H1720="Cancelled"),"",IF(AND($K1720&lt;TODAY(),$H1720&lt;&gt;"Completed",$H1720&lt;&gt;"Cancelled"),"Overdue","On Track"))</f>
        <v/>
      </c>
      <c r="R1720" s="81" t="n"/>
      <c r="S1720" s="81">
        <f>IF($B1720="","",IFERROR(INDEX(Task_Tracker!$AA$5:$AA$1004,MATCH($B1720,Task_Tracker!$A$5:$A$1004,0)),""))</f>
        <v/>
      </c>
      <c r="T1720" s="81">
        <f>IF($B1720="","",IFERROR(INDEX(Task_Tracker!$AB$5:$AB$1004,MATCH($B1720,Task_Tracker!$A$5:$A$1004,0)),""))</f>
        <v/>
      </c>
      <c r="U1720" s="78">
        <f>IF($B1720="","",IFERROR(INDEX(Task_Tracker!$F$5:$F$1004,MATCH($B1720,Task_Tracker!$A$5:$A$1004,0)),""))</f>
        <v/>
      </c>
      <c r="V1720" s="78">
        <f>IF($B1720="","",IFERROR(INDEX(Task_Tracker!$I$5:$I$1004,MATCH($B1720,Task_Tracker!$A$5:$A$1004,0)),""))</f>
        <v/>
      </c>
      <c r="W1720" s="81">
        <f>IF(OR($D1720="",$B1720=""),"",$D1720&amp;" | "&amp;$B1720)</f>
        <v/>
      </c>
      <c r="X1720" s="85">
        <f>IF($K1720="","",TEXT($K1720,"yyyy-mm"))</f>
        <v/>
      </c>
      <c r="Y1720" s="81">
        <f>IF(OR($A1720="",$T1720=""),"","Included in Manager_Report")</f>
        <v/>
      </c>
    </row>
    <row r="1721" ht="15" customHeight="1" s="40">
      <c r="A1721" s="65">
        <f>IF(COUNTA(B1721:G1721)=0,"","STP-"&amp;TEXT(ROW()-4,"0000"))</f>
        <v/>
      </c>
      <c r="B1721" s="78" t="n"/>
      <c r="C1721" s="67">
        <f>IF($B1721="","",IFERROR(INDEX(Task_Tracker!$D$5:$D$1004,MATCH($B1721,Task_Tracker!$A$5:$A$1004,0)),""))</f>
        <v/>
      </c>
      <c r="D1721" s="67">
        <f>IF($B1721="","",IFERROR(INDEX(Task_Tracker!$B$5:$B$1004,MATCH($B1721,Task_Tracker!$A$5:$A$1004,0)),""))</f>
        <v/>
      </c>
      <c r="E1721" s="81" t="n"/>
      <c r="F1721" s="81" t="n"/>
      <c r="G1721" s="78" t="n"/>
      <c r="H1721" s="78" t="n"/>
      <c r="I1721" s="67">
        <f>IF($H1721="","",IFERROR(INDEX(Action_Status_Map!$B$5:$B$11,MATCH($H1721,Action_Status_Map!$A$5:$A$11,0)),""))</f>
        <v/>
      </c>
      <c r="J1721" s="82" t="n"/>
      <c r="K1721" s="82" t="n"/>
      <c r="L1721" s="82" t="n"/>
      <c r="M1721" s="83" t="n"/>
      <c r="N1721" s="83" t="n"/>
      <c r="O1721" s="66">
        <f>IF(OR($M1721="",$N1721=""),"",$N1721-$M1721)</f>
        <v/>
      </c>
      <c r="P1721" s="84">
        <f>IF($J1721="","",IF($L1721&lt;&gt;"",$L1721-$J1721,TODAY()-$J1721))</f>
        <v/>
      </c>
      <c r="Q1721" s="85">
        <f>IF(OR($K1721="",$H1721="Completed",$H1721="Cancelled"),"",IF(AND($K1721&lt;TODAY(),$H1721&lt;&gt;"Completed",$H1721&lt;&gt;"Cancelled"),"Overdue","On Track"))</f>
        <v/>
      </c>
      <c r="R1721" s="81" t="n"/>
      <c r="S1721" s="81">
        <f>IF($B1721="","",IFERROR(INDEX(Task_Tracker!$AA$5:$AA$1004,MATCH($B1721,Task_Tracker!$A$5:$A$1004,0)),""))</f>
        <v/>
      </c>
      <c r="T1721" s="81">
        <f>IF($B1721="","",IFERROR(INDEX(Task_Tracker!$AB$5:$AB$1004,MATCH($B1721,Task_Tracker!$A$5:$A$1004,0)),""))</f>
        <v/>
      </c>
      <c r="U1721" s="78">
        <f>IF($B1721="","",IFERROR(INDEX(Task_Tracker!$F$5:$F$1004,MATCH($B1721,Task_Tracker!$A$5:$A$1004,0)),""))</f>
        <v/>
      </c>
      <c r="V1721" s="78">
        <f>IF($B1721="","",IFERROR(INDEX(Task_Tracker!$I$5:$I$1004,MATCH($B1721,Task_Tracker!$A$5:$A$1004,0)),""))</f>
        <v/>
      </c>
      <c r="W1721" s="81">
        <f>IF(OR($D1721="",$B1721=""),"",$D1721&amp;" | "&amp;$B1721)</f>
        <v/>
      </c>
      <c r="X1721" s="85">
        <f>IF($K1721="","",TEXT($K1721,"yyyy-mm"))</f>
        <v/>
      </c>
      <c r="Y1721" s="81">
        <f>IF(OR($A1721="",$T1721=""),"","Included in Manager_Report")</f>
        <v/>
      </c>
    </row>
    <row r="1722" ht="15" customHeight="1" s="40">
      <c r="A1722" s="65">
        <f>IF(COUNTA(B1722:G1722)=0,"","STP-"&amp;TEXT(ROW()-4,"0000"))</f>
        <v/>
      </c>
      <c r="B1722" s="78" t="n"/>
      <c r="C1722" s="67">
        <f>IF($B1722="","",IFERROR(INDEX(Task_Tracker!$D$5:$D$1004,MATCH($B1722,Task_Tracker!$A$5:$A$1004,0)),""))</f>
        <v/>
      </c>
      <c r="D1722" s="67">
        <f>IF($B1722="","",IFERROR(INDEX(Task_Tracker!$B$5:$B$1004,MATCH($B1722,Task_Tracker!$A$5:$A$1004,0)),""))</f>
        <v/>
      </c>
      <c r="E1722" s="81" t="n"/>
      <c r="F1722" s="81" t="n"/>
      <c r="G1722" s="78" t="n"/>
      <c r="H1722" s="78" t="n"/>
      <c r="I1722" s="67">
        <f>IF($H1722="","",IFERROR(INDEX(Action_Status_Map!$B$5:$B$11,MATCH($H1722,Action_Status_Map!$A$5:$A$11,0)),""))</f>
        <v/>
      </c>
      <c r="J1722" s="82" t="n"/>
      <c r="K1722" s="82" t="n"/>
      <c r="L1722" s="82" t="n"/>
      <c r="M1722" s="83" t="n"/>
      <c r="N1722" s="83" t="n"/>
      <c r="O1722" s="66">
        <f>IF(OR($M1722="",$N1722=""),"",$N1722-$M1722)</f>
        <v/>
      </c>
      <c r="P1722" s="84">
        <f>IF($J1722="","",IF($L1722&lt;&gt;"",$L1722-$J1722,TODAY()-$J1722))</f>
        <v/>
      </c>
      <c r="Q1722" s="85">
        <f>IF(OR($K1722="",$H1722="Completed",$H1722="Cancelled"),"",IF(AND($K1722&lt;TODAY(),$H1722&lt;&gt;"Completed",$H1722&lt;&gt;"Cancelled"),"Overdue","On Track"))</f>
        <v/>
      </c>
      <c r="R1722" s="81" t="n"/>
      <c r="S1722" s="81">
        <f>IF($B1722="","",IFERROR(INDEX(Task_Tracker!$AA$5:$AA$1004,MATCH($B1722,Task_Tracker!$A$5:$A$1004,0)),""))</f>
        <v/>
      </c>
      <c r="T1722" s="81">
        <f>IF($B1722="","",IFERROR(INDEX(Task_Tracker!$AB$5:$AB$1004,MATCH($B1722,Task_Tracker!$A$5:$A$1004,0)),""))</f>
        <v/>
      </c>
      <c r="U1722" s="78">
        <f>IF($B1722="","",IFERROR(INDEX(Task_Tracker!$F$5:$F$1004,MATCH($B1722,Task_Tracker!$A$5:$A$1004,0)),""))</f>
        <v/>
      </c>
      <c r="V1722" s="78">
        <f>IF($B1722="","",IFERROR(INDEX(Task_Tracker!$I$5:$I$1004,MATCH($B1722,Task_Tracker!$A$5:$A$1004,0)),""))</f>
        <v/>
      </c>
      <c r="W1722" s="81">
        <f>IF(OR($D1722="",$B1722=""),"",$D1722&amp;" | "&amp;$B1722)</f>
        <v/>
      </c>
      <c r="X1722" s="85">
        <f>IF($K1722="","",TEXT($K1722,"yyyy-mm"))</f>
        <v/>
      </c>
      <c r="Y1722" s="81">
        <f>IF(OR($A1722="",$T1722=""),"","Included in Manager_Report")</f>
        <v/>
      </c>
    </row>
    <row r="1723" ht="15" customHeight="1" s="40">
      <c r="A1723" s="65">
        <f>IF(COUNTA(B1723:G1723)=0,"","STP-"&amp;TEXT(ROW()-4,"0000"))</f>
        <v/>
      </c>
      <c r="B1723" s="78" t="n"/>
      <c r="C1723" s="67">
        <f>IF($B1723="","",IFERROR(INDEX(Task_Tracker!$D$5:$D$1004,MATCH($B1723,Task_Tracker!$A$5:$A$1004,0)),""))</f>
        <v/>
      </c>
      <c r="D1723" s="67">
        <f>IF($B1723="","",IFERROR(INDEX(Task_Tracker!$B$5:$B$1004,MATCH($B1723,Task_Tracker!$A$5:$A$1004,0)),""))</f>
        <v/>
      </c>
      <c r="E1723" s="81" t="n"/>
      <c r="F1723" s="81" t="n"/>
      <c r="G1723" s="78" t="n"/>
      <c r="H1723" s="78" t="n"/>
      <c r="I1723" s="67">
        <f>IF($H1723="","",IFERROR(INDEX(Action_Status_Map!$B$5:$B$11,MATCH($H1723,Action_Status_Map!$A$5:$A$11,0)),""))</f>
        <v/>
      </c>
      <c r="J1723" s="82" t="n"/>
      <c r="K1723" s="82" t="n"/>
      <c r="L1723" s="82" t="n"/>
      <c r="M1723" s="83" t="n"/>
      <c r="N1723" s="83" t="n"/>
      <c r="O1723" s="66">
        <f>IF(OR($M1723="",$N1723=""),"",$N1723-$M1723)</f>
        <v/>
      </c>
      <c r="P1723" s="84">
        <f>IF($J1723="","",IF($L1723&lt;&gt;"",$L1723-$J1723,TODAY()-$J1723))</f>
        <v/>
      </c>
      <c r="Q1723" s="85">
        <f>IF(OR($K1723="",$H1723="Completed",$H1723="Cancelled"),"",IF(AND($K1723&lt;TODAY(),$H1723&lt;&gt;"Completed",$H1723&lt;&gt;"Cancelled"),"Overdue","On Track"))</f>
        <v/>
      </c>
      <c r="R1723" s="81" t="n"/>
      <c r="S1723" s="81">
        <f>IF($B1723="","",IFERROR(INDEX(Task_Tracker!$AA$5:$AA$1004,MATCH($B1723,Task_Tracker!$A$5:$A$1004,0)),""))</f>
        <v/>
      </c>
      <c r="T1723" s="81">
        <f>IF($B1723="","",IFERROR(INDEX(Task_Tracker!$AB$5:$AB$1004,MATCH($B1723,Task_Tracker!$A$5:$A$1004,0)),""))</f>
        <v/>
      </c>
      <c r="U1723" s="78">
        <f>IF($B1723="","",IFERROR(INDEX(Task_Tracker!$F$5:$F$1004,MATCH($B1723,Task_Tracker!$A$5:$A$1004,0)),""))</f>
        <v/>
      </c>
      <c r="V1723" s="78">
        <f>IF($B1723="","",IFERROR(INDEX(Task_Tracker!$I$5:$I$1004,MATCH($B1723,Task_Tracker!$A$5:$A$1004,0)),""))</f>
        <v/>
      </c>
      <c r="W1723" s="81">
        <f>IF(OR($D1723="",$B1723=""),"",$D1723&amp;" | "&amp;$B1723)</f>
        <v/>
      </c>
      <c r="X1723" s="85">
        <f>IF($K1723="","",TEXT($K1723,"yyyy-mm"))</f>
        <v/>
      </c>
      <c r="Y1723" s="81">
        <f>IF(OR($A1723="",$T1723=""),"","Included in Manager_Report")</f>
        <v/>
      </c>
    </row>
    <row r="1724" ht="15" customHeight="1" s="40">
      <c r="A1724" s="65">
        <f>IF(COUNTA(B1724:G1724)=0,"","STP-"&amp;TEXT(ROW()-4,"0000"))</f>
        <v/>
      </c>
      <c r="B1724" s="78" t="n"/>
      <c r="C1724" s="67">
        <f>IF($B1724="","",IFERROR(INDEX(Task_Tracker!$D$5:$D$1004,MATCH($B1724,Task_Tracker!$A$5:$A$1004,0)),""))</f>
        <v/>
      </c>
      <c r="D1724" s="67">
        <f>IF($B1724="","",IFERROR(INDEX(Task_Tracker!$B$5:$B$1004,MATCH($B1724,Task_Tracker!$A$5:$A$1004,0)),""))</f>
        <v/>
      </c>
      <c r="E1724" s="81" t="n"/>
      <c r="F1724" s="81" t="n"/>
      <c r="G1724" s="78" t="n"/>
      <c r="H1724" s="78" t="n"/>
      <c r="I1724" s="67">
        <f>IF($H1724="","",IFERROR(INDEX(Action_Status_Map!$B$5:$B$11,MATCH($H1724,Action_Status_Map!$A$5:$A$11,0)),""))</f>
        <v/>
      </c>
      <c r="J1724" s="82" t="n"/>
      <c r="K1724" s="82" t="n"/>
      <c r="L1724" s="82" t="n"/>
      <c r="M1724" s="83" t="n"/>
      <c r="N1724" s="83" t="n"/>
      <c r="O1724" s="66">
        <f>IF(OR($M1724="",$N1724=""),"",$N1724-$M1724)</f>
        <v/>
      </c>
      <c r="P1724" s="84">
        <f>IF($J1724="","",IF($L1724&lt;&gt;"",$L1724-$J1724,TODAY()-$J1724))</f>
        <v/>
      </c>
      <c r="Q1724" s="85">
        <f>IF(OR($K1724="",$H1724="Completed",$H1724="Cancelled"),"",IF(AND($K1724&lt;TODAY(),$H1724&lt;&gt;"Completed",$H1724&lt;&gt;"Cancelled"),"Overdue","On Track"))</f>
        <v/>
      </c>
      <c r="R1724" s="81" t="n"/>
      <c r="S1724" s="81">
        <f>IF($B1724="","",IFERROR(INDEX(Task_Tracker!$AA$5:$AA$1004,MATCH($B1724,Task_Tracker!$A$5:$A$1004,0)),""))</f>
        <v/>
      </c>
      <c r="T1724" s="81">
        <f>IF($B1724="","",IFERROR(INDEX(Task_Tracker!$AB$5:$AB$1004,MATCH($B1724,Task_Tracker!$A$5:$A$1004,0)),""))</f>
        <v/>
      </c>
      <c r="U1724" s="78">
        <f>IF($B1724="","",IFERROR(INDEX(Task_Tracker!$F$5:$F$1004,MATCH($B1724,Task_Tracker!$A$5:$A$1004,0)),""))</f>
        <v/>
      </c>
      <c r="V1724" s="78">
        <f>IF($B1724="","",IFERROR(INDEX(Task_Tracker!$I$5:$I$1004,MATCH($B1724,Task_Tracker!$A$5:$A$1004,0)),""))</f>
        <v/>
      </c>
      <c r="W1724" s="81">
        <f>IF(OR($D1724="",$B1724=""),"",$D1724&amp;" | "&amp;$B1724)</f>
        <v/>
      </c>
      <c r="X1724" s="85">
        <f>IF($K1724="","",TEXT($K1724,"yyyy-mm"))</f>
        <v/>
      </c>
      <c r="Y1724" s="81">
        <f>IF(OR($A1724="",$T1724=""),"","Included in Manager_Report")</f>
        <v/>
      </c>
    </row>
    <row r="1725" ht="15" customHeight="1" s="40">
      <c r="A1725" s="65">
        <f>IF(COUNTA(B1725:G1725)=0,"","STP-"&amp;TEXT(ROW()-4,"0000"))</f>
        <v/>
      </c>
      <c r="B1725" s="78" t="n"/>
      <c r="C1725" s="67">
        <f>IF($B1725="","",IFERROR(INDEX(Task_Tracker!$D$5:$D$1004,MATCH($B1725,Task_Tracker!$A$5:$A$1004,0)),""))</f>
        <v/>
      </c>
      <c r="D1725" s="67">
        <f>IF($B1725="","",IFERROR(INDEX(Task_Tracker!$B$5:$B$1004,MATCH($B1725,Task_Tracker!$A$5:$A$1004,0)),""))</f>
        <v/>
      </c>
      <c r="E1725" s="81" t="n"/>
      <c r="F1725" s="81" t="n"/>
      <c r="G1725" s="78" t="n"/>
      <c r="H1725" s="78" t="n"/>
      <c r="I1725" s="67">
        <f>IF($H1725="","",IFERROR(INDEX(Action_Status_Map!$B$5:$B$11,MATCH($H1725,Action_Status_Map!$A$5:$A$11,0)),""))</f>
        <v/>
      </c>
      <c r="J1725" s="82" t="n"/>
      <c r="K1725" s="82" t="n"/>
      <c r="L1725" s="82" t="n"/>
      <c r="M1725" s="83" t="n"/>
      <c r="N1725" s="83" t="n"/>
      <c r="O1725" s="66">
        <f>IF(OR($M1725="",$N1725=""),"",$N1725-$M1725)</f>
        <v/>
      </c>
      <c r="P1725" s="84">
        <f>IF($J1725="","",IF($L1725&lt;&gt;"",$L1725-$J1725,TODAY()-$J1725))</f>
        <v/>
      </c>
      <c r="Q1725" s="85">
        <f>IF(OR($K1725="",$H1725="Completed",$H1725="Cancelled"),"",IF(AND($K1725&lt;TODAY(),$H1725&lt;&gt;"Completed",$H1725&lt;&gt;"Cancelled"),"Overdue","On Track"))</f>
        <v/>
      </c>
      <c r="R1725" s="81" t="n"/>
      <c r="S1725" s="81">
        <f>IF($B1725="","",IFERROR(INDEX(Task_Tracker!$AA$5:$AA$1004,MATCH($B1725,Task_Tracker!$A$5:$A$1004,0)),""))</f>
        <v/>
      </c>
      <c r="T1725" s="81">
        <f>IF($B1725="","",IFERROR(INDEX(Task_Tracker!$AB$5:$AB$1004,MATCH($B1725,Task_Tracker!$A$5:$A$1004,0)),""))</f>
        <v/>
      </c>
      <c r="U1725" s="78">
        <f>IF($B1725="","",IFERROR(INDEX(Task_Tracker!$F$5:$F$1004,MATCH($B1725,Task_Tracker!$A$5:$A$1004,0)),""))</f>
        <v/>
      </c>
      <c r="V1725" s="78">
        <f>IF($B1725="","",IFERROR(INDEX(Task_Tracker!$I$5:$I$1004,MATCH($B1725,Task_Tracker!$A$5:$A$1004,0)),""))</f>
        <v/>
      </c>
      <c r="W1725" s="81">
        <f>IF(OR($D1725="",$B1725=""),"",$D1725&amp;" | "&amp;$B1725)</f>
        <v/>
      </c>
      <c r="X1725" s="85">
        <f>IF($K1725="","",TEXT($K1725,"yyyy-mm"))</f>
        <v/>
      </c>
      <c r="Y1725" s="81">
        <f>IF(OR($A1725="",$T1725=""),"","Included in Manager_Report")</f>
        <v/>
      </c>
    </row>
    <row r="1726" ht="15" customHeight="1" s="40">
      <c r="A1726" s="65">
        <f>IF(COUNTA(B1726:G1726)=0,"","STP-"&amp;TEXT(ROW()-4,"0000"))</f>
        <v/>
      </c>
      <c r="B1726" s="78" t="n"/>
      <c r="C1726" s="67">
        <f>IF($B1726="","",IFERROR(INDEX(Task_Tracker!$D$5:$D$1004,MATCH($B1726,Task_Tracker!$A$5:$A$1004,0)),""))</f>
        <v/>
      </c>
      <c r="D1726" s="67">
        <f>IF($B1726="","",IFERROR(INDEX(Task_Tracker!$B$5:$B$1004,MATCH($B1726,Task_Tracker!$A$5:$A$1004,0)),""))</f>
        <v/>
      </c>
      <c r="E1726" s="81" t="n"/>
      <c r="F1726" s="81" t="n"/>
      <c r="G1726" s="78" t="n"/>
      <c r="H1726" s="78" t="n"/>
      <c r="I1726" s="67">
        <f>IF($H1726="","",IFERROR(INDEX(Action_Status_Map!$B$5:$B$11,MATCH($H1726,Action_Status_Map!$A$5:$A$11,0)),""))</f>
        <v/>
      </c>
      <c r="J1726" s="82" t="n"/>
      <c r="K1726" s="82" t="n"/>
      <c r="L1726" s="82" t="n"/>
      <c r="M1726" s="83" t="n"/>
      <c r="N1726" s="83" t="n"/>
      <c r="O1726" s="66">
        <f>IF(OR($M1726="",$N1726=""),"",$N1726-$M1726)</f>
        <v/>
      </c>
      <c r="P1726" s="84">
        <f>IF($J1726="","",IF($L1726&lt;&gt;"",$L1726-$J1726,TODAY()-$J1726))</f>
        <v/>
      </c>
      <c r="Q1726" s="85">
        <f>IF(OR($K1726="",$H1726="Completed",$H1726="Cancelled"),"",IF(AND($K1726&lt;TODAY(),$H1726&lt;&gt;"Completed",$H1726&lt;&gt;"Cancelled"),"Overdue","On Track"))</f>
        <v/>
      </c>
      <c r="R1726" s="81" t="n"/>
      <c r="S1726" s="81">
        <f>IF($B1726="","",IFERROR(INDEX(Task_Tracker!$AA$5:$AA$1004,MATCH($B1726,Task_Tracker!$A$5:$A$1004,0)),""))</f>
        <v/>
      </c>
      <c r="T1726" s="81">
        <f>IF($B1726="","",IFERROR(INDEX(Task_Tracker!$AB$5:$AB$1004,MATCH($B1726,Task_Tracker!$A$5:$A$1004,0)),""))</f>
        <v/>
      </c>
      <c r="U1726" s="78">
        <f>IF($B1726="","",IFERROR(INDEX(Task_Tracker!$F$5:$F$1004,MATCH($B1726,Task_Tracker!$A$5:$A$1004,0)),""))</f>
        <v/>
      </c>
      <c r="V1726" s="78">
        <f>IF($B1726="","",IFERROR(INDEX(Task_Tracker!$I$5:$I$1004,MATCH($B1726,Task_Tracker!$A$5:$A$1004,0)),""))</f>
        <v/>
      </c>
      <c r="W1726" s="81">
        <f>IF(OR($D1726="",$B1726=""),"",$D1726&amp;" | "&amp;$B1726)</f>
        <v/>
      </c>
      <c r="X1726" s="85">
        <f>IF($K1726="","",TEXT($K1726,"yyyy-mm"))</f>
        <v/>
      </c>
      <c r="Y1726" s="81">
        <f>IF(OR($A1726="",$T1726=""),"","Included in Manager_Report")</f>
        <v/>
      </c>
    </row>
    <row r="1727" ht="15" customHeight="1" s="40">
      <c r="A1727" s="65">
        <f>IF(COUNTA(B1727:G1727)=0,"","STP-"&amp;TEXT(ROW()-4,"0000"))</f>
        <v/>
      </c>
      <c r="B1727" s="78" t="n"/>
      <c r="C1727" s="67">
        <f>IF($B1727="","",IFERROR(INDEX(Task_Tracker!$D$5:$D$1004,MATCH($B1727,Task_Tracker!$A$5:$A$1004,0)),""))</f>
        <v/>
      </c>
      <c r="D1727" s="67">
        <f>IF($B1727="","",IFERROR(INDEX(Task_Tracker!$B$5:$B$1004,MATCH($B1727,Task_Tracker!$A$5:$A$1004,0)),""))</f>
        <v/>
      </c>
      <c r="E1727" s="81" t="n"/>
      <c r="F1727" s="81" t="n"/>
      <c r="G1727" s="78" t="n"/>
      <c r="H1727" s="78" t="n"/>
      <c r="I1727" s="67">
        <f>IF($H1727="","",IFERROR(INDEX(Action_Status_Map!$B$5:$B$11,MATCH($H1727,Action_Status_Map!$A$5:$A$11,0)),""))</f>
        <v/>
      </c>
      <c r="J1727" s="82" t="n"/>
      <c r="K1727" s="82" t="n"/>
      <c r="L1727" s="82" t="n"/>
      <c r="M1727" s="83" t="n"/>
      <c r="N1727" s="83" t="n"/>
      <c r="O1727" s="66">
        <f>IF(OR($M1727="",$N1727=""),"",$N1727-$M1727)</f>
        <v/>
      </c>
      <c r="P1727" s="84">
        <f>IF($J1727="","",IF($L1727&lt;&gt;"",$L1727-$J1727,TODAY()-$J1727))</f>
        <v/>
      </c>
      <c r="Q1727" s="85">
        <f>IF(OR($K1727="",$H1727="Completed",$H1727="Cancelled"),"",IF(AND($K1727&lt;TODAY(),$H1727&lt;&gt;"Completed",$H1727&lt;&gt;"Cancelled"),"Overdue","On Track"))</f>
        <v/>
      </c>
      <c r="R1727" s="81" t="n"/>
      <c r="S1727" s="81">
        <f>IF($B1727="","",IFERROR(INDEX(Task_Tracker!$AA$5:$AA$1004,MATCH($B1727,Task_Tracker!$A$5:$A$1004,0)),""))</f>
        <v/>
      </c>
      <c r="T1727" s="81">
        <f>IF($B1727="","",IFERROR(INDEX(Task_Tracker!$AB$5:$AB$1004,MATCH($B1727,Task_Tracker!$A$5:$A$1004,0)),""))</f>
        <v/>
      </c>
      <c r="U1727" s="78">
        <f>IF($B1727="","",IFERROR(INDEX(Task_Tracker!$F$5:$F$1004,MATCH($B1727,Task_Tracker!$A$5:$A$1004,0)),""))</f>
        <v/>
      </c>
      <c r="V1727" s="78">
        <f>IF($B1727="","",IFERROR(INDEX(Task_Tracker!$I$5:$I$1004,MATCH($B1727,Task_Tracker!$A$5:$A$1004,0)),""))</f>
        <v/>
      </c>
      <c r="W1727" s="81">
        <f>IF(OR($D1727="",$B1727=""),"",$D1727&amp;" | "&amp;$B1727)</f>
        <v/>
      </c>
      <c r="X1727" s="85">
        <f>IF($K1727="","",TEXT($K1727,"yyyy-mm"))</f>
        <v/>
      </c>
      <c r="Y1727" s="81">
        <f>IF(OR($A1727="",$T1727=""),"","Included in Manager_Report")</f>
        <v/>
      </c>
    </row>
    <row r="1728" ht="15" customHeight="1" s="40">
      <c r="A1728" s="65">
        <f>IF(COUNTA(B1728:G1728)=0,"","STP-"&amp;TEXT(ROW()-4,"0000"))</f>
        <v/>
      </c>
      <c r="B1728" s="78" t="n"/>
      <c r="C1728" s="67">
        <f>IF($B1728="","",IFERROR(INDEX(Task_Tracker!$D$5:$D$1004,MATCH($B1728,Task_Tracker!$A$5:$A$1004,0)),""))</f>
        <v/>
      </c>
      <c r="D1728" s="67">
        <f>IF($B1728="","",IFERROR(INDEX(Task_Tracker!$B$5:$B$1004,MATCH($B1728,Task_Tracker!$A$5:$A$1004,0)),""))</f>
        <v/>
      </c>
      <c r="E1728" s="81" t="n"/>
      <c r="F1728" s="81" t="n"/>
      <c r="G1728" s="78" t="n"/>
      <c r="H1728" s="78" t="n"/>
      <c r="I1728" s="67">
        <f>IF($H1728="","",IFERROR(INDEX(Action_Status_Map!$B$5:$B$11,MATCH($H1728,Action_Status_Map!$A$5:$A$11,0)),""))</f>
        <v/>
      </c>
      <c r="J1728" s="82" t="n"/>
      <c r="K1728" s="82" t="n"/>
      <c r="L1728" s="82" t="n"/>
      <c r="M1728" s="83" t="n"/>
      <c r="N1728" s="83" t="n"/>
      <c r="O1728" s="66">
        <f>IF(OR($M1728="",$N1728=""),"",$N1728-$M1728)</f>
        <v/>
      </c>
      <c r="P1728" s="84">
        <f>IF($J1728="","",IF($L1728&lt;&gt;"",$L1728-$J1728,TODAY()-$J1728))</f>
        <v/>
      </c>
      <c r="Q1728" s="85">
        <f>IF(OR($K1728="",$H1728="Completed",$H1728="Cancelled"),"",IF(AND($K1728&lt;TODAY(),$H1728&lt;&gt;"Completed",$H1728&lt;&gt;"Cancelled"),"Overdue","On Track"))</f>
        <v/>
      </c>
      <c r="R1728" s="81" t="n"/>
      <c r="S1728" s="81">
        <f>IF($B1728="","",IFERROR(INDEX(Task_Tracker!$AA$5:$AA$1004,MATCH($B1728,Task_Tracker!$A$5:$A$1004,0)),""))</f>
        <v/>
      </c>
      <c r="T1728" s="81">
        <f>IF($B1728="","",IFERROR(INDEX(Task_Tracker!$AB$5:$AB$1004,MATCH($B1728,Task_Tracker!$A$5:$A$1004,0)),""))</f>
        <v/>
      </c>
      <c r="U1728" s="78">
        <f>IF($B1728="","",IFERROR(INDEX(Task_Tracker!$F$5:$F$1004,MATCH($B1728,Task_Tracker!$A$5:$A$1004,0)),""))</f>
        <v/>
      </c>
      <c r="V1728" s="78">
        <f>IF($B1728="","",IFERROR(INDEX(Task_Tracker!$I$5:$I$1004,MATCH($B1728,Task_Tracker!$A$5:$A$1004,0)),""))</f>
        <v/>
      </c>
      <c r="W1728" s="81">
        <f>IF(OR($D1728="",$B1728=""),"",$D1728&amp;" | "&amp;$B1728)</f>
        <v/>
      </c>
      <c r="X1728" s="85">
        <f>IF($K1728="","",TEXT($K1728,"yyyy-mm"))</f>
        <v/>
      </c>
      <c r="Y1728" s="81">
        <f>IF(OR($A1728="",$T1728=""),"","Included in Manager_Report")</f>
        <v/>
      </c>
    </row>
    <row r="1729" ht="15" customHeight="1" s="40">
      <c r="A1729" s="65">
        <f>IF(COUNTA(B1729:G1729)=0,"","STP-"&amp;TEXT(ROW()-4,"0000"))</f>
        <v/>
      </c>
      <c r="B1729" s="78" t="n"/>
      <c r="C1729" s="67">
        <f>IF($B1729="","",IFERROR(INDEX(Task_Tracker!$D$5:$D$1004,MATCH($B1729,Task_Tracker!$A$5:$A$1004,0)),""))</f>
        <v/>
      </c>
      <c r="D1729" s="67">
        <f>IF($B1729="","",IFERROR(INDEX(Task_Tracker!$B$5:$B$1004,MATCH($B1729,Task_Tracker!$A$5:$A$1004,0)),""))</f>
        <v/>
      </c>
      <c r="E1729" s="81" t="n"/>
      <c r="F1729" s="81" t="n"/>
      <c r="G1729" s="78" t="n"/>
      <c r="H1729" s="78" t="n"/>
      <c r="I1729" s="67">
        <f>IF($H1729="","",IFERROR(INDEX(Action_Status_Map!$B$5:$B$11,MATCH($H1729,Action_Status_Map!$A$5:$A$11,0)),""))</f>
        <v/>
      </c>
      <c r="J1729" s="82" t="n"/>
      <c r="K1729" s="82" t="n"/>
      <c r="L1729" s="82" t="n"/>
      <c r="M1729" s="83" t="n"/>
      <c r="N1729" s="83" t="n"/>
      <c r="O1729" s="66">
        <f>IF(OR($M1729="",$N1729=""),"",$N1729-$M1729)</f>
        <v/>
      </c>
      <c r="P1729" s="84">
        <f>IF($J1729="","",IF($L1729&lt;&gt;"",$L1729-$J1729,TODAY()-$J1729))</f>
        <v/>
      </c>
      <c r="Q1729" s="85">
        <f>IF(OR($K1729="",$H1729="Completed",$H1729="Cancelled"),"",IF(AND($K1729&lt;TODAY(),$H1729&lt;&gt;"Completed",$H1729&lt;&gt;"Cancelled"),"Overdue","On Track"))</f>
        <v/>
      </c>
      <c r="R1729" s="81" t="n"/>
      <c r="S1729" s="81">
        <f>IF($B1729="","",IFERROR(INDEX(Task_Tracker!$AA$5:$AA$1004,MATCH($B1729,Task_Tracker!$A$5:$A$1004,0)),""))</f>
        <v/>
      </c>
      <c r="T1729" s="81">
        <f>IF($B1729="","",IFERROR(INDEX(Task_Tracker!$AB$5:$AB$1004,MATCH($B1729,Task_Tracker!$A$5:$A$1004,0)),""))</f>
        <v/>
      </c>
      <c r="U1729" s="78">
        <f>IF($B1729="","",IFERROR(INDEX(Task_Tracker!$F$5:$F$1004,MATCH($B1729,Task_Tracker!$A$5:$A$1004,0)),""))</f>
        <v/>
      </c>
      <c r="V1729" s="78">
        <f>IF($B1729="","",IFERROR(INDEX(Task_Tracker!$I$5:$I$1004,MATCH($B1729,Task_Tracker!$A$5:$A$1004,0)),""))</f>
        <v/>
      </c>
      <c r="W1729" s="81">
        <f>IF(OR($D1729="",$B1729=""),"",$D1729&amp;" | "&amp;$B1729)</f>
        <v/>
      </c>
      <c r="X1729" s="85">
        <f>IF($K1729="","",TEXT($K1729,"yyyy-mm"))</f>
        <v/>
      </c>
      <c r="Y1729" s="81">
        <f>IF(OR($A1729="",$T1729=""),"","Included in Manager_Report")</f>
        <v/>
      </c>
    </row>
    <row r="1730" ht="15" customHeight="1" s="40">
      <c r="A1730" s="65">
        <f>IF(COUNTA(B1730:G1730)=0,"","STP-"&amp;TEXT(ROW()-4,"0000"))</f>
        <v/>
      </c>
      <c r="B1730" s="78" t="n"/>
      <c r="C1730" s="67">
        <f>IF($B1730="","",IFERROR(INDEX(Task_Tracker!$D$5:$D$1004,MATCH($B1730,Task_Tracker!$A$5:$A$1004,0)),""))</f>
        <v/>
      </c>
      <c r="D1730" s="67">
        <f>IF($B1730="","",IFERROR(INDEX(Task_Tracker!$B$5:$B$1004,MATCH($B1730,Task_Tracker!$A$5:$A$1004,0)),""))</f>
        <v/>
      </c>
      <c r="E1730" s="81" t="n"/>
      <c r="F1730" s="81" t="n"/>
      <c r="G1730" s="78" t="n"/>
      <c r="H1730" s="78" t="n"/>
      <c r="I1730" s="67">
        <f>IF($H1730="","",IFERROR(INDEX(Action_Status_Map!$B$5:$B$11,MATCH($H1730,Action_Status_Map!$A$5:$A$11,0)),""))</f>
        <v/>
      </c>
      <c r="J1730" s="82" t="n"/>
      <c r="K1730" s="82" t="n"/>
      <c r="L1730" s="82" t="n"/>
      <c r="M1730" s="83" t="n"/>
      <c r="N1730" s="83" t="n"/>
      <c r="O1730" s="66">
        <f>IF(OR($M1730="",$N1730=""),"",$N1730-$M1730)</f>
        <v/>
      </c>
      <c r="P1730" s="84">
        <f>IF($J1730="","",IF($L1730&lt;&gt;"",$L1730-$J1730,TODAY()-$J1730))</f>
        <v/>
      </c>
      <c r="Q1730" s="85">
        <f>IF(OR($K1730="",$H1730="Completed",$H1730="Cancelled"),"",IF(AND($K1730&lt;TODAY(),$H1730&lt;&gt;"Completed",$H1730&lt;&gt;"Cancelled"),"Overdue","On Track"))</f>
        <v/>
      </c>
      <c r="R1730" s="81" t="n"/>
      <c r="S1730" s="81">
        <f>IF($B1730="","",IFERROR(INDEX(Task_Tracker!$AA$5:$AA$1004,MATCH($B1730,Task_Tracker!$A$5:$A$1004,0)),""))</f>
        <v/>
      </c>
      <c r="T1730" s="81">
        <f>IF($B1730="","",IFERROR(INDEX(Task_Tracker!$AB$5:$AB$1004,MATCH($B1730,Task_Tracker!$A$5:$A$1004,0)),""))</f>
        <v/>
      </c>
      <c r="U1730" s="78">
        <f>IF($B1730="","",IFERROR(INDEX(Task_Tracker!$F$5:$F$1004,MATCH($B1730,Task_Tracker!$A$5:$A$1004,0)),""))</f>
        <v/>
      </c>
      <c r="V1730" s="78">
        <f>IF($B1730="","",IFERROR(INDEX(Task_Tracker!$I$5:$I$1004,MATCH($B1730,Task_Tracker!$A$5:$A$1004,0)),""))</f>
        <v/>
      </c>
      <c r="W1730" s="81">
        <f>IF(OR($D1730="",$B1730=""),"",$D1730&amp;" | "&amp;$B1730)</f>
        <v/>
      </c>
      <c r="X1730" s="85">
        <f>IF($K1730="","",TEXT($K1730,"yyyy-mm"))</f>
        <v/>
      </c>
      <c r="Y1730" s="81">
        <f>IF(OR($A1730="",$T1730=""),"","Included in Manager_Report")</f>
        <v/>
      </c>
    </row>
    <row r="1731" ht="15" customHeight="1" s="40">
      <c r="A1731" s="65">
        <f>IF(COUNTA(B1731:G1731)=0,"","STP-"&amp;TEXT(ROW()-4,"0000"))</f>
        <v/>
      </c>
      <c r="B1731" s="78" t="n"/>
      <c r="C1731" s="67">
        <f>IF($B1731="","",IFERROR(INDEX(Task_Tracker!$D$5:$D$1004,MATCH($B1731,Task_Tracker!$A$5:$A$1004,0)),""))</f>
        <v/>
      </c>
      <c r="D1731" s="67">
        <f>IF($B1731="","",IFERROR(INDEX(Task_Tracker!$B$5:$B$1004,MATCH($B1731,Task_Tracker!$A$5:$A$1004,0)),""))</f>
        <v/>
      </c>
      <c r="E1731" s="81" t="n"/>
      <c r="F1731" s="81" t="n"/>
      <c r="G1731" s="78" t="n"/>
      <c r="H1731" s="78" t="n"/>
      <c r="I1731" s="67">
        <f>IF($H1731="","",IFERROR(INDEX(Action_Status_Map!$B$5:$B$11,MATCH($H1731,Action_Status_Map!$A$5:$A$11,0)),""))</f>
        <v/>
      </c>
      <c r="J1731" s="82" t="n"/>
      <c r="K1731" s="82" t="n"/>
      <c r="L1731" s="82" t="n"/>
      <c r="M1731" s="83" t="n"/>
      <c r="N1731" s="83" t="n"/>
      <c r="O1731" s="66">
        <f>IF(OR($M1731="",$N1731=""),"",$N1731-$M1731)</f>
        <v/>
      </c>
      <c r="P1731" s="84">
        <f>IF($J1731="","",IF($L1731&lt;&gt;"",$L1731-$J1731,TODAY()-$J1731))</f>
        <v/>
      </c>
      <c r="Q1731" s="85">
        <f>IF(OR($K1731="",$H1731="Completed",$H1731="Cancelled"),"",IF(AND($K1731&lt;TODAY(),$H1731&lt;&gt;"Completed",$H1731&lt;&gt;"Cancelled"),"Overdue","On Track"))</f>
        <v/>
      </c>
      <c r="R1731" s="81" t="n"/>
      <c r="S1731" s="81">
        <f>IF($B1731="","",IFERROR(INDEX(Task_Tracker!$AA$5:$AA$1004,MATCH($B1731,Task_Tracker!$A$5:$A$1004,0)),""))</f>
        <v/>
      </c>
      <c r="T1731" s="81">
        <f>IF($B1731="","",IFERROR(INDEX(Task_Tracker!$AB$5:$AB$1004,MATCH($B1731,Task_Tracker!$A$5:$A$1004,0)),""))</f>
        <v/>
      </c>
      <c r="U1731" s="78">
        <f>IF($B1731="","",IFERROR(INDEX(Task_Tracker!$F$5:$F$1004,MATCH($B1731,Task_Tracker!$A$5:$A$1004,0)),""))</f>
        <v/>
      </c>
      <c r="V1731" s="78">
        <f>IF($B1731="","",IFERROR(INDEX(Task_Tracker!$I$5:$I$1004,MATCH($B1731,Task_Tracker!$A$5:$A$1004,0)),""))</f>
        <v/>
      </c>
      <c r="W1731" s="81">
        <f>IF(OR($D1731="",$B1731=""),"",$D1731&amp;" | "&amp;$B1731)</f>
        <v/>
      </c>
      <c r="X1731" s="85">
        <f>IF($K1731="","",TEXT($K1731,"yyyy-mm"))</f>
        <v/>
      </c>
      <c r="Y1731" s="81">
        <f>IF(OR($A1731="",$T1731=""),"","Included in Manager_Report")</f>
        <v/>
      </c>
    </row>
    <row r="1732" ht="15" customHeight="1" s="40">
      <c r="A1732" s="65">
        <f>IF(COUNTA(B1732:G1732)=0,"","STP-"&amp;TEXT(ROW()-4,"0000"))</f>
        <v/>
      </c>
      <c r="B1732" s="78" t="n"/>
      <c r="C1732" s="67">
        <f>IF($B1732="","",IFERROR(INDEX(Task_Tracker!$D$5:$D$1004,MATCH($B1732,Task_Tracker!$A$5:$A$1004,0)),""))</f>
        <v/>
      </c>
      <c r="D1732" s="67">
        <f>IF($B1732="","",IFERROR(INDEX(Task_Tracker!$B$5:$B$1004,MATCH($B1732,Task_Tracker!$A$5:$A$1004,0)),""))</f>
        <v/>
      </c>
      <c r="E1732" s="81" t="n"/>
      <c r="F1732" s="81" t="n"/>
      <c r="G1732" s="78" t="n"/>
      <c r="H1732" s="78" t="n"/>
      <c r="I1732" s="67">
        <f>IF($H1732="","",IFERROR(INDEX(Action_Status_Map!$B$5:$B$11,MATCH($H1732,Action_Status_Map!$A$5:$A$11,0)),""))</f>
        <v/>
      </c>
      <c r="J1732" s="82" t="n"/>
      <c r="K1732" s="82" t="n"/>
      <c r="L1732" s="82" t="n"/>
      <c r="M1732" s="83" t="n"/>
      <c r="N1732" s="83" t="n"/>
      <c r="O1732" s="66">
        <f>IF(OR($M1732="",$N1732=""),"",$N1732-$M1732)</f>
        <v/>
      </c>
      <c r="P1732" s="84">
        <f>IF($J1732="","",IF($L1732&lt;&gt;"",$L1732-$J1732,TODAY()-$J1732))</f>
        <v/>
      </c>
      <c r="Q1732" s="85">
        <f>IF(OR($K1732="",$H1732="Completed",$H1732="Cancelled"),"",IF(AND($K1732&lt;TODAY(),$H1732&lt;&gt;"Completed",$H1732&lt;&gt;"Cancelled"),"Overdue","On Track"))</f>
        <v/>
      </c>
      <c r="R1732" s="81" t="n"/>
      <c r="S1732" s="81">
        <f>IF($B1732="","",IFERROR(INDEX(Task_Tracker!$AA$5:$AA$1004,MATCH($B1732,Task_Tracker!$A$5:$A$1004,0)),""))</f>
        <v/>
      </c>
      <c r="T1732" s="81">
        <f>IF($B1732="","",IFERROR(INDEX(Task_Tracker!$AB$5:$AB$1004,MATCH($B1732,Task_Tracker!$A$5:$A$1004,0)),""))</f>
        <v/>
      </c>
      <c r="U1732" s="78">
        <f>IF($B1732="","",IFERROR(INDEX(Task_Tracker!$F$5:$F$1004,MATCH($B1732,Task_Tracker!$A$5:$A$1004,0)),""))</f>
        <v/>
      </c>
      <c r="V1732" s="78">
        <f>IF($B1732="","",IFERROR(INDEX(Task_Tracker!$I$5:$I$1004,MATCH($B1732,Task_Tracker!$A$5:$A$1004,0)),""))</f>
        <v/>
      </c>
      <c r="W1732" s="81">
        <f>IF(OR($D1732="",$B1732=""),"",$D1732&amp;" | "&amp;$B1732)</f>
        <v/>
      </c>
      <c r="X1732" s="85">
        <f>IF($K1732="","",TEXT($K1732,"yyyy-mm"))</f>
        <v/>
      </c>
      <c r="Y1732" s="81">
        <f>IF(OR($A1732="",$T1732=""),"","Included in Manager_Report")</f>
        <v/>
      </c>
    </row>
    <row r="1733" ht="15" customHeight="1" s="40">
      <c r="A1733" s="65">
        <f>IF(COUNTA(B1733:G1733)=0,"","STP-"&amp;TEXT(ROW()-4,"0000"))</f>
        <v/>
      </c>
      <c r="B1733" s="78" t="n"/>
      <c r="C1733" s="67">
        <f>IF($B1733="","",IFERROR(INDEX(Task_Tracker!$D$5:$D$1004,MATCH($B1733,Task_Tracker!$A$5:$A$1004,0)),""))</f>
        <v/>
      </c>
      <c r="D1733" s="67">
        <f>IF($B1733="","",IFERROR(INDEX(Task_Tracker!$B$5:$B$1004,MATCH($B1733,Task_Tracker!$A$5:$A$1004,0)),""))</f>
        <v/>
      </c>
      <c r="E1733" s="81" t="n"/>
      <c r="F1733" s="81" t="n"/>
      <c r="G1733" s="78" t="n"/>
      <c r="H1733" s="78" t="n"/>
      <c r="I1733" s="67">
        <f>IF($H1733="","",IFERROR(INDEX(Action_Status_Map!$B$5:$B$11,MATCH($H1733,Action_Status_Map!$A$5:$A$11,0)),""))</f>
        <v/>
      </c>
      <c r="J1733" s="82" t="n"/>
      <c r="K1733" s="82" t="n"/>
      <c r="L1733" s="82" t="n"/>
      <c r="M1733" s="83" t="n"/>
      <c r="N1733" s="83" t="n"/>
      <c r="O1733" s="66">
        <f>IF(OR($M1733="",$N1733=""),"",$N1733-$M1733)</f>
        <v/>
      </c>
      <c r="P1733" s="84">
        <f>IF($J1733="","",IF($L1733&lt;&gt;"",$L1733-$J1733,TODAY()-$J1733))</f>
        <v/>
      </c>
      <c r="Q1733" s="85">
        <f>IF(OR($K1733="",$H1733="Completed",$H1733="Cancelled"),"",IF(AND($K1733&lt;TODAY(),$H1733&lt;&gt;"Completed",$H1733&lt;&gt;"Cancelled"),"Overdue","On Track"))</f>
        <v/>
      </c>
      <c r="R1733" s="81" t="n"/>
      <c r="S1733" s="81">
        <f>IF($B1733="","",IFERROR(INDEX(Task_Tracker!$AA$5:$AA$1004,MATCH($B1733,Task_Tracker!$A$5:$A$1004,0)),""))</f>
        <v/>
      </c>
      <c r="T1733" s="81">
        <f>IF($B1733="","",IFERROR(INDEX(Task_Tracker!$AB$5:$AB$1004,MATCH($B1733,Task_Tracker!$A$5:$A$1004,0)),""))</f>
        <v/>
      </c>
      <c r="U1733" s="78">
        <f>IF($B1733="","",IFERROR(INDEX(Task_Tracker!$F$5:$F$1004,MATCH($B1733,Task_Tracker!$A$5:$A$1004,0)),""))</f>
        <v/>
      </c>
      <c r="V1733" s="78">
        <f>IF($B1733="","",IFERROR(INDEX(Task_Tracker!$I$5:$I$1004,MATCH($B1733,Task_Tracker!$A$5:$A$1004,0)),""))</f>
        <v/>
      </c>
      <c r="W1733" s="81">
        <f>IF(OR($D1733="",$B1733=""),"",$D1733&amp;" | "&amp;$B1733)</f>
        <v/>
      </c>
      <c r="X1733" s="85">
        <f>IF($K1733="","",TEXT($K1733,"yyyy-mm"))</f>
        <v/>
      </c>
      <c r="Y1733" s="81">
        <f>IF(OR($A1733="",$T1733=""),"","Included in Manager_Report")</f>
        <v/>
      </c>
    </row>
    <row r="1734" ht="15" customHeight="1" s="40">
      <c r="A1734" s="65">
        <f>IF(COUNTA(B1734:G1734)=0,"","STP-"&amp;TEXT(ROW()-4,"0000"))</f>
        <v/>
      </c>
      <c r="B1734" s="78" t="n"/>
      <c r="C1734" s="67">
        <f>IF($B1734="","",IFERROR(INDEX(Task_Tracker!$D$5:$D$1004,MATCH($B1734,Task_Tracker!$A$5:$A$1004,0)),""))</f>
        <v/>
      </c>
      <c r="D1734" s="67">
        <f>IF($B1734="","",IFERROR(INDEX(Task_Tracker!$B$5:$B$1004,MATCH($B1734,Task_Tracker!$A$5:$A$1004,0)),""))</f>
        <v/>
      </c>
      <c r="E1734" s="81" t="n"/>
      <c r="F1734" s="81" t="n"/>
      <c r="G1734" s="78" t="n"/>
      <c r="H1734" s="78" t="n"/>
      <c r="I1734" s="67">
        <f>IF($H1734="","",IFERROR(INDEX(Action_Status_Map!$B$5:$B$11,MATCH($H1734,Action_Status_Map!$A$5:$A$11,0)),""))</f>
        <v/>
      </c>
      <c r="J1734" s="82" t="n"/>
      <c r="K1734" s="82" t="n"/>
      <c r="L1734" s="82" t="n"/>
      <c r="M1734" s="83" t="n"/>
      <c r="N1734" s="83" t="n"/>
      <c r="O1734" s="66">
        <f>IF(OR($M1734="",$N1734=""),"",$N1734-$M1734)</f>
        <v/>
      </c>
      <c r="P1734" s="84">
        <f>IF($J1734="","",IF($L1734&lt;&gt;"",$L1734-$J1734,TODAY()-$J1734))</f>
        <v/>
      </c>
      <c r="Q1734" s="85">
        <f>IF(OR($K1734="",$H1734="Completed",$H1734="Cancelled"),"",IF(AND($K1734&lt;TODAY(),$H1734&lt;&gt;"Completed",$H1734&lt;&gt;"Cancelled"),"Overdue","On Track"))</f>
        <v/>
      </c>
      <c r="R1734" s="81" t="n"/>
      <c r="S1734" s="81">
        <f>IF($B1734="","",IFERROR(INDEX(Task_Tracker!$AA$5:$AA$1004,MATCH($B1734,Task_Tracker!$A$5:$A$1004,0)),""))</f>
        <v/>
      </c>
      <c r="T1734" s="81">
        <f>IF($B1734="","",IFERROR(INDEX(Task_Tracker!$AB$5:$AB$1004,MATCH($B1734,Task_Tracker!$A$5:$A$1004,0)),""))</f>
        <v/>
      </c>
      <c r="U1734" s="78">
        <f>IF($B1734="","",IFERROR(INDEX(Task_Tracker!$F$5:$F$1004,MATCH($B1734,Task_Tracker!$A$5:$A$1004,0)),""))</f>
        <v/>
      </c>
      <c r="V1734" s="78">
        <f>IF($B1734="","",IFERROR(INDEX(Task_Tracker!$I$5:$I$1004,MATCH($B1734,Task_Tracker!$A$5:$A$1004,0)),""))</f>
        <v/>
      </c>
      <c r="W1734" s="81">
        <f>IF(OR($D1734="",$B1734=""),"",$D1734&amp;" | "&amp;$B1734)</f>
        <v/>
      </c>
      <c r="X1734" s="85">
        <f>IF($K1734="","",TEXT($K1734,"yyyy-mm"))</f>
        <v/>
      </c>
      <c r="Y1734" s="81">
        <f>IF(OR($A1734="",$T1734=""),"","Included in Manager_Report")</f>
        <v/>
      </c>
    </row>
    <row r="1735" ht="15" customHeight="1" s="40">
      <c r="A1735" s="65">
        <f>IF(COUNTA(B1735:G1735)=0,"","STP-"&amp;TEXT(ROW()-4,"0000"))</f>
        <v/>
      </c>
      <c r="B1735" s="78" t="n"/>
      <c r="C1735" s="67">
        <f>IF($B1735="","",IFERROR(INDEX(Task_Tracker!$D$5:$D$1004,MATCH($B1735,Task_Tracker!$A$5:$A$1004,0)),""))</f>
        <v/>
      </c>
      <c r="D1735" s="67">
        <f>IF($B1735="","",IFERROR(INDEX(Task_Tracker!$B$5:$B$1004,MATCH($B1735,Task_Tracker!$A$5:$A$1004,0)),""))</f>
        <v/>
      </c>
      <c r="E1735" s="81" t="n"/>
      <c r="F1735" s="81" t="n"/>
      <c r="G1735" s="78" t="n"/>
      <c r="H1735" s="78" t="n"/>
      <c r="I1735" s="67">
        <f>IF($H1735="","",IFERROR(INDEX(Action_Status_Map!$B$5:$B$11,MATCH($H1735,Action_Status_Map!$A$5:$A$11,0)),""))</f>
        <v/>
      </c>
      <c r="J1735" s="82" t="n"/>
      <c r="K1735" s="82" t="n"/>
      <c r="L1735" s="82" t="n"/>
      <c r="M1735" s="83" t="n"/>
      <c r="N1735" s="83" t="n"/>
      <c r="O1735" s="66">
        <f>IF(OR($M1735="",$N1735=""),"",$N1735-$M1735)</f>
        <v/>
      </c>
      <c r="P1735" s="84">
        <f>IF($J1735="","",IF($L1735&lt;&gt;"",$L1735-$J1735,TODAY()-$J1735))</f>
        <v/>
      </c>
      <c r="Q1735" s="85">
        <f>IF(OR($K1735="",$H1735="Completed",$H1735="Cancelled"),"",IF(AND($K1735&lt;TODAY(),$H1735&lt;&gt;"Completed",$H1735&lt;&gt;"Cancelled"),"Overdue","On Track"))</f>
        <v/>
      </c>
      <c r="R1735" s="81" t="n"/>
      <c r="S1735" s="81">
        <f>IF($B1735="","",IFERROR(INDEX(Task_Tracker!$AA$5:$AA$1004,MATCH($B1735,Task_Tracker!$A$5:$A$1004,0)),""))</f>
        <v/>
      </c>
      <c r="T1735" s="81">
        <f>IF($B1735="","",IFERROR(INDEX(Task_Tracker!$AB$5:$AB$1004,MATCH($B1735,Task_Tracker!$A$5:$A$1004,0)),""))</f>
        <v/>
      </c>
      <c r="U1735" s="78">
        <f>IF($B1735="","",IFERROR(INDEX(Task_Tracker!$F$5:$F$1004,MATCH($B1735,Task_Tracker!$A$5:$A$1004,0)),""))</f>
        <v/>
      </c>
      <c r="V1735" s="78">
        <f>IF($B1735="","",IFERROR(INDEX(Task_Tracker!$I$5:$I$1004,MATCH($B1735,Task_Tracker!$A$5:$A$1004,0)),""))</f>
        <v/>
      </c>
      <c r="W1735" s="81">
        <f>IF(OR($D1735="",$B1735=""),"",$D1735&amp;" | "&amp;$B1735)</f>
        <v/>
      </c>
      <c r="X1735" s="85">
        <f>IF($K1735="","",TEXT($K1735,"yyyy-mm"))</f>
        <v/>
      </c>
      <c r="Y1735" s="81">
        <f>IF(OR($A1735="",$T1735=""),"","Included in Manager_Report")</f>
        <v/>
      </c>
    </row>
    <row r="1736" ht="15" customHeight="1" s="40">
      <c r="A1736" s="65">
        <f>IF(COUNTA(B1736:G1736)=0,"","STP-"&amp;TEXT(ROW()-4,"0000"))</f>
        <v/>
      </c>
      <c r="B1736" s="78" t="n"/>
      <c r="C1736" s="67">
        <f>IF($B1736="","",IFERROR(INDEX(Task_Tracker!$D$5:$D$1004,MATCH($B1736,Task_Tracker!$A$5:$A$1004,0)),""))</f>
        <v/>
      </c>
      <c r="D1736" s="67">
        <f>IF($B1736="","",IFERROR(INDEX(Task_Tracker!$B$5:$B$1004,MATCH($B1736,Task_Tracker!$A$5:$A$1004,0)),""))</f>
        <v/>
      </c>
      <c r="E1736" s="81" t="n"/>
      <c r="F1736" s="81" t="n"/>
      <c r="G1736" s="78" t="n"/>
      <c r="H1736" s="78" t="n"/>
      <c r="I1736" s="67">
        <f>IF($H1736="","",IFERROR(INDEX(Action_Status_Map!$B$5:$B$11,MATCH($H1736,Action_Status_Map!$A$5:$A$11,0)),""))</f>
        <v/>
      </c>
      <c r="J1736" s="82" t="n"/>
      <c r="K1736" s="82" t="n"/>
      <c r="L1736" s="82" t="n"/>
      <c r="M1736" s="83" t="n"/>
      <c r="N1736" s="83" t="n"/>
      <c r="O1736" s="66">
        <f>IF(OR($M1736="",$N1736=""),"",$N1736-$M1736)</f>
        <v/>
      </c>
      <c r="P1736" s="84">
        <f>IF($J1736="","",IF($L1736&lt;&gt;"",$L1736-$J1736,TODAY()-$J1736))</f>
        <v/>
      </c>
      <c r="Q1736" s="85">
        <f>IF(OR($K1736="",$H1736="Completed",$H1736="Cancelled"),"",IF(AND($K1736&lt;TODAY(),$H1736&lt;&gt;"Completed",$H1736&lt;&gt;"Cancelled"),"Overdue","On Track"))</f>
        <v/>
      </c>
      <c r="R1736" s="81" t="n"/>
      <c r="S1736" s="81">
        <f>IF($B1736="","",IFERROR(INDEX(Task_Tracker!$AA$5:$AA$1004,MATCH($B1736,Task_Tracker!$A$5:$A$1004,0)),""))</f>
        <v/>
      </c>
      <c r="T1736" s="81">
        <f>IF($B1736="","",IFERROR(INDEX(Task_Tracker!$AB$5:$AB$1004,MATCH($B1736,Task_Tracker!$A$5:$A$1004,0)),""))</f>
        <v/>
      </c>
      <c r="U1736" s="78">
        <f>IF($B1736="","",IFERROR(INDEX(Task_Tracker!$F$5:$F$1004,MATCH($B1736,Task_Tracker!$A$5:$A$1004,0)),""))</f>
        <v/>
      </c>
      <c r="V1736" s="78">
        <f>IF($B1736="","",IFERROR(INDEX(Task_Tracker!$I$5:$I$1004,MATCH($B1736,Task_Tracker!$A$5:$A$1004,0)),""))</f>
        <v/>
      </c>
      <c r="W1736" s="81">
        <f>IF(OR($D1736="",$B1736=""),"",$D1736&amp;" | "&amp;$B1736)</f>
        <v/>
      </c>
      <c r="X1736" s="85">
        <f>IF($K1736="","",TEXT($K1736,"yyyy-mm"))</f>
        <v/>
      </c>
      <c r="Y1736" s="81">
        <f>IF(OR($A1736="",$T1736=""),"","Included in Manager_Report")</f>
        <v/>
      </c>
    </row>
    <row r="1737" ht="15" customHeight="1" s="40">
      <c r="A1737" s="65">
        <f>IF(COUNTA(B1737:G1737)=0,"","STP-"&amp;TEXT(ROW()-4,"0000"))</f>
        <v/>
      </c>
      <c r="B1737" s="78" t="n"/>
      <c r="C1737" s="67">
        <f>IF($B1737="","",IFERROR(INDEX(Task_Tracker!$D$5:$D$1004,MATCH($B1737,Task_Tracker!$A$5:$A$1004,0)),""))</f>
        <v/>
      </c>
      <c r="D1737" s="67">
        <f>IF($B1737="","",IFERROR(INDEX(Task_Tracker!$B$5:$B$1004,MATCH($B1737,Task_Tracker!$A$5:$A$1004,0)),""))</f>
        <v/>
      </c>
      <c r="E1737" s="81" t="n"/>
      <c r="F1737" s="81" t="n"/>
      <c r="G1737" s="78" t="n"/>
      <c r="H1737" s="78" t="n"/>
      <c r="I1737" s="67">
        <f>IF($H1737="","",IFERROR(INDEX(Action_Status_Map!$B$5:$B$11,MATCH($H1737,Action_Status_Map!$A$5:$A$11,0)),""))</f>
        <v/>
      </c>
      <c r="J1737" s="82" t="n"/>
      <c r="K1737" s="82" t="n"/>
      <c r="L1737" s="82" t="n"/>
      <c r="M1737" s="83" t="n"/>
      <c r="N1737" s="83" t="n"/>
      <c r="O1737" s="66">
        <f>IF(OR($M1737="",$N1737=""),"",$N1737-$M1737)</f>
        <v/>
      </c>
      <c r="P1737" s="84">
        <f>IF($J1737="","",IF($L1737&lt;&gt;"",$L1737-$J1737,TODAY()-$J1737))</f>
        <v/>
      </c>
      <c r="Q1737" s="85">
        <f>IF(OR($K1737="",$H1737="Completed",$H1737="Cancelled"),"",IF(AND($K1737&lt;TODAY(),$H1737&lt;&gt;"Completed",$H1737&lt;&gt;"Cancelled"),"Overdue","On Track"))</f>
        <v/>
      </c>
      <c r="R1737" s="81" t="n"/>
      <c r="S1737" s="81">
        <f>IF($B1737="","",IFERROR(INDEX(Task_Tracker!$AA$5:$AA$1004,MATCH($B1737,Task_Tracker!$A$5:$A$1004,0)),""))</f>
        <v/>
      </c>
      <c r="T1737" s="81">
        <f>IF($B1737="","",IFERROR(INDEX(Task_Tracker!$AB$5:$AB$1004,MATCH($B1737,Task_Tracker!$A$5:$A$1004,0)),""))</f>
        <v/>
      </c>
      <c r="U1737" s="78">
        <f>IF($B1737="","",IFERROR(INDEX(Task_Tracker!$F$5:$F$1004,MATCH($B1737,Task_Tracker!$A$5:$A$1004,0)),""))</f>
        <v/>
      </c>
      <c r="V1737" s="78">
        <f>IF($B1737="","",IFERROR(INDEX(Task_Tracker!$I$5:$I$1004,MATCH($B1737,Task_Tracker!$A$5:$A$1004,0)),""))</f>
        <v/>
      </c>
      <c r="W1737" s="81">
        <f>IF(OR($D1737="",$B1737=""),"",$D1737&amp;" | "&amp;$B1737)</f>
        <v/>
      </c>
      <c r="X1737" s="85">
        <f>IF($K1737="","",TEXT($K1737,"yyyy-mm"))</f>
        <v/>
      </c>
      <c r="Y1737" s="81">
        <f>IF(OR($A1737="",$T1737=""),"","Included in Manager_Report")</f>
        <v/>
      </c>
    </row>
    <row r="1738" ht="15" customHeight="1" s="40">
      <c r="A1738" s="65">
        <f>IF(COUNTA(B1738:G1738)=0,"","STP-"&amp;TEXT(ROW()-4,"0000"))</f>
        <v/>
      </c>
      <c r="B1738" s="78" t="n"/>
      <c r="C1738" s="67">
        <f>IF($B1738="","",IFERROR(INDEX(Task_Tracker!$D$5:$D$1004,MATCH($B1738,Task_Tracker!$A$5:$A$1004,0)),""))</f>
        <v/>
      </c>
      <c r="D1738" s="67">
        <f>IF($B1738="","",IFERROR(INDEX(Task_Tracker!$B$5:$B$1004,MATCH($B1738,Task_Tracker!$A$5:$A$1004,0)),""))</f>
        <v/>
      </c>
      <c r="E1738" s="81" t="n"/>
      <c r="F1738" s="81" t="n"/>
      <c r="G1738" s="78" t="n"/>
      <c r="H1738" s="78" t="n"/>
      <c r="I1738" s="67">
        <f>IF($H1738="","",IFERROR(INDEX(Action_Status_Map!$B$5:$B$11,MATCH($H1738,Action_Status_Map!$A$5:$A$11,0)),""))</f>
        <v/>
      </c>
      <c r="J1738" s="82" t="n"/>
      <c r="K1738" s="82" t="n"/>
      <c r="L1738" s="82" t="n"/>
      <c r="M1738" s="83" t="n"/>
      <c r="N1738" s="83" t="n"/>
      <c r="O1738" s="66">
        <f>IF(OR($M1738="",$N1738=""),"",$N1738-$M1738)</f>
        <v/>
      </c>
      <c r="P1738" s="84">
        <f>IF($J1738="","",IF($L1738&lt;&gt;"",$L1738-$J1738,TODAY()-$J1738))</f>
        <v/>
      </c>
      <c r="Q1738" s="85">
        <f>IF(OR($K1738="",$H1738="Completed",$H1738="Cancelled"),"",IF(AND($K1738&lt;TODAY(),$H1738&lt;&gt;"Completed",$H1738&lt;&gt;"Cancelled"),"Overdue","On Track"))</f>
        <v/>
      </c>
      <c r="R1738" s="81" t="n"/>
      <c r="S1738" s="81">
        <f>IF($B1738="","",IFERROR(INDEX(Task_Tracker!$AA$5:$AA$1004,MATCH($B1738,Task_Tracker!$A$5:$A$1004,0)),""))</f>
        <v/>
      </c>
      <c r="T1738" s="81">
        <f>IF($B1738="","",IFERROR(INDEX(Task_Tracker!$AB$5:$AB$1004,MATCH($B1738,Task_Tracker!$A$5:$A$1004,0)),""))</f>
        <v/>
      </c>
      <c r="U1738" s="78">
        <f>IF($B1738="","",IFERROR(INDEX(Task_Tracker!$F$5:$F$1004,MATCH($B1738,Task_Tracker!$A$5:$A$1004,0)),""))</f>
        <v/>
      </c>
      <c r="V1738" s="78">
        <f>IF($B1738="","",IFERROR(INDEX(Task_Tracker!$I$5:$I$1004,MATCH($B1738,Task_Tracker!$A$5:$A$1004,0)),""))</f>
        <v/>
      </c>
      <c r="W1738" s="81">
        <f>IF(OR($D1738="",$B1738=""),"",$D1738&amp;" | "&amp;$B1738)</f>
        <v/>
      </c>
      <c r="X1738" s="85">
        <f>IF($K1738="","",TEXT($K1738,"yyyy-mm"))</f>
        <v/>
      </c>
      <c r="Y1738" s="81">
        <f>IF(OR($A1738="",$T1738=""),"","Included in Manager_Report")</f>
        <v/>
      </c>
    </row>
    <row r="1739" ht="15" customHeight="1" s="40">
      <c r="A1739" s="65">
        <f>IF(COUNTA(B1739:G1739)=0,"","STP-"&amp;TEXT(ROW()-4,"0000"))</f>
        <v/>
      </c>
      <c r="B1739" s="78" t="n"/>
      <c r="C1739" s="67">
        <f>IF($B1739="","",IFERROR(INDEX(Task_Tracker!$D$5:$D$1004,MATCH($B1739,Task_Tracker!$A$5:$A$1004,0)),""))</f>
        <v/>
      </c>
      <c r="D1739" s="67">
        <f>IF($B1739="","",IFERROR(INDEX(Task_Tracker!$B$5:$B$1004,MATCH($B1739,Task_Tracker!$A$5:$A$1004,0)),""))</f>
        <v/>
      </c>
      <c r="E1739" s="81" t="n"/>
      <c r="F1739" s="81" t="n"/>
      <c r="G1739" s="78" t="n"/>
      <c r="H1739" s="78" t="n"/>
      <c r="I1739" s="67">
        <f>IF($H1739="","",IFERROR(INDEX(Action_Status_Map!$B$5:$B$11,MATCH($H1739,Action_Status_Map!$A$5:$A$11,0)),""))</f>
        <v/>
      </c>
      <c r="J1739" s="82" t="n"/>
      <c r="K1739" s="82" t="n"/>
      <c r="L1739" s="82" t="n"/>
      <c r="M1739" s="83" t="n"/>
      <c r="N1739" s="83" t="n"/>
      <c r="O1739" s="66">
        <f>IF(OR($M1739="",$N1739=""),"",$N1739-$M1739)</f>
        <v/>
      </c>
      <c r="P1739" s="84">
        <f>IF($J1739="","",IF($L1739&lt;&gt;"",$L1739-$J1739,TODAY()-$J1739))</f>
        <v/>
      </c>
      <c r="Q1739" s="85">
        <f>IF(OR($K1739="",$H1739="Completed",$H1739="Cancelled"),"",IF(AND($K1739&lt;TODAY(),$H1739&lt;&gt;"Completed",$H1739&lt;&gt;"Cancelled"),"Overdue","On Track"))</f>
        <v/>
      </c>
      <c r="R1739" s="81" t="n"/>
      <c r="S1739" s="81">
        <f>IF($B1739="","",IFERROR(INDEX(Task_Tracker!$AA$5:$AA$1004,MATCH($B1739,Task_Tracker!$A$5:$A$1004,0)),""))</f>
        <v/>
      </c>
      <c r="T1739" s="81">
        <f>IF($B1739="","",IFERROR(INDEX(Task_Tracker!$AB$5:$AB$1004,MATCH($B1739,Task_Tracker!$A$5:$A$1004,0)),""))</f>
        <v/>
      </c>
      <c r="U1739" s="78">
        <f>IF($B1739="","",IFERROR(INDEX(Task_Tracker!$F$5:$F$1004,MATCH($B1739,Task_Tracker!$A$5:$A$1004,0)),""))</f>
        <v/>
      </c>
      <c r="V1739" s="78">
        <f>IF($B1739="","",IFERROR(INDEX(Task_Tracker!$I$5:$I$1004,MATCH($B1739,Task_Tracker!$A$5:$A$1004,0)),""))</f>
        <v/>
      </c>
      <c r="W1739" s="81">
        <f>IF(OR($D1739="",$B1739=""),"",$D1739&amp;" | "&amp;$B1739)</f>
        <v/>
      </c>
      <c r="X1739" s="85">
        <f>IF($K1739="","",TEXT($K1739,"yyyy-mm"))</f>
        <v/>
      </c>
      <c r="Y1739" s="81">
        <f>IF(OR($A1739="",$T1739=""),"","Included in Manager_Report")</f>
        <v/>
      </c>
    </row>
    <row r="1740" ht="15" customHeight="1" s="40">
      <c r="A1740" s="65">
        <f>IF(COUNTA(B1740:G1740)=0,"","STP-"&amp;TEXT(ROW()-4,"0000"))</f>
        <v/>
      </c>
      <c r="B1740" s="78" t="n"/>
      <c r="C1740" s="67">
        <f>IF($B1740="","",IFERROR(INDEX(Task_Tracker!$D$5:$D$1004,MATCH($B1740,Task_Tracker!$A$5:$A$1004,0)),""))</f>
        <v/>
      </c>
      <c r="D1740" s="67">
        <f>IF($B1740="","",IFERROR(INDEX(Task_Tracker!$B$5:$B$1004,MATCH($B1740,Task_Tracker!$A$5:$A$1004,0)),""))</f>
        <v/>
      </c>
      <c r="E1740" s="81" t="n"/>
      <c r="F1740" s="81" t="n"/>
      <c r="G1740" s="78" t="n"/>
      <c r="H1740" s="78" t="n"/>
      <c r="I1740" s="67">
        <f>IF($H1740="","",IFERROR(INDEX(Action_Status_Map!$B$5:$B$11,MATCH($H1740,Action_Status_Map!$A$5:$A$11,0)),""))</f>
        <v/>
      </c>
      <c r="J1740" s="82" t="n"/>
      <c r="K1740" s="82" t="n"/>
      <c r="L1740" s="82" t="n"/>
      <c r="M1740" s="83" t="n"/>
      <c r="N1740" s="83" t="n"/>
      <c r="O1740" s="66">
        <f>IF(OR($M1740="",$N1740=""),"",$N1740-$M1740)</f>
        <v/>
      </c>
      <c r="P1740" s="84">
        <f>IF($J1740="","",IF($L1740&lt;&gt;"",$L1740-$J1740,TODAY()-$J1740))</f>
        <v/>
      </c>
      <c r="Q1740" s="85">
        <f>IF(OR($K1740="",$H1740="Completed",$H1740="Cancelled"),"",IF(AND($K1740&lt;TODAY(),$H1740&lt;&gt;"Completed",$H1740&lt;&gt;"Cancelled"),"Overdue","On Track"))</f>
        <v/>
      </c>
      <c r="R1740" s="81" t="n"/>
      <c r="S1740" s="81">
        <f>IF($B1740="","",IFERROR(INDEX(Task_Tracker!$AA$5:$AA$1004,MATCH($B1740,Task_Tracker!$A$5:$A$1004,0)),""))</f>
        <v/>
      </c>
      <c r="T1740" s="81">
        <f>IF($B1740="","",IFERROR(INDEX(Task_Tracker!$AB$5:$AB$1004,MATCH($B1740,Task_Tracker!$A$5:$A$1004,0)),""))</f>
        <v/>
      </c>
      <c r="U1740" s="78">
        <f>IF($B1740="","",IFERROR(INDEX(Task_Tracker!$F$5:$F$1004,MATCH($B1740,Task_Tracker!$A$5:$A$1004,0)),""))</f>
        <v/>
      </c>
      <c r="V1740" s="78">
        <f>IF($B1740="","",IFERROR(INDEX(Task_Tracker!$I$5:$I$1004,MATCH($B1740,Task_Tracker!$A$5:$A$1004,0)),""))</f>
        <v/>
      </c>
      <c r="W1740" s="81">
        <f>IF(OR($D1740="",$B1740=""),"",$D1740&amp;" | "&amp;$B1740)</f>
        <v/>
      </c>
      <c r="X1740" s="85">
        <f>IF($K1740="","",TEXT($K1740,"yyyy-mm"))</f>
        <v/>
      </c>
      <c r="Y1740" s="81">
        <f>IF(OR($A1740="",$T1740=""),"","Included in Manager_Report")</f>
        <v/>
      </c>
    </row>
    <row r="1741" ht="15" customHeight="1" s="40">
      <c r="A1741" s="65">
        <f>IF(COUNTA(B1741:G1741)=0,"","STP-"&amp;TEXT(ROW()-4,"0000"))</f>
        <v/>
      </c>
      <c r="B1741" s="78" t="n"/>
      <c r="C1741" s="67">
        <f>IF($B1741="","",IFERROR(INDEX(Task_Tracker!$D$5:$D$1004,MATCH($B1741,Task_Tracker!$A$5:$A$1004,0)),""))</f>
        <v/>
      </c>
      <c r="D1741" s="67">
        <f>IF($B1741="","",IFERROR(INDEX(Task_Tracker!$B$5:$B$1004,MATCH($B1741,Task_Tracker!$A$5:$A$1004,0)),""))</f>
        <v/>
      </c>
      <c r="E1741" s="81" t="n"/>
      <c r="F1741" s="81" t="n"/>
      <c r="G1741" s="78" t="n"/>
      <c r="H1741" s="78" t="n"/>
      <c r="I1741" s="67">
        <f>IF($H1741="","",IFERROR(INDEX(Action_Status_Map!$B$5:$B$11,MATCH($H1741,Action_Status_Map!$A$5:$A$11,0)),""))</f>
        <v/>
      </c>
      <c r="J1741" s="82" t="n"/>
      <c r="K1741" s="82" t="n"/>
      <c r="L1741" s="82" t="n"/>
      <c r="M1741" s="83" t="n"/>
      <c r="N1741" s="83" t="n"/>
      <c r="O1741" s="66">
        <f>IF(OR($M1741="",$N1741=""),"",$N1741-$M1741)</f>
        <v/>
      </c>
      <c r="P1741" s="84">
        <f>IF($J1741="","",IF($L1741&lt;&gt;"",$L1741-$J1741,TODAY()-$J1741))</f>
        <v/>
      </c>
      <c r="Q1741" s="85">
        <f>IF(OR($K1741="",$H1741="Completed",$H1741="Cancelled"),"",IF(AND($K1741&lt;TODAY(),$H1741&lt;&gt;"Completed",$H1741&lt;&gt;"Cancelled"),"Overdue","On Track"))</f>
        <v/>
      </c>
      <c r="R1741" s="81" t="n"/>
      <c r="S1741" s="81">
        <f>IF($B1741="","",IFERROR(INDEX(Task_Tracker!$AA$5:$AA$1004,MATCH($B1741,Task_Tracker!$A$5:$A$1004,0)),""))</f>
        <v/>
      </c>
      <c r="T1741" s="81">
        <f>IF($B1741="","",IFERROR(INDEX(Task_Tracker!$AB$5:$AB$1004,MATCH($B1741,Task_Tracker!$A$5:$A$1004,0)),""))</f>
        <v/>
      </c>
      <c r="U1741" s="78">
        <f>IF($B1741="","",IFERROR(INDEX(Task_Tracker!$F$5:$F$1004,MATCH($B1741,Task_Tracker!$A$5:$A$1004,0)),""))</f>
        <v/>
      </c>
      <c r="V1741" s="78">
        <f>IF($B1741="","",IFERROR(INDEX(Task_Tracker!$I$5:$I$1004,MATCH($B1741,Task_Tracker!$A$5:$A$1004,0)),""))</f>
        <v/>
      </c>
      <c r="W1741" s="81">
        <f>IF(OR($D1741="",$B1741=""),"",$D1741&amp;" | "&amp;$B1741)</f>
        <v/>
      </c>
      <c r="X1741" s="85">
        <f>IF($K1741="","",TEXT($K1741,"yyyy-mm"))</f>
        <v/>
      </c>
      <c r="Y1741" s="81">
        <f>IF(OR($A1741="",$T1741=""),"","Included in Manager_Report")</f>
        <v/>
      </c>
    </row>
    <row r="1742" ht="15" customHeight="1" s="40">
      <c r="A1742" s="65">
        <f>IF(COUNTA(B1742:G1742)=0,"","STP-"&amp;TEXT(ROW()-4,"0000"))</f>
        <v/>
      </c>
      <c r="B1742" s="78" t="n"/>
      <c r="C1742" s="67">
        <f>IF($B1742="","",IFERROR(INDEX(Task_Tracker!$D$5:$D$1004,MATCH($B1742,Task_Tracker!$A$5:$A$1004,0)),""))</f>
        <v/>
      </c>
      <c r="D1742" s="67">
        <f>IF($B1742="","",IFERROR(INDEX(Task_Tracker!$B$5:$B$1004,MATCH($B1742,Task_Tracker!$A$5:$A$1004,0)),""))</f>
        <v/>
      </c>
      <c r="E1742" s="81" t="n"/>
      <c r="F1742" s="81" t="n"/>
      <c r="G1742" s="78" t="n"/>
      <c r="H1742" s="78" t="n"/>
      <c r="I1742" s="67">
        <f>IF($H1742="","",IFERROR(INDEX(Action_Status_Map!$B$5:$B$11,MATCH($H1742,Action_Status_Map!$A$5:$A$11,0)),""))</f>
        <v/>
      </c>
      <c r="J1742" s="82" t="n"/>
      <c r="K1742" s="82" t="n"/>
      <c r="L1742" s="82" t="n"/>
      <c r="M1742" s="83" t="n"/>
      <c r="N1742" s="83" t="n"/>
      <c r="O1742" s="66">
        <f>IF(OR($M1742="",$N1742=""),"",$N1742-$M1742)</f>
        <v/>
      </c>
      <c r="P1742" s="84">
        <f>IF($J1742="","",IF($L1742&lt;&gt;"",$L1742-$J1742,TODAY()-$J1742))</f>
        <v/>
      </c>
      <c r="Q1742" s="85">
        <f>IF(OR($K1742="",$H1742="Completed",$H1742="Cancelled"),"",IF(AND($K1742&lt;TODAY(),$H1742&lt;&gt;"Completed",$H1742&lt;&gt;"Cancelled"),"Overdue","On Track"))</f>
        <v/>
      </c>
      <c r="R1742" s="81" t="n"/>
      <c r="S1742" s="81">
        <f>IF($B1742="","",IFERROR(INDEX(Task_Tracker!$AA$5:$AA$1004,MATCH($B1742,Task_Tracker!$A$5:$A$1004,0)),""))</f>
        <v/>
      </c>
      <c r="T1742" s="81">
        <f>IF($B1742="","",IFERROR(INDEX(Task_Tracker!$AB$5:$AB$1004,MATCH($B1742,Task_Tracker!$A$5:$A$1004,0)),""))</f>
        <v/>
      </c>
      <c r="U1742" s="78">
        <f>IF($B1742="","",IFERROR(INDEX(Task_Tracker!$F$5:$F$1004,MATCH($B1742,Task_Tracker!$A$5:$A$1004,0)),""))</f>
        <v/>
      </c>
      <c r="V1742" s="78">
        <f>IF($B1742="","",IFERROR(INDEX(Task_Tracker!$I$5:$I$1004,MATCH($B1742,Task_Tracker!$A$5:$A$1004,0)),""))</f>
        <v/>
      </c>
      <c r="W1742" s="81">
        <f>IF(OR($D1742="",$B1742=""),"",$D1742&amp;" | "&amp;$B1742)</f>
        <v/>
      </c>
      <c r="X1742" s="85">
        <f>IF($K1742="","",TEXT($K1742,"yyyy-mm"))</f>
        <v/>
      </c>
      <c r="Y1742" s="81">
        <f>IF(OR($A1742="",$T1742=""),"","Included in Manager_Report")</f>
        <v/>
      </c>
    </row>
    <row r="1743" ht="15" customHeight="1" s="40">
      <c r="A1743" s="65">
        <f>IF(COUNTA(B1743:G1743)=0,"","STP-"&amp;TEXT(ROW()-4,"0000"))</f>
        <v/>
      </c>
      <c r="B1743" s="78" t="n"/>
      <c r="C1743" s="67">
        <f>IF($B1743="","",IFERROR(INDEX(Task_Tracker!$D$5:$D$1004,MATCH($B1743,Task_Tracker!$A$5:$A$1004,0)),""))</f>
        <v/>
      </c>
      <c r="D1743" s="67">
        <f>IF($B1743="","",IFERROR(INDEX(Task_Tracker!$B$5:$B$1004,MATCH($B1743,Task_Tracker!$A$5:$A$1004,0)),""))</f>
        <v/>
      </c>
      <c r="E1743" s="81" t="n"/>
      <c r="F1743" s="81" t="n"/>
      <c r="G1743" s="78" t="n"/>
      <c r="H1743" s="78" t="n"/>
      <c r="I1743" s="67">
        <f>IF($H1743="","",IFERROR(INDEX(Action_Status_Map!$B$5:$B$11,MATCH($H1743,Action_Status_Map!$A$5:$A$11,0)),""))</f>
        <v/>
      </c>
      <c r="J1743" s="82" t="n"/>
      <c r="K1743" s="82" t="n"/>
      <c r="L1743" s="82" t="n"/>
      <c r="M1743" s="83" t="n"/>
      <c r="N1743" s="83" t="n"/>
      <c r="O1743" s="66">
        <f>IF(OR($M1743="",$N1743=""),"",$N1743-$M1743)</f>
        <v/>
      </c>
      <c r="P1743" s="84">
        <f>IF($J1743="","",IF($L1743&lt;&gt;"",$L1743-$J1743,TODAY()-$J1743))</f>
        <v/>
      </c>
      <c r="Q1743" s="85">
        <f>IF(OR($K1743="",$H1743="Completed",$H1743="Cancelled"),"",IF(AND($K1743&lt;TODAY(),$H1743&lt;&gt;"Completed",$H1743&lt;&gt;"Cancelled"),"Overdue","On Track"))</f>
        <v/>
      </c>
      <c r="R1743" s="81" t="n"/>
      <c r="S1743" s="81">
        <f>IF($B1743="","",IFERROR(INDEX(Task_Tracker!$AA$5:$AA$1004,MATCH($B1743,Task_Tracker!$A$5:$A$1004,0)),""))</f>
        <v/>
      </c>
      <c r="T1743" s="81">
        <f>IF($B1743="","",IFERROR(INDEX(Task_Tracker!$AB$5:$AB$1004,MATCH($B1743,Task_Tracker!$A$5:$A$1004,0)),""))</f>
        <v/>
      </c>
      <c r="U1743" s="78">
        <f>IF($B1743="","",IFERROR(INDEX(Task_Tracker!$F$5:$F$1004,MATCH($B1743,Task_Tracker!$A$5:$A$1004,0)),""))</f>
        <v/>
      </c>
      <c r="V1743" s="78">
        <f>IF($B1743="","",IFERROR(INDEX(Task_Tracker!$I$5:$I$1004,MATCH($B1743,Task_Tracker!$A$5:$A$1004,0)),""))</f>
        <v/>
      </c>
      <c r="W1743" s="81">
        <f>IF(OR($D1743="",$B1743=""),"",$D1743&amp;" | "&amp;$B1743)</f>
        <v/>
      </c>
      <c r="X1743" s="85">
        <f>IF($K1743="","",TEXT($K1743,"yyyy-mm"))</f>
        <v/>
      </c>
      <c r="Y1743" s="81">
        <f>IF(OR($A1743="",$T1743=""),"","Included in Manager_Report")</f>
        <v/>
      </c>
    </row>
    <row r="1744" ht="15" customHeight="1" s="40">
      <c r="A1744" s="65">
        <f>IF(COUNTA(B1744:G1744)=0,"","STP-"&amp;TEXT(ROW()-4,"0000"))</f>
        <v/>
      </c>
      <c r="B1744" s="78" t="n"/>
      <c r="C1744" s="67">
        <f>IF($B1744="","",IFERROR(INDEX(Task_Tracker!$D$5:$D$1004,MATCH($B1744,Task_Tracker!$A$5:$A$1004,0)),""))</f>
        <v/>
      </c>
      <c r="D1744" s="67">
        <f>IF($B1744="","",IFERROR(INDEX(Task_Tracker!$B$5:$B$1004,MATCH($B1744,Task_Tracker!$A$5:$A$1004,0)),""))</f>
        <v/>
      </c>
      <c r="E1744" s="81" t="n"/>
      <c r="F1744" s="81" t="n"/>
      <c r="G1744" s="78" t="n"/>
      <c r="H1744" s="78" t="n"/>
      <c r="I1744" s="67">
        <f>IF($H1744="","",IFERROR(INDEX(Action_Status_Map!$B$5:$B$11,MATCH($H1744,Action_Status_Map!$A$5:$A$11,0)),""))</f>
        <v/>
      </c>
      <c r="J1744" s="82" t="n"/>
      <c r="K1744" s="82" t="n"/>
      <c r="L1744" s="82" t="n"/>
      <c r="M1744" s="83" t="n"/>
      <c r="N1744" s="83" t="n"/>
      <c r="O1744" s="66">
        <f>IF(OR($M1744="",$N1744=""),"",$N1744-$M1744)</f>
        <v/>
      </c>
      <c r="P1744" s="84">
        <f>IF($J1744="","",IF($L1744&lt;&gt;"",$L1744-$J1744,TODAY()-$J1744))</f>
        <v/>
      </c>
      <c r="Q1744" s="85">
        <f>IF(OR($K1744="",$H1744="Completed",$H1744="Cancelled"),"",IF(AND($K1744&lt;TODAY(),$H1744&lt;&gt;"Completed",$H1744&lt;&gt;"Cancelled"),"Overdue","On Track"))</f>
        <v/>
      </c>
      <c r="R1744" s="81" t="n"/>
      <c r="S1744" s="81">
        <f>IF($B1744="","",IFERROR(INDEX(Task_Tracker!$AA$5:$AA$1004,MATCH($B1744,Task_Tracker!$A$5:$A$1004,0)),""))</f>
        <v/>
      </c>
      <c r="T1744" s="81">
        <f>IF($B1744="","",IFERROR(INDEX(Task_Tracker!$AB$5:$AB$1004,MATCH($B1744,Task_Tracker!$A$5:$A$1004,0)),""))</f>
        <v/>
      </c>
      <c r="U1744" s="78">
        <f>IF($B1744="","",IFERROR(INDEX(Task_Tracker!$F$5:$F$1004,MATCH($B1744,Task_Tracker!$A$5:$A$1004,0)),""))</f>
        <v/>
      </c>
      <c r="V1744" s="78">
        <f>IF($B1744="","",IFERROR(INDEX(Task_Tracker!$I$5:$I$1004,MATCH($B1744,Task_Tracker!$A$5:$A$1004,0)),""))</f>
        <v/>
      </c>
      <c r="W1744" s="81">
        <f>IF(OR($D1744="",$B1744=""),"",$D1744&amp;" | "&amp;$B1744)</f>
        <v/>
      </c>
      <c r="X1744" s="85">
        <f>IF($K1744="","",TEXT($K1744,"yyyy-mm"))</f>
        <v/>
      </c>
      <c r="Y1744" s="81">
        <f>IF(OR($A1744="",$T1744=""),"","Included in Manager_Report")</f>
        <v/>
      </c>
    </row>
    <row r="1745" ht="15" customHeight="1" s="40">
      <c r="A1745" s="65">
        <f>IF(COUNTA(B1745:G1745)=0,"","STP-"&amp;TEXT(ROW()-4,"0000"))</f>
        <v/>
      </c>
      <c r="B1745" s="78" t="n"/>
      <c r="C1745" s="67">
        <f>IF($B1745="","",IFERROR(INDEX(Task_Tracker!$D$5:$D$1004,MATCH($B1745,Task_Tracker!$A$5:$A$1004,0)),""))</f>
        <v/>
      </c>
      <c r="D1745" s="67">
        <f>IF($B1745="","",IFERROR(INDEX(Task_Tracker!$B$5:$B$1004,MATCH($B1745,Task_Tracker!$A$5:$A$1004,0)),""))</f>
        <v/>
      </c>
      <c r="E1745" s="81" t="n"/>
      <c r="F1745" s="81" t="n"/>
      <c r="G1745" s="78" t="n"/>
      <c r="H1745" s="78" t="n"/>
      <c r="I1745" s="67">
        <f>IF($H1745="","",IFERROR(INDEX(Action_Status_Map!$B$5:$B$11,MATCH($H1745,Action_Status_Map!$A$5:$A$11,0)),""))</f>
        <v/>
      </c>
      <c r="J1745" s="82" t="n"/>
      <c r="K1745" s="82" t="n"/>
      <c r="L1745" s="82" t="n"/>
      <c r="M1745" s="83" t="n"/>
      <c r="N1745" s="83" t="n"/>
      <c r="O1745" s="66">
        <f>IF(OR($M1745="",$N1745=""),"",$N1745-$M1745)</f>
        <v/>
      </c>
      <c r="P1745" s="84">
        <f>IF($J1745="","",IF($L1745&lt;&gt;"",$L1745-$J1745,TODAY()-$J1745))</f>
        <v/>
      </c>
      <c r="Q1745" s="85">
        <f>IF(OR($K1745="",$H1745="Completed",$H1745="Cancelled"),"",IF(AND($K1745&lt;TODAY(),$H1745&lt;&gt;"Completed",$H1745&lt;&gt;"Cancelled"),"Overdue","On Track"))</f>
        <v/>
      </c>
      <c r="R1745" s="81" t="n"/>
      <c r="S1745" s="81">
        <f>IF($B1745="","",IFERROR(INDEX(Task_Tracker!$AA$5:$AA$1004,MATCH($B1745,Task_Tracker!$A$5:$A$1004,0)),""))</f>
        <v/>
      </c>
      <c r="T1745" s="81">
        <f>IF($B1745="","",IFERROR(INDEX(Task_Tracker!$AB$5:$AB$1004,MATCH($B1745,Task_Tracker!$A$5:$A$1004,0)),""))</f>
        <v/>
      </c>
      <c r="U1745" s="78">
        <f>IF($B1745="","",IFERROR(INDEX(Task_Tracker!$F$5:$F$1004,MATCH($B1745,Task_Tracker!$A$5:$A$1004,0)),""))</f>
        <v/>
      </c>
      <c r="V1745" s="78">
        <f>IF($B1745="","",IFERROR(INDEX(Task_Tracker!$I$5:$I$1004,MATCH($B1745,Task_Tracker!$A$5:$A$1004,0)),""))</f>
        <v/>
      </c>
      <c r="W1745" s="81">
        <f>IF(OR($D1745="",$B1745=""),"",$D1745&amp;" | "&amp;$B1745)</f>
        <v/>
      </c>
      <c r="X1745" s="85">
        <f>IF($K1745="","",TEXT($K1745,"yyyy-mm"))</f>
        <v/>
      </c>
      <c r="Y1745" s="81">
        <f>IF(OR($A1745="",$T1745=""),"","Included in Manager_Report")</f>
        <v/>
      </c>
    </row>
    <row r="1746" ht="15" customHeight="1" s="40">
      <c r="A1746" s="65">
        <f>IF(COUNTA(B1746:G1746)=0,"","STP-"&amp;TEXT(ROW()-4,"0000"))</f>
        <v/>
      </c>
      <c r="B1746" s="78" t="n"/>
      <c r="C1746" s="67">
        <f>IF($B1746="","",IFERROR(INDEX(Task_Tracker!$D$5:$D$1004,MATCH($B1746,Task_Tracker!$A$5:$A$1004,0)),""))</f>
        <v/>
      </c>
      <c r="D1746" s="67">
        <f>IF($B1746="","",IFERROR(INDEX(Task_Tracker!$B$5:$B$1004,MATCH($B1746,Task_Tracker!$A$5:$A$1004,0)),""))</f>
        <v/>
      </c>
      <c r="E1746" s="81" t="n"/>
      <c r="F1746" s="81" t="n"/>
      <c r="G1746" s="78" t="n"/>
      <c r="H1746" s="78" t="n"/>
      <c r="I1746" s="67">
        <f>IF($H1746="","",IFERROR(INDEX(Action_Status_Map!$B$5:$B$11,MATCH($H1746,Action_Status_Map!$A$5:$A$11,0)),""))</f>
        <v/>
      </c>
      <c r="J1746" s="82" t="n"/>
      <c r="K1746" s="82" t="n"/>
      <c r="L1746" s="82" t="n"/>
      <c r="M1746" s="83" t="n"/>
      <c r="N1746" s="83" t="n"/>
      <c r="O1746" s="66">
        <f>IF(OR($M1746="",$N1746=""),"",$N1746-$M1746)</f>
        <v/>
      </c>
      <c r="P1746" s="84">
        <f>IF($J1746="","",IF($L1746&lt;&gt;"",$L1746-$J1746,TODAY()-$J1746))</f>
        <v/>
      </c>
      <c r="Q1746" s="85">
        <f>IF(OR($K1746="",$H1746="Completed",$H1746="Cancelled"),"",IF(AND($K1746&lt;TODAY(),$H1746&lt;&gt;"Completed",$H1746&lt;&gt;"Cancelled"),"Overdue","On Track"))</f>
        <v/>
      </c>
      <c r="R1746" s="81" t="n"/>
      <c r="S1746" s="81">
        <f>IF($B1746="","",IFERROR(INDEX(Task_Tracker!$AA$5:$AA$1004,MATCH($B1746,Task_Tracker!$A$5:$A$1004,0)),""))</f>
        <v/>
      </c>
      <c r="T1746" s="81">
        <f>IF($B1746="","",IFERROR(INDEX(Task_Tracker!$AB$5:$AB$1004,MATCH($B1746,Task_Tracker!$A$5:$A$1004,0)),""))</f>
        <v/>
      </c>
      <c r="U1746" s="78">
        <f>IF($B1746="","",IFERROR(INDEX(Task_Tracker!$F$5:$F$1004,MATCH($B1746,Task_Tracker!$A$5:$A$1004,0)),""))</f>
        <v/>
      </c>
      <c r="V1746" s="78">
        <f>IF($B1746="","",IFERROR(INDEX(Task_Tracker!$I$5:$I$1004,MATCH($B1746,Task_Tracker!$A$5:$A$1004,0)),""))</f>
        <v/>
      </c>
      <c r="W1746" s="81">
        <f>IF(OR($D1746="",$B1746=""),"",$D1746&amp;" | "&amp;$B1746)</f>
        <v/>
      </c>
      <c r="X1746" s="85">
        <f>IF($K1746="","",TEXT($K1746,"yyyy-mm"))</f>
        <v/>
      </c>
      <c r="Y1746" s="81">
        <f>IF(OR($A1746="",$T1746=""),"","Included in Manager_Report")</f>
        <v/>
      </c>
    </row>
    <row r="1747" ht="15" customHeight="1" s="40">
      <c r="A1747" s="65">
        <f>IF(COUNTA(B1747:G1747)=0,"","STP-"&amp;TEXT(ROW()-4,"0000"))</f>
        <v/>
      </c>
      <c r="B1747" s="78" t="n"/>
      <c r="C1747" s="67">
        <f>IF($B1747="","",IFERROR(INDEX(Task_Tracker!$D$5:$D$1004,MATCH($B1747,Task_Tracker!$A$5:$A$1004,0)),""))</f>
        <v/>
      </c>
      <c r="D1747" s="67">
        <f>IF($B1747="","",IFERROR(INDEX(Task_Tracker!$B$5:$B$1004,MATCH($B1747,Task_Tracker!$A$5:$A$1004,0)),""))</f>
        <v/>
      </c>
      <c r="E1747" s="81" t="n"/>
      <c r="F1747" s="81" t="n"/>
      <c r="G1747" s="78" t="n"/>
      <c r="H1747" s="78" t="n"/>
      <c r="I1747" s="67">
        <f>IF($H1747="","",IFERROR(INDEX(Action_Status_Map!$B$5:$B$11,MATCH($H1747,Action_Status_Map!$A$5:$A$11,0)),""))</f>
        <v/>
      </c>
      <c r="J1747" s="82" t="n"/>
      <c r="K1747" s="82" t="n"/>
      <c r="L1747" s="82" t="n"/>
      <c r="M1747" s="83" t="n"/>
      <c r="N1747" s="83" t="n"/>
      <c r="O1747" s="66">
        <f>IF(OR($M1747="",$N1747=""),"",$N1747-$M1747)</f>
        <v/>
      </c>
      <c r="P1747" s="84">
        <f>IF($J1747="","",IF($L1747&lt;&gt;"",$L1747-$J1747,TODAY()-$J1747))</f>
        <v/>
      </c>
      <c r="Q1747" s="85">
        <f>IF(OR($K1747="",$H1747="Completed",$H1747="Cancelled"),"",IF(AND($K1747&lt;TODAY(),$H1747&lt;&gt;"Completed",$H1747&lt;&gt;"Cancelled"),"Overdue","On Track"))</f>
        <v/>
      </c>
      <c r="R1747" s="81" t="n"/>
      <c r="S1747" s="81">
        <f>IF($B1747="","",IFERROR(INDEX(Task_Tracker!$AA$5:$AA$1004,MATCH($B1747,Task_Tracker!$A$5:$A$1004,0)),""))</f>
        <v/>
      </c>
      <c r="T1747" s="81">
        <f>IF($B1747="","",IFERROR(INDEX(Task_Tracker!$AB$5:$AB$1004,MATCH($B1747,Task_Tracker!$A$5:$A$1004,0)),""))</f>
        <v/>
      </c>
      <c r="U1747" s="78">
        <f>IF($B1747="","",IFERROR(INDEX(Task_Tracker!$F$5:$F$1004,MATCH($B1747,Task_Tracker!$A$5:$A$1004,0)),""))</f>
        <v/>
      </c>
      <c r="V1747" s="78">
        <f>IF($B1747="","",IFERROR(INDEX(Task_Tracker!$I$5:$I$1004,MATCH($B1747,Task_Tracker!$A$5:$A$1004,0)),""))</f>
        <v/>
      </c>
      <c r="W1747" s="81">
        <f>IF(OR($D1747="",$B1747=""),"",$D1747&amp;" | "&amp;$B1747)</f>
        <v/>
      </c>
      <c r="X1747" s="85">
        <f>IF($K1747="","",TEXT($K1747,"yyyy-mm"))</f>
        <v/>
      </c>
      <c r="Y1747" s="81">
        <f>IF(OR($A1747="",$T1747=""),"","Included in Manager_Report")</f>
        <v/>
      </c>
    </row>
    <row r="1748" ht="15" customHeight="1" s="40">
      <c r="A1748" s="65">
        <f>IF(COUNTA(B1748:G1748)=0,"","STP-"&amp;TEXT(ROW()-4,"0000"))</f>
        <v/>
      </c>
      <c r="B1748" s="78" t="n"/>
      <c r="C1748" s="67">
        <f>IF($B1748="","",IFERROR(INDEX(Task_Tracker!$D$5:$D$1004,MATCH($B1748,Task_Tracker!$A$5:$A$1004,0)),""))</f>
        <v/>
      </c>
      <c r="D1748" s="67">
        <f>IF($B1748="","",IFERROR(INDEX(Task_Tracker!$B$5:$B$1004,MATCH($B1748,Task_Tracker!$A$5:$A$1004,0)),""))</f>
        <v/>
      </c>
      <c r="E1748" s="81" t="n"/>
      <c r="F1748" s="81" t="n"/>
      <c r="G1748" s="78" t="n"/>
      <c r="H1748" s="78" t="n"/>
      <c r="I1748" s="67">
        <f>IF($H1748="","",IFERROR(INDEX(Action_Status_Map!$B$5:$B$11,MATCH($H1748,Action_Status_Map!$A$5:$A$11,0)),""))</f>
        <v/>
      </c>
      <c r="J1748" s="82" t="n"/>
      <c r="K1748" s="82" t="n"/>
      <c r="L1748" s="82" t="n"/>
      <c r="M1748" s="83" t="n"/>
      <c r="N1748" s="83" t="n"/>
      <c r="O1748" s="66">
        <f>IF(OR($M1748="",$N1748=""),"",$N1748-$M1748)</f>
        <v/>
      </c>
      <c r="P1748" s="84">
        <f>IF($J1748="","",IF($L1748&lt;&gt;"",$L1748-$J1748,TODAY()-$J1748))</f>
        <v/>
      </c>
      <c r="Q1748" s="85">
        <f>IF(OR($K1748="",$H1748="Completed",$H1748="Cancelled"),"",IF(AND($K1748&lt;TODAY(),$H1748&lt;&gt;"Completed",$H1748&lt;&gt;"Cancelled"),"Overdue","On Track"))</f>
        <v/>
      </c>
      <c r="R1748" s="81" t="n"/>
      <c r="S1748" s="81">
        <f>IF($B1748="","",IFERROR(INDEX(Task_Tracker!$AA$5:$AA$1004,MATCH($B1748,Task_Tracker!$A$5:$A$1004,0)),""))</f>
        <v/>
      </c>
      <c r="T1748" s="81">
        <f>IF($B1748="","",IFERROR(INDEX(Task_Tracker!$AB$5:$AB$1004,MATCH($B1748,Task_Tracker!$A$5:$A$1004,0)),""))</f>
        <v/>
      </c>
      <c r="U1748" s="78">
        <f>IF($B1748="","",IFERROR(INDEX(Task_Tracker!$F$5:$F$1004,MATCH($B1748,Task_Tracker!$A$5:$A$1004,0)),""))</f>
        <v/>
      </c>
      <c r="V1748" s="78">
        <f>IF($B1748="","",IFERROR(INDEX(Task_Tracker!$I$5:$I$1004,MATCH($B1748,Task_Tracker!$A$5:$A$1004,0)),""))</f>
        <v/>
      </c>
      <c r="W1748" s="81">
        <f>IF(OR($D1748="",$B1748=""),"",$D1748&amp;" | "&amp;$B1748)</f>
        <v/>
      </c>
      <c r="X1748" s="85">
        <f>IF($K1748="","",TEXT($K1748,"yyyy-mm"))</f>
        <v/>
      </c>
      <c r="Y1748" s="81">
        <f>IF(OR($A1748="",$T1748=""),"","Included in Manager_Report")</f>
        <v/>
      </c>
    </row>
    <row r="1749" ht="15" customHeight="1" s="40">
      <c r="A1749" s="65">
        <f>IF(COUNTA(B1749:G1749)=0,"","STP-"&amp;TEXT(ROW()-4,"0000"))</f>
        <v/>
      </c>
      <c r="B1749" s="78" t="n"/>
      <c r="C1749" s="67">
        <f>IF($B1749="","",IFERROR(INDEX(Task_Tracker!$D$5:$D$1004,MATCH($B1749,Task_Tracker!$A$5:$A$1004,0)),""))</f>
        <v/>
      </c>
      <c r="D1749" s="67">
        <f>IF($B1749="","",IFERROR(INDEX(Task_Tracker!$B$5:$B$1004,MATCH($B1749,Task_Tracker!$A$5:$A$1004,0)),""))</f>
        <v/>
      </c>
      <c r="E1749" s="81" t="n"/>
      <c r="F1749" s="81" t="n"/>
      <c r="G1749" s="78" t="n"/>
      <c r="H1749" s="78" t="n"/>
      <c r="I1749" s="67">
        <f>IF($H1749="","",IFERROR(INDEX(Action_Status_Map!$B$5:$B$11,MATCH($H1749,Action_Status_Map!$A$5:$A$11,0)),""))</f>
        <v/>
      </c>
      <c r="J1749" s="82" t="n"/>
      <c r="K1749" s="82" t="n"/>
      <c r="L1749" s="82" t="n"/>
      <c r="M1749" s="83" t="n"/>
      <c r="N1749" s="83" t="n"/>
      <c r="O1749" s="66">
        <f>IF(OR($M1749="",$N1749=""),"",$N1749-$M1749)</f>
        <v/>
      </c>
      <c r="P1749" s="84">
        <f>IF($J1749="","",IF($L1749&lt;&gt;"",$L1749-$J1749,TODAY()-$J1749))</f>
        <v/>
      </c>
      <c r="Q1749" s="85">
        <f>IF(OR($K1749="",$H1749="Completed",$H1749="Cancelled"),"",IF(AND($K1749&lt;TODAY(),$H1749&lt;&gt;"Completed",$H1749&lt;&gt;"Cancelled"),"Overdue","On Track"))</f>
        <v/>
      </c>
      <c r="R1749" s="81" t="n"/>
      <c r="S1749" s="81">
        <f>IF($B1749="","",IFERROR(INDEX(Task_Tracker!$AA$5:$AA$1004,MATCH($B1749,Task_Tracker!$A$5:$A$1004,0)),""))</f>
        <v/>
      </c>
      <c r="T1749" s="81">
        <f>IF($B1749="","",IFERROR(INDEX(Task_Tracker!$AB$5:$AB$1004,MATCH($B1749,Task_Tracker!$A$5:$A$1004,0)),""))</f>
        <v/>
      </c>
      <c r="U1749" s="78">
        <f>IF($B1749="","",IFERROR(INDEX(Task_Tracker!$F$5:$F$1004,MATCH($B1749,Task_Tracker!$A$5:$A$1004,0)),""))</f>
        <v/>
      </c>
      <c r="V1749" s="78">
        <f>IF($B1749="","",IFERROR(INDEX(Task_Tracker!$I$5:$I$1004,MATCH($B1749,Task_Tracker!$A$5:$A$1004,0)),""))</f>
        <v/>
      </c>
      <c r="W1749" s="81">
        <f>IF(OR($D1749="",$B1749=""),"",$D1749&amp;" | "&amp;$B1749)</f>
        <v/>
      </c>
      <c r="X1749" s="85">
        <f>IF($K1749="","",TEXT($K1749,"yyyy-mm"))</f>
        <v/>
      </c>
      <c r="Y1749" s="81">
        <f>IF(OR($A1749="",$T1749=""),"","Included in Manager_Report")</f>
        <v/>
      </c>
    </row>
    <row r="1750" ht="15" customHeight="1" s="40">
      <c r="A1750" s="65">
        <f>IF(COUNTA(B1750:G1750)=0,"","STP-"&amp;TEXT(ROW()-4,"0000"))</f>
        <v/>
      </c>
      <c r="B1750" s="78" t="n"/>
      <c r="C1750" s="67">
        <f>IF($B1750="","",IFERROR(INDEX(Task_Tracker!$D$5:$D$1004,MATCH($B1750,Task_Tracker!$A$5:$A$1004,0)),""))</f>
        <v/>
      </c>
      <c r="D1750" s="67">
        <f>IF($B1750="","",IFERROR(INDEX(Task_Tracker!$B$5:$B$1004,MATCH($B1750,Task_Tracker!$A$5:$A$1004,0)),""))</f>
        <v/>
      </c>
      <c r="E1750" s="81" t="n"/>
      <c r="F1750" s="81" t="n"/>
      <c r="G1750" s="78" t="n"/>
      <c r="H1750" s="78" t="n"/>
      <c r="I1750" s="67">
        <f>IF($H1750="","",IFERROR(INDEX(Action_Status_Map!$B$5:$B$11,MATCH($H1750,Action_Status_Map!$A$5:$A$11,0)),""))</f>
        <v/>
      </c>
      <c r="J1750" s="82" t="n"/>
      <c r="K1750" s="82" t="n"/>
      <c r="L1750" s="82" t="n"/>
      <c r="M1750" s="83" t="n"/>
      <c r="N1750" s="83" t="n"/>
      <c r="O1750" s="66">
        <f>IF(OR($M1750="",$N1750=""),"",$N1750-$M1750)</f>
        <v/>
      </c>
      <c r="P1750" s="84">
        <f>IF($J1750="","",IF($L1750&lt;&gt;"",$L1750-$J1750,TODAY()-$J1750))</f>
        <v/>
      </c>
      <c r="Q1750" s="85">
        <f>IF(OR($K1750="",$H1750="Completed",$H1750="Cancelled"),"",IF(AND($K1750&lt;TODAY(),$H1750&lt;&gt;"Completed",$H1750&lt;&gt;"Cancelled"),"Overdue","On Track"))</f>
        <v/>
      </c>
      <c r="R1750" s="81" t="n"/>
      <c r="S1750" s="81">
        <f>IF($B1750="","",IFERROR(INDEX(Task_Tracker!$AA$5:$AA$1004,MATCH($B1750,Task_Tracker!$A$5:$A$1004,0)),""))</f>
        <v/>
      </c>
      <c r="T1750" s="81">
        <f>IF($B1750="","",IFERROR(INDEX(Task_Tracker!$AB$5:$AB$1004,MATCH($B1750,Task_Tracker!$A$5:$A$1004,0)),""))</f>
        <v/>
      </c>
      <c r="U1750" s="78">
        <f>IF($B1750="","",IFERROR(INDEX(Task_Tracker!$F$5:$F$1004,MATCH($B1750,Task_Tracker!$A$5:$A$1004,0)),""))</f>
        <v/>
      </c>
      <c r="V1750" s="78">
        <f>IF($B1750="","",IFERROR(INDEX(Task_Tracker!$I$5:$I$1004,MATCH($B1750,Task_Tracker!$A$5:$A$1004,0)),""))</f>
        <v/>
      </c>
      <c r="W1750" s="81">
        <f>IF(OR($D1750="",$B1750=""),"",$D1750&amp;" | "&amp;$B1750)</f>
        <v/>
      </c>
      <c r="X1750" s="85">
        <f>IF($K1750="","",TEXT($K1750,"yyyy-mm"))</f>
        <v/>
      </c>
      <c r="Y1750" s="81">
        <f>IF(OR($A1750="",$T1750=""),"","Included in Manager_Report")</f>
        <v/>
      </c>
    </row>
    <row r="1751" ht="15" customHeight="1" s="40">
      <c r="A1751" s="65">
        <f>IF(COUNTA(B1751:G1751)=0,"","STP-"&amp;TEXT(ROW()-4,"0000"))</f>
        <v/>
      </c>
      <c r="B1751" s="78" t="n"/>
      <c r="C1751" s="67">
        <f>IF($B1751="","",IFERROR(INDEX(Task_Tracker!$D$5:$D$1004,MATCH($B1751,Task_Tracker!$A$5:$A$1004,0)),""))</f>
        <v/>
      </c>
      <c r="D1751" s="67">
        <f>IF($B1751="","",IFERROR(INDEX(Task_Tracker!$B$5:$B$1004,MATCH($B1751,Task_Tracker!$A$5:$A$1004,0)),""))</f>
        <v/>
      </c>
      <c r="E1751" s="81" t="n"/>
      <c r="F1751" s="81" t="n"/>
      <c r="G1751" s="78" t="n"/>
      <c r="H1751" s="78" t="n"/>
      <c r="I1751" s="67">
        <f>IF($H1751="","",IFERROR(INDEX(Action_Status_Map!$B$5:$B$11,MATCH($H1751,Action_Status_Map!$A$5:$A$11,0)),""))</f>
        <v/>
      </c>
      <c r="J1751" s="82" t="n"/>
      <c r="K1751" s="82" t="n"/>
      <c r="L1751" s="82" t="n"/>
      <c r="M1751" s="83" t="n"/>
      <c r="N1751" s="83" t="n"/>
      <c r="O1751" s="66">
        <f>IF(OR($M1751="",$N1751=""),"",$N1751-$M1751)</f>
        <v/>
      </c>
      <c r="P1751" s="84">
        <f>IF($J1751="","",IF($L1751&lt;&gt;"",$L1751-$J1751,TODAY()-$J1751))</f>
        <v/>
      </c>
      <c r="Q1751" s="85">
        <f>IF(OR($K1751="",$H1751="Completed",$H1751="Cancelled"),"",IF(AND($K1751&lt;TODAY(),$H1751&lt;&gt;"Completed",$H1751&lt;&gt;"Cancelled"),"Overdue","On Track"))</f>
        <v/>
      </c>
      <c r="R1751" s="81" t="n"/>
      <c r="S1751" s="81">
        <f>IF($B1751="","",IFERROR(INDEX(Task_Tracker!$AA$5:$AA$1004,MATCH($B1751,Task_Tracker!$A$5:$A$1004,0)),""))</f>
        <v/>
      </c>
      <c r="T1751" s="81">
        <f>IF($B1751="","",IFERROR(INDEX(Task_Tracker!$AB$5:$AB$1004,MATCH($B1751,Task_Tracker!$A$5:$A$1004,0)),""))</f>
        <v/>
      </c>
      <c r="U1751" s="78">
        <f>IF($B1751="","",IFERROR(INDEX(Task_Tracker!$F$5:$F$1004,MATCH($B1751,Task_Tracker!$A$5:$A$1004,0)),""))</f>
        <v/>
      </c>
      <c r="V1751" s="78">
        <f>IF($B1751="","",IFERROR(INDEX(Task_Tracker!$I$5:$I$1004,MATCH($B1751,Task_Tracker!$A$5:$A$1004,0)),""))</f>
        <v/>
      </c>
      <c r="W1751" s="81">
        <f>IF(OR($D1751="",$B1751=""),"",$D1751&amp;" | "&amp;$B1751)</f>
        <v/>
      </c>
      <c r="X1751" s="85">
        <f>IF($K1751="","",TEXT($K1751,"yyyy-mm"))</f>
        <v/>
      </c>
      <c r="Y1751" s="81">
        <f>IF(OR($A1751="",$T1751=""),"","Included in Manager_Report")</f>
        <v/>
      </c>
    </row>
    <row r="1752" ht="15" customHeight="1" s="40">
      <c r="A1752" s="65">
        <f>IF(COUNTA(B1752:G1752)=0,"","STP-"&amp;TEXT(ROW()-4,"0000"))</f>
        <v/>
      </c>
      <c r="B1752" s="78" t="n"/>
      <c r="C1752" s="67">
        <f>IF($B1752="","",IFERROR(INDEX(Task_Tracker!$D$5:$D$1004,MATCH($B1752,Task_Tracker!$A$5:$A$1004,0)),""))</f>
        <v/>
      </c>
      <c r="D1752" s="67">
        <f>IF($B1752="","",IFERROR(INDEX(Task_Tracker!$B$5:$B$1004,MATCH($B1752,Task_Tracker!$A$5:$A$1004,0)),""))</f>
        <v/>
      </c>
      <c r="E1752" s="81" t="n"/>
      <c r="F1752" s="81" t="n"/>
      <c r="G1752" s="78" t="n"/>
      <c r="H1752" s="78" t="n"/>
      <c r="I1752" s="67">
        <f>IF($H1752="","",IFERROR(INDEX(Action_Status_Map!$B$5:$B$11,MATCH($H1752,Action_Status_Map!$A$5:$A$11,0)),""))</f>
        <v/>
      </c>
      <c r="J1752" s="82" t="n"/>
      <c r="K1752" s="82" t="n"/>
      <c r="L1752" s="82" t="n"/>
      <c r="M1752" s="83" t="n"/>
      <c r="N1752" s="83" t="n"/>
      <c r="O1752" s="66">
        <f>IF(OR($M1752="",$N1752=""),"",$N1752-$M1752)</f>
        <v/>
      </c>
      <c r="P1752" s="84">
        <f>IF($J1752="","",IF($L1752&lt;&gt;"",$L1752-$J1752,TODAY()-$J1752))</f>
        <v/>
      </c>
      <c r="Q1752" s="85">
        <f>IF(OR($K1752="",$H1752="Completed",$H1752="Cancelled"),"",IF(AND($K1752&lt;TODAY(),$H1752&lt;&gt;"Completed",$H1752&lt;&gt;"Cancelled"),"Overdue","On Track"))</f>
        <v/>
      </c>
      <c r="R1752" s="81" t="n"/>
      <c r="S1752" s="81">
        <f>IF($B1752="","",IFERROR(INDEX(Task_Tracker!$AA$5:$AA$1004,MATCH($B1752,Task_Tracker!$A$5:$A$1004,0)),""))</f>
        <v/>
      </c>
      <c r="T1752" s="81">
        <f>IF($B1752="","",IFERROR(INDEX(Task_Tracker!$AB$5:$AB$1004,MATCH($B1752,Task_Tracker!$A$5:$A$1004,0)),""))</f>
        <v/>
      </c>
      <c r="U1752" s="78">
        <f>IF($B1752="","",IFERROR(INDEX(Task_Tracker!$F$5:$F$1004,MATCH($B1752,Task_Tracker!$A$5:$A$1004,0)),""))</f>
        <v/>
      </c>
      <c r="V1752" s="78">
        <f>IF($B1752="","",IFERROR(INDEX(Task_Tracker!$I$5:$I$1004,MATCH($B1752,Task_Tracker!$A$5:$A$1004,0)),""))</f>
        <v/>
      </c>
      <c r="W1752" s="81">
        <f>IF(OR($D1752="",$B1752=""),"",$D1752&amp;" | "&amp;$B1752)</f>
        <v/>
      </c>
      <c r="X1752" s="85">
        <f>IF($K1752="","",TEXT($K1752,"yyyy-mm"))</f>
        <v/>
      </c>
      <c r="Y1752" s="81">
        <f>IF(OR($A1752="",$T1752=""),"","Included in Manager_Report")</f>
        <v/>
      </c>
    </row>
    <row r="1753" ht="15" customHeight="1" s="40">
      <c r="A1753" s="65">
        <f>IF(COUNTA(B1753:G1753)=0,"","STP-"&amp;TEXT(ROW()-4,"0000"))</f>
        <v/>
      </c>
      <c r="B1753" s="78" t="n"/>
      <c r="C1753" s="67">
        <f>IF($B1753="","",IFERROR(INDEX(Task_Tracker!$D$5:$D$1004,MATCH($B1753,Task_Tracker!$A$5:$A$1004,0)),""))</f>
        <v/>
      </c>
      <c r="D1753" s="67">
        <f>IF($B1753="","",IFERROR(INDEX(Task_Tracker!$B$5:$B$1004,MATCH($B1753,Task_Tracker!$A$5:$A$1004,0)),""))</f>
        <v/>
      </c>
      <c r="E1753" s="81" t="n"/>
      <c r="F1753" s="81" t="n"/>
      <c r="G1753" s="78" t="n"/>
      <c r="H1753" s="78" t="n"/>
      <c r="I1753" s="67">
        <f>IF($H1753="","",IFERROR(INDEX(Action_Status_Map!$B$5:$B$11,MATCH($H1753,Action_Status_Map!$A$5:$A$11,0)),""))</f>
        <v/>
      </c>
      <c r="J1753" s="82" t="n"/>
      <c r="K1753" s="82" t="n"/>
      <c r="L1753" s="82" t="n"/>
      <c r="M1753" s="83" t="n"/>
      <c r="N1753" s="83" t="n"/>
      <c r="O1753" s="66">
        <f>IF(OR($M1753="",$N1753=""),"",$N1753-$M1753)</f>
        <v/>
      </c>
      <c r="P1753" s="84">
        <f>IF($J1753="","",IF($L1753&lt;&gt;"",$L1753-$J1753,TODAY()-$J1753))</f>
        <v/>
      </c>
      <c r="Q1753" s="85">
        <f>IF(OR($K1753="",$H1753="Completed",$H1753="Cancelled"),"",IF(AND($K1753&lt;TODAY(),$H1753&lt;&gt;"Completed",$H1753&lt;&gt;"Cancelled"),"Overdue","On Track"))</f>
        <v/>
      </c>
      <c r="R1753" s="81" t="n"/>
      <c r="S1753" s="81">
        <f>IF($B1753="","",IFERROR(INDEX(Task_Tracker!$AA$5:$AA$1004,MATCH($B1753,Task_Tracker!$A$5:$A$1004,0)),""))</f>
        <v/>
      </c>
      <c r="T1753" s="81">
        <f>IF($B1753="","",IFERROR(INDEX(Task_Tracker!$AB$5:$AB$1004,MATCH($B1753,Task_Tracker!$A$5:$A$1004,0)),""))</f>
        <v/>
      </c>
      <c r="U1753" s="78">
        <f>IF($B1753="","",IFERROR(INDEX(Task_Tracker!$F$5:$F$1004,MATCH($B1753,Task_Tracker!$A$5:$A$1004,0)),""))</f>
        <v/>
      </c>
      <c r="V1753" s="78">
        <f>IF($B1753="","",IFERROR(INDEX(Task_Tracker!$I$5:$I$1004,MATCH($B1753,Task_Tracker!$A$5:$A$1004,0)),""))</f>
        <v/>
      </c>
      <c r="W1753" s="81">
        <f>IF(OR($D1753="",$B1753=""),"",$D1753&amp;" | "&amp;$B1753)</f>
        <v/>
      </c>
      <c r="X1753" s="85">
        <f>IF($K1753="","",TEXT($K1753,"yyyy-mm"))</f>
        <v/>
      </c>
      <c r="Y1753" s="81">
        <f>IF(OR($A1753="",$T1753=""),"","Included in Manager_Report")</f>
        <v/>
      </c>
    </row>
    <row r="1754" ht="15" customHeight="1" s="40">
      <c r="A1754" s="65">
        <f>IF(COUNTA(B1754:G1754)=0,"","STP-"&amp;TEXT(ROW()-4,"0000"))</f>
        <v/>
      </c>
      <c r="B1754" s="78" t="n"/>
      <c r="C1754" s="67">
        <f>IF($B1754="","",IFERROR(INDEX(Task_Tracker!$D$5:$D$1004,MATCH($B1754,Task_Tracker!$A$5:$A$1004,0)),""))</f>
        <v/>
      </c>
      <c r="D1754" s="67">
        <f>IF($B1754="","",IFERROR(INDEX(Task_Tracker!$B$5:$B$1004,MATCH($B1754,Task_Tracker!$A$5:$A$1004,0)),""))</f>
        <v/>
      </c>
      <c r="E1754" s="81" t="n"/>
      <c r="F1754" s="81" t="n"/>
      <c r="G1754" s="78" t="n"/>
      <c r="H1754" s="78" t="n"/>
      <c r="I1754" s="67">
        <f>IF($H1754="","",IFERROR(INDEX(Action_Status_Map!$B$5:$B$11,MATCH($H1754,Action_Status_Map!$A$5:$A$11,0)),""))</f>
        <v/>
      </c>
      <c r="J1754" s="82" t="n"/>
      <c r="K1754" s="82" t="n"/>
      <c r="L1754" s="82" t="n"/>
      <c r="M1754" s="83" t="n"/>
      <c r="N1754" s="83" t="n"/>
      <c r="O1754" s="66">
        <f>IF(OR($M1754="",$N1754=""),"",$N1754-$M1754)</f>
        <v/>
      </c>
      <c r="P1754" s="84">
        <f>IF($J1754="","",IF($L1754&lt;&gt;"",$L1754-$J1754,TODAY()-$J1754))</f>
        <v/>
      </c>
      <c r="Q1754" s="85">
        <f>IF(OR($K1754="",$H1754="Completed",$H1754="Cancelled"),"",IF(AND($K1754&lt;TODAY(),$H1754&lt;&gt;"Completed",$H1754&lt;&gt;"Cancelled"),"Overdue","On Track"))</f>
        <v/>
      </c>
      <c r="R1754" s="81" t="n"/>
      <c r="S1754" s="81">
        <f>IF($B1754="","",IFERROR(INDEX(Task_Tracker!$AA$5:$AA$1004,MATCH($B1754,Task_Tracker!$A$5:$A$1004,0)),""))</f>
        <v/>
      </c>
      <c r="T1754" s="81">
        <f>IF($B1754="","",IFERROR(INDEX(Task_Tracker!$AB$5:$AB$1004,MATCH($B1754,Task_Tracker!$A$5:$A$1004,0)),""))</f>
        <v/>
      </c>
      <c r="U1754" s="78">
        <f>IF($B1754="","",IFERROR(INDEX(Task_Tracker!$F$5:$F$1004,MATCH($B1754,Task_Tracker!$A$5:$A$1004,0)),""))</f>
        <v/>
      </c>
      <c r="V1754" s="78">
        <f>IF($B1754="","",IFERROR(INDEX(Task_Tracker!$I$5:$I$1004,MATCH($B1754,Task_Tracker!$A$5:$A$1004,0)),""))</f>
        <v/>
      </c>
      <c r="W1754" s="81">
        <f>IF(OR($D1754="",$B1754=""),"",$D1754&amp;" | "&amp;$B1754)</f>
        <v/>
      </c>
      <c r="X1754" s="85">
        <f>IF($K1754="","",TEXT($K1754,"yyyy-mm"))</f>
        <v/>
      </c>
      <c r="Y1754" s="81">
        <f>IF(OR($A1754="",$T1754=""),"","Included in Manager_Report")</f>
        <v/>
      </c>
    </row>
    <row r="1755" ht="15" customHeight="1" s="40">
      <c r="A1755" s="65">
        <f>IF(COUNTA(B1755:G1755)=0,"","STP-"&amp;TEXT(ROW()-4,"0000"))</f>
        <v/>
      </c>
      <c r="B1755" s="78" t="n"/>
      <c r="C1755" s="67">
        <f>IF($B1755="","",IFERROR(INDEX(Task_Tracker!$D$5:$D$1004,MATCH($B1755,Task_Tracker!$A$5:$A$1004,0)),""))</f>
        <v/>
      </c>
      <c r="D1755" s="67">
        <f>IF($B1755="","",IFERROR(INDEX(Task_Tracker!$B$5:$B$1004,MATCH($B1755,Task_Tracker!$A$5:$A$1004,0)),""))</f>
        <v/>
      </c>
      <c r="E1755" s="81" t="n"/>
      <c r="F1755" s="81" t="n"/>
      <c r="G1755" s="78" t="n"/>
      <c r="H1755" s="78" t="n"/>
      <c r="I1755" s="67">
        <f>IF($H1755="","",IFERROR(INDEX(Action_Status_Map!$B$5:$B$11,MATCH($H1755,Action_Status_Map!$A$5:$A$11,0)),""))</f>
        <v/>
      </c>
      <c r="J1755" s="82" t="n"/>
      <c r="K1755" s="82" t="n"/>
      <c r="L1755" s="82" t="n"/>
      <c r="M1755" s="83" t="n"/>
      <c r="N1755" s="83" t="n"/>
      <c r="O1755" s="66">
        <f>IF(OR($M1755="",$N1755=""),"",$N1755-$M1755)</f>
        <v/>
      </c>
      <c r="P1755" s="84">
        <f>IF($J1755="","",IF($L1755&lt;&gt;"",$L1755-$J1755,TODAY()-$J1755))</f>
        <v/>
      </c>
      <c r="Q1755" s="85">
        <f>IF(OR($K1755="",$H1755="Completed",$H1755="Cancelled"),"",IF(AND($K1755&lt;TODAY(),$H1755&lt;&gt;"Completed",$H1755&lt;&gt;"Cancelled"),"Overdue","On Track"))</f>
        <v/>
      </c>
      <c r="R1755" s="81" t="n"/>
      <c r="S1755" s="81">
        <f>IF($B1755="","",IFERROR(INDEX(Task_Tracker!$AA$5:$AA$1004,MATCH($B1755,Task_Tracker!$A$5:$A$1004,0)),""))</f>
        <v/>
      </c>
      <c r="T1755" s="81">
        <f>IF($B1755="","",IFERROR(INDEX(Task_Tracker!$AB$5:$AB$1004,MATCH($B1755,Task_Tracker!$A$5:$A$1004,0)),""))</f>
        <v/>
      </c>
      <c r="U1755" s="78">
        <f>IF($B1755="","",IFERROR(INDEX(Task_Tracker!$F$5:$F$1004,MATCH($B1755,Task_Tracker!$A$5:$A$1004,0)),""))</f>
        <v/>
      </c>
      <c r="V1755" s="78">
        <f>IF($B1755="","",IFERROR(INDEX(Task_Tracker!$I$5:$I$1004,MATCH($B1755,Task_Tracker!$A$5:$A$1004,0)),""))</f>
        <v/>
      </c>
      <c r="W1755" s="81">
        <f>IF(OR($D1755="",$B1755=""),"",$D1755&amp;" | "&amp;$B1755)</f>
        <v/>
      </c>
      <c r="X1755" s="85">
        <f>IF($K1755="","",TEXT($K1755,"yyyy-mm"))</f>
        <v/>
      </c>
      <c r="Y1755" s="81">
        <f>IF(OR($A1755="",$T1755=""),"","Included in Manager_Report")</f>
        <v/>
      </c>
    </row>
    <row r="1756" ht="15" customHeight="1" s="40">
      <c r="A1756" s="65">
        <f>IF(COUNTA(B1756:G1756)=0,"","STP-"&amp;TEXT(ROW()-4,"0000"))</f>
        <v/>
      </c>
      <c r="B1756" s="78" t="n"/>
      <c r="C1756" s="67">
        <f>IF($B1756="","",IFERROR(INDEX(Task_Tracker!$D$5:$D$1004,MATCH($B1756,Task_Tracker!$A$5:$A$1004,0)),""))</f>
        <v/>
      </c>
      <c r="D1756" s="67">
        <f>IF($B1756="","",IFERROR(INDEX(Task_Tracker!$B$5:$B$1004,MATCH($B1756,Task_Tracker!$A$5:$A$1004,0)),""))</f>
        <v/>
      </c>
      <c r="E1756" s="81" t="n"/>
      <c r="F1756" s="81" t="n"/>
      <c r="G1756" s="78" t="n"/>
      <c r="H1756" s="78" t="n"/>
      <c r="I1756" s="67">
        <f>IF($H1756="","",IFERROR(INDEX(Action_Status_Map!$B$5:$B$11,MATCH($H1756,Action_Status_Map!$A$5:$A$11,0)),""))</f>
        <v/>
      </c>
      <c r="J1756" s="82" t="n"/>
      <c r="K1756" s="82" t="n"/>
      <c r="L1756" s="82" t="n"/>
      <c r="M1756" s="83" t="n"/>
      <c r="N1756" s="83" t="n"/>
      <c r="O1756" s="66">
        <f>IF(OR($M1756="",$N1756=""),"",$N1756-$M1756)</f>
        <v/>
      </c>
      <c r="P1756" s="84">
        <f>IF($J1756="","",IF($L1756&lt;&gt;"",$L1756-$J1756,TODAY()-$J1756))</f>
        <v/>
      </c>
      <c r="Q1756" s="85">
        <f>IF(OR($K1756="",$H1756="Completed",$H1756="Cancelled"),"",IF(AND($K1756&lt;TODAY(),$H1756&lt;&gt;"Completed",$H1756&lt;&gt;"Cancelled"),"Overdue","On Track"))</f>
        <v/>
      </c>
      <c r="R1756" s="81" t="n"/>
      <c r="S1756" s="81">
        <f>IF($B1756="","",IFERROR(INDEX(Task_Tracker!$AA$5:$AA$1004,MATCH($B1756,Task_Tracker!$A$5:$A$1004,0)),""))</f>
        <v/>
      </c>
      <c r="T1756" s="81">
        <f>IF($B1756="","",IFERROR(INDEX(Task_Tracker!$AB$5:$AB$1004,MATCH($B1756,Task_Tracker!$A$5:$A$1004,0)),""))</f>
        <v/>
      </c>
      <c r="U1756" s="78">
        <f>IF($B1756="","",IFERROR(INDEX(Task_Tracker!$F$5:$F$1004,MATCH($B1756,Task_Tracker!$A$5:$A$1004,0)),""))</f>
        <v/>
      </c>
      <c r="V1756" s="78">
        <f>IF($B1756="","",IFERROR(INDEX(Task_Tracker!$I$5:$I$1004,MATCH($B1756,Task_Tracker!$A$5:$A$1004,0)),""))</f>
        <v/>
      </c>
      <c r="W1756" s="81">
        <f>IF(OR($D1756="",$B1756=""),"",$D1756&amp;" | "&amp;$B1756)</f>
        <v/>
      </c>
      <c r="X1756" s="85">
        <f>IF($K1756="","",TEXT($K1756,"yyyy-mm"))</f>
        <v/>
      </c>
      <c r="Y1756" s="81">
        <f>IF(OR($A1756="",$T1756=""),"","Included in Manager_Report")</f>
        <v/>
      </c>
    </row>
    <row r="1757" ht="15" customHeight="1" s="40">
      <c r="A1757" s="65">
        <f>IF(COUNTA(B1757:G1757)=0,"","STP-"&amp;TEXT(ROW()-4,"0000"))</f>
        <v/>
      </c>
      <c r="B1757" s="78" t="n"/>
      <c r="C1757" s="67">
        <f>IF($B1757="","",IFERROR(INDEX(Task_Tracker!$D$5:$D$1004,MATCH($B1757,Task_Tracker!$A$5:$A$1004,0)),""))</f>
        <v/>
      </c>
      <c r="D1757" s="67">
        <f>IF($B1757="","",IFERROR(INDEX(Task_Tracker!$B$5:$B$1004,MATCH($B1757,Task_Tracker!$A$5:$A$1004,0)),""))</f>
        <v/>
      </c>
      <c r="E1757" s="81" t="n"/>
      <c r="F1757" s="81" t="n"/>
      <c r="G1757" s="78" t="n"/>
      <c r="H1757" s="78" t="n"/>
      <c r="I1757" s="67">
        <f>IF($H1757="","",IFERROR(INDEX(Action_Status_Map!$B$5:$B$11,MATCH($H1757,Action_Status_Map!$A$5:$A$11,0)),""))</f>
        <v/>
      </c>
      <c r="J1757" s="82" t="n"/>
      <c r="K1757" s="82" t="n"/>
      <c r="L1757" s="82" t="n"/>
      <c r="M1757" s="83" t="n"/>
      <c r="N1757" s="83" t="n"/>
      <c r="O1757" s="66">
        <f>IF(OR($M1757="",$N1757=""),"",$N1757-$M1757)</f>
        <v/>
      </c>
      <c r="P1757" s="84">
        <f>IF($J1757="","",IF($L1757&lt;&gt;"",$L1757-$J1757,TODAY()-$J1757))</f>
        <v/>
      </c>
      <c r="Q1757" s="85">
        <f>IF(OR($K1757="",$H1757="Completed",$H1757="Cancelled"),"",IF(AND($K1757&lt;TODAY(),$H1757&lt;&gt;"Completed",$H1757&lt;&gt;"Cancelled"),"Overdue","On Track"))</f>
        <v/>
      </c>
      <c r="R1757" s="81" t="n"/>
      <c r="S1757" s="81">
        <f>IF($B1757="","",IFERROR(INDEX(Task_Tracker!$AA$5:$AA$1004,MATCH($B1757,Task_Tracker!$A$5:$A$1004,0)),""))</f>
        <v/>
      </c>
      <c r="T1757" s="81">
        <f>IF($B1757="","",IFERROR(INDEX(Task_Tracker!$AB$5:$AB$1004,MATCH($B1757,Task_Tracker!$A$5:$A$1004,0)),""))</f>
        <v/>
      </c>
      <c r="U1757" s="78">
        <f>IF($B1757="","",IFERROR(INDEX(Task_Tracker!$F$5:$F$1004,MATCH($B1757,Task_Tracker!$A$5:$A$1004,0)),""))</f>
        <v/>
      </c>
      <c r="V1757" s="78">
        <f>IF($B1757="","",IFERROR(INDEX(Task_Tracker!$I$5:$I$1004,MATCH($B1757,Task_Tracker!$A$5:$A$1004,0)),""))</f>
        <v/>
      </c>
      <c r="W1757" s="81">
        <f>IF(OR($D1757="",$B1757=""),"",$D1757&amp;" | "&amp;$B1757)</f>
        <v/>
      </c>
      <c r="X1757" s="85">
        <f>IF($K1757="","",TEXT($K1757,"yyyy-mm"))</f>
        <v/>
      </c>
      <c r="Y1757" s="81">
        <f>IF(OR($A1757="",$T1757=""),"","Included in Manager_Report")</f>
        <v/>
      </c>
    </row>
    <row r="1758" ht="15" customHeight="1" s="40">
      <c r="A1758" s="65">
        <f>IF(COUNTA(B1758:G1758)=0,"","STP-"&amp;TEXT(ROW()-4,"0000"))</f>
        <v/>
      </c>
      <c r="B1758" s="78" t="n"/>
      <c r="C1758" s="67">
        <f>IF($B1758="","",IFERROR(INDEX(Task_Tracker!$D$5:$D$1004,MATCH($B1758,Task_Tracker!$A$5:$A$1004,0)),""))</f>
        <v/>
      </c>
      <c r="D1758" s="67">
        <f>IF($B1758="","",IFERROR(INDEX(Task_Tracker!$B$5:$B$1004,MATCH($B1758,Task_Tracker!$A$5:$A$1004,0)),""))</f>
        <v/>
      </c>
      <c r="E1758" s="81" t="n"/>
      <c r="F1758" s="81" t="n"/>
      <c r="G1758" s="78" t="n"/>
      <c r="H1758" s="78" t="n"/>
      <c r="I1758" s="67">
        <f>IF($H1758="","",IFERROR(INDEX(Action_Status_Map!$B$5:$B$11,MATCH($H1758,Action_Status_Map!$A$5:$A$11,0)),""))</f>
        <v/>
      </c>
      <c r="J1758" s="82" t="n"/>
      <c r="K1758" s="82" t="n"/>
      <c r="L1758" s="82" t="n"/>
      <c r="M1758" s="83" t="n"/>
      <c r="N1758" s="83" t="n"/>
      <c r="O1758" s="66">
        <f>IF(OR($M1758="",$N1758=""),"",$N1758-$M1758)</f>
        <v/>
      </c>
      <c r="P1758" s="84">
        <f>IF($J1758="","",IF($L1758&lt;&gt;"",$L1758-$J1758,TODAY()-$J1758))</f>
        <v/>
      </c>
      <c r="Q1758" s="85">
        <f>IF(OR($K1758="",$H1758="Completed",$H1758="Cancelled"),"",IF(AND($K1758&lt;TODAY(),$H1758&lt;&gt;"Completed",$H1758&lt;&gt;"Cancelled"),"Overdue","On Track"))</f>
        <v/>
      </c>
      <c r="R1758" s="81" t="n"/>
      <c r="S1758" s="81">
        <f>IF($B1758="","",IFERROR(INDEX(Task_Tracker!$AA$5:$AA$1004,MATCH($B1758,Task_Tracker!$A$5:$A$1004,0)),""))</f>
        <v/>
      </c>
      <c r="T1758" s="81">
        <f>IF($B1758="","",IFERROR(INDEX(Task_Tracker!$AB$5:$AB$1004,MATCH($B1758,Task_Tracker!$A$5:$A$1004,0)),""))</f>
        <v/>
      </c>
      <c r="U1758" s="78">
        <f>IF($B1758="","",IFERROR(INDEX(Task_Tracker!$F$5:$F$1004,MATCH($B1758,Task_Tracker!$A$5:$A$1004,0)),""))</f>
        <v/>
      </c>
      <c r="V1758" s="78">
        <f>IF($B1758="","",IFERROR(INDEX(Task_Tracker!$I$5:$I$1004,MATCH($B1758,Task_Tracker!$A$5:$A$1004,0)),""))</f>
        <v/>
      </c>
      <c r="W1758" s="81">
        <f>IF(OR($D1758="",$B1758=""),"",$D1758&amp;" | "&amp;$B1758)</f>
        <v/>
      </c>
      <c r="X1758" s="85">
        <f>IF($K1758="","",TEXT($K1758,"yyyy-mm"))</f>
        <v/>
      </c>
      <c r="Y1758" s="81">
        <f>IF(OR($A1758="",$T1758=""),"","Included in Manager_Report")</f>
        <v/>
      </c>
    </row>
    <row r="1759" ht="15" customHeight="1" s="40">
      <c r="A1759" s="65">
        <f>IF(COUNTA(B1759:G1759)=0,"","STP-"&amp;TEXT(ROW()-4,"0000"))</f>
        <v/>
      </c>
      <c r="B1759" s="78" t="n"/>
      <c r="C1759" s="67">
        <f>IF($B1759="","",IFERROR(INDEX(Task_Tracker!$D$5:$D$1004,MATCH($B1759,Task_Tracker!$A$5:$A$1004,0)),""))</f>
        <v/>
      </c>
      <c r="D1759" s="67">
        <f>IF($B1759="","",IFERROR(INDEX(Task_Tracker!$B$5:$B$1004,MATCH($B1759,Task_Tracker!$A$5:$A$1004,0)),""))</f>
        <v/>
      </c>
      <c r="E1759" s="81" t="n"/>
      <c r="F1759" s="81" t="n"/>
      <c r="G1759" s="78" t="n"/>
      <c r="H1759" s="78" t="n"/>
      <c r="I1759" s="67">
        <f>IF($H1759="","",IFERROR(INDEX(Action_Status_Map!$B$5:$B$11,MATCH($H1759,Action_Status_Map!$A$5:$A$11,0)),""))</f>
        <v/>
      </c>
      <c r="J1759" s="82" t="n"/>
      <c r="K1759" s="82" t="n"/>
      <c r="L1759" s="82" t="n"/>
      <c r="M1759" s="83" t="n"/>
      <c r="N1759" s="83" t="n"/>
      <c r="O1759" s="66">
        <f>IF(OR($M1759="",$N1759=""),"",$N1759-$M1759)</f>
        <v/>
      </c>
      <c r="P1759" s="84">
        <f>IF($J1759="","",IF($L1759&lt;&gt;"",$L1759-$J1759,TODAY()-$J1759))</f>
        <v/>
      </c>
      <c r="Q1759" s="85">
        <f>IF(OR($K1759="",$H1759="Completed",$H1759="Cancelled"),"",IF(AND($K1759&lt;TODAY(),$H1759&lt;&gt;"Completed",$H1759&lt;&gt;"Cancelled"),"Overdue","On Track"))</f>
        <v/>
      </c>
      <c r="R1759" s="81" t="n"/>
      <c r="S1759" s="81">
        <f>IF($B1759="","",IFERROR(INDEX(Task_Tracker!$AA$5:$AA$1004,MATCH($B1759,Task_Tracker!$A$5:$A$1004,0)),""))</f>
        <v/>
      </c>
      <c r="T1759" s="81">
        <f>IF($B1759="","",IFERROR(INDEX(Task_Tracker!$AB$5:$AB$1004,MATCH($B1759,Task_Tracker!$A$5:$A$1004,0)),""))</f>
        <v/>
      </c>
      <c r="U1759" s="78">
        <f>IF($B1759="","",IFERROR(INDEX(Task_Tracker!$F$5:$F$1004,MATCH($B1759,Task_Tracker!$A$5:$A$1004,0)),""))</f>
        <v/>
      </c>
      <c r="V1759" s="78">
        <f>IF($B1759="","",IFERROR(INDEX(Task_Tracker!$I$5:$I$1004,MATCH($B1759,Task_Tracker!$A$5:$A$1004,0)),""))</f>
        <v/>
      </c>
      <c r="W1759" s="81">
        <f>IF(OR($D1759="",$B1759=""),"",$D1759&amp;" | "&amp;$B1759)</f>
        <v/>
      </c>
      <c r="X1759" s="85">
        <f>IF($K1759="","",TEXT($K1759,"yyyy-mm"))</f>
        <v/>
      </c>
      <c r="Y1759" s="81">
        <f>IF(OR($A1759="",$T1759=""),"","Included in Manager_Report")</f>
        <v/>
      </c>
    </row>
    <row r="1760" ht="15" customHeight="1" s="40">
      <c r="A1760" s="65">
        <f>IF(COUNTA(B1760:G1760)=0,"","STP-"&amp;TEXT(ROW()-4,"0000"))</f>
        <v/>
      </c>
      <c r="B1760" s="78" t="n"/>
      <c r="C1760" s="67">
        <f>IF($B1760="","",IFERROR(INDEX(Task_Tracker!$D$5:$D$1004,MATCH($B1760,Task_Tracker!$A$5:$A$1004,0)),""))</f>
        <v/>
      </c>
      <c r="D1760" s="67">
        <f>IF($B1760="","",IFERROR(INDEX(Task_Tracker!$B$5:$B$1004,MATCH($B1760,Task_Tracker!$A$5:$A$1004,0)),""))</f>
        <v/>
      </c>
      <c r="E1760" s="81" t="n"/>
      <c r="F1760" s="81" t="n"/>
      <c r="G1760" s="78" t="n"/>
      <c r="H1760" s="78" t="n"/>
      <c r="I1760" s="67">
        <f>IF($H1760="","",IFERROR(INDEX(Action_Status_Map!$B$5:$B$11,MATCH($H1760,Action_Status_Map!$A$5:$A$11,0)),""))</f>
        <v/>
      </c>
      <c r="J1760" s="82" t="n"/>
      <c r="K1760" s="82" t="n"/>
      <c r="L1760" s="82" t="n"/>
      <c r="M1760" s="83" t="n"/>
      <c r="N1760" s="83" t="n"/>
      <c r="O1760" s="66">
        <f>IF(OR($M1760="",$N1760=""),"",$N1760-$M1760)</f>
        <v/>
      </c>
      <c r="P1760" s="84">
        <f>IF($J1760="","",IF($L1760&lt;&gt;"",$L1760-$J1760,TODAY()-$J1760))</f>
        <v/>
      </c>
      <c r="Q1760" s="85">
        <f>IF(OR($K1760="",$H1760="Completed",$H1760="Cancelled"),"",IF(AND($K1760&lt;TODAY(),$H1760&lt;&gt;"Completed",$H1760&lt;&gt;"Cancelled"),"Overdue","On Track"))</f>
        <v/>
      </c>
      <c r="R1760" s="81" t="n"/>
      <c r="S1760" s="81">
        <f>IF($B1760="","",IFERROR(INDEX(Task_Tracker!$AA$5:$AA$1004,MATCH($B1760,Task_Tracker!$A$5:$A$1004,0)),""))</f>
        <v/>
      </c>
      <c r="T1760" s="81">
        <f>IF($B1760="","",IFERROR(INDEX(Task_Tracker!$AB$5:$AB$1004,MATCH($B1760,Task_Tracker!$A$5:$A$1004,0)),""))</f>
        <v/>
      </c>
      <c r="U1760" s="78">
        <f>IF($B1760="","",IFERROR(INDEX(Task_Tracker!$F$5:$F$1004,MATCH($B1760,Task_Tracker!$A$5:$A$1004,0)),""))</f>
        <v/>
      </c>
      <c r="V1760" s="78">
        <f>IF($B1760="","",IFERROR(INDEX(Task_Tracker!$I$5:$I$1004,MATCH($B1760,Task_Tracker!$A$5:$A$1004,0)),""))</f>
        <v/>
      </c>
      <c r="W1760" s="81">
        <f>IF(OR($D1760="",$B1760=""),"",$D1760&amp;" | "&amp;$B1760)</f>
        <v/>
      </c>
      <c r="X1760" s="85">
        <f>IF($K1760="","",TEXT($K1760,"yyyy-mm"))</f>
        <v/>
      </c>
      <c r="Y1760" s="81">
        <f>IF(OR($A1760="",$T1760=""),"","Included in Manager_Report")</f>
        <v/>
      </c>
    </row>
    <row r="1761" ht="15" customHeight="1" s="40">
      <c r="A1761" s="65">
        <f>IF(COUNTA(B1761:G1761)=0,"","STP-"&amp;TEXT(ROW()-4,"0000"))</f>
        <v/>
      </c>
      <c r="B1761" s="78" t="n"/>
      <c r="C1761" s="67">
        <f>IF($B1761="","",IFERROR(INDEX(Task_Tracker!$D$5:$D$1004,MATCH($B1761,Task_Tracker!$A$5:$A$1004,0)),""))</f>
        <v/>
      </c>
      <c r="D1761" s="67">
        <f>IF($B1761="","",IFERROR(INDEX(Task_Tracker!$B$5:$B$1004,MATCH($B1761,Task_Tracker!$A$5:$A$1004,0)),""))</f>
        <v/>
      </c>
      <c r="E1761" s="81" t="n"/>
      <c r="F1761" s="81" t="n"/>
      <c r="G1761" s="78" t="n"/>
      <c r="H1761" s="78" t="n"/>
      <c r="I1761" s="67">
        <f>IF($H1761="","",IFERROR(INDEX(Action_Status_Map!$B$5:$B$11,MATCH($H1761,Action_Status_Map!$A$5:$A$11,0)),""))</f>
        <v/>
      </c>
      <c r="J1761" s="82" t="n"/>
      <c r="K1761" s="82" t="n"/>
      <c r="L1761" s="82" t="n"/>
      <c r="M1761" s="83" t="n"/>
      <c r="N1761" s="83" t="n"/>
      <c r="O1761" s="66">
        <f>IF(OR($M1761="",$N1761=""),"",$N1761-$M1761)</f>
        <v/>
      </c>
      <c r="P1761" s="84">
        <f>IF($J1761="","",IF($L1761&lt;&gt;"",$L1761-$J1761,TODAY()-$J1761))</f>
        <v/>
      </c>
      <c r="Q1761" s="85">
        <f>IF(OR($K1761="",$H1761="Completed",$H1761="Cancelled"),"",IF(AND($K1761&lt;TODAY(),$H1761&lt;&gt;"Completed",$H1761&lt;&gt;"Cancelled"),"Overdue","On Track"))</f>
        <v/>
      </c>
      <c r="R1761" s="81" t="n"/>
      <c r="S1761" s="81">
        <f>IF($B1761="","",IFERROR(INDEX(Task_Tracker!$AA$5:$AA$1004,MATCH($B1761,Task_Tracker!$A$5:$A$1004,0)),""))</f>
        <v/>
      </c>
      <c r="T1761" s="81">
        <f>IF($B1761="","",IFERROR(INDEX(Task_Tracker!$AB$5:$AB$1004,MATCH($B1761,Task_Tracker!$A$5:$A$1004,0)),""))</f>
        <v/>
      </c>
      <c r="U1761" s="78">
        <f>IF($B1761="","",IFERROR(INDEX(Task_Tracker!$F$5:$F$1004,MATCH($B1761,Task_Tracker!$A$5:$A$1004,0)),""))</f>
        <v/>
      </c>
      <c r="V1761" s="78">
        <f>IF($B1761="","",IFERROR(INDEX(Task_Tracker!$I$5:$I$1004,MATCH($B1761,Task_Tracker!$A$5:$A$1004,0)),""))</f>
        <v/>
      </c>
      <c r="W1761" s="81">
        <f>IF(OR($D1761="",$B1761=""),"",$D1761&amp;" | "&amp;$B1761)</f>
        <v/>
      </c>
      <c r="X1761" s="85">
        <f>IF($K1761="","",TEXT($K1761,"yyyy-mm"))</f>
        <v/>
      </c>
      <c r="Y1761" s="81">
        <f>IF(OR($A1761="",$T1761=""),"","Included in Manager_Report")</f>
        <v/>
      </c>
    </row>
    <row r="1762" ht="15" customHeight="1" s="40">
      <c r="A1762" s="65">
        <f>IF(COUNTA(B1762:G1762)=0,"","STP-"&amp;TEXT(ROW()-4,"0000"))</f>
        <v/>
      </c>
      <c r="B1762" s="78" t="n"/>
      <c r="C1762" s="67">
        <f>IF($B1762="","",IFERROR(INDEX(Task_Tracker!$D$5:$D$1004,MATCH($B1762,Task_Tracker!$A$5:$A$1004,0)),""))</f>
        <v/>
      </c>
      <c r="D1762" s="67">
        <f>IF($B1762="","",IFERROR(INDEX(Task_Tracker!$B$5:$B$1004,MATCH($B1762,Task_Tracker!$A$5:$A$1004,0)),""))</f>
        <v/>
      </c>
      <c r="E1762" s="81" t="n"/>
      <c r="F1762" s="81" t="n"/>
      <c r="G1762" s="78" t="n"/>
      <c r="H1762" s="78" t="n"/>
      <c r="I1762" s="67">
        <f>IF($H1762="","",IFERROR(INDEX(Action_Status_Map!$B$5:$B$11,MATCH($H1762,Action_Status_Map!$A$5:$A$11,0)),""))</f>
        <v/>
      </c>
      <c r="J1762" s="82" t="n"/>
      <c r="K1762" s="82" t="n"/>
      <c r="L1762" s="82" t="n"/>
      <c r="M1762" s="83" t="n"/>
      <c r="N1762" s="83" t="n"/>
      <c r="O1762" s="66">
        <f>IF(OR($M1762="",$N1762=""),"",$N1762-$M1762)</f>
        <v/>
      </c>
      <c r="P1762" s="84">
        <f>IF($J1762="","",IF($L1762&lt;&gt;"",$L1762-$J1762,TODAY()-$J1762))</f>
        <v/>
      </c>
      <c r="Q1762" s="85">
        <f>IF(OR($K1762="",$H1762="Completed",$H1762="Cancelled"),"",IF(AND($K1762&lt;TODAY(),$H1762&lt;&gt;"Completed",$H1762&lt;&gt;"Cancelled"),"Overdue","On Track"))</f>
        <v/>
      </c>
      <c r="R1762" s="81" t="n"/>
      <c r="S1762" s="81">
        <f>IF($B1762="","",IFERROR(INDEX(Task_Tracker!$AA$5:$AA$1004,MATCH($B1762,Task_Tracker!$A$5:$A$1004,0)),""))</f>
        <v/>
      </c>
      <c r="T1762" s="81">
        <f>IF($B1762="","",IFERROR(INDEX(Task_Tracker!$AB$5:$AB$1004,MATCH($B1762,Task_Tracker!$A$5:$A$1004,0)),""))</f>
        <v/>
      </c>
      <c r="U1762" s="78">
        <f>IF($B1762="","",IFERROR(INDEX(Task_Tracker!$F$5:$F$1004,MATCH($B1762,Task_Tracker!$A$5:$A$1004,0)),""))</f>
        <v/>
      </c>
      <c r="V1762" s="78">
        <f>IF($B1762="","",IFERROR(INDEX(Task_Tracker!$I$5:$I$1004,MATCH($B1762,Task_Tracker!$A$5:$A$1004,0)),""))</f>
        <v/>
      </c>
      <c r="W1762" s="81">
        <f>IF(OR($D1762="",$B1762=""),"",$D1762&amp;" | "&amp;$B1762)</f>
        <v/>
      </c>
      <c r="X1762" s="85">
        <f>IF($K1762="","",TEXT($K1762,"yyyy-mm"))</f>
        <v/>
      </c>
      <c r="Y1762" s="81">
        <f>IF(OR($A1762="",$T1762=""),"","Included in Manager_Report")</f>
        <v/>
      </c>
    </row>
    <row r="1763" ht="15" customHeight="1" s="40">
      <c r="A1763" s="65">
        <f>IF(COUNTA(B1763:G1763)=0,"","STP-"&amp;TEXT(ROW()-4,"0000"))</f>
        <v/>
      </c>
      <c r="B1763" s="78" t="n"/>
      <c r="C1763" s="67">
        <f>IF($B1763="","",IFERROR(INDEX(Task_Tracker!$D$5:$D$1004,MATCH($B1763,Task_Tracker!$A$5:$A$1004,0)),""))</f>
        <v/>
      </c>
      <c r="D1763" s="67">
        <f>IF($B1763="","",IFERROR(INDEX(Task_Tracker!$B$5:$B$1004,MATCH($B1763,Task_Tracker!$A$5:$A$1004,0)),""))</f>
        <v/>
      </c>
      <c r="E1763" s="81" t="n"/>
      <c r="F1763" s="81" t="n"/>
      <c r="G1763" s="78" t="n"/>
      <c r="H1763" s="78" t="n"/>
      <c r="I1763" s="67">
        <f>IF($H1763="","",IFERROR(INDEX(Action_Status_Map!$B$5:$B$11,MATCH($H1763,Action_Status_Map!$A$5:$A$11,0)),""))</f>
        <v/>
      </c>
      <c r="J1763" s="82" t="n"/>
      <c r="K1763" s="82" t="n"/>
      <c r="L1763" s="82" t="n"/>
      <c r="M1763" s="83" t="n"/>
      <c r="N1763" s="83" t="n"/>
      <c r="O1763" s="66">
        <f>IF(OR($M1763="",$N1763=""),"",$N1763-$M1763)</f>
        <v/>
      </c>
      <c r="P1763" s="84">
        <f>IF($J1763="","",IF($L1763&lt;&gt;"",$L1763-$J1763,TODAY()-$J1763))</f>
        <v/>
      </c>
      <c r="Q1763" s="85">
        <f>IF(OR($K1763="",$H1763="Completed",$H1763="Cancelled"),"",IF(AND($K1763&lt;TODAY(),$H1763&lt;&gt;"Completed",$H1763&lt;&gt;"Cancelled"),"Overdue","On Track"))</f>
        <v/>
      </c>
      <c r="R1763" s="81" t="n"/>
      <c r="S1763" s="81">
        <f>IF($B1763="","",IFERROR(INDEX(Task_Tracker!$AA$5:$AA$1004,MATCH($B1763,Task_Tracker!$A$5:$A$1004,0)),""))</f>
        <v/>
      </c>
      <c r="T1763" s="81">
        <f>IF($B1763="","",IFERROR(INDEX(Task_Tracker!$AB$5:$AB$1004,MATCH($B1763,Task_Tracker!$A$5:$A$1004,0)),""))</f>
        <v/>
      </c>
      <c r="U1763" s="78">
        <f>IF($B1763="","",IFERROR(INDEX(Task_Tracker!$F$5:$F$1004,MATCH($B1763,Task_Tracker!$A$5:$A$1004,0)),""))</f>
        <v/>
      </c>
      <c r="V1763" s="78">
        <f>IF($B1763="","",IFERROR(INDEX(Task_Tracker!$I$5:$I$1004,MATCH($B1763,Task_Tracker!$A$5:$A$1004,0)),""))</f>
        <v/>
      </c>
      <c r="W1763" s="81">
        <f>IF(OR($D1763="",$B1763=""),"",$D1763&amp;" | "&amp;$B1763)</f>
        <v/>
      </c>
      <c r="X1763" s="85">
        <f>IF($K1763="","",TEXT($K1763,"yyyy-mm"))</f>
        <v/>
      </c>
      <c r="Y1763" s="81">
        <f>IF(OR($A1763="",$T1763=""),"","Included in Manager_Report")</f>
        <v/>
      </c>
    </row>
    <row r="1764" ht="15" customHeight="1" s="40">
      <c r="A1764" s="65">
        <f>IF(COUNTA(B1764:G1764)=0,"","STP-"&amp;TEXT(ROW()-4,"0000"))</f>
        <v/>
      </c>
      <c r="B1764" s="78" t="n"/>
      <c r="C1764" s="67">
        <f>IF($B1764="","",IFERROR(INDEX(Task_Tracker!$D$5:$D$1004,MATCH($B1764,Task_Tracker!$A$5:$A$1004,0)),""))</f>
        <v/>
      </c>
      <c r="D1764" s="67">
        <f>IF($B1764="","",IFERROR(INDEX(Task_Tracker!$B$5:$B$1004,MATCH($B1764,Task_Tracker!$A$5:$A$1004,0)),""))</f>
        <v/>
      </c>
      <c r="E1764" s="81" t="n"/>
      <c r="F1764" s="81" t="n"/>
      <c r="G1764" s="78" t="n"/>
      <c r="H1764" s="78" t="n"/>
      <c r="I1764" s="67">
        <f>IF($H1764="","",IFERROR(INDEX(Action_Status_Map!$B$5:$B$11,MATCH($H1764,Action_Status_Map!$A$5:$A$11,0)),""))</f>
        <v/>
      </c>
      <c r="J1764" s="82" t="n"/>
      <c r="K1764" s="82" t="n"/>
      <c r="L1764" s="82" t="n"/>
      <c r="M1764" s="83" t="n"/>
      <c r="N1764" s="83" t="n"/>
      <c r="O1764" s="66">
        <f>IF(OR($M1764="",$N1764=""),"",$N1764-$M1764)</f>
        <v/>
      </c>
      <c r="P1764" s="84">
        <f>IF($J1764="","",IF($L1764&lt;&gt;"",$L1764-$J1764,TODAY()-$J1764))</f>
        <v/>
      </c>
      <c r="Q1764" s="85">
        <f>IF(OR($K1764="",$H1764="Completed",$H1764="Cancelled"),"",IF(AND($K1764&lt;TODAY(),$H1764&lt;&gt;"Completed",$H1764&lt;&gt;"Cancelled"),"Overdue","On Track"))</f>
        <v/>
      </c>
      <c r="R1764" s="81" t="n"/>
      <c r="S1764" s="81">
        <f>IF($B1764="","",IFERROR(INDEX(Task_Tracker!$AA$5:$AA$1004,MATCH($B1764,Task_Tracker!$A$5:$A$1004,0)),""))</f>
        <v/>
      </c>
      <c r="T1764" s="81">
        <f>IF($B1764="","",IFERROR(INDEX(Task_Tracker!$AB$5:$AB$1004,MATCH($B1764,Task_Tracker!$A$5:$A$1004,0)),""))</f>
        <v/>
      </c>
      <c r="U1764" s="78">
        <f>IF($B1764="","",IFERROR(INDEX(Task_Tracker!$F$5:$F$1004,MATCH($B1764,Task_Tracker!$A$5:$A$1004,0)),""))</f>
        <v/>
      </c>
      <c r="V1764" s="78">
        <f>IF($B1764="","",IFERROR(INDEX(Task_Tracker!$I$5:$I$1004,MATCH($B1764,Task_Tracker!$A$5:$A$1004,0)),""))</f>
        <v/>
      </c>
      <c r="W1764" s="81">
        <f>IF(OR($D1764="",$B1764=""),"",$D1764&amp;" | "&amp;$B1764)</f>
        <v/>
      </c>
      <c r="X1764" s="85">
        <f>IF($K1764="","",TEXT($K1764,"yyyy-mm"))</f>
        <v/>
      </c>
      <c r="Y1764" s="81">
        <f>IF(OR($A1764="",$T1764=""),"","Included in Manager_Report")</f>
        <v/>
      </c>
    </row>
    <row r="1765" ht="15" customHeight="1" s="40">
      <c r="A1765" s="65">
        <f>IF(COUNTA(B1765:G1765)=0,"","STP-"&amp;TEXT(ROW()-4,"0000"))</f>
        <v/>
      </c>
      <c r="B1765" s="78" t="n"/>
      <c r="C1765" s="67">
        <f>IF($B1765="","",IFERROR(INDEX(Task_Tracker!$D$5:$D$1004,MATCH($B1765,Task_Tracker!$A$5:$A$1004,0)),""))</f>
        <v/>
      </c>
      <c r="D1765" s="67">
        <f>IF($B1765="","",IFERROR(INDEX(Task_Tracker!$B$5:$B$1004,MATCH($B1765,Task_Tracker!$A$5:$A$1004,0)),""))</f>
        <v/>
      </c>
      <c r="E1765" s="81" t="n"/>
      <c r="F1765" s="81" t="n"/>
      <c r="G1765" s="78" t="n"/>
      <c r="H1765" s="78" t="n"/>
      <c r="I1765" s="67">
        <f>IF($H1765="","",IFERROR(INDEX(Action_Status_Map!$B$5:$B$11,MATCH($H1765,Action_Status_Map!$A$5:$A$11,0)),""))</f>
        <v/>
      </c>
      <c r="J1765" s="82" t="n"/>
      <c r="K1765" s="82" t="n"/>
      <c r="L1765" s="82" t="n"/>
      <c r="M1765" s="83" t="n"/>
      <c r="N1765" s="83" t="n"/>
      <c r="O1765" s="66">
        <f>IF(OR($M1765="",$N1765=""),"",$N1765-$M1765)</f>
        <v/>
      </c>
      <c r="P1765" s="84">
        <f>IF($J1765="","",IF($L1765&lt;&gt;"",$L1765-$J1765,TODAY()-$J1765))</f>
        <v/>
      </c>
      <c r="Q1765" s="85">
        <f>IF(OR($K1765="",$H1765="Completed",$H1765="Cancelled"),"",IF(AND($K1765&lt;TODAY(),$H1765&lt;&gt;"Completed",$H1765&lt;&gt;"Cancelled"),"Overdue","On Track"))</f>
        <v/>
      </c>
      <c r="R1765" s="81" t="n"/>
      <c r="S1765" s="81">
        <f>IF($B1765="","",IFERROR(INDEX(Task_Tracker!$AA$5:$AA$1004,MATCH($B1765,Task_Tracker!$A$5:$A$1004,0)),""))</f>
        <v/>
      </c>
      <c r="T1765" s="81">
        <f>IF($B1765="","",IFERROR(INDEX(Task_Tracker!$AB$5:$AB$1004,MATCH($B1765,Task_Tracker!$A$5:$A$1004,0)),""))</f>
        <v/>
      </c>
      <c r="U1765" s="78">
        <f>IF($B1765="","",IFERROR(INDEX(Task_Tracker!$F$5:$F$1004,MATCH($B1765,Task_Tracker!$A$5:$A$1004,0)),""))</f>
        <v/>
      </c>
      <c r="V1765" s="78">
        <f>IF($B1765="","",IFERROR(INDEX(Task_Tracker!$I$5:$I$1004,MATCH($B1765,Task_Tracker!$A$5:$A$1004,0)),""))</f>
        <v/>
      </c>
      <c r="W1765" s="81">
        <f>IF(OR($D1765="",$B1765=""),"",$D1765&amp;" | "&amp;$B1765)</f>
        <v/>
      </c>
      <c r="X1765" s="85">
        <f>IF($K1765="","",TEXT($K1765,"yyyy-mm"))</f>
        <v/>
      </c>
      <c r="Y1765" s="81">
        <f>IF(OR($A1765="",$T1765=""),"","Included in Manager_Report")</f>
        <v/>
      </c>
    </row>
    <row r="1766" ht="15" customHeight="1" s="40">
      <c r="A1766" s="65">
        <f>IF(COUNTA(B1766:G1766)=0,"","STP-"&amp;TEXT(ROW()-4,"0000"))</f>
        <v/>
      </c>
      <c r="B1766" s="78" t="n"/>
      <c r="C1766" s="67">
        <f>IF($B1766="","",IFERROR(INDEX(Task_Tracker!$D$5:$D$1004,MATCH($B1766,Task_Tracker!$A$5:$A$1004,0)),""))</f>
        <v/>
      </c>
      <c r="D1766" s="67">
        <f>IF($B1766="","",IFERROR(INDEX(Task_Tracker!$B$5:$B$1004,MATCH($B1766,Task_Tracker!$A$5:$A$1004,0)),""))</f>
        <v/>
      </c>
      <c r="E1766" s="81" t="n"/>
      <c r="F1766" s="81" t="n"/>
      <c r="G1766" s="78" t="n"/>
      <c r="H1766" s="78" t="n"/>
      <c r="I1766" s="67">
        <f>IF($H1766="","",IFERROR(INDEX(Action_Status_Map!$B$5:$B$11,MATCH($H1766,Action_Status_Map!$A$5:$A$11,0)),""))</f>
        <v/>
      </c>
      <c r="J1766" s="82" t="n"/>
      <c r="K1766" s="82" t="n"/>
      <c r="L1766" s="82" t="n"/>
      <c r="M1766" s="83" t="n"/>
      <c r="N1766" s="83" t="n"/>
      <c r="O1766" s="66">
        <f>IF(OR($M1766="",$N1766=""),"",$N1766-$M1766)</f>
        <v/>
      </c>
      <c r="P1766" s="84">
        <f>IF($J1766="","",IF($L1766&lt;&gt;"",$L1766-$J1766,TODAY()-$J1766))</f>
        <v/>
      </c>
      <c r="Q1766" s="85">
        <f>IF(OR($K1766="",$H1766="Completed",$H1766="Cancelled"),"",IF(AND($K1766&lt;TODAY(),$H1766&lt;&gt;"Completed",$H1766&lt;&gt;"Cancelled"),"Overdue","On Track"))</f>
        <v/>
      </c>
      <c r="R1766" s="81" t="n"/>
      <c r="S1766" s="81">
        <f>IF($B1766="","",IFERROR(INDEX(Task_Tracker!$AA$5:$AA$1004,MATCH($B1766,Task_Tracker!$A$5:$A$1004,0)),""))</f>
        <v/>
      </c>
      <c r="T1766" s="81">
        <f>IF($B1766="","",IFERROR(INDEX(Task_Tracker!$AB$5:$AB$1004,MATCH($B1766,Task_Tracker!$A$5:$A$1004,0)),""))</f>
        <v/>
      </c>
      <c r="U1766" s="78">
        <f>IF($B1766="","",IFERROR(INDEX(Task_Tracker!$F$5:$F$1004,MATCH($B1766,Task_Tracker!$A$5:$A$1004,0)),""))</f>
        <v/>
      </c>
      <c r="V1766" s="78">
        <f>IF($B1766="","",IFERROR(INDEX(Task_Tracker!$I$5:$I$1004,MATCH($B1766,Task_Tracker!$A$5:$A$1004,0)),""))</f>
        <v/>
      </c>
      <c r="W1766" s="81">
        <f>IF(OR($D1766="",$B1766=""),"",$D1766&amp;" | "&amp;$B1766)</f>
        <v/>
      </c>
      <c r="X1766" s="85">
        <f>IF($K1766="","",TEXT($K1766,"yyyy-mm"))</f>
        <v/>
      </c>
      <c r="Y1766" s="81">
        <f>IF(OR($A1766="",$T1766=""),"","Included in Manager_Report")</f>
        <v/>
      </c>
    </row>
    <row r="1767" ht="15" customHeight="1" s="40">
      <c r="A1767" s="65">
        <f>IF(COUNTA(B1767:G1767)=0,"","STP-"&amp;TEXT(ROW()-4,"0000"))</f>
        <v/>
      </c>
      <c r="B1767" s="78" t="n"/>
      <c r="C1767" s="67">
        <f>IF($B1767="","",IFERROR(INDEX(Task_Tracker!$D$5:$D$1004,MATCH($B1767,Task_Tracker!$A$5:$A$1004,0)),""))</f>
        <v/>
      </c>
      <c r="D1767" s="67">
        <f>IF($B1767="","",IFERROR(INDEX(Task_Tracker!$B$5:$B$1004,MATCH($B1767,Task_Tracker!$A$5:$A$1004,0)),""))</f>
        <v/>
      </c>
      <c r="E1767" s="81" t="n"/>
      <c r="F1767" s="81" t="n"/>
      <c r="G1767" s="78" t="n"/>
      <c r="H1767" s="78" t="n"/>
      <c r="I1767" s="67">
        <f>IF($H1767="","",IFERROR(INDEX(Action_Status_Map!$B$5:$B$11,MATCH($H1767,Action_Status_Map!$A$5:$A$11,0)),""))</f>
        <v/>
      </c>
      <c r="J1767" s="82" t="n"/>
      <c r="K1767" s="82" t="n"/>
      <c r="L1767" s="82" t="n"/>
      <c r="M1767" s="83" t="n"/>
      <c r="N1767" s="83" t="n"/>
      <c r="O1767" s="66">
        <f>IF(OR($M1767="",$N1767=""),"",$N1767-$M1767)</f>
        <v/>
      </c>
      <c r="P1767" s="84">
        <f>IF($J1767="","",IF($L1767&lt;&gt;"",$L1767-$J1767,TODAY()-$J1767))</f>
        <v/>
      </c>
      <c r="Q1767" s="85">
        <f>IF(OR($K1767="",$H1767="Completed",$H1767="Cancelled"),"",IF(AND($K1767&lt;TODAY(),$H1767&lt;&gt;"Completed",$H1767&lt;&gt;"Cancelled"),"Overdue","On Track"))</f>
        <v/>
      </c>
      <c r="R1767" s="81" t="n"/>
      <c r="S1767" s="81">
        <f>IF($B1767="","",IFERROR(INDEX(Task_Tracker!$AA$5:$AA$1004,MATCH($B1767,Task_Tracker!$A$5:$A$1004,0)),""))</f>
        <v/>
      </c>
      <c r="T1767" s="81">
        <f>IF($B1767="","",IFERROR(INDEX(Task_Tracker!$AB$5:$AB$1004,MATCH($B1767,Task_Tracker!$A$5:$A$1004,0)),""))</f>
        <v/>
      </c>
      <c r="U1767" s="78">
        <f>IF($B1767="","",IFERROR(INDEX(Task_Tracker!$F$5:$F$1004,MATCH($B1767,Task_Tracker!$A$5:$A$1004,0)),""))</f>
        <v/>
      </c>
      <c r="V1767" s="78">
        <f>IF($B1767="","",IFERROR(INDEX(Task_Tracker!$I$5:$I$1004,MATCH($B1767,Task_Tracker!$A$5:$A$1004,0)),""))</f>
        <v/>
      </c>
      <c r="W1767" s="81">
        <f>IF(OR($D1767="",$B1767=""),"",$D1767&amp;" | "&amp;$B1767)</f>
        <v/>
      </c>
      <c r="X1767" s="85">
        <f>IF($K1767="","",TEXT($K1767,"yyyy-mm"))</f>
        <v/>
      </c>
      <c r="Y1767" s="81">
        <f>IF(OR($A1767="",$T1767=""),"","Included in Manager_Report")</f>
        <v/>
      </c>
    </row>
    <row r="1768" ht="15" customHeight="1" s="40">
      <c r="A1768" s="65">
        <f>IF(COUNTA(B1768:G1768)=0,"","STP-"&amp;TEXT(ROW()-4,"0000"))</f>
        <v/>
      </c>
      <c r="B1768" s="78" t="n"/>
      <c r="C1768" s="67">
        <f>IF($B1768="","",IFERROR(INDEX(Task_Tracker!$D$5:$D$1004,MATCH($B1768,Task_Tracker!$A$5:$A$1004,0)),""))</f>
        <v/>
      </c>
      <c r="D1768" s="67">
        <f>IF($B1768="","",IFERROR(INDEX(Task_Tracker!$B$5:$B$1004,MATCH($B1768,Task_Tracker!$A$5:$A$1004,0)),""))</f>
        <v/>
      </c>
      <c r="E1768" s="81" t="n"/>
      <c r="F1768" s="81" t="n"/>
      <c r="G1768" s="78" t="n"/>
      <c r="H1768" s="78" t="n"/>
      <c r="I1768" s="67">
        <f>IF($H1768="","",IFERROR(INDEX(Action_Status_Map!$B$5:$B$11,MATCH($H1768,Action_Status_Map!$A$5:$A$11,0)),""))</f>
        <v/>
      </c>
      <c r="J1768" s="82" t="n"/>
      <c r="K1768" s="82" t="n"/>
      <c r="L1768" s="82" t="n"/>
      <c r="M1768" s="83" t="n"/>
      <c r="N1768" s="83" t="n"/>
      <c r="O1768" s="66">
        <f>IF(OR($M1768="",$N1768=""),"",$N1768-$M1768)</f>
        <v/>
      </c>
      <c r="P1768" s="84">
        <f>IF($J1768="","",IF($L1768&lt;&gt;"",$L1768-$J1768,TODAY()-$J1768))</f>
        <v/>
      </c>
      <c r="Q1768" s="85">
        <f>IF(OR($K1768="",$H1768="Completed",$H1768="Cancelled"),"",IF(AND($K1768&lt;TODAY(),$H1768&lt;&gt;"Completed",$H1768&lt;&gt;"Cancelled"),"Overdue","On Track"))</f>
        <v/>
      </c>
      <c r="R1768" s="81" t="n"/>
      <c r="S1768" s="81">
        <f>IF($B1768="","",IFERROR(INDEX(Task_Tracker!$AA$5:$AA$1004,MATCH($B1768,Task_Tracker!$A$5:$A$1004,0)),""))</f>
        <v/>
      </c>
      <c r="T1768" s="81">
        <f>IF($B1768="","",IFERROR(INDEX(Task_Tracker!$AB$5:$AB$1004,MATCH($B1768,Task_Tracker!$A$5:$A$1004,0)),""))</f>
        <v/>
      </c>
      <c r="U1768" s="78">
        <f>IF($B1768="","",IFERROR(INDEX(Task_Tracker!$F$5:$F$1004,MATCH($B1768,Task_Tracker!$A$5:$A$1004,0)),""))</f>
        <v/>
      </c>
      <c r="V1768" s="78">
        <f>IF($B1768="","",IFERROR(INDEX(Task_Tracker!$I$5:$I$1004,MATCH($B1768,Task_Tracker!$A$5:$A$1004,0)),""))</f>
        <v/>
      </c>
      <c r="W1768" s="81">
        <f>IF(OR($D1768="",$B1768=""),"",$D1768&amp;" | "&amp;$B1768)</f>
        <v/>
      </c>
      <c r="X1768" s="85">
        <f>IF($K1768="","",TEXT($K1768,"yyyy-mm"))</f>
        <v/>
      </c>
      <c r="Y1768" s="81">
        <f>IF(OR($A1768="",$T1768=""),"","Included in Manager_Report")</f>
        <v/>
      </c>
    </row>
    <row r="1769" ht="15" customHeight="1" s="40">
      <c r="A1769" s="65">
        <f>IF(COUNTA(B1769:G1769)=0,"","STP-"&amp;TEXT(ROW()-4,"0000"))</f>
        <v/>
      </c>
      <c r="B1769" s="78" t="n"/>
      <c r="C1769" s="67">
        <f>IF($B1769="","",IFERROR(INDEX(Task_Tracker!$D$5:$D$1004,MATCH($B1769,Task_Tracker!$A$5:$A$1004,0)),""))</f>
        <v/>
      </c>
      <c r="D1769" s="67">
        <f>IF($B1769="","",IFERROR(INDEX(Task_Tracker!$B$5:$B$1004,MATCH($B1769,Task_Tracker!$A$5:$A$1004,0)),""))</f>
        <v/>
      </c>
      <c r="E1769" s="81" t="n"/>
      <c r="F1769" s="81" t="n"/>
      <c r="G1769" s="78" t="n"/>
      <c r="H1769" s="78" t="n"/>
      <c r="I1769" s="67">
        <f>IF($H1769="","",IFERROR(INDEX(Action_Status_Map!$B$5:$B$11,MATCH($H1769,Action_Status_Map!$A$5:$A$11,0)),""))</f>
        <v/>
      </c>
      <c r="J1769" s="82" t="n"/>
      <c r="K1769" s="82" t="n"/>
      <c r="L1769" s="82" t="n"/>
      <c r="M1769" s="83" t="n"/>
      <c r="N1769" s="83" t="n"/>
      <c r="O1769" s="66">
        <f>IF(OR($M1769="",$N1769=""),"",$N1769-$M1769)</f>
        <v/>
      </c>
      <c r="P1769" s="84">
        <f>IF($J1769="","",IF($L1769&lt;&gt;"",$L1769-$J1769,TODAY()-$J1769))</f>
        <v/>
      </c>
      <c r="Q1769" s="85">
        <f>IF(OR($K1769="",$H1769="Completed",$H1769="Cancelled"),"",IF(AND($K1769&lt;TODAY(),$H1769&lt;&gt;"Completed",$H1769&lt;&gt;"Cancelled"),"Overdue","On Track"))</f>
        <v/>
      </c>
      <c r="R1769" s="81" t="n"/>
      <c r="S1769" s="81">
        <f>IF($B1769="","",IFERROR(INDEX(Task_Tracker!$AA$5:$AA$1004,MATCH($B1769,Task_Tracker!$A$5:$A$1004,0)),""))</f>
        <v/>
      </c>
      <c r="T1769" s="81">
        <f>IF($B1769="","",IFERROR(INDEX(Task_Tracker!$AB$5:$AB$1004,MATCH($B1769,Task_Tracker!$A$5:$A$1004,0)),""))</f>
        <v/>
      </c>
      <c r="U1769" s="78">
        <f>IF($B1769="","",IFERROR(INDEX(Task_Tracker!$F$5:$F$1004,MATCH($B1769,Task_Tracker!$A$5:$A$1004,0)),""))</f>
        <v/>
      </c>
      <c r="V1769" s="78">
        <f>IF($B1769="","",IFERROR(INDEX(Task_Tracker!$I$5:$I$1004,MATCH($B1769,Task_Tracker!$A$5:$A$1004,0)),""))</f>
        <v/>
      </c>
      <c r="W1769" s="81">
        <f>IF(OR($D1769="",$B1769=""),"",$D1769&amp;" | "&amp;$B1769)</f>
        <v/>
      </c>
      <c r="X1769" s="85">
        <f>IF($K1769="","",TEXT($K1769,"yyyy-mm"))</f>
        <v/>
      </c>
      <c r="Y1769" s="81">
        <f>IF(OR($A1769="",$T1769=""),"","Included in Manager_Report")</f>
        <v/>
      </c>
    </row>
    <row r="1770" ht="15" customHeight="1" s="40">
      <c r="A1770" s="65">
        <f>IF(COUNTA(B1770:G1770)=0,"","STP-"&amp;TEXT(ROW()-4,"0000"))</f>
        <v/>
      </c>
      <c r="B1770" s="78" t="n"/>
      <c r="C1770" s="67">
        <f>IF($B1770="","",IFERROR(INDEX(Task_Tracker!$D$5:$D$1004,MATCH($B1770,Task_Tracker!$A$5:$A$1004,0)),""))</f>
        <v/>
      </c>
      <c r="D1770" s="67">
        <f>IF($B1770="","",IFERROR(INDEX(Task_Tracker!$B$5:$B$1004,MATCH($B1770,Task_Tracker!$A$5:$A$1004,0)),""))</f>
        <v/>
      </c>
      <c r="E1770" s="81" t="n"/>
      <c r="F1770" s="81" t="n"/>
      <c r="G1770" s="78" t="n"/>
      <c r="H1770" s="78" t="n"/>
      <c r="I1770" s="67">
        <f>IF($H1770="","",IFERROR(INDEX(Action_Status_Map!$B$5:$B$11,MATCH($H1770,Action_Status_Map!$A$5:$A$11,0)),""))</f>
        <v/>
      </c>
      <c r="J1770" s="82" t="n"/>
      <c r="K1770" s="82" t="n"/>
      <c r="L1770" s="82" t="n"/>
      <c r="M1770" s="83" t="n"/>
      <c r="N1770" s="83" t="n"/>
      <c r="O1770" s="66">
        <f>IF(OR($M1770="",$N1770=""),"",$N1770-$M1770)</f>
        <v/>
      </c>
      <c r="P1770" s="84">
        <f>IF($J1770="","",IF($L1770&lt;&gt;"",$L1770-$J1770,TODAY()-$J1770))</f>
        <v/>
      </c>
      <c r="Q1770" s="85">
        <f>IF(OR($K1770="",$H1770="Completed",$H1770="Cancelled"),"",IF(AND($K1770&lt;TODAY(),$H1770&lt;&gt;"Completed",$H1770&lt;&gt;"Cancelled"),"Overdue","On Track"))</f>
        <v/>
      </c>
      <c r="R1770" s="81" t="n"/>
      <c r="S1770" s="81">
        <f>IF($B1770="","",IFERROR(INDEX(Task_Tracker!$AA$5:$AA$1004,MATCH($B1770,Task_Tracker!$A$5:$A$1004,0)),""))</f>
        <v/>
      </c>
      <c r="T1770" s="81">
        <f>IF($B1770="","",IFERROR(INDEX(Task_Tracker!$AB$5:$AB$1004,MATCH($B1770,Task_Tracker!$A$5:$A$1004,0)),""))</f>
        <v/>
      </c>
      <c r="U1770" s="78">
        <f>IF($B1770="","",IFERROR(INDEX(Task_Tracker!$F$5:$F$1004,MATCH($B1770,Task_Tracker!$A$5:$A$1004,0)),""))</f>
        <v/>
      </c>
      <c r="V1770" s="78">
        <f>IF($B1770="","",IFERROR(INDEX(Task_Tracker!$I$5:$I$1004,MATCH($B1770,Task_Tracker!$A$5:$A$1004,0)),""))</f>
        <v/>
      </c>
      <c r="W1770" s="81">
        <f>IF(OR($D1770="",$B1770=""),"",$D1770&amp;" | "&amp;$B1770)</f>
        <v/>
      </c>
      <c r="X1770" s="85">
        <f>IF($K1770="","",TEXT($K1770,"yyyy-mm"))</f>
        <v/>
      </c>
      <c r="Y1770" s="81">
        <f>IF(OR($A1770="",$T1770=""),"","Included in Manager_Report")</f>
        <v/>
      </c>
    </row>
    <row r="1771" ht="15" customHeight="1" s="40">
      <c r="A1771" s="65">
        <f>IF(COUNTA(B1771:G1771)=0,"","STP-"&amp;TEXT(ROW()-4,"0000"))</f>
        <v/>
      </c>
      <c r="B1771" s="78" t="n"/>
      <c r="C1771" s="67">
        <f>IF($B1771="","",IFERROR(INDEX(Task_Tracker!$D$5:$D$1004,MATCH($B1771,Task_Tracker!$A$5:$A$1004,0)),""))</f>
        <v/>
      </c>
      <c r="D1771" s="67">
        <f>IF($B1771="","",IFERROR(INDEX(Task_Tracker!$B$5:$B$1004,MATCH($B1771,Task_Tracker!$A$5:$A$1004,0)),""))</f>
        <v/>
      </c>
      <c r="E1771" s="81" t="n"/>
      <c r="F1771" s="81" t="n"/>
      <c r="G1771" s="78" t="n"/>
      <c r="H1771" s="78" t="n"/>
      <c r="I1771" s="67">
        <f>IF($H1771="","",IFERROR(INDEX(Action_Status_Map!$B$5:$B$11,MATCH($H1771,Action_Status_Map!$A$5:$A$11,0)),""))</f>
        <v/>
      </c>
      <c r="J1771" s="82" t="n"/>
      <c r="K1771" s="82" t="n"/>
      <c r="L1771" s="82" t="n"/>
      <c r="M1771" s="83" t="n"/>
      <c r="N1771" s="83" t="n"/>
      <c r="O1771" s="66">
        <f>IF(OR($M1771="",$N1771=""),"",$N1771-$M1771)</f>
        <v/>
      </c>
      <c r="P1771" s="84">
        <f>IF($J1771="","",IF($L1771&lt;&gt;"",$L1771-$J1771,TODAY()-$J1771))</f>
        <v/>
      </c>
      <c r="Q1771" s="85">
        <f>IF(OR($K1771="",$H1771="Completed",$H1771="Cancelled"),"",IF(AND($K1771&lt;TODAY(),$H1771&lt;&gt;"Completed",$H1771&lt;&gt;"Cancelled"),"Overdue","On Track"))</f>
        <v/>
      </c>
      <c r="R1771" s="81" t="n"/>
      <c r="S1771" s="81">
        <f>IF($B1771="","",IFERROR(INDEX(Task_Tracker!$AA$5:$AA$1004,MATCH($B1771,Task_Tracker!$A$5:$A$1004,0)),""))</f>
        <v/>
      </c>
      <c r="T1771" s="81">
        <f>IF($B1771="","",IFERROR(INDEX(Task_Tracker!$AB$5:$AB$1004,MATCH($B1771,Task_Tracker!$A$5:$A$1004,0)),""))</f>
        <v/>
      </c>
      <c r="U1771" s="78">
        <f>IF($B1771="","",IFERROR(INDEX(Task_Tracker!$F$5:$F$1004,MATCH($B1771,Task_Tracker!$A$5:$A$1004,0)),""))</f>
        <v/>
      </c>
      <c r="V1771" s="78">
        <f>IF($B1771="","",IFERROR(INDEX(Task_Tracker!$I$5:$I$1004,MATCH($B1771,Task_Tracker!$A$5:$A$1004,0)),""))</f>
        <v/>
      </c>
      <c r="W1771" s="81">
        <f>IF(OR($D1771="",$B1771=""),"",$D1771&amp;" | "&amp;$B1771)</f>
        <v/>
      </c>
      <c r="X1771" s="85">
        <f>IF($K1771="","",TEXT($K1771,"yyyy-mm"))</f>
        <v/>
      </c>
      <c r="Y1771" s="81">
        <f>IF(OR($A1771="",$T1771=""),"","Included in Manager_Report")</f>
        <v/>
      </c>
    </row>
    <row r="1772" ht="15" customHeight="1" s="40">
      <c r="A1772" s="65">
        <f>IF(COUNTA(B1772:G1772)=0,"","STP-"&amp;TEXT(ROW()-4,"0000"))</f>
        <v/>
      </c>
      <c r="B1772" s="78" t="n"/>
      <c r="C1772" s="67">
        <f>IF($B1772="","",IFERROR(INDEX(Task_Tracker!$D$5:$D$1004,MATCH($B1772,Task_Tracker!$A$5:$A$1004,0)),""))</f>
        <v/>
      </c>
      <c r="D1772" s="67">
        <f>IF($B1772="","",IFERROR(INDEX(Task_Tracker!$B$5:$B$1004,MATCH($B1772,Task_Tracker!$A$5:$A$1004,0)),""))</f>
        <v/>
      </c>
      <c r="E1772" s="81" t="n"/>
      <c r="F1772" s="81" t="n"/>
      <c r="G1772" s="78" t="n"/>
      <c r="H1772" s="78" t="n"/>
      <c r="I1772" s="67">
        <f>IF($H1772="","",IFERROR(INDEX(Action_Status_Map!$B$5:$B$11,MATCH($H1772,Action_Status_Map!$A$5:$A$11,0)),""))</f>
        <v/>
      </c>
      <c r="J1772" s="82" t="n"/>
      <c r="K1772" s="82" t="n"/>
      <c r="L1772" s="82" t="n"/>
      <c r="M1772" s="83" t="n"/>
      <c r="N1772" s="83" t="n"/>
      <c r="O1772" s="66">
        <f>IF(OR($M1772="",$N1772=""),"",$N1772-$M1772)</f>
        <v/>
      </c>
      <c r="P1772" s="84">
        <f>IF($J1772="","",IF($L1772&lt;&gt;"",$L1772-$J1772,TODAY()-$J1772))</f>
        <v/>
      </c>
      <c r="Q1772" s="85">
        <f>IF(OR($K1772="",$H1772="Completed",$H1772="Cancelled"),"",IF(AND($K1772&lt;TODAY(),$H1772&lt;&gt;"Completed",$H1772&lt;&gt;"Cancelled"),"Overdue","On Track"))</f>
        <v/>
      </c>
      <c r="R1772" s="81" t="n"/>
      <c r="S1772" s="81">
        <f>IF($B1772="","",IFERROR(INDEX(Task_Tracker!$AA$5:$AA$1004,MATCH($B1772,Task_Tracker!$A$5:$A$1004,0)),""))</f>
        <v/>
      </c>
      <c r="T1772" s="81">
        <f>IF($B1772="","",IFERROR(INDEX(Task_Tracker!$AB$5:$AB$1004,MATCH($B1772,Task_Tracker!$A$5:$A$1004,0)),""))</f>
        <v/>
      </c>
      <c r="U1772" s="78">
        <f>IF($B1772="","",IFERROR(INDEX(Task_Tracker!$F$5:$F$1004,MATCH($B1772,Task_Tracker!$A$5:$A$1004,0)),""))</f>
        <v/>
      </c>
      <c r="V1772" s="78">
        <f>IF($B1772="","",IFERROR(INDEX(Task_Tracker!$I$5:$I$1004,MATCH($B1772,Task_Tracker!$A$5:$A$1004,0)),""))</f>
        <v/>
      </c>
      <c r="W1772" s="81">
        <f>IF(OR($D1772="",$B1772=""),"",$D1772&amp;" | "&amp;$B1772)</f>
        <v/>
      </c>
      <c r="X1772" s="85">
        <f>IF($K1772="","",TEXT($K1772,"yyyy-mm"))</f>
        <v/>
      </c>
      <c r="Y1772" s="81">
        <f>IF(OR($A1772="",$T1772=""),"","Included in Manager_Report")</f>
        <v/>
      </c>
    </row>
    <row r="1773" ht="15" customHeight="1" s="40">
      <c r="A1773" s="65">
        <f>IF(COUNTA(B1773:G1773)=0,"","STP-"&amp;TEXT(ROW()-4,"0000"))</f>
        <v/>
      </c>
      <c r="B1773" s="78" t="n"/>
      <c r="C1773" s="67">
        <f>IF($B1773="","",IFERROR(INDEX(Task_Tracker!$D$5:$D$1004,MATCH($B1773,Task_Tracker!$A$5:$A$1004,0)),""))</f>
        <v/>
      </c>
      <c r="D1773" s="67">
        <f>IF($B1773="","",IFERROR(INDEX(Task_Tracker!$B$5:$B$1004,MATCH($B1773,Task_Tracker!$A$5:$A$1004,0)),""))</f>
        <v/>
      </c>
      <c r="E1773" s="81" t="n"/>
      <c r="F1773" s="81" t="n"/>
      <c r="G1773" s="78" t="n"/>
      <c r="H1773" s="78" t="n"/>
      <c r="I1773" s="67">
        <f>IF($H1773="","",IFERROR(INDEX(Action_Status_Map!$B$5:$B$11,MATCH($H1773,Action_Status_Map!$A$5:$A$11,0)),""))</f>
        <v/>
      </c>
      <c r="J1773" s="82" t="n"/>
      <c r="K1773" s="82" t="n"/>
      <c r="L1773" s="82" t="n"/>
      <c r="M1773" s="83" t="n"/>
      <c r="N1773" s="83" t="n"/>
      <c r="O1773" s="66">
        <f>IF(OR($M1773="",$N1773=""),"",$N1773-$M1773)</f>
        <v/>
      </c>
      <c r="P1773" s="84">
        <f>IF($J1773="","",IF($L1773&lt;&gt;"",$L1773-$J1773,TODAY()-$J1773))</f>
        <v/>
      </c>
      <c r="Q1773" s="85">
        <f>IF(OR($K1773="",$H1773="Completed",$H1773="Cancelled"),"",IF(AND($K1773&lt;TODAY(),$H1773&lt;&gt;"Completed",$H1773&lt;&gt;"Cancelled"),"Overdue","On Track"))</f>
        <v/>
      </c>
      <c r="R1773" s="81" t="n"/>
      <c r="S1773" s="81">
        <f>IF($B1773="","",IFERROR(INDEX(Task_Tracker!$AA$5:$AA$1004,MATCH($B1773,Task_Tracker!$A$5:$A$1004,0)),""))</f>
        <v/>
      </c>
      <c r="T1773" s="81">
        <f>IF($B1773="","",IFERROR(INDEX(Task_Tracker!$AB$5:$AB$1004,MATCH($B1773,Task_Tracker!$A$5:$A$1004,0)),""))</f>
        <v/>
      </c>
      <c r="U1773" s="78">
        <f>IF($B1773="","",IFERROR(INDEX(Task_Tracker!$F$5:$F$1004,MATCH($B1773,Task_Tracker!$A$5:$A$1004,0)),""))</f>
        <v/>
      </c>
      <c r="V1773" s="78">
        <f>IF($B1773="","",IFERROR(INDEX(Task_Tracker!$I$5:$I$1004,MATCH($B1773,Task_Tracker!$A$5:$A$1004,0)),""))</f>
        <v/>
      </c>
      <c r="W1773" s="81">
        <f>IF(OR($D1773="",$B1773=""),"",$D1773&amp;" | "&amp;$B1773)</f>
        <v/>
      </c>
      <c r="X1773" s="85">
        <f>IF($K1773="","",TEXT($K1773,"yyyy-mm"))</f>
        <v/>
      </c>
      <c r="Y1773" s="81">
        <f>IF(OR($A1773="",$T1773=""),"","Included in Manager_Report")</f>
        <v/>
      </c>
    </row>
    <row r="1774" ht="15" customHeight="1" s="40">
      <c r="A1774" s="65">
        <f>IF(COUNTA(B1774:G1774)=0,"","STP-"&amp;TEXT(ROW()-4,"0000"))</f>
        <v/>
      </c>
      <c r="B1774" s="78" t="n"/>
      <c r="C1774" s="67">
        <f>IF($B1774="","",IFERROR(INDEX(Task_Tracker!$D$5:$D$1004,MATCH($B1774,Task_Tracker!$A$5:$A$1004,0)),""))</f>
        <v/>
      </c>
      <c r="D1774" s="67">
        <f>IF($B1774="","",IFERROR(INDEX(Task_Tracker!$B$5:$B$1004,MATCH($B1774,Task_Tracker!$A$5:$A$1004,0)),""))</f>
        <v/>
      </c>
      <c r="E1774" s="81" t="n"/>
      <c r="F1774" s="81" t="n"/>
      <c r="G1774" s="78" t="n"/>
      <c r="H1774" s="78" t="n"/>
      <c r="I1774" s="67">
        <f>IF($H1774="","",IFERROR(INDEX(Action_Status_Map!$B$5:$B$11,MATCH($H1774,Action_Status_Map!$A$5:$A$11,0)),""))</f>
        <v/>
      </c>
      <c r="J1774" s="82" t="n"/>
      <c r="K1774" s="82" t="n"/>
      <c r="L1774" s="82" t="n"/>
      <c r="M1774" s="83" t="n"/>
      <c r="N1774" s="83" t="n"/>
      <c r="O1774" s="66">
        <f>IF(OR($M1774="",$N1774=""),"",$N1774-$M1774)</f>
        <v/>
      </c>
      <c r="P1774" s="84">
        <f>IF($J1774="","",IF($L1774&lt;&gt;"",$L1774-$J1774,TODAY()-$J1774))</f>
        <v/>
      </c>
      <c r="Q1774" s="85">
        <f>IF(OR($K1774="",$H1774="Completed",$H1774="Cancelled"),"",IF(AND($K1774&lt;TODAY(),$H1774&lt;&gt;"Completed",$H1774&lt;&gt;"Cancelled"),"Overdue","On Track"))</f>
        <v/>
      </c>
      <c r="R1774" s="81" t="n"/>
      <c r="S1774" s="81">
        <f>IF($B1774="","",IFERROR(INDEX(Task_Tracker!$AA$5:$AA$1004,MATCH($B1774,Task_Tracker!$A$5:$A$1004,0)),""))</f>
        <v/>
      </c>
      <c r="T1774" s="81">
        <f>IF($B1774="","",IFERROR(INDEX(Task_Tracker!$AB$5:$AB$1004,MATCH($B1774,Task_Tracker!$A$5:$A$1004,0)),""))</f>
        <v/>
      </c>
      <c r="U1774" s="78">
        <f>IF($B1774="","",IFERROR(INDEX(Task_Tracker!$F$5:$F$1004,MATCH($B1774,Task_Tracker!$A$5:$A$1004,0)),""))</f>
        <v/>
      </c>
      <c r="V1774" s="78">
        <f>IF($B1774="","",IFERROR(INDEX(Task_Tracker!$I$5:$I$1004,MATCH($B1774,Task_Tracker!$A$5:$A$1004,0)),""))</f>
        <v/>
      </c>
      <c r="W1774" s="81">
        <f>IF(OR($D1774="",$B1774=""),"",$D1774&amp;" | "&amp;$B1774)</f>
        <v/>
      </c>
      <c r="X1774" s="85">
        <f>IF($K1774="","",TEXT($K1774,"yyyy-mm"))</f>
        <v/>
      </c>
      <c r="Y1774" s="81">
        <f>IF(OR($A1774="",$T1774=""),"","Included in Manager_Report")</f>
        <v/>
      </c>
    </row>
    <row r="1775" ht="15" customHeight="1" s="40">
      <c r="A1775" s="65">
        <f>IF(COUNTA(B1775:G1775)=0,"","STP-"&amp;TEXT(ROW()-4,"0000"))</f>
        <v/>
      </c>
      <c r="B1775" s="78" t="n"/>
      <c r="C1775" s="67">
        <f>IF($B1775="","",IFERROR(INDEX(Task_Tracker!$D$5:$D$1004,MATCH($B1775,Task_Tracker!$A$5:$A$1004,0)),""))</f>
        <v/>
      </c>
      <c r="D1775" s="67">
        <f>IF($B1775="","",IFERROR(INDEX(Task_Tracker!$B$5:$B$1004,MATCH($B1775,Task_Tracker!$A$5:$A$1004,0)),""))</f>
        <v/>
      </c>
      <c r="E1775" s="81" t="n"/>
      <c r="F1775" s="81" t="n"/>
      <c r="G1775" s="78" t="n"/>
      <c r="H1775" s="78" t="n"/>
      <c r="I1775" s="67">
        <f>IF($H1775="","",IFERROR(INDEX(Action_Status_Map!$B$5:$B$11,MATCH($H1775,Action_Status_Map!$A$5:$A$11,0)),""))</f>
        <v/>
      </c>
      <c r="J1775" s="82" t="n"/>
      <c r="K1775" s="82" t="n"/>
      <c r="L1775" s="82" t="n"/>
      <c r="M1775" s="83" t="n"/>
      <c r="N1775" s="83" t="n"/>
      <c r="O1775" s="66">
        <f>IF(OR($M1775="",$N1775=""),"",$N1775-$M1775)</f>
        <v/>
      </c>
      <c r="P1775" s="84">
        <f>IF($J1775="","",IF($L1775&lt;&gt;"",$L1775-$J1775,TODAY()-$J1775))</f>
        <v/>
      </c>
      <c r="Q1775" s="85">
        <f>IF(OR($K1775="",$H1775="Completed",$H1775="Cancelled"),"",IF(AND($K1775&lt;TODAY(),$H1775&lt;&gt;"Completed",$H1775&lt;&gt;"Cancelled"),"Overdue","On Track"))</f>
        <v/>
      </c>
      <c r="R1775" s="81" t="n"/>
      <c r="S1775" s="81">
        <f>IF($B1775="","",IFERROR(INDEX(Task_Tracker!$AA$5:$AA$1004,MATCH($B1775,Task_Tracker!$A$5:$A$1004,0)),""))</f>
        <v/>
      </c>
      <c r="T1775" s="81">
        <f>IF($B1775="","",IFERROR(INDEX(Task_Tracker!$AB$5:$AB$1004,MATCH($B1775,Task_Tracker!$A$5:$A$1004,0)),""))</f>
        <v/>
      </c>
      <c r="U1775" s="78">
        <f>IF($B1775="","",IFERROR(INDEX(Task_Tracker!$F$5:$F$1004,MATCH($B1775,Task_Tracker!$A$5:$A$1004,0)),""))</f>
        <v/>
      </c>
      <c r="V1775" s="78">
        <f>IF($B1775="","",IFERROR(INDEX(Task_Tracker!$I$5:$I$1004,MATCH($B1775,Task_Tracker!$A$5:$A$1004,0)),""))</f>
        <v/>
      </c>
      <c r="W1775" s="81">
        <f>IF(OR($D1775="",$B1775=""),"",$D1775&amp;" | "&amp;$B1775)</f>
        <v/>
      </c>
      <c r="X1775" s="85">
        <f>IF($K1775="","",TEXT($K1775,"yyyy-mm"))</f>
        <v/>
      </c>
      <c r="Y1775" s="81">
        <f>IF(OR($A1775="",$T1775=""),"","Included in Manager_Report")</f>
        <v/>
      </c>
    </row>
    <row r="1776" ht="15" customHeight="1" s="40">
      <c r="A1776" s="65">
        <f>IF(COUNTA(B1776:G1776)=0,"","STP-"&amp;TEXT(ROW()-4,"0000"))</f>
        <v/>
      </c>
      <c r="B1776" s="78" t="n"/>
      <c r="C1776" s="67">
        <f>IF($B1776="","",IFERROR(INDEX(Task_Tracker!$D$5:$D$1004,MATCH($B1776,Task_Tracker!$A$5:$A$1004,0)),""))</f>
        <v/>
      </c>
      <c r="D1776" s="67">
        <f>IF($B1776="","",IFERROR(INDEX(Task_Tracker!$B$5:$B$1004,MATCH($B1776,Task_Tracker!$A$5:$A$1004,0)),""))</f>
        <v/>
      </c>
      <c r="E1776" s="81" t="n"/>
      <c r="F1776" s="81" t="n"/>
      <c r="G1776" s="78" t="n"/>
      <c r="H1776" s="78" t="n"/>
      <c r="I1776" s="67">
        <f>IF($H1776="","",IFERROR(INDEX(Action_Status_Map!$B$5:$B$11,MATCH($H1776,Action_Status_Map!$A$5:$A$11,0)),""))</f>
        <v/>
      </c>
      <c r="J1776" s="82" t="n"/>
      <c r="K1776" s="82" t="n"/>
      <c r="L1776" s="82" t="n"/>
      <c r="M1776" s="83" t="n"/>
      <c r="N1776" s="83" t="n"/>
      <c r="O1776" s="66">
        <f>IF(OR($M1776="",$N1776=""),"",$N1776-$M1776)</f>
        <v/>
      </c>
      <c r="P1776" s="84">
        <f>IF($J1776="","",IF($L1776&lt;&gt;"",$L1776-$J1776,TODAY()-$J1776))</f>
        <v/>
      </c>
      <c r="Q1776" s="85">
        <f>IF(OR($K1776="",$H1776="Completed",$H1776="Cancelled"),"",IF(AND($K1776&lt;TODAY(),$H1776&lt;&gt;"Completed",$H1776&lt;&gt;"Cancelled"),"Overdue","On Track"))</f>
        <v/>
      </c>
      <c r="R1776" s="81" t="n"/>
      <c r="S1776" s="81">
        <f>IF($B1776="","",IFERROR(INDEX(Task_Tracker!$AA$5:$AA$1004,MATCH($B1776,Task_Tracker!$A$5:$A$1004,0)),""))</f>
        <v/>
      </c>
      <c r="T1776" s="81">
        <f>IF($B1776="","",IFERROR(INDEX(Task_Tracker!$AB$5:$AB$1004,MATCH($B1776,Task_Tracker!$A$5:$A$1004,0)),""))</f>
        <v/>
      </c>
      <c r="U1776" s="78">
        <f>IF($B1776="","",IFERROR(INDEX(Task_Tracker!$F$5:$F$1004,MATCH($B1776,Task_Tracker!$A$5:$A$1004,0)),""))</f>
        <v/>
      </c>
      <c r="V1776" s="78">
        <f>IF($B1776="","",IFERROR(INDEX(Task_Tracker!$I$5:$I$1004,MATCH($B1776,Task_Tracker!$A$5:$A$1004,0)),""))</f>
        <v/>
      </c>
      <c r="W1776" s="81">
        <f>IF(OR($D1776="",$B1776=""),"",$D1776&amp;" | "&amp;$B1776)</f>
        <v/>
      </c>
      <c r="X1776" s="85">
        <f>IF($K1776="","",TEXT($K1776,"yyyy-mm"))</f>
        <v/>
      </c>
      <c r="Y1776" s="81">
        <f>IF(OR($A1776="",$T1776=""),"","Included in Manager_Report")</f>
        <v/>
      </c>
    </row>
    <row r="1777" ht="15" customHeight="1" s="40">
      <c r="A1777" s="65">
        <f>IF(COUNTA(B1777:G1777)=0,"","STP-"&amp;TEXT(ROW()-4,"0000"))</f>
        <v/>
      </c>
      <c r="B1777" s="78" t="n"/>
      <c r="C1777" s="67">
        <f>IF($B1777="","",IFERROR(INDEX(Task_Tracker!$D$5:$D$1004,MATCH($B1777,Task_Tracker!$A$5:$A$1004,0)),""))</f>
        <v/>
      </c>
      <c r="D1777" s="67">
        <f>IF($B1777="","",IFERROR(INDEX(Task_Tracker!$B$5:$B$1004,MATCH($B1777,Task_Tracker!$A$5:$A$1004,0)),""))</f>
        <v/>
      </c>
      <c r="E1777" s="81" t="n"/>
      <c r="F1777" s="81" t="n"/>
      <c r="G1777" s="78" t="n"/>
      <c r="H1777" s="78" t="n"/>
      <c r="I1777" s="67">
        <f>IF($H1777="","",IFERROR(INDEX(Action_Status_Map!$B$5:$B$11,MATCH($H1777,Action_Status_Map!$A$5:$A$11,0)),""))</f>
        <v/>
      </c>
      <c r="J1777" s="82" t="n"/>
      <c r="K1777" s="82" t="n"/>
      <c r="L1777" s="82" t="n"/>
      <c r="M1777" s="83" t="n"/>
      <c r="N1777" s="83" t="n"/>
      <c r="O1777" s="66">
        <f>IF(OR($M1777="",$N1777=""),"",$N1777-$M1777)</f>
        <v/>
      </c>
      <c r="P1777" s="84">
        <f>IF($J1777="","",IF($L1777&lt;&gt;"",$L1777-$J1777,TODAY()-$J1777))</f>
        <v/>
      </c>
      <c r="Q1777" s="85">
        <f>IF(OR($K1777="",$H1777="Completed",$H1777="Cancelled"),"",IF(AND($K1777&lt;TODAY(),$H1777&lt;&gt;"Completed",$H1777&lt;&gt;"Cancelled"),"Overdue","On Track"))</f>
        <v/>
      </c>
      <c r="R1777" s="81" t="n"/>
      <c r="S1777" s="81">
        <f>IF($B1777="","",IFERROR(INDEX(Task_Tracker!$AA$5:$AA$1004,MATCH($B1777,Task_Tracker!$A$5:$A$1004,0)),""))</f>
        <v/>
      </c>
      <c r="T1777" s="81">
        <f>IF($B1777="","",IFERROR(INDEX(Task_Tracker!$AB$5:$AB$1004,MATCH($B1777,Task_Tracker!$A$5:$A$1004,0)),""))</f>
        <v/>
      </c>
      <c r="U1777" s="78">
        <f>IF($B1777="","",IFERROR(INDEX(Task_Tracker!$F$5:$F$1004,MATCH($B1777,Task_Tracker!$A$5:$A$1004,0)),""))</f>
        <v/>
      </c>
      <c r="V1777" s="78">
        <f>IF($B1777="","",IFERROR(INDEX(Task_Tracker!$I$5:$I$1004,MATCH($B1777,Task_Tracker!$A$5:$A$1004,0)),""))</f>
        <v/>
      </c>
      <c r="W1777" s="81">
        <f>IF(OR($D1777="",$B1777=""),"",$D1777&amp;" | "&amp;$B1777)</f>
        <v/>
      </c>
      <c r="X1777" s="85">
        <f>IF($K1777="","",TEXT($K1777,"yyyy-mm"))</f>
        <v/>
      </c>
      <c r="Y1777" s="81">
        <f>IF(OR($A1777="",$T1777=""),"","Included in Manager_Report")</f>
        <v/>
      </c>
    </row>
    <row r="1778" ht="15" customHeight="1" s="40">
      <c r="A1778" s="65">
        <f>IF(COUNTA(B1778:G1778)=0,"","STP-"&amp;TEXT(ROW()-4,"0000"))</f>
        <v/>
      </c>
      <c r="B1778" s="78" t="n"/>
      <c r="C1778" s="67">
        <f>IF($B1778="","",IFERROR(INDEX(Task_Tracker!$D$5:$D$1004,MATCH($B1778,Task_Tracker!$A$5:$A$1004,0)),""))</f>
        <v/>
      </c>
      <c r="D1778" s="67">
        <f>IF($B1778="","",IFERROR(INDEX(Task_Tracker!$B$5:$B$1004,MATCH($B1778,Task_Tracker!$A$5:$A$1004,0)),""))</f>
        <v/>
      </c>
      <c r="E1778" s="81" t="n"/>
      <c r="F1778" s="81" t="n"/>
      <c r="G1778" s="78" t="n"/>
      <c r="H1778" s="78" t="n"/>
      <c r="I1778" s="67">
        <f>IF($H1778="","",IFERROR(INDEX(Action_Status_Map!$B$5:$B$11,MATCH($H1778,Action_Status_Map!$A$5:$A$11,0)),""))</f>
        <v/>
      </c>
      <c r="J1778" s="82" t="n"/>
      <c r="K1778" s="82" t="n"/>
      <c r="L1778" s="82" t="n"/>
      <c r="M1778" s="83" t="n"/>
      <c r="N1778" s="83" t="n"/>
      <c r="O1778" s="66">
        <f>IF(OR($M1778="",$N1778=""),"",$N1778-$M1778)</f>
        <v/>
      </c>
      <c r="P1778" s="84">
        <f>IF($J1778="","",IF($L1778&lt;&gt;"",$L1778-$J1778,TODAY()-$J1778))</f>
        <v/>
      </c>
      <c r="Q1778" s="85">
        <f>IF(OR($K1778="",$H1778="Completed",$H1778="Cancelled"),"",IF(AND($K1778&lt;TODAY(),$H1778&lt;&gt;"Completed",$H1778&lt;&gt;"Cancelled"),"Overdue","On Track"))</f>
        <v/>
      </c>
      <c r="R1778" s="81" t="n"/>
      <c r="S1778" s="81">
        <f>IF($B1778="","",IFERROR(INDEX(Task_Tracker!$AA$5:$AA$1004,MATCH($B1778,Task_Tracker!$A$5:$A$1004,0)),""))</f>
        <v/>
      </c>
      <c r="T1778" s="81">
        <f>IF($B1778="","",IFERROR(INDEX(Task_Tracker!$AB$5:$AB$1004,MATCH($B1778,Task_Tracker!$A$5:$A$1004,0)),""))</f>
        <v/>
      </c>
      <c r="U1778" s="78">
        <f>IF($B1778="","",IFERROR(INDEX(Task_Tracker!$F$5:$F$1004,MATCH($B1778,Task_Tracker!$A$5:$A$1004,0)),""))</f>
        <v/>
      </c>
      <c r="V1778" s="78">
        <f>IF($B1778="","",IFERROR(INDEX(Task_Tracker!$I$5:$I$1004,MATCH($B1778,Task_Tracker!$A$5:$A$1004,0)),""))</f>
        <v/>
      </c>
      <c r="W1778" s="81">
        <f>IF(OR($D1778="",$B1778=""),"",$D1778&amp;" | "&amp;$B1778)</f>
        <v/>
      </c>
      <c r="X1778" s="85">
        <f>IF($K1778="","",TEXT($K1778,"yyyy-mm"))</f>
        <v/>
      </c>
      <c r="Y1778" s="81">
        <f>IF(OR($A1778="",$T1778=""),"","Included in Manager_Report")</f>
        <v/>
      </c>
    </row>
    <row r="1779" ht="15" customHeight="1" s="40">
      <c r="A1779" s="65">
        <f>IF(COUNTA(B1779:G1779)=0,"","STP-"&amp;TEXT(ROW()-4,"0000"))</f>
        <v/>
      </c>
      <c r="B1779" s="78" t="n"/>
      <c r="C1779" s="67">
        <f>IF($B1779="","",IFERROR(INDEX(Task_Tracker!$D$5:$D$1004,MATCH($B1779,Task_Tracker!$A$5:$A$1004,0)),""))</f>
        <v/>
      </c>
      <c r="D1779" s="67">
        <f>IF($B1779="","",IFERROR(INDEX(Task_Tracker!$B$5:$B$1004,MATCH($B1779,Task_Tracker!$A$5:$A$1004,0)),""))</f>
        <v/>
      </c>
      <c r="E1779" s="81" t="n"/>
      <c r="F1779" s="81" t="n"/>
      <c r="G1779" s="78" t="n"/>
      <c r="H1779" s="78" t="n"/>
      <c r="I1779" s="67">
        <f>IF($H1779="","",IFERROR(INDEX(Action_Status_Map!$B$5:$B$11,MATCH($H1779,Action_Status_Map!$A$5:$A$11,0)),""))</f>
        <v/>
      </c>
      <c r="J1779" s="82" t="n"/>
      <c r="K1779" s="82" t="n"/>
      <c r="L1779" s="82" t="n"/>
      <c r="M1779" s="83" t="n"/>
      <c r="N1779" s="83" t="n"/>
      <c r="O1779" s="66">
        <f>IF(OR($M1779="",$N1779=""),"",$N1779-$M1779)</f>
        <v/>
      </c>
      <c r="P1779" s="84">
        <f>IF($J1779="","",IF($L1779&lt;&gt;"",$L1779-$J1779,TODAY()-$J1779))</f>
        <v/>
      </c>
      <c r="Q1779" s="85">
        <f>IF(OR($K1779="",$H1779="Completed",$H1779="Cancelled"),"",IF(AND($K1779&lt;TODAY(),$H1779&lt;&gt;"Completed",$H1779&lt;&gt;"Cancelled"),"Overdue","On Track"))</f>
        <v/>
      </c>
      <c r="R1779" s="81" t="n"/>
      <c r="S1779" s="81">
        <f>IF($B1779="","",IFERROR(INDEX(Task_Tracker!$AA$5:$AA$1004,MATCH($B1779,Task_Tracker!$A$5:$A$1004,0)),""))</f>
        <v/>
      </c>
      <c r="T1779" s="81">
        <f>IF($B1779="","",IFERROR(INDEX(Task_Tracker!$AB$5:$AB$1004,MATCH($B1779,Task_Tracker!$A$5:$A$1004,0)),""))</f>
        <v/>
      </c>
      <c r="U1779" s="78">
        <f>IF($B1779="","",IFERROR(INDEX(Task_Tracker!$F$5:$F$1004,MATCH($B1779,Task_Tracker!$A$5:$A$1004,0)),""))</f>
        <v/>
      </c>
      <c r="V1779" s="78">
        <f>IF($B1779="","",IFERROR(INDEX(Task_Tracker!$I$5:$I$1004,MATCH($B1779,Task_Tracker!$A$5:$A$1004,0)),""))</f>
        <v/>
      </c>
      <c r="W1779" s="81">
        <f>IF(OR($D1779="",$B1779=""),"",$D1779&amp;" | "&amp;$B1779)</f>
        <v/>
      </c>
      <c r="X1779" s="85">
        <f>IF($K1779="","",TEXT($K1779,"yyyy-mm"))</f>
        <v/>
      </c>
      <c r="Y1779" s="81">
        <f>IF(OR($A1779="",$T1779=""),"","Included in Manager_Report")</f>
        <v/>
      </c>
    </row>
    <row r="1780" ht="15" customHeight="1" s="40">
      <c r="A1780" s="65">
        <f>IF(COUNTA(B1780:G1780)=0,"","STP-"&amp;TEXT(ROW()-4,"0000"))</f>
        <v/>
      </c>
      <c r="B1780" s="78" t="n"/>
      <c r="C1780" s="67">
        <f>IF($B1780="","",IFERROR(INDEX(Task_Tracker!$D$5:$D$1004,MATCH($B1780,Task_Tracker!$A$5:$A$1004,0)),""))</f>
        <v/>
      </c>
      <c r="D1780" s="67">
        <f>IF($B1780="","",IFERROR(INDEX(Task_Tracker!$B$5:$B$1004,MATCH($B1780,Task_Tracker!$A$5:$A$1004,0)),""))</f>
        <v/>
      </c>
      <c r="E1780" s="81" t="n"/>
      <c r="F1780" s="81" t="n"/>
      <c r="G1780" s="78" t="n"/>
      <c r="H1780" s="78" t="n"/>
      <c r="I1780" s="67">
        <f>IF($H1780="","",IFERROR(INDEX(Action_Status_Map!$B$5:$B$11,MATCH($H1780,Action_Status_Map!$A$5:$A$11,0)),""))</f>
        <v/>
      </c>
      <c r="J1780" s="82" t="n"/>
      <c r="K1780" s="82" t="n"/>
      <c r="L1780" s="82" t="n"/>
      <c r="M1780" s="83" t="n"/>
      <c r="N1780" s="83" t="n"/>
      <c r="O1780" s="66">
        <f>IF(OR($M1780="",$N1780=""),"",$N1780-$M1780)</f>
        <v/>
      </c>
      <c r="P1780" s="84">
        <f>IF($J1780="","",IF($L1780&lt;&gt;"",$L1780-$J1780,TODAY()-$J1780))</f>
        <v/>
      </c>
      <c r="Q1780" s="85">
        <f>IF(OR($K1780="",$H1780="Completed",$H1780="Cancelled"),"",IF(AND($K1780&lt;TODAY(),$H1780&lt;&gt;"Completed",$H1780&lt;&gt;"Cancelled"),"Overdue","On Track"))</f>
        <v/>
      </c>
      <c r="R1780" s="81" t="n"/>
      <c r="S1780" s="81">
        <f>IF($B1780="","",IFERROR(INDEX(Task_Tracker!$AA$5:$AA$1004,MATCH($B1780,Task_Tracker!$A$5:$A$1004,0)),""))</f>
        <v/>
      </c>
      <c r="T1780" s="81">
        <f>IF($B1780="","",IFERROR(INDEX(Task_Tracker!$AB$5:$AB$1004,MATCH($B1780,Task_Tracker!$A$5:$A$1004,0)),""))</f>
        <v/>
      </c>
      <c r="U1780" s="78">
        <f>IF($B1780="","",IFERROR(INDEX(Task_Tracker!$F$5:$F$1004,MATCH($B1780,Task_Tracker!$A$5:$A$1004,0)),""))</f>
        <v/>
      </c>
      <c r="V1780" s="78">
        <f>IF($B1780="","",IFERROR(INDEX(Task_Tracker!$I$5:$I$1004,MATCH($B1780,Task_Tracker!$A$5:$A$1004,0)),""))</f>
        <v/>
      </c>
      <c r="W1780" s="81">
        <f>IF(OR($D1780="",$B1780=""),"",$D1780&amp;" | "&amp;$B1780)</f>
        <v/>
      </c>
      <c r="X1780" s="85">
        <f>IF($K1780="","",TEXT($K1780,"yyyy-mm"))</f>
        <v/>
      </c>
      <c r="Y1780" s="81">
        <f>IF(OR($A1780="",$T1780=""),"","Included in Manager_Report")</f>
        <v/>
      </c>
    </row>
    <row r="1781" ht="15" customHeight="1" s="40">
      <c r="A1781" s="65">
        <f>IF(COUNTA(B1781:G1781)=0,"","STP-"&amp;TEXT(ROW()-4,"0000"))</f>
        <v/>
      </c>
      <c r="B1781" s="78" t="n"/>
      <c r="C1781" s="67">
        <f>IF($B1781="","",IFERROR(INDEX(Task_Tracker!$D$5:$D$1004,MATCH($B1781,Task_Tracker!$A$5:$A$1004,0)),""))</f>
        <v/>
      </c>
      <c r="D1781" s="67">
        <f>IF($B1781="","",IFERROR(INDEX(Task_Tracker!$B$5:$B$1004,MATCH($B1781,Task_Tracker!$A$5:$A$1004,0)),""))</f>
        <v/>
      </c>
      <c r="E1781" s="81" t="n"/>
      <c r="F1781" s="81" t="n"/>
      <c r="G1781" s="78" t="n"/>
      <c r="H1781" s="78" t="n"/>
      <c r="I1781" s="67">
        <f>IF($H1781="","",IFERROR(INDEX(Action_Status_Map!$B$5:$B$11,MATCH($H1781,Action_Status_Map!$A$5:$A$11,0)),""))</f>
        <v/>
      </c>
      <c r="J1781" s="82" t="n"/>
      <c r="K1781" s="82" t="n"/>
      <c r="L1781" s="82" t="n"/>
      <c r="M1781" s="83" t="n"/>
      <c r="N1781" s="83" t="n"/>
      <c r="O1781" s="66">
        <f>IF(OR($M1781="",$N1781=""),"",$N1781-$M1781)</f>
        <v/>
      </c>
      <c r="P1781" s="84">
        <f>IF($J1781="","",IF($L1781&lt;&gt;"",$L1781-$J1781,TODAY()-$J1781))</f>
        <v/>
      </c>
      <c r="Q1781" s="85">
        <f>IF(OR($K1781="",$H1781="Completed",$H1781="Cancelled"),"",IF(AND($K1781&lt;TODAY(),$H1781&lt;&gt;"Completed",$H1781&lt;&gt;"Cancelled"),"Overdue","On Track"))</f>
        <v/>
      </c>
      <c r="R1781" s="81" t="n"/>
      <c r="S1781" s="81">
        <f>IF($B1781="","",IFERROR(INDEX(Task_Tracker!$AA$5:$AA$1004,MATCH($B1781,Task_Tracker!$A$5:$A$1004,0)),""))</f>
        <v/>
      </c>
      <c r="T1781" s="81">
        <f>IF($B1781="","",IFERROR(INDEX(Task_Tracker!$AB$5:$AB$1004,MATCH($B1781,Task_Tracker!$A$5:$A$1004,0)),""))</f>
        <v/>
      </c>
      <c r="U1781" s="78">
        <f>IF($B1781="","",IFERROR(INDEX(Task_Tracker!$F$5:$F$1004,MATCH($B1781,Task_Tracker!$A$5:$A$1004,0)),""))</f>
        <v/>
      </c>
      <c r="V1781" s="78">
        <f>IF($B1781="","",IFERROR(INDEX(Task_Tracker!$I$5:$I$1004,MATCH($B1781,Task_Tracker!$A$5:$A$1004,0)),""))</f>
        <v/>
      </c>
      <c r="W1781" s="81">
        <f>IF(OR($D1781="",$B1781=""),"",$D1781&amp;" | "&amp;$B1781)</f>
        <v/>
      </c>
      <c r="X1781" s="85">
        <f>IF($K1781="","",TEXT($K1781,"yyyy-mm"))</f>
        <v/>
      </c>
      <c r="Y1781" s="81">
        <f>IF(OR($A1781="",$T1781=""),"","Included in Manager_Report")</f>
        <v/>
      </c>
    </row>
    <row r="1782" ht="15" customHeight="1" s="40">
      <c r="A1782" s="65">
        <f>IF(COUNTA(B1782:G1782)=0,"","STP-"&amp;TEXT(ROW()-4,"0000"))</f>
        <v/>
      </c>
      <c r="B1782" s="78" t="n"/>
      <c r="C1782" s="67">
        <f>IF($B1782="","",IFERROR(INDEX(Task_Tracker!$D$5:$D$1004,MATCH($B1782,Task_Tracker!$A$5:$A$1004,0)),""))</f>
        <v/>
      </c>
      <c r="D1782" s="67">
        <f>IF($B1782="","",IFERROR(INDEX(Task_Tracker!$B$5:$B$1004,MATCH($B1782,Task_Tracker!$A$5:$A$1004,0)),""))</f>
        <v/>
      </c>
      <c r="E1782" s="81" t="n"/>
      <c r="F1782" s="81" t="n"/>
      <c r="G1782" s="78" t="n"/>
      <c r="H1782" s="78" t="n"/>
      <c r="I1782" s="67">
        <f>IF($H1782="","",IFERROR(INDEX(Action_Status_Map!$B$5:$B$11,MATCH($H1782,Action_Status_Map!$A$5:$A$11,0)),""))</f>
        <v/>
      </c>
      <c r="J1782" s="82" t="n"/>
      <c r="K1782" s="82" t="n"/>
      <c r="L1782" s="82" t="n"/>
      <c r="M1782" s="83" t="n"/>
      <c r="N1782" s="83" t="n"/>
      <c r="O1782" s="66">
        <f>IF(OR($M1782="",$N1782=""),"",$N1782-$M1782)</f>
        <v/>
      </c>
      <c r="P1782" s="84">
        <f>IF($J1782="","",IF($L1782&lt;&gt;"",$L1782-$J1782,TODAY()-$J1782))</f>
        <v/>
      </c>
      <c r="Q1782" s="85">
        <f>IF(OR($K1782="",$H1782="Completed",$H1782="Cancelled"),"",IF(AND($K1782&lt;TODAY(),$H1782&lt;&gt;"Completed",$H1782&lt;&gt;"Cancelled"),"Overdue","On Track"))</f>
        <v/>
      </c>
      <c r="R1782" s="81" t="n"/>
      <c r="S1782" s="81">
        <f>IF($B1782="","",IFERROR(INDEX(Task_Tracker!$AA$5:$AA$1004,MATCH($B1782,Task_Tracker!$A$5:$A$1004,0)),""))</f>
        <v/>
      </c>
      <c r="T1782" s="81">
        <f>IF($B1782="","",IFERROR(INDEX(Task_Tracker!$AB$5:$AB$1004,MATCH($B1782,Task_Tracker!$A$5:$A$1004,0)),""))</f>
        <v/>
      </c>
      <c r="U1782" s="78">
        <f>IF($B1782="","",IFERROR(INDEX(Task_Tracker!$F$5:$F$1004,MATCH($B1782,Task_Tracker!$A$5:$A$1004,0)),""))</f>
        <v/>
      </c>
      <c r="V1782" s="78">
        <f>IF($B1782="","",IFERROR(INDEX(Task_Tracker!$I$5:$I$1004,MATCH($B1782,Task_Tracker!$A$5:$A$1004,0)),""))</f>
        <v/>
      </c>
      <c r="W1782" s="81">
        <f>IF(OR($D1782="",$B1782=""),"",$D1782&amp;" | "&amp;$B1782)</f>
        <v/>
      </c>
      <c r="X1782" s="85">
        <f>IF($K1782="","",TEXT($K1782,"yyyy-mm"))</f>
        <v/>
      </c>
      <c r="Y1782" s="81">
        <f>IF(OR($A1782="",$T1782=""),"","Included in Manager_Report")</f>
        <v/>
      </c>
    </row>
    <row r="1783" ht="15" customHeight="1" s="40">
      <c r="A1783" s="65">
        <f>IF(COUNTA(B1783:G1783)=0,"","STP-"&amp;TEXT(ROW()-4,"0000"))</f>
        <v/>
      </c>
      <c r="B1783" s="78" t="n"/>
      <c r="C1783" s="67">
        <f>IF($B1783="","",IFERROR(INDEX(Task_Tracker!$D$5:$D$1004,MATCH($B1783,Task_Tracker!$A$5:$A$1004,0)),""))</f>
        <v/>
      </c>
      <c r="D1783" s="67">
        <f>IF($B1783="","",IFERROR(INDEX(Task_Tracker!$B$5:$B$1004,MATCH($B1783,Task_Tracker!$A$5:$A$1004,0)),""))</f>
        <v/>
      </c>
      <c r="E1783" s="81" t="n"/>
      <c r="F1783" s="81" t="n"/>
      <c r="G1783" s="78" t="n"/>
      <c r="H1783" s="78" t="n"/>
      <c r="I1783" s="67">
        <f>IF($H1783="","",IFERROR(INDEX(Action_Status_Map!$B$5:$B$11,MATCH($H1783,Action_Status_Map!$A$5:$A$11,0)),""))</f>
        <v/>
      </c>
      <c r="J1783" s="82" t="n"/>
      <c r="K1783" s="82" t="n"/>
      <c r="L1783" s="82" t="n"/>
      <c r="M1783" s="83" t="n"/>
      <c r="N1783" s="83" t="n"/>
      <c r="O1783" s="66">
        <f>IF(OR($M1783="",$N1783=""),"",$N1783-$M1783)</f>
        <v/>
      </c>
      <c r="P1783" s="84">
        <f>IF($J1783="","",IF($L1783&lt;&gt;"",$L1783-$J1783,TODAY()-$J1783))</f>
        <v/>
      </c>
      <c r="Q1783" s="85">
        <f>IF(OR($K1783="",$H1783="Completed",$H1783="Cancelled"),"",IF(AND($K1783&lt;TODAY(),$H1783&lt;&gt;"Completed",$H1783&lt;&gt;"Cancelled"),"Overdue","On Track"))</f>
        <v/>
      </c>
      <c r="R1783" s="81" t="n"/>
      <c r="S1783" s="81">
        <f>IF($B1783="","",IFERROR(INDEX(Task_Tracker!$AA$5:$AA$1004,MATCH($B1783,Task_Tracker!$A$5:$A$1004,0)),""))</f>
        <v/>
      </c>
      <c r="T1783" s="81">
        <f>IF($B1783="","",IFERROR(INDEX(Task_Tracker!$AB$5:$AB$1004,MATCH($B1783,Task_Tracker!$A$5:$A$1004,0)),""))</f>
        <v/>
      </c>
      <c r="U1783" s="78">
        <f>IF($B1783="","",IFERROR(INDEX(Task_Tracker!$F$5:$F$1004,MATCH($B1783,Task_Tracker!$A$5:$A$1004,0)),""))</f>
        <v/>
      </c>
      <c r="V1783" s="78">
        <f>IF($B1783="","",IFERROR(INDEX(Task_Tracker!$I$5:$I$1004,MATCH($B1783,Task_Tracker!$A$5:$A$1004,0)),""))</f>
        <v/>
      </c>
      <c r="W1783" s="81">
        <f>IF(OR($D1783="",$B1783=""),"",$D1783&amp;" | "&amp;$B1783)</f>
        <v/>
      </c>
      <c r="X1783" s="85">
        <f>IF($K1783="","",TEXT($K1783,"yyyy-mm"))</f>
        <v/>
      </c>
      <c r="Y1783" s="81">
        <f>IF(OR($A1783="",$T1783=""),"","Included in Manager_Report")</f>
        <v/>
      </c>
    </row>
    <row r="1784" ht="15" customHeight="1" s="40">
      <c r="A1784" s="65">
        <f>IF(COUNTA(B1784:G1784)=0,"","STP-"&amp;TEXT(ROW()-4,"0000"))</f>
        <v/>
      </c>
      <c r="B1784" s="78" t="n"/>
      <c r="C1784" s="67">
        <f>IF($B1784="","",IFERROR(INDEX(Task_Tracker!$D$5:$D$1004,MATCH($B1784,Task_Tracker!$A$5:$A$1004,0)),""))</f>
        <v/>
      </c>
      <c r="D1784" s="67">
        <f>IF($B1784="","",IFERROR(INDEX(Task_Tracker!$B$5:$B$1004,MATCH($B1784,Task_Tracker!$A$5:$A$1004,0)),""))</f>
        <v/>
      </c>
      <c r="E1784" s="81" t="n"/>
      <c r="F1784" s="81" t="n"/>
      <c r="G1784" s="78" t="n"/>
      <c r="H1784" s="78" t="n"/>
      <c r="I1784" s="67">
        <f>IF($H1784="","",IFERROR(INDEX(Action_Status_Map!$B$5:$B$11,MATCH($H1784,Action_Status_Map!$A$5:$A$11,0)),""))</f>
        <v/>
      </c>
      <c r="J1784" s="82" t="n"/>
      <c r="K1784" s="82" t="n"/>
      <c r="L1784" s="82" t="n"/>
      <c r="M1784" s="83" t="n"/>
      <c r="N1784" s="83" t="n"/>
      <c r="O1784" s="66">
        <f>IF(OR($M1784="",$N1784=""),"",$N1784-$M1784)</f>
        <v/>
      </c>
      <c r="P1784" s="84">
        <f>IF($J1784="","",IF($L1784&lt;&gt;"",$L1784-$J1784,TODAY()-$J1784))</f>
        <v/>
      </c>
      <c r="Q1784" s="85">
        <f>IF(OR($K1784="",$H1784="Completed",$H1784="Cancelled"),"",IF(AND($K1784&lt;TODAY(),$H1784&lt;&gt;"Completed",$H1784&lt;&gt;"Cancelled"),"Overdue","On Track"))</f>
        <v/>
      </c>
      <c r="R1784" s="81" t="n"/>
      <c r="S1784" s="81">
        <f>IF($B1784="","",IFERROR(INDEX(Task_Tracker!$AA$5:$AA$1004,MATCH($B1784,Task_Tracker!$A$5:$A$1004,0)),""))</f>
        <v/>
      </c>
      <c r="T1784" s="81">
        <f>IF($B1784="","",IFERROR(INDEX(Task_Tracker!$AB$5:$AB$1004,MATCH($B1784,Task_Tracker!$A$5:$A$1004,0)),""))</f>
        <v/>
      </c>
      <c r="U1784" s="78">
        <f>IF($B1784="","",IFERROR(INDEX(Task_Tracker!$F$5:$F$1004,MATCH($B1784,Task_Tracker!$A$5:$A$1004,0)),""))</f>
        <v/>
      </c>
      <c r="V1784" s="78">
        <f>IF($B1784="","",IFERROR(INDEX(Task_Tracker!$I$5:$I$1004,MATCH($B1784,Task_Tracker!$A$5:$A$1004,0)),""))</f>
        <v/>
      </c>
      <c r="W1784" s="81">
        <f>IF(OR($D1784="",$B1784=""),"",$D1784&amp;" | "&amp;$B1784)</f>
        <v/>
      </c>
      <c r="X1784" s="85">
        <f>IF($K1784="","",TEXT($K1784,"yyyy-mm"))</f>
        <v/>
      </c>
      <c r="Y1784" s="81">
        <f>IF(OR($A1784="",$T1784=""),"","Included in Manager_Report")</f>
        <v/>
      </c>
    </row>
    <row r="1785" ht="15" customHeight="1" s="40">
      <c r="A1785" s="65">
        <f>IF(COUNTA(B1785:G1785)=0,"","STP-"&amp;TEXT(ROW()-4,"0000"))</f>
        <v/>
      </c>
      <c r="B1785" s="78" t="n"/>
      <c r="C1785" s="67">
        <f>IF($B1785="","",IFERROR(INDEX(Task_Tracker!$D$5:$D$1004,MATCH($B1785,Task_Tracker!$A$5:$A$1004,0)),""))</f>
        <v/>
      </c>
      <c r="D1785" s="67">
        <f>IF($B1785="","",IFERROR(INDEX(Task_Tracker!$B$5:$B$1004,MATCH($B1785,Task_Tracker!$A$5:$A$1004,0)),""))</f>
        <v/>
      </c>
      <c r="E1785" s="81" t="n"/>
      <c r="F1785" s="81" t="n"/>
      <c r="G1785" s="78" t="n"/>
      <c r="H1785" s="78" t="n"/>
      <c r="I1785" s="67">
        <f>IF($H1785="","",IFERROR(INDEX(Action_Status_Map!$B$5:$B$11,MATCH($H1785,Action_Status_Map!$A$5:$A$11,0)),""))</f>
        <v/>
      </c>
      <c r="J1785" s="82" t="n"/>
      <c r="K1785" s="82" t="n"/>
      <c r="L1785" s="82" t="n"/>
      <c r="M1785" s="83" t="n"/>
      <c r="N1785" s="83" t="n"/>
      <c r="O1785" s="66">
        <f>IF(OR($M1785="",$N1785=""),"",$N1785-$M1785)</f>
        <v/>
      </c>
      <c r="P1785" s="84">
        <f>IF($J1785="","",IF($L1785&lt;&gt;"",$L1785-$J1785,TODAY()-$J1785))</f>
        <v/>
      </c>
      <c r="Q1785" s="85">
        <f>IF(OR($K1785="",$H1785="Completed",$H1785="Cancelled"),"",IF(AND($K1785&lt;TODAY(),$H1785&lt;&gt;"Completed",$H1785&lt;&gt;"Cancelled"),"Overdue","On Track"))</f>
        <v/>
      </c>
      <c r="R1785" s="81" t="n"/>
      <c r="S1785" s="81">
        <f>IF($B1785="","",IFERROR(INDEX(Task_Tracker!$AA$5:$AA$1004,MATCH($B1785,Task_Tracker!$A$5:$A$1004,0)),""))</f>
        <v/>
      </c>
      <c r="T1785" s="81">
        <f>IF($B1785="","",IFERROR(INDEX(Task_Tracker!$AB$5:$AB$1004,MATCH($B1785,Task_Tracker!$A$5:$A$1004,0)),""))</f>
        <v/>
      </c>
      <c r="U1785" s="78">
        <f>IF($B1785="","",IFERROR(INDEX(Task_Tracker!$F$5:$F$1004,MATCH($B1785,Task_Tracker!$A$5:$A$1004,0)),""))</f>
        <v/>
      </c>
      <c r="V1785" s="78">
        <f>IF($B1785="","",IFERROR(INDEX(Task_Tracker!$I$5:$I$1004,MATCH($B1785,Task_Tracker!$A$5:$A$1004,0)),""))</f>
        <v/>
      </c>
      <c r="W1785" s="81">
        <f>IF(OR($D1785="",$B1785=""),"",$D1785&amp;" | "&amp;$B1785)</f>
        <v/>
      </c>
      <c r="X1785" s="85">
        <f>IF($K1785="","",TEXT($K1785,"yyyy-mm"))</f>
        <v/>
      </c>
      <c r="Y1785" s="81">
        <f>IF(OR($A1785="",$T1785=""),"","Included in Manager_Report")</f>
        <v/>
      </c>
    </row>
    <row r="1786" ht="15" customHeight="1" s="40">
      <c r="A1786" s="65">
        <f>IF(COUNTA(B1786:G1786)=0,"","STP-"&amp;TEXT(ROW()-4,"0000"))</f>
        <v/>
      </c>
      <c r="B1786" s="78" t="n"/>
      <c r="C1786" s="67">
        <f>IF($B1786="","",IFERROR(INDEX(Task_Tracker!$D$5:$D$1004,MATCH($B1786,Task_Tracker!$A$5:$A$1004,0)),""))</f>
        <v/>
      </c>
      <c r="D1786" s="67">
        <f>IF($B1786="","",IFERROR(INDEX(Task_Tracker!$B$5:$B$1004,MATCH($B1786,Task_Tracker!$A$5:$A$1004,0)),""))</f>
        <v/>
      </c>
      <c r="E1786" s="81" t="n"/>
      <c r="F1786" s="81" t="n"/>
      <c r="G1786" s="78" t="n"/>
      <c r="H1786" s="78" t="n"/>
      <c r="I1786" s="67">
        <f>IF($H1786="","",IFERROR(INDEX(Action_Status_Map!$B$5:$B$11,MATCH($H1786,Action_Status_Map!$A$5:$A$11,0)),""))</f>
        <v/>
      </c>
      <c r="J1786" s="82" t="n"/>
      <c r="K1786" s="82" t="n"/>
      <c r="L1786" s="82" t="n"/>
      <c r="M1786" s="83" t="n"/>
      <c r="N1786" s="83" t="n"/>
      <c r="O1786" s="66">
        <f>IF(OR($M1786="",$N1786=""),"",$N1786-$M1786)</f>
        <v/>
      </c>
      <c r="P1786" s="84">
        <f>IF($J1786="","",IF($L1786&lt;&gt;"",$L1786-$J1786,TODAY()-$J1786))</f>
        <v/>
      </c>
      <c r="Q1786" s="85">
        <f>IF(OR($K1786="",$H1786="Completed",$H1786="Cancelled"),"",IF(AND($K1786&lt;TODAY(),$H1786&lt;&gt;"Completed",$H1786&lt;&gt;"Cancelled"),"Overdue","On Track"))</f>
        <v/>
      </c>
      <c r="R1786" s="81" t="n"/>
      <c r="S1786" s="81">
        <f>IF($B1786="","",IFERROR(INDEX(Task_Tracker!$AA$5:$AA$1004,MATCH($B1786,Task_Tracker!$A$5:$A$1004,0)),""))</f>
        <v/>
      </c>
      <c r="T1786" s="81">
        <f>IF($B1786="","",IFERROR(INDEX(Task_Tracker!$AB$5:$AB$1004,MATCH($B1786,Task_Tracker!$A$5:$A$1004,0)),""))</f>
        <v/>
      </c>
      <c r="U1786" s="78">
        <f>IF($B1786="","",IFERROR(INDEX(Task_Tracker!$F$5:$F$1004,MATCH($B1786,Task_Tracker!$A$5:$A$1004,0)),""))</f>
        <v/>
      </c>
      <c r="V1786" s="78">
        <f>IF($B1786="","",IFERROR(INDEX(Task_Tracker!$I$5:$I$1004,MATCH($B1786,Task_Tracker!$A$5:$A$1004,0)),""))</f>
        <v/>
      </c>
      <c r="W1786" s="81">
        <f>IF(OR($D1786="",$B1786=""),"",$D1786&amp;" | "&amp;$B1786)</f>
        <v/>
      </c>
      <c r="X1786" s="85">
        <f>IF($K1786="","",TEXT($K1786,"yyyy-mm"))</f>
        <v/>
      </c>
      <c r="Y1786" s="81">
        <f>IF(OR($A1786="",$T1786=""),"","Included in Manager_Report")</f>
        <v/>
      </c>
    </row>
    <row r="1787" ht="15" customHeight="1" s="40">
      <c r="A1787" s="65">
        <f>IF(COUNTA(B1787:G1787)=0,"","STP-"&amp;TEXT(ROW()-4,"0000"))</f>
        <v/>
      </c>
      <c r="B1787" s="78" t="n"/>
      <c r="C1787" s="67">
        <f>IF($B1787="","",IFERROR(INDEX(Task_Tracker!$D$5:$D$1004,MATCH($B1787,Task_Tracker!$A$5:$A$1004,0)),""))</f>
        <v/>
      </c>
      <c r="D1787" s="67">
        <f>IF($B1787="","",IFERROR(INDEX(Task_Tracker!$B$5:$B$1004,MATCH($B1787,Task_Tracker!$A$5:$A$1004,0)),""))</f>
        <v/>
      </c>
      <c r="E1787" s="81" t="n"/>
      <c r="F1787" s="81" t="n"/>
      <c r="G1787" s="78" t="n"/>
      <c r="H1787" s="78" t="n"/>
      <c r="I1787" s="67">
        <f>IF($H1787="","",IFERROR(INDEX(Action_Status_Map!$B$5:$B$11,MATCH($H1787,Action_Status_Map!$A$5:$A$11,0)),""))</f>
        <v/>
      </c>
      <c r="J1787" s="82" t="n"/>
      <c r="K1787" s="82" t="n"/>
      <c r="L1787" s="82" t="n"/>
      <c r="M1787" s="83" t="n"/>
      <c r="N1787" s="83" t="n"/>
      <c r="O1787" s="66">
        <f>IF(OR($M1787="",$N1787=""),"",$N1787-$M1787)</f>
        <v/>
      </c>
      <c r="P1787" s="84">
        <f>IF($J1787="","",IF($L1787&lt;&gt;"",$L1787-$J1787,TODAY()-$J1787))</f>
        <v/>
      </c>
      <c r="Q1787" s="85">
        <f>IF(OR($K1787="",$H1787="Completed",$H1787="Cancelled"),"",IF(AND($K1787&lt;TODAY(),$H1787&lt;&gt;"Completed",$H1787&lt;&gt;"Cancelled"),"Overdue","On Track"))</f>
        <v/>
      </c>
      <c r="R1787" s="81" t="n"/>
      <c r="S1787" s="81">
        <f>IF($B1787="","",IFERROR(INDEX(Task_Tracker!$AA$5:$AA$1004,MATCH($B1787,Task_Tracker!$A$5:$A$1004,0)),""))</f>
        <v/>
      </c>
      <c r="T1787" s="81">
        <f>IF($B1787="","",IFERROR(INDEX(Task_Tracker!$AB$5:$AB$1004,MATCH($B1787,Task_Tracker!$A$5:$A$1004,0)),""))</f>
        <v/>
      </c>
      <c r="U1787" s="78">
        <f>IF($B1787="","",IFERROR(INDEX(Task_Tracker!$F$5:$F$1004,MATCH($B1787,Task_Tracker!$A$5:$A$1004,0)),""))</f>
        <v/>
      </c>
      <c r="V1787" s="78">
        <f>IF($B1787="","",IFERROR(INDEX(Task_Tracker!$I$5:$I$1004,MATCH($B1787,Task_Tracker!$A$5:$A$1004,0)),""))</f>
        <v/>
      </c>
      <c r="W1787" s="81">
        <f>IF(OR($D1787="",$B1787=""),"",$D1787&amp;" | "&amp;$B1787)</f>
        <v/>
      </c>
      <c r="X1787" s="85">
        <f>IF($K1787="","",TEXT($K1787,"yyyy-mm"))</f>
        <v/>
      </c>
      <c r="Y1787" s="81">
        <f>IF(OR($A1787="",$T1787=""),"","Included in Manager_Report")</f>
        <v/>
      </c>
    </row>
    <row r="1788" ht="15" customHeight="1" s="40">
      <c r="A1788" s="65">
        <f>IF(COUNTA(B1788:G1788)=0,"","STP-"&amp;TEXT(ROW()-4,"0000"))</f>
        <v/>
      </c>
      <c r="B1788" s="78" t="n"/>
      <c r="C1788" s="67">
        <f>IF($B1788="","",IFERROR(INDEX(Task_Tracker!$D$5:$D$1004,MATCH($B1788,Task_Tracker!$A$5:$A$1004,0)),""))</f>
        <v/>
      </c>
      <c r="D1788" s="67">
        <f>IF($B1788="","",IFERROR(INDEX(Task_Tracker!$B$5:$B$1004,MATCH($B1788,Task_Tracker!$A$5:$A$1004,0)),""))</f>
        <v/>
      </c>
      <c r="E1788" s="81" t="n"/>
      <c r="F1788" s="81" t="n"/>
      <c r="G1788" s="78" t="n"/>
      <c r="H1788" s="78" t="n"/>
      <c r="I1788" s="67">
        <f>IF($H1788="","",IFERROR(INDEX(Action_Status_Map!$B$5:$B$11,MATCH($H1788,Action_Status_Map!$A$5:$A$11,0)),""))</f>
        <v/>
      </c>
      <c r="J1788" s="82" t="n"/>
      <c r="K1788" s="82" t="n"/>
      <c r="L1788" s="82" t="n"/>
      <c r="M1788" s="83" t="n"/>
      <c r="N1788" s="83" t="n"/>
      <c r="O1788" s="66">
        <f>IF(OR($M1788="",$N1788=""),"",$N1788-$M1788)</f>
        <v/>
      </c>
      <c r="P1788" s="84">
        <f>IF($J1788="","",IF($L1788&lt;&gt;"",$L1788-$J1788,TODAY()-$J1788))</f>
        <v/>
      </c>
      <c r="Q1788" s="85">
        <f>IF(OR($K1788="",$H1788="Completed",$H1788="Cancelled"),"",IF(AND($K1788&lt;TODAY(),$H1788&lt;&gt;"Completed",$H1788&lt;&gt;"Cancelled"),"Overdue","On Track"))</f>
        <v/>
      </c>
      <c r="R1788" s="81" t="n"/>
      <c r="S1788" s="81">
        <f>IF($B1788="","",IFERROR(INDEX(Task_Tracker!$AA$5:$AA$1004,MATCH($B1788,Task_Tracker!$A$5:$A$1004,0)),""))</f>
        <v/>
      </c>
      <c r="T1788" s="81">
        <f>IF($B1788="","",IFERROR(INDEX(Task_Tracker!$AB$5:$AB$1004,MATCH($B1788,Task_Tracker!$A$5:$A$1004,0)),""))</f>
        <v/>
      </c>
      <c r="U1788" s="78">
        <f>IF($B1788="","",IFERROR(INDEX(Task_Tracker!$F$5:$F$1004,MATCH($B1788,Task_Tracker!$A$5:$A$1004,0)),""))</f>
        <v/>
      </c>
      <c r="V1788" s="78">
        <f>IF($B1788="","",IFERROR(INDEX(Task_Tracker!$I$5:$I$1004,MATCH($B1788,Task_Tracker!$A$5:$A$1004,0)),""))</f>
        <v/>
      </c>
      <c r="W1788" s="81">
        <f>IF(OR($D1788="",$B1788=""),"",$D1788&amp;" | "&amp;$B1788)</f>
        <v/>
      </c>
      <c r="X1788" s="85">
        <f>IF($K1788="","",TEXT($K1788,"yyyy-mm"))</f>
        <v/>
      </c>
      <c r="Y1788" s="81">
        <f>IF(OR($A1788="",$T1788=""),"","Included in Manager_Report")</f>
        <v/>
      </c>
    </row>
    <row r="1789" ht="15" customHeight="1" s="40">
      <c r="A1789" s="65">
        <f>IF(COUNTA(B1789:G1789)=0,"","STP-"&amp;TEXT(ROW()-4,"0000"))</f>
        <v/>
      </c>
      <c r="B1789" s="78" t="n"/>
      <c r="C1789" s="67">
        <f>IF($B1789="","",IFERROR(INDEX(Task_Tracker!$D$5:$D$1004,MATCH($B1789,Task_Tracker!$A$5:$A$1004,0)),""))</f>
        <v/>
      </c>
      <c r="D1789" s="67">
        <f>IF($B1789="","",IFERROR(INDEX(Task_Tracker!$B$5:$B$1004,MATCH($B1789,Task_Tracker!$A$5:$A$1004,0)),""))</f>
        <v/>
      </c>
      <c r="E1789" s="81" t="n"/>
      <c r="F1789" s="81" t="n"/>
      <c r="G1789" s="78" t="n"/>
      <c r="H1789" s="78" t="n"/>
      <c r="I1789" s="67">
        <f>IF($H1789="","",IFERROR(INDEX(Action_Status_Map!$B$5:$B$11,MATCH($H1789,Action_Status_Map!$A$5:$A$11,0)),""))</f>
        <v/>
      </c>
      <c r="J1789" s="82" t="n"/>
      <c r="K1789" s="82" t="n"/>
      <c r="L1789" s="82" t="n"/>
      <c r="M1789" s="83" t="n"/>
      <c r="N1789" s="83" t="n"/>
      <c r="O1789" s="66">
        <f>IF(OR($M1789="",$N1789=""),"",$N1789-$M1789)</f>
        <v/>
      </c>
      <c r="P1789" s="84">
        <f>IF($J1789="","",IF($L1789&lt;&gt;"",$L1789-$J1789,TODAY()-$J1789))</f>
        <v/>
      </c>
      <c r="Q1789" s="85">
        <f>IF(OR($K1789="",$H1789="Completed",$H1789="Cancelled"),"",IF(AND($K1789&lt;TODAY(),$H1789&lt;&gt;"Completed",$H1789&lt;&gt;"Cancelled"),"Overdue","On Track"))</f>
        <v/>
      </c>
      <c r="R1789" s="81" t="n"/>
      <c r="S1789" s="81">
        <f>IF($B1789="","",IFERROR(INDEX(Task_Tracker!$AA$5:$AA$1004,MATCH($B1789,Task_Tracker!$A$5:$A$1004,0)),""))</f>
        <v/>
      </c>
      <c r="T1789" s="81">
        <f>IF($B1789="","",IFERROR(INDEX(Task_Tracker!$AB$5:$AB$1004,MATCH($B1789,Task_Tracker!$A$5:$A$1004,0)),""))</f>
        <v/>
      </c>
      <c r="U1789" s="78">
        <f>IF($B1789="","",IFERROR(INDEX(Task_Tracker!$F$5:$F$1004,MATCH($B1789,Task_Tracker!$A$5:$A$1004,0)),""))</f>
        <v/>
      </c>
      <c r="V1789" s="78">
        <f>IF($B1789="","",IFERROR(INDEX(Task_Tracker!$I$5:$I$1004,MATCH($B1789,Task_Tracker!$A$5:$A$1004,0)),""))</f>
        <v/>
      </c>
      <c r="W1789" s="81">
        <f>IF(OR($D1789="",$B1789=""),"",$D1789&amp;" | "&amp;$B1789)</f>
        <v/>
      </c>
      <c r="X1789" s="85">
        <f>IF($K1789="","",TEXT($K1789,"yyyy-mm"))</f>
        <v/>
      </c>
      <c r="Y1789" s="81">
        <f>IF(OR($A1789="",$T1789=""),"","Included in Manager_Report")</f>
        <v/>
      </c>
    </row>
    <row r="1790" ht="15" customHeight="1" s="40">
      <c r="A1790" s="65">
        <f>IF(COUNTA(B1790:G1790)=0,"","STP-"&amp;TEXT(ROW()-4,"0000"))</f>
        <v/>
      </c>
      <c r="B1790" s="78" t="n"/>
      <c r="C1790" s="67">
        <f>IF($B1790="","",IFERROR(INDEX(Task_Tracker!$D$5:$D$1004,MATCH($B1790,Task_Tracker!$A$5:$A$1004,0)),""))</f>
        <v/>
      </c>
      <c r="D1790" s="67">
        <f>IF($B1790="","",IFERROR(INDEX(Task_Tracker!$B$5:$B$1004,MATCH($B1790,Task_Tracker!$A$5:$A$1004,0)),""))</f>
        <v/>
      </c>
      <c r="E1790" s="81" t="n"/>
      <c r="F1790" s="81" t="n"/>
      <c r="G1790" s="78" t="n"/>
      <c r="H1790" s="78" t="n"/>
      <c r="I1790" s="67">
        <f>IF($H1790="","",IFERROR(INDEX(Action_Status_Map!$B$5:$B$11,MATCH($H1790,Action_Status_Map!$A$5:$A$11,0)),""))</f>
        <v/>
      </c>
      <c r="J1790" s="82" t="n"/>
      <c r="K1790" s="82" t="n"/>
      <c r="L1790" s="82" t="n"/>
      <c r="M1790" s="83" t="n"/>
      <c r="N1790" s="83" t="n"/>
      <c r="O1790" s="66">
        <f>IF(OR($M1790="",$N1790=""),"",$N1790-$M1790)</f>
        <v/>
      </c>
      <c r="P1790" s="84">
        <f>IF($J1790="","",IF($L1790&lt;&gt;"",$L1790-$J1790,TODAY()-$J1790))</f>
        <v/>
      </c>
      <c r="Q1790" s="85">
        <f>IF(OR($K1790="",$H1790="Completed",$H1790="Cancelled"),"",IF(AND($K1790&lt;TODAY(),$H1790&lt;&gt;"Completed",$H1790&lt;&gt;"Cancelled"),"Overdue","On Track"))</f>
        <v/>
      </c>
      <c r="R1790" s="81" t="n"/>
      <c r="S1790" s="81">
        <f>IF($B1790="","",IFERROR(INDEX(Task_Tracker!$AA$5:$AA$1004,MATCH($B1790,Task_Tracker!$A$5:$A$1004,0)),""))</f>
        <v/>
      </c>
      <c r="T1790" s="81">
        <f>IF($B1790="","",IFERROR(INDEX(Task_Tracker!$AB$5:$AB$1004,MATCH($B1790,Task_Tracker!$A$5:$A$1004,0)),""))</f>
        <v/>
      </c>
      <c r="U1790" s="78">
        <f>IF($B1790="","",IFERROR(INDEX(Task_Tracker!$F$5:$F$1004,MATCH($B1790,Task_Tracker!$A$5:$A$1004,0)),""))</f>
        <v/>
      </c>
      <c r="V1790" s="78">
        <f>IF($B1790="","",IFERROR(INDEX(Task_Tracker!$I$5:$I$1004,MATCH($B1790,Task_Tracker!$A$5:$A$1004,0)),""))</f>
        <v/>
      </c>
      <c r="W1790" s="81">
        <f>IF(OR($D1790="",$B1790=""),"",$D1790&amp;" | "&amp;$B1790)</f>
        <v/>
      </c>
      <c r="X1790" s="85">
        <f>IF($K1790="","",TEXT($K1790,"yyyy-mm"))</f>
        <v/>
      </c>
      <c r="Y1790" s="81">
        <f>IF(OR($A1790="",$T1790=""),"","Included in Manager_Report")</f>
        <v/>
      </c>
    </row>
    <row r="1791" ht="15" customHeight="1" s="40">
      <c r="A1791" s="65">
        <f>IF(COUNTA(B1791:G1791)=0,"","STP-"&amp;TEXT(ROW()-4,"0000"))</f>
        <v/>
      </c>
      <c r="B1791" s="78" t="n"/>
      <c r="C1791" s="67">
        <f>IF($B1791="","",IFERROR(INDEX(Task_Tracker!$D$5:$D$1004,MATCH($B1791,Task_Tracker!$A$5:$A$1004,0)),""))</f>
        <v/>
      </c>
      <c r="D1791" s="67">
        <f>IF($B1791="","",IFERROR(INDEX(Task_Tracker!$B$5:$B$1004,MATCH($B1791,Task_Tracker!$A$5:$A$1004,0)),""))</f>
        <v/>
      </c>
      <c r="E1791" s="81" t="n"/>
      <c r="F1791" s="81" t="n"/>
      <c r="G1791" s="78" t="n"/>
      <c r="H1791" s="78" t="n"/>
      <c r="I1791" s="67">
        <f>IF($H1791="","",IFERROR(INDEX(Action_Status_Map!$B$5:$B$11,MATCH($H1791,Action_Status_Map!$A$5:$A$11,0)),""))</f>
        <v/>
      </c>
      <c r="J1791" s="82" t="n"/>
      <c r="K1791" s="82" t="n"/>
      <c r="L1791" s="82" t="n"/>
      <c r="M1791" s="83" t="n"/>
      <c r="N1791" s="83" t="n"/>
      <c r="O1791" s="66">
        <f>IF(OR($M1791="",$N1791=""),"",$N1791-$M1791)</f>
        <v/>
      </c>
      <c r="P1791" s="84">
        <f>IF($J1791="","",IF($L1791&lt;&gt;"",$L1791-$J1791,TODAY()-$J1791))</f>
        <v/>
      </c>
      <c r="Q1791" s="85">
        <f>IF(OR($K1791="",$H1791="Completed",$H1791="Cancelled"),"",IF(AND($K1791&lt;TODAY(),$H1791&lt;&gt;"Completed",$H1791&lt;&gt;"Cancelled"),"Overdue","On Track"))</f>
        <v/>
      </c>
      <c r="R1791" s="81" t="n"/>
      <c r="S1791" s="81">
        <f>IF($B1791="","",IFERROR(INDEX(Task_Tracker!$AA$5:$AA$1004,MATCH($B1791,Task_Tracker!$A$5:$A$1004,0)),""))</f>
        <v/>
      </c>
      <c r="T1791" s="81">
        <f>IF($B1791="","",IFERROR(INDEX(Task_Tracker!$AB$5:$AB$1004,MATCH($B1791,Task_Tracker!$A$5:$A$1004,0)),""))</f>
        <v/>
      </c>
      <c r="U1791" s="78">
        <f>IF($B1791="","",IFERROR(INDEX(Task_Tracker!$F$5:$F$1004,MATCH($B1791,Task_Tracker!$A$5:$A$1004,0)),""))</f>
        <v/>
      </c>
      <c r="V1791" s="78">
        <f>IF($B1791="","",IFERROR(INDEX(Task_Tracker!$I$5:$I$1004,MATCH($B1791,Task_Tracker!$A$5:$A$1004,0)),""))</f>
        <v/>
      </c>
      <c r="W1791" s="81">
        <f>IF(OR($D1791="",$B1791=""),"",$D1791&amp;" | "&amp;$B1791)</f>
        <v/>
      </c>
      <c r="X1791" s="85">
        <f>IF($K1791="","",TEXT($K1791,"yyyy-mm"))</f>
        <v/>
      </c>
      <c r="Y1791" s="81">
        <f>IF(OR($A1791="",$T1791=""),"","Included in Manager_Report")</f>
        <v/>
      </c>
    </row>
    <row r="1792" ht="15" customHeight="1" s="40">
      <c r="A1792" s="65">
        <f>IF(COUNTA(B1792:G1792)=0,"","STP-"&amp;TEXT(ROW()-4,"0000"))</f>
        <v/>
      </c>
      <c r="B1792" s="78" t="n"/>
      <c r="C1792" s="67">
        <f>IF($B1792="","",IFERROR(INDEX(Task_Tracker!$D$5:$D$1004,MATCH($B1792,Task_Tracker!$A$5:$A$1004,0)),""))</f>
        <v/>
      </c>
      <c r="D1792" s="67">
        <f>IF($B1792="","",IFERROR(INDEX(Task_Tracker!$B$5:$B$1004,MATCH($B1792,Task_Tracker!$A$5:$A$1004,0)),""))</f>
        <v/>
      </c>
      <c r="E1792" s="81" t="n"/>
      <c r="F1792" s="81" t="n"/>
      <c r="G1792" s="78" t="n"/>
      <c r="H1792" s="78" t="n"/>
      <c r="I1792" s="67">
        <f>IF($H1792="","",IFERROR(INDEX(Action_Status_Map!$B$5:$B$11,MATCH($H1792,Action_Status_Map!$A$5:$A$11,0)),""))</f>
        <v/>
      </c>
      <c r="J1792" s="82" t="n"/>
      <c r="K1792" s="82" t="n"/>
      <c r="L1792" s="82" t="n"/>
      <c r="M1792" s="83" t="n"/>
      <c r="N1792" s="83" t="n"/>
      <c r="O1792" s="66">
        <f>IF(OR($M1792="",$N1792=""),"",$N1792-$M1792)</f>
        <v/>
      </c>
      <c r="P1792" s="84">
        <f>IF($J1792="","",IF($L1792&lt;&gt;"",$L1792-$J1792,TODAY()-$J1792))</f>
        <v/>
      </c>
      <c r="Q1792" s="85">
        <f>IF(OR($K1792="",$H1792="Completed",$H1792="Cancelled"),"",IF(AND($K1792&lt;TODAY(),$H1792&lt;&gt;"Completed",$H1792&lt;&gt;"Cancelled"),"Overdue","On Track"))</f>
        <v/>
      </c>
      <c r="R1792" s="81" t="n"/>
      <c r="S1792" s="81">
        <f>IF($B1792="","",IFERROR(INDEX(Task_Tracker!$AA$5:$AA$1004,MATCH($B1792,Task_Tracker!$A$5:$A$1004,0)),""))</f>
        <v/>
      </c>
      <c r="T1792" s="81">
        <f>IF($B1792="","",IFERROR(INDEX(Task_Tracker!$AB$5:$AB$1004,MATCH($B1792,Task_Tracker!$A$5:$A$1004,0)),""))</f>
        <v/>
      </c>
      <c r="U1792" s="78">
        <f>IF($B1792="","",IFERROR(INDEX(Task_Tracker!$F$5:$F$1004,MATCH($B1792,Task_Tracker!$A$5:$A$1004,0)),""))</f>
        <v/>
      </c>
      <c r="V1792" s="78">
        <f>IF($B1792="","",IFERROR(INDEX(Task_Tracker!$I$5:$I$1004,MATCH($B1792,Task_Tracker!$A$5:$A$1004,0)),""))</f>
        <v/>
      </c>
      <c r="W1792" s="81">
        <f>IF(OR($D1792="",$B1792=""),"",$D1792&amp;" | "&amp;$B1792)</f>
        <v/>
      </c>
      <c r="X1792" s="85">
        <f>IF($K1792="","",TEXT($K1792,"yyyy-mm"))</f>
        <v/>
      </c>
      <c r="Y1792" s="81">
        <f>IF(OR($A1792="",$T1792=""),"","Included in Manager_Report")</f>
        <v/>
      </c>
    </row>
    <row r="1793" ht="15" customHeight="1" s="40">
      <c r="A1793" s="65">
        <f>IF(COUNTA(B1793:G1793)=0,"","STP-"&amp;TEXT(ROW()-4,"0000"))</f>
        <v/>
      </c>
      <c r="B1793" s="78" t="n"/>
      <c r="C1793" s="67">
        <f>IF($B1793="","",IFERROR(INDEX(Task_Tracker!$D$5:$D$1004,MATCH($B1793,Task_Tracker!$A$5:$A$1004,0)),""))</f>
        <v/>
      </c>
      <c r="D1793" s="67">
        <f>IF($B1793="","",IFERROR(INDEX(Task_Tracker!$B$5:$B$1004,MATCH($B1793,Task_Tracker!$A$5:$A$1004,0)),""))</f>
        <v/>
      </c>
      <c r="E1793" s="81" t="n"/>
      <c r="F1793" s="81" t="n"/>
      <c r="G1793" s="78" t="n"/>
      <c r="H1793" s="78" t="n"/>
      <c r="I1793" s="67">
        <f>IF($H1793="","",IFERROR(INDEX(Action_Status_Map!$B$5:$B$11,MATCH($H1793,Action_Status_Map!$A$5:$A$11,0)),""))</f>
        <v/>
      </c>
      <c r="J1793" s="82" t="n"/>
      <c r="K1793" s="82" t="n"/>
      <c r="L1793" s="82" t="n"/>
      <c r="M1793" s="83" t="n"/>
      <c r="N1793" s="83" t="n"/>
      <c r="O1793" s="66">
        <f>IF(OR($M1793="",$N1793=""),"",$N1793-$M1793)</f>
        <v/>
      </c>
      <c r="P1793" s="84">
        <f>IF($J1793="","",IF($L1793&lt;&gt;"",$L1793-$J1793,TODAY()-$J1793))</f>
        <v/>
      </c>
      <c r="Q1793" s="85">
        <f>IF(OR($K1793="",$H1793="Completed",$H1793="Cancelled"),"",IF(AND($K1793&lt;TODAY(),$H1793&lt;&gt;"Completed",$H1793&lt;&gt;"Cancelled"),"Overdue","On Track"))</f>
        <v/>
      </c>
      <c r="R1793" s="81" t="n"/>
      <c r="S1793" s="81">
        <f>IF($B1793="","",IFERROR(INDEX(Task_Tracker!$AA$5:$AA$1004,MATCH($B1793,Task_Tracker!$A$5:$A$1004,0)),""))</f>
        <v/>
      </c>
      <c r="T1793" s="81">
        <f>IF($B1793="","",IFERROR(INDEX(Task_Tracker!$AB$5:$AB$1004,MATCH($B1793,Task_Tracker!$A$5:$A$1004,0)),""))</f>
        <v/>
      </c>
      <c r="U1793" s="78">
        <f>IF($B1793="","",IFERROR(INDEX(Task_Tracker!$F$5:$F$1004,MATCH($B1793,Task_Tracker!$A$5:$A$1004,0)),""))</f>
        <v/>
      </c>
      <c r="V1793" s="78">
        <f>IF($B1793="","",IFERROR(INDEX(Task_Tracker!$I$5:$I$1004,MATCH($B1793,Task_Tracker!$A$5:$A$1004,0)),""))</f>
        <v/>
      </c>
      <c r="W1793" s="81">
        <f>IF(OR($D1793="",$B1793=""),"",$D1793&amp;" | "&amp;$B1793)</f>
        <v/>
      </c>
      <c r="X1793" s="85">
        <f>IF($K1793="","",TEXT($K1793,"yyyy-mm"))</f>
        <v/>
      </c>
      <c r="Y1793" s="81">
        <f>IF(OR($A1793="",$T1793=""),"","Included in Manager_Report")</f>
        <v/>
      </c>
    </row>
    <row r="1794" ht="15" customHeight="1" s="40">
      <c r="A1794" s="65">
        <f>IF(COUNTA(B1794:G1794)=0,"","STP-"&amp;TEXT(ROW()-4,"0000"))</f>
        <v/>
      </c>
      <c r="B1794" s="78" t="n"/>
      <c r="C1794" s="67">
        <f>IF($B1794="","",IFERROR(INDEX(Task_Tracker!$D$5:$D$1004,MATCH($B1794,Task_Tracker!$A$5:$A$1004,0)),""))</f>
        <v/>
      </c>
      <c r="D1794" s="67">
        <f>IF($B1794="","",IFERROR(INDEX(Task_Tracker!$B$5:$B$1004,MATCH($B1794,Task_Tracker!$A$5:$A$1004,0)),""))</f>
        <v/>
      </c>
      <c r="E1794" s="81" t="n"/>
      <c r="F1794" s="81" t="n"/>
      <c r="G1794" s="78" t="n"/>
      <c r="H1794" s="78" t="n"/>
      <c r="I1794" s="67">
        <f>IF($H1794="","",IFERROR(INDEX(Action_Status_Map!$B$5:$B$11,MATCH($H1794,Action_Status_Map!$A$5:$A$11,0)),""))</f>
        <v/>
      </c>
      <c r="J1794" s="82" t="n"/>
      <c r="K1794" s="82" t="n"/>
      <c r="L1794" s="82" t="n"/>
      <c r="M1794" s="83" t="n"/>
      <c r="N1794" s="83" t="n"/>
      <c r="O1794" s="66">
        <f>IF(OR($M1794="",$N1794=""),"",$N1794-$M1794)</f>
        <v/>
      </c>
      <c r="P1794" s="84">
        <f>IF($J1794="","",IF($L1794&lt;&gt;"",$L1794-$J1794,TODAY()-$J1794))</f>
        <v/>
      </c>
      <c r="Q1794" s="85">
        <f>IF(OR($K1794="",$H1794="Completed",$H1794="Cancelled"),"",IF(AND($K1794&lt;TODAY(),$H1794&lt;&gt;"Completed",$H1794&lt;&gt;"Cancelled"),"Overdue","On Track"))</f>
        <v/>
      </c>
      <c r="R1794" s="81" t="n"/>
      <c r="S1794" s="81">
        <f>IF($B1794="","",IFERROR(INDEX(Task_Tracker!$AA$5:$AA$1004,MATCH($B1794,Task_Tracker!$A$5:$A$1004,0)),""))</f>
        <v/>
      </c>
      <c r="T1794" s="81">
        <f>IF($B1794="","",IFERROR(INDEX(Task_Tracker!$AB$5:$AB$1004,MATCH($B1794,Task_Tracker!$A$5:$A$1004,0)),""))</f>
        <v/>
      </c>
      <c r="U1794" s="78">
        <f>IF($B1794="","",IFERROR(INDEX(Task_Tracker!$F$5:$F$1004,MATCH($B1794,Task_Tracker!$A$5:$A$1004,0)),""))</f>
        <v/>
      </c>
      <c r="V1794" s="78">
        <f>IF($B1794="","",IFERROR(INDEX(Task_Tracker!$I$5:$I$1004,MATCH($B1794,Task_Tracker!$A$5:$A$1004,0)),""))</f>
        <v/>
      </c>
      <c r="W1794" s="81">
        <f>IF(OR($D1794="",$B1794=""),"",$D1794&amp;" | "&amp;$B1794)</f>
        <v/>
      </c>
      <c r="X1794" s="85">
        <f>IF($K1794="","",TEXT($K1794,"yyyy-mm"))</f>
        <v/>
      </c>
      <c r="Y1794" s="81">
        <f>IF(OR($A1794="",$T1794=""),"","Included in Manager_Report")</f>
        <v/>
      </c>
    </row>
    <row r="1795" ht="15" customHeight="1" s="40">
      <c r="A1795" s="65">
        <f>IF(COUNTA(B1795:G1795)=0,"","STP-"&amp;TEXT(ROW()-4,"0000"))</f>
        <v/>
      </c>
      <c r="B1795" s="78" t="n"/>
      <c r="C1795" s="67">
        <f>IF($B1795="","",IFERROR(INDEX(Task_Tracker!$D$5:$D$1004,MATCH($B1795,Task_Tracker!$A$5:$A$1004,0)),""))</f>
        <v/>
      </c>
      <c r="D1795" s="67">
        <f>IF($B1795="","",IFERROR(INDEX(Task_Tracker!$B$5:$B$1004,MATCH($B1795,Task_Tracker!$A$5:$A$1004,0)),""))</f>
        <v/>
      </c>
      <c r="E1795" s="81" t="n"/>
      <c r="F1795" s="81" t="n"/>
      <c r="G1795" s="78" t="n"/>
      <c r="H1795" s="78" t="n"/>
      <c r="I1795" s="67">
        <f>IF($H1795="","",IFERROR(INDEX(Action_Status_Map!$B$5:$B$11,MATCH($H1795,Action_Status_Map!$A$5:$A$11,0)),""))</f>
        <v/>
      </c>
      <c r="J1795" s="82" t="n"/>
      <c r="K1795" s="82" t="n"/>
      <c r="L1795" s="82" t="n"/>
      <c r="M1795" s="83" t="n"/>
      <c r="N1795" s="83" t="n"/>
      <c r="O1795" s="66">
        <f>IF(OR($M1795="",$N1795=""),"",$N1795-$M1795)</f>
        <v/>
      </c>
      <c r="P1795" s="84">
        <f>IF($J1795="","",IF($L1795&lt;&gt;"",$L1795-$J1795,TODAY()-$J1795))</f>
        <v/>
      </c>
      <c r="Q1795" s="85">
        <f>IF(OR($K1795="",$H1795="Completed",$H1795="Cancelled"),"",IF(AND($K1795&lt;TODAY(),$H1795&lt;&gt;"Completed",$H1795&lt;&gt;"Cancelled"),"Overdue","On Track"))</f>
        <v/>
      </c>
      <c r="R1795" s="81" t="n"/>
      <c r="S1795" s="81">
        <f>IF($B1795="","",IFERROR(INDEX(Task_Tracker!$AA$5:$AA$1004,MATCH($B1795,Task_Tracker!$A$5:$A$1004,0)),""))</f>
        <v/>
      </c>
      <c r="T1795" s="81">
        <f>IF($B1795="","",IFERROR(INDEX(Task_Tracker!$AB$5:$AB$1004,MATCH($B1795,Task_Tracker!$A$5:$A$1004,0)),""))</f>
        <v/>
      </c>
      <c r="U1795" s="78">
        <f>IF($B1795="","",IFERROR(INDEX(Task_Tracker!$F$5:$F$1004,MATCH($B1795,Task_Tracker!$A$5:$A$1004,0)),""))</f>
        <v/>
      </c>
      <c r="V1795" s="78">
        <f>IF($B1795="","",IFERROR(INDEX(Task_Tracker!$I$5:$I$1004,MATCH($B1795,Task_Tracker!$A$5:$A$1004,0)),""))</f>
        <v/>
      </c>
      <c r="W1795" s="81">
        <f>IF(OR($D1795="",$B1795=""),"",$D1795&amp;" | "&amp;$B1795)</f>
        <v/>
      </c>
      <c r="X1795" s="85">
        <f>IF($K1795="","",TEXT($K1795,"yyyy-mm"))</f>
        <v/>
      </c>
      <c r="Y1795" s="81">
        <f>IF(OR($A1795="",$T1795=""),"","Included in Manager_Report")</f>
        <v/>
      </c>
    </row>
    <row r="1796" ht="15" customHeight="1" s="40">
      <c r="A1796" s="65">
        <f>IF(COUNTA(B1796:G1796)=0,"","STP-"&amp;TEXT(ROW()-4,"0000"))</f>
        <v/>
      </c>
      <c r="B1796" s="78" t="n"/>
      <c r="C1796" s="67">
        <f>IF($B1796="","",IFERROR(INDEX(Task_Tracker!$D$5:$D$1004,MATCH($B1796,Task_Tracker!$A$5:$A$1004,0)),""))</f>
        <v/>
      </c>
      <c r="D1796" s="67">
        <f>IF($B1796="","",IFERROR(INDEX(Task_Tracker!$B$5:$B$1004,MATCH($B1796,Task_Tracker!$A$5:$A$1004,0)),""))</f>
        <v/>
      </c>
      <c r="E1796" s="81" t="n"/>
      <c r="F1796" s="81" t="n"/>
      <c r="G1796" s="78" t="n"/>
      <c r="H1796" s="78" t="n"/>
      <c r="I1796" s="67">
        <f>IF($H1796="","",IFERROR(INDEX(Action_Status_Map!$B$5:$B$11,MATCH($H1796,Action_Status_Map!$A$5:$A$11,0)),""))</f>
        <v/>
      </c>
      <c r="J1796" s="82" t="n"/>
      <c r="K1796" s="82" t="n"/>
      <c r="L1796" s="82" t="n"/>
      <c r="M1796" s="83" t="n"/>
      <c r="N1796" s="83" t="n"/>
      <c r="O1796" s="66">
        <f>IF(OR($M1796="",$N1796=""),"",$N1796-$M1796)</f>
        <v/>
      </c>
      <c r="P1796" s="84">
        <f>IF($J1796="","",IF($L1796&lt;&gt;"",$L1796-$J1796,TODAY()-$J1796))</f>
        <v/>
      </c>
      <c r="Q1796" s="85">
        <f>IF(OR($K1796="",$H1796="Completed",$H1796="Cancelled"),"",IF(AND($K1796&lt;TODAY(),$H1796&lt;&gt;"Completed",$H1796&lt;&gt;"Cancelled"),"Overdue","On Track"))</f>
        <v/>
      </c>
      <c r="R1796" s="81" t="n"/>
      <c r="S1796" s="81">
        <f>IF($B1796="","",IFERROR(INDEX(Task_Tracker!$AA$5:$AA$1004,MATCH($B1796,Task_Tracker!$A$5:$A$1004,0)),""))</f>
        <v/>
      </c>
      <c r="T1796" s="81">
        <f>IF($B1796="","",IFERROR(INDEX(Task_Tracker!$AB$5:$AB$1004,MATCH($B1796,Task_Tracker!$A$5:$A$1004,0)),""))</f>
        <v/>
      </c>
      <c r="U1796" s="78">
        <f>IF($B1796="","",IFERROR(INDEX(Task_Tracker!$F$5:$F$1004,MATCH($B1796,Task_Tracker!$A$5:$A$1004,0)),""))</f>
        <v/>
      </c>
      <c r="V1796" s="78">
        <f>IF($B1796="","",IFERROR(INDEX(Task_Tracker!$I$5:$I$1004,MATCH($B1796,Task_Tracker!$A$5:$A$1004,0)),""))</f>
        <v/>
      </c>
      <c r="W1796" s="81">
        <f>IF(OR($D1796="",$B1796=""),"",$D1796&amp;" | "&amp;$B1796)</f>
        <v/>
      </c>
      <c r="X1796" s="85">
        <f>IF($K1796="","",TEXT($K1796,"yyyy-mm"))</f>
        <v/>
      </c>
      <c r="Y1796" s="81">
        <f>IF(OR($A1796="",$T1796=""),"","Included in Manager_Report")</f>
        <v/>
      </c>
    </row>
    <row r="1797" ht="15" customHeight="1" s="40">
      <c r="A1797" s="65">
        <f>IF(COUNTA(B1797:G1797)=0,"","STP-"&amp;TEXT(ROW()-4,"0000"))</f>
        <v/>
      </c>
      <c r="B1797" s="78" t="n"/>
      <c r="C1797" s="67">
        <f>IF($B1797="","",IFERROR(INDEX(Task_Tracker!$D$5:$D$1004,MATCH($B1797,Task_Tracker!$A$5:$A$1004,0)),""))</f>
        <v/>
      </c>
      <c r="D1797" s="67">
        <f>IF($B1797="","",IFERROR(INDEX(Task_Tracker!$B$5:$B$1004,MATCH($B1797,Task_Tracker!$A$5:$A$1004,0)),""))</f>
        <v/>
      </c>
      <c r="E1797" s="81" t="n"/>
      <c r="F1797" s="81" t="n"/>
      <c r="G1797" s="78" t="n"/>
      <c r="H1797" s="78" t="n"/>
      <c r="I1797" s="67">
        <f>IF($H1797="","",IFERROR(INDEX(Action_Status_Map!$B$5:$B$11,MATCH($H1797,Action_Status_Map!$A$5:$A$11,0)),""))</f>
        <v/>
      </c>
      <c r="J1797" s="82" t="n"/>
      <c r="K1797" s="82" t="n"/>
      <c r="L1797" s="82" t="n"/>
      <c r="M1797" s="83" t="n"/>
      <c r="N1797" s="83" t="n"/>
      <c r="O1797" s="66">
        <f>IF(OR($M1797="",$N1797=""),"",$N1797-$M1797)</f>
        <v/>
      </c>
      <c r="P1797" s="84">
        <f>IF($J1797="","",IF($L1797&lt;&gt;"",$L1797-$J1797,TODAY()-$J1797))</f>
        <v/>
      </c>
      <c r="Q1797" s="85">
        <f>IF(OR($K1797="",$H1797="Completed",$H1797="Cancelled"),"",IF(AND($K1797&lt;TODAY(),$H1797&lt;&gt;"Completed",$H1797&lt;&gt;"Cancelled"),"Overdue","On Track"))</f>
        <v/>
      </c>
      <c r="R1797" s="81" t="n"/>
      <c r="S1797" s="81">
        <f>IF($B1797="","",IFERROR(INDEX(Task_Tracker!$AA$5:$AA$1004,MATCH($B1797,Task_Tracker!$A$5:$A$1004,0)),""))</f>
        <v/>
      </c>
      <c r="T1797" s="81">
        <f>IF($B1797="","",IFERROR(INDEX(Task_Tracker!$AB$5:$AB$1004,MATCH($B1797,Task_Tracker!$A$5:$A$1004,0)),""))</f>
        <v/>
      </c>
      <c r="U1797" s="78">
        <f>IF($B1797="","",IFERROR(INDEX(Task_Tracker!$F$5:$F$1004,MATCH($B1797,Task_Tracker!$A$5:$A$1004,0)),""))</f>
        <v/>
      </c>
      <c r="V1797" s="78">
        <f>IF($B1797="","",IFERROR(INDEX(Task_Tracker!$I$5:$I$1004,MATCH($B1797,Task_Tracker!$A$5:$A$1004,0)),""))</f>
        <v/>
      </c>
      <c r="W1797" s="81">
        <f>IF(OR($D1797="",$B1797=""),"",$D1797&amp;" | "&amp;$B1797)</f>
        <v/>
      </c>
      <c r="X1797" s="85">
        <f>IF($K1797="","",TEXT($K1797,"yyyy-mm"))</f>
        <v/>
      </c>
      <c r="Y1797" s="81">
        <f>IF(OR($A1797="",$T1797=""),"","Included in Manager_Report")</f>
        <v/>
      </c>
    </row>
    <row r="1798" ht="15" customHeight="1" s="40">
      <c r="A1798" s="65">
        <f>IF(COUNTA(B1798:G1798)=0,"","STP-"&amp;TEXT(ROW()-4,"0000"))</f>
        <v/>
      </c>
      <c r="B1798" s="78" t="n"/>
      <c r="C1798" s="67">
        <f>IF($B1798="","",IFERROR(INDEX(Task_Tracker!$D$5:$D$1004,MATCH($B1798,Task_Tracker!$A$5:$A$1004,0)),""))</f>
        <v/>
      </c>
      <c r="D1798" s="67">
        <f>IF($B1798="","",IFERROR(INDEX(Task_Tracker!$B$5:$B$1004,MATCH($B1798,Task_Tracker!$A$5:$A$1004,0)),""))</f>
        <v/>
      </c>
      <c r="E1798" s="81" t="n"/>
      <c r="F1798" s="81" t="n"/>
      <c r="G1798" s="78" t="n"/>
      <c r="H1798" s="78" t="n"/>
      <c r="I1798" s="67">
        <f>IF($H1798="","",IFERROR(INDEX(Action_Status_Map!$B$5:$B$11,MATCH($H1798,Action_Status_Map!$A$5:$A$11,0)),""))</f>
        <v/>
      </c>
      <c r="J1798" s="82" t="n"/>
      <c r="K1798" s="82" t="n"/>
      <c r="L1798" s="82" t="n"/>
      <c r="M1798" s="83" t="n"/>
      <c r="N1798" s="83" t="n"/>
      <c r="O1798" s="66">
        <f>IF(OR($M1798="",$N1798=""),"",$N1798-$M1798)</f>
        <v/>
      </c>
      <c r="P1798" s="84">
        <f>IF($J1798="","",IF($L1798&lt;&gt;"",$L1798-$J1798,TODAY()-$J1798))</f>
        <v/>
      </c>
      <c r="Q1798" s="85">
        <f>IF(OR($K1798="",$H1798="Completed",$H1798="Cancelled"),"",IF(AND($K1798&lt;TODAY(),$H1798&lt;&gt;"Completed",$H1798&lt;&gt;"Cancelled"),"Overdue","On Track"))</f>
        <v/>
      </c>
      <c r="R1798" s="81" t="n"/>
      <c r="S1798" s="81">
        <f>IF($B1798="","",IFERROR(INDEX(Task_Tracker!$AA$5:$AA$1004,MATCH($B1798,Task_Tracker!$A$5:$A$1004,0)),""))</f>
        <v/>
      </c>
      <c r="T1798" s="81">
        <f>IF($B1798="","",IFERROR(INDEX(Task_Tracker!$AB$5:$AB$1004,MATCH($B1798,Task_Tracker!$A$5:$A$1004,0)),""))</f>
        <v/>
      </c>
      <c r="U1798" s="78">
        <f>IF($B1798="","",IFERROR(INDEX(Task_Tracker!$F$5:$F$1004,MATCH($B1798,Task_Tracker!$A$5:$A$1004,0)),""))</f>
        <v/>
      </c>
      <c r="V1798" s="78">
        <f>IF($B1798="","",IFERROR(INDEX(Task_Tracker!$I$5:$I$1004,MATCH($B1798,Task_Tracker!$A$5:$A$1004,0)),""))</f>
        <v/>
      </c>
      <c r="W1798" s="81">
        <f>IF(OR($D1798="",$B1798=""),"",$D1798&amp;" | "&amp;$B1798)</f>
        <v/>
      </c>
      <c r="X1798" s="85">
        <f>IF($K1798="","",TEXT($K1798,"yyyy-mm"))</f>
        <v/>
      </c>
      <c r="Y1798" s="81">
        <f>IF(OR($A1798="",$T1798=""),"","Included in Manager_Report")</f>
        <v/>
      </c>
    </row>
    <row r="1799" ht="15" customHeight="1" s="40">
      <c r="A1799" s="65">
        <f>IF(COUNTA(B1799:G1799)=0,"","STP-"&amp;TEXT(ROW()-4,"0000"))</f>
        <v/>
      </c>
      <c r="B1799" s="78" t="n"/>
      <c r="C1799" s="67">
        <f>IF($B1799="","",IFERROR(INDEX(Task_Tracker!$D$5:$D$1004,MATCH($B1799,Task_Tracker!$A$5:$A$1004,0)),""))</f>
        <v/>
      </c>
      <c r="D1799" s="67">
        <f>IF($B1799="","",IFERROR(INDEX(Task_Tracker!$B$5:$B$1004,MATCH($B1799,Task_Tracker!$A$5:$A$1004,0)),""))</f>
        <v/>
      </c>
      <c r="E1799" s="81" t="n"/>
      <c r="F1799" s="81" t="n"/>
      <c r="G1799" s="78" t="n"/>
      <c r="H1799" s="78" t="n"/>
      <c r="I1799" s="67">
        <f>IF($H1799="","",IFERROR(INDEX(Action_Status_Map!$B$5:$B$11,MATCH($H1799,Action_Status_Map!$A$5:$A$11,0)),""))</f>
        <v/>
      </c>
      <c r="J1799" s="82" t="n"/>
      <c r="K1799" s="82" t="n"/>
      <c r="L1799" s="82" t="n"/>
      <c r="M1799" s="83" t="n"/>
      <c r="N1799" s="83" t="n"/>
      <c r="O1799" s="66">
        <f>IF(OR($M1799="",$N1799=""),"",$N1799-$M1799)</f>
        <v/>
      </c>
      <c r="P1799" s="84">
        <f>IF($J1799="","",IF($L1799&lt;&gt;"",$L1799-$J1799,TODAY()-$J1799))</f>
        <v/>
      </c>
      <c r="Q1799" s="85">
        <f>IF(OR($K1799="",$H1799="Completed",$H1799="Cancelled"),"",IF(AND($K1799&lt;TODAY(),$H1799&lt;&gt;"Completed",$H1799&lt;&gt;"Cancelled"),"Overdue","On Track"))</f>
        <v/>
      </c>
      <c r="R1799" s="81" t="n"/>
      <c r="S1799" s="81">
        <f>IF($B1799="","",IFERROR(INDEX(Task_Tracker!$AA$5:$AA$1004,MATCH($B1799,Task_Tracker!$A$5:$A$1004,0)),""))</f>
        <v/>
      </c>
      <c r="T1799" s="81">
        <f>IF($B1799="","",IFERROR(INDEX(Task_Tracker!$AB$5:$AB$1004,MATCH($B1799,Task_Tracker!$A$5:$A$1004,0)),""))</f>
        <v/>
      </c>
      <c r="U1799" s="78">
        <f>IF($B1799="","",IFERROR(INDEX(Task_Tracker!$F$5:$F$1004,MATCH($B1799,Task_Tracker!$A$5:$A$1004,0)),""))</f>
        <v/>
      </c>
      <c r="V1799" s="78">
        <f>IF($B1799="","",IFERROR(INDEX(Task_Tracker!$I$5:$I$1004,MATCH($B1799,Task_Tracker!$A$5:$A$1004,0)),""))</f>
        <v/>
      </c>
      <c r="W1799" s="81">
        <f>IF(OR($D1799="",$B1799=""),"",$D1799&amp;" | "&amp;$B1799)</f>
        <v/>
      </c>
      <c r="X1799" s="85">
        <f>IF($K1799="","",TEXT($K1799,"yyyy-mm"))</f>
        <v/>
      </c>
      <c r="Y1799" s="81">
        <f>IF(OR($A1799="",$T1799=""),"","Included in Manager_Report")</f>
        <v/>
      </c>
    </row>
    <row r="1800" ht="15" customHeight="1" s="40">
      <c r="A1800" s="65">
        <f>IF(COUNTA(B1800:G1800)=0,"","STP-"&amp;TEXT(ROW()-4,"0000"))</f>
        <v/>
      </c>
      <c r="B1800" s="78" t="n"/>
      <c r="C1800" s="67">
        <f>IF($B1800="","",IFERROR(INDEX(Task_Tracker!$D$5:$D$1004,MATCH($B1800,Task_Tracker!$A$5:$A$1004,0)),""))</f>
        <v/>
      </c>
      <c r="D1800" s="67">
        <f>IF($B1800="","",IFERROR(INDEX(Task_Tracker!$B$5:$B$1004,MATCH($B1800,Task_Tracker!$A$5:$A$1004,0)),""))</f>
        <v/>
      </c>
      <c r="E1800" s="81" t="n"/>
      <c r="F1800" s="81" t="n"/>
      <c r="G1800" s="78" t="n"/>
      <c r="H1800" s="78" t="n"/>
      <c r="I1800" s="67">
        <f>IF($H1800="","",IFERROR(INDEX(Action_Status_Map!$B$5:$B$11,MATCH($H1800,Action_Status_Map!$A$5:$A$11,0)),""))</f>
        <v/>
      </c>
      <c r="J1800" s="82" t="n"/>
      <c r="K1800" s="82" t="n"/>
      <c r="L1800" s="82" t="n"/>
      <c r="M1800" s="83" t="n"/>
      <c r="N1800" s="83" t="n"/>
      <c r="O1800" s="66">
        <f>IF(OR($M1800="",$N1800=""),"",$N1800-$M1800)</f>
        <v/>
      </c>
      <c r="P1800" s="84">
        <f>IF($J1800="","",IF($L1800&lt;&gt;"",$L1800-$J1800,TODAY()-$J1800))</f>
        <v/>
      </c>
      <c r="Q1800" s="85">
        <f>IF(OR($K1800="",$H1800="Completed",$H1800="Cancelled"),"",IF(AND($K1800&lt;TODAY(),$H1800&lt;&gt;"Completed",$H1800&lt;&gt;"Cancelled"),"Overdue","On Track"))</f>
        <v/>
      </c>
      <c r="R1800" s="81" t="n"/>
      <c r="S1800" s="81">
        <f>IF($B1800="","",IFERROR(INDEX(Task_Tracker!$AA$5:$AA$1004,MATCH($B1800,Task_Tracker!$A$5:$A$1004,0)),""))</f>
        <v/>
      </c>
      <c r="T1800" s="81">
        <f>IF($B1800="","",IFERROR(INDEX(Task_Tracker!$AB$5:$AB$1004,MATCH($B1800,Task_Tracker!$A$5:$A$1004,0)),""))</f>
        <v/>
      </c>
      <c r="U1800" s="78">
        <f>IF($B1800="","",IFERROR(INDEX(Task_Tracker!$F$5:$F$1004,MATCH($B1800,Task_Tracker!$A$5:$A$1004,0)),""))</f>
        <v/>
      </c>
      <c r="V1800" s="78">
        <f>IF($B1800="","",IFERROR(INDEX(Task_Tracker!$I$5:$I$1004,MATCH($B1800,Task_Tracker!$A$5:$A$1004,0)),""))</f>
        <v/>
      </c>
      <c r="W1800" s="81">
        <f>IF(OR($D1800="",$B1800=""),"",$D1800&amp;" | "&amp;$B1800)</f>
        <v/>
      </c>
      <c r="X1800" s="85">
        <f>IF($K1800="","",TEXT($K1800,"yyyy-mm"))</f>
        <v/>
      </c>
      <c r="Y1800" s="81">
        <f>IF(OR($A1800="",$T1800=""),"","Included in Manager_Report")</f>
        <v/>
      </c>
    </row>
    <row r="1801" ht="15" customHeight="1" s="40">
      <c r="A1801" s="65">
        <f>IF(COUNTA(B1801:G1801)=0,"","STP-"&amp;TEXT(ROW()-4,"0000"))</f>
        <v/>
      </c>
      <c r="B1801" s="78" t="n"/>
      <c r="C1801" s="67">
        <f>IF($B1801="","",IFERROR(INDEX(Task_Tracker!$D$5:$D$1004,MATCH($B1801,Task_Tracker!$A$5:$A$1004,0)),""))</f>
        <v/>
      </c>
      <c r="D1801" s="67">
        <f>IF($B1801="","",IFERROR(INDEX(Task_Tracker!$B$5:$B$1004,MATCH($B1801,Task_Tracker!$A$5:$A$1004,0)),""))</f>
        <v/>
      </c>
      <c r="E1801" s="81" t="n"/>
      <c r="F1801" s="81" t="n"/>
      <c r="G1801" s="78" t="n"/>
      <c r="H1801" s="78" t="n"/>
      <c r="I1801" s="67">
        <f>IF($H1801="","",IFERROR(INDEX(Action_Status_Map!$B$5:$B$11,MATCH($H1801,Action_Status_Map!$A$5:$A$11,0)),""))</f>
        <v/>
      </c>
      <c r="J1801" s="82" t="n"/>
      <c r="K1801" s="82" t="n"/>
      <c r="L1801" s="82" t="n"/>
      <c r="M1801" s="83" t="n"/>
      <c r="N1801" s="83" t="n"/>
      <c r="O1801" s="66">
        <f>IF(OR($M1801="",$N1801=""),"",$N1801-$M1801)</f>
        <v/>
      </c>
      <c r="P1801" s="84">
        <f>IF($J1801="","",IF($L1801&lt;&gt;"",$L1801-$J1801,TODAY()-$J1801))</f>
        <v/>
      </c>
      <c r="Q1801" s="85">
        <f>IF(OR($K1801="",$H1801="Completed",$H1801="Cancelled"),"",IF(AND($K1801&lt;TODAY(),$H1801&lt;&gt;"Completed",$H1801&lt;&gt;"Cancelled"),"Overdue","On Track"))</f>
        <v/>
      </c>
      <c r="R1801" s="81" t="n"/>
      <c r="S1801" s="81">
        <f>IF($B1801="","",IFERROR(INDEX(Task_Tracker!$AA$5:$AA$1004,MATCH($B1801,Task_Tracker!$A$5:$A$1004,0)),""))</f>
        <v/>
      </c>
      <c r="T1801" s="81">
        <f>IF($B1801="","",IFERROR(INDEX(Task_Tracker!$AB$5:$AB$1004,MATCH($B1801,Task_Tracker!$A$5:$A$1004,0)),""))</f>
        <v/>
      </c>
      <c r="U1801" s="78">
        <f>IF($B1801="","",IFERROR(INDEX(Task_Tracker!$F$5:$F$1004,MATCH($B1801,Task_Tracker!$A$5:$A$1004,0)),""))</f>
        <v/>
      </c>
      <c r="V1801" s="78">
        <f>IF($B1801="","",IFERROR(INDEX(Task_Tracker!$I$5:$I$1004,MATCH($B1801,Task_Tracker!$A$5:$A$1004,0)),""))</f>
        <v/>
      </c>
      <c r="W1801" s="81">
        <f>IF(OR($D1801="",$B1801=""),"",$D1801&amp;" | "&amp;$B1801)</f>
        <v/>
      </c>
      <c r="X1801" s="85">
        <f>IF($K1801="","",TEXT($K1801,"yyyy-mm"))</f>
        <v/>
      </c>
      <c r="Y1801" s="81">
        <f>IF(OR($A1801="",$T1801=""),"","Included in Manager_Report")</f>
        <v/>
      </c>
    </row>
    <row r="1802" ht="15" customHeight="1" s="40">
      <c r="A1802" s="65">
        <f>IF(COUNTA(B1802:G1802)=0,"","STP-"&amp;TEXT(ROW()-4,"0000"))</f>
        <v/>
      </c>
      <c r="B1802" s="78" t="n"/>
      <c r="C1802" s="67">
        <f>IF($B1802="","",IFERROR(INDEX(Task_Tracker!$D$5:$D$1004,MATCH($B1802,Task_Tracker!$A$5:$A$1004,0)),""))</f>
        <v/>
      </c>
      <c r="D1802" s="67">
        <f>IF($B1802="","",IFERROR(INDEX(Task_Tracker!$B$5:$B$1004,MATCH($B1802,Task_Tracker!$A$5:$A$1004,0)),""))</f>
        <v/>
      </c>
      <c r="E1802" s="81" t="n"/>
      <c r="F1802" s="81" t="n"/>
      <c r="G1802" s="78" t="n"/>
      <c r="H1802" s="78" t="n"/>
      <c r="I1802" s="67">
        <f>IF($H1802="","",IFERROR(INDEX(Action_Status_Map!$B$5:$B$11,MATCH($H1802,Action_Status_Map!$A$5:$A$11,0)),""))</f>
        <v/>
      </c>
      <c r="J1802" s="82" t="n"/>
      <c r="K1802" s="82" t="n"/>
      <c r="L1802" s="82" t="n"/>
      <c r="M1802" s="83" t="n"/>
      <c r="N1802" s="83" t="n"/>
      <c r="O1802" s="66">
        <f>IF(OR($M1802="",$N1802=""),"",$N1802-$M1802)</f>
        <v/>
      </c>
      <c r="P1802" s="84">
        <f>IF($J1802="","",IF($L1802&lt;&gt;"",$L1802-$J1802,TODAY()-$J1802))</f>
        <v/>
      </c>
      <c r="Q1802" s="85">
        <f>IF(OR($K1802="",$H1802="Completed",$H1802="Cancelled"),"",IF(AND($K1802&lt;TODAY(),$H1802&lt;&gt;"Completed",$H1802&lt;&gt;"Cancelled"),"Overdue","On Track"))</f>
        <v/>
      </c>
      <c r="R1802" s="81" t="n"/>
      <c r="S1802" s="81">
        <f>IF($B1802="","",IFERROR(INDEX(Task_Tracker!$AA$5:$AA$1004,MATCH($B1802,Task_Tracker!$A$5:$A$1004,0)),""))</f>
        <v/>
      </c>
      <c r="T1802" s="81">
        <f>IF($B1802="","",IFERROR(INDEX(Task_Tracker!$AB$5:$AB$1004,MATCH($B1802,Task_Tracker!$A$5:$A$1004,0)),""))</f>
        <v/>
      </c>
      <c r="U1802" s="78">
        <f>IF($B1802="","",IFERROR(INDEX(Task_Tracker!$F$5:$F$1004,MATCH($B1802,Task_Tracker!$A$5:$A$1004,0)),""))</f>
        <v/>
      </c>
      <c r="V1802" s="78">
        <f>IF($B1802="","",IFERROR(INDEX(Task_Tracker!$I$5:$I$1004,MATCH($B1802,Task_Tracker!$A$5:$A$1004,0)),""))</f>
        <v/>
      </c>
      <c r="W1802" s="81">
        <f>IF(OR($D1802="",$B1802=""),"",$D1802&amp;" | "&amp;$B1802)</f>
        <v/>
      </c>
      <c r="X1802" s="85">
        <f>IF($K1802="","",TEXT($K1802,"yyyy-mm"))</f>
        <v/>
      </c>
      <c r="Y1802" s="81">
        <f>IF(OR($A1802="",$T1802=""),"","Included in Manager_Report")</f>
        <v/>
      </c>
    </row>
    <row r="1803" ht="15" customHeight="1" s="40">
      <c r="A1803" s="65">
        <f>IF(COUNTA(B1803:G1803)=0,"","STP-"&amp;TEXT(ROW()-4,"0000"))</f>
        <v/>
      </c>
      <c r="B1803" s="78" t="n"/>
      <c r="C1803" s="67">
        <f>IF($B1803="","",IFERROR(INDEX(Task_Tracker!$D$5:$D$1004,MATCH($B1803,Task_Tracker!$A$5:$A$1004,0)),""))</f>
        <v/>
      </c>
      <c r="D1803" s="67">
        <f>IF($B1803="","",IFERROR(INDEX(Task_Tracker!$B$5:$B$1004,MATCH($B1803,Task_Tracker!$A$5:$A$1004,0)),""))</f>
        <v/>
      </c>
      <c r="E1803" s="81" t="n"/>
      <c r="F1803" s="81" t="n"/>
      <c r="G1803" s="78" t="n"/>
      <c r="H1803" s="78" t="n"/>
      <c r="I1803" s="67">
        <f>IF($H1803="","",IFERROR(INDEX(Action_Status_Map!$B$5:$B$11,MATCH($H1803,Action_Status_Map!$A$5:$A$11,0)),""))</f>
        <v/>
      </c>
      <c r="J1803" s="82" t="n"/>
      <c r="K1803" s="82" t="n"/>
      <c r="L1803" s="82" t="n"/>
      <c r="M1803" s="83" t="n"/>
      <c r="N1803" s="83" t="n"/>
      <c r="O1803" s="66">
        <f>IF(OR($M1803="",$N1803=""),"",$N1803-$M1803)</f>
        <v/>
      </c>
      <c r="P1803" s="84">
        <f>IF($J1803="","",IF($L1803&lt;&gt;"",$L1803-$J1803,TODAY()-$J1803))</f>
        <v/>
      </c>
      <c r="Q1803" s="85">
        <f>IF(OR($K1803="",$H1803="Completed",$H1803="Cancelled"),"",IF(AND($K1803&lt;TODAY(),$H1803&lt;&gt;"Completed",$H1803&lt;&gt;"Cancelled"),"Overdue","On Track"))</f>
        <v/>
      </c>
      <c r="R1803" s="81" t="n"/>
      <c r="S1803" s="81">
        <f>IF($B1803="","",IFERROR(INDEX(Task_Tracker!$AA$5:$AA$1004,MATCH($B1803,Task_Tracker!$A$5:$A$1004,0)),""))</f>
        <v/>
      </c>
      <c r="T1803" s="81">
        <f>IF($B1803="","",IFERROR(INDEX(Task_Tracker!$AB$5:$AB$1004,MATCH($B1803,Task_Tracker!$A$5:$A$1004,0)),""))</f>
        <v/>
      </c>
      <c r="U1803" s="78">
        <f>IF($B1803="","",IFERROR(INDEX(Task_Tracker!$F$5:$F$1004,MATCH($B1803,Task_Tracker!$A$5:$A$1004,0)),""))</f>
        <v/>
      </c>
      <c r="V1803" s="78">
        <f>IF($B1803="","",IFERROR(INDEX(Task_Tracker!$I$5:$I$1004,MATCH($B1803,Task_Tracker!$A$5:$A$1004,0)),""))</f>
        <v/>
      </c>
      <c r="W1803" s="81">
        <f>IF(OR($D1803="",$B1803=""),"",$D1803&amp;" | "&amp;$B1803)</f>
        <v/>
      </c>
      <c r="X1803" s="85">
        <f>IF($K1803="","",TEXT($K1803,"yyyy-mm"))</f>
        <v/>
      </c>
      <c r="Y1803" s="81">
        <f>IF(OR($A1803="",$T1803=""),"","Included in Manager_Report")</f>
        <v/>
      </c>
    </row>
    <row r="1804" ht="15" customHeight="1" s="40">
      <c r="A1804" s="65">
        <f>IF(COUNTA(B1804:G1804)=0,"","STP-"&amp;TEXT(ROW()-4,"0000"))</f>
        <v/>
      </c>
      <c r="B1804" s="78" t="n"/>
      <c r="C1804" s="67">
        <f>IF($B1804="","",IFERROR(INDEX(Task_Tracker!$D$5:$D$1004,MATCH($B1804,Task_Tracker!$A$5:$A$1004,0)),""))</f>
        <v/>
      </c>
      <c r="D1804" s="67">
        <f>IF($B1804="","",IFERROR(INDEX(Task_Tracker!$B$5:$B$1004,MATCH($B1804,Task_Tracker!$A$5:$A$1004,0)),""))</f>
        <v/>
      </c>
      <c r="E1804" s="81" t="n"/>
      <c r="F1804" s="81" t="n"/>
      <c r="G1804" s="78" t="n"/>
      <c r="H1804" s="78" t="n"/>
      <c r="I1804" s="67">
        <f>IF($H1804="","",IFERROR(INDEX(Action_Status_Map!$B$5:$B$11,MATCH($H1804,Action_Status_Map!$A$5:$A$11,0)),""))</f>
        <v/>
      </c>
      <c r="J1804" s="82" t="n"/>
      <c r="K1804" s="82" t="n"/>
      <c r="L1804" s="82" t="n"/>
      <c r="M1804" s="83" t="n"/>
      <c r="N1804" s="83" t="n"/>
      <c r="O1804" s="66">
        <f>IF(OR($M1804="",$N1804=""),"",$N1804-$M1804)</f>
        <v/>
      </c>
      <c r="P1804" s="84">
        <f>IF($J1804="","",IF($L1804&lt;&gt;"",$L1804-$J1804,TODAY()-$J1804))</f>
        <v/>
      </c>
      <c r="Q1804" s="85">
        <f>IF(OR($K1804="",$H1804="Completed",$H1804="Cancelled"),"",IF(AND($K1804&lt;TODAY(),$H1804&lt;&gt;"Completed",$H1804&lt;&gt;"Cancelled"),"Overdue","On Track"))</f>
        <v/>
      </c>
      <c r="R1804" s="81" t="n"/>
      <c r="S1804" s="81">
        <f>IF($B1804="","",IFERROR(INDEX(Task_Tracker!$AA$5:$AA$1004,MATCH($B1804,Task_Tracker!$A$5:$A$1004,0)),""))</f>
        <v/>
      </c>
      <c r="T1804" s="81">
        <f>IF($B1804="","",IFERROR(INDEX(Task_Tracker!$AB$5:$AB$1004,MATCH($B1804,Task_Tracker!$A$5:$A$1004,0)),""))</f>
        <v/>
      </c>
      <c r="U1804" s="78">
        <f>IF($B1804="","",IFERROR(INDEX(Task_Tracker!$F$5:$F$1004,MATCH($B1804,Task_Tracker!$A$5:$A$1004,0)),""))</f>
        <v/>
      </c>
      <c r="V1804" s="78">
        <f>IF($B1804="","",IFERROR(INDEX(Task_Tracker!$I$5:$I$1004,MATCH($B1804,Task_Tracker!$A$5:$A$1004,0)),""))</f>
        <v/>
      </c>
      <c r="W1804" s="81">
        <f>IF(OR($D1804="",$B1804=""),"",$D1804&amp;" | "&amp;$B1804)</f>
        <v/>
      </c>
      <c r="X1804" s="85">
        <f>IF($K1804="","",TEXT($K1804,"yyyy-mm"))</f>
        <v/>
      </c>
      <c r="Y1804" s="81">
        <f>IF(OR($A1804="",$T1804=""),"","Included in Manager_Report")</f>
        <v/>
      </c>
    </row>
    <row r="1805" ht="15" customHeight="1" s="40">
      <c r="A1805" s="65">
        <f>IF(COUNTA(B1805:G1805)=0,"","STP-"&amp;TEXT(ROW()-4,"0000"))</f>
        <v/>
      </c>
      <c r="B1805" s="78" t="n"/>
      <c r="C1805" s="67">
        <f>IF($B1805="","",IFERROR(INDEX(Task_Tracker!$D$5:$D$1004,MATCH($B1805,Task_Tracker!$A$5:$A$1004,0)),""))</f>
        <v/>
      </c>
      <c r="D1805" s="67">
        <f>IF($B1805="","",IFERROR(INDEX(Task_Tracker!$B$5:$B$1004,MATCH($B1805,Task_Tracker!$A$5:$A$1004,0)),""))</f>
        <v/>
      </c>
      <c r="E1805" s="81" t="n"/>
      <c r="F1805" s="81" t="n"/>
      <c r="G1805" s="78" t="n"/>
      <c r="H1805" s="78" t="n"/>
      <c r="I1805" s="67">
        <f>IF($H1805="","",IFERROR(INDEX(Action_Status_Map!$B$5:$B$11,MATCH($H1805,Action_Status_Map!$A$5:$A$11,0)),""))</f>
        <v/>
      </c>
      <c r="J1805" s="82" t="n"/>
      <c r="K1805" s="82" t="n"/>
      <c r="L1805" s="82" t="n"/>
      <c r="M1805" s="83" t="n"/>
      <c r="N1805" s="83" t="n"/>
      <c r="O1805" s="66">
        <f>IF(OR($M1805="",$N1805=""),"",$N1805-$M1805)</f>
        <v/>
      </c>
      <c r="P1805" s="84">
        <f>IF($J1805="","",IF($L1805&lt;&gt;"",$L1805-$J1805,TODAY()-$J1805))</f>
        <v/>
      </c>
      <c r="Q1805" s="85">
        <f>IF(OR($K1805="",$H1805="Completed",$H1805="Cancelled"),"",IF(AND($K1805&lt;TODAY(),$H1805&lt;&gt;"Completed",$H1805&lt;&gt;"Cancelled"),"Overdue","On Track"))</f>
        <v/>
      </c>
      <c r="R1805" s="81" t="n"/>
      <c r="S1805" s="81">
        <f>IF($B1805="","",IFERROR(INDEX(Task_Tracker!$AA$5:$AA$1004,MATCH($B1805,Task_Tracker!$A$5:$A$1004,0)),""))</f>
        <v/>
      </c>
      <c r="T1805" s="81">
        <f>IF($B1805="","",IFERROR(INDEX(Task_Tracker!$AB$5:$AB$1004,MATCH($B1805,Task_Tracker!$A$5:$A$1004,0)),""))</f>
        <v/>
      </c>
      <c r="U1805" s="78">
        <f>IF($B1805="","",IFERROR(INDEX(Task_Tracker!$F$5:$F$1004,MATCH($B1805,Task_Tracker!$A$5:$A$1004,0)),""))</f>
        <v/>
      </c>
      <c r="V1805" s="78">
        <f>IF($B1805="","",IFERROR(INDEX(Task_Tracker!$I$5:$I$1004,MATCH($B1805,Task_Tracker!$A$5:$A$1004,0)),""))</f>
        <v/>
      </c>
      <c r="W1805" s="81">
        <f>IF(OR($D1805="",$B1805=""),"",$D1805&amp;" | "&amp;$B1805)</f>
        <v/>
      </c>
      <c r="X1805" s="85">
        <f>IF($K1805="","",TEXT($K1805,"yyyy-mm"))</f>
        <v/>
      </c>
      <c r="Y1805" s="81">
        <f>IF(OR($A1805="",$T1805=""),"","Included in Manager_Report")</f>
        <v/>
      </c>
    </row>
    <row r="1806" ht="15" customHeight="1" s="40">
      <c r="A1806" s="65">
        <f>IF(COUNTA(B1806:G1806)=0,"","STP-"&amp;TEXT(ROW()-4,"0000"))</f>
        <v/>
      </c>
      <c r="B1806" s="78" t="n"/>
      <c r="C1806" s="67">
        <f>IF($B1806="","",IFERROR(INDEX(Task_Tracker!$D$5:$D$1004,MATCH($B1806,Task_Tracker!$A$5:$A$1004,0)),""))</f>
        <v/>
      </c>
      <c r="D1806" s="67">
        <f>IF($B1806="","",IFERROR(INDEX(Task_Tracker!$B$5:$B$1004,MATCH($B1806,Task_Tracker!$A$5:$A$1004,0)),""))</f>
        <v/>
      </c>
      <c r="E1806" s="81" t="n"/>
      <c r="F1806" s="81" t="n"/>
      <c r="G1806" s="78" t="n"/>
      <c r="H1806" s="78" t="n"/>
      <c r="I1806" s="67">
        <f>IF($H1806="","",IFERROR(INDEX(Action_Status_Map!$B$5:$B$11,MATCH($H1806,Action_Status_Map!$A$5:$A$11,0)),""))</f>
        <v/>
      </c>
      <c r="J1806" s="82" t="n"/>
      <c r="K1806" s="82" t="n"/>
      <c r="L1806" s="82" t="n"/>
      <c r="M1806" s="83" t="n"/>
      <c r="N1806" s="83" t="n"/>
      <c r="O1806" s="66">
        <f>IF(OR($M1806="",$N1806=""),"",$N1806-$M1806)</f>
        <v/>
      </c>
      <c r="P1806" s="84">
        <f>IF($J1806="","",IF($L1806&lt;&gt;"",$L1806-$J1806,TODAY()-$J1806))</f>
        <v/>
      </c>
      <c r="Q1806" s="85">
        <f>IF(OR($K1806="",$H1806="Completed",$H1806="Cancelled"),"",IF(AND($K1806&lt;TODAY(),$H1806&lt;&gt;"Completed",$H1806&lt;&gt;"Cancelled"),"Overdue","On Track"))</f>
        <v/>
      </c>
      <c r="R1806" s="81" t="n"/>
      <c r="S1806" s="81">
        <f>IF($B1806="","",IFERROR(INDEX(Task_Tracker!$AA$5:$AA$1004,MATCH($B1806,Task_Tracker!$A$5:$A$1004,0)),""))</f>
        <v/>
      </c>
      <c r="T1806" s="81">
        <f>IF($B1806="","",IFERROR(INDEX(Task_Tracker!$AB$5:$AB$1004,MATCH($B1806,Task_Tracker!$A$5:$A$1004,0)),""))</f>
        <v/>
      </c>
      <c r="U1806" s="78">
        <f>IF($B1806="","",IFERROR(INDEX(Task_Tracker!$F$5:$F$1004,MATCH($B1806,Task_Tracker!$A$5:$A$1004,0)),""))</f>
        <v/>
      </c>
      <c r="V1806" s="78">
        <f>IF($B1806="","",IFERROR(INDEX(Task_Tracker!$I$5:$I$1004,MATCH($B1806,Task_Tracker!$A$5:$A$1004,0)),""))</f>
        <v/>
      </c>
      <c r="W1806" s="81">
        <f>IF(OR($D1806="",$B1806=""),"",$D1806&amp;" | "&amp;$B1806)</f>
        <v/>
      </c>
      <c r="X1806" s="85">
        <f>IF($K1806="","",TEXT($K1806,"yyyy-mm"))</f>
        <v/>
      </c>
      <c r="Y1806" s="81">
        <f>IF(OR($A1806="",$T1806=""),"","Included in Manager_Report")</f>
        <v/>
      </c>
    </row>
    <row r="1807" ht="15" customHeight="1" s="40">
      <c r="A1807" s="65">
        <f>IF(COUNTA(B1807:G1807)=0,"","STP-"&amp;TEXT(ROW()-4,"0000"))</f>
        <v/>
      </c>
      <c r="B1807" s="78" t="n"/>
      <c r="C1807" s="67">
        <f>IF($B1807="","",IFERROR(INDEX(Task_Tracker!$D$5:$D$1004,MATCH($B1807,Task_Tracker!$A$5:$A$1004,0)),""))</f>
        <v/>
      </c>
      <c r="D1807" s="67">
        <f>IF($B1807="","",IFERROR(INDEX(Task_Tracker!$B$5:$B$1004,MATCH($B1807,Task_Tracker!$A$5:$A$1004,0)),""))</f>
        <v/>
      </c>
      <c r="E1807" s="81" t="n"/>
      <c r="F1807" s="81" t="n"/>
      <c r="G1807" s="78" t="n"/>
      <c r="H1807" s="78" t="n"/>
      <c r="I1807" s="67">
        <f>IF($H1807="","",IFERROR(INDEX(Action_Status_Map!$B$5:$B$11,MATCH($H1807,Action_Status_Map!$A$5:$A$11,0)),""))</f>
        <v/>
      </c>
      <c r="J1807" s="82" t="n"/>
      <c r="K1807" s="82" t="n"/>
      <c r="L1807" s="82" t="n"/>
      <c r="M1807" s="83" t="n"/>
      <c r="N1807" s="83" t="n"/>
      <c r="O1807" s="66">
        <f>IF(OR($M1807="",$N1807=""),"",$N1807-$M1807)</f>
        <v/>
      </c>
      <c r="P1807" s="84">
        <f>IF($J1807="","",IF($L1807&lt;&gt;"",$L1807-$J1807,TODAY()-$J1807))</f>
        <v/>
      </c>
      <c r="Q1807" s="85">
        <f>IF(OR($K1807="",$H1807="Completed",$H1807="Cancelled"),"",IF(AND($K1807&lt;TODAY(),$H1807&lt;&gt;"Completed",$H1807&lt;&gt;"Cancelled"),"Overdue","On Track"))</f>
        <v/>
      </c>
      <c r="R1807" s="81" t="n"/>
      <c r="S1807" s="81">
        <f>IF($B1807="","",IFERROR(INDEX(Task_Tracker!$AA$5:$AA$1004,MATCH($B1807,Task_Tracker!$A$5:$A$1004,0)),""))</f>
        <v/>
      </c>
      <c r="T1807" s="81">
        <f>IF($B1807="","",IFERROR(INDEX(Task_Tracker!$AB$5:$AB$1004,MATCH($B1807,Task_Tracker!$A$5:$A$1004,0)),""))</f>
        <v/>
      </c>
      <c r="U1807" s="78">
        <f>IF($B1807="","",IFERROR(INDEX(Task_Tracker!$F$5:$F$1004,MATCH($B1807,Task_Tracker!$A$5:$A$1004,0)),""))</f>
        <v/>
      </c>
      <c r="V1807" s="78">
        <f>IF($B1807="","",IFERROR(INDEX(Task_Tracker!$I$5:$I$1004,MATCH($B1807,Task_Tracker!$A$5:$A$1004,0)),""))</f>
        <v/>
      </c>
      <c r="W1807" s="81">
        <f>IF(OR($D1807="",$B1807=""),"",$D1807&amp;" | "&amp;$B1807)</f>
        <v/>
      </c>
      <c r="X1807" s="85">
        <f>IF($K1807="","",TEXT($K1807,"yyyy-mm"))</f>
        <v/>
      </c>
      <c r="Y1807" s="81">
        <f>IF(OR($A1807="",$T1807=""),"","Included in Manager_Report")</f>
        <v/>
      </c>
    </row>
    <row r="1808" ht="15" customHeight="1" s="40">
      <c r="A1808" s="65">
        <f>IF(COUNTA(B1808:G1808)=0,"","STP-"&amp;TEXT(ROW()-4,"0000"))</f>
        <v/>
      </c>
      <c r="B1808" s="78" t="n"/>
      <c r="C1808" s="67">
        <f>IF($B1808="","",IFERROR(INDEX(Task_Tracker!$D$5:$D$1004,MATCH($B1808,Task_Tracker!$A$5:$A$1004,0)),""))</f>
        <v/>
      </c>
      <c r="D1808" s="67">
        <f>IF($B1808="","",IFERROR(INDEX(Task_Tracker!$B$5:$B$1004,MATCH($B1808,Task_Tracker!$A$5:$A$1004,0)),""))</f>
        <v/>
      </c>
      <c r="E1808" s="81" t="n"/>
      <c r="F1808" s="81" t="n"/>
      <c r="G1808" s="78" t="n"/>
      <c r="H1808" s="78" t="n"/>
      <c r="I1808" s="67">
        <f>IF($H1808="","",IFERROR(INDEX(Action_Status_Map!$B$5:$B$11,MATCH($H1808,Action_Status_Map!$A$5:$A$11,0)),""))</f>
        <v/>
      </c>
      <c r="J1808" s="82" t="n"/>
      <c r="K1808" s="82" t="n"/>
      <c r="L1808" s="82" t="n"/>
      <c r="M1808" s="83" t="n"/>
      <c r="N1808" s="83" t="n"/>
      <c r="O1808" s="66">
        <f>IF(OR($M1808="",$N1808=""),"",$N1808-$M1808)</f>
        <v/>
      </c>
      <c r="P1808" s="84">
        <f>IF($J1808="","",IF($L1808&lt;&gt;"",$L1808-$J1808,TODAY()-$J1808))</f>
        <v/>
      </c>
      <c r="Q1808" s="85">
        <f>IF(OR($K1808="",$H1808="Completed",$H1808="Cancelled"),"",IF(AND($K1808&lt;TODAY(),$H1808&lt;&gt;"Completed",$H1808&lt;&gt;"Cancelled"),"Overdue","On Track"))</f>
        <v/>
      </c>
      <c r="R1808" s="81" t="n"/>
      <c r="S1808" s="81">
        <f>IF($B1808="","",IFERROR(INDEX(Task_Tracker!$AA$5:$AA$1004,MATCH($B1808,Task_Tracker!$A$5:$A$1004,0)),""))</f>
        <v/>
      </c>
      <c r="T1808" s="81">
        <f>IF($B1808="","",IFERROR(INDEX(Task_Tracker!$AB$5:$AB$1004,MATCH($B1808,Task_Tracker!$A$5:$A$1004,0)),""))</f>
        <v/>
      </c>
      <c r="U1808" s="78">
        <f>IF($B1808="","",IFERROR(INDEX(Task_Tracker!$F$5:$F$1004,MATCH($B1808,Task_Tracker!$A$5:$A$1004,0)),""))</f>
        <v/>
      </c>
      <c r="V1808" s="78">
        <f>IF($B1808="","",IFERROR(INDEX(Task_Tracker!$I$5:$I$1004,MATCH($B1808,Task_Tracker!$A$5:$A$1004,0)),""))</f>
        <v/>
      </c>
      <c r="W1808" s="81">
        <f>IF(OR($D1808="",$B1808=""),"",$D1808&amp;" | "&amp;$B1808)</f>
        <v/>
      </c>
      <c r="X1808" s="85">
        <f>IF($K1808="","",TEXT($K1808,"yyyy-mm"))</f>
        <v/>
      </c>
      <c r="Y1808" s="81">
        <f>IF(OR($A1808="",$T1808=""),"","Included in Manager_Report")</f>
        <v/>
      </c>
    </row>
    <row r="1809" ht="15" customHeight="1" s="40">
      <c r="A1809" s="65">
        <f>IF(COUNTA(B1809:G1809)=0,"","STP-"&amp;TEXT(ROW()-4,"0000"))</f>
        <v/>
      </c>
      <c r="B1809" s="78" t="n"/>
      <c r="C1809" s="67">
        <f>IF($B1809="","",IFERROR(INDEX(Task_Tracker!$D$5:$D$1004,MATCH($B1809,Task_Tracker!$A$5:$A$1004,0)),""))</f>
        <v/>
      </c>
      <c r="D1809" s="67">
        <f>IF($B1809="","",IFERROR(INDEX(Task_Tracker!$B$5:$B$1004,MATCH($B1809,Task_Tracker!$A$5:$A$1004,0)),""))</f>
        <v/>
      </c>
      <c r="E1809" s="81" t="n"/>
      <c r="F1809" s="81" t="n"/>
      <c r="G1809" s="78" t="n"/>
      <c r="H1809" s="78" t="n"/>
      <c r="I1809" s="67">
        <f>IF($H1809="","",IFERROR(INDEX(Action_Status_Map!$B$5:$B$11,MATCH($H1809,Action_Status_Map!$A$5:$A$11,0)),""))</f>
        <v/>
      </c>
      <c r="J1809" s="82" t="n"/>
      <c r="K1809" s="82" t="n"/>
      <c r="L1809" s="82" t="n"/>
      <c r="M1809" s="83" t="n"/>
      <c r="N1809" s="83" t="n"/>
      <c r="O1809" s="66">
        <f>IF(OR($M1809="",$N1809=""),"",$N1809-$M1809)</f>
        <v/>
      </c>
      <c r="P1809" s="84">
        <f>IF($J1809="","",IF($L1809&lt;&gt;"",$L1809-$J1809,TODAY()-$J1809))</f>
        <v/>
      </c>
      <c r="Q1809" s="85">
        <f>IF(OR($K1809="",$H1809="Completed",$H1809="Cancelled"),"",IF(AND($K1809&lt;TODAY(),$H1809&lt;&gt;"Completed",$H1809&lt;&gt;"Cancelled"),"Overdue","On Track"))</f>
        <v/>
      </c>
      <c r="R1809" s="81" t="n"/>
      <c r="S1809" s="81">
        <f>IF($B1809="","",IFERROR(INDEX(Task_Tracker!$AA$5:$AA$1004,MATCH($B1809,Task_Tracker!$A$5:$A$1004,0)),""))</f>
        <v/>
      </c>
      <c r="T1809" s="81">
        <f>IF($B1809="","",IFERROR(INDEX(Task_Tracker!$AB$5:$AB$1004,MATCH($B1809,Task_Tracker!$A$5:$A$1004,0)),""))</f>
        <v/>
      </c>
      <c r="U1809" s="78">
        <f>IF($B1809="","",IFERROR(INDEX(Task_Tracker!$F$5:$F$1004,MATCH($B1809,Task_Tracker!$A$5:$A$1004,0)),""))</f>
        <v/>
      </c>
      <c r="V1809" s="78">
        <f>IF($B1809="","",IFERROR(INDEX(Task_Tracker!$I$5:$I$1004,MATCH($B1809,Task_Tracker!$A$5:$A$1004,0)),""))</f>
        <v/>
      </c>
      <c r="W1809" s="81">
        <f>IF(OR($D1809="",$B1809=""),"",$D1809&amp;" | "&amp;$B1809)</f>
        <v/>
      </c>
      <c r="X1809" s="85">
        <f>IF($K1809="","",TEXT($K1809,"yyyy-mm"))</f>
        <v/>
      </c>
      <c r="Y1809" s="81">
        <f>IF(OR($A1809="",$T1809=""),"","Included in Manager_Report")</f>
        <v/>
      </c>
    </row>
    <row r="1810" ht="15" customHeight="1" s="40">
      <c r="A1810" s="65">
        <f>IF(COUNTA(B1810:G1810)=0,"","STP-"&amp;TEXT(ROW()-4,"0000"))</f>
        <v/>
      </c>
      <c r="B1810" s="78" t="n"/>
      <c r="C1810" s="67">
        <f>IF($B1810="","",IFERROR(INDEX(Task_Tracker!$D$5:$D$1004,MATCH($B1810,Task_Tracker!$A$5:$A$1004,0)),""))</f>
        <v/>
      </c>
      <c r="D1810" s="67">
        <f>IF($B1810="","",IFERROR(INDEX(Task_Tracker!$B$5:$B$1004,MATCH($B1810,Task_Tracker!$A$5:$A$1004,0)),""))</f>
        <v/>
      </c>
      <c r="E1810" s="81" t="n"/>
      <c r="F1810" s="81" t="n"/>
      <c r="G1810" s="78" t="n"/>
      <c r="H1810" s="78" t="n"/>
      <c r="I1810" s="67">
        <f>IF($H1810="","",IFERROR(INDEX(Action_Status_Map!$B$5:$B$11,MATCH($H1810,Action_Status_Map!$A$5:$A$11,0)),""))</f>
        <v/>
      </c>
      <c r="J1810" s="82" t="n"/>
      <c r="K1810" s="82" t="n"/>
      <c r="L1810" s="82" t="n"/>
      <c r="M1810" s="83" t="n"/>
      <c r="N1810" s="83" t="n"/>
      <c r="O1810" s="66">
        <f>IF(OR($M1810="",$N1810=""),"",$N1810-$M1810)</f>
        <v/>
      </c>
      <c r="P1810" s="84">
        <f>IF($J1810="","",IF($L1810&lt;&gt;"",$L1810-$J1810,TODAY()-$J1810))</f>
        <v/>
      </c>
      <c r="Q1810" s="85">
        <f>IF(OR($K1810="",$H1810="Completed",$H1810="Cancelled"),"",IF(AND($K1810&lt;TODAY(),$H1810&lt;&gt;"Completed",$H1810&lt;&gt;"Cancelled"),"Overdue","On Track"))</f>
        <v/>
      </c>
      <c r="R1810" s="81" t="n"/>
      <c r="S1810" s="81">
        <f>IF($B1810="","",IFERROR(INDEX(Task_Tracker!$AA$5:$AA$1004,MATCH($B1810,Task_Tracker!$A$5:$A$1004,0)),""))</f>
        <v/>
      </c>
      <c r="T1810" s="81">
        <f>IF($B1810="","",IFERROR(INDEX(Task_Tracker!$AB$5:$AB$1004,MATCH($B1810,Task_Tracker!$A$5:$A$1004,0)),""))</f>
        <v/>
      </c>
      <c r="U1810" s="78">
        <f>IF($B1810="","",IFERROR(INDEX(Task_Tracker!$F$5:$F$1004,MATCH($B1810,Task_Tracker!$A$5:$A$1004,0)),""))</f>
        <v/>
      </c>
      <c r="V1810" s="78">
        <f>IF($B1810="","",IFERROR(INDEX(Task_Tracker!$I$5:$I$1004,MATCH($B1810,Task_Tracker!$A$5:$A$1004,0)),""))</f>
        <v/>
      </c>
      <c r="W1810" s="81">
        <f>IF(OR($D1810="",$B1810=""),"",$D1810&amp;" | "&amp;$B1810)</f>
        <v/>
      </c>
      <c r="X1810" s="85">
        <f>IF($K1810="","",TEXT($K1810,"yyyy-mm"))</f>
        <v/>
      </c>
      <c r="Y1810" s="81">
        <f>IF(OR($A1810="",$T1810=""),"","Included in Manager_Report")</f>
        <v/>
      </c>
    </row>
    <row r="1811" ht="15" customHeight="1" s="40">
      <c r="A1811" s="65">
        <f>IF(COUNTA(B1811:G1811)=0,"","STP-"&amp;TEXT(ROW()-4,"0000"))</f>
        <v/>
      </c>
      <c r="B1811" s="78" t="n"/>
      <c r="C1811" s="67">
        <f>IF($B1811="","",IFERROR(INDEX(Task_Tracker!$D$5:$D$1004,MATCH($B1811,Task_Tracker!$A$5:$A$1004,0)),""))</f>
        <v/>
      </c>
      <c r="D1811" s="67">
        <f>IF($B1811="","",IFERROR(INDEX(Task_Tracker!$B$5:$B$1004,MATCH($B1811,Task_Tracker!$A$5:$A$1004,0)),""))</f>
        <v/>
      </c>
      <c r="E1811" s="81" t="n"/>
      <c r="F1811" s="81" t="n"/>
      <c r="G1811" s="78" t="n"/>
      <c r="H1811" s="78" t="n"/>
      <c r="I1811" s="67">
        <f>IF($H1811="","",IFERROR(INDEX(Action_Status_Map!$B$5:$B$11,MATCH($H1811,Action_Status_Map!$A$5:$A$11,0)),""))</f>
        <v/>
      </c>
      <c r="J1811" s="82" t="n"/>
      <c r="K1811" s="82" t="n"/>
      <c r="L1811" s="82" t="n"/>
      <c r="M1811" s="83" t="n"/>
      <c r="N1811" s="83" t="n"/>
      <c r="O1811" s="66">
        <f>IF(OR($M1811="",$N1811=""),"",$N1811-$M1811)</f>
        <v/>
      </c>
      <c r="P1811" s="84">
        <f>IF($J1811="","",IF($L1811&lt;&gt;"",$L1811-$J1811,TODAY()-$J1811))</f>
        <v/>
      </c>
      <c r="Q1811" s="85">
        <f>IF(OR($K1811="",$H1811="Completed",$H1811="Cancelled"),"",IF(AND($K1811&lt;TODAY(),$H1811&lt;&gt;"Completed",$H1811&lt;&gt;"Cancelled"),"Overdue","On Track"))</f>
        <v/>
      </c>
      <c r="R1811" s="81" t="n"/>
      <c r="S1811" s="81">
        <f>IF($B1811="","",IFERROR(INDEX(Task_Tracker!$AA$5:$AA$1004,MATCH($B1811,Task_Tracker!$A$5:$A$1004,0)),""))</f>
        <v/>
      </c>
      <c r="T1811" s="81">
        <f>IF($B1811="","",IFERROR(INDEX(Task_Tracker!$AB$5:$AB$1004,MATCH($B1811,Task_Tracker!$A$5:$A$1004,0)),""))</f>
        <v/>
      </c>
      <c r="U1811" s="78">
        <f>IF($B1811="","",IFERROR(INDEX(Task_Tracker!$F$5:$F$1004,MATCH($B1811,Task_Tracker!$A$5:$A$1004,0)),""))</f>
        <v/>
      </c>
      <c r="V1811" s="78">
        <f>IF($B1811="","",IFERROR(INDEX(Task_Tracker!$I$5:$I$1004,MATCH($B1811,Task_Tracker!$A$5:$A$1004,0)),""))</f>
        <v/>
      </c>
      <c r="W1811" s="81">
        <f>IF(OR($D1811="",$B1811=""),"",$D1811&amp;" | "&amp;$B1811)</f>
        <v/>
      </c>
      <c r="X1811" s="85">
        <f>IF($K1811="","",TEXT($K1811,"yyyy-mm"))</f>
        <v/>
      </c>
      <c r="Y1811" s="81">
        <f>IF(OR($A1811="",$T1811=""),"","Included in Manager_Report")</f>
        <v/>
      </c>
    </row>
    <row r="1812" ht="15" customHeight="1" s="40">
      <c r="A1812" s="65">
        <f>IF(COUNTA(B1812:G1812)=0,"","STP-"&amp;TEXT(ROW()-4,"0000"))</f>
        <v/>
      </c>
      <c r="B1812" s="78" t="n"/>
      <c r="C1812" s="67">
        <f>IF($B1812="","",IFERROR(INDEX(Task_Tracker!$D$5:$D$1004,MATCH($B1812,Task_Tracker!$A$5:$A$1004,0)),""))</f>
        <v/>
      </c>
      <c r="D1812" s="67">
        <f>IF($B1812="","",IFERROR(INDEX(Task_Tracker!$B$5:$B$1004,MATCH($B1812,Task_Tracker!$A$5:$A$1004,0)),""))</f>
        <v/>
      </c>
      <c r="E1812" s="81" t="n"/>
      <c r="F1812" s="81" t="n"/>
      <c r="G1812" s="78" t="n"/>
      <c r="H1812" s="78" t="n"/>
      <c r="I1812" s="67">
        <f>IF($H1812="","",IFERROR(INDEX(Action_Status_Map!$B$5:$B$11,MATCH($H1812,Action_Status_Map!$A$5:$A$11,0)),""))</f>
        <v/>
      </c>
      <c r="J1812" s="82" t="n"/>
      <c r="K1812" s="82" t="n"/>
      <c r="L1812" s="82" t="n"/>
      <c r="M1812" s="83" t="n"/>
      <c r="N1812" s="83" t="n"/>
      <c r="O1812" s="66">
        <f>IF(OR($M1812="",$N1812=""),"",$N1812-$M1812)</f>
        <v/>
      </c>
      <c r="P1812" s="84">
        <f>IF($J1812="","",IF($L1812&lt;&gt;"",$L1812-$J1812,TODAY()-$J1812))</f>
        <v/>
      </c>
      <c r="Q1812" s="85">
        <f>IF(OR($K1812="",$H1812="Completed",$H1812="Cancelled"),"",IF(AND($K1812&lt;TODAY(),$H1812&lt;&gt;"Completed",$H1812&lt;&gt;"Cancelled"),"Overdue","On Track"))</f>
        <v/>
      </c>
      <c r="R1812" s="81" t="n"/>
      <c r="S1812" s="81">
        <f>IF($B1812="","",IFERROR(INDEX(Task_Tracker!$AA$5:$AA$1004,MATCH($B1812,Task_Tracker!$A$5:$A$1004,0)),""))</f>
        <v/>
      </c>
      <c r="T1812" s="81">
        <f>IF($B1812="","",IFERROR(INDEX(Task_Tracker!$AB$5:$AB$1004,MATCH($B1812,Task_Tracker!$A$5:$A$1004,0)),""))</f>
        <v/>
      </c>
      <c r="U1812" s="78">
        <f>IF($B1812="","",IFERROR(INDEX(Task_Tracker!$F$5:$F$1004,MATCH($B1812,Task_Tracker!$A$5:$A$1004,0)),""))</f>
        <v/>
      </c>
      <c r="V1812" s="78">
        <f>IF($B1812="","",IFERROR(INDEX(Task_Tracker!$I$5:$I$1004,MATCH($B1812,Task_Tracker!$A$5:$A$1004,0)),""))</f>
        <v/>
      </c>
      <c r="W1812" s="81">
        <f>IF(OR($D1812="",$B1812=""),"",$D1812&amp;" | "&amp;$B1812)</f>
        <v/>
      </c>
      <c r="X1812" s="85">
        <f>IF($K1812="","",TEXT($K1812,"yyyy-mm"))</f>
        <v/>
      </c>
      <c r="Y1812" s="81">
        <f>IF(OR($A1812="",$T1812=""),"","Included in Manager_Report")</f>
        <v/>
      </c>
    </row>
    <row r="1813" ht="15" customHeight="1" s="40">
      <c r="A1813" s="65">
        <f>IF(COUNTA(B1813:G1813)=0,"","STP-"&amp;TEXT(ROW()-4,"0000"))</f>
        <v/>
      </c>
      <c r="B1813" s="78" t="n"/>
      <c r="C1813" s="67">
        <f>IF($B1813="","",IFERROR(INDEX(Task_Tracker!$D$5:$D$1004,MATCH($B1813,Task_Tracker!$A$5:$A$1004,0)),""))</f>
        <v/>
      </c>
      <c r="D1813" s="67">
        <f>IF($B1813="","",IFERROR(INDEX(Task_Tracker!$B$5:$B$1004,MATCH($B1813,Task_Tracker!$A$5:$A$1004,0)),""))</f>
        <v/>
      </c>
      <c r="E1813" s="81" t="n"/>
      <c r="F1813" s="81" t="n"/>
      <c r="G1813" s="78" t="n"/>
      <c r="H1813" s="78" t="n"/>
      <c r="I1813" s="67">
        <f>IF($H1813="","",IFERROR(INDEX(Action_Status_Map!$B$5:$B$11,MATCH($H1813,Action_Status_Map!$A$5:$A$11,0)),""))</f>
        <v/>
      </c>
      <c r="J1813" s="82" t="n"/>
      <c r="K1813" s="82" t="n"/>
      <c r="L1813" s="82" t="n"/>
      <c r="M1813" s="83" t="n"/>
      <c r="N1813" s="83" t="n"/>
      <c r="O1813" s="66">
        <f>IF(OR($M1813="",$N1813=""),"",$N1813-$M1813)</f>
        <v/>
      </c>
      <c r="P1813" s="84">
        <f>IF($J1813="","",IF($L1813&lt;&gt;"",$L1813-$J1813,TODAY()-$J1813))</f>
        <v/>
      </c>
      <c r="Q1813" s="85">
        <f>IF(OR($K1813="",$H1813="Completed",$H1813="Cancelled"),"",IF(AND($K1813&lt;TODAY(),$H1813&lt;&gt;"Completed",$H1813&lt;&gt;"Cancelled"),"Overdue","On Track"))</f>
        <v/>
      </c>
      <c r="R1813" s="81" t="n"/>
      <c r="S1813" s="81">
        <f>IF($B1813="","",IFERROR(INDEX(Task_Tracker!$AA$5:$AA$1004,MATCH($B1813,Task_Tracker!$A$5:$A$1004,0)),""))</f>
        <v/>
      </c>
      <c r="T1813" s="81">
        <f>IF($B1813="","",IFERROR(INDEX(Task_Tracker!$AB$5:$AB$1004,MATCH($B1813,Task_Tracker!$A$5:$A$1004,0)),""))</f>
        <v/>
      </c>
      <c r="U1813" s="78">
        <f>IF($B1813="","",IFERROR(INDEX(Task_Tracker!$F$5:$F$1004,MATCH($B1813,Task_Tracker!$A$5:$A$1004,0)),""))</f>
        <v/>
      </c>
      <c r="V1813" s="78">
        <f>IF($B1813="","",IFERROR(INDEX(Task_Tracker!$I$5:$I$1004,MATCH($B1813,Task_Tracker!$A$5:$A$1004,0)),""))</f>
        <v/>
      </c>
      <c r="W1813" s="81">
        <f>IF(OR($D1813="",$B1813=""),"",$D1813&amp;" | "&amp;$B1813)</f>
        <v/>
      </c>
      <c r="X1813" s="85">
        <f>IF($K1813="","",TEXT($K1813,"yyyy-mm"))</f>
        <v/>
      </c>
      <c r="Y1813" s="81">
        <f>IF(OR($A1813="",$T1813=""),"","Included in Manager_Report")</f>
        <v/>
      </c>
    </row>
    <row r="1814" ht="15" customHeight="1" s="40">
      <c r="A1814" s="65">
        <f>IF(COUNTA(B1814:G1814)=0,"","STP-"&amp;TEXT(ROW()-4,"0000"))</f>
        <v/>
      </c>
      <c r="B1814" s="78" t="n"/>
      <c r="C1814" s="67">
        <f>IF($B1814="","",IFERROR(INDEX(Task_Tracker!$D$5:$D$1004,MATCH($B1814,Task_Tracker!$A$5:$A$1004,0)),""))</f>
        <v/>
      </c>
      <c r="D1814" s="67">
        <f>IF($B1814="","",IFERROR(INDEX(Task_Tracker!$B$5:$B$1004,MATCH($B1814,Task_Tracker!$A$5:$A$1004,0)),""))</f>
        <v/>
      </c>
      <c r="E1814" s="81" t="n"/>
      <c r="F1814" s="81" t="n"/>
      <c r="G1814" s="78" t="n"/>
      <c r="H1814" s="78" t="n"/>
      <c r="I1814" s="67">
        <f>IF($H1814="","",IFERROR(INDEX(Action_Status_Map!$B$5:$B$11,MATCH($H1814,Action_Status_Map!$A$5:$A$11,0)),""))</f>
        <v/>
      </c>
      <c r="J1814" s="82" t="n"/>
      <c r="K1814" s="82" t="n"/>
      <c r="L1814" s="82" t="n"/>
      <c r="M1814" s="83" t="n"/>
      <c r="N1814" s="83" t="n"/>
      <c r="O1814" s="66">
        <f>IF(OR($M1814="",$N1814=""),"",$N1814-$M1814)</f>
        <v/>
      </c>
      <c r="P1814" s="84">
        <f>IF($J1814="","",IF($L1814&lt;&gt;"",$L1814-$J1814,TODAY()-$J1814))</f>
        <v/>
      </c>
      <c r="Q1814" s="85">
        <f>IF(OR($K1814="",$H1814="Completed",$H1814="Cancelled"),"",IF(AND($K1814&lt;TODAY(),$H1814&lt;&gt;"Completed",$H1814&lt;&gt;"Cancelled"),"Overdue","On Track"))</f>
        <v/>
      </c>
      <c r="R1814" s="81" t="n"/>
      <c r="S1814" s="81">
        <f>IF($B1814="","",IFERROR(INDEX(Task_Tracker!$AA$5:$AA$1004,MATCH($B1814,Task_Tracker!$A$5:$A$1004,0)),""))</f>
        <v/>
      </c>
      <c r="T1814" s="81">
        <f>IF($B1814="","",IFERROR(INDEX(Task_Tracker!$AB$5:$AB$1004,MATCH($B1814,Task_Tracker!$A$5:$A$1004,0)),""))</f>
        <v/>
      </c>
      <c r="U1814" s="78">
        <f>IF($B1814="","",IFERROR(INDEX(Task_Tracker!$F$5:$F$1004,MATCH($B1814,Task_Tracker!$A$5:$A$1004,0)),""))</f>
        <v/>
      </c>
      <c r="V1814" s="78">
        <f>IF($B1814="","",IFERROR(INDEX(Task_Tracker!$I$5:$I$1004,MATCH($B1814,Task_Tracker!$A$5:$A$1004,0)),""))</f>
        <v/>
      </c>
      <c r="W1814" s="81">
        <f>IF(OR($D1814="",$B1814=""),"",$D1814&amp;" | "&amp;$B1814)</f>
        <v/>
      </c>
      <c r="X1814" s="85">
        <f>IF($K1814="","",TEXT($K1814,"yyyy-mm"))</f>
        <v/>
      </c>
      <c r="Y1814" s="81">
        <f>IF(OR($A1814="",$T1814=""),"","Included in Manager_Report")</f>
        <v/>
      </c>
    </row>
    <row r="1815" ht="15" customHeight="1" s="40">
      <c r="A1815" s="65">
        <f>IF(COUNTA(B1815:G1815)=0,"","STP-"&amp;TEXT(ROW()-4,"0000"))</f>
        <v/>
      </c>
      <c r="B1815" s="78" t="n"/>
      <c r="C1815" s="67">
        <f>IF($B1815="","",IFERROR(INDEX(Task_Tracker!$D$5:$D$1004,MATCH($B1815,Task_Tracker!$A$5:$A$1004,0)),""))</f>
        <v/>
      </c>
      <c r="D1815" s="67">
        <f>IF($B1815="","",IFERROR(INDEX(Task_Tracker!$B$5:$B$1004,MATCH($B1815,Task_Tracker!$A$5:$A$1004,0)),""))</f>
        <v/>
      </c>
      <c r="E1815" s="81" t="n"/>
      <c r="F1815" s="81" t="n"/>
      <c r="G1815" s="78" t="n"/>
      <c r="H1815" s="78" t="n"/>
      <c r="I1815" s="67">
        <f>IF($H1815="","",IFERROR(INDEX(Action_Status_Map!$B$5:$B$11,MATCH($H1815,Action_Status_Map!$A$5:$A$11,0)),""))</f>
        <v/>
      </c>
      <c r="J1815" s="82" t="n"/>
      <c r="K1815" s="82" t="n"/>
      <c r="L1815" s="82" t="n"/>
      <c r="M1815" s="83" t="n"/>
      <c r="N1815" s="83" t="n"/>
      <c r="O1815" s="66">
        <f>IF(OR($M1815="",$N1815=""),"",$N1815-$M1815)</f>
        <v/>
      </c>
      <c r="P1815" s="84">
        <f>IF($J1815="","",IF($L1815&lt;&gt;"",$L1815-$J1815,TODAY()-$J1815))</f>
        <v/>
      </c>
      <c r="Q1815" s="85">
        <f>IF(OR($K1815="",$H1815="Completed",$H1815="Cancelled"),"",IF(AND($K1815&lt;TODAY(),$H1815&lt;&gt;"Completed",$H1815&lt;&gt;"Cancelled"),"Overdue","On Track"))</f>
        <v/>
      </c>
      <c r="R1815" s="81" t="n"/>
      <c r="S1815" s="81">
        <f>IF($B1815="","",IFERROR(INDEX(Task_Tracker!$AA$5:$AA$1004,MATCH($B1815,Task_Tracker!$A$5:$A$1004,0)),""))</f>
        <v/>
      </c>
      <c r="T1815" s="81">
        <f>IF($B1815="","",IFERROR(INDEX(Task_Tracker!$AB$5:$AB$1004,MATCH($B1815,Task_Tracker!$A$5:$A$1004,0)),""))</f>
        <v/>
      </c>
      <c r="U1815" s="78">
        <f>IF($B1815="","",IFERROR(INDEX(Task_Tracker!$F$5:$F$1004,MATCH($B1815,Task_Tracker!$A$5:$A$1004,0)),""))</f>
        <v/>
      </c>
      <c r="V1815" s="78">
        <f>IF($B1815="","",IFERROR(INDEX(Task_Tracker!$I$5:$I$1004,MATCH($B1815,Task_Tracker!$A$5:$A$1004,0)),""))</f>
        <v/>
      </c>
      <c r="W1815" s="81">
        <f>IF(OR($D1815="",$B1815=""),"",$D1815&amp;" | "&amp;$B1815)</f>
        <v/>
      </c>
      <c r="X1815" s="85">
        <f>IF($K1815="","",TEXT($K1815,"yyyy-mm"))</f>
        <v/>
      </c>
      <c r="Y1815" s="81">
        <f>IF(OR($A1815="",$T1815=""),"","Included in Manager_Report")</f>
        <v/>
      </c>
    </row>
    <row r="1816" ht="15" customHeight="1" s="40">
      <c r="A1816" s="65">
        <f>IF(COUNTA(B1816:G1816)=0,"","STP-"&amp;TEXT(ROW()-4,"0000"))</f>
        <v/>
      </c>
      <c r="B1816" s="78" t="n"/>
      <c r="C1816" s="67">
        <f>IF($B1816="","",IFERROR(INDEX(Task_Tracker!$D$5:$D$1004,MATCH($B1816,Task_Tracker!$A$5:$A$1004,0)),""))</f>
        <v/>
      </c>
      <c r="D1816" s="67">
        <f>IF($B1816="","",IFERROR(INDEX(Task_Tracker!$B$5:$B$1004,MATCH($B1816,Task_Tracker!$A$5:$A$1004,0)),""))</f>
        <v/>
      </c>
      <c r="E1816" s="81" t="n"/>
      <c r="F1816" s="81" t="n"/>
      <c r="G1816" s="78" t="n"/>
      <c r="H1816" s="78" t="n"/>
      <c r="I1816" s="67">
        <f>IF($H1816="","",IFERROR(INDEX(Action_Status_Map!$B$5:$B$11,MATCH($H1816,Action_Status_Map!$A$5:$A$11,0)),""))</f>
        <v/>
      </c>
      <c r="J1816" s="82" t="n"/>
      <c r="K1816" s="82" t="n"/>
      <c r="L1816" s="82" t="n"/>
      <c r="M1816" s="83" t="n"/>
      <c r="N1816" s="83" t="n"/>
      <c r="O1816" s="66">
        <f>IF(OR($M1816="",$N1816=""),"",$N1816-$M1816)</f>
        <v/>
      </c>
      <c r="P1816" s="84">
        <f>IF($J1816="","",IF($L1816&lt;&gt;"",$L1816-$J1816,TODAY()-$J1816))</f>
        <v/>
      </c>
      <c r="Q1816" s="85">
        <f>IF(OR($K1816="",$H1816="Completed",$H1816="Cancelled"),"",IF(AND($K1816&lt;TODAY(),$H1816&lt;&gt;"Completed",$H1816&lt;&gt;"Cancelled"),"Overdue","On Track"))</f>
        <v/>
      </c>
      <c r="R1816" s="81" t="n"/>
      <c r="S1816" s="81">
        <f>IF($B1816="","",IFERROR(INDEX(Task_Tracker!$AA$5:$AA$1004,MATCH($B1816,Task_Tracker!$A$5:$A$1004,0)),""))</f>
        <v/>
      </c>
      <c r="T1816" s="81">
        <f>IF($B1816="","",IFERROR(INDEX(Task_Tracker!$AB$5:$AB$1004,MATCH($B1816,Task_Tracker!$A$5:$A$1004,0)),""))</f>
        <v/>
      </c>
      <c r="U1816" s="78">
        <f>IF($B1816="","",IFERROR(INDEX(Task_Tracker!$F$5:$F$1004,MATCH($B1816,Task_Tracker!$A$5:$A$1004,0)),""))</f>
        <v/>
      </c>
      <c r="V1816" s="78">
        <f>IF($B1816="","",IFERROR(INDEX(Task_Tracker!$I$5:$I$1004,MATCH($B1816,Task_Tracker!$A$5:$A$1004,0)),""))</f>
        <v/>
      </c>
      <c r="W1816" s="81">
        <f>IF(OR($D1816="",$B1816=""),"",$D1816&amp;" | "&amp;$B1816)</f>
        <v/>
      </c>
      <c r="X1816" s="85">
        <f>IF($K1816="","",TEXT($K1816,"yyyy-mm"))</f>
        <v/>
      </c>
      <c r="Y1816" s="81">
        <f>IF(OR($A1816="",$T1816=""),"","Included in Manager_Report")</f>
        <v/>
      </c>
    </row>
    <row r="1817" ht="15" customHeight="1" s="40">
      <c r="A1817" s="65">
        <f>IF(COUNTA(B1817:G1817)=0,"","STP-"&amp;TEXT(ROW()-4,"0000"))</f>
        <v/>
      </c>
      <c r="B1817" s="78" t="n"/>
      <c r="C1817" s="67">
        <f>IF($B1817="","",IFERROR(INDEX(Task_Tracker!$D$5:$D$1004,MATCH($B1817,Task_Tracker!$A$5:$A$1004,0)),""))</f>
        <v/>
      </c>
      <c r="D1817" s="67">
        <f>IF($B1817="","",IFERROR(INDEX(Task_Tracker!$B$5:$B$1004,MATCH($B1817,Task_Tracker!$A$5:$A$1004,0)),""))</f>
        <v/>
      </c>
      <c r="E1817" s="81" t="n"/>
      <c r="F1817" s="81" t="n"/>
      <c r="G1817" s="78" t="n"/>
      <c r="H1817" s="78" t="n"/>
      <c r="I1817" s="67">
        <f>IF($H1817="","",IFERROR(INDEX(Action_Status_Map!$B$5:$B$11,MATCH($H1817,Action_Status_Map!$A$5:$A$11,0)),""))</f>
        <v/>
      </c>
      <c r="J1817" s="82" t="n"/>
      <c r="K1817" s="82" t="n"/>
      <c r="L1817" s="82" t="n"/>
      <c r="M1817" s="83" t="n"/>
      <c r="N1817" s="83" t="n"/>
      <c r="O1817" s="66">
        <f>IF(OR($M1817="",$N1817=""),"",$N1817-$M1817)</f>
        <v/>
      </c>
      <c r="P1817" s="84">
        <f>IF($J1817="","",IF($L1817&lt;&gt;"",$L1817-$J1817,TODAY()-$J1817))</f>
        <v/>
      </c>
      <c r="Q1817" s="85">
        <f>IF(OR($K1817="",$H1817="Completed",$H1817="Cancelled"),"",IF(AND($K1817&lt;TODAY(),$H1817&lt;&gt;"Completed",$H1817&lt;&gt;"Cancelled"),"Overdue","On Track"))</f>
        <v/>
      </c>
      <c r="R1817" s="81" t="n"/>
      <c r="S1817" s="81">
        <f>IF($B1817="","",IFERROR(INDEX(Task_Tracker!$AA$5:$AA$1004,MATCH($B1817,Task_Tracker!$A$5:$A$1004,0)),""))</f>
        <v/>
      </c>
      <c r="T1817" s="81">
        <f>IF($B1817="","",IFERROR(INDEX(Task_Tracker!$AB$5:$AB$1004,MATCH($B1817,Task_Tracker!$A$5:$A$1004,0)),""))</f>
        <v/>
      </c>
      <c r="U1817" s="78">
        <f>IF($B1817="","",IFERROR(INDEX(Task_Tracker!$F$5:$F$1004,MATCH($B1817,Task_Tracker!$A$5:$A$1004,0)),""))</f>
        <v/>
      </c>
      <c r="V1817" s="78">
        <f>IF($B1817="","",IFERROR(INDEX(Task_Tracker!$I$5:$I$1004,MATCH($B1817,Task_Tracker!$A$5:$A$1004,0)),""))</f>
        <v/>
      </c>
      <c r="W1817" s="81">
        <f>IF(OR($D1817="",$B1817=""),"",$D1817&amp;" | "&amp;$B1817)</f>
        <v/>
      </c>
      <c r="X1817" s="85">
        <f>IF($K1817="","",TEXT($K1817,"yyyy-mm"))</f>
        <v/>
      </c>
      <c r="Y1817" s="81">
        <f>IF(OR($A1817="",$T1817=""),"","Included in Manager_Report")</f>
        <v/>
      </c>
    </row>
    <row r="1818" ht="15" customHeight="1" s="40">
      <c r="A1818" s="65">
        <f>IF(COUNTA(B1818:G1818)=0,"","STP-"&amp;TEXT(ROW()-4,"0000"))</f>
        <v/>
      </c>
      <c r="B1818" s="78" t="n"/>
      <c r="C1818" s="67">
        <f>IF($B1818="","",IFERROR(INDEX(Task_Tracker!$D$5:$D$1004,MATCH($B1818,Task_Tracker!$A$5:$A$1004,0)),""))</f>
        <v/>
      </c>
      <c r="D1818" s="67">
        <f>IF($B1818="","",IFERROR(INDEX(Task_Tracker!$B$5:$B$1004,MATCH($B1818,Task_Tracker!$A$5:$A$1004,0)),""))</f>
        <v/>
      </c>
      <c r="E1818" s="81" t="n"/>
      <c r="F1818" s="81" t="n"/>
      <c r="G1818" s="78" t="n"/>
      <c r="H1818" s="78" t="n"/>
      <c r="I1818" s="67">
        <f>IF($H1818="","",IFERROR(INDEX(Action_Status_Map!$B$5:$B$11,MATCH($H1818,Action_Status_Map!$A$5:$A$11,0)),""))</f>
        <v/>
      </c>
      <c r="J1818" s="82" t="n"/>
      <c r="K1818" s="82" t="n"/>
      <c r="L1818" s="82" t="n"/>
      <c r="M1818" s="83" t="n"/>
      <c r="N1818" s="83" t="n"/>
      <c r="O1818" s="66">
        <f>IF(OR($M1818="",$N1818=""),"",$N1818-$M1818)</f>
        <v/>
      </c>
      <c r="P1818" s="84">
        <f>IF($J1818="","",IF($L1818&lt;&gt;"",$L1818-$J1818,TODAY()-$J1818))</f>
        <v/>
      </c>
      <c r="Q1818" s="85">
        <f>IF(OR($K1818="",$H1818="Completed",$H1818="Cancelled"),"",IF(AND($K1818&lt;TODAY(),$H1818&lt;&gt;"Completed",$H1818&lt;&gt;"Cancelled"),"Overdue","On Track"))</f>
        <v/>
      </c>
      <c r="R1818" s="81" t="n"/>
      <c r="S1818" s="81">
        <f>IF($B1818="","",IFERROR(INDEX(Task_Tracker!$AA$5:$AA$1004,MATCH($B1818,Task_Tracker!$A$5:$A$1004,0)),""))</f>
        <v/>
      </c>
      <c r="T1818" s="81">
        <f>IF($B1818="","",IFERROR(INDEX(Task_Tracker!$AB$5:$AB$1004,MATCH($B1818,Task_Tracker!$A$5:$A$1004,0)),""))</f>
        <v/>
      </c>
      <c r="U1818" s="78">
        <f>IF($B1818="","",IFERROR(INDEX(Task_Tracker!$F$5:$F$1004,MATCH($B1818,Task_Tracker!$A$5:$A$1004,0)),""))</f>
        <v/>
      </c>
      <c r="V1818" s="78">
        <f>IF($B1818="","",IFERROR(INDEX(Task_Tracker!$I$5:$I$1004,MATCH($B1818,Task_Tracker!$A$5:$A$1004,0)),""))</f>
        <v/>
      </c>
      <c r="W1818" s="81">
        <f>IF(OR($D1818="",$B1818=""),"",$D1818&amp;" | "&amp;$B1818)</f>
        <v/>
      </c>
      <c r="X1818" s="85">
        <f>IF($K1818="","",TEXT($K1818,"yyyy-mm"))</f>
        <v/>
      </c>
      <c r="Y1818" s="81">
        <f>IF(OR($A1818="",$T1818=""),"","Included in Manager_Report")</f>
        <v/>
      </c>
    </row>
    <row r="1819" ht="15" customHeight="1" s="40">
      <c r="A1819" s="65">
        <f>IF(COUNTA(B1819:G1819)=0,"","STP-"&amp;TEXT(ROW()-4,"0000"))</f>
        <v/>
      </c>
      <c r="B1819" s="78" t="n"/>
      <c r="C1819" s="67">
        <f>IF($B1819="","",IFERROR(INDEX(Task_Tracker!$D$5:$D$1004,MATCH($B1819,Task_Tracker!$A$5:$A$1004,0)),""))</f>
        <v/>
      </c>
      <c r="D1819" s="67">
        <f>IF($B1819="","",IFERROR(INDEX(Task_Tracker!$B$5:$B$1004,MATCH($B1819,Task_Tracker!$A$5:$A$1004,0)),""))</f>
        <v/>
      </c>
      <c r="E1819" s="81" t="n"/>
      <c r="F1819" s="81" t="n"/>
      <c r="G1819" s="78" t="n"/>
      <c r="H1819" s="78" t="n"/>
      <c r="I1819" s="67">
        <f>IF($H1819="","",IFERROR(INDEX(Action_Status_Map!$B$5:$B$11,MATCH($H1819,Action_Status_Map!$A$5:$A$11,0)),""))</f>
        <v/>
      </c>
      <c r="J1819" s="82" t="n"/>
      <c r="K1819" s="82" t="n"/>
      <c r="L1819" s="82" t="n"/>
      <c r="M1819" s="83" t="n"/>
      <c r="N1819" s="83" t="n"/>
      <c r="O1819" s="66">
        <f>IF(OR($M1819="",$N1819=""),"",$N1819-$M1819)</f>
        <v/>
      </c>
      <c r="P1819" s="84">
        <f>IF($J1819="","",IF($L1819&lt;&gt;"",$L1819-$J1819,TODAY()-$J1819))</f>
        <v/>
      </c>
      <c r="Q1819" s="85">
        <f>IF(OR($K1819="",$H1819="Completed",$H1819="Cancelled"),"",IF(AND($K1819&lt;TODAY(),$H1819&lt;&gt;"Completed",$H1819&lt;&gt;"Cancelled"),"Overdue","On Track"))</f>
        <v/>
      </c>
      <c r="R1819" s="81" t="n"/>
      <c r="S1819" s="81">
        <f>IF($B1819="","",IFERROR(INDEX(Task_Tracker!$AA$5:$AA$1004,MATCH($B1819,Task_Tracker!$A$5:$A$1004,0)),""))</f>
        <v/>
      </c>
      <c r="T1819" s="81">
        <f>IF($B1819="","",IFERROR(INDEX(Task_Tracker!$AB$5:$AB$1004,MATCH($B1819,Task_Tracker!$A$5:$A$1004,0)),""))</f>
        <v/>
      </c>
      <c r="U1819" s="78">
        <f>IF($B1819="","",IFERROR(INDEX(Task_Tracker!$F$5:$F$1004,MATCH($B1819,Task_Tracker!$A$5:$A$1004,0)),""))</f>
        <v/>
      </c>
      <c r="V1819" s="78">
        <f>IF($B1819="","",IFERROR(INDEX(Task_Tracker!$I$5:$I$1004,MATCH($B1819,Task_Tracker!$A$5:$A$1004,0)),""))</f>
        <v/>
      </c>
      <c r="W1819" s="81">
        <f>IF(OR($D1819="",$B1819=""),"",$D1819&amp;" | "&amp;$B1819)</f>
        <v/>
      </c>
      <c r="X1819" s="85">
        <f>IF($K1819="","",TEXT($K1819,"yyyy-mm"))</f>
        <v/>
      </c>
      <c r="Y1819" s="81">
        <f>IF(OR($A1819="",$T1819=""),"","Included in Manager_Report")</f>
        <v/>
      </c>
    </row>
    <row r="1820" ht="15" customHeight="1" s="40">
      <c r="A1820" s="65">
        <f>IF(COUNTA(B1820:G1820)=0,"","STP-"&amp;TEXT(ROW()-4,"0000"))</f>
        <v/>
      </c>
      <c r="B1820" s="78" t="n"/>
      <c r="C1820" s="67">
        <f>IF($B1820="","",IFERROR(INDEX(Task_Tracker!$D$5:$D$1004,MATCH($B1820,Task_Tracker!$A$5:$A$1004,0)),""))</f>
        <v/>
      </c>
      <c r="D1820" s="67">
        <f>IF($B1820="","",IFERROR(INDEX(Task_Tracker!$B$5:$B$1004,MATCH($B1820,Task_Tracker!$A$5:$A$1004,0)),""))</f>
        <v/>
      </c>
      <c r="E1820" s="81" t="n"/>
      <c r="F1820" s="81" t="n"/>
      <c r="G1820" s="78" t="n"/>
      <c r="H1820" s="78" t="n"/>
      <c r="I1820" s="67">
        <f>IF($H1820="","",IFERROR(INDEX(Action_Status_Map!$B$5:$B$11,MATCH($H1820,Action_Status_Map!$A$5:$A$11,0)),""))</f>
        <v/>
      </c>
      <c r="J1820" s="82" t="n"/>
      <c r="K1820" s="82" t="n"/>
      <c r="L1820" s="82" t="n"/>
      <c r="M1820" s="83" t="n"/>
      <c r="N1820" s="83" t="n"/>
      <c r="O1820" s="66">
        <f>IF(OR($M1820="",$N1820=""),"",$N1820-$M1820)</f>
        <v/>
      </c>
      <c r="P1820" s="84">
        <f>IF($J1820="","",IF($L1820&lt;&gt;"",$L1820-$J1820,TODAY()-$J1820))</f>
        <v/>
      </c>
      <c r="Q1820" s="85">
        <f>IF(OR($K1820="",$H1820="Completed",$H1820="Cancelled"),"",IF(AND($K1820&lt;TODAY(),$H1820&lt;&gt;"Completed",$H1820&lt;&gt;"Cancelled"),"Overdue","On Track"))</f>
        <v/>
      </c>
      <c r="R1820" s="81" t="n"/>
      <c r="S1820" s="81">
        <f>IF($B1820="","",IFERROR(INDEX(Task_Tracker!$AA$5:$AA$1004,MATCH($B1820,Task_Tracker!$A$5:$A$1004,0)),""))</f>
        <v/>
      </c>
      <c r="T1820" s="81">
        <f>IF($B1820="","",IFERROR(INDEX(Task_Tracker!$AB$5:$AB$1004,MATCH($B1820,Task_Tracker!$A$5:$A$1004,0)),""))</f>
        <v/>
      </c>
      <c r="U1820" s="78">
        <f>IF($B1820="","",IFERROR(INDEX(Task_Tracker!$F$5:$F$1004,MATCH($B1820,Task_Tracker!$A$5:$A$1004,0)),""))</f>
        <v/>
      </c>
      <c r="V1820" s="78">
        <f>IF($B1820="","",IFERROR(INDEX(Task_Tracker!$I$5:$I$1004,MATCH($B1820,Task_Tracker!$A$5:$A$1004,0)),""))</f>
        <v/>
      </c>
      <c r="W1820" s="81">
        <f>IF(OR($D1820="",$B1820=""),"",$D1820&amp;" | "&amp;$B1820)</f>
        <v/>
      </c>
      <c r="X1820" s="85">
        <f>IF($K1820="","",TEXT($K1820,"yyyy-mm"))</f>
        <v/>
      </c>
      <c r="Y1820" s="81">
        <f>IF(OR($A1820="",$T1820=""),"","Included in Manager_Report")</f>
        <v/>
      </c>
    </row>
    <row r="1821" ht="15" customHeight="1" s="40">
      <c r="A1821" s="65">
        <f>IF(COUNTA(B1821:G1821)=0,"","STP-"&amp;TEXT(ROW()-4,"0000"))</f>
        <v/>
      </c>
      <c r="B1821" s="78" t="n"/>
      <c r="C1821" s="67">
        <f>IF($B1821="","",IFERROR(INDEX(Task_Tracker!$D$5:$D$1004,MATCH($B1821,Task_Tracker!$A$5:$A$1004,0)),""))</f>
        <v/>
      </c>
      <c r="D1821" s="67">
        <f>IF($B1821="","",IFERROR(INDEX(Task_Tracker!$B$5:$B$1004,MATCH($B1821,Task_Tracker!$A$5:$A$1004,0)),""))</f>
        <v/>
      </c>
      <c r="E1821" s="81" t="n"/>
      <c r="F1821" s="81" t="n"/>
      <c r="G1821" s="78" t="n"/>
      <c r="H1821" s="78" t="n"/>
      <c r="I1821" s="67">
        <f>IF($H1821="","",IFERROR(INDEX(Action_Status_Map!$B$5:$B$11,MATCH($H1821,Action_Status_Map!$A$5:$A$11,0)),""))</f>
        <v/>
      </c>
      <c r="J1821" s="82" t="n"/>
      <c r="K1821" s="82" t="n"/>
      <c r="L1821" s="82" t="n"/>
      <c r="M1821" s="83" t="n"/>
      <c r="N1821" s="83" t="n"/>
      <c r="O1821" s="66">
        <f>IF(OR($M1821="",$N1821=""),"",$N1821-$M1821)</f>
        <v/>
      </c>
      <c r="P1821" s="84">
        <f>IF($J1821="","",IF($L1821&lt;&gt;"",$L1821-$J1821,TODAY()-$J1821))</f>
        <v/>
      </c>
      <c r="Q1821" s="85">
        <f>IF(OR($K1821="",$H1821="Completed",$H1821="Cancelled"),"",IF(AND($K1821&lt;TODAY(),$H1821&lt;&gt;"Completed",$H1821&lt;&gt;"Cancelled"),"Overdue","On Track"))</f>
        <v/>
      </c>
      <c r="R1821" s="81" t="n"/>
      <c r="S1821" s="81">
        <f>IF($B1821="","",IFERROR(INDEX(Task_Tracker!$AA$5:$AA$1004,MATCH($B1821,Task_Tracker!$A$5:$A$1004,0)),""))</f>
        <v/>
      </c>
      <c r="T1821" s="81">
        <f>IF($B1821="","",IFERROR(INDEX(Task_Tracker!$AB$5:$AB$1004,MATCH($B1821,Task_Tracker!$A$5:$A$1004,0)),""))</f>
        <v/>
      </c>
      <c r="U1821" s="78">
        <f>IF($B1821="","",IFERROR(INDEX(Task_Tracker!$F$5:$F$1004,MATCH($B1821,Task_Tracker!$A$5:$A$1004,0)),""))</f>
        <v/>
      </c>
      <c r="V1821" s="78">
        <f>IF($B1821="","",IFERROR(INDEX(Task_Tracker!$I$5:$I$1004,MATCH($B1821,Task_Tracker!$A$5:$A$1004,0)),""))</f>
        <v/>
      </c>
      <c r="W1821" s="81">
        <f>IF(OR($D1821="",$B1821=""),"",$D1821&amp;" | "&amp;$B1821)</f>
        <v/>
      </c>
      <c r="X1821" s="85">
        <f>IF($K1821="","",TEXT($K1821,"yyyy-mm"))</f>
        <v/>
      </c>
      <c r="Y1821" s="81">
        <f>IF(OR($A1821="",$T1821=""),"","Included in Manager_Report")</f>
        <v/>
      </c>
    </row>
    <row r="1822" ht="15" customHeight="1" s="40">
      <c r="A1822" s="65">
        <f>IF(COUNTA(B1822:G1822)=0,"","STP-"&amp;TEXT(ROW()-4,"0000"))</f>
        <v/>
      </c>
      <c r="B1822" s="78" t="n"/>
      <c r="C1822" s="67">
        <f>IF($B1822="","",IFERROR(INDEX(Task_Tracker!$D$5:$D$1004,MATCH($B1822,Task_Tracker!$A$5:$A$1004,0)),""))</f>
        <v/>
      </c>
      <c r="D1822" s="67">
        <f>IF($B1822="","",IFERROR(INDEX(Task_Tracker!$B$5:$B$1004,MATCH($B1822,Task_Tracker!$A$5:$A$1004,0)),""))</f>
        <v/>
      </c>
      <c r="E1822" s="81" t="n"/>
      <c r="F1822" s="81" t="n"/>
      <c r="G1822" s="78" t="n"/>
      <c r="H1822" s="78" t="n"/>
      <c r="I1822" s="67">
        <f>IF($H1822="","",IFERROR(INDEX(Action_Status_Map!$B$5:$B$11,MATCH($H1822,Action_Status_Map!$A$5:$A$11,0)),""))</f>
        <v/>
      </c>
      <c r="J1822" s="82" t="n"/>
      <c r="K1822" s="82" t="n"/>
      <c r="L1822" s="82" t="n"/>
      <c r="M1822" s="83" t="n"/>
      <c r="N1822" s="83" t="n"/>
      <c r="O1822" s="66">
        <f>IF(OR($M1822="",$N1822=""),"",$N1822-$M1822)</f>
        <v/>
      </c>
      <c r="P1822" s="84">
        <f>IF($J1822="","",IF($L1822&lt;&gt;"",$L1822-$J1822,TODAY()-$J1822))</f>
        <v/>
      </c>
      <c r="Q1822" s="85">
        <f>IF(OR($K1822="",$H1822="Completed",$H1822="Cancelled"),"",IF(AND($K1822&lt;TODAY(),$H1822&lt;&gt;"Completed",$H1822&lt;&gt;"Cancelled"),"Overdue","On Track"))</f>
        <v/>
      </c>
      <c r="R1822" s="81" t="n"/>
      <c r="S1822" s="81">
        <f>IF($B1822="","",IFERROR(INDEX(Task_Tracker!$AA$5:$AA$1004,MATCH($B1822,Task_Tracker!$A$5:$A$1004,0)),""))</f>
        <v/>
      </c>
      <c r="T1822" s="81">
        <f>IF($B1822="","",IFERROR(INDEX(Task_Tracker!$AB$5:$AB$1004,MATCH($B1822,Task_Tracker!$A$5:$A$1004,0)),""))</f>
        <v/>
      </c>
      <c r="U1822" s="78">
        <f>IF($B1822="","",IFERROR(INDEX(Task_Tracker!$F$5:$F$1004,MATCH($B1822,Task_Tracker!$A$5:$A$1004,0)),""))</f>
        <v/>
      </c>
      <c r="V1822" s="78">
        <f>IF($B1822="","",IFERROR(INDEX(Task_Tracker!$I$5:$I$1004,MATCH($B1822,Task_Tracker!$A$5:$A$1004,0)),""))</f>
        <v/>
      </c>
      <c r="W1822" s="81">
        <f>IF(OR($D1822="",$B1822=""),"",$D1822&amp;" | "&amp;$B1822)</f>
        <v/>
      </c>
      <c r="X1822" s="85">
        <f>IF($K1822="","",TEXT($K1822,"yyyy-mm"))</f>
        <v/>
      </c>
      <c r="Y1822" s="81">
        <f>IF(OR($A1822="",$T1822=""),"","Included in Manager_Report")</f>
        <v/>
      </c>
    </row>
    <row r="1823" ht="15" customHeight="1" s="40">
      <c r="A1823" s="65">
        <f>IF(COUNTA(B1823:G1823)=0,"","STP-"&amp;TEXT(ROW()-4,"0000"))</f>
        <v/>
      </c>
      <c r="B1823" s="78" t="n"/>
      <c r="C1823" s="67">
        <f>IF($B1823="","",IFERROR(INDEX(Task_Tracker!$D$5:$D$1004,MATCH($B1823,Task_Tracker!$A$5:$A$1004,0)),""))</f>
        <v/>
      </c>
      <c r="D1823" s="67">
        <f>IF($B1823="","",IFERROR(INDEX(Task_Tracker!$B$5:$B$1004,MATCH($B1823,Task_Tracker!$A$5:$A$1004,0)),""))</f>
        <v/>
      </c>
      <c r="E1823" s="81" t="n"/>
      <c r="F1823" s="81" t="n"/>
      <c r="G1823" s="78" t="n"/>
      <c r="H1823" s="78" t="n"/>
      <c r="I1823" s="67">
        <f>IF($H1823="","",IFERROR(INDEX(Action_Status_Map!$B$5:$B$11,MATCH($H1823,Action_Status_Map!$A$5:$A$11,0)),""))</f>
        <v/>
      </c>
      <c r="J1823" s="82" t="n"/>
      <c r="K1823" s="82" t="n"/>
      <c r="L1823" s="82" t="n"/>
      <c r="M1823" s="83" t="n"/>
      <c r="N1823" s="83" t="n"/>
      <c r="O1823" s="66">
        <f>IF(OR($M1823="",$N1823=""),"",$N1823-$M1823)</f>
        <v/>
      </c>
      <c r="P1823" s="84">
        <f>IF($J1823="","",IF($L1823&lt;&gt;"",$L1823-$J1823,TODAY()-$J1823))</f>
        <v/>
      </c>
      <c r="Q1823" s="85">
        <f>IF(OR($K1823="",$H1823="Completed",$H1823="Cancelled"),"",IF(AND($K1823&lt;TODAY(),$H1823&lt;&gt;"Completed",$H1823&lt;&gt;"Cancelled"),"Overdue","On Track"))</f>
        <v/>
      </c>
      <c r="R1823" s="81" t="n"/>
      <c r="S1823" s="81">
        <f>IF($B1823="","",IFERROR(INDEX(Task_Tracker!$AA$5:$AA$1004,MATCH($B1823,Task_Tracker!$A$5:$A$1004,0)),""))</f>
        <v/>
      </c>
      <c r="T1823" s="81">
        <f>IF($B1823="","",IFERROR(INDEX(Task_Tracker!$AB$5:$AB$1004,MATCH($B1823,Task_Tracker!$A$5:$A$1004,0)),""))</f>
        <v/>
      </c>
      <c r="U1823" s="78">
        <f>IF($B1823="","",IFERROR(INDEX(Task_Tracker!$F$5:$F$1004,MATCH($B1823,Task_Tracker!$A$5:$A$1004,0)),""))</f>
        <v/>
      </c>
      <c r="V1823" s="78">
        <f>IF($B1823="","",IFERROR(INDEX(Task_Tracker!$I$5:$I$1004,MATCH($B1823,Task_Tracker!$A$5:$A$1004,0)),""))</f>
        <v/>
      </c>
      <c r="W1823" s="81">
        <f>IF(OR($D1823="",$B1823=""),"",$D1823&amp;" | "&amp;$B1823)</f>
        <v/>
      </c>
      <c r="X1823" s="85">
        <f>IF($K1823="","",TEXT($K1823,"yyyy-mm"))</f>
        <v/>
      </c>
      <c r="Y1823" s="81">
        <f>IF(OR($A1823="",$T1823=""),"","Included in Manager_Report")</f>
        <v/>
      </c>
    </row>
    <row r="1824" ht="15" customHeight="1" s="40">
      <c r="A1824" s="65">
        <f>IF(COUNTA(B1824:G1824)=0,"","STP-"&amp;TEXT(ROW()-4,"0000"))</f>
        <v/>
      </c>
      <c r="B1824" s="78" t="n"/>
      <c r="C1824" s="67">
        <f>IF($B1824="","",IFERROR(INDEX(Task_Tracker!$D$5:$D$1004,MATCH($B1824,Task_Tracker!$A$5:$A$1004,0)),""))</f>
        <v/>
      </c>
      <c r="D1824" s="67">
        <f>IF($B1824="","",IFERROR(INDEX(Task_Tracker!$B$5:$B$1004,MATCH($B1824,Task_Tracker!$A$5:$A$1004,0)),""))</f>
        <v/>
      </c>
      <c r="E1824" s="81" t="n"/>
      <c r="F1824" s="81" t="n"/>
      <c r="G1824" s="78" t="n"/>
      <c r="H1824" s="78" t="n"/>
      <c r="I1824" s="67">
        <f>IF($H1824="","",IFERROR(INDEX(Action_Status_Map!$B$5:$B$11,MATCH($H1824,Action_Status_Map!$A$5:$A$11,0)),""))</f>
        <v/>
      </c>
      <c r="J1824" s="82" t="n"/>
      <c r="K1824" s="82" t="n"/>
      <c r="L1824" s="82" t="n"/>
      <c r="M1824" s="83" t="n"/>
      <c r="N1824" s="83" t="n"/>
      <c r="O1824" s="66">
        <f>IF(OR($M1824="",$N1824=""),"",$N1824-$M1824)</f>
        <v/>
      </c>
      <c r="P1824" s="84">
        <f>IF($J1824="","",IF($L1824&lt;&gt;"",$L1824-$J1824,TODAY()-$J1824))</f>
        <v/>
      </c>
      <c r="Q1824" s="85">
        <f>IF(OR($K1824="",$H1824="Completed",$H1824="Cancelled"),"",IF(AND($K1824&lt;TODAY(),$H1824&lt;&gt;"Completed",$H1824&lt;&gt;"Cancelled"),"Overdue","On Track"))</f>
        <v/>
      </c>
      <c r="R1824" s="81" t="n"/>
      <c r="S1824" s="81">
        <f>IF($B1824="","",IFERROR(INDEX(Task_Tracker!$AA$5:$AA$1004,MATCH($B1824,Task_Tracker!$A$5:$A$1004,0)),""))</f>
        <v/>
      </c>
      <c r="T1824" s="81">
        <f>IF($B1824="","",IFERROR(INDEX(Task_Tracker!$AB$5:$AB$1004,MATCH($B1824,Task_Tracker!$A$5:$A$1004,0)),""))</f>
        <v/>
      </c>
      <c r="U1824" s="78">
        <f>IF($B1824="","",IFERROR(INDEX(Task_Tracker!$F$5:$F$1004,MATCH($B1824,Task_Tracker!$A$5:$A$1004,0)),""))</f>
        <v/>
      </c>
      <c r="V1824" s="78">
        <f>IF($B1824="","",IFERROR(INDEX(Task_Tracker!$I$5:$I$1004,MATCH($B1824,Task_Tracker!$A$5:$A$1004,0)),""))</f>
        <v/>
      </c>
      <c r="W1824" s="81">
        <f>IF(OR($D1824="",$B1824=""),"",$D1824&amp;" | "&amp;$B1824)</f>
        <v/>
      </c>
      <c r="X1824" s="85">
        <f>IF($K1824="","",TEXT($K1824,"yyyy-mm"))</f>
        <v/>
      </c>
      <c r="Y1824" s="81">
        <f>IF(OR($A1824="",$T1824=""),"","Included in Manager_Report")</f>
        <v/>
      </c>
    </row>
    <row r="1825" ht="15" customHeight="1" s="40">
      <c r="A1825" s="65">
        <f>IF(COUNTA(B1825:G1825)=0,"","STP-"&amp;TEXT(ROW()-4,"0000"))</f>
        <v/>
      </c>
      <c r="B1825" s="78" t="n"/>
      <c r="C1825" s="67">
        <f>IF($B1825="","",IFERROR(INDEX(Task_Tracker!$D$5:$D$1004,MATCH($B1825,Task_Tracker!$A$5:$A$1004,0)),""))</f>
        <v/>
      </c>
      <c r="D1825" s="67">
        <f>IF($B1825="","",IFERROR(INDEX(Task_Tracker!$B$5:$B$1004,MATCH($B1825,Task_Tracker!$A$5:$A$1004,0)),""))</f>
        <v/>
      </c>
      <c r="E1825" s="81" t="n"/>
      <c r="F1825" s="81" t="n"/>
      <c r="G1825" s="78" t="n"/>
      <c r="H1825" s="78" t="n"/>
      <c r="I1825" s="67">
        <f>IF($H1825="","",IFERROR(INDEX(Action_Status_Map!$B$5:$B$11,MATCH($H1825,Action_Status_Map!$A$5:$A$11,0)),""))</f>
        <v/>
      </c>
      <c r="J1825" s="82" t="n"/>
      <c r="K1825" s="82" t="n"/>
      <c r="L1825" s="82" t="n"/>
      <c r="M1825" s="83" t="n"/>
      <c r="N1825" s="83" t="n"/>
      <c r="O1825" s="66">
        <f>IF(OR($M1825="",$N1825=""),"",$N1825-$M1825)</f>
        <v/>
      </c>
      <c r="P1825" s="84">
        <f>IF($J1825="","",IF($L1825&lt;&gt;"",$L1825-$J1825,TODAY()-$J1825))</f>
        <v/>
      </c>
      <c r="Q1825" s="85">
        <f>IF(OR($K1825="",$H1825="Completed",$H1825="Cancelled"),"",IF(AND($K1825&lt;TODAY(),$H1825&lt;&gt;"Completed",$H1825&lt;&gt;"Cancelled"),"Overdue","On Track"))</f>
        <v/>
      </c>
      <c r="R1825" s="81" t="n"/>
      <c r="S1825" s="81">
        <f>IF($B1825="","",IFERROR(INDEX(Task_Tracker!$AA$5:$AA$1004,MATCH($B1825,Task_Tracker!$A$5:$A$1004,0)),""))</f>
        <v/>
      </c>
      <c r="T1825" s="81">
        <f>IF($B1825="","",IFERROR(INDEX(Task_Tracker!$AB$5:$AB$1004,MATCH($B1825,Task_Tracker!$A$5:$A$1004,0)),""))</f>
        <v/>
      </c>
      <c r="U1825" s="78">
        <f>IF($B1825="","",IFERROR(INDEX(Task_Tracker!$F$5:$F$1004,MATCH($B1825,Task_Tracker!$A$5:$A$1004,0)),""))</f>
        <v/>
      </c>
      <c r="V1825" s="78">
        <f>IF($B1825="","",IFERROR(INDEX(Task_Tracker!$I$5:$I$1004,MATCH($B1825,Task_Tracker!$A$5:$A$1004,0)),""))</f>
        <v/>
      </c>
      <c r="W1825" s="81">
        <f>IF(OR($D1825="",$B1825=""),"",$D1825&amp;" | "&amp;$B1825)</f>
        <v/>
      </c>
      <c r="X1825" s="85">
        <f>IF($K1825="","",TEXT($K1825,"yyyy-mm"))</f>
        <v/>
      </c>
      <c r="Y1825" s="81">
        <f>IF(OR($A1825="",$T1825=""),"","Included in Manager_Report")</f>
        <v/>
      </c>
    </row>
    <row r="1826" ht="15" customHeight="1" s="40">
      <c r="A1826" s="65">
        <f>IF(COUNTA(B1826:G1826)=0,"","STP-"&amp;TEXT(ROW()-4,"0000"))</f>
        <v/>
      </c>
      <c r="B1826" s="78" t="n"/>
      <c r="C1826" s="67">
        <f>IF($B1826="","",IFERROR(INDEX(Task_Tracker!$D$5:$D$1004,MATCH($B1826,Task_Tracker!$A$5:$A$1004,0)),""))</f>
        <v/>
      </c>
      <c r="D1826" s="67">
        <f>IF($B1826="","",IFERROR(INDEX(Task_Tracker!$B$5:$B$1004,MATCH($B1826,Task_Tracker!$A$5:$A$1004,0)),""))</f>
        <v/>
      </c>
      <c r="E1826" s="81" t="n"/>
      <c r="F1826" s="81" t="n"/>
      <c r="G1826" s="78" t="n"/>
      <c r="H1826" s="78" t="n"/>
      <c r="I1826" s="67">
        <f>IF($H1826="","",IFERROR(INDEX(Action_Status_Map!$B$5:$B$11,MATCH($H1826,Action_Status_Map!$A$5:$A$11,0)),""))</f>
        <v/>
      </c>
      <c r="J1826" s="82" t="n"/>
      <c r="K1826" s="82" t="n"/>
      <c r="L1826" s="82" t="n"/>
      <c r="M1826" s="83" t="n"/>
      <c r="N1826" s="83" t="n"/>
      <c r="O1826" s="66">
        <f>IF(OR($M1826="",$N1826=""),"",$N1826-$M1826)</f>
        <v/>
      </c>
      <c r="P1826" s="84">
        <f>IF($J1826="","",IF($L1826&lt;&gt;"",$L1826-$J1826,TODAY()-$J1826))</f>
        <v/>
      </c>
      <c r="Q1826" s="85">
        <f>IF(OR($K1826="",$H1826="Completed",$H1826="Cancelled"),"",IF(AND($K1826&lt;TODAY(),$H1826&lt;&gt;"Completed",$H1826&lt;&gt;"Cancelled"),"Overdue","On Track"))</f>
        <v/>
      </c>
      <c r="R1826" s="81" t="n"/>
      <c r="S1826" s="81">
        <f>IF($B1826="","",IFERROR(INDEX(Task_Tracker!$AA$5:$AA$1004,MATCH($B1826,Task_Tracker!$A$5:$A$1004,0)),""))</f>
        <v/>
      </c>
      <c r="T1826" s="81">
        <f>IF($B1826="","",IFERROR(INDEX(Task_Tracker!$AB$5:$AB$1004,MATCH($B1826,Task_Tracker!$A$5:$A$1004,0)),""))</f>
        <v/>
      </c>
      <c r="U1826" s="78">
        <f>IF($B1826="","",IFERROR(INDEX(Task_Tracker!$F$5:$F$1004,MATCH($B1826,Task_Tracker!$A$5:$A$1004,0)),""))</f>
        <v/>
      </c>
      <c r="V1826" s="78">
        <f>IF($B1826="","",IFERROR(INDEX(Task_Tracker!$I$5:$I$1004,MATCH($B1826,Task_Tracker!$A$5:$A$1004,0)),""))</f>
        <v/>
      </c>
      <c r="W1826" s="81">
        <f>IF(OR($D1826="",$B1826=""),"",$D1826&amp;" | "&amp;$B1826)</f>
        <v/>
      </c>
      <c r="X1826" s="85">
        <f>IF($K1826="","",TEXT($K1826,"yyyy-mm"))</f>
        <v/>
      </c>
      <c r="Y1826" s="81">
        <f>IF(OR($A1826="",$T1826=""),"","Included in Manager_Report")</f>
        <v/>
      </c>
    </row>
    <row r="1827" ht="15" customHeight="1" s="40">
      <c r="A1827" s="65">
        <f>IF(COUNTA(B1827:G1827)=0,"","STP-"&amp;TEXT(ROW()-4,"0000"))</f>
        <v/>
      </c>
      <c r="B1827" s="78" t="n"/>
      <c r="C1827" s="67">
        <f>IF($B1827="","",IFERROR(INDEX(Task_Tracker!$D$5:$D$1004,MATCH($B1827,Task_Tracker!$A$5:$A$1004,0)),""))</f>
        <v/>
      </c>
      <c r="D1827" s="67">
        <f>IF($B1827="","",IFERROR(INDEX(Task_Tracker!$B$5:$B$1004,MATCH($B1827,Task_Tracker!$A$5:$A$1004,0)),""))</f>
        <v/>
      </c>
      <c r="E1827" s="81" t="n"/>
      <c r="F1827" s="81" t="n"/>
      <c r="G1827" s="78" t="n"/>
      <c r="H1827" s="78" t="n"/>
      <c r="I1827" s="67">
        <f>IF($H1827="","",IFERROR(INDEX(Action_Status_Map!$B$5:$B$11,MATCH($H1827,Action_Status_Map!$A$5:$A$11,0)),""))</f>
        <v/>
      </c>
      <c r="J1827" s="82" t="n"/>
      <c r="K1827" s="82" t="n"/>
      <c r="L1827" s="82" t="n"/>
      <c r="M1827" s="83" t="n"/>
      <c r="N1827" s="83" t="n"/>
      <c r="O1827" s="66">
        <f>IF(OR($M1827="",$N1827=""),"",$N1827-$M1827)</f>
        <v/>
      </c>
      <c r="P1827" s="84">
        <f>IF($J1827="","",IF($L1827&lt;&gt;"",$L1827-$J1827,TODAY()-$J1827))</f>
        <v/>
      </c>
      <c r="Q1827" s="85">
        <f>IF(OR($K1827="",$H1827="Completed",$H1827="Cancelled"),"",IF(AND($K1827&lt;TODAY(),$H1827&lt;&gt;"Completed",$H1827&lt;&gt;"Cancelled"),"Overdue","On Track"))</f>
        <v/>
      </c>
      <c r="R1827" s="81" t="n"/>
      <c r="S1827" s="81">
        <f>IF($B1827="","",IFERROR(INDEX(Task_Tracker!$AA$5:$AA$1004,MATCH($B1827,Task_Tracker!$A$5:$A$1004,0)),""))</f>
        <v/>
      </c>
      <c r="T1827" s="81">
        <f>IF($B1827="","",IFERROR(INDEX(Task_Tracker!$AB$5:$AB$1004,MATCH($B1827,Task_Tracker!$A$5:$A$1004,0)),""))</f>
        <v/>
      </c>
      <c r="U1827" s="78">
        <f>IF($B1827="","",IFERROR(INDEX(Task_Tracker!$F$5:$F$1004,MATCH($B1827,Task_Tracker!$A$5:$A$1004,0)),""))</f>
        <v/>
      </c>
      <c r="V1827" s="78">
        <f>IF($B1827="","",IFERROR(INDEX(Task_Tracker!$I$5:$I$1004,MATCH($B1827,Task_Tracker!$A$5:$A$1004,0)),""))</f>
        <v/>
      </c>
      <c r="W1827" s="81">
        <f>IF(OR($D1827="",$B1827=""),"",$D1827&amp;" | "&amp;$B1827)</f>
        <v/>
      </c>
      <c r="X1827" s="85">
        <f>IF($K1827="","",TEXT($K1827,"yyyy-mm"))</f>
        <v/>
      </c>
      <c r="Y1827" s="81">
        <f>IF(OR($A1827="",$T1827=""),"","Included in Manager_Report")</f>
        <v/>
      </c>
    </row>
    <row r="1828" ht="15" customHeight="1" s="40">
      <c r="A1828" s="65">
        <f>IF(COUNTA(B1828:G1828)=0,"","STP-"&amp;TEXT(ROW()-4,"0000"))</f>
        <v/>
      </c>
      <c r="B1828" s="78" t="n"/>
      <c r="C1828" s="67">
        <f>IF($B1828="","",IFERROR(INDEX(Task_Tracker!$D$5:$D$1004,MATCH($B1828,Task_Tracker!$A$5:$A$1004,0)),""))</f>
        <v/>
      </c>
      <c r="D1828" s="67">
        <f>IF($B1828="","",IFERROR(INDEX(Task_Tracker!$B$5:$B$1004,MATCH($B1828,Task_Tracker!$A$5:$A$1004,0)),""))</f>
        <v/>
      </c>
      <c r="E1828" s="81" t="n"/>
      <c r="F1828" s="81" t="n"/>
      <c r="G1828" s="78" t="n"/>
      <c r="H1828" s="78" t="n"/>
      <c r="I1828" s="67">
        <f>IF($H1828="","",IFERROR(INDEX(Action_Status_Map!$B$5:$B$11,MATCH($H1828,Action_Status_Map!$A$5:$A$11,0)),""))</f>
        <v/>
      </c>
      <c r="J1828" s="82" t="n"/>
      <c r="K1828" s="82" t="n"/>
      <c r="L1828" s="82" t="n"/>
      <c r="M1828" s="83" t="n"/>
      <c r="N1828" s="83" t="n"/>
      <c r="O1828" s="66">
        <f>IF(OR($M1828="",$N1828=""),"",$N1828-$M1828)</f>
        <v/>
      </c>
      <c r="P1828" s="84">
        <f>IF($J1828="","",IF($L1828&lt;&gt;"",$L1828-$J1828,TODAY()-$J1828))</f>
        <v/>
      </c>
      <c r="Q1828" s="85">
        <f>IF(OR($K1828="",$H1828="Completed",$H1828="Cancelled"),"",IF(AND($K1828&lt;TODAY(),$H1828&lt;&gt;"Completed",$H1828&lt;&gt;"Cancelled"),"Overdue","On Track"))</f>
        <v/>
      </c>
      <c r="R1828" s="81" t="n"/>
      <c r="S1828" s="81">
        <f>IF($B1828="","",IFERROR(INDEX(Task_Tracker!$AA$5:$AA$1004,MATCH($B1828,Task_Tracker!$A$5:$A$1004,0)),""))</f>
        <v/>
      </c>
      <c r="T1828" s="81">
        <f>IF($B1828="","",IFERROR(INDEX(Task_Tracker!$AB$5:$AB$1004,MATCH($B1828,Task_Tracker!$A$5:$A$1004,0)),""))</f>
        <v/>
      </c>
      <c r="U1828" s="78">
        <f>IF($B1828="","",IFERROR(INDEX(Task_Tracker!$F$5:$F$1004,MATCH($B1828,Task_Tracker!$A$5:$A$1004,0)),""))</f>
        <v/>
      </c>
      <c r="V1828" s="78">
        <f>IF($B1828="","",IFERROR(INDEX(Task_Tracker!$I$5:$I$1004,MATCH($B1828,Task_Tracker!$A$5:$A$1004,0)),""))</f>
        <v/>
      </c>
      <c r="W1828" s="81">
        <f>IF(OR($D1828="",$B1828=""),"",$D1828&amp;" | "&amp;$B1828)</f>
        <v/>
      </c>
      <c r="X1828" s="85">
        <f>IF($K1828="","",TEXT($K1828,"yyyy-mm"))</f>
        <v/>
      </c>
      <c r="Y1828" s="81">
        <f>IF(OR($A1828="",$T1828=""),"","Included in Manager_Report")</f>
        <v/>
      </c>
    </row>
    <row r="1829" ht="15" customHeight="1" s="40">
      <c r="A1829" s="65">
        <f>IF(COUNTA(B1829:G1829)=0,"","STP-"&amp;TEXT(ROW()-4,"0000"))</f>
        <v/>
      </c>
      <c r="B1829" s="78" t="n"/>
      <c r="C1829" s="67">
        <f>IF($B1829="","",IFERROR(INDEX(Task_Tracker!$D$5:$D$1004,MATCH($B1829,Task_Tracker!$A$5:$A$1004,0)),""))</f>
        <v/>
      </c>
      <c r="D1829" s="67">
        <f>IF($B1829="","",IFERROR(INDEX(Task_Tracker!$B$5:$B$1004,MATCH($B1829,Task_Tracker!$A$5:$A$1004,0)),""))</f>
        <v/>
      </c>
      <c r="E1829" s="81" t="n"/>
      <c r="F1829" s="81" t="n"/>
      <c r="G1829" s="78" t="n"/>
      <c r="H1829" s="78" t="n"/>
      <c r="I1829" s="67">
        <f>IF($H1829="","",IFERROR(INDEX(Action_Status_Map!$B$5:$B$11,MATCH($H1829,Action_Status_Map!$A$5:$A$11,0)),""))</f>
        <v/>
      </c>
      <c r="J1829" s="82" t="n"/>
      <c r="K1829" s="82" t="n"/>
      <c r="L1829" s="82" t="n"/>
      <c r="M1829" s="83" t="n"/>
      <c r="N1829" s="83" t="n"/>
      <c r="O1829" s="66">
        <f>IF(OR($M1829="",$N1829=""),"",$N1829-$M1829)</f>
        <v/>
      </c>
      <c r="P1829" s="84">
        <f>IF($J1829="","",IF($L1829&lt;&gt;"",$L1829-$J1829,TODAY()-$J1829))</f>
        <v/>
      </c>
      <c r="Q1829" s="85">
        <f>IF(OR($K1829="",$H1829="Completed",$H1829="Cancelled"),"",IF(AND($K1829&lt;TODAY(),$H1829&lt;&gt;"Completed",$H1829&lt;&gt;"Cancelled"),"Overdue","On Track"))</f>
        <v/>
      </c>
      <c r="R1829" s="81" t="n"/>
      <c r="S1829" s="81">
        <f>IF($B1829="","",IFERROR(INDEX(Task_Tracker!$AA$5:$AA$1004,MATCH($B1829,Task_Tracker!$A$5:$A$1004,0)),""))</f>
        <v/>
      </c>
      <c r="T1829" s="81">
        <f>IF($B1829="","",IFERROR(INDEX(Task_Tracker!$AB$5:$AB$1004,MATCH($B1829,Task_Tracker!$A$5:$A$1004,0)),""))</f>
        <v/>
      </c>
      <c r="U1829" s="78">
        <f>IF($B1829="","",IFERROR(INDEX(Task_Tracker!$F$5:$F$1004,MATCH($B1829,Task_Tracker!$A$5:$A$1004,0)),""))</f>
        <v/>
      </c>
      <c r="V1829" s="78">
        <f>IF($B1829="","",IFERROR(INDEX(Task_Tracker!$I$5:$I$1004,MATCH($B1829,Task_Tracker!$A$5:$A$1004,0)),""))</f>
        <v/>
      </c>
      <c r="W1829" s="81">
        <f>IF(OR($D1829="",$B1829=""),"",$D1829&amp;" | "&amp;$B1829)</f>
        <v/>
      </c>
      <c r="X1829" s="85">
        <f>IF($K1829="","",TEXT($K1829,"yyyy-mm"))</f>
        <v/>
      </c>
      <c r="Y1829" s="81">
        <f>IF(OR($A1829="",$T1829=""),"","Included in Manager_Report")</f>
        <v/>
      </c>
    </row>
    <row r="1830" ht="15" customHeight="1" s="40">
      <c r="A1830" s="65">
        <f>IF(COUNTA(B1830:G1830)=0,"","STP-"&amp;TEXT(ROW()-4,"0000"))</f>
        <v/>
      </c>
      <c r="B1830" s="78" t="n"/>
      <c r="C1830" s="67">
        <f>IF($B1830="","",IFERROR(INDEX(Task_Tracker!$D$5:$D$1004,MATCH($B1830,Task_Tracker!$A$5:$A$1004,0)),""))</f>
        <v/>
      </c>
      <c r="D1830" s="67">
        <f>IF($B1830="","",IFERROR(INDEX(Task_Tracker!$B$5:$B$1004,MATCH($B1830,Task_Tracker!$A$5:$A$1004,0)),""))</f>
        <v/>
      </c>
      <c r="E1830" s="81" t="n"/>
      <c r="F1830" s="81" t="n"/>
      <c r="G1830" s="78" t="n"/>
      <c r="H1830" s="78" t="n"/>
      <c r="I1830" s="67">
        <f>IF($H1830="","",IFERROR(INDEX(Action_Status_Map!$B$5:$B$11,MATCH($H1830,Action_Status_Map!$A$5:$A$11,0)),""))</f>
        <v/>
      </c>
      <c r="J1830" s="82" t="n"/>
      <c r="K1830" s="82" t="n"/>
      <c r="L1830" s="82" t="n"/>
      <c r="M1830" s="83" t="n"/>
      <c r="N1830" s="83" t="n"/>
      <c r="O1830" s="66">
        <f>IF(OR($M1830="",$N1830=""),"",$N1830-$M1830)</f>
        <v/>
      </c>
      <c r="P1830" s="84">
        <f>IF($J1830="","",IF($L1830&lt;&gt;"",$L1830-$J1830,TODAY()-$J1830))</f>
        <v/>
      </c>
      <c r="Q1830" s="85">
        <f>IF(OR($K1830="",$H1830="Completed",$H1830="Cancelled"),"",IF(AND($K1830&lt;TODAY(),$H1830&lt;&gt;"Completed",$H1830&lt;&gt;"Cancelled"),"Overdue","On Track"))</f>
        <v/>
      </c>
      <c r="R1830" s="81" t="n"/>
      <c r="S1830" s="81">
        <f>IF($B1830="","",IFERROR(INDEX(Task_Tracker!$AA$5:$AA$1004,MATCH($B1830,Task_Tracker!$A$5:$A$1004,0)),""))</f>
        <v/>
      </c>
      <c r="T1830" s="81">
        <f>IF($B1830="","",IFERROR(INDEX(Task_Tracker!$AB$5:$AB$1004,MATCH($B1830,Task_Tracker!$A$5:$A$1004,0)),""))</f>
        <v/>
      </c>
      <c r="U1830" s="78">
        <f>IF($B1830="","",IFERROR(INDEX(Task_Tracker!$F$5:$F$1004,MATCH($B1830,Task_Tracker!$A$5:$A$1004,0)),""))</f>
        <v/>
      </c>
      <c r="V1830" s="78">
        <f>IF($B1830="","",IFERROR(INDEX(Task_Tracker!$I$5:$I$1004,MATCH($B1830,Task_Tracker!$A$5:$A$1004,0)),""))</f>
        <v/>
      </c>
      <c r="W1830" s="81">
        <f>IF(OR($D1830="",$B1830=""),"",$D1830&amp;" | "&amp;$B1830)</f>
        <v/>
      </c>
      <c r="X1830" s="85">
        <f>IF($K1830="","",TEXT($K1830,"yyyy-mm"))</f>
        <v/>
      </c>
      <c r="Y1830" s="81">
        <f>IF(OR($A1830="",$T1830=""),"","Included in Manager_Report")</f>
        <v/>
      </c>
    </row>
    <row r="1831" ht="15" customHeight="1" s="40">
      <c r="A1831" s="65">
        <f>IF(COUNTA(B1831:G1831)=0,"","STP-"&amp;TEXT(ROW()-4,"0000"))</f>
        <v/>
      </c>
      <c r="B1831" s="78" t="n"/>
      <c r="C1831" s="67">
        <f>IF($B1831="","",IFERROR(INDEX(Task_Tracker!$D$5:$D$1004,MATCH($B1831,Task_Tracker!$A$5:$A$1004,0)),""))</f>
        <v/>
      </c>
      <c r="D1831" s="67">
        <f>IF($B1831="","",IFERROR(INDEX(Task_Tracker!$B$5:$B$1004,MATCH($B1831,Task_Tracker!$A$5:$A$1004,0)),""))</f>
        <v/>
      </c>
      <c r="E1831" s="81" t="n"/>
      <c r="F1831" s="81" t="n"/>
      <c r="G1831" s="78" t="n"/>
      <c r="H1831" s="78" t="n"/>
      <c r="I1831" s="67">
        <f>IF($H1831="","",IFERROR(INDEX(Action_Status_Map!$B$5:$B$11,MATCH($H1831,Action_Status_Map!$A$5:$A$11,0)),""))</f>
        <v/>
      </c>
      <c r="J1831" s="82" t="n"/>
      <c r="K1831" s="82" t="n"/>
      <c r="L1831" s="82" t="n"/>
      <c r="M1831" s="83" t="n"/>
      <c r="N1831" s="83" t="n"/>
      <c r="O1831" s="66">
        <f>IF(OR($M1831="",$N1831=""),"",$N1831-$M1831)</f>
        <v/>
      </c>
      <c r="P1831" s="84">
        <f>IF($J1831="","",IF($L1831&lt;&gt;"",$L1831-$J1831,TODAY()-$J1831))</f>
        <v/>
      </c>
      <c r="Q1831" s="85">
        <f>IF(OR($K1831="",$H1831="Completed",$H1831="Cancelled"),"",IF(AND($K1831&lt;TODAY(),$H1831&lt;&gt;"Completed",$H1831&lt;&gt;"Cancelled"),"Overdue","On Track"))</f>
        <v/>
      </c>
      <c r="R1831" s="81" t="n"/>
      <c r="S1831" s="81">
        <f>IF($B1831="","",IFERROR(INDEX(Task_Tracker!$AA$5:$AA$1004,MATCH($B1831,Task_Tracker!$A$5:$A$1004,0)),""))</f>
        <v/>
      </c>
      <c r="T1831" s="81">
        <f>IF($B1831="","",IFERROR(INDEX(Task_Tracker!$AB$5:$AB$1004,MATCH($B1831,Task_Tracker!$A$5:$A$1004,0)),""))</f>
        <v/>
      </c>
      <c r="U1831" s="78">
        <f>IF($B1831="","",IFERROR(INDEX(Task_Tracker!$F$5:$F$1004,MATCH($B1831,Task_Tracker!$A$5:$A$1004,0)),""))</f>
        <v/>
      </c>
      <c r="V1831" s="78">
        <f>IF($B1831="","",IFERROR(INDEX(Task_Tracker!$I$5:$I$1004,MATCH($B1831,Task_Tracker!$A$5:$A$1004,0)),""))</f>
        <v/>
      </c>
      <c r="W1831" s="81">
        <f>IF(OR($D1831="",$B1831=""),"",$D1831&amp;" | "&amp;$B1831)</f>
        <v/>
      </c>
      <c r="X1831" s="85">
        <f>IF($K1831="","",TEXT($K1831,"yyyy-mm"))</f>
        <v/>
      </c>
      <c r="Y1831" s="81">
        <f>IF(OR($A1831="",$T1831=""),"","Included in Manager_Report")</f>
        <v/>
      </c>
    </row>
    <row r="1832" ht="15" customHeight="1" s="40">
      <c r="A1832" s="65">
        <f>IF(COUNTA(B1832:G1832)=0,"","STP-"&amp;TEXT(ROW()-4,"0000"))</f>
        <v/>
      </c>
      <c r="B1832" s="78" t="n"/>
      <c r="C1832" s="67">
        <f>IF($B1832="","",IFERROR(INDEX(Task_Tracker!$D$5:$D$1004,MATCH($B1832,Task_Tracker!$A$5:$A$1004,0)),""))</f>
        <v/>
      </c>
      <c r="D1832" s="67">
        <f>IF($B1832="","",IFERROR(INDEX(Task_Tracker!$B$5:$B$1004,MATCH($B1832,Task_Tracker!$A$5:$A$1004,0)),""))</f>
        <v/>
      </c>
      <c r="E1832" s="81" t="n"/>
      <c r="F1832" s="81" t="n"/>
      <c r="G1832" s="78" t="n"/>
      <c r="H1832" s="78" t="n"/>
      <c r="I1832" s="67">
        <f>IF($H1832="","",IFERROR(INDEX(Action_Status_Map!$B$5:$B$11,MATCH($H1832,Action_Status_Map!$A$5:$A$11,0)),""))</f>
        <v/>
      </c>
      <c r="J1832" s="82" t="n"/>
      <c r="K1832" s="82" t="n"/>
      <c r="L1832" s="82" t="n"/>
      <c r="M1832" s="83" t="n"/>
      <c r="N1832" s="83" t="n"/>
      <c r="O1832" s="66">
        <f>IF(OR($M1832="",$N1832=""),"",$N1832-$M1832)</f>
        <v/>
      </c>
      <c r="P1832" s="84">
        <f>IF($J1832="","",IF($L1832&lt;&gt;"",$L1832-$J1832,TODAY()-$J1832))</f>
        <v/>
      </c>
      <c r="Q1832" s="85">
        <f>IF(OR($K1832="",$H1832="Completed",$H1832="Cancelled"),"",IF(AND($K1832&lt;TODAY(),$H1832&lt;&gt;"Completed",$H1832&lt;&gt;"Cancelled"),"Overdue","On Track"))</f>
        <v/>
      </c>
      <c r="R1832" s="81" t="n"/>
      <c r="S1832" s="81">
        <f>IF($B1832="","",IFERROR(INDEX(Task_Tracker!$AA$5:$AA$1004,MATCH($B1832,Task_Tracker!$A$5:$A$1004,0)),""))</f>
        <v/>
      </c>
      <c r="T1832" s="81">
        <f>IF($B1832="","",IFERROR(INDEX(Task_Tracker!$AB$5:$AB$1004,MATCH($B1832,Task_Tracker!$A$5:$A$1004,0)),""))</f>
        <v/>
      </c>
      <c r="U1832" s="78">
        <f>IF($B1832="","",IFERROR(INDEX(Task_Tracker!$F$5:$F$1004,MATCH($B1832,Task_Tracker!$A$5:$A$1004,0)),""))</f>
        <v/>
      </c>
      <c r="V1832" s="78">
        <f>IF($B1832="","",IFERROR(INDEX(Task_Tracker!$I$5:$I$1004,MATCH($B1832,Task_Tracker!$A$5:$A$1004,0)),""))</f>
        <v/>
      </c>
      <c r="W1832" s="81">
        <f>IF(OR($D1832="",$B1832=""),"",$D1832&amp;" | "&amp;$B1832)</f>
        <v/>
      </c>
      <c r="X1832" s="85">
        <f>IF($K1832="","",TEXT($K1832,"yyyy-mm"))</f>
        <v/>
      </c>
      <c r="Y1832" s="81">
        <f>IF(OR($A1832="",$T1832=""),"","Included in Manager_Report")</f>
        <v/>
      </c>
    </row>
    <row r="1833" ht="15" customHeight="1" s="40">
      <c r="A1833" s="65">
        <f>IF(COUNTA(B1833:G1833)=0,"","STP-"&amp;TEXT(ROW()-4,"0000"))</f>
        <v/>
      </c>
      <c r="B1833" s="78" t="n"/>
      <c r="C1833" s="67">
        <f>IF($B1833="","",IFERROR(INDEX(Task_Tracker!$D$5:$D$1004,MATCH($B1833,Task_Tracker!$A$5:$A$1004,0)),""))</f>
        <v/>
      </c>
      <c r="D1833" s="67">
        <f>IF($B1833="","",IFERROR(INDEX(Task_Tracker!$B$5:$B$1004,MATCH($B1833,Task_Tracker!$A$5:$A$1004,0)),""))</f>
        <v/>
      </c>
      <c r="E1833" s="81" t="n"/>
      <c r="F1833" s="81" t="n"/>
      <c r="G1833" s="78" t="n"/>
      <c r="H1833" s="78" t="n"/>
      <c r="I1833" s="67">
        <f>IF($H1833="","",IFERROR(INDEX(Action_Status_Map!$B$5:$B$11,MATCH($H1833,Action_Status_Map!$A$5:$A$11,0)),""))</f>
        <v/>
      </c>
      <c r="J1833" s="82" t="n"/>
      <c r="K1833" s="82" t="n"/>
      <c r="L1833" s="82" t="n"/>
      <c r="M1833" s="83" t="n"/>
      <c r="N1833" s="83" t="n"/>
      <c r="O1833" s="66">
        <f>IF(OR($M1833="",$N1833=""),"",$N1833-$M1833)</f>
        <v/>
      </c>
      <c r="P1833" s="84">
        <f>IF($J1833="","",IF($L1833&lt;&gt;"",$L1833-$J1833,TODAY()-$J1833))</f>
        <v/>
      </c>
      <c r="Q1833" s="85">
        <f>IF(OR($K1833="",$H1833="Completed",$H1833="Cancelled"),"",IF(AND($K1833&lt;TODAY(),$H1833&lt;&gt;"Completed",$H1833&lt;&gt;"Cancelled"),"Overdue","On Track"))</f>
        <v/>
      </c>
      <c r="R1833" s="81" t="n"/>
      <c r="S1833" s="81">
        <f>IF($B1833="","",IFERROR(INDEX(Task_Tracker!$AA$5:$AA$1004,MATCH($B1833,Task_Tracker!$A$5:$A$1004,0)),""))</f>
        <v/>
      </c>
      <c r="T1833" s="81">
        <f>IF($B1833="","",IFERROR(INDEX(Task_Tracker!$AB$5:$AB$1004,MATCH($B1833,Task_Tracker!$A$5:$A$1004,0)),""))</f>
        <v/>
      </c>
      <c r="U1833" s="78">
        <f>IF($B1833="","",IFERROR(INDEX(Task_Tracker!$F$5:$F$1004,MATCH($B1833,Task_Tracker!$A$5:$A$1004,0)),""))</f>
        <v/>
      </c>
      <c r="V1833" s="78">
        <f>IF($B1833="","",IFERROR(INDEX(Task_Tracker!$I$5:$I$1004,MATCH($B1833,Task_Tracker!$A$5:$A$1004,0)),""))</f>
        <v/>
      </c>
      <c r="W1833" s="81">
        <f>IF(OR($D1833="",$B1833=""),"",$D1833&amp;" | "&amp;$B1833)</f>
        <v/>
      </c>
      <c r="X1833" s="85">
        <f>IF($K1833="","",TEXT($K1833,"yyyy-mm"))</f>
        <v/>
      </c>
      <c r="Y1833" s="81">
        <f>IF(OR($A1833="",$T1833=""),"","Included in Manager_Report")</f>
        <v/>
      </c>
    </row>
    <row r="1834" ht="15" customHeight="1" s="40">
      <c r="A1834" s="65">
        <f>IF(COUNTA(B1834:G1834)=0,"","STP-"&amp;TEXT(ROW()-4,"0000"))</f>
        <v/>
      </c>
      <c r="B1834" s="78" t="n"/>
      <c r="C1834" s="67">
        <f>IF($B1834="","",IFERROR(INDEX(Task_Tracker!$D$5:$D$1004,MATCH($B1834,Task_Tracker!$A$5:$A$1004,0)),""))</f>
        <v/>
      </c>
      <c r="D1834" s="67">
        <f>IF($B1834="","",IFERROR(INDEX(Task_Tracker!$B$5:$B$1004,MATCH($B1834,Task_Tracker!$A$5:$A$1004,0)),""))</f>
        <v/>
      </c>
      <c r="E1834" s="81" t="n"/>
      <c r="F1834" s="81" t="n"/>
      <c r="G1834" s="78" t="n"/>
      <c r="H1834" s="78" t="n"/>
      <c r="I1834" s="67">
        <f>IF($H1834="","",IFERROR(INDEX(Action_Status_Map!$B$5:$B$11,MATCH($H1834,Action_Status_Map!$A$5:$A$11,0)),""))</f>
        <v/>
      </c>
      <c r="J1834" s="82" t="n"/>
      <c r="K1834" s="82" t="n"/>
      <c r="L1834" s="82" t="n"/>
      <c r="M1834" s="83" t="n"/>
      <c r="N1834" s="83" t="n"/>
      <c r="O1834" s="66">
        <f>IF(OR($M1834="",$N1834=""),"",$N1834-$M1834)</f>
        <v/>
      </c>
      <c r="P1834" s="84">
        <f>IF($J1834="","",IF($L1834&lt;&gt;"",$L1834-$J1834,TODAY()-$J1834))</f>
        <v/>
      </c>
      <c r="Q1834" s="85">
        <f>IF(OR($K1834="",$H1834="Completed",$H1834="Cancelled"),"",IF(AND($K1834&lt;TODAY(),$H1834&lt;&gt;"Completed",$H1834&lt;&gt;"Cancelled"),"Overdue","On Track"))</f>
        <v/>
      </c>
      <c r="R1834" s="81" t="n"/>
      <c r="S1834" s="81">
        <f>IF($B1834="","",IFERROR(INDEX(Task_Tracker!$AA$5:$AA$1004,MATCH($B1834,Task_Tracker!$A$5:$A$1004,0)),""))</f>
        <v/>
      </c>
      <c r="T1834" s="81">
        <f>IF($B1834="","",IFERROR(INDEX(Task_Tracker!$AB$5:$AB$1004,MATCH($B1834,Task_Tracker!$A$5:$A$1004,0)),""))</f>
        <v/>
      </c>
      <c r="U1834" s="78">
        <f>IF($B1834="","",IFERROR(INDEX(Task_Tracker!$F$5:$F$1004,MATCH($B1834,Task_Tracker!$A$5:$A$1004,0)),""))</f>
        <v/>
      </c>
      <c r="V1834" s="78">
        <f>IF($B1834="","",IFERROR(INDEX(Task_Tracker!$I$5:$I$1004,MATCH($B1834,Task_Tracker!$A$5:$A$1004,0)),""))</f>
        <v/>
      </c>
      <c r="W1834" s="81">
        <f>IF(OR($D1834="",$B1834=""),"",$D1834&amp;" | "&amp;$B1834)</f>
        <v/>
      </c>
      <c r="X1834" s="85">
        <f>IF($K1834="","",TEXT($K1834,"yyyy-mm"))</f>
        <v/>
      </c>
      <c r="Y1834" s="81">
        <f>IF(OR($A1834="",$T1834=""),"","Included in Manager_Report")</f>
        <v/>
      </c>
    </row>
    <row r="1835" ht="15" customHeight="1" s="40">
      <c r="A1835" s="65">
        <f>IF(COUNTA(B1835:G1835)=0,"","STP-"&amp;TEXT(ROW()-4,"0000"))</f>
        <v/>
      </c>
      <c r="B1835" s="78" t="n"/>
      <c r="C1835" s="67">
        <f>IF($B1835="","",IFERROR(INDEX(Task_Tracker!$D$5:$D$1004,MATCH($B1835,Task_Tracker!$A$5:$A$1004,0)),""))</f>
        <v/>
      </c>
      <c r="D1835" s="67">
        <f>IF($B1835="","",IFERROR(INDEX(Task_Tracker!$B$5:$B$1004,MATCH($B1835,Task_Tracker!$A$5:$A$1004,0)),""))</f>
        <v/>
      </c>
      <c r="E1835" s="81" t="n"/>
      <c r="F1835" s="81" t="n"/>
      <c r="G1835" s="78" t="n"/>
      <c r="H1835" s="78" t="n"/>
      <c r="I1835" s="67">
        <f>IF($H1835="","",IFERROR(INDEX(Action_Status_Map!$B$5:$B$11,MATCH($H1835,Action_Status_Map!$A$5:$A$11,0)),""))</f>
        <v/>
      </c>
      <c r="J1835" s="82" t="n"/>
      <c r="K1835" s="82" t="n"/>
      <c r="L1835" s="82" t="n"/>
      <c r="M1835" s="83" t="n"/>
      <c r="N1835" s="83" t="n"/>
      <c r="O1835" s="66">
        <f>IF(OR($M1835="",$N1835=""),"",$N1835-$M1835)</f>
        <v/>
      </c>
      <c r="P1835" s="84">
        <f>IF($J1835="","",IF($L1835&lt;&gt;"",$L1835-$J1835,TODAY()-$J1835))</f>
        <v/>
      </c>
      <c r="Q1835" s="85">
        <f>IF(OR($K1835="",$H1835="Completed",$H1835="Cancelled"),"",IF(AND($K1835&lt;TODAY(),$H1835&lt;&gt;"Completed",$H1835&lt;&gt;"Cancelled"),"Overdue","On Track"))</f>
        <v/>
      </c>
      <c r="R1835" s="81" t="n"/>
      <c r="S1835" s="81">
        <f>IF($B1835="","",IFERROR(INDEX(Task_Tracker!$AA$5:$AA$1004,MATCH($B1835,Task_Tracker!$A$5:$A$1004,0)),""))</f>
        <v/>
      </c>
      <c r="T1835" s="81">
        <f>IF($B1835="","",IFERROR(INDEX(Task_Tracker!$AB$5:$AB$1004,MATCH($B1835,Task_Tracker!$A$5:$A$1004,0)),""))</f>
        <v/>
      </c>
      <c r="U1835" s="78">
        <f>IF($B1835="","",IFERROR(INDEX(Task_Tracker!$F$5:$F$1004,MATCH($B1835,Task_Tracker!$A$5:$A$1004,0)),""))</f>
        <v/>
      </c>
      <c r="V1835" s="78">
        <f>IF($B1835="","",IFERROR(INDEX(Task_Tracker!$I$5:$I$1004,MATCH($B1835,Task_Tracker!$A$5:$A$1004,0)),""))</f>
        <v/>
      </c>
      <c r="W1835" s="81">
        <f>IF(OR($D1835="",$B1835=""),"",$D1835&amp;" | "&amp;$B1835)</f>
        <v/>
      </c>
      <c r="X1835" s="85">
        <f>IF($K1835="","",TEXT($K1835,"yyyy-mm"))</f>
        <v/>
      </c>
      <c r="Y1835" s="81">
        <f>IF(OR($A1835="",$T1835=""),"","Included in Manager_Report")</f>
        <v/>
      </c>
    </row>
    <row r="1836" ht="15" customHeight="1" s="40">
      <c r="A1836" s="65">
        <f>IF(COUNTA(B1836:G1836)=0,"","STP-"&amp;TEXT(ROW()-4,"0000"))</f>
        <v/>
      </c>
      <c r="B1836" s="78" t="n"/>
      <c r="C1836" s="67">
        <f>IF($B1836="","",IFERROR(INDEX(Task_Tracker!$D$5:$D$1004,MATCH($B1836,Task_Tracker!$A$5:$A$1004,0)),""))</f>
        <v/>
      </c>
      <c r="D1836" s="67">
        <f>IF($B1836="","",IFERROR(INDEX(Task_Tracker!$B$5:$B$1004,MATCH($B1836,Task_Tracker!$A$5:$A$1004,0)),""))</f>
        <v/>
      </c>
      <c r="E1836" s="81" t="n"/>
      <c r="F1836" s="81" t="n"/>
      <c r="G1836" s="78" t="n"/>
      <c r="H1836" s="78" t="n"/>
      <c r="I1836" s="67">
        <f>IF($H1836="","",IFERROR(INDEX(Action_Status_Map!$B$5:$B$11,MATCH($H1836,Action_Status_Map!$A$5:$A$11,0)),""))</f>
        <v/>
      </c>
      <c r="J1836" s="82" t="n"/>
      <c r="K1836" s="82" t="n"/>
      <c r="L1836" s="82" t="n"/>
      <c r="M1836" s="83" t="n"/>
      <c r="N1836" s="83" t="n"/>
      <c r="O1836" s="66">
        <f>IF(OR($M1836="",$N1836=""),"",$N1836-$M1836)</f>
        <v/>
      </c>
      <c r="P1836" s="84">
        <f>IF($J1836="","",IF($L1836&lt;&gt;"",$L1836-$J1836,TODAY()-$J1836))</f>
        <v/>
      </c>
      <c r="Q1836" s="85">
        <f>IF(OR($K1836="",$H1836="Completed",$H1836="Cancelled"),"",IF(AND($K1836&lt;TODAY(),$H1836&lt;&gt;"Completed",$H1836&lt;&gt;"Cancelled"),"Overdue","On Track"))</f>
        <v/>
      </c>
      <c r="R1836" s="81" t="n"/>
      <c r="S1836" s="81">
        <f>IF($B1836="","",IFERROR(INDEX(Task_Tracker!$AA$5:$AA$1004,MATCH($B1836,Task_Tracker!$A$5:$A$1004,0)),""))</f>
        <v/>
      </c>
      <c r="T1836" s="81">
        <f>IF($B1836="","",IFERROR(INDEX(Task_Tracker!$AB$5:$AB$1004,MATCH($B1836,Task_Tracker!$A$5:$A$1004,0)),""))</f>
        <v/>
      </c>
      <c r="U1836" s="78">
        <f>IF($B1836="","",IFERROR(INDEX(Task_Tracker!$F$5:$F$1004,MATCH($B1836,Task_Tracker!$A$5:$A$1004,0)),""))</f>
        <v/>
      </c>
      <c r="V1836" s="78">
        <f>IF($B1836="","",IFERROR(INDEX(Task_Tracker!$I$5:$I$1004,MATCH($B1836,Task_Tracker!$A$5:$A$1004,0)),""))</f>
        <v/>
      </c>
      <c r="W1836" s="81">
        <f>IF(OR($D1836="",$B1836=""),"",$D1836&amp;" | "&amp;$B1836)</f>
        <v/>
      </c>
      <c r="X1836" s="85">
        <f>IF($K1836="","",TEXT($K1836,"yyyy-mm"))</f>
        <v/>
      </c>
      <c r="Y1836" s="81">
        <f>IF(OR($A1836="",$T1836=""),"","Included in Manager_Report")</f>
        <v/>
      </c>
    </row>
    <row r="1837" ht="15" customHeight="1" s="40">
      <c r="A1837" s="65">
        <f>IF(COUNTA(B1837:G1837)=0,"","STP-"&amp;TEXT(ROW()-4,"0000"))</f>
        <v/>
      </c>
      <c r="B1837" s="78" t="n"/>
      <c r="C1837" s="67">
        <f>IF($B1837="","",IFERROR(INDEX(Task_Tracker!$D$5:$D$1004,MATCH($B1837,Task_Tracker!$A$5:$A$1004,0)),""))</f>
        <v/>
      </c>
      <c r="D1837" s="67">
        <f>IF($B1837="","",IFERROR(INDEX(Task_Tracker!$B$5:$B$1004,MATCH($B1837,Task_Tracker!$A$5:$A$1004,0)),""))</f>
        <v/>
      </c>
      <c r="E1837" s="81" t="n"/>
      <c r="F1837" s="81" t="n"/>
      <c r="G1837" s="78" t="n"/>
      <c r="H1837" s="78" t="n"/>
      <c r="I1837" s="67">
        <f>IF($H1837="","",IFERROR(INDEX(Action_Status_Map!$B$5:$B$11,MATCH($H1837,Action_Status_Map!$A$5:$A$11,0)),""))</f>
        <v/>
      </c>
      <c r="J1837" s="82" t="n"/>
      <c r="K1837" s="82" t="n"/>
      <c r="L1837" s="82" t="n"/>
      <c r="M1837" s="83" t="n"/>
      <c r="N1837" s="83" t="n"/>
      <c r="O1837" s="66">
        <f>IF(OR($M1837="",$N1837=""),"",$N1837-$M1837)</f>
        <v/>
      </c>
      <c r="P1837" s="84">
        <f>IF($J1837="","",IF($L1837&lt;&gt;"",$L1837-$J1837,TODAY()-$J1837))</f>
        <v/>
      </c>
      <c r="Q1837" s="85">
        <f>IF(OR($K1837="",$H1837="Completed",$H1837="Cancelled"),"",IF(AND($K1837&lt;TODAY(),$H1837&lt;&gt;"Completed",$H1837&lt;&gt;"Cancelled"),"Overdue","On Track"))</f>
        <v/>
      </c>
      <c r="R1837" s="81" t="n"/>
      <c r="S1837" s="81">
        <f>IF($B1837="","",IFERROR(INDEX(Task_Tracker!$AA$5:$AA$1004,MATCH($B1837,Task_Tracker!$A$5:$A$1004,0)),""))</f>
        <v/>
      </c>
      <c r="T1837" s="81">
        <f>IF($B1837="","",IFERROR(INDEX(Task_Tracker!$AB$5:$AB$1004,MATCH($B1837,Task_Tracker!$A$5:$A$1004,0)),""))</f>
        <v/>
      </c>
      <c r="U1837" s="78">
        <f>IF($B1837="","",IFERROR(INDEX(Task_Tracker!$F$5:$F$1004,MATCH($B1837,Task_Tracker!$A$5:$A$1004,0)),""))</f>
        <v/>
      </c>
      <c r="V1837" s="78">
        <f>IF($B1837="","",IFERROR(INDEX(Task_Tracker!$I$5:$I$1004,MATCH($B1837,Task_Tracker!$A$5:$A$1004,0)),""))</f>
        <v/>
      </c>
      <c r="W1837" s="81">
        <f>IF(OR($D1837="",$B1837=""),"",$D1837&amp;" | "&amp;$B1837)</f>
        <v/>
      </c>
      <c r="X1837" s="85">
        <f>IF($K1837="","",TEXT($K1837,"yyyy-mm"))</f>
        <v/>
      </c>
      <c r="Y1837" s="81">
        <f>IF(OR($A1837="",$T1837=""),"","Included in Manager_Report")</f>
        <v/>
      </c>
    </row>
    <row r="1838" ht="15" customHeight="1" s="40">
      <c r="A1838" s="65">
        <f>IF(COUNTA(B1838:G1838)=0,"","STP-"&amp;TEXT(ROW()-4,"0000"))</f>
        <v/>
      </c>
      <c r="B1838" s="78" t="n"/>
      <c r="C1838" s="67">
        <f>IF($B1838="","",IFERROR(INDEX(Task_Tracker!$D$5:$D$1004,MATCH($B1838,Task_Tracker!$A$5:$A$1004,0)),""))</f>
        <v/>
      </c>
      <c r="D1838" s="67">
        <f>IF($B1838="","",IFERROR(INDEX(Task_Tracker!$B$5:$B$1004,MATCH($B1838,Task_Tracker!$A$5:$A$1004,0)),""))</f>
        <v/>
      </c>
      <c r="E1838" s="81" t="n"/>
      <c r="F1838" s="81" t="n"/>
      <c r="G1838" s="78" t="n"/>
      <c r="H1838" s="78" t="n"/>
      <c r="I1838" s="67">
        <f>IF($H1838="","",IFERROR(INDEX(Action_Status_Map!$B$5:$B$11,MATCH($H1838,Action_Status_Map!$A$5:$A$11,0)),""))</f>
        <v/>
      </c>
      <c r="J1838" s="82" t="n"/>
      <c r="K1838" s="82" t="n"/>
      <c r="L1838" s="82" t="n"/>
      <c r="M1838" s="83" t="n"/>
      <c r="N1838" s="83" t="n"/>
      <c r="O1838" s="66">
        <f>IF(OR($M1838="",$N1838=""),"",$N1838-$M1838)</f>
        <v/>
      </c>
      <c r="P1838" s="84">
        <f>IF($J1838="","",IF($L1838&lt;&gt;"",$L1838-$J1838,TODAY()-$J1838))</f>
        <v/>
      </c>
      <c r="Q1838" s="85">
        <f>IF(OR($K1838="",$H1838="Completed",$H1838="Cancelled"),"",IF(AND($K1838&lt;TODAY(),$H1838&lt;&gt;"Completed",$H1838&lt;&gt;"Cancelled"),"Overdue","On Track"))</f>
        <v/>
      </c>
      <c r="R1838" s="81" t="n"/>
      <c r="S1838" s="81">
        <f>IF($B1838="","",IFERROR(INDEX(Task_Tracker!$AA$5:$AA$1004,MATCH($B1838,Task_Tracker!$A$5:$A$1004,0)),""))</f>
        <v/>
      </c>
      <c r="T1838" s="81">
        <f>IF($B1838="","",IFERROR(INDEX(Task_Tracker!$AB$5:$AB$1004,MATCH($B1838,Task_Tracker!$A$5:$A$1004,0)),""))</f>
        <v/>
      </c>
      <c r="U1838" s="78">
        <f>IF($B1838="","",IFERROR(INDEX(Task_Tracker!$F$5:$F$1004,MATCH($B1838,Task_Tracker!$A$5:$A$1004,0)),""))</f>
        <v/>
      </c>
      <c r="V1838" s="78">
        <f>IF($B1838="","",IFERROR(INDEX(Task_Tracker!$I$5:$I$1004,MATCH($B1838,Task_Tracker!$A$5:$A$1004,0)),""))</f>
        <v/>
      </c>
      <c r="W1838" s="81">
        <f>IF(OR($D1838="",$B1838=""),"",$D1838&amp;" | "&amp;$B1838)</f>
        <v/>
      </c>
      <c r="X1838" s="85">
        <f>IF($K1838="","",TEXT($K1838,"yyyy-mm"))</f>
        <v/>
      </c>
      <c r="Y1838" s="81">
        <f>IF(OR($A1838="",$T1838=""),"","Included in Manager_Report")</f>
        <v/>
      </c>
    </row>
    <row r="1839" ht="15" customHeight="1" s="40">
      <c r="A1839" s="65">
        <f>IF(COUNTA(B1839:G1839)=0,"","STP-"&amp;TEXT(ROW()-4,"0000"))</f>
        <v/>
      </c>
      <c r="B1839" s="78" t="n"/>
      <c r="C1839" s="67">
        <f>IF($B1839="","",IFERROR(INDEX(Task_Tracker!$D$5:$D$1004,MATCH($B1839,Task_Tracker!$A$5:$A$1004,0)),""))</f>
        <v/>
      </c>
      <c r="D1839" s="67">
        <f>IF($B1839="","",IFERROR(INDEX(Task_Tracker!$B$5:$B$1004,MATCH($B1839,Task_Tracker!$A$5:$A$1004,0)),""))</f>
        <v/>
      </c>
      <c r="E1839" s="81" t="n"/>
      <c r="F1839" s="81" t="n"/>
      <c r="G1839" s="78" t="n"/>
      <c r="H1839" s="78" t="n"/>
      <c r="I1839" s="67">
        <f>IF($H1839="","",IFERROR(INDEX(Action_Status_Map!$B$5:$B$11,MATCH($H1839,Action_Status_Map!$A$5:$A$11,0)),""))</f>
        <v/>
      </c>
      <c r="J1839" s="82" t="n"/>
      <c r="K1839" s="82" t="n"/>
      <c r="L1839" s="82" t="n"/>
      <c r="M1839" s="83" t="n"/>
      <c r="N1839" s="83" t="n"/>
      <c r="O1839" s="66">
        <f>IF(OR($M1839="",$N1839=""),"",$N1839-$M1839)</f>
        <v/>
      </c>
      <c r="P1839" s="84">
        <f>IF($J1839="","",IF($L1839&lt;&gt;"",$L1839-$J1839,TODAY()-$J1839))</f>
        <v/>
      </c>
      <c r="Q1839" s="85">
        <f>IF(OR($K1839="",$H1839="Completed",$H1839="Cancelled"),"",IF(AND($K1839&lt;TODAY(),$H1839&lt;&gt;"Completed",$H1839&lt;&gt;"Cancelled"),"Overdue","On Track"))</f>
        <v/>
      </c>
      <c r="R1839" s="81" t="n"/>
      <c r="S1839" s="81">
        <f>IF($B1839="","",IFERROR(INDEX(Task_Tracker!$AA$5:$AA$1004,MATCH($B1839,Task_Tracker!$A$5:$A$1004,0)),""))</f>
        <v/>
      </c>
      <c r="T1839" s="81">
        <f>IF($B1839="","",IFERROR(INDEX(Task_Tracker!$AB$5:$AB$1004,MATCH($B1839,Task_Tracker!$A$5:$A$1004,0)),""))</f>
        <v/>
      </c>
      <c r="U1839" s="78">
        <f>IF($B1839="","",IFERROR(INDEX(Task_Tracker!$F$5:$F$1004,MATCH($B1839,Task_Tracker!$A$5:$A$1004,0)),""))</f>
        <v/>
      </c>
      <c r="V1839" s="78">
        <f>IF($B1839="","",IFERROR(INDEX(Task_Tracker!$I$5:$I$1004,MATCH($B1839,Task_Tracker!$A$5:$A$1004,0)),""))</f>
        <v/>
      </c>
      <c r="W1839" s="81">
        <f>IF(OR($D1839="",$B1839=""),"",$D1839&amp;" | "&amp;$B1839)</f>
        <v/>
      </c>
      <c r="X1839" s="85">
        <f>IF($K1839="","",TEXT($K1839,"yyyy-mm"))</f>
        <v/>
      </c>
      <c r="Y1839" s="81">
        <f>IF(OR($A1839="",$T1839=""),"","Included in Manager_Report")</f>
        <v/>
      </c>
    </row>
    <row r="1840" ht="15" customHeight="1" s="40">
      <c r="A1840" s="65">
        <f>IF(COUNTA(B1840:G1840)=0,"","STP-"&amp;TEXT(ROW()-4,"0000"))</f>
        <v/>
      </c>
      <c r="B1840" s="78" t="n"/>
      <c r="C1840" s="67">
        <f>IF($B1840="","",IFERROR(INDEX(Task_Tracker!$D$5:$D$1004,MATCH($B1840,Task_Tracker!$A$5:$A$1004,0)),""))</f>
        <v/>
      </c>
      <c r="D1840" s="67">
        <f>IF($B1840="","",IFERROR(INDEX(Task_Tracker!$B$5:$B$1004,MATCH($B1840,Task_Tracker!$A$5:$A$1004,0)),""))</f>
        <v/>
      </c>
      <c r="E1840" s="81" t="n"/>
      <c r="F1840" s="81" t="n"/>
      <c r="G1840" s="78" t="n"/>
      <c r="H1840" s="78" t="n"/>
      <c r="I1840" s="67">
        <f>IF($H1840="","",IFERROR(INDEX(Action_Status_Map!$B$5:$B$11,MATCH($H1840,Action_Status_Map!$A$5:$A$11,0)),""))</f>
        <v/>
      </c>
      <c r="J1840" s="82" t="n"/>
      <c r="K1840" s="82" t="n"/>
      <c r="L1840" s="82" t="n"/>
      <c r="M1840" s="83" t="n"/>
      <c r="N1840" s="83" t="n"/>
      <c r="O1840" s="66">
        <f>IF(OR($M1840="",$N1840=""),"",$N1840-$M1840)</f>
        <v/>
      </c>
      <c r="P1840" s="84">
        <f>IF($J1840="","",IF($L1840&lt;&gt;"",$L1840-$J1840,TODAY()-$J1840))</f>
        <v/>
      </c>
      <c r="Q1840" s="85">
        <f>IF(OR($K1840="",$H1840="Completed",$H1840="Cancelled"),"",IF(AND($K1840&lt;TODAY(),$H1840&lt;&gt;"Completed",$H1840&lt;&gt;"Cancelled"),"Overdue","On Track"))</f>
        <v/>
      </c>
      <c r="R1840" s="81" t="n"/>
      <c r="S1840" s="81">
        <f>IF($B1840="","",IFERROR(INDEX(Task_Tracker!$AA$5:$AA$1004,MATCH($B1840,Task_Tracker!$A$5:$A$1004,0)),""))</f>
        <v/>
      </c>
      <c r="T1840" s="81">
        <f>IF($B1840="","",IFERROR(INDEX(Task_Tracker!$AB$5:$AB$1004,MATCH($B1840,Task_Tracker!$A$5:$A$1004,0)),""))</f>
        <v/>
      </c>
      <c r="U1840" s="78">
        <f>IF($B1840="","",IFERROR(INDEX(Task_Tracker!$F$5:$F$1004,MATCH($B1840,Task_Tracker!$A$5:$A$1004,0)),""))</f>
        <v/>
      </c>
      <c r="V1840" s="78">
        <f>IF($B1840="","",IFERROR(INDEX(Task_Tracker!$I$5:$I$1004,MATCH($B1840,Task_Tracker!$A$5:$A$1004,0)),""))</f>
        <v/>
      </c>
      <c r="W1840" s="81">
        <f>IF(OR($D1840="",$B1840=""),"",$D1840&amp;" | "&amp;$B1840)</f>
        <v/>
      </c>
      <c r="X1840" s="85">
        <f>IF($K1840="","",TEXT($K1840,"yyyy-mm"))</f>
        <v/>
      </c>
      <c r="Y1840" s="81">
        <f>IF(OR($A1840="",$T1840=""),"","Included in Manager_Report")</f>
        <v/>
      </c>
    </row>
    <row r="1841" ht="15" customHeight="1" s="40">
      <c r="A1841" s="65">
        <f>IF(COUNTA(B1841:G1841)=0,"","STP-"&amp;TEXT(ROW()-4,"0000"))</f>
        <v/>
      </c>
      <c r="B1841" s="78" t="n"/>
      <c r="C1841" s="67">
        <f>IF($B1841="","",IFERROR(INDEX(Task_Tracker!$D$5:$D$1004,MATCH($B1841,Task_Tracker!$A$5:$A$1004,0)),""))</f>
        <v/>
      </c>
      <c r="D1841" s="67">
        <f>IF($B1841="","",IFERROR(INDEX(Task_Tracker!$B$5:$B$1004,MATCH($B1841,Task_Tracker!$A$5:$A$1004,0)),""))</f>
        <v/>
      </c>
      <c r="E1841" s="81" t="n"/>
      <c r="F1841" s="81" t="n"/>
      <c r="G1841" s="78" t="n"/>
      <c r="H1841" s="78" t="n"/>
      <c r="I1841" s="67">
        <f>IF($H1841="","",IFERROR(INDEX(Action_Status_Map!$B$5:$B$11,MATCH($H1841,Action_Status_Map!$A$5:$A$11,0)),""))</f>
        <v/>
      </c>
      <c r="J1841" s="82" t="n"/>
      <c r="K1841" s="82" t="n"/>
      <c r="L1841" s="82" t="n"/>
      <c r="M1841" s="83" t="n"/>
      <c r="N1841" s="83" t="n"/>
      <c r="O1841" s="66">
        <f>IF(OR($M1841="",$N1841=""),"",$N1841-$M1841)</f>
        <v/>
      </c>
      <c r="P1841" s="84">
        <f>IF($J1841="","",IF($L1841&lt;&gt;"",$L1841-$J1841,TODAY()-$J1841))</f>
        <v/>
      </c>
      <c r="Q1841" s="85">
        <f>IF(OR($K1841="",$H1841="Completed",$H1841="Cancelled"),"",IF(AND($K1841&lt;TODAY(),$H1841&lt;&gt;"Completed",$H1841&lt;&gt;"Cancelled"),"Overdue","On Track"))</f>
        <v/>
      </c>
      <c r="R1841" s="81" t="n"/>
      <c r="S1841" s="81">
        <f>IF($B1841="","",IFERROR(INDEX(Task_Tracker!$AA$5:$AA$1004,MATCH($B1841,Task_Tracker!$A$5:$A$1004,0)),""))</f>
        <v/>
      </c>
      <c r="T1841" s="81">
        <f>IF($B1841="","",IFERROR(INDEX(Task_Tracker!$AB$5:$AB$1004,MATCH($B1841,Task_Tracker!$A$5:$A$1004,0)),""))</f>
        <v/>
      </c>
      <c r="U1841" s="78">
        <f>IF($B1841="","",IFERROR(INDEX(Task_Tracker!$F$5:$F$1004,MATCH($B1841,Task_Tracker!$A$5:$A$1004,0)),""))</f>
        <v/>
      </c>
      <c r="V1841" s="78">
        <f>IF($B1841="","",IFERROR(INDEX(Task_Tracker!$I$5:$I$1004,MATCH($B1841,Task_Tracker!$A$5:$A$1004,0)),""))</f>
        <v/>
      </c>
      <c r="W1841" s="81">
        <f>IF(OR($D1841="",$B1841=""),"",$D1841&amp;" | "&amp;$B1841)</f>
        <v/>
      </c>
      <c r="X1841" s="85">
        <f>IF($K1841="","",TEXT($K1841,"yyyy-mm"))</f>
        <v/>
      </c>
      <c r="Y1841" s="81">
        <f>IF(OR($A1841="",$T1841=""),"","Included in Manager_Report")</f>
        <v/>
      </c>
    </row>
    <row r="1842" ht="15" customHeight="1" s="40">
      <c r="A1842" s="65">
        <f>IF(COUNTA(B1842:G1842)=0,"","STP-"&amp;TEXT(ROW()-4,"0000"))</f>
        <v/>
      </c>
      <c r="B1842" s="78" t="n"/>
      <c r="C1842" s="67">
        <f>IF($B1842="","",IFERROR(INDEX(Task_Tracker!$D$5:$D$1004,MATCH($B1842,Task_Tracker!$A$5:$A$1004,0)),""))</f>
        <v/>
      </c>
      <c r="D1842" s="67">
        <f>IF($B1842="","",IFERROR(INDEX(Task_Tracker!$B$5:$B$1004,MATCH($B1842,Task_Tracker!$A$5:$A$1004,0)),""))</f>
        <v/>
      </c>
      <c r="E1842" s="81" t="n"/>
      <c r="F1842" s="81" t="n"/>
      <c r="G1842" s="78" t="n"/>
      <c r="H1842" s="78" t="n"/>
      <c r="I1842" s="67">
        <f>IF($H1842="","",IFERROR(INDEX(Action_Status_Map!$B$5:$B$11,MATCH($H1842,Action_Status_Map!$A$5:$A$11,0)),""))</f>
        <v/>
      </c>
      <c r="J1842" s="82" t="n"/>
      <c r="K1842" s="82" t="n"/>
      <c r="L1842" s="82" t="n"/>
      <c r="M1842" s="83" t="n"/>
      <c r="N1842" s="83" t="n"/>
      <c r="O1842" s="66">
        <f>IF(OR($M1842="",$N1842=""),"",$N1842-$M1842)</f>
        <v/>
      </c>
      <c r="P1842" s="84">
        <f>IF($J1842="","",IF($L1842&lt;&gt;"",$L1842-$J1842,TODAY()-$J1842))</f>
        <v/>
      </c>
      <c r="Q1842" s="85">
        <f>IF(OR($K1842="",$H1842="Completed",$H1842="Cancelled"),"",IF(AND($K1842&lt;TODAY(),$H1842&lt;&gt;"Completed",$H1842&lt;&gt;"Cancelled"),"Overdue","On Track"))</f>
        <v/>
      </c>
      <c r="R1842" s="81" t="n"/>
      <c r="S1842" s="81">
        <f>IF($B1842="","",IFERROR(INDEX(Task_Tracker!$AA$5:$AA$1004,MATCH($B1842,Task_Tracker!$A$5:$A$1004,0)),""))</f>
        <v/>
      </c>
      <c r="T1842" s="81">
        <f>IF($B1842="","",IFERROR(INDEX(Task_Tracker!$AB$5:$AB$1004,MATCH($B1842,Task_Tracker!$A$5:$A$1004,0)),""))</f>
        <v/>
      </c>
      <c r="U1842" s="78">
        <f>IF($B1842="","",IFERROR(INDEX(Task_Tracker!$F$5:$F$1004,MATCH($B1842,Task_Tracker!$A$5:$A$1004,0)),""))</f>
        <v/>
      </c>
      <c r="V1842" s="78">
        <f>IF($B1842="","",IFERROR(INDEX(Task_Tracker!$I$5:$I$1004,MATCH($B1842,Task_Tracker!$A$5:$A$1004,0)),""))</f>
        <v/>
      </c>
      <c r="W1842" s="81">
        <f>IF(OR($D1842="",$B1842=""),"",$D1842&amp;" | "&amp;$B1842)</f>
        <v/>
      </c>
      <c r="X1842" s="85">
        <f>IF($K1842="","",TEXT($K1842,"yyyy-mm"))</f>
        <v/>
      </c>
      <c r="Y1842" s="81">
        <f>IF(OR($A1842="",$T1842=""),"","Included in Manager_Report")</f>
        <v/>
      </c>
    </row>
    <row r="1843" ht="15" customHeight="1" s="40">
      <c r="A1843" s="65">
        <f>IF(COUNTA(B1843:G1843)=0,"","STP-"&amp;TEXT(ROW()-4,"0000"))</f>
        <v/>
      </c>
      <c r="B1843" s="78" t="n"/>
      <c r="C1843" s="67">
        <f>IF($B1843="","",IFERROR(INDEX(Task_Tracker!$D$5:$D$1004,MATCH($B1843,Task_Tracker!$A$5:$A$1004,0)),""))</f>
        <v/>
      </c>
      <c r="D1843" s="67">
        <f>IF($B1843="","",IFERROR(INDEX(Task_Tracker!$B$5:$B$1004,MATCH($B1843,Task_Tracker!$A$5:$A$1004,0)),""))</f>
        <v/>
      </c>
      <c r="E1843" s="81" t="n"/>
      <c r="F1843" s="81" t="n"/>
      <c r="G1843" s="78" t="n"/>
      <c r="H1843" s="78" t="n"/>
      <c r="I1843" s="67">
        <f>IF($H1843="","",IFERROR(INDEX(Action_Status_Map!$B$5:$B$11,MATCH($H1843,Action_Status_Map!$A$5:$A$11,0)),""))</f>
        <v/>
      </c>
      <c r="J1843" s="82" t="n"/>
      <c r="K1843" s="82" t="n"/>
      <c r="L1843" s="82" t="n"/>
      <c r="M1843" s="83" t="n"/>
      <c r="N1843" s="83" t="n"/>
      <c r="O1843" s="66">
        <f>IF(OR($M1843="",$N1843=""),"",$N1843-$M1843)</f>
        <v/>
      </c>
      <c r="P1843" s="84">
        <f>IF($J1843="","",IF($L1843&lt;&gt;"",$L1843-$J1843,TODAY()-$J1843))</f>
        <v/>
      </c>
      <c r="Q1843" s="85">
        <f>IF(OR($K1843="",$H1843="Completed",$H1843="Cancelled"),"",IF(AND($K1843&lt;TODAY(),$H1843&lt;&gt;"Completed",$H1843&lt;&gt;"Cancelled"),"Overdue","On Track"))</f>
        <v/>
      </c>
      <c r="R1843" s="81" t="n"/>
      <c r="S1843" s="81">
        <f>IF($B1843="","",IFERROR(INDEX(Task_Tracker!$AA$5:$AA$1004,MATCH($B1843,Task_Tracker!$A$5:$A$1004,0)),""))</f>
        <v/>
      </c>
      <c r="T1843" s="81">
        <f>IF($B1843="","",IFERROR(INDEX(Task_Tracker!$AB$5:$AB$1004,MATCH($B1843,Task_Tracker!$A$5:$A$1004,0)),""))</f>
        <v/>
      </c>
      <c r="U1843" s="78">
        <f>IF($B1843="","",IFERROR(INDEX(Task_Tracker!$F$5:$F$1004,MATCH($B1843,Task_Tracker!$A$5:$A$1004,0)),""))</f>
        <v/>
      </c>
      <c r="V1843" s="78">
        <f>IF($B1843="","",IFERROR(INDEX(Task_Tracker!$I$5:$I$1004,MATCH($B1843,Task_Tracker!$A$5:$A$1004,0)),""))</f>
        <v/>
      </c>
      <c r="W1843" s="81">
        <f>IF(OR($D1843="",$B1843=""),"",$D1843&amp;" | "&amp;$B1843)</f>
        <v/>
      </c>
      <c r="X1843" s="85">
        <f>IF($K1843="","",TEXT($K1843,"yyyy-mm"))</f>
        <v/>
      </c>
      <c r="Y1843" s="81">
        <f>IF(OR($A1843="",$T1843=""),"","Included in Manager_Report")</f>
        <v/>
      </c>
    </row>
    <row r="1844" ht="15" customHeight="1" s="40">
      <c r="A1844" s="65">
        <f>IF(COUNTA(B1844:G1844)=0,"","STP-"&amp;TEXT(ROW()-4,"0000"))</f>
        <v/>
      </c>
      <c r="B1844" s="78" t="n"/>
      <c r="C1844" s="67">
        <f>IF($B1844="","",IFERROR(INDEX(Task_Tracker!$D$5:$D$1004,MATCH($B1844,Task_Tracker!$A$5:$A$1004,0)),""))</f>
        <v/>
      </c>
      <c r="D1844" s="67">
        <f>IF($B1844="","",IFERROR(INDEX(Task_Tracker!$B$5:$B$1004,MATCH($B1844,Task_Tracker!$A$5:$A$1004,0)),""))</f>
        <v/>
      </c>
      <c r="E1844" s="81" t="n"/>
      <c r="F1844" s="81" t="n"/>
      <c r="G1844" s="78" t="n"/>
      <c r="H1844" s="78" t="n"/>
      <c r="I1844" s="67">
        <f>IF($H1844="","",IFERROR(INDEX(Action_Status_Map!$B$5:$B$11,MATCH($H1844,Action_Status_Map!$A$5:$A$11,0)),""))</f>
        <v/>
      </c>
      <c r="J1844" s="82" t="n"/>
      <c r="K1844" s="82" t="n"/>
      <c r="L1844" s="82" t="n"/>
      <c r="M1844" s="83" t="n"/>
      <c r="N1844" s="83" t="n"/>
      <c r="O1844" s="66">
        <f>IF(OR($M1844="",$N1844=""),"",$N1844-$M1844)</f>
        <v/>
      </c>
      <c r="P1844" s="84">
        <f>IF($J1844="","",IF($L1844&lt;&gt;"",$L1844-$J1844,TODAY()-$J1844))</f>
        <v/>
      </c>
      <c r="Q1844" s="85">
        <f>IF(OR($K1844="",$H1844="Completed",$H1844="Cancelled"),"",IF(AND($K1844&lt;TODAY(),$H1844&lt;&gt;"Completed",$H1844&lt;&gt;"Cancelled"),"Overdue","On Track"))</f>
        <v/>
      </c>
      <c r="R1844" s="81" t="n"/>
      <c r="S1844" s="81">
        <f>IF($B1844="","",IFERROR(INDEX(Task_Tracker!$AA$5:$AA$1004,MATCH($B1844,Task_Tracker!$A$5:$A$1004,0)),""))</f>
        <v/>
      </c>
      <c r="T1844" s="81">
        <f>IF($B1844="","",IFERROR(INDEX(Task_Tracker!$AB$5:$AB$1004,MATCH($B1844,Task_Tracker!$A$5:$A$1004,0)),""))</f>
        <v/>
      </c>
      <c r="U1844" s="78">
        <f>IF($B1844="","",IFERROR(INDEX(Task_Tracker!$F$5:$F$1004,MATCH($B1844,Task_Tracker!$A$5:$A$1004,0)),""))</f>
        <v/>
      </c>
      <c r="V1844" s="78">
        <f>IF($B1844="","",IFERROR(INDEX(Task_Tracker!$I$5:$I$1004,MATCH($B1844,Task_Tracker!$A$5:$A$1004,0)),""))</f>
        <v/>
      </c>
      <c r="W1844" s="81">
        <f>IF(OR($D1844="",$B1844=""),"",$D1844&amp;" | "&amp;$B1844)</f>
        <v/>
      </c>
      <c r="X1844" s="85">
        <f>IF($K1844="","",TEXT($K1844,"yyyy-mm"))</f>
        <v/>
      </c>
      <c r="Y1844" s="81">
        <f>IF(OR($A1844="",$T1844=""),"","Included in Manager_Report")</f>
        <v/>
      </c>
    </row>
    <row r="1845" ht="15" customHeight="1" s="40">
      <c r="A1845" s="65">
        <f>IF(COUNTA(B1845:G1845)=0,"","STP-"&amp;TEXT(ROW()-4,"0000"))</f>
        <v/>
      </c>
      <c r="B1845" s="78" t="n"/>
      <c r="C1845" s="67">
        <f>IF($B1845="","",IFERROR(INDEX(Task_Tracker!$D$5:$D$1004,MATCH($B1845,Task_Tracker!$A$5:$A$1004,0)),""))</f>
        <v/>
      </c>
      <c r="D1845" s="67">
        <f>IF($B1845="","",IFERROR(INDEX(Task_Tracker!$B$5:$B$1004,MATCH($B1845,Task_Tracker!$A$5:$A$1004,0)),""))</f>
        <v/>
      </c>
      <c r="E1845" s="81" t="n"/>
      <c r="F1845" s="81" t="n"/>
      <c r="G1845" s="78" t="n"/>
      <c r="H1845" s="78" t="n"/>
      <c r="I1845" s="67">
        <f>IF($H1845="","",IFERROR(INDEX(Action_Status_Map!$B$5:$B$11,MATCH($H1845,Action_Status_Map!$A$5:$A$11,0)),""))</f>
        <v/>
      </c>
      <c r="J1845" s="82" t="n"/>
      <c r="K1845" s="82" t="n"/>
      <c r="L1845" s="82" t="n"/>
      <c r="M1845" s="83" t="n"/>
      <c r="N1845" s="83" t="n"/>
      <c r="O1845" s="66">
        <f>IF(OR($M1845="",$N1845=""),"",$N1845-$M1845)</f>
        <v/>
      </c>
      <c r="P1845" s="84">
        <f>IF($J1845="","",IF($L1845&lt;&gt;"",$L1845-$J1845,TODAY()-$J1845))</f>
        <v/>
      </c>
      <c r="Q1845" s="85">
        <f>IF(OR($K1845="",$H1845="Completed",$H1845="Cancelled"),"",IF(AND($K1845&lt;TODAY(),$H1845&lt;&gt;"Completed",$H1845&lt;&gt;"Cancelled"),"Overdue","On Track"))</f>
        <v/>
      </c>
      <c r="R1845" s="81" t="n"/>
      <c r="S1845" s="81">
        <f>IF($B1845="","",IFERROR(INDEX(Task_Tracker!$AA$5:$AA$1004,MATCH($B1845,Task_Tracker!$A$5:$A$1004,0)),""))</f>
        <v/>
      </c>
      <c r="T1845" s="81">
        <f>IF($B1845="","",IFERROR(INDEX(Task_Tracker!$AB$5:$AB$1004,MATCH($B1845,Task_Tracker!$A$5:$A$1004,0)),""))</f>
        <v/>
      </c>
      <c r="U1845" s="78">
        <f>IF($B1845="","",IFERROR(INDEX(Task_Tracker!$F$5:$F$1004,MATCH($B1845,Task_Tracker!$A$5:$A$1004,0)),""))</f>
        <v/>
      </c>
      <c r="V1845" s="78">
        <f>IF($B1845="","",IFERROR(INDEX(Task_Tracker!$I$5:$I$1004,MATCH($B1845,Task_Tracker!$A$5:$A$1004,0)),""))</f>
        <v/>
      </c>
      <c r="W1845" s="81">
        <f>IF(OR($D1845="",$B1845=""),"",$D1845&amp;" | "&amp;$B1845)</f>
        <v/>
      </c>
      <c r="X1845" s="85">
        <f>IF($K1845="","",TEXT($K1845,"yyyy-mm"))</f>
        <v/>
      </c>
      <c r="Y1845" s="81">
        <f>IF(OR($A1845="",$T1845=""),"","Included in Manager_Report")</f>
        <v/>
      </c>
    </row>
    <row r="1846" ht="15" customHeight="1" s="40">
      <c r="A1846" s="65">
        <f>IF(COUNTA(B1846:G1846)=0,"","STP-"&amp;TEXT(ROW()-4,"0000"))</f>
        <v/>
      </c>
      <c r="B1846" s="78" t="n"/>
      <c r="C1846" s="67">
        <f>IF($B1846="","",IFERROR(INDEX(Task_Tracker!$D$5:$D$1004,MATCH($B1846,Task_Tracker!$A$5:$A$1004,0)),""))</f>
        <v/>
      </c>
      <c r="D1846" s="67">
        <f>IF($B1846="","",IFERROR(INDEX(Task_Tracker!$B$5:$B$1004,MATCH($B1846,Task_Tracker!$A$5:$A$1004,0)),""))</f>
        <v/>
      </c>
      <c r="E1846" s="81" t="n"/>
      <c r="F1846" s="81" t="n"/>
      <c r="G1846" s="78" t="n"/>
      <c r="H1846" s="78" t="n"/>
      <c r="I1846" s="67">
        <f>IF($H1846="","",IFERROR(INDEX(Action_Status_Map!$B$5:$B$11,MATCH($H1846,Action_Status_Map!$A$5:$A$11,0)),""))</f>
        <v/>
      </c>
      <c r="J1846" s="82" t="n"/>
      <c r="K1846" s="82" t="n"/>
      <c r="L1846" s="82" t="n"/>
      <c r="M1846" s="83" t="n"/>
      <c r="N1846" s="83" t="n"/>
      <c r="O1846" s="66">
        <f>IF(OR($M1846="",$N1846=""),"",$N1846-$M1846)</f>
        <v/>
      </c>
      <c r="P1846" s="84">
        <f>IF($J1846="","",IF($L1846&lt;&gt;"",$L1846-$J1846,TODAY()-$J1846))</f>
        <v/>
      </c>
      <c r="Q1846" s="85">
        <f>IF(OR($K1846="",$H1846="Completed",$H1846="Cancelled"),"",IF(AND($K1846&lt;TODAY(),$H1846&lt;&gt;"Completed",$H1846&lt;&gt;"Cancelled"),"Overdue","On Track"))</f>
        <v/>
      </c>
      <c r="R1846" s="81" t="n"/>
      <c r="S1846" s="81">
        <f>IF($B1846="","",IFERROR(INDEX(Task_Tracker!$AA$5:$AA$1004,MATCH($B1846,Task_Tracker!$A$5:$A$1004,0)),""))</f>
        <v/>
      </c>
      <c r="T1846" s="81">
        <f>IF($B1846="","",IFERROR(INDEX(Task_Tracker!$AB$5:$AB$1004,MATCH($B1846,Task_Tracker!$A$5:$A$1004,0)),""))</f>
        <v/>
      </c>
      <c r="U1846" s="78">
        <f>IF($B1846="","",IFERROR(INDEX(Task_Tracker!$F$5:$F$1004,MATCH($B1846,Task_Tracker!$A$5:$A$1004,0)),""))</f>
        <v/>
      </c>
      <c r="V1846" s="78">
        <f>IF($B1846="","",IFERROR(INDEX(Task_Tracker!$I$5:$I$1004,MATCH($B1846,Task_Tracker!$A$5:$A$1004,0)),""))</f>
        <v/>
      </c>
      <c r="W1846" s="81">
        <f>IF(OR($D1846="",$B1846=""),"",$D1846&amp;" | "&amp;$B1846)</f>
        <v/>
      </c>
      <c r="X1846" s="85">
        <f>IF($K1846="","",TEXT($K1846,"yyyy-mm"))</f>
        <v/>
      </c>
      <c r="Y1846" s="81">
        <f>IF(OR($A1846="",$T1846=""),"","Included in Manager_Report")</f>
        <v/>
      </c>
    </row>
    <row r="1847" ht="15" customHeight="1" s="40">
      <c r="A1847" s="65">
        <f>IF(COUNTA(B1847:G1847)=0,"","STP-"&amp;TEXT(ROW()-4,"0000"))</f>
        <v/>
      </c>
      <c r="B1847" s="78" t="n"/>
      <c r="C1847" s="67">
        <f>IF($B1847="","",IFERROR(INDEX(Task_Tracker!$D$5:$D$1004,MATCH($B1847,Task_Tracker!$A$5:$A$1004,0)),""))</f>
        <v/>
      </c>
      <c r="D1847" s="67">
        <f>IF($B1847="","",IFERROR(INDEX(Task_Tracker!$B$5:$B$1004,MATCH($B1847,Task_Tracker!$A$5:$A$1004,0)),""))</f>
        <v/>
      </c>
      <c r="E1847" s="81" t="n"/>
      <c r="F1847" s="81" t="n"/>
      <c r="G1847" s="78" t="n"/>
      <c r="H1847" s="78" t="n"/>
      <c r="I1847" s="67">
        <f>IF($H1847="","",IFERROR(INDEX(Action_Status_Map!$B$5:$B$11,MATCH($H1847,Action_Status_Map!$A$5:$A$11,0)),""))</f>
        <v/>
      </c>
      <c r="J1847" s="82" t="n"/>
      <c r="K1847" s="82" t="n"/>
      <c r="L1847" s="82" t="n"/>
      <c r="M1847" s="83" t="n"/>
      <c r="N1847" s="83" t="n"/>
      <c r="O1847" s="66">
        <f>IF(OR($M1847="",$N1847=""),"",$N1847-$M1847)</f>
        <v/>
      </c>
      <c r="P1847" s="84">
        <f>IF($J1847="","",IF($L1847&lt;&gt;"",$L1847-$J1847,TODAY()-$J1847))</f>
        <v/>
      </c>
      <c r="Q1847" s="85">
        <f>IF(OR($K1847="",$H1847="Completed",$H1847="Cancelled"),"",IF(AND($K1847&lt;TODAY(),$H1847&lt;&gt;"Completed",$H1847&lt;&gt;"Cancelled"),"Overdue","On Track"))</f>
        <v/>
      </c>
      <c r="R1847" s="81" t="n"/>
      <c r="S1847" s="81">
        <f>IF($B1847="","",IFERROR(INDEX(Task_Tracker!$AA$5:$AA$1004,MATCH($B1847,Task_Tracker!$A$5:$A$1004,0)),""))</f>
        <v/>
      </c>
      <c r="T1847" s="81">
        <f>IF($B1847="","",IFERROR(INDEX(Task_Tracker!$AB$5:$AB$1004,MATCH($B1847,Task_Tracker!$A$5:$A$1004,0)),""))</f>
        <v/>
      </c>
      <c r="U1847" s="78">
        <f>IF($B1847="","",IFERROR(INDEX(Task_Tracker!$F$5:$F$1004,MATCH($B1847,Task_Tracker!$A$5:$A$1004,0)),""))</f>
        <v/>
      </c>
      <c r="V1847" s="78">
        <f>IF($B1847="","",IFERROR(INDEX(Task_Tracker!$I$5:$I$1004,MATCH($B1847,Task_Tracker!$A$5:$A$1004,0)),""))</f>
        <v/>
      </c>
      <c r="W1847" s="81">
        <f>IF(OR($D1847="",$B1847=""),"",$D1847&amp;" | "&amp;$B1847)</f>
        <v/>
      </c>
      <c r="X1847" s="85">
        <f>IF($K1847="","",TEXT($K1847,"yyyy-mm"))</f>
        <v/>
      </c>
      <c r="Y1847" s="81">
        <f>IF(OR($A1847="",$T1847=""),"","Included in Manager_Report")</f>
        <v/>
      </c>
    </row>
    <row r="1848" ht="15" customHeight="1" s="40">
      <c r="A1848" s="65">
        <f>IF(COUNTA(B1848:G1848)=0,"","STP-"&amp;TEXT(ROW()-4,"0000"))</f>
        <v/>
      </c>
      <c r="B1848" s="78" t="n"/>
      <c r="C1848" s="67">
        <f>IF($B1848="","",IFERROR(INDEX(Task_Tracker!$D$5:$D$1004,MATCH($B1848,Task_Tracker!$A$5:$A$1004,0)),""))</f>
        <v/>
      </c>
      <c r="D1848" s="67">
        <f>IF($B1848="","",IFERROR(INDEX(Task_Tracker!$B$5:$B$1004,MATCH($B1848,Task_Tracker!$A$5:$A$1004,0)),""))</f>
        <v/>
      </c>
      <c r="E1848" s="81" t="n"/>
      <c r="F1848" s="81" t="n"/>
      <c r="G1848" s="78" t="n"/>
      <c r="H1848" s="78" t="n"/>
      <c r="I1848" s="67">
        <f>IF($H1848="","",IFERROR(INDEX(Action_Status_Map!$B$5:$B$11,MATCH($H1848,Action_Status_Map!$A$5:$A$11,0)),""))</f>
        <v/>
      </c>
      <c r="J1848" s="82" t="n"/>
      <c r="K1848" s="82" t="n"/>
      <c r="L1848" s="82" t="n"/>
      <c r="M1848" s="83" t="n"/>
      <c r="N1848" s="83" t="n"/>
      <c r="O1848" s="66">
        <f>IF(OR($M1848="",$N1848=""),"",$N1848-$M1848)</f>
        <v/>
      </c>
      <c r="P1848" s="84">
        <f>IF($J1848="","",IF($L1848&lt;&gt;"",$L1848-$J1848,TODAY()-$J1848))</f>
        <v/>
      </c>
      <c r="Q1848" s="85">
        <f>IF(OR($K1848="",$H1848="Completed",$H1848="Cancelled"),"",IF(AND($K1848&lt;TODAY(),$H1848&lt;&gt;"Completed",$H1848&lt;&gt;"Cancelled"),"Overdue","On Track"))</f>
        <v/>
      </c>
      <c r="R1848" s="81" t="n"/>
      <c r="S1848" s="81">
        <f>IF($B1848="","",IFERROR(INDEX(Task_Tracker!$AA$5:$AA$1004,MATCH($B1848,Task_Tracker!$A$5:$A$1004,0)),""))</f>
        <v/>
      </c>
      <c r="T1848" s="81">
        <f>IF($B1848="","",IFERROR(INDEX(Task_Tracker!$AB$5:$AB$1004,MATCH($B1848,Task_Tracker!$A$5:$A$1004,0)),""))</f>
        <v/>
      </c>
      <c r="U1848" s="78">
        <f>IF($B1848="","",IFERROR(INDEX(Task_Tracker!$F$5:$F$1004,MATCH($B1848,Task_Tracker!$A$5:$A$1004,0)),""))</f>
        <v/>
      </c>
      <c r="V1848" s="78">
        <f>IF($B1848="","",IFERROR(INDEX(Task_Tracker!$I$5:$I$1004,MATCH($B1848,Task_Tracker!$A$5:$A$1004,0)),""))</f>
        <v/>
      </c>
      <c r="W1848" s="81">
        <f>IF(OR($D1848="",$B1848=""),"",$D1848&amp;" | "&amp;$B1848)</f>
        <v/>
      </c>
      <c r="X1848" s="85">
        <f>IF($K1848="","",TEXT($K1848,"yyyy-mm"))</f>
        <v/>
      </c>
      <c r="Y1848" s="81">
        <f>IF(OR($A1848="",$T1848=""),"","Included in Manager_Report")</f>
        <v/>
      </c>
    </row>
    <row r="1849" ht="15" customHeight="1" s="40">
      <c r="A1849" s="65">
        <f>IF(COUNTA(B1849:G1849)=0,"","STP-"&amp;TEXT(ROW()-4,"0000"))</f>
        <v/>
      </c>
      <c r="B1849" s="78" t="n"/>
      <c r="C1849" s="67">
        <f>IF($B1849="","",IFERROR(INDEX(Task_Tracker!$D$5:$D$1004,MATCH($B1849,Task_Tracker!$A$5:$A$1004,0)),""))</f>
        <v/>
      </c>
      <c r="D1849" s="67">
        <f>IF($B1849="","",IFERROR(INDEX(Task_Tracker!$B$5:$B$1004,MATCH($B1849,Task_Tracker!$A$5:$A$1004,0)),""))</f>
        <v/>
      </c>
      <c r="E1849" s="81" t="n"/>
      <c r="F1849" s="81" t="n"/>
      <c r="G1849" s="78" t="n"/>
      <c r="H1849" s="78" t="n"/>
      <c r="I1849" s="67">
        <f>IF($H1849="","",IFERROR(INDEX(Action_Status_Map!$B$5:$B$11,MATCH($H1849,Action_Status_Map!$A$5:$A$11,0)),""))</f>
        <v/>
      </c>
      <c r="J1849" s="82" t="n"/>
      <c r="K1849" s="82" t="n"/>
      <c r="L1849" s="82" t="n"/>
      <c r="M1849" s="83" t="n"/>
      <c r="N1849" s="83" t="n"/>
      <c r="O1849" s="66">
        <f>IF(OR($M1849="",$N1849=""),"",$N1849-$M1849)</f>
        <v/>
      </c>
      <c r="P1849" s="84">
        <f>IF($J1849="","",IF($L1849&lt;&gt;"",$L1849-$J1849,TODAY()-$J1849))</f>
        <v/>
      </c>
      <c r="Q1849" s="85">
        <f>IF(OR($K1849="",$H1849="Completed",$H1849="Cancelled"),"",IF(AND($K1849&lt;TODAY(),$H1849&lt;&gt;"Completed",$H1849&lt;&gt;"Cancelled"),"Overdue","On Track"))</f>
        <v/>
      </c>
      <c r="R1849" s="81" t="n"/>
      <c r="S1849" s="81">
        <f>IF($B1849="","",IFERROR(INDEX(Task_Tracker!$AA$5:$AA$1004,MATCH($B1849,Task_Tracker!$A$5:$A$1004,0)),""))</f>
        <v/>
      </c>
      <c r="T1849" s="81">
        <f>IF($B1849="","",IFERROR(INDEX(Task_Tracker!$AB$5:$AB$1004,MATCH($B1849,Task_Tracker!$A$5:$A$1004,0)),""))</f>
        <v/>
      </c>
      <c r="U1849" s="78">
        <f>IF($B1849="","",IFERROR(INDEX(Task_Tracker!$F$5:$F$1004,MATCH($B1849,Task_Tracker!$A$5:$A$1004,0)),""))</f>
        <v/>
      </c>
      <c r="V1849" s="78">
        <f>IF($B1849="","",IFERROR(INDEX(Task_Tracker!$I$5:$I$1004,MATCH($B1849,Task_Tracker!$A$5:$A$1004,0)),""))</f>
        <v/>
      </c>
      <c r="W1849" s="81">
        <f>IF(OR($D1849="",$B1849=""),"",$D1849&amp;" | "&amp;$B1849)</f>
        <v/>
      </c>
      <c r="X1849" s="85">
        <f>IF($K1849="","",TEXT($K1849,"yyyy-mm"))</f>
        <v/>
      </c>
      <c r="Y1849" s="81">
        <f>IF(OR($A1849="",$T1849=""),"","Included in Manager_Report")</f>
        <v/>
      </c>
    </row>
    <row r="1850" ht="15" customHeight="1" s="40">
      <c r="A1850" s="65">
        <f>IF(COUNTA(B1850:G1850)=0,"","STP-"&amp;TEXT(ROW()-4,"0000"))</f>
        <v/>
      </c>
      <c r="B1850" s="78" t="n"/>
      <c r="C1850" s="67">
        <f>IF($B1850="","",IFERROR(INDEX(Task_Tracker!$D$5:$D$1004,MATCH($B1850,Task_Tracker!$A$5:$A$1004,0)),""))</f>
        <v/>
      </c>
      <c r="D1850" s="67">
        <f>IF($B1850="","",IFERROR(INDEX(Task_Tracker!$B$5:$B$1004,MATCH($B1850,Task_Tracker!$A$5:$A$1004,0)),""))</f>
        <v/>
      </c>
      <c r="E1850" s="81" t="n"/>
      <c r="F1850" s="81" t="n"/>
      <c r="G1850" s="78" t="n"/>
      <c r="H1850" s="78" t="n"/>
      <c r="I1850" s="67">
        <f>IF($H1850="","",IFERROR(INDEX(Action_Status_Map!$B$5:$B$11,MATCH($H1850,Action_Status_Map!$A$5:$A$11,0)),""))</f>
        <v/>
      </c>
      <c r="J1850" s="82" t="n"/>
      <c r="K1850" s="82" t="n"/>
      <c r="L1850" s="82" t="n"/>
      <c r="M1850" s="83" t="n"/>
      <c r="N1850" s="83" t="n"/>
      <c r="O1850" s="66">
        <f>IF(OR($M1850="",$N1850=""),"",$N1850-$M1850)</f>
        <v/>
      </c>
      <c r="P1850" s="84">
        <f>IF($J1850="","",IF($L1850&lt;&gt;"",$L1850-$J1850,TODAY()-$J1850))</f>
        <v/>
      </c>
      <c r="Q1850" s="85">
        <f>IF(OR($K1850="",$H1850="Completed",$H1850="Cancelled"),"",IF(AND($K1850&lt;TODAY(),$H1850&lt;&gt;"Completed",$H1850&lt;&gt;"Cancelled"),"Overdue","On Track"))</f>
        <v/>
      </c>
      <c r="R1850" s="81" t="n"/>
      <c r="S1850" s="81">
        <f>IF($B1850="","",IFERROR(INDEX(Task_Tracker!$AA$5:$AA$1004,MATCH($B1850,Task_Tracker!$A$5:$A$1004,0)),""))</f>
        <v/>
      </c>
      <c r="T1850" s="81">
        <f>IF($B1850="","",IFERROR(INDEX(Task_Tracker!$AB$5:$AB$1004,MATCH($B1850,Task_Tracker!$A$5:$A$1004,0)),""))</f>
        <v/>
      </c>
      <c r="U1850" s="78">
        <f>IF($B1850="","",IFERROR(INDEX(Task_Tracker!$F$5:$F$1004,MATCH($B1850,Task_Tracker!$A$5:$A$1004,0)),""))</f>
        <v/>
      </c>
      <c r="V1850" s="78">
        <f>IF($B1850="","",IFERROR(INDEX(Task_Tracker!$I$5:$I$1004,MATCH($B1850,Task_Tracker!$A$5:$A$1004,0)),""))</f>
        <v/>
      </c>
      <c r="W1850" s="81">
        <f>IF(OR($D1850="",$B1850=""),"",$D1850&amp;" | "&amp;$B1850)</f>
        <v/>
      </c>
      <c r="X1850" s="85">
        <f>IF($K1850="","",TEXT($K1850,"yyyy-mm"))</f>
        <v/>
      </c>
      <c r="Y1850" s="81">
        <f>IF(OR($A1850="",$T1850=""),"","Included in Manager_Report")</f>
        <v/>
      </c>
    </row>
    <row r="1851" ht="15" customHeight="1" s="40">
      <c r="A1851" s="65">
        <f>IF(COUNTA(B1851:G1851)=0,"","STP-"&amp;TEXT(ROW()-4,"0000"))</f>
        <v/>
      </c>
      <c r="B1851" s="78" t="n"/>
      <c r="C1851" s="67">
        <f>IF($B1851="","",IFERROR(INDEX(Task_Tracker!$D$5:$D$1004,MATCH($B1851,Task_Tracker!$A$5:$A$1004,0)),""))</f>
        <v/>
      </c>
      <c r="D1851" s="67">
        <f>IF($B1851="","",IFERROR(INDEX(Task_Tracker!$B$5:$B$1004,MATCH($B1851,Task_Tracker!$A$5:$A$1004,0)),""))</f>
        <v/>
      </c>
      <c r="E1851" s="81" t="n"/>
      <c r="F1851" s="81" t="n"/>
      <c r="G1851" s="78" t="n"/>
      <c r="H1851" s="78" t="n"/>
      <c r="I1851" s="67">
        <f>IF($H1851="","",IFERROR(INDEX(Action_Status_Map!$B$5:$B$11,MATCH($H1851,Action_Status_Map!$A$5:$A$11,0)),""))</f>
        <v/>
      </c>
      <c r="J1851" s="82" t="n"/>
      <c r="K1851" s="82" t="n"/>
      <c r="L1851" s="82" t="n"/>
      <c r="M1851" s="83" t="n"/>
      <c r="N1851" s="83" t="n"/>
      <c r="O1851" s="66">
        <f>IF(OR($M1851="",$N1851=""),"",$N1851-$M1851)</f>
        <v/>
      </c>
      <c r="P1851" s="84">
        <f>IF($J1851="","",IF($L1851&lt;&gt;"",$L1851-$J1851,TODAY()-$J1851))</f>
        <v/>
      </c>
      <c r="Q1851" s="85">
        <f>IF(OR($K1851="",$H1851="Completed",$H1851="Cancelled"),"",IF(AND($K1851&lt;TODAY(),$H1851&lt;&gt;"Completed",$H1851&lt;&gt;"Cancelled"),"Overdue","On Track"))</f>
        <v/>
      </c>
      <c r="R1851" s="81" t="n"/>
      <c r="S1851" s="81">
        <f>IF($B1851="","",IFERROR(INDEX(Task_Tracker!$AA$5:$AA$1004,MATCH($B1851,Task_Tracker!$A$5:$A$1004,0)),""))</f>
        <v/>
      </c>
      <c r="T1851" s="81">
        <f>IF($B1851="","",IFERROR(INDEX(Task_Tracker!$AB$5:$AB$1004,MATCH($B1851,Task_Tracker!$A$5:$A$1004,0)),""))</f>
        <v/>
      </c>
      <c r="U1851" s="78">
        <f>IF($B1851="","",IFERROR(INDEX(Task_Tracker!$F$5:$F$1004,MATCH($B1851,Task_Tracker!$A$5:$A$1004,0)),""))</f>
        <v/>
      </c>
      <c r="V1851" s="78">
        <f>IF($B1851="","",IFERROR(INDEX(Task_Tracker!$I$5:$I$1004,MATCH($B1851,Task_Tracker!$A$5:$A$1004,0)),""))</f>
        <v/>
      </c>
      <c r="W1851" s="81">
        <f>IF(OR($D1851="",$B1851=""),"",$D1851&amp;" | "&amp;$B1851)</f>
        <v/>
      </c>
      <c r="X1851" s="85">
        <f>IF($K1851="","",TEXT($K1851,"yyyy-mm"))</f>
        <v/>
      </c>
      <c r="Y1851" s="81">
        <f>IF(OR($A1851="",$T1851=""),"","Included in Manager_Report")</f>
        <v/>
      </c>
    </row>
    <row r="1852" ht="15" customHeight="1" s="40">
      <c r="A1852" s="65">
        <f>IF(COUNTA(B1852:G1852)=0,"","STP-"&amp;TEXT(ROW()-4,"0000"))</f>
        <v/>
      </c>
      <c r="B1852" s="78" t="n"/>
      <c r="C1852" s="67">
        <f>IF($B1852="","",IFERROR(INDEX(Task_Tracker!$D$5:$D$1004,MATCH($B1852,Task_Tracker!$A$5:$A$1004,0)),""))</f>
        <v/>
      </c>
      <c r="D1852" s="67">
        <f>IF($B1852="","",IFERROR(INDEX(Task_Tracker!$B$5:$B$1004,MATCH($B1852,Task_Tracker!$A$5:$A$1004,0)),""))</f>
        <v/>
      </c>
      <c r="E1852" s="81" t="n"/>
      <c r="F1852" s="81" t="n"/>
      <c r="G1852" s="78" t="n"/>
      <c r="H1852" s="78" t="n"/>
      <c r="I1852" s="67">
        <f>IF($H1852="","",IFERROR(INDEX(Action_Status_Map!$B$5:$B$11,MATCH($H1852,Action_Status_Map!$A$5:$A$11,0)),""))</f>
        <v/>
      </c>
      <c r="J1852" s="82" t="n"/>
      <c r="K1852" s="82" t="n"/>
      <c r="L1852" s="82" t="n"/>
      <c r="M1852" s="83" t="n"/>
      <c r="N1852" s="83" t="n"/>
      <c r="O1852" s="66">
        <f>IF(OR($M1852="",$N1852=""),"",$N1852-$M1852)</f>
        <v/>
      </c>
      <c r="P1852" s="84">
        <f>IF($J1852="","",IF($L1852&lt;&gt;"",$L1852-$J1852,TODAY()-$J1852))</f>
        <v/>
      </c>
      <c r="Q1852" s="85">
        <f>IF(OR($K1852="",$H1852="Completed",$H1852="Cancelled"),"",IF(AND($K1852&lt;TODAY(),$H1852&lt;&gt;"Completed",$H1852&lt;&gt;"Cancelled"),"Overdue","On Track"))</f>
        <v/>
      </c>
      <c r="R1852" s="81" t="n"/>
      <c r="S1852" s="81">
        <f>IF($B1852="","",IFERROR(INDEX(Task_Tracker!$AA$5:$AA$1004,MATCH($B1852,Task_Tracker!$A$5:$A$1004,0)),""))</f>
        <v/>
      </c>
      <c r="T1852" s="81">
        <f>IF($B1852="","",IFERROR(INDEX(Task_Tracker!$AB$5:$AB$1004,MATCH($B1852,Task_Tracker!$A$5:$A$1004,0)),""))</f>
        <v/>
      </c>
      <c r="U1852" s="78">
        <f>IF($B1852="","",IFERROR(INDEX(Task_Tracker!$F$5:$F$1004,MATCH($B1852,Task_Tracker!$A$5:$A$1004,0)),""))</f>
        <v/>
      </c>
      <c r="V1852" s="78">
        <f>IF($B1852="","",IFERROR(INDEX(Task_Tracker!$I$5:$I$1004,MATCH($B1852,Task_Tracker!$A$5:$A$1004,0)),""))</f>
        <v/>
      </c>
      <c r="W1852" s="81">
        <f>IF(OR($D1852="",$B1852=""),"",$D1852&amp;" | "&amp;$B1852)</f>
        <v/>
      </c>
      <c r="X1852" s="85">
        <f>IF($K1852="","",TEXT($K1852,"yyyy-mm"))</f>
        <v/>
      </c>
      <c r="Y1852" s="81">
        <f>IF(OR($A1852="",$T1852=""),"","Included in Manager_Report")</f>
        <v/>
      </c>
    </row>
    <row r="1853" ht="15" customHeight="1" s="40">
      <c r="A1853" s="65">
        <f>IF(COUNTA(B1853:G1853)=0,"","STP-"&amp;TEXT(ROW()-4,"0000"))</f>
        <v/>
      </c>
      <c r="B1853" s="78" t="n"/>
      <c r="C1853" s="67">
        <f>IF($B1853="","",IFERROR(INDEX(Task_Tracker!$D$5:$D$1004,MATCH($B1853,Task_Tracker!$A$5:$A$1004,0)),""))</f>
        <v/>
      </c>
      <c r="D1853" s="67">
        <f>IF($B1853="","",IFERROR(INDEX(Task_Tracker!$B$5:$B$1004,MATCH($B1853,Task_Tracker!$A$5:$A$1004,0)),""))</f>
        <v/>
      </c>
      <c r="E1853" s="81" t="n"/>
      <c r="F1853" s="81" t="n"/>
      <c r="G1853" s="78" t="n"/>
      <c r="H1853" s="78" t="n"/>
      <c r="I1853" s="67">
        <f>IF($H1853="","",IFERROR(INDEX(Action_Status_Map!$B$5:$B$11,MATCH($H1853,Action_Status_Map!$A$5:$A$11,0)),""))</f>
        <v/>
      </c>
      <c r="J1853" s="82" t="n"/>
      <c r="K1853" s="82" t="n"/>
      <c r="L1853" s="82" t="n"/>
      <c r="M1853" s="83" t="n"/>
      <c r="N1853" s="83" t="n"/>
      <c r="O1853" s="66">
        <f>IF(OR($M1853="",$N1853=""),"",$N1853-$M1853)</f>
        <v/>
      </c>
      <c r="P1853" s="84">
        <f>IF($J1853="","",IF($L1853&lt;&gt;"",$L1853-$J1853,TODAY()-$J1853))</f>
        <v/>
      </c>
      <c r="Q1853" s="85">
        <f>IF(OR($K1853="",$H1853="Completed",$H1853="Cancelled"),"",IF(AND($K1853&lt;TODAY(),$H1853&lt;&gt;"Completed",$H1853&lt;&gt;"Cancelled"),"Overdue","On Track"))</f>
        <v/>
      </c>
      <c r="R1853" s="81" t="n"/>
      <c r="S1853" s="81">
        <f>IF($B1853="","",IFERROR(INDEX(Task_Tracker!$AA$5:$AA$1004,MATCH($B1853,Task_Tracker!$A$5:$A$1004,0)),""))</f>
        <v/>
      </c>
      <c r="T1853" s="81">
        <f>IF($B1853="","",IFERROR(INDEX(Task_Tracker!$AB$5:$AB$1004,MATCH($B1853,Task_Tracker!$A$5:$A$1004,0)),""))</f>
        <v/>
      </c>
      <c r="U1853" s="78">
        <f>IF($B1853="","",IFERROR(INDEX(Task_Tracker!$F$5:$F$1004,MATCH($B1853,Task_Tracker!$A$5:$A$1004,0)),""))</f>
        <v/>
      </c>
      <c r="V1853" s="78">
        <f>IF($B1853="","",IFERROR(INDEX(Task_Tracker!$I$5:$I$1004,MATCH($B1853,Task_Tracker!$A$5:$A$1004,0)),""))</f>
        <v/>
      </c>
      <c r="W1853" s="81">
        <f>IF(OR($D1853="",$B1853=""),"",$D1853&amp;" | "&amp;$B1853)</f>
        <v/>
      </c>
      <c r="X1853" s="85">
        <f>IF($K1853="","",TEXT($K1853,"yyyy-mm"))</f>
        <v/>
      </c>
      <c r="Y1853" s="81">
        <f>IF(OR($A1853="",$T1853=""),"","Included in Manager_Report")</f>
        <v/>
      </c>
    </row>
    <row r="1854" ht="15" customHeight="1" s="40">
      <c r="A1854" s="65">
        <f>IF(COUNTA(B1854:G1854)=0,"","STP-"&amp;TEXT(ROW()-4,"0000"))</f>
        <v/>
      </c>
      <c r="B1854" s="78" t="n"/>
      <c r="C1854" s="67">
        <f>IF($B1854="","",IFERROR(INDEX(Task_Tracker!$D$5:$D$1004,MATCH($B1854,Task_Tracker!$A$5:$A$1004,0)),""))</f>
        <v/>
      </c>
      <c r="D1854" s="67">
        <f>IF($B1854="","",IFERROR(INDEX(Task_Tracker!$B$5:$B$1004,MATCH($B1854,Task_Tracker!$A$5:$A$1004,0)),""))</f>
        <v/>
      </c>
      <c r="E1854" s="81" t="n"/>
      <c r="F1854" s="81" t="n"/>
      <c r="G1854" s="78" t="n"/>
      <c r="H1854" s="78" t="n"/>
      <c r="I1854" s="67">
        <f>IF($H1854="","",IFERROR(INDEX(Action_Status_Map!$B$5:$B$11,MATCH($H1854,Action_Status_Map!$A$5:$A$11,0)),""))</f>
        <v/>
      </c>
      <c r="J1854" s="82" t="n"/>
      <c r="K1854" s="82" t="n"/>
      <c r="L1854" s="82" t="n"/>
      <c r="M1854" s="83" t="n"/>
      <c r="N1854" s="83" t="n"/>
      <c r="O1854" s="66">
        <f>IF(OR($M1854="",$N1854=""),"",$N1854-$M1854)</f>
        <v/>
      </c>
      <c r="P1854" s="84">
        <f>IF($J1854="","",IF($L1854&lt;&gt;"",$L1854-$J1854,TODAY()-$J1854))</f>
        <v/>
      </c>
      <c r="Q1854" s="85">
        <f>IF(OR($K1854="",$H1854="Completed",$H1854="Cancelled"),"",IF(AND($K1854&lt;TODAY(),$H1854&lt;&gt;"Completed",$H1854&lt;&gt;"Cancelled"),"Overdue","On Track"))</f>
        <v/>
      </c>
      <c r="R1854" s="81" t="n"/>
      <c r="S1854" s="81">
        <f>IF($B1854="","",IFERROR(INDEX(Task_Tracker!$AA$5:$AA$1004,MATCH($B1854,Task_Tracker!$A$5:$A$1004,0)),""))</f>
        <v/>
      </c>
      <c r="T1854" s="81">
        <f>IF($B1854="","",IFERROR(INDEX(Task_Tracker!$AB$5:$AB$1004,MATCH($B1854,Task_Tracker!$A$5:$A$1004,0)),""))</f>
        <v/>
      </c>
      <c r="U1854" s="78">
        <f>IF($B1854="","",IFERROR(INDEX(Task_Tracker!$F$5:$F$1004,MATCH($B1854,Task_Tracker!$A$5:$A$1004,0)),""))</f>
        <v/>
      </c>
      <c r="V1854" s="78">
        <f>IF($B1854="","",IFERROR(INDEX(Task_Tracker!$I$5:$I$1004,MATCH($B1854,Task_Tracker!$A$5:$A$1004,0)),""))</f>
        <v/>
      </c>
      <c r="W1854" s="81">
        <f>IF(OR($D1854="",$B1854=""),"",$D1854&amp;" | "&amp;$B1854)</f>
        <v/>
      </c>
      <c r="X1854" s="85">
        <f>IF($K1854="","",TEXT($K1854,"yyyy-mm"))</f>
        <v/>
      </c>
      <c r="Y1854" s="81">
        <f>IF(OR($A1854="",$T1854=""),"","Included in Manager_Report")</f>
        <v/>
      </c>
    </row>
    <row r="1855" ht="15" customHeight="1" s="40">
      <c r="A1855" s="65">
        <f>IF(COUNTA(B1855:G1855)=0,"","STP-"&amp;TEXT(ROW()-4,"0000"))</f>
        <v/>
      </c>
      <c r="B1855" s="78" t="n"/>
      <c r="C1855" s="67">
        <f>IF($B1855="","",IFERROR(INDEX(Task_Tracker!$D$5:$D$1004,MATCH($B1855,Task_Tracker!$A$5:$A$1004,0)),""))</f>
        <v/>
      </c>
      <c r="D1855" s="67">
        <f>IF($B1855="","",IFERROR(INDEX(Task_Tracker!$B$5:$B$1004,MATCH($B1855,Task_Tracker!$A$5:$A$1004,0)),""))</f>
        <v/>
      </c>
      <c r="E1855" s="81" t="n"/>
      <c r="F1855" s="81" t="n"/>
      <c r="G1855" s="78" t="n"/>
      <c r="H1855" s="78" t="n"/>
      <c r="I1855" s="67">
        <f>IF($H1855="","",IFERROR(INDEX(Action_Status_Map!$B$5:$B$11,MATCH($H1855,Action_Status_Map!$A$5:$A$11,0)),""))</f>
        <v/>
      </c>
      <c r="J1855" s="82" t="n"/>
      <c r="K1855" s="82" t="n"/>
      <c r="L1855" s="82" t="n"/>
      <c r="M1855" s="83" t="n"/>
      <c r="N1855" s="83" t="n"/>
      <c r="O1855" s="66">
        <f>IF(OR($M1855="",$N1855=""),"",$N1855-$M1855)</f>
        <v/>
      </c>
      <c r="P1855" s="84">
        <f>IF($J1855="","",IF($L1855&lt;&gt;"",$L1855-$J1855,TODAY()-$J1855))</f>
        <v/>
      </c>
      <c r="Q1855" s="85">
        <f>IF(OR($K1855="",$H1855="Completed",$H1855="Cancelled"),"",IF(AND($K1855&lt;TODAY(),$H1855&lt;&gt;"Completed",$H1855&lt;&gt;"Cancelled"),"Overdue","On Track"))</f>
        <v/>
      </c>
      <c r="R1855" s="81" t="n"/>
      <c r="S1855" s="81">
        <f>IF($B1855="","",IFERROR(INDEX(Task_Tracker!$AA$5:$AA$1004,MATCH($B1855,Task_Tracker!$A$5:$A$1004,0)),""))</f>
        <v/>
      </c>
      <c r="T1855" s="81">
        <f>IF($B1855="","",IFERROR(INDEX(Task_Tracker!$AB$5:$AB$1004,MATCH($B1855,Task_Tracker!$A$5:$A$1004,0)),""))</f>
        <v/>
      </c>
      <c r="U1855" s="78">
        <f>IF($B1855="","",IFERROR(INDEX(Task_Tracker!$F$5:$F$1004,MATCH($B1855,Task_Tracker!$A$5:$A$1004,0)),""))</f>
        <v/>
      </c>
      <c r="V1855" s="78">
        <f>IF($B1855="","",IFERROR(INDEX(Task_Tracker!$I$5:$I$1004,MATCH($B1855,Task_Tracker!$A$5:$A$1004,0)),""))</f>
        <v/>
      </c>
      <c r="W1855" s="81">
        <f>IF(OR($D1855="",$B1855=""),"",$D1855&amp;" | "&amp;$B1855)</f>
        <v/>
      </c>
      <c r="X1855" s="85">
        <f>IF($K1855="","",TEXT($K1855,"yyyy-mm"))</f>
        <v/>
      </c>
      <c r="Y1855" s="81">
        <f>IF(OR($A1855="",$T1855=""),"","Included in Manager_Report")</f>
        <v/>
      </c>
    </row>
    <row r="1856" ht="15" customHeight="1" s="40">
      <c r="A1856" s="65">
        <f>IF(COUNTA(B1856:G1856)=0,"","STP-"&amp;TEXT(ROW()-4,"0000"))</f>
        <v/>
      </c>
      <c r="B1856" s="78" t="n"/>
      <c r="C1856" s="67">
        <f>IF($B1856="","",IFERROR(INDEX(Task_Tracker!$D$5:$D$1004,MATCH($B1856,Task_Tracker!$A$5:$A$1004,0)),""))</f>
        <v/>
      </c>
      <c r="D1856" s="67">
        <f>IF($B1856="","",IFERROR(INDEX(Task_Tracker!$B$5:$B$1004,MATCH($B1856,Task_Tracker!$A$5:$A$1004,0)),""))</f>
        <v/>
      </c>
      <c r="E1856" s="81" t="n"/>
      <c r="F1856" s="81" t="n"/>
      <c r="G1856" s="78" t="n"/>
      <c r="H1856" s="78" t="n"/>
      <c r="I1856" s="67">
        <f>IF($H1856="","",IFERROR(INDEX(Action_Status_Map!$B$5:$B$11,MATCH($H1856,Action_Status_Map!$A$5:$A$11,0)),""))</f>
        <v/>
      </c>
      <c r="J1856" s="82" t="n"/>
      <c r="K1856" s="82" t="n"/>
      <c r="L1856" s="82" t="n"/>
      <c r="M1856" s="83" t="n"/>
      <c r="N1856" s="83" t="n"/>
      <c r="O1856" s="66">
        <f>IF(OR($M1856="",$N1856=""),"",$N1856-$M1856)</f>
        <v/>
      </c>
      <c r="P1856" s="84">
        <f>IF($J1856="","",IF($L1856&lt;&gt;"",$L1856-$J1856,TODAY()-$J1856))</f>
        <v/>
      </c>
      <c r="Q1856" s="85">
        <f>IF(OR($K1856="",$H1856="Completed",$H1856="Cancelled"),"",IF(AND($K1856&lt;TODAY(),$H1856&lt;&gt;"Completed",$H1856&lt;&gt;"Cancelled"),"Overdue","On Track"))</f>
        <v/>
      </c>
      <c r="R1856" s="81" t="n"/>
      <c r="S1856" s="81">
        <f>IF($B1856="","",IFERROR(INDEX(Task_Tracker!$AA$5:$AA$1004,MATCH($B1856,Task_Tracker!$A$5:$A$1004,0)),""))</f>
        <v/>
      </c>
      <c r="T1856" s="81">
        <f>IF($B1856="","",IFERROR(INDEX(Task_Tracker!$AB$5:$AB$1004,MATCH($B1856,Task_Tracker!$A$5:$A$1004,0)),""))</f>
        <v/>
      </c>
      <c r="U1856" s="78">
        <f>IF($B1856="","",IFERROR(INDEX(Task_Tracker!$F$5:$F$1004,MATCH($B1856,Task_Tracker!$A$5:$A$1004,0)),""))</f>
        <v/>
      </c>
      <c r="V1856" s="78">
        <f>IF($B1856="","",IFERROR(INDEX(Task_Tracker!$I$5:$I$1004,MATCH($B1856,Task_Tracker!$A$5:$A$1004,0)),""))</f>
        <v/>
      </c>
      <c r="W1856" s="81">
        <f>IF(OR($D1856="",$B1856=""),"",$D1856&amp;" | "&amp;$B1856)</f>
        <v/>
      </c>
      <c r="X1856" s="85">
        <f>IF($K1856="","",TEXT($K1856,"yyyy-mm"))</f>
        <v/>
      </c>
      <c r="Y1856" s="81">
        <f>IF(OR($A1856="",$T1856=""),"","Included in Manager_Report")</f>
        <v/>
      </c>
    </row>
    <row r="1857" ht="15" customHeight="1" s="40">
      <c r="A1857" s="65">
        <f>IF(COUNTA(B1857:G1857)=0,"","STP-"&amp;TEXT(ROW()-4,"0000"))</f>
        <v/>
      </c>
      <c r="B1857" s="78" t="n"/>
      <c r="C1857" s="67">
        <f>IF($B1857="","",IFERROR(INDEX(Task_Tracker!$D$5:$D$1004,MATCH($B1857,Task_Tracker!$A$5:$A$1004,0)),""))</f>
        <v/>
      </c>
      <c r="D1857" s="67">
        <f>IF($B1857="","",IFERROR(INDEX(Task_Tracker!$B$5:$B$1004,MATCH($B1857,Task_Tracker!$A$5:$A$1004,0)),""))</f>
        <v/>
      </c>
      <c r="E1857" s="81" t="n"/>
      <c r="F1857" s="81" t="n"/>
      <c r="G1857" s="78" t="n"/>
      <c r="H1857" s="78" t="n"/>
      <c r="I1857" s="67">
        <f>IF($H1857="","",IFERROR(INDEX(Action_Status_Map!$B$5:$B$11,MATCH($H1857,Action_Status_Map!$A$5:$A$11,0)),""))</f>
        <v/>
      </c>
      <c r="J1857" s="82" t="n"/>
      <c r="K1857" s="82" t="n"/>
      <c r="L1857" s="82" t="n"/>
      <c r="M1857" s="83" t="n"/>
      <c r="N1857" s="83" t="n"/>
      <c r="O1857" s="66">
        <f>IF(OR($M1857="",$N1857=""),"",$N1857-$M1857)</f>
        <v/>
      </c>
      <c r="P1857" s="84">
        <f>IF($J1857="","",IF($L1857&lt;&gt;"",$L1857-$J1857,TODAY()-$J1857))</f>
        <v/>
      </c>
      <c r="Q1857" s="85">
        <f>IF(OR($K1857="",$H1857="Completed",$H1857="Cancelled"),"",IF(AND($K1857&lt;TODAY(),$H1857&lt;&gt;"Completed",$H1857&lt;&gt;"Cancelled"),"Overdue","On Track"))</f>
        <v/>
      </c>
      <c r="R1857" s="81" t="n"/>
      <c r="S1857" s="81">
        <f>IF($B1857="","",IFERROR(INDEX(Task_Tracker!$AA$5:$AA$1004,MATCH($B1857,Task_Tracker!$A$5:$A$1004,0)),""))</f>
        <v/>
      </c>
      <c r="T1857" s="81">
        <f>IF($B1857="","",IFERROR(INDEX(Task_Tracker!$AB$5:$AB$1004,MATCH($B1857,Task_Tracker!$A$5:$A$1004,0)),""))</f>
        <v/>
      </c>
      <c r="U1857" s="78">
        <f>IF($B1857="","",IFERROR(INDEX(Task_Tracker!$F$5:$F$1004,MATCH($B1857,Task_Tracker!$A$5:$A$1004,0)),""))</f>
        <v/>
      </c>
      <c r="V1857" s="78">
        <f>IF($B1857="","",IFERROR(INDEX(Task_Tracker!$I$5:$I$1004,MATCH($B1857,Task_Tracker!$A$5:$A$1004,0)),""))</f>
        <v/>
      </c>
      <c r="W1857" s="81">
        <f>IF(OR($D1857="",$B1857=""),"",$D1857&amp;" | "&amp;$B1857)</f>
        <v/>
      </c>
      <c r="X1857" s="85">
        <f>IF($K1857="","",TEXT($K1857,"yyyy-mm"))</f>
        <v/>
      </c>
      <c r="Y1857" s="81">
        <f>IF(OR($A1857="",$T1857=""),"","Included in Manager_Report")</f>
        <v/>
      </c>
    </row>
    <row r="1858" ht="15" customHeight="1" s="40">
      <c r="A1858" s="65">
        <f>IF(COUNTA(B1858:G1858)=0,"","STP-"&amp;TEXT(ROW()-4,"0000"))</f>
        <v/>
      </c>
      <c r="B1858" s="78" t="n"/>
      <c r="C1858" s="67">
        <f>IF($B1858="","",IFERROR(INDEX(Task_Tracker!$D$5:$D$1004,MATCH($B1858,Task_Tracker!$A$5:$A$1004,0)),""))</f>
        <v/>
      </c>
      <c r="D1858" s="67">
        <f>IF($B1858="","",IFERROR(INDEX(Task_Tracker!$B$5:$B$1004,MATCH($B1858,Task_Tracker!$A$5:$A$1004,0)),""))</f>
        <v/>
      </c>
      <c r="E1858" s="81" t="n"/>
      <c r="F1858" s="81" t="n"/>
      <c r="G1858" s="78" t="n"/>
      <c r="H1858" s="78" t="n"/>
      <c r="I1858" s="67">
        <f>IF($H1858="","",IFERROR(INDEX(Action_Status_Map!$B$5:$B$11,MATCH($H1858,Action_Status_Map!$A$5:$A$11,0)),""))</f>
        <v/>
      </c>
      <c r="J1858" s="82" t="n"/>
      <c r="K1858" s="82" t="n"/>
      <c r="L1858" s="82" t="n"/>
      <c r="M1858" s="83" t="n"/>
      <c r="N1858" s="83" t="n"/>
      <c r="O1858" s="66">
        <f>IF(OR($M1858="",$N1858=""),"",$N1858-$M1858)</f>
        <v/>
      </c>
      <c r="P1858" s="84">
        <f>IF($J1858="","",IF($L1858&lt;&gt;"",$L1858-$J1858,TODAY()-$J1858))</f>
        <v/>
      </c>
      <c r="Q1858" s="85">
        <f>IF(OR($K1858="",$H1858="Completed",$H1858="Cancelled"),"",IF(AND($K1858&lt;TODAY(),$H1858&lt;&gt;"Completed",$H1858&lt;&gt;"Cancelled"),"Overdue","On Track"))</f>
        <v/>
      </c>
      <c r="R1858" s="81" t="n"/>
      <c r="S1858" s="81">
        <f>IF($B1858="","",IFERROR(INDEX(Task_Tracker!$AA$5:$AA$1004,MATCH($B1858,Task_Tracker!$A$5:$A$1004,0)),""))</f>
        <v/>
      </c>
      <c r="T1858" s="81">
        <f>IF($B1858="","",IFERROR(INDEX(Task_Tracker!$AB$5:$AB$1004,MATCH($B1858,Task_Tracker!$A$5:$A$1004,0)),""))</f>
        <v/>
      </c>
      <c r="U1858" s="78">
        <f>IF($B1858="","",IFERROR(INDEX(Task_Tracker!$F$5:$F$1004,MATCH($B1858,Task_Tracker!$A$5:$A$1004,0)),""))</f>
        <v/>
      </c>
      <c r="V1858" s="78">
        <f>IF($B1858="","",IFERROR(INDEX(Task_Tracker!$I$5:$I$1004,MATCH($B1858,Task_Tracker!$A$5:$A$1004,0)),""))</f>
        <v/>
      </c>
      <c r="W1858" s="81">
        <f>IF(OR($D1858="",$B1858=""),"",$D1858&amp;" | "&amp;$B1858)</f>
        <v/>
      </c>
      <c r="X1858" s="85">
        <f>IF($K1858="","",TEXT($K1858,"yyyy-mm"))</f>
        <v/>
      </c>
      <c r="Y1858" s="81">
        <f>IF(OR($A1858="",$T1858=""),"","Included in Manager_Report")</f>
        <v/>
      </c>
    </row>
    <row r="1859" ht="15" customHeight="1" s="40">
      <c r="A1859" s="65">
        <f>IF(COUNTA(B1859:G1859)=0,"","STP-"&amp;TEXT(ROW()-4,"0000"))</f>
        <v/>
      </c>
      <c r="B1859" s="78" t="n"/>
      <c r="C1859" s="67">
        <f>IF($B1859="","",IFERROR(INDEX(Task_Tracker!$D$5:$D$1004,MATCH($B1859,Task_Tracker!$A$5:$A$1004,0)),""))</f>
        <v/>
      </c>
      <c r="D1859" s="67">
        <f>IF($B1859="","",IFERROR(INDEX(Task_Tracker!$B$5:$B$1004,MATCH($B1859,Task_Tracker!$A$5:$A$1004,0)),""))</f>
        <v/>
      </c>
      <c r="E1859" s="81" t="n"/>
      <c r="F1859" s="81" t="n"/>
      <c r="G1859" s="78" t="n"/>
      <c r="H1859" s="78" t="n"/>
      <c r="I1859" s="67">
        <f>IF($H1859="","",IFERROR(INDEX(Action_Status_Map!$B$5:$B$11,MATCH($H1859,Action_Status_Map!$A$5:$A$11,0)),""))</f>
        <v/>
      </c>
      <c r="J1859" s="82" t="n"/>
      <c r="K1859" s="82" t="n"/>
      <c r="L1859" s="82" t="n"/>
      <c r="M1859" s="83" t="n"/>
      <c r="N1859" s="83" t="n"/>
      <c r="O1859" s="66">
        <f>IF(OR($M1859="",$N1859=""),"",$N1859-$M1859)</f>
        <v/>
      </c>
      <c r="P1859" s="84">
        <f>IF($J1859="","",IF($L1859&lt;&gt;"",$L1859-$J1859,TODAY()-$J1859))</f>
        <v/>
      </c>
      <c r="Q1859" s="85">
        <f>IF(OR($K1859="",$H1859="Completed",$H1859="Cancelled"),"",IF(AND($K1859&lt;TODAY(),$H1859&lt;&gt;"Completed",$H1859&lt;&gt;"Cancelled"),"Overdue","On Track"))</f>
        <v/>
      </c>
      <c r="R1859" s="81" t="n"/>
      <c r="S1859" s="81">
        <f>IF($B1859="","",IFERROR(INDEX(Task_Tracker!$AA$5:$AA$1004,MATCH($B1859,Task_Tracker!$A$5:$A$1004,0)),""))</f>
        <v/>
      </c>
      <c r="T1859" s="81">
        <f>IF($B1859="","",IFERROR(INDEX(Task_Tracker!$AB$5:$AB$1004,MATCH($B1859,Task_Tracker!$A$5:$A$1004,0)),""))</f>
        <v/>
      </c>
      <c r="U1859" s="78">
        <f>IF($B1859="","",IFERROR(INDEX(Task_Tracker!$F$5:$F$1004,MATCH($B1859,Task_Tracker!$A$5:$A$1004,0)),""))</f>
        <v/>
      </c>
      <c r="V1859" s="78">
        <f>IF($B1859="","",IFERROR(INDEX(Task_Tracker!$I$5:$I$1004,MATCH($B1859,Task_Tracker!$A$5:$A$1004,0)),""))</f>
        <v/>
      </c>
      <c r="W1859" s="81">
        <f>IF(OR($D1859="",$B1859=""),"",$D1859&amp;" | "&amp;$B1859)</f>
        <v/>
      </c>
      <c r="X1859" s="85">
        <f>IF($K1859="","",TEXT($K1859,"yyyy-mm"))</f>
        <v/>
      </c>
      <c r="Y1859" s="81">
        <f>IF(OR($A1859="",$T1859=""),"","Included in Manager_Report")</f>
        <v/>
      </c>
    </row>
    <row r="1860" ht="15" customHeight="1" s="40">
      <c r="A1860" s="65">
        <f>IF(COUNTA(B1860:G1860)=0,"","STP-"&amp;TEXT(ROW()-4,"0000"))</f>
        <v/>
      </c>
      <c r="B1860" s="78" t="n"/>
      <c r="C1860" s="67">
        <f>IF($B1860="","",IFERROR(INDEX(Task_Tracker!$D$5:$D$1004,MATCH($B1860,Task_Tracker!$A$5:$A$1004,0)),""))</f>
        <v/>
      </c>
      <c r="D1860" s="67">
        <f>IF($B1860="","",IFERROR(INDEX(Task_Tracker!$B$5:$B$1004,MATCH($B1860,Task_Tracker!$A$5:$A$1004,0)),""))</f>
        <v/>
      </c>
      <c r="E1860" s="81" t="n"/>
      <c r="F1860" s="81" t="n"/>
      <c r="G1860" s="78" t="n"/>
      <c r="H1860" s="78" t="n"/>
      <c r="I1860" s="67">
        <f>IF($H1860="","",IFERROR(INDEX(Action_Status_Map!$B$5:$B$11,MATCH($H1860,Action_Status_Map!$A$5:$A$11,0)),""))</f>
        <v/>
      </c>
      <c r="J1860" s="82" t="n"/>
      <c r="K1860" s="82" t="n"/>
      <c r="L1860" s="82" t="n"/>
      <c r="M1860" s="83" t="n"/>
      <c r="N1860" s="83" t="n"/>
      <c r="O1860" s="66">
        <f>IF(OR($M1860="",$N1860=""),"",$N1860-$M1860)</f>
        <v/>
      </c>
      <c r="P1860" s="84">
        <f>IF($J1860="","",IF($L1860&lt;&gt;"",$L1860-$J1860,TODAY()-$J1860))</f>
        <v/>
      </c>
      <c r="Q1860" s="85">
        <f>IF(OR($K1860="",$H1860="Completed",$H1860="Cancelled"),"",IF(AND($K1860&lt;TODAY(),$H1860&lt;&gt;"Completed",$H1860&lt;&gt;"Cancelled"),"Overdue","On Track"))</f>
        <v/>
      </c>
      <c r="R1860" s="81" t="n"/>
      <c r="S1860" s="81">
        <f>IF($B1860="","",IFERROR(INDEX(Task_Tracker!$AA$5:$AA$1004,MATCH($B1860,Task_Tracker!$A$5:$A$1004,0)),""))</f>
        <v/>
      </c>
      <c r="T1860" s="81">
        <f>IF($B1860="","",IFERROR(INDEX(Task_Tracker!$AB$5:$AB$1004,MATCH($B1860,Task_Tracker!$A$5:$A$1004,0)),""))</f>
        <v/>
      </c>
      <c r="U1860" s="78">
        <f>IF($B1860="","",IFERROR(INDEX(Task_Tracker!$F$5:$F$1004,MATCH($B1860,Task_Tracker!$A$5:$A$1004,0)),""))</f>
        <v/>
      </c>
      <c r="V1860" s="78">
        <f>IF($B1860="","",IFERROR(INDEX(Task_Tracker!$I$5:$I$1004,MATCH($B1860,Task_Tracker!$A$5:$A$1004,0)),""))</f>
        <v/>
      </c>
      <c r="W1860" s="81">
        <f>IF(OR($D1860="",$B1860=""),"",$D1860&amp;" | "&amp;$B1860)</f>
        <v/>
      </c>
      <c r="X1860" s="85">
        <f>IF($K1860="","",TEXT($K1860,"yyyy-mm"))</f>
        <v/>
      </c>
      <c r="Y1860" s="81">
        <f>IF(OR($A1860="",$T1860=""),"","Included in Manager_Report")</f>
        <v/>
      </c>
    </row>
    <row r="1861" ht="15" customHeight="1" s="40">
      <c r="A1861" s="65">
        <f>IF(COUNTA(B1861:G1861)=0,"","STP-"&amp;TEXT(ROW()-4,"0000"))</f>
        <v/>
      </c>
      <c r="B1861" s="78" t="n"/>
      <c r="C1861" s="67">
        <f>IF($B1861="","",IFERROR(INDEX(Task_Tracker!$D$5:$D$1004,MATCH($B1861,Task_Tracker!$A$5:$A$1004,0)),""))</f>
        <v/>
      </c>
      <c r="D1861" s="67">
        <f>IF($B1861="","",IFERROR(INDEX(Task_Tracker!$B$5:$B$1004,MATCH($B1861,Task_Tracker!$A$5:$A$1004,0)),""))</f>
        <v/>
      </c>
      <c r="E1861" s="81" t="n"/>
      <c r="F1861" s="81" t="n"/>
      <c r="G1861" s="78" t="n"/>
      <c r="H1861" s="78" t="n"/>
      <c r="I1861" s="67">
        <f>IF($H1861="","",IFERROR(INDEX(Action_Status_Map!$B$5:$B$11,MATCH($H1861,Action_Status_Map!$A$5:$A$11,0)),""))</f>
        <v/>
      </c>
      <c r="J1861" s="82" t="n"/>
      <c r="K1861" s="82" t="n"/>
      <c r="L1861" s="82" t="n"/>
      <c r="M1861" s="83" t="n"/>
      <c r="N1861" s="83" t="n"/>
      <c r="O1861" s="66">
        <f>IF(OR($M1861="",$N1861=""),"",$N1861-$M1861)</f>
        <v/>
      </c>
      <c r="P1861" s="84">
        <f>IF($J1861="","",IF($L1861&lt;&gt;"",$L1861-$J1861,TODAY()-$J1861))</f>
        <v/>
      </c>
      <c r="Q1861" s="85">
        <f>IF(OR($K1861="",$H1861="Completed",$H1861="Cancelled"),"",IF(AND($K1861&lt;TODAY(),$H1861&lt;&gt;"Completed",$H1861&lt;&gt;"Cancelled"),"Overdue","On Track"))</f>
        <v/>
      </c>
      <c r="R1861" s="81" t="n"/>
      <c r="S1861" s="81">
        <f>IF($B1861="","",IFERROR(INDEX(Task_Tracker!$AA$5:$AA$1004,MATCH($B1861,Task_Tracker!$A$5:$A$1004,0)),""))</f>
        <v/>
      </c>
      <c r="T1861" s="81">
        <f>IF($B1861="","",IFERROR(INDEX(Task_Tracker!$AB$5:$AB$1004,MATCH($B1861,Task_Tracker!$A$5:$A$1004,0)),""))</f>
        <v/>
      </c>
      <c r="U1861" s="78">
        <f>IF($B1861="","",IFERROR(INDEX(Task_Tracker!$F$5:$F$1004,MATCH($B1861,Task_Tracker!$A$5:$A$1004,0)),""))</f>
        <v/>
      </c>
      <c r="V1861" s="78">
        <f>IF($B1861="","",IFERROR(INDEX(Task_Tracker!$I$5:$I$1004,MATCH($B1861,Task_Tracker!$A$5:$A$1004,0)),""))</f>
        <v/>
      </c>
      <c r="W1861" s="81">
        <f>IF(OR($D1861="",$B1861=""),"",$D1861&amp;" | "&amp;$B1861)</f>
        <v/>
      </c>
      <c r="X1861" s="85">
        <f>IF($K1861="","",TEXT($K1861,"yyyy-mm"))</f>
        <v/>
      </c>
      <c r="Y1861" s="81">
        <f>IF(OR($A1861="",$T1861=""),"","Included in Manager_Report")</f>
        <v/>
      </c>
    </row>
    <row r="1862" ht="15" customHeight="1" s="40">
      <c r="A1862" s="65">
        <f>IF(COUNTA(B1862:G1862)=0,"","STP-"&amp;TEXT(ROW()-4,"0000"))</f>
        <v/>
      </c>
      <c r="B1862" s="78" t="n"/>
      <c r="C1862" s="67">
        <f>IF($B1862="","",IFERROR(INDEX(Task_Tracker!$D$5:$D$1004,MATCH($B1862,Task_Tracker!$A$5:$A$1004,0)),""))</f>
        <v/>
      </c>
      <c r="D1862" s="67">
        <f>IF($B1862="","",IFERROR(INDEX(Task_Tracker!$B$5:$B$1004,MATCH($B1862,Task_Tracker!$A$5:$A$1004,0)),""))</f>
        <v/>
      </c>
      <c r="E1862" s="81" t="n"/>
      <c r="F1862" s="81" t="n"/>
      <c r="G1862" s="78" t="n"/>
      <c r="H1862" s="78" t="n"/>
      <c r="I1862" s="67">
        <f>IF($H1862="","",IFERROR(INDEX(Action_Status_Map!$B$5:$B$11,MATCH($H1862,Action_Status_Map!$A$5:$A$11,0)),""))</f>
        <v/>
      </c>
      <c r="J1862" s="82" t="n"/>
      <c r="K1862" s="82" t="n"/>
      <c r="L1862" s="82" t="n"/>
      <c r="M1862" s="83" t="n"/>
      <c r="N1862" s="83" t="n"/>
      <c r="O1862" s="66">
        <f>IF(OR($M1862="",$N1862=""),"",$N1862-$M1862)</f>
        <v/>
      </c>
      <c r="P1862" s="84">
        <f>IF($J1862="","",IF($L1862&lt;&gt;"",$L1862-$J1862,TODAY()-$J1862))</f>
        <v/>
      </c>
      <c r="Q1862" s="85">
        <f>IF(OR($K1862="",$H1862="Completed",$H1862="Cancelled"),"",IF(AND($K1862&lt;TODAY(),$H1862&lt;&gt;"Completed",$H1862&lt;&gt;"Cancelled"),"Overdue","On Track"))</f>
        <v/>
      </c>
      <c r="R1862" s="81" t="n"/>
      <c r="S1862" s="81">
        <f>IF($B1862="","",IFERROR(INDEX(Task_Tracker!$AA$5:$AA$1004,MATCH($B1862,Task_Tracker!$A$5:$A$1004,0)),""))</f>
        <v/>
      </c>
      <c r="T1862" s="81">
        <f>IF($B1862="","",IFERROR(INDEX(Task_Tracker!$AB$5:$AB$1004,MATCH($B1862,Task_Tracker!$A$5:$A$1004,0)),""))</f>
        <v/>
      </c>
      <c r="U1862" s="78">
        <f>IF($B1862="","",IFERROR(INDEX(Task_Tracker!$F$5:$F$1004,MATCH($B1862,Task_Tracker!$A$5:$A$1004,0)),""))</f>
        <v/>
      </c>
      <c r="V1862" s="78">
        <f>IF($B1862="","",IFERROR(INDEX(Task_Tracker!$I$5:$I$1004,MATCH($B1862,Task_Tracker!$A$5:$A$1004,0)),""))</f>
        <v/>
      </c>
      <c r="W1862" s="81">
        <f>IF(OR($D1862="",$B1862=""),"",$D1862&amp;" | "&amp;$B1862)</f>
        <v/>
      </c>
      <c r="X1862" s="85">
        <f>IF($K1862="","",TEXT($K1862,"yyyy-mm"))</f>
        <v/>
      </c>
      <c r="Y1862" s="81">
        <f>IF(OR($A1862="",$T1862=""),"","Included in Manager_Report")</f>
        <v/>
      </c>
    </row>
    <row r="1863" ht="15" customHeight="1" s="40">
      <c r="A1863" s="65">
        <f>IF(COUNTA(B1863:G1863)=0,"","STP-"&amp;TEXT(ROW()-4,"0000"))</f>
        <v/>
      </c>
      <c r="B1863" s="78" t="n"/>
      <c r="C1863" s="67">
        <f>IF($B1863="","",IFERROR(INDEX(Task_Tracker!$D$5:$D$1004,MATCH($B1863,Task_Tracker!$A$5:$A$1004,0)),""))</f>
        <v/>
      </c>
      <c r="D1863" s="67">
        <f>IF($B1863="","",IFERROR(INDEX(Task_Tracker!$B$5:$B$1004,MATCH($B1863,Task_Tracker!$A$5:$A$1004,0)),""))</f>
        <v/>
      </c>
      <c r="E1863" s="81" t="n"/>
      <c r="F1863" s="81" t="n"/>
      <c r="G1863" s="78" t="n"/>
      <c r="H1863" s="78" t="n"/>
      <c r="I1863" s="67">
        <f>IF($H1863="","",IFERROR(INDEX(Action_Status_Map!$B$5:$B$11,MATCH($H1863,Action_Status_Map!$A$5:$A$11,0)),""))</f>
        <v/>
      </c>
      <c r="J1863" s="82" t="n"/>
      <c r="K1863" s="82" t="n"/>
      <c r="L1863" s="82" t="n"/>
      <c r="M1863" s="83" t="n"/>
      <c r="N1863" s="83" t="n"/>
      <c r="O1863" s="66">
        <f>IF(OR($M1863="",$N1863=""),"",$N1863-$M1863)</f>
        <v/>
      </c>
      <c r="P1863" s="84">
        <f>IF($J1863="","",IF($L1863&lt;&gt;"",$L1863-$J1863,TODAY()-$J1863))</f>
        <v/>
      </c>
      <c r="Q1863" s="85">
        <f>IF(OR($K1863="",$H1863="Completed",$H1863="Cancelled"),"",IF(AND($K1863&lt;TODAY(),$H1863&lt;&gt;"Completed",$H1863&lt;&gt;"Cancelled"),"Overdue","On Track"))</f>
        <v/>
      </c>
      <c r="R1863" s="81" t="n"/>
      <c r="S1863" s="81">
        <f>IF($B1863="","",IFERROR(INDEX(Task_Tracker!$AA$5:$AA$1004,MATCH($B1863,Task_Tracker!$A$5:$A$1004,0)),""))</f>
        <v/>
      </c>
      <c r="T1863" s="81">
        <f>IF($B1863="","",IFERROR(INDEX(Task_Tracker!$AB$5:$AB$1004,MATCH($B1863,Task_Tracker!$A$5:$A$1004,0)),""))</f>
        <v/>
      </c>
      <c r="U1863" s="78">
        <f>IF($B1863="","",IFERROR(INDEX(Task_Tracker!$F$5:$F$1004,MATCH($B1863,Task_Tracker!$A$5:$A$1004,0)),""))</f>
        <v/>
      </c>
      <c r="V1863" s="78">
        <f>IF($B1863="","",IFERROR(INDEX(Task_Tracker!$I$5:$I$1004,MATCH($B1863,Task_Tracker!$A$5:$A$1004,0)),""))</f>
        <v/>
      </c>
      <c r="W1863" s="81">
        <f>IF(OR($D1863="",$B1863=""),"",$D1863&amp;" | "&amp;$B1863)</f>
        <v/>
      </c>
      <c r="X1863" s="85">
        <f>IF($K1863="","",TEXT($K1863,"yyyy-mm"))</f>
        <v/>
      </c>
      <c r="Y1863" s="81">
        <f>IF(OR($A1863="",$T1863=""),"","Included in Manager_Report")</f>
        <v/>
      </c>
    </row>
    <row r="1864" ht="15" customHeight="1" s="40">
      <c r="A1864" s="65">
        <f>IF(COUNTA(B1864:G1864)=0,"","STP-"&amp;TEXT(ROW()-4,"0000"))</f>
        <v/>
      </c>
      <c r="B1864" s="78" t="n"/>
      <c r="C1864" s="67">
        <f>IF($B1864="","",IFERROR(INDEX(Task_Tracker!$D$5:$D$1004,MATCH($B1864,Task_Tracker!$A$5:$A$1004,0)),""))</f>
        <v/>
      </c>
      <c r="D1864" s="67">
        <f>IF($B1864="","",IFERROR(INDEX(Task_Tracker!$B$5:$B$1004,MATCH($B1864,Task_Tracker!$A$5:$A$1004,0)),""))</f>
        <v/>
      </c>
      <c r="E1864" s="81" t="n"/>
      <c r="F1864" s="81" t="n"/>
      <c r="G1864" s="78" t="n"/>
      <c r="H1864" s="78" t="n"/>
      <c r="I1864" s="67">
        <f>IF($H1864="","",IFERROR(INDEX(Action_Status_Map!$B$5:$B$11,MATCH($H1864,Action_Status_Map!$A$5:$A$11,0)),""))</f>
        <v/>
      </c>
      <c r="J1864" s="82" t="n"/>
      <c r="K1864" s="82" t="n"/>
      <c r="L1864" s="82" t="n"/>
      <c r="M1864" s="83" t="n"/>
      <c r="N1864" s="83" t="n"/>
      <c r="O1864" s="66">
        <f>IF(OR($M1864="",$N1864=""),"",$N1864-$M1864)</f>
        <v/>
      </c>
      <c r="P1864" s="84">
        <f>IF($J1864="","",IF($L1864&lt;&gt;"",$L1864-$J1864,TODAY()-$J1864))</f>
        <v/>
      </c>
      <c r="Q1864" s="85">
        <f>IF(OR($K1864="",$H1864="Completed",$H1864="Cancelled"),"",IF(AND($K1864&lt;TODAY(),$H1864&lt;&gt;"Completed",$H1864&lt;&gt;"Cancelled"),"Overdue","On Track"))</f>
        <v/>
      </c>
      <c r="R1864" s="81" t="n"/>
      <c r="S1864" s="81">
        <f>IF($B1864="","",IFERROR(INDEX(Task_Tracker!$AA$5:$AA$1004,MATCH($B1864,Task_Tracker!$A$5:$A$1004,0)),""))</f>
        <v/>
      </c>
      <c r="T1864" s="81">
        <f>IF($B1864="","",IFERROR(INDEX(Task_Tracker!$AB$5:$AB$1004,MATCH($B1864,Task_Tracker!$A$5:$A$1004,0)),""))</f>
        <v/>
      </c>
      <c r="U1864" s="78">
        <f>IF($B1864="","",IFERROR(INDEX(Task_Tracker!$F$5:$F$1004,MATCH($B1864,Task_Tracker!$A$5:$A$1004,0)),""))</f>
        <v/>
      </c>
      <c r="V1864" s="78">
        <f>IF($B1864="","",IFERROR(INDEX(Task_Tracker!$I$5:$I$1004,MATCH($B1864,Task_Tracker!$A$5:$A$1004,0)),""))</f>
        <v/>
      </c>
      <c r="W1864" s="81">
        <f>IF(OR($D1864="",$B1864=""),"",$D1864&amp;" | "&amp;$B1864)</f>
        <v/>
      </c>
      <c r="X1864" s="85">
        <f>IF($K1864="","",TEXT($K1864,"yyyy-mm"))</f>
        <v/>
      </c>
      <c r="Y1864" s="81">
        <f>IF(OR($A1864="",$T1864=""),"","Included in Manager_Report")</f>
        <v/>
      </c>
    </row>
    <row r="1865" ht="15" customHeight="1" s="40">
      <c r="A1865" s="65">
        <f>IF(COUNTA(B1865:G1865)=0,"","STP-"&amp;TEXT(ROW()-4,"0000"))</f>
        <v/>
      </c>
      <c r="B1865" s="78" t="n"/>
      <c r="C1865" s="67">
        <f>IF($B1865="","",IFERROR(INDEX(Task_Tracker!$D$5:$D$1004,MATCH($B1865,Task_Tracker!$A$5:$A$1004,0)),""))</f>
        <v/>
      </c>
      <c r="D1865" s="67">
        <f>IF($B1865="","",IFERROR(INDEX(Task_Tracker!$B$5:$B$1004,MATCH($B1865,Task_Tracker!$A$5:$A$1004,0)),""))</f>
        <v/>
      </c>
      <c r="E1865" s="81" t="n"/>
      <c r="F1865" s="81" t="n"/>
      <c r="G1865" s="78" t="n"/>
      <c r="H1865" s="78" t="n"/>
      <c r="I1865" s="67">
        <f>IF($H1865="","",IFERROR(INDEX(Action_Status_Map!$B$5:$B$11,MATCH($H1865,Action_Status_Map!$A$5:$A$11,0)),""))</f>
        <v/>
      </c>
      <c r="J1865" s="82" t="n"/>
      <c r="K1865" s="82" t="n"/>
      <c r="L1865" s="82" t="n"/>
      <c r="M1865" s="83" t="n"/>
      <c r="N1865" s="83" t="n"/>
      <c r="O1865" s="66">
        <f>IF(OR($M1865="",$N1865=""),"",$N1865-$M1865)</f>
        <v/>
      </c>
      <c r="P1865" s="84">
        <f>IF($J1865="","",IF($L1865&lt;&gt;"",$L1865-$J1865,TODAY()-$J1865))</f>
        <v/>
      </c>
      <c r="Q1865" s="85">
        <f>IF(OR($K1865="",$H1865="Completed",$H1865="Cancelled"),"",IF(AND($K1865&lt;TODAY(),$H1865&lt;&gt;"Completed",$H1865&lt;&gt;"Cancelled"),"Overdue","On Track"))</f>
        <v/>
      </c>
      <c r="R1865" s="81" t="n"/>
      <c r="S1865" s="81">
        <f>IF($B1865="","",IFERROR(INDEX(Task_Tracker!$AA$5:$AA$1004,MATCH($B1865,Task_Tracker!$A$5:$A$1004,0)),""))</f>
        <v/>
      </c>
      <c r="T1865" s="81">
        <f>IF($B1865="","",IFERROR(INDEX(Task_Tracker!$AB$5:$AB$1004,MATCH($B1865,Task_Tracker!$A$5:$A$1004,0)),""))</f>
        <v/>
      </c>
      <c r="U1865" s="78">
        <f>IF($B1865="","",IFERROR(INDEX(Task_Tracker!$F$5:$F$1004,MATCH($B1865,Task_Tracker!$A$5:$A$1004,0)),""))</f>
        <v/>
      </c>
      <c r="V1865" s="78">
        <f>IF($B1865="","",IFERROR(INDEX(Task_Tracker!$I$5:$I$1004,MATCH($B1865,Task_Tracker!$A$5:$A$1004,0)),""))</f>
        <v/>
      </c>
      <c r="W1865" s="81">
        <f>IF(OR($D1865="",$B1865=""),"",$D1865&amp;" | "&amp;$B1865)</f>
        <v/>
      </c>
      <c r="X1865" s="85">
        <f>IF($K1865="","",TEXT($K1865,"yyyy-mm"))</f>
        <v/>
      </c>
      <c r="Y1865" s="81">
        <f>IF(OR($A1865="",$T1865=""),"","Included in Manager_Report")</f>
        <v/>
      </c>
    </row>
    <row r="1866" ht="15" customHeight="1" s="40">
      <c r="A1866" s="65">
        <f>IF(COUNTA(B1866:G1866)=0,"","STP-"&amp;TEXT(ROW()-4,"0000"))</f>
        <v/>
      </c>
      <c r="B1866" s="78" t="n"/>
      <c r="C1866" s="67">
        <f>IF($B1866="","",IFERROR(INDEX(Task_Tracker!$D$5:$D$1004,MATCH($B1866,Task_Tracker!$A$5:$A$1004,0)),""))</f>
        <v/>
      </c>
      <c r="D1866" s="67">
        <f>IF($B1866="","",IFERROR(INDEX(Task_Tracker!$B$5:$B$1004,MATCH($B1866,Task_Tracker!$A$5:$A$1004,0)),""))</f>
        <v/>
      </c>
      <c r="E1866" s="81" t="n"/>
      <c r="F1866" s="81" t="n"/>
      <c r="G1866" s="78" t="n"/>
      <c r="H1866" s="78" t="n"/>
      <c r="I1866" s="67">
        <f>IF($H1866="","",IFERROR(INDEX(Action_Status_Map!$B$5:$B$11,MATCH($H1866,Action_Status_Map!$A$5:$A$11,0)),""))</f>
        <v/>
      </c>
      <c r="J1866" s="82" t="n"/>
      <c r="K1866" s="82" t="n"/>
      <c r="L1866" s="82" t="n"/>
      <c r="M1866" s="83" t="n"/>
      <c r="N1866" s="83" t="n"/>
      <c r="O1866" s="66">
        <f>IF(OR($M1866="",$N1866=""),"",$N1866-$M1866)</f>
        <v/>
      </c>
      <c r="P1866" s="84">
        <f>IF($J1866="","",IF($L1866&lt;&gt;"",$L1866-$J1866,TODAY()-$J1866))</f>
        <v/>
      </c>
      <c r="Q1866" s="85">
        <f>IF(OR($K1866="",$H1866="Completed",$H1866="Cancelled"),"",IF(AND($K1866&lt;TODAY(),$H1866&lt;&gt;"Completed",$H1866&lt;&gt;"Cancelled"),"Overdue","On Track"))</f>
        <v/>
      </c>
      <c r="R1866" s="81" t="n"/>
      <c r="S1866" s="81">
        <f>IF($B1866="","",IFERROR(INDEX(Task_Tracker!$AA$5:$AA$1004,MATCH($B1866,Task_Tracker!$A$5:$A$1004,0)),""))</f>
        <v/>
      </c>
      <c r="T1866" s="81">
        <f>IF($B1866="","",IFERROR(INDEX(Task_Tracker!$AB$5:$AB$1004,MATCH($B1866,Task_Tracker!$A$5:$A$1004,0)),""))</f>
        <v/>
      </c>
      <c r="U1866" s="78">
        <f>IF($B1866="","",IFERROR(INDEX(Task_Tracker!$F$5:$F$1004,MATCH($B1866,Task_Tracker!$A$5:$A$1004,0)),""))</f>
        <v/>
      </c>
      <c r="V1866" s="78">
        <f>IF($B1866="","",IFERROR(INDEX(Task_Tracker!$I$5:$I$1004,MATCH($B1866,Task_Tracker!$A$5:$A$1004,0)),""))</f>
        <v/>
      </c>
      <c r="W1866" s="81">
        <f>IF(OR($D1866="",$B1866=""),"",$D1866&amp;" | "&amp;$B1866)</f>
        <v/>
      </c>
      <c r="X1866" s="85">
        <f>IF($K1866="","",TEXT($K1866,"yyyy-mm"))</f>
        <v/>
      </c>
      <c r="Y1866" s="81">
        <f>IF(OR($A1866="",$T1866=""),"","Included in Manager_Report")</f>
        <v/>
      </c>
    </row>
    <row r="1867" ht="15" customHeight="1" s="40">
      <c r="A1867" s="65">
        <f>IF(COUNTA(B1867:G1867)=0,"","STP-"&amp;TEXT(ROW()-4,"0000"))</f>
        <v/>
      </c>
      <c r="B1867" s="78" t="n"/>
      <c r="C1867" s="67">
        <f>IF($B1867="","",IFERROR(INDEX(Task_Tracker!$D$5:$D$1004,MATCH($B1867,Task_Tracker!$A$5:$A$1004,0)),""))</f>
        <v/>
      </c>
      <c r="D1867" s="67">
        <f>IF($B1867="","",IFERROR(INDEX(Task_Tracker!$B$5:$B$1004,MATCH($B1867,Task_Tracker!$A$5:$A$1004,0)),""))</f>
        <v/>
      </c>
      <c r="E1867" s="81" t="n"/>
      <c r="F1867" s="81" t="n"/>
      <c r="G1867" s="78" t="n"/>
      <c r="H1867" s="78" t="n"/>
      <c r="I1867" s="67">
        <f>IF($H1867="","",IFERROR(INDEX(Action_Status_Map!$B$5:$B$11,MATCH($H1867,Action_Status_Map!$A$5:$A$11,0)),""))</f>
        <v/>
      </c>
      <c r="J1867" s="82" t="n"/>
      <c r="K1867" s="82" t="n"/>
      <c r="L1867" s="82" t="n"/>
      <c r="M1867" s="83" t="n"/>
      <c r="N1867" s="83" t="n"/>
      <c r="O1867" s="66">
        <f>IF(OR($M1867="",$N1867=""),"",$N1867-$M1867)</f>
        <v/>
      </c>
      <c r="P1867" s="84">
        <f>IF($J1867="","",IF($L1867&lt;&gt;"",$L1867-$J1867,TODAY()-$J1867))</f>
        <v/>
      </c>
      <c r="Q1867" s="85">
        <f>IF(OR($K1867="",$H1867="Completed",$H1867="Cancelled"),"",IF(AND($K1867&lt;TODAY(),$H1867&lt;&gt;"Completed",$H1867&lt;&gt;"Cancelled"),"Overdue","On Track"))</f>
        <v/>
      </c>
      <c r="R1867" s="81" t="n"/>
      <c r="S1867" s="81">
        <f>IF($B1867="","",IFERROR(INDEX(Task_Tracker!$AA$5:$AA$1004,MATCH($B1867,Task_Tracker!$A$5:$A$1004,0)),""))</f>
        <v/>
      </c>
      <c r="T1867" s="81">
        <f>IF($B1867="","",IFERROR(INDEX(Task_Tracker!$AB$5:$AB$1004,MATCH($B1867,Task_Tracker!$A$5:$A$1004,0)),""))</f>
        <v/>
      </c>
      <c r="U1867" s="78">
        <f>IF($B1867="","",IFERROR(INDEX(Task_Tracker!$F$5:$F$1004,MATCH($B1867,Task_Tracker!$A$5:$A$1004,0)),""))</f>
        <v/>
      </c>
      <c r="V1867" s="78">
        <f>IF($B1867="","",IFERROR(INDEX(Task_Tracker!$I$5:$I$1004,MATCH($B1867,Task_Tracker!$A$5:$A$1004,0)),""))</f>
        <v/>
      </c>
      <c r="W1867" s="81">
        <f>IF(OR($D1867="",$B1867=""),"",$D1867&amp;" | "&amp;$B1867)</f>
        <v/>
      </c>
      <c r="X1867" s="85">
        <f>IF($K1867="","",TEXT($K1867,"yyyy-mm"))</f>
        <v/>
      </c>
      <c r="Y1867" s="81">
        <f>IF(OR($A1867="",$T1867=""),"","Included in Manager_Report")</f>
        <v/>
      </c>
    </row>
    <row r="1868" ht="15" customHeight="1" s="40">
      <c r="A1868" s="65">
        <f>IF(COUNTA(B1868:G1868)=0,"","STP-"&amp;TEXT(ROW()-4,"0000"))</f>
        <v/>
      </c>
      <c r="B1868" s="78" t="n"/>
      <c r="C1868" s="67">
        <f>IF($B1868="","",IFERROR(INDEX(Task_Tracker!$D$5:$D$1004,MATCH($B1868,Task_Tracker!$A$5:$A$1004,0)),""))</f>
        <v/>
      </c>
      <c r="D1868" s="67">
        <f>IF($B1868="","",IFERROR(INDEX(Task_Tracker!$B$5:$B$1004,MATCH($B1868,Task_Tracker!$A$5:$A$1004,0)),""))</f>
        <v/>
      </c>
      <c r="E1868" s="81" t="n"/>
      <c r="F1868" s="81" t="n"/>
      <c r="G1868" s="78" t="n"/>
      <c r="H1868" s="78" t="n"/>
      <c r="I1868" s="67">
        <f>IF($H1868="","",IFERROR(INDEX(Action_Status_Map!$B$5:$B$11,MATCH($H1868,Action_Status_Map!$A$5:$A$11,0)),""))</f>
        <v/>
      </c>
      <c r="J1868" s="82" t="n"/>
      <c r="K1868" s="82" t="n"/>
      <c r="L1868" s="82" t="n"/>
      <c r="M1868" s="83" t="n"/>
      <c r="N1868" s="83" t="n"/>
      <c r="O1868" s="66">
        <f>IF(OR($M1868="",$N1868=""),"",$N1868-$M1868)</f>
        <v/>
      </c>
      <c r="P1868" s="84">
        <f>IF($J1868="","",IF($L1868&lt;&gt;"",$L1868-$J1868,TODAY()-$J1868))</f>
        <v/>
      </c>
      <c r="Q1868" s="85">
        <f>IF(OR($K1868="",$H1868="Completed",$H1868="Cancelled"),"",IF(AND($K1868&lt;TODAY(),$H1868&lt;&gt;"Completed",$H1868&lt;&gt;"Cancelled"),"Overdue","On Track"))</f>
        <v/>
      </c>
      <c r="R1868" s="81" t="n"/>
      <c r="S1868" s="81">
        <f>IF($B1868="","",IFERROR(INDEX(Task_Tracker!$AA$5:$AA$1004,MATCH($B1868,Task_Tracker!$A$5:$A$1004,0)),""))</f>
        <v/>
      </c>
      <c r="T1868" s="81">
        <f>IF($B1868="","",IFERROR(INDEX(Task_Tracker!$AB$5:$AB$1004,MATCH($B1868,Task_Tracker!$A$5:$A$1004,0)),""))</f>
        <v/>
      </c>
      <c r="U1868" s="78">
        <f>IF($B1868="","",IFERROR(INDEX(Task_Tracker!$F$5:$F$1004,MATCH($B1868,Task_Tracker!$A$5:$A$1004,0)),""))</f>
        <v/>
      </c>
      <c r="V1868" s="78">
        <f>IF($B1868="","",IFERROR(INDEX(Task_Tracker!$I$5:$I$1004,MATCH($B1868,Task_Tracker!$A$5:$A$1004,0)),""))</f>
        <v/>
      </c>
      <c r="W1868" s="81">
        <f>IF(OR($D1868="",$B1868=""),"",$D1868&amp;" | "&amp;$B1868)</f>
        <v/>
      </c>
      <c r="X1868" s="85">
        <f>IF($K1868="","",TEXT($K1868,"yyyy-mm"))</f>
        <v/>
      </c>
      <c r="Y1868" s="81">
        <f>IF(OR($A1868="",$T1868=""),"","Included in Manager_Report")</f>
        <v/>
      </c>
    </row>
    <row r="1869" ht="15" customHeight="1" s="40">
      <c r="A1869" s="65">
        <f>IF(COUNTA(B1869:G1869)=0,"","STP-"&amp;TEXT(ROW()-4,"0000"))</f>
        <v/>
      </c>
      <c r="B1869" s="78" t="n"/>
      <c r="C1869" s="67">
        <f>IF($B1869="","",IFERROR(INDEX(Task_Tracker!$D$5:$D$1004,MATCH($B1869,Task_Tracker!$A$5:$A$1004,0)),""))</f>
        <v/>
      </c>
      <c r="D1869" s="67">
        <f>IF($B1869="","",IFERROR(INDEX(Task_Tracker!$B$5:$B$1004,MATCH($B1869,Task_Tracker!$A$5:$A$1004,0)),""))</f>
        <v/>
      </c>
      <c r="E1869" s="81" t="n"/>
      <c r="F1869" s="81" t="n"/>
      <c r="G1869" s="78" t="n"/>
      <c r="H1869" s="78" t="n"/>
      <c r="I1869" s="67">
        <f>IF($H1869="","",IFERROR(INDEX(Action_Status_Map!$B$5:$B$11,MATCH($H1869,Action_Status_Map!$A$5:$A$11,0)),""))</f>
        <v/>
      </c>
      <c r="J1869" s="82" t="n"/>
      <c r="K1869" s="82" t="n"/>
      <c r="L1869" s="82" t="n"/>
      <c r="M1869" s="83" t="n"/>
      <c r="N1869" s="83" t="n"/>
      <c r="O1869" s="66">
        <f>IF(OR($M1869="",$N1869=""),"",$N1869-$M1869)</f>
        <v/>
      </c>
      <c r="P1869" s="84">
        <f>IF($J1869="","",IF($L1869&lt;&gt;"",$L1869-$J1869,TODAY()-$J1869))</f>
        <v/>
      </c>
      <c r="Q1869" s="85">
        <f>IF(OR($K1869="",$H1869="Completed",$H1869="Cancelled"),"",IF(AND($K1869&lt;TODAY(),$H1869&lt;&gt;"Completed",$H1869&lt;&gt;"Cancelled"),"Overdue","On Track"))</f>
        <v/>
      </c>
      <c r="R1869" s="81" t="n"/>
      <c r="S1869" s="81">
        <f>IF($B1869="","",IFERROR(INDEX(Task_Tracker!$AA$5:$AA$1004,MATCH($B1869,Task_Tracker!$A$5:$A$1004,0)),""))</f>
        <v/>
      </c>
      <c r="T1869" s="81">
        <f>IF($B1869="","",IFERROR(INDEX(Task_Tracker!$AB$5:$AB$1004,MATCH($B1869,Task_Tracker!$A$5:$A$1004,0)),""))</f>
        <v/>
      </c>
      <c r="U1869" s="78">
        <f>IF($B1869="","",IFERROR(INDEX(Task_Tracker!$F$5:$F$1004,MATCH($B1869,Task_Tracker!$A$5:$A$1004,0)),""))</f>
        <v/>
      </c>
      <c r="V1869" s="78">
        <f>IF($B1869="","",IFERROR(INDEX(Task_Tracker!$I$5:$I$1004,MATCH($B1869,Task_Tracker!$A$5:$A$1004,0)),""))</f>
        <v/>
      </c>
      <c r="W1869" s="81">
        <f>IF(OR($D1869="",$B1869=""),"",$D1869&amp;" | "&amp;$B1869)</f>
        <v/>
      </c>
      <c r="X1869" s="85">
        <f>IF($K1869="","",TEXT($K1869,"yyyy-mm"))</f>
        <v/>
      </c>
      <c r="Y1869" s="81">
        <f>IF(OR($A1869="",$T1869=""),"","Included in Manager_Report")</f>
        <v/>
      </c>
    </row>
    <row r="1870" ht="15" customHeight="1" s="40">
      <c r="A1870" s="65">
        <f>IF(COUNTA(B1870:G1870)=0,"","STP-"&amp;TEXT(ROW()-4,"0000"))</f>
        <v/>
      </c>
      <c r="B1870" s="78" t="n"/>
      <c r="C1870" s="67">
        <f>IF($B1870="","",IFERROR(INDEX(Task_Tracker!$D$5:$D$1004,MATCH($B1870,Task_Tracker!$A$5:$A$1004,0)),""))</f>
        <v/>
      </c>
      <c r="D1870" s="67">
        <f>IF($B1870="","",IFERROR(INDEX(Task_Tracker!$B$5:$B$1004,MATCH($B1870,Task_Tracker!$A$5:$A$1004,0)),""))</f>
        <v/>
      </c>
      <c r="E1870" s="81" t="n"/>
      <c r="F1870" s="81" t="n"/>
      <c r="G1870" s="78" t="n"/>
      <c r="H1870" s="78" t="n"/>
      <c r="I1870" s="67">
        <f>IF($H1870="","",IFERROR(INDEX(Action_Status_Map!$B$5:$B$11,MATCH($H1870,Action_Status_Map!$A$5:$A$11,0)),""))</f>
        <v/>
      </c>
      <c r="J1870" s="82" t="n"/>
      <c r="K1870" s="82" t="n"/>
      <c r="L1870" s="82" t="n"/>
      <c r="M1870" s="83" t="n"/>
      <c r="N1870" s="83" t="n"/>
      <c r="O1870" s="66">
        <f>IF(OR($M1870="",$N1870=""),"",$N1870-$M1870)</f>
        <v/>
      </c>
      <c r="P1870" s="84">
        <f>IF($J1870="","",IF($L1870&lt;&gt;"",$L1870-$J1870,TODAY()-$J1870))</f>
        <v/>
      </c>
      <c r="Q1870" s="85">
        <f>IF(OR($K1870="",$H1870="Completed",$H1870="Cancelled"),"",IF(AND($K1870&lt;TODAY(),$H1870&lt;&gt;"Completed",$H1870&lt;&gt;"Cancelled"),"Overdue","On Track"))</f>
        <v/>
      </c>
      <c r="R1870" s="81" t="n"/>
      <c r="S1870" s="81">
        <f>IF($B1870="","",IFERROR(INDEX(Task_Tracker!$AA$5:$AA$1004,MATCH($B1870,Task_Tracker!$A$5:$A$1004,0)),""))</f>
        <v/>
      </c>
      <c r="T1870" s="81">
        <f>IF($B1870="","",IFERROR(INDEX(Task_Tracker!$AB$5:$AB$1004,MATCH($B1870,Task_Tracker!$A$5:$A$1004,0)),""))</f>
        <v/>
      </c>
      <c r="U1870" s="78">
        <f>IF($B1870="","",IFERROR(INDEX(Task_Tracker!$F$5:$F$1004,MATCH($B1870,Task_Tracker!$A$5:$A$1004,0)),""))</f>
        <v/>
      </c>
      <c r="V1870" s="78">
        <f>IF($B1870="","",IFERROR(INDEX(Task_Tracker!$I$5:$I$1004,MATCH($B1870,Task_Tracker!$A$5:$A$1004,0)),""))</f>
        <v/>
      </c>
      <c r="W1870" s="81">
        <f>IF(OR($D1870="",$B1870=""),"",$D1870&amp;" | "&amp;$B1870)</f>
        <v/>
      </c>
      <c r="X1870" s="85">
        <f>IF($K1870="","",TEXT($K1870,"yyyy-mm"))</f>
        <v/>
      </c>
      <c r="Y1870" s="81">
        <f>IF(OR($A1870="",$T1870=""),"","Included in Manager_Report")</f>
        <v/>
      </c>
    </row>
    <row r="1871" ht="15" customHeight="1" s="40">
      <c r="A1871" s="65">
        <f>IF(COUNTA(B1871:G1871)=0,"","STP-"&amp;TEXT(ROW()-4,"0000"))</f>
        <v/>
      </c>
      <c r="B1871" s="78" t="n"/>
      <c r="C1871" s="67">
        <f>IF($B1871="","",IFERROR(INDEX(Task_Tracker!$D$5:$D$1004,MATCH($B1871,Task_Tracker!$A$5:$A$1004,0)),""))</f>
        <v/>
      </c>
      <c r="D1871" s="67">
        <f>IF($B1871="","",IFERROR(INDEX(Task_Tracker!$B$5:$B$1004,MATCH($B1871,Task_Tracker!$A$5:$A$1004,0)),""))</f>
        <v/>
      </c>
      <c r="E1871" s="81" t="n"/>
      <c r="F1871" s="81" t="n"/>
      <c r="G1871" s="78" t="n"/>
      <c r="H1871" s="78" t="n"/>
      <c r="I1871" s="67">
        <f>IF($H1871="","",IFERROR(INDEX(Action_Status_Map!$B$5:$B$11,MATCH($H1871,Action_Status_Map!$A$5:$A$11,0)),""))</f>
        <v/>
      </c>
      <c r="J1871" s="82" t="n"/>
      <c r="K1871" s="82" t="n"/>
      <c r="L1871" s="82" t="n"/>
      <c r="M1871" s="83" t="n"/>
      <c r="N1871" s="83" t="n"/>
      <c r="O1871" s="66">
        <f>IF(OR($M1871="",$N1871=""),"",$N1871-$M1871)</f>
        <v/>
      </c>
      <c r="P1871" s="84">
        <f>IF($J1871="","",IF($L1871&lt;&gt;"",$L1871-$J1871,TODAY()-$J1871))</f>
        <v/>
      </c>
      <c r="Q1871" s="85">
        <f>IF(OR($K1871="",$H1871="Completed",$H1871="Cancelled"),"",IF(AND($K1871&lt;TODAY(),$H1871&lt;&gt;"Completed",$H1871&lt;&gt;"Cancelled"),"Overdue","On Track"))</f>
        <v/>
      </c>
      <c r="R1871" s="81" t="n"/>
      <c r="S1871" s="81">
        <f>IF($B1871="","",IFERROR(INDEX(Task_Tracker!$AA$5:$AA$1004,MATCH($B1871,Task_Tracker!$A$5:$A$1004,0)),""))</f>
        <v/>
      </c>
      <c r="T1871" s="81">
        <f>IF($B1871="","",IFERROR(INDEX(Task_Tracker!$AB$5:$AB$1004,MATCH($B1871,Task_Tracker!$A$5:$A$1004,0)),""))</f>
        <v/>
      </c>
      <c r="U1871" s="78">
        <f>IF($B1871="","",IFERROR(INDEX(Task_Tracker!$F$5:$F$1004,MATCH($B1871,Task_Tracker!$A$5:$A$1004,0)),""))</f>
        <v/>
      </c>
      <c r="V1871" s="78">
        <f>IF($B1871="","",IFERROR(INDEX(Task_Tracker!$I$5:$I$1004,MATCH($B1871,Task_Tracker!$A$5:$A$1004,0)),""))</f>
        <v/>
      </c>
      <c r="W1871" s="81">
        <f>IF(OR($D1871="",$B1871=""),"",$D1871&amp;" | "&amp;$B1871)</f>
        <v/>
      </c>
      <c r="X1871" s="85">
        <f>IF($K1871="","",TEXT($K1871,"yyyy-mm"))</f>
        <v/>
      </c>
      <c r="Y1871" s="81">
        <f>IF(OR($A1871="",$T1871=""),"","Included in Manager_Report")</f>
        <v/>
      </c>
    </row>
    <row r="1872" ht="15" customHeight="1" s="40">
      <c r="A1872" s="65">
        <f>IF(COUNTA(B1872:G1872)=0,"","STP-"&amp;TEXT(ROW()-4,"0000"))</f>
        <v/>
      </c>
      <c r="B1872" s="78" t="n"/>
      <c r="C1872" s="67">
        <f>IF($B1872="","",IFERROR(INDEX(Task_Tracker!$D$5:$D$1004,MATCH($B1872,Task_Tracker!$A$5:$A$1004,0)),""))</f>
        <v/>
      </c>
      <c r="D1872" s="67">
        <f>IF($B1872="","",IFERROR(INDEX(Task_Tracker!$B$5:$B$1004,MATCH($B1872,Task_Tracker!$A$5:$A$1004,0)),""))</f>
        <v/>
      </c>
      <c r="E1872" s="81" t="n"/>
      <c r="F1872" s="81" t="n"/>
      <c r="G1872" s="78" t="n"/>
      <c r="H1872" s="78" t="n"/>
      <c r="I1872" s="67">
        <f>IF($H1872="","",IFERROR(INDEX(Action_Status_Map!$B$5:$B$11,MATCH($H1872,Action_Status_Map!$A$5:$A$11,0)),""))</f>
        <v/>
      </c>
      <c r="J1872" s="82" t="n"/>
      <c r="K1872" s="82" t="n"/>
      <c r="L1872" s="82" t="n"/>
      <c r="M1872" s="83" t="n"/>
      <c r="N1872" s="83" t="n"/>
      <c r="O1872" s="66">
        <f>IF(OR($M1872="",$N1872=""),"",$N1872-$M1872)</f>
        <v/>
      </c>
      <c r="P1872" s="84">
        <f>IF($J1872="","",IF($L1872&lt;&gt;"",$L1872-$J1872,TODAY()-$J1872))</f>
        <v/>
      </c>
      <c r="Q1872" s="85">
        <f>IF(OR($K1872="",$H1872="Completed",$H1872="Cancelled"),"",IF(AND($K1872&lt;TODAY(),$H1872&lt;&gt;"Completed",$H1872&lt;&gt;"Cancelled"),"Overdue","On Track"))</f>
        <v/>
      </c>
      <c r="R1872" s="81" t="n"/>
      <c r="S1872" s="81">
        <f>IF($B1872="","",IFERROR(INDEX(Task_Tracker!$AA$5:$AA$1004,MATCH($B1872,Task_Tracker!$A$5:$A$1004,0)),""))</f>
        <v/>
      </c>
      <c r="T1872" s="81">
        <f>IF($B1872="","",IFERROR(INDEX(Task_Tracker!$AB$5:$AB$1004,MATCH($B1872,Task_Tracker!$A$5:$A$1004,0)),""))</f>
        <v/>
      </c>
      <c r="U1872" s="78">
        <f>IF($B1872="","",IFERROR(INDEX(Task_Tracker!$F$5:$F$1004,MATCH($B1872,Task_Tracker!$A$5:$A$1004,0)),""))</f>
        <v/>
      </c>
      <c r="V1872" s="78">
        <f>IF($B1872="","",IFERROR(INDEX(Task_Tracker!$I$5:$I$1004,MATCH($B1872,Task_Tracker!$A$5:$A$1004,0)),""))</f>
        <v/>
      </c>
      <c r="W1872" s="81">
        <f>IF(OR($D1872="",$B1872=""),"",$D1872&amp;" | "&amp;$B1872)</f>
        <v/>
      </c>
      <c r="X1872" s="85">
        <f>IF($K1872="","",TEXT($K1872,"yyyy-mm"))</f>
        <v/>
      </c>
      <c r="Y1872" s="81">
        <f>IF(OR($A1872="",$T1872=""),"","Included in Manager_Report")</f>
        <v/>
      </c>
    </row>
    <row r="1873" ht="15" customHeight="1" s="40">
      <c r="A1873" s="65">
        <f>IF(COUNTA(B1873:G1873)=0,"","STP-"&amp;TEXT(ROW()-4,"0000"))</f>
        <v/>
      </c>
      <c r="B1873" s="78" t="n"/>
      <c r="C1873" s="67">
        <f>IF($B1873="","",IFERROR(INDEX(Task_Tracker!$D$5:$D$1004,MATCH($B1873,Task_Tracker!$A$5:$A$1004,0)),""))</f>
        <v/>
      </c>
      <c r="D1873" s="67">
        <f>IF($B1873="","",IFERROR(INDEX(Task_Tracker!$B$5:$B$1004,MATCH($B1873,Task_Tracker!$A$5:$A$1004,0)),""))</f>
        <v/>
      </c>
      <c r="E1873" s="81" t="n"/>
      <c r="F1873" s="81" t="n"/>
      <c r="G1873" s="78" t="n"/>
      <c r="H1873" s="78" t="n"/>
      <c r="I1873" s="67">
        <f>IF($H1873="","",IFERROR(INDEX(Action_Status_Map!$B$5:$B$11,MATCH($H1873,Action_Status_Map!$A$5:$A$11,0)),""))</f>
        <v/>
      </c>
      <c r="J1873" s="82" t="n"/>
      <c r="K1873" s="82" t="n"/>
      <c r="L1873" s="82" t="n"/>
      <c r="M1873" s="83" t="n"/>
      <c r="N1873" s="83" t="n"/>
      <c r="O1873" s="66">
        <f>IF(OR($M1873="",$N1873=""),"",$N1873-$M1873)</f>
        <v/>
      </c>
      <c r="P1873" s="84">
        <f>IF($J1873="","",IF($L1873&lt;&gt;"",$L1873-$J1873,TODAY()-$J1873))</f>
        <v/>
      </c>
      <c r="Q1873" s="85">
        <f>IF(OR($K1873="",$H1873="Completed",$H1873="Cancelled"),"",IF(AND($K1873&lt;TODAY(),$H1873&lt;&gt;"Completed",$H1873&lt;&gt;"Cancelled"),"Overdue","On Track"))</f>
        <v/>
      </c>
      <c r="R1873" s="81" t="n"/>
      <c r="S1873" s="81">
        <f>IF($B1873="","",IFERROR(INDEX(Task_Tracker!$AA$5:$AA$1004,MATCH($B1873,Task_Tracker!$A$5:$A$1004,0)),""))</f>
        <v/>
      </c>
      <c r="T1873" s="81">
        <f>IF($B1873="","",IFERROR(INDEX(Task_Tracker!$AB$5:$AB$1004,MATCH($B1873,Task_Tracker!$A$5:$A$1004,0)),""))</f>
        <v/>
      </c>
      <c r="U1873" s="78">
        <f>IF($B1873="","",IFERROR(INDEX(Task_Tracker!$F$5:$F$1004,MATCH($B1873,Task_Tracker!$A$5:$A$1004,0)),""))</f>
        <v/>
      </c>
      <c r="V1873" s="78">
        <f>IF($B1873="","",IFERROR(INDEX(Task_Tracker!$I$5:$I$1004,MATCH($B1873,Task_Tracker!$A$5:$A$1004,0)),""))</f>
        <v/>
      </c>
      <c r="W1873" s="81">
        <f>IF(OR($D1873="",$B1873=""),"",$D1873&amp;" | "&amp;$B1873)</f>
        <v/>
      </c>
      <c r="X1873" s="85">
        <f>IF($K1873="","",TEXT($K1873,"yyyy-mm"))</f>
        <v/>
      </c>
      <c r="Y1873" s="81">
        <f>IF(OR($A1873="",$T1873=""),"","Included in Manager_Report")</f>
        <v/>
      </c>
    </row>
    <row r="1874" ht="15" customHeight="1" s="40">
      <c r="A1874" s="65">
        <f>IF(COUNTA(B1874:G1874)=0,"","STP-"&amp;TEXT(ROW()-4,"0000"))</f>
        <v/>
      </c>
      <c r="B1874" s="78" t="n"/>
      <c r="C1874" s="67">
        <f>IF($B1874="","",IFERROR(INDEX(Task_Tracker!$D$5:$D$1004,MATCH($B1874,Task_Tracker!$A$5:$A$1004,0)),""))</f>
        <v/>
      </c>
      <c r="D1874" s="67">
        <f>IF($B1874="","",IFERROR(INDEX(Task_Tracker!$B$5:$B$1004,MATCH($B1874,Task_Tracker!$A$5:$A$1004,0)),""))</f>
        <v/>
      </c>
      <c r="E1874" s="81" t="n"/>
      <c r="F1874" s="81" t="n"/>
      <c r="G1874" s="78" t="n"/>
      <c r="H1874" s="78" t="n"/>
      <c r="I1874" s="67">
        <f>IF($H1874="","",IFERROR(INDEX(Action_Status_Map!$B$5:$B$11,MATCH($H1874,Action_Status_Map!$A$5:$A$11,0)),""))</f>
        <v/>
      </c>
      <c r="J1874" s="82" t="n"/>
      <c r="K1874" s="82" t="n"/>
      <c r="L1874" s="82" t="n"/>
      <c r="M1874" s="83" t="n"/>
      <c r="N1874" s="83" t="n"/>
      <c r="O1874" s="66">
        <f>IF(OR($M1874="",$N1874=""),"",$N1874-$M1874)</f>
        <v/>
      </c>
      <c r="P1874" s="84">
        <f>IF($J1874="","",IF($L1874&lt;&gt;"",$L1874-$J1874,TODAY()-$J1874))</f>
        <v/>
      </c>
      <c r="Q1874" s="85">
        <f>IF(OR($K1874="",$H1874="Completed",$H1874="Cancelled"),"",IF(AND($K1874&lt;TODAY(),$H1874&lt;&gt;"Completed",$H1874&lt;&gt;"Cancelled"),"Overdue","On Track"))</f>
        <v/>
      </c>
      <c r="R1874" s="81" t="n"/>
      <c r="S1874" s="81">
        <f>IF($B1874="","",IFERROR(INDEX(Task_Tracker!$AA$5:$AA$1004,MATCH($B1874,Task_Tracker!$A$5:$A$1004,0)),""))</f>
        <v/>
      </c>
      <c r="T1874" s="81">
        <f>IF($B1874="","",IFERROR(INDEX(Task_Tracker!$AB$5:$AB$1004,MATCH($B1874,Task_Tracker!$A$5:$A$1004,0)),""))</f>
        <v/>
      </c>
      <c r="U1874" s="78">
        <f>IF($B1874="","",IFERROR(INDEX(Task_Tracker!$F$5:$F$1004,MATCH($B1874,Task_Tracker!$A$5:$A$1004,0)),""))</f>
        <v/>
      </c>
      <c r="V1874" s="78">
        <f>IF($B1874="","",IFERROR(INDEX(Task_Tracker!$I$5:$I$1004,MATCH($B1874,Task_Tracker!$A$5:$A$1004,0)),""))</f>
        <v/>
      </c>
      <c r="W1874" s="81">
        <f>IF(OR($D1874="",$B1874=""),"",$D1874&amp;" | "&amp;$B1874)</f>
        <v/>
      </c>
      <c r="X1874" s="85">
        <f>IF($K1874="","",TEXT($K1874,"yyyy-mm"))</f>
        <v/>
      </c>
      <c r="Y1874" s="81">
        <f>IF(OR($A1874="",$T1874=""),"","Included in Manager_Report")</f>
        <v/>
      </c>
    </row>
    <row r="1875" ht="15" customHeight="1" s="40">
      <c r="A1875" s="65">
        <f>IF(COUNTA(B1875:G1875)=0,"","STP-"&amp;TEXT(ROW()-4,"0000"))</f>
        <v/>
      </c>
      <c r="B1875" s="78" t="n"/>
      <c r="C1875" s="67">
        <f>IF($B1875="","",IFERROR(INDEX(Task_Tracker!$D$5:$D$1004,MATCH($B1875,Task_Tracker!$A$5:$A$1004,0)),""))</f>
        <v/>
      </c>
      <c r="D1875" s="67">
        <f>IF($B1875="","",IFERROR(INDEX(Task_Tracker!$B$5:$B$1004,MATCH($B1875,Task_Tracker!$A$5:$A$1004,0)),""))</f>
        <v/>
      </c>
      <c r="E1875" s="81" t="n"/>
      <c r="F1875" s="81" t="n"/>
      <c r="G1875" s="78" t="n"/>
      <c r="H1875" s="78" t="n"/>
      <c r="I1875" s="67">
        <f>IF($H1875="","",IFERROR(INDEX(Action_Status_Map!$B$5:$B$11,MATCH($H1875,Action_Status_Map!$A$5:$A$11,0)),""))</f>
        <v/>
      </c>
      <c r="J1875" s="82" t="n"/>
      <c r="K1875" s="82" t="n"/>
      <c r="L1875" s="82" t="n"/>
      <c r="M1875" s="83" t="n"/>
      <c r="N1875" s="83" t="n"/>
      <c r="O1875" s="66">
        <f>IF(OR($M1875="",$N1875=""),"",$N1875-$M1875)</f>
        <v/>
      </c>
      <c r="P1875" s="84">
        <f>IF($J1875="","",IF($L1875&lt;&gt;"",$L1875-$J1875,TODAY()-$J1875))</f>
        <v/>
      </c>
      <c r="Q1875" s="85">
        <f>IF(OR($K1875="",$H1875="Completed",$H1875="Cancelled"),"",IF(AND($K1875&lt;TODAY(),$H1875&lt;&gt;"Completed",$H1875&lt;&gt;"Cancelled"),"Overdue","On Track"))</f>
        <v/>
      </c>
      <c r="R1875" s="81" t="n"/>
      <c r="S1875" s="81">
        <f>IF($B1875="","",IFERROR(INDEX(Task_Tracker!$AA$5:$AA$1004,MATCH($B1875,Task_Tracker!$A$5:$A$1004,0)),""))</f>
        <v/>
      </c>
      <c r="T1875" s="81">
        <f>IF($B1875="","",IFERROR(INDEX(Task_Tracker!$AB$5:$AB$1004,MATCH($B1875,Task_Tracker!$A$5:$A$1004,0)),""))</f>
        <v/>
      </c>
      <c r="U1875" s="78">
        <f>IF($B1875="","",IFERROR(INDEX(Task_Tracker!$F$5:$F$1004,MATCH($B1875,Task_Tracker!$A$5:$A$1004,0)),""))</f>
        <v/>
      </c>
      <c r="V1875" s="78">
        <f>IF($B1875="","",IFERROR(INDEX(Task_Tracker!$I$5:$I$1004,MATCH($B1875,Task_Tracker!$A$5:$A$1004,0)),""))</f>
        <v/>
      </c>
      <c r="W1875" s="81">
        <f>IF(OR($D1875="",$B1875=""),"",$D1875&amp;" | "&amp;$B1875)</f>
        <v/>
      </c>
      <c r="X1875" s="85">
        <f>IF($K1875="","",TEXT($K1875,"yyyy-mm"))</f>
        <v/>
      </c>
      <c r="Y1875" s="81">
        <f>IF(OR($A1875="",$T1875=""),"","Included in Manager_Report")</f>
        <v/>
      </c>
    </row>
    <row r="1876" ht="15" customHeight="1" s="40">
      <c r="A1876" s="65">
        <f>IF(COUNTA(B1876:G1876)=0,"","STP-"&amp;TEXT(ROW()-4,"0000"))</f>
        <v/>
      </c>
      <c r="B1876" s="78" t="n"/>
      <c r="C1876" s="67">
        <f>IF($B1876="","",IFERROR(INDEX(Task_Tracker!$D$5:$D$1004,MATCH($B1876,Task_Tracker!$A$5:$A$1004,0)),""))</f>
        <v/>
      </c>
      <c r="D1876" s="67">
        <f>IF($B1876="","",IFERROR(INDEX(Task_Tracker!$B$5:$B$1004,MATCH($B1876,Task_Tracker!$A$5:$A$1004,0)),""))</f>
        <v/>
      </c>
      <c r="E1876" s="81" t="n"/>
      <c r="F1876" s="81" t="n"/>
      <c r="G1876" s="78" t="n"/>
      <c r="H1876" s="78" t="n"/>
      <c r="I1876" s="67">
        <f>IF($H1876="","",IFERROR(INDEX(Action_Status_Map!$B$5:$B$11,MATCH($H1876,Action_Status_Map!$A$5:$A$11,0)),""))</f>
        <v/>
      </c>
      <c r="J1876" s="82" t="n"/>
      <c r="K1876" s="82" t="n"/>
      <c r="L1876" s="82" t="n"/>
      <c r="M1876" s="83" t="n"/>
      <c r="N1876" s="83" t="n"/>
      <c r="O1876" s="66">
        <f>IF(OR($M1876="",$N1876=""),"",$N1876-$M1876)</f>
        <v/>
      </c>
      <c r="P1876" s="84">
        <f>IF($J1876="","",IF($L1876&lt;&gt;"",$L1876-$J1876,TODAY()-$J1876))</f>
        <v/>
      </c>
      <c r="Q1876" s="85">
        <f>IF(OR($K1876="",$H1876="Completed",$H1876="Cancelled"),"",IF(AND($K1876&lt;TODAY(),$H1876&lt;&gt;"Completed",$H1876&lt;&gt;"Cancelled"),"Overdue","On Track"))</f>
        <v/>
      </c>
      <c r="R1876" s="81" t="n"/>
      <c r="S1876" s="81">
        <f>IF($B1876="","",IFERROR(INDEX(Task_Tracker!$AA$5:$AA$1004,MATCH($B1876,Task_Tracker!$A$5:$A$1004,0)),""))</f>
        <v/>
      </c>
      <c r="T1876" s="81">
        <f>IF($B1876="","",IFERROR(INDEX(Task_Tracker!$AB$5:$AB$1004,MATCH($B1876,Task_Tracker!$A$5:$A$1004,0)),""))</f>
        <v/>
      </c>
      <c r="U1876" s="78">
        <f>IF($B1876="","",IFERROR(INDEX(Task_Tracker!$F$5:$F$1004,MATCH($B1876,Task_Tracker!$A$5:$A$1004,0)),""))</f>
        <v/>
      </c>
      <c r="V1876" s="78">
        <f>IF($B1876="","",IFERROR(INDEX(Task_Tracker!$I$5:$I$1004,MATCH($B1876,Task_Tracker!$A$5:$A$1004,0)),""))</f>
        <v/>
      </c>
      <c r="W1876" s="81">
        <f>IF(OR($D1876="",$B1876=""),"",$D1876&amp;" | "&amp;$B1876)</f>
        <v/>
      </c>
      <c r="X1876" s="85">
        <f>IF($K1876="","",TEXT($K1876,"yyyy-mm"))</f>
        <v/>
      </c>
      <c r="Y1876" s="81">
        <f>IF(OR($A1876="",$T1876=""),"","Included in Manager_Report")</f>
        <v/>
      </c>
    </row>
    <row r="1877" ht="15" customHeight="1" s="40">
      <c r="A1877" s="65">
        <f>IF(COUNTA(B1877:G1877)=0,"","STP-"&amp;TEXT(ROW()-4,"0000"))</f>
        <v/>
      </c>
      <c r="B1877" s="78" t="n"/>
      <c r="C1877" s="67">
        <f>IF($B1877="","",IFERROR(INDEX(Task_Tracker!$D$5:$D$1004,MATCH($B1877,Task_Tracker!$A$5:$A$1004,0)),""))</f>
        <v/>
      </c>
      <c r="D1877" s="67">
        <f>IF($B1877="","",IFERROR(INDEX(Task_Tracker!$B$5:$B$1004,MATCH($B1877,Task_Tracker!$A$5:$A$1004,0)),""))</f>
        <v/>
      </c>
      <c r="E1877" s="81" t="n"/>
      <c r="F1877" s="81" t="n"/>
      <c r="G1877" s="78" t="n"/>
      <c r="H1877" s="78" t="n"/>
      <c r="I1877" s="67">
        <f>IF($H1877="","",IFERROR(INDEX(Action_Status_Map!$B$5:$B$11,MATCH($H1877,Action_Status_Map!$A$5:$A$11,0)),""))</f>
        <v/>
      </c>
      <c r="J1877" s="82" t="n"/>
      <c r="K1877" s="82" t="n"/>
      <c r="L1877" s="82" t="n"/>
      <c r="M1877" s="83" t="n"/>
      <c r="N1877" s="83" t="n"/>
      <c r="O1877" s="66">
        <f>IF(OR($M1877="",$N1877=""),"",$N1877-$M1877)</f>
        <v/>
      </c>
      <c r="P1877" s="84">
        <f>IF($J1877="","",IF($L1877&lt;&gt;"",$L1877-$J1877,TODAY()-$J1877))</f>
        <v/>
      </c>
      <c r="Q1877" s="85">
        <f>IF(OR($K1877="",$H1877="Completed",$H1877="Cancelled"),"",IF(AND($K1877&lt;TODAY(),$H1877&lt;&gt;"Completed",$H1877&lt;&gt;"Cancelled"),"Overdue","On Track"))</f>
        <v/>
      </c>
      <c r="R1877" s="81" t="n"/>
      <c r="S1877" s="81">
        <f>IF($B1877="","",IFERROR(INDEX(Task_Tracker!$AA$5:$AA$1004,MATCH($B1877,Task_Tracker!$A$5:$A$1004,0)),""))</f>
        <v/>
      </c>
      <c r="T1877" s="81">
        <f>IF($B1877="","",IFERROR(INDEX(Task_Tracker!$AB$5:$AB$1004,MATCH($B1877,Task_Tracker!$A$5:$A$1004,0)),""))</f>
        <v/>
      </c>
      <c r="U1877" s="78">
        <f>IF($B1877="","",IFERROR(INDEX(Task_Tracker!$F$5:$F$1004,MATCH($B1877,Task_Tracker!$A$5:$A$1004,0)),""))</f>
        <v/>
      </c>
      <c r="V1877" s="78">
        <f>IF($B1877="","",IFERROR(INDEX(Task_Tracker!$I$5:$I$1004,MATCH($B1877,Task_Tracker!$A$5:$A$1004,0)),""))</f>
        <v/>
      </c>
      <c r="W1877" s="81">
        <f>IF(OR($D1877="",$B1877=""),"",$D1877&amp;" | "&amp;$B1877)</f>
        <v/>
      </c>
      <c r="X1877" s="85">
        <f>IF($K1877="","",TEXT($K1877,"yyyy-mm"))</f>
        <v/>
      </c>
      <c r="Y1877" s="81">
        <f>IF(OR($A1877="",$T1877=""),"","Included in Manager_Report")</f>
        <v/>
      </c>
    </row>
    <row r="1878" ht="15" customHeight="1" s="40">
      <c r="A1878" s="65">
        <f>IF(COUNTA(B1878:G1878)=0,"","STP-"&amp;TEXT(ROW()-4,"0000"))</f>
        <v/>
      </c>
      <c r="B1878" s="78" t="n"/>
      <c r="C1878" s="67">
        <f>IF($B1878="","",IFERROR(INDEX(Task_Tracker!$D$5:$D$1004,MATCH($B1878,Task_Tracker!$A$5:$A$1004,0)),""))</f>
        <v/>
      </c>
      <c r="D1878" s="67">
        <f>IF($B1878="","",IFERROR(INDEX(Task_Tracker!$B$5:$B$1004,MATCH($B1878,Task_Tracker!$A$5:$A$1004,0)),""))</f>
        <v/>
      </c>
      <c r="E1878" s="81" t="n"/>
      <c r="F1878" s="81" t="n"/>
      <c r="G1878" s="78" t="n"/>
      <c r="H1878" s="78" t="n"/>
      <c r="I1878" s="67">
        <f>IF($H1878="","",IFERROR(INDEX(Action_Status_Map!$B$5:$B$11,MATCH($H1878,Action_Status_Map!$A$5:$A$11,0)),""))</f>
        <v/>
      </c>
      <c r="J1878" s="82" t="n"/>
      <c r="K1878" s="82" t="n"/>
      <c r="L1878" s="82" t="n"/>
      <c r="M1878" s="83" t="n"/>
      <c r="N1878" s="83" t="n"/>
      <c r="O1878" s="66">
        <f>IF(OR($M1878="",$N1878=""),"",$N1878-$M1878)</f>
        <v/>
      </c>
      <c r="P1878" s="84">
        <f>IF($J1878="","",IF($L1878&lt;&gt;"",$L1878-$J1878,TODAY()-$J1878))</f>
        <v/>
      </c>
      <c r="Q1878" s="85">
        <f>IF(OR($K1878="",$H1878="Completed",$H1878="Cancelled"),"",IF(AND($K1878&lt;TODAY(),$H1878&lt;&gt;"Completed",$H1878&lt;&gt;"Cancelled"),"Overdue","On Track"))</f>
        <v/>
      </c>
      <c r="R1878" s="81" t="n"/>
      <c r="S1878" s="81">
        <f>IF($B1878="","",IFERROR(INDEX(Task_Tracker!$AA$5:$AA$1004,MATCH($B1878,Task_Tracker!$A$5:$A$1004,0)),""))</f>
        <v/>
      </c>
      <c r="T1878" s="81">
        <f>IF($B1878="","",IFERROR(INDEX(Task_Tracker!$AB$5:$AB$1004,MATCH($B1878,Task_Tracker!$A$5:$A$1004,0)),""))</f>
        <v/>
      </c>
      <c r="U1878" s="78">
        <f>IF($B1878="","",IFERROR(INDEX(Task_Tracker!$F$5:$F$1004,MATCH($B1878,Task_Tracker!$A$5:$A$1004,0)),""))</f>
        <v/>
      </c>
      <c r="V1878" s="78">
        <f>IF($B1878="","",IFERROR(INDEX(Task_Tracker!$I$5:$I$1004,MATCH($B1878,Task_Tracker!$A$5:$A$1004,0)),""))</f>
        <v/>
      </c>
      <c r="W1878" s="81">
        <f>IF(OR($D1878="",$B1878=""),"",$D1878&amp;" | "&amp;$B1878)</f>
        <v/>
      </c>
      <c r="X1878" s="85">
        <f>IF($K1878="","",TEXT($K1878,"yyyy-mm"))</f>
        <v/>
      </c>
      <c r="Y1878" s="81">
        <f>IF(OR($A1878="",$T1878=""),"","Included in Manager_Report")</f>
        <v/>
      </c>
    </row>
    <row r="1879" ht="15" customHeight="1" s="40">
      <c r="A1879" s="65">
        <f>IF(COUNTA(B1879:G1879)=0,"","STP-"&amp;TEXT(ROW()-4,"0000"))</f>
        <v/>
      </c>
      <c r="B1879" s="78" t="n"/>
      <c r="C1879" s="67">
        <f>IF($B1879="","",IFERROR(INDEX(Task_Tracker!$D$5:$D$1004,MATCH($B1879,Task_Tracker!$A$5:$A$1004,0)),""))</f>
        <v/>
      </c>
      <c r="D1879" s="67">
        <f>IF($B1879="","",IFERROR(INDEX(Task_Tracker!$B$5:$B$1004,MATCH($B1879,Task_Tracker!$A$5:$A$1004,0)),""))</f>
        <v/>
      </c>
      <c r="E1879" s="81" t="n"/>
      <c r="F1879" s="81" t="n"/>
      <c r="G1879" s="78" t="n"/>
      <c r="H1879" s="78" t="n"/>
      <c r="I1879" s="67">
        <f>IF($H1879="","",IFERROR(INDEX(Action_Status_Map!$B$5:$B$11,MATCH($H1879,Action_Status_Map!$A$5:$A$11,0)),""))</f>
        <v/>
      </c>
      <c r="J1879" s="82" t="n"/>
      <c r="K1879" s="82" t="n"/>
      <c r="L1879" s="82" t="n"/>
      <c r="M1879" s="83" t="n"/>
      <c r="N1879" s="83" t="n"/>
      <c r="O1879" s="66">
        <f>IF(OR($M1879="",$N1879=""),"",$N1879-$M1879)</f>
        <v/>
      </c>
      <c r="P1879" s="84">
        <f>IF($J1879="","",IF($L1879&lt;&gt;"",$L1879-$J1879,TODAY()-$J1879))</f>
        <v/>
      </c>
      <c r="Q1879" s="85">
        <f>IF(OR($K1879="",$H1879="Completed",$H1879="Cancelled"),"",IF(AND($K1879&lt;TODAY(),$H1879&lt;&gt;"Completed",$H1879&lt;&gt;"Cancelled"),"Overdue","On Track"))</f>
        <v/>
      </c>
      <c r="R1879" s="81" t="n"/>
      <c r="S1879" s="81">
        <f>IF($B1879="","",IFERROR(INDEX(Task_Tracker!$AA$5:$AA$1004,MATCH($B1879,Task_Tracker!$A$5:$A$1004,0)),""))</f>
        <v/>
      </c>
      <c r="T1879" s="81">
        <f>IF($B1879="","",IFERROR(INDEX(Task_Tracker!$AB$5:$AB$1004,MATCH($B1879,Task_Tracker!$A$5:$A$1004,0)),""))</f>
        <v/>
      </c>
      <c r="U1879" s="78">
        <f>IF($B1879="","",IFERROR(INDEX(Task_Tracker!$F$5:$F$1004,MATCH($B1879,Task_Tracker!$A$5:$A$1004,0)),""))</f>
        <v/>
      </c>
      <c r="V1879" s="78">
        <f>IF($B1879="","",IFERROR(INDEX(Task_Tracker!$I$5:$I$1004,MATCH($B1879,Task_Tracker!$A$5:$A$1004,0)),""))</f>
        <v/>
      </c>
      <c r="W1879" s="81">
        <f>IF(OR($D1879="",$B1879=""),"",$D1879&amp;" | "&amp;$B1879)</f>
        <v/>
      </c>
      <c r="X1879" s="85">
        <f>IF($K1879="","",TEXT($K1879,"yyyy-mm"))</f>
        <v/>
      </c>
      <c r="Y1879" s="81">
        <f>IF(OR($A1879="",$T1879=""),"","Included in Manager_Report")</f>
        <v/>
      </c>
    </row>
    <row r="1880" ht="15" customHeight="1" s="40">
      <c r="A1880" s="65">
        <f>IF(COUNTA(B1880:G1880)=0,"","STP-"&amp;TEXT(ROW()-4,"0000"))</f>
        <v/>
      </c>
      <c r="B1880" s="78" t="n"/>
      <c r="C1880" s="67">
        <f>IF($B1880="","",IFERROR(INDEX(Task_Tracker!$D$5:$D$1004,MATCH($B1880,Task_Tracker!$A$5:$A$1004,0)),""))</f>
        <v/>
      </c>
      <c r="D1880" s="67">
        <f>IF($B1880="","",IFERROR(INDEX(Task_Tracker!$B$5:$B$1004,MATCH($B1880,Task_Tracker!$A$5:$A$1004,0)),""))</f>
        <v/>
      </c>
      <c r="E1880" s="81" t="n"/>
      <c r="F1880" s="81" t="n"/>
      <c r="G1880" s="78" t="n"/>
      <c r="H1880" s="78" t="n"/>
      <c r="I1880" s="67">
        <f>IF($H1880="","",IFERROR(INDEX(Action_Status_Map!$B$5:$B$11,MATCH($H1880,Action_Status_Map!$A$5:$A$11,0)),""))</f>
        <v/>
      </c>
      <c r="J1880" s="82" t="n"/>
      <c r="K1880" s="82" t="n"/>
      <c r="L1880" s="82" t="n"/>
      <c r="M1880" s="83" t="n"/>
      <c r="N1880" s="83" t="n"/>
      <c r="O1880" s="66">
        <f>IF(OR($M1880="",$N1880=""),"",$N1880-$M1880)</f>
        <v/>
      </c>
      <c r="P1880" s="84">
        <f>IF($J1880="","",IF($L1880&lt;&gt;"",$L1880-$J1880,TODAY()-$J1880))</f>
        <v/>
      </c>
      <c r="Q1880" s="85">
        <f>IF(OR($K1880="",$H1880="Completed",$H1880="Cancelled"),"",IF(AND($K1880&lt;TODAY(),$H1880&lt;&gt;"Completed",$H1880&lt;&gt;"Cancelled"),"Overdue","On Track"))</f>
        <v/>
      </c>
      <c r="R1880" s="81" t="n"/>
      <c r="S1880" s="81">
        <f>IF($B1880="","",IFERROR(INDEX(Task_Tracker!$AA$5:$AA$1004,MATCH($B1880,Task_Tracker!$A$5:$A$1004,0)),""))</f>
        <v/>
      </c>
      <c r="T1880" s="81">
        <f>IF($B1880="","",IFERROR(INDEX(Task_Tracker!$AB$5:$AB$1004,MATCH($B1880,Task_Tracker!$A$5:$A$1004,0)),""))</f>
        <v/>
      </c>
      <c r="U1880" s="78">
        <f>IF($B1880="","",IFERROR(INDEX(Task_Tracker!$F$5:$F$1004,MATCH($B1880,Task_Tracker!$A$5:$A$1004,0)),""))</f>
        <v/>
      </c>
      <c r="V1880" s="78">
        <f>IF($B1880="","",IFERROR(INDEX(Task_Tracker!$I$5:$I$1004,MATCH($B1880,Task_Tracker!$A$5:$A$1004,0)),""))</f>
        <v/>
      </c>
      <c r="W1880" s="81">
        <f>IF(OR($D1880="",$B1880=""),"",$D1880&amp;" | "&amp;$B1880)</f>
        <v/>
      </c>
      <c r="X1880" s="85">
        <f>IF($K1880="","",TEXT($K1880,"yyyy-mm"))</f>
        <v/>
      </c>
      <c r="Y1880" s="81">
        <f>IF(OR($A1880="",$T1880=""),"","Included in Manager_Report")</f>
        <v/>
      </c>
    </row>
    <row r="1881" ht="15" customHeight="1" s="40">
      <c r="A1881" s="65">
        <f>IF(COUNTA(B1881:G1881)=0,"","STP-"&amp;TEXT(ROW()-4,"0000"))</f>
        <v/>
      </c>
      <c r="B1881" s="78" t="n"/>
      <c r="C1881" s="67">
        <f>IF($B1881="","",IFERROR(INDEX(Task_Tracker!$D$5:$D$1004,MATCH($B1881,Task_Tracker!$A$5:$A$1004,0)),""))</f>
        <v/>
      </c>
      <c r="D1881" s="67">
        <f>IF($B1881="","",IFERROR(INDEX(Task_Tracker!$B$5:$B$1004,MATCH($B1881,Task_Tracker!$A$5:$A$1004,0)),""))</f>
        <v/>
      </c>
      <c r="E1881" s="81" t="n"/>
      <c r="F1881" s="81" t="n"/>
      <c r="G1881" s="78" t="n"/>
      <c r="H1881" s="78" t="n"/>
      <c r="I1881" s="67">
        <f>IF($H1881="","",IFERROR(INDEX(Action_Status_Map!$B$5:$B$11,MATCH($H1881,Action_Status_Map!$A$5:$A$11,0)),""))</f>
        <v/>
      </c>
      <c r="J1881" s="82" t="n"/>
      <c r="K1881" s="82" t="n"/>
      <c r="L1881" s="82" t="n"/>
      <c r="M1881" s="83" t="n"/>
      <c r="N1881" s="83" t="n"/>
      <c r="O1881" s="66">
        <f>IF(OR($M1881="",$N1881=""),"",$N1881-$M1881)</f>
        <v/>
      </c>
      <c r="P1881" s="84">
        <f>IF($J1881="","",IF($L1881&lt;&gt;"",$L1881-$J1881,TODAY()-$J1881))</f>
        <v/>
      </c>
      <c r="Q1881" s="85">
        <f>IF(OR($K1881="",$H1881="Completed",$H1881="Cancelled"),"",IF(AND($K1881&lt;TODAY(),$H1881&lt;&gt;"Completed",$H1881&lt;&gt;"Cancelled"),"Overdue","On Track"))</f>
        <v/>
      </c>
      <c r="R1881" s="81" t="n"/>
      <c r="S1881" s="81">
        <f>IF($B1881="","",IFERROR(INDEX(Task_Tracker!$AA$5:$AA$1004,MATCH($B1881,Task_Tracker!$A$5:$A$1004,0)),""))</f>
        <v/>
      </c>
      <c r="T1881" s="81">
        <f>IF($B1881="","",IFERROR(INDEX(Task_Tracker!$AB$5:$AB$1004,MATCH($B1881,Task_Tracker!$A$5:$A$1004,0)),""))</f>
        <v/>
      </c>
      <c r="U1881" s="78">
        <f>IF($B1881="","",IFERROR(INDEX(Task_Tracker!$F$5:$F$1004,MATCH($B1881,Task_Tracker!$A$5:$A$1004,0)),""))</f>
        <v/>
      </c>
      <c r="V1881" s="78">
        <f>IF($B1881="","",IFERROR(INDEX(Task_Tracker!$I$5:$I$1004,MATCH($B1881,Task_Tracker!$A$5:$A$1004,0)),""))</f>
        <v/>
      </c>
      <c r="W1881" s="81">
        <f>IF(OR($D1881="",$B1881=""),"",$D1881&amp;" | "&amp;$B1881)</f>
        <v/>
      </c>
      <c r="X1881" s="85">
        <f>IF($K1881="","",TEXT($K1881,"yyyy-mm"))</f>
        <v/>
      </c>
      <c r="Y1881" s="81">
        <f>IF(OR($A1881="",$T1881=""),"","Included in Manager_Report")</f>
        <v/>
      </c>
    </row>
    <row r="1882" ht="15" customHeight="1" s="40">
      <c r="A1882" s="65">
        <f>IF(COUNTA(B1882:G1882)=0,"","STP-"&amp;TEXT(ROW()-4,"0000"))</f>
        <v/>
      </c>
      <c r="B1882" s="78" t="n"/>
      <c r="C1882" s="67">
        <f>IF($B1882="","",IFERROR(INDEX(Task_Tracker!$D$5:$D$1004,MATCH($B1882,Task_Tracker!$A$5:$A$1004,0)),""))</f>
        <v/>
      </c>
      <c r="D1882" s="67">
        <f>IF($B1882="","",IFERROR(INDEX(Task_Tracker!$B$5:$B$1004,MATCH($B1882,Task_Tracker!$A$5:$A$1004,0)),""))</f>
        <v/>
      </c>
      <c r="E1882" s="81" t="n"/>
      <c r="F1882" s="81" t="n"/>
      <c r="G1882" s="78" t="n"/>
      <c r="H1882" s="78" t="n"/>
      <c r="I1882" s="67">
        <f>IF($H1882="","",IFERROR(INDEX(Action_Status_Map!$B$5:$B$11,MATCH($H1882,Action_Status_Map!$A$5:$A$11,0)),""))</f>
        <v/>
      </c>
      <c r="J1882" s="82" t="n"/>
      <c r="K1882" s="82" t="n"/>
      <c r="L1882" s="82" t="n"/>
      <c r="M1882" s="83" t="n"/>
      <c r="N1882" s="83" t="n"/>
      <c r="O1882" s="66">
        <f>IF(OR($M1882="",$N1882=""),"",$N1882-$M1882)</f>
        <v/>
      </c>
      <c r="P1882" s="84">
        <f>IF($J1882="","",IF($L1882&lt;&gt;"",$L1882-$J1882,TODAY()-$J1882))</f>
        <v/>
      </c>
      <c r="Q1882" s="85">
        <f>IF(OR($K1882="",$H1882="Completed",$H1882="Cancelled"),"",IF(AND($K1882&lt;TODAY(),$H1882&lt;&gt;"Completed",$H1882&lt;&gt;"Cancelled"),"Overdue","On Track"))</f>
        <v/>
      </c>
      <c r="R1882" s="81" t="n"/>
      <c r="S1882" s="81">
        <f>IF($B1882="","",IFERROR(INDEX(Task_Tracker!$AA$5:$AA$1004,MATCH($B1882,Task_Tracker!$A$5:$A$1004,0)),""))</f>
        <v/>
      </c>
      <c r="T1882" s="81">
        <f>IF($B1882="","",IFERROR(INDEX(Task_Tracker!$AB$5:$AB$1004,MATCH($B1882,Task_Tracker!$A$5:$A$1004,0)),""))</f>
        <v/>
      </c>
      <c r="U1882" s="78">
        <f>IF($B1882="","",IFERROR(INDEX(Task_Tracker!$F$5:$F$1004,MATCH($B1882,Task_Tracker!$A$5:$A$1004,0)),""))</f>
        <v/>
      </c>
      <c r="V1882" s="78">
        <f>IF($B1882="","",IFERROR(INDEX(Task_Tracker!$I$5:$I$1004,MATCH($B1882,Task_Tracker!$A$5:$A$1004,0)),""))</f>
        <v/>
      </c>
      <c r="W1882" s="81">
        <f>IF(OR($D1882="",$B1882=""),"",$D1882&amp;" | "&amp;$B1882)</f>
        <v/>
      </c>
      <c r="X1882" s="85">
        <f>IF($K1882="","",TEXT($K1882,"yyyy-mm"))</f>
        <v/>
      </c>
      <c r="Y1882" s="81">
        <f>IF(OR($A1882="",$T1882=""),"","Included in Manager_Report")</f>
        <v/>
      </c>
    </row>
    <row r="1883" ht="15" customHeight="1" s="40">
      <c r="A1883" s="65">
        <f>IF(COUNTA(B1883:G1883)=0,"","STP-"&amp;TEXT(ROW()-4,"0000"))</f>
        <v/>
      </c>
      <c r="B1883" s="78" t="n"/>
      <c r="C1883" s="67">
        <f>IF($B1883="","",IFERROR(INDEX(Task_Tracker!$D$5:$D$1004,MATCH($B1883,Task_Tracker!$A$5:$A$1004,0)),""))</f>
        <v/>
      </c>
      <c r="D1883" s="67">
        <f>IF($B1883="","",IFERROR(INDEX(Task_Tracker!$B$5:$B$1004,MATCH($B1883,Task_Tracker!$A$5:$A$1004,0)),""))</f>
        <v/>
      </c>
      <c r="E1883" s="81" t="n"/>
      <c r="F1883" s="81" t="n"/>
      <c r="G1883" s="78" t="n"/>
      <c r="H1883" s="78" t="n"/>
      <c r="I1883" s="67">
        <f>IF($H1883="","",IFERROR(INDEX(Action_Status_Map!$B$5:$B$11,MATCH($H1883,Action_Status_Map!$A$5:$A$11,0)),""))</f>
        <v/>
      </c>
      <c r="J1883" s="82" t="n"/>
      <c r="K1883" s="82" t="n"/>
      <c r="L1883" s="82" t="n"/>
      <c r="M1883" s="83" t="n"/>
      <c r="N1883" s="83" t="n"/>
      <c r="O1883" s="66">
        <f>IF(OR($M1883="",$N1883=""),"",$N1883-$M1883)</f>
        <v/>
      </c>
      <c r="P1883" s="84">
        <f>IF($J1883="","",IF($L1883&lt;&gt;"",$L1883-$J1883,TODAY()-$J1883))</f>
        <v/>
      </c>
      <c r="Q1883" s="85">
        <f>IF(OR($K1883="",$H1883="Completed",$H1883="Cancelled"),"",IF(AND($K1883&lt;TODAY(),$H1883&lt;&gt;"Completed",$H1883&lt;&gt;"Cancelled"),"Overdue","On Track"))</f>
        <v/>
      </c>
      <c r="R1883" s="81" t="n"/>
      <c r="S1883" s="81">
        <f>IF($B1883="","",IFERROR(INDEX(Task_Tracker!$AA$5:$AA$1004,MATCH($B1883,Task_Tracker!$A$5:$A$1004,0)),""))</f>
        <v/>
      </c>
      <c r="T1883" s="81">
        <f>IF($B1883="","",IFERROR(INDEX(Task_Tracker!$AB$5:$AB$1004,MATCH($B1883,Task_Tracker!$A$5:$A$1004,0)),""))</f>
        <v/>
      </c>
      <c r="U1883" s="78">
        <f>IF($B1883="","",IFERROR(INDEX(Task_Tracker!$F$5:$F$1004,MATCH($B1883,Task_Tracker!$A$5:$A$1004,0)),""))</f>
        <v/>
      </c>
      <c r="V1883" s="78">
        <f>IF($B1883="","",IFERROR(INDEX(Task_Tracker!$I$5:$I$1004,MATCH($B1883,Task_Tracker!$A$5:$A$1004,0)),""))</f>
        <v/>
      </c>
      <c r="W1883" s="81">
        <f>IF(OR($D1883="",$B1883=""),"",$D1883&amp;" | "&amp;$B1883)</f>
        <v/>
      </c>
      <c r="X1883" s="85">
        <f>IF($K1883="","",TEXT($K1883,"yyyy-mm"))</f>
        <v/>
      </c>
      <c r="Y1883" s="81">
        <f>IF(OR($A1883="",$T1883=""),"","Included in Manager_Report")</f>
        <v/>
      </c>
    </row>
    <row r="1884" ht="15" customHeight="1" s="40">
      <c r="A1884" s="65">
        <f>IF(COUNTA(B1884:G1884)=0,"","STP-"&amp;TEXT(ROW()-4,"0000"))</f>
        <v/>
      </c>
      <c r="B1884" s="78" t="n"/>
      <c r="C1884" s="67">
        <f>IF($B1884="","",IFERROR(INDEX(Task_Tracker!$D$5:$D$1004,MATCH($B1884,Task_Tracker!$A$5:$A$1004,0)),""))</f>
        <v/>
      </c>
      <c r="D1884" s="67">
        <f>IF($B1884="","",IFERROR(INDEX(Task_Tracker!$B$5:$B$1004,MATCH($B1884,Task_Tracker!$A$5:$A$1004,0)),""))</f>
        <v/>
      </c>
      <c r="E1884" s="81" t="n"/>
      <c r="F1884" s="81" t="n"/>
      <c r="G1884" s="78" t="n"/>
      <c r="H1884" s="78" t="n"/>
      <c r="I1884" s="67">
        <f>IF($H1884="","",IFERROR(INDEX(Action_Status_Map!$B$5:$B$11,MATCH($H1884,Action_Status_Map!$A$5:$A$11,0)),""))</f>
        <v/>
      </c>
      <c r="J1884" s="82" t="n"/>
      <c r="K1884" s="82" t="n"/>
      <c r="L1884" s="82" t="n"/>
      <c r="M1884" s="83" t="n"/>
      <c r="N1884" s="83" t="n"/>
      <c r="O1884" s="66">
        <f>IF(OR($M1884="",$N1884=""),"",$N1884-$M1884)</f>
        <v/>
      </c>
      <c r="P1884" s="84">
        <f>IF($J1884="","",IF($L1884&lt;&gt;"",$L1884-$J1884,TODAY()-$J1884))</f>
        <v/>
      </c>
      <c r="Q1884" s="85">
        <f>IF(OR($K1884="",$H1884="Completed",$H1884="Cancelled"),"",IF(AND($K1884&lt;TODAY(),$H1884&lt;&gt;"Completed",$H1884&lt;&gt;"Cancelled"),"Overdue","On Track"))</f>
        <v/>
      </c>
      <c r="R1884" s="81" t="n"/>
      <c r="S1884" s="81">
        <f>IF($B1884="","",IFERROR(INDEX(Task_Tracker!$AA$5:$AA$1004,MATCH($B1884,Task_Tracker!$A$5:$A$1004,0)),""))</f>
        <v/>
      </c>
      <c r="T1884" s="81">
        <f>IF($B1884="","",IFERROR(INDEX(Task_Tracker!$AB$5:$AB$1004,MATCH($B1884,Task_Tracker!$A$5:$A$1004,0)),""))</f>
        <v/>
      </c>
      <c r="U1884" s="78">
        <f>IF($B1884="","",IFERROR(INDEX(Task_Tracker!$F$5:$F$1004,MATCH($B1884,Task_Tracker!$A$5:$A$1004,0)),""))</f>
        <v/>
      </c>
      <c r="V1884" s="78">
        <f>IF($B1884="","",IFERROR(INDEX(Task_Tracker!$I$5:$I$1004,MATCH($B1884,Task_Tracker!$A$5:$A$1004,0)),""))</f>
        <v/>
      </c>
      <c r="W1884" s="81">
        <f>IF(OR($D1884="",$B1884=""),"",$D1884&amp;" | "&amp;$B1884)</f>
        <v/>
      </c>
      <c r="X1884" s="85">
        <f>IF($K1884="","",TEXT($K1884,"yyyy-mm"))</f>
        <v/>
      </c>
      <c r="Y1884" s="81">
        <f>IF(OR($A1884="",$T1884=""),"","Included in Manager_Report")</f>
        <v/>
      </c>
    </row>
    <row r="1885" ht="15" customHeight="1" s="40">
      <c r="A1885" s="65">
        <f>IF(COUNTA(B1885:G1885)=0,"","STP-"&amp;TEXT(ROW()-4,"0000"))</f>
        <v/>
      </c>
      <c r="B1885" s="78" t="n"/>
      <c r="C1885" s="67">
        <f>IF($B1885="","",IFERROR(INDEX(Task_Tracker!$D$5:$D$1004,MATCH($B1885,Task_Tracker!$A$5:$A$1004,0)),""))</f>
        <v/>
      </c>
      <c r="D1885" s="67">
        <f>IF($B1885="","",IFERROR(INDEX(Task_Tracker!$B$5:$B$1004,MATCH($B1885,Task_Tracker!$A$5:$A$1004,0)),""))</f>
        <v/>
      </c>
      <c r="E1885" s="81" t="n"/>
      <c r="F1885" s="81" t="n"/>
      <c r="G1885" s="78" t="n"/>
      <c r="H1885" s="78" t="n"/>
      <c r="I1885" s="67">
        <f>IF($H1885="","",IFERROR(INDEX(Action_Status_Map!$B$5:$B$11,MATCH($H1885,Action_Status_Map!$A$5:$A$11,0)),""))</f>
        <v/>
      </c>
      <c r="J1885" s="82" t="n"/>
      <c r="K1885" s="82" t="n"/>
      <c r="L1885" s="82" t="n"/>
      <c r="M1885" s="83" t="n"/>
      <c r="N1885" s="83" t="n"/>
      <c r="O1885" s="66">
        <f>IF(OR($M1885="",$N1885=""),"",$N1885-$M1885)</f>
        <v/>
      </c>
      <c r="P1885" s="84">
        <f>IF($J1885="","",IF($L1885&lt;&gt;"",$L1885-$J1885,TODAY()-$J1885))</f>
        <v/>
      </c>
      <c r="Q1885" s="85">
        <f>IF(OR($K1885="",$H1885="Completed",$H1885="Cancelled"),"",IF(AND($K1885&lt;TODAY(),$H1885&lt;&gt;"Completed",$H1885&lt;&gt;"Cancelled"),"Overdue","On Track"))</f>
        <v/>
      </c>
      <c r="R1885" s="81" t="n"/>
      <c r="S1885" s="81">
        <f>IF($B1885="","",IFERROR(INDEX(Task_Tracker!$AA$5:$AA$1004,MATCH($B1885,Task_Tracker!$A$5:$A$1004,0)),""))</f>
        <v/>
      </c>
      <c r="T1885" s="81">
        <f>IF($B1885="","",IFERROR(INDEX(Task_Tracker!$AB$5:$AB$1004,MATCH($B1885,Task_Tracker!$A$5:$A$1004,0)),""))</f>
        <v/>
      </c>
      <c r="U1885" s="78">
        <f>IF($B1885="","",IFERROR(INDEX(Task_Tracker!$F$5:$F$1004,MATCH($B1885,Task_Tracker!$A$5:$A$1004,0)),""))</f>
        <v/>
      </c>
      <c r="V1885" s="78">
        <f>IF($B1885="","",IFERROR(INDEX(Task_Tracker!$I$5:$I$1004,MATCH($B1885,Task_Tracker!$A$5:$A$1004,0)),""))</f>
        <v/>
      </c>
      <c r="W1885" s="81">
        <f>IF(OR($D1885="",$B1885=""),"",$D1885&amp;" | "&amp;$B1885)</f>
        <v/>
      </c>
      <c r="X1885" s="85">
        <f>IF($K1885="","",TEXT($K1885,"yyyy-mm"))</f>
        <v/>
      </c>
      <c r="Y1885" s="81">
        <f>IF(OR($A1885="",$T1885=""),"","Included in Manager_Report")</f>
        <v/>
      </c>
    </row>
    <row r="1886" ht="15" customHeight="1" s="40">
      <c r="A1886" s="65">
        <f>IF(COUNTA(B1886:G1886)=0,"","STP-"&amp;TEXT(ROW()-4,"0000"))</f>
        <v/>
      </c>
      <c r="B1886" s="78" t="n"/>
      <c r="C1886" s="67">
        <f>IF($B1886="","",IFERROR(INDEX(Task_Tracker!$D$5:$D$1004,MATCH($B1886,Task_Tracker!$A$5:$A$1004,0)),""))</f>
        <v/>
      </c>
      <c r="D1886" s="67">
        <f>IF($B1886="","",IFERROR(INDEX(Task_Tracker!$B$5:$B$1004,MATCH($B1886,Task_Tracker!$A$5:$A$1004,0)),""))</f>
        <v/>
      </c>
      <c r="E1886" s="81" t="n"/>
      <c r="F1886" s="81" t="n"/>
      <c r="G1886" s="78" t="n"/>
      <c r="H1886" s="78" t="n"/>
      <c r="I1886" s="67">
        <f>IF($H1886="","",IFERROR(INDEX(Action_Status_Map!$B$5:$B$11,MATCH($H1886,Action_Status_Map!$A$5:$A$11,0)),""))</f>
        <v/>
      </c>
      <c r="J1886" s="82" t="n"/>
      <c r="K1886" s="82" t="n"/>
      <c r="L1886" s="82" t="n"/>
      <c r="M1886" s="83" t="n"/>
      <c r="N1886" s="83" t="n"/>
      <c r="O1886" s="66">
        <f>IF(OR($M1886="",$N1886=""),"",$N1886-$M1886)</f>
        <v/>
      </c>
      <c r="P1886" s="84">
        <f>IF($J1886="","",IF($L1886&lt;&gt;"",$L1886-$J1886,TODAY()-$J1886))</f>
        <v/>
      </c>
      <c r="Q1886" s="85">
        <f>IF(OR($K1886="",$H1886="Completed",$H1886="Cancelled"),"",IF(AND($K1886&lt;TODAY(),$H1886&lt;&gt;"Completed",$H1886&lt;&gt;"Cancelled"),"Overdue","On Track"))</f>
        <v/>
      </c>
      <c r="R1886" s="81" t="n"/>
      <c r="S1886" s="81">
        <f>IF($B1886="","",IFERROR(INDEX(Task_Tracker!$AA$5:$AA$1004,MATCH($B1886,Task_Tracker!$A$5:$A$1004,0)),""))</f>
        <v/>
      </c>
      <c r="T1886" s="81">
        <f>IF($B1886="","",IFERROR(INDEX(Task_Tracker!$AB$5:$AB$1004,MATCH($B1886,Task_Tracker!$A$5:$A$1004,0)),""))</f>
        <v/>
      </c>
      <c r="U1886" s="78">
        <f>IF($B1886="","",IFERROR(INDEX(Task_Tracker!$F$5:$F$1004,MATCH($B1886,Task_Tracker!$A$5:$A$1004,0)),""))</f>
        <v/>
      </c>
      <c r="V1886" s="78">
        <f>IF($B1886="","",IFERROR(INDEX(Task_Tracker!$I$5:$I$1004,MATCH($B1886,Task_Tracker!$A$5:$A$1004,0)),""))</f>
        <v/>
      </c>
      <c r="W1886" s="81">
        <f>IF(OR($D1886="",$B1886=""),"",$D1886&amp;" | "&amp;$B1886)</f>
        <v/>
      </c>
      <c r="X1886" s="85">
        <f>IF($K1886="","",TEXT($K1886,"yyyy-mm"))</f>
        <v/>
      </c>
      <c r="Y1886" s="81">
        <f>IF(OR($A1886="",$T1886=""),"","Included in Manager_Report")</f>
        <v/>
      </c>
    </row>
    <row r="1887" ht="15" customHeight="1" s="40">
      <c r="A1887" s="65">
        <f>IF(COUNTA(B1887:G1887)=0,"","STP-"&amp;TEXT(ROW()-4,"0000"))</f>
        <v/>
      </c>
      <c r="B1887" s="78" t="n"/>
      <c r="C1887" s="67">
        <f>IF($B1887="","",IFERROR(INDEX(Task_Tracker!$D$5:$D$1004,MATCH($B1887,Task_Tracker!$A$5:$A$1004,0)),""))</f>
        <v/>
      </c>
      <c r="D1887" s="67">
        <f>IF($B1887="","",IFERROR(INDEX(Task_Tracker!$B$5:$B$1004,MATCH($B1887,Task_Tracker!$A$5:$A$1004,0)),""))</f>
        <v/>
      </c>
      <c r="E1887" s="81" t="n"/>
      <c r="F1887" s="81" t="n"/>
      <c r="G1887" s="78" t="n"/>
      <c r="H1887" s="78" t="n"/>
      <c r="I1887" s="67">
        <f>IF($H1887="","",IFERROR(INDEX(Action_Status_Map!$B$5:$B$11,MATCH($H1887,Action_Status_Map!$A$5:$A$11,0)),""))</f>
        <v/>
      </c>
      <c r="J1887" s="82" t="n"/>
      <c r="K1887" s="82" t="n"/>
      <c r="L1887" s="82" t="n"/>
      <c r="M1887" s="83" t="n"/>
      <c r="N1887" s="83" t="n"/>
      <c r="O1887" s="66">
        <f>IF(OR($M1887="",$N1887=""),"",$N1887-$M1887)</f>
        <v/>
      </c>
      <c r="P1887" s="84">
        <f>IF($J1887="","",IF($L1887&lt;&gt;"",$L1887-$J1887,TODAY()-$J1887))</f>
        <v/>
      </c>
      <c r="Q1887" s="85">
        <f>IF(OR($K1887="",$H1887="Completed",$H1887="Cancelled"),"",IF(AND($K1887&lt;TODAY(),$H1887&lt;&gt;"Completed",$H1887&lt;&gt;"Cancelled"),"Overdue","On Track"))</f>
        <v/>
      </c>
      <c r="R1887" s="81" t="n"/>
      <c r="S1887" s="81">
        <f>IF($B1887="","",IFERROR(INDEX(Task_Tracker!$AA$5:$AA$1004,MATCH($B1887,Task_Tracker!$A$5:$A$1004,0)),""))</f>
        <v/>
      </c>
      <c r="T1887" s="81">
        <f>IF($B1887="","",IFERROR(INDEX(Task_Tracker!$AB$5:$AB$1004,MATCH($B1887,Task_Tracker!$A$5:$A$1004,0)),""))</f>
        <v/>
      </c>
      <c r="U1887" s="78">
        <f>IF($B1887="","",IFERROR(INDEX(Task_Tracker!$F$5:$F$1004,MATCH($B1887,Task_Tracker!$A$5:$A$1004,0)),""))</f>
        <v/>
      </c>
      <c r="V1887" s="78">
        <f>IF($B1887="","",IFERROR(INDEX(Task_Tracker!$I$5:$I$1004,MATCH($B1887,Task_Tracker!$A$5:$A$1004,0)),""))</f>
        <v/>
      </c>
      <c r="W1887" s="81">
        <f>IF(OR($D1887="",$B1887=""),"",$D1887&amp;" | "&amp;$B1887)</f>
        <v/>
      </c>
      <c r="X1887" s="85">
        <f>IF($K1887="","",TEXT($K1887,"yyyy-mm"))</f>
        <v/>
      </c>
      <c r="Y1887" s="81">
        <f>IF(OR($A1887="",$T1887=""),"","Included in Manager_Report")</f>
        <v/>
      </c>
    </row>
    <row r="1888" ht="15" customHeight="1" s="40">
      <c r="A1888" s="65">
        <f>IF(COUNTA(B1888:G1888)=0,"","STP-"&amp;TEXT(ROW()-4,"0000"))</f>
        <v/>
      </c>
      <c r="B1888" s="78" t="n"/>
      <c r="C1888" s="67">
        <f>IF($B1888="","",IFERROR(INDEX(Task_Tracker!$D$5:$D$1004,MATCH($B1888,Task_Tracker!$A$5:$A$1004,0)),""))</f>
        <v/>
      </c>
      <c r="D1888" s="67">
        <f>IF($B1888="","",IFERROR(INDEX(Task_Tracker!$B$5:$B$1004,MATCH($B1888,Task_Tracker!$A$5:$A$1004,0)),""))</f>
        <v/>
      </c>
      <c r="E1888" s="81" t="n"/>
      <c r="F1888" s="81" t="n"/>
      <c r="G1888" s="78" t="n"/>
      <c r="H1888" s="78" t="n"/>
      <c r="I1888" s="67">
        <f>IF($H1888="","",IFERROR(INDEX(Action_Status_Map!$B$5:$B$11,MATCH($H1888,Action_Status_Map!$A$5:$A$11,0)),""))</f>
        <v/>
      </c>
      <c r="J1888" s="82" t="n"/>
      <c r="K1888" s="82" t="n"/>
      <c r="L1888" s="82" t="n"/>
      <c r="M1888" s="83" t="n"/>
      <c r="N1888" s="83" t="n"/>
      <c r="O1888" s="66">
        <f>IF(OR($M1888="",$N1888=""),"",$N1888-$M1888)</f>
        <v/>
      </c>
      <c r="P1888" s="84">
        <f>IF($J1888="","",IF($L1888&lt;&gt;"",$L1888-$J1888,TODAY()-$J1888))</f>
        <v/>
      </c>
      <c r="Q1888" s="85">
        <f>IF(OR($K1888="",$H1888="Completed",$H1888="Cancelled"),"",IF(AND($K1888&lt;TODAY(),$H1888&lt;&gt;"Completed",$H1888&lt;&gt;"Cancelled"),"Overdue","On Track"))</f>
        <v/>
      </c>
      <c r="R1888" s="81" t="n"/>
      <c r="S1888" s="81">
        <f>IF($B1888="","",IFERROR(INDEX(Task_Tracker!$AA$5:$AA$1004,MATCH($B1888,Task_Tracker!$A$5:$A$1004,0)),""))</f>
        <v/>
      </c>
      <c r="T1888" s="81">
        <f>IF($B1888="","",IFERROR(INDEX(Task_Tracker!$AB$5:$AB$1004,MATCH($B1888,Task_Tracker!$A$5:$A$1004,0)),""))</f>
        <v/>
      </c>
      <c r="U1888" s="78">
        <f>IF($B1888="","",IFERROR(INDEX(Task_Tracker!$F$5:$F$1004,MATCH($B1888,Task_Tracker!$A$5:$A$1004,0)),""))</f>
        <v/>
      </c>
      <c r="V1888" s="78">
        <f>IF($B1888="","",IFERROR(INDEX(Task_Tracker!$I$5:$I$1004,MATCH($B1888,Task_Tracker!$A$5:$A$1004,0)),""))</f>
        <v/>
      </c>
      <c r="W1888" s="81">
        <f>IF(OR($D1888="",$B1888=""),"",$D1888&amp;" | "&amp;$B1888)</f>
        <v/>
      </c>
      <c r="X1888" s="85">
        <f>IF($K1888="","",TEXT($K1888,"yyyy-mm"))</f>
        <v/>
      </c>
      <c r="Y1888" s="81">
        <f>IF(OR($A1888="",$T1888=""),"","Included in Manager_Report")</f>
        <v/>
      </c>
    </row>
    <row r="1889" ht="15" customHeight="1" s="40">
      <c r="A1889" s="65">
        <f>IF(COUNTA(B1889:G1889)=0,"","STP-"&amp;TEXT(ROW()-4,"0000"))</f>
        <v/>
      </c>
      <c r="B1889" s="78" t="n"/>
      <c r="C1889" s="67">
        <f>IF($B1889="","",IFERROR(INDEX(Task_Tracker!$D$5:$D$1004,MATCH($B1889,Task_Tracker!$A$5:$A$1004,0)),""))</f>
        <v/>
      </c>
      <c r="D1889" s="67">
        <f>IF($B1889="","",IFERROR(INDEX(Task_Tracker!$B$5:$B$1004,MATCH($B1889,Task_Tracker!$A$5:$A$1004,0)),""))</f>
        <v/>
      </c>
      <c r="E1889" s="81" t="n"/>
      <c r="F1889" s="81" t="n"/>
      <c r="G1889" s="78" t="n"/>
      <c r="H1889" s="78" t="n"/>
      <c r="I1889" s="67">
        <f>IF($H1889="","",IFERROR(INDEX(Action_Status_Map!$B$5:$B$11,MATCH($H1889,Action_Status_Map!$A$5:$A$11,0)),""))</f>
        <v/>
      </c>
      <c r="J1889" s="82" t="n"/>
      <c r="K1889" s="82" t="n"/>
      <c r="L1889" s="82" t="n"/>
      <c r="M1889" s="83" t="n"/>
      <c r="N1889" s="83" t="n"/>
      <c r="O1889" s="66">
        <f>IF(OR($M1889="",$N1889=""),"",$N1889-$M1889)</f>
        <v/>
      </c>
      <c r="P1889" s="84">
        <f>IF($J1889="","",IF($L1889&lt;&gt;"",$L1889-$J1889,TODAY()-$J1889))</f>
        <v/>
      </c>
      <c r="Q1889" s="85">
        <f>IF(OR($K1889="",$H1889="Completed",$H1889="Cancelled"),"",IF(AND($K1889&lt;TODAY(),$H1889&lt;&gt;"Completed",$H1889&lt;&gt;"Cancelled"),"Overdue","On Track"))</f>
        <v/>
      </c>
      <c r="R1889" s="81" t="n"/>
      <c r="S1889" s="81">
        <f>IF($B1889="","",IFERROR(INDEX(Task_Tracker!$AA$5:$AA$1004,MATCH($B1889,Task_Tracker!$A$5:$A$1004,0)),""))</f>
        <v/>
      </c>
      <c r="T1889" s="81">
        <f>IF($B1889="","",IFERROR(INDEX(Task_Tracker!$AB$5:$AB$1004,MATCH($B1889,Task_Tracker!$A$5:$A$1004,0)),""))</f>
        <v/>
      </c>
      <c r="U1889" s="78">
        <f>IF($B1889="","",IFERROR(INDEX(Task_Tracker!$F$5:$F$1004,MATCH($B1889,Task_Tracker!$A$5:$A$1004,0)),""))</f>
        <v/>
      </c>
      <c r="V1889" s="78">
        <f>IF($B1889="","",IFERROR(INDEX(Task_Tracker!$I$5:$I$1004,MATCH($B1889,Task_Tracker!$A$5:$A$1004,0)),""))</f>
        <v/>
      </c>
      <c r="W1889" s="81">
        <f>IF(OR($D1889="",$B1889=""),"",$D1889&amp;" | "&amp;$B1889)</f>
        <v/>
      </c>
      <c r="X1889" s="85">
        <f>IF($K1889="","",TEXT($K1889,"yyyy-mm"))</f>
        <v/>
      </c>
      <c r="Y1889" s="81">
        <f>IF(OR($A1889="",$T1889=""),"","Included in Manager_Report")</f>
        <v/>
      </c>
    </row>
    <row r="1890" ht="15" customHeight="1" s="40">
      <c r="A1890" s="65">
        <f>IF(COUNTA(B1890:G1890)=0,"","STP-"&amp;TEXT(ROW()-4,"0000"))</f>
        <v/>
      </c>
      <c r="B1890" s="78" t="n"/>
      <c r="C1890" s="67">
        <f>IF($B1890="","",IFERROR(INDEX(Task_Tracker!$D$5:$D$1004,MATCH($B1890,Task_Tracker!$A$5:$A$1004,0)),""))</f>
        <v/>
      </c>
      <c r="D1890" s="67">
        <f>IF($B1890="","",IFERROR(INDEX(Task_Tracker!$B$5:$B$1004,MATCH($B1890,Task_Tracker!$A$5:$A$1004,0)),""))</f>
        <v/>
      </c>
      <c r="E1890" s="81" t="n"/>
      <c r="F1890" s="81" t="n"/>
      <c r="G1890" s="78" t="n"/>
      <c r="H1890" s="78" t="n"/>
      <c r="I1890" s="67">
        <f>IF($H1890="","",IFERROR(INDEX(Action_Status_Map!$B$5:$B$11,MATCH($H1890,Action_Status_Map!$A$5:$A$11,0)),""))</f>
        <v/>
      </c>
      <c r="J1890" s="82" t="n"/>
      <c r="K1890" s="82" t="n"/>
      <c r="L1890" s="82" t="n"/>
      <c r="M1890" s="83" t="n"/>
      <c r="N1890" s="83" t="n"/>
      <c r="O1890" s="66">
        <f>IF(OR($M1890="",$N1890=""),"",$N1890-$M1890)</f>
        <v/>
      </c>
      <c r="P1890" s="84">
        <f>IF($J1890="","",IF($L1890&lt;&gt;"",$L1890-$J1890,TODAY()-$J1890))</f>
        <v/>
      </c>
      <c r="Q1890" s="85">
        <f>IF(OR($K1890="",$H1890="Completed",$H1890="Cancelled"),"",IF(AND($K1890&lt;TODAY(),$H1890&lt;&gt;"Completed",$H1890&lt;&gt;"Cancelled"),"Overdue","On Track"))</f>
        <v/>
      </c>
      <c r="R1890" s="81" t="n"/>
      <c r="S1890" s="81">
        <f>IF($B1890="","",IFERROR(INDEX(Task_Tracker!$AA$5:$AA$1004,MATCH($B1890,Task_Tracker!$A$5:$A$1004,0)),""))</f>
        <v/>
      </c>
      <c r="T1890" s="81">
        <f>IF($B1890="","",IFERROR(INDEX(Task_Tracker!$AB$5:$AB$1004,MATCH($B1890,Task_Tracker!$A$5:$A$1004,0)),""))</f>
        <v/>
      </c>
      <c r="U1890" s="78">
        <f>IF($B1890="","",IFERROR(INDEX(Task_Tracker!$F$5:$F$1004,MATCH($B1890,Task_Tracker!$A$5:$A$1004,0)),""))</f>
        <v/>
      </c>
      <c r="V1890" s="78">
        <f>IF($B1890="","",IFERROR(INDEX(Task_Tracker!$I$5:$I$1004,MATCH($B1890,Task_Tracker!$A$5:$A$1004,0)),""))</f>
        <v/>
      </c>
      <c r="W1890" s="81">
        <f>IF(OR($D1890="",$B1890=""),"",$D1890&amp;" | "&amp;$B1890)</f>
        <v/>
      </c>
      <c r="X1890" s="85">
        <f>IF($K1890="","",TEXT($K1890,"yyyy-mm"))</f>
        <v/>
      </c>
      <c r="Y1890" s="81">
        <f>IF(OR($A1890="",$T1890=""),"","Included in Manager_Report")</f>
        <v/>
      </c>
    </row>
    <row r="1891" ht="15" customHeight="1" s="40">
      <c r="A1891" s="65">
        <f>IF(COUNTA(B1891:G1891)=0,"","STP-"&amp;TEXT(ROW()-4,"0000"))</f>
        <v/>
      </c>
      <c r="B1891" s="78" t="n"/>
      <c r="C1891" s="67">
        <f>IF($B1891="","",IFERROR(INDEX(Task_Tracker!$D$5:$D$1004,MATCH($B1891,Task_Tracker!$A$5:$A$1004,0)),""))</f>
        <v/>
      </c>
      <c r="D1891" s="67">
        <f>IF($B1891="","",IFERROR(INDEX(Task_Tracker!$B$5:$B$1004,MATCH($B1891,Task_Tracker!$A$5:$A$1004,0)),""))</f>
        <v/>
      </c>
      <c r="E1891" s="81" t="n"/>
      <c r="F1891" s="81" t="n"/>
      <c r="G1891" s="78" t="n"/>
      <c r="H1891" s="78" t="n"/>
      <c r="I1891" s="67">
        <f>IF($H1891="","",IFERROR(INDEX(Action_Status_Map!$B$5:$B$11,MATCH($H1891,Action_Status_Map!$A$5:$A$11,0)),""))</f>
        <v/>
      </c>
      <c r="J1891" s="82" t="n"/>
      <c r="K1891" s="82" t="n"/>
      <c r="L1891" s="82" t="n"/>
      <c r="M1891" s="83" t="n"/>
      <c r="N1891" s="83" t="n"/>
      <c r="O1891" s="66">
        <f>IF(OR($M1891="",$N1891=""),"",$N1891-$M1891)</f>
        <v/>
      </c>
      <c r="P1891" s="84">
        <f>IF($J1891="","",IF($L1891&lt;&gt;"",$L1891-$J1891,TODAY()-$J1891))</f>
        <v/>
      </c>
      <c r="Q1891" s="85">
        <f>IF(OR($K1891="",$H1891="Completed",$H1891="Cancelled"),"",IF(AND($K1891&lt;TODAY(),$H1891&lt;&gt;"Completed",$H1891&lt;&gt;"Cancelled"),"Overdue","On Track"))</f>
        <v/>
      </c>
      <c r="R1891" s="81" t="n"/>
      <c r="S1891" s="81">
        <f>IF($B1891="","",IFERROR(INDEX(Task_Tracker!$AA$5:$AA$1004,MATCH($B1891,Task_Tracker!$A$5:$A$1004,0)),""))</f>
        <v/>
      </c>
      <c r="T1891" s="81">
        <f>IF($B1891="","",IFERROR(INDEX(Task_Tracker!$AB$5:$AB$1004,MATCH($B1891,Task_Tracker!$A$5:$A$1004,0)),""))</f>
        <v/>
      </c>
      <c r="U1891" s="78">
        <f>IF($B1891="","",IFERROR(INDEX(Task_Tracker!$F$5:$F$1004,MATCH($B1891,Task_Tracker!$A$5:$A$1004,0)),""))</f>
        <v/>
      </c>
      <c r="V1891" s="78">
        <f>IF($B1891="","",IFERROR(INDEX(Task_Tracker!$I$5:$I$1004,MATCH($B1891,Task_Tracker!$A$5:$A$1004,0)),""))</f>
        <v/>
      </c>
      <c r="W1891" s="81">
        <f>IF(OR($D1891="",$B1891=""),"",$D1891&amp;" | "&amp;$B1891)</f>
        <v/>
      </c>
      <c r="X1891" s="85">
        <f>IF($K1891="","",TEXT($K1891,"yyyy-mm"))</f>
        <v/>
      </c>
      <c r="Y1891" s="81">
        <f>IF(OR($A1891="",$T1891=""),"","Included in Manager_Report")</f>
        <v/>
      </c>
    </row>
    <row r="1892" ht="15" customHeight="1" s="40">
      <c r="A1892" s="65">
        <f>IF(COUNTA(B1892:G1892)=0,"","STP-"&amp;TEXT(ROW()-4,"0000"))</f>
        <v/>
      </c>
      <c r="B1892" s="78" t="n"/>
      <c r="C1892" s="67">
        <f>IF($B1892="","",IFERROR(INDEX(Task_Tracker!$D$5:$D$1004,MATCH($B1892,Task_Tracker!$A$5:$A$1004,0)),""))</f>
        <v/>
      </c>
      <c r="D1892" s="67">
        <f>IF($B1892="","",IFERROR(INDEX(Task_Tracker!$B$5:$B$1004,MATCH($B1892,Task_Tracker!$A$5:$A$1004,0)),""))</f>
        <v/>
      </c>
      <c r="E1892" s="81" t="n"/>
      <c r="F1892" s="81" t="n"/>
      <c r="G1892" s="78" t="n"/>
      <c r="H1892" s="78" t="n"/>
      <c r="I1892" s="67">
        <f>IF($H1892="","",IFERROR(INDEX(Action_Status_Map!$B$5:$B$11,MATCH($H1892,Action_Status_Map!$A$5:$A$11,0)),""))</f>
        <v/>
      </c>
      <c r="J1892" s="82" t="n"/>
      <c r="K1892" s="82" t="n"/>
      <c r="L1892" s="82" t="n"/>
      <c r="M1892" s="83" t="n"/>
      <c r="N1892" s="83" t="n"/>
      <c r="O1892" s="66">
        <f>IF(OR($M1892="",$N1892=""),"",$N1892-$M1892)</f>
        <v/>
      </c>
      <c r="P1892" s="84">
        <f>IF($J1892="","",IF($L1892&lt;&gt;"",$L1892-$J1892,TODAY()-$J1892))</f>
        <v/>
      </c>
      <c r="Q1892" s="85">
        <f>IF(OR($K1892="",$H1892="Completed",$H1892="Cancelled"),"",IF(AND($K1892&lt;TODAY(),$H1892&lt;&gt;"Completed",$H1892&lt;&gt;"Cancelled"),"Overdue","On Track"))</f>
        <v/>
      </c>
      <c r="R1892" s="81" t="n"/>
      <c r="S1892" s="81">
        <f>IF($B1892="","",IFERROR(INDEX(Task_Tracker!$AA$5:$AA$1004,MATCH($B1892,Task_Tracker!$A$5:$A$1004,0)),""))</f>
        <v/>
      </c>
      <c r="T1892" s="81">
        <f>IF($B1892="","",IFERROR(INDEX(Task_Tracker!$AB$5:$AB$1004,MATCH($B1892,Task_Tracker!$A$5:$A$1004,0)),""))</f>
        <v/>
      </c>
      <c r="U1892" s="78">
        <f>IF($B1892="","",IFERROR(INDEX(Task_Tracker!$F$5:$F$1004,MATCH($B1892,Task_Tracker!$A$5:$A$1004,0)),""))</f>
        <v/>
      </c>
      <c r="V1892" s="78">
        <f>IF($B1892="","",IFERROR(INDEX(Task_Tracker!$I$5:$I$1004,MATCH($B1892,Task_Tracker!$A$5:$A$1004,0)),""))</f>
        <v/>
      </c>
      <c r="W1892" s="81">
        <f>IF(OR($D1892="",$B1892=""),"",$D1892&amp;" | "&amp;$B1892)</f>
        <v/>
      </c>
      <c r="X1892" s="85">
        <f>IF($K1892="","",TEXT($K1892,"yyyy-mm"))</f>
        <v/>
      </c>
      <c r="Y1892" s="81">
        <f>IF(OR($A1892="",$T1892=""),"","Included in Manager_Report")</f>
        <v/>
      </c>
    </row>
    <row r="1893" ht="15" customHeight="1" s="40">
      <c r="A1893" s="65">
        <f>IF(COUNTA(B1893:G1893)=0,"","STP-"&amp;TEXT(ROW()-4,"0000"))</f>
        <v/>
      </c>
      <c r="B1893" s="78" t="n"/>
      <c r="C1893" s="67">
        <f>IF($B1893="","",IFERROR(INDEX(Task_Tracker!$D$5:$D$1004,MATCH($B1893,Task_Tracker!$A$5:$A$1004,0)),""))</f>
        <v/>
      </c>
      <c r="D1893" s="67">
        <f>IF($B1893="","",IFERROR(INDEX(Task_Tracker!$B$5:$B$1004,MATCH($B1893,Task_Tracker!$A$5:$A$1004,0)),""))</f>
        <v/>
      </c>
      <c r="E1893" s="81" t="n"/>
      <c r="F1893" s="81" t="n"/>
      <c r="G1893" s="78" t="n"/>
      <c r="H1893" s="78" t="n"/>
      <c r="I1893" s="67">
        <f>IF($H1893="","",IFERROR(INDEX(Action_Status_Map!$B$5:$B$11,MATCH($H1893,Action_Status_Map!$A$5:$A$11,0)),""))</f>
        <v/>
      </c>
      <c r="J1893" s="82" t="n"/>
      <c r="K1893" s="82" t="n"/>
      <c r="L1893" s="82" t="n"/>
      <c r="M1893" s="83" t="n"/>
      <c r="N1893" s="83" t="n"/>
      <c r="O1893" s="66">
        <f>IF(OR($M1893="",$N1893=""),"",$N1893-$M1893)</f>
        <v/>
      </c>
      <c r="P1893" s="84">
        <f>IF($J1893="","",IF($L1893&lt;&gt;"",$L1893-$J1893,TODAY()-$J1893))</f>
        <v/>
      </c>
      <c r="Q1893" s="85">
        <f>IF(OR($K1893="",$H1893="Completed",$H1893="Cancelled"),"",IF(AND($K1893&lt;TODAY(),$H1893&lt;&gt;"Completed",$H1893&lt;&gt;"Cancelled"),"Overdue","On Track"))</f>
        <v/>
      </c>
      <c r="R1893" s="81" t="n"/>
      <c r="S1893" s="81">
        <f>IF($B1893="","",IFERROR(INDEX(Task_Tracker!$AA$5:$AA$1004,MATCH($B1893,Task_Tracker!$A$5:$A$1004,0)),""))</f>
        <v/>
      </c>
      <c r="T1893" s="81">
        <f>IF($B1893="","",IFERROR(INDEX(Task_Tracker!$AB$5:$AB$1004,MATCH($B1893,Task_Tracker!$A$5:$A$1004,0)),""))</f>
        <v/>
      </c>
      <c r="U1893" s="78">
        <f>IF($B1893="","",IFERROR(INDEX(Task_Tracker!$F$5:$F$1004,MATCH($B1893,Task_Tracker!$A$5:$A$1004,0)),""))</f>
        <v/>
      </c>
      <c r="V1893" s="78">
        <f>IF($B1893="","",IFERROR(INDEX(Task_Tracker!$I$5:$I$1004,MATCH($B1893,Task_Tracker!$A$5:$A$1004,0)),""))</f>
        <v/>
      </c>
      <c r="W1893" s="81">
        <f>IF(OR($D1893="",$B1893=""),"",$D1893&amp;" | "&amp;$B1893)</f>
        <v/>
      </c>
      <c r="X1893" s="85">
        <f>IF($K1893="","",TEXT($K1893,"yyyy-mm"))</f>
        <v/>
      </c>
      <c r="Y1893" s="81">
        <f>IF(OR($A1893="",$T1893=""),"","Included in Manager_Report")</f>
        <v/>
      </c>
    </row>
    <row r="1894" ht="15" customHeight="1" s="40">
      <c r="A1894" s="65">
        <f>IF(COUNTA(B1894:G1894)=0,"","STP-"&amp;TEXT(ROW()-4,"0000"))</f>
        <v/>
      </c>
      <c r="B1894" s="78" t="n"/>
      <c r="C1894" s="67">
        <f>IF($B1894="","",IFERROR(INDEX(Task_Tracker!$D$5:$D$1004,MATCH($B1894,Task_Tracker!$A$5:$A$1004,0)),""))</f>
        <v/>
      </c>
      <c r="D1894" s="67">
        <f>IF($B1894="","",IFERROR(INDEX(Task_Tracker!$B$5:$B$1004,MATCH($B1894,Task_Tracker!$A$5:$A$1004,0)),""))</f>
        <v/>
      </c>
      <c r="E1894" s="81" t="n"/>
      <c r="F1894" s="81" t="n"/>
      <c r="G1894" s="78" t="n"/>
      <c r="H1894" s="78" t="n"/>
      <c r="I1894" s="67">
        <f>IF($H1894="","",IFERROR(INDEX(Action_Status_Map!$B$5:$B$11,MATCH($H1894,Action_Status_Map!$A$5:$A$11,0)),""))</f>
        <v/>
      </c>
      <c r="J1894" s="82" t="n"/>
      <c r="K1894" s="82" t="n"/>
      <c r="L1894" s="82" t="n"/>
      <c r="M1894" s="83" t="n"/>
      <c r="N1894" s="83" t="n"/>
      <c r="O1894" s="66">
        <f>IF(OR($M1894="",$N1894=""),"",$N1894-$M1894)</f>
        <v/>
      </c>
      <c r="P1894" s="84">
        <f>IF($J1894="","",IF($L1894&lt;&gt;"",$L1894-$J1894,TODAY()-$J1894))</f>
        <v/>
      </c>
      <c r="Q1894" s="85">
        <f>IF(OR($K1894="",$H1894="Completed",$H1894="Cancelled"),"",IF(AND($K1894&lt;TODAY(),$H1894&lt;&gt;"Completed",$H1894&lt;&gt;"Cancelled"),"Overdue","On Track"))</f>
        <v/>
      </c>
      <c r="R1894" s="81" t="n"/>
      <c r="S1894" s="81">
        <f>IF($B1894="","",IFERROR(INDEX(Task_Tracker!$AA$5:$AA$1004,MATCH($B1894,Task_Tracker!$A$5:$A$1004,0)),""))</f>
        <v/>
      </c>
      <c r="T1894" s="81">
        <f>IF($B1894="","",IFERROR(INDEX(Task_Tracker!$AB$5:$AB$1004,MATCH($B1894,Task_Tracker!$A$5:$A$1004,0)),""))</f>
        <v/>
      </c>
      <c r="U1894" s="78">
        <f>IF($B1894="","",IFERROR(INDEX(Task_Tracker!$F$5:$F$1004,MATCH($B1894,Task_Tracker!$A$5:$A$1004,0)),""))</f>
        <v/>
      </c>
      <c r="V1894" s="78">
        <f>IF($B1894="","",IFERROR(INDEX(Task_Tracker!$I$5:$I$1004,MATCH($B1894,Task_Tracker!$A$5:$A$1004,0)),""))</f>
        <v/>
      </c>
      <c r="W1894" s="81">
        <f>IF(OR($D1894="",$B1894=""),"",$D1894&amp;" | "&amp;$B1894)</f>
        <v/>
      </c>
      <c r="X1894" s="85">
        <f>IF($K1894="","",TEXT($K1894,"yyyy-mm"))</f>
        <v/>
      </c>
      <c r="Y1894" s="81">
        <f>IF(OR($A1894="",$T1894=""),"","Included in Manager_Report")</f>
        <v/>
      </c>
    </row>
    <row r="1895" ht="15" customHeight="1" s="40">
      <c r="A1895" s="65">
        <f>IF(COUNTA(B1895:G1895)=0,"","STP-"&amp;TEXT(ROW()-4,"0000"))</f>
        <v/>
      </c>
      <c r="B1895" s="78" t="n"/>
      <c r="C1895" s="67">
        <f>IF($B1895="","",IFERROR(INDEX(Task_Tracker!$D$5:$D$1004,MATCH($B1895,Task_Tracker!$A$5:$A$1004,0)),""))</f>
        <v/>
      </c>
      <c r="D1895" s="67">
        <f>IF($B1895="","",IFERROR(INDEX(Task_Tracker!$B$5:$B$1004,MATCH($B1895,Task_Tracker!$A$5:$A$1004,0)),""))</f>
        <v/>
      </c>
      <c r="E1895" s="81" t="n"/>
      <c r="F1895" s="81" t="n"/>
      <c r="G1895" s="78" t="n"/>
      <c r="H1895" s="78" t="n"/>
      <c r="I1895" s="67">
        <f>IF($H1895="","",IFERROR(INDEX(Action_Status_Map!$B$5:$B$11,MATCH($H1895,Action_Status_Map!$A$5:$A$11,0)),""))</f>
        <v/>
      </c>
      <c r="J1895" s="82" t="n"/>
      <c r="K1895" s="82" t="n"/>
      <c r="L1895" s="82" t="n"/>
      <c r="M1895" s="83" t="n"/>
      <c r="N1895" s="83" t="n"/>
      <c r="O1895" s="66">
        <f>IF(OR($M1895="",$N1895=""),"",$N1895-$M1895)</f>
        <v/>
      </c>
      <c r="P1895" s="84">
        <f>IF($J1895="","",IF($L1895&lt;&gt;"",$L1895-$J1895,TODAY()-$J1895))</f>
        <v/>
      </c>
      <c r="Q1895" s="85">
        <f>IF(OR($K1895="",$H1895="Completed",$H1895="Cancelled"),"",IF(AND($K1895&lt;TODAY(),$H1895&lt;&gt;"Completed",$H1895&lt;&gt;"Cancelled"),"Overdue","On Track"))</f>
        <v/>
      </c>
      <c r="R1895" s="81" t="n"/>
      <c r="S1895" s="81">
        <f>IF($B1895="","",IFERROR(INDEX(Task_Tracker!$AA$5:$AA$1004,MATCH($B1895,Task_Tracker!$A$5:$A$1004,0)),""))</f>
        <v/>
      </c>
      <c r="T1895" s="81">
        <f>IF($B1895="","",IFERROR(INDEX(Task_Tracker!$AB$5:$AB$1004,MATCH($B1895,Task_Tracker!$A$5:$A$1004,0)),""))</f>
        <v/>
      </c>
      <c r="U1895" s="78">
        <f>IF($B1895="","",IFERROR(INDEX(Task_Tracker!$F$5:$F$1004,MATCH($B1895,Task_Tracker!$A$5:$A$1004,0)),""))</f>
        <v/>
      </c>
      <c r="V1895" s="78">
        <f>IF($B1895="","",IFERROR(INDEX(Task_Tracker!$I$5:$I$1004,MATCH($B1895,Task_Tracker!$A$5:$A$1004,0)),""))</f>
        <v/>
      </c>
      <c r="W1895" s="81">
        <f>IF(OR($D1895="",$B1895=""),"",$D1895&amp;" | "&amp;$B1895)</f>
        <v/>
      </c>
      <c r="X1895" s="85">
        <f>IF($K1895="","",TEXT($K1895,"yyyy-mm"))</f>
        <v/>
      </c>
      <c r="Y1895" s="81">
        <f>IF(OR($A1895="",$T1895=""),"","Included in Manager_Report")</f>
        <v/>
      </c>
    </row>
    <row r="1896" ht="15" customHeight="1" s="40">
      <c r="A1896" s="65">
        <f>IF(COUNTA(B1896:G1896)=0,"","STP-"&amp;TEXT(ROW()-4,"0000"))</f>
        <v/>
      </c>
      <c r="B1896" s="78" t="n"/>
      <c r="C1896" s="67">
        <f>IF($B1896="","",IFERROR(INDEX(Task_Tracker!$D$5:$D$1004,MATCH($B1896,Task_Tracker!$A$5:$A$1004,0)),""))</f>
        <v/>
      </c>
      <c r="D1896" s="67">
        <f>IF($B1896="","",IFERROR(INDEX(Task_Tracker!$B$5:$B$1004,MATCH($B1896,Task_Tracker!$A$5:$A$1004,0)),""))</f>
        <v/>
      </c>
      <c r="E1896" s="81" t="n"/>
      <c r="F1896" s="81" t="n"/>
      <c r="G1896" s="78" t="n"/>
      <c r="H1896" s="78" t="n"/>
      <c r="I1896" s="67">
        <f>IF($H1896="","",IFERROR(INDEX(Action_Status_Map!$B$5:$B$11,MATCH($H1896,Action_Status_Map!$A$5:$A$11,0)),""))</f>
        <v/>
      </c>
      <c r="J1896" s="82" t="n"/>
      <c r="K1896" s="82" t="n"/>
      <c r="L1896" s="82" t="n"/>
      <c r="M1896" s="83" t="n"/>
      <c r="N1896" s="83" t="n"/>
      <c r="O1896" s="66">
        <f>IF(OR($M1896="",$N1896=""),"",$N1896-$M1896)</f>
        <v/>
      </c>
      <c r="P1896" s="84">
        <f>IF($J1896="","",IF($L1896&lt;&gt;"",$L1896-$J1896,TODAY()-$J1896))</f>
        <v/>
      </c>
      <c r="Q1896" s="85">
        <f>IF(OR($K1896="",$H1896="Completed",$H1896="Cancelled"),"",IF(AND($K1896&lt;TODAY(),$H1896&lt;&gt;"Completed",$H1896&lt;&gt;"Cancelled"),"Overdue","On Track"))</f>
        <v/>
      </c>
      <c r="R1896" s="81" t="n"/>
      <c r="S1896" s="81">
        <f>IF($B1896="","",IFERROR(INDEX(Task_Tracker!$AA$5:$AA$1004,MATCH($B1896,Task_Tracker!$A$5:$A$1004,0)),""))</f>
        <v/>
      </c>
      <c r="T1896" s="81">
        <f>IF($B1896="","",IFERROR(INDEX(Task_Tracker!$AB$5:$AB$1004,MATCH($B1896,Task_Tracker!$A$5:$A$1004,0)),""))</f>
        <v/>
      </c>
      <c r="U1896" s="78">
        <f>IF($B1896="","",IFERROR(INDEX(Task_Tracker!$F$5:$F$1004,MATCH($B1896,Task_Tracker!$A$5:$A$1004,0)),""))</f>
        <v/>
      </c>
      <c r="V1896" s="78">
        <f>IF($B1896="","",IFERROR(INDEX(Task_Tracker!$I$5:$I$1004,MATCH($B1896,Task_Tracker!$A$5:$A$1004,0)),""))</f>
        <v/>
      </c>
      <c r="W1896" s="81">
        <f>IF(OR($D1896="",$B1896=""),"",$D1896&amp;" | "&amp;$B1896)</f>
        <v/>
      </c>
      <c r="X1896" s="85">
        <f>IF($K1896="","",TEXT($K1896,"yyyy-mm"))</f>
        <v/>
      </c>
      <c r="Y1896" s="81">
        <f>IF(OR($A1896="",$T1896=""),"","Included in Manager_Report")</f>
        <v/>
      </c>
    </row>
    <row r="1897" ht="15" customHeight="1" s="40">
      <c r="A1897" s="65">
        <f>IF(COUNTA(B1897:G1897)=0,"","STP-"&amp;TEXT(ROW()-4,"0000"))</f>
        <v/>
      </c>
      <c r="B1897" s="78" t="n"/>
      <c r="C1897" s="67">
        <f>IF($B1897="","",IFERROR(INDEX(Task_Tracker!$D$5:$D$1004,MATCH($B1897,Task_Tracker!$A$5:$A$1004,0)),""))</f>
        <v/>
      </c>
      <c r="D1897" s="67">
        <f>IF($B1897="","",IFERROR(INDEX(Task_Tracker!$B$5:$B$1004,MATCH($B1897,Task_Tracker!$A$5:$A$1004,0)),""))</f>
        <v/>
      </c>
      <c r="E1897" s="81" t="n"/>
      <c r="F1897" s="81" t="n"/>
      <c r="G1897" s="78" t="n"/>
      <c r="H1897" s="78" t="n"/>
      <c r="I1897" s="67">
        <f>IF($H1897="","",IFERROR(INDEX(Action_Status_Map!$B$5:$B$11,MATCH($H1897,Action_Status_Map!$A$5:$A$11,0)),""))</f>
        <v/>
      </c>
      <c r="J1897" s="82" t="n"/>
      <c r="K1897" s="82" t="n"/>
      <c r="L1897" s="82" t="n"/>
      <c r="M1897" s="83" t="n"/>
      <c r="N1897" s="83" t="n"/>
      <c r="O1897" s="66">
        <f>IF(OR($M1897="",$N1897=""),"",$N1897-$M1897)</f>
        <v/>
      </c>
      <c r="P1897" s="84">
        <f>IF($J1897="","",IF($L1897&lt;&gt;"",$L1897-$J1897,TODAY()-$J1897))</f>
        <v/>
      </c>
      <c r="Q1897" s="85">
        <f>IF(OR($K1897="",$H1897="Completed",$H1897="Cancelled"),"",IF(AND($K1897&lt;TODAY(),$H1897&lt;&gt;"Completed",$H1897&lt;&gt;"Cancelled"),"Overdue","On Track"))</f>
        <v/>
      </c>
      <c r="R1897" s="81" t="n"/>
      <c r="S1897" s="81">
        <f>IF($B1897="","",IFERROR(INDEX(Task_Tracker!$AA$5:$AA$1004,MATCH($B1897,Task_Tracker!$A$5:$A$1004,0)),""))</f>
        <v/>
      </c>
      <c r="T1897" s="81">
        <f>IF($B1897="","",IFERROR(INDEX(Task_Tracker!$AB$5:$AB$1004,MATCH($B1897,Task_Tracker!$A$5:$A$1004,0)),""))</f>
        <v/>
      </c>
      <c r="U1897" s="78">
        <f>IF($B1897="","",IFERROR(INDEX(Task_Tracker!$F$5:$F$1004,MATCH($B1897,Task_Tracker!$A$5:$A$1004,0)),""))</f>
        <v/>
      </c>
      <c r="V1897" s="78">
        <f>IF($B1897="","",IFERROR(INDEX(Task_Tracker!$I$5:$I$1004,MATCH($B1897,Task_Tracker!$A$5:$A$1004,0)),""))</f>
        <v/>
      </c>
      <c r="W1897" s="81">
        <f>IF(OR($D1897="",$B1897=""),"",$D1897&amp;" | "&amp;$B1897)</f>
        <v/>
      </c>
      <c r="X1897" s="85">
        <f>IF($K1897="","",TEXT($K1897,"yyyy-mm"))</f>
        <v/>
      </c>
      <c r="Y1897" s="81">
        <f>IF(OR($A1897="",$T1897=""),"","Included in Manager_Report")</f>
        <v/>
      </c>
    </row>
    <row r="1898" ht="15" customHeight="1" s="40">
      <c r="A1898" s="65">
        <f>IF(COUNTA(B1898:G1898)=0,"","STP-"&amp;TEXT(ROW()-4,"0000"))</f>
        <v/>
      </c>
      <c r="B1898" s="78" t="n"/>
      <c r="C1898" s="67">
        <f>IF($B1898="","",IFERROR(INDEX(Task_Tracker!$D$5:$D$1004,MATCH($B1898,Task_Tracker!$A$5:$A$1004,0)),""))</f>
        <v/>
      </c>
      <c r="D1898" s="67">
        <f>IF($B1898="","",IFERROR(INDEX(Task_Tracker!$B$5:$B$1004,MATCH($B1898,Task_Tracker!$A$5:$A$1004,0)),""))</f>
        <v/>
      </c>
      <c r="E1898" s="81" t="n"/>
      <c r="F1898" s="81" t="n"/>
      <c r="G1898" s="78" t="n"/>
      <c r="H1898" s="78" t="n"/>
      <c r="I1898" s="67">
        <f>IF($H1898="","",IFERROR(INDEX(Action_Status_Map!$B$5:$B$11,MATCH($H1898,Action_Status_Map!$A$5:$A$11,0)),""))</f>
        <v/>
      </c>
      <c r="J1898" s="82" t="n"/>
      <c r="K1898" s="82" t="n"/>
      <c r="L1898" s="82" t="n"/>
      <c r="M1898" s="83" t="n"/>
      <c r="N1898" s="83" t="n"/>
      <c r="O1898" s="66">
        <f>IF(OR($M1898="",$N1898=""),"",$N1898-$M1898)</f>
        <v/>
      </c>
      <c r="P1898" s="84">
        <f>IF($J1898="","",IF($L1898&lt;&gt;"",$L1898-$J1898,TODAY()-$J1898))</f>
        <v/>
      </c>
      <c r="Q1898" s="85">
        <f>IF(OR($K1898="",$H1898="Completed",$H1898="Cancelled"),"",IF(AND($K1898&lt;TODAY(),$H1898&lt;&gt;"Completed",$H1898&lt;&gt;"Cancelled"),"Overdue","On Track"))</f>
        <v/>
      </c>
      <c r="R1898" s="81" t="n"/>
      <c r="S1898" s="81">
        <f>IF($B1898="","",IFERROR(INDEX(Task_Tracker!$AA$5:$AA$1004,MATCH($B1898,Task_Tracker!$A$5:$A$1004,0)),""))</f>
        <v/>
      </c>
      <c r="T1898" s="81">
        <f>IF($B1898="","",IFERROR(INDEX(Task_Tracker!$AB$5:$AB$1004,MATCH($B1898,Task_Tracker!$A$5:$A$1004,0)),""))</f>
        <v/>
      </c>
      <c r="U1898" s="78">
        <f>IF($B1898="","",IFERROR(INDEX(Task_Tracker!$F$5:$F$1004,MATCH($B1898,Task_Tracker!$A$5:$A$1004,0)),""))</f>
        <v/>
      </c>
      <c r="V1898" s="78">
        <f>IF($B1898="","",IFERROR(INDEX(Task_Tracker!$I$5:$I$1004,MATCH($B1898,Task_Tracker!$A$5:$A$1004,0)),""))</f>
        <v/>
      </c>
      <c r="W1898" s="81">
        <f>IF(OR($D1898="",$B1898=""),"",$D1898&amp;" | "&amp;$B1898)</f>
        <v/>
      </c>
      <c r="X1898" s="85">
        <f>IF($K1898="","",TEXT($K1898,"yyyy-mm"))</f>
        <v/>
      </c>
      <c r="Y1898" s="81">
        <f>IF(OR($A1898="",$T1898=""),"","Included in Manager_Report")</f>
        <v/>
      </c>
    </row>
    <row r="1899" ht="15" customHeight="1" s="40">
      <c r="A1899" s="65">
        <f>IF(COUNTA(B1899:G1899)=0,"","STP-"&amp;TEXT(ROW()-4,"0000"))</f>
        <v/>
      </c>
      <c r="B1899" s="78" t="n"/>
      <c r="C1899" s="67">
        <f>IF($B1899="","",IFERROR(INDEX(Task_Tracker!$D$5:$D$1004,MATCH($B1899,Task_Tracker!$A$5:$A$1004,0)),""))</f>
        <v/>
      </c>
      <c r="D1899" s="67">
        <f>IF($B1899="","",IFERROR(INDEX(Task_Tracker!$B$5:$B$1004,MATCH($B1899,Task_Tracker!$A$5:$A$1004,0)),""))</f>
        <v/>
      </c>
      <c r="E1899" s="81" t="n"/>
      <c r="F1899" s="81" t="n"/>
      <c r="G1899" s="78" t="n"/>
      <c r="H1899" s="78" t="n"/>
      <c r="I1899" s="67">
        <f>IF($H1899="","",IFERROR(INDEX(Action_Status_Map!$B$5:$B$11,MATCH($H1899,Action_Status_Map!$A$5:$A$11,0)),""))</f>
        <v/>
      </c>
      <c r="J1899" s="82" t="n"/>
      <c r="K1899" s="82" t="n"/>
      <c r="L1899" s="82" t="n"/>
      <c r="M1899" s="83" t="n"/>
      <c r="N1899" s="83" t="n"/>
      <c r="O1899" s="66">
        <f>IF(OR($M1899="",$N1899=""),"",$N1899-$M1899)</f>
        <v/>
      </c>
      <c r="P1899" s="84">
        <f>IF($J1899="","",IF($L1899&lt;&gt;"",$L1899-$J1899,TODAY()-$J1899))</f>
        <v/>
      </c>
      <c r="Q1899" s="85">
        <f>IF(OR($K1899="",$H1899="Completed",$H1899="Cancelled"),"",IF(AND($K1899&lt;TODAY(),$H1899&lt;&gt;"Completed",$H1899&lt;&gt;"Cancelled"),"Overdue","On Track"))</f>
        <v/>
      </c>
      <c r="R1899" s="81" t="n"/>
      <c r="S1899" s="81">
        <f>IF($B1899="","",IFERROR(INDEX(Task_Tracker!$AA$5:$AA$1004,MATCH($B1899,Task_Tracker!$A$5:$A$1004,0)),""))</f>
        <v/>
      </c>
      <c r="T1899" s="81">
        <f>IF($B1899="","",IFERROR(INDEX(Task_Tracker!$AB$5:$AB$1004,MATCH($B1899,Task_Tracker!$A$5:$A$1004,0)),""))</f>
        <v/>
      </c>
      <c r="U1899" s="78">
        <f>IF($B1899="","",IFERROR(INDEX(Task_Tracker!$F$5:$F$1004,MATCH($B1899,Task_Tracker!$A$5:$A$1004,0)),""))</f>
        <v/>
      </c>
      <c r="V1899" s="78">
        <f>IF($B1899="","",IFERROR(INDEX(Task_Tracker!$I$5:$I$1004,MATCH($B1899,Task_Tracker!$A$5:$A$1004,0)),""))</f>
        <v/>
      </c>
      <c r="W1899" s="81">
        <f>IF(OR($D1899="",$B1899=""),"",$D1899&amp;" | "&amp;$B1899)</f>
        <v/>
      </c>
      <c r="X1899" s="85">
        <f>IF($K1899="","",TEXT($K1899,"yyyy-mm"))</f>
        <v/>
      </c>
      <c r="Y1899" s="81">
        <f>IF(OR($A1899="",$T1899=""),"","Included in Manager_Report")</f>
        <v/>
      </c>
    </row>
    <row r="1900" ht="15" customHeight="1" s="40">
      <c r="A1900" s="65">
        <f>IF(COUNTA(B1900:G1900)=0,"","STP-"&amp;TEXT(ROW()-4,"0000"))</f>
        <v/>
      </c>
      <c r="B1900" s="78" t="n"/>
      <c r="C1900" s="67">
        <f>IF($B1900="","",IFERROR(INDEX(Task_Tracker!$D$5:$D$1004,MATCH($B1900,Task_Tracker!$A$5:$A$1004,0)),""))</f>
        <v/>
      </c>
      <c r="D1900" s="67">
        <f>IF($B1900="","",IFERROR(INDEX(Task_Tracker!$B$5:$B$1004,MATCH($B1900,Task_Tracker!$A$5:$A$1004,0)),""))</f>
        <v/>
      </c>
      <c r="E1900" s="81" t="n"/>
      <c r="F1900" s="81" t="n"/>
      <c r="G1900" s="78" t="n"/>
      <c r="H1900" s="78" t="n"/>
      <c r="I1900" s="67">
        <f>IF($H1900="","",IFERROR(INDEX(Action_Status_Map!$B$5:$B$11,MATCH($H1900,Action_Status_Map!$A$5:$A$11,0)),""))</f>
        <v/>
      </c>
      <c r="J1900" s="82" t="n"/>
      <c r="K1900" s="82" t="n"/>
      <c r="L1900" s="82" t="n"/>
      <c r="M1900" s="83" t="n"/>
      <c r="N1900" s="83" t="n"/>
      <c r="O1900" s="66">
        <f>IF(OR($M1900="",$N1900=""),"",$N1900-$M1900)</f>
        <v/>
      </c>
      <c r="P1900" s="84">
        <f>IF($J1900="","",IF($L1900&lt;&gt;"",$L1900-$J1900,TODAY()-$J1900))</f>
        <v/>
      </c>
      <c r="Q1900" s="85">
        <f>IF(OR($K1900="",$H1900="Completed",$H1900="Cancelled"),"",IF(AND($K1900&lt;TODAY(),$H1900&lt;&gt;"Completed",$H1900&lt;&gt;"Cancelled"),"Overdue","On Track"))</f>
        <v/>
      </c>
      <c r="R1900" s="81" t="n"/>
      <c r="S1900" s="81">
        <f>IF($B1900="","",IFERROR(INDEX(Task_Tracker!$AA$5:$AA$1004,MATCH($B1900,Task_Tracker!$A$5:$A$1004,0)),""))</f>
        <v/>
      </c>
      <c r="T1900" s="81">
        <f>IF($B1900="","",IFERROR(INDEX(Task_Tracker!$AB$5:$AB$1004,MATCH($B1900,Task_Tracker!$A$5:$A$1004,0)),""))</f>
        <v/>
      </c>
      <c r="U1900" s="78">
        <f>IF($B1900="","",IFERROR(INDEX(Task_Tracker!$F$5:$F$1004,MATCH($B1900,Task_Tracker!$A$5:$A$1004,0)),""))</f>
        <v/>
      </c>
      <c r="V1900" s="78">
        <f>IF($B1900="","",IFERROR(INDEX(Task_Tracker!$I$5:$I$1004,MATCH($B1900,Task_Tracker!$A$5:$A$1004,0)),""))</f>
        <v/>
      </c>
      <c r="W1900" s="81">
        <f>IF(OR($D1900="",$B1900=""),"",$D1900&amp;" | "&amp;$B1900)</f>
        <v/>
      </c>
      <c r="X1900" s="85">
        <f>IF($K1900="","",TEXT($K1900,"yyyy-mm"))</f>
        <v/>
      </c>
      <c r="Y1900" s="81">
        <f>IF(OR($A1900="",$T1900=""),"","Included in Manager_Report")</f>
        <v/>
      </c>
    </row>
    <row r="1901" ht="15" customHeight="1" s="40">
      <c r="A1901" s="65">
        <f>IF(COUNTA(B1901:G1901)=0,"","STP-"&amp;TEXT(ROW()-4,"0000"))</f>
        <v/>
      </c>
      <c r="B1901" s="78" t="n"/>
      <c r="C1901" s="67">
        <f>IF($B1901="","",IFERROR(INDEX(Task_Tracker!$D$5:$D$1004,MATCH($B1901,Task_Tracker!$A$5:$A$1004,0)),""))</f>
        <v/>
      </c>
      <c r="D1901" s="67">
        <f>IF($B1901="","",IFERROR(INDEX(Task_Tracker!$B$5:$B$1004,MATCH($B1901,Task_Tracker!$A$5:$A$1004,0)),""))</f>
        <v/>
      </c>
      <c r="E1901" s="81" t="n"/>
      <c r="F1901" s="81" t="n"/>
      <c r="G1901" s="78" t="n"/>
      <c r="H1901" s="78" t="n"/>
      <c r="I1901" s="67">
        <f>IF($H1901="","",IFERROR(INDEX(Action_Status_Map!$B$5:$B$11,MATCH($H1901,Action_Status_Map!$A$5:$A$11,0)),""))</f>
        <v/>
      </c>
      <c r="J1901" s="82" t="n"/>
      <c r="K1901" s="82" t="n"/>
      <c r="L1901" s="82" t="n"/>
      <c r="M1901" s="83" t="n"/>
      <c r="N1901" s="83" t="n"/>
      <c r="O1901" s="66">
        <f>IF(OR($M1901="",$N1901=""),"",$N1901-$M1901)</f>
        <v/>
      </c>
      <c r="P1901" s="84">
        <f>IF($J1901="","",IF($L1901&lt;&gt;"",$L1901-$J1901,TODAY()-$J1901))</f>
        <v/>
      </c>
      <c r="Q1901" s="85">
        <f>IF(OR($K1901="",$H1901="Completed",$H1901="Cancelled"),"",IF(AND($K1901&lt;TODAY(),$H1901&lt;&gt;"Completed",$H1901&lt;&gt;"Cancelled"),"Overdue","On Track"))</f>
        <v/>
      </c>
      <c r="R1901" s="81" t="n"/>
      <c r="S1901" s="81">
        <f>IF($B1901="","",IFERROR(INDEX(Task_Tracker!$AA$5:$AA$1004,MATCH($B1901,Task_Tracker!$A$5:$A$1004,0)),""))</f>
        <v/>
      </c>
      <c r="T1901" s="81">
        <f>IF($B1901="","",IFERROR(INDEX(Task_Tracker!$AB$5:$AB$1004,MATCH($B1901,Task_Tracker!$A$5:$A$1004,0)),""))</f>
        <v/>
      </c>
      <c r="U1901" s="78">
        <f>IF($B1901="","",IFERROR(INDEX(Task_Tracker!$F$5:$F$1004,MATCH($B1901,Task_Tracker!$A$5:$A$1004,0)),""))</f>
        <v/>
      </c>
      <c r="V1901" s="78">
        <f>IF($B1901="","",IFERROR(INDEX(Task_Tracker!$I$5:$I$1004,MATCH($B1901,Task_Tracker!$A$5:$A$1004,0)),""))</f>
        <v/>
      </c>
      <c r="W1901" s="81">
        <f>IF(OR($D1901="",$B1901=""),"",$D1901&amp;" | "&amp;$B1901)</f>
        <v/>
      </c>
      <c r="X1901" s="85">
        <f>IF($K1901="","",TEXT($K1901,"yyyy-mm"))</f>
        <v/>
      </c>
      <c r="Y1901" s="81">
        <f>IF(OR($A1901="",$T1901=""),"","Included in Manager_Report")</f>
        <v/>
      </c>
    </row>
    <row r="1902" ht="15" customHeight="1" s="40">
      <c r="A1902" s="65">
        <f>IF(COUNTA(B1902:G1902)=0,"","STP-"&amp;TEXT(ROW()-4,"0000"))</f>
        <v/>
      </c>
      <c r="B1902" s="78" t="n"/>
      <c r="C1902" s="67">
        <f>IF($B1902="","",IFERROR(INDEX(Task_Tracker!$D$5:$D$1004,MATCH($B1902,Task_Tracker!$A$5:$A$1004,0)),""))</f>
        <v/>
      </c>
      <c r="D1902" s="67">
        <f>IF($B1902="","",IFERROR(INDEX(Task_Tracker!$B$5:$B$1004,MATCH($B1902,Task_Tracker!$A$5:$A$1004,0)),""))</f>
        <v/>
      </c>
      <c r="E1902" s="81" t="n"/>
      <c r="F1902" s="81" t="n"/>
      <c r="G1902" s="78" t="n"/>
      <c r="H1902" s="78" t="n"/>
      <c r="I1902" s="67">
        <f>IF($H1902="","",IFERROR(INDEX(Action_Status_Map!$B$5:$B$11,MATCH($H1902,Action_Status_Map!$A$5:$A$11,0)),""))</f>
        <v/>
      </c>
      <c r="J1902" s="82" t="n"/>
      <c r="K1902" s="82" t="n"/>
      <c r="L1902" s="82" t="n"/>
      <c r="M1902" s="83" t="n"/>
      <c r="N1902" s="83" t="n"/>
      <c r="O1902" s="66">
        <f>IF(OR($M1902="",$N1902=""),"",$N1902-$M1902)</f>
        <v/>
      </c>
      <c r="P1902" s="84">
        <f>IF($J1902="","",IF($L1902&lt;&gt;"",$L1902-$J1902,TODAY()-$J1902))</f>
        <v/>
      </c>
      <c r="Q1902" s="85">
        <f>IF(OR($K1902="",$H1902="Completed",$H1902="Cancelled"),"",IF(AND($K1902&lt;TODAY(),$H1902&lt;&gt;"Completed",$H1902&lt;&gt;"Cancelled"),"Overdue","On Track"))</f>
        <v/>
      </c>
      <c r="R1902" s="81" t="n"/>
      <c r="S1902" s="81">
        <f>IF($B1902="","",IFERROR(INDEX(Task_Tracker!$AA$5:$AA$1004,MATCH($B1902,Task_Tracker!$A$5:$A$1004,0)),""))</f>
        <v/>
      </c>
      <c r="T1902" s="81">
        <f>IF($B1902="","",IFERROR(INDEX(Task_Tracker!$AB$5:$AB$1004,MATCH($B1902,Task_Tracker!$A$5:$A$1004,0)),""))</f>
        <v/>
      </c>
      <c r="U1902" s="78">
        <f>IF($B1902="","",IFERROR(INDEX(Task_Tracker!$F$5:$F$1004,MATCH($B1902,Task_Tracker!$A$5:$A$1004,0)),""))</f>
        <v/>
      </c>
      <c r="V1902" s="78">
        <f>IF($B1902="","",IFERROR(INDEX(Task_Tracker!$I$5:$I$1004,MATCH($B1902,Task_Tracker!$A$5:$A$1004,0)),""))</f>
        <v/>
      </c>
      <c r="W1902" s="81">
        <f>IF(OR($D1902="",$B1902=""),"",$D1902&amp;" | "&amp;$B1902)</f>
        <v/>
      </c>
      <c r="X1902" s="85">
        <f>IF($K1902="","",TEXT($K1902,"yyyy-mm"))</f>
        <v/>
      </c>
      <c r="Y1902" s="81">
        <f>IF(OR($A1902="",$T1902=""),"","Included in Manager_Report")</f>
        <v/>
      </c>
    </row>
    <row r="1903" ht="15" customHeight="1" s="40">
      <c r="A1903" s="65">
        <f>IF(COUNTA(B1903:G1903)=0,"","STP-"&amp;TEXT(ROW()-4,"0000"))</f>
        <v/>
      </c>
      <c r="B1903" s="78" t="n"/>
      <c r="C1903" s="67">
        <f>IF($B1903="","",IFERROR(INDEX(Task_Tracker!$D$5:$D$1004,MATCH($B1903,Task_Tracker!$A$5:$A$1004,0)),""))</f>
        <v/>
      </c>
      <c r="D1903" s="67">
        <f>IF($B1903="","",IFERROR(INDEX(Task_Tracker!$B$5:$B$1004,MATCH($B1903,Task_Tracker!$A$5:$A$1004,0)),""))</f>
        <v/>
      </c>
      <c r="E1903" s="81" t="n"/>
      <c r="F1903" s="81" t="n"/>
      <c r="G1903" s="78" t="n"/>
      <c r="H1903" s="78" t="n"/>
      <c r="I1903" s="67">
        <f>IF($H1903="","",IFERROR(INDEX(Action_Status_Map!$B$5:$B$11,MATCH($H1903,Action_Status_Map!$A$5:$A$11,0)),""))</f>
        <v/>
      </c>
      <c r="J1903" s="82" t="n"/>
      <c r="K1903" s="82" t="n"/>
      <c r="L1903" s="82" t="n"/>
      <c r="M1903" s="83" t="n"/>
      <c r="N1903" s="83" t="n"/>
      <c r="O1903" s="66">
        <f>IF(OR($M1903="",$N1903=""),"",$N1903-$M1903)</f>
        <v/>
      </c>
      <c r="P1903" s="84">
        <f>IF($J1903="","",IF($L1903&lt;&gt;"",$L1903-$J1903,TODAY()-$J1903))</f>
        <v/>
      </c>
      <c r="Q1903" s="85">
        <f>IF(OR($K1903="",$H1903="Completed",$H1903="Cancelled"),"",IF(AND($K1903&lt;TODAY(),$H1903&lt;&gt;"Completed",$H1903&lt;&gt;"Cancelled"),"Overdue","On Track"))</f>
        <v/>
      </c>
      <c r="R1903" s="81" t="n"/>
      <c r="S1903" s="81">
        <f>IF($B1903="","",IFERROR(INDEX(Task_Tracker!$AA$5:$AA$1004,MATCH($B1903,Task_Tracker!$A$5:$A$1004,0)),""))</f>
        <v/>
      </c>
      <c r="T1903" s="81">
        <f>IF($B1903="","",IFERROR(INDEX(Task_Tracker!$AB$5:$AB$1004,MATCH($B1903,Task_Tracker!$A$5:$A$1004,0)),""))</f>
        <v/>
      </c>
      <c r="U1903" s="78">
        <f>IF($B1903="","",IFERROR(INDEX(Task_Tracker!$F$5:$F$1004,MATCH($B1903,Task_Tracker!$A$5:$A$1004,0)),""))</f>
        <v/>
      </c>
      <c r="V1903" s="78">
        <f>IF($B1903="","",IFERROR(INDEX(Task_Tracker!$I$5:$I$1004,MATCH($B1903,Task_Tracker!$A$5:$A$1004,0)),""))</f>
        <v/>
      </c>
      <c r="W1903" s="81">
        <f>IF(OR($D1903="",$B1903=""),"",$D1903&amp;" | "&amp;$B1903)</f>
        <v/>
      </c>
      <c r="X1903" s="85">
        <f>IF($K1903="","",TEXT($K1903,"yyyy-mm"))</f>
        <v/>
      </c>
      <c r="Y1903" s="81">
        <f>IF(OR($A1903="",$T1903=""),"","Included in Manager_Report")</f>
        <v/>
      </c>
    </row>
    <row r="1904" ht="15" customHeight="1" s="40">
      <c r="A1904" s="65">
        <f>IF(COUNTA(B1904:G1904)=0,"","STP-"&amp;TEXT(ROW()-4,"0000"))</f>
        <v/>
      </c>
      <c r="B1904" s="78" t="n"/>
      <c r="C1904" s="67">
        <f>IF($B1904="","",IFERROR(INDEX(Task_Tracker!$D$5:$D$1004,MATCH($B1904,Task_Tracker!$A$5:$A$1004,0)),""))</f>
        <v/>
      </c>
      <c r="D1904" s="67">
        <f>IF($B1904="","",IFERROR(INDEX(Task_Tracker!$B$5:$B$1004,MATCH($B1904,Task_Tracker!$A$5:$A$1004,0)),""))</f>
        <v/>
      </c>
      <c r="E1904" s="81" t="n"/>
      <c r="F1904" s="81" t="n"/>
      <c r="G1904" s="78" t="n"/>
      <c r="H1904" s="78" t="n"/>
      <c r="I1904" s="67">
        <f>IF($H1904="","",IFERROR(INDEX(Action_Status_Map!$B$5:$B$11,MATCH($H1904,Action_Status_Map!$A$5:$A$11,0)),""))</f>
        <v/>
      </c>
      <c r="J1904" s="82" t="n"/>
      <c r="K1904" s="82" t="n"/>
      <c r="L1904" s="82" t="n"/>
      <c r="M1904" s="83" t="n"/>
      <c r="N1904" s="83" t="n"/>
      <c r="O1904" s="66">
        <f>IF(OR($M1904="",$N1904=""),"",$N1904-$M1904)</f>
        <v/>
      </c>
      <c r="P1904" s="84">
        <f>IF($J1904="","",IF($L1904&lt;&gt;"",$L1904-$J1904,TODAY()-$J1904))</f>
        <v/>
      </c>
      <c r="Q1904" s="85">
        <f>IF(OR($K1904="",$H1904="Completed",$H1904="Cancelled"),"",IF(AND($K1904&lt;TODAY(),$H1904&lt;&gt;"Completed",$H1904&lt;&gt;"Cancelled"),"Overdue","On Track"))</f>
        <v/>
      </c>
      <c r="R1904" s="81" t="n"/>
      <c r="S1904" s="81">
        <f>IF($B1904="","",IFERROR(INDEX(Task_Tracker!$AA$5:$AA$1004,MATCH($B1904,Task_Tracker!$A$5:$A$1004,0)),""))</f>
        <v/>
      </c>
      <c r="T1904" s="81">
        <f>IF($B1904="","",IFERROR(INDEX(Task_Tracker!$AB$5:$AB$1004,MATCH($B1904,Task_Tracker!$A$5:$A$1004,0)),""))</f>
        <v/>
      </c>
      <c r="U1904" s="78">
        <f>IF($B1904="","",IFERROR(INDEX(Task_Tracker!$F$5:$F$1004,MATCH($B1904,Task_Tracker!$A$5:$A$1004,0)),""))</f>
        <v/>
      </c>
      <c r="V1904" s="78">
        <f>IF($B1904="","",IFERROR(INDEX(Task_Tracker!$I$5:$I$1004,MATCH($B1904,Task_Tracker!$A$5:$A$1004,0)),""))</f>
        <v/>
      </c>
      <c r="W1904" s="81">
        <f>IF(OR($D1904="",$B1904=""),"",$D1904&amp;" | "&amp;$B1904)</f>
        <v/>
      </c>
      <c r="X1904" s="85">
        <f>IF($K1904="","",TEXT($K1904,"yyyy-mm"))</f>
        <v/>
      </c>
      <c r="Y1904" s="81">
        <f>IF(OR($A1904="",$T1904=""),"","Included in Manager_Report")</f>
        <v/>
      </c>
    </row>
    <row r="1905" ht="15" customHeight="1" s="40">
      <c r="A1905" s="65">
        <f>IF(COUNTA(B1905:G1905)=0,"","STP-"&amp;TEXT(ROW()-4,"0000"))</f>
        <v/>
      </c>
      <c r="B1905" s="78" t="n"/>
      <c r="C1905" s="67">
        <f>IF($B1905="","",IFERROR(INDEX(Task_Tracker!$D$5:$D$1004,MATCH($B1905,Task_Tracker!$A$5:$A$1004,0)),""))</f>
        <v/>
      </c>
      <c r="D1905" s="67">
        <f>IF($B1905="","",IFERROR(INDEX(Task_Tracker!$B$5:$B$1004,MATCH($B1905,Task_Tracker!$A$5:$A$1004,0)),""))</f>
        <v/>
      </c>
      <c r="E1905" s="81" t="n"/>
      <c r="F1905" s="81" t="n"/>
      <c r="G1905" s="78" t="n"/>
      <c r="H1905" s="78" t="n"/>
      <c r="I1905" s="67">
        <f>IF($H1905="","",IFERROR(INDEX(Action_Status_Map!$B$5:$B$11,MATCH($H1905,Action_Status_Map!$A$5:$A$11,0)),""))</f>
        <v/>
      </c>
      <c r="J1905" s="82" t="n"/>
      <c r="K1905" s="82" t="n"/>
      <c r="L1905" s="82" t="n"/>
      <c r="M1905" s="83" t="n"/>
      <c r="N1905" s="83" t="n"/>
      <c r="O1905" s="66">
        <f>IF(OR($M1905="",$N1905=""),"",$N1905-$M1905)</f>
        <v/>
      </c>
      <c r="P1905" s="84">
        <f>IF($J1905="","",IF($L1905&lt;&gt;"",$L1905-$J1905,TODAY()-$J1905))</f>
        <v/>
      </c>
      <c r="Q1905" s="85">
        <f>IF(OR($K1905="",$H1905="Completed",$H1905="Cancelled"),"",IF(AND($K1905&lt;TODAY(),$H1905&lt;&gt;"Completed",$H1905&lt;&gt;"Cancelled"),"Overdue","On Track"))</f>
        <v/>
      </c>
      <c r="R1905" s="81" t="n"/>
      <c r="S1905" s="81">
        <f>IF($B1905="","",IFERROR(INDEX(Task_Tracker!$AA$5:$AA$1004,MATCH($B1905,Task_Tracker!$A$5:$A$1004,0)),""))</f>
        <v/>
      </c>
      <c r="T1905" s="81">
        <f>IF($B1905="","",IFERROR(INDEX(Task_Tracker!$AB$5:$AB$1004,MATCH($B1905,Task_Tracker!$A$5:$A$1004,0)),""))</f>
        <v/>
      </c>
      <c r="U1905" s="78">
        <f>IF($B1905="","",IFERROR(INDEX(Task_Tracker!$F$5:$F$1004,MATCH($B1905,Task_Tracker!$A$5:$A$1004,0)),""))</f>
        <v/>
      </c>
      <c r="V1905" s="78">
        <f>IF($B1905="","",IFERROR(INDEX(Task_Tracker!$I$5:$I$1004,MATCH($B1905,Task_Tracker!$A$5:$A$1004,0)),""))</f>
        <v/>
      </c>
      <c r="W1905" s="81">
        <f>IF(OR($D1905="",$B1905=""),"",$D1905&amp;" | "&amp;$B1905)</f>
        <v/>
      </c>
      <c r="X1905" s="85">
        <f>IF($K1905="","",TEXT($K1905,"yyyy-mm"))</f>
        <v/>
      </c>
      <c r="Y1905" s="81">
        <f>IF(OR($A1905="",$T1905=""),"","Included in Manager_Report")</f>
        <v/>
      </c>
    </row>
    <row r="1906" ht="15" customHeight="1" s="40">
      <c r="A1906" s="65">
        <f>IF(COUNTA(B1906:G1906)=0,"","STP-"&amp;TEXT(ROW()-4,"0000"))</f>
        <v/>
      </c>
      <c r="B1906" s="78" t="n"/>
      <c r="C1906" s="67">
        <f>IF($B1906="","",IFERROR(INDEX(Task_Tracker!$D$5:$D$1004,MATCH($B1906,Task_Tracker!$A$5:$A$1004,0)),""))</f>
        <v/>
      </c>
      <c r="D1906" s="67">
        <f>IF($B1906="","",IFERROR(INDEX(Task_Tracker!$B$5:$B$1004,MATCH($B1906,Task_Tracker!$A$5:$A$1004,0)),""))</f>
        <v/>
      </c>
      <c r="E1906" s="81" t="n"/>
      <c r="F1906" s="81" t="n"/>
      <c r="G1906" s="78" t="n"/>
      <c r="H1906" s="78" t="n"/>
      <c r="I1906" s="67">
        <f>IF($H1906="","",IFERROR(INDEX(Action_Status_Map!$B$5:$B$11,MATCH($H1906,Action_Status_Map!$A$5:$A$11,0)),""))</f>
        <v/>
      </c>
      <c r="J1906" s="82" t="n"/>
      <c r="K1906" s="82" t="n"/>
      <c r="L1906" s="82" t="n"/>
      <c r="M1906" s="83" t="n"/>
      <c r="N1906" s="83" t="n"/>
      <c r="O1906" s="66">
        <f>IF(OR($M1906="",$N1906=""),"",$N1906-$M1906)</f>
        <v/>
      </c>
      <c r="P1906" s="84">
        <f>IF($J1906="","",IF($L1906&lt;&gt;"",$L1906-$J1906,TODAY()-$J1906))</f>
        <v/>
      </c>
      <c r="Q1906" s="85">
        <f>IF(OR($K1906="",$H1906="Completed",$H1906="Cancelled"),"",IF(AND($K1906&lt;TODAY(),$H1906&lt;&gt;"Completed",$H1906&lt;&gt;"Cancelled"),"Overdue","On Track"))</f>
        <v/>
      </c>
      <c r="R1906" s="81" t="n"/>
      <c r="S1906" s="81">
        <f>IF($B1906="","",IFERROR(INDEX(Task_Tracker!$AA$5:$AA$1004,MATCH($B1906,Task_Tracker!$A$5:$A$1004,0)),""))</f>
        <v/>
      </c>
      <c r="T1906" s="81">
        <f>IF($B1906="","",IFERROR(INDEX(Task_Tracker!$AB$5:$AB$1004,MATCH($B1906,Task_Tracker!$A$5:$A$1004,0)),""))</f>
        <v/>
      </c>
      <c r="U1906" s="78">
        <f>IF($B1906="","",IFERROR(INDEX(Task_Tracker!$F$5:$F$1004,MATCH($B1906,Task_Tracker!$A$5:$A$1004,0)),""))</f>
        <v/>
      </c>
      <c r="V1906" s="78">
        <f>IF($B1906="","",IFERROR(INDEX(Task_Tracker!$I$5:$I$1004,MATCH($B1906,Task_Tracker!$A$5:$A$1004,0)),""))</f>
        <v/>
      </c>
      <c r="W1906" s="81">
        <f>IF(OR($D1906="",$B1906=""),"",$D1906&amp;" | "&amp;$B1906)</f>
        <v/>
      </c>
      <c r="X1906" s="85">
        <f>IF($K1906="","",TEXT($K1906,"yyyy-mm"))</f>
        <v/>
      </c>
      <c r="Y1906" s="81">
        <f>IF(OR($A1906="",$T1906=""),"","Included in Manager_Report")</f>
        <v/>
      </c>
    </row>
    <row r="1907" ht="15" customHeight="1" s="40">
      <c r="A1907" s="65">
        <f>IF(COUNTA(B1907:G1907)=0,"","STP-"&amp;TEXT(ROW()-4,"0000"))</f>
        <v/>
      </c>
      <c r="B1907" s="78" t="n"/>
      <c r="C1907" s="67">
        <f>IF($B1907="","",IFERROR(INDEX(Task_Tracker!$D$5:$D$1004,MATCH($B1907,Task_Tracker!$A$5:$A$1004,0)),""))</f>
        <v/>
      </c>
      <c r="D1907" s="67">
        <f>IF($B1907="","",IFERROR(INDEX(Task_Tracker!$B$5:$B$1004,MATCH($B1907,Task_Tracker!$A$5:$A$1004,0)),""))</f>
        <v/>
      </c>
      <c r="E1907" s="81" t="n"/>
      <c r="F1907" s="81" t="n"/>
      <c r="G1907" s="78" t="n"/>
      <c r="H1907" s="78" t="n"/>
      <c r="I1907" s="67">
        <f>IF($H1907="","",IFERROR(INDEX(Action_Status_Map!$B$5:$B$11,MATCH($H1907,Action_Status_Map!$A$5:$A$11,0)),""))</f>
        <v/>
      </c>
      <c r="J1907" s="82" t="n"/>
      <c r="K1907" s="82" t="n"/>
      <c r="L1907" s="82" t="n"/>
      <c r="M1907" s="83" t="n"/>
      <c r="N1907" s="83" t="n"/>
      <c r="O1907" s="66">
        <f>IF(OR($M1907="",$N1907=""),"",$N1907-$M1907)</f>
        <v/>
      </c>
      <c r="P1907" s="84">
        <f>IF($J1907="","",IF($L1907&lt;&gt;"",$L1907-$J1907,TODAY()-$J1907))</f>
        <v/>
      </c>
      <c r="Q1907" s="85">
        <f>IF(OR($K1907="",$H1907="Completed",$H1907="Cancelled"),"",IF(AND($K1907&lt;TODAY(),$H1907&lt;&gt;"Completed",$H1907&lt;&gt;"Cancelled"),"Overdue","On Track"))</f>
        <v/>
      </c>
      <c r="R1907" s="81" t="n"/>
      <c r="S1907" s="81">
        <f>IF($B1907="","",IFERROR(INDEX(Task_Tracker!$AA$5:$AA$1004,MATCH($B1907,Task_Tracker!$A$5:$A$1004,0)),""))</f>
        <v/>
      </c>
      <c r="T1907" s="81">
        <f>IF($B1907="","",IFERROR(INDEX(Task_Tracker!$AB$5:$AB$1004,MATCH($B1907,Task_Tracker!$A$5:$A$1004,0)),""))</f>
        <v/>
      </c>
      <c r="U1907" s="78">
        <f>IF($B1907="","",IFERROR(INDEX(Task_Tracker!$F$5:$F$1004,MATCH($B1907,Task_Tracker!$A$5:$A$1004,0)),""))</f>
        <v/>
      </c>
      <c r="V1907" s="78">
        <f>IF($B1907="","",IFERROR(INDEX(Task_Tracker!$I$5:$I$1004,MATCH($B1907,Task_Tracker!$A$5:$A$1004,0)),""))</f>
        <v/>
      </c>
      <c r="W1907" s="81">
        <f>IF(OR($D1907="",$B1907=""),"",$D1907&amp;" | "&amp;$B1907)</f>
        <v/>
      </c>
      <c r="X1907" s="85">
        <f>IF($K1907="","",TEXT($K1907,"yyyy-mm"))</f>
        <v/>
      </c>
      <c r="Y1907" s="81">
        <f>IF(OR($A1907="",$T1907=""),"","Included in Manager_Report")</f>
        <v/>
      </c>
    </row>
    <row r="1908" ht="15" customHeight="1" s="40">
      <c r="A1908" s="65">
        <f>IF(COUNTA(B1908:G1908)=0,"","STP-"&amp;TEXT(ROW()-4,"0000"))</f>
        <v/>
      </c>
      <c r="B1908" s="78" t="n"/>
      <c r="C1908" s="67">
        <f>IF($B1908="","",IFERROR(INDEX(Task_Tracker!$D$5:$D$1004,MATCH($B1908,Task_Tracker!$A$5:$A$1004,0)),""))</f>
        <v/>
      </c>
      <c r="D1908" s="67">
        <f>IF($B1908="","",IFERROR(INDEX(Task_Tracker!$B$5:$B$1004,MATCH($B1908,Task_Tracker!$A$5:$A$1004,0)),""))</f>
        <v/>
      </c>
      <c r="E1908" s="81" t="n"/>
      <c r="F1908" s="81" t="n"/>
      <c r="G1908" s="78" t="n"/>
      <c r="H1908" s="78" t="n"/>
      <c r="I1908" s="67">
        <f>IF($H1908="","",IFERROR(INDEX(Action_Status_Map!$B$5:$B$11,MATCH($H1908,Action_Status_Map!$A$5:$A$11,0)),""))</f>
        <v/>
      </c>
      <c r="J1908" s="82" t="n"/>
      <c r="K1908" s="82" t="n"/>
      <c r="L1908" s="82" t="n"/>
      <c r="M1908" s="83" t="n"/>
      <c r="N1908" s="83" t="n"/>
      <c r="O1908" s="66">
        <f>IF(OR($M1908="",$N1908=""),"",$N1908-$M1908)</f>
        <v/>
      </c>
      <c r="P1908" s="84">
        <f>IF($J1908="","",IF($L1908&lt;&gt;"",$L1908-$J1908,TODAY()-$J1908))</f>
        <v/>
      </c>
      <c r="Q1908" s="85">
        <f>IF(OR($K1908="",$H1908="Completed",$H1908="Cancelled"),"",IF(AND($K1908&lt;TODAY(),$H1908&lt;&gt;"Completed",$H1908&lt;&gt;"Cancelled"),"Overdue","On Track"))</f>
        <v/>
      </c>
      <c r="R1908" s="81" t="n"/>
      <c r="S1908" s="81">
        <f>IF($B1908="","",IFERROR(INDEX(Task_Tracker!$AA$5:$AA$1004,MATCH($B1908,Task_Tracker!$A$5:$A$1004,0)),""))</f>
        <v/>
      </c>
      <c r="T1908" s="81">
        <f>IF($B1908="","",IFERROR(INDEX(Task_Tracker!$AB$5:$AB$1004,MATCH($B1908,Task_Tracker!$A$5:$A$1004,0)),""))</f>
        <v/>
      </c>
      <c r="U1908" s="78">
        <f>IF($B1908="","",IFERROR(INDEX(Task_Tracker!$F$5:$F$1004,MATCH($B1908,Task_Tracker!$A$5:$A$1004,0)),""))</f>
        <v/>
      </c>
      <c r="V1908" s="78">
        <f>IF($B1908="","",IFERROR(INDEX(Task_Tracker!$I$5:$I$1004,MATCH($B1908,Task_Tracker!$A$5:$A$1004,0)),""))</f>
        <v/>
      </c>
      <c r="W1908" s="81">
        <f>IF(OR($D1908="",$B1908=""),"",$D1908&amp;" | "&amp;$B1908)</f>
        <v/>
      </c>
      <c r="X1908" s="85">
        <f>IF($K1908="","",TEXT($K1908,"yyyy-mm"))</f>
        <v/>
      </c>
      <c r="Y1908" s="81">
        <f>IF(OR($A1908="",$T1908=""),"","Included in Manager_Report")</f>
        <v/>
      </c>
    </row>
    <row r="1909" ht="15" customHeight="1" s="40">
      <c r="A1909" s="65">
        <f>IF(COUNTA(B1909:G1909)=0,"","STP-"&amp;TEXT(ROW()-4,"0000"))</f>
        <v/>
      </c>
      <c r="B1909" s="78" t="n"/>
      <c r="C1909" s="67">
        <f>IF($B1909="","",IFERROR(INDEX(Task_Tracker!$D$5:$D$1004,MATCH($B1909,Task_Tracker!$A$5:$A$1004,0)),""))</f>
        <v/>
      </c>
      <c r="D1909" s="67">
        <f>IF($B1909="","",IFERROR(INDEX(Task_Tracker!$B$5:$B$1004,MATCH($B1909,Task_Tracker!$A$5:$A$1004,0)),""))</f>
        <v/>
      </c>
      <c r="E1909" s="81" t="n"/>
      <c r="F1909" s="81" t="n"/>
      <c r="G1909" s="78" t="n"/>
      <c r="H1909" s="78" t="n"/>
      <c r="I1909" s="67">
        <f>IF($H1909="","",IFERROR(INDEX(Action_Status_Map!$B$5:$B$11,MATCH($H1909,Action_Status_Map!$A$5:$A$11,0)),""))</f>
        <v/>
      </c>
      <c r="J1909" s="82" t="n"/>
      <c r="K1909" s="82" t="n"/>
      <c r="L1909" s="82" t="n"/>
      <c r="M1909" s="83" t="n"/>
      <c r="N1909" s="83" t="n"/>
      <c r="O1909" s="66">
        <f>IF(OR($M1909="",$N1909=""),"",$N1909-$M1909)</f>
        <v/>
      </c>
      <c r="P1909" s="84">
        <f>IF($J1909="","",IF($L1909&lt;&gt;"",$L1909-$J1909,TODAY()-$J1909))</f>
        <v/>
      </c>
      <c r="Q1909" s="85">
        <f>IF(OR($K1909="",$H1909="Completed",$H1909="Cancelled"),"",IF(AND($K1909&lt;TODAY(),$H1909&lt;&gt;"Completed",$H1909&lt;&gt;"Cancelled"),"Overdue","On Track"))</f>
        <v/>
      </c>
      <c r="R1909" s="81" t="n"/>
      <c r="S1909" s="81">
        <f>IF($B1909="","",IFERROR(INDEX(Task_Tracker!$AA$5:$AA$1004,MATCH($B1909,Task_Tracker!$A$5:$A$1004,0)),""))</f>
        <v/>
      </c>
      <c r="T1909" s="81">
        <f>IF($B1909="","",IFERROR(INDEX(Task_Tracker!$AB$5:$AB$1004,MATCH($B1909,Task_Tracker!$A$5:$A$1004,0)),""))</f>
        <v/>
      </c>
      <c r="U1909" s="78">
        <f>IF($B1909="","",IFERROR(INDEX(Task_Tracker!$F$5:$F$1004,MATCH($B1909,Task_Tracker!$A$5:$A$1004,0)),""))</f>
        <v/>
      </c>
      <c r="V1909" s="78">
        <f>IF($B1909="","",IFERROR(INDEX(Task_Tracker!$I$5:$I$1004,MATCH($B1909,Task_Tracker!$A$5:$A$1004,0)),""))</f>
        <v/>
      </c>
      <c r="W1909" s="81">
        <f>IF(OR($D1909="",$B1909=""),"",$D1909&amp;" | "&amp;$B1909)</f>
        <v/>
      </c>
      <c r="X1909" s="85">
        <f>IF($K1909="","",TEXT($K1909,"yyyy-mm"))</f>
        <v/>
      </c>
      <c r="Y1909" s="81">
        <f>IF(OR($A1909="",$T1909=""),"","Included in Manager_Report")</f>
        <v/>
      </c>
    </row>
    <row r="1910" ht="15" customHeight="1" s="40">
      <c r="A1910" s="65">
        <f>IF(COUNTA(B1910:G1910)=0,"","STP-"&amp;TEXT(ROW()-4,"0000"))</f>
        <v/>
      </c>
      <c r="B1910" s="78" t="n"/>
      <c r="C1910" s="67">
        <f>IF($B1910="","",IFERROR(INDEX(Task_Tracker!$D$5:$D$1004,MATCH($B1910,Task_Tracker!$A$5:$A$1004,0)),""))</f>
        <v/>
      </c>
      <c r="D1910" s="67">
        <f>IF($B1910="","",IFERROR(INDEX(Task_Tracker!$B$5:$B$1004,MATCH($B1910,Task_Tracker!$A$5:$A$1004,0)),""))</f>
        <v/>
      </c>
      <c r="E1910" s="81" t="n"/>
      <c r="F1910" s="81" t="n"/>
      <c r="G1910" s="78" t="n"/>
      <c r="H1910" s="78" t="n"/>
      <c r="I1910" s="67">
        <f>IF($H1910="","",IFERROR(INDEX(Action_Status_Map!$B$5:$B$11,MATCH($H1910,Action_Status_Map!$A$5:$A$11,0)),""))</f>
        <v/>
      </c>
      <c r="J1910" s="82" t="n"/>
      <c r="K1910" s="82" t="n"/>
      <c r="L1910" s="82" t="n"/>
      <c r="M1910" s="83" t="n"/>
      <c r="N1910" s="83" t="n"/>
      <c r="O1910" s="66">
        <f>IF(OR($M1910="",$N1910=""),"",$N1910-$M1910)</f>
        <v/>
      </c>
      <c r="P1910" s="84">
        <f>IF($J1910="","",IF($L1910&lt;&gt;"",$L1910-$J1910,TODAY()-$J1910))</f>
        <v/>
      </c>
      <c r="Q1910" s="85">
        <f>IF(OR($K1910="",$H1910="Completed",$H1910="Cancelled"),"",IF(AND($K1910&lt;TODAY(),$H1910&lt;&gt;"Completed",$H1910&lt;&gt;"Cancelled"),"Overdue","On Track"))</f>
        <v/>
      </c>
      <c r="R1910" s="81" t="n"/>
      <c r="S1910" s="81">
        <f>IF($B1910="","",IFERROR(INDEX(Task_Tracker!$AA$5:$AA$1004,MATCH($B1910,Task_Tracker!$A$5:$A$1004,0)),""))</f>
        <v/>
      </c>
      <c r="T1910" s="81">
        <f>IF($B1910="","",IFERROR(INDEX(Task_Tracker!$AB$5:$AB$1004,MATCH($B1910,Task_Tracker!$A$5:$A$1004,0)),""))</f>
        <v/>
      </c>
      <c r="U1910" s="78">
        <f>IF($B1910="","",IFERROR(INDEX(Task_Tracker!$F$5:$F$1004,MATCH($B1910,Task_Tracker!$A$5:$A$1004,0)),""))</f>
        <v/>
      </c>
      <c r="V1910" s="78">
        <f>IF($B1910="","",IFERROR(INDEX(Task_Tracker!$I$5:$I$1004,MATCH($B1910,Task_Tracker!$A$5:$A$1004,0)),""))</f>
        <v/>
      </c>
      <c r="W1910" s="81">
        <f>IF(OR($D1910="",$B1910=""),"",$D1910&amp;" | "&amp;$B1910)</f>
        <v/>
      </c>
      <c r="X1910" s="85">
        <f>IF($K1910="","",TEXT($K1910,"yyyy-mm"))</f>
        <v/>
      </c>
      <c r="Y1910" s="81">
        <f>IF(OR($A1910="",$T1910=""),"","Included in Manager_Report")</f>
        <v/>
      </c>
    </row>
    <row r="1911" ht="15" customHeight="1" s="40">
      <c r="A1911" s="65">
        <f>IF(COUNTA(B1911:G1911)=0,"","STP-"&amp;TEXT(ROW()-4,"0000"))</f>
        <v/>
      </c>
      <c r="B1911" s="78" t="n"/>
      <c r="C1911" s="67">
        <f>IF($B1911="","",IFERROR(INDEX(Task_Tracker!$D$5:$D$1004,MATCH($B1911,Task_Tracker!$A$5:$A$1004,0)),""))</f>
        <v/>
      </c>
      <c r="D1911" s="67">
        <f>IF($B1911="","",IFERROR(INDEX(Task_Tracker!$B$5:$B$1004,MATCH($B1911,Task_Tracker!$A$5:$A$1004,0)),""))</f>
        <v/>
      </c>
      <c r="E1911" s="81" t="n"/>
      <c r="F1911" s="81" t="n"/>
      <c r="G1911" s="78" t="n"/>
      <c r="H1911" s="78" t="n"/>
      <c r="I1911" s="67">
        <f>IF($H1911="","",IFERROR(INDEX(Action_Status_Map!$B$5:$B$11,MATCH($H1911,Action_Status_Map!$A$5:$A$11,0)),""))</f>
        <v/>
      </c>
      <c r="J1911" s="82" t="n"/>
      <c r="K1911" s="82" t="n"/>
      <c r="L1911" s="82" t="n"/>
      <c r="M1911" s="83" t="n"/>
      <c r="N1911" s="83" t="n"/>
      <c r="O1911" s="66">
        <f>IF(OR($M1911="",$N1911=""),"",$N1911-$M1911)</f>
        <v/>
      </c>
      <c r="P1911" s="84">
        <f>IF($J1911="","",IF($L1911&lt;&gt;"",$L1911-$J1911,TODAY()-$J1911))</f>
        <v/>
      </c>
      <c r="Q1911" s="85">
        <f>IF(OR($K1911="",$H1911="Completed",$H1911="Cancelled"),"",IF(AND($K1911&lt;TODAY(),$H1911&lt;&gt;"Completed",$H1911&lt;&gt;"Cancelled"),"Overdue","On Track"))</f>
        <v/>
      </c>
      <c r="R1911" s="81" t="n"/>
      <c r="S1911" s="81">
        <f>IF($B1911="","",IFERROR(INDEX(Task_Tracker!$AA$5:$AA$1004,MATCH($B1911,Task_Tracker!$A$5:$A$1004,0)),""))</f>
        <v/>
      </c>
      <c r="T1911" s="81">
        <f>IF($B1911="","",IFERROR(INDEX(Task_Tracker!$AB$5:$AB$1004,MATCH($B1911,Task_Tracker!$A$5:$A$1004,0)),""))</f>
        <v/>
      </c>
      <c r="U1911" s="78">
        <f>IF($B1911="","",IFERROR(INDEX(Task_Tracker!$F$5:$F$1004,MATCH($B1911,Task_Tracker!$A$5:$A$1004,0)),""))</f>
        <v/>
      </c>
      <c r="V1911" s="78">
        <f>IF($B1911="","",IFERROR(INDEX(Task_Tracker!$I$5:$I$1004,MATCH($B1911,Task_Tracker!$A$5:$A$1004,0)),""))</f>
        <v/>
      </c>
      <c r="W1911" s="81">
        <f>IF(OR($D1911="",$B1911=""),"",$D1911&amp;" | "&amp;$B1911)</f>
        <v/>
      </c>
      <c r="X1911" s="85">
        <f>IF($K1911="","",TEXT($K1911,"yyyy-mm"))</f>
        <v/>
      </c>
      <c r="Y1911" s="81">
        <f>IF(OR($A1911="",$T1911=""),"","Included in Manager_Report")</f>
        <v/>
      </c>
    </row>
    <row r="1912" ht="15" customHeight="1" s="40">
      <c r="A1912" s="65">
        <f>IF(COUNTA(B1912:G1912)=0,"","STP-"&amp;TEXT(ROW()-4,"0000"))</f>
        <v/>
      </c>
      <c r="B1912" s="78" t="n"/>
      <c r="C1912" s="67">
        <f>IF($B1912="","",IFERROR(INDEX(Task_Tracker!$D$5:$D$1004,MATCH($B1912,Task_Tracker!$A$5:$A$1004,0)),""))</f>
        <v/>
      </c>
      <c r="D1912" s="67">
        <f>IF($B1912="","",IFERROR(INDEX(Task_Tracker!$B$5:$B$1004,MATCH($B1912,Task_Tracker!$A$5:$A$1004,0)),""))</f>
        <v/>
      </c>
      <c r="E1912" s="81" t="n"/>
      <c r="F1912" s="81" t="n"/>
      <c r="G1912" s="78" t="n"/>
      <c r="H1912" s="78" t="n"/>
      <c r="I1912" s="67">
        <f>IF($H1912="","",IFERROR(INDEX(Action_Status_Map!$B$5:$B$11,MATCH($H1912,Action_Status_Map!$A$5:$A$11,0)),""))</f>
        <v/>
      </c>
      <c r="J1912" s="82" t="n"/>
      <c r="K1912" s="82" t="n"/>
      <c r="L1912" s="82" t="n"/>
      <c r="M1912" s="83" t="n"/>
      <c r="N1912" s="83" t="n"/>
      <c r="O1912" s="66">
        <f>IF(OR($M1912="",$N1912=""),"",$N1912-$M1912)</f>
        <v/>
      </c>
      <c r="P1912" s="84">
        <f>IF($J1912="","",IF($L1912&lt;&gt;"",$L1912-$J1912,TODAY()-$J1912))</f>
        <v/>
      </c>
      <c r="Q1912" s="85">
        <f>IF(OR($K1912="",$H1912="Completed",$H1912="Cancelled"),"",IF(AND($K1912&lt;TODAY(),$H1912&lt;&gt;"Completed",$H1912&lt;&gt;"Cancelled"),"Overdue","On Track"))</f>
        <v/>
      </c>
      <c r="R1912" s="81" t="n"/>
      <c r="S1912" s="81">
        <f>IF($B1912="","",IFERROR(INDEX(Task_Tracker!$AA$5:$AA$1004,MATCH($B1912,Task_Tracker!$A$5:$A$1004,0)),""))</f>
        <v/>
      </c>
      <c r="T1912" s="81">
        <f>IF($B1912="","",IFERROR(INDEX(Task_Tracker!$AB$5:$AB$1004,MATCH($B1912,Task_Tracker!$A$5:$A$1004,0)),""))</f>
        <v/>
      </c>
      <c r="U1912" s="78">
        <f>IF($B1912="","",IFERROR(INDEX(Task_Tracker!$F$5:$F$1004,MATCH($B1912,Task_Tracker!$A$5:$A$1004,0)),""))</f>
        <v/>
      </c>
      <c r="V1912" s="78">
        <f>IF($B1912="","",IFERROR(INDEX(Task_Tracker!$I$5:$I$1004,MATCH($B1912,Task_Tracker!$A$5:$A$1004,0)),""))</f>
        <v/>
      </c>
      <c r="W1912" s="81">
        <f>IF(OR($D1912="",$B1912=""),"",$D1912&amp;" | "&amp;$B1912)</f>
        <v/>
      </c>
      <c r="X1912" s="85">
        <f>IF($K1912="","",TEXT($K1912,"yyyy-mm"))</f>
        <v/>
      </c>
      <c r="Y1912" s="81">
        <f>IF(OR($A1912="",$T1912=""),"","Included in Manager_Report")</f>
        <v/>
      </c>
    </row>
    <row r="1913" ht="15" customHeight="1" s="40">
      <c r="A1913" s="65">
        <f>IF(COUNTA(B1913:G1913)=0,"","STP-"&amp;TEXT(ROW()-4,"0000"))</f>
        <v/>
      </c>
      <c r="B1913" s="78" t="n"/>
      <c r="C1913" s="67">
        <f>IF($B1913="","",IFERROR(INDEX(Task_Tracker!$D$5:$D$1004,MATCH($B1913,Task_Tracker!$A$5:$A$1004,0)),""))</f>
        <v/>
      </c>
      <c r="D1913" s="67">
        <f>IF($B1913="","",IFERROR(INDEX(Task_Tracker!$B$5:$B$1004,MATCH($B1913,Task_Tracker!$A$5:$A$1004,0)),""))</f>
        <v/>
      </c>
      <c r="E1913" s="81" t="n"/>
      <c r="F1913" s="81" t="n"/>
      <c r="G1913" s="78" t="n"/>
      <c r="H1913" s="78" t="n"/>
      <c r="I1913" s="67">
        <f>IF($H1913="","",IFERROR(INDEX(Action_Status_Map!$B$5:$B$11,MATCH($H1913,Action_Status_Map!$A$5:$A$11,0)),""))</f>
        <v/>
      </c>
      <c r="J1913" s="82" t="n"/>
      <c r="K1913" s="82" t="n"/>
      <c r="L1913" s="82" t="n"/>
      <c r="M1913" s="83" t="n"/>
      <c r="N1913" s="83" t="n"/>
      <c r="O1913" s="66">
        <f>IF(OR($M1913="",$N1913=""),"",$N1913-$M1913)</f>
        <v/>
      </c>
      <c r="P1913" s="84">
        <f>IF($J1913="","",IF($L1913&lt;&gt;"",$L1913-$J1913,TODAY()-$J1913))</f>
        <v/>
      </c>
      <c r="Q1913" s="85">
        <f>IF(OR($K1913="",$H1913="Completed",$H1913="Cancelled"),"",IF(AND($K1913&lt;TODAY(),$H1913&lt;&gt;"Completed",$H1913&lt;&gt;"Cancelled"),"Overdue","On Track"))</f>
        <v/>
      </c>
      <c r="R1913" s="81" t="n"/>
      <c r="S1913" s="81">
        <f>IF($B1913="","",IFERROR(INDEX(Task_Tracker!$AA$5:$AA$1004,MATCH($B1913,Task_Tracker!$A$5:$A$1004,0)),""))</f>
        <v/>
      </c>
      <c r="T1913" s="81">
        <f>IF($B1913="","",IFERROR(INDEX(Task_Tracker!$AB$5:$AB$1004,MATCH($B1913,Task_Tracker!$A$5:$A$1004,0)),""))</f>
        <v/>
      </c>
      <c r="U1913" s="78">
        <f>IF($B1913="","",IFERROR(INDEX(Task_Tracker!$F$5:$F$1004,MATCH($B1913,Task_Tracker!$A$5:$A$1004,0)),""))</f>
        <v/>
      </c>
      <c r="V1913" s="78">
        <f>IF($B1913="","",IFERROR(INDEX(Task_Tracker!$I$5:$I$1004,MATCH($B1913,Task_Tracker!$A$5:$A$1004,0)),""))</f>
        <v/>
      </c>
      <c r="W1913" s="81">
        <f>IF(OR($D1913="",$B1913=""),"",$D1913&amp;" | "&amp;$B1913)</f>
        <v/>
      </c>
      <c r="X1913" s="85">
        <f>IF($K1913="","",TEXT($K1913,"yyyy-mm"))</f>
        <v/>
      </c>
      <c r="Y1913" s="81">
        <f>IF(OR($A1913="",$T1913=""),"","Included in Manager_Report")</f>
        <v/>
      </c>
    </row>
    <row r="1914" ht="15" customHeight="1" s="40">
      <c r="A1914" s="65">
        <f>IF(COUNTA(B1914:G1914)=0,"","STP-"&amp;TEXT(ROW()-4,"0000"))</f>
        <v/>
      </c>
      <c r="B1914" s="78" t="n"/>
      <c r="C1914" s="67">
        <f>IF($B1914="","",IFERROR(INDEX(Task_Tracker!$D$5:$D$1004,MATCH($B1914,Task_Tracker!$A$5:$A$1004,0)),""))</f>
        <v/>
      </c>
      <c r="D1914" s="67">
        <f>IF($B1914="","",IFERROR(INDEX(Task_Tracker!$B$5:$B$1004,MATCH($B1914,Task_Tracker!$A$5:$A$1004,0)),""))</f>
        <v/>
      </c>
      <c r="E1914" s="81" t="n"/>
      <c r="F1914" s="81" t="n"/>
      <c r="G1914" s="78" t="n"/>
      <c r="H1914" s="78" t="n"/>
      <c r="I1914" s="67">
        <f>IF($H1914="","",IFERROR(INDEX(Action_Status_Map!$B$5:$B$11,MATCH($H1914,Action_Status_Map!$A$5:$A$11,0)),""))</f>
        <v/>
      </c>
      <c r="J1914" s="82" t="n"/>
      <c r="K1914" s="82" t="n"/>
      <c r="L1914" s="82" t="n"/>
      <c r="M1914" s="83" t="n"/>
      <c r="N1914" s="83" t="n"/>
      <c r="O1914" s="66">
        <f>IF(OR($M1914="",$N1914=""),"",$N1914-$M1914)</f>
        <v/>
      </c>
      <c r="P1914" s="84">
        <f>IF($J1914="","",IF($L1914&lt;&gt;"",$L1914-$J1914,TODAY()-$J1914))</f>
        <v/>
      </c>
      <c r="Q1914" s="85">
        <f>IF(OR($K1914="",$H1914="Completed",$H1914="Cancelled"),"",IF(AND($K1914&lt;TODAY(),$H1914&lt;&gt;"Completed",$H1914&lt;&gt;"Cancelled"),"Overdue","On Track"))</f>
        <v/>
      </c>
      <c r="R1914" s="81" t="n"/>
      <c r="S1914" s="81">
        <f>IF($B1914="","",IFERROR(INDEX(Task_Tracker!$AA$5:$AA$1004,MATCH($B1914,Task_Tracker!$A$5:$A$1004,0)),""))</f>
        <v/>
      </c>
      <c r="T1914" s="81">
        <f>IF($B1914="","",IFERROR(INDEX(Task_Tracker!$AB$5:$AB$1004,MATCH($B1914,Task_Tracker!$A$5:$A$1004,0)),""))</f>
        <v/>
      </c>
      <c r="U1914" s="78">
        <f>IF($B1914="","",IFERROR(INDEX(Task_Tracker!$F$5:$F$1004,MATCH($B1914,Task_Tracker!$A$5:$A$1004,0)),""))</f>
        <v/>
      </c>
      <c r="V1914" s="78">
        <f>IF($B1914="","",IFERROR(INDEX(Task_Tracker!$I$5:$I$1004,MATCH($B1914,Task_Tracker!$A$5:$A$1004,0)),""))</f>
        <v/>
      </c>
      <c r="W1914" s="81">
        <f>IF(OR($D1914="",$B1914=""),"",$D1914&amp;" | "&amp;$B1914)</f>
        <v/>
      </c>
      <c r="X1914" s="85">
        <f>IF($K1914="","",TEXT($K1914,"yyyy-mm"))</f>
        <v/>
      </c>
      <c r="Y1914" s="81">
        <f>IF(OR($A1914="",$T1914=""),"","Included in Manager_Report")</f>
        <v/>
      </c>
    </row>
    <row r="1915" ht="15" customHeight="1" s="40">
      <c r="A1915" s="65">
        <f>IF(COUNTA(B1915:G1915)=0,"","STP-"&amp;TEXT(ROW()-4,"0000"))</f>
        <v/>
      </c>
      <c r="B1915" s="78" t="n"/>
      <c r="C1915" s="67">
        <f>IF($B1915="","",IFERROR(INDEX(Task_Tracker!$D$5:$D$1004,MATCH($B1915,Task_Tracker!$A$5:$A$1004,0)),""))</f>
        <v/>
      </c>
      <c r="D1915" s="67">
        <f>IF($B1915="","",IFERROR(INDEX(Task_Tracker!$B$5:$B$1004,MATCH($B1915,Task_Tracker!$A$5:$A$1004,0)),""))</f>
        <v/>
      </c>
      <c r="E1915" s="81" t="n"/>
      <c r="F1915" s="81" t="n"/>
      <c r="G1915" s="78" t="n"/>
      <c r="H1915" s="78" t="n"/>
      <c r="I1915" s="67">
        <f>IF($H1915="","",IFERROR(INDEX(Action_Status_Map!$B$5:$B$11,MATCH($H1915,Action_Status_Map!$A$5:$A$11,0)),""))</f>
        <v/>
      </c>
      <c r="J1915" s="82" t="n"/>
      <c r="K1915" s="82" t="n"/>
      <c r="L1915" s="82" t="n"/>
      <c r="M1915" s="83" t="n"/>
      <c r="N1915" s="83" t="n"/>
      <c r="O1915" s="66">
        <f>IF(OR($M1915="",$N1915=""),"",$N1915-$M1915)</f>
        <v/>
      </c>
      <c r="P1915" s="84">
        <f>IF($J1915="","",IF($L1915&lt;&gt;"",$L1915-$J1915,TODAY()-$J1915))</f>
        <v/>
      </c>
      <c r="Q1915" s="85">
        <f>IF(OR($K1915="",$H1915="Completed",$H1915="Cancelled"),"",IF(AND($K1915&lt;TODAY(),$H1915&lt;&gt;"Completed",$H1915&lt;&gt;"Cancelled"),"Overdue","On Track"))</f>
        <v/>
      </c>
      <c r="R1915" s="81" t="n"/>
      <c r="S1915" s="81">
        <f>IF($B1915="","",IFERROR(INDEX(Task_Tracker!$AA$5:$AA$1004,MATCH($B1915,Task_Tracker!$A$5:$A$1004,0)),""))</f>
        <v/>
      </c>
      <c r="T1915" s="81">
        <f>IF($B1915="","",IFERROR(INDEX(Task_Tracker!$AB$5:$AB$1004,MATCH($B1915,Task_Tracker!$A$5:$A$1004,0)),""))</f>
        <v/>
      </c>
      <c r="U1915" s="78">
        <f>IF($B1915="","",IFERROR(INDEX(Task_Tracker!$F$5:$F$1004,MATCH($B1915,Task_Tracker!$A$5:$A$1004,0)),""))</f>
        <v/>
      </c>
      <c r="V1915" s="78">
        <f>IF($B1915="","",IFERROR(INDEX(Task_Tracker!$I$5:$I$1004,MATCH($B1915,Task_Tracker!$A$5:$A$1004,0)),""))</f>
        <v/>
      </c>
      <c r="W1915" s="81">
        <f>IF(OR($D1915="",$B1915=""),"",$D1915&amp;" | "&amp;$B1915)</f>
        <v/>
      </c>
      <c r="X1915" s="85">
        <f>IF($K1915="","",TEXT($K1915,"yyyy-mm"))</f>
        <v/>
      </c>
      <c r="Y1915" s="81">
        <f>IF(OR($A1915="",$T1915=""),"","Included in Manager_Report")</f>
        <v/>
      </c>
    </row>
    <row r="1916" ht="15" customHeight="1" s="40">
      <c r="A1916" s="65">
        <f>IF(COUNTA(B1916:G1916)=0,"","STP-"&amp;TEXT(ROW()-4,"0000"))</f>
        <v/>
      </c>
      <c r="B1916" s="78" t="n"/>
      <c r="C1916" s="67">
        <f>IF($B1916="","",IFERROR(INDEX(Task_Tracker!$D$5:$D$1004,MATCH($B1916,Task_Tracker!$A$5:$A$1004,0)),""))</f>
        <v/>
      </c>
      <c r="D1916" s="67">
        <f>IF($B1916="","",IFERROR(INDEX(Task_Tracker!$B$5:$B$1004,MATCH($B1916,Task_Tracker!$A$5:$A$1004,0)),""))</f>
        <v/>
      </c>
      <c r="E1916" s="81" t="n"/>
      <c r="F1916" s="81" t="n"/>
      <c r="G1916" s="78" t="n"/>
      <c r="H1916" s="78" t="n"/>
      <c r="I1916" s="67">
        <f>IF($H1916="","",IFERROR(INDEX(Action_Status_Map!$B$5:$B$11,MATCH($H1916,Action_Status_Map!$A$5:$A$11,0)),""))</f>
        <v/>
      </c>
      <c r="J1916" s="82" t="n"/>
      <c r="K1916" s="82" t="n"/>
      <c r="L1916" s="82" t="n"/>
      <c r="M1916" s="83" t="n"/>
      <c r="N1916" s="83" t="n"/>
      <c r="O1916" s="66">
        <f>IF(OR($M1916="",$N1916=""),"",$N1916-$M1916)</f>
        <v/>
      </c>
      <c r="P1916" s="84">
        <f>IF($J1916="","",IF($L1916&lt;&gt;"",$L1916-$J1916,TODAY()-$J1916))</f>
        <v/>
      </c>
      <c r="Q1916" s="85">
        <f>IF(OR($K1916="",$H1916="Completed",$H1916="Cancelled"),"",IF(AND($K1916&lt;TODAY(),$H1916&lt;&gt;"Completed",$H1916&lt;&gt;"Cancelled"),"Overdue","On Track"))</f>
        <v/>
      </c>
      <c r="R1916" s="81" t="n"/>
      <c r="S1916" s="81">
        <f>IF($B1916="","",IFERROR(INDEX(Task_Tracker!$AA$5:$AA$1004,MATCH($B1916,Task_Tracker!$A$5:$A$1004,0)),""))</f>
        <v/>
      </c>
      <c r="T1916" s="81">
        <f>IF($B1916="","",IFERROR(INDEX(Task_Tracker!$AB$5:$AB$1004,MATCH($B1916,Task_Tracker!$A$5:$A$1004,0)),""))</f>
        <v/>
      </c>
      <c r="U1916" s="78">
        <f>IF($B1916="","",IFERROR(INDEX(Task_Tracker!$F$5:$F$1004,MATCH($B1916,Task_Tracker!$A$5:$A$1004,0)),""))</f>
        <v/>
      </c>
      <c r="V1916" s="78">
        <f>IF($B1916="","",IFERROR(INDEX(Task_Tracker!$I$5:$I$1004,MATCH($B1916,Task_Tracker!$A$5:$A$1004,0)),""))</f>
        <v/>
      </c>
      <c r="W1916" s="81">
        <f>IF(OR($D1916="",$B1916=""),"",$D1916&amp;" | "&amp;$B1916)</f>
        <v/>
      </c>
      <c r="X1916" s="85">
        <f>IF($K1916="","",TEXT($K1916,"yyyy-mm"))</f>
        <v/>
      </c>
      <c r="Y1916" s="81">
        <f>IF(OR($A1916="",$T1916=""),"","Included in Manager_Report")</f>
        <v/>
      </c>
    </row>
    <row r="1917" ht="15" customHeight="1" s="40">
      <c r="A1917" s="65">
        <f>IF(COUNTA(B1917:G1917)=0,"","STP-"&amp;TEXT(ROW()-4,"0000"))</f>
        <v/>
      </c>
      <c r="B1917" s="78" t="n"/>
      <c r="C1917" s="67">
        <f>IF($B1917="","",IFERROR(INDEX(Task_Tracker!$D$5:$D$1004,MATCH($B1917,Task_Tracker!$A$5:$A$1004,0)),""))</f>
        <v/>
      </c>
      <c r="D1917" s="67">
        <f>IF($B1917="","",IFERROR(INDEX(Task_Tracker!$B$5:$B$1004,MATCH($B1917,Task_Tracker!$A$5:$A$1004,0)),""))</f>
        <v/>
      </c>
      <c r="E1917" s="81" t="n"/>
      <c r="F1917" s="81" t="n"/>
      <c r="G1917" s="78" t="n"/>
      <c r="H1917" s="78" t="n"/>
      <c r="I1917" s="67">
        <f>IF($H1917="","",IFERROR(INDEX(Action_Status_Map!$B$5:$B$11,MATCH($H1917,Action_Status_Map!$A$5:$A$11,0)),""))</f>
        <v/>
      </c>
      <c r="J1917" s="82" t="n"/>
      <c r="K1917" s="82" t="n"/>
      <c r="L1917" s="82" t="n"/>
      <c r="M1917" s="83" t="n"/>
      <c r="N1917" s="83" t="n"/>
      <c r="O1917" s="66">
        <f>IF(OR($M1917="",$N1917=""),"",$N1917-$M1917)</f>
        <v/>
      </c>
      <c r="P1917" s="84">
        <f>IF($J1917="","",IF($L1917&lt;&gt;"",$L1917-$J1917,TODAY()-$J1917))</f>
        <v/>
      </c>
      <c r="Q1917" s="85">
        <f>IF(OR($K1917="",$H1917="Completed",$H1917="Cancelled"),"",IF(AND($K1917&lt;TODAY(),$H1917&lt;&gt;"Completed",$H1917&lt;&gt;"Cancelled"),"Overdue","On Track"))</f>
        <v/>
      </c>
      <c r="R1917" s="81" t="n"/>
      <c r="S1917" s="81">
        <f>IF($B1917="","",IFERROR(INDEX(Task_Tracker!$AA$5:$AA$1004,MATCH($B1917,Task_Tracker!$A$5:$A$1004,0)),""))</f>
        <v/>
      </c>
      <c r="T1917" s="81">
        <f>IF($B1917="","",IFERROR(INDEX(Task_Tracker!$AB$5:$AB$1004,MATCH($B1917,Task_Tracker!$A$5:$A$1004,0)),""))</f>
        <v/>
      </c>
      <c r="U1917" s="78">
        <f>IF($B1917="","",IFERROR(INDEX(Task_Tracker!$F$5:$F$1004,MATCH($B1917,Task_Tracker!$A$5:$A$1004,0)),""))</f>
        <v/>
      </c>
      <c r="V1917" s="78">
        <f>IF($B1917="","",IFERROR(INDEX(Task_Tracker!$I$5:$I$1004,MATCH($B1917,Task_Tracker!$A$5:$A$1004,0)),""))</f>
        <v/>
      </c>
      <c r="W1917" s="81">
        <f>IF(OR($D1917="",$B1917=""),"",$D1917&amp;" | "&amp;$B1917)</f>
        <v/>
      </c>
      <c r="X1917" s="85">
        <f>IF($K1917="","",TEXT($K1917,"yyyy-mm"))</f>
        <v/>
      </c>
      <c r="Y1917" s="81">
        <f>IF(OR($A1917="",$T1917=""),"","Included in Manager_Report")</f>
        <v/>
      </c>
    </row>
    <row r="1918" ht="15" customHeight="1" s="40">
      <c r="A1918" s="65">
        <f>IF(COUNTA(B1918:G1918)=0,"","STP-"&amp;TEXT(ROW()-4,"0000"))</f>
        <v/>
      </c>
      <c r="B1918" s="78" t="n"/>
      <c r="C1918" s="67">
        <f>IF($B1918="","",IFERROR(INDEX(Task_Tracker!$D$5:$D$1004,MATCH($B1918,Task_Tracker!$A$5:$A$1004,0)),""))</f>
        <v/>
      </c>
      <c r="D1918" s="67">
        <f>IF($B1918="","",IFERROR(INDEX(Task_Tracker!$B$5:$B$1004,MATCH($B1918,Task_Tracker!$A$5:$A$1004,0)),""))</f>
        <v/>
      </c>
      <c r="E1918" s="81" t="n"/>
      <c r="F1918" s="81" t="n"/>
      <c r="G1918" s="78" t="n"/>
      <c r="H1918" s="78" t="n"/>
      <c r="I1918" s="67">
        <f>IF($H1918="","",IFERROR(INDEX(Action_Status_Map!$B$5:$B$11,MATCH($H1918,Action_Status_Map!$A$5:$A$11,0)),""))</f>
        <v/>
      </c>
      <c r="J1918" s="82" t="n"/>
      <c r="K1918" s="82" t="n"/>
      <c r="L1918" s="82" t="n"/>
      <c r="M1918" s="83" t="n"/>
      <c r="N1918" s="83" t="n"/>
      <c r="O1918" s="66">
        <f>IF(OR($M1918="",$N1918=""),"",$N1918-$M1918)</f>
        <v/>
      </c>
      <c r="P1918" s="84">
        <f>IF($J1918="","",IF($L1918&lt;&gt;"",$L1918-$J1918,TODAY()-$J1918))</f>
        <v/>
      </c>
      <c r="Q1918" s="85">
        <f>IF(OR($K1918="",$H1918="Completed",$H1918="Cancelled"),"",IF(AND($K1918&lt;TODAY(),$H1918&lt;&gt;"Completed",$H1918&lt;&gt;"Cancelled"),"Overdue","On Track"))</f>
        <v/>
      </c>
      <c r="R1918" s="81" t="n"/>
      <c r="S1918" s="81">
        <f>IF($B1918="","",IFERROR(INDEX(Task_Tracker!$AA$5:$AA$1004,MATCH($B1918,Task_Tracker!$A$5:$A$1004,0)),""))</f>
        <v/>
      </c>
      <c r="T1918" s="81">
        <f>IF($B1918="","",IFERROR(INDEX(Task_Tracker!$AB$5:$AB$1004,MATCH($B1918,Task_Tracker!$A$5:$A$1004,0)),""))</f>
        <v/>
      </c>
      <c r="U1918" s="78">
        <f>IF($B1918="","",IFERROR(INDEX(Task_Tracker!$F$5:$F$1004,MATCH($B1918,Task_Tracker!$A$5:$A$1004,0)),""))</f>
        <v/>
      </c>
      <c r="V1918" s="78">
        <f>IF($B1918="","",IFERROR(INDEX(Task_Tracker!$I$5:$I$1004,MATCH($B1918,Task_Tracker!$A$5:$A$1004,0)),""))</f>
        <v/>
      </c>
      <c r="W1918" s="81">
        <f>IF(OR($D1918="",$B1918=""),"",$D1918&amp;" | "&amp;$B1918)</f>
        <v/>
      </c>
      <c r="X1918" s="85">
        <f>IF($K1918="","",TEXT($K1918,"yyyy-mm"))</f>
        <v/>
      </c>
      <c r="Y1918" s="81">
        <f>IF(OR($A1918="",$T1918=""),"","Included in Manager_Report")</f>
        <v/>
      </c>
    </row>
    <row r="1919" ht="15" customHeight="1" s="40">
      <c r="A1919" s="65">
        <f>IF(COUNTA(B1919:G1919)=0,"","STP-"&amp;TEXT(ROW()-4,"0000"))</f>
        <v/>
      </c>
      <c r="B1919" s="78" t="n"/>
      <c r="C1919" s="67">
        <f>IF($B1919="","",IFERROR(INDEX(Task_Tracker!$D$5:$D$1004,MATCH($B1919,Task_Tracker!$A$5:$A$1004,0)),""))</f>
        <v/>
      </c>
      <c r="D1919" s="67">
        <f>IF($B1919="","",IFERROR(INDEX(Task_Tracker!$B$5:$B$1004,MATCH($B1919,Task_Tracker!$A$5:$A$1004,0)),""))</f>
        <v/>
      </c>
      <c r="E1919" s="81" t="n"/>
      <c r="F1919" s="81" t="n"/>
      <c r="G1919" s="78" t="n"/>
      <c r="H1919" s="78" t="n"/>
      <c r="I1919" s="67">
        <f>IF($H1919="","",IFERROR(INDEX(Action_Status_Map!$B$5:$B$11,MATCH($H1919,Action_Status_Map!$A$5:$A$11,0)),""))</f>
        <v/>
      </c>
      <c r="J1919" s="82" t="n"/>
      <c r="K1919" s="82" t="n"/>
      <c r="L1919" s="82" t="n"/>
      <c r="M1919" s="83" t="n"/>
      <c r="N1919" s="83" t="n"/>
      <c r="O1919" s="66">
        <f>IF(OR($M1919="",$N1919=""),"",$N1919-$M1919)</f>
        <v/>
      </c>
      <c r="P1919" s="84">
        <f>IF($J1919="","",IF($L1919&lt;&gt;"",$L1919-$J1919,TODAY()-$J1919))</f>
        <v/>
      </c>
      <c r="Q1919" s="85">
        <f>IF(OR($K1919="",$H1919="Completed",$H1919="Cancelled"),"",IF(AND($K1919&lt;TODAY(),$H1919&lt;&gt;"Completed",$H1919&lt;&gt;"Cancelled"),"Overdue","On Track"))</f>
        <v/>
      </c>
      <c r="R1919" s="81" t="n"/>
      <c r="S1919" s="81">
        <f>IF($B1919="","",IFERROR(INDEX(Task_Tracker!$AA$5:$AA$1004,MATCH($B1919,Task_Tracker!$A$5:$A$1004,0)),""))</f>
        <v/>
      </c>
      <c r="T1919" s="81">
        <f>IF($B1919="","",IFERROR(INDEX(Task_Tracker!$AB$5:$AB$1004,MATCH($B1919,Task_Tracker!$A$5:$A$1004,0)),""))</f>
        <v/>
      </c>
      <c r="U1919" s="78">
        <f>IF($B1919="","",IFERROR(INDEX(Task_Tracker!$F$5:$F$1004,MATCH($B1919,Task_Tracker!$A$5:$A$1004,0)),""))</f>
        <v/>
      </c>
      <c r="V1919" s="78">
        <f>IF($B1919="","",IFERROR(INDEX(Task_Tracker!$I$5:$I$1004,MATCH($B1919,Task_Tracker!$A$5:$A$1004,0)),""))</f>
        <v/>
      </c>
      <c r="W1919" s="81">
        <f>IF(OR($D1919="",$B1919=""),"",$D1919&amp;" | "&amp;$B1919)</f>
        <v/>
      </c>
      <c r="X1919" s="85">
        <f>IF($K1919="","",TEXT($K1919,"yyyy-mm"))</f>
        <v/>
      </c>
      <c r="Y1919" s="81">
        <f>IF(OR($A1919="",$T1919=""),"","Included in Manager_Report")</f>
        <v/>
      </c>
    </row>
    <row r="1920" ht="15" customHeight="1" s="40">
      <c r="A1920" s="65">
        <f>IF(COUNTA(B1920:G1920)=0,"","STP-"&amp;TEXT(ROW()-4,"0000"))</f>
        <v/>
      </c>
      <c r="B1920" s="78" t="n"/>
      <c r="C1920" s="67">
        <f>IF($B1920="","",IFERROR(INDEX(Task_Tracker!$D$5:$D$1004,MATCH($B1920,Task_Tracker!$A$5:$A$1004,0)),""))</f>
        <v/>
      </c>
      <c r="D1920" s="67">
        <f>IF($B1920="","",IFERROR(INDEX(Task_Tracker!$B$5:$B$1004,MATCH($B1920,Task_Tracker!$A$5:$A$1004,0)),""))</f>
        <v/>
      </c>
      <c r="E1920" s="81" t="n"/>
      <c r="F1920" s="81" t="n"/>
      <c r="G1920" s="78" t="n"/>
      <c r="H1920" s="78" t="n"/>
      <c r="I1920" s="67">
        <f>IF($H1920="","",IFERROR(INDEX(Action_Status_Map!$B$5:$B$11,MATCH($H1920,Action_Status_Map!$A$5:$A$11,0)),""))</f>
        <v/>
      </c>
      <c r="J1920" s="82" t="n"/>
      <c r="K1920" s="82" t="n"/>
      <c r="L1920" s="82" t="n"/>
      <c r="M1920" s="83" t="n"/>
      <c r="N1920" s="83" t="n"/>
      <c r="O1920" s="66">
        <f>IF(OR($M1920="",$N1920=""),"",$N1920-$M1920)</f>
        <v/>
      </c>
      <c r="P1920" s="84">
        <f>IF($J1920="","",IF($L1920&lt;&gt;"",$L1920-$J1920,TODAY()-$J1920))</f>
        <v/>
      </c>
      <c r="Q1920" s="85">
        <f>IF(OR($K1920="",$H1920="Completed",$H1920="Cancelled"),"",IF(AND($K1920&lt;TODAY(),$H1920&lt;&gt;"Completed",$H1920&lt;&gt;"Cancelled"),"Overdue","On Track"))</f>
        <v/>
      </c>
      <c r="R1920" s="81" t="n"/>
      <c r="S1920" s="81">
        <f>IF($B1920="","",IFERROR(INDEX(Task_Tracker!$AA$5:$AA$1004,MATCH($B1920,Task_Tracker!$A$5:$A$1004,0)),""))</f>
        <v/>
      </c>
      <c r="T1920" s="81">
        <f>IF($B1920="","",IFERROR(INDEX(Task_Tracker!$AB$5:$AB$1004,MATCH($B1920,Task_Tracker!$A$5:$A$1004,0)),""))</f>
        <v/>
      </c>
      <c r="U1920" s="78">
        <f>IF($B1920="","",IFERROR(INDEX(Task_Tracker!$F$5:$F$1004,MATCH($B1920,Task_Tracker!$A$5:$A$1004,0)),""))</f>
        <v/>
      </c>
      <c r="V1920" s="78">
        <f>IF($B1920="","",IFERROR(INDEX(Task_Tracker!$I$5:$I$1004,MATCH($B1920,Task_Tracker!$A$5:$A$1004,0)),""))</f>
        <v/>
      </c>
      <c r="W1920" s="81">
        <f>IF(OR($D1920="",$B1920=""),"",$D1920&amp;" | "&amp;$B1920)</f>
        <v/>
      </c>
      <c r="X1920" s="85">
        <f>IF($K1920="","",TEXT($K1920,"yyyy-mm"))</f>
        <v/>
      </c>
      <c r="Y1920" s="81">
        <f>IF(OR($A1920="",$T1920=""),"","Included in Manager_Report")</f>
        <v/>
      </c>
    </row>
    <row r="1921" ht="15" customHeight="1" s="40">
      <c r="A1921" s="65">
        <f>IF(COUNTA(B1921:G1921)=0,"","STP-"&amp;TEXT(ROW()-4,"0000"))</f>
        <v/>
      </c>
      <c r="B1921" s="78" t="n"/>
      <c r="C1921" s="67">
        <f>IF($B1921="","",IFERROR(INDEX(Task_Tracker!$D$5:$D$1004,MATCH($B1921,Task_Tracker!$A$5:$A$1004,0)),""))</f>
        <v/>
      </c>
      <c r="D1921" s="67">
        <f>IF($B1921="","",IFERROR(INDEX(Task_Tracker!$B$5:$B$1004,MATCH($B1921,Task_Tracker!$A$5:$A$1004,0)),""))</f>
        <v/>
      </c>
      <c r="E1921" s="81" t="n"/>
      <c r="F1921" s="81" t="n"/>
      <c r="G1921" s="78" t="n"/>
      <c r="H1921" s="78" t="n"/>
      <c r="I1921" s="67">
        <f>IF($H1921="","",IFERROR(INDEX(Action_Status_Map!$B$5:$B$11,MATCH($H1921,Action_Status_Map!$A$5:$A$11,0)),""))</f>
        <v/>
      </c>
      <c r="J1921" s="82" t="n"/>
      <c r="K1921" s="82" t="n"/>
      <c r="L1921" s="82" t="n"/>
      <c r="M1921" s="83" t="n"/>
      <c r="N1921" s="83" t="n"/>
      <c r="O1921" s="66">
        <f>IF(OR($M1921="",$N1921=""),"",$N1921-$M1921)</f>
        <v/>
      </c>
      <c r="P1921" s="84">
        <f>IF($J1921="","",IF($L1921&lt;&gt;"",$L1921-$J1921,TODAY()-$J1921))</f>
        <v/>
      </c>
      <c r="Q1921" s="85">
        <f>IF(OR($K1921="",$H1921="Completed",$H1921="Cancelled"),"",IF(AND($K1921&lt;TODAY(),$H1921&lt;&gt;"Completed",$H1921&lt;&gt;"Cancelled"),"Overdue","On Track"))</f>
        <v/>
      </c>
      <c r="R1921" s="81" t="n"/>
      <c r="S1921" s="81">
        <f>IF($B1921="","",IFERROR(INDEX(Task_Tracker!$AA$5:$AA$1004,MATCH($B1921,Task_Tracker!$A$5:$A$1004,0)),""))</f>
        <v/>
      </c>
      <c r="T1921" s="81">
        <f>IF($B1921="","",IFERROR(INDEX(Task_Tracker!$AB$5:$AB$1004,MATCH($B1921,Task_Tracker!$A$5:$A$1004,0)),""))</f>
        <v/>
      </c>
      <c r="U1921" s="78">
        <f>IF($B1921="","",IFERROR(INDEX(Task_Tracker!$F$5:$F$1004,MATCH($B1921,Task_Tracker!$A$5:$A$1004,0)),""))</f>
        <v/>
      </c>
      <c r="V1921" s="78">
        <f>IF($B1921="","",IFERROR(INDEX(Task_Tracker!$I$5:$I$1004,MATCH($B1921,Task_Tracker!$A$5:$A$1004,0)),""))</f>
        <v/>
      </c>
      <c r="W1921" s="81">
        <f>IF(OR($D1921="",$B1921=""),"",$D1921&amp;" | "&amp;$B1921)</f>
        <v/>
      </c>
      <c r="X1921" s="85">
        <f>IF($K1921="","",TEXT($K1921,"yyyy-mm"))</f>
        <v/>
      </c>
      <c r="Y1921" s="81">
        <f>IF(OR($A1921="",$T1921=""),"","Included in Manager_Report")</f>
        <v/>
      </c>
    </row>
    <row r="1922" ht="15" customHeight="1" s="40">
      <c r="A1922" s="65">
        <f>IF(COUNTA(B1922:G1922)=0,"","STP-"&amp;TEXT(ROW()-4,"0000"))</f>
        <v/>
      </c>
      <c r="B1922" s="78" t="n"/>
      <c r="C1922" s="67">
        <f>IF($B1922="","",IFERROR(INDEX(Task_Tracker!$D$5:$D$1004,MATCH($B1922,Task_Tracker!$A$5:$A$1004,0)),""))</f>
        <v/>
      </c>
      <c r="D1922" s="67">
        <f>IF($B1922="","",IFERROR(INDEX(Task_Tracker!$B$5:$B$1004,MATCH($B1922,Task_Tracker!$A$5:$A$1004,0)),""))</f>
        <v/>
      </c>
      <c r="E1922" s="81" t="n"/>
      <c r="F1922" s="81" t="n"/>
      <c r="G1922" s="78" t="n"/>
      <c r="H1922" s="78" t="n"/>
      <c r="I1922" s="67">
        <f>IF($H1922="","",IFERROR(INDEX(Action_Status_Map!$B$5:$B$11,MATCH($H1922,Action_Status_Map!$A$5:$A$11,0)),""))</f>
        <v/>
      </c>
      <c r="J1922" s="82" t="n"/>
      <c r="K1922" s="82" t="n"/>
      <c r="L1922" s="82" t="n"/>
      <c r="M1922" s="83" t="n"/>
      <c r="N1922" s="83" t="n"/>
      <c r="O1922" s="66">
        <f>IF(OR($M1922="",$N1922=""),"",$N1922-$M1922)</f>
        <v/>
      </c>
      <c r="P1922" s="84">
        <f>IF($J1922="","",IF($L1922&lt;&gt;"",$L1922-$J1922,TODAY()-$J1922))</f>
        <v/>
      </c>
      <c r="Q1922" s="85">
        <f>IF(OR($K1922="",$H1922="Completed",$H1922="Cancelled"),"",IF(AND($K1922&lt;TODAY(),$H1922&lt;&gt;"Completed",$H1922&lt;&gt;"Cancelled"),"Overdue","On Track"))</f>
        <v/>
      </c>
      <c r="R1922" s="81" t="n"/>
      <c r="S1922" s="81">
        <f>IF($B1922="","",IFERROR(INDEX(Task_Tracker!$AA$5:$AA$1004,MATCH($B1922,Task_Tracker!$A$5:$A$1004,0)),""))</f>
        <v/>
      </c>
      <c r="T1922" s="81">
        <f>IF($B1922="","",IFERROR(INDEX(Task_Tracker!$AB$5:$AB$1004,MATCH($B1922,Task_Tracker!$A$5:$A$1004,0)),""))</f>
        <v/>
      </c>
      <c r="U1922" s="78">
        <f>IF($B1922="","",IFERROR(INDEX(Task_Tracker!$F$5:$F$1004,MATCH($B1922,Task_Tracker!$A$5:$A$1004,0)),""))</f>
        <v/>
      </c>
      <c r="V1922" s="78">
        <f>IF($B1922="","",IFERROR(INDEX(Task_Tracker!$I$5:$I$1004,MATCH($B1922,Task_Tracker!$A$5:$A$1004,0)),""))</f>
        <v/>
      </c>
      <c r="W1922" s="81">
        <f>IF(OR($D1922="",$B1922=""),"",$D1922&amp;" | "&amp;$B1922)</f>
        <v/>
      </c>
      <c r="X1922" s="85">
        <f>IF($K1922="","",TEXT($K1922,"yyyy-mm"))</f>
        <v/>
      </c>
      <c r="Y1922" s="81">
        <f>IF(OR($A1922="",$T1922=""),"","Included in Manager_Report")</f>
        <v/>
      </c>
    </row>
    <row r="1923" ht="15" customHeight="1" s="40">
      <c r="A1923" s="65">
        <f>IF(COUNTA(B1923:G1923)=0,"","STP-"&amp;TEXT(ROW()-4,"0000"))</f>
        <v/>
      </c>
      <c r="B1923" s="78" t="n"/>
      <c r="C1923" s="67">
        <f>IF($B1923="","",IFERROR(INDEX(Task_Tracker!$D$5:$D$1004,MATCH($B1923,Task_Tracker!$A$5:$A$1004,0)),""))</f>
        <v/>
      </c>
      <c r="D1923" s="67">
        <f>IF($B1923="","",IFERROR(INDEX(Task_Tracker!$B$5:$B$1004,MATCH($B1923,Task_Tracker!$A$5:$A$1004,0)),""))</f>
        <v/>
      </c>
      <c r="E1923" s="81" t="n"/>
      <c r="F1923" s="81" t="n"/>
      <c r="G1923" s="78" t="n"/>
      <c r="H1923" s="78" t="n"/>
      <c r="I1923" s="67">
        <f>IF($H1923="","",IFERROR(INDEX(Action_Status_Map!$B$5:$B$11,MATCH($H1923,Action_Status_Map!$A$5:$A$11,0)),""))</f>
        <v/>
      </c>
      <c r="J1923" s="82" t="n"/>
      <c r="K1923" s="82" t="n"/>
      <c r="L1923" s="82" t="n"/>
      <c r="M1923" s="83" t="n"/>
      <c r="N1923" s="83" t="n"/>
      <c r="O1923" s="66">
        <f>IF(OR($M1923="",$N1923=""),"",$N1923-$M1923)</f>
        <v/>
      </c>
      <c r="P1923" s="84">
        <f>IF($J1923="","",IF($L1923&lt;&gt;"",$L1923-$J1923,TODAY()-$J1923))</f>
        <v/>
      </c>
      <c r="Q1923" s="85">
        <f>IF(OR($K1923="",$H1923="Completed",$H1923="Cancelled"),"",IF(AND($K1923&lt;TODAY(),$H1923&lt;&gt;"Completed",$H1923&lt;&gt;"Cancelled"),"Overdue","On Track"))</f>
        <v/>
      </c>
      <c r="R1923" s="81" t="n"/>
      <c r="S1923" s="81">
        <f>IF($B1923="","",IFERROR(INDEX(Task_Tracker!$AA$5:$AA$1004,MATCH($B1923,Task_Tracker!$A$5:$A$1004,0)),""))</f>
        <v/>
      </c>
      <c r="T1923" s="81">
        <f>IF($B1923="","",IFERROR(INDEX(Task_Tracker!$AB$5:$AB$1004,MATCH($B1923,Task_Tracker!$A$5:$A$1004,0)),""))</f>
        <v/>
      </c>
      <c r="U1923" s="78">
        <f>IF($B1923="","",IFERROR(INDEX(Task_Tracker!$F$5:$F$1004,MATCH($B1923,Task_Tracker!$A$5:$A$1004,0)),""))</f>
        <v/>
      </c>
      <c r="V1923" s="78">
        <f>IF($B1923="","",IFERROR(INDEX(Task_Tracker!$I$5:$I$1004,MATCH($B1923,Task_Tracker!$A$5:$A$1004,0)),""))</f>
        <v/>
      </c>
      <c r="W1923" s="81">
        <f>IF(OR($D1923="",$B1923=""),"",$D1923&amp;" | "&amp;$B1923)</f>
        <v/>
      </c>
      <c r="X1923" s="85">
        <f>IF($K1923="","",TEXT($K1923,"yyyy-mm"))</f>
        <v/>
      </c>
      <c r="Y1923" s="81">
        <f>IF(OR($A1923="",$T1923=""),"","Included in Manager_Report")</f>
        <v/>
      </c>
    </row>
    <row r="1924" ht="15" customHeight="1" s="40">
      <c r="A1924" s="65">
        <f>IF(COUNTA(B1924:G1924)=0,"","STP-"&amp;TEXT(ROW()-4,"0000"))</f>
        <v/>
      </c>
      <c r="B1924" s="78" t="n"/>
      <c r="C1924" s="67">
        <f>IF($B1924="","",IFERROR(INDEX(Task_Tracker!$D$5:$D$1004,MATCH($B1924,Task_Tracker!$A$5:$A$1004,0)),""))</f>
        <v/>
      </c>
      <c r="D1924" s="67">
        <f>IF($B1924="","",IFERROR(INDEX(Task_Tracker!$B$5:$B$1004,MATCH($B1924,Task_Tracker!$A$5:$A$1004,0)),""))</f>
        <v/>
      </c>
      <c r="E1924" s="81" t="n"/>
      <c r="F1924" s="81" t="n"/>
      <c r="G1924" s="78" t="n"/>
      <c r="H1924" s="78" t="n"/>
      <c r="I1924" s="67">
        <f>IF($H1924="","",IFERROR(INDEX(Action_Status_Map!$B$5:$B$11,MATCH($H1924,Action_Status_Map!$A$5:$A$11,0)),""))</f>
        <v/>
      </c>
      <c r="J1924" s="82" t="n"/>
      <c r="K1924" s="82" t="n"/>
      <c r="L1924" s="82" t="n"/>
      <c r="M1924" s="83" t="n"/>
      <c r="N1924" s="83" t="n"/>
      <c r="O1924" s="66">
        <f>IF(OR($M1924="",$N1924=""),"",$N1924-$M1924)</f>
        <v/>
      </c>
      <c r="P1924" s="84">
        <f>IF($J1924="","",IF($L1924&lt;&gt;"",$L1924-$J1924,TODAY()-$J1924))</f>
        <v/>
      </c>
      <c r="Q1924" s="85">
        <f>IF(OR($K1924="",$H1924="Completed",$H1924="Cancelled"),"",IF(AND($K1924&lt;TODAY(),$H1924&lt;&gt;"Completed",$H1924&lt;&gt;"Cancelled"),"Overdue","On Track"))</f>
        <v/>
      </c>
      <c r="R1924" s="81" t="n"/>
      <c r="S1924" s="81">
        <f>IF($B1924="","",IFERROR(INDEX(Task_Tracker!$AA$5:$AA$1004,MATCH($B1924,Task_Tracker!$A$5:$A$1004,0)),""))</f>
        <v/>
      </c>
      <c r="T1924" s="81">
        <f>IF($B1924="","",IFERROR(INDEX(Task_Tracker!$AB$5:$AB$1004,MATCH($B1924,Task_Tracker!$A$5:$A$1004,0)),""))</f>
        <v/>
      </c>
      <c r="U1924" s="78">
        <f>IF($B1924="","",IFERROR(INDEX(Task_Tracker!$F$5:$F$1004,MATCH($B1924,Task_Tracker!$A$5:$A$1004,0)),""))</f>
        <v/>
      </c>
      <c r="V1924" s="78">
        <f>IF($B1924="","",IFERROR(INDEX(Task_Tracker!$I$5:$I$1004,MATCH($B1924,Task_Tracker!$A$5:$A$1004,0)),""))</f>
        <v/>
      </c>
      <c r="W1924" s="81">
        <f>IF(OR($D1924="",$B1924=""),"",$D1924&amp;" | "&amp;$B1924)</f>
        <v/>
      </c>
      <c r="X1924" s="85">
        <f>IF($K1924="","",TEXT($K1924,"yyyy-mm"))</f>
        <v/>
      </c>
      <c r="Y1924" s="81">
        <f>IF(OR($A1924="",$T1924=""),"","Included in Manager_Report")</f>
        <v/>
      </c>
    </row>
    <row r="1925" ht="15" customHeight="1" s="40">
      <c r="A1925" s="65">
        <f>IF(COUNTA(B1925:G1925)=0,"","STP-"&amp;TEXT(ROW()-4,"0000"))</f>
        <v/>
      </c>
      <c r="B1925" s="78" t="n"/>
      <c r="C1925" s="67">
        <f>IF($B1925="","",IFERROR(INDEX(Task_Tracker!$D$5:$D$1004,MATCH($B1925,Task_Tracker!$A$5:$A$1004,0)),""))</f>
        <v/>
      </c>
      <c r="D1925" s="67">
        <f>IF($B1925="","",IFERROR(INDEX(Task_Tracker!$B$5:$B$1004,MATCH($B1925,Task_Tracker!$A$5:$A$1004,0)),""))</f>
        <v/>
      </c>
      <c r="E1925" s="81" t="n"/>
      <c r="F1925" s="81" t="n"/>
      <c r="G1925" s="78" t="n"/>
      <c r="H1925" s="78" t="n"/>
      <c r="I1925" s="67">
        <f>IF($H1925="","",IFERROR(INDEX(Action_Status_Map!$B$5:$B$11,MATCH($H1925,Action_Status_Map!$A$5:$A$11,0)),""))</f>
        <v/>
      </c>
      <c r="J1925" s="82" t="n"/>
      <c r="K1925" s="82" t="n"/>
      <c r="L1925" s="82" t="n"/>
      <c r="M1925" s="83" t="n"/>
      <c r="N1925" s="83" t="n"/>
      <c r="O1925" s="66">
        <f>IF(OR($M1925="",$N1925=""),"",$N1925-$M1925)</f>
        <v/>
      </c>
      <c r="P1925" s="84">
        <f>IF($J1925="","",IF($L1925&lt;&gt;"",$L1925-$J1925,TODAY()-$J1925))</f>
        <v/>
      </c>
      <c r="Q1925" s="85">
        <f>IF(OR($K1925="",$H1925="Completed",$H1925="Cancelled"),"",IF(AND($K1925&lt;TODAY(),$H1925&lt;&gt;"Completed",$H1925&lt;&gt;"Cancelled"),"Overdue","On Track"))</f>
        <v/>
      </c>
      <c r="R1925" s="81" t="n"/>
      <c r="S1925" s="81">
        <f>IF($B1925="","",IFERROR(INDEX(Task_Tracker!$AA$5:$AA$1004,MATCH($B1925,Task_Tracker!$A$5:$A$1004,0)),""))</f>
        <v/>
      </c>
      <c r="T1925" s="81">
        <f>IF($B1925="","",IFERROR(INDEX(Task_Tracker!$AB$5:$AB$1004,MATCH($B1925,Task_Tracker!$A$5:$A$1004,0)),""))</f>
        <v/>
      </c>
      <c r="U1925" s="78">
        <f>IF($B1925="","",IFERROR(INDEX(Task_Tracker!$F$5:$F$1004,MATCH($B1925,Task_Tracker!$A$5:$A$1004,0)),""))</f>
        <v/>
      </c>
      <c r="V1925" s="78">
        <f>IF($B1925="","",IFERROR(INDEX(Task_Tracker!$I$5:$I$1004,MATCH($B1925,Task_Tracker!$A$5:$A$1004,0)),""))</f>
        <v/>
      </c>
      <c r="W1925" s="81">
        <f>IF(OR($D1925="",$B1925=""),"",$D1925&amp;" | "&amp;$B1925)</f>
        <v/>
      </c>
      <c r="X1925" s="85">
        <f>IF($K1925="","",TEXT($K1925,"yyyy-mm"))</f>
        <v/>
      </c>
      <c r="Y1925" s="81">
        <f>IF(OR($A1925="",$T1925=""),"","Included in Manager_Report")</f>
        <v/>
      </c>
    </row>
    <row r="1926" ht="15" customHeight="1" s="40">
      <c r="A1926" s="65">
        <f>IF(COUNTA(B1926:G1926)=0,"","STP-"&amp;TEXT(ROW()-4,"0000"))</f>
        <v/>
      </c>
      <c r="B1926" s="78" t="n"/>
      <c r="C1926" s="67">
        <f>IF($B1926="","",IFERROR(INDEX(Task_Tracker!$D$5:$D$1004,MATCH($B1926,Task_Tracker!$A$5:$A$1004,0)),""))</f>
        <v/>
      </c>
      <c r="D1926" s="67">
        <f>IF($B1926="","",IFERROR(INDEX(Task_Tracker!$B$5:$B$1004,MATCH($B1926,Task_Tracker!$A$5:$A$1004,0)),""))</f>
        <v/>
      </c>
      <c r="E1926" s="81" t="n"/>
      <c r="F1926" s="81" t="n"/>
      <c r="G1926" s="78" t="n"/>
      <c r="H1926" s="78" t="n"/>
      <c r="I1926" s="67">
        <f>IF($H1926="","",IFERROR(INDEX(Action_Status_Map!$B$5:$B$11,MATCH($H1926,Action_Status_Map!$A$5:$A$11,0)),""))</f>
        <v/>
      </c>
      <c r="J1926" s="82" t="n"/>
      <c r="K1926" s="82" t="n"/>
      <c r="L1926" s="82" t="n"/>
      <c r="M1926" s="83" t="n"/>
      <c r="N1926" s="83" t="n"/>
      <c r="O1926" s="66">
        <f>IF(OR($M1926="",$N1926=""),"",$N1926-$M1926)</f>
        <v/>
      </c>
      <c r="P1926" s="84">
        <f>IF($J1926="","",IF($L1926&lt;&gt;"",$L1926-$J1926,TODAY()-$J1926))</f>
        <v/>
      </c>
      <c r="Q1926" s="85">
        <f>IF(OR($K1926="",$H1926="Completed",$H1926="Cancelled"),"",IF(AND($K1926&lt;TODAY(),$H1926&lt;&gt;"Completed",$H1926&lt;&gt;"Cancelled"),"Overdue","On Track"))</f>
        <v/>
      </c>
      <c r="R1926" s="81" t="n"/>
      <c r="S1926" s="81">
        <f>IF($B1926="","",IFERROR(INDEX(Task_Tracker!$AA$5:$AA$1004,MATCH($B1926,Task_Tracker!$A$5:$A$1004,0)),""))</f>
        <v/>
      </c>
      <c r="T1926" s="81">
        <f>IF($B1926="","",IFERROR(INDEX(Task_Tracker!$AB$5:$AB$1004,MATCH($B1926,Task_Tracker!$A$5:$A$1004,0)),""))</f>
        <v/>
      </c>
      <c r="U1926" s="78">
        <f>IF($B1926="","",IFERROR(INDEX(Task_Tracker!$F$5:$F$1004,MATCH($B1926,Task_Tracker!$A$5:$A$1004,0)),""))</f>
        <v/>
      </c>
      <c r="V1926" s="78">
        <f>IF($B1926="","",IFERROR(INDEX(Task_Tracker!$I$5:$I$1004,MATCH($B1926,Task_Tracker!$A$5:$A$1004,0)),""))</f>
        <v/>
      </c>
      <c r="W1926" s="81">
        <f>IF(OR($D1926="",$B1926=""),"",$D1926&amp;" | "&amp;$B1926)</f>
        <v/>
      </c>
      <c r="X1926" s="85">
        <f>IF($K1926="","",TEXT($K1926,"yyyy-mm"))</f>
        <v/>
      </c>
      <c r="Y1926" s="81">
        <f>IF(OR($A1926="",$T1926=""),"","Included in Manager_Report")</f>
        <v/>
      </c>
    </row>
    <row r="1927" ht="15" customHeight="1" s="40">
      <c r="A1927" s="65">
        <f>IF(COUNTA(B1927:G1927)=0,"","STP-"&amp;TEXT(ROW()-4,"0000"))</f>
        <v/>
      </c>
      <c r="B1927" s="78" t="n"/>
      <c r="C1927" s="67">
        <f>IF($B1927="","",IFERROR(INDEX(Task_Tracker!$D$5:$D$1004,MATCH($B1927,Task_Tracker!$A$5:$A$1004,0)),""))</f>
        <v/>
      </c>
      <c r="D1927" s="67">
        <f>IF($B1927="","",IFERROR(INDEX(Task_Tracker!$B$5:$B$1004,MATCH($B1927,Task_Tracker!$A$5:$A$1004,0)),""))</f>
        <v/>
      </c>
      <c r="E1927" s="81" t="n"/>
      <c r="F1927" s="81" t="n"/>
      <c r="G1927" s="78" t="n"/>
      <c r="H1927" s="78" t="n"/>
      <c r="I1927" s="67">
        <f>IF($H1927="","",IFERROR(INDEX(Action_Status_Map!$B$5:$B$11,MATCH($H1927,Action_Status_Map!$A$5:$A$11,0)),""))</f>
        <v/>
      </c>
      <c r="J1927" s="82" t="n"/>
      <c r="K1927" s="82" t="n"/>
      <c r="L1927" s="82" t="n"/>
      <c r="M1927" s="83" t="n"/>
      <c r="N1927" s="83" t="n"/>
      <c r="O1927" s="66">
        <f>IF(OR($M1927="",$N1927=""),"",$N1927-$M1927)</f>
        <v/>
      </c>
      <c r="P1927" s="84">
        <f>IF($J1927="","",IF($L1927&lt;&gt;"",$L1927-$J1927,TODAY()-$J1927))</f>
        <v/>
      </c>
      <c r="Q1927" s="85">
        <f>IF(OR($K1927="",$H1927="Completed",$H1927="Cancelled"),"",IF(AND($K1927&lt;TODAY(),$H1927&lt;&gt;"Completed",$H1927&lt;&gt;"Cancelled"),"Overdue","On Track"))</f>
        <v/>
      </c>
      <c r="R1927" s="81" t="n"/>
      <c r="S1927" s="81">
        <f>IF($B1927="","",IFERROR(INDEX(Task_Tracker!$AA$5:$AA$1004,MATCH($B1927,Task_Tracker!$A$5:$A$1004,0)),""))</f>
        <v/>
      </c>
      <c r="T1927" s="81">
        <f>IF($B1927="","",IFERROR(INDEX(Task_Tracker!$AB$5:$AB$1004,MATCH($B1927,Task_Tracker!$A$5:$A$1004,0)),""))</f>
        <v/>
      </c>
      <c r="U1927" s="78">
        <f>IF($B1927="","",IFERROR(INDEX(Task_Tracker!$F$5:$F$1004,MATCH($B1927,Task_Tracker!$A$5:$A$1004,0)),""))</f>
        <v/>
      </c>
      <c r="V1927" s="78">
        <f>IF($B1927="","",IFERROR(INDEX(Task_Tracker!$I$5:$I$1004,MATCH($B1927,Task_Tracker!$A$5:$A$1004,0)),""))</f>
        <v/>
      </c>
      <c r="W1927" s="81">
        <f>IF(OR($D1927="",$B1927=""),"",$D1927&amp;" | "&amp;$B1927)</f>
        <v/>
      </c>
      <c r="X1927" s="85">
        <f>IF($K1927="","",TEXT($K1927,"yyyy-mm"))</f>
        <v/>
      </c>
      <c r="Y1927" s="81">
        <f>IF(OR($A1927="",$T1927=""),"","Included in Manager_Report")</f>
        <v/>
      </c>
    </row>
    <row r="1928" ht="15" customHeight="1" s="40">
      <c r="A1928" s="65">
        <f>IF(COUNTA(B1928:G1928)=0,"","STP-"&amp;TEXT(ROW()-4,"0000"))</f>
        <v/>
      </c>
      <c r="B1928" s="78" t="n"/>
      <c r="C1928" s="67">
        <f>IF($B1928="","",IFERROR(INDEX(Task_Tracker!$D$5:$D$1004,MATCH($B1928,Task_Tracker!$A$5:$A$1004,0)),""))</f>
        <v/>
      </c>
      <c r="D1928" s="67">
        <f>IF($B1928="","",IFERROR(INDEX(Task_Tracker!$B$5:$B$1004,MATCH($B1928,Task_Tracker!$A$5:$A$1004,0)),""))</f>
        <v/>
      </c>
      <c r="E1928" s="81" t="n"/>
      <c r="F1928" s="81" t="n"/>
      <c r="G1928" s="78" t="n"/>
      <c r="H1928" s="78" t="n"/>
      <c r="I1928" s="67">
        <f>IF($H1928="","",IFERROR(INDEX(Action_Status_Map!$B$5:$B$11,MATCH($H1928,Action_Status_Map!$A$5:$A$11,0)),""))</f>
        <v/>
      </c>
      <c r="J1928" s="82" t="n"/>
      <c r="K1928" s="82" t="n"/>
      <c r="L1928" s="82" t="n"/>
      <c r="M1928" s="83" t="n"/>
      <c r="N1928" s="83" t="n"/>
      <c r="O1928" s="66">
        <f>IF(OR($M1928="",$N1928=""),"",$N1928-$M1928)</f>
        <v/>
      </c>
      <c r="P1928" s="84">
        <f>IF($J1928="","",IF($L1928&lt;&gt;"",$L1928-$J1928,TODAY()-$J1928))</f>
        <v/>
      </c>
      <c r="Q1928" s="85">
        <f>IF(OR($K1928="",$H1928="Completed",$H1928="Cancelled"),"",IF(AND($K1928&lt;TODAY(),$H1928&lt;&gt;"Completed",$H1928&lt;&gt;"Cancelled"),"Overdue","On Track"))</f>
        <v/>
      </c>
      <c r="R1928" s="81" t="n"/>
      <c r="S1928" s="81">
        <f>IF($B1928="","",IFERROR(INDEX(Task_Tracker!$AA$5:$AA$1004,MATCH($B1928,Task_Tracker!$A$5:$A$1004,0)),""))</f>
        <v/>
      </c>
      <c r="T1928" s="81">
        <f>IF($B1928="","",IFERROR(INDEX(Task_Tracker!$AB$5:$AB$1004,MATCH($B1928,Task_Tracker!$A$5:$A$1004,0)),""))</f>
        <v/>
      </c>
      <c r="U1928" s="78">
        <f>IF($B1928="","",IFERROR(INDEX(Task_Tracker!$F$5:$F$1004,MATCH($B1928,Task_Tracker!$A$5:$A$1004,0)),""))</f>
        <v/>
      </c>
      <c r="V1928" s="78">
        <f>IF($B1928="","",IFERROR(INDEX(Task_Tracker!$I$5:$I$1004,MATCH($B1928,Task_Tracker!$A$5:$A$1004,0)),""))</f>
        <v/>
      </c>
      <c r="W1928" s="81">
        <f>IF(OR($D1928="",$B1928=""),"",$D1928&amp;" | "&amp;$B1928)</f>
        <v/>
      </c>
      <c r="X1928" s="85">
        <f>IF($K1928="","",TEXT($K1928,"yyyy-mm"))</f>
        <v/>
      </c>
      <c r="Y1928" s="81">
        <f>IF(OR($A1928="",$T1928=""),"","Included in Manager_Report")</f>
        <v/>
      </c>
    </row>
    <row r="1929" ht="15" customHeight="1" s="40">
      <c r="A1929" s="65">
        <f>IF(COUNTA(B1929:G1929)=0,"","STP-"&amp;TEXT(ROW()-4,"0000"))</f>
        <v/>
      </c>
      <c r="B1929" s="78" t="n"/>
      <c r="C1929" s="67">
        <f>IF($B1929="","",IFERROR(INDEX(Task_Tracker!$D$5:$D$1004,MATCH($B1929,Task_Tracker!$A$5:$A$1004,0)),""))</f>
        <v/>
      </c>
      <c r="D1929" s="67">
        <f>IF($B1929="","",IFERROR(INDEX(Task_Tracker!$B$5:$B$1004,MATCH($B1929,Task_Tracker!$A$5:$A$1004,0)),""))</f>
        <v/>
      </c>
      <c r="E1929" s="81" t="n"/>
      <c r="F1929" s="81" t="n"/>
      <c r="G1929" s="78" t="n"/>
      <c r="H1929" s="78" t="n"/>
      <c r="I1929" s="67">
        <f>IF($H1929="","",IFERROR(INDEX(Action_Status_Map!$B$5:$B$11,MATCH($H1929,Action_Status_Map!$A$5:$A$11,0)),""))</f>
        <v/>
      </c>
      <c r="J1929" s="82" t="n"/>
      <c r="K1929" s="82" t="n"/>
      <c r="L1929" s="82" t="n"/>
      <c r="M1929" s="83" t="n"/>
      <c r="N1929" s="83" t="n"/>
      <c r="O1929" s="66">
        <f>IF(OR($M1929="",$N1929=""),"",$N1929-$M1929)</f>
        <v/>
      </c>
      <c r="P1929" s="84">
        <f>IF($J1929="","",IF($L1929&lt;&gt;"",$L1929-$J1929,TODAY()-$J1929))</f>
        <v/>
      </c>
      <c r="Q1929" s="85">
        <f>IF(OR($K1929="",$H1929="Completed",$H1929="Cancelled"),"",IF(AND($K1929&lt;TODAY(),$H1929&lt;&gt;"Completed",$H1929&lt;&gt;"Cancelled"),"Overdue","On Track"))</f>
        <v/>
      </c>
      <c r="R1929" s="81" t="n"/>
      <c r="S1929" s="81">
        <f>IF($B1929="","",IFERROR(INDEX(Task_Tracker!$AA$5:$AA$1004,MATCH($B1929,Task_Tracker!$A$5:$A$1004,0)),""))</f>
        <v/>
      </c>
      <c r="T1929" s="81">
        <f>IF($B1929="","",IFERROR(INDEX(Task_Tracker!$AB$5:$AB$1004,MATCH($B1929,Task_Tracker!$A$5:$A$1004,0)),""))</f>
        <v/>
      </c>
      <c r="U1929" s="78">
        <f>IF($B1929="","",IFERROR(INDEX(Task_Tracker!$F$5:$F$1004,MATCH($B1929,Task_Tracker!$A$5:$A$1004,0)),""))</f>
        <v/>
      </c>
      <c r="V1929" s="78">
        <f>IF($B1929="","",IFERROR(INDEX(Task_Tracker!$I$5:$I$1004,MATCH($B1929,Task_Tracker!$A$5:$A$1004,0)),""))</f>
        <v/>
      </c>
      <c r="W1929" s="81">
        <f>IF(OR($D1929="",$B1929=""),"",$D1929&amp;" | "&amp;$B1929)</f>
        <v/>
      </c>
      <c r="X1929" s="85">
        <f>IF($K1929="","",TEXT($K1929,"yyyy-mm"))</f>
        <v/>
      </c>
      <c r="Y1929" s="81">
        <f>IF(OR($A1929="",$T1929=""),"","Included in Manager_Report")</f>
        <v/>
      </c>
    </row>
    <row r="1930" ht="15" customHeight="1" s="40">
      <c r="A1930" s="65">
        <f>IF(COUNTA(B1930:G1930)=0,"","STP-"&amp;TEXT(ROW()-4,"0000"))</f>
        <v/>
      </c>
      <c r="B1930" s="78" t="n"/>
      <c r="C1930" s="67">
        <f>IF($B1930="","",IFERROR(INDEX(Task_Tracker!$D$5:$D$1004,MATCH($B1930,Task_Tracker!$A$5:$A$1004,0)),""))</f>
        <v/>
      </c>
      <c r="D1930" s="67">
        <f>IF($B1930="","",IFERROR(INDEX(Task_Tracker!$B$5:$B$1004,MATCH($B1930,Task_Tracker!$A$5:$A$1004,0)),""))</f>
        <v/>
      </c>
      <c r="E1930" s="81" t="n"/>
      <c r="F1930" s="81" t="n"/>
      <c r="G1930" s="78" t="n"/>
      <c r="H1930" s="78" t="n"/>
      <c r="I1930" s="67">
        <f>IF($H1930="","",IFERROR(INDEX(Action_Status_Map!$B$5:$B$11,MATCH($H1930,Action_Status_Map!$A$5:$A$11,0)),""))</f>
        <v/>
      </c>
      <c r="J1930" s="82" t="n"/>
      <c r="K1930" s="82" t="n"/>
      <c r="L1930" s="82" t="n"/>
      <c r="M1930" s="83" t="n"/>
      <c r="N1930" s="83" t="n"/>
      <c r="O1930" s="66">
        <f>IF(OR($M1930="",$N1930=""),"",$N1930-$M1930)</f>
        <v/>
      </c>
      <c r="P1930" s="84">
        <f>IF($J1930="","",IF($L1930&lt;&gt;"",$L1930-$J1930,TODAY()-$J1930))</f>
        <v/>
      </c>
      <c r="Q1930" s="85">
        <f>IF(OR($K1930="",$H1930="Completed",$H1930="Cancelled"),"",IF(AND($K1930&lt;TODAY(),$H1930&lt;&gt;"Completed",$H1930&lt;&gt;"Cancelled"),"Overdue","On Track"))</f>
        <v/>
      </c>
      <c r="R1930" s="81" t="n"/>
      <c r="S1930" s="81">
        <f>IF($B1930="","",IFERROR(INDEX(Task_Tracker!$AA$5:$AA$1004,MATCH($B1930,Task_Tracker!$A$5:$A$1004,0)),""))</f>
        <v/>
      </c>
      <c r="T1930" s="81">
        <f>IF($B1930="","",IFERROR(INDEX(Task_Tracker!$AB$5:$AB$1004,MATCH($B1930,Task_Tracker!$A$5:$A$1004,0)),""))</f>
        <v/>
      </c>
      <c r="U1930" s="78">
        <f>IF($B1930="","",IFERROR(INDEX(Task_Tracker!$F$5:$F$1004,MATCH($B1930,Task_Tracker!$A$5:$A$1004,0)),""))</f>
        <v/>
      </c>
      <c r="V1930" s="78">
        <f>IF($B1930="","",IFERROR(INDEX(Task_Tracker!$I$5:$I$1004,MATCH($B1930,Task_Tracker!$A$5:$A$1004,0)),""))</f>
        <v/>
      </c>
      <c r="W1930" s="81">
        <f>IF(OR($D1930="",$B1930=""),"",$D1930&amp;" | "&amp;$B1930)</f>
        <v/>
      </c>
      <c r="X1930" s="85">
        <f>IF($K1930="","",TEXT($K1930,"yyyy-mm"))</f>
        <v/>
      </c>
      <c r="Y1930" s="81">
        <f>IF(OR($A1930="",$T1930=""),"","Included in Manager_Report")</f>
        <v/>
      </c>
    </row>
    <row r="1931" ht="15" customHeight="1" s="40">
      <c r="A1931" s="65">
        <f>IF(COUNTA(B1931:G1931)=0,"","STP-"&amp;TEXT(ROW()-4,"0000"))</f>
        <v/>
      </c>
      <c r="B1931" s="78" t="n"/>
      <c r="C1931" s="67">
        <f>IF($B1931="","",IFERROR(INDEX(Task_Tracker!$D$5:$D$1004,MATCH($B1931,Task_Tracker!$A$5:$A$1004,0)),""))</f>
        <v/>
      </c>
      <c r="D1931" s="67">
        <f>IF($B1931="","",IFERROR(INDEX(Task_Tracker!$B$5:$B$1004,MATCH($B1931,Task_Tracker!$A$5:$A$1004,0)),""))</f>
        <v/>
      </c>
      <c r="E1931" s="81" t="n"/>
      <c r="F1931" s="81" t="n"/>
      <c r="G1931" s="78" t="n"/>
      <c r="H1931" s="78" t="n"/>
      <c r="I1931" s="67">
        <f>IF($H1931="","",IFERROR(INDEX(Action_Status_Map!$B$5:$B$11,MATCH($H1931,Action_Status_Map!$A$5:$A$11,0)),""))</f>
        <v/>
      </c>
      <c r="J1931" s="82" t="n"/>
      <c r="K1931" s="82" t="n"/>
      <c r="L1931" s="82" t="n"/>
      <c r="M1931" s="83" t="n"/>
      <c r="N1931" s="83" t="n"/>
      <c r="O1931" s="66">
        <f>IF(OR($M1931="",$N1931=""),"",$N1931-$M1931)</f>
        <v/>
      </c>
      <c r="P1931" s="84">
        <f>IF($J1931="","",IF($L1931&lt;&gt;"",$L1931-$J1931,TODAY()-$J1931))</f>
        <v/>
      </c>
      <c r="Q1931" s="85">
        <f>IF(OR($K1931="",$H1931="Completed",$H1931="Cancelled"),"",IF(AND($K1931&lt;TODAY(),$H1931&lt;&gt;"Completed",$H1931&lt;&gt;"Cancelled"),"Overdue","On Track"))</f>
        <v/>
      </c>
      <c r="R1931" s="81" t="n"/>
      <c r="S1931" s="81">
        <f>IF($B1931="","",IFERROR(INDEX(Task_Tracker!$AA$5:$AA$1004,MATCH($B1931,Task_Tracker!$A$5:$A$1004,0)),""))</f>
        <v/>
      </c>
      <c r="T1931" s="81">
        <f>IF($B1931="","",IFERROR(INDEX(Task_Tracker!$AB$5:$AB$1004,MATCH($B1931,Task_Tracker!$A$5:$A$1004,0)),""))</f>
        <v/>
      </c>
      <c r="U1931" s="78">
        <f>IF($B1931="","",IFERROR(INDEX(Task_Tracker!$F$5:$F$1004,MATCH($B1931,Task_Tracker!$A$5:$A$1004,0)),""))</f>
        <v/>
      </c>
      <c r="V1931" s="78">
        <f>IF($B1931="","",IFERROR(INDEX(Task_Tracker!$I$5:$I$1004,MATCH($B1931,Task_Tracker!$A$5:$A$1004,0)),""))</f>
        <v/>
      </c>
      <c r="W1931" s="81">
        <f>IF(OR($D1931="",$B1931=""),"",$D1931&amp;" | "&amp;$B1931)</f>
        <v/>
      </c>
      <c r="X1931" s="85">
        <f>IF($K1931="","",TEXT($K1931,"yyyy-mm"))</f>
        <v/>
      </c>
      <c r="Y1931" s="81">
        <f>IF(OR($A1931="",$T1931=""),"","Included in Manager_Report")</f>
        <v/>
      </c>
    </row>
    <row r="1932" ht="15" customHeight="1" s="40">
      <c r="A1932" s="65">
        <f>IF(COUNTA(B1932:G1932)=0,"","STP-"&amp;TEXT(ROW()-4,"0000"))</f>
        <v/>
      </c>
      <c r="B1932" s="78" t="n"/>
      <c r="C1932" s="67">
        <f>IF($B1932="","",IFERROR(INDEX(Task_Tracker!$D$5:$D$1004,MATCH($B1932,Task_Tracker!$A$5:$A$1004,0)),""))</f>
        <v/>
      </c>
      <c r="D1932" s="67">
        <f>IF($B1932="","",IFERROR(INDEX(Task_Tracker!$B$5:$B$1004,MATCH($B1932,Task_Tracker!$A$5:$A$1004,0)),""))</f>
        <v/>
      </c>
      <c r="E1932" s="81" t="n"/>
      <c r="F1932" s="81" t="n"/>
      <c r="G1932" s="78" t="n"/>
      <c r="H1932" s="78" t="n"/>
      <c r="I1932" s="67">
        <f>IF($H1932="","",IFERROR(INDEX(Action_Status_Map!$B$5:$B$11,MATCH($H1932,Action_Status_Map!$A$5:$A$11,0)),""))</f>
        <v/>
      </c>
      <c r="J1932" s="82" t="n"/>
      <c r="K1932" s="82" t="n"/>
      <c r="L1932" s="82" t="n"/>
      <c r="M1932" s="83" t="n"/>
      <c r="N1932" s="83" t="n"/>
      <c r="O1932" s="66">
        <f>IF(OR($M1932="",$N1932=""),"",$N1932-$M1932)</f>
        <v/>
      </c>
      <c r="P1932" s="84">
        <f>IF($J1932="","",IF($L1932&lt;&gt;"",$L1932-$J1932,TODAY()-$J1932))</f>
        <v/>
      </c>
      <c r="Q1932" s="85">
        <f>IF(OR($K1932="",$H1932="Completed",$H1932="Cancelled"),"",IF(AND($K1932&lt;TODAY(),$H1932&lt;&gt;"Completed",$H1932&lt;&gt;"Cancelled"),"Overdue","On Track"))</f>
        <v/>
      </c>
      <c r="R1932" s="81" t="n"/>
      <c r="S1932" s="81">
        <f>IF($B1932="","",IFERROR(INDEX(Task_Tracker!$AA$5:$AA$1004,MATCH($B1932,Task_Tracker!$A$5:$A$1004,0)),""))</f>
        <v/>
      </c>
      <c r="T1932" s="81">
        <f>IF($B1932="","",IFERROR(INDEX(Task_Tracker!$AB$5:$AB$1004,MATCH($B1932,Task_Tracker!$A$5:$A$1004,0)),""))</f>
        <v/>
      </c>
      <c r="U1932" s="78">
        <f>IF($B1932="","",IFERROR(INDEX(Task_Tracker!$F$5:$F$1004,MATCH($B1932,Task_Tracker!$A$5:$A$1004,0)),""))</f>
        <v/>
      </c>
      <c r="V1932" s="78">
        <f>IF($B1932="","",IFERROR(INDEX(Task_Tracker!$I$5:$I$1004,MATCH($B1932,Task_Tracker!$A$5:$A$1004,0)),""))</f>
        <v/>
      </c>
      <c r="W1932" s="81">
        <f>IF(OR($D1932="",$B1932=""),"",$D1932&amp;" | "&amp;$B1932)</f>
        <v/>
      </c>
      <c r="X1932" s="85">
        <f>IF($K1932="","",TEXT($K1932,"yyyy-mm"))</f>
        <v/>
      </c>
      <c r="Y1932" s="81">
        <f>IF(OR($A1932="",$T1932=""),"","Included in Manager_Report")</f>
        <v/>
      </c>
    </row>
    <row r="1933" ht="15" customHeight="1" s="40">
      <c r="A1933" s="65">
        <f>IF(COUNTA(B1933:G1933)=0,"","STP-"&amp;TEXT(ROW()-4,"0000"))</f>
        <v/>
      </c>
      <c r="B1933" s="78" t="n"/>
      <c r="C1933" s="67">
        <f>IF($B1933="","",IFERROR(INDEX(Task_Tracker!$D$5:$D$1004,MATCH($B1933,Task_Tracker!$A$5:$A$1004,0)),""))</f>
        <v/>
      </c>
      <c r="D1933" s="67">
        <f>IF($B1933="","",IFERROR(INDEX(Task_Tracker!$B$5:$B$1004,MATCH($B1933,Task_Tracker!$A$5:$A$1004,0)),""))</f>
        <v/>
      </c>
      <c r="E1933" s="81" t="n"/>
      <c r="F1933" s="81" t="n"/>
      <c r="G1933" s="78" t="n"/>
      <c r="H1933" s="78" t="n"/>
      <c r="I1933" s="67">
        <f>IF($H1933="","",IFERROR(INDEX(Action_Status_Map!$B$5:$B$11,MATCH($H1933,Action_Status_Map!$A$5:$A$11,0)),""))</f>
        <v/>
      </c>
      <c r="J1933" s="82" t="n"/>
      <c r="K1933" s="82" t="n"/>
      <c r="L1933" s="82" t="n"/>
      <c r="M1933" s="83" t="n"/>
      <c r="N1933" s="83" t="n"/>
      <c r="O1933" s="66">
        <f>IF(OR($M1933="",$N1933=""),"",$N1933-$M1933)</f>
        <v/>
      </c>
      <c r="P1933" s="84">
        <f>IF($J1933="","",IF($L1933&lt;&gt;"",$L1933-$J1933,TODAY()-$J1933))</f>
        <v/>
      </c>
      <c r="Q1933" s="85">
        <f>IF(OR($K1933="",$H1933="Completed",$H1933="Cancelled"),"",IF(AND($K1933&lt;TODAY(),$H1933&lt;&gt;"Completed",$H1933&lt;&gt;"Cancelled"),"Overdue","On Track"))</f>
        <v/>
      </c>
      <c r="R1933" s="81" t="n"/>
      <c r="S1933" s="81">
        <f>IF($B1933="","",IFERROR(INDEX(Task_Tracker!$AA$5:$AA$1004,MATCH($B1933,Task_Tracker!$A$5:$A$1004,0)),""))</f>
        <v/>
      </c>
      <c r="T1933" s="81">
        <f>IF($B1933="","",IFERROR(INDEX(Task_Tracker!$AB$5:$AB$1004,MATCH($B1933,Task_Tracker!$A$5:$A$1004,0)),""))</f>
        <v/>
      </c>
      <c r="U1933" s="78">
        <f>IF($B1933="","",IFERROR(INDEX(Task_Tracker!$F$5:$F$1004,MATCH($B1933,Task_Tracker!$A$5:$A$1004,0)),""))</f>
        <v/>
      </c>
      <c r="V1933" s="78">
        <f>IF($B1933="","",IFERROR(INDEX(Task_Tracker!$I$5:$I$1004,MATCH($B1933,Task_Tracker!$A$5:$A$1004,0)),""))</f>
        <v/>
      </c>
      <c r="W1933" s="81">
        <f>IF(OR($D1933="",$B1933=""),"",$D1933&amp;" | "&amp;$B1933)</f>
        <v/>
      </c>
      <c r="X1933" s="85">
        <f>IF($K1933="","",TEXT($K1933,"yyyy-mm"))</f>
        <v/>
      </c>
      <c r="Y1933" s="81">
        <f>IF(OR($A1933="",$T1933=""),"","Included in Manager_Report")</f>
        <v/>
      </c>
    </row>
    <row r="1934" ht="15" customHeight="1" s="40">
      <c r="A1934" s="65">
        <f>IF(COUNTA(B1934:G1934)=0,"","STP-"&amp;TEXT(ROW()-4,"0000"))</f>
        <v/>
      </c>
      <c r="B1934" s="78" t="n"/>
      <c r="C1934" s="67">
        <f>IF($B1934="","",IFERROR(INDEX(Task_Tracker!$D$5:$D$1004,MATCH($B1934,Task_Tracker!$A$5:$A$1004,0)),""))</f>
        <v/>
      </c>
      <c r="D1934" s="67">
        <f>IF($B1934="","",IFERROR(INDEX(Task_Tracker!$B$5:$B$1004,MATCH($B1934,Task_Tracker!$A$5:$A$1004,0)),""))</f>
        <v/>
      </c>
      <c r="E1934" s="81" t="n"/>
      <c r="F1934" s="81" t="n"/>
      <c r="G1934" s="78" t="n"/>
      <c r="H1934" s="78" t="n"/>
      <c r="I1934" s="67">
        <f>IF($H1934="","",IFERROR(INDEX(Action_Status_Map!$B$5:$B$11,MATCH($H1934,Action_Status_Map!$A$5:$A$11,0)),""))</f>
        <v/>
      </c>
      <c r="J1934" s="82" t="n"/>
      <c r="K1934" s="82" t="n"/>
      <c r="L1934" s="82" t="n"/>
      <c r="M1934" s="83" t="n"/>
      <c r="N1934" s="83" t="n"/>
      <c r="O1934" s="66">
        <f>IF(OR($M1934="",$N1934=""),"",$N1934-$M1934)</f>
        <v/>
      </c>
      <c r="P1934" s="84">
        <f>IF($J1934="","",IF($L1934&lt;&gt;"",$L1934-$J1934,TODAY()-$J1934))</f>
        <v/>
      </c>
      <c r="Q1934" s="85">
        <f>IF(OR($K1934="",$H1934="Completed",$H1934="Cancelled"),"",IF(AND($K1934&lt;TODAY(),$H1934&lt;&gt;"Completed",$H1934&lt;&gt;"Cancelled"),"Overdue","On Track"))</f>
        <v/>
      </c>
      <c r="R1934" s="81" t="n"/>
      <c r="S1934" s="81">
        <f>IF($B1934="","",IFERROR(INDEX(Task_Tracker!$AA$5:$AA$1004,MATCH($B1934,Task_Tracker!$A$5:$A$1004,0)),""))</f>
        <v/>
      </c>
      <c r="T1934" s="81">
        <f>IF($B1934="","",IFERROR(INDEX(Task_Tracker!$AB$5:$AB$1004,MATCH($B1934,Task_Tracker!$A$5:$A$1004,0)),""))</f>
        <v/>
      </c>
      <c r="U1934" s="78">
        <f>IF($B1934="","",IFERROR(INDEX(Task_Tracker!$F$5:$F$1004,MATCH($B1934,Task_Tracker!$A$5:$A$1004,0)),""))</f>
        <v/>
      </c>
      <c r="V1934" s="78">
        <f>IF($B1934="","",IFERROR(INDEX(Task_Tracker!$I$5:$I$1004,MATCH($B1934,Task_Tracker!$A$5:$A$1004,0)),""))</f>
        <v/>
      </c>
      <c r="W1934" s="81">
        <f>IF(OR($D1934="",$B1934=""),"",$D1934&amp;" | "&amp;$B1934)</f>
        <v/>
      </c>
      <c r="X1934" s="85">
        <f>IF($K1934="","",TEXT($K1934,"yyyy-mm"))</f>
        <v/>
      </c>
      <c r="Y1934" s="81">
        <f>IF(OR($A1934="",$T1934=""),"","Included in Manager_Report")</f>
        <v/>
      </c>
    </row>
    <row r="1935" ht="15" customHeight="1" s="40">
      <c r="A1935" s="65">
        <f>IF(COUNTA(B1935:G1935)=0,"","STP-"&amp;TEXT(ROW()-4,"0000"))</f>
        <v/>
      </c>
      <c r="B1935" s="78" t="n"/>
      <c r="C1935" s="67">
        <f>IF($B1935="","",IFERROR(INDEX(Task_Tracker!$D$5:$D$1004,MATCH($B1935,Task_Tracker!$A$5:$A$1004,0)),""))</f>
        <v/>
      </c>
      <c r="D1935" s="67">
        <f>IF($B1935="","",IFERROR(INDEX(Task_Tracker!$B$5:$B$1004,MATCH($B1935,Task_Tracker!$A$5:$A$1004,0)),""))</f>
        <v/>
      </c>
      <c r="E1935" s="81" t="n"/>
      <c r="F1935" s="81" t="n"/>
      <c r="G1935" s="78" t="n"/>
      <c r="H1935" s="78" t="n"/>
      <c r="I1935" s="67">
        <f>IF($H1935="","",IFERROR(INDEX(Action_Status_Map!$B$5:$B$11,MATCH($H1935,Action_Status_Map!$A$5:$A$11,0)),""))</f>
        <v/>
      </c>
      <c r="J1935" s="82" t="n"/>
      <c r="K1935" s="82" t="n"/>
      <c r="L1935" s="82" t="n"/>
      <c r="M1935" s="83" t="n"/>
      <c r="N1935" s="83" t="n"/>
      <c r="O1935" s="66">
        <f>IF(OR($M1935="",$N1935=""),"",$N1935-$M1935)</f>
        <v/>
      </c>
      <c r="P1935" s="84">
        <f>IF($J1935="","",IF($L1935&lt;&gt;"",$L1935-$J1935,TODAY()-$J1935))</f>
        <v/>
      </c>
      <c r="Q1935" s="85">
        <f>IF(OR($K1935="",$H1935="Completed",$H1935="Cancelled"),"",IF(AND($K1935&lt;TODAY(),$H1935&lt;&gt;"Completed",$H1935&lt;&gt;"Cancelled"),"Overdue","On Track"))</f>
        <v/>
      </c>
      <c r="R1935" s="81" t="n"/>
      <c r="S1935" s="81">
        <f>IF($B1935="","",IFERROR(INDEX(Task_Tracker!$AA$5:$AA$1004,MATCH($B1935,Task_Tracker!$A$5:$A$1004,0)),""))</f>
        <v/>
      </c>
      <c r="T1935" s="81">
        <f>IF($B1935="","",IFERROR(INDEX(Task_Tracker!$AB$5:$AB$1004,MATCH($B1935,Task_Tracker!$A$5:$A$1004,0)),""))</f>
        <v/>
      </c>
      <c r="U1935" s="78">
        <f>IF($B1935="","",IFERROR(INDEX(Task_Tracker!$F$5:$F$1004,MATCH($B1935,Task_Tracker!$A$5:$A$1004,0)),""))</f>
        <v/>
      </c>
      <c r="V1935" s="78">
        <f>IF($B1935="","",IFERROR(INDEX(Task_Tracker!$I$5:$I$1004,MATCH($B1935,Task_Tracker!$A$5:$A$1004,0)),""))</f>
        <v/>
      </c>
      <c r="W1935" s="81">
        <f>IF(OR($D1935="",$B1935=""),"",$D1935&amp;" | "&amp;$B1935)</f>
        <v/>
      </c>
      <c r="X1935" s="85">
        <f>IF($K1935="","",TEXT($K1935,"yyyy-mm"))</f>
        <v/>
      </c>
      <c r="Y1935" s="81">
        <f>IF(OR($A1935="",$T1935=""),"","Included in Manager_Report")</f>
        <v/>
      </c>
    </row>
    <row r="1936" ht="15" customHeight="1" s="40">
      <c r="A1936" s="65">
        <f>IF(COUNTA(B1936:G1936)=0,"","STP-"&amp;TEXT(ROW()-4,"0000"))</f>
        <v/>
      </c>
      <c r="B1936" s="78" t="n"/>
      <c r="C1936" s="67">
        <f>IF($B1936="","",IFERROR(INDEX(Task_Tracker!$D$5:$D$1004,MATCH($B1936,Task_Tracker!$A$5:$A$1004,0)),""))</f>
        <v/>
      </c>
      <c r="D1936" s="67">
        <f>IF($B1936="","",IFERROR(INDEX(Task_Tracker!$B$5:$B$1004,MATCH($B1936,Task_Tracker!$A$5:$A$1004,0)),""))</f>
        <v/>
      </c>
      <c r="E1936" s="81" t="n"/>
      <c r="F1936" s="81" t="n"/>
      <c r="G1936" s="78" t="n"/>
      <c r="H1936" s="78" t="n"/>
      <c r="I1936" s="67">
        <f>IF($H1936="","",IFERROR(INDEX(Action_Status_Map!$B$5:$B$11,MATCH($H1936,Action_Status_Map!$A$5:$A$11,0)),""))</f>
        <v/>
      </c>
      <c r="J1936" s="82" t="n"/>
      <c r="K1936" s="82" t="n"/>
      <c r="L1936" s="82" t="n"/>
      <c r="M1936" s="83" t="n"/>
      <c r="N1936" s="83" t="n"/>
      <c r="O1936" s="66">
        <f>IF(OR($M1936="",$N1936=""),"",$N1936-$M1936)</f>
        <v/>
      </c>
      <c r="P1936" s="84">
        <f>IF($J1936="","",IF($L1936&lt;&gt;"",$L1936-$J1936,TODAY()-$J1936))</f>
        <v/>
      </c>
      <c r="Q1936" s="85">
        <f>IF(OR($K1936="",$H1936="Completed",$H1936="Cancelled"),"",IF(AND($K1936&lt;TODAY(),$H1936&lt;&gt;"Completed",$H1936&lt;&gt;"Cancelled"),"Overdue","On Track"))</f>
        <v/>
      </c>
      <c r="R1936" s="81" t="n"/>
      <c r="S1936" s="81">
        <f>IF($B1936="","",IFERROR(INDEX(Task_Tracker!$AA$5:$AA$1004,MATCH($B1936,Task_Tracker!$A$5:$A$1004,0)),""))</f>
        <v/>
      </c>
      <c r="T1936" s="81">
        <f>IF($B1936="","",IFERROR(INDEX(Task_Tracker!$AB$5:$AB$1004,MATCH($B1936,Task_Tracker!$A$5:$A$1004,0)),""))</f>
        <v/>
      </c>
      <c r="U1936" s="78">
        <f>IF($B1936="","",IFERROR(INDEX(Task_Tracker!$F$5:$F$1004,MATCH($B1936,Task_Tracker!$A$5:$A$1004,0)),""))</f>
        <v/>
      </c>
      <c r="V1936" s="78">
        <f>IF($B1936="","",IFERROR(INDEX(Task_Tracker!$I$5:$I$1004,MATCH($B1936,Task_Tracker!$A$5:$A$1004,0)),""))</f>
        <v/>
      </c>
      <c r="W1936" s="81">
        <f>IF(OR($D1936="",$B1936=""),"",$D1936&amp;" | "&amp;$B1936)</f>
        <v/>
      </c>
      <c r="X1936" s="85">
        <f>IF($K1936="","",TEXT($K1936,"yyyy-mm"))</f>
        <v/>
      </c>
      <c r="Y1936" s="81">
        <f>IF(OR($A1936="",$T1936=""),"","Included in Manager_Report")</f>
        <v/>
      </c>
    </row>
    <row r="1937" ht="15" customHeight="1" s="40">
      <c r="A1937" s="65">
        <f>IF(COUNTA(B1937:G1937)=0,"","STP-"&amp;TEXT(ROW()-4,"0000"))</f>
        <v/>
      </c>
      <c r="B1937" s="78" t="n"/>
      <c r="C1937" s="67">
        <f>IF($B1937="","",IFERROR(INDEX(Task_Tracker!$D$5:$D$1004,MATCH($B1937,Task_Tracker!$A$5:$A$1004,0)),""))</f>
        <v/>
      </c>
      <c r="D1937" s="67">
        <f>IF($B1937="","",IFERROR(INDEX(Task_Tracker!$B$5:$B$1004,MATCH($B1937,Task_Tracker!$A$5:$A$1004,0)),""))</f>
        <v/>
      </c>
      <c r="E1937" s="81" t="n"/>
      <c r="F1937" s="81" t="n"/>
      <c r="G1937" s="78" t="n"/>
      <c r="H1937" s="78" t="n"/>
      <c r="I1937" s="67">
        <f>IF($H1937="","",IFERROR(INDEX(Action_Status_Map!$B$5:$B$11,MATCH($H1937,Action_Status_Map!$A$5:$A$11,0)),""))</f>
        <v/>
      </c>
      <c r="J1937" s="82" t="n"/>
      <c r="K1937" s="82" t="n"/>
      <c r="L1937" s="82" t="n"/>
      <c r="M1937" s="83" t="n"/>
      <c r="N1937" s="83" t="n"/>
      <c r="O1937" s="66">
        <f>IF(OR($M1937="",$N1937=""),"",$N1937-$M1937)</f>
        <v/>
      </c>
      <c r="P1937" s="84">
        <f>IF($J1937="","",IF($L1937&lt;&gt;"",$L1937-$J1937,TODAY()-$J1937))</f>
        <v/>
      </c>
      <c r="Q1937" s="85">
        <f>IF(OR($K1937="",$H1937="Completed",$H1937="Cancelled"),"",IF(AND($K1937&lt;TODAY(),$H1937&lt;&gt;"Completed",$H1937&lt;&gt;"Cancelled"),"Overdue","On Track"))</f>
        <v/>
      </c>
      <c r="R1937" s="81" t="n"/>
      <c r="S1937" s="81">
        <f>IF($B1937="","",IFERROR(INDEX(Task_Tracker!$AA$5:$AA$1004,MATCH($B1937,Task_Tracker!$A$5:$A$1004,0)),""))</f>
        <v/>
      </c>
      <c r="T1937" s="81">
        <f>IF($B1937="","",IFERROR(INDEX(Task_Tracker!$AB$5:$AB$1004,MATCH($B1937,Task_Tracker!$A$5:$A$1004,0)),""))</f>
        <v/>
      </c>
      <c r="U1937" s="78">
        <f>IF($B1937="","",IFERROR(INDEX(Task_Tracker!$F$5:$F$1004,MATCH($B1937,Task_Tracker!$A$5:$A$1004,0)),""))</f>
        <v/>
      </c>
      <c r="V1937" s="78">
        <f>IF($B1937="","",IFERROR(INDEX(Task_Tracker!$I$5:$I$1004,MATCH($B1937,Task_Tracker!$A$5:$A$1004,0)),""))</f>
        <v/>
      </c>
      <c r="W1937" s="81">
        <f>IF(OR($D1937="",$B1937=""),"",$D1937&amp;" | "&amp;$B1937)</f>
        <v/>
      </c>
      <c r="X1937" s="85">
        <f>IF($K1937="","",TEXT($K1937,"yyyy-mm"))</f>
        <v/>
      </c>
      <c r="Y1937" s="81">
        <f>IF(OR($A1937="",$T1937=""),"","Included in Manager_Report")</f>
        <v/>
      </c>
    </row>
    <row r="1938" ht="15" customHeight="1" s="40">
      <c r="A1938" s="65">
        <f>IF(COUNTA(B1938:G1938)=0,"","STP-"&amp;TEXT(ROW()-4,"0000"))</f>
        <v/>
      </c>
      <c r="B1938" s="78" t="n"/>
      <c r="C1938" s="67">
        <f>IF($B1938="","",IFERROR(INDEX(Task_Tracker!$D$5:$D$1004,MATCH($B1938,Task_Tracker!$A$5:$A$1004,0)),""))</f>
        <v/>
      </c>
      <c r="D1938" s="67">
        <f>IF($B1938="","",IFERROR(INDEX(Task_Tracker!$B$5:$B$1004,MATCH($B1938,Task_Tracker!$A$5:$A$1004,0)),""))</f>
        <v/>
      </c>
      <c r="E1938" s="81" t="n"/>
      <c r="F1938" s="81" t="n"/>
      <c r="G1938" s="78" t="n"/>
      <c r="H1938" s="78" t="n"/>
      <c r="I1938" s="67">
        <f>IF($H1938="","",IFERROR(INDEX(Action_Status_Map!$B$5:$B$11,MATCH($H1938,Action_Status_Map!$A$5:$A$11,0)),""))</f>
        <v/>
      </c>
      <c r="J1938" s="82" t="n"/>
      <c r="K1938" s="82" t="n"/>
      <c r="L1938" s="82" t="n"/>
      <c r="M1938" s="83" t="n"/>
      <c r="N1938" s="83" t="n"/>
      <c r="O1938" s="66">
        <f>IF(OR($M1938="",$N1938=""),"",$N1938-$M1938)</f>
        <v/>
      </c>
      <c r="P1938" s="84">
        <f>IF($J1938="","",IF($L1938&lt;&gt;"",$L1938-$J1938,TODAY()-$J1938))</f>
        <v/>
      </c>
      <c r="Q1938" s="85">
        <f>IF(OR($K1938="",$H1938="Completed",$H1938="Cancelled"),"",IF(AND($K1938&lt;TODAY(),$H1938&lt;&gt;"Completed",$H1938&lt;&gt;"Cancelled"),"Overdue","On Track"))</f>
        <v/>
      </c>
      <c r="R1938" s="81" t="n"/>
      <c r="S1938" s="81">
        <f>IF($B1938="","",IFERROR(INDEX(Task_Tracker!$AA$5:$AA$1004,MATCH($B1938,Task_Tracker!$A$5:$A$1004,0)),""))</f>
        <v/>
      </c>
      <c r="T1938" s="81">
        <f>IF($B1938="","",IFERROR(INDEX(Task_Tracker!$AB$5:$AB$1004,MATCH($B1938,Task_Tracker!$A$5:$A$1004,0)),""))</f>
        <v/>
      </c>
      <c r="U1938" s="78">
        <f>IF($B1938="","",IFERROR(INDEX(Task_Tracker!$F$5:$F$1004,MATCH($B1938,Task_Tracker!$A$5:$A$1004,0)),""))</f>
        <v/>
      </c>
      <c r="V1938" s="78">
        <f>IF($B1938="","",IFERROR(INDEX(Task_Tracker!$I$5:$I$1004,MATCH($B1938,Task_Tracker!$A$5:$A$1004,0)),""))</f>
        <v/>
      </c>
      <c r="W1938" s="81">
        <f>IF(OR($D1938="",$B1938=""),"",$D1938&amp;" | "&amp;$B1938)</f>
        <v/>
      </c>
      <c r="X1938" s="85">
        <f>IF($K1938="","",TEXT($K1938,"yyyy-mm"))</f>
        <v/>
      </c>
      <c r="Y1938" s="81">
        <f>IF(OR($A1938="",$T1938=""),"","Included in Manager_Report")</f>
        <v/>
      </c>
    </row>
    <row r="1939" ht="15" customHeight="1" s="40">
      <c r="A1939" s="65">
        <f>IF(COUNTA(B1939:G1939)=0,"","STP-"&amp;TEXT(ROW()-4,"0000"))</f>
        <v/>
      </c>
      <c r="B1939" s="78" t="n"/>
      <c r="C1939" s="67">
        <f>IF($B1939="","",IFERROR(INDEX(Task_Tracker!$D$5:$D$1004,MATCH($B1939,Task_Tracker!$A$5:$A$1004,0)),""))</f>
        <v/>
      </c>
      <c r="D1939" s="67">
        <f>IF($B1939="","",IFERROR(INDEX(Task_Tracker!$B$5:$B$1004,MATCH($B1939,Task_Tracker!$A$5:$A$1004,0)),""))</f>
        <v/>
      </c>
      <c r="E1939" s="81" t="n"/>
      <c r="F1939" s="81" t="n"/>
      <c r="G1939" s="78" t="n"/>
      <c r="H1939" s="78" t="n"/>
      <c r="I1939" s="67">
        <f>IF($H1939="","",IFERROR(INDEX(Action_Status_Map!$B$5:$B$11,MATCH($H1939,Action_Status_Map!$A$5:$A$11,0)),""))</f>
        <v/>
      </c>
      <c r="J1939" s="82" t="n"/>
      <c r="K1939" s="82" t="n"/>
      <c r="L1939" s="82" t="n"/>
      <c r="M1939" s="83" t="n"/>
      <c r="N1939" s="83" t="n"/>
      <c r="O1939" s="66">
        <f>IF(OR($M1939="",$N1939=""),"",$N1939-$M1939)</f>
        <v/>
      </c>
      <c r="P1939" s="84">
        <f>IF($J1939="","",IF($L1939&lt;&gt;"",$L1939-$J1939,TODAY()-$J1939))</f>
        <v/>
      </c>
      <c r="Q1939" s="85">
        <f>IF(OR($K1939="",$H1939="Completed",$H1939="Cancelled"),"",IF(AND($K1939&lt;TODAY(),$H1939&lt;&gt;"Completed",$H1939&lt;&gt;"Cancelled"),"Overdue","On Track"))</f>
        <v/>
      </c>
      <c r="R1939" s="81" t="n"/>
      <c r="S1939" s="81">
        <f>IF($B1939="","",IFERROR(INDEX(Task_Tracker!$AA$5:$AA$1004,MATCH($B1939,Task_Tracker!$A$5:$A$1004,0)),""))</f>
        <v/>
      </c>
      <c r="T1939" s="81">
        <f>IF($B1939="","",IFERROR(INDEX(Task_Tracker!$AB$5:$AB$1004,MATCH($B1939,Task_Tracker!$A$5:$A$1004,0)),""))</f>
        <v/>
      </c>
      <c r="U1939" s="78">
        <f>IF($B1939="","",IFERROR(INDEX(Task_Tracker!$F$5:$F$1004,MATCH($B1939,Task_Tracker!$A$5:$A$1004,0)),""))</f>
        <v/>
      </c>
      <c r="V1939" s="78">
        <f>IF($B1939="","",IFERROR(INDEX(Task_Tracker!$I$5:$I$1004,MATCH($B1939,Task_Tracker!$A$5:$A$1004,0)),""))</f>
        <v/>
      </c>
      <c r="W1939" s="81">
        <f>IF(OR($D1939="",$B1939=""),"",$D1939&amp;" | "&amp;$B1939)</f>
        <v/>
      </c>
      <c r="X1939" s="85">
        <f>IF($K1939="","",TEXT($K1939,"yyyy-mm"))</f>
        <v/>
      </c>
      <c r="Y1939" s="81">
        <f>IF(OR($A1939="",$T1939=""),"","Included in Manager_Report")</f>
        <v/>
      </c>
    </row>
    <row r="1940" ht="15" customHeight="1" s="40">
      <c r="A1940" s="65">
        <f>IF(COUNTA(B1940:G1940)=0,"","STP-"&amp;TEXT(ROW()-4,"0000"))</f>
        <v/>
      </c>
      <c r="B1940" s="78" t="n"/>
      <c r="C1940" s="67">
        <f>IF($B1940="","",IFERROR(INDEX(Task_Tracker!$D$5:$D$1004,MATCH($B1940,Task_Tracker!$A$5:$A$1004,0)),""))</f>
        <v/>
      </c>
      <c r="D1940" s="67">
        <f>IF($B1940="","",IFERROR(INDEX(Task_Tracker!$B$5:$B$1004,MATCH($B1940,Task_Tracker!$A$5:$A$1004,0)),""))</f>
        <v/>
      </c>
      <c r="E1940" s="81" t="n"/>
      <c r="F1940" s="81" t="n"/>
      <c r="G1940" s="78" t="n"/>
      <c r="H1940" s="78" t="n"/>
      <c r="I1940" s="67">
        <f>IF($H1940="","",IFERROR(INDEX(Action_Status_Map!$B$5:$B$11,MATCH($H1940,Action_Status_Map!$A$5:$A$11,0)),""))</f>
        <v/>
      </c>
      <c r="J1940" s="82" t="n"/>
      <c r="K1940" s="82" t="n"/>
      <c r="L1940" s="82" t="n"/>
      <c r="M1940" s="83" t="n"/>
      <c r="N1940" s="83" t="n"/>
      <c r="O1940" s="66">
        <f>IF(OR($M1940="",$N1940=""),"",$N1940-$M1940)</f>
        <v/>
      </c>
      <c r="P1940" s="84">
        <f>IF($J1940="","",IF($L1940&lt;&gt;"",$L1940-$J1940,TODAY()-$J1940))</f>
        <v/>
      </c>
      <c r="Q1940" s="85">
        <f>IF(OR($K1940="",$H1940="Completed",$H1940="Cancelled"),"",IF(AND($K1940&lt;TODAY(),$H1940&lt;&gt;"Completed",$H1940&lt;&gt;"Cancelled"),"Overdue","On Track"))</f>
        <v/>
      </c>
      <c r="R1940" s="81" t="n"/>
      <c r="S1940" s="81">
        <f>IF($B1940="","",IFERROR(INDEX(Task_Tracker!$AA$5:$AA$1004,MATCH($B1940,Task_Tracker!$A$5:$A$1004,0)),""))</f>
        <v/>
      </c>
      <c r="T1940" s="81">
        <f>IF($B1940="","",IFERROR(INDEX(Task_Tracker!$AB$5:$AB$1004,MATCH($B1940,Task_Tracker!$A$5:$A$1004,0)),""))</f>
        <v/>
      </c>
      <c r="U1940" s="78">
        <f>IF($B1940="","",IFERROR(INDEX(Task_Tracker!$F$5:$F$1004,MATCH($B1940,Task_Tracker!$A$5:$A$1004,0)),""))</f>
        <v/>
      </c>
      <c r="V1940" s="78">
        <f>IF($B1940="","",IFERROR(INDEX(Task_Tracker!$I$5:$I$1004,MATCH($B1940,Task_Tracker!$A$5:$A$1004,0)),""))</f>
        <v/>
      </c>
      <c r="W1940" s="81">
        <f>IF(OR($D1940="",$B1940=""),"",$D1940&amp;" | "&amp;$B1940)</f>
        <v/>
      </c>
      <c r="X1940" s="85">
        <f>IF($K1940="","",TEXT($K1940,"yyyy-mm"))</f>
        <v/>
      </c>
      <c r="Y1940" s="81">
        <f>IF(OR($A1940="",$T1940=""),"","Included in Manager_Report")</f>
        <v/>
      </c>
    </row>
    <row r="1941" ht="15" customHeight="1" s="40">
      <c r="A1941" s="65">
        <f>IF(COUNTA(B1941:G1941)=0,"","STP-"&amp;TEXT(ROW()-4,"0000"))</f>
        <v/>
      </c>
      <c r="B1941" s="78" t="n"/>
      <c r="C1941" s="67">
        <f>IF($B1941="","",IFERROR(INDEX(Task_Tracker!$D$5:$D$1004,MATCH($B1941,Task_Tracker!$A$5:$A$1004,0)),""))</f>
        <v/>
      </c>
      <c r="D1941" s="67">
        <f>IF($B1941="","",IFERROR(INDEX(Task_Tracker!$B$5:$B$1004,MATCH($B1941,Task_Tracker!$A$5:$A$1004,0)),""))</f>
        <v/>
      </c>
      <c r="E1941" s="81" t="n"/>
      <c r="F1941" s="81" t="n"/>
      <c r="G1941" s="78" t="n"/>
      <c r="H1941" s="78" t="n"/>
      <c r="I1941" s="67">
        <f>IF($H1941="","",IFERROR(INDEX(Action_Status_Map!$B$5:$B$11,MATCH($H1941,Action_Status_Map!$A$5:$A$11,0)),""))</f>
        <v/>
      </c>
      <c r="J1941" s="82" t="n"/>
      <c r="K1941" s="82" t="n"/>
      <c r="L1941" s="82" t="n"/>
      <c r="M1941" s="83" t="n"/>
      <c r="N1941" s="83" t="n"/>
      <c r="O1941" s="66">
        <f>IF(OR($M1941="",$N1941=""),"",$N1941-$M1941)</f>
        <v/>
      </c>
      <c r="P1941" s="84">
        <f>IF($J1941="","",IF($L1941&lt;&gt;"",$L1941-$J1941,TODAY()-$J1941))</f>
        <v/>
      </c>
      <c r="Q1941" s="85">
        <f>IF(OR($K1941="",$H1941="Completed",$H1941="Cancelled"),"",IF(AND($K1941&lt;TODAY(),$H1941&lt;&gt;"Completed",$H1941&lt;&gt;"Cancelled"),"Overdue","On Track"))</f>
        <v/>
      </c>
      <c r="R1941" s="81" t="n"/>
      <c r="S1941" s="81">
        <f>IF($B1941="","",IFERROR(INDEX(Task_Tracker!$AA$5:$AA$1004,MATCH($B1941,Task_Tracker!$A$5:$A$1004,0)),""))</f>
        <v/>
      </c>
      <c r="T1941" s="81">
        <f>IF($B1941="","",IFERROR(INDEX(Task_Tracker!$AB$5:$AB$1004,MATCH($B1941,Task_Tracker!$A$5:$A$1004,0)),""))</f>
        <v/>
      </c>
      <c r="U1941" s="78">
        <f>IF($B1941="","",IFERROR(INDEX(Task_Tracker!$F$5:$F$1004,MATCH($B1941,Task_Tracker!$A$5:$A$1004,0)),""))</f>
        <v/>
      </c>
      <c r="V1941" s="78">
        <f>IF($B1941="","",IFERROR(INDEX(Task_Tracker!$I$5:$I$1004,MATCH($B1941,Task_Tracker!$A$5:$A$1004,0)),""))</f>
        <v/>
      </c>
      <c r="W1941" s="81">
        <f>IF(OR($D1941="",$B1941=""),"",$D1941&amp;" | "&amp;$B1941)</f>
        <v/>
      </c>
      <c r="X1941" s="85">
        <f>IF($K1941="","",TEXT($K1941,"yyyy-mm"))</f>
        <v/>
      </c>
      <c r="Y1941" s="81">
        <f>IF(OR($A1941="",$T1941=""),"","Included in Manager_Report")</f>
        <v/>
      </c>
    </row>
    <row r="1942" ht="15" customHeight="1" s="40">
      <c r="A1942" s="65">
        <f>IF(COUNTA(B1942:G1942)=0,"","STP-"&amp;TEXT(ROW()-4,"0000"))</f>
        <v/>
      </c>
      <c r="B1942" s="78" t="n"/>
      <c r="C1942" s="67">
        <f>IF($B1942="","",IFERROR(INDEX(Task_Tracker!$D$5:$D$1004,MATCH($B1942,Task_Tracker!$A$5:$A$1004,0)),""))</f>
        <v/>
      </c>
      <c r="D1942" s="67">
        <f>IF($B1942="","",IFERROR(INDEX(Task_Tracker!$B$5:$B$1004,MATCH($B1942,Task_Tracker!$A$5:$A$1004,0)),""))</f>
        <v/>
      </c>
      <c r="E1942" s="81" t="n"/>
      <c r="F1942" s="81" t="n"/>
      <c r="G1942" s="78" t="n"/>
      <c r="H1942" s="78" t="n"/>
      <c r="I1942" s="67">
        <f>IF($H1942="","",IFERROR(INDEX(Action_Status_Map!$B$5:$B$11,MATCH($H1942,Action_Status_Map!$A$5:$A$11,0)),""))</f>
        <v/>
      </c>
      <c r="J1942" s="82" t="n"/>
      <c r="K1942" s="82" t="n"/>
      <c r="L1942" s="82" t="n"/>
      <c r="M1942" s="83" t="n"/>
      <c r="N1942" s="83" t="n"/>
      <c r="O1942" s="66">
        <f>IF(OR($M1942="",$N1942=""),"",$N1942-$M1942)</f>
        <v/>
      </c>
      <c r="P1942" s="84">
        <f>IF($J1942="","",IF($L1942&lt;&gt;"",$L1942-$J1942,TODAY()-$J1942))</f>
        <v/>
      </c>
      <c r="Q1942" s="85">
        <f>IF(OR($K1942="",$H1942="Completed",$H1942="Cancelled"),"",IF(AND($K1942&lt;TODAY(),$H1942&lt;&gt;"Completed",$H1942&lt;&gt;"Cancelled"),"Overdue","On Track"))</f>
        <v/>
      </c>
      <c r="R1942" s="81" t="n"/>
      <c r="S1942" s="81">
        <f>IF($B1942="","",IFERROR(INDEX(Task_Tracker!$AA$5:$AA$1004,MATCH($B1942,Task_Tracker!$A$5:$A$1004,0)),""))</f>
        <v/>
      </c>
      <c r="T1942" s="81">
        <f>IF($B1942="","",IFERROR(INDEX(Task_Tracker!$AB$5:$AB$1004,MATCH($B1942,Task_Tracker!$A$5:$A$1004,0)),""))</f>
        <v/>
      </c>
      <c r="U1942" s="78">
        <f>IF($B1942="","",IFERROR(INDEX(Task_Tracker!$F$5:$F$1004,MATCH($B1942,Task_Tracker!$A$5:$A$1004,0)),""))</f>
        <v/>
      </c>
      <c r="V1942" s="78">
        <f>IF($B1942="","",IFERROR(INDEX(Task_Tracker!$I$5:$I$1004,MATCH($B1942,Task_Tracker!$A$5:$A$1004,0)),""))</f>
        <v/>
      </c>
      <c r="W1942" s="81">
        <f>IF(OR($D1942="",$B1942=""),"",$D1942&amp;" | "&amp;$B1942)</f>
        <v/>
      </c>
      <c r="X1942" s="85">
        <f>IF($K1942="","",TEXT($K1942,"yyyy-mm"))</f>
        <v/>
      </c>
      <c r="Y1942" s="81">
        <f>IF(OR($A1942="",$T1942=""),"","Included in Manager_Report")</f>
        <v/>
      </c>
    </row>
    <row r="1943" ht="15" customHeight="1" s="40">
      <c r="A1943" s="65">
        <f>IF(COUNTA(B1943:G1943)=0,"","STP-"&amp;TEXT(ROW()-4,"0000"))</f>
        <v/>
      </c>
      <c r="B1943" s="78" t="n"/>
      <c r="C1943" s="67">
        <f>IF($B1943="","",IFERROR(INDEX(Task_Tracker!$D$5:$D$1004,MATCH($B1943,Task_Tracker!$A$5:$A$1004,0)),""))</f>
        <v/>
      </c>
      <c r="D1943" s="67">
        <f>IF($B1943="","",IFERROR(INDEX(Task_Tracker!$B$5:$B$1004,MATCH($B1943,Task_Tracker!$A$5:$A$1004,0)),""))</f>
        <v/>
      </c>
      <c r="E1943" s="81" t="n"/>
      <c r="F1943" s="81" t="n"/>
      <c r="G1943" s="78" t="n"/>
      <c r="H1943" s="78" t="n"/>
      <c r="I1943" s="67">
        <f>IF($H1943="","",IFERROR(INDEX(Action_Status_Map!$B$5:$B$11,MATCH($H1943,Action_Status_Map!$A$5:$A$11,0)),""))</f>
        <v/>
      </c>
      <c r="J1943" s="82" t="n"/>
      <c r="K1943" s="82" t="n"/>
      <c r="L1943" s="82" t="n"/>
      <c r="M1943" s="83" t="n"/>
      <c r="N1943" s="83" t="n"/>
      <c r="O1943" s="66">
        <f>IF(OR($M1943="",$N1943=""),"",$N1943-$M1943)</f>
        <v/>
      </c>
      <c r="P1943" s="84">
        <f>IF($J1943="","",IF($L1943&lt;&gt;"",$L1943-$J1943,TODAY()-$J1943))</f>
        <v/>
      </c>
      <c r="Q1943" s="85">
        <f>IF(OR($K1943="",$H1943="Completed",$H1943="Cancelled"),"",IF(AND($K1943&lt;TODAY(),$H1943&lt;&gt;"Completed",$H1943&lt;&gt;"Cancelled"),"Overdue","On Track"))</f>
        <v/>
      </c>
      <c r="R1943" s="81" t="n"/>
      <c r="S1943" s="81">
        <f>IF($B1943="","",IFERROR(INDEX(Task_Tracker!$AA$5:$AA$1004,MATCH($B1943,Task_Tracker!$A$5:$A$1004,0)),""))</f>
        <v/>
      </c>
      <c r="T1943" s="81">
        <f>IF($B1943="","",IFERROR(INDEX(Task_Tracker!$AB$5:$AB$1004,MATCH($B1943,Task_Tracker!$A$5:$A$1004,0)),""))</f>
        <v/>
      </c>
      <c r="U1943" s="78">
        <f>IF($B1943="","",IFERROR(INDEX(Task_Tracker!$F$5:$F$1004,MATCH($B1943,Task_Tracker!$A$5:$A$1004,0)),""))</f>
        <v/>
      </c>
      <c r="V1943" s="78">
        <f>IF($B1943="","",IFERROR(INDEX(Task_Tracker!$I$5:$I$1004,MATCH($B1943,Task_Tracker!$A$5:$A$1004,0)),""))</f>
        <v/>
      </c>
      <c r="W1943" s="81">
        <f>IF(OR($D1943="",$B1943=""),"",$D1943&amp;" | "&amp;$B1943)</f>
        <v/>
      </c>
      <c r="X1943" s="85">
        <f>IF($K1943="","",TEXT($K1943,"yyyy-mm"))</f>
        <v/>
      </c>
      <c r="Y1943" s="81">
        <f>IF(OR($A1943="",$T1943=""),"","Included in Manager_Report")</f>
        <v/>
      </c>
    </row>
    <row r="1944" ht="15" customHeight="1" s="40">
      <c r="A1944" s="65">
        <f>IF(COUNTA(B1944:G1944)=0,"","STP-"&amp;TEXT(ROW()-4,"0000"))</f>
        <v/>
      </c>
      <c r="B1944" s="78" t="n"/>
      <c r="C1944" s="67">
        <f>IF($B1944="","",IFERROR(INDEX(Task_Tracker!$D$5:$D$1004,MATCH($B1944,Task_Tracker!$A$5:$A$1004,0)),""))</f>
        <v/>
      </c>
      <c r="D1944" s="67">
        <f>IF($B1944="","",IFERROR(INDEX(Task_Tracker!$B$5:$B$1004,MATCH($B1944,Task_Tracker!$A$5:$A$1004,0)),""))</f>
        <v/>
      </c>
      <c r="E1944" s="81" t="n"/>
      <c r="F1944" s="81" t="n"/>
      <c r="G1944" s="78" t="n"/>
      <c r="H1944" s="78" t="n"/>
      <c r="I1944" s="67">
        <f>IF($H1944="","",IFERROR(INDEX(Action_Status_Map!$B$5:$B$11,MATCH($H1944,Action_Status_Map!$A$5:$A$11,0)),""))</f>
        <v/>
      </c>
      <c r="J1944" s="82" t="n"/>
      <c r="K1944" s="82" t="n"/>
      <c r="L1944" s="82" t="n"/>
      <c r="M1944" s="83" t="n"/>
      <c r="N1944" s="83" t="n"/>
      <c r="O1944" s="66">
        <f>IF(OR($M1944="",$N1944=""),"",$N1944-$M1944)</f>
        <v/>
      </c>
      <c r="P1944" s="84">
        <f>IF($J1944="","",IF($L1944&lt;&gt;"",$L1944-$J1944,TODAY()-$J1944))</f>
        <v/>
      </c>
      <c r="Q1944" s="85">
        <f>IF(OR($K1944="",$H1944="Completed",$H1944="Cancelled"),"",IF(AND($K1944&lt;TODAY(),$H1944&lt;&gt;"Completed",$H1944&lt;&gt;"Cancelled"),"Overdue","On Track"))</f>
        <v/>
      </c>
      <c r="R1944" s="81" t="n"/>
      <c r="S1944" s="81">
        <f>IF($B1944="","",IFERROR(INDEX(Task_Tracker!$AA$5:$AA$1004,MATCH($B1944,Task_Tracker!$A$5:$A$1004,0)),""))</f>
        <v/>
      </c>
      <c r="T1944" s="81">
        <f>IF($B1944="","",IFERROR(INDEX(Task_Tracker!$AB$5:$AB$1004,MATCH($B1944,Task_Tracker!$A$5:$A$1004,0)),""))</f>
        <v/>
      </c>
      <c r="U1944" s="78">
        <f>IF($B1944="","",IFERROR(INDEX(Task_Tracker!$F$5:$F$1004,MATCH($B1944,Task_Tracker!$A$5:$A$1004,0)),""))</f>
        <v/>
      </c>
      <c r="V1944" s="78">
        <f>IF($B1944="","",IFERROR(INDEX(Task_Tracker!$I$5:$I$1004,MATCH($B1944,Task_Tracker!$A$5:$A$1004,0)),""))</f>
        <v/>
      </c>
      <c r="W1944" s="81">
        <f>IF(OR($D1944="",$B1944=""),"",$D1944&amp;" | "&amp;$B1944)</f>
        <v/>
      </c>
      <c r="X1944" s="85">
        <f>IF($K1944="","",TEXT($K1944,"yyyy-mm"))</f>
        <v/>
      </c>
      <c r="Y1944" s="81">
        <f>IF(OR($A1944="",$T1944=""),"","Included in Manager_Report")</f>
        <v/>
      </c>
    </row>
    <row r="1945" ht="15" customHeight="1" s="40">
      <c r="A1945" s="65">
        <f>IF(COUNTA(B1945:G1945)=0,"","STP-"&amp;TEXT(ROW()-4,"0000"))</f>
        <v/>
      </c>
      <c r="B1945" s="78" t="n"/>
      <c r="C1945" s="67">
        <f>IF($B1945="","",IFERROR(INDEX(Task_Tracker!$D$5:$D$1004,MATCH($B1945,Task_Tracker!$A$5:$A$1004,0)),""))</f>
        <v/>
      </c>
      <c r="D1945" s="67">
        <f>IF($B1945="","",IFERROR(INDEX(Task_Tracker!$B$5:$B$1004,MATCH($B1945,Task_Tracker!$A$5:$A$1004,0)),""))</f>
        <v/>
      </c>
      <c r="E1945" s="81" t="n"/>
      <c r="F1945" s="81" t="n"/>
      <c r="G1945" s="78" t="n"/>
      <c r="H1945" s="78" t="n"/>
      <c r="I1945" s="67">
        <f>IF($H1945="","",IFERROR(INDEX(Action_Status_Map!$B$5:$B$11,MATCH($H1945,Action_Status_Map!$A$5:$A$11,0)),""))</f>
        <v/>
      </c>
      <c r="J1945" s="82" t="n"/>
      <c r="K1945" s="82" t="n"/>
      <c r="L1945" s="82" t="n"/>
      <c r="M1945" s="83" t="n"/>
      <c r="N1945" s="83" t="n"/>
      <c r="O1945" s="66">
        <f>IF(OR($M1945="",$N1945=""),"",$N1945-$M1945)</f>
        <v/>
      </c>
      <c r="P1945" s="84">
        <f>IF($J1945="","",IF($L1945&lt;&gt;"",$L1945-$J1945,TODAY()-$J1945))</f>
        <v/>
      </c>
      <c r="Q1945" s="85">
        <f>IF(OR($K1945="",$H1945="Completed",$H1945="Cancelled"),"",IF(AND($K1945&lt;TODAY(),$H1945&lt;&gt;"Completed",$H1945&lt;&gt;"Cancelled"),"Overdue","On Track"))</f>
        <v/>
      </c>
      <c r="R1945" s="81" t="n"/>
      <c r="S1945" s="81">
        <f>IF($B1945="","",IFERROR(INDEX(Task_Tracker!$AA$5:$AA$1004,MATCH($B1945,Task_Tracker!$A$5:$A$1004,0)),""))</f>
        <v/>
      </c>
      <c r="T1945" s="81">
        <f>IF($B1945="","",IFERROR(INDEX(Task_Tracker!$AB$5:$AB$1004,MATCH($B1945,Task_Tracker!$A$5:$A$1004,0)),""))</f>
        <v/>
      </c>
      <c r="U1945" s="78">
        <f>IF($B1945="","",IFERROR(INDEX(Task_Tracker!$F$5:$F$1004,MATCH($B1945,Task_Tracker!$A$5:$A$1004,0)),""))</f>
        <v/>
      </c>
      <c r="V1945" s="78">
        <f>IF($B1945="","",IFERROR(INDEX(Task_Tracker!$I$5:$I$1004,MATCH($B1945,Task_Tracker!$A$5:$A$1004,0)),""))</f>
        <v/>
      </c>
      <c r="W1945" s="81">
        <f>IF(OR($D1945="",$B1945=""),"",$D1945&amp;" | "&amp;$B1945)</f>
        <v/>
      </c>
      <c r="X1945" s="85">
        <f>IF($K1945="","",TEXT($K1945,"yyyy-mm"))</f>
        <v/>
      </c>
      <c r="Y1945" s="81">
        <f>IF(OR($A1945="",$T1945=""),"","Included in Manager_Report")</f>
        <v/>
      </c>
    </row>
    <row r="1946" ht="15" customHeight="1" s="40">
      <c r="A1946" s="65">
        <f>IF(COUNTA(B1946:G1946)=0,"","STP-"&amp;TEXT(ROW()-4,"0000"))</f>
        <v/>
      </c>
      <c r="B1946" s="78" t="n"/>
      <c r="C1946" s="67">
        <f>IF($B1946="","",IFERROR(INDEX(Task_Tracker!$D$5:$D$1004,MATCH($B1946,Task_Tracker!$A$5:$A$1004,0)),""))</f>
        <v/>
      </c>
      <c r="D1946" s="67">
        <f>IF($B1946="","",IFERROR(INDEX(Task_Tracker!$B$5:$B$1004,MATCH($B1946,Task_Tracker!$A$5:$A$1004,0)),""))</f>
        <v/>
      </c>
      <c r="E1946" s="81" t="n"/>
      <c r="F1946" s="81" t="n"/>
      <c r="G1946" s="78" t="n"/>
      <c r="H1946" s="78" t="n"/>
      <c r="I1946" s="67">
        <f>IF($H1946="","",IFERROR(INDEX(Action_Status_Map!$B$5:$B$11,MATCH($H1946,Action_Status_Map!$A$5:$A$11,0)),""))</f>
        <v/>
      </c>
      <c r="J1946" s="82" t="n"/>
      <c r="K1946" s="82" t="n"/>
      <c r="L1946" s="82" t="n"/>
      <c r="M1946" s="83" t="n"/>
      <c r="N1946" s="83" t="n"/>
      <c r="O1946" s="66">
        <f>IF(OR($M1946="",$N1946=""),"",$N1946-$M1946)</f>
        <v/>
      </c>
      <c r="P1946" s="84">
        <f>IF($J1946="","",IF($L1946&lt;&gt;"",$L1946-$J1946,TODAY()-$J1946))</f>
        <v/>
      </c>
      <c r="Q1946" s="85">
        <f>IF(OR($K1946="",$H1946="Completed",$H1946="Cancelled"),"",IF(AND($K1946&lt;TODAY(),$H1946&lt;&gt;"Completed",$H1946&lt;&gt;"Cancelled"),"Overdue","On Track"))</f>
        <v/>
      </c>
      <c r="R1946" s="81" t="n"/>
      <c r="S1946" s="81">
        <f>IF($B1946="","",IFERROR(INDEX(Task_Tracker!$AA$5:$AA$1004,MATCH($B1946,Task_Tracker!$A$5:$A$1004,0)),""))</f>
        <v/>
      </c>
      <c r="T1946" s="81">
        <f>IF($B1946="","",IFERROR(INDEX(Task_Tracker!$AB$5:$AB$1004,MATCH($B1946,Task_Tracker!$A$5:$A$1004,0)),""))</f>
        <v/>
      </c>
      <c r="U1946" s="78">
        <f>IF($B1946="","",IFERROR(INDEX(Task_Tracker!$F$5:$F$1004,MATCH($B1946,Task_Tracker!$A$5:$A$1004,0)),""))</f>
        <v/>
      </c>
      <c r="V1946" s="78">
        <f>IF($B1946="","",IFERROR(INDEX(Task_Tracker!$I$5:$I$1004,MATCH($B1946,Task_Tracker!$A$5:$A$1004,0)),""))</f>
        <v/>
      </c>
      <c r="W1946" s="81">
        <f>IF(OR($D1946="",$B1946=""),"",$D1946&amp;" | "&amp;$B1946)</f>
        <v/>
      </c>
      <c r="X1946" s="85">
        <f>IF($K1946="","",TEXT($K1946,"yyyy-mm"))</f>
        <v/>
      </c>
      <c r="Y1946" s="81">
        <f>IF(OR($A1946="",$T1946=""),"","Included in Manager_Report")</f>
        <v/>
      </c>
    </row>
    <row r="1947" ht="15" customHeight="1" s="40">
      <c r="A1947" s="65">
        <f>IF(COUNTA(B1947:G1947)=0,"","STP-"&amp;TEXT(ROW()-4,"0000"))</f>
        <v/>
      </c>
      <c r="B1947" s="78" t="n"/>
      <c r="C1947" s="67">
        <f>IF($B1947="","",IFERROR(INDEX(Task_Tracker!$D$5:$D$1004,MATCH($B1947,Task_Tracker!$A$5:$A$1004,0)),""))</f>
        <v/>
      </c>
      <c r="D1947" s="67">
        <f>IF($B1947="","",IFERROR(INDEX(Task_Tracker!$B$5:$B$1004,MATCH($B1947,Task_Tracker!$A$5:$A$1004,0)),""))</f>
        <v/>
      </c>
      <c r="E1947" s="81" t="n"/>
      <c r="F1947" s="81" t="n"/>
      <c r="G1947" s="78" t="n"/>
      <c r="H1947" s="78" t="n"/>
      <c r="I1947" s="67">
        <f>IF($H1947="","",IFERROR(INDEX(Action_Status_Map!$B$5:$B$11,MATCH($H1947,Action_Status_Map!$A$5:$A$11,0)),""))</f>
        <v/>
      </c>
      <c r="J1947" s="82" t="n"/>
      <c r="K1947" s="82" t="n"/>
      <c r="L1947" s="82" t="n"/>
      <c r="M1947" s="83" t="n"/>
      <c r="N1947" s="83" t="n"/>
      <c r="O1947" s="66">
        <f>IF(OR($M1947="",$N1947=""),"",$N1947-$M1947)</f>
        <v/>
      </c>
      <c r="P1947" s="84">
        <f>IF($J1947="","",IF($L1947&lt;&gt;"",$L1947-$J1947,TODAY()-$J1947))</f>
        <v/>
      </c>
      <c r="Q1947" s="85">
        <f>IF(OR($K1947="",$H1947="Completed",$H1947="Cancelled"),"",IF(AND($K1947&lt;TODAY(),$H1947&lt;&gt;"Completed",$H1947&lt;&gt;"Cancelled"),"Overdue","On Track"))</f>
        <v/>
      </c>
      <c r="R1947" s="81" t="n"/>
      <c r="S1947" s="81">
        <f>IF($B1947="","",IFERROR(INDEX(Task_Tracker!$AA$5:$AA$1004,MATCH($B1947,Task_Tracker!$A$5:$A$1004,0)),""))</f>
        <v/>
      </c>
      <c r="T1947" s="81">
        <f>IF($B1947="","",IFERROR(INDEX(Task_Tracker!$AB$5:$AB$1004,MATCH($B1947,Task_Tracker!$A$5:$A$1004,0)),""))</f>
        <v/>
      </c>
      <c r="U1947" s="78">
        <f>IF($B1947="","",IFERROR(INDEX(Task_Tracker!$F$5:$F$1004,MATCH($B1947,Task_Tracker!$A$5:$A$1004,0)),""))</f>
        <v/>
      </c>
      <c r="V1947" s="78">
        <f>IF($B1947="","",IFERROR(INDEX(Task_Tracker!$I$5:$I$1004,MATCH($B1947,Task_Tracker!$A$5:$A$1004,0)),""))</f>
        <v/>
      </c>
      <c r="W1947" s="81">
        <f>IF(OR($D1947="",$B1947=""),"",$D1947&amp;" | "&amp;$B1947)</f>
        <v/>
      </c>
      <c r="X1947" s="85">
        <f>IF($K1947="","",TEXT($K1947,"yyyy-mm"))</f>
        <v/>
      </c>
      <c r="Y1947" s="81">
        <f>IF(OR($A1947="",$T1947=""),"","Included in Manager_Report")</f>
        <v/>
      </c>
    </row>
    <row r="1948" ht="15" customHeight="1" s="40">
      <c r="A1948" s="65">
        <f>IF(COUNTA(B1948:G1948)=0,"","STP-"&amp;TEXT(ROW()-4,"0000"))</f>
        <v/>
      </c>
      <c r="B1948" s="78" t="n"/>
      <c r="C1948" s="67">
        <f>IF($B1948="","",IFERROR(INDEX(Task_Tracker!$D$5:$D$1004,MATCH($B1948,Task_Tracker!$A$5:$A$1004,0)),""))</f>
        <v/>
      </c>
      <c r="D1948" s="67">
        <f>IF($B1948="","",IFERROR(INDEX(Task_Tracker!$B$5:$B$1004,MATCH($B1948,Task_Tracker!$A$5:$A$1004,0)),""))</f>
        <v/>
      </c>
      <c r="E1948" s="81" t="n"/>
      <c r="F1948" s="81" t="n"/>
      <c r="G1948" s="78" t="n"/>
      <c r="H1948" s="78" t="n"/>
      <c r="I1948" s="67">
        <f>IF($H1948="","",IFERROR(INDEX(Action_Status_Map!$B$5:$B$11,MATCH($H1948,Action_Status_Map!$A$5:$A$11,0)),""))</f>
        <v/>
      </c>
      <c r="J1948" s="82" t="n"/>
      <c r="K1948" s="82" t="n"/>
      <c r="L1948" s="82" t="n"/>
      <c r="M1948" s="83" t="n"/>
      <c r="N1948" s="83" t="n"/>
      <c r="O1948" s="66">
        <f>IF(OR($M1948="",$N1948=""),"",$N1948-$M1948)</f>
        <v/>
      </c>
      <c r="P1948" s="84">
        <f>IF($J1948="","",IF($L1948&lt;&gt;"",$L1948-$J1948,TODAY()-$J1948))</f>
        <v/>
      </c>
      <c r="Q1948" s="85">
        <f>IF(OR($K1948="",$H1948="Completed",$H1948="Cancelled"),"",IF(AND($K1948&lt;TODAY(),$H1948&lt;&gt;"Completed",$H1948&lt;&gt;"Cancelled"),"Overdue","On Track"))</f>
        <v/>
      </c>
      <c r="R1948" s="81" t="n"/>
      <c r="S1948" s="81">
        <f>IF($B1948="","",IFERROR(INDEX(Task_Tracker!$AA$5:$AA$1004,MATCH($B1948,Task_Tracker!$A$5:$A$1004,0)),""))</f>
        <v/>
      </c>
      <c r="T1948" s="81">
        <f>IF($B1948="","",IFERROR(INDEX(Task_Tracker!$AB$5:$AB$1004,MATCH($B1948,Task_Tracker!$A$5:$A$1004,0)),""))</f>
        <v/>
      </c>
      <c r="U1948" s="78">
        <f>IF($B1948="","",IFERROR(INDEX(Task_Tracker!$F$5:$F$1004,MATCH($B1948,Task_Tracker!$A$5:$A$1004,0)),""))</f>
        <v/>
      </c>
      <c r="V1948" s="78">
        <f>IF($B1948="","",IFERROR(INDEX(Task_Tracker!$I$5:$I$1004,MATCH($B1948,Task_Tracker!$A$5:$A$1004,0)),""))</f>
        <v/>
      </c>
      <c r="W1948" s="81">
        <f>IF(OR($D1948="",$B1948=""),"",$D1948&amp;" | "&amp;$B1948)</f>
        <v/>
      </c>
      <c r="X1948" s="85">
        <f>IF($K1948="","",TEXT($K1948,"yyyy-mm"))</f>
        <v/>
      </c>
      <c r="Y1948" s="81">
        <f>IF(OR($A1948="",$T1948=""),"","Included in Manager_Report")</f>
        <v/>
      </c>
    </row>
    <row r="1949" ht="15" customHeight="1" s="40">
      <c r="A1949" s="65">
        <f>IF(COUNTA(B1949:G1949)=0,"","STP-"&amp;TEXT(ROW()-4,"0000"))</f>
        <v/>
      </c>
      <c r="B1949" s="78" t="n"/>
      <c r="C1949" s="67">
        <f>IF($B1949="","",IFERROR(INDEX(Task_Tracker!$D$5:$D$1004,MATCH($B1949,Task_Tracker!$A$5:$A$1004,0)),""))</f>
        <v/>
      </c>
      <c r="D1949" s="67">
        <f>IF($B1949="","",IFERROR(INDEX(Task_Tracker!$B$5:$B$1004,MATCH($B1949,Task_Tracker!$A$5:$A$1004,0)),""))</f>
        <v/>
      </c>
      <c r="E1949" s="81" t="n"/>
      <c r="F1949" s="81" t="n"/>
      <c r="G1949" s="78" t="n"/>
      <c r="H1949" s="78" t="n"/>
      <c r="I1949" s="67">
        <f>IF($H1949="","",IFERROR(INDEX(Action_Status_Map!$B$5:$B$11,MATCH($H1949,Action_Status_Map!$A$5:$A$11,0)),""))</f>
        <v/>
      </c>
      <c r="J1949" s="82" t="n"/>
      <c r="K1949" s="82" t="n"/>
      <c r="L1949" s="82" t="n"/>
      <c r="M1949" s="83" t="n"/>
      <c r="N1949" s="83" t="n"/>
      <c r="O1949" s="66">
        <f>IF(OR($M1949="",$N1949=""),"",$N1949-$M1949)</f>
        <v/>
      </c>
      <c r="P1949" s="84">
        <f>IF($J1949="","",IF($L1949&lt;&gt;"",$L1949-$J1949,TODAY()-$J1949))</f>
        <v/>
      </c>
      <c r="Q1949" s="85">
        <f>IF(OR($K1949="",$H1949="Completed",$H1949="Cancelled"),"",IF(AND($K1949&lt;TODAY(),$H1949&lt;&gt;"Completed",$H1949&lt;&gt;"Cancelled"),"Overdue","On Track"))</f>
        <v/>
      </c>
      <c r="R1949" s="81" t="n"/>
      <c r="S1949" s="81">
        <f>IF($B1949="","",IFERROR(INDEX(Task_Tracker!$AA$5:$AA$1004,MATCH($B1949,Task_Tracker!$A$5:$A$1004,0)),""))</f>
        <v/>
      </c>
      <c r="T1949" s="81">
        <f>IF($B1949="","",IFERROR(INDEX(Task_Tracker!$AB$5:$AB$1004,MATCH($B1949,Task_Tracker!$A$5:$A$1004,0)),""))</f>
        <v/>
      </c>
      <c r="U1949" s="78">
        <f>IF($B1949="","",IFERROR(INDEX(Task_Tracker!$F$5:$F$1004,MATCH($B1949,Task_Tracker!$A$5:$A$1004,0)),""))</f>
        <v/>
      </c>
      <c r="V1949" s="78">
        <f>IF($B1949="","",IFERROR(INDEX(Task_Tracker!$I$5:$I$1004,MATCH($B1949,Task_Tracker!$A$5:$A$1004,0)),""))</f>
        <v/>
      </c>
      <c r="W1949" s="81">
        <f>IF(OR($D1949="",$B1949=""),"",$D1949&amp;" | "&amp;$B1949)</f>
        <v/>
      </c>
      <c r="X1949" s="85">
        <f>IF($K1949="","",TEXT($K1949,"yyyy-mm"))</f>
        <v/>
      </c>
      <c r="Y1949" s="81">
        <f>IF(OR($A1949="",$T1949=""),"","Included in Manager_Report")</f>
        <v/>
      </c>
    </row>
    <row r="1950" ht="15" customHeight="1" s="40">
      <c r="A1950" s="65">
        <f>IF(COUNTA(B1950:G1950)=0,"","STP-"&amp;TEXT(ROW()-4,"0000"))</f>
        <v/>
      </c>
      <c r="B1950" s="78" t="n"/>
      <c r="C1950" s="67">
        <f>IF($B1950="","",IFERROR(INDEX(Task_Tracker!$D$5:$D$1004,MATCH($B1950,Task_Tracker!$A$5:$A$1004,0)),""))</f>
        <v/>
      </c>
      <c r="D1950" s="67">
        <f>IF($B1950="","",IFERROR(INDEX(Task_Tracker!$B$5:$B$1004,MATCH($B1950,Task_Tracker!$A$5:$A$1004,0)),""))</f>
        <v/>
      </c>
      <c r="E1950" s="81" t="n"/>
      <c r="F1950" s="81" t="n"/>
      <c r="G1950" s="78" t="n"/>
      <c r="H1950" s="78" t="n"/>
      <c r="I1950" s="67">
        <f>IF($H1950="","",IFERROR(INDEX(Action_Status_Map!$B$5:$B$11,MATCH($H1950,Action_Status_Map!$A$5:$A$11,0)),""))</f>
        <v/>
      </c>
      <c r="J1950" s="82" t="n"/>
      <c r="K1950" s="82" t="n"/>
      <c r="L1950" s="82" t="n"/>
      <c r="M1950" s="83" t="n"/>
      <c r="N1950" s="83" t="n"/>
      <c r="O1950" s="66">
        <f>IF(OR($M1950="",$N1950=""),"",$N1950-$M1950)</f>
        <v/>
      </c>
      <c r="P1950" s="84">
        <f>IF($J1950="","",IF($L1950&lt;&gt;"",$L1950-$J1950,TODAY()-$J1950))</f>
        <v/>
      </c>
      <c r="Q1950" s="85">
        <f>IF(OR($K1950="",$H1950="Completed",$H1950="Cancelled"),"",IF(AND($K1950&lt;TODAY(),$H1950&lt;&gt;"Completed",$H1950&lt;&gt;"Cancelled"),"Overdue","On Track"))</f>
        <v/>
      </c>
      <c r="R1950" s="81" t="n"/>
      <c r="S1950" s="81">
        <f>IF($B1950="","",IFERROR(INDEX(Task_Tracker!$AA$5:$AA$1004,MATCH($B1950,Task_Tracker!$A$5:$A$1004,0)),""))</f>
        <v/>
      </c>
      <c r="T1950" s="81">
        <f>IF($B1950="","",IFERROR(INDEX(Task_Tracker!$AB$5:$AB$1004,MATCH($B1950,Task_Tracker!$A$5:$A$1004,0)),""))</f>
        <v/>
      </c>
      <c r="U1950" s="78">
        <f>IF($B1950="","",IFERROR(INDEX(Task_Tracker!$F$5:$F$1004,MATCH($B1950,Task_Tracker!$A$5:$A$1004,0)),""))</f>
        <v/>
      </c>
      <c r="V1950" s="78">
        <f>IF($B1950="","",IFERROR(INDEX(Task_Tracker!$I$5:$I$1004,MATCH($B1950,Task_Tracker!$A$5:$A$1004,0)),""))</f>
        <v/>
      </c>
      <c r="W1950" s="81">
        <f>IF(OR($D1950="",$B1950=""),"",$D1950&amp;" | "&amp;$B1950)</f>
        <v/>
      </c>
      <c r="X1950" s="85">
        <f>IF($K1950="","",TEXT($K1950,"yyyy-mm"))</f>
        <v/>
      </c>
      <c r="Y1950" s="81">
        <f>IF(OR($A1950="",$T1950=""),"","Included in Manager_Report")</f>
        <v/>
      </c>
    </row>
    <row r="1951" ht="15" customHeight="1" s="40">
      <c r="A1951" s="65">
        <f>IF(COUNTA(B1951:G1951)=0,"","STP-"&amp;TEXT(ROW()-4,"0000"))</f>
        <v/>
      </c>
      <c r="B1951" s="78" t="n"/>
      <c r="C1951" s="67">
        <f>IF($B1951="","",IFERROR(INDEX(Task_Tracker!$D$5:$D$1004,MATCH($B1951,Task_Tracker!$A$5:$A$1004,0)),""))</f>
        <v/>
      </c>
      <c r="D1951" s="67">
        <f>IF($B1951="","",IFERROR(INDEX(Task_Tracker!$B$5:$B$1004,MATCH($B1951,Task_Tracker!$A$5:$A$1004,0)),""))</f>
        <v/>
      </c>
      <c r="E1951" s="81" t="n"/>
      <c r="F1951" s="81" t="n"/>
      <c r="G1951" s="78" t="n"/>
      <c r="H1951" s="78" t="n"/>
      <c r="I1951" s="67">
        <f>IF($H1951="","",IFERROR(INDEX(Action_Status_Map!$B$5:$B$11,MATCH($H1951,Action_Status_Map!$A$5:$A$11,0)),""))</f>
        <v/>
      </c>
      <c r="J1951" s="82" t="n"/>
      <c r="K1951" s="82" t="n"/>
      <c r="L1951" s="82" t="n"/>
      <c r="M1951" s="83" t="n"/>
      <c r="N1951" s="83" t="n"/>
      <c r="O1951" s="66">
        <f>IF(OR($M1951="",$N1951=""),"",$N1951-$M1951)</f>
        <v/>
      </c>
      <c r="P1951" s="84">
        <f>IF($J1951="","",IF($L1951&lt;&gt;"",$L1951-$J1951,TODAY()-$J1951))</f>
        <v/>
      </c>
      <c r="Q1951" s="85">
        <f>IF(OR($K1951="",$H1951="Completed",$H1951="Cancelled"),"",IF(AND($K1951&lt;TODAY(),$H1951&lt;&gt;"Completed",$H1951&lt;&gt;"Cancelled"),"Overdue","On Track"))</f>
        <v/>
      </c>
      <c r="R1951" s="81" t="n"/>
      <c r="S1951" s="81">
        <f>IF($B1951="","",IFERROR(INDEX(Task_Tracker!$AA$5:$AA$1004,MATCH($B1951,Task_Tracker!$A$5:$A$1004,0)),""))</f>
        <v/>
      </c>
      <c r="T1951" s="81">
        <f>IF($B1951="","",IFERROR(INDEX(Task_Tracker!$AB$5:$AB$1004,MATCH($B1951,Task_Tracker!$A$5:$A$1004,0)),""))</f>
        <v/>
      </c>
      <c r="U1951" s="78">
        <f>IF($B1951="","",IFERROR(INDEX(Task_Tracker!$F$5:$F$1004,MATCH($B1951,Task_Tracker!$A$5:$A$1004,0)),""))</f>
        <v/>
      </c>
      <c r="V1951" s="78">
        <f>IF($B1951="","",IFERROR(INDEX(Task_Tracker!$I$5:$I$1004,MATCH($B1951,Task_Tracker!$A$5:$A$1004,0)),""))</f>
        <v/>
      </c>
      <c r="W1951" s="81">
        <f>IF(OR($D1951="",$B1951=""),"",$D1951&amp;" | "&amp;$B1951)</f>
        <v/>
      </c>
      <c r="X1951" s="85">
        <f>IF($K1951="","",TEXT($K1951,"yyyy-mm"))</f>
        <v/>
      </c>
      <c r="Y1951" s="81">
        <f>IF(OR($A1951="",$T1951=""),"","Included in Manager_Report")</f>
        <v/>
      </c>
    </row>
    <row r="1952" ht="15" customHeight="1" s="40">
      <c r="A1952" s="65">
        <f>IF(COUNTA(B1952:G1952)=0,"","STP-"&amp;TEXT(ROW()-4,"0000"))</f>
        <v/>
      </c>
      <c r="B1952" s="78" t="n"/>
      <c r="C1952" s="67">
        <f>IF($B1952="","",IFERROR(INDEX(Task_Tracker!$D$5:$D$1004,MATCH($B1952,Task_Tracker!$A$5:$A$1004,0)),""))</f>
        <v/>
      </c>
      <c r="D1952" s="67">
        <f>IF($B1952="","",IFERROR(INDEX(Task_Tracker!$B$5:$B$1004,MATCH($B1952,Task_Tracker!$A$5:$A$1004,0)),""))</f>
        <v/>
      </c>
      <c r="E1952" s="81" t="n"/>
      <c r="F1952" s="81" t="n"/>
      <c r="G1952" s="78" t="n"/>
      <c r="H1952" s="78" t="n"/>
      <c r="I1952" s="67">
        <f>IF($H1952="","",IFERROR(INDEX(Action_Status_Map!$B$5:$B$11,MATCH($H1952,Action_Status_Map!$A$5:$A$11,0)),""))</f>
        <v/>
      </c>
      <c r="J1952" s="82" t="n"/>
      <c r="K1952" s="82" t="n"/>
      <c r="L1952" s="82" t="n"/>
      <c r="M1952" s="83" t="n"/>
      <c r="N1952" s="83" t="n"/>
      <c r="O1952" s="66">
        <f>IF(OR($M1952="",$N1952=""),"",$N1952-$M1952)</f>
        <v/>
      </c>
      <c r="P1952" s="84">
        <f>IF($J1952="","",IF($L1952&lt;&gt;"",$L1952-$J1952,TODAY()-$J1952))</f>
        <v/>
      </c>
      <c r="Q1952" s="85">
        <f>IF(OR($K1952="",$H1952="Completed",$H1952="Cancelled"),"",IF(AND($K1952&lt;TODAY(),$H1952&lt;&gt;"Completed",$H1952&lt;&gt;"Cancelled"),"Overdue","On Track"))</f>
        <v/>
      </c>
      <c r="R1952" s="81" t="n"/>
      <c r="S1952" s="81">
        <f>IF($B1952="","",IFERROR(INDEX(Task_Tracker!$AA$5:$AA$1004,MATCH($B1952,Task_Tracker!$A$5:$A$1004,0)),""))</f>
        <v/>
      </c>
      <c r="T1952" s="81">
        <f>IF($B1952="","",IFERROR(INDEX(Task_Tracker!$AB$5:$AB$1004,MATCH($B1952,Task_Tracker!$A$5:$A$1004,0)),""))</f>
        <v/>
      </c>
      <c r="U1952" s="78">
        <f>IF($B1952="","",IFERROR(INDEX(Task_Tracker!$F$5:$F$1004,MATCH($B1952,Task_Tracker!$A$5:$A$1004,0)),""))</f>
        <v/>
      </c>
      <c r="V1952" s="78">
        <f>IF($B1952="","",IFERROR(INDEX(Task_Tracker!$I$5:$I$1004,MATCH($B1952,Task_Tracker!$A$5:$A$1004,0)),""))</f>
        <v/>
      </c>
      <c r="W1952" s="81">
        <f>IF(OR($D1952="",$B1952=""),"",$D1952&amp;" | "&amp;$B1952)</f>
        <v/>
      </c>
      <c r="X1952" s="85">
        <f>IF($K1952="","",TEXT($K1952,"yyyy-mm"))</f>
        <v/>
      </c>
      <c r="Y1952" s="81">
        <f>IF(OR($A1952="",$T1952=""),"","Included in Manager_Report")</f>
        <v/>
      </c>
    </row>
    <row r="1953" ht="15" customHeight="1" s="40">
      <c r="A1953" s="65">
        <f>IF(COUNTA(B1953:G1953)=0,"","STP-"&amp;TEXT(ROW()-4,"0000"))</f>
        <v/>
      </c>
      <c r="B1953" s="78" t="n"/>
      <c r="C1953" s="67">
        <f>IF($B1953="","",IFERROR(INDEX(Task_Tracker!$D$5:$D$1004,MATCH($B1953,Task_Tracker!$A$5:$A$1004,0)),""))</f>
        <v/>
      </c>
      <c r="D1953" s="67">
        <f>IF($B1953="","",IFERROR(INDEX(Task_Tracker!$B$5:$B$1004,MATCH($B1953,Task_Tracker!$A$5:$A$1004,0)),""))</f>
        <v/>
      </c>
      <c r="E1953" s="81" t="n"/>
      <c r="F1953" s="81" t="n"/>
      <c r="G1953" s="78" t="n"/>
      <c r="H1953" s="78" t="n"/>
      <c r="I1953" s="67">
        <f>IF($H1953="","",IFERROR(INDEX(Action_Status_Map!$B$5:$B$11,MATCH($H1953,Action_Status_Map!$A$5:$A$11,0)),""))</f>
        <v/>
      </c>
      <c r="J1953" s="82" t="n"/>
      <c r="K1953" s="82" t="n"/>
      <c r="L1953" s="82" t="n"/>
      <c r="M1953" s="83" t="n"/>
      <c r="N1953" s="83" t="n"/>
      <c r="O1953" s="66">
        <f>IF(OR($M1953="",$N1953=""),"",$N1953-$M1953)</f>
        <v/>
      </c>
      <c r="P1953" s="84">
        <f>IF($J1953="","",IF($L1953&lt;&gt;"",$L1953-$J1953,TODAY()-$J1953))</f>
        <v/>
      </c>
      <c r="Q1953" s="85">
        <f>IF(OR($K1953="",$H1953="Completed",$H1953="Cancelled"),"",IF(AND($K1953&lt;TODAY(),$H1953&lt;&gt;"Completed",$H1953&lt;&gt;"Cancelled"),"Overdue","On Track"))</f>
        <v/>
      </c>
      <c r="R1953" s="81" t="n"/>
      <c r="S1953" s="81">
        <f>IF($B1953="","",IFERROR(INDEX(Task_Tracker!$AA$5:$AA$1004,MATCH($B1953,Task_Tracker!$A$5:$A$1004,0)),""))</f>
        <v/>
      </c>
      <c r="T1953" s="81">
        <f>IF($B1953="","",IFERROR(INDEX(Task_Tracker!$AB$5:$AB$1004,MATCH($B1953,Task_Tracker!$A$5:$A$1004,0)),""))</f>
        <v/>
      </c>
      <c r="U1953" s="78">
        <f>IF($B1953="","",IFERROR(INDEX(Task_Tracker!$F$5:$F$1004,MATCH($B1953,Task_Tracker!$A$5:$A$1004,0)),""))</f>
        <v/>
      </c>
      <c r="V1953" s="78">
        <f>IF($B1953="","",IFERROR(INDEX(Task_Tracker!$I$5:$I$1004,MATCH($B1953,Task_Tracker!$A$5:$A$1004,0)),""))</f>
        <v/>
      </c>
      <c r="W1953" s="81">
        <f>IF(OR($D1953="",$B1953=""),"",$D1953&amp;" | "&amp;$B1953)</f>
        <v/>
      </c>
      <c r="X1953" s="85">
        <f>IF($K1953="","",TEXT($K1953,"yyyy-mm"))</f>
        <v/>
      </c>
      <c r="Y1953" s="81">
        <f>IF(OR($A1953="",$T1953=""),"","Included in Manager_Report")</f>
        <v/>
      </c>
    </row>
    <row r="1954" ht="15" customHeight="1" s="40">
      <c r="A1954" s="65">
        <f>IF(COUNTA(B1954:G1954)=0,"","STP-"&amp;TEXT(ROW()-4,"0000"))</f>
        <v/>
      </c>
      <c r="B1954" s="78" t="n"/>
      <c r="C1954" s="67">
        <f>IF($B1954="","",IFERROR(INDEX(Task_Tracker!$D$5:$D$1004,MATCH($B1954,Task_Tracker!$A$5:$A$1004,0)),""))</f>
        <v/>
      </c>
      <c r="D1954" s="67">
        <f>IF($B1954="","",IFERROR(INDEX(Task_Tracker!$B$5:$B$1004,MATCH($B1954,Task_Tracker!$A$5:$A$1004,0)),""))</f>
        <v/>
      </c>
      <c r="E1954" s="81" t="n"/>
      <c r="F1954" s="81" t="n"/>
      <c r="G1954" s="78" t="n"/>
      <c r="H1954" s="78" t="n"/>
      <c r="I1954" s="67">
        <f>IF($H1954="","",IFERROR(INDEX(Action_Status_Map!$B$5:$B$11,MATCH($H1954,Action_Status_Map!$A$5:$A$11,0)),""))</f>
        <v/>
      </c>
      <c r="J1954" s="82" t="n"/>
      <c r="K1954" s="82" t="n"/>
      <c r="L1954" s="82" t="n"/>
      <c r="M1954" s="83" t="n"/>
      <c r="N1954" s="83" t="n"/>
      <c r="O1954" s="66">
        <f>IF(OR($M1954="",$N1954=""),"",$N1954-$M1954)</f>
        <v/>
      </c>
      <c r="P1954" s="84">
        <f>IF($J1954="","",IF($L1954&lt;&gt;"",$L1954-$J1954,TODAY()-$J1954))</f>
        <v/>
      </c>
      <c r="Q1954" s="85">
        <f>IF(OR($K1954="",$H1954="Completed",$H1954="Cancelled"),"",IF(AND($K1954&lt;TODAY(),$H1954&lt;&gt;"Completed",$H1954&lt;&gt;"Cancelled"),"Overdue","On Track"))</f>
        <v/>
      </c>
      <c r="R1954" s="81" t="n"/>
      <c r="S1954" s="81">
        <f>IF($B1954="","",IFERROR(INDEX(Task_Tracker!$AA$5:$AA$1004,MATCH($B1954,Task_Tracker!$A$5:$A$1004,0)),""))</f>
        <v/>
      </c>
      <c r="T1954" s="81">
        <f>IF($B1954="","",IFERROR(INDEX(Task_Tracker!$AB$5:$AB$1004,MATCH($B1954,Task_Tracker!$A$5:$A$1004,0)),""))</f>
        <v/>
      </c>
      <c r="U1954" s="78">
        <f>IF($B1954="","",IFERROR(INDEX(Task_Tracker!$F$5:$F$1004,MATCH($B1954,Task_Tracker!$A$5:$A$1004,0)),""))</f>
        <v/>
      </c>
      <c r="V1954" s="78">
        <f>IF($B1954="","",IFERROR(INDEX(Task_Tracker!$I$5:$I$1004,MATCH($B1954,Task_Tracker!$A$5:$A$1004,0)),""))</f>
        <v/>
      </c>
      <c r="W1954" s="81">
        <f>IF(OR($D1954="",$B1954=""),"",$D1954&amp;" | "&amp;$B1954)</f>
        <v/>
      </c>
      <c r="X1954" s="85">
        <f>IF($K1954="","",TEXT($K1954,"yyyy-mm"))</f>
        <v/>
      </c>
      <c r="Y1954" s="81">
        <f>IF(OR($A1954="",$T1954=""),"","Included in Manager_Report")</f>
        <v/>
      </c>
    </row>
    <row r="1955" ht="15" customHeight="1" s="40">
      <c r="A1955" s="65">
        <f>IF(COUNTA(B1955:G1955)=0,"","STP-"&amp;TEXT(ROW()-4,"0000"))</f>
        <v/>
      </c>
      <c r="B1955" s="78" t="n"/>
      <c r="C1955" s="67">
        <f>IF($B1955="","",IFERROR(INDEX(Task_Tracker!$D$5:$D$1004,MATCH($B1955,Task_Tracker!$A$5:$A$1004,0)),""))</f>
        <v/>
      </c>
      <c r="D1955" s="67">
        <f>IF($B1955="","",IFERROR(INDEX(Task_Tracker!$B$5:$B$1004,MATCH($B1955,Task_Tracker!$A$5:$A$1004,0)),""))</f>
        <v/>
      </c>
      <c r="E1955" s="81" t="n"/>
      <c r="F1955" s="81" t="n"/>
      <c r="G1955" s="78" t="n"/>
      <c r="H1955" s="78" t="n"/>
      <c r="I1955" s="67">
        <f>IF($H1955="","",IFERROR(INDEX(Action_Status_Map!$B$5:$B$11,MATCH($H1955,Action_Status_Map!$A$5:$A$11,0)),""))</f>
        <v/>
      </c>
      <c r="J1955" s="82" t="n"/>
      <c r="K1955" s="82" t="n"/>
      <c r="L1955" s="82" t="n"/>
      <c r="M1955" s="83" t="n"/>
      <c r="N1955" s="83" t="n"/>
      <c r="O1955" s="66">
        <f>IF(OR($M1955="",$N1955=""),"",$N1955-$M1955)</f>
        <v/>
      </c>
      <c r="P1955" s="84">
        <f>IF($J1955="","",IF($L1955&lt;&gt;"",$L1955-$J1955,TODAY()-$J1955))</f>
        <v/>
      </c>
      <c r="Q1955" s="85">
        <f>IF(OR($K1955="",$H1955="Completed",$H1955="Cancelled"),"",IF(AND($K1955&lt;TODAY(),$H1955&lt;&gt;"Completed",$H1955&lt;&gt;"Cancelled"),"Overdue","On Track"))</f>
        <v/>
      </c>
      <c r="R1955" s="81" t="n"/>
      <c r="S1955" s="81">
        <f>IF($B1955="","",IFERROR(INDEX(Task_Tracker!$AA$5:$AA$1004,MATCH($B1955,Task_Tracker!$A$5:$A$1004,0)),""))</f>
        <v/>
      </c>
      <c r="T1955" s="81">
        <f>IF($B1955="","",IFERROR(INDEX(Task_Tracker!$AB$5:$AB$1004,MATCH($B1955,Task_Tracker!$A$5:$A$1004,0)),""))</f>
        <v/>
      </c>
      <c r="U1955" s="78">
        <f>IF($B1955="","",IFERROR(INDEX(Task_Tracker!$F$5:$F$1004,MATCH($B1955,Task_Tracker!$A$5:$A$1004,0)),""))</f>
        <v/>
      </c>
      <c r="V1955" s="78">
        <f>IF($B1955="","",IFERROR(INDEX(Task_Tracker!$I$5:$I$1004,MATCH($B1955,Task_Tracker!$A$5:$A$1004,0)),""))</f>
        <v/>
      </c>
      <c r="W1955" s="81">
        <f>IF(OR($D1955="",$B1955=""),"",$D1955&amp;" | "&amp;$B1955)</f>
        <v/>
      </c>
      <c r="X1955" s="85">
        <f>IF($K1955="","",TEXT($K1955,"yyyy-mm"))</f>
        <v/>
      </c>
      <c r="Y1955" s="81">
        <f>IF(OR($A1955="",$T1955=""),"","Included in Manager_Report")</f>
        <v/>
      </c>
    </row>
    <row r="1956" ht="15" customHeight="1" s="40">
      <c r="A1956" s="65">
        <f>IF(COUNTA(B1956:G1956)=0,"","STP-"&amp;TEXT(ROW()-4,"0000"))</f>
        <v/>
      </c>
      <c r="B1956" s="78" t="n"/>
      <c r="C1956" s="67">
        <f>IF($B1956="","",IFERROR(INDEX(Task_Tracker!$D$5:$D$1004,MATCH($B1956,Task_Tracker!$A$5:$A$1004,0)),""))</f>
        <v/>
      </c>
      <c r="D1956" s="67">
        <f>IF($B1956="","",IFERROR(INDEX(Task_Tracker!$B$5:$B$1004,MATCH($B1956,Task_Tracker!$A$5:$A$1004,0)),""))</f>
        <v/>
      </c>
      <c r="E1956" s="81" t="n"/>
      <c r="F1956" s="81" t="n"/>
      <c r="G1956" s="78" t="n"/>
      <c r="H1956" s="78" t="n"/>
      <c r="I1956" s="67">
        <f>IF($H1956="","",IFERROR(INDEX(Action_Status_Map!$B$5:$B$11,MATCH($H1956,Action_Status_Map!$A$5:$A$11,0)),""))</f>
        <v/>
      </c>
      <c r="J1956" s="82" t="n"/>
      <c r="K1956" s="82" t="n"/>
      <c r="L1956" s="82" t="n"/>
      <c r="M1956" s="83" t="n"/>
      <c r="N1956" s="83" t="n"/>
      <c r="O1956" s="66">
        <f>IF(OR($M1956="",$N1956=""),"",$N1956-$M1956)</f>
        <v/>
      </c>
      <c r="P1956" s="84">
        <f>IF($J1956="","",IF($L1956&lt;&gt;"",$L1956-$J1956,TODAY()-$J1956))</f>
        <v/>
      </c>
      <c r="Q1956" s="85">
        <f>IF(OR($K1956="",$H1956="Completed",$H1956="Cancelled"),"",IF(AND($K1956&lt;TODAY(),$H1956&lt;&gt;"Completed",$H1956&lt;&gt;"Cancelled"),"Overdue","On Track"))</f>
        <v/>
      </c>
      <c r="R1956" s="81" t="n"/>
      <c r="S1956" s="81">
        <f>IF($B1956="","",IFERROR(INDEX(Task_Tracker!$AA$5:$AA$1004,MATCH($B1956,Task_Tracker!$A$5:$A$1004,0)),""))</f>
        <v/>
      </c>
      <c r="T1956" s="81">
        <f>IF($B1956="","",IFERROR(INDEX(Task_Tracker!$AB$5:$AB$1004,MATCH($B1956,Task_Tracker!$A$5:$A$1004,0)),""))</f>
        <v/>
      </c>
      <c r="U1956" s="78">
        <f>IF($B1956="","",IFERROR(INDEX(Task_Tracker!$F$5:$F$1004,MATCH($B1956,Task_Tracker!$A$5:$A$1004,0)),""))</f>
        <v/>
      </c>
      <c r="V1956" s="78">
        <f>IF($B1956="","",IFERROR(INDEX(Task_Tracker!$I$5:$I$1004,MATCH($B1956,Task_Tracker!$A$5:$A$1004,0)),""))</f>
        <v/>
      </c>
      <c r="W1956" s="81">
        <f>IF(OR($D1956="",$B1956=""),"",$D1956&amp;" | "&amp;$B1956)</f>
        <v/>
      </c>
      <c r="X1956" s="85">
        <f>IF($K1956="","",TEXT($K1956,"yyyy-mm"))</f>
        <v/>
      </c>
      <c r="Y1956" s="81">
        <f>IF(OR($A1956="",$T1956=""),"","Included in Manager_Report")</f>
        <v/>
      </c>
    </row>
    <row r="1957" ht="15" customHeight="1" s="40">
      <c r="A1957" s="65">
        <f>IF(COUNTA(B1957:G1957)=0,"","STP-"&amp;TEXT(ROW()-4,"0000"))</f>
        <v/>
      </c>
      <c r="B1957" s="78" t="n"/>
      <c r="C1957" s="67">
        <f>IF($B1957="","",IFERROR(INDEX(Task_Tracker!$D$5:$D$1004,MATCH($B1957,Task_Tracker!$A$5:$A$1004,0)),""))</f>
        <v/>
      </c>
      <c r="D1957" s="67">
        <f>IF($B1957="","",IFERROR(INDEX(Task_Tracker!$B$5:$B$1004,MATCH($B1957,Task_Tracker!$A$5:$A$1004,0)),""))</f>
        <v/>
      </c>
      <c r="E1957" s="81" t="n"/>
      <c r="F1957" s="81" t="n"/>
      <c r="G1957" s="78" t="n"/>
      <c r="H1957" s="78" t="n"/>
      <c r="I1957" s="67">
        <f>IF($H1957="","",IFERROR(INDEX(Action_Status_Map!$B$5:$B$11,MATCH($H1957,Action_Status_Map!$A$5:$A$11,0)),""))</f>
        <v/>
      </c>
      <c r="J1957" s="82" t="n"/>
      <c r="K1957" s="82" t="n"/>
      <c r="L1957" s="82" t="n"/>
      <c r="M1957" s="83" t="n"/>
      <c r="N1957" s="83" t="n"/>
      <c r="O1957" s="66">
        <f>IF(OR($M1957="",$N1957=""),"",$N1957-$M1957)</f>
        <v/>
      </c>
      <c r="P1957" s="84">
        <f>IF($J1957="","",IF($L1957&lt;&gt;"",$L1957-$J1957,TODAY()-$J1957))</f>
        <v/>
      </c>
      <c r="Q1957" s="85">
        <f>IF(OR($K1957="",$H1957="Completed",$H1957="Cancelled"),"",IF(AND($K1957&lt;TODAY(),$H1957&lt;&gt;"Completed",$H1957&lt;&gt;"Cancelled"),"Overdue","On Track"))</f>
        <v/>
      </c>
      <c r="R1957" s="81" t="n"/>
      <c r="S1957" s="81">
        <f>IF($B1957="","",IFERROR(INDEX(Task_Tracker!$AA$5:$AA$1004,MATCH($B1957,Task_Tracker!$A$5:$A$1004,0)),""))</f>
        <v/>
      </c>
      <c r="T1957" s="81">
        <f>IF($B1957="","",IFERROR(INDEX(Task_Tracker!$AB$5:$AB$1004,MATCH($B1957,Task_Tracker!$A$5:$A$1004,0)),""))</f>
        <v/>
      </c>
      <c r="U1957" s="78">
        <f>IF($B1957="","",IFERROR(INDEX(Task_Tracker!$F$5:$F$1004,MATCH($B1957,Task_Tracker!$A$5:$A$1004,0)),""))</f>
        <v/>
      </c>
      <c r="V1957" s="78">
        <f>IF($B1957="","",IFERROR(INDEX(Task_Tracker!$I$5:$I$1004,MATCH($B1957,Task_Tracker!$A$5:$A$1004,0)),""))</f>
        <v/>
      </c>
      <c r="W1957" s="81">
        <f>IF(OR($D1957="",$B1957=""),"",$D1957&amp;" | "&amp;$B1957)</f>
        <v/>
      </c>
      <c r="X1957" s="85">
        <f>IF($K1957="","",TEXT($K1957,"yyyy-mm"))</f>
        <v/>
      </c>
      <c r="Y1957" s="81">
        <f>IF(OR($A1957="",$T1957=""),"","Included in Manager_Report")</f>
        <v/>
      </c>
    </row>
    <row r="1958" ht="15" customHeight="1" s="40">
      <c r="A1958" s="65">
        <f>IF(COUNTA(B1958:G1958)=0,"","STP-"&amp;TEXT(ROW()-4,"0000"))</f>
        <v/>
      </c>
      <c r="B1958" s="78" t="n"/>
      <c r="C1958" s="67">
        <f>IF($B1958="","",IFERROR(INDEX(Task_Tracker!$D$5:$D$1004,MATCH($B1958,Task_Tracker!$A$5:$A$1004,0)),""))</f>
        <v/>
      </c>
      <c r="D1958" s="67">
        <f>IF($B1958="","",IFERROR(INDEX(Task_Tracker!$B$5:$B$1004,MATCH($B1958,Task_Tracker!$A$5:$A$1004,0)),""))</f>
        <v/>
      </c>
      <c r="E1958" s="81" t="n"/>
      <c r="F1958" s="81" t="n"/>
      <c r="G1958" s="78" t="n"/>
      <c r="H1958" s="78" t="n"/>
      <c r="I1958" s="67">
        <f>IF($H1958="","",IFERROR(INDEX(Action_Status_Map!$B$5:$B$11,MATCH($H1958,Action_Status_Map!$A$5:$A$11,0)),""))</f>
        <v/>
      </c>
      <c r="J1958" s="82" t="n"/>
      <c r="K1958" s="82" t="n"/>
      <c r="L1958" s="82" t="n"/>
      <c r="M1958" s="83" t="n"/>
      <c r="N1958" s="83" t="n"/>
      <c r="O1958" s="66">
        <f>IF(OR($M1958="",$N1958=""),"",$N1958-$M1958)</f>
        <v/>
      </c>
      <c r="P1958" s="84">
        <f>IF($J1958="","",IF($L1958&lt;&gt;"",$L1958-$J1958,TODAY()-$J1958))</f>
        <v/>
      </c>
      <c r="Q1958" s="85">
        <f>IF(OR($K1958="",$H1958="Completed",$H1958="Cancelled"),"",IF(AND($K1958&lt;TODAY(),$H1958&lt;&gt;"Completed",$H1958&lt;&gt;"Cancelled"),"Overdue","On Track"))</f>
        <v/>
      </c>
      <c r="R1958" s="81" t="n"/>
      <c r="S1958" s="81">
        <f>IF($B1958="","",IFERROR(INDEX(Task_Tracker!$AA$5:$AA$1004,MATCH($B1958,Task_Tracker!$A$5:$A$1004,0)),""))</f>
        <v/>
      </c>
      <c r="T1958" s="81">
        <f>IF($B1958="","",IFERROR(INDEX(Task_Tracker!$AB$5:$AB$1004,MATCH($B1958,Task_Tracker!$A$5:$A$1004,0)),""))</f>
        <v/>
      </c>
      <c r="U1958" s="78">
        <f>IF($B1958="","",IFERROR(INDEX(Task_Tracker!$F$5:$F$1004,MATCH($B1958,Task_Tracker!$A$5:$A$1004,0)),""))</f>
        <v/>
      </c>
      <c r="V1958" s="78">
        <f>IF($B1958="","",IFERROR(INDEX(Task_Tracker!$I$5:$I$1004,MATCH($B1958,Task_Tracker!$A$5:$A$1004,0)),""))</f>
        <v/>
      </c>
      <c r="W1958" s="81">
        <f>IF(OR($D1958="",$B1958=""),"",$D1958&amp;" | "&amp;$B1958)</f>
        <v/>
      </c>
      <c r="X1958" s="85">
        <f>IF($K1958="","",TEXT($K1958,"yyyy-mm"))</f>
        <v/>
      </c>
      <c r="Y1958" s="81">
        <f>IF(OR($A1958="",$T1958=""),"","Included in Manager_Report")</f>
        <v/>
      </c>
    </row>
    <row r="1959" ht="15" customHeight="1" s="40">
      <c r="A1959" s="65">
        <f>IF(COUNTA(B1959:G1959)=0,"","STP-"&amp;TEXT(ROW()-4,"0000"))</f>
        <v/>
      </c>
      <c r="B1959" s="78" t="n"/>
      <c r="C1959" s="67">
        <f>IF($B1959="","",IFERROR(INDEX(Task_Tracker!$D$5:$D$1004,MATCH($B1959,Task_Tracker!$A$5:$A$1004,0)),""))</f>
        <v/>
      </c>
      <c r="D1959" s="67">
        <f>IF($B1959="","",IFERROR(INDEX(Task_Tracker!$B$5:$B$1004,MATCH($B1959,Task_Tracker!$A$5:$A$1004,0)),""))</f>
        <v/>
      </c>
      <c r="E1959" s="81" t="n"/>
      <c r="F1959" s="81" t="n"/>
      <c r="G1959" s="78" t="n"/>
      <c r="H1959" s="78" t="n"/>
      <c r="I1959" s="67">
        <f>IF($H1959="","",IFERROR(INDEX(Action_Status_Map!$B$5:$B$11,MATCH($H1959,Action_Status_Map!$A$5:$A$11,0)),""))</f>
        <v/>
      </c>
      <c r="J1959" s="82" t="n"/>
      <c r="K1959" s="82" t="n"/>
      <c r="L1959" s="82" t="n"/>
      <c r="M1959" s="83" t="n"/>
      <c r="N1959" s="83" t="n"/>
      <c r="O1959" s="66">
        <f>IF(OR($M1959="",$N1959=""),"",$N1959-$M1959)</f>
        <v/>
      </c>
      <c r="P1959" s="84">
        <f>IF($J1959="","",IF($L1959&lt;&gt;"",$L1959-$J1959,TODAY()-$J1959))</f>
        <v/>
      </c>
      <c r="Q1959" s="85">
        <f>IF(OR($K1959="",$H1959="Completed",$H1959="Cancelled"),"",IF(AND($K1959&lt;TODAY(),$H1959&lt;&gt;"Completed",$H1959&lt;&gt;"Cancelled"),"Overdue","On Track"))</f>
        <v/>
      </c>
      <c r="R1959" s="81" t="n"/>
      <c r="S1959" s="81">
        <f>IF($B1959="","",IFERROR(INDEX(Task_Tracker!$AA$5:$AA$1004,MATCH($B1959,Task_Tracker!$A$5:$A$1004,0)),""))</f>
        <v/>
      </c>
      <c r="T1959" s="81">
        <f>IF($B1959="","",IFERROR(INDEX(Task_Tracker!$AB$5:$AB$1004,MATCH($B1959,Task_Tracker!$A$5:$A$1004,0)),""))</f>
        <v/>
      </c>
      <c r="U1959" s="78">
        <f>IF($B1959="","",IFERROR(INDEX(Task_Tracker!$F$5:$F$1004,MATCH($B1959,Task_Tracker!$A$5:$A$1004,0)),""))</f>
        <v/>
      </c>
      <c r="V1959" s="78">
        <f>IF($B1959="","",IFERROR(INDEX(Task_Tracker!$I$5:$I$1004,MATCH($B1959,Task_Tracker!$A$5:$A$1004,0)),""))</f>
        <v/>
      </c>
      <c r="W1959" s="81">
        <f>IF(OR($D1959="",$B1959=""),"",$D1959&amp;" | "&amp;$B1959)</f>
        <v/>
      </c>
      <c r="X1959" s="85">
        <f>IF($K1959="","",TEXT($K1959,"yyyy-mm"))</f>
        <v/>
      </c>
      <c r="Y1959" s="81">
        <f>IF(OR($A1959="",$T1959=""),"","Included in Manager_Report")</f>
        <v/>
      </c>
    </row>
    <row r="1960" ht="15" customHeight="1" s="40">
      <c r="A1960" s="65">
        <f>IF(COUNTA(B1960:G1960)=0,"","STP-"&amp;TEXT(ROW()-4,"0000"))</f>
        <v/>
      </c>
      <c r="B1960" s="78" t="n"/>
      <c r="C1960" s="67">
        <f>IF($B1960="","",IFERROR(INDEX(Task_Tracker!$D$5:$D$1004,MATCH($B1960,Task_Tracker!$A$5:$A$1004,0)),""))</f>
        <v/>
      </c>
      <c r="D1960" s="67">
        <f>IF($B1960="","",IFERROR(INDEX(Task_Tracker!$B$5:$B$1004,MATCH($B1960,Task_Tracker!$A$5:$A$1004,0)),""))</f>
        <v/>
      </c>
      <c r="E1960" s="81" t="n"/>
      <c r="F1960" s="81" t="n"/>
      <c r="G1960" s="78" t="n"/>
      <c r="H1960" s="78" t="n"/>
      <c r="I1960" s="67">
        <f>IF($H1960="","",IFERROR(INDEX(Action_Status_Map!$B$5:$B$11,MATCH($H1960,Action_Status_Map!$A$5:$A$11,0)),""))</f>
        <v/>
      </c>
      <c r="J1960" s="82" t="n"/>
      <c r="K1960" s="82" t="n"/>
      <c r="L1960" s="82" t="n"/>
      <c r="M1960" s="83" t="n"/>
      <c r="N1960" s="83" t="n"/>
      <c r="O1960" s="66">
        <f>IF(OR($M1960="",$N1960=""),"",$N1960-$M1960)</f>
        <v/>
      </c>
      <c r="P1960" s="84">
        <f>IF($J1960="","",IF($L1960&lt;&gt;"",$L1960-$J1960,TODAY()-$J1960))</f>
        <v/>
      </c>
      <c r="Q1960" s="85">
        <f>IF(OR($K1960="",$H1960="Completed",$H1960="Cancelled"),"",IF(AND($K1960&lt;TODAY(),$H1960&lt;&gt;"Completed",$H1960&lt;&gt;"Cancelled"),"Overdue","On Track"))</f>
        <v/>
      </c>
      <c r="R1960" s="81" t="n"/>
      <c r="S1960" s="81">
        <f>IF($B1960="","",IFERROR(INDEX(Task_Tracker!$AA$5:$AA$1004,MATCH($B1960,Task_Tracker!$A$5:$A$1004,0)),""))</f>
        <v/>
      </c>
      <c r="T1960" s="81">
        <f>IF($B1960="","",IFERROR(INDEX(Task_Tracker!$AB$5:$AB$1004,MATCH($B1960,Task_Tracker!$A$5:$A$1004,0)),""))</f>
        <v/>
      </c>
      <c r="U1960" s="78">
        <f>IF($B1960="","",IFERROR(INDEX(Task_Tracker!$F$5:$F$1004,MATCH($B1960,Task_Tracker!$A$5:$A$1004,0)),""))</f>
        <v/>
      </c>
      <c r="V1960" s="78">
        <f>IF($B1960="","",IFERROR(INDEX(Task_Tracker!$I$5:$I$1004,MATCH($B1960,Task_Tracker!$A$5:$A$1004,0)),""))</f>
        <v/>
      </c>
      <c r="W1960" s="81">
        <f>IF(OR($D1960="",$B1960=""),"",$D1960&amp;" | "&amp;$B1960)</f>
        <v/>
      </c>
      <c r="X1960" s="85">
        <f>IF($K1960="","",TEXT($K1960,"yyyy-mm"))</f>
        <v/>
      </c>
      <c r="Y1960" s="81">
        <f>IF(OR($A1960="",$T1960=""),"","Included in Manager_Report")</f>
        <v/>
      </c>
    </row>
    <row r="1961" ht="15" customHeight="1" s="40">
      <c r="A1961" s="65">
        <f>IF(COUNTA(B1961:G1961)=0,"","STP-"&amp;TEXT(ROW()-4,"0000"))</f>
        <v/>
      </c>
      <c r="B1961" s="78" t="n"/>
      <c r="C1961" s="67">
        <f>IF($B1961="","",IFERROR(INDEX(Task_Tracker!$D$5:$D$1004,MATCH($B1961,Task_Tracker!$A$5:$A$1004,0)),""))</f>
        <v/>
      </c>
      <c r="D1961" s="67">
        <f>IF($B1961="","",IFERROR(INDEX(Task_Tracker!$B$5:$B$1004,MATCH($B1961,Task_Tracker!$A$5:$A$1004,0)),""))</f>
        <v/>
      </c>
      <c r="E1961" s="81" t="n"/>
      <c r="F1961" s="81" t="n"/>
      <c r="G1961" s="78" t="n"/>
      <c r="H1961" s="78" t="n"/>
      <c r="I1961" s="67">
        <f>IF($H1961="","",IFERROR(INDEX(Action_Status_Map!$B$5:$B$11,MATCH($H1961,Action_Status_Map!$A$5:$A$11,0)),""))</f>
        <v/>
      </c>
      <c r="J1961" s="82" t="n"/>
      <c r="K1961" s="82" t="n"/>
      <c r="L1961" s="82" t="n"/>
      <c r="M1961" s="83" t="n"/>
      <c r="N1961" s="83" t="n"/>
      <c r="O1961" s="66">
        <f>IF(OR($M1961="",$N1961=""),"",$N1961-$M1961)</f>
        <v/>
      </c>
      <c r="P1961" s="84">
        <f>IF($J1961="","",IF($L1961&lt;&gt;"",$L1961-$J1961,TODAY()-$J1961))</f>
        <v/>
      </c>
      <c r="Q1961" s="85">
        <f>IF(OR($K1961="",$H1961="Completed",$H1961="Cancelled"),"",IF(AND($K1961&lt;TODAY(),$H1961&lt;&gt;"Completed",$H1961&lt;&gt;"Cancelled"),"Overdue","On Track"))</f>
        <v/>
      </c>
      <c r="R1961" s="81" t="n"/>
      <c r="S1961" s="81">
        <f>IF($B1961="","",IFERROR(INDEX(Task_Tracker!$AA$5:$AA$1004,MATCH($B1961,Task_Tracker!$A$5:$A$1004,0)),""))</f>
        <v/>
      </c>
      <c r="T1961" s="81">
        <f>IF($B1961="","",IFERROR(INDEX(Task_Tracker!$AB$5:$AB$1004,MATCH($B1961,Task_Tracker!$A$5:$A$1004,0)),""))</f>
        <v/>
      </c>
      <c r="U1961" s="78">
        <f>IF($B1961="","",IFERROR(INDEX(Task_Tracker!$F$5:$F$1004,MATCH($B1961,Task_Tracker!$A$5:$A$1004,0)),""))</f>
        <v/>
      </c>
      <c r="V1961" s="78">
        <f>IF($B1961="","",IFERROR(INDEX(Task_Tracker!$I$5:$I$1004,MATCH($B1961,Task_Tracker!$A$5:$A$1004,0)),""))</f>
        <v/>
      </c>
      <c r="W1961" s="81">
        <f>IF(OR($D1961="",$B1961=""),"",$D1961&amp;" | "&amp;$B1961)</f>
        <v/>
      </c>
      <c r="X1961" s="85">
        <f>IF($K1961="","",TEXT($K1961,"yyyy-mm"))</f>
        <v/>
      </c>
      <c r="Y1961" s="81">
        <f>IF(OR($A1961="",$T1961=""),"","Included in Manager_Report")</f>
        <v/>
      </c>
    </row>
    <row r="1962" ht="15" customHeight="1" s="40">
      <c r="A1962" s="65">
        <f>IF(COUNTA(B1962:G1962)=0,"","STP-"&amp;TEXT(ROW()-4,"0000"))</f>
        <v/>
      </c>
      <c r="B1962" s="78" t="n"/>
      <c r="C1962" s="67">
        <f>IF($B1962="","",IFERROR(INDEX(Task_Tracker!$D$5:$D$1004,MATCH($B1962,Task_Tracker!$A$5:$A$1004,0)),""))</f>
        <v/>
      </c>
      <c r="D1962" s="67">
        <f>IF($B1962="","",IFERROR(INDEX(Task_Tracker!$B$5:$B$1004,MATCH($B1962,Task_Tracker!$A$5:$A$1004,0)),""))</f>
        <v/>
      </c>
      <c r="E1962" s="81" t="n"/>
      <c r="F1962" s="81" t="n"/>
      <c r="G1962" s="78" t="n"/>
      <c r="H1962" s="78" t="n"/>
      <c r="I1962" s="67">
        <f>IF($H1962="","",IFERROR(INDEX(Action_Status_Map!$B$5:$B$11,MATCH($H1962,Action_Status_Map!$A$5:$A$11,0)),""))</f>
        <v/>
      </c>
      <c r="J1962" s="82" t="n"/>
      <c r="K1962" s="82" t="n"/>
      <c r="L1962" s="82" t="n"/>
      <c r="M1962" s="83" t="n"/>
      <c r="N1962" s="83" t="n"/>
      <c r="O1962" s="66">
        <f>IF(OR($M1962="",$N1962=""),"",$N1962-$M1962)</f>
        <v/>
      </c>
      <c r="P1962" s="84">
        <f>IF($J1962="","",IF($L1962&lt;&gt;"",$L1962-$J1962,TODAY()-$J1962))</f>
        <v/>
      </c>
      <c r="Q1962" s="85">
        <f>IF(OR($K1962="",$H1962="Completed",$H1962="Cancelled"),"",IF(AND($K1962&lt;TODAY(),$H1962&lt;&gt;"Completed",$H1962&lt;&gt;"Cancelled"),"Overdue","On Track"))</f>
        <v/>
      </c>
      <c r="R1962" s="81" t="n"/>
      <c r="S1962" s="81">
        <f>IF($B1962="","",IFERROR(INDEX(Task_Tracker!$AA$5:$AA$1004,MATCH($B1962,Task_Tracker!$A$5:$A$1004,0)),""))</f>
        <v/>
      </c>
      <c r="T1962" s="81">
        <f>IF($B1962="","",IFERROR(INDEX(Task_Tracker!$AB$5:$AB$1004,MATCH($B1962,Task_Tracker!$A$5:$A$1004,0)),""))</f>
        <v/>
      </c>
      <c r="U1962" s="78">
        <f>IF($B1962="","",IFERROR(INDEX(Task_Tracker!$F$5:$F$1004,MATCH($B1962,Task_Tracker!$A$5:$A$1004,0)),""))</f>
        <v/>
      </c>
      <c r="V1962" s="78">
        <f>IF($B1962="","",IFERROR(INDEX(Task_Tracker!$I$5:$I$1004,MATCH($B1962,Task_Tracker!$A$5:$A$1004,0)),""))</f>
        <v/>
      </c>
      <c r="W1962" s="81">
        <f>IF(OR($D1962="",$B1962=""),"",$D1962&amp;" | "&amp;$B1962)</f>
        <v/>
      </c>
      <c r="X1962" s="85">
        <f>IF($K1962="","",TEXT($K1962,"yyyy-mm"))</f>
        <v/>
      </c>
      <c r="Y1962" s="81">
        <f>IF(OR($A1962="",$T1962=""),"","Included in Manager_Report")</f>
        <v/>
      </c>
    </row>
    <row r="1963" ht="15" customHeight="1" s="40">
      <c r="A1963" s="65">
        <f>IF(COUNTA(B1963:G1963)=0,"","STP-"&amp;TEXT(ROW()-4,"0000"))</f>
        <v/>
      </c>
      <c r="B1963" s="78" t="n"/>
      <c r="C1963" s="67">
        <f>IF($B1963="","",IFERROR(INDEX(Task_Tracker!$D$5:$D$1004,MATCH($B1963,Task_Tracker!$A$5:$A$1004,0)),""))</f>
        <v/>
      </c>
      <c r="D1963" s="67">
        <f>IF($B1963="","",IFERROR(INDEX(Task_Tracker!$B$5:$B$1004,MATCH($B1963,Task_Tracker!$A$5:$A$1004,0)),""))</f>
        <v/>
      </c>
      <c r="E1963" s="81" t="n"/>
      <c r="F1963" s="81" t="n"/>
      <c r="G1963" s="78" t="n"/>
      <c r="H1963" s="78" t="n"/>
      <c r="I1963" s="67">
        <f>IF($H1963="","",IFERROR(INDEX(Action_Status_Map!$B$5:$B$11,MATCH($H1963,Action_Status_Map!$A$5:$A$11,0)),""))</f>
        <v/>
      </c>
      <c r="J1963" s="82" t="n"/>
      <c r="K1963" s="82" t="n"/>
      <c r="L1963" s="82" t="n"/>
      <c r="M1963" s="83" t="n"/>
      <c r="N1963" s="83" t="n"/>
      <c r="O1963" s="66">
        <f>IF(OR($M1963="",$N1963=""),"",$N1963-$M1963)</f>
        <v/>
      </c>
      <c r="P1963" s="84">
        <f>IF($J1963="","",IF($L1963&lt;&gt;"",$L1963-$J1963,TODAY()-$J1963))</f>
        <v/>
      </c>
      <c r="Q1963" s="85">
        <f>IF(OR($K1963="",$H1963="Completed",$H1963="Cancelled"),"",IF(AND($K1963&lt;TODAY(),$H1963&lt;&gt;"Completed",$H1963&lt;&gt;"Cancelled"),"Overdue","On Track"))</f>
        <v/>
      </c>
      <c r="R1963" s="81" t="n"/>
      <c r="S1963" s="81">
        <f>IF($B1963="","",IFERROR(INDEX(Task_Tracker!$AA$5:$AA$1004,MATCH($B1963,Task_Tracker!$A$5:$A$1004,0)),""))</f>
        <v/>
      </c>
      <c r="T1963" s="81">
        <f>IF($B1963="","",IFERROR(INDEX(Task_Tracker!$AB$5:$AB$1004,MATCH($B1963,Task_Tracker!$A$5:$A$1004,0)),""))</f>
        <v/>
      </c>
      <c r="U1963" s="78">
        <f>IF($B1963="","",IFERROR(INDEX(Task_Tracker!$F$5:$F$1004,MATCH($B1963,Task_Tracker!$A$5:$A$1004,0)),""))</f>
        <v/>
      </c>
      <c r="V1963" s="78">
        <f>IF($B1963="","",IFERROR(INDEX(Task_Tracker!$I$5:$I$1004,MATCH($B1963,Task_Tracker!$A$5:$A$1004,0)),""))</f>
        <v/>
      </c>
      <c r="W1963" s="81">
        <f>IF(OR($D1963="",$B1963=""),"",$D1963&amp;" | "&amp;$B1963)</f>
        <v/>
      </c>
      <c r="X1963" s="85">
        <f>IF($K1963="","",TEXT($K1963,"yyyy-mm"))</f>
        <v/>
      </c>
      <c r="Y1963" s="81">
        <f>IF(OR($A1963="",$T1963=""),"","Included in Manager_Report")</f>
        <v/>
      </c>
    </row>
    <row r="1964" ht="15" customHeight="1" s="40">
      <c r="A1964" s="65">
        <f>IF(COUNTA(B1964:G1964)=0,"","STP-"&amp;TEXT(ROW()-4,"0000"))</f>
        <v/>
      </c>
      <c r="B1964" s="78" t="n"/>
      <c r="C1964" s="67">
        <f>IF($B1964="","",IFERROR(INDEX(Task_Tracker!$D$5:$D$1004,MATCH($B1964,Task_Tracker!$A$5:$A$1004,0)),""))</f>
        <v/>
      </c>
      <c r="D1964" s="67">
        <f>IF($B1964="","",IFERROR(INDEX(Task_Tracker!$B$5:$B$1004,MATCH($B1964,Task_Tracker!$A$5:$A$1004,0)),""))</f>
        <v/>
      </c>
      <c r="E1964" s="81" t="n"/>
      <c r="F1964" s="81" t="n"/>
      <c r="G1964" s="78" t="n"/>
      <c r="H1964" s="78" t="n"/>
      <c r="I1964" s="67">
        <f>IF($H1964="","",IFERROR(INDEX(Action_Status_Map!$B$5:$B$11,MATCH($H1964,Action_Status_Map!$A$5:$A$11,0)),""))</f>
        <v/>
      </c>
      <c r="J1964" s="82" t="n"/>
      <c r="K1964" s="82" t="n"/>
      <c r="L1964" s="82" t="n"/>
      <c r="M1964" s="83" t="n"/>
      <c r="N1964" s="83" t="n"/>
      <c r="O1964" s="66">
        <f>IF(OR($M1964="",$N1964=""),"",$N1964-$M1964)</f>
        <v/>
      </c>
      <c r="P1964" s="84">
        <f>IF($J1964="","",IF($L1964&lt;&gt;"",$L1964-$J1964,TODAY()-$J1964))</f>
        <v/>
      </c>
      <c r="Q1964" s="85">
        <f>IF(OR($K1964="",$H1964="Completed",$H1964="Cancelled"),"",IF(AND($K1964&lt;TODAY(),$H1964&lt;&gt;"Completed",$H1964&lt;&gt;"Cancelled"),"Overdue","On Track"))</f>
        <v/>
      </c>
      <c r="R1964" s="81" t="n"/>
      <c r="S1964" s="81">
        <f>IF($B1964="","",IFERROR(INDEX(Task_Tracker!$AA$5:$AA$1004,MATCH($B1964,Task_Tracker!$A$5:$A$1004,0)),""))</f>
        <v/>
      </c>
      <c r="T1964" s="81">
        <f>IF($B1964="","",IFERROR(INDEX(Task_Tracker!$AB$5:$AB$1004,MATCH($B1964,Task_Tracker!$A$5:$A$1004,0)),""))</f>
        <v/>
      </c>
      <c r="U1964" s="78">
        <f>IF($B1964="","",IFERROR(INDEX(Task_Tracker!$F$5:$F$1004,MATCH($B1964,Task_Tracker!$A$5:$A$1004,0)),""))</f>
        <v/>
      </c>
      <c r="V1964" s="78">
        <f>IF($B1964="","",IFERROR(INDEX(Task_Tracker!$I$5:$I$1004,MATCH($B1964,Task_Tracker!$A$5:$A$1004,0)),""))</f>
        <v/>
      </c>
      <c r="W1964" s="81">
        <f>IF(OR($D1964="",$B1964=""),"",$D1964&amp;" | "&amp;$B1964)</f>
        <v/>
      </c>
      <c r="X1964" s="85">
        <f>IF($K1964="","",TEXT($K1964,"yyyy-mm"))</f>
        <v/>
      </c>
      <c r="Y1964" s="81">
        <f>IF(OR($A1964="",$T1964=""),"","Included in Manager_Report")</f>
        <v/>
      </c>
    </row>
    <row r="1965" ht="15" customHeight="1" s="40">
      <c r="A1965" s="65">
        <f>IF(COUNTA(B1965:G1965)=0,"","STP-"&amp;TEXT(ROW()-4,"0000"))</f>
        <v/>
      </c>
      <c r="B1965" s="78" t="n"/>
      <c r="C1965" s="67">
        <f>IF($B1965="","",IFERROR(INDEX(Task_Tracker!$D$5:$D$1004,MATCH($B1965,Task_Tracker!$A$5:$A$1004,0)),""))</f>
        <v/>
      </c>
      <c r="D1965" s="67">
        <f>IF($B1965="","",IFERROR(INDEX(Task_Tracker!$B$5:$B$1004,MATCH($B1965,Task_Tracker!$A$5:$A$1004,0)),""))</f>
        <v/>
      </c>
      <c r="E1965" s="81" t="n"/>
      <c r="F1965" s="81" t="n"/>
      <c r="G1965" s="78" t="n"/>
      <c r="H1965" s="78" t="n"/>
      <c r="I1965" s="67">
        <f>IF($H1965="","",IFERROR(INDEX(Action_Status_Map!$B$5:$B$11,MATCH($H1965,Action_Status_Map!$A$5:$A$11,0)),""))</f>
        <v/>
      </c>
      <c r="J1965" s="82" t="n"/>
      <c r="K1965" s="82" t="n"/>
      <c r="L1965" s="82" t="n"/>
      <c r="M1965" s="83" t="n"/>
      <c r="N1965" s="83" t="n"/>
      <c r="O1965" s="66">
        <f>IF(OR($M1965="",$N1965=""),"",$N1965-$M1965)</f>
        <v/>
      </c>
      <c r="P1965" s="84">
        <f>IF($J1965="","",IF($L1965&lt;&gt;"",$L1965-$J1965,TODAY()-$J1965))</f>
        <v/>
      </c>
      <c r="Q1965" s="85">
        <f>IF(OR($K1965="",$H1965="Completed",$H1965="Cancelled"),"",IF(AND($K1965&lt;TODAY(),$H1965&lt;&gt;"Completed",$H1965&lt;&gt;"Cancelled"),"Overdue","On Track"))</f>
        <v/>
      </c>
      <c r="R1965" s="81" t="n"/>
      <c r="S1965" s="81">
        <f>IF($B1965="","",IFERROR(INDEX(Task_Tracker!$AA$5:$AA$1004,MATCH($B1965,Task_Tracker!$A$5:$A$1004,0)),""))</f>
        <v/>
      </c>
      <c r="T1965" s="81">
        <f>IF($B1965="","",IFERROR(INDEX(Task_Tracker!$AB$5:$AB$1004,MATCH($B1965,Task_Tracker!$A$5:$A$1004,0)),""))</f>
        <v/>
      </c>
      <c r="U1965" s="78">
        <f>IF($B1965="","",IFERROR(INDEX(Task_Tracker!$F$5:$F$1004,MATCH($B1965,Task_Tracker!$A$5:$A$1004,0)),""))</f>
        <v/>
      </c>
      <c r="V1965" s="78">
        <f>IF($B1965="","",IFERROR(INDEX(Task_Tracker!$I$5:$I$1004,MATCH($B1965,Task_Tracker!$A$5:$A$1004,0)),""))</f>
        <v/>
      </c>
      <c r="W1965" s="81">
        <f>IF(OR($D1965="",$B1965=""),"",$D1965&amp;" | "&amp;$B1965)</f>
        <v/>
      </c>
      <c r="X1965" s="85">
        <f>IF($K1965="","",TEXT($K1965,"yyyy-mm"))</f>
        <v/>
      </c>
      <c r="Y1965" s="81">
        <f>IF(OR($A1965="",$T1965=""),"","Included in Manager_Report")</f>
        <v/>
      </c>
    </row>
    <row r="1966" ht="15" customHeight="1" s="40">
      <c r="A1966" s="65">
        <f>IF(COUNTA(B1966:G1966)=0,"","STP-"&amp;TEXT(ROW()-4,"0000"))</f>
        <v/>
      </c>
      <c r="B1966" s="78" t="n"/>
      <c r="C1966" s="67">
        <f>IF($B1966="","",IFERROR(INDEX(Task_Tracker!$D$5:$D$1004,MATCH($B1966,Task_Tracker!$A$5:$A$1004,0)),""))</f>
        <v/>
      </c>
      <c r="D1966" s="67">
        <f>IF($B1966="","",IFERROR(INDEX(Task_Tracker!$B$5:$B$1004,MATCH($B1966,Task_Tracker!$A$5:$A$1004,0)),""))</f>
        <v/>
      </c>
      <c r="E1966" s="81" t="n"/>
      <c r="F1966" s="81" t="n"/>
      <c r="G1966" s="78" t="n"/>
      <c r="H1966" s="78" t="n"/>
      <c r="I1966" s="67">
        <f>IF($H1966="","",IFERROR(INDEX(Action_Status_Map!$B$5:$B$11,MATCH($H1966,Action_Status_Map!$A$5:$A$11,0)),""))</f>
        <v/>
      </c>
      <c r="J1966" s="82" t="n"/>
      <c r="K1966" s="82" t="n"/>
      <c r="L1966" s="82" t="n"/>
      <c r="M1966" s="83" t="n"/>
      <c r="N1966" s="83" t="n"/>
      <c r="O1966" s="66">
        <f>IF(OR($M1966="",$N1966=""),"",$N1966-$M1966)</f>
        <v/>
      </c>
      <c r="P1966" s="84">
        <f>IF($J1966="","",IF($L1966&lt;&gt;"",$L1966-$J1966,TODAY()-$J1966))</f>
        <v/>
      </c>
      <c r="Q1966" s="85">
        <f>IF(OR($K1966="",$H1966="Completed",$H1966="Cancelled"),"",IF(AND($K1966&lt;TODAY(),$H1966&lt;&gt;"Completed",$H1966&lt;&gt;"Cancelled"),"Overdue","On Track"))</f>
        <v/>
      </c>
      <c r="R1966" s="81" t="n"/>
      <c r="S1966" s="81">
        <f>IF($B1966="","",IFERROR(INDEX(Task_Tracker!$AA$5:$AA$1004,MATCH($B1966,Task_Tracker!$A$5:$A$1004,0)),""))</f>
        <v/>
      </c>
      <c r="T1966" s="81">
        <f>IF($B1966="","",IFERROR(INDEX(Task_Tracker!$AB$5:$AB$1004,MATCH($B1966,Task_Tracker!$A$5:$A$1004,0)),""))</f>
        <v/>
      </c>
      <c r="U1966" s="78">
        <f>IF($B1966="","",IFERROR(INDEX(Task_Tracker!$F$5:$F$1004,MATCH($B1966,Task_Tracker!$A$5:$A$1004,0)),""))</f>
        <v/>
      </c>
      <c r="V1966" s="78">
        <f>IF($B1966="","",IFERROR(INDEX(Task_Tracker!$I$5:$I$1004,MATCH($B1966,Task_Tracker!$A$5:$A$1004,0)),""))</f>
        <v/>
      </c>
      <c r="W1966" s="81">
        <f>IF(OR($D1966="",$B1966=""),"",$D1966&amp;" | "&amp;$B1966)</f>
        <v/>
      </c>
      <c r="X1966" s="85">
        <f>IF($K1966="","",TEXT($K1966,"yyyy-mm"))</f>
        <v/>
      </c>
      <c r="Y1966" s="81">
        <f>IF(OR($A1966="",$T1966=""),"","Included in Manager_Report")</f>
        <v/>
      </c>
    </row>
    <row r="1967" ht="15" customHeight="1" s="40">
      <c r="A1967" s="65">
        <f>IF(COUNTA(B1967:G1967)=0,"","STP-"&amp;TEXT(ROW()-4,"0000"))</f>
        <v/>
      </c>
      <c r="B1967" s="78" t="n"/>
      <c r="C1967" s="67">
        <f>IF($B1967="","",IFERROR(INDEX(Task_Tracker!$D$5:$D$1004,MATCH($B1967,Task_Tracker!$A$5:$A$1004,0)),""))</f>
        <v/>
      </c>
      <c r="D1967" s="67">
        <f>IF($B1967="","",IFERROR(INDEX(Task_Tracker!$B$5:$B$1004,MATCH($B1967,Task_Tracker!$A$5:$A$1004,0)),""))</f>
        <v/>
      </c>
      <c r="E1967" s="81" t="n"/>
      <c r="F1967" s="81" t="n"/>
      <c r="G1967" s="78" t="n"/>
      <c r="H1967" s="78" t="n"/>
      <c r="I1967" s="67">
        <f>IF($H1967="","",IFERROR(INDEX(Action_Status_Map!$B$5:$B$11,MATCH($H1967,Action_Status_Map!$A$5:$A$11,0)),""))</f>
        <v/>
      </c>
      <c r="J1967" s="82" t="n"/>
      <c r="K1967" s="82" t="n"/>
      <c r="L1967" s="82" t="n"/>
      <c r="M1967" s="83" t="n"/>
      <c r="N1967" s="83" t="n"/>
      <c r="O1967" s="66">
        <f>IF(OR($M1967="",$N1967=""),"",$N1967-$M1967)</f>
        <v/>
      </c>
      <c r="P1967" s="84">
        <f>IF($J1967="","",IF($L1967&lt;&gt;"",$L1967-$J1967,TODAY()-$J1967))</f>
        <v/>
      </c>
      <c r="Q1967" s="85">
        <f>IF(OR($K1967="",$H1967="Completed",$H1967="Cancelled"),"",IF(AND($K1967&lt;TODAY(),$H1967&lt;&gt;"Completed",$H1967&lt;&gt;"Cancelled"),"Overdue","On Track"))</f>
        <v/>
      </c>
      <c r="R1967" s="81" t="n"/>
      <c r="S1967" s="81">
        <f>IF($B1967="","",IFERROR(INDEX(Task_Tracker!$AA$5:$AA$1004,MATCH($B1967,Task_Tracker!$A$5:$A$1004,0)),""))</f>
        <v/>
      </c>
      <c r="T1967" s="81">
        <f>IF($B1967="","",IFERROR(INDEX(Task_Tracker!$AB$5:$AB$1004,MATCH($B1967,Task_Tracker!$A$5:$A$1004,0)),""))</f>
        <v/>
      </c>
      <c r="U1967" s="78">
        <f>IF($B1967="","",IFERROR(INDEX(Task_Tracker!$F$5:$F$1004,MATCH($B1967,Task_Tracker!$A$5:$A$1004,0)),""))</f>
        <v/>
      </c>
      <c r="V1967" s="78">
        <f>IF($B1967="","",IFERROR(INDEX(Task_Tracker!$I$5:$I$1004,MATCH($B1967,Task_Tracker!$A$5:$A$1004,0)),""))</f>
        <v/>
      </c>
      <c r="W1967" s="81">
        <f>IF(OR($D1967="",$B1967=""),"",$D1967&amp;" | "&amp;$B1967)</f>
        <v/>
      </c>
      <c r="X1967" s="85">
        <f>IF($K1967="","",TEXT($K1967,"yyyy-mm"))</f>
        <v/>
      </c>
      <c r="Y1967" s="81">
        <f>IF(OR($A1967="",$T1967=""),"","Included in Manager_Report")</f>
        <v/>
      </c>
    </row>
    <row r="1968" ht="15" customHeight="1" s="40">
      <c r="A1968" s="65">
        <f>IF(COUNTA(B1968:G1968)=0,"","STP-"&amp;TEXT(ROW()-4,"0000"))</f>
        <v/>
      </c>
      <c r="B1968" s="78" t="n"/>
      <c r="C1968" s="67">
        <f>IF($B1968="","",IFERROR(INDEX(Task_Tracker!$D$5:$D$1004,MATCH($B1968,Task_Tracker!$A$5:$A$1004,0)),""))</f>
        <v/>
      </c>
      <c r="D1968" s="67">
        <f>IF($B1968="","",IFERROR(INDEX(Task_Tracker!$B$5:$B$1004,MATCH($B1968,Task_Tracker!$A$5:$A$1004,0)),""))</f>
        <v/>
      </c>
      <c r="E1968" s="81" t="n"/>
      <c r="F1968" s="81" t="n"/>
      <c r="G1968" s="78" t="n"/>
      <c r="H1968" s="78" t="n"/>
      <c r="I1968" s="67">
        <f>IF($H1968="","",IFERROR(INDEX(Action_Status_Map!$B$5:$B$11,MATCH($H1968,Action_Status_Map!$A$5:$A$11,0)),""))</f>
        <v/>
      </c>
      <c r="J1968" s="82" t="n"/>
      <c r="K1968" s="82" t="n"/>
      <c r="L1968" s="82" t="n"/>
      <c r="M1968" s="83" t="n"/>
      <c r="N1968" s="83" t="n"/>
      <c r="O1968" s="66">
        <f>IF(OR($M1968="",$N1968=""),"",$N1968-$M1968)</f>
        <v/>
      </c>
      <c r="P1968" s="84">
        <f>IF($J1968="","",IF($L1968&lt;&gt;"",$L1968-$J1968,TODAY()-$J1968))</f>
        <v/>
      </c>
      <c r="Q1968" s="85">
        <f>IF(OR($K1968="",$H1968="Completed",$H1968="Cancelled"),"",IF(AND($K1968&lt;TODAY(),$H1968&lt;&gt;"Completed",$H1968&lt;&gt;"Cancelled"),"Overdue","On Track"))</f>
        <v/>
      </c>
      <c r="R1968" s="81" t="n"/>
      <c r="S1968" s="81">
        <f>IF($B1968="","",IFERROR(INDEX(Task_Tracker!$AA$5:$AA$1004,MATCH($B1968,Task_Tracker!$A$5:$A$1004,0)),""))</f>
        <v/>
      </c>
      <c r="T1968" s="81">
        <f>IF($B1968="","",IFERROR(INDEX(Task_Tracker!$AB$5:$AB$1004,MATCH($B1968,Task_Tracker!$A$5:$A$1004,0)),""))</f>
        <v/>
      </c>
      <c r="U1968" s="78">
        <f>IF($B1968="","",IFERROR(INDEX(Task_Tracker!$F$5:$F$1004,MATCH($B1968,Task_Tracker!$A$5:$A$1004,0)),""))</f>
        <v/>
      </c>
      <c r="V1968" s="78">
        <f>IF($B1968="","",IFERROR(INDEX(Task_Tracker!$I$5:$I$1004,MATCH($B1968,Task_Tracker!$A$5:$A$1004,0)),""))</f>
        <v/>
      </c>
      <c r="W1968" s="81">
        <f>IF(OR($D1968="",$B1968=""),"",$D1968&amp;" | "&amp;$B1968)</f>
        <v/>
      </c>
      <c r="X1968" s="85">
        <f>IF($K1968="","",TEXT($K1968,"yyyy-mm"))</f>
        <v/>
      </c>
      <c r="Y1968" s="81">
        <f>IF(OR($A1968="",$T1968=""),"","Included in Manager_Report")</f>
        <v/>
      </c>
    </row>
    <row r="1969" ht="15" customHeight="1" s="40">
      <c r="A1969" s="65">
        <f>IF(COUNTA(B1969:G1969)=0,"","STP-"&amp;TEXT(ROW()-4,"0000"))</f>
        <v/>
      </c>
      <c r="B1969" s="78" t="n"/>
      <c r="C1969" s="67">
        <f>IF($B1969="","",IFERROR(INDEX(Task_Tracker!$D$5:$D$1004,MATCH($B1969,Task_Tracker!$A$5:$A$1004,0)),""))</f>
        <v/>
      </c>
      <c r="D1969" s="67">
        <f>IF($B1969="","",IFERROR(INDEX(Task_Tracker!$B$5:$B$1004,MATCH($B1969,Task_Tracker!$A$5:$A$1004,0)),""))</f>
        <v/>
      </c>
      <c r="E1969" s="81" t="n"/>
      <c r="F1969" s="81" t="n"/>
      <c r="G1969" s="78" t="n"/>
      <c r="H1969" s="78" t="n"/>
      <c r="I1969" s="67">
        <f>IF($H1969="","",IFERROR(INDEX(Action_Status_Map!$B$5:$B$11,MATCH($H1969,Action_Status_Map!$A$5:$A$11,0)),""))</f>
        <v/>
      </c>
      <c r="J1969" s="82" t="n"/>
      <c r="K1969" s="82" t="n"/>
      <c r="L1969" s="82" t="n"/>
      <c r="M1969" s="83" t="n"/>
      <c r="N1969" s="83" t="n"/>
      <c r="O1969" s="66">
        <f>IF(OR($M1969="",$N1969=""),"",$N1969-$M1969)</f>
        <v/>
      </c>
      <c r="P1969" s="84">
        <f>IF($J1969="","",IF($L1969&lt;&gt;"",$L1969-$J1969,TODAY()-$J1969))</f>
        <v/>
      </c>
      <c r="Q1969" s="85">
        <f>IF(OR($K1969="",$H1969="Completed",$H1969="Cancelled"),"",IF(AND($K1969&lt;TODAY(),$H1969&lt;&gt;"Completed",$H1969&lt;&gt;"Cancelled"),"Overdue","On Track"))</f>
        <v/>
      </c>
      <c r="R1969" s="81" t="n"/>
      <c r="S1969" s="81">
        <f>IF($B1969="","",IFERROR(INDEX(Task_Tracker!$AA$5:$AA$1004,MATCH($B1969,Task_Tracker!$A$5:$A$1004,0)),""))</f>
        <v/>
      </c>
      <c r="T1969" s="81">
        <f>IF($B1969="","",IFERROR(INDEX(Task_Tracker!$AB$5:$AB$1004,MATCH($B1969,Task_Tracker!$A$5:$A$1004,0)),""))</f>
        <v/>
      </c>
      <c r="U1969" s="78">
        <f>IF($B1969="","",IFERROR(INDEX(Task_Tracker!$F$5:$F$1004,MATCH($B1969,Task_Tracker!$A$5:$A$1004,0)),""))</f>
        <v/>
      </c>
      <c r="V1969" s="78">
        <f>IF($B1969="","",IFERROR(INDEX(Task_Tracker!$I$5:$I$1004,MATCH($B1969,Task_Tracker!$A$5:$A$1004,0)),""))</f>
        <v/>
      </c>
      <c r="W1969" s="81">
        <f>IF(OR($D1969="",$B1969=""),"",$D1969&amp;" | "&amp;$B1969)</f>
        <v/>
      </c>
      <c r="X1969" s="85">
        <f>IF($K1969="","",TEXT($K1969,"yyyy-mm"))</f>
        <v/>
      </c>
      <c r="Y1969" s="81">
        <f>IF(OR($A1969="",$T1969=""),"","Included in Manager_Report")</f>
        <v/>
      </c>
    </row>
    <row r="1970" ht="15" customHeight="1" s="40">
      <c r="A1970" s="65">
        <f>IF(COUNTA(B1970:G1970)=0,"","STP-"&amp;TEXT(ROW()-4,"0000"))</f>
        <v/>
      </c>
      <c r="B1970" s="78" t="n"/>
      <c r="C1970" s="67">
        <f>IF($B1970="","",IFERROR(INDEX(Task_Tracker!$D$5:$D$1004,MATCH($B1970,Task_Tracker!$A$5:$A$1004,0)),""))</f>
        <v/>
      </c>
      <c r="D1970" s="67">
        <f>IF($B1970="","",IFERROR(INDEX(Task_Tracker!$B$5:$B$1004,MATCH($B1970,Task_Tracker!$A$5:$A$1004,0)),""))</f>
        <v/>
      </c>
      <c r="E1970" s="81" t="n"/>
      <c r="F1970" s="81" t="n"/>
      <c r="G1970" s="78" t="n"/>
      <c r="H1970" s="78" t="n"/>
      <c r="I1970" s="67">
        <f>IF($H1970="","",IFERROR(INDEX(Action_Status_Map!$B$5:$B$11,MATCH($H1970,Action_Status_Map!$A$5:$A$11,0)),""))</f>
        <v/>
      </c>
      <c r="J1970" s="82" t="n"/>
      <c r="K1970" s="82" t="n"/>
      <c r="L1970" s="82" t="n"/>
      <c r="M1970" s="83" t="n"/>
      <c r="N1970" s="83" t="n"/>
      <c r="O1970" s="66">
        <f>IF(OR($M1970="",$N1970=""),"",$N1970-$M1970)</f>
        <v/>
      </c>
      <c r="P1970" s="84">
        <f>IF($J1970="","",IF($L1970&lt;&gt;"",$L1970-$J1970,TODAY()-$J1970))</f>
        <v/>
      </c>
      <c r="Q1970" s="85">
        <f>IF(OR($K1970="",$H1970="Completed",$H1970="Cancelled"),"",IF(AND($K1970&lt;TODAY(),$H1970&lt;&gt;"Completed",$H1970&lt;&gt;"Cancelled"),"Overdue","On Track"))</f>
        <v/>
      </c>
      <c r="R1970" s="81" t="n"/>
      <c r="S1970" s="81">
        <f>IF($B1970="","",IFERROR(INDEX(Task_Tracker!$AA$5:$AA$1004,MATCH($B1970,Task_Tracker!$A$5:$A$1004,0)),""))</f>
        <v/>
      </c>
      <c r="T1970" s="81">
        <f>IF($B1970="","",IFERROR(INDEX(Task_Tracker!$AB$5:$AB$1004,MATCH($B1970,Task_Tracker!$A$5:$A$1004,0)),""))</f>
        <v/>
      </c>
      <c r="U1970" s="78">
        <f>IF($B1970="","",IFERROR(INDEX(Task_Tracker!$F$5:$F$1004,MATCH($B1970,Task_Tracker!$A$5:$A$1004,0)),""))</f>
        <v/>
      </c>
      <c r="V1970" s="78">
        <f>IF($B1970="","",IFERROR(INDEX(Task_Tracker!$I$5:$I$1004,MATCH($B1970,Task_Tracker!$A$5:$A$1004,0)),""))</f>
        <v/>
      </c>
      <c r="W1970" s="81">
        <f>IF(OR($D1970="",$B1970=""),"",$D1970&amp;" | "&amp;$B1970)</f>
        <v/>
      </c>
      <c r="X1970" s="85">
        <f>IF($K1970="","",TEXT($K1970,"yyyy-mm"))</f>
        <v/>
      </c>
      <c r="Y1970" s="81">
        <f>IF(OR($A1970="",$T1970=""),"","Included in Manager_Report")</f>
        <v/>
      </c>
    </row>
    <row r="1971" ht="15" customHeight="1" s="40">
      <c r="A1971" s="65">
        <f>IF(COUNTA(B1971:G1971)=0,"","STP-"&amp;TEXT(ROW()-4,"0000"))</f>
        <v/>
      </c>
      <c r="B1971" s="78" t="n"/>
      <c r="C1971" s="67">
        <f>IF($B1971="","",IFERROR(INDEX(Task_Tracker!$D$5:$D$1004,MATCH($B1971,Task_Tracker!$A$5:$A$1004,0)),""))</f>
        <v/>
      </c>
      <c r="D1971" s="67">
        <f>IF($B1971="","",IFERROR(INDEX(Task_Tracker!$B$5:$B$1004,MATCH($B1971,Task_Tracker!$A$5:$A$1004,0)),""))</f>
        <v/>
      </c>
      <c r="E1971" s="81" t="n"/>
      <c r="F1971" s="81" t="n"/>
      <c r="G1971" s="78" t="n"/>
      <c r="H1971" s="78" t="n"/>
      <c r="I1971" s="67">
        <f>IF($H1971="","",IFERROR(INDEX(Action_Status_Map!$B$5:$B$11,MATCH($H1971,Action_Status_Map!$A$5:$A$11,0)),""))</f>
        <v/>
      </c>
      <c r="J1971" s="82" t="n"/>
      <c r="K1971" s="82" t="n"/>
      <c r="L1971" s="82" t="n"/>
      <c r="M1971" s="83" t="n"/>
      <c r="N1971" s="83" t="n"/>
      <c r="O1971" s="66">
        <f>IF(OR($M1971="",$N1971=""),"",$N1971-$M1971)</f>
        <v/>
      </c>
      <c r="P1971" s="84">
        <f>IF($J1971="","",IF($L1971&lt;&gt;"",$L1971-$J1971,TODAY()-$J1971))</f>
        <v/>
      </c>
      <c r="Q1971" s="85">
        <f>IF(OR($K1971="",$H1971="Completed",$H1971="Cancelled"),"",IF(AND($K1971&lt;TODAY(),$H1971&lt;&gt;"Completed",$H1971&lt;&gt;"Cancelled"),"Overdue","On Track"))</f>
        <v/>
      </c>
      <c r="R1971" s="81" t="n"/>
      <c r="S1971" s="81">
        <f>IF($B1971="","",IFERROR(INDEX(Task_Tracker!$AA$5:$AA$1004,MATCH($B1971,Task_Tracker!$A$5:$A$1004,0)),""))</f>
        <v/>
      </c>
      <c r="T1971" s="81">
        <f>IF($B1971="","",IFERROR(INDEX(Task_Tracker!$AB$5:$AB$1004,MATCH($B1971,Task_Tracker!$A$5:$A$1004,0)),""))</f>
        <v/>
      </c>
      <c r="U1971" s="78">
        <f>IF($B1971="","",IFERROR(INDEX(Task_Tracker!$F$5:$F$1004,MATCH($B1971,Task_Tracker!$A$5:$A$1004,0)),""))</f>
        <v/>
      </c>
      <c r="V1971" s="78">
        <f>IF($B1971="","",IFERROR(INDEX(Task_Tracker!$I$5:$I$1004,MATCH($B1971,Task_Tracker!$A$5:$A$1004,0)),""))</f>
        <v/>
      </c>
      <c r="W1971" s="81">
        <f>IF(OR($D1971="",$B1971=""),"",$D1971&amp;" | "&amp;$B1971)</f>
        <v/>
      </c>
      <c r="X1971" s="85">
        <f>IF($K1971="","",TEXT($K1971,"yyyy-mm"))</f>
        <v/>
      </c>
      <c r="Y1971" s="81">
        <f>IF(OR($A1971="",$T1971=""),"","Included in Manager_Report")</f>
        <v/>
      </c>
    </row>
    <row r="1972" ht="15" customHeight="1" s="40">
      <c r="A1972" s="65">
        <f>IF(COUNTA(B1972:G1972)=0,"","STP-"&amp;TEXT(ROW()-4,"0000"))</f>
        <v/>
      </c>
      <c r="B1972" s="78" t="n"/>
      <c r="C1972" s="67">
        <f>IF($B1972="","",IFERROR(INDEX(Task_Tracker!$D$5:$D$1004,MATCH($B1972,Task_Tracker!$A$5:$A$1004,0)),""))</f>
        <v/>
      </c>
      <c r="D1972" s="67">
        <f>IF($B1972="","",IFERROR(INDEX(Task_Tracker!$B$5:$B$1004,MATCH($B1972,Task_Tracker!$A$5:$A$1004,0)),""))</f>
        <v/>
      </c>
      <c r="E1972" s="81" t="n"/>
      <c r="F1972" s="81" t="n"/>
      <c r="G1972" s="78" t="n"/>
      <c r="H1972" s="78" t="n"/>
      <c r="I1972" s="67">
        <f>IF($H1972="","",IFERROR(INDEX(Action_Status_Map!$B$5:$B$11,MATCH($H1972,Action_Status_Map!$A$5:$A$11,0)),""))</f>
        <v/>
      </c>
      <c r="J1972" s="82" t="n"/>
      <c r="K1972" s="82" t="n"/>
      <c r="L1972" s="82" t="n"/>
      <c r="M1972" s="83" t="n"/>
      <c r="N1972" s="83" t="n"/>
      <c r="O1972" s="66">
        <f>IF(OR($M1972="",$N1972=""),"",$N1972-$M1972)</f>
        <v/>
      </c>
      <c r="P1972" s="84">
        <f>IF($J1972="","",IF($L1972&lt;&gt;"",$L1972-$J1972,TODAY()-$J1972))</f>
        <v/>
      </c>
      <c r="Q1972" s="85">
        <f>IF(OR($K1972="",$H1972="Completed",$H1972="Cancelled"),"",IF(AND($K1972&lt;TODAY(),$H1972&lt;&gt;"Completed",$H1972&lt;&gt;"Cancelled"),"Overdue","On Track"))</f>
        <v/>
      </c>
      <c r="R1972" s="81" t="n"/>
      <c r="S1972" s="81">
        <f>IF($B1972="","",IFERROR(INDEX(Task_Tracker!$AA$5:$AA$1004,MATCH($B1972,Task_Tracker!$A$5:$A$1004,0)),""))</f>
        <v/>
      </c>
      <c r="T1972" s="81">
        <f>IF($B1972="","",IFERROR(INDEX(Task_Tracker!$AB$5:$AB$1004,MATCH($B1972,Task_Tracker!$A$5:$A$1004,0)),""))</f>
        <v/>
      </c>
      <c r="U1972" s="78">
        <f>IF($B1972="","",IFERROR(INDEX(Task_Tracker!$F$5:$F$1004,MATCH($B1972,Task_Tracker!$A$5:$A$1004,0)),""))</f>
        <v/>
      </c>
      <c r="V1972" s="78">
        <f>IF($B1972="","",IFERROR(INDEX(Task_Tracker!$I$5:$I$1004,MATCH($B1972,Task_Tracker!$A$5:$A$1004,0)),""))</f>
        <v/>
      </c>
      <c r="W1972" s="81">
        <f>IF(OR($D1972="",$B1972=""),"",$D1972&amp;" | "&amp;$B1972)</f>
        <v/>
      </c>
      <c r="X1972" s="85">
        <f>IF($K1972="","",TEXT($K1972,"yyyy-mm"))</f>
        <v/>
      </c>
      <c r="Y1972" s="81">
        <f>IF(OR($A1972="",$T1972=""),"","Included in Manager_Report")</f>
        <v/>
      </c>
    </row>
    <row r="1973" ht="15" customHeight="1" s="40">
      <c r="A1973" s="65">
        <f>IF(COUNTA(B1973:G1973)=0,"","STP-"&amp;TEXT(ROW()-4,"0000"))</f>
        <v/>
      </c>
      <c r="B1973" s="78" t="n"/>
      <c r="C1973" s="67">
        <f>IF($B1973="","",IFERROR(INDEX(Task_Tracker!$D$5:$D$1004,MATCH($B1973,Task_Tracker!$A$5:$A$1004,0)),""))</f>
        <v/>
      </c>
      <c r="D1973" s="67">
        <f>IF($B1973="","",IFERROR(INDEX(Task_Tracker!$B$5:$B$1004,MATCH($B1973,Task_Tracker!$A$5:$A$1004,0)),""))</f>
        <v/>
      </c>
      <c r="E1973" s="81" t="n"/>
      <c r="F1973" s="81" t="n"/>
      <c r="G1973" s="78" t="n"/>
      <c r="H1973" s="78" t="n"/>
      <c r="I1973" s="67">
        <f>IF($H1973="","",IFERROR(INDEX(Action_Status_Map!$B$5:$B$11,MATCH($H1973,Action_Status_Map!$A$5:$A$11,0)),""))</f>
        <v/>
      </c>
      <c r="J1973" s="82" t="n"/>
      <c r="K1973" s="82" t="n"/>
      <c r="L1973" s="82" t="n"/>
      <c r="M1973" s="83" t="n"/>
      <c r="N1973" s="83" t="n"/>
      <c r="O1973" s="66">
        <f>IF(OR($M1973="",$N1973=""),"",$N1973-$M1973)</f>
        <v/>
      </c>
      <c r="P1973" s="84">
        <f>IF($J1973="","",IF($L1973&lt;&gt;"",$L1973-$J1973,TODAY()-$J1973))</f>
        <v/>
      </c>
      <c r="Q1973" s="85">
        <f>IF(OR($K1973="",$H1973="Completed",$H1973="Cancelled"),"",IF(AND($K1973&lt;TODAY(),$H1973&lt;&gt;"Completed",$H1973&lt;&gt;"Cancelled"),"Overdue","On Track"))</f>
        <v/>
      </c>
      <c r="R1973" s="81" t="n"/>
      <c r="S1973" s="81">
        <f>IF($B1973="","",IFERROR(INDEX(Task_Tracker!$AA$5:$AA$1004,MATCH($B1973,Task_Tracker!$A$5:$A$1004,0)),""))</f>
        <v/>
      </c>
      <c r="T1973" s="81">
        <f>IF($B1973="","",IFERROR(INDEX(Task_Tracker!$AB$5:$AB$1004,MATCH($B1973,Task_Tracker!$A$5:$A$1004,0)),""))</f>
        <v/>
      </c>
      <c r="U1973" s="78">
        <f>IF($B1973="","",IFERROR(INDEX(Task_Tracker!$F$5:$F$1004,MATCH($B1973,Task_Tracker!$A$5:$A$1004,0)),""))</f>
        <v/>
      </c>
      <c r="V1973" s="78">
        <f>IF($B1973="","",IFERROR(INDEX(Task_Tracker!$I$5:$I$1004,MATCH($B1973,Task_Tracker!$A$5:$A$1004,0)),""))</f>
        <v/>
      </c>
      <c r="W1973" s="81">
        <f>IF(OR($D1973="",$B1973=""),"",$D1973&amp;" | "&amp;$B1973)</f>
        <v/>
      </c>
      <c r="X1973" s="85">
        <f>IF($K1973="","",TEXT($K1973,"yyyy-mm"))</f>
        <v/>
      </c>
      <c r="Y1973" s="81">
        <f>IF(OR($A1973="",$T1973=""),"","Included in Manager_Report")</f>
        <v/>
      </c>
    </row>
    <row r="1974" ht="15" customHeight="1" s="40">
      <c r="A1974" s="65">
        <f>IF(COUNTA(B1974:G1974)=0,"","STP-"&amp;TEXT(ROW()-4,"0000"))</f>
        <v/>
      </c>
      <c r="B1974" s="78" t="n"/>
      <c r="C1974" s="67">
        <f>IF($B1974="","",IFERROR(INDEX(Task_Tracker!$D$5:$D$1004,MATCH($B1974,Task_Tracker!$A$5:$A$1004,0)),""))</f>
        <v/>
      </c>
      <c r="D1974" s="67">
        <f>IF($B1974="","",IFERROR(INDEX(Task_Tracker!$B$5:$B$1004,MATCH($B1974,Task_Tracker!$A$5:$A$1004,0)),""))</f>
        <v/>
      </c>
      <c r="E1974" s="81" t="n"/>
      <c r="F1974" s="81" t="n"/>
      <c r="G1974" s="78" t="n"/>
      <c r="H1974" s="78" t="n"/>
      <c r="I1974" s="67">
        <f>IF($H1974="","",IFERROR(INDEX(Action_Status_Map!$B$5:$B$11,MATCH($H1974,Action_Status_Map!$A$5:$A$11,0)),""))</f>
        <v/>
      </c>
      <c r="J1974" s="82" t="n"/>
      <c r="K1974" s="82" t="n"/>
      <c r="L1974" s="82" t="n"/>
      <c r="M1974" s="83" t="n"/>
      <c r="N1974" s="83" t="n"/>
      <c r="O1974" s="66">
        <f>IF(OR($M1974="",$N1974=""),"",$N1974-$M1974)</f>
        <v/>
      </c>
      <c r="P1974" s="84">
        <f>IF($J1974="","",IF($L1974&lt;&gt;"",$L1974-$J1974,TODAY()-$J1974))</f>
        <v/>
      </c>
      <c r="Q1974" s="85">
        <f>IF(OR($K1974="",$H1974="Completed",$H1974="Cancelled"),"",IF(AND($K1974&lt;TODAY(),$H1974&lt;&gt;"Completed",$H1974&lt;&gt;"Cancelled"),"Overdue","On Track"))</f>
        <v/>
      </c>
      <c r="R1974" s="81" t="n"/>
      <c r="S1974" s="81">
        <f>IF($B1974="","",IFERROR(INDEX(Task_Tracker!$AA$5:$AA$1004,MATCH($B1974,Task_Tracker!$A$5:$A$1004,0)),""))</f>
        <v/>
      </c>
      <c r="T1974" s="81">
        <f>IF($B1974="","",IFERROR(INDEX(Task_Tracker!$AB$5:$AB$1004,MATCH($B1974,Task_Tracker!$A$5:$A$1004,0)),""))</f>
        <v/>
      </c>
      <c r="U1974" s="78">
        <f>IF($B1974="","",IFERROR(INDEX(Task_Tracker!$F$5:$F$1004,MATCH($B1974,Task_Tracker!$A$5:$A$1004,0)),""))</f>
        <v/>
      </c>
      <c r="V1974" s="78">
        <f>IF($B1974="","",IFERROR(INDEX(Task_Tracker!$I$5:$I$1004,MATCH($B1974,Task_Tracker!$A$5:$A$1004,0)),""))</f>
        <v/>
      </c>
      <c r="W1974" s="81">
        <f>IF(OR($D1974="",$B1974=""),"",$D1974&amp;" | "&amp;$B1974)</f>
        <v/>
      </c>
      <c r="X1974" s="85">
        <f>IF($K1974="","",TEXT($K1974,"yyyy-mm"))</f>
        <v/>
      </c>
      <c r="Y1974" s="81">
        <f>IF(OR($A1974="",$T1974=""),"","Included in Manager_Report")</f>
        <v/>
      </c>
    </row>
    <row r="1975" ht="15" customHeight="1" s="40">
      <c r="A1975" s="65">
        <f>IF(COUNTA(B1975:G1975)=0,"","STP-"&amp;TEXT(ROW()-4,"0000"))</f>
        <v/>
      </c>
      <c r="B1975" s="78" t="n"/>
      <c r="C1975" s="67">
        <f>IF($B1975="","",IFERROR(INDEX(Task_Tracker!$D$5:$D$1004,MATCH($B1975,Task_Tracker!$A$5:$A$1004,0)),""))</f>
        <v/>
      </c>
      <c r="D1975" s="67">
        <f>IF($B1975="","",IFERROR(INDEX(Task_Tracker!$B$5:$B$1004,MATCH($B1975,Task_Tracker!$A$5:$A$1004,0)),""))</f>
        <v/>
      </c>
      <c r="E1975" s="81" t="n"/>
      <c r="F1975" s="81" t="n"/>
      <c r="G1975" s="78" t="n"/>
      <c r="H1975" s="78" t="n"/>
      <c r="I1975" s="67">
        <f>IF($H1975="","",IFERROR(INDEX(Action_Status_Map!$B$5:$B$11,MATCH($H1975,Action_Status_Map!$A$5:$A$11,0)),""))</f>
        <v/>
      </c>
      <c r="J1975" s="82" t="n"/>
      <c r="K1975" s="82" t="n"/>
      <c r="L1975" s="82" t="n"/>
      <c r="M1975" s="83" t="n"/>
      <c r="N1975" s="83" t="n"/>
      <c r="O1975" s="66">
        <f>IF(OR($M1975="",$N1975=""),"",$N1975-$M1975)</f>
        <v/>
      </c>
      <c r="P1975" s="84">
        <f>IF($J1975="","",IF($L1975&lt;&gt;"",$L1975-$J1975,TODAY()-$J1975))</f>
        <v/>
      </c>
      <c r="Q1975" s="85">
        <f>IF(OR($K1975="",$H1975="Completed",$H1975="Cancelled"),"",IF(AND($K1975&lt;TODAY(),$H1975&lt;&gt;"Completed",$H1975&lt;&gt;"Cancelled"),"Overdue","On Track"))</f>
        <v/>
      </c>
      <c r="R1975" s="81" t="n"/>
      <c r="S1975" s="81">
        <f>IF($B1975="","",IFERROR(INDEX(Task_Tracker!$AA$5:$AA$1004,MATCH($B1975,Task_Tracker!$A$5:$A$1004,0)),""))</f>
        <v/>
      </c>
      <c r="T1975" s="81">
        <f>IF($B1975="","",IFERROR(INDEX(Task_Tracker!$AB$5:$AB$1004,MATCH($B1975,Task_Tracker!$A$5:$A$1004,0)),""))</f>
        <v/>
      </c>
      <c r="U1975" s="78">
        <f>IF($B1975="","",IFERROR(INDEX(Task_Tracker!$F$5:$F$1004,MATCH($B1975,Task_Tracker!$A$5:$A$1004,0)),""))</f>
        <v/>
      </c>
      <c r="V1975" s="78">
        <f>IF($B1975="","",IFERROR(INDEX(Task_Tracker!$I$5:$I$1004,MATCH($B1975,Task_Tracker!$A$5:$A$1004,0)),""))</f>
        <v/>
      </c>
      <c r="W1975" s="81">
        <f>IF(OR($D1975="",$B1975=""),"",$D1975&amp;" | "&amp;$B1975)</f>
        <v/>
      </c>
      <c r="X1975" s="85">
        <f>IF($K1975="","",TEXT($K1975,"yyyy-mm"))</f>
        <v/>
      </c>
      <c r="Y1975" s="81">
        <f>IF(OR($A1975="",$T1975=""),"","Included in Manager_Report")</f>
        <v/>
      </c>
    </row>
    <row r="1976" ht="15" customHeight="1" s="40">
      <c r="A1976" s="65">
        <f>IF(COUNTA(B1976:G1976)=0,"","STP-"&amp;TEXT(ROW()-4,"0000"))</f>
        <v/>
      </c>
      <c r="B1976" s="78" t="n"/>
      <c r="C1976" s="67">
        <f>IF($B1976="","",IFERROR(INDEX(Task_Tracker!$D$5:$D$1004,MATCH($B1976,Task_Tracker!$A$5:$A$1004,0)),""))</f>
        <v/>
      </c>
      <c r="D1976" s="67">
        <f>IF($B1976="","",IFERROR(INDEX(Task_Tracker!$B$5:$B$1004,MATCH($B1976,Task_Tracker!$A$5:$A$1004,0)),""))</f>
        <v/>
      </c>
      <c r="E1976" s="81" t="n"/>
      <c r="F1976" s="81" t="n"/>
      <c r="G1976" s="78" t="n"/>
      <c r="H1976" s="78" t="n"/>
      <c r="I1976" s="67">
        <f>IF($H1976="","",IFERROR(INDEX(Action_Status_Map!$B$5:$B$11,MATCH($H1976,Action_Status_Map!$A$5:$A$11,0)),""))</f>
        <v/>
      </c>
      <c r="J1976" s="82" t="n"/>
      <c r="K1976" s="82" t="n"/>
      <c r="L1976" s="82" t="n"/>
      <c r="M1976" s="83" t="n"/>
      <c r="N1976" s="83" t="n"/>
      <c r="O1976" s="66">
        <f>IF(OR($M1976="",$N1976=""),"",$N1976-$M1976)</f>
        <v/>
      </c>
      <c r="P1976" s="84">
        <f>IF($J1976="","",IF($L1976&lt;&gt;"",$L1976-$J1976,TODAY()-$J1976))</f>
        <v/>
      </c>
      <c r="Q1976" s="85">
        <f>IF(OR($K1976="",$H1976="Completed",$H1976="Cancelled"),"",IF(AND($K1976&lt;TODAY(),$H1976&lt;&gt;"Completed",$H1976&lt;&gt;"Cancelled"),"Overdue","On Track"))</f>
        <v/>
      </c>
      <c r="R1976" s="81" t="n"/>
      <c r="S1976" s="81">
        <f>IF($B1976="","",IFERROR(INDEX(Task_Tracker!$AA$5:$AA$1004,MATCH($B1976,Task_Tracker!$A$5:$A$1004,0)),""))</f>
        <v/>
      </c>
      <c r="T1976" s="81">
        <f>IF($B1976="","",IFERROR(INDEX(Task_Tracker!$AB$5:$AB$1004,MATCH($B1976,Task_Tracker!$A$5:$A$1004,0)),""))</f>
        <v/>
      </c>
      <c r="U1976" s="78">
        <f>IF($B1976="","",IFERROR(INDEX(Task_Tracker!$F$5:$F$1004,MATCH($B1976,Task_Tracker!$A$5:$A$1004,0)),""))</f>
        <v/>
      </c>
      <c r="V1976" s="78">
        <f>IF($B1976="","",IFERROR(INDEX(Task_Tracker!$I$5:$I$1004,MATCH($B1976,Task_Tracker!$A$5:$A$1004,0)),""))</f>
        <v/>
      </c>
      <c r="W1976" s="81">
        <f>IF(OR($D1976="",$B1976=""),"",$D1976&amp;" | "&amp;$B1976)</f>
        <v/>
      </c>
      <c r="X1976" s="85">
        <f>IF($K1976="","",TEXT($K1976,"yyyy-mm"))</f>
        <v/>
      </c>
      <c r="Y1976" s="81">
        <f>IF(OR($A1976="",$T1976=""),"","Included in Manager_Report")</f>
        <v/>
      </c>
    </row>
    <row r="1977" ht="15" customHeight="1" s="40">
      <c r="A1977" s="65">
        <f>IF(COUNTA(B1977:G1977)=0,"","STP-"&amp;TEXT(ROW()-4,"0000"))</f>
        <v/>
      </c>
      <c r="B1977" s="78" t="n"/>
      <c r="C1977" s="67">
        <f>IF($B1977="","",IFERROR(INDEX(Task_Tracker!$D$5:$D$1004,MATCH($B1977,Task_Tracker!$A$5:$A$1004,0)),""))</f>
        <v/>
      </c>
      <c r="D1977" s="67">
        <f>IF($B1977="","",IFERROR(INDEX(Task_Tracker!$B$5:$B$1004,MATCH($B1977,Task_Tracker!$A$5:$A$1004,0)),""))</f>
        <v/>
      </c>
      <c r="E1977" s="81" t="n"/>
      <c r="F1977" s="81" t="n"/>
      <c r="G1977" s="78" t="n"/>
      <c r="H1977" s="78" t="n"/>
      <c r="I1977" s="67">
        <f>IF($H1977="","",IFERROR(INDEX(Action_Status_Map!$B$5:$B$11,MATCH($H1977,Action_Status_Map!$A$5:$A$11,0)),""))</f>
        <v/>
      </c>
      <c r="J1977" s="82" t="n"/>
      <c r="K1977" s="82" t="n"/>
      <c r="L1977" s="82" t="n"/>
      <c r="M1977" s="83" t="n"/>
      <c r="N1977" s="83" t="n"/>
      <c r="O1977" s="66">
        <f>IF(OR($M1977="",$N1977=""),"",$N1977-$M1977)</f>
        <v/>
      </c>
      <c r="P1977" s="84">
        <f>IF($J1977="","",IF($L1977&lt;&gt;"",$L1977-$J1977,TODAY()-$J1977))</f>
        <v/>
      </c>
      <c r="Q1977" s="85">
        <f>IF(OR($K1977="",$H1977="Completed",$H1977="Cancelled"),"",IF(AND($K1977&lt;TODAY(),$H1977&lt;&gt;"Completed",$H1977&lt;&gt;"Cancelled"),"Overdue","On Track"))</f>
        <v/>
      </c>
      <c r="R1977" s="81" t="n"/>
      <c r="S1977" s="81">
        <f>IF($B1977="","",IFERROR(INDEX(Task_Tracker!$AA$5:$AA$1004,MATCH($B1977,Task_Tracker!$A$5:$A$1004,0)),""))</f>
        <v/>
      </c>
      <c r="T1977" s="81">
        <f>IF($B1977="","",IFERROR(INDEX(Task_Tracker!$AB$5:$AB$1004,MATCH($B1977,Task_Tracker!$A$5:$A$1004,0)),""))</f>
        <v/>
      </c>
      <c r="U1977" s="78">
        <f>IF($B1977="","",IFERROR(INDEX(Task_Tracker!$F$5:$F$1004,MATCH($B1977,Task_Tracker!$A$5:$A$1004,0)),""))</f>
        <v/>
      </c>
      <c r="V1977" s="78">
        <f>IF($B1977="","",IFERROR(INDEX(Task_Tracker!$I$5:$I$1004,MATCH($B1977,Task_Tracker!$A$5:$A$1004,0)),""))</f>
        <v/>
      </c>
      <c r="W1977" s="81">
        <f>IF(OR($D1977="",$B1977=""),"",$D1977&amp;" | "&amp;$B1977)</f>
        <v/>
      </c>
      <c r="X1977" s="85">
        <f>IF($K1977="","",TEXT($K1977,"yyyy-mm"))</f>
        <v/>
      </c>
      <c r="Y1977" s="81">
        <f>IF(OR($A1977="",$T1977=""),"","Included in Manager_Report")</f>
        <v/>
      </c>
    </row>
    <row r="1978" ht="15" customHeight="1" s="40">
      <c r="A1978" s="65">
        <f>IF(COUNTA(B1978:G1978)=0,"","STP-"&amp;TEXT(ROW()-4,"0000"))</f>
        <v/>
      </c>
      <c r="B1978" s="78" t="n"/>
      <c r="C1978" s="67">
        <f>IF($B1978="","",IFERROR(INDEX(Task_Tracker!$D$5:$D$1004,MATCH($B1978,Task_Tracker!$A$5:$A$1004,0)),""))</f>
        <v/>
      </c>
      <c r="D1978" s="67">
        <f>IF($B1978="","",IFERROR(INDEX(Task_Tracker!$B$5:$B$1004,MATCH($B1978,Task_Tracker!$A$5:$A$1004,0)),""))</f>
        <v/>
      </c>
      <c r="E1978" s="81" t="n"/>
      <c r="F1978" s="81" t="n"/>
      <c r="G1978" s="78" t="n"/>
      <c r="H1978" s="78" t="n"/>
      <c r="I1978" s="67">
        <f>IF($H1978="","",IFERROR(INDEX(Action_Status_Map!$B$5:$B$11,MATCH($H1978,Action_Status_Map!$A$5:$A$11,0)),""))</f>
        <v/>
      </c>
      <c r="J1978" s="82" t="n"/>
      <c r="K1978" s="82" t="n"/>
      <c r="L1978" s="82" t="n"/>
      <c r="M1978" s="83" t="n"/>
      <c r="N1978" s="83" t="n"/>
      <c r="O1978" s="66">
        <f>IF(OR($M1978="",$N1978=""),"",$N1978-$M1978)</f>
        <v/>
      </c>
      <c r="P1978" s="84">
        <f>IF($J1978="","",IF($L1978&lt;&gt;"",$L1978-$J1978,TODAY()-$J1978))</f>
        <v/>
      </c>
      <c r="Q1978" s="85">
        <f>IF(OR($K1978="",$H1978="Completed",$H1978="Cancelled"),"",IF(AND($K1978&lt;TODAY(),$H1978&lt;&gt;"Completed",$H1978&lt;&gt;"Cancelled"),"Overdue","On Track"))</f>
        <v/>
      </c>
      <c r="R1978" s="81" t="n"/>
      <c r="S1978" s="81">
        <f>IF($B1978="","",IFERROR(INDEX(Task_Tracker!$AA$5:$AA$1004,MATCH($B1978,Task_Tracker!$A$5:$A$1004,0)),""))</f>
        <v/>
      </c>
      <c r="T1978" s="81">
        <f>IF($B1978="","",IFERROR(INDEX(Task_Tracker!$AB$5:$AB$1004,MATCH($B1978,Task_Tracker!$A$5:$A$1004,0)),""))</f>
        <v/>
      </c>
      <c r="U1978" s="78">
        <f>IF($B1978="","",IFERROR(INDEX(Task_Tracker!$F$5:$F$1004,MATCH($B1978,Task_Tracker!$A$5:$A$1004,0)),""))</f>
        <v/>
      </c>
      <c r="V1978" s="78">
        <f>IF($B1978="","",IFERROR(INDEX(Task_Tracker!$I$5:$I$1004,MATCH($B1978,Task_Tracker!$A$5:$A$1004,0)),""))</f>
        <v/>
      </c>
      <c r="W1978" s="81">
        <f>IF(OR($D1978="",$B1978=""),"",$D1978&amp;" | "&amp;$B1978)</f>
        <v/>
      </c>
      <c r="X1978" s="85">
        <f>IF($K1978="","",TEXT($K1978,"yyyy-mm"))</f>
        <v/>
      </c>
      <c r="Y1978" s="81">
        <f>IF(OR($A1978="",$T1978=""),"","Included in Manager_Report")</f>
        <v/>
      </c>
    </row>
    <row r="1979" ht="15" customHeight="1" s="40">
      <c r="A1979" s="65">
        <f>IF(COUNTA(B1979:G1979)=0,"","STP-"&amp;TEXT(ROW()-4,"0000"))</f>
        <v/>
      </c>
      <c r="B1979" s="78" t="n"/>
      <c r="C1979" s="67">
        <f>IF($B1979="","",IFERROR(INDEX(Task_Tracker!$D$5:$D$1004,MATCH($B1979,Task_Tracker!$A$5:$A$1004,0)),""))</f>
        <v/>
      </c>
      <c r="D1979" s="67">
        <f>IF($B1979="","",IFERROR(INDEX(Task_Tracker!$B$5:$B$1004,MATCH($B1979,Task_Tracker!$A$5:$A$1004,0)),""))</f>
        <v/>
      </c>
      <c r="E1979" s="81" t="n"/>
      <c r="F1979" s="81" t="n"/>
      <c r="G1979" s="78" t="n"/>
      <c r="H1979" s="78" t="n"/>
      <c r="I1979" s="67">
        <f>IF($H1979="","",IFERROR(INDEX(Action_Status_Map!$B$5:$B$11,MATCH($H1979,Action_Status_Map!$A$5:$A$11,0)),""))</f>
        <v/>
      </c>
      <c r="J1979" s="82" t="n"/>
      <c r="K1979" s="82" t="n"/>
      <c r="L1979" s="82" t="n"/>
      <c r="M1979" s="83" t="n"/>
      <c r="N1979" s="83" t="n"/>
      <c r="O1979" s="66">
        <f>IF(OR($M1979="",$N1979=""),"",$N1979-$M1979)</f>
        <v/>
      </c>
      <c r="P1979" s="84">
        <f>IF($J1979="","",IF($L1979&lt;&gt;"",$L1979-$J1979,TODAY()-$J1979))</f>
        <v/>
      </c>
      <c r="Q1979" s="85">
        <f>IF(OR($K1979="",$H1979="Completed",$H1979="Cancelled"),"",IF(AND($K1979&lt;TODAY(),$H1979&lt;&gt;"Completed",$H1979&lt;&gt;"Cancelled"),"Overdue","On Track"))</f>
        <v/>
      </c>
      <c r="R1979" s="81" t="n"/>
      <c r="S1979" s="81">
        <f>IF($B1979="","",IFERROR(INDEX(Task_Tracker!$AA$5:$AA$1004,MATCH($B1979,Task_Tracker!$A$5:$A$1004,0)),""))</f>
        <v/>
      </c>
      <c r="T1979" s="81">
        <f>IF($B1979="","",IFERROR(INDEX(Task_Tracker!$AB$5:$AB$1004,MATCH($B1979,Task_Tracker!$A$5:$A$1004,0)),""))</f>
        <v/>
      </c>
      <c r="U1979" s="78">
        <f>IF($B1979="","",IFERROR(INDEX(Task_Tracker!$F$5:$F$1004,MATCH($B1979,Task_Tracker!$A$5:$A$1004,0)),""))</f>
        <v/>
      </c>
      <c r="V1979" s="78">
        <f>IF($B1979="","",IFERROR(INDEX(Task_Tracker!$I$5:$I$1004,MATCH($B1979,Task_Tracker!$A$5:$A$1004,0)),""))</f>
        <v/>
      </c>
      <c r="W1979" s="81">
        <f>IF(OR($D1979="",$B1979=""),"",$D1979&amp;" | "&amp;$B1979)</f>
        <v/>
      </c>
      <c r="X1979" s="85">
        <f>IF($K1979="","",TEXT($K1979,"yyyy-mm"))</f>
        <v/>
      </c>
      <c r="Y1979" s="81">
        <f>IF(OR($A1979="",$T1979=""),"","Included in Manager_Report")</f>
        <v/>
      </c>
    </row>
    <row r="1980" ht="15" customHeight="1" s="40">
      <c r="A1980" s="65">
        <f>IF(COUNTA(B1980:G1980)=0,"","STP-"&amp;TEXT(ROW()-4,"0000"))</f>
        <v/>
      </c>
      <c r="B1980" s="78" t="n"/>
      <c r="C1980" s="67">
        <f>IF($B1980="","",IFERROR(INDEX(Task_Tracker!$D$5:$D$1004,MATCH($B1980,Task_Tracker!$A$5:$A$1004,0)),""))</f>
        <v/>
      </c>
      <c r="D1980" s="67">
        <f>IF($B1980="","",IFERROR(INDEX(Task_Tracker!$B$5:$B$1004,MATCH($B1980,Task_Tracker!$A$5:$A$1004,0)),""))</f>
        <v/>
      </c>
      <c r="E1980" s="81" t="n"/>
      <c r="F1980" s="81" t="n"/>
      <c r="G1980" s="78" t="n"/>
      <c r="H1980" s="78" t="n"/>
      <c r="I1980" s="67">
        <f>IF($H1980="","",IFERROR(INDEX(Action_Status_Map!$B$5:$B$11,MATCH($H1980,Action_Status_Map!$A$5:$A$11,0)),""))</f>
        <v/>
      </c>
      <c r="J1980" s="82" t="n"/>
      <c r="K1980" s="82" t="n"/>
      <c r="L1980" s="82" t="n"/>
      <c r="M1980" s="83" t="n"/>
      <c r="N1980" s="83" t="n"/>
      <c r="O1980" s="66">
        <f>IF(OR($M1980="",$N1980=""),"",$N1980-$M1980)</f>
        <v/>
      </c>
      <c r="P1980" s="84">
        <f>IF($J1980="","",IF($L1980&lt;&gt;"",$L1980-$J1980,TODAY()-$J1980))</f>
        <v/>
      </c>
      <c r="Q1980" s="85">
        <f>IF(OR($K1980="",$H1980="Completed",$H1980="Cancelled"),"",IF(AND($K1980&lt;TODAY(),$H1980&lt;&gt;"Completed",$H1980&lt;&gt;"Cancelled"),"Overdue","On Track"))</f>
        <v/>
      </c>
      <c r="R1980" s="81" t="n"/>
      <c r="S1980" s="81">
        <f>IF($B1980="","",IFERROR(INDEX(Task_Tracker!$AA$5:$AA$1004,MATCH($B1980,Task_Tracker!$A$5:$A$1004,0)),""))</f>
        <v/>
      </c>
      <c r="T1980" s="81">
        <f>IF($B1980="","",IFERROR(INDEX(Task_Tracker!$AB$5:$AB$1004,MATCH($B1980,Task_Tracker!$A$5:$A$1004,0)),""))</f>
        <v/>
      </c>
      <c r="U1980" s="78">
        <f>IF($B1980="","",IFERROR(INDEX(Task_Tracker!$F$5:$F$1004,MATCH($B1980,Task_Tracker!$A$5:$A$1004,0)),""))</f>
        <v/>
      </c>
      <c r="V1980" s="78">
        <f>IF($B1980="","",IFERROR(INDEX(Task_Tracker!$I$5:$I$1004,MATCH($B1980,Task_Tracker!$A$5:$A$1004,0)),""))</f>
        <v/>
      </c>
      <c r="W1980" s="81">
        <f>IF(OR($D1980="",$B1980=""),"",$D1980&amp;" | "&amp;$B1980)</f>
        <v/>
      </c>
      <c r="X1980" s="85">
        <f>IF($K1980="","",TEXT($K1980,"yyyy-mm"))</f>
        <v/>
      </c>
      <c r="Y1980" s="81">
        <f>IF(OR($A1980="",$T1980=""),"","Included in Manager_Report")</f>
        <v/>
      </c>
    </row>
    <row r="1981" ht="15" customHeight="1" s="40">
      <c r="A1981" s="65">
        <f>IF(COUNTA(B1981:G1981)=0,"","STP-"&amp;TEXT(ROW()-4,"0000"))</f>
        <v/>
      </c>
      <c r="B1981" s="78" t="n"/>
      <c r="C1981" s="67">
        <f>IF($B1981="","",IFERROR(INDEX(Task_Tracker!$D$5:$D$1004,MATCH($B1981,Task_Tracker!$A$5:$A$1004,0)),""))</f>
        <v/>
      </c>
      <c r="D1981" s="67">
        <f>IF($B1981="","",IFERROR(INDEX(Task_Tracker!$B$5:$B$1004,MATCH($B1981,Task_Tracker!$A$5:$A$1004,0)),""))</f>
        <v/>
      </c>
      <c r="E1981" s="81" t="n"/>
      <c r="F1981" s="81" t="n"/>
      <c r="G1981" s="78" t="n"/>
      <c r="H1981" s="78" t="n"/>
      <c r="I1981" s="67">
        <f>IF($H1981="","",IFERROR(INDEX(Action_Status_Map!$B$5:$B$11,MATCH($H1981,Action_Status_Map!$A$5:$A$11,0)),""))</f>
        <v/>
      </c>
      <c r="J1981" s="82" t="n"/>
      <c r="K1981" s="82" t="n"/>
      <c r="L1981" s="82" t="n"/>
      <c r="M1981" s="83" t="n"/>
      <c r="N1981" s="83" t="n"/>
      <c r="O1981" s="66">
        <f>IF(OR($M1981="",$N1981=""),"",$N1981-$M1981)</f>
        <v/>
      </c>
      <c r="P1981" s="84">
        <f>IF($J1981="","",IF($L1981&lt;&gt;"",$L1981-$J1981,TODAY()-$J1981))</f>
        <v/>
      </c>
      <c r="Q1981" s="85">
        <f>IF(OR($K1981="",$H1981="Completed",$H1981="Cancelled"),"",IF(AND($K1981&lt;TODAY(),$H1981&lt;&gt;"Completed",$H1981&lt;&gt;"Cancelled"),"Overdue","On Track"))</f>
        <v/>
      </c>
      <c r="R1981" s="81" t="n"/>
      <c r="S1981" s="81">
        <f>IF($B1981="","",IFERROR(INDEX(Task_Tracker!$AA$5:$AA$1004,MATCH($B1981,Task_Tracker!$A$5:$A$1004,0)),""))</f>
        <v/>
      </c>
      <c r="T1981" s="81">
        <f>IF($B1981="","",IFERROR(INDEX(Task_Tracker!$AB$5:$AB$1004,MATCH($B1981,Task_Tracker!$A$5:$A$1004,0)),""))</f>
        <v/>
      </c>
      <c r="U1981" s="78">
        <f>IF($B1981="","",IFERROR(INDEX(Task_Tracker!$F$5:$F$1004,MATCH($B1981,Task_Tracker!$A$5:$A$1004,0)),""))</f>
        <v/>
      </c>
      <c r="V1981" s="78">
        <f>IF($B1981="","",IFERROR(INDEX(Task_Tracker!$I$5:$I$1004,MATCH($B1981,Task_Tracker!$A$5:$A$1004,0)),""))</f>
        <v/>
      </c>
      <c r="W1981" s="81">
        <f>IF(OR($D1981="",$B1981=""),"",$D1981&amp;" | "&amp;$B1981)</f>
        <v/>
      </c>
      <c r="X1981" s="85">
        <f>IF($K1981="","",TEXT($K1981,"yyyy-mm"))</f>
        <v/>
      </c>
      <c r="Y1981" s="81">
        <f>IF(OR($A1981="",$T1981=""),"","Included in Manager_Report")</f>
        <v/>
      </c>
    </row>
    <row r="1982" ht="15" customHeight="1" s="40">
      <c r="A1982" s="65">
        <f>IF(COUNTA(B1982:G1982)=0,"","STP-"&amp;TEXT(ROW()-4,"0000"))</f>
        <v/>
      </c>
      <c r="B1982" s="78" t="n"/>
      <c r="C1982" s="67">
        <f>IF($B1982="","",IFERROR(INDEX(Task_Tracker!$D$5:$D$1004,MATCH($B1982,Task_Tracker!$A$5:$A$1004,0)),""))</f>
        <v/>
      </c>
      <c r="D1982" s="67">
        <f>IF($B1982="","",IFERROR(INDEX(Task_Tracker!$B$5:$B$1004,MATCH($B1982,Task_Tracker!$A$5:$A$1004,0)),""))</f>
        <v/>
      </c>
      <c r="E1982" s="81" t="n"/>
      <c r="F1982" s="81" t="n"/>
      <c r="G1982" s="78" t="n"/>
      <c r="H1982" s="78" t="n"/>
      <c r="I1982" s="67">
        <f>IF($H1982="","",IFERROR(INDEX(Action_Status_Map!$B$5:$B$11,MATCH($H1982,Action_Status_Map!$A$5:$A$11,0)),""))</f>
        <v/>
      </c>
      <c r="J1982" s="82" t="n"/>
      <c r="K1982" s="82" t="n"/>
      <c r="L1982" s="82" t="n"/>
      <c r="M1982" s="83" t="n"/>
      <c r="N1982" s="83" t="n"/>
      <c r="O1982" s="66">
        <f>IF(OR($M1982="",$N1982=""),"",$N1982-$M1982)</f>
        <v/>
      </c>
      <c r="P1982" s="84">
        <f>IF($J1982="","",IF($L1982&lt;&gt;"",$L1982-$J1982,TODAY()-$J1982))</f>
        <v/>
      </c>
      <c r="Q1982" s="85">
        <f>IF(OR($K1982="",$H1982="Completed",$H1982="Cancelled"),"",IF(AND($K1982&lt;TODAY(),$H1982&lt;&gt;"Completed",$H1982&lt;&gt;"Cancelled"),"Overdue","On Track"))</f>
        <v/>
      </c>
      <c r="R1982" s="81" t="n"/>
      <c r="S1982" s="81">
        <f>IF($B1982="","",IFERROR(INDEX(Task_Tracker!$AA$5:$AA$1004,MATCH($B1982,Task_Tracker!$A$5:$A$1004,0)),""))</f>
        <v/>
      </c>
      <c r="T1982" s="81">
        <f>IF($B1982="","",IFERROR(INDEX(Task_Tracker!$AB$5:$AB$1004,MATCH($B1982,Task_Tracker!$A$5:$A$1004,0)),""))</f>
        <v/>
      </c>
      <c r="U1982" s="78">
        <f>IF($B1982="","",IFERROR(INDEX(Task_Tracker!$F$5:$F$1004,MATCH($B1982,Task_Tracker!$A$5:$A$1004,0)),""))</f>
        <v/>
      </c>
      <c r="V1982" s="78">
        <f>IF($B1982="","",IFERROR(INDEX(Task_Tracker!$I$5:$I$1004,MATCH($B1982,Task_Tracker!$A$5:$A$1004,0)),""))</f>
        <v/>
      </c>
      <c r="W1982" s="81">
        <f>IF(OR($D1982="",$B1982=""),"",$D1982&amp;" | "&amp;$B1982)</f>
        <v/>
      </c>
      <c r="X1982" s="85">
        <f>IF($K1982="","",TEXT($K1982,"yyyy-mm"))</f>
        <v/>
      </c>
      <c r="Y1982" s="81">
        <f>IF(OR($A1982="",$T1982=""),"","Included in Manager_Report")</f>
        <v/>
      </c>
    </row>
    <row r="1983" ht="15" customHeight="1" s="40">
      <c r="A1983" s="65">
        <f>IF(COUNTA(B1983:G1983)=0,"","STP-"&amp;TEXT(ROW()-4,"0000"))</f>
        <v/>
      </c>
      <c r="B1983" s="78" t="n"/>
      <c r="C1983" s="67">
        <f>IF($B1983="","",IFERROR(INDEX(Task_Tracker!$D$5:$D$1004,MATCH($B1983,Task_Tracker!$A$5:$A$1004,0)),""))</f>
        <v/>
      </c>
      <c r="D1983" s="67">
        <f>IF($B1983="","",IFERROR(INDEX(Task_Tracker!$B$5:$B$1004,MATCH($B1983,Task_Tracker!$A$5:$A$1004,0)),""))</f>
        <v/>
      </c>
      <c r="E1983" s="81" t="n"/>
      <c r="F1983" s="81" t="n"/>
      <c r="G1983" s="78" t="n"/>
      <c r="H1983" s="78" t="n"/>
      <c r="I1983" s="67">
        <f>IF($H1983="","",IFERROR(INDEX(Action_Status_Map!$B$5:$B$11,MATCH($H1983,Action_Status_Map!$A$5:$A$11,0)),""))</f>
        <v/>
      </c>
      <c r="J1983" s="82" t="n"/>
      <c r="K1983" s="82" t="n"/>
      <c r="L1983" s="82" t="n"/>
      <c r="M1983" s="83" t="n"/>
      <c r="N1983" s="83" t="n"/>
      <c r="O1983" s="66">
        <f>IF(OR($M1983="",$N1983=""),"",$N1983-$M1983)</f>
        <v/>
      </c>
      <c r="P1983" s="84">
        <f>IF($J1983="","",IF($L1983&lt;&gt;"",$L1983-$J1983,TODAY()-$J1983))</f>
        <v/>
      </c>
      <c r="Q1983" s="85">
        <f>IF(OR($K1983="",$H1983="Completed",$H1983="Cancelled"),"",IF(AND($K1983&lt;TODAY(),$H1983&lt;&gt;"Completed",$H1983&lt;&gt;"Cancelled"),"Overdue","On Track"))</f>
        <v/>
      </c>
      <c r="R1983" s="81" t="n"/>
      <c r="S1983" s="81">
        <f>IF($B1983="","",IFERROR(INDEX(Task_Tracker!$AA$5:$AA$1004,MATCH($B1983,Task_Tracker!$A$5:$A$1004,0)),""))</f>
        <v/>
      </c>
      <c r="T1983" s="81">
        <f>IF($B1983="","",IFERROR(INDEX(Task_Tracker!$AB$5:$AB$1004,MATCH($B1983,Task_Tracker!$A$5:$A$1004,0)),""))</f>
        <v/>
      </c>
      <c r="U1983" s="78">
        <f>IF($B1983="","",IFERROR(INDEX(Task_Tracker!$F$5:$F$1004,MATCH($B1983,Task_Tracker!$A$5:$A$1004,0)),""))</f>
        <v/>
      </c>
      <c r="V1983" s="78">
        <f>IF($B1983="","",IFERROR(INDEX(Task_Tracker!$I$5:$I$1004,MATCH($B1983,Task_Tracker!$A$5:$A$1004,0)),""))</f>
        <v/>
      </c>
      <c r="W1983" s="81">
        <f>IF(OR($D1983="",$B1983=""),"",$D1983&amp;" | "&amp;$B1983)</f>
        <v/>
      </c>
      <c r="X1983" s="85">
        <f>IF($K1983="","",TEXT($K1983,"yyyy-mm"))</f>
        <v/>
      </c>
      <c r="Y1983" s="81">
        <f>IF(OR($A1983="",$T1983=""),"","Included in Manager_Report")</f>
        <v/>
      </c>
    </row>
    <row r="1984" ht="15" customHeight="1" s="40">
      <c r="A1984" s="65">
        <f>IF(COUNTA(B1984:G1984)=0,"","STP-"&amp;TEXT(ROW()-4,"0000"))</f>
        <v/>
      </c>
      <c r="B1984" s="78" t="n"/>
      <c r="C1984" s="67">
        <f>IF($B1984="","",IFERROR(INDEX(Task_Tracker!$D$5:$D$1004,MATCH($B1984,Task_Tracker!$A$5:$A$1004,0)),""))</f>
        <v/>
      </c>
      <c r="D1984" s="67">
        <f>IF($B1984="","",IFERROR(INDEX(Task_Tracker!$B$5:$B$1004,MATCH($B1984,Task_Tracker!$A$5:$A$1004,0)),""))</f>
        <v/>
      </c>
      <c r="E1984" s="81" t="n"/>
      <c r="F1984" s="81" t="n"/>
      <c r="G1984" s="78" t="n"/>
      <c r="H1984" s="78" t="n"/>
      <c r="I1984" s="67">
        <f>IF($H1984="","",IFERROR(INDEX(Action_Status_Map!$B$5:$B$11,MATCH($H1984,Action_Status_Map!$A$5:$A$11,0)),""))</f>
        <v/>
      </c>
      <c r="J1984" s="82" t="n"/>
      <c r="K1984" s="82" t="n"/>
      <c r="L1984" s="82" t="n"/>
      <c r="M1984" s="83" t="n"/>
      <c r="N1984" s="83" t="n"/>
      <c r="O1984" s="66">
        <f>IF(OR($M1984="",$N1984=""),"",$N1984-$M1984)</f>
        <v/>
      </c>
      <c r="P1984" s="84">
        <f>IF($J1984="","",IF($L1984&lt;&gt;"",$L1984-$J1984,TODAY()-$J1984))</f>
        <v/>
      </c>
      <c r="Q1984" s="85">
        <f>IF(OR($K1984="",$H1984="Completed",$H1984="Cancelled"),"",IF(AND($K1984&lt;TODAY(),$H1984&lt;&gt;"Completed",$H1984&lt;&gt;"Cancelled"),"Overdue","On Track"))</f>
        <v/>
      </c>
      <c r="R1984" s="81" t="n"/>
      <c r="S1984" s="81">
        <f>IF($B1984="","",IFERROR(INDEX(Task_Tracker!$AA$5:$AA$1004,MATCH($B1984,Task_Tracker!$A$5:$A$1004,0)),""))</f>
        <v/>
      </c>
      <c r="T1984" s="81">
        <f>IF($B1984="","",IFERROR(INDEX(Task_Tracker!$AB$5:$AB$1004,MATCH($B1984,Task_Tracker!$A$5:$A$1004,0)),""))</f>
        <v/>
      </c>
      <c r="U1984" s="78">
        <f>IF($B1984="","",IFERROR(INDEX(Task_Tracker!$F$5:$F$1004,MATCH($B1984,Task_Tracker!$A$5:$A$1004,0)),""))</f>
        <v/>
      </c>
      <c r="V1984" s="78">
        <f>IF($B1984="","",IFERROR(INDEX(Task_Tracker!$I$5:$I$1004,MATCH($B1984,Task_Tracker!$A$5:$A$1004,0)),""))</f>
        <v/>
      </c>
      <c r="W1984" s="81">
        <f>IF(OR($D1984="",$B1984=""),"",$D1984&amp;" | "&amp;$B1984)</f>
        <v/>
      </c>
      <c r="X1984" s="85">
        <f>IF($K1984="","",TEXT($K1984,"yyyy-mm"))</f>
        <v/>
      </c>
      <c r="Y1984" s="81">
        <f>IF(OR($A1984="",$T1984=""),"","Included in Manager_Report")</f>
        <v/>
      </c>
    </row>
    <row r="1985" ht="15" customHeight="1" s="40">
      <c r="A1985" s="65">
        <f>IF(COUNTA(B1985:G1985)=0,"","STP-"&amp;TEXT(ROW()-4,"0000"))</f>
        <v/>
      </c>
      <c r="B1985" s="78" t="n"/>
      <c r="C1985" s="67">
        <f>IF($B1985="","",IFERROR(INDEX(Task_Tracker!$D$5:$D$1004,MATCH($B1985,Task_Tracker!$A$5:$A$1004,0)),""))</f>
        <v/>
      </c>
      <c r="D1985" s="67">
        <f>IF($B1985="","",IFERROR(INDEX(Task_Tracker!$B$5:$B$1004,MATCH($B1985,Task_Tracker!$A$5:$A$1004,0)),""))</f>
        <v/>
      </c>
      <c r="E1985" s="81" t="n"/>
      <c r="F1985" s="81" t="n"/>
      <c r="G1985" s="78" t="n"/>
      <c r="H1985" s="78" t="n"/>
      <c r="I1985" s="67">
        <f>IF($H1985="","",IFERROR(INDEX(Action_Status_Map!$B$5:$B$11,MATCH($H1985,Action_Status_Map!$A$5:$A$11,0)),""))</f>
        <v/>
      </c>
      <c r="J1985" s="82" t="n"/>
      <c r="K1985" s="82" t="n"/>
      <c r="L1985" s="82" t="n"/>
      <c r="M1985" s="83" t="n"/>
      <c r="N1985" s="83" t="n"/>
      <c r="O1985" s="66">
        <f>IF(OR($M1985="",$N1985=""),"",$N1985-$M1985)</f>
        <v/>
      </c>
      <c r="P1985" s="84">
        <f>IF($J1985="","",IF($L1985&lt;&gt;"",$L1985-$J1985,TODAY()-$J1985))</f>
        <v/>
      </c>
      <c r="Q1985" s="85">
        <f>IF(OR($K1985="",$H1985="Completed",$H1985="Cancelled"),"",IF(AND($K1985&lt;TODAY(),$H1985&lt;&gt;"Completed",$H1985&lt;&gt;"Cancelled"),"Overdue","On Track"))</f>
        <v/>
      </c>
      <c r="R1985" s="81" t="n"/>
      <c r="S1985" s="81">
        <f>IF($B1985="","",IFERROR(INDEX(Task_Tracker!$AA$5:$AA$1004,MATCH($B1985,Task_Tracker!$A$5:$A$1004,0)),""))</f>
        <v/>
      </c>
      <c r="T1985" s="81">
        <f>IF($B1985="","",IFERROR(INDEX(Task_Tracker!$AB$5:$AB$1004,MATCH($B1985,Task_Tracker!$A$5:$A$1004,0)),""))</f>
        <v/>
      </c>
      <c r="U1985" s="78">
        <f>IF($B1985="","",IFERROR(INDEX(Task_Tracker!$F$5:$F$1004,MATCH($B1985,Task_Tracker!$A$5:$A$1004,0)),""))</f>
        <v/>
      </c>
      <c r="V1985" s="78">
        <f>IF($B1985="","",IFERROR(INDEX(Task_Tracker!$I$5:$I$1004,MATCH($B1985,Task_Tracker!$A$5:$A$1004,0)),""))</f>
        <v/>
      </c>
      <c r="W1985" s="81">
        <f>IF(OR($D1985="",$B1985=""),"",$D1985&amp;" | "&amp;$B1985)</f>
        <v/>
      </c>
      <c r="X1985" s="85">
        <f>IF($K1985="","",TEXT($K1985,"yyyy-mm"))</f>
        <v/>
      </c>
      <c r="Y1985" s="81">
        <f>IF(OR($A1985="",$T1985=""),"","Included in Manager_Report")</f>
        <v/>
      </c>
    </row>
    <row r="1986" ht="15" customHeight="1" s="40">
      <c r="A1986" s="65">
        <f>IF(COUNTA(B1986:G1986)=0,"","STP-"&amp;TEXT(ROW()-4,"0000"))</f>
        <v/>
      </c>
      <c r="B1986" s="78" t="n"/>
      <c r="C1986" s="67">
        <f>IF($B1986="","",IFERROR(INDEX(Task_Tracker!$D$5:$D$1004,MATCH($B1986,Task_Tracker!$A$5:$A$1004,0)),""))</f>
        <v/>
      </c>
      <c r="D1986" s="67">
        <f>IF($B1986="","",IFERROR(INDEX(Task_Tracker!$B$5:$B$1004,MATCH($B1986,Task_Tracker!$A$5:$A$1004,0)),""))</f>
        <v/>
      </c>
      <c r="E1986" s="81" t="n"/>
      <c r="F1986" s="81" t="n"/>
      <c r="G1986" s="78" t="n"/>
      <c r="H1986" s="78" t="n"/>
      <c r="I1986" s="67">
        <f>IF($H1986="","",IFERROR(INDEX(Action_Status_Map!$B$5:$B$11,MATCH($H1986,Action_Status_Map!$A$5:$A$11,0)),""))</f>
        <v/>
      </c>
      <c r="J1986" s="82" t="n"/>
      <c r="K1986" s="82" t="n"/>
      <c r="L1986" s="82" t="n"/>
      <c r="M1986" s="83" t="n"/>
      <c r="N1986" s="83" t="n"/>
      <c r="O1986" s="66">
        <f>IF(OR($M1986="",$N1986=""),"",$N1986-$M1986)</f>
        <v/>
      </c>
      <c r="P1986" s="84">
        <f>IF($J1986="","",IF($L1986&lt;&gt;"",$L1986-$J1986,TODAY()-$J1986))</f>
        <v/>
      </c>
      <c r="Q1986" s="85">
        <f>IF(OR($K1986="",$H1986="Completed",$H1986="Cancelled"),"",IF(AND($K1986&lt;TODAY(),$H1986&lt;&gt;"Completed",$H1986&lt;&gt;"Cancelled"),"Overdue","On Track"))</f>
        <v/>
      </c>
      <c r="R1986" s="81" t="n"/>
      <c r="S1986" s="81">
        <f>IF($B1986="","",IFERROR(INDEX(Task_Tracker!$AA$5:$AA$1004,MATCH($B1986,Task_Tracker!$A$5:$A$1004,0)),""))</f>
        <v/>
      </c>
      <c r="T1986" s="81">
        <f>IF($B1986="","",IFERROR(INDEX(Task_Tracker!$AB$5:$AB$1004,MATCH($B1986,Task_Tracker!$A$5:$A$1004,0)),""))</f>
        <v/>
      </c>
      <c r="U1986" s="78">
        <f>IF($B1986="","",IFERROR(INDEX(Task_Tracker!$F$5:$F$1004,MATCH($B1986,Task_Tracker!$A$5:$A$1004,0)),""))</f>
        <v/>
      </c>
      <c r="V1986" s="78">
        <f>IF($B1986="","",IFERROR(INDEX(Task_Tracker!$I$5:$I$1004,MATCH($B1986,Task_Tracker!$A$5:$A$1004,0)),""))</f>
        <v/>
      </c>
      <c r="W1986" s="81">
        <f>IF(OR($D1986="",$B1986=""),"",$D1986&amp;" | "&amp;$B1986)</f>
        <v/>
      </c>
      <c r="X1986" s="85">
        <f>IF($K1986="","",TEXT($K1986,"yyyy-mm"))</f>
        <v/>
      </c>
      <c r="Y1986" s="81">
        <f>IF(OR($A1986="",$T1986=""),"","Included in Manager_Report")</f>
        <v/>
      </c>
    </row>
    <row r="1987" ht="15" customHeight="1" s="40">
      <c r="A1987" s="65">
        <f>IF(COUNTA(B1987:G1987)=0,"","STP-"&amp;TEXT(ROW()-4,"0000"))</f>
        <v/>
      </c>
      <c r="B1987" s="78" t="n"/>
      <c r="C1987" s="67">
        <f>IF($B1987="","",IFERROR(INDEX(Task_Tracker!$D$5:$D$1004,MATCH($B1987,Task_Tracker!$A$5:$A$1004,0)),""))</f>
        <v/>
      </c>
      <c r="D1987" s="67">
        <f>IF($B1987="","",IFERROR(INDEX(Task_Tracker!$B$5:$B$1004,MATCH($B1987,Task_Tracker!$A$5:$A$1004,0)),""))</f>
        <v/>
      </c>
      <c r="E1987" s="81" t="n"/>
      <c r="F1987" s="81" t="n"/>
      <c r="G1987" s="78" t="n"/>
      <c r="H1987" s="78" t="n"/>
      <c r="I1987" s="67">
        <f>IF($H1987="","",IFERROR(INDEX(Action_Status_Map!$B$5:$B$11,MATCH($H1987,Action_Status_Map!$A$5:$A$11,0)),""))</f>
        <v/>
      </c>
      <c r="J1987" s="82" t="n"/>
      <c r="K1987" s="82" t="n"/>
      <c r="L1987" s="82" t="n"/>
      <c r="M1987" s="83" t="n"/>
      <c r="N1987" s="83" t="n"/>
      <c r="O1987" s="66">
        <f>IF(OR($M1987="",$N1987=""),"",$N1987-$M1987)</f>
        <v/>
      </c>
      <c r="P1987" s="84">
        <f>IF($J1987="","",IF($L1987&lt;&gt;"",$L1987-$J1987,TODAY()-$J1987))</f>
        <v/>
      </c>
      <c r="Q1987" s="85">
        <f>IF(OR($K1987="",$H1987="Completed",$H1987="Cancelled"),"",IF(AND($K1987&lt;TODAY(),$H1987&lt;&gt;"Completed",$H1987&lt;&gt;"Cancelled"),"Overdue","On Track"))</f>
        <v/>
      </c>
      <c r="R1987" s="81" t="n"/>
      <c r="S1987" s="81">
        <f>IF($B1987="","",IFERROR(INDEX(Task_Tracker!$AA$5:$AA$1004,MATCH($B1987,Task_Tracker!$A$5:$A$1004,0)),""))</f>
        <v/>
      </c>
      <c r="T1987" s="81">
        <f>IF($B1987="","",IFERROR(INDEX(Task_Tracker!$AB$5:$AB$1004,MATCH($B1987,Task_Tracker!$A$5:$A$1004,0)),""))</f>
        <v/>
      </c>
      <c r="U1987" s="78">
        <f>IF($B1987="","",IFERROR(INDEX(Task_Tracker!$F$5:$F$1004,MATCH($B1987,Task_Tracker!$A$5:$A$1004,0)),""))</f>
        <v/>
      </c>
      <c r="V1987" s="78">
        <f>IF($B1987="","",IFERROR(INDEX(Task_Tracker!$I$5:$I$1004,MATCH($B1987,Task_Tracker!$A$5:$A$1004,0)),""))</f>
        <v/>
      </c>
      <c r="W1987" s="81">
        <f>IF(OR($D1987="",$B1987=""),"",$D1987&amp;" | "&amp;$B1987)</f>
        <v/>
      </c>
      <c r="X1987" s="85">
        <f>IF($K1987="","",TEXT($K1987,"yyyy-mm"))</f>
        <v/>
      </c>
      <c r="Y1987" s="81">
        <f>IF(OR($A1987="",$T1987=""),"","Included in Manager_Report")</f>
        <v/>
      </c>
    </row>
    <row r="1988" ht="15" customHeight="1" s="40">
      <c r="A1988" s="65">
        <f>IF(COUNTA(B1988:G1988)=0,"","STP-"&amp;TEXT(ROW()-4,"0000"))</f>
        <v/>
      </c>
      <c r="B1988" s="78" t="n"/>
      <c r="C1988" s="67">
        <f>IF($B1988="","",IFERROR(INDEX(Task_Tracker!$D$5:$D$1004,MATCH($B1988,Task_Tracker!$A$5:$A$1004,0)),""))</f>
        <v/>
      </c>
      <c r="D1988" s="67">
        <f>IF($B1988="","",IFERROR(INDEX(Task_Tracker!$B$5:$B$1004,MATCH($B1988,Task_Tracker!$A$5:$A$1004,0)),""))</f>
        <v/>
      </c>
      <c r="E1988" s="81" t="n"/>
      <c r="F1988" s="81" t="n"/>
      <c r="G1988" s="78" t="n"/>
      <c r="H1988" s="78" t="n"/>
      <c r="I1988" s="67">
        <f>IF($H1988="","",IFERROR(INDEX(Action_Status_Map!$B$5:$B$11,MATCH($H1988,Action_Status_Map!$A$5:$A$11,0)),""))</f>
        <v/>
      </c>
      <c r="J1988" s="82" t="n"/>
      <c r="K1988" s="82" t="n"/>
      <c r="L1988" s="82" t="n"/>
      <c r="M1988" s="83" t="n"/>
      <c r="N1988" s="83" t="n"/>
      <c r="O1988" s="66">
        <f>IF(OR($M1988="",$N1988=""),"",$N1988-$M1988)</f>
        <v/>
      </c>
      <c r="P1988" s="84">
        <f>IF($J1988="","",IF($L1988&lt;&gt;"",$L1988-$J1988,TODAY()-$J1988))</f>
        <v/>
      </c>
      <c r="Q1988" s="85">
        <f>IF(OR($K1988="",$H1988="Completed",$H1988="Cancelled"),"",IF(AND($K1988&lt;TODAY(),$H1988&lt;&gt;"Completed",$H1988&lt;&gt;"Cancelled"),"Overdue","On Track"))</f>
        <v/>
      </c>
      <c r="R1988" s="81" t="n"/>
      <c r="S1988" s="81">
        <f>IF($B1988="","",IFERROR(INDEX(Task_Tracker!$AA$5:$AA$1004,MATCH($B1988,Task_Tracker!$A$5:$A$1004,0)),""))</f>
        <v/>
      </c>
      <c r="T1988" s="81">
        <f>IF($B1988="","",IFERROR(INDEX(Task_Tracker!$AB$5:$AB$1004,MATCH($B1988,Task_Tracker!$A$5:$A$1004,0)),""))</f>
        <v/>
      </c>
      <c r="U1988" s="78">
        <f>IF($B1988="","",IFERROR(INDEX(Task_Tracker!$F$5:$F$1004,MATCH($B1988,Task_Tracker!$A$5:$A$1004,0)),""))</f>
        <v/>
      </c>
      <c r="V1988" s="78">
        <f>IF($B1988="","",IFERROR(INDEX(Task_Tracker!$I$5:$I$1004,MATCH($B1988,Task_Tracker!$A$5:$A$1004,0)),""))</f>
        <v/>
      </c>
      <c r="W1988" s="81">
        <f>IF(OR($D1988="",$B1988=""),"",$D1988&amp;" | "&amp;$B1988)</f>
        <v/>
      </c>
      <c r="X1988" s="85">
        <f>IF($K1988="","",TEXT($K1988,"yyyy-mm"))</f>
        <v/>
      </c>
      <c r="Y1988" s="81">
        <f>IF(OR($A1988="",$T1988=""),"","Included in Manager_Report")</f>
        <v/>
      </c>
    </row>
    <row r="1989" ht="15" customHeight="1" s="40">
      <c r="A1989" s="65">
        <f>IF(COUNTA(B1989:G1989)=0,"","STP-"&amp;TEXT(ROW()-4,"0000"))</f>
        <v/>
      </c>
      <c r="B1989" s="78" t="n"/>
      <c r="C1989" s="67">
        <f>IF($B1989="","",IFERROR(INDEX(Task_Tracker!$D$5:$D$1004,MATCH($B1989,Task_Tracker!$A$5:$A$1004,0)),""))</f>
        <v/>
      </c>
      <c r="D1989" s="67">
        <f>IF($B1989="","",IFERROR(INDEX(Task_Tracker!$B$5:$B$1004,MATCH($B1989,Task_Tracker!$A$5:$A$1004,0)),""))</f>
        <v/>
      </c>
      <c r="E1989" s="81" t="n"/>
      <c r="F1989" s="81" t="n"/>
      <c r="G1989" s="78" t="n"/>
      <c r="H1989" s="78" t="n"/>
      <c r="I1989" s="67">
        <f>IF($H1989="","",IFERROR(INDEX(Action_Status_Map!$B$5:$B$11,MATCH($H1989,Action_Status_Map!$A$5:$A$11,0)),""))</f>
        <v/>
      </c>
      <c r="J1989" s="82" t="n"/>
      <c r="K1989" s="82" t="n"/>
      <c r="L1989" s="82" t="n"/>
      <c r="M1989" s="83" t="n"/>
      <c r="N1989" s="83" t="n"/>
      <c r="O1989" s="66">
        <f>IF(OR($M1989="",$N1989=""),"",$N1989-$M1989)</f>
        <v/>
      </c>
      <c r="P1989" s="84">
        <f>IF($J1989="","",IF($L1989&lt;&gt;"",$L1989-$J1989,TODAY()-$J1989))</f>
        <v/>
      </c>
      <c r="Q1989" s="85">
        <f>IF(OR($K1989="",$H1989="Completed",$H1989="Cancelled"),"",IF(AND($K1989&lt;TODAY(),$H1989&lt;&gt;"Completed",$H1989&lt;&gt;"Cancelled"),"Overdue","On Track"))</f>
        <v/>
      </c>
      <c r="R1989" s="81" t="n"/>
      <c r="S1989" s="81">
        <f>IF($B1989="","",IFERROR(INDEX(Task_Tracker!$AA$5:$AA$1004,MATCH($B1989,Task_Tracker!$A$5:$A$1004,0)),""))</f>
        <v/>
      </c>
      <c r="T1989" s="81">
        <f>IF($B1989="","",IFERROR(INDEX(Task_Tracker!$AB$5:$AB$1004,MATCH($B1989,Task_Tracker!$A$5:$A$1004,0)),""))</f>
        <v/>
      </c>
      <c r="U1989" s="78">
        <f>IF($B1989="","",IFERROR(INDEX(Task_Tracker!$F$5:$F$1004,MATCH($B1989,Task_Tracker!$A$5:$A$1004,0)),""))</f>
        <v/>
      </c>
      <c r="V1989" s="78">
        <f>IF($B1989="","",IFERROR(INDEX(Task_Tracker!$I$5:$I$1004,MATCH($B1989,Task_Tracker!$A$5:$A$1004,0)),""))</f>
        <v/>
      </c>
      <c r="W1989" s="81">
        <f>IF(OR($D1989="",$B1989=""),"",$D1989&amp;" | "&amp;$B1989)</f>
        <v/>
      </c>
      <c r="X1989" s="85">
        <f>IF($K1989="","",TEXT($K1989,"yyyy-mm"))</f>
        <v/>
      </c>
      <c r="Y1989" s="81">
        <f>IF(OR($A1989="",$T1989=""),"","Included in Manager_Report")</f>
        <v/>
      </c>
    </row>
    <row r="1990" ht="15" customHeight="1" s="40">
      <c r="A1990" s="65">
        <f>IF(COUNTA(B1990:G1990)=0,"","STP-"&amp;TEXT(ROW()-4,"0000"))</f>
        <v/>
      </c>
      <c r="B1990" s="78" t="n"/>
      <c r="C1990" s="67">
        <f>IF($B1990="","",IFERROR(INDEX(Task_Tracker!$D$5:$D$1004,MATCH($B1990,Task_Tracker!$A$5:$A$1004,0)),""))</f>
        <v/>
      </c>
      <c r="D1990" s="67">
        <f>IF($B1990="","",IFERROR(INDEX(Task_Tracker!$B$5:$B$1004,MATCH($B1990,Task_Tracker!$A$5:$A$1004,0)),""))</f>
        <v/>
      </c>
      <c r="E1990" s="81" t="n"/>
      <c r="F1990" s="81" t="n"/>
      <c r="G1990" s="78" t="n"/>
      <c r="H1990" s="78" t="n"/>
      <c r="I1990" s="67">
        <f>IF($H1990="","",IFERROR(INDEX(Action_Status_Map!$B$5:$B$11,MATCH($H1990,Action_Status_Map!$A$5:$A$11,0)),""))</f>
        <v/>
      </c>
      <c r="J1990" s="82" t="n"/>
      <c r="K1990" s="82" t="n"/>
      <c r="L1990" s="82" t="n"/>
      <c r="M1990" s="83" t="n"/>
      <c r="N1990" s="83" t="n"/>
      <c r="O1990" s="66">
        <f>IF(OR($M1990="",$N1990=""),"",$N1990-$M1990)</f>
        <v/>
      </c>
      <c r="P1990" s="84">
        <f>IF($J1990="","",IF($L1990&lt;&gt;"",$L1990-$J1990,TODAY()-$J1990))</f>
        <v/>
      </c>
      <c r="Q1990" s="85">
        <f>IF(OR($K1990="",$H1990="Completed",$H1990="Cancelled"),"",IF(AND($K1990&lt;TODAY(),$H1990&lt;&gt;"Completed",$H1990&lt;&gt;"Cancelled"),"Overdue","On Track"))</f>
        <v/>
      </c>
      <c r="R1990" s="81" t="n"/>
      <c r="S1990" s="81">
        <f>IF($B1990="","",IFERROR(INDEX(Task_Tracker!$AA$5:$AA$1004,MATCH($B1990,Task_Tracker!$A$5:$A$1004,0)),""))</f>
        <v/>
      </c>
      <c r="T1990" s="81">
        <f>IF($B1990="","",IFERROR(INDEX(Task_Tracker!$AB$5:$AB$1004,MATCH($B1990,Task_Tracker!$A$5:$A$1004,0)),""))</f>
        <v/>
      </c>
      <c r="U1990" s="78">
        <f>IF($B1990="","",IFERROR(INDEX(Task_Tracker!$F$5:$F$1004,MATCH($B1990,Task_Tracker!$A$5:$A$1004,0)),""))</f>
        <v/>
      </c>
      <c r="V1990" s="78">
        <f>IF($B1990="","",IFERROR(INDEX(Task_Tracker!$I$5:$I$1004,MATCH($B1990,Task_Tracker!$A$5:$A$1004,0)),""))</f>
        <v/>
      </c>
      <c r="W1990" s="81">
        <f>IF(OR($D1990="",$B1990=""),"",$D1990&amp;" | "&amp;$B1990)</f>
        <v/>
      </c>
      <c r="X1990" s="85">
        <f>IF($K1990="","",TEXT($K1990,"yyyy-mm"))</f>
        <v/>
      </c>
      <c r="Y1990" s="81">
        <f>IF(OR($A1990="",$T1990=""),"","Included in Manager_Report")</f>
        <v/>
      </c>
    </row>
    <row r="1991" ht="15" customHeight="1" s="40">
      <c r="A1991" s="65">
        <f>IF(COUNTA(B1991:G1991)=0,"","STP-"&amp;TEXT(ROW()-4,"0000"))</f>
        <v/>
      </c>
      <c r="B1991" s="78" t="n"/>
      <c r="C1991" s="67">
        <f>IF($B1991="","",IFERROR(INDEX(Task_Tracker!$D$5:$D$1004,MATCH($B1991,Task_Tracker!$A$5:$A$1004,0)),""))</f>
        <v/>
      </c>
      <c r="D1991" s="67">
        <f>IF($B1991="","",IFERROR(INDEX(Task_Tracker!$B$5:$B$1004,MATCH($B1991,Task_Tracker!$A$5:$A$1004,0)),""))</f>
        <v/>
      </c>
      <c r="E1991" s="81" t="n"/>
      <c r="F1991" s="81" t="n"/>
      <c r="G1991" s="78" t="n"/>
      <c r="H1991" s="78" t="n"/>
      <c r="I1991" s="67">
        <f>IF($H1991="","",IFERROR(INDEX(Action_Status_Map!$B$5:$B$11,MATCH($H1991,Action_Status_Map!$A$5:$A$11,0)),""))</f>
        <v/>
      </c>
      <c r="J1991" s="82" t="n"/>
      <c r="K1991" s="82" t="n"/>
      <c r="L1991" s="82" t="n"/>
      <c r="M1991" s="83" t="n"/>
      <c r="N1991" s="83" t="n"/>
      <c r="O1991" s="66">
        <f>IF(OR($M1991="",$N1991=""),"",$N1991-$M1991)</f>
        <v/>
      </c>
      <c r="P1991" s="84">
        <f>IF($J1991="","",IF($L1991&lt;&gt;"",$L1991-$J1991,TODAY()-$J1991))</f>
        <v/>
      </c>
      <c r="Q1991" s="85">
        <f>IF(OR($K1991="",$H1991="Completed",$H1991="Cancelled"),"",IF(AND($K1991&lt;TODAY(),$H1991&lt;&gt;"Completed",$H1991&lt;&gt;"Cancelled"),"Overdue","On Track"))</f>
        <v/>
      </c>
      <c r="R1991" s="81" t="n"/>
      <c r="S1991" s="81">
        <f>IF($B1991="","",IFERROR(INDEX(Task_Tracker!$AA$5:$AA$1004,MATCH($B1991,Task_Tracker!$A$5:$A$1004,0)),""))</f>
        <v/>
      </c>
      <c r="T1991" s="81">
        <f>IF($B1991="","",IFERROR(INDEX(Task_Tracker!$AB$5:$AB$1004,MATCH($B1991,Task_Tracker!$A$5:$A$1004,0)),""))</f>
        <v/>
      </c>
      <c r="U1991" s="78">
        <f>IF($B1991="","",IFERROR(INDEX(Task_Tracker!$F$5:$F$1004,MATCH($B1991,Task_Tracker!$A$5:$A$1004,0)),""))</f>
        <v/>
      </c>
      <c r="V1991" s="78">
        <f>IF($B1991="","",IFERROR(INDEX(Task_Tracker!$I$5:$I$1004,MATCH($B1991,Task_Tracker!$A$5:$A$1004,0)),""))</f>
        <v/>
      </c>
      <c r="W1991" s="81">
        <f>IF(OR($D1991="",$B1991=""),"",$D1991&amp;" | "&amp;$B1991)</f>
        <v/>
      </c>
      <c r="X1991" s="85">
        <f>IF($K1991="","",TEXT($K1991,"yyyy-mm"))</f>
        <v/>
      </c>
      <c r="Y1991" s="81">
        <f>IF(OR($A1991="",$T1991=""),"","Included in Manager_Report")</f>
        <v/>
      </c>
    </row>
    <row r="1992" ht="15" customHeight="1" s="40">
      <c r="A1992" s="65">
        <f>IF(COUNTA(B1992:G1992)=0,"","STP-"&amp;TEXT(ROW()-4,"0000"))</f>
        <v/>
      </c>
      <c r="B1992" s="78" t="n"/>
      <c r="C1992" s="67">
        <f>IF($B1992="","",IFERROR(INDEX(Task_Tracker!$D$5:$D$1004,MATCH($B1992,Task_Tracker!$A$5:$A$1004,0)),""))</f>
        <v/>
      </c>
      <c r="D1992" s="67">
        <f>IF($B1992="","",IFERROR(INDEX(Task_Tracker!$B$5:$B$1004,MATCH($B1992,Task_Tracker!$A$5:$A$1004,0)),""))</f>
        <v/>
      </c>
      <c r="E1992" s="81" t="n"/>
      <c r="F1992" s="81" t="n"/>
      <c r="G1992" s="78" t="n"/>
      <c r="H1992" s="78" t="n"/>
      <c r="I1992" s="67">
        <f>IF($H1992="","",IFERROR(INDEX(Action_Status_Map!$B$5:$B$11,MATCH($H1992,Action_Status_Map!$A$5:$A$11,0)),""))</f>
        <v/>
      </c>
      <c r="J1992" s="82" t="n"/>
      <c r="K1992" s="82" t="n"/>
      <c r="L1992" s="82" t="n"/>
      <c r="M1992" s="83" t="n"/>
      <c r="N1992" s="83" t="n"/>
      <c r="O1992" s="66">
        <f>IF(OR($M1992="",$N1992=""),"",$N1992-$M1992)</f>
        <v/>
      </c>
      <c r="P1992" s="84">
        <f>IF($J1992="","",IF($L1992&lt;&gt;"",$L1992-$J1992,TODAY()-$J1992))</f>
        <v/>
      </c>
      <c r="Q1992" s="85">
        <f>IF(OR($K1992="",$H1992="Completed",$H1992="Cancelled"),"",IF(AND($K1992&lt;TODAY(),$H1992&lt;&gt;"Completed",$H1992&lt;&gt;"Cancelled"),"Overdue","On Track"))</f>
        <v/>
      </c>
      <c r="R1992" s="81" t="n"/>
      <c r="S1992" s="81">
        <f>IF($B1992="","",IFERROR(INDEX(Task_Tracker!$AA$5:$AA$1004,MATCH($B1992,Task_Tracker!$A$5:$A$1004,0)),""))</f>
        <v/>
      </c>
      <c r="T1992" s="81">
        <f>IF($B1992="","",IFERROR(INDEX(Task_Tracker!$AB$5:$AB$1004,MATCH($B1992,Task_Tracker!$A$5:$A$1004,0)),""))</f>
        <v/>
      </c>
      <c r="U1992" s="78">
        <f>IF($B1992="","",IFERROR(INDEX(Task_Tracker!$F$5:$F$1004,MATCH($B1992,Task_Tracker!$A$5:$A$1004,0)),""))</f>
        <v/>
      </c>
      <c r="V1992" s="78">
        <f>IF($B1992="","",IFERROR(INDEX(Task_Tracker!$I$5:$I$1004,MATCH($B1992,Task_Tracker!$A$5:$A$1004,0)),""))</f>
        <v/>
      </c>
      <c r="W1992" s="81">
        <f>IF(OR($D1992="",$B1992=""),"",$D1992&amp;" | "&amp;$B1992)</f>
        <v/>
      </c>
      <c r="X1992" s="85">
        <f>IF($K1992="","",TEXT($K1992,"yyyy-mm"))</f>
        <v/>
      </c>
      <c r="Y1992" s="81">
        <f>IF(OR($A1992="",$T1992=""),"","Included in Manager_Report")</f>
        <v/>
      </c>
    </row>
    <row r="1993" ht="15" customHeight="1" s="40">
      <c r="A1993" s="65">
        <f>IF(COUNTA(B1993:G1993)=0,"","STP-"&amp;TEXT(ROW()-4,"0000"))</f>
        <v/>
      </c>
      <c r="B1993" s="78" t="n"/>
      <c r="C1993" s="67">
        <f>IF($B1993="","",IFERROR(INDEX(Task_Tracker!$D$5:$D$1004,MATCH($B1993,Task_Tracker!$A$5:$A$1004,0)),""))</f>
        <v/>
      </c>
      <c r="D1993" s="67">
        <f>IF($B1993="","",IFERROR(INDEX(Task_Tracker!$B$5:$B$1004,MATCH($B1993,Task_Tracker!$A$5:$A$1004,0)),""))</f>
        <v/>
      </c>
      <c r="E1993" s="81" t="n"/>
      <c r="F1993" s="81" t="n"/>
      <c r="G1993" s="78" t="n"/>
      <c r="H1993" s="78" t="n"/>
      <c r="I1993" s="67">
        <f>IF($H1993="","",IFERROR(INDEX(Action_Status_Map!$B$5:$B$11,MATCH($H1993,Action_Status_Map!$A$5:$A$11,0)),""))</f>
        <v/>
      </c>
      <c r="J1993" s="82" t="n"/>
      <c r="K1993" s="82" t="n"/>
      <c r="L1993" s="82" t="n"/>
      <c r="M1993" s="83" t="n"/>
      <c r="N1993" s="83" t="n"/>
      <c r="O1993" s="66">
        <f>IF(OR($M1993="",$N1993=""),"",$N1993-$M1993)</f>
        <v/>
      </c>
      <c r="P1993" s="84">
        <f>IF($J1993="","",IF($L1993&lt;&gt;"",$L1993-$J1993,TODAY()-$J1993))</f>
        <v/>
      </c>
      <c r="Q1993" s="85">
        <f>IF(OR($K1993="",$H1993="Completed",$H1993="Cancelled"),"",IF(AND($K1993&lt;TODAY(),$H1993&lt;&gt;"Completed",$H1993&lt;&gt;"Cancelled"),"Overdue","On Track"))</f>
        <v/>
      </c>
      <c r="R1993" s="81" t="n"/>
      <c r="S1993" s="81">
        <f>IF($B1993="","",IFERROR(INDEX(Task_Tracker!$AA$5:$AA$1004,MATCH($B1993,Task_Tracker!$A$5:$A$1004,0)),""))</f>
        <v/>
      </c>
      <c r="T1993" s="81">
        <f>IF($B1993="","",IFERROR(INDEX(Task_Tracker!$AB$5:$AB$1004,MATCH($B1993,Task_Tracker!$A$5:$A$1004,0)),""))</f>
        <v/>
      </c>
      <c r="U1993" s="78">
        <f>IF($B1993="","",IFERROR(INDEX(Task_Tracker!$F$5:$F$1004,MATCH($B1993,Task_Tracker!$A$5:$A$1004,0)),""))</f>
        <v/>
      </c>
      <c r="V1993" s="78">
        <f>IF($B1993="","",IFERROR(INDEX(Task_Tracker!$I$5:$I$1004,MATCH($B1993,Task_Tracker!$A$5:$A$1004,0)),""))</f>
        <v/>
      </c>
      <c r="W1993" s="81">
        <f>IF(OR($D1993="",$B1993=""),"",$D1993&amp;" | "&amp;$B1993)</f>
        <v/>
      </c>
      <c r="X1993" s="85">
        <f>IF($K1993="","",TEXT($K1993,"yyyy-mm"))</f>
        <v/>
      </c>
      <c r="Y1993" s="81">
        <f>IF(OR($A1993="",$T1993=""),"","Included in Manager_Report")</f>
        <v/>
      </c>
    </row>
    <row r="1994" ht="15" customHeight="1" s="40">
      <c r="A1994" s="65">
        <f>IF(COUNTA(B1994:G1994)=0,"","STP-"&amp;TEXT(ROW()-4,"0000"))</f>
        <v/>
      </c>
      <c r="B1994" s="78" t="n"/>
      <c r="C1994" s="67">
        <f>IF($B1994="","",IFERROR(INDEX(Task_Tracker!$D$5:$D$1004,MATCH($B1994,Task_Tracker!$A$5:$A$1004,0)),""))</f>
        <v/>
      </c>
      <c r="D1994" s="67">
        <f>IF($B1994="","",IFERROR(INDEX(Task_Tracker!$B$5:$B$1004,MATCH($B1994,Task_Tracker!$A$5:$A$1004,0)),""))</f>
        <v/>
      </c>
      <c r="E1994" s="81" t="n"/>
      <c r="F1994" s="81" t="n"/>
      <c r="G1994" s="78" t="n"/>
      <c r="H1994" s="78" t="n"/>
      <c r="I1994" s="67">
        <f>IF($H1994="","",IFERROR(INDEX(Action_Status_Map!$B$5:$B$11,MATCH($H1994,Action_Status_Map!$A$5:$A$11,0)),""))</f>
        <v/>
      </c>
      <c r="J1994" s="82" t="n"/>
      <c r="K1994" s="82" t="n"/>
      <c r="L1994" s="82" t="n"/>
      <c r="M1994" s="83" t="n"/>
      <c r="N1994" s="83" t="n"/>
      <c r="O1994" s="66">
        <f>IF(OR($M1994="",$N1994=""),"",$N1994-$M1994)</f>
        <v/>
      </c>
      <c r="P1994" s="84">
        <f>IF($J1994="","",IF($L1994&lt;&gt;"",$L1994-$J1994,TODAY()-$J1994))</f>
        <v/>
      </c>
      <c r="Q1994" s="85">
        <f>IF(OR($K1994="",$H1994="Completed",$H1994="Cancelled"),"",IF(AND($K1994&lt;TODAY(),$H1994&lt;&gt;"Completed",$H1994&lt;&gt;"Cancelled"),"Overdue","On Track"))</f>
        <v/>
      </c>
      <c r="R1994" s="81" t="n"/>
      <c r="S1994" s="81">
        <f>IF($B1994="","",IFERROR(INDEX(Task_Tracker!$AA$5:$AA$1004,MATCH($B1994,Task_Tracker!$A$5:$A$1004,0)),""))</f>
        <v/>
      </c>
      <c r="T1994" s="81">
        <f>IF($B1994="","",IFERROR(INDEX(Task_Tracker!$AB$5:$AB$1004,MATCH($B1994,Task_Tracker!$A$5:$A$1004,0)),""))</f>
        <v/>
      </c>
      <c r="U1994" s="78">
        <f>IF($B1994="","",IFERROR(INDEX(Task_Tracker!$F$5:$F$1004,MATCH($B1994,Task_Tracker!$A$5:$A$1004,0)),""))</f>
        <v/>
      </c>
      <c r="V1994" s="78">
        <f>IF($B1994="","",IFERROR(INDEX(Task_Tracker!$I$5:$I$1004,MATCH($B1994,Task_Tracker!$A$5:$A$1004,0)),""))</f>
        <v/>
      </c>
      <c r="W1994" s="81">
        <f>IF(OR($D1994="",$B1994=""),"",$D1994&amp;" | "&amp;$B1994)</f>
        <v/>
      </c>
      <c r="X1994" s="85">
        <f>IF($K1994="","",TEXT($K1994,"yyyy-mm"))</f>
        <v/>
      </c>
      <c r="Y1994" s="81">
        <f>IF(OR($A1994="",$T1994=""),"","Included in Manager_Report")</f>
        <v/>
      </c>
    </row>
    <row r="1995" ht="15" customHeight="1" s="40">
      <c r="A1995" s="65">
        <f>IF(COUNTA(B1995:G1995)=0,"","STP-"&amp;TEXT(ROW()-4,"0000"))</f>
        <v/>
      </c>
      <c r="B1995" s="78" t="n"/>
      <c r="C1995" s="67">
        <f>IF($B1995="","",IFERROR(INDEX(Task_Tracker!$D$5:$D$1004,MATCH($B1995,Task_Tracker!$A$5:$A$1004,0)),""))</f>
        <v/>
      </c>
      <c r="D1995" s="67">
        <f>IF($B1995="","",IFERROR(INDEX(Task_Tracker!$B$5:$B$1004,MATCH($B1995,Task_Tracker!$A$5:$A$1004,0)),""))</f>
        <v/>
      </c>
      <c r="E1995" s="81" t="n"/>
      <c r="F1995" s="81" t="n"/>
      <c r="G1995" s="78" t="n"/>
      <c r="H1995" s="78" t="n"/>
      <c r="I1995" s="67">
        <f>IF($H1995="","",IFERROR(INDEX(Action_Status_Map!$B$5:$B$11,MATCH($H1995,Action_Status_Map!$A$5:$A$11,0)),""))</f>
        <v/>
      </c>
      <c r="J1995" s="82" t="n"/>
      <c r="K1995" s="82" t="n"/>
      <c r="L1995" s="82" t="n"/>
      <c r="M1995" s="83" t="n"/>
      <c r="N1995" s="83" t="n"/>
      <c r="O1995" s="66">
        <f>IF(OR($M1995="",$N1995=""),"",$N1995-$M1995)</f>
        <v/>
      </c>
      <c r="P1995" s="84">
        <f>IF($J1995="","",IF($L1995&lt;&gt;"",$L1995-$J1995,TODAY()-$J1995))</f>
        <v/>
      </c>
      <c r="Q1995" s="85">
        <f>IF(OR($K1995="",$H1995="Completed",$H1995="Cancelled"),"",IF(AND($K1995&lt;TODAY(),$H1995&lt;&gt;"Completed",$H1995&lt;&gt;"Cancelled"),"Overdue","On Track"))</f>
        <v/>
      </c>
      <c r="R1995" s="81" t="n"/>
      <c r="S1995" s="81">
        <f>IF($B1995="","",IFERROR(INDEX(Task_Tracker!$AA$5:$AA$1004,MATCH($B1995,Task_Tracker!$A$5:$A$1004,0)),""))</f>
        <v/>
      </c>
      <c r="T1995" s="81">
        <f>IF($B1995="","",IFERROR(INDEX(Task_Tracker!$AB$5:$AB$1004,MATCH($B1995,Task_Tracker!$A$5:$A$1004,0)),""))</f>
        <v/>
      </c>
      <c r="U1995" s="78">
        <f>IF($B1995="","",IFERROR(INDEX(Task_Tracker!$F$5:$F$1004,MATCH($B1995,Task_Tracker!$A$5:$A$1004,0)),""))</f>
        <v/>
      </c>
      <c r="V1995" s="78">
        <f>IF($B1995="","",IFERROR(INDEX(Task_Tracker!$I$5:$I$1004,MATCH($B1995,Task_Tracker!$A$5:$A$1004,0)),""))</f>
        <v/>
      </c>
      <c r="W1995" s="81">
        <f>IF(OR($D1995="",$B1995=""),"",$D1995&amp;" | "&amp;$B1995)</f>
        <v/>
      </c>
      <c r="X1995" s="85">
        <f>IF($K1995="","",TEXT($K1995,"yyyy-mm"))</f>
        <v/>
      </c>
      <c r="Y1995" s="81">
        <f>IF(OR($A1995="",$T1995=""),"","Included in Manager_Report")</f>
        <v/>
      </c>
    </row>
    <row r="1996" ht="15" customHeight="1" s="40">
      <c r="A1996" s="65">
        <f>IF(COUNTA(B1996:G1996)=0,"","STP-"&amp;TEXT(ROW()-4,"0000"))</f>
        <v/>
      </c>
      <c r="B1996" s="78" t="n"/>
      <c r="C1996" s="67">
        <f>IF($B1996="","",IFERROR(INDEX(Task_Tracker!$D$5:$D$1004,MATCH($B1996,Task_Tracker!$A$5:$A$1004,0)),""))</f>
        <v/>
      </c>
      <c r="D1996" s="67">
        <f>IF($B1996="","",IFERROR(INDEX(Task_Tracker!$B$5:$B$1004,MATCH($B1996,Task_Tracker!$A$5:$A$1004,0)),""))</f>
        <v/>
      </c>
      <c r="E1996" s="81" t="n"/>
      <c r="F1996" s="81" t="n"/>
      <c r="G1996" s="78" t="n"/>
      <c r="H1996" s="78" t="n"/>
      <c r="I1996" s="67">
        <f>IF($H1996="","",IFERROR(INDEX(Action_Status_Map!$B$5:$B$11,MATCH($H1996,Action_Status_Map!$A$5:$A$11,0)),""))</f>
        <v/>
      </c>
      <c r="J1996" s="82" t="n"/>
      <c r="K1996" s="82" t="n"/>
      <c r="L1996" s="82" t="n"/>
      <c r="M1996" s="83" t="n"/>
      <c r="N1996" s="83" t="n"/>
      <c r="O1996" s="66">
        <f>IF(OR($M1996="",$N1996=""),"",$N1996-$M1996)</f>
        <v/>
      </c>
      <c r="P1996" s="84">
        <f>IF($J1996="","",IF($L1996&lt;&gt;"",$L1996-$J1996,TODAY()-$J1996))</f>
        <v/>
      </c>
      <c r="Q1996" s="85">
        <f>IF(OR($K1996="",$H1996="Completed",$H1996="Cancelled"),"",IF(AND($K1996&lt;TODAY(),$H1996&lt;&gt;"Completed",$H1996&lt;&gt;"Cancelled"),"Overdue","On Track"))</f>
        <v/>
      </c>
      <c r="R1996" s="81" t="n"/>
      <c r="S1996" s="81">
        <f>IF($B1996="","",IFERROR(INDEX(Task_Tracker!$AA$5:$AA$1004,MATCH($B1996,Task_Tracker!$A$5:$A$1004,0)),""))</f>
        <v/>
      </c>
      <c r="T1996" s="81">
        <f>IF($B1996="","",IFERROR(INDEX(Task_Tracker!$AB$5:$AB$1004,MATCH($B1996,Task_Tracker!$A$5:$A$1004,0)),""))</f>
        <v/>
      </c>
      <c r="U1996" s="78">
        <f>IF($B1996="","",IFERROR(INDEX(Task_Tracker!$F$5:$F$1004,MATCH($B1996,Task_Tracker!$A$5:$A$1004,0)),""))</f>
        <v/>
      </c>
      <c r="V1996" s="78">
        <f>IF($B1996="","",IFERROR(INDEX(Task_Tracker!$I$5:$I$1004,MATCH($B1996,Task_Tracker!$A$5:$A$1004,0)),""))</f>
        <v/>
      </c>
      <c r="W1996" s="81">
        <f>IF(OR($D1996="",$B1996=""),"",$D1996&amp;" | "&amp;$B1996)</f>
        <v/>
      </c>
      <c r="X1996" s="85">
        <f>IF($K1996="","",TEXT($K1996,"yyyy-mm"))</f>
        <v/>
      </c>
      <c r="Y1996" s="81">
        <f>IF(OR($A1996="",$T1996=""),"","Included in Manager_Report")</f>
        <v/>
      </c>
    </row>
    <row r="1997" ht="15" customHeight="1" s="40">
      <c r="A1997" s="65">
        <f>IF(COUNTA(B1997:G1997)=0,"","STP-"&amp;TEXT(ROW()-4,"0000"))</f>
        <v/>
      </c>
      <c r="B1997" s="78" t="n"/>
      <c r="C1997" s="67">
        <f>IF($B1997="","",IFERROR(INDEX(Task_Tracker!$D$5:$D$1004,MATCH($B1997,Task_Tracker!$A$5:$A$1004,0)),""))</f>
        <v/>
      </c>
      <c r="D1997" s="67">
        <f>IF($B1997="","",IFERROR(INDEX(Task_Tracker!$B$5:$B$1004,MATCH($B1997,Task_Tracker!$A$5:$A$1004,0)),""))</f>
        <v/>
      </c>
      <c r="E1997" s="81" t="n"/>
      <c r="F1997" s="81" t="n"/>
      <c r="G1997" s="78" t="n"/>
      <c r="H1997" s="78" t="n"/>
      <c r="I1997" s="67">
        <f>IF($H1997="","",IFERROR(INDEX(Action_Status_Map!$B$5:$B$11,MATCH($H1997,Action_Status_Map!$A$5:$A$11,0)),""))</f>
        <v/>
      </c>
      <c r="J1997" s="82" t="n"/>
      <c r="K1997" s="82" t="n"/>
      <c r="L1997" s="82" t="n"/>
      <c r="M1997" s="83" t="n"/>
      <c r="N1997" s="83" t="n"/>
      <c r="O1997" s="66">
        <f>IF(OR($M1997="",$N1997=""),"",$N1997-$M1997)</f>
        <v/>
      </c>
      <c r="P1997" s="84">
        <f>IF($J1997="","",IF($L1997&lt;&gt;"",$L1997-$J1997,TODAY()-$J1997))</f>
        <v/>
      </c>
      <c r="Q1997" s="85">
        <f>IF(OR($K1997="",$H1997="Completed",$H1997="Cancelled"),"",IF(AND($K1997&lt;TODAY(),$H1997&lt;&gt;"Completed",$H1997&lt;&gt;"Cancelled"),"Overdue","On Track"))</f>
        <v/>
      </c>
      <c r="R1997" s="81" t="n"/>
      <c r="S1997" s="81">
        <f>IF($B1997="","",IFERROR(INDEX(Task_Tracker!$AA$5:$AA$1004,MATCH($B1997,Task_Tracker!$A$5:$A$1004,0)),""))</f>
        <v/>
      </c>
      <c r="T1997" s="81">
        <f>IF($B1997="","",IFERROR(INDEX(Task_Tracker!$AB$5:$AB$1004,MATCH($B1997,Task_Tracker!$A$5:$A$1004,0)),""))</f>
        <v/>
      </c>
      <c r="U1997" s="78">
        <f>IF($B1997="","",IFERROR(INDEX(Task_Tracker!$F$5:$F$1004,MATCH($B1997,Task_Tracker!$A$5:$A$1004,0)),""))</f>
        <v/>
      </c>
      <c r="V1997" s="78">
        <f>IF($B1997="","",IFERROR(INDEX(Task_Tracker!$I$5:$I$1004,MATCH($B1997,Task_Tracker!$A$5:$A$1004,0)),""))</f>
        <v/>
      </c>
      <c r="W1997" s="81">
        <f>IF(OR($D1997="",$B1997=""),"",$D1997&amp;" | "&amp;$B1997)</f>
        <v/>
      </c>
      <c r="X1997" s="85">
        <f>IF($K1997="","",TEXT($K1997,"yyyy-mm"))</f>
        <v/>
      </c>
      <c r="Y1997" s="81">
        <f>IF(OR($A1997="",$T1997=""),"","Included in Manager_Report")</f>
        <v/>
      </c>
    </row>
    <row r="1998" ht="15" customHeight="1" s="40">
      <c r="A1998" s="65">
        <f>IF(COUNTA(B1998:G1998)=0,"","STP-"&amp;TEXT(ROW()-4,"0000"))</f>
        <v/>
      </c>
      <c r="B1998" s="78" t="n"/>
      <c r="C1998" s="67">
        <f>IF($B1998="","",IFERROR(INDEX(Task_Tracker!$D$5:$D$1004,MATCH($B1998,Task_Tracker!$A$5:$A$1004,0)),""))</f>
        <v/>
      </c>
      <c r="D1998" s="67">
        <f>IF($B1998="","",IFERROR(INDEX(Task_Tracker!$B$5:$B$1004,MATCH($B1998,Task_Tracker!$A$5:$A$1004,0)),""))</f>
        <v/>
      </c>
      <c r="E1998" s="81" t="n"/>
      <c r="F1998" s="81" t="n"/>
      <c r="G1998" s="78" t="n"/>
      <c r="H1998" s="78" t="n"/>
      <c r="I1998" s="67">
        <f>IF($H1998="","",IFERROR(INDEX(Action_Status_Map!$B$5:$B$11,MATCH($H1998,Action_Status_Map!$A$5:$A$11,0)),""))</f>
        <v/>
      </c>
      <c r="J1998" s="82" t="n"/>
      <c r="K1998" s="82" t="n"/>
      <c r="L1998" s="82" t="n"/>
      <c r="M1998" s="83" t="n"/>
      <c r="N1998" s="83" t="n"/>
      <c r="O1998" s="66">
        <f>IF(OR($M1998="",$N1998=""),"",$N1998-$M1998)</f>
        <v/>
      </c>
      <c r="P1998" s="84">
        <f>IF($J1998="","",IF($L1998&lt;&gt;"",$L1998-$J1998,TODAY()-$J1998))</f>
        <v/>
      </c>
      <c r="Q1998" s="85">
        <f>IF(OR($K1998="",$H1998="Completed",$H1998="Cancelled"),"",IF(AND($K1998&lt;TODAY(),$H1998&lt;&gt;"Completed",$H1998&lt;&gt;"Cancelled"),"Overdue","On Track"))</f>
        <v/>
      </c>
      <c r="R1998" s="81" t="n"/>
      <c r="S1998" s="81">
        <f>IF($B1998="","",IFERROR(INDEX(Task_Tracker!$AA$5:$AA$1004,MATCH($B1998,Task_Tracker!$A$5:$A$1004,0)),""))</f>
        <v/>
      </c>
      <c r="T1998" s="81">
        <f>IF($B1998="","",IFERROR(INDEX(Task_Tracker!$AB$5:$AB$1004,MATCH($B1998,Task_Tracker!$A$5:$A$1004,0)),""))</f>
        <v/>
      </c>
      <c r="U1998" s="78">
        <f>IF($B1998="","",IFERROR(INDEX(Task_Tracker!$F$5:$F$1004,MATCH($B1998,Task_Tracker!$A$5:$A$1004,0)),""))</f>
        <v/>
      </c>
      <c r="V1998" s="78">
        <f>IF($B1998="","",IFERROR(INDEX(Task_Tracker!$I$5:$I$1004,MATCH($B1998,Task_Tracker!$A$5:$A$1004,0)),""))</f>
        <v/>
      </c>
      <c r="W1998" s="81">
        <f>IF(OR($D1998="",$B1998=""),"",$D1998&amp;" | "&amp;$B1998)</f>
        <v/>
      </c>
      <c r="X1998" s="85">
        <f>IF($K1998="","",TEXT($K1998,"yyyy-mm"))</f>
        <v/>
      </c>
      <c r="Y1998" s="81">
        <f>IF(OR($A1998="",$T1998=""),"","Included in Manager_Report")</f>
        <v/>
      </c>
    </row>
    <row r="1999" ht="15" customHeight="1" s="40">
      <c r="A1999" s="65">
        <f>IF(COUNTA(B1999:G1999)=0,"","STP-"&amp;TEXT(ROW()-4,"0000"))</f>
        <v/>
      </c>
      <c r="B1999" s="78" t="n"/>
      <c r="C1999" s="67">
        <f>IF($B1999="","",IFERROR(INDEX(Task_Tracker!$D$5:$D$1004,MATCH($B1999,Task_Tracker!$A$5:$A$1004,0)),""))</f>
        <v/>
      </c>
      <c r="D1999" s="67">
        <f>IF($B1999="","",IFERROR(INDEX(Task_Tracker!$B$5:$B$1004,MATCH($B1999,Task_Tracker!$A$5:$A$1004,0)),""))</f>
        <v/>
      </c>
      <c r="E1999" s="81" t="n"/>
      <c r="F1999" s="81" t="n"/>
      <c r="G1999" s="78" t="n"/>
      <c r="H1999" s="78" t="n"/>
      <c r="I1999" s="67">
        <f>IF($H1999="","",IFERROR(INDEX(Action_Status_Map!$B$5:$B$11,MATCH($H1999,Action_Status_Map!$A$5:$A$11,0)),""))</f>
        <v/>
      </c>
      <c r="J1999" s="82" t="n"/>
      <c r="K1999" s="82" t="n"/>
      <c r="L1999" s="82" t="n"/>
      <c r="M1999" s="83" t="n"/>
      <c r="N1999" s="83" t="n"/>
      <c r="O1999" s="66">
        <f>IF(OR($M1999="",$N1999=""),"",$N1999-$M1999)</f>
        <v/>
      </c>
      <c r="P1999" s="84">
        <f>IF($J1999="","",IF($L1999&lt;&gt;"",$L1999-$J1999,TODAY()-$J1999))</f>
        <v/>
      </c>
      <c r="Q1999" s="85">
        <f>IF(OR($K1999="",$H1999="Completed",$H1999="Cancelled"),"",IF(AND($K1999&lt;TODAY(),$H1999&lt;&gt;"Completed",$H1999&lt;&gt;"Cancelled"),"Overdue","On Track"))</f>
        <v/>
      </c>
      <c r="R1999" s="81" t="n"/>
      <c r="S1999" s="81">
        <f>IF($B1999="","",IFERROR(INDEX(Task_Tracker!$AA$5:$AA$1004,MATCH($B1999,Task_Tracker!$A$5:$A$1004,0)),""))</f>
        <v/>
      </c>
      <c r="T1999" s="81">
        <f>IF($B1999="","",IFERROR(INDEX(Task_Tracker!$AB$5:$AB$1004,MATCH($B1999,Task_Tracker!$A$5:$A$1004,0)),""))</f>
        <v/>
      </c>
      <c r="U1999" s="78">
        <f>IF($B1999="","",IFERROR(INDEX(Task_Tracker!$F$5:$F$1004,MATCH($B1999,Task_Tracker!$A$5:$A$1004,0)),""))</f>
        <v/>
      </c>
      <c r="V1999" s="78">
        <f>IF($B1999="","",IFERROR(INDEX(Task_Tracker!$I$5:$I$1004,MATCH($B1999,Task_Tracker!$A$5:$A$1004,0)),""))</f>
        <v/>
      </c>
      <c r="W1999" s="81">
        <f>IF(OR($D1999="",$B1999=""),"",$D1999&amp;" | "&amp;$B1999)</f>
        <v/>
      </c>
      <c r="X1999" s="85">
        <f>IF($K1999="","",TEXT($K1999,"yyyy-mm"))</f>
        <v/>
      </c>
      <c r="Y1999" s="81">
        <f>IF(OR($A1999="",$T1999=""),"","Included in Manager_Report")</f>
        <v/>
      </c>
    </row>
    <row r="2000" ht="15" customHeight="1" s="40">
      <c r="A2000" s="65">
        <f>IF(COUNTA(B2000:G2000)=0,"","STP-"&amp;TEXT(ROW()-4,"0000"))</f>
        <v/>
      </c>
      <c r="B2000" s="78" t="n"/>
      <c r="C2000" s="67">
        <f>IF($B2000="","",IFERROR(INDEX(Task_Tracker!$D$5:$D$1004,MATCH($B2000,Task_Tracker!$A$5:$A$1004,0)),""))</f>
        <v/>
      </c>
      <c r="D2000" s="67">
        <f>IF($B2000="","",IFERROR(INDEX(Task_Tracker!$B$5:$B$1004,MATCH($B2000,Task_Tracker!$A$5:$A$1004,0)),""))</f>
        <v/>
      </c>
      <c r="E2000" s="81" t="n"/>
      <c r="F2000" s="81" t="n"/>
      <c r="G2000" s="78" t="n"/>
      <c r="H2000" s="78" t="n"/>
      <c r="I2000" s="67">
        <f>IF($H2000="","",IFERROR(INDEX(Action_Status_Map!$B$5:$B$11,MATCH($H2000,Action_Status_Map!$A$5:$A$11,0)),""))</f>
        <v/>
      </c>
      <c r="J2000" s="82" t="n"/>
      <c r="K2000" s="82" t="n"/>
      <c r="L2000" s="82" t="n"/>
      <c r="M2000" s="83" t="n"/>
      <c r="N2000" s="83" t="n"/>
      <c r="O2000" s="66">
        <f>IF(OR($M2000="",$N2000=""),"",$N2000-$M2000)</f>
        <v/>
      </c>
      <c r="P2000" s="84">
        <f>IF($J2000="","",IF($L2000&lt;&gt;"",$L2000-$J2000,TODAY()-$J2000))</f>
        <v/>
      </c>
      <c r="Q2000" s="85">
        <f>IF(OR($K2000="",$H2000="Completed",$H2000="Cancelled"),"",IF(AND($K2000&lt;TODAY(),$H2000&lt;&gt;"Completed",$H2000&lt;&gt;"Cancelled"),"Overdue","On Track"))</f>
        <v/>
      </c>
      <c r="R2000" s="81" t="n"/>
      <c r="S2000" s="81">
        <f>IF($B2000="","",IFERROR(INDEX(Task_Tracker!$AA$5:$AA$1004,MATCH($B2000,Task_Tracker!$A$5:$A$1004,0)),""))</f>
        <v/>
      </c>
      <c r="T2000" s="81">
        <f>IF($B2000="","",IFERROR(INDEX(Task_Tracker!$AB$5:$AB$1004,MATCH($B2000,Task_Tracker!$A$5:$A$1004,0)),""))</f>
        <v/>
      </c>
      <c r="U2000" s="78">
        <f>IF($B2000="","",IFERROR(INDEX(Task_Tracker!$F$5:$F$1004,MATCH($B2000,Task_Tracker!$A$5:$A$1004,0)),""))</f>
        <v/>
      </c>
      <c r="V2000" s="78">
        <f>IF($B2000="","",IFERROR(INDEX(Task_Tracker!$I$5:$I$1004,MATCH($B2000,Task_Tracker!$A$5:$A$1004,0)),""))</f>
        <v/>
      </c>
      <c r="W2000" s="81">
        <f>IF(OR($D2000="",$B2000=""),"",$D2000&amp;" | "&amp;$B2000)</f>
        <v/>
      </c>
      <c r="X2000" s="85">
        <f>IF($K2000="","",TEXT($K2000,"yyyy-mm"))</f>
        <v/>
      </c>
      <c r="Y2000" s="81">
        <f>IF(OR($A2000="",$T2000=""),"","Included in Manager_Report")</f>
        <v/>
      </c>
    </row>
    <row r="2001" ht="15" customHeight="1" s="40">
      <c r="A2001" s="65">
        <f>IF(COUNTA(B2001:G2001)=0,"","STP-"&amp;TEXT(ROW()-4,"0000"))</f>
        <v/>
      </c>
      <c r="B2001" s="78" t="n"/>
      <c r="C2001" s="67">
        <f>IF($B2001="","",IFERROR(INDEX(Task_Tracker!$D$5:$D$1004,MATCH($B2001,Task_Tracker!$A$5:$A$1004,0)),""))</f>
        <v/>
      </c>
      <c r="D2001" s="67">
        <f>IF($B2001="","",IFERROR(INDEX(Task_Tracker!$B$5:$B$1004,MATCH($B2001,Task_Tracker!$A$5:$A$1004,0)),""))</f>
        <v/>
      </c>
      <c r="E2001" s="81" t="n"/>
      <c r="F2001" s="81" t="n"/>
      <c r="G2001" s="78" t="n"/>
      <c r="H2001" s="78" t="n"/>
      <c r="I2001" s="67">
        <f>IF($H2001="","",IFERROR(INDEX(Action_Status_Map!$B$5:$B$11,MATCH($H2001,Action_Status_Map!$A$5:$A$11,0)),""))</f>
        <v/>
      </c>
      <c r="J2001" s="82" t="n"/>
      <c r="K2001" s="82" t="n"/>
      <c r="L2001" s="82" t="n"/>
      <c r="M2001" s="83" t="n"/>
      <c r="N2001" s="83" t="n"/>
      <c r="O2001" s="66">
        <f>IF(OR($M2001="",$N2001=""),"",$N2001-$M2001)</f>
        <v/>
      </c>
      <c r="P2001" s="84">
        <f>IF($J2001="","",IF($L2001&lt;&gt;"",$L2001-$J2001,TODAY()-$J2001))</f>
        <v/>
      </c>
      <c r="Q2001" s="85">
        <f>IF(OR($K2001="",$H2001="Completed",$H2001="Cancelled"),"",IF(AND($K2001&lt;TODAY(),$H2001&lt;&gt;"Completed",$H2001&lt;&gt;"Cancelled"),"Overdue","On Track"))</f>
        <v/>
      </c>
      <c r="R2001" s="81" t="n"/>
      <c r="S2001" s="81">
        <f>IF($B2001="","",IFERROR(INDEX(Task_Tracker!$AA$5:$AA$1004,MATCH($B2001,Task_Tracker!$A$5:$A$1004,0)),""))</f>
        <v/>
      </c>
      <c r="T2001" s="81">
        <f>IF($B2001="","",IFERROR(INDEX(Task_Tracker!$AB$5:$AB$1004,MATCH($B2001,Task_Tracker!$A$5:$A$1004,0)),""))</f>
        <v/>
      </c>
      <c r="U2001" s="78">
        <f>IF($B2001="","",IFERROR(INDEX(Task_Tracker!$F$5:$F$1004,MATCH($B2001,Task_Tracker!$A$5:$A$1004,0)),""))</f>
        <v/>
      </c>
      <c r="V2001" s="78">
        <f>IF($B2001="","",IFERROR(INDEX(Task_Tracker!$I$5:$I$1004,MATCH($B2001,Task_Tracker!$A$5:$A$1004,0)),""))</f>
        <v/>
      </c>
      <c r="W2001" s="81">
        <f>IF(OR($D2001="",$B2001=""),"",$D2001&amp;" | "&amp;$B2001)</f>
        <v/>
      </c>
      <c r="X2001" s="85">
        <f>IF($K2001="","",TEXT($K2001,"yyyy-mm"))</f>
        <v/>
      </c>
      <c r="Y2001" s="81">
        <f>IF(OR($A2001="",$T2001=""),"","Included in Manager_Report")</f>
        <v/>
      </c>
    </row>
    <row r="2002" ht="15" customHeight="1" s="40">
      <c r="A2002" s="65">
        <f>IF(COUNTA(B2002:G2002)=0,"","STP-"&amp;TEXT(ROW()-4,"0000"))</f>
        <v/>
      </c>
      <c r="B2002" s="78" t="n"/>
      <c r="C2002" s="67">
        <f>IF($B2002="","",IFERROR(INDEX(Task_Tracker!$D$5:$D$1004,MATCH($B2002,Task_Tracker!$A$5:$A$1004,0)),""))</f>
        <v/>
      </c>
      <c r="D2002" s="67">
        <f>IF($B2002="","",IFERROR(INDEX(Task_Tracker!$B$5:$B$1004,MATCH($B2002,Task_Tracker!$A$5:$A$1004,0)),""))</f>
        <v/>
      </c>
      <c r="E2002" s="81" t="n"/>
      <c r="F2002" s="81" t="n"/>
      <c r="G2002" s="78" t="n"/>
      <c r="H2002" s="78" t="n"/>
      <c r="I2002" s="67">
        <f>IF($H2002="","",IFERROR(INDEX(Action_Status_Map!$B$5:$B$11,MATCH($H2002,Action_Status_Map!$A$5:$A$11,0)),""))</f>
        <v/>
      </c>
      <c r="J2002" s="82" t="n"/>
      <c r="K2002" s="82" t="n"/>
      <c r="L2002" s="82" t="n"/>
      <c r="M2002" s="83" t="n"/>
      <c r="N2002" s="83" t="n"/>
      <c r="O2002" s="66">
        <f>IF(OR($M2002="",$N2002=""),"",$N2002-$M2002)</f>
        <v/>
      </c>
      <c r="P2002" s="84">
        <f>IF($J2002="","",IF($L2002&lt;&gt;"",$L2002-$J2002,TODAY()-$J2002))</f>
        <v/>
      </c>
      <c r="Q2002" s="85">
        <f>IF(OR($K2002="",$H2002="Completed",$H2002="Cancelled"),"",IF(AND($K2002&lt;TODAY(),$H2002&lt;&gt;"Completed",$H2002&lt;&gt;"Cancelled"),"Overdue","On Track"))</f>
        <v/>
      </c>
      <c r="R2002" s="81" t="n"/>
      <c r="S2002" s="81">
        <f>IF($B2002="","",IFERROR(INDEX(Task_Tracker!$AA$5:$AA$1004,MATCH($B2002,Task_Tracker!$A$5:$A$1004,0)),""))</f>
        <v/>
      </c>
      <c r="T2002" s="81">
        <f>IF($B2002="","",IFERROR(INDEX(Task_Tracker!$AB$5:$AB$1004,MATCH($B2002,Task_Tracker!$A$5:$A$1004,0)),""))</f>
        <v/>
      </c>
      <c r="U2002" s="78">
        <f>IF($B2002="","",IFERROR(INDEX(Task_Tracker!$F$5:$F$1004,MATCH($B2002,Task_Tracker!$A$5:$A$1004,0)),""))</f>
        <v/>
      </c>
      <c r="V2002" s="78">
        <f>IF($B2002="","",IFERROR(INDEX(Task_Tracker!$I$5:$I$1004,MATCH($B2002,Task_Tracker!$A$5:$A$1004,0)),""))</f>
        <v/>
      </c>
      <c r="W2002" s="81">
        <f>IF(OR($D2002="",$B2002=""),"",$D2002&amp;" | "&amp;$B2002)</f>
        <v/>
      </c>
      <c r="X2002" s="85">
        <f>IF($K2002="","",TEXT($K2002,"yyyy-mm"))</f>
        <v/>
      </c>
      <c r="Y2002" s="81">
        <f>IF(OR($A2002="",$T2002=""),"","Included in Manager_Report")</f>
        <v/>
      </c>
    </row>
    <row r="2003" ht="15" customHeight="1" s="40">
      <c r="A2003" s="65">
        <f>IF(COUNTA(B2003:G2003)=0,"","STP-"&amp;TEXT(ROW()-4,"0000"))</f>
        <v/>
      </c>
      <c r="B2003" s="78" t="n"/>
      <c r="C2003" s="67">
        <f>IF($B2003="","",IFERROR(INDEX(Task_Tracker!$D$5:$D$1004,MATCH($B2003,Task_Tracker!$A$5:$A$1004,0)),""))</f>
        <v/>
      </c>
      <c r="D2003" s="67">
        <f>IF($B2003="","",IFERROR(INDEX(Task_Tracker!$B$5:$B$1004,MATCH($B2003,Task_Tracker!$A$5:$A$1004,0)),""))</f>
        <v/>
      </c>
      <c r="E2003" s="81" t="n"/>
      <c r="F2003" s="81" t="n"/>
      <c r="G2003" s="78" t="n"/>
      <c r="H2003" s="78" t="n"/>
      <c r="I2003" s="67">
        <f>IF($H2003="","",IFERROR(INDEX(Action_Status_Map!$B$5:$B$11,MATCH($H2003,Action_Status_Map!$A$5:$A$11,0)),""))</f>
        <v/>
      </c>
      <c r="J2003" s="82" t="n"/>
      <c r="K2003" s="82" t="n"/>
      <c r="L2003" s="82" t="n"/>
      <c r="M2003" s="83" t="n"/>
      <c r="N2003" s="83" t="n"/>
      <c r="O2003" s="66">
        <f>IF(OR($M2003="",$N2003=""),"",$N2003-$M2003)</f>
        <v/>
      </c>
      <c r="P2003" s="84">
        <f>IF($J2003="","",IF($L2003&lt;&gt;"",$L2003-$J2003,TODAY()-$J2003))</f>
        <v/>
      </c>
      <c r="Q2003" s="85">
        <f>IF(OR($K2003="",$H2003="Completed",$H2003="Cancelled"),"",IF(AND($K2003&lt;TODAY(),$H2003&lt;&gt;"Completed",$H2003&lt;&gt;"Cancelled"),"Overdue","On Track"))</f>
        <v/>
      </c>
      <c r="R2003" s="81" t="n"/>
      <c r="S2003" s="81">
        <f>IF($B2003="","",IFERROR(INDEX(Task_Tracker!$AA$5:$AA$1004,MATCH($B2003,Task_Tracker!$A$5:$A$1004,0)),""))</f>
        <v/>
      </c>
      <c r="T2003" s="81">
        <f>IF($B2003="","",IFERROR(INDEX(Task_Tracker!$AB$5:$AB$1004,MATCH($B2003,Task_Tracker!$A$5:$A$1004,0)),""))</f>
        <v/>
      </c>
      <c r="U2003" s="78">
        <f>IF($B2003="","",IFERROR(INDEX(Task_Tracker!$F$5:$F$1004,MATCH($B2003,Task_Tracker!$A$5:$A$1004,0)),""))</f>
        <v/>
      </c>
      <c r="V2003" s="78">
        <f>IF($B2003="","",IFERROR(INDEX(Task_Tracker!$I$5:$I$1004,MATCH($B2003,Task_Tracker!$A$5:$A$1004,0)),""))</f>
        <v/>
      </c>
      <c r="W2003" s="81">
        <f>IF(OR($D2003="",$B2003=""),"",$D2003&amp;" | "&amp;$B2003)</f>
        <v/>
      </c>
      <c r="X2003" s="85">
        <f>IF($K2003="","",TEXT($K2003,"yyyy-mm"))</f>
        <v/>
      </c>
      <c r="Y2003" s="81">
        <f>IF(OR($A2003="",$T2003=""),"","Included in Manager_Report")</f>
        <v/>
      </c>
    </row>
    <row r="2004" ht="15" customHeight="1" s="40">
      <c r="A2004" s="65">
        <f>IF(COUNTA(B2004:G2004)=0,"","STP-"&amp;TEXT(ROW()-4,"0000"))</f>
        <v/>
      </c>
      <c r="B2004" s="78" t="n"/>
      <c r="C2004" s="67">
        <f>IF($B2004="","",IFERROR(INDEX(Task_Tracker!$D$5:$D$1004,MATCH($B2004,Task_Tracker!$A$5:$A$1004,0)),""))</f>
        <v/>
      </c>
      <c r="D2004" s="67">
        <f>IF($B2004="","",IFERROR(INDEX(Task_Tracker!$B$5:$B$1004,MATCH($B2004,Task_Tracker!$A$5:$A$1004,0)),""))</f>
        <v/>
      </c>
      <c r="E2004" s="81" t="n"/>
      <c r="F2004" s="81" t="n"/>
      <c r="G2004" s="78" t="n"/>
      <c r="H2004" s="78" t="n"/>
      <c r="I2004" s="67">
        <f>IF($H2004="","",IFERROR(INDEX(Action_Status_Map!$B$5:$B$11,MATCH($H2004,Action_Status_Map!$A$5:$A$11,0)),""))</f>
        <v/>
      </c>
      <c r="J2004" s="82" t="n"/>
      <c r="K2004" s="82" t="n"/>
      <c r="L2004" s="82" t="n"/>
      <c r="M2004" s="83" t="n"/>
      <c r="N2004" s="83" t="n"/>
      <c r="O2004" s="66">
        <f>IF(OR($M2004="",$N2004=""),"",$N2004-$M2004)</f>
        <v/>
      </c>
      <c r="P2004" s="84">
        <f>IF($J2004="","",IF($L2004&lt;&gt;"",$L2004-$J2004,TODAY()-$J2004))</f>
        <v/>
      </c>
      <c r="Q2004" s="85">
        <f>IF(OR($K2004="",$H2004="Completed",$H2004="Cancelled"),"",IF(AND($K2004&lt;TODAY(),$H2004&lt;&gt;"Completed",$H2004&lt;&gt;"Cancelled"),"Overdue","On Track"))</f>
        <v/>
      </c>
      <c r="R2004" s="81" t="n"/>
      <c r="S2004" s="81">
        <f>IF($B2004="","",IFERROR(INDEX(Task_Tracker!$AA$5:$AA$1004,MATCH($B2004,Task_Tracker!$A$5:$A$1004,0)),""))</f>
        <v/>
      </c>
      <c r="T2004" s="81">
        <f>IF($B2004="","",IFERROR(INDEX(Task_Tracker!$AB$5:$AB$1004,MATCH($B2004,Task_Tracker!$A$5:$A$1004,0)),""))</f>
        <v/>
      </c>
      <c r="U2004" s="78">
        <f>IF($B2004="","",IFERROR(INDEX(Task_Tracker!$F$5:$F$1004,MATCH($B2004,Task_Tracker!$A$5:$A$1004,0)),""))</f>
        <v/>
      </c>
      <c r="V2004" s="78">
        <f>IF($B2004="","",IFERROR(INDEX(Task_Tracker!$I$5:$I$1004,MATCH($B2004,Task_Tracker!$A$5:$A$1004,0)),""))</f>
        <v/>
      </c>
      <c r="W2004" s="81">
        <f>IF(OR($D2004="",$B2004=""),"",$D2004&amp;" | "&amp;$B2004)</f>
        <v/>
      </c>
      <c r="X2004" s="85">
        <f>IF($K2004="","",TEXT($K2004,"yyyy-mm"))</f>
        <v/>
      </c>
      <c r="Y2004" s="81">
        <f>IF(OR($A2004="",$T2004=""),"","Included in Manager_Report")</f>
        <v/>
      </c>
    </row>
  </sheetData>
  <autoFilter ref="A4:R2004"/>
  <mergeCells count="2">
    <mergeCell ref="A2:R2"/>
    <mergeCell ref="A1:R1"/>
  </mergeCells>
  <conditionalFormatting sqref="A5:R2004">
    <cfRule type="expression" rank="0" priority="2" equalAverage="0" aboveAverage="0" dxfId="9" text="" percent="0" bottom="0">
      <formula>$Q5="Overdue"</formula>
    </cfRule>
    <cfRule type="expression" rank="0" priority="3" equalAverage="0" aboveAverage="0" dxfId="10" text="" percent="0" bottom="0">
      <formula>$H5="Completed"</formula>
    </cfRule>
  </conditionalFormatting>
  <dataValidations count="3">
    <dataValidation sqref="B5:B2004" showDropDown="0" showInputMessage="0" showErrorMessage="0" allowBlank="1" type="list" errorStyle="stop" operator="between">
      <formula1>TaskIDs</formula1>
      <formula2>0</formula2>
    </dataValidation>
    <dataValidation sqref="G5:G2004" showDropDown="0" showInputMessage="0" showErrorMessage="0" allowBlank="1" type="list" errorStyle="stop" operator="between">
      <formula1>EmployeeNames</formula1>
      <formula2>0</formula2>
    </dataValidation>
    <dataValidation sqref="H5:H2004" showDropDown="0" showInputMessage="0" showErrorMessage="0" allowBlank="1" type="list" errorStyle="stop" operator="between">
      <formula1>StatusList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39" min="1" max="1"/>
    <col width="24" customWidth="1" style="39" min="2" max="2"/>
    <col width="18" customWidth="1" style="39" min="3" max="4"/>
    <col width="20" customWidth="1" style="39" min="5" max="5"/>
    <col width="16" customWidth="1" style="39" min="6" max="6"/>
    <col width="12" customWidth="1" style="39" min="7" max="9"/>
    <col width="14" customWidth="1" style="39" min="10" max="10"/>
    <col width="12" customWidth="1" style="39" min="11" max="11"/>
    <col width="11" customWidth="1" style="39" min="12" max="14"/>
    <col width="13" customWidth="1" style="39" min="15" max="15"/>
    <col width="14" customWidth="1" style="39" min="16" max="17"/>
    <col width="18" customWidth="1" style="39" min="18" max="18"/>
  </cols>
  <sheetData>
    <row r="1" ht="19.5" customHeight="1" s="40">
      <c r="A1" s="53" t="inlineStr">
        <is>
          <t>Employee Summary</t>
        </is>
      </c>
    </row>
    <row r="2" ht="15" customHeight="1" s="40">
      <c r="A2" s="77" t="inlineStr">
        <is>
          <t>Automatic employee performance view based on Task_Tracker data.</t>
        </is>
      </c>
    </row>
    <row r="4" ht="21.75" customHeight="1" s="40">
      <c r="A4" s="63" t="inlineStr">
        <is>
          <t>Emp ID</t>
        </is>
      </c>
      <c r="B4" s="63" t="inlineStr">
        <is>
          <t>Employee Name</t>
        </is>
      </c>
      <c r="C4" s="63" t="inlineStr">
        <is>
          <t>Department</t>
        </is>
      </c>
      <c r="D4" s="63" t="inlineStr">
        <is>
          <t>Role</t>
        </is>
      </c>
      <c r="E4" s="63" t="inlineStr">
        <is>
          <t>Manager</t>
        </is>
      </c>
      <c r="F4" s="63" t="inlineStr">
        <is>
          <t>Weekly Capacity</t>
        </is>
      </c>
      <c r="G4" s="63" t="inlineStr">
        <is>
          <t>Status</t>
        </is>
      </c>
      <c r="H4" s="63" t="inlineStr">
        <is>
          <t>Total Tasks</t>
        </is>
      </c>
      <c r="I4" s="63" t="inlineStr">
        <is>
          <t>Open Tasks</t>
        </is>
      </c>
      <c r="J4" s="63" t="inlineStr">
        <is>
          <t>Completed Tasks</t>
        </is>
      </c>
      <c r="K4" s="63" t="inlineStr">
        <is>
          <t>Completion %</t>
        </is>
      </c>
      <c r="L4" s="63" t="inlineStr">
        <is>
          <t>Est. Hrs</t>
        </is>
      </c>
      <c r="M4" s="63" t="inlineStr">
        <is>
          <t>Actual Hrs</t>
        </is>
      </c>
      <c r="N4" s="63" t="inlineStr">
        <is>
          <t>Variance</t>
        </is>
      </c>
      <c r="O4" s="63" t="inlineStr">
        <is>
          <t>Overdue Tasks</t>
        </is>
      </c>
      <c r="P4" s="63" t="inlineStr">
        <is>
          <t>This Month Tasks</t>
        </is>
      </c>
      <c r="Q4" s="63" t="inlineStr">
        <is>
          <t>This Month Hrs</t>
        </is>
      </c>
      <c r="R4" s="63" t="inlineStr">
        <is>
          <t>This Month Utilization %</t>
        </is>
      </c>
    </row>
    <row r="5" ht="15" customHeight="1" s="40">
      <c r="A5" s="67">
        <f>Employee_Master!A5</f>
        <v/>
      </c>
      <c r="B5" s="67">
        <f>Employee_Master!B5</f>
        <v/>
      </c>
      <c r="C5" s="67">
        <f>Employee_Master!C5</f>
        <v/>
      </c>
      <c r="D5" s="67">
        <f>Employee_Master!D5</f>
        <v/>
      </c>
      <c r="E5" s="67">
        <f>Employee_Master!E5</f>
        <v/>
      </c>
      <c r="F5" s="87">
        <f>Employee_Master!H5</f>
        <v/>
      </c>
      <c r="G5" s="67">
        <f>Employee_Master!I5</f>
        <v/>
      </c>
      <c r="H5" s="84">
        <f>IF($B5="","",COUNTIF(Task_Tracker!$F$5:$F$1004,$B5))</f>
        <v/>
      </c>
      <c r="I5" s="84">
        <f>IF($B5="","",COUNTIFS(Task_Tracker!$F$5:$F$1004,$B5,Task_Tracker!$A$5:$A$1004,"&lt;&gt;",Task_Tracker!$I$5:$I$1004,"&lt;&gt;Completed",Task_Tracker!$I$5:$I$1004,"&lt;&gt;Cancelled"))</f>
        <v/>
      </c>
      <c r="J5" s="84">
        <f>IF($B5="","",COUNTIFS(Task_Tracker!$F$5:$F$1004,$B5,Task_Tracker!$I$5:$I$1004,"Completed"))</f>
        <v/>
      </c>
      <c r="K5" s="86">
        <f>IFERROR($J5/$H5,"")</f>
        <v/>
      </c>
      <c r="L5" s="66">
        <f>IF($B5="","",SUMIF(Task_Tracker!$F$5:$F$1004,$B5,Task_Tracker!$N$5:$N$1004))</f>
        <v/>
      </c>
      <c r="M5" s="66">
        <f>IF($B5="","",SUMIF(Task_Tracker!$F$5:$F$1004,$B5,Task_Tracker!$O$5:$O$1004))</f>
        <v/>
      </c>
      <c r="N5" s="66">
        <f>IF(OR($L5="",$M5=""),"",$M5-$L5)</f>
        <v/>
      </c>
      <c r="O5" s="84">
        <f>IF($B5="","",COUNTIFS(Task_Tracker!$F$5:$F$1004,$B5,Task_Tracker!$R$5:$R$1004,"Overdue"))</f>
        <v/>
      </c>
      <c r="P5" s="84">
        <f>IF($B5="","",COUNTIFS(Task_Tracker!$F$5:$F$1004,$B5,Task_Tracker!$S$5:$S$1004,TEXT(TODAY(),"yyyy-mm")))</f>
        <v/>
      </c>
      <c r="Q5" s="66">
        <f>IF($B5="","",SUMIFS(Task_Tracker!$O$5:$O$1004,Task_Tracker!$F$5:$F$1004,$B5,Task_Tracker!$S$5:$S$1004,TEXT(TODAY(),"yyyy-mm")))</f>
        <v/>
      </c>
      <c r="R5" s="86">
        <f>IFERROR($Q5/($F5*4),"")</f>
        <v/>
      </c>
    </row>
    <row r="6" ht="15" customHeight="1" s="40">
      <c r="A6" s="67">
        <f>Employee_Master!A6</f>
        <v/>
      </c>
      <c r="B6" s="67">
        <f>Employee_Master!B6</f>
        <v/>
      </c>
      <c r="C6" s="67">
        <f>Employee_Master!C6</f>
        <v/>
      </c>
      <c r="D6" s="67">
        <f>Employee_Master!D6</f>
        <v/>
      </c>
      <c r="E6" s="67">
        <f>Employee_Master!E6</f>
        <v/>
      </c>
      <c r="F6" s="87">
        <f>Employee_Master!H6</f>
        <v/>
      </c>
      <c r="G6" s="67">
        <f>Employee_Master!I6</f>
        <v/>
      </c>
      <c r="H6" s="84">
        <f>IF($B6="","",COUNTIF(Task_Tracker!$F$5:$F$1004,$B6))</f>
        <v/>
      </c>
      <c r="I6" s="84">
        <f>IF($B6="","",COUNTIFS(Task_Tracker!$F$5:$F$1004,$B6,Task_Tracker!$A$5:$A$1004,"&lt;&gt;",Task_Tracker!$I$5:$I$1004,"&lt;&gt;Completed",Task_Tracker!$I$5:$I$1004,"&lt;&gt;Cancelled"))</f>
        <v/>
      </c>
      <c r="J6" s="84">
        <f>IF($B6="","",COUNTIFS(Task_Tracker!$F$5:$F$1004,$B6,Task_Tracker!$I$5:$I$1004,"Completed"))</f>
        <v/>
      </c>
      <c r="K6" s="86">
        <f>IFERROR($J6/$H6,"")</f>
        <v/>
      </c>
      <c r="L6" s="66">
        <f>IF($B6="","",SUMIF(Task_Tracker!$F$5:$F$1004,$B6,Task_Tracker!$N$5:$N$1004))</f>
        <v/>
      </c>
      <c r="M6" s="66">
        <f>IF($B6="","",SUMIF(Task_Tracker!$F$5:$F$1004,$B6,Task_Tracker!$O$5:$O$1004))</f>
        <v/>
      </c>
      <c r="N6" s="66">
        <f>IF(OR($L6="",$M6=""),"",$M6-$L6)</f>
        <v/>
      </c>
      <c r="O6" s="84">
        <f>IF($B6="","",COUNTIFS(Task_Tracker!$F$5:$F$1004,$B6,Task_Tracker!$R$5:$R$1004,"Overdue"))</f>
        <v/>
      </c>
      <c r="P6" s="84">
        <f>IF($B6="","",COUNTIFS(Task_Tracker!$F$5:$F$1004,$B6,Task_Tracker!$S$5:$S$1004,TEXT(TODAY(),"yyyy-mm")))</f>
        <v/>
      </c>
      <c r="Q6" s="66">
        <f>IF($B6="","",SUMIFS(Task_Tracker!$O$5:$O$1004,Task_Tracker!$F$5:$F$1004,$B6,Task_Tracker!$S$5:$S$1004,TEXT(TODAY(),"yyyy-mm")))</f>
        <v/>
      </c>
      <c r="R6" s="86">
        <f>IFERROR($Q6/($F6*4),"")</f>
        <v/>
      </c>
    </row>
    <row r="7" ht="15" customHeight="1" s="40">
      <c r="A7" s="67">
        <f>Employee_Master!A7</f>
        <v/>
      </c>
      <c r="B7" s="67">
        <f>Employee_Master!B7</f>
        <v/>
      </c>
      <c r="C7" s="67">
        <f>Employee_Master!C7</f>
        <v/>
      </c>
      <c r="D7" s="67">
        <f>Employee_Master!D7</f>
        <v/>
      </c>
      <c r="E7" s="67">
        <f>Employee_Master!E7</f>
        <v/>
      </c>
      <c r="F7" s="87">
        <f>Employee_Master!H7</f>
        <v/>
      </c>
      <c r="G7" s="67">
        <f>Employee_Master!I7</f>
        <v/>
      </c>
      <c r="H7" s="84">
        <f>IF($B7="","",COUNTIF(Task_Tracker!$F$5:$F$1004,$B7))</f>
        <v/>
      </c>
      <c r="I7" s="84">
        <f>IF($B7="","",COUNTIFS(Task_Tracker!$F$5:$F$1004,$B7,Task_Tracker!$A$5:$A$1004,"&lt;&gt;",Task_Tracker!$I$5:$I$1004,"&lt;&gt;Completed",Task_Tracker!$I$5:$I$1004,"&lt;&gt;Cancelled"))</f>
        <v/>
      </c>
      <c r="J7" s="84">
        <f>IF($B7="","",COUNTIFS(Task_Tracker!$F$5:$F$1004,$B7,Task_Tracker!$I$5:$I$1004,"Completed"))</f>
        <v/>
      </c>
      <c r="K7" s="86">
        <f>IFERROR($J7/$H7,"")</f>
        <v/>
      </c>
      <c r="L7" s="66">
        <f>IF($B7="","",SUMIF(Task_Tracker!$F$5:$F$1004,$B7,Task_Tracker!$N$5:$N$1004))</f>
        <v/>
      </c>
      <c r="M7" s="66">
        <f>IF($B7="","",SUMIF(Task_Tracker!$F$5:$F$1004,$B7,Task_Tracker!$O$5:$O$1004))</f>
        <v/>
      </c>
      <c r="N7" s="66">
        <f>IF(OR($L7="",$M7=""),"",$M7-$L7)</f>
        <v/>
      </c>
      <c r="O7" s="84">
        <f>IF($B7="","",COUNTIFS(Task_Tracker!$F$5:$F$1004,$B7,Task_Tracker!$R$5:$R$1004,"Overdue"))</f>
        <v/>
      </c>
      <c r="P7" s="84">
        <f>IF($B7="","",COUNTIFS(Task_Tracker!$F$5:$F$1004,$B7,Task_Tracker!$S$5:$S$1004,TEXT(TODAY(),"yyyy-mm")))</f>
        <v/>
      </c>
      <c r="Q7" s="66">
        <f>IF($B7="","",SUMIFS(Task_Tracker!$O$5:$O$1004,Task_Tracker!$F$5:$F$1004,$B7,Task_Tracker!$S$5:$S$1004,TEXT(TODAY(),"yyyy-mm")))</f>
        <v/>
      </c>
      <c r="R7" s="86">
        <f>IFERROR($Q7/($F7*4),"")</f>
        <v/>
      </c>
    </row>
    <row r="8" ht="15" customHeight="1" s="40">
      <c r="A8" s="67">
        <f>Employee_Master!A8</f>
        <v/>
      </c>
      <c r="B8" s="67">
        <f>Employee_Master!B8</f>
        <v/>
      </c>
      <c r="C8" s="67">
        <f>Employee_Master!C8</f>
        <v/>
      </c>
      <c r="D8" s="67">
        <f>Employee_Master!D8</f>
        <v/>
      </c>
      <c r="E8" s="67">
        <f>Employee_Master!E8</f>
        <v/>
      </c>
      <c r="F8" s="87">
        <f>Employee_Master!H8</f>
        <v/>
      </c>
      <c r="G8" s="67">
        <f>Employee_Master!I8</f>
        <v/>
      </c>
      <c r="H8" s="84">
        <f>IF($B8="","",COUNTIF(Task_Tracker!$F$5:$F$1004,$B8))</f>
        <v/>
      </c>
      <c r="I8" s="84">
        <f>IF($B8="","",COUNTIFS(Task_Tracker!$F$5:$F$1004,$B8,Task_Tracker!$A$5:$A$1004,"&lt;&gt;",Task_Tracker!$I$5:$I$1004,"&lt;&gt;Completed",Task_Tracker!$I$5:$I$1004,"&lt;&gt;Cancelled"))</f>
        <v/>
      </c>
      <c r="J8" s="84">
        <f>IF($B8="","",COUNTIFS(Task_Tracker!$F$5:$F$1004,$B8,Task_Tracker!$I$5:$I$1004,"Completed"))</f>
        <v/>
      </c>
      <c r="K8" s="86">
        <f>IFERROR($J8/$H8,"")</f>
        <v/>
      </c>
      <c r="L8" s="66">
        <f>IF($B8="","",SUMIF(Task_Tracker!$F$5:$F$1004,$B8,Task_Tracker!$N$5:$N$1004))</f>
        <v/>
      </c>
      <c r="M8" s="66">
        <f>IF($B8="","",SUMIF(Task_Tracker!$F$5:$F$1004,$B8,Task_Tracker!$O$5:$O$1004))</f>
        <v/>
      </c>
      <c r="N8" s="66">
        <f>IF(OR($L8="",$M8=""),"",$M8-$L8)</f>
        <v/>
      </c>
      <c r="O8" s="84">
        <f>IF($B8="","",COUNTIFS(Task_Tracker!$F$5:$F$1004,$B8,Task_Tracker!$R$5:$R$1004,"Overdue"))</f>
        <v/>
      </c>
      <c r="P8" s="84">
        <f>IF($B8="","",COUNTIFS(Task_Tracker!$F$5:$F$1004,$B8,Task_Tracker!$S$5:$S$1004,TEXT(TODAY(),"yyyy-mm")))</f>
        <v/>
      </c>
      <c r="Q8" s="66">
        <f>IF($B8="","",SUMIFS(Task_Tracker!$O$5:$O$1004,Task_Tracker!$F$5:$F$1004,$B8,Task_Tracker!$S$5:$S$1004,TEXT(TODAY(),"yyyy-mm")))</f>
        <v/>
      </c>
      <c r="R8" s="86">
        <f>IFERROR($Q8/($F8*4),"")</f>
        <v/>
      </c>
    </row>
    <row r="9" ht="15" customHeight="1" s="40">
      <c r="A9" s="67">
        <f>Employee_Master!A9</f>
        <v/>
      </c>
      <c r="B9" s="67">
        <f>Employee_Master!B9</f>
        <v/>
      </c>
      <c r="C9" s="67">
        <f>Employee_Master!C9</f>
        <v/>
      </c>
      <c r="D9" s="67">
        <f>Employee_Master!D9</f>
        <v/>
      </c>
      <c r="E9" s="67">
        <f>Employee_Master!E9</f>
        <v/>
      </c>
      <c r="F9" s="87">
        <f>Employee_Master!H9</f>
        <v/>
      </c>
      <c r="G9" s="67">
        <f>Employee_Master!I9</f>
        <v/>
      </c>
      <c r="H9" s="84">
        <f>IF($B9="","",COUNTIF(Task_Tracker!$F$5:$F$1004,$B9))</f>
        <v/>
      </c>
      <c r="I9" s="84">
        <f>IF($B9="","",COUNTIFS(Task_Tracker!$F$5:$F$1004,$B9,Task_Tracker!$A$5:$A$1004,"&lt;&gt;",Task_Tracker!$I$5:$I$1004,"&lt;&gt;Completed",Task_Tracker!$I$5:$I$1004,"&lt;&gt;Cancelled"))</f>
        <v/>
      </c>
      <c r="J9" s="84">
        <f>IF($B9="","",COUNTIFS(Task_Tracker!$F$5:$F$1004,$B9,Task_Tracker!$I$5:$I$1004,"Completed"))</f>
        <v/>
      </c>
      <c r="K9" s="86">
        <f>IFERROR($J9/$H9,"")</f>
        <v/>
      </c>
      <c r="L9" s="66">
        <f>IF($B9="","",SUMIF(Task_Tracker!$F$5:$F$1004,$B9,Task_Tracker!$N$5:$N$1004))</f>
        <v/>
      </c>
      <c r="M9" s="66">
        <f>IF($B9="","",SUMIF(Task_Tracker!$F$5:$F$1004,$B9,Task_Tracker!$O$5:$O$1004))</f>
        <v/>
      </c>
      <c r="N9" s="66">
        <f>IF(OR($L9="",$M9=""),"",$M9-$L9)</f>
        <v/>
      </c>
      <c r="O9" s="84">
        <f>IF($B9="","",COUNTIFS(Task_Tracker!$F$5:$F$1004,$B9,Task_Tracker!$R$5:$R$1004,"Overdue"))</f>
        <v/>
      </c>
      <c r="P9" s="84">
        <f>IF($B9="","",COUNTIFS(Task_Tracker!$F$5:$F$1004,$B9,Task_Tracker!$S$5:$S$1004,TEXT(TODAY(),"yyyy-mm")))</f>
        <v/>
      </c>
      <c r="Q9" s="66">
        <f>IF($B9="","",SUMIFS(Task_Tracker!$O$5:$O$1004,Task_Tracker!$F$5:$F$1004,$B9,Task_Tracker!$S$5:$S$1004,TEXT(TODAY(),"yyyy-mm")))</f>
        <v/>
      </c>
      <c r="R9" s="86">
        <f>IFERROR($Q9/($F9*4),"")</f>
        <v/>
      </c>
    </row>
    <row r="10" ht="15" customHeight="1" s="40">
      <c r="A10" s="67">
        <f>Employee_Master!A10</f>
        <v/>
      </c>
      <c r="B10" s="67">
        <f>Employee_Master!B10</f>
        <v/>
      </c>
      <c r="C10" s="67">
        <f>Employee_Master!C10</f>
        <v/>
      </c>
      <c r="D10" s="67">
        <f>Employee_Master!D10</f>
        <v/>
      </c>
      <c r="E10" s="67">
        <f>Employee_Master!E10</f>
        <v/>
      </c>
      <c r="F10" s="87">
        <f>Employee_Master!H10</f>
        <v/>
      </c>
      <c r="G10" s="67">
        <f>Employee_Master!I10</f>
        <v/>
      </c>
      <c r="H10" s="84">
        <f>IF($B10="","",COUNTIF(Task_Tracker!$F$5:$F$1004,$B10))</f>
        <v/>
      </c>
      <c r="I10" s="84">
        <f>IF($B10="","",COUNTIFS(Task_Tracker!$F$5:$F$1004,$B10,Task_Tracker!$A$5:$A$1004,"&lt;&gt;",Task_Tracker!$I$5:$I$1004,"&lt;&gt;Completed",Task_Tracker!$I$5:$I$1004,"&lt;&gt;Cancelled"))</f>
        <v/>
      </c>
      <c r="J10" s="84">
        <f>IF($B10="","",COUNTIFS(Task_Tracker!$F$5:$F$1004,$B10,Task_Tracker!$I$5:$I$1004,"Completed"))</f>
        <v/>
      </c>
      <c r="K10" s="86">
        <f>IFERROR($J10/$H10,"")</f>
        <v/>
      </c>
      <c r="L10" s="66">
        <f>IF($B10="","",SUMIF(Task_Tracker!$F$5:$F$1004,$B10,Task_Tracker!$N$5:$N$1004))</f>
        <v/>
      </c>
      <c r="M10" s="66">
        <f>IF($B10="","",SUMIF(Task_Tracker!$F$5:$F$1004,$B10,Task_Tracker!$O$5:$O$1004))</f>
        <v/>
      </c>
      <c r="N10" s="66">
        <f>IF(OR($L10="",$M10=""),"",$M10-$L10)</f>
        <v/>
      </c>
      <c r="O10" s="84">
        <f>IF($B10="","",COUNTIFS(Task_Tracker!$F$5:$F$1004,$B10,Task_Tracker!$R$5:$R$1004,"Overdue"))</f>
        <v/>
      </c>
      <c r="P10" s="84">
        <f>IF($B10="","",COUNTIFS(Task_Tracker!$F$5:$F$1004,$B10,Task_Tracker!$S$5:$S$1004,TEXT(TODAY(),"yyyy-mm")))</f>
        <v/>
      </c>
      <c r="Q10" s="66">
        <f>IF($B10="","",SUMIFS(Task_Tracker!$O$5:$O$1004,Task_Tracker!$F$5:$F$1004,$B10,Task_Tracker!$S$5:$S$1004,TEXT(TODAY(),"yyyy-mm")))</f>
        <v/>
      </c>
      <c r="R10" s="86">
        <f>IFERROR($Q10/($F10*4),"")</f>
        <v/>
      </c>
    </row>
    <row r="11" ht="15" customHeight="1" s="40">
      <c r="A11" s="67">
        <f>Employee_Master!A11</f>
        <v/>
      </c>
      <c r="B11" s="67">
        <f>Employee_Master!B11</f>
        <v/>
      </c>
      <c r="C11" s="67">
        <f>Employee_Master!C11</f>
        <v/>
      </c>
      <c r="D11" s="67">
        <f>Employee_Master!D11</f>
        <v/>
      </c>
      <c r="E11" s="67">
        <f>Employee_Master!E11</f>
        <v/>
      </c>
      <c r="F11" s="87">
        <f>Employee_Master!H11</f>
        <v/>
      </c>
      <c r="G11" s="67">
        <f>Employee_Master!I11</f>
        <v/>
      </c>
      <c r="H11" s="84">
        <f>IF($B11="","",COUNTIF(Task_Tracker!$F$5:$F$1004,$B11))</f>
        <v/>
      </c>
      <c r="I11" s="84">
        <f>IF($B11="","",COUNTIFS(Task_Tracker!$F$5:$F$1004,$B11,Task_Tracker!$A$5:$A$1004,"&lt;&gt;",Task_Tracker!$I$5:$I$1004,"&lt;&gt;Completed",Task_Tracker!$I$5:$I$1004,"&lt;&gt;Cancelled"))</f>
        <v/>
      </c>
      <c r="J11" s="84">
        <f>IF($B11="","",COUNTIFS(Task_Tracker!$F$5:$F$1004,$B11,Task_Tracker!$I$5:$I$1004,"Completed"))</f>
        <v/>
      </c>
      <c r="K11" s="86">
        <f>IFERROR($J11/$H11,"")</f>
        <v/>
      </c>
      <c r="L11" s="66">
        <f>IF($B11="","",SUMIF(Task_Tracker!$F$5:$F$1004,$B11,Task_Tracker!$N$5:$N$1004))</f>
        <v/>
      </c>
      <c r="M11" s="66">
        <f>IF($B11="","",SUMIF(Task_Tracker!$F$5:$F$1004,$B11,Task_Tracker!$O$5:$O$1004))</f>
        <v/>
      </c>
      <c r="N11" s="66">
        <f>IF(OR($L11="",$M11=""),"",$M11-$L11)</f>
        <v/>
      </c>
      <c r="O11" s="84">
        <f>IF($B11="","",COUNTIFS(Task_Tracker!$F$5:$F$1004,$B11,Task_Tracker!$R$5:$R$1004,"Overdue"))</f>
        <v/>
      </c>
      <c r="P11" s="84">
        <f>IF($B11="","",COUNTIFS(Task_Tracker!$F$5:$F$1004,$B11,Task_Tracker!$S$5:$S$1004,TEXT(TODAY(),"yyyy-mm")))</f>
        <v/>
      </c>
      <c r="Q11" s="66">
        <f>IF($B11="","",SUMIFS(Task_Tracker!$O$5:$O$1004,Task_Tracker!$F$5:$F$1004,$B11,Task_Tracker!$S$5:$S$1004,TEXT(TODAY(),"yyyy-mm")))</f>
        <v/>
      </c>
      <c r="R11" s="86">
        <f>IFERROR($Q11/($F11*4),"")</f>
        <v/>
      </c>
    </row>
    <row r="12" ht="15" customHeight="1" s="40">
      <c r="A12" s="67">
        <f>Employee_Master!A12</f>
        <v/>
      </c>
      <c r="B12" s="67">
        <f>Employee_Master!B12</f>
        <v/>
      </c>
      <c r="C12" s="67">
        <f>Employee_Master!C12</f>
        <v/>
      </c>
      <c r="D12" s="67">
        <f>Employee_Master!D12</f>
        <v/>
      </c>
      <c r="E12" s="67">
        <f>Employee_Master!E12</f>
        <v/>
      </c>
      <c r="F12" s="87">
        <f>Employee_Master!H12</f>
        <v/>
      </c>
      <c r="G12" s="67">
        <f>Employee_Master!I12</f>
        <v/>
      </c>
      <c r="H12" s="84">
        <f>IF($B12="","",COUNTIF(Task_Tracker!$F$5:$F$1004,$B12))</f>
        <v/>
      </c>
      <c r="I12" s="84">
        <f>IF($B12="","",COUNTIFS(Task_Tracker!$F$5:$F$1004,$B12,Task_Tracker!$A$5:$A$1004,"&lt;&gt;",Task_Tracker!$I$5:$I$1004,"&lt;&gt;Completed",Task_Tracker!$I$5:$I$1004,"&lt;&gt;Cancelled"))</f>
        <v/>
      </c>
      <c r="J12" s="84">
        <f>IF($B12="","",COUNTIFS(Task_Tracker!$F$5:$F$1004,$B12,Task_Tracker!$I$5:$I$1004,"Completed"))</f>
        <v/>
      </c>
      <c r="K12" s="86">
        <f>IFERROR($J12/$H12,"")</f>
        <v/>
      </c>
      <c r="L12" s="66">
        <f>IF($B12="","",SUMIF(Task_Tracker!$F$5:$F$1004,$B12,Task_Tracker!$N$5:$N$1004))</f>
        <v/>
      </c>
      <c r="M12" s="66">
        <f>IF($B12="","",SUMIF(Task_Tracker!$F$5:$F$1004,$B12,Task_Tracker!$O$5:$O$1004))</f>
        <v/>
      </c>
      <c r="N12" s="66">
        <f>IF(OR($L12="",$M12=""),"",$M12-$L12)</f>
        <v/>
      </c>
      <c r="O12" s="84">
        <f>IF($B12="","",COUNTIFS(Task_Tracker!$F$5:$F$1004,$B12,Task_Tracker!$R$5:$R$1004,"Overdue"))</f>
        <v/>
      </c>
      <c r="P12" s="84">
        <f>IF($B12="","",COUNTIFS(Task_Tracker!$F$5:$F$1004,$B12,Task_Tracker!$S$5:$S$1004,TEXT(TODAY(),"yyyy-mm")))</f>
        <v/>
      </c>
      <c r="Q12" s="66">
        <f>IF($B12="","",SUMIFS(Task_Tracker!$O$5:$O$1004,Task_Tracker!$F$5:$F$1004,$B12,Task_Tracker!$S$5:$S$1004,TEXT(TODAY(),"yyyy-mm")))</f>
        <v/>
      </c>
      <c r="R12" s="86">
        <f>IFERROR($Q12/($F12*4),"")</f>
        <v/>
      </c>
    </row>
    <row r="13" ht="15" customHeight="1" s="40">
      <c r="A13" s="67">
        <f>Employee_Master!A13</f>
        <v/>
      </c>
      <c r="B13" s="67">
        <f>Employee_Master!B13</f>
        <v/>
      </c>
      <c r="C13" s="67">
        <f>Employee_Master!C13</f>
        <v/>
      </c>
      <c r="D13" s="67">
        <f>Employee_Master!D13</f>
        <v/>
      </c>
      <c r="E13" s="67">
        <f>Employee_Master!E13</f>
        <v/>
      </c>
      <c r="F13" s="87">
        <f>Employee_Master!H13</f>
        <v/>
      </c>
      <c r="G13" s="67">
        <f>Employee_Master!I13</f>
        <v/>
      </c>
      <c r="H13" s="84">
        <f>IF($B13="","",COUNTIF(Task_Tracker!$F$5:$F$1004,$B13))</f>
        <v/>
      </c>
      <c r="I13" s="84">
        <f>IF($B13="","",COUNTIFS(Task_Tracker!$F$5:$F$1004,$B13,Task_Tracker!$A$5:$A$1004,"&lt;&gt;",Task_Tracker!$I$5:$I$1004,"&lt;&gt;Completed",Task_Tracker!$I$5:$I$1004,"&lt;&gt;Cancelled"))</f>
        <v/>
      </c>
      <c r="J13" s="84">
        <f>IF($B13="","",COUNTIFS(Task_Tracker!$F$5:$F$1004,$B13,Task_Tracker!$I$5:$I$1004,"Completed"))</f>
        <v/>
      </c>
      <c r="K13" s="86">
        <f>IFERROR($J13/$H13,"")</f>
        <v/>
      </c>
      <c r="L13" s="66">
        <f>IF($B13="","",SUMIF(Task_Tracker!$F$5:$F$1004,$B13,Task_Tracker!$N$5:$N$1004))</f>
        <v/>
      </c>
      <c r="M13" s="66">
        <f>IF($B13="","",SUMIF(Task_Tracker!$F$5:$F$1004,$B13,Task_Tracker!$O$5:$O$1004))</f>
        <v/>
      </c>
      <c r="N13" s="66">
        <f>IF(OR($L13="",$M13=""),"",$M13-$L13)</f>
        <v/>
      </c>
      <c r="O13" s="84">
        <f>IF($B13="","",COUNTIFS(Task_Tracker!$F$5:$F$1004,$B13,Task_Tracker!$R$5:$R$1004,"Overdue"))</f>
        <v/>
      </c>
      <c r="P13" s="84">
        <f>IF($B13="","",COUNTIFS(Task_Tracker!$F$5:$F$1004,$B13,Task_Tracker!$S$5:$S$1004,TEXT(TODAY(),"yyyy-mm")))</f>
        <v/>
      </c>
      <c r="Q13" s="66">
        <f>IF($B13="","",SUMIFS(Task_Tracker!$O$5:$O$1004,Task_Tracker!$F$5:$F$1004,$B13,Task_Tracker!$S$5:$S$1004,TEXT(TODAY(),"yyyy-mm")))</f>
        <v/>
      </c>
      <c r="R13" s="86">
        <f>IFERROR($Q13/($F13*4),"")</f>
        <v/>
      </c>
    </row>
    <row r="14" ht="15" customHeight="1" s="40">
      <c r="A14" s="67">
        <f>Employee_Master!A14</f>
        <v/>
      </c>
      <c r="B14" s="67">
        <f>Employee_Master!B14</f>
        <v/>
      </c>
      <c r="C14" s="67">
        <f>Employee_Master!C14</f>
        <v/>
      </c>
      <c r="D14" s="67">
        <f>Employee_Master!D14</f>
        <v/>
      </c>
      <c r="E14" s="67">
        <f>Employee_Master!E14</f>
        <v/>
      </c>
      <c r="F14" s="87">
        <f>Employee_Master!H14</f>
        <v/>
      </c>
      <c r="G14" s="67">
        <f>Employee_Master!I14</f>
        <v/>
      </c>
      <c r="H14" s="84">
        <f>IF($B14="","",COUNTIF(Task_Tracker!$F$5:$F$1004,$B14))</f>
        <v/>
      </c>
      <c r="I14" s="84">
        <f>IF($B14="","",COUNTIFS(Task_Tracker!$F$5:$F$1004,$B14,Task_Tracker!$A$5:$A$1004,"&lt;&gt;",Task_Tracker!$I$5:$I$1004,"&lt;&gt;Completed",Task_Tracker!$I$5:$I$1004,"&lt;&gt;Cancelled"))</f>
        <v/>
      </c>
      <c r="J14" s="84">
        <f>IF($B14="","",COUNTIFS(Task_Tracker!$F$5:$F$1004,$B14,Task_Tracker!$I$5:$I$1004,"Completed"))</f>
        <v/>
      </c>
      <c r="K14" s="86">
        <f>IFERROR($J14/$H14,"")</f>
        <v/>
      </c>
      <c r="L14" s="66">
        <f>IF($B14="","",SUMIF(Task_Tracker!$F$5:$F$1004,$B14,Task_Tracker!$N$5:$N$1004))</f>
        <v/>
      </c>
      <c r="M14" s="66">
        <f>IF($B14="","",SUMIF(Task_Tracker!$F$5:$F$1004,$B14,Task_Tracker!$O$5:$O$1004))</f>
        <v/>
      </c>
      <c r="N14" s="66">
        <f>IF(OR($L14="",$M14=""),"",$M14-$L14)</f>
        <v/>
      </c>
      <c r="O14" s="84">
        <f>IF($B14="","",COUNTIFS(Task_Tracker!$F$5:$F$1004,$B14,Task_Tracker!$R$5:$R$1004,"Overdue"))</f>
        <v/>
      </c>
      <c r="P14" s="84">
        <f>IF($B14="","",COUNTIFS(Task_Tracker!$F$5:$F$1004,$B14,Task_Tracker!$S$5:$S$1004,TEXT(TODAY(),"yyyy-mm")))</f>
        <v/>
      </c>
      <c r="Q14" s="66">
        <f>IF($B14="","",SUMIFS(Task_Tracker!$O$5:$O$1004,Task_Tracker!$F$5:$F$1004,$B14,Task_Tracker!$S$5:$S$1004,TEXT(TODAY(),"yyyy-mm")))</f>
        <v/>
      </c>
      <c r="R14" s="86">
        <f>IFERROR($Q14/($F14*4),"")</f>
        <v/>
      </c>
    </row>
    <row r="15" ht="15" customHeight="1" s="40">
      <c r="A15" s="67">
        <f>Employee_Master!A15</f>
        <v/>
      </c>
      <c r="B15" s="67">
        <f>Employee_Master!B15</f>
        <v/>
      </c>
      <c r="C15" s="67">
        <f>Employee_Master!C15</f>
        <v/>
      </c>
      <c r="D15" s="67">
        <f>Employee_Master!D15</f>
        <v/>
      </c>
      <c r="E15" s="67">
        <f>Employee_Master!E15</f>
        <v/>
      </c>
      <c r="F15" s="87">
        <f>Employee_Master!H15</f>
        <v/>
      </c>
      <c r="G15" s="67">
        <f>Employee_Master!I15</f>
        <v/>
      </c>
      <c r="H15" s="84">
        <f>IF($B15="","",COUNTIF(Task_Tracker!$F$5:$F$1004,$B15))</f>
        <v/>
      </c>
      <c r="I15" s="84">
        <f>IF($B15="","",COUNTIFS(Task_Tracker!$F$5:$F$1004,$B15,Task_Tracker!$A$5:$A$1004,"&lt;&gt;",Task_Tracker!$I$5:$I$1004,"&lt;&gt;Completed",Task_Tracker!$I$5:$I$1004,"&lt;&gt;Cancelled"))</f>
        <v/>
      </c>
      <c r="J15" s="84">
        <f>IF($B15="","",COUNTIFS(Task_Tracker!$F$5:$F$1004,$B15,Task_Tracker!$I$5:$I$1004,"Completed"))</f>
        <v/>
      </c>
      <c r="K15" s="86">
        <f>IFERROR($J15/$H15,"")</f>
        <v/>
      </c>
      <c r="L15" s="66">
        <f>IF($B15="","",SUMIF(Task_Tracker!$F$5:$F$1004,$B15,Task_Tracker!$N$5:$N$1004))</f>
        <v/>
      </c>
      <c r="M15" s="66">
        <f>IF($B15="","",SUMIF(Task_Tracker!$F$5:$F$1004,$B15,Task_Tracker!$O$5:$O$1004))</f>
        <v/>
      </c>
      <c r="N15" s="66">
        <f>IF(OR($L15="",$M15=""),"",$M15-$L15)</f>
        <v/>
      </c>
      <c r="O15" s="84">
        <f>IF($B15="","",COUNTIFS(Task_Tracker!$F$5:$F$1004,$B15,Task_Tracker!$R$5:$R$1004,"Overdue"))</f>
        <v/>
      </c>
      <c r="P15" s="84">
        <f>IF($B15="","",COUNTIFS(Task_Tracker!$F$5:$F$1004,$B15,Task_Tracker!$S$5:$S$1004,TEXT(TODAY(),"yyyy-mm")))</f>
        <v/>
      </c>
      <c r="Q15" s="66">
        <f>IF($B15="","",SUMIFS(Task_Tracker!$O$5:$O$1004,Task_Tracker!$F$5:$F$1004,$B15,Task_Tracker!$S$5:$S$1004,TEXT(TODAY(),"yyyy-mm")))</f>
        <v/>
      </c>
      <c r="R15" s="86">
        <f>IFERROR($Q15/($F15*4),"")</f>
        <v/>
      </c>
    </row>
    <row r="16" ht="15" customHeight="1" s="40">
      <c r="A16" s="67">
        <f>Employee_Master!A16</f>
        <v/>
      </c>
      <c r="B16" s="67">
        <f>Employee_Master!B16</f>
        <v/>
      </c>
      <c r="C16" s="67">
        <f>Employee_Master!C16</f>
        <v/>
      </c>
      <c r="D16" s="67">
        <f>Employee_Master!D16</f>
        <v/>
      </c>
      <c r="E16" s="67">
        <f>Employee_Master!E16</f>
        <v/>
      </c>
      <c r="F16" s="87">
        <f>Employee_Master!H16</f>
        <v/>
      </c>
      <c r="G16" s="67">
        <f>Employee_Master!I16</f>
        <v/>
      </c>
      <c r="H16" s="84">
        <f>IF($B16="","",COUNTIF(Task_Tracker!$F$5:$F$1004,$B16))</f>
        <v/>
      </c>
      <c r="I16" s="84">
        <f>IF($B16="","",COUNTIFS(Task_Tracker!$F$5:$F$1004,$B16,Task_Tracker!$A$5:$A$1004,"&lt;&gt;",Task_Tracker!$I$5:$I$1004,"&lt;&gt;Completed",Task_Tracker!$I$5:$I$1004,"&lt;&gt;Cancelled"))</f>
        <v/>
      </c>
      <c r="J16" s="84">
        <f>IF($B16="","",COUNTIFS(Task_Tracker!$F$5:$F$1004,$B16,Task_Tracker!$I$5:$I$1004,"Completed"))</f>
        <v/>
      </c>
      <c r="K16" s="86">
        <f>IFERROR($J16/$H16,"")</f>
        <v/>
      </c>
      <c r="L16" s="66">
        <f>IF($B16="","",SUMIF(Task_Tracker!$F$5:$F$1004,$B16,Task_Tracker!$N$5:$N$1004))</f>
        <v/>
      </c>
      <c r="M16" s="66">
        <f>IF($B16="","",SUMIF(Task_Tracker!$F$5:$F$1004,$B16,Task_Tracker!$O$5:$O$1004))</f>
        <v/>
      </c>
      <c r="N16" s="66">
        <f>IF(OR($L16="",$M16=""),"",$M16-$L16)</f>
        <v/>
      </c>
      <c r="O16" s="84">
        <f>IF($B16="","",COUNTIFS(Task_Tracker!$F$5:$F$1004,$B16,Task_Tracker!$R$5:$R$1004,"Overdue"))</f>
        <v/>
      </c>
      <c r="P16" s="84">
        <f>IF($B16="","",COUNTIFS(Task_Tracker!$F$5:$F$1004,$B16,Task_Tracker!$S$5:$S$1004,TEXT(TODAY(),"yyyy-mm")))</f>
        <v/>
      </c>
      <c r="Q16" s="66">
        <f>IF($B16="","",SUMIFS(Task_Tracker!$O$5:$O$1004,Task_Tracker!$F$5:$F$1004,$B16,Task_Tracker!$S$5:$S$1004,TEXT(TODAY(),"yyyy-mm")))</f>
        <v/>
      </c>
      <c r="R16" s="86">
        <f>IFERROR($Q16/($F16*4),"")</f>
        <v/>
      </c>
    </row>
    <row r="17" ht="15" customHeight="1" s="40">
      <c r="A17" s="67">
        <f>Employee_Master!A17</f>
        <v/>
      </c>
      <c r="B17" s="67">
        <f>Employee_Master!B17</f>
        <v/>
      </c>
      <c r="C17" s="67">
        <f>Employee_Master!C17</f>
        <v/>
      </c>
      <c r="D17" s="67">
        <f>Employee_Master!D17</f>
        <v/>
      </c>
      <c r="E17" s="67">
        <f>Employee_Master!E17</f>
        <v/>
      </c>
      <c r="F17" s="87">
        <f>Employee_Master!H17</f>
        <v/>
      </c>
      <c r="G17" s="67">
        <f>Employee_Master!I17</f>
        <v/>
      </c>
      <c r="H17" s="84">
        <f>IF($B17="","",COUNTIF(Task_Tracker!$F$5:$F$1004,$B17))</f>
        <v/>
      </c>
      <c r="I17" s="84">
        <f>IF($B17="","",COUNTIFS(Task_Tracker!$F$5:$F$1004,$B17,Task_Tracker!$A$5:$A$1004,"&lt;&gt;",Task_Tracker!$I$5:$I$1004,"&lt;&gt;Completed",Task_Tracker!$I$5:$I$1004,"&lt;&gt;Cancelled"))</f>
        <v/>
      </c>
      <c r="J17" s="84">
        <f>IF($B17="","",COUNTIFS(Task_Tracker!$F$5:$F$1004,$B17,Task_Tracker!$I$5:$I$1004,"Completed"))</f>
        <v/>
      </c>
      <c r="K17" s="86">
        <f>IFERROR($J17/$H17,"")</f>
        <v/>
      </c>
      <c r="L17" s="66">
        <f>IF($B17="","",SUMIF(Task_Tracker!$F$5:$F$1004,$B17,Task_Tracker!$N$5:$N$1004))</f>
        <v/>
      </c>
      <c r="M17" s="66">
        <f>IF($B17="","",SUMIF(Task_Tracker!$F$5:$F$1004,$B17,Task_Tracker!$O$5:$O$1004))</f>
        <v/>
      </c>
      <c r="N17" s="66">
        <f>IF(OR($L17="",$M17=""),"",$M17-$L17)</f>
        <v/>
      </c>
      <c r="O17" s="84">
        <f>IF($B17="","",COUNTIFS(Task_Tracker!$F$5:$F$1004,$B17,Task_Tracker!$R$5:$R$1004,"Overdue"))</f>
        <v/>
      </c>
      <c r="P17" s="84">
        <f>IF($B17="","",COUNTIFS(Task_Tracker!$F$5:$F$1004,$B17,Task_Tracker!$S$5:$S$1004,TEXT(TODAY(),"yyyy-mm")))</f>
        <v/>
      </c>
      <c r="Q17" s="66">
        <f>IF($B17="","",SUMIFS(Task_Tracker!$O$5:$O$1004,Task_Tracker!$F$5:$F$1004,$B17,Task_Tracker!$S$5:$S$1004,TEXT(TODAY(),"yyyy-mm")))</f>
        <v/>
      </c>
      <c r="R17" s="86">
        <f>IFERROR($Q17/($F17*4),"")</f>
        <v/>
      </c>
    </row>
    <row r="18" ht="15" customHeight="1" s="40">
      <c r="A18" s="67">
        <f>Employee_Master!A18</f>
        <v/>
      </c>
      <c r="B18" s="67">
        <f>Employee_Master!B18</f>
        <v/>
      </c>
      <c r="C18" s="67">
        <f>Employee_Master!C18</f>
        <v/>
      </c>
      <c r="D18" s="67">
        <f>Employee_Master!D18</f>
        <v/>
      </c>
      <c r="E18" s="67">
        <f>Employee_Master!E18</f>
        <v/>
      </c>
      <c r="F18" s="87">
        <f>Employee_Master!H18</f>
        <v/>
      </c>
      <c r="G18" s="67">
        <f>Employee_Master!I18</f>
        <v/>
      </c>
      <c r="H18" s="84">
        <f>IF($B18="","",COUNTIF(Task_Tracker!$F$5:$F$1004,$B18))</f>
        <v/>
      </c>
      <c r="I18" s="84">
        <f>IF($B18="","",COUNTIFS(Task_Tracker!$F$5:$F$1004,$B18,Task_Tracker!$A$5:$A$1004,"&lt;&gt;",Task_Tracker!$I$5:$I$1004,"&lt;&gt;Completed",Task_Tracker!$I$5:$I$1004,"&lt;&gt;Cancelled"))</f>
        <v/>
      </c>
      <c r="J18" s="84">
        <f>IF($B18="","",COUNTIFS(Task_Tracker!$F$5:$F$1004,$B18,Task_Tracker!$I$5:$I$1004,"Completed"))</f>
        <v/>
      </c>
      <c r="K18" s="86">
        <f>IFERROR($J18/$H18,"")</f>
        <v/>
      </c>
      <c r="L18" s="66">
        <f>IF($B18="","",SUMIF(Task_Tracker!$F$5:$F$1004,$B18,Task_Tracker!$N$5:$N$1004))</f>
        <v/>
      </c>
      <c r="M18" s="66">
        <f>IF($B18="","",SUMIF(Task_Tracker!$F$5:$F$1004,$B18,Task_Tracker!$O$5:$O$1004))</f>
        <v/>
      </c>
      <c r="N18" s="66">
        <f>IF(OR($L18="",$M18=""),"",$M18-$L18)</f>
        <v/>
      </c>
      <c r="O18" s="84">
        <f>IF($B18="","",COUNTIFS(Task_Tracker!$F$5:$F$1004,$B18,Task_Tracker!$R$5:$R$1004,"Overdue"))</f>
        <v/>
      </c>
      <c r="P18" s="84">
        <f>IF($B18="","",COUNTIFS(Task_Tracker!$F$5:$F$1004,$B18,Task_Tracker!$S$5:$S$1004,TEXT(TODAY(),"yyyy-mm")))</f>
        <v/>
      </c>
      <c r="Q18" s="66">
        <f>IF($B18="","",SUMIFS(Task_Tracker!$O$5:$O$1004,Task_Tracker!$F$5:$F$1004,$B18,Task_Tracker!$S$5:$S$1004,TEXT(TODAY(),"yyyy-mm")))</f>
        <v/>
      </c>
      <c r="R18" s="86">
        <f>IFERROR($Q18/($F18*4),"")</f>
        <v/>
      </c>
    </row>
    <row r="19" ht="15" customHeight="1" s="40">
      <c r="A19" s="67">
        <f>Employee_Master!A19</f>
        <v/>
      </c>
      <c r="B19" s="67">
        <f>Employee_Master!B19</f>
        <v/>
      </c>
      <c r="C19" s="67">
        <f>Employee_Master!C19</f>
        <v/>
      </c>
      <c r="D19" s="67">
        <f>Employee_Master!D19</f>
        <v/>
      </c>
      <c r="E19" s="67">
        <f>Employee_Master!E19</f>
        <v/>
      </c>
      <c r="F19" s="87">
        <f>Employee_Master!H19</f>
        <v/>
      </c>
      <c r="G19" s="67">
        <f>Employee_Master!I19</f>
        <v/>
      </c>
      <c r="H19" s="84">
        <f>IF($B19="","",COUNTIF(Task_Tracker!$F$5:$F$1004,$B19))</f>
        <v/>
      </c>
      <c r="I19" s="84">
        <f>IF($B19="","",COUNTIFS(Task_Tracker!$F$5:$F$1004,$B19,Task_Tracker!$A$5:$A$1004,"&lt;&gt;",Task_Tracker!$I$5:$I$1004,"&lt;&gt;Completed",Task_Tracker!$I$5:$I$1004,"&lt;&gt;Cancelled"))</f>
        <v/>
      </c>
      <c r="J19" s="84">
        <f>IF($B19="","",COUNTIFS(Task_Tracker!$F$5:$F$1004,$B19,Task_Tracker!$I$5:$I$1004,"Completed"))</f>
        <v/>
      </c>
      <c r="K19" s="86">
        <f>IFERROR($J19/$H19,"")</f>
        <v/>
      </c>
      <c r="L19" s="66">
        <f>IF($B19="","",SUMIF(Task_Tracker!$F$5:$F$1004,$B19,Task_Tracker!$N$5:$N$1004))</f>
        <v/>
      </c>
      <c r="M19" s="66">
        <f>IF($B19="","",SUMIF(Task_Tracker!$F$5:$F$1004,$B19,Task_Tracker!$O$5:$O$1004))</f>
        <v/>
      </c>
      <c r="N19" s="66">
        <f>IF(OR($L19="",$M19=""),"",$M19-$L19)</f>
        <v/>
      </c>
      <c r="O19" s="84">
        <f>IF($B19="","",COUNTIFS(Task_Tracker!$F$5:$F$1004,$B19,Task_Tracker!$R$5:$R$1004,"Overdue"))</f>
        <v/>
      </c>
      <c r="P19" s="84">
        <f>IF($B19="","",COUNTIFS(Task_Tracker!$F$5:$F$1004,$B19,Task_Tracker!$S$5:$S$1004,TEXT(TODAY(),"yyyy-mm")))</f>
        <v/>
      </c>
      <c r="Q19" s="66">
        <f>IF($B19="","",SUMIFS(Task_Tracker!$O$5:$O$1004,Task_Tracker!$F$5:$F$1004,$B19,Task_Tracker!$S$5:$S$1004,TEXT(TODAY(),"yyyy-mm")))</f>
        <v/>
      </c>
      <c r="R19" s="86">
        <f>IFERROR($Q19/($F19*4),"")</f>
        <v/>
      </c>
    </row>
    <row r="20" ht="15" customHeight="1" s="40">
      <c r="A20" s="67">
        <f>Employee_Master!A20</f>
        <v/>
      </c>
      <c r="B20" s="67">
        <f>Employee_Master!B20</f>
        <v/>
      </c>
      <c r="C20" s="67">
        <f>Employee_Master!C20</f>
        <v/>
      </c>
      <c r="D20" s="67">
        <f>Employee_Master!D20</f>
        <v/>
      </c>
      <c r="E20" s="67">
        <f>Employee_Master!E20</f>
        <v/>
      </c>
      <c r="F20" s="87">
        <f>Employee_Master!H20</f>
        <v/>
      </c>
      <c r="G20" s="67">
        <f>Employee_Master!I20</f>
        <v/>
      </c>
      <c r="H20" s="84">
        <f>IF($B20="","",COUNTIF(Task_Tracker!$F$5:$F$1004,$B20))</f>
        <v/>
      </c>
      <c r="I20" s="84">
        <f>IF($B20="","",COUNTIFS(Task_Tracker!$F$5:$F$1004,$B20,Task_Tracker!$A$5:$A$1004,"&lt;&gt;",Task_Tracker!$I$5:$I$1004,"&lt;&gt;Completed",Task_Tracker!$I$5:$I$1004,"&lt;&gt;Cancelled"))</f>
        <v/>
      </c>
      <c r="J20" s="84">
        <f>IF($B20="","",COUNTIFS(Task_Tracker!$F$5:$F$1004,$B20,Task_Tracker!$I$5:$I$1004,"Completed"))</f>
        <v/>
      </c>
      <c r="K20" s="86">
        <f>IFERROR($J20/$H20,"")</f>
        <v/>
      </c>
      <c r="L20" s="66">
        <f>IF($B20="","",SUMIF(Task_Tracker!$F$5:$F$1004,$B20,Task_Tracker!$N$5:$N$1004))</f>
        <v/>
      </c>
      <c r="M20" s="66">
        <f>IF($B20="","",SUMIF(Task_Tracker!$F$5:$F$1004,$B20,Task_Tracker!$O$5:$O$1004))</f>
        <v/>
      </c>
      <c r="N20" s="66">
        <f>IF(OR($L20="",$M20=""),"",$M20-$L20)</f>
        <v/>
      </c>
      <c r="O20" s="84">
        <f>IF($B20="","",COUNTIFS(Task_Tracker!$F$5:$F$1004,$B20,Task_Tracker!$R$5:$R$1004,"Overdue"))</f>
        <v/>
      </c>
      <c r="P20" s="84">
        <f>IF($B20="","",COUNTIFS(Task_Tracker!$F$5:$F$1004,$B20,Task_Tracker!$S$5:$S$1004,TEXT(TODAY(),"yyyy-mm")))</f>
        <v/>
      </c>
      <c r="Q20" s="66">
        <f>IF($B20="","",SUMIFS(Task_Tracker!$O$5:$O$1004,Task_Tracker!$F$5:$F$1004,$B20,Task_Tracker!$S$5:$S$1004,TEXT(TODAY(),"yyyy-mm")))</f>
        <v/>
      </c>
      <c r="R20" s="86">
        <f>IFERROR($Q20/($F20*4),"")</f>
        <v/>
      </c>
    </row>
    <row r="21" ht="15" customHeight="1" s="40">
      <c r="A21" s="67">
        <f>Employee_Master!A21</f>
        <v/>
      </c>
      <c r="B21" s="67">
        <f>Employee_Master!B21</f>
        <v/>
      </c>
      <c r="C21" s="67">
        <f>Employee_Master!C21</f>
        <v/>
      </c>
      <c r="D21" s="67">
        <f>Employee_Master!D21</f>
        <v/>
      </c>
      <c r="E21" s="67">
        <f>Employee_Master!E21</f>
        <v/>
      </c>
      <c r="F21" s="87">
        <f>Employee_Master!H21</f>
        <v/>
      </c>
      <c r="G21" s="67">
        <f>Employee_Master!I21</f>
        <v/>
      </c>
      <c r="H21" s="84">
        <f>IF($B21="","",COUNTIF(Task_Tracker!$F$5:$F$1004,$B21))</f>
        <v/>
      </c>
      <c r="I21" s="84">
        <f>IF($B21="","",COUNTIFS(Task_Tracker!$F$5:$F$1004,$B21,Task_Tracker!$A$5:$A$1004,"&lt;&gt;",Task_Tracker!$I$5:$I$1004,"&lt;&gt;Completed",Task_Tracker!$I$5:$I$1004,"&lt;&gt;Cancelled"))</f>
        <v/>
      </c>
      <c r="J21" s="84">
        <f>IF($B21="","",COUNTIFS(Task_Tracker!$F$5:$F$1004,$B21,Task_Tracker!$I$5:$I$1004,"Completed"))</f>
        <v/>
      </c>
      <c r="K21" s="86">
        <f>IFERROR($J21/$H21,"")</f>
        <v/>
      </c>
      <c r="L21" s="66">
        <f>IF($B21="","",SUMIF(Task_Tracker!$F$5:$F$1004,$B21,Task_Tracker!$N$5:$N$1004))</f>
        <v/>
      </c>
      <c r="M21" s="66">
        <f>IF($B21="","",SUMIF(Task_Tracker!$F$5:$F$1004,$B21,Task_Tracker!$O$5:$O$1004))</f>
        <v/>
      </c>
      <c r="N21" s="66">
        <f>IF(OR($L21="",$M21=""),"",$M21-$L21)</f>
        <v/>
      </c>
      <c r="O21" s="84">
        <f>IF($B21="","",COUNTIFS(Task_Tracker!$F$5:$F$1004,$B21,Task_Tracker!$R$5:$R$1004,"Overdue"))</f>
        <v/>
      </c>
      <c r="P21" s="84">
        <f>IF($B21="","",COUNTIFS(Task_Tracker!$F$5:$F$1004,$B21,Task_Tracker!$S$5:$S$1004,TEXT(TODAY(),"yyyy-mm")))</f>
        <v/>
      </c>
      <c r="Q21" s="66">
        <f>IF($B21="","",SUMIFS(Task_Tracker!$O$5:$O$1004,Task_Tracker!$F$5:$F$1004,$B21,Task_Tracker!$S$5:$S$1004,TEXT(TODAY(),"yyyy-mm")))</f>
        <v/>
      </c>
      <c r="R21" s="86">
        <f>IFERROR($Q21/($F21*4),"")</f>
        <v/>
      </c>
    </row>
    <row r="22" ht="15" customHeight="1" s="40">
      <c r="A22" s="67">
        <f>Employee_Master!A22</f>
        <v/>
      </c>
      <c r="B22" s="67">
        <f>Employee_Master!B22</f>
        <v/>
      </c>
      <c r="C22" s="67">
        <f>Employee_Master!C22</f>
        <v/>
      </c>
      <c r="D22" s="67">
        <f>Employee_Master!D22</f>
        <v/>
      </c>
      <c r="E22" s="67">
        <f>Employee_Master!E22</f>
        <v/>
      </c>
      <c r="F22" s="87">
        <f>Employee_Master!H22</f>
        <v/>
      </c>
      <c r="G22" s="67">
        <f>Employee_Master!I22</f>
        <v/>
      </c>
      <c r="H22" s="84">
        <f>IF($B22="","",COUNTIF(Task_Tracker!$F$5:$F$1004,$B22))</f>
        <v/>
      </c>
      <c r="I22" s="84">
        <f>IF($B22="","",COUNTIFS(Task_Tracker!$F$5:$F$1004,$B22,Task_Tracker!$A$5:$A$1004,"&lt;&gt;",Task_Tracker!$I$5:$I$1004,"&lt;&gt;Completed",Task_Tracker!$I$5:$I$1004,"&lt;&gt;Cancelled"))</f>
        <v/>
      </c>
      <c r="J22" s="84">
        <f>IF($B22="","",COUNTIFS(Task_Tracker!$F$5:$F$1004,$B22,Task_Tracker!$I$5:$I$1004,"Completed"))</f>
        <v/>
      </c>
      <c r="K22" s="86">
        <f>IFERROR($J22/$H22,"")</f>
        <v/>
      </c>
      <c r="L22" s="66">
        <f>IF($B22="","",SUMIF(Task_Tracker!$F$5:$F$1004,$B22,Task_Tracker!$N$5:$N$1004))</f>
        <v/>
      </c>
      <c r="M22" s="66">
        <f>IF($B22="","",SUMIF(Task_Tracker!$F$5:$F$1004,$B22,Task_Tracker!$O$5:$O$1004))</f>
        <v/>
      </c>
      <c r="N22" s="66">
        <f>IF(OR($L22="",$M22=""),"",$M22-$L22)</f>
        <v/>
      </c>
      <c r="O22" s="84">
        <f>IF($B22="","",COUNTIFS(Task_Tracker!$F$5:$F$1004,$B22,Task_Tracker!$R$5:$R$1004,"Overdue"))</f>
        <v/>
      </c>
      <c r="P22" s="84">
        <f>IF($B22="","",COUNTIFS(Task_Tracker!$F$5:$F$1004,$B22,Task_Tracker!$S$5:$S$1004,TEXT(TODAY(),"yyyy-mm")))</f>
        <v/>
      </c>
      <c r="Q22" s="66">
        <f>IF($B22="","",SUMIFS(Task_Tracker!$O$5:$O$1004,Task_Tracker!$F$5:$F$1004,$B22,Task_Tracker!$S$5:$S$1004,TEXT(TODAY(),"yyyy-mm")))</f>
        <v/>
      </c>
      <c r="R22" s="86">
        <f>IFERROR($Q22/($F22*4),"")</f>
        <v/>
      </c>
    </row>
    <row r="23" ht="15" customHeight="1" s="40">
      <c r="A23" s="67">
        <f>Employee_Master!A23</f>
        <v/>
      </c>
      <c r="B23" s="67">
        <f>Employee_Master!B23</f>
        <v/>
      </c>
      <c r="C23" s="67">
        <f>Employee_Master!C23</f>
        <v/>
      </c>
      <c r="D23" s="67">
        <f>Employee_Master!D23</f>
        <v/>
      </c>
      <c r="E23" s="67">
        <f>Employee_Master!E23</f>
        <v/>
      </c>
      <c r="F23" s="87">
        <f>Employee_Master!H23</f>
        <v/>
      </c>
      <c r="G23" s="67">
        <f>Employee_Master!I23</f>
        <v/>
      </c>
      <c r="H23" s="84">
        <f>IF($B23="","",COUNTIF(Task_Tracker!$F$5:$F$1004,$B23))</f>
        <v/>
      </c>
      <c r="I23" s="84">
        <f>IF($B23="","",COUNTIFS(Task_Tracker!$F$5:$F$1004,$B23,Task_Tracker!$A$5:$A$1004,"&lt;&gt;",Task_Tracker!$I$5:$I$1004,"&lt;&gt;Completed",Task_Tracker!$I$5:$I$1004,"&lt;&gt;Cancelled"))</f>
        <v/>
      </c>
      <c r="J23" s="84">
        <f>IF($B23="","",COUNTIFS(Task_Tracker!$F$5:$F$1004,$B23,Task_Tracker!$I$5:$I$1004,"Completed"))</f>
        <v/>
      </c>
      <c r="K23" s="86">
        <f>IFERROR($J23/$H23,"")</f>
        <v/>
      </c>
      <c r="L23" s="66">
        <f>IF($B23="","",SUMIF(Task_Tracker!$F$5:$F$1004,$B23,Task_Tracker!$N$5:$N$1004))</f>
        <v/>
      </c>
      <c r="M23" s="66">
        <f>IF($B23="","",SUMIF(Task_Tracker!$F$5:$F$1004,$B23,Task_Tracker!$O$5:$O$1004))</f>
        <v/>
      </c>
      <c r="N23" s="66">
        <f>IF(OR($L23="",$M23=""),"",$M23-$L23)</f>
        <v/>
      </c>
      <c r="O23" s="84">
        <f>IF($B23="","",COUNTIFS(Task_Tracker!$F$5:$F$1004,$B23,Task_Tracker!$R$5:$R$1004,"Overdue"))</f>
        <v/>
      </c>
      <c r="P23" s="84">
        <f>IF($B23="","",COUNTIFS(Task_Tracker!$F$5:$F$1004,$B23,Task_Tracker!$S$5:$S$1004,TEXT(TODAY(),"yyyy-mm")))</f>
        <v/>
      </c>
      <c r="Q23" s="66">
        <f>IF($B23="","",SUMIFS(Task_Tracker!$O$5:$O$1004,Task_Tracker!$F$5:$F$1004,$B23,Task_Tracker!$S$5:$S$1004,TEXT(TODAY(),"yyyy-mm")))</f>
        <v/>
      </c>
      <c r="R23" s="86">
        <f>IFERROR($Q23/($F23*4),"")</f>
        <v/>
      </c>
    </row>
    <row r="24" ht="15" customHeight="1" s="40">
      <c r="A24" s="67">
        <f>Employee_Master!A24</f>
        <v/>
      </c>
      <c r="B24" s="67">
        <f>Employee_Master!B24</f>
        <v/>
      </c>
      <c r="C24" s="67">
        <f>Employee_Master!C24</f>
        <v/>
      </c>
      <c r="D24" s="67">
        <f>Employee_Master!D24</f>
        <v/>
      </c>
      <c r="E24" s="67">
        <f>Employee_Master!E24</f>
        <v/>
      </c>
      <c r="F24" s="87">
        <f>Employee_Master!H24</f>
        <v/>
      </c>
      <c r="G24" s="67">
        <f>Employee_Master!I24</f>
        <v/>
      </c>
      <c r="H24" s="84">
        <f>IF($B24="","",COUNTIF(Task_Tracker!$F$5:$F$1004,$B24))</f>
        <v/>
      </c>
      <c r="I24" s="84">
        <f>IF($B24="","",COUNTIFS(Task_Tracker!$F$5:$F$1004,$B24,Task_Tracker!$A$5:$A$1004,"&lt;&gt;",Task_Tracker!$I$5:$I$1004,"&lt;&gt;Completed",Task_Tracker!$I$5:$I$1004,"&lt;&gt;Cancelled"))</f>
        <v/>
      </c>
      <c r="J24" s="84">
        <f>IF($B24="","",COUNTIFS(Task_Tracker!$F$5:$F$1004,$B24,Task_Tracker!$I$5:$I$1004,"Completed"))</f>
        <v/>
      </c>
      <c r="K24" s="86">
        <f>IFERROR($J24/$H24,"")</f>
        <v/>
      </c>
      <c r="L24" s="66">
        <f>IF($B24="","",SUMIF(Task_Tracker!$F$5:$F$1004,$B24,Task_Tracker!$N$5:$N$1004))</f>
        <v/>
      </c>
      <c r="M24" s="66">
        <f>IF($B24="","",SUMIF(Task_Tracker!$F$5:$F$1004,$B24,Task_Tracker!$O$5:$O$1004))</f>
        <v/>
      </c>
      <c r="N24" s="66">
        <f>IF(OR($L24="",$M24=""),"",$M24-$L24)</f>
        <v/>
      </c>
      <c r="O24" s="84">
        <f>IF($B24="","",COUNTIFS(Task_Tracker!$F$5:$F$1004,$B24,Task_Tracker!$R$5:$R$1004,"Overdue"))</f>
        <v/>
      </c>
      <c r="P24" s="84">
        <f>IF($B24="","",COUNTIFS(Task_Tracker!$F$5:$F$1004,$B24,Task_Tracker!$S$5:$S$1004,TEXT(TODAY(),"yyyy-mm")))</f>
        <v/>
      </c>
      <c r="Q24" s="66">
        <f>IF($B24="","",SUMIFS(Task_Tracker!$O$5:$O$1004,Task_Tracker!$F$5:$F$1004,$B24,Task_Tracker!$S$5:$S$1004,TEXT(TODAY(),"yyyy-mm")))</f>
        <v/>
      </c>
      <c r="R24" s="86">
        <f>IFERROR($Q24/($F24*4),"")</f>
        <v/>
      </c>
    </row>
    <row r="25" ht="15" customHeight="1" s="40">
      <c r="A25" s="67">
        <f>Employee_Master!A25</f>
        <v/>
      </c>
      <c r="B25" s="67">
        <f>Employee_Master!B25</f>
        <v/>
      </c>
      <c r="C25" s="67">
        <f>Employee_Master!C25</f>
        <v/>
      </c>
      <c r="D25" s="67">
        <f>Employee_Master!D25</f>
        <v/>
      </c>
      <c r="E25" s="67">
        <f>Employee_Master!E25</f>
        <v/>
      </c>
      <c r="F25" s="87">
        <f>Employee_Master!H25</f>
        <v/>
      </c>
      <c r="G25" s="67">
        <f>Employee_Master!I25</f>
        <v/>
      </c>
      <c r="H25" s="84">
        <f>IF($B25="","",COUNTIF(Task_Tracker!$F$5:$F$1004,$B25))</f>
        <v/>
      </c>
      <c r="I25" s="84">
        <f>IF($B25="","",COUNTIFS(Task_Tracker!$F$5:$F$1004,$B25,Task_Tracker!$A$5:$A$1004,"&lt;&gt;",Task_Tracker!$I$5:$I$1004,"&lt;&gt;Completed",Task_Tracker!$I$5:$I$1004,"&lt;&gt;Cancelled"))</f>
        <v/>
      </c>
      <c r="J25" s="84">
        <f>IF($B25="","",COUNTIFS(Task_Tracker!$F$5:$F$1004,$B25,Task_Tracker!$I$5:$I$1004,"Completed"))</f>
        <v/>
      </c>
      <c r="K25" s="86">
        <f>IFERROR($J25/$H25,"")</f>
        <v/>
      </c>
      <c r="L25" s="66">
        <f>IF($B25="","",SUMIF(Task_Tracker!$F$5:$F$1004,$B25,Task_Tracker!$N$5:$N$1004))</f>
        <v/>
      </c>
      <c r="M25" s="66">
        <f>IF($B25="","",SUMIF(Task_Tracker!$F$5:$F$1004,$B25,Task_Tracker!$O$5:$O$1004))</f>
        <v/>
      </c>
      <c r="N25" s="66">
        <f>IF(OR($L25="",$M25=""),"",$M25-$L25)</f>
        <v/>
      </c>
      <c r="O25" s="84">
        <f>IF($B25="","",COUNTIFS(Task_Tracker!$F$5:$F$1004,$B25,Task_Tracker!$R$5:$R$1004,"Overdue"))</f>
        <v/>
      </c>
      <c r="P25" s="84">
        <f>IF($B25="","",COUNTIFS(Task_Tracker!$F$5:$F$1004,$B25,Task_Tracker!$S$5:$S$1004,TEXT(TODAY(),"yyyy-mm")))</f>
        <v/>
      </c>
      <c r="Q25" s="66">
        <f>IF($B25="","",SUMIFS(Task_Tracker!$O$5:$O$1004,Task_Tracker!$F$5:$F$1004,$B25,Task_Tracker!$S$5:$S$1004,TEXT(TODAY(),"yyyy-mm")))</f>
        <v/>
      </c>
      <c r="R25" s="86">
        <f>IFERROR($Q25/($F25*4),"")</f>
        <v/>
      </c>
    </row>
    <row r="26" ht="15" customHeight="1" s="40">
      <c r="A26" s="67">
        <f>Employee_Master!A26</f>
        <v/>
      </c>
      <c r="B26" s="67">
        <f>Employee_Master!B26</f>
        <v/>
      </c>
      <c r="C26" s="67">
        <f>Employee_Master!C26</f>
        <v/>
      </c>
      <c r="D26" s="67">
        <f>Employee_Master!D26</f>
        <v/>
      </c>
      <c r="E26" s="67">
        <f>Employee_Master!E26</f>
        <v/>
      </c>
      <c r="F26" s="87">
        <f>Employee_Master!H26</f>
        <v/>
      </c>
      <c r="G26" s="67">
        <f>Employee_Master!I26</f>
        <v/>
      </c>
      <c r="H26" s="84">
        <f>IF($B26="","",COUNTIF(Task_Tracker!$F$5:$F$1004,$B26))</f>
        <v/>
      </c>
      <c r="I26" s="84">
        <f>IF($B26="","",COUNTIFS(Task_Tracker!$F$5:$F$1004,$B26,Task_Tracker!$A$5:$A$1004,"&lt;&gt;",Task_Tracker!$I$5:$I$1004,"&lt;&gt;Completed",Task_Tracker!$I$5:$I$1004,"&lt;&gt;Cancelled"))</f>
        <v/>
      </c>
      <c r="J26" s="84">
        <f>IF($B26="","",COUNTIFS(Task_Tracker!$F$5:$F$1004,$B26,Task_Tracker!$I$5:$I$1004,"Completed"))</f>
        <v/>
      </c>
      <c r="K26" s="86">
        <f>IFERROR($J26/$H26,"")</f>
        <v/>
      </c>
      <c r="L26" s="66">
        <f>IF($B26="","",SUMIF(Task_Tracker!$F$5:$F$1004,$B26,Task_Tracker!$N$5:$N$1004))</f>
        <v/>
      </c>
      <c r="M26" s="66">
        <f>IF($B26="","",SUMIF(Task_Tracker!$F$5:$F$1004,$B26,Task_Tracker!$O$5:$O$1004))</f>
        <v/>
      </c>
      <c r="N26" s="66">
        <f>IF(OR($L26="",$M26=""),"",$M26-$L26)</f>
        <v/>
      </c>
      <c r="O26" s="84">
        <f>IF($B26="","",COUNTIFS(Task_Tracker!$F$5:$F$1004,$B26,Task_Tracker!$R$5:$R$1004,"Overdue"))</f>
        <v/>
      </c>
      <c r="P26" s="84">
        <f>IF($B26="","",COUNTIFS(Task_Tracker!$F$5:$F$1004,$B26,Task_Tracker!$S$5:$S$1004,TEXT(TODAY(),"yyyy-mm")))</f>
        <v/>
      </c>
      <c r="Q26" s="66">
        <f>IF($B26="","",SUMIFS(Task_Tracker!$O$5:$O$1004,Task_Tracker!$F$5:$F$1004,$B26,Task_Tracker!$S$5:$S$1004,TEXT(TODAY(),"yyyy-mm")))</f>
        <v/>
      </c>
      <c r="R26" s="86">
        <f>IFERROR($Q26/($F26*4),"")</f>
        <v/>
      </c>
    </row>
    <row r="27" ht="15" customHeight="1" s="40">
      <c r="A27" s="67">
        <f>Employee_Master!A27</f>
        <v/>
      </c>
      <c r="B27" s="67">
        <f>Employee_Master!B27</f>
        <v/>
      </c>
      <c r="C27" s="67">
        <f>Employee_Master!C27</f>
        <v/>
      </c>
      <c r="D27" s="67">
        <f>Employee_Master!D27</f>
        <v/>
      </c>
      <c r="E27" s="67">
        <f>Employee_Master!E27</f>
        <v/>
      </c>
      <c r="F27" s="87">
        <f>Employee_Master!H27</f>
        <v/>
      </c>
      <c r="G27" s="67">
        <f>Employee_Master!I27</f>
        <v/>
      </c>
      <c r="H27" s="84">
        <f>IF($B27="","",COUNTIF(Task_Tracker!$F$5:$F$1004,$B27))</f>
        <v/>
      </c>
      <c r="I27" s="84">
        <f>IF($B27="","",COUNTIFS(Task_Tracker!$F$5:$F$1004,$B27,Task_Tracker!$A$5:$A$1004,"&lt;&gt;",Task_Tracker!$I$5:$I$1004,"&lt;&gt;Completed",Task_Tracker!$I$5:$I$1004,"&lt;&gt;Cancelled"))</f>
        <v/>
      </c>
      <c r="J27" s="84">
        <f>IF($B27="","",COUNTIFS(Task_Tracker!$F$5:$F$1004,$B27,Task_Tracker!$I$5:$I$1004,"Completed"))</f>
        <v/>
      </c>
      <c r="K27" s="86">
        <f>IFERROR($J27/$H27,"")</f>
        <v/>
      </c>
      <c r="L27" s="66">
        <f>IF($B27="","",SUMIF(Task_Tracker!$F$5:$F$1004,$B27,Task_Tracker!$N$5:$N$1004))</f>
        <v/>
      </c>
      <c r="M27" s="66">
        <f>IF($B27="","",SUMIF(Task_Tracker!$F$5:$F$1004,$B27,Task_Tracker!$O$5:$O$1004))</f>
        <v/>
      </c>
      <c r="N27" s="66">
        <f>IF(OR($L27="",$M27=""),"",$M27-$L27)</f>
        <v/>
      </c>
      <c r="O27" s="84">
        <f>IF($B27="","",COUNTIFS(Task_Tracker!$F$5:$F$1004,$B27,Task_Tracker!$R$5:$R$1004,"Overdue"))</f>
        <v/>
      </c>
      <c r="P27" s="84">
        <f>IF($B27="","",COUNTIFS(Task_Tracker!$F$5:$F$1004,$B27,Task_Tracker!$S$5:$S$1004,TEXT(TODAY(),"yyyy-mm")))</f>
        <v/>
      </c>
      <c r="Q27" s="66">
        <f>IF($B27="","",SUMIFS(Task_Tracker!$O$5:$O$1004,Task_Tracker!$F$5:$F$1004,$B27,Task_Tracker!$S$5:$S$1004,TEXT(TODAY(),"yyyy-mm")))</f>
        <v/>
      </c>
      <c r="R27" s="86">
        <f>IFERROR($Q27/($F27*4),"")</f>
        <v/>
      </c>
    </row>
    <row r="28" ht="15" customHeight="1" s="40">
      <c r="A28" s="67">
        <f>Employee_Master!A28</f>
        <v/>
      </c>
      <c r="B28" s="67">
        <f>Employee_Master!B28</f>
        <v/>
      </c>
      <c r="C28" s="67">
        <f>Employee_Master!C28</f>
        <v/>
      </c>
      <c r="D28" s="67">
        <f>Employee_Master!D28</f>
        <v/>
      </c>
      <c r="E28" s="67">
        <f>Employee_Master!E28</f>
        <v/>
      </c>
      <c r="F28" s="87">
        <f>Employee_Master!H28</f>
        <v/>
      </c>
      <c r="G28" s="67">
        <f>Employee_Master!I28</f>
        <v/>
      </c>
      <c r="H28" s="84">
        <f>IF($B28="","",COUNTIF(Task_Tracker!$F$5:$F$1004,$B28))</f>
        <v/>
      </c>
      <c r="I28" s="84">
        <f>IF($B28="","",COUNTIFS(Task_Tracker!$F$5:$F$1004,$B28,Task_Tracker!$A$5:$A$1004,"&lt;&gt;",Task_Tracker!$I$5:$I$1004,"&lt;&gt;Completed",Task_Tracker!$I$5:$I$1004,"&lt;&gt;Cancelled"))</f>
        <v/>
      </c>
      <c r="J28" s="84">
        <f>IF($B28="","",COUNTIFS(Task_Tracker!$F$5:$F$1004,$B28,Task_Tracker!$I$5:$I$1004,"Completed"))</f>
        <v/>
      </c>
      <c r="K28" s="86">
        <f>IFERROR($J28/$H28,"")</f>
        <v/>
      </c>
      <c r="L28" s="66">
        <f>IF($B28="","",SUMIF(Task_Tracker!$F$5:$F$1004,$B28,Task_Tracker!$N$5:$N$1004))</f>
        <v/>
      </c>
      <c r="M28" s="66">
        <f>IF($B28="","",SUMIF(Task_Tracker!$F$5:$F$1004,$B28,Task_Tracker!$O$5:$O$1004))</f>
        <v/>
      </c>
      <c r="N28" s="66">
        <f>IF(OR($L28="",$M28=""),"",$M28-$L28)</f>
        <v/>
      </c>
      <c r="O28" s="84">
        <f>IF($B28="","",COUNTIFS(Task_Tracker!$F$5:$F$1004,$B28,Task_Tracker!$R$5:$R$1004,"Overdue"))</f>
        <v/>
      </c>
      <c r="P28" s="84">
        <f>IF($B28="","",COUNTIFS(Task_Tracker!$F$5:$F$1004,$B28,Task_Tracker!$S$5:$S$1004,TEXT(TODAY(),"yyyy-mm")))</f>
        <v/>
      </c>
      <c r="Q28" s="66">
        <f>IF($B28="","",SUMIFS(Task_Tracker!$O$5:$O$1004,Task_Tracker!$F$5:$F$1004,$B28,Task_Tracker!$S$5:$S$1004,TEXT(TODAY(),"yyyy-mm")))</f>
        <v/>
      </c>
      <c r="R28" s="86">
        <f>IFERROR($Q28/($F28*4),"")</f>
        <v/>
      </c>
    </row>
    <row r="29" ht="15" customHeight="1" s="40">
      <c r="A29" s="67">
        <f>Employee_Master!A29</f>
        <v/>
      </c>
      <c r="B29" s="67">
        <f>Employee_Master!B29</f>
        <v/>
      </c>
      <c r="C29" s="67">
        <f>Employee_Master!C29</f>
        <v/>
      </c>
      <c r="D29" s="67">
        <f>Employee_Master!D29</f>
        <v/>
      </c>
      <c r="E29" s="67">
        <f>Employee_Master!E29</f>
        <v/>
      </c>
      <c r="F29" s="87">
        <f>Employee_Master!H29</f>
        <v/>
      </c>
      <c r="G29" s="67">
        <f>Employee_Master!I29</f>
        <v/>
      </c>
      <c r="H29" s="84">
        <f>IF($B29="","",COUNTIF(Task_Tracker!$F$5:$F$1004,$B29))</f>
        <v/>
      </c>
      <c r="I29" s="84">
        <f>IF($B29="","",COUNTIFS(Task_Tracker!$F$5:$F$1004,$B29,Task_Tracker!$A$5:$A$1004,"&lt;&gt;",Task_Tracker!$I$5:$I$1004,"&lt;&gt;Completed",Task_Tracker!$I$5:$I$1004,"&lt;&gt;Cancelled"))</f>
        <v/>
      </c>
      <c r="J29" s="84">
        <f>IF($B29="","",COUNTIFS(Task_Tracker!$F$5:$F$1004,$B29,Task_Tracker!$I$5:$I$1004,"Completed"))</f>
        <v/>
      </c>
      <c r="K29" s="86">
        <f>IFERROR($J29/$H29,"")</f>
        <v/>
      </c>
      <c r="L29" s="66">
        <f>IF($B29="","",SUMIF(Task_Tracker!$F$5:$F$1004,$B29,Task_Tracker!$N$5:$N$1004))</f>
        <v/>
      </c>
      <c r="M29" s="66">
        <f>IF($B29="","",SUMIF(Task_Tracker!$F$5:$F$1004,$B29,Task_Tracker!$O$5:$O$1004))</f>
        <v/>
      </c>
      <c r="N29" s="66">
        <f>IF(OR($L29="",$M29=""),"",$M29-$L29)</f>
        <v/>
      </c>
      <c r="O29" s="84">
        <f>IF($B29="","",COUNTIFS(Task_Tracker!$F$5:$F$1004,$B29,Task_Tracker!$R$5:$R$1004,"Overdue"))</f>
        <v/>
      </c>
      <c r="P29" s="84">
        <f>IF($B29="","",COUNTIFS(Task_Tracker!$F$5:$F$1004,$B29,Task_Tracker!$S$5:$S$1004,TEXT(TODAY(),"yyyy-mm")))</f>
        <v/>
      </c>
      <c r="Q29" s="66">
        <f>IF($B29="","",SUMIFS(Task_Tracker!$O$5:$O$1004,Task_Tracker!$F$5:$F$1004,$B29,Task_Tracker!$S$5:$S$1004,TEXT(TODAY(),"yyyy-mm")))</f>
        <v/>
      </c>
      <c r="R29" s="86">
        <f>IFERROR($Q29/($F29*4),"")</f>
        <v/>
      </c>
    </row>
    <row r="30" ht="15" customHeight="1" s="40">
      <c r="A30" s="67">
        <f>Employee_Master!A30</f>
        <v/>
      </c>
      <c r="B30" s="67">
        <f>Employee_Master!B30</f>
        <v/>
      </c>
      <c r="C30" s="67">
        <f>Employee_Master!C30</f>
        <v/>
      </c>
      <c r="D30" s="67">
        <f>Employee_Master!D30</f>
        <v/>
      </c>
      <c r="E30" s="67">
        <f>Employee_Master!E30</f>
        <v/>
      </c>
      <c r="F30" s="87">
        <f>Employee_Master!H30</f>
        <v/>
      </c>
      <c r="G30" s="67">
        <f>Employee_Master!I30</f>
        <v/>
      </c>
      <c r="H30" s="84">
        <f>IF($B30="","",COUNTIF(Task_Tracker!$F$5:$F$1004,$B30))</f>
        <v/>
      </c>
      <c r="I30" s="84">
        <f>IF($B30="","",COUNTIFS(Task_Tracker!$F$5:$F$1004,$B30,Task_Tracker!$A$5:$A$1004,"&lt;&gt;",Task_Tracker!$I$5:$I$1004,"&lt;&gt;Completed",Task_Tracker!$I$5:$I$1004,"&lt;&gt;Cancelled"))</f>
        <v/>
      </c>
      <c r="J30" s="84">
        <f>IF($B30="","",COUNTIFS(Task_Tracker!$F$5:$F$1004,$B30,Task_Tracker!$I$5:$I$1004,"Completed"))</f>
        <v/>
      </c>
      <c r="K30" s="86">
        <f>IFERROR($J30/$H30,"")</f>
        <v/>
      </c>
      <c r="L30" s="66">
        <f>IF($B30="","",SUMIF(Task_Tracker!$F$5:$F$1004,$B30,Task_Tracker!$N$5:$N$1004))</f>
        <v/>
      </c>
      <c r="M30" s="66">
        <f>IF($B30="","",SUMIF(Task_Tracker!$F$5:$F$1004,$B30,Task_Tracker!$O$5:$O$1004))</f>
        <v/>
      </c>
      <c r="N30" s="66">
        <f>IF(OR($L30="",$M30=""),"",$M30-$L30)</f>
        <v/>
      </c>
      <c r="O30" s="84">
        <f>IF($B30="","",COUNTIFS(Task_Tracker!$F$5:$F$1004,$B30,Task_Tracker!$R$5:$R$1004,"Overdue"))</f>
        <v/>
      </c>
      <c r="P30" s="84">
        <f>IF($B30="","",COUNTIFS(Task_Tracker!$F$5:$F$1004,$B30,Task_Tracker!$S$5:$S$1004,TEXT(TODAY(),"yyyy-mm")))</f>
        <v/>
      </c>
      <c r="Q30" s="66">
        <f>IF($B30="","",SUMIFS(Task_Tracker!$O$5:$O$1004,Task_Tracker!$F$5:$F$1004,$B30,Task_Tracker!$S$5:$S$1004,TEXT(TODAY(),"yyyy-mm")))</f>
        <v/>
      </c>
      <c r="R30" s="86">
        <f>IFERROR($Q30/($F30*4),"")</f>
        <v/>
      </c>
    </row>
    <row r="31" ht="15" customHeight="1" s="40">
      <c r="A31" s="67">
        <f>Employee_Master!A31</f>
        <v/>
      </c>
      <c r="B31" s="67">
        <f>Employee_Master!B31</f>
        <v/>
      </c>
      <c r="C31" s="67">
        <f>Employee_Master!C31</f>
        <v/>
      </c>
      <c r="D31" s="67">
        <f>Employee_Master!D31</f>
        <v/>
      </c>
      <c r="E31" s="67">
        <f>Employee_Master!E31</f>
        <v/>
      </c>
      <c r="F31" s="87">
        <f>Employee_Master!H31</f>
        <v/>
      </c>
      <c r="G31" s="67">
        <f>Employee_Master!I31</f>
        <v/>
      </c>
      <c r="H31" s="84">
        <f>IF($B31="","",COUNTIF(Task_Tracker!$F$5:$F$1004,$B31))</f>
        <v/>
      </c>
      <c r="I31" s="84">
        <f>IF($B31="","",COUNTIFS(Task_Tracker!$F$5:$F$1004,$B31,Task_Tracker!$A$5:$A$1004,"&lt;&gt;",Task_Tracker!$I$5:$I$1004,"&lt;&gt;Completed",Task_Tracker!$I$5:$I$1004,"&lt;&gt;Cancelled"))</f>
        <v/>
      </c>
      <c r="J31" s="84">
        <f>IF($B31="","",COUNTIFS(Task_Tracker!$F$5:$F$1004,$B31,Task_Tracker!$I$5:$I$1004,"Completed"))</f>
        <v/>
      </c>
      <c r="K31" s="86">
        <f>IFERROR($J31/$H31,"")</f>
        <v/>
      </c>
      <c r="L31" s="66">
        <f>IF($B31="","",SUMIF(Task_Tracker!$F$5:$F$1004,$B31,Task_Tracker!$N$5:$N$1004))</f>
        <v/>
      </c>
      <c r="M31" s="66">
        <f>IF($B31="","",SUMIF(Task_Tracker!$F$5:$F$1004,$B31,Task_Tracker!$O$5:$O$1004))</f>
        <v/>
      </c>
      <c r="N31" s="66">
        <f>IF(OR($L31="",$M31=""),"",$M31-$L31)</f>
        <v/>
      </c>
      <c r="O31" s="84">
        <f>IF($B31="","",COUNTIFS(Task_Tracker!$F$5:$F$1004,$B31,Task_Tracker!$R$5:$R$1004,"Overdue"))</f>
        <v/>
      </c>
      <c r="P31" s="84">
        <f>IF($B31="","",COUNTIFS(Task_Tracker!$F$5:$F$1004,$B31,Task_Tracker!$S$5:$S$1004,TEXT(TODAY(),"yyyy-mm")))</f>
        <v/>
      </c>
      <c r="Q31" s="66">
        <f>IF($B31="","",SUMIFS(Task_Tracker!$O$5:$O$1004,Task_Tracker!$F$5:$F$1004,$B31,Task_Tracker!$S$5:$S$1004,TEXT(TODAY(),"yyyy-mm")))</f>
        <v/>
      </c>
      <c r="R31" s="86">
        <f>IFERROR($Q31/($F31*4),"")</f>
        <v/>
      </c>
    </row>
    <row r="32" ht="15" customHeight="1" s="40">
      <c r="A32" s="67">
        <f>Employee_Master!A32</f>
        <v/>
      </c>
      <c r="B32" s="67">
        <f>Employee_Master!B32</f>
        <v/>
      </c>
      <c r="C32" s="67">
        <f>Employee_Master!C32</f>
        <v/>
      </c>
      <c r="D32" s="67">
        <f>Employee_Master!D32</f>
        <v/>
      </c>
      <c r="E32" s="67">
        <f>Employee_Master!E32</f>
        <v/>
      </c>
      <c r="F32" s="87">
        <f>Employee_Master!H32</f>
        <v/>
      </c>
      <c r="G32" s="67">
        <f>Employee_Master!I32</f>
        <v/>
      </c>
      <c r="H32" s="84">
        <f>IF($B32="","",COUNTIF(Task_Tracker!$F$5:$F$1004,$B32))</f>
        <v/>
      </c>
      <c r="I32" s="84">
        <f>IF($B32="","",COUNTIFS(Task_Tracker!$F$5:$F$1004,$B32,Task_Tracker!$A$5:$A$1004,"&lt;&gt;",Task_Tracker!$I$5:$I$1004,"&lt;&gt;Completed",Task_Tracker!$I$5:$I$1004,"&lt;&gt;Cancelled"))</f>
        <v/>
      </c>
      <c r="J32" s="84">
        <f>IF($B32="","",COUNTIFS(Task_Tracker!$F$5:$F$1004,$B32,Task_Tracker!$I$5:$I$1004,"Completed"))</f>
        <v/>
      </c>
      <c r="K32" s="86">
        <f>IFERROR($J32/$H32,"")</f>
        <v/>
      </c>
      <c r="L32" s="66">
        <f>IF($B32="","",SUMIF(Task_Tracker!$F$5:$F$1004,$B32,Task_Tracker!$N$5:$N$1004))</f>
        <v/>
      </c>
      <c r="M32" s="66">
        <f>IF($B32="","",SUMIF(Task_Tracker!$F$5:$F$1004,$B32,Task_Tracker!$O$5:$O$1004))</f>
        <v/>
      </c>
      <c r="N32" s="66">
        <f>IF(OR($L32="",$M32=""),"",$M32-$L32)</f>
        <v/>
      </c>
      <c r="O32" s="84">
        <f>IF($B32="","",COUNTIFS(Task_Tracker!$F$5:$F$1004,$B32,Task_Tracker!$R$5:$R$1004,"Overdue"))</f>
        <v/>
      </c>
      <c r="P32" s="84">
        <f>IF($B32="","",COUNTIFS(Task_Tracker!$F$5:$F$1004,$B32,Task_Tracker!$S$5:$S$1004,TEXT(TODAY(),"yyyy-mm")))</f>
        <v/>
      </c>
      <c r="Q32" s="66">
        <f>IF($B32="","",SUMIFS(Task_Tracker!$O$5:$O$1004,Task_Tracker!$F$5:$F$1004,$B32,Task_Tracker!$S$5:$S$1004,TEXT(TODAY(),"yyyy-mm")))</f>
        <v/>
      </c>
      <c r="R32" s="86">
        <f>IFERROR($Q32/($F32*4),"")</f>
        <v/>
      </c>
    </row>
    <row r="33" ht="15" customHeight="1" s="40">
      <c r="A33" s="67">
        <f>Employee_Master!A33</f>
        <v/>
      </c>
      <c r="B33" s="67">
        <f>Employee_Master!B33</f>
        <v/>
      </c>
      <c r="C33" s="67">
        <f>Employee_Master!C33</f>
        <v/>
      </c>
      <c r="D33" s="67">
        <f>Employee_Master!D33</f>
        <v/>
      </c>
      <c r="E33" s="67">
        <f>Employee_Master!E33</f>
        <v/>
      </c>
      <c r="F33" s="87">
        <f>Employee_Master!H33</f>
        <v/>
      </c>
      <c r="G33" s="67">
        <f>Employee_Master!I33</f>
        <v/>
      </c>
      <c r="H33" s="84">
        <f>IF($B33="","",COUNTIF(Task_Tracker!$F$5:$F$1004,$B33))</f>
        <v/>
      </c>
      <c r="I33" s="84">
        <f>IF($B33="","",COUNTIFS(Task_Tracker!$F$5:$F$1004,$B33,Task_Tracker!$A$5:$A$1004,"&lt;&gt;",Task_Tracker!$I$5:$I$1004,"&lt;&gt;Completed",Task_Tracker!$I$5:$I$1004,"&lt;&gt;Cancelled"))</f>
        <v/>
      </c>
      <c r="J33" s="84">
        <f>IF($B33="","",COUNTIFS(Task_Tracker!$F$5:$F$1004,$B33,Task_Tracker!$I$5:$I$1004,"Completed"))</f>
        <v/>
      </c>
      <c r="K33" s="86">
        <f>IFERROR($J33/$H33,"")</f>
        <v/>
      </c>
      <c r="L33" s="66">
        <f>IF($B33="","",SUMIF(Task_Tracker!$F$5:$F$1004,$B33,Task_Tracker!$N$5:$N$1004))</f>
        <v/>
      </c>
      <c r="M33" s="66">
        <f>IF($B33="","",SUMIF(Task_Tracker!$F$5:$F$1004,$B33,Task_Tracker!$O$5:$O$1004))</f>
        <v/>
      </c>
      <c r="N33" s="66">
        <f>IF(OR($L33="",$M33=""),"",$M33-$L33)</f>
        <v/>
      </c>
      <c r="O33" s="84">
        <f>IF($B33="","",COUNTIFS(Task_Tracker!$F$5:$F$1004,$B33,Task_Tracker!$R$5:$R$1004,"Overdue"))</f>
        <v/>
      </c>
      <c r="P33" s="84">
        <f>IF($B33="","",COUNTIFS(Task_Tracker!$F$5:$F$1004,$B33,Task_Tracker!$S$5:$S$1004,TEXT(TODAY(),"yyyy-mm")))</f>
        <v/>
      </c>
      <c r="Q33" s="66">
        <f>IF($B33="","",SUMIFS(Task_Tracker!$O$5:$O$1004,Task_Tracker!$F$5:$F$1004,$B33,Task_Tracker!$S$5:$S$1004,TEXT(TODAY(),"yyyy-mm")))</f>
        <v/>
      </c>
      <c r="R33" s="86">
        <f>IFERROR($Q33/($F33*4),"")</f>
        <v/>
      </c>
    </row>
    <row r="34" ht="15" customHeight="1" s="40">
      <c r="A34" s="67">
        <f>Employee_Master!A34</f>
        <v/>
      </c>
      <c r="B34" s="67">
        <f>Employee_Master!B34</f>
        <v/>
      </c>
      <c r="C34" s="67">
        <f>Employee_Master!C34</f>
        <v/>
      </c>
      <c r="D34" s="67">
        <f>Employee_Master!D34</f>
        <v/>
      </c>
      <c r="E34" s="67">
        <f>Employee_Master!E34</f>
        <v/>
      </c>
      <c r="F34" s="87">
        <f>Employee_Master!H34</f>
        <v/>
      </c>
      <c r="G34" s="67">
        <f>Employee_Master!I34</f>
        <v/>
      </c>
      <c r="H34" s="84">
        <f>IF($B34="","",COUNTIF(Task_Tracker!$F$5:$F$1004,$B34))</f>
        <v/>
      </c>
      <c r="I34" s="84">
        <f>IF($B34="","",COUNTIFS(Task_Tracker!$F$5:$F$1004,$B34,Task_Tracker!$A$5:$A$1004,"&lt;&gt;",Task_Tracker!$I$5:$I$1004,"&lt;&gt;Completed",Task_Tracker!$I$5:$I$1004,"&lt;&gt;Cancelled"))</f>
        <v/>
      </c>
      <c r="J34" s="84">
        <f>IF($B34="","",COUNTIFS(Task_Tracker!$F$5:$F$1004,$B34,Task_Tracker!$I$5:$I$1004,"Completed"))</f>
        <v/>
      </c>
      <c r="K34" s="86">
        <f>IFERROR($J34/$H34,"")</f>
        <v/>
      </c>
      <c r="L34" s="66">
        <f>IF($B34="","",SUMIF(Task_Tracker!$F$5:$F$1004,$B34,Task_Tracker!$N$5:$N$1004))</f>
        <v/>
      </c>
      <c r="M34" s="66">
        <f>IF($B34="","",SUMIF(Task_Tracker!$F$5:$F$1004,$B34,Task_Tracker!$O$5:$O$1004))</f>
        <v/>
      </c>
      <c r="N34" s="66">
        <f>IF(OR($L34="",$M34=""),"",$M34-$L34)</f>
        <v/>
      </c>
      <c r="O34" s="84">
        <f>IF($B34="","",COUNTIFS(Task_Tracker!$F$5:$F$1004,$B34,Task_Tracker!$R$5:$R$1004,"Overdue"))</f>
        <v/>
      </c>
      <c r="P34" s="84">
        <f>IF($B34="","",COUNTIFS(Task_Tracker!$F$5:$F$1004,$B34,Task_Tracker!$S$5:$S$1004,TEXT(TODAY(),"yyyy-mm")))</f>
        <v/>
      </c>
      <c r="Q34" s="66">
        <f>IF($B34="","",SUMIFS(Task_Tracker!$O$5:$O$1004,Task_Tracker!$F$5:$F$1004,$B34,Task_Tracker!$S$5:$S$1004,TEXT(TODAY(),"yyyy-mm")))</f>
        <v/>
      </c>
      <c r="R34" s="86">
        <f>IFERROR($Q34/($F34*4),"")</f>
        <v/>
      </c>
    </row>
    <row r="35" ht="15" customHeight="1" s="40">
      <c r="A35" s="67">
        <f>Employee_Master!A35</f>
        <v/>
      </c>
      <c r="B35" s="67">
        <f>Employee_Master!B35</f>
        <v/>
      </c>
      <c r="C35" s="67">
        <f>Employee_Master!C35</f>
        <v/>
      </c>
      <c r="D35" s="67">
        <f>Employee_Master!D35</f>
        <v/>
      </c>
      <c r="E35" s="67">
        <f>Employee_Master!E35</f>
        <v/>
      </c>
      <c r="F35" s="87">
        <f>Employee_Master!H35</f>
        <v/>
      </c>
      <c r="G35" s="67">
        <f>Employee_Master!I35</f>
        <v/>
      </c>
      <c r="H35" s="84">
        <f>IF($B35="","",COUNTIF(Task_Tracker!$F$5:$F$1004,$B35))</f>
        <v/>
      </c>
      <c r="I35" s="84">
        <f>IF($B35="","",COUNTIFS(Task_Tracker!$F$5:$F$1004,$B35,Task_Tracker!$A$5:$A$1004,"&lt;&gt;",Task_Tracker!$I$5:$I$1004,"&lt;&gt;Completed",Task_Tracker!$I$5:$I$1004,"&lt;&gt;Cancelled"))</f>
        <v/>
      </c>
      <c r="J35" s="84">
        <f>IF($B35="","",COUNTIFS(Task_Tracker!$F$5:$F$1004,$B35,Task_Tracker!$I$5:$I$1004,"Completed"))</f>
        <v/>
      </c>
      <c r="K35" s="86">
        <f>IFERROR($J35/$H35,"")</f>
        <v/>
      </c>
      <c r="L35" s="66">
        <f>IF($B35="","",SUMIF(Task_Tracker!$F$5:$F$1004,$B35,Task_Tracker!$N$5:$N$1004))</f>
        <v/>
      </c>
      <c r="M35" s="66">
        <f>IF($B35="","",SUMIF(Task_Tracker!$F$5:$F$1004,$B35,Task_Tracker!$O$5:$O$1004))</f>
        <v/>
      </c>
      <c r="N35" s="66">
        <f>IF(OR($L35="",$M35=""),"",$M35-$L35)</f>
        <v/>
      </c>
      <c r="O35" s="84">
        <f>IF($B35="","",COUNTIFS(Task_Tracker!$F$5:$F$1004,$B35,Task_Tracker!$R$5:$R$1004,"Overdue"))</f>
        <v/>
      </c>
      <c r="P35" s="84">
        <f>IF($B35="","",COUNTIFS(Task_Tracker!$F$5:$F$1004,$B35,Task_Tracker!$S$5:$S$1004,TEXT(TODAY(),"yyyy-mm")))</f>
        <v/>
      </c>
      <c r="Q35" s="66">
        <f>IF($B35="","",SUMIFS(Task_Tracker!$O$5:$O$1004,Task_Tracker!$F$5:$F$1004,$B35,Task_Tracker!$S$5:$S$1004,TEXT(TODAY(),"yyyy-mm")))</f>
        <v/>
      </c>
      <c r="R35" s="86">
        <f>IFERROR($Q35/($F35*4),"")</f>
        <v/>
      </c>
    </row>
    <row r="36" ht="15" customHeight="1" s="40">
      <c r="A36" s="67">
        <f>Employee_Master!A36</f>
        <v/>
      </c>
      <c r="B36" s="67">
        <f>Employee_Master!B36</f>
        <v/>
      </c>
      <c r="C36" s="67">
        <f>Employee_Master!C36</f>
        <v/>
      </c>
      <c r="D36" s="67">
        <f>Employee_Master!D36</f>
        <v/>
      </c>
      <c r="E36" s="67">
        <f>Employee_Master!E36</f>
        <v/>
      </c>
      <c r="F36" s="87">
        <f>Employee_Master!H36</f>
        <v/>
      </c>
      <c r="G36" s="67">
        <f>Employee_Master!I36</f>
        <v/>
      </c>
      <c r="H36" s="84">
        <f>IF($B36="","",COUNTIF(Task_Tracker!$F$5:$F$1004,$B36))</f>
        <v/>
      </c>
      <c r="I36" s="84">
        <f>IF($B36="","",COUNTIFS(Task_Tracker!$F$5:$F$1004,$B36,Task_Tracker!$A$5:$A$1004,"&lt;&gt;",Task_Tracker!$I$5:$I$1004,"&lt;&gt;Completed",Task_Tracker!$I$5:$I$1004,"&lt;&gt;Cancelled"))</f>
        <v/>
      </c>
      <c r="J36" s="84">
        <f>IF($B36="","",COUNTIFS(Task_Tracker!$F$5:$F$1004,$B36,Task_Tracker!$I$5:$I$1004,"Completed"))</f>
        <v/>
      </c>
      <c r="K36" s="86">
        <f>IFERROR($J36/$H36,"")</f>
        <v/>
      </c>
      <c r="L36" s="66">
        <f>IF($B36="","",SUMIF(Task_Tracker!$F$5:$F$1004,$B36,Task_Tracker!$N$5:$N$1004))</f>
        <v/>
      </c>
      <c r="M36" s="66">
        <f>IF($B36="","",SUMIF(Task_Tracker!$F$5:$F$1004,$B36,Task_Tracker!$O$5:$O$1004))</f>
        <v/>
      </c>
      <c r="N36" s="66">
        <f>IF(OR($L36="",$M36=""),"",$M36-$L36)</f>
        <v/>
      </c>
      <c r="O36" s="84">
        <f>IF($B36="","",COUNTIFS(Task_Tracker!$F$5:$F$1004,$B36,Task_Tracker!$R$5:$R$1004,"Overdue"))</f>
        <v/>
      </c>
      <c r="P36" s="84">
        <f>IF($B36="","",COUNTIFS(Task_Tracker!$F$5:$F$1004,$B36,Task_Tracker!$S$5:$S$1004,TEXT(TODAY(),"yyyy-mm")))</f>
        <v/>
      </c>
      <c r="Q36" s="66">
        <f>IF($B36="","",SUMIFS(Task_Tracker!$O$5:$O$1004,Task_Tracker!$F$5:$F$1004,$B36,Task_Tracker!$S$5:$S$1004,TEXT(TODAY(),"yyyy-mm")))</f>
        <v/>
      </c>
      <c r="R36" s="86">
        <f>IFERROR($Q36/($F36*4),"")</f>
        <v/>
      </c>
    </row>
    <row r="37" ht="15" customHeight="1" s="40">
      <c r="A37" s="67">
        <f>Employee_Master!A37</f>
        <v/>
      </c>
      <c r="B37" s="67">
        <f>Employee_Master!B37</f>
        <v/>
      </c>
      <c r="C37" s="67">
        <f>Employee_Master!C37</f>
        <v/>
      </c>
      <c r="D37" s="67">
        <f>Employee_Master!D37</f>
        <v/>
      </c>
      <c r="E37" s="67">
        <f>Employee_Master!E37</f>
        <v/>
      </c>
      <c r="F37" s="87">
        <f>Employee_Master!H37</f>
        <v/>
      </c>
      <c r="G37" s="67">
        <f>Employee_Master!I37</f>
        <v/>
      </c>
      <c r="H37" s="84">
        <f>IF($B37="","",COUNTIF(Task_Tracker!$F$5:$F$1004,$B37))</f>
        <v/>
      </c>
      <c r="I37" s="84">
        <f>IF($B37="","",COUNTIFS(Task_Tracker!$F$5:$F$1004,$B37,Task_Tracker!$A$5:$A$1004,"&lt;&gt;",Task_Tracker!$I$5:$I$1004,"&lt;&gt;Completed",Task_Tracker!$I$5:$I$1004,"&lt;&gt;Cancelled"))</f>
        <v/>
      </c>
      <c r="J37" s="84">
        <f>IF($B37="","",COUNTIFS(Task_Tracker!$F$5:$F$1004,$B37,Task_Tracker!$I$5:$I$1004,"Completed"))</f>
        <v/>
      </c>
      <c r="K37" s="86">
        <f>IFERROR($J37/$H37,"")</f>
        <v/>
      </c>
      <c r="L37" s="66">
        <f>IF($B37="","",SUMIF(Task_Tracker!$F$5:$F$1004,$B37,Task_Tracker!$N$5:$N$1004))</f>
        <v/>
      </c>
      <c r="M37" s="66">
        <f>IF($B37="","",SUMIF(Task_Tracker!$F$5:$F$1004,$B37,Task_Tracker!$O$5:$O$1004))</f>
        <v/>
      </c>
      <c r="N37" s="66">
        <f>IF(OR($L37="",$M37=""),"",$M37-$L37)</f>
        <v/>
      </c>
      <c r="O37" s="84">
        <f>IF($B37="","",COUNTIFS(Task_Tracker!$F$5:$F$1004,$B37,Task_Tracker!$R$5:$R$1004,"Overdue"))</f>
        <v/>
      </c>
      <c r="P37" s="84">
        <f>IF($B37="","",COUNTIFS(Task_Tracker!$F$5:$F$1004,$B37,Task_Tracker!$S$5:$S$1004,TEXT(TODAY(),"yyyy-mm")))</f>
        <v/>
      </c>
      <c r="Q37" s="66">
        <f>IF($B37="","",SUMIFS(Task_Tracker!$O$5:$O$1004,Task_Tracker!$F$5:$F$1004,$B37,Task_Tracker!$S$5:$S$1004,TEXT(TODAY(),"yyyy-mm")))</f>
        <v/>
      </c>
      <c r="R37" s="86">
        <f>IFERROR($Q37/($F37*4),"")</f>
        <v/>
      </c>
    </row>
    <row r="38" ht="15" customHeight="1" s="40">
      <c r="A38" s="67">
        <f>Employee_Master!A38</f>
        <v/>
      </c>
      <c r="B38" s="67">
        <f>Employee_Master!B38</f>
        <v/>
      </c>
      <c r="C38" s="67">
        <f>Employee_Master!C38</f>
        <v/>
      </c>
      <c r="D38" s="67">
        <f>Employee_Master!D38</f>
        <v/>
      </c>
      <c r="E38" s="67">
        <f>Employee_Master!E38</f>
        <v/>
      </c>
      <c r="F38" s="87">
        <f>Employee_Master!H38</f>
        <v/>
      </c>
      <c r="G38" s="67">
        <f>Employee_Master!I38</f>
        <v/>
      </c>
      <c r="H38" s="84">
        <f>IF($B38="","",COUNTIF(Task_Tracker!$F$5:$F$1004,$B38))</f>
        <v/>
      </c>
      <c r="I38" s="84">
        <f>IF($B38="","",COUNTIFS(Task_Tracker!$F$5:$F$1004,$B38,Task_Tracker!$A$5:$A$1004,"&lt;&gt;",Task_Tracker!$I$5:$I$1004,"&lt;&gt;Completed",Task_Tracker!$I$5:$I$1004,"&lt;&gt;Cancelled"))</f>
        <v/>
      </c>
      <c r="J38" s="84">
        <f>IF($B38="","",COUNTIFS(Task_Tracker!$F$5:$F$1004,$B38,Task_Tracker!$I$5:$I$1004,"Completed"))</f>
        <v/>
      </c>
      <c r="K38" s="86">
        <f>IFERROR($J38/$H38,"")</f>
        <v/>
      </c>
      <c r="L38" s="66">
        <f>IF($B38="","",SUMIF(Task_Tracker!$F$5:$F$1004,$B38,Task_Tracker!$N$5:$N$1004))</f>
        <v/>
      </c>
      <c r="M38" s="66">
        <f>IF($B38="","",SUMIF(Task_Tracker!$F$5:$F$1004,$B38,Task_Tracker!$O$5:$O$1004))</f>
        <v/>
      </c>
      <c r="N38" s="66">
        <f>IF(OR($L38="",$M38=""),"",$M38-$L38)</f>
        <v/>
      </c>
      <c r="O38" s="84">
        <f>IF($B38="","",COUNTIFS(Task_Tracker!$F$5:$F$1004,$B38,Task_Tracker!$R$5:$R$1004,"Overdue"))</f>
        <v/>
      </c>
      <c r="P38" s="84">
        <f>IF($B38="","",COUNTIFS(Task_Tracker!$F$5:$F$1004,$B38,Task_Tracker!$S$5:$S$1004,TEXT(TODAY(),"yyyy-mm")))</f>
        <v/>
      </c>
      <c r="Q38" s="66">
        <f>IF($B38="","",SUMIFS(Task_Tracker!$O$5:$O$1004,Task_Tracker!$F$5:$F$1004,$B38,Task_Tracker!$S$5:$S$1004,TEXT(TODAY(),"yyyy-mm")))</f>
        <v/>
      </c>
      <c r="R38" s="86">
        <f>IFERROR($Q38/($F38*4),"")</f>
        <v/>
      </c>
    </row>
    <row r="39" ht="15" customHeight="1" s="40">
      <c r="A39" s="67">
        <f>Employee_Master!A39</f>
        <v/>
      </c>
      <c r="B39" s="67">
        <f>Employee_Master!B39</f>
        <v/>
      </c>
      <c r="C39" s="67">
        <f>Employee_Master!C39</f>
        <v/>
      </c>
      <c r="D39" s="67">
        <f>Employee_Master!D39</f>
        <v/>
      </c>
      <c r="E39" s="67">
        <f>Employee_Master!E39</f>
        <v/>
      </c>
      <c r="F39" s="87">
        <f>Employee_Master!H39</f>
        <v/>
      </c>
      <c r="G39" s="67">
        <f>Employee_Master!I39</f>
        <v/>
      </c>
      <c r="H39" s="84">
        <f>IF($B39="","",COUNTIF(Task_Tracker!$F$5:$F$1004,$B39))</f>
        <v/>
      </c>
      <c r="I39" s="84">
        <f>IF($B39="","",COUNTIFS(Task_Tracker!$F$5:$F$1004,$B39,Task_Tracker!$A$5:$A$1004,"&lt;&gt;",Task_Tracker!$I$5:$I$1004,"&lt;&gt;Completed",Task_Tracker!$I$5:$I$1004,"&lt;&gt;Cancelled"))</f>
        <v/>
      </c>
      <c r="J39" s="84">
        <f>IF($B39="","",COUNTIFS(Task_Tracker!$F$5:$F$1004,$B39,Task_Tracker!$I$5:$I$1004,"Completed"))</f>
        <v/>
      </c>
      <c r="K39" s="86">
        <f>IFERROR($J39/$H39,"")</f>
        <v/>
      </c>
      <c r="L39" s="66">
        <f>IF($B39="","",SUMIF(Task_Tracker!$F$5:$F$1004,$B39,Task_Tracker!$N$5:$N$1004))</f>
        <v/>
      </c>
      <c r="M39" s="66">
        <f>IF($B39="","",SUMIF(Task_Tracker!$F$5:$F$1004,$B39,Task_Tracker!$O$5:$O$1004))</f>
        <v/>
      </c>
      <c r="N39" s="66">
        <f>IF(OR($L39="",$M39=""),"",$M39-$L39)</f>
        <v/>
      </c>
      <c r="O39" s="84">
        <f>IF($B39="","",COUNTIFS(Task_Tracker!$F$5:$F$1004,$B39,Task_Tracker!$R$5:$R$1004,"Overdue"))</f>
        <v/>
      </c>
      <c r="P39" s="84">
        <f>IF($B39="","",COUNTIFS(Task_Tracker!$F$5:$F$1004,$B39,Task_Tracker!$S$5:$S$1004,TEXT(TODAY(),"yyyy-mm")))</f>
        <v/>
      </c>
      <c r="Q39" s="66">
        <f>IF($B39="","",SUMIFS(Task_Tracker!$O$5:$O$1004,Task_Tracker!$F$5:$F$1004,$B39,Task_Tracker!$S$5:$S$1004,TEXT(TODAY(),"yyyy-mm")))</f>
        <v/>
      </c>
      <c r="R39" s="86">
        <f>IFERROR($Q39/($F39*4),"")</f>
        <v/>
      </c>
    </row>
    <row r="40" ht="15" customHeight="1" s="40">
      <c r="A40" s="67">
        <f>Employee_Master!A40</f>
        <v/>
      </c>
      <c r="B40" s="67">
        <f>Employee_Master!B40</f>
        <v/>
      </c>
      <c r="C40" s="67">
        <f>Employee_Master!C40</f>
        <v/>
      </c>
      <c r="D40" s="67">
        <f>Employee_Master!D40</f>
        <v/>
      </c>
      <c r="E40" s="67">
        <f>Employee_Master!E40</f>
        <v/>
      </c>
      <c r="F40" s="87">
        <f>Employee_Master!H40</f>
        <v/>
      </c>
      <c r="G40" s="67">
        <f>Employee_Master!I40</f>
        <v/>
      </c>
      <c r="H40" s="84">
        <f>IF($B40="","",COUNTIF(Task_Tracker!$F$5:$F$1004,$B40))</f>
        <v/>
      </c>
      <c r="I40" s="84">
        <f>IF($B40="","",COUNTIFS(Task_Tracker!$F$5:$F$1004,$B40,Task_Tracker!$A$5:$A$1004,"&lt;&gt;",Task_Tracker!$I$5:$I$1004,"&lt;&gt;Completed",Task_Tracker!$I$5:$I$1004,"&lt;&gt;Cancelled"))</f>
        <v/>
      </c>
      <c r="J40" s="84">
        <f>IF($B40="","",COUNTIFS(Task_Tracker!$F$5:$F$1004,$B40,Task_Tracker!$I$5:$I$1004,"Completed"))</f>
        <v/>
      </c>
      <c r="K40" s="86">
        <f>IFERROR($J40/$H40,"")</f>
        <v/>
      </c>
      <c r="L40" s="66">
        <f>IF($B40="","",SUMIF(Task_Tracker!$F$5:$F$1004,$B40,Task_Tracker!$N$5:$N$1004))</f>
        <v/>
      </c>
      <c r="M40" s="66">
        <f>IF($B40="","",SUMIF(Task_Tracker!$F$5:$F$1004,$B40,Task_Tracker!$O$5:$O$1004))</f>
        <v/>
      </c>
      <c r="N40" s="66">
        <f>IF(OR($L40="",$M40=""),"",$M40-$L40)</f>
        <v/>
      </c>
      <c r="O40" s="84">
        <f>IF($B40="","",COUNTIFS(Task_Tracker!$F$5:$F$1004,$B40,Task_Tracker!$R$5:$R$1004,"Overdue"))</f>
        <v/>
      </c>
      <c r="P40" s="84">
        <f>IF($B40="","",COUNTIFS(Task_Tracker!$F$5:$F$1004,$B40,Task_Tracker!$S$5:$S$1004,TEXT(TODAY(),"yyyy-mm")))</f>
        <v/>
      </c>
      <c r="Q40" s="66">
        <f>IF($B40="","",SUMIFS(Task_Tracker!$O$5:$O$1004,Task_Tracker!$F$5:$F$1004,$B40,Task_Tracker!$S$5:$S$1004,TEXT(TODAY(),"yyyy-mm")))</f>
        <v/>
      </c>
      <c r="R40" s="86">
        <f>IFERROR($Q40/($F40*4),"")</f>
        <v/>
      </c>
    </row>
    <row r="41" ht="15" customHeight="1" s="40">
      <c r="A41" s="67">
        <f>Employee_Master!A41</f>
        <v/>
      </c>
      <c r="B41" s="67">
        <f>Employee_Master!B41</f>
        <v/>
      </c>
      <c r="C41" s="67">
        <f>Employee_Master!C41</f>
        <v/>
      </c>
      <c r="D41" s="67">
        <f>Employee_Master!D41</f>
        <v/>
      </c>
      <c r="E41" s="67">
        <f>Employee_Master!E41</f>
        <v/>
      </c>
      <c r="F41" s="87">
        <f>Employee_Master!H41</f>
        <v/>
      </c>
      <c r="G41" s="67">
        <f>Employee_Master!I41</f>
        <v/>
      </c>
      <c r="H41" s="84">
        <f>IF($B41="","",COUNTIF(Task_Tracker!$F$5:$F$1004,$B41))</f>
        <v/>
      </c>
      <c r="I41" s="84">
        <f>IF($B41="","",COUNTIFS(Task_Tracker!$F$5:$F$1004,$B41,Task_Tracker!$A$5:$A$1004,"&lt;&gt;",Task_Tracker!$I$5:$I$1004,"&lt;&gt;Completed",Task_Tracker!$I$5:$I$1004,"&lt;&gt;Cancelled"))</f>
        <v/>
      </c>
      <c r="J41" s="84">
        <f>IF($B41="","",COUNTIFS(Task_Tracker!$F$5:$F$1004,$B41,Task_Tracker!$I$5:$I$1004,"Completed"))</f>
        <v/>
      </c>
      <c r="K41" s="86">
        <f>IFERROR($J41/$H41,"")</f>
        <v/>
      </c>
      <c r="L41" s="66">
        <f>IF($B41="","",SUMIF(Task_Tracker!$F$5:$F$1004,$B41,Task_Tracker!$N$5:$N$1004))</f>
        <v/>
      </c>
      <c r="M41" s="66">
        <f>IF($B41="","",SUMIF(Task_Tracker!$F$5:$F$1004,$B41,Task_Tracker!$O$5:$O$1004))</f>
        <v/>
      </c>
      <c r="N41" s="66">
        <f>IF(OR($L41="",$M41=""),"",$M41-$L41)</f>
        <v/>
      </c>
      <c r="O41" s="84">
        <f>IF($B41="","",COUNTIFS(Task_Tracker!$F$5:$F$1004,$B41,Task_Tracker!$R$5:$R$1004,"Overdue"))</f>
        <v/>
      </c>
      <c r="P41" s="84">
        <f>IF($B41="","",COUNTIFS(Task_Tracker!$F$5:$F$1004,$B41,Task_Tracker!$S$5:$S$1004,TEXT(TODAY(),"yyyy-mm")))</f>
        <v/>
      </c>
      <c r="Q41" s="66">
        <f>IF($B41="","",SUMIFS(Task_Tracker!$O$5:$O$1004,Task_Tracker!$F$5:$F$1004,$B41,Task_Tracker!$S$5:$S$1004,TEXT(TODAY(),"yyyy-mm")))</f>
        <v/>
      </c>
      <c r="R41" s="86">
        <f>IFERROR($Q41/($F41*4),"")</f>
        <v/>
      </c>
    </row>
    <row r="42" ht="15" customHeight="1" s="40">
      <c r="A42" s="67">
        <f>Employee_Master!A42</f>
        <v/>
      </c>
      <c r="B42" s="67">
        <f>Employee_Master!B42</f>
        <v/>
      </c>
      <c r="C42" s="67">
        <f>Employee_Master!C42</f>
        <v/>
      </c>
      <c r="D42" s="67">
        <f>Employee_Master!D42</f>
        <v/>
      </c>
      <c r="E42" s="67">
        <f>Employee_Master!E42</f>
        <v/>
      </c>
      <c r="F42" s="87">
        <f>Employee_Master!H42</f>
        <v/>
      </c>
      <c r="G42" s="67">
        <f>Employee_Master!I42</f>
        <v/>
      </c>
      <c r="H42" s="84">
        <f>IF($B42="","",COUNTIF(Task_Tracker!$F$5:$F$1004,$B42))</f>
        <v/>
      </c>
      <c r="I42" s="84">
        <f>IF($B42="","",COUNTIFS(Task_Tracker!$F$5:$F$1004,$B42,Task_Tracker!$A$5:$A$1004,"&lt;&gt;",Task_Tracker!$I$5:$I$1004,"&lt;&gt;Completed",Task_Tracker!$I$5:$I$1004,"&lt;&gt;Cancelled"))</f>
        <v/>
      </c>
      <c r="J42" s="84">
        <f>IF($B42="","",COUNTIFS(Task_Tracker!$F$5:$F$1004,$B42,Task_Tracker!$I$5:$I$1004,"Completed"))</f>
        <v/>
      </c>
      <c r="K42" s="86">
        <f>IFERROR($J42/$H42,"")</f>
        <v/>
      </c>
      <c r="L42" s="66">
        <f>IF($B42="","",SUMIF(Task_Tracker!$F$5:$F$1004,$B42,Task_Tracker!$N$5:$N$1004))</f>
        <v/>
      </c>
      <c r="M42" s="66">
        <f>IF($B42="","",SUMIF(Task_Tracker!$F$5:$F$1004,$B42,Task_Tracker!$O$5:$O$1004))</f>
        <v/>
      </c>
      <c r="N42" s="66">
        <f>IF(OR($L42="",$M42=""),"",$M42-$L42)</f>
        <v/>
      </c>
      <c r="O42" s="84">
        <f>IF($B42="","",COUNTIFS(Task_Tracker!$F$5:$F$1004,$B42,Task_Tracker!$R$5:$R$1004,"Overdue"))</f>
        <v/>
      </c>
      <c r="P42" s="84">
        <f>IF($B42="","",COUNTIFS(Task_Tracker!$F$5:$F$1004,$B42,Task_Tracker!$S$5:$S$1004,TEXT(TODAY(),"yyyy-mm")))</f>
        <v/>
      </c>
      <c r="Q42" s="66">
        <f>IF($B42="","",SUMIFS(Task_Tracker!$O$5:$O$1004,Task_Tracker!$F$5:$F$1004,$B42,Task_Tracker!$S$5:$S$1004,TEXT(TODAY(),"yyyy-mm")))</f>
        <v/>
      </c>
      <c r="R42" s="86">
        <f>IFERROR($Q42/($F42*4),"")</f>
        <v/>
      </c>
    </row>
    <row r="43" ht="15" customHeight="1" s="40">
      <c r="A43" s="67">
        <f>Employee_Master!A43</f>
        <v/>
      </c>
      <c r="B43" s="67">
        <f>Employee_Master!B43</f>
        <v/>
      </c>
      <c r="C43" s="67">
        <f>Employee_Master!C43</f>
        <v/>
      </c>
      <c r="D43" s="67">
        <f>Employee_Master!D43</f>
        <v/>
      </c>
      <c r="E43" s="67">
        <f>Employee_Master!E43</f>
        <v/>
      </c>
      <c r="F43" s="87">
        <f>Employee_Master!H43</f>
        <v/>
      </c>
      <c r="G43" s="67">
        <f>Employee_Master!I43</f>
        <v/>
      </c>
      <c r="H43" s="84">
        <f>IF($B43="","",COUNTIF(Task_Tracker!$F$5:$F$1004,$B43))</f>
        <v/>
      </c>
      <c r="I43" s="84">
        <f>IF($B43="","",COUNTIFS(Task_Tracker!$F$5:$F$1004,$B43,Task_Tracker!$A$5:$A$1004,"&lt;&gt;",Task_Tracker!$I$5:$I$1004,"&lt;&gt;Completed",Task_Tracker!$I$5:$I$1004,"&lt;&gt;Cancelled"))</f>
        <v/>
      </c>
      <c r="J43" s="84">
        <f>IF($B43="","",COUNTIFS(Task_Tracker!$F$5:$F$1004,$B43,Task_Tracker!$I$5:$I$1004,"Completed"))</f>
        <v/>
      </c>
      <c r="K43" s="86">
        <f>IFERROR($J43/$H43,"")</f>
        <v/>
      </c>
      <c r="L43" s="66">
        <f>IF($B43="","",SUMIF(Task_Tracker!$F$5:$F$1004,$B43,Task_Tracker!$N$5:$N$1004))</f>
        <v/>
      </c>
      <c r="M43" s="66">
        <f>IF($B43="","",SUMIF(Task_Tracker!$F$5:$F$1004,$B43,Task_Tracker!$O$5:$O$1004))</f>
        <v/>
      </c>
      <c r="N43" s="66">
        <f>IF(OR($L43="",$M43=""),"",$M43-$L43)</f>
        <v/>
      </c>
      <c r="O43" s="84">
        <f>IF($B43="","",COUNTIFS(Task_Tracker!$F$5:$F$1004,$B43,Task_Tracker!$R$5:$R$1004,"Overdue"))</f>
        <v/>
      </c>
      <c r="P43" s="84">
        <f>IF($B43="","",COUNTIFS(Task_Tracker!$F$5:$F$1004,$B43,Task_Tracker!$S$5:$S$1004,TEXT(TODAY(),"yyyy-mm")))</f>
        <v/>
      </c>
      <c r="Q43" s="66">
        <f>IF($B43="","",SUMIFS(Task_Tracker!$O$5:$O$1004,Task_Tracker!$F$5:$F$1004,$B43,Task_Tracker!$S$5:$S$1004,TEXT(TODAY(),"yyyy-mm")))</f>
        <v/>
      </c>
      <c r="R43" s="86">
        <f>IFERROR($Q43/($F43*4),"")</f>
        <v/>
      </c>
    </row>
    <row r="44" ht="15" customHeight="1" s="40">
      <c r="A44" s="67">
        <f>Employee_Master!A44</f>
        <v/>
      </c>
      <c r="B44" s="67">
        <f>Employee_Master!B44</f>
        <v/>
      </c>
      <c r="C44" s="67">
        <f>Employee_Master!C44</f>
        <v/>
      </c>
      <c r="D44" s="67">
        <f>Employee_Master!D44</f>
        <v/>
      </c>
      <c r="E44" s="67">
        <f>Employee_Master!E44</f>
        <v/>
      </c>
      <c r="F44" s="87">
        <f>Employee_Master!H44</f>
        <v/>
      </c>
      <c r="G44" s="67">
        <f>Employee_Master!I44</f>
        <v/>
      </c>
      <c r="H44" s="84">
        <f>IF($B44="","",COUNTIF(Task_Tracker!$F$5:$F$1004,$B44))</f>
        <v/>
      </c>
      <c r="I44" s="84">
        <f>IF($B44="","",COUNTIFS(Task_Tracker!$F$5:$F$1004,$B44,Task_Tracker!$A$5:$A$1004,"&lt;&gt;",Task_Tracker!$I$5:$I$1004,"&lt;&gt;Completed",Task_Tracker!$I$5:$I$1004,"&lt;&gt;Cancelled"))</f>
        <v/>
      </c>
      <c r="J44" s="84">
        <f>IF($B44="","",COUNTIFS(Task_Tracker!$F$5:$F$1004,$B44,Task_Tracker!$I$5:$I$1004,"Completed"))</f>
        <v/>
      </c>
      <c r="K44" s="86">
        <f>IFERROR($J44/$H44,"")</f>
        <v/>
      </c>
      <c r="L44" s="66">
        <f>IF($B44="","",SUMIF(Task_Tracker!$F$5:$F$1004,$B44,Task_Tracker!$N$5:$N$1004))</f>
        <v/>
      </c>
      <c r="M44" s="66">
        <f>IF($B44="","",SUMIF(Task_Tracker!$F$5:$F$1004,$B44,Task_Tracker!$O$5:$O$1004))</f>
        <v/>
      </c>
      <c r="N44" s="66">
        <f>IF(OR($L44="",$M44=""),"",$M44-$L44)</f>
        <v/>
      </c>
      <c r="O44" s="84">
        <f>IF($B44="","",COUNTIFS(Task_Tracker!$F$5:$F$1004,$B44,Task_Tracker!$R$5:$R$1004,"Overdue"))</f>
        <v/>
      </c>
      <c r="P44" s="84">
        <f>IF($B44="","",COUNTIFS(Task_Tracker!$F$5:$F$1004,$B44,Task_Tracker!$S$5:$S$1004,TEXT(TODAY(),"yyyy-mm")))</f>
        <v/>
      </c>
      <c r="Q44" s="66">
        <f>IF($B44="","",SUMIFS(Task_Tracker!$O$5:$O$1004,Task_Tracker!$F$5:$F$1004,$B44,Task_Tracker!$S$5:$S$1004,TEXT(TODAY(),"yyyy-mm")))</f>
        <v/>
      </c>
      <c r="R44" s="86">
        <f>IFERROR($Q44/($F44*4),"")</f>
        <v/>
      </c>
    </row>
    <row r="45" ht="15" customHeight="1" s="40">
      <c r="A45" s="67">
        <f>Employee_Master!A45</f>
        <v/>
      </c>
      <c r="B45" s="67">
        <f>Employee_Master!B45</f>
        <v/>
      </c>
      <c r="C45" s="67">
        <f>Employee_Master!C45</f>
        <v/>
      </c>
      <c r="D45" s="67">
        <f>Employee_Master!D45</f>
        <v/>
      </c>
      <c r="E45" s="67">
        <f>Employee_Master!E45</f>
        <v/>
      </c>
      <c r="F45" s="87">
        <f>Employee_Master!H45</f>
        <v/>
      </c>
      <c r="G45" s="67">
        <f>Employee_Master!I45</f>
        <v/>
      </c>
      <c r="H45" s="84">
        <f>IF($B45="","",COUNTIF(Task_Tracker!$F$5:$F$1004,$B45))</f>
        <v/>
      </c>
      <c r="I45" s="84">
        <f>IF($B45="","",COUNTIFS(Task_Tracker!$F$5:$F$1004,$B45,Task_Tracker!$A$5:$A$1004,"&lt;&gt;",Task_Tracker!$I$5:$I$1004,"&lt;&gt;Completed",Task_Tracker!$I$5:$I$1004,"&lt;&gt;Cancelled"))</f>
        <v/>
      </c>
      <c r="J45" s="84">
        <f>IF($B45="","",COUNTIFS(Task_Tracker!$F$5:$F$1004,$B45,Task_Tracker!$I$5:$I$1004,"Completed"))</f>
        <v/>
      </c>
      <c r="K45" s="86">
        <f>IFERROR($J45/$H45,"")</f>
        <v/>
      </c>
      <c r="L45" s="66">
        <f>IF($B45="","",SUMIF(Task_Tracker!$F$5:$F$1004,$B45,Task_Tracker!$N$5:$N$1004))</f>
        <v/>
      </c>
      <c r="M45" s="66">
        <f>IF($B45="","",SUMIF(Task_Tracker!$F$5:$F$1004,$B45,Task_Tracker!$O$5:$O$1004))</f>
        <v/>
      </c>
      <c r="N45" s="66">
        <f>IF(OR($L45="",$M45=""),"",$M45-$L45)</f>
        <v/>
      </c>
      <c r="O45" s="84">
        <f>IF($B45="","",COUNTIFS(Task_Tracker!$F$5:$F$1004,$B45,Task_Tracker!$R$5:$R$1004,"Overdue"))</f>
        <v/>
      </c>
      <c r="P45" s="84">
        <f>IF($B45="","",COUNTIFS(Task_Tracker!$F$5:$F$1004,$B45,Task_Tracker!$S$5:$S$1004,TEXT(TODAY(),"yyyy-mm")))</f>
        <v/>
      </c>
      <c r="Q45" s="66">
        <f>IF($B45="","",SUMIFS(Task_Tracker!$O$5:$O$1004,Task_Tracker!$F$5:$F$1004,$B45,Task_Tracker!$S$5:$S$1004,TEXT(TODAY(),"yyyy-mm")))</f>
        <v/>
      </c>
      <c r="R45" s="86">
        <f>IFERROR($Q45/($F45*4),"")</f>
        <v/>
      </c>
    </row>
    <row r="46" ht="15" customHeight="1" s="40">
      <c r="A46" s="67">
        <f>Employee_Master!A46</f>
        <v/>
      </c>
      <c r="B46" s="67">
        <f>Employee_Master!B46</f>
        <v/>
      </c>
      <c r="C46" s="67">
        <f>Employee_Master!C46</f>
        <v/>
      </c>
      <c r="D46" s="67">
        <f>Employee_Master!D46</f>
        <v/>
      </c>
      <c r="E46" s="67">
        <f>Employee_Master!E46</f>
        <v/>
      </c>
      <c r="F46" s="87">
        <f>Employee_Master!H46</f>
        <v/>
      </c>
      <c r="G46" s="67">
        <f>Employee_Master!I46</f>
        <v/>
      </c>
      <c r="H46" s="84">
        <f>IF($B46="","",COUNTIF(Task_Tracker!$F$5:$F$1004,$B46))</f>
        <v/>
      </c>
      <c r="I46" s="84">
        <f>IF($B46="","",COUNTIFS(Task_Tracker!$F$5:$F$1004,$B46,Task_Tracker!$A$5:$A$1004,"&lt;&gt;",Task_Tracker!$I$5:$I$1004,"&lt;&gt;Completed",Task_Tracker!$I$5:$I$1004,"&lt;&gt;Cancelled"))</f>
        <v/>
      </c>
      <c r="J46" s="84">
        <f>IF($B46="","",COUNTIFS(Task_Tracker!$F$5:$F$1004,$B46,Task_Tracker!$I$5:$I$1004,"Completed"))</f>
        <v/>
      </c>
      <c r="K46" s="86">
        <f>IFERROR($J46/$H46,"")</f>
        <v/>
      </c>
      <c r="L46" s="66">
        <f>IF($B46="","",SUMIF(Task_Tracker!$F$5:$F$1004,$B46,Task_Tracker!$N$5:$N$1004))</f>
        <v/>
      </c>
      <c r="M46" s="66">
        <f>IF($B46="","",SUMIF(Task_Tracker!$F$5:$F$1004,$B46,Task_Tracker!$O$5:$O$1004))</f>
        <v/>
      </c>
      <c r="N46" s="66">
        <f>IF(OR($L46="",$M46=""),"",$M46-$L46)</f>
        <v/>
      </c>
      <c r="O46" s="84">
        <f>IF($B46="","",COUNTIFS(Task_Tracker!$F$5:$F$1004,$B46,Task_Tracker!$R$5:$R$1004,"Overdue"))</f>
        <v/>
      </c>
      <c r="P46" s="84">
        <f>IF($B46="","",COUNTIFS(Task_Tracker!$F$5:$F$1004,$B46,Task_Tracker!$S$5:$S$1004,TEXT(TODAY(),"yyyy-mm")))</f>
        <v/>
      </c>
      <c r="Q46" s="66">
        <f>IF($B46="","",SUMIFS(Task_Tracker!$O$5:$O$1004,Task_Tracker!$F$5:$F$1004,$B46,Task_Tracker!$S$5:$S$1004,TEXT(TODAY(),"yyyy-mm")))</f>
        <v/>
      </c>
      <c r="R46" s="86">
        <f>IFERROR($Q46/($F46*4),"")</f>
        <v/>
      </c>
    </row>
    <row r="47" ht="15" customHeight="1" s="40">
      <c r="A47" s="67">
        <f>Employee_Master!A47</f>
        <v/>
      </c>
      <c r="B47" s="67">
        <f>Employee_Master!B47</f>
        <v/>
      </c>
      <c r="C47" s="67">
        <f>Employee_Master!C47</f>
        <v/>
      </c>
      <c r="D47" s="67">
        <f>Employee_Master!D47</f>
        <v/>
      </c>
      <c r="E47" s="67">
        <f>Employee_Master!E47</f>
        <v/>
      </c>
      <c r="F47" s="87">
        <f>Employee_Master!H47</f>
        <v/>
      </c>
      <c r="G47" s="67">
        <f>Employee_Master!I47</f>
        <v/>
      </c>
      <c r="H47" s="84">
        <f>IF($B47="","",COUNTIF(Task_Tracker!$F$5:$F$1004,$B47))</f>
        <v/>
      </c>
      <c r="I47" s="84">
        <f>IF($B47="","",COUNTIFS(Task_Tracker!$F$5:$F$1004,$B47,Task_Tracker!$A$5:$A$1004,"&lt;&gt;",Task_Tracker!$I$5:$I$1004,"&lt;&gt;Completed",Task_Tracker!$I$5:$I$1004,"&lt;&gt;Cancelled"))</f>
        <v/>
      </c>
      <c r="J47" s="84">
        <f>IF($B47="","",COUNTIFS(Task_Tracker!$F$5:$F$1004,$B47,Task_Tracker!$I$5:$I$1004,"Completed"))</f>
        <v/>
      </c>
      <c r="K47" s="86">
        <f>IFERROR($J47/$H47,"")</f>
        <v/>
      </c>
      <c r="L47" s="66">
        <f>IF($B47="","",SUMIF(Task_Tracker!$F$5:$F$1004,$B47,Task_Tracker!$N$5:$N$1004))</f>
        <v/>
      </c>
      <c r="M47" s="66">
        <f>IF($B47="","",SUMIF(Task_Tracker!$F$5:$F$1004,$B47,Task_Tracker!$O$5:$O$1004))</f>
        <v/>
      </c>
      <c r="N47" s="66">
        <f>IF(OR($L47="",$M47=""),"",$M47-$L47)</f>
        <v/>
      </c>
      <c r="O47" s="84">
        <f>IF($B47="","",COUNTIFS(Task_Tracker!$F$5:$F$1004,$B47,Task_Tracker!$R$5:$R$1004,"Overdue"))</f>
        <v/>
      </c>
      <c r="P47" s="84">
        <f>IF($B47="","",COUNTIFS(Task_Tracker!$F$5:$F$1004,$B47,Task_Tracker!$S$5:$S$1004,TEXT(TODAY(),"yyyy-mm")))</f>
        <v/>
      </c>
      <c r="Q47" s="66">
        <f>IF($B47="","",SUMIFS(Task_Tracker!$O$5:$O$1004,Task_Tracker!$F$5:$F$1004,$B47,Task_Tracker!$S$5:$S$1004,TEXT(TODAY(),"yyyy-mm")))</f>
        <v/>
      </c>
      <c r="R47" s="86">
        <f>IFERROR($Q47/($F47*4),"")</f>
        <v/>
      </c>
    </row>
    <row r="48" ht="15" customHeight="1" s="40">
      <c r="A48" s="67">
        <f>Employee_Master!A48</f>
        <v/>
      </c>
      <c r="B48" s="67">
        <f>Employee_Master!B48</f>
        <v/>
      </c>
      <c r="C48" s="67">
        <f>Employee_Master!C48</f>
        <v/>
      </c>
      <c r="D48" s="67">
        <f>Employee_Master!D48</f>
        <v/>
      </c>
      <c r="E48" s="67">
        <f>Employee_Master!E48</f>
        <v/>
      </c>
      <c r="F48" s="87">
        <f>Employee_Master!H48</f>
        <v/>
      </c>
      <c r="G48" s="67">
        <f>Employee_Master!I48</f>
        <v/>
      </c>
      <c r="H48" s="84">
        <f>IF($B48="","",COUNTIF(Task_Tracker!$F$5:$F$1004,$B48))</f>
        <v/>
      </c>
      <c r="I48" s="84">
        <f>IF($B48="","",COUNTIFS(Task_Tracker!$F$5:$F$1004,$B48,Task_Tracker!$A$5:$A$1004,"&lt;&gt;",Task_Tracker!$I$5:$I$1004,"&lt;&gt;Completed",Task_Tracker!$I$5:$I$1004,"&lt;&gt;Cancelled"))</f>
        <v/>
      </c>
      <c r="J48" s="84">
        <f>IF($B48="","",COUNTIFS(Task_Tracker!$F$5:$F$1004,$B48,Task_Tracker!$I$5:$I$1004,"Completed"))</f>
        <v/>
      </c>
      <c r="K48" s="86">
        <f>IFERROR($J48/$H48,"")</f>
        <v/>
      </c>
      <c r="L48" s="66">
        <f>IF($B48="","",SUMIF(Task_Tracker!$F$5:$F$1004,$B48,Task_Tracker!$N$5:$N$1004))</f>
        <v/>
      </c>
      <c r="M48" s="66">
        <f>IF($B48="","",SUMIF(Task_Tracker!$F$5:$F$1004,$B48,Task_Tracker!$O$5:$O$1004))</f>
        <v/>
      </c>
      <c r="N48" s="66">
        <f>IF(OR($L48="",$M48=""),"",$M48-$L48)</f>
        <v/>
      </c>
      <c r="O48" s="84">
        <f>IF($B48="","",COUNTIFS(Task_Tracker!$F$5:$F$1004,$B48,Task_Tracker!$R$5:$R$1004,"Overdue"))</f>
        <v/>
      </c>
      <c r="P48" s="84">
        <f>IF($B48="","",COUNTIFS(Task_Tracker!$F$5:$F$1004,$B48,Task_Tracker!$S$5:$S$1004,TEXT(TODAY(),"yyyy-mm")))</f>
        <v/>
      </c>
      <c r="Q48" s="66">
        <f>IF($B48="","",SUMIFS(Task_Tracker!$O$5:$O$1004,Task_Tracker!$F$5:$F$1004,$B48,Task_Tracker!$S$5:$S$1004,TEXT(TODAY(),"yyyy-mm")))</f>
        <v/>
      </c>
      <c r="R48" s="86">
        <f>IFERROR($Q48/($F48*4),"")</f>
        <v/>
      </c>
    </row>
    <row r="49" ht="15" customHeight="1" s="40">
      <c r="A49" s="67">
        <f>Employee_Master!A49</f>
        <v/>
      </c>
      <c r="B49" s="67">
        <f>Employee_Master!B49</f>
        <v/>
      </c>
      <c r="C49" s="67">
        <f>Employee_Master!C49</f>
        <v/>
      </c>
      <c r="D49" s="67">
        <f>Employee_Master!D49</f>
        <v/>
      </c>
      <c r="E49" s="67">
        <f>Employee_Master!E49</f>
        <v/>
      </c>
      <c r="F49" s="87">
        <f>Employee_Master!H49</f>
        <v/>
      </c>
      <c r="G49" s="67">
        <f>Employee_Master!I49</f>
        <v/>
      </c>
      <c r="H49" s="84">
        <f>IF($B49="","",COUNTIF(Task_Tracker!$F$5:$F$1004,$B49))</f>
        <v/>
      </c>
      <c r="I49" s="84">
        <f>IF($B49="","",COUNTIFS(Task_Tracker!$F$5:$F$1004,$B49,Task_Tracker!$A$5:$A$1004,"&lt;&gt;",Task_Tracker!$I$5:$I$1004,"&lt;&gt;Completed",Task_Tracker!$I$5:$I$1004,"&lt;&gt;Cancelled"))</f>
        <v/>
      </c>
      <c r="J49" s="84">
        <f>IF($B49="","",COUNTIFS(Task_Tracker!$F$5:$F$1004,$B49,Task_Tracker!$I$5:$I$1004,"Completed"))</f>
        <v/>
      </c>
      <c r="K49" s="86">
        <f>IFERROR($J49/$H49,"")</f>
        <v/>
      </c>
      <c r="L49" s="66">
        <f>IF($B49="","",SUMIF(Task_Tracker!$F$5:$F$1004,$B49,Task_Tracker!$N$5:$N$1004))</f>
        <v/>
      </c>
      <c r="M49" s="66">
        <f>IF($B49="","",SUMIF(Task_Tracker!$F$5:$F$1004,$B49,Task_Tracker!$O$5:$O$1004))</f>
        <v/>
      </c>
      <c r="N49" s="66">
        <f>IF(OR($L49="",$M49=""),"",$M49-$L49)</f>
        <v/>
      </c>
      <c r="O49" s="84">
        <f>IF($B49="","",COUNTIFS(Task_Tracker!$F$5:$F$1004,$B49,Task_Tracker!$R$5:$R$1004,"Overdue"))</f>
        <v/>
      </c>
      <c r="P49" s="84">
        <f>IF($B49="","",COUNTIFS(Task_Tracker!$F$5:$F$1004,$B49,Task_Tracker!$S$5:$S$1004,TEXT(TODAY(),"yyyy-mm")))</f>
        <v/>
      </c>
      <c r="Q49" s="66">
        <f>IF($B49="","",SUMIFS(Task_Tracker!$O$5:$O$1004,Task_Tracker!$F$5:$F$1004,$B49,Task_Tracker!$S$5:$S$1004,TEXT(TODAY(),"yyyy-mm")))</f>
        <v/>
      </c>
      <c r="R49" s="86">
        <f>IFERROR($Q49/($F49*4),"")</f>
        <v/>
      </c>
    </row>
    <row r="50" ht="15" customHeight="1" s="40">
      <c r="A50" s="67">
        <f>Employee_Master!A50</f>
        <v/>
      </c>
      <c r="B50" s="67">
        <f>Employee_Master!B50</f>
        <v/>
      </c>
      <c r="C50" s="67">
        <f>Employee_Master!C50</f>
        <v/>
      </c>
      <c r="D50" s="67">
        <f>Employee_Master!D50</f>
        <v/>
      </c>
      <c r="E50" s="67">
        <f>Employee_Master!E50</f>
        <v/>
      </c>
      <c r="F50" s="87">
        <f>Employee_Master!H50</f>
        <v/>
      </c>
      <c r="G50" s="67">
        <f>Employee_Master!I50</f>
        <v/>
      </c>
      <c r="H50" s="84">
        <f>IF($B50="","",COUNTIF(Task_Tracker!$F$5:$F$1004,$B50))</f>
        <v/>
      </c>
      <c r="I50" s="84">
        <f>IF($B50="","",COUNTIFS(Task_Tracker!$F$5:$F$1004,$B50,Task_Tracker!$A$5:$A$1004,"&lt;&gt;",Task_Tracker!$I$5:$I$1004,"&lt;&gt;Completed",Task_Tracker!$I$5:$I$1004,"&lt;&gt;Cancelled"))</f>
        <v/>
      </c>
      <c r="J50" s="84">
        <f>IF($B50="","",COUNTIFS(Task_Tracker!$F$5:$F$1004,$B50,Task_Tracker!$I$5:$I$1004,"Completed"))</f>
        <v/>
      </c>
      <c r="K50" s="86">
        <f>IFERROR($J50/$H50,"")</f>
        <v/>
      </c>
      <c r="L50" s="66">
        <f>IF($B50="","",SUMIF(Task_Tracker!$F$5:$F$1004,$B50,Task_Tracker!$N$5:$N$1004))</f>
        <v/>
      </c>
      <c r="M50" s="66">
        <f>IF($B50="","",SUMIF(Task_Tracker!$F$5:$F$1004,$B50,Task_Tracker!$O$5:$O$1004))</f>
        <v/>
      </c>
      <c r="N50" s="66">
        <f>IF(OR($L50="",$M50=""),"",$M50-$L50)</f>
        <v/>
      </c>
      <c r="O50" s="84">
        <f>IF($B50="","",COUNTIFS(Task_Tracker!$F$5:$F$1004,$B50,Task_Tracker!$R$5:$R$1004,"Overdue"))</f>
        <v/>
      </c>
      <c r="P50" s="84">
        <f>IF($B50="","",COUNTIFS(Task_Tracker!$F$5:$F$1004,$B50,Task_Tracker!$S$5:$S$1004,TEXT(TODAY(),"yyyy-mm")))</f>
        <v/>
      </c>
      <c r="Q50" s="66">
        <f>IF($B50="","",SUMIFS(Task_Tracker!$O$5:$O$1004,Task_Tracker!$F$5:$F$1004,$B50,Task_Tracker!$S$5:$S$1004,TEXT(TODAY(),"yyyy-mm")))</f>
        <v/>
      </c>
      <c r="R50" s="86">
        <f>IFERROR($Q50/($F50*4),"")</f>
        <v/>
      </c>
    </row>
    <row r="51" ht="15" customHeight="1" s="40">
      <c r="A51" s="67">
        <f>Employee_Master!A51</f>
        <v/>
      </c>
      <c r="B51" s="67">
        <f>Employee_Master!B51</f>
        <v/>
      </c>
      <c r="C51" s="67">
        <f>Employee_Master!C51</f>
        <v/>
      </c>
      <c r="D51" s="67">
        <f>Employee_Master!D51</f>
        <v/>
      </c>
      <c r="E51" s="67">
        <f>Employee_Master!E51</f>
        <v/>
      </c>
      <c r="F51" s="87">
        <f>Employee_Master!H51</f>
        <v/>
      </c>
      <c r="G51" s="67">
        <f>Employee_Master!I51</f>
        <v/>
      </c>
      <c r="H51" s="84">
        <f>IF($B51="","",COUNTIF(Task_Tracker!$F$5:$F$1004,$B51))</f>
        <v/>
      </c>
      <c r="I51" s="84">
        <f>IF($B51="","",COUNTIFS(Task_Tracker!$F$5:$F$1004,$B51,Task_Tracker!$A$5:$A$1004,"&lt;&gt;",Task_Tracker!$I$5:$I$1004,"&lt;&gt;Completed",Task_Tracker!$I$5:$I$1004,"&lt;&gt;Cancelled"))</f>
        <v/>
      </c>
      <c r="J51" s="84">
        <f>IF($B51="","",COUNTIFS(Task_Tracker!$F$5:$F$1004,$B51,Task_Tracker!$I$5:$I$1004,"Completed"))</f>
        <v/>
      </c>
      <c r="K51" s="86">
        <f>IFERROR($J51/$H51,"")</f>
        <v/>
      </c>
      <c r="L51" s="66">
        <f>IF($B51="","",SUMIF(Task_Tracker!$F$5:$F$1004,$B51,Task_Tracker!$N$5:$N$1004))</f>
        <v/>
      </c>
      <c r="M51" s="66">
        <f>IF($B51="","",SUMIF(Task_Tracker!$F$5:$F$1004,$B51,Task_Tracker!$O$5:$O$1004))</f>
        <v/>
      </c>
      <c r="N51" s="66">
        <f>IF(OR($L51="",$M51=""),"",$M51-$L51)</f>
        <v/>
      </c>
      <c r="O51" s="84">
        <f>IF($B51="","",COUNTIFS(Task_Tracker!$F$5:$F$1004,$B51,Task_Tracker!$R$5:$R$1004,"Overdue"))</f>
        <v/>
      </c>
      <c r="P51" s="84">
        <f>IF($B51="","",COUNTIFS(Task_Tracker!$F$5:$F$1004,$B51,Task_Tracker!$S$5:$S$1004,TEXT(TODAY(),"yyyy-mm")))</f>
        <v/>
      </c>
      <c r="Q51" s="66">
        <f>IF($B51="","",SUMIFS(Task_Tracker!$O$5:$O$1004,Task_Tracker!$F$5:$F$1004,$B51,Task_Tracker!$S$5:$S$1004,TEXT(TODAY(),"yyyy-mm")))</f>
        <v/>
      </c>
      <c r="R51" s="86">
        <f>IFERROR($Q51/($F51*4),"")</f>
        <v/>
      </c>
    </row>
    <row r="52" ht="15" customHeight="1" s="40">
      <c r="A52" s="67">
        <f>Employee_Master!A52</f>
        <v/>
      </c>
      <c r="B52" s="67">
        <f>Employee_Master!B52</f>
        <v/>
      </c>
      <c r="C52" s="67">
        <f>Employee_Master!C52</f>
        <v/>
      </c>
      <c r="D52" s="67">
        <f>Employee_Master!D52</f>
        <v/>
      </c>
      <c r="E52" s="67">
        <f>Employee_Master!E52</f>
        <v/>
      </c>
      <c r="F52" s="87">
        <f>Employee_Master!H52</f>
        <v/>
      </c>
      <c r="G52" s="67">
        <f>Employee_Master!I52</f>
        <v/>
      </c>
      <c r="H52" s="84">
        <f>IF($B52="","",COUNTIF(Task_Tracker!$F$5:$F$1004,$B52))</f>
        <v/>
      </c>
      <c r="I52" s="84">
        <f>IF($B52="","",COUNTIFS(Task_Tracker!$F$5:$F$1004,$B52,Task_Tracker!$A$5:$A$1004,"&lt;&gt;",Task_Tracker!$I$5:$I$1004,"&lt;&gt;Completed",Task_Tracker!$I$5:$I$1004,"&lt;&gt;Cancelled"))</f>
        <v/>
      </c>
      <c r="J52" s="84">
        <f>IF($B52="","",COUNTIFS(Task_Tracker!$F$5:$F$1004,$B52,Task_Tracker!$I$5:$I$1004,"Completed"))</f>
        <v/>
      </c>
      <c r="K52" s="86">
        <f>IFERROR($J52/$H52,"")</f>
        <v/>
      </c>
      <c r="L52" s="66">
        <f>IF($B52="","",SUMIF(Task_Tracker!$F$5:$F$1004,$B52,Task_Tracker!$N$5:$N$1004))</f>
        <v/>
      </c>
      <c r="M52" s="66">
        <f>IF($B52="","",SUMIF(Task_Tracker!$F$5:$F$1004,$B52,Task_Tracker!$O$5:$O$1004))</f>
        <v/>
      </c>
      <c r="N52" s="66">
        <f>IF(OR($L52="",$M52=""),"",$M52-$L52)</f>
        <v/>
      </c>
      <c r="O52" s="84">
        <f>IF($B52="","",COUNTIFS(Task_Tracker!$F$5:$F$1004,$B52,Task_Tracker!$R$5:$R$1004,"Overdue"))</f>
        <v/>
      </c>
      <c r="P52" s="84">
        <f>IF($B52="","",COUNTIFS(Task_Tracker!$F$5:$F$1004,$B52,Task_Tracker!$S$5:$S$1004,TEXT(TODAY(),"yyyy-mm")))</f>
        <v/>
      </c>
      <c r="Q52" s="66">
        <f>IF($B52="","",SUMIFS(Task_Tracker!$O$5:$O$1004,Task_Tracker!$F$5:$F$1004,$B52,Task_Tracker!$S$5:$S$1004,TEXT(TODAY(),"yyyy-mm")))</f>
        <v/>
      </c>
      <c r="R52" s="86">
        <f>IFERROR($Q52/($F52*4),"")</f>
        <v/>
      </c>
    </row>
    <row r="53" ht="15" customHeight="1" s="40">
      <c r="A53" s="67">
        <f>Employee_Master!A53</f>
        <v/>
      </c>
      <c r="B53" s="67">
        <f>Employee_Master!B53</f>
        <v/>
      </c>
      <c r="C53" s="67">
        <f>Employee_Master!C53</f>
        <v/>
      </c>
      <c r="D53" s="67">
        <f>Employee_Master!D53</f>
        <v/>
      </c>
      <c r="E53" s="67">
        <f>Employee_Master!E53</f>
        <v/>
      </c>
      <c r="F53" s="87">
        <f>Employee_Master!H53</f>
        <v/>
      </c>
      <c r="G53" s="67">
        <f>Employee_Master!I53</f>
        <v/>
      </c>
      <c r="H53" s="84">
        <f>IF($B53="","",COUNTIF(Task_Tracker!$F$5:$F$1004,$B53))</f>
        <v/>
      </c>
      <c r="I53" s="84">
        <f>IF($B53="","",COUNTIFS(Task_Tracker!$F$5:$F$1004,$B53,Task_Tracker!$A$5:$A$1004,"&lt;&gt;",Task_Tracker!$I$5:$I$1004,"&lt;&gt;Completed",Task_Tracker!$I$5:$I$1004,"&lt;&gt;Cancelled"))</f>
        <v/>
      </c>
      <c r="J53" s="84">
        <f>IF($B53="","",COUNTIFS(Task_Tracker!$F$5:$F$1004,$B53,Task_Tracker!$I$5:$I$1004,"Completed"))</f>
        <v/>
      </c>
      <c r="K53" s="86">
        <f>IFERROR($J53/$H53,"")</f>
        <v/>
      </c>
      <c r="L53" s="66">
        <f>IF($B53="","",SUMIF(Task_Tracker!$F$5:$F$1004,$B53,Task_Tracker!$N$5:$N$1004))</f>
        <v/>
      </c>
      <c r="M53" s="66">
        <f>IF($B53="","",SUMIF(Task_Tracker!$F$5:$F$1004,$B53,Task_Tracker!$O$5:$O$1004))</f>
        <v/>
      </c>
      <c r="N53" s="66">
        <f>IF(OR($L53="",$M53=""),"",$M53-$L53)</f>
        <v/>
      </c>
      <c r="O53" s="84">
        <f>IF($B53="","",COUNTIFS(Task_Tracker!$F$5:$F$1004,$B53,Task_Tracker!$R$5:$R$1004,"Overdue"))</f>
        <v/>
      </c>
      <c r="P53" s="84">
        <f>IF($B53="","",COUNTIFS(Task_Tracker!$F$5:$F$1004,$B53,Task_Tracker!$S$5:$S$1004,TEXT(TODAY(),"yyyy-mm")))</f>
        <v/>
      </c>
      <c r="Q53" s="66">
        <f>IF($B53="","",SUMIFS(Task_Tracker!$O$5:$O$1004,Task_Tracker!$F$5:$F$1004,$B53,Task_Tracker!$S$5:$S$1004,TEXT(TODAY(),"yyyy-mm")))</f>
        <v/>
      </c>
      <c r="R53" s="86">
        <f>IFERROR($Q53/($F53*4),"")</f>
        <v/>
      </c>
    </row>
    <row r="54" ht="15" customHeight="1" s="40">
      <c r="A54" s="67">
        <f>Employee_Master!A54</f>
        <v/>
      </c>
      <c r="B54" s="67">
        <f>Employee_Master!B54</f>
        <v/>
      </c>
      <c r="C54" s="67">
        <f>Employee_Master!C54</f>
        <v/>
      </c>
      <c r="D54" s="67">
        <f>Employee_Master!D54</f>
        <v/>
      </c>
      <c r="E54" s="67">
        <f>Employee_Master!E54</f>
        <v/>
      </c>
      <c r="F54" s="87">
        <f>Employee_Master!H54</f>
        <v/>
      </c>
      <c r="G54" s="67">
        <f>Employee_Master!I54</f>
        <v/>
      </c>
      <c r="H54" s="84">
        <f>IF($B54="","",COUNTIF(Task_Tracker!$F$5:$F$1004,$B54))</f>
        <v/>
      </c>
      <c r="I54" s="84">
        <f>IF($B54="","",COUNTIFS(Task_Tracker!$F$5:$F$1004,$B54,Task_Tracker!$A$5:$A$1004,"&lt;&gt;",Task_Tracker!$I$5:$I$1004,"&lt;&gt;Completed",Task_Tracker!$I$5:$I$1004,"&lt;&gt;Cancelled"))</f>
        <v/>
      </c>
      <c r="J54" s="84">
        <f>IF($B54="","",COUNTIFS(Task_Tracker!$F$5:$F$1004,$B54,Task_Tracker!$I$5:$I$1004,"Completed"))</f>
        <v/>
      </c>
      <c r="K54" s="86">
        <f>IFERROR($J54/$H54,"")</f>
        <v/>
      </c>
      <c r="L54" s="66">
        <f>IF($B54="","",SUMIF(Task_Tracker!$F$5:$F$1004,$B54,Task_Tracker!$N$5:$N$1004))</f>
        <v/>
      </c>
      <c r="M54" s="66">
        <f>IF($B54="","",SUMIF(Task_Tracker!$F$5:$F$1004,$B54,Task_Tracker!$O$5:$O$1004))</f>
        <v/>
      </c>
      <c r="N54" s="66">
        <f>IF(OR($L54="",$M54=""),"",$M54-$L54)</f>
        <v/>
      </c>
      <c r="O54" s="84">
        <f>IF($B54="","",COUNTIFS(Task_Tracker!$F$5:$F$1004,$B54,Task_Tracker!$R$5:$R$1004,"Overdue"))</f>
        <v/>
      </c>
      <c r="P54" s="84">
        <f>IF($B54="","",COUNTIFS(Task_Tracker!$F$5:$F$1004,$B54,Task_Tracker!$S$5:$S$1004,TEXT(TODAY(),"yyyy-mm")))</f>
        <v/>
      </c>
      <c r="Q54" s="66">
        <f>IF($B54="","",SUMIFS(Task_Tracker!$O$5:$O$1004,Task_Tracker!$F$5:$F$1004,$B54,Task_Tracker!$S$5:$S$1004,TEXT(TODAY(),"yyyy-mm")))</f>
        <v/>
      </c>
      <c r="R54" s="86">
        <f>IFERROR($Q54/($F54*4),"")</f>
        <v/>
      </c>
    </row>
    <row r="55" ht="15" customHeight="1" s="40">
      <c r="A55" s="67">
        <f>Employee_Master!A55</f>
        <v/>
      </c>
      <c r="B55" s="67">
        <f>Employee_Master!B55</f>
        <v/>
      </c>
      <c r="C55" s="67">
        <f>Employee_Master!C55</f>
        <v/>
      </c>
      <c r="D55" s="67">
        <f>Employee_Master!D55</f>
        <v/>
      </c>
      <c r="E55" s="67">
        <f>Employee_Master!E55</f>
        <v/>
      </c>
      <c r="F55" s="87">
        <f>Employee_Master!H55</f>
        <v/>
      </c>
      <c r="G55" s="67">
        <f>Employee_Master!I55</f>
        <v/>
      </c>
      <c r="H55" s="84">
        <f>IF($B55="","",COUNTIF(Task_Tracker!$F$5:$F$1004,$B55))</f>
        <v/>
      </c>
      <c r="I55" s="84">
        <f>IF($B55="","",COUNTIFS(Task_Tracker!$F$5:$F$1004,$B55,Task_Tracker!$A$5:$A$1004,"&lt;&gt;",Task_Tracker!$I$5:$I$1004,"&lt;&gt;Completed",Task_Tracker!$I$5:$I$1004,"&lt;&gt;Cancelled"))</f>
        <v/>
      </c>
      <c r="J55" s="84">
        <f>IF($B55="","",COUNTIFS(Task_Tracker!$F$5:$F$1004,$B55,Task_Tracker!$I$5:$I$1004,"Completed"))</f>
        <v/>
      </c>
      <c r="K55" s="86">
        <f>IFERROR($J55/$H55,"")</f>
        <v/>
      </c>
      <c r="L55" s="66">
        <f>IF($B55="","",SUMIF(Task_Tracker!$F$5:$F$1004,$B55,Task_Tracker!$N$5:$N$1004))</f>
        <v/>
      </c>
      <c r="M55" s="66">
        <f>IF($B55="","",SUMIF(Task_Tracker!$F$5:$F$1004,$B55,Task_Tracker!$O$5:$O$1004))</f>
        <v/>
      </c>
      <c r="N55" s="66">
        <f>IF(OR($L55="",$M55=""),"",$M55-$L55)</f>
        <v/>
      </c>
      <c r="O55" s="84">
        <f>IF($B55="","",COUNTIFS(Task_Tracker!$F$5:$F$1004,$B55,Task_Tracker!$R$5:$R$1004,"Overdue"))</f>
        <v/>
      </c>
      <c r="P55" s="84">
        <f>IF($B55="","",COUNTIFS(Task_Tracker!$F$5:$F$1004,$B55,Task_Tracker!$S$5:$S$1004,TEXT(TODAY(),"yyyy-mm")))</f>
        <v/>
      </c>
      <c r="Q55" s="66">
        <f>IF($B55="","",SUMIFS(Task_Tracker!$O$5:$O$1004,Task_Tracker!$F$5:$F$1004,$B55,Task_Tracker!$S$5:$S$1004,TEXT(TODAY(),"yyyy-mm")))</f>
        <v/>
      </c>
      <c r="R55" s="86">
        <f>IFERROR($Q55/($F55*4),"")</f>
        <v/>
      </c>
    </row>
    <row r="56" ht="15" customHeight="1" s="40">
      <c r="A56" s="67">
        <f>Employee_Master!A56</f>
        <v/>
      </c>
      <c r="B56" s="67">
        <f>Employee_Master!B56</f>
        <v/>
      </c>
      <c r="C56" s="67">
        <f>Employee_Master!C56</f>
        <v/>
      </c>
      <c r="D56" s="67">
        <f>Employee_Master!D56</f>
        <v/>
      </c>
      <c r="E56" s="67">
        <f>Employee_Master!E56</f>
        <v/>
      </c>
      <c r="F56" s="87">
        <f>Employee_Master!H56</f>
        <v/>
      </c>
      <c r="G56" s="67">
        <f>Employee_Master!I56</f>
        <v/>
      </c>
      <c r="H56" s="84">
        <f>IF($B56="","",COUNTIF(Task_Tracker!$F$5:$F$1004,$B56))</f>
        <v/>
      </c>
      <c r="I56" s="84">
        <f>IF($B56="","",COUNTIFS(Task_Tracker!$F$5:$F$1004,$B56,Task_Tracker!$A$5:$A$1004,"&lt;&gt;",Task_Tracker!$I$5:$I$1004,"&lt;&gt;Completed",Task_Tracker!$I$5:$I$1004,"&lt;&gt;Cancelled"))</f>
        <v/>
      </c>
      <c r="J56" s="84">
        <f>IF($B56="","",COUNTIFS(Task_Tracker!$F$5:$F$1004,$B56,Task_Tracker!$I$5:$I$1004,"Completed"))</f>
        <v/>
      </c>
      <c r="K56" s="86">
        <f>IFERROR($J56/$H56,"")</f>
        <v/>
      </c>
      <c r="L56" s="66">
        <f>IF($B56="","",SUMIF(Task_Tracker!$F$5:$F$1004,$B56,Task_Tracker!$N$5:$N$1004))</f>
        <v/>
      </c>
      <c r="M56" s="66">
        <f>IF($B56="","",SUMIF(Task_Tracker!$F$5:$F$1004,$B56,Task_Tracker!$O$5:$O$1004))</f>
        <v/>
      </c>
      <c r="N56" s="66">
        <f>IF(OR($L56="",$M56=""),"",$M56-$L56)</f>
        <v/>
      </c>
      <c r="O56" s="84">
        <f>IF($B56="","",COUNTIFS(Task_Tracker!$F$5:$F$1004,$B56,Task_Tracker!$R$5:$R$1004,"Overdue"))</f>
        <v/>
      </c>
      <c r="P56" s="84">
        <f>IF($B56="","",COUNTIFS(Task_Tracker!$F$5:$F$1004,$B56,Task_Tracker!$S$5:$S$1004,TEXT(TODAY(),"yyyy-mm")))</f>
        <v/>
      </c>
      <c r="Q56" s="66">
        <f>IF($B56="","",SUMIFS(Task_Tracker!$O$5:$O$1004,Task_Tracker!$F$5:$F$1004,$B56,Task_Tracker!$S$5:$S$1004,TEXT(TODAY(),"yyyy-mm")))</f>
        <v/>
      </c>
      <c r="R56" s="86">
        <f>IFERROR($Q56/($F56*4),"")</f>
        <v/>
      </c>
    </row>
    <row r="57" ht="15" customHeight="1" s="40">
      <c r="A57" s="67">
        <f>Employee_Master!A57</f>
        <v/>
      </c>
      <c r="B57" s="67">
        <f>Employee_Master!B57</f>
        <v/>
      </c>
      <c r="C57" s="67">
        <f>Employee_Master!C57</f>
        <v/>
      </c>
      <c r="D57" s="67">
        <f>Employee_Master!D57</f>
        <v/>
      </c>
      <c r="E57" s="67">
        <f>Employee_Master!E57</f>
        <v/>
      </c>
      <c r="F57" s="87">
        <f>Employee_Master!H57</f>
        <v/>
      </c>
      <c r="G57" s="67">
        <f>Employee_Master!I57</f>
        <v/>
      </c>
      <c r="H57" s="84">
        <f>IF($B57="","",COUNTIF(Task_Tracker!$F$5:$F$1004,$B57))</f>
        <v/>
      </c>
      <c r="I57" s="84">
        <f>IF($B57="","",COUNTIFS(Task_Tracker!$F$5:$F$1004,$B57,Task_Tracker!$A$5:$A$1004,"&lt;&gt;",Task_Tracker!$I$5:$I$1004,"&lt;&gt;Completed",Task_Tracker!$I$5:$I$1004,"&lt;&gt;Cancelled"))</f>
        <v/>
      </c>
      <c r="J57" s="84">
        <f>IF($B57="","",COUNTIFS(Task_Tracker!$F$5:$F$1004,$B57,Task_Tracker!$I$5:$I$1004,"Completed"))</f>
        <v/>
      </c>
      <c r="K57" s="86">
        <f>IFERROR($J57/$H57,"")</f>
        <v/>
      </c>
      <c r="L57" s="66">
        <f>IF($B57="","",SUMIF(Task_Tracker!$F$5:$F$1004,$B57,Task_Tracker!$N$5:$N$1004))</f>
        <v/>
      </c>
      <c r="M57" s="66">
        <f>IF($B57="","",SUMIF(Task_Tracker!$F$5:$F$1004,$B57,Task_Tracker!$O$5:$O$1004))</f>
        <v/>
      </c>
      <c r="N57" s="66">
        <f>IF(OR($L57="",$M57=""),"",$M57-$L57)</f>
        <v/>
      </c>
      <c r="O57" s="84">
        <f>IF($B57="","",COUNTIFS(Task_Tracker!$F$5:$F$1004,$B57,Task_Tracker!$R$5:$R$1004,"Overdue"))</f>
        <v/>
      </c>
      <c r="P57" s="84">
        <f>IF($B57="","",COUNTIFS(Task_Tracker!$F$5:$F$1004,$B57,Task_Tracker!$S$5:$S$1004,TEXT(TODAY(),"yyyy-mm")))</f>
        <v/>
      </c>
      <c r="Q57" s="66">
        <f>IF($B57="","",SUMIFS(Task_Tracker!$O$5:$O$1004,Task_Tracker!$F$5:$F$1004,$B57,Task_Tracker!$S$5:$S$1004,TEXT(TODAY(),"yyyy-mm")))</f>
        <v/>
      </c>
      <c r="R57" s="86">
        <f>IFERROR($Q57/($F57*4),"")</f>
        <v/>
      </c>
    </row>
    <row r="58" ht="15" customHeight="1" s="40">
      <c r="A58" s="67">
        <f>Employee_Master!A58</f>
        <v/>
      </c>
      <c r="B58" s="67">
        <f>Employee_Master!B58</f>
        <v/>
      </c>
      <c r="C58" s="67">
        <f>Employee_Master!C58</f>
        <v/>
      </c>
      <c r="D58" s="67">
        <f>Employee_Master!D58</f>
        <v/>
      </c>
      <c r="E58" s="67">
        <f>Employee_Master!E58</f>
        <v/>
      </c>
      <c r="F58" s="87">
        <f>Employee_Master!H58</f>
        <v/>
      </c>
      <c r="G58" s="67">
        <f>Employee_Master!I58</f>
        <v/>
      </c>
      <c r="H58" s="84">
        <f>IF($B58="","",COUNTIF(Task_Tracker!$F$5:$F$1004,$B58))</f>
        <v/>
      </c>
      <c r="I58" s="84">
        <f>IF($B58="","",COUNTIFS(Task_Tracker!$F$5:$F$1004,$B58,Task_Tracker!$A$5:$A$1004,"&lt;&gt;",Task_Tracker!$I$5:$I$1004,"&lt;&gt;Completed",Task_Tracker!$I$5:$I$1004,"&lt;&gt;Cancelled"))</f>
        <v/>
      </c>
      <c r="J58" s="84">
        <f>IF($B58="","",COUNTIFS(Task_Tracker!$F$5:$F$1004,$B58,Task_Tracker!$I$5:$I$1004,"Completed"))</f>
        <v/>
      </c>
      <c r="K58" s="86">
        <f>IFERROR($J58/$H58,"")</f>
        <v/>
      </c>
      <c r="L58" s="66">
        <f>IF($B58="","",SUMIF(Task_Tracker!$F$5:$F$1004,$B58,Task_Tracker!$N$5:$N$1004))</f>
        <v/>
      </c>
      <c r="M58" s="66">
        <f>IF($B58="","",SUMIF(Task_Tracker!$F$5:$F$1004,$B58,Task_Tracker!$O$5:$O$1004))</f>
        <v/>
      </c>
      <c r="N58" s="66">
        <f>IF(OR($L58="",$M58=""),"",$M58-$L58)</f>
        <v/>
      </c>
      <c r="O58" s="84">
        <f>IF($B58="","",COUNTIFS(Task_Tracker!$F$5:$F$1004,$B58,Task_Tracker!$R$5:$R$1004,"Overdue"))</f>
        <v/>
      </c>
      <c r="P58" s="84">
        <f>IF($B58="","",COUNTIFS(Task_Tracker!$F$5:$F$1004,$B58,Task_Tracker!$S$5:$S$1004,TEXT(TODAY(),"yyyy-mm")))</f>
        <v/>
      </c>
      <c r="Q58" s="66">
        <f>IF($B58="","",SUMIFS(Task_Tracker!$O$5:$O$1004,Task_Tracker!$F$5:$F$1004,$B58,Task_Tracker!$S$5:$S$1004,TEXT(TODAY(),"yyyy-mm")))</f>
        <v/>
      </c>
      <c r="R58" s="86">
        <f>IFERROR($Q58/($F58*4),"")</f>
        <v/>
      </c>
    </row>
    <row r="59" ht="15" customHeight="1" s="40">
      <c r="A59" s="67">
        <f>Employee_Master!A59</f>
        <v/>
      </c>
      <c r="B59" s="67">
        <f>Employee_Master!B59</f>
        <v/>
      </c>
      <c r="C59" s="67">
        <f>Employee_Master!C59</f>
        <v/>
      </c>
      <c r="D59" s="67">
        <f>Employee_Master!D59</f>
        <v/>
      </c>
      <c r="E59" s="67">
        <f>Employee_Master!E59</f>
        <v/>
      </c>
      <c r="F59" s="87">
        <f>Employee_Master!H59</f>
        <v/>
      </c>
      <c r="G59" s="67">
        <f>Employee_Master!I59</f>
        <v/>
      </c>
      <c r="H59" s="84">
        <f>IF($B59="","",COUNTIF(Task_Tracker!$F$5:$F$1004,$B59))</f>
        <v/>
      </c>
      <c r="I59" s="84">
        <f>IF($B59="","",COUNTIFS(Task_Tracker!$F$5:$F$1004,$B59,Task_Tracker!$A$5:$A$1004,"&lt;&gt;",Task_Tracker!$I$5:$I$1004,"&lt;&gt;Completed",Task_Tracker!$I$5:$I$1004,"&lt;&gt;Cancelled"))</f>
        <v/>
      </c>
      <c r="J59" s="84">
        <f>IF($B59="","",COUNTIFS(Task_Tracker!$F$5:$F$1004,$B59,Task_Tracker!$I$5:$I$1004,"Completed"))</f>
        <v/>
      </c>
      <c r="K59" s="86">
        <f>IFERROR($J59/$H59,"")</f>
        <v/>
      </c>
      <c r="L59" s="66">
        <f>IF($B59="","",SUMIF(Task_Tracker!$F$5:$F$1004,$B59,Task_Tracker!$N$5:$N$1004))</f>
        <v/>
      </c>
      <c r="M59" s="66">
        <f>IF($B59="","",SUMIF(Task_Tracker!$F$5:$F$1004,$B59,Task_Tracker!$O$5:$O$1004))</f>
        <v/>
      </c>
      <c r="N59" s="66">
        <f>IF(OR($L59="",$M59=""),"",$M59-$L59)</f>
        <v/>
      </c>
      <c r="O59" s="84">
        <f>IF($B59="","",COUNTIFS(Task_Tracker!$F$5:$F$1004,$B59,Task_Tracker!$R$5:$R$1004,"Overdue"))</f>
        <v/>
      </c>
      <c r="P59" s="84">
        <f>IF($B59="","",COUNTIFS(Task_Tracker!$F$5:$F$1004,$B59,Task_Tracker!$S$5:$S$1004,TEXT(TODAY(),"yyyy-mm")))</f>
        <v/>
      </c>
      <c r="Q59" s="66">
        <f>IF($B59="","",SUMIFS(Task_Tracker!$O$5:$O$1004,Task_Tracker!$F$5:$F$1004,$B59,Task_Tracker!$S$5:$S$1004,TEXT(TODAY(),"yyyy-mm")))</f>
        <v/>
      </c>
      <c r="R59" s="86">
        <f>IFERROR($Q59/($F59*4),"")</f>
        <v/>
      </c>
    </row>
    <row r="60" ht="15" customHeight="1" s="40">
      <c r="A60" s="67">
        <f>Employee_Master!A60</f>
        <v/>
      </c>
      <c r="B60" s="67">
        <f>Employee_Master!B60</f>
        <v/>
      </c>
      <c r="C60" s="67">
        <f>Employee_Master!C60</f>
        <v/>
      </c>
      <c r="D60" s="67">
        <f>Employee_Master!D60</f>
        <v/>
      </c>
      <c r="E60" s="67">
        <f>Employee_Master!E60</f>
        <v/>
      </c>
      <c r="F60" s="87">
        <f>Employee_Master!H60</f>
        <v/>
      </c>
      <c r="G60" s="67">
        <f>Employee_Master!I60</f>
        <v/>
      </c>
      <c r="H60" s="84">
        <f>IF($B60="","",COUNTIF(Task_Tracker!$F$5:$F$1004,$B60))</f>
        <v/>
      </c>
      <c r="I60" s="84">
        <f>IF($B60="","",COUNTIFS(Task_Tracker!$F$5:$F$1004,$B60,Task_Tracker!$A$5:$A$1004,"&lt;&gt;",Task_Tracker!$I$5:$I$1004,"&lt;&gt;Completed",Task_Tracker!$I$5:$I$1004,"&lt;&gt;Cancelled"))</f>
        <v/>
      </c>
      <c r="J60" s="84">
        <f>IF($B60="","",COUNTIFS(Task_Tracker!$F$5:$F$1004,$B60,Task_Tracker!$I$5:$I$1004,"Completed"))</f>
        <v/>
      </c>
      <c r="K60" s="86">
        <f>IFERROR($J60/$H60,"")</f>
        <v/>
      </c>
      <c r="L60" s="66">
        <f>IF($B60="","",SUMIF(Task_Tracker!$F$5:$F$1004,$B60,Task_Tracker!$N$5:$N$1004))</f>
        <v/>
      </c>
      <c r="M60" s="66">
        <f>IF($B60="","",SUMIF(Task_Tracker!$F$5:$F$1004,$B60,Task_Tracker!$O$5:$O$1004))</f>
        <v/>
      </c>
      <c r="N60" s="66">
        <f>IF(OR($L60="",$M60=""),"",$M60-$L60)</f>
        <v/>
      </c>
      <c r="O60" s="84">
        <f>IF($B60="","",COUNTIFS(Task_Tracker!$F$5:$F$1004,$B60,Task_Tracker!$R$5:$R$1004,"Overdue"))</f>
        <v/>
      </c>
      <c r="P60" s="84">
        <f>IF($B60="","",COUNTIFS(Task_Tracker!$F$5:$F$1004,$B60,Task_Tracker!$S$5:$S$1004,TEXT(TODAY(),"yyyy-mm")))</f>
        <v/>
      </c>
      <c r="Q60" s="66">
        <f>IF($B60="","",SUMIFS(Task_Tracker!$O$5:$O$1004,Task_Tracker!$F$5:$F$1004,$B60,Task_Tracker!$S$5:$S$1004,TEXT(TODAY(),"yyyy-mm")))</f>
        <v/>
      </c>
      <c r="R60" s="86">
        <f>IFERROR($Q60/($F60*4),"")</f>
        <v/>
      </c>
    </row>
    <row r="61" ht="15" customHeight="1" s="40">
      <c r="A61" s="67">
        <f>Employee_Master!A61</f>
        <v/>
      </c>
      <c r="B61" s="67">
        <f>Employee_Master!B61</f>
        <v/>
      </c>
      <c r="C61" s="67">
        <f>Employee_Master!C61</f>
        <v/>
      </c>
      <c r="D61" s="67">
        <f>Employee_Master!D61</f>
        <v/>
      </c>
      <c r="E61" s="67">
        <f>Employee_Master!E61</f>
        <v/>
      </c>
      <c r="F61" s="87">
        <f>Employee_Master!H61</f>
        <v/>
      </c>
      <c r="G61" s="67">
        <f>Employee_Master!I61</f>
        <v/>
      </c>
      <c r="H61" s="84">
        <f>IF($B61="","",COUNTIF(Task_Tracker!$F$5:$F$1004,$B61))</f>
        <v/>
      </c>
      <c r="I61" s="84">
        <f>IF($B61="","",COUNTIFS(Task_Tracker!$F$5:$F$1004,$B61,Task_Tracker!$A$5:$A$1004,"&lt;&gt;",Task_Tracker!$I$5:$I$1004,"&lt;&gt;Completed",Task_Tracker!$I$5:$I$1004,"&lt;&gt;Cancelled"))</f>
        <v/>
      </c>
      <c r="J61" s="84">
        <f>IF($B61="","",COUNTIFS(Task_Tracker!$F$5:$F$1004,$B61,Task_Tracker!$I$5:$I$1004,"Completed"))</f>
        <v/>
      </c>
      <c r="K61" s="86">
        <f>IFERROR($J61/$H61,"")</f>
        <v/>
      </c>
      <c r="L61" s="66">
        <f>IF($B61="","",SUMIF(Task_Tracker!$F$5:$F$1004,$B61,Task_Tracker!$N$5:$N$1004))</f>
        <v/>
      </c>
      <c r="M61" s="66">
        <f>IF($B61="","",SUMIF(Task_Tracker!$F$5:$F$1004,$B61,Task_Tracker!$O$5:$O$1004))</f>
        <v/>
      </c>
      <c r="N61" s="66">
        <f>IF(OR($L61="",$M61=""),"",$M61-$L61)</f>
        <v/>
      </c>
      <c r="O61" s="84">
        <f>IF($B61="","",COUNTIFS(Task_Tracker!$F$5:$F$1004,$B61,Task_Tracker!$R$5:$R$1004,"Overdue"))</f>
        <v/>
      </c>
      <c r="P61" s="84">
        <f>IF($B61="","",COUNTIFS(Task_Tracker!$F$5:$F$1004,$B61,Task_Tracker!$S$5:$S$1004,TEXT(TODAY(),"yyyy-mm")))</f>
        <v/>
      </c>
      <c r="Q61" s="66">
        <f>IF($B61="","",SUMIFS(Task_Tracker!$O$5:$O$1004,Task_Tracker!$F$5:$F$1004,$B61,Task_Tracker!$S$5:$S$1004,TEXT(TODAY(),"yyyy-mm")))</f>
        <v/>
      </c>
      <c r="R61" s="86">
        <f>IFERROR($Q61/($F61*4),"")</f>
        <v/>
      </c>
    </row>
    <row r="62" ht="15" customHeight="1" s="40">
      <c r="A62" s="67">
        <f>Employee_Master!A62</f>
        <v/>
      </c>
      <c r="B62" s="67">
        <f>Employee_Master!B62</f>
        <v/>
      </c>
      <c r="C62" s="67">
        <f>Employee_Master!C62</f>
        <v/>
      </c>
      <c r="D62" s="67">
        <f>Employee_Master!D62</f>
        <v/>
      </c>
      <c r="E62" s="67">
        <f>Employee_Master!E62</f>
        <v/>
      </c>
      <c r="F62" s="87">
        <f>Employee_Master!H62</f>
        <v/>
      </c>
      <c r="G62" s="67">
        <f>Employee_Master!I62</f>
        <v/>
      </c>
      <c r="H62" s="84">
        <f>IF($B62="","",COUNTIF(Task_Tracker!$F$5:$F$1004,$B62))</f>
        <v/>
      </c>
      <c r="I62" s="84">
        <f>IF($B62="","",COUNTIFS(Task_Tracker!$F$5:$F$1004,$B62,Task_Tracker!$A$5:$A$1004,"&lt;&gt;",Task_Tracker!$I$5:$I$1004,"&lt;&gt;Completed",Task_Tracker!$I$5:$I$1004,"&lt;&gt;Cancelled"))</f>
        <v/>
      </c>
      <c r="J62" s="84">
        <f>IF($B62="","",COUNTIFS(Task_Tracker!$F$5:$F$1004,$B62,Task_Tracker!$I$5:$I$1004,"Completed"))</f>
        <v/>
      </c>
      <c r="K62" s="86">
        <f>IFERROR($J62/$H62,"")</f>
        <v/>
      </c>
      <c r="L62" s="66">
        <f>IF($B62="","",SUMIF(Task_Tracker!$F$5:$F$1004,$B62,Task_Tracker!$N$5:$N$1004))</f>
        <v/>
      </c>
      <c r="M62" s="66">
        <f>IF($B62="","",SUMIF(Task_Tracker!$F$5:$F$1004,$B62,Task_Tracker!$O$5:$O$1004))</f>
        <v/>
      </c>
      <c r="N62" s="66">
        <f>IF(OR($L62="",$M62=""),"",$M62-$L62)</f>
        <v/>
      </c>
      <c r="O62" s="84">
        <f>IF($B62="","",COUNTIFS(Task_Tracker!$F$5:$F$1004,$B62,Task_Tracker!$R$5:$R$1004,"Overdue"))</f>
        <v/>
      </c>
      <c r="P62" s="84">
        <f>IF($B62="","",COUNTIFS(Task_Tracker!$F$5:$F$1004,$B62,Task_Tracker!$S$5:$S$1004,TEXT(TODAY(),"yyyy-mm")))</f>
        <v/>
      </c>
      <c r="Q62" s="66">
        <f>IF($B62="","",SUMIFS(Task_Tracker!$O$5:$O$1004,Task_Tracker!$F$5:$F$1004,$B62,Task_Tracker!$S$5:$S$1004,TEXT(TODAY(),"yyyy-mm")))</f>
        <v/>
      </c>
      <c r="R62" s="86">
        <f>IFERROR($Q62/($F62*4),"")</f>
        <v/>
      </c>
    </row>
    <row r="63" ht="15" customHeight="1" s="40">
      <c r="A63" s="67">
        <f>Employee_Master!A63</f>
        <v/>
      </c>
      <c r="B63" s="67">
        <f>Employee_Master!B63</f>
        <v/>
      </c>
      <c r="C63" s="67">
        <f>Employee_Master!C63</f>
        <v/>
      </c>
      <c r="D63" s="67">
        <f>Employee_Master!D63</f>
        <v/>
      </c>
      <c r="E63" s="67">
        <f>Employee_Master!E63</f>
        <v/>
      </c>
      <c r="F63" s="87">
        <f>Employee_Master!H63</f>
        <v/>
      </c>
      <c r="G63" s="67">
        <f>Employee_Master!I63</f>
        <v/>
      </c>
      <c r="H63" s="84">
        <f>IF($B63="","",COUNTIF(Task_Tracker!$F$5:$F$1004,$B63))</f>
        <v/>
      </c>
      <c r="I63" s="84">
        <f>IF($B63="","",COUNTIFS(Task_Tracker!$F$5:$F$1004,$B63,Task_Tracker!$A$5:$A$1004,"&lt;&gt;",Task_Tracker!$I$5:$I$1004,"&lt;&gt;Completed",Task_Tracker!$I$5:$I$1004,"&lt;&gt;Cancelled"))</f>
        <v/>
      </c>
      <c r="J63" s="84">
        <f>IF($B63="","",COUNTIFS(Task_Tracker!$F$5:$F$1004,$B63,Task_Tracker!$I$5:$I$1004,"Completed"))</f>
        <v/>
      </c>
      <c r="K63" s="86">
        <f>IFERROR($J63/$H63,"")</f>
        <v/>
      </c>
      <c r="L63" s="66">
        <f>IF($B63="","",SUMIF(Task_Tracker!$F$5:$F$1004,$B63,Task_Tracker!$N$5:$N$1004))</f>
        <v/>
      </c>
      <c r="M63" s="66">
        <f>IF($B63="","",SUMIF(Task_Tracker!$F$5:$F$1004,$B63,Task_Tracker!$O$5:$O$1004))</f>
        <v/>
      </c>
      <c r="N63" s="66">
        <f>IF(OR($L63="",$M63=""),"",$M63-$L63)</f>
        <v/>
      </c>
      <c r="O63" s="84">
        <f>IF($B63="","",COUNTIFS(Task_Tracker!$F$5:$F$1004,$B63,Task_Tracker!$R$5:$R$1004,"Overdue"))</f>
        <v/>
      </c>
      <c r="P63" s="84">
        <f>IF($B63="","",COUNTIFS(Task_Tracker!$F$5:$F$1004,$B63,Task_Tracker!$S$5:$S$1004,TEXT(TODAY(),"yyyy-mm")))</f>
        <v/>
      </c>
      <c r="Q63" s="66">
        <f>IF($B63="","",SUMIFS(Task_Tracker!$O$5:$O$1004,Task_Tracker!$F$5:$F$1004,$B63,Task_Tracker!$S$5:$S$1004,TEXT(TODAY(),"yyyy-mm")))</f>
        <v/>
      </c>
      <c r="R63" s="86">
        <f>IFERROR($Q63/($F63*4),"")</f>
        <v/>
      </c>
    </row>
    <row r="64" ht="15" customHeight="1" s="40">
      <c r="A64" s="67">
        <f>Employee_Master!A64</f>
        <v/>
      </c>
      <c r="B64" s="67">
        <f>Employee_Master!B64</f>
        <v/>
      </c>
      <c r="C64" s="67">
        <f>Employee_Master!C64</f>
        <v/>
      </c>
      <c r="D64" s="67">
        <f>Employee_Master!D64</f>
        <v/>
      </c>
      <c r="E64" s="67">
        <f>Employee_Master!E64</f>
        <v/>
      </c>
      <c r="F64" s="87">
        <f>Employee_Master!H64</f>
        <v/>
      </c>
      <c r="G64" s="67">
        <f>Employee_Master!I64</f>
        <v/>
      </c>
      <c r="H64" s="84">
        <f>IF($B64="","",COUNTIF(Task_Tracker!$F$5:$F$1004,$B64))</f>
        <v/>
      </c>
      <c r="I64" s="84">
        <f>IF($B64="","",COUNTIFS(Task_Tracker!$F$5:$F$1004,$B64,Task_Tracker!$A$5:$A$1004,"&lt;&gt;",Task_Tracker!$I$5:$I$1004,"&lt;&gt;Completed",Task_Tracker!$I$5:$I$1004,"&lt;&gt;Cancelled"))</f>
        <v/>
      </c>
      <c r="J64" s="84">
        <f>IF($B64="","",COUNTIFS(Task_Tracker!$F$5:$F$1004,$B64,Task_Tracker!$I$5:$I$1004,"Completed"))</f>
        <v/>
      </c>
      <c r="K64" s="86">
        <f>IFERROR($J64/$H64,"")</f>
        <v/>
      </c>
      <c r="L64" s="66">
        <f>IF($B64="","",SUMIF(Task_Tracker!$F$5:$F$1004,$B64,Task_Tracker!$N$5:$N$1004))</f>
        <v/>
      </c>
      <c r="M64" s="66">
        <f>IF($B64="","",SUMIF(Task_Tracker!$F$5:$F$1004,$B64,Task_Tracker!$O$5:$O$1004))</f>
        <v/>
      </c>
      <c r="N64" s="66">
        <f>IF(OR($L64="",$M64=""),"",$M64-$L64)</f>
        <v/>
      </c>
      <c r="O64" s="84">
        <f>IF($B64="","",COUNTIFS(Task_Tracker!$F$5:$F$1004,$B64,Task_Tracker!$R$5:$R$1004,"Overdue"))</f>
        <v/>
      </c>
      <c r="P64" s="84">
        <f>IF($B64="","",COUNTIFS(Task_Tracker!$F$5:$F$1004,$B64,Task_Tracker!$S$5:$S$1004,TEXT(TODAY(),"yyyy-mm")))</f>
        <v/>
      </c>
      <c r="Q64" s="66">
        <f>IF($B64="","",SUMIFS(Task_Tracker!$O$5:$O$1004,Task_Tracker!$F$5:$F$1004,$B64,Task_Tracker!$S$5:$S$1004,TEXT(TODAY(),"yyyy-mm")))</f>
        <v/>
      </c>
      <c r="R64" s="86">
        <f>IFERROR($Q64/($F64*4),"")</f>
        <v/>
      </c>
    </row>
    <row r="65" ht="15" customHeight="1" s="40">
      <c r="A65" s="67">
        <f>Employee_Master!A65</f>
        <v/>
      </c>
      <c r="B65" s="67">
        <f>Employee_Master!B65</f>
        <v/>
      </c>
      <c r="C65" s="67">
        <f>Employee_Master!C65</f>
        <v/>
      </c>
      <c r="D65" s="67">
        <f>Employee_Master!D65</f>
        <v/>
      </c>
      <c r="E65" s="67">
        <f>Employee_Master!E65</f>
        <v/>
      </c>
      <c r="F65" s="87">
        <f>Employee_Master!H65</f>
        <v/>
      </c>
      <c r="G65" s="67">
        <f>Employee_Master!I65</f>
        <v/>
      </c>
      <c r="H65" s="84">
        <f>IF($B65="","",COUNTIF(Task_Tracker!$F$5:$F$1004,$B65))</f>
        <v/>
      </c>
      <c r="I65" s="84">
        <f>IF($B65="","",COUNTIFS(Task_Tracker!$F$5:$F$1004,$B65,Task_Tracker!$A$5:$A$1004,"&lt;&gt;",Task_Tracker!$I$5:$I$1004,"&lt;&gt;Completed",Task_Tracker!$I$5:$I$1004,"&lt;&gt;Cancelled"))</f>
        <v/>
      </c>
      <c r="J65" s="84">
        <f>IF($B65="","",COUNTIFS(Task_Tracker!$F$5:$F$1004,$B65,Task_Tracker!$I$5:$I$1004,"Completed"))</f>
        <v/>
      </c>
      <c r="K65" s="86">
        <f>IFERROR($J65/$H65,"")</f>
        <v/>
      </c>
      <c r="L65" s="66">
        <f>IF($B65="","",SUMIF(Task_Tracker!$F$5:$F$1004,$B65,Task_Tracker!$N$5:$N$1004))</f>
        <v/>
      </c>
      <c r="M65" s="66">
        <f>IF($B65="","",SUMIF(Task_Tracker!$F$5:$F$1004,$B65,Task_Tracker!$O$5:$O$1004))</f>
        <v/>
      </c>
      <c r="N65" s="66">
        <f>IF(OR($L65="",$M65=""),"",$M65-$L65)</f>
        <v/>
      </c>
      <c r="O65" s="84">
        <f>IF($B65="","",COUNTIFS(Task_Tracker!$F$5:$F$1004,$B65,Task_Tracker!$R$5:$R$1004,"Overdue"))</f>
        <v/>
      </c>
      <c r="P65" s="84">
        <f>IF($B65="","",COUNTIFS(Task_Tracker!$F$5:$F$1004,$B65,Task_Tracker!$S$5:$S$1004,TEXT(TODAY(),"yyyy-mm")))</f>
        <v/>
      </c>
      <c r="Q65" s="66">
        <f>IF($B65="","",SUMIFS(Task_Tracker!$O$5:$O$1004,Task_Tracker!$F$5:$F$1004,$B65,Task_Tracker!$S$5:$S$1004,TEXT(TODAY(),"yyyy-mm")))</f>
        <v/>
      </c>
      <c r="R65" s="86">
        <f>IFERROR($Q65/($F65*4),"")</f>
        <v/>
      </c>
    </row>
    <row r="66" ht="15" customHeight="1" s="40">
      <c r="A66" s="67">
        <f>Employee_Master!A66</f>
        <v/>
      </c>
      <c r="B66" s="67">
        <f>Employee_Master!B66</f>
        <v/>
      </c>
      <c r="C66" s="67">
        <f>Employee_Master!C66</f>
        <v/>
      </c>
      <c r="D66" s="67">
        <f>Employee_Master!D66</f>
        <v/>
      </c>
      <c r="E66" s="67">
        <f>Employee_Master!E66</f>
        <v/>
      </c>
      <c r="F66" s="87">
        <f>Employee_Master!H66</f>
        <v/>
      </c>
      <c r="G66" s="67">
        <f>Employee_Master!I66</f>
        <v/>
      </c>
      <c r="H66" s="84">
        <f>IF($B66="","",COUNTIF(Task_Tracker!$F$5:$F$1004,$B66))</f>
        <v/>
      </c>
      <c r="I66" s="84">
        <f>IF($B66="","",COUNTIFS(Task_Tracker!$F$5:$F$1004,$B66,Task_Tracker!$A$5:$A$1004,"&lt;&gt;",Task_Tracker!$I$5:$I$1004,"&lt;&gt;Completed",Task_Tracker!$I$5:$I$1004,"&lt;&gt;Cancelled"))</f>
        <v/>
      </c>
      <c r="J66" s="84">
        <f>IF($B66="","",COUNTIFS(Task_Tracker!$F$5:$F$1004,$B66,Task_Tracker!$I$5:$I$1004,"Completed"))</f>
        <v/>
      </c>
      <c r="K66" s="86">
        <f>IFERROR($J66/$H66,"")</f>
        <v/>
      </c>
      <c r="L66" s="66">
        <f>IF($B66="","",SUMIF(Task_Tracker!$F$5:$F$1004,$B66,Task_Tracker!$N$5:$N$1004))</f>
        <v/>
      </c>
      <c r="M66" s="66">
        <f>IF($B66="","",SUMIF(Task_Tracker!$F$5:$F$1004,$B66,Task_Tracker!$O$5:$O$1004))</f>
        <v/>
      </c>
      <c r="N66" s="66">
        <f>IF(OR($L66="",$M66=""),"",$M66-$L66)</f>
        <v/>
      </c>
      <c r="O66" s="84">
        <f>IF($B66="","",COUNTIFS(Task_Tracker!$F$5:$F$1004,$B66,Task_Tracker!$R$5:$R$1004,"Overdue"))</f>
        <v/>
      </c>
      <c r="P66" s="84">
        <f>IF($B66="","",COUNTIFS(Task_Tracker!$F$5:$F$1004,$B66,Task_Tracker!$S$5:$S$1004,TEXT(TODAY(),"yyyy-mm")))</f>
        <v/>
      </c>
      <c r="Q66" s="66">
        <f>IF($B66="","",SUMIFS(Task_Tracker!$O$5:$O$1004,Task_Tracker!$F$5:$F$1004,$B66,Task_Tracker!$S$5:$S$1004,TEXT(TODAY(),"yyyy-mm")))</f>
        <v/>
      </c>
      <c r="R66" s="86">
        <f>IFERROR($Q66/($F66*4),"")</f>
        <v/>
      </c>
    </row>
    <row r="67" ht="15" customHeight="1" s="40">
      <c r="A67" s="67">
        <f>Employee_Master!A67</f>
        <v/>
      </c>
      <c r="B67" s="67">
        <f>Employee_Master!B67</f>
        <v/>
      </c>
      <c r="C67" s="67">
        <f>Employee_Master!C67</f>
        <v/>
      </c>
      <c r="D67" s="67">
        <f>Employee_Master!D67</f>
        <v/>
      </c>
      <c r="E67" s="67">
        <f>Employee_Master!E67</f>
        <v/>
      </c>
      <c r="F67" s="87">
        <f>Employee_Master!H67</f>
        <v/>
      </c>
      <c r="G67" s="67">
        <f>Employee_Master!I67</f>
        <v/>
      </c>
      <c r="H67" s="84">
        <f>IF($B67="","",COUNTIF(Task_Tracker!$F$5:$F$1004,$B67))</f>
        <v/>
      </c>
      <c r="I67" s="84">
        <f>IF($B67="","",COUNTIFS(Task_Tracker!$F$5:$F$1004,$B67,Task_Tracker!$A$5:$A$1004,"&lt;&gt;",Task_Tracker!$I$5:$I$1004,"&lt;&gt;Completed",Task_Tracker!$I$5:$I$1004,"&lt;&gt;Cancelled"))</f>
        <v/>
      </c>
      <c r="J67" s="84">
        <f>IF($B67="","",COUNTIFS(Task_Tracker!$F$5:$F$1004,$B67,Task_Tracker!$I$5:$I$1004,"Completed"))</f>
        <v/>
      </c>
      <c r="K67" s="86">
        <f>IFERROR($J67/$H67,"")</f>
        <v/>
      </c>
      <c r="L67" s="66">
        <f>IF($B67="","",SUMIF(Task_Tracker!$F$5:$F$1004,$B67,Task_Tracker!$N$5:$N$1004))</f>
        <v/>
      </c>
      <c r="M67" s="66">
        <f>IF($B67="","",SUMIF(Task_Tracker!$F$5:$F$1004,$B67,Task_Tracker!$O$5:$O$1004))</f>
        <v/>
      </c>
      <c r="N67" s="66">
        <f>IF(OR($L67="",$M67=""),"",$M67-$L67)</f>
        <v/>
      </c>
      <c r="O67" s="84">
        <f>IF($B67="","",COUNTIFS(Task_Tracker!$F$5:$F$1004,$B67,Task_Tracker!$R$5:$R$1004,"Overdue"))</f>
        <v/>
      </c>
      <c r="P67" s="84">
        <f>IF($B67="","",COUNTIFS(Task_Tracker!$F$5:$F$1004,$B67,Task_Tracker!$S$5:$S$1004,TEXT(TODAY(),"yyyy-mm")))</f>
        <v/>
      </c>
      <c r="Q67" s="66">
        <f>IF($B67="","",SUMIFS(Task_Tracker!$O$5:$O$1004,Task_Tracker!$F$5:$F$1004,$B67,Task_Tracker!$S$5:$S$1004,TEXT(TODAY(),"yyyy-mm")))</f>
        <v/>
      </c>
      <c r="R67" s="86">
        <f>IFERROR($Q67/($F67*4),"")</f>
        <v/>
      </c>
    </row>
    <row r="68" ht="15" customHeight="1" s="40">
      <c r="A68" s="67">
        <f>Employee_Master!A68</f>
        <v/>
      </c>
      <c r="B68" s="67">
        <f>Employee_Master!B68</f>
        <v/>
      </c>
      <c r="C68" s="67">
        <f>Employee_Master!C68</f>
        <v/>
      </c>
      <c r="D68" s="67">
        <f>Employee_Master!D68</f>
        <v/>
      </c>
      <c r="E68" s="67">
        <f>Employee_Master!E68</f>
        <v/>
      </c>
      <c r="F68" s="87">
        <f>Employee_Master!H68</f>
        <v/>
      </c>
      <c r="G68" s="67">
        <f>Employee_Master!I68</f>
        <v/>
      </c>
      <c r="H68" s="84">
        <f>IF($B68="","",COUNTIF(Task_Tracker!$F$5:$F$1004,$B68))</f>
        <v/>
      </c>
      <c r="I68" s="84">
        <f>IF($B68="","",COUNTIFS(Task_Tracker!$F$5:$F$1004,$B68,Task_Tracker!$A$5:$A$1004,"&lt;&gt;",Task_Tracker!$I$5:$I$1004,"&lt;&gt;Completed",Task_Tracker!$I$5:$I$1004,"&lt;&gt;Cancelled"))</f>
        <v/>
      </c>
      <c r="J68" s="84">
        <f>IF($B68="","",COUNTIFS(Task_Tracker!$F$5:$F$1004,$B68,Task_Tracker!$I$5:$I$1004,"Completed"))</f>
        <v/>
      </c>
      <c r="K68" s="86">
        <f>IFERROR($J68/$H68,"")</f>
        <v/>
      </c>
      <c r="L68" s="66">
        <f>IF($B68="","",SUMIF(Task_Tracker!$F$5:$F$1004,$B68,Task_Tracker!$N$5:$N$1004))</f>
        <v/>
      </c>
      <c r="M68" s="66">
        <f>IF($B68="","",SUMIF(Task_Tracker!$F$5:$F$1004,$B68,Task_Tracker!$O$5:$O$1004))</f>
        <v/>
      </c>
      <c r="N68" s="66">
        <f>IF(OR($L68="",$M68=""),"",$M68-$L68)</f>
        <v/>
      </c>
      <c r="O68" s="84">
        <f>IF($B68="","",COUNTIFS(Task_Tracker!$F$5:$F$1004,$B68,Task_Tracker!$R$5:$R$1004,"Overdue"))</f>
        <v/>
      </c>
      <c r="P68" s="84">
        <f>IF($B68="","",COUNTIFS(Task_Tracker!$F$5:$F$1004,$B68,Task_Tracker!$S$5:$S$1004,TEXT(TODAY(),"yyyy-mm")))</f>
        <v/>
      </c>
      <c r="Q68" s="66">
        <f>IF($B68="","",SUMIFS(Task_Tracker!$O$5:$O$1004,Task_Tracker!$F$5:$F$1004,$B68,Task_Tracker!$S$5:$S$1004,TEXT(TODAY(),"yyyy-mm")))</f>
        <v/>
      </c>
      <c r="R68" s="86">
        <f>IFERROR($Q68/($F68*4),"")</f>
        <v/>
      </c>
    </row>
    <row r="69" ht="15" customHeight="1" s="40">
      <c r="A69" s="67">
        <f>Employee_Master!A69</f>
        <v/>
      </c>
      <c r="B69" s="67">
        <f>Employee_Master!B69</f>
        <v/>
      </c>
      <c r="C69" s="67">
        <f>Employee_Master!C69</f>
        <v/>
      </c>
      <c r="D69" s="67">
        <f>Employee_Master!D69</f>
        <v/>
      </c>
      <c r="E69" s="67">
        <f>Employee_Master!E69</f>
        <v/>
      </c>
      <c r="F69" s="87">
        <f>Employee_Master!H69</f>
        <v/>
      </c>
      <c r="G69" s="67">
        <f>Employee_Master!I69</f>
        <v/>
      </c>
      <c r="H69" s="84">
        <f>IF($B69="","",COUNTIF(Task_Tracker!$F$5:$F$1004,$B69))</f>
        <v/>
      </c>
      <c r="I69" s="84">
        <f>IF($B69="","",COUNTIFS(Task_Tracker!$F$5:$F$1004,$B69,Task_Tracker!$A$5:$A$1004,"&lt;&gt;",Task_Tracker!$I$5:$I$1004,"&lt;&gt;Completed",Task_Tracker!$I$5:$I$1004,"&lt;&gt;Cancelled"))</f>
        <v/>
      </c>
      <c r="J69" s="84">
        <f>IF($B69="","",COUNTIFS(Task_Tracker!$F$5:$F$1004,$B69,Task_Tracker!$I$5:$I$1004,"Completed"))</f>
        <v/>
      </c>
      <c r="K69" s="86">
        <f>IFERROR($J69/$H69,"")</f>
        <v/>
      </c>
      <c r="L69" s="66">
        <f>IF($B69="","",SUMIF(Task_Tracker!$F$5:$F$1004,$B69,Task_Tracker!$N$5:$N$1004))</f>
        <v/>
      </c>
      <c r="M69" s="66">
        <f>IF($B69="","",SUMIF(Task_Tracker!$F$5:$F$1004,$B69,Task_Tracker!$O$5:$O$1004))</f>
        <v/>
      </c>
      <c r="N69" s="66">
        <f>IF(OR($L69="",$M69=""),"",$M69-$L69)</f>
        <v/>
      </c>
      <c r="O69" s="84">
        <f>IF($B69="","",COUNTIFS(Task_Tracker!$F$5:$F$1004,$B69,Task_Tracker!$R$5:$R$1004,"Overdue"))</f>
        <v/>
      </c>
      <c r="P69" s="84">
        <f>IF($B69="","",COUNTIFS(Task_Tracker!$F$5:$F$1004,$B69,Task_Tracker!$S$5:$S$1004,TEXT(TODAY(),"yyyy-mm")))</f>
        <v/>
      </c>
      <c r="Q69" s="66">
        <f>IF($B69="","",SUMIFS(Task_Tracker!$O$5:$O$1004,Task_Tracker!$F$5:$F$1004,$B69,Task_Tracker!$S$5:$S$1004,TEXT(TODAY(),"yyyy-mm")))</f>
        <v/>
      </c>
      <c r="R69" s="86">
        <f>IFERROR($Q69/($F69*4),"")</f>
        <v/>
      </c>
    </row>
    <row r="70" ht="15" customHeight="1" s="40">
      <c r="A70" s="67">
        <f>Employee_Master!A70</f>
        <v/>
      </c>
      <c r="B70" s="67">
        <f>Employee_Master!B70</f>
        <v/>
      </c>
      <c r="C70" s="67">
        <f>Employee_Master!C70</f>
        <v/>
      </c>
      <c r="D70" s="67">
        <f>Employee_Master!D70</f>
        <v/>
      </c>
      <c r="E70" s="67">
        <f>Employee_Master!E70</f>
        <v/>
      </c>
      <c r="F70" s="87">
        <f>Employee_Master!H70</f>
        <v/>
      </c>
      <c r="G70" s="67">
        <f>Employee_Master!I70</f>
        <v/>
      </c>
      <c r="H70" s="84">
        <f>IF($B70="","",COUNTIF(Task_Tracker!$F$5:$F$1004,$B70))</f>
        <v/>
      </c>
      <c r="I70" s="84">
        <f>IF($B70="","",COUNTIFS(Task_Tracker!$F$5:$F$1004,$B70,Task_Tracker!$A$5:$A$1004,"&lt;&gt;",Task_Tracker!$I$5:$I$1004,"&lt;&gt;Completed",Task_Tracker!$I$5:$I$1004,"&lt;&gt;Cancelled"))</f>
        <v/>
      </c>
      <c r="J70" s="84">
        <f>IF($B70="","",COUNTIFS(Task_Tracker!$F$5:$F$1004,$B70,Task_Tracker!$I$5:$I$1004,"Completed"))</f>
        <v/>
      </c>
      <c r="K70" s="86">
        <f>IFERROR($J70/$H70,"")</f>
        <v/>
      </c>
      <c r="L70" s="66">
        <f>IF($B70="","",SUMIF(Task_Tracker!$F$5:$F$1004,$B70,Task_Tracker!$N$5:$N$1004))</f>
        <v/>
      </c>
      <c r="M70" s="66">
        <f>IF($B70="","",SUMIF(Task_Tracker!$F$5:$F$1004,$B70,Task_Tracker!$O$5:$O$1004))</f>
        <v/>
      </c>
      <c r="N70" s="66">
        <f>IF(OR($L70="",$M70=""),"",$M70-$L70)</f>
        <v/>
      </c>
      <c r="O70" s="84">
        <f>IF($B70="","",COUNTIFS(Task_Tracker!$F$5:$F$1004,$B70,Task_Tracker!$R$5:$R$1004,"Overdue"))</f>
        <v/>
      </c>
      <c r="P70" s="84">
        <f>IF($B70="","",COUNTIFS(Task_Tracker!$F$5:$F$1004,$B70,Task_Tracker!$S$5:$S$1004,TEXT(TODAY(),"yyyy-mm")))</f>
        <v/>
      </c>
      <c r="Q70" s="66">
        <f>IF($B70="","",SUMIFS(Task_Tracker!$O$5:$O$1004,Task_Tracker!$F$5:$F$1004,$B70,Task_Tracker!$S$5:$S$1004,TEXT(TODAY(),"yyyy-mm")))</f>
        <v/>
      </c>
      <c r="R70" s="86">
        <f>IFERROR($Q70/($F70*4),"")</f>
        <v/>
      </c>
    </row>
    <row r="71" ht="15" customHeight="1" s="40">
      <c r="A71" s="67">
        <f>Employee_Master!A71</f>
        <v/>
      </c>
      <c r="B71" s="67">
        <f>Employee_Master!B71</f>
        <v/>
      </c>
      <c r="C71" s="67">
        <f>Employee_Master!C71</f>
        <v/>
      </c>
      <c r="D71" s="67">
        <f>Employee_Master!D71</f>
        <v/>
      </c>
      <c r="E71" s="67">
        <f>Employee_Master!E71</f>
        <v/>
      </c>
      <c r="F71" s="87">
        <f>Employee_Master!H71</f>
        <v/>
      </c>
      <c r="G71" s="67">
        <f>Employee_Master!I71</f>
        <v/>
      </c>
      <c r="H71" s="84">
        <f>IF($B71="","",COUNTIF(Task_Tracker!$F$5:$F$1004,$B71))</f>
        <v/>
      </c>
      <c r="I71" s="84">
        <f>IF($B71="","",COUNTIFS(Task_Tracker!$F$5:$F$1004,$B71,Task_Tracker!$A$5:$A$1004,"&lt;&gt;",Task_Tracker!$I$5:$I$1004,"&lt;&gt;Completed",Task_Tracker!$I$5:$I$1004,"&lt;&gt;Cancelled"))</f>
        <v/>
      </c>
      <c r="J71" s="84">
        <f>IF($B71="","",COUNTIFS(Task_Tracker!$F$5:$F$1004,$B71,Task_Tracker!$I$5:$I$1004,"Completed"))</f>
        <v/>
      </c>
      <c r="K71" s="86">
        <f>IFERROR($J71/$H71,"")</f>
        <v/>
      </c>
      <c r="L71" s="66">
        <f>IF($B71="","",SUMIF(Task_Tracker!$F$5:$F$1004,$B71,Task_Tracker!$N$5:$N$1004))</f>
        <v/>
      </c>
      <c r="M71" s="66">
        <f>IF($B71="","",SUMIF(Task_Tracker!$F$5:$F$1004,$B71,Task_Tracker!$O$5:$O$1004))</f>
        <v/>
      </c>
      <c r="N71" s="66">
        <f>IF(OR($L71="",$M71=""),"",$M71-$L71)</f>
        <v/>
      </c>
      <c r="O71" s="84">
        <f>IF($B71="","",COUNTIFS(Task_Tracker!$F$5:$F$1004,$B71,Task_Tracker!$R$5:$R$1004,"Overdue"))</f>
        <v/>
      </c>
      <c r="P71" s="84">
        <f>IF($B71="","",COUNTIFS(Task_Tracker!$F$5:$F$1004,$B71,Task_Tracker!$S$5:$S$1004,TEXT(TODAY(),"yyyy-mm")))</f>
        <v/>
      </c>
      <c r="Q71" s="66">
        <f>IF($B71="","",SUMIFS(Task_Tracker!$O$5:$O$1004,Task_Tracker!$F$5:$F$1004,$B71,Task_Tracker!$S$5:$S$1004,TEXT(TODAY(),"yyyy-mm")))</f>
        <v/>
      </c>
      <c r="R71" s="86">
        <f>IFERROR($Q71/($F71*4),"")</f>
        <v/>
      </c>
    </row>
    <row r="72" ht="15" customHeight="1" s="40">
      <c r="A72" s="67">
        <f>Employee_Master!A72</f>
        <v/>
      </c>
      <c r="B72" s="67">
        <f>Employee_Master!B72</f>
        <v/>
      </c>
      <c r="C72" s="67">
        <f>Employee_Master!C72</f>
        <v/>
      </c>
      <c r="D72" s="67">
        <f>Employee_Master!D72</f>
        <v/>
      </c>
      <c r="E72" s="67">
        <f>Employee_Master!E72</f>
        <v/>
      </c>
      <c r="F72" s="87">
        <f>Employee_Master!H72</f>
        <v/>
      </c>
      <c r="G72" s="67">
        <f>Employee_Master!I72</f>
        <v/>
      </c>
      <c r="H72" s="84">
        <f>IF($B72="","",COUNTIF(Task_Tracker!$F$5:$F$1004,$B72))</f>
        <v/>
      </c>
      <c r="I72" s="84">
        <f>IF($B72="","",COUNTIFS(Task_Tracker!$F$5:$F$1004,$B72,Task_Tracker!$A$5:$A$1004,"&lt;&gt;",Task_Tracker!$I$5:$I$1004,"&lt;&gt;Completed",Task_Tracker!$I$5:$I$1004,"&lt;&gt;Cancelled"))</f>
        <v/>
      </c>
      <c r="J72" s="84">
        <f>IF($B72="","",COUNTIFS(Task_Tracker!$F$5:$F$1004,$B72,Task_Tracker!$I$5:$I$1004,"Completed"))</f>
        <v/>
      </c>
      <c r="K72" s="86">
        <f>IFERROR($J72/$H72,"")</f>
        <v/>
      </c>
      <c r="L72" s="66">
        <f>IF($B72="","",SUMIF(Task_Tracker!$F$5:$F$1004,$B72,Task_Tracker!$N$5:$N$1004))</f>
        <v/>
      </c>
      <c r="M72" s="66">
        <f>IF($B72="","",SUMIF(Task_Tracker!$F$5:$F$1004,$B72,Task_Tracker!$O$5:$O$1004))</f>
        <v/>
      </c>
      <c r="N72" s="66">
        <f>IF(OR($L72="",$M72=""),"",$M72-$L72)</f>
        <v/>
      </c>
      <c r="O72" s="84">
        <f>IF($B72="","",COUNTIFS(Task_Tracker!$F$5:$F$1004,$B72,Task_Tracker!$R$5:$R$1004,"Overdue"))</f>
        <v/>
      </c>
      <c r="P72" s="84">
        <f>IF($B72="","",COUNTIFS(Task_Tracker!$F$5:$F$1004,$B72,Task_Tracker!$S$5:$S$1004,TEXT(TODAY(),"yyyy-mm")))</f>
        <v/>
      </c>
      <c r="Q72" s="66">
        <f>IF($B72="","",SUMIFS(Task_Tracker!$O$5:$O$1004,Task_Tracker!$F$5:$F$1004,$B72,Task_Tracker!$S$5:$S$1004,TEXT(TODAY(),"yyyy-mm")))</f>
        <v/>
      </c>
      <c r="R72" s="86">
        <f>IFERROR($Q72/($F72*4),"")</f>
        <v/>
      </c>
    </row>
    <row r="73" ht="15" customHeight="1" s="40">
      <c r="A73" s="67">
        <f>Employee_Master!A73</f>
        <v/>
      </c>
      <c r="B73" s="67">
        <f>Employee_Master!B73</f>
        <v/>
      </c>
      <c r="C73" s="67">
        <f>Employee_Master!C73</f>
        <v/>
      </c>
      <c r="D73" s="67">
        <f>Employee_Master!D73</f>
        <v/>
      </c>
      <c r="E73" s="67">
        <f>Employee_Master!E73</f>
        <v/>
      </c>
      <c r="F73" s="87">
        <f>Employee_Master!H73</f>
        <v/>
      </c>
      <c r="G73" s="67">
        <f>Employee_Master!I73</f>
        <v/>
      </c>
      <c r="H73" s="84">
        <f>IF($B73="","",COUNTIF(Task_Tracker!$F$5:$F$1004,$B73))</f>
        <v/>
      </c>
      <c r="I73" s="84">
        <f>IF($B73="","",COUNTIFS(Task_Tracker!$F$5:$F$1004,$B73,Task_Tracker!$A$5:$A$1004,"&lt;&gt;",Task_Tracker!$I$5:$I$1004,"&lt;&gt;Completed",Task_Tracker!$I$5:$I$1004,"&lt;&gt;Cancelled"))</f>
        <v/>
      </c>
      <c r="J73" s="84">
        <f>IF($B73="","",COUNTIFS(Task_Tracker!$F$5:$F$1004,$B73,Task_Tracker!$I$5:$I$1004,"Completed"))</f>
        <v/>
      </c>
      <c r="K73" s="86">
        <f>IFERROR($J73/$H73,"")</f>
        <v/>
      </c>
      <c r="L73" s="66">
        <f>IF($B73="","",SUMIF(Task_Tracker!$F$5:$F$1004,$B73,Task_Tracker!$N$5:$N$1004))</f>
        <v/>
      </c>
      <c r="M73" s="66">
        <f>IF($B73="","",SUMIF(Task_Tracker!$F$5:$F$1004,$B73,Task_Tracker!$O$5:$O$1004))</f>
        <v/>
      </c>
      <c r="N73" s="66">
        <f>IF(OR($L73="",$M73=""),"",$M73-$L73)</f>
        <v/>
      </c>
      <c r="O73" s="84">
        <f>IF($B73="","",COUNTIFS(Task_Tracker!$F$5:$F$1004,$B73,Task_Tracker!$R$5:$R$1004,"Overdue"))</f>
        <v/>
      </c>
      <c r="P73" s="84">
        <f>IF($B73="","",COUNTIFS(Task_Tracker!$F$5:$F$1004,$B73,Task_Tracker!$S$5:$S$1004,TEXT(TODAY(),"yyyy-mm")))</f>
        <v/>
      </c>
      <c r="Q73" s="66">
        <f>IF($B73="","",SUMIFS(Task_Tracker!$O$5:$O$1004,Task_Tracker!$F$5:$F$1004,$B73,Task_Tracker!$S$5:$S$1004,TEXT(TODAY(),"yyyy-mm")))</f>
        <v/>
      </c>
      <c r="R73" s="86">
        <f>IFERROR($Q73/($F73*4),"")</f>
        <v/>
      </c>
    </row>
    <row r="74" ht="15" customHeight="1" s="40">
      <c r="A74" s="67">
        <f>Employee_Master!A74</f>
        <v/>
      </c>
      <c r="B74" s="67">
        <f>Employee_Master!B74</f>
        <v/>
      </c>
      <c r="C74" s="67">
        <f>Employee_Master!C74</f>
        <v/>
      </c>
      <c r="D74" s="67">
        <f>Employee_Master!D74</f>
        <v/>
      </c>
      <c r="E74" s="67">
        <f>Employee_Master!E74</f>
        <v/>
      </c>
      <c r="F74" s="87">
        <f>Employee_Master!H74</f>
        <v/>
      </c>
      <c r="G74" s="67">
        <f>Employee_Master!I74</f>
        <v/>
      </c>
      <c r="H74" s="84">
        <f>IF($B74="","",COUNTIF(Task_Tracker!$F$5:$F$1004,$B74))</f>
        <v/>
      </c>
      <c r="I74" s="84">
        <f>IF($B74="","",COUNTIFS(Task_Tracker!$F$5:$F$1004,$B74,Task_Tracker!$A$5:$A$1004,"&lt;&gt;",Task_Tracker!$I$5:$I$1004,"&lt;&gt;Completed",Task_Tracker!$I$5:$I$1004,"&lt;&gt;Cancelled"))</f>
        <v/>
      </c>
      <c r="J74" s="84">
        <f>IF($B74="","",COUNTIFS(Task_Tracker!$F$5:$F$1004,$B74,Task_Tracker!$I$5:$I$1004,"Completed"))</f>
        <v/>
      </c>
      <c r="K74" s="86">
        <f>IFERROR($J74/$H74,"")</f>
        <v/>
      </c>
      <c r="L74" s="66">
        <f>IF($B74="","",SUMIF(Task_Tracker!$F$5:$F$1004,$B74,Task_Tracker!$N$5:$N$1004))</f>
        <v/>
      </c>
      <c r="M74" s="66">
        <f>IF($B74="","",SUMIF(Task_Tracker!$F$5:$F$1004,$B74,Task_Tracker!$O$5:$O$1004))</f>
        <v/>
      </c>
      <c r="N74" s="66">
        <f>IF(OR($L74="",$M74=""),"",$M74-$L74)</f>
        <v/>
      </c>
      <c r="O74" s="84">
        <f>IF($B74="","",COUNTIFS(Task_Tracker!$F$5:$F$1004,$B74,Task_Tracker!$R$5:$R$1004,"Overdue"))</f>
        <v/>
      </c>
      <c r="P74" s="84">
        <f>IF($B74="","",COUNTIFS(Task_Tracker!$F$5:$F$1004,$B74,Task_Tracker!$S$5:$S$1004,TEXT(TODAY(),"yyyy-mm")))</f>
        <v/>
      </c>
      <c r="Q74" s="66">
        <f>IF($B74="","",SUMIFS(Task_Tracker!$O$5:$O$1004,Task_Tracker!$F$5:$F$1004,$B74,Task_Tracker!$S$5:$S$1004,TEXT(TODAY(),"yyyy-mm")))</f>
        <v/>
      </c>
      <c r="R74" s="86">
        <f>IFERROR($Q74/($F74*4),"")</f>
        <v/>
      </c>
    </row>
    <row r="75" ht="15" customHeight="1" s="40">
      <c r="A75" s="67">
        <f>Employee_Master!A75</f>
        <v/>
      </c>
      <c r="B75" s="67">
        <f>Employee_Master!B75</f>
        <v/>
      </c>
      <c r="C75" s="67">
        <f>Employee_Master!C75</f>
        <v/>
      </c>
      <c r="D75" s="67">
        <f>Employee_Master!D75</f>
        <v/>
      </c>
      <c r="E75" s="67">
        <f>Employee_Master!E75</f>
        <v/>
      </c>
      <c r="F75" s="87">
        <f>Employee_Master!H75</f>
        <v/>
      </c>
      <c r="G75" s="67">
        <f>Employee_Master!I75</f>
        <v/>
      </c>
      <c r="H75" s="84">
        <f>IF($B75="","",COUNTIF(Task_Tracker!$F$5:$F$1004,$B75))</f>
        <v/>
      </c>
      <c r="I75" s="84">
        <f>IF($B75="","",COUNTIFS(Task_Tracker!$F$5:$F$1004,$B75,Task_Tracker!$A$5:$A$1004,"&lt;&gt;",Task_Tracker!$I$5:$I$1004,"&lt;&gt;Completed",Task_Tracker!$I$5:$I$1004,"&lt;&gt;Cancelled"))</f>
        <v/>
      </c>
      <c r="J75" s="84">
        <f>IF($B75="","",COUNTIFS(Task_Tracker!$F$5:$F$1004,$B75,Task_Tracker!$I$5:$I$1004,"Completed"))</f>
        <v/>
      </c>
      <c r="K75" s="86">
        <f>IFERROR($J75/$H75,"")</f>
        <v/>
      </c>
      <c r="L75" s="66">
        <f>IF($B75="","",SUMIF(Task_Tracker!$F$5:$F$1004,$B75,Task_Tracker!$N$5:$N$1004))</f>
        <v/>
      </c>
      <c r="M75" s="66">
        <f>IF($B75="","",SUMIF(Task_Tracker!$F$5:$F$1004,$B75,Task_Tracker!$O$5:$O$1004))</f>
        <v/>
      </c>
      <c r="N75" s="66">
        <f>IF(OR($L75="",$M75=""),"",$M75-$L75)</f>
        <v/>
      </c>
      <c r="O75" s="84">
        <f>IF($B75="","",COUNTIFS(Task_Tracker!$F$5:$F$1004,$B75,Task_Tracker!$R$5:$R$1004,"Overdue"))</f>
        <v/>
      </c>
      <c r="P75" s="84">
        <f>IF($B75="","",COUNTIFS(Task_Tracker!$F$5:$F$1004,$B75,Task_Tracker!$S$5:$S$1004,TEXT(TODAY(),"yyyy-mm")))</f>
        <v/>
      </c>
      <c r="Q75" s="66">
        <f>IF($B75="","",SUMIFS(Task_Tracker!$O$5:$O$1004,Task_Tracker!$F$5:$F$1004,$B75,Task_Tracker!$S$5:$S$1004,TEXT(TODAY(),"yyyy-mm")))</f>
        <v/>
      </c>
      <c r="R75" s="86">
        <f>IFERROR($Q75/($F75*4),"")</f>
        <v/>
      </c>
    </row>
    <row r="76" ht="15" customHeight="1" s="40">
      <c r="A76" s="67">
        <f>Employee_Master!A76</f>
        <v/>
      </c>
      <c r="B76" s="67">
        <f>Employee_Master!B76</f>
        <v/>
      </c>
      <c r="C76" s="67">
        <f>Employee_Master!C76</f>
        <v/>
      </c>
      <c r="D76" s="67">
        <f>Employee_Master!D76</f>
        <v/>
      </c>
      <c r="E76" s="67">
        <f>Employee_Master!E76</f>
        <v/>
      </c>
      <c r="F76" s="87">
        <f>Employee_Master!H76</f>
        <v/>
      </c>
      <c r="G76" s="67">
        <f>Employee_Master!I76</f>
        <v/>
      </c>
      <c r="H76" s="84">
        <f>IF($B76="","",COUNTIF(Task_Tracker!$F$5:$F$1004,$B76))</f>
        <v/>
      </c>
      <c r="I76" s="84">
        <f>IF($B76="","",COUNTIFS(Task_Tracker!$F$5:$F$1004,$B76,Task_Tracker!$A$5:$A$1004,"&lt;&gt;",Task_Tracker!$I$5:$I$1004,"&lt;&gt;Completed",Task_Tracker!$I$5:$I$1004,"&lt;&gt;Cancelled"))</f>
        <v/>
      </c>
      <c r="J76" s="84">
        <f>IF($B76="","",COUNTIFS(Task_Tracker!$F$5:$F$1004,$B76,Task_Tracker!$I$5:$I$1004,"Completed"))</f>
        <v/>
      </c>
      <c r="K76" s="86">
        <f>IFERROR($J76/$H76,"")</f>
        <v/>
      </c>
      <c r="L76" s="66">
        <f>IF($B76="","",SUMIF(Task_Tracker!$F$5:$F$1004,$B76,Task_Tracker!$N$5:$N$1004))</f>
        <v/>
      </c>
      <c r="M76" s="66">
        <f>IF($B76="","",SUMIF(Task_Tracker!$F$5:$F$1004,$B76,Task_Tracker!$O$5:$O$1004))</f>
        <v/>
      </c>
      <c r="N76" s="66">
        <f>IF(OR($L76="",$M76=""),"",$M76-$L76)</f>
        <v/>
      </c>
      <c r="O76" s="84">
        <f>IF($B76="","",COUNTIFS(Task_Tracker!$F$5:$F$1004,$B76,Task_Tracker!$R$5:$R$1004,"Overdue"))</f>
        <v/>
      </c>
      <c r="P76" s="84">
        <f>IF($B76="","",COUNTIFS(Task_Tracker!$F$5:$F$1004,$B76,Task_Tracker!$S$5:$S$1004,TEXT(TODAY(),"yyyy-mm")))</f>
        <v/>
      </c>
      <c r="Q76" s="66">
        <f>IF($B76="","",SUMIFS(Task_Tracker!$O$5:$O$1004,Task_Tracker!$F$5:$F$1004,$B76,Task_Tracker!$S$5:$S$1004,TEXT(TODAY(),"yyyy-mm")))</f>
        <v/>
      </c>
      <c r="R76" s="86">
        <f>IFERROR($Q76/($F76*4),"")</f>
        <v/>
      </c>
    </row>
    <row r="77" ht="15" customHeight="1" s="40">
      <c r="A77" s="67">
        <f>Employee_Master!A77</f>
        <v/>
      </c>
      <c r="B77" s="67">
        <f>Employee_Master!B77</f>
        <v/>
      </c>
      <c r="C77" s="67">
        <f>Employee_Master!C77</f>
        <v/>
      </c>
      <c r="D77" s="67">
        <f>Employee_Master!D77</f>
        <v/>
      </c>
      <c r="E77" s="67">
        <f>Employee_Master!E77</f>
        <v/>
      </c>
      <c r="F77" s="87">
        <f>Employee_Master!H77</f>
        <v/>
      </c>
      <c r="G77" s="67">
        <f>Employee_Master!I77</f>
        <v/>
      </c>
      <c r="H77" s="84">
        <f>IF($B77="","",COUNTIF(Task_Tracker!$F$5:$F$1004,$B77))</f>
        <v/>
      </c>
      <c r="I77" s="84">
        <f>IF($B77="","",COUNTIFS(Task_Tracker!$F$5:$F$1004,$B77,Task_Tracker!$A$5:$A$1004,"&lt;&gt;",Task_Tracker!$I$5:$I$1004,"&lt;&gt;Completed",Task_Tracker!$I$5:$I$1004,"&lt;&gt;Cancelled"))</f>
        <v/>
      </c>
      <c r="J77" s="84">
        <f>IF($B77="","",COUNTIFS(Task_Tracker!$F$5:$F$1004,$B77,Task_Tracker!$I$5:$I$1004,"Completed"))</f>
        <v/>
      </c>
      <c r="K77" s="86">
        <f>IFERROR($J77/$H77,"")</f>
        <v/>
      </c>
      <c r="L77" s="66">
        <f>IF($B77="","",SUMIF(Task_Tracker!$F$5:$F$1004,$B77,Task_Tracker!$N$5:$N$1004))</f>
        <v/>
      </c>
      <c r="M77" s="66">
        <f>IF($B77="","",SUMIF(Task_Tracker!$F$5:$F$1004,$B77,Task_Tracker!$O$5:$O$1004))</f>
        <v/>
      </c>
      <c r="N77" s="66">
        <f>IF(OR($L77="",$M77=""),"",$M77-$L77)</f>
        <v/>
      </c>
      <c r="O77" s="84">
        <f>IF($B77="","",COUNTIFS(Task_Tracker!$F$5:$F$1004,$B77,Task_Tracker!$R$5:$R$1004,"Overdue"))</f>
        <v/>
      </c>
      <c r="P77" s="84">
        <f>IF($B77="","",COUNTIFS(Task_Tracker!$F$5:$F$1004,$B77,Task_Tracker!$S$5:$S$1004,TEXT(TODAY(),"yyyy-mm")))</f>
        <v/>
      </c>
      <c r="Q77" s="66">
        <f>IF($B77="","",SUMIFS(Task_Tracker!$O$5:$O$1004,Task_Tracker!$F$5:$F$1004,$B77,Task_Tracker!$S$5:$S$1004,TEXT(TODAY(),"yyyy-mm")))</f>
        <v/>
      </c>
      <c r="R77" s="86">
        <f>IFERROR($Q77/($F77*4),"")</f>
        <v/>
      </c>
    </row>
    <row r="78" ht="15" customHeight="1" s="40">
      <c r="A78" s="67">
        <f>Employee_Master!A78</f>
        <v/>
      </c>
      <c r="B78" s="67">
        <f>Employee_Master!B78</f>
        <v/>
      </c>
      <c r="C78" s="67">
        <f>Employee_Master!C78</f>
        <v/>
      </c>
      <c r="D78" s="67">
        <f>Employee_Master!D78</f>
        <v/>
      </c>
      <c r="E78" s="67">
        <f>Employee_Master!E78</f>
        <v/>
      </c>
      <c r="F78" s="87">
        <f>Employee_Master!H78</f>
        <v/>
      </c>
      <c r="G78" s="67">
        <f>Employee_Master!I78</f>
        <v/>
      </c>
      <c r="H78" s="84">
        <f>IF($B78="","",COUNTIF(Task_Tracker!$F$5:$F$1004,$B78))</f>
        <v/>
      </c>
      <c r="I78" s="84">
        <f>IF($B78="","",COUNTIFS(Task_Tracker!$F$5:$F$1004,$B78,Task_Tracker!$A$5:$A$1004,"&lt;&gt;",Task_Tracker!$I$5:$I$1004,"&lt;&gt;Completed",Task_Tracker!$I$5:$I$1004,"&lt;&gt;Cancelled"))</f>
        <v/>
      </c>
      <c r="J78" s="84">
        <f>IF($B78="","",COUNTIFS(Task_Tracker!$F$5:$F$1004,$B78,Task_Tracker!$I$5:$I$1004,"Completed"))</f>
        <v/>
      </c>
      <c r="K78" s="86">
        <f>IFERROR($J78/$H78,"")</f>
        <v/>
      </c>
      <c r="L78" s="66">
        <f>IF($B78="","",SUMIF(Task_Tracker!$F$5:$F$1004,$B78,Task_Tracker!$N$5:$N$1004))</f>
        <v/>
      </c>
      <c r="M78" s="66">
        <f>IF($B78="","",SUMIF(Task_Tracker!$F$5:$F$1004,$B78,Task_Tracker!$O$5:$O$1004))</f>
        <v/>
      </c>
      <c r="N78" s="66">
        <f>IF(OR($L78="",$M78=""),"",$M78-$L78)</f>
        <v/>
      </c>
      <c r="O78" s="84">
        <f>IF($B78="","",COUNTIFS(Task_Tracker!$F$5:$F$1004,$B78,Task_Tracker!$R$5:$R$1004,"Overdue"))</f>
        <v/>
      </c>
      <c r="P78" s="84">
        <f>IF($B78="","",COUNTIFS(Task_Tracker!$F$5:$F$1004,$B78,Task_Tracker!$S$5:$S$1004,TEXT(TODAY(),"yyyy-mm")))</f>
        <v/>
      </c>
      <c r="Q78" s="66">
        <f>IF($B78="","",SUMIFS(Task_Tracker!$O$5:$O$1004,Task_Tracker!$F$5:$F$1004,$B78,Task_Tracker!$S$5:$S$1004,TEXT(TODAY(),"yyyy-mm")))</f>
        <v/>
      </c>
      <c r="R78" s="86">
        <f>IFERROR($Q78/($F78*4),"")</f>
        <v/>
      </c>
    </row>
    <row r="79" ht="15" customHeight="1" s="40">
      <c r="A79" s="67">
        <f>Employee_Master!A79</f>
        <v/>
      </c>
      <c r="B79" s="67">
        <f>Employee_Master!B79</f>
        <v/>
      </c>
      <c r="C79" s="67">
        <f>Employee_Master!C79</f>
        <v/>
      </c>
      <c r="D79" s="67">
        <f>Employee_Master!D79</f>
        <v/>
      </c>
      <c r="E79" s="67">
        <f>Employee_Master!E79</f>
        <v/>
      </c>
      <c r="F79" s="87">
        <f>Employee_Master!H79</f>
        <v/>
      </c>
      <c r="G79" s="67">
        <f>Employee_Master!I79</f>
        <v/>
      </c>
      <c r="H79" s="84">
        <f>IF($B79="","",COUNTIF(Task_Tracker!$F$5:$F$1004,$B79))</f>
        <v/>
      </c>
      <c r="I79" s="84">
        <f>IF($B79="","",COUNTIFS(Task_Tracker!$F$5:$F$1004,$B79,Task_Tracker!$A$5:$A$1004,"&lt;&gt;",Task_Tracker!$I$5:$I$1004,"&lt;&gt;Completed",Task_Tracker!$I$5:$I$1004,"&lt;&gt;Cancelled"))</f>
        <v/>
      </c>
      <c r="J79" s="84">
        <f>IF($B79="","",COUNTIFS(Task_Tracker!$F$5:$F$1004,$B79,Task_Tracker!$I$5:$I$1004,"Completed"))</f>
        <v/>
      </c>
      <c r="K79" s="86">
        <f>IFERROR($J79/$H79,"")</f>
        <v/>
      </c>
      <c r="L79" s="66">
        <f>IF($B79="","",SUMIF(Task_Tracker!$F$5:$F$1004,$B79,Task_Tracker!$N$5:$N$1004))</f>
        <v/>
      </c>
      <c r="M79" s="66">
        <f>IF($B79="","",SUMIF(Task_Tracker!$F$5:$F$1004,$B79,Task_Tracker!$O$5:$O$1004))</f>
        <v/>
      </c>
      <c r="N79" s="66">
        <f>IF(OR($L79="",$M79=""),"",$M79-$L79)</f>
        <v/>
      </c>
      <c r="O79" s="84">
        <f>IF($B79="","",COUNTIFS(Task_Tracker!$F$5:$F$1004,$B79,Task_Tracker!$R$5:$R$1004,"Overdue"))</f>
        <v/>
      </c>
      <c r="P79" s="84">
        <f>IF($B79="","",COUNTIFS(Task_Tracker!$F$5:$F$1004,$B79,Task_Tracker!$S$5:$S$1004,TEXT(TODAY(),"yyyy-mm")))</f>
        <v/>
      </c>
      <c r="Q79" s="66">
        <f>IF($B79="","",SUMIFS(Task_Tracker!$O$5:$O$1004,Task_Tracker!$F$5:$F$1004,$B79,Task_Tracker!$S$5:$S$1004,TEXT(TODAY(),"yyyy-mm")))</f>
        <v/>
      </c>
      <c r="R79" s="86">
        <f>IFERROR($Q79/($F79*4),"")</f>
        <v/>
      </c>
    </row>
    <row r="80" ht="15" customHeight="1" s="40">
      <c r="A80" s="67">
        <f>Employee_Master!A80</f>
        <v/>
      </c>
      <c r="B80" s="67">
        <f>Employee_Master!B80</f>
        <v/>
      </c>
      <c r="C80" s="67">
        <f>Employee_Master!C80</f>
        <v/>
      </c>
      <c r="D80" s="67">
        <f>Employee_Master!D80</f>
        <v/>
      </c>
      <c r="E80" s="67">
        <f>Employee_Master!E80</f>
        <v/>
      </c>
      <c r="F80" s="87">
        <f>Employee_Master!H80</f>
        <v/>
      </c>
      <c r="G80" s="67">
        <f>Employee_Master!I80</f>
        <v/>
      </c>
      <c r="H80" s="84">
        <f>IF($B80="","",COUNTIF(Task_Tracker!$F$5:$F$1004,$B80))</f>
        <v/>
      </c>
      <c r="I80" s="84">
        <f>IF($B80="","",COUNTIFS(Task_Tracker!$F$5:$F$1004,$B80,Task_Tracker!$A$5:$A$1004,"&lt;&gt;",Task_Tracker!$I$5:$I$1004,"&lt;&gt;Completed",Task_Tracker!$I$5:$I$1004,"&lt;&gt;Cancelled"))</f>
        <v/>
      </c>
      <c r="J80" s="84">
        <f>IF($B80="","",COUNTIFS(Task_Tracker!$F$5:$F$1004,$B80,Task_Tracker!$I$5:$I$1004,"Completed"))</f>
        <v/>
      </c>
      <c r="K80" s="86">
        <f>IFERROR($J80/$H80,"")</f>
        <v/>
      </c>
      <c r="L80" s="66">
        <f>IF($B80="","",SUMIF(Task_Tracker!$F$5:$F$1004,$B80,Task_Tracker!$N$5:$N$1004))</f>
        <v/>
      </c>
      <c r="M80" s="66">
        <f>IF($B80="","",SUMIF(Task_Tracker!$F$5:$F$1004,$B80,Task_Tracker!$O$5:$O$1004))</f>
        <v/>
      </c>
      <c r="N80" s="66">
        <f>IF(OR($L80="",$M80=""),"",$M80-$L80)</f>
        <v/>
      </c>
      <c r="O80" s="84">
        <f>IF($B80="","",COUNTIFS(Task_Tracker!$F$5:$F$1004,$B80,Task_Tracker!$R$5:$R$1004,"Overdue"))</f>
        <v/>
      </c>
      <c r="P80" s="84">
        <f>IF($B80="","",COUNTIFS(Task_Tracker!$F$5:$F$1004,$B80,Task_Tracker!$S$5:$S$1004,TEXT(TODAY(),"yyyy-mm")))</f>
        <v/>
      </c>
      <c r="Q80" s="66">
        <f>IF($B80="","",SUMIFS(Task_Tracker!$O$5:$O$1004,Task_Tracker!$F$5:$F$1004,$B80,Task_Tracker!$S$5:$S$1004,TEXT(TODAY(),"yyyy-mm")))</f>
        <v/>
      </c>
      <c r="R80" s="86">
        <f>IFERROR($Q80/($F80*4),"")</f>
        <v/>
      </c>
    </row>
    <row r="81" ht="15" customHeight="1" s="40">
      <c r="A81" s="67">
        <f>Employee_Master!A81</f>
        <v/>
      </c>
      <c r="B81" s="67">
        <f>Employee_Master!B81</f>
        <v/>
      </c>
      <c r="C81" s="67">
        <f>Employee_Master!C81</f>
        <v/>
      </c>
      <c r="D81" s="67">
        <f>Employee_Master!D81</f>
        <v/>
      </c>
      <c r="E81" s="67">
        <f>Employee_Master!E81</f>
        <v/>
      </c>
      <c r="F81" s="87">
        <f>Employee_Master!H81</f>
        <v/>
      </c>
      <c r="G81" s="67">
        <f>Employee_Master!I81</f>
        <v/>
      </c>
      <c r="H81" s="84">
        <f>IF($B81="","",COUNTIF(Task_Tracker!$F$5:$F$1004,$B81))</f>
        <v/>
      </c>
      <c r="I81" s="84">
        <f>IF($B81="","",COUNTIFS(Task_Tracker!$F$5:$F$1004,$B81,Task_Tracker!$A$5:$A$1004,"&lt;&gt;",Task_Tracker!$I$5:$I$1004,"&lt;&gt;Completed",Task_Tracker!$I$5:$I$1004,"&lt;&gt;Cancelled"))</f>
        <v/>
      </c>
      <c r="J81" s="84">
        <f>IF($B81="","",COUNTIFS(Task_Tracker!$F$5:$F$1004,$B81,Task_Tracker!$I$5:$I$1004,"Completed"))</f>
        <v/>
      </c>
      <c r="K81" s="86">
        <f>IFERROR($J81/$H81,"")</f>
        <v/>
      </c>
      <c r="L81" s="66">
        <f>IF($B81="","",SUMIF(Task_Tracker!$F$5:$F$1004,$B81,Task_Tracker!$N$5:$N$1004))</f>
        <v/>
      </c>
      <c r="M81" s="66">
        <f>IF($B81="","",SUMIF(Task_Tracker!$F$5:$F$1004,$B81,Task_Tracker!$O$5:$O$1004))</f>
        <v/>
      </c>
      <c r="N81" s="66">
        <f>IF(OR($L81="",$M81=""),"",$M81-$L81)</f>
        <v/>
      </c>
      <c r="O81" s="84">
        <f>IF($B81="","",COUNTIFS(Task_Tracker!$F$5:$F$1004,$B81,Task_Tracker!$R$5:$R$1004,"Overdue"))</f>
        <v/>
      </c>
      <c r="P81" s="84">
        <f>IF($B81="","",COUNTIFS(Task_Tracker!$F$5:$F$1004,$B81,Task_Tracker!$S$5:$S$1004,TEXT(TODAY(),"yyyy-mm")))</f>
        <v/>
      </c>
      <c r="Q81" s="66">
        <f>IF($B81="","",SUMIFS(Task_Tracker!$O$5:$O$1004,Task_Tracker!$F$5:$F$1004,$B81,Task_Tracker!$S$5:$S$1004,TEXT(TODAY(),"yyyy-mm")))</f>
        <v/>
      </c>
      <c r="R81" s="86">
        <f>IFERROR($Q81/($F81*4),"")</f>
        <v/>
      </c>
    </row>
    <row r="82" ht="15" customHeight="1" s="40">
      <c r="A82" s="67">
        <f>Employee_Master!A82</f>
        <v/>
      </c>
      <c r="B82" s="67">
        <f>Employee_Master!B82</f>
        <v/>
      </c>
      <c r="C82" s="67">
        <f>Employee_Master!C82</f>
        <v/>
      </c>
      <c r="D82" s="67">
        <f>Employee_Master!D82</f>
        <v/>
      </c>
      <c r="E82" s="67">
        <f>Employee_Master!E82</f>
        <v/>
      </c>
      <c r="F82" s="87">
        <f>Employee_Master!H82</f>
        <v/>
      </c>
      <c r="G82" s="67">
        <f>Employee_Master!I82</f>
        <v/>
      </c>
      <c r="H82" s="84">
        <f>IF($B82="","",COUNTIF(Task_Tracker!$F$5:$F$1004,$B82))</f>
        <v/>
      </c>
      <c r="I82" s="84">
        <f>IF($B82="","",COUNTIFS(Task_Tracker!$F$5:$F$1004,$B82,Task_Tracker!$A$5:$A$1004,"&lt;&gt;",Task_Tracker!$I$5:$I$1004,"&lt;&gt;Completed",Task_Tracker!$I$5:$I$1004,"&lt;&gt;Cancelled"))</f>
        <v/>
      </c>
      <c r="J82" s="84">
        <f>IF($B82="","",COUNTIFS(Task_Tracker!$F$5:$F$1004,$B82,Task_Tracker!$I$5:$I$1004,"Completed"))</f>
        <v/>
      </c>
      <c r="K82" s="86">
        <f>IFERROR($J82/$H82,"")</f>
        <v/>
      </c>
      <c r="L82" s="66">
        <f>IF($B82="","",SUMIF(Task_Tracker!$F$5:$F$1004,$B82,Task_Tracker!$N$5:$N$1004))</f>
        <v/>
      </c>
      <c r="M82" s="66">
        <f>IF($B82="","",SUMIF(Task_Tracker!$F$5:$F$1004,$B82,Task_Tracker!$O$5:$O$1004))</f>
        <v/>
      </c>
      <c r="N82" s="66">
        <f>IF(OR($L82="",$M82=""),"",$M82-$L82)</f>
        <v/>
      </c>
      <c r="O82" s="84">
        <f>IF($B82="","",COUNTIFS(Task_Tracker!$F$5:$F$1004,$B82,Task_Tracker!$R$5:$R$1004,"Overdue"))</f>
        <v/>
      </c>
      <c r="P82" s="84">
        <f>IF($B82="","",COUNTIFS(Task_Tracker!$F$5:$F$1004,$B82,Task_Tracker!$S$5:$S$1004,TEXT(TODAY(),"yyyy-mm")))</f>
        <v/>
      </c>
      <c r="Q82" s="66">
        <f>IF($B82="","",SUMIFS(Task_Tracker!$O$5:$O$1004,Task_Tracker!$F$5:$F$1004,$B82,Task_Tracker!$S$5:$S$1004,TEXT(TODAY(),"yyyy-mm")))</f>
        <v/>
      </c>
      <c r="R82" s="86">
        <f>IFERROR($Q82/($F82*4),"")</f>
        <v/>
      </c>
    </row>
    <row r="83" ht="15" customHeight="1" s="40">
      <c r="A83" s="67">
        <f>Employee_Master!A83</f>
        <v/>
      </c>
      <c r="B83" s="67">
        <f>Employee_Master!B83</f>
        <v/>
      </c>
      <c r="C83" s="67">
        <f>Employee_Master!C83</f>
        <v/>
      </c>
      <c r="D83" s="67">
        <f>Employee_Master!D83</f>
        <v/>
      </c>
      <c r="E83" s="67">
        <f>Employee_Master!E83</f>
        <v/>
      </c>
      <c r="F83" s="87">
        <f>Employee_Master!H83</f>
        <v/>
      </c>
      <c r="G83" s="67">
        <f>Employee_Master!I83</f>
        <v/>
      </c>
      <c r="H83" s="84">
        <f>IF($B83="","",COUNTIF(Task_Tracker!$F$5:$F$1004,$B83))</f>
        <v/>
      </c>
      <c r="I83" s="84">
        <f>IF($B83="","",COUNTIFS(Task_Tracker!$F$5:$F$1004,$B83,Task_Tracker!$A$5:$A$1004,"&lt;&gt;",Task_Tracker!$I$5:$I$1004,"&lt;&gt;Completed",Task_Tracker!$I$5:$I$1004,"&lt;&gt;Cancelled"))</f>
        <v/>
      </c>
      <c r="J83" s="84">
        <f>IF($B83="","",COUNTIFS(Task_Tracker!$F$5:$F$1004,$B83,Task_Tracker!$I$5:$I$1004,"Completed"))</f>
        <v/>
      </c>
      <c r="K83" s="86">
        <f>IFERROR($J83/$H83,"")</f>
        <v/>
      </c>
      <c r="L83" s="66">
        <f>IF($B83="","",SUMIF(Task_Tracker!$F$5:$F$1004,$B83,Task_Tracker!$N$5:$N$1004))</f>
        <v/>
      </c>
      <c r="M83" s="66">
        <f>IF($B83="","",SUMIF(Task_Tracker!$F$5:$F$1004,$B83,Task_Tracker!$O$5:$O$1004))</f>
        <v/>
      </c>
      <c r="N83" s="66">
        <f>IF(OR($L83="",$M83=""),"",$M83-$L83)</f>
        <v/>
      </c>
      <c r="O83" s="84">
        <f>IF($B83="","",COUNTIFS(Task_Tracker!$F$5:$F$1004,$B83,Task_Tracker!$R$5:$R$1004,"Overdue"))</f>
        <v/>
      </c>
      <c r="P83" s="84">
        <f>IF($B83="","",COUNTIFS(Task_Tracker!$F$5:$F$1004,$B83,Task_Tracker!$S$5:$S$1004,TEXT(TODAY(),"yyyy-mm")))</f>
        <v/>
      </c>
      <c r="Q83" s="66">
        <f>IF($B83="","",SUMIFS(Task_Tracker!$O$5:$O$1004,Task_Tracker!$F$5:$F$1004,$B83,Task_Tracker!$S$5:$S$1004,TEXT(TODAY(),"yyyy-mm")))</f>
        <v/>
      </c>
      <c r="R83" s="86">
        <f>IFERROR($Q83/($F83*4),"")</f>
        <v/>
      </c>
    </row>
    <row r="84" ht="15" customHeight="1" s="40">
      <c r="A84" s="67">
        <f>Employee_Master!A84</f>
        <v/>
      </c>
      <c r="B84" s="67">
        <f>Employee_Master!B84</f>
        <v/>
      </c>
      <c r="C84" s="67">
        <f>Employee_Master!C84</f>
        <v/>
      </c>
      <c r="D84" s="67">
        <f>Employee_Master!D84</f>
        <v/>
      </c>
      <c r="E84" s="67">
        <f>Employee_Master!E84</f>
        <v/>
      </c>
      <c r="F84" s="87">
        <f>Employee_Master!H84</f>
        <v/>
      </c>
      <c r="G84" s="67">
        <f>Employee_Master!I84</f>
        <v/>
      </c>
      <c r="H84" s="84">
        <f>IF($B84="","",COUNTIF(Task_Tracker!$F$5:$F$1004,$B84))</f>
        <v/>
      </c>
      <c r="I84" s="84">
        <f>IF($B84="","",COUNTIFS(Task_Tracker!$F$5:$F$1004,$B84,Task_Tracker!$A$5:$A$1004,"&lt;&gt;",Task_Tracker!$I$5:$I$1004,"&lt;&gt;Completed",Task_Tracker!$I$5:$I$1004,"&lt;&gt;Cancelled"))</f>
        <v/>
      </c>
      <c r="J84" s="84">
        <f>IF($B84="","",COUNTIFS(Task_Tracker!$F$5:$F$1004,$B84,Task_Tracker!$I$5:$I$1004,"Completed"))</f>
        <v/>
      </c>
      <c r="K84" s="86">
        <f>IFERROR($J84/$H84,"")</f>
        <v/>
      </c>
      <c r="L84" s="66">
        <f>IF($B84="","",SUMIF(Task_Tracker!$F$5:$F$1004,$B84,Task_Tracker!$N$5:$N$1004))</f>
        <v/>
      </c>
      <c r="M84" s="66">
        <f>IF($B84="","",SUMIF(Task_Tracker!$F$5:$F$1004,$B84,Task_Tracker!$O$5:$O$1004))</f>
        <v/>
      </c>
      <c r="N84" s="66">
        <f>IF(OR($L84="",$M84=""),"",$M84-$L84)</f>
        <v/>
      </c>
      <c r="O84" s="84">
        <f>IF($B84="","",COUNTIFS(Task_Tracker!$F$5:$F$1004,$B84,Task_Tracker!$R$5:$R$1004,"Overdue"))</f>
        <v/>
      </c>
      <c r="P84" s="84">
        <f>IF($B84="","",COUNTIFS(Task_Tracker!$F$5:$F$1004,$B84,Task_Tracker!$S$5:$S$1004,TEXT(TODAY(),"yyyy-mm")))</f>
        <v/>
      </c>
      <c r="Q84" s="66">
        <f>IF($B84="","",SUMIFS(Task_Tracker!$O$5:$O$1004,Task_Tracker!$F$5:$F$1004,$B84,Task_Tracker!$S$5:$S$1004,TEXT(TODAY(),"yyyy-mm")))</f>
        <v/>
      </c>
      <c r="R84" s="86">
        <f>IFERROR($Q84/($F84*4),"")</f>
        <v/>
      </c>
    </row>
    <row r="85" ht="15" customHeight="1" s="40">
      <c r="A85" s="67">
        <f>Employee_Master!A85</f>
        <v/>
      </c>
      <c r="B85" s="67">
        <f>Employee_Master!B85</f>
        <v/>
      </c>
      <c r="C85" s="67">
        <f>Employee_Master!C85</f>
        <v/>
      </c>
      <c r="D85" s="67">
        <f>Employee_Master!D85</f>
        <v/>
      </c>
      <c r="E85" s="67">
        <f>Employee_Master!E85</f>
        <v/>
      </c>
      <c r="F85" s="87">
        <f>Employee_Master!H85</f>
        <v/>
      </c>
      <c r="G85" s="67">
        <f>Employee_Master!I85</f>
        <v/>
      </c>
      <c r="H85" s="84">
        <f>IF($B85="","",COUNTIF(Task_Tracker!$F$5:$F$1004,$B85))</f>
        <v/>
      </c>
      <c r="I85" s="84">
        <f>IF($B85="","",COUNTIFS(Task_Tracker!$F$5:$F$1004,$B85,Task_Tracker!$A$5:$A$1004,"&lt;&gt;",Task_Tracker!$I$5:$I$1004,"&lt;&gt;Completed",Task_Tracker!$I$5:$I$1004,"&lt;&gt;Cancelled"))</f>
        <v/>
      </c>
      <c r="J85" s="84">
        <f>IF($B85="","",COUNTIFS(Task_Tracker!$F$5:$F$1004,$B85,Task_Tracker!$I$5:$I$1004,"Completed"))</f>
        <v/>
      </c>
      <c r="K85" s="86">
        <f>IFERROR($J85/$H85,"")</f>
        <v/>
      </c>
      <c r="L85" s="66">
        <f>IF($B85="","",SUMIF(Task_Tracker!$F$5:$F$1004,$B85,Task_Tracker!$N$5:$N$1004))</f>
        <v/>
      </c>
      <c r="M85" s="66">
        <f>IF($B85="","",SUMIF(Task_Tracker!$F$5:$F$1004,$B85,Task_Tracker!$O$5:$O$1004))</f>
        <v/>
      </c>
      <c r="N85" s="66">
        <f>IF(OR($L85="",$M85=""),"",$M85-$L85)</f>
        <v/>
      </c>
      <c r="O85" s="84">
        <f>IF($B85="","",COUNTIFS(Task_Tracker!$F$5:$F$1004,$B85,Task_Tracker!$R$5:$R$1004,"Overdue"))</f>
        <v/>
      </c>
      <c r="P85" s="84">
        <f>IF($B85="","",COUNTIFS(Task_Tracker!$F$5:$F$1004,$B85,Task_Tracker!$S$5:$S$1004,TEXT(TODAY(),"yyyy-mm")))</f>
        <v/>
      </c>
      <c r="Q85" s="66">
        <f>IF($B85="","",SUMIFS(Task_Tracker!$O$5:$O$1004,Task_Tracker!$F$5:$F$1004,$B85,Task_Tracker!$S$5:$S$1004,TEXT(TODAY(),"yyyy-mm")))</f>
        <v/>
      </c>
      <c r="R85" s="86">
        <f>IFERROR($Q85/($F85*4),"")</f>
        <v/>
      </c>
    </row>
    <row r="86" ht="15" customHeight="1" s="40">
      <c r="A86" s="67">
        <f>Employee_Master!A86</f>
        <v/>
      </c>
      <c r="B86" s="67">
        <f>Employee_Master!B86</f>
        <v/>
      </c>
      <c r="C86" s="67">
        <f>Employee_Master!C86</f>
        <v/>
      </c>
      <c r="D86" s="67">
        <f>Employee_Master!D86</f>
        <v/>
      </c>
      <c r="E86" s="67">
        <f>Employee_Master!E86</f>
        <v/>
      </c>
      <c r="F86" s="87">
        <f>Employee_Master!H86</f>
        <v/>
      </c>
      <c r="G86" s="67">
        <f>Employee_Master!I86</f>
        <v/>
      </c>
      <c r="H86" s="84">
        <f>IF($B86="","",COUNTIF(Task_Tracker!$F$5:$F$1004,$B86))</f>
        <v/>
      </c>
      <c r="I86" s="84">
        <f>IF($B86="","",COUNTIFS(Task_Tracker!$F$5:$F$1004,$B86,Task_Tracker!$A$5:$A$1004,"&lt;&gt;",Task_Tracker!$I$5:$I$1004,"&lt;&gt;Completed",Task_Tracker!$I$5:$I$1004,"&lt;&gt;Cancelled"))</f>
        <v/>
      </c>
      <c r="J86" s="84">
        <f>IF($B86="","",COUNTIFS(Task_Tracker!$F$5:$F$1004,$B86,Task_Tracker!$I$5:$I$1004,"Completed"))</f>
        <v/>
      </c>
      <c r="K86" s="86">
        <f>IFERROR($J86/$H86,"")</f>
        <v/>
      </c>
      <c r="L86" s="66">
        <f>IF($B86="","",SUMIF(Task_Tracker!$F$5:$F$1004,$B86,Task_Tracker!$N$5:$N$1004))</f>
        <v/>
      </c>
      <c r="M86" s="66">
        <f>IF($B86="","",SUMIF(Task_Tracker!$F$5:$F$1004,$B86,Task_Tracker!$O$5:$O$1004))</f>
        <v/>
      </c>
      <c r="N86" s="66">
        <f>IF(OR($L86="",$M86=""),"",$M86-$L86)</f>
        <v/>
      </c>
      <c r="O86" s="84">
        <f>IF($B86="","",COUNTIFS(Task_Tracker!$F$5:$F$1004,$B86,Task_Tracker!$R$5:$R$1004,"Overdue"))</f>
        <v/>
      </c>
      <c r="P86" s="84">
        <f>IF($B86="","",COUNTIFS(Task_Tracker!$F$5:$F$1004,$B86,Task_Tracker!$S$5:$S$1004,TEXT(TODAY(),"yyyy-mm")))</f>
        <v/>
      </c>
      <c r="Q86" s="66">
        <f>IF($B86="","",SUMIFS(Task_Tracker!$O$5:$O$1004,Task_Tracker!$F$5:$F$1004,$B86,Task_Tracker!$S$5:$S$1004,TEXT(TODAY(),"yyyy-mm")))</f>
        <v/>
      </c>
      <c r="R86" s="86">
        <f>IFERROR($Q86/($F86*4),"")</f>
        <v/>
      </c>
    </row>
    <row r="87" ht="15" customHeight="1" s="40">
      <c r="A87" s="67">
        <f>Employee_Master!A87</f>
        <v/>
      </c>
      <c r="B87" s="67">
        <f>Employee_Master!B87</f>
        <v/>
      </c>
      <c r="C87" s="67">
        <f>Employee_Master!C87</f>
        <v/>
      </c>
      <c r="D87" s="67">
        <f>Employee_Master!D87</f>
        <v/>
      </c>
      <c r="E87" s="67">
        <f>Employee_Master!E87</f>
        <v/>
      </c>
      <c r="F87" s="87">
        <f>Employee_Master!H87</f>
        <v/>
      </c>
      <c r="G87" s="67">
        <f>Employee_Master!I87</f>
        <v/>
      </c>
      <c r="H87" s="84">
        <f>IF($B87="","",COUNTIF(Task_Tracker!$F$5:$F$1004,$B87))</f>
        <v/>
      </c>
      <c r="I87" s="84">
        <f>IF($B87="","",COUNTIFS(Task_Tracker!$F$5:$F$1004,$B87,Task_Tracker!$A$5:$A$1004,"&lt;&gt;",Task_Tracker!$I$5:$I$1004,"&lt;&gt;Completed",Task_Tracker!$I$5:$I$1004,"&lt;&gt;Cancelled"))</f>
        <v/>
      </c>
      <c r="J87" s="84">
        <f>IF($B87="","",COUNTIFS(Task_Tracker!$F$5:$F$1004,$B87,Task_Tracker!$I$5:$I$1004,"Completed"))</f>
        <v/>
      </c>
      <c r="K87" s="86">
        <f>IFERROR($J87/$H87,"")</f>
        <v/>
      </c>
      <c r="L87" s="66">
        <f>IF($B87="","",SUMIF(Task_Tracker!$F$5:$F$1004,$B87,Task_Tracker!$N$5:$N$1004))</f>
        <v/>
      </c>
      <c r="M87" s="66">
        <f>IF($B87="","",SUMIF(Task_Tracker!$F$5:$F$1004,$B87,Task_Tracker!$O$5:$O$1004))</f>
        <v/>
      </c>
      <c r="N87" s="66">
        <f>IF(OR($L87="",$M87=""),"",$M87-$L87)</f>
        <v/>
      </c>
      <c r="O87" s="84">
        <f>IF($B87="","",COUNTIFS(Task_Tracker!$F$5:$F$1004,$B87,Task_Tracker!$R$5:$R$1004,"Overdue"))</f>
        <v/>
      </c>
      <c r="P87" s="84">
        <f>IF($B87="","",COUNTIFS(Task_Tracker!$F$5:$F$1004,$B87,Task_Tracker!$S$5:$S$1004,TEXT(TODAY(),"yyyy-mm")))</f>
        <v/>
      </c>
      <c r="Q87" s="66">
        <f>IF($B87="","",SUMIFS(Task_Tracker!$O$5:$O$1004,Task_Tracker!$F$5:$F$1004,$B87,Task_Tracker!$S$5:$S$1004,TEXT(TODAY(),"yyyy-mm")))</f>
        <v/>
      </c>
      <c r="R87" s="86">
        <f>IFERROR($Q87/($F87*4),"")</f>
        <v/>
      </c>
    </row>
    <row r="88" ht="15" customHeight="1" s="40">
      <c r="A88" s="67">
        <f>Employee_Master!A88</f>
        <v/>
      </c>
      <c r="B88" s="67">
        <f>Employee_Master!B88</f>
        <v/>
      </c>
      <c r="C88" s="67">
        <f>Employee_Master!C88</f>
        <v/>
      </c>
      <c r="D88" s="67">
        <f>Employee_Master!D88</f>
        <v/>
      </c>
      <c r="E88" s="67">
        <f>Employee_Master!E88</f>
        <v/>
      </c>
      <c r="F88" s="87">
        <f>Employee_Master!H88</f>
        <v/>
      </c>
      <c r="G88" s="67">
        <f>Employee_Master!I88</f>
        <v/>
      </c>
      <c r="H88" s="84">
        <f>IF($B88="","",COUNTIF(Task_Tracker!$F$5:$F$1004,$B88))</f>
        <v/>
      </c>
      <c r="I88" s="84">
        <f>IF($B88="","",COUNTIFS(Task_Tracker!$F$5:$F$1004,$B88,Task_Tracker!$A$5:$A$1004,"&lt;&gt;",Task_Tracker!$I$5:$I$1004,"&lt;&gt;Completed",Task_Tracker!$I$5:$I$1004,"&lt;&gt;Cancelled"))</f>
        <v/>
      </c>
      <c r="J88" s="84">
        <f>IF($B88="","",COUNTIFS(Task_Tracker!$F$5:$F$1004,$B88,Task_Tracker!$I$5:$I$1004,"Completed"))</f>
        <v/>
      </c>
      <c r="K88" s="86">
        <f>IFERROR($J88/$H88,"")</f>
        <v/>
      </c>
      <c r="L88" s="66">
        <f>IF($B88="","",SUMIF(Task_Tracker!$F$5:$F$1004,$B88,Task_Tracker!$N$5:$N$1004))</f>
        <v/>
      </c>
      <c r="M88" s="66">
        <f>IF($B88="","",SUMIF(Task_Tracker!$F$5:$F$1004,$B88,Task_Tracker!$O$5:$O$1004))</f>
        <v/>
      </c>
      <c r="N88" s="66">
        <f>IF(OR($L88="",$M88=""),"",$M88-$L88)</f>
        <v/>
      </c>
      <c r="O88" s="84">
        <f>IF($B88="","",COUNTIFS(Task_Tracker!$F$5:$F$1004,$B88,Task_Tracker!$R$5:$R$1004,"Overdue"))</f>
        <v/>
      </c>
      <c r="P88" s="84">
        <f>IF($B88="","",COUNTIFS(Task_Tracker!$F$5:$F$1004,$B88,Task_Tracker!$S$5:$S$1004,TEXT(TODAY(),"yyyy-mm")))</f>
        <v/>
      </c>
      <c r="Q88" s="66">
        <f>IF($B88="","",SUMIFS(Task_Tracker!$O$5:$O$1004,Task_Tracker!$F$5:$F$1004,$B88,Task_Tracker!$S$5:$S$1004,TEXT(TODAY(),"yyyy-mm")))</f>
        <v/>
      </c>
      <c r="R88" s="86">
        <f>IFERROR($Q88/($F88*4),"")</f>
        <v/>
      </c>
    </row>
    <row r="89" ht="15" customHeight="1" s="40">
      <c r="A89" s="67">
        <f>Employee_Master!A89</f>
        <v/>
      </c>
      <c r="B89" s="67">
        <f>Employee_Master!B89</f>
        <v/>
      </c>
      <c r="C89" s="67">
        <f>Employee_Master!C89</f>
        <v/>
      </c>
      <c r="D89" s="67">
        <f>Employee_Master!D89</f>
        <v/>
      </c>
      <c r="E89" s="67">
        <f>Employee_Master!E89</f>
        <v/>
      </c>
      <c r="F89" s="87">
        <f>Employee_Master!H89</f>
        <v/>
      </c>
      <c r="G89" s="67">
        <f>Employee_Master!I89</f>
        <v/>
      </c>
      <c r="H89" s="84">
        <f>IF($B89="","",COUNTIF(Task_Tracker!$F$5:$F$1004,$B89))</f>
        <v/>
      </c>
      <c r="I89" s="84">
        <f>IF($B89="","",COUNTIFS(Task_Tracker!$F$5:$F$1004,$B89,Task_Tracker!$A$5:$A$1004,"&lt;&gt;",Task_Tracker!$I$5:$I$1004,"&lt;&gt;Completed",Task_Tracker!$I$5:$I$1004,"&lt;&gt;Cancelled"))</f>
        <v/>
      </c>
      <c r="J89" s="84">
        <f>IF($B89="","",COUNTIFS(Task_Tracker!$F$5:$F$1004,$B89,Task_Tracker!$I$5:$I$1004,"Completed"))</f>
        <v/>
      </c>
      <c r="K89" s="86">
        <f>IFERROR($J89/$H89,"")</f>
        <v/>
      </c>
      <c r="L89" s="66">
        <f>IF($B89="","",SUMIF(Task_Tracker!$F$5:$F$1004,$B89,Task_Tracker!$N$5:$N$1004))</f>
        <v/>
      </c>
      <c r="M89" s="66">
        <f>IF($B89="","",SUMIF(Task_Tracker!$F$5:$F$1004,$B89,Task_Tracker!$O$5:$O$1004))</f>
        <v/>
      </c>
      <c r="N89" s="66">
        <f>IF(OR($L89="",$M89=""),"",$M89-$L89)</f>
        <v/>
      </c>
      <c r="O89" s="84">
        <f>IF($B89="","",COUNTIFS(Task_Tracker!$F$5:$F$1004,$B89,Task_Tracker!$R$5:$R$1004,"Overdue"))</f>
        <v/>
      </c>
      <c r="P89" s="84">
        <f>IF($B89="","",COUNTIFS(Task_Tracker!$F$5:$F$1004,$B89,Task_Tracker!$S$5:$S$1004,TEXT(TODAY(),"yyyy-mm")))</f>
        <v/>
      </c>
      <c r="Q89" s="66">
        <f>IF($B89="","",SUMIFS(Task_Tracker!$O$5:$O$1004,Task_Tracker!$F$5:$F$1004,$B89,Task_Tracker!$S$5:$S$1004,TEXT(TODAY(),"yyyy-mm")))</f>
        <v/>
      </c>
      <c r="R89" s="86">
        <f>IFERROR($Q89/($F89*4),"")</f>
        <v/>
      </c>
    </row>
    <row r="90" ht="15" customHeight="1" s="40">
      <c r="A90" s="67">
        <f>Employee_Master!A90</f>
        <v/>
      </c>
      <c r="B90" s="67">
        <f>Employee_Master!B90</f>
        <v/>
      </c>
      <c r="C90" s="67">
        <f>Employee_Master!C90</f>
        <v/>
      </c>
      <c r="D90" s="67">
        <f>Employee_Master!D90</f>
        <v/>
      </c>
      <c r="E90" s="67">
        <f>Employee_Master!E90</f>
        <v/>
      </c>
      <c r="F90" s="87">
        <f>Employee_Master!H90</f>
        <v/>
      </c>
      <c r="G90" s="67">
        <f>Employee_Master!I90</f>
        <v/>
      </c>
      <c r="H90" s="84">
        <f>IF($B90="","",COUNTIF(Task_Tracker!$F$5:$F$1004,$B90))</f>
        <v/>
      </c>
      <c r="I90" s="84">
        <f>IF($B90="","",COUNTIFS(Task_Tracker!$F$5:$F$1004,$B90,Task_Tracker!$A$5:$A$1004,"&lt;&gt;",Task_Tracker!$I$5:$I$1004,"&lt;&gt;Completed",Task_Tracker!$I$5:$I$1004,"&lt;&gt;Cancelled"))</f>
        <v/>
      </c>
      <c r="J90" s="84">
        <f>IF($B90="","",COUNTIFS(Task_Tracker!$F$5:$F$1004,$B90,Task_Tracker!$I$5:$I$1004,"Completed"))</f>
        <v/>
      </c>
      <c r="K90" s="86">
        <f>IFERROR($J90/$H90,"")</f>
        <v/>
      </c>
      <c r="L90" s="66">
        <f>IF($B90="","",SUMIF(Task_Tracker!$F$5:$F$1004,$B90,Task_Tracker!$N$5:$N$1004))</f>
        <v/>
      </c>
      <c r="M90" s="66">
        <f>IF($B90="","",SUMIF(Task_Tracker!$F$5:$F$1004,$B90,Task_Tracker!$O$5:$O$1004))</f>
        <v/>
      </c>
      <c r="N90" s="66">
        <f>IF(OR($L90="",$M90=""),"",$M90-$L90)</f>
        <v/>
      </c>
      <c r="O90" s="84">
        <f>IF($B90="","",COUNTIFS(Task_Tracker!$F$5:$F$1004,$B90,Task_Tracker!$R$5:$R$1004,"Overdue"))</f>
        <v/>
      </c>
      <c r="P90" s="84">
        <f>IF($B90="","",COUNTIFS(Task_Tracker!$F$5:$F$1004,$B90,Task_Tracker!$S$5:$S$1004,TEXT(TODAY(),"yyyy-mm")))</f>
        <v/>
      </c>
      <c r="Q90" s="66">
        <f>IF($B90="","",SUMIFS(Task_Tracker!$O$5:$O$1004,Task_Tracker!$F$5:$F$1004,$B90,Task_Tracker!$S$5:$S$1004,TEXT(TODAY(),"yyyy-mm")))</f>
        <v/>
      </c>
      <c r="R90" s="86">
        <f>IFERROR($Q90/($F90*4),"")</f>
        <v/>
      </c>
    </row>
    <row r="91" ht="15" customHeight="1" s="40">
      <c r="A91" s="67">
        <f>Employee_Master!A91</f>
        <v/>
      </c>
      <c r="B91" s="67">
        <f>Employee_Master!B91</f>
        <v/>
      </c>
      <c r="C91" s="67">
        <f>Employee_Master!C91</f>
        <v/>
      </c>
      <c r="D91" s="67">
        <f>Employee_Master!D91</f>
        <v/>
      </c>
      <c r="E91" s="67">
        <f>Employee_Master!E91</f>
        <v/>
      </c>
      <c r="F91" s="87">
        <f>Employee_Master!H91</f>
        <v/>
      </c>
      <c r="G91" s="67">
        <f>Employee_Master!I91</f>
        <v/>
      </c>
      <c r="H91" s="84">
        <f>IF($B91="","",COUNTIF(Task_Tracker!$F$5:$F$1004,$B91))</f>
        <v/>
      </c>
      <c r="I91" s="84">
        <f>IF($B91="","",COUNTIFS(Task_Tracker!$F$5:$F$1004,$B91,Task_Tracker!$A$5:$A$1004,"&lt;&gt;",Task_Tracker!$I$5:$I$1004,"&lt;&gt;Completed",Task_Tracker!$I$5:$I$1004,"&lt;&gt;Cancelled"))</f>
        <v/>
      </c>
      <c r="J91" s="84">
        <f>IF($B91="","",COUNTIFS(Task_Tracker!$F$5:$F$1004,$B91,Task_Tracker!$I$5:$I$1004,"Completed"))</f>
        <v/>
      </c>
      <c r="K91" s="86">
        <f>IFERROR($J91/$H91,"")</f>
        <v/>
      </c>
      <c r="L91" s="66">
        <f>IF($B91="","",SUMIF(Task_Tracker!$F$5:$F$1004,$B91,Task_Tracker!$N$5:$N$1004))</f>
        <v/>
      </c>
      <c r="M91" s="66">
        <f>IF($B91="","",SUMIF(Task_Tracker!$F$5:$F$1004,$B91,Task_Tracker!$O$5:$O$1004))</f>
        <v/>
      </c>
      <c r="N91" s="66">
        <f>IF(OR($L91="",$M91=""),"",$M91-$L91)</f>
        <v/>
      </c>
      <c r="O91" s="84">
        <f>IF($B91="","",COUNTIFS(Task_Tracker!$F$5:$F$1004,$B91,Task_Tracker!$R$5:$R$1004,"Overdue"))</f>
        <v/>
      </c>
      <c r="P91" s="84">
        <f>IF($B91="","",COUNTIFS(Task_Tracker!$F$5:$F$1004,$B91,Task_Tracker!$S$5:$S$1004,TEXT(TODAY(),"yyyy-mm")))</f>
        <v/>
      </c>
      <c r="Q91" s="66">
        <f>IF($B91="","",SUMIFS(Task_Tracker!$O$5:$O$1004,Task_Tracker!$F$5:$F$1004,$B91,Task_Tracker!$S$5:$S$1004,TEXT(TODAY(),"yyyy-mm")))</f>
        <v/>
      </c>
      <c r="R91" s="86">
        <f>IFERROR($Q91/($F91*4),"")</f>
        <v/>
      </c>
    </row>
    <row r="92" ht="15" customHeight="1" s="40">
      <c r="A92" s="67">
        <f>Employee_Master!A92</f>
        <v/>
      </c>
      <c r="B92" s="67">
        <f>Employee_Master!B92</f>
        <v/>
      </c>
      <c r="C92" s="67">
        <f>Employee_Master!C92</f>
        <v/>
      </c>
      <c r="D92" s="67">
        <f>Employee_Master!D92</f>
        <v/>
      </c>
      <c r="E92" s="67">
        <f>Employee_Master!E92</f>
        <v/>
      </c>
      <c r="F92" s="87">
        <f>Employee_Master!H92</f>
        <v/>
      </c>
      <c r="G92" s="67">
        <f>Employee_Master!I92</f>
        <v/>
      </c>
      <c r="H92" s="84">
        <f>IF($B92="","",COUNTIF(Task_Tracker!$F$5:$F$1004,$B92))</f>
        <v/>
      </c>
      <c r="I92" s="84">
        <f>IF($B92="","",COUNTIFS(Task_Tracker!$F$5:$F$1004,$B92,Task_Tracker!$A$5:$A$1004,"&lt;&gt;",Task_Tracker!$I$5:$I$1004,"&lt;&gt;Completed",Task_Tracker!$I$5:$I$1004,"&lt;&gt;Cancelled"))</f>
        <v/>
      </c>
      <c r="J92" s="84">
        <f>IF($B92="","",COUNTIFS(Task_Tracker!$F$5:$F$1004,$B92,Task_Tracker!$I$5:$I$1004,"Completed"))</f>
        <v/>
      </c>
      <c r="K92" s="86">
        <f>IFERROR($J92/$H92,"")</f>
        <v/>
      </c>
      <c r="L92" s="66">
        <f>IF($B92="","",SUMIF(Task_Tracker!$F$5:$F$1004,$B92,Task_Tracker!$N$5:$N$1004))</f>
        <v/>
      </c>
      <c r="M92" s="66">
        <f>IF($B92="","",SUMIF(Task_Tracker!$F$5:$F$1004,$B92,Task_Tracker!$O$5:$O$1004))</f>
        <v/>
      </c>
      <c r="N92" s="66">
        <f>IF(OR($L92="",$M92=""),"",$M92-$L92)</f>
        <v/>
      </c>
      <c r="O92" s="84">
        <f>IF($B92="","",COUNTIFS(Task_Tracker!$F$5:$F$1004,$B92,Task_Tracker!$R$5:$R$1004,"Overdue"))</f>
        <v/>
      </c>
      <c r="P92" s="84">
        <f>IF($B92="","",COUNTIFS(Task_Tracker!$F$5:$F$1004,$B92,Task_Tracker!$S$5:$S$1004,TEXT(TODAY(),"yyyy-mm")))</f>
        <v/>
      </c>
      <c r="Q92" s="66">
        <f>IF($B92="","",SUMIFS(Task_Tracker!$O$5:$O$1004,Task_Tracker!$F$5:$F$1004,$B92,Task_Tracker!$S$5:$S$1004,TEXT(TODAY(),"yyyy-mm")))</f>
        <v/>
      </c>
      <c r="R92" s="86">
        <f>IFERROR($Q92/($F92*4),"")</f>
        <v/>
      </c>
    </row>
    <row r="93" ht="15" customHeight="1" s="40">
      <c r="A93" s="67">
        <f>Employee_Master!A93</f>
        <v/>
      </c>
      <c r="B93" s="67">
        <f>Employee_Master!B93</f>
        <v/>
      </c>
      <c r="C93" s="67">
        <f>Employee_Master!C93</f>
        <v/>
      </c>
      <c r="D93" s="67">
        <f>Employee_Master!D93</f>
        <v/>
      </c>
      <c r="E93" s="67">
        <f>Employee_Master!E93</f>
        <v/>
      </c>
      <c r="F93" s="87">
        <f>Employee_Master!H93</f>
        <v/>
      </c>
      <c r="G93" s="67">
        <f>Employee_Master!I93</f>
        <v/>
      </c>
      <c r="H93" s="84">
        <f>IF($B93="","",COUNTIF(Task_Tracker!$F$5:$F$1004,$B93))</f>
        <v/>
      </c>
      <c r="I93" s="84">
        <f>IF($B93="","",COUNTIFS(Task_Tracker!$F$5:$F$1004,$B93,Task_Tracker!$A$5:$A$1004,"&lt;&gt;",Task_Tracker!$I$5:$I$1004,"&lt;&gt;Completed",Task_Tracker!$I$5:$I$1004,"&lt;&gt;Cancelled"))</f>
        <v/>
      </c>
      <c r="J93" s="84">
        <f>IF($B93="","",COUNTIFS(Task_Tracker!$F$5:$F$1004,$B93,Task_Tracker!$I$5:$I$1004,"Completed"))</f>
        <v/>
      </c>
      <c r="K93" s="86">
        <f>IFERROR($J93/$H93,"")</f>
        <v/>
      </c>
      <c r="L93" s="66">
        <f>IF($B93="","",SUMIF(Task_Tracker!$F$5:$F$1004,$B93,Task_Tracker!$N$5:$N$1004))</f>
        <v/>
      </c>
      <c r="M93" s="66">
        <f>IF($B93="","",SUMIF(Task_Tracker!$F$5:$F$1004,$B93,Task_Tracker!$O$5:$O$1004))</f>
        <v/>
      </c>
      <c r="N93" s="66">
        <f>IF(OR($L93="",$M93=""),"",$M93-$L93)</f>
        <v/>
      </c>
      <c r="O93" s="84">
        <f>IF($B93="","",COUNTIFS(Task_Tracker!$F$5:$F$1004,$B93,Task_Tracker!$R$5:$R$1004,"Overdue"))</f>
        <v/>
      </c>
      <c r="P93" s="84">
        <f>IF($B93="","",COUNTIFS(Task_Tracker!$F$5:$F$1004,$B93,Task_Tracker!$S$5:$S$1004,TEXT(TODAY(),"yyyy-mm")))</f>
        <v/>
      </c>
      <c r="Q93" s="66">
        <f>IF($B93="","",SUMIFS(Task_Tracker!$O$5:$O$1004,Task_Tracker!$F$5:$F$1004,$B93,Task_Tracker!$S$5:$S$1004,TEXT(TODAY(),"yyyy-mm")))</f>
        <v/>
      </c>
      <c r="R93" s="86">
        <f>IFERROR($Q93/($F93*4),"")</f>
        <v/>
      </c>
    </row>
    <row r="94" ht="15" customHeight="1" s="40">
      <c r="A94" s="67">
        <f>Employee_Master!A94</f>
        <v/>
      </c>
      <c r="B94" s="67">
        <f>Employee_Master!B94</f>
        <v/>
      </c>
      <c r="C94" s="67">
        <f>Employee_Master!C94</f>
        <v/>
      </c>
      <c r="D94" s="67">
        <f>Employee_Master!D94</f>
        <v/>
      </c>
      <c r="E94" s="67">
        <f>Employee_Master!E94</f>
        <v/>
      </c>
      <c r="F94" s="87">
        <f>Employee_Master!H94</f>
        <v/>
      </c>
      <c r="G94" s="67">
        <f>Employee_Master!I94</f>
        <v/>
      </c>
      <c r="H94" s="84">
        <f>IF($B94="","",COUNTIF(Task_Tracker!$F$5:$F$1004,$B94))</f>
        <v/>
      </c>
      <c r="I94" s="84">
        <f>IF($B94="","",COUNTIFS(Task_Tracker!$F$5:$F$1004,$B94,Task_Tracker!$A$5:$A$1004,"&lt;&gt;",Task_Tracker!$I$5:$I$1004,"&lt;&gt;Completed",Task_Tracker!$I$5:$I$1004,"&lt;&gt;Cancelled"))</f>
        <v/>
      </c>
      <c r="J94" s="84">
        <f>IF($B94="","",COUNTIFS(Task_Tracker!$F$5:$F$1004,$B94,Task_Tracker!$I$5:$I$1004,"Completed"))</f>
        <v/>
      </c>
      <c r="K94" s="86">
        <f>IFERROR($J94/$H94,"")</f>
        <v/>
      </c>
      <c r="L94" s="66">
        <f>IF($B94="","",SUMIF(Task_Tracker!$F$5:$F$1004,$B94,Task_Tracker!$N$5:$N$1004))</f>
        <v/>
      </c>
      <c r="M94" s="66">
        <f>IF($B94="","",SUMIF(Task_Tracker!$F$5:$F$1004,$B94,Task_Tracker!$O$5:$O$1004))</f>
        <v/>
      </c>
      <c r="N94" s="66">
        <f>IF(OR($L94="",$M94=""),"",$M94-$L94)</f>
        <v/>
      </c>
      <c r="O94" s="84">
        <f>IF($B94="","",COUNTIFS(Task_Tracker!$F$5:$F$1004,$B94,Task_Tracker!$R$5:$R$1004,"Overdue"))</f>
        <v/>
      </c>
      <c r="P94" s="84">
        <f>IF($B94="","",COUNTIFS(Task_Tracker!$F$5:$F$1004,$B94,Task_Tracker!$S$5:$S$1004,TEXT(TODAY(),"yyyy-mm")))</f>
        <v/>
      </c>
      <c r="Q94" s="66">
        <f>IF($B94="","",SUMIFS(Task_Tracker!$O$5:$O$1004,Task_Tracker!$F$5:$F$1004,$B94,Task_Tracker!$S$5:$S$1004,TEXT(TODAY(),"yyyy-mm")))</f>
        <v/>
      </c>
      <c r="R94" s="86">
        <f>IFERROR($Q94/($F94*4),"")</f>
        <v/>
      </c>
    </row>
    <row r="95" ht="15" customHeight="1" s="40">
      <c r="A95" s="67">
        <f>Employee_Master!A95</f>
        <v/>
      </c>
      <c r="B95" s="67">
        <f>Employee_Master!B95</f>
        <v/>
      </c>
      <c r="C95" s="67">
        <f>Employee_Master!C95</f>
        <v/>
      </c>
      <c r="D95" s="67">
        <f>Employee_Master!D95</f>
        <v/>
      </c>
      <c r="E95" s="67">
        <f>Employee_Master!E95</f>
        <v/>
      </c>
      <c r="F95" s="87">
        <f>Employee_Master!H95</f>
        <v/>
      </c>
      <c r="G95" s="67">
        <f>Employee_Master!I95</f>
        <v/>
      </c>
      <c r="H95" s="84">
        <f>IF($B95="","",COUNTIF(Task_Tracker!$F$5:$F$1004,$B95))</f>
        <v/>
      </c>
      <c r="I95" s="84">
        <f>IF($B95="","",COUNTIFS(Task_Tracker!$F$5:$F$1004,$B95,Task_Tracker!$A$5:$A$1004,"&lt;&gt;",Task_Tracker!$I$5:$I$1004,"&lt;&gt;Completed",Task_Tracker!$I$5:$I$1004,"&lt;&gt;Cancelled"))</f>
        <v/>
      </c>
      <c r="J95" s="84">
        <f>IF($B95="","",COUNTIFS(Task_Tracker!$F$5:$F$1004,$B95,Task_Tracker!$I$5:$I$1004,"Completed"))</f>
        <v/>
      </c>
      <c r="K95" s="86">
        <f>IFERROR($J95/$H95,"")</f>
        <v/>
      </c>
      <c r="L95" s="66">
        <f>IF($B95="","",SUMIF(Task_Tracker!$F$5:$F$1004,$B95,Task_Tracker!$N$5:$N$1004))</f>
        <v/>
      </c>
      <c r="M95" s="66">
        <f>IF($B95="","",SUMIF(Task_Tracker!$F$5:$F$1004,$B95,Task_Tracker!$O$5:$O$1004))</f>
        <v/>
      </c>
      <c r="N95" s="66">
        <f>IF(OR($L95="",$M95=""),"",$M95-$L95)</f>
        <v/>
      </c>
      <c r="O95" s="84">
        <f>IF($B95="","",COUNTIFS(Task_Tracker!$F$5:$F$1004,$B95,Task_Tracker!$R$5:$R$1004,"Overdue"))</f>
        <v/>
      </c>
      <c r="P95" s="84">
        <f>IF($B95="","",COUNTIFS(Task_Tracker!$F$5:$F$1004,$B95,Task_Tracker!$S$5:$S$1004,TEXT(TODAY(),"yyyy-mm")))</f>
        <v/>
      </c>
      <c r="Q95" s="66">
        <f>IF($B95="","",SUMIFS(Task_Tracker!$O$5:$O$1004,Task_Tracker!$F$5:$F$1004,$B95,Task_Tracker!$S$5:$S$1004,TEXT(TODAY(),"yyyy-mm")))</f>
        <v/>
      </c>
      <c r="R95" s="86">
        <f>IFERROR($Q95/($F95*4),"")</f>
        <v/>
      </c>
    </row>
    <row r="96" ht="15" customHeight="1" s="40">
      <c r="A96" s="67">
        <f>Employee_Master!A96</f>
        <v/>
      </c>
      <c r="B96" s="67">
        <f>Employee_Master!B96</f>
        <v/>
      </c>
      <c r="C96" s="67">
        <f>Employee_Master!C96</f>
        <v/>
      </c>
      <c r="D96" s="67">
        <f>Employee_Master!D96</f>
        <v/>
      </c>
      <c r="E96" s="67">
        <f>Employee_Master!E96</f>
        <v/>
      </c>
      <c r="F96" s="87">
        <f>Employee_Master!H96</f>
        <v/>
      </c>
      <c r="G96" s="67">
        <f>Employee_Master!I96</f>
        <v/>
      </c>
      <c r="H96" s="84">
        <f>IF($B96="","",COUNTIF(Task_Tracker!$F$5:$F$1004,$B96))</f>
        <v/>
      </c>
      <c r="I96" s="84">
        <f>IF($B96="","",COUNTIFS(Task_Tracker!$F$5:$F$1004,$B96,Task_Tracker!$A$5:$A$1004,"&lt;&gt;",Task_Tracker!$I$5:$I$1004,"&lt;&gt;Completed",Task_Tracker!$I$5:$I$1004,"&lt;&gt;Cancelled"))</f>
        <v/>
      </c>
      <c r="J96" s="84">
        <f>IF($B96="","",COUNTIFS(Task_Tracker!$F$5:$F$1004,$B96,Task_Tracker!$I$5:$I$1004,"Completed"))</f>
        <v/>
      </c>
      <c r="K96" s="86">
        <f>IFERROR($J96/$H96,"")</f>
        <v/>
      </c>
      <c r="L96" s="66">
        <f>IF($B96="","",SUMIF(Task_Tracker!$F$5:$F$1004,$B96,Task_Tracker!$N$5:$N$1004))</f>
        <v/>
      </c>
      <c r="M96" s="66">
        <f>IF($B96="","",SUMIF(Task_Tracker!$F$5:$F$1004,$B96,Task_Tracker!$O$5:$O$1004))</f>
        <v/>
      </c>
      <c r="N96" s="66">
        <f>IF(OR($L96="",$M96=""),"",$M96-$L96)</f>
        <v/>
      </c>
      <c r="O96" s="84">
        <f>IF($B96="","",COUNTIFS(Task_Tracker!$F$5:$F$1004,$B96,Task_Tracker!$R$5:$R$1004,"Overdue"))</f>
        <v/>
      </c>
      <c r="P96" s="84">
        <f>IF($B96="","",COUNTIFS(Task_Tracker!$F$5:$F$1004,$B96,Task_Tracker!$S$5:$S$1004,TEXT(TODAY(),"yyyy-mm")))</f>
        <v/>
      </c>
      <c r="Q96" s="66">
        <f>IF($B96="","",SUMIFS(Task_Tracker!$O$5:$O$1004,Task_Tracker!$F$5:$F$1004,$B96,Task_Tracker!$S$5:$S$1004,TEXT(TODAY(),"yyyy-mm")))</f>
        <v/>
      </c>
      <c r="R96" s="86">
        <f>IFERROR($Q96/($F96*4),"")</f>
        <v/>
      </c>
    </row>
    <row r="97" ht="15" customHeight="1" s="40">
      <c r="A97" s="67">
        <f>Employee_Master!A97</f>
        <v/>
      </c>
      <c r="B97" s="67">
        <f>Employee_Master!B97</f>
        <v/>
      </c>
      <c r="C97" s="67">
        <f>Employee_Master!C97</f>
        <v/>
      </c>
      <c r="D97" s="67">
        <f>Employee_Master!D97</f>
        <v/>
      </c>
      <c r="E97" s="67">
        <f>Employee_Master!E97</f>
        <v/>
      </c>
      <c r="F97" s="87">
        <f>Employee_Master!H97</f>
        <v/>
      </c>
      <c r="G97" s="67">
        <f>Employee_Master!I97</f>
        <v/>
      </c>
      <c r="H97" s="84">
        <f>IF($B97="","",COUNTIF(Task_Tracker!$F$5:$F$1004,$B97))</f>
        <v/>
      </c>
      <c r="I97" s="84">
        <f>IF($B97="","",COUNTIFS(Task_Tracker!$F$5:$F$1004,$B97,Task_Tracker!$A$5:$A$1004,"&lt;&gt;",Task_Tracker!$I$5:$I$1004,"&lt;&gt;Completed",Task_Tracker!$I$5:$I$1004,"&lt;&gt;Cancelled"))</f>
        <v/>
      </c>
      <c r="J97" s="84">
        <f>IF($B97="","",COUNTIFS(Task_Tracker!$F$5:$F$1004,$B97,Task_Tracker!$I$5:$I$1004,"Completed"))</f>
        <v/>
      </c>
      <c r="K97" s="86">
        <f>IFERROR($J97/$H97,"")</f>
        <v/>
      </c>
      <c r="L97" s="66">
        <f>IF($B97="","",SUMIF(Task_Tracker!$F$5:$F$1004,$B97,Task_Tracker!$N$5:$N$1004))</f>
        <v/>
      </c>
      <c r="M97" s="66">
        <f>IF($B97="","",SUMIF(Task_Tracker!$F$5:$F$1004,$B97,Task_Tracker!$O$5:$O$1004))</f>
        <v/>
      </c>
      <c r="N97" s="66">
        <f>IF(OR($L97="",$M97=""),"",$M97-$L97)</f>
        <v/>
      </c>
      <c r="O97" s="84">
        <f>IF($B97="","",COUNTIFS(Task_Tracker!$F$5:$F$1004,$B97,Task_Tracker!$R$5:$R$1004,"Overdue"))</f>
        <v/>
      </c>
      <c r="P97" s="84">
        <f>IF($B97="","",COUNTIFS(Task_Tracker!$F$5:$F$1004,$B97,Task_Tracker!$S$5:$S$1004,TEXT(TODAY(),"yyyy-mm")))</f>
        <v/>
      </c>
      <c r="Q97" s="66">
        <f>IF($B97="","",SUMIFS(Task_Tracker!$O$5:$O$1004,Task_Tracker!$F$5:$F$1004,$B97,Task_Tracker!$S$5:$S$1004,TEXT(TODAY(),"yyyy-mm")))</f>
        <v/>
      </c>
      <c r="R97" s="86">
        <f>IFERROR($Q97/($F97*4),"")</f>
        <v/>
      </c>
    </row>
    <row r="98" ht="15" customHeight="1" s="40">
      <c r="A98" s="67">
        <f>Employee_Master!A98</f>
        <v/>
      </c>
      <c r="B98" s="67">
        <f>Employee_Master!B98</f>
        <v/>
      </c>
      <c r="C98" s="67">
        <f>Employee_Master!C98</f>
        <v/>
      </c>
      <c r="D98" s="67">
        <f>Employee_Master!D98</f>
        <v/>
      </c>
      <c r="E98" s="67">
        <f>Employee_Master!E98</f>
        <v/>
      </c>
      <c r="F98" s="87">
        <f>Employee_Master!H98</f>
        <v/>
      </c>
      <c r="G98" s="67">
        <f>Employee_Master!I98</f>
        <v/>
      </c>
      <c r="H98" s="84">
        <f>IF($B98="","",COUNTIF(Task_Tracker!$F$5:$F$1004,$B98))</f>
        <v/>
      </c>
      <c r="I98" s="84">
        <f>IF($B98="","",COUNTIFS(Task_Tracker!$F$5:$F$1004,$B98,Task_Tracker!$A$5:$A$1004,"&lt;&gt;",Task_Tracker!$I$5:$I$1004,"&lt;&gt;Completed",Task_Tracker!$I$5:$I$1004,"&lt;&gt;Cancelled"))</f>
        <v/>
      </c>
      <c r="J98" s="84">
        <f>IF($B98="","",COUNTIFS(Task_Tracker!$F$5:$F$1004,$B98,Task_Tracker!$I$5:$I$1004,"Completed"))</f>
        <v/>
      </c>
      <c r="K98" s="86">
        <f>IFERROR($J98/$H98,"")</f>
        <v/>
      </c>
      <c r="L98" s="66">
        <f>IF($B98="","",SUMIF(Task_Tracker!$F$5:$F$1004,$B98,Task_Tracker!$N$5:$N$1004))</f>
        <v/>
      </c>
      <c r="M98" s="66">
        <f>IF($B98="","",SUMIF(Task_Tracker!$F$5:$F$1004,$B98,Task_Tracker!$O$5:$O$1004))</f>
        <v/>
      </c>
      <c r="N98" s="66">
        <f>IF(OR($L98="",$M98=""),"",$M98-$L98)</f>
        <v/>
      </c>
      <c r="O98" s="84">
        <f>IF($B98="","",COUNTIFS(Task_Tracker!$F$5:$F$1004,$B98,Task_Tracker!$R$5:$R$1004,"Overdue"))</f>
        <v/>
      </c>
      <c r="P98" s="84">
        <f>IF($B98="","",COUNTIFS(Task_Tracker!$F$5:$F$1004,$B98,Task_Tracker!$S$5:$S$1004,TEXT(TODAY(),"yyyy-mm")))</f>
        <v/>
      </c>
      <c r="Q98" s="66">
        <f>IF($B98="","",SUMIFS(Task_Tracker!$O$5:$O$1004,Task_Tracker!$F$5:$F$1004,$B98,Task_Tracker!$S$5:$S$1004,TEXT(TODAY(),"yyyy-mm")))</f>
        <v/>
      </c>
      <c r="R98" s="86">
        <f>IFERROR($Q98/($F98*4),"")</f>
        <v/>
      </c>
    </row>
    <row r="99" ht="15" customHeight="1" s="40">
      <c r="A99" s="67">
        <f>Employee_Master!A99</f>
        <v/>
      </c>
      <c r="B99" s="67">
        <f>Employee_Master!B99</f>
        <v/>
      </c>
      <c r="C99" s="67">
        <f>Employee_Master!C99</f>
        <v/>
      </c>
      <c r="D99" s="67">
        <f>Employee_Master!D99</f>
        <v/>
      </c>
      <c r="E99" s="67">
        <f>Employee_Master!E99</f>
        <v/>
      </c>
      <c r="F99" s="87">
        <f>Employee_Master!H99</f>
        <v/>
      </c>
      <c r="G99" s="67">
        <f>Employee_Master!I99</f>
        <v/>
      </c>
      <c r="H99" s="84">
        <f>IF($B99="","",COUNTIF(Task_Tracker!$F$5:$F$1004,$B99))</f>
        <v/>
      </c>
      <c r="I99" s="84">
        <f>IF($B99="","",COUNTIFS(Task_Tracker!$F$5:$F$1004,$B99,Task_Tracker!$A$5:$A$1004,"&lt;&gt;",Task_Tracker!$I$5:$I$1004,"&lt;&gt;Completed",Task_Tracker!$I$5:$I$1004,"&lt;&gt;Cancelled"))</f>
        <v/>
      </c>
      <c r="J99" s="84">
        <f>IF($B99="","",COUNTIFS(Task_Tracker!$F$5:$F$1004,$B99,Task_Tracker!$I$5:$I$1004,"Completed"))</f>
        <v/>
      </c>
      <c r="K99" s="86">
        <f>IFERROR($J99/$H99,"")</f>
        <v/>
      </c>
      <c r="L99" s="66">
        <f>IF($B99="","",SUMIF(Task_Tracker!$F$5:$F$1004,$B99,Task_Tracker!$N$5:$N$1004))</f>
        <v/>
      </c>
      <c r="M99" s="66">
        <f>IF($B99="","",SUMIF(Task_Tracker!$F$5:$F$1004,$B99,Task_Tracker!$O$5:$O$1004))</f>
        <v/>
      </c>
      <c r="N99" s="66">
        <f>IF(OR($L99="",$M99=""),"",$M99-$L99)</f>
        <v/>
      </c>
      <c r="O99" s="84">
        <f>IF($B99="","",COUNTIFS(Task_Tracker!$F$5:$F$1004,$B99,Task_Tracker!$R$5:$R$1004,"Overdue"))</f>
        <v/>
      </c>
      <c r="P99" s="84">
        <f>IF($B99="","",COUNTIFS(Task_Tracker!$F$5:$F$1004,$B99,Task_Tracker!$S$5:$S$1004,TEXT(TODAY(),"yyyy-mm")))</f>
        <v/>
      </c>
      <c r="Q99" s="66">
        <f>IF($B99="","",SUMIFS(Task_Tracker!$O$5:$O$1004,Task_Tracker!$F$5:$F$1004,$B99,Task_Tracker!$S$5:$S$1004,TEXT(TODAY(),"yyyy-mm")))</f>
        <v/>
      </c>
      <c r="R99" s="86">
        <f>IFERROR($Q99/($F99*4),"")</f>
        <v/>
      </c>
    </row>
    <row r="100" ht="15" customHeight="1" s="40">
      <c r="A100" s="67">
        <f>Employee_Master!A100</f>
        <v/>
      </c>
      <c r="B100" s="67">
        <f>Employee_Master!B100</f>
        <v/>
      </c>
      <c r="C100" s="67">
        <f>Employee_Master!C100</f>
        <v/>
      </c>
      <c r="D100" s="67">
        <f>Employee_Master!D100</f>
        <v/>
      </c>
      <c r="E100" s="67">
        <f>Employee_Master!E100</f>
        <v/>
      </c>
      <c r="F100" s="87">
        <f>Employee_Master!H100</f>
        <v/>
      </c>
      <c r="G100" s="67">
        <f>Employee_Master!I100</f>
        <v/>
      </c>
      <c r="H100" s="84">
        <f>IF($B100="","",COUNTIF(Task_Tracker!$F$5:$F$1004,$B100))</f>
        <v/>
      </c>
      <c r="I100" s="84">
        <f>IF($B100="","",COUNTIFS(Task_Tracker!$F$5:$F$1004,$B100,Task_Tracker!$A$5:$A$1004,"&lt;&gt;",Task_Tracker!$I$5:$I$1004,"&lt;&gt;Completed",Task_Tracker!$I$5:$I$1004,"&lt;&gt;Cancelled"))</f>
        <v/>
      </c>
      <c r="J100" s="84">
        <f>IF($B100="","",COUNTIFS(Task_Tracker!$F$5:$F$1004,$B100,Task_Tracker!$I$5:$I$1004,"Completed"))</f>
        <v/>
      </c>
      <c r="K100" s="86">
        <f>IFERROR($J100/$H100,"")</f>
        <v/>
      </c>
      <c r="L100" s="66">
        <f>IF($B100="","",SUMIF(Task_Tracker!$F$5:$F$1004,$B100,Task_Tracker!$N$5:$N$1004))</f>
        <v/>
      </c>
      <c r="M100" s="66">
        <f>IF($B100="","",SUMIF(Task_Tracker!$F$5:$F$1004,$B100,Task_Tracker!$O$5:$O$1004))</f>
        <v/>
      </c>
      <c r="N100" s="66">
        <f>IF(OR($L100="",$M100=""),"",$M100-$L100)</f>
        <v/>
      </c>
      <c r="O100" s="84">
        <f>IF($B100="","",COUNTIFS(Task_Tracker!$F$5:$F$1004,$B100,Task_Tracker!$R$5:$R$1004,"Overdue"))</f>
        <v/>
      </c>
      <c r="P100" s="84">
        <f>IF($B100="","",COUNTIFS(Task_Tracker!$F$5:$F$1004,$B100,Task_Tracker!$S$5:$S$1004,TEXT(TODAY(),"yyyy-mm")))</f>
        <v/>
      </c>
      <c r="Q100" s="66">
        <f>IF($B100="","",SUMIFS(Task_Tracker!$O$5:$O$1004,Task_Tracker!$F$5:$F$1004,$B100,Task_Tracker!$S$5:$S$1004,TEXT(TODAY(),"yyyy-mm")))</f>
        <v/>
      </c>
      <c r="R100" s="86">
        <f>IFERROR($Q100/($F100*4),"")</f>
        <v/>
      </c>
    </row>
    <row r="101" ht="15" customHeight="1" s="40">
      <c r="A101" s="67">
        <f>Employee_Master!A101</f>
        <v/>
      </c>
      <c r="B101" s="67">
        <f>Employee_Master!B101</f>
        <v/>
      </c>
      <c r="C101" s="67">
        <f>Employee_Master!C101</f>
        <v/>
      </c>
      <c r="D101" s="67">
        <f>Employee_Master!D101</f>
        <v/>
      </c>
      <c r="E101" s="67">
        <f>Employee_Master!E101</f>
        <v/>
      </c>
      <c r="F101" s="87">
        <f>Employee_Master!H101</f>
        <v/>
      </c>
      <c r="G101" s="67">
        <f>Employee_Master!I101</f>
        <v/>
      </c>
      <c r="H101" s="84">
        <f>IF($B101="","",COUNTIF(Task_Tracker!$F$5:$F$1004,$B101))</f>
        <v/>
      </c>
      <c r="I101" s="84">
        <f>IF($B101="","",COUNTIFS(Task_Tracker!$F$5:$F$1004,$B101,Task_Tracker!$A$5:$A$1004,"&lt;&gt;",Task_Tracker!$I$5:$I$1004,"&lt;&gt;Completed",Task_Tracker!$I$5:$I$1004,"&lt;&gt;Cancelled"))</f>
        <v/>
      </c>
      <c r="J101" s="84">
        <f>IF($B101="","",COUNTIFS(Task_Tracker!$F$5:$F$1004,$B101,Task_Tracker!$I$5:$I$1004,"Completed"))</f>
        <v/>
      </c>
      <c r="K101" s="86">
        <f>IFERROR($J101/$H101,"")</f>
        <v/>
      </c>
      <c r="L101" s="66">
        <f>IF($B101="","",SUMIF(Task_Tracker!$F$5:$F$1004,$B101,Task_Tracker!$N$5:$N$1004))</f>
        <v/>
      </c>
      <c r="M101" s="66">
        <f>IF($B101="","",SUMIF(Task_Tracker!$F$5:$F$1004,$B101,Task_Tracker!$O$5:$O$1004))</f>
        <v/>
      </c>
      <c r="N101" s="66">
        <f>IF(OR($L101="",$M101=""),"",$M101-$L101)</f>
        <v/>
      </c>
      <c r="O101" s="84">
        <f>IF($B101="","",COUNTIFS(Task_Tracker!$F$5:$F$1004,$B101,Task_Tracker!$R$5:$R$1004,"Overdue"))</f>
        <v/>
      </c>
      <c r="P101" s="84">
        <f>IF($B101="","",COUNTIFS(Task_Tracker!$F$5:$F$1004,$B101,Task_Tracker!$S$5:$S$1004,TEXT(TODAY(),"yyyy-mm")))</f>
        <v/>
      </c>
      <c r="Q101" s="66">
        <f>IF($B101="","",SUMIFS(Task_Tracker!$O$5:$O$1004,Task_Tracker!$F$5:$F$1004,$B101,Task_Tracker!$S$5:$S$1004,TEXT(TODAY(),"yyyy-mm")))</f>
        <v/>
      </c>
      <c r="R101" s="86">
        <f>IFERROR($Q101/($F101*4),"")</f>
        <v/>
      </c>
    </row>
    <row r="102" ht="15" customHeight="1" s="40">
      <c r="A102" s="67">
        <f>Employee_Master!A102</f>
        <v/>
      </c>
      <c r="B102" s="67">
        <f>Employee_Master!B102</f>
        <v/>
      </c>
      <c r="C102" s="67">
        <f>Employee_Master!C102</f>
        <v/>
      </c>
      <c r="D102" s="67">
        <f>Employee_Master!D102</f>
        <v/>
      </c>
      <c r="E102" s="67">
        <f>Employee_Master!E102</f>
        <v/>
      </c>
      <c r="F102" s="87">
        <f>Employee_Master!H102</f>
        <v/>
      </c>
      <c r="G102" s="67">
        <f>Employee_Master!I102</f>
        <v/>
      </c>
      <c r="H102" s="84">
        <f>IF($B102="","",COUNTIF(Task_Tracker!$F$5:$F$1004,$B102))</f>
        <v/>
      </c>
      <c r="I102" s="84">
        <f>IF($B102="","",COUNTIFS(Task_Tracker!$F$5:$F$1004,$B102,Task_Tracker!$A$5:$A$1004,"&lt;&gt;",Task_Tracker!$I$5:$I$1004,"&lt;&gt;Completed",Task_Tracker!$I$5:$I$1004,"&lt;&gt;Cancelled"))</f>
        <v/>
      </c>
      <c r="J102" s="84">
        <f>IF($B102="","",COUNTIFS(Task_Tracker!$F$5:$F$1004,$B102,Task_Tracker!$I$5:$I$1004,"Completed"))</f>
        <v/>
      </c>
      <c r="K102" s="86">
        <f>IFERROR($J102/$H102,"")</f>
        <v/>
      </c>
      <c r="L102" s="66">
        <f>IF($B102="","",SUMIF(Task_Tracker!$F$5:$F$1004,$B102,Task_Tracker!$N$5:$N$1004))</f>
        <v/>
      </c>
      <c r="M102" s="66">
        <f>IF($B102="","",SUMIF(Task_Tracker!$F$5:$F$1004,$B102,Task_Tracker!$O$5:$O$1004))</f>
        <v/>
      </c>
      <c r="N102" s="66">
        <f>IF(OR($L102="",$M102=""),"",$M102-$L102)</f>
        <v/>
      </c>
      <c r="O102" s="84">
        <f>IF($B102="","",COUNTIFS(Task_Tracker!$F$5:$F$1004,$B102,Task_Tracker!$R$5:$R$1004,"Overdue"))</f>
        <v/>
      </c>
      <c r="P102" s="84">
        <f>IF($B102="","",COUNTIFS(Task_Tracker!$F$5:$F$1004,$B102,Task_Tracker!$S$5:$S$1004,TEXT(TODAY(),"yyyy-mm")))</f>
        <v/>
      </c>
      <c r="Q102" s="66">
        <f>IF($B102="","",SUMIFS(Task_Tracker!$O$5:$O$1004,Task_Tracker!$F$5:$F$1004,$B102,Task_Tracker!$S$5:$S$1004,TEXT(TODAY(),"yyyy-mm")))</f>
        <v/>
      </c>
      <c r="R102" s="86">
        <f>IFERROR($Q102/($F102*4),"")</f>
        <v/>
      </c>
    </row>
    <row r="103" ht="15" customHeight="1" s="40">
      <c r="A103" s="67">
        <f>Employee_Master!A103</f>
        <v/>
      </c>
      <c r="B103" s="67">
        <f>Employee_Master!B103</f>
        <v/>
      </c>
      <c r="C103" s="67">
        <f>Employee_Master!C103</f>
        <v/>
      </c>
      <c r="D103" s="67">
        <f>Employee_Master!D103</f>
        <v/>
      </c>
      <c r="E103" s="67">
        <f>Employee_Master!E103</f>
        <v/>
      </c>
      <c r="F103" s="87">
        <f>Employee_Master!H103</f>
        <v/>
      </c>
      <c r="G103" s="67">
        <f>Employee_Master!I103</f>
        <v/>
      </c>
      <c r="H103" s="84">
        <f>IF($B103="","",COUNTIF(Task_Tracker!$F$5:$F$1004,$B103))</f>
        <v/>
      </c>
      <c r="I103" s="84">
        <f>IF($B103="","",COUNTIFS(Task_Tracker!$F$5:$F$1004,$B103,Task_Tracker!$A$5:$A$1004,"&lt;&gt;",Task_Tracker!$I$5:$I$1004,"&lt;&gt;Completed",Task_Tracker!$I$5:$I$1004,"&lt;&gt;Cancelled"))</f>
        <v/>
      </c>
      <c r="J103" s="84">
        <f>IF($B103="","",COUNTIFS(Task_Tracker!$F$5:$F$1004,$B103,Task_Tracker!$I$5:$I$1004,"Completed"))</f>
        <v/>
      </c>
      <c r="K103" s="86">
        <f>IFERROR($J103/$H103,"")</f>
        <v/>
      </c>
      <c r="L103" s="66">
        <f>IF($B103="","",SUMIF(Task_Tracker!$F$5:$F$1004,$B103,Task_Tracker!$N$5:$N$1004))</f>
        <v/>
      </c>
      <c r="M103" s="66">
        <f>IF($B103="","",SUMIF(Task_Tracker!$F$5:$F$1004,$B103,Task_Tracker!$O$5:$O$1004))</f>
        <v/>
      </c>
      <c r="N103" s="66">
        <f>IF(OR($L103="",$M103=""),"",$M103-$L103)</f>
        <v/>
      </c>
      <c r="O103" s="84">
        <f>IF($B103="","",COUNTIFS(Task_Tracker!$F$5:$F$1004,$B103,Task_Tracker!$R$5:$R$1004,"Overdue"))</f>
        <v/>
      </c>
      <c r="P103" s="84">
        <f>IF($B103="","",COUNTIFS(Task_Tracker!$F$5:$F$1004,$B103,Task_Tracker!$S$5:$S$1004,TEXT(TODAY(),"yyyy-mm")))</f>
        <v/>
      </c>
      <c r="Q103" s="66">
        <f>IF($B103="","",SUMIFS(Task_Tracker!$O$5:$O$1004,Task_Tracker!$F$5:$F$1004,$B103,Task_Tracker!$S$5:$S$1004,TEXT(TODAY(),"yyyy-mm")))</f>
        <v/>
      </c>
      <c r="R103" s="86">
        <f>IFERROR($Q103/($F103*4),"")</f>
        <v/>
      </c>
    </row>
    <row r="104" ht="15" customHeight="1" s="40">
      <c r="A104" s="67">
        <f>Employee_Master!A104</f>
        <v/>
      </c>
      <c r="B104" s="67">
        <f>Employee_Master!B104</f>
        <v/>
      </c>
      <c r="C104" s="67">
        <f>Employee_Master!C104</f>
        <v/>
      </c>
      <c r="D104" s="67">
        <f>Employee_Master!D104</f>
        <v/>
      </c>
      <c r="E104" s="67">
        <f>Employee_Master!E104</f>
        <v/>
      </c>
      <c r="F104" s="87">
        <f>Employee_Master!H104</f>
        <v/>
      </c>
      <c r="G104" s="67">
        <f>Employee_Master!I104</f>
        <v/>
      </c>
      <c r="H104" s="84">
        <f>IF($B104="","",COUNTIF(Task_Tracker!$F$5:$F$1004,$B104))</f>
        <v/>
      </c>
      <c r="I104" s="84">
        <f>IF($B104="","",COUNTIFS(Task_Tracker!$F$5:$F$1004,$B104,Task_Tracker!$A$5:$A$1004,"&lt;&gt;",Task_Tracker!$I$5:$I$1004,"&lt;&gt;Completed",Task_Tracker!$I$5:$I$1004,"&lt;&gt;Cancelled"))</f>
        <v/>
      </c>
      <c r="J104" s="84">
        <f>IF($B104="","",COUNTIFS(Task_Tracker!$F$5:$F$1004,$B104,Task_Tracker!$I$5:$I$1004,"Completed"))</f>
        <v/>
      </c>
      <c r="K104" s="86">
        <f>IFERROR($J104/$H104,"")</f>
        <v/>
      </c>
      <c r="L104" s="66">
        <f>IF($B104="","",SUMIF(Task_Tracker!$F$5:$F$1004,$B104,Task_Tracker!$N$5:$N$1004))</f>
        <v/>
      </c>
      <c r="M104" s="66">
        <f>IF($B104="","",SUMIF(Task_Tracker!$F$5:$F$1004,$B104,Task_Tracker!$O$5:$O$1004))</f>
        <v/>
      </c>
      <c r="N104" s="66">
        <f>IF(OR($L104="",$M104=""),"",$M104-$L104)</f>
        <v/>
      </c>
      <c r="O104" s="84">
        <f>IF($B104="","",COUNTIFS(Task_Tracker!$F$5:$F$1004,$B104,Task_Tracker!$R$5:$R$1004,"Overdue"))</f>
        <v/>
      </c>
      <c r="P104" s="84">
        <f>IF($B104="","",COUNTIFS(Task_Tracker!$F$5:$F$1004,$B104,Task_Tracker!$S$5:$S$1004,TEXT(TODAY(),"yyyy-mm")))</f>
        <v/>
      </c>
      <c r="Q104" s="66">
        <f>IF($B104="","",SUMIFS(Task_Tracker!$O$5:$O$1004,Task_Tracker!$F$5:$F$1004,$B104,Task_Tracker!$S$5:$S$1004,TEXT(TODAY(),"yyyy-mm")))</f>
        <v/>
      </c>
      <c r="R104" s="86">
        <f>IFERROR($Q104/($F104*4),"")</f>
        <v/>
      </c>
    </row>
    <row r="105" ht="15" customHeight="1" s="40">
      <c r="A105" s="67">
        <f>Employee_Master!A105</f>
        <v/>
      </c>
      <c r="B105" s="67">
        <f>Employee_Master!B105</f>
        <v/>
      </c>
      <c r="C105" s="67">
        <f>Employee_Master!C105</f>
        <v/>
      </c>
      <c r="D105" s="67">
        <f>Employee_Master!D105</f>
        <v/>
      </c>
      <c r="E105" s="67">
        <f>Employee_Master!E105</f>
        <v/>
      </c>
      <c r="F105" s="87">
        <f>Employee_Master!H105</f>
        <v/>
      </c>
      <c r="G105" s="67">
        <f>Employee_Master!I105</f>
        <v/>
      </c>
      <c r="H105" s="84">
        <f>IF($B105="","",COUNTIF(Task_Tracker!$F$5:$F$1004,$B105))</f>
        <v/>
      </c>
      <c r="I105" s="84">
        <f>IF($B105="","",COUNTIFS(Task_Tracker!$F$5:$F$1004,$B105,Task_Tracker!$A$5:$A$1004,"&lt;&gt;",Task_Tracker!$I$5:$I$1004,"&lt;&gt;Completed",Task_Tracker!$I$5:$I$1004,"&lt;&gt;Cancelled"))</f>
        <v/>
      </c>
      <c r="J105" s="84">
        <f>IF($B105="","",COUNTIFS(Task_Tracker!$F$5:$F$1004,$B105,Task_Tracker!$I$5:$I$1004,"Completed"))</f>
        <v/>
      </c>
      <c r="K105" s="86">
        <f>IFERROR($J105/$H105,"")</f>
        <v/>
      </c>
      <c r="L105" s="66">
        <f>IF($B105="","",SUMIF(Task_Tracker!$F$5:$F$1004,$B105,Task_Tracker!$N$5:$N$1004))</f>
        <v/>
      </c>
      <c r="M105" s="66">
        <f>IF($B105="","",SUMIF(Task_Tracker!$F$5:$F$1004,$B105,Task_Tracker!$O$5:$O$1004))</f>
        <v/>
      </c>
      <c r="N105" s="66">
        <f>IF(OR($L105="",$M105=""),"",$M105-$L105)</f>
        <v/>
      </c>
      <c r="O105" s="84">
        <f>IF($B105="","",COUNTIFS(Task_Tracker!$F$5:$F$1004,$B105,Task_Tracker!$R$5:$R$1004,"Overdue"))</f>
        <v/>
      </c>
      <c r="P105" s="84">
        <f>IF($B105="","",COUNTIFS(Task_Tracker!$F$5:$F$1004,$B105,Task_Tracker!$S$5:$S$1004,TEXT(TODAY(),"yyyy-mm")))</f>
        <v/>
      </c>
      <c r="Q105" s="66">
        <f>IF($B105="","",SUMIFS(Task_Tracker!$O$5:$O$1004,Task_Tracker!$F$5:$F$1004,$B105,Task_Tracker!$S$5:$S$1004,TEXT(TODAY(),"yyyy-mm")))</f>
        <v/>
      </c>
      <c r="R105" s="86">
        <f>IFERROR($Q105/($F105*4),"")</f>
        <v/>
      </c>
    </row>
    <row r="106" ht="15" customHeight="1" s="40">
      <c r="A106" s="67">
        <f>Employee_Master!A106</f>
        <v/>
      </c>
      <c r="B106" s="67">
        <f>Employee_Master!B106</f>
        <v/>
      </c>
      <c r="C106" s="67">
        <f>Employee_Master!C106</f>
        <v/>
      </c>
      <c r="D106" s="67">
        <f>Employee_Master!D106</f>
        <v/>
      </c>
      <c r="E106" s="67">
        <f>Employee_Master!E106</f>
        <v/>
      </c>
      <c r="F106" s="87">
        <f>Employee_Master!H106</f>
        <v/>
      </c>
      <c r="G106" s="67">
        <f>Employee_Master!I106</f>
        <v/>
      </c>
      <c r="H106" s="84">
        <f>IF($B106="","",COUNTIF(Task_Tracker!$F$5:$F$1004,$B106))</f>
        <v/>
      </c>
      <c r="I106" s="84">
        <f>IF($B106="","",COUNTIFS(Task_Tracker!$F$5:$F$1004,$B106,Task_Tracker!$A$5:$A$1004,"&lt;&gt;",Task_Tracker!$I$5:$I$1004,"&lt;&gt;Completed",Task_Tracker!$I$5:$I$1004,"&lt;&gt;Cancelled"))</f>
        <v/>
      </c>
      <c r="J106" s="84">
        <f>IF($B106="","",COUNTIFS(Task_Tracker!$F$5:$F$1004,$B106,Task_Tracker!$I$5:$I$1004,"Completed"))</f>
        <v/>
      </c>
      <c r="K106" s="86">
        <f>IFERROR($J106/$H106,"")</f>
        <v/>
      </c>
      <c r="L106" s="66">
        <f>IF($B106="","",SUMIF(Task_Tracker!$F$5:$F$1004,$B106,Task_Tracker!$N$5:$N$1004))</f>
        <v/>
      </c>
      <c r="M106" s="66">
        <f>IF($B106="","",SUMIF(Task_Tracker!$F$5:$F$1004,$B106,Task_Tracker!$O$5:$O$1004))</f>
        <v/>
      </c>
      <c r="N106" s="66">
        <f>IF(OR($L106="",$M106=""),"",$M106-$L106)</f>
        <v/>
      </c>
      <c r="O106" s="84">
        <f>IF($B106="","",COUNTIFS(Task_Tracker!$F$5:$F$1004,$B106,Task_Tracker!$R$5:$R$1004,"Overdue"))</f>
        <v/>
      </c>
      <c r="P106" s="84">
        <f>IF($B106="","",COUNTIFS(Task_Tracker!$F$5:$F$1004,$B106,Task_Tracker!$S$5:$S$1004,TEXT(TODAY(),"yyyy-mm")))</f>
        <v/>
      </c>
      <c r="Q106" s="66">
        <f>IF($B106="","",SUMIFS(Task_Tracker!$O$5:$O$1004,Task_Tracker!$F$5:$F$1004,$B106,Task_Tracker!$S$5:$S$1004,TEXT(TODAY(),"yyyy-mm")))</f>
        <v/>
      </c>
      <c r="R106" s="86">
        <f>IFERROR($Q106/($F106*4),"")</f>
        <v/>
      </c>
    </row>
    <row r="107" ht="15" customHeight="1" s="40">
      <c r="A107" s="67">
        <f>Employee_Master!A107</f>
        <v/>
      </c>
      <c r="B107" s="67">
        <f>Employee_Master!B107</f>
        <v/>
      </c>
      <c r="C107" s="67">
        <f>Employee_Master!C107</f>
        <v/>
      </c>
      <c r="D107" s="67">
        <f>Employee_Master!D107</f>
        <v/>
      </c>
      <c r="E107" s="67">
        <f>Employee_Master!E107</f>
        <v/>
      </c>
      <c r="F107" s="87">
        <f>Employee_Master!H107</f>
        <v/>
      </c>
      <c r="G107" s="67">
        <f>Employee_Master!I107</f>
        <v/>
      </c>
      <c r="H107" s="84">
        <f>IF($B107="","",COUNTIF(Task_Tracker!$F$5:$F$1004,$B107))</f>
        <v/>
      </c>
      <c r="I107" s="84">
        <f>IF($B107="","",COUNTIFS(Task_Tracker!$F$5:$F$1004,$B107,Task_Tracker!$A$5:$A$1004,"&lt;&gt;",Task_Tracker!$I$5:$I$1004,"&lt;&gt;Completed",Task_Tracker!$I$5:$I$1004,"&lt;&gt;Cancelled"))</f>
        <v/>
      </c>
      <c r="J107" s="84">
        <f>IF($B107="","",COUNTIFS(Task_Tracker!$F$5:$F$1004,$B107,Task_Tracker!$I$5:$I$1004,"Completed"))</f>
        <v/>
      </c>
      <c r="K107" s="86">
        <f>IFERROR($J107/$H107,"")</f>
        <v/>
      </c>
      <c r="L107" s="66">
        <f>IF($B107="","",SUMIF(Task_Tracker!$F$5:$F$1004,$B107,Task_Tracker!$N$5:$N$1004))</f>
        <v/>
      </c>
      <c r="M107" s="66">
        <f>IF($B107="","",SUMIF(Task_Tracker!$F$5:$F$1004,$B107,Task_Tracker!$O$5:$O$1004))</f>
        <v/>
      </c>
      <c r="N107" s="66">
        <f>IF(OR($L107="",$M107=""),"",$M107-$L107)</f>
        <v/>
      </c>
      <c r="O107" s="84">
        <f>IF($B107="","",COUNTIFS(Task_Tracker!$F$5:$F$1004,$B107,Task_Tracker!$R$5:$R$1004,"Overdue"))</f>
        <v/>
      </c>
      <c r="P107" s="84">
        <f>IF($B107="","",COUNTIFS(Task_Tracker!$F$5:$F$1004,$B107,Task_Tracker!$S$5:$S$1004,TEXT(TODAY(),"yyyy-mm")))</f>
        <v/>
      </c>
      <c r="Q107" s="66">
        <f>IF($B107="","",SUMIFS(Task_Tracker!$O$5:$O$1004,Task_Tracker!$F$5:$F$1004,$B107,Task_Tracker!$S$5:$S$1004,TEXT(TODAY(),"yyyy-mm")))</f>
        <v/>
      </c>
      <c r="R107" s="86">
        <f>IFERROR($Q107/($F107*4),"")</f>
        <v/>
      </c>
    </row>
    <row r="108" ht="15" customHeight="1" s="40">
      <c r="A108" s="67">
        <f>Employee_Master!A108</f>
        <v/>
      </c>
      <c r="B108" s="67">
        <f>Employee_Master!B108</f>
        <v/>
      </c>
      <c r="C108" s="67">
        <f>Employee_Master!C108</f>
        <v/>
      </c>
      <c r="D108" s="67">
        <f>Employee_Master!D108</f>
        <v/>
      </c>
      <c r="E108" s="67">
        <f>Employee_Master!E108</f>
        <v/>
      </c>
      <c r="F108" s="87">
        <f>Employee_Master!H108</f>
        <v/>
      </c>
      <c r="G108" s="67">
        <f>Employee_Master!I108</f>
        <v/>
      </c>
      <c r="H108" s="84">
        <f>IF($B108="","",COUNTIF(Task_Tracker!$F$5:$F$1004,$B108))</f>
        <v/>
      </c>
      <c r="I108" s="84">
        <f>IF($B108="","",COUNTIFS(Task_Tracker!$F$5:$F$1004,$B108,Task_Tracker!$A$5:$A$1004,"&lt;&gt;",Task_Tracker!$I$5:$I$1004,"&lt;&gt;Completed",Task_Tracker!$I$5:$I$1004,"&lt;&gt;Cancelled"))</f>
        <v/>
      </c>
      <c r="J108" s="84">
        <f>IF($B108="","",COUNTIFS(Task_Tracker!$F$5:$F$1004,$B108,Task_Tracker!$I$5:$I$1004,"Completed"))</f>
        <v/>
      </c>
      <c r="K108" s="86">
        <f>IFERROR($J108/$H108,"")</f>
        <v/>
      </c>
      <c r="L108" s="66">
        <f>IF($B108="","",SUMIF(Task_Tracker!$F$5:$F$1004,$B108,Task_Tracker!$N$5:$N$1004))</f>
        <v/>
      </c>
      <c r="M108" s="66">
        <f>IF($B108="","",SUMIF(Task_Tracker!$F$5:$F$1004,$B108,Task_Tracker!$O$5:$O$1004))</f>
        <v/>
      </c>
      <c r="N108" s="66">
        <f>IF(OR($L108="",$M108=""),"",$M108-$L108)</f>
        <v/>
      </c>
      <c r="O108" s="84">
        <f>IF($B108="","",COUNTIFS(Task_Tracker!$F$5:$F$1004,$B108,Task_Tracker!$R$5:$R$1004,"Overdue"))</f>
        <v/>
      </c>
      <c r="P108" s="84">
        <f>IF($B108="","",COUNTIFS(Task_Tracker!$F$5:$F$1004,$B108,Task_Tracker!$S$5:$S$1004,TEXT(TODAY(),"yyyy-mm")))</f>
        <v/>
      </c>
      <c r="Q108" s="66">
        <f>IF($B108="","",SUMIFS(Task_Tracker!$O$5:$O$1004,Task_Tracker!$F$5:$F$1004,$B108,Task_Tracker!$S$5:$S$1004,TEXT(TODAY(),"yyyy-mm")))</f>
        <v/>
      </c>
      <c r="R108" s="86">
        <f>IFERROR($Q108/($F108*4),"")</f>
        <v/>
      </c>
    </row>
    <row r="109" ht="15" customHeight="1" s="40">
      <c r="A109" s="67">
        <f>Employee_Master!A109</f>
        <v/>
      </c>
      <c r="B109" s="67">
        <f>Employee_Master!B109</f>
        <v/>
      </c>
      <c r="C109" s="67">
        <f>Employee_Master!C109</f>
        <v/>
      </c>
      <c r="D109" s="67">
        <f>Employee_Master!D109</f>
        <v/>
      </c>
      <c r="E109" s="67">
        <f>Employee_Master!E109</f>
        <v/>
      </c>
      <c r="F109" s="87">
        <f>Employee_Master!H109</f>
        <v/>
      </c>
      <c r="G109" s="67">
        <f>Employee_Master!I109</f>
        <v/>
      </c>
      <c r="H109" s="84">
        <f>IF($B109="","",COUNTIF(Task_Tracker!$F$5:$F$1004,$B109))</f>
        <v/>
      </c>
      <c r="I109" s="84">
        <f>IF($B109="","",COUNTIFS(Task_Tracker!$F$5:$F$1004,$B109,Task_Tracker!$A$5:$A$1004,"&lt;&gt;",Task_Tracker!$I$5:$I$1004,"&lt;&gt;Completed",Task_Tracker!$I$5:$I$1004,"&lt;&gt;Cancelled"))</f>
        <v/>
      </c>
      <c r="J109" s="84">
        <f>IF($B109="","",COUNTIFS(Task_Tracker!$F$5:$F$1004,$B109,Task_Tracker!$I$5:$I$1004,"Completed"))</f>
        <v/>
      </c>
      <c r="K109" s="86">
        <f>IFERROR($J109/$H109,"")</f>
        <v/>
      </c>
      <c r="L109" s="66">
        <f>IF($B109="","",SUMIF(Task_Tracker!$F$5:$F$1004,$B109,Task_Tracker!$N$5:$N$1004))</f>
        <v/>
      </c>
      <c r="M109" s="66">
        <f>IF($B109="","",SUMIF(Task_Tracker!$F$5:$F$1004,$B109,Task_Tracker!$O$5:$O$1004))</f>
        <v/>
      </c>
      <c r="N109" s="66">
        <f>IF(OR($L109="",$M109=""),"",$M109-$L109)</f>
        <v/>
      </c>
      <c r="O109" s="84">
        <f>IF($B109="","",COUNTIFS(Task_Tracker!$F$5:$F$1004,$B109,Task_Tracker!$R$5:$R$1004,"Overdue"))</f>
        <v/>
      </c>
      <c r="P109" s="84">
        <f>IF($B109="","",COUNTIFS(Task_Tracker!$F$5:$F$1004,$B109,Task_Tracker!$S$5:$S$1004,TEXT(TODAY(),"yyyy-mm")))</f>
        <v/>
      </c>
      <c r="Q109" s="66">
        <f>IF($B109="","",SUMIFS(Task_Tracker!$O$5:$O$1004,Task_Tracker!$F$5:$F$1004,$B109,Task_Tracker!$S$5:$S$1004,TEXT(TODAY(),"yyyy-mm")))</f>
        <v/>
      </c>
      <c r="R109" s="86">
        <f>IFERROR($Q109/($F109*4),"")</f>
        <v/>
      </c>
    </row>
    <row r="110" ht="15" customHeight="1" s="40">
      <c r="A110" s="67">
        <f>Employee_Master!A110</f>
        <v/>
      </c>
      <c r="B110" s="67">
        <f>Employee_Master!B110</f>
        <v/>
      </c>
      <c r="C110" s="67">
        <f>Employee_Master!C110</f>
        <v/>
      </c>
      <c r="D110" s="67">
        <f>Employee_Master!D110</f>
        <v/>
      </c>
      <c r="E110" s="67">
        <f>Employee_Master!E110</f>
        <v/>
      </c>
      <c r="F110" s="87">
        <f>Employee_Master!H110</f>
        <v/>
      </c>
      <c r="G110" s="67">
        <f>Employee_Master!I110</f>
        <v/>
      </c>
      <c r="H110" s="84">
        <f>IF($B110="","",COUNTIF(Task_Tracker!$F$5:$F$1004,$B110))</f>
        <v/>
      </c>
      <c r="I110" s="84">
        <f>IF($B110="","",COUNTIFS(Task_Tracker!$F$5:$F$1004,$B110,Task_Tracker!$A$5:$A$1004,"&lt;&gt;",Task_Tracker!$I$5:$I$1004,"&lt;&gt;Completed",Task_Tracker!$I$5:$I$1004,"&lt;&gt;Cancelled"))</f>
        <v/>
      </c>
      <c r="J110" s="84">
        <f>IF($B110="","",COUNTIFS(Task_Tracker!$F$5:$F$1004,$B110,Task_Tracker!$I$5:$I$1004,"Completed"))</f>
        <v/>
      </c>
      <c r="K110" s="86">
        <f>IFERROR($J110/$H110,"")</f>
        <v/>
      </c>
      <c r="L110" s="66">
        <f>IF($B110="","",SUMIF(Task_Tracker!$F$5:$F$1004,$B110,Task_Tracker!$N$5:$N$1004))</f>
        <v/>
      </c>
      <c r="M110" s="66">
        <f>IF($B110="","",SUMIF(Task_Tracker!$F$5:$F$1004,$B110,Task_Tracker!$O$5:$O$1004))</f>
        <v/>
      </c>
      <c r="N110" s="66">
        <f>IF(OR($L110="",$M110=""),"",$M110-$L110)</f>
        <v/>
      </c>
      <c r="O110" s="84">
        <f>IF($B110="","",COUNTIFS(Task_Tracker!$F$5:$F$1004,$B110,Task_Tracker!$R$5:$R$1004,"Overdue"))</f>
        <v/>
      </c>
      <c r="P110" s="84">
        <f>IF($B110="","",COUNTIFS(Task_Tracker!$F$5:$F$1004,$B110,Task_Tracker!$S$5:$S$1004,TEXT(TODAY(),"yyyy-mm")))</f>
        <v/>
      </c>
      <c r="Q110" s="66">
        <f>IF($B110="","",SUMIFS(Task_Tracker!$O$5:$O$1004,Task_Tracker!$F$5:$F$1004,$B110,Task_Tracker!$S$5:$S$1004,TEXT(TODAY(),"yyyy-mm")))</f>
        <v/>
      </c>
      <c r="R110" s="86">
        <f>IFERROR($Q110/($F110*4),"")</f>
        <v/>
      </c>
    </row>
    <row r="111" ht="15" customHeight="1" s="40">
      <c r="A111" s="67">
        <f>Employee_Master!A111</f>
        <v/>
      </c>
      <c r="B111" s="67">
        <f>Employee_Master!B111</f>
        <v/>
      </c>
      <c r="C111" s="67">
        <f>Employee_Master!C111</f>
        <v/>
      </c>
      <c r="D111" s="67">
        <f>Employee_Master!D111</f>
        <v/>
      </c>
      <c r="E111" s="67">
        <f>Employee_Master!E111</f>
        <v/>
      </c>
      <c r="F111" s="87">
        <f>Employee_Master!H111</f>
        <v/>
      </c>
      <c r="G111" s="67">
        <f>Employee_Master!I111</f>
        <v/>
      </c>
      <c r="H111" s="84">
        <f>IF($B111="","",COUNTIF(Task_Tracker!$F$5:$F$1004,$B111))</f>
        <v/>
      </c>
      <c r="I111" s="84">
        <f>IF($B111="","",COUNTIFS(Task_Tracker!$F$5:$F$1004,$B111,Task_Tracker!$A$5:$A$1004,"&lt;&gt;",Task_Tracker!$I$5:$I$1004,"&lt;&gt;Completed",Task_Tracker!$I$5:$I$1004,"&lt;&gt;Cancelled"))</f>
        <v/>
      </c>
      <c r="J111" s="84">
        <f>IF($B111="","",COUNTIFS(Task_Tracker!$F$5:$F$1004,$B111,Task_Tracker!$I$5:$I$1004,"Completed"))</f>
        <v/>
      </c>
      <c r="K111" s="86">
        <f>IFERROR($J111/$H111,"")</f>
        <v/>
      </c>
      <c r="L111" s="66">
        <f>IF($B111="","",SUMIF(Task_Tracker!$F$5:$F$1004,$B111,Task_Tracker!$N$5:$N$1004))</f>
        <v/>
      </c>
      <c r="M111" s="66">
        <f>IF($B111="","",SUMIF(Task_Tracker!$F$5:$F$1004,$B111,Task_Tracker!$O$5:$O$1004))</f>
        <v/>
      </c>
      <c r="N111" s="66">
        <f>IF(OR($L111="",$M111=""),"",$M111-$L111)</f>
        <v/>
      </c>
      <c r="O111" s="84">
        <f>IF($B111="","",COUNTIFS(Task_Tracker!$F$5:$F$1004,$B111,Task_Tracker!$R$5:$R$1004,"Overdue"))</f>
        <v/>
      </c>
      <c r="P111" s="84">
        <f>IF($B111="","",COUNTIFS(Task_Tracker!$F$5:$F$1004,$B111,Task_Tracker!$S$5:$S$1004,TEXT(TODAY(),"yyyy-mm")))</f>
        <v/>
      </c>
      <c r="Q111" s="66">
        <f>IF($B111="","",SUMIFS(Task_Tracker!$O$5:$O$1004,Task_Tracker!$F$5:$F$1004,$B111,Task_Tracker!$S$5:$S$1004,TEXT(TODAY(),"yyyy-mm")))</f>
        <v/>
      </c>
      <c r="R111" s="86">
        <f>IFERROR($Q111/($F111*4),"")</f>
        <v/>
      </c>
    </row>
    <row r="112" ht="15" customHeight="1" s="40">
      <c r="A112" s="67">
        <f>Employee_Master!A112</f>
        <v/>
      </c>
      <c r="B112" s="67">
        <f>Employee_Master!B112</f>
        <v/>
      </c>
      <c r="C112" s="67">
        <f>Employee_Master!C112</f>
        <v/>
      </c>
      <c r="D112" s="67">
        <f>Employee_Master!D112</f>
        <v/>
      </c>
      <c r="E112" s="67">
        <f>Employee_Master!E112</f>
        <v/>
      </c>
      <c r="F112" s="87">
        <f>Employee_Master!H112</f>
        <v/>
      </c>
      <c r="G112" s="67">
        <f>Employee_Master!I112</f>
        <v/>
      </c>
      <c r="H112" s="84">
        <f>IF($B112="","",COUNTIF(Task_Tracker!$F$5:$F$1004,$B112))</f>
        <v/>
      </c>
      <c r="I112" s="84">
        <f>IF($B112="","",COUNTIFS(Task_Tracker!$F$5:$F$1004,$B112,Task_Tracker!$A$5:$A$1004,"&lt;&gt;",Task_Tracker!$I$5:$I$1004,"&lt;&gt;Completed",Task_Tracker!$I$5:$I$1004,"&lt;&gt;Cancelled"))</f>
        <v/>
      </c>
      <c r="J112" s="84">
        <f>IF($B112="","",COUNTIFS(Task_Tracker!$F$5:$F$1004,$B112,Task_Tracker!$I$5:$I$1004,"Completed"))</f>
        <v/>
      </c>
      <c r="K112" s="86">
        <f>IFERROR($J112/$H112,"")</f>
        <v/>
      </c>
      <c r="L112" s="66">
        <f>IF($B112="","",SUMIF(Task_Tracker!$F$5:$F$1004,$B112,Task_Tracker!$N$5:$N$1004))</f>
        <v/>
      </c>
      <c r="M112" s="66">
        <f>IF($B112="","",SUMIF(Task_Tracker!$F$5:$F$1004,$B112,Task_Tracker!$O$5:$O$1004))</f>
        <v/>
      </c>
      <c r="N112" s="66">
        <f>IF(OR($L112="",$M112=""),"",$M112-$L112)</f>
        <v/>
      </c>
      <c r="O112" s="84">
        <f>IF($B112="","",COUNTIFS(Task_Tracker!$F$5:$F$1004,$B112,Task_Tracker!$R$5:$R$1004,"Overdue"))</f>
        <v/>
      </c>
      <c r="P112" s="84">
        <f>IF($B112="","",COUNTIFS(Task_Tracker!$F$5:$F$1004,$B112,Task_Tracker!$S$5:$S$1004,TEXT(TODAY(),"yyyy-mm")))</f>
        <v/>
      </c>
      <c r="Q112" s="66">
        <f>IF($B112="","",SUMIFS(Task_Tracker!$O$5:$O$1004,Task_Tracker!$F$5:$F$1004,$B112,Task_Tracker!$S$5:$S$1004,TEXT(TODAY(),"yyyy-mm")))</f>
        <v/>
      </c>
      <c r="R112" s="86">
        <f>IFERROR($Q112/($F112*4),"")</f>
        <v/>
      </c>
    </row>
    <row r="113" ht="15" customHeight="1" s="40">
      <c r="A113" s="67">
        <f>Employee_Master!A113</f>
        <v/>
      </c>
      <c r="B113" s="67">
        <f>Employee_Master!B113</f>
        <v/>
      </c>
      <c r="C113" s="67">
        <f>Employee_Master!C113</f>
        <v/>
      </c>
      <c r="D113" s="67">
        <f>Employee_Master!D113</f>
        <v/>
      </c>
      <c r="E113" s="67">
        <f>Employee_Master!E113</f>
        <v/>
      </c>
      <c r="F113" s="87">
        <f>Employee_Master!H113</f>
        <v/>
      </c>
      <c r="G113" s="67">
        <f>Employee_Master!I113</f>
        <v/>
      </c>
      <c r="H113" s="84">
        <f>IF($B113="","",COUNTIF(Task_Tracker!$F$5:$F$1004,$B113))</f>
        <v/>
      </c>
      <c r="I113" s="84">
        <f>IF($B113="","",COUNTIFS(Task_Tracker!$F$5:$F$1004,$B113,Task_Tracker!$A$5:$A$1004,"&lt;&gt;",Task_Tracker!$I$5:$I$1004,"&lt;&gt;Completed",Task_Tracker!$I$5:$I$1004,"&lt;&gt;Cancelled"))</f>
        <v/>
      </c>
      <c r="J113" s="84">
        <f>IF($B113="","",COUNTIFS(Task_Tracker!$F$5:$F$1004,$B113,Task_Tracker!$I$5:$I$1004,"Completed"))</f>
        <v/>
      </c>
      <c r="K113" s="86">
        <f>IFERROR($J113/$H113,"")</f>
        <v/>
      </c>
      <c r="L113" s="66">
        <f>IF($B113="","",SUMIF(Task_Tracker!$F$5:$F$1004,$B113,Task_Tracker!$N$5:$N$1004))</f>
        <v/>
      </c>
      <c r="M113" s="66">
        <f>IF($B113="","",SUMIF(Task_Tracker!$F$5:$F$1004,$B113,Task_Tracker!$O$5:$O$1004))</f>
        <v/>
      </c>
      <c r="N113" s="66">
        <f>IF(OR($L113="",$M113=""),"",$M113-$L113)</f>
        <v/>
      </c>
      <c r="O113" s="84">
        <f>IF($B113="","",COUNTIFS(Task_Tracker!$F$5:$F$1004,$B113,Task_Tracker!$R$5:$R$1004,"Overdue"))</f>
        <v/>
      </c>
      <c r="P113" s="84">
        <f>IF($B113="","",COUNTIFS(Task_Tracker!$F$5:$F$1004,$B113,Task_Tracker!$S$5:$S$1004,TEXT(TODAY(),"yyyy-mm")))</f>
        <v/>
      </c>
      <c r="Q113" s="66">
        <f>IF($B113="","",SUMIFS(Task_Tracker!$O$5:$O$1004,Task_Tracker!$F$5:$F$1004,$B113,Task_Tracker!$S$5:$S$1004,TEXT(TODAY(),"yyyy-mm")))</f>
        <v/>
      </c>
      <c r="R113" s="86">
        <f>IFERROR($Q113/($F113*4),"")</f>
        <v/>
      </c>
    </row>
    <row r="114" ht="15" customHeight="1" s="40">
      <c r="A114" s="67">
        <f>Employee_Master!A114</f>
        <v/>
      </c>
      <c r="B114" s="67">
        <f>Employee_Master!B114</f>
        <v/>
      </c>
      <c r="C114" s="67">
        <f>Employee_Master!C114</f>
        <v/>
      </c>
      <c r="D114" s="67">
        <f>Employee_Master!D114</f>
        <v/>
      </c>
      <c r="E114" s="67">
        <f>Employee_Master!E114</f>
        <v/>
      </c>
      <c r="F114" s="87">
        <f>Employee_Master!H114</f>
        <v/>
      </c>
      <c r="G114" s="67">
        <f>Employee_Master!I114</f>
        <v/>
      </c>
      <c r="H114" s="84">
        <f>IF($B114="","",COUNTIF(Task_Tracker!$F$5:$F$1004,$B114))</f>
        <v/>
      </c>
      <c r="I114" s="84">
        <f>IF($B114="","",COUNTIFS(Task_Tracker!$F$5:$F$1004,$B114,Task_Tracker!$A$5:$A$1004,"&lt;&gt;",Task_Tracker!$I$5:$I$1004,"&lt;&gt;Completed",Task_Tracker!$I$5:$I$1004,"&lt;&gt;Cancelled"))</f>
        <v/>
      </c>
      <c r="J114" s="84">
        <f>IF($B114="","",COUNTIFS(Task_Tracker!$F$5:$F$1004,$B114,Task_Tracker!$I$5:$I$1004,"Completed"))</f>
        <v/>
      </c>
      <c r="K114" s="86">
        <f>IFERROR($J114/$H114,"")</f>
        <v/>
      </c>
      <c r="L114" s="66">
        <f>IF($B114="","",SUMIF(Task_Tracker!$F$5:$F$1004,$B114,Task_Tracker!$N$5:$N$1004))</f>
        <v/>
      </c>
      <c r="M114" s="66">
        <f>IF($B114="","",SUMIF(Task_Tracker!$F$5:$F$1004,$B114,Task_Tracker!$O$5:$O$1004))</f>
        <v/>
      </c>
      <c r="N114" s="66">
        <f>IF(OR($L114="",$M114=""),"",$M114-$L114)</f>
        <v/>
      </c>
      <c r="O114" s="84">
        <f>IF($B114="","",COUNTIFS(Task_Tracker!$F$5:$F$1004,$B114,Task_Tracker!$R$5:$R$1004,"Overdue"))</f>
        <v/>
      </c>
      <c r="P114" s="84">
        <f>IF($B114="","",COUNTIFS(Task_Tracker!$F$5:$F$1004,$B114,Task_Tracker!$S$5:$S$1004,TEXT(TODAY(),"yyyy-mm")))</f>
        <v/>
      </c>
      <c r="Q114" s="66">
        <f>IF($B114="","",SUMIFS(Task_Tracker!$O$5:$O$1004,Task_Tracker!$F$5:$F$1004,$B114,Task_Tracker!$S$5:$S$1004,TEXT(TODAY(),"yyyy-mm")))</f>
        <v/>
      </c>
      <c r="R114" s="86">
        <f>IFERROR($Q114/($F114*4),"")</f>
        <v/>
      </c>
    </row>
    <row r="115" ht="15" customHeight="1" s="40">
      <c r="A115" s="67">
        <f>Employee_Master!A115</f>
        <v/>
      </c>
      <c r="B115" s="67">
        <f>Employee_Master!B115</f>
        <v/>
      </c>
      <c r="C115" s="67">
        <f>Employee_Master!C115</f>
        <v/>
      </c>
      <c r="D115" s="67">
        <f>Employee_Master!D115</f>
        <v/>
      </c>
      <c r="E115" s="67">
        <f>Employee_Master!E115</f>
        <v/>
      </c>
      <c r="F115" s="87">
        <f>Employee_Master!H115</f>
        <v/>
      </c>
      <c r="G115" s="67">
        <f>Employee_Master!I115</f>
        <v/>
      </c>
      <c r="H115" s="84">
        <f>IF($B115="","",COUNTIF(Task_Tracker!$F$5:$F$1004,$B115))</f>
        <v/>
      </c>
      <c r="I115" s="84">
        <f>IF($B115="","",COUNTIFS(Task_Tracker!$F$5:$F$1004,$B115,Task_Tracker!$A$5:$A$1004,"&lt;&gt;",Task_Tracker!$I$5:$I$1004,"&lt;&gt;Completed",Task_Tracker!$I$5:$I$1004,"&lt;&gt;Cancelled"))</f>
        <v/>
      </c>
      <c r="J115" s="84">
        <f>IF($B115="","",COUNTIFS(Task_Tracker!$F$5:$F$1004,$B115,Task_Tracker!$I$5:$I$1004,"Completed"))</f>
        <v/>
      </c>
      <c r="K115" s="86">
        <f>IFERROR($J115/$H115,"")</f>
        <v/>
      </c>
      <c r="L115" s="66">
        <f>IF($B115="","",SUMIF(Task_Tracker!$F$5:$F$1004,$B115,Task_Tracker!$N$5:$N$1004))</f>
        <v/>
      </c>
      <c r="M115" s="66">
        <f>IF($B115="","",SUMIF(Task_Tracker!$F$5:$F$1004,$B115,Task_Tracker!$O$5:$O$1004))</f>
        <v/>
      </c>
      <c r="N115" s="66">
        <f>IF(OR($L115="",$M115=""),"",$M115-$L115)</f>
        <v/>
      </c>
      <c r="O115" s="84">
        <f>IF($B115="","",COUNTIFS(Task_Tracker!$F$5:$F$1004,$B115,Task_Tracker!$R$5:$R$1004,"Overdue"))</f>
        <v/>
      </c>
      <c r="P115" s="84">
        <f>IF($B115="","",COUNTIFS(Task_Tracker!$F$5:$F$1004,$B115,Task_Tracker!$S$5:$S$1004,TEXT(TODAY(),"yyyy-mm")))</f>
        <v/>
      </c>
      <c r="Q115" s="66">
        <f>IF($B115="","",SUMIFS(Task_Tracker!$O$5:$O$1004,Task_Tracker!$F$5:$F$1004,$B115,Task_Tracker!$S$5:$S$1004,TEXT(TODAY(),"yyyy-mm")))</f>
        <v/>
      </c>
      <c r="R115" s="86">
        <f>IFERROR($Q115/($F115*4),"")</f>
        <v/>
      </c>
    </row>
    <row r="116" ht="15" customHeight="1" s="40">
      <c r="A116" s="67">
        <f>Employee_Master!A116</f>
        <v/>
      </c>
      <c r="B116" s="67">
        <f>Employee_Master!B116</f>
        <v/>
      </c>
      <c r="C116" s="67">
        <f>Employee_Master!C116</f>
        <v/>
      </c>
      <c r="D116" s="67">
        <f>Employee_Master!D116</f>
        <v/>
      </c>
      <c r="E116" s="67">
        <f>Employee_Master!E116</f>
        <v/>
      </c>
      <c r="F116" s="87">
        <f>Employee_Master!H116</f>
        <v/>
      </c>
      <c r="G116" s="67">
        <f>Employee_Master!I116</f>
        <v/>
      </c>
      <c r="H116" s="84">
        <f>IF($B116="","",COUNTIF(Task_Tracker!$F$5:$F$1004,$B116))</f>
        <v/>
      </c>
      <c r="I116" s="84">
        <f>IF($B116="","",COUNTIFS(Task_Tracker!$F$5:$F$1004,$B116,Task_Tracker!$A$5:$A$1004,"&lt;&gt;",Task_Tracker!$I$5:$I$1004,"&lt;&gt;Completed",Task_Tracker!$I$5:$I$1004,"&lt;&gt;Cancelled"))</f>
        <v/>
      </c>
      <c r="J116" s="84">
        <f>IF($B116="","",COUNTIFS(Task_Tracker!$F$5:$F$1004,$B116,Task_Tracker!$I$5:$I$1004,"Completed"))</f>
        <v/>
      </c>
      <c r="K116" s="86">
        <f>IFERROR($J116/$H116,"")</f>
        <v/>
      </c>
      <c r="L116" s="66">
        <f>IF($B116="","",SUMIF(Task_Tracker!$F$5:$F$1004,$B116,Task_Tracker!$N$5:$N$1004))</f>
        <v/>
      </c>
      <c r="M116" s="66">
        <f>IF($B116="","",SUMIF(Task_Tracker!$F$5:$F$1004,$B116,Task_Tracker!$O$5:$O$1004))</f>
        <v/>
      </c>
      <c r="N116" s="66">
        <f>IF(OR($L116="",$M116=""),"",$M116-$L116)</f>
        <v/>
      </c>
      <c r="O116" s="84">
        <f>IF($B116="","",COUNTIFS(Task_Tracker!$F$5:$F$1004,$B116,Task_Tracker!$R$5:$R$1004,"Overdue"))</f>
        <v/>
      </c>
      <c r="P116" s="84">
        <f>IF($B116="","",COUNTIFS(Task_Tracker!$F$5:$F$1004,$B116,Task_Tracker!$S$5:$S$1004,TEXT(TODAY(),"yyyy-mm")))</f>
        <v/>
      </c>
      <c r="Q116" s="66">
        <f>IF($B116="","",SUMIFS(Task_Tracker!$O$5:$O$1004,Task_Tracker!$F$5:$F$1004,$B116,Task_Tracker!$S$5:$S$1004,TEXT(TODAY(),"yyyy-mm")))</f>
        <v/>
      </c>
      <c r="R116" s="86">
        <f>IFERROR($Q116/($F116*4),"")</f>
        <v/>
      </c>
    </row>
    <row r="117" ht="15" customHeight="1" s="40">
      <c r="A117" s="67">
        <f>Employee_Master!A117</f>
        <v/>
      </c>
      <c r="B117" s="67">
        <f>Employee_Master!B117</f>
        <v/>
      </c>
      <c r="C117" s="67">
        <f>Employee_Master!C117</f>
        <v/>
      </c>
      <c r="D117" s="67">
        <f>Employee_Master!D117</f>
        <v/>
      </c>
      <c r="E117" s="67">
        <f>Employee_Master!E117</f>
        <v/>
      </c>
      <c r="F117" s="87">
        <f>Employee_Master!H117</f>
        <v/>
      </c>
      <c r="G117" s="67">
        <f>Employee_Master!I117</f>
        <v/>
      </c>
      <c r="H117" s="84">
        <f>IF($B117="","",COUNTIF(Task_Tracker!$F$5:$F$1004,$B117))</f>
        <v/>
      </c>
      <c r="I117" s="84">
        <f>IF($B117="","",COUNTIFS(Task_Tracker!$F$5:$F$1004,$B117,Task_Tracker!$A$5:$A$1004,"&lt;&gt;",Task_Tracker!$I$5:$I$1004,"&lt;&gt;Completed",Task_Tracker!$I$5:$I$1004,"&lt;&gt;Cancelled"))</f>
        <v/>
      </c>
      <c r="J117" s="84">
        <f>IF($B117="","",COUNTIFS(Task_Tracker!$F$5:$F$1004,$B117,Task_Tracker!$I$5:$I$1004,"Completed"))</f>
        <v/>
      </c>
      <c r="K117" s="86">
        <f>IFERROR($J117/$H117,"")</f>
        <v/>
      </c>
      <c r="L117" s="66">
        <f>IF($B117="","",SUMIF(Task_Tracker!$F$5:$F$1004,$B117,Task_Tracker!$N$5:$N$1004))</f>
        <v/>
      </c>
      <c r="M117" s="66">
        <f>IF($B117="","",SUMIF(Task_Tracker!$F$5:$F$1004,$B117,Task_Tracker!$O$5:$O$1004))</f>
        <v/>
      </c>
      <c r="N117" s="66">
        <f>IF(OR($L117="",$M117=""),"",$M117-$L117)</f>
        <v/>
      </c>
      <c r="O117" s="84">
        <f>IF($B117="","",COUNTIFS(Task_Tracker!$F$5:$F$1004,$B117,Task_Tracker!$R$5:$R$1004,"Overdue"))</f>
        <v/>
      </c>
      <c r="P117" s="84">
        <f>IF($B117="","",COUNTIFS(Task_Tracker!$F$5:$F$1004,$B117,Task_Tracker!$S$5:$S$1004,TEXT(TODAY(),"yyyy-mm")))</f>
        <v/>
      </c>
      <c r="Q117" s="66">
        <f>IF($B117="","",SUMIFS(Task_Tracker!$O$5:$O$1004,Task_Tracker!$F$5:$F$1004,$B117,Task_Tracker!$S$5:$S$1004,TEXT(TODAY(),"yyyy-mm")))</f>
        <v/>
      </c>
      <c r="R117" s="86">
        <f>IFERROR($Q117/($F117*4),"")</f>
        <v/>
      </c>
    </row>
    <row r="118" ht="15" customHeight="1" s="40">
      <c r="A118" s="67">
        <f>Employee_Master!A118</f>
        <v/>
      </c>
      <c r="B118" s="67">
        <f>Employee_Master!B118</f>
        <v/>
      </c>
      <c r="C118" s="67">
        <f>Employee_Master!C118</f>
        <v/>
      </c>
      <c r="D118" s="67">
        <f>Employee_Master!D118</f>
        <v/>
      </c>
      <c r="E118" s="67">
        <f>Employee_Master!E118</f>
        <v/>
      </c>
      <c r="F118" s="87">
        <f>Employee_Master!H118</f>
        <v/>
      </c>
      <c r="G118" s="67">
        <f>Employee_Master!I118</f>
        <v/>
      </c>
      <c r="H118" s="84">
        <f>IF($B118="","",COUNTIF(Task_Tracker!$F$5:$F$1004,$B118))</f>
        <v/>
      </c>
      <c r="I118" s="84">
        <f>IF($B118="","",COUNTIFS(Task_Tracker!$F$5:$F$1004,$B118,Task_Tracker!$A$5:$A$1004,"&lt;&gt;",Task_Tracker!$I$5:$I$1004,"&lt;&gt;Completed",Task_Tracker!$I$5:$I$1004,"&lt;&gt;Cancelled"))</f>
        <v/>
      </c>
      <c r="J118" s="84">
        <f>IF($B118="","",COUNTIFS(Task_Tracker!$F$5:$F$1004,$B118,Task_Tracker!$I$5:$I$1004,"Completed"))</f>
        <v/>
      </c>
      <c r="K118" s="86">
        <f>IFERROR($J118/$H118,"")</f>
        <v/>
      </c>
      <c r="L118" s="66">
        <f>IF($B118="","",SUMIF(Task_Tracker!$F$5:$F$1004,$B118,Task_Tracker!$N$5:$N$1004))</f>
        <v/>
      </c>
      <c r="M118" s="66">
        <f>IF($B118="","",SUMIF(Task_Tracker!$F$5:$F$1004,$B118,Task_Tracker!$O$5:$O$1004))</f>
        <v/>
      </c>
      <c r="N118" s="66">
        <f>IF(OR($L118="",$M118=""),"",$M118-$L118)</f>
        <v/>
      </c>
      <c r="O118" s="84">
        <f>IF($B118="","",COUNTIFS(Task_Tracker!$F$5:$F$1004,$B118,Task_Tracker!$R$5:$R$1004,"Overdue"))</f>
        <v/>
      </c>
      <c r="P118" s="84">
        <f>IF($B118="","",COUNTIFS(Task_Tracker!$F$5:$F$1004,$B118,Task_Tracker!$S$5:$S$1004,TEXT(TODAY(),"yyyy-mm")))</f>
        <v/>
      </c>
      <c r="Q118" s="66">
        <f>IF($B118="","",SUMIFS(Task_Tracker!$O$5:$O$1004,Task_Tracker!$F$5:$F$1004,$B118,Task_Tracker!$S$5:$S$1004,TEXT(TODAY(),"yyyy-mm")))</f>
        <v/>
      </c>
      <c r="R118" s="86">
        <f>IFERROR($Q118/($F118*4),"")</f>
        <v/>
      </c>
    </row>
    <row r="119" ht="15" customHeight="1" s="40">
      <c r="A119" s="67">
        <f>Employee_Master!A119</f>
        <v/>
      </c>
      <c r="B119" s="67">
        <f>Employee_Master!B119</f>
        <v/>
      </c>
      <c r="C119" s="67">
        <f>Employee_Master!C119</f>
        <v/>
      </c>
      <c r="D119" s="67">
        <f>Employee_Master!D119</f>
        <v/>
      </c>
      <c r="E119" s="67">
        <f>Employee_Master!E119</f>
        <v/>
      </c>
      <c r="F119" s="87">
        <f>Employee_Master!H119</f>
        <v/>
      </c>
      <c r="G119" s="67">
        <f>Employee_Master!I119</f>
        <v/>
      </c>
      <c r="H119" s="84">
        <f>IF($B119="","",COUNTIF(Task_Tracker!$F$5:$F$1004,$B119))</f>
        <v/>
      </c>
      <c r="I119" s="84">
        <f>IF($B119="","",COUNTIFS(Task_Tracker!$F$5:$F$1004,$B119,Task_Tracker!$A$5:$A$1004,"&lt;&gt;",Task_Tracker!$I$5:$I$1004,"&lt;&gt;Completed",Task_Tracker!$I$5:$I$1004,"&lt;&gt;Cancelled"))</f>
        <v/>
      </c>
      <c r="J119" s="84">
        <f>IF($B119="","",COUNTIFS(Task_Tracker!$F$5:$F$1004,$B119,Task_Tracker!$I$5:$I$1004,"Completed"))</f>
        <v/>
      </c>
      <c r="K119" s="86">
        <f>IFERROR($J119/$H119,"")</f>
        <v/>
      </c>
      <c r="L119" s="66">
        <f>IF($B119="","",SUMIF(Task_Tracker!$F$5:$F$1004,$B119,Task_Tracker!$N$5:$N$1004))</f>
        <v/>
      </c>
      <c r="M119" s="66">
        <f>IF($B119="","",SUMIF(Task_Tracker!$F$5:$F$1004,$B119,Task_Tracker!$O$5:$O$1004))</f>
        <v/>
      </c>
      <c r="N119" s="66">
        <f>IF(OR($L119="",$M119=""),"",$M119-$L119)</f>
        <v/>
      </c>
      <c r="O119" s="84">
        <f>IF($B119="","",COUNTIFS(Task_Tracker!$F$5:$F$1004,$B119,Task_Tracker!$R$5:$R$1004,"Overdue"))</f>
        <v/>
      </c>
      <c r="P119" s="84">
        <f>IF($B119="","",COUNTIFS(Task_Tracker!$F$5:$F$1004,$B119,Task_Tracker!$S$5:$S$1004,TEXT(TODAY(),"yyyy-mm")))</f>
        <v/>
      </c>
      <c r="Q119" s="66">
        <f>IF($B119="","",SUMIFS(Task_Tracker!$O$5:$O$1004,Task_Tracker!$F$5:$F$1004,$B119,Task_Tracker!$S$5:$S$1004,TEXT(TODAY(),"yyyy-mm")))</f>
        <v/>
      </c>
      <c r="R119" s="86">
        <f>IFERROR($Q119/($F119*4),"")</f>
        <v/>
      </c>
    </row>
    <row r="120" ht="15" customHeight="1" s="40">
      <c r="A120" s="67">
        <f>Employee_Master!A120</f>
        <v/>
      </c>
      <c r="B120" s="67">
        <f>Employee_Master!B120</f>
        <v/>
      </c>
      <c r="C120" s="67">
        <f>Employee_Master!C120</f>
        <v/>
      </c>
      <c r="D120" s="67">
        <f>Employee_Master!D120</f>
        <v/>
      </c>
      <c r="E120" s="67">
        <f>Employee_Master!E120</f>
        <v/>
      </c>
      <c r="F120" s="87">
        <f>Employee_Master!H120</f>
        <v/>
      </c>
      <c r="G120" s="67">
        <f>Employee_Master!I120</f>
        <v/>
      </c>
      <c r="H120" s="84">
        <f>IF($B120="","",COUNTIF(Task_Tracker!$F$5:$F$1004,$B120))</f>
        <v/>
      </c>
      <c r="I120" s="84">
        <f>IF($B120="","",COUNTIFS(Task_Tracker!$F$5:$F$1004,$B120,Task_Tracker!$A$5:$A$1004,"&lt;&gt;",Task_Tracker!$I$5:$I$1004,"&lt;&gt;Completed",Task_Tracker!$I$5:$I$1004,"&lt;&gt;Cancelled"))</f>
        <v/>
      </c>
      <c r="J120" s="84">
        <f>IF($B120="","",COUNTIFS(Task_Tracker!$F$5:$F$1004,$B120,Task_Tracker!$I$5:$I$1004,"Completed"))</f>
        <v/>
      </c>
      <c r="K120" s="86">
        <f>IFERROR($J120/$H120,"")</f>
        <v/>
      </c>
      <c r="L120" s="66">
        <f>IF($B120="","",SUMIF(Task_Tracker!$F$5:$F$1004,$B120,Task_Tracker!$N$5:$N$1004))</f>
        <v/>
      </c>
      <c r="M120" s="66">
        <f>IF($B120="","",SUMIF(Task_Tracker!$F$5:$F$1004,$B120,Task_Tracker!$O$5:$O$1004))</f>
        <v/>
      </c>
      <c r="N120" s="66">
        <f>IF(OR($L120="",$M120=""),"",$M120-$L120)</f>
        <v/>
      </c>
      <c r="O120" s="84">
        <f>IF($B120="","",COUNTIFS(Task_Tracker!$F$5:$F$1004,$B120,Task_Tracker!$R$5:$R$1004,"Overdue"))</f>
        <v/>
      </c>
      <c r="P120" s="84">
        <f>IF($B120="","",COUNTIFS(Task_Tracker!$F$5:$F$1004,$B120,Task_Tracker!$S$5:$S$1004,TEXT(TODAY(),"yyyy-mm")))</f>
        <v/>
      </c>
      <c r="Q120" s="66">
        <f>IF($B120="","",SUMIFS(Task_Tracker!$O$5:$O$1004,Task_Tracker!$F$5:$F$1004,$B120,Task_Tracker!$S$5:$S$1004,TEXT(TODAY(),"yyyy-mm")))</f>
        <v/>
      </c>
      <c r="R120" s="86">
        <f>IFERROR($Q120/($F120*4),"")</f>
        <v/>
      </c>
    </row>
    <row r="121" ht="15" customHeight="1" s="40">
      <c r="A121" s="67">
        <f>Employee_Master!A121</f>
        <v/>
      </c>
      <c r="B121" s="67">
        <f>Employee_Master!B121</f>
        <v/>
      </c>
      <c r="C121" s="67">
        <f>Employee_Master!C121</f>
        <v/>
      </c>
      <c r="D121" s="67">
        <f>Employee_Master!D121</f>
        <v/>
      </c>
      <c r="E121" s="67">
        <f>Employee_Master!E121</f>
        <v/>
      </c>
      <c r="F121" s="87">
        <f>Employee_Master!H121</f>
        <v/>
      </c>
      <c r="G121" s="67">
        <f>Employee_Master!I121</f>
        <v/>
      </c>
      <c r="H121" s="84">
        <f>IF($B121="","",COUNTIF(Task_Tracker!$F$5:$F$1004,$B121))</f>
        <v/>
      </c>
      <c r="I121" s="84">
        <f>IF($B121="","",COUNTIFS(Task_Tracker!$F$5:$F$1004,$B121,Task_Tracker!$A$5:$A$1004,"&lt;&gt;",Task_Tracker!$I$5:$I$1004,"&lt;&gt;Completed",Task_Tracker!$I$5:$I$1004,"&lt;&gt;Cancelled"))</f>
        <v/>
      </c>
      <c r="J121" s="84">
        <f>IF($B121="","",COUNTIFS(Task_Tracker!$F$5:$F$1004,$B121,Task_Tracker!$I$5:$I$1004,"Completed"))</f>
        <v/>
      </c>
      <c r="K121" s="86">
        <f>IFERROR($J121/$H121,"")</f>
        <v/>
      </c>
      <c r="L121" s="66">
        <f>IF($B121="","",SUMIF(Task_Tracker!$F$5:$F$1004,$B121,Task_Tracker!$N$5:$N$1004))</f>
        <v/>
      </c>
      <c r="M121" s="66">
        <f>IF($B121="","",SUMIF(Task_Tracker!$F$5:$F$1004,$B121,Task_Tracker!$O$5:$O$1004))</f>
        <v/>
      </c>
      <c r="N121" s="66">
        <f>IF(OR($L121="",$M121=""),"",$M121-$L121)</f>
        <v/>
      </c>
      <c r="O121" s="84">
        <f>IF($B121="","",COUNTIFS(Task_Tracker!$F$5:$F$1004,$B121,Task_Tracker!$R$5:$R$1004,"Overdue"))</f>
        <v/>
      </c>
      <c r="P121" s="84">
        <f>IF($B121="","",COUNTIFS(Task_Tracker!$F$5:$F$1004,$B121,Task_Tracker!$S$5:$S$1004,TEXT(TODAY(),"yyyy-mm")))</f>
        <v/>
      </c>
      <c r="Q121" s="66">
        <f>IF($B121="","",SUMIFS(Task_Tracker!$O$5:$O$1004,Task_Tracker!$F$5:$F$1004,$B121,Task_Tracker!$S$5:$S$1004,TEXT(TODAY(),"yyyy-mm")))</f>
        <v/>
      </c>
      <c r="R121" s="86">
        <f>IFERROR($Q121/($F121*4),"")</f>
        <v/>
      </c>
    </row>
    <row r="122" ht="15" customHeight="1" s="40">
      <c r="A122" s="67">
        <f>Employee_Master!A122</f>
        <v/>
      </c>
      <c r="B122" s="67">
        <f>Employee_Master!B122</f>
        <v/>
      </c>
      <c r="C122" s="67">
        <f>Employee_Master!C122</f>
        <v/>
      </c>
      <c r="D122" s="67">
        <f>Employee_Master!D122</f>
        <v/>
      </c>
      <c r="E122" s="67">
        <f>Employee_Master!E122</f>
        <v/>
      </c>
      <c r="F122" s="87">
        <f>Employee_Master!H122</f>
        <v/>
      </c>
      <c r="G122" s="67">
        <f>Employee_Master!I122</f>
        <v/>
      </c>
      <c r="H122" s="84">
        <f>IF($B122="","",COUNTIF(Task_Tracker!$F$5:$F$1004,$B122))</f>
        <v/>
      </c>
      <c r="I122" s="84">
        <f>IF($B122="","",COUNTIFS(Task_Tracker!$F$5:$F$1004,$B122,Task_Tracker!$A$5:$A$1004,"&lt;&gt;",Task_Tracker!$I$5:$I$1004,"&lt;&gt;Completed",Task_Tracker!$I$5:$I$1004,"&lt;&gt;Cancelled"))</f>
        <v/>
      </c>
      <c r="J122" s="84">
        <f>IF($B122="","",COUNTIFS(Task_Tracker!$F$5:$F$1004,$B122,Task_Tracker!$I$5:$I$1004,"Completed"))</f>
        <v/>
      </c>
      <c r="K122" s="86">
        <f>IFERROR($J122/$H122,"")</f>
        <v/>
      </c>
      <c r="L122" s="66">
        <f>IF($B122="","",SUMIF(Task_Tracker!$F$5:$F$1004,$B122,Task_Tracker!$N$5:$N$1004))</f>
        <v/>
      </c>
      <c r="M122" s="66">
        <f>IF($B122="","",SUMIF(Task_Tracker!$F$5:$F$1004,$B122,Task_Tracker!$O$5:$O$1004))</f>
        <v/>
      </c>
      <c r="N122" s="66">
        <f>IF(OR($L122="",$M122=""),"",$M122-$L122)</f>
        <v/>
      </c>
      <c r="O122" s="84">
        <f>IF($B122="","",COUNTIFS(Task_Tracker!$F$5:$F$1004,$B122,Task_Tracker!$R$5:$R$1004,"Overdue"))</f>
        <v/>
      </c>
      <c r="P122" s="84">
        <f>IF($B122="","",COUNTIFS(Task_Tracker!$F$5:$F$1004,$B122,Task_Tracker!$S$5:$S$1004,TEXT(TODAY(),"yyyy-mm")))</f>
        <v/>
      </c>
      <c r="Q122" s="66">
        <f>IF($B122="","",SUMIFS(Task_Tracker!$O$5:$O$1004,Task_Tracker!$F$5:$F$1004,$B122,Task_Tracker!$S$5:$S$1004,TEXT(TODAY(),"yyyy-mm")))</f>
        <v/>
      </c>
      <c r="R122" s="86">
        <f>IFERROR($Q122/($F122*4),"")</f>
        <v/>
      </c>
    </row>
    <row r="123" ht="15" customHeight="1" s="40">
      <c r="A123" s="67">
        <f>Employee_Master!A123</f>
        <v/>
      </c>
      <c r="B123" s="67">
        <f>Employee_Master!B123</f>
        <v/>
      </c>
      <c r="C123" s="67">
        <f>Employee_Master!C123</f>
        <v/>
      </c>
      <c r="D123" s="67">
        <f>Employee_Master!D123</f>
        <v/>
      </c>
      <c r="E123" s="67">
        <f>Employee_Master!E123</f>
        <v/>
      </c>
      <c r="F123" s="87">
        <f>Employee_Master!H123</f>
        <v/>
      </c>
      <c r="G123" s="67">
        <f>Employee_Master!I123</f>
        <v/>
      </c>
      <c r="H123" s="84">
        <f>IF($B123="","",COUNTIF(Task_Tracker!$F$5:$F$1004,$B123))</f>
        <v/>
      </c>
      <c r="I123" s="84">
        <f>IF($B123="","",COUNTIFS(Task_Tracker!$F$5:$F$1004,$B123,Task_Tracker!$A$5:$A$1004,"&lt;&gt;",Task_Tracker!$I$5:$I$1004,"&lt;&gt;Completed",Task_Tracker!$I$5:$I$1004,"&lt;&gt;Cancelled"))</f>
        <v/>
      </c>
      <c r="J123" s="84">
        <f>IF($B123="","",COUNTIFS(Task_Tracker!$F$5:$F$1004,$B123,Task_Tracker!$I$5:$I$1004,"Completed"))</f>
        <v/>
      </c>
      <c r="K123" s="86">
        <f>IFERROR($J123/$H123,"")</f>
        <v/>
      </c>
      <c r="L123" s="66">
        <f>IF($B123="","",SUMIF(Task_Tracker!$F$5:$F$1004,$B123,Task_Tracker!$N$5:$N$1004))</f>
        <v/>
      </c>
      <c r="M123" s="66">
        <f>IF($B123="","",SUMIF(Task_Tracker!$F$5:$F$1004,$B123,Task_Tracker!$O$5:$O$1004))</f>
        <v/>
      </c>
      <c r="N123" s="66">
        <f>IF(OR($L123="",$M123=""),"",$M123-$L123)</f>
        <v/>
      </c>
      <c r="O123" s="84">
        <f>IF($B123="","",COUNTIFS(Task_Tracker!$F$5:$F$1004,$B123,Task_Tracker!$R$5:$R$1004,"Overdue"))</f>
        <v/>
      </c>
      <c r="P123" s="84">
        <f>IF($B123="","",COUNTIFS(Task_Tracker!$F$5:$F$1004,$B123,Task_Tracker!$S$5:$S$1004,TEXT(TODAY(),"yyyy-mm")))</f>
        <v/>
      </c>
      <c r="Q123" s="66">
        <f>IF($B123="","",SUMIFS(Task_Tracker!$O$5:$O$1004,Task_Tracker!$F$5:$F$1004,$B123,Task_Tracker!$S$5:$S$1004,TEXT(TODAY(),"yyyy-mm")))</f>
        <v/>
      </c>
      <c r="R123" s="86">
        <f>IFERROR($Q123/($F123*4),"")</f>
        <v/>
      </c>
    </row>
    <row r="124" ht="15" customHeight="1" s="40">
      <c r="A124" s="67">
        <f>Employee_Master!A124</f>
        <v/>
      </c>
      <c r="B124" s="67">
        <f>Employee_Master!B124</f>
        <v/>
      </c>
      <c r="C124" s="67">
        <f>Employee_Master!C124</f>
        <v/>
      </c>
      <c r="D124" s="67">
        <f>Employee_Master!D124</f>
        <v/>
      </c>
      <c r="E124" s="67">
        <f>Employee_Master!E124</f>
        <v/>
      </c>
      <c r="F124" s="87">
        <f>Employee_Master!H124</f>
        <v/>
      </c>
      <c r="G124" s="67">
        <f>Employee_Master!I124</f>
        <v/>
      </c>
      <c r="H124" s="84">
        <f>IF($B124="","",COUNTIF(Task_Tracker!$F$5:$F$1004,$B124))</f>
        <v/>
      </c>
      <c r="I124" s="84">
        <f>IF($B124="","",COUNTIFS(Task_Tracker!$F$5:$F$1004,$B124,Task_Tracker!$A$5:$A$1004,"&lt;&gt;",Task_Tracker!$I$5:$I$1004,"&lt;&gt;Completed",Task_Tracker!$I$5:$I$1004,"&lt;&gt;Cancelled"))</f>
        <v/>
      </c>
      <c r="J124" s="84">
        <f>IF($B124="","",COUNTIFS(Task_Tracker!$F$5:$F$1004,$B124,Task_Tracker!$I$5:$I$1004,"Completed"))</f>
        <v/>
      </c>
      <c r="K124" s="86">
        <f>IFERROR($J124/$H124,"")</f>
        <v/>
      </c>
      <c r="L124" s="66">
        <f>IF($B124="","",SUMIF(Task_Tracker!$F$5:$F$1004,$B124,Task_Tracker!$N$5:$N$1004))</f>
        <v/>
      </c>
      <c r="M124" s="66">
        <f>IF($B124="","",SUMIF(Task_Tracker!$F$5:$F$1004,$B124,Task_Tracker!$O$5:$O$1004))</f>
        <v/>
      </c>
      <c r="N124" s="66">
        <f>IF(OR($L124="",$M124=""),"",$M124-$L124)</f>
        <v/>
      </c>
      <c r="O124" s="84">
        <f>IF($B124="","",COUNTIFS(Task_Tracker!$F$5:$F$1004,$B124,Task_Tracker!$R$5:$R$1004,"Overdue"))</f>
        <v/>
      </c>
      <c r="P124" s="84">
        <f>IF($B124="","",COUNTIFS(Task_Tracker!$F$5:$F$1004,$B124,Task_Tracker!$S$5:$S$1004,TEXT(TODAY(),"yyyy-mm")))</f>
        <v/>
      </c>
      <c r="Q124" s="66">
        <f>IF($B124="","",SUMIFS(Task_Tracker!$O$5:$O$1004,Task_Tracker!$F$5:$F$1004,$B124,Task_Tracker!$S$5:$S$1004,TEXT(TODAY(),"yyyy-mm")))</f>
        <v/>
      </c>
      <c r="R124" s="86">
        <f>IFERROR($Q124/($F124*4),"")</f>
        <v/>
      </c>
    </row>
    <row r="125" ht="15" customHeight="1" s="40">
      <c r="A125" s="67">
        <f>Employee_Master!A125</f>
        <v/>
      </c>
      <c r="B125" s="67">
        <f>Employee_Master!B125</f>
        <v/>
      </c>
      <c r="C125" s="67">
        <f>Employee_Master!C125</f>
        <v/>
      </c>
      <c r="D125" s="67">
        <f>Employee_Master!D125</f>
        <v/>
      </c>
      <c r="E125" s="67">
        <f>Employee_Master!E125</f>
        <v/>
      </c>
      <c r="F125" s="87">
        <f>Employee_Master!H125</f>
        <v/>
      </c>
      <c r="G125" s="67">
        <f>Employee_Master!I125</f>
        <v/>
      </c>
      <c r="H125" s="84">
        <f>IF($B125="","",COUNTIF(Task_Tracker!$F$5:$F$1004,$B125))</f>
        <v/>
      </c>
      <c r="I125" s="84">
        <f>IF($B125="","",COUNTIFS(Task_Tracker!$F$5:$F$1004,$B125,Task_Tracker!$A$5:$A$1004,"&lt;&gt;",Task_Tracker!$I$5:$I$1004,"&lt;&gt;Completed",Task_Tracker!$I$5:$I$1004,"&lt;&gt;Cancelled"))</f>
        <v/>
      </c>
      <c r="J125" s="84">
        <f>IF($B125="","",COUNTIFS(Task_Tracker!$F$5:$F$1004,$B125,Task_Tracker!$I$5:$I$1004,"Completed"))</f>
        <v/>
      </c>
      <c r="K125" s="86">
        <f>IFERROR($J125/$H125,"")</f>
        <v/>
      </c>
      <c r="L125" s="66">
        <f>IF($B125="","",SUMIF(Task_Tracker!$F$5:$F$1004,$B125,Task_Tracker!$N$5:$N$1004))</f>
        <v/>
      </c>
      <c r="M125" s="66">
        <f>IF($B125="","",SUMIF(Task_Tracker!$F$5:$F$1004,$B125,Task_Tracker!$O$5:$O$1004))</f>
        <v/>
      </c>
      <c r="N125" s="66">
        <f>IF(OR($L125="",$M125=""),"",$M125-$L125)</f>
        <v/>
      </c>
      <c r="O125" s="84">
        <f>IF($B125="","",COUNTIFS(Task_Tracker!$F$5:$F$1004,$B125,Task_Tracker!$R$5:$R$1004,"Overdue"))</f>
        <v/>
      </c>
      <c r="P125" s="84">
        <f>IF($B125="","",COUNTIFS(Task_Tracker!$F$5:$F$1004,$B125,Task_Tracker!$S$5:$S$1004,TEXT(TODAY(),"yyyy-mm")))</f>
        <v/>
      </c>
      <c r="Q125" s="66">
        <f>IF($B125="","",SUMIFS(Task_Tracker!$O$5:$O$1004,Task_Tracker!$F$5:$F$1004,$B125,Task_Tracker!$S$5:$S$1004,TEXT(TODAY(),"yyyy-mm")))</f>
        <v/>
      </c>
      <c r="R125" s="86">
        <f>IFERROR($Q125/($F125*4),"")</f>
        <v/>
      </c>
    </row>
    <row r="126" ht="15" customHeight="1" s="40">
      <c r="A126" s="67">
        <f>Employee_Master!A126</f>
        <v/>
      </c>
      <c r="B126" s="67">
        <f>Employee_Master!B126</f>
        <v/>
      </c>
      <c r="C126" s="67">
        <f>Employee_Master!C126</f>
        <v/>
      </c>
      <c r="D126" s="67">
        <f>Employee_Master!D126</f>
        <v/>
      </c>
      <c r="E126" s="67">
        <f>Employee_Master!E126</f>
        <v/>
      </c>
      <c r="F126" s="87">
        <f>Employee_Master!H126</f>
        <v/>
      </c>
      <c r="G126" s="67">
        <f>Employee_Master!I126</f>
        <v/>
      </c>
      <c r="H126" s="84">
        <f>IF($B126="","",COUNTIF(Task_Tracker!$F$5:$F$1004,$B126))</f>
        <v/>
      </c>
      <c r="I126" s="84">
        <f>IF($B126="","",COUNTIFS(Task_Tracker!$F$5:$F$1004,$B126,Task_Tracker!$A$5:$A$1004,"&lt;&gt;",Task_Tracker!$I$5:$I$1004,"&lt;&gt;Completed",Task_Tracker!$I$5:$I$1004,"&lt;&gt;Cancelled"))</f>
        <v/>
      </c>
      <c r="J126" s="84">
        <f>IF($B126="","",COUNTIFS(Task_Tracker!$F$5:$F$1004,$B126,Task_Tracker!$I$5:$I$1004,"Completed"))</f>
        <v/>
      </c>
      <c r="K126" s="86">
        <f>IFERROR($J126/$H126,"")</f>
        <v/>
      </c>
      <c r="L126" s="66">
        <f>IF($B126="","",SUMIF(Task_Tracker!$F$5:$F$1004,$B126,Task_Tracker!$N$5:$N$1004))</f>
        <v/>
      </c>
      <c r="M126" s="66">
        <f>IF($B126="","",SUMIF(Task_Tracker!$F$5:$F$1004,$B126,Task_Tracker!$O$5:$O$1004))</f>
        <v/>
      </c>
      <c r="N126" s="66">
        <f>IF(OR($L126="",$M126=""),"",$M126-$L126)</f>
        <v/>
      </c>
      <c r="O126" s="84">
        <f>IF($B126="","",COUNTIFS(Task_Tracker!$F$5:$F$1004,$B126,Task_Tracker!$R$5:$R$1004,"Overdue"))</f>
        <v/>
      </c>
      <c r="P126" s="84">
        <f>IF($B126="","",COUNTIFS(Task_Tracker!$F$5:$F$1004,$B126,Task_Tracker!$S$5:$S$1004,TEXT(TODAY(),"yyyy-mm")))</f>
        <v/>
      </c>
      <c r="Q126" s="66">
        <f>IF($B126="","",SUMIFS(Task_Tracker!$O$5:$O$1004,Task_Tracker!$F$5:$F$1004,$B126,Task_Tracker!$S$5:$S$1004,TEXT(TODAY(),"yyyy-mm")))</f>
        <v/>
      </c>
      <c r="R126" s="86">
        <f>IFERROR($Q126/($F126*4),"")</f>
        <v/>
      </c>
    </row>
    <row r="127" ht="15" customHeight="1" s="40">
      <c r="A127" s="67">
        <f>Employee_Master!A127</f>
        <v/>
      </c>
      <c r="B127" s="67">
        <f>Employee_Master!B127</f>
        <v/>
      </c>
      <c r="C127" s="67">
        <f>Employee_Master!C127</f>
        <v/>
      </c>
      <c r="D127" s="67">
        <f>Employee_Master!D127</f>
        <v/>
      </c>
      <c r="E127" s="67">
        <f>Employee_Master!E127</f>
        <v/>
      </c>
      <c r="F127" s="87">
        <f>Employee_Master!H127</f>
        <v/>
      </c>
      <c r="G127" s="67">
        <f>Employee_Master!I127</f>
        <v/>
      </c>
      <c r="H127" s="84">
        <f>IF($B127="","",COUNTIF(Task_Tracker!$F$5:$F$1004,$B127))</f>
        <v/>
      </c>
      <c r="I127" s="84">
        <f>IF($B127="","",COUNTIFS(Task_Tracker!$F$5:$F$1004,$B127,Task_Tracker!$A$5:$A$1004,"&lt;&gt;",Task_Tracker!$I$5:$I$1004,"&lt;&gt;Completed",Task_Tracker!$I$5:$I$1004,"&lt;&gt;Cancelled"))</f>
        <v/>
      </c>
      <c r="J127" s="84">
        <f>IF($B127="","",COUNTIFS(Task_Tracker!$F$5:$F$1004,$B127,Task_Tracker!$I$5:$I$1004,"Completed"))</f>
        <v/>
      </c>
      <c r="K127" s="86">
        <f>IFERROR($J127/$H127,"")</f>
        <v/>
      </c>
      <c r="L127" s="66">
        <f>IF($B127="","",SUMIF(Task_Tracker!$F$5:$F$1004,$B127,Task_Tracker!$N$5:$N$1004))</f>
        <v/>
      </c>
      <c r="M127" s="66">
        <f>IF($B127="","",SUMIF(Task_Tracker!$F$5:$F$1004,$B127,Task_Tracker!$O$5:$O$1004))</f>
        <v/>
      </c>
      <c r="N127" s="66">
        <f>IF(OR($L127="",$M127=""),"",$M127-$L127)</f>
        <v/>
      </c>
      <c r="O127" s="84">
        <f>IF($B127="","",COUNTIFS(Task_Tracker!$F$5:$F$1004,$B127,Task_Tracker!$R$5:$R$1004,"Overdue"))</f>
        <v/>
      </c>
      <c r="P127" s="84">
        <f>IF($B127="","",COUNTIFS(Task_Tracker!$F$5:$F$1004,$B127,Task_Tracker!$S$5:$S$1004,TEXT(TODAY(),"yyyy-mm")))</f>
        <v/>
      </c>
      <c r="Q127" s="66">
        <f>IF($B127="","",SUMIFS(Task_Tracker!$O$5:$O$1004,Task_Tracker!$F$5:$F$1004,$B127,Task_Tracker!$S$5:$S$1004,TEXT(TODAY(),"yyyy-mm")))</f>
        <v/>
      </c>
      <c r="R127" s="86">
        <f>IFERROR($Q127/($F127*4),"")</f>
        <v/>
      </c>
    </row>
    <row r="128" ht="15" customHeight="1" s="40">
      <c r="A128" s="67">
        <f>Employee_Master!A128</f>
        <v/>
      </c>
      <c r="B128" s="67">
        <f>Employee_Master!B128</f>
        <v/>
      </c>
      <c r="C128" s="67">
        <f>Employee_Master!C128</f>
        <v/>
      </c>
      <c r="D128" s="67">
        <f>Employee_Master!D128</f>
        <v/>
      </c>
      <c r="E128" s="67">
        <f>Employee_Master!E128</f>
        <v/>
      </c>
      <c r="F128" s="87">
        <f>Employee_Master!H128</f>
        <v/>
      </c>
      <c r="G128" s="67">
        <f>Employee_Master!I128</f>
        <v/>
      </c>
      <c r="H128" s="84">
        <f>IF($B128="","",COUNTIF(Task_Tracker!$F$5:$F$1004,$B128))</f>
        <v/>
      </c>
      <c r="I128" s="84">
        <f>IF($B128="","",COUNTIFS(Task_Tracker!$F$5:$F$1004,$B128,Task_Tracker!$A$5:$A$1004,"&lt;&gt;",Task_Tracker!$I$5:$I$1004,"&lt;&gt;Completed",Task_Tracker!$I$5:$I$1004,"&lt;&gt;Cancelled"))</f>
        <v/>
      </c>
      <c r="J128" s="84">
        <f>IF($B128="","",COUNTIFS(Task_Tracker!$F$5:$F$1004,$B128,Task_Tracker!$I$5:$I$1004,"Completed"))</f>
        <v/>
      </c>
      <c r="K128" s="86">
        <f>IFERROR($J128/$H128,"")</f>
        <v/>
      </c>
      <c r="L128" s="66">
        <f>IF($B128="","",SUMIF(Task_Tracker!$F$5:$F$1004,$B128,Task_Tracker!$N$5:$N$1004))</f>
        <v/>
      </c>
      <c r="M128" s="66">
        <f>IF($B128="","",SUMIF(Task_Tracker!$F$5:$F$1004,$B128,Task_Tracker!$O$5:$O$1004))</f>
        <v/>
      </c>
      <c r="N128" s="66">
        <f>IF(OR($L128="",$M128=""),"",$M128-$L128)</f>
        <v/>
      </c>
      <c r="O128" s="84">
        <f>IF($B128="","",COUNTIFS(Task_Tracker!$F$5:$F$1004,$B128,Task_Tracker!$R$5:$R$1004,"Overdue"))</f>
        <v/>
      </c>
      <c r="P128" s="84">
        <f>IF($B128="","",COUNTIFS(Task_Tracker!$F$5:$F$1004,$B128,Task_Tracker!$S$5:$S$1004,TEXT(TODAY(),"yyyy-mm")))</f>
        <v/>
      </c>
      <c r="Q128" s="66">
        <f>IF($B128="","",SUMIFS(Task_Tracker!$O$5:$O$1004,Task_Tracker!$F$5:$F$1004,$B128,Task_Tracker!$S$5:$S$1004,TEXT(TODAY(),"yyyy-mm")))</f>
        <v/>
      </c>
      <c r="R128" s="86">
        <f>IFERROR($Q128/($F128*4),"")</f>
        <v/>
      </c>
    </row>
    <row r="129" ht="15" customHeight="1" s="40">
      <c r="A129" s="67">
        <f>Employee_Master!A129</f>
        <v/>
      </c>
      <c r="B129" s="67">
        <f>Employee_Master!B129</f>
        <v/>
      </c>
      <c r="C129" s="67">
        <f>Employee_Master!C129</f>
        <v/>
      </c>
      <c r="D129" s="67">
        <f>Employee_Master!D129</f>
        <v/>
      </c>
      <c r="E129" s="67">
        <f>Employee_Master!E129</f>
        <v/>
      </c>
      <c r="F129" s="87">
        <f>Employee_Master!H129</f>
        <v/>
      </c>
      <c r="G129" s="67">
        <f>Employee_Master!I129</f>
        <v/>
      </c>
      <c r="H129" s="84">
        <f>IF($B129="","",COUNTIF(Task_Tracker!$F$5:$F$1004,$B129))</f>
        <v/>
      </c>
      <c r="I129" s="84">
        <f>IF($B129="","",COUNTIFS(Task_Tracker!$F$5:$F$1004,$B129,Task_Tracker!$A$5:$A$1004,"&lt;&gt;",Task_Tracker!$I$5:$I$1004,"&lt;&gt;Completed",Task_Tracker!$I$5:$I$1004,"&lt;&gt;Cancelled"))</f>
        <v/>
      </c>
      <c r="J129" s="84">
        <f>IF($B129="","",COUNTIFS(Task_Tracker!$F$5:$F$1004,$B129,Task_Tracker!$I$5:$I$1004,"Completed"))</f>
        <v/>
      </c>
      <c r="K129" s="86">
        <f>IFERROR($J129/$H129,"")</f>
        <v/>
      </c>
      <c r="L129" s="66">
        <f>IF($B129="","",SUMIF(Task_Tracker!$F$5:$F$1004,$B129,Task_Tracker!$N$5:$N$1004))</f>
        <v/>
      </c>
      <c r="M129" s="66">
        <f>IF($B129="","",SUMIF(Task_Tracker!$F$5:$F$1004,$B129,Task_Tracker!$O$5:$O$1004))</f>
        <v/>
      </c>
      <c r="N129" s="66">
        <f>IF(OR($L129="",$M129=""),"",$M129-$L129)</f>
        <v/>
      </c>
      <c r="O129" s="84">
        <f>IF($B129="","",COUNTIFS(Task_Tracker!$F$5:$F$1004,$B129,Task_Tracker!$R$5:$R$1004,"Overdue"))</f>
        <v/>
      </c>
      <c r="P129" s="84">
        <f>IF($B129="","",COUNTIFS(Task_Tracker!$F$5:$F$1004,$B129,Task_Tracker!$S$5:$S$1004,TEXT(TODAY(),"yyyy-mm")))</f>
        <v/>
      </c>
      <c r="Q129" s="66">
        <f>IF($B129="","",SUMIFS(Task_Tracker!$O$5:$O$1004,Task_Tracker!$F$5:$F$1004,$B129,Task_Tracker!$S$5:$S$1004,TEXT(TODAY(),"yyyy-mm")))</f>
        <v/>
      </c>
      <c r="R129" s="86">
        <f>IFERROR($Q129/($F129*4),"")</f>
        <v/>
      </c>
    </row>
    <row r="130" ht="15" customHeight="1" s="40">
      <c r="A130" s="67">
        <f>Employee_Master!A130</f>
        <v/>
      </c>
      <c r="B130" s="67">
        <f>Employee_Master!B130</f>
        <v/>
      </c>
      <c r="C130" s="67">
        <f>Employee_Master!C130</f>
        <v/>
      </c>
      <c r="D130" s="67">
        <f>Employee_Master!D130</f>
        <v/>
      </c>
      <c r="E130" s="67">
        <f>Employee_Master!E130</f>
        <v/>
      </c>
      <c r="F130" s="87">
        <f>Employee_Master!H130</f>
        <v/>
      </c>
      <c r="G130" s="67">
        <f>Employee_Master!I130</f>
        <v/>
      </c>
      <c r="H130" s="84">
        <f>IF($B130="","",COUNTIF(Task_Tracker!$F$5:$F$1004,$B130))</f>
        <v/>
      </c>
      <c r="I130" s="84">
        <f>IF($B130="","",COUNTIFS(Task_Tracker!$F$5:$F$1004,$B130,Task_Tracker!$A$5:$A$1004,"&lt;&gt;",Task_Tracker!$I$5:$I$1004,"&lt;&gt;Completed",Task_Tracker!$I$5:$I$1004,"&lt;&gt;Cancelled"))</f>
        <v/>
      </c>
      <c r="J130" s="84">
        <f>IF($B130="","",COUNTIFS(Task_Tracker!$F$5:$F$1004,$B130,Task_Tracker!$I$5:$I$1004,"Completed"))</f>
        <v/>
      </c>
      <c r="K130" s="86">
        <f>IFERROR($J130/$H130,"")</f>
        <v/>
      </c>
      <c r="L130" s="66">
        <f>IF($B130="","",SUMIF(Task_Tracker!$F$5:$F$1004,$B130,Task_Tracker!$N$5:$N$1004))</f>
        <v/>
      </c>
      <c r="M130" s="66">
        <f>IF($B130="","",SUMIF(Task_Tracker!$F$5:$F$1004,$B130,Task_Tracker!$O$5:$O$1004))</f>
        <v/>
      </c>
      <c r="N130" s="66">
        <f>IF(OR($L130="",$M130=""),"",$M130-$L130)</f>
        <v/>
      </c>
      <c r="O130" s="84">
        <f>IF($B130="","",COUNTIFS(Task_Tracker!$F$5:$F$1004,$B130,Task_Tracker!$R$5:$R$1004,"Overdue"))</f>
        <v/>
      </c>
      <c r="P130" s="84">
        <f>IF($B130="","",COUNTIFS(Task_Tracker!$F$5:$F$1004,$B130,Task_Tracker!$S$5:$S$1004,TEXT(TODAY(),"yyyy-mm")))</f>
        <v/>
      </c>
      <c r="Q130" s="66">
        <f>IF($B130="","",SUMIFS(Task_Tracker!$O$5:$O$1004,Task_Tracker!$F$5:$F$1004,$B130,Task_Tracker!$S$5:$S$1004,TEXT(TODAY(),"yyyy-mm")))</f>
        <v/>
      </c>
      <c r="R130" s="86">
        <f>IFERROR($Q130/($F130*4),"")</f>
        <v/>
      </c>
    </row>
    <row r="131" ht="15" customHeight="1" s="40">
      <c r="A131" s="67">
        <f>Employee_Master!A131</f>
        <v/>
      </c>
      <c r="B131" s="67">
        <f>Employee_Master!B131</f>
        <v/>
      </c>
      <c r="C131" s="67">
        <f>Employee_Master!C131</f>
        <v/>
      </c>
      <c r="D131" s="67">
        <f>Employee_Master!D131</f>
        <v/>
      </c>
      <c r="E131" s="67">
        <f>Employee_Master!E131</f>
        <v/>
      </c>
      <c r="F131" s="87">
        <f>Employee_Master!H131</f>
        <v/>
      </c>
      <c r="G131" s="67">
        <f>Employee_Master!I131</f>
        <v/>
      </c>
      <c r="H131" s="84">
        <f>IF($B131="","",COUNTIF(Task_Tracker!$F$5:$F$1004,$B131))</f>
        <v/>
      </c>
      <c r="I131" s="84">
        <f>IF($B131="","",COUNTIFS(Task_Tracker!$F$5:$F$1004,$B131,Task_Tracker!$A$5:$A$1004,"&lt;&gt;",Task_Tracker!$I$5:$I$1004,"&lt;&gt;Completed",Task_Tracker!$I$5:$I$1004,"&lt;&gt;Cancelled"))</f>
        <v/>
      </c>
      <c r="J131" s="84">
        <f>IF($B131="","",COUNTIFS(Task_Tracker!$F$5:$F$1004,$B131,Task_Tracker!$I$5:$I$1004,"Completed"))</f>
        <v/>
      </c>
      <c r="K131" s="86">
        <f>IFERROR($J131/$H131,"")</f>
        <v/>
      </c>
      <c r="L131" s="66">
        <f>IF($B131="","",SUMIF(Task_Tracker!$F$5:$F$1004,$B131,Task_Tracker!$N$5:$N$1004))</f>
        <v/>
      </c>
      <c r="M131" s="66">
        <f>IF($B131="","",SUMIF(Task_Tracker!$F$5:$F$1004,$B131,Task_Tracker!$O$5:$O$1004))</f>
        <v/>
      </c>
      <c r="N131" s="66">
        <f>IF(OR($L131="",$M131=""),"",$M131-$L131)</f>
        <v/>
      </c>
      <c r="O131" s="84">
        <f>IF($B131="","",COUNTIFS(Task_Tracker!$F$5:$F$1004,$B131,Task_Tracker!$R$5:$R$1004,"Overdue"))</f>
        <v/>
      </c>
      <c r="P131" s="84">
        <f>IF($B131="","",COUNTIFS(Task_Tracker!$F$5:$F$1004,$B131,Task_Tracker!$S$5:$S$1004,TEXT(TODAY(),"yyyy-mm")))</f>
        <v/>
      </c>
      <c r="Q131" s="66">
        <f>IF($B131="","",SUMIFS(Task_Tracker!$O$5:$O$1004,Task_Tracker!$F$5:$F$1004,$B131,Task_Tracker!$S$5:$S$1004,TEXT(TODAY(),"yyyy-mm")))</f>
        <v/>
      </c>
      <c r="R131" s="86">
        <f>IFERROR($Q131/($F131*4),"")</f>
        <v/>
      </c>
    </row>
    <row r="132" ht="15" customHeight="1" s="40">
      <c r="A132" s="67">
        <f>Employee_Master!A132</f>
        <v/>
      </c>
      <c r="B132" s="67">
        <f>Employee_Master!B132</f>
        <v/>
      </c>
      <c r="C132" s="67">
        <f>Employee_Master!C132</f>
        <v/>
      </c>
      <c r="D132" s="67">
        <f>Employee_Master!D132</f>
        <v/>
      </c>
      <c r="E132" s="67">
        <f>Employee_Master!E132</f>
        <v/>
      </c>
      <c r="F132" s="87">
        <f>Employee_Master!H132</f>
        <v/>
      </c>
      <c r="G132" s="67">
        <f>Employee_Master!I132</f>
        <v/>
      </c>
      <c r="H132" s="84">
        <f>IF($B132="","",COUNTIF(Task_Tracker!$F$5:$F$1004,$B132))</f>
        <v/>
      </c>
      <c r="I132" s="84">
        <f>IF($B132="","",COUNTIFS(Task_Tracker!$F$5:$F$1004,$B132,Task_Tracker!$A$5:$A$1004,"&lt;&gt;",Task_Tracker!$I$5:$I$1004,"&lt;&gt;Completed",Task_Tracker!$I$5:$I$1004,"&lt;&gt;Cancelled"))</f>
        <v/>
      </c>
      <c r="J132" s="84">
        <f>IF($B132="","",COUNTIFS(Task_Tracker!$F$5:$F$1004,$B132,Task_Tracker!$I$5:$I$1004,"Completed"))</f>
        <v/>
      </c>
      <c r="K132" s="86">
        <f>IFERROR($J132/$H132,"")</f>
        <v/>
      </c>
      <c r="L132" s="66">
        <f>IF($B132="","",SUMIF(Task_Tracker!$F$5:$F$1004,$B132,Task_Tracker!$N$5:$N$1004))</f>
        <v/>
      </c>
      <c r="M132" s="66">
        <f>IF($B132="","",SUMIF(Task_Tracker!$F$5:$F$1004,$B132,Task_Tracker!$O$5:$O$1004))</f>
        <v/>
      </c>
      <c r="N132" s="66">
        <f>IF(OR($L132="",$M132=""),"",$M132-$L132)</f>
        <v/>
      </c>
      <c r="O132" s="84">
        <f>IF($B132="","",COUNTIFS(Task_Tracker!$F$5:$F$1004,$B132,Task_Tracker!$R$5:$R$1004,"Overdue"))</f>
        <v/>
      </c>
      <c r="P132" s="84">
        <f>IF($B132="","",COUNTIFS(Task_Tracker!$F$5:$F$1004,$B132,Task_Tracker!$S$5:$S$1004,TEXT(TODAY(),"yyyy-mm")))</f>
        <v/>
      </c>
      <c r="Q132" s="66">
        <f>IF($B132="","",SUMIFS(Task_Tracker!$O$5:$O$1004,Task_Tracker!$F$5:$F$1004,$B132,Task_Tracker!$S$5:$S$1004,TEXT(TODAY(),"yyyy-mm")))</f>
        <v/>
      </c>
      <c r="R132" s="86">
        <f>IFERROR($Q132/($F132*4),"")</f>
        <v/>
      </c>
    </row>
    <row r="133" ht="15" customHeight="1" s="40">
      <c r="A133" s="67">
        <f>Employee_Master!A133</f>
        <v/>
      </c>
      <c r="B133" s="67">
        <f>Employee_Master!B133</f>
        <v/>
      </c>
      <c r="C133" s="67">
        <f>Employee_Master!C133</f>
        <v/>
      </c>
      <c r="D133" s="67">
        <f>Employee_Master!D133</f>
        <v/>
      </c>
      <c r="E133" s="67">
        <f>Employee_Master!E133</f>
        <v/>
      </c>
      <c r="F133" s="87">
        <f>Employee_Master!H133</f>
        <v/>
      </c>
      <c r="G133" s="67">
        <f>Employee_Master!I133</f>
        <v/>
      </c>
      <c r="H133" s="84">
        <f>IF($B133="","",COUNTIF(Task_Tracker!$F$5:$F$1004,$B133))</f>
        <v/>
      </c>
      <c r="I133" s="84">
        <f>IF($B133="","",COUNTIFS(Task_Tracker!$F$5:$F$1004,$B133,Task_Tracker!$A$5:$A$1004,"&lt;&gt;",Task_Tracker!$I$5:$I$1004,"&lt;&gt;Completed",Task_Tracker!$I$5:$I$1004,"&lt;&gt;Cancelled"))</f>
        <v/>
      </c>
      <c r="J133" s="84">
        <f>IF($B133="","",COUNTIFS(Task_Tracker!$F$5:$F$1004,$B133,Task_Tracker!$I$5:$I$1004,"Completed"))</f>
        <v/>
      </c>
      <c r="K133" s="86">
        <f>IFERROR($J133/$H133,"")</f>
        <v/>
      </c>
      <c r="L133" s="66">
        <f>IF($B133="","",SUMIF(Task_Tracker!$F$5:$F$1004,$B133,Task_Tracker!$N$5:$N$1004))</f>
        <v/>
      </c>
      <c r="M133" s="66">
        <f>IF($B133="","",SUMIF(Task_Tracker!$F$5:$F$1004,$B133,Task_Tracker!$O$5:$O$1004))</f>
        <v/>
      </c>
      <c r="N133" s="66">
        <f>IF(OR($L133="",$M133=""),"",$M133-$L133)</f>
        <v/>
      </c>
      <c r="O133" s="84">
        <f>IF($B133="","",COUNTIFS(Task_Tracker!$F$5:$F$1004,$B133,Task_Tracker!$R$5:$R$1004,"Overdue"))</f>
        <v/>
      </c>
      <c r="P133" s="84">
        <f>IF($B133="","",COUNTIFS(Task_Tracker!$F$5:$F$1004,$B133,Task_Tracker!$S$5:$S$1004,TEXT(TODAY(),"yyyy-mm")))</f>
        <v/>
      </c>
      <c r="Q133" s="66">
        <f>IF($B133="","",SUMIFS(Task_Tracker!$O$5:$O$1004,Task_Tracker!$F$5:$F$1004,$B133,Task_Tracker!$S$5:$S$1004,TEXT(TODAY(),"yyyy-mm")))</f>
        <v/>
      </c>
      <c r="R133" s="86">
        <f>IFERROR($Q133/($F133*4),"")</f>
        <v/>
      </c>
    </row>
    <row r="134" ht="15" customHeight="1" s="40">
      <c r="A134" s="67">
        <f>Employee_Master!A134</f>
        <v/>
      </c>
      <c r="B134" s="67">
        <f>Employee_Master!B134</f>
        <v/>
      </c>
      <c r="C134" s="67">
        <f>Employee_Master!C134</f>
        <v/>
      </c>
      <c r="D134" s="67">
        <f>Employee_Master!D134</f>
        <v/>
      </c>
      <c r="E134" s="67">
        <f>Employee_Master!E134</f>
        <v/>
      </c>
      <c r="F134" s="87">
        <f>Employee_Master!H134</f>
        <v/>
      </c>
      <c r="G134" s="67">
        <f>Employee_Master!I134</f>
        <v/>
      </c>
      <c r="H134" s="84">
        <f>IF($B134="","",COUNTIF(Task_Tracker!$F$5:$F$1004,$B134))</f>
        <v/>
      </c>
      <c r="I134" s="84">
        <f>IF($B134="","",COUNTIFS(Task_Tracker!$F$5:$F$1004,$B134,Task_Tracker!$A$5:$A$1004,"&lt;&gt;",Task_Tracker!$I$5:$I$1004,"&lt;&gt;Completed",Task_Tracker!$I$5:$I$1004,"&lt;&gt;Cancelled"))</f>
        <v/>
      </c>
      <c r="J134" s="84">
        <f>IF($B134="","",COUNTIFS(Task_Tracker!$F$5:$F$1004,$B134,Task_Tracker!$I$5:$I$1004,"Completed"))</f>
        <v/>
      </c>
      <c r="K134" s="86">
        <f>IFERROR($J134/$H134,"")</f>
        <v/>
      </c>
      <c r="L134" s="66">
        <f>IF($B134="","",SUMIF(Task_Tracker!$F$5:$F$1004,$B134,Task_Tracker!$N$5:$N$1004))</f>
        <v/>
      </c>
      <c r="M134" s="66">
        <f>IF($B134="","",SUMIF(Task_Tracker!$F$5:$F$1004,$B134,Task_Tracker!$O$5:$O$1004))</f>
        <v/>
      </c>
      <c r="N134" s="66">
        <f>IF(OR($L134="",$M134=""),"",$M134-$L134)</f>
        <v/>
      </c>
      <c r="O134" s="84">
        <f>IF($B134="","",COUNTIFS(Task_Tracker!$F$5:$F$1004,$B134,Task_Tracker!$R$5:$R$1004,"Overdue"))</f>
        <v/>
      </c>
      <c r="P134" s="84">
        <f>IF($B134="","",COUNTIFS(Task_Tracker!$F$5:$F$1004,$B134,Task_Tracker!$S$5:$S$1004,TEXT(TODAY(),"yyyy-mm")))</f>
        <v/>
      </c>
      <c r="Q134" s="66">
        <f>IF($B134="","",SUMIFS(Task_Tracker!$O$5:$O$1004,Task_Tracker!$F$5:$F$1004,$B134,Task_Tracker!$S$5:$S$1004,TEXT(TODAY(),"yyyy-mm")))</f>
        <v/>
      </c>
      <c r="R134" s="86">
        <f>IFERROR($Q134/($F134*4),"")</f>
        <v/>
      </c>
    </row>
    <row r="135" ht="15" customHeight="1" s="40">
      <c r="A135" s="67">
        <f>Employee_Master!A135</f>
        <v/>
      </c>
      <c r="B135" s="67">
        <f>Employee_Master!B135</f>
        <v/>
      </c>
      <c r="C135" s="67">
        <f>Employee_Master!C135</f>
        <v/>
      </c>
      <c r="D135" s="67">
        <f>Employee_Master!D135</f>
        <v/>
      </c>
      <c r="E135" s="67">
        <f>Employee_Master!E135</f>
        <v/>
      </c>
      <c r="F135" s="87">
        <f>Employee_Master!H135</f>
        <v/>
      </c>
      <c r="G135" s="67">
        <f>Employee_Master!I135</f>
        <v/>
      </c>
      <c r="H135" s="84">
        <f>IF($B135="","",COUNTIF(Task_Tracker!$F$5:$F$1004,$B135))</f>
        <v/>
      </c>
      <c r="I135" s="84">
        <f>IF($B135="","",COUNTIFS(Task_Tracker!$F$5:$F$1004,$B135,Task_Tracker!$A$5:$A$1004,"&lt;&gt;",Task_Tracker!$I$5:$I$1004,"&lt;&gt;Completed",Task_Tracker!$I$5:$I$1004,"&lt;&gt;Cancelled"))</f>
        <v/>
      </c>
      <c r="J135" s="84">
        <f>IF($B135="","",COUNTIFS(Task_Tracker!$F$5:$F$1004,$B135,Task_Tracker!$I$5:$I$1004,"Completed"))</f>
        <v/>
      </c>
      <c r="K135" s="86">
        <f>IFERROR($J135/$H135,"")</f>
        <v/>
      </c>
      <c r="L135" s="66">
        <f>IF($B135="","",SUMIF(Task_Tracker!$F$5:$F$1004,$B135,Task_Tracker!$N$5:$N$1004))</f>
        <v/>
      </c>
      <c r="M135" s="66">
        <f>IF($B135="","",SUMIF(Task_Tracker!$F$5:$F$1004,$B135,Task_Tracker!$O$5:$O$1004))</f>
        <v/>
      </c>
      <c r="N135" s="66">
        <f>IF(OR($L135="",$M135=""),"",$M135-$L135)</f>
        <v/>
      </c>
      <c r="O135" s="84">
        <f>IF($B135="","",COUNTIFS(Task_Tracker!$F$5:$F$1004,$B135,Task_Tracker!$R$5:$R$1004,"Overdue"))</f>
        <v/>
      </c>
      <c r="P135" s="84">
        <f>IF($B135="","",COUNTIFS(Task_Tracker!$F$5:$F$1004,$B135,Task_Tracker!$S$5:$S$1004,TEXT(TODAY(),"yyyy-mm")))</f>
        <v/>
      </c>
      <c r="Q135" s="66">
        <f>IF($B135="","",SUMIFS(Task_Tracker!$O$5:$O$1004,Task_Tracker!$F$5:$F$1004,$B135,Task_Tracker!$S$5:$S$1004,TEXT(TODAY(),"yyyy-mm")))</f>
        <v/>
      </c>
      <c r="R135" s="86">
        <f>IFERROR($Q135/($F135*4),"")</f>
        <v/>
      </c>
    </row>
    <row r="136" ht="15" customHeight="1" s="40">
      <c r="A136" s="67">
        <f>Employee_Master!A136</f>
        <v/>
      </c>
      <c r="B136" s="67">
        <f>Employee_Master!B136</f>
        <v/>
      </c>
      <c r="C136" s="67">
        <f>Employee_Master!C136</f>
        <v/>
      </c>
      <c r="D136" s="67">
        <f>Employee_Master!D136</f>
        <v/>
      </c>
      <c r="E136" s="67">
        <f>Employee_Master!E136</f>
        <v/>
      </c>
      <c r="F136" s="87">
        <f>Employee_Master!H136</f>
        <v/>
      </c>
      <c r="G136" s="67">
        <f>Employee_Master!I136</f>
        <v/>
      </c>
      <c r="H136" s="84">
        <f>IF($B136="","",COUNTIF(Task_Tracker!$F$5:$F$1004,$B136))</f>
        <v/>
      </c>
      <c r="I136" s="84">
        <f>IF($B136="","",COUNTIFS(Task_Tracker!$F$5:$F$1004,$B136,Task_Tracker!$A$5:$A$1004,"&lt;&gt;",Task_Tracker!$I$5:$I$1004,"&lt;&gt;Completed",Task_Tracker!$I$5:$I$1004,"&lt;&gt;Cancelled"))</f>
        <v/>
      </c>
      <c r="J136" s="84">
        <f>IF($B136="","",COUNTIFS(Task_Tracker!$F$5:$F$1004,$B136,Task_Tracker!$I$5:$I$1004,"Completed"))</f>
        <v/>
      </c>
      <c r="K136" s="86">
        <f>IFERROR($J136/$H136,"")</f>
        <v/>
      </c>
      <c r="L136" s="66">
        <f>IF($B136="","",SUMIF(Task_Tracker!$F$5:$F$1004,$B136,Task_Tracker!$N$5:$N$1004))</f>
        <v/>
      </c>
      <c r="M136" s="66">
        <f>IF($B136="","",SUMIF(Task_Tracker!$F$5:$F$1004,$B136,Task_Tracker!$O$5:$O$1004))</f>
        <v/>
      </c>
      <c r="N136" s="66">
        <f>IF(OR($L136="",$M136=""),"",$M136-$L136)</f>
        <v/>
      </c>
      <c r="O136" s="84">
        <f>IF($B136="","",COUNTIFS(Task_Tracker!$F$5:$F$1004,$B136,Task_Tracker!$R$5:$R$1004,"Overdue"))</f>
        <v/>
      </c>
      <c r="P136" s="84">
        <f>IF($B136="","",COUNTIFS(Task_Tracker!$F$5:$F$1004,$B136,Task_Tracker!$S$5:$S$1004,TEXT(TODAY(),"yyyy-mm")))</f>
        <v/>
      </c>
      <c r="Q136" s="66">
        <f>IF($B136="","",SUMIFS(Task_Tracker!$O$5:$O$1004,Task_Tracker!$F$5:$F$1004,$B136,Task_Tracker!$S$5:$S$1004,TEXT(TODAY(),"yyyy-mm")))</f>
        <v/>
      </c>
      <c r="R136" s="86">
        <f>IFERROR($Q136/($F136*4),"")</f>
        <v/>
      </c>
    </row>
    <row r="137" ht="15" customHeight="1" s="40">
      <c r="A137" s="67">
        <f>Employee_Master!A137</f>
        <v/>
      </c>
      <c r="B137" s="67">
        <f>Employee_Master!B137</f>
        <v/>
      </c>
      <c r="C137" s="67">
        <f>Employee_Master!C137</f>
        <v/>
      </c>
      <c r="D137" s="67">
        <f>Employee_Master!D137</f>
        <v/>
      </c>
      <c r="E137" s="67">
        <f>Employee_Master!E137</f>
        <v/>
      </c>
      <c r="F137" s="87">
        <f>Employee_Master!H137</f>
        <v/>
      </c>
      <c r="G137" s="67">
        <f>Employee_Master!I137</f>
        <v/>
      </c>
      <c r="H137" s="84">
        <f>IF($B137="","",COUNTIF(Task_Tracker!$F$5:$F$1004,$B137))</f>
        <v/>
      </c>
      <c r="I137" s="84">
        <f>IF($B137="","",COUNTIFS(Task_Tracker!$F$5:$F$1004,$B137,Task_Tracker!$A$5:$A$1004,"&lt;&gt;",Task_Tracker!$I$5:$I$1004,"&lt;&gt;Completed",Task_Tracker!$I$5:$I$1004,"&lt;&gt;Cancelled"))</f>
        <v/>
      </c>
      <c r="J137" s="84">
        <f>IF($B137="","",COUNTIFS(Task_Tracker!$F$5:$F$1004,$B137,Task_Tracker!$I$5:$I$1004,"Completed"))</f>
        <v/>
      </c>
      <c r="K137" s="86">
        <f>IFERROR($J137/$H137,"")</f>
        <v/>
      </c>
      <c r="L137" s="66">
        <f>IF($B137="","",SUMIF(Task_Tracker!$F$5:$F$1004,$B137,Task_Tracker!$N$5:$N$1004))</f>
        <v/>
      </c>
      <c r="M137" s="66">
        <f>IF($B137="","",SUMIF(Task_Tracker!$F$5:$F$1004,$B137,Task_Tracker!$O$5:$O$1004))</f>
        <v/>
      </c>
      <c r="N137" s="66">
        <f>IF(OR($L137="",$M137=""),"",$M137-$L137)</f>
        <v/>
      </c>
      <c r="O137" s="84">
        <f>IF($B137="","",COUNTIFS(Task_Tracker!$F$5:$F$1004,$B137,Task_Tracker!$R$5:$R$1004,"Overdue"))</f>
        <v/>
      </c>
      <c r="P137" s="84">
        <f>IF($B137="","",COUNTIFS(Task_Tracker!$F$5:$F$1004,$B137,Task_Tracker!$S$5:$S$1004,TEXT(TODAY(),"yyyy-mm")))</f>
        <v/>
      </c>
      <c r="Q137" s="66">
        <f>IF($B137="","",SUMIFS(Task_Tracker!$O$5:$O$1004,Task_Tracker!$F$5:$F$1004,$B137,Task_Tracker!$S$5:$S$1004,TEXT(TODAY(),"yyyy-mm")))</f>
        <v/>
      </c>
      <c r="R137" s="86">
        <f>IFERROR($Q137/($F137*4),"")</f>
        <v/>
      </c>
    </row>
    <row r="138" ht="15" customHeight="1" s="40">
      <c r="A138" s="67">
        <f>Employee_Master!A138</f>
        <v/>
      </c>
      <c r="B138" s="67">
        <f>Employee_Master!B138</f>
        <v/>
      </c>
      <c r="C138" s="67">
        <f>Employee_Master!C138</f>
        <v/>
      </c>
      <c r="D138" s="67">
        <f>Employee_Master!D138</f>
        <v/>
      </c>
      <c r="E138" s="67">
        <f>Employee_Master!E138</f>
        <v/>
      </c>
      <c r="F138" s="87">
        <f>Employee_Master!H138</f>
        <v/>
      </c>
      <c r="G138" s="67">
        <f>Employee_Master!I138</f>
        <v/>
      </c>
      <c r="H138" s="84">
        <f>IF($B138="","",COUNTIF(Task_Tracker!$F$5:$F$1004,$B138))</f>
        <v/>
      </c>
      <c r="I138" s="84">
        <f>IF($B138="","",COUNTIFS(Task_Tracker!$F$5:$F$1004,$B138,Task_Tracker!$A$5:$A$1004,"&lt;&gt;",Task_Tracker!$I$5:$I$1004,"&lt;&gt;Completed",Task_Tracker!$I$5:$I$1004,"&lt;&gt;Cancelled"))</f>
        <v/>
      </c>
      <c r="J138" s="84">
        <f>IF($B138="","",COUNTIFS(Task_Tracker!$F$5:$F$1004,$B138,Task_Tracker!$I$5:$I$1004,"Completed"))</f>
        <v/>
      </c>
      <c r="K138" s="86">
        <f>IFERROR($J138/$H138,"")</f>
        <v/>
      </c>
      <c r="L138" s="66">
        <f>IF($B138="","",SUMIF(Task_Tracker!$F$5:$F$1004,$B138,Task_Tracker!$N$5:$N$1004))</f>
        <v/>
      </c>
      <c r="M138" s="66">
        <f>IF($B138="","",SUMIF(Task_Tracker!$F$5:$F$1004,$B138,Task_Tracker!$O$5:$O$1004))</f>
        <v/>
      </c>
      <c r="N138" s="66">
        <f>IF(OR($L138="",$M138=""),"",$M138-$L138)</f>
        <v/>
      </c>
      <c r="O138" s="84">
        <f>IF($B138="","",COUNTIFS(Task_Tracker!$F$5:$F$1004,$B138,Task_Tracker!$R$5:$R$1004,"Overdue"))</f>
        <v/>
      </c>
      <c r="P138" s="84">
        <f>IF($B138="","",COUNTIFS(Task_Tracker!$F$5:$F$1004,$B138,Task_Tracker!$S$5:$S$1004,TEXT(TODAY(),"yyyy-mm")))</f>
        <v/>
      </c>
      <c r="Q138" s="66">
        <f>IF($B138="","",SUMIFS(Task_Tracker!$O$5:$O$1004,Task_Tracker!$F$5:$F$1004,$B138,Task_Tracker!$S$5:$S$1004,TEXT(TODAY(),"yyyy-mm")))</f>
        <v/>
      </c>
      <c r="R138" s="86">
        <f>IFERROR($Q138/($F138*4),"")</f>
        <v/>
      </c>
    </row>
    <row r="139" ht="15" customHeight="1" s="40">
      <c r="A139" s="67">
        <f>Employee_Master!A139</f>
        <v/>
      </c>
      <c r="B139" s="67">
        <f>Employee_Master!B139</f>
        <v/>
      </c>
      <c r="C139" s="67">
        <f>Employee_Master!C139</f>
        <v/>
      </c>
      <c r="D139" s="67">
        <f>Employee_Master!D139</f>
        <v/>
      </c>
      <c r="E139" s="67">
        <f>Employee_Master!E139</f>
        <v/>
      </c>
      <c r="F139" s="87">
        <f>Employee_Master!H139</f>
        <v/>
      </c>
      <c r="G139" s="67">
        <f>Employee_Master!I139</f>
        <v/>
      </c>
      <c r="H139" s="84">
        <f>IF($B139="","",COUNTIF(Task_Tracker!$F$5:$F$1004,$B139))</f>
        <v/>
      </c>
      <c r="I139" s="84">
        <f>IF($B139="","",COUNTIFS(Task_Tracker!$F$5:$F$1004,$B139,Task_Tracker!$A$5:$A$1004,"&lt;&gt;",Task_Tracker!$I$5:$I$1004,"&lt;&gt;Completed",Task_Tracker!$I$5:$I$1004,"&lt;&gt;Cancelled"))</f>
        <v/>
      </c>
      <c r="J139" s="84">
        <f>IF($B139="","",COUNTIFS(Task_Tracker!$F$5:$F$1004,$B139,Task_Tracker!$I$5:$I$1004,"Completed"))</f>
        <v/>
      </c>
      <c r="K139" s="86">
        <f>IFERROR($J139/$H139,"")</f>
        <v/>
      </c>
      <c r="L139" s="66">
        <f>IF($B139="","",SUMIF(Task_Tracker!$F$5:$F$1004,$B139,Task_Tracker!$N$5:$N$1004))</f>
        <v/>
      </c>
      <c r="M139" s="66">
        <f>IF($B139="","",SUMIF(Task_Tracker!$F$5:$F$1004,$B139,Task_Tracker!$O$5:$O$1004))</f>
        <v/>
      </c>
      <c r="N139" s="66">
        <f>IF(OR($L139="",$M139=""),"",$M139-$L139)</f>
        <v/>
      </c>
      <c r="O139" s="84">
        <f>IF($B139="","",COUNTIFS(Task_Tracker!$F$5:$F$1004,$B139,Task_Tracker!$R$5:$R$1004,"Overdue"))</f>
        <v/>
      </c>
      <c r="P139" s="84">
        <f>IF($B139="","",COUNTIFS(Task_Tracker!$F$5:$F$1004,$B139,Task_Tracker!$S$5:$S$1004,TEXT(TODAY(),"yyyy-mm")))</f>
        <v/>
      </c>
      <c r="Q139" s="66">
        <f>IF($B139="","",SUMIFS(Task_Tracker!$O$5:$O$1004,Task_Tracker!$F$5:$F$1004,$B139,Task_Tracker!$S$5:$S$1004,TEXT(TODAY(),"yyyy-mm")))</f>
        <v/>
      </c>
      <c r="R139" s="86">
        <f>IFERROR($Q139/($F139*4),"")</f>
        <v/>
      </c>
    </row>
    <row r="140" ht="15" customHeight="1" s="40">
      <c r="A140" s="67">
        <f>Employee_Master!A140</f>
        <v/>
      </c>
      <c r="B140" s="67">
        <f>Employee_Master!B140</f>
        <v/>
      </c>
      <c r="C140" s="67">
        <f>Employee_Master!C140</f>
        <v/>
      </c>
      <c r="D140" s="67">
        <f>Employee_Master!D140</f>
        <v/>
      </c>
      <c r="E140" s="67">
        <f>Employee_Master!E140</f>
        <v/>
      </c>
      <c r="F140" s="87">
        <f>Employee_Master!H140</f>
        <v/>
      </c>
      <c r="G140" s="67">
        <f>Employee_Master!I140</f>
        <v/>
      </c>
      <c r="H140" s="84">
        <f>IF($B140="","",COUNTIF(Task_Tracker!$F$5:$F$1004,$B140))</f>
        <v/>
      </c>
      <c r="I140" s="84">
        <f>IF($B140="","",COUNTIFS(Task_Tracker!$F$5:$F$1004,$B140,Task_Tracker!$A$5:$A$1004,"&lt;&gt;",Task_Tracker!$I$5:$I$1004,"&lt;&gt;Completed",Task_Tracker!$I$5:$I$1004,"&lt;&gt;Cancelled"))</f>
        <v/>
      </c>
      <c r="J140" s="84">
        <f>IF($B140="","",COUNTIFS(Task_Tracker!$F$5:$F$1004,$B140,Task_Tracker!$I$5:$I$1004,"Completed"))</f>
        <v/>
      </c>
      <c r="K140" s="86">
        <f>IFERROR($J140/$H140,"")</f>
        <v/>
      </c>
      <c r="L140" s="66">
        <f>IF($B140="","",SUMIF(Task_Tracker!$F$5:$F$1004,$B140,Task_Tracker!$N$5:$N$1004))</f>
        <v/>
      </c>
      <c r="M140" s="66">
        <f>IF($B140="","",SUMIF(Task_Tracker!$F$5:$F$1004,$B140,Task_Tracker!$O$5:$O$1004))</f>
        <v/>
      </c>
      <c r="N140" s="66">
        <f>IF(OR($L140="",$M140=""),"",$M140-$L140)</f>
        <v/>
      </c>
      <c r="O140" s="84">
        <f>IF($B140="","",COUNTIFS(Task_Tracker!$F$5:$F$1004,$B140,Task_Tracker!$R$5:$R$1004,"Overdue"))</f>
        <v/>
      </c>
      <c r="P140" s="84">
        <f>IF($B140="","",COUNTIFS(Task_Tracker!$F$5:$F$1004,$B140,Task_Tracker!$S$5:$S$1004,TEXT(TODAY(),"yyyy-mm")))</f>
        <v/>
      </c>
      <c r="Q140" s="66">
        <f>IF($B140="","",SUMIFS(Task_Tracker!$O$5:$O$1004,Task_Tracker!$F$5:$F$1004,$B140,Task_Tracker!$S$5:$S$1004,TEXT(TODAY(),"yyyy-mm")))</f>
        <v/>
      </c>
      <c r="R140" s="86">
        <f>IFERROR($Q140/($F140*4),"")</f>
        <v/>
      </c>
    </row>
    <row r="141" ht="15" customHeight="1" s="40">
      <c r="A141" s="67">
        <f>Employee_Master!A141</f>
        <v/>
      </c>
      <c r="B141" s="67">
        <f>Employee_Master!B141</f>
        <v/>
      </c>
      <c r="C141" s="67">
        <f>Employee_Master!C141</f>
        <v/>
      </c>
      <c r="D141" s="67">
        <f>Employee_Master!D141</f>
        <v/>
      </c>
      <c r="E141" s="67">
        <f>Employee_Master!E141</f>
        <v/>
      </c>
      <c r="F141" s="87">
        <f>Employee_Master!H141</f>
        <v/>
      </c>
      <c r="G141" s="67">
        <f>Employee_Master!I141</f>
        <v/>
      </c>
      <c r="H141" s="84">
        <f>IF($B141="","",COUNTIF(Task_Tracker!$F$5:$F$1004,$B141))</f>
        <v/>
      </c>
      <c r="I141" s="84">
        <f>IF($B141="","",COUNTIFS(Task_Tracker!$F$5:$F$1004,$B141,Task_Tracker!$A$5:$A$1004,"&lt;&gt;",Task_Tracker!$I$5:$I$1004,"&lt;&gt;Completed",Task_Tracker!$I$5:$I$1004,"&lt;&gt;Cancelled"))</f>
        <v/>
      </c>
      <c r="J141" s="84">
        <f>IF($B141="","",COUNTIFS(Task_Tracker!$F$5:$F$1004,$B141,Task_Tracker!$I$5:$I$1004,"Completed"))</f>
        <v/>
      </c>
      <c r="K141" s="86">
        <f>IFERROR($J141/$H141,"")</f>
        <v/>
      </c>
      <c r="L141" s="66">
        <f>IF($B141="","",SUMIF(Task_Tracker!$F$5:$F$1004,$B141,Task_Tracker!$N$5:$N$1004))</f>
        <v/>
      </c>
      <c r="M141" s="66">
        <f>IF($B141="","",SUMIF(Task_Tracker!$F$5:$F$1004,$B141,Task_Tracker!$O$5:$O$1004))</f>
        <v/>
      </c>
      <c r="N141" s="66">
        <f>IF(OR($L141="",$M141=""),"",$M141-$L141)</f>
        <v/>
      </c>
      <c r="O141" s="84">
        <f>IF($B141="","",COUNTIFS(Task_Tracker!$F$5:$F$1004,$B141,Task_Tracker!$R$5:$R$1004,"Overdue"))</f>
        <v/>
      </c>
      <c r="P141" s="84">
        <f>IF($B141="","",COUNTIFS(Task_Tracker!$F$5:$F$1004,$B141,Task_Tracker!$S$5:$S$1004,TEXT(TODAY(),"yyyy-mm")))</f>
        <v/>
      </c>
      <c r="Q141" s="66">
        <f>IF($B141="","",SUMIFS(Task_Tracker!$O$5:$O$1004,Task_Tracker!$F$5:$F$1004,$B141,Task_Tracker!$S$5:$S$1004,TEXT(TODAY(),"yyyy-mm")))</f>
        <v/>
      </c>
      <c r="R141" s="86">
        <f>IFERROR($Q141/($F141*4),"")</f>
        <v/>
      </c>
    </row>
    <row r="142" ht="15" customHeight="1" s="40">
      <c r="A142" s="67">
        <f>Employee_Master!A142</f>
        <v/>
      </c>
      <c r="B142" s="67">
        <f>Employee_Master!B142</f>
        <v/>
      </c>
      <c r="C142" s="67">
        <f>Employee_Master!C142</f>
        <v/>
      </c>
      <c r="D142" s="67">
        <f>Employee_Master!D142</f>
        <v/>
      </c>
      <c r="E142" s="67">
        <f>Employee_Master!E142</f>
        <v/>
      </c>
      <c r="F142" s="87">
        <f>Employee_Master!H142</f>
        <v/>
      </c>
      <c r="G142" s="67">
        <f>Employee_Master!I142</f>
        <v/>
      </c>
      <c r="H142" s="84">
        <f>IF($B142="","",COUNTIF(Task_Tracker!$F$5:$F$1004,$B142))</f>
        <v/>
      </c>
      <c r="I142" s="84">
        <f>IF($B142="","",COUNTIFS(Task_Tracker!$F$5:$F$1004,$B142,Task_Tracker!$A$5:$A$1004,"&lt;&gt;",Task_Tracker!$I$5:$I$1004,"&lt;&gt;Completed",Task_Tracker!$I$5:$I$1004,"&lt;&gt;Cancelled"))</f>
        <v/>
      </c>
      <c r="J142" s="84">
        <f>IF($B142="","",COUNTIFS(Task_Tracker!$F$5:$F$1004,$B142,Task_Tracker!$I$5:$I$1004,"Completed"))</f>
        <v/>
      </c>
      <c r="K142" s="86">
        <f>IFERROR($J142/$H142,"")</f>
        <v/>
      </c>
      <c r="L142" s="66">
        <f>IF($B142="","",SUMIF(Task_Tracker!$F$5:$F$1004,$B142,Task_Tracker!$N$5:$N$1004))</f>
        <v/>
      </c>
      <c r="M142" s="66">
        <f>IF($B142="","",SUMIF(Task_Tracker!$F$5:$F$1004,$B142,Task_Tracker!$O$5:$O$1004))</f>
        <v/>
      </c>
      <c r="N142" s="66">
        <f>IF(OR($L142="",$M142=""),"",$M142-$L142)</f>
        <v/>
      </c>
      <c r="O142" s="84">
        <f>IF($B142="","",COUNTIFS(Task_Tracker!$F$5:$F$1004,$B142,Task_Tracker!$R$5:$R$1004,"Overdue"))</f>
        <v/>
      </c>
      <c r="P142" s="84">
        <f>IF($B142="","",COUNTIFS(Task_Tracker!$F$5:$F$1004,$B142,Task_Tracker!$S$5:$S$1004,TEXT(TODAY(),"yyyy-mm")))</f>
        <v/>
      </c>
      <c r="Q142" s="66">
        <f>IF($B142="","",SUMIFS(Task_Tracker!$O$5:$O$1004,Task_Tracker!$F$5:$F$1004,$B142,Task_Tracker!$S$5:$S$1004,TEXT(TODAY(),"yyyy-mm")))</f>
        <v/>
      </c>
      <c r="R142" s="86">
        <f>IFERROR($Q142/($F142*4),"")</f>
        <v/>
      </c>
    </row>
    <row r="143" ht="15" customHeight="1" s="40">
      <c r="A143" s="67">
        <f>Employee_Master!A143</f>
        <v/>
      </c>
      <c r="B143" s="67">
        <f>Employee_Master!B143</f>
        <v/>
      </c>
      <c r="C143" s="67">
        <f>Employee_Master!C143</f>
        <v/>
      </c>
      <c r="D143" s="67">
        <f>Employee_Master!D143</f>
        <v/>
      </c>
      <c r="E143" s="67">
        <f>Employee_Master!E143</f>
        <v/>
      </c>
      <c r="F143" s="87">
        <f>Employee_Master!H143</f>
        <v/>
      </c>
      <c r="G143" s="67">
        <f>Employee_Master!I143</f>
        <v/>
      </c>
      <c r="H143" s="84">
        <f>IF($B143="","",COUNTIF(Task_Tracker!$F$5:$F$1004,$B143))</f>
        <v/>
      </c>
      <c r="I143" s="84">
        <f>IF($B143="","",COUNTIFS(Task_Tracker!$F$5:$F$1004,$B143,Task_Tracker!$A$5:$A$1004,"&lt;&gt;",Task_Tracker!$I$5:$I$1004,"&lt;&gt;Completed",Task_Tracker!$I$5:$I$1004,"&lt;&gt;Cancelled"))</f>
        <v/>
      </c>
      <c r="J143" s="84">
        <f>IF($B143="","",COUNTIFS(Task_Tracker!$F$5:$F$1004,$B143,Task_Tracker!$I$5:$I$1004,"Completed"))</f>
        <v/>
      </c>
      <c r="K143" s="86">
        <f>IFERROR($J143/$H143,"")</f>
        <v/>
      </c>
      <c r="L143" s="66">
        <f>IF($B143="","",SUMIF(Task_Tracker!$F$5:$F$1004,$B143,Task_Tracker!$N$5:$N$1004))</f>
        <v/>
      </c>
      <c r="M143" s="66">
        <f>IF($B143="","",SUMIF(Task_Tracker!$F$5:$F$1004,$B143,Task_Tracker!$O$5:$O$1004))</f>
        <v/>
      </c>
      <c r="N143" s="66">
        <f>IF(OR($L143="",$M143=""),"",$M143-$L143)</f>
        <v/>
      </c>
      <c r="O143" s="84">
        <f>IF($B143="","",COUNTIFS(Task_Tracker!$F$5:$F$1004,$B143,Task_Tracker!$R$5:$R$1004,"Overdue"))</f>
        <v/>
      </c>
      <c r="P143" s="84">
        <f>IF($B143="","",COUNTIFS(Task_Tracker!$F$5:$F$1004,$B143,Task_Tracker!$S$5:$S$1004,TEXT(TODAY(),"yyyy-mm")))</f>
        <v/>
      </c>
      <c r="Q143" s="66">
        <f>IF($B143="","",SUMIFS(Task_Tracker!$O$5:$O$1004,Task_Tracker!$F$5:$F$1004,$B143,Task_Tracker!$S$5:$S$1004,TEXT(TODAY(),"yyyy-mm")))</f>
        <v/>
      </c>
      <c r="R143" s="86">
        <f>IFERROR($Q143/($F143*4),"")</f>
        <v/>
      </c>
    </row>
    <row r="144" ht="15" customHeight="1" s="40">
      <c r="A144" s="67">
        <f>Employee_Master!A144</f>
        <v/>
      </c>
      <c r="B144" s="67">
        <f>Employee_Master!B144</f>
        <v/>
      </c>
      <c r="C144" s="67">
        <f>Employee_Master!C144</f>
        <v/>
      </c>
      <c r="D144" s="67">
        <f>Employee_Master!D144</f>
        <v/>
      </c>
      <c r="E144" s="67">
        <f>Employee_Master!E144</f>
        <v/>
      </c>
      <c r="F144" s="87">
        <f>Employee_Master!H144</f>
        <v/>
      </c>
      <c r="G144" s="67">
        <f>Employee_Master!I144</f>
        <v/>
      </c>
      <c r="H144" s="84">
        <f>IF($B144="","",COUNTIF(Task_Tracker!$F$5:$F$1004,$B144))</f>
        <v/>
      </c>
      <c r="I144" s="84">
        <f>IF($B144="","",COUNTIFS(Task_Tracker!$F$5:$F$1004,$B144,Task_Tracker!$A$5:$A$1004,"&lt;&gt;",Task_Tracker!$I$5:$I$1004,"&lt;&gt;Completed",Task_Tracker!$I$5:$I$1004,"&lt;&gt;Cancelled"))</f>
        <v/>
      </c>
      <c r="J144" s="84">
        <f>IF($B144="","",COUNTIFS(Task_Tracker!$F$5:$F$1004,$B144,Task_Tracker!$I$5:$I$1004,"Completed"))</f>
        <v/>
      </c>
      <c r="K144" s="86">
        <f>IFERROR($J144/$H144,"")</f>
        <v/>
      </c>
      <c r="L144" s="66">
        <f>IF($B144="","",SUMIF(Task_Tracker!$F$5:$F$1004,$B144,Task_Tracker!$N$5:$N$1004))</f>
        <v/>
      </c>
      <c r="M144" s="66">
        <f>IF($B144="","",SUMIF(Task_Tracker!$F$5:$F$1004,$B144,Task_Tracker!$O$5:$O$1004))</f>
        <v/>
      </c>
      <c r="N144" s="66">
        <f>IF(OR($L144="",$M144=""),"",$M144-$L144)</f>
        <v/>
      </c>
      <c r="O144" s="84">
        <f>IF($B144="","",COUNTIFS(Task_Tracker!$F$5:$F$1004,$B144,Task_Tracker!$R$5:$R$1004,"Overdue"))</f>
        <v/>
      </c>
      <c r="P144" s="84">
        <f>IF($B144="","",COUNTIFS(Task_Tracker!$F$5:$F$1004,$B144,Task_Tracker!$S$5:$S$1004,TEXT(TODAY(),"yyyy-mm")))</f>
        <v/>
      </c>
      <c r="Q144" s="66">
        <f>IF($B144="","",SUMIFS(Task_Tracker!$O$5:$O$1004,Task_Tracker!$F$5:$F$1004,$B144,Task_Tracker!$S$5:$S$1004,TEXT(TODAY(),"yyyy-mm")))</f>
        <v/>
      </c>
      <c r="R144" s="86">
        <f>IFERROR($Q144/($F144*4),"")</f>
        <v/>
      </c>
    </row>
    <row r="145" ht="15" customHeight="1" s="40">
      <c r="A145" s="67">
        <f>Employee_Master!A145</f>
        <v/>
      </c>
      <c r="B145" s="67">
        <f>Employee_Master!B145</f>
        <v/>
      </c>
      <c r="C145" s="67">
        <f>Employee_Master!C145</f>
        <v/>
      </c>
      <c r="D145" s="67">
        <f>Employee_Master!D145</f>
        <v/>
      </c>
      <c r="E145" s="67">
        <f>Employee_Master!E145</f>
        <v/>
      </c>
      <c r="F145" s="87">
        <f>Employee_Master!H145</f>
        <v/>
      </c>
      <c r="G145" s="67">
        <f>Employee_Master!I145</f>
        <v/>
      </c>
      <c r="H145" s="84">
        <f>IF($B145="","",COUNTIF(Task_Tracker!$F$5:$F$1004,$B145))</f>
        <v/>
      </c>
      <c r="I145" s="84">
        <f>IF($B145="","",COUNTIFS(Task_Tracker!$F$5:$F$1004,$B145,Task_Tracker!$A$5:$A$1004,"&lt;&gt;",Task_Tracker!$I$5:$I$1004,"&lt;&gt;Completed",Task_Tracker!$I$5:$I$1004,"&lt;&gt;Cancelled"))</f>
        <v/>
      </c>
      <c r="J145" s="84">
        <f>IF($B145="","",COUNTIFS(Task_Tracker!$F$5:$F$1004,$B145,Task_Tracker!$I$5:$I$1004,"Completed"))</f>
        <v/>
      </c>
      <c r="K145" s="86">
        <f>IFERROR($J145/$H145,"")</f>
        <v/>
      </c>
      <c r="L145" s="66">
        <f>IF($B145="","",SUMIF(Task_Tracker!$F$5:$F$1004,$B145,Task_Tracker!$N$5:$N$1004))</f>
        <v/>
      </c>
      <c r="M145" s="66">
        <f>IF($B145="","",SUMIF(Task_Tracker!$F$5:$F$1004,$B145,Task_Tracker!$O$5:$O$1004))</f>
        <v/>
      </c>
      <c r="N145" s="66">
        <f>IF(OR($L145="",$M145=""),"",$M145-$L145)</f>
        <v/>
      </c>
      <c r="O145" s="84">
        <f>IF($B145="","",COUNTIFS(Task_Tracker!$F$5:$F$1004,$B145,Task_Tracker!$R$5:$R$1004,"Overdue"))</f>
        <v/>
      </c>
      <c r="P145" s="84">
        <f>IF($B145="","",COUNTIFS(Task_Tracker!$F$5:$F$1004,$B145,Task_Tracker!$S$5:$S$1004,TEXT(TODAY(),"yyyy-mm")))</f>
        <v/>
      </c>
      <c r="Q145" s="66">
        <f>IF($B145="","",SUMIFS(Task_Tracker!$O$5:$O$1004,Task_Tracker!$F$5:$F$1004,$B145,Task_Tracker!$S$5:$S$1004,TEXT(TODAY(),"yyyy-mm")))</f>
        <v/>
      </c>
      <c r="R145" s="86">
        <f>IFERROR($Q145/($F145*4),"")</f>
        <v/>
      </c>
    </row>
    <row r="146" ht="15" customHeight="1" s="40">
      <c r="A146" s="67">
        <f>Employee_Master!A146</f>
        <v/>
      </c>
      <c r="B146" s="67">
        <f>Employee_Master!B146</f>
        <v/>
      </c>
      <c r="C146" s="67">
        <f>Employee_Master!C146</f>
        <v/>
      </c>
      <c r="D146" s="67">
        <f>Employee_Master!D146</f>
        <v/>
      </c>
      <c r="E146" s="67">
        <f>Employee_Master!E146</f>
        <v/>
      </c>
      <c r="F146" s="87">
        <f>Employee_Master!H146</f>
        <v/>
      </c>
      <c r="G146" s="67">
        <f>Employee_Master!I146</f>
        <v/>
      </c>
      <c r="H146" s="84">
        <f>IF($B146="","",COUNTIF(Task_Tracker!$F$5:$F$1004,$B146))</f>
        <v/>
      </c>
      <c r="I146" s="84">
        <f>IF($B146="","",COUNTIFS(Task_Tracker!$F$5:$F$1004,$B146,Task_Tracker!$A$5:$A$1004,"&lt;&gt;",Task_Tracker!$I$5:$I$1004,"&lt;&gt;Completed",Task_Tracker!$I$5:$I$1004,"&lt;&gt;Cancelled"))</f>
        <v/>
      </c>
      <c r="J146" s="84">
        <f>IF($B146="","",COUNTIFS(Task_Tracker!$F$5:$F$1004,$B146,Task_Tracker!$I$5:$I$1004,"Completed"))</f>
        <v/>
      </c>
      <c r="K146" s="86">
        <f>IFERROR($J146/$H146,"")</f>
        <v/>
      </c>
      <c r="L146" s="66">
        <f>IF($B146="","",SUMIF(Task_Tracker!$F$5:$F$1004,$B146,Task_Tracker!$N$5:$N$1004))</f>
        <v/>
      </c>
      <c r="M146" s="66">
        <f>IF($B146="","",SUMIF(Task_Tracker!$F$5:$F$1004,$B146,Task_Tracker!$O$5:$O$1004))</f>
        <v/>
      </c>
      <c r="N146" s="66">
        <f>IF(OR($L146="",$M146=""),"",$M146-$L146)</f>
        <v/>
      </c>
      <c r="O146" s="84">
        <f>IF($B146="","",COUNTIFS(Task_Tracker!$F$5:$F$1004,$B146,Task_Tracker!$R$5:$R$1004,"Overdue"))</f>
        <v/>
      </c>
      <c r="P146" s="84">
        <f>IF($B146="","",COUNTIFS(Task_Tracker!$F$5:$F$1004,$B146,Task_Tracker!$S$5:$S$1004,TEXT(TODAY(),"yyyy-mm")))</f>
        <v/>
      </c>
      <c r="Q146" s="66">
        <f>IF($B146="","",SUMIFS(Task_Tracker!$O$5:$O$1004,Task_Tracker!$F$5:$F$1004,$B146,Task_Tracker!$S$5:$S$1004,TEXT(TODAY(),"yyyy-mm")))</f>
        <v/>
      </c>
      <c r="R146" s="86">
        <f>IFERROR($Q146/($F146*4),"")</f>
        <v/>
      </c>
    </row>
    <row r="147" ht="15" customHeight="1" s="40">
      <c r="A147" s="67">
        <f>Employee_Master!A147</f>
        <v/>
      </c>
      <c r="B147" s="67">
        <f>Employee_Master!B147</f>
        <v/>
      </c>
      <c r="C147" s="67">
        <f>Employee_Master!C147</f>
        <v/>
      </c>
      <c r="D147" s="67">
        <f>Employee_Master!D147</f>
        <v/>
      </c>
      <c r="E147" s="67">
        <f>Employee_Master!E147</f>
        <v/>
      </c>
      <c r="F147" s="87">
        <f>Employee_Master!H147</f>
        <v/>
      </c>
      <c r="G147" s="67">
        <f>Employee_Master!I147</f>
        <v/>
      </c>
      <c r="H147" s="84">
        <f>IF($B147="","",COUNTIF(Task_Tracker!$F$5:$F$1004,$B147))</f>
        <v/>
      </c>
      <c r="I147" s="84">
        <f>IF($B147="","",COUNTIFS(Task_Tracker!$F$5:$F$1004,$B147,Task_Tracker!$A$5:$A$1004,"&lt;&gt;",Task_Tracker!$I$5:$I$1004,"&lt;&gt;Completed",Task_Tracker!$I$5:$I$1004,"&lt;&gt;Cancelled"))</f>
        <v/>
      </c>
      <c r="J147" s="84">
        <f>IF($B147="","",COUNTIFS(Task_Tracker!$F$5:$F$1004,$B147,Task_Tracker!$I$5:$I$1004,"Completed"))</f>
        <v/>
      </c>
      <c r="K147" s="86">
        <f>IFERROR($J147/$H147,"")</f>
        <v/>
      </c>
      <c r="L147" s="66">
        <f>IF($B147="","",SUMIF(Task_Tracker!$F$5:$F$1004,$B147,Task_Tracker!$N$5:$N$1004))</f>
        <v/>
      </c>
      <c r="M147" s="66">
        <f>IF($B147="","",SUMIF(Task_Tracker!$F$5:$F$1004,$B147,Task_Tracker!$O$5:$O$1004))</f>
        <v/>
      </c>
      <c r="N147" s="66">
        <f>IF(OR($L147="",$M147=""),"",$M147-$L147)</f>
        <v/>
      </c>
      <c r="O147" s="84">
        <f>IF($B147="","",COUNTIFS(Task_Tracker!$F$5:$F$1004,$B147,Task_Tracker!$R$5:$R$1004,"Overdue"))</f>
        <v/>
      </c>
      <c r="P147" s="84">
        <f>IF($B147="","",COUNTIFS(Task_Tracker!$F$5:$F$1004,$B147,Task_Tracker!$S$5:$S$1004,TEXT(TODAY(),"yyyy-mm")))</f>
        <v/>
      </c>
      <c r="Q147" s="66">
        <f>IF($B147="","",SUMIFS(Task_Tracker!$O$5:$O$1004,Task_Tracker!$F$5:$F$1004,$B147,Task_Tracker!$S$5:$S$1004,TEXT(TODAY(),"yyyy-mm")))</f>
        <v/>
      </c>
      <c r="R147" s="86">
        <f>IFERROR($Q147/($F147*4),"")</f>
        <v/>
      </c>
    </row>
    <row r="148" ht="15" customHeight="1" s="40">
      <c r="A148" s="67">
        <f>Employee_Master!A148</f>
        <v/>
      </c>
      <c r="B148" s="67">
        <f>Employee_Master!B148</f>
        <v/>
      </c>
      <c r="C148" s="67">
        <f>Employee_Master!C148</f>
        <v/>
      </c>
      <c r="D148" s="67">
        <f>Employee_Master!D148</f>
        <v/>
      </c>
      <c r="E148" s="67">
        <f>Employee_Master!E148</f>
        <v/>
      </c>
      <c r="F148" s="87">
        <f>Employee_Master!H148</f>
        <v/>
      </c>
      <c r="G148" s="67">
        <f>Employee_Master!I148</f>
        <v/>
      </c>
      <c r="H148" s="84">
        <f>IF($B148="","",COUNTIF(Task_Tracker!$F$5:$F$1004,$B148))</f>
        <v/>
      </c>
      <c r="I148" s="84">
        <f>IF($B148="","",COUNTIFS(Task_Tracker!$F$5:$F$1004,$B148,Task_Tracker!$A$5:$A$1004,"&lt;&gt;",Task_Tracker!$I$5:$I$1004,"&lt;&gt;Completed",Task_Tracker!$I$5:$I$1004,"&lt;&gt;Cancelled"))</f>
        <v/>
      </c>
      <c r="J148" s="84">
        <f>IF($B148="","",COUNTIFS(Task_Tracker!$F$5:$F$1004,$B148,Task_Tracker!$I$5:$I$1004,"Completed"))</f>
        <v/>
      </c>
      <c r="K148" s="86">
        <f>IFERROR($J148/$H148,"")</f>
        <v/>
      </c>
      <c r="L148" s="66">
        <f>IF($B148="","",SUMIF(Task_Tracker!$F$5:$F$1004,$B148,Task_Tracker!$N$5:$N$1004))</f>
        <v/>
      </c>
      <c r="M148" s="66">
        <f>IF($B148="","",SUMIF(Task_Tracker!$F$5:$F$1004,$B148,Task_Tracker!$O$5:$O$1004))</f>
        <v/>
      </c>
      <c r="N148" s="66">
        <f>IF(OR($L148="",$M148=""),"",$M148-$L148)</f>
        <v/>
      </c>
      <c r="O148" s="84">
        <f>IF($B148="","",COUNTIFS(Task_Tracker!$F$5:$F$1004,$B148,Task_Tracker!$R$5:$R$1004,"Overdue"))</f>
        <v/>
      </c>
      <c r="P148" s="84">
        <f>IF($B148="","",COUNTIFS(Task_Tracker!$F$5:$F$1004,$B148,Task_Tracker!$S$5:$S$1004,TEXT(TODAY(),"yyyy-mm")))</f>
        <v/>
      </c>
      <c r="Q148" s="66">
        <f>IF($B148="","",SUMIFS(Task_Tracker!$O$5:$O$1004,Task_Tracker!$F$5:$F$1004,$B148,Task_Tracker!$S$5:$S$1004,TEXT(TODAY(),"yyyy-mm")))</f>
        <v/>
      </c>
      <c r="R148" s="86">
        <f>IFERROR($Q148/($F148*4),"")</f>
        <v/>
      </c>
    </row>
    <row r="149" ht="15" customHeight="1" s="40">
      <c r="A149" s="67">
        <f>Employee_Master!A149</f>
        <v/>
      </c>
      <c r="B149" s="67">
        <f>Employee_Master!B149</f>
        <v/>
      </c>
      <c r="C149" s="67">
        <f>Employee_Master!C149</f>
        <v/>
      </c>
      <c r="D149" s="67">
        <f>Employee_Master!D149</f>
        <v/>
      </c>
      <c r="E149" s="67">
        <f>Employee_Master!E149</f>
        <v/>
      </c>
      <c r="F149" s="87">
        <f>Employee_Master!H149</f>
        <v/>
      </c>
      <c r="G149" s="67">
        <f>Employee_Master!I149</f>
        <v/>
      </c>
      <c r="H149" s="84">
        <f>IF($B149="","",COUNTIF(Task_Tracker!$F$5:$F$1004,$B149))</f>
        <v/>
      </c>
      <c r="I149" s="84">
        <f>IF($B149="","",COUNTIFS(Task_Tracker!$F$5:$F$1004,$B149,Task_Tracker!$A$5:$A$1004,"&lt;&gt;",Task_Tracker!$I$5:$I$1004,"&lt;&gt;Completed",Task_Tracker!$I$5:$I$1004,"&lt;&gt;Cancelled"))</f>
        <v/>
      </c>
      <c r="J149" s="84">
        <f>IF($B149="","",COUNTIFS(Task_Tracker!$F$5:$F$1004,$B149,Task_Tracker!$I$5:$I$1004,"Completed"))</f>
        <v/>
      </c>
      <c r="K149" s="86">
        <f>IFERROR($J149/$H149,"")</f>
        <v/>
      </c>
      <c r="L149" s="66">
        <f>IF($B149="","",SUMIF(Task_Tracker!$F$5:$F$1004,$B149,Task_Tracker!$N$5:$N$1004))</f>
        <v/>
      </c>
      <c r="M149" s="66">
        <f>IF($B149="","",SUMIF(Task_Tracker!$F$5:$F$1004,$B149,Task_Tracker!$O$5:$O$1004))</f>
        <v/>
      </c>
      <c r="N149" s="66">
        <f>IF(OR($L149="",$M149=""),"",$M149-$L149)</f>
        <v/>
      </c>
      <c r="O149" s="84">
        <f>IF($B149="","",COUNTIFS(Task_Tracker!$F$5:$F$1004,$B149,Task_Tracker!$R$5:$R$1004,"Overdue"))</f>
        <v/>
      </c>
      <c r="P149" s="84">
        <f>IF($B149="","",COUNTIFS(Task_Tracker!$F$5:$F$1004,$B149,Task_Tracker!$S$5:$S$1004,TEXT(TODAY(),"yyyy-mm")))</f>
        <v/>
      </c>
      <c r="Q149" s="66">
        <f>IF($B149="","",SUMIFS(Task_Tracker!$O$5:$O$1004,Task_Tracker!$F$5:$F$1004,$B149,Task_Tracker!$S$5:$S$1004,TEXT(TODAY(),"yyyy-mm")))</f>
        <v/>
      </c>
      <c r="R149" s="86">
        <f>IFERROR($Q149/($F149*4),"")</f>
        <v/>
      </c>
    </row>
    <row r="150" ht="15" customHeight="1" s="40">
      <c r="A150" s="67">
        <f>Employee_Master!A150</f>
        <v/>
      </c>
      <c r="B150" s="67">
        <f>Employee_Master!B150</f>
        <v/>
      </c>
      <c r="C150" s="67">
        <f>Employee_Master!C150</f>
        <v/>
      </c>
      <c r="D150" s="67">
        <f>Employee_Master!D150</f>
        <v/>
      </c>
      <c r="E150" s="67">
        <f>Employee_Master!E150</f>
        <v/>
      </c>
      <c r="F150" s="87">
        <f>Employee_Master!H150</f>
        <v/>
      </c>
      <c r="G150" s="67">
        <f>Employee_Master!I150</f>
        <v/>
      </c>
      <c r="H150" s="84">
        <f>IF($B150="","",COUNTIF(Task_Tracker!$F$5:$F$1004,$B150))</f>
        <v/>
      </c>
      <c r="I150" s="84">
        <f>IF($B150="","",COUNTIFS(Task_Tracker!$F$5:$F$1004,$B150,Task_Tracker!$A$5:$A$1004,"&lt;&gt;",Task_Tracker!$I$5:$I$1004,"&lt;&gt;Completed",Task_Tracker!$I$5:$I$1004,"&lt;&gt;Cancelled"))</f>
        <v/>
      </c>
      <c r="J150" s="84">
        <f>IF($B150="","",COUNTIFS(Task_Tracker!$F$5:$F$1004,$B150,Task_Tracker!$I$5:$I$1004,"Completed"))</f>
        <v/>
      </c>
      <c r="K150" s="86">
        <f>IFERROR($J150/$H150,"")</f>
        <v/>
      </c>
      <c r="L150" s="66">
        <f>IF($B150="","",SUMIF(Task_Tracker!$F$5:$F$1004,$B150,Task_Tracker!$N$5:$N$1004))</f>
        <v/>
      </c>
      <c r="M150" s="66">
        <f>IF($B150="","",SUMIF(Task_Tracker!$F$5:$F$1004,$B150,Task_Tracker!$O$5:$O$1004))</f>
        <v/>
      </c>
      <c r="N150" s="66">
        <f>IF(OR($L150="",$M150=""),"",$M150-$L150)</f>
        <v/>
      </c>
      <c r="O150" s="84">
        <f>IF($B150="","",COUNTIFS(Task_Tracker!$F$5:$F$1004,$B150,Task_Tracker!$R$5:$R$1004,"Overdue"))</f>
        <v/>
      </c>
      <c r="P150" s="84">
        <f>IF($B150="","",COUNTIFS(Task_Tracker!$F$5:$F$1004,$B150,Task_Tracker!$S$5:$S$1004,TEXT(TODAY(),"yyyy-mm")))</f>
        <v/>
      </c>
      <c r="Q150" s="66">
        <f>IF($B150="","",SUMIFS(Task_Tracker!$O$5:$O$1004,Task_Tracker!$F$5:$F$1004,$B150,Task_Tracker!$S$5:$S$1004,TEXT(TODAY(),"yyyy-mm")))</f>
        <v/>
      </c>
      <c r="R150" s="86">
        <f>IFERROR($Q150/($F150*4),"")</f>
        <v/>
      </c>
    </row>
    <row r="151" ht="15" customHeight="1" s="40">
      <c r="A151" s="67">
        <f>Employee_Master!A151</f>
        <v/>
      </c>
      <c r="B151" s="67">
        <f>Employee_Master!B151</f>
        <v/>
      </c>
      <c r="C151" s="67">
        <f>Employee_Master!C151</f>
        <v/>
      </c>
      <c r="D151" s="67">
        <f>Employee_Master!D151</f>
        <v/>
      </c>
      <c r="E151" s="67">
        <f>Employee_Master!E151</f>
        <v/>
      </c>
      <c r="F151" s="87">
        <f>Employee_Master!H151</f>
        <v/>
      </c>
      <c r="G151" s="67">
        <f>Employee_Master!I151</f>
        <v/>
      </c>
      <c r="H151" s="84">
        <f>IF($B151="","",COUNTIF(Task_Tracker!$F$5:$F$1004,$B151))</f>
        <v/>
      </c>
      <c r="I151" s="84">
        <f>IF($B151="","",COUNTIFS(Task_Tracker!$F$5:$F$1004,$B151,Task_Tracker!$A$5:$A$1004,"&lt;&gt;",Task_Tracker!$I$5:$I$1004,"&lt;&gt;Completed",Task_Tracker!$I$5:$I$1004,"&lt;&gt;Cancelled"))</f>
        <v/>
      </c>
      <c r="J151" s="84">
        <f>IF($B151="","",COUNTIFS(Task_Tracker!$F$5:$F$1004,$B151,Task_Tracker!$I$5:$I$1004,"Completed"))</f>
        <v/>
      </c>
      <c r="K151" s="86">
        <f>IFERROR($J151/$H151,"")</f>
        <v/>
      </c>
      <c r="L151" s="66">
        <f>IF($B151="","",SUMIF(Task_Tracker!$F$5:$F$1004,$B151,Task_Tracker!$N$5:$N$1004))</f>
        <v/>
      </c>
      <c r="M151" s="66">
        <f>IF($B151="","",SUMIF(Task_Tracker!$F$5:$F$1004,$B151,Task_Tracker!$O$5:$O$1004))</f>
        <v/>
      </c>
      <c r="N151" s="66">
        <f>IF(OR($L151="",$M151=""),"",$M151-$L151)</f>
        <v/>
      </c>
      <c r="O151" s="84">
        <f>IF($B151="","",COUNTIFS(Task_Tracker!$F$5:$F$1004,$B151,Task_Tracker!$R$5:$R$1004,"Overdue"))</f>
        <v/>
      </c>
      <c r="P151" s="84">
        <f>IF($B151="","",COUNTIFS(Task_Tracker!$F$5:$F$1004,$B151,Task_Tracker!$S$5:$S$1004,TEXT(TODAY(),"yyyy-mm")))</f>
        <v/>
      </c>
      <c r="Q151" s="66">
        <f>IF($B151="","",SUMIFS(Task_Tracker!$O$5:$O$1004,Task_Tracker!$F$5:$F$1004,$B151,Task_Tracker!$S$5:$S$1004,TEXT(TODAY(),"yyyy-mm")))</f>
        <v/>
      </c>
      <c r="R151" s="86">
        <f>IFERROR($Q151/($F151*4),"")</f>
        <v/>
      </c>
    </row>
    <row r="152" ht="15" customHeight="1" s="40">
      <c r="A152" s="67">
        <f>Employee_Master!A152</f>
        <v/>
      </c>
      <c r="B152" s="67">
        <f>Employee_Master!B152</f>
        <v/>
      </c>
      <c r="C152" s="67">
        <f>Employee_Master!C152</f>
        <v/>
      </c>
      <c r="D152" s="67">
        <f>Employee_Master!D152</f>
        <v/>
      </c>
      <c r="E152" s="67">
        <f>Employee_Master!E152</f>
        <v/>
      </c>
      <c r="F152" s="87">
        <f>Employee_Master!H152</f>
        <v/>
      </c>
      <c r="G152" s="67">
        <f>Employee_Master!I152</f>
        <v/>
      </c>
      <c r="H152" s="84">
        <f>IF($B152="","",COUNTIF(Task_Tracker!$F$5:$F$1004,$B152))</f>
        <v/>
      </c>
      <c r="I152" s="84">
        <f>IF($B152="","",COUNTIFS(Task_Tracker!$F$5:$F$1004,$B152,Task_Tracker!$A$5:$A$1004,"&lt;&gt;",Task_Tracker!$I$5:$I$1004,"&lt;&gt;Completed",Task_Tracker!$I$5:$I$1004,"&lt;&gt;Cancelled"))</f>
        <v/>
      </c>
      <c r="J152" s="84">
        <f>IF($B152="","",COUNTIFS(Task_Tracker!$F$5:$F$1004,$B152,Task_Tracker!$I$5:$I$1004,"Completed"))</f>
        <v/>
      </c>
      <c r="K152" s="86">
        <f>IFERROR($J152/$H152,"")</f>
        <v/>
      </c>
      <c r="L152" s="66">
        <f>IF($B152="","",SUMIF(Task_Tracker!$F$5:$F$1004,$B152,Task_Tracker!$N$5:$N$1004))</f>
        <v/>
      </c>
      <c r="M152" s="66">
        <f>IF($B152="","",SUMIF(Task_Tracker!$F$5:$F$1004,$B152,Task_Tracker!$O$5:$O$1004))</f>
        <v/>
      </c>
      <c r="N152" s="66">
        <f>IF(OR($L152="",$M152=""),"",$M152-$L152)</f>
        <v/>
      </c>
      <c r="O152" s="84">
        <f>IF($B152="","",COUNTIFS(Task_Tracker!$F$5:$F$1004,$B152,Task_Tracker!$R$5:$R$1004,"Overdue"))</f>
        <v/>
      </c>
      <c r="P152" s="84">
        <f>IF($B152="","",COUNTIFS(Task_Tracker!$F$5:$F$1004,$B152,Task_Tracker!$S$5:$S$1004,TEXT(TODAY(),"yyyy-mm")))</f>
        <v/>
      </c>
      <c r="Q152" s="66">
        <f>IF($B152="","",SUMIFS(Task_Tracker!$O$5:$O$1004,Task_Tracker!$F$5:$F$1004,$B152,Task_Tracker!$S$5:$S$1004,TEXT(TODAY(),"yyyy-mm")))</f>
        <v/>
      </c>
      <c r="R152" s="86">
        <f>IFERROR($Q152/($F152*4),"")</f>
        <v/>
      </c>
    </row>
    <row r="153" ht="15" customHeight="1" s="40">
      <c r="A153" s="67">
        <f>Employee_Master!A153</f>
        <v/>
      </c>
      <c r="B153" s="67">
        <f>Employee_Master!B153</f>
        <v/>
      </c>
      <c r="C153" s="67">
        <f>Employee_Master!C153</f>
        <v/>
      </c>
      <c r="D153" s="67">
        <f>Employee_Master!D153</f>
        <v/>
      </c>
      <c r="E153" s="67">
        <f>Employee_Master!E153</f>
        <v/>
      </c>
      <c r="F153" s="87">
        <f>Employee_Master!H153</f>
        <v/>
      </c>
      <c r="G153" s="67">
        <f>Employee_Master!I153</f>
        <v/>
      </c>
      <c r="H153" s="84">
        <f>IF($B153="","",COUNTIF(Task_Tracker!$F$5:$F$1004,$B153))</f>
        <v/>
      </c>
      <c r="I153" s="84">
        <f>IF($B153="","",COUNTIFS(Task_Tracker!$F$5:$F$1004,$B153,Task_Tracker!$A$5:$A$1004,"&lt;&gt;",Task_Tracker!$I$5:$I$1004,"&lt;&gt;Completed",Task_Tracker!$I$5:$I$1004,"&lt;&gt;Cancelled"))</f>
        <v/>
      </c>
      <c r="J153" s="84">
        <f>IF($B153="","",COUNTIFS(Task_Tracker!$F$5:$F$1004,$B153,Task_Tracker!$I$5:$I$1004,"Completed"))</f>
        <v/>
      </c>
      <c r="K153" s="86">
        <f>IFERROR($J153/$H153,"")</f>
        <v/>
      </c>
      <c r="L153" s="66">
        <f>IF($B153="","",SUMIF(Task_Tracker!$F$5:$F$1004,$B153,Task_Tracker!$N$5:$N$1004))</f>
        <v/>
      </c>
      <c r="M153" s="66">
        <f>IF($B153="","",SUMIF(Task_Tracker!$F$5:$F$1004,$B153,Task_Tracker!$O$5:$O$1004))</f>
        <v/>
      </c>
      <c r="N153" s="66">
        <f>IF(OR($L153="",$M153=""),"",$M153-$L153)</f>
        <v/>
      </c>
      <c r="O153" s="84">
        <f>IF($B153="","",COUNTIFS(Task_Tracker!$F$5:$F$1004,$B153,Task_Tracker!$R$5:$R$1004,"Overdue"))</f>
        <v/>
      </c>
      <c r="P153" s="84">
        <f>IF($B153="","",COUNTIFS(Task_Tracker!$F$5:$F$1004,$B153,Task_Tracker!$S$5:$S$1004,TEXT(TODAY(),"yyyy-mm")))</f>
        <v/>
      </c>
      <c r="Q153" s="66">
        <f>IF($B153="","",SUMIFS(Task_Tracker!$O$5:$O$1004,Task_Tracker!$F$5:$F$1004,$B153,Task_Tracker!$S$5:$S$1004,TEXT(TODAY(),"yyyy-mm")))</f>
        <v/>
      </c>
      <c r="R153" s="86">
        <f>IFERROR($Q153/($F153*4),"")</f>
        <v/>
      </c>
    </row>
    <row r="154" ht="15" customHeight="1" s="40">
      <c r="A154" s="67">
        <f>Employee_Master!A154</f>
        <v/>
      </c>
      <c r="B154" s="67">
        <f>Employee_Master!B154</f>
        <v/>
      </c>
      <c r="C154" s="67">
        <f>Employee_Master!C154</f>
        <v/>
      </c>
      <c r="D154" s="67">
        <f>Employee_Master!D154</f>
        <v/>
      </c>
      <c r="E154" s="67">
        <f>Employee_Master!E154</f>
        <v/>
      </c>
      <c r="F154" s="87">
        <f>Employee_Master!H154</f>
        <v/>
      </c>
      <c r="G154" s="67">
        <f>Employee_Master!I154</f>
        <v/>
      </c>
      <c r="H154" s="84">
        <f>IF($B154="","",COUNTIF(Task_Tracker!$F$5:$F$1004,$B154))</f>
        <v/>
      </c>
      <c r="I154" s="84">
        <f>IF($B154="","",COUNTIFS(Task_Tracker!$F$5:$F$1004,$B154,Task_Tracker!$A$5:$A$1004,"&lt;&gt;",Task_Tracker!$I$5:$I$1004,"&lt;&gt;Completed",Task_Tracker!$I$5:$I$1004,"&lt;&gt;Cancelled"))</f>
        <v/>
      </c>
      <c r="J154" s="84">
        <f>IF($B154="","",COUNTIFS(Task_Tracker!$F$5:$F$1004,$B154,Task_Tracker!$I$5:$I$1004,"Completed"))</f>
        <v/>
      </c>
      <c r="K154" s="86">
        <f>IFERROR($J154/$H154,"")</f>
        <v/>
      </c>
      <c r="L154" s="66">
        <f>IF($B154="","",SUMIF(Task_Tracker!$F$5:$F$1004,$B154,Task_Tracker!$N$5:$N$1004))</f>
        <v/>
      </c>
      <c r="M154" s="66">
        <f>IF($B154="","",SUMIF(Task_Tracker!$F$5:$F$1004,$B154,Task_Tracker!$O$5:$O$1004))</f>
        <v/>
      </c>
      <c r="N154" s="66">
        <f>IF(OR($L154="",$M154=""),"",$M154-$L154)</f>
        <v/>
      </c>
      <c r="O154" s="84">
        <f>IF($B154="","",COUNTIFS(Task_Tracker!$F$5:$F$1004,$B154,Task_Tracker!$R$5:$R$1004,"Overdue"))</f>
        <v/>
      </c>
      <c r="P154" s="84">
        <f>IF($B154="","",COUNTIFS(Task_Tracker!$F$5:$F$1004,$B154,Task_Tracker!$S$5:$S$1004,TEXT(TODAY(),"yyyy-mm")))</f>
        <v/>
      </c>
      <c r="Q154" s="66">
        <f>IF($B154="","",SUMIFS(Task_Tracker!$O$5:$O$1004,Task_Tracker!$F$5:$F$1004,$B154,Task_Tracker!$S$5:$S$1004,TEXT(TODAY(),"yyyy-mm")))</f>
        <v/>
      </c>
      <c r="R154" s="86">
        <f>IFERROR($Q154/($F154*4),"")</f>
        <v/>
      </c>
    </row>
    <row r="155" ht="15" customHeight="1" s="40">
      <c r="A155" s="67">
        <f>Employee_Master!A155</f>
        <v/>
      </c>
      <c r="B155" s="67">
        <f>Employee_Master!B155</f>
        <v/>
      </c>
      <c r="C155" s="67">
        <f>Employee_Master!C155</f>
        <v/>
      </c>
      <c r="D155" s="67">
        <f>Employee_Master!D155</f>
        <v/>
      </c>
      <c r="E155" s="67">
        <f>Employee_Master!E155</f>
        <v/>
      </c>
      <c r="F155" s="87">
        <f>Employee_Master!H155</f>
        <v/>
      </c>
      <c r="G155" s="67">
        <f>Employee_Master!I155</f>
        <v/>
      </c>
      <c r="H155" s="84">
        <f>IF($B155="","",COUNTIF(Task_Tracker!$F$5:$F$1004,$B155))</f>
        <v/>
      </c>
      <c r="I155" s="84">
        <f>IF($B155="","",COUNTIFS(Task_Tracker!$F$5:$F$1004,$B155,Task_Tracker!$A$5:$A$1004,"&lt;&gt;",Task_Tracker!$I$5:$I$1004,"&lt;&gt;Completed",Task_Tracker!$I$5:$I$1004,"&lt;&gt;Cancelled"))</f>
        <v/>
      </c>
      <c r="J155" s="84">
        <f>IF($B155="","",COUNTIFS(Task_Tracker!$F$5:$F$1004,$B155,Task_Tracker!$I$5:$I$1004,"Completed"))</f>
        <v/>
      </c>
      <c r="K155" s="86">
        <f>IFERROR($J155/$H155,"")</f>
        <v/>
      </c>
      <c r="L155" s="66">
        <f>IF($B155="","",SUMIF(Task_Tracker!$F$5:$F$1004,$B155,Task_Tracker!$N$5:$N$1004))</f>
        <v/>
      </c>
      <c r="M155" s="66">
        <f>IF($B155="","",SUMIF(Task_Tracker!$F$5:$F$1004,$B155,Task_Tracker!$O$5:$O$1004))</f>
        <v/>
      </c>
      <c r="N155" s="66">
        <f>IF(OR($L155="",$M155=""),"",$M155-$L155)</f>
        <v/>
      </c>
      <c r="O155" s="84">
        <f>IF($B155="","",COUNTIFS(Task_Tracker!$F$5:$F$1004,$B155,Task_Tracker!$R$5:$R$1004,"Overdue"))</f>
        <v/>
      </c>
      <c r="P155" s="84">
        <f>IF($B155="","",COUNTIFS(Task_Tracker!$F$5:$F$1004,$B155,Task_Tracker!$S$5:$S$1004,TEXT(TODAY(),"yyyy-mm")))</f>
        <v/>
      </c>
      <c r="Q155" s="66">
        <f>IF($B155="","",SUMIFS(Task_Tracker!$O$5:$O$1004,Task_Tracker!$F$5:$F$1004,$B155,Task_Tracker!$S$5:$S$1004,TEXT(TODAY(),"yyyy-mm")))</f>
        <v/>
      </c>
      <c r="R155" s="86">
        <f>IFERROR($Q155/($F155*4),"")</f>
        <v/>
      </c>
    </row>
    <row r="156" ht="15" customHeight="1" s="40">
      <c r="A156" s="67">
        <f>Employee_Master!A156</f>
        <v/>
      </c>
      <c r="B156" s="67">
        <f>Employee_Master!B156</f>
        <v/>
      </c>
      <c r="C156" s="67">
        <f>Employee_Master!C156</f>
        <v/>
      </c>
      <c r="D156" s="67">
        <f>Employee_Master!D156</f>
        <v/>
      </c>
      <c r="E156" s="67">
        <f>Employee_Master!E156</f>
        <v/>
      </c>
      <c r="F156" s="87">
        <f>Employee_Master!H156</f>
        <v/>
      </c>
      <c r="G156" s="67">
        <f>Employee_Master!I156</f>
        <v/>
      </c>
      <c r="H156" s="84">
        <f>IF($B156="","",COUNTIF(Task_Tracker!$F$5:$F$1004,$B156))</f>
        <v/>
      </c>
      <c r="I156" s="84">
        <f>IF($B156="","",COUNTIFS(Task_Tracker!$F$5:$F$1004,$B156,Task_Tracker!$A$5:$A$1004,"&lt;&gt;",Task_Tracker!$I$5:$I$1004,"&lt;&gt;Completed",Task_Tracker!$I$5:$I$1004,"&lt;&gt;Cancelled"))</f>
        <v/>
      </c>
      <c r="J156" s="84">
        <f>IF($B156="","",COUNTIFS(Task_Tracker!$F$5:$F$1004,$B156,Task_Tracker!$I$5:$I$1004,"Completed"))</f>
        <v/>
      </c>
      <c r="K156" s="86">
        <f>IFERROR($J156/$H156,"")</f>
        <v/>
      </c>
      <c r="L156" s="66">
        <f>IF($B156="","",SUMIF(Task_Tracker!$F$5:$F$1004,$B156,Task_Tracker!$N$5:$N$1004))</f>
        <v/>
      </c>
      <c r="M156" s="66">
        <f>IF($B156="","",SUMIF(Task_Tracker!$F$5:$F$1004,$B156,Task_Tracker!$O$5:$O$1004))</f>
        <v/>
      </c>
      <c r="N156" s="66">
        <f>IF(OR($L156="",$M156=""),"",$M156-$L156)</f>
        <v/>
      </c>
      <c r="O156" s="84">
        <f>IF($B156="","",COUNTIFS(Task_Tracker!$F$5:$F$1004,$B156,Task_Tracker!$R$5:$R$1004,"Overdue"))</f>
        <v/>
      </c>
      <c r="P156" s="84">
        <f>IF($B156="","",COUNTIFS(Task_Tracker!$F$5:$F$1004,$B156,Task_Tracker!$S$5:$S$1004,TEXT(TODAY(),"yyyy-mm")))</f>
        <v/>
      </c>
      <c r="Q156" s="66">
        <f>IF($B156="","",SUMIFS(Task_Tracker!$O$5:$O$1004,Task_Tracker!$F$5:$F$1004,$B156,Task_Tracker!$S$5:$S$1004,TEXT(TODAY(),"yyyy-mm")))</f>
        <v/>
      </c>
      <c r="R156" s="86">
        <f>IFERROR($Q156/($F156*4),"")</f>
        <v/>
      </c>
    </row>
    <row r="157" ht="15" customHeight="1" s="40">
      <c r="A157" s="67">
        <f>Employee_Master!A157</f>
        <v/>
      </c>
      <c r="B157" s="67">
        <f>Employee_Master!B157</f>
        <v/>
      </c>
      <c r="C157" s="67">
        <f>Employee_Master!C157</f>
        <v/>
      </c>
      <c r="D157" s="67">
        <f>Employee_Master!D157</f>
        <v/>
      </c>
      <c r="E157" s="67">
        <f>Employee_Master!E157</f>
        <v/>
      </c>
      <c r="F157" s="87">
        <f>Employee_Master!H157</f>
        <v/>
      </c>
      <c r="G157" s="67">
        <f>Employee_Master!I157</f>
        <v/>
      </c>
      <c r="H157" s="84">
        <f>IF($B157="","",COUNTIF(Task_Tracker!$F$5:$F$1004,$B157))</f>
        <v/>
      </c>
      <c r="I157" s="84">
        <f>IF($B157="","",COUNTIFS(Task_Tracker!$F$5:$F$1004,$B157,Task_Tracker!$A$5:$A$1004,"&lt;&gt;",Task_Tracker!$I$5:$I$1004,"&lt;&gt;Completed",Task_Tracker!$I$5:$I$1004,"&lt;&gt;Cancelled"))</f>
        <v/>
      </c>
      <c r="J157" s="84">
        <f>IF($B157="","",COUNTIFS(Task_Tracker!$F$5:$F$1004,$B157,Task_Tracker!$I$5:$I$1004,"Completed"))</f>
        <v/>
      </c>
      <c r="K157" s="86">
        <f>IFERROR($J157/$H157,"")</f>
        <v/>
      </c>
      <c r="L157" s="66">
        <f>IF($B157="","",SUMIF(Task_Tracker!$F$5:$F$1004,$B157,Task_Tracker!$N$5:$N$1004))</f>
        <v/>
      </c>
      <c r="M157" s="66">
        <f>IF($B157="","",SUMIF(Task_Tracker!$F$5:$F$1004,$B157,Task_Tracker!$O$5:$O$1004))</f>
        <v/>
      </c>
      <c r="N157" s="66">
        <f>IF(OR($L157="",$M157=""),"",$M157-$L157)</f>
        <v/>
      </c>
      <c r="O157" s="84">
        <f>IF($B157="","",COUNTIFS(Task_Tracker!$F$5:$F$1004,$B157,Task_Tracker!$R$5:$R$1004,"Overdue"))</f>
        <v/>
      </c>
      <c r="P157" s="84">
        <f>IF($B157="","",COUNTIFS(Task_Tracker!$F$5:$F$1004,$B157,Task_Tracker!$S$5:$S$1004,TEXT(TODAY(),"yyyy-mm")))</f>
        <v/>
      </c>
      <c r="Q157" s="66">
        <f>IF($B157="","",SUMIFS(Task_Tracker!$O$5:$O$1004,Task_Tracker!$F$5:$F$1004,$B157,Task_Tracker!$S$5:$S$1004,TEXT(TODAY(),"yyyy-mm")))</f>
        <v/>
      </c>
      <c r="R157" s="86">
        <f>IFERROR($Q157/($F157*4),"")</f>
        <v/>
      </c>
    </row>
    <row r="158" ht="15" customHeight="1" s="40">
      <c r="A158" s="67">
        <f>Employee_Master!A158</f>
        <v/>
      </c>
      <c r="B158" s="67">
        <f>Employee_Master!B158</f>
        <v/>
      </c>
      <c r="C158" s="67">
        <f>Employee_Master!C158</f>
        <v/>
      </c>
      <c r="D158" s="67">
        <f>Employee_Master!D158</f>
        <v/>
      </c>
      <c r="E158" s="67">
        <f>Employee_Master!E158</f>
        <v/>
      </c>
      <c r="F158" s="87">
        <f>Employee_Master!H158</f>
        <v/>
      </c>
      <c r="G158" s="67">
        <f>Employee_Master!I158</f>
        <v/>
      </c>
      <c r="H158" s="84">
        <f>IF($B158="","",COUNTIF(Task_Tracker!$F$5:$F$1004,$B158))</f>
        <v/>
      </c>
      <c r="I158" s="84">
        <f>IF($B158="","",COUNTIFS(Task_Tracker!$F$5:$F$1004,$B158,Task_Tracker!$A$5:$A$1004,"&lt;&gt;",Task_Tracker!$I$5:$I$1004,"&lt;&gt;Completed",Task_Tracker!$I$5:$I$1004,"&lt;&gt;Cancelled"))</f>
        <v/>
      </c>
      <c r="J158" s="84">
        <f>IF($B158="","",COUNTIFS(Task_Tracker!$F$5:$F$1004,$B158,Task_Tracker!$I$5:$I$1004,"Completed"))</f>
        <v/>
      </c>
      <c r="K158" s="86">
        <f>IFERROR($J158/$H158,"")</f>
        <v/>
      </c>
      <c r="L158" s="66">
        <f>IF($B158="","",SUMIF(Task_Tracker!$F$5:$F$1004,$B158,Task_Tracker!$N$5:$N$1004))</f>
        <v/>
      </c>
      <c r="M158" s="66">
        <f>IF($B158="","",SUMIF(Task_Tracker!$F$5:$F$1004,$B158,Task_Tracker!$O$5:$O$1004))</f>
        <v/>
      </c>
      <c r="N158" s="66">
        <f>IF(OR($L158="",$M158=""),"",$M158-$L158)</f>
        <v/>
      </c>
      <c r="O158" s="84">
        <f>IF($B158="","",COUNTIFS(Task_Tracker!$F$5:$F$1004,$B158,Task_Tracker!$R$5:$R$1004,"Overdue"))</f>
        <v/>
      </c>
      <c r="P158" s="84">
        <f>IF($B158="","",COUNTIFS(Task_Tracker!$F$5:$F$1004,$B158,Task_Tracker!$S$5:$S$1004,TEXT(TODAY(),"yyyy-mm")))</f>
        <v/>
      </c>
      <c r="Q158" s="66">
        <f>IF($B158="","",SUMIFS(Task_Tracker!$O$5:$O$1004,Task_Tracker!$F$5:$F$1004,$B158,Task_Tracker!$S$5:$S$1004,TEXT(TODAY(),"yyyy-mm")))</f>
        <v/>
      </c>
      <c r="R158" s="86">
        <f>IFERROR($Q158/($F158*4),"")</f>
        <v/>
      </c>
    </row>
    <row r="159" ht="15" customHeight="1" s="40">
      <c r="A159" s="67">
        <f>Employee_Master!A159</f>
        <v/>
      </c>
      <c r="B159" s="67">
        <f>Employee_Master!B159</f>
        <v/>
      </c>
      <c r="C159" s="67">
        <f>Employee_Master!C159</f>
        <v/>
      </c>
      <c r="D159" s="67">
        <f>Employee_Master!D159</f>
        <v/>
      </c>
      <c r="E159" s="67">
        <f>Employee_Master!E159</f>
        <v/>
      </c>
      <c r="F159" s="87">
        <f>Employee_Master!H159</f>
        <v/>
      </c>
      <c r="G159" s="67">
        <f>Employee_Master!I159</f>
        <v/>
      </c>
      <c r="H159" s="84">
        <f>IF($B159="","",COUNTIF(Task_Tracker!$F$5:$F$1004,$B159))</f>
        <v/>
      </c>
      <c r="I159" s="84">
        <f>IF($B159="","",COUNTIFS(Task_Tracker!$F$5:$F$1004,$B159,Task_Tracker!$A$5:$A$1004,"&lt;&gt;",Task_Tracker!$I$5:$I$1004,"&lt;&gt;Completed",Task_Tracker!$I$5:$I$1004,"&lt;&gt;Cancelled"))</f>
        <v/>
      </c>
      <c r="J159" s="84">
        <f>IF($B159="","",COUNTIFS(Task_Tracker!$F$5:$F$1004,$B159,Task_Tracker!$I$5:$I$1004,"Completed"))</f>
        <v/>
      </c>
      <c r="K159" s="86">
        <f>IFERROR($J159/$H159,"")</f>
        <v/>
      </c>
      <c r="L159" s="66">
        <f>IF($B159="","",SUMIF(Task_Tracker!$F$5:$F$1004,$B159,Task_Tracker!$N$5:$N$1004))</f>
        <v/>
      </c>
      <c r="M159" s="66">
        <f>IF($B159="","",SUMIF(Task_Tracker!$F$5:$F$1004,$B159,Task_Tracker!$O$5:$O$1004))</f>
        <v/>
      </c>
      <c r="N159" s="66">
        <f>IF(OR($L159="",$M159=""),"",$M159-$L159)</f>
        <v/>
      </c>
      <c r="O159" s="84">
        <f>IF($B159="","",COUNTIFS(Task_Tracker!$F$5:$F$1004,$B159,Task_Tracker!$R$5:$R$1004,"Overdue"))</f>
        <v/>
      </c>
      <c r="P159" s="84">
        <f>IF($B159="","",COUNTIFS(Task_Tracker!$F$5:$F$1004,$B159,Task_Tracker!$S$5:$S$1004,TEXT(TODAY(),"yyyy-mm")))</f>
        <v/>
      </c>
      <c r="Q159" s="66">
        <f>IF($B159="","",SUMIFS(Task_Tracker!$O$5:$O$1004,Task_Tracker!$F$5:$F$1004,$B159,Task_Tracker!$S$5:$S$1004,TEXT(TODAY(),"yyyy-mm")))</f>
        <v/>
      </c>
      <c r="R159" s="86">
        <f>IFERROR($Q159/($F159*4),"")</f>
        <v/>
      </c>
    </row>
    <row r="160" ht="15" customHeight="1" s="40">
      <c r="A160" s="67">
        <f>Employee_Master!A160</f>
        <v/>
      </c>
      <c r="B160" s="67">
        <f>Employee_Master!B160</f>
        <v/>
      </c>
      <c r="C160" s="67">
        <f>Employee_Master!C160</f>
        <v/>
      </c>
      <c r="D160" s="67">
        <f>Employee_Master!D160</f>
        <v/>
      </c>
      <c r="E160" s="67">
        <f>Employee_Master!E160</f>
        <v/>
      </c>
      <c r="F160" s="87">
        <f>Employee_Master!H160</f>
        <v/>
      </c>
      <c r="G160" s="67">
        <f>Employee_Master!I160</f>
        <v/>
      </c>
      <c r="H160" s="84">
        <f>IF($B160="","",COUNTIF(Task_Tracker!$F$5:$F$1004,$B160))</f>
        <v/>
      </c>
      <c r="I160" s="84">
        <f>IF($B160="","",COUNTIFS(Task_Tracker!$F$5:$F$1004,$B160,Task_Tracker!$A$5:$A$1004,"&lt;&gt;",Task_Tracker!$I$5:$I$1004,"&lt;&gt;Completed",Task_Tracker!$I$5:$I$1004,"&lt;&gt;Cancelled"))</f>
        <v/>
      </c>
      <c r="J160" s="84">
        <f>IF($B160="","",COUNTIFS(Task_Tracker!$F$5:$F$1004,$B160,Task_Tracker!$I$5:$I$1004,"Completed"))</f>
        <v/>
      </c>
      <c r="K160" s="86">
        <f>IFERROR($J160/$H160,"")</f>
        <v/>
      </c>
      <c r="L160" s="66">
        <f>IF($B160="","",SUMIF(Task_Tracker!$F$5:$F$1004,$B160,Task_Tracker!$N$5:$N$1004))</f>
        <v/>
      </c>
      <c r="M160" s="66">
        <f>IF($B160="","",SUMIF(Task_Tracker!$F$5:$F$1004,$B160,Task_Tracker!$O$5:$O$1004))</f>
        <v/>
      </c>
      <c r="N160" s="66">
        <f>IF(OR($L160="",$M160=""),"",$M160-$L160)</f>
        <v/>
      </c>
      <c r="O160" s="84">
        <f>IF($B160="","",COUNTIFS(Task_Tracker!$F$5:$F$1004,$B160,Task_Tracker!$R$5:$R$1004,"Overdue"))</f>
        <v/>
      </c>
      <c r="P160" s="84">
        <f>IF($B160="","",COUNTIFS(Task_Tracker!$F$5:$F$1004,$B160,Task_Tracker!$S$5:$S$1004,TEXT(TODAY(),"yyyy-mm")))</f>
        <v/>
      </c>
      <c r="Q160" s="66">
        <f>IF($B160="","",SUMIFS(Task_Tracker!$O$5:$O$1004,Task_Tracker!$F$5:$F$1004,$B160,Task_Tracker!$S$5:$S$1004,TEXT(TODAY(),"yyyy-mm")))</f>
        <v/>
      </c>
      <c r="R160" s="86">
        <f>IFERROR($Q160/($F160*4),"")</f>
        <v/>
      </c>
    </row>
    <row r="161" ht="15" customHeight="1" s="40">
      <c r="A161" s="67">
        <f>Employee_Master!A161</f>
        <v/>
      </c>
      <c r="B161" s="67">
        <f>Employee_Master!B161</f>
        <v/>
      </c>
      <c r="C161" s="67">
        <f>Employee_Master!C161</f>
        <v/>
      </c>
      <c r="D161" s="67">
        <f>Employee_Master!D161</f>
        <v/>
      </c>
      <c r="E161" s="67">
        <f>Employee_Master!E161</f>
        <v/>
      </c>
      <c r="F161" s="87">
        <f>Employee_Master!H161</f>
        <v/>
      </c>
      <c r="G161" s="67">
        <f>Employee_Master!I161</f>
        <v/>
      </c>
      <c r="H161" s="84">
        <f>IF($B161="","",COUNTIF(Task_Tracker!$F$5:$F$1004,$B161))</f>
        <v/>
      </c>
      <c r="I161" s="84">
        <f>IF($B161="","",COUNTIFS(Task_Tracker!$F$5:$F$1004,$B161,Task_Tracker!$A$5:$A$1004,"&lt;&gt;",Task_Tracker!$I$5:$I$1004,"&lt;&gt;Completed",Task_Tracker!$I$5:$I$1004,"&lt;&gt;Cancelled"))</f>
        <v/>
      </c>
      <c r="J161" s="84">
        <f>IF($B161="","",COUNTIFS(Task_Tracker!$F$5:$F$1004,$B161,Task_Tracker!$I$5:$I$1004,"Completed"))</f>
        <v/>
      </c>
      <c r="K161" s="86">
        <f>IFERROR($J161/$H161,"")</f>
        <v/>
      </c>
      <c r="L161" s="66">
        <f>IF($B161="","",SUMIF(Task_Tracker!$F$5:$F$1004,$B161,Task_Tracker!$N$5:$N$1004))</f>
        <v/>
      </c>
      <c r="M161" s="66">
        <f>IF($B161="","",SUMIF(Task_Tracker!$F$5:$F$1004,$B161,Task_Tracker!$O$5:$O$1004))</f>
        <v/>
      </c>
      <c r="N161" s="66">
        <f>IF(OR($L161="",$M161=""),"",$M161-$L161)</f>
        <v/>
      </c>
      <c r="O161" s="84">
        <f>IF($B161="","",COUNTIFS(Task_Tracker!$F$5:$F$1004,$B161,Task_Tracker!$R$5:$R$1004,"Overdue"))</f>
        <v/>
      </c>
      <c r="P161" s="84">
        <f>IF($B161="","",COUNTIFS(Task_Tracker!$F$5:$F$1004,$B161,Task_Tracker!$S$5:$S$1004,TEXT(TODAY(),"yyyy-mm")))</f>
        <v/>
      </c>
      <c r="Q161" s="66">
        <f>IF($B161="","",SUMIFS(Task_Tracker!$O$5:$O$1004,Task_Tracker!$F$5:$F$1004,$B161,Task_Tracker!$S$5:$S$1004,TEXT(TODAY(),"yyyy-mm")))</f>
        <v/>
      </c>
      <c r="R161" s="86">
        <f>IFERROR($Q161/($F161*4),"")</f>
        <v/>
      </c>
    </row>
    <row r="162" ht="15" customHeight="1" s="40">
      <c r="A162" s="67">
        <f>Employee_Master!A162</f>
        <v/>
      </c>
      <c r="B162" s="67">
        <f>Employee_Master!B162</f>
        <v/>
      </c>
      <c r="C162" s="67">
        <f>Employee_Master!C162</f>
        <v/>
      </c>
      <c r="D162" s="67">
        <f>Employee_Master!D162</f>
        <v/>
      </c>
      <c r="E162" s="67">
        <f>Employee_Master!E162</f>
        <v/>
      </c>
      <c r="F162" s="87">
        <f>Employee_Master!H162</f>
        <v/>
      </c>
      <c r="G162" s="67">
        <f>Employee_Master!I162</f>
        <v/>
      </c>
      <c r="H162" s="84">
        <f>IF($B162="","",COUNTIF(Task_Tracker!$F$5:$F$1004,$B162))</f>
        <v/>
      </c>
      <c r="I162" s="84">
        <f>IF($B162="","",COUNTIFS(Task_Tracker!$F$5:$F$1004,$B162,Task_Tracker!$A$5:$A$1004,"&lt;&gt;",Task_Tracker!$I$5:$I$1004,"&lt;&gt;Completed",Task_Tracker!$I$5:$I$1004,"&lt;&gt;Cancelled"))</f>
        <v/>
      </c>
      <c r="J162" s="84">
        <f>IF($B162="","",COUNTIFS(Task_Tracker!$F$5:$F$1004,$B162,Task_Tracker!$I$5:$I$1004,"Completed"))</f>
        <v/>
      </c>
      <c r="K162" s="86">
        <f>IFERROR($J162/$H162,"")</f>
        <v/>
      </c>
      <c r="L162" s="66">
        <f>IF($B162="","",SUMIF(Task_Tracker!$F$5:$F$1004,$B162,Task_Tracker!$N$5:$N$1004))</f>
        <v/>
      </c>
      <c r="M162" s="66">
        <f>IF($B162="","",SUMIF(Task_Tracker!$F$5:$F$1004,$B162,Task_Tracker!$O$5:$O$1004))</f>
        <v/>
      </c>
      <c r="N162" s="66">
        <f>IF(OR($L162="",$M162=""),"",$M162-$L162)</f>
        <v/>
      </c>
      <c r="O162" s="84">
        <f>IF($B162="","",COUNTIFS(Task_Tracker!$F$5:$F$1004,$B162,Task_Tracker!$R$5:$R$1004,"Overdue"))</f>
        <v/>
      </c>
      <c r="P162" s="84">
        <f>IF($B162="","",COUNTIFS(Task_Tracker!$F$5:$F$1004,$B162,Task_Tracker!$S$5:$S$1004,TEXT(TODAY(),"yyyy-mm")))</f>
        <v/>
      </c>
      <c r="Q162" s="66">
        <f>IF($B162="","",SUMIFS(Task_Tracker!$O$5:$O$1004,Task_Tracker!$F$5:$F$1004,$B162,Task_Tracker!$S$5:$S$1004,TEXT(TODAY(),"yyyy-mm")))</f>
        <v/>
      </c>
      <c r="R162" s="86">
        <f>IFERROR($Q162/($F162*4),"")</f>
        <v/>
      </c>
    </row>
    <row r="163" ht="15" customHeight="1" s="40">
      <c r="A163" s="67">
        <f>Employee_Master!A163</f>
        <v/>
      </c>
      <c r="B163" s="67">
        <f>Employee_Master!B163</f>
        <v/>
      </c>
      <c r="C163" s="67">
        <f>Employee_Master!C163</f>
        <v/>
      </c>
      <c r="D163" s="67">
        <f>Employee_Master!D163</f>
        <v/>
      </c>
      <c r="E163" s="67">
        <f>Employee_Master!E163</f>
        <v/>
      </c>
      <c r="F163" s="87">
        <f>Employee_Master!H163</f>
        <v/>
      </c>
      <c r="G163" s="67">
        <f>Employee_Master!I163</f>
        <v/>
      </c>
      <c r="H163" s="84">
        <f>IF($B163="","",COUNTIF(Task_Tracker!$F$5:$F$1004,$B163))</f>
        <v/>
      </c>
      <c r="I163" s="84">
        <f>IF($B163="","",COUNTIFS(Task_Tracker!$F$5:$F$1004,$B163,Task_Tracker!$A$5:$A$1004,"&lt;&gt;",Task_Tracker!$I$5:$I$1004,"&lt;&gt;Completed",Task_Tracker!$I$5:$I$1004,"&lt;&gt;Cancelled"))</f>
        <v/>
      </c>
      <c r="J163" s="84">
        <f>IF($B163="","",COUNTIFS(Task_Tracker!$F$5:$F$1004,$B163,Task_Tracker!$I$5:$I$1004,"Completed"))</f>
        <v/>
      </c>
      <c r="K163" s="86">
        <f>IFERROR($J163/$H163,"")</f>
        <v/>
      </c>
      <c r="L163" s="66">
        <f>IF($B163="","",SUMIF(Task_Tracker!$F$5:$F$1004,$B163,Task_Tracker!$N$5:$N$1004))</f>
        <v/>
      </c>
      <c r="M163" s="66">
        <f>IF($B163="","",SUMIF(Task_Tracker!$F$5:$F$1004,$B163,Task_Tracker!$O$5:$O$1004))</f>
        <v/>
      </c>
      <c r="N163" s="66">
        <f>IF(OR($L163="",$M163=""),"",$M163-$L163)</f>
        <v/>
      </c>
      <c r="O163" s="84">
        <f>IF($B163="","",COUNTIFS(Task_Tracker!$F$5:$F$1004,$B163,Task_Tracker!$R$5:$R$1004,"Overdue"))</f>
        <v/>
      </c>
      <c r="P163" s="84">
        <f>IF($B163="","",COUNTIFS(Task_Tracker!$F$5:$F$1004,$B163,Task_Tracker!$S$5:$S$1004,TEXT(TODAY(),"yyyy-mm")))</f>
        <v/>
      </c>
      <c r="Q163" s="66">
        <f>IF($B163="","",SUMIFS(Task_Tracker!$O$5:$O$1004,Task_Tracker!$F$5:$F$1004,$B163,Task_Tracker!$S$5:$S$1004,TEXT(TODAY(),"yyyy-mm")))</f>
        <v/>
      </c>
      <c r="R163" s="86">
        <f>IFERROR($Q163/($F163*4),"")</f>
        <v/>
      </c>
    </row>
    <row r="164" ht="15" customHeight="1" s="40">
      <c r="A164" s="67">
        <f>Employee_Master!A164</f>
        <v/>
      </c>
      <c r="B164" s="67">
        <f>Employee_Master!B164</f>
        <v/>
      </c>
      <c r="C164" s="67">
        <f>Employee_Master!C164</f>
        <v/>
      </c>
      <c r="D164" s="67">
        <f>Employee_Master!D164</f>
        <v/>
      </c>
      <c r="E164" s="67">
        <f>Employee_Master!E164</f>
        <v/>
      </c>
      <c r="F164" s="87">
        <f>Employee_Master!H164</f>
        <v/>
      </c>
      <c r="G164" s="67">
        <f>Employee_Master!I164</f>
        <v/>
      </c>
      <c r="H164" s="84">
        <f>IF($B164="","",COUNTIF(Task_Tracker!$F$5:$F$1004,$B164))</f>
        <v/>
      </c>
      <c r="I164" s="84">
        <f>IF($B164="","",COUNTIFS(Task_Tracker!$F$5:$F$1004,$B164,Task_Tracker!$A$5:$A$1004,"&lt;&gt;",Task_Tracker!$I$5:$I$1004,"&lt;&gt;Completed",Task_Tracker!$I$5:$I$1004,"&lt;&gt;Cancelled"))</f>
        <v/>
      </c>
      <c r="J164" s="84">
        <f>IF($B164="","",COUNTIFS(Task_Tracker!$F$5:$F$1004,$B164,Task_Tracker!$I$5:$I$1004,"Completed"))</f>
        <v/>
      </c>
      <c r="K164" s="86">
        <f>IFERROR($J164/$H164,"")</f>
        <v/>
      </c>
      <c r="L164" s="66">
        <f>IF($B164="","",SUMIF(Task_Tracker!$F$5:$F$1004,$B164,Task_Tracker!$N$5:$N$1004))</f>
        <v/>
      </c>
      <c r="M164" s="66">
        <f>IF($B164="","",SUMIF(Task_Tracker!$F$5:$F$1004,$B164,Task_Tracker!$O$5:$O$1004))</f>
        <v/>
      </c>
      <c r="N164" s="66">
        <f>IF(OR($L164="",$M164=""),"",$M164-$L164)</f>
        <v/>
      </c>
      <c r="O164" s="84">
        <f>IF($B164="","",COUNTIFS(Task_Tracker!$F$5:$F$1004,$B164,Task_Tracker!$R$5:$R$1004,"Overdue"))</f>
        <v/>
      </c>
      <c r="P164" s="84">
        <f>IF($B164="","",COUNTIFS(Task_Tracker!$F$5:$F$1004,$B164,Task_Tracker!$S$5:$S$1004,TEXT(TODAY(),"yyyy-mm")))</f>
        <v/>
      </c>
      <c r="Q164" s="66">
        <f>IF($B164="","",SUMIFS(Task_Tracker!$O$5:$O$1004,Task_Tracker!$F$5:$F$1004,$B164,Task_Tracker!$S$5:$S$1004,TEXT(TODAY(),"yyyy-mm")))</f>
        <v/>
      </c>
      <c r="R164" s="86">
        <f>IFERROR($Q164/($F164*4),"")</f>
        <v/>
      </c>
    </row>
    <row r="165" ht="15" customHeight="1" s="40">
      <c r="A165" s="67">
        <f>Employee_Master!A165</f>
        <v/>
      </c>
      <c r="B165" s="67">
        <f>Employee_Master!B165</f>
        <v/>
      </c>
      <c r="C165" s="67">
        <f>Employee_Master!C165</f>
        <v/>
      </c>
      <c r="D165" s="67">
        <f>Employee_Master!D165</f>
        <v/>
      </c>
      <c r="E165" s="67">
        <f>Employee_Master!E165</f>
        <v/>
      </c>
      <c r="F165" s="87">
        <f>Employee_Master!H165</f>
        <v/>
      </c>
      <c r="G165" s="67">
        <f>Employee_Master!I165</f>
        <v/>
      </c>
      <c r="H165" s="84">
        <f>IF($B165="","",COUNTIF(Task_Tracker!$F$5:$F$1004,$B165))</f>
        <v/>
      </c>
      <c r="I165" s="84">
        <f>IF($B165="","",COUNTIFS(Task_Tracker!$F$5:$F$1004,$B165,Task_Tracker!$A$5:$A$1004,"&lt;&gt;",Task_Tracker!$I$5:$I$1004,"&lt;&gt;Completed",Task_Tracker!$I$5:$I$1004,"&lt;&gt;Cancelled"))</f>
        <v/>
      </c>
      <c r="J165" s="84">
        <f>IF($B165="","",COUNTIFS(Task_Tracker!$F$5:$F$1004,$B165,Task_Tracker!$I$5:$I$1004,"Completed"))</f>
        <v/>
      </c>
      <c r="K165" s="86">
        <f>IFERROR($J165/$H165,"")</f>
        <v/>
      </c>
      <c r="L165" s="66">
        <f>IF($B165="","",SUMIF(Task_Tracker!$F$5:$F$1004,$B165,Task_Tracker!$N$5:$N$1004))</f>
        <v/>
      </c>
      <c r="M165" s="66">
        <f>IF($B165="","",SUMIF(Task_Tracker!$F$5:$F$1004,$B165,Task_Tracker!$O$5:$O$1004))</f>
        <v/>
      </c>
      <c r="N165" s="66">
        <f>IF(OR($L165="",$M165=""),"",$M165-$L165)</f>
        <v/>
      </c>
      <c r="O165" s="84">
        <f>IF($B165="","",COUNTIFS(Task_Tracker!$F$5:$F$1004,$B165,Task_Tracker!$R$5:$R$1004,"Overdue"))</f>
        <v/>
      </c>
      <c r="P165" s="84">
        <f>IF($B165="","",COUNTIFS(Task_Tracker!$F$5:$F$1004,$B165,Task_Tracker!$S$5:$S$1004,TEXT(TODAY(),"yyyy-mm")))</f>
        <v/>
      </c>
      <c r="Q165" s="66">
        <f>IF($B165="","",SUMIFS(Task_Tracker!$O$5:$O$1004,Task_Tracker!$F$5:$F$1004,$B165,Task_Tracker!$S$5:$S$1004,TEXT(TODAY(),"yyyy-mm")))</f>
        <v/>
      </c>
      <c r="R165" s="86">
        <f>IFERROR($Q165/($F165*4),"")</f>
        <v/>
      </c>
    </row>
    <row r="166" ht="15" customHeight="1" s="40">
      <c r="A166" s="67">
        <f>Employee_Master!A166</f>
        <v/>
      </c>
      <c r="B166" s="67">
        <f>Employee_Master!B166</f>
        <v/>
      </c>
      <c r="C166" s="67">
        <f>Employee_Master!C166</f>
        <v/>
      </c>
      <c r="D166" s="67">
        <f>Employee_Master!D166</f>
        <v/>
      </c>
      <c r="E166" s="67">
        <f>Employee_Master!E166</f>
        <v/>
      </c>
      <c r="F166" s="87">
        <f>Employee_Master!H166</f>
        <v/>
      </c>
      <c r="G166" s="67">
        <f>Employee_Master!I166</f>
        <v/>
      </c>
      <c r="H166" s="84">
        <f>IF($B166="","",COUNTIF(Task_Tracker!$F$5:$F$1004,$B166))</f>
        <v/>
      </c>
      <c r="I166" s="84">
        <f>IF($B166="","",COUNTIFS(Task_Tracker!$F$5:$F$1004,$B166,Task_Tracker!$A$5:$A$1004,"&lt;&gt;",Task_Tracker!$I$5:$I$1004,"&lt;&gt;Completed",Task_Tracker!$I$5:$I$1004,"&lt;&gt;Cancelled"))</f>
        <v/>
      </c>
      <c r="J166" s="84">
        <f>IF($B166="","",COUNTIFS(Task_Tracker!$F$5:$F$1004,$B166,Task_Tracker!$I$5:$I$1004,"Completed"))</f>
        <v/>
      </c>
      <c r="K166" s="86">
        <f>IFERROR($J166/$H166,"")</f>
        <v/>
      </c>
      <c r="L166" s="66">
        <f>IF($B166="","",SUMIF(Task_Tracker!$F$5:$F$1004,$B166,Task_Tracker!$N$5:$N$1004))</f>
        <v/>
      </c>
      <c r="M166" s="66">
        <f>IF($B166="","",SUMIF(Task_Tracker!$F$5:$F$1004,$B166,Task_Tracker!$O$5:$O$1004))</f>
        <v/>
      </c>
      <c r="N166" s="66">
        <f>IF(OR($L166="",$M166=""),"",$M166-$L166)</f>
        <v/>
      </c>
      <c r="O166" s="84">
        <f>IF($B166="","",COUNTIFS(Task_Tracker!$F$5:$F$1004,$B166,Task_Tracker!$R$5:$R$1004,"Overdue"))</f>
        <v/>
      </c>
      <c r="P166" s="84">
        <f>IF($B166="","",COUNTIFS(Task_Tracker!$F$5:$F$1004,$B166,Task_Tracker!$S$5:$S$1004,TEXT(TODAY(),"yyyy-mm")))</f>
        <v/>
      </c>
      <c r="Q166" s="66">
        <f>IF($B166="","",SUMIFS(Task_Tracker!$O$5:$O$1004,Task_Tracker!$F$5:$F$1004,$B166,Task_Tracker!$S$5:$S$1004,TEXT(TODAY(),"yyyy-mm")))</f>
        <v/>
      </c>
      <c r="R166" s="86">
        <f>IFERROR($Q166/($F166*4),"")</f>
        <v/>
      </c>
    </row>
    <row r="167" ht="15" customHeight="1" s="40">
      <c r="A167" s="67">
        <f>Employee_Master!A167</f>
        <v/>
      </c>
      <c r="B167" s="67">
        <f>Employee_Master!B167</f>
        <v/>
      </c>
      <c r="C167" s="67">
        <f>Employee_Master!C167</f>
        <v/>
      </c>
      <c r="D167" s="67">
        <f>Employee_Master!D167</f>
        <v/>
      </c>
      <c r="E167" s="67">
        <f>Employee_Master!E167</f>
        <v/>
      </c>
      <c r="F167" s="87">
        <f>Employee_Master!H167</f>
        <v/>
      </c>
      <c r="G167" s="67">
        <f>Employee_Master!I167</f>
        <v/>
      </c>
      <c r="H167" s="84">
        <f>IF($B167="","",COUNTIF(Task_Tracker!$F$5:$F$1004,$B167))</f>
        <v/>
      </c>
      <c r="I167" s="84">
        <f>IF($B167="","",COUNTIFS(Task_Tracker!$F$5:$F$1004,$B167,Task_Tracker!$A$5:$A$1004,"&lt;&gt;",Task_Tracker!$I$5:$I$1004,"&lt;&gt;Completed",Task_Tracker!$I$5:$I$1004,"&lt;&gt;Cancelled"))</f>
        <v/>
      </c>
      <c r="J167" s="84">
        <f>IF($B167="","",COUNTIFS(Task_Tracker!$F$5:$F$1004,$B167,Task_Tracker!$I$5:$I$1004,"Completed"))</f>
        <v/>
      </c>
      <c r="K167" s="86">
        <f>IFERROR($J167/$H167,"")</f>
        <v/>
      </c>
      <c r="L167" s="66">
        <f>IF($B167="","",SUMIF(Task_Tracker!$F$5:$F$1004,$B167,Task_Tracker!$N$5:$N$1004))</f>
        <v/>
      </c>
      <c r="M167" s="66">
        <f>IF($B167="","",SUMIF(Task_Tracker!$F$5:$F$1004,$B167,Task_Tracker!$O$5:$O$1004))</f>
        <v/>
      </c>
      <c r="N167" s="66">
        <f>IF(OR($L167="",$M167=""),"",$M167-$L167)</f>
        <v/>
      </c>
      <c r="O167" s="84">
        <f>IF($B167="","",COUNTIFS(Task_Tracker!$F$5:$F$1004,$B167,Task_Tracker!$R$5:$R$1004,"Overdue"))</f>
        <v/>
      </c>
      <c r="P167" s="84">
        <f>IF($B167="","",COUNTIFS(Task_Tracker!$F$5:$F$1004,$B167,Task_Tracker!$S$5:$S$1004,TEXT(TODAY(),"yyyy-mm")))</f>
        <v/>
      </c>
      <c r="Q167" s="66">
        <f>IF($B167="","",SUMIFS(Task_Tracker!$O$5:$O$1004,Task_Tracker!$F$5:$F$1004,$B167,Task_Tracker!$S$5:$S$1004,TEXT(TODAY(),"yyyy-mm")))</f>
        <v/>
      </c>
      <c r="R167" s="86">
        <f>IFERROR($Q167/($F167*4),"")</f>
        <v/>
      </c>
    </row>
    <row r="168" ht="15" customHeight="1" s="40">
      <c r="A168" s="67">
        <f>Employee_Master!A168</f>
        <v/>
      </c>
      <c r="B168" s="67">
        <f>Employee_Master!B168</f>
        <v/>
      </c>
      <c r="C168" s="67">
        <f>Employee_Master!C168</f>
        <v/>
      </c>
      <c r="D168" s="67">
        <f>Employee_Master!D168</f>
        <v/>
      </c>
      <c r="E168" s="67">
        <f>Employee_Master!E168</f>
        <v/>
      </c>
      <c r="F168" s="87">
        <f>Employee_Master!H168</f>
        <v/>
      </c>
      <c r="G168" s="67">
        <f>Employee_Master!I168</f>
        <v/>
      </c>
      <c r="H168" s="84">
        <f>IF($B168="","",COUNTIF(Task_Tracker!$F$5:$F$1004,$B168))</f>
        <v/>
      </c>
      <c r="I168" s="84">
        <f>IF($B168="","",COUNTIFS(Task_Tracker!$F$5:$F$1004,$B168,Task_Tracker!$A$5:$A$1004,"&lt;&gt;",Task_Tracker!$I$5:$I$1004,"&lt;&gt;Completed",Task_Tracker!$I$5:$I$1004,"&lt;&gt;Cancelled"))</f>
        <v/>
      </c>
      <c r="J168" s="84">
        <f>IF($B168="","",COUNTIFS(Task_Tracker!$F$5:$F$1004,$B168,Task_Tracker!$I$5:$I$1004,"Completed"))</f>
        <v/>
      </c>
      <c r="K168" s="86">
        <f>IFERROR($J168/$H168,"")</f>
        <v/>
      </c>
      <c r="L168" s="66">
        <f>IF($B168="","",SUMIF(Task_Tracker!$F$5:$F$1004,$B168,Task_Tracker!$N$5:$N$1004))</f>
        <v/>
      </c>
      <c r="M168" s="66">
        <f>IF($B168="","",SUMIF(Task_Tracker!$F$5:$F$1004,$B168,Task_Tracker!$O$5:$O$1004))</f>
        <v/>
      </c>
      <c r="N168" s="66">
        <f>IF(OR($L168="",$M168=""),"",$M168-$L168)</f>
        <v/>
      </c>
      <c r="O168" s="84">
        <f>IF($B168="","",COUNTIFS(Task_Tracker!$F$5:$F$1004,$B168,Task_Tracker!$R$5:$R$1004,"Overdue"))</f>
        <v/>
      </c>
      <c r="P168" s="84">
        <f>IF($B168="","",COUNTIFS(Task_Tracker!$F$5:$F$1004,$B168,Task_Tracker!$S$5:$S$1004,TEXT(TODAY(),"yyyy-mm")))</f>
        <v/>
      </c>
      <c r="Q168" s="66">
        <f>IF($B168="","",SUMIFS(Task_Tracker!$O$5:$O$1004,Task_Tracker!$F$5:$F$1004,$B168,Task_Tracker!$S$5:$S$1004,TEXT(TODAY(),"yyyy-mm")))</f>
        <v/>
      </c>
      <c r="R168" s="86">
        <f>IFERROR($Q168/($F168*4),"")</f>
        <v/>
      </c>
    </row>
    <row r="169" ht="15" customHeight="1" s="40">
      <c r="A169" s="67">
        <f>Employee_Master!A169</f>
        <v/>
      </c>
      <c r="B169" s="67">
        <f>Employee_Master!B169</f>
        <v/>
      </c>
      <c r="C169" s="67">
        <f>Employee_Master!C169</f>
        <v/>
      </c>
      <c r="D169" s="67">
        <f>Employee_Master!D169</f>
        <v/>
      </c>
      <c r="E169" s="67">
        <f>Employee_Master!E169</f>
        <v/>
      </c>
      <c r="F169" s="87">
        <f>Employee_Master!H169</f>
        <v/>
      </c>
      <c r="G169" s="67">
        <f>Employee_Master!I169</f>
        <v/>
      </c>
      <c r="H169" s="84">
        <f>IF($B169="","",COUNTIF(Task_Tracker!$F$5:$F$1004,$B169))</f>
        <v/>
      </c>
      <c r="I169" s="84">
        <f>IF($B169="","",COUNTIFS(Task_Tracker!$F$5:$F$1004,$B169,Task_Tracker!$A$5:$A$1004,"&lt;&gt;",Task_Tracker!$I$5:$I$1004,"&lt;&gt;Completed",Task_Tracker!$I$5:$I$1004,"&lt;&gt;Cancelled"))</f>
        <v/>
      </c>
      <c r="J169" s="84">
        <f>IF($B169="","",COUNTIFS(Task_Tracker!$F$5:$F$1004,$B169,Task_Tracker!$I$5:$I$1004,"Completed"))</f>
        <v/>
      </c>
      <c r="K169" s="86">
        <f>IFERROR($J169/$H169,"")</f>
        <v/>
      </c>
      <c r="L169" s="66">
        <f>IF($B169="","",SUMIF(Task_Tracker!$F$5:$F$1004,$B169,Task_Tracker!$N$5:$N$1004))</f>
        <v/>
      </c>
      <c r="M169" s="66">
        <f>IF($B169="","",SUMIF(Task_Tracker!$F$5:$F$1004,$B169,Task_Tracker!$O$5:$O$1004))</f>
        <v/>
      </c>
      <c r="N169" s="66">
        <f>IF(OR($L169="",$M169=""),"",$M169-$L169)</f>
        <v/>
      </c>
      <c r="O169" s="84">
        <f>IF($B169="","",COUNTIFS(Task_Tracker!$F$5:$F$1004,$B169,Task_Tracker!$R$5:$R$1004,"Overdue"))</f>
        <v/>
      </c>
      <c r="P169" s="84">
        <f>IF($B169="","",COUNTIFS(Task_Tracker!$F$5:$F$1004,$B169,Task_Tracker!$S$5:$S$1004,TEXT(TODAY(),"yyyy-mm")))</f>
        <v/>
      </c>
      <c r="Q169" s="66">
        <f>IF($B169="","",SUMIFS(Task_Tracker!$O$5:$O$1004,Task_Tracker!$F$5:$F$1004,$B169,Task_Tracker!$S$5:$S$1004,TEXT(TODAY(),"yyyy-mm")))</f>
        <v/>
      </c>
      <c r="R169" s="86">
        <f>IFERROR($Q169/($F169*4),"")</f>
        <v/>
      </c>
    </row>
    <row r="170" ht="15" customHeight="1" s="40">
      <c r="A170" s="67">
        <f>Employee_Master!A170</f>
        <v/>
      </c>
      <c r="B170" s="67">
        <f>Employee_Master!B170</f>
        <v/>
      </c>
      <c r="C170" s="67">
        <f>Employee_Master!C170</f>
        <v/>
      </c>
      <c r="D170" s="67">
        <f>Employee_Master!D170</f>
        <v/>
      </c>
      <c r="E170" s="67">
        <f>Employee_Master!E170</f>
        <v/>
      </c>
      <c r="F170" s="87">
        <f>Employee_Master!H170</f>
        <v/>
      </c>
      <c r="G170" s="67">
        <f>Employee_Master!I170</f>
        <v/>
      </c>
      <c r="H170" s="84">
        <f>IF($B170="","",COUNTIF(Task_Tracker!$F$5:$F$1004,$B170))</f>
        <v/>
      </c>
      <c r="I170" s="84">
        <f>IF($B170="","",COUNTIFS(Task_Tracker!$F$5:$F$1004,$B170,Task_Tracker!$A$5:$A$1004,"&lt;&gt;",Task_Tracker!$I$5:$I$1004,"&lt;&gt;Completed",Task_Tracker!$I$5:$I$1004,"&lt;&gt;Cancelled"))</f>
        <v/>
      </c>
      <c r="J170" s="84">
        <f>IF($B170="","",COUNTIFS(Task_Tracker!$F$5:$F$1004,$B170,Task_Tracker!$I$5:$I$1004,"Completed"))</f>
        <v/>
      </c>
      <c r="K170" s="86">
        <f>IFERROR($J170/$H170,"")</f>
        <v/>
      </c>
      <c r="L170" s="66">
        <f>IF($B170="","",SUMIF(Task_Tracker!$F$5:$F$1004,$B170,Task_Tracker!$N$5:$N$1004))</f>
        <v/>
      </c>
      <c r="M170" s="66">
        <f>IF($B170="","",SUMIF(Task_Tracker!$F$5:$F$1004,$B170,Task_Tracker!$O$5:$O$1004))</f>
        <v/>
      </c>
      <c r="N170" s="66">
        <f>IF(OR($L170="",$M170=""),"",$M170-$L170)</f>
        <v/>
      </c>
      <c r="O170" s="84">
        <f>IF($B170="","",COUNTIFS(Task_Tracker!$F$5:$F$1004,$B170,Task_Tracker!$R$5:$R$1004,"Overdue"))</f>
        <v/>
      </c>
      <c r="P170" s="84">
        <f>IF($B170="","",COUNTIFS(Task_Tracker!$F$5:$F$1004,$B170,Task_Tracker!$S$5:$S$1004,TEXT(TODAY(),"yyyy-mm")))</f>
        <v/>
      </c>
      <c r="Q170" s="66">
        <f>IF($B170="","",SUMIFS(Task_Tracker!$O$5:$O$1004,Task_Tracker!$F$5:$F$1004,$B170,Task_Tracker!$S$5:$S$1004,TEXT(TODAY(),"yyyy-mm")))</f>
        <v/>
      </c>
      <c r="R170" s="86">
        <f>IFERROR($Q170/($F170*4),"")</f>
        <v/>
      </c>
    </row>
    <row r="171" ht="15" customHeight="1" s="40">
      <c r="A171" s="67">
        <f>Employee_Master!A171</f>
        <v/>
      </c>
      <c r="B171" s="67">
        <f>Employee_Master!B171</f>
        <v/>
      </c>
      <c r="C171" s="67">
        <f>Employee_Master!C171</f>
        <v/>
      </c>
      <c r="D171" s="67">
        <f>Employee_Master!D171</f>
        <v/>
      </c>
      <c r="E171" s="67">
        <f>Employee_Master!E171</f>
        <v/>
      </c>
      <c r="F171" s="87">
        <f>Employee_Master!H171</f>
        <v/>
      </c>
      <c r="G171" s="67">
        <f>Employee_Master!I171</f>
        <v/>
      </c>
      <c r="H171" s="84">
        <f>IF($B171="","",COUNTIF(Task_Tracker!$F$5:$F$1004,$B171))</f>
        <v/>
      </c>
      <c r="I171" s="84">
        <f>IF($B171="","",COUNTIFS(Task_Tracker!$F$5:$F$1004,$B171,Task_Tracker!$A$5:$A$1004,"&lt;&gt;",Task_Tracker!$I$5:$I$1004,"&lt;&gt;Completed",Task_Tracker!$I$5:$I$1004,"&lt;&gt;Cancelled"))</f>
        <v/>
      </c>
      <c r="J171" s="84">
        <f>IF($B171="","",COUNTIFS(Task_Tracker!$F$5:$F$1004,$B171,Task_Tracker!$I$5:$I$1004,"Completed"))</f>
        <v/>
      </c>
      <c r="K171" s="86">
        <f>IFERROR($J171/$H171,"")</f>
        <v/>
      </c>
      <c r="L171" s="66">
        <f>IF($B171="","",SUMIF(Task_Tracker!$F$5:$F$1004,$B171,Task_Tracker!$N$5:$N$1004))</f>
        <v/>
      </c>
      <c r="M171" s="66">
        <f>IF($B171="","",SUMIF(Task_Tracker!$F$5:$F$1004,$B171,Task_Tracker!$O$5:$O$1004))</f>
        <v/>
      </c>
      <c r="N171" s="66">
        <f>IF(OR($L171="",$M171=""),"",$M171-$L171)</f>
        <v/>
      </c>
      <c r="O171" s="84">
        <f>IF($B171="","",COUNTIFS(Task_Tracker!$F$5:$F$1004,$B171,Task_Tracker!$R$5:$R$1004,"Overdue"))</f>
        <v/>
      </c>
      <c r="P171" s="84">
        <f>IF($B171="","",COUNTIFS(Task_Tracker!$F$5:$F$1004,$B171,Task_Tracker!$S$5:$S$1004,TEXT(TODAY(),"yyyy-mm")))</f>
        <v/>
      </c>
      <c r="Q171" s="66">
        <f>IF($B171="","",SUMIFS(Task_Tracker!$O$5:$O$1004,Task_Tracker!$F$5:$F$1004,$B171,Task_Tracker!$S$5:$S$1004,TEXT(TODAY(),"yyyy-mm")))</f>
        <v/>
      </c>
      <c r="R171" s="86">
        <f>IFERROR($Q171/($F171*4),"")</f>
        <v/>
      </c>
    </row>
    <row r="172" ht="15" customHeight="1" s="40">
      <c r="A172" s="67">
        <f>Employee_Master!A172</f>
        <v/>
      </c>
      <c r="B172" s="67">
        <f>Employee_Master!B172</f>
        <v/>
      </c>
      <c r="C172" s="67">
        <f>Employee_Master!C172</f>
        <v/>
      </c>
      <c r="D172" s="67">
        <f>Employee_Master!D172</f>
        <v/>
      </c>
      <c r="E172" s="67">
        <f>Employee_Master!E172</f>
        <v/>
      </c>
      <c r="F172" s="87">
        <f>Employee_Master!H172</f>
        <v/>
      </c>
      <c r="G172" s="67">
        <f>Employee_Master!I172</f>
        <v/>
      </c>
      <c r="H172" s="84">
        <f>IF($B172="","",COUNTIF(Task_Tracker!$F$5:$F$1004,$B172))</f>
        <v/>
      </c>
      <c r="I172" s="84">
        <f>IF($B172="","",COUNTIFS(Task_Tracker!$F$5:$F$1004,$B172,Task_Tracker!$A$5:$A$1004,"&lt;&gt;",Task_Tracker!$I$5:$I$1004,"&lt;&gt;Completed",Task_Tracker!$I$5:$I$1004,"&lt;&gt;Cancelled"))</f>
        <v/>
      </c>
      <c r="J172" s="84">
        <f>IF($B172="","",COUNTIFS(Task_Tracker!$F$5:$F$1004,$B172,Task_Tracker!$I$5:$I$1004,"Completed"))</f>
        <v/>
      </c>
      <c r="K172" s="86">
        <f>IFERROR($J172/$H172,"")</f>
        <v/>
      </c>
      <c r="L172" s="66">
        <f>IF($B172="","",SUMIF(Task_Tracker!$F$5:$F$1004,$B172,Task_Tracker!$N$5:$N$1004))</f>
        <v/>
      </c>
      <c r="M172" s="66">
        <f>IF($B172="","",SUMIF(Task_Tracker!$F$5:$F$1004,$B172,Task_Tracker!$O$5:$O$1004))</f>
        <v/>
      </c>
      <c r="N172" s="66">
        <f>IF(OR($L172="",$M172=""),"",$M172-$L172)</f>
        <v/>
      </c>
      <c r="O172" s="84">
        <f>IF($B172="","",COUNTIFS(Task_Tracker!$F$5:$F$1004,$B172,Task_Tracker!$R$5:$R$1004,"Overdue"))</f>
        <v/>
      </c>
      <c r="P172" s="84">
        <f>IF($B172="","",COUNTIFS(Task_Tracker!$F$5:$F$1004,$B172,Task_Tracker!$S$5:$S$1004,TEXT(TODAY(),"yyyy-mm")))</f>
        <v/>
      </c>
      <c r="Q172" s="66">
        <f>IF($B172="","",SUMIFS(Task_Tracker!$O$5:$O$1004,Task_Tracker!$F$5:$F$1004,$B172,Task_Tracker!$S$5:$S$1004,TEXT(TODAY(),"yyyy-mm")))</f>
        <v/>
      </c>
      <c r="R172" s="86">
        <f>IFERROR($Q172/($F172*4),"")</f>
        <v/>
      </c>
    </row>
    <row r="173" ht="15" customHeight="1" s="40">
      <c r="A173" s="67">
        <f>Employee_Master!A173</f>
        <v/>
      </c>
      <c r="B173" s="67">
        <f>Employee_Master!B173</f>
        <v/>
      </c>
      <c r="C173" s="67">
        <f>Employee_Master!C173</f>
        <v/>
      </c>
      <c r="D173" s="67">
        <f>Employee_Master!D173</f>
        <v/>
      </c>
      <c r="E173" s="67">
        <f>Employee_Master!E173</f>
        <v/>
      </c>
      <c r="F173" s="87">
        <f>Employee_Master!H173</f>
        <v/>
      </c>
      <c r="G173" s="67">
        <f>Employee_Master!I173</f>
        <v/>
      </c>
      <c r="H173" s="84">
        <f>IF($B173="","",COUNTIF(Task_Tracker!$F$5:$F$1004,$B173))</f>
        <v/>
      </c>
      <c r="I173" s="84">
        <f>IF($B173="","",COUNTIFS(Task_Tracker!$F$5:$F$1004,$B173,Task_Tracker!$A$5:$A$1004,"&lt;&gt;",Task_Tracker!$I$5:$I$1004,"&lt;&gt;Completed",Task_Tracker!$I$5:$I$1004,"&lt;&gt;Cancelled"))</f>
        <v/>
      </c>
      <c r="J173" s="84">
        <f>IF($B173="","",COUNTIFS(Task_Tracker!$F$5:$F$1004,$B173,Task_Tracker!$I$5:$I$1004,"Completed"))</f>
        <v/>
      </c>
      <c r="K173" s="86">
        <f>IFERROR($J173/$H173,"")</f>
        <v/>
      </c>
      <c r="L173" s="66">
        <f>IF($B173="","",SUMIF(Task_Tracker!$F$5:$F$1004,$B173,Task_Tracker!$N$5:$N$1004))</f>
        <v/>
      </c>
      <c r="M173" s="66">
        <f>IF($B173="","",SUMIF(Task_Tracker!$F$5:$F$1004,$B173,Task_Tracker!$O$5:$O$1004))</f>
        <v/>
      </c>
      <c r="N173" s="66">
        <f>IF(OR($L173="",$M173=""),"",$M173-$L173)</f>
        <v/>
      </c>
      <c r="O173" s="84">
        <f>IF($B173="","",COUNTIFS(Task_Tracker!$F$5:$F$1004,$B173,Task_Tracker!$R$5:$R$1004,"Overdue"))</f>
        <v/>
      </c>
      <c r="P173" s="84">
        <f>IF($B173="","",COUNTIFS(Task_Tracker!$F$5:$F$1004,$B173,Task_Tracker!$S$5:$S$1004,TEXT(TODAY(),"yyyy-mm")))</f>
        <v/>
      </c>
      <c r="Q173" s="66">
        <f>IF($B173="","",SUMIFS(Task_Tracker!$O$5:$O$1004,Task_Tracker!$F$5:$F$1004,$B173,Task_Tracker!$S$5:$S$1004,TEXT(TODAY(),"yyyy-mm")))</f>
        <v/>
      </c>
      <c r="R173" s="86">
        <f>IFERROR($Q173/($F173*4),"")</f>
        <v/>
      </c>
    </row>
    <row r="174" ht="15" customHeight="1" s="40">
      <c r="A174" s="67">
        <f>Employee_Master!A174</f>
        <v/>
      </c>
      <c r="B174" s="67">
        <f>Employee_Master!B174</f>
        <v/>
      </c>
      <c r="C174" s="67">
        <f>Employee_Master!C174</f>
        <v/>
      </c>
      <c r="D174" s="67">
        <f>Employee_Master!D174</f>
        <v/>
      </c>
      <c r="E174" s="67">
        <f>Employee_Master!E174</f>
        <v/>
      </c>
      <c r="F174" s="87">
        <f>Employee_Master!H174</f>
        <v/>
      </c>
      <c r="G174" s="67">
        <f>Employee_Master!I174</f>
        <v/>
      </c>
      <c r="H174" s="84">
        <f>IF($B174="","",COUNTIF(Task_Tracker!$F$5:$F$1004,$B174))</f>
        <v/>
      </c>
      <c r="I174" s="84">
        <f>IF($B174="","",COUNTIFS(Task_Tracker!$F$5:$F$1004,$B174,Task_Tracker!$A$5:$A$1004,"&lt;&gt;",Task_Tracker!$I$5:$I$1004,"&lt;&gt;Completed",Task_Tracker!$I$5:$I$1004,"&lt;&gt;Cancelled"))</f>
        <v/>
      </c>
      <c r="J174" s="84">
        <f>IF($B174="","",COUNTIFS(Task_Tracker!$F$5:$F$1004,$B174,Task_Tracker!$I$5:$I$1004,"Completed"))</f>
        <v/>
      </c>
      <c r="K174" s="86">
        <f>IFERROR($J174/$H174,"")</f>
        <v/>
      </c>
      <c r="L174" s="66">
        <f>IF($B174="","",SUMIF(Task_Tracker!$F$5:$F$1004,$B174,Task_Tracker!$N$5:$N$1004))</f>
        <v/>
      </c>
      <c r="M174" s="66">
        <f>IF($B174="","",SUMIF(Task_Tracker!$F$5:$F$1004,$B174,Task_Tracker!$O$5:$O$1004))</f>
        <v/>
      </c>
      <c r="N174" s="66">
        <f>IF(OR($L174="",$M174=""),"",$M174-$L174)</f>
        <v/>
      </c>
      <c r="O174" s="84">
        <f>IF($B174="","",COUNTIFS(Task_Tracker!$F$5:$F$1004,$B174,Task_Tracker!$R$5:$R$1004,"Overdue"))</f>
        <v/>
      </c>
      <c r="P174" s="84">
        <f>IF($B174="","",COUNTIFS(Task_Tracker!$F$5:$F$1004,$B174,Task_Tracker!$S$5:$S$1004,TEXT(TODAY(),"yyyy-mm")))</f>
        <v/>
      </c>
      <c r="Q174" s="66">
        <f>IF($B174="","",SUMIFS(Task_Tracker!$O$5:$O$1004,Task_Tracker!$F$5:$F$1004,$B174,Task_Tracker!$S$5:$S$1004,TEXT(TODAY(),"yyyy-mm")))</f>
        <v/>
      </c>
      <c r="R174" s="86">
        <f>IFERROR($Q174/($F174*4),"")</f>
        <v/>
      </c>
    </row>
    <row r="175" ht="15" customHeight="1" s="40">
      <c r="A175" s="67">
        <f>Employee_Master!A175</f>
        <v/>
      </c>
      <c r="B175" s="67">
        <f>Employee_Master!B175</f>
        <v/>
      </c>
      <c r="C175" s="67">
        <f>Employee_Master!C175</f>
        <v/>
      </c>
      <c r="D175" s="67">
        <f>Employee_Master!D175</f>
        <v/>
      </c>
      <c r="E175" s="67">
        <f>Employee_Master!E175</f>
        <v/>
      </c>
      <c r="F175" s="87">
        <f>Employee_Master!H175</f>
        <v/>
      </c>
      <c r="G175" s="67">
        <f>Employee_Master!I175</f>
        <v/>
      </c>
      <c r="H175" s="84">
        <f>IF($B175="","",COUNTIF(Task_Tracker!$F$5:$F$1004,$B175))</f>
        <v/>
      </c>
      <c r="I175" s="84">
        <f>IF($B175="","",COUNTIFS(Task_Tracker!$F$5:$F$1004,$B175,Task_Tracker!$A$5:$A$1004,"&lt;&gt;",Task_Tracker!$I$5:$I$1004,"&lt;&gt;Completed",Task_Tracker!$I$5:$I$1004,"&lt;&gt;Cancelled"))</f>
        <v/>
      </c>
      <c r="J175" s="84">
        <f>IF($B175="","",COUNTIFS(Task_Tracker!$F$5:$F$1004,$B175,Task_Tracker!$I$5:$I$1004,"Completed"))</f>
        <v/>
      </c>
      <c r="K175" s="86">
        <f>IFERROR($J175/$H175,"")</f>
        <v/>
      </c>
      <c r="L175" s="66">
        <f>IF($B175="","",SUMIF(Task_Tracker!$F$5:$F$1004,$B175,Task_Tracker!$N$5:$N$1004))</f>
        <v/>
      </c>
      <c r="M175" s="66">
        <f>IF($B175="","",SUMIF(Task_Tracker!$F$5:$F$1004,$B175,Task_Tracker!$O$5:$O$1004))</f>
        <v/>
      </c>
      <c r="N175" s="66">
        <f>IF(OR($L175="",$M175=""),"",$M175-$L175)</f>
        <v/>
      </c>
      <c r="O175" s="84">
        <f>IF($B175="","",COUNTIFS(Task_Tracker!$F$5:$F$1004,$B175,Task_Tracker!$R$5:$R$1004,"Overdue"))</f>
        <v/>
      </c>
      <c r="P175" s="84">
        <f>IF($B175="","",COUNTIFS(Task_Tracker!$F$5:$F$1004,$B175,Task_Tracker!$S$5:$S$1004,TEXT(TODAY(),"yyyy-mm")))</f>
        <v/>
      </c>
      <c r="Q175" s="66">
        <f>IF($B175="","",SUMIFS(Task_Tracker!$O$5:$O$1004,Task_Tracker!$F$5:$F$1004,$B175,Task_Tracker!$S$5:$S$1004,TEXT(TODAY(),"yyyy-mm")))</f>
        <v/>
      </c>
      <c r="R175" s="86">
        <f>IFERROR($Q175/($F175*4),"")</f>
        <v/>
      </c>
    </row>
    <row r="176" ht="15" customHeight="1" s="40">
      <c r="A176" s="67">
        <f>Employee_Master!A176</f>
        <v/>
      </c>
      <c r="B176" s="67">
        <f>Employee_Master!B176</f>
        <v/>
      </c>
      <c r="C176" s="67">
        <f>Employee_Master!C176</f>
        <v/>
      </c>
      <c r="D176" s="67">
        <f>Employee_Master!D176</f>
        <v/>
      </c>
      <c r="E176" s="67">
        <f>Employee_Master!E176</f>
        <v/>
      </c>
      <c r="F176" s="87">
        <f>Employee_Master!H176</f>
        <v/>
      </c>
      <c r="G176" s="67">
        <f>Employee_Master!I176</f>
        <v/>
      </c>
      <c r="H176" s="84">
        <f>IF($B176="","",COUNTIF(Task_Tracker!$F$5:$F$1004,$B176))</f>
        <v/>
      </c>
      <c r="I176" s="84">
        <f>IF($B176="","",COUNTIFS(Task_Tracker!$F$5:$F$1004,$B176,Task_Tracker!$A$5:$A$1004,"&lt;&gt;",Task_Tracker!$I$5:$I$1004,"&lt;&gt;Completed",Task_Tracker!$I$5:$I$1004,"&lt;&gt;Cancelled"))</f>
        <v/>
      </c>
      <c r="J176" s="84">
        <f>IF($B176="","",COUNTIFS(Task_Tracker!$F$5:$F$1004,$B176,Task_Tracker!$I$5:$I$1004,"Completed"))</f>
        <v/>
      </c>
      <c r="K176" s="86">
        <f>IFERROR($J176/$H176,"")</f>
        <v/>
      </c>
      <c r="L176" s="66">
        <f>IF($B176="","",SUMIF(Task_Tracker!$F$5:$F$1004,$B176,Task_Tracker!$N$5:$N$1004))</f>
        <v/>
      </c>
      <c r="M176" s="66">
        <f>IF($B176="","",SUMIF(Task_Tracker!$F$5:$F$1004,$B176,Task_Tracker!$O$5:$O$1004))</f>
        <v/>
      </c>
      <c r="N176" s="66">
        <f>IF(OR($L176="",$M176=""),"",$M176-$L176)</f>
        <v/>
      </c>
      <c r="O176" s="84">
        <f>IF($B176="","",COUNTIFS(Task_Tracker!$F$5:$F$1004,$B176,Task_Tracker!$R$5:$R$1004,"Overdue"))</f>
        <v/>
      </c>
      <c r="P176" s="84">
        <f>IF($B176="","",COUNTIFS(Task_Tracker!$F$5:$F$1004,$B176,Task_Tracker!$S$5:$S$1004,TEXT(TODAY(),"yyyy-mm")))</f>
        <v/>
      </c>
      <c r="Q176" s="66">
        <f>IF($B176="","",SUMIFS(Task_Tracker!$O$5:$O$1004,Task_Tracker!$F$5:$F$1004,$B176,Task_Tracker!$S$5:$S$1004,TEXT(TODAY(),"yyyy-mm")))</f>
        <v/>
      </c>
      <c r="R176" s="86">
        <f>IFERROR($Q176/($F176*4),"")</f>
        <v/>
      </c>
    </row>
    <row r="177" ht="15" customHeight="1" s="40">
      <c r="A177" s="67">
        <f>Employee_Master!A177</f>
        <v/>
      </c>
      <c r="B177" s="67">
        <f>Employee_Master!B177</f>
        <v/>
      </c>
      <c r="C177" s="67">
        <f>Employee_Master!C177</f>
        <v/>
      </c>
      <c r="D177" s="67">
        <f>Employee_Master!D177</f>
        <v/>
      </c>
      <c r="E177" s="67">
        <f>Employee_Master!E177</f>
        <v/>
      </c>
      <c r="F177" s="87">
        <f>Employee_Master!H177</f>
        <v/>
      </c>
      <c r="G177" s="67">
        <f>Employee_Master!I177</f>
        <v/>
      </c>
      <c r="H177" s="84">
        <f>IF($B177="","",COUNTIF(Task_Tracker!$F$5:$F$1004,$B177))</f>
        <v/>
      </c>
      <c r="I177" s="84">
        <f>IF($B177="","",COUNTIFS(Task_Tracker!$F$5:$F$1004,$B177,Task_Tracker!$A$5:$A$1004,"&lt;&gt;",Task_Tracker!$I$5:$I$1004,"&lt;&gt;Completed",Task_Tracker!$I$5:$I$1004,"&lt;&gt;Cancelled"))</f>
        <v/>
      </c>
      <c r="J177" s="84">
        <f>IF($B177="","",COUNTIFS(Task_Tracker!$F$5:$F$1004,$B177,Task_Tracker!$I$5:$I$1004,"Completed"))</f>
        <v/>
      </c>
      <c r="K177" s="86">
        <f>IFERROR($J177/$H177,"")</f>
        <v/>
      </c>
      <c r="L177" s="66">
        <f>IF($B177="","",SUMIF(Task_Tracker!$F$5:$F$1004,$B177,Task_Tracker!$N$5:$N$1004))</f>
        <v/>
      </c>
      <c r="M177" s="66">
        <f>IF($B177="","",SUMIF(Task_Tracker!$F$5:$F$1004,$B177,Task_Tracker!$O$5:$O$1004))</f>
        <v/>
      </c>
      <c r="N177" s="66">
        <f>IF(OR($L177="",$M177=""),"",$M177-$L177)</f>
        <v/>
      </c>
      <c r="O177" s="84">
        <f>IF($B177="","",COUNTIFS(Task_Tracker!$F$5:$F$1004,$B177,Task_Tracker!$R$5:$R$1004,"Overdue"))</f>
        <v/>
      </c>
      <c r="P177" s="84">
        <f>IF($B177="","",COUNTIFS(Task_Tracker!$F$5:$F$1004,$B177,Task_Tracker!$S$5:$S$1004,TEXT(TODAY(),"yyyy-mm")))</f>
        <v/>
      </c>
      <c r="Q177" s="66">
        <f>IF($B177="","",SUMIFS(Task_Tracker!$O$5:$O$1004,Task_Tracker!$F$5:$F$1004,$B177,Task_Tracker!$S$5:$S$1004,TEXT(TODAY(),"yyyy-mm")))</f>
        <v/>
      </c>
      <c r="R177" s="86">
        <f>IFERROR($Q177/($F177*4),"")</f>
        <v/>
      </c>
    </row>
    <row r="178" ht="15" customHeight="1" s="40">
      <c r="A178" s="67">
        <f>Employee_Master!A178</f>
        <v/>
      </c>
      <c r="B178" s="67">
        <f>Employee_Master!B178</f>
        <v/>
      </c>
      <c r="C178" s="67">
        <f>Employee_Master!C178</f>
        <v/>
      </c>
      <c r="D178" s="67">
        <f>Employee_Master!D178</f>
        <v/>
      </c>
      <c r="E178" s="67">
        <f>Employee_Master!E178</f>
        <v/>
      </c>
      <c r="F178" s="87">
        <f>Employee_Master!H178</f>
        <v/>
      </c>
      <c r="G178" s="67">
        <f>Employee_Master!I178</f>
        <v/>
      </c>
      <c r="H178" s="84">
        <f>IF($B178="","",COUNTIF(Task_Tracker!$F$5:$F$1004,$B178))</f>
        <v/>
      </c>
      <c r="I178" s="84">
        <f>IF($B178="","",COUNTIFS(Task_Tracker!$F$5:$F$1004,$B178,Task_Tracker!$A$5:$A$1004,"&lt;&gt;",Task_Tracker!$I$5:$I$1004,"&lt;&gt;Completed",Task_Tracker!$I$5:$I$1004,"&lt;&gt;Cancelled"))</f>
        <v/>
      </c>
      <c r="J178" s="84">
        <f>IF($B178="","",COUNTIFS(Task_Tracker!$F$5:$F$1004,$B178,Task_Tracker!$I$5:$I$1004,"Completed"))</f>
        <v/>
      </c>
      <c r="K178" s="86">
        <f>IFERROR($J178/$H178,"")</f>
        <v/>
      </c>
      <c r="L178" s="66">
        <f>IF($B178="","",SUMIF(Task_Tracker!$F$5:$F$1004,$B178,Task_Tracker!$N$5:$N$1004))</f>
        <v/>
      </c>
      <c r="M178" s="66">
        <f>IF($B178="","",SUMIF(Task_Tracker!$F$5:$F$1004,$B178,Task_Tracker!$O$5:$O$1004))</f>
        <v/>
      </c>
      <c r="N178" s="66">
        <f>IF(OR($L178="",$M178=""),"",$M178-$L178)</f>
        <v/>
      </c>
      <c r="O178" s="84">
        <f>IF($B178="","",COUNTIFS(Task_Tracker!$F$5:$F$1004,$B178,Task_Tracker!$R$5:$R$1004,"Overdue"))</f>
        <v/>
      </c>
      <c r="P178" s="84">
        <f>IF($B178="","",COUNTIFS(Task_Tracker!$F$5:$F$1004,$B178,Task_Tracker!$S$5:$S$1004,TEXT(TODAY(),"yyyy-mm")))</f>
        <v/>
      </c>
      <c r="Q178" s="66">
        <f>IF($B178="","",SUMIFS(Task_Tracker!$O$5:$O$1004,Task_Tracker!$F$5:$F$1004,$B178,Task_Tracker!$S$5:$S$1004,TEXT(TODAY(),"yyyy-mm")))</f>
        <v/>
      </c>
      <c r="R178" s="86">
        <f>IFERROR($Q178/($F178*4),"")</f>
        <v/>
      </c>
    </row>
    <row r="179" ht="15" customHeight="1" s="40">
      <c r="A179" s="67">
        <f>Employee_Master!A179</f>
        <v/>
      </c>
      <c r="B179" s="67">
        <f>Employee_Master!B179</f>
        <v/>
      </c>
      <c r="C179" s="67">
        <f>Employee_Master!C179</f>
        <v/>
      </c>
      <c r="D179" s="67">
        <f>Employee_Master!D179</f>
        <v/>
      </c>
      <c r="E179" s="67">
        <f>Employee_Master!E179</f>
        <v/>
      </c>
      <c r="F179" s="87">
        <f>Employee_Master!H179</f>
        <v/>
      </c>
      <c r="G179" s="67">
        <f>Employee_Master!I179</f>
        <v/>
      </c>
      <c r="H179" s="84">
        <f>IF($B179="","",COUNTIF(Task_Tracker!$F$5:$F$1004,$B179))</f>
        <v/>
      </c>
      <c r="I179" s="84">
        <f>IF($B179="","",COUNTIFS(Task_Tracker!$F$5:$F$1004,$B179,Task_Tracker!$A$5:$A$1004,"&lt;&gt;",Task_Tracker!$I$5:$I$1004,"&lt;&gt;Completed",Task_Tracker!$I$5:$I$1004,"&lt;&gt;Cancelled"))</f>
        <v/>
      </c>
      <c r="J179" s="84">
        <f>IF($B179="","",COUNTIFS(Task_Tracker!$F$5:$F$1004,$B179,Task_Tracker!$I$5:$I$1004,"Completed"))</f>
        <v/>
      </c>
      <c r="K179" s="86">
        <f>IFERROR($J179/$H179,"")</f>
        <v/>
      </c>
      <c r="L179" s="66">
        <f>IF($B179="","",SUMIF(Task_Tracker!$F$5:$F$1004,$B179,Task_Tracker!$N$5:$N$1004))</f>
        <v/>
      </c>
      <c r="M179" s="66">
        <f>IF($B179="","",SUMIF(Task_Tracker!$F$5:$F$1004,$B179,Task_Tracker!$O$5:$O$1004))</f>
        <v/>
      </c>
      <c r="N179" s="66">
        <f>IF(OR($L179="",$M179=""),"",$M179-$L179)</f>
        <v/>
      </c>
      <c r="O179" s="84">
        <f>IF($B179="","",COUNTIFS(Task_Tracker!$F$5:$F$1004,$B179,Task_Tracker!$R$5:$R$1004,"Overdue"))</f>
        <v/>
      </c>
      <c r="P179" s="84">
        <f>IF($B179="","",COUNTIFS(Task_Tracker!$F$5:$F$1004,$B179,Task_Tracker!$S$5:$S$1004,TEXT(TODAY(),"yyyy-mm")))</f>
        <v/>
      </c>
      <c r="Q179" s="66">
        <f>IF($B179="","",SUMIFS(Task_Tracker!$O$5:$O$1004,Task_Tracker!$F$5:$F$1004,$B179,Task_Tracker!$S$5:$S$1004,TEXT(TODAY(),"yyyy-mm")))</f>
        <v/>
      </c>
      <c r="R179" s="86">
        <f>IFERROR($Q179/($F179*4),"")</f>
        <v/>
      </c>
    </row>
    <row r="180" ht="15" customHeight="1" s="40">
      <c r="A180" s="67">
        <f>Employee_Master!A180</f>
        <v/>
      </c>
      <c r="B180" s="67">
        <f>Employee_Master!B180</f>
        <v/>
      </c>
      <c r="C180" s="67">
        <f>Employee_Master!C180</f>
        <v/>
      </c>
      <c r="D180" s="67">
        <f>Employee_Master!D180</f>
        <v/>
      </c>
      <c r="E180" s="67">
        <f>Employee_Master!E180</f>
        <v/>
      </c>
      <c r="F180" s="87">
        <f>Employee_Master!H180</f>
        <v/>
      </c>
      <c r="G180" s="67">
        <f>Employee_Master!I180</f>
        <v/>
      </c>
      <c r="H180" s="84">
        <f>IF($B180="","",COUNTIF(Task_Tracker!$F$5:$F$1004,$B180))</f>
        <v/>
      </c>
      <c r="I180" s="84">
        <f>IF($B180="","",COUNTIFS(Task_Tracker!$F$5:$F$1004,$B180,Task_Tracker!$A$5:$A$1004,"&lt;&gt;",Task_Tracker!$I$5:$I$1004,"&lt;&gt;Completed",Task_Tracker!$I$5:$I$1004,"&lt;&gt;Cancelled"))</f>
        <v/>
      </c>
      <c r="J180" s="84">
        <f>IF($B180="","",COUNTIFS(Task_Tracker!$F$5:$F$1004,$B180,Task_Tracker!$I$5:$I$1004,"Completed"))</f>
        <v/>
      </c>
      <c r="K180" s="86">
        <f>IFERROR($J180/$H180,"")</f>
        <v/>
      </c>
      <c r="L180" s="66">
        <f>IF($B180="","",SUMIF(Task_Tracker!$F$5:$F$1004,$B180,Task_Tracker!$N$5:$N$1004))</f>
        <v/>
      </c>
      <c r="M180" s="66">
        <f>IF($B180="","",SUMIF(Task_Tracker!$F$5:$F$1004,$B180,Task_Tracker!$O$5:$O$1004))</f>
        <v/>
      </c>
      <c r="N180" s="66">
        <f>IF(OR($L180="",$M180=""),"",$M180-$L180)</f>
        <v/>
      </c>
      <c r="O180" s="84">
        <f>IF($B180="","",COUNTIFS(Task_Tracker!$F$5:$F$1004,$B180,Task_Tracker!$R$5:$R$1004,"Overdue"))</f>
        <v/>
      </c>
      <c r="P180" s="84">
        <f>IF($B180="","",COUNTIFS(Task_Tracker!$F$5:$F$1004,$B180,Task_Tracker!$S$5:$S$1004,TEXT(TODAY(),"yyyy-mm")))</f>
        <v/>
      </c>
      <c r="Q180" s="66">
        <f>IF($B180="","",SUMIFS(Task_Tracker!$O$5:$O$1004,Task_Tracker!$F$5:$F$1004,$B180,Task_Tracker!$S$5:$S$1004,TEXT(TODAY(),"yyyy-mm")))</f>
        <v/>
      </c>
      <c r="R180" s="86">
        <f>IFERROR($Q180/($F180*4),"")</f>
        <v/>
      </c>
    </row>
    <row r="181" ht="15" customHeight="1" s="40">
      <c r="A181" s="67">
        <f>Employee_Master!A181</f>
        <v/>
      </c>
      <c r="B181" s="67">
        <f>Employee_Master!B181</f>
        <v/>
      </c>
      <c r="C181" s="67">
        <f>Employee_Master!C181</f>
        <v/>
      </c>
      <c r="D181" s="67">
        <f>Employee_Master!D181</f>
        <v/>
      </c>
      <c r="E181" s="67">
        <f>Employee_Master!E181</f>
        <v/>
      </c>
      <c r="F181" s="87">
        <f>Employee_Master!H181</f>
        <v/>
      </c>
      <c r="G181" s="67">
        <f>Employee_Master!I181</f>
        <v/>
      </c>
      <c r="H181" s="84">
        <f>IF($B181="","",COUNTIF(Task_Tracker!$F$5:$F$1004,$B181))</f>
        <v/>
      </c>
      <c r="I181" s="84">
        <f>IF($B181="","",COUNTIFS(Task_Tracker!$F$5:$F$1004,$B181,Task_Tracker!$A$5:$A$1004,"&lt;&gt;",Task_Tracker!$I$5:$I$1004,"&lt;&gt;Completed",Task_Tracker!$I$5:$I$1004,"&lt;&gt;Cancelled"))</f>
        <v/>
      </c>
      <c r="J181" s="84">
        <f>IF($B181="","",COUNTIFS(Task_Tracker!$F$5:$F$1004,$B181,Task_Tracker!$I$5:$I$1004,"Completed"))</f>
        <v/>
      </c>
      <c r="K181" s="86">
        <f>IFERROR($J181/$H181,"")</f>
        <v/>
      </c>
      <c r="L181" s="66">
        <f>IF($B181="","",SUMIF(Task_Tracker!$F$5:$F$1004,$B181,Task_Tracker!$N$5:$N$1004))</f>
        <v/>
      </c>
      <c r="M181" s="66">
        <f>IF($B181="","",SUMIF(Task_Tracker!$F$5:$F$1004,$B181,Task_Tracker!$O$5:$O$1004))</f>
        <v/>
      </c>
      <c r="N181" s="66">
        <f>IF(OR($L181="",$M181=""),"",$M181-$L181)</f>
        <v/>
      </c>
      <c r="O181" s="84">
        <f>IF($B181="","",COUNTIFS(Task_Tracker!$F$5:$F$1004,$B181,Task_Tracker!$R$5:$R$1004,"Overdue"))</f>
        <v/>
      </c>
      <c r="P181" s="84">
        <f>IF($B181="","",COUNTIFS(Task_Tracker!$F$5:$F$1004,$B181,Task_Tracker!$S$5:$S$1004,TEXT(TODAY(),"yyyy-mm")))</f>
        <v/>
      </c>
      <c r="Q181" s="66">
        <f>IF($B181="","",SUMIFS(Task_Tracker!$O$5:$O$1004,Task_Tracker!$F$5:$F$1004,$B181,Task_Tracker!$S$5:$S$1004,TEXT(TODAY(),"yyyy-mm")))</f>
        <v/>
      </c>
      <c r="R181" s="86">
        <f>IFERROR($Q181/($F181*4),"")</f>
        <v/>
      </c>
    </row>
    <row r="182" ht="15" customHeight="1" s="40">
      <c r="A182" s="67">
        <f>Employee_Master!A182</f>
        <v/>
      </c>
      <c r="B182" s="67">
        <f>Employee_Master!B182</f>
        <v/>
      </c>
      <c r="C182" s="67">
        <f>Employee_Master!C182</f>
        <v/>
      </c>
      <c r="D182" s="67">
        <f>Employee_Master!D182</f>
        <v/>
      </c>
      <c r="E182" s="67">
        <f>Employee_Master!E182</f>
        <v/>
      </c>
      <c r="F182" s="87">
        <f>Employee_Master!H182</f>
        <v/>
      </c>
      <c r="G182" s="67">
        <f>Employee_Master!I182</f>
        <v/>
      </c>
      <c r="H182" s="84">
        <f>IF($B182="","",COUNTIF(Task_Tracker!$F$5:$F$1004,$B182))</f>
        <v/>
      </c>
      <c r="I182" s="84">
        <f>IF($B182="","",COUNTIFS(Task_Tracker!$F$5:$F$1004,$B182,Task_Tracker!$A$5:$A$1004,"&lt;&gt;",Task_Tracker!$I$5:$I$1004,"&lt;&gt;Completed",Task_Tracker!$I$5:$I$1004,"&lt;&gt;Cancelled"))</f>
        <v/>
      </c>
      <c r="J182" s="84">
        <f>IF($B182="","",COUNTIFS(Task_Tracker!$F$5:$F$1004,$B182,Task_Tracker!$I$5:$I$1004,"Completed"))</f>
        <v/>
      </c>
      <c r="K182" s="86">
        <f>IFERROR($J182/$H182,"")</f>
        <v/>
      </c>
      <c r="L182" s="66">
        <f>IF($B182="","",SUMIF(Task_Tracker!$F$5:$F$1004,$B182,Task_Tracker!$N$5:$N$1004))</f>
        <v/>
      </c>
      <c r="M182" s="66">
        <f>IF($B182="","",SUMIF(Task_Tracker!$F$5:$F$1004,$B182,Task_Tracker!$O$5:$O$1004))</f>
        <v/>
      </c>
      <c r="N182" s="66">
        <f>IF(OR($L182="",$M182=""),"",$M182-$L182)</f>
        <v/>
      </c>
      <c r="O182" s="84">
        <f>IF($B182="","",COUNTIFS(Task_Tracker!$F$5:$F$1004,$B182,Task_Tracker!$R$5:$R$1004,"Overdue"))</f>
        <v/>
      </c>
      <c r="P182" s="84">
        <f>IF($B182="","",COUNTIFS(Task_Tracker!$F$5:$F$1004,$B182,Task_Tracker!$S$5:$S$1004,TEXT(TODAY(),"yyyy-mm")))</f>
        <v/>
      </c>
      <c r="Q182" s="66">
        <f>IF($B182="","",SUMIFS(Task_Tracker!$O$5:$O$1004,Task_Tracker!$F$5:$F$1004,$B182,Task_Tracker!$S$5:$S$1004,TEXT(TODAY(),"yyyy-mm")))</f>
        <v/>
      </c>
      <c r="R182" s="86">
        <f>IFERROR($Q182/($F182*4),"")</f>
        <v/>
      </c>
    </row>
    <row r="183" ht="15" customHeight="1" s="40">
      <c r="A183" s="67">
        <f>Employee_Master!A183</f>
        <v/>
      </c>
      <c r="B183" s="67">
        <f>Employee_Master!B183</f>
        <v/>
      </c>
      <c r="C183" s="67">
        <f>Employee_Master!C183</f>
        <v/>
      </c>
      <c r="D183" s="67">
        <f>Employee_Master!D183</f>
        <v/>
      </c>
      <c r="E183" s="67">
        <f>Employee_Master!E183</f>
        <v/>
      </c>
      <c r="F183" s="87">
        <f>Employee_Master!H183</f>
        <v/>
      </c>
      <c r="G183" s="67">
        <f>Employee_Master!I183</f>
        <v/>
      </c>
      <c r="H183" s="84">
        <f>IF($B183="","",COUNTIF(Task_Tracker!$F$5:$F$1004,$B183))</f>
        <v/>
      </c>
      <c r="I183" s="84">
        <f>IF($B183="","",COUNTIFS(Task_Tracker!$F$5:$F$1004,$B183,Task_Tracker!$A$5:$A$1004,"&lt;&gt;",Task_Tracker!$I$5:$I$1004,"&lt;&gt;Completed",Task_Tracker!$I$5:$I$1004,"&lt;&gt;Cancelled"))</f>
        <v/>
      </c>
      <c r="J183" s="84">
        <f>IF($B183="","",COUNTIFS(Task_Tracker!$F$5:$F$1004,$B183,Task_Tracker!$I$5:$I$1004,"Completed"))</f>
        <v/>
      </c>
      <c r="K183" s="86">
        <f>IFERROR($J183/$H183,"")</f>
        <v/>
      </c>
      <c r="L183" s="66">
        <f>IF($B183="","",SUMIF(Task_Tracker!$F$5:$F$1004,$B183,Task_Tracker!$N$5:$N$1004))</f>
        <v/>
      </c>
      <c r="M183" s="66">
        <f>IF($B183="","",SUMIF(Task_Tracker!$F$5:$F$1004,$B183,Task_Tracker!$O$5:$O$1004))</f>
        <v/>
      </c>
      <c r="N183" s="66">
        <f>IF(OR($L183="",$M183=""),"",$M183-$L183)</f>
        <v/>
      </c>
      <c r="O183" s="84">
        <f>IF($B183="","",COUNTIFS(Task_Tracker!$F$5:$F$1004,$B183,Task_Tracker!$R$5:$R$1004,"Overdue"))</f>
        <v/>
      </c>
      <c r="P183" s="84">
        <f>IF($B183="","",COUNTIFS(Task_Tracker!$F$5:$F$1004,$B183,Task_Tracker!$S$5:$S$1004,TEXT(TODAY(),"yyyy-mm")))</f>
        <v/>
      </c>
      <c r="Q183" s="66">
        <f>IF($B183="","",SUMIFS(Task_Tracker!$O$5:$O$1004,Task_Tracker!$F$5:$F$1004,$B183,Task_Tracker!$S$5:$S$1004,TEXT(TODAY(),"yyyy-mm")))</f>
        <v/>
      </c>
      <c r="R183" s="86">
        <f>IFERROR($Q183/($F183*4),"")</f>
        <v/>
      </c>
    </row>
    <row r="184" ht="15" customHeight="1" s="40">
      <c r="A184" s="67">
        <f>Employee_Master!A184</f>
        <v/>
      </c>
      <c r="B184" s="67">
        <f>Employee_Master!B184</f>
        <v/>
      </c>
      <c r="C184" s="67">
        <f>Employee_Master!C184</f>
        <v/>
      </c>
      <c r="D184" s="67">
        <f>Employee_Master!D184</f>
        <v/>
      </c>
      <c r="E184" s="67">
        <f>Employee_Master!E184</f>
        <v/>
      </c>
      <c r="F184" s="87">
        <f>Employee_Master!H184</f>
        <v/>
      </c>
      <c r="G184" s="67">
        <f>Employee_Master!I184</f>
        <v/>
      </c>
      <c r="H184" s="84">
        <f>IF($B184="","",COUNTIF(Task_Tracker!$F$5:$F$1004,$B184))</f>
        <v/>
      </c>
      <c r="I184" s="84">
        <f>IF($B184="","",COUNTIFS(Task_Tracker!$F$5:$F$1004,$B184,Task_Tracker!$A$5:$A$1004,"&lt;&gt;",Task_Tracker!$I$5:$I$1004,"&lt;&gt;Completed",Task_Tracker!$I$5:$I$1004,"&lt;&gt;Cancelled"))</f>
        <v/>
      </c>
      <c r="J184" s="84">
        <f>IF($B184="","",COUNTIFS(Task_Tracker!$F$5:$F$1004,$B184,Task_Tracker!$I$5:$I$1004,"Completed"))</f>
        <v/>
      </c>
      <c r="K184" s="86">
        <f>IFERROR($J184/$H184,"")</f>
        <v/>
      </c>
      <c r="L184" s="66">
        <f>IF($B184="","",SUMIF(Task_Tracker!$F$5:$F$1004,$B184,Task_Tracker!$N$5:$N$1004))</f>
        <v/>
      </c>
      <c r="M184" s="66">
        <f>IF($B184="","",SUMIF(Task_Tracker!$F$5:$F$1004,$B184,Task_Tracker!$O$5:$O$1004))</f>
        <v/>
      </c>
      <c r="N184" s="66">
        <f>IF(OR($L184="",$M184=""),"",$M184-$L184)</f>
        <v/>
      </c>
      <c r="O184" s="84">
        <f>IF($B184="","",COUNTIFS(Task_Tracker!$F$5:$F$1004,$B184,Task_Tracker!$R$5:$R$1004,"Overdue"))</f>
        <v/>
      </c>
      <c r="P184" s="84">
        <f>IF($B184="","",COUNTIFS(Task_Tracker!$F$5:$F$1004,$B184,Task_Tracker!$S$5:$S$1004,TEXT(TODAY(),"yyyy-mm")))</f>
        <v/>
      </c>
      <c r="Q184" s="66">
        <f>IF($B184="","",SUMIFS(Task_Tracker!$O$5:$O$1004,Task_Tracker!$F$5:$F$1004,$B184,Task_Tracker!$S$5:$S$1004,TEXT(TODAY(),"yyyy-mm")))</f>
        <v/>
      </c>
      <c r="R184" s="86">
        <f>IFERROR($Q184/($F184*4),"")</f>
        <v/>
      </c>
    </row>
    <row r="185" ht="15" customHeight="1" s="40">
      <c r="A185" s="67">
        <f>Employee_Master!A185</f>
        <v/>
      </c>
      <c r="B185" s="67">
        <f>Employee_Master!B185</f>
        <v/>
      </c>
      <c r="C185" s="67">
        <f>Employee_Master!C185</f>
        <v/>
      </c>
      <c r="D185" s="67">
        <f>Employee_Master!D185</f>
        <v/>
      </c>
      <c r="E185" s="67">
        <f>Employee_Master!E185</f>
        <v/>
      </c>
      <c r="F185" s="87">
        <f>Employee_Master!H185</f>
        <v/>
      </c>
      <c r="G185" s="67">
        <f>Employee_Master!I185</f>
        <v/>
      </c>
      <c r="H185" s="84">
        <f>IF($B185="","",COUNTIF(Task_Tracker!$F$5:$F$1004,$B185))</f>
        <v/>
      </c>
      <c r="I185" s="84">
        <f>IF($B185="","",COUNTIFS(Task_Tracker!$F$5:$F$1004,$B185,Task_Tracker!$A$5:$A$1004,"&lt;&gt;",Task_Tracker!$I$5:$I$1004,"&lt;&gt;Completed",Task_Tracker!$I$5:$I$1004,"&lt;&gt;Cancelled"))</f>
        <v/>
      </c>
      <c r="J185" s="84">
        <f>IF($B185="","",COUNTIFS(Task_Tracker!$F$5:$F$1004,$B185,Task_Tracker!$I$5:$I$1004,"Completed"))</f>
        <v/>
      </c>
      <c r="K185" s="86">
        <f>IFERROR($J185/$H185,"")</f>
        <v/>
      </c>
      <c r="L185" s="66">
        <f>IF($B185="","",SUMIF(Task_Tracker!$F$5:$F$1004,$B185,Task_Tracker!$N$5:$N$1004))</f>
        <v/>
      </c>
      <c r="M185" s="66">
        <f>IF($B185="","",SUMIF(Task_Tracker!$F$5:$F$1004,$B185,Task_Tracker!$O$5:$O$1004))</f>
        <v/>
      </c>
      <c r="N185" s="66">
        <f>IF(OR($L185="",$M185=""),"",$M185-$L185)</f>
        <v/>
      </c>
      <c r="O185" s="84">
        <f>IF($B185="","",COUNTIFS(Task_Tracker!$F$5:$F$1004,$B185,Task_Tracker!$R$5:$R$1004,"Overdue"))</f>
        <v/>
      </c>
      <c r="P185" s="84">
        <f>IF($B185="","",COUNTIFS(Task_Tracker!$F$5:$F$1004,$B185,Task_Tracker!$S$5:$S$1004,TEXT(TODAY(),"yyyy-mm")))</f>
        <v/>
      </c>
      <c r="Q185" s="66">
        <f>IF($B185="","",SUMIFS(Task_Tracker!$O$5:$O$1004,Task_Tracker!$F$5:$F$1004,$B185,Task_Tracker!$S$5:$S$1004,TEXT(TODAY(),"yyyy-mm")))</f>
        <v/>
      </c>
      <c r="R185" s="86">
        <f>IFERROR($Q185/($F185*4),"")</f>
        <v/>
      </c>
    </row>
    <row r="186" ht="15" customHeight="1" s="40">
      <c r="A186" s="67">
        <f>Employee_Master!A186</f>
        <v/>
      </c>
      <c r="B186" s="67">
        <f>Employee_Master!B186</f>
        <v/>
      </c>
      <c r="C186" s="67">
        <f>Employee_Master!C186</f>
        <v/>
      </c>
      <c r="D186" s="67">
        <f>Employee_Master!D186</f>
        <v/>
      </c>
      <c r="E186" s="67">
        <f>Employee_Master!E186</f>
        <v/>
      </c>
      <c r="F186" s="87">
        <f>Employee_Master!H186</f>
        <v/>
      </c>
      <c r="G186" s="67">
        <f>Employee_Master!I186</f>
        <v/>
      </c>
      <c r="H186" s="84">
        <f>IF($B186="","",COUNTIF(Task_Tracker!$F$5:$F$1004,$B186))</f>
        <v/>
      </c>
      <c r="I186" s="84">
        <f>IF($B186="","",COUNTIFS(Task_Tracker!$F$5:$F$1004,$B186,Task_Tracker!$A$5:$A$1004,"&lt;&gt;",Task_Tracker!$I$5:$I$1004,"&lt;&gt;Completed",Task_Tracker!$I$5:$I$1004,"&lt;&gt;Cancelled"))</f>
        <v/>
      </c>
      <c r="J186" s="84">
        <f>IF($B186="","",COUNTIFS(Task_Tracker!$F$5:$F$1004,$B186,Task_Tracker!$I$5:$I$1004,"Completed"))</f>
        <v/>
      </c>
      <c r="K186" s="86">
        <f>IFERROR($J186/$H186,"")</f>
        <v/>
      </c>
      <c r="L186" s="66">
        <f>IF($B186="","",SUMIF(Task_Tracker!$F$5:$F$1004,$B186,Task_Tracker!$N$5:$N$1004))</f>
        <v/>
      </c>
      <c r="M186" s="66">
        <f>IF($B186="","",SUMIF(Task_Tracker!$F$5:$F$1004,$B186,Task_Tracker!$O$5:$O$1004))</f>
        <v/>
      </c>
      <c r="N186" s="66">
        <f>IF(OR($L186="",$M186=""),"",$M186-$L186)</f>
        <v/>
      </c>
      <c r="O186" s="84">
        <f>IF($B186="","",COUNTIFS(Task_Tracker!$F$5:$F$1004,$B186,Task_Tracker!$R$5:$R$1004,"Overdue"))</f>
        <v/>
      </c>
      <c r="P186" s="84">
        <f>IF($B186="","",COUNTIFS(Task_Tracker!$F$5:$F$1004,$B186,Task_Tracker!$S$5:$S$1004,TEXT(TODAY(),"yyyy-mm")))</f>
        <v/>
      </c>
      <c r="Q186" s="66">
        <f>IF($B186="","",SUMIFS(Task_Tracker!$O$5:$O$1004,Task_Tracker!$F$5:$F$1004,$B186,Task_Tracker!$S$5:$S$1004,TEXT(TODAY(),"yyyy-mm")))</f>
        <v/>
      </c>
      <c r="R186" s="86">
        <f>IFERROR($Q186/($F186*4),"")</f>
        <v/>
      </c>
    </row>
    <row r="187" ht="15" customHeight="1" s="40">
      <c r="A187" s="67">
        <f>Employee_Master!A187</f>
        <v/>
      </c>
      <c r="B187" s="67">
        <f>Employee_Master!B187</f>
        <v/>
      </c>
      <c r="C187" s="67">
        <f>Employee_Master!C187</f>
        <v/>
      </c>
      <c r="D187" s="67">
        <f>Employee_Master!D187</f>
        <v/>
      </c>
      <c r="E187" s="67">
        <f>Employee_Master!E187</f>
        <v/>
      </c>
      <c r="F187" s="87">
        <f>Employee_Master!H187</f>
        <v/>
      </c>
      <c r="G187" s="67">
        <f>Employee_Master!I187</f>
        <v/>
      </c>
      <c r="H187" s="84">
        <f>IF($B187="","",COUNTIF(Task_Tracker!$F$5:$F$1004,$B187))</f>
        <v/>
      </c>
      <c r="I187" s="84">
        <f>IF($B187="","",COUNTIFS(Task_Tracker!$F$5:$F$1004,$B187,Task_Tracker!$A$5:$A$1004,"&lt;&gt;",Task_Tracker!$I$5:$I$1004,"&lt;&gt;Completed",Task_Tracker!$I$5:$I$1004,"&lt;&gt;Cancelled"))</f>
        <v/>
      </c>
      <c r="J187" s="84">
        <f>IF($B187="","",COUNTIFS(Task_Tracker!$F$5:$F$1004,$B187,Task_Tracker!$I$5:$I$1004,"Completed"))</f>
        <v/>
      </c>
      <c r="K187" s="86">
        <f>IFERROR($J187/$H187,"")</f>
        <v/>
      </c>
      <c r="L187" s="66">
        <f>IF($B187="","",SUMIF(Task_Tracker!$F$5:$F$1004,$B187,Task_Tracker!$N$5:$N$1004))</f>
        <v/>
      </c>
      <c r="M187" s="66">
        <f>IF($B187="","",SUMIF(Task_Tracker!$F$5:$F$1004,$B187,Task_Tracker!$O$5:$O$1004))</f>
        <v/>
      </c>
      <c r="N187" s="66">
        <f>IF(OR($L187="",$M187=""),"",$M187-$L187)</f>
        <v/>
      </c>
      <c r="O187" s="84">
        <f>IF($B187="","",COUNTIFS(Task_Tracker!$F$5:$F$1004,$B187,Task_Tracker!$R$5:$R$1004,"Overdue"))</f>
        <v/>
      </c>
      <c r="P187" s="84">
        <f>IF($B187="","",COUNTIFS(Task_Tracker!$F$5:$F$1004,$B187,Task_Tracker!$S$5:$S$1004,TEXT(TODAY(),"yyyy-mm")))</f>
        <v/>
      </c>
      <c r="Q187" s="66">
        <f>IF($B187="","",SUMIFS(Task_Tracker!$O$5:$O$1004,Task_Tracker!$F$5:$F$1004,$B187,Task_Tracker!$S$5:$S$1004,TEXT(TODAY(),"yyyy-mm")))</f>
        <v/>
      </c>
      <c r="R187" s="86">
        <f>IFERROR($Q187/($F187*4),"")</f>
        <v/>
      </c>
    </row>
    <row r="188" ht="15" customHeight="1" s="40">
      <c r="A188" s="67">
        <f>Employee_Master!A188</f>
        <v/>
      </c>
      <c r="B188" s="67">
        <f>Employee_Master!B188</f>
        <v/>
      </c>
      <c r="C188" s="67">
        <f>Employee_Master!C188</f>
        <v/>
      </c>
      <c r="D188" s="67">
        <f>Employee_Master!D188</f>
        <v/>
      </c>
      <c r="E188" s="67">
        <f>Employee_Master!E188</f>
        <v/>
      </c>
      <c r="F188" s="87">
        <f>Employee_Master!H188</f>
        <v/>
      </c>
      <c r="G188" s="67">
        <f>Employee_Master!I188</f>
        <v/>
      </c>
      <c r="H188" s="84">
        <f>IF($B188="","",COUNTIF(Task_Tracker!$F$5:$F$1004,$B188))</f>
        <v/>
      </c>
      <c r="I188" s="84">
        <f>IF($B188="","",COUNTIFS(Task_Tracker!$F$5:$F$1004,$B188,Task_Tracker!$A$5:$A$1004,"&lt;&gt;",Task_Tracker!$I$5:$I$1004,"&lt;&gt;Completed",Task_Tracker!$I$5:$I$1004,"&lt;&gt;Cancelled"))</f>
        <v/>
      </c>
      <c r="J188" s="84">
        <f>IF($B188="","",COUNTIFS(Task_Tracker!$F$5:$F$1004,$B188,Task_Tracker!$I$5:$I$1004,"Completed"))</f>
        <v/>
      </c>
      <c r="K188" s="86">
        <f>IFERROR($J188/$H188,"")</f>
        <v/>
      </c>
      <c r="L188" s="66">
        <f>IF($B188="","",SUMIF(Task_Tracker!$F$5:$F$1004,$B188,Task_Tracker!$N$5:$N$1004))</f>
        <v/>
      </c>
      <c r="M188" s="66">
        <f>IF($B188="","",SUMIF(Task_Tracker!$F$5:$F$1004,$B188,Task_Tracker!$O$5:$O$1004))</f>
        <v/>
      </c>
      <c r="N188" s="66">
        <f>IF(OR($L188="",$M188=""),"",$M188-$L188)</f>
        <v/>
      </c>
      <c r="O188" s="84">
        <f>IF($B188="","",COUNTIFS(Task_Tracker!$F$5:$F$1004,$B188,Task_Tracker!$R$5:$R$1004,"Overdue"))</f>
        <v/>
      </c>
      <c r="P188" s="84">
        <f>IF($B188="","",COUNTIFS(Task_Tracker!$F$5:$F$1004,$B188,Task_Tracker!$S$5:$S$1004,TEXT(TODAY(),"yyyy-mm")))</f>
        <v/>
      </c>
      <c r="Q188" s="66">
        <f>IF($B188="","",SUMIFS(Task_Tracker!$O$5:$O$1004,Task_Tracker!$F$5:$F$1004,$B188,Task_Tracker!$S$5:$S$1004,TEXT(TODAY(),"yyyy-mm")))</f>
        <v/>
      </c>
      <c r="R188" s="86">
        <f>IFERROR($Q188/($F188*4),"")</f>
        <v/>
      </c>
    </row>
    <row r="189" ht="15" customHeight="1" s="40">
      <c r="A189" s="67">
        <f>Employee_Master!A189</f>
        <v/>
      </c>
      <c r="B189" s="67">
        <f>Employee_Master!B189</f>
        <v/>
      </c>
      <c r="C189" s="67">
        <f>Employee_Master!C189</f>
        <v/>
      </c>
      <c r="D189" s="67">
        <f>Employee_Master!D189</f>
        <v/>
      </c>
      <c r="E189" s="67">
        <f>Employee_Master!E189</f>
        <v/>
      </c>
      <c r="F189" s="87">
        <f>Employee_Master!H189</f>
        <v/>
      </c>
      <c r="G189" s="67">
        <f>Employee_Master!I189</f>
        <v/>
      </c>
      <c r="H189" s="84">
        <f>IF($B189="","",COUNTIF(Task_Tracker!$F$5:$F$1004,$B189))</f>
        <v/>
      </c>
      <c r="I189" s="84">
        <f>IF($B189="","",COUNTIFS(Task_Tracker!$F$5:$F$1004,$B189,Task_Tracker!$A$5:$A$1004,"&lt;&gt;",Task_Tracker!$I$5:$I$1004,"&lt;&gt;Completed",Task_Tracker!$I$5:$I$1004,"&lt;&gt;Cancelled"))</f>
        <v/>
      </c>
      <c r="J189" s="84">
        <f>IF($B189="","",COUNTIFS(Task_Tracker!$F$5:$F$1004,$B189,Task_Tracker!$I$5:$I$1004,"Completed"))</f>
        <v/>
      </c>
      <c r="K189" s="86">
        <f>IFERROR($J189/$H189,"")</f>
        <v/>
      </c>
      <c r="L189" s="66">
        <f>IF($B189="","",SUMIF(Task_Tracker!$F$5:$F$1004,$B189,Task_Tracker!$N$5:$N$1004))</f>
        <v/>
      </c>
      <c r="M189" s="66">
        <f>IF($B189="","",SUMIF(Task_Tracker!$F$5:$F$1004,$B189,Task_Tracker!$O$5:$O$1004))</f>
        <v/>
      </c>
      <c r="N189" s="66">
        <f>IF(OR($L189="",$M189=""),"",$M189-$L189)</f>
        <v/>
      </c>
      <c r="O189" s="84">
        <f>IF($B189="","",COUNTIFS(Task_Tracker!$F$5:$F$1004,$B189,Task_Tracker!$R$5:$R$1004,"Overdue"))</f>
        <v/>
      </c>
      <c r="P189" s="84">
        <f>IF($B189="","",COUNTIFS(Task_Tracker!$F$5:$F$1004,$B189,Task_Tracker!$S$5:$S$1004,TEXT(TODAY(),"yyyy-mm")))</f>
        <v/>
      </c>
      <c r="Q189" s="66">
        <f>IF($B189="","",SUMIFS(Task_Tracker!$O$5:$O$1004,Task_Tracker!$F$5:$F$1004,$B189,Task_Tracker!$S$5:$S$1004,TEXT(TODAY(),"yyyy-mm")))</f>
        <v/>
      </c>
      <c r="R189" s="86">
        <f>IFERROR($Q189/($F189*4),"")</f>
        <v/>
      </c>
    </row>
    <row r="190" ht="15" customHeight="1" s="40">
      <c r="A190" s="67">
        <f>Employee_Master!A190</f>
        <v/>
      </c>
      <c r="B190" s="67">
        <f>Employee_Master!B190</f>
        <v/>
      </c>
      <c r="C190" s="67">
        <f>Employee_Master!C190</f>
        <v/>
      </c>
      <c r="D190" s="67">
        <f>Employee_Master!D190</f>
        <v/>
      </c>
      <c r="E190" s="67">
        <f>Employee_Master!E190</f>
        <v/>
      </c>
      <c r="F190" s="87">
        <f>Employee_Master!H190</f>
        <v/>
      </c>
      <c r="G190" s="67">
        <f>Employee_Master!I190</f>
        <v/>
      </c>
      <c r="H190" s="84">
        <f>IF($B190="","",COUNTIF(Task_Tracker!$F$5:$F$1004,$B190))</f>
        <v/>
      </c>
      <c r="I190" s="84">
        <f>IF($B190="","",COUNTIFS(Task_Tracker!$F$5:$F$1004,$B190,Task_Tracker!$A$5:$A$1004,"&lt;&gt;",Task_Tracker!$I$5:$I$1004,"&lt;&gt;Completed",Task_Tracker!$I$5:$I$1004,"&lt;&gt;Cancelled"))</f>
        <v/>
      </c>
      <c r="J190" s="84">
        <f>IF($B190="","",COUNTIFS(Task_Tracker!$F$5:$F$1004,$B190,Task_Tracker!$I$5:$I$1004,"Completed"))</f>
        <v/>
      </c>
      <c r="K190" s="86">
        <f>IFERROR($J190/$H190,"")</f>
        <v/>
      </c>
      <c r="L190" s="66">
        <f>IF($B190="","",SUMIF(Task_Tracker!$F$5:$F$1004,$B190,Task_Tracker!$N$5:$N$1004))</f>
        <v/>
      </c>
      <c r="M190" s="66">
        <f>IF($B190="","",SUMIF(Task_Tracker!$F$5:$F$1004,$B190,Task_Tracker!$O$5:$O$1004))</f>
        <v/>
      </c>
      <c r="N190" s="66">
        <f>IF(OR($L190="",$M190=""),"",$M190-$L190)</f>
        <v/>
      </c>
      <c r="O190" s="84">
        <f>IF($B190="","",COUNTIFS(Task_Tracker!$F$5:$F$1004,$B190,Task_Tracker!$R$5:$R$1004,"Overdue"))</f>
        <v/>
      </c>
      <c r="P190" s="84">
        <f>IF($B190="","",COUNTIFS(Task_Tracker!$F$5:$F$1004,$B190,Task_Tracker!$S$5:$S$1004,TEXT(TODAY(),"yyyy-mm")))</f>
        <v/>
      </c>
      <c r="Q190" s="66">
        <f>IF($B190="","",SUMIFS(Task_Tracker!$O$5:$O$1004,Task_Tracker!$F$5:$F$1004,$B190,Task_Tracker!$S$5:$S$1004,TEXT(TODAY(),"yyyy-mm")))</f>
        <v/>
      </c>
      <c r="R190" s="86">
        <f>IFERROR($Q190/($F190*4),"")</f>
        <v/>
      </c>
    </row>
    <row r="191" ht="15" customHeight="1" s="40">
      <c r="A191" s="67">
        <f>Employee_Master!A191</f>
        <v/>
      </c>
      <c r="B191" s="67">
        <f>Employee_Master!B191</f>
        <v/>
      </c>
      <c r="C191" s="67">
        <f>Employee_Master!C191</f>
        <v/>
      </c>
      <c r="D191" s="67">
        <f>Employee_Master!D191</f>
        <v/>
      </c>
      <c r="E191" s="67">
        <f>Employee_Master!E191</f>
        <v/>
      </c>
      <c r="F191" s="87">
        <f>Employee_Master!H191</f>
        <v/>
      </c>
      <c r="G191" s="67">
        <f>Employee_Master!I191</f>
        <v/>
      </c>
      <c r="H191" s="84">
        <f>IF($B191="","",COUNTIF(Task_Tracker!$F$5:$F$1004,$B191))</f>
        <v/>
      </c>
      <c r="I191" s="84">
        <f>IF($B191="","",COUNTIFS(Task_Tracker!$F$5:$F$1004,$B191,Task_Tracker!$A$5:$A$1004,"&lt;&gt;",Task_Tracker!$I$5:$I$1004,"&lt;&gt;Completed",Task_Tracker!$I$5:$I$1004,"&lt;&gt;Cancelled"))</f>
        <v/>
      </c>
      <c r="J191" s="84">
        <f>IF($B191="","",COUNTIFS(Task_Tracker!$F$5:$F$1004,$B191,Task_Tracker!$I$5:$I$1004,"Completed"))</f>
        <v/>
      </c>
      <c r="K191" s="86">
        <f>IFERROR($J191/$H191,"")</f>
        <v/>
      </c>
      <c r="L191" s="66">
        <f>IF($B191="","",SUMIF(Task_Tracker!$F$5:$F$1004,$B191,Task_Tracker!$N$5:$N$1004))</f>
        <v/>
      </c>
      <c r="M191" s="66">
        <f>IF($B191="","",SUMIF(Task_Tracker!$F$5:$F$1004,$B191,Task_Tracker!$O$5:$O$1004))</f>
        <v/>
      </c>
      <c r="N191" s="66">
        <f>IF(OR($L191="",$M191=""),"",$M191-$L191)</f>
        <v/>
      </c>
      <c r="O191" s="84">
        <f>IF($B191="","",COUNTIFS(Task_Tracker!$F$5:$F$1004,$B191,Task_Tracker!$R$5:$R$1004,"Overdue"))</f>
        <v/>
      </c>
      <c r="P191" s="84">
        <f>IF($B191="","",COUNTIFS(Task_Tracker!$F$5:$F$1004,$B191,Task_Tracker!$S$5:$S$1004,TEXT(TODAY(),"yyyy-mm")))</f>
        <v/>
      </c>
      <c r="Q191" s="66">
        <f>IF($B191="","",SUMIFS(Task_Tracker!$O$5:$O$1004,Task_Tracker!$F$5:$F$1004,$B191,Task_Tracker!$S$5:$S$1004,TEXT(TODAY(),"yyyy-mm")))</f>
        <v/>
      </c>
      <c r="R191" s="86">
        <f>IFERROR($Q191/($F191*4),"")</f>
        <v/>
      </c>
    </row>
    <row r="192" ht="15" customHeight="1" s="40">
      <c r="A192" s="67">
        <f>Employee_Master!A192</f>
        <v/>
      </c>
      <c r="B192" s="67">
        <f>Employee_Master!B192</f>
        <v/>
      </c>
      <c r="C192" s="67">
        <f>Employee_Master!C192</f>
        <v/>
      </c>
      <c r="D192" s="67">
        <f>Employee_Master!D192</f>
        <v/>
      </c>
      <c r="E192" s="67">
        <f>Employee_Master!E192</f>
        <v/>
      </c>
      <c r="F192" s="87">
        <f>Employee_Master!H192</f>
        <v/>
      </c>
      <c r="G192" s="67">
        <f>Employee_Master!I192</f>
        <v/>
      </c>
      <c r="H192" s="84">
        <f>IF($B192="","",COUNTIF(Task_Tracker!$F$5:$F$1004,$B192))</f>
        <v/>
      </c>
      <c r="I192" s="84">
        <f>IF($B192="","",COUNTIFS(Task_Tracker!$F$5:$F$1004,$B192,Task_Tracker!$A$5:$A$1004,"&lt;&gt;",Task_Tracker!$I$5:$I$1004,"&lt;&gt;Completed",Task_Tracker!$I$5:$I$1004,"&lt;&gt;Cancelled"))</f>
        <v/>
      </c>
      <c r="J192" s="84">
        <f>IF($B192="","",COUNTIFS(Task_Tracker!$F$5:$F$1004,$B192,Task_Tracker!$I$5:$I$1004,"Completed"))</f>
        <v/>
      </c>
      <c r="K192" s="86">
        <f>IFERROR($J192/$H192,"")</f>
        <v/>
      </c>
      <c r="L192" s="66">
        <f>IF($B192="","",SUMIF(Task_Tracker!$F$5:$F$1004,$B192,Task_Tracker!$N$5:$N$1004))</f>
        <v/>
      </c>
      <c r="M192" s="66">
        <f>IF($B192="","",SUMIF(Task_Tracker!$F$5:$F$1004,$B192,Task_Tracker!$O$5:$O$1004))</f>
        <v/>
      </c>
      <c r="N192" s="66">
        <f>IF(OR($L192="",$M192=""),"",$M192-$L192)</f>
        <v/>
      </c>
      <c r="O192" s="84">
        <f>IF($B192="","",COUNTIFS(Task_Tracker!$F$5:$F$1004,$B192,Task_Tracker!$R$5:$R$1004,"Overdue"))</f>
        <v/>
      </c>
      <c r="P192" s="84">
        <f>IF($B192="","",COUNTIFS(Task_Tracker!$F$5:$F$1004,$B192,Task_Tracker!$S$5:$S$1004,TEXT(TODAY(),"yyyy-mm")))</f>
        <v/>
      </c>
      <c r="Q192" s="66">
        <f>IF($B192="","",SUMIFS(Task_Tracker!$O$5:$O$1004,Task_Tracker!$F$5:$F$1004,$B192,Task_Tracker!$S$5:$S$1004,TEXT(TODAY(),"yyyy-mm")))</f>
        <v/>
      </c>
      <c r="R192" s="86">
        <f>IFERROR($Q192/($F192*4),"")</f>
        <v/>
      </c>
    </row>
    <row r="193" ht="15" customHeight="1" s="40">
      <c r="A193" s="67">
        <f>Employee_Master!A193</f>
        <v/>
      </c>
      <c r="B193" s="67">
        <f>Employee_Master!B193</f>
        <v/>
      </c>
      <c r="C193" s="67">
        <f>Employee_Master!C193</f>
        <v/>
      </c>
      <c r="D193" s="67">
        <f>Employee_Master!D193</f>
        <v/>
      </c>
      <c r="E193" s="67">
        <f>Employee_Master!E193</f>
        <v/>
      </c>
      <c r="F193" s="87">
        <f>Employee_Master!H193</f>
        <v/>
      </c>
      <c r="G193" s="67">
        <f>Employee_Master!I193</f>
        <v/>
      </c>
      <c r="H193" s="84">
        <f>IF($B193="","",COUNTIF(Task_Tracker!$F$5:$F$1004,$B193))</f>
        <v/>
      </c>
      <c r="I193" s="84">
        <f>IF($B193="","",COUNTIFS(Task_Tracker!$F$5:$F$1004,$B193,Task_Tracker!$A$5:$A$1004,"&lt;&gt;",Task_Tracker!$I$5:$I$1004,"&lt;&gt;Completed",Task_Tracker!$I$5:$I$1004,"&lt;&gt;Cancelled"))</f>
        <v/>
      </c>
      <c r="J193" s="84">
        <f>IF($B193="","",COUNTIFS(Task_Tracker!$F$5:$F$1004,$B193,Task_Tracker!$I$5:$I$1004,"Completed"))</f>
        <v/>
      </c>
      <c r="K193" s="86">
        <f>IFERROR($J193/$H193,"")</f>
        <v/>
      </c>
      <c r="L193" s="66">
        <f>IF($B193="","",SUMIF(Task_Tracker!$F$5:$F$1004,$B193,Task_Tracker!$N$5:$N$1004))</f>
        <v/>
      </c>
      <c r="M193" s="66">
        <f>IF($B193="","",SUMIF(Task_Tracker!$F$5:$F$1004,$B193,Task_Tracker!$O$5:$O$1004))</f>
        <v/>
      </c>
      <c r="N193" s="66">
        <f>IF(OR($L193="",$M193=""),"",$M193-$L193)</f>
        <v/>
      </c>
      <c r="O193" s="84">
        <f>IF($B193="","",COUNTIFS(Task_Tracker!$F$5:$F$1004,$B193,Task_Tracker!$R$5:$R$1004,"Overdue"))</f>
        <v/>
      </c>
      <c r="P193" s="84">
        <f>IF($B193="","",COUNTIFS(Task_Tracker!$F$5:$F$1004,$B193,Task_Tracker!$S$5:$S$1004,TEXT(TODAY(),"yyyy-mm")))</f>
        <v/>
      </c>
      <c r="Q193" s="66">
        <f>IF($B193="","",SUMIFS(Task_Tracker!$O$5:$O$1004,Task_Tracker!$F$5:$F$1004,$B193,Task_Tracker!$S$5:$S$1004,TEXT(TODAY(),"yyyy-mm")))</f>
        <v/>
      </c>
      <c r="R193" s="86">
        <f>IFERROR($Q193/($F193*4),"")</f>
        <v/>
      </c>
    </row>
    <row r="194" ht="15" customHeight="1" s="40">
      <c r="A194" s="67">
        <f>Employee_Master!A194</f>
        <v/>
      </c>
      <c r="B194" s="67">
        <f>Employee_Master!B194</f>
        <v/>
      </c>
      <c r="C194" s="67">
        <f>Employee_Master!C194</f>
        <v/>
      </c>
      <c r="D194" s="67">
        <f>Employee_Master!D194</f>
        <v/>
      </c>
      <c r="E194" s="67">
        <f>Employee_Master!E194</f>
        <v/>
      </c>
      <c r="F194" s="87">
        <f>Employee_Master!H194</f>
        <v/>
      </c>
      <c r="G194" s="67">
        <f>Employee_Master!I194</f>
        <v/>
      </c>
      <c r="H194" s="84">
        <f>IF($B194="","",COUNTIF(Task_Tracker!$F$5:$F$1004,$B194))</f>
        <v/>
      </c>
      <c r="I194" s="84">
        <f>IF($B194="","",COUNTIFS(Task_Tracker!$F$5:$F$1004,$B194,Task_Tracker!$A$5:$A$1004,"&lt;&gt;",Task_Tracker!$I$5:$I$1004,"&lt;&gt;Completed",Task_Tracker!$I$5:$I$1004,"&lt;&gt;Cancelled"))</f>
        <v/>
      </c>
      <c r="J194" s="84">
        <f>IF($B194="","",COUNTIFS(Task_Tracker!$F$5:$F$1004,$B194,Task_Tracker!$I$5:$I$1004,"Completed"))</f>
        <v/>
      </c>
      <c r="K194" s="86">
        <f>IFERROR($J194/$H194,"")</f>
        <v/>
      </c>
      <c r="L194" s="66">
        <f>IF($B194="","",SUMIF(Task_Tracker!$F$5:$F$1004,$B194,Task_Tracker!$N$5:$N$1004))</f>
        <v/>
      </c>
      <c r="M194" s="66">
        <f>IF($B194="","",SUMIF(Task_Tracker!$F$5:$F$1004,$B194,Task_Tracker!$O$5:$O$1004))</f>
        <v/>
      </c>
      <c r="N194" s="66">
        <f>IF(OR($L194="",$M194=""),"",$M194-$L194)</f>
        <v/>
      </c>
      <c r="O194" s="84">
        <f>IF($B194="","",COUNTIFS(Task_Tracker!$F$5:$F$1004,$B194,Task_Tracker!$R$5:$R$1004,"Overdue"))</f>
        <v/>
      </c>
      <c r="P194" s="84">
        <f>IF($B194="","",COUNTIFS(Task_Tracker!$F$5:$F$1004,$B194,Task_Tracker!$S$5:$S$1004,TEXT(TODAY(),"yyyy-mm")))</f>
        <v/>
      </c>
      <c r="Q194" s="66">
        <f>IF($B194="","",SUMIFS(Task_Tracker!$O$5:$O$1004,Task_Tracker!$F$5:$F$1004,$B194,Task_Tracker!$S$5:$S$1004,TEXT(TODAY(),"yyyy-mm")))</f>
        <v/>
      </c>
      <c r="R194" s="86">
        <f>IFERROR($Q194/($F194*4),"")</f>
        <v/>
      </c>
    </row>
    <row r="195" ht="15" customHeight="1" s="40">
      <c r="A195" s="67">
        <f>Employee_Master!A195</f>
        <v/>
      </c>
      <c r="B195" s="67">
        <f>Employee_Master!B195</f>
        <v/>
      </c>
      <c r="C195" s="67">
        <f>Employee_Master!C195</f>
        <v/>
      </c>
      <c r="D195" s="67">
        <f>Employee_Master!D195</f>
        <v/>
      </c>
      <c r="E195" s="67">
        <f>Employee_Master!E195</f>
        <v/>
      </c>
      <c r="F195" s="87">
        <f>Employee_Master!H195</f>
        <v/>
      </c>
      <c r="G195" s="67">
        <f>Employee_Master!I195</f>
        <v/>
      </c>
      <c r="H195" s="84">
        <f>IF($B195="","",COUNTIF(Task_Tracker!$F$5:$F$1004,$B195))</f>
        <v/>
      </c>
      <c r="I195" s="84">
        <f>IF($B195="","",COUNTIFS(Task_Tracker!$F$5:$F$1004,$B195,Task_Tracker!$A$5:$A$1004,"&lt;&gt;",Task_Tracker!$I$5:$I$1004,"&lt;&gt;Completed",Task_Tracker!$I$5:$I$1004,"&lt;&gt;Cancelled"))</f>
        <v/>
      </c>
      <c r="J195" s="84">
        <f>IF($B195="","",COUNTIFS(Task_Tracker!$F$5:$F$1004,$B195,Task_Tracker!$I$5:$I$1004,"Completed"))</f>
        <v/>
      </c>
      <c r="K195" s="86">
        <f>IFERROR($J195/$H195,"")</f>
        <v/>
      </c>
      <c r="L195" s="66">
        <f>IF($B195="","",SUMIF(Task_Tracker!$F$5:$F$1004,$B195,Task_Tracker!$N$5:$N$1004))</f>
        <v/>
      </c>
      <c r="M195" s="66">
        <f>IF($B195="","",SUMIF(Task_Tracker!$F$5:$F$1004,$B195,Task_Tracker!$O$5:$O$1004))</f>
        <v/>
      </c>
      <c r="N195" s="66">
        <f>IF(OR($L195="",$M195=""),"",$M195-$L195)</f>
        <v/>
      </c>
      <c r="O195" s="84">
        <f>IF($B195="","",COUNTIFS(Task_Tracker!$F$5:$F$1004,$B195,Task_Tracker!$R$5:$R$1004,"Overdue"))</f>
        <v/>
      </c>
      <c r="P195" s="84">
        <f>IF($B195="","",COUNTIFS(Task_Tracker!$F$5:$F$1004,$B195,Task_Tracker!$S$5:$S$1004,TEXT(TODAY(),"yyyy-mm")))</f>
        <v/>
      </c>
      <c r="Q195" s="66">
        <f>IF($B195="","",SUMIFS(Task_Tracker!$O$5:$O$1004,Task_Tracker!$F$5:$F$1004,$B195,Task_Tracker!$S$5:$S$1004,TEXT(TODAY(),"yyyy-mm")))</f>
        <v/>
      </c>
      <c r="R195" s="86">
        <f>IFERROR($Q195/($F195*4),"")</f>
        <v/>
      </c>
    </row>
    <row r="196" ht="15" customHeight="1" s="40">
      <c r="A196" s="67">
        <f>Employee_Master!A196</f>
        <v/>
      </c>
      <c r="B196" s="67">
        <f>Employee_Master!B196</f>
        <v/>
      </c>
      <c r="C196" s="67">
        <f>Employee_Master!C196</f>
        <v/>
      </c>
      <c r="D196" s="67">
        <f>Employee_Master!D196</f>
        <v/>
      </c>
      <c r="E196" s="67">
        <f>Employee_Master!E196</f>
        <v/>
      </c>
      <c r="F196" s="87">
        <f>Employee_Master!H196</f>
        <v/>
      </c>
      <c r="G196" s="67">
        <f>Employee_Master!I196</f>
        <v/>
      </c>
      <c r="H196" s="84">
        <f>IF($B196="","",COUNTIF(Task_Tracker!$F$5:$F$1004,$B196))</f>
        <v/>
      </c>
      <c r="I196" s="84">
        <f>IF($B196="","",COUNTIFS(Task_Tracker!$F$5:$F$1004,$B196,Task_Tracker!$A$5:$A$1004,"&lt;&gt;",Task_Tracker!$I$5:$I$1004,"&lt;&gt;Completed",Task_Tracker!$I$5:$I$1004,"&lt;&gt;Cancelled"))</f>
        <v/>
      </c>
      <c r="J196" s="84">
        <f>IF($B196="","",COUNTIFS(Task_Tracker!$F$5:$F$1004,$B196,Task_Tracker!$I$5:$I$1004,"Completed"))</f>
        <v/>
      </c>
      <c r="K196" s="86">
        <f>IFERROR($J196/$H196,"")</f>
        <v/>
      </c>
      <c r="L196" s="66">
        <f>IF($B196="","",SUMIF(Task_Tracker!$F$5:$F$1004,$B196,Task_Tracker!$N$5:$N$1004))</f>
        <v/>
      </c>
      <c r="M196" s="66">
        <f>IF($B196="","",SUMIF(Task_Tracker!$F$5:$F$1004,$B196,Task_Tracker!$O$5:$O$1004))</f>
        <v/>
      </c>
      <c r="N196" s="66">
        <f>IF(OR($L196="",$M196=""),"",$M196-$L196)</f>
        <v/>
      </c>
      <c r="O196" s="84">
        <f>IF($B196="","",COUNTIFS(Task_Tracker!$F$5:$F$1004,$B196,Task_Tracker!$R$5:$R$1004,"Overdue"))</f>
        <v/>
      </c>
      <c r="P196" s="84">
        <f>IF($B196="","",COUNTIFS(Task_Tracker!$F$5:$F$1004,$B196,Task_Tracker!$S$5:$S$1004,TEXT(TODAY(),"yyyy-mm")))</f>
        <v/>
      </c>
      <c r="Q196" s="66">
        <f>IF($B196="","",SUMIFS(Task_Tracker!$O$5:$O$1004,Task_Tracker!$F$5:$F$1004,$B196,Task_Tracker!$S$5:$S$1004,TEXT(TODAY(),"yyyy-mm")))</f>
        <v/>
      </c>
      <c r="R196" s="86">
        <f>IFERROR($Q196/($F196*4),"")</f>
        <v/>
      </c>
    </row>
    <row r="197" ht="15" customHeight="1" s="40">
      <c r="A197" s="67">
        <f>Employee_Master!A197</f>
        <v/>
      </c>
      <c r="B197" s="67">
        <f>Employee_Master!B197</f>
        <v/>
      </c>
      <c r="C197" s="67">
        <f>Employee_Master!C197</f>
        <v/>
      </c>
      <c r="D197" s="67">
        <f>Employee_Master!D197</f>
        <v/>
      </c>
      <c r="E197" s="67">
        <f>Employee_Master!E197</f>
        <v/>
      </c>
      <c r="F197" s="87">
        <f>Employee_Master!H197</f>
        <v/>
      </c>
      <c r="G197" s="67">
        <f>Employee_Master!I197</f>
        <v/>
      </c>
      <c r="H197" s="84">
        <f>IF($B197="","",COUNTIF(Task_Tracker!$F$5:$F$1004,$B197))</f>
        <v/>
      </c>
      <c r="I197" s="84">
        <f>IF($B197="","",COUNTIFS(Task_Tracker!$F$5:$F$1004,$B197,Task_Tracker!$A$5:$A$1004,"&lt;&gt;",Task_Tracker!$I$5:$I$1004,"&lt;&gt;Completed",Task_Tracker!$I$5:$I$1004,"&lt;&gt;Cancelled"))</f>
        <v/>
      </c>
      <c r="J197" s="84">
        <f>IF($B197="","",COUNTIFS(Task_Tracker!$F$5:$F$1004,$B197,Task_Tracker!$I$5:$I$1004,"Completed"))</f>
        <v/>
      </c>
      <c r="K197" s="86">
        <f>IFERROR($J197/$H197,"")</f>
        <v/>
      </c>
      <c r="L197" s="66">
        <f>IF($B197="","",SUMIF(Task_Tracker!$F$5:$F$1004,$B197,Task_Tracker!$N$5:$N$1004))</f>
        <v/>
      </c>
      <c r="M197" s="66">
        <f>IF($B197="","",SUMIF(Task_Tracker!$F$5:$F$1004,$B197,Task_Tracker!$O$5:$O$1004))</f>
        <v/>
      </c>
      <c r="N197" s="66">
        <f>IF(OR($L197="",$M197=""),"",$M197-$L197)</f>
        <v/>
      </c>
      <c r="O197" s="84">
        <f>IF($B197="","",COUNTIFS(Task_Tracker!$F$5:$F$1004,$B197,Task_Tracker!$R$5:$R$1004,"Overdue"))</f>
        <v/>
      </c>
      <c r="P197" s="84">
        <f>IF($B197="","",COUNTIFS(Task_Tracker!$F$5:$F$1004,$B197,Task_Tracker!$S$5:$S$1004,TEXT(TODAY(),"yyyy-mm")))</f>
        <v/>
      </c>
      <c r="Q197" s="66">
        <f>IF($B197="","",SUMIFS(Task_Tracker!$O$5:$O$1004,Task_Tracker!$F$5:$F$1004,$B197,Task_Tracker!$S$5:$S$1004,TEXT(TODAY(),"yyyy-mm")))</f>
        <v/>
      </c>
      <c r="R197" s="86">
        <f>IFERROR($Q197/($F197*4),"")</f>
        <v/>
      </c>
    </row>
    <row r="198" ht="15" customHeight="1" s="40">
      <c r="A198" s="67">
        <f>Employee_Master!A198</f>
        <v/>
      </c>
      <c r="B198" s="67">
        <f>Employee_Master!B198</f>
        <v/>
      </c>
      <c r="C198" s="67">
        <f>Employee_Master!C198</f>
        <v/>
      </c>
      <c r="D198" s="67">
        <f>Employee_Master!D198</f>
        <v/>
      </c>
      <c r="E198" s="67">
        <f>Employee_Master!E198</f>
        <v/>
      </c>
      <c r="F198" s="87">
        <f>Employee_Master!H198</f>
        <v/>
      </c>
      <c r="G198" s="67">
        <f>Employee_Master!I198</f>
        <v/>
      </c>
      <c r="H198" s="84">
        <f>IF($B198="","",COUNTIF(Task_Tracker!$F$5:$F$1004,$B198))</f>
        <v/>
      </c>
      <c r="I198" s="84">
        <f>IF($B198="","",COUNTIFS(Task_Tracker!$F$5:$F$1004,$B198,Task_Tracker!$A$5:$A$1004,"&lt;&gt;",Task_Tracker!$I$5:$I$1004,"&lt;&gt;Completed",Task_Tracker!$I$5:$I$1004,"&lt;&gt;Cancelled"))</f>
        <v/>
      </c>
      <c r="J198" s="84">
        <f>IF($B198="","",COUNTIFS(Task_Tracker!$F$5:$F$1004,$B198,Task_Tracker!$I$5:$I$1004,"Completed"))</f>
        <v/>
      </c>
      <c r="K198" s="86">
        <f>IFERROR($J198/$H198,"")</f>
        <v/>
      </c>
      <c r="L198" s="66">
        <f>IF($B198="","",SUMIF(Task_Tracker!$F$5:$F$1004,$B198,Task_Tracker!$N$5:$N$1004))</f>
        <v/>
      </c>
      <c r="M198" s="66">
        <f>IF($B198="","",SUMIF(Task_Tracker!$F$5:$F$1004,$B198,Task_Tracker!$O$5:$O$1004))</f>
        <v/>
      </c>
      <c r="N198" s="66">
        <f>IF(OR($L198="",$M198=""),"",$M198-$L198)</f>
        <v/>
      </c>
      <c r="O198" s="84">
        <f>IF($B198="","",COUNTIFS(Task_Tracker!$F$5:$F$1004,$B198,Task_Tracker!$R$5:$R$1004,"Overdue"))</f>
        <v/>
      </c>
      <c r="P198" s="84">
        <f>IF($B198="","",COUNTIFS(Task_Tracker!$F$5:$F$1004,$B198,Task_Tracker!$S$5:$S$1004,TEXT(TODAY(),"yyyy-mm")))</f>
        <v/>
      </c>
      <c r="Q198" s="66">
        <f>IF($B198="","",SUMIFS(Task_Tracker!$O$5:$O$1004,Task_Tracker!$F$5:$F$1004,$B198,Task_Tracker!$S$5:$S$1004,TEXT(TODAY(),"yyyy-mm")))</f>
        <v/>
      </c>
      <c r="R198" s="86">
        <f>IFERROR($Q198/($F198*4),"")</f>
        <v/>
      </c>
    </row>
    <row r="199" ht="15" customHeight="1" s="40">
      <c r="A199" s="67">
        <f>Employee_Master!A199</f>
        <v/>
      </c>
      <c r="B199" s="67">
        <f>Employee_Master!B199</f>
        <v/>
      </c>
      <c r="C199" s="67">
        <f>Employee_Master!C199</f>
        <v/>
      </c>
      <c r="D199" s="67">
        <f>Employee_Master!D199</f>
        <v/>
      </c>
      <c r="E199" s="67">
        <f>Employee_Master!E199</f>
        <v/>
      </c>
      <c r="F199" s="87">
        <f>Employee_Master!H199</f>
        <v/>
      </c>
      <c r="G199" s="67">
        <f>Employee_Master!I199</f>
        <v/>
      </c>
      <c r="H199" s="84">
        <f>IF($B199="","",COUNTIF(Task_Tracker!$F$5:$F$1004,$B199))</f>
        <v/>
      </c>
      <c r="I199" s="84">
        <f>IF($B199="","",COUNTIFS(Task_Tracker!$F$5:$F$1004,$B199,Task_Tracker!$A$5:$A$1004,"&lt;&gt;",Task_Tracker!$I$5:$I$1004,"&lt;&gt;Completed",Task_Tracker!$I$5:$I$1004,"&lt;&gt;Cancelled"))</f>
        <v/>
      </c>
      <c r="J199" s="84">
        <f>IF($B199="","",COUNTIFS(Task_Tracker!$F$5:$F$1004,$B199,Task_Tracker!$I$5:$I$1004,"Completed"))</f>
        <v/>
      </c>
      <c r="K199" s="86">
        <f>IFERROR($J199/$H199,"")</f>
        <v/>
      </c>
      <c r="L199" s="66">
        <f>IF($B199="","",SUMIF(Task_Tracker!$F$5:$F$1004,$B199,Task_Tracker!$N$5:$N$1004))</f>
        <v/>
      </c>
      <c r="M199" s="66">
        <f>IF($B199="","",SUMIF(Task_Tracker!$F$5:$F$1004,$B199,Task_Tracker!$O$5:$O$1004))</f>
        <v/>
      </c>
      <c r="N199" s="66">
        <f>IF(OR($L199="",$M199=""),"",$M199-$L199)</f>
        <v/>
      </c>
      <c r="O199" s="84">
        <f>IF($B199="","",COUNTIFS(Task_Tracker!$F$5:$F$1004,$B199,Task_Tracker!$R$5:$R$1004,"Overdue"))</f>
        <v/>
      </c>
      <c r="P199" s="84">
        <f>IF($B199="","",COUNTIFS(Task_Tracker!$F$5:$F$1004,$B199,Task_Tracker!$S$5:$S$1004,TEXT(TODAY(),"yyyy-mm")))</f>
        <v/>
      </c>
      <c r="Q199" s="66">
        <f>IF($B199="","",SUMIFS(Task_Tracker!$O$5:$O$1004,Task_Tracker!$F$5:$F$1004,$B199,Task_Tracker!$S$5:$S$1004,TEXT(TODAY(),"yyyy-mm")))</f>
        <v/>
      </c>
      <c r="R199" s="86">
        <f>IFERROR($Q199/($F199*4),"")</f>
        <v/>
      </c>
    </row>
    <row r="200" ht="15" customHeight="1" s="40">
      <c r="A200" s="67">
        <f>Employee_Master!A200</f>
        <v/>
      </c>
      <c r="B200" s="67">
        <f>Employee_Master!B200</f>
        <v/>
      </c>
      <c r="C200" s="67">
        <f>Employee_Master!C200</f>
        <v/>
      </c>
      <c r="D200" s="67">
        <f>Employee_Master!D200</f>
        <v/>
      </c>
      <c r="E200" s="67">
        <f>Employee_Master!E200</f>
        <v/>
      </c>
      <c r="F200" s="87">
        <f>Employee_Master!H200</f>
        <v/>
      </c>
      <c r="G200" s="67">
        <f>Employee_Master!I200</f>
        <v/>
      </c>
      <c r="H200" s="84">
        <f>IF($B200="","",COUNTIF(Task_Tracker!$F$5:$F$1004,$B200))</f>
        <v/>
      </c>
      <c r="I200" s="84">
        <f>IF($B200="","",COUNTIFS(Task_Tracker!$F$5:$F$1004,$B200,Task_Tracker!$A$5:$A$1004,"&lt;&gt;",Task_Tracker!$I$5:$I$1004,"&lt;&gt;Completed",Task_Tracker!$I$5:$I$1004,"&lt;&gt;Cancelled"))</f>
        <v/>
      </c>
      <c r="J200" s="84">
        <f>IF($B200="","",COUNTIFS(Task_Tracker!$F$5:$F$1004,$B200,Task_Tracker!$I$5:$I$1004,"Completed"))</f>
        <v/>
      </c>
      <c r="K200" s="86">
        <f>IFERROR($J200/$H200,"")</f>
        <v/>
      </c>
      <c r="L200" s="66">
        <f>IF($B200="","",SUMIF(Task_Tracker!$F$5:$F$1004,$B200,Task_Tracker!$N$5:$N$1004))</f>
        <v/>
      </c>
      <c r="M200" s="66">
        <f>IF($B200="","",SUMIF(Task_Tracker!$F$5:$F$1004,$B200,Task_Tracker!$O$5:$O$1004))</f>
        <v/>
      </c>
      <c r="N200" s="66">
        <f>IF(OR($L200="",$M200=""),"",$M200-$L200)</f>
        <v/>
      </c>
      <c r="O200" s="84">
        <f>IF($B200="","",COUNTIFS(Task_Tracker!$F$5:$F$1004,$B200,Task_Tracker!$R$5:$R$1004,"Overdue"))</f>
        <v/>
      </c>
      <c r="P200" s="84">
        <f>IF($B200="","",COUNTIFS(Task_Tracker!$F$5:$F$1004,$B200,Task_Tracker!$S$5:$S$1004,TEXT(TODAY(),"yyyy-mm")))</f>
        <v/>
      </c>
      <c r="Q200" s="66">
        <f>IF($B200="","",SUMIFS(Task_Tracker!$O$5:$O$1004,Task_Tracker!$F$5:$F$1004,$B200,Task_Tracker!$S$5:$S$1004,TEXT(TODAY(),"yyyy-mm")))</f>
        <v/>
      </c>
      <c r="R200" s="86">
        <f>IFERROR($Q200/($F200*4),"")</f>
        <v/>
      </c>
    </row>
    <row r="201" ht="15" customHeight="1" s="40">
      <c r="A201" s="67">
        <f>Employee_Master!A201</f>
        <v/>
      </c>
      <c r="B201" s="67">
        <f>Employee_Master!B201</f>
        <v/>
      </c>
      <c r="C201" s="67">
        <f>Employee_Master!C201</f>
        <v/>
      </c>
      <c r="D201" s="67">
        <f>Employee_Master!D201</f>
        <v/>
      </c>
      <c r="E201" s="67">
        <f>Employee_Master!E201</f>
        <v/>
      </c>
      <c r="F201" s="87">
        <f>Employee_Master!H201</f>
        <v/>
      </c>
      <c r="G201" s="67">
        <f>Employee_Master!I201</f>
        <v/>
      </c>
      <c r="H201" s="84">
        <f>IF($B201="","",COUNTIF(Task_Tracker!$F$5:$F$1004,$B201))</f>
        <v/>
      </c>
      <c r="I201" s="84">
        <f>IF($B201="","",COUNTIFS(Task_Tracker!$F$5:$F$1004,$B201,Task_Tracker!$A$5:$A$1004,"&lt;&gt;",Task_Tracker!$I$5:$I$1004,"&lt;&gt;Completed",Task_Tracker!$I$5:$I$1004,"&lt;&gt;Cancelled"))</f>
        <v/>
      </c>
      <c r="J201" s="84">
        <f>IF($B201="","",COUNTIFS(Task_Tracker!$F$5:$F$1004,$B201,Task_Tracker!$I$5:$I$1004,"Completed"))</f>
        <v/>
      </c>
      <c r="K201" s="86">
        <f>IFERROR($J201/$H201,"")</f>
        <v/>
      </c>
      <c r="L201" s="66">
        <f>IF($B201="","",SUMIF(Task_Tracker!$F$5:$F$1004,$B201,Task_Tracker!$N$5:$N$1004))</f>
        <v/>
      </c>
      <c r="M201" s="66">
        <f>IF($B201="","",SUMIF(Task_Tracker!$F$5:$F$1004,$B201,Task_Tracker!$O$5:$O$1004))</f>
        <v/>
      </c>
      <c r="N201" s="66">
        <f>IF(OR($L201="",$M201=""),"",$M201-$L201)</f>
        <v/>
      </c>
      <c r="O201" s="84">
        <f>IF($B201="","",COUNTIFS(Task_Tracker!$F$5:$F$1004,$B201,Task_Tracker!$R$5:$R$1004,"Overdue"))</f>
        <v/>
      </c>
      <c r="P201" s="84">
        <f>IF($B201="","",COUNTIFS(Task_Tracker!$F$5:$F$1004,$B201,Task_Tracker!$S$5:$S$1004,TEXT(TODAY(),"yyyy-mm")))</f>
        <v/>
      </c>
      <c r="Q201" s="66">
        <f>IF($B201="","",SUMIFS(Task_Tracker!$O$5:$O$1004,Task_Tracker!$F$5:$F$1004,$B201,Task_Tracker!$S$5:$S$1004,TEXT(TODAY(),"yyyy-mm")))</f>
        <v/>
      </c>
      <c r="R201" s="86">
        <f>IFERROR($Q201/($F201*4),"")</f>
        <v/>
      </c>
    </row>
    <row r="202" ht="15" customHeight="1" s="40">
      <c r="A202" s="67">
        <f>Employee_Master!A202</f>
        <v/>
      </c>
      <c r="B202" s="67">
        <f>Employee_Master!B202</f>
        <v/>
      </c>
      <c r="C202" s="67">
        <f>Employee_Master!C202</f>
        <v/>
      </c>
      <c r="D202" s="67">
        <f>Employee_Master!D202</f>
        <v/>
      </c>
      <c r="E202" s="67">
        <f>Employee_Master!E202</f>
        <v/>
      </c>
      <c r="F202" s="87">
        <f>Employee_Master!H202</f>
        <v/>
      </c>
      <c r="G202" s="67">
        <f>Employee_Master!I202</f>
        <v/>
      </c>
      <c r="H202" s="84">
        <f>IF($B202="","",COUNTIF(Task_Tracker!$F$5:$F$1004,$B202))</f>
        <v/>
      </c>
      <c r="I202" s="84">
        <f>IF($B202="","",COUNTIFS(Task_Tracker!$F$5:$F$1004,$B202,Task_Tracker!$A$5:$A$1004,"&lt;&gt;",Task_Tracker!$I$5:$I$1004,"&lt;&gt;Completed",Task_Tracker!$I$5:$I$1004,"&lt;&gt;Cancelled"))</f>
        <v/>
      </c>
      <c r="J202" s="84">
        <f>IF($B202="","",COUNTIFS(Task_Tracker!$F$5:$F$1004,$B202,Task_Tracker!$I$5:$I$1004,"Completed"))</f>
        <v/>
      </c>
      <c r="K202" s="86">
        <f>IFERROR($J202/$H202,"")</f>
        <v/>
      </c>
      <c r="L202" s="66">
        <f>IF($B202="","",SUMIF(Task_Tracker!$F$5:$F$1004,$B202,Task_Tracker!$N$5:$N$1004))</f>
        <v/>
      </c>
      <c r="M202" s="66">
        <f>IF($B202="","",SUMIF(Task_Tracker!$F$5:$F$1004,$B202,Task_Tracker!$O$5:$O$1004))</f>
        <v/>
      </c>
      <c r="N202" s="66">
        <f>IF(OR($L202="",$M202=""),"",$M202-$L202)</f>
        <v/>
      </c>
      <c r="O202" s="84">
        <f>IF($B202="","",COUNTIFS(Task_Tracker!$F$5:$F$1004,$B202,Task_Tracker!$R$5:$R$1004,"Overdue"))</f>
        <v/>
      </c>
      <c r="P202" s="84">
        <f>IF($B202="","",COUNTIFS(Task_Tracker!$F$5:$F$1004,$B202,Task_Tracker!$S$5:$S$1004,TEXT(TODAY(),"yyyy-mm")))</f>
        <v/>
      </c>
      <c r="Q202" s="66">
        <f>IF($B202="","",SUMIFS(Task_Tracker!$O$5:$O$1004,Task_Tracker!$F$5:$F$1004,$B202,Task_Tracker!$S$5:$S$1004,TEXT(TODAY(),"yyyy-mm")))</f>
        <v/>
      </c>
      <c r="R202" s="86">
        <f>IFERROR($Q202/($F202*4),"")</f>
        <v/>
      </c>
    </row>
    <row r="203" ht="15" customHeight="1" s="40">
      <c r="A203" s="67">
        <f>Employee_Master!A203</f>
        <v/>
      </c>
      <c r="B203" s="67">
        <f>Employee_Master!B203</f>
        <v/>
      </c>
      <c r="C203" s="67">
        <f>Employee_Master!C203</f>
        <v/>
      </c>
      <c r="D203" s="67">
        <f>Employee_Master!D203</f>
        <v/>
      </c>
      <c r="E203" s="67">
        <f>Employee_Master!E203</f>
        <v/>
      </c>
      <c r="F203" s="87">
        <f>Employee_Master!H203</f>
        <v/>
      </c>
      <c r="G203" s="67">
        <f>Employee_Master!I203</f>
        <v/>
      </c>
      <c r="H203" s="84">
        <f>IF($B203="","",COUNTIF(Task_Tracker!$F$5:$F$1004,$B203))</f>
        <v/>
      </c>
      <c r="I203" s="84">
        <f>IF($B203="","",COUNTIFS(Task_Tracker!$F$5:$F$1004,$B203,Task_Tracker!$A$5:$A$1004,"&lt;&gt;",Task_Tracker!$I$5:$I$1004,"&lt;&gt;Completed",Task_Tracker!$I$5:$I$1004,"&lt;&gt;Cancelled"))</f>
        <v/>
      </c>
      <c r="J203" s="84">
        <f>IF($B203="","",COUNTIFS(Task_Tracker!$F$5:$F$1004,$B203,Task_Tracker!$I$5:$I$1004,"Completed"))</f>
        <v/>
      </c>
      <c r="K203" s="86">
        <f>IFERROR($J203/$H203,"")</f>
        <v/>
      </c>
      <c r="L203" s="66">
        <f>IF($B203="","",SUMIF(Task_Tracker!$F$5:$F$1004,$B203,Task_Tracker!$N$5:$N$1004))</f>
        <v/>
      </c>
      <c r="M203" s="66">
        <f>IF($B203="","",SUMIF(Task_Tracker!$F$5:$F$1004,$B203,Task_Tracker!$O$5:$O$1004))</f>
        <v/>
      </c>
      <c r="N203" s="66">
        <f>IF(OR($L203="",$M203=""),"",$M203-$L203)</f>
        <v/>
      </c>
      <c r="O203" s="84">
        <f>IF($B203="","",COUNTIFS(Task_Tracker!$F$5:$F$1004,$B203,Task_Tracker!$R$5:$R$1004,"Overdue"))</f>
        <v/>
      </c>
      <c r="P203" s="84">
        <f>IF($B203="","",COUNTIFS(Task_Tracker!$F$5:$F$1004,$B203,Task_Tracker!$S$5:$S$1004,TEXT(TODAY(),"yyyy-mm")))</f>
        <v/>
      </c>
      <c r="Q203" s="66">
        <f>IF($B203="","",SUMIFS(Task_Tracker!$O$5:$O$1004,Task_Tracker!$F$5:$F$1004,$B203,Task_Tracker!$S$5:$S$1004,TEXT(TODAY(),"yyyy-mm")))</f>
        <v/>
      </c>
      <c r="R203" s="86">
        <f>IFERROR($Q203/($F203*4),"")</f>
        <v/>
      </c>
    </row>
    <row r="204" ht="15" customHeight="1" s="40">
      <c r="A204" s="67">
        <f>Employee_Master!A204</f>
        <v/>
      </c>
      <c r="B204" s="67">
        <f>Employee_Master!B204</f>
        <v/>
      </c>
      <c r="C204" s="67">
        <f>Employee_Master!C204</f>
        <v/>
      </c>
      <c r="D204" s="67">
        <f>Employee_Master!D204</f>
        <v/>
      </c>
      <c r="E204" s="67">
        <f>Employee_Master!E204</f>
        <v/>
      </c>
      <c r="F204" s="87">
        <f>Employee_Master!H204</f>
        <v/>
      </c>
      <c r="G204" s="67">
        <f>Employee_Master!I204</f>
        <v/>
      </c>
      <c r="H204" s="84">
        <f>IF($B204="","",COUNTIF(Task_Tracker!$F$5:$F$1004,$B204))</f>
        <v/>
      </c>
      <c r="I204" s="84">
        <f>IF($B204="","",COUNTIFS(Task_Tracker!$F$5:$F$1004,$B204,Task_Tracker!$A$5:$A$1004,"&lt;&gt;",Task_Tracker!$I$5:$I$1004,"&lt;&gt;Completed",Task_Tracker!$I$5:$I$1004,"&lt;&gt;Cancelled"))</f>
        <v/>
      </c>
      <c r="J204" s="84">
        <f>IF($B204="","",COUNTIFS(Task_Tracker!$F$5:$F$1004,$B204,Task_Tracker!$I$5:$I$1004,"Completed"))</f>
        <v/>
      </c>
      <c r="K204" s="86">
        <f>IFERROR($J204/$H204,"")</f>
        <v/>
      </c>
      <c r="L204" s="66">
        <f>IF($B204="","",SUMIF(Task_Tracker!$F$5:$F$1004,$B204,Task_Tracker!$N$5:$N$1004))</f>
        <v/>
      </c>
      <c r="M204" s="66">
        <f>IF($B204="","",SUMIF(Task_Tracker!$F$5:$F$1004,$B204,Task_Tracker!$O$5:$O$1004))</f>
        <v/>
      </c>
      <c r="N204" s="66">
        <f>IF(OR($L204="",$M204=""),"",$M204-$L204)</f>
        <v/>
      </c>
      <c r="O204" s="84">
        <f>IF($B204="","",COUNTIFS(Task_Tracker!$F$5:$F$1004,$B204,Task_Tracker!$R$5:$R$1004,"Overdue"))</f>
        <v/>
      </c>
      <c r="P204" s="84">
        <f>IF($B204="","",COUNTIFS(Task_Tracker!$F$5:$F$1004,$B204,Task_Tracker!$S$5:$S$1004,TEXT(TODAY(),"yyyy-mm")))</f>
        <v/>
      </c>
      <c r="Q204" s="66">
        <f>IF($B204="","",SUMIFS(Task_Tracker!$O$5:$O$1004,Task_Tracker!$F$5:$F$1004,$B204,Task_Tracker!$S$5:$S$1004,TEXT(TODAY(),"yyyy-mm")))</f>
        <v/>
      </c>
      <c r="R204" s="86">
        <f>IFERROR($Q204/($F204*4),"")</f>
        <v/>
      </c>
    </row>
  </sheetData>
  <autoFilter ref="A4:R204"/>
  <mergeCells count="2">
    <mergeCell ref="A2:R2"/>
    <mergeCell ref="A1:R1"/>
  </mergeCells>
  <conditionalFormatting sqref="R5:R204">
    <cfRule type="colorScale" priority="2">
      <colorScale>
        <cfvo type="num" val="0"/>
        <cfvo type="num" val="0.75"/>
        <cfvo type="num" val="1.25"/>
        <color rgb="FF63BE7B"/>
        <color rgb="FFFFEB84"/>
        <color rgb="FFF8696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style="40" min="1" max="1"/>
    <col width="18" customWidth="1" style="40" min="2" max="2"/>
    <col width="18" customWidth="1" style="40" min="3" max="3"/>
    <col width="24" customWidth="1" style="40" min="4" max="4"/>
    <col width="14" customWidth="1" style="40" min="5" max="5"/>
    <col width="12" customWidth="1" style="40" min="6" max="6"/>
    <col width="13" customWidth="1" style="40" min="7" max="7"/>
    <col width="12" customWidth="1" style="40" min="8" max="8"/>
    <col width="12" customWidth="1" style="40" min="9" max="9"/>
    <col width="26" customWidth="1" style="40" min="10" max="10"/>
    <col width="20" customWidth="1" style="40" min="11" max="11"/>
    <col width="18" customWidth="1" style="40" min="12" max="12"/>
  </cols>
  <sheetData>
    <row r="1" ht="24" customHeight="1" s="40">
      <c r="A1" s="122" t="inlineStr">
        <is>
          <t>Employee Report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28" customHeight="1" s="40">
      <c r="A2" s="70" t="inlineStr">
        <is>
          <t>This report now pulls task details directly from Task_Tracker and step details directly from Task_Steps. Hours and status update automatically.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Selected Employee</t>
        </is>
      </c>
      <c r="B4" s="89" t="inlineStr">
        <is>
          <t>Pammi Gaur</t>
        </is>
      </c>
      <c r="D4" s="88" t="inlineStr">
        <is>
          <t>Department</t>
        </is>
      </c>
      <c r="E4" s="73">
        <f>IF($B$4="","",IFERROR(INDEX(Employee_Master!$C$5:$C$204,MATCH($B$4,Employee_Master!$B$5:$B$204,0)),""))</f>
        <v/>
      </c>
      <c r="G4" s="88" t="inlineStr">
        <is>
          <t>Role</t>
        </is>
      </c>
      <c r="H4" s="73">
        <f>IF($B$4="","",IFERROR(INDEX(Employee_Master!$D$5:$D$204,MATCH($B$4,Employee_Master!$B$5:$B$204,0)),""))</f>
        <v/>
      </c>
      <c r="J4" s="88" t="inlineStr">
        <is>
          <t>Manager</t>
        </is>
      </c>
      <c r="K4" s="73">
        <f>IF($B$4="","",IFERROR(INDEX(Employee_Master!$E$5:$E$204,MATCH($B$4,Employee_Master!$B$5:$B$204,0)),""))</f>
        <v/>
      </c>
      <c r="L4" s="112" t="n"/>
    </row>
    <row r="5" ht="20" customHeight="1" s="40">
      <c r="A5" s="88" t="inlineStr">
        <is>
          <t>Month Filter</t>
        </is>
      </c>
      <c r="B5" s="90" t="inlineStr">
        <is>
          <t>All</t>
        </is>
      </c>
      <c r="D5" s="88" t="inlineStr">
        <is>
          <t>Capacity / Week</t>
        </is>
      </c>
      <c r="E5" s="75">
        <f>IF($B$4="","",IFERROR(INDEX(Employee_Master!$H$5:$H$204,MATCH($B$4,Employee_Master!$B$5:$B$204,0)),""))</f>
        <v/>
      </c>
    </row>
    <row r="6" ht="20" customHeight="1" s="40"/>
    <row r="7" ht="20" customHeight="1" s="40">
      <c r="A7" s="91" t="inlineStr">
        <is>
          <t>Total Tasks</t>
        </is>
      </c>
      <c r="B7" s="112" t="n"/>
      <c r="C7" s="91" t="inlineStr">
        <is>
          <t>Open Tasks</t>
        </is>
      </c>
      <c r="D7" s="112" t="n"/>
      <c r="E7" s="91" t="inlineStr">
        <is>
          <t>Completed</t>
        </is>
      </c>
      <c r="F7" s="112" t="n"/>
      <c r="G7" s="91" t="inlineStr">
        <is>
          <t>Overdue</t>
        </is>
      </c>
      <c r="H7" s="112" t="n"/>
      <c r="I7" s="91" t="inlineStr">
        <is>
          <t>Est. Hours</t>
        </is>
      </c>
      <c r="J7" s="112" t="n"/>
      <c r="K7" s="91" t="inlineStr">
        <is>
          <t>Actual Hours</t>
        </is>
      </c>
      <c r="L7" s="112" t="n"/>
    </row>
    <row r="8" ht="20" customHeight="1" s="40">
      <c r="A8" s="92">
        <f>COUNTIF(Task_Tracker!$F$5:$F$1004,$B$4)</f>
        <v/>
      </c>
      <c r="B8" s="112" t="n"/>
      <c r="C8" s="92">
        <f>COUNTIFS(Task_Tracker!$F$5:$F$1004,$B$4,Task_Tracker!$I$5:$I$1004,"&lt;&gt;Completed",Task_Tracker!$I$5:$I$1004,"&lt;&gt;Cancelled")</f>
        <v/>
      </c>
      <c r="D8" s="112" t="n"/>
      <c r="E8" s="92">
        <f>COUNTIFS(Task_Tracker!$F$5:$F$1004,$B$4,Task_Tracker!$I$5:$I$1004,"Completed")</f>
        <v/>
      </c>
      <c r="F8" s="112" t="n"/>
      <c r="G8" s="92">
        <f>COUNTIFS(Task_Tracker!$F$5:$F$1004,$B$4,Task_Tracker!$R$5:$R$1004,"Overdue")</f>
        <v/>
      </c>
      <c r="H8" s="112" t="n"/>
      <c r="I8" s="93">
        <f>SUMIF(Task_Tracker!$F$5:$F$1004,$B$4,Task_Tracker!$N$5:$N$1004)</f>
        <v/>
      </c>
      <c r="J8" s="112" t="n"/>
      <c r="K8" s="93">
        <f>SUMIF(Task_Tracker!$F$5:$F$1004,$B$4,Task_Tracker!$O$5:$O$1004)</f>
        <v/>
      </c>
      <c r="L8" s="112" t="n"/>
    </row>
    <row r="9" ht="20" customHeight="1" s="40"/>
    <row r="10" ht="20" customHeight="1" s="40">
      <c r="A10" s="91" t="inlineStr">
        <is>
          <t>Step Count</t>
        </is>
      </c>
      <c r="C10" s="91" t="inlineStr">
        <is>
          <t>Open Steps</t>
        </is>
      </c>
      <c r="E10" s="91" t="inlineStr">
        <is>
          <t>Completed Steps</t>
        </is>
      </c>
      <c r="G10" s="91" t="inlineStr">
        <is>
          <t>Step Actual Hrs</t>
        </is>
      </c>
      <c r="I10" s="91" t="inlineStr">
        <is>
          <t>Tasks w/ Source</t>
        </is>
      </c>
      <c r="K10" s="91" t="inlineStr">
        <is>
          <t>To Manager</t>
        </is>
      </c>
    </row>
    <row r="11" ht="20" customHeight="1" s="40">
      <c r="A11" s="92">
        <f>COUNTIF(Task_Steps!$G$5:$G$2004,$B$4)</f>
        <v/>
      </c>
      <c r="C11" s="92">
        <f>COUNTIFS(Task_Steps!$G$5:$G$2004,$B$4,Task_Steps!$H$5:$H$2004,"&lt;&gt;Completed",Task_Steps!$H$5:$H$2004,"&lt;&gt;Cancelled")</f>
        <v/>
      </c>
      <c r="E11" s="92">
        <f>COUNTIFS(Task_Steps!$G$5:$G$2004,$B$4,Task_Steps!$H$5:$H$2004,"Completed")</f>
        <v/>
      </c>
      <c r="G11" s="92">
        <f>SUMIF(Task_Steps!$G$5:$G$2004,$B$4,Task_Steps!$N$5:$N$2004)</f>
        <v/>
      </c>
      <c r="I11" s="92">
        <f>COUNTIFS(Task_Tracker!$F$5:$F$1004,$B$4,Task_Tracker!$AA$5:$AA$1004,"&lt;&gt;")</f>
        <v/>
      </c>
      <c r="K11" s="92">
        <f>COUNTIFS(Task_Tracker!$F$5:$F$1004,$B$4,Task_Tracker!$AC$5:$AC$1004,"&lt;&gt;")</f>
        <v/>
      </c>
    </row>
    <row r="12" ht="20" customHeight="1" s="40"/>
    <row r="13" ht="20" customHeight="1" s="40">
      <c r="A13" s="94" t="inlineStr">
        <is>
          <t>Task Detail (Direct from Task_Tracker)</t>
        </is>
      </c>
      <c r="B13" s="111" t="n"/>
      <c r="C13" s="111" t="n"/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2" t="n"/>
    </row>
    <row r="14" ht="20" customHeight="1" s="40">
      <c r="A14" s="95" t="inlineStr">
        <is>
          <t>Task ID</t>
        </is>
      </c>
      <c r="B14" s="95" t="inlineStr">
        <is>
          <t>Source</t>
        </is>
      </c>
      <c r="C14" s="95" t="inlineStr">
        <is>
          <t>Project</t>
        </is>
      </c>
      <c r="D14" s="95" t="inlineStr">
        <is>
          <t>Task Title</t>
        </is>
      </c>
      <c r="E14" s="95" t="inlineStr">
        <is>
          <t>Status</t>
        </is>
      </c>
      <c r="F14" s="95" t="inlineStr">
        <is>
          <t>Priority</t>
        </is>
      </c>
      <c r="G14" s="95" t="inlineStr">
        <is>
          <t>Due Date</t>
        </is>
      </c>
      <c r="H14" s="95" t="inlineStr">
        <is>
          <t>Actual Hrs</t>
        </is>
      </c>
      <c r="I14" s="95" t="inlineStr">
        <is>
          <t>Open Steps</t>
        </is>
      </c>
      <c r="J14" s="95" t="inlineStr">
        <is>
          <t>Linked Step IDs</t>
        </is>
      </c>
      <c r="K14" s="39" t="inlineStr">
        <is>
          <t>Next Step</t>
        </is>
      </c>
      <c r="L14" s="39" t="inlineStr">
        <is>
          <t>Manager</t>
        </is>
      </c>
    </row>
    <row r="15" ht="20" customHeight="1" s="40">
      <c r="A15" s="96">
        <f>IF($B$5="All",IFERROR(TAKE(SORT(FILTER(CHOOSECOLS(Task_Tracker!$A$5:$AF$1004,1,27,2,4,9,8,12,15,31,30,21,28),(Task_Tracker!$A$5:$A$1004&lt;&gt;"")*(Task_Tracker!$F$5:$F$1004=$B$4)),7,1),20),""),IFERROR(TAKE(SORT(FILTER(CHOOSECOLS(Task_Tracker!$A$5:$AF$1004,1,27,2,4,9,8,12,15,31,30,21,28),(Task_Tracker!$A$5:$A$1004&lt;&gt;"")*(Task_Tracker!$F$5:$F$1004=$B$4)*(Task_Tracker!$S$5:$S$1004=$B$5)),7,1),20),""))</f>
        <v/>
      </c>
      <c r="B15" s="73" t="n"/>
      <c r="C15" s="73" t="n"/>
      <c r="D15" s="96" t="n"/>
      <c r="E15" s="96" t="n"/>
      <c r="F15" s="113" t="n"/>
      <c r="G15" s="113" t="n"/>
      <c r="H15" s="75" t="n"/>
      <c r="I15" s="96" t="n"/>
      <c r="J15" s="73" t="n"/>
    </row>
    <row r="16" ht="20" customHeight="1" s="40">
      <c r="A16" s="96" t="n"/>
      <c r="B16" s="73" t="n"/>
      <c r="C16" s="73" t="n"/>
      <c r="D16" s="96" t="n"/>
      <c r="E16" s="96" t="n"/>
      <c r="F16" s="113" t="n"/>
      <c r="G16" s="113" t="n"/>
      <c r="H16" s="75" t="n"/>
      <c r="I16" s="96" t="n"/>
      <c r="J16" s="73" t="n"/>
    </row>
    <row r="17" ht="20" customHeight="1" s="40">
      <c r="A17" s="96" t="n"/>
      <c r="B17" s="73" t="n"/>
      <c r="C17" s="73" t="n"/>
      <c r="D17" s="96" t="n"/>
      <c r="E17" s="96" t="n"/>
      <c r="F17" s="113" t="n"/>
      <c r="G17" s="113" t="n"/>
      <c r="H17" s="75" t="n"/>
      <c r="I17" s="96" t="n"/>
      <c r="J17" s="73" t="n"/>
    </row>
    <row r="18" ht="20" customHeight="1" s="40">
      <c r="A18" s="96" t="n"/>
      <c r="B18" s="73" t="n"/>
      <c r="C18" s="73" t="n"/>
      <c r="D18" s="96" t="n"/>
      <c r="E18" s="96" t="n"/>
      <c r="F18" s="113" t="n"/>
      <c r="G18" s="113" t="n"/>
      <c r="H18" s="75" t="n"/>
      <c r="I18" s="96" t="n"/>
      <c r="J18" s="73" t="n"/>
    </row>
    <row r="19" ht="20" customHeight="1" s="40">
      <c r="A19" s="96" t="n"/>
      <c r="B19" s="73" t="n"/>
      <c r="C19" s="73" t="n"/>
      <c r="D19" s="96" t="n"/>
      <c r="E19" s="96" t="n"/>
      <c r="F19" s="113" t="n"/>
      <c r="G19" s="113" t="n"/>
      <c r="H19" s="75" t="n"/>
      <c r="I19" s="96" t="n"/>
      <c r="J19" s="73" t="n"/>
    </row>
    <row r="20" ht="20" customHeight="1" s="40">
      <c r="A20" s="96" t="n"/>
      <c r="B20" s="73" t="n"/>
      <c r="C20" s="73" t="n"/>
      <c r="D20" s="96" t="n"/>
      <c r="E20" s="96" t="n"/>
      <c r="F20" s="113" t="n"/>
      <c r="G20" s="113" t="n"/>
      <c r="H20" s="75" t="n"/>
      <c r="I20" s="96" t="n"/>
      <c r="J20" s="73" t="n"/>
    </row>
    <row r="21" ht="20" customHeight="1" s="40">
      <c r="A21" s="96" t="n"/>
      <c r="B21" s="73" t="n"/>
      <c r="C21" s="73" t="n"/>
      <c r="D21" s="96" t="n"/>
      <c r="E21" s="96" t="n"/>
      <c r="F21" s="113" t="n"/>
      <c r="G21" s="113" t="n"/>
      <c r="H21" s="75" t="n"/>
      <c r="I21" s="96" t="n"/>
      <c r="J21" s="73" t="n"/>
    </row>
    <row r="22" ht="20" customHeight="1" s="40">
      <c r="A22" s="96" t="n"/>
      <c r="B22" s="73" t="n"/>
      <c r="C22" s="73" t="n"/>
      <c r="D22" s="96" t="n"/>
      <c r="E22" s="96" t="n"/>
      <c r="F22" s="113" t="n"/>
      <c r="G22" s="113" t="n"/>
      <c r="H22" s="75" t="n"/>
      <c r="I22" s="96" t="n"/>
      <c r="J22" s="73" t="n"/>
    </row>
    <row r="23" ht="20" customHeight="1" s="40">
      <c r="A23" s="96" t="n"/>
      <c r="B23" s="73" t="n"/>
      <c r="C23" s="73" t="n"/>
      <c r="D23" s="96" t="n"/>
      <c r="E23" s="96" t="n"/>
      <c r="F23" s="113" t="n"/>
      <c r="G23" s="113" t="n"/>
      <c r="H23" s="75" t="n"/>
      <c r="I23" s="96" t="n"/>
      <c r="J23" s="73" t="n"/>
    </row>
    <row r="24" ht="20" customHeight="1" s="40">
      <c r="A24" s="96" t="n"/>
      <c r="B24" s="73" t="n"/>
      <c r="C24" s="73" t="n"/>
      <c r="D24" s="96" t="n"/>
      <c r="E24" s="96" t="n"/>
      <c r="F24" s="113" t="n"/>
      <c r="G24" s="113" t="n"/>
      <c r="H24" s="75" t="n"/>
      <c r="I24" s="96" t="n"/>
      <c r="J24" s="73" t="n"/>
    </row>
    <row r="25" ht="20" customHeight="1" s="40">
      <c r="A25" s="96" t="n"/>
      <c r="B25" s="73" t="n"/>
      <c r="C25" s="73" t="n"/>
      <c r="D25" s="96" t="n"/>
      <c r="E25" s="96" t="n"/>
      <c r="F25" s="113" t="n"/>
      <c r="G25" s="113" t="n"/>
      <c r="H25" s="75" t="n"/>
      <c r="I25" s="96" t="n"/>
      <c r="J25" s="73" t="n"/>
    </row>
    <row r="26" ht="20" customHeight="1" s="40">
      <c r="A26" s="96" t="n"/>
      <c r="B26" s="73" t="n"/>
      <c r="C26" s="73" t="n"/>
      <c r="D26" s="96" t="n"/>
      <c r="E26" s="96" t="n"/>
      <c r="F26" s="113" t="n"/>
      <c r="G26" s="113" t="n"/>
      <c r="H26" s="75" t="n"/>
      <c r="I26" s="96" t="n"/>
      <c r="J26" s="73" t="n"/>
    </row>
    <row r="27" ht="20" customHeight="1" s="40">
      <c r="A27" s="96" t="n"/>
      <c r="B27" s="73" t="n"/>
      <c r="C27" s="73" t="n"/>
      <c r="D27" s="96" t="n"/>
      <c r="E27" s="96" t="n"/>
      <c r="F27" s="113" t="n"/>
      <c r="G27" s="113" t="n"/>
      <c r="H27" s="75" t="n"/>
      <c r="I27" s="96" t="n"/>
      <c r="J27" s="73" t="n"/>
    </row>
    <row r="28" ht="20" customHeight="1" s="40">
      <c r="A28" s="96" t="n"/>
      <c r="B28" s="73" t="n"/>
      <c r="C28" s="73" t="n"/>
      <c r="D28" s="96" t="n"/>
      <c r="E28" s="96" t="n"/>
      <c r="F28" s="113" t="n"/>
      <c r="G28" s="113" t="n"/>
      <c r="H28" s="75" t="n"/>
      <c r="I28" s="96" t="n"/>
      <c r="J28" s="73" t="n"/>
    </row>
    <row r="29" ht="20" customHeight="1" s="40">
      <c r="A29" s="96" t="n"/>
      <c r="B29" s="73" t="n"/>
      <c r="C29" s="73" t="n"/>
      <c r="D29" s="96" t="n"/>
      <c r="E29" s="96" t="n"/>
      <c r="F29" s="113" t="n"/>
      <c r="G29" s="113" t="n"/>
      <c r="H29" s="75" t="n"/>
      <c r="I29" s="96" t="n"/>
      <c r="J29" s="73" t="n"/>
    </row>
    <row r="30" ht="20" customHeight="1" s="40">
      <c r="A30" s="96" t="n"/>
      <c r="B30" s="73" t="n"/>
      <c r="C30" s="73" t="n"/>
      <c r="D30" s="96" t="n"/>
      <c r="E30" s="96" t="n"/>
      <c r="F30" s="113" t="n"/>
      <c r="G30" s="113" t="n"/>
      <c r="H30" s="75" t="n"/>
      <c r="I30" s="96" t="n"/>
      <c r="J30" s="73" t="n"/>
    </row>
    <row r="31" ht="20" customHeight="1" s="40">
      <c r="A31" s="96" t="n"/>
      <c r="B31" s="73" t="n"/>
      <c r="C31" s="73" t="n"/>
      <c r="D31" s="96" t="n"/>
      <c r="E31" s="96" t="n"/>
      <c r="F31" s="113" t="n"/>
      <c r="G31" s="113" t="n"/>
      <c r="H31" s="75" t="n"/>
      <c r="I31" s="96" t="n"/>
      <c r="J31" s="73" t="n"/>
    </row>
    <row r="32" ht="20" customHeight="1" s="40">
      <c r="A32" s="96" t="n"/>
      <c r="B32" s="73" t="n"/>
      <c r="C32" s="73" t="n"/>
      <c r="D32" s="96" t="n"/>
      <c r="E32" s="96" t="n"/>
      <c r="F32" s="113" t="n"/>
      <c r="G32" s="113" t="n"/>
      <c r="H32" s="75" t="n"/>
      <c r="I32" s="96" t="n"/>
      <c r="J32" s="73" t="n"/>
    </row>
    <row r="33" ht="20" customHeight="1" s="40">
      <c r="A33" s="96" t="n"/>
      <c r="B33" s="73" t="n"/>
      <c r="C33" s="73" t="n"/>
      <c r="D33" s="96" t="n"/>
      <c r="E33" s="96" t="n"/>
      <c r="F33" s="113" t="n"/>
      <c r="G33" s="113" t="n"/>
      <c r="H33" s="75" t="n"/>
      <c r="I33" s="96" t="n"/>
      <c r="J33" s="73" t="n"/>
    </row>
    <row r="34" ht="20" customHeight="1" s="40">
      <c r="A34" s="96" t="n"/>
      <c r="B34" s="73" t="n"/>
      <c r="C34" s="73" t="n"/>
      <c r="D34" s="96" t="n"/>
      <c r="E34" s="96" t="n"/>
      <c r="F34" s="113" t="n"/>
      <c r="G34" s="113" t="n"/>
      <c r="H34" s="75" t="n"/>
      <c r="I34" s="96" t="n"/>
      <c r="J34" s="73" t="n"/>
    </row>
    <row r="35" ht="20" customHeight="1" s="40"/>
    <row r="36" ht="20" customHeight="1" s="40"/>
    <row r="37" ht="20" customHeight="1" s="40">
      <c r="A37" s="94" t="inlineStr">
        <is>
          <t>Month-wise Summary</t>
        </is>
      </c>
      <c r="B37" s="111" t="n"/>
      <c r="C37" s="111" t="n"/>
      <c r="D37" s="111" t="n"/>
      <c r="E37" s="111" t="n"/>
      <c r="F37" s="111" t="n"/>
      <c r="G37" s="111" t="n"/>
      <c r="H37" s="112" t="n"/>
      <c r="I37" s="94" t="inlineStr">
        <is>
          <t>Tip</t>
        </is>
      </c>
      <c r="J37" s="111" t="n"/>
      <c r="K37" s="111" t="n"/>
      <c r="L37" s="112" t="n"/>
    </row>
    <row r="38" ht="20" customHeight="1" s="40">
      <c r="A38" s="71" t="inlineStr">
        <is>
          <t>Month Start</t>
        </is>
      </c>
      <c r="B38" s="71" t="inlineStr">
        <is>
          <t>Month</t>
        </is>
      </c>
      <c r="C38" s="71" t="inlineStr">
        <is>
          <t>Tasks Due</t>
        </is>
      </c>
      <c r="D38" s="71" t="inlineStr">
        <is>
          <t>Completed</t>
        </is>
      </c>
      <c r="E38" s="71" t="inlineStr">
        <is>
          <t>Carry Forward</t>
        </is>
      </c>
      <c r="F38" s="71" t="inlineStr">
        <is>
          <t>Actual Hrs</t>
        </is>
      </c>
      <c r="G38" s="71" t="inlineStr">
        <is>
          <t>Open in Bucket</t>
        </is>
      </c>
      <c r="H38" s="71" t="inlineStr">
        <is>
          <t>Completion %</t>
        </is>
      </c>
      <c r="I38" s="97" t="inlineStr">
        <is>
          <t>Task and step sections are linked to Task_Tracker and Task_Steps. Change only the source sheets; reports update automatically.</t>
        </is>
      </c>
      <c r="J38" s="114" t="n"/>
      <c r="K38" s="114" t="n"/>
      <c r="L38" s="115" t="n"/>
    </row>
    <row r="39" ht="20" customHeight="1" s="40">
      <c r="A39" s="113" t="n">
        <v>46113</v>
      </c>
      <c r="B39" s="73">
        <f>TEXT(A39,"mmm yyyy")</f>
        <v/>
      </c>
      <c r="C39" s="74">
        <f>COUNTIFS(Task_Tracker!$F$5:$F$1004,$B$4,Task_Tracker!$L$5:$L$1004,"&gt;="&amp;$A39,Task_Tracker!$L$5:$L$1004,"&lt;"&amp;EDATE($A39,1))</f>
        <v/>
      </c>
      <c r="D39" s="74">
        <f>COUNTIFS(Task_Tracker!$F$5:$F$1004,$B$4,Task_Tracker!$L$5:$L$1004,"&gt;="&amp;$A39,Task_Tracker!$L$5:$L$1004,"&lt;"&amp;EDATE($A39,1),Task_Tracker!$I$5:$I$1004,"Completed")</f>
        <v/>
      </c>
      <c r="E39" s="74">
        <f>COUNTIFS(Task_Tracker!$F$5:$F$1004,$B$4,Task_Tracker!$L$5:$L$1004,"&lt;"&amp;$A39,Task_Tracker!$I$5:$I$1004,"&lt;&gt;Completed",Task_Tracker!$I$5:$I$1004,"&lt;&gt;Cancelled")</f>
        <v/>
      </c>
      <c r="F39" s="75">
        <f>SUMIFS(Task_Tracker!$O$5:$O$1004,Task_Tracker!$F$5:$F$1004,$B$4,Task_Tracker!$L$5:$L$1004,"&gt;="&amp;$A39,Task_Tracker!$L$5:$L$1004,"&lt;"&amp;EDATE($A39,1))</f>
        <v/>
      </c>
      <c r="G39" s="74">
        <f>COUNTIFS(Task_Tracker!$F$5:$F$1004,$B$4,Task_Tracker!$L$5:$L$1004,"&gt;="&amp;$A39,Task_Tracker!$L$5:$L$1004,"&lt;"&amp;EDATE($A39,1),Task_Tracker!$I$5:$I$1004,"&lt;&gt;Completed",Task_Tracker!$I$5:$I$1004,"&lt;&gt;Cancelled")</f>
        <v/>
      </c>
      <c r="H39" s="116">
        <f>IFERROR(D39/C39,0)</f>
        <v/>
      </c>
      <c r="I39" s="117" t="n"/>
      <c r="L39" s="118" t="n"/>
    </row>
    <row r="40" ht="20" customHeight="1" s="40">
      <c r="A40" s="113" t="n">
        <v>46143</v>
      </c>
      <c r="B40" s="73">
        <f>TEXT(A40,"mmm yyyy")</f>
        <v/>
      </c>
      <c r="C40" s="74">
        <f>COUNTIFS(Task_Tracker!$F$5:$F$1004,$B$4,Task_Tracker!$L$5:$L$1004,"&gt;="&amp;$A40,Task_Tracker!$L$5:$L$1004,"&lt;"&amp;EDATE($A40,1))</f>
        <v/>
      </c>
      <c r="D40" s="74">
        <f>COUNTIFS(Task_Tracker!$F$5:$F$1004,$B$4,Task_Tracker!$L$5:$L$1004,"&gt;="&amp;$A40,Task_Tracker!$L$5:$L$1004,"&lt;"&amp;EDATE($A40,1),Task_Tracker!$I$5:$I$1004,"Completed")</f>
        <v/>
      </c>
      <c r="E40" s="74">
        <f>COUNTIFS(Task_Tracker!$F$5:$F$1004,$B$4,Task_Tracker!$L$5:$L$1004,"&lt;"&amp;$A40,Task_Tracker!$I$5:$I$1004,"&lt;&gt;Completed",Task_Tracker!$I$5:$I$1004,"&lt;&gt;Cancelled")</f>
        <v/>
      </c>
      <c r="F40" s="75">
        <f>SUMIFS(Task_Tracker!$O$5:$O$1004,Task_Tracker!$F$5:$F$1004,$B$4,Task_Tracker!$L$5:$L$1004,"&gt;="&amp;$A40,Task_Tracker!$L$5:$L$1004,"&lt;"&amp;EDATE($A40,1))</f>
        <v/>
      </c>
      <c r="G40" s="74">
        <f>COUNTIFS(Task_Tracker!$F$5:$F$1004,$B$4,Task_Tracker!$L$5:$L$1004,"&gt;="&amp;$A40,Task_Tracker!$L$5:$L$1004,"&lt;"&amp;EDATE($A40,1),Task_Tracker!$I$5:$I$1004,"&lt;&gt;Completed",Task_Tracker!$I$5:$I$1004,"&lt;&gt;Cancelled")</f>
        <v/>
      </c>
      <c r="H40" s="116">
        <f>IFERROR(D40/C40,0)</f>
        <v/>
      </c>
      <c r="I40" s="119" t="n"/>
      <c r="J40" s="120" t="n"/>
      <c r="K40" s="120" t="n"/>
      <c r="L40" s="121" t="n"/>
    </row>
    <row r="41" ht="20" customHeight="1" s="40">
      <c r="A41" s="113" t="n">
        <v>46174</v>
      </c>
      <c r="B41" s="73">
        <f>TEXT(A41,"mmm yyyy")</f>
        <v/>
      </c>
      <c r="C41" s="74">
        <f>COUNTIFS(Task_Tracker!$F$5:$F$1004,$B$4,Task_Tracker!$L$5:$L$1004,"&gt;="&amp;$A41,Task_Tracker!$L$5:$L$1004,"&lt;"&amp;EDATE($A41,1))</f>
        <v/>
      </c>
      <c r="D41" s="74">
        <f>COUNTIFS(Task_Tracker!$F$5:$F$1004,$B$4,Task_Tracker!$L$5:$L$1004,"&gt;="&amp;$A41,Task_Tracker!$L$5:$L$1004,"&lt;"&amp;EDATE($A41,1),Task_Tracker!$I$5:$I$1004,"Completed")</f>
        <v/>
      </c>
      <c r="E41" s="74">
        <f>COUNTIFS(Task_Tracker!$F$5:$F$1004,$B$4,Task_Tracker!$L$5:$L$1004,"&lt;"&amp;$A41,Task_Tracker!$I$5:$I$1004,"&lt;&gt;Completed",Task_Tracker!$I$5:$I$1004,"&lt;&gt;Cancelled")</f>
        <v/>
      </c>
      <c r="F41" s="75">
        <f>SUMIFS(Task_Tracker!$O$5:$O$1004,Task_Tracker!$F$5:$F$1004,$B$4,Task_Tracker!$L$5:$L$1004,"&gt;="&amp;$A41,Task_Tracker!$L$5:$L$1004,"&lt;"&amp;EDATE($A41,1))</f>
        <v/>
      </c>
      <c r="G41" s="74">
        <f>COUNTIFS(Task_Tracker!$F$5:$F$1004,$B$4,Task_Tracker!$L$5:$L$1004,"&gt;="&amp;$A41,Task_Tracker!$L$5:$L$1004,"&lt;"&amp;EDATE($A41,1),Task_Tracker!$I$5:$I$1004,"&lt;&gt;Completed",Task_Tracker!$I$5:$I$1004,"&lt;&gt;Cancelled")</f>
        <v/>
      </c>
      <c r="H41" s="116">
        <f>IFERROR(D41/C41,0)</f>
        <v/>
      </c>
    </row>
    <row r="42" ht="20" customHeight="1" s="40">
      <c r="A42" s="113" t="n">
        <v>46204</v>
      </c>
      <c r="B42" s="73">
        <f>TEXT(A42,"mmm yyyy")</f>
        <v/>
      </c>
      <c r="C42" s="74">
        <f>COUNTIFS(Task_Tracker!$F$5:$F$1004,$B$4,Task_Tracker!$L$5:$L$1004,"&gt;="&amp;$A42,Task_Tracker!$L$5:$L$1004,"&lt;"&amp;EDATE($A42,1))</f>
        <v/>
      </c>
      <c r="D42" s="74">
        <f>COUNTIFS(Task_Tracker!$F$5:$F$1004,$B$4,Task_Tracker!$L$5:$L$1004,"&gt;="&amp;$A42,Task_Tracker!$L$5:$L$1004,"&lt;"&amp;EDATE($A42,1),Task_Tracker!$I$5:$I$1004,"Completed")</f>
        <v/>
      </c>
      <c r="E42" s="74">
        <f>COUNTIFS(Task_Tracker!$F$5:$F$1004,$B$4,Task_Tracker!$L$5:$L$1004,"&lt;"&amp;$A42,Task_Tracker!$I$5:$I$1004,"&lt;&gt;Completed",Task_Tracker!$I$5:$I$1004,"&lt;&gt;Cancelled")</f>
        <v/>
      </c>
      <c r="F42" s="75">
        <f>SUMIFS(Task_Tracker!$O$5:$O$1004,Task_Tracker!$F$5:$F$1004,$B$4,Task_Tracker!$L$5:$L$1004,"&gt;="&amp;$A42,Task_Tracker!$L$5:$L$1004,"&lt;"&amp;EDATE($A42,1))</f>
        <v/>
      </c>
      <c r="G42" s="74">
        <f>COUNTIFS(Task_Tracker!$F$5:$F$1004,$B$4,Task_Tracker!$L$5:$L$1004,"&gt;="&amp;$A42,Task_Tracker!$L$5:$L$1004,"&lt;"&amp;EDATE($A42,1),Task_Tracker!$I$5:$I$1004,"&lt;&gt;Completed",Task_Tracker!$I$5:$I$1004,"&lt;&gt;Cancelled")</f>
        <v/>
      </c>
      <c r="H42" s="116">
        <f>IFERROR(D42/C42,0)</f>
        <v/>
      </c>
    </row>
    <row r="43" ht="20" customHeight="1" s="40">
      <c r="A43" s="113" t="n">
        <v>46235</v>
      </c>
      <c r="B43" s="73">
        <f>TEXT(A43,"mmm yyyy")</f>
        <v/>
      </c>
      <c r="C43" s="74">
        <f>COUNTIFS(Task_Tracker!$F$5:$F$1004,$B$4,Task_Tracker!$L$5:$L$1004,"&gt;="&amp;$A43,Task_Tracker!$L$5:$L$1004,"&lt;"&amp;EDATE($A43,1))</f>
        <v/>
      </c>
      <c r="D43" s="74">
        <f>COUNTIFS(Task_Tracker!$F$5:$F$1004,$B$4,Task_Tracker!$L$5:$L$1004,"&gt;="&amp;$A43,Task_Tracker!$L$5:$L$1004,"&lt;"&amp;EDATE($A43,1),Task_Tracker!$I$5:$I$1004,"Completed")</f>
        <v/>
      </c>
      <c r="E43" s="74">
        <f>COUNTIFS(Task_Tracker!$F$5:$F$1004,$B$4,Task_Tracker!$L$5:$L$1004,"&lt;"&amp;$A43,Task_Tracker!$I$5:$I$1004,"&lt;&gt;Completed",Task_Tracker!$I$5:$I$1004,"&lt;&gt;Cancelled")</f>
        <v/>
      </c>
      <c r="F43" s="75">
        <f>SUMIFS(Task_Tracker!$O$5:$O$1004,Task_Tracker!$F$5:$F$1004,$B$4,Task_Tracker!$L$5:$L$1004,"&gt;="&amp;$A43,Task_Tracker!$L$5:$L$1004,"&lt;"&amp;EDATE($A43,1))</f>
        <v/>
      </c>
      <c r="G43" s="74">
        <f>COUNTIFS(Task_Tracker!$F$5:$F$1004,$B$4,Task_Tracker!$L$5:$L$1004,"&gt;="&amp;$A43,Task_Tracker!$L$5:$L$1004,"&lt;"&amp;EDATE($A43,1),Task_Tracker!$I$5:$I$1004,"&lt;&gt;Completed",Task_Tracker!$I$5:$I$1004,"&lt;&gt;Cancelled")</f>
        <v/>
      </c>
      <c r="H43" s="116">
        <f>IFERROR(D43/C43,0)</f>
        <v/>
      </c>
    </row>
    <row r="44" ht="20" customHeight="1" s="40">
      <c r="A44" s="113" t="n">
        <v>46266</v>
      </c>
      <c r="B44" s="73">
        <f>TEXT(A44,"mmm yyyy")</f>
        <v/>
      </c>
      <c r="C44" s="74">
        <f>COUNTIFS(Task_Tracker!$F$5:$F$1004,$B$4,Task_Tracker!$L$5:$L$1004,"&gt;="&amp;$A44,Task_Tracker!$L$5:$L$1004,"&lt;"&amp;EDATE($A44,1))</f>
        <v/>
      </c>
      <c r="D44" s="74">
        <f>COUNTIFS(Task_Tracker!$F$5:$F$1004,$B$4,Task_Tracker!$L$5:$L$1004,"&gt;="&amp;$A44,Task_Tracker!$L$5:$L$1004,"&lt;"&amp;EDATE($A44,1),Task_Tracker!$I$5:$I$1004,"Completed")</f>
        <v/>
      </c>
      <c r="E44" s="74">
        <f>COUNTIFS(Task_Tracker!$F$5:$F$1004,$B$4,Task_Tracker!$L$5:$L$1004,"&lt;"&amp;$A44,Task_Tracker!$I$5:$I$1004,"&lt;&gt;Completed",Task_Tracker!$I$5:$I$1004,"&lt;&gt;Cancelled")</f>
        <v/>
      </c>
      <c r="F44" s="75">
        <f>SUMIFS(Task_Tracker!$O$5:$O$1004,Task_Tracker!$F$5:$F$1004,$B$4,Task_Tracker!$L$5:$L$1004,"&gt;="&amp;$A44,Task_Tracker!$L$5:$L$1004,"&lt;"&amp;EDATE($A44,1))</f>
        <v/>
      </c>
      <c r="G44" s="74">
        <f>COUNTIFS(Task_Tracker!$F$5:$F$1004,$B$4,Task_Tracker!$L$5:$L$1004,"&gt;="&amp;$A44,Task_Tracker!$L$5:$L$1004,"&lt;"&amp;EDATE($A44,1),Task_Tracker!$I$5:$I$1004,"&lt;&gt;Completed",Task_Tracker!$I$5:$I$1004,"&lt;&gt;Cancelled")</f>
        <v/>
      </c>
      <c r="H44" s="116">
        <f>IFERROR(D44/C44,0)</f>
        <v/>
      </c>
    </row>
    <row r="45" ht="20" customHeight="1" s="40">
      <c r="A45" s="113" t="n">
        <v>46296</v>
      </c>
      <c r="B45" s="73">
        <f>TEXT(A45,"mmm yyyy")</f>
        <v/>
      </c>
      <c r="C45" s="74">
        <f>COUNTIFS(Task_Tracker!$F$5:$F$1004,$B$4,Task_Tracker!$L$5:$L$1004,"&gt;="&amp;$A45,Task_Tracker!$L$5:$L$1004,"&lt;"&amp;EDATE($A45,1))</f>
        <v/>
      </c>
      <c r="D45" s="74">
        <f>COUNTIFS(Task_Tracker!$F$5:$F$1004,$B$4,Task_Tracker!$L$5:$L$1004,"&gt;="&amp;$A45,Task_Tracker!$L$5:$L$1004,"&lt;"&amp;EDATE($A45,1),Task_Tracker!$I$5:$I$1004,"Completed")</f>
        <v/>
      </c>
      <c r="E45" s="74">
        <f>COUNTIFS(Task_Tracker!$F$5:$F$1004,$B$4,Task_Tracker!$L$5:$L$1004,"&lt;"&amp;$A45,Task_Tracker!$I$5:$I$1004,"&lt;&gt;Completed",Task_Tracker!$I$5:$I$1004,"&lt;&gt;Cancelled")</f>
        <v/>
      </c>
      <c r="F45" s="75">
        <f>SUMIFS(Task_Tracker!$O$5:$O$1004,Task_Tracker!$F$5:$F$1004,$B$4,Task_Tracker!$L$5:$L$1004,"&gt;="&amp;$A45,Task_Tracker!$L$5:$L$1004,"&lt;"&amp;EDATE($A45,1))</f>
        <v/>
      </c>
      <c r="G45" s="74">
        <f>COUNTIFS(Task_Tracker!$F$5:$F$1004,$B$4,Task_Tracker!$L$5:$L$1004,"&gt;="&amp;$A45,Task_Tracker!$L$5:$L$1004,"&lt;"&amp;EDATE($A45,1),Task_Tracker!$I$5:$I$1004,"&lt;&gt;Completed",Task_Tracker!$I$5:$I$1004,"&lt;&gt;Cancelled")</f>
        <v/>
      </c>
      <c r="H45" s="116">
        <f>IFERROR(D45/C45,0)</f>
        <v/>
      </c>
    </row>
    <row r="46" ht="20" customHeight="1" s="40">
      <c r="A46" s="113" t="n">
        <v>46327</v>
      </c>
      <c r="B46" s="73">
        <f>TEXT(A46,"mmm yyyy")</f>
        <v/>
      </c>
      <c r="C46" s="74">
        <f>COUNTIFS(Task_Tracker!$F$5:$F$1004,$B$4,Task_Tracker!$L$5:$L$1004,"&gt;="&amp;$A46,Task_Tracker!$L$5:$L$1004,"&lt;"&amp;EDATE($A46,1))</f>
        <v/>
      </c>
      <c r="D46" s="74">
        <f>COUNTIFS(Task_Tracker!$F$5:$F$1004,$B$4,Task_Tracker!$L$5:$L$1004,"&gt;="&amp;$A46,Task_Tracker!$L$5:$L$1004,"&lt;"&amp;EDATE($A46,1),Task_Tracker!$I$5:$I$1004,"Completed")</f>
        <v/>
      </c>
      <c r="E46" s="74">
        <f>COUNTIFS(Task_Tracker!$F$5:$F$1004,$B$4,Task_Tracker!$L$5:$L$1004,"&lt;"&amp;$A46,Task_Tracker!$I$5:$I$1004,"&lt;&gt;Completed",Task_Tracker!$I$5:$I$1004,"&lt;&gt;Cancelled")</f>
        <v/>
      </c>
      <c r="F46" s="75">
        <f>SUMIFS(Task_Tracker!$O$5:$O$1004,Task_Tracker!$F$5:$F$1004,$B$4,Task_Tracker!$L$5:$L$1004,"&gt;="&amp;$A46,Task_Tracker!$L$5:$L$1004,"&lt;"&amp;EDATE($A46,1))</f>
        <v/>
      </c>
      <c r="G46" s="74">
        <f>COUNTIFS(Task_Tracker!$F$5:$F$1004,$B$4,Task_Tracker!$L$5:$L$1004,"&gt;="&amp;$A46,Task_Tracker!$L$5:$L$1004,"&lt;"&amp;EDATE($A46,1),Task_Tracker!$I$5:$I$1004,"&lt;&gt;Completed",Task_Tracker!$I$5:$I$1004,"&lt;&gt;Cancelled")</f>
        <v/>
      </c>
      <c r="H46" s="116">
        <f>IFERROR(D46/C46,0)</f>
        <v/>
      </c>
    </row>
    <row r="47" ht="20" customHeight="1" s="40">
      <c r="A47" s="113" t="n">
        <v>46357</v>
      </c>
      <c r="B47" s="73">
        <f>TEXT(A47,"mmm yyyy")</f>
        <v/>
      </c>
      <c r="C47" s="74">
        <f>COUNTIFS(Task_Tracker!$F$5:$F$1004,$B$4,Task_Tracker!$L$5:$L$1004,"&gt;="&amp;$A47,Task_Tracker!$L$5:$L$1004,"&lt;"&amp;EDATE($A47,1))</f>
        <v/>
      </c>
      <c r="D47" s="74">
        <f>COUNTIFS(Task_Tracker!$F$5:$F$1004,$B$4,Task_Tracker!$L$5:$L$1004,"&gt;="&amp;$A47,Task_Tracker!$L$5:$L$1004,"&lt;"&amp;EDATE($A47,1),Task_Tracker!$I$5:$I$1004,"Completed")</f>
        <v/>
      </c>
      <c r="E47" s="74">
        <f>COUNTIFS(Task_Tracker!$F$5:$F$1004,$B$4,Task_Tracker!$L$5:$L$1004,"&lt;"&amp;$A47,Task_Tracker!$I$5:$I$1004,"&lt;&gt;Completed",Task_Tracker!$I$5:$I$1004,"&lt;&gt;Cancelled")</f>
        <v/>
      </c>
      <c r="F47" s="75">
        <f>SUMIFS(Task_Tracker!$O$5:$O$1004,Task_Tracker!$F$5:$F$1004,$B$4,Task_Tracker!$L$5:$L$1004,"&gt;="&amp;$A47,Task_Tracker!$L$5:$L$1004,"&lt;"&amp;EDATE($A47,1))</f>
        <v/>
      </c>
      <c r="G47" s="74">
        <f>COUNTIFS(Task_Tracker!$F$5:$F$1004,$B$4,Task_Tracker!$L$5:$L$1004,"&gt;="&amp;$A47,Task_Tracker!$L$5:$L$1004,"&lt;"&amp;EDATE($A47,1),Task_Tracker!$I$5:$I$1004,"&lt;&gt;Completed",Task_Tracker!$I$5:$I$1004,"&lt;&gt;Cancelled")</f>
        <v/>
      </c>
      <c r="H47" s="116">
        <f>IFERROR(D47/C47,0)</f>
        <v/>
      </c>
    </row>
    <row r="48" ht="20" customHeight="1" s="40">
      <c r="A48" s="113" t="n">
        <v>46388</v>
      </c>
      <c r="B48" s="73">
        <f>TEXT(A48,"mmm yyyy")</f>
        <v/>
      </c>
      <c r="C48" s="74">
        <f>COUNTIFS(Task_Tracker!$F$5:$F$1004,$B$4,Task_Tracker!$L$5:$L$1004,"&gt;="&amp;$A48,Task_Tracker!$L$5:$L$1004,"&lt;"&amp;EDATE($A48,1))</f>
        <v/>
      </c>
      <c r="D48" s="74">
        <f>COUNTIFS(Task_Tracker!$F$5:$F$1004,$B$4,Task_Tracker!$L$5:$L$1004,"&gt;="&amp;$A48,Task_Tracker!$L$5:$L$1004,"&lt;"&amp;EDATE($A48,1),Task_Tracker!$I$5:$I$1004,"Completed")</f>
        <v/>
      </c>
      <c r="E48" s="74">
        <f>COUNTIFS(Task_Tracker!$F$5:$F$1004,$B$4,Task_Tracker!$L$5:$L$1004,"&lt;"&amp;$A48,Task_Tracker!$I$5:$I$1004,"&lt;&gt;Completed",Task_Tracker!$I$5:$I$1004,"&lt;&gt;Cancelled")</f>
        <v/>
      </c>
      <c r="F48" s="75">
        <f>SUMIFS(Task_Tracker!$O$5:$O$1004,Task_Tracker!$F$5:$F$1004,$B$4,Task_Tracker!$L$5:$L$1004,"&gt;="&amp;$A48,Task_Tracker!$L$5:$L$1004,"&lt;"&amp;EDATE($A48,1))</f>
        <v/>
      </c>
      <c r="G48" s="74">
        <f>COUNTIFS(Task_Tracker!$F$5:$F$1004,$B$4,Task_Tracker!$L$5:$L$1004,"&gt;="&amp;$A48,Task_Tracker!$L$5:$L$1004,"&lt;"&amp;EDATE($A48,1),Task_Tracker!$I$5:$I$1004,"&lt;&gt;Completed",Task_Tracker!$I$5:$I$1004,"&lt;&gt;Cancelled")</f>
        <v/>
      </c>
      <c r="H48" s="116">
        <f>IFERROR(D48/C48,0)</f>
        <v/>
      </c>
    </row>
    <row r="49" ht="20" customHeight="1" s="40">
      <c r="A49" s="113" t="n">
        <v>46419</v>
      </c>
      <c r="B49" s="73">
        <f>TEXT(A49,"mmm yyyy")</f>
        <v/>
      </c>
      <c r="C49" s="74">
        <f>COUNTIFS(Task_Tracker!$F$5:$F$1004,$B$4,Task_Tracker!$L$5:$L$1004,"&gt;="&amp;$A49,Task_Tracker!$L$5:$L$1004,"&lt;"&amp;EDATE($A49,1))</f>
        <v/>
      </c>
      <c r="D49" s="74">
        <f>COUNTIFS(Task_Tracker!$F$5:$F$1004,$B$4,Task_Tracker!$L$5:$L$1004,"&gt;="&amp;$A49,Task_Tracker!$L$5:$L$1004,"&lt;"&amp;EDATE($A49,1),Task_Tracker!$I$5:$I$1004,"Completed")</f>
        <v/>
      </c>
      <c r="E49" s="74">
        <f>COUNTIFS(Task_Tracker!$F$5:$F$1004,$B$4,Task_Tracker!$L$5:$L$1004,"&lt;"&amp;$A49,Task_Tracker!$I$5:$I$1004,"&lt;&gt;Completed",Task_Tracker!$I$5:$I$1004,"&lt;&gt;Cancelled")</f>
        <v/>
      </c>
      <c r="F49" s="75">
        <f>SUMIFS(Task_Tracker!$O$5:$O$1004,Task_Tracker!$F$5:$F$1004,$B$4,Task_Tracker!$L$5:$L$1004,"&gt;="&amp;$A49,Task_Tracker!$L$5:$L$1004,"&lt;"&amp;EDATE($A49,1))</f>
        <v/>
      </c>
      <c r="G49" s="74">
        <f>COUNTIFS(Task_Tracker!$F$5:$F$1004,$B$4,Task_Tracker!$L$5:$L$1004,"&gt;="&amp;$A49,Task_Tracker!$L$5:$L$1004,"&lt;"&amp;EDATE($A49,1),Task_Tracker!$I$5:$I$1004,"&lt;&gt;Completed",Task_Tracker!$I$5:$I$1004,"&lt;&gt;Cancelled")</f>
        <v/>
      </c>
      <c r="H49" s="116">
        <f>IFERROR(D49/C49,0)</f>
        <v/>
      </c>
    </row>
    <row r="50" ht="20" customHeight="1" s="40">
      <c r="A50" s="113" t="n">
        <v>46447</v>
      </c>
      <c r="B50" s="73">
        <f>TEXT(A50,"mmm yyyy")</f>
        <v/>
      </c>
      <c r="C50" s="74">
        <f>COUNTIFS(Task_Tracker!$F$5:$F$1004,$B$4,Task_Tracker!$L$5:$L$1004,"&gt;="&amp;$A50,Task_Tracker!$L$5:$L$1004,"&lt;"&amp;EDATE($A50,1))</f>
        <v/>
      </c>
      <c r="D50" s="74">
        <f>COUNTIFS(Task_Tracker!$F$5:$F$1004,$B$4,Task_Tracker!$L$5:$L$1004,"&gt;="&amp;$A50,Task_Tracker!$L$5:$L$1004,"&lt;"&amp;EDATE($A50,1),Task_Tracker!$I$5:$I$1004,"Completed")</f>
        <v/>
      </c>
      <c r="E50" s="74">
        <f>COUNTIFS(Task_Tracker!$F$5:$F$1004,$B$4,Task_Tracker!$L$5:$L$1004,"&lt;"&amp;$A50,Task_Tracker!$I$5:$I$1004,"&lt;&gt;Completed",Task_Tracker!$I$5:$I$1004,"&lt;&gt;Cancelled")</f>
        <v/>
      </c>
      <c r="F50" s="75">
        <f>SUMIFS(Task_Tracker!$O$5:$O$1004,Task_Tracker!$F$5:$F$1004,$B$4,Task_Tracker!$L$5:$L$1004,"&gt;="&amp;$A50,Task_Tracker!$L$5:$L$1004,"&lt;"&amp;EDATE($A50,1))</f>
        <v/>
      </c>
      <c r="G50" s="74">
        <f>COUNTIFS(Task_Tracker!$F$5:$F$1004,$B$4,Task_Tracker!$L$5:$L$1004,"&gt;="&amp;$A50,Task_Tracker!$L$5:$L$1004,"&lt;"&amp;EDATE($A50,1),Task_Tracker!$I$5:$I$1004,"&lt;&gt;Completed",Task_Tracker!$I$5:$I$1004,"&lt;&gt;Cancelled")</f>
        <v/>
      </c>
      <c r="H50" s="116">
        <f>IFERROR(D50/C50,0)</f>
        <v/>
      </c>
    </row>
    <row r="51" ht="20" customHeight="1" s="40"/>
    <row r="52" ht="20" customHeight="1" s="40"/>
    <row r="53" ht="20" customHeight="1" s="40">
      <c r="A53" s="94" t="inlineStr">
        <is>
          <t>Current Open / Upcoming Tasks (Direct from Task_Tracker)</t>
        </is>
      </c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  <c r="L53" s="112" t="n"/>
    </row>
    <row r="54" ht="20" customHeight="1" s="40">
      <c r="A54" s="95" t="inlineStr">
        <is>
          <t>Task ID</t>
        </is>
      </c>
      <c r="B54" s="95" t="inlineStr">
        <is>
          <t>Source</t>
        </is>
      </c>
      <c r="C54" s="95" t="inlineStr">
        <is>
          <t>Project</t>
        </is>
      </c>
      <c r="D54" s="95" t="inlineStr">
        <is>
          <t>Task Title</t>
        </is>
      </c>
      <c r="E54" s="95" t="inlineStr">
        <is>
          <t>Status</t>
        </is>
      </c>
      <c r="F54" s="95" t="inlineStr">
        <is>
          <t>Priority</t>
        </is>
      </c>
      <c r="G54" s="95" t="inlineStr">
        <is>
          <t>Due Date</t>
        </is>
      </c>
      <c r="H54" s="95" t="inlineStr">
        <is>
          <t>Actual Hrs</t>
        </is>
      </c>
      <c r="I54" s="95" t="inlineStr">
        <is>
          <t>Next Step</t>
        </is>
      </c>
      <c r="J54" s="39" t="inlineStr">
        <is>
          <t>Manager</t>
        </is>
      </c>
      <c r="K54" s="39" t="inlineStr">
        <is>
          <t>Notes</t>
        </is>
      </c>
    </row>
    <row r="55" ht="20" customHeight="1" s="40">
      <c r="A55" s="96">
        <f>IFERROR(TAKE(SORT(FILTER(CHOOSECOLS(Task_Tracker!$A$5:$AF$1004,1,27,2,4,9,8,12,15,21,28,26),(Task_Tracker!$A$5:$A$1004&lt;&gt;"")*(Task_Tracker!$F$5:$F$1004=$B$4)*(Task_Tracker!$I$5:$I$1004&lt;&gt;"Completed")*(Task_Tracker!$I$5:$I$1004&lt;&gt;"Cancelled")),7,1),20),"")</f>
        <v/>
      </c>
      <c r="B55" s="73" t="n"/>
      <c r="C55" s="73" t="n"/>
      <c r="D55" s="96" t="n"/>
      <c r="E55" s="96" t="n"/>
      <c r="F55" s="113" t="n"/>
      <c r="G55" s="75" t="n"/>
      <c r="H55" s="73" t="n"/>
      <c r="I55" s="73" t="n"/>
    </row>
    <row r="56" ht="20" customHeight="1" s="40">
      <c r="A56" s="96" t="n"/>
      <c r="B56" s="73" t="n"/>
      <c r="C56" s="73" t="n"/>
      <c r="D56" s="96" t="n"/>
      <c r="E56" s="96" t="n"/>
      <c r="F56" s="113" t="n"/>
      <c r="G56" s="75" t="n"/>
      <c r="H56" s="73" t="n"/>
      <c r="I56" s="73" t="n"/>
    </row>
    <row r="57" ht="20" customHeight="1" s="40">
      <c r="A57" s="96" t="n"/>
      <c r="B57" s="73" t="n"/>
      <c r="C57" s="73" t="n"/>
      <c r="D57" s="96" t="n"/>
      <c r="E57" s="96" t="n"/>
      <c r="F57" s="113" t="n"/>
      <c r="G57" s="75" t="n"/>
      <c r="H57" s="73" t="n"/>
      <c r="I57" s="73" t="n"/>
    </row>
    <row r="58" ht="20" customHeight="1" s="40">
      <c r="A58" s="96" t="n"/>
      <c r="B58" s="73" t="n"/>
      <c r="C58" s="73" t="n"/>
      <c r="D58" s="96" t="n"/>
      <c r="E58" s="96" t="n"/>
      <c r="F58" s="113" t="n"/>
      <c r="G58" s="75" t="n"/>
      <c r="H58" s="73" t="n"/>
      <c r="I58" s="73" t="n"/>
    </row>
    <row r="59" ht="20" customHeight="1" s="40">
      <c r="A59" s="96" t="n"/>
      <c r="B59" s="73" t="n"/>
      <c r="C59" s="73" t="n"/>
      <c r="D59" s="96" t="n"/>
      <c r="E59" s="96" t="n"/>
      <c r="F59" s="113" t="n"/>
      <c r="G59" s="75" t="n"/>
      <c r="H59" s="73" t="n"/>
      <c r="I59" s="73" t="n"/>
    </row>
    <row r="60" ht="20" customHeight="1" s="40">
      <c r="A60" s="96" t="n"/>
      <c r="B60" s="73" t="n"/>
      <c r="C60" s="73" t="n"/>
      <c r="D60" s="96" t="n"/>
      <c r="E60" s="96" t="n"/>
      <c r="F60" s="113" t="n"/>
      <c r="G60" s="75" t="n"/>
      <c r="H60" s="73" t="n"/>
      <c r="I60" s="73" t="n"/>
    </row>
    <row r="61" ht="20" customHeight="1" s="40">
      <c r="A61" s="96" t="n"/>
      <c r="B61" s="73" t="n"/>
      <c r="C61" s="73" t="n"/>
      <c r="D61" s="96" t="n"/>
      <c r="E61" s="96" t="n"/>
      <c r="F61" s="113" t="n"/>
      <c r="G61" s="75" t="n"/>
      <c r="H61" s="73" t="n"/>
      <c r="I61" s="73" t="n"/>
    </row>
    <row r="62" ht="20" customHeight="1" s="40">
      <c r="A62" s="96" t="n"/>
      <c r="B62" s="73" t="n"/>
      <c r="C62" s="73" t="n"/>
      <c r="D62" s="96" t="n"/>
      <c r="E62" s="96" t="n"/>
      <c r="F62" s="113" t="n"/>
      <c r="G62" s="75" t="n"/>
      <c r="H62" s="73" t="n"/>
      <c r="I62" s="73" t="n"/>
    </row>
    <row r="63" ht="20" customHeight="1" s="40">
      <c r="A63" s="96" t="n"/>
      <c r="B63" s="73" t="n"/>
      <c r="C63" s="73" t="n"/>
      <c r="D63" s="96" t="n"/>
      <c r="E63" s="96" t="n"/>
      <c r="F63" s="113" t="n"/>
      <c r="G63" s="75" t="n"/>
      <c r="H63" s="73" t="n"/>
      <c r="I63" s="73" t="n"/>
    </row>
    <row r="64" ht="20" customHeight="1" s="40">
      <c r="A64" s="96" t="n"/>
      <c r="B64" s="73" t="n"/>
      <c r="C64" s="73" t="n"/>
      <c r="D64" s="96" t="n"/>
      <c r="E64" s="96" t="n"/>
      <c r="F64" s="113" t="n"/>
      <c r="G64" s="75" t="n"/>
      <c r="H64" s="73" t="n"/>
      <c r="I64" s="73" t="n"/>
    </row>
    <row r="65" ht="20" customHeight="1" s="40">
      <c r="A65" s="96" t="n"/>
      <c r="B65" s="73" t="n"/>
      <c r="C65" s="73" t="n"/>
      <c r="D65" s="96" t="n"/>
      <c r="E65" s="96" t="n"/>
      <c r="F65" s="113" t="n"/>
      <c r="G65" s="75" t="n"/>
      <c r="H65" s="73" t="n"/>
      <c r="I65" s="73" t="n"/>
    </row>
    <row r="66" ht="20" customHeight="1" s="40">
      <c r="A66" s="96" t="n"/>
      <c r="B66" s="73" t="n"/>
      <c r="C66" s="73" t="n"/>
      <c r="D66" s="96" t="n"/>
      <c r="E66" s="96" t="n"/>
      <c r="F66" s="113" t="n"/>
      <c r="G66" s="75" t="n"/>
      <c r="H66" s="73" t="n"/>
      <c r="I66" s="73" t="n"/>
    </row>
    <row r="67" ht="20" customHeight="1" s="40">
      <c r="A67" s="96" t="n"/>
      <c r="B67" s="73" t="n"/>
      <c r="C67" s="73" t="n"/>
      <c r="D67" s="96" t="n"/>
      <c r="E67" s="96" t="n"/>
      <c r="F67" s="113" t="n"/>
      <c r="G67" s="75" t="n"/>
      <c r="H67" s="73" t="n"/>
      <c r="I67" s="73" t="n"/>
    </row>
    <row r="68" ht="20" customHeight="1" s="40">
      <c r="A68" s="96" t="n"/>
      <c r="B68" s="73" t="n"/>
      <c r="C68" s="73" t="n"/>
      <c r="D68" s="96" t="n"/>
      <c r="E68" s="96" t="n"/>
      <c r="F68" s="113" t="n"/>
      <c r="G68" s="75" t="n"/>
      <c r="H68" s="73" t="n"/>
      <c r="I68" s="73" t="n"/>
    </row>
    <row r="69" ht="20" customHeight="1" s="40">
      <c r="A69" s="96" t="n"/>
      <c r="B69" s="73" t="n"/>
      <c r="C69" s="73" t="n"/>
      <c r="D69" s="96" t="n"/>
      <c r="E69" s="96" t="n"/>
      <c r="F69" s="113" t="n"/>
      <c r="G69" s="75" t="n"/>
      <c r="H69" s="73" t="n"/>
      <c r="I69" s="73" t="n"/>
    </row>
    <row r="70" ht="20" customHeight="1" s="40">
      <c r="A70" s="96" t="n"/>
      <c r="B70" s="73" t="n"/>
      <c r="C70" s="73" t="n"/>
      <c r="D70" s="96" t="n"/>
      <c r="E70" s="96" t="n"/>
      <c r="F70" s="113" t="n"/>
      <c r="G70" s="75" t="n"/>
      <c r="H70" s="73" t="n"/>
      <c r="I70" s="73" t="n"/>
    </row>
    <row r="71" ht="20" customHeight="1" s="40">
      <c r="A71" s="96" t="n"/>
      <c r="B71" s="73" t="n"/>
      <c r="C71" s="73" t="n"/>
      <c r="D71" s="96" t="n"/>
      <c r="E71" s="96" t="n"/>
      <c r="F71" s="113" t="n"/>
      <c r="G71" s="75" t="n"/>
      <c r="H71" s="73" t="n"/>
      <c r="I71" s="73" t="n"/>
    </row>
    <row r="72" ht="20" customHeight="1" s="40">
      <c r="A72" s="96" t="n"/>
      <c r="B72" s="73" t="n"/>
      <c r="C72" s="73" t="n"/>
      <c r="D72" s="96" t="n"/>
      <c r="E72" s="96" t="n"/>
      <c r="F72" s="113" t="n"/>
      <c r="G72" s="75" t="n"/>
      <c r="H72" s="73" t="n"/>
      <c r="I72" s="73" t="n"/>
    </row>
    <row r="73" ht="20" customHeight="1" s="40">
      <c r="A73" s="96" t="n"/>
      <c r="B73" s="73" t="n"/>
      <c r="C73" s="73" t="n"/>
      <c r="D73" s="96" t="n"/>
      <c r="E73" s="96" t="n"/>
      <c r="F73" s="113" t="n"/>
      <c r="G73" s="75" t="n"/>
      <c r="H73" s="73" t="n"/>
      <c r="I73" s="73" t="n"/>
    </row>
    <row r="74" ht="20" customHeight="1" s="40">
      <c r="A74" s="96" t="n"/>
      <c r="B74" s="73" t="n"/>
      <c r="C74" s="73" t="n"/>
      <c r="D74" s="96" t="n"/>
      <c r="E74" s="96" t="n"/>
      <c r="F74" s="113" t="n"/>
      <c r="G74" s="75" t="n"/>
      <c r="H74" s="73" t="n"/>
      <c r="I74" s="73" t="n"/>
    </row>
    <row r="75" ht="20" customHeight="1" s="40"/>
    <row r="76" ht="20" customHeight="1" s="40"/>
    <row r="77" ht="20" customHeight="1" s="40"/>
    <row r="78" ht="22" customHeight="1" s="40">
      <c r="A78" s="94" t="inlineStr">
        <is>
          <t>Task Step Detail (Direct from Task_Steps)</t>
        </is>
      </c>
    </row>
    <row r="79" ht="20" customHeight="1" s="40">
      <c r="A79" s="95" t="inlineStr">
        <is>
          <t>Step ID</t>
        </is>
      </c>
      <c r="B79" s="95" t="inlineStr">
        <is>
          <t>Parent Task ID</t>
        </is>
      </c>
      <c r="C79" s="95" t="inlineStr">
        <is>
          <t>Source</t>
        </is>
      </c>
      <c r="D79" s="95" t="inlineStr">
        <is>
          <t>Project</t>
        </is>
      </c>
      <c r="E79" s="95" t="inlineStr">
        <is>
          <t>Step Name</t>
        </is>
      </c>
      <c r="F79" s="95" t="inlineStr">
        <is>
          <t>Step Status</t>
        </is>
      </c>
      <c r="G79" s="95" t="inlineStr">
        <is>
          <t>Due Date</t>
        </is>
      </c>
      <c r="H79" s="95" t="inlineStr">
        <is>
          <t>Actual Hrs</t>
        </is>
      </c>
      <c r="I79" s="95" t="inlineStr">
        <is>
          <t>Parent Task Status</t>
        </is>
      </c>
      <c r="J79" s="39" t="inlineStr">
        <is>
          <t>Manager</t>
        </is>
      </c>
    </row>
    <row r="80" ht="20" customHeight="1" s="40">
      <c r="A80" s="96">
        <f>IF($B$5="All",IFERROR(TAKE(SORT(FILTER(CHOOSECOLS(Task_Steps!$A$5:$Y$2004,1,2,19,4,5,8,11,14,22,20),(Task_Steps!$A$5:$A$2004&lt;&gt;"")*(Task_Steps!$G$5:$G$2004=$B$4)),7,1),20),""),IFERROR(TAKE(SORT(FILTER(CHOOSECOLS(Task_Steps!$A$5:$Y$2004,1,2,19,4,5,8,11,14,22,20),(Task_Steps!$A$5:$A$2004&lt;&gt;"")*(Task_Steps!$G$5:$G$2004=$B$4)*(Task_Steps!$X$5:$X$2004=$B$5)),7,1),20),""))</f>
        <v/>
      </c>
    </row>
    <row r="81" ht="20" customHeight="1" s="40"/>
    <row r="82" ht="20" customHeight="1" s="40"/>
    <row r="83" ht="20" customHeight="1" s="40"/>
    <row r="84" ht="20" customHeight="1" s="40"/>
    <row r="85" ht="20" customHeight="1" s="40"/>
    <row r="86" ht="20" customHeight="1" s="40"/>
    <row r="87" ht="20" customHeight="1" s="40"/>
    <row r="88" ht="20" customHeight="1" s="40"/>
    <row r="89" ht="20" customHeight="1" s="40"/>
  </sheetData>
  <mergeCells count="20">
    <mergeCell ref="I38:L40"/>
    <mergeCell ref="G8:H8"/>
    <mergeCell ref="E8:F8"/>
    <mergeCell ref="A2:L2"/>
    <mergeCell ref="A7:B7"/>
    <mergeCell ref="G7:H7"/>
    <mergeCell ref="I7:J7"/>
    <mergeCell ref="A37:H37"/>
    <mergeCell ref="A53:L53"/>
    <mergeCell ref="K8:L8"/>
    <mergeCell ref="A13:L13"/>
    <mergeCell ref="I8:J8"/>
    <mergeCell ref="A8:B8"/>
    <mergeCell ref="C8:D8"/>
    <mergeCell ref="I37:L37"/>
    <mergeCell ref="K7:L7"/>
    <mergeCell ref="C7:D7"/>
    <mergeCell ref="E7:F7"/>
    <mergeCell ref="A1:L1"/>
    <mergeCell ref="K4:L4"/>
  </mergeCells>
  <dataValidations count="2">
    <dataValidation sqref="B4" showDropDown="0" showInputMessage="0" showErrorMessage="0" allowBlank="0" type="list">
      <formula1>=Lists!$C$5:$C$204</formula1>
    </dataValidation>
    <dataValidation sqref="B5" showDropDown="0" showInputMessage="0" showErrorMessage="0" allowBlank="0" type="list">
      <formula1>=Lists!$E$2:$E$13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style="40" min="1" max="1"/>
    <col width="18" customWidth="1" style="40" min="2" max="2"/>
    <col width="18" customWidth="1" style="40" min="3" max="3"/>
    <col width="24" customWidth="1" style="40" min="4" max="4"/>
    <col width="14" customWidth="1" style="40" min="5" max="5"/>
    <col width="12" customWidth="1" style="40" min="6" max="6"/>
    <col width="13" customWidth="1" style="40" min="7" max="7"/>
    <col width="12" customWidth="1" style="40" min="8" max="8"/>
    <col width="12" customWidth="1" style="40" min="9" max="9"/>
    <col width="26" customWidth="1" style="40" min="10" max="10"/>
    <col width="20" customWidth="1" style="40" min="11" max="11"/>
    <col width="18" customWidth="1" style="40" min="12" max="12"/>
  </cols>
  <sheetData>
    <row r="1" ht="24" customHeight="1" s="40">
      <c r="A1" s="122" t="inlineStr">
        <is>
          <t>Manager Report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28" customHeight="1" s="40">
      <c r="A2" s="70" t="inlineStr">
        <is>
          <t>This sheet updates automatically for the manager based on Task_Tracker and Task_Steps. It is meant for direct monthly review.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Selected Manager</t>
        </is>
      </c>
      <c r="B4" s="89">
        <f>Employee_Master!$E$5</f>
        <v/>
      </c>
      <c r="D4" s="88" t="inlineStr">
        <is>
          <t>Total Team Members</t>
        </is>
      </c>
      <c r="E4" s="73">
        <f>COUNTIF(Employee_Master!$E$5:$E$204,$B$4)</f>
        <v/>
      </c>
      <c r="G4" s="88" t="inlineStr">
        <is>
          <t>Task Source Coverage</t>
        </is>
      </c>
      <c r="H4" s="73">
        <f>COUNTIFS(Task_Tracker!$AB$5:$AB$1004,$B$4,Task_Tracker!$AA$5:$AA$1004,"&lt;&gt;")</f>
        <v/>
      </c>
      <c r="J4" s="88" t="inlineStr">
        <is>
          <t>Month</t>
        </is>
      </c>
      <c r="K4" s="73">
        <f>IF($B$5="All","All Months",TEXT(DATE(LEFT($B$5,4),RIGHT($B$5,2),1),"mmm yyyy"))</f>
        <v/>
      </c>
      <c r="L4" s="112" t="n"/>
    </row>
    <row r="5" ht="20" customHeight="1" s="40">
      <c r="A5" s="88" t="inlineStr">
        <is>
          <t>Month Filter</t>
        </is>
      </c>
      <c r="B5" s="90" t="inlineStr">
        <is>
          <t>All</t>
        </is>
      </c>
      <c r="D5" s="88" t="inlineStr">
        <is>
          <t>Manager View</t>
        </is>
      </c>
      <c r="E5" s="73" t="inlineStr">
        <is>
          <t>This manager report updates from Task_Tracker and Task_Steps.</t>
        </is>
      </c>
    </row>
    <row r="6" ht="20" customHeight="1" s="40"/>
    <row r="7" ht="20" customHeight="1" s="40">
      <c r="A7" s="91" t="inlineStr">
        <is>
          <t>Total Tasks</t>
        </is>
      </c>
      <c r="B7" s="112" t="n"/>
      <c r="C7" s="91" t="inlineStr">
        <is>
          <t>Open Tasks</t>
        </is>
      </c>
      <c r="D7" s="112" t="n"/>
      <c r="E7" s="91" t="inlineStr">
        <is>
          <t>Completed</t>
        </is>
      </c>
      <c r="F7" s="112" t="n"/>
      <c r="G7" s="91" t="inlineStr">
        <is>
          <t>Overdue</t>
        </is>
      </c>
      <c r="H7" s="112" t="n"/>
      <c r="I7" s="91" t="inlineStr">
        <is>
          <t>Task Hrs</t>
        </is>
      </c>
      <c r="J7" s="112" t="n"/>
      <c r="K7" s="91" t="inlineStr">
        <is>
          <t>Step Hrs</t>
        </is>
      </c>
      <c r="L7" s="112" t="n"/>
    </row>
    <row r="8" ht="20" customHeight="1" s="40">
      <c r="A8" s="92">
        <f>IF($B$5="All",COUNTIF(Task_Tracker!$AB$5:$AB$1004,$B$4),COUNTIFS(Task_Tracker!$AB$5:$AB$1004,$B$4,Task_Tracker!$S$5:$S$1004,$B$5))</f>
        <v/>
      </c>
      <c r="B8" s="112" t="n"/>
      <c r="C8" s="92">
        <f>IF($B$5="All",COUNTIFS(Task_Tracker!$AB$5:$AB$1004,$B$4,Task_Tracker!$I$5:$I$1004,"&lt;&gt;Completed",Task_Tracker!$I$5:$I$1004,"&lt;&gt;Cancelled"),COUNTIFS(Task_Tracker!$AB$5:$AB$1004,$B$4,Task_Tracker!$S$5:$S$1004,$B$5,Task_Tracker!$I$5:$I$1004,"&lt;&gt;Completed",Task_Tracker!$I$5:$I$1004,"&lt;&gt;Cancelled"))</f>
        <v/>
      </c>
      <c r="D8" s="112" t="n"/>
      <c r="E8" s="92">
        <f>IF($B$5="All",COUNTIFS(Task_Tracker!$AB$5:$AB$1004,$B$4,Task_Tracker!$I$5:$I$1004,"Completed"),COUNTIFS(Task_Tracker!$AB$5:$AB$1004,$B$4,Task_Tracker!$S$5:$S$1004,$B$5,Task_Tracker!$I$5:$I$1004,"Completed"))</f>
        <v/>
      </c>
      <c r="F8" s="112" t="n"/>
      <c r="G8" s="92">
        <f>IF($B$5="All",COUNTIFS(Task_Tracker!$AB$5:$AB$1004,$B$4,Task_Tracker!$R$5:$R$1004,"Overdue"),COUNTIFS(Task_Tracker!$AB$5:$AB$1004,$B$4,Task_Tracker!$S$5:$S$1004,$B$5,Task_Tracker!$R$5:$R$1004,"Overdue"))</f>
        <v/>
      </c>
      <c r="H8" s="112" t="n"/>
      <c r="I8" s="93">
        <f>IF($B$5="All",SUMIF(Task_Tracker!$AB$5:$AB$1004,$B$4,Task_Tracker!$O$5:$O$1004),SUMIFS(Task_Tracker!$O$5:$O$1004,Task_Tracker!$AB$5:$AB$1004,$B$4,Task_Tracker!$S$5:$S$1004,$B$5))</f>
        <v/>
      </c>
      <c r="J8" s="112" t="n"/>
      <c r="K8" s="93">
        <f>IF($B$5="All",SUMIF(Task_Steps!$T$5:$T$2004,$B$4,Task_Steps!$N$5:$N$2004),SUMIFS(Task_Steps!$N$5:$N$2004,Task_Steps!$T$5:$T$2004,$B$4,Task_Steps!$X$5:$X$2004,$B$5))</f>
        <v/>
      </c>
      <c r="L8" s="112" t="n"/>
    </row>
    <row r="9" ht="20" customHeight="1" s="40"/>
    <row r="10" ht="20" customHeight="1" s="40">
      <c r="A10" s="91" t="inlineStr">
        <is>
          <t>Total Steps</t>
        </is>
      </c>
      <c r="C10" s="91" t="inlineStr">
        <is>
          <t>Open Steps</t>
        </is>
      </c>
      <c r="E10" s="91" t="inlineStr">
        <is>
          <t>Completed Steps</t>
        </is>
      </c>
      <c r="G10" s="91" t="inlineStr">
        <is>
          <t>Tasks to Report</t>
        </is>
      </c>
      <c r="I10" s="91" t="inlineStr">
        <is>
          <t>Unique Sources</t>
        </is>
      </c>
      <c r="K10" s="91" t="inlineStr">
        <is>
          <t>Carry Forward</t>
        </is>
      </c>
    </row>
    <row r="11" ht="20" customHeight="1" s="40">
      <c r="A11" s="92">
        <f>IF($B$5="All",COUNTIF(Task_Steps!$T$5:$T$2004,$B$4),COUNTIFS(Task_Steps!$T$5:$T$2004,$B$4,Task_Steps!$X$5:$X$2004,$B$5))</f>
        <v/>
      </c>
      <c r="C11" s="92">
        <f>IF($B$5="All",COUNTIFS(Task_Steps!$T$5:$T$2004,$B$4,Task_Steps!$H$5:$H$2004,"&lt;&gt;Completed",Task_Steps!$H$5:$H$2004,"&lt;&gt;Cancelled"),COUNTIFS(Task_Steps!$T$5:$T$2004,$B$4,Task_Steps!$X$5:$X$2004,$B$5,Task_Steps!$H$5:$H$2004,"&lt;&gt;Completed",Task_Steps!$H$5:$H$2004,"&lt;&gt;Cancelled"))</f>
        <v/>
      </c>
      <c r="E11" s="92">
        <f>IF($B$5="All",COUNTIFS(Task_Steps!$T$5:$T$2004,$B$4,Task_Steps!$H$5:$H$2004,"Completed"),COUNTIFS(Task_Steps!$T$5:$T$2004,$B$4,Task_Steps!$X$5:$X$2004,$B$5,Task_Steps!$H$5:$H$2004,"Completed"))</f>
        <v/>
      </c>
      <c r="G11" s="92">
        <f>IF($B$5="All",COUNTIFS(Task_Tracker!$AB$5:$AB$1004,$B$4,Task_Tracker!$AC$5:$AC$1004,"&lt;&gt;"),COUNTIFS(Task_Tracker!$AB$5:$AB$1004,$B$4,Task_Tracker!$S$5:$S$1004,$B$5,Task_Tracker!$AC$5:$AC$1004,"&lt;&gt;"))</f>
        <v/>
      </c>
      <c r="I11" s="92">
        <f>IFERROR(IF($B$5="All",COUNTA(UNIQUE(FILTER(Task_Tracker!$AA$5:$AA$1004,(Task_Tracker!$AB$5:$AB$1004=$B$4)*(Task_Tracker!$AA$5:$AA$1004&lt;&gt;"")))),COUNTA(UNIQUE(FILTER(Task_Tracker!$AA$5:$AA$1004,(Task_Tracker!$AB$5:$AB$1004=$B$4)*(Task_Tracker!$S$5:$S$1004=$B$5)*(Task_Tracker!$AA$5:$AA$1004&lt;&gt;""))))),"")</f>
        <v/>
      </c>
      <c r="K11" s="92">
        <f>IF($B$5="All",COUNTIFS(Task_Tracker!$AB$5:$AB$1004,$B$4,Task_Tracker!$I$5:$I$1004,"&lt;&gt;Completed",Task_Tracker!$I$5:$I$1004,"&lt;&gt;Cancelled",Task_Tracker!$L$5:$L$1004,"&lt;"&amp;TODAY()),COUNTIFS(Task_Tracker!$AB$5:$AB$1004,$B$4,Task_Tracker!$S$5:$S$1004,$B$5,Task_Tracker!$I$5:$I$1004,"&lt;&gt;Completed",Task_Tracker!$I$5:$I$1004,"&lt;&gt;Cancelled",Task_Tracker!$L$5:$L$1004,"&lt;"&amp;TODAY()))</f>
        <v/>
      </c>
    </row>
    <row r="12" ht="20" customHeight="1" s="40"/>
    <row r="13" ht="20" customHeight="1" s="40">
      <c r="A13" s="94" t="inlineStr">
        <is>
          <t>Manager Task Detail</t>
        </is>
      </c>
      <c r="B13" s="111" t="n"/>
      <c r="C13" s="111" t="n"/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2" t="n"/>
    </row>
    <row r="14" ht="20" customHeight="1" s="40">
      <c r="A14" s="95" t="inlineStr">
        <is>
          <t>Task ID</t>
        </is>
      </c>
      <c r="B14" s="95" t="inlineStr">
        <is>
          <t>Employee</t>
        </is>
      </c>
      <c r="C14" s="95" t="inlineStr">
        <is>
          <t>Source</t>
        </is>
      </c>
      <c r="D14" s="95" t="inlineStr">
        <is>
          <t>Project</t>
        </is>
      </c>
      <c r="E14" s="95" t="inlineStr">
        <is>
          <t>Task Title</t>
        </is>
      </c>
      <c r="F14" s="95" t="inlineStr">
        <is>
          <t>Status</t>
        </is>
      </c>
      <c r="G14" s="95" t="inlineStr">
        <is>
          <t>Due Date</t>
        </is>
      </c>
      <c r="H14" s="95" t="inlineStr">
        <is>
          <t>Actual Hrs</t>
        </is>
      </c>
      <c r="I14" s="95" t="inlineStr">
        <is>
          <t>Linked Step IDs</t>
        </is>
      </c>
      <c r="J14" s="95" t="inlineStr">
        <is>
          <t>Open Steps</t>
        </is>
      </c>
      <c r="K14" s="95" t="inlineStr">
        <is>
          <t>Manager Report</t>
        </is>
      </c>
      <c r="L14" s="95" t="inlineStr">
        <is>
          <t>Notes</t>
        </is>
      </c>
    </row>
    <row r="15" ht="20" customHeight="1" s="40">
      <c r="A15" s="96">
        <f>IF($B$5="All",IFERROR(TAKE(SORT(FILTER(CHOOSECOLS(Task_Tracker!$A$5:$AF$1004,1,6,27,2,4,9,12,15,30,31,29,26),(Task_Tracker!$A$5:$A$1004&lt;&gt;"")*(Task_Tracker!$AB$5:$AB$1004=$B$4)),7,1),25),""),IFERROR(TAKE(SORT(FILTER(CHOOSECOLS(Task_Tracker!$A$5:$AF$1004,1,6,27,2,4,9,12,15,30,31,29,26),(Task_Tracker!$A$5:$A$1004&lt;&gt;"")*(Task_Tracker!$AB$5:$AB$1004=$B$4)*(Task_Tracker!$S$5:$S$1004=$B$5)),7,1),25),""))</f>
        <v/>
      </c>
      <c r="B15" s="73" t="n"/>
      <c r="C15" s="73" t="n"/>
      <c r="D15" s="96" t="n"/>
      <c r="E15" s="96" t="n"/>
      <c r="F15" s="113" t="n"/>
      <c r="G15" s="113" t="n"/>
      <c r="H15" s="75" t="n"/>
      <c r="I15" s="96" t="n"/>
      <c r="J15" s="73" t="n"/>
    </row>
    <row r="16" ht="20" customHeight="1" s="40">
      <c r="A16" s="96" t="n"/>
      <c r="B16" s="73" t="n"/>
      <c r="C16" s="73" t="n"/>
      <c r="D16" s="96" t="n"/>
      <c r="E16" s="96" t="n"/>
      <c r="F16" s="113" t="n"/>
      <c r="G16" s="113" t="n"/>
      <c r="H16" s="75" t="n"/>
      <c r="I16" s="96" t="n"/>
      <c r="J16" s="73" t="n"/>
    </row>
    <row r="17" ht="20" customHeight="1" s="40">
      <c r="A17" s="96" t="n"/>
      <c r="B17" s="73" t="n"/>
      <c r="C17" s="73" t="n"/>
      <c r="D17" s="96" t="n"/>
      <c r="E17" s="96" t="n"/>
      <c r="F17" s="113" t="n"/>
      <c r="G17" s="113" t="n"/>
      <c r="H17" s="75" t="n"/>
      <c r="I17" s="96" t="n"/>
      <c r="J17" s="73" t="n"/>
    </row>
    <row r="18" ht="20" customHeight="1" s="40">
      <c r="A18" s="96" t="n"/>
      <c r="B18" s="73" t="n"/>
      <c r="C18" s="73" t="n"/>
      <c r="D18" s="96" t="n"/>
      <c r="E18" s="96" t="n"/>
      <c r="F18" s="113" t="n"/>
      <c r="G18" s="113" t="n"/>
      <c r="H18" s="75" t="n"/>
      <c r="I18" s="96" t="n"/>
      <c r="J18" s="73" t="n"/>
    </row>
    <row r="19" ht="20" customHeight="1" s="40">
      <c r="A19" s="96" t="n"/>
      <c r="B19" s="73" t="n"/>
      <c r="C19" s="73" t="n"/>
      <c r="D19" s="96" t="n"/>
      <c r="E19" s="96" t="n"/>
      <c r="F19" s="113" t="n"/>
      <c r="G19" s="113" t="n"/>
      <c r="H19" s="75" t="n"/>
      <c r="I19" s="96" t="n"/>
      <c r="J19" s="73" t="n"/>
    </row>
    <row r="20" ht="20" customHeight="1" s="40">
      <c r="A20" s="96" t="n"/>
      <c r="B20" s="73" t="n"/>
      <c r="C20" s="73" t="n"/>
      <c r="D20" s="96" t="n"/>
      <c r="E20" s="96" t="n"/>
      <c r="F20" s="113" t="n"/>
      <c r="G20" s="113" t="n"/>
      <c r="H20" s="75" t="n"/>
      <c r="I20" s="96" t="n"/>
      <c r="J20" s="73" t="n"/>
    </row>
    <row r="21" ht="20" customHeight="1" s="40">
      <c r="A21" s="96" t="n"/>
      <c r="B21" s="73" t="n"/>
      <c r="C21" s="73" t="n"/>
      <c r="D21" s="96" t="n"/>
      <c r="E21" s="96" t="n"/>
      <c r="F21" s="113" t="n"/>
      <c r="G21" s="113" t="n"/>
      <c r="H21" s="75" t="n"/>
      <c r="I21" s="96" t="n"/>
      <c r="J21" s="73" t="n"/>
    </row>
    <row r="22" ht="20" customHeight="1" s="40">
      <c r="A22" s="96" t="n"/>
      <c r="B22" s="73" t="n"/>
      <c r="C22" s="73" t="n"/>
      <c r="D22" s="96" t="n"/>
      <c r="E22" s="96" t="n"/>
      <c r="F22" s="113" t="n"/>
      <c r="G22" s="113" t="n"/>
      <c r="H22" s="75" t="n"/>
      <c r="I22" s="96" t="n"/>
      <c r="J22" s="73" t="n"/>
    </row>
    <row r="23" ht="20" customHeight="1" s="40">
      <c r="A23" s="96" t="n"/>
      <c r="B23" s="73" t="n"/>
      <c r="C23" s="73" t="n"/>
      <c r="D23" s="96" t="n"/>
      <c r="E23" s="96" t="n"/>
      <c r="F23" s="113" t="n"/>
      <c r="G23" s="113" t="n"/>
      <c r="H23" s="75" t="n"/>
      <c r="I23" s="96" t="n"/>
      <c r="J23" s="73" t="n"/>
    </row>
    <row r="24" ht="20" customHeight="1" s="40">
      <c r="A24" s="96" t="n"/>
      <c r="B24" s="73" t="n"/>
      <c r="C24" s="73" t="n"/>
      <c r="D24" s="96" t="n"/>
      <c r="E24" s="96" t="n"/>
      <c r="F24" s="113" t="n"/>
      <c r="G24" s="113" t="n"/>
      <c r="H24" s="75" t="n"/>
      <c r="I24" s="96" t="n"/>
      <c r="J24" s="73" t="n"/>
    </row>
    <row r="25" ht="20" customHeight="1" s="40">
      <c r="A25" s="96" t="n"/>
      <c r="B25" s="73" t="n"/>
      <c r="C25" s="73" t="n"/>
      <c r="D25" s="96" t="n"/>
      <c r="E25" s="96" t="n"/>
      <c r="F25" s="113" t="n"/>
      <c r="G25" s="113" t="n"/>
      <c r="H25" s="75" t="n"/>
      <c r="I25" s="96" t="n"/>
      <c r="J25" s="73" t="n"/>
    </row>
    <row r="26" ht="20" customHeight="1" s="40">
      <c r="A26" s="96" t="n"/>
      <c r="B26" s="73" t="n"/>
      <c r="C26" s="73" t="n"/>
      <c r="D26" s="96" t="n"/>
      <c r="E26" s="96" t="n"/>
      <c r="F26" s="113" t="n"/>
      <c r="G26" s="113" t="n"/>
      <c r="H26" s="75" t="n"/>
      <c r="I26" s="96" t="n"/>
      <c r="J26" s="73" t="n"/>
    </row>
    <row r="27" ht="20" customHeight="1" s="40">
      <c r="A27" s="96" t="n"/>
      <c r="B27" s="73" t="n"/>
      <c r="C27" s="73" t="n"/>
      <c r="D27" s="96" t="n"/>
      <c r="E27" s="96" t="n"/>
      <c r="F27" s="113" t="n"/>
      <c r="G27" s="113" t="n"/>
      <c r="H27" s="75" t="n"/>
      <c r="I27" s="96" t="n"/>
      <c r="J27" s="73" t="n"/>
    </row>
    <row r="28" ht="20" customHeight="1" s="40">
      <c r="A28" s="96" t="n"/>
      <c r="B28" s="73" t="n"/>
      <c r="C28" s="73" t="n"/>
      <c r="D28" s="96" t="n"/>
      <c r="E28" s="96" t="n"/>
      <c r="F28" s="113" t="n"/>
      <c r="G28" s="113" t="n"/>
      <c r="H28" s="75" t="n"/>
      <c r="I28" s="96" t="n"/>
      <c r="J28" s="73" t="n"/>
    </row>
    <row r="29" ht="20" customHeight="1" s="40">
      <c r="A29" s="96" t="n"/>
      <c r="B29" s="73" t="n"/>
      <c r="C29" s="73" t="n"/>
      <c r="D29" s="96" t="n"/>
      <c r="E29" s="96" t="n"/>
      <c r="F29" s="113" t="n"/>
      <c r="G29" s="113" t="n"/>
      <c r="H29" s="75" t="n"/>
      <c r="I29" s="96" t="n"/>
      <c r="J29" s="73" t="n"/>
    </row>
    <row r="30" ht="20" customHeight="1" s="40">
      <c r="A30" s="96" t="n"/>
      <c r="B30" s="73" t="n"/>
      <c r="C30" s="73" t="n"/>
      <c r="D30" s="96" t="n"/>
      <c r="E30" s="96" t="n"/>
      <c r="F30" s="113" t="n"/>
      <c r="G30" s="113" t="n"/>
      <c r="H30" s="75" t="n"/>
      <c r="I30" s="96" t="n"/>
      <c r="J30" s="73" t="n"/>
    </row>
    <row r="31" ht="20" customHeight="1" s="40">
      <c r="A31" s="96" t="n"/>
      <c r="B31" s="73" t="n"/>
      <c r="C31" s="73" t="n"/>
      <c r="D31" s="96" t="n"/>
      <c r="E31" s="96" t="n"/>
      <c r="F31" s="113" t="n"/>
      <c r="G31" s="113" t="n"/>
      <c r="H31" s="75" t="n"/>
      <c r="I31" s="96" t="n"/>
      <c r="J31" s="73" t="n"/>
    </row>
    <row r="32" ht="20" customHeight="1" s="40">
      <c r="A32" s="96" t="n"/>
      <c r="B32" s="73" t="n"/>
      <c r="C32" s="73" t="n"/>
      <c r="D32" s="96" t="n"/>
      <c r="E32" s="96" t="n"/>
      <c r="F32" s="113" t="n"/>
      <c r="G32" s="113" t="n"/>
      <c r="H32" s="75" t="n"/>
      <c r="I32" s="96" t="n"/>
      <c r="J32" s="73" t="n"/>
    </row>
    <row r="33" ht="20" customHeight="1" s="40">
      <c r="A33" s="96" t="n"/>
      <c r="B33" s="73" t="n"/>
      <c r="C33" s="73" t="n"/>
      <c r="D33" s="96" t="n"/>
      <c r="E33" s="96" t="n"/>
      <c r="F33" s="113" t="n"/>
      <c r="G33" s="113" t="n"/>
      <c r="H33" s="75" t="n"/>
      <c r="I33" s="96" t="n"/>
      <c r="J33" s="73" t="n"/>
    </row>
    <row r="34" ht="20" customHeight="1" s="40">
      <c r="A34" s="96" t="n"/>
      <c r="B34" s="73" t="n"/>
      <c r="C34" s="73" t="n"/>
      <c r="D34" s="96" t="n"/>
      <c r="E34" s="96" t="n"/>
      <c r="F34" s="113" t="n"/>
      <c r="G34" s="113" t="n"/>
      <c r="H34" s="75" t="n"/>
      <c r="I34" s="96" t="n"/>
      <c r="J34" s="73" t="n"/>
    </row>
    <row r="35" ht="20" customHeight="1" s="40"/>
    <row r="36" ht="20" customHeight="1" s="40"/>
    <row r="37" ht="20" customHeight="1" s="40">
      <c r="A37" s="94" t="inlineStr">
        <is>
          <t>Month-wise Manager Summary</t>
        </is>
      </c>
      <c r="B37" s="111" t="n"/>
      <c r="C37" s="111" t="n"/>
      <c r="D37" s="111" t="n"/>
      <c r="E37" s="111" t="n"/>
      <c r="F37" s="111" t="n"/>
      <c r="G37" s="111" t="n"/>
      <c r="H37" s="112" t="n"/>
      <c r="I37" s="94" t="inlineStr">
        <is>
          <t>Tip</t>
        </is>
      </c>
      <c r="J37" s="111" t="n"/>
      <c r="K37" s="111" t="n"/>
      <c r="L37" s="112" t="n"/>
    </row>
    <row r="38" ht="20" customHeight="1" s="40">
      <c r="A38" s="71" t="inlineStr">
        <is>
          <t>Month Start</t>
        </is>
      </c>
      <c r="B38" s="71" t="inlineStr">
        <is>
          <t>Month</t>
        </is>
      </c>
      <c r="C38" s="71" t="inlineStr">
        <is>
          <t>Tasks Due</t>
        </is>
      </c>
      <c r="D38" s="71" t="inlineStr">
        <is>
          <t>Completed</t>
        </is>
      </c>
      <c r="E38" s="71" t="inlineStr">
        <is>
          <t>Carry Forward</t>
        </is>
      </c>
      <c r="F38" s="71" t="inlineStr">
        <is>
          <t>Task Hrs</t>
        </is>
      </c>
      <c r="G38" s="71" t="inlineStr">
        <is>
          <t>Open in Bucket</t>
        </is>
      </c>
      <c r="H38" s="71" t="inlineStr">
        <is>
          <t>Completion %</t>
        </is>
      </c>
      <c r="I38" s="97" t="inlineStr">
        <is>
          <t>This section shows month-wise counts for all tasks under the selected manager. Use Month Filter on B5 for the detail tables.</t>
        </is>
      </c>
      <c r="J38" s="114" t="n"/>
      <c r="K38" s="114" t="n"/>
      <c r="L38" s="115" t="n"/>
    </row>
    <row r="39" ht="20" customHeight="1" s="40">
      <c r="A39" s="113" t="n">
        <v>46113</v>
      </c>
      <c r="B39" s="73">
        <f>TEXT(A39,"mmm yyyy")</f>
        <v/>
      </c>
      <c r="C39" s="74">
        <f>COUNTIFS(Task_Tracker!$AB$5:$AB$1004,$B$4,Task_Tracker!$L$5:$L$1004,"&gt;="&amp;$A39,Task_Tracker!$L$5:$L$1004,"&lt;"&amp;EDATE($A39,1))</f>
        <v/>
      </c>
      <c r="D39" s="74">
        <f>COUNTIFS(Task_Tracker!$AB$5:$AB$1004,$B$4,Task_Tracker!$L$5:$L$1004,"&gt;="&amp;$A39,Task_Tracker!$L$5:$L$1004,"&lt;"&amp;EDATE($A39,1),Task_Tracker!$I$5:$I$1004,"Completed")</f>
        <v/>
      </c>
      <c r="E39" s="74">
        <f>COUNTIFS(Task_Tracker!$AB$5:$AB$1004,$B$4,Task_Tracker!$L$5:$L$1004,"&lt;"&amp;$A39,Task_Tracker!$I$5:$I$1004,"&lt;&gt;Completed",Task_Tracker!$I$5:$I$1004,"&lt;&gt;Cancelled")</f>
        <v/>
      </c>
      <c r="F39" s="75">
        <f>SUMIFS(Task_Tracker!$O$5:$O$1004,Task_Tracker!$AB$5:$AB$1004,$B$4,Task_Tracker!$L$5:$L$1004,"&gt;="&amp;$A39,Task_Tracker!$L$5:$L$1004,"&lt;"&amp;EDATE($A39,1))</f>
        <v/>
      </c>
      <c r="G39" s="74">
        <f>COUNTIFS(Task_Tracker!$AB$5:$AB$1004,$B$4,Task_Tracker!$L$5:$L$1004,"&gt;="&amp;$A39,Task_Tracker!$L$5:$L$1004,"&lt;"&amp;EDATE($A39,1),Task_Tracker!$I$5:$I$1004,"&lt;&gt;Completed",Task_Tracker!$I$5:$I$1004,"&lt;&gt;Cancelled")</f>
        <v/>
      </c>
      <c r="H39" s="116">
        <f>IFERROR(D39/C39,0)</f>
        <v/>
      </c>
      <c r="I39" s="117" t="n"/>
      <c r="L39" s="118" t="n"/>
    </row>
    <row r="40" ht="20" customHeight="1" s="40">
      <c r="A40" s="113" t="n">
        <v>46143</v>
      </c>
      <c r="B40" s="73">
        <f>TEXT(A40,"mmm yyyy")</f>
        <v/>
      </c>
      <c r="C40" s="74">
        <f>COUNTIFS(Task_Tracker!$AB$5:$AB$1004,$B$4,Task_Tracker!$L$5:$L$1004,"&gt;="&amp;$A40,Task_Tracker!$L$5:$L$1004,"&lt;"&amp;EDATE($A40,1))</f>
        <v/>
      </c>
      <c r="D40" s="74">
        <f>COUNTIFS(Task_Tracker!$AB$5:$AB$1004,$B$4,Task_Tracker!$L$5:$L$1004,"&gt;="&amp;$A40,Task_Tracker!$L$5:$L$1004,"&lt;"&amp;EDATE($A40,1),Task_Tracker!$I$5:$I$1004,"Completed")</f>
        <v/>
      </c>
      <c r="E40" s="74">
        <f>COUNTIFS(Task_Tracker!$AB$5:$AB$1004,$B$4,Task_Tracker!$L$5:$L$1004,"&lt;"&amp;$A40,Task_Tracker!$I$5:$I$1004,"&lt;&gt;Completed",Task_Tracker!$I$5:$I$1004,"&lt;&gt;Cancelled")</f>
        <v/>
      </c>
      <c r="F40" s="75">
        <f>SUMIFS(Task_Tracker!$O$5:$O$1004,Task_Tracker!$AB$5:$AB$1004,$B$4,Task_Tracker!$L$5:$L$1004,"&gt;="&amp;$A40,Task_Tracker!$L$5:$L$1004,"&lt;"&amp;EDATE($A40,1))</f>
        <v/>
      </c>
      <c r="G40" s="74">
        <f>COUNTIFS(Task_Tracker!$AB$5:$AB$1004,$B$4,Task_Tracker!$L$5:$L$1004,"&gt;="&amp;$A40,Task_Tracker!$L$5:$L$1004,"&lt;"&amp;EDATE($A40,1),Task_Tracker!$I$5:$I$1004,"&lt;&gt;Completed",Task_Tracker!$I$5:$I$1004,"&lt;&gt;Cancelled")</f>
        <v/>
      </c>
      <c r="H40" s="116">
        <f>IFERROR(D40/C40,0)</f>
        <v/>
      </c>
      <c r="I40" s="119" t="n"/>
      <c r="J40" s="120" t="n"/>
      <c r="K40" s="120" t="n"/>
      <c r="L40" s="121" t="n"/>
    </row>
    <row r="41" ht="20" customHeight="1" s="40">
      <c r="A41" s="113" t="n">
        <v>46174</v>
      </c>
      <c r="B41" s="73">
        <f>TEXT(A41,"mmm yyyy")</f>
        <v/>
      </c>
      <c r="C41" s="74">
        <f>COUNTIFS(Task_Tracker!$AB$5:$AB$1004,$B$4,Task_Tracker!$L$5:$L$1004,"&gt;="&amp;$A41,Task_Tracker!$L$5:$L$1004,"&lt;"&amp;EDATE($A41,1))</f>
        <v/>
      </c>
      <c r="D41" s="74">
        <f>COUNTIFS(Task_Tracker!$AB$5:$AB$1004,$B$4,Task_Tracker!$L$5:$L$1004,"&gt;="&amp;$A41,Task_Tracker!$L$5:$L$1004,"&lt;"&amp;EDATE($A41,1),Task_Tracker!$I$5:$I$1004,"Completed")</f>
        <v/>
      </c>
      <c r="E41" s="74">
        <f>COUNTIFS(Task_Tracker!$AB$5:$AB$1004,$B$4,Task_Tracker!$L$5:$L$1004,"&lt;"&amp;$A41,Task_Tracker!$I$5:$I$1004,"&lt;&gt;Completed",Task_Tracker!$I$5:$I$1004,"&lt;&gt;Cancelled")</f>
        <v/>
      </c>
      <c r="F41" s="75">
        <f>SUMIFS(Task_Tracker!$O$5:$O$1004,Task_Tracker!$AB$5:$AB$1004,$B$4,Task_Tracker!$L$5:$L$1004,"&gt;="&amp;$A41,Task_Tracker!$L$5:$L$1004,"&lt;"&amp;EDATE($A41,1))</f>
        <v/>
      </c>
      <c r="G41" s="74">
        <f>COUNTIFS(Task_Tracker!$AB$5:$AB$1004,$B$4,Task_Tracker!$L$5:$L$1004,"&gt;="&amp;$A41,Task_Tracker!$L$5:$L$1004,"&lt;"&amp;EDATE($A41,1),Task_Tracker!$I$5:$I$1004,"&lt;&gt;Completed",Task_Tracker!$I$5:$I$1004,"&lt;&gt;Cancelled")</f>
        <v/>
      </c>
      <c r="H41" s="116">
        <f>IFERROR(D41/C41,0)</f>
        <v/>
      </c>
    </row>
    <row r="42" ht="20" customHeight="1" s="40">
      <c r="A42" s="113" t="n">
        <v>46204</v>
      </c>
      <c r="B42" s="73">
        <f>TEXT(A42,"mmm yyyy")</f>
        <v/>
      </c>
      <c r="C42" s="74">
        <f>COUNTIFS(Task_Tracker!$AB$5:$AB$1004,$B$4,Task_Tracker!$L$5:$L$1004,"&gt;="&amp;$A42,Task_Tracker!$L$5:$L$1004,"&lt;"&amp;EDATE($A42,1))</f>
        <v/>
      </c>
      <c r="D42" s="74">
        <f>COUNTIFS(Task_Tracker!$AB$5:$AB$1004,$B$4,Task_Tracker!$L$5:$L$1004,"&gt;="&amp;$A42,Task_Tracker!$L$5:$L$1004,"&lt;"&amp;EDATE($A42,1),Task_Tracker!$I$5:$I$1004,"Completed")</f>
        <v/>
      </c>
      <c r="E42" s="74">
        <f>COUNTIFS(Task_Tracker!$AB$5:$AB$1004,$B$4,Task_Tracker!$L$5:$L$1004,"&lt;"&amp;$A42,Task_Tracker!$I$5:$I$1004,"&lt;&gt;Completed",Task_Tracker!$I$5:$I$1004,"&lt;&gt;Cancelled")</f>
        <v/>
      </c>
      <c r="F42" s="75">
        <f>SUMIFS(Task_Tracker!$O$5:$O$1004,Task_Tracker!$AB$5:$AB$1004,$B$4,Task_Tracker!$L$5:$L$1004,"&gt;="&amp;$A42,Task_Tracker!$L$5:$L$1004,"&lt;"&amp;EDATE($A42,1))</f>
        <v/>
      </c>
      <c r="G42" s="74">
        <f>COUNTIFS(Task_Tracker!$AB$5:$AB$1004,$B$4,Task_Tracker!$L$5:$L$1004,"&gt;="&amp;$A42,Task_Tracker!$L$5:$L$1004,"&lt;"&amp;EDATE($A42,1),Task_Tracker!$I$5:$I$1004,"&lt;&gt;Completed",Task_Tracker!$I$5:$I$1004,"&lt;&gt;Cancelled")</f>
        <v/>
      </c>
      <c r="H42" s="116">
        <f>IFERROR(D42/C42,0)</f>
        <v/>
      </c>
    </row>
    <row r="43" ht="20" customHeight="1" s="40">
      <c r="A43" s="113" t="n">
        <v>46235</v>
      </c>
      <c r="B43" s="73">
        <f>TEXT(A43,"mmm yyyy")</f>
        <v/>
      </c>
      <c r="C43" s="74">
        <f>COUNTIFS(Task_Tracker!$AB$5:$AB$1004,$B$4,Task_Tracker!$L$5:$L$1004,"&gt;="&amp;$A43,Task_Tracker!$L$5:$L$1004,"&lt;"&amp;EDATE($A43,1))</f>
        <v/>
      </c>
      <c r="D43" s="74">
        <f>COUNTIFS(Task_Tracker!$AB$5:$AB$1004,$B$4,Task_Tracker!$L$5:$L$1004,"&gt;="&amp;$A43,Task_Tracker!$L$5:$L$1004,"&lt;"&amp;EDATE($A43,1),Task_Tracker!$I$5:$I$1004,"Completed")</f>
        <v/>
      </c>
      <c r="E43" s="74">
        <f>COUNTIFS(Task_Tracker!$AB$5:$AB$1004,$B$4,Task_Tracker!$L$5:$L$1004,"&lt;"&amp;$A43,Task_Tracker!$I$5:$I$1004,"&lt;&gt;Completed",Task_Tracker!$I$5:$I$1004,"&lt;&gt;Cancelled")</f>
        <v/>
      </c>
      <c r="F43" s="75">
        <f>SUMIFS(Task_Tracker!$O$5:$O$1004,Task_Tracker!$AB$5:$AB$1004,$B$4,Task_Tracker!$L$5:$L$1004,"&gt;="&amp;$A43,Task_Tracker!$L$5:$L$1004,"&lt;"&amp;EDATE($A43,1))</f>
        <v/>
      </c>
      <c r="G43" s="74">
        <f>COUNTIFS(Task_Tracker!$AB$5:$AB$1004,$B$4,Task_Tracker!$L$5:$L$1004,"&gt;="&amp;$A43,Task_Tracker!$L$5:$L$1004,"&lt;"&amp;EDATE($A43,1),Task_Tracker!$I$5:$I$1004,"&lt;&gt;Completed",Task_Tracker!$I$5:$I$1004,"&lt;&gt;Cancelled")</f>
        <v/>
      </c>
      <c r="H43" s="116">
        <f>IFERROR(D43/C43,0)</f>
        <v/>
      </c>
    </row>
    <row r="44" ht="20" customHeight="1" s="40">
      <c r="A44" s="113" t="n">
        <v>46266</v>
      </c>
      <c r="B44" s="73">
        <f>TEXT(A44,"mmm yyyy")</f>
        <v/>
      </c>
      <c r="C44" s="74">
        <f>COUNTIFS(Task_Tracker!$AB$5:$AB$1004,$B$4,Task_Tracker!$L$5:$L$1004,"&gt;="&amp;$A44,Task_Tracker!$L$5:$L$1004,"&lt;"&amp;EDATE($A44,1))</f>
        <v/>
      </c>
      <c r="D44" s="74">
        <f>COUNTIFS(Task_Tracker!$AB$5:$AB$1004,$B$4,Task_Tracker!$L$5:$L$1004,"&gt;="&amp;$A44,Task_Tracker!$L$5:$L$1004,"&lt;"&amp;EDATE($A44,1),Task_Tracker!$I$5:$I$1004,"Completed")</f>
        <v/>
      </c>
      <c r="E44" s="74">
        <f>COUNTIFS(Task_Tracker!$AB$5:$AB$1004,$B$4,Task_Tracker!$L$5:$L$1004,"&lt;"&amp;$A44,Task_Tracker!$I$5:$I$1004,"&lt;&gt;Completed",Task_Tracker!$I$5:$I$1004,"&lt;&gt;Cancelled")</f>
        <v/>
      </c>
      <c r="F44" s="75">
        <f>SUMIFS(Task_Tracker!$O$5:$O$1004,Task_Tracker!$AB$5:$AB$1004,$B$4,Task_Tracker!$L$5:$L$1004,"&gt;="&amp;$A44,Task_Tracker!$L$5:$L$1004,"&lt;"&amp;EDATE($A44,1))</f>
        <v/>
      </c>
      <c r="G44" s="74">
        <f>COUNTIFS(Task_Tracker!$AB$5:$AB$1004,$B$4,Task_Tracker!$L$5:$L$1004,"&gt;="&amp;$A44,Task_Tracker!$L$5:$L$1004,"&lt;"&amp;EDATE($A44,1),Task_Tracker!$I$5:$I$1004,"&lt;&gt;Completed",Task_Tracker!$I$5:$I$1004,"&lt;&gt;Cancelled")</f>
        <v/>
      </c>
      <c r="H44" s="116">
        <f>IFERROR(D44/C44,0)</f>
        <v/>
      </c>
    </row>
    <row r="45" ht="20" customHeight="1" s="40">
      <c r="A45" s="113" t="n">
        <v>46296</v>
      </c>
      <c r="B45" s="73">
        <f>TEXT(A45,"mmm yyyy")</f>
        <v/>
      </c>
      <c r="C45" s="74">
        <f>COUNTIFS(Task_Tracker!$AB$5:$AB$1004,$B$4,Task_Tracker!$L$5:$L$1004,"&gt;="&amp;$A45,Task_Tracker!$L$5:$L$1004,"&lt;"&amp;EDATE($A45,1))</f>
        <v/>
      </c>
      <c r="D45" s="74">
        <f>COUNTIFS(Task_Tracker!$AB$5:$AB$1004,$B$4,Task_Tracker!$L$5:$L$1004,"&gt;="&amp;$A45,Task_Tracker!$L$5:$L$1004,"&lt;"&amp;EDATE($A45,1),Task_Tracker!$I$5:$I$1004,"Completed")</f>
        <v/>
      </c>
      <c r="E45" s="74">
        <f>COUNTIFS(Task_Tracker!$AB$5:$AB$1004,$B$4,Task_Tracker!$L$5:$L$1004,"&lt;"&amp;$A45,Task_Tracker!$I$5:$I$1004,"&lt;&gt;Completed",Task_Tracker!$I$5:$I$1004,"&lt;&gt;Cancelled")</f>
        <v/>
      </c>
      <c r="F45" s="75">
        <f>SUMIFS(Task_Tracker!$O$5:$O$1004,Task_Tracker!$AB$5:$AB$1004,$B$4,Task_Tracker!$L$5:$L$1004,"&gt;="&amp;$A45,Task_Tracker!$L$5:$L$1004,"&lt;"&amp;EDATE($A45,1))</f>
        <v/>
      </c>
      <c r="G45" s="74">
        <f>COUNTIFS(Task_Tracker!$AB$5:$AB$1004,$B$4,Task_Tracker!$L$5:$L$1004,"&gt;="&amp;$A45,Task_Tracker!$L$5:$L$1004,"&lt;"&amp;EDATE($A45,1),Task_Tracker!$I$5:$I$1004,"&lt;&gt;Completed",Task_Tracker!$I$5:$I$1004,"&lt;&gt;Cancelled")</f>
        <v/>
      </c>
      <c r="H45" s="116">
        <f>IFERROR(D45/C45,0)</f>
        <v/>
      </c>
    </row>
    <row r="46" ht="20" customHeight="1" s="40">
      <c r="A46" s="113" t="n">
        <v>46327</v>
      </c>
      <c r="B46" s="73">
        <f>TEXT(A46,"mmm yyyy")</f>
        <v/>
      </c>
      <c r="C46" s="74">
        <f>COUNTIFS(Task_Tracker!$AB$5:$AB$1004,$B$4,Task_Tracker!$L$5:$L$1004,"&gt;="&amp;$A46,Task_Tracker!$L$5:$L$1004,"&lt;"&amp;EDATE($A46,1))</f>
        <v/>
      </c>
      <c r="D46" s="74">
        <f>COUNTIFS(Task_Tracker!$AB$5:$AB$1004,$B$4,Task_Tracker!$L$5:$L$1004,"&gt;="&amp;$A46,Task_Tracker!$L$5:$L$1004,"&lt;"&amp;EDATE($A46,1),Task_Tracker!$I$5:$I$1004,"Completed")</f>
        <v/>
      </c>
      <c r="E46" s="74">
        <f>COUNTIFS(Task_Tracker!$AB$5:$AB$1004,$B$4,Task_Tracker!$L$5:$L$1004,"&lt;"&amp;$A46,Task_Tracker!$I$5:$I$1004,"&lt;&gt;Completed",Task_Tracker!$I$5:$I$1004,"&lt;&gt;Cancelled")</f>
        <v/>
      </c>
      <c r="F46" s="75">
        <f>SUMIFS(Task_Tracker!$O$5:$O$1004,Task_Tracker!$AB$5:$AB$1004,$B$4,Task_Tracker!$L$5:$L$1004,"&gt;="&amp;$A46,Task_Tracker!$L$5:$L$1004,"&lt;"&amp;EDATE($A46,1))</f>
        <v/>
      </c>
      <c r="G46" s="74">
        <f>COUNTIFS(Task_Tracker!$AB$5:$AB$1004,$B$4,Task_Tracker!$L$5:$L$1004,"&gt;="&amp;$A46,Task_Tracker!$L$5:$L$1004,"&lt;"&amp;EDATE($A46,1),Task_Tracker!$I$5:$I$1004,"&lt;&gt;Completed",Task_Tracker!$I$5:$I$1004,"&lt;&gt;Cancelled")</f>
        <v/>
      </c>
      <c r="H46" s="116">
        <f>IFERROR(D46/C46,0)</f>
        <v/>
      </c>
    </row>
    <row r="47" ht="20" customHeight="1" s="40">
      <c r="A47" s="113" t="n">
        <v>46357</v>
      </c>
      <c r="B47" s="73">
        <f>TEXT(A47,"mmm yyyy")</f>
        <v/>
      </c>
      <c r="C47" s="74">
        <f>COUNTIFS(Task_Tracker!$AB$5:$AB$1004,$B$4,Task_Tracker!$L$5:$L$1004,"&gt;="&amp;$A47,Task_Tracker!$L$5:$L$1004,"&lt;"&amp;EDATE($A47,1))</f>
        <v/>
      </c>
      <c r="D47" s="74">
        <f>COUNTIFS(Task_Tracker!$AB$5:$AB$1004,$B$4,Task_Tracker!$L$5:$L$1004,"&gt;="&amp;$A47,Task_Tracker!$L$5:$L$1004,"&lt;"&amp;EDATE($A47,1),Task_Tracker!$I$5:$I$1004,"Completed")</f>
        <v/>
      </c>
      <c r="E47" s="74">
        <f>COUNTIFS(Task_Tracker!$AB$5:$AB$1004,$B$4,Task_Tracker!$L$5:$L$1004,"&lt;"&amp;$A47,Task_Tracker!$I$5:$I$1004,"&lt;&gt;Completed",Task_Tracker!$I$5:$I$1004,"&lt;&gt;Cancelled")</f>
        <v/>
      </c>
      <c r="F47" s="75">
        <f>SUMIFS(Task_Tracker!$O$5:$O$1004,Task_Tracker!$AB$5:$AB$1004,$B$4,Task_Tracker!$L$5:$L$1004,"&gt;="&amp;$A47,Task_Tracker!$L$5:$L$1004,"&lt;"&amp;EDATE($A47,1))</f>
        <v/>
      </c>
      <c r="G47" s="74">
        <f>COUNTIFS(Task_Tracker!$AB$5:$AB$1004,$B$4,Task_Tracker!$L$5:$L$1004,"&gt;="&amp;$A47,Task_Tracker!$L$5:$L$1004,"&lt;"&amp;EDATE($A47,1),Task_Tracker!$I$5:$I$1004,"&lt;&gt;Completed",Task_Tracker!$I$5:$I$1004,"&lt;&gt;Cancelled")</f>
        <v/>
      </c>
      <c r="H47" s="116">
        <f>IFERROR(D47/C47,0)</f>
        <v/>
      </c>
    </row>
    <row r="48" ht="20" customHeight="1" s="40">
      <c r="A48" s="113" t="n">
        <v>46388</v>
      </c>
      <c r="B48" s="73">
        <f>TEXT(A48,"mmm yyyy")</f>
        <v/>
      </c>
      <c r="C48" s="74">
        <f>COUNTIFS(Task_Tracker!$AB$5:$AB$1004,$B$4,Task_Tracker!$L$5:$L$1004,"&gt;="&amp;$A48,Task_Tracker!$L$5:$L$1004,"&lt;"&amp;EDATE($A48,1))</f>
        <v/>
      </c>
      <c r="D48" s="74">
        <f>COUNTIFS(Task_Tracker!$AB$5:$AB$1004,$B$4,Task_Tracker!$L$5:$L$1004,"&gt;="&amp;$A48,Task_Tracker!$L$5:$L$1004,"&lt;"&amp;EDATE($A48,1),Task_Tracker!$I$5:$I$1004,"Completed")</f>
        <v/>
      </c>
      <c r="E48" s="74">
        <f>COUNTIFS(Task_Tracker!$AB$5:$AB$1004,$B$4,Task_Tracker!$L$5:$L$1004,"&lt;"&amp;$A48,Task_Tracker!$I$5:$I$1004,"&lt;&gt;Completed",Task_Tracker!$I$5:$I$1004,"&lt;&gt;Cancelled")</f>
        <v/>
      </c>
      <c r="F48" s="75">
        <f>SUMIFS(Task_Tracker!$O$5:$O$1004,Task_Tracker!$AB$5:$AB$1004,$B$4,Task_Tracker!$L$5:$L$1004,"&gt;="&amp;$A48,Task_Tracker!$L$5:$L$1004,"&lt;"&amp;EDATE($A48,1))</f>
        <v/>
      </c>
      <c r="G48" s="74">
        <f>COUNTIFS(Task_Tracker!$AB$5:$AB$1004,$B$4,Task_Tracker!$L$5:$L$1004,"&gt;="&amp;$A48,Task_Tracker!$L$5:$L$1004,"&lt;"&amp;EDATE($A48,1),Task_Tracker!$I$5:$I$1004,"&lt;&gt;Completed",Task_Tracker!$I$5:$I$1004,"&lt;&gt;Cancelled")</f>
        <v/>
      </c>
      <c r="H48" s="116">
        <f>IFERROR(D48/C48,0)</f>
        <v/>
      </c>
    </row>
    <row r="49" ht="20" customHeight="1" s="40">
      <c r="A49" s="113" t="n">
        <v>46419</v>
      </c>
      <c r="B49" s="73">
        <f>TEXT(A49,"mmm yyyy")</f>
        <v/>
      </c>
      <c r="C49" s="74">
        <f>COUNTIFS(Task_Tracker!$AB$5:$AB$1004,$B$4,Task_Tracker!$L$5:$L$1004,"&gt;="&amp;$A49,Task_Tracker!$L$5:$L$1004,"&lt;"&amp;EDATE($A49,1))</f>
        <v/>
      </c>
      <c r="D49" s="74">
        <f>COUNTIFS(Task_Tracker!$AB$5:$AB$1004,$B$4,Task_Tracker!$L$5:$L$1004,"&gt;="&amp;$A49,Task_Tracker!$L$5:$L$1004,"&lt;"&amp;EDATE($A49,1),Task_Tracker!$I$5:$I$1004,"Completed")</f>
        <v/>
      </c>
      <c r="E49" s="74">
        <f>COUNTIFS(Task_Tracker!$AB$5:$AB$1004,$B$4,Task_Tracker!$L$5:$L$1004,"&lt;"&amp;$A49,Task_Tracker!$I$5:$I$1004,"&lt;&gt;Completed",Task_Tracker!$I$5:$I$1004,"&lt;&gt;Cancelled")</f>
        <v/>
      </c>
      <c r="F49" s="75">
        <f>SUMIFS(Task_Tracker!$O$5:$O$1004,Task_Tracker!$AB$5:$AB$1004,$B$4,Task_Tracker!$L$5:$L$1004,"&gt;="&amp;$A49,Task_Tracker!$L$5:$L$1004,"&lt;"&amp;EDATE($A49,1))</f>
        <v/>
      </c>
      <c r="G49" s="74">
        <f>COUNTIFS(Task_Tracker!$AB$5:$AB$1004,$B$4,Task_Tracker!$L$5:$L$1004,"&gt;="&amp;$A49,Task_Tracker!$L$5:$L$1004,"&lt;"&amp;EDATE($A49,1),Task_Tracker!$I$5:$I$1004,"&lt;&gt;Completed",Task_Tracker!$I$5:$I$1004,"&lt;&gt;Cancelled")</f>
        <v/>
      </c>
      <c r="H49" s="116">
        <f>IFERROR(D49/C49,0)</f>
        <v/>
      </c>
    </row>
    <row r="50" ht="20" customHeight="1" s="40">
      <c r="A50" s="113" t="n">
        <v>46447</v>
      </c>
      <c r="B50" s="73">
        <f>TEXT(A50,"mmm yyyy")</f>
        <v/>
      </c>
      <c r="C50" s="74">
        <f>COUNTIFS(Task_Tracker!$AB$5:$AB$1004,$B$4,Task_Tracker!$L$5:$L$1004,"&gt;="&amp;$A50,Task_Tracker!$L$5:$L$1004,"&lt;"&amp;EDATE($A50,1))</f>
        <v/>
      </c>
      <c r="D50" s="74">
        <f>COUNTIFS(Task_Tracker!$AB$5:$AB$1004,$B$4,Task_Tracker!$L$5:$L$1004,"&gt;="&amp;$A50,Task_Tracker!$L$5:$L$1004,"&lt;"&amp;EDATE($A50,1),Task_Tracker!$I$5:$I$1004,"Completed")</f>
        <v/>
      </c>
      <c r="E50" s="74">
        <f>COUNTIFS(Task_Tracker!$AB$5:$AB$1004,$B$4,Task_Tracker!$L$5:$L$1004,"&lt;"&amp;$A50,Task_Tracker!$I$5:$I$1004,"&lt;&gt;Completed",Task_Tracker!$I$5:$I$1004,"&lt;&gt;Cancelled")</f>
        <v/>
      </c>
      <c r="F50" s="75">
        <f>SUMIFS(Task_Tracker!$O$5:$O$1004,Task_Tracker!$AB$5:$AB$1004,$B$4,Task_Tracker!$L$5:$L$1004,"&gt;="&amp;$A50,Task_Tracker!$L$5:$L$1004,"&lt;"&amp;EDATE($A50,1))</f>
        <v/>
      </c>
      <c r="G50" s="74">
        <f>COUNTIFS(Task_Tracker!$AB$5:$AB$1004,$B$4,Task_Tracker!$L$5:$L$1004,"&gt;="&amp;$A50,Task_Tracker!$L$5:$L$1004,"&lt;"&amp;EDATE($A50,1),Task_Tracker!$I$5:$I$1004,"&lt;&gt;Completed",Task_Tracker!$I$5:$I$1004,"&lt;&gt;Cancelled")</f>
        <v/>
      </c>
      <c r="H50" s="116">
        <f>IFERROR(D50/C50,0)</f>
        <v/>
      </c>
    </row>
    <row r="51" ht="20" customHeight="1" s="40"/>
    <row r="52" ht="20" customHeight="1" s="40"/>
    <row r="53" ht="20" customHeight="1" s="40">
      <c r="A53" s="94" t="inlineStr">
        <is>
          <t>Current Open Tasks for Manager</t>
        </is>
      </c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  <c r="L53" s="112" t="n"/>
    </row>
    <row r="54" ht="20" customHeight="1" s="40">
      <c r="A54" s="95" t="inlineStr">
        <is>
          <t>Task ID</t>
        </is>
      </c>
      <c r="B54" s="95" t="inlineStr">
        <is>
          <t>Employee</t>
        </is>
      </c>
      <c r="C54" s="95" t="inlineStr">
        <is>
          <t>Source</t>
        </is>
      </c>
      <c r="D54" s="95" t="inlineStr">
        <is>
          <t>Project</t>
        </is>
      </c>
      <c r="E54" s="95" t="inlineStr">
        <is>
          <t>Task Title</t>
        </is>
      </c>
      <c r="F54" s="95" t="inlineStr">
        <is>
          <t>Status</t>
        </is>
      </c>
      <c r="G54" s="95" t="inlineStr">
        <is>
          <t>Due Date</t>
        </is>
      </c>
      <c r="H54" s="95" t="inlineStr">
        <is>
          <t>Actual Hrs</t>
        </is>
      </c>
      <c r="I54" s="95" t="inlineStr">
        <is>
          <t>Next Step</t>
        </is>
      </c>
      <c r="J54" s="95" t="inlineStr">
        <is>
          <t>Open Steps</t>
        </is>
      </c>
      <c r="K54" s="95" t="inlineStr">
        <is>
          <t>Notes</t>
        </is>
      </c>
      <c r="L54" s="95" t="n"/>
    </row>
    <row r="55" ht="20" customHeight="1" s="40">
      <c r="A55" s="96">
        <f>IFERROR(TAKE(SORT(FILTER(CHOOSECOLS(Task_Tracker!$A$5:$AF$1004,1,6,27,2,4,9,12,15,21,31,26),(Task_Tracker!$A$5:$A$1004&lt;&gt;"")*(Task_Tracker!$AB$5:$AB$1004=$B$4)*(Task_Tracker!$I$5:$I$1004&lt;&gt;"Completed")*(Task_Tracker!$I$5:$I$1004&lt;&gt;"Cancelled")*IF($B$5="All",1,Task_Tracker!$S$5:$S$1004=$B$5)),7,1),25),"")</f>
        <v/>
      </c>
      <c r="B55" s="73" t="n"/>
      <c r="C55" s="73" t="n"/>
      <c r="D55" s="96" t="n"/>
      <c r="E55" s="96" t="n"/>
      <c r="F55" s="113" t="n"/>
      <c r="G55" s="75" t="n"/>
      <c r="H55" s="73" t="n"/>
      <c r="I55" s="73" t="n"/>
    </row>
    <row r="56" ht="20" customHeight="1" s="40">
      <c r="A56" s="96" t="n"/>
      <c r="B56" s="73" t="n"/>
      <c r="C56" s="73" t="n"/>
      <c r="D56" s="96" t="n"/>
      <c r="E56" s="96" t="n"/>
      <c r="F56" s="113" t="n"/>
      <c r="G56" s="75" t="n"/>
      <c r="H56" s="73" t="n"/>
      <c r="I56" s="73" t="n"/>
    </row>
    <row r="57" ht="20" customHeight="1" s="40">
      <c r="A57" s="96" t="n"/>
      <c r="B57" s="73" t="n"/>
      <c r="C57" s="73" t="n"/>
      <c r="D57" s="96" t="n"/>
      <c r="E57" s="96" t="n"/>
      <c r="F57" s="113" t="n"/>
      <c r="G57" s="75" t="n"/>
      <c r="H57" s="73" t="n"/>
      <c r="I57" s="73" t="n"/>
    </row>
    <row r="58" ht="20" customHeight="1" s="40">
      <c r="A58" s="96" t="n"/>
      <c r="B58" s="73" t="n"/>
      <c r="C58" s="73" t="n"/>
      <c r="D58" s="96" t="n"/>
      <c r="E58" s="96" t="n"/>
      <c r="F58" s="113" t="n"/>
      <c r="G58" s="75" t="n"/>
      <c r="H58" s="73" t="n"/>
      <c r="I58" s="73" t="n"/>
    </row>
    <row r="59" ht="20" customHeight="1" s="40">
      <c r="A59" s="96" t="n"/>
      <c r="B59" s="73" t="n"/>
      <c r="C59" s="73" t="n"/>
      <c r="D59" s="96" t="n"/>
      <c r="E59" s="96" t="n"/>
      <c r="F59" s="113" t="n"/>
      <c r="G59" s="75" t="n"/>
      <c r="H59" s="73" t="n"/>
      <c r="I59" s="73" t="n"/>
    </row>
    <row r="60" ht="20" customHeight="1" s="40">
      <c r="A60" s="96" t="n"/>
      <c r="B60" s="73" t="n"/>
      <c r="C60" s="73" t="n"/>
      <c r="D60" s="96" t="n"/>
      <c r="E60" s="96" t="n"/>
      <c r="F60" s="113" t="n"/>
      <c r="G60" s="75" t="n"/>
      <c r="H60" s="73" t="n"/>
      <c r="I60" s="73" t="n"/>
    </row>
    <row r="61" ht="20" customHeight="1" s="40">
      <c r="A61" s="96" t="n"/>
      <c r="B61" s="73" t="n"/>
      <c r="C61" s="73" t="n"/>
      <c r="D61" s="96" t="n"/>
      <c r="E61" s="96" t="n"/>
      <c r="F61" s="113" t="n"/>
      <c r="G61" s="75" t="n"/>
      <c r="H61" s="73" t="n"/>
      <c r="I61" s="73" t="n"/>
    </row>
    <row r="62" ht="20" customHeight="1" s="40">
      <c r="A62" s="96" t="n"/>
      <c r="B62" s="73" t="n"/>
      <c r="C62" s="73" t="n"/>
      <c r="D62" s="96" t="n"/>
      <c r="E62" s="96" t="n"/>
      <c r="F62" s="113" t="n"/>
      <c r="G62" s="75" t="n"/>
      <c r="H62" s="73" t="n"/>
      <c r="I62" s="73" t="n"/>
    </row>
    <row r="63" ht="20" customHeight="1" s="40">
      <c r="A63" s="96" t="n"/>
      <c r="B63" s="73" t="n"/>
      <c r="C63" s="73" t="n"/>
      <c r="D63" s="96" t="n"/>
      <c r="E63" s="96" t="n"/>
      <c r="F63" s="113" t="n"/>
      <c r="G63" s="75" t="n"/>
      <c r="H63" s="73" t="n"/>
      <c r="I63" s="73" t="n"/>
    </row>
    <row r="64" ht="20" customHeight="1" s="40">
      <c r="A64" s="96" t="n"/>
      <c r="B64" s="73" t="n"/>
      <c r="C64" s="73" t="n"/>
      <c r="D64" s="96" t="n"/>
      <c r="E64" s="96" t="n"/>
      <c r="F64" s="113" t="n"/>
      <c r="G64" s="75" t="n"/>
      <c r="H64" s="73" t="n"/>
      <c r="I64" s="73" t="n"/>
    </row>
    <row r="65" ht="20" customHeight="1" s="40">
      <c r="A65" s="96" t="n"/>
      <c r="B65" s="73" t="n"/>
      <c r="C65" s="73" t="n"/>
      <c r="D65" s="96" t="n"/>
      <c r="E65" s="96" t="n"/>
      <c r="F65" s="113" t="n"/>
      <c r="G65" s="75" t="n"/>
      <c r="H65" s="73" t="n"/>
      <c r="I65" s="73" t="n"/>
    </row>
    <row r="66" ht="20" customHeight="1" s="40">
      <c r="A66" s="96" t="n"/>
      <c r="B66" s="73" t="n"/>
      <c r="C66" s="73" t="n"/>
      <c r="D66" s="96" t="n"/>
      <c r="E66" s="96" t="n"/>
      <c r="F66" s="113" t="n"/>
      <c r="G66" s="75" t="n"/>
      <c r="H66" s="73" t="n"/>
      <c r="I66" s="73" t="n"/>
    </row>
    <row r="67" ht="20" customHeight="1" s="40">
      <c r="A67" s="96" t="n"/>
      <c r="B67" s="73" t="n"/>
      <c r="C67" s="73" t="n"/>
      <c r="D67" s="96" t="n"/>
      <c r="E67" s="96" t="n"/>
      <c r="F67" s="113" t="n"/>
      <c r="G67" s="75" t="n"/>
      <c r="H67" s="73" t="n"/>
      <c r="I67" s="73" t="n"/>
    </row>
    <row r="68" ht="20" customHeight="1" s="40">
      <c r="A68" s="96" t="n"/>
      <c r="B68" s="73" t="n"/>
      <c r="C68" s="73" t="n"/>
      <c r="D68" s="96" t="n"/>
      <c r="E68" s="96" t="n"/>
      <c r="F68" s="113" t="n"/>
      <c r="G68" s="75" t="n"/>
      <c r="H68" s="73" t="n"/>
      <c r="I68" s="73" t="n"/>
    </row>
    <row r="69" ht="20" customHeight="1" s="40">
      <c r="A69" s="96" t="n"/>
      <c r="B69" s="73" t="n"/>
      <c r="C69" s="73" t="n"/>
      <c r="D69" s="96" t="n"/>
      <c r="E69" s="96" t="n"/>
      <c r="F69" s="113" t="n"/>
      <c r="G69" s="75" t="n"/>
      <c r="H69" s="73" t="n"/>
      <c r="I69" s="73" t="n"/>
    </row>
    <row r="70" ht="20" customHeight="1" s="40">
      <c r="A70" s="96" t="n"/>
      <c r="B70" s="73" t="n"/>
      <c r="C70" s="73" t="n"/>
      <c r="D70" s="96" t="n"/>
      <c r="E70" s="96" t="n"/>
      <c r="F70" s="113" t="n"/>
      <c r="G70" s="75" t="n"/>
      <c r="H70" s="73" t="n"/>
      <c r="I70" s="73" t="n"/>
    </row>
    <row r="71" ht="20" customHeight="1" s="40">
      <c r="A71" s="96" t="n"/>
      <c r="B71" s="73" t="n"/>
      <c r="C71" s="73" t="n"/>
      <c r="D71" s="96" t="n"/>
      <c r="E71" s="96" t="n"/>
      <c r="F71" s="113" t="n"/>
      <c r="G71" s="75" t="n"/>
      <c r="H71" s="73" t="n"/>
      <c r="I71" s="73" t="n"/>
    </row>
    <row r="72" ht="20" customHeight="1" s="40">
      <c r="A72" s="96" t="n"/>
      <c r="B72" s="73" t="n"/>
      <c r="C72" s="73" t="n"/>
      <c r="D72" s="96" t="n"/>
      <c r="E72" s="96" t="n"/>
      <c r="F72" s="113" t="n"/>
      <c r="G72" s="75" t="n"/>
      <c r="H72" s="73" t="n"/>
      <c r="I72" s="73" t="n"/>
    </row>
    <row r="73" ht="20" customHeight="1" s="40">
      <c r="A73" s="96" t="n"/>
      <c r="B73" s="73" t="n"/>
      <c r="C73" s="73" t="n"/>
      <c r="D73" s="96" t="n"/>
      <c r="E73" s="96" t="n"/>
      <c r="F73" s="113" t="n"/>
      <c r="G73" s="75" t="n"/>
      <c r="H73" s="73" t="n"/>
      <c r="I73" s="73" t="n"/>
    </row>
    <row r="74" ht="20" customHeight="1" s="40">
      <c r="A74" s="96" t="n"/>
      <c r="B74" s="73" t="n"/>
      <c r="C74" s="73" t="n"/>
      <c r="D74" s="96" t="n"/>
      <c r="E74" s="96" t="n"/>
      <c r="F74" s="113" t="n"/>
      <c r="G74" s="75" t="n"/>
      <c r="H74" s="73" t="n"/>
      <c r="I74" s="73" t="n"/>
    </row>
    <row r="75" ht="20" customHeight="1" s="40"/>
    <row r="76" ht="20" customHeight="1" s="40"/>
    <row r="77" ht="20" customHeight="1" s="40"/>
    <row r="78" ht="22" customHeight="1" s="40">
      <c r="A78" s="94" t="inlineStr">
        <is>
          <t>Manager Step Detail</t>
        </is>
      </c>
    </row>
    <row r="79" ht="20" customHeight="1" s="40">
      <c r="A79" s="95" t="inlineStr">
        <is>
          <t>Step ID</t>
        </is>
      </c>
      <c r="B79" s="95" t="inlineStr">
        <is>
          <t>Employee</t>
        </is>
      </c>
      <c r="C79" s="95" t="inlineStr">
        <is>
          <t>Parent Task ID</t>
        </is>
      </c>
      <c r="D79" s="95" t="inlineStr">
        <is>
          <t>Source</t>
        </is>
      </c>
      <c r="E79" s="95" t="inlineStr">
        <is>
          <t>Project</t>
        </is>
      </c>
      <c r="F79" s="95" t="inlineStr">
        <is>
          <t>Step Name</t>
        </is>
      </c>
      <c r="G79" s="95" t="inlineStr">
        <is>
          <t>Step Status</t>
        </is>
      </c>
      <c r="H79" s="95" t="inlineStr">
        <is>
          <t>Due Date</t>
        </is>
      </c>
      <c r="I79" s="95" t="inlineStr">
        <is>
          <t>Actual Hrs</t>
        </is>
      </c>
      <c r="J79" s="95" t="inlineStr">
        <is>
          <t>Parent Task Status</t>
        </is>
      </c>
      <c r="K79" s="95" t="inlineStr">
        <is>
          <t>Manager</t>
        </is>
      </c>
    </row>
    <row r="80" ht="20" customHeight="1" s="40">
      <c r="A80" s="96">
        <f>IF($B$5="All",IFERROR(TAKE(SORT(FILTER(CHOOSECOLS(Task_Steps!$A$5:$Y$2004,1,21,2,19,4,5,8,11,14,22,20),(Task_Steps!$A$5:$A$2004&lt;&gt;"")*(Task_Steps!$T$5:$T$2004=$B$4)),8,1),25),""),IFERROR(TAKE(SORT(FILTER(CHOOSECOLS(Task_Steps!$A$5:$Y$2004,1,21,2,19,4,5,8,11,14,22,20),(Task_Steps!$A$5:$A$2004&lt;&gt;"")*(Task_Steps!$T$5:$T$2004=$B$4)*(Task_Steps!$X$5:$X$2004=$B$5)),8,1),25),""))</f>
        <v/>
      </c>
    </row>
    <row r="81" ht="20" customHeight="1" s="40"/>
    <row r="82" ht="20" customHeight="1" s="40"/>
    <row r="83" ht="20" customHeight="1" s="40"/>
    <row r="84" ht="20" customHeight="1" s="40"/>
    <row r="85" ht="20" customHeight="1" s="40"/>
    <row r="86" ht="20" customHeight="1" s="40"/>
    <row r="87" ht="20" customHeight="1" s="40"/>
    <row r="88" ht="20" customHeight="1" s="40"/>
    <row r="89" ht="20" customHeight="1" s="40"/>
  </sheetData>
  <mergeCells count="20">
    <mergeCell ref="I38:L40"/>
    <mergeCell ref="G8:H8"/>
    <mergeCell ref="E8:F8"/>
    <mergeCell ref="A2:L2"/>
    <mergeCell ref="A7:B7"/>
    <mergeCell ref="G7:H7"/>
    <mergeCell ref="I7:J7"/>
    <mergeCell ref="A37:H37"/>
    <mergeCell ref="A53:L53"/>
    <mergeCell ref="K8:L8"/>
    <mergeCell ref="A13:L13"/>
    <mergeCell ref="I8:J8"/>
    <mergeCell ref="A8:B8"/>
    <mergeCell ref="C8:D8"/>
    <mergeCell ref="I37:L37"/>
    <mergeCell ref="K7:L7"/>
    <mergeCell ref="C7:D7"/>
    <mergeCell ref="E7:F7"/>
    <mergeCell ref="A1:L1"/>
    <mergeCell ref="K4:L4"/>
  </mergeCells>
  <dataValidations count="1">
    <dataValidation sqref="B5" showDropDown="0" showInputMessage="0" showErrorMessage="0" allowBlank="1" type="list">
      <formula1>=Lists!$E$2:$E$14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39" min="1" max="1"/>
    <col width="24" customWidth="1" style="39" min="2" max="2"/>
    <col width="18" customWidth="1" style="39" min="3" max="3"/>
    <col width="42" customWidth="1" style="39" min="4" max="4"/>
  </cols>
  <sheetData>
    <row r="1" ht="19.5" customHeight="1" s="40">
      <c r="A1" s="53" t="inlineStr">
        <is>
          <t>Status to Action Mapping</t>
        </is>
      </c>
    </row>
    <row r="2" ht="15" customHeight="1" s="40">
      <c r="A2" s="77" t="inlineStr">
        <is>
          <t>Edit this sheet if you want to change default action types or progress percentages.</t>
        </is>
      </c>
    </row>
    <row r="4" ht="21.75" customHeight="1" s="40">
      <c r="A4" s="63" t="inlineStr">
        <is>
          <t>Status</t>
        </is>
      </c>
      <c r="B4" s="63" t="inlineStr">
        <is>
          <t>Auto-filled Action Type</t>
        </is>
      </c>
      <c r="C4" s="63" t="inlineStr">
        <is>
          <t>Default Progress %</t>
        </is>
      </c>
      <c r="D4" s="63" t="inlineStr">
        <is>
          <t>Notes</t>
        </is>
      </c>
    </row>
    <row r="5" ht="15" customHeight="1" s="40">
      <c r="A5" s="78" t="inlineStr">
        <is>
          <t>Not Started</t>
        </is>
      </c>
      <c r="B5" s="78" t="inlineStr">
        <is>
          <t>Plan</t>
        </is>
      </c>
      <c r="C5" s="99" t="n">
        <v>0</v>
      </c>
      <c r="D5" s="78" t="inlineStr">
        <is>
          <t>Task has not started yet</t>
        </is>
      </c>
    </row>
    <row r="6" ht="15" customHeight="1" s="40">
      <c r="A6" s="78" t="inlineStr">
        <is>
          <t>In Progress</t>
        </is>
      </c>
      <c r="B6" s="78" t="inlineStr">
        <is>
          <t>Execute</t>
        </is>
      </c>
      <c r="C6" s="99" t="n">
        <v>0.5</v>
      </c>
      <c r="D6" s="78" t="inlineStr">
        <is>
          <t>Task is actively being worked on</t>
        </is>
      </c>
    </row>
    <row r="7" ht="15" customHeight="1" s="40">
      <c r="A7" s="78" t="inlineStr">
        <is>
          <t>Review</t>
        </is>
      </c>
      <c r="B7" s="78" t="inlineStr">
        <is>
          <t>Review</t>
        </is>
      </c>
      <c r="C7" s="99" t="n">
        <v>0.8</v>
      </c>
      <c r="D7" s="78" t="inlineStr">
        <is>
          <t>Waiting for QA/review/approval</t>
        </is>
      </c>
    </row>
    <row r="8" ht="15" customHeight="1" s="40">
      <c r="A8" s="78" t="inlineStr">
        <is>
          <t>On Hold</t>
        </is>
      </c>
      <c r="B8" s="78" t="inlineStr">
        <is>
          <t>Wait</t>
        </is>
      </c>
      <c r="C8" s="99" t="n">
        <v>0.2</v>
      </c>
      <c r="D8" s="78" t="inlineStr">
        <is>
          <t>Paused pending input or dependency</t>
        </is>
      </c>
    </row>
    <row r="9" ht="15" customHeight="1" s="40">
      <c r="A9" s="78" t="inlineStr">
        <is>
          <t>Blocked</t>
        </is>
      </c>
      <c r="B9" s="78" t="inlineStr">
        <is>
          <t>Escalate</t>
        </is>
      </c>
      <c r="C9" s="99" t="n">
        <v>0.3</v>
      </c>
      <c r="D9" s="78" t="inlineStr">
        <is>
          <t>Needs intervention or unblocker</t>
        </is>
      </c>
    </row>
    <row r="10" ht="15" customHeight="1" s="40">
      <c r="A10" s="78" t="inlineStr">
        <is>
          <t>Completed</t>
        </is>
      </c>
      <c r="B10" s="78" t="inlineStr">
        <is>
          <t>Close</t>
        </is>
      </c>
      <c r="C10" s="99" t="n">
        <v>1</v>
      </c>
      <c r="D10" s="78" t="inlineStr">
        <is>
          <t>Task finished</t>
        </is>
      </c>
    </row>
    <row r="11" ht="15" customHeight="1" s="40">
      <c r="A11" s="78" t="inlineStr">
        <is>
          <t>Cancelled</t>
        </is>
      </c>
      <c r="B11" s="78" t="inlineStr">
        <is>
          <t>Cancel</t>
        </is>
      </c>
      <c r="C11" s="99" t="n">
        <v>1</v>
      </c>
      <c r="D11" s="78" t="inlineStr">
        <is>
          <t>Task closed without completion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Template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Change B4 to any month start date (for example 01-Apr-2026) to generate a reusable monthly report view.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0" t="n">
        <v>46113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April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46113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May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46143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June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46174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July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46204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August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46235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September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46266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October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46296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November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46327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December 2026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46357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January 2027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46388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February 2027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46419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8" customWidth="1" style="40" min="2" max="2"/>
    <col width="18" customWidth="1" style="40" min="3" max="3"/>
    <col width="20" customWidth="1" style="40" min="4" max="4"/>
    <col width="12" customWidth="1" style="40" min="5" max="5"/>
    <col width="12" customWidth="1" style="40" min="6" max="6"/>
    <col width="13" customWidth="1" style="40" min="7" max="7"/>
    <col width="13" customWidth="1" style="40" min="8" max="8"/>
    <col width="30" customWidth="1" style="40" min="9" max="9"/>
    <col width="14" customWidth="1" style="40" min="10" max="10"/>
    <col width="14" customWidth="1" style="40" min="11" max="11"/>
    <col width="16" customWidth="1" style="40" min="12" max="12"/>
  </cols>
  <sheetData>
    <row r="1" ht="24" customHeight="1" s="40">
      <c r="A1" s="122" t="inlineStr">
        <is>
          <t>Monthly Report - March 2027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30" customHeight="1" s="40">
      <c r="A2" s="70" t="inlineStr">
        <is>
          <t>Tasks are entered only in Task_Tracker. This month tab summarizes tasks due in the month and shows all unfinished older tasks as carry forward.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Reporting Month</t>
        </is>
      </c>
      <c r="B4" s="109" t="n">
        <v>46447</v>
      </c>
      <c r="D4" s="88" t="inlineStr">
        <is>
          <t>Month Code</t>
        </is>
      </c>
      <c r="E4" s="101">
        <f>TEXT(B4,"yyyy-mm")</f>
        <v/>
      </c>
      <c r="G4" s="88" t="inlineStr">
        <is>
          <t>Carry-forward rule</t>
        </is>
      </c>
      <c r="H4" s="102" t="inlineStr">
        <is>
          <t>Open tasks with due dates before this month automatically appear in Carry Forward.</t>
        </is>
      </c>
      <c r="I4" s="111" t="n"/>
      <c r="J4" s="111" t="n"/>
      <c r="K4" s="111" t="n"/>
      <c r="L4" s="112" t="n"/>
    </row>
    <row r="5" ht="20" customHeight="1" s="40"/>
    <row r="6" ht="22" customHeight="1" s="40">
      <c r="A6" s="91" t="inlineStr">
        <is>
          <t>Tasks Due This Month</t>
        </is>
      </c>
      <c r="B6" s="111" t="n"/>
      <c r="C6" s="112" t="n"/>
      <c r="D6" s="91" t="inlineStr">
        <is>
          <t>Completed in Bucket</t>
        </is>
      </c>
      <c r="E6" s="111" t="n"/>
      <c r="F6" s="112" t="n"/>
      <c r="G6" s="91" t="inlineStr">
        <is>
          <t>Carry Forward Open</t>
        </is>
      </c>
      <c r="H6" s="111" t="n"/>
      <c r="I6" s="112" t="n"/>
      <c r="J6" s="91" t="inlineStr">
        <is>
          <t>Actual Hours in Bucket</t>
        </is>
      </c>
      <c r="K6" s="111" t="n"/>
      <c r="L6" s="112" t="n"/>
    </row>
    <row r="7" ht="28" customHeight="1" s="40">
      <c r="A7" s="103">
        <f>COUNTIFS(Task_Tracker!$L$5:$L$1004,"&gt;="&amp;$B$4,Task_Tracker!$L$5:$L$1004,"&lt;"&amp;EDATE($B$4,1),Task_Tracker!$A$5:$A$1004,"&lt;&gt;")</f>
        <v/>
      </c>
      <c r="B7" s="111" t="n"/>
      <c r="C7" s="112" t="n"/>
      <c r="D7" s="103">
        <f>COUNTIFS(Task_Tracker!$L$5:$L$1004,"&gt;="&amp;$B$4,Task_Tracker!$L$5:$L$1004,"&lt;"&amp;EDATE($B$4,1),Task_Tracker!$I$5:$I$1004,"Completed")</f>
        <v/>
      </c>
      <c r="E7" s="111" t="n"/>
      <c r="F7" s="112" t="n"/>
      <c r="G7" s="103">
        <f>COUNTIFS(Task_Tracker!$L$5:$L$1004,"&lt;"&amp;$B$4,Task_Tracker!$I$5:$I$1004,"&lt;&gt;Completed",Task_Tracker!$I$5:$I$1004,"&lt;&gt;Cancelled",Task_Tracker!$A$5:$A$1004,"&lt;&gt;")</f>
        <v/>
      </c>
      <c r="H7" s="111" t="n"/>
      <c r="I7" s="112" t="n"/>
      <c r="J7" s="93">
        <f>SUMIFS(Task_Tracker!$O$5:$O$1004,Task_Tracker!$L$5:$L$1004,"&gt;="&amp;$B$4,Task_Tracker!$L$5:$L$1004,"&lt;"&amp;EDATE($B$4,1))</f>
        <v/>
      </c>
      <c r="K7" s="111" t="n"/>
      <c r="L7" s="112" t="n"/>
    </row>
    <row r="8" ht="20" customHeight="1" s="40"/>
    <row r="9" ht="20" customHeight="1" s="40"/>
    <row r="10" ht="20" customHeight="1" s="40">
      <c r="A10" s="94" t="inlineStr">
        <is>
          <t>Employee Summary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2" t="n"/>
      <c r="J10" s="94" t="inlineStr">
        <is>
          <t>How to use</t>
        </is>
      </c>
      <c r="K10" s="111" t="n"/>
      <c r="L10" s="112" t="n"/>
    </row>
    <row r="11" ht="20" customHeight="1" s="40">
      <c r="A11" s="71" t="inlineStr">
        <is>
          <t>Employee</t>
        </is>
      </c>
      <c r="B11" s="71" t="inlineStr">
        <is>
          <t>Department</t>
        </is>
      </c>
      <c r="C11" s="71" t="inlineStr">
        <is>
          <t>Tasks Due</t>
        </is>
      </c>
      <c r="D11" s="71" t="inlineStr">
        <is>
          <t>Completed</t>
        </is>
      </c>
      <c r="E11" s="71" t="inlineStr">
        <is>
          <t>Open in Bucket</t>
        </is>
      </c>
      <c r="F11" s="71" t="inlineStr">
        <is>
          <t>Carry Forward</t>
        </is>
      </c>
      <c r="G11" s="71" t="inlineStr">
        <is>
          <t>Est. Hrs</t>
        </is>
      </c>
      <c r="H11" s="71" t="inlineStr">
        <is>
          <t>Actual Hrs</t>
        </is>
      </c>
      <c r="I11" s="71" t="inlineStr">
        <is>
          <t>Completion %</t>
        </is>
      </c>
      <c r="J11" s="104" t="inlineStr">
        <is>
          <t>Edit tasks in Task_Tracker only. Monthly tabs are reporting views. Open prior tasks keep appearing until status becomes Completed or Cancelled.</t>
        </is>
      </c>
      <c r="K11" s="114" t="n"/>
      <c r="L11" s="115" t="n"/>
    </row>
    <row r="12" ht="20" customHeight="1" s="40">
      <c r="A12" s="105">
        <f>Employee_Master!B5</f>
        <v/>
      </c>
      <c r="B12" s="73">
        <f>Employee_Master!C5</f>
        <v/>
      </c>
      <c r="C12" s="74">
        <f>COUNTIFS(Task_Tracker!$F$5:$F$1004,$A12,Task_Tracker!$L$5:$L$1004,"&gt;="&amp;$B$4,Task_Tracker!$L$5:$L$1004,"&lt;"&amp;EDATE($B$4,1))</f>
        <v/>
      </c>
      <c r="D12" s="74">
        <f>COUNTIFS(Task_Tracker!$F$5:$F$1004,$A12,Task_Tracker!$L$5:$L$1004,"&gt;="&amp;$B$4,Task_Tracker!$L$5:$L$1004,"&lt;"&amp;EDATE($B$4,1),Task_Tracker!$I$5:$I$1004,"Completed")</f>
        <v/>
      </c>
      <c r="E12" s="74">
        <f>COUNTIFS(Task_Tracker!$F$5:$F$1004,$A12,Task_Tracker!$L$5:$L$1004,"&gt;="&amp;$B$4,Task_Tracker!$L$5:$L$1004,"&lt;"&amp;EDATE($B$4,1),Task_Tracker!$I$5:$I$1004,"&lt;&gt;Completed",Task_Tracker!$I$5:$I$1004,"&lt;&gt;Cancelled")</f>
        <v/>
      </c>
      <c r="F12" s="74">
        <f>COUNTIFS(Task_Tracker!$F$5:$F$1004,$A12,Task_Tracker!$L$5:$L$1004,"&lt;"&amp;$B$4,Task_Tracker!$I$5:$I$1004,"&lt;&gt;Completed",Task_Tracker!$I$5:$I$1004,"&lt;&gt;Cancelled")</f>
        <v/>
      </c>
      <c r="G12" s="75">
        <f>SUMIFS(Task_Tracker!$N$5:$N$1004,Task_Tracker!$F$5:$F$1004,$A12,Task_Tracker!$L$5:$L$1004,"&gt;="&amp;$B$4,Task_Tracker!$L$5:$L$1004,"&lt;"&amp;EDATE($B$4,1))</f>
        <v/>
      </c>
      <c r="H12" s="75">
        <f>SUMIFS(Task_Tracker!$O$5:$O$1004,Task_Tracker!$F$5:$F$1004,$A12,Task_Tracker!$L$5:$L$1004,"&gt;="&amp;$B$4,Task_Tracker!$L$5:$L$1004,"&lt;"&amp;EDATE($B$4,1))</f>
        <v/>
      </c>
      <c r="I12" s="116">
        <f>IFERROR(D12/C12,0)</f>
        <v/>
      </c>
      <c r="J12" s="117" t="n"/>
      <c r="L12" s="118" t="n"/>
    </row>
    <row r="13" ht="20" customHeight="1" s="40">
      <c r="A13" s="105">
        <f>Employee_Master!B6</f>
        <v/>
      </c>
      <c r="B13" s="73">
        <f>Employee_Master!C6</f>
        <v/>
      </c>
      <c r="C13" s="74">
        <f>COUNTIFS(Task_Tracker!$F$5:$F$1004,$A13,Task_Tracker!$L$5:$L$1004,"&gt;="&amp;$B$4,Task_Tracker!$L$5:$L$1004,"&lt;"&amp;EDATE($B$4,1))</f>
        <v/>
      </c>
      <c r="D13" s="74">
        <f>COUNTIFS(Task_Tracker!$F$5:$F$1004,$A13,Task_Tracker!$L$5:$L$1004,"&gt;="&amp;$B$4,Task_Tracker!$L$5:$L$1004,"&lt;"&amp;EDATE($B$4,1),Task_Tracker!$I$5:$I$1004,"Completed")</f>
        <v/>
      </c>
      <c r="E13" s="74">
        <f>COUNTIFS(Task_Tracker!$F$5:$F$1004,$A13,Task_Tracker!$L$5:$L$1004,"&gt;="&amp;$B$4,Task_Tracker!$L$5:$L$1004,"&lt;"&amp;EDATE($B$4,1),Task_Tracker!$I$5:$I$1004,"&lt;&gt;Completed",Task_Tracker!$I$5:$I$1004,"&lt;&gt;Cancelled")</f>
        <v/>
      </c>
      <c r="F13" s="74">
        <f>COUNTIFS(Task_Tracker!$F$5:$F$1004,$A13,Task_Tracker!$L$5:$L$1004,"&lt;"&amp;$B$4,Task_Tracker!$I$5:$I$1004,"&lt;&gt;Completed",Task_Tracker!$I$5:$I$1004,"&lt;&gt;Cancelled")</f>
        <v/>
      </c>
      <c r="G13" s="75">
        <f>SUMIFS(Task_Tracker!$N$5:$N$1004,Task_Tracker!$F$5:$F$1004,$A13,Task_Tracker!$L$5:$L$1004,"&gt;="&amp;$B$4,Task_Tracker!$L$5:$L$1004,"&lt;"&amp;EDATE($B$4,1))</f>
        <v/>
      </c>
      <c r="H13" s="75">
        <f>SUMIFS(Task_Tracker!$O$5:$O$1004,Task_Tracker!$F$5:$F$1004,$A13,Task_Tracker!$L$5:$L$1004,"&gt;="&amp;$B$4,Task_Tracker!$L$5:$L$1004,"&lt;"&amp;EDATE($B$4,1))</f>
        <v/>
      </c>
      <c r="I13" s="116">
        <f>IFERROR(D13/C13,0)</f>
        <v/>
      </c>
      <c r="J13" s="119" t="n"/>
      <c r="K13" s="120" t="n"/>
      <c r="L13" s="121" t="n"/>
    </row>
    <row r="14" ht="20" customHeight="1" s="40"/>
    <row r="15" ht="20" customHeight="1" s="40"/>
    <row r="16" ht="20" customHeight="1" s="40">
      <c r="A16" s="94" t="inlineStr">
        <is>
          <t>Task Detail - Employee 1</t>
        </is>
      </c>
      <c r="B16" s="111" t="n"/>
      <c r="C16" s="111" t="n"/>
      <c r="D16" s="111" t="n"/>
      <c r="E16" s="111" t="n"/>
      <c r="F16" s="111" t="n"/>
      <c r="G16" s="111" t="n"/>
      <c r="H16" s="111" t="n"/>
      <c r="I16" s="112" t="n"/>
    </row>
    <row r="17" ht="20" customHeight="1" s="40">
      <c r="A17" s="106">
        <f>Employee_Master!B5</f>
        <v/>
      </c>
      <c r="B17" s="107" t="inlineStr">
        <is>
          <t>Tasks due in this month bucket (top 18 shown, sorted by due date).</t>
        </is>
      </c>
      <c r="C17" s="111" t="n"/>
      <c r="D17" s="111" t="n"/>
      <c r="E17" s="111" t="n"/>
      <c r="F17" s="111" t="n"/>
      <c r="G17" s="111" t="n"/>
      <c r="H17" s="111" t="n"/>
      <c r="I17" s="112" t="n"/>
    </row>
    <row r="18" ht="20" customHeight="1" s="40">
      <c r="A18" s="95" t="inlineStr">
        <is>
          <t>Task ID</t>
        </is>
      </c>
      <c r="B18" s="95" t="inlineStr">
        <is>
          <t>Project</t>
        </is>
      </c>
      <c r="C18" s="95" t="inlineStr">
        <is>
          <t>Task Title</t>
        </is>
      </c>
      <c r="D18" s="95" t="inlineStr">
        <is>
          <t>Status</t>
        </is>
      </c>
      <c r="E18" s="95" t="inlineStr">
        <is>
          <t>Priority</t>
        </is>
      </c>
      <c r="F18" s="95" t="inlineStr">
        <is>
          <t>Due Date</t>
        </is>
      </c>
      <c r="G18" s="95" t="inlineStr">
        <is>
          <t>Completed</t>
        </is>
      </c>
      <c r="H18" s="95" t="inlineStr">
        <is>
          <t>Act Hrs</t>
        </is>
      </c>
      <c r="I18" s="95" t="inlineStr">
        <is>
          <t>Next Step</t>
        </is>
      </c>
    </row>
    <row r="19" ht="20" customHeight="1" s="40">
      <c r="A19" s="96">
        <f>IFERROR(TAKE(SORT(FILTER(CHOOSECOLS(Task_Tracker!$A$5:$Z$1004,1,2,4,9,8,12,13,15,21),(Task_Tracker!$A$5:$A$1004&lt;&gt;"")*(Task_Tracker!$F$5:$F$1004=$A$17)*(Task_Tracker!$L$5:$L$1004&gt;=$B$4)*(Task_Tracker!$L$5:$L$1004&lt;EDATE($B$4,1))),6,1),18),"")</f>
        <v/>
      </c>
      <c r="B19" s="73" t="n"/>
      <c r="C19" s="73" t="n"/>
      <c r="D19" s="73" t="n"/>
      <c r="E19" s="96" t="n"/>
      <c r="F19" s="113" t="n"/>
      <c r="G19" s="113" t="n"/>
      <c r="H19" s="75" t="n"/>
      <c r="I19" s="73" t="n"/>
    </row>
    <row r="20" ht="20" customHeight="1" s="40">
      <c r="A20" s="96" t="n"/>
      <c r="B20" s="73" t="n"/>
      <c r="C20" s="73" t="n"/>
      <c r="D20" s="73" t="n"/>
      <c r="E20" s="96" t="n"/>
      <c r="F20" s="113" t="n"/>
      <c r="G20" s="113" t="n"/>
      <c r="H20" s="75" t="n"/>
      <c r="I20" s="73" t="n"/>
    </row>
    <row r="21" ht="20" customHeight="1" s="40">
      <c r="A21" s="96" t="n"/>
      <c r="B21" s="73" t="n"/>
      <c r="C21" s="73" t="n"/>
      <c r="D21" s="73" t="n"/>
      <c r="E21" s="96" t="n"/>
      <c r="F21" s="113" t="n"/>
      <c r="G21" s="113" t="n"/>
      <c r="H21" s="75" t="n"/>
      <c r="I21" s="73" t="n"/>
    </row>
    <row r="22" ht="20" customHeight="1" s="40">
      <c r="A22" s="96" t="n"/>
      <c r="B22" s="73" t="n"/>
      <c r="C22" s="73" t="n"/>
      <c r="D22" s="73" t="n"/>
      <c r="E22" s="96" t="n"/>
      <c r="F22" s="113" t="n"/>
      <c r="G22" s="113" t="n"/>
      <c r="H22" s="75" t="n"/>
      <c r="I22" s="73" t="n"/>
    </row>
    <row r="23" ht="20" customHeight="1" s="40">
      <c r="A23" s="96" t="n"/>
      <c r="B23" s="73" t="n"/>
      <c r="C23" s="73" t="n"/>
      <c r="D23" s="73" t="n"/>
      <c r="E23" s="96" t="n"/>
      <c r="F23" s="113" t="n"/>
      <c r="G23" s="113" t="n"/>
      <c r="H23" s="75" t="n"/>
      <c r="I23" s="73" t="n"/>
    </row>
    <row r="24" ht="20" customHeight="1" s="40">
      <c r="A24" s="96" t="n"/>
      <c r="B24" s="73" t="n"/>
      <c r="C24" s="73" t="n"/>
      <c r="D24" s="73" t="n"/>
      <c r="E24" s="96" t="n"/>
      <c r="F24" s="113" t="n"/>
      <c r="G24" s="113" t="n"/>
      <c r="H24" s="75" t="n"/>
      <c r="I24" s="73" t="n"/>
    </row>
    <row r="25" ht="20" customHeight="1" s="40">
      <c r="A25" s="96" t="n"/>
      <c r="B25" s="73" t="n"/>
      <c r="C25" s="73" t="n"/>
      <c r="D25" s="73" t="n"/>
      <c r="E25" s="96" t="n"/>
      <c r="F25" s="113" t="n"/>
      <c r="G25" s="113" t="n"/>
      <c r="H25" s="75" t="n"/>
      <c r="I25" s="73" t="n"/>
    </row>
    <row r="26" ht="20" customHeight="1" s="40">
      <c r="A26" s="96" t="n"/>
      <c r="B26" s="73" t="n"/>
      <c r="C26" s="73" t="n"/>
      <c r="D26" s="73" t="n"/>
      <c r="E26" s="96" t="n"/>
      <c r="F26" s="113" t="n"/>
      <c r="G26" s="113" t="n"/>
      <c r="H26" s="75" t="n"/>
      <c r="I26" s="73" t="n"/>
    </row>
    <row r="27" ht="20" customHeight="1" s="40">
      <c r="A27" s="96" t="n"/>
      <c r="B27" s="73" t="n"/>
      <c r="C27" s="73" t="n"/>
      <c r="D27" s="73" t="n"/>
      <c r="E27" s="96" t="n"/>
      <c r="F27" s="113" t="n"/>
      <c r="G27" s="113" t="n"/>
      <c r="H27" s="75" t="n"/>
      <c r="I27" s="73" t="n"/>
    </row>
    <row r="28" ht="20" customHeight="1" s="40">
      <c r="A28" s="96" t="n"/>
      <c r="B28" s="73" t="n"/>
      <c r="C28" s="73" t="n"/>
      <c r="D28" s="73" t="n"/>
      <c r="E28" s="96" t="n"/>
      <c r="F28" s="113" t="n"/>
      <c r="G28" s="113" t="n"/>
      <c r="H28" s="75" t="n"/>
      <c r="I28" s="73" t="n"/>
    </row>
    <row r="29" ht="20" customHeight="1" s="40">
      <c r="A29" s="96" t="n"/>
      <c r="B29" s="73" t="n"/>
      <c r="C29" s="73" t="n"/>
      <c r="D29" s="73" t="n"/>
      <c r="E29" s="96" t="n"/>
      <c r="F29" s="113" t="n"/>
      <c r="G29" s="113" t="n"/>
      <c r="H29" s="75" t="n"/>
      <c r="I29" s="73" t="n"/>
    </row>
    <row r="30" ht="20" customHeight="1" s="40">
      <c r="A30" s="96" t="n"/>
      <c r="B30" s="73" t="n"/>
      <c r="C30" s="73" t="n"/>
      <c r="D30" s="73" t="n"/>
      <c r="E30" s="96" t="n"/>
      <c r="F30" s="113" t="n"/>
      <c r="G30" s="113" t="n"/>
      <c r="H30" s="75" t="n"/>
      <c r="I30" s="73" t="n"/>
    </row>
    <row r="31" ht="20" customHeight="1" s="40">
      <c r="A31" s="96" t="n"/>
      <c r="B31" s="73" t="n"/>
      <c r="C31" s="73" t="n"/>
      <c r="D31" s="73" t="n"/>
      <c r="E31" s="96" t="n"/>
      <c r="F31" s="113" t="n"/>
      <c r="G31" s="113" t="n"/>
      <c r="H31" s="75" t="n"/>
      <c r="I31" s="73" t="n"/>
    </row>
    <row r="32" ht="20" customHeight="1" s="40">
      <c r="A32" s="96" t="n"/>
      <c r="B32" s="73" t="n"/>
      <c r="C32" s="73" t="n"/>
      <c r="D32" s="73" t="n"/>
      <c r="E32" s="96" t="n"/>
      <c r="F32" s="113" t="n"/>
      <c r="G32" s="113" t="n"/>
      <c r="H32" s="75" t="n"/>
      <c r="I32" s="73" t="n"/>
    </row>
    <row r="33" ht="20" customHeight="1" s="40">
      <c r="A33" s="96" t="n"/>
      <c r="B33" s="73" t="n"/>
      <c r="C33" s="73" t="n"/>
      <c r="D33" s="73" t="n"/>
      <c r="E33" s="96" t="n"/>
      <c r="F33" s="113" t="n"/>
      <c r="G33" s="113" t="n"/>
      <c r="H33" s="75" t="n"/>
      <c r="I33" s="73" t="n"/>
    </row>
    <row r="34" ht="20" customHeight="1" s="40">
      <c r="A34" s="96" t="n"/>
      <c r="B34" s="73" t="n"/>
      <c r="C34" s="73" t="n"/>
      <c r="D34" s="73" t="n"/>
      <c r="E34" s="96" t="n"/>
      <c r="F34" s="113" t="n"/>
      <c r="G34" s="113" t="n"/>
      <c r="H34" s="75" t="n"/>
      <c r="I34" s="73" t="n"/>
    </row>
    <row r="35" ht="20" customHeight="1" s="40">
      <c r="A35" s="96" t="n"/>
      <c r="B35" s="73" t="n"/>
      <c r="C35" s="73" t="n"/>
      <c r="D35" s="73" t="n"/>
      <c r="E35" s="96" t="n"/>
      <c r="F35" s="113" t="n"/>
      <c r="G35" s="113" t="n"/>
      <c r="H35" s="75" t="n"/>
      <c r="I35" s="73" t="n"/>
    </row>
    <row r="36" ht="20" customHeight="1" s="40">
      <c r="A36" s="96" t="n"/>
      <c r="B36" s="73" t="n"/>
      <c r="C36" s="73" t="n"/>
      <c r="D36" s="73" t="n"/>
      <c r="E36" s="96" t="n"/>
      <c r="F36" s="113" t="n"/>
      <c r="G36" s="113" t="n"/>
      <c r="H36" s="75" t="n"/>
      <c r="I36" s="73" t="n"/>
    </row>
    <row r="37" ht="20" customHeight="1" s="40">
      <c r="A37" s="96" t="n"/>
      <c r="B37" s="73" t="n"/>
      <c r="C37" s="73" t="n"/>
      <c r="D37" s="73" t="n"/>
      <c r="E37" s="96" t="n"/>
      <c r="F37" s="113" t="n"/>
      <c r="G37" s="113" t="n"/>
      <c r="H37" s="75" t="n"/>
      <c r="I37" s="73" t="n"/>
    </row>
    <row r="38" ht="20" customHeight="1" s="40"/>
    <row r="39" ht="20" customHeight="1" s="40"/>
    <row r="40" ht="20" customHeight="1" s="40">
      <c r="A40" s="94" t="inlineStr">
        <is>
          <t>Task Detail - Employee 2</t>
        </is>
      </c>
      <c r="B40" s="111" t="n"/>
      <c r="C40" s="111" t="n"/>
      <c r="D40" s="111" t="n"/>
      <c r="E40" s="111" t="n"/>
      <c r="F40" s="111" t="n"/>
      <c r="G40" s="111" t="n"/>
      <c r="H40" s="111" t="n"/>
      <c r="I40" s="112" t="n"/>
    </row>
    <row r="41" ht="20" customHeight="1" s="40">
      <c r="A41" s="106">
        <f>Employee_Master!B6</f>
        <v/>
      </c>
      <c r="B41" s="107" t="inlineStr">
        <is>
          <t>Tasks due in this month bucket (top 18 shown, sorted by due date).</t>
        </is>
      </c>
      <c r="C41" s="111" t="n"/>
      <c r="D41" s="111" t="n"/>
      <c r="E41" s="111" t="n"/>
      <c r="F41" s="111" t="n"/>
      <c r="G41" s="111" t="n"/>
      <c r="H41" s="111" t="n"/>
      <c r="I41" s="112" t="n"/>
    </row>
    <row r="42" ht="20" customHeight="1" s="40">
      <c r="A42" s="95" t="inlineStr">
        <is>
          <t>Task ID</t>
        </is>
      </c>
      <c r="B42" s="95" t="inlineStr">
        <is>
          <t>Project</t>
        </is>
      </c>
      <c r="C42" s="95" t="inlineStr">
        <is>
          <t>Task Title</t>
        </is>
      </c>
      <c r="D42" s="95" t="inlineStr">
        <is>
          <t>Status</t>
        </is>
      </c>
      <c r="E42" s="95" t="inlineStr">
        <is>
          <t>Priority</t>
        </is>
      </c>
      <c r="F42" s="95" t="inlineStr">
        <is>
          <t>Due Date</t>
        </is>
      </c>
      <c r="G42" s="95" t="inlineStr">
        <is>
          <t>Completed</t>
        </is>
      </c>
      <c r="H42" s="95" t="inlineStr">
        <is>
          <t>Act Hrs</t>
        </is>
      </c>
      <c r="I42" s="95" t="inlineStr">
        <is>
          <t>Next Step</t>
        </is>
      </c>
    </row>
    <row r="43" ht="20" customHeight="1" s="40">
      <c r="A43" s="96">
        <f>IFERROR(TAKE(SORT(FILTER(CHOOSECOLS(Task_Tracker!$A$5:$Z$1004,1,2,4,9,8,12,13,15,21),(Task_Tracker!$A$5:$A$1004&lt;&gt;"")*(Task_Tracker!$F$5:$F$1004=$A$41)*(Task_Tracker!$L$5:$L$1004&gt;=$B$4)*(Task_Tracker!$L$5:$L$1004&lt;EDATE($B$4,1))),6,1),18),"")</f>
        <v/>
      </c>
      <c r="B43" s="73" t="n"/>
      <c r="C43" s="73" t="n"/>
      <c r="D43" s="73" t="n"/>
      <c r="E43" s="96" t="n"/>
      <c r="F43" s="113" t="n"/>
      <c r="G43" s="113" t="n"/>
      <c r="H43" s="75" t="n"/>
      <c r="I43" s="73" t="n"/>
    </row>
    <row r="44" ht="20" customHeight="1" s="40">
      <c r="A44" s="96" t="n"/>
      <c r="B44" s="73" t="n"/>
      <c r="C44" s="73" t="n"/>
      <c r="D44" s="73" t="n"/>
      <c r="E44" s="96" t="n"/>
      <c r="F44" s="113" t="n"/>
      <c r="G44" s="113" t="n"/>
      <c r="H44" s="75" t="n"/>
      <c r="I44" s="73" t="n"/>
    </row>
    <row r="45" ht="20" customHeight="1" s="40">
      <c r="A45" s="96" t="n"/>
      <c r="B45" s="73" t="n"/>
      <c r="C45" s="73" t="n"/>
      <c r="D45" s="73" t="n"/>
      <c r="E45" s="96" t="n"/>
      <c r="F45" s="113" t="n"/>
      <c r="G45" s="113" t="n"/>
      <c r="H45" s="75" t="n"/>
      <c r="I45" s="73" t="n"/>
    </row>
    <row r="46" ht="20" customHeight="1" s="40">
      <c r="A46" s="96" t="n"/>
      <c r="B46" s="73" t="n"/>
      <c r="C46" s="73" t="n"/>
      <c r="D46" s="73" t="n"/>
      <c r="E46" s="96" t="n"/>
      <c r="F46" s="113" t="n"/>
      <c r="G46" s="113" t="n"/>
      <c r="H46" s="75" t="n"/>
      <c r="I46" s="73" t="n"/>
    </row>
    <row r="47" ht="20" customHeight="1" s="40">
      <c r="A47" s="96" t="n"/>
      <c r="B47" s="73" t="n"/>
      <c r="C47" s="73" t="n"/>
      <c r="D47" s="73" t="n"/>
      <c r="E47" s="96" t="n"/>
      <c r="F47" s="113" t="n"/>
      <c r="G47" s="113" t="n"/>
      <c r="H47" s="75" t="n"/>
      <c r="I47" s="73" t="n"/>
    </row>
    <row r="48" ht="20" customHeight="1" s="40">
      <c r="A48" s="96" t="n"/>
      <c r="B48" s="73" t="n"/>
      <c r="C48" s="73" t="n"/>
      <c r="D48" s="73" t="n"/>
      <c r="E48" s="96" t="n"/>
      <c r="F48" s="113" t="n"/>
      <c r="G48" s="113" t="n"/>
      <c r="H48" s="75" t="n"/>
      <c r="I48" s="73" t="n"/>
    </row>
    <row r="49" ht="20" customHeight="1" s="40">
      <c r="A49" s="96" t="n"/>
      <c r="B49" s="73" t="n"/>
      <c r="C49" s="73" t="n"/>
      <c r="D49" s="73" t="n"/>
      <c r="E49" s="96" t="n"/>
      <c r="F49" s="113" t="n"/>
      <c r="G49" s="113" t="n"/>
      <c r="H49" s="75" t="n"/>
      <c r="I49" s="73" t="n"/>
    </row>
    <row r="50" ht="20" customHeight="1" s="40">
      <c r="A50" s="96" t="n"/>
      <c r="B50" s="73" t="n"/>
      <c r="C50" s="73" t="n"/>
      <c r="D50" s="73" t="n"/>
      <c r="E50" s="96" t="n"/>
      <c r="F50" s="113" t="n"/>
      <c r="G50" s="113" t="n"/>
      <c r="H50" s="75" t="n"/>
      <c r="I50" s="73" t="n"/>
    </row>
    <row r="51" ht="20" customHeight="1" s="40">
      <c r="A51" s="96" t="n"/>
      <c r="B51" s="73" t="n"/>
      <c r="C51" s="73" t="n"/>
      <c r="D51" s="73" t="n"/>
      <c r="E51" s="96" t="n"/>
      <c r="F51" s="113" t="n"/>
      <c r="G51" s="113" t="n"/>
      <c r="H51" s="75" t="n"/>
      <c r="I51" s="73" t="n"/>
    </row>
    <row r="52" ht="20" customHeight="1" s="40">
      <c r="A52" s="96" t="n"/>
      <c r="B52" s="73" t="n"/>
      <c r="C52" s="73" t="n"/>
      <c r="D52" s="73" t="n"/>
      <c r="E52" s="96" t="n"/>
      <c r="F52" s="113" t="n"/>
      <c r="G52" s="113" t="n"/>
      <c r="H52" s="75" t="n"/>
      <c r="I52" s="73" t="n"/>
    </row>
    <row r="53" ht="20" customHeight="1" s="40">
      <c r="A53" s="96" t="n"/>
      <c r="B53" s="73" t="n"/>
      <c r="C53" s="73" t="n"/>
      <c r="D53" s="73" t="n"/>
      <c r="E53" s="96" t="n"/>
      <c r="F53" s="113" t="n"/>
      <c r="G53" s="113" t="n"/>
      <c r="H53" s="75" t="n"/>
      <c r="I53" s="73" t="n"/>
    </row>
    <row r="54" ht="20" customHeight="1" s="40">
      <c r="A54" s="96" t="n"/>
      <c r="B54" s="73" t="n"/>
      <c r="C54" s="73" t="n"/>
      <c r="D54" s="73" t="n"/>
      <c r="E54" s="96" t="n"/>
      <c r="F54" s="113" t="n"/>
      <c r="G54" s="113" t="n"/>
      <c r="H54" s="75" t="n"/>
      <c r="I54" s="73" t="n"/>
    </row>
    <row r="55" ht="20" customHeight="1" s="40">
      <c r="A55" s="96" t="n"/>
      <c r="B55" s="73" t="n"/>
      <c r="C55" s="73" t="n"/>
      <c r="D55" s="73" t="n"/>
      <c r="E55" s="96" t="n"/>
      <c r="F55" s="113" t="n"/>
      <c r="G55" s="113" t="n"/>
      <c r="H55" s="75" t="n"/>
      <c r="I55" s="73" t="n"/>
    </row>
    <row r="56" ht="20" customHeight="1" s="40">
      <c r="A56" s="96" t="n"/>
      <c r="B56" s="73" t="n"/>
      <c r="C56" s="73" t="n"/>
      <c r="D56" s="73" t="n"/>
      <c r="E56" s="96" t="n"/>
      <c r="F56" s="113" t="n"/>
      <c r="G56" s="113" t="n"/>
      <c r="H56" s="75" t="n"/>
      <c r="I56" s="73" t="n"/>
    </row>
    <row r="57" ht="20" customHeight="1" s="40">
      <c r="A57" s="96" t="n"/>
      <c r="B57" s="73" t="n"/>
      <c r="C57" s="73" t="n"/>
      <c r="D57" s="73" t="n"/>
      <c r="E57" s="96" t="n"/>
      <c r="F57" s="113" t="n"/>
      <c r="G57" s="113" t="n"/>
      <c r="H57" s="75" t="n"/>
      <c r="I57" s="73" t="n"/>
    </row>
    <row r="58" ht="20" customHeight="1" s="40">
      <c r="A58" s="96" t="n"/>
      <c r="B58" s="73" t="n"/>
      <c r="C58" s="73" t="n"/>
      <c r="D58" s="73" t="n"/>
      <c r="E58" s="96" t="n"/>
      <c r="F58" s="113" t="n"/>
      <c r="G58" s="113" t="n"/>
      <c r="H58" s="75" t="n"/>
      <c r="I58" s="73" t="n"/>
    </row>
    <row r="59" ht="20" customHeight="1" s="40">
      <c r="A59" s="96" t="n"/>
      <c r="B59" s="73" t="n"/>
      <c r="C59" s="73" t="n"/>
      <c r="D59" s="73" t="n"/>
      <c r="E59" s="96" t="n"/>
      <c r="F59" s="113" t="n"/>
      <c r="G59" s="113" t="n"/>
      <c r="H59" s="75" t="n"/>
      <c r="I59" s="73" t="n"/>
    </row>
    <row r="60" ht="20" customHeight="1" s="40">
      <c r="A60" s="96" t="n"/>
      <c r="B60" s="73" t="n"/>
      <c r="C60" s="73" t="n"/>
      <c r="D60" s="73" t="n"/>
      <c r="E60" s="96" t="n"/>
      <c r="F60" s="113" t="n"/>
      <c r="G60" s="113" t="n"/>
      <c r="H60" s="75" t="n"/>
      <c r="I60" s="73" t="n"/>
    </row>
    <row r="61" ht="20" customHeight="1" s="40">
      <c r="A61" s="96" t="n"/>
      <c r="B61" s="73" t="n"/>
      <c r="C61" s="73" t="n"/>
      <c r="D61" s="73" t="n"/>
      <c r="E61" s="96" t="n"/>
      <c r="F61" s="113" t="n"/>
      <c r="G61" s="113" t="n"/>
      <c r="H61" s="75" t="n"/>
      <c r="I61" s="73" t="n"/>
    </row>
    <row r="62" ht="20" customHeight="1" s="40"/>
    <row r="63" ht="20" customHeight="1" s="40"/>
    <row r="64" ht="20" customHeight="1" s="40">
      <c r="A64" s="94" t="inlineStr">
        <is>
          <t>Carry Forward Into This Month</t>
        </is>
      </c>
      <c r="B64" s="111" t="n"/>
      <c r="C64" s="111" t="n"/>
      <c r="D64" s="111" t="n"/>
      <c r="E64" s="111" t="n"/>
      <c r="F64" s="111" t="n"/>
      <c r="G64" s="111" t="n"/>
      <c r="H64" s="111" t="n"/>
      <c r="I64" s="112" t="n"/>
      <c r="J64" s="94" t="inlineStr">
        <is>
          <t>Logic</t>
        </is>
      </c>
      <c r="K64" s="111" t="n"/>
      <c r="L64" s="112" t="n"/>
    </row>
    <row r="65" ht="20" customHeight="1" s="40">
      <c r="A65" s="71" t="inlineStr">
        <is>
          <t>Task ID</t>
        </is>
      </c>
      <c r="B65" s="71" t="inlineStr">
        <is>
          <t>Assigned To</t>
        </is>
      </c>
      <c r="C65" s="71" t="inlineStr">
        <is>
          <t>Project</t>
        </is>
      </c>
      <c r="D65" s="71" t="inlineStr">
        <is>
          <t>Task Title</t>
        </is>
      </c>
      <c r="E65" s="71" t="inlineStr">
        <is>
          <t>Status</t>
        </is>
      </c>
      <c r="F65" s="71" t="inlineStr">
        <is>
          <t>Original Due Date</t>
        </is>
      </c>
      <c r="G65" s="71" t="inlineStr">
        <is>
          <t>Actual Hrs</t>
        </is>
      </c>
      <c r="H65" s="71" t="inlineStr">
        <is>
          <t>Next Step</t>
        </is>
      </c>
      <c r="I65" s="71" t="inlineStr">
        <is>
          <t>Notes</t>
        </is>
      </c>
      <c r="J65" s="97" t="inlineStr">
        <is>
          <t>These are older tasks with due dates before this month that are still open. They continue to show until their status changes to Completed or Cancelled.</t>
        </is>
      </c>
      <c r="K65" s="114" t="n"/>
      <c r="L65" s="115" t="n"/>
    </row>
    <row r="66" ht="20" customHeight="1" s="40">
      <c r="A66" s="96">
        <f>IFERROR(TAKE(SORT(FILTER(CHOOSECOLS(Task_Tracker!$A$5:$Z$1004,1,6,2,4,9,12,15,21,26),(Task_Tracker!$A$5:$A$1004&lt;&gt;"")*(Task_Tracker!$I$5:$I$1004&lt;&gt;"Completed")*(Task_Tracker!$I$5:$I$1004&lt;&gt;"Cancelled")*(Task_Tracker!$L$5:$L$1004&lt;$B$4)),6,1),18),"")</f>
        <v/>
      </c>
      <c r="B66" s="73" t="n"/>
      <c r="C66" s="73" t="n"/>
      <c r="D66" s="73" t="n"/>
      <c r="E66" s="96" t="n"/>
      <c r="F66" s="113" t="n"/>
      <c r="G66" s="75" t="n"/>
      <c r="H66" s="96" t="n"/>
      <c r="I66" s="73" t="n"/>
      <c r="J66" s="117" t="n"/>
      <c r="L66" s="118" t="n"/>
    </row>
    <row r="67" ht="20" customHeight="1" s="40">
      <c r="A67" s="96" t="n"/>
      <c r="B67" s="73" t="n"/>
      <c r="C67" s="73" t="n"/>
      <c r="D67" s="73" t="n"/>
      <c r="E67" s="96" t="n"/>
      <c r="F67" s="113" t="n"/>
      <c r="G67" s="75" t="n"/>
      <c r="H67" s="96" t="n"/>
      <c r="I67" s="73" t="n"/>
      <c r="J67" s="119" t="n"/>
      <c r="K67" s="120" t="n"/>
      <c r="L67" s="121" t="n"/>
    </row>
    <row r="68" ht="20" customHeight="1" s="40">
      <c r="A68" s="96" t="n"/>
      <c r="B68" s="73" t="n"/>
      <c r="C68" s="73" t="n"/>
      <c r="D68" s="73" t="n"/>
      <c r="E68" s="96" t="n"/>
      <c r="F68" s="113" t="n"/>
      <c r="G68" s="75" t="n"/>
      <c r="H68" s="96" t="n"/>
      <c r="I68" s="73" t="n"/>
    </row>
    <row r="69" ht="20" customHeight="1" s="40">
      <c r="A69" s="96" t="n"/>
      <c r="B69" s="73" t="n"/>
      <c r="C69" s="73" t="n"/>
      <c r="D69" s="73" t="n"/>
      <c r="E69" s="96" t="n"/>
      <c r="F69" s="113" t="n"/>
      <c r="G69" s="75" t="n"/>
      <c r="H69" s="96" t="n"/>
      <c r="I69" s="73" t="n"/>
    </row>
    <row r="70" ht="20" customHeight="1" s="40">
      <c r="A70" s="96" t="n"/>
      <c r="B70" s="73" t="n"/>
      <c r="C70" s="73" t="n"/>
      <c r="D70" s="73" t="n"/>
      <c r="E70" s="96" t="n"/>
      <c r="F70" s="113" t="n"/>
      <c r="G70" s="75" t="n"/>
      <c r="H70" s="96" t="n"/>
      <c r="I70" s="73" t="n"/>
    </row>
    <row r="71" ht="20" customHeight="1" s="40">
      <c r="A71" s="96" t="n"/>
      <c r="B71" s="73" t="n"/>
      <c r="C71" s="73" t="n"/>
      <c r="D71" s="73" t="n"/>
      <c r="E71" s="96" t="n"/>
      <c r="F71" s="113" t="n"/>
      <c r="G71" s="75" t="n"/>
      <c r="H71" s="96" t="n"/>
      <c r="I71" s="73" t="n"/>
    </row>
    <row r="72" ht="20" customHeight="1" s="40">
      <c r="A72" s="96" t="n"/>
      <c r="B72" s="73" t="n"/>
      <c r="C72" s="73" t="n"/>
      <c r="D72" s="73" t="n"/>
      <c r="E72" s="96" t="n"/>
      <c r="F72" s="113" t="n"/>
      <c r="G72" s="75" t="n"/>
      <c r="H72" s="96" t="n"/>
      <c r="I72" s="73" t="n"/>
    </row>
    <row r="73" ht="20" customHeight="1" s="40">
      <c r="A73" s="96" t="n"/>
      <c r="B73" s="73" t="n"/>
      <c r="C73" s="73" t="n"/>
      <c r="D73" s="73" t="n"/>
      <c r="E73" s="96" t="n"/>
      <c r="F73" s="113" t="n"/>
      <c r="G73" s="75" t="n"/>
      <c r="H73" s="96" t="n"/>
      <c r="I73" s="73" t="n"/>
    </row>
    <row r="74" ht="20" customHeight="1" s="40">
      <c r="A74" s="96" t="n"/>
      <c r="B74" s="73" t="n"/>
      <c r="C74" s="73" t="n"/>
      <c r="D74" s="73" t="n"/>
      <c r="E74" s="96" t="n"/>
      <c r="F74" s="113" t="n"/>
      <c r="G74" s="75" t="n"/>
      <c r="H74" s="96" t="n"/>
      <c r="I74" s="73" t="n"/>
    </row>
    <row r="75" ht="20" customHeight="1" s="40">
      <c r="A75" s="96" t="n"/>
      <c r="B75" s="73" t="n"/>
      <c r="C75" s="73" t="n"/>
      <c r="D75" s="73" t="n"/>
      <c r="E75" s="96" t="n"/>
      <c r="F75" s="113" t="n"/>
      <c r="G75" s="75" t="n"/>
      <c r="H75" s="96" t="n"/>
      <c r="I75" s="73" t="n"/>
    </row>
    <row r="76" ht="20" customHeight="1" s="40">
      <c r="A76" s="96" t="n"/>
      <c r="B76" s="73" t="n"/>
      <c r="C76" s="73" t="n"/>
      <c r="D76" s="73" t="n"/>
      <c r="E76" s="96" t="n"/>
      <c r="F76" s="113" t="n"/>
      <c r="G76" s="75" t="n"/>
      <c r="H76" s="96" t="n"/>
      <c r="I76" s="73" t="n"/>
    </row>
    <row r="77" ht="20" customHeight="1" s="40">
      <c r="A77" s="96" t="n"/>
      <c r="B77" s="73" t="n"/>
      <c r="C77" s="73" t="n"/>
      <c r="D77" s="73" t="n"/>
      <c r="E77" s="96" t="n"/>
      <c r="F77" s="113" t="n"/>
      <c r="G77" s="75" t="n"/>
      <c r="H77" s="96" t="n"/>
      <c r="I77" s="73" t="n"/>
    </row>
    <row r="78" ht="20" customHeight="1" s="40">
      <c r="A78" s="96" t="n"/>
      <c r="B78" s="73" t="n"/>
      <c r="C78" s="73" t="n"/>
      <c r="D78" s="73" t="n"/>
      <c r="E78" s="96" t="n"/>
      <c r="F78" s="113" t="n"/>
      <c r="G78" s="75" t="n"/>
      <c r="H78" s="96" t="n"/>
      <c r="I78" s="73" t="n"/>
    </row>
    <row r="79" ht="20" customHeight="1" s="40">
      <c r="A79" s="96" t="n"/>
      <c r="B79" s="73" t="n"/>
      <c r="C79" s="73" t="n"/>
      <c r="D79" s="73" t="n"/>
      <c r="E79" s="96" t="n"/>
      <c r="F79" s="113" t="n"/>
      <c r="G79" s="75" t="n"/>
      <c r="H79" s="96" t="n"/>
      <c r="I79" s="73" t="n"/>
    </row>
    <row r="80" ht="20" customHeight="1" s="40">
      <c r="A80" s="96" t="n"/>
      <c r="B80" s="73" t="n"/>
      <c r="C80" s="73" t="n"/>
      <c r="D80" s="73" t="n"/>
      <c r="E80" s="96" t="n"/>
      <c r="F80" s="113" t="n"/>
      <c r="G80" s="75" t="n"/>
      <c r="H80" s="96" t="n"/>
      <c r="I80" s="73" t="n"/>
    </row>
    <row r="81" ht="20" customHeight="1" s="40">
      <c r="A81" s="96" t="n"/>
      <c r="B81" s="73" t="n"/>
      <c r="C81" s="73" t="n"/>
      <c r="D81" s="73" t="n"/>
      <c r="E81" s="96" t="n"/>
      <c r="F81" s="113" t="n"/>
      <c r="G81" s="75" t="n"/>
      <c r="H81" s="96" t="n"/>
      <c r="I81" s="73" t="n"/>
    </row>
    <row r="82" ht="20" customHeight="1" s="40">
      <c r="A82" s="96" t="n"/>
      <c r="B82" s="73" t="n"/>
      <c r="C82" s="73" t="n"/>
      <c r="D82" s="73" t="n"/>
      <c r="E82" s="96" t="n"/>
      <c r="F82" s="113" t="n"/>
      <c r="G82" s="75" t="n"/>
      <c r="H82" s="96" t="n"/>
      <c r="I82" s="73" t="n"/>
    </row>
    <row r="83" ht="20" customHeight="1" s="40">
      <c r="A83" s="96" t="n"/>
      <c r="B83" s="73" t="n"/>
      <c r="C83" s="73" t="n"/>
      <c r="D83" s="73" t="n"/>
      <c r="E83" s="96" t="n"/>
      <c r="F83" s="113" t="n"/>
      <c r="G83" s="75" t="n"/>
      <c r="H83" s="96" t="n"/>
      <c r="I83" s="73" t="n"/>
    </row>
    <row r="84" ht="20" customHeight="1" s="40"/>
    <row r="85" ht="20" customHeight="1" s="40"/>
    <row r="86" ht="20" customHeight="1" s="40">
      <c r="A86" s="108" t="inlineStr">
        <is>
          <t>Tip: for unlimited detail beyond the visible rows here, filter Task_Tracker by Due Date month or Assigned To.</t>
        </is>
      </c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2" t="n"/>
    </row>
    <row r="87" ht="20" customHeight="1" s="40"/>
    <row r="88" ht="20" customHeight="1" s="40"/>
    <row r="89" ht="20" customHeight="1" s="40"/>
  </sheetData>
  <mergeCells count="22">
    <mergeCell ref="J6:L6"/>
    <mergeCell ref="G6:I6"/>
    <mergeCell ref="D7:F7"/>
    <mergeCell ref="H4:L4"/>
    <mergeCell ref="J7:L7"/>
    <mergeCell ref="A2:L2"/>
    <mergeCell ref="J11:L13"/>
    <mergeCell ref="A86:L86"/>
    <mergeCell ref="B17:I17"/>
    <mergeCell ref="A10:I10"/>
    <mergeCell ref="A40:I40"/>
    <mergeCell ref="A7:C7"/>
    <mergeCell ref="J64:L64"/>
    <mergeCell ref="A64:I64"/>
    <mergeCell ref="J10:L10"/>
    <mergeCell ref="A1:L1"/>
    <mergeCell ref="A6:C6"/>
    <mergeCell ref="G7:I7"/>
    <mergeCell ref="B41:I41"/>
    <mergeCell ref="D6:F6"/>
    <mergeCell ref="J65:L67"/>
    <mergeCell ref="A16:I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H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40">
      <c r="A1" s="39" t="inlineStr">
        <is>
          <t>Status</t>
        </is>
      </c>
      <c r="B1" s="39" t="inlineStr">
        <is>
          <t>Priority</t>
        </is>
      </c>
      <c r="C1" s="39" t="inlineStr">
        <is>
          <t>Employee Names</t>
        </is>
      </c>
      <c r="D1" s="39" t="inlineStr">
        <is>
          <t>Task IDs</t>
        </is>
      </c>
      <c r="E1" s="39" t="inlineStr">
        <is>
          <t>Report Months</t>
        </is>
      </c>
      <c r="F1" s="39" t="inlineStr">
        <is>
          <t>Employee Status</t>
        </is>
      </c>
      <c r="G1" s="39" t="inlineStr">
        <is>
          <t>YesNo</t>
        </is>
      </c>
      <c r="H1" s="39" t="inlineStr">
        <is>
          <t>Month Codes</t>
        </is>
      </c>
    </row>
    <row r="2" ht="15" customHeight="1" s="40">
      <c r="A2" s="39" t="inlineStr">
        <is>
          <t>Not Started</t>
        </is>
      </c>
      <c r="B2" s="39" t="inlineStr">
        <is>
          <t>Low</t>
        </is>
      </c>
      <c r="C2" s="39" t="n"/>
      <c r="D2" s="39" t="n"/>
      <c r="E2" s="39" t="inlineStr">
        <is>
          <t>All</t>
        </is>
      </c>
      <c r="F2" s="39" t="inlineStr">
        <is>
          <t>Active</t>
        </is>
      </c>
      <c r="G2" s="39" t="inlineStr">
        <is>
          <t>Yes</t>
        </is>
      </c>
      <c r="H2" s="39" t="inlineStr">
        <is>
          <t>2026-04</t>
        </is>
      </c>
    </row>
    <row r="3" ht="15" customHeight="1" s="40">
      <c r="A3" s="39" t="inlineStr">
        <is>
          <t>In Progress</t>
        </is>
      </c>
      <c r="B3" s="39" t="inlineStr">
        <is>
          <t>Medium</t>
        </is>
      </c>
      <c r="C3" s="39" t="n"/>
      <c r="D3" s="39" t="n"/>
      <c r="E3" s="39" t="inlineStr">
        <is>
          <t>2026-04</t>
        </is>
      </c>
      <c r="F3" s="39" t="inlineStr">
        <is>
          <t>Inactive</t>
        </is>
      </c>
      <c r="G3" s="39" t="inlineStr">
        <is>
          <t>No</t>
        </is>
      </c>
      <c r="H3" s="39" t="inlineStr">
        <is>
          <t>2026-05</t>
        </is>
      </c>
    </row>
    <row r="4" ht="15" customHeight="1" s="40">
      <c r="A4" s="39" t="inlineStr">
        <is>
          <t>Review</t>
        </is>
      </c>
      <c r="B4" s="39" t="inlineStr">
        <is>
          <t>High</t>
        </is>
      </c>
      <c r="C4" s="39" t="n"/>
      <c r="D4" s="39" t="n"/>
      <c r="E4" s="39" t="inlineStr">
        <is>
          <t>2026-05</t>
        </is>
      </c>
      <c r="H4" s="39" t="inlineStr">
        <is>
          <t>2026-06</t>
        </is>
      </c>
    </row>
    <row r="5" ht="15" customHeight="1" s="40">
      <c r="A5" s="39" t="inlineStr">
        <is>
          <t>On Hold</t>
        </is>
      </c>
      <c r="B5" s="39" t="inlineStr">
        <is>
          <t>Critical</t>
        </is>
      </c>
      <c r="C5" s="39">
        <f>Employee_Master!$B5</f>
        <v/>
      </c>
      <c r="D5" s="39">
        <f>Task_Tracker!$A5</f>
        <v/>
      </c>
      <c r="E5" s="39" t="inlineStr">
        <is>
          <t>2026-06</t>
        </is>
      </c>
      <c r="H5" s="39" t="inlineStr">
        <is>
          <t>2026-07</t>
        </is>
      </c>
    </row>
    <row r="6" ht="15" customHeight="1" s="40">
      <c r="A6" s="39" t="inlineStr">
        <is>
          <t>Blocked</t>
        </is>
      </c>
      <c r="C6" s="39">
        <f>Employee_Master!$B6</f>
        <v/>
      </c>
      <c r="D6" s="39">
        <f>Task_Tracker!$A6</f>
        <v/>
      </c>
      <c r="E6" s="39" t="inlineStr">
        <is>
          <t>2026-07</t>
        </is>
      </c>
      <c r="H6" s="39" t="inlineStr">
        <is>
          <t>2026-08</t>
        </is>
      </c>
    </row>
    <row r="7" ht="15" customHeight="1" s="40">
      <c r="A7" s="39" t="inlineStr">
        <is>
          <t>Completed</t>
        </is>
      </c>
      <c r="C7" s="39">
        <f>Employee_Master!$B7</f>
        <v/>
      </c>
      <c r="D7" s="39">
        <f>Task_Tracker!$A7</f>
        <v/>
      </c>
      <c r="E7" s="39" t="inlineStr">
        <is>
          <t>2026-08</t>
        </is>
      </c>
      <c r="H7" s="39" t="inlineStr">
        <is>
          <t>2026-09</t>
        </is>
      </c>
    </row>
    <row r="8" ht="15" customHeight="1" s="40">
      <c r="A8" s="39" t="inlineStr">
        <is>
          <t>Cancelled</t>
        </is>
      </c>
      <c r="C8" s="39">
        <f>Employee_Master!$B8</f>
        <v/>
      </c>
      <c r="D8" s="39">
        <f>Task_Tracker!$A8</f>
        <v/>
      </c>
      <c r="E8" s="39" t="inlineStr">
        <is>
          <t>2026-09</t>
        </is>
      </c>
      <c r="H8" s="39" t="inlineStr">
        <is>
          <t>2026-10</t>
        </is>
      </c>
    </row>
    <row r="9" ht="15" customHeight="1" s="40">
      <c r="C9" s="39">
        <f>Employee_Master!$B9</f>
        <v/>
      </c>
      <c r="D9" s="39">
        <f>Task_Tracker!$A9</f>
        <v/>
      </c>
      <c r="E9" s="39" t="inlineStr">
        <is>
          <t>2026-10</t>
        </is>
      </c>
      <c r="H9" s="39" t="inlineStr">
        <is>
          <t>2026-11</t>
        </is>
      </c>
    </row>
    <row r="10" ht="15" customHeight="1" s="40">
      <c r="C10" s="39">
        <f>Employee_Master!$B10</f>
        <v/>
      </c>
      <c r="D10" s="39">
        <f>Task_Tracker!$A10</f>
        <v/>
      </c>
      <c r="E10" s="39" t="inlineStr">
        <is>
          <t>2026-11</t>
        </is>
      </c>
      <c r="H10" s="39" t="inlineStr">
        <is>
          <t>2026-12</t>
        </is>
      </c>
    </row>
    <row r="11" ht="15" customHeight="1" s="40">
      <c r="C11" s="39">
        <f>Employee_Master!$B11</f>
        <v/>
      </c>
      <c r="D11" s="39">
        <f>Task_Tracker!$A11</f>
        <v/>
      </c>
      <c r="E11" s="39" t="inlineStr">
        <is>
          <t>2026-12</t>
        </is>
      </c>
      <c r="H11" s="39" t="inlineStr">
        <is>
          <t>2027-01</t>
        </is>
      </c>
    </row>
    <row r="12" ht="15" customHeight="1" s="40">
      <c r="C12" s="39">
        <f>Employee_Master!$B12</f>
        <v/>
      </c>
      <c r="D12" s="39">
        <f>Task_Tracker!$A12</f>
        <v/>
      </c>
      <c r="E12" s="39" t="inlineStr">
        <is>
          <t>2027-01</t>
        </is>
      </c>
      <c r="H12" s="39" t="inlineStr">
        <is>
          <t>2027-02</t>
        </is>
      </c>
    </row>
    <row r="13" ht="15" customHeight="1" s="40">
      <c r="C13" s="39">
        <f>Employee_Master!$B13</f>
        <v/>
      </c>
      <c r="D13" s="39">
        <f>Task_Tracker!$A13</f>
        <v/>
      </c>
      <c r="E13" s="39" t="inlineStr">
        <is>
          <t>2027-02</t>
        </is>
      </c>
      <c r="H13" s="39" t="inlineStr">
        <is>
          <t>2027-03</t>
        </is>
      </c>
    </row>
    <row r="14" ht="15" customHeight="1" s="40">
      <c r="C14" s="39">
        <f>Employee_Master!$B14</f>
        <v/>
      </c>
      <c r="D14" s="39">
        <f>Task_Tracker!$A14</f>
        <v/>
      </c>
      <c r="E14" s="39" t="inlineStr">
        <is>
          <t>2027-03</t>
        </is>
      </c>
    </row>
    <row r="15" ht="15" customHeight="1" s="40">
      <c r="C15" s="39">
        <f>Employee_Master!$B15</f>
        <v/>
      </c>
      <c r="D15" s="39">
        <f>Task_Tracker!$A15</f>
        <v/>
      </c>
    </row>
    <row r="16" ht="15" customHeight="1" s="40">
      <c r="C16" s="39">
        <f>Employee_Master!$B16</f>
        <v/>
      </c>
      <c r="D16" s="39">
        <f>Task_Tracker!$A16</f>
        <v/>
      </c>
    </row>
    <row r="17" ht="15" customHeight="1" s="40">
      <c r="C17" s="39">
        <f>Employee_Master!$B17</f>
        <v/>
      </c>
      <c r="D17" s="39">
        <f>Task_Tracker!$A17</f>
        <v/>
      </c>
    </row>
    <row r="18" ht="15" customHeight="1" s="40">
      <c r="C18" s="39">
        <f>Employee_Master!$B18</f>
        <v/>
      </c>
      <c r="D18" s="39">
        <f>Task_Tracker!$A18</f>
        <v/>
      </c>
    </row>
    <row r="19" ht="15" customHeight="1" s="40">
      <c r="C19" s="39">
        <f>Employee_Master!$B19</f>
        <v/>
      </c>
      <c r="D19" s="39">
        <f>Task_Tracker!$A19</f>
        <v/>
      </c>
    </row>
    <row r="20" ht="15" customHeight="1" s="40">
      <c r="C20" s="39">
        <f>Employee_Master!$B20</f>
        <v/>
      </c>
      <c r="D20" s="39">
        <f>Task_Tracker!$A20</f>
        <v/>
      </c>
    </row>
    <row r="21" ht="15" customHeight="1" s="40">
      <c r="C21" s="39">
        <f>Employee_Master!$B21</f>
        <v/>
      </c>
      <c r="D21" s="39">
        <f>Task_Tracker!$A21</f>
        <v/>
      </c>
    </row>
    <row r="22" ht="15" customHeight="1" s="40">
      <c r="C22" s="39">
        <f>Employee_Master!$B22</f>
        <v/>
      </c>
      <c r="D22" s="39">
        <f>Task_Tracker!$A22</f>
        <v/>
      </c>
    </row>
    <row r="23" ht="15" customHeight="1" s="40">
      <c r="C23" s="39">
        <f>Employee_Master!$B23</f>
        <v/>
      </c>
      <c r="D23" s="39">
        <f>Task_Tracker!$A23</f>
        <v/>
      </c>
    </row>
    <row r="24" ht="15" customHeight="1" s="40">
      <c r="C24" s="39">
        <f>Employee_Master!$B24</f>
        <v/>
      </c>
      <c r="D24" s="39">
        <f>Task_Tracker!$A24</f>
        <v/>
      </c>
    </row>
    <row r="25" ht="15" customHeight="1" s="40">
      <c r="C25" s="39">
        <f>Employee_Master!$B25</f>
        <v/>
      </c>
      <c r="D25" s="39">
        <f>Task_Tracker!$A25</f>
        <v/>
      </c>
    </row>
    <row r="26" ht="15" customHeight="1" s="40">
      <c r="C26" s="39">
        <f>Employee_Master!$B26</f>
        <v/>
      </c>
      <c r="D26" s="39">
        <f>Task_Tracker!$A26</f>
        <v/>
      </c>
    </row>
    <row r="27" ht="15" customHeight="1" s="40">
      <c r="C27" s="39">
        <f>Employee_Master!$B27</f>
        <v/>
      </c>
      <c r="D27" s="39">
        <f>Task_Tracker!$A27</f>
        <v/>
      </c>
    </row>
    <row r="28" ht="15" customHeight="1" s="40">
      <c r="C28" s="39">
        <f>Employee_Master!$B28</f>
        <v/>
      </c>
      <c r="D28" s="39">
        <f>Task_Tracker!$A28</f>
        <v/>
      </c>
    </row>
    <row r="29" ht="15" customHeight="1" s="40">
      <c r="C29" s="39">
        <f>Employee_Master!$B29</f>
        <v/>
      </c>
      <c r="D29" s="39">
        <f>Task_Tracker!$A29</f>
        <v/>
      </c>
    </row>
    <row r="30" ht="15" customHeight="1" s="40">
      <c r="C30" s="39">
        <f>Employee_Master!$B30</f>
        <v/>
      </c>
      <c r="D30" s="39">
        <f>Task_Tracker!$A30</f>
        <v/>
      </c>
    </row>
    <row r="31" ht="15" customHeight="1" s="40">
      <c r="C31" s="39">
        <f>Employee_Master!$B31</f>
        <v/>
      </c>
      <c r="D31" s="39">
        <f>Task_Tracker!$A31</f>
        <v/>
      </c>
    </row>
    <row r="32" ht="15" customHeight="1" s="40">
      <c r="C32" s="39">
        <f>Employee_Master!$B32</f>
        <v/>
      </c>
      <c r="D32" s="39">
        <f>Task_Tracker!$A32</f>
        <v/>
      </c>
    </row>
    <row r="33" ht="15" customHeight="1" s="40">
      <c r="C33" s="39">
        <f>Employee_Master!$B33</f>
        <v/>
      </c>
      <c r="D33" s="39">
        <f>Task_Tracker!$A33</f>
        <v/>
      </c>
    </row>
    <row r="34" ht="15" customHeight="1" s="40">
      <c r="C34" s="39">
        <f>Employee_Master!$B34</f>
        <v/>
      </c>
      <c r="D34" s="39">
        <f>Task_Tracker!$A34</f>
        <v/>
      </c>
    </row>
    <row r="35" ht="15" customHeight="1" s="40">
      <c r="C35" s="39">
        <f>Employee_Master!$B35</f>
        <v/>
      </c>
      <c r="D35" s="39">
        <f>Task_Tracker!$A35</f>
        <v/>
      </c>
    </row>
    <row r="36" ht="15" customHeight="1" s="40">
      <c r="C36" s="39">
        <f>Employee_Master!$B36</f>
        <v/>
      </c>
      <c r="D36" s="39">
        <f>Task_Tracker!$A36</f>
        <v/>
      </c>
    </row>
    <row r="37" ht="15" customHeight="1" s="40">
      <c r="C37" s="39">
        <f>Employee_Master!$B37</f>
        <v/>
      </c>
      <c r="D37" s="39">
        <f>Task_Tracker!$A37</f>
        <v/>
      </c>
    </row>
    <row r="38" ht="15" customHeight="1" s="40">
      <c r="C38" s="39">
        <f>Employee_Master!$B38</f>
        <v/>
      </c>
      <c r="D38" s="39">
        <f>Task_Tracker!$A38</f>
        <v/>
      </c>
    </row>
    <row r="39" ht="15" customHeight="1" s="40">
      <c r="C39" s="39">
        <f>Employee_Master!$B39</f>
        <v/>
      </c>
      <c r="D39" s="39">
        <f>Task_Tracker!$A39</f>
        <v/>
      </c>
    </row>
    <row r="40" ht="15" customHeight="1" s="40">
      <c r="C40" s="39">
        <f>Employee_Master!$B40</f>
        <v/>
      </c>
      <c r="D40" s="39">
        <f>Task_Tracker!$A40</f>
        <v/>
      </c>
    </row>
    <row r="41" ht="15" customHeight="1" s="40">
      <c r="C41" s="39">
        <f>Employee_Master!$B41</f>
        <v/>
      </c>
      <c r="D41" s="39">
        <f>Task_Tracker!$A41</f>
        <v/>
      </c>
    </row>
    <row r="42" ht="15" customHeight="1" s="40">
      <c r="C42" s="39">
        <f>Employee_Master!$B42</f>
        <v/>
      </c>
      <c r="D42" s="39">
        <f>Task_Tracker!$A42</f>
        <v/>
      </c>
    </row>
    <row r="43" ht="15" customHeight="1" s="40">
      <c r="C43" s="39">
        <f>Employee_Master!$B43</f>
        <v/>
      </c>
      <c r="D43" s="39">
        <f>Task_Tracker!$A43</f>
        <v/>
      </c>
    </row>
    <row r="44" ht="15" customHeight="1" s="40">
      <c r="C44" s="39">
        <f>Employee_Master!$B44</f>
        <v/>
      </c>
      <c r="D44" s="39">
        <f>Task_Tracker!$A44</f>
        <v/>
      </c>
    </row>
    <row r="45" ht="15" customHeight="1" s="40">
      <c r="C45" s="39">
        <f>Employee_Master!$B45</f>
        <v/>
      </c>
      <c r="D45" s="39">
        <f>Task_Tracker!$A45</f>
        <v/>
      </c>
    </row>
    <row r="46" ht="15" customHeight="1" s="40">
      <c r="C46" s="39">
        <f>Employee_Master!$B46</f>
        <v/>
      </c>
      <c r="D46" s="39">
        <f>Task_Tracker!$A46</f>
        <v/>
      </c>
    </row>
    <row r="47" ht="15" customHeight="1" s="40">
      <c r="C47" s="39">
        <f>Employee_Master!$B47</f>
        <v/>
      </c>
      <c r="D47" s="39">
        <f>Task_Tracker!$A47</f>
        <v/>
      </c>
    </row>
    <row r="48" ht="15" customHeight="1" s="40">
      <c r="C48" s="39">
        <f>Employee_Master!$B48</f>
        <v/>
      </c>
      <c r="D48" s="39">
        <f>Task_Tracker!$A48</f>
        <v/>
      </c>
    </row>
    <row r="49" ht="15" customHeight="1" s="40">
      <c r="C49" s="39">
        <f>Employee_Master!$B49</f>
        <v/>
      </c>
      <c r="D49" s="39">
        <f>Task_Tracker!$A49</f>
        <v/>
      </c>
    </row>
    <row r="50" ht="15" customHeight="1" s="40">
      <c r="C50" s="39">
        <f>Employee_Master!$B50</f>
        <v/>
      </c>
      <c r="D50" s="39">
        <f>Task_Tracker!$A50</f>
        <v/>
      </c>
    </row>
    <row r="51" ht="15" customHeight="1" s="40">
      <c r="C51" s="39">
        <f>Employee_Master!$B51</f>
        <v/>
      </c>
      <c r="D51" s="39">
        <f>Task_Tracker!$A51</f>
        <v/>
      </c>
    </row>
    <row r="52" ht="15" customHeight="1" s="40">
      <c r="C52" s="39">
        <f>Employee_Master!$B52</f>
        <v/>
      </c>
      <c r="D52" s="39">
        <f>Task_Tracker!$A52</f>
        <v/>
      </c>
    </row>
    <row r="53" ht="15" customHeight="1" s="40">
      <c r="C53" s="39">
        <f>Employee_Master!$B53</f>
        <v/>
      </c>
      <c r="D53" s="39">
        <f>Task_Tracker!$A53</f>
        <v/>
      </c>
    </row>
    <row r="54" ht="15" customHeight="1" s="40">
      <c r="C54" s="39">
        <f>Employee_Master!$B54</f>
        <v/>
      </c>
      <c r="D54" s="39">
        <f>Task_Tracker!$A54</f>
        <v/>
      </c>
    </row>
    <row r="55" ht="15" customHeight="1" s="40">
      <c r="C55" s="39">
        <f>Employee_Master!$B55</f>
        <v/>
      </c>
      <c r="D55" s="39">
        <f>Task_Tracker!$A55</f>
        <v/>
      </c>
    </row>
    <row r="56" ht="15" customHeight="1" s="40">
      <c r="C56" s="39">
        <f>Employee_Master!$B56</f>
        <v/>
      </c>
      <c r="D56" s="39">
        <f>Task_Tracker!$A56</f>
        <v/>
      </c>
    </row>
    <row r="57" ht="15" customHeight="1" s="40">
      <c r="C57" s="39">
        <f>Employee_Master!$B57</f>
        <v/>
      </c>
      <c r="D57" s="39">
        <f>Task_Tracker!$A57</f>
        <v/>
      </c>
    </row>
    <row r="58" ht="15" customHeight="1" s="40">
      <c r="C58" s="39">
        <f>Employee_Master!$B58</f>
        <v/>
      </c>
      <c r="D58" s="39">
        <f>Task_Tracker!$A58</f>
        <v/>
      </c>
    </row>
    <row r="59" ht="15" customHeight="1" s="40">
      <c r="C59" s="39">
        <f>Employee_Master!$B59</f>
        <v/>
      </c>
      <c r="D59" s="39">
        <f>Task_Tracker!$A59</f>
        <v/>
      </c>
    </row>
    <row r="60" ht="15" customHeight="1" s="40">
      <c r="C60" s="39">
        <f>Employee_Master!$B60</f>
        <v/>
      </c>
      <c r="D60" s="39">
        <f>Task_Tracker!$A60</f>
        <v/>
      </c>
    </row>
    <row r="61" ht="15" customHeight="1" s="40">
      <c r="C61" s="39">
        <f>Employee_Master!$B61</f>
        <v/>
      </c>
      <c r="D61" s="39">
        <f>Task_Tracker!$A61</f>
        <v/>
      </c>
    </row>
    <row r="62" ht="15" customHeight="1" s="40">
      <c r="C62" s="39">
        <f>Employee_Master!$B62</f>
        <v/>
      </c>
      <c r="D62" s="39">
        <f>Task_Tracker!$A62</f>
        <v/>
      </c>
    </row>
    <row r="63" ht="15" customHeight="1" s="40">
      <c r="C63" s="39">
        <f>Employee_Master!$B63</f>
        <v/>
      </c>
      <c r="D63" s="39">
        <f>Task_Tracker!$A63</f>
        <v/>
      </c>
    </row>
    <row r="64" ht="15" customHeight="1" s="40">
      <c r="C64" s="39">
        <f>Employee_Master!$B64</f>
        <v/>
      </c>
      <c r="D64" s="39">
        <f>Task_Tracker!$A64</f>
        <v/>
      </c>
    </row>
    <row r="65" ht="15" customHeight="1" s="40">
      <c r="C65" s="39">
        <f>Employee_Master!$B65</f>
        <v/>
      </c>
      <c r="D65" s="39">
        <f>Task_Tracker!$A65</f>
        <v/>
      </c>
    </row>
    <row r="66" ht="15" customHeight="1" s="40">
      <c r="C66" s="39">
        <f>Employee_Master!$B66</f>
        <v/>
      </c>
      <c r="D66" s="39">
        <f>Task_Tracker!$A66</f>
        <v/>
      </c>
    </row>
    <row r="67" ht="15" customHeight="1" s="40">
      <c r="C67" s="39">
        <f>Employee_Master!$B67</f>
        <v/>
      </c>
      <c r="D67" s="39">
        <f>Task_Tracker!$A67</f>
        <v/>
      </c>
    </row>
    <row r="68" ht="15" customHeight="1" s="40">
      <c r="C68" s="39">
        <f>Employee_Master!$B68</f>
        <v/>
      </c>
      <c r="D68" s="39">
        <f>Task_Tracker!$A68</f>
        <v/>
      </c>
    </row>
    <row r="69" ht="15" customHeight="1" s="40">
      <c r="C69" s="39">
        <f>Employee_Master!$B69</f>
        <v/>
      </c>
      <c r="D69" s="39">
        <f>Task_Tracker!$A69</f>
        <v/>
      </c>
    </row>
    <row r="70" ht="15" customHeight="1" s="40">
      <c r="C70" s="39">
        <f>Employee_Master!$B70</f>
        <v/>
      </c>
      <c r="D70" s="39">
        <f>Task_Tracker!$A70</f>
        <v/>
      </c>
    </row>
    <row r="71" ht="15" customHeight="1" s="40">
      <c r="C71" s="39">
        <f>Employee_Master!$B71</f>
        <v/>
      </c>
      <c r="D71" s="39">
        <f>Task_Tracker!$A71</f>
        <v/>
      </c>
    </row>
    <row r="72" ht="15" customHeight="1" s="40">
      <c r="C72" s="39">
        <f>Employee_Master!$B72</f>
        <v/>
      </c>
      <c r="D72" s="39">
        <f>Task_Tracker!$A72</f>
        <v/>
      </c>
    </row>
    <row r="73" ht="15" customHeight="1" s="40">
      <c r="C73" s="39">
        <f>Employee_Master!$B73</f>
        <v/>
      </c>
      <c r="D73" s="39">
        <f>Task_Tracker!$A73</f>
        <v/>
      </c>
    </row>
    <row r="74" ht="15" customHeight="1" s="40">
      <c r="C74" s="39">
        <f>Employee_Master!$B74</f>
        <v/>
      </c>
      <c r="D74" s="39">
        <f>Task_Tracker!$A74</f>
        <v/>
      </c>
    </row>
    <row r="75" ht="15" customHeight="1" s="40">
      <c r="C75" s="39">
        <f>Employee_Master!$B75</f>
        <v/>
      </c>
      <c r="D75" s="39">
        <f>Task_Tracker!$A75</f>
        <v/>
      </c>
    </row>
    <row r="76" ht="15" customHeight="1" s="40">
      <c r="C76" s="39">
        <f>Employee_Master!$B76</f>
        <v/>
      </c>
      <c r="D76" s="39">
        <f>Task_Tracker!$A76</f>
        <v/>
      </c>
    </row>
    <row r="77" ht="15" customHeight="1" s="40">
      <c r="C77" s="39">
        <f>Employee_Master!$B77</f>
        <v/>
      </c>
      <c r="D77" s="39">
        <f>Task_Tracker!$A77</f>
        <v/>
      </c>
    </row>
    <row r="78" ht="15" customHeight="1" s="40">
      <c r="C78" s="39">
        <f>Employee_Master!$B78</f>
        <v/>
      </c>
      <c r="D78" s="39">
        <f>Task_Tracker!$A78</f>
        <v/>
      </c>
    </row>
    <row r="79" ht="15" customHeight="1" s="40">
      <c r="C79" s="39">
        <f>Employee_Master!$B79</f>
        <v/>
      </c>
      <c r="D79" s="39">
        <f>Task_Tracker!$A79</f>
        <v/>
      </c>
    </row>
    <row r="80" ht="15" customHeight="1" s="40">
      <c r="C80" s="39">
        <f>Employee_Master!$B80</f>
        <v/>
      </c>
      <c r="D80" s="39">
        <f>Task_Tracker!$A80</f>
        <v/>
      </c>
    </row>
    <row r="81" ht="15" customHeight="1" s="40">
      <c r="C81" s="39">
        <f>Employee_Master!$B81</f>
        <v/>
      </c>
      <c r="D81" s="39">
        <f>Task_Tracker!$A81</f>
        <v/>
      </c>
    </row>
    <row r="82" ht="15" customHeight="1" s="40">
      <c r="C82" s="39">
        <f>Employee_Master!$B82</f>
        <v/>
      </c>
      <c r="D82" s="39">
        <f>Task_Tracker!$A82</f>
        <v/>
      </c>
    </row>
    <row r="83" ht="15" customHeight="1" s="40">
      <c r="C83" s="39">
        <f>Employee_Master!$B83</f>
        <v/>
      </c>
      <c r="D83" s="39">
        <f>Task_Tracker!$A83</f>
        <v/>
      </c>
    </row>
    <row r="84" ht="15" customHeight="1" s="40">
      <c r="C84" s="39">
        <f>Employee_Master!$B84</f>
        <v/>
      </c>
      <c r="D84" s="39">
        <f>Task_Tracker!$A84</f>
        <v/>
      </c>
    </row>
    <row r="85" ht="15" customHeight="1" s="40">
      <c r="C85" s="39">
        <f>Employee_Master!$B85</f>
        <v/>
      </c>
      <c r="D85" s="39">
        <f>Task_Tracker!$A85</f>
        <v/>
      </c>
    </row>
    <row r="86" ht="15" customHeight="1" s="40">
      <c r="C86" s="39">
        <f>Employee_Master!$B86</f>
        <v/>
      </c>
      <c r="D86" s="39">
        <f>Task_Tracker!$A86</f>
        <v/>
      </c>
    </row>
    <row r="87" ht="15" customHeight="1" s="40">
      <c r="C87" s="39">
        <f>Employee_Master!$B87</f>
        <v/>
      </c>
      <c r="D87" s="39">
        <f>Task_Tracker!$A87</f>
        <v/>
      </c>
    </row>
    <row r="88" ht="15" customHeight="1" s="40">
      <c r="C88" s="39">
        <f>Employee_Master!$B88</f>
        <v/>
      </c>
      <c r="D88" s="39">
        <f>Task_Tracker!$A88</f>
        <v/>
      </c>
    </row>
    <row r="89" ht="15" customHeight="1" s="40">
      <c r="C89" s="39">
        <f>Employee_Master!$B89</f>
        <v/>
      </c>
      <c r="D89" s="39">
        <f>Task_Tracker!$A89</f>
        <v/>
      </c>
    </row>
    <row r="90" ht="15" customHeight="1" s="40">
      <c r="C90" s="39">
        <f>Employee_Master!$B90</f>
        <v/>
      </c>
      <c r="D90" s="39">
        <f>Task_Tracker!$A90</f>
        <v/>
      </c>
    </row>
    <row r="91" ht="15" customHeight="1" s="40">
      <c r="C91" s="39">
        <f>Employee_Master!$B91</f>
        <v/>
      </c>
      <c r="D91" s="39">
        <f>Task_Tracker!$A91</f>
        <v/>
      </c>
    </row>
    <row r="92" ht="15" customHeight="1" s="40">
      <c r="C92" s="39">
        <f>Employee_Master!$B92</f>
        <v/>
      </c>
      <c r="D92" s="39">
        <f>Task_Tracker!$A92</f>
        <v/>
      </c>
    </row>
    <row r="93" ht="15" customHeight="1" s="40">
      <c r="C93" s="39">
        <f>Employee_Master!$B93</f>
        <v/>
      </c>
      <c r="D93" s="39">
        <f>Task_Tracker!$A93</f>
        <v/>
      </c>
    </row>
    <row r="94" ht="15" customHeight="1" s="40">
      <c r="C94" s="39">
        <f>Employee_Master!$B94</f>
        <v/>
      </c>
      <c r="D94" s="39">
        <f>Task_Tracker!$A94</f>
        <v/>
      </c>
    </row>
    <row r="95" ht="15" customHeight="1" s="40">
      <c r="C95" s="39">
        <f>Employee_Master!$B95</f>
        <v/>
      </c>
      <c r="D95" s="39">
        <f>Task_Tracker!$A95</f>
        <v/>
      </c>
    </row>
    <row r="96" ht="15" customHeight="1" s="40">
      <c r="C96" s="39">
        <f>Employee_Master!$B96</f>
        <v/>
      </c>
      <c r="D96" s="39">
        <f>Task_Tracker!$A96</f>
        <v/>
      </c>
    </row>
    <row r="97" ht="15" customHeight="1" s="40">
      <c r="C97" s="39">
        <f>Employee_Master!$B97</f>
        <v/>
      </c>
      <c r="D97" s="39">
        <f>Task_Tracker!$A97</f>
        <v/>
      </c>
    </row>
    <row r="98" ht="15" customHeight="1" s="40">
      <c r="C98" s="39">
        <f>Employee_Master!$B98</f>
        <v/>
      </c>
      <c r="D98" s="39">
        <f>Task_Tracker!$A98</f>
        <v/>
      </c>
    </row>
    <row r="99" ht="15" customHeight="1" s="40">
      <c r="C99" s="39">
        <f>Employee_Master!$B99</f>
        <v/>
      </c>
      <c r="D99" s="39">
        <f>Task_Tracker!$A99</f>
        <v/>
      </c>
    </row>
    <row r="100" ht="15" customHeight="1" s="40">
      <c r="C100" s="39">
        <f>Employee_Master!$B100</f>
        <v/>
      </c>
      <c r="D100" s="39">
        <f>Task_Tracker!$A100</f>
        <v/>
      </c>
    </row>
    <row r="101" ht="15" customHeight="1" s="40">
      <c r="C101" s="39">
        <f>Employee_Master!$B101</f>
        <v/>
      </c>
      <c r="D101" s="39">
        <f>Task_Tracker!$A101</f>
        <v/>
      </c>
    </row>
    <row r="102" ht="15" customHeight="1" s="40">
      <c r="C102" s="39">
        <f>Employee_Master!$B102</f>
        <v/>
      </c>
      <c r="D102" s="39">
        <f>Task_Tracker!$A102</f>
        <v/>
      </c>
    </row>
    <row r="103" ht="15" customHeight="1" s="40">
      <c r="C103" s="39">
        <f>Employee_Master!$B103</f>
        <v/>
      </c>
      <c r="D103" s="39">
        <f>Task_Tracker!$A103</f>
        <v/>
      </c>
    </row>
    <row r="104" ht="15" customHeight="1" s="40">
      <c r="C104" s="39">
        <f>Employee_Master!$B104</f>
        <v/>
      </c>
      <c r="D104" s="39">
        <f>Task_Tracker!$A104</f>
        <v/>
      </c>
    </row>
    <row r="105" ht="15" customHeight="1" s="40">
      <c r="C105" s="39">
        <f>Employee_Master!$B105</f>
        <v/>
      </c>
      <c r="D105" s="39">
        <f>Task_Tracker!$A105</f>
        <v/>
      </c>
    </row>
    <row r="106" ht="15" customHeight="1" s="40">
      <c r="C106" s="39">
        <f>Employee_Master!$B106</f>
        <v/>
      </c>
      <c r="D106" s="39">
        <f>Task_Tracker!$A106</f>
        <v/>
      </c>
    </row>
    <row r="107" ht="15" customHeight="1" s="40">
      <c r="C107" s="39">
        <f>Employee_Master!$B107</f>
        <v/>
      </c>
      <c r="D107" s="39">
        <f>Task_Tracker!$A107</f>
        <v/>
      </c>
    </row>
    <row r="108" ht="15" customHeight="1" s="40">
      <c r="C108" s="39">
        <f>Employee_Master!$B108</f>
        <v/>
      </c>
      <c r="D108" s="39">
        <f>Task_Tracker!$A108</f>
        <v/>
      </c>
    </row>
    <row r="109" ht="15" customHeight="1" s="40">
      <c r="C109" s="39">
        <f>Employee_Master!$B109</f>
        <v/>
      </c>
      <c r="D109" s="39">
        <f>Task_Tracker!$A109</f>
        <v/>
      </c>
    </row>
    <row r="110" ht="15" customHeight="1" s="40">
      <c r="C110" s="39">
        <f>Employee_Master!$B110</f>
        <v/>
      </c>
      <c r="D110" s="39">
        <f>Task_Tracker!$A110</f>
        <v/>
      </c>
    </row>
    <row r="111" ht="15" customHeight="1" s="40">
      <c r="C111" s="39">
        <f>Employee_Master!$B111</f>
        <v/>
      </c>
      <c r="D111" s="39">
        <f>Task_Tracker!$A111</f>
        <v/>
      </c>
    </row>
    <row r="112" ht="15" customHeight="1" s="40">
      <c r="C112" s="39">
        <f>Employee_Master!$B112</f>
        <v/>
      </c>
      <c r="D112" s="39">
        <f>Task_Tracker!$A112</f>
        <v/>
      </c>
    </row>
    <row r="113" ht="15" customHeight="1" s="40">
      <c r="C113" s="39">
        <f>Employee_Master!$B113</f>
        <v/>
      </c>
      <c r="D113" s="39">
        <f>Task_Tracker!$A113</f>
        <v/>
      </c>
    </row>
    <row r="114" ht="15" customHeight="1" s="40">
      <c r="C114" s="39">
        <f>Employee_Master!$B114</f>
        <v/>
      </c>
      <c r="D114" s="39">
        <f>Task_Tracker!$A114</f>
        <v/>
      </c>
    </row>
    <row r="115" ht="15" customHeight="1" s="40">
      <c r="C115" s="39">
        <f>Employee_Master!$B115</f>
        <v/>
      </c>
      <c r="D115" s="39">
        <f>Task_Tracker!$A115</f>
        <v/>
      </c>
    </row>
    <row r="116" ht="15" customHeight="1" s="40">
      <c r="C116" s="39">
        <f>Employee_Master!$B116</f>
        <v/>
      </c>
      <c r="D116" s="39">
        <f>Task_Tracker!$A116</f>
        <v/>
      </c>
    </row>
    <row r="117" ht="15" customHeight="1" s="40">
      <c r="C117" s="39">
        <f>Employee_Master!$B117</f>
        <v/>
      </c>
      <c r="D117" s="39">
        <f>Task_Tracker!$A117</f>
        <v/>
      </c>
    </row>
    <row r="118" ht="15" customHeight="1" s="40">
      <c r="C118" s="39">
        <f>Employee_Master!$B118</f>
        <v/>
      </c>
      <c r="D118" s="39">
        <f>Task_Tracker!$A118</f>
        <v/>
      </c>
    </row>
    <row r="119" ht="15" customHeight="1" s="40">
      <c r="C119" s="39">
        <f>Employee_Master!$B119</f>
        <v/>
      </c>
      <c r="D119" s="39">
        <f>Task_Tracker!$A119</f>
        <v/>
      </c>
    </row>
    <row r="120" ht="15" customHeight="1" s="40">
      <c r="C120" s="39">
        <f>Employee_Master!$B120</f>
        <v/>
      </c>
      <c r="D120" s="39">
        <f>Task_Tracker!$A120</f>
        <v/>
      </c>
    </row>
    <row r="121" ht="15" customHeight="1" s="40">
      <c r="C121" s="39">
        <f>Employee_Master!$B121</f>
        <v/>
      </c>
      <c r="D121" s="39">
        <f>Task_Tracker!$A121</f>
        <v/>
      </c>
    </row>
    <row r="122" ht="15" customHeight="1" s="40">
      <c r="C122" s="39">
        <f>Employee_Master!$B122</f>
        <v/>
      </c>
      <c r="D122" s="39">
        <f>Task_Tracker!$A122</f>
        <v/>
      </c>
    </row>
    <row r="123" ht="15" customHeight="1" s="40">
      <c r="C123" s="39">
        <f>Employee_Master!$B123</f>
        <v/>
      </c>
      <c r="D123" s="39">
        <f>Task_Tracker!$A123</f>
        <v/>
      </c>
    </row>
    <row r="124" ht="15" customHeight="1" s="40">
      <c r="C124" s="39">
        <f>Employee_Master!$B124</f>
        <v/>
      </c>
      <c r="D124" s="39">
        <f>Task_Tracker!$A124</f>
        <v/>
      </c>
    </row>
    <row r="125" ht="15" customHeight="1" s="40">
      <c r="C125" s="39">
        <f>Employee_Master!$B125</f>
        <v/>
      </c>
      <c r="D125" s="39">
        <f>Task_Tracker!$A125</f>
        <v/>
      </c>
    </row>
    <row r="126" ht="15" customHeight="1" s="40">
      <c r="C126" s="39">
        <f>Employee_Master!$B126</f>
        <v/>
      </c>
      <c r="D126" s="39">
        <f>Task_Tracker!$A126</f>
        <v/>
      </c>
    </row>
    <row r="127" ht="15" customHeight="1" s="40">
      <c r="C127" s="39">
        <f>Employee_Master!$B127</f>
        <v/>
      </c>
      <c r="D127" s="39">
        <f>Task_Tracker!$A127</f>
        <v/>
      </c>
    </row>
    <row r="128" ht="15" customHeight="1" s="40">
      <c r="C128" s="39">
        <f>Employee_Master!$B128</f>
        <v/>
      </c>
      <c r="D128" s="39">
        <f>Task_Tracker!$A128</f>
        <v/>
      </c>
    </row>
    <row r="129" ht="15" customHeight="1" s="40">
      <c r="C129" s="39">
        <f>Employee_Master!$B129</f>
        <v/>
      </c>
      <c r="D129" s="39">
        <f>Task_Tracker!$A129</f>
        <v/>
      </c>
    </row>
    <row r="130" ht="15" customHeight="1" s="40">
      <c r="C130" s="39">
        <f>Employee_Master!$B130</f>
        <v/>
      </c>
      <c r="D130" s="39">
        <f>Task_Tracker!$A130</f>
        <v/>
      </c>
    </row>
    <row r="131" ht="15" customHeight="1" s="40">
      <c r="C131" s="39">
        <f>Employee_Master!$B131</f>
        <v/>
      </c>
      <c r="D131" s="39">
        <f>Task_Tracker!$A131</f>
        <v/>
      </c>
    </row>
    <row r="132" ht="15" customHeight="1" s="40">
      <c r="C132" s="39">
        <f>Employee_Master!$B132</f>
        <v/>
      </c>
      <c r="D132" s="39">
        <f>Task_Tracker!$A132</f>
        <v/>
      </c>
    </row>
    <row r="133" ht="15" customHeight="1" s="40">
      <c r="C133" s="39">
        <f>Employee_Master!$B133</f>
        <v/>
      </c>
      <c r="D133" s="39">
        <f>Task_Tracker!$A133</f>
        <v/>
      </c>
    </row>
    <row r="134" ht="15" customHeight="1" s="40">
      <c r="C134" s="39">
        <f>Employee_Master!$B134</f>
        <v/>
      </c>
      <c r="D134" s="39">
        <f>Task_Tracker!$A134</f>
        <v/>
      </c>
    </row>
    <row r="135" ht="15" customHeight="1" s="40">
      <c r="C135" s="39">
        <f>Employee_Master!$B135</f>
        <v/>
      </c>
      <c r="D135" s="39">
        <f>Task_Tracker!$A135</f>
        <v/>
      </c>
    </row>
    <row r="136" ht="15" customHeight="1" s="40">
      <c r="C136" s="39">
        <f>Employee_Master!$B136</f>
        <v/>
      </c>
      <c r="D136" s="39">
        <f>Task_Tracker!$A136</f>
        <v/>
      </c>
    </row>
    <row r="137" ht="15" customHeight="1" s="40">
      <c r="C137" s="39">
        <f>Employee_Master!$B137</f>
        <v/>
      </c>
      <c r="D137" s="39">
        <f>Task_Tracker!$A137</f>
        <v/>
      </c>
    </row>
    <row r="138" ht="15" customHeight="1" s="40">
      <c r="C138" s="39">
        <f>Employee_Master!$B138</f>
        <v/>
      </c>
      <c r="D138" s="39">
        <f>Task_Tracker!$A138</f>
        <v/>
      </c>
    </row>
    <row r="139" ht="15" customHeight="1" s="40">
      <c r="C139" s="39">
        <f>Employee_Master!$B139</f>
        <v/>
      </c>
      <c r="D139" s="39">
        <f>Task_Tracker!$A139</f>
        <v/>
      </c>
    </row>
    <row r="140" ht="15" customHeight="1" s="40">
      <c r="C140" s="39">
        <f>Employee_Master!$B140</f>
        <v/>
      </c>
      <c r="D140" s="39">
        <f>Task_Tracker!$A140</f>
        <v/>
      </c>
    </row>
    <row r="141" ht="15" customHeight="1" s="40">
      <c r="C141" s="39">
        <f>Employee_Master!$B141</f>
        <v/>
      </c>
      <c r="D141" s="39">
        <f>Task_Tracker!$A141</f>
        <v/>
      </c>
    </row>
    <row r="142" ht="15" customHeight="1" s="40">
      <c r="C142" s="39">
        <f>Employee_Master!$B142</f>
        <v/>
      </c>
      <c r="D142" s="39">
        <f>Task_Tracker!$A142</f>
        <v/>
      </c>
    </row>
    <row r="143" ht="15" customHeight="1" s="40">
      <c r="C143" s="39">
        <f>Employee_Master!$B143</f>
        <v/>
      </c>
      <c r="D143" s="39">
        <f>Task_Tracker!$A143</f>
        <v/>
      </c>
    </row>
    <row r="144" ht="15" customHeight="1" s="40">
      <c r="C144" s="39">
        <f>Employee_Master!$B144</f>
        <v/>
      </c>
      <c r="D144" s="39">
        <f>Task_Tracker!$A144</f>
        <v/>
      </c>
    </row>
    <row r="145" ht="15" customHeight="1" s="40">
      <c r="C145" s="39">
        <f>Employee_Master!$B145</f>
        <v/>
      </c>
      <c r="D145" s="39">
        <f>Task_Tracker!$A145</f>
        <v/>
      </c>
    </row>
    <row r="146" ht="15" customHeight="1" s="40">
      <c r="C146" s="39">
        <f>Employee_Master!$B146</f>
        <v/>
      </c>
      <c r="D146" s="39">
        <f>Task_Tracker!$A146</f>
        <v/>
      </c>
    </row>
    <row r="147" ht="15" customHeight="1" s="40">
      <c r="C147" s="39">
        <f>Employee_Master!$B147</f>
        <v/>
      </c>
      <c r="D147" s="39">
        <f>Task_Tracker!$A147</f>
        <v/>
      </c>
    </row>
    <row r="148" ht="15" customHeight="1" s="40">
      <c r="C148" s="39">
        <f>Employee_Master!$B148</f>
        <v/>
      </c>
      <c r="D148" s="39">
        <f>Task_Tracker!$A148</f>
        <v/>
      </c>
    </row>
    <row r="149" ht="15" customHeight="1" s="40">
      <c r="C149" s="39">
        <f>Employee_Master!$B149</f>
        <v/>
      </c>
      <c r="D149" s="39">
        <f>Task_Tracker!$A149</f>
        <v/>
      </c>
    </row>
    <row r="150" ht="15" customHeight="1" s="40">
      <c r="C150" s="39">
        <f>Employee_Master!$B150</f>
        <v/>
      </c>
      <c r="D150" s="39">
        <f>Task_Tracker!$A150</f>
        <v/>
      </c>
    </row>
    <row r="151" ht="15" customHeight="1" s="40">
      <c r="C151" s="39">
        <f>Employee_Master!$B151</f>
        <v/>
      </c>
      <c r="D151" s="39">
        <f>Task_Tracker!$A151</f>
        <v/>
      </c>
    </row>
    <row r="152" ht="15" customHeight="1" s="40">
      <c r="C152" s="39">
        <f>Employee_Master!$B152</f>
        <v/>
      </c>
      <c r="D152" s="39">
        <f>Task_Tracker!$A152</f>
        <v/>
      </c>
    </row>
    <row r="153" ht="15" customHeight="1" s="40">
      <c r="C153" s="39">
        <f>Employee_Master!$B153</f>
        <v/>
      </c>
      <c r="D153" s="39">
        <f>Task_Tracker!$A153</f>
        <v/>
      </c>
    </row>
    <row r="154" ht="15" customHeight="1" s="40">
      <c r="C154" s="39">
        <f>Employee_Master!$B154</f>
        <v/>
      </c>
      <c r="D154" s="39">
        <f>Task_Tracker!$A154</f>
        <v/>
      </c>
    </row>
    <row r="155" ht="15" customHeight="1" s="40">
      <c r="C155" s="39">
        <f>Employee_Master!$B155</f>
        <v/>
      </c>
      <c r="D155" s="39">
        <f>Task_Tracker!$A155</f>
        <v/>
      </c>
    </row>
    <row r="156" ht="15" customHeight="1" s="40">
      <c r="C156" s="39">
        <f>Employee_Master!$B156</f>
        <v/>
      </c>
      <c r="D156" s="39">
        <f>Task_Tracker!$A156</f>
        <v/>
      </c>
    </row>
    <row r="157" ht="15" customHeight="1" s="40">
      <c r="C157" s="39">
        <f>Employee_Master!$B157</f>
        <v/>
      </c>
      <c r="D157" s="39">
        <f>Task_Tracker!$A157</f>
        <v/>
      </c>
    </row>
    <row r="158" ht="15" customHeight="1" s="40">
      <c r="C158" s="39">
        <f>Employee_Master!$B158</f>
        <v/>
      </c>
      <c r="D158" s="39">
        <f>Task_Tracker!$A158</f>
        <v/>
      </c>
    </row>
    <row r="159" ht="15" customHeight="1" s="40">
      <c r="C159" s="39">
        <f>Employee_Master!$B159</f>
        <v/>
      </c>
      <c r="D159" s="39">
        <f>Task_Tracker!$A159</f>
        <v/>
      </c>
    </row>
    <row r="160" ht="15" customHeight="1" s="40">
      <c r="C160" s="39">
        <f>Employee_Master!$B160</f>
        <v/>
      </c>
      <c r="D160" s="39">
        <f>Task_Tracker!$A160</f>
        <v/>
      </c>
    </row>
    <row r="161" ht="15" customHeight="1" s="40">
      <c r="C161" s="39">
        <f>Employee_Master!$B161</f>
        <v/>
      </c>
      <c r="D161" s="39">
        <f>Task_Tracker!$A161</f>
        <v/>
      </c>
    </row>
    <row r="162" ht="15" customHeight="1" s="40">
      <c r="C162" s="39">
        <f>Employee_Master!$B162</f>
        <v/>
      </c>
      <c r="D162" s="39">
        <f>Task_Tracker!$A162</f>
        <v/>
      </c>
    </row>
    <row r="163" ht="15" customHeight="1" s="40">
      <c r="C163" s="39">
        <f>Employee_Master!$B163</f>
        <v/>
      </c>
      <c r="D163" s="39">
        <f>Task_Tracker!$A163</f>
        <v/>
      </c>
    </row>
    <row r="164" ht="15" customHeight="1" s="40">
      <c r="C164" s="39">
        <f>Employee_Master!$B164</f>
        <v/>
      </c>
      <c r="D164" s="39">
        <f>Task_Tracker!$A164</f>
        <v/>
      </c>
    </row>
    <row r="165" ht="15" customHeight="1" s="40">
      <c r="C165" s="39">
        <f>Employee_Master!$B165</f>
        <v/>
      </c>
      <c r="D165" s="39">
        <f>Task_Tracker!$A165</f>
        <v/>
      </c>
    </row>
    <row r="166" ht="15" customHeight="1" s="40">
      <c r="C166" s="39">
        <f>Employee_Master!$B166</f>
        <v/>
      </c>
      <c r="D166" s="39">
        <f>Task_Tracker!$A166</f>
        <v/>
      </c>
    </row>
    <row r="167" ht="15" customHeight="1" s="40">
      <c r="C167" s="39">
        <f>Employee_Master!$B167</f>
        <v/>
      </c>
      <c r="D167" s="39">
        <f>Task_Tracker!$A167</f>
        <v/>
      </c>
    </row>
    <row r="168" ht="15" customHeight="1" s="40">
      <c r="C168" s="39">
        <f>Employee_Master!$B168</f>
        <v/>
      </c>
      <c r="D168" s="39">
        <f>Task_Tracker!$A168</f>
        <v/>
      </c>
    </row>
    <row r="169" ht="15" customHeight="1" s="40">
      <c r="C169" s="39">
        <f>Employee_Master!$B169</f>
        <v/>
      </c>
      <c r="D169" s="39">
        <f>Task_Tracker!$A169</f>
        <v/>
      </c>
    </row>
    <row r="170" ht="15" customHeight="1" s="40">
      <c r="C170" s="39">
        <f>Employee_Master!$B170</f>
        <v/>
      </c>
      <c r="D170" s="39">
        <f>Task_Tracker!$A170</f>
        <v/>
      </c>
    </row>
    <row r="171" ht="15" customHeight="1" s="40">
      <c r="C171" s="39">
        <f>Employee_Master!$B171</f>
        <v/>
      </c>
      <c r="D171" s="39">
        <f>Task_Tracker!$A171</f>
        <v/>
      </c>
    </row>
    <row r="172" ht="15" customHeight="1" s="40">
      <c r="C172" s="39">
        <f>Employee_Master!$B172</f>
        <v/>
      </c>
      <c r="D172" s="39">
        <f>Task_Tracker!$A172</f>
        <v/>
      </c>
    </row>
    <row r="173" ht="15" customHeight="1" s="40">
      <c r="C173" s="39">
        <f>Employee_Master!$B173</f>
        <v/>
      </c>
      <c r="D173" s="39">
        <f>Task_Tracker!$A173</f>
        <v/>
      </c>
    </row>
    <row r="174" ht="15" customHeight="1" s="40">
      <c r="C174" s="39">
        <f>Employee_Master!$B174</f>
        <v/>
      </c>
      <c r="D174" s="39">
        <f>Task_Tracker!$A174</f>
        <v/>
      </c>
    </row>
    <row r="175" ht="15" customHeight="1" s="40">
      <c r="C175" s="39">
        <f>Employee_Master!$B175</f>
        <v/>
      </c>
      <c r="D175" s="39">
        <f>Task_Tracker!$A175</f>
        <v/>
      </c>
    </row>
    <row r="176" ht="15" customHeight="1" s="40">
      <c r="C176" s="39">
        <f>Employee_Master!$B176</f>
        <v/>
      </c>
      <c r="D176" s="39">
        <f>Task_Tracker!$A176</f>
        <v/>
      </c>
    </row>
    <row r="177" ht="15" customHeight="1" s="40">
      <c r="C177" s="39">
        <f>Employee_Master!$B177</f>
        <v/>
      </c>
      <c r="D177" s="39">
        <f>Task_Tracker!$A177</f>
        <v/>
      </c>
    </row>
    <row r="178" ht="15" customHeight="1" s="40">
      <c r="C178" s="39">
        <f>Employee_Master!$B178</f>
        <v/>
      </c>
      <c r="D178" s="39">
        <f>Task_Tracker!$A178</f>
        <v/>
      </c>
    </row>
    <row r="179" ht="15" customHeight="1" s="40">
      <c r="C179" s="39">
        <f>Employee_Master!$B179</f>
        <v/>
      </c>
      <c r="D179" s="39">
        <f>Task_Tracker!$A179</f>
        <v/>
      </c>
    </row>
    <row r="180" ht="15" customHeight="1" s="40">
      <c r="C180" s="39">
        <f>Employee_Master!$B180</f>
        <v/>
      </c>
      <c r="D180" s="39">
        <f>Task_Tracker!$A180</f>
        <v/>
      </c>
    </row>
    <row r="181" ht="15" customHeight="1" s="40">
      <c r="C181" s="39">
        <f>Employee_Master!$B181</f>
        <v/>
      </c>
      <c r="D181" s="39">
        <f>Task_Tracker!$A181</f>
        <v/>
      </c>
    </row>
    <row r="182" ht="15" customHeight="1" s="40">
      <c r="C182" s="39">
        <f>Employee_Master!$B182</f>
        <v/>
      </c>
      <c r="D182" s="39">
        <f>Task_Tracker!$A182</f>
        <v/>
      </c>
    </row>
    <row r="183" ht="15" customHeight="1" s="40">
      <c r="C183" s="39">
        <f>Employee_Master!$B183</f>
        <v/>
      </c>
      <c r="D183" s="39">
        <f>Task_Tracker!$A183</f>
        <v/>
      </c>
    </row>
    <row r="184" ht="15" customHeight="1" s="40">
      <c r="C184" s="39">
        <f>Employee_Master!$B184</f>
        <v/>
      </c>
      <c r="D184" s="39">
        <f>Task_Tracker!$A184</f>
        <v/>
      </c>
    </row>
    <row r="185" ht="15" customHeight="1" s="40">
      <c r="C185" s="39">
        <f>Employee_Master!$B185</f>
        <v/>
      </c>
      <c r="D185" s="39">
        <f>Task_Tracker!$A185</f>
        <v/>
      </c>
    </row>
    <row r="186" ht="15" customHeight="1" s="40">
      <c r="C186" s="39">
        <f>Employee_Master!$B186</f>
        <v/>
      </c>
      <c r="D186" s="39">
        <f>Task_Tracker!$A186</f>
        <v/>
      </c>
    </row>
    <row r="187" ht="15" customHeight="1" s="40">
      <c r="C187" s="39">
        <f>Employee_Master!$B187</f>
        <v/>
      </c>
      <c r="D187" s="39">
        <f>Task_Tracker!$A187</f>
        <v/>
      </c>
    </row>
    <row r="188" ht="15" customHeight="1" s="40">
      <c r="C188" s="39">
        <f>Employee_Master!$B188</f>
        <v/>
      </c>
      <c r="D188" s="39">
        <f>Task_Tracker!$A188</f>
        <v/>
      </c>
    </row>
    <row r="189" ht="15" customHeight="1" s="40">
      <c r="C189" s="39">
        <f>Employee_Master!$B189</f>
        <v/>
      </c>
      <c r="D189" s="39">
        <f>Task_Tracker!$A189</f>
        <v/>
      </c>
    </row>
    <row r="190" ht="15" customHeight="1" s="40">
      <c r="C190" s="39">
        <f>Employee_Master!$B190</f>
        <v/>
      </c>
      <c r="D190" s="39">
        <f>Task_Tracker!$A190</f>
        <v/>
      </c>
    </row>
    <row r="191" ht="15" customHeight="1" s="40">
      <c r="C191" s="39">
        <f>Employee_Master!$B191</f>
        <v/>
      </c>
      <c r="D191" s="39">
        <f>Task_Tracker!$A191</f>
        <v/>
      </c>
    </row>
    <row r="192" ht="15" customHeight="1" s="40">
      <c r="C192" s="39">
        <f>Employee_Master!$B192</f>
        <v/>
      </c>
      <c r="D192" s="39">
        <f>Task_Tracker!$A192</f>
        <v/>
      </c>
    </row>
    <row r="193" ht="15" customHeight="1" s="40">
      <c r="C193" s="39">
        <f>Employee_Master!$B193</f>
        <v/>
      </c>
      <c r="D193" s="39">
        <f>Task_Tracker!$A193</f>
        <v/>
      </c>
    </row>
    <row r="194" ht="15" customHeight="1" s="40">
      <c r="C194" s="39">
        <f>Employee_Master!$B194</f>
        <v/>
      </c>
      <c r="D194" s="39">
        <f>Task_Tracker!$A194</f>
        <v/>
      </c>
    </row>
    <row r="195" ht="15" customHeight="1" s="40">
      <c r="C195" s="39">
        <f>Employee_Master!$B195</f>
        <v/>
      </c>
      <c r="D195" s="39">
        <f>Task_Tracker!$A195</f>
        <v/>
      </c>
    </row>
    <row r="196" ht="15" customHeight="1" s="40">
      <c r="C196" s="39">
        <f>Employee_Master!$B196</f>
        <v/>
      </c>
      <c r="D196" s="39">
        <f>Task_Tracker!$A196</f>
        <v/>
      </c>
    </row>
    <row r="197" ht="15" customHeight="1" s="40">
      <c r="C197" s="39">
        <f>Employee_Master!$B197</f>
        <v/>
      </c>
      <c r="D197" s="39">
        <f>Task_Tracker!$A197</f>
        <v/>
      </c>
    </row>
    <row r="198" ht="15" customHeight="1" s="40">
      <c r="C198" s="39">
        <f>Employee_Master!$B198</f>
        <v/>
      </c>
      <c r="D198" s="39">
        <f>Task_Tracker!$A198</f>
        <v/>
      </c>
    </row>
    <row r="199" ht="15" customHeight="1" s="40">
      <c r="C199" s="39">
        <f>Employee_Master!$B199</f>
        <v/>
      </c>
      <c r="D199" s="39">
        <f>Task_Tracker!$A199</f>
        <v/>
      </c>
    </row>
    <row r="200" ht="15" customHeight="1" s="40">
      <c r="C200" s="39">
        <f>Employee_Master!$B200</f>
        <v/>
      </c>
      <c r="D200" s="39">
        <f>Task_Tracker!$A200</f>
        <v/>
      </c>
    </row>
    <row r="201" ht="15" customHeight="1" s="40">
      <c r="C201" s="39">
        <f>Employee_Master!$B201</f>
        <v/>
      </c>
      <c r="D201" s="39">
        <f>Task_Tracker!$A201</f>
        <v/>
      </c>
    </row>
    <row r="202" ht="15" customHeight="1" s="40">
      <c r="C202" s="39">
        <f>Employee_Master!$B202</f>
        <v/>
      </c>
      <c r="D202" s="39">
        <f>Task_Tracker!$A202</f>
        <v/>
      </c>
    </row>
    <row r="203" ht="15" customHeight="1" s="40">
      <c r="C203" s="39">
        <f>Employee_Master!$B203</f>
        <v/>
      </c>
      <c r="D203" s="39">
        <f>Task_Tracker!$A203</f>
        <v/>
      </c>
    </row>
    <row r="204" ht="15" customHeight="1" s="40">
      <c r="C204" s="39">
        <f>Employee_Master!$B204</f>
        <v/>
      </c>
      <c r="D204" s="39">
        <f>Task_Tracker!$A204</f>
        <v/>
      </c>
    </row>
    <row r="205" ht="15" customHeight="1" s="40">
      <c r="D205" s="39">
        <f>Task_Tracker!$A205</f>
        <v/>
      </c>
    </row>
    <row r="206" ht="15" customHeight="1" s="40">
      <c r="D206" s="39">
        <f>Task_Tracker!$A206</f>
        <v/>
      </c>
    </row>
    <row r="207" ht="15" customHeight="1" s="40">
      <c r="D207" s="39">
        <f>Task_Tracker!$A207</f>
        <v/>
      </c>
    </row>
    <row r="208" ht="15" customHeight="1" s="40">
      <c r="D208" s="39">
        <f>Task_Tracker!$A208</f>
        <v/>
      </c>
    </row>
    <row r="209" ht="15" customHeight="1" s="40">
      <c r="D209" s="39">
        <f>Task_Tracker!$A209</f>
        <v/>
      </c>
    </row>
    <row r="210" ht="15" customHeight="1" s="40">
      <c r="D210" s="39">
        <f>Task_Tracker!$A210</f>
        <v/>
      </c>
    </row>
    <row r="211" ht="15" customHeight="1" s="40">
      <c r="D211" s="39">
        <f>Task_Tracker!$A211</f>
        <v/>
      </c>
    </row>
    <row r="212" ht="15" customHeight="1" s="40">
      <c r="D212" s="39">
        <f>Task_Tracker!$A212</f>
        <v/>
      </c>
    </row>
    <row r="213" ht="15" customHeight="1" s="40">
      <c r="D213" s="39">
        <f>Task_Tracker!$A213</f>
        <v/>
      </c>
    </row>
    <row r="214" ht="15" customHeight="1" s="40">
      <c r="D214" s="39">
        <f>Task_Tracker!$A214</f>
        <v/>
      </c>
    </row>
    <row r="215" ht="15" customHeight="1" s="40">
      <c r="D215" s="39">
        <f>Task_Tracker!$A215</f>
        <v/>
      </c>
    </row>
    <row r="216" ht="15" customHeight="1" s="40">
      <c r="D216" s="39">
        <f>Task_Tracker!$A216</f>
        <v/>
      </c>
    </row>
    <row r="217" ht="15" customHeight="1" s="40">
      <c r="D217" s="39">
        <f>Task_Tracker!$A217</f>
        <v/>
      </c>
    </row>
    <row r="218" ht="15" customHeight="1" s="40">
      <c r="D218" s="39">
        <f>Task_Tracker!$A218</f>
        <v/>
      </c>
    </row>
    <row r="219" ht="15" customHeight="1" s="40">
      <c r="D219" s="39">
        <f>Task_Tracker!$A219</f>
        <v/>
      </c>
    </row>
    <row r="220" ht="15" customHeight="1" s="40">
      <c r="D220" s="39">
        <f>Task_Tracker!$A220</f>
        <v/>
      </c>
    </row>
    <row r="221" ht="15" customHeight="1" s="40">
      <c r="D221" s="39">
        <f>Task_Tracker!$A221</f>
        <v/>
      </c>
    </row>
    <row r="222" ht="15" customHeight="1" s="40">
      <c r="D222" s="39">
        <f>Task_Tracker!$A222</f>
        <v/>
      </c>
    </row>
    <row r="223" ht="15" customHeight="1" s="40">
      <c r="D223" s="39">
        <f>Task_Tracker!$A223</f>
        <v/>
      </c>
    </row>
    <row r="224" ht="15" customHeight="1" s="40">
      <c r="D224" s="39">
        <f>Task_Tracker!$A224</f>
        <v/>
      </c>
    </row>
    <row r="225" ht="15" customHeight="1" s="40">
      <c r="D225" s="39">
        <f>Task_Tracker!$A225</f>
        <v/>
      </c>
    </row>
    <row r="226" ht="15" customHeight="1" s="40">
      <c r="D226" s="39">
        <f>Task_Tracker!$A226</f>
        <v/>
      </c>
    </row>
    <row r="227" ht="15" customHeight="1" s="40">
      <c r="D227" s="39">
        <f>Task_Tracker!$A227</f>
        <v/>
      </c>
    </row>
    <row r="228" ht="15" customHeight="1" s="40">
      <c r="D228" s="39">
        <f>Task_Tracker!$A228</f>
        <v/>
      </c>
    </row>
    <row r="229" ht="15" customHeight="1" s="40">
      <c r="D229" s="39">
        <f>Task_Tracker!$A229</f>
        <v/>
      </c>
    </row>
    <row r="230" ht="15" customHeight="1" s="40">
      <c r="D230" s="39">
        <f>Task_Tracker!$A230</f>
        <v/>
      </c>
    </row>
    <row r="231" ht="15" customHeight="1" s="40">
      <c r="D231" s="39">
        <f>Task_Tracker!$A231</f>
        <v/>
      </c>
    </row>
    <row r="232" ht="15" customHeight="1" s="40">
      <c r="D232" s="39">
        <f>Task_Tracker!$A232</f>
        <v/>
      </c>
    </row>
    <row r="233" ht="15" customHeight="1" s="40">
      <c r="D233" s="39">
        <f>Task_Tracker!$A233</f>
        <v/>
      </c>
    </row>
    <row r="234" ht="15" customHeight="1" s="40">
      <c r="D234" s="39">
        <f>Task_Tracker!$A234</f>
        <v/>
      </c>
    </row>
    <row r="235" ht="15" customHeight="1" s="40">
      <c r="D235" s="39">
        <f>Task_Tracker!$A235</f>
        <v/>
      </c>
    </row>
    <row r="236" ht="15" customHeight="1" s="40">
      <c r="D236" s="39">
        <f>Task_Tracker!$A236</f>
        <v/>
      </c>
    </row>
    <row r="237" ht="15" customHeight="1" s="40">
      <c r="D237" s="39">
        <f>Task_Tracker!$A237</f>
        <v/>
      </c>
    </row>
    <row r="238" ht="15" customHeight="1" s="40">
      <c r="D238" s="39">
        <f>Task_Tracker!$A238</f>
        <v/>
      </c>
    </row>
    <row r="239" ht="15" customHeight="1" s="40">
      <c r="D239" s="39">
        <f>Task_Tracker!$A239</f>
        <v/>
      </c>
    </row>
    <row r="240" ht="15" customHeight="1" s="40">
      <c r="D240" s="39">
        <f>Task_Tracker!$A240</f>
        <v/>
      </c>
    </row>
    <row r="241" ht="15" customHeight="1" s="40">
      <c r="D241" s="39">
        <f>Task_Tracker!$A241</f>
        <v/>
      </c>
    </row>
    <row r="242" ht="15" customHeight="1" s="40">
      <c r="D242" s="39">
        <f>Task_Tracker!$A242</f>
        <v/>
      </c>
    </row>
    <row r="243" ht="15" customHeight="1" s="40">
      <c r="D243" s="39">
        <f>Task_Tracker!$A243</f>
        <v/>
      </c>
    </row>
    <row r="244" ht="15" customHeight="1" s="40">
      <c r="D244" s="39">
        <f>Task_Tracker!$A244</f>
        <v/>
      </c>
    </row>
    <row r="245" ht="15" customHeight="1" s="40">
      <c r="D245" s="39">
        <f>Task_Tracker!$A245</f>
        <v/>
      </c>
    </row>
    <row r="246" ht="15" customHeight="1" s="40">
      <c r="D246" s="39">
        <f>Task_Tracker!$A246</f>
        <v/>
      </c>
    </row>
    <row r="247" ht="15" customHeight="1" s="40">
      <c r="D247" s="39">
        <f>Task_Tracker!$A247</f>
        <v/>
      </c>
    </row>
    <row r="248" ht="15" customHeight="1" s="40">
      <c r="D248" s="39">
        <f>Task_Tracker!$A248</f>
        <v/>
      </c>
    </row>
    <row r="249" ht="15" customHeight="1" s="40">
      <c r="D249" s="39">
        <f>Task_Tracker!$A249</f>
        <v/>
      </c>
    </row>
    <row r="250" ht="15" customHeight="1" s="40">
      <c r="D250" s="39">
        <f>Task_Tracker!$A250</f>
        <v/>
      </c>
    </row>
    <row r="251" ht="15" customHeight="1" s="40">
      <c r="D251" s="39">
        <f>Task_Tracker!$A251</f>
        <v/>
      </c>
    </row>
    <row r="252" ht="15" customHeight="1" s="40">
      <c r="D252" s="39">
        <f>Task_Tracker!$A252</f>
        <v/>
      </c>
    </row>
    <row r="253" ht="15" customHeight="1" s="40">
      <c r="D253" s="39">
        <f>Task_Tracker!$A253</f>
        <v/>
      </c>
    </row>
    <row r="254" ht="15" customHeight="1" s="40">
      <c r="D254" s="39">
        <f>Task_Tracker!$A254</f>
        <v/>
      </c>
    </row>
    <row r="255" ht="15" customHeight="1" s="40">
      <c r="D255" s="39">
        <f>Task_Tracker!$A255</f>
        <v/>
      </c>
    </row>
    <row r="256" ht="15" customHeight="1" s="40">
      <c r="D256" s="39">
        <f>Task_Tracker!$A256</f>
        <v/>
      </c>
    </row>
    <row r="257" ht="15" customHeight="1" s="40">
      <c r="D257" s="39">
        <f>Task_Tracker!$A257</f>
        <v/>
      </c>
    </row>
    <row r="258" ht="15" customHeight="1" s="40">
      <c r="D258" s="39">
        <f>Task_Tracker!$A258</f>
        <v/>
      </c>
    </row>
    <row r="259" ht="15" customHeight="1" s="40">
      <c r="D259" s="39">
        <f>Task_Tracker!$A259</f>
        <v/>
      </c>
    </row>
    <row r="260" ht="15" customHeight="1" s="40">
      <c r="D260" s="39">
        <f>Task_Tracker!$A260</f>
        <v/>
      </c>
    </row>
    <row r="261" ht="15" customHeight="1" s="40">
      <c r="D261" s="39">
        <f>Task_Tracker!$A261</f>
        <v/>
      </c>
    </row>
    <row r="262" ht="15" customHeight="1" s="40">
      <c r="D262" s="39">
        <f>Task_Tracker!$A262</f>
        <v/>
      </c>
    </row>
    <row r="263" ht="15" customHeight="1" s="40">
      <c r="D263" s="39">
        <f>Task_Tracker!$A263</f>
        <v/>
      </c>
    </row>
    <row r="264" ht="15" customHeight="1" s="40">
      <c r="D264" s="39">
        <f>Task_Tracker!$A264</f>
        <v/>
      </c>
    </row>
    <row r="265" ht="15" customHeight="1" s="40">
      <c r="D265" s="39">
        <f>Task_Tracker!$A265</f>
        <v/>
      </c>
    </row>
    <row r="266" ht="15" customHeight="1" s="40">
      <c r="D266" s="39">
        <f>Task_Tracker!$A266</f>
        <v/>
      </c>
    </row>
    <row r="267" ht="15" customHeight="1" s="40">
      <c r="D267" s="39">
        <f>Task_Tracker!$A267</f>
        <v/>
      </c>
    </row>
    <row r="268" ht="15" customHeight="1" s="40">
      <c r="D268" s="39">
        <f>Task_Tracker!$A268</f>
        <v/>
      </c>
    </row>
    <row r="269" ht="15" customHeight="1" s="40">
      <c r="D269" s="39">
        <f>Task_Tracker!$A269</f>
        <v/>
      </c>
    </row>
    <row r="270" ht="15" customHeight="1" s="40">
      <c r="D270" s="39">
        <f>Task_Tracker!$A270</f>
        <v/>
      </c>
    </row>
    <row r="271" ht="15" customHeight="1" s="40">
      <c r="D271" s="39">
        <f>Task_Tracker!$A271</f>
        <v/>
      </c>
    </row>
    <row r="272" ht="15" customHeight="1" s="40">
      <c r="D272" s="39">
        <f>Task_Tracker!$A272</f>
        <v/>
      </c>
    </row>
    <row r="273" ht="15" customHeight="1" s="40">
      <c r="D273" s="39">
        <f>Task_Tracker!$A273</f>
        <v/>
      </c>
    </row>
    <row r="274" ht="15" customHeight="1" s="40">
      <c r="D274" s="39">
        <f>Task_Tracker!$A274</f>
        <v/>
      </c>
    </row>
    <row r="275" ht="15" customHeight="1" s="40">
      <c r="D275" s="39">
        <f>Task_Tracker!$A275</f>
        <v/>
      </c>
    </row>
    <row r="276" ht="15" customHeight="1" s="40">
      <c r="D276" s="39">
        <f>Task_Tracker!$A276</f>
        <v/>
      </c>
    </row>
    <row r="277" ht="15" customHeight="1" s="40">
      <c r="D277" s="39">
        <f>Task_Tracker!$A277</f>
        <v/>
      </c>
    </row>
    <row r="278" ht="15" customHeight="1" s="40">
      <c r="D278" s="39">
        <f>Task_Tracker!$A278</f>
        <v/>
      </c>
    </row>
    <row r="279" ht="15" customHeight="1" s="40">
      <c r="D279" s="39">
        <f>Task_Tracker!$A279</f>
        <v/>
      </c>
    </row>
    <row r="280" ht="15" customHeight="1" s="40">
      <c r="D280" s="39">
        <f>Task_Tracker!$A280</f>
        <v/>
      </c>
    </row>
    <row r="281" ht="15" customHeight="1" s="40">
      <c r="D281" s="39">
        <f>Task_Tracker!$A281</f>
        <v/>
      </c>
    </row>
    <row r="282" ht="15" customHeight="1" s="40">
      <c r="D282" s="39">
        <f>Task_Tracker!$A282</f>
        <v/>
      </c>
    </row>
    <row r="283" ht="15" customHeight="1" s="40">
      <c r="D283" s="39">
        <f>Task_Tracker!$A283</f>
        <v/>
      </c>
    </row>
    <row r="284" ht="15" customHeight="1" s="40">
      <c r="D284" s="39">
        <f>Task_Tracker!$A284</f>
        <v/>
      </c>
    </row>
    <row r="285" ht="15" customHeight="1" s="40">
      <c r="D285" s="39">
        <f>Task_Tracker!$A285</f>
        <v/>
      </c>
    </row>
    <row r="286" ht="15" customHeight="1" s="40">
      <c r="D286" s="39">
        <f>Task_Tracker!$A286</f>
        <v/>
      </c>
    </row>
    <row r="287" ht="15" customHeight="1" s="40">
      <c r="D287" s="39">
        <f>Task_Tracker!$A287</f>
        <v/>
      </c>
    </row>
    <row r="288" ht="15" customHeight="1" s="40">
      <c r="D288" s="39">
        <f>Task_Tracker!$A288</f>
        <v/>
      </c>
    </row>
    <row r="289" ht="15" customHeight="1" s="40">
      <c r="D289" s="39">
        <f>Task_Tracker!$A289</f>
        <v/>
      </c>
    </row>
    <row r="290" ht="15" customHeight="1" s="40">
      <c r="D290" s="39">
        <f>Task_Tracker!$A290</f>
        <v/>
      </c>
    </row>
    <row r="291" ht="15" customHeight="1" s="40">
      <c r="D291" s="39">
        <f>Task_Tracker!$A291</f>
        <v/>
      </c>
    </row>
    <row r="292" ht="15" customHeight="1" s="40">
      <c r="D292" s="39">
        <f>Task_Tracker!$A292</f>
        <v/>
      </c>
    </row>
    <row r="293" ht="15" customHeight="1" s="40">
      <c r="D293" s="39">
        <f>Task_Tracker!$A293</f>
        <v/>
      </c>
    </row>
    <row r="294" ht="15" customHeight="1" s="40">
      <c r="D294" s="39">
        <f>Task_Tracker!$A294</f>
        <v/>
      </c>
    </row>
    <row r="295" ht="15" customHeight="1" s="40">
      <c r="D295" s="39">
        <f>Task_Tracker!$A295</f>
        <v/>
      </c>
    </row>
    <row r="296" ht="15" customHeight="1" s="40">
      <c r="D296" s="39">
        <f>Task_Tracker!$A296</f>
        <v/>
      </c>
    </row>
    <row r="297" ht="15" customHeight="1" s="40">
      <c r="D297" s="39">
        <f>Task_Tracker!$A297</f>
        <v/>
      </c>
    </row>
    <row r="298" ht="15" customHeight="1" s="40">
      <c r="D298" s="39">
        <f>Task_Tracker!$A298</f>
        <v/>
      </c>
    </row>
    <row r="299" ht="15" customHeight="1" s="40">
      <c r="D299" s="39">
        <f>Task_Tracker!$A299</f>
        <v/>
      </c>
    </row>
    <row r="300" ht="15" customHeight="1" s="40">
      <c r="D300" s="39">
        <f>Task_Tracker!$A300</f>
        <v/>
      </c>
    </row>
    <row r="301" ht="15" customHeight="1" s="40">
      <c r="D301" s="39">
        <f>Task_Tracker!$A301</f>
        <v/>
      </c>
    </row>
    <row r="302" ht="15" customHeight="1" s="40">
      <c r="D302" s="39">
        <f>Task_Tracker!$A302</f>
        <v/>
      </c>
    </row>
    <row r="303" ht="15" customHeight="1" s="40">
      <c r="D303" s="39">
        <f>Task_Tracker!$A303</f>
        <v/>
      </c>
    </row>
    <row r="304" ht="15" customHeight="1" s="40">
      <c r="D304" s="39">
        <f>Task_Tracker!$A304</f>
        <v/>
      </c>
    </row>
    <row r="305" ht="15" customHeight="1" s="40">
      <c r="D305" s="39">
        <f>Task_Tracker!$A305</f>
        <v/>
      </c>
    </row>
    <row r="306" ht="15" customHeight="1" s="40">
      <c r="D306" s="39">
        <f>Task_Tracker!$A306</f>
        <v/>
      </c>
    </row>
    <row r="307" ht="15" customHeight="1" s="40">
      <c r="D307" s="39">
        <f>Task_Tracker!$A307</f>
        <v/>
      </c>
    </row>
    <row r="308" ht="15" customHeight="1" s="40">
      <c r="D308" s="39">
        <f>Task_Tracker!$A308</f>
        <v/>
      </c>
    </row>
    <row r="309" ht="15" customHeight="1" s="40">
      <c r="D309" s="39">
        <f>Task_Tracker!$A309</f>
        <v/>
      </c>
    </row>
    <row r="310" ht="15" customHeight="1" s="40">
      <c r="D310" s="39">
        <f>Task_Tracker!$A310</f>
        <v/>
      </c>
    </row>
    <row r="311" ht="15" customHeight="1" s="40">
      <c r="D311" s="39">
        <f>Task_Tracker!$A311</f>
        <v/>
      </c>
    </row>
    <row r="312" ht="15" customHeight="1" s="40">
      <c r="D312" s="39">
        <f>Task_Tracker!$A312</f>
        <v/>
      </c>
    </row>
    <row r="313" ht="15" customHeight="1" s="40">
      <c r="D313" s="39">
        <f>Task_Tracker!$A313</f>
        <v/>
      </c>
    </row>
    <row r="314" ht="15" customHeight="1" s="40">
      <c r="D314" s="39">
        <f>Task_Tracker!$A314</f>
        <v/>
      </c>
    </row>
    <row r="315" ht="15" customHeight="1" s="40">
      <c r="D315" s="39">
        <f>Task_Tracker!$A315</f>
        <v/>
      </c>
    </row>
    <row r="316" ht="15" customHeight="1" s="40">
      <c r="D316" s="39">
        <f>Task_Tracker!$A316</f>
        <v/>
      </c>
    </row>
    <row r="317" ht="15" customHeight="1" s="40">
      <c r="D317" s="39">
        <f>Task_Tracker!$A317</f>
        <v/>
      </c>
    </row>
    <row r="318" ht="15" customHeight="1" s="40">
      <c r="D318" s="39">
        <f>Task_Tracker!$A318</f>
        <v/>
      </c>
    </row>
    <row r="319" ht="15" customHeight="1" s="40">
      <c r="D319" s="39">
        <f>Task_Tracker!$A319</f>
        <v/>
      </c>
    </row>
    <row r="320" ht="15" customHeight="1" s="40">
      <c r="D320" s="39">
        <f>Task_Tracker!$A320</f>
        <v/>
      </c>
    </row>
    <row r="321" ht="15" customHeight="1" s="40">
      <c r="D321" s="39">
        <f>Task_Tracker!$A321</f>
        <v/>
      </c>
    </row>
    <row r="322" ht="15" customHeight="1" s="40">
      <c r="D322" s="39">
        <f>Task_Tracker!$A322</f>
        <v/>
      </c>
    </row>
    <row r="323" ht="15" customHeight="1" s="40">
      <c r="D323" s="39">
        <f>Task_Tracker!$A323</f>
        <v/>
      </c>
    </row>
    <row r="324" ht="15" customHeight="1" s="40">
      <c r="D324" s="39">
        <f>Task_Tracker!$A324</f>
        <v/>
      </c>
    </row>
    <row r="325" ht="15" customHeight="1" s="40">
      <c r="D325" s="39">
        <f>Task_Tracker!$A325</f>
        <v/>
      </c>
    </row>
    <row r="326" ht="15" customHeight="1" s="40">
      <c r="D326" s="39">
        <f>Task_Tracker!$A326</f>
        <v/>
      </c>
    </row>
    <row r="327" ht="15" customHeight="1" s="40">
      <c r="D327" s="39">
        <f>Task_Tracker!$A327</f>
        <v/>
      </c>
    </row>
    <row r="328" ht="15" customHeight="1" s="40">
      <c r="D328" s="39">
        <f>Task_Tracker!$A328</f>
        <v/>
      </c>
    </row>
    <row r="329" ht="15" customHeight="1" s="40">
      <c r="D329" s="39">
        <f>Task_Tracker!$A329</f>
        <v/>
      </c>
    </row>
    <row r="330" ht="15" customHeight="1" s="40">
      <c r="D330" s="39">
        <f>Task_Tracker!$A330</f>
        <v/>
      </c>
    </row>
    <row r="331" ht="15" customHeight="1" s="40">
      <c r="D331" s="39">
        <f>Task_Tracker!$A331</f>
        <v/>
      </c>
    </row>
    <row r="332" ht="15" customHeight="1" s="40">
      <c r="D332" s="39">
        <f>Task_Tracker!$A332</f>
        <v/>
      </c>
    </row>
    <row r="333" ht="15" customHeight="1" s="40">
      <c r="D333" s="39">
        <f>Task_Tracker!$A333</f>
        <v/>
      </c>
    </row>
    <row r="334" ht="15" customHeight="1" s="40">
      <c r="D334" s="39">
        <f>Task_Tracker!$A334</f>
        <v/>
      </c>
    </row>
    <row r="335" ht="15" customHeight="1" s="40">
      <c r="D335" s="39">
        <f>Task_Tracker!$A335</f>
        <v/>
      </c>
    </row>
    <row r="336" ht="15" customHeight="1" s="40">
      <c r="D336" s="39">
        <f>Task_Tracker!$A336</f>
        <v/>
      </c>
    </row>
    <row r="337" ht="15" customHeight="1" s="40">
      <c r="D337" s="39">
        <f>Task_Tracker!$A337</f>
        <v/>
      </c>
    </row>
    <row r="338" ht="15" customHeight="1" s="40">
      <c r="D338" s="39">
        <f>Task_Tracker!$A338</f>
        <v/>
      </c>
    </row>
    <row r="339" ht="15" customHeight="1" s="40">
      <c r="D339" s="39">
        <f>Task_Tracker!$A339</f>
        <v/>
      </c>
    </row>
    <row r="340" ht="15" customHeight="1" s="40">
      <c r="D340" s="39">
        <f>Task_Tracker!$A340</f>
        <v/>
      </c>
    </row>
    <row r="341" ht="15" customHeight="1" s="40">
      <c r="D341" s="39">
        <f>Task_Tracker!$A341</f>
        <v/>
      </c>
    </row>
    <row r="342" ht="15" customHeight="1" s="40">
      <c r="D342" s="39">
        <f>Task_Tracker!$A342</f>
        <v/>
      </c>
    </row>
    <row r="343" ht="15" customHeight="1" s="40">
      <c r="D343" s="39">
        <f>Task_Tracker!$A343</f>
        <v/>
      </c>
    </row>
    <row r="344" ht="15" customHeight="1" s="40">
      <c r="D344" s="39">
        <f>Task_Tracker!$A344</f>
        <v/>
      </c>
    </row>
    <row r="345" ht="15" customHeight="1" s="40">
      <c r="D345" s="39">
        <f>Task_Tracker!$A345</f>
        <v/>
      </c>
    </row>
    <row r="346" ht="15" customHeight="1" s="40">
      <c r="D346" s="39">
        <f>Task_Tracker!$A346</f>
        <v/>
      </c>
    </row>
    <row r="347" ht="15" customHeight="1" s="40">
      <c r="D347" s="39">
        <f>Task_Tracker!$A347</f>
        <v/>
      </c>
    </row>
    <row r="348" ht="15" customHeight="1" s="40">
      <c r="D348" s="39">
        <f>Task_Tracker!$A348</f>
        <v/>
      </c>
    </row>
    <row r="349" ht="15" customHeight="1" s="40">
      <c r="D349" s="39">
        <f>Task_Tracker!$A349</f>
        <v/>
      </c>
    </row>
    <row r="350" ht="15" customHeight="1" s="40">
      <c r="D350" s="39">
        <f>Task_Tracker!$A350</f>
        <v/>
      </c>
    </row>
    <row r="351" ht="15" customHeight="1" s="40">
      <c r="D351" s="39">
        <f>Task_Tracker!$A351</f>
        <v/>
      </c>
    </row>
    <row r="352" ht="15" customHeight="1" s="40">
      <c r="D352" s="39">
        <f>Task_Tracker!$A352</f>
        <v/>
      </c>
    </row>
    <row r="353" ht="15" customHeight="1" s="40">
      <c r="D353" s="39">
        <f>Task_Tracker!$A353</f>
        <v/>
      </c>
    </row>
    <row r="354" ht="15" customHeight="1" s="40">
      <c r="D354" s="39">
        <f>Task_Tracker!$A354</f>
        <v/>
      </c>
    </row>
    <row r="355" ht="15" customHeight="1" s="40">
      <c r="D355" s="39">
        <f>Task_Tracker!$A355</f>
        <v/>
      </c>
    </row>
    <row r="356" ht="15" customHeight="1" s="40">
      <c r="D356" s="39">
        <f>Task_Tracker!$A356</f>
        <v/>
      </c>
    </row>
    <row r="357" ht="15" customHeight="1" s="40">
      <c r="D357" s="39">
        <f>Task_Tracker!$A357</f>
        <v/>
      </c>
    </row>
    <row r="358" ht="15" customHeight="1" s="40">
      <c r="D358" s="39">
        <f>Task_Tracker!$A358</f>
        <v/>
      </c>
    </row>
    <row r="359" ht="15" customHeight="1" s="40">
      <c r="D359" s="39">
        <f>Task_Tracker!$A359</f>
        <v/>
      </c>
    </row>
    <row r="360" ht="15" customHeight="1" s="40">
      <c r="D360" s="39">
        <f>Task_Tracker!$A360</f>
        <v/>
      </c>
    </row>
    <row r="361" ht="15" customHeight="1" s="40">
      <c r="D361" s="39">
        <f>Task_Tracker!$A361</f>
        <v/>
      </c>
    </row>
    <row r="362" ht="15" customHeight="1" s="40">
      <c r="D362" s="39">
        <f>Task_Tracker!$A362</f>
        <v/>
      </c>
    </row>
    <row r="363" ht="15" customHeight="1" s="40">
      <c r="D363" s="39">
        <f>Task_Tracker!$A363</f>
        <v/>
      </c>
    </row>
    <row r="364" ht="15" customHeight="1" s="40">
      <c r="D364" s="39">
        <f>Task_Tracker!$A364</f>
        <v/>
      </c>
    </row>
    <row r="365" ht="15" customHeight="1" s="40">
      <c r="D365" s="39">
        <f>Task_Tracker!$A365</f>
        <v/>
      </c>
    </row>
    <row r="366" ht="15" customHeight="1" s="40">
      <c r="D366" s="39">
        <f>Task_Tracker!$A366</f>
        <v/>
      </c>
    </row>
    <row r="367" ht="15" customHeight="1" s="40">
      <c r="D367" s="39">
        <f>Task_Tracker!$A367</f>
        <v/>
      </c>
    </row>
    <row r="368" ht="15" customHeight="1" s="40">
      <c r="D368" s="39">
        <f>Task_Tracker!$A368</f>
        <v/>
      </c>
    </row>
    <row r="369" ht="15" customHeight="1" s="40">
      <c r="D369" s="39">
        <f>Task_Tracker!$A369</f>
        <v/>
      </c>
    </row>
    <row r="370" ht="15" customHeight="1" s="40">
      <c r="D370" s="39">
        <f>Task_Tracker!$A370</f>
        <v/>
      </c>
    </row>
    <row r="371" ht="15" customHeight="1" s="40">
      <c r="D371" s="39">
        <f>Task_Tracker!$A371</f>
        <v/>
      </c>
    </row>
    <row r="372" ht="15" customHeight="1" s="40">
      <c r="D372" s="39">
        <f>Task_Tracker!$A372</f>
        <v/>
      </c>
    </row>
    <row r="373" ht="15" customHeight="1" s="40">
      <c r="D373" s="39">
        <f>Task_Tracker!$A373</f>
        <v/>
      </c>
    </row>
    <row r="374" ht="15" customHeight="1" s="40">
      <c r="D374" s="39">
        <f>Task_Tracker!$A374</f>
        <v/>
      </c>
    </row>
    <row r="375" ht="15" customHeight="1" s="40">
      <c r="D375" s="39">
        <f>Task_Tracker!$A375</f>
        <v/>
      </c>
    </row>
    <row r="376" ht="15" customHeight="1" s="40">
      <c r="D376" s="39">
        <f>Task_Tracker!$A376</f>
        <v/>
      </c>
    </row>
    <row r="377" ht="15" customHeight="1" s="40">
      <c r="D377" s="39">
        <f>Task_Tracker!$A377</f>
        <v/>
      </c>
    </row>
    <row r="378" ht="15" customHeight="1" s="40">
      <c r="D378" s="39">
        <f>Task_Tracker!$A378</f>
        <v/>
      </c>
    </row>
    <row r="379" ht="15" customHeight="1" s="40">
      <c r="D379" s="39">
        <f>Task_Tracker!$A379</f>
        <v/>
      </c>
    </row>
    <row r="380" ht="15" customHeight="1" s="40">
      <c r="D380" s="39">
        <f>Task_Tracker!$A380</f>
        <v/>
      </c>
    </row>
    <row r="381" ht="15" customHeight="1" s="40">
      <c r="D381" s="39">
        <f>Task_Tracker!$A381</f>
        <v/>
      </c>
    </row>
    <row r="382" ht="15" customHeight="1" s="40">
      <c r="D382" s="39">
        <f>Task_Tracker!$A382</f>
        <v/>
      </c>
    </row>
    <row r="383" ht="15" customHeight="1" s="40">
      <c r="D383" s="39">
        <f>Task_Tracker!$A383</f>
        <v/>
      </c>
    </row>
    <row r="384" ht="15" customHeight="1" s="40">
      <c r="D384" s="39">
        <f>Task_Tracker!$A384</f>
        <v/>
      </c>
    </row>
    <row r="385" ht="15" customHeight="1" s="40">
      <c r="D385" s="39">
        <f>Task_Tracker!$A385</f>
        <v/>
      </c>
    </row>
    <row r="386" ht="15" customHeight="1" s="40">
      <c r="D386" s="39">
        <f>Task_Tracker!$A386</f>
        <v/>
      </c>
    </row>
    <row r="387" ht="15" customHeight="1" s="40">
      <c r="D387" s="39">
        <f>Task_Tracker!$A387</f>
        <v/>
      </c>
    </row>
    <row r="388" ht="15" customHeight="1" s="40">
      <c r="D388" s="39">
        <f>Task_Tracker!$A388</f>
        <v/>
      </c>
    </row>
    <row r="389" ht="15" customHeight="1" s="40">
      <c r="D389" s="39">
        <f>Task_Tracker!$A389</f>
        <v/>
      </c>
    </row>
    <row r="390" ht="15" customHeight="1" s="40">
      <c r="D390" s="39">
        <f>Task_Tracker!$A390</f>
        <v/>
      </c>
    </row>
    <row r="391" ht="15" customHeight="1" s="40">
      <c r="D391" s="39">
        <f>Task_Tracker!$A391</f>
        <v/>
      </c>
    </row>
    <row r="392" ht="15" customHeight="1" s="40">
      <c r="D392" s="39">
        <f>Task_Tracker!$A392</f>
        <v/>
      </c>
    </row>
    <row r="393" ht="15" customHeight="1" s="40">
      <c r="D393" s="39">
        <f>Task_Tracker!$A393</f>
        <v/>
      </c>
    </row>
    <row r="394" ht="15" customHeight="1" s="40">
      <c r="D394" s="39">
        <f>Task_Tracker!$A394</f>
        <v/>
      </c>
    </row>
    <row r="395" ht="15" customHeight="1" s="40">
      <c r="D395" s="39">
        <f>Task_Tracker!$A395</f>
        <v/>
      </c>
    </row>
    <row r="396" ht="15" customHeight="1" s="40">
      <c r="D396" s="39">
        <f>Task_Tracker!$A396</f>
        <v/>
      </c>
    </row>
    <row r="397" ht="15" customHeight="1" s="40">
      <c r="D397" s="39">
        <f>Task_Tracker!$A397</f>
        <v/>
      </c>
    </row>
    <row r="398" ht="15" customHeight="1" s="40">
      <c r="D398" s="39">
        <f>Task_Tracker!$A398</f>
        <v/>
      </c>
    </row>
    <row r="399" ht="15" customHeight="1" s="40">
      <c r="D399" s="39">
        <f>Task_Tracker!$A399</f>
        <v/>
      </c>
    </row>
    <row r="400" ht="15" customHeight="1" s="40">
      <c r="D400" s="39">
        <f>Task_Tracker!$A400</f>
        <v/>
      </c>
    </row>
    <row r="401" ht="15" customHeight="1" s="40">
      <c r="D401" s="39">
        <f>Task_Tracker!$A401</f>
        <v/>
      </c>
    </row>
    <row r="402" ht="15" customHeight="1" s="40">
      <c r="D402" s="39">
        <f>Task_Tracker!$A402</f>
        <v/>
      </c>
    </row>
    <row r="403" ht="15" customHeight="1" s="40">
      <c r="D403" s="39">
        <f>Task_Tracker!$A403</f>
        <v/>
      </c>
    </row>
    <row r="404" ht="15" customHeight="1" s="40">
      <c r="D404" s="39">
        <f>Task_Tracker!$A404</f>
        <v/>
      </c>
    </row>
    <row r="405" ht="15" customHeight="1" s="40">
      <c r="D405" s="39">
        <f>Task_Tracker!$A405</f>
        <v/>
      </c>
    </row>
    <row r="406" ht="15" customHeight="1" s="40">
      <c r="D406" s="39">
        <f>Task_Tracker!$A406</f>
        <v/>
      </c>
    </row>
    <row r="407" ht="15" customHeight="1" s="40">
      <c r="D407" s="39">
        <f>Task_Tracker!$A407</f>
        <v/>
      </c>
    </row>
    <row r="408" ht="15" customHeight="1" s="40">
      <c r="D408" s="39">
        <f>Task_Tracker!$A408</f>
        <v/>
      </c>
    </row>
    <row r="409" ht="15" customHeight="1" s="40">
      <c r="D409" s="39">
        <f>Task_Tracker!$A409</f>
        <v/>
      </c>
    </row>
    <row r="410" ht="15" customHeight="1" s="40">
      <c r="D410" s="39">
        <f>Task_Tracker!$A410</f>
        <v/>
      </c>
    </row>
    <row r="411" ht="15" customHeight="1" s="40">
      <c r="D411" s="39">
        <f>Task_Tracker!$A411</f>
        <v/>
      </c>
    </row>
    <row r="412" ht="15" customHeight="1" s="40">
      <c r="D412" s="39">
        <f>Task_Tracker!$A412</f>
        <v/>
      </c>
    </row>
    <row r="413" ht="15" customHeight="1" s="40">
      <c r="D413" s="39">
        <f>Task_Tracker!$A413</f>
        <v/>
      </c>
    </row>
    <row r="414" ht="15" customHeight="1" s="40">
      <c r="D414" s="39">
        <f>Task_Tracker!$A414</f>
        <v/>
      </c>
    </row>
    <row r="415" ht="15" customHeight="1" s="40">
      <c r="D415" s="39">
        <f>Task_Tracker!$A415</f>
        <v/>
      </c>
    </row>
    <row r="416" ht="15" customHeight="1" s="40">
      <c r="D416" s="39">
        <f>Task_Tracker!$A416</f>
        <v/>
      </c>
    </row>
    <row r="417" ht="15" customHeight="1" s="40">
      <c r="D417" s="39">
        <f>Task_Tracker!$A417</f>
        <v/>
      </c>
    </row>
    <row r="418" ht="15" customHeight="1" s="40">
      <c r="D418" s="39">
        <f>Task_Tracker!$A418</f>
        <v/>
      </c>
    </row>
    <row r="419" ht="15" customHeight="1" s="40">
      <c r="D419" s="39">
        <f>Task_Tracker!$A419</f>
        <v/>
      </c>
    </row>
    <row r="420" ht="15" customHeight="1" s="40">
      <c r="D420" s="39">
        <f>Task_Tracker!$A420</f>
        <v/>
      </c>
    </row>
    <row r="421" ht="15" customHeight="1" s="40">
      <c r="D421" s="39">
        <f>Task_Tracker!$A421</f>
        <v/>
      </c>
    </row>
    <row r="422" ht="15" customHeight="1" s="40">
      <c r="D422" s="39">
        <f>Task_Tracker!$A422</f>
        <v/>
      </c>
    </row>
    <row r="423" ht="15" customHeight="1" s="40">
      <c r="D423" s="39">
        <f>Task_Tracker!$A423</f>
        <v/>
      </c>
    </row>
    <row r="424" ht="15" customHeight="1" s="40">
      <c r="D424" s="39">
        <f>Task_Tracker!$A424</f>
        <v/>
      </c>
    </row>
    <row r="425" ht="15" customHeight="1" s="40">
      <c r="D425" s="39">
        <f>Task_Tracker!$A425</f>
        <v/>
      </c>
    </row>
    <row r="426" ht="15" customHeight="1" s="40">
      <c r="D426" s="39">
        <f>Task_Tracker!$A426</f>
        <v/>
      </c>
    </row>
    <row r="427" ht="15" customHeight="1" s="40">
      <c r="D427" s="39">
        <f>Task_Tracker!$A427</f>
        <v/>
      </c>
    </row>
    <row r="428" ht="15" customHeight="1" s="40">
      <c r="D428" s="39">
        <f>Task_Tracker!$A428</f>
        <v/>
      </c>
    </row>
    <row r="429" ht="15" customHeight="1" s="40">
      <c r="D429" s="39">
        <f>Task_Tracker!$A429</f>
        <v/>
      </c>
    </row>
    <row r="430" ht="15" customHeight="1" s="40">
      <c r="D430" s="39">
        <f>Task_Tracker!$A430</f>
        <v/>
      </c>
    </row>
    <row r="431" ht="15" customHeight="1" s="40">
      <c r="D431" s="39">
        <f>Task_Tracker!$A431</f>
        <v/>
      </c>
    </row>
    <row r="432" ht="15" customHeight="1" s="40">
      <c r="D432" s="39">
        <f>Task_Tracker!$A432</f>
        <v/>
      </c>
    </row>
    <row r="433" ht="15" customHeight="1" s="40">
      <c r="D433" s="39">
        <f>Task_Tracker!$A433</f>
        <v/>
      </c>
    </row>
    <row r="434" ht="15" customHeight="1" s="40">
      <c r="D434" s="39">
        <f>Task_Tracker!$A434</f>
        <v/>
      </c>
    </row>
    <row r="435" ht="15" customHeight="1" s="40">
      <c r="D435" s="39">
        <f>Task_Tracker!$A435</f>
        <v/>
      </c>
    </row>
    <row r="436" ht="15" customHeight="1" s="40">
      <c r="D436" s="39">
        <f>Task_Tracker!$A436</f>
        <v/>
      </c>
    </row>
    <row r="437" ht="15" customHeight="1" s="40">
      <c r="D437" s="39">
        <f>Task_Tracker!$A437</f>
        <v/>
      </c>
    </row>
    <row r="438" ht="15" customHeight="1" s="40">
      <c r="D438" s="39">
        <f>Task_Tracker!$A438</f>
        <v/>
      </c>
    </row>
    <row r="439" ht="15" customHeight="1" s="40">
      <c r="D439" s="39">
        <f>Task_Tracker!$A439</f>
        <v/>
      </c>
    </row>
    <row r="440" ht="15" customHeight="1" s="40">
      <c r="D440" s="39">
        <f>Task_Tracker!$A440</f>
        <v/>
      </c>
    </row>
    <row r="441" ht="15" customHeight="1" s="40">
      <c r="D441" s="39">
        <f>Task_Tracker!$A441</f>
        <v/>
      </c>
    </row>
    <row r="442" ht="15" customHeight="1" s="40">
      <c r="D442" s="39">
        <f>Task_Tracker!$A442</f>
        <v/>
      </c>
    </row>
    <row r="443" ht="15" customHeight="1" s="40">
      <c r="D443" s="39">
        <f>Task_Tracker!$A443</f>
        <v/>
      </c>
    </row>
    <row r="444" ht="15" customHeight="1" s="40">
      <c r="D444" s="39">
        <f>Task_Tracker!$A444</f>
        <v/>
      </c>
    </row>
    <row r="445" ht="15" customHeight="1" s="40">
      <c r="D445" s="39">
        <f>Task_Tracker!$A445</f>
        <v/>
      </c>
    </row>
    <row r="446" ht="15" customHeight="1" s="40">
      <c r="D446" s="39">
        <f>Task_Tracker!$A446</f>
        <v/>
      </c>
    </row>
    <row r="447" ht="15" customHeight="1" s="40">
      <c r="D447" s="39">
        <f>Task_Tracker!$A447</f>
        <v/>
      </c>
    </row>
    <row r="448" ht="15" customHeight="1" s="40">
      <c r="D448" s="39">
        <f>Task_Tracker!$A448</f>
        <v/>
      </c>
    </row>
    <row r="449" ht="15" customHeight="1" s="40">
      <c r="D449" s="39">
        <f>Task_Tracker!$A449</f>
        <v/>
      </c>
    </row>
    <row r="450" ht="15" customHeight="1" s="40">
      <c r="D450" s="39">
        <f>Task_Tracker!$A450</f>
        <v/>
      </c>
    </row>
    <row r="451" ht="15" customHeight="1" s="40">
      <c r="D451" s="39">
        <f>Task_Tracker!$A451</f>
        <v/>
      </c>
    </row>
    <row r="452" ht="15" customHeight="1" s="40">
      <c r="D452" s="39">
        <f>Task_Tracker!$A452</f>
        <v/>
      </c>
    </row>
    <row r="453" ht="15" customHeight="1" s="40">
      <c r="D453" s="39">
        <f>Task_Tracker!$A453</f>
        <v/>
      </c>
    </row>
    <row r="454" ht="15" customHeight="1" s="40">
      <c r="D454" s="39">
        <f>Task_Tracker!$A454</f>
        <v/>
      </c>
    </row>
    <row r="455" ht="15" customHeight="1" s="40">
      <c r="D455" s="39">
        <f>Task_Tracker!$A455</f>
        <v/>
      </c>
    </row>
    <row r="456" ht="15" customHeight="1" s="40">
      <c r="D456" s="39">
        <f>Task_Tracker!$A456</f>
        <v/>
      </c>
    </row>
    <row r="457" ht="15" customHeight="1" s="40">
      <c r="D457" s="39">
        <f>Task_Tracker!$A457</f>
        <v/>
      </c>
    </row>
    <row r="458" ht="15" customHeight="1" s="40">
      <c r="D458" s="39">
        <f>Task_Tracker!$A458</f>
        <v/>
      </c>
    </row>
    <row r="459" ht="15" customHeight="1" s="40">
      <c r="D459" s="39">
        <f>Task_Tracker!$A459</f>
        <v/>
      </c>
    </row>
    <row r="460" ht="15" customHeight="1" s="40">
      <c r="D460" s="39">
        <f>Task_Tracker!$A460</f>
        <v/>
      </c>
    </row>
    <row r="461" ht="15" customHeight="1" s="40">
      <c r="D461" s="39">
        <f>Task_Tracker!$A461</f>
        <v/>
      </c>
    </row>
    <row r="462" ht="15" customHeight="1" s="40">
      <c r="D462" s="39">
        <f>Task_Tracker!$A462</f>
        <v/>
      </c>
    </row>
    <row r="463" ht="15" customHeight="1" s="40">
      <c r="D463" s="39">
        <f>Task_Tracker!$A463</f>
        <v/>
      </c>
    </row>
    <row r="464" ht="15" customHeight="1" s="40">
      <c r="D464" s="39">
        <f>Task_Tracker!$A464</f>
        <v/>
      </c>
    </row>
    <row r="465" ht="15" customHeight="1" s="40">
      <c r="D465" s="39">
        <f>Task_Tracker!$A465</f>
        <v/>
      </c>
    </row>
    <row r="466" ht="15" customHeight="1" s="40">
      <c r="D466" s="39">
        <f>Task_Tracker!$A466</f>
        <v/>
      </c>
    </row>
    <row r="467" ht="15" customHeight="1" s="40">
      <c r="D467" s="39">
        <f>Task_Tracker!$A467</f>
        <v/>
      </c>
    </row>
    <row r="468" ht="15" customHeight="1" s="40">
      <c r="D468" s="39">
        <f>Task_Tracker!$A468</f>
        <v/>
      </c>
    </row>
    <row r="469" ht="15" customHeight="1" s="40">
      <c r="D469" s="39">
        <f>Task_Tracker!$A469</f>
        <v/>
      </c>
    </row>
    <row r="470" ht="15" customHeight="1" s="40">
      <c r="D470" s="39">
        <f>Task_Tracker!$A470</f>
        <v/>
      </c>
    </row>
    <row r="471" ht="15" customHeight="1" s="40">
      <c r="D471" s="39">
        <f>Task_Tracker!$A471</f>
        <v/>
      </c>
    </row>
    <row r="472" ht="15" customHeight="1" s="40">
      <c r="D472" s="39">
        <f>Task_Tracker!$A472</f>
        <v/>
      </c>
    </row>
    <row r="473" ht="15" customHeight="1" s="40">
      <c r="D473" s="39">
        <f>Task_Tracker!$A473</f>
        <v/>
      </c>
    </row>
    <row r="474" ht="15" customHeight="1" s="40">
      <c r="D474" s="39">
        <f>Task_Tracker!$A474</f>
        <v/>
      </c>
    </row>
    <row r="475" ht="15" customHeight="1" s="40">
      <c r="D475" s="39">
        <f>Task_Tracker!$A475</f>
        <v/>
      </c>
    </row>
    <row r="476" ht="15" customHeight="1" s="40">
      <c r="D476" s="39">
        <f>Task_Tracker!$A476</f>
        <v/>
      </c>
    </row>
    <row r="477" ht="15" customHeight="1" s="40">
      <c r="D477" s="39">
        <f>Task_Tracker!$A477</f>
        <v/>
      </c>
    </row>
    <row r="478" ht="15" customHeight="1" s="40">
      <c r="D478" s="39">
        <f>Task_Tracker!$A478</f>
        <v/>
      </c>
    </row>
    <row r="479" ht="15" customHeight="1" s="40">
      <c r="D479" s="39">
        <f>Task_Tracker!$A479</f>
        <v/>
      </c>
    </row>
    <row r="480" ht="15" customHeight="1" s="40">
      <c r="D480" s="39">
        <f>Task_Tracker!$A480</f>
        <v/>
      </c>
    </row>
    <row r="481" ht="15" customHeight="1" s="40">
      <c r="D481" s="39">
        <f>Task_Tracker!$A481</f>
        <v/>
      </c>
    </row>
    <row r="482" ht="15" customHeight="1" s="40">
      <c r="D482" s="39">
        <f>Task_Tracker!$A482</f>
        <v/>
      </c>
    </row>
    <row r="483" ht="15" customHeight="1" s="40">
      <c r="D483" s="39">
        <f>Task_Tracker!$A483</f>
        <v/>
      </c>
    </row>
    <row r="484" ht="15" customHeight="1" s="40">
      <c r="D484" s="39">
        <f>Task_Tracker!$A484</f>
        <v/>
      </c>
    </row>
    <row r="485" ht="15" customHeight="1" s="40">
      <c r="D485" s="39">
        <f>Task_Tracker!$A485</f>
        <v/>
      </c>
    </row>
    <row r="486" ht="15" customHeight="1" s="40">
      <c r="D486" s="39">
        <f>Task_Tracker!$A486</f>
        <v/>
      </c>
    </row>
    <row r="487" ht="15" customHeight="1" s="40">
      <c r="D487" s="39">
        <f>Task_Tracker!$A487</f>
        <v/>
      </c>
    </row>
    <row r="488" ht="15" customHeight="1" s="40">
      <c r="D488" s="39">
        <f>Task_Tracker!$A488</f>
        <v/>
      </c>
    </row>
    <row r="489" ht="15" customHeight="1" s="40">
      <c r="D489" s="39">
        <f>Task_Tracker!$A489</f>
        <v/>
      </c>
    </row>
    <row r="490" ht="15" customHeight="1" s="40">
      <c r="D490" s="39">
        <f>Task_Tracker!$A490</f>
        <v/>
      </c>
    </row>
    <row r="491" ht="15" customHeight="1" s="40">
      <c r="D491" s="39">
        <f>Task_Tracker!$A491</f>
        <v/>
      </c>
    </row>
    <row r="492" ht="15" customHeight="1" s="40">
      <c r="D492" s="39">
        <f>Task_Tracker!$A492</f>
        <v/>
      </c>
    </row>
    <row r="493" ht="15" customHeight="1" s="40">
      <c r="D493" s="39">
        <f>Task_Tracker!$A493</f>
        <v/>
      </c>
    </row>
    <row r="494" ht="15" customHeight="1" s="40">
      <c r="D494" s="39">
        <f>Task_Tracker!$A494</f>
        <v/>
      </c>
    </row>
    <row r="495" ht="15" customHeight="1" s="40">
      <c r="D495" s="39">
        <f>Task_Tracker!$A495</f>
        <v/>
      </c>
    </row>
    <row r="496" ht="15" customHeight="1" s="40">
      <c r="D496" s="39">
        <f>Task_Tracker!$A496</f>
        <v/>
      </c>
    </row>
    <row r="497" ht="15" customHeight="1" s="40">
      <c r="D497" s="39">
        <f>Task_Tracker!$A497</f>
        <v/>
      </c>
    </row>
    <row r="498" ht="15" customHeight="1" s="40">
      <c r="D498" s="39">
        <f>Task_Tracker!$A498</f>
        <v/>
      </c>
    </row>
    <row r="499" ht="15" customHeight="1" s="40">
      <c r="D499" s="39">
        <f>Task_Tracker!$A499</f>
        <v/>
      </c>
    </row>
    <row r="500" ht="15" customHeight="1" s="40">
      <c r="D500" s="39">
        <f>Task_Tracker!$A500</f>
        <v/>
      </c>
    </row>
    <row r="501" ht="15" customHeight="1" s="40">
      <c r="D501" s="39">
        <f>Task_Tracker!$A501</f>
        <v/>
      </c>
    </row>
    <row r="502" ht="15" customHeight="1" s="40">
      <c r="D502" s="39">
        <f>Task_Tracker!$A502</f>
        <v/>
      </c>
    </row>
    <row r="503" ht="15" customHeight="1" s="40">
      <c r="D503" s="39">
        <f>Task_Tracker!$A503</f>
        <v/>
      </c>
    </row>
    <row r="504" ht="15" customHeight="1" s="40">
      <c r="D504" s="39">
        <f>Task_Tracker!$A504</f>
        <v/>
      </c>
    </row>
    <row r="505" ht="15" customHeight="1" s="40">
      <c r="D505" s="39">
        <f>Task_Tracker!$A505</f>
        <v/>
      </c>
    </row>
    <row r="506" ht="15" customHeight="1" s="40">
      <c r="D506" s="39">
        <f>Task_Tracker!$A506</f>
        <v/>
      </c>
    </row>
    <row r="507" ht="15" customHeight="1" s="40">
      <c r="D507" s="39">
        <f>Task_Tracker!$A507</f>
        <v/>
      </c>
    </row>
    <row r="508" ht="15" customHeight="1" s="40">
      <c r="D508" s="39">
        <f>Task_Tracker!$A508</f>
        <v/>
      </c>
    </row>
    <row r="509" ht="15" customHeight="1" s="40">
      <c r="D509" s="39">
        <f>Task_Tracker!$A509</f>
        <v/>
      </c>
    </row>
    <row r="510" ht="15" customHeight="1" s="40">
      <c r="D510" s="39">
        <f>Task_Tracker!$A510</f>
        <v/>
      </c>
    </row>
    <row r="511" ht="15" customHeight="1" s="40">
      <c r="D511" s="39">
        <f>Task_Tracker!$A511</f>
        <v/>
      </c>
    </row>
    <row r="512" ht="15" customHeight="1" s="40">
      <c r="D512" s="39">
        <f>Task_Tracker!$A512</f>
        <v/>
      </c>
    </row>
    <row r="513" ht="15" customHeight="1" s="40">
      <c r="D513" s="39">
        <f>Task_Tracker!$A513</f>
        <v/>
      </c>
    </row>
    <row r="514" ht="15" customHeight="1" s="40">
      <c r="D514" s="39">
        <f>Task_Tracker!$A514</f>
        <v/>
      </c>
    </row>
    <row r="515" ht="15" customHeight="1" s="40">
      <c r="D515" s="39">
        <f>Task_Tracker!$A515</f>
        <v/>
      </c>
    </row>
    <row r="516" ht="15" customHeight="1" s="40">
      <c r="D516" s="39">
        <f>Task_Tracker!$A516</f>
        <v/>
      </c>
    </row>
    <row r="517" ht="15" customHeight="1" s="40">
      <c r="D517" s="39">
        <f>Task_Tracker!$A517</f>
        <v/>
      </c>
    </row>
    <row r="518" ht="15" customHeight="1" s="40">
      <c r="D518" s="39">
        <f>Task_Tracker!$A518</f>
        <v/>
      </c>
    </row>
    <row r="519" ht="15" customHeight="1" s="40">
      <c r="D519" s="39">
        <f>Task_Tracker!$A519</f>
        <v/>
      </c>
    </row>
    <row r="520" ht="15" customHeight="1" s="40">
      <c r="D520" s="39">
        <f>Task_Tracker!$A520</f>
        <v/>
      </c>
    </row>
    <row r="521" ht="15" customHeight="1" s="40">
      <c r="D521" s="39">
        <f>Task_Tracker!$A521</f>
        <v/>
      </c>
    </row>
    <row r="522" ht="15" customHeight="1" s="40">
      <c r="D522" s="39">
        <f>Task_Tracker!$A522</f>
        <v/>
      </c>
    </row>
    <row r="523" ht="15" customHeight="1" s="40">
      <c r="D523" s="39">
        <f>Task_Tracker!$A523</f>
        <v/>
      </c>
    </row>
    <row r="524" ht="15" customHeight="1" s="40">
      <c r="D524" s="39">
        <f>Task_Tracker!$A524</f>
        <v/>
      </c>
    </row>
    <row r="525" ht="15" customHeight="1" s="40">
      <c r="D525" s="39">
        <f>Task_Tracker!$A525</f>
        <v/>
      </c>
    </row>
    <row r="526" ht="15" customHeight="1" s="40">
      <c r="D526" s="39">
        <f>Task_Tracker!$A526</f>
        <v/>
      </c>
    </row>
    <row r="527" ht="15" customHeight="1" s="40">
      <c r="D527" s="39">
        <f>Task_Tracker!$A527</f>
        <v/>
      </c>
    </row>
    <row r="528" ht="15" customHeight="1" s="40">
      <c r="D528" s="39">
        <f>Task_Tracker!$A528</f>
        <v/>
      </c>
    </row>
    <row r="529" ht="15" customHeight="1" s="40">
      <c r="D529" s="39">
        <f>Task_Tracker!$A529</f>
        <v/>
      </c>
    </row>
    <row r="530" ht="15" customHeight="1" s="40">
      <c r="D530" s="39">
        <f>Task_Tracker!$A530</f>
        <v/>
      </c>
    </row>
    <row r="531" ht="15" customHeight="1" s="40">
      <c r="D531" s="39">
        <f>Task_Tracker!$A531</f>
        <v/>
      </c>
    </row>
    <row r="532" ht="15" customHeight="1" s="40">
      <c r="D532" s="39">
        <f>Task_Tracker!$A532</f>
        <v/>
      </c>
    </row>
    <row r="533" ht="15" customHeight="1" s="40">
      <c r="D533" s="39">
        <f>Task_Tracker!$A533</f>
        <v/>
      </c>
    </row>
    <row r="534" ht="15" customHeight="1" s="40">
      <c r="D534" s="39">
        <f>Task_Tracker!$A534</f>
        <v/>
      </c>
    </row>
    <row r="535" ht="15" customHeight="1" s="40">
      <c r="D535" s="39">
        <f>Task_Tracker!$A535</f>
        <v/>
      </c>
    </row>
    <row r="536" ht="15" customHeight="1" s="40">
      <c r="D536" s="39">
        <f>Task_Tracker!$A536</f>
        <v/>
      </c>
    </row>
    <row r="537" ht="15" customHeight="1" s="40">
      <c r="D537" s="39">
        <f>Task_Tracker!$A537</f>
        <v/>
      </c>
    </row>
    <row r="538" ht="15" customHeight="1" s="40">
      <c r="D538" s="39">
        <f>Task_Tracker!$A538</f>
        <v/>
      </c>
    </row>
    <row r="539" ht="15" customHeight="1" s="40">
      <c r="D539" s="39">
        <f>Task_Tracker!$A539</f>
        <v/>
      </c>
    </row>
    <row r="540" ht="15" customHeight="1" s="40">
      <c r="D540" s="39">
        <f>Task_Tracker!$A540</f>
        <v/>
      </c>
    </row>
    <row r="541" ht="15" customHeight="1" s="40">
      <c r="D541" s="39">
        <f>Task_Tracker!$A541</f>
        <v/>
      </c>
    </row>
    <row r="542" ht="15" customHeight="1" s="40">
      <c r="D542" s="39">
        <f>Task_Tracker!$A542</f>
        <v/>
      </c>
    </row>
    <row r="543" ht="15" customHeight="1" s="40">
      <c r="D543" s="39">
        <f>Task_Tracker!$A543</f>
        <v/>
      </c>
    </row>
    <row r="544" ht="15" customHeight="1" s="40">
      <c r="D544" s="39">
        <f>Task_Tracker!$A544</f>
        <v/>
      </c>
    </row>
    <row r="545" ht="15" customHeight="1" s="40">
      <c r="D545" s="39">
        <f>Task_Tracker!$A545</f>
        <v/>
      </c>
    </row>
    <row r="546" ht="15" customHeight="1" s="40">
      <c r="D546" s="39">
        <f>Task_Tracker!$A546</f>
        <v/>
      </c>
    </row>
    <row r="547" ht="15" customHeight="1" s="40">
      <c r="D547" s="39">
        <f>Task_Tracker!$A547</f>
        <v/>
      </c>
    </row>
    <row r="548" ht="15" customHeight="1" s="40">
      <c r="D548" s="39">
        <f>Task_Tracker!$A548</f>
        <v/>
      </c>
    </row>
    <row r="549" ht="15" customHeight="1" s="40">
      <c r="D549" s="39">
        <f>Task_Tracker!$A549</f>
        <v/>
      </c>
    </row>
    <row r="550" ht="15" customHeight="1" s="40">
      <c r="D550" s="39">
        <f>Task_Tracker!$A550</f>
        <v/>
      </c>
    </row>
    <row r="551" ht="15" customHeight="1" s="40">
      <c r="D551" s="39">
        <f>Task_Tracker!$A551</f>
        <v/>
      </c>
    </row>
    <row r="552" ht="15" customHeight="1" s="40">
      <c r="D552" s="39">
        <f>Task_Tracker!$A552</f>
        <v/>
      </c>
    </row>
    <row r="553" ht="15" customHeight="1" s="40">
      <c r="D553" s="39">
        <f>Task_Tracker!$A553</f>
        <v/>
      </c>
    </row>
    <row r="554" ht="15" customHeight="1" s="40">
      <c r="D554" s="39">
        <f>Task_Tracker!$A554</f>
        <v/>
      </c>
    </row>
    <row r="555" ht="15" customHeight="1" s="40">
      <c r="D555" s="39">
        <f>Task_Tracker!$A555</f>
        <v/>
      </c>
    </row>
    <row r="556" ht="15" customHeight="1" s="40">
      <c r="D556" s="39">
        <f>Task_Tracker!$A556</f>
        <v/>
      </c>
    </row>
    <row r="557" ht="15" customHeight="1" s="40">
      <c r="D557" s="39">
        <f>Task_Tracker!$A557</f>
        <v/>
      </c>
    </row>
    <row r="558" ht="15" customHeight="1" s="40">
      <c r="D558" s="39">
        <f>Task_Tracker!$A558</f>
        <v/>
      </c>
    </row>
    <row r="559" ht="15" customHeight="1" s="40">
      <c r="D559" s="39">
        <f>Task_Tracker!$A559</f>
        <v/>
      </c>
    </row>
    <row r="560" ht="15" customHeight="1" s="40">
      <c r="D560" s="39">
        <f>Task_Tracker!$A560</f>
        <v/>
      </c>
    </row>
    <row r="561" ht="15" customHeight="1" s="40">
      <c r="D561" s="39">
        <f>Task_Tracker!$A561</f>
        <v/>
      </c>
    </row>
    <row r="562" ht="15" customHeight="1" s="40">
      <c r="D562" s="39">
        <f>Task_Tracker!$A562</f>
        <v/>
      </c>
    </row>
    <row r="563" ht="15" customHeight="1" s="40">
      <c r="D563" s="39">
        <f>Task_Tracker!$A563</f>
        <v/>
      </c>
    </row>
    <row r="564" ht="15" customHeight="1" s="40">
      <c r="D564" s="39">
        <f>Task_Tracker!$A564</f>
        <v/>
      </c>
    </row>
    <row r="565" ht="15" customHeight="1" s="40">
      <c r="D565" s="39">
        <f>Task_Tracker!$A565</f>
        <v/>
      </c>
    </row>
    <row r="566" ht="15" customHeight="1" s="40">
      <c r="D566" s="39">
        <f>Task_Tracker!$A566</f>
        <v/>
      </c>
    </row>
    <row r="567" ht="15" customHeight="1" s="40">
      <c r="D567" s="39">
        <f>Task_Tracker!$A567</f>
        <v/>
      </c>
    </row>
    <row r="568" ht="15" customHeight="1" s="40">
      <c r="D568" s="39">
        <f>Task_Tracker!$A568</f>
        <v/>
      </c>
    </row>
    <row r="569" ht="15" customHeight="1" s="40">
      <c r="D569" s="39">
        <f>Task_Tracker!$A569</f>
        <v/>
      </c>
    </row>
    <row r="570" ht="15" customHeight="1" s="40">
      <c r="D570" s="39">
        <f>Task_Tracker!$A570</f>
        <v/>
      </c>
    </row>
    <row r="571" ht="15" customHeight="1" s="40">
      <c r="D571" s="39">
        <f>Task_Tracker!$A571</f>
        <v/>
      </c>
    </row>
    <row r="572" ht="15" customHeight="1" s="40">
      <c r="D572" s="39">
        <f>Task_Tracker!$A572</f>
        <v/>
      </c>
    </row>
    <row r="573" ht="15" customHeight="1" s="40">
      <c r="D573" s="39">
        <f>Task_Tracker!$A573</f>
        <v/>
      </c>
    </row>
    <row r="574" ht="15" customHeight="1" s="40">
      <c r="D574" s="39">
        <f>Task_Tracker!$A574</f>
        <v/>
      </c>
    </row>
    <row r="575" ht="15" customHeight="1" s="40">
      <c r="D575" s="39">
        <f>Task_Tracker!$A575</f>
        <v/>
      </c>
    </row>
    <row r="576" ht="15" customHeight="1" s="40">
      <c r="D576" s="39">
        <f>Task_Tracker!$A576</f>
        <v/>
      </c>
    </row>
    <row r="577" ht="15" customHeight="1" s="40">
      <c r="D577" s="39">
        <f>Task_Tracker!$A577</f>
        <v/>
      </c>
    </row>
    <row r="578" ht="15" customHeight="1" s="40">
      <c r="D578" s="39">
        <f>Task_Tracker!$A578</f>
        <v/>
      </c>
    </row>
    <row r="579" ht="15" customHeight="1" s="40">
      <c r="D579" s="39">
        <f>Task_Tracker!$A579</f>
        <v/>
      </c>
    </row>
    <row r="580" ht="15" customHeight="1" s="40">
      <c r="D580" s="39">
        <f>Task_Tracker!$A580</f>
        <v/>
      </c>
    </row>
    <row r="581" ht="15" customHeight="1" s="40">
      <c r="D581" s="39">
        <f>Task_Tracker!$A581</f>
        <v/>
      </c>
    </row>
    <row r="582" ht="15" customHeight="1" s="40">
      <c r="D582" s="39">
        <f>Task_Tracker!$A582</f>
        <v/>
      </c>
    </row>
    <row r="583" ht="15" customHeight="1" s="40">
      <c r="D583" s="39">
        <f>Task_Tracker!$A583</f>
        <v/>
      </c>
    </row>
    <row r="584" ht="15" customHeight="1" s="40">
      <c r="D584" s="39">
        <f>Task_Tracker!$A584</f>
        <v/>
      </c>
    </row>
    <row r="585" ht="15" customHeight="1" s="40">
      <c r="D585" s="39">
        <f>Task_Tracker!$A585</f>
        <v/>
      </c>
    </row>
    <row r="586" ht="15" customHeight="1" s="40">
      <c r="D586" s="39">
        <f>Task_Tracker!$A586</f>
        <v/>
      </c>
    </row>
    <row r="587" ht="15" customHeight="1" s="40">
      <c r="D587" s="39">
        <f>Task_Tracker!$A587</f>
        <v/>
      </c>
    </row>
    <row r="588" ht="15" customHeight="1" s="40">
      <c r="D588" s="39">
        <f>Task_Tracker!$A588</f>
        <v/>
      </c>
    </row>
    <row r="589" ht="15" customHeight="1" s="40">
      <c r="D589" s="39">
        <f>Task_Tracker!$A589</f>
        <v/>
      </c>
    </row>
    <row r="590" ht="15" customHeight="1" s="40">
      <c r="D590" s="39">
        <f>Task_Tracker!$A590</f>
        <v/>
      </c>
    </row>
    <row r="591" ht="15" customHeight="1" s="40">
      <c r="D591" s="39">
        <f>Task_Tracker!$A591</f>
        <v/>
      </c>
    </row>
    <row r="592" ht="15" customHeight="1" s="40">
      <c r="D592" s="39">
        <f>Task_Tracker!$A592</f>
        <v/>
      </c>
    </row>
    <row r="593" ht="15" customHeight="1" s="40">
      <c r="D593" s="39">
        <f>Task_Tracker!$A593</f>
        <v/>
      </c>
    </row>
    <row r="594" ht="15" customHeight="1" s="40">
      <c r="D594" s="39">
        <f>Task_Tracker!$A594</f>
        <v/>
      </c>
    </row>
    <row r="595" ht="15" customHeight="1" s="40">
      <c r="D595" s="39">
        <f>Task_Tracker!$A595</f>
        <v/>
      </c>
    </row>
    <row r="596" ht="15" customHeight="1" s="40">
      <c r="D596" s="39">
        <f>Task_Tracker!$A596</f>
        <v/>
      </c>
    </row>
    <row r="597" ht="15" customHeight="1" s="40">
      <c r="D597" s="39">
        <f>Task_Tracker!$A597</f>
        <v/>
      </c>
    </row>
    <row r="598" ht="15" customHeight="1" s="40">
      <c r="D598" s="39">
        <f>Task_Tracker!$A598</f>
        <v/>
      </c>
    </row>
    <row r="599" ht="15" customHeight="1" s="40">
      <c r="D599" s="39">
        <f>Task_Tracker!$A599</f>
        <v/>
      </c>
    </row>
    <row r="600" ht="15" customHeight="1" s="40">
      <c r="D600" s="39">
        <f>Task_Tracker!$A600</f>
        <v/>
      </c>
    </row>
    <row r="601" ht="15" customHeight="1" s="40">
      <c r="D601" s="39">
        <f>Task_Tracker!$A601</f>
        <v/>
      </c>
    </row>
    <row r="602" ht="15" customHeight="1" s="40">
      <c r="D602" s="39">
        <f>Task_Tracker!$A602</f>
        <v/>
      </c>
    </row>
    <row r="603" ht="15" customHeight="1" s="40">
      <c r="D603" s="39">
        <f>Task_Tracker!$A603</f>
        <v/>
      </c>
    </row>
    <row r="604" ht="15" customHeight="1" s="40">
      <c r="D604" s="39">
        <f>Task_Tracker!$A604</f>
        <v/>
      </c>
    </row>
    <row r="605" ht="15" customHeight="1" s="40">
      <c r="D605" s="39">
        <f>Task_Tracker!$A605</f>
        <v/>
      </c>
    </row>
    <row r="606" ht="15" customHeight="1" s="40">
      <c r="D606" s="39">
        <f>Task_Tracker!$A606</f>
        <v/>
      </c>
    </row>
    <row r="607" ht="15" customHeight="1" s="40">
      <c r="D607" s="39">
        <f>Task_Tracker!$A607</f>
        <v/>
      </c>
    </row>
    <row r="608" ht="15" customHeight="1" s="40">
      <c r="D608" s="39">
        <f>Task_Tracker!$A608</f>
        <v/>
      </c>
    </row>
    <row r="609" ht="15" customHeight="1" s="40">
      <c r="D609" s="39">
        <f>Task_Tracker!$A609</f>
        <v/>
      </c>
    </row>
    <row r="610" ht="15" customHeight="1" s="40">
      <c r="D610" s="39">
        <f>Task_Tracker!$A610</f>
        <v/>
      </c>
    </row>
    <row r="611" ht="15" customHeight="1" s="40">
      <c r="D611" s="39">
        <f>Task_Tracker!$A611</f>
        <v/>
      </c>
    </row>
    <row r="612" ht="15" customHeight="1" s="40">
      <c r="D612" s="39">
        <f>Task_Tracker!$A612</f>
        <v/>
      </c>
    </row>
    <row r="613" ht="15" customHeight="1" s="40">
      <c r="D613" s="39">
        <f>Task_Tracker!$A613</f>
        <v/>
      </c>
    </row>
    <row r="614" ht="15" customHeight="1" s="40">
      <c r="D614" s="39">
        <f>Task_Tracker!$A614</f>
        <v/>
      </c>
    </row>
    <row r="615" ht="15" customHeight="1" s="40">
      <c r="D615" s="39">
        <f>Task_Tracker!$A615</f>
        <v/>
      </c>
    </row>
    <row r="616" ht="15" customHeight="1" s="40">
      <c r="D616" s="39">
        <f>Task_Tracker!$A616</f>
        <v/>
      </c>
    </row>
    <row r="617" ht="15" customHeight="1" s="40">
      <c r="D617" s="39">
        <f>Task_Tracker!$A617</f>
        <v/>
      </c>
    </row>
    <row r="618" ht="15" customHeight="1" s="40">
      <c r="D618" s="39">
        <f>Task_Tracker!$A618</f>
        <v/>
      </c>
    </row>
    <row r="619" ht="15" customHeight="1" s="40">
      <c r="D619" s="39">
        <f>Task_Tracker!$A619</f>
        <v/>
      </c>
    </row>
    <row r="620" ht="15" customHeight="1" s="40">
      <c r="D620" s="39">
        <f>Task_Tracker!$A620</f>
        <v/>
      </c>
    </row>
    <row r="621" ht="15" customHeight="1" s="40">
      <c r="D621" s="39">
        <f>Task_Tracker!$A621</f>
        <v/>
      </c>
    </row>
    <row r="622" ht="15" customHeight="1" s="40">
      <c r="D622" s="39">
        <f>Task_Tracker!$A622</f>
        <v/>
      </c>
    </row>
    <row r="623" ht="15" customHeight="1" s="40">
      <c r="D623" s="39">
        <f>Task_Tracker!$A623</f>
        <v/>
      </c>
    </row>
    <row r="624" ht="15" customHeight="1" s="40">
      <c r="D624" s="39">
        <f>Task_Tracker!$A624</f>
        <v/>
      </c>
    </row>
    <row r="625" ht="15" customHeight="1" s="40">
      <c r="D625" s="39">
        <f>Task_Tracker!$A625</f>
        <v/>
      </c>
    </row>
    <row r="626" ht="15" customHeight="1" s="40">
      <c r="D626" s="39">
        <f>Task_Tracker!$A626</f>
        <v/>
      </c>
    </row>
    <row r="627" ht="15" customHeight="1" s="40">
      <c r="D627" s="39">
        <f>Task_Tracker!$A627</f>
        <v/>
      </c>
    </row>
    <row r="628" ht="15" customHeight="1" s="40">
      <c r="D628" s="39">
        <f>Task_Tracker!$A628</f>
        <v/>
      </c>
    </row>
    <row r="629" ht="15" customHeight="1" s="40">
      <c r="D629" s="39">
        <f>Task_Tracker!$A629</f>
        <v/>
      </c>
    </row>
    <row r="630" ht="15" customHeight="1" s="40">
      <c r="D630" s="39">
        <f>Task_Tracker!$A630</f>
        <v/>
      </c>
    </row>
    <row r="631" ht="15" customHeight="1" s="40">
      <c r="D631" s="39">
        <f>Task_Tracker!$A631</f>
        <v/>
      </c>
    </row>
    <row r="632" ht="15" customHeight="1" s="40">
      <c r="D632" s="39">
        <f>Task_Tracker!$A632</f>
        <v/>
      </c>
    </row>
    <row r="633" ht="15" customHeight="1" s="40">
      <c r="D633" s="39">
        <f>Task_Tracker!$A633</f>
        <v/>
      </c>
    </row>
    <row r="634" ht="15" customHeight="1" s="40">
      <c r="D634" s="39">
        <f>Task_Tracker!$A634</f>
        <v/>
      </c>
    </row>
    <row r="635" ht="15" customHeight="1" s="40">
      <c r="D635" s="39">
        <f>Task_Tracker!$A635</f>
        <v/>
      </c>
    </row>
    <row r="636" ht="15" customHeight="1" s="40">
      <c r="D636" s="39">
        <f>Task_Tracker!$A636</f>
        <v/>
      </c>
    </row>
    <row r="637" ht="15" customHeight="1" s="40">
      <c r="D637" s="39">
        <f>Task_Tracker!$A637</f>
        <v/>
      </c>
    </row>
    <row r="638" ht="15" customHeight="1" s="40">
      <c r="D638" s="39">
        <f>Task_Tracker!$A638</f>
        <v/>
      </c>
    </row>
    <row r="639" ht="15" customHeight="1" s="40">
      <c r="D639" s="39">
        <f>Task_Tracker!$A639</f>
        <v/>
      </c>
    </row>
    <row r="640" ht="15" customHeight="1" s="40">
      <c r="D640" s="39">
        <f>Task_Tracker!$A640</f>
        <v/>
      </c>
    </row>
    <row r="641" ht="15" customHeight="1" s="40">
      <c r="D641" s="39">
        <f>Task_Tracker!$A641</f>
        <v/>
      </c>
    </row>
    <row r="642" ht="15" customHeight="1" s="40">
      <c r="D642" s="39">
        <f>Task_Tracker!$A642</f>
        <v/>
      </c>
    </row>
    <row r="643" ht="15" customHeight="1" s="40">
      <c r="D643" s="39">
        <f>Task_Tracker!$A643</f>
        <v/>
      </c>
    </row>
    <row r="644" ht="15" customHeight="1" s="40">
      <c r="D644" s="39">
        <f>Task_Tracker!$A644</f>
        <v/>
      </c>
    </row>
    <row r="645" ht="15" customHeight="1" s="40">
      <c r="D645" s="39">
        <f>Task_Tracker!$A645</f>
        <v/>
      </c>
    </row>
    <row r="646" ht="15" customHeight="1" s="40">
      <c r="D646" s="39">
        <f>Task_Tracker!$A646</f>
        <v/>
      </c>
    </row>
    <row r="647" ht="15" customHeight="1" s="40">
      <c r="D647" s="39">
        <f>Task_Tracker!$A647</f>
        <v/>
      </c>
    </row>
    <row r="648" ht="15" customHeight="1" s="40">
      <c r="D648" s="39">
        <f>Task_Tracker!$A648</f>
        <v/>
      </c>
    </row>
    <row r="649" ht="15" customHeight="1" s="40">
      <c r="D649" s="39">
        <f>Task_Tracker!$A649</f>
        <v/>
      </c>
    </row>
    <row r="650" ht="15" customHeight="1" s="40">
      <c r="D650" s="39">
        <f>Task_Tracker!$A650</f>
        <v/>
      </c>
    </row>
    <row r="651" ht="15" customHeight="1" s="40">
      <c r="D651" s="39">
        <f>Task_Tracker!$A651</f>
        <v/>
      </c>
    </row>
    <row r="652" ht="15" customHeight="1" s="40">
      <c r="D652" s="39">
        <f>Task_Tracker!$A652</f>
        <v/>
      </c>
    </row>
    <row r="653" ht="15" customHeight="1" s="40">
      <c r="D653" s="39">
        <f>Task_Tracker!$A653</f>
        <v/>
      </c>
    </row>
    <row r="654" ht="15" customHeight="1" s="40">
      <c r="D654" s="39">
        <f>Task_Tracker!$A654</f>
        <v/>
      </c>
    </row>
    <row r="655" ht="15" customHeight="1" s="40">
      <c r="D655" s="39">
        <f>Task_Tracker!$A655</f>
        <v/>
      </c>
    </row>
    <row r="656" ht="15" customHeight="1" s="40">
      <c r="D656" s="39">
        <f>Task_Tracker!$A656</f>
        <v/>
      </c>
    </row>
    <row r="657" ht="15" customHeight="1" s="40">
      <c r="D657" s="39">
        <f>Task_Tracker!$A657</f>
        <v/>
      </c>
    </row>
    <row r="658" ht="15" customHeight="1" s="40">
      <c r="D658" s="39">
        <f>Task_Tracker!$A658</f>
        <v/>
      </c>
    </row>
    <row r="659" ht="15" customHeight="1" s="40">
      <c r="D659" s="39">
        <f>Task_Tracker!$A659</f>
        <v/>
      </c>
    </row>
    <row r="660" ht="15" customHeight="1" s="40">
      <c r="D660" s="39">
        <f>Task_Tracker!$A660</f>
        <v/>
      </c>
    </row>
    <row r="661" ht="15" customHeight="1" s="40">
      <c r="D661" s="39">
        <f>Task_Tracker!$A661</f>
        <v/>
      </c>
    </row>
    <row r="662" ht="15" customHeight="1" s="40">
      <c r="D662" s="39">
        <f>Task_Tracker!$A662</f>
        <v/>
      </c>
    </row>
    <row r="663" ht="15" customHeight="1" s="40">
      <c r="D663" s="39">
        <f>Task_Tracker!$A663</f>
        <v/>
      </c>
    </row>
    <row r="664" ht="15" customHeight="1" s="40">
      <c r="D664" s="39">
        <f>Task_Tracker!$A664</f>
        <v/>
      </c>
    </row>
    <row r="665" ht="15" customHeight="1" s="40">
      <c r="D665" s="39">
        <f>Task_Tracker!$A665</f>
        <v/>
      </c>
    </row>
    <row r="666" ht="15" customHeight="1" s="40">
      <c r="D666" s="39">
        <f>Task_Tracker!$A666</f>
        <v/>
      </c>
    </row>
    <row r="667" ht="15" customHeight="1" s="40">
      <c r="D667" s="39">
        <f>Task_Tracker!$A667</f>
        <v/>
      </c>
    </row>
    <row r="668" ht="15" customHeight="1" s="40">
      <c r="D668" s="39">
        <f>Task_Tracker!$A668</f>
        <v/>
      </c>
    </row>
    <row r="669" ht="15" customHeight="1" s="40">
      <c r="D669" s="39">
        <f>Task_Tracker!$A669</f>
        <v/>
      </c>
    </row>
    <row r="670" ht="15" customHeight="1" s="40">
      <c r="D670" s="39">
        <f>Task_Tracker!$A670</f>
        <v/>
      </c>
    </row>
    <row r="671" ht="15" customHeight="1" s="40">
      <c r="D671" s="39">
        <f>Task_Tracker!$A671</f>
        <v/>
      </c>
    </row>
    <row r="672" ht="15" customHeight="1" s="40">
      <c r="D672" s="39">
        <f>Task_Tracker!$A672</f>
        <v/>
      </c>
    </row>
    <row r="673" ht="15" customHeight="1" s="40">
      <c r="D673" s="39">
        <f>Task_Tracker!$A673</f>
        <v/>
      </c>
    </row>
    <row r="674" ht="15" customHeight="1" s="40">
      <c r="D674" s="39">
        <f>Task_Tracker!$A674</f>
        <v/>
      </c>
    </row>
    <row r="675" ht="15" customHeight="1" s="40">
      <c r="D675" s="39">
        <f>Task_Tracker!$A675</f>
        <v/>
      </c>
    </row>
    <row r="676" ht="15" customHeight="1" s="40">
      <c r="D676" s="39">
        <f>Task_Tracker!$A676</f>
        <v/>
      </c>
    </row>
    <row r="677" ht="15" customHeight="1" s="40">
      <c r="D677" s="39">
        <f>Task_Tracker!$A677</f>
        <v/>
      </c>
    </row>
    <row r="678" ht="15" customHeight="1" s="40">
      <c r="D678" s="39">
        <f>Task_Tracker!$A678</f>
        <v/>
      </c>
    </row>
    <row r="679" ht="15" customHeight="1" s="40">
      <c r="D679" s="39">
        <f>Task_Tracker!$A679</f>
        <v/>
      </c>
    </row>
    <row r="680" ht="15" customHeight="1" s="40">
      <c r="D680" s="39">
        <f>Task_Tracker!$A680</f>
        <v/>
      </c>
    </row>
    <row r="681" ht="15" customHeight="1" s="40">
      <c r="D681" s="39">
        <f>Task_Tracker!$A681</f>
        <v/>
      </c>
    </row>
    <row r="682" ht="15" customHeight="1" s="40">
      <c r="D682" s="39">
        <f>Task_Tracker!$A682</f>
        <v/>
      </c>
    </row>
    <row r="683" ht="15" customHeight="1" s="40">
      <c r="D683" s="39">
        <f>Task_Tracker!$A683</f>
        <v/>
      </c>
    </row>
    <row r="684" ht="15" customHeight="1" s="40">
      <c r="D684" s="39">
        <f>Task_Tracker!$A684</f>
        <v/>
      </c>
    </row>
    <row r="685" ht="15" customHeight="1" s="40">
      <c r="D685" s="39">
        <f>Task_Tracker!$A685</f>
        <v/>
      </c>
    </row>
    <row r="686" ht="15" customHeight="1" s="40">
      <c r="D686" s="39">
        <f>Task_Tracker!$A686</f>
        <v/>
      </c>
    </row>
    <row r="687" ht="15" customHeight="1" s="40">
      <c r="D687" s="39">
        <f>Task_Tracker!$A687</f>
        <v/>
      </c>
    </row>
    <row r="688" ht="15" customHeight="1" s="40">
      <c r="D688" s="39">
        <f>Task_Tracker!$A688</f>
        <v/>
      </c>
    </row>
    <row r="689" ht="15" customHeight="1" s="40">
      <c r="D689" s="39">
        <f>Task_Tracker!$A689</f>
        <v/>
      </c>
    </row>
    <row r="690" ht="15" customHeight="1" s="40">
      <c r="D690" s="39">
        <f>Task_Tracker!$A690</f>
        <v/>
      </c>
    </row>
    <row r="691" ht="15" customHeight="1" s="40">
      <c r="D691" s="39">
        <f>Task_Tracker!$A691</f>
        <v/>
      </c>
    </row>
    <row r="692" ht="15" customHeight="1" s="40">
      <c r="D692" s="39">
        <f>Task_Tracker!$A692</f>
        <v/>
      </c>
    </row>
    <row r="693" ht="15" customHeight="1" s="40">
      <c r="D693" s="39">
        <f>Task_Tracker!$A693</f>
        <v/>
      </c>
    </row>
    <row r="694" ht="15" customHeight="1" s="40">
      <c r="D694" s="39">
        <f>Task_Tracker!$A694</f>
        <v/>
      </c>
    </row>
    <row r="695" ht="15" customHeight="1" s="40">
      <c r="D695" s="39">
        <f>Task_Tracker!$A695</f>
        <v/>
      </c>
    </row>
    <row r="696" ht="15" customHeight="1" s="40">
      <c r="D696" s="39">
        <f>Task_Tracker!$A696</f>
        <v/>
      </c>
    </row>
    <row r="697" ht="15" customHeight="1" s="40">
      <c r="D697" s="39">
        <f>Task_Tracker!$A697</f>
        <v/>
      </c>
    </row>
    <row r="698" ht="15" customHeight="1" s="40">
      <c r="D698" s="39">
        <f>Task_Tracker!$A698</f>
        <v/>
      </c>
    </row>
    <row r="699" ht="15" customHeight="1" s="40">
      <c r="D699" s="39">
        <f>Task_Tracker!$A699</f>
        <v/>
      </c>
    </row>
    <row r="700" ht="15" customHeight="1" s="40">
      <c r="D700" s="39">
        <f>Task_Tracker!$A700</f>
        <v/>
      </c>
    </row>
    <row r="701" ht="15" customHeight="1" s="40">
      <c r="D701" s="39">
        <f>Task_Tracker!$A701</f>
        <v/>
      </c>
    </row>
    <row r="702" ht="15" customHeight="1" s="40">
      <c r="D702" s="39">
        <f>Task_Tracker!$A702</f>
        <v/>
      </c>
    </row>
    <row r="703" ht="15" customHeight="1" s="40">
      <c r="D703" s="39">
        <f>Task_Tracker!$A703</f>
        <v/>
      </c>
    </row>
    <row r="704" ht="15" customHeight="1" s="40">
      <c r="D704" s="39">
        <f>Task_Tracker!$A704</f>
        <v/>
      </c>
    </row>
    <row r="705" ht="15" customHeight="1" s="40">
      <c r="D705" s="39">
        <f>Task_Tracker!$A705</f>
        <v/>
      </c>
    </row>
    <row r="706" ht="15" customHeight="1" s="40">
      <c r="D706" s="39">
        <f>Task_Tracker!$A706</f>
        <v/>
      </c>
    </row>
    <row r="707" ht="15" customHeight="1" s="40">
      <c r="D707" s="39">
        <f>Task_Tracker!$A707</f>
        <v/>
      </c>
    </row>
    <row r="708" ht="15" customHeight="1" s="40">
      <c r="D708" s="39">
        <f>Task_Tracker!$A708</f>
        <v/>
      </c>
    </row>
    <row r="709" ht="15" customHeight="1" s="40">
      <c r="D709" s="39">
        <f>Task_Tracker!$A709</f>
        <v/>
      </c>
    </row>
    <row r="710" ht="15" customHeight="1" s="40">
      <c r="D710" s="39">
        <f>Task_Tracker!$A710</f>
        <v/>
      </c>
    </row>
    <row r="711" ht="15" customHeight="1" s="40">
      <c r="D711" s="39">
        <f>Task_Tracker!$A711</f>
        <v/>
      </c>
    </row>
    <row r="712" ht="15" customHeight="1" s="40">
      <c r="D712" s="39">
        <f>Task_Tracker!$A712</f>
        <v/>
      </c>
    </row>
    <row r="713" ht="15" customHeight="1" s="40">
      <c r="D713" s="39">
        <f>Task_Tracker!$A713</f>
        <v/>
      </c>
    </row>
    <row r="714" ht="15" customHeight="1" s="40">
      <c r="D714" s="39">
        <f>Task_Tracker!$A714</f>
        <v/>
      </c>
    </row>
    <row r="715" ht="15" customHeight="1" s="40">
      <c r="D715" s="39">
        <f>Task_Tracker!$A715</f>
        <v/>
      </c>
    </row>
    <row r="716" ht="15" customHeight="1" s="40">
      <c r="D716" s="39">
        <f>Task_Tracker!$A716</f>
        <v/>
      </c>
    </row>
    <row r="717" ht="15" customHeight="1" s="40">
      <c r="D717" s="39">
        <f>Task_Tracker!$A717</f>
        <v/>
      </c>
    </row>
    <row r="718" ht="15" customHeight="1" s="40">
      <c r="D718" s="39">
        <f>Task_Tracker!$A718</f>
        <v/>
      </c>
    </row>
    <row r="719" ht="15" customHeight="1" s="40">
      <c r="D719" s="39">
        <f>Task_Tracker!$A719</f>
        <v/>
      </c>
    </row>
    <row r="720" ht="15" customHeight="1" s="40">
      <c r="D720" s="39">
        <f>Task_Tracker!$A720</f>
        <v/>
      </c>
    </row>
    <row r="721" ht="15" customHeight="1" s="40">
      <c r="D721" s="39">
        <f>Task_Tracker!$A721</f>
        <v/>
      </c>
    </row>
    <row r="722" ht="15" customHeight="1" s="40">
      <c r="D722" s="39">
        <f>Task_Tracker!$A722</f>
        <v/>
      </c>
    </row>
    <row r="723" ht="15" customHeight="1" s="40">
      <c r="D723" s="39">
        <f>Task_Tracker!$A723</f>
        <v/>
      </c>
    </row>
    <row r="724" ht="15" customHeight="1" s="40">
      <c r="D724" s="39">
        <f>Task_Tracker!$A724</f>
        <v/>
      </c>
    </row>
    <row r="725" ht="15" customHeight="1" s="40">
      <c r="D725" s="39">
        <f>Task_Tracker!$A725</f>
        <v/>
      </c>
    </row>
    <row r="726" ht="15" customHeight="1" s="40">
      <c r="D726" s="39">
        <f>Task_Tracker!$A726</f>
        <v/>
      </c>
    </row>
    <row r="727" ht="15" customHeight="1" s="40">
      <c r="D727" s="39">
        <f>Task_Tracker!$A727</f>
        <v/>
      </c>
    </row>
    <row r="728" ht="15" customHeight="1" s="40">
      <c r="D728" s="39">
        <f>Task_Tracker!$A728</f>
        <v/>
      </c>
    </row>
    <row r="729" ht="15" customHeight="1" s="40">
      <c r="D729" s="39">
        <f>Task_Tracker!$A729</f>
        <v/>
      </c>
    </row>
    <row r="730" ht="15" customHeight="1" s="40">
      <c r="D730" s="39">
        <f>Task_Tracker!$A730</f>
        <v/>
      </c>
    </row>
    <row r="731" ht="15" customHeight="1" s="40">
      <c r="D731" s="39">
        <f>Task_Tracker!$A731</f>
        <v/>
      </c>
    </row>
    <row r="732" ht="15" customHeight="1" s="40">
      <c r="D732" s="39">
        <f>Task_Tracker!$A732</f>
        <v/>
      </c>
    </row>
    <row r="733" ht="15" customHeight="1" s="40">
      <c r="D733" s="39">
        <f>Task_Tracker!$A733</f>
        <v/>
      </c>
    </row>
    <row r="734" ht="15" customHeight="1" s="40">
      <c r="D734" s="39">
        <f>Task_Tracker!$A734</f>
        <v/>
      </c>
    </row>
    <row r="735" ht="15" customHeight="1" s="40">
      <c r="D735" s="39">
        <f>Task_Tracker!$A735</f>
        <v/>
      </c>
    </row>
    <row r="736" ht="15" customHeight="1" s="40">
      <c r="D736" s="39">
        <f>Task_Tracker!$A736</f>
        <v/>
      </c>
    </row>
    <row r="737" ht="15" customHeight="1" s="40">
      <c r="D737" s="39">
        <f>Task_Tracker!$A737</f>
        <v/>
      </c>
    </row>
    <row r="738" ht="15" customHeight="1" s="40">
      <c r="D738" s="39">
        <f>Task_Tracker!$A738</f>
        <v/>
      </c>
    </row>
    <row r="739" ht="15" customHeight="1" s="40">
      <c r="D739" s="39">
        <f>Task_Tracker!$A739</f>
        <v/>
      </c>
    </row>
    <row r="740" ht="15" customHeight="1" s="40">
      <c r="D740" s="39">
        <f>Task_Tracker!$A740</f>
        <v/>
      </c>
    </row>
    <row r="741" ht="15" customHeight="1" s="40">
      <c r="D741" s="39">
        <f>Task_Tracker!$A741</f>
        <v/>
      </c>
    </row>
    <row r="742" ht="15" customHeight="1" s="40">
      <c r="D742" s="39">
        <f>Task_Tracker!$A742</f>
        <v/>
      </c>
    </row>
    <row r="743" ht="15" customHeight="1" s="40">
      <c r="D743" s="39">
        <f>Task_Tracker!$A743</f>
        <v/>
      </c>
    </row>
    <row r="744" ht="15" customHeight="1" s="40">
      <c r="D744" s="39">
        <f>Task_Tracker!$A744</f>
        <v/>
      </c>
    </row>
    <row r="745" ht="15" customHeight="1" s="40">
      <c r="D745" s="39">
        <f>Task_Tracker!$A745</f>
        <v/>
      </c>
    </row>
    <row r="746" ht="15" customHeight="1" s="40">
      <c r="D746" s="39">
        <f>Task_Tracker!$A746</f>
        <v/>
      </c>
    </row>
    <row r="747" ht="15" customHeight="1" s="40">
      <c r="D747" s="39">
        <f>Task_Tracker!$A747</f>
        <v/>
      </c>
    </row>
    <row r="748" ht="15" customHeight="1" s="40">
      <c r="D748" s="39">
        <f>Task_Tracker!$A748</f>
        <v/>
      </c>
    </row>
    <row r="749" ht="15" customHeight="1" s="40">
      <c r="D749" s="39">
        <f>Task_Tracker!$A749</f>
        <v/>
      </c>
    </row>
    <row r="750" ht="15" customHeight="1" s="40">
      <c r="D750" s="39">
        <f>Task_Tracker!$A750</f>
        <v/>
      </c>
    </row>
    <row r="751" ht="15" customHeight="1" s="40">
      <c r="D751" s="39">
        <f>Task_Tracker!$A751</f>
        <v/>
      </c>
    </row>
    <row r="752" ht="15" customHeight="1" s="40">
      <c r="D752" s="39">
        <f>Task_Tracker!$A752</f>
        <v/>
      </c>
    </row>
    <row r="753" ht="15" customHeight="1" s="40">
      <c r="D753" s="39">
        <f>Task_Tracker!$A753</f>
        <v/>
      </c>
    </row>
    <row r="754" ht="15" customHeight="1" s="40">
      <c r="D754" s="39">
        <f>Task_Tracker!$A754</f>
        <v/>
      </c>
    </row>
    <row r="755" ht="15" customHeight="1" s="40">
      <c r="D755" s="39">
        <f>Task_Tracker!$A755</f>
        <v/>
      </c>
    </row>
    <row r="756" ht="15" customHeight="1" s="40">
      <c r="D756" s="39">
        <f>Task_Tracker!$A756</f>
        <v/>
      </c>
    </row>
    <row r="757" ht="15" customHeight="1" s="40">
      <c r="D757" s="39">
        <f>Task_Tracker!$A757</f>
        <v/>
      </c>
    </row>
    <row r="758" ht="15" customHeight="1" s="40">
      <c r="D758" s="39">
        <f>Task_Tracker!$A758</f>
        <v/>
      </c>
    </row>
    <row r="759" ht="15" customHeight="1" s="40">
      <c r="D759" s="39">
        <f>Task_Tracker!$A759</f>
        <v/>
      </c>
    </row>
    <row r="760" ht="15" customHeight="1" s="40">
      <c r="D760" s="39">
        <f>Task_Tracker!$A760</f>
        <v/>
      </c>
    </row>
    <row r="761" ht="15" customHeight="1" s="40">
      <c r="D761" s="39">
        <f>Task_Tracker!$A761</f>
        <v/>
      </c>
    </row>
    <row r="762" ht="15" customHeight="1" s="40">
      <c r="D762" s="39">
        <f>Task_Tracker!$A762</f>
        <v/>
      </c>
    </row>
    <row r="763" ht="15" customHeight="1" s="40">
      <c r="D763" s="39">
        <f>Task_Tracker!$A763</f>
        <v/>
      </c>
    </row>
    <row r="764" ht="15" customHeight="1" s="40">
      <c r="D764" s="39">
        <f>Task_Tracker!$A764</f>
        <v/>
      </c>
    </row>
    <row r="765" ht="15" customHeight="1" s="40">
      <c r="D765" s="39">
        <f>Task_Tracker!$A765</f>
        <v/>
      </c>
    </row>
    <row r="766" ht="15" customHeight="1" s="40">
      <c r="D766" s="39">
        <f>Task_Tracker!$A766</f>
        <v/>
      </c>
    </row>
    <row r="767" ht="15" customHeight="1" s="40">
      <c r="D767" s="39">
        <f>Task_Tracker!$A767</f>
        <v/>
      </c>
    </row>
    <row r="768" ht="15" customHeight="1" s="40">
      <c r="D768" s="39">
        <f>Task_Tracker!$A768</f>
        <v/>
      </c>
    </row>
    <row r="769" ht="15" customHeight="1" s="40">
      <c r="D769" s="39">
        <f>Task_Tracker!$A769</f>
        <v/>
      </c>
    </row>
    <row r="770" ht="15" customHeight="1" s="40">
      <c r="D770" s="39">
        <f>Task_Tracker!$A770</f>
        <v/>
      </c>
    </row>
    <row r="771" ht="15" customHeight="1" s="40">
      <c r="D771" s="39">
        <f>Task_Tracker!$A771</f>
        <v/>
      </c>
    </row>
    <row r="772" ht="15" customHeight="1" s="40">
      <c r="D772" s="39">
        <f>Task_Tracker!$A772</f>
        <v/>
      </c>
    </row>
    <row r="773" ht="15" customHeight="1" s="40">
      <c r="D773" s="39">
        <f>Task_Tracker!$A773</f>
        <v/>
      </c>
    </row>
    <row r="774" ht="15" customHeight="1" s="40">
      <c r="D774" s="39">
        <f>Task_Tracker!$A774</f>
        <v/>
      </c>
    </row>
    <row r="775" ht="15" customHeight="1" s="40">
      <c r="D775" s="39">
        <f>Task_Tracker!$A775</f>
        <v/>
      </c>
    </row>
    <row r="776" ht="15" customHeight="1" s="40">
      <c r="D776" s="39">
        <f>Task_Tracker!$A776</f>
        <v/>
      </c>
    </row>
    <row r="777" ht="15" customHeight="1" s="40">
      <c r="D777" s="39">
        <f>Task_Tracker!$A777</f>
        <v/>
      </c>
    </row>
    <row r="778" ht="15" customHeight="1" s="40">
      <c r="D778" s="39">
        <f>Task_Tracker!$A778</f>
        <v/>
      </c>
    </row>
    <row r="779" ht="15" customHeight="1" s="40">
      <c r="D779" s="39">
        <f>Task_Tracker!$A779</f>
        <v/>
      </c>
    </row>
    <row r="780" ht="15" customHeight="1" s="40">
      <c r="D780" s="39">
        <f>Task_Tracker!$A780</f>
        <v/>
      </c>
    </row>
    <row r="781" ht="15" customHeight="1" s="40">
      <c r="D781" s="39">
        <f>Task_Tracker!$A781</f>
        <v/>
      </c>
    </row>
    <row r="782" ht="15" customHeight="1" s="40">
      <c r="D782" s="39">
        <f>Task_Tracker!$A782</f>
        <v/>
      </c>
    </row>
    <row r="783" ht="15" customHeight="1" s="40">
      <c r="D783" s="39">
        <f>Task_Tracker!$A783</f>
        <v/>
      </c>
    </row>
    <row r="784" ht="15" customHeight="1" s="40">
      <c r="D784" s="39">
        <f>Task_Tracker!$A784</f>
        <v/>
      </c>
    </row>
    <row r="785" ht="15" customHeight="1" s="40">
      <c r="D785" s="39">
        <f>Task_Tracker!$A785</f>
        <v/>
      </c>
    </row>
    <row r="786" ht="15" customHeight="1" s="40">
      <c r="D786" s="39">
        <f>Task_Tracker!$A786</f>
        <v/>
      </c>
    </row>
    <row r="787" ht="15" customHeight="1" s="40">
      <c r="D787" s="39">
        <f>Task_Tracker!$A787</f>
        <v/>
      </c>
    </row>
    <row r="788" ht="15" customHeight="1" s="40">
      <c r="D788" s="39">
        <f>Task_Tracker!$A788</f>
        <v/>
      </c>
    </row>
    <row r="789" ht="15" customHeight="1" s="40">
      <c r="D789" s="39">
        <f>Task_Tracker!$A789</f>
        <v/>
      </c>
    </row>
    <row r="790" ht="15" customHeight="1" s="40">
      <c r="D790" s="39">
        <f>Task_Tracker!$A790</f>
        <v/>
      </c>
    </row>
    <row r="791" ht="15" customHeight="1" s="40">
      <c r="D791" s="39">
        <f>Task_Tracker!$A791</f>
        <v/>
      </c>
    </row>
    <row r="792" ht="15" customHeight="1" s="40">
      <c r="D792" s="39">
        <f>Task_Tracker!$A792</f>
        <v/>
      </c>
    </row>
    <row r="793" ht="15" customHeight="1" s="40">
      <c r="D793" s="39">
        <f>Task_Tracker!$A793</f>
        <v/>
      </c>
    </row>
    <row r="794" ht="15" customHeight="1" s="40">
      <c r="D794" s="39">
        <f>Task_Tracker!$A794</f>
        <v/>
      </c>
    </row>
    <row r="795" ht="15" customHeight="1" s="40">
      <c r="D795" s="39">
        <f>Task_Tracker!$A795</f>
        <v/>
      </c>
    </row>
    <row r="796" ht="15" customHeight="1" s="40">
      <c r="D796" s="39">
        <f>Task_Tracker!$A796</f>
        <v/>
      </c>
    </row>
    <row r="797" ht="15" customHeight="1" s="40">
      <c r="D797" s="39">
        <f>Task_Tracker!$A797</f>
        <v/>
      </c>
    </row>
    <row r="798" ht="15" customHeight="1" s="40">
      <c r="D798" s="39">
        <f>Task_Tracker!$A798</f>
        <v/>
      </c>
    </row>
    <row r="799" ht="15" customHeight="1" s="40">
      <c r="D799" s="39">
        <f>Task_Tracker!$A799</f>
        <v/>
      </c>
    </row>
    <row r="800" ht="15" customHeight="1" s="40">
      <c r="D800" s="39">
        <f>Task_Tracker!$A800</f>
        <v/>
      </c>
    </row>
    <row r="801" ht="15" customHeight="1" s="40">
      <c r="D801" s="39">
        <f>Task_Tracker!$A801</f>
        <v/>
      </c>
    </row>
    <row r="802" ht="15" customHeight="1" s="40">
      <c r="D802" s="39">
        <f>Task_Tracker!$A802</f>
        <v/>
      </c>
    </row>
    <row r="803" ht="15" customHeight="1" s="40">
      <c r="D803" s="39">
        <f>Task_Tracker!$A803</f>
        <v/>
      </c>
    </row>
    <row r="804" ht="15" customHeight="1" s="40">
      <c r="D804" s="39">
        <f>Task_Tracker!$A804</f>
        <v/>
      </c>
    </row>
    <row r="805" ht="15" customHeight="1" s="40">
      <c r="D805" s="39">
        <f>Task_Tracker!$A805</f>
        <v/>
      </c>
    </row>
    <row r="806" ht="15" customHeight="1" s="40">
      <c r="D806" s="39">
        <f>Task_Tracker!$A806</f>
        <v/>
      </c>
    </row>
    <row r="807" ht="15" customHeight="1" s="40">
      <c r="D807" s="39">
        <f>Task_Tracker!$A807</f>
        <v/>
      </c>
    </row>
    <row r="808" ht="15" customHeight="1" s="40">
      <c r="D808" s="39">
        <f>Task_Tracker!$A808</f>
        <v/>
      </c>
    </row>
    <row r="809" ht="15" customHeight="1" s="40">
      <c r="D809" s="39">
        <f>Task_Tracker!$A809</f>
        <v/>
      </c>
    </row>
    <row r="810" ht="15" customHeight="1" s="40">
      <c r="D810" s="39">
        <f>Task_Tracker!$A810</f>
        <v/>
      </c>
    </row>
    <row r="811" ht="15" customHeight="1" s="40">
      <c r="D811" s="39">
        <f>Task_Tracker!$A811</f>
        <v/>
      </c>
    </row>
    <row r="812" ht="15" customHeight="1" s="40">
      <c r="D812" s="39">
        <f>Task_Tracker!$A812</f>
        <v/>
      </c>
    </row>
    <row r="813" ht="15" customHeight="1" s="40">
      <c r="D813" s="39">
        <f>Task_Tracker!$A813</f>
        <v/>
      </c>
    </row>
    <row r="814" ht="15" customHeight="1" s="40">
      <c r="D814" s="39">
        <f>Task_Tracker!$A814</f>
        <v/>
      </c>
    </row>
    <row r="815" ht="15" customHeight="1" s="40">
      <c r="D815" s="39">
        <f>Task_Tracker!$A815</f>
        <v/>
      </c>
    </row>
    <row r="816" ht="15" customHeight="1" s="40">
      <c r="D816" s="39">
        <f>Task_Tracker!$A816</f>
        <v/>
      </c>
    </row>
    <row r="817" ht="15" customHeight="1" s="40">
      <c r="D817" s="39">
        <f>Task_Tracker!$A817</f>
        <v/>
      </c>
    </row>
    <row r="818" ht="15" customHeight="1" s="40">
      <c r="D818" s="39">
        <f>Task_Tracker!$A818</f>
        <v/>
      </c>
    </row>
    <row r="819" ht="15" customHeight="1" s="40">
      <c r="D819" s="39">
        <f>Task_Tracker!$A819</f>
        <v/>
      </c>
    </row>
    <row r="820" ht="15" customHeight="1" s="40">
      <c r="D820" s="39">
        <f>Task_Tracker!$A820</f>
        <v/>
      </c>
    </row>
    <row r="821" ht="15" customHeight="1" s="40">
      <c r="D821" s="39">
        <f>Task_Tracker!$A821</f>
        <v/>
      </c>
    </row>
    <row r="822" ht="15" customHeight="1" s="40">
      <c r="D822" s="39">
        <f>Task_Tracker!$A822</f>
        <v/>
      </c>
    </row>
    <row r="823" ht="15" customHeight="1" s="40">
      <c r="D823" s="39">
        <f>Task_Tracker!$A823</f>
        <v/>
      </c>
    </row>
    <row r="824" ht="15" customHeight="1" s="40">
      <c r="D824" s="39">
        <f>Task_Tracker!$A824</f>
        <v/>
      </c>
    </row>
    <row r="825" ht="15" customHeight="1" s="40">
      <c r="D825" s="39">
        <f>Task_Tracker!$A825</f>
        <v/>
      </c>
    </row>
    <row r="826" ht="15" customHeight="1" s="40">
      <c r="D826" s="39">
        <f>Task_Tracker!$A826</f>
        <v/>
      </c>
    </row>
    <row r="827" ht="15" customHeight="1" s="40">
      <c r="D827" s="39">
        <f>Task_Tracker!$A827</f>
        <v/>
      </c>
    </row>
    <row r="828" ht="15" customHeight="1" s="40">
      <c r="D828" s="39">
        <f>Task_Tracker!$A828</f>
        <v/>
      </c>
    </row>
    <row r="829" ht="15" customHeight="1" s="40">
      <c r="D829" s="39">
        <f>Task_Tracker!$A829</f>
        <v/>
      </c>
    </row>
    <row r="830" ht="15" customHeight="1" s="40">
      <c r="D830" s="39">
        <f>Task_Tracker!$A830</f>
        <v/>
      </c>
    </row>
    <row r="831" ht="15" customHeight="1" s="40">
      <c r="D831" s="39">
        <f>Task_Tracker!$A831</f>
        <v/>
      </c>
    </row>
    <row r="832" ht="15" customHeight="1" s="40">
      <c r="D832" s="39">
        <f>Task_Tracker!$A832</f>
        <v/>
      </c>
    </row>
    <row r="833" ht="15" customHeight="1" s="40">
      <c r="D833" s="39">
        <f>Task_Tracker!$A833</f>
        <v/>
      </c>
    </row>
    <row r="834" ht="15" customHeight="1" s="40">
      <c r="D834" s="39">
        <f>Task_Tracker!$A834</f>
        <v/>
      </c>
    </row>
    <row r="835" ht="15" customHeight="1" s="40">
      <c r="D835" s="39">
        <f>Task_Tracker!$A835</f>
        <v/>
      </c>
    </row>
    <row r="836" ht="15" customHeight="1" s="40">
      <c r="D836" s="39">
        <f>Task_Tracker!$A836</f>
        <v/>
      </c>
    </row>
    <row r="837" ht="15" customHeight="1" s="40">
      <c r="D837" s="39">
        <f>Task_Tracker!$A837</f>
        <v/>
      </c>
    </row>
    <row r="838" ht="15" customHeight="1" s="40">
      <c r="D838" s="39">
        <f>Task_Tracker!$A838</f>
        <v/>
      </c>
    </row>
    <row r="839" ht="15" customHeight="1" s="40">
      <c r="D839" s="39">
        <f>Task_Tracker!$A839</f>
        <v/>
      </c>
    </row>
    <row r="840" ht="15" customHeight="1" s="40">
      <c r="D840" s="39">
        <f>Task_Tracker!$A840</f>
        <v/>
      </c>
    </row>
    <row r="841" ht="15" customHeight="1" s="40">
      <c r="D841" s="39">
        <f>Task_Tracker!$A841</f>
        <v/>
      </c>
    </row>
    <row r="842" ht="15" customHeight="1" s="40">
      <c r="D842" s="39">
        <f>Task_Tracker!$A842</f>
        <v/>
      </c>
    </row>
    <row r="843" ht="15" customHeight="1" s="40">
      <c r="D843" s="39">
        <f>Task_Tracker!$A843</f>
        <v/>
      </c>
    </row>
    <row r="844" ht="15" customHeight="1" s="40">
      <c r="D844" s="39">
        <f>Task_Tracker!$A844</f>
        <v/>
      </c>
    </row>
    <row r="845" ht="15" customHeight="1" s="40">
      <c r="D845" s="39">
        <f>Task_Tracker!$A845</f>
        <v/>
      </c>
    </row>
    <row r="846" ht="15" customHeight="1" s="40">
      <c r="D846" s="39">
        <f>Task_Tracker!$A846</f>
        <v/>
      </c>
    </row>
    <row r="847" ht="15" customHeight="1" s="40">
      <c r="D847" s="39">
        <f>Task_Tracker!$A847</f>
        <v/>
      </c>
    </row>
    <row r="848" ht="15" customHeight="1" s="40">
      <c r="D848" s="39">
        <f>Task_Tracker!$A848</f>
        <v/>
      </c>
    </row>
    <row r="849" ht="15" customHeight="1" s="40">
      <c r="D849" s="39">
        <f>Task_Tracker!$A849</f>
        <v/>
      </c>
    </row>
    <row r="850" ht="15" customHeight="1" s="40">
      <c r="D850" s="39">
        <f>Task_Tracker!$A850</f>
        <v/>
      </c>
    </row>
    <row r="851" ht="15" customHeight="1" s="40">
      <c r="D851" s="39">
        <f>Task_Tracker!$A851</f>
        <v/>
      </c>
    </row>
    <row r="852" ht="15" customHeight="1" s="40">
      <c r="D852" s="39">
        <f>Task_Tracker!$A852</f>
        <v/>
      </c>
    </row>
    <row r="853" ht="15" customHeight="1" s="40">
      <c r="D853" s="39">
        <f>Task_Tracker!$A853</f>
        <v/>
      </c>
    </row>
    <row r="854" ht="15" customHeight="1" s="40">
      <c r="D854" s="39">
        <f>Task_Tracker!$A854</f>
        <v/>
      </c>
    </row>
    <row r="855" ht="15" customHeight="1" s="40">
      <c r="D855" s="39">
        <f>Task_Tracker!$A855</f>
        <v/>
      </c>
    </row>
    <row r="856" ht="15" customHeight="1" s="40">
      <c r="D856" s="39">
        <f>Task_Tracker!$A856</f>
        <v/>
      </c>
    </row>
    <row r="857" ht="15" customHeight="1" s="40">
      <c r="D857" s="39">
        <f>Task_Tracker!$A857</f>
        <v/>
      </c>
    </row>
    <row r="858" ht="15" customHeight="1" s="40">
      <c r="D858" s="39">
        <f>Task_Tracker!$A858</f>
        <v/>
      </c>
    </row>
    <row r="859" ht="15" customHeight="1" s="40">
      <c r="D859" s="39">
        <f>Task_Tracker!$A859</f>
        <v/>
      </c>
    </row>
    <row r="860" ht="15" customHeight="1" s="40">
      <c r="D860" s="39">
        <f>Task_Tracker!$A860</f>
        <v/>
      </c>
    </row>
    <row r="861" ht="15" customHeight="1" s="40">
      <c r="D861" s="39">
        <f>Task_Tracker!$A861</f>
        <v/>
      </c>
    </row>
    <row r="862" ht="15" customHeight="1" s="40">
      <c r="D862" s="39">
        <f>Task_Tracker!$A862</f>
        <v/>
      </c>
    </row>
    <row r="863" ht="15" customHeight="1" s="40">
      <c r="D863" s="39">
        <f>Task_Tracker!$A863</f>
        <v/>
      </c>
    </row>
    <row r="864" ht="15" customHeight="1" s="40">
      <c r="D864" s="39">
        <f>Task_Tracker!$A864</f>
        <v/>
      </c>
    </row>
    <row r="865" ht="15" customHeight="1" s="40">
      <c r="D865" s="39">
        <f>Task_Tracker!$A865</f>
        <v/>
      </c>
    </row>
    <row r="866" ht="15" customHeight="1" s="40">
      <c r="D866" s="39">
        <f>Task_Tracker!$A866</f>
        <v/>
      </c>
    </row>
    <row r="867" ht="15" customHeight="1" s="40">
      <c r="D867" s="39">
        <f>Task_Tracker!$A867</f>
        <v/>
      </c>
    </row>
    <row r="868" ht="15" customHeight="1" s="40">
      <c r="D868" s="39">
        <f>Task_Tracker!$A868</f>
        <v/>
      </c>
    </row>
    <row r="869" ht="15" customHeight="1" s="40">
      <c r="D869" s="39">
        <f>Task_Tracker!$A869</f>
        <v/>
      </c>
    </row>
    <row r="870" ht="15" customHeight="1" s="40">
      <c r="D870" s="39">
        <f>Task_Tracker!$A870</f>
        <v/>
      </c>
    </row>
    <row r="871" ht="15" customHeight="1" s="40">
      <c r="D871" s="39">
        <f>Task_Tracker!$A871</f>
        <v/>
      </c>
    </row>
    <row r="872" ht="15" customHeight="1" s="40">
      <c r="D872" s="39">
        <f>Task_Tracker!$A872</f>
        <v/>
      </c>
    </row>
    <row r="873" ht="15" customHeight="1" s="40">
      <c r="D873" s="39">
        <f>Task_Tracker!$A873</f>
        <v/>
      </c>
    </row>
    <row r="874" ht="15" customHeight="1" s="40">
      <c r="D874" s="39">
        <f>Task_Tracker!$A874</f>
        <v/>
      </c>
    </row>
    <row r="875" ht="15" customHeight="1" s="40">
      <c r="D875" s="39">
        <f>Task_Tracker!$A875</f>
        <v/>
      </c>
    </row>
    <row r="876" ht="15" customHeight="1" s="40">
      <c r="D876" s="39">
        <f>Task_Tracker!$A876</f>
        <v/>
      </c>
    </row>
    <row r="877" ht="15" customHeight="1" s="40">
      <c r="D877" s="39">
        <f>Task_Tracker!$A877</f>
        <v/>
      </c>
    </row>
    <row r="878" ht="15" customHeight="1" s="40">
      <c r="D878" s="39">
        <f>Task_Tracker!$A878</f>
        <v/>
      </c>
    </row>
    <row r="879" ht="15" customHeight="1" s="40">
      <c r="D879" s="39">
        <f>Task_Tracker!$A879</f>
        <v/>
      </c>
    </row>
    <row r="880" ht="15" customHeight="1" s="40">
      <c r="D880" s="39">
        <f>Task_Tracker!$A880</f>
        <v/>
      </c>
    </row>
    <row r="881" ht="15" customHeight="1" s="40">
      <c r="D881" s="39">
        <f>Task_Tracker!$A881</f>
        <v/>
      </c>
    </row>
    <row r="882" ht="15" customHeight="1" s="40">
      <c r="D882" s="39">
        <f>Task_Tracker!$A882</f>
        <v/>
      </c>
    </row>
    <row r="883" ht="15" customHeight="1" s="40">
      <c r="D883" s="39">
        <f>Task_Tracker!$A883</f>
        <v/>
      </c>
    </row>
    <row r="884" ht="15" customHeight="1" s="40">
      <c r="D884" s="39">
        <f>Task_Tracker!$A884</f>
        <v/>
      </c>
    </row>
    <row r="885" ht="15" customHeight="1" s="40">
      <c r="D885" s="39">
        <f>Task_Tracker!$A885</f>
        <v/>
      </c>
    </row>
    <row r="886" ht="15" customHeight="1" s="40">
      <c r="D886" s="39">
        <f>Task_Tracker!$A886</f>
        <v/>
      </c>
    </row>
    <row r="887" ht="15" customHeight="1" s="40">
      <c r="D887" s="39">
        <f>Task_Tracker!$A887</f>
        <v/>
      </c>
    </row>
    <row r="888" ht="15" customHeight="1" s="40">
      <c r="D888" s="39">
        <f>Task_Tracker!$A888</f>
        <v/>
      </c>
    </row>
    <row r="889" ht="15" customHeight="1" s="40">
      <c r="D889" s="39">
        <f>Task_Tracker!$A889</f>
        <v/>
      </c>
    </row>
    <row r="890" ht="15" customHeight="1" s="40">
      <c r="D890" s="39">
        <f>Task_Tracker!$A890</f>
        <v/>
      </c>
    </row>
    <row r="891" ht="15" customHeight="1" s="40">
      <c r="D891" s="39">
        <f>Task_Tracker!$A891</f>
        <v/>
      </c>
    </row>
    <row r="892" ht="15" customHeight="1" s="40">
      <c r="D892" s="39">
        <f>Task_Tracker!$A892</f>
        <v/>
      </c>
    </row>
    <row r="893" ht="15" customHeight="1" s="40">
      <c r="D893" s="39">
        <f>Task_Tracker!$A893</f>
        <v/>
      </c>
    </row>
    <row r="894" ht="15" customHeight="1" s="40">
      <c r="D894" s="39">
        <f>Task_Tracker!$A894</f>
        <v/>
      </c>
    </row>
    <row r="895" ht="15" customHeight="1" s="40">
      <c r="D895" s="39">
        <f>Task_Tracker!$A895</f>
        <v/>
      </c>
    </row>
    <row r="896" ht="15" customHeight="1" s="40">
      <c r="D896" s="39">
        <f>Task_Tracker!$A896</f>
        <v/>
      </c>
    </row>
    <row r="897" ht="15" customHeight="1" s="40">
      <c r="D897" s="39">
        <f>Task_Tracker!$A897</f>
        <v/>
      </c>
    </row>
    <row r="898" ht="15" customHeight="1" s="40">
      <c r="D898" s="39">
        <f>Task_Tracker!$A898</f>
        <v/>
      </c>
    </row>
    <row r="899" ht="15" customHeight="1" s="40">
      <c r="D899" s="39">
        <f>Task_Tracker!$A899</f>
        <v/>
      </c>
    </row>
    <row r="900" ht="15" customHeight="1" s="40">
      <c r="D900" s="39">
        <f>Task_Tracker!$A900</f>
        <v/>
      </c>
    </row>
    <row r="901" ht="15" customHeight="1" s="40">
      <c r="D901" s="39">
        <f>Task_Tracker!$A901</f>
        <v/>
      </c>
    </row>
    <row r="902" ht="15" customHeight="1" s="40">
      <c r="D902" s="39">
        <f>Task_Tracker!$A902</f>
        <v/>
      </c>
    </row>
    <row r="903" ht="15" customHeight="1" s="40">
      <c r="D903" s="39">
        <f>Task_Tracker!$A903</f>
        <v/>
      </c>
    </row>
    <row r="904" ht="15" customHeight="1" s="40">
      <c r="D904" s="39">
        <f>Task_Tracker!$A904</f>
        <v/>
      </c>
    </row>
    <row r="905" ht="15" customHeight="1" s="40">
      <c r="D905" s="39">
        <f>Task_Tracker!$A905</f>
        <v/>
      </c>
    </row>
    <row r="906" ht="15" customHeight="1" s="40">
      <c r="D906" s="39">
        <f>Task_Tracker!$A906</f>
        <v/>
      </c>
    </row>
    <row r="907" ht="15" customHeight="1" s="40">
      <c r="D907" s="39">
        <f>Task_Tracker!$A907</f>
        <v/>
      </c>
    </row>
    <row r="908" ht="15" customHeight="1" s="40">
      <c r="D908" s="39">
        <f>Task_Tracker!$A908</f>
        <v/>
      </c>
    </row>
    <row r="909" ht="15" customHeight="1" s="40">
      <c r="D909" s="39">
        <f>Task_Tracker!$A909</f>
        <v/>
      </c>
    </row>
    <row r="910" ht="15" customHeight="1" s="40">
      <c r="D910" s="39">
        <f>Task_Tracker!$A910</f>
        <v/>
      </c>
    </row>
    <row r="911" ht="15" customHeight="1" s="40">
      <c r="D911" s="39">
        <f>Task_Tracker!$A911</f>
        <v/>
      </c>
    </row>
    <row r="912" ht="15" customHeight="1" s="40">
      <c r="D912" s="39">
        <f>Task_Tracker!$A912</f>
        <v/>
      </c>
    </row>
    <row r="913" ht="15" customHeight="1" s="40">
      <c r="D913" s="39">
        <f>Task_Tracker!$A913</f>
        <v/>
      </c>
    </row>
    <row r="914" ht="15" customHeight="1" s="40">
      <c r="D914" s="39">
        <f>Task_Tracker!$A914</f>
        <v/>
      </c>
    </row>
    <row r="915" ht="15" customHeight="1" s="40">
      <c r="D915" s="39">
        <f>Task_Tracker!$A915</f>
        <v/>
      </c>
    </row>
    <row r="916" ht="15" customHeight="1" s="40">
      <c r="D916" s="39">
        <f>Task_Tracker!$A916</f>
        <v/>
      </c>
    </row>
    <row r="917" ht="15" customHeight="1" s="40">
      <c r="D917" s="39">
        <f>Task_Tracker!$A917</f>
        <v/>
      </c>
    </row>
    <row r="918" ht="15" customHeight="1" s="40">
      <c r="D918" s="39">
        <f>Task_Tracker!$A918</f>
        <v/>
      </c>
    </row>
    <row r="919" ht="15" customHeight="1" s="40">
      <c r="D919" s="39">
        <f>Task_Tracker!$A919</f>
        <v/>
      </c>
    </row>
    <row r="920" ht="15" customHeight="1" s="40">
      <c r="D920" s="39">
        <f>Task_Tracker!$A920</f>
        <v/>
      </c>
    </row>
    <row r="921" ht="15" customHeight="1" s="40">
      <c r="D921" s="39">
        <f>Task_Tracker!$A921</f>
        <v/>
      </c>
    </row>
    <row r="922" ht="15" customHeight="1" s="40">
      <c r="D922" s="39">
        <f>Task_Tracker!$A922</f>
        <v/>
      </c>
    </row>
    <row r="923" ht="15" customHeight="1" s="40">
      <c r="D923" s="39">
        <f>Task_Tracker!$A923</f>
        <v/>
      </c>
    </row>
    <row r="924" ht="15" customHeight="1" s="40">
      <c r="D924" s="39">
        <f>Task_Tracker!$A924</f>
        <v/>
      </c>
    </row>
    <row r="925" ht="15" customHeight="1" s="40">
      <c r="D925" s="39">
        <f>Task_Tracker!$A925</f>
        <v/>
      </c>
    </row>
    <row r="926" ht="15" customHeight="1" s="40">
      <c r="D926" s="39">
        <f>Task_Tracker!$A926</f>
        <v/>
      </c>
    </row>
    <row r="927" ht="15" customHeight="1" s="40">
      <c r="D927" s="39">
        <f>Task_Tracker!$A927</f>
        <v/>
      </c>
    </row>
    <row r="928" ht="15" customHeight="1" s="40">
      <c r="D928" s="39">
        <f>Task_Tracker!$A928</f>
        <v/>
      </c>
    </row>
    <row r="929" ht="15" customHeight="1" s="40">
      <c r="D929" s="39">
        <f>Task_Tracker!$A929</f>
        <v/>
      </c>
    </row>
    <row r="930" ht="15" customHeight="1" s="40">
      <c r="D930" s="39">
        <f>Task_Tracker!$A930</f>
        <v/>
      </c>
    </row>
    <row r="931" ht="15" customHeight="1" s="40">
      <c r="D931" s="39">
        <f>Task_Tracker!$A931</f>
        <v/>
      </c>
    </row>
    <row r="932" ht="15" customHeight="1" s="40">
      <c r="D932" s="39">
        <f>Task_Tracker!$A932</f>
        <v/>
      </c>
    </row>
    <row r="933" ht="15" customHeight="1" s="40">
      <c r="D933" s="39">
        <f>Task_Tracker!$A933</f>
        <v/>
      </c>
    </row>
    <row r="934" ht="15" customHeight="1" s="40">
      <c r="D934" s="39">
        <f>Task_Tracker!$A934</f>
        <v/>
      </c>
    </row>
    <row r="935" ht="15" customHeight="1" s="40">
      <c r="D935" s="39">
        <f>Task_Tracker!$A935</f>
        <v/>
      </c>
    </row>
    <row r="936" ht="15" customHeight="1" s="40">
      <c r="D936" s="39">
        <f>Task_Tracker!$A936</f>
        <v/>
      </c>
    </row>
    <row r="937" ht="15" customHeight="1" s="40">
      <c r="D937" s="39">
        <f>Task_Tracker!$A937</f>
        <v/>
      </c>
    </row>
    <row r="938" ht="15" customHeight="1" s="40">
      <c r="D938" s="39">
        <f>Task_Tracker!$A938</f>
        <v/>
      </c>
    </row>
    <row r="939" ht="15" customHeight="1" s="40">
      <c r="D939" s="39">
        <f>Task_Tracker!$A939</f>
        <v/>
      </c>
    </row>
    <row r="940" ht="15" customHeight="1" s="40">
      <c r="D940" s="39">
        <f>Task_Tracker!$A940</f>
        <v/>
      </c>
    </row>
    <row r="941" ht="15" customHeight="1" s="40">
      <c r="D941" s="39">
        <f>Task_Tracker!$A941</f>
        <v/>
      </c>
    </row>
    <row r="942" ht="15" customHeight="1" s="40">
      <c r="D942" s="39">
        <f>Task_Tracker!$A942</f>
        <v/>
      </c>
    </row>
    <row r="943" ht="15" customHeight="1" s="40">
      <c r="D943" s="39">
        <f>Task_Tracker!$A943</f>
        <v/>
      </c>
    </row>
    <row r="944" ht="15" customHeight="1" s="40">
      <c r="D944" s="39">
        <f>Task_Tracker!$A944</f>
        <v/>
      </c>
    </row>
    <row r="945" ht="15" customHeight="1" s="40">
      <c r="D945" s="39">
        <f>Task_Tracker!$A945</f>
        <v/>
      </c>
    </row>
    <row r="946" ht="15" customHeight="1" s="40">
      <c r="D946" s="39">
        <f>Task_Tracker!$A946</f>
        <v/>
      </c>
    </row>
    <row r="947" ht="15" customHeight="1" s="40">
      <c r="D947" s="39">
        <f>Task_Tracker!$A947</f>
        <v/>
      </c>
    </row>
    <row r="948" ht="15" customHeight="1" s="40">
      <c r="D948" s="39">
        <f>Task_Tracker!$A948</f>
        <v/>
      </c>
    </row>
    <row r="949" ht="15" customHeight="1" s="40">
      <c r="D949" s="39">
        <f>Task_Tracker!$A949</f>
        <v/>
      </c>
    </row>
    <row r="950" ht="15" customHeight="1" s="40">
      <c r="D950" s="39">
        <f>Task_Tracker!$A950</f>
        <v/>
      </c>
    </row>
    <row r="951" ht="15" customHeight="1" s="40">
      <c r="D951" s="39">
        <f>Task_Tracker!$A951</f>
        <v/>
      </c>
    </row>
    <row r="952" ht="15" customHeight="1" s="40">
      <c r="D952" s="39">
        <f>Task_Tracker!$A952</f>
        <v/>
      </c>
    </row>
    <row r="953" ht="15" customHeight="1" s="40">
      <c r="D953" s="39">
        <f>Task_Tracker!$A953</f>
        <v/>
      </c>
    </row>
    <row r="954" ht="15" customHeight="1" s="40">
      <c r="D954" s="39">
        <f>Task_Tracker!$A954</f>
        <v/>
      </c>
    </row>
    <row r="955" ht="15" customHeight="1" s="40">
      <c r="D955" s="39">
        <f>Task_Tracker!$A955</f>
        <v/>
      </c>
    </row>
    <row r="956" ht="15" customHeight="1" s="40">
      <c r="D956" s="39">
        <f>Task_Tracker!$A956</f>
        <v/>
      </c>
    </row>
    <row r="957" ht="15" customHeight="1" s="40">
      <c r="D957" s="39">
        <f>Task_Tracker!$A957</f>
        <v/>
      </c>
    </row>
    <row r="958" ht="15" customHeight="1" s="40">
      <c r="D958" s="39">
        <f>Task_Tracker!$A958</f>
        <v/>
      </c>
    </row>
    <row r="959" ht="15" customHeight="1" s="40">
      <c r="D959" s="39">
        <f>Task_Tracker!$A959</f>
        <v/>
      </c>
    </row>
    <row r="960" ht="15" customHeight="1" s="40">
      <c r="D960" s="39">
        <f>Task_Tracker!$A960</f>
        <v/>
      </c>
    </row>
    <row r="961" ht="15" customHeight="1" s="40">
      <c r="D961" s="39">
        <f>Task_Tracker!$A961</f>
        <v/>
      </c>
    </row>
    <row r="962" ht="15" customHeight="1" s="40">
      <c r="D962" s="39">
        <f>Task_Tracker!$A962</f>
        <v/>
      </c>
    </row>
    <row r="963" ht="15" customHeight="1" s="40">
      <c r="D963" s="39">
        <f>Task_Tracker!$A963</f>
        <v/>
      </c>
    </row>
    <row r="964" ht="15" customHeight="1" s="40">
      <c r="D964" s="39">
        <f>Task_Tracker!$A964</f>
        <v/>
      </c>
    </row>
    <row r="965" ht="15" customHeight="1" s="40">
      <c r="D965" s="39">
        <f>Task_Tracker!$A965</f>
        <v/>
      </c>
    </row>
    <row r="966" ht="15" customHeight="1" s="40">
      <c r="D966" s="39">
        <f>Task_Tracker!$A966</f>
        <v/>
      </c>
    </row>
    <row r="967" ht="15" customHeight="1" s="40">
      <c r="D967" s="39">
        <f>Task_Tracker!$A967</f>
        <v/>
      </c>
    </row>
    <row r="968" ht="15" customHeight="1" s="40">
      <c r="D968" s="39">
        <f>Task_Tracker!$A968</f>
        <v/>
      </c>
    </row>
    <row r="969" ht="15" customHeight="1" s="40">
      <c r="D969" s="39">
        <f>Task_Tracker!$A969</f>
        <v/>
      </c>
    </row>
    <row r="970" ht="15" customHeight="1" s="40">
      <c r="D970" s="39">
        <f>Task_Tracker!$A970</f>
        <v/>
      </c>
    </row>
    <row r="971" ht="15" customHeight="1" s="40">
      <c r="D971" s="39">
        <f>Task_Tracker!$A971</f>
        <v/>
      </c>
    </row>
    <row r="972" ht="15" customHeight="1" s="40">
      <c r="D972" s="39">
        <f>Task_Tracker!$A972</f>
        <v/>
      </c>
    </row>
    <row r="973" ht="15" customHeight="1" s="40">
      <c r="D973" s="39">
        <f>Task_Tracker!$A973</f>
        <v/>
      </c>
    </row>
    <row r="974" ht="15" customHeight="1" s="40">
      <c r="D974" s="39">
        <f>Task_Tracker!$A974</f>
        <v/>
      </c>
    </row>
    <row r="975" ht="15" customHeight="1" s="40">
      <c r="D975" s="39">
        <f>Task_Tracker!$A975</f>
        <v/>
      </c>
    </row>
    <row r="976" ht="15" customHeight="1" s="40">
      <c r="D976" s="39">
        <f>Task_Tracker!$A976</f>
        <v/>
      </c>
    </row>
    <row r="977" ht="15" customHeight="1" s="40">
      <c r="D977" s="39">
        <f>Task_Tracker!$A977</f>
        <v/>
      </c>
    </row>
    <row r="978" ht="15" customHeight="1" s="40">
      <c r="D978" s="39">
        <f>Task_Tracker!$A978</f>
        <v/>
      </c>
    </row>
    <row r="979" ht="15" customHeight="1" s="40">
      <c r="D979" s="39">
        <f>Task_Tracker!$A979</f>
        <v/>
      </c>
    </row>
    <row r="980" ht="15" customHeight="1" s="40">
      <c r="D980" s="39">
        <f>Task_Tracker!$A980</f>
        <v/>
      </c>
    </row>
    <row r="981" ht="15" customHeight="1" s="40">
      <c r="D981" s="39">
        <f>Task_Tracker!$A981</f>
        <v/>
      </c>
    </row>
    <row r="982" ht="15" customHeight="1" s="40">
      <c r="D982" s="39">
        <f>Task_Tracker!$A982</f>
        <v/>
      </c>
    </row>
    <row r="983" ht="15" customHeight="1" s="40">
      <c r="D983" s="39">
        <f>Task_Tracker!$A983</f>
        <v/>
      </c>
    </row>
    <row r="984" ht="15" customHeight="1" s="40">
      <c r="D984" s="39">
        <f>Task_Tracker!$A984</f>
        <v/>
      </c>
    </row>
    <row r="985" ht="15" customHeight="1" s="40">
      <c r="D985" s="39">
        <f>Task_Tracker!$A985</f>
        <v/>
      </c>
    </row>
    <row r="986" ht="15" customHeight="1" s="40">
      <c r="D986" s="39">
        <f>Task_Tracker!$A986</f>
        <v/>
      </c>
    </row>
    <row r="987" ht="15" customHeight="1" s="40">
      <c r="D987" s="39">
        <f>Task_Tracker!$A987</f>
        <v/>
      </c>
    </row>
    <row r="988" ht="15" customHeight="1" s="40">
      <c r="D988" s="39">
        <f>Task_Tracker!$A988</f>
        <v/>
      </c>
    </row>
    <row r="989" ht="15" customHeight="1" s="40">
      <c r="D989" s="39">
        <f>Task_Tracker!$A989</f>
        <v/>
      </c>
    </row>
    <row r="990" ht="15" customHeight="1" s="40">
      <c r="D990" s="39">
        <f>Task_Tracker!$A990</f>
        <v/>
      </c>
    </row>
    <row r="991" ht="15" customHeight="1" s="40">
      <c r="D991" s="39">
        <f>Task_Tracker!$A991</f>
        <v/>
      </c>
    </row>
    <row r="992" ht="15" customHeight="1" s="40">
      <c r="D992" s="39">
        <f>Task_Tracker!$A992</f>
        <v/>
      </c>
    </row>
    <row r="993" ht="15" customHeight="1" s="40">
      <c r="D993" s="39">
        <f>Task_Tracker!$A993</f>
        <v/>
      </c>
    </row>
    <row r="994" ht="15" customHeight="1" s="40">
      <c r="D994" s="39">
        <f>Task_Tracker!$A994</f>
        <v/>
      </c>
    </row>
    <row r="995" ht="15" customHeight="1" s="40">
      <c r="D995" s="39">
        <f>Task_Tracker!$A995</f>
        <v/>
      </c>
    </row>
    <row r="996" ht="15" customHeight="1" s="40">
      <c r="D996" s="39">
        <f>Task_Tracker!$A996</f>
        <v/>
      </c>
    </row>
    <row r="997" ht="15" customHeight="1" s="40">
      <c r="D997" s="39">
        <f>Task_Tracker!$A997</f>
        <v/>
      </c>
    </row>
    <row r="998" ht="15" customHeight="1" s="40">
      <c r="D998" s="39">
        <f>Task_Tracker!$A998</f>
        <v/>
      </c>
    </row>
    <row r="999" ht="15" customHeight="1" s="40">
      <c r="D999" s="39">
        <f>Task_Tracker!$A999</f>
        <v/>
      </c>
    </row>
    <row r="1000" ht="15" customHeight="1" s="40">
      <c r="D1000" s="39">
        <f>Task_Tracker!$A1000</f>
        <v/>
      </c>
    </row>
    <row r="1001" ht="15" customHeight="1" s="40">
      <c r="D1001" s="39">
        <f>Task_Tracker!$A1001</f>
        <v/>
      </c>
    </row>
    <row r="1002" ht="15" customHeight="1" s="40">
      <c r="D1002" s="39">
        <f>Task_Tracker!$A1002</f>
        <v/>
      </c>
    </row>
    <row r="1003" ht="15" customHeight="1" s="40">
      <c r="D1003" s="39">
        <f>Task_Tracker!$A1003</f>
        <v/>
      </c>
    </row>
    <row r="1004" ht="15" customHeight="1" s="40">
      <c r="D1004" s="39">
        <f>Task_Tracker!$A1004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style="40" min="1" max="1"/>
    <col width="18" customWidth="1" style="40" min="2" max="2"/>
    <col width="18" customWidth="1" style="40" min="3" max="3"/>
    <col width="24" customWidth="1" style="40" min="4" max="4"/>
    <col width="14" customWidth="1" style="40" min="5" max="5"/>
    <col width="12" customWidth="1" style="40" min="6" max="6"/>
    <col width="13" customWidth="1" style="40" min="7" max="7"/>
    <col width="12" customWidth="1" style="40" min="8" max="8"/>
    <col width="12" customWidth="1" style="40" min="9" max="9"/>
    <col width="26" customWidth="1" style="40" min="10" max="10"/>
    <col width="20" customWidth="1" style="40" min="11" max="11"/>
    <col width="18" customWidth="1" style="40" min="12" max="12"/>
  </cols>
  <sheetData>
    <row r="1" ht="24" customHeight="1" s="40">
      <c r="A1" s="122" t="inlineStr">
        <is>
          <t>Employee Report - Pammi Gaur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28" customHeight="1" s="40">
      <c r="A2" s="70" t="inlineStr">
        <is>
          <t>This report now pulls task details directly from Task_Tracker and step details directly from Task_Steps. Hours and status update automatically.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Selected Employee</t>
        </is>
      </c>
      <c r="B4" s="105" t="inlineStr">
        <is>
          <t>Pammi Gaur</t>
        </is>
      </c>
      <c r="D4" s="88" t="inlineStr">
        <is>
          <t>Department</t>
        </is>
      </c>
      <c r="E4" s="73">
        <f>IF($B$4="","",IFERROR(INDEX(Employee_Master!$C$5:$C$204,MATCH($B$4,Employee_Master!$B$5:$B$204,0)),""))</f>
        <v/>
      </c>
      <c r="G4" s="88" t="inlineStr">
        <is>
          <t>Role</t>
        </is>
      </c>
      <c r="H4" s="73">
        <f>IF($B$4="","",IFERROR(INDEX(Employee_Master!$D$5:$D$204,MATCH($B$4,Employee_Master!$B$5:$B$204,0)),""))</f>
        <v/>
      </c>
      <c r="J4" s="88" t="inlineStr">
        <is>
          <t>Manager</t>
        </is>
      </c>
      <c r="K4" s="73">
        <f>IF($B$4="","",IFERROR(INDEX(Employee_Master!$E$5:$E$204,MATCH($B$4,Employee_Master!$B$5:$B$204,0)),""))</f>
        <v/>
      </c>
      <c r="L4" s="112" t="n"/>
    </row>
    <row r="5" ht="20" customHeight="1" s="40">
      <c r="A5" s="88" t="inlineStr">
        <is>
          <t>Month Filter</t>
        </is>
      </c>
      <c r="B5" s="73" t="inlineStr">
        <is>
          <t>All</t>
        </is>
      </c>
      <c r="D5" s="88" t="inlineStr">
        <is>
          <t>Capacity / Week</t>
        </is>
      </c>
      <c r="E5" s="75">
        <f>IF($B$4="","",IFERROR(INDEX(Employee_Master!$H$5:$H$204,MATCH($B$4,Employee_Master!$B$5:$B$204,0)),""))</f>
        <v/>
      </c>
    </row>
    <row r="6" ht="20" customHeight="1" s="40"/>
    <row r="7" ht="20" customHeight="1" s="40">
      <c r="A7" s="91" t="inlineStr">
        <is>
          <t>Total Tasks</t>
        </is>
      </c>
      <c r="B7" s="112" t="n"/>
      <c r="C7" s="91" t="inlineStr">
        <is>
          <t>Open Tasks</t>
        </is>
      </c>
      <c r="D7" s="112" t="n"/>
      <c r="E7" s="91" t="inlineStr">
        <is>
          <t>Completed</t>
        </is>
      </c>
      <c r="F7" s="112" t="n"/>
      <c r="G7" s="91" t="inlineStr">
        <is>
          <t>Overdue</t>
        </is>
      </c>
      <c r="H7" s="112" t="n"/>
      <c r="I7" s="91" t="inlineStr">
        <is>
          <t>Est. Hours</t>
        </is>
      </c>
      <c r="J7" s="112" t="n"/>
      <c r="K7" s="91" t="inlineStr">
        <is>
          <t>Actual Hours</t>
        </is>
      </c>
      <c r="L7" s="112" t="n"/>
    </row>
    <row r="8" ht="20" customHeight="1" s="40">
      <c r="A8" s="92">
        <f>COUNTIF(Task_Tracker!$F$5:$F$1004,$B$4)</f>
        <v/>
      </c>
      <c r="B8" s="112" t="n"/>
      <c r="C8" s="92">
        <f>COUNTIFS(Task_Tracker!$F$5:$F$1004,$B$4,Task_Tracker!$I$5:$I$1004,"&lt;&gt;Completed",Task_Tracker!$I$5:$I$1004,"&lt;&gt;Cancelled")</f>
        <v/>
      </c>
      <c r="D8" s="112" t="n"/>
      <c r="E8" s="92">
        <f>COUNTIFS(Task_Tracker!$F$5:$F$1004,$B$4,Task_Tracker!$I$5:$I$1004,"Completed")</f>
        <v/>
      </c>
      <c r="F8" s="112" t="n"/>
      <c r="G8" s="92">
        <f>COUNTIFS(Task_Tracker!$F$5:$F$1004,$B$4,Task_Tracker!$R$5:$R$1004,"Overdue")</f>
        <v/>
      </c>
      <c r="H8" s="112" t="n"/>
      <c r="I8" s="93">
        <f>SUMIF(Task_Tracker!$F$5:$F$1004,$B$4,Task_Tracker!$N$5:$N$1004)</f>
        <v/>
      </c>
      <c r="J8" s="112" t="n"/>
      <c r="K8" s="93">
        <f>SUMIF(Task_Tracker!$F$5:$F$1004,$B$4,Task_Tracker!$O$5:$O$1004)</f>
        <v/>
      </c>
      <c r="L8" s="112" t="n"/>
    </row>
    <row r="9" ht="20" customHeight="1" s="40"/>
    <row r="10" ht="20" customHeight="1" s="40">
      <c r="A10" s="91" t="inlineStr">
        <is>
          <t>Step Count</t>
        </is>
      </c>
      <c r="C10" s="91" t="inlineStr">
        <is>
          <t>Open Steps</t>
        </is>
      </c>
      <c r="E10" s="91" t="inlineStr">
        <is>
          <t>Completed Steps</t>
        </is>
      </c>
      <c r="G10" s="91" t="inlineStr">
        <is>
          <t>Step Actual Hrs</t>
        </is>
      </c>
      <c r="I10" s="91" t="inlineStr">
        <is>
          <t>Tasks w/ Source</t>
        </is>
      </c>
      <c r="K10" s="91" t="inlineStr">
        <is>
          <t>To Manager</t>
        </is>
      </c>
    </row>
    <row r="11" ht="20" customHeight="1" s="40">
      <c r="A11" s="92">
        <f>COUNTIF(Task_Steps!$G$5:$G$2004,$B$4)</f>
        <v/>
      </c>
      <c r="C11" s="92">
        <f>COUNTIFS(Task_Steps!$G$5:$G$2004,$B$4,Task_Steps!$H$5:$H$2004,"&lt;&gt;Completed",Task_Steps!$H$5:$H$2004,"&lt;&gt;Cancelled")</f>
        <v/>
      </c>
      <c r="E11" s="92">
        <f>COUNTIFS(Task_Steps!$G$5:$G$2004,$B$4,Task_Steps!$H$5:$H$2004,"Completed")</f>
        <v/>
      </c>
      <c r="G11" s="92">
        <f>SUMIF(Task_Steps!$G$5:$G$2004,$B$4,Task_Steps!$N$5:$N$2004)</f>
        <v/>
      </c>
      <c r="I11" s="92">
        <f>COUNTIFS(Task_Tracker!$F$5:$F$1004,$B$4,Task_Tracker!$AA$5:$AA$1004,"&lt;&gt;")</f>
        <v/>
      </c>
      <c r="K11" s="92">
        <f>COUNTIFS(Task_Tracker!$F$5:$F$1004,$B$4,Task_Tracker!$AC$5:$AC$1004,"&lt;&gt;")</f>
        <v/>
      </c>
    </row>
    <row r="12" ht="20" customHeight="1" s="40"/>
    <row r="13" ht="20" customHeight="1" s="40">
      <c r="A13" s="94" t="inlineStr">
        <is>
          <t>Task Detail (Direct from Task_Tracker)</t>
        </is>
      </c>
      <c r="B13" s="111" t="n"/>
      <c r="C13" s="111" t="n"/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2" t="n"/>
    </row>
    <row r="14" ht="20" customHeight="1" s="40">
      <c r="A14" s="95" t="inlineStr">
        <is>
          <t>Task ID</t>
        </is>
      </c>
      <c r="B14" s="95" t="inlineStr">
        <is>
          <t>Source</t>
        </is>
      </c>
      <c r="C14" s="95" t="inlineStr">
        <is>
          <t>Project</t>
        </is>
      </c>
      <c r="D14" s="95" t="inlineStr">
        <is>
          <t>Task Title</t>
        </is>
      </c>
      <c r="E14" s="95" t="inlineStr">
        <is>
          <t>Status</t>
        </is>
      </c>
      <c r="F14" s="95" t="inlineStr">
        <is>
          <t>Priority</t>
        </is>
      </c>
      <c r="G14" s="95" t="inlineStr">
        <is>
          <t>Due Date</t>
        </is>
      </c>
      <c r="H14" s="95" t="inlineStr">
        <is>
          <t>Actual Hrs</t>
        </is>
      </c>
      <c r="I14" s="95" t="inlineStr">
        <is>
          <t>Open Steps</t>
        </is>
      </c>
      <c r="J14" s="95" t="inlineStr">
        <is>
          <t>Linked Step IDs</t>
        </is>
      </c>
      <c r="K14" s="39" t="inlineStr">
        <is>
          <t>Next Step</t>
        </is>
      </c>
      <c r="L14" s="39" t="inlineStr">
        <is>
          <t>Manager</t>
        </is>
      </c>
    </row>
    <row r="15" ht="20" customHeight="1" s="40">
      <c r="A15" s="96">
        <f>IF($B$5="All",IFERROR(TAKE(SORT(FILTER(CHOOSECOLS(Task_Tracker!$A$5:$AF$1004,1,27,2,4,9,8,12,15,31,30,21,28),(Task_Tracker!$A$5:$A$1004&lt;&gt;"")*(Task_Tracker!$F$5:$F$1004=$B$4)),7,1),20),""),IFERROR(TAKE(SORT(FILTER(CHOOSECOLS(Task_Tracker!$A$5:$AF$1004,1,27,2,4,9,8,12,15,31,30,21,28),(Task_Tracker!$A$5:$A$1004&lt;&gt;"")*(Task_Tracker!$F$5:$F$1004=$B$4)*(Task_Tracker!$S$5:$S$1004=$B$5)),7,1),20),""))</f>
        <v/>
      </c>
      <c r="B15" s="73" t="n"/>
      <c r="C15" s="73" t="n"/>
      <c r="D15" s="96" t="n"/>
      <c r="E15" s="96" t="n"/>
      <c r="F15" s="113" t="n"/>
      <c r="G15" s="113" t="n"/>
      <c r="H15" s="75" t="n"/>
      <c r="I15" s="96" t="n"/>
      <c r="J15" s="73" t="n"/>
    </row>
    <row r="16" ht="20" customHeight="1" s="40">
      <c r="A16" s="96" t="n"/>
      <c r="B16" s="73" t="n"/>
      <c r="C16" s="73" t="n"/>
      <c r="D16" s="96" t="n"/>
      <c r="E16" s="96" t="n"/>
      <c r="F16" s="113" t="n"/>
      <c r="G16" s="113" t="n"/>
      <c r="H16" s="75" t="n"/>
      <c r="I16" s="96" t="n"/>
      <c r="J16" s="73" t="n"/>
    </row>
    <row r="17" ht="20" customHeight="1" s="40">
      <c r="A17" s="96" t="n"/>
      <c r="B17" s="73" t="n"/>
      <c r="C17" s="73" t="n"/>
      <c r="D17" s="96" t="n"/>
      <c r="E17" s="96" t="n"/>
      <c r="F17" s="113" t="n"/>
      <c r="G17" s="113" t="n"/>
      <c r="H17" s="75" t="n"/>
      <c r="I17" s="96" t="n"/>
      <c r="J17" s="73" t="n"/>
    </row>
    <row r="18" ht="20" customHeight="1" s="40">
      <c r="A18" s="96" t="n"/>
      <c r="B18" s="73" t="n"/>
      <c r="C18" s="73" t="n"/>
      <c r="D18" s="96" t="n"/>
      <c r="E18" s="96" t="n"/>
      <c r="F18" s="113" t="n"/>
      <c r="G18" s="113" t="n"/>
      <c r="H18" s="75" t="n"/>
      <c r="I18" s="96" t="n"/>
      <c r="J18" s="73" t="n"/>
    </row>
    <row r="19" ht="20" customHeight="1" s="40">
      <c r="A19" s="96" t="n"/>
      <c r="B19" s="73" t="n"/>
      <c r="C19" s="73" t="n"/>
      <c r="D19" s="96" t="n"/>
      <c r="E19" s="96" t="n"/>
      <c r="F19" s="113" t="n"/>
      <c r="G19" s="113" t="n"/>
      <c r="H19" s="75" t="n"/>
      <c r="I19" s="96" t="n"/>
      <c r="J19" s="73" t="n"/>
    </row>
    <row r="20" ht="20" customHeight="1" s="40">
      <c r="A20" s="96" t="n"/>
      <c r="B20" s="73" t="n"/>
      <c r="C20" s="73" t="n"/>
      <c r="D20" s="96" t="n"/>
      <c r="E20" s="96" t="n"/>
      <c r="F20" s="113" t="n"/>
      <c r="G20" s="113" t="n"/>
      <c r="H20" s="75" t="n"/>
      <c r="I20" s="96" t="n"/>
      <c r="J20" s="73" t="n"/>
    </row>
    <row r="21" ht="20" customHeight="1" s="40">
      <c r="A21" s="96" t="n"/>
      <c r="B21" s="73" t="n"/>
      <c r="C21" s="73" t="n"/>
      <c r="D21" s="96" t="n"/>
      <c r="E21" s="96" t="n"/>
      <c r="F21" s="113" t="n"/>
      <c r="G21" s="113" t="n"/>
      <c r="H21" s="75" t="n"/>
      <c r="I21" s="96" t="n"/>
      <c r="J21" s="73" t="n"/>
    </row>
    <row r="22" ht="20" customHeight="1" s="40">
      <c r="A22" s="96" t="n"/>
      <c r="B22" s="73" t="n"/>
      <c r="C22" s="73" t="n"/>
      <c r="D22" s="96" t="n"/>
      <c r="E22" s="96" t="n"/>
      <c r="F22" s="113" t="n"/>
      <c r="G22" s="113" t="n"/>
      <c r="H22" s="75" t="n"/>
      <c r="I22" s="96" t="n"/>
      <c r="J22" s="73" t="n"/>
    </row>
    <row r="23" ht="20" customHeight="1" s="40">
      <c r="A23" s="96" t="n"/>
      <c r="B23" s="73" t="n"/>
      <c r="C23" s="73" t="n"/>
      <c r="D23" s="96" t="n"/>
      <c r="E23" s="96" t="n"/>
      <c r="F23" s="113" t="n"/>
      <c r="G23" s="113" t="n"/>
      <c r="H23" s="75" t="n"/>
      <c r="I23" s="96" t="n"/>
      <c r="J23" s="73" t="n"/>
    </row>
    <row r="24" ht="20" customHeight="1" s="40">
      <c r="A24" s="96" t="n"/>
      <c r="B24" s="73" t="n"/>
      <c r="C24" s="73" t="n"/>
      <c r="D24" s="96" t="n"/>
      <c r="E24" s="96" t="n"/>
      <c r="F24" s="113" t="n"/>
      <c r="G24" s="113" t="n"/>
      <c r="H24" s="75" t="n"/>
      <c r="I24" s="96" t="n"/>
      <c r="J24" s="73" t="n"/>
    </row>
    <row r="25" ht="20" customHeight="1" s="40">
      <c r="A25" s="96" t="n"/>
      <c r="B25" s="73" t="n"/>
      <c r="C25" s="73" t="n"/>
      <c r="D25" s="96" t="n"/>
      <c r="E25" s="96" t="n"/>
      <c r="F25" s="113" t="n"/>
      <c r="G25" s="113" t="n"/>
      <c r="H25" s="75" t="n"/>
      <c r="I25" s="96" t="n"/>
      <c r="J25" s="73" t="n"/>
    </row>
    <row r="26" ht="20" customHeight="1" s="40">
      <c r="A26" s="96" t="n"/>
      <c r="B26" s="73" t="n"/>
      <c r="C26" s="73" t="n"/>
      <c r="D26" s="96" t="n"/>
      <c r="E26" s="96" t="n"/>
      <c r="F26" s="113" t="n"/>
      <c r="G26" s="113" t="n"/>
      <c r="H26" s="75" t="n"/>
      <c r="I26" s="96" t="n"/>
      <c r="J26" s="73" t="n"/>
    </row>
    <row r="27" ht="20" customHeight="1" s="40">
      <c r="A27" s="96" t="n"/>
      <c r="B27" s="73" t="n"/>
      <c r="C27" s="73" t="n"/>
      <c r="D27" s="96" t="n"/>
      <c r="E27" s="96" t="n"/>
      <c r="F27" s="113" t="n"/>
      <c r="G27" s="113" t="n"/>
      <c r="H27" s="75" t="n"/>
      <c r="I27" s="96" t="n"/>
      <c r="J27" s="73" t="n"/>
    </row>
    <row r="28" ht="20" customHeight="1" s="40">
      <c r="A28" s="96" t="n"/>
      <c r="B28" s="73" t="n"/>
      <c r="C28" s="73" t="n"/>
      <c r="D28" s="96" t="n"/>
      <c r="E28" s="96" t="n"/>
      <c r="F28" s="113" t="n"/>
      <c r="G28" s="113" t="n"/>
      <c r="H28" s="75" t="n"/>
      <c r="I28" s="96" t="n"/>
      <c r="J28" s="73" t="n"/>
    </row>
    <row r="29" ht="20" customHeight="1" s="40">
      <c r="A29" s="96" t="n"/>
      <c r="B29" s="73" t="n"/>
      <c r="C29" s="73" t="n"/>
      <c r="D29" s="96" t="n"/>
      <c r="E29" s="96" t="n"/>
      <c r="F29" s="113" t="n"/>
      <c r="G29" s="113" t="n"/>
      <c r="H29" s="75" t="n"/>
      <c r="I29" s="96" t="n"/>
      <c r="J29" s="73" t="n"/>
    </row>
    <row r="30" ht="20" customHeight="1" s="40">
      <c r="A30" s="96" t="n"/>
      <c r="B30" s="73" t="n"/>
      <c r="C30" s="73" t="n"/>
      <c r="D30" s="96" t="n"/>
      <c r="E30" s="96" t="n"/>
      <c r="F30" s="113" t="n"/>
      <c r="G30" s="113" t="n"/>
      <c r="H30" s="75" t="n"/>
      <c r="I30" s="96" t="n"/>
      <c r="J30" s="73" t="n"/>
    </row>
    <row r="31" ht="20" customHeight="1" s="40">
      <c r="A31" s="96" t="n"/>
      <c r="B31" s="73" t="n"/>
      <c r="C31" s="73" t="n"/>
      <c r="D31" s="96" t="n"/>
      <c r="E31" s="96" t="n"/>
      <c r="F31" s="113" t="n"/>
      <c r="G31" s="113" t="n"/>
      <c r="H31" s="75" t="n"/>
      <c r="I31" s="96" t="n"/>
      <c r="J31" s="73" t="n"/>
    </row>
    <row r="32" ht="20" customHeight="1" s="40">
      <c r="A32" s="96" t="n"/>
      <c r="B32" s="73" t="n"/>
      <c r="C32" s="73" t="n"/>
      <c r="D32" s="96" t="n"/>
      <c r="E32" s="96" t="n"/>
      <c r="F32" s="113" t="n"/>
      <c r="G32" s="113" t="n"/>
      <c r="H32" s="75" t="n"/>
      <c r="I32" s="96" t="n"/>
      <c r="J32" s="73" t="n"/>
    </row>
    <row r="33" ht="20" customHeight="1" s="40">
      <c r="A33" s="96" t="n"/>
      <c r="B33" s="73" t="n"/>
      <c r="C33" s="73" t="n"/>
      <c r="D33" s="96" t="n"/>
      <c r="E33" s="96" t="n"/>
      <c r="F33" s="113" t="n"/>
      <c r="G33" s="113" t="n"/>
      <c r="H33" s="75" t="n"/>
      <c r="I33" s="96" t="n"/>
      <c r="J33" s="73" t="n"/>
    </row>
    <row r="34" ht="20" customHeight="1" s="40">
      <c r="A34" s="96" t="n"/>
      <c r="B34" s="73" t="n"/>
      <c r="C34" s="73" t="n"/>
      <c r="D34" s="96" t="n"/>
      <c r="E34" s="96" t="n"/>
      <c r="F34" s="113" t="n"/>
      <c r="G34" s="113" t="n"/>
      <c r="H34" s="75" t="n"/>
      <c r="I34" s="96" t="n"/>
      <c r="J34" s="73" t="n"/>
    </row>
    <row r="35" ht="20" customHeight="1" s="40"/>
    <row r="36" ht="20" customHeight="1" s="40"/>
    <row r="37" ht="20" customHeight="1" s="40">
      <c r="A37" s="94" t="inlineStr">
        <is>
          <t>Month-wise Summary</t>
        </is>
      </c>
      <c r="B37" s="111" t="n"/>
      <c r="C37" s="111" t="n"/>
      <c r="D37" s="111" t="n"/>
      <c r="E37" s="111" t="n"/>
      <c r="F37" s="111" t="n"/>
      <c r="G37" s="111" t="n"/>
      <c r="H37" s="112" t="n"/>
      <c r="I37" s="94" t="inlineStr">
        <is>
          <t>Tip</t>
        </is>
      </c>
      <c r="J37" s="111" t="n"/>
      <c r="K37" s="111" t="n"/>
      <c r="L37" s="112" t="n"/>
    </row>
    <row r="38" ht="20" customHeight="1" s="40">
      <c r="A38" s="71" t="inlineStr">
        <is>
          <t>Month Start</t>
        </is>
      </c>
      <c r="B38" s="71" t="inlineStr">
        <is>
          <t>Month</t>
        </is>
      </c>
      <c r="C38" s="71" t="inlineStr">
        <is>
          <t>Tasks Due</t>
        </is>
      </c>
      <c r="D38" s="71" t="inlineStr">
        <is>
          <t>Completed</t>
        </is>
      </c>
      <c r="E38" s="71" t="inlineStr">
        <is>
          <t>Carry Forward</t>
        </is>
      </c>
      <c r="F38" s="71" t="inlineStr">
        <is>
          <t>Actual Hrs</t>
        </is>
      </c>
      <c r="G38" s="71" t="inlineStr">
        <is>
          <t>Open in Bucket</t>
        </is>
      </c>
      <c r="H38" s="71" t="inlineStr">
        <is>
          <t>Completion %</t>
        </is>
      </c>
      <c r="I38" s="97" t="inlineStr">
        <is>
          <t>Task and step sections are linked to Task_Tracker and Task_Steps. Change only the source sheets; reports update automatically.</t>
        </is>
      </c>
      <c r="J38" s="114" t="n"/>
      <c r="K38" s="114" t="n"/>
      <c r="L38" s="115" t="n"/>
    </row>
    <row r="39" ht="20" customHeight="1" s="40">
      <c r="A39" s="113" t="n">
        <v>46113</v>
      </c>
      <c r="B39" s="73">
        <f>TEXT(A39,"mmm yyyy")</f>
        <v/>
      </c>
      <c r="C39" s="74">
        <f>COUNTIFS(Task_Tracker!$F$5:$F$1004,$B$4,Task_Tracker!$L$5:$L$1004,"&gt;="&amp;$A39,Task_Tracker!$L$5:$L$1004,"&lt;"&amp;EDATE($A39,1))</f>
        <v/>
      </c>
      <c r="D39" s="74">
        <f>COUNTIFS(Task_Tracker!$F$5:$F$1004,$B$4,Task_Tracker!$L$5:$L$1004,"&gt;="&amp;$A39,Task_Tracker!$L$5:$L$1004,"&lt;"&amp;EDATE($A39,1),Task_Tracker!$I$5:$I$1004,"Completed")</f>
        <v/>
      </c>
      <c r="E39" s="74">
        <f>COUNTIFS(Task_Tracker!$F$5:$F$1004,$B$4,Task_Tracker!$L$5:$L$1004,"&lt;"&amp;$A39,Task_Tracker!$I$5:$I$1004,"&lt;&gt;Completed",Task_Tracker!$I$5:$I$1004,"&lt;&gt;Cancelled")</f>
        <v/>
      </c>
      <c r="F39" s="75">
        <f>SUMIFS(Task_Tracker!$O$5:$O$1004,Task_Tracker!$F$5:$F$1004,$B$4,Task_Tracker!$L$5:$L$1004,"&gt;="&amp;$A39,Task_Tracker!$L$5:$L$1004,"&lt;"&amp;EDATE($A39,1))</f>
        <v/>
      </c>
      <c r="G39" s="74">
        <f>COUNTIFS(Task_Tracker!$F$5:$F$1004,$B$4,Task_Tracker!$L$5:$L$1004,"&gt;="&amp;$A39,Task_Tracker!$L$5:$L$1004,"&lt;"&amp;EDATE($A39,1),Task_Tracker!$I$5:$I$1004,"&lt;&gt;Completed",Task_Tracker!$I$5:$I$1004,"&lt;&gt;Cancelled")</f>
        <v/>
      </c>
      <c r="H39" s="116">
        <f>IFERROR(D39/C39,0)</f>
        <v/>
      </c>
      <c r="I39" s="117" t="n"/>
      <c r="L39" s="118" t="n"/>
    </row>
    <row r="40" ht="20" customHeight="1" s="40">
      <c r="A40" s="113" t="n">
        <v>46143</v>
      </c>
      <c r="B40" s="73">
        <f>TEXT(A40,"mmm yyyy")</f>
        <v/>
      </c>
      <c r="C40" s="74">
        <f>COUNTIFS(Task_Tracker!$F$5:$F$1004,$B$4,Task_Tracker!$L$5:$L$1004,"&gt;="&amp;$A40,Task_Tracker!$L$5:$L$1004,"&lt;"&amp;EDATE($A40,1))</f>
        <v/>
      </c>
      <c r="D40" s="74">
        <f>COUNTIFS(Task_Tracker!$F$5:$F$1004,$B$4,Task_Tracker!$L$5:$L$1004,"&gt;="&amp;$A40,Task_Tracker!$L$5:$L$1004,"&lt;"&amp;EDATE($A40,1),Task_Tracker!$I$5:$I$1004,"Completed")</f>
        <v/>
      </c>
      <c r="E40" s="74">
        <f>COUNTIFS(Task_Tracker!$F$5:$F$1004,$B$4,Task_Tracker!$L$5:$L$1004,"&lt;"&amp;$A40,Task_Tracker!$I$5:$I$1004,"&lt;&gt;Completed",Task_Tracker!$I$5:$I$1004,"&lt;&gt;Cancelled")</f>
        <v/>
      </c>
      <c r="F40" s="75">
        <f>SUMIFS(Task_Tracker!$O$5:$O$1004,Task_Tracker!$F$5:$F$1004,$B$4,Task_Tracker!$L$5:$L$1004,"&gt;="&amp;$A40,Task_Tracker!$L$5:$L$1004,"&lt;"&amp;EDATE($A40,1))</f>
        <v/>
      </c>
      <c r="G40" s="74">
        <f>COUNTIFS(Task_Tracker!$F$5:$F$1004,$B$4,Task_Tracker!$L$5:$L$1004,"&gt;="&amp;$A40,Task_Tracker!$L$5:$L$1004,"&lt;"&amp;EDATE($A40,1),Task_Tracker!$I$5:$I$1004,"&lt;&gt;Completed",Task_Tracker!$I$5:$I$1004,"&lt;&gt;Cancelled")</f>
        <v/>
      </c>
      <c r="H40" s="116">
        <f>IFERROR(D40/C40,0)</f>
        <v/>
      </c>
      <c r="I40" s="119" t="n"/>
      <c r="J40" s="120" t="n"/>
      <c r="K40" s="120" t="n"/>
      <c r="L40" s="121" t="n"/>
    </row>
    <row r="41" ht="20" customHeight="1" s="40">
      <c r="A41" s="113" t="n">
        <v>46174</v>
      </c>
      <c r="B41" s="73">
        <f>TEXT(A41,"mmm yyyy")</f>
        <v/>
      </c>
      <c r="C41" s="74">
        <f>COUNTIFS(Task_Tracker!$F$5:$F$1004,$B$4,Task_Tracker!$L$5:$L$1004,"&gt;="&amp;$A41,Task_Tracker!$L$5:$L$1004,"&lt;"&amp;EDATE($A41,1))</f>
        <v/>
      </c>
      <c r="D41" s="74">
        <f>COUNTIFS(Task_Tracker!$F$5:$F$1004,$B$4,Task_Tracker!$L$5:$L$1004,"&gt;="&amp;$A41,Task_Tracker!$L$5:$L$1004,"&lt;"&amp;EDATE($A41,1),Task_Tracker!$I$5:$I$1004,"Completed")</f>
        <v/>
      </c>
      <c r="E41" s="74">
        <f>COUNTIFS(Task_Tracker!$F$5:$F$1004,$B$4,Task_Tracker!$L$5:$L$1004,"&lt;"&amp;$A41,Task_Tracker!$I$5:$I$1004,"&lt;&gt;Completed",Task_Tracker!$I$5:$I$1004,"&lt;&gt;Cancelled")</f>
        <v/>
      </c>
      <c r="F41" s="75">
        <f>SUMIFS(Task_Tracker!$O$5:$O$1004,Task_Tracker!$F$5:$F$1004,$B$4,Task_Tracker!$L$5:$L$1004,"&gt;="&amp;$A41,Task_Tracker!$L$5:$L$1004,"&lt;"&amp;EDATE($A41,1))</f>
        <v/>
      </c>
      <c r="G41" s="74">
        <f>COUNTIFS(Task_Tracker!$F$5:$F$1004,$B$4,Task_Tracker!$L$5:$L$1004,"&gt;="&amp;$A41,Task_Tracker!$L$5:$L$1004,"&lt;"&amp;EDATE($A41,1),Task_Tracker!$I$5:$I$1004,"&lt;&gt;Completed",Task_Tracker!$I$5:$I$1004,"&lt;&gt;Cancelled")</f>
        <v/>
      </c>
      <c r="H41" s="116">
        <f>IFERROR(D41/C41,0)</f>
        <v/>
      </c>
    </row>
    <row r="42" ht="20" customHeight="1" s="40">
      <c r="A42" s="113" t="n">
        <v>46204</v>
      </c>
      <c r="B42" s="73">
        <f>TEXT(A42,"mmm yyyy")</f>
        <v/>
      </c>
      <c r="C42" s="74">
        <f>COUNTIFS(Task_Tracker!$F$5:$F$1004,$B$4,Task_Tracker!$L$5:$L$1004,"&gt;="&amp;$A42,Task_Tracker!$L$5:$L$1004,"&lt;"&amp;EDATE($A42,1))</f>
        <v/>
      </c>
      <c r="D42" s="74">
        <f>COUNTIFS(Task_Tracker!$F$5:$F$1004,$B$4,Task_Tracker!$L$5:$L$1004,"&gt;="&amp;$A42,Task_Tracker!$L$5:$L$1004,"&lt;"&amp;EDATE($A42,1),Task_Tracker!$I$5:$I$1004,"Completed")</f>
        <v/>
      </c>
      <c r="E42" s="74">
        <f>COUNTIFS(Task_Tracker!$F$5:$F$1004,$B$4,Task_Tracker!$L$5:$L$1004,"&lt;"&amp;$A42,Task_Tracker!$I$5:$I$1004,"&lt;&gt;Completed",Task_Tracker!$I$5:$I$1004,"&lt;&gt;Cancelled")</f>
        <v/>
      </c>
      <c r="F42" s="75">
        <f>SUMIFS(Task_Tracker!$O$5:$O$1004,Task_Tracker!$F$5:$F$1004,$B$4,Task_Tracker!$L$5:$L$1004,"&gt;="&amp;$A42,Task_Tracker!$L$5:$L$1004,"&lt;"&amp;EDATE($A42,1))</f>
        <v/>
      </c>
      <c r="G42" s="74">
        <f>COUNTIFS(Task_Tracker!$F$5:$F$1004,$B$4,Task_Tracker!$L$5:$L$1004,"&gt;="&amp;$A42,Task_Tracker!$L$5:$L$1004,"&lt;"&amp;EDATE($A42,1),Task_Tracker!$I$5:$I$1004,"&lt;&gt;Completed",Task_Tracker!$I$5:$I$1004,"&lt;&gt;Cancelled")</f>
        <v/>
      </c>
      <c r="H42" s="116">
        <f>IFERROR(D42/C42,0)</f>
        <v/>
      </c>
    </row>
    <row r="43" ht="20" customHeight="1" s="40">
      <c r="A43" s="113" t="n">
        <v>46235</v>
      </c>
      <c r="B43" s="73">
        <f>TEXT(A43,"mmm yyyy")</f>
        <v/>
      </c>
      <c r="C43" s="74">
        <f>COUNTIFS(Task_Tracker!$F$5:$F$1004,$B$4,Task_Tracker!$L$5:$L$1004,"&gt;="&amp;$A43,Task_Tracker!$L$5:$L$1004,"&lt;"&amp;EDATE($A43,1))</f>
        <v/>
      </c>
      <c r="D43" s="74">
        <f>COUNTIFS(Task_Tracker!$F$5:$F$1004,$B$4,Task_Tracker!$L$5:$L$1004,"&gt;="&amp;$A43,Task_Tracker!$L$5:$L$1004,"&lt;"&amp;EDATE($A43,1),Task_Tracker!$I$5:$I$1004,"Completed")</f>
        <v/>
      </c>
      <c r="E43" s="74">
        <f>COUNTIFS(Task_Tracker!$F$5:$F$1004,$B$4,Task_Tracker!$L$5:$L$1004,"&lt;"&amp;$A43,Task_Tracker!$I$5:$I$1004,"&lt;&gt;Completed",Task_Tracker!$I$5:$I$1004,"&lt;&gt;Cancelled")</f>
        <v/>
      </c>
      <c r="F43" s="75">
        <f>SUMIFS(Task_Tracker!$O$5:$O$1004,Task_Tracker!$F$5:$F$1004,$B$4,Task_Tracker!$L$5:$L$1004,"&gt;="&amp;$A43,Task_Tracker!$L$5:$L$1004,"&lt;"&amp;EDATE($A43,1))</f>
        <v/>
      </c>
      <c r="G43" s="74">
        <f>COUNTIFS(Task_Tracker!$F$5:$F$1004,$B$4,Task_Tracker!$L$5:$L$1004,"&gt;="&amp;$A43,Task_Tracker!$L$5:$L$1004,"&lt;"&amp;EDATE($A43,1),Task_Tracker!$I$5:$I$1004,"&lt;&gt;Completed",Task_Tracker!$I$5:$I$1004,"&lt;&gt;Cancelled")</f>
        <v/>
      </c>
      <c r="H43" s="116">
        <f>IFERROR(D43/C43,0)</f>
        <v/>
      </c>
    </row>
    <row r="44" ht="20" customHeight="1" s="40">
      <c r="A44" s="113" t="n">
        <v>46266</v>
      </c>
      <c r="B44" s="73">
        <f>TEXT(A44,"mmm yyyy")</f>
        <v/>
      </c>
      <c r="C44" s="74">
        <f>COUNTIFS(Task_Tracker!$F$5:$F$1004,$B$4,Task_Tracker!$L$5:$L$1004,"&gt;="&amp;$A44,Task_Tracker!$L$5:$L$1004,"&lt;"&amp;EDATE($A44,1))</f>
        <v/>
      </c>
      <c r="D44" s="74">
        <f>COUNTIFS(Task_Tracker!$F$5:$F$1004,$B$4,Task_Tracker!$L$5:$L$1004,"&gt;="&amp;$A44,Task_Tracker!$L$5:$L$1004,"&lt;"&amp;EDATE($A44,1),Task_Tracker!$I$5:$I$1004,"Completed")</f>
        <v/>
      </c>
      <c r="E44" s="74">
        <f>COUNTIFS(Task_Tracker!$F$5:$F$1004,$B$4,Task_Tracker!$L$5:$L$1004,"&lt;"&amp;$A44,Task_Tracker!$I$5:$I$1004,"&lt;&gt;Completed",Task_Tracker!$I$5:$I$1004,"&lt;&gt;Cancelled")</f>
        <v/>
      </c>
      <c r="F44" s="75">
        <f>SUMIFS(Task_Tracker!$O$5:$O$1004,Task_Tracker!$F$5:$F$1004,$B$4,Task_Tracker!$L$5:$L$1004,"&gt;="&amp;$A44,Task_Tracker!$L$5:$L$1004,"&lt;"&amp;EDATE($A44,1))</f>
        <v/>
      </c>
      <c r="G44" s="74">
        <f>COUNTIFS(Task_Tracker!$F$5:$F$1004,$B$4,Task_Tracker!$L$5:$L$1004,"&gt;="&amp;$A44,Task_Tracker!$L$5:$L$1004,"&lt;"&amp;EDATE($A44,1),Task_Tracker!$I$5:$I$1004,"&lt;&gt;Completed",Task_Tracker!$I$5:$I$1004,"&lt;&gt;Cancelled")</f>
        <v/>
      </c>
      <c r="H44" s="116">
        <f>IFERROR(D44/C44,0)</f>
        <v/>
      </c>
    </row>
    <row r="45" ht="20" customHeight="1" s="40">
      <c r="A45" s="113" t="n">
        <v>46296</v>
      </c>
      <c r="B45" s="73">
        <f>TEXT(A45,"mmm yyyy")</f>
        <v/>
      </c>
      <c r="C45" s="74">
        <f>COUNTIFS(Task_Tracker!$F$5:$F$1004,$B$4,Task_Tracker!$L$5:$L$1004,"&gt;="&amp;$A45,Task_Tracker!$L$5:$L$1004,"&lt;"&amp;EDATE($A45,1))</f>
        <v/>
      </c>
      <c r="D45" s="74">
        <f>COUNTIFS(Task_Tracker!$F$5:$F$1004,$B$4,Task_Tracker!$L$5:$L$1004,"&gt;="&amp;$A45,Task_Tracker!$L$5:$L$1004,"&lt;"&amp;EDATE($A45,1),Task_Tracker!$I$5:$I$1004,"Completed")</f>
        <v/>
      </c>
      <c r="E45" s="74">
        <f>COUNTIFS(Task_Tracker!$F$5:$F$1004,$B$4,Task_Tracker!$L$5:$L$1004,"&lt;"&amp;$A45,Task_Tracker!$I$5:$I$1004,"&lt;&gt;Completed",Task_Tracker!$I$5:$I$1004,"&lt;&gt;Cancelled")</f>
        <v/>
      </c>
      <c r="F45" s="75">
        <f>SUMIFS(Task_Tracker!$O$5:$O$1004,Task_Tracker!$F$5:$F$1004,$B$4,Task_Tracker!$L$5:$L$1004,"&gt;="&amp;$A45,Task_Tracker!$L$5:$L$1004,"&lt;"&amp;EDATE($A45,1))</f>
        <v/>
      </c>
      <c r="G45" s="74">
        <f>COUNTIFS(Task_Tracker!$F$5:$F$1004,$B$4,Task_Tracker!$L$5:$L$1004,"&gt;="&amp;$A45,Task_Tracker!$L$5:$L$1004,"&lt;"&amp;EDATE($A45,1),Task_Tracker!$I$5:$I$1004,"&lt;&gt;Completed",Task_Tracker!$I$5:$I$1004,"&lt;&gt;Cancelled")</f>
        <v/>
      </c>
      <c r="H45" s="116">
        <f>IFERROR(D45/C45,0)</f>
        <v/>
      </c>
    </row>
    <row r="46" ht="20" customHeight="1" s="40">
      <c r="A46" s="113" t="n">
        <v>46327</v>
      </c>
      <c r="B46" s="73">
        <f>TEXT(A46,"mmm yyyy")</f>
        <v/>
      </c>
      <c r="C46" s="74">
        <f>COUNTIFS(Task_Tracker!$F$5:$F$1004,$B$4,Task_Tracker!$L$5:$L$1004,"&gt;="&amp;$A46,Task_Tracker!$L$5:$L$1004,"&lt;"&amp;EDATE($A46,1))</f>
        <v/>
      </c>
      <c r="D46" s="74">
        <f>COUNTIFS(Task_Tracker!$F$5:$F$1004,$B$4,Task_Tracker!$L$5:$L$1004,"&gt;="&amp;$A46,Task_Tracker!$L$5:$L$1004,"&lt;"&amp;EDATE($A46,1),Task_Tracker!$I$5:$I$1004,"Completed")</f>
        <v/>
      </c>
      <c r="E46" s="74">
        <f>COUNTIFS(Task_Tracker!$F$5:$F$1004,$B$4,Task_Tracker!$L$5:$L$1004,"&lt;"&amp;$A46,Task_Tracker!$I$5:$I$1004,"&lt;&gt;Completed",Task_Tracker!$I$5:$I$1004,"&lt;&gt;Cancelled")</f>
        <v/>
      </c>
      <c r="F46" s="75">
        <f>SUMIFS(Task_Tracker!$O$5:$O$1004,Task_Tracker!$F$5:$F$1004,$B$4,Task_Tracker!$L$5:$L$1004,"&gt;="&amp;$A46,Task_Tracker!$L$5:$L$1004,"&lt;"&amp;EDATE($A46,1))</f>
        <v/>
      </c>
      <c r="G46" s="74">
        <f>COUNTIFS(Task_Tracker!$F$5:$F$1004,$B$4,Task_Tracker!$L$5:$L$1004,"&gt;="&amp;$A46,Task_Tracker!$L$5:$L$1004,"&lt;"&amp;EDATE($A46,1),Task_Tracker!$I$5:$I$1004,"&lt;&gt;Completed",Task_Tracker!$I$5:$I$1004,"&lt;&gt;Cancelled")</f>
        <v/>
      </c>
      <c r="H46" s="116">
        <f>IFERROR(D46/C46,0)</f>
        <v/>
      </c>
    </row>
    <row r="47" ht="20" customHeight="1" s="40">
      <c r="A47" s="113" t="n">
        <v>46357</v>
      </c>
      <c r="B47" s="73">
        <f>TEXT(A47,"mmm yyyy")</f>
        <v/>
      </c>
      <c r="C47" s="74">
        <f>COUNTIFS(Task_Tracker!$F$5:$F$1004,$B$4,Task_Tracker!$L$5:$L$1004,"&gt;="&amp;$A47,Task_Tracker!$L$5:$L$1004,"&lt;"&amp;EDATE($A47,1))</f>
        <v/>
      </c>
      <c r="D47" s="74">
        <f>COUNTIFS(Task_Tracker!$F$5:$F$1004,$B$4,Task_Tracker!$L$5:$L$1004,"&gt;="&amp;$A47,Task_Tracker!$L$5:$L$1004,"&lt;"&amp;EDATE($A47,1),Task_Tracker!$I$5:$I$1004,"Completed")</f>
        <v/>
      </c>
      <c r="E47" s="74">
        <f>COUNTIFS(Task_Tracker!$F$5:$F$1004,$B$4,Task_Tracker!$L$5:$L$1004,"&lt;"&amp;$A47,Task_Tracker!$I$5:$I$1004,"&lt;&gt;Completed",Task_Tracker!$I$5:$I$1004,"&lt;&gt;Cancelled")</f>
        <v/>
      </c>
      <c r="F47" s="75">
        <f>SUMIFS(Task_Tracker!$O$5:$O$1004,Task_Tracker!$F$5:$F$1004,$B$4,Task_Tracker!$L$5:$L$1004,"&gt;="&amp;$A47,Task_Tracker!$L$5:$L$1004,"&lt;"&amp;EDATE($A47,1))</f>
        <v/>
      </c>
      <c r="G47" s="74">
        <f>COUNTIFS(Task_Tracker!$F$5:$F$1004,$B$4,Task_Tracker!$L$5:$L$1004,"&gt;="&amp;$A47,Task_Tracker!$L$5:$L$1004,"&lt;"&amp;EDATE($A47,1),Task_Tracker!$I$5:$I$1004,"&lt;&gt;Completed",Task_Tracker!$I$5:$I$1004,"&lt;&gt;Cancelled")</f>
        <v/>
      </c>
      <c r="H47" s="116">
        <f>IFERROR(D47/C47,0)</f>
        <v/>
      </c>
    </row>
    <row r="48" ht="20" customHeight="1" s="40">
      <c r="A48" s="113" t="n">
        <v>46388</v>
      </c>
      <c r="B48" s="73">
        <f>TEXT(A48,"mmm yyyy")</f>
        <v/>
      </c>
      <c r="C48" s="74">
        <f>COUNTIFS(Task_Tracker!$F$5:$F$1004,$B$4,Task_Tracker!$L$5:$L$1004,"&gt;="&amp;$A48,Task_Tracker!$L$5:$L$1004,"&lt;"&amp;EDATE($A48,1))</f>
        <v/>
      </c>
      <c r="D48" s="74">
        <f>COUNTIFS(Task_Tracker!$F$5:$F$1004,$B$4,Task_Tracker!$L$5:$L$1004,"&gt;="&amp;$A48,Task_Tracker!$L$5:$L$1004,"&lt;"&amp;EDATE($A48,1),Task_Tracker!$I$5:$I$1004,"Completed")</f>
        <v/>
      </c>
      <c r="E48" s="74">
        <f>COUNTIFS(Task_Tracker!$F$5:$F$1004,$B$4,Task_Tracker!$L$5:$L$1004,"&lt;"&amp;$A48,Task_Tracker!$I$5:$I$1004,"&lt;&gt;Completed",Task_Tracker!$I$5:$I$1004,"&lt;&gt;Cancelled")</f>
        <v/>
      </c>
      <c r="F48" s="75">
        <f>SUMIFS(Task_Tracker!$O$5:$O$1004,Task_Tracker!$F$5:$F$1004,$B$4,Task_Tracker!$L$5:$L$1004,"&gt;="&amp;$A48,Task_Tracker!$L$5:$L$1004,"&lt;"&amp;EDATE($A48,1))</f>
        <v/>
      </c>
      <c r="G48" s="74">
        <f>COUNTIFS(Task_Tracker!$F$5:$F$1004,$B$4,Task_Tracker!$L$5:$L$1004,"&gt;="&amp;$A48,Task_Tracker!$L$5:$L$1004,"&lt;"&amp;EDATE($A48,1),Task_Tracker!$I$5:$I$1004,"&lt;&gt;Completed",Task_Tracker!$I$5:$I$1004,"&lt;&gt;Cancelled")</f>
        <v/>
      </c>
      <c r="H48" s="116">
        <f>IFERROR(D48/C48,0)</f>
        <v/>
      </c>
    </row>
    <row r="49" ht="20" customHeight="1" s="40">
      <c r="A49" s="113" t="n">
        <v>46419</v>
      </c>
      <c r="B49" s="73">
        <f>TEXT(A49,"mmm yyyy")</f>
        <v/>
      </c>
      <c r="C49" s="74">
        <f>COUNTIFS(Task_Tracker!$F$5:$F$1004,$B$4,Task_Tracker!$L$5:$L$1004,"&gt;="&amp;$A49,Task_Tracker!$L$5:$L$1004,"&lt;"&amp;EDATE($A49,1))</f>
        <v/>
      </c>
      <c r="D49" s="74">
        <f>COUNTIFS(Task_Tracker!$F$5:$F$1004,$B$4,Task_Tracker!$L$5:$L$1004,"&gt;="&amp;$A49,Task_Tracker!$L$5:$L$1004,"&lt;"&amp;EDATE($A49,1),Task_Tracker!$I$5:$I$1004,"Completed")</f>
        <v/>
      </c>
      <c r="E49" s="74">
        <f>COUNTIFS(Task_Tracker!$F$5:$F$1004,$B$4,Task_Tracker!$L$5:$L$1004,"&lt;"&amp;$A49,Task_Tracker!$I$5:$I$1004,"&lt;&gt;Completed",Task_Tracker!$I$5:$I$1004,"&lt;&gt;Cancelled")</f>
        <v/>
      </c>
      <c r="F49" s="75">
        <f>SUMIFS(Task_Tracker!$O$5:$O$1004,Task_Tracker!$F$5:$F$1004,$B$4,Task_Tracker!$L$5:$L$1004,"&gt;="&amp;$A49,Task_Tracker!$L$5:$L$1004,"&lt;"&amp;EDATE($A49,1))</f>
        <v/>
      </c>
      <c r="G49" s="74">
        <f>COUNTIFS(Task_Tracker!$F$5:$F$1004,$B$4,Task_Tracker!$L$5:$L$1004,"&gt;="&amp;$A49,Task_Tracker!$L$5:$L$1004,"&lt;"&amp;EDATE($A49,1),Task_Tracker!$I$5:$I$1004,"&lt;&gt;Completed",Task_Tracker!$I$5:$I$1004,"&lt;&gt;Cancelled")</f>
        <v/>
      </c>
      <c r="H49" s="116">
        <f>IFERROR(D49/C49,0)</f>
        <v/>
      </c>
    </row>
    <row r="50" ht="20" customHeight="1" s="40">
      <c r="A50" s="113" t="n">
        <v>46447</v>
      </c>
      <c r="B50" s="73">
        <f>TEXT(A50,"mmm yyyy")</f>
        <v/>
      </c>
      <c r="C50" s="74">
        <f>COUNTIFS(Task_Tracker!$F$5:$F$1004,$B$4,Task_Tracker!$L$5:$L$1004,"&gt;="&amp;$A50,Task_Tracker!$L$5:$L$1004,"&lt;"&amp;EDATE($A50,1))</f>
        <v/>
      </c>
      <c r="D50" s="74">
        <f>COUNTIFS(Task_Tracker!$F$5:$F$1004,$B$4,Task_Tracker!$L$5:$L$1004,"&gt;="&amp;$A50,Task_Tracker!$L$5:$L$1004,"&lt;"&amp;EDATE($A50,1),Task_Tracker!$I$5:$I$1004,"Completed")</f>
        <v/>
      </c>
      <c r="E50" s="74">
        <f>COUNTIFS(Task_Tracker!$F$5:$F$1004,$B$4,Task_Tracker!$L$5:$L$1004,"&lt;"&amp;$A50,Task_Tracker!$I$5:$I$1004,"&lt;&gt;Completed",Task_Tracker!$I$5:$I$1004,"&lt;&gt;Cancelled")</f>
        <v/>
      </c>
      <c r="F50" s="75">
        <f>SUMIFS(Task_Tracker!$O$5:$O$1004,Task_Tracker!$F$5:$F$1004,$B$4,Task_Tracker!$L$5:$L$1004,"&gt;="&amp;$A50,Task_Tracker!$L$5:$L$1004,"&lt;"&amp;EDATE($A50,1))</f>
        <v/>
      </c>
      <c r="G50" s="74">
        <f>COUNTIFS(Task_Tracker!$F$5:$F$1004,$B$4,Task_Tracker!$L$5:$L$1004,"&gt;="&amp;$A50,Task_Tracker!$L$5:$L$1004,"&lt;"&amp;EDATE($A50,1),Task_Tracker!$I$5:$I$1004,"&lt;&gt;Completed",Task_Tracker!$I$5:$I$1004,"&lt;&gt;Cancelled")</f>
        <v/>
      </c>
      <c r="H50" s="116">
        <f>IFERROR(D50/C50,0)</f>
        <v/>
      </c>
    </row>
    <row r="51" ht="20" customHeight="1" s="40"/>
    <row r="52" ht="20" customHeight="1" s="40"/>
    <row r="53" ht="20" customHeight="1" s="40">
      <c r="A53" s="94" t="inlineStr">
        <is>
          <t>Current Open / Upcoming Tasks (Direct from Task_Tracker)</t>
        </is>
      </c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  <c r="L53" s="112" t="n"/>
    </row>
    <row r="54" ht="20" customHeight="1" s="40">
      <c r="A54" s="95" t="inlineStr">
        <is>
          <t>Task ID</t>
        </is>
      </c>
      <c r="B54" s="95" t="inlineStr">
        <is>
          <t>Source</t>
        </is>
      </c>
      <c r="C54" s="95" t="inlineStr">
        <is>
          <t>Project</t>
        </is>
      </c>
      <c r="D54" s="95" t="inlineStr">
        <is>
          <t>Task Title</t>
        </is>
      </c>
      <c r="E54" s="95" t="inlineStr">
        <is>
          <t>Status</t>
        </is>
      </c>
      <c r="F54" s="95" t="inlineStr">
        <is>
          <t>Priority</t>
        </is>
      </c>
      <c r="G54" s="95" t="inlineStr">
        <is>
          <t>Due Date</t>
        </is>
      </c>
      <c r="H54" s="95" t="inlineStr">
        <is>
          <t>Actual Hrs</t>
        </is>
      </c>
      <c r="I54" s="95" t="inlineStr">
        <is>
          <t>Next Step</t>
        </is>
      </c>
      <c r="J54" s="39" t="inlineStr">
        <is>
          <t>Manager</t>
        </is>
      </c>
      <c r="K54" s="39" t="inlineStr">
        <is>
          <t>Notes</t>
        </is>
      </c>
    </row>
    <row r="55" ht="20" customHeight="1" s="40">
      <c r="A55" s="96">
        <f>IFERROR(TAKE(SORT(FILTER(CHOOSECOLS(Task_Tracker!$A$5:$AF$1004,1,27,2,4,9,8,12,15,21,28,26),(Task_Tracker!$A$5:$A$1004&lt;&gt;"")*(Task_Tracker!$F$5:$F$1004=$B$4)*(Task_Tracker!$I$5:$I$1004&lt;&gt;"Completed")*(Task_Tracker!$I$5:$I$1004&lt;&gt;"Cancelled")),7,1),20),"")</f>
        <v/>
      </c>
      <c r="B55" s="73" t="n"/>
      <c r="C55" s="73" t="n"/>
      <c r="D55" s="96" t="n"/>
      <c r="E55" s="96" t="n"/>
      <c r="F55" s="113" t="n"/>
      <c r="G55" s="75" t="n"/>
      <c r="H55" s="73" t="n"/>
      <c r="I55" s="73" t="n"/>
    </row>
    <row r="56" ht="20" customHeight="1" s="40">
      <c r="A56" s="96" t="n"/>
      <c r="B56" s="73" t="n"/>
      <c r="C56" s="73" t="n"/>
      <c r="D56" s="96" t="n"/>
      <c r="E56" s="96" t="n"/>
      <c r="F56" s="113" t="n"/>
      <c r="G56" s="75" t="n"/>
      <c r="H56" s="73" t="n"/>
      <c r="I56" s="73" t="n"/>
    </row>
    <row r="57" ht="20" customHeight="1" s="40">
      <c r="A57" s="96" t="n"/>
      <c r="B57" s="73" t="n"/>
      <c r="C57" s="73" t="n"/>
      <c r="D57" s="96" t="n"/>
      <c r="E57" s="96" t="n"/>
      <c r="F57" s="113" t="n"/>
      <c r="G57" s="75" t="n"/>
      <c r="H57" s="73" t="n"/>
      <c r="I57" s="73" t="n"/>
    </row>
    <row r="58" ht="20" customHeight="1" s="40">
      <c r="A58" s="96" t="n"/>
      <c r="B58" s="73" t="n"/>
      <c r="C58" s="73" t="n"/>
      <c r="D58" s="96" t="n"/>
      <c r="E58" s="96" t="n"/>
      <c r="F58" s="113" t="n"/>
      <c r="G58" s="75" t="n"/>
      <c r="H58" s="73" t="n"/>
      <c r="I58" s="73" t="n"/>
    </row>
    <row r="59" ht="20" customHeight="1" s="40">
      <c r="A59" s="96" t="n"/>
      <c r="B59" s="73" t="n"/>
      <c r="C59" s="73" t="n"/>
      <c r="D59" s="96" t="n"/>
      <c r="E59" s="96" t="n"/>
      <c r="F59" s="113" t="n"/>
      <c r="G59" s="75" t="n"/>
      <c r="H59" s="73" t="n"/>
      <c r="I59" s="73" t="n"/>
    </row>
    <row r="60" ht="20" customHeight="1" s="40">
      <c r="A60" s="96" t="n"/>
      <c r="B60" s="73" t="n"/>
      <c r="C60" s="73" t="n"/>
      <c r="D60" s="96" t="n"/>
      <c r="E60" s="96" t="n"/>
      <c r="F60" s="113" t="n"/>
      <c r="G60" s="75" t="n"/>
      <c r="H60" s="73" t="n"/>
      <c r="I60" s="73" t="n"/>
    </row>
    <row r="61" ht="20" customHeight="1" s="40">
      <c r="A61" s="96" t="n"/>
      <c r="B61" s="73" t="n"/>
      <c r="C61" s="73" t="n"/>
      <c r="D61" s="96" t="n"/>
      <c r="E61" s="96" t="n"/>
      <c r="F61" s="113" t="n"/>
      <c r="G61" s="75" t="n"/>
      <c r="H61" s="73" t="n"/>
      <c r="I61" s="73" t="n"/>
    </row>
    <row r="62" ht="20" customHeight="1" s="40">
      <c r="A62" s="96" t="n"/>
      <c r="B62" s="73" t="n"/>
      <c r="C62" s="73" t="n"/>
      <c r="D62" s="96" t="n"/>
      <c r="E62" s="96" t="n"/>
      <c r="F62" s="113" t="n"/>
      <c r="G62" s="75" t="n"/>
      <c r="H62" s="73" t="n"/>
      <c r="I62" s="73" t="n"/>
    </row>
    <row r="63" ht="20" customHeight="1" s="40">
      <c r="A63" s="96" t="n"/>
      <c r="B63" s="73" t="n"/>
      <c r="C63" s="73" t="n"/>
      <c r="D63" s="96" t="n"/>
      <c r="E63" s="96" t="n"/>
      <c r="F63" s="113" t="n"/>
      <c r="G63" s="75" t="n"/>
      <c r="H63" s="73" t="n"/>
      <c r="I63" s="73" t="n"/>
    </row>
    <row r="64" ht="20" customHeight="1" s="40">
      <c r="A64" s="96" t="n"/>
      <c r="B64" s="73" t="n"/>
      <c r="C64" s="73" t="n"/>
      <c r="D64" s="96" t="n"/>
      <c r="E64" s="96" t="n"/>
      <c r="F64" s="113" t="n"/>
      <c r="G64" s="75" t="n"/>
      <c r="H64" s="73" t="n"/>
      <c r="I64" s="73" t="n"/>
    </row>
    <row r="65" ht="20" customHeight="1" s="40">
      <c r="A65" s="96" t="n"/>
      <c r="B65" s="73" t="n"/>
      <c r="C65" s="73" t="n"/>
      <c r="D65" s="96" t="n"/>
      <c r="E65" s="96" t="n"/>
      <c r="F65" s="113" t="n"/>
      <c r="G65" s="75" t="n"/>
      <c r="H65" s="73" t="n"/>
      <c r="I65" s="73" t="n"/>
    </row>
    <row r="66" ht="20" customHeight="1" s="40">
      <c r="A66" s="96" t="n"/>
      <c r="B66" s="73" t="n"/>
      <c r="C66" s="73" t="n"/>
      <c r="D66" s="96" t="n"/>
      <c r="E66" s="96" t="n"/>
      <c r="F66" s="113" t="n"/>
      <c r="G66" s="75" t="n"/>
      <c r="H66" s="73" t="n"/>
      <c r="I66" s="73" t="n"/>
    </row>
    <row r="67" ht="20" customHeight="1" s="40">
      <c r="A67" s="96" t="n"/>
      <c r="B67" s="73" t="n"/>
      <c r="C67" s="73" t="n"/>
      <c r="D67" s="96" t="n"/>
      <c r="E67" s="96" t="n"/>
      <c r="F67" s="113" t="n"/>
      <c r="G67" s="75" t="n"/>
      <c r="H67" s="73" t="n"/>
      <c r="I67" s="73" t="n"/>
    </row>
    <row r="68" ht="20" customHeight="1" s="40">
      <c r="A68" s="96" t="n"/>
      <c r="B68" s="73" t="n"/>
      <c r="C68" s="73" t="n"/>
      <c r="D68" s="96" t="n"/>
      <c r="E68" s="96" t="n"/>
      <c r="F68" s="113" t="n"/>
      <c r="G68" s="75" t="n"/>
      <c r="H68" s="73" t="n"/>
      <c r="I68" s="73" t="n"/>
    </row>
    <row r="69" ht="20" customHeight="1" s="40">
      <c r="A69" s="96" t="n"/>
      <c r="B69" s="73" t="n"/>
      <c r="C69" s="73" t="n"/>
      <c r="D69" s="96" t="n"/>
      <c r="E69" s="96" t="n"/>
      <c r="F69" s="113" t="n"/>
      <c r="G69" s="75" t="n"/>
      <c r="H69" s="73" t="n"/>
      <c r="I69" s="73" t="n"/>
    </row>
    <row r="70" ht="20" customHeight="1" s="40">
      <c r="A70" s="96" t="n"/>
      <c r="B70" s="73" t="n"/>
      <c r="C70" s="73" t="n"/>
      <c r="D70" s="96" t="n"/>
      <c r="E70" s="96" t="n"/>
      <c r="F70" s="113" t="n"/>
      <c r="G70" s="75" t="n"/>
      <c r="H70" s="73" t="n"/>
      <c r="I70" s="73" t="n"/>
    </row>
    <row r="71" ht="20" customHeight="1" s="40">
      <c r="A71" s="96" t="n"/>
      <c r="B71" s="73" t="n"/>
      <c r="C71" s="73" t="n"/>
      <c r="D71" s="96" t="n"/>
      <c r="E71" s="96" t="n"/>
      <c r="F71" s="113" t="n"/>
      <c r="G71" s="75" t="n"/>
      <c r="H71" s="73" t="n"/>
      <c r="I71" s="73" t="n"/>
    </row>
    <row r="72" ht="20" customHeight="1" s="40">
      <c r="A72" s="96" t="n"/>
      <c r="B72" s="73" t="n"/>
      <c r="C72" s="73" t="n"/>
      <c r="D72" s="96" t="n"/>
      <c r="E72" s="96" t="n"/>
      <c r="F72" s="113" t="n"/>
      <c r="G72" s="75" t="n"/>
      <c r="H72" s="73" t="n"/>
      <c r="I72" s="73" t="n"/>
    </row>
    <row r="73" ht="20" customHeight="1" s="40">
      <c r="A73" s="96" t="n"/>
      <c r="B73" s="73" t="n"/>
      <c r="C73" s="73" t="n"/>
      <c r="D73" s="96" t="n"/>
      <c r="E73" s="96" t="n"/>
      <c r="F73" s="113" t="n"/>
      <c r="G73" s="75" t="n"/>
      <c r="H73" s="73" t="n"/>
      <c r="I73" s="73" t="n"/>
    </row>
    <row r="74" ht="20" customHeight="1" s="40">
      <c r="A74" s="96" t="n"/>
      <c r="B74" s="73" t="n"/>
      <c r="C74" s="73" t="n"/>
      <c r="D74" s="96" t="n"/>
      <c r="E74" s="96" t="n"/>
      <c r="F74" s="113" t="n"/>
      <c r="G74" s="75" t="n"/>
      <c r="H74" s="73" t="n"/>
      <c r="I74" s="73" t="n"/>
    </row>
    <row r="75" ht="20" customHeight="1" s="40"/>
    <row r="76" ht="20" customHeight="1" s="40"/>
    <row r="77" ht="20" customHeight="1" s="40"/>
    <row r="78" ht="22" customHeight="1" s="40">
      <c r="A78" s="94" t="inlineStr">
        <is>
          <t>Task Step Detail (Direct from Task_Steps)</t>
        </is>
      </c>
    </row>
    <row r="79" ht="20" customHeight="1" s="40">
      <c r="A79" s="95" t="inlineStr">
        <is>
          <t>Step ID</t>
        </is>
      </c>
      <c r="B79" s="95" t="inlineStr">
        <is>
          <t>Parent Task ID</t>
        </is>
      </c>
      <c r="C79" s="95" t="inlineStr">
        <is>
          <t>Source</t>
        </is>
      </c>
      <c r="D79" s="95" t="inlineStr">
        <is>
          <t>Project</t>
        </is>
      </c>
      <c r="E79" s="95" t="inlineStr">
        <is>
          <t>Step Name</t>
        </is>
      </c>
      <c r="F79" s="95" t="inlineStr">
        <is>
          <t>Step Status</t>
        </is>
      </c>
      <c r="G79" s="95" t="inlineStr">
        <is>
          <t>Due Date</t>
        </is>
      </c>
      <c r="H79" s="95" t="inlineStr">
        <is>
          <t>Actual Hrs</t>
        </is>
      </c>
      <c r="I79" s="95" t="inlineStr">
        <is>
          <t>Parent Task Status</t>
        </is>
      </c>
      <c r="J79" s="39" t="inlineStr">
        <is>
          <t>Manager</t>
        </is>
      </c>
    </row>
    <row r="80" ht="20" customHeight="1" s="40">
      <c r="A80" s="96">
        <f>IF($B$5="All",IFERROR(TAKE(SORT(FILTER(CHOOSECOLS(Task_Steps!$A$5:$Y$2004,1,2,19,4,5,8,11,14,22,20),(Task_Steps!$A$5:$A$2004&lt;&gt;"")*(Task_Steps!$G$5:$G$2004=$B$4)),7,1),20),""),IFERROR(TAKE(SORT(FILTER(CHOOSECOLS(Task_Steps!$A$5:$Y$2004,1,2,19,4,5,8,11,14,22,20),(Task_Steps!$A$5:$A$2004&lt;&gt;"")*(Task_Steps!$G$5:$G$2004=$B$4)*(Task_Steps!$X$5:$X$2004=$B$5)),7,1),20),""))</f>
        <v/>
      </c>
    </row>
    <row r="81" ht="20" customHeight="1" s="40"/>
    <row r="82" ht="20" customHeight="1" s="40"/>
    <row r="83" ht="20" customHeight="1" s="40"/>
    <row r="84" ht="20" customHeight="1" s="40"/>
    <row r="85" ht="20" customHeight="1" s="40"/>
    <row r="86" ht="20" customHeight="1" s="40"/>
    <row r="87" ht="20" customHeight="1" s="40"/>
    <row r="88" ht="20" customHeight="1" s="40"/>
    <row r="89" ht="20" customHeight="1" s="40"/>
  </sheetData>
  <mergeCells count="20">
    <mergeCell ref="I38:L40"/>
    <mergeCell ref="G8:H8"/>
    <mergeCell ref="E8:F8"/>
    <mergeCell ref="A2:L2"/>
    <mergeCell ref="A7:B7"/>
    <mergeCell ref="G7:H7"/>
    <mergeCell ref="I7:J7"/>
    <mergeCell ref="A37:H37"/>
    <mergeCell ref="A53:L53"/>
    <mergeCell ref="K8:L8"/>
    <mergeCell ref="A13:L13"/>
    <mergeCell ref="I8:J8"/>
    <mergeCell ref="A8:B8"/>
    <mergeCell ref="C8:D8"/>
    <mergeCell ref="I37:L37"/>
    <mergeCell ref="K7:L7"/>
    <mergeCell ref="C7:D7"/>
    <mergeCell ref="E7:F7"/>
    <mergeCell ref="A1:L1"/>
    <mergeCell ref="K4:L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style="40" min="1" max="1"/>
    <col width="18" customWidth="1" style="40" min="2" max="2"/>
    <col width="18" customWidth="1" style="40" min="3" max="3"/>
    <col width="24" customWidth="1" style="40" min="4" max="4"/>
    <col width="14" customWidth="1" style="40" min="5" max="5"/>
    <col width="12" customWidth="1" style="40" min="6" max="6"/>
    <col width="13" customWidth="1" style="40" min="7" max="7"/>
    <col width="12" customWidth="1" style="40" min="8" max="8"/>
    <col width="12" customWidth="1" style="40" min="9" max="9"/>
    <col width="26" customWidth="1" style="40" min="10" max="10"/>
    <col width="20" customWidth="1" style="40" min="11" max="11"/>
    <col width="18" customWidth="1" style="40" min="12" max="12"/>
  </cols>
  <sheetData>
    <row r="1" ht="24" customHeight="1" s="40">
      <c r="A1" s="122" t="inlineStr">
        <is>
          <t>Employee Report - Pankaj Vairagade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</row>
    <row r="2" ht="28" customHeight="1" s="40">
      <c r="A2" s="70" t="inlineStr">
        <is>
          <t>This report now pulls task details directly from Task_Tracker and step details directly from Task_Steps. Hours and status update automatically.</t>
        </is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2" t="n"/>
    </row>
    <row r="3" ht="20" customHeight="1" s="40"/>
    <row r="4" ht="20" customHeight="1" s="40">
      <c r="A4" s="88" t="inlineStr">
        <is>
          <t>Selected Employee</t>
        </is>
      </c>
      <c r="B4" s="105" t="inlineStr">
        <is>
          <t>Pankaj Vairagade</t>
        </is>
      </c>
      <c r="D4" s="88" t="inlineStr">
        <is>
          <t>Department</t>
        </is>
      </c>
      <c r="E4" s="73">
        <f>IF($B$4="","",IFERROR(INDEX(Employee_Master!$C$5:$C$204,MATCH($B$4,Employee_Master!$B$5:$B$204,0)),""))</f>
        <v/>
      </c>
      <c r="G4" s="88" t="inlineStr">
        <is>
          <t>Role</t>
        </is>
      </c>
      <c r="H4" s="73">
        <f>IF($B$4="","",IFERROR(INDEX(Employee_Master!$D$5:$D$204,MATCH($B$4,Employee_Master!$B$5:$B$204,0)),""))</f>
        <v/>
      </c>
      <c r="J4" s="88" t="inlineStr">
        <is>
          <t>Manager</t>
        </is>
      </c>
      <c r="K4" s="73">
        <f>IF($B$4="","",IFERROR(INDEX(Employee_Master!$E$5:$E$204,MATCH($B$4,Employee_Master!$B$5:$B$204,0)),""))</f>
        <v/>
      </c>
      <c r="L4" s="112" t="n"/>
    </row>
    <row r="5" ht="20" customHeight="1" s="40">
      <c r="A5" s="88" t="inlineStr">
        <is>
          <t>Month Filter</t>
        </is>
      </c>
      <c r="B5" s="73" t="inlineStr">
        <is>
          <t>All</t>
        </is>
      </c>
      <c r="D5" s="88" t="inlineStr">
        <is>
          <t>Capacity / Week</t>
        </is>
      </c>
      <c r="E5" s="75">
        <f>IF($B$4="","",IFERROR(INDEX(Employee_Master!$H$5:$H$204,MATCH($B$4,Employee_Master!$B$5:$B$204,0)),""))</f>
        <v/>
      </c>
    </row>
    <row r="6" ht="20" customHeight="1" s="40"/>
    <row r="7" ht="20" customHeight="1" s="40">
      <c r="A7" s="91" t="inlineStr">
        <is>
          <t>Total Tasks</t>
        </is>
      </c>
      <c r="B7" s="112" t="n"/>
      <c r="C7" s="91" t="inlineStr">
        <is>
          <t>Open Tasks</t>
        </is>
      </c>
      <c r="D7" s="112" t="n"/>
      <c r="E7" s="91" t="inlineStr">
        <is>
          <t>Completed</t>
        </is>
      </c>
      <c r="F7" s="112" t="n"/>
      <c r="G7" s="91" t="inlineStr">
        <is>
          <t>Overdue</t>
        </is>
      </c>
      <c r="H7" s="112" t="n"/>
      <c r="I7" s="91" t="inlineStr">
        <is>
          <t>Est. Hours</t>
        </is>
      </c>
      <c r="J7" s="112" t="n"/>
      <c r="K7" s="91" t="inlineStr">
        <is>
          <t>Actual Hours</t>
        </is>
      </c>
      <c r="L7" s="112" t="n"/>
    </row>
    <row r="8" ht="20" customHeight="1" s="40">
      <c r="A8" s="92">
        <f>COUNTIF(Task_Tracker!$F$5:$F$1004,$B$4)</f>
        <v/>
      </c>
      <c r="B8" s="112" t="n"/>
      <c r="C8" s="92">
        <f>COUNTIFS(Task_Tracker!$F$5:$F$1004,$B$4,Task_Tracker!$I$5:$I$1004,"&lt;&gt;Completed",Task_Tracker!$I$5:$I$1004,"&lt;&gt;Cancelled")</f>
        <v/>
      </c>
      <c r="D8" s="112" t="n"/>
      <c r="E8" s="92">
        <f>COUNTIFS(Task_Tracker!$F$5:$F$1004,$B$4,Task_Tracker!$I$5:$I$1004,"Completed")</f>
        <v/>
      </c>
      <c r="F8" s="112" t="n"/>
      <c r="G8" s="92">
        <f>COUNTIFS(Task_Tracker!$F$5:$F$1004,$B$4,Task_Tracker!$R$5:$R$1004,"Overdue")</f>
        <v/>
      </c>
      <c r="H8" s="112" t="n"/>
      <c r="I8" s="93">
        <f>SUMIF(Task_Tracker!$F$5:$F$1004,$B$4,Task_Tracker!$N$5:$N$1004)</f>
        <v/>
      </c>
      <c r="J8" s="112" t="n"/>
      <c r="K8" s="93">
        <f>SUMIF(Task_Tracker!$F$5:$F$1004,$B$4,Task_Tracker!$O$5:$O$1004)</f>
        <v/>
      </c>
      <c r="L8" s="112" t="n"/>
    </row>
    <row r="9" ht="20" customHeight="1" s="40"/>
    <row r="10" ht="20" customHeight="1" s="40">
      <c r="A10" s="91" t="inlineStr">
        <is>
          <t>Step Count</t>
        </is>
      </c>
      <c r="C10" s="91" t="inlineStr">
        <is>
          <t>Open Steps</t>
        </is>
      </c>
      <c r="E10" s="91" t="inlineStr">
        <is>
          <t>Completed Steps</t>
        </is>
      </c>
      <c r="G10" s="91" t="inlineStr">
        <is>
          <t>Step Actual Hrs</t>
        </is>
      </c>
      <c r="I10" s="91" t="inlineStr">
        <is>
          <t>Tasks w/ Source</t>
        </is>
      </c>
      <c r="K10" s="91" t="inlineStr">
        <is>
          <t>To Manager</t>
        </is>
      </c>
    </row>
    <row r="11" ht="20" customHeight="1" s="40">
      <c r="A11" s="92">
        <f>COUNTIF(Task_Steps!$G$5:$G$2004,$B$4)</f>
        <v/>
      </c>
      <c r="C11" s="92">
        <f>COUNTIFS(Task_Steps!$G$5:$G$2004,$B$4,Task_Steps!$H$5:$H$2004,"&lt;&gt;Completed",Task_Steps!$H$5:$H$2004,"&lt;&gt;Cancelled")</f>
        <v/>
      </c>
      <c r="E11" s="92">
        <f>COUNTIFS(Task_Steps!$G$5:$G$2004,$B$4,Task_Steps!$H$5:$H$2004,"Completed")</f>
        <v/>
      </c>
      <c r="G11" s="92">
        <f>SUMIF(Task_Steps!$G$5:$G$2004,$B$4,Task_Steps!$N$5:$N$2004)</f>
        <v/>
      </c>
      <c r="I11" s="92">
        <f>COUNTIFS(Task_Tracker!$F$5:$F$1004,$B$4,Task_Tracker!$AA$5:$AA$1004,"&lt;&gt;")</f>
        <v/>
      </c>
      <c r="K11" s="92">
        <f>COUNTIFS(Task_Tracker!$F$5:$F$1004,$B$4,Task_Tracker!$AC$5:$AC$1004,"&lt;&gt;")</f>
        <v/>
      </c>
    </row>
    <row r="12" ht="20" customHeight="1" s="40"/>
    <row r="13" ht="20" customHeight="1" s="40">
      <c r="A13" s="94" t="inlineStr">
        <is>
          <t>Task Detail (Direct from Task_Tracker)</t>
        </is>
      </c>
      <c r="B13" s="111" t="n"/>
      <c r="C13" s="111" t="n"/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2" t="n"/>
    </row>
    <row r="14" ht="20" customHeight="1" s="40">
      <c r="A14" s="95" t="inlineStr">
        <is>
          <t>Task ID</t>
        </is>
      </c>
      <c r="B14" s="95" t="inlineStr">
        <is>
          <t>Source</t>
        </is>
      </c>
      <c r="C14" s="95" t="inlineStr">
        <is>
          <t>Project</t>
        </is>
      </c>
      <c r="D14" s="95" t="inlineStr">
        <is>
          <t>Task Title</t>
        </is>
      </c>
      <c r="E14" s="95" t="inlineStr">
        <is>
          <t>Status</t>
        </is>
      </c>
      <c r="F14" s="95" t="inlineStr">
        <is>
          <t>Priority</t>
        </is>
      </c>
      <c r="G14" s="95" t="inlineStr">
        <is>
          <t>Due Date</t>
        </is>
      </c>
      <c r="H14" s="95" t="inlineStr">
        <is>
          <t>Actual Hrs</t>
        </is>
      </c>
      <c r="I14" s="95" t="inlineStr">
        <is>
          <t>Open Steps</t>
        </is>
      </c>
      <c r="J14" s="95" t="inlineStr">
        <is>
          <t>Linked Step IDs</t>
        </is>
      </c>
      <c r="K14" s="39" t="inlineStr">
        <is>
          <t>Next Step</t>
        </is>
      </c>
      <c r="L14" s="39" t="inlineStr">
        <is>
          <t>Manager</t>
        </is>
      </c>
    </row>
    <row r="15" ht="20" customHeight="1" s="40">
      <c r="A15" s="96">
        <f>IF($B$5="All",IFERROR(TAKE(SORT(FILTER(CHOOSECOLS(Task_Tracker!$A$5:$AF$1004,1,27,2,4,9,8,12,15,31,30,21,28),(Task_Tracker!$A$5:$A$1004&lt;&gt;"")*(Task_Tracker!$F$5:$F$1004=$B$4)),7,1),20),""),IFERROR(TAKE(SORT(FILTER(CHOOSECOLS(Task_Tracker!$A$5:$AF$1004,1,27,2,4,9,8,12,15,31,30,21,28),(Task_Tracker!$A$5:$A$1004&lt;&gt;"")*(Task_Tracker!$F$5:$F$1004=$B$4)*(Task_Tracker!$S$5:$S$1004=$B$5)),7,1),20),""))</f>
        <v/>
      </c>
      <c r="B15" s="73" t="n"/>
      <c r="C15" s="73" t="n"/>
      <c r="D15" s="96" t="n"/>
      <c r="E15" s="96" t="n"/>
      <c r="F15" s="113" t="n"/>
      <c r="G15" s="113" t="n"/>
      <c r="H15" s="75" t="n"/>
      <c r="I15" s="96" t="n"/>
      <c r="J15" s="73" t="n"/>
    </row>
    <row r="16" ht="20" customHeight="1" s="40">
      <c r="A16" s="96" t="n"/>
      <c r="B16" s="73" t="n"/>
      <c r="C16" s="73" t="n"/>
      <c r="D16" s="96" t="n"/>
      <c r="E16" s="96" t="n"/>
      <c r="F16" s="113" t="n"/>
      <c r="G16" s="113" t="n"/>
      <c r="H16" s="75" t="n"/>
      <c r="I16" s="96" t="n"/>
      <c r="J16" s="73" t="n"/>
    </row>
    <row r="17" ht="20" customHeight="1" s="40">
      <c r="A17" s="96" t="n"/>
      <c r="B17" s="73" t="n"/>
      <c r="C17" s="73" t="n"/>
      <c r="D17" s="96" t="n"/>
      <c r="E17" s="96" t="n"/>
      <c r="F17" s="113" t="n"/>
      <c r="G17" s="113" t="n"/>
      <c r="H17" s="75" t="n"/>
      <c r="I17" s="96" t="n"/>
      <c r="J17" s="73" t="n"/>
    </row>
    <row r="18" ht="20" customHeight="1" s="40">
      <c r="A18" s="96" t="n"/>
      <c r="B18" s="73" t="n"/>
      <c r="C18" s="73" t="n"/>
      <c r="D18" s="96" t="n"/>
      <c r="E18" s="96" t="n"/>
      <c r="F18" s="113" t="n"/>
      <c r="G18" s="113" t="n"/>
      <c r="H18" s="75" t="n"/>
      <c r="I18" s="96" t="n"/>
      <c r="J18" s="73" t="n"/>
    </row>
    <row r="19" ht="20" customHeight="1" s="40">
      <c r="A19" s="96" t="n"/>
      <c r="B19" s="73" t="n"/>
      <c r="C19" s="73" t="n"/>
      <c r="D19" s="96" t="n"/>
      <c r="E19" s="96" t="n"/>
      <c r="F19" s="113" t="n"/>
      <c r="G19" s="113" t="n"/>
      <c r="H19" s="75" t="n"/>
      <c r="I19" s="96" t="n"/>
      <c r="J19" s="73" t="n"/>
    </row>
    <row r="20" ht="20" customHeight="1" s="40">
      <c r="A20" s="96" t="n"/>
      <c r="B20" s="73" t="n"/>
      <c r="C20" s="73" t="n"/>
      <c r="D20" s="96" t="n"/>
      <c r="E20" s="96" t="n"/>
      <c r="F20" s="113" t="n"/>
      <c r="G20" s="113" t="n"/>
      <c r="H20" s="75" t="n"/>
      <c r="I20" s="96" t="n"/>
      <c r="J20" s="73" t="n"/>
    </row>
    <row r="21" ht="20" customHeight="1" s="40">
      <c r="A21" s="96" t="n"/>
      <c r="B21" s="73" t="n"/>
      <c r="C21" s="73" t="n"/>
      <c r="D21" s="96" t="n"/>
      <c r="E21" s="96" t="n"/>
      <c r="F21" s="113" t="n"/>
      <c r="G21" s="113" t="n"/>
      <c r="H21" s="75" t="n"/>
      <c r="I21" s="96" t="n"/>
      <c r="J21" s="73" t="n"/>
    </row>
    <row r="22" ht="20" customHeight="1" s="40">
      <c r="A22" s="96" t="n"/>
      <c r="B22" s="73" t="n"/>
      <c r="C22" s="73" t="n"/>
      <c r="D22" s="96" t="n"/>
      <c r="E22" s="96" t="n"/>
      <c r="F22" s="113" t="n"/>
      <c r="G22" s="113" t="n"/>
      <c r="H22" s="75" t="n"/>
      <c r="I22" s="96" t="n"/>
      <c r="J22" s="73" t="n"/>
    </row>
    <row r="23" ht="20" customHeight="1" s="40">
      <c r="A23" s="96" t="n"/>
      <c r="B23" s="73" t="n"/>
      <c r="C23" s="73" t="n"/>
      <c r="D23" s="96" t="n"/>
      <c r="E23" s="96" t="n"/>
      <c r="F23" s="113" t="n"/>
      <c r="G23" s="113" t="n"/>
      <c r="H23" s="75" t="n"/>
      <c r="I23" s="96" t="n"/>
      <c r="J23" s="73" t="n"/>
    </row>
    <row r="24" ht="20" customHeight="1" s="40">
      <c r="A24" s="96" t="n"/>
      <c r="B24" s="73" t="n"/>
      <c r="C24" s="73" t="n"/>
      <c r="D24" s="96" t="n"/>
      <c r="E24" s="96" t="n"/>
      <c r="F24" s="113" t="n"/>
      <c r="G24" s="113" t="n"/>
      <c r="H24" s="75" t="n"/>
      <c r="I24" s="96" t="n"/>
      <c r="J24" s="73" t="n"/>
    </row>
    <row r="25" ht="20" customHeight="1" s="40">
      <c r="A25" s="96" t="n"/>
      <c r="B25" s="73" t="n"/>
      <c r="C25" s="73" t="n"/>
      <c r="D25" s="96" t="n"/>
      <c r="E25" s="96" t="n"/>
      <c r="F25" s="113" t="n"/>
      <c r="G25" s="113" t="n"/>
      <c r="H25" s="75" t="n"/>
      <c r="I25" s="96" t="n"/>
      <c r="J25" s="73" t="n"/>
    </row>
    <row r="26" ht="20" customHeight="1" s="40">
      <c r="A26" s="96" t="n"/>
      <c r="B26" s="73" t="n"/>
      <c r="C26" s="73" t="n"/>
      <c r="D26" s="96" t="n"/>
      <c r="E26" s="96" t="n"/>
      <c r="F26" s="113" t="n"/>
      <c r="G26" s="113" t="n"/>
      <c r="H26" s="75" t="n"/>
      <c r="I26" s="96" t="n"/>
      <c r="J26" s="73" t="n"/>
    </row>
    <row r="27" ht="20" customHeight="1" s="40">
      <c r="A27" s="96" t="n"/>
      <c r="B27" s="73" t="n"/>
      <c r="C27" s="73" t="n"/>
      <c r="D27" s="96" t="n"/>
      <c r="E27" s="96" t="n"/>
      <c r="F27" s="113" t="n"/>
      <c r="G27" s="113" t="n"/>
      <c r="H27" s="75" t="n"/>
      <c r="I27" s="96" t="n"/>
      <c r="J27" s="73" t="n"/>
    </row>
    <row r="28" ht="20" customHeight="1" s="40">
      <c r="A28" s="96" t="n"/>
      <c r="B28" s="73" t="n"/>
      <c r="C28" s="73" t="n"/>
      <c r="D28" s="96" t="n"/>
      <c r="E28" s="96" t="n"/>
      <c r="F28" s="113" t="n"/>
      <c r="G28" s="113" t="n"/>
      <c r="H28" s="75" t="n"/>
      <c r="I28" s="96" t="n"/>
      <c r="J28" s="73" t="n"/>
    </row>
    <row r="29" ht="20" customHeight="1" s="40">
      <c r="A29" s="96" t="n"/>
      <c r="B29" s="73" t="n"/>
      <c r="C29" s="73" t="n"/>
      <c r="D29" s="96" t="n"/>
      <c r="E29" s="96" t="n"/>
      <c r="F29" s="113" t="n"/>
      <c r="G29" s="113" t="n"/>
      <c r="H29" s="75" t="n"/>
      <c r="I29" s="96" t="n"/>
      <c r="J29" s="73" t="n"/>
    </row>
    <row r="30" ht="20" customHeight="1" s="40">
      <c r="A30" s="96" t="n"/>
      <c r="B30" s="73" t="n"/>
      <c r="C30" s="73" t="n"/>
      <c r="D30" s="96" t="n"/>
      <c r="E30" s="96" t="n"/>
      <c r="F30" s="113" t="n"/>
      <c r="G30" s="113" t="n"/>
      <c r="H30" s="75" t="n"/>
      <c r="I30" s="96" t="n"/>
      <c r="J30" s="73" t="n"/>
    </row>
    <row r="31" ht="20" customHeight="1" s="40">
      <c r="A31" s="96" t="n"/>
      <c r="B31" s="73" t="n"/>
      <c r="C31" s="73" t="n"/>
      <c r="D31" s="96" t="n"/>
      <c r="E31" s="96" t="n"/>
      <c r="F31" s="113" t="n"/>
      <c r="G31" s="113" t="n"/>
      <c r="H31" s="75" t="n"/>
      <c r="I31" s="96" t="n"/>
      <c r="J31" s="73" t="n"/>
    </row>
    <row r="32" ht="20" customHeight="1" s="40">
      <c r="A32" s="96" t="n"/>
      <c r="B32" s="73" t="n"/>
      <c r="C32" s="73" t="n"/>
      <c r="D32" s="96" t="n"/>
      <c r="E32" s="96" t="n"/>
      <c r="F32" s="113" t="n"/>
      <c r="G32" s="113" t="n"/>
      <c r="H32" s="75" t="n"/>
      <c r="I32" s="96" t="n"/>
      <c r="J32" s="73" t="n"/>
    </row>
    <row r="33" ht="20" customHeight="1" s="40">
      <c r="A33" s="96" t="n"/>
      <c r="B33" s="73" t="n"/>
      <c r="C33" s="73" t="n"/>
      <c r="D33" s="96" t="n"/>
      <c r="E33" s="96" t="n"/>
      <c r="F33" s="113" t="n"/>
      <c r="G33" s="113" t="n"/>
      <c r="H33" s="75" t="n"/>
      <c r="I33" s="96" t="n"/>
      <c r="J33" s="73" t="n"/>
    </row>
    <row r="34" ht="20" customHeight="1" s="40">
      <c r="A34" s="96" t="n"/>
      <c r="B34" s="73" t="n"/>
      <c r="C34" s="73" t="n"/>
      <c r="D34" s="96" t="n"/>
      <c r="E34" s="96" t="n"/>
      <c r="F34" s="113" t="n"/>
      <c r="G34" s="113" t="n"/>
      <c r="H34" s="75" t="n"/>
      <c r="I34" s="96" t="n"/>
      <c r="J34" s="73" t="n"/>
    </row>
    <row r="35" ht="20" customHeight="1" s="40"/>
    <row r="36" ht="20" customHeight="1" s="40"/>
    <row r="37" ht="20" customHeight="1" s="40">
      <c r="A37" s="94" t="inlineStr">
        <is>
          <t>Month-wise Summary</t>
        </is>
      </c>
      <c r="B37" s="111" t="n"/>
      <c r="C37" s="111" t="n"/>
      <c r="D37" s="111" t="n"/>
      <c r="E37" s="111" t="n"/>
      <c r="F37" s="111" t="n"/>
      <c r="G37" s="111" t="n"/>
      <c r="H37" s="112" t="n"/>
      <c r="I37" s="94" t="inlineStr">
        <is>
          <t>Tip</t>
        </is>
      </c>
      <c r="J37" s="111" t="n"/>
      <c r="K37" s="111" t="n"/>
      <c r="L37" s="112" t="n"/>
    </row>
    <row r="38" ht="20" customHeight="1" s="40">
      <c r="A38" s="71" t="inlineStr">
        <is>
          <t>Month Start</t>
        </is>
      </c>
      <c r="B38" s="71" t="inlineStr">
        <is>
          <t>Month</t>
        </is>
      </c>
      <c r="C38" s="71" t="inlineStr">
        <is>
          <t>Tasks Due</t>
        </is>
      </c>
      <c r="D38" s="71" t="inlineStr">
        <is>
          <t>Completed</t>
        </is>
      </c>
      <c r="E38" s="71" t="inlineStr">
        <is>
          <t>Carry Forward</t>
        </is>
      </c>
      <c r="F38" s="71" t="inlineStr">
        <is>
          <t>Actual Hrs</t>
        </is>
      </c>
      <c r="G38" s="71" t="inlineStr">
        <is>
          <t>Open in Bucket</t>
        </is>
      </c>
      <c r="H38" s="71" t="inlineStr">
        <is>
          <t>Completion %</t>
        </is>
      </c>
      <c r="I38" s="97" t="inlineStr">
        <is>
          <t>Task and step sections are linked to Task_Tracker and Task_Steps. Change only the source sheets; reports update automatically.</t>
        </is>
      </c>
      <c r="J38" s="114" t="n"/>
      <c r="K38" s="114" t="n"/>
      <c r="L38" s="115" t="n"/>
    </row>
    <row r="39" ht="20" customHeight="1" s="40">
      <c r="A39" s="113" t="n">
        <v>46113</v>
      </c>
      <c r="B39" s="73">
        <f>TEXT(A39,"mmm yyyy")</f>
        <v/>
      </c>
      <c r="C39" s="74">
        <f>COUNTIFS(Task_Tracker!$F$5:$F$1004,$B$4,Task_Tracker!$L$5:$L$1004,"&gt;="&amp;$A39,Task_Tracker!$L$5:$L$1004,"&lt;"&amp;EDATE($A39,1))</f>
        <v/>
      </c>
      <c r="D39" s="74">
        <f>COUNTIFS(Task_Tracker!$F$5:$F$1004,$B$4,Task_Tracker!$L$5:$L$1004,"&gt;="&amp;$A39,Task_Tracker!$L$5:$L$1004,"&lt;"&amp;EDATE($A39,1),Task_Tracker!$I$5:$I$1004,"Completed")</f>
        <v/>
      </c>
      <c r="E39" s="74">
        <f>COUNTIFS(Task_Tracker!$F$5:$F$1004,$B$4,Task_Tracker!$L$5:$L$1004,"&lt;"&amp;$A39,Task_Tracker!$I$5:$I$1004,"&lt;&gt;Completed",Task_Tracker!$I$5:$I$1004,"&lt;&gt;Cancelled")</f>
        <v/>
      </c>
      <c r="F39" s="75">
        <f>SUMIFS(Task_Tracker!$O$5:$O$1004,Task_Tracker!$F$5:$F$1004,$B$4,Task_Tracker!$L$5:$L$1004,"&gt;="&amp;$A39,Task_Tracker!$L$5:$L$1004,"&lt;"&amp;EDATE($A39,1))</f>
        <v/>
      </c>
      <c r="G39" s="74">
        <f>COUNTIFS(Task_Tracker!$F$5:$F$1004,$B$4,Task_Tracker!$L$5:$L$1004,"&gt;="&amp;$A39,Task_Tracker!$L$5:$L$1004,"&lt;"&amp;EDATE($A39,1),Task_Tracker!$I$5:$I$1004,"&lt;&gt;Completed",Task_Tracker!$I$5:$I$1004,"&lt;&gt;Cancelled")</f>
        <v/>
      </c>
      <c r="H39" s="116">
        <f>IFERROR(D39/C39,0)</f>
        <v/>
      </c>
      <c r="I39" s="117" t="n"/>
      <c r="L39" s="118" t="n"/>
    </row>
    <row r="40" ht="20" customHeight="1" s="40">
      <c r="A40" s="113" t="n">
        <v>46143</v>
      </c>
      <c r="B40" s="73">
        <f>TEXT(A40,"mmm yyyy")</f>
        <v/>
      </c>
      <c r="C40" s="74">
        <f>COUNTIFS(Task_Tracker!$F$5:$F$1004,$B$4,Task_Tracker!$L$5:$L$1004,"&gt;="&amp;$A40,Task_Tracker!$L$5:$L$1004,"&lt;"&amp;EDATE($A40,1))</f>
        <v/>
      </c>
      <c r="D40" s="74">
        <f>COUNTIFS(Task_Tracker!$F$5:$F$1004,$B$4,Task_Tracker!$L$5:$L$1004,"&gt;="&amp;$A40,Task_Tracker!$L$5:$L$1004,"&lt;"&amp;EDATE($A40,1),Task_Tracker!$I$5:$I$1004,"Completed")</f>
        <v/>
      </c>
      <c r="E40" s="74">
        <f>COUNTIFS(Task_Tracker!$F$5:$F$1004,$B$4,Task_Tracker!$L$5:$L$1004,"&lt;"&amp;$A40,Task_Tracker!$I$5:$I$1004,"&lt;&gt;Completed",Task_Tracker!$I$5:$I$1004,"&lt;&gt;Cancelled")</f>
        <v/>
      </c>
      <c r="F40" s="75">
        <f>SUMIFS(Task_Tracker!$O$5:$O$1004,Task_Tracker!$F$5:$F$1004,$B$4,Task_Tracker!$L$5:$L$1004,"&gt;="&amp;$A40,Task_Tracker!$L$5:$L$1004,"&lt;"&amp;EDATE($A40,1))</f>
        <v/>
      </c>
      <c r="G40" s="74">
        <f>COUNTIFS(Task_Tracker!$F$5:$F$1004,$B$4,Task_Tracker!$L$5:$L$1004,"&gt;="&amp;$A40,Task_Tracker!$L$5:$L$1004,"&lt;"&amp;EDATE($A40,1),Task_Tracker!$I$5:$I$1004,"&lt;&gt;Completed",Task_Tracker!$I$5:$I$1004,"&lt;&gt;Cancelled")</f>
        <v/>
      </c>
      <c r="H40" s="116">
        <f>IFERROR(D40/C40,0)</f>
        <v/>
      </c>
      <c r="I40" s="119" t="n"/>
      <c r="J40" s="120" t="n"/>
      <c r="K40" s="120" t="n"/>
      <c r="L40" s="121" t="n"/>
    </row>
    <row r="41" ht="20" customHeight="1" s="40">
      <c r="A41" s="113" t="n">
        <v>46174</v>
      </c>
      <c r="B41" s="73">
        <f>TEXT(A41,"mmm yyyy")</f>
        <v/>
      </c>
      <c r="C41" s="74">
        <f>COUNTIFS(Task_Tracker!$F$5:$F$1004,$B$4,Task_Tracker!$L$5:$L$1004,"&gt;="&amp;$A41,Task_Tracker!$L$5:$L$1004,"&lt;"&amp;EDATE($A41,1))</f>
        <v/>
      </c>
      <c r="D41" s="74">
        <f>COUNTIFS(Task_Tracker!$F$5:$F$1004,$B$4,Task_Tracker!$L$5:$L$1004,"&gt;="&amp;$A41,Task_Tracker!$L$5:$L$1004,"&lt;"&amp;EDATE($A41,1),Task_Tracker!$I$5:$I$1004,"Completed")</f>
        <v/>
      </c>
      <c r="E41" s="74">
        <f>COUNTIFS(Task_Tracker!$F$5:$F$1004,$B$4,Task_Tracker!$L$5:$L$1004,"&lt;"&amp;$A41,Task_Tracker!$I$5:$I$1004,"&lt;&gt;Completed",Task_Tracker!$I$5:$I$1004,"&lt;&gt;Cancelled")</f>
        <v/>
      </c>
      <c r="F41" s="75">
        <f>SUMIFS(Task_Tracker!$O$5:$O$1004,Task_Tracker!$F$5:$F$1004,$B$4,Task_Tracker!$L$5:$L$1004,"&gt;="&amp;$A41,Task_Tracker!$L$5:$L$1004,"&lt;"&amp;EDATE($A41,1))</f>
        <v/>
      </c>
      <c r="G41" s="74">
        <f>COUNTIFS(Task_Tracker!$F$5:$F$1004,$B$4,Task_Tracker!$L$5:$L$1004,"&gt;="&amp;$A41,Task_Tracker!$L$5:$L$1004,"&lt;"&amp;EDATE($A41,1),Task_Tracker!$I$5:$I$1004,"&lt;&gt;Completed",Task_Tracker!$I$5:$I$1004,"&lt;&gt;Cancelled")</f>
        <v/>
      </c>
      <c r="H41" s="116">
        <f>IFERROR(D41/C41,0)</f>
        <v/>
      </c>
    </row>
    <row r="42" ht="20" customHeight="1" s="40">
      <c r="A42" s="113" t="n">
        <v>46204</v>
      </c>
      <c r="B42" s="73">
        <f>TEXT(A42,"mmm yyyy")</f>
        <v/>
      </c>
      <c r="C42" s="74">
        <f>COUNTIFS(Task_Tracker!$F$5:$F$1004,$B$4,Task_Tracker!$L$5:$L$1004,"&gt;="&amp;$A42,Task_Tracker!$L$5:$L$1004,"&lt;"&amp;EDATE($A42,1))</f>
        <v/>
      </c>
      <c r="D42" s="74">
        <f>COUNTIFS(Task_Tracker!$F$5:$F$1004,$B$4,Task_Tracker!$L$5:$L$1004,"&gt;="&amp;$A42,Task_Tracker!$L$5:$L$1004,"&lt;"&amp;EDATE($A42,1),Task_Tracker!$I$5:$I$1004,"Completed")</f>
        <v/>
      </c>
      <c r="E42" s="74">
        <f>COUNTIFS(Task_Tracker!$F$5:$F$1004,$B$4,Task_Tracker!$L$5:$L$1004,"&lt;"&amp;$A42,Task_Tracker!$I$5:$I$1004,"&lt;&gt;Completed",Task_Tracker!$I$5:$I$1004,"&lt;&gt;Cancelled")</f>
        <v/>
      </c>
      <c r="F42" s="75">
        <f>SUMIFS(Task_Tracker!$O$5:$O$1004,Task_Tracker!$F$5:$F$1004,$B$4,Task_Tracker!$L$5:$L$1004,"&gt;="&amp;$A42,Task_Tracker!$L$5:$L$1004,"&lt;"&amp;EDATE($A42,1))</f>
        <v/>
      </c>
      <c r="G42" s="74">
        <f>COUNTIFS(Task_Tracker!$F$5:$F$1004,$B$4,Task_Tracker!$L$5:$L$1004,"&gt;="&amp;$A42,Task_Tracker!$L$5:$L$1004,"&lt;"&amp;EDATE($A42,1),Task_Tracker!$I$5:$I$1004,"&lt;&gt;Completed",Task_Tracker!$I$5:$I$1004,"&lt;&gt;Cancelled")</f>
        <v/>
      </c>
      <c r="H42" s="116">
        <f>IFERROR(D42/C42,0)</f>
        <v/>
      </c>
    </row>
    <row r="43" ht="20" customHeight="1" s="40">
      <c r="A43" s="113" t="n">
        <v>46235</v>
      </c>
      <c r="B43" s="73">
        <f>TEXT(A43,"mmm yyyy")</f>
        <v/>
      </c>
      <c r="C43" s="74">
        <f>COUNTIFS(Task_Tracker!$F$5:$F$1004,$B$4,Task_Tracker!$L$5:$L$1004,"&gt;="&amp;$A43,Task_Tracker!$L$5:$L$1004,"&lt;"&amp;EDATE($A43,1))</f>
        <v/>
      </c>
      <c r="D43" s="74">
        <f>COUNTIFS(Task_Tracker!$F$5:$F$1004,$B$4,Task_Tracker!$L$5:$L$1004,"&gt;="&amp;$A43,Task_Tracker!$L$5:$L$1004,"&lt;"&amp;EDATE($A43,1),Task_Tracker!$I$5:$I$1004,"Completed")</f>
        <v/>
      </c>
      <c r="E43" s="74">
        <f>COUNTIFS(Task_Tracker!$F$5:$F$1004,$B$4,Task_Tracker!$L$5:$L$1004,"&lt;"&amp;$A43,Task_Tracker!$I$5:$I$1004,"&lt;&gt;Completed",Task_Tracker!$I$5:$I$1004,"&lt;&gt;Cancelled")</f>
        <v/>
      </c>
      <c r="F43" s="75">
        <f>SUMIFS(Task_Tracker!$O$5:$O$1004,Task_Tracker!$F$5:$F$1004,$B$4,Task_Tracker!$L$5:$L$1004,"&gt;="&amp;$A43,Task_Tracker!$L$5:$L$1004,"&lt;"&amp;EDATE($A43,1))</f>
        <v/>
      </c>
      <c r="G43" s="74">
        <f>COUNTIFS(Task_Tracker!$F$5:$F$1004,$B$4,Task_Tracker!$L$5:$L$1004,"&gt;="&amp;$A43,Task_Tracker!$L$5:$L$1004,"&lt;"&amp;EDATE($A43,1),Task_Tracker!$I$5:$I$1004,"&lt;&gt;Completed",Task_Tracker!$I$5:$I$1004,"&lt;&gt;Cancelled")</f>
        <v/>
      </c>
      <c r="H43" s="116">
        <f>IFERROR(D43/C43,0)</f>
        <v/>
      </c>
    </row>
    <row r="44" ht="20" customHeight="1" s="40">
      <c r="A44" s="113" t="n">
        <v>46266</v>
      </c>
      <c r="B44" s="73">
        <f>TEXT(A44,"mmm yyyy")</f>
        <v/>
      </c>
      <c r="C44" s="74">
        <f>COUNTIFS(Task_Tracker!$F$5:$F$1004,$B$4,Task_Tracker!$L$5:$L$1004,"&gt;="&amp;$A44,Task_Tracker!$L$5:$L$1004,"&lt;"&amp;EDATE($A44,1))</f>
        <v/>
      </c>
      <c r="D44" s="74">
        <f>COUNTIFS(Task_Tracker!$F$5:$F$1004,$B$4,Task_Tracker!$L$5:$L$1004,"&gt;="&amp;$A44,Task_Tracker!$L$5:$L$1004,"&lt;"&amp;EDATE($A44,1),Task_Tracker!$I$5:$I$1004,"Completed")</f>
        <v/>
      </c>
      <c r="E44" s="74">
        <f>COUNTIFS(Task_Tracker!$F$5:$F$1004,$B$4,Task_Tracker!$L$5:$L$1004,"&lt;"&amp;$A44,Task_Tracker!$I$5:$I$1004,"&lt;&gt;Completed",Task_Tracker!$I$5:$I$1004,"&lt;&gt;Cancelled")</f>
        <v/>
      </c>
      <c r="F44" s="75">
        <f>SUMIFS(Task_Tracker!$O$5:$O$1004,Task_Tracker!$F$5:$F$1004,$B$4,Task_Tracker!$L$5:$L$1004,"&gt;="&amp;$A44,Task_Tracker!$L$5:$L$1004,"&lt;"&amp;EDATE($A44,1))</f>
        <v/>
      </c>
      <c r="G44" s="74">
        <f>COUNTIFS(Task_Tracker!$F$5:$F$1004,$B$4,Task_Tracker!$L$5:$L$1004,"&gt;="&amp;$A44,Task_Tracker!$L$5:$L$1004,"&lt;"&amp;EDATE($A44,1),Task_Tracker!$I$5:$I$1004,"&lt;&gt;Completed",Task_Tracker!$I$5:$I$1004,"&lt;&gt;Cancelled")</f>
        <v/>
      </c>
      <c r="H44" s="116">
        <f>IFERROR(D44/C44,0)</f>
        <v/>
      </c>
    </row>
    <row r="45" ht="20" customHeight="1" s="40">
      <c r="A45" s="113" t="n">
        <v>46296</v>
      </c>
      <c r="B45" s="73">
        <f>TEXT(A45,"mmm yyyy")</f>
        <v/>
      </c>
      <c r="C45" s="74">
        <f>COUNTIFS(Task_Tracker!$F$5:$F$1004,$B$4,Task_Tracker!$L$5:$L$1004,"&gt;="&amp;$A45,Task_Tracker!$L$5:$L$1004,"&lt;"&amp;EDATE($A45,1))</f>
        <v/>
      </c>
      <c r="D45" s="74">
        <f>COUNTIFS(Task_Tracker!$F$5:$F$1004,$B$4,Task_Tracker!$L$5:$L$1004,"&gt;="&amp;$A45,Task_Tracker!$L$5:$L$1004,"&lt;"&amp;EDATE($A45,1),Task_Tracker!$I$5:$I$1004,"Completed")</f>
        <v/>
      </c>
      <c r="E45" s="74">
        <f>COUNTIFS(Task_Tracker!$F$5:$F$1004,$B$4,Task_Tracker!$L$5:$L$1004,"&lt;"&amp;$A45,Task_Tracker!$I$5:$I$1004,"&lt;&gt;Completed",Task_Tracker!$I$5:$I$1004,"&lt;&gt;Cancelled")</f>
        <v/>
      </c>
      <c r="F45" s="75">
        <f>SUMIFS(Task_Tracker!$O$5:$O$1004,Task_Tracker!$F$5:$F$1004,$B$4,Task_Tracker!$L$5:$L$1004,"&gt;="&amp;$A45,Task_Tracker!$L$5:$L$1004,"&lt;"&amp;EDATE($A45,1))</f>
        <v/>
      </c>
      <c r="G45" s="74">
        <f>COUNTIFS(Task_Tracker!$F$5:$F$1004,$B$4,Task_Tracker!$L$5:$L$1004,"&gt;="&amp;$A45,Task_Tracker!$L$5:$L$1004,"&lt;"&amp;EDATE($A45,1),Task_Tracker!$I$5:$I$1004,"&lt;&gt;Completed",Task_Tracker!$I$5:$I$1004,"&lt;&gt;Cancelled")</f>
        <v/>
      </c>
      <c r="H45" s="116">
        <f>IFERROR(D45/C45,0)</f>
        <v/>
      </c>
    </row>
    <row r="46" ht="20" customHeight="1" s="40">
      <c r="A46" s="113" t="n">
        <v>46327</v>
      </c>
      <c r="B46" s="73">
        <f>TEXT(A46,"mmm yyyy")</f>
        <v/>
      </c>
      <c r="C46" s="74">
        <f>COUNTIFS(Task_Tracker!$F$5:$F$1004,$B$4,Task_Tracker!$L$5:$L$1004,"&gt;="&amp;$A46,Task_Tracker!$L$5:$L$1004,"&lt;"&amp;EDATE($A46,1))</f>
        <v/>
      </c>
      <c r="D46" s="74">
        <f>COUNTIFS(Task_Tracker!$F$5:$F$1004,$B$4,Task_Tracker!$L$5:$L$1004,"&gt;="&amp;$A46,Task_Tracker!$L$5:$L$1004,"&lt;"&amp;EDATE($A46,1),Task_Tracker!$I$5:$I$1004,"Completed")</f>
        <v/>
      </c>
      <c r="E46" s="74">
        <f>COUNTIFS(Task_Tracker!$F$5:$F$1004,$B$4,Task_Tracker!$L$5:$L$1004,"&lt;"&amp;$A46,Task_Tracker!$I$5:$I$1004,"&lt;&gt;Completed",Task_Tracker!$I$5:$I$1004,"&lt;&gt;Cancelled")</f>
        <v/>
      </c>
      <c r="F46" s="75">
        <f>SUMIFS(Task_Tracker!$O$5:$O$1004,Task_Tracker!$F$5:$F$1004,$B$4,Task_Tracker!$L$5:$L$1004,"&gt;="&amp;$A46,Task_Tracker!$L$5:$L$1004,"&lt;"&amp;EDATE($A46,1))</f>
        <v/>
      </c>
      <c r="G46" s="74">
        <f>COUNTIFS(Task_Tracker!$F$5:$F$1004,$B$4,Task_Tracker!$L$5:$L$1004,"&gt;="&amp;$A46,Task_Tracker!$L$5:$L$1004,"&lt;"&amp;EDATE($A46,1),Task_Tracker!$I$5:$I$1004,"&lt;&gt;Completed",Task_Tracker!$I$5:$I$1004,"&lt;&gt;Cancelled")</f>
        <v/>
      </c>
      <c r="H46" s="116">
        <f>IFERROR(D46/C46,0)</f>
        <v/>
      </c>
    </row>
    <row r="47" ht="20" customHeight="1" s="40">
      <c r="A47" s="113" t="n">
        <v>46357</v>
      </c>
      <c r="B47" s="73">
        <f>TEXT(A47,"mmm yyyy")</f>
        <v/>
      </c>
      <c r="C47" s="74">
        <f>COUNTIFS(Task_Tracker!$F$5:$F$1004,$B$4,Task_Tracker!$L$5:$L$1004,"&gt;="&amp;$A47,Task_Tracker!$L$5:$L$1004,"&lt;"&amp;EDATE($A47,1))</f>
        <v/>
      </c>
      <c r="D47" s="74">
        <f>COUNTIFS(Task_Tracker!$F$5:$F$1004,$B$4,Task_Tracker!$L$5:$L$1004,"&gt;="&amp;$A47,Task_Tracker!$L$5:$L$1004,"&lt;"&amp;EDATE($A47,1),Task_Tracker!$I$5:$I$1004,"Completed")</f>
        <v/>
      </c>
      <c r="E47" s="74">
        <f>COUNTIFS(Task_Tracker!$F$5:$F$1004,$B$4,Task_Tracker!$L$5:$L$1004,"&lt;"&amp;$A47,Task_Tracker!$I$5:$I$1004,"&lt;&gt;Completed",Task_Tracker!$I$5:$I$1004,"&lt;&gt;Cancelled")</f>
        <v/>
      </c>
      <c r="F47" s="75">
        <f>SUMIFS(Task_Tracker!$O$5:$O$1004,Task_Tracker!$F$5:$F$1004,$B$4,Task_Tracker!$L$5:$L$1004,"&gt;="&amp;$A47,Task_Tracker!$L$5:$L$1004,"&lt;"&amp;EDATE($A47,1))</f>
        <v/>
      </c>
      <c r="G47" s="74">
        <f>COUNTIFS(Task_Tracker!$F$5:$F$1004,$B$4,Task_Tracker!$L$5:$L$1004,"&gt;="&amp;$A47,Task_Tracker!$L$5:$L$1004,"&lt;"&amp;EDATE($A47,1),Task_Tracker!$I$5:$I$1004,"&lt;&gt;Completed",Task_Tracker!$I$5:$I$1004,"&lt;&gt;Cancelled")</f>
        <v/>
      </c>
      <c r="H47" s="116">
        <f>IFERROR(D47/C47,0)</f>
        <v/>
      </c>
    </row>
    <row r="48" ht="20" customHeight="1" s="40">
      <c r="A48" s="113" t="n">
        <v>46388</v>
      </c>
      <c r="B48" s="73">
        <f>TEXT(A48,"mmm yyyy")</f>
        <v/>
      </c>
      <c r="C48" s="74">
        <f>COUNTIFS(Task_Tracker!$F$5:$F$1004,$B$4,Task_Tracker!$L$5:$L$1004,"&gt;="&amp;$A48,Task_Tracker!$L$5:$L$1004,"&lt;"&amp;EDATE($A48,1))</f>
        <v/>
      </c>
      <c r="D48" s="74">
        <f>COUNTIFS(Task_Tracker!$F$5:$F$1004,$B$4,Task_Tracker!$L$5:$L$1004,"&gt;="&amp;$A48,Task_Tracker!$L$5:$L$1004,"&lt;"&amp;EDATE($A48,1),Task_Tracker!$I$5:$I$1004,"Completed")</f>
        <v/>
      </c>
      <c r="E48" s="74">
        <f>COUNTIFS(Task_Tracker!$F$5:$F$1004,$B$4,Task_Tracker!$L$5:$L$1004,"&lt;"&amp;$A48,Task_Tracker!$I$5:$I$1004,"&lt;&gt;Completed",Task_Tracker!$I$5:$I$1004,"&lt;&gt;Cancelled")</f>
        <v/>
      </c>
      <c r="F48" s="75">
        <f>SUMIFS(Task_Tracker!$O$5:$O$1004,Task_Tracker!$F$5:$F$1004,$B$4,Task_Tracker!$L$5:$L$1004,"&gt;="&amp;$A48,Task_Tracker!$L$5:$L$1004,"&lt;"&amp;EDATE($A48,1))</f>
        <v/>
      </c>
      <c r="G48" s="74">
        <f>COUNTIFS(Task_Tracker!$F$5:$F$1004,$B$4,Task_Tracker!$L$5:$L$1004,"&gt;="&amp;$A48,Task_Tracker!$L$5:$L$1004,"&lt;"&amp;EDATE($A48,1),Task_Tracker!$I$5:$I$1004,"&lt;&gt;Completed",Task_Tracker!$I$5:$I$1004,"&lt;&gt;Cancelled")</f>
        <v/>
      </c>
      <c r="H48" s="116">
        <f>IFERROR(D48/C48,0)</f>
        <v/>
      </c>
    </row>
    <row r="49" ht="20" customHeight="1" s="40">
      <c r="A49" s="113" t="n">
        <v>46419</v>
      </c>
      <c r="B49" s="73">
        <f>TEXT(A49,"mmm yyyy")</f>
        <v/>
      </c>
      <c r="C49" s="74">
        <f>COUNTIFS(Task_Tracker!$F$5:$F$1004,$B$4,Task_Tracker!$L$5:$L$1004,"&gt;="&amp;$A49,Task_Tracker!$L$5:$L$1004,"&lt;"&amp;EDATE($A49,1))</f>
        <v/>
      </c>
      <c r="D49" s="74">
        <f>COUNTIFS(Task_Tracker!$F$5:$F$1004,$B$4,Task_Tracker!$L$5:$L$1004,"&gt;="&amp;$A49,Task_Tracker!$L$5:$L$1004,"&lt;"&amp;EDATE($A49,1),Task_Tracker!$I$5:$I$1004,"Completed")</f>
        <v/>
      </c>
      <c r="E49" s="74">
        <f>COUNTIFS(Task_Tracker!$F$5:$F$1004,$B$4,Task_Tracker!$L$5:$L$1004,"&lt;"&amp;$A49,Task_Tracker!$I$5:$I$1004,"&lt;&gt;Completed",Task_Tracker!$I$5:$I$1004,"&lt;&gt;Cancelled")</f>
        <v/>
      </c>
      <c r="F49" s="75">
        <f>SUMIFS(Task_Tracker!$O$5:$O$1004,Task_Tracker!$F$5:$F$1004,$B$4,Task_Tracker!$L$5:$L$1004,"&gt;="&amp;$A49,Task_Tracker!$L$5:$L$1004,"&lt;"&amp;EDATE($A49,1))</f>
        <v/>
      </c>
      <c r="G49" s="74">
        <f>COUNTIFS(Task_Tracker!$F$5:$F$1004,$B$4,Task_Tracker!$L$5:$L$1004,"&gt;="&amp;$A49,Task_Tracker!$L$5:$L$1004,"&lt;"&amp;EDATE($A49,1),Task_Tracker!$I$5:$I$1004,"&lt;&gt;Completed",Task_Tracker!$I$5:$I$1004,"&lt;&gt;Cancelled")</f>
        <v/>
      </c>
      <c r="H49" s="116">
        <f>IFERROR(D49/C49,0)</f>
        <v/>
      </c>
    </row>
    <row r="50" ht="20" customHeight="1" s="40">
      <c r="A50" s="113" t="n">
        <v>46447</v>
      </c>
      <c r="B50" s="73">
        <f>TEXT(A50,"mmm yyyy")</f>
        <v/>
      </c>
      <c r="C50" s="74">
        <f>COUNTIFS(Task_Tracker!$F$5:$F$1004,$B$4,Task_Tracker!$L$5:$L$1004,"&gt;="&amp;$A50,Task_Tracker!$L$5:$L$1004,"&lt;"&amp;EDATE($A50,1))</f>
        <v/>
      </c>
      <c r="D50" s="74">
        <f>COUNTIFS(Task_Tracker!$F$5:$F$1004,$B$4,Task_Tracker!$L$5:$L$1004,"&gt;="&amp;$A50,Task_Tracker!$L$5:$L$1004,"&lt;"&amp;EDATE($A50,1),Task_Tracker!$I$5:$I$1004,"Completed")</f>
        <v/>
      </c>
      <c r="E50" s="74">
        <f>COUNTIFS(Task_Tracker!$F$5:$F$1004,$B$4,Task_Tracker!$L$5:$L$1004,"&lt;"&amp;$A50,Task_Tracker!$I$5:$I$1004,"&lt;&gt;Completed",Task_Tracker!$I$5:$I$1004,"&lt;&gt;Cancelled")</f>
        <v/>
      </c>
      <c r="F50" s="75">
        <f>SUMIFS(Task_Tracker!$O$5:$O$1004,Task_Tracker!$F$5:$F$1004,$B$4,Task_Tracker!$L$5:$L$1004,"&gt;="&amp;$A50,Task_Tracker!$L$5:$L$1004,"&lt;"&amp;EDATE($A50,1))</f>
        <v/>
      </c>
      <c r="G50" s="74">
        <f>COUNTIFS(Task_Tracker!$F$5:$F$1004,$B$4,Task_Tracker!$L$5:$L$1004,"&gt;="&amp;$A50,Task_Tracker!$L$5:$L$1004,"&lt;"&amp;EDATE($A50,1),Task_Tracker!$I$5:$I$1004,"&lt;&gt;Completed",Task_Tracker!$I$5:$I$1004,"&lt;&gt;Cancelled")</f>
        <v/>
      </c>
      <c r="H50" s="116">
        <f>IFERROR(D50/C50,0)</f>
        <v/>
      </c>
    </row>
    <row r="51" ht="20" customHeight="1" s="40"/>
    <row r="52" ht="20" customHeight="1" s="40"/>
    <row r="53" ht="20" customHeight="1" s="40">
      <c r="A53" s="94" t="inlineStr">
        <is>
          <t>Current Open / Upcoming Tasks (Direct from Task_Tracker)</t>
        </is>
      </c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  <c r="L53" s="112" t="n"/>
    </row>
    <row r="54" ht="20" customHeight="1" s="40">
      <c r="A54" s="95" t="inlineStr">
        <is>
          <t>Task ID</t>
        </is>
      </c>
      <c r="B54" s="95" t="inlineStr">
        <is>
          <t>Source</t>
        </is>
      </c>
      <c r="C54" s="95" t="inlineStr">
        <is>
          <t>Project</t>
        </is>
      </c>
      <c r="D54" s="95" t="inlineStr">
        <is>
          <t>Task Title</t>
        </is>
      </c>
      <c r="E54" s="95" t="inlineStr">
        <is>
          <t>Status</t>
        </is>
      </c>
      <c r="F54" s="95" t="inlineStr">
        <is>
          <t>Priority</t>
        </is>
      </c>
      <c r="G54" s="95" t="inlineStr">
        <is>
          <t>Due Date</t>
        </is>
      </c>
      <c r="H54" s="95" t="inlineStr">
        <is>
          <t>Actual Hrs</t>
        </is>
      </c>
      <c r="I54" s="95" t="inlineStr">
        <is>
          <t>Next Step</t>
        </is>
      </c>
      <c r="J54" s="39" t="inlineStr">
        <is>
          <t>Manager</t>
        </is>
      </c>
      <c r="K54" s="39" t="inlineStr">
        <is>
          <t>Notes</t>
        </is>
      </c>
    </row>
    <row r="55" ht="20" customHeight="1" s="40">
      <c r="A55" s="96">
        <f>IFERROR(TAKE(SORT(FILTER(CHOOSECOLS(Task_Tracker!$A$5:$AF$1004,1,27,2,4,9,8,12,15,21,28,26),(Task_Tracker!$A$5:$A$1004&lt;&gt;"")*(Task_Tracker!$F$5:$F$1004=$B$4)*(Task_Tracker!$I$5:$I$1004&lt;&gt;"Completed")*(Task_Tracker!$I$5:$I$1004&lt;&gt;"Cancelled")),7,1),20),"")</f>
        <v/>
      </c>
      <c r="B55" s="73" t="n"/>
      <c r="C55" s="73" t="n"/>
      <c r="D55" s="96" t="n"/>
      <c r="E55" s="96" t="n"/>
      <c r="F55" s="113" t="n"/>
      <c r="G55" s="75" t="n"/>
      <c r="H55" s="73" t="n"/>
      <c r="I55" s="73" t="n"/>
    </row>
    <row r="56" ht="20" customHeight="1" s="40">
      <c r="A56" s="96" t="n"/>
      <c r="B56" s="73" t="n"/>
      <c r="C56" s="73" t="n"/>
      <c r="D56" s="96" t="n"/>
      <c r="E56" s="96" t="n"/>
      <c r="F56" s="113" t="n"/>
      <c r="G56" s="75" t="n"/>
      <c r="H56" s="73" t="n"/>
      <c r="I56" s="73" t="n"/>
    </row>
    <row r="57" ht="20" customHeight="1" s="40">
      <c r="A57" s="96" t="n"/>
      <c r="B57" s="73" t="n"/>
      <c r="C57" s="73" t="n"/>
      <c r="D57" s="96" t="n"/>
      <c r="E57" s="96" t="n"/>
      <c r="F57" s="113" t="n"/>
      <c r="G57" s="75" t="n"/>
      <c r="H57" s="73" t="n"/>
      <c r="I57" s="73" t="n"/>
    </row>
    <row r="58" ht="20" customHeight="1" s="40">
      <c r="A58" s="96" t="n"/>
      <c r="B58" s="73" t="n"/>
      <c r="C58" s="73" t="n"/>
      <c r="D58" s="96" t="n"/>
      <c r="E58" s="96" t="n"/>
      <c r="F58" s="113" t="n"/>
      <c r="G58" s="75" t="n"/>
      <c r="H58" s="73" t="n"/>
      <c r="I58" s="73" t="n"/>
    </row>
    <row r="59" ht="20" customHeight="1" s="40">
      <c r="A59" s="96" t="n"/>
      <c r="B59" s="73" t="n"/>
      <c r="C59" s="73" t="n"/>
      <c r="D59" s="96" t="n"/>
      <c r="E59" s="96" t="n"/>
      <c r="F59" s="113" t="n"/>
      <c r="G59" s="75" t="n"/>
      <c r="H59" s="73" t="n"/>
      <c r="I59" s="73" t="n"/>
    </row>
    <row r="60" ht="20" customHeight="1" s="40">
      <c r="A60" s="96" t="n"/>
      <c r="B60" s="73" t="n"/>
      <c r="C60" s="73" t="n"/>
      <c r="D60" s="96" t="n"/>
      <c r="E60" s="96" t="n"/>
      <c r="F60" s="113" t="n"/>
      <c r="G60" s="75" t="n"/>
      <c r="H60" s="73" t="n"/>
      <c r="I60" s="73" t="n"/>
    </row>
    <row r="61" ht="20" customHeight="1" s="40">
      <c r="A61" s="96" t="n"/>
      <c r="B61" s="73" t="n"/>
      <c r="C61" s="73" t="n"/>
      <c r="D61" s="96" t="n"/>
      <c r="E61" s="96" t="n"/>
      <c r="F61" s="113" t="n"/>
      <c r="G61" s="75" t="n"/>
      <c r="H61" s="73" t="n"/>
      <c r="I61" s="73" t="n"/>
    </row>
    <row r="62" ht="20" customHeight="1" s="40">
      <c r="A62" s="96" t="n"/>
      <c r="B62" s="73" t="n"/>
      <c r="C62" s="73" t="n"/>
      <c r="D62" s="96" t="n"/>
      <c r="E62" s="96" t="n"/>
      <c r="F62" s="113" t="n"/>
      <c r="G62" s="75" t="n"/>
      <c r="H62" s="73" t="n"/>
      <c r="I62" s="73" t="n"/>
    </row>
    <row r="63" ht="20" customHeight="1" s="40">
      <c r="A63" s="96" t="n"/>
      <c r="B63" s="73" t="n"/>
      <c r="C63" s="73" t="n"/>
      <c r="D63" s="96" t="n"/>
      <c r="E63" s="96" t="n"/>
      <c r="F63" s="113" t="n"/>
      <c r="G63" s="75" t="n"/>
      <c r="H63" s="73" t="n"/>
      <c r="I63" s="73" t="n"/>
    </row>
    <row r="64" ht="20" customHeight="1" s="40">
      <c r="A64" s="96" t="n"/>
      <c r="B64" s="73" t="n"/>
      <c r="C64" s="73" t="n"/>
      <c r="D64" s="96" t="n"/>
      <c r="E64" s="96" t="n"/>
      <c r="F64" s="113" t="n"/>
      <c r="G64" s="75" t="n"/>
      <c r="H64" s="73" t="n"/>
      <c r="I64" s="73" t="n"/>
    </row>
    <row r="65" ht="20" customHeight="1" s="40">
      <c r="A65" s="96" t="n"/>
      <c r="B65" s="73" t="n"/>
      <c r="C65" s="73" t="n"/>
      <c r="D65" s="96" t="n"/>
      <c r="E65" s="96" t="n"/>
      <c r="F65" s="113" t="n"/>
      <c r="G65" s="75" t="n"/>
      <c r="H65" s="73" t="n"/>
      <c r="I65" s="73" t="n"/>
    </row>
    <row r="66" ht="20" customHeight="1" s="40">
      <c r="A66" s="96" t="n"/>
      <c r="B66" s="73" t="n"/>
      <c r="C66" s="73" t="n"/>
      <c r="D66" s="96" t="n"/>
      <c r="E66" s="96" t="n"/>
      <c r="F66" s="113" t="n"/>
      <c r="G66" s="75" t="n"/>
      <c r="H66" s="73" t="n"/>
      <c r="I66" s="73" t="n"/>
    </row>
    <row r="67" ht="20" customHeight="1" s="40">
      <c r="A67" s="96" t="n"/>
      <c r="B67" s="73" t="n"/>
      <c r="C67" s="73" t="n"/>
      <c r="D67" s="96" t="n"/>
      <c r="E67" s="96" t="n"/>
      <c r="F67" s="113" t="n"/>
      <c r="G67" s="75" t="n"/>
      <c r="H67" s="73" t="n"/>
      <c r="I67" s="73" t="n"/>
    </row>
    <row r="68" ht="20" customHeight="1" s="40">
      <c r="A68" s="96" t="n"/>
      <c r="B68" s="73" t="n"/>
      <c r="C68" s="73" t="n"/>
      <c r="D68" s="96" t="n"/>
      <c r="E68" s="96" t="n"/>
      <c r="F68" s="113" t="n"/>
      <c r="G68" s="75" t="n"/>
      <c r="H68" s="73" t="n"/>
      <c r="I68" s="73" t="n"/>
    </row>
    <row r="69" ht="20" customHeight="1" s="40">
      <c r="A69" s="96" t="n"/>
      <c r="B69" s="73" t="n"/>
      <c r="C69" s="73" t="n"/>
      <c r="D69" s="96" t="n"/>
      <c r="E69" s="96" t="n"/>
      <c r="F69" s="113" t="n"/>
      <c r="G69" s="75" t="n"/>
      <c r="H69" s="73" t="n"/>
      <c r="I69" s="73" t="n"/>
    </row>
    <row r="70" ht="20" customHeight="1" s="40">
      <c r="A70" s="96" t="n"/>
      <c r="B70" s="73" t="n"/>
      <c r="C70" s="73" t="n"/>
      <c r="D70" s="96" t="n"/>
      <c r="E70" s="96" t="n"/>
      <c r="F70" s="113" t="n"/>
      <c r="G70" s="75" t="n"/>
      <c r="H70" s="73" t="n"/>
      <c r="I70" s="73" t="n"/>
    </row>
    <row r="71" ht="20" customHeight="1" s="40">
      <c r="A71" s="96" t="n"/>
      <c r="B71" s="73" t="n"/>
      <c r="C71" s="73" t="n"/>
      <c r="D71" s="96" t="n"/>
      <c r="E71" s="96" t="n"/>
      <c r="F71" s="113" t="n"/>
      <c r="G71" s="75" t="n"/>
      <c r="H71" s="73" t="n"/>
      <c r="I71" s="73" t="n"/>
    </row>
    <row r="72" ht="20" customHeight="1" s="40">
      <c r="A72" s="96" t="n"/>
      <c r="B72" s="73" t="n"/>
      <c r="C72" s="73" t="n"/>
      <c r="D72" s="96" t="n"/>
      <c r="E72" s="96" t="n"/>
      <c r="F72" s="113" t="n"/>
      <c r="G72" s="75" t="n"/>
      <c r="H72" s="73" t="n"/>
      <c r="I72" s="73" t="n"/>
    </row>
    <row r="73" ht="20" customHeight="1" s="40">
      <c r="A73" s="96" t="n"/>
      <c r="B73" s="73" t="n"/>
      <c r="C73" s="73" t="n"/>
      <c r="D73" s="96" t="n"/>
      <c r="E73" s="96" t="n"/>
      <c r="F73" s="113" t="n"/>
      <c r="G73" s="75" t="n"/>
      <c r="H73" s="73" t="n"/>
      <c r="I73" s="73" t="n"/>
    </row>
    <row r="74" ht="20" customHeight="1" s="40">
      <c r="A74" s="96" t="n"/>
      <c r="B74" s="73" t="n"/>
      <c r="C74" s="73" t="n"/>
      <c r="D74" s="96" t="n"/>
      <c r="E74" s="96" t="n"/>
      <c r="F74" s="113" t="n"/>
      <c r="G74" s="75" t="n"/>
      <c r="H74" s="73" t="n"/>
      <c r="I74" s="73" t="n"/>
    </row>
    <row r="75" ht="20" customHeight="1" s="40"/>
    <row r="76" ht="20" customHeight="1" s="40"/>
    <row r="77" ht="20" customHeight="1" s="40"/>
    <row r="78" ht="22" customHeight="1" s="40">
      <c r="A78" s="94" t="inlineStr">
        <is>
          <t>Task Step Detail (Direct from Task_Steps)</t>
        </is>
      </c>
    </row>
    <row r="79" ht="20" customHeight="1" s="40">
      <c r="A79" s="95" t="inlineStr">
        <is>
          <t>Step ID</t>
        </is>
      </c>
      <c r="B79" s="95" t="inlineStr">
        <is>
          <t>Parent Task ID</t>
        </is>
      </c>
      <c r="C79" s="95" t="inlineStr">
        <is>
          <t>Source</t>
        </is>
      </c>
      <c r="D79" s="95" t="inlineStr">
        <is>
          <t>Project</t>
        </is>
      </c>
      <c r="E79" s="95" t="inlineStr">
        <is>
          <t>Step Name</t>
        </is>
      </c>
      <c r="F79" s="95" t="inlineStr">
        <is>
          <t>Step Status</t>
        </is>
      </c>
      <c r="G79" s="95" t="inlineStr">
        <is>
          <t>Due Date</t>
        </is>
      </c>
      <c r="H79" s="95" t="inlineStr">
        <is>
          <t>Actual Hrs</t>
        </is>
      </c>
      <c r="I79" s="95" t="inlineStr">
        <is>
          <t>Parent Task Status</t>
        </is>
      </c>
      <c r="J79" s="39" t="inlineStr">
        <is>
          <t>Manager</t>
        </is>
      </c>
    </row>
    <row r="80" ht="20" customHeight="1" s="40">
      <c r="A80" s="96">
        <f>IF($B$5="All",IFERROR(TAKE(SORT(FILTER(CHOOSECOLS(Task_Steps!$A$5:$Y$2004,1,2,19,4,5,8,11,14,22,20),(Task_Steps!$A$5:$A$2004&lt;&gt;"")*(Task_Steps!$G$5:$G$2004=$B$4)),7,1),20),""),IFERROR(TAKE(SORT(FILTER(CHOOSECOLS(Task_Steps!$A$5:$Y$2004,1,2,19,4,5,8,11,14,22,20),(Task_Steps!$A$5:$A$2004&lt;&gt;"")*(Task_Steps!$G$5:$G$2004=$B$4)*(Task_Steps!$X$5:$X$2004=$B$5)),7,1),20),""))</f>
        <v/>
      </c>
    </row>
    <row r="81" ht="20" customHeight="1" s="40"/>
    <row r="82" ht="20" customHeight="1" s="40"/>
    <row r="83" ht="20" customHeight="1" s="40"/>
    <row r="84" ht="20" customHeight="1" s="40"/>
    <row r="85" ht="20" customHeight="1" s="40"/>
    <row r="86" ht="20" customHeight="1" s="40"/>
    <row r="87" ht="20" customHeight="1" s="40"/>
    <row r="88" ht="20" customHeight="1" s="40"/>
    <row r="89" ht="20" customHeight="1" s="40"/>
  </sheetData>
  <mergeCells count="20">
    <mergeCell ref="I38:L40"/>
    <mergeCell ref="G8:H8"/>
    <mergeCell ref="E8:F8"/>
    <mergeCell ref="A2:L2"/>
    <mergeCell ref="A7:B7"/>
    <mergeCell ref="G7:H7"/>
    <mergeCell ref="I7:J7"/>
    <mergeCell ref="A37:H37"/>
    <mergeCell ref="A53:L53"/>
    <mergeCell ref="K8:L8"/>
    <mergeCell ref="A13:L13"/>
    <mergeCell ref="I8:J8"/>
    <mergeCell ref="A8:B8"/>
    <mergeCell ref="C8:D8"/>
    <mergeCell ref="I37:L37"/>
    <mergeCell ref="K7:L7"/>
    <mergeCell ref="C7:D7"/>
    <mergeCell ref="E7:F7"/>
    <mergeCell ref="A1:L1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Project Task Management Tracker</dc:title>
  <dc:subject xmlns:dc="http://purl.org/dc/elements/1.1/">Project tracker, employee assignment, and performance workbook</dc:subject>
  <dc:language xmlns:dc="http://purl.org/dc/elements/1.1/">en-US</dc:language>
  <dcterms:created xmlns:dcterms="http://purl.org/dc/terms/" xmlns:xsi="http://www.w3.org/2001/XMLSchema-instance" xsi:type="dcterms:W3CDTF">2026-04-09T06:25:17Z</dcterms:created>
  <dcterms:modified xmlns:dcterms="http://purl.org/dc/terms/" xmlns:xsi="http://www.w3.org/2001/XMLSchema-instance" xsi:type="dcterms:W3CDTF">2026-04-10T06:35:36Z</dcterms:modified>
  <cp:revision>0</cp:revision>
</cp:coreProperties>
</file>